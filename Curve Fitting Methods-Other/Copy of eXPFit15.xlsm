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0" yWindow="135" windowWidth="13830" windowHeight="8655" activeTab="3"/>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s>
  <definedNames>
    <definedName name="Error">Ft!$B$19</definedName>
    <definedName name="_xlnm.Print_Area" localSheetId="1">Ft!$A$1:$K$32</definedName>
    <definedName name="solver_adj" localSheetId="1" hidden="1">Ft!$B$2:$B$4,Ft!$B$6,Ft!$B$12:$B$13,Ft!$C$2:$C$4,Ft!$C$6</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1</definedName>
    <definedName name="solver_rel2" localSheetId="1" hidden="1">1</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A54" i="2"/>
  <c r="A53"/>
  <c r="A52"/>
  <c r="A51"/>
  <c r="K81" i="4"/>
  <c r="J85"/>
  <c r="N89"/>
  <c r="N97"/>
  <c r="J101"/>
  <c r="B5" i="2"/>
  <c r="B39" s="1"/>
  <c r="C5"/>
  <c r="D5"/>
  <c r="D40"/>
  <c r="E5"/>
  <c r="F5"/>
  <c r="G5"/>
  <c r="H5"/>
  <c r="I5"/>
  <c r="J5"/>
  <c r="K5"/>
  <c r="K39" s="1"/>
  <c r="B7"/>
  <c r="C7"/>
  <c r="D7"/>
  <c r="E7"/>
  <c r="F7"/>
  <c r="J37" i="4" s="1"/>
  <c r="G7" i="2"/>
  <c r="K72" i="4" s="1"/>
  <c r="H7" i="2"/>
  <c r="I7"/>
  <c r="J7"/>
  <c r="N82" i="4" s="1"/>
  <c r="K7" i="2"/>
  <c r="D9"/>
  <c r="I9"/>
  <c r="B14"/>
  <c r="B17"/>
  <c r="B20"/>
  <c r="B37"/>
  <c r="C37"/>
  <c r="D37"/>
  <c r="E37"/>
  <c r="F37"/>
  <c r="G37"/>
  <c r="H37"/>
  <c r="I37"/>
  <c r="J37"/>
  <c r="K37"/>
  <c r="B38"/>
  <c r="C38"/>
  <c r="D38"/>
  <c r="E38"/>
  <c r="F38"/>
  <c r="G38"/>
  <c r="H38"/>
  <c r="I38"/>
  <c r="J38"/>
  <c r="K38"/>
  <c r="D39"/>
  <c r="H5" i="4" s="1"/>
  <c r="F39" i="2"/>
  <c r="J93" i="4" s="1"/>
  <c r="G39" i="2"/>
  <c r="K101" i="4" s="1"/>
  <c r="I39" i="2"/>
  <c r="J39"/>
  <c r="E40"/>
  <c r="F40"/>
  <c r="G40"/>
  <c r="K40" i="4"/>
  <c r="I40" i="2"/>
  <c r="J40"/>
  <c r="N49" i="4"/>
  <c r="B3" i="3"/>
  <c r="N2" i="4"/>
  <c r="N6"/>
  <c r="N10"/>
  <c r="N14"/>
  <c r="N18"/>
  <c r="N22"/>
  <c r="N26"/>
  <c r="N30"/>
  <c r="N34"/>
  <c r="N38"/>
  <c r="N42"/>
  <c r="N46"/>
  <c r="N50"/>
  <c r="N54"/>
  <c r="N58"/>
  <c r="N62"/>
  <c r="N66"/>
  <c r="N70"/>
  <c r="N74"/>
  <c r="N78"/>
  <c r="N4"/>
  <c r="N8"/>
  <c r="N12"/>
  <c r="N16"/>
  <c r="N20"/>
  <c r="N24"/>
  <c r="N28"/>
  <c r="N32"/>
  <c r="N36"/>
  <c r="N40"/>
  <c r="N44"/>
  <c r="N48"/>
  <c r="N52"/>
  <c r="N56"/>
  <c r="N60"/>
  <c r="N64"/>
  <c r="N68"/>
  <c r="N72"/>
  <c r="N76"/>
  <c r="N5"/>
  <c r="N13"/>
  <c r="N21"/>
  <c r="N29"/>
  <c r="N37"/>
  <c r="N45"/>
  <c r="N53"/>
  <c r="N61"/>
  <c r="N69"/>
  <c r="N77"/>
  <c r="N80"/>
  <c r="N84"/>
  <c r="N88"/>
  <c r="N92"/>
  <c r="N96"/>
  <c r="N100"/>
  <c r="N3"/>
  <c r="N11"/>
  <c r="N19"/>
  <c r="N27"/>
  <c r="N35"/>
  <c r="N43"/>
  <c r="N51"/>
  <c r="N59"/>
  <c r="N67"/>
  <c r="N75"/>
  <c r="N83"/>
  <c r="N87"/>
  <c r="N91"/>
  <c r="N95"/>
  <c r="N99"/>
  <c r="J9" i="2"/>
  <c r="N9" i="4"/>
  <c r="N17"/>
  <c r="N25"/>
  <c r="N33"/>
  <c r="N7"/>
  <c r="N15"/>
  <c r="N23"/>
  <c r="N31"/>
  <c r="N39"/>
  <c r="N47"/>
  <c r="N55"/>
  <c r="N63"/>
  <c r="N71"/>
  <c r="N79"/>
  <c r="N81"/>
  <c r="J10"/>
  <c r="J26"/>
  <c r="J42"/>
  <c r="J58"/>
  <c r="J74"/>
  <c r="J12"/>
  <c r="J28"/>
  <c r="J44"/>
  <c r="J60"/>
  <c r="J76"/>
  <c r="J25"/>
  <c r="J57"/>
  <c r="J88"/>
  <c r="J7"/>
  <c r="J39"/>
  <c r="J71"/>
  <c r="J91"/>
  <c r="J5"/>
  <c r="J3"/>
  <c r="J35"/>
  <c r="J67"/>
  <c r="M86"/>
  <c r="N94"/>
  <c r="K93"/>
  <c r="N86"/>
  <c r="K85"/>
  <c r="N65"/>
  <c r="N101"/>
  <c r="N93"/>
  <c r="M90"/>
  <c r="N85"/>
  <c r="N73"/>
  <c r="J61"/>
  <c r="N41"/>
  <c r="M20"/>
  <c r="H37"/>
  <c r="H69"/>
  <c r="K9"/>
  <c r="K13"/>
  <c r="K25"/>
  <c r="K29"/>
  <c r="K41"/>
  <c r="K45"/>
  <c r="K57"/>
  <c r="K61"/>
  <c r="K73"/>
  <c r="K77"/>
  <c r="K11"/>
  <c r="K15"/>
  <c r="K27"/>
  <c r="K31"/>
  <c r="K43"/>
  <c r="K47"/>
  <c r="K59"/>
  <c r="K63"/>
  <c r="K75"/>
  <c r="K79"/>
  <c r="K20"/>
  <c r="K28"/>
  <c r="K52"/>
  <c r="K60"/>
  <c r="K83"/>
  <c r="K87"/>
  <c r="K99"/>
  <c r="G9" i="2"/>
  <c r="K18" i="4"/>
  <c r="K26"/>
  <c r="K50"/>
  <c r="K58"/>
  <c r="K82"/>
  <c r="K86"/>
  <c r="K98"/>
  <c r="K8"/>
  <c r="K32"/>
  <c r="K6"/>
  <c r="K30"/>
  <c r="K38"/>
  <c r="K62"/>
  <c r="K70"/>
  <c r="N98"/>
  <c r="K97"/>
  <c r="N90"/>
  <c r="K89"/>
  <c r="K64"/>
  <c r="H8"/>
  <c r="H56"/>
  <c r="H72"/>
  <c r="H38"/>
  <c r="H54"/>
  <c r="H97"/>
  <c r="H93"/>
  <c r="H81"/>
  <c r="H73"/>
  <c r="H49"/>
  <c r="H41"/>
  <c r="H17"/>
  <c r="H9"/>
  <c r="M43"/>
  <c r="M29"/>
  <c r="M66"/>
  <c r="M34"/>
  <c r="M2"/>
  <c r="E15" l="1"/>
  <c r="M70"/>
  <c r="M60"/>
  <c r="M96"/>
  <c r="M88"/>
  <c r="M80"/>
  <c r="M56"/>
  <c r="M40"/>
  <c r="M24"/>
  <c r="M31"/>
  <c r="M63"/>
  <c r="M17"/>
  <c r="M49"/>
  <c r="M101"/>
  <c r="M46"/>
  <c r="M62"/>
  <c r="M30"/>
  <c r="M28"/>
  <c r="M83"/>
  <c r="M100"/>
  <c r="M92"/>
  <c r="M84"/>
  <c r="M72"/>
  <c r="M64"/>
  <c r="M48"/>
  <c r="M32"/>
  <c r="M16"/>
  <c r="M15"/>
  <c r="M47"/>
  <c r="M79"/>
  <c r="M33"/>
  <c r="M65"/>
  <c r="I18"/>
  <c r="I91"/>
  <c r="I92"/>
  <c r="I23"/>
  <c r="I5"/>
  <c r="I69"/>
  <c r="I62"/>
  <c r="I30"/>
  <c r="I4"/>
  <c r="I19"/>
  <c r="I66"/>
  <c r="I26"/>
  <c r="I99"/>
  <c r="I52"/>
  <c r="I20"/>
  <c r="I43"/>
  <c r="I25"/>
  <c r="I58"/>
  <c r="I67"/>
  <c r="O81"/>
  <c r="O96"/>
  <c r="O33"/>
  <c r="O49"/>
  <c r="O19"/>
  <c r="O35"/>
  <c r="O8"/>
  <c r="O40"/>
  <c r="O14"/>
  <c r="O46"/>
  <c r="O20"/>
  <c r="O18"/>
  <c r="O97"/>
  <c r="O45"/>
  <c r="O63"/>
  <c r="O32"/>
  <c r="O90"/>
  <c r="O10"/>
  <c r="O5"/>
  <c r="O21"/>
  <c r="O69"/>
  <c r="O7"/>
  <c r="O55"/>
  <c r="O71"/>
  <c r="O83"/>
  <c r="O99"/>
  <c r="O82"/>
  <c r="O98"/>
  <c r="O58"/>
  <c r="O85"/>
  <c r="O29"/>
  <c r="O61"/>
  <c r="O79"/>
  <c r="O64"/>
  <c r="O12"/>
  <c r="O42"/>
  <c r="O52"/>
  <c r="L91"/>
  <c r="L11"/>
  <c r="L17"/>
  <c r="L100"/>
  <c r="L59"/>
  <c r="L48"/>
  <c r="L64"/>
  <c r="L30"/>
  <c r="L46"/>
  <c r="L77"/>
  <c r="L69"/>
  <c r="L45"/>
  <c r="L37"/>
  <c r="L13"/>
  <c r="L88"/>
  <c r="L92"/>
  <c r="L28"/>
  <c r="L58"/>
  <c r="L5"/>
  <c r="L71"/>
  <c r="L55"/>
  <c r="L7"/>
  <c r="L51"/>
  <c r="L95"/>
  <c r="L87"/>
  <c r="L57"/>
  <c r="L4"/>
  <c r="L52"/>
  <c r="L68"/>
  <c r="L34"/>
  <c r="L50"/>
  <c r="L97"/>
  <c r="L93"/>
  <c r="L81"/>
  <c r="L3"/>
  <c r="L44"/>
  <c r="L76"/>
  <c r="L74"/>
  <c r="L94"/>
  <c r="L63"/>
  <c r="L47"/>
  <c r="M6"/>
  <c r="M26"/>
  <c r="M45"/>
  <c r="O62"/>
  <c r="O57"/>
  <c r="O89"/>
  <c r="K40" i="2"/>
  <c r="M10" i="4"/>
  <c r="M42"/>
  <c r="M74"/>
  <c r="I45"/>
  <c r="M77"/>
  <c r="M13"/>
  <c r="M27"/>
  <c r="H25"/>
  <c r="H57"/>
  <c r="H85"/>
  <c r="H101"/>
  <c r="H22"/>
  <c r="H40"/>
  <c r="O4"/>
  <c r="K9" i="2"/>
  <c r="O75" i="4"/>
  <c r="O11"/>
  <c r="O25"/>
  <c r="I34"/>
  <c r="M22"/>
  <c r="M78"/>
  <c r="M38"/>
  <c r="O36"/>
  <c r="H55"/>
  <c r="H92"/>
  <c r="H71"/>
  <c r="H23"/>
  <c r="H21"/>
  <c r="H53"/>
  <c r="H83"/>
  <c r="H96"/>
  <c r="H79"/>
  <c r="H16"/>
  <c r="H32"/>
  <c r="H48"/>
  <c r="H64"/>
  <c r="H80"/>
  <c r="H14"/>
  <c r="H30"/>
  <c r="H46"/>
  <c r="H62"/>
  <c r="H78"/>
  <c r="H94"/>
  <c r="H90"/>
  <c r="H86"/>
  <c r="H82"/>
  <c r="H13"/>
  <c r="H77"/>
  <c r="H88"/>
  <c r="H12"/>
  <c r="H44"/>
  <c r="H76"/>
  <c r="H26"/>
  <c r="H42"/>
  <c r="H74"/>
  <c r="H100"/>
  <c r="H63"/>
  <c r="H99"/>
  <c r="H91"/>
  <c r="H98"/>
  <c r="H31"/>
  <c r="H29"/>
  <c r="H61"/>
  <c r="H4"/>
  <c r="H20"/>
  <c r="H36"/>
  <c r="H52"/>
  <c r="H68"/>
  <c r="H2"/>
  <c r="H18"/>
  <c r="H34"/>
  <c r="H50"/>
  <c r="H66"/>
  <c r="H75"/>
  <c r="H67"/>
  <c r="H59"/>
  <c r="H51"/>
  <c r="H43"/>
  <c r="H35"/>
  <c r="H27"/>
  <c r="H19"/>
  <c r="H11"/>
  <c r="H3"/>
  <c r="H39"/>
  <c r="H84"/>
  <c r="H15"/>
  <c r="H45"/>
  <c r="H28"/>
  <c r="H60"/>
  <c r="H10"/>
  <c r="H58"/>
  <c r="H39" i="2"/>
  <c r="L96" i="4" s="1"/>
  <c r="H40" i="2"/>
  <c r="H9"/>
  <c r="J14" i="4"/>
  <c r="J30"/>
  <c r="J62"/>
  <c r="J16"/>
  <c r="J48"/>
  <c r="J80"/>
  <c r="J65"/>
  <c r="J47"/>
  <c r="J95"/>
  <c r="J11"/>
  <c r="J75"/>
  <c r="J89"/>
  <c r="J94"/>
  <c r="J46"/>
  <c r="J78"/>
  <c r="J32"/>
  <c r="J64"/>
  <c r="J33"/>
  <c r="J92"/>
  <c r="J15"/>
  <c r="J79"/>
  <c r="J13"/>
  <c r="J43"/>
  <c r="J97"/>
  <c r="M58"/>
  <c r="M59"/>
  <c r="O34"/>
  <c r="O56"/>
  <c r="M52"/>
  <c r="M98"/>
  <c r="M8"/>
  <c r="M18"/>
  <c r="M50"/>
  <c r="I47"/>
  <c r="M61"/>
  <c r="M75"/>
  <c r="M11"/>
  <c r="H33"/>
  <c r="H65"/>
  <c r="H89"/>
  <c r="H70"/>
  <c r="H6"/>
  <c r="H24"/>
  <c r="H47"/>
  <c r="O66"/>
  <c r="O86"/>
  <c r="O87"/>
  <c r="O59"/>
  <c r="O73"/>
  <c r="O9"/>
  <c r="H7"/>
  <c r="M82"/>
  <c r="O60"/>
  <c r="M99"/>
  <c r="O84"/>
  <c r="E9" i="2"/>
  <c r="M81" i="4"/>
  <c r="M85"/>
  <c r="M89"/>
  <c r="M93"/>
  <c r="M97"/>
  <c r="M73"/>
  <c r="M57"/>
  <c r="M41"/>
  <c r="M25"/>
  <c r="M9"/>
  <c r="M71"/>
  <c r="M55"/>
  <c r="M39"/>
  <c r="M23"/>
  <c r="M7"/>
  <c r="M54"/>
  <c r="M95"/>
  <c r="M94"/>
  <c r="K54"/>
  <c r="K22"/>
  <c r="K24"/>
  <c r="K94"/>
  <c r="K74"/>
  <c r="K42"/>
  <c r="K10"/>
  <c r="K95"/>
  <c r="K76"/>
  <c r="K44"/>
  <c r="K12"/>
  <c r="K71"/>
  <c r="K55"/>
  <c r="K39"/>
  <c r="K23"/>
  <c r="K7"/>
  <c r="K69"/>
  <c r="K53"/>
  <c r="K37"/>
  <c r="K21"/>
  <c r="K5"/>
  <c r="M76"/>
  <c r="M44"/>
  <c r="M12"/>
  <c r="M14"/>
  <c r="K80"/>
  <c r="M91"/>
  <c r="J59"/>
  <c r="J27"/>
  <c r="J29"/>
  <c r="F9" i="2"/>
  <c r="J87" i="4"/>
  <c r="J63"/>
  <c r="J31"/>
  <c r="J100"/>
  <c r="J84"/>
  <c r="J49"/>
  <c r="J17"/>
  <c r="J72"/>
  <c r="J56"/>
  <c r="J40"/>
  <c r="J24"/>
  <c r="J8"/>
  <c r="J70"/>
  <c r="J54"/>
  <c r="J38"/>
  <c r="J22"/>
  <c r="J6"/>
  <c r="K56"/>
  <c r="O100"/>
  <c r="K96"/>
  <c r="O92"/>
  <c r="K88"/>
  <c r="J77"/>
  <c r="N57"/>
  <c r="J45"/>
  <c r="J98"/>
  <c r="J90"/>
  <c r="J86"/>
  <c r="J82"/>
  <c r="J69"/>
  <c r="J53"/>
  <c r="M69"/>
  <c r="M53"/>
  <c r="M37"/>
  <c r="M21"/>
  <c r="M5"/>
  <c r="M67"/>
  <c r="M51"/>
  <c r="M35"/>
  <c r="M19"/>
  <c r="M3"/>
  <c r="M87"/>
  <c r="K78"/>
  <c r="K46"/>
  <c r="K14"/>
  <c r="K16"/>
  <c r="K90"/>
  <c r="K66"/>
  <c r="K34"/>
  <c r="K2"/>
  <c r="K91"/>
  <c r="K68"/>
  <c r="K36"/>
  <c r="K4"/>
  <c r="K67"/>
  <c r="K51"/>
  <c r="K35"/>
  <c r="K19"/>
  <c r="K3"/>
  <c r="K65"/>
  <c r="K49"/>
  <c r="K33"/>
  <c r="K17"/>
  <c r="M68"/>
  <c r="M36"/>
  <c r="M4"/>
  <c r="K84"/>
  <c r="K92"/>
  <c r="K100"/>
  <c r="K48"/>
  <c r="J81"/>
  <c r="J51"/>
  <c r="J19"/>
  <c r="J21"/>
  <c r="J99"/>
  <c r="J83"/>
  <c r="J55"/>
  <c r="J23"/>
  <c r="J96"/>
  <c r="J73"/>
  <c r="J41"/>
  <c r="J9"/>
  <c r="J68"/>
  <c r="J52"/>
  <c r="J36"/>
  <c r="J20"/>
  <c r="J4"/>
  <c r="J66"/>
  <c r="J50"/>
  <c r="J34"/>
  <c r="J18"/>
  <c r="J2"/>
  <c r="E39" i="2"/>
  <c r="I87" i="4" s="1"/>
  <c r="H95"/>
  <c r="H87"/>
  <c r="G69"/>
  <c r="F70"/>
  <c r="B40" i="2"/>
  <c r="F39" i="4" s="1"/>
  <c r="F96"/>
  <c r="F69"/>
  <c r="F101"/>
  <c r="G94"/>
  <c r="F95"/>
  <c r="G78"/>
  <c r="F82"/>
  <c r="F84"/>
  <c r="F83"/>
  <c r="F98"/>
  <c r="F72"/>
  <c r="F99"/>
  <c r="F86"/>
  <c r="G89"/>
  <c r="G99"/>
  <c r="G77"/>
  <c r="F89"/>
  <c r="F71"/>
  <c r="F79"/>
  <c r="G76"/>
  <c r="F85"/>
  <c r="G88"/>
  <c r="G68"/>
  <c r="G74"/>
  <c r="G83"/>
  <c r="F94"/>
  <c r="C9" i="2"/>
  <c r="G101" i="4"/>
  <c r="G98"/>
  <c r="G82"/>
  <c r="G87"/>
  <c r="G71"/>
  <c r="E44"/>
  <c r="E56"/>
  <c r="G81"/>
  <c r="C39" i="2"/>
  <c r="G67" i="4" s="1"/>
  <c r="C40" i="2"/>
  <c r="F97" i="4"/>
  <c r="F92"/>
  <c r="F100"/>
  <c r="F77"/>
  <c r="F88"/>
  <c r="F87"/>
  <c r="F80"/>
  <c r="F78"/>
  <c r="G85"/>
  <c r="B9" i="2"/>
  <c r="G66" i="4"/>
  <c r="G90"/>
  <c r="G70"/>
  <c r="G95"/>
  <c r="G80"/>
  <c r="G79"/>
  <c r="G73"/>
  <c r="E14"/>
  <c r="E97"/>
  <c r="E90"/>
  <c r="E12"/>
  <c r="E24"/>
  <c r="G100"/>
  <c r="E94"/>
  <c r="G84"/>
  <c r="F75"/>
  <c r="F91"/>
  <c r="F76"/>
  <c r="F74"/>
  <c r="E62"/>
  <c r="F90"/>
  <c r="G93"/>
  <c r="F81"/>
  <c r="F93"/>
  <c r="G96"/>
  <c r="E46"/>
  <c r="F73"/>
  <c r="E91"/>
  <c r="G97"/>
  <c r="G92"/>
  <c r="G86"/>
  <c r="G91"/>
  <c r="G72"/>
  <c r="G75"/>
  <c r="E76"/>
  <c r="E84"/>
  <c r="E89"/>
  <c r="E69"/>
  <c r="E53"/>
  <c r="E37"/>
  <c r="E21"/>
  <c r="E5"/>
  <c r="E71"/>
  <c r="C71" s="1"/>
  <c r="E55"/>
  <c r="E47"/>
  <c r="E31"/>
  <c r="E7"/>
  <c r="E86"/>
  <c r="E83"/>
  <c r="E82"/>
  <c r="E52"/>
  <c r="E20"/>
  <c r="E22"/>
  <c r="E88"/>
  <c r="E64"/>
  <c r="E32"/>
  <c r="E101"/>
  <c r="E93"/>
  <c r="C93" s="1"/>
  <c r="E58"/>
  <c r="E26"/>
  <c r="E73"/>
  <c r="C73" s="1"/>
  <c r="E57"/>
  <c r="E41"/>
  <c r="E25"/>
  <c r="E9"/>
  <c r="E75"/>
  <c r="C75" s="1"/>
  <c r="E59"/>
  <c r="E51"/>
  <c r="E35"/>
  <c r="E11"/>
  <c r="E87"/>
  <c r="E95"/>
  <c r="C95" s="1"/>
  <c r="E38"/>
  <c r="E70"/>
  <c r="E68"/>
  <c r="E36"/>
  <c r="E4"/>
  <c r="E6"/>
  <c r="E96"/>
  <c r="E80"/>
  <c r="E48"/>
  <c r="E16"/>
  <c r="E85"/>
  <c r="E74"/>
  <c r="E42"/>
  <c r="E10"/>
  <c r="E65"/>
  <c r="E49"/>
  <c r="E33"/>
  <c r="E17"/>
  <c r="E2"/>
  <c r="E67"/>
  <c r="E43"/>
  <c r="E27"/>
  <c r="E19"/>
  <c r="E3"/>
  <c r="E54"/>
  <c r="E98"/>
  <c r="E78"/>
  <c r="E99"/>
  <c r="E60"/>
  <c r="E28"/>
  <c r="E30"/>
  <c r="E100"/>
  <c r="E92"/>
  <c r="E72"/>
  <c r="E40"/>
  <c r="E8"/>
  <c r="E81"/>
  <c r="E66"/>
  <c r="E50"/>
  <c r="E34"/>
  <c r="E18"/>
  <c r="E77"/>
  <c r="E61"/>
  <c r="E45"/>
  <c r="E29"/>
  <c r="E13"/>
  <c r="E79"/>
  <c r="E63"/>
  <c r="E39"/>
  <c r="E23"/>
  <c r="C81" l="1"/>
  <c r="D81" s="1"/>
  <c r="C85"/>
  <c r="D85" s="1"/>
  <c r="C96"/>
  <c r="D96" s="1"/>
  <c r="C101"/>
  <c r="D101" s="1"/>
  <c r="C83"/>
  <c r="D83" s="1"/>
  <c r="C89"/>
  <c r="D89" s="1"/>
  <c r="C79"/>
  <c r="D79" s="1"/>
  <c r="C92"/>
  <c r="D92" s="1"/>
  <c r="C78"/>
  <c r="D78" s="1"/>
  <c r="C87"/>
  <c r="D87" s="1"/>
  <c r="C76"/>
  <c r="C77"/>
  <c r="D77" s="1"/>
  <c r="C72"/>
  <c r="D72" s="1"/>
  <c r="C100"/>
  <c r="D100" s="1"/>
  <c r="C99"/>
  <c r="D99" s="1"/>
  <c r="C98"/>
  <c r="D98" s="1"/>
  <c r="C74"/>
  <c r="D74" s="1"/>
  <c r="C80"/>
  <c r="D80" s="1"/>
  <c r="C70"/>
  <c r="D70" s="1"/>
  <c r="C88"/>
  <c r="D88" s="1"/>
  <c r="C82"/>
  <c r="D82" s="1"/>
  <c r="C69"/>
  <c r="D69" s="1"/>
  <c r="C84"/>
  <c r="D84" s="1"/>
  <c r="C94"/>
  <c r="D94" s="1"/>
  <c r="C86"/>
  <c r="C97"/>
  <c r="D97" s="1"/>
  <c r="C91"/>
  <c r="D91" s="1"/>
  <c r="C90"/>
  <c r="D90" s="1"/>
  <c r="D76"/>
  <c r="G63"/>
  <c r="D86"/>
  <c r="G62"/>
  <c r="G65"/>
  <c r="G64"/>
  <c r="G61"/>
  <c r="D73"/>
  <c r="D71"/>
  <c r="F68"/>
  <c r="D95"/>
  <c r="D75"/>
  <c r="D93"/>
  <c r="O41"/>
  <c r="O24"/>
  <c r="O2"/>
  <c r="O27"/>
  <c r="O30"/>
  <c r="O93"/>
  <c r="I81"/>
  <c r="I90"/>
  <c r="I10"/>
  <c r="I59"/>
  <c r="I12"/>
  <c r="I76"/>
  <c r="I98"/>
  <c r="I8"/>
  <c r="I101"/>
  <c r="I39"/>
  <c r="I42"/>
  <c r="I94"/>
  <c r="I29"/>
  <c r="I64"/>
  <c r="I31"/>
  <c r="I93"/>
  <c r="O43"/>
  <c r="I13"/>
  <c r="L15"/>
  <c r="L79"/>
  <c r="L42"/>
  <c r="L12"/>
  <c r="L85"/>
  <c r="L101"/>
  <c r="L18"/>
  <c r="L36"/>
  <c r="L25"/>
  <c r="L43"/>
  <c r="L23"/>
  <c r="L82"/>
  <c r="L26"/>
  <c r="L73"/>
  <c r="L21"/>
  <c r="L53"/>
  <c r="L78"/>
  <c r="L14"/>
  <c r="L32"/>
  <c r="L83"/>
  <c r="O44"/>
  <c r="O70"/>
  <c r="O47"/>
  <c r="O13"/>
  <c r="O26"/>
  <c r="O54"/>
  <c r="O48"/>
  <c r="O39"/>
  <c r="O53"/>
  <c r="O68"/>
  <c r="O38"/>
  <c r="O31"/>
  <c r="O80"/>
  <c r="O94"/>
  <c r="O95"/>
  <c r="O67"/>
  <c r="O3"/>
  <c r="O17"/>
  <c r="I65"/>
  <c r="I35"/>
  <c r="I73"/>
  <c r="I9"/>
  <c r="I27"/>
  <c r="I28"/>
  <c r="I60"/>
  <c r="I82"/>
  <c r="I83"/>
  <c r="I33"/>
  <c r="I3"/>
  <c r="I6"/>
  <c r="I38"/>
  <c r="I70"/>
  <c r="I53"/>
  <c r="I71"/>
  <c r="I7"/>
  <c r="I96"/>
  <c r="I80"/>
  <c r="I74"/>
  <c r="I79"/>
  <c r="I89"/>
  <c r="I32"/>
  <c r="I15"/>
  <c r="I61"/>
  <c r="L98"/>
  <c r="L56"/>
  <c r="L38"/>
  <c r="L22"/>
  <c r="L33"/>
  <c r="L6"/>
  <c r="L27"/>
  <c r="L84"/>
  <c r="L8"/>
  <c r="L72"/>
  <c r="L54"/>
  <c r="L65"/>
  <c r="L40"/>
  <c r="L75"/>
  <c r="L24"/>
  <c r="L70"/>
  <c r="I63"/>
  <c r="I86"/>
  <c r="I17"/>
  <c r="I41"/>
  <c r="I44"/>
  <c r="I24"/>
  <c r="I51"/>
  <c r="I22"/>
  <c r="I54"/>
  <c r="I21"/>
  <c r="I88"/>
  <c r="I16"/>
  <c r="I97"/>
  <c r="I77"/>
  <c r="L67"/>
  <c r="I85"/>
  <c r="L31"/>
  <c r="L86"/>
  <c r="L10"/>
  <c r="L41"/>
  <c r="L89"/>
  <c r="L66"/>
  <c r="L2"/>
  <c r="L20"/>
  <c r="L19"/>
  <c r="L35"/>
  <c r="L39"/>
  <c r="L90"/>
  <c r="L60"/>
  <c r="L9"/>
  <c r="L29"/>
  <c r="L61"/>
  <c r="L62"/>
  <c r="L80"/>
  <c r="L16"/>
  <c r="L49"/>
  <c r="L99"/>
  <c r="O101"/>
  <c r="O6"/>
  <c r="O15"/>
  <c r="O76"/>
  <c r="O28"/>
  <c r="O22"/>
  <c r="O16"/>
  <c r="O23"/>
  <c r="O37"/>
  <c r="O74"/>
  <c r="O91"/>
  <c r="O77"/>
  <c r="O50"/>
  <c r="O78"/>
  <c r="O72"/>
  <c r="O51"/>
  <c r="O65"/>
  <c r="O88"/>
  <c r="I49"/>
  <c r="I40"/>
  <c r="I57"/>
  <c r="I75"/>
  <c r="I11"/>
  <c r="I36"/>
  <c r="I68"/>
  <c r="I56"/>
  <c r="I95"/>
  <c r="I2"/>
  <c r="I72"/>
  <c r="I14"/>
  <c r="I46"/>
  <c r="I78"/>
  <c r="I37"/>
  <c r="I55"/>
  <c r="I84"/>
  <c r="I100"/>
  <c r="I48"/>
  <c r="I50"/>
  <c r="G60"/>
  <c r="G59"/>
  <c r="G58"/>
  <c r="G57"/>
  <c r="G54"/>
  <c r="G56"/>
  <c r="G55"/>
  <c r="F35"/>
  <c r="F32"/>
  <c r="F13"/>
  <c r="G24"/>
  <c r="F53"/>
  <c r="F52"/>
  <c r="F15"/>
  <c r="F34"/>
  <c r="F18"/>
  <c r="F51"/>
  <c r="F54"/>
  <c r="F8"/>
  <c r="F44"/>
  <c r="F55"/>
  <c r="C55" s="1"/>
  <c r="F10"/>
  <c r="G10"/>
  <c r="F17"/>
  <c r="F9"/>
  <c r="F38"/>
  <c r="F3"/>
  <c r="F57"/>
  <c r="C57" s="1"/>
  <c r="F58"/>
  <c r="C58" s="1"/>
  <c r="F43"/>
  <c r="F2"/>
  <c r="F27"/>
  <c r="F21"/>
  <c r="F28"/>
  <c r="F62"/>
  <c r="F60"/>
  <c r="F22"/>
  <c r="F20"/>
  <c r="F37"/>
  <c r="F25"/>
  <c r="G22"/>
  <c r="F61"/>
  <c r="F49"/>
  <c r="F65"/>
  <c r="F42"/>
  <c r="F40"/>
  <c r="F11"/>
  <c r="F31"/>
  <c r="F66"/>
  <c r="C66" s="1"/>
  <c r="F29"/>
  <c r="F12"/>
  <c r="F30"/>
  <c r="F6"/>
  <c r="F46"/>
  <c r="F19"/>
  <c r="F36"/>
  <c r="F23"/>
  <c r="F59"/>
  <c r="C59" s="1"/>
  <c r="F56"/>
  <c r="F63"/>
  <c r="F16"/>
  <c r="F4"/>
  <c r="F5"/>
  <c r="F67"/>
  <c r="C67" s="1"/>
  <c r="G48"/>
  <c r="F48"/>
  <c r="F26"/>
  <c r="F24"/>
  <c r="F45"/>
  <c r="F33"/>
  <c r="G42"/>
  <c r="F50"/>
  <c r="F64"/>
  <c r="F47"/>
  <c r="F14"/>
  <c r="F7"/>
  <c r="F41"/>
  <c r="G17"/>
  <c r="G37"/>
  <c r="G53"/>
  <c r="B16" i="2"/>
  <c r="G11" i="4"/>
  <c r="G34"/>
  <c r="G47"/>
  <c r="G36"/>
  <c r="G27"/>
  <c r="G29"/>
  <c r="G23"/>
  <c r="G8"/>
  <c r="G14"/>
  <c r="G20"/>
  <c r="G44"/>
  <c r="G41"/>
  <c r="G35"/>
  <c r="G32"/>
  <c r="G38"/>
  <c r="G18"/>
  <c r="G13"/>
  <c r="G45"/>
  <c r="G7"/>
  <c r="G39"/>
  <c r="C39" s="1"/>
  <c r="G40"/>
  <c r="G46"/>
  <c r="G26"/>
  <c r="G52"/>
  <c r="G9"/>
  <c r="G25"/>
  <c r="G3"/>
  <c r="G19"/>
  <c r="G51"/>
  <c r="G6"/>
  <c r="G12"/>
  <c r="G50"/>
  <c r="G49"/>
  <c r="G16"/>
  <c r="G28"/>
  <c r="G21"/>
  <c r="G31"/>
  <c r="G4"/>
  <c r="G33"/>
  <c r="G43"/>
  <c r="G2"/>
  <c r="G5"/>
  <c r="G15"/>
  <c r="G30"/>
  <c r="C63" l="1"/>
  <c r="D63" s="1"/>
  <c r="C65"/>
  <c r="D65" s="1"/>
  <c r="C61"/>
  <c r="D61" s="1"/>
  <c r="C64"/>
  <c r="D64" s="1"/>
  <c r="C62"/>
  <c r="D62" s="1"/>
  <c r="C56"/>
  <c r="D56" s="1"/>
  <c r="C24"/>
  <c r="D24" s="1"/>
  <c r="C48"/>
  <c r="D48" s="1"/>
  <c r="C60"/>
  <c r="D60" s="1"/>
  <c r="C54"/>
  <c r="D54" s="1"/>
  <c r="C7"/>
  <c r="D7" s="1"/>
  <c r="C47"/>
  <c r="D47" s="1"/>
  <c r="C50"/>
  <c r="D50" s="1"/>
  <c r="C33"/>
  <c r="D33" s="1"/>
  <c r="C4"/>
  <c r="D4" s="1"/>
  <c r="C36"/>
  <c r="D36" s="1"/>
  <c r="C46"/>
  <c r="D46" s="1"/>
  <c r="C30"/>
  <c r="D30" s="1"/>
  <c r="C29"/>
  <c r="D29" s="1"/>
  <c r="C31"/>
  <c r="D31" s="1"/>
  <c r="C40"/>
  <c r="D40" s="1"/>
  <c r="C25"/>
  <c r="D25" s="1"/>
  <c r="C20"/>
  <c r="D20" s="1"/>
  <c r="C28"/>
  <c r="D28" s="1"/>
  <c r="C27"/>
  <c r="D27" s="1"/>
  <c r="C43"/>
  <c r="D43" s="1"/>
  <c r="C38"/>
  <c r="D38" s="1"/>
  <c r="C17"/>
  <c r="D17" s="1"/>
  <c r="C10"/>
  <c r="D10" s="1"/>
  <c r="C44"/>
  <c r="D44" s="1"/>
  <c r="C18"/>
  <c r="D18" s="1"/>
  <c r="C53"/>
  <c r="D53" s="1"/>
  <c r="C13"/>
  <c r="D13" s="1"/>
  <c r="C35"/>
  <c r="D35" s="1"/>
  <c r="C41"/>
  <c r="D41" s="1"/>
  <c r="C14"/>
  <c r="D14" s="1"/>
  <c r="C45"/>
  <c r="D45" s="1"/>
  <c r="C26"/>
  <c r="D26" s="1"/>
  <c r="C5"/>
  <c r="D5" s="1"/>
  <c r="C16"/>
  <c r="D16" s="1"/>
  <c r="C23"/>
  <c r="D23" s="1"/>
  <c r="C19"/>
  <c r="D19" s="1"/>
  <c r="C6"/>
  <c r="D6" s="1"/>
  <c r="C12"/>
  <c r="D12" s="1"/>
  <c r="C11"/>
  <c r="D11" s="1"/>
  <c r="C42"/>
  <c r="D42" s="1"/>
  <c r="C49"/>
  <c r="D49" s="1"/>
  <c r="C37"/>
  <c r="D37" s="1"/>
  <c r="C22"/>
  <c r="D22" s="1"/>
  <c r="C21"/>
  <c r="D21" s="1"/>
  <c r="C2"/>
  <c r="D2" s="1"/>
  <c r="C3"/>
  <c r="D3" s="1"/>
  <c r="C9"/>
  <c r="D9" s="1"/>
  <c r="C8"/>
  <c r="D8" s="1"/>
  <c r="C51"/>
  <c r="D51" s="1"/>
  <c r="C34"/>
  <c r="D34" s="1"/>
  <c r="C52"/>
  <c r="D52" s="1"/>
  <c r="C32"/>
  <c r="D32" s="1"/>
  <c r="C15"/>
  <c r="D15" s="1"/>
  <c r="C68"/>
  <c r="D68" s="1"/>
  <c r="D57"/>
  <c r="D59"/>
  <c r="D55"/>
  <c r="D58"/>
  <c r="D67"/>
  <c r="D66"/>
  <c r="D39"/>
  <c r="B19" i="2" l="1"/>
  <c r="B22" l="1"/>
  <c r="A50"/>
</calcChain>
</file>

<file path=xl/sharedStrings.xml><?xml version="1.0" encoding="utf-8"?>
<sst xmlns="http://schemas.openxmlformats.org/spreadsheetml/2006/main" count="47" uniqueCount="44">
  <si>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</si>
  <si>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</si>
  <si>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</si>
  <si>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</si>
  <si>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</si>
  <si>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</si>
  <si>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</si>
  <si>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</si>
  <si>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</si>
  <si>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</si>
  <si>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</si>
  <si>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</si>
  <si>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</si>
  <si>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</si>
  <si>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</si>
  <si>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</si>
  <si>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</si>
  <si>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</si>
  <si>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</si>
  <si>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</si>
  <si>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</si>
  <si>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</si>
  <si>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</si>
  <si>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</si>
  <si>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</si>
  <si>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</si>
  <si>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</si>
  <si>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</si>
  <si>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</si>
  <si>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</si>
  <si>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</si>
  <si>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</si>
  <si>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</si>
  <si>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</si>
  <si>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</si>
  <si>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</si>
  <si>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</si>
  <si>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</si>
  <si>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</si>
  <si>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</si>
  <si>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</si>
  <si>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</si>
  <si>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</si>
  <si>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Book1</t>
  </si>
</sst>
</file>

<file path=xl/styles.xml><?xml version="1.0" encoding="utf-8"?>
<styleSheet xmlns="http://schemas.openxmlformats.org/spreadsheetml/2006/main">
  <numFmts count="3">
    <numFmt numFmtId="164" formatCode="0.0"/>
    <numFmt numFmtId="165" formatCode="0.000"/>
    <numFmt numFmtId="166" formatCode="0.0000"/>
  </numFmts>
  <fonts count="5">
    <font>
      <sz val="10"/>
      <name val="Arial"/>
    </font>
    <font>
      <vertAlign val="superscript"/>
      <sz val="10"/>
      <name val="Arial"/>
      <family val="2"/>
    </font>
    <font>
      <sz val="10"/>
      <name val="Symbol"/>
      <family val="1"/>
      <charset val="2"/>
    </font>
    <font>
      <b/>
      <sz val="10"/>
      <color indexed="10"/>
      <name val="Arial"/>
      <family val="2"/>
    </font>
    <font>
      <b/>
      <sz val="10"/>
      <name val="Arial"/>
      <family val="2"/>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1">
    <xf numFmtId="0" fontId="0" fillId="0" borderId="0"/>
  </cellStyleXfs>
  <cellXfs count="23">
    <xf numFmtId="0" fontId="0" fillId="0" borderId="0" xfId="0"/>
    <xf numFmtId="2" fontId="0" fillId="0" borderId="0" xfId="0" applyNumberFormat="1"/>
    <xf numFmtId="0" fontId="0" fillId="0" borderId="0" xfId="0" applyAlignment="1">
      <alignment horizontal="center"/>
    </xf>
    <xf numFmtId="1" fontId="0" fillId="0" borderId="0" xfId="0" applyNumberFormat="1"/>
    <xf numFmtId="1" fontId="2" fillId="0" borderId="0" xfId="0" applyNumberFormat="1" applyFont="1" applyAlignment="1">
      <alignment horizontal="center"/>
    </xf>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64" fontId="3" fillId="0" borderId="0" xfId="0" applyNumberFormat="1" applyFon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4" fillId="0" borderId="0" xfId="0" applyFont="1"/>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chartsheet" Target="chartsheets/sheet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264E-2"/>
          <c:y val="3.9215686274509803E-2"/>
          <c:w val="0.7578125"/>
          <c:h val="0.87114845938375518"/>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Data!$A$2:$A$500</c:f>
              <c:numCache>
                <c:formatCode>0.000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Data!$B$2:$B$500</c:f>
              <c:numCache>
                <c:formatCode>General</c:formatCode>
                <c:ptCount val="499"/>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Data!$A$2:$A$500</c:f>
              <c:numCache>
                <c:formatCode>0.000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Data!$C$2:$C$500</c:f>
              <c:numCache>
                <c:formatCode>0.00</c:formatCode>
                <c:ptCount val="499"/>
                <c:pt idx="0">
                  <c:v>10288.632137439277</c:v>
                </c:pt>
                <c:pt idx="1">
                  <c:v>10284.364249931974</c:v>
                </c:pt>
                <c:pt idx="2">
                  <c:v>10280.162746290423</c:v>
                </c:pt>
                <c:pt idx="3">
                  <c:v>10276.0335776757</c:v>
                </c:pt>
                <c:pt idx="4">
                  <c:v>10271.983792163275</c:v>
                </c:pt>
                <c:pt idx="5">
                  <c:v>10268.021848820465</c:v>
                </c:pt>
                <c:pt idx="6">
                  <c:v>10264.158023599941</c:v>
                </c:pt>
                <c:pt idx="7">
                  <c:v>10260.404928266496</c:v>
                </c:pt>
                <c:pt idx="8">
                  <c:v>10256.778165804681</c:v>
                </c:pt>
                <c:pt idx="9">
                  <c:v>10253.297147093544</c:v>
                </c:pt>
                <c:pt idx="10">
                  <c:v>10249.986093522994</c:v>
                </c:pt>
                <c:pt idx="11">
                  <c:v>10246.875247993801</c:v>
                </c:pt>
                <c:pt idx="12">
                  <c:v>10244.002311633703</c:v>
                </c:pt>
                <c:pt idx="13">
                  <c:v>10241.414114781172</c:v>
                </c:pt>
                <c:pt idx="14">
                  <c:v>10239.168517580529</c:v>
                </c:pt>
                <c:pt idx="15">
                  <c:v>10237.336517283167</c:v>
                </c:pt>
                <c:pt idx="16">
                  <c:v>10236.004515717848</c:v>
                </c:pt>
                <c:pt idx="17">
                  <c:v>10235.276671460473</c:v>
                </c:pt>
                <c:pt idx="18">
                  <c:v>10235.277227662338</c:v>
                </c:pt>
                <c:pt idx="19">
                  <c:v>10236.152669677793</c:v>
                </c:pt>
                <c:pt idx="20">
                  <c:v>10238.073528801735</c:v>
                </c:pt>
                <c:pt idx="21">
                  <c:v>10241.235612713377</c:v>
                </c:pt>
                <c:pt idx="22">
                  <c:v>10245.860413608541</c:v>
                </c:pt>
                <c:pt idx="23">
                  <c:v>10252.194426172369</c:v>
                </c:pt>
                <c:pt idx="24">
                  <c:v>10260.507104594661</c:v>
                </c:pt>
                <c:pt idx="25">
                  <c:v>10271.0872058564</c:v>
                </c:pt>
                <c:pt idx="26">
                  <c:v>10284.237310098375</c:v>
                </c:pt>
                <c:pt idx="27">
                  <c:v>10300.266381536328</c:v>
                </c:pt>
                <c:pt idx="28">
                  <c:v>10319.480337101855</c:v>
                </c:pt>
                <c:pt idx="29">
                  <c:v>10342.170725019523</c:v>
                </c:pt>
                <c:pt idx="30">
                  <c:v>10368.601780685518</c:v>
                </c:pt>
                <c:pt idx="31">
                  <c:v>10398.996320916027</c:v>
                </c:pt>
                <c:pt idx="32">
                  <c:v>10433.52116003479</c:v>
                </c:pt>
                <c:pt idx="33">
                  <c:v>10472.272987592778</c:v>
                </c:pt>
                <c:pt idx="34">
                  <c:v>10515.265952438385</c:v>
                </c:pt>
                <c:pt idx="35">
                  <c:v>10562.422580165017</c:v>
                </c:pt>
                <c:pt idx="36">
                  <c:v>10613.570156560239</c:v>
                </c:pt>
                <c:pt idx="37">
                  <c:v>10668.445399679089</c:v>
                </c:pt>
                <c:pt idx="38">
                  <c:v>10726.711182204999</c:v>
                </c:pt>
                <c:pt idx="39">
                  <c:v>10787.990294602521</c:v>
                </c:pt>
                <c:pt idx="40">
                  <c:v>10851.922726524335</c:v>
                </c:pt>
                <c:pt idx="41">
                  <c:v>10918.254512797803</c:v>
                </c:pt>
                <c:pt idx="42">
                  <c:v>10986.967429115441</c:v>
                </c:pt>
                <c:pt idx="43">
                  <c:v>11058.458989004575</c:v>
                </c:pt>
                <c:pt idx="44">
                  <c:v>11133.780150214287</c:v>
                </c:pt>
                <c:pt idx="45">
                  <c:v>11214.932377671414</c:v>
                </c:pt>
                <c:pt idx="46">
                  <c:v>11305.214570259057</c:v>
                </c:pt>
                <c:pt idx="47">
                  <c:v>11409.592574702137</c:v>
                </c:pt>
                <c:pt idx="48">
                  <c:v>11535.039711423353</c:v>
                </c:pt>
                <c:pt idx="49">
                  <c:v>11690.768780906572</c:v>
                </c:pt>
                <c:pt idx="50">
                  <c:v>11888.251031835904</c:v>
                </c:pt>
                <c:pt idx="51">
                  <c:v>12140.905586477846</c:v>
                </c:pt>
                <c:pt idx="52">
                  <c:v>12463.354627173294</c:v>
                </c:pt>
                <c:pt idx="53">
                  <c:v>12870.182421384221</c:v>
                </c:pt>
                <c:pt idx="54">
                  <c:v>13374.209534030086</c:v>
                </c:pt>
                <c:pt idx="55">
                  <c:v>13984.3875357501</c:v>
                </c:pt>
                <c:pt idx="56">
                  <c:v>14703.515696417668</c:v>
                </c:pt>
                <c:pt idx="57">
                  <c:v>15526.054615268067</c:v>
                </c:pt>
                <c:pt idx="58">
                  <c:v>16436.335729252609</c:v>
                </c:pt>
                <c:pt idx="59">
                  <c:v>17407.422784826507</c:v>
                </c:pt>
                <c:pt idx="60">
                  <c:v>18400.786504951186</c:v>
                </c:pt>
                <c:pt idx="61">
                  <c:v>19366.887228609783</c:v>
                </c:pt>
                <c:pt idx="62">
                  <c:v>20246.881994325267</c:v>
                </c:pt>
                <c:pt idx="63">
                  <c:v>20976.11568633627</c:v>
                </c:pt>
                <c:pt idx="64">
                  <c:v>21490.565743256389</c:v>
                </c:pt>
                <c:pt idx="65">
                  <c:v>21736.945057849389</c:v>
                </c:pt>
                <c:pt idx="66">
                  <c:v>21684.60854573745</c:v>
                </c:pt>
                <c:pt idx="67">
                  <c:v>21334.043987975456</c:v>
                </c:pt>
                <c:pt idx="68">
                  <c:v>20716.820002805882</c:v>
                </c:pt>
                <c:pt idx="69">
                  <c:v>19887.030427230009</c:v>
                </c:pt>
                <c:pt idx="70">
                  <c:v>18909.397709446079</c:v>
                </c:pt>
                <c:pt idx="71">
                  <c:v>17849.223242096039</c:v>
                </c:pt>
                <c:pt idx="72">
                  <c:v>16765.994304638651</c:v>
                </c:pt>
                <c:pt idx="73">
                  <c:v>15709.924248784306</c:v>
                </c:pt>
                <c:pt idx="74">
                  <c:v>14720.258512348182</c:v>
                </c:pt>
                <c:pt idx="75">
                  <c:v>13824.692352110193</c:v>
                </c:pt>
                <c:pt idx="76">
                  <c:v>13039.684988529389</c:v>
                </c:pt>
                <c:pt idx="77">
                  <c:v>12371.572914229961</c:v>
                </c:pt>
                <c:pt idx="78">
                  <c:v>11818.318436451225</c:v>
                </c:pt>
                <c:pt idx="79">
                  <c:v>11371.637781707666</c:v>
                </c:pt>
                <c:pt idx="80">
                  <c:v>11019.215641205856</c:v>
                </c:pt>
                <c:pt idx="81">
                  <c:v>10746.742736454957</c:v>
                </c:pt>
                <c:pt idx="82">
                  <c:v>10539.589596790269</c:v>
                </c:pt>
                <c:pt idx="83">
                  <c:v>10384.024036596616</c:v>
                </c:pt>
                <c:pt idx="84">
                  <c:v>10267.966709445709</c:v>
                </c:pt>
                <c:pt idx="85">
                  <c:v>10181.34305687809</c:v>
                </c:pt>
                <c:pt idx="86">
                  <c:v>10116.125502905545</c:v>
                </c:pt>
                <c:pt idx="87">
                  <c:v>10066.169277463048</c:v>
                </c:pt>
                <c:pt idx="88">
                  <c:v>10026.935740504743</c:v>
                </c:pt>
                <c:pt idx="89">
                  <c:v>9995.176854231926</c:v>
                </c:pt>
                <c:pt idx="90">
                  <c:v>9968.6309018285156</c:v>
                </c:pt>
                <c:pt idx="91">
                  <c:v>9945.7579044455415</c:v>
                </c:pt>
                <c:pt idx="92">
                  <c:v>9925.5262620684171</c:v>
                </c:pt>
                <c:pt idx="93">
                  <c:v>9907.2507401784642</c:v>
                </c:pt>
                <c:pt idx="94">
                  <c:v>9890.4755063431276</c:v>
                </c:pt>
                <c:pt idx="95">
                  <c:v>9874.8932962210438</c:v>
                </c:pt>
                <c:pt idx="96">
                  <c:v>9860.2916323555692</c:v>
                </c:pt>
                <c:pt idx="97">
                  <c:v>9846.518191277386</c:v>
                </c:pt>
                <c:pt idx="98">
                  <c:v>9833.4590898018032</c:v>
                </c:pt>
                <c:pt idx="99">
                  <c:v>9821.025533520693</c:v>
                </c:pt>
              </c:numCache>
            </c:numRef>
          </c:yVal>
        </c:ser>
        <c:axId val="55211520"/>
        <c:axId val="55213440"/>
      </c:scatterChart>
      <c:valAx>
        <c:axId val="55211520"/>
        <c:scaling>
          <c:orientation val="minMax"/>
        </c:scaling>
        <c:axPos val="b"/>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213440"/>
        <c:crosses val="autoZero"/>
        <c:crossBetween val="midCat"/>
      </c:valAx>
      <c:valAx>
        <c:axId val="55213440"/>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211520"/>
        <c:crosses val="autoZero"/>
        <c:crossBetween val="midCat"/>
      </c:valAx>
      <c:spPr>
        <a:noFill/>
        <a:ln w="12700">
          <a:solidFill>
            <a:srgbClr val="808080"/>
          </a:solidFill>
          <a:prstDash val="solid"/>
        </a:ln>
      </c:spPr>
    </c:plotArea>
    <c:legend>
      <c:legendPos val="r"/>
      <c:layout>
        <c:manualLayout>
          <c:xMode val="edge"/>
          <c:yMode val="edge"/>
          <c:x val="0.818359375"/>
          <c:y val="2.2408963585434257E-2"/>
          <c:w val="0.173828125"/>
          <c:h val="0.43137372534315666"/>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1935"/>
          <c:y val="3.6158192090395481E-2"/>
        </c:manualLayout>
      </c:layout>
      <c:spPr>
        <a:noFill/>
        <a:ln w="25400">
          <a:noFill/>
        </a:ln>
      </c:spPr>
    </c:title>
    <c:plotArea>
      <c:layout>
        <c:manualLayout>
          <c:layoutTarget val="inner"/>
          <c:xMode val="edge"/>
          <c:yMode val="edge"/>
          <c:x val="0.10306790761806266"/>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Data!$B$2:$B$1001</c:f>
              <c:numCache>
                <c:formatCode>General</c:formatCode>
                <c:ptCount val="1000"/>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Data!$E$2:$E$1001</c:f>
              <c:numCache>
                <c:formatCode>0</c:formatCode>
                <c:ptCount val="1000"/>
                <c:pt idx="0">
                  <c:v>10250</c:v>
                </c:pt>
                <c:pt idx="1">
                  <c:v>10244.464646464645</c:v>
                </c:pt>
                <c:pt idx="2">
                  <c:v>10238.92929292929</c:v>
                </c:pt>
                <c:pt idx="3">
                  <c:v>10233.393939393942</c:v>
                </c:pt>
                <c:pt idx="4">
                  <c:v>10227.858585858587</c:v>
                </c:pt>
                <c:pt idx="5">
                  <c:v>10222.323232323231</c:v>
                </c:pt>
                <c:pt idx="6">
                  <c:v>10216.787878787878</c:v>
                </c:pt>
                <c:pt idx="7">
                  <c:v>10211.252525252523</c:v>
                </c:pt>
                <c:pt idx="8">
                  <c:v>10205.717171717173</c:v>
                </c:pt>
                <c:pt idx="9">
                  <c:v>10200.18181818182</c:v>
                </c:pt>
                <c:pt idx="10">
                  <c:v>10194.646464646465</c:v>
                </c:pt>
                <c:pt idx="11">
                  <c:v>10189.111111111109</c:v>
                </c:pt>
                <c:pt idx="12">
                  <c:v>10183.575757575754</c:v>
                </c:pt>
                <c:pt idx="13">
                  <c:v>10178.040404040406</c:v>
                </c:pt>
                <c:pt idx="14">
                  <c:v>10172.505050505051</c:v>
                </c:pt>
                <c:pt idx="15">
                  <c:v>10166.969696969696</c:v>
                </c:pt>
                <c:pt idx="16">
                  <c:v>10161.434343434343</c:v>
                </c:pt>
                <c:pt idx="17">
                  <c:v>10155.898989898988</c:v>
                </c:pt>
                <c:pt idx="18">
                  <c:v>10150.363636363638</c:v>
                </c:pt>
                <c:pt idx="19">
                  <c:v>10144.828282828285</c:v>
                </c:pt>
                <c:pt idx="20">
                  <c:v>10139.292929292929</c:v>
                </c:pt>
                <c:pt idx="21">
                  <c:v>10133.757575757574</c:v>
                </c:pt>
                <c:pt idx="22">
                  <c:v>10128.222222222219</c:v>
                </c:pt>
                <c:pt idx="23">
                  <c:v>10122.686868686871</c:v>
                </c:pt>
                <c:pt idx="24">
                  <c:v>10117.151515151516</c:v>
                </c:pt>
                <c:pt idx="25">
                  <c:v>10111.616161616161</c:v>
                </c:pt>
                <c:pt idx="26">
                  <c:v>10106.080808080806</c:v>
                </c:pt>
                <c:pt idx="27">
                  <c:v>10100.545454545452</c:v>
                </c:pt>
                <c:pt idx="28">
                  <c:v>10095.010101010103</c:v>
                </c:pt>
                <c:pt idx="29">
                  <c:v>10089.474747474749</c:v>
                </c:pt>
                <c:pt idx="30">
                  <c:v>10083.939393939394</c:v>
                </c:pt>
                <c:pt idx="31">
                  <c:v>10078.404040404039</c:v>
                </c:pt>
                <c:pt idx="32">
                  <c:v>10072.868686868684</c:v>
                </c:pt>
                <c:pt idx="33">
                  <c:v>10067.333333333336</c:v>
                </c:pt>
                <c:pt idx="34">
                  <c:v>10061.797979797981</c:v>
                </c:pt>
                <c:pt idx="35">
                  <c:v>10056.262626262625</c:v>
                </c:pt>
                <c:pt idx="36">
                  <c:v>10050.72727272727</c:v>
                </c:pt>
                <c:pt idx="37">
                  <c:v>10045.191919191917</c:v>
                </c:pt>
                <c:pt idx="38">
                  <c:v>10039.656565656567</c:v>
                </c:pt>
                <c:pt idx="39">
                  <c:v>10034.121212121212</c:v>
                </c:pt>
                <c:pt idx="40">
                  <c:v>10028.585858585859</c:v>
                </c:pt>
                <c:pt idx="41">
                  <c:v>10023.050505050503</c:v>
                </c:pt>
                <c:pt idx="42">
                  <c:v>10017.515151515148</c:v>
                </c:pt>
                <c:pt idx="43">
                  <c:v>10011.9797979798</c:v>
                </c:pt>
                <c:pt idx="44">
                  <c:v>10006.444444444445</c:v>
                </c:pt>
                <c:pt idx="45">
                  <c:v>10000.90909090909</c:v>
                </c:pt>
                <c:pt idx="46">
                  <c:v>9995.3737373737349</c:v>
                </c:pt>
                <c:pt idx="47">
                  <c:v>9989.8383838383816</c:v>
                </c:pt>
                <c:pt idx="48">
                  <c:v>9984.3030303030318</c:v>
                </c:pt>
                <c:pt idx="49">
                  <c:v>9978.7676767676767</c:v>
                </c:pt>
                <c:pt idx="50">
                  <c:v>9973.2323232323233</c:v>
                </c:pt>
                <c:pt idx="51">
                  <c:v>9967.6969696969682</c:v>
                </c:pt>
                <c:pt idx="52">
                  <c:v>9962.161616161613</c:v>
                </c:pt>
                <c:pt idx="53">
                  <c:v>9956.6262626262651</c:v>
                </c:pt>
                <c:pt idx="54">
                  <c:v>9951.0909090909099</c:v>
                </c:pt>
                <c:pt idx="55">
                  <c:v>9945.5555555555547</c:v>
                </c:pt>
                <c:pt idx="56">
                  <c:v>9940.0202020201996</c:v>
                </c:pt>
                <c:pt idx="57">
                  <c:v>9934.4848484848444</c:v>
                </c:pt>
                <c:pt idx="58">
                  <c:v>9928.9494949494965</c:v>
                </c:pt>
                <c:pt idx="59">
                  <c:v>9923.4141414141413</c:v>
                </c:pt>
                <c:pt idx="60">
                  <c:v>9917.878787878788</c:v>
                </c:pt>
                <c:pt idx="61">
                  <c:v>9912.3434343434328</c:v>
                </c:pt>
                <c:pt idx="62">
                  <c:v>9906.8080808080776</c:v>
                </c:pt>
                <c:pt idx="63">
                  <c:v>9901.2727272727298</c:v>
                </c:pt>
                <c:pt idx="64">
                  <c:v>9895.7373737373746</c:v>
                </c:pt>
                <c:pt idx="65">
                  <c:v>9890.2020202020194</c:v>
                </c:pt>
                <c:pt idx="66">
                  <c:v>9884.6666666666642</c:v>
                </c:pt>
                <c:pt idx="67">
                  <c:v>9879.1313131313091</c:v>
                </c:pt>
                <c:pt idx="68">
                  <c:v>9873.5959595959612</c:v>
                </c:pt>
                <c:pt idx="69">
                  <c:v>9868.060606060606</c:v>
                </c:pt>
                <c:pt idx="70">
                  <c:v>9862.5252525252508</c:v>
                </c:pt>
                <c:pt idx="71">
                  <c:v>9856.9898989898975</c:v>
                </c:pt>
                <c:pt idx="72">
                  <c:v>9851.4545454545423</c:v>
                </c:pt>
                <c:pt idx="73">
                  <c:v>9845.9191919191944</c:v>
                </c:pt>
                <c:pt idx="74">
                  <c:v>9840.3838383838392</c:v>
                </c:pt>
                <c:pt idx="75">
                  <c:v>9834.8484848484841</c:v>
                </c:pt>
                <c:pt idx="76">
                  <c:v>9829.3131313131289</c:v>
                </c:pt>
                <c:pt idx="77">
                  <c:v>9823.7777777777737</c:v>
                </c:pt>
                <c:pt idx="78">
                  <c:v>9818.2424242424258</c:v>
                </c:pt>
                <c:pt idx="79">
                  <c:v>9812.7070707070707</c:v>
                </c:pt>
                <c:pt idx="80">
                  <c:v>9807.1717171717155</c:v>
                </c:pt>
                <c:pt idx="81">
                  <c:v>9801.6363636363621</c:v>
                </c:pt>
                <c:pt idx="82">
                  <c:v>9796.101010101007</c:v>
                </c:pt>
                <c:pt idx="83">
                  <c:v>9790.5656565656573</c:v>
                </c:pt>
                <c:pt idx="84">
                  <c:v>9785.0303030303039</c:v>
                </c:pt>
                <c:pt idx="85">
                  <c:v>9779.4949494949487</c:v>
                </c:pt>
                <c:pt idx="86">
                  <c:v>9773.9595959595936</c:v>
                </c:pt>
                <c:pt idx="87">
                  <c:v>9768.4242424242384</c:v>
                </c:pt>
                <c:pt idx="88">
                  <c:v>9762.8888888888905</c:v>
                </c:pt>
                <c:pt idx="89">
                  <c:v>9757.3535353535353</c:v>
                </c:pt>
                <c:pt idx="90">
                  <c:v>9751.8181818181802</c:v>
                </c:pt>
                <c:pt idx="91">
                  <c:v>9746.282828282825</c:v>
                </c:pt>
                <c:pt idx="92">
                  <c:v>9740.7474747474716</c:v>
                </c:pt>
                <c:pt idx="93">
                  <c:v>9735.2121212121219</c:v>
                </c:pt>
                <c:pt idx="94">
                  <c:v>9729.6767676767686</c:v>
                </c:pt>
                <c:pt idx="95">
                  <c:v>9724.1414141414134</c:v>
                </c:pt>
                <c:pt idx="96">
                  <c:v>9718.6060606060582</c:v>
                </c:pt>
                <c:pt idx="97">
                  <c:v>9713.0707070707031</c:v>
                </c:pt>
                <c:pt idx="98">
                  <c:v>9707.5353535353552</c:v>
                </c:pt>
                <c:pt idx="99">
                  <c:v>9702</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Data!$F$2:$F$1001</c:f>
              <c:numCache>
                <c:formatCode>0</c:formatCode>
                <c:ptCount val="1000"/>
                <c:pt idx="0">
                  <c:v>29.795638056694582</c:v>
                </c:pt>
                <c:pt idx="1">
                  <c:v>30.714362666102804</c:v>
                </c:pt>
                <c:pt idx="2">
                  <c:v>31.67604028569156</c:v>
                </c:pt>
                <c:pt idx="3">
                  <c:v>32.683377387465143</c:v>
                </c:pt>
                <c:pt idx="4">
                  <c:v>33.739295893315479</c:v>
                </c:pt>
                <c:pt idx="5">
                  <c:v>34.846953973416589</c:v>
                </c:pt>
                <c:pt idx="6">
                  <c:v>36.009769211251644</c:v>
                </c:pt>
                <c:pt idx="7">
                  <c:v>37.231444446112825</c:v>
                </c:pt>
                <c:pt idx="8">
                  <c:v>38.515996650314435</c:v>
                </c:pt>
                <c:pt idx="9">
                  <c:v>39.86778925249925</c:v>
                </c:pt>
                <c:pt idx="10">
                  <c:v>41.291568381721973</c:v>
                </c:pt>
                <c:pt idx="11">
                  <c:v>42.792503581310868</c:v>
                </c:pt>
                <c:pt idx="12">
                  <c:v>44.376233628745624</c:v>
                </c:pt>
                <c:pt idx="13">
                  <c:v>46.048918200662506</c:v>
                </c:pt>
                <c:pt idx="14">
                  <c:v>47.817296243574241</c:v>
                </c:pt>
                <c:pt idx="15">
                  <c:v>49.688752054700615</c:v>
                </c:pt>
                <c:pt idx="16">
                  <c:v>51.671390248172919</c:v>
                </c:pt>
                <c:pt idx="17">
                  <c:v>53.774120985198749</c:v>
                </c:pt>
                <c:pt idx="18">
                  <c:v>56.006757089795762</c:v>
                </c:pt>
                <c:pt idx="19">
                  <c:v>58.380124963158558</c:v>
                </c:pt>
                <c:pt idx="20">
                  <c:v>60.906191561179583</c:v>
                </c:pt>
                <c:pt idx="21">
                  <c:v>63.598210127309287</c:v>
                </c:pt>
                <c:pt idx="22">
                  <c:v>66.470887900427343</c:v>
                </c:pt>
                <c:pt idx="23">
                  <c:v>69.540579684485166</c:v>
                </c:pt>
                <c:pt idx="24">
                  <c:v>72.825512044601794</c:v>
                </c:pt>
                <c:pt idx="25">
                  <c:v>76.346044121250358</c:v>
                </c:pt>
                <c:pt idx="26">
                  <c:v>80.124972907508365</c:v>
                </c:pt>
                <c:pt idx="27">
                  <c:v>84.18789387283006</c:v>
                </c:pt>
                <c:pt idx="28">
                  <c:v>88.563633155613331</c:v>
                </c:pt>
                <c:pt idx="29">
                  <c:v>93.284777353155604</c:v>
                </c:pt>
                <c:pt idx="30">
                  <c:v>98.388345287516373</c:v>
                </c:pt>
                <c:pt idx="31">
                  <c:v>103.91668038772826</c:v>
                </c:pt>
                <c:pt idx="32">
                  <c:v>109.9187052298133</c:v>
                </c:pt>
                <c:pt idx="33">
                  <c:v>116.45179219391446</c:v>
                </c:pt>
                <c:pt idx="34">
                  <c:v>123.58469837676509</c:v>
                </c:pt>
                <c:pt idx="35">
                  <c:v>131.40233513936127</c:v>
                </c:pt>
                <c:pt idx="36">
                  <c:v>140.01365345237883</c:v>
                </c:pt>
                <c:pt idx="37">
                  <c:v>149.56469421708874</c:v>
                </c:pt>
                <c:pt idx="38">
                  <c:v>160.25993784046963</c:v>
                </c:pt>
                <c:pt idx="39">
                  <c:v>172.39650665285902</c:v>
                </c:pt>
                <c:pt idx="40">
                  <c:v>186.41744664462442</c:v>
                </c:pt>
                <c:pt idx="41">
                  <c:v>202.9919880036995</c:v>
                </c:pt>
                <c:pt idx="42">
                  <c:v>223.1318475752386</c:v>
                </c:pt>
                <c:pt idx="43">
                  <c:v>248.3524621866317</c:v>
                </c:pt>
                <c:pt idx="44">
                  <c:v>280.88538684811311</c:v>
                </c:pt>
                <c:pt idx="45">
                  <c:v>323.94163157780093</c:v>
                </c:pt>
                <c:pt idx="46">
                  <c:v>382.014257373249</c:v>
                </c:pt>
                <c:pt idx="47">
                  <c:v>461.19158190134789</c:v>
                </c:pt>
                <c:pt idx="48">
                  <c:v>569.43068193114334</c:v>
                </c:pt>
                <c:pt idx="49">
                  <c:v>716.71736849744241</c:v>
                </c:pt>
                <c:pt idx="50">
                  <c:v>915.01870860358076</c:v>
                </c:pt>
                <c:pt idx="51">
                  <c:v>1177.9248811394248</c:v>
                </c:pt>
                <c:pt idx="52">
                  <c:v>1519.8870118225034</c:v>
                </c:pt>
                <c:pt idx="53">
                  <c:v>1954.9935497955494</c:v>
                </c:pt>
                <c:pt idx="54">
                  <c:v>2495.2920494271016</c:v>
                </c:pt>
                <c:pt idx="55">
                  <c:v>3148.7503250100235</c:v>
                </c:pt>
                <c:pt idx="56">
                  <c:v>3917.0451754757391</c:v>
                </c:pt>
                <c:pt idx="57">
                  <c:v>4793.4430379450787</c:v>
                </c:pt>
                <c:pt idx="58">
                  <c:v>5761.0658042780569</c:v>
                </c:pt>
                <c:pt idx="59">
                  <c:v>6791.7966236687689</c:v>
                </c:pt>
                <c:pt idx="60">
                  <c:v>7845.9882957785458</c:v>
                </c:pt>
                <c:pt idx="61">
                  <c:v>8873.0712184379026</c:v>
                </c:pt>
                <c:pt idx="62">
                  <c:v>9813.2792348092244</c:v>
                </c:pt>
                <c:pt idx="63">
                  <c:v>10601.154172793458</c:v>
                </c:pt>
                <c:pt idx="64">
                  <c:v>11171.999139138425</c:v>
                </c:pt>
                <c:pt idx="65">
                  <c:v>11471.985418884338</c:v>
                </c:pt>
                <c:pt idx="66">
                  <c:v>11470.058604807145</c:v>
                </c:pt>
                <c:pt idx="67">
                  <c:v>11166.424812778621</c:v>
                </c:pt>
                <c:pt idx="68">
                  <c:v>10592.490275273627</c:v>
                </c:pt>
                <c:pt idx="69">
                  <c:v>9802.294221045142</c:v>
                </c:pt>
                <c:pt idx="70">
                  <c:v>8860.598415462222</c:v>
                </c:pt>
                <c:pt idx="71">
                  <c:v>7832.8221429145224</c:v>
                </c:pt>
                <c:pt idx="72">
                  <c:v>6778.6331562479709</c:v>
                </c:pt>
                <c:pt idx="73">
                  <c:v>5748.4720237470656</c:v>
                </c:pt>
                <c:pt idx="74">
                  <c:v>4781.8431448542806</c:v>
                </c:pt>
                <c:pt idx="75">
                  <c:v>3906.7188671427193</c:v>
                </c:pt>
                <c:pt idx="76">
                  <c:v>3139.8417798177152</c:v>
                </c:pt>
                <c:pt idx="77">
                  <c:v>2487.8281586511735</c:v>
                </c:pt>
                <c:pt idx="78">
                  <c:v>1948.9087087229032</c:v>
                </c:pt>
                <c:pt idx="79">
                  <c:v>1515.0508841721028</c:v>
                </c:pt>
                <c:pt idx="80">
                  <c:v>1174.1695160865145</c:v>
                </c:pt>
                <c:pt idx="81">
                  <c:v>912.16211093224388</c:v>
                </c:pt>
                <c:pt idx="82">
                  <c:v>714.58175248035604</c:v>
                </c:pt>
                <c:pt idx="83">
                  <c:v>567.85481945467234</c:v>
                </c:pt>
                <c:pt idx="84">
                  <c:v>460.03762438007243</c:v>
                </c:pt>
                <c:pt idx="85">
                  <c:v>381.17003912437042</c:v>
                </c:pt>
                <c:pt idx="86">
                  <c:v>323.31973611404828</c:v>
                </c:pt>
                <c:pt idx="87">
                  <c:v>280.42024249870724</c:v>
                </c:pt>
                <c:pt idx="88">
                  <c:v>247.99653118664835</c:v>
                </c:pt>
                <c:pt idx="89">
                  <c:v>222.85168557701039</c:v>
                </c:pt>
                <c:pt idx="90">
                  <c:v>202.7646595155289</c:v>
                </c:pt>
                <c:pt idx="91">
                  <c:v>186.22753650349131</c:v>
                </c:pt>
                <c:pt idx="92">
                  <c:v>172.233789883752</c:v>
                </c:pt>
                <c:pt idx="93">
                  <c:v>160.11766039848266</c:v>
                </c:pt>
                <c:pt idx="94">
                  <c:v>149.43836306554886</c:v>
                </c:pt>
                <c:pt idx="95">
                  <c:v>139.90021955581372</c:v>
                </c:pt>
                <c:pt idx="96">
                  <c:v>131.29966133813917</c:v>
                </c:pt>
                <c:pt idx="97">
                  <c:v>123.49122331238996</c:v>
                </c:pt>
                <c:pt idx="98">
                  <c:v>116.36632319100568</c:v>
                </c:pt>
                <c:pt idx="99">
                  <c:v>109.84029271946821</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Data!$G$2:$G$1001</c:f>
              <c:numCache>
                <c:formatCode>0</c:formatCode>
                <c:ptCount val="1000"/>
                <c:pt idx="0">
                  <c:v>8.8364993825840319</c:v>
                </c:pt>
                <c:pt idx="1">
                  <c:v>9.1852408012254347</c:v>
                </c:pt>
                <c:pt idx="2">
                  <c:v>9.5574130754422963</c:v>
                </c:pt>
                <c:pt idx="3">
                  <c:v>9.9562608942928801</c:v>
                </c:pt>
                <c:pt idx="4">
                  <c:v>10.385910411372782</c:v>
                </c:pt>
                <c:pt idx="5">
                  <c:v>10.851662523816234</c:v>
                </c:pt>
                <c:pt idx="6">
                  <c:v>11.360375600811087</c:v>
                </c:pt>
                <c:pt idx="7">
                  <c:v>11.920958567859346</c:v>
                </c:pt>
                <c:pt idx="8">
                  <c:v>12.544997437193505</c:v>
                </c:pt>
                <c:pt idx="9">
                  <c:v>13.247539659225891</c:v>
                </c:pt>
                <c:pt idx="10">
                  <c:v>14.04806049480591</c:v>
                </c:pt>
                <c:pt idx="11">
                  <c:v>14.971633301380427</c:v>
                </c:pt>
                <c:pt idx="12">
                  <c:v>16.050320429203929</c:v>
                </c:pt>
                <c:pt idx="13">
                  <c:v>17.324792540102251</c:v>
                </c:pt>
                <c:pt idx="14">
                  <c:v>18.846170831903478</c:v>
                </c:pt>
                <c:pt idx="15">
                  <c:v>20.678068258771287</c:v>
                </c:pt>
                <c:pt idx="16">
                  <c:v>22.898782035332911</c:v>
                </c:pt>
                <c:pt idx="17">
                  <c:v>25.603560576285723</c:v>
                </c:pt>
                <c:pt idx="18">
                  <c:v>28.906834208905181</c:v>
                </c:pt>
                <c:pt idx="19">
                  <c:v>32.944261886350873</c:v>
                </c:pt>
                <c:pt idx="20">
                  <c:v>37.87440794762577</c:v>
                </c:pt>
                <c:pt idx="21">
                  <c:v>43.879826828493037</c:v>
                </c:pt>
                <c:pt idx="22">
                  <c:v>51.167303485895111</c:v>
                </c:pt>
                <c:pt idx="23">
                  <c:v>59.966977801014714</c:v>
                </c:pt>
                <c:pt idx="24">
                  <c:v>70.530077398543298</c:v>
                </c:pt>
                <c:pt idx="25">
                  <c:v>83.125000118988382</c:v>
                </c:pt>
                <c:pt idx="26">
                  <c:v>98.031529110062166</c:v>
                </c:pt>
                <c:pt idx="27">
                  <c:v>115.5330331180471</c:v>
                </c:pt>
                <c:pt idx="28">
                  <c:v>135.90660293613959</c:v>
                </c:pt>
                <c:pt idx="29">
                  <c:v>159.41120019161849</c:v>
                </c:pt>
                <c:pt idx="30">
                  <c:v>186.27404145860709</c:v>
                </c:pt>
                <c:pt idx="31">
                  <c:v>216.67560012425974</c:v>
                </c:pt>
                <c:pt idx="32">
                  <c:v>250.73376793629438</c:v>
                </c:pt>
                <c:pt idx="33">
                  <c:v>288.48786206552683</c:v>
                </c:pt>
                <c:pt idx="34">
                  <c:v>329.88327426364026</c:v>
                </c:pt>
                <c:pt idx="35">
                  <c:v>374.75761876303073</c:v>
                </c:pt>
                <c:pt idx="36">
                  <c:v>422.82923038058965</c:v>
                </c:pt>
                <c:pt idx="37">
                  <c:v>473.68878627008417</c:v>
                </c:pt>
                <c:pt idx="38">
                  <c:v>526.79467870796202</c:v>
                </c:pt>
                <c:pt idx="39">
                  <c:v>581.47257582844873</c:v>
                </c:pt>
                <c:pt idx="40">
                  <c:v>636.91942129385291</c:v>
                </c:pt>
                <c:pt idx="41">
                  <c:v>692.21201974359928</c:v>
                </c:pt>
                <c:pt idx="42">
                  <c:v>746.32043002505497</c:v>
                </c:pt>
                <c:pt idx="43">
                  <c:v>798.12672883814469</c:v>
                </c:pt>
                <c:pt idx="44">
                  <c:v>846.45031892172824</c:v>
                </c:pt>
                <c:pt idx="45">
                  <c:v>890.0816551845212</c:v>
                </c:pt>
                <c:pt idx="46">
                  <c:v>927.82657551207456</c:v>
                </c:pt>
                <c:pt idx="47">
                  <c:v>958.56260896240735</c:v>
                </c:pt>
                <c:pt idx="48">
                  <c:v>981.30599918917744</c:v>
                </c:pt>
                <c:pt idx="49">
                  <c:v>995.28373564145375</c:v>
                </c:pt>
                <c:pt idx="50">
                  <c:v>1000</c:v>
                </c:pt>
                <c:pt idx="51">
                  <c:v>995.28373564145375</c:v>
                </c:pt>
                <c:pt idx="52">
                  <c:v>981.30599918917744</c:v>
                </c:pt>
                <c:pt idx="53">
                  <c:v>958.56260896240735</c:v>
                </c:pt>
                <c:pt idx="54">
                  <c:v>927.82657551207456</c:v>
                </c:pt>
                <c:pt idx="55">
                  <c:v>890.0816551845212</c:v>
                </c:pt>
                <c:pt idx="56">
                  <c:v>846.45031892172824</c:v>
                </c:pt>
                <c:pt idx="57">
                  <c:v>798.12672883814469</c:v>
                </c:pt>
                <c:pt idx="58">
                  <c:v>746.32043002505497</c:v>
                </c:pt>
                <c:pt idx="59">
                  <c:v>692.21201974359928</c:v>
                </c:pt>
                <c:pt idx="60">
                  <c:v>636.91942129385291</c:v>
                </c:pt>
                <c:pt idx="61">
                  <c:v>581.47257582844873</c:v>
                </c:pt>
                <c:pt idx="62">
                  <c:v>526.79467870796202</c:v>
                </c:pt>
                <c:pt idx="63">
                  <c:v>473.68878627008417</c:v>
                </c:pt>
                <c:pt idx="64">
                  <c:v>422.82923038058965</c:v>
                </c:pt>
                <c:pt idx="65">
                  <c:v>374.75761876303073</c:v>
                </c:pt>
                <c:pt idx="66">
                  <c:v>329.88327426364026</c:v>
                </c:pt>
                <c:pt idx="67">
                  <c:v>288.48786206552683</c:v>
                </c:pt>
                <c:pt idx="68">
                  <c:v>250.73376793629438</c:v>
                </c:pt>
                <c:pt idx="69">
                  <c:v>216.67560012425974</c:v>
                </c:pt>
                <c:pt idx="70">
                  <c:v>186.27404145860709</c:v>
                </c:pt>
                <c:pt idx="71">
                  <c:v>159.41120019161849</c:v>
                </c:pt>
                <c:pt idx="72">
                  <c:v>135.90660293613959</c:v>
                </c:pt>
                <c:pt idx="73">
                  <c:v>115.5330331180471</c:v>
                </c:pt>
                <c:pt idx="74">
                  <c:v>98.031529110062166</c:v>
                </c:pt>
                <c:pt idx="75">
                  <c:v>83.125000118988382</c:v>
                </c:pt>
                <c:pt idx="76">
                  <c:v>70.530077398543298</c:v>
                </c:pt>
                <c:pt idx="77">
                  <c:v>59.966977801014714</c:v>
                </c:pt>
                <c:pt idx="78">
                  <c:v>51.167303485895111</c:v>
                </c:pt>
                <c:pt idx="79">
                  <c:v>43.879826828493037</c:v>
                </c:pt>
                <c:pt idx="80">
                  <c:v>37.87440794762577</c:v>
                </c:pt>
                <c:pt idx="81">
                  <c:v>32.944261886350873</c:v>
                </c:pt>
                <c:pt idx="82">
                  <c:v>28.906834208905181</c:v>
                </c:pt>
                <c:pt idx="83">
                  <c:v>25.603560576285723</c:v>
                </c:pt>
                <c:pt idx="84">
                  <c:v>22.898782035332911</c:v>
                </c:pt>
                <c:pt idx="85">
                  <c:v>20.678068258771287</c:v>
                </c:pt>
                <c:pt idx="86">
                  <c:v>18.846170831903478</c:v>
                </c:pt>
                <c:pt idx="87">
                  <c:v>17.324792540102251</c:v>
                </c:pt>
                <c:pt idx="88">
                  <c:v>16.050320429203929</c:v>
                </c:pt>
                <c:pt idx="89">
                  <c:v>14.971633301380427</c:v>
                </c:pt>
                <c:pt idx="90">
                  <c:v>14.04806049480591</c:v>
                </c:pt>
                <c:pt idx="91">
                  <c:v>13.247539659225891</c:v>
                </c:pt>
                <c:pt idx="92">
                  <c:v>12.544997437193505</c:v>
                </c:pt>
                <c:pt idx="93">
                  <c:v>11.920958567859346</c:v>
                </c:pt>
                <c:pt idx="94">
                  <c:v>11.360375600811087</c:v>
                </c:pt>
                <c:pt idx="95">
                  <c:v>10.851662523816234</c:v>
                </c:pt>
                <c:pt idx="96">
                  <c:v>10.385910411372782</c:v>
                </c:pt>
                <c:pt idx="97">
                  <c:v>9.9562608942928801</c:v>
                </c:pt>
                <c:pt idx="98">
                  <c:v>9.5574130754422963</c:v>
                </c:pt>
                <c:pt idx="99">
                  <c:v>9.1852408012254347</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Data!$H$2:$H$1001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Data!$I$2:$I$1001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Data!$J$2:$J$1001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axId val="131998848"/>
        <c:axId val="132000768"/>
      </c:scatterChart>
      <c:valAx>
        <c:axId val="131998848"/>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2000768"/>
        <c:crosses val="autoZero"/>
        <c:crossBetween val="midCat"/>
      </c:valAx>
      <c:valAx>
        <c:axId val="132000768"/>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1998848"/>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458"/>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52E-2"/>
          <c:y val="0.12372881355932204"/>
          <c:w val="0.78352292312995442"/>
          <c:h val="0.76779661016949463"/>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Shirley!$B$2:$B$500</c:f>
              <c:numCache>
                <c:formatCode>General</c:formatCode>
                <c:ptCount val="499"/>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Shirley!$D$2:$D$500</c:f>
              <c:numCache>
                <c:formatCode>General</c:formatCode>
                <c:ptCount val="499"/>
                <c:pt idx="0">
                  <c:v>10354</c:v>
                </c:pt>
                <c:pt idx="1">
                  <c:v>10316</c:v>
                </c:pt>
                <c:pt idx="2">
                  <c:v>10353.917626638073</c:v>
                </c:pt>
                <c:pt idx="3">
                  <c:v>10353.863628481764</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10353.799626941352</c:v>
                </c:pt>
                <c:pt idx="24">
                  <c:v>10288</c:v>
                </c:pt>
                <c:pt idx="25">
                  <c:v>10309</c:v>
                </c:pt>
                <c:pt idx="26">
                  <c:v>10353.697043950526</c:v>
                </c:pt>
                <c:pt idx="27">
                  <c:v>10353.353705469313</c:v>
                </c:pt>
                <c:pt idx="28">
                  <c:v>10352.916256535043</c:v>
                </c:pt>
                <c:pt idx="29">
                  <c:v>10352.529467597184</c:v>
                </c:pt>
                <c:pt idx="30">
                  <c:v>10352.120961347993</c:v>
                </c:pt>
                <c:pt idx="31">
                  <c:v>10351.573170766787</c:v>
                </c:pt>
                <c:pt idx="32">
                  <c:v>10350.917641016873</c:v>
                </c:pt>
                <c:pt idx="33">
                  <c:v>10350.228820683622</c:v>
                </c:pt>
                <c:pt idx="34">
                  <c:v>10349.360561232847</c:v>
                </c:pt>
                <c:pt idx="35">
                  <c:v>10348.438774436068</c:v>
                </c:pt>
                <c:pt idx="36">
                  <c:v>10347.60612324165</c:v>
                </c:pt>
                <c:pt idx="37">
                  <c:v>10346.725514457532</c:v>
                </c:pt>
                <c:pt idx="38">
                  <c:v>10345.729845768261</c:v>
                </c:pt>
                <c:pt idx="39">
                  <c:v>10344.572735419088</c:v>
                </c:pt>
                <c:pt idx="40">
                  <c:v>10343.288974850806</c:v>
                </c:pt>
                <c:pt idx="41">
                  <c:v>10341.776142970444</c:v>
                </c:pt>
                <c:pt idx="42">
                  <c:v>10340.145764507912</c:v>
                </c:pt>
                <c:pt idx="43">
                  <c:v>10338.478856381696</c:v>
                </c:pt>
                <c:pt idx="44">
                  <c:v>10336.441451680759</c:v>
                </c:pt>
                <c:pt idx="45">
                  <c:v>10334.138174694537</c:v>
                </c:pt>
                <c:pt idx="46">
                  <c:v>10331.521214172126</c:v>
                </c:pt>
                <c:pt idx="47">
                  <c:v>10328.560226852629</c:v>
                </c:pt>
                <c:pt idx="48">
                  <c:v>10325.175378824179</c:v>
                </c:pt>
                <c:pt idx="49">
                  <c:v>10321.162551660247</c:v>
                </c:pt>
                <c:pt idx="50">
                  <c:v>10316.615919413613</c:v>
                </c:pt>
                <c:pt idx="51">
                  <c:v>10311.079608887954</c:v>
                </c:pt>
                <c:pt idx="52">
                  <c:v>10304.41964936186</c:v>
                </c:pt>
                <c:pt idx="53">
                  <c:v>10296.809303131417</c:v>
                </c:pt>
                <c:pt idx="54">
                  <c:v>10287.884040349742</c:v>
                </c:pt>
                <c:pt idx="55">
                  <c:v>10277.326856363783</c:v>
                </c:pt>
                <c:pt idx="56">
                  <c:v>10264.869474392393</c:v>
                </c:pt>
                <c:pt idx="57">
                  <c:v>10250.462690815255</c:v>
                </c:pt>
                <c:pt idx="58">
                  <c:v>10234.031932798538</c:v>
                </c:pt>
                <c:pt idx="59">
                  <c:v>10215.433270124084</c:v>
                </c:pt>
                <c:pt idx="60">
                  <c:v>10194.689399850495</c:v>
                </c:pt>
                <c:pt idx="61">
                  <c:v>10171.826363817056</c:v>
                </c:pt>
                <c:pt idx="62">
                  <c:v>10147.052580762169</c:v>
                </c:pt>
                <c:pt idx="63">
                  <c:v>10120.785606301632</c:v>
                </c:pt>
                <c:pt idx="64">
                  <c:v>10093.397783929951</c:v>
                </c:pt>
                <c:pt idx="65">
                  <c:v>10065.374302588143</c:v>
                </c:pt>
                <c:pt idx="66">
                  <c:v>10037.008113878683</c:v>
                </c:pt>
                <c:pt idx="67">
                  <c:v>10008.846522686041</c:v>
                </c:pt>
                <c:pt idx="68">
                  <c:v>9981.5346871966121</c:v>
                </c:pt>
                <c:pt idx="69">
                  <c:v>9955.4643741077616</c:v>
                </c:pt>
                <c:pt idx="70">
                  <c:v>9931.217120018182</c:v>
                </c:pt>
                <c:pt idx="71">
                  <c:v>9908.874908547783</c:v>
                </c:pt>
                <c:pt idx="72">
                  <c:v>9888.7263859118484</c:v>
                </c:pt>
                <c:pt idx="73">
                  <c:v>9870.819203666304</c:v>
                </c:pt>
                <c:pt idx="74">
                  <c:v>9855.1066632192651</c:v>
                </c:pt>
                <c:pt idx="75">
                  <c:v>9841.7802970187586</c:v>
                </c:pt>
                <c:pt idx="76">
                  <c:v>9830.5015736671849</c:v>
                </c:pt>
                <c:pt idx="77">
                  <c:v>9821.0531309190792</c:v>
                </c:pt>
                <c:pt idx="78">
                  <c:v>9813.2379971136215</c:v>
                </c:pt>
                <c:pt idx="79">
                  <c:v>9806.7961642795581</c:v>
                </c:pt>
                <c:pt idx="80">
                  <c:v>9801.6318001856707</c:v>
                </c:pt>
                <c:pt idx="81">
                  <c:v>9797.3435315548923</c:v>
                </c:pt>
                <c:pt idx="82">
                  <c:v>9793.7806170181775</c:v>
                </c:pt>
                <c:pt idx="83">
                  <c:v>9790.9413545378429</c:v>
                </c:pt>
                <c:pt idx="84">
                  <c:v>9788.5022330702286</c:v>
                </c:pt>
                <c:pt idx="85">
                  <c:v>9786.5014739278849</c:v>
                </c:pt>
                <c:pt idx="86">
                  <c:v>9784.8774360115913</c:v>
                </c:pt>
                <c:pt idx="87">
                  <c:v>9783.5496715613463</c:v>
                </c:pt>
                <c:pt idx="88">
                  <c:v>9782.4803903002958</c:v>
                </c:pt>
                <c:pt idx="89">
                  <c:v>9781.5625253391263</c:v>
                </c:pt>
                <c:pt idx="90">
                  <c:v>9780.8656028178866</c:v>
                </c:pt>
                <c:pt idx="91">
                  <c:v>9780.2934565215546</c:v>
                </c:pt>
                <c:pt idx="92">
                  <c:v>9779.6969901006687</c:v>
                </c:pt>
                <c:pt idx="93">
                  <c:v>9779.2639614158597</c:v>
                </c:pt>
                <c:pt idx="94">
                  <c:v>9778.9299290037306</c:v>
                </c:pt>
                <c:pt idx="95">
                  <c:v>9778.5040040645799</c:v>
                </c:pt>
                <c:pt idx="96">
                  <c:v>9778.1551247733078</c:v>
                </c:pt>
                <c:pt idx="97">
                  <c:v>9777.9416708350691</c:v>
                </c:pt>
                <c:pt idx="98">
                  <c:v>9773</c:v>
                </c:pt>
                <c:pt idx="99">
                  <c:v>9702</c:v>
                </c:pt>
              </c:numCache>
            </c:numRef>
          </c:yVal>
        </c:ser>
        <c:axId val="50188672"/>
        <c:axId val="50190592"/>
      </c:scatterChart>
      <c:valAx>
        <c:axId val="5018867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0190592"/>
        <c:crosses val="autoZero"/>
        <c:crossBetween val="midCat"/>
      </c:valAx>
      <c:valAx>
        <c:axId val="50190592"/>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018867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43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
  <sheetViews>
    <sheetView topLeftCell="A40" workbookViewId="0"/>
  </sheetViews>
  <sheetFormatPr defaultRowHeight="12.75"/>
  <sheetData/>
  <pageMargins left="0.75" right="0.75" top="1" bottom="1" header="0.5" footer="0.5"/>
  <headerFooter alignWithMargins="0">
    <oddHeader>&amp;A</oddHeader>
    <oddFooter>Page &amp;P</oddFooter>
  </headerFooter>
  <drawing r:id="rId1"/>
</worksheet>
</file>

<file path=xl/worksheets/sheet2.xml><?xml version="1.0" encoding="utf-8"?>
<worksheet xmlns="http://schemas.openxmlformats.org/spreadsheetml/2006/main" xmlns:r="http://schemas.openxmlformats.org/officeDocument/2006/relationships">
  <sheetPr codeName="Sheet2"/>
  <dimension ref="A1:N54"/>
  <sheetViews>
    <sheetView workbookViewId="0">
      <selection activeCell="A22" sqref="A22"/>
    </sheetView>
  </sheetViews>
  <sheetFormatPr defaultRowHeight="12.75"/>
  <cols>
    <col min="1" max="1" width="11.85546875" customWidth="1"/>
  </cols>
  <sheetData>
    <row r="1" spans="1:14">
      <c r="A1" s="22" t="s">
        <v>0</v>
      </c>
      <c r="B1" s="22">
        <v>1</v>
      </c>
      <c r="C1" s="22">
        <v>2</v>
      </c>
      <c r="D1" s="22">
        <v>3</v>
      </c>
      <c r="E1" s="22">
        <v>4</v>
      </c>
      <c r="F1" s="22">
        <v>5</v>
      </c>
      <c r="G1" s="22">
        <v>6</v>
      </c>
      <c r="H1" s="22">
        <v>7</v>
      </c>
      <c r="I1" s="22">
        <v>8</v>
      </c>
      <c r="J1" s="22">
        <v>9</v>
      </c>
      <c r="K1" s="22">
        <v>10</v>
      </c>
    </row>
    <row r="2" spans="1:14" s="8" customFormat="1">
      <c r="A2" s="8" t="s">
        <v>1</v>
      </c>
      <c r="B2" s="19">
        <v>529.45062691443559</v>
      </c>
      <c r="C2" s="19">
        <v>531</v>
      </c>
      <c r="D2" s="16">
        <v>520</v>
      </c>
      <c r="E2" s="16">
        <v>500</v>
      </c>
      <c r="F2" s="16">
        <v>500</v>
      </c>
      <c r="G2" s="16">
        <v>500</v>
      </c>
      <c r="H2" s="16">
        <v>500</v>
      </c>
      <c r="I2" s="16">
        <v>500</v>
      </c>
      <c r="J2" s="16">
        <v>500</v>
      </c>
      <c r="K2" s="16">
        <v>500</v>
      </c>
    </row>
    <row r="3" spans="1:14" s="8" customFormat="1">
      <c r="A3" s="8" t="s">
        <v>2</v>
      </c>
      <c r="B3" s="6">
        <v>11509.535296088909</v>
      </c>
      <c r="C3" s="6">
        <v>1000</v>
      </c>
      <c r="D3" s="17">
        <v>0</v>
      </c>
      <c r="E3" s="17">
        <v>0</v>
      </c>
      <c r="F3" s="17">
        <v>0</v>
      </c>
      <c r="G3" s="17">
        <v>0</v>
      </c>
      <c r="H3" s="17">
        <v>0</v>
      </c>
      <c r="I3" s="17">
        <v>0</v>
      </c>
      <c r="J3" s="17">
        <v>0</v>
      </c>
      <c r="K3" s="17">
        <v>0</v>
      </c>
    </row>
    <row r="4" spans="1:14" s="8" customFormat="1">
      <c r="A4" s="8" t="s">
        <v>3</v>
      </c>
      <c r="B4" s="20">
        <v>1.5</v>
      </c>
      <c r="C4" s="20">
        <v>2.5</v>
      </c>
      <c r="D4" s="18">
        <v>1.5</v>
      </c>
      <c r="E4" s="18">
        <v>1.5</v>
      </c>
      <c r="F4" s="18">
        <v>1.5</v>
      </c>
      <c r="G4" s="18">
        <v>1.5</v>
      </c>
      <c r="H4" s="18">
        <v>1.5</v>
      </c>
      <c r="I4" s="18">
        <v>1.5</v>
      </c>
      <c r="J4" s="18">
        <v>1.5</v>
      </c>
      <c r="K4" s="18">
        <v>1.5</v>
      </c>
    </row>
    <row r="5" spans="1:14" s="8" customFormat="1">
      <c r="A5" s="8" t="s">
        <v>4</v>
      </c>
      <c r="B5" s="18">
        <f>B4</f>
        <v>1.5</v>
      </c>
      <c r="C5" s="18">
        <f>C4</f>
        <v>2.5</v>
      </c>
      <c r="D5" s="18">
        <f t="shared" ref="D5:K5" si="0">D4</f>
        <v>1.5</v>
      </c>
      <c r="E5" s="18">
        <f t="shared" si="0"/>
        <v>1.5</v>
      </c>
      <c r="F5" s="18">
        <f t="shared" si="0"/>
        <v>1.5</v>
      </c>
      <c r="G5" s="18">
        <f t="shared" si="0"/>
        <v>1.5</v>
      </c>
      <c r="H5" s="18">
        <f t="shared" si="0"/>
        <v>1.5</v>
      </c>
      <c r="I5" s="18">
        <f t="shared" si="0"/>
        <v>1.5</v>
      </c>
      <c r="J5" s="18">
        <f t="shared" si="0"/>
        <v>1.5</v>
      </c>
      <c r="K5" s="18">
        <f t="shared" si="0"/>
        <v>1.5</v>
      </c>
    </row>
    <row r="6" spans="1:14" s="8" customFormat="1">
      <c r="A6" s="8" t="s">
        <v>5</v>
      </c>
      <c r="B6" s="20">
        <v>0.8</v>
      </c>
      <c r="C6" s="20">
        <v>0.85</v>
      </c>
      <c r="D6" s="18">
        <v>0.5</v>
      </c>
      <c r="E6" s="18">
        <v>0.5</v>
      </c>
      <c r="F6" s="18">
        <v>0.5</v>
      </c>
      <c r="G6" s="18">
        <v>0.5</v>
      </c>
      <c r="H6" s="18">
        <v>0.5</v>
      </c>
      <c r="I6" s="18">
        <v>0.5</v>
      </c>
      <c r="J6" s="18">
        <v>0.5</v>
      </c>
      <c r="K6" s="18">
        <v>0.5</v>
      </c>
    </row>
    <row r="7" spans="1:14" s="8" customFormat="1">
      <c r="A7" s="8" t="s">
        <v>6</v>
      </c>
      <c r="B7" s="18">
        <f>B6</f>
        <v>0.8</v>
      </c>
      <c r="C7" s="18">
        <f>C6</f>
        <v>0.85</v>
      </c>
      <c r="D7" s="18">
        <f t="shared" ref="D7:K7" si="1">D6</f>
        <v>0.5</v>
      </c>
      <c r="E7" s="18">
        <f t="shared" si="1"/>
        <v>0.5</v>
      </c>
      <c r="F7" s="18">
        <f t="shared" si="1"/>
        <v>0.5</v>
      </c>
      <c r="G7" s="18">
        <f t="shared" si="1"/>
        <v>0.5</v>
      </c>
      <c r="H7" s="18">
        <f t="shared" si="1"/>
        <v>0.5</v>
      </c>
      <c r="I7" s="18">
        <f t="shared" si="1"/>
        <v>0.5</v>
      </c>
      <c r="J7" s="18">
        <f t="shared" si="1"/>
        <v>0.5</v>
      </c>
      <c r="K7" s="18">
        <f t="shared" si="1"/>
        <v>0.5</v>
      </c>
    </row>
    <row r="8" spans="1:14" s="8" customFormat="1" ht="3" customHeight="1">
      <c r="B8" s="9"/>
      <c r="C8" s="9"/>
    </row>
    <row r="9" spans="1:14" s="8" customFormat="1">
      <c r="A9" s="8" t="s">
        <v>7</v>
      </c>
      <c r="B9" s="10">
        <f>(B4*(1.064467*B6+1.5*(1-B6))+B5*(1.064467*B7+1.5*(1-B7)))*B3/2</f>
        <v>19881.115492866254</v>
      </c>
      <c r="C9" s="10">
        <f>(C4*(1.064467*C6+1.5*(1-C6))+C5*(1.064467*C7+1.5*(1-C7)))*C3/2</f>
        <v>2824.4923750000003</v>
      </c>
      <c r="D9" s="10">
        <f>(D4*(1.064467*D6+1.5*(1-D6))+D5*(1.064467*D7+1.5*(1-D7)))*D3/2</f>
        <v>0</v>
      </c>
      <c r="E9" s="10">
        <f t="shared" ref="E9:K9" si="2">(E4*(1.064467*E6+1.5*(1-E6))+E5*(1.064467*E7+1.5*(1-E7)))*E3/2</f>
        <v>0</v>
      </c>
      <c r="F9" s="10">
        <f t="shared" si="2"/>
        <v>0</v>
      </c>
      <c r="G9" s="10">
        <f t="shared" si="2"/>
        <v>0</v>
      </c>
      <c r="H9" s="10">
        <f t="shared" si="2"/>
        <v>0</v>
      </c>
      <c r="I9" s="10">
        <f t="shared" si="2"/>
        <v>0</v>
      </c>
      <c r="J9" s="10">
        <f t="shared" si="2"/>
        <v>0</v>
      </c>
      <c r="K9" s="10">
        <f t="shared" si="2"/>
        <v>0</v>
      </c>
      <c r="M9"/>
      <c r="N9"/>
    </row>
    <row r="10" spans="1:14" s="8" customFormat="1" ht="9" customHeight="1">
      <c r="B10" s="10"/>
      <c r="C10" s="10"/>
      <c r="D10" s="10"/>
      <c r="E10" s="10"/>
      <c r="F10" s="10"/>
      <c r="G10" s="10"/>
      <c r="H10" s="10"/>
      <c r="I10" s="10"/>
      <c r="J10" s="10"/>
      <c r="K10" s="10"/>
      <c r="M10"/>
      <c r="N10"/>
    </row>
    <row r="11" spans="1:14" s="8" customFormat="1" ht="18" customHeight="1">
      <c r="B11" s="10"/>
      <c r="C11" s="10"/>
      <c r="D11" s="10"/>
      <c r="E11" s="10"/>
      <c r="F11" s="10"/>
      <c r="G11" s="10"/>
      <c r="H11" s="10"/>
      <c r="I11" s="10"/>
      <c r="J11" s="10"/>
      <c r="K11" s="10"/>
      <c r="M11"/>
      <c r="N11"/>
    </row>
    <row r="12" spans="1:14" s="8" customFormat="1">
      <c r="A12" s="9" t="s">
        <v>8</v>
      </c>
      <c r="B12" s="6">
        <v>9702</v>
      </c>
      <c r="C12" s="10"/>
      <c r="D12" s="10"/>
      <c r="E12" s="10"/>
      <c r="F12" s="10"/>
      <c r="G12" s="10"/>
      <c r="H12" s="10"/>
      <c r="I12" s="10"/>
      <c r="J12"/>
      <c r="K12"/>
      <c r="M12"/>
      <c r="N12"/>
    </row>
    <row r="13" spans="1:14" s="8" customFormat="1">
      <c r="A13" s="9" t="s">
        <v>9</v>
      </c>
      <c r="B13" s="6">
        <v>10250</v>
      </c>
      <c r="C13" s="10"/>
      <c r="D13" s="10"/>
      <c r="E13" s="10"/>
      <c r="F13" s="10"/>
      <c r="G13" s="10"/>
      <c r="H13" s="10"/>
      <c r="I13" s="10"/>
      <c r="J13"/>
      <c r="K13"/>
      <c r="M13"/>
      <c r="N13"/>
    </row>
    <row r="14" spans="1:14" s="8" customFormat="1">
      <c r="A14" s="9" t="s">
        <v>10</v>
      </c>
      <c r="B14" s="13">
        <f>(B13-B12)/(MAX(Data!A:A)-MIN(Data!A:A))</f>
        <v>55.353535353535477</v>
      </c>
      <c r="C14" s="10"/>
      <c r="D14" s="10"/>
      <c r="E14" s="10"/>
      <c r="F14" s="10"/>
      <c r="G14" s="10"/>
      <c r="H14" s="10"/>
      <c r="I14" s="10"/>
      <c r="J14" s="10"/>
      <c r="K14" s="10"/>
      <c r="M14"/>
      <c r="N14"/>
    </row>
    <row r="15" spans="1:14" s="8" customFormat="1">
      <c r="A15" s="9"/>
      <c r="B15" s="13"/>
      <c r="C15" s="10"/>
      <c r="D15" s="10"/>
      <c r="E15" s="10"/>
      <c r="F15" s="10"/>
      <c r="G15" s="10"/>
      <c r="H15" s="10"/>
      <c r="I15" s="10"/>
      <c r="J15" s="10"/>
      <c r="K15" s="10"/>
      <c r="M15"/>
      <c r="N15"/>
    </row>
    <row r="16" spans="1:14" s="8" customFormat="1">
      <c r="A16" s="8" t="s">
        <v>11</v>
      </c>
      <c r="B16" s="10">
        <f>SUM(B9:K9)+(B12+B13)*(MAX(Data!A:A)-MIN(Data!A:A))/2</f>
        <v>121468.00786786604</v>
      </c>
      <c r="C16" s="10"/>
      <c r="D16" s="10"/>
      <c r="E16" s="10"/>
      <c r="F16" s="10"/>
      <c r="G16" s="10"/>
      <c r="H16" s="10"/>
      <c r="I16" s="10"/>
      <c r="J16" s="10"/>
      <c r="K16" s="10"/>
      <c r="M16"/>
      <c r="N16"/>
    </row>
    <row r="17" spans="1:14" s="8" customFormat="1">
      <c r="A17" s="8" t="s">
        <v>12</v>
      </c>
      <c r="B17" s="10">
        <f>SUM(Data!B:B)*ABS(Data!A2-Data!A3)</f>
        <v>127555.200000029</v>
      </c>
      <c r="C17" s="10"/>
      <c r="D17" s="10"/>
      <c r="E17" s="10"/>
      <c r="F17" s="10"/>
      <c r="G17" s="10"/>
      <c r="H17" s="10"/>
      <c r="I17" s="10"/>
      <c r="J17" s="10"/>
      <c r="K17" s="10"/>
      <c r="M17"/>
      <c r="N17"/>
    </row>
    <row r="18" spans="1:14" s="8" customFormat="1">
      <c r="B18" s="9"/>
      <c r="C18" s="9"/>
      <c r="M18"/>
      <c r="N18"/>
    </row>
    <row r="19" spans="1:14" s="8" customFormat="1">
      <c r="A19" t="s">
        <v>13</v>
      </c>
      <c r="B19" s="5">
        <f>SUM(Data!D:D)</f>
        <v>71313369.780168131</v>
      </c>
      <c r="C19" s="9"/>
    </row>
    <row r="20" spans="1:14" s="8" customFormat="1">
      <c r="A20" s="8" t="s">
        <v>14</v>
      </c>
      <c r="B20" s="10">
        <f>COUNT(Data!A:A)</f>
        <v>100</v>
      </c>
      <c r="C20" s="9"/>
      <c r="M20" s="12"/>
    </row>
    <row r="21" spans="1:14" s="8" customFormat="1">
      <c r="A21"/>
      <c r="B21"/>
      <c r="C21" s="9"/>
    </row>
    <row r="22" spans="1:14" s="8" customFormat="1">
      <c r="A22" s="8" t="s">
        <v>15</v>
      </c>
      <c r="B22" s="11">
        <f>SQRT(B19/B20)</f>
        <v>844.47243756186697</v>
      </c>
      <c r="C22" s="9"/>
    </row>
    <row r="23" spans="1:14" s="8" customFormat="1">
      <c r="B23" s="9"/>
      <c r="C23" s="9"/>
    </row>
    <row r="24" spans="1:14" s="8" customFormat="1">
      <c r="B24" s="9"/>
      <c r="C24" s="9"/>
    </row>
    <row r="25" spans="1:14" s="8" customFormat="1">
      <c r="B25" s="9"/>
      <c r="C25" s="9"/>
    </row>
    <row r="26" spans="1:14" s="8" customFormat="1">
      <c r="B26" s="9"/>
      <c r="C26" s="9"/>
    </row>
    <row r="27" spans="1:14" s="8" customFormat="1">
      <c r="B27" s="9"/>
      <c r="C27" s="9"/>
    </row>
    <row r="28" spans="1:14" s="8" customFormat="1">
      <c r="B28" s="9"/>
      <c r="C28" s="9"/>
    </row>
    <row r="29" spans="1:14" s="8" customFormat="1">
      <c r="B29" s="9"/>
      <c r="C29" s="9"/>
    </row>
    <row r="30" spans="1:14" s="8" customFormat="1">
      <c r="B30" s="9"/>
      <c r="C30" s="9"/>
    </row>
    <row r="31" spans="1:14" s="8" customFormat="1">
      <c r="B31" s="9"/>
      <c r="C31" s="9"/>
    </row>
    <row r="32" spans="1:14" s="8" customFormat="1">
      <c r="B32" s="9"/>
      <c r="C32" s="9"/>
    </row>
    <row r="33" spans="1:11" s="8" customFormat="1">
      <c r="B33" s="9"/>
      <c r="C33" s="9"/>
    </row>
    <row r="34" spans="1:11" s="8" customFormat="1">
      <c r="B34" s="9"/>
      <c r="C34" s="9"/>
    </row>
    <row r="35" spans="1:11" s="8" customFormat="1">
      <c r="A35" s="8" t="s">
        <v>41</v>
      </c>
      <c r="B35" s="9"/>
      <c r="C35" s="9"/>
    </row>
    <row r="36" spans="1:11" s="8" customFormat="1">
      <c r="B36" s="9"/>
      <c r="C36" s="9"/>
    </row>
    <row r="37" spans="1:11">
      <c r="A37" t="s">
        <v>16</v>
      </c>
      <c r="B37" s="7">
        <f t="shared" ref="B37:K37" si="3">4/(B4^2)</f>
        <v>1.7777777777777777</v>
      </c>
      <c r="C37" s="7">
        <f t="shared" si="3"/>
        <v>0.64</v>
      </c>
      <c r="D37" s="7">
        <f t="shared" si="3"/>
        <v>1.7777777777777777</v>
      </c>
      <c r="E37" s="7">
        <f t="shared" si="3"/>
        <v>1.7777777777777777</v>
      </c>
      <c r="F37" s="7">
        <f t="shared" si="3"/>
        <v>1.7777777777777777</v>
      </c>
      <c r="G37" s="7">
        <f t="shared" si="3"/>
        <v>1.7777777777777777</v>
      </c>
      <c r="H37" s="7">
        <f t="shared" si="3"/>
        <v>1.7777777777777777</v>
      </c>
      <c r="I37" s="7">
        <f t="shared" si="3"/>
        <v>1.7777777777777777</v>
      </c>
      <c r="J37" s="7">
        <f t="shared" si="3"/>
        <v>1.7777777777777777</v>
      </c>
      <c r="K37" s="7">
        <f t="shared" si="3"/>
        <v>1.7777777777777777</v>
      </c>
    </row>
    <row r="38" spans="1:11">
      <c r="A38" t="s">
        <v>17</v>
      </c>
      <c r="B38" s="7">
        <f t="shared" ref="B38:K38" si="4">-2.77258872/(B4^2)</f>
        <v>-1.2322616533333333</v>
      </c>
      <c r="C38" s="7">
        <f t="shared" si="4"/>
        <v>-0.44361419520000001</v>
      </c>
      <c r="D38" s="7">
        <f t="shared" si="4"/>
        <v>-1.2322616533333333</v>
      </c>
      <c r="E38" s="7">
        <f t="shared" si="4"/>
        <v>-1.2322616533333333</v>
      </c>
      <c r="F38" s="7">
        <f t="shared" si="4"/>
        <v>-1.2322616533333333</v>
      </c>
      <c r="G38" s="7">
        <f t="shared" si="4"/>
        <v>-1.2322616533333333</v>
      </c>
      <c r="H38" s="7">
        <f t="shared" si="4"/>
        <v>-1.2322616533333333</v>
      </c>
      <c r="I38" s="7">
        <f t="shared" si="4"/>
        <v>-1.2322616533333333</v>
      </c>
      <c r="J38" s="7">
        <f t="shared" si="4"/>
        <v>-1.2322616533333333</v>
      </c>
      <c r="K38" s="7">
        <f t="shared" si="4"/>
        <v>-1.2322616533333333</v>
      </c>
    </row>
    <row r="39" spans="1:11">
      <c r="A39" t="s">
        <v>18</v>
      </c>
      <c r="B39" s="7">
        <f t="shared" ref="B39:K39" si="5">4/(B5^2)</f>
        <v>1.7777777777777777</v>
      </c>
      <c r="C39" s="7">
        <f t="shared" si="5"/>
        <v>0.64</v>
      </c>
      <c r="D39" s="7">
        <f t="shared" si="5"/>
        <v>1.7777777777777777</v>
      </c>
      <c r="E39" s="7">
        <f t="shared" si="5"/>
        <v>1.7777777777777777</v>
      </c>
      <c r="F39" s="7">
        <f t="shared" si="5"/>
        <v>1.7777777777777777</v>
      </c>
      <c r="G39" s="7">
        <f t="shared" si="5"/>
        <v>1.7777777777777777</v>
      </c>
      <c r="H39" s="7">
        <f t="shared" si="5"/>
        <v>1.7777777777777777</v>
      </c>
      <c r="I39" s="7">
        <f t="shared" si="5"/>
        <v>1.7777777777777777</v>
      </c>
      <c r="J39" s="7">
        <f t="shared" si="5"/>
        <v>1.7777777777777777</v>
      </c>
      <c r="K39" s="7">
        <f t="shared" si="5"/>
        <v>1.7777777777777777</v>
      </c>
    </row>
    <row r="40" spans="1:11">
      <c r="A40" t="s">
        <v>19</v>
      </c>
      <c r="B40" s="7">
        <f t="shared" ref="B40:K40" si="6">-2.77258872/(B5^2)</f>
        <v>-1.2322616533333333</v>
      </c>
      <c r="C40" s="7">
        <f t="shared" si="6"/>
        <v>-0.44361419520000001</v>
      </c>
      <c r="D40" s="7">
        <f t="shared" si="6"/>
        <v>-1.2322616533333333</v>
      </c>
      <c r="E40" s="7">
        <f t="shared" si="6"/>
        <v>-1.2322616533333333</v>
      </c>
      <c r="F40" s="7">
        <f t="shared" si="6"/>
        <v>-1.2322616533333333</v>
      </c>
      <c r="G40" s="7">
        <f t="shared" si="6"/>
        <v>-1.2322616533333333</v>
      </c>
      <c r="H40" s="7">
        <f t="shared" si="6"/>
        <v>-1.2322616533333333</v>
      </c>
      <c r="I40" s="7">
        <f t="shared" si="6"/>
        <v>-1.2322616533333333</v>
      </c>
      <c r="J40" s="7">
        <f t="shared" si="6"/>
        <v>-1.2322616533333333</v>
      </c>
      <c r="K40" s="7">
        <f t="shared" si="6"/>
        <v>-1.2322616533333333</v>
      </c>
    </row>
    <row r="42" spans="1:11">
      <c r="A42" s="5"/>
    </row>
    <row r="44" spans="1:11">
      <c r="A44" t="s">
        <v>20</v>
      </c>
    </row>
    <row r="45" spans="1:11">
      <c r="A45" t="b">
        <v>1</v>
      </c>
    </row>
    <row r="48" spans="1:11">
      <c r="A48" t="s">
        <v>21</v>
      </c>
    </row>
    <row r="50" spans="1:1">
      <c r="A50" s="5">
        <f>MIN($B$19)</f>
        <v>71313369.780168131</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10"/>
  <sheetViews>
    <sheetView workbookViewId="0">
      <selection activeCell="A13" sqref="A13"/>
    </sheetView>
  </sheetViews>
  <sheetFormatPr defaultRowHeight="12.75"/>
  <cols>
    <col min="1" max="1" width="12.85546875" customWidth="1"/>
  </cols>
  <sheetData>
    <row r="1" spans="1:2">
      <c r="A1" t="s">
        <v>22</v>
      </c>
    </row>
    <row r="3" spans="1:2">
      <c r="A3" t="s">
        <v>23</v>
      </c>
      <c r="B3" s="1">
        <f>MIN(Data!A:A)</f>
        <v>526.1</v>
      </c>
    </row>
    <row r="10" spans="1:2">
      <c r="A10" t="s">
        <v>43</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01"/>
  <sheetViews>
    <sheetView tabSelected="1" workbookViewId="0">
      <selection activeCell="B1" sqref="B1:B1048576"/>
    </sheetView>
  </sheetViews>
  <sheetFormatPr defaultRowHeight="12.75"/>
  <cols>
    <col min="1" max="1" width="9.140625" style="21"/>
    <col min="2" max="2" width="10.5703125" bestFit="1" customWidth="1"/>
    <col min="3" max="3" width="8.5703125" customWidth="1"/>
    <col min="4" max="5" width="11" style="3" customWidth="1"/>
    <col min="6" max="17" width="9.140625" style="3"/>
    <col min="18" max="18" width="11.85546875" customWidth="1"/>
  </cols>
  <sheetData>
    <row r="1" spans="1:20" s="2" customFormat="1" ht="14.25">
      <c r="A1" s="21" t="s">
        <v>1</v>
      </c>
      <c r="B1" t="s">
        <v>40</v>
      </c>
      <c r="C1" s="2" t="s">
        <v>24</v>
      </c>
      <c r="D1" s="4" t="s">
        <v>25</v>
      </c>
      <c r="E1" s="14" t="s">
        <v>26</v>
      </c>
      <c r="F1" s="15" t="s">
        <v>27</v>
      </c>
      <c r="G1" s="15" t="s">
        <v>28</v>
      </c>
      <c r="H1" s="15" t="s">
        <v>29</v>
      </c>
      <c r="I1" s="15" t="s">
        <v>30</v>
      </c>
      <c r="J1" s="15" t="s">
        <v>31</v>
      </c>
      <c r="K1" s="15" t="s">
        <v>32</v>
      </c>
      <c r="L1" s="15" t="s">
        <v>33</v>
      </c>
      <c r="M1" s="15" t="s">
        <v>34</v>
      </c>
      <c r="N1" s="15" t="s">
        <v>35</v>
      </c>
      <c r="O1" s="15" t="s">
        <v>36</v>
      </c>
      <c r="P1"/>
      <c r="Q1"/>
      <c r="R1"/>
      <c r="T1"/>
    </row>
    <row r="2" spans="1:20">
      <c r="A2" s="21">
        <v>536</v>
      </c>
      <c r="B2">
        <v>10390</v>
      </c>
      <c r="C2" s="1">
        <f>SUM(E2:G2)</f>
        <v>10288.632137439277</v>
      </c>
      <c r="D2" s="3">
        <f t="shared" ref="D2:D65" si="0">(C2-B2)^2</f>
        <v>10275.443560129555</v>
      </c>
      <c r="E2" s="3">
        <f>Ft!$B$12+Ft!$B$14*(Data!A2-Vars!$B$3)</f>
        <v>10250</v>
      </c>
      <c r="F2" s="3">
        <f>IF(($A2-Ft!B$2)&lt;0,Ft!B$3*((1-Ft!B$6)/(1+Ft!B$37*($A2-Ft!B$2)^2)+Ft!B$6*EXP(Ft!B$38*($A2-Ft!B$2)^2)),Ft!B$3*((1-Ft!B$7)/(1+Ft!B$39*($A2-Ft!B$2)^2)+Ft!B$7*EXP(Ft!B$40*($A2-Ft!B$2)^2)))</f>
        <v>29.795638056694582</v>
      </c>
      <c r="G2" s="3">
        <f>IF(($A2-Ft!C$2)&lt;0,Ft!C$3*((1-Ft!C$6)/(1+Ft!C$37*($A2-Ft!C$2)^2)+Ft!C$6*EXP(Ft!C$38*($A2-Ft!C$2)^2)),Ft!C$3*((1-Ft!C$7)/(1+Ft!C$39*($A2-Ft!C$2)^2)+Ft!C$7*EXP(Ft!C$40*($A2-Ft!C$2)^2)))</f>
        <v>8.8364993825840319</v>
      </c>
      <c r="H2" s="3">
        <f>IF(($A2-Ft!D$2)&lt;0,Ft!D$3*((1-Ft!D$6)/(1+Ft!D$37*($A2-Ft!D$2)^2)+Ft!D$6*EXP(Ft!D$38*($A2-Ft!D$2)^2)),Ft!D$3*((1-Ft!D$7)/(1+Ft!D$39*($A2-Ft!D$2)^2)+Ft!D$7*EXP(Ft!D$40*($A2-Ft!D$2)^2)))</f>
        <v>0</v>
      </c>
      <c r="I2" s="3">
        <f>IF(($A2-Ft!E$2)&lt;0,Ft!E$3*((1-Ft!E$6)/(1+Ft!E$37*($A2-Ft!E$2)^2)+Ft!E$6*EXP(Ft!E$38*($A2-Ft!E$2)^2)),Ft!E$3*((1-Ft!E$7)/(1+Ft!E$39*($A2-Ft!E$2)^2)+Ft!E$7*EXP(Ft!E$40*($A2-Ft!E$2)^2)))</f>
        <v>0</v>
      </c>
      <c r="J2" s="3">
        <f>IF(($A2-Ft!F$2)&lt;0,Ft!F$3*((1-Ft!F$6)/(1+Ft!F$37*($A2-Ft!F$2)^2)+Ft!F$6*EXP(Ft!F$38*($A2-Ft!F$2)^2)),Ft!F$3*((1-Ft!F$7)/(1+Ft!F$39*($A2-Ft!F$2)^2)+Ft!F$7*EXP(Ft!F$40*($A2-Ft!F$2)^2)))</f>
        <v>0</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s="21">
        <v>535.9</v>
      </c>
      <c r="B3">
        <v>10316</v>
      </c>
      <c r="C3" s="1">
        <f t="shared" ref="C3:C66" si="1">SUM(E3:G3)</f>
        <v>10284.364249931974</v>
      </c>
      <c r="D3" s="3">
        <f t="shared" si="0"/>
        <v>1000.8206823666088</v>
      </c>
      <c r="E3" s="3">
        <f>Ft!$B$12+Ft!$B$14*(Data!A3-Vars!$B$3)</f>
        <v>10244.464646464645</v>
      </c>
      <c r="F3" s="3">
        <f>IF(($A3-Ft!B$2)&lt;0,Ft!B$3*((1-Ft!B$6)/(1+Ft!B$37*($A3-Ft!B$2)^2)+Ft!B$6*EXP(Ft!B$38*($A3-Ft!B$2)^2)),Ft!B$3*((1-Ft!B$7)/(1+Ft!B$39*($A3-Ft!B$2)^2)+Ft!B$7*EXP(Ft!B$40*($A3-Ft!B$2)^2)))</f>
        <v>30.714362666102804</v>
      </c>
      <c r="G3" s="3">
        <f>IF(($A3-Ft!C$2)&lt;0,Ft!C$3*((1-Ft!C$6)/(1+Ft!C$37*($A3-Ft!C$2)^2)+Ft!C$6*EXP(Ft!C$38*($A3-Ft!C$2)^2)),Ft!C$3*((1-Ft!C$7)/(1+Ft!C$39*($A3-Ft!C$2)^2)+Ft!C$7*EXP(Ft!C$40*($A3-Ft!C$2)^2)))</f>
        <v>9.1852408012254347</v>
      </c>
      <c r="H3" s="3">
        <f>IF(($A3-Ft!D$2)&lt;0,Ft!D$3*((1-Ft!D$6)/(1+Ft!D$37*($A3-Ft!D$2)^2)+Ft!D$6*EXP(Ft!D$38*($A3-Ft!D$2)^2)),Ft!D$3*((1-Ft!D$7)/(1+Ft!D$39*($A3-Ft!D$2)^2)+Ft!D$7*EXP(Ft!D$40*($A3-Ft!D$2)^2)))</f>
        <v>0</v>
      </c>
      <c r="I3" s="3">
        <f>IF(($A3-Ft!E$2)&lt;0,Ft!E$3*((1-Ft!E$6)/(1+Ft!E$37*($A3-Ft!E$2)^2)+Ft!E$6*EXP(Ft!E$38*($A3-Ft!E$2)^2)),Ft!E$3*((1-Ft!E$7)/(1+Ft!E$39*($A3-Ft!E$2)^2)+Ft!E$7*EXP(Ft!E$40*($A3-Ft!E$2)^2)))</f>
        <v>0</v>
      </c>
      <c r="J3" s="3">
        <f>IF(($A3-Ft!F$2)&lt;0,Ft!F$3*((1-Ft!F$6)/(1+Ft!F$37*($A3-Ft!F$2)^2)+Ft!F$6*EXP(Ft!F$38*($A3-Ft!F$2)^2)),Ft!F$3*((1-Ft!F$7)/(1+Ft!F$39*($A3-Ft!F$2)^2)+Ft!F$7*EXP(Ft!F$40*($A3-Ft!F$2)^2)))</f>
        <v>0</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s="21">
        <v>535.79999999999995</v>
      </c>
      <c r="B4">
        <v>10357</v>
      </c>
      <c r="C4" s="1">
        <f t="shared" si="1"/>
        <v>10280.162746290423</v>
      </c>
      <c r="D4" s="3">
        <f t="shared" si="0"/>
        <v>5903.9635576298342</v>
      </c>
      <c r="E4" s="3">
        <f>Ft!$B$12+Ft!$B$14*(Data!A4-Vars!$B$3)</f>
        <v>10238.92929292929</v>
      </c>
      <c r="F4" s="3">
        <f>IF(($A4-Ft!B$2)&lt;0,Ft!B$3*((1-Ft!B$6)/(1+Ft!B$37*($A4-Ft!B$2)^2)+Ft!B$6*EXP(Ft!B$38*($A4-Ft!B$2)^2)),Ft!B$3*((1-Ft!B$7)/(1+Ft!B$39*($A4-Ft!B$2)^2)+Ft!B$7*EXP(Ft!B$40*($A4-Ft!B$2)^2)))</f>
        <v>31.67604028569156</v>
      </c>
      <c r="G4" s="3">
        <f>IF(($A4-Ft!C$2)&lt;0,Ft!C$3*((1-Ft!C$6)/(1+Ft!C$37*($A4-Ft!C$2)^2)+Ft!C$6*EXP(Ft!C$38*($A4-Ft!C$2)^2)),Ft!C$3*((1-Ft!C$7)/(1+Ft!C$39*($A4-Ft!C$2)^2)+Ft!C$7*EXP(Ft!C$40*($A4-Ft!C$2)^2)))</f>
        <v>9.5574130754422963</v>
      </c>
      <c r="H4" s="3">
        <f>IF(($A4-Ft!D$2)&lt;0,Ft!D$3*((1-Ft!D$6)/(1+Ft!D$37*($A4-Ft!D$2)^2)+Ft!D$6*EXP(Ft!D$38*($A4-Ft!D$2)^2)),Ft!D$3*((1-Ft!D$7)/(1+Ft!D$39*($A4-Ft!D$2)^2)+Ft!D$7*EXP(Ft!D$40*($A4-Ft!D$2)^2)))</f>
        <v>0</v>
      </c>
      <c r="I4" s="3">
        <f>IF(($A4-Ft!E$2)&lt;0,Ft!E$3*((1-Ft!E$6)/(1+Ft!E$37*($A4-Ft!E$2)^2)+Ft!E$6*EXP(Ft!E$38*($A4-Ft!E$2)^2)),Ft!E$3*((1-Ft!E$7)/(1+Ft!E$39*($A4-Ft!E$2)^2)+Ft!E$7*EXP(Ft!E$40*($A4-Ft!E$2)^2)))</f>
        <v>0</v>
      </c>
      <c r="J4" s="3">
        <f>IF(($A4-Ft!F$2)&lt;0,Ft!F$3*((1-Ft!F$6)/(1+Ft!F$37*($A4-Ft!F$2)^2)+Ft!F$6*EXP(Ft!F$38*($A4-Ft!F$2)^2)),Ft!F$3*((1-Ft!F$7)/(1+Ft!F$39*($A4-Ft!F$2)^2)+Ft!F$7*EXP(Ft!F$40*($A4-Ft!F$2)^2)))</f>
        <v>0</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s="21">
        <v>535.70000000000005</v>
      </c>
      <c r="B5">
        <v>10400</v>
      </c>
      <c r="C5" s="1">
        <f t="shared" si="1"/>
        <v>10276.0335776757</v>
      </c>
      <c r="D5" s="3">
        <f t="shared" si="0"/>
        <v>15367.67386388667</v>
      </c>
      <c r="E5" s="3">
        <f>Ft!$B$12+Ft!$B$14*(Data!A5-Vars!$B$3)</f>
        <v>10233.393939393942</v>
      </c>
      <c r="F5" s="3">
        <f>IF(($A5-Ft!B$2)&lt;0,Ft!B$3*((1-Ft!B$6)/(1+Ft!B$37*($A5-Ft!B$2)^2)+Ft!B$6*EXP(Ft!B$38*($A5-Ft!B$2)^2)),Ft!B$3*((1-Ft!B$7)/(1+Ft!B$39*($A5-Ft!B$2)^2)+Ft!B$7*EXP(Ft!B$40*($A5-Ft!B$2)^2)))</f>
        <v>32.683377387465143</v>
      </c>
      <c r="G5" s="3">
        <f>IF(($A5-Ft!C$2)&lt;0,Ft!C$3*((1-Ft!C$6)/(1+Ft!C$37*($A5-Ft!C$2)^2)+Ft!C$6*EXP(Ft!C$38*($A5-Ft!C$2)^2)),Ft!C$3*((1-Ft!C$7)/(1+Ft!C$39*($A5-Ft!C$2)^2)+Ft!C$7*EXP(Ft!C$40*($A5-Ft!C$2)^2)))</f>
        <v>9.9562608942928801</v>
      </c>
      <c r="H5" s="3">
        <f>IF(($A5-Ft!D$2)&lt;0,Ft!D$3*((1-Ft!D$6)/(1+Ft!D$37*($A5-Ft!D$2)^2)+Ft!D$6*EXP(Ft!D$38*($A5-Ft!D$2)^2)),Ft!D$3*((1-Ft!D$7)/(1+Ft!D$39*($A5-Ft!D$2)^2)+Ft!D$7*EXP(Ft!D$40*($A5-Ft!D$2)^2)))</f>
        <v>0</v>
      </c>
      <c r="I5" s="3">
        <f>IF(($A5-Ft!E$2)&lt;0,Ft!E$3*((1-Ft!E$6)/(1+Ft!E$37*($A5-Ft!E$2)^2)+Ft!E$6*EXP(Ft!E$38*($A5-Ft!E$2)^2)),Ft!E$3*((1-Ft!E$7)/(1+Ft!E$39*($A5-Ft!E$2)^2)+Ft!E$7*EXP(Ft!E$40*($A5-Ft!E$2)^2)))</f>
        <v>0</v>
      </c>
      <c r="J5" s="3">
        <f>IF(($A5-Ft!F$2)&lt;0,Ft!F$3*((1-Ft!F$6)/(1+Ft!F$37*($A5-Ft!F$2)^2)+Ft!F$6*EXP(Ft!F$38*($A5-Ft!F$2)^2)),Ft!F$3*((1-Ft!F$7)/(1+Ft!F$39*($A5-Ft!F$2)^2)+Ft!F$7*EXP(Ft!F$40*($A5-Ft!F$2)^2)))</f>
        <v>0</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s="21">
        <v>535.6</v>
      </c>
      <c r="B6">
        <v>10321</v>
      </c>
      <c r="C6" s="1">
        <f t="shared" si="1"/>
        <v>10271.983792163275</v>
      </c>
      <c r="D6" s="3">
        <f t="shared" si="0"/>
        <v>2402.5886306930006</v>
      </c>
      <c r="E6" s="3">
        <f>Ft!$B$12+Ft!$B$14*(Data!A6-Vars!$B$3)</f>
        <v>10227.858585858587</v>
      </c>
      <c r="F6" s="3">
        <f>IF(($A6-Ft!B$2)&lt;0,Ft!B$3*((1-Ft!B$6)/(1+Ft!B$37*($A6-Ft!B$2)^2)+Ft!B$6*EXP(Ft!B$38*($A6-Ft!B$2)^2)),Ft!B$3*((1-Ft!B$7)/(1+Ft!B$39*($A6-Ft!B$2)^2)+Ft!B$7*EXP(Ft!B$40*($A6-Ft!B$2)^2)))</f>
        <v>33.739295893315479</v>
      </c>
      <c r="G6" s="3">
        <f>IF(($A6-Ft!C$2)&lt;0,Ft!C$3*((1-Ft!C$6)/(1+Ft!C$37*($A6-Ft!C$2)^2)+Ft!C$6*EXP(Ft!C$38*($A6-Ft!C$2)^2)),Ft!C$3*((1-Ft!C$7)/(1+Ft!C$39*($A6-Ft!C$2)^2)+Ft!C$7*EXP(Ft!C$40*($A6-Ft!C$2)^2)))</f>
        <v>10.385910411372782</v>
      </c>
      <c r="H6" s="3">
        <f>IF(($A6-Ft!D$2)&lt;0,Ft!D$3*((1-Ft!D$6)/(1+Ft!D$37*($A6-Ft!D$2)^2)+Ft!D$6*EXP(Ft!D$38*($A6-Ft!D$2)^2)),Ft!D$3*((1-Ft!D$7)/(1+Ft!D$39*($A6-Ft!D$2)^2)+Ft!D$7*EXP(Ft!D$40*($A6-Ft!D$2)^2)))</f>
        <v>0</v>
      </c>
      <c r="I6" s="3">
        <f>IF(($A6-Ft!E$2)&lt;0,Ft!E$3*((1-Ft!E$6)/(1+Ft!E$37*($A6-Ft!E$2)^2)+Ft!E$6*EXP(Ft!E$38*($A6-Ft!E$2)^2)),Ft!E$3*((1-Ft!E$7)/(1+Ft!E$39*($A6-Ft!E$2)^2)+Ft!E$7*EXP(Ft!E$40*($A6-Ft!E$2)^2)))</f>
        <v>0</v>
      </c>
      <c r="J6" s="3">
        <f>IF(($A6-Ft!F$2)&lt;0,Ft!F$3*((1-Ft!F$6)/(1+Ft!F$37*($A6-Ft!F$2)^2)+Ft!F$6*EXP(Ft!F$38*($A6-Ft!F$2)^2)),Ft!F$3*((1-Ft!F$7)/(1+Ft!F$39*($A6-Ft!F$2)^2)+Ft!F$7*EXP(Ft!F$40*($A6-Ft!F$2)^2)))</f>
        <v>0</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s="21">
        <v>535.5</v>
      </c>
      <c r="B7">
        <v>10258</v>
      </c>
      <c r="C7" s="1">
        <f t="shared" si="1"/>
        <v>10268.021848820465</v>
      </c>
      <c r="D7" s="3">
        <f t="shared" si="0"/>
        <v>100.43745378024737</v>
      </c>
      <c r="E7" s="3">
        <f>Ft!$B$12+Ft!$B$14*(Data!A7-Vars!$B$3)</f>
        <v>10222.323232323231</v>
      </c>
      <c r="F7" s="3">
        <f>IF(($A7-Ft!B$2)&lt;0,Ft!B$3*((1-Ft!B$6)/(1+Ft!B$37*($A7-Ft!B$2)^2)+Ft!B$6*EXP(Ft!B$38*($A7-Ft!B$2)^2)),Ft!B$3*((1-Ft!B$7)/(1+Ft!B$39*($A7-Ft!B$2)^2)+Ft!B$7*EXP(Ft!B$40*($A7-Ft!B$2)^2)))</f>
        <v>34.846953973416589</v>
      </c>
      <c r="G7" s="3">
        <f>IF(($A7-Ft!C$2)&lt;0,Ft!C$3*((1-Ft!C$6)/(1+Ft!C$37*($A7-Ft!C$2)^2)+Ft!C$6*EXP(Ft!C$38*($A7-Ft!C$2)^2)),Ft!C$3*((1-Ft!C$7)/(1+Ft!C$39*($A7-Ft!C$2)^2)+Ft!C$7*EXP(Ft!C$40*($A7-Ft!C$2)^2)))</f>
        <v>10.851662523816234</v>
      </c>
      <c r="H7" s="3">
        <f>IF(($A7-Ft!D$2)&lt;0,Ft!D$3*((1-Ft!D$6)/(1+Ft!D$37*($A7-Ft!D$2)^2)+Ft!D$6*EXP(Ft!D$38*($A7-Ft!D$2)^2)),Ft!D$3*((1-Ft!D$7)/(1+Ft!D$39*($A7-Ft!D$2)^2)+Ft!D$7*EXP(Ft!D$40*($A7-Ft!D$2)^2)))</f>
        <v>0</v>
      </c>
      <c r="I7" s="3">
        <f>IF(($A7-Ft!E$2)&lt;0,Ft!E$3*((1-Ft!E$6)/(1+Ft!E$37*($A7-Ft!E$2)^2)+Ft!E$6*EXP(Ft!E$38*($A7-Ft!E$2)^2)),Ft!E$3*((1-Ft!E$7)/(1+Ft!E$39*($A7-Ft!E$2)^2)+Ft!E$7*EXP(Ft!E$40*($A7-Ft!E$2)^2)))</f>
        <v>0</v>
      </c>
      <c r="J7" s="3">
        <f>IF(($A7-Ft!F$2)&lt;0,Ft!F$3*((1-Ft!F$6)/(1+Ft!F$37*($A7-Ft!F$2)^2)+Ft!F$6*EXP(Ft!F$38*($A7-Ft!F$2)^2)),Ft!F$3*((1-Ft!F$7)/(1+Ft!F$39*($A7-Ft!F$2)^2)+Ft!F$7*EXP(Ft!F$40*($A7-Ft!F$2)^2)))</f>
        <v>0</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s="21">
        <v>535.4</v>
      </c>
      <c r="B8">
        <v>10313</v>
      </c>
      <c r="C8" s="1">
        <f t="shared" si="1"/>
        <v>10264.158023599941</v>
      </c>
      <c r="D8" s="3">
        <f t="shared" si="0"/>
        <v>2385.5386586639338</v>
      </c>
      <c r="E8" s="3">
        <f>Ft!$B$12+Ft!$B$14*(Data!A8-Vars!$B$3)</f>
        <v>10216.787878787878</v>
      </c>
      <c r="F8" s="3">
        <f>IF(($A8-Ft!B$2)&lt;0,Ft!B$3*((1-Ft!B$6)/(1+Ft!B$37*($A8-Ft!B$2)^2)+Ft!B$6*EXP(Ft!B$38*($A8-Ft!B$2)^2)),Ft!B$3*((1-Ft!B$7)/(1+Ft!B$39*($A8-Ft!B$2)^2)+Ft!B$7*EXP(Ft!B$40*($A8-Ft!B$2)^2)))</f>
        <v>36.009769211251644</v>
      </c>
      <c r="G8" s="3">
        <f>IF(($A8-Ft!C$2)&lt;0,Ft!C$3*((1-Ft!C$6)/(1+Ft!C$37*($A8-Ft!C$2)^2)+Ft!C$6*EXP(Ft!C$38*($A8-Ft!C$2)^2)),Ft!C$3*((1-Ft!C$7)/(1+Ft!C$39*($A8-Ft!C$2)^2)+Ft!C$7*EXP(Ft!C$40*($A8-Ft!C$2)^2)))</f>
        <v>11.360375600811087</v>
      </c>
      <c r="H8" s="3">
        <f>IF(($A8-Ft!D$2)&lt;0,Ft!D$3*((1-Ft!D$6)/(1+Ft!D$37*($A8-Ft!D$2)^2)+Ft!D$6*EXP(Ft!D$38*($A8-Ft!D$2)^2)),Ft!D$3*((1-Ft!D$7)/(1+Ft!D$39*($A8-Ft!D$2)^2)+Ft!D$7*EXP(Ft!D$40*($A8-Ft!D$2)^2)))</f>
        <v>0</v>
      </c>
      <c r="I8" s="3">
        <f>IF(($A8-Ft!E$2)&lt;0,Ft!E$3*((1-Ft!E$6)/(1+Ft!E$37*($A8-Ft!E$2)^2)+Ft!E$6*EXP(Ft!E$38*($A8-Ft!E$2)^2)),Ft!E$3*((1-Ft!E$7)/(1+Ft!E$39*($A8-Ft!E$2)^2)+Ft!E$7*EXP(Ft!E$40*($A8-Ft!E$2)^2)))</f>
        <v>0</v>
      </c>
      <c r="J8" s="3">
        <f>IF(($A8-Ft!F$2)&lt;0,Ft!F$3*((1-Ft!F$6)/(1+Ft!F$37*($A8-Ft!F$2)^2)+Ft!F$6*EXP(Ft!F$38*($A8-Ft!F$2)^2)),Ft!F$3*((1-Ft!F$7)/(1+Ft!F$39*($A8-Ft!F$2)^2)+Ft!F$7*EXP(Ft!F$40*($A8-Ft!F$2)^2)))</f>
        <v>0</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s="21">
        <v>535.29999999999995</v>
      </c>
      <c r="B9">
        <v>10219</v>
      </c>
      <c r="C9" s="1">
        <f t="shared" si="1"/>
        <v>10260.404928266496</v>
      </c>
      <c r="D9" s="3">
        <f t="shared" si="0"/>
        <v>1714.3680847537148</v>
      </c>
      <c r="E9" s="3">
        <f>Ft!$B$12+Ft!$B$14*(Data!A9-Vars!$B$3)</f>
        <v>10211.252525252523</v>
      </c>
      <c r="F9" s="3">
        <f>IF(($A9-Ft!B$2)&lt;0,Ft!B$3*((1-Ft!B$6)/(1+Ft!B$37*($A9-Ft!B$2)^2)+Ft!B$6*EXP(Ft!B$38*($A9-Ft!B$2)^2)),Ft!B$3*((1-Ft!B$7)/(1+Ft!B$39*($A9-Ft!B$2)^2)+Ft!B$7*EXP(Ft!B$40*($A9-Ft!B$2)^2)))</f>
        <v>37.231444446112825</v>
      </c>
      <c r="G9" s="3">
        <f>IF(($A9-Ft!C$2)&lt;0,Ft!C$3*((1-Ft!C$6)/(1+Ft!C$37*($A9-Ft!C$2)^2)+Ft!C$6*EXP(Ft!C$38*($A9-Ft!C$2)^2)),Ft!C$3*((1-Ft!C$7)/(1+Ft!C$39*($A9-Ft!C$2)^2)+Ft!C$7*EXP(Ft!C$40*($A9-Ft!C$2)^2)))</f>
        <v>11.920958567859346</v>
      </c>
      <c r="H9" s="3">
        <f>IF(($A9-Ft!D$2)&lt;0,Ft!D$3*((1-Ft!D$6)/(1+Ft!D$37*($A9-Ft!D$2)^2)+Ft!D$6*EXP(Ft!D$38*($A9-Ft!D$2)^2)),Ft!D$3*((1-Ft!D$7)/(1+Ft!D$39*($A9-Ft!D$2)^2)+Ft!D$7*EXP(Ft!D$40*($A9-Ft!D$2)^2)))</f>
        <v>0</v>
      </c>
      <c r="I9" s="3">
        <f>IF(($A9-Ft!E$2)&lt;0,Ft!E$3*((1-Ft!E$6)/(1+Ft!E$37*($A9-Ft!E$2)^2)+Ft!E$6*EXP(Ft!E$38*($A9-Ft!E$2)^2)),Ft!E$3*((1-Ft!E$7)/(1+Ft!E$39*($A9-Ft!E$2)^2)+Ft!E$7*EXP(Ft!E$40*($A9-Ft!E$2)^2)))</f>
        <v>0</v>
      </c>
      <c r="J9" s="3">
        <f>IF(($A9-Ft!F$2)&lt;0,Ft!F$3*((1-Ft!F$6)/(1+Ft!F$37*($A9-Ft!F$2)^2)+Ft!F$6*EXP(Ft!F$38*($A9-Ft!F$2)^2)),Ft!F$3*((1-Ft!F$7)/(1+Ft!F$39*($A9-Ft!F$2)^2)+Ft!F$7*EXP(Ft!F$40*($A9-Ft!F$2)^2)))</f>
        <v>0</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s="21">
        <v>535.20000000000005</v>
      </c>
      <c r="B10">
        <v>10163</v>
      </c>
      <c r="C10" s="1">
        <f t="shared" si="1"/>
        <v>10256.778165804681</v>
      </c>
      <c r="D10" s="3">
        <f t="shared" si="0"/>
        <v>8794.3443816901672</v>
      </c>
      <c r="E10" s="3">
        <f>Ft!$B$12+Ft!$B$14*(Data!A10-Vars!$B$3)</f>
        <v>10205.717171717173</v>
      </c>
      <c r="F10" s="3">
        <f>IF(($A10-Ft!B$2)&lt;0,Ft!B$3*((1-Ft!B$6)/(1+Ft!B$37*($A10-Ft!B$2)^2)+Ft!B$6*EXP(Ft!B$38*($A10-Ft!B$2)^2)),Ft!B$3*((1-Ft!B$7)/(1+Ft!B$39*($A10-Ft!B$2)^2)+Ft!B$7*EXP(Ft!B$40*($A10-Ft!B$2)^2)))</f>
        <v>38.515996650314435</v>
      </c>
      <c r="G10" s="3">
        <f>IF(($A10-Ft!C$2)&lt;0,Ft!C$3*((1-Ft!C$6)/(1+Ft!C$37*($A10-Ft!C$2)^2)+Ft!C$6*EXP(Ft!C$38*($A10-Ft!C$2)^2)),Ft!C$3*((1-Ft!C$7)/(1+Ft!C$39*($A10-Ft!C$2)^2)+Ft!C$7*EXP(Ft!C$40*($A10-Ft!C$2)^2)))</f>
        <v>12.544997437193505</v>
      </c>
      <c r="H10" s="3">
        <f>IF(($A10-Ft!D$2)&lt;0,Ft!D$3*((1-Ft!D$6)/(1+Ft!D$37*($A10-Ft!D$2)^2)+Ft!D$6*EXP(Ft!D$38*($A10-Ft!D$2)^2)),Ft!D$3*((1-Ft!D$7)/(1+Ft!D$39*($A10-Ft!D$2)^2)+Ft!D$7*EXP(Ft!D$40*($A10-Ft!D$2)^2)))</f>
        <v>0</v>
      </c>
      <c r="I10" s="3">
        <f>IF(($A10-Ft!E$2)&lt;0,Ft!E$3*((1-Ft!E$6)/(1+Ft!E$37*($A10-Ft!E$2)^2)+Ft!E$6*EXP(Ft!E$38*($A10-Ft!E$2)^2)),Ft!E$3*((1-Ft!E$7)/(1+Ft!E$39*($A10-Ft!E$2)^2)+Ft!E$7*EXP(Ft!E$40*($A10-Ft!E$2)^2)))</f>
        <v>0</v>
      </c>
      <c r="J10" s="3">
        <f>IF(($A10-Ft!F$2)&lt;0,Ft!F$3*((1-Ft!F$6)/(1+Ft!F$37*($A10-Ft!F$2)^2)+Ft!F$6*EXP(Ft!F$38*($A10-Ft!F$2)^2)),Ft!F$3*((1-Ft!F$7)/(1+Ft!F$39*($A10-Ft!F$2)^2)+Ft!F$7*EXP(Ft!F$40*($A10-Ft!F$2)^2)))</f>
        <v>0</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s="21">
        <v>535.1</v>
      </c>
      <c r="B11">
        <v>10262</v>
      </c>
      <c r="C11" s="1">
        <f t="shared" si="1"/>
        <v>10253.297147093544</v>
      </c>
      <c r="D11" s="3">
        <f t="shared" si="0"/>
        <v>75.739648711401273</v>
      </c>
      <c r="E11" s="3">
        <f>Ft!$B$12+Ft!$B$14*(Data!A11-Vars!$B$3)</f>
        <v>10200.18181818182</v>
      </c>
      <c r="F11" s="3">
        <f>IF(($A11-Ft!B$2)&lt;0,Ft!B$3*((1-Ft!B$6)/(1+Ft!B$37*($A11-Ft!B$2)^2)+Ft!B$6*EXP(Ft!B$38*($A11-Ft!B$2)^2)),Ft!B$3*((1-Ft!B$7)/(1+Ft!B$39*($A11-Ft!B$2)^2)+Ft!B$7*EXP(Ft!B$40*($A11-Ft!B$2)^2)))</f>
        <v>39.86778925249925</v>
      </c>
      <c r="G11" s="3">
        <f>IF(($A11-Ft!C$2)&lt;0,Ft!C$3*((1-Ft!C$6)/(1+Ft!C$37*($A11-Ft!C$2)^2)+Ft!C$6*EXP(Ft!C$38*($A11-Ft!C$2)^2)),Ft!C$3*((1-Ft!C$7)/(1+Ft!C$39*($A11-Ft!C$2)^2)+Ft!C$7*EXP(Ft!C$40*($A11-Ft!C$2)^2)))</f>
        <v>13.247539659225891</v>
      </c>
      <c r="H11" s="3">
        <f>IF(($A11-Ft!D$2)&lt;0,Ft!D$3*((1-Ft!D$6)/(1+Ft!D$37*($A11-Ft!D$2)^2)+Ft!D$6*EXP(Ft!D$38*($A11-Ft!D$2)^2)),Ft!D$3*((1-Ft!D$7)/(1+Ft!D$39*($A11-Ft!D$2)^2)+Ft!D$7*EXP(Ft!D$40*($A11-Ft!D$2)^2)))</f>
        <v>0</v>
      </c>
      <c r="I11" s="3">
        <f>IF(($A11-Ft!E$2)&lt;0,Ft!E$3*((1-Ft!E$6)/(1+Ft!E$37*($A11-Ft!E$2)^2)+Ft!E$6*EXP(Ft!E$38*($A11-Ft!E$2)^2)),Ft!E$3*((1-Ft!E$7)/(1+Ft!E$39*($A11-Ft!E$2)^2)+Ft!E$7*EXP(Ft!E$40*($A11-Ft!E$2)^2)))</f>
        <v>0</v>
      </c>
      <c r="J11" s="3">
        <f>IF(($A11-Ft!F$2)&lt;0,Ft!F$3*((1-Ft!F$6)/(1+Ft!F$37*($A11-Ft!F$2)^2)+Ft!F$6*EXP(Ft!F$38*($A11-Ft!F$2)^2)),Ft!F$3*((1-Ft!F$7)/(1+Ft!F$39*($A11-Ft!F$2)^2)+Ft!F$7*EXP(Ft!F$40*($A11-Ft!F$2)^2)))</f>
        <v>0</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s="21">
        <v>535</v>
      </c>
      <c r="B12">
        <v>10203</v>
      </c>
      <c r="C12" s="1">
        <f t="shared" si="1"/>
        <v>10249.986093522994</v>
      </c>
      <c r="D12" s="3">
        <f t="shared" si="0"/>
        <v>2207.6929845514956</v>
      </c>
      <c r="E12" s="3">
        <f>Ft!$B$12+Ft!$B$14*(Data!A12-Vars!$B$3)</f>
        <v>10194.646464646465</v>
      </c>
      <c r="F12" s="3">
        <f>IF(($A12-Ft!B$2)&lt;0,Ft!B$3*((1-Ft!B$6)/(1+Ft!B$37*($A12-Ft!B$2)^2)+Ft!B$6*EXP(Ft!B$38*($A12-Ft!B$2)^2)),Ft!B$3*((1-Ft!B$7)/(1+Ft!B$39*($A12-Ft!B$2)^2)+Ft!B$7*EXP(Ft!B$40*($A12-Ft!B$2)^2)))</f>
        <v>41.291568381721973</v>
      </c>
      <c r="G12" s="3">
        <f>IF(($A12-Ft!C$2)&lt;0,Ft!C$3*((1-Ft!C$6)/(1+Ft!C$37*($A12-Ft!C$2)^2)+Ft!C$6*EXP(Ft!C$38*($A12-Ft!C$2)^2)),Ft!C$3*((1-Ft!C$7)/(1+Ft!C$39*($A12-Ft!C$2)^2)+Ft!C$7*EXP(Ft!C$40*($A12-Ft!C$2)^2)))</f>
        <v>14.04806049480591</v>
      </c>
      <c r="H12" s="3">
        <f>IF(($A12-Ft!D$2)&lt;0,Ft!D$3*((1-Ft!D$6)/(1+Ft!D$37*($A12-Ft!D$2)^2)+Ft!D$6*EXP(Ft!D$38*($A12-Ft!D$2)^2)),Ft!D$3*((1-Ft!D$7)/(1+Ft!D$39*($A12-Ft!D$2)^2)+Ft!D$7*EXP(Ft!D$40*($A12-Ft!D$2)^2)))</f>
        <v>0</v>
      </c>
      <c r="I12" s="3">
        <f>IF(($A12-Ft!E$2)&lt;0,Ft!E$3*((1-Ft!E$6)/(1+Ft!E$37*($A12-Ft!E$2)^2)+Ft!E$6*EXP(Ft!E$38*($A12-Ft!E$2)^2)),Ft!E$3*((1-Ft!E$7)/(1+Ft!E$39*($A12-Ft!E$2)^2)+Ft!E$7*EXP(Ft!E$40*($A12-Ft!E$2)^2)))</f>
        <v>0</v>
      </c>
      <c r="J12" s="3">
        <f>IF(($A12-Ft!F$2)&lt;0,Ft!F$3*((1-Ft!F$6)/(1+Ft!F$37*($A12-Ft!F$2)^2)+Ft!F$6*EXP(Ft!F$38*($A12-Ft!F$2)^2)),Ft!F$3*((1-Ft!F$7)/(1+Ft!F$39*($A12-Ft!F$2)^2)+Ft!F$7*EXP(Ft!F$40*($A12-Ft!F$2)^2)))</f>
        <v>0</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s="21">
        <v>534.9</v>
      </c>
      <c r="B13">
        <v>10193</v>
      </c>
      <c r="C13" s="1">
        <f t="shared" si="1"/>
        <v>10246.875247993801</v>
      </c>
      <c r="D13" s="3">
        <f t="shared" si="0"/>
        <v>2902.5423463935767</v>
      </c>
      <c r="E13" s="3">
        <f>Ft!$B$12+Ft!$B$14*(Data!A13-Vars!$B$3)</f>
        <v>10189.111111111109</v>
      </c>
      <c r="F13" s="3">
        <f>IF(($A13-Ft!B$2)&lt;0,Ft!B$3*((1-Ft!B$6)/(1+Ft!B$37*($A13-Ft!B$2)^2)+Ft!B$6*EXP(Ft!B$38*($A13-Ft!B$2)^2)),Ft!B$3*((1-Ft!B$7)/(1+Ft!B$39*($A13-Ft!B$2)^2)+Ft!B$7*EXP(Ft!B$40*($A13-Ft!B$2)^2)))</f>
        <v>42.792503581310868</v>
      </c>
      <c r="G13" s="3">
        <f>IF(($A13-Ft!C$2)&lt;0,Ft!C$3*((1-Ft!C$6)/(1+Ft!C$37*($A13-Ft!C$2)^2)+Ft!C$6*EXP(Ft!C$38*($A13-Ft!C$2)^2)),Ft!C$3*((1-Ft!C$7)/(1+Ft!C$39*($A13-Ft!C$2)^2)+Ft!C$7*EXP(Ft!C$40*($A13-Ft!C$2)^2)))</f>
        <v>14.971633301380427</v>
      </c>
      <c r="H13" s="3">
        <f>IF(($A13-Ft!D$2)&lt;0,Ft!D$3*((1-Ft!D$6)/(1+Ft!D$37*($A13-Ft!D$2)^2)+Ft!D$6*EXP(Ft!D$38*($A13-Ft!D$2)^2)),Ft!D$3*((1-Ft!D$7)/(1+Ft!D$39*($A13-Ft!D$2)^2)+Ft!D$7*EXP(Ft!D$40*($A13-Ft!D$2)^2)))</f>
        <v>0</v>
      </c>
      <c r="I13" s="3">
        <f>IF(($A13-Ft!E$2)&lt;0,Ft!E$3*((1-Ft!E$6)/(1+Ft!E$37*($A13-Ft!E$2)^2)+Ft!E$6*EXP(Ft!E$38*($A13-Ft!E$2)^2)),Ft!E$3*((1-Ft!E$7)/(1+Ft!E$39*($A13-Ft!E$2)^2)+Ft!E$7*EXP(Ft!E$40*($A13-Ft!E$2)^2)))</f>
        <v>0</v>
      </c>
      <c r="J13" s="3">
        <f>IF(($A13-Ft!F$2)&lt;0,Ft!F$3*((1-Ft!F$6)/(1+Ft!F$37*($A13-Ft!F$2)^2)+Ft!F$6*EXP(Ft!F$38*($A13-Ft!F$2)^2)),Ft!F$3*((1-Ft!F$7)/(1+Ft!F$39*($A13-Ft!F$2)^2)+Ft!F$7*EXP(Ft!F$40*($A13-Ft!F$2)^2)))</f>
        <v>0</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s="21">
        <v>534.79999999999995</v>
      </c>
      <c r="B14">
        <v>10226</v>
      </c>
      <c r="C14" s="1">
        <f t="shared" si="1"/>
        <v>10244.002311633703</v>
      </c>
      <c r="D14" s="3">
        <f t="shared" si="0"/>
        <v>324.08322415697126</v>
      </c>
      <c r="E14" s="3">
        <f>Ft!$B$12+Ft!$B$14*(Data!A14-Vars!$B$3)</f>
        <v>10183.575757575754</v>
      </c>
      <c r="F14" s="3">
        <f>IF(($A14-Ft!B$2)&lt;0,Ft!B$3*((1-Ft!B$6)/(1+Ft!B$37*($A14-Ft!B$2)^2)+Ft!B$6*EXP(Ft!B$38*($A14-Ft!B$2)^2)),Ft!B$3*((1-Ft!B$7)/(1+Ft!B$39*($A14-Ft!B$2)^2)+Ft!B$7*EXP(Ft!B$40*($A14-Ft!B$2)^2)))</f>
        <v>44.376233628745624</v>
      </c>
      <c r="G14" s="3">
        <f>IF(($A14-Ft!C$2)&lt;0,Ft!C$3*((1-Ft!C$6)/(1+Ft!C$37*($A14-Ft!C$2)^2)+Ft!C$6*EXP(Ft!C$38*($A14-Ft!C$2)^2)),Ft!C$3*((1-Ft!C$7)/(1+Ft!C$39*($A14-Ft!C$2)^2)+Ft!C$7*EXP(Ft!C$40*($A14-Ft!C$2)^2)))</f>
        <v>16.050320429203929</v>
      </c>
      <c r="H14" s="3">
        <f>IF(($A14-Ft!D$2)&lt;0,Ft!D$3*((1-Ft!D$6)/(1+Ft!D$37*($A14-Ft!D$2)^2)+Ft!D$6*EXP(Ft!D$38*($A14-Ft!D$2)^2)),Ft!D$3*((1-Ft!D$7)/(1+Ft!D$39*($A14-Ft!D$2)^2)+Ft!D$7*EXP(Ft!D$40*($A14-Ft!D$2)^2)))</f>
        <v>0</v>
      </c>
      <c r="I14" s="3">
        <f>IF(($A14-Ft!E$2)&lt;0,Ft!E$3*((1-Ft!E$6)/(1+Ft!E$37*($A14-Ft!E$2)^2)+Ft!E$6*EXP(Ft!E$38*($A14-Ft!E$2)^2)),Ft!E$3*((1-Ft!E$7)/(1+Ft!E$39*($A14-Ft!E$2)^2)+Ft!E$7*EXP(Ft!E$40*($A14-Ft!E$2)^2)))</f>
        <v>0</v>
      </c>
      <c r="J14" s="3">
        <f>IF(($A14-Ft!F$2)&lt;0,Ft!F$3*((1-Ft!F$6)/(1+Ft!F$37*($A14-Ft!F$2)^2)+Ft!F$6*EXP(Ft!F$38*($A14-Ft!F$2)^2)),Ft!F$3*((1-Ft!F$7)/(1+Ft!F$39*($A14-Ft!F$2)^2)+Ft!F$7*EXP(Ft!F$40*($A14-Ft!F$2)^2)))</f>
        <v>0</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s="21">
        <v>534.70000000000005</v>
      </c>
      <c r="B15">
        <v>10212</v>
      </c>
      <c r="C15" s="1">
        <f t="shared" si="1"/>
        <v>10241.414114781172</v>
      </c>
      <c r="D15" s="3">
        <f t="shared" si="0"/>
        <v>865.19014835993289</v>
      </c>
      <c r="E15" s="3">
        <f>Ft!$B$12+Ft!$B$14*(Data!A15-Vars!$B$3)</f>
        <v>10178.040404040406</v>
      </c>
      <c r="F15" s="3">
        <f>IF(($A15-Ft!B$2)&lt;0,Ft!B$3*((1-Ft!B$6)/(1+Ft!B$37*($A15-Ft!B$2)^2)+Ft!B$6*EXP(Ft!B$38*($A15-Ft!B$2)^2)),Ft!B$3*((1-Ft!B$7)/(1+Ft!B$39*($A15-Ft!B$2)^2)+Ft!B$7*EXP(Ft!B$40*($A15-Ft!B$2)^2)))</f>
        <v>46.048918200662506</v>
      </c>
      <c r="G15" s="3">
        <f>IF(($A15-Ft!C$2)&lt;0,Ft!C$3*((1-Ft!C$6)/(1+Ft!C$37*($A15-Ft!C$2)^2)+Ft!C$6*EXP(Ft!C$38*($A15-Ft!C$2)^2)),Ft!C$3*((1-Ft!C$7)/(1+Ft!C$39*($A15-Ft!C$2)^2)+Ft!C$7*EXP(Ft!C$40*($A15-Ft!C$2)^2)))</f>
        <v>17.324792540102251</v>
      </c>
      <c r="H15" s="3">
        <f>IF(($A15-Ft!D$2)&lt;0,Ft!D$3*((1-Ft!D$6)/(1+Ft!D$37*($A15-Ft!D$2)^2)+Ft!D$6*EXP(Ft!D$38*($A15-Ft!D$2)^2)),Ft!D$3*((1-Ft!D$7)/(1+Ft!D$39*($A15-Ft!D$2)^2)+Ft!D$7*EXP(Ft!D$40*($A15-Ft!D$2)^2)))</f>
        <v>0</v>
      </c>
      <c r="I15" s="3">
        <f>IF(($A15-Ft!E$2)&lt;0,Ft!E$3*((1-Ft!E$6)/(1+Ft!E$37*($A15-Ft!E$2)^2)+Ft!E$6*EXP(Ft!E$38*($A15-Ft!E$2)^2)),Ft!E$3*((1-Ft!E$7)/(1+Ft!E$39*($A15-Ft!E$2)^2)+Ft!E$7*EXP(Ft!E$40*($A15-Ft!E$2)^2)))</f>
        <v>0</v>
      </c>
      <c r="J15" s="3">
        <f>IF(($A15-Ft!F$2)&lt;0,Ft!F$3*((1-Ft!F$6)/(1+Ft!F$37*($A15-Ft!F$2)^2)+Ft!F$6*EXP(Ft!F$38*($A15-Ft!F$2)^2)),Ft!F$3*((1-Ft!F$7)/(1+Ft!F$39*($A15-Ft!F$2)^2)+Ft!F$7*EXP(Ft!F$40*($A15-Ft!F$2)^2)))</f>
        <v>0</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s="21">
        <v>534.6</v>
      </c>
      <c r="B16">
        <v>10145</v>
      </c>
      <c r="C16" s="1">
        <f t="shared" si="1"/>
        <v>10239.168517580529</v>
      </c>
      <c r="D16" s="3">
        <f t="shared" si="0"/>
        <v>8867.7097033143455</v>
      </c>
      <c r="E16" s="3">
        <f>Ft!$B$12+Ft!$B$14*(Data!A16-Vars!$B$3)</f>
        <v>10172.505050505051</v>
      </c>
      <c r="F16" s="3">
        <f>IF(($A16-Ft!B$2)&lt;0,Ft!B$3*((1-Ft!B$6)/(1+Ft!B$37*($A16-Ft!B$2)^2)+Ft!B$6*EXP(Ft!B$38*($A16-Ft!B$2)^2)),Ft!B$3*((1-Ft!B$7)/(1+Ft!B$39*($A16-Ft!B$2)^2)+Ft!B$7*EXP(Ft!B$40*($A16-Ft!B$2)^2)))</f>
        <v>47.817296243574241</v>
      </c>
      <c r="G16" s="3">
        <f>IF(($A16-Ft!C$2)&lt;0,Ft!C$3*((1-Ft!C$6)/(1+Ft!C$37*($A16-Ft!C$2)^2)+Ft!C$6*EXP(Ft!C$38*($A16-Ft!C$2)^2)),Ft!C$3*((1-Ft!C$7)/(1+Ft!C$39*($A16-Ft!C$2)^2)+Ft!C$7*EXP(Ft!C$40*($A16-Ft!C$2)^2)))</f>
        <v>18.846170831903478</v>
      </c>
      <c r="H16" s="3">
        <f>IF(($A16-Ft!D$2)&lt;0,Ft!D$3*((1-Ft!D$6)/(1+Ft!D$37*($A16-Ft!D$2)^2)+Ft!D$6*EXP(Ft!D$38*($A16-Ft!D$2)^2)),Ft!D$3*((1-Ft!D$7)/(1+Ft!D$39*($A16-Ft!D$2)^2)+Ft!D$7*EXP(Ft!D$40*($A16-Ft!D$2)^2)))</f>
        <v>0</v>
      </c>
      <c r="I16" s="3">
        <f>IF(($A16-Ft!E$2)&lt;0,Ft!E$3*((1-Ft!E$6)/(1+Ft!E$37*($A16-Ft!E$2)^2)+Ft!E$6*EXP(Ft!E$38*($A16-Ft!E$2)^2)),Ft!E$3*((1-Ft!E$7)/(1+Ft!E$39*($A16-Ft!E$2)^2)+Ft!E$7*EXP(Ft!E$40*($A16-Ft!E$2)^2)))</f>
        <v>0</v>
      </c>
      <c r="J16" s="3">
        <f>IF(($A16-Ft!F$2)&lt;0,Ft!F$3*((1-Ft!F$6)/(1+Ft!F$37*($A16-Ft!F$2)^2)+Ft!F$6*EXP(Ft!F$38*($A16-Ft!F$2)^2)),Ft!F$3*((1-Ft!F$7)/(1+Ft!F$39*($A16-Ft!F$2)^2)+Ft!F$7*EXP(Ft!F$40*($A16-Ft!F$2)^2)))</f>
        <v>0</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s="21">
        <v>534.5</v>
      </c>
      <c r="B17">
        <v>10271</v>
      </c>
      <c r="C17" s="1">
        <f t="shared" si="1"/>
        <v>10237.336517283167</v>
      </c>
      <c r="D17" s="3">
        <f t="shared" si="0"/>
        <v>1133.2300686264959</v>
      </c>
      <c r="E17" s="3">
        <f>Ft!$B$12+Ft!$B$14*(Data!A17-Vars!$B$3)</f>
        <v>10166.969696969696</v>
      </c>
      <c r="F17" s="3">
        <f>IF(($A17-Ft!B$2)&lt;0,Ft!B$3*((1-Ft!B$6)/(1+Ft!B$37*($A17-Ft!B$2)^2)+Ft!B$6*EXP(Ft!B$38*($A17-Ft!B$2)^2)),Ft!B$3*((1-Ft!B$7)/(1+Ft!B$39*($A17-Ft!B$2)^2)+Ft!B$7*EXP(Ft!B$40*($A17-Ft!B$2)^2)))</f>
        <v>49.688752054700615</v>
      </c>
      <c r="G17" s="3">
        <f>IF(($A17-Ft!C$2)&lt;0,Ft!C$3*((1-Ft!C$6)/(1+Ft!C$37*($A17-Ft!C$2)^2)+Ft!C$6*EXP(Ft!C$38*($A17-Ft!C$2)^2)),Ft!C$3*((1-Ft!C$7)/(1+Ft!C$39*($A17-Ft!C$2)^2)+Ft!C$7*EXP(Ft!C$40*($A17-Ft!C$2)^2)))</f>
        <v>20.678068258771287</v>
      </c>
      <c r="H17" s="3">
        <f>IF(($A17-Ft!D$2)&lt;0,Ft!D$3*((1-Ft!D$6)/(1+Ft!D$37*($A17-Ft!D$2)^2)+Ft!D$6*EXP(Ft!D$38*($A17-Ft!D$2)^2)),Ft!D$3*((1-Ft!D$7)/(1+Ft!D$39*($A17-Ft!D$2)^2)+Ft!D$7*EXP(Ft!D$40*($A17-Ft!D$2)^2)))</f>
        <v>0</v>
      </c>
      <c r="I17" s="3">
        <f>IF(($A17-Ft!E$2)&lt;0,Ft!E$3*((1-Ft!E$6)/(1+Ft!E$37*($A17-Ft!E$2)^2)+Ft!E$6*EXP(Ft!E$38*($A17-Ft!E$2)^2)),Ft!E$3*((1-Ft!E$7)/(1+Ft!E$39*($A17-Ft!E$2)^2)+Ft!E$7*EXP(Ft!E$40*($A17-Ft!E$2)^2)))</f>
        <v>0</v>
      </c>
      <c r="J17" s="3">
        <f>IF(($A17-Ft!F$2)&lt;0,Ft!F$3*((1-Ft!F$6)/(1+Ft!F$37*($A17-Ft!F$2)^2)+Ft!F$6*EXP(Ft!F$38*($A17-Ft!F$2)^2)),Ft!F$3*((1-Ft!F$7)/(1+Ft!F$39*($A17-Ft!F$2)^2)+Ft!F$7*EXP(Ft!F$40*($A17-Ft!F$2)^2)))</f>
        <v>0</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s="21">
        <v>534.4</v>
      </c>
      <c r="B18">
        <v>10267</v>
      </c>
      <c r="C18" s="1">
        <f t="shared" si="1"/>
        <v>10236.004515717848</v>
      </c>
      <c r="D18" s="3">
        <f t="shared" si="0"/>
        <v>960.72004588511095</v>
      </c>
      <c r="E18" s="3">
        <f>Ft!$B$12+Ft!$B$14*(Data!A18-Vars!$B$3)</f>
        <v>10161.434343434343</v>
      </c>
      <c r="F18" s="3">
        <f>IF(($A18-Ft!B$2)&lt;0,Ft!B$3*((1-Ft!B$6)/(1+Ft!B$37*($A18-Ft!B$2)^2)+Ft!B$6*EXP(Ft!B$38*($A18-Ft!B$2)^2)),Ft!B$3*((1-Ft!B$7)/(1+Ft!B$39*($A18-Ft!B$2)^2)+Ft!B$7*EXP(Ft!B$40*($A18-Ft!B$2)^2)))</f>
        <v>51.671390248172919</v>
      </c>
      <c r="G18" s="3">
        <f>IF(($A18-Ft!C$2)&lt;0,Ft!C$3*((1-Ft!C$6)/(1+Ft!C$37*($A18-Ft!C$2)^2)+Ft!C$6*EXP(Ft!C$38*($A18-Ft!C$2)^2)),Ft!C$3*((1-Ft!C$7)/(1+Ft!C$39*($A18-Ft!C$2)^2)+Ft!C$7*EXP(Ft!C$40*($A18-Ft!C$2)^2)))</f>
        <v>22.898782035332911</v>
      </c>
      <c r="H18" s="3">
        <f>IF(($A18-Ft!D$2)&lt;0,Ft!D$3*((1-Ft!D$6)/(1+Ft!D$37*($A18-Ft!D$2)^2)+Ft!D$6*EXP(Ft!D$38*($A18-Ft!D$2)^2)),Ft!D$3*((1-Ft!D$7)/(1+Ft!D$39*($A18-Ft!D$2)^2)+Ft!D$7*EXP(Ft!D$40*($A18-Ft!D$2)^2)))</f>
        <v>0</v>
      </c>
      <c r="I18" s="3">
        <f>IF(($A18-Ft!E$2)&lt;0,Ft!E$3*((1-Ft!E$6)/(1+Ft!E$37*($A18-Ft!E$2)^2)+Ft!E$6*EXP(Ft!E$38*($A18-Ft!E$2)^2)),Ft!E$3*((1-Ft!E$7)/(1+Ft!E$39*($A18-Ft!E$2)^2)+Ft!E$7*EXP(Ft!E$40*($A18-Ft!E$2)^2)))</f>
        <v>0</v>
      </c>
      <c r="J18" s="3">
        <f>IF(($A18-Ft!F$2)&lt;0,Ft!F$3*((1-Ft!F$6)/(1+Ft!F$37*($A18-Ft!F$2)^2)+Ft!F$6*EXP(Ft!F$38*($A18-Ft!F$2)^2)),Ft!F$3*((1-Ft!F$7)/(1+Ft!F$39*($A18-Ft!F$2)^2)+Ft!F$7*EXP(Ft!F$40*($A18-Ft!F$2)^2)))</f>
        <v>0</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s="21">
        <v>534.29999999999995</v>
      </c>
      <c r="B19">
        <v>10196</v>
      </c>
      <c r="C19" s="1">
        <f t="shared" si="1"/>
        <v>10235.276671460473</v>
      </c>
      <c r="D19" s="3">
        <f t="shared" si="0"/>
        <v>1542.6569210139462</v>
      </c>
      <c r="E19" s="3">
        <f>Ft!$B$12+Ft!$B$14*(Data!A19-Vars!$B$3)</f>
        <v>10155.898989898988</v>
      </c>
      <c r="F19" s="3">
        <f>IF(($A19-Ft!B$2)&lt;0,Ft!B$3*((1-Ft!B$6)/(1+Ft!B$37*($A19-Ft!B$2)^2)+Ft!B$6*EXP(Ft!B$38*($A19-Ft!B$2)^2)),Ft!B$3*((1-Ft!B$7)/(1+Ft!B$39*($A19-Ft!B$2)^2)+Ft!B$7*EXP(Ft!B$40*($A19-Ft!B$2)^2)))</f>
        <v>53.774120985198749</v>
      </c>
      <c r="G19" s="3">
        <f>IF(($A19-Ft!C$2)&lt;0,Ft!C$3*((1-Ft!C$6)/(1+Ft!C$37*($A19-Ft!C$2)^2)+Ft!C$6*EXP(Ft!C$38*($A19-Ft!C$2)^2)),Ft!C$3*((1-Ft!C$7)/(1+Ft!C$39*($A19-Ft!C$2)^2)+Ft!C$7*EXP(Ft!C$40*($A19-Ft!C$2)^2)))</f>
        <v>25.603560576285723</v>
      </c>
      <c r="H19" s="3">
        <f>IF(($A19-Ft!D$2)&lt;0,Ft!D$3*((1-Ft!D$6)/(1+Ft!D$37*($A19-Ft!D$2)^2)+Ft!D$6*EXP(Ft!D$38*($A19-Ft!D$2)^2)),Ft!D$3*((1-Ft!D$7)/(1+Ft!D$39*($A19-Ft!D$2)^2)+Ft!D$7*EXP(Ft!D$40*($A19-Ft!D$2)^2)))</f>
        <v>0</v>
      </c>
      <c r="I19" s="3">
        <f>IF(($A19-Ft!E$2)&lt;0,Ft!E$3*((1-Ft!E$6)/(1+Ft!E$37*($A19-Ft!E$2)^2)+Ft!E$6*EXP(Ft!E$38*($A19-Ft!E$2)^2)),Ft!E$3*((1-Ft!E$7)/(1+Ft!E$39*($A19-Ft!E$2)^2)+Ft!E$7*EXP(Ft!E$40*($A19-Ft!E$2)^2)))</f>
        <v>0</v>
      </c>
      <c r="J19" s="3">
        <f>IF(($A19-Ft!F$2)&lt;0,Ft!F$3*((1-Ft!F$6)/(1+Ft!F$37*($A19-Ft!F$2)^2)+Ft!F$6*EXP(Ft!F$38*($A19-Ft!F$2)^2)),Ft!F$3*((1-Ft!F$7)/(1+Ft!F$39*($A19-Ft!F$2)^2)+Ft!F$7*EXP(Ft!F$40*($A19-Ft!F$2)^2)))</f>
        <v>0</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s="21">
        <v>534.20000000000005</v>
      </c>
      <c r="B20">
        <v>10274</v>
      </c>
      <c r="C20" s="1">
        <f t="shared" si="1"/>
        <v>10235.277227662338</v>
      </c>
      <c r="D20" s="3">
        <f t="shared" si="0"/>
        <v>1499.4530975143866</v>
      </c>
      <c r="E20" s="3">
        <f>Ft!$B$12+Ft!$B$14*(Data!A20-Vars!$B$3)</f>
        <v>10150.363636363638</v>
      </c>
      <c r="F20" s="3">
        <f>IF(($A20-Ft!B$2)&lt;0,Ft!B$3*((1-Ft!B$6)/(1+Ft!B$37*($A20-Ft!B$2)^2)+Ft!B$6*EXP(Ft!B$38*($A20-Ft!B$2)^2)),Ft!B$3*((1-Ft!B$7)/(1+Ft!B$39*($A20-Ft!B$2)^2)+Ft!B$7*EXP(Ft!B$40*($A20-Ft!B$2)^2)))</f>
        <v>56.006757089795762</v>
      </c>
      <c r="G20" s="3">
        <f>IF(($A20-Ft!C$2)&lt;0,Ft!C$3*((1-Ft!C$6)/(1+Ft!C$37*($A20-Ft!C$2)^2)+Ft!C$6*EXP(Ft!C$38*($A20-Ft!C$2)^2)),Ft!C$3*((1-Ft!C$7)/(1+Ft!C$39*($A20-Ft!C$2)^2)+Ft!C$7*EXP(Ft!C$40*($A20-Ft!C$2)^2)))</f>
        <v>28.906834208905181</v>
      </c>
      <c r="H20" s="3">
        <f>IF(($A20-Ft!D$2)&lt;0,Ft!D$3*((1-Ft!D$6)/(1+Ft!D$37*($A20-Ft!D$2)^2)+Ft!D$6*EXP(Ft!D$38*($A20-Ft!D$2)^2)),Ft!D$3*((1-Ft!D$7)/(1+Ft!D$39*($A20-Ft!D$2)^2)+Ft!D$7*EXP(Ft!D$40*($A20-Ft!D$2)^2)))</f>
        <v>0</v>
      </c>
      <c r="I20" s="3">
        <f>IF(($A20-Ft!E$2)&lt;0,Ft!E$3*((1-Ft!E$6)/(1+Ft!E$37*($A20-Ft!E$2)^2)+Ft!E$6*EXP(Ft!E$38*($A20-Ft!E$2)^2)),Ft!E$3*((1-Ft!E$7)/(1+Ft!E$39*($A20-Ft!E$2)^2)+Ft!E$7*EXP(Ft!E$40*($A20-Ft!E$2)^2)))</f>
        <v>0</v>
      </c>
      <c r="J20" s="3">
        <f>IF(($A20-Ft!F$2)&lt;0,Ft!F$3*((1-Ft!F$6)/(1+Ft!F$37*($A20-Ft!F$2)^2)+Ft!F$6*EXP(Ft!F$38*($A20-Ft!F$2)^2)),Ft!F$3*((1-Ft!F$7)/(1+Ft!F$39*($A20-Ft!F$2)^2)+Ft!F$7*EXP(Ft!F$40*($A20-Ft!F$2)^2)))</f>
        <v>0</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s="21">
        <v>534.1</v>
      </c>
      <c r="B21">
        <v>10335</v>
      </c>
      <c r="C21" s="1">
        <f t="shared" si="1"/>
        <v>10236.152669677793</v>
      </c>
      <c r="D21" s="3">
        <f t="shared" si="0"/>
        <v>9770.7947118275424</v>
      </c>
      <c r="E21" s="3">
        <f>Ft!$B$12+Ft!$B$14*(Data!A21-Vars!$B$3)</f>
        <v>10144.828282828285</v>
      </c>
      <c r="F21" s="3">
        <f>IF(($A21-Ft!B$2)&lt;0,Ft!B$3*((1-Ft!B$6)/(1+Ft!B$37*($A21-Ft!B$2)^2)+Ft!B$6*EXP(Ft!B$38*($A21-Ft!B$2)^2)),Ft!B$3*((1-Ft!B$7)/(1+Ft!B$39*($A21-Ft!B$2)^2)+Ft!B$7*EXP(Ft!B$40*($A21-Ft!B$2)^2)))</f>
        <v>58.380124963158558</v>
      </c>
      <c r="G21" s="3">
        <f>IF(($A21-Ft!C$2)&lt;0,Ft!C$3*((1-Ft!C$6)/(1+Ft!C$37*($A21-Ft!C$2)^2)+Ft!C$6*EXP(Ft!C$38*($A21-Ft!C$2)^2)),Ft!C$3*((1-Ft!C$7)/(1+Ft!C$39*($A21-Ft!C$2)^2)+Ft!C$7*EXP(Ft!C$40*($A21-Ft!C$2)^2)))</f>
        <v>32.944261886350873</v>
      </c>
      <c r="H21" s="3">
        <f>IF(($A21-Ft!D$2)&lt;0,Ft!D$3*((1-Ft!D$6)/(1+Ft!D$37*($A21-Ft!D$2)^2)+Ft!D$6*EXP(Ft!D$38*($A21-Ft!D$2)^2)),Ft!D$3*((1-Ft!D$7)/(1+Ft!D$39*($A21-Ft!D$2)^2)+Ft!D$7*EXP(Ft!D$40*($A21-Ft!D$2)^2)))</f>
        <v>0</v>
      </c>
      <c r="I21" s="3">
        <f>IF(($A21-Ft!E$2)&lt;0,Ft!E$3*((1-Ft!E$6)/(1+Ft!E$37*($A21-Ft!E$2)^2)+Ft!E$6*EXP(Ft!E$38*($A21-Ft!E$2)^2)),Ft!E$3*((1-Ft!E$7)/(1+Ft!E$39*($A21-Ft!E$2)^2)+Ft!E$7*EXP(Ft!E$40*($A21-Ft!E$2)^2)))</f>
        <v>0</v>
      </c>
      <c r="J21" s="3">
        <f>IF(($A21-Ft!F$2)&lt;0,Ft!F$3*((1-Ft!F$6)/(1+Ft!F$37*($A21-Ft!F$2)^2)+Ft!F$6*EXP(Ft!F$38*($A21-Ft!F$2)^2)),Ft!F$3*((1-Ft!F$7)/(1+Ft!F$39*($A21-Ft!F$2)^2)+Ft!F$7*EXP(Ft!F$40*($A21-Ft!F$2)^2)))</f>
        <v>0</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s="21">
        <v>534</v>
      </c>
      <c r="B22">
        <v>10311</v>
      </c>
      <c r="C22" s="1">
        <f t="shared" si="1"/>
        <v>10238.073528801735</v>
      </c>
      <c r="D22" s="3">
        <f t="shared" si="0"/>
        <v>5318.2702014313836</v>
      </c>
      <c r="E22" s="3">
        <f>Ft!$B$12+Ft!$B$14*(Data!A22-Vars!$B$3)</f>
        <v>10139.292929292929</v>
      </c>
      <c r="F22" s="3">
        <f>IF(($A22-Ft!B$2)&lt;0,Ft!B$3*((1-Ft!B$6)/(1+Ft!B$37*($A22-Ft!B$2)^2)+Ft!B$6*EXP(Ft!B$38*($A22-Ft!B$2)^2)),Ft!B$3*((1-Ft!B$7)/(1+Ft!B$39*($A22-Ft!B$2)^2)+Ft!B$7*EXP(Ft!B$40*($A22-Ft!B$2)^2)))</f>
        <v>60.906191561179583</v>
      </c>
      <c r="G22" s="3">
        <f>IF(($A22-Ft!C$2)&lt;0,Ft!C$3*((1-Ft!C$6)/(1+Ft!C$37*($A22-Ft!C$2)^2)+Ft!C$6*EXP(Ft!C$38*($A22-Ft!C$2)^2)),Ft!C$3*((1-Ft!C$7)/(1+Ft!C$39*($A22-Ft!C$2)^2)+Ft!C$7*EXP(Ft!C$40*($A22-Ft!C$2)^2)))</f>
        <v>37.87440794762577</v>
      </c>
      <c r="H22" s="3">
        <f>IF(($A22-Ft!D$2)&lt;0,Ft!D$3*((1-Ft!D$6)/(1+Ft!D$37*($A22-Ft!D$2)^2)+Ft!D$6*EXP(Ft!D$38*($A22-Ft!D$2)^2)),Ft!D$3*((1-Ft!D$7)/(1+Ft!D$39*($A22-Ft!D$2)^2)+Ft!D$7*EXP(Ft!D$40*($A22-Ft!D$2)^2)))</f>
        <v>0</v>
      </c>
      <c r="I22" s="3">
        <f>IF(($A22-Ft!E$2)&lt;0,Ft!E$3*((1-Ft!E$6)/(1+Ft!E$37*($A22-Ft!E$2)^2)+Ft!E$6*EXP(Ft!E$38*($A22-Ft!E$2)^2)),Ft!E$3*((1-Ft!E$7)/(1+Ft!E$39*($A22-Ft!E$2)^2)+Ft!E$7*EXP(Ft!E$40*($A22-Ft!E$2)^2)))</f>
        <v>0</v>
      </c>
      <c r="J22" s="3">
        <f>IF(($A22-Ft!F$2)&lt;0,Ft!F$3*((1-Ft!F$6)/(1+Ft!F$37*($A22-Ft!F$2)^2)+Ft!F$6*EXP(Ft!F$38*($A22-Ft!F$2)^2)),Ft!F$3*((1-Ft!F$7)/(1+Ft!F$39*($A22-Ft!F$2)^2)+Ft!F$7*EXP(Ft!F$40*($A22-Ft!F$2)^2)))</f>
        <v>0</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s="21">
        <v>533.9</v>
      </c>
      <c r="B23">
        <v>10272</v>
      </c>
      <c r="C23" s="1">
        <f t="shared" si="1"/>
        <v>10241.235612713377</v>
      </c>
      <c r="D23" s="3">
        <f t="shared" si="0"/>
        <v>946.44752512132334</v>
      </c>
      <c r="E23" s="3">
        <f>Ft!$B$12+Ft!$B$14*(Data!A23-Vars!$B$3)</f>
        <v>10133.757575757574</v>
      </c>
      <c r="F23" s="3">
        <f>IF(($A23-Ft!B$2)&lt;0,Ft!B$3*((1-Ft!B$6)/(1+Ft!B$37*($A23-Ft!B$2)^2)+Ft!B$6*EXP(Ft!B$38*($A23-Ft!B$2)^2)),Ft!B$3*((1-Ft!B$7)/(1+Ft!B$39*($A23-Ft!B$2)^2)+Ft!B$7*EXP(Ft!B$40*($A23-Ft!B$2)^2)))</f>
        <v>63.598210127309287</v>
      </c>
      <c r="G23" s="3">
        <f>IF(($A23-Ft!C$2)&lt;0,Ft!C$3*((1-Ft!C$6)/(1+Ft!C$37*($A23-Ft!C$2)^2)+Ft!C$6*EXP(Ft!C$38*($A23-Ft!C$2)^2)),Ft!C$3*((1-Ft!C$7)/(1+Ft!C$39*($A23-Ft!C$2)^2)+Ft!C$7*EXP(Ft!C$40*($A23-Ft!C$2)^2)))</f>
        <v>43.879826828493037</v>
      </c>
      <c r="H23" s="3">
        <f>IF(($A23-Ft!D$2)&lt;0,Ft!D$3*((1-Ft!D$6)/(1+Ft!D$37*($A23-Ft!D$2)^2)+Ft!D$6*EXP(Ft!D$38*($A23-Ft!D$2)^2)),Ft!D$3*((1-Ft!D$7)/(1+Ft!D$39*($A23-Ft!D$2)^2)+Ft!D$7*EXP(Ft!D$40*($A23-Ft!D$2)^2)))</f>
        <v>0</v>
      </c>
      <c r="I23" s="3">
        <f>IF(($A23-Ft!E$2)&lt;0,Ft!E$3*((1-Ft!E$6)/(1+Ft!E$37*($A23-Ft!E$2)^2)+Ft!E$6*EXP(Ft!E$38*($A23-Ft!E$2)^2)),Ft!E$3*((1-Ft!E$7)/(1+Ft!E$39*($A23-Ft!E$2)^2)+Ft!E$7*EXP(Ft!E$40*($A23-Ft!E$2)^2)))</f>
        <v>0</v>
      </c>
      <c r="J23" s="3">
        <f>IF(($A23-Ft!F$2)&lt;0,Ft!F$3*((1-Ft!F$6)/(1+Ft!F$37*($A23-Ft!F$2)^2)+Ft!F$6*EXP(Ft!F$38*($A23-Ft!F$2)^2)),Ft!F$3*((1-Ft!F$7)/(1+Ft!F$39*($A23-Ft!F$2)^2)+Ft!F$7*EXP(Ft!F$40*($A23-Ft!F$2)^2)))</f>
        <v>0</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s="21">
        <v>533.79999999999995</v>
      </c>
      <c r="B24">
        <v>10262</v>
      </c>
      <c r="C24" s="1">
        <f t="shared" si="1"/>
        <v>10245.860413608541</v>
      </c>
      <c r="D24" s="3">
        <f t="shared" si="0"/>
        <v>260.48624888735498</v>
      </c>
      <c r="E24" s="3">
        <f>Ft!$B$12+Ft!$B$14*(Data!A24-Vars!$B$3)</f>
        <v>10128.222222222219</v>
      </c>
      <c r="F24" s="3">
        <f>IF(($A24-Ft!B$2)&lt;0,Ft!B$3*((1-Ft!B$6)/(1+Ft!B$37*($A24-Ft!B$2)^2)+Ft!B$6*EXP(Ft!B$38*($A24-Ft!B$2)^2)),Ft!B$3*((1-Ft!B$7)/(1+Ft!B$39*($A24-Ft!B$2)^2)+Ft!B$7*EXP(Ft!B$40*($A24-Ft!B$2)^2)))</f>
        <v>66.470887900427343</v>
      </c>
      <c r="G24" s="3">
        <f>IF(($A24-Ft!C$2)&lt;0,Ft!C$3*((1-Ft!C$6)/(1+Ft!C$37*($A24-Ft!C$2)^2)+Ft!C$6*EXP(Ft!C$38*($A24-Ft!C$2)^2)),Ft!C$3*((1-Ft!C$7)/(1+Ft!C$39*($A24-Ft!C$2)^2)+Ft!C$7*EXP(Ft!C$40*($A24-Ft!C$2)^2)))</f>
        <v>51.167303485895111</v>
      </c>
      <c r="H24" s="3">
        <f>IF(($A24-Ft!D$2)&lt;0,Ft!D$3*((1-Ft!D$6)/(1+Ft!D$37*($A24-Ft!D$2)^2)+Ft!D$6*EXP(Ft!D$38*($A24-Ft!D$2)^2)),Ft!D$3*((1-Ft!D$7)/(1+Ft!D$39*($A24-Ft!D$2)^2)+Ft!D$7*EXP(Ft!D$40*($A24-Ft!D$2)^2)))</f>
        <v>0</v>
      </c>
      <c r="I24" s="3">
        <f>IF(($A24-Ft!E$2)&lt;0,Ft!E$3*((1-Ft!E$6)/(1+Ft!E$37*($A24-Ft!E$2)^2)+Ft!E$6*EXP(Ft!E$38*($A24-Ft!E$2)^2)),Ft!E$3*((1-Ft!E$7)/(1+Ft!E$39*($A24-Ft!E$2)^2)+Ft!E$7*EXP(Ft!E$40*($A24-Ft!E$2)^2)))</f>
        <v>0</v>
      </c>
      <c r="J24" s="3">
        <f>IF(($A24-Ft!F$2)&lt;0,Ft!F$3*((1-Ft!F$6)/(1+Ft!F$37*($A24-Ft!F$2)^2)+Ft!F$6*EXP(Ft!F$38*($A24-Ft!F$2)^2)),Ft!F$3*((1-Ft!F$7)/(1+Ft!F$39*($A24-Ft!F$2)^2)+Ft!F$7*EXP(Ft!F$40*($A24-Ft!F$2)^2)))</f>
        <v>0</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s="21">
        <v>533.70000000000005</v>
      </c>
      <c r="B25">
        <v>10366</v>
      </c>
      <c r="C25" s="1">
        <f t="shared" si="1"/>
        <v>10252.194426172369</v>
      </c>
      <c r="D25" s="3">
        <f t="shared" si="0"/>
        <v>12951.708634236307</v>
      </c>
      <c r="E25" s="3">
        <f>Ft!$B$12+Ft!$B$14*(Data!A25-Vars!$B$3)</f>
        <v>10122.686868686871</v>
      </c>
      <c r="F25" s="3">
        <f>IF(($A25-Ft!B$2)&lt;0,Ft!B$3*((1-Ft!B$6)/(1+Ft!B$37*($A25-Ft!B$2)^2)+Ft!B$6*EXP(Ft!B$38*($A25-Ft!B$2)^2)),Ft!B$3*((1-Ft!B$7)/(1+Ft!B$39*($A25-Ft!B$2)^2)+Ft!B$7*EXP(Ft!B$40*($A25-Ft!B$2)^2)))</f>
        <v>69.540579684485166</v>
      </c>
      <c r="G25" s="3">
        <f>IF(($A25-Ft!C$2)&lt;0,Ft!C$3*((1-Ft!C$6)/(1+Ft!C$37*($A25-Ft!C$2)^2)+Ft!C$6*EXP(Ft!C$38*($A25-Ft!C$2)^2)),Ft!C$3*((1-Ft!C$7)/(1+Ft!C$39*($A25-Ft!C$2)^2)+Ft!C$7*EXP(Ft!C$40*($A25-Ft!C$2)^2)))</f>
        <v>59.966977801014714</v>
      </c>
      <c r="H25" s="3">
        <f>IF(($A25-Ft!D$2)&lt;0,Ft!D$3*((1-Ft!D$6)/(1+Ft!D$37*($A25-Ft!D$2)^2)+Ft!D$6*EXP(Ft!D$38*($A25-Ft!D$2)^2)),Ft!D$3*((1-Ft!D$7)/(1+Ft!D$39*($A25-Ft!D$2)^2)+Ft!D$7*EXP(Ft!D$40*($A25-Ft!D$2)^2)))</f>
        <v>0</v>
      </c>
      <c r="I25" s="3">
        <f>IF(($A25-Ft!E$2)&lt;0,Ft!E$3*((1-Ft!E$6)/(1+Ft!E$37*($A25-Ft!E$2)^2)+Ft!E$6*EXP(Ft!E$38*($A25-Ft!E$2)^2)),Ft!E$3*((1-Ft!E$7)/(1+Ft!E$39*($A25-Ft!E$2)^2)+Ft!E$7*EXP(Ft!E$40*($A25-Ft!E$2)^2)))</f>
        <v>0</v>
      </c>
      <c r="J25" s="3">
        <f>IF(($A25-Ft!F$2)&lt;0,Ft!F$3*((1-Ft!F$6)/(1+Ft!F$37*($A25-Ft!F$2)^2)+Ft!F$6*EXP(Ft!F$38*($A25-Ft!F$2)^2)),Ft!F$3*((1-Ft!F$7)/(1+Ft!F$39*($A25-Ft!F$2)^2)+Ft!F$7*EXP(Ft!F$40*($A25-Ft!F$2)^2)))</f>
        <v>0</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s="21">
        <v>533.6</v>
      </c>
      <c r="B26">
        <v>10288</v>
      </c>
      <c r="C26" s="1">
        <f t="shared" si="1"/>
        <v>10260.507104594661</v>
      </c>
      <c r="D26" s="3">
        <f t="shared" si="0"/>
        <v>755.85929776893056</v>
      </c>
      <c r="E26" s="3">
        <f>Ft!$B$12+Ft!$B$14*(Data!A26-Vars!$B$3)</f>
        <v>10117.151515151516</v>
      </c>
      <c r="F26" s="3">
        <f>IF(($A26-Ft!B$2)&lt;0,Ft!B$3*((1-Ft!B$6)/(1+Ft!B$37*($A26-Ft!B$2)^2)+Ft!B$6*EXP(Ft!B$38*($A26-Ft!B$2)^2)),Ft!B$3*((1-Ft!B$7)/(1+Ft!B$39*($A26-Ft!B$2)^2)+Ft!B$7*EXP(Ft!B$40*($A26-Ft!B$2)^2)))</f>
        <v>72.825512044601794</v>
      </c>
      <c r="G26" s="3">
        <f>IF(($A26-Ft!C$2)&lt;0,Ft!C$3*((1-Ft!C$6)/(1+Ft!C$37*($A26-Ft!C$2)^2)+Ft!C$6*EXP(Ft!C$38*($A26-Ft!C$2)^2)),Ft!C$3*((1-Ft!C$7)/(1+Ft!C$39*($A26-Ft!C$2)^2)+Ft!C$7*EXP(Ft!C$40*($A26-Ft!C$2)^2)))</f>
        <v>70.530077398543298</v>
      </c>
      <c r="H26" s="3">
        <f>IF(($A26-Ft!D$2)&lt;0,Ft!D$3*((1-Ft!D$6)/(1+Ft!D$37*($A26-Ft!D$2)^2)+Ft!D$6*EXP(Ft!D$38*($A26-Ft!D$2)^2)),Ft!D$3*((1-Ft!D$7)/(1+Ft!D$39*($A26-Ft!D$2)^2)+Ft!D$7*EXP(Ft!D$40*($A26-Ft!D$2)^2)))</f>
        <v>0</v>
      </c>
      <c r="I26" s="3">
        <f>IF(($A26-Ft!E$2)&lt;0,Ft!E$3*((1-Ft!E$6)/(1+Ft!E$37*($A26-Ft!E$2)^2)+Ft!E$6*EXP(Ft!E$38*($A26-Ft!E$2)^2)),Ft!E$3*((1-Ft!E$7)/(1+Ft!E$39*($A26-Ft!E$2)^2)+Ft!E$7*EXP(Ft!E$40*($A26-Ft!E$2)^2)))</f>
        <v>0</v>
      </c>
      <c r="J26" s="3">
        <f>IF(($A26-Ft!F$2)&lt;0,Ft!F$3*((1-Ft!F$6)/(1+Ft!F$37*($A26-Ft!F$2)^2)+Ft!F$6*EXP(Ft!F$38*($A26-Ft!F$2)^2)),Ft!F$3*((1-Ft!F$7)/(1+Ft!F$39*($A26-Ft!F$2)^2)+Ft!F$7*EXP(Ft!F$40*($A26-Ft!F$2)^2)))</f>
        <v>0</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s="21">
        <v>533.5</v>
      </c>
      <c r="B27">
        <v>10309</v>
      </c>
      <c r="C27" s="1">
        <f t="shared" si="1"/>
        <v>10271.0872058564</v>
      </c>
      <c r="D27" s="3">
        <f t="shared" si="0"/>
        <v>1437.379959774988</v>
      </c>
      <c r="E27" s="3">
        <f>Ft!$B$12+Ft!$B$14*(Data!A27-Vars!$B$3)</f>
        <v>10111.616161616161</v>
      </c>
      <c r="F27" s="3">
        <f>IF(($A27-Ft!B$2)&lt;0,Ft!B$3*((1-Ft!B$6)/(1+Ft!B$37*($A27-Ft!B$2)^2)+Ft!B$6*EXP(Ft!B$38*($A27-Ft!B$2)^2)),Ft!B$3*((1-Ft!B$7)/(1+Ft!B$39*($A27-Ft!B$2)^2)+Ft!B$7*EXP(Ft!B$40*($A27-Ft!B$2)^2)))</f>
        <v>76.346044121250358</v>
      </c>
      <c r="G27" s="3">
        <f>IF(($A27-Ft!C$2)&lt;0,Ft!C$3*((1-Ft!C$6)/(1+Ft!C$37*($A27-Ft!C$2)^2)+Ft!C$6*EXP(Ft!C$38*($A27-Ft!C$2)^2)),Ft!C$3*((1-Ft!C$7)/(1+Ft!C$39*($A27-Ft!C$2)^2)+Ft!C$7*EXP(Ft!C$40*($A27-Ft!C$2)^2)))</f>
        <v>83.125000118988382</v>
      </c>
      <c r="H27" s="3">
        <f>IF(($A27-Ft!D$2)&lt;0,Ft!D$3*((1-Ft!D$6)/(1+Ft!D$37*($A27-Ft!D$2)^2)+Ft!D$6*EXP(Ft!D$38*($A27-Ft!D$2)^2)),Ft!D$3*((1-Ft!D$7)/(1+Ft!D$39*($A27-Ft!D$2)^2)+Ft!D$7*EXP(Ft!D$40*($A27-Ft!D$2)^2)))</f>
        <v>0</v>
      </c>
      <c r="I27" s="3">
        <f>IF(($A27-Ft!E$2)&lt;0,Ft!E$3*((1-Ft!E$6)/(1+Ft!E$37*($A27-Ft!E$2)^2)+Ft!E$6*EXP(Ft!E$38*($A27-Ft!E$2)^2)),Ft!E$3*((1-Ft!E$7)/(1+Ft!E$39*($A27-Ft!E$2)^2)+Ft!E$7*EXP(Ft!E$40*($A27-Ft!E$2)^2)))</f>
        <v>0</v>
      </c>
      <c r="J27" s="3">
        <f>IF(($A27-Ft!F$2)&lt;0,Ft!F$3*((1-Ft!F$6)/(1+Ft!F$37*($A27-Ft!F$2)^2)+Ft!F$6*EXP(Ft!F$38*($A27-Ft!F$2)^2)),Ft!F$3*((1-Ft!F$7)/(1+Ft!F$39*($A27-Ft!F$2)^2)+Ft!F$7*EXP(Ft!F$40*($A27-Ft!F$2)^2)))</f>
        <v>0</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s="21">
        <v>533.4</v>
      </c>
      <c r="B28">
        <v>10435</v>
      </c>
      <c r="C28" s="1">
        <f t="shared" si="1"/>
        <v>10284.237310098375</v>
      </c>
      <c r="D28" s="3">
        <f t="shared" si="0"/>
        <v>22729.388666373536</v>
      </c>
      <c r="E28" s="3">
        <f>Ft!$B$12+Ft!$B$14*(Data!A28-Vars!$B$3)</f>
        <v>10106.080808080806</v>
      </c>
      <c r="F28" s="3">
        <f>IF(($A28-Ft!B$2)&lt;0,Ft!B$3*((1-Ft!B$6)/(1+Ft!B$37*($A28-Ft!B$2)^2)+Ft!B$6*EXP(Ft!B$38*($A28-Ft!B$2)^2)),Ft!B$3*((1-Ft!B$7)/(1+Ft!B$39*($A28-Ft!B$2)^2)+Ft!B$7*EXP(Ft!B$40*($A28-Ft!B$2)^2)))</f>
        <v>80.124972907508365</v>
      </c>
      <c r="G28" s="3">
        <f>IF(($A28-Ft!C$2)&lt;0,Ft!C$3*((1-Ft!C$6)/(1+Ft!C$37*($A28-Ft!C$2)^2)+Ft!C$6*EXP(Ft!C$38*($A28-Ft!C$2)^2)),Ft!C$3*((1-Ft!C$7)/(1+Ft!C$39*($A28-Ft!C$2)^2)+Ft!C$7*EXP(Ft!C$40*($A28-Ft!C$2)^2)))</f>
        <v>98.031529110062166</v>
      </c>
      <c r="H28" s="3">
        <f>IF(($A28-Ft!D$2)&lt;0,Ft!D$3*((1-Ft!D$6)/(1+Ft!D$37*($A28-Ft!D$2)^2)+Ft!D$6*EXP(Ft!D$38*($A28-Ft!D$2)^2)),Ft!D$3*((1-Ft!D$7)/(1+Ft!D$39*($A28-Ft!D$2)^2)+Ft!D$7*EXP(Ft!D$40*($A28-Ft!D$2)^2)))</f>
        <v>0</v>
      </c>
      <c r="I28" s="3">
        <f>IF(($A28-Ft!E$2)&lt;0,Ft!E$3*((1-Ft!E$6)/(1+Ft!E$37*($A28-Ft!E$2)^2)+Ft!E$6*EXP(Ft!E$38*($A28-Ft!E$2)^2)),Ft!E$3*((1-Ft!E$7)/(1+Ft!E$39*($A28-Ft!E$2)^2)+Ft!E$7*EXP(Ft!E$40*($A28-Ft!E$2)^2)))</f>
        <v>0</v>
      </c>
      <c r="J28" s="3">
        <f>IF(($A28-Ft!F$2)&lt;0,Ft!F$3*((1-Ft!F$6)/(1+Ft!F$37*($A28-Ft!F$2)^2)+Ft!F$6*EXP(Ft!F$38*($A28-Ft!F$2)^2)),Ft!F$3*((1-Ft!F$7)/(1+Ft!F$39*($A28-Ft!F$2)^2)+Ft!F$7*EXP(Ft!F$40*($A28-Ft!F$2)^2)))</f>
        <v>0</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s="21">
        <v>533.29999999999995</v>
      </c>
      <c r="B29">
        <v>10585</v>
      </c>
      <c r="C29" s="1">
        <f t="shared" si="1"/>
        <v>10300.266381536328</v>
      </c>
      <c r="D29" s="3">
        <f t="shared" si="0"/>
        <v>81073.233483415665</v>
      </c>
      <c r="E29" s="3">
        <f>Ft!$B$12+Ft!$B$14*(Data!A29-Vars!$B$3)</f>
        <v>10100.545454545452</v>
      </c>
      <c r="F29" s="3">
        <f>IF(($A29-Ft!B$2)&lt;0,Ft!B$3*((1-Ft!B$6)/(1+Ft!B$37*($A29-Ft!B$2)^2)+Ft!B$6*EXP(Ft!B$38*($A29-Ft!B$2)^2)),Ft!B$3*((1-Ft!B$7)/(1+Ft!B$39*($A29-Ft!B$2)^2)+Ft!B$7*EXP(Ft!B$40*($A29-Ft!B$2)^2)))</f>
        <v>84.18789387283006</v>
      </c>
      <c r="G29" s="3">
        <f>IF(($A29-Ft!C$2)&lt;0,Ft!C$3*((1-Ft!C$6)/(1+Ft!C$37*($A29-Ft!C$2)^2)+Ft!C$6*EXP(Ft!C$38*($A29-Ft!C$2)^2)),Ft!C$3*((1-Ft!C$7)/(1+Ft!C$39*($A29-Ft!C$2)^2)+Ft!C$7*EXP(Ft!C$40*($A29-Ft!C$2)^2)))</f>
        <v>115.5330331180471</v>
      </c>
      <c r="H29" s="3">
        <f>IF(($A29-Ft!D$2)&lt;0,Ft!D$3*((1-Ft!D$6)/(1+Ft!D$37*($A29-Ft!D$2)^2)+Ft!D$6*EXP(Ft!D$38*($A29-Ft!D$2)^2)),Ft!D$3*((1-Ft!D$7)/(1+Ft!D$39*($A29-Ft!D$2)^2)+Ft!D$7*EXP(Ft!D$40*($A29-Ft!D$2)^2)))</f>
        <v>0</v>
      </c>
      <c r="I29" s="3">
        <f>IF(($A29-Ft!E$2)&lt;0,Ft!E$3*((1-Ft!E$6)/(1+Ft!E$37*($A29-Ft!E$2)^2)+Ft!E$6*EXP(Ft!E$38*($A29-Ft!E$2)^2)),Ft!E$3*((1-Ft!E$7)/(1+Ft!E$39*($A29-Ft!E$2)^2)+Ft!E$7*EXP(Ft!E$40*($A29-Ft!E$2)^2)))</f>
        <v>0</v>
      </c>
      <c r="J29" s="3">
        <f>IF(($A29-Ft!F$2)&lt;0,Ft!F$3*((1-Ft!F$6)/(1+Ft!F$37*($A29-Ft!F$2)^2)+Ft!F$6*EXP(Ft!F$38*($A29-Ft!F$2)^2)),Ft!F$3*((1-Ft!F$7)/(1+Ft!F$39*($A29-Ft!F$2)^2)+Ft!F$7*EXP(Ft!F$40*($A29-Ft!F$2)^2)))</f>
        <v>0</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s="21">
        <v>533.20000000000005</v>
      </c>
      <c r="B30">
        <v>10520</v>
      </c>
      <c r="C30" s="1">
        <f t="shared" si="1"/>
        <v>10319.480337101855</v>
      </c>
      <c r="D30" s="3">
        <f t="shared" si="0"/>
        <v>40208.135208785636</v>
      </c>
      <c r="E30" s="3">
        <f>Ft!$B$12+Ft!$B$14*(Data!A30-Vars!$B$3)</f>
        <v>10095.010101010103</v>
      </c>
      <c r="F30" s="3">
        <f>IF(($A30-Ft!B$2)&lt;0,Ft!B$3*((1-Ft!B$6)/(1+Ft!B$37*($A30-Ft!B$2)^2)+Ft!B$6*EXP(Ft!B$38*($A30-Ft!B$2)^2)),Ft!B$3*((1-Ft!B$7)/(1+Ft!B$39*($A30-Ft!B$2)^2)+Ft!B$7*EXP(Ft!B$40*($A30-Ft!B$2)^2)))</f>
        <v>88.563633155613331</v>
      </c>
      <c r="G30" s="3">
        <f>IF(($A30-Ft!C$2)&lt;0,Ft!C$3*((1-Ft!C$6)/(1+Ft!C$37*($A30-Ft!C$2)^2)+Ft!C$6*EXP(Ft!C$38*($A30-Ft!C$2)^2)),Ft!C$3*((1-Ft!C$7)/(1+Ft!C$39*($A30-Ft!C$2)^2)+Ft!C$7*EXP(Ft!C$40*($A30-Ft!C$2)^2)))</f>
        <v>135.90660293613959</v>
      </c>
      <c r="H30" s="3">
        <f>IF(($A30-Ft!D$2)&lt;0,Ft!D$3*((1-Ft!D$6)/(1+Ft!D$37*($A30-Ft!D$2)^2)+Ft!D$6*EXP(Ft!D$38*($A30-Ft!D$2)^2)),Ft!D$3*((1-Ft!D$7)/(1+Ft!D$39*($A30-Ft!D$2)^2)+Ft!D$7*EXP(Ft!D$40*($A30-Ft!D$2)^2)))</f>
        <v>0</v>
      </c>
      <c r="I30" s="3">
        <f>IF(($A30-Ft!E$2)&lt;0,Ft!E$3*((1-Ft!E$6)/(1+Ft!E$37*($A30-Ft!E$2)^2)+Ft!E$6*EXP(Ft!E$38*($A30-Ft!E$2)^2)),Ft!E$3*((1-Ft!E$7)/(1+Ft!E$39*($A30-Ft!E$2)^2)+Ft!E$7*EXP(Ft!E$40*($A30-Ft!E$2)^2)))</f>
        <v>0</v>
      </c>
      <c r="J30" s="3">
        <f>IF(($A30-Ft!F$2)&lt;0,Ft!F$3*((1-Ft!F$6)/(1+Ft!F$37*($A30-Ft!F$2)^2)+Ft!F$6*EXP(Ft!F$38*($A30-Ft!F$2)^2)),Ft!F$3*((1-Ft!F$7)/(1+Ft!F$39*($A30-Ft!F$2)^2)+Ft!F$7*EXP(Ft!F$40*($A30-Ft!F$2)^2)))</f>
        <v>0</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s="21">
        <v>533.1</v>
      </c>
      <c r="B31">
        <v>10538</v>
      </c>
      <c r="C31" s="1">
        <f t="shared" si="1"/>
        <v>10342.170725019523</v>
      </c>
      <c r="D31" s="3">
        <f t="shared" si="0"/>
        <v>38349.104939379213</v>
      </c>
      <c r="E31" s="3">
        <f>Ft!$B$12+Ft!$B$14*(Data!A31-Vars!$B$3)</f>
        <v>10089.474747474749</v>
      </c>
      <c r="F31" s="3">
        <f>IF(($A31-Ft!B$2)&lt;0,Ft!B$3*((1-Ft!B$6)/(1+Ft!B$37*($A31-Ft!B$2)^2)+Ft!B$6*EXP(Ft!B$38*($A31-Ft!B$2)^2)),Ft!B$3*((1-Ft!B$7)/(1+Ft!B$39*($A31-Ft!B$2)^2)+Ft!B$7*EXP(Ft!B$40*($A31-Ft!B$2)^2)))</f>
        <v>93.284777353155604</v>
      </c>
      <c r="G31" s="3">
        <f>IF(($A31-Ft!C$2)&lt;0,Ft!C$3*((1-Ft!C$6)/(1+Ft!C$37*($A31-Ft!C$2)^2)+Ft!C$6*EXP(Ft!C$38*($A31-Ft!C$2)^2)),Ft!C$3*((1-Ft!C$7)/(1+Ft!C$39*($A31-Ft!C$2)^2)+Ft!C$7*EXP(Ft!C$40*($A31-Ft!C$2)^2)))</f>
        <v>159.41120019161849</v>
      </c>
      <c r="H31" s="3">
        <f>IF(($A31-Ft!D$2)&lt;0,Ft!D$3*((1-Ft!D$6)/(1+Ft!D$37*($A31-Ft!D$2)^2)+Ft!D$6*EXP(Ft!D$38*($A31-Ft!D$2)^2)),Ft!D$3*((1-Ft!D$7)/(1+Ft!D$39*($A31-Ft!D$2)^2)+Ft!D$7*EXP(Ft!D$40*($A31-Ft!D$2)^2)))</f>
        <v>0</v>
      </c>
      <c r="I31" s="3">
        <f>IF(($A31-Ft!E$2)&lt;0,Ft!E$3*((1-Ft!E$6)/(1+Ft!E$37*($A31-Ft!E$2)^2)+Ft!E$6*EXP(Ft!E$38*($A31-Ft!E$2)^2)),Ft!E$3*((1-Ft!E$7)/(1+Ft!E$39*($A31-Ft!E$2)^2)+Ft!E$7*EXP(Ft!E$40*($A31-Ft!E$2)^2)))</f>
        <v>0</v>
      </c>
      <c r="J31" s="3">
        <f>IF(($A31-Ft!F$2)&lt;0,Ft!F$3*((1-Ft!F$6)/(1+Ft!F$37*($A31-Ft!F$2)^2)+Ft!F$6*EXP(Ft!F$38*($A31-Ft!F$2)^2)),Ft!F$3*((1-Ft!F$7)/(1+Ft!F$39*($A31-Ft!F$2)^2)+Ft!F$7*EXP(Ft!F$40*($A31-Ft!F$2)^2)))</f>
        <v>0</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s="21">
        <v>533</v>
      </c>
      <c r="B32">
        <v>10539</v>
      </c>
      <c r="C32" s="1">
        <f t="shared" si="1"/>
        <v>10368.601780685518</v>
      </c>
      <c r="D32" s="3">
        <f t="shared" si="0"/>
        <v>29035.553145546324</v>
      </c>
      <c r="E32" s="3">
        <f>Ft!$B$12+Ft!$B$14*(Data!A32-Vars!$B$3)</f>
        <v>10083.939393939394</v>
      </c>
      <c r="F32" s="3">
        <f>IF(($A32-Ft!B$2)&lt;0,Ft!B$3*((1-Ft!B$6)/(1+Ft!B$37*($A32-Ft!B$2)^2)+Ft!B$6*EXP(Ft!B$38*($A32-Ft!B$2)^2)),Ft!B$3*((1-Ft!B$7)/(1+Ft!B$39*($A32-Ft!B$2)^2)+Ft!B$7*EXP(Ft!B$40*($A32-Ft!B$2)^2)))</f>
        <v>98.388345287516373</v>
      </c>
      <c r="G32" s="3">
        <f>IF(($A32-Ft!C$2)&lt;0,Ft!C$3*((1-Ft!C$6)/(1+Ft!C$37*($A32-Ft!C$2)^2)+Ft!C$6*EXP(Ft!C$38*($A32-Ft!C$2)^2)),Ft!C$3*((1-Ft!C$7)/(1+Ft!C$39*($A32-Ft!C$2)^2)+Ft!C$7*EXP(Ft!C$40*($A32-Ft!C$2)^2)))</f>
        <v>186.27404145860709</v>
      </c>
      <c r="H32" s="3">
        <f>IF(($A32-Ft!D$2)&lt;0,Ft!D$3*((1-Ft!D$6)/(1+Ft!D$37*($A32-Ft!D$2)^2)+Ft!D$6*EXP(Ft!D$38*($A32-Ft!D$2)^2)),Ft!D$3*((1-Ft!D$7)/(1+Ft!D$39*($A32-Ft!D$2)^2)+Ft!D$7*EXP(Ft!D$40*($A32-Ft!D$2)^2)))</f>
        <v>0</v>
      </c>
      <c r="I32" s="3">
        <f>IF(($A32-Ft!E$2)&lt;0,Ft!E$3*((1-Ft!E$6)/(1+Ft!E$37*($A32-Ft!E$2)^2)+Ft!E$6*EXP(Ft!E$38*($A32-Ft!E$2)^2)),Ft!E$3*((1-Ft!E$7)/(1+Ft!E$39*($A32-Ft!E$2)^2)+Ft!E$7*EXP(Ft!E$40*($A32-Ft!E$2)^2)))</f>
        <v>0</v>
      </c>
      <c r="J32" s="3">
        <f>IF(($A32-Ft!F$2)&lt;0,Ft!F$3*((1-Ft!F$6)/(1+Ft!F$37*($A32-Ft!F$2)^2)+Ft!F$6*EXP(Ft!F$38*($A32-Ft!F$2)^2)),Ft!F$3*((1-Ft!F$7)/(1+Ft!F$39*($A32-Ft!F$2)^2)+Ft!F$7*EXP(Ft!F$40*($A32-Ft!F$2)^2)))</f>
        <v>0</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s="21">
        <v>532.9</v>
      </c>
      <c r="B33">
        <v>10664</v>
      </c>
      <c r="C33" s="1">
        <f t="shared" si="1"/>
        <v>10398.996320916027</v>
      </c>
      <c r="D33" s="3">
        <f t="shared" si="0"/>
        <v>70226.949928041402</v>
      </c>
      <c r="E33" s="3">
        <f>Ft!$B$12+Ft!$B$14*(Data!A33-Vars!$B$3)</f>
        <v>10078.404040404039</v>
      </c>
      <c r="F33" s="3">
        <f>IF(($A33-Ft!B$2)&lt;0,Ft!B$3*((1-Ft!B$6)/(1+Ft!B$37*($A33-Ft!B$2)^2)+Ft!B$6*EXP(Ft!B$38*($A33-Ft!B$2)^2)),Ft!B$3*((1-Ft!B$7)/(1+Ft!B$39*($A33-Ft!B$2)^2)+Ft!B$7*EXP(Ft!B$40*($A33-Ft!B$2)^2)))</f>
        <v>103.91668038772826</v>
      </c>
      <c r="G33" s="3">
        <f>IF(($A33-Ft!C$2)&lt;0,Ft!C$3*((1-Ft!C$6)/(1+Ft!C$37*($A33-Ft!C$2)^2)+Ft!C$6*EXP(Ft!C$38*($A33-Ft!C$2)^2)),Ft!C$3*((1-Ft!C$7)/(1+Ft!C$39*($A33-Ft!C$2)^2)+Ft!C$7*EXP(Ft!C$40*($A33-Ft!C$2)^2)))</f>
        <v>216.67560012425974</v>
      </c>
      <c r="H33" s="3">
        <f>IF(($A33-Ft!D$2)&lt;0,Ft!D$3*((1-Ft!D$6)/(1+Ft!D$37*($A33-Ft!D$2)^2)+Ft!D$6*EXP(Ft!D$38*($A33-Ft!D$2)^2)),Ft!D$3*((1-Ft!D$7)/(1+Ft!D$39*($A33-Ft!D$2)^2)+Ft!D$7*EXP(Ft!D$40*($A33-Ft!D$2)^2)))</f>
        <v>0</v>
      </c>
      <c r="I33" s="3">
        <f>IF(($A33-Ft!E$2)&lt;0,Ft!E$3*((1-Ft!E$6)/(1+Ft!E$37*($A33-Ft!E$2)^2)+Ft!E$6*EXP(Ft!E$38*($A33-Ft!E$2)^2)),Ft!E$3*((1-Ft!E$7)/(1+Ft!E$39*($A33-Ft!E$2)^2)+Ft!E$7*EXP(Ft!E$40*($A33-Ft!E$2)^2)))</f>
        <v>0</v>
      </c>
      <c r="J33" s="3">
        <f>IF(($A33-Ft!F$2)&lt;0,Ft!F$3*((1-Ft!F$6)/(1+Ft!F$37*($A33-Ft!F$2)^2)+Ft!F$6*EXP(Ft!F$38*($A33-Ft!F$2)^2)),Ft!F$3*((1-Ft!F$7)/(1+Ft!F$39*($A33-Ft!F$2)^2)+Ft!F$7*EXP(Ft!F$40*($A33-Ft!F$2)^2)))</f>
        <v>0</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s="21">
        <v>532.79999999999995</v>
      </c>
      <c r="B34">
        <v>10636</v>
      </c>
      <c r="C34" s="1">
        <f t="shared" si="1"/>
        <v>10433.52116003479</v>
      </c>
      <c r="D34" s="3">
        <f t="shared" si="0"/>
        <v>40997.68063365703</v>
      </c>
      <c r="E34" s="3">
        <f>Ft!$B$12+Ft!$B$14*(Data!A34-Vars!$B$3)</f>
        <v>10072.868686868684</v>
      </c>
      <c r="F34" s="3">
        <f>IF(($A34-Ft!B$2)&lt;0,Ft!B$3*((1-Ft!B$6)/(1+Ft!B$37*($A34-Ft!B$2)^2)+Ft!B$6*EXP(Ft!B$38*($A34-Ft!B$2)^2)),Ft!B$3*((1-Ft!B$7)/(1+Ft!B$39*($A34-Ft!B$2)^2)+Ft!B$7*EXP(Ft!B$40*($A34-Ft!B$2)^2)))</f>
        <v>109.9187052298133</v>
      </c>
      <c r="G34" s="3">
        <f>IF(($A34-Ft!C$2)&lt;0,Ft!C$3*((1-Ft!C$6)/(1+Ft!C$37*($A34-Ft!C$2)^2)+Ft!C$6*EXP(Ft!C$38*($A34-Ft!C$2)^2)),Ft!C$3*((1-Ft!C$7)/(1+Ft!C$39*($A34-Ft!C$2)^2)+Ft!C$7*EXP(Ft!C$40*($A34-Ft!C$2)^2)))</f>
        <v>250.73376793629438</v>
      </c>
      <c r="H34" s="3">
        <f>IF(($A34-Ft!D$2)&lt;0,Ft!D$3*((1-Ft!D$6)/(1+Ft!D$37*($A34-Ft!D$2)^2)+Ft!D$6*EXP(Ft!D$38*($A34-Ft!D$2)^2)),Ft!D$3*((1-Ft!D$7)/(1+Ft!D$39*($A34-Ft!D$2)^2)+Ft!D$7*EXP(Ft!D$40*($A34-Ft!D$2)^2)))</f>
        <v>0</v>
      </c>
      <c r="I34" s="3">
        <f>IF(($A34-Ft!E$2)&lt;0,Ft!E$3*((1-Ft!E$6)/(1+Ft!E$37*($A34-Ft!E$2)^2)+Ft!E$6*EXP(Ft!E$38*($A34-Ft!E$2)^2)),Ft!E$3*((1-Ft!E$7)/(1+Ft!E$39*($A34-Ft!E$2)^2)+Ft!E$7*EXP(Ft!E$40*($A34-Ft!E$2)^2)))</f>
        <v>0</v>
      </c>
      <c r="J34" s="3">
        <f>IF(($A34-Ft!F$2)&lt;0,Ft!F$3*((1-Ft!F$6)/(1+Ft!F$37*($A34-Ft!F$2)^2)+Ft!F$6*EXP(Ft!F$38*($A34-Ft!F$2)^2)),Ft!F$3*((1-Ft!F$7)/(1+Ft!F$39*($A34-Ft!F$2)^2)+Ft!F$7*EXP(Ft!F$40*($A34-Ft!F$2)^2)))</f>
        <v>0</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s="21">
        <v>532.70000000000005</v>
      </c>
      <c r="B35">
        <v>10693</v>
      </c>
      <c r="C35" s="1">
        <f t="shared" si="1"/>
        <v>10472.272987592778</v>
      </c>
      <c r="D35" s="3">
        <f t="shared" si="0"/>
        <v>48720.414006217929</v>
      </c>
      <c r="E35" s="3">
        <f>Ft!$B$12+Ft!$B$14*(Data!A35-Vars!$B$3)</f>
        <v>10067.333333333336</v>
      </c>
      <c r="F35" s="3">
        <f>IF(($A35-Ft!B$2)&lt;0,Ft!B$3*((1-Ft!B$6)/(1+Ft!B$37*($A35-Ft!B$2)^2)+Ft!B$6*EXP(Ft!B$38*($A35-Ft!B$2)^2)),Ft!B$3*((1-Ft!B$7)/(1+Ft!B$39*($A35-Ft!B$2)^2)+Ft!B$7*EXP(Ft!B$40*($A35-Ft!B$2)^2)))</f>
        <v>116.45179219391446</v>
      </c>
      <c r="G35" s="3">
        <f>IF(($A35-Ft!C$2)&lt;0,Ft!C$3*((1-Ft!C$6)/(1+Ft!C$37*($A35-Ft!C$2)^2)+Ft!C$6*EXP(Ft!C$38*($A35-Ft!C$2)^2)),Ft!C$3*((1-Ft!C$7)/(1+Ft!C$39*($A35-Ft!C$2)^2)+Ft!C$7*EXP(Ft!C$40*($A35-Ft!C$2)^2)))</f>
        <v>288.48786206552683</v>
      </c>
      <c r="H35" s="3">
        <f>IF(($A35-Ft!D$2)&lt;0,Ft!D$3*((1-Ft!D$6)/(1+Ft!D$37*($A35-Ft!D$2)^2)+Ft!D$6*EXP(Ft!D$38*($A35-Ft!D$2)^2)),Ft!D$3*((1-Ft!D$7)/(1+Ft!D$39*($A35-Ft!D$2)^2)+Ft!D$7*EXP(Ft!D$40*($A35-Ft!D$2)^2)))</f>
        <v>0</v>
      </c>
      <c r="I35" s="3">
        <f>IF(($A35-Ft!E$2)&lt;0,Ft!E$3*((1-Ft!E$6)/(1+Ft!E$37*($A35-Ft!E$2)^2)+Ft!E$6*EXP(Ft!E$38*($A35-Ft!E$2)^2)),Ft!E$3*((1-Ft!E$7)/(1+Ft!E$39*($A35-Ft!E$2)^2)+Ft!E$7*EXP(Ft!E$40*($A35-Ft!E$2)^2)))</f>
        <v>0</v>
      </c>
      <c r="J35" s="3">
        <f>IF(($A35-Ft!F$2)&lt;0,Ft!F$3*((1-Ft!F$6)/(1+Ft!F$37*($A35-Ft!F$2)^2)+Ft!F$6*EXP(Ft!F$38*($A35-Ft!F$2)^2)),Ft!F$3*((1-Ft!F$7)/(1+Ft!F$39*($A35-Ft!F$2)^2)+Ft!F$7*EXP(Ft!F$40*($A35-Ft!F$2)^2)))</f>
        <v>0</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s="21">
        <v>532.6</v>
      </c>
      <c r="B36">
        <v>10798</v>
      </c>
      <c r="C36" s="1">
        <f t="shared" si="1"/>
        <v>10515.265952438385</v>
      </c>
      <c r="D36" s="3">
        <f t="shared" si="0"/>
        <v>79938.541650573417</v>
      </c>
      <c r="E36" s="3">
        <f>Ft!$B$12+Ft!$B$14*(Data!A36-Vars!$B$3)</f>
        <v>10061.797979797981</v>
      </c>
      <c r="F36" s="3">
        <f>IF(($A36-Ft!B$2)&lt;0,Ft!B$3*((1-Ft!B$6)/(1+Ft!B$37*($A36-Ft!B$2)^2)+Ft!B$6*EXP(Ft!B$38*($A36-Ft!B$2)^2)),Ft!B$3*((1-Ft!B$7)/(1+Ft!B$39*($A36-Ft!B$2)^2)+Ft!B$7*EXP(Ft!B$40*($A36-Ft!B$2)^2)))</f>
        <v>123.58469837676509</v>
      </c>
      <c r="G36" s="3">
        <f>IF(($A36-Ft!C$2)&lt;0,Ft!C$3*((1-Ft!C$6)/(1+Ft!C$37*($A36-Ft!C$2)^2)+Ft!C$6*EXP(Ft!C$38*($A36-Ft!C$2)^2)),Ft!C$3*((1-Ft!C$7)/(1+Ft!C$39*($A36-Ft!C$2)^2)+Ft!C$7*EXP(Ft!C$40*($A36-Ft!C$2)^2)))</f>
        <v>329.88327426364026</v>
      </c>
      <c r="H36" s="3">
        <f>IF(($A36-Ft!D$2)&lt;0,Ft!D$3*((1-Ft!D$6)/(1+Ft!D$37*($A36-Ft!D$2)^2)+Ft!D$6*EXP(Ft!D$38*($A36-Ft!D$2)^2)),Ft!D$3*((1-Ft!D$7)/(1+Ft!D$39*($A36-Ft!D$2)^2)+Ft!D$7*EXP(Ft!D$40*($A36-Ft!D$2)^2)))</f>
        <v>0</v>
      </c>
      <c r="I36" s="3">
        <f>IF(($A36-Ft!E$2)&lt;0,Ft!E$3*((1-Ft!E$6)/(1+Ft!E$37*($A36-Ft!E$2)^2)+Ft!E$6*EXP(Ft!E$38*($A36-Ft!E$2)^2)),Ft!E$3*((1-Ft!E$7)/(1+Ft!E$39*($A36-Ft!E$2)^2)+Ft!E$7*EXP(Ft!E$40*($A36-Ft!E$2)^2)))</f>
        <v>0</v>
      </c>
      <c r="J36" s="3">
        <f>IF(($A36-Ft!F$2)&lt;0,Ft!F$3*((1-Ft!F$6)/(1+Ft!F$37*($A36-Ft!F$2)^2)+Ft!F$6*EXP(Ft!F$38*($A36-Ft!F$2)^2)),Ft!F$3*((1-Ft!F$7)/(1+Ft!F$39*($A36-Ft!F$2)^2)+Ft!F$7*EXP(Ft!F$40*($A36-Ft!F$2)^2)))</f>
        <v>0</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s="21">
        <v>532.5</v>
      </c>
      <c r="B37">
        <v>10740</v>
      </c>
      <c r="C37" s="1">
        <f t="shared" si="1"/>
        <v>10562.422580165017</v>
      </c>
      <c r="D37" s="3">
        <f t="shared" si="0"/>
        <v>31533.740035249713</v>
      </c>
      <c r="E37" s="3">
        <f>Ft!$B$12+Ft!$B$14*(Data!A37-Vars!$B$3)</f>
        <v>10056.262626262625</v>
      </c>
      <c r="F37" s="3">
        <f>IF(($A37-Ft!B$2)&lt;0,Ft!B$3*((1-Ft!B$6)/(1+Ft!B$37*($A37-Ft!B$2)^2)+Ft!B$6*EXP(Ft!B$38*($A37-Ft!B$2)^2)),Ft!B$3*((1-Ft!B$7)/(1+Ft!B$39*($A37-Ft!B$2)^2)+Ft!B$7*EXP(Ft!B$40*($A37-Ft!B$2)^2)))</f>
        <v>131.40233513936127</v>
      </c>
      <c r="G37" s="3">
        <f>IF(($A37-Ft!C$2)&lt;0,Ft!C$3*((1-Ft!C$6)/(1+Ft!C$37*($A37-Ft!C$2)^2)+Ft!C$6*EXP(Ft!C$38*($A37-Ft!C$2)^2)),Ft!C$3*((1-Ft!C$7)/(1+Ft!C$39*($A37-Ft!C$2)^2)+Ft!C$7*EXP(Ft!C$40*($A37-Ft!C$2)^2)))</f>
        <v>374.75761876303073</v>
      </c>
      <c r="H37" s="3">
        <f>IF(($A37-Ft!D$2)&lt;0,Ft!D$3*((1-Ft!D$6)/(1+Ft!D$37*($A37-Ft!D$2)^2)+Ft!D$6*EXP(Ft!D$38*($A37-Ft!D$2)^2)),Ft!D$3*((1-Ft!D$7)/(1+Ft!D$39*($A37-Ft!D$2)^2)+Ft!D$7*EXP(Ft!D$40*($A37-Ft!D$2)^2)))</f>
        <v>0</v>
      </c>
      <c r="I37" s="3">
        <f>IF(($A37-Ft!E$2)&lt;0,Ft!E$3*((1-Ft!E$6)/(1+Ft!E$37*($A37-Ft!E$2)^2)+Ft!E$6*EXP(Ft!E$38*($A37-Ft!E$2)^2)),Ft!E$3*((1-Ft!E$7)/(1+Ft!E$39*($A37-Ft!E$2)^2)+Ft!E$7*EXP(Ft!E$40*($A37-Ft!E$2)^2)))</f>
        <v>0</v>
      </c>
      <c r="J37" s="3">
        <f>IF(($A37-Ft!F$2)&lt;0,Ft!F$3*((1-Ft!F$6)/(1+Ft!F$37*($A37-Ft!F$2)^2)+Ft!F$6*EXP(Ft!F$38*($A37-Ft!F$2)^2)),Ft!F$3*((1-Ft!F$7)/(1+Ft!F$39*($A37-Ft!F$2)^2)+Ft!F$7*EXP(Ft!F$40*($A37-Ft!F$2)^2)))</f>
        <v>0</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s="21">
        <v>532.4</v>
      </c>
      <c r="B38">
        <v>10715</v>
      </c>
      <c r="C38" s="1">
        <f t="shared" si="1"/>
        <v>10613.570156560239</v>
      </c>
      <c r="D38" s="3">
        <f t="shared" si="0"/>
        <v>10288.013140214343</v>
      </c>
      <c r="E38" s="3">
        <f>Ft!$B$12+Ft!$B$14*(Data!A38-Vars!$B$3)</f>
        <v>10050.72727272727</v>
      </c>
      <c r="F38" s="3">
        <f>IF(($A38-Ft!B$2)&lt;0,Ft!B$3*((1-Ft!B$6)/(1+Ft!B$37*($A38-Ft!B$2)^2)+Ft!B$6*EXP(Ft!B$38*($A38-Ft!B$2)^2)),Ft!B$3*((1-Ft!B$7)/(1+Ft!B$39*($A38-Ft!B$2)^2)+Ft!B$7*EXP(Ft!B$40*($A38-Ft!B$2)^2)))</f>
        <v>140.01365345237883</v>
      </c>
      <c r="G38" s="3">
        <f>IF(($A38-Ft!C$2)&lt;0,Ft!C$3*((1-Ft!C$6)/(1+Ft!C$37*($A38-Ft!C$2)^2)+Ft!C$6*EXP(Ft!C$38*($A38-Ft!C$2)^2)),Ft!C$3*((1-Ft!C$7)/(1+Ft!C$39*($A38-Ft!C$2)^2)+Ft!C$7*EXP(Ft!C$40*($A38-Ft!C$2)^2)))</f>
        <v>422.82923038058965</v>
      </c>
      <c r="H38" s="3">
        <f>IF(($A38-Ft!D$2)&lt;0,Ft!D$3*((1-Ft!D$6)/(1+Ft!D$37*($A38-Ft!D$2)^2)+Ft!D$6*EXP(Ft!D$38*($A38-Ft!D$2)^2)),Ft!D$3*((1-Ft!D$7)/(1+Ft!D$39*($A38-Ft!D$2)^2)+Ft!D$7*EXP(Ft!D$40*($A38-Ft!D$2)^2)))</f>
        <v>0</v>
      </c>
      <c r="I38" s="3">
        <f>IF(($A38-Ft!E$2)&lt;0,Ft!E$3*((1-Ft!E$6)/(1+Ft!E$37*($A38-Ft!E$2)^2)+Ft!E$6*EXP(Ft!E$38*($A38-Ft!E$2)^2)),Ft!E$3*((1-Ft!E$7)/(1+Ft!E$39*($A38-Ft!E$2)^2)+Ft!E$7*EXP(Ft!E$40*($A38-Ft!E$2)^2)))</f>
        <v>0</v>
      </c>
      <c r="J38" s="3">
        <f>IF(($A38-Ft!F$2)&lt;0,Ft!F$3*((1-Ft!F$6)/(1+Ft!F$37*($A38-Ft!F$2)^2)+Ft!F$6*EXP(Ft!F$38*($A38-Ft!F$2)^2)),Ft!F$3*((1-Ft!F$7)/(1+Ft!F$39*($A38-Ft!F$2)^2)+Ft!F$7*EXP(Ft!F$40*($A38-Ft!F$2)^2)))</f>
        <v>0</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s="21">
        <v>532.29999999999995</v>
      </c>
      <c r="B39">
        <v>10782</v>
      </c>
      <c r="C39" s="1">
        <f t="shared" si="1"/>
        <v>10668.445399679089</v>
      </c>
      <c r="D39" s="3">
        <f t="shared" si="0"/>
        <v>12894.647254041853</v>
      </c>
      <c r="E39" s="3">
        <f>Ft!$B$12+Ft!$B$14*(Data!A39-Vars!$B$3)</f>
        <v>10045.191919191917</v>
      </c>
      <c r="F39" s="3">
        <f>IF(($A39-Ft!B$2)&lt;0,Ft!B$3*((1-Ft!B$6)/(1+Ft!B$37*($A39-Ft!B$2)^2)+Ft!B$6*EXP(Ft!B$38*($A39-Ft!B$2)^2)),Ft!B$3*((1-Ft!B$7)/(1+Ft!B$39*($A39-Ft!B$2)^2)+Ft!B$7*EXP(Ft!B$40*($A39-Ft!B$2)^2)))</f>
        <v>149.56469421708874</v>
      </c>
      <c r="G39" s="3">
        <f>IF(($A39-Ft!C$2)&lt;0,Ft!C$3*((1-Ft!C$6)/(1+Ft!C$37*($A39-Ft!C$2)^2)+Ft!C$6*EXP(Ft!C$38*($A39-Ft!C$2)^2)),Ft!C$3*((1-Ft!C$7)/(1+Ft!C$39*($A39-Ft!C$2)^2)+Ft!C$7*EXP(Ft!C$40*($A39-Ft!C$2)^2)))</f>
        <v>473.68878627008417</v>
      </c>
      <c r="H39" s="3">
        <f>IF(($A39-Ft!D$2)&lt;0,Ft!D$3*((1-Ft!D$6)/(1+Ft!D$37*($A39-Ft!D$2)^2)+Ft!D$6*EXP(Ft!D$38*($A39-Ft!D$2)^2)),Ft!D$3*((1-Ft!D$7)/(1+Ft!D$39*($A39-Ft!D$2)^2)+Ft!D$7*EXP(Ft!D$40*($A39-Ft!D$2)^2)))</f>
        <v>0</v>
      </c>
      <c r="I39" s="3">
        <f>IF(($A39-Ft!E$2)&lt;0,Ft!E$3*((1-Ft!E$6)/(1+Ft!E$37*($A39-Ft!E$2)^2)+Ft!E$6*EXP(Ft!E$38*($A39-Ft!E$2)^2)),Ft!E$3*((1-Ft!E$7)/(1+Ft!E$39*($A39-Ft!E$2)^2)+Ft!E$7*EXP(Ft!E$40*($A39-Ft!E$2)^2)))</f>
        <v>0</v>
      </c>
      <c r="J39" s="3">
        <f>IF(($A39-Ft!F$2)&lt;0,Ft!F$3*((1-Ft!F$6)/(1+Ft!F$37*($A39-Ft!F$2)^2)+Ft!F$6*EXP(Ft!F$38*($A39-Ft!F$2)^2)),Ft!F$3*((1-Ft!F$7)/(1+Ft!F$39*($A39-Ft!F$2)^2)+Ft!F$7*EXP(Ft!F$40*($A39-Ft!F$2)^2)))</f>
        <v>0</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s="21">
        <v>532.20000000000005</v>
      </c>
      <c r="B40">
        <v>10818</v>
      </c>
      <c r="C40" s="1">
        <f t="shared" si="1"/>
        <v>10726.711182204999</v>
      </c>
      <c r="D40" s="3">
        <f t="shared" si="0"/>
        <v>8333.648254408854</v>
      </c>
      <c r="E40" s="3">
        <f>Ft!$B$12+Ft!$B$14*(Data!A40-Vars!$B$3)</f>
        <v>10039.656565656567</v>
      </c>
      <c r="F40" s="3">
        <f>IF(($A40-Ft!B$2)&lt;0,Ft!B$3*((1-Ft!B$6)/(1+Ft!B$37*($A40-Ft!B$2)^2)+Ft!B$6*EXP(Ft!B$38*($A40-Ft!B$2)^2)),Ft!B$3*((1-Ft!B$7)/(1+Ft!B$39*($A40-Ft!B$2)^2)+Ft!B$7*EXP(Ft!B$40*($A40-Ft!B$2)^2)))</f>
        <v>160.25993784046963</v>
      </c>
      <c r="G40" s="3">
        <f>IF(($A40-Ft!C$2)&lt;0,Ft!C$3*((1-Ft!C$6)/(1+Ft!C$37*($A40-Ft!C$2)^2)+Ft!C$6*EXP(Ft!C$38*($A40-Ft!C$2)^2)),Ft!C$3*((1-Ft!C$7)/(1+Ft!C$39*($A40-Ft!C$2)^2)+Ft!C$7*EXP(Ft!C$40*($A40-Ft!C$2)^2)))</f>
        <v>526.79467870796202</v>
      </c>
      <c r="H40" s="3">
        <f>IF(($A40-Ft!D$2)&lt;0,Ft!D$3*((1-Ft!D$6)/(1+Ft!D$37*($A40-Ft!D$2)^2)+Ft!D$6*EXP(Ft!D$38*($A40-Ft!D$2)^2)),Ft!D$3*((1-Ft!D$7)/(1+Ft!D$39*($A40-Ft!D$2)^2)+Ft!D$7*EXP(Ft!D$40*($A40-Ft!D$2)^2)))</f>
        <v>0</v>
      </c>
      <c r="I40" s="3">
        <f>IF(($A40-Ft!E$2)&lt;0,Ft!E$3*((1-Ft!E$6)/(1+Ft!E$37*($A40-Ft!E$2)^2)+Ft!E$6*EXP(Ft!E$38*($A40-Ft!E$2)^2)),Ft!E$3*((1-Ft!E$7)/(1+Ft!E$39*($A40-Ft!E$2)^2)+Ft!E$7*EXP(Ft!E$40*($A40-Ft!E$2)^2)))</f>
        <v>0</v>
      </c>
      <c r="J40" s="3">
        <f>IF(($A40-Ft!F$2)&lt;0,Ft!F$3*((1-Ft!F$6)/(1+Ft!F$37*($A40-Ft!F$2)^2)+Ft!F$6*EXP(Ft!F$38*($A40-Ft!F$2)^2)),Ft!F$3*((1-Ft!F$7)/(1+Ft!F$39*($A40-Ft!F$2)^2)+Ft!F$7*EXP(Ft!F$40*($A40-Ft!F$2)^2)))</f>
        <v>0</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s="21">
        <v>532.1</v>
      </c>
      <c r="B41">
        <v>10927</v>
      </c>
      <c r="C41" s="1">
        <f t="shared" si="1"/>
        <v>10787.990294602521</v>
      </c>
      <c r="D41" s="3">
        <f t="shared" si="0"/>
        <v>19323.698194693814</v>
      </c>
      <c r="E41" s="3">
        <f>Ft!$B$12+Ft!$B$14*(Data!A41-Vars!$B$3)</f>
        <v>10034.121212121212</v>
      </c>
      <c r="F41" s="3">
        <f>IF(($A41-Ft!B$2)&lt;0,Ft!B$3*((1-Ft!B$6)/(1+Ft!B$37*($A41-Ft!B$2)^2)+Ft!B$6*EXP(Ft!B$38*($A41-Ft!B$2)^2)),Ft!B$3*((1-Ft!B$7)/(1+Ft!B$39*($A41-Ft!B$2)^2)+Ft!B$7*EXP(Ft!B$40*($A41-Ft!B$2)^2)))</f>
        <v>172.39650665285902</v>
      </c>
      <c r="G41" s="3">
        <f>IF(($A41-Ft!C$2)&lt;0,Ft!C$3*((1-Ft!C$6)/(1+Ft!C$37*($A41-Ft!C$2)^2)+Ft!C$6*EXP(Ft!C$38*($A41-Ft!C$2)^2)),Ft!C$3*((1-Ft!C$7)/(1+Ft!C$39*($A41-Ft!C$2)^2)+Ft!C$7*EXP(Ft!C$40*($A41-Ft!C$2)^2)))</f>
        <v>581.47257582844873</v>
      </c>
      <c r="H41" s="3">
        <f>IF(($A41-Ft!D$2)&lt;0,Ft!D$3*((1-Ft!D$6)/(1+Ft!D$37*($A41-Ft!D$2)^2)+Ft!D$6*EXP(Ft!D$38*($A41-Ft!D$2)^2)),Ft!D$3*((1-Ft!D$7)/(1+Ft!D$39*($A41-Ft!D$2)^2)+Ft!D$7*EXP(Ft!D$40*($A41-Ft!D$2)^2)))</f>
        <v>0</v>
      </c>
      <c r="I41" s="3">
        <f>IF(($A41-Ft!E$2)&lt;0,Ft!E$3*((1-Ft!E$6)/(1+Ft!E$37*($A41-Ft!E$2)^2)+Ft!E$6*EXP(Ft!E$38*($A41-Ft!E$2)^2)),Ft!E$3*((1-Ft!E$7)/(1+Ft!E$39*($A41-Ft!E$2)^2)+Ft!E$7*EXP(Ft!E$40*($A41-Ft!E$2)^2)))</f>
        <v>0</v>
      </c>
      <c r="J41" s="3">
        <f>IF(($A41-Ft!F$2)&lt;0,Ft!F$3*((1-Ft!F$6)/(1+Ft!F$37*($A41-Ft!F$2)^2)+Ft!F$6*EXP(Ft!F$38*($A41-Ft!F$2)^2)),Ft!F$3*((1-Ft!F$7)/(1+Ft!F$39*($A41-Ft!F$2)^2)+Ft!F$7*EXP(Ft!F$40*($A41-Ft!F$2)^2)))</f>
        <v>0</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s="21">
        <v>532</v>
      </c>
      <c r="B42">
        <v>10931</v>
      </c>
      <c r="C42" s="1">
        <f t="shared" si="1"/>
        <v>10851.922726524335</v>
      </c>
      <c r="D42" s="3">
        <f t="shared" si="0"/>
        <v>6253.2151803450633</v>
      </c>
      <c r="E42" s="3">
        <f>Ft!$B$12+Ft!$B$14*(Data!A42-Vars!$B$3)</f>
        <v>10028.585858585859</v>
      </c>
      <c r="F42" s="3">
        <f>IF(($A42-Ft!B$2)&lt;0,Ft!B$3*((1-Ft!B$6)/(1+Ft!B$37*($A42-Ft!B$2)^2)+Ft!B$6*EXP(Ft!B$38*($A42-Ft!B$2)^2)),Ft!B$3*((1-Ft!B$7)/(1+Ft!B$39*($A42-Ft!B$2)^2)+Ft!B$7*EXP(Ft!B$40*($A42-Ft!B$2)^2)))</f>
        <v>186.41744664462442</v>
      </c>
      <c r="G42" s="3">
        <f>IF(($A42-Ft!C$2)&lt;0,Ft!C$3*((1-Ft!C$6)/(1+Ft!C$37*($A42-Ft!C$2)^2)+Ft!C$6*EXP(Ft!C$38*($A42-Ft!C$2)^2)),Ft!C$3*((1-Ft!C$7)/(1+Ft!C$39*($A42-Ft!C$2)^2)+Ft!C$7*EXP(Ft!C$40*($A42-Ft!C$2)^2)))</f>
        <v>636.91942129385291</v>
      </c>
      <c r="H42" s="3">
        <f>IF(($A42-Ft!D$2)&lt;0,Ft!D$3*((1-Ft!D$6)/(1+Ft!D$37*($A42-Ft!D$2)^2)+Ft!D$6*EXP(Ft!D$38*($A42-Ft!D$2)^2)),Ft!D$3*((1-Ft!D$7)/(1+Ft!D$39*($A42-Ft!D$2)^2)+Ft!D$7*EXP(Ft!D$40*($A42-Ft!D$2)^2)))</f>
        <v>0</v>
      </c>
      <c r="I42" s="3">
        <f>IF(($A42-Ft!E$2)&lt;0,Ft!E$3*((1-Ft!E$6)/(1+Ft!E$37*($A42-Ft!E$2)^2)+Ft!E$6*EXP(Ft!E$38*($A42-Ft!E$2)^2)),Ft!E$3*((1-Ft!E$7)/(1+Ft!E$39*($A42-Ft!E$2)^2)+Ft!E$7*EXP(Ft!E$40*($A42-Ft!E$2)^2)))</f>
        <v>0</v>
      </c>
      <c r="J42" s="3">
        <f>IF(($A42-Ft!F$2)&lt;0,Ft!F$3*((1-Ft!F$6)/(1+Ft!F$37*($A42-Ft!F$2)^2)+Ft!F$6*EXP(Ft!F$38*($A42-Ft!F$2)^2)),Ft!F$3*((1-Ft!F$7)/(1+Ft!F$39*($A42-Ft!F$2)^2)+Ft!F$7*EXP(Ft!F$40*($A42-Ft!F$2)^2)))</f>
        <v>0</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s="21">
        <v>531.9</v>
      </c>
      <c r="B43">
        <v>11133</v>
      </c>
      <c r="C43" s="1">
        <f t="shared" si="1"/>
        <v>10918.254512797803</v>
      </c>
      <c r="D43" s="3">
        <f t="shared" si="0"/>
        <v>46115.624273709036</v>
      </c>
      <c r="E43" s="3">
        <f>Ft!$B$12+Ft!$B$14*(Data!A43-Vars!$B$3)</f>
        <v>10023.050505050503</v>
      </c>
      <c r="F43" s="3">
        <f>IF(($A43-Ft!B$2)&lt;0,Ft!B$3*((1-Ft!B$6)/(1+Ft!B$37*($A43-Ft!B$2)^2)+Ft!B$6*EXP(Ft!B$38*($A43-Ft!B$2)^2)),Ft!B$3*((1-Ft!B$7)/(1+Ft!B$39*($A43-Ft!B$2)^2)+Ft!B$7*EXP(Ft!B$40*($A43-Ft!B$2)^2)))</f>
        <v>202.9919880036995</v>
      </c>
      <c r="G43" s="3">
        <f>IF(($A43-Ft!C$2)&lt;0,Ft!C$3*((1-Ft!C$6)/(1+Ft!C$37*($A43-Ft!C$2)^2)+Ft!C$6*EXP(Ft!C$38*($A43-Ft!C$2)^2)),Ft!C$3*((1-Ft!C$7)/(1+Ft!C$39*($A43-Ft!C$2)^2)+Ft!C$7*EXP(Ft!C$40*($A43-Ft!C$2)^2)))</f>
        <v>692.21201974359928</v>
      </c>
      <c r="H43" s="3">
        <f>IF(($A43-Ft!D$2)&lt;0,Ft!D$3*((1-Ft!D$6)/(1+Ft!D$37*($A43-Ft!D$2)^2)+Ft!D$6*EXP(Ft!D$38*($A43-Ft!D$2)^2)),Ft!D$3*((1-Ft!D$7)/(1+Ft!D$39*($A43-Ft!D$2)^2)+Ft!D$7*EXP(Ft!D$40*($A43-Ft!D$2)^2)))</f>
        <v>0</v>
      </c>
      <c r="I43" s="3">
        <f>IF(($A43-Ft!E$2)&lt;0,Ft!E$3*((1-Ft!E$6)/(1+Ft!E$37*($A43-Ft!E$2)^2)+Ft!E$6*EXP(Ft!E$38*($A43-Ft!E$2)^2)),Ft!E$3*((1-Ft!E$7)/(1+Ft!E$39*($A43-Ft!E$2)^2)+Ft!E$7*EXP(Ft!E$40*($A43-Ft!E$2)^2)))</f>
        <v>0</v>
      </c>
      <c r="J43" s="3">
        <f>IF(($A43-Ft!F$2)&lt;0,Ft!F$3*((1-Ft!F$6)/(1+Ft!F$37*($A43-Ft!F$2)^2)+Ft!F$6*EXP(Ft!F$38*($A43-Ft!F$2)^2)),Ft!F$3*((1-Ft!F$7)/(1+Ft!F$39*($A43-Ft!F$2)^2)+Ft!F$7*EXP(Ft!F$40*($A43-Ft!F$2)^2)))</f>
        <v>0</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s="21">
        <v>531.79999999999995</v>
      </c>
      <c r="B44">
        <v>11035</v>
      </c>
      <c r="C44" s="1">
        <f t="shared" si="1"/>
        <v>10986.967429115441</v>
      </c>
      <c r="D44" s="3">
        <f t="shared" si="0"/>
        <v>2307.1278657802227</v>
      </c>
      <c r="E44" s="3">
        <f>Ft!$B$12+Ft!$B$14*(Data!A44-Vars!$B$3)</f>
        <v>10017.515151515148</v>
      </c>
      <c r="F44" s="3">
        <f>IF(($A44-Ft!B$2)&lt;0,Ft!B$3*((1-Ft!B$6)/(1+Ft!B$37*($A44-Ft!B$2)^2)+Ft!B$6*EXP(Ft!B$38*($A44-Ft!B$2)^2)),Ft!B$3*((1-Ft!B$7)/(1+Ft!B$39*($A44-Ft!B$2)^2)+Ft!B$7*EXP(Ft!B$40*($A44-Ft!B$2)^2)))</f>
        <v>223.1318475752386</v>
      </c>
      <c r="G44" s="3">
        <f>IF(($A44-Ft!C$2)&lt;0,Ft!C$3*((1-Ft!C$6)/(1+Ft!C$37*($A44-Ft!C$2)^2)+Ft!C$6*EXP(Ft!C$38*($A44-Ft!C$2)^2)),Ft!C$3*((1-Ft!C$7)/(1+Ft!C$39*($A44-Ft!C$2)^2)+Ft!C$7*EXP(Ft!C$40*($A44-Ft!C$2)^2)))</f>
        <v>746.32043002505497</v>
      </c>
      <c r="H44" s="3">
        <f>IF(($A44-Ft!D$2)&lt;0,Ft!D$3*((1-Ft!D$6)/(1+Ft!D$37*($A44-Ft!D$2)^2)+Ft!D$6*EXP(Ft!D$38*($A44-Ft!D$2)^2)),Ft!D$3*((1-Ft!D$7)/(1+Ft!D$39*($A44-Ft!D$2)^2)+Ft!D$7*EXP(Ft!D$40*($A44-Ft!D$2)^2)))</f>
        <v>0</v>
      </c>
      <c r="I44" s="3">
        <f>IF(($A44-Ft!E$2)&lt;0,Ft!E$3*((1-Ft!E$6)/(1+Ft!E$37*($A44-Ft!E$2)^2)+Ft!E$6*EXP(Ft!E$38*($A44-Ft!E$2)^2)),Ft!E$3*((1-Ft!E$7)/(1+Ft!E$39*($A44-Ft!E$2)^2)+Ft!E$7*EXP(Ft!E$40*($A44-Ft!E$2)^2)))</f>
        <v>0</v>
      </c>
      <c r="J44" s="3">
        <f>IF(($A44-Ft!F$2)&lt;0,Ft!F$3*((1-Ft!F$6)/(1+Ft!F$37*($A44-Ft!F$2)^2)+Ft!F$6*EXP(Ft!F$38*($A44-Ft!F$2)^2)),Ft!F$3*((1-Ft!F$7)/(1+Ft!F$39*($A44-Ft!F$2)^2)+Ft!F$7*EXP(Ft!F$40*($A44-Ft!F$2)^2)))</f>
        <v>0</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s="21">
        <v>531.70000000000005</v>
      </c>
      <c r="B45">
        <v>11163</v>
      </c>
      <c r="C45" s="1">
        <f t="shared" si="1"/>
        <v>11058.458989004575</v>
      </c>
      <c r="D45" s="3">
        <f t="shared" si="0"/>
        <v>10928.822979945484</v>
      </c>
      <c r="E45" s="3">
        <f>Ft!$B$12+Ft!$B$14*(Data!A45-Vars!$B$3)</f>
        <v>10011.9797979798</v>
      </c>
      <c r="F45" s="3">
        <f>IF(($A45-Ft!B$2)&lt;0,Ft!B$3*((1-Ft!B$6)/(1+Ft!B$37*($A45-Ft!B$2)^2)+Ft!B$6*EXP(Ft!B$38*($A45-Ft!B$2)^2)),Ft!B$3*((1-Ft!B$7)/(1+Ft!B$39*($A45-Ft!B$2)^2)+Ft!B$7*EXP(Ft!B$40*($A45-Ft!B$2)^2)))</f>
        <v>248.3524621866317</v>
      </c>
      <c r="G45" s="3">
        <f>IF(($A45-Ft!C$2)&lt;0,Ft!C$3*((1-Ft!C$6)/(1+Ft!C$37*($A45-Ft!C$2)^2)+Ft!C$6*EXP(Ft!C$38*($A45-Ft!C$2)^2)),Ft!C$3*((1-Ft!C$7)/(1+Ft!C$39*($A45-Ft!C$2)^2)+Ft!C$7*EXP(Ft!C$40*($A45-Ft!C$2)^2)))</f>
        <v>798.12672883814469</v>
      </c>
      <c r="H45" s="3">
        <f>IF(($A45-Ft!D$2)&lt;0,Ft!D$3*((1-Ft!D$6)/(1+Ft!D$37*($A45-Ft!D$2)^2)+Ft!D$6*EXP(Ft!D$38*($A45-Ft!D$2)^2)),Ft!D$3*((1-Ft!D$7)/(1+Ft!D$39*($A45-Ft!D$2)^2)+Ft!D$7*EXP(Ft!D$40*($A45-Ft!D$2)^2)))</f>
        <v>0</v>
      </c>
      <c r="I45" s="3">
        <f>IF(($A45-Ft!E$2)&lt;0,Ft!E$3*((1-Ft!E$6)/(1+Ft!E$37*($A45-Ft!E$2)^2)+Ft!E$6*EXP(Ft!E$38*($A45-Ft!E$2)^2)),Ft!E$3*((1-Ft!E$7)/(1+Ft!E$39*($A45-Ft!E$2)^2)+Ft!E$7*EXP(Ft!E$40*($A45-Ft!E$2)^2)))</f>
        <v>0</v>
      </c>
      <c r="J45" s="3">
        <f>IF(($A45-Ft!F$2)&lt;0,Ft!F$3*((1-Ft!F$6)/(1+Ft!F$37*($A45-Ft!F$2)^2)+Ft!F$6*EXP(Ft!F$38*($A45-Ft!F$2)^2)),Ft!F$3*((1-Ft!F$7)/(1+Ft!F$39*($A45-Ft!F$2)^2)+Ft!F$7*EXP(Ft!F$40*($A45-Ft!F$2)^2)))</f>
        <v>0</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s="21">
        <v>531.6</v>
      </c>
      <c r="B46">
        <v>11369</v>
      </c>
      <c r="C46" s="1">
        <f t="shared" si="1"/>
        <v>11133.780150214287</v>
      </c>
      <c r="D46" s="3">
        <f t="shared" si="0"/>
        <v>55328.377733213601</v>
      </c>
      <c r="E46" s="3">
        <f>Ft!$B$12+Ft!$B$14*(Data!A46-Vars!$B$3)</f>
        <v>10006.444444444445</v>
      </c>
      <c r="F46" s="3">
        <f>IF(($A46-Ft!B$2)&lt;0,Ft!B$3*((1-Ft!B$6)/(1+Ft!B$37*($A46-Ft!B$2)^2)+Ft!B$6*EXP(Ft!B$38*($A46-Ft!B$2)^2)),Ft!B$3*((1-Ft!B$7)/(1+Ft!B$39*($A46-Ft!B$2)^2)+Ft!B$7*EXP(Ft!B$40*($A46-Ft!B$2)^2)))</f>
        <v>280.88538684811311</v>
      </c>
      <c r="G46" s="3">
        <f>IF(($A46-Ft!C$2)&lt;0,Ft!C$3*((1-Ft!C$6)/(1+Ft!C$37*($A46-Ft!C$2)^2)+Ft!C$6*EXP(Ft!C$38*($A46-Ft!C$2)^2)),Ft!C$3*((1-Ft!C$7)/(1+Ft!C$39*($A46-Ft!C$2)^2)+Ft!C$7*EXP(Ft!C$40*($A46-Ft!C$2)^2)))</f>
        <v>846.45031892172824</v>
      </c>
      <c r="H46" s="3">
        <f>IF(($A46-Ft!D$2)&lt;0,Ft!D$3*((1-Ft!D$6)/(1+Ft!D$37*($A46-Ft!D$2)^2)+Ft!D$6*EXP(Ft!D$38*($A46-Ft!D$2)^2)),Ft!D$3*((1-Ft!D$7)/(1+Ft!D$39*($A46-Ft!D$2)^2)+Ft!D$7*EXP(Ft!D$40*($A46-Ft!D$2)^2)))</f>
        <v>0</v>
      </c>
      <c r="I46" s="3">
        <f>IF(($A46-Ft!E$2)&lt;0,Ft!E$3*((1-Ft!E$6)/(1+Ft!E$37*($A46-Ft!E$2)^2)+Ft!E$6*EXP(Ft!E$38*($A46-Ft!E$2)^2)),Ft!E$3*((1-Ft!E$7)/(1+Ft!E$39*($A46-Ft!E$2)^2)+Ft!E$7*EXP(Ft!E$40*($A46-Ft!E$2)^2)))</f>
        <v>0</v>
      </c>
      <c r="J46" s="3">
        <f>IF(($A46-Ft!F$2)&lt;0,Ft!F$3*((1-Ft!F$6)/(1+Ft!F$37*($A46-Ft!F$2)^2)+Ft!F$6*EXP(Ft!F$38*($A46-Ft!F$2)^2)),Ft!F$3*((1-Ft!F$7)/(1+Ft!F$39*($A46-Ft!F$2)^2)+Ft!F$7*EXP(Ft!F$40*($A46-Ft!F$2)^2)))</f>
        <v>0</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s="21">
        <v>531.5</v>
      </c>
      <c r="B47">
        <v>11401</v>
      </c>
      <c r="C47" s="1">
        <f t="shared" si="1"/>
        <v>11214.932377671414</v>
      </c>
      <c r="D47" s="3">
        <f t="shared" si="0"/>
        <v>34621.160079013454</v>
      </c>
      <c r="E47" s="3">
        <f>Ft!$B$12+Ft!$B$14*(Data!A47-Vars!$B$3)</f>
        <v>10000.90909090909</v>
      </c>
      <c r="F47" s="3">
        <f>IF(($A47-Ft!B$2)&lt;0,Ft!B$3*((1-Ft!B$6)/(1+Ft!B$37*($A47-Ft!B$2)^2)+Ft!B$6*EXP(Ft!B$38*($A47-Ft!B$2)^2)),Ft!B$3*((1-Ft!B$7)/(1+Ft!B$39*($A47-Ft!B$2)^2)+Ft!B$7*EXP(Ft!B$40*($A47-Ft!B$2)^2)))</f>
        <v>323.94163157780093</v>
      </c>
      <c r="G47" s="3">
        <f>IF(($A47-Ft!C$2)&lt;0,Ft!C$3*((1-Ft!C$6)/(1+Ft!C$37*($A47-Ft!C$2)^2)+Ft!C$6*EXP(Ft!C$38*($A47-Ft!C$2)^2)),Ft!C$3*((1-Ft!C$7)/(1+Ft!C$39*($A47-Ft!C$2)^2)+Ft!C$7*EXP(Ft!C$40*($A47-Ft!C$2)^2)))</f>
        <v>890.0816551845212</v>
      </c>
      <c r="H47" s="3">
        <f>IF(($A47-Ft!D$2)&lt;0,Ft!D$3*((1-Ft!D$6)/(1+Ft!D$37*($A47-Ft!D$2)^2)+Ft!D$6*EXP(Ft!D$38*($A47-Ft!D$2)^2)),Ft!D$3*((1-Ft!D$7)/(1+Ft!D$39*($A47-Ft!D$2)^2)+Ft!D$7*EXP(Ft!D$40*($A47-Ft!D$2)^2)))</f>
        <v>0</v>
      </c>
      <c r="I47" s="3">
        <f>IF(($A47-Ft!E$2)&lt;0,Ft!E$3*((1-Ft!E$6)/(1+Ft!E$37*($A47-Ft!E$2)^2)+Ft!E$6*EXP(Ft!E$38*($A47-Ft!E$2)^2)),Ft!E$3*((1-Ft!E$7)/(1+Ft!E$39*($A47-Ft!E$2)^2)+Ft!E$7*EXP(Ft!E$40*($A47-Ft!E$2)^2)))</f>
        <v>0</v>
      </c>
      <c r="J47" s="3">
        <f>IF(($A47-Ft!F$2)&lt;0,Ft!F$3*((1-Ft!F$6)/(1+Ft!F$37*($A47-Ft!F$2)^2)+Ft!F$6*EXP(Ft!F$38*($A47-Ft!F$2)^2)),Ft!F$3*((1-Ft!F$7)/(1+Ft!F$39*($A47-Ft!F$2)^2)+Ft!F$7*EXP(Ft!F$40*($A47-Ft!F$2)^2)))</f>
        <v>0</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s="21">
        <v>531.4</v>
      </c>
      <c r="B48">
        <v>11650</v>
      </c>
      <c r="C48" s="1">
        <f t="shared" si="1"/>
        <v>11305.214570259057</v>
      </c>
      <c r="D48" s="3">
        <f t="shared" si="0"/>
        <v>118876.9925616468</v>
      </c>
      <c r="E48" s="3">
        <f>Ft!$B$12+Ft!$B$14*(Data!A48-Vars!$B$3)</f>
        <v>9995.3737373737349</v>
      </c>
      <c r="F48" s="3">
        <f>IF(($A48-Ft!B$2)&lt;0,Ft!B$3*((1-Ft!B$6)/(1+Ft!B$37*($A48-Ft!B$2)^2)+Ft!B$6*EXP(Ft!B$38*($A48-Ft!B$2)^2)),Ft!B$3*((1-Ft!B$7)/(1+Ft!B$39*($A48-Ft!B$2)^2)+Ft!B$7*EXP(Ft!B$40*($A48-Ft!B$2)^2)))</f>
        <v>382.014257373249</v>
      </c>
      <c r="G48" s="3">
        <f>IF(($A48-Ft!C$2)&lt;0,Ft!C$3*((1-Ft!C$6)/(1+Ft!C$37*($A48-Ft!C$2)^2)+Ft!C$6*EXP(Ft!C$38*($A48-Ft!C$2)^2)),Ft!C$3*((1-Ft!C$7)/(1+Ft!C$39*($A48-Ft!C$2)^2)+Ft!C$7*EXP(Ft!C$40*($A48-Ft!C$2)^2)))</f>
        <v>927.82657551207456</v>
      </c>
      <c r="H48" s="3">
        <f>IF(($A48-Ft!D$2)&lt;0,Ft!D$3*((1-Ft!D$6)/(1+Ft!D$37*($A48-Ft!D$2)^2)+Ft!D$6*EXP(Ft!D$38*($A48-Ft!D$2)^2)),Ft!D$3*((1-Ft!D$7)/(1+Ft!D$39*($A48-Ft!D$2)^2)+Ft!D$7*EXP(Ft!D$40*($A48-Ft!D$2)^2)))</f>
        <v>0</v>
      </c>
      <c r="I48" s="3">
        <f>IF(($A48-Ft!E$2)&lt;0,Ft!E$3*((1-Ft!E$6)/(1+Ft!E$37*($A48-Ft!E$2)^2)+Ft!E$6*EXP(Ft!E$38*($A48-Ft!E$2)^2)),Ft!E$3*((1-Ft!E$7)/(1+Ft!E$39*($A48-Ft!E$2)^2)+Ft!E$7*EXP(Ft!E$40*($A48-Ft!E$2)^2)))</f>
        <v>0</v>
      </c>
      <c r="J48" s="3">
        <f>IF(($A48-Ft!F$2)&lt;0,Ft!F$3*((1-Ft!F$6)/(1+Ft!F$37*($A48-Ft!F$2)^2)+Ft!F$6*EXP(Ft!F$38*($A48-Ft!F$2)^2)),Ft!F$3*((1-Ft!F$7)/(1+Ft!F$39*($A48-Ft!F$2)^2)+Ft!F$7*EXP(Ft!F$40*($A48-Ft!F$2)^2)))</f>
        <v>0</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s="21">
        <v>531.29999999999995</v>
      </c>
      <c r="B49">
        <v>11709</v>
      </c>
      <c r="C49" s="1">
        <f t="shared" si="1"/>
        <v>11409.592574702137</v>
      </c>
      <c r="D49" s="3">
        <f t="shared" si="0"/>
        <v>89644.806323495155</v>
      </c>
      <c r="E49" s="3">
        <f>Ft!$B$12+Ft!$B$14*(Data!A49-Vars!$B$3)</f>
        <v>9989.8383838383816</v>
      </c>
      <c r="F49" s="3">
        <f>IF(($A49-Ft!B$2)&lt;0,Ft!B$3*((1-Ft!B$6)/(1+Ft!B$37*($A49-Ft!B$2)^2)+Ft!B$6*EXP(Ft!B$38*($A49-Ft!B$2)^2)),Ft!B$3*((1-Ft!B$7)/(1+Ft!B$39*($A49-Ft!B$2)^2)+Ft!B$7*EXP(Ft!B$40*($A49-Ft!B$2)^2)))</f>
        <v>461.19158190134789</v>
      </c>
      <c r="G49" s="3">
        <f>IF(($A49-Ft!C$2)&lt;0,Ft!C$3*((1-Ft!C$6)/(1+Ft!C$37*($A49-Ft!C$2)^2)+Ft!C$6*EXP(Ft!C$38*($A49-Ft!C$2)^2)),Ft!C$3*((1-Ft!C$7)/(1+Ft!C$39*($A49-Ft!C$2)^2)+Ft!C$7*EXP(Ft!C$40*($A49-Ft!C$2)^2)))</f>
        <v>958.56260896240735</v>
      </c>
      <c r="H49" s="3">
        <f>IF(($A49-Ft!D$2)&lt;0,Ft!D$3*((1-Ft!D$6)/(1+Ft!D$37*($A49-Ft!D$2)^2)+Ft!D$6*EXP(Ft!D$38*($A49-Ft!D$2)^2)),Ft!D$3*((1-Ft!D$7)/(1+Ft!D$39*($A49-Ft!D$2)^2)+Ft!D$7*EXP(Ft!D$40*($A49-Ft!D$2)^2)))</f>
        <v>0</v>
      </c>
      <c r="I49" s="3">
        <f>IF(($A49-Ft!E$2)&lt;0,Ft!E$3*((1-Ft!E$6)/(1+Ft!E$37*($A49-Ft!E$2)^2)+Ft!E$6*EXP(Ft!E$38*($A49-Ft!E$2)^2)),Ft!E$3*((1-Ft!E$7)/(1+Ft!E$39*($A49-Ft!E$2)^2)+Ft!E$7*EXP(Ft!E$40*($A49-Ft!E$2)^2)))</f>
        <v>0</v>
      </c>
      <c r="J49" s="3">
        <f>IF(($A49-Ft!F$2)&lt;0,Ft!F$3*((1-Ft!F$6)/(1+Ft!F$37*($A49-Ft!F$2)^2)+Ft!F$6*EXP(Ft!F$38*($A49-Ft!F$2)^2)),Ft!F$3*((1-Ft!F$7)/(1+Ft!F$39*($A49-Ft!F$2)^2)+Ft!F$7*EXP(Ft!F$40*($A49-Ft!F$2)^2)))</f>
        <v>0</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s="21">
        <v>531.20000000000005</v>
      </c>
      <c r="B50">
        <v>12030</v>
      </c>
      <c r="C50" s="1">
        <f t="shared" si="1"/>
        <v>11535.039711423353</v>
      </c>
      <c r="D50" s="3">
        <f t="shared" si="0"/>
        <v>244985.68726787783</v>
      </c>
      <c r="E50" s="3">
        <f>Ft!$B$12+Ft!$B$14*(Data!A50-Vars!$B$3)</f>
        <v>9984.3030303030318</v>
      </c>
      <c r="F50" s="3">
        <f>IF(($A50-Ft!B$2)&lt;0,Ft!B$3*((1-Ft!B$6)/(1+Ft!B$37*($A50-Ft!B$2)^2)+Ft!B$6*EXP(Ft!B$38*($A50-Ft!B$2)^2)),Ft!B$3*((1-Ft!B$7)/(1+Ft!B$39*($A50-Ft!B$2)^2)+Ft!B$7*EXP(Ft!B$40*($A50-Ft!B$2)^2)))</f>
        <v>569.43068193114334</v>
      </c>
      <c r="G50" s="3">
        <f>IF(($A50-Ft!C$2)&lt;0,Ft!C$3*((1-Ft!C$6)/(1+Ft!C$37*($A50-Ft!C$2)^2)+Ft!C$6*EXP(Ft!C$38*($A50-Ft!C$2)^2)),Ft!C$3*((1-Ft!C$7)/(1+Ft!C$39*($A50-Ft!C$2)^2)+Ft!C$7*EXP(Ft!C$40*($A50-Ft!C$2)^2)))</f>
        <v>981.30599918917744</v>
      </c>
      <c r="H50" s="3">
        <f>IF(($A50-Ft!D$2)&lt;0,Ft!D$3*((1-Ft!D$6)/(1+Ft!D$37*($A50-Ft!D$2)^2)+Ft!D$6*EXP(Ft!D$38*($A50-Ft!D$2)^2)),Ft!D$3*((1-Ft!D$7)/(1+Ft!D$39*($A50-Ft!D$2)^2)+Ft!D$7*EXP(Ft!D$40*($A50-Ft!D$2)^2)))</f>
        <v>0</v>
      </c>
      <c r="I50" s="3">
        <f>IF(($A50-Ft!E$2)&lt;0,Ft!E$3*((1-Ft!E$6)/(1+Ft!E$37*($A50-Ft!E$2)^2)+Ft!E$6*EXP(Ft!E$38*($A50-Ft!E$2)^2)),Ft!E$3*((1-Ft!E$7)/(1+Ft!E$39*($A50-Ft!E$2)^2)+Ft!E$7*EXP(Ft!E$40*($A50-Ft!E$2)^2)))</f>
        <v>0</v>
      </c>
      <c r="J50" s="3">
        <f>IF(($A50-Ft!F$2)&lt;0,Ft!F$3*((1-Ft!F$6)/(1+Ft!F$37*($A50-Ft!F$2)^2)+Ft!F$6*EXP(Ft!F$38*($A50-Ft!F$2)^2)),Ft!F$3*((1-Ft!F$7)/(1+Ft!F$39*($A50-Ft!F$2)^2)+Ft!F$7*EXP(Ft!F$40*($A50-Ft!F$2)^2)))</f>
        <v>0</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s="21">
        <v>531.1</v>
      </c>
      <c r="B51">
        <v>12274</v>
      </c>
      <c r="C51" s="1">
        <f t="shared" si="1"/>
        <v>11690.768780906572</v>
      </c>
      <c r="D51" s="3">
        <f t="shared" si="0"/>
        <v>340158.65492520633</v>
      </c>
      <c r="E51" s="3">
        <f>Ft!$B$12+Ft!$B$14*(Data!A51-Vars!$B$3)</f>
        <v>9978.7676767676767</v>
      </c>
      <c r="F51" s="3">
        <f>IF(($A51-Ft!B$2)&lt;0,Ft!B$3*((1-Ft!B$6)/(1+Ft!B$37*($A51-Ft!B$2)^2)+Ft!B$6*EXP(Ft!B$38*($A51-Ft!B$2)^2)),Ft!B$3*((1-Ft!B$7)/(1+Ft!B$39*($A51-Ft!B$2)^2)+Ft!B$7*EXP(Ft!B$40*($A51-Ft!B$2)^2)))</f>
        <v>716.71736849744241</v>
      </c>
      <c r="G51" s="3">
        <f>IF(($A51-Ft!C$2)&lt;0,Ft!C$3*((1-Ft!C$6)/(1+Ft!C$37*($A51-Ft!C$2)^2)+Ft!C$6*EXP(Ft!C$38*($A51-Ft!C$2)^2)),Ft!C$3*((1-Ft!C$7)/(1+Ft!C$39*($A51-Ft!C$2)^2)+Ft!C$7*EXP(Ft!C$40*($A51-Ft!C$2)^2)))</f>
        <v>995.28373564145375</v>
      </c>
      <c r="H51" s="3">
        <f>IF(($A51-Ft!D$2)&lt;0,Ft!D$3*((1-Ft!D$6)/(1+Ft!D$37*($A51-Ft!D$2)^2)+Ft!D$6*EXP(Ft!D$38*($A51-Ft!D$2)^2)),Ft!D$3*((1-Ft!D$7)/(1+Ft!D$39*($A51-Ft!D$2)^2)+Ft!D$7*EXP(Ft!D$40*($A51-Ft!D$2)^2)))</f>
        <v>0</v>
      </c>
      <c r="I51" s="3">
        <f>IF(($A51-Ft!E$2)&lt;0,Ft!E$3*((1-Ft!E$6)/(1+Ft!E$37*($A51-Ft!E$2)^2)+Ft!E$6*EXP(Ft!E$38*($A51-Ft!E$2)^2)),Ft!E$3*((1-Ft!E$7)/(1+Ft!E$39*($A51-Ft!E$2)^2)+Ft!E$7*EXP(Ft!E$40*($A51-Ft!E$2)^2)))</f>
        <v>0</v>
      </c>
      <c r="J51" s="3">
        <f>IF(($A51-Ft!F$2)&lt;0,Ft!F$3*((1-Ft!F$6)/(1+Ft!F$37*($A51-Ft!F$2)^2)+Ft!F$6*EXP(Ft!F$38*($A51-Ft!F$2)^2)),Ft!F$3*((1-Ft!F$7)/(1+Ft!F$39*($A51-Ft!F$2)^2)+Ft!F$7*EXP(Ft!F$40*($A51-Ft!F$2)^2)))</f>
        <v>0</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s="21">
        <v>531</v>
      </c>
      <c r="B52">
        <v>12508</v>
      </c>
      <c r="C52" s="1">
        <f t="shared" si="1"/>
        <v>11888.251031835904</v>
      </c>
      <c r="D52" s="3">
        <f t="shared" si="0"/>
        <v>384088.78354046214</v>
      </c>
      <c r="E52" s="3">
        <f>Ft!$B$12+Ft!$B$14*(Data!A52-Vars!$B$3)</f>
        <v>9973.2323232323233</v>
      </c>
      <c r="F52" s="3">
        <f>IF(($A52-Ft!B$2)&lt;0,Ft!B$3*((1-Ft!B$6)/(1+Ft!B$37*($A52-Ft!B$2)^2)+Ft!B$6*EXP(Ft!B$38*($A52-Ft!B$2)^2)),Ft!B$3*((1-Ft!B$7)/(1+Ft!B$39*($A52-Ft!B$2)^2)+Ft!B$7*EXP(Ft!B$40*($A52-Ft!B$2)^2)))</f>
        <v>915.01870860358076</v>
      </c>
      <c r="G52" s="3">
        <f>IF(($A52-Ft!C$2)&lt;0,Ft!C$3*((1-Ft!C$6)/(1+Ft!C$37*($A52-Ft!C$2)^2)+Ft!C$6*EXP(Ft!C$38*($A52-Ft!C$2)^2)),Ft!C$3*((1-Ft!C$7)/(1+Ft!C$39*($A52-Ft!C$2)^2)+Ft!C$7*EXP(Ft!C$40*($A52-Ft!C$2)^2)))</f>
        <v>1000</v>
      </c>
      <c r="H52" s="3">
        <f>IF(($A52-Ft!D$2)&lt;0,Ft!D$3*((1-Ft!D$6)/(1+Ft!D$37*($A52-Ft!D$2)^2)+Ft!D$6*EXP(Ft!D$38*($A52-Ft!D$2)^2)),Ft!D$3*((1-Ft!D$7)/(1+Ft!D$39*($A52-Ft!D$2)^2)+Ft!D$7*EXP(Ft!D$40*($A52-Ft!D$2)^2)))</f>
        <v>0</v>
      </c>
      <c r="I52" s="3">
        <f>IF(($A52-Ft!E$2)&lt;0,Ft!E$3*((1-Ft!E$6)/(1+Ft!E$37*($A52-Ft!E$2)^2)+Ft!E$6*EXP(Ft!E$38*($A52-Ft!E$2)^2)),Ft!E$3*((1-Ft!E$7)/(1+Ft!E$39*($A52-Ft!E$2)^2)+Ft!E$7*EXP(Ft!E$40*($A52-Ft!E$2)^2)))</f>
        <v>0</v>
      </c>
      <c r="J52" s="3">
        <f>IF(($A52-Ft!F$2)&lt;0,Ft!F$3*((1-Ft!F$6)/(1+Ft!F$37*($A52-Ft!F$2)^2)+Ft!F$6*EXP(Ft!F$38*($A52-Ft!F$2)^2)),Ft!F$3*((1-Ft!F$7)/(1+Ft!F$39*($A52-Ft!F$2)^2)+Ft!F$7*EXP(Ft!F$40*($A52-Ft!F$2)^2)))</f>
        <v>0</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s="21">
        <v>530.9</v>
      </c>
      <c r="B53">
        <v>13166</v>
      </c>
      <c r="C53" s="1">
        <f t="shared" si="1"/>
        <v>12140.905586477846</v>
      </c>
      <c r="D53" s="3">
        <f t="shared" si="0"/>
        <v>1050818.5566343295</v>
      </c>
      <c r="E53" s="3">
        <f>Ft!$B$12+Ft!$B$14*(Data!A53-Vars!$B$3)</f>
        <v>9967.6969696969682</v>
      </c>
      <c r="F53" s="3">
        <f>IF(($A53-Ft!B$2)&lt;0,Ft!B$3*((1-Ft!B$6)/(1+Ft!B$37*($A53-Ft!B$2)^2)+Ft!B$6*EXP(Ft!B$38*($A53-Ft!B$2)^2)),Ft!B$3*((1-Ft!B$7)/(1+Ft!B$39*($A53-Ft!B$2)^2)+Ft!B$7*EXP(Ft!B$40*($A53-Ft!B$2)^2)))</f>
        <v>1177.9248811394248</v>
      </c>
      <c r="G53" s="3">
        <f>IF(($A53-Ft!C$2)&lt;0,Ft!C$3*((1-Ft!C$6)/(1+Ft!C$37*($A53-Ft!C$2)^2)+Ft!C$6*EXP(Ft!C$38*($A53-Ft!C$2)^2)),Ft!C$3*((1-Ft!C$7)/(1+Ft!C$39*($A53-Ft!C$2)^2)+Ft!C$7*EXP(Ft!C$40*($A53-Ft!C$2)^2)))</f>
        <v>995.28373564145375</v>
      </c>
      <c r="H53" s="3">
        <f>IF(($A53-Ft!D$2)&lt;0,Ft!D$3*((1-Ft!D$6)/(1+Ft!D$37*($A53-Ft!D$2)^2)+Ft!D$6*EXP(Ft!D$38*($A53-Ft!D$2)^2)),Ft!D$3*((1-Ft!D$7)/(1+Ft!D$39*($A53-Ft!D$2)^2)+Ft!D$7*EXP(Ft!D$40*($A53-Ft!D$2)^2)))</f>
        <v>0</v>
      </c>
      <c r="I53" s="3">
        <f>IF(($A53-Ft!E$2)&lt;0,Ft!E$3*((1-Ft!E$6)/(1+Ft!E$37*($A53-Ft!E$2)^2)+Ft!E$6*EXP(Ft!E$38*($A53-Ft!E$2)^2)),Ft!E$3*((1-Ft!E$7)/(1+Ft!E$39*($A53-Ft!E$2)^2)+Ft!E$7*EXP(Ft!E$40*($A53-Ft!E$2)^2)))</f>
        <v>0</v>
      </c>
      <c r="J53" s="3">
        <f>IF(($A53-Ft!F$2)&lt;0,Ft!F$3*((1-Ft!F$6)/(1+Ft!F$37*($A53-Ft!F$2)^2)+Ft!F$6*EXP(Ft!F$38*($A53-Ft!F$2)^2)),Ft!F$3*((1-Ft!F$7)/(1+Ft!F$39*($A53-Ft!F$2)^2)+Ft!F$7*EXP(Ft!F$40*($A53-Ft!F$2)^2)))</f>
        <v>0</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s="21">
        <v>530.79999999999995</v>
      </c>
      <c r="B54">
        <v>13520</v>
      </c>
      <c r="C54" s="1">
        <f t="shared" si="1"/>
        <v>12463.354627173294</v>
      </c>
      <c r="D54" s="3">
        <f t="shared" si="0"/>
        <v>1116499.4439160887</v>
      </c>
      <c r="E54" s="3">
        <f>Ft!$B$12+Ft!$B$14*(Data!A54-Vars!$B$3)</f>
        <v>9962.161616161613</v>
      </c>
      <c r="F54" s="3">
        <f>IF(($A54-Ft!B$2)&lt;0,Ft!B$3*((1-Ft!B$6)/(1+Ft!B$37*($A54-Ft!B$2)^2)+Ft!B$6*EXP(Ft!B$38*($A54-Ft!B$2)^2)),Ft!B$3*((1-Ft!B$7)/(1+Ft!B$39*($A54-Ft!B$2)^2)+Ft!B$7*EXP(Ft!B$40*($A54-Ft!B$2)^2)))</f>
        <v>1519.8870118225034</v>
      </c>
      <c r="G54" s="3">
        <f>IF(($A54-Ft!C$2)&lt;0,Ft!C$3*((1-Ft!C$6)/(1+Ft!C$37*($A54-Ft!C$2)^2)+Ft!C$6*EXP(Ft!C$38*($A54-Ft!C$2)^2)),Ft!C$3*((1-Ft!C$7)/(1+Ft!C$39*($A54-Ft!C$2)^2)+Ft!C$7*EXP(Ft!C$40*($A54-Ft!C$2)^2)))</f>
        <v>981.30599918917744</v>
      </c>
      <c r="H54" s="3">
        <f>IF(($A54-Ft!D$2)&lt;0,Ft!D$3*((1-Ft!D$6)/(1+Ft!D$37*($A54-Ft!D$2)^2)+Ft!D$6*EXP(Ft!D$38*($A54-Ft!D$2)^2)),Ft!D$3*((1-Ft!D$7)/(1+Ft!D$39*($A54-Ft!D$2)^2)+Ft!D$7*EXP(Ft!D$40*($A54-Ft!D$2)^2)))</f>
        <v>0</v>
      </c>
      <c r="I54" s="3">
        <f>IF(($A54-Ft!E$2)&lt;0,Ft!E$3*((1-Ft!E$6)/(1+Ft!E$37*($A54-Ft!E$2)^2)+Ft!E$6*EXP(Ft!E$38*($A54-Ft!E$2)^2)),Ft!E$3*((1-Ft!E$7)/(1+Ft!E$39*($A54-Ft!E$2)^2)+Ft!E$7*EXP(Ft!E$40*($A54-Ft!E$2)^2)))</f>
        <v>0</v>
      </c>
      <c r="J54" s="3">
        <f>IF(($A54-Ft!F$2)&lt;0,Ft!F$3*((1-Ft!F$6)/(1+Ft!F$37*($A54-Ft!F$2)^2)+Ft!F$6*EXP(Ft!F$38*($A54-Ft!F$2)^2)),Ft!F$3*((1-Ft!F$7)/(1+Ft!F$39*($A54-Ft!F$2)^2)+Ft!F$7*EXP(Ft!F$40*($A54-Ft!F$2)^2)))</f>
        <v>0</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s="21">
        <v>530.70000000000005</v>
      </c>
      <c r="B55">
        <v>14018</v>
      </c>
      <c r="C55" s="1">
        <f t="shared" si="1"/>
        <v>12870.182421384221</v>
      </c>
      <c r="D55" s="3">
        <f t="shared" si="0"/>
        <v>1317485.1937793901</v>
      </c>
      <c r="E55" s="3">
        <f>Ft!$B$12+Ft!$B$14*(Data!A55-Vars!$B$3)</f>
        <v>9956.6262626262651</v>
      </c>
      <c r="F55" s="3">
        <f>IF(($A55-Ft!B$2)&lt;0,Ft!B$3*((1-Ft!B$6)/(1+Ft!B$37*($A55-Ft!B$2)^2)+Ft!B$6*EXP(Ft!B$38*($A55-Ft!B$2)^2)),Ft!B$3*((1-Ft!B$7)/(1+Ft!B$39*($A55-Ft!B$2)^2)+Ft!B$7*EXP(Ft!B$40*($A55-Ft!B$2)^2)))</f>
        <v>1954.9935497955494</v>
      </c>
      <c r="G55" s="3">
        <f>IF(($A55-Ft!C$2)&lt;0,Ft!C$3*((1-Ft!C$6)/(1+Ft!C$37*($A55-Ft!C$2)^2)+Ft!C$6*EXP(Ft!C$38*($A55-Ft!C$2)^2)),Ft!C$3*((1-Ft!C$7)/(1+Ft!C$39*($A55-Ft!C$2)^2)+Ft!C$7*EXP(Ft!C$40*($A55-Ft!C$2)^2)))</f>
        <v>958.56260896240735</v>
      </c>
      <c r="H55" s="3">
        <f>IF(($A55-Ft!D$2)&lt;0,Ft!D$3*((1-Ft!D$6)/(1+Ft!D$37*($A55-Ft!D$2)^2)+Ft!D$6*EXP(Ft!D$38*($A55-Ft!D$2)^2)),Ft!D$3*((1-Ft!D$7)/(1+Ft!D$39*($A55-Ft!D$2)^2)+Ft!D$7*EXP(Ft!D$40*($A55-Ft!D$2)^2)))</f>
        <v>0</v>
      </c>
      <c r="I55" s="3">
        <f>IF(($A55-Ft!E$2)&lt;0,Ft!E$3*((1-Ft!E$6)/(1+Ft!E$37*($A55-Ft!E$2)^2)+Ft!E$6*EXP(Ft!E$38*($A55-Ft!E$2)^2)),Ft!E$3*((1-Ft!E$7)/(1+Ft!E$39*($A55-Ft!E$2)^2)+Ft!E$7*EXP(Ft!E$40*($A55-Ft!E$2)^2)))</f>
        <v>0</v>
      </c>
      <c r="J55" s="3">
        <f>IF(($A55-Ft!F$2)&lt;0,Ft!F$3*((1-Ft!F$6)/(1+Ft!F$37*($A55-Ft!F$2)^2)+Ft!F$6*EXP(Ft!F$38*($A55-Ft!F$2)^2)),Ft!F$3*((1-Ft!F$7)/(1+Ft!F$39*($A55-Ft!F$2)^2)+Ft!F$7*EXP(Ft!F$40*($A55-Ft!F$2)^2)))</f>
        <v>0</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s="21">
        <v>530.6</v>
      </c>
      <c r="B56">
        <v>14702</v>
      </c>
      <c r="C56" s="1">
        <f t="shared" si="1"/>
        <v>13374.209534030086</v>
      </c>
      <c r="D56" s="3">
        <f t="shared" si="0"/>
        <v>1763027.5215206021</v>
      </c>
      <c r="E56" s="3">
        <f>Ft!$B$12+Ft!$B$14*(Data!A56-Vars!$B$3)</f>
        <v>9951.0909090909099</v>
      </c>
      <c r="F56" s="3">
        <f>IF(($A56-Ft!B$2)&lt;0,Ft!B$3*((1-Ft!B$6)/(1+Ft!B$37*($A56-Ft!B$2)^2)+Ft!B$6*EXP(Ft!B$38*($A56-Ft!B$2)^2)),Ft!B$3*((1-Ft!B$7)/(1+Ft!B$39*($A56-Ft!B$2)^2)+Ft!B$7*EXP(Ft!B$40*($A56-Ft!B$2)^2)))</f>
        <v>2495.2920494271016</v>
      </c>
      <c r="G56" s="3">
        <f>IF(($A56-Ft!C$2)&lt;0,Ft!C$3*((1-Ft!C$6)/(1+Ft!C$37*($A56-Ft!C$2)^2)+Ft!C$6*EXP(Ft!C$38*($A56-Ft!C$2)^2)),Ft!C$3*((1-Ft!C$7)/(1+Ft!C$39*($A56-Ft!C$2)^2)+Ft!C$7*EXP(Ft!C$40*($A56-Ft!C$2)^2)))</f>
        <v>927.82657551207456</v>
      </c>
      <c r="H56" s="3">
        <f>IF(($A56-Ft!D$2)&lt;0,Ft!D$3*((1-Ft!D$6)/(1+Ft!D$37*($A56-Ft!D$2)^2)+Ft!D$6*EXP(Ft!D$38*($A56-Ft!D$2)^2)),Ft!D$3*((1-Ft!D$7)/(1+Ft!D$39*($A56-Ft!D$2)^2)+Ft!D$7*EXP(Ft!D$40*($A56-Ft!D$2)^2)))</f>
        <v>0</v>
      </c>
      <c r="I56" s="3">
        <f>IF(($A56-Ft!E$2)&lt;0,Ft!E$3*((1-Ft!E$6)/(1+Ft!E$37*($A56-Ft!E$2)^2)+Ft!E$6*EXP(Ft!E$38*($A56-Ft!E$2)^2)),Ft!E$3*((1-Ft!E$7)/(1+Ft!E$39*($A56-Ft!E$2)^2)+Ft!E$7*EXP(Ft!E$40*($A56-Ft!E$2)^2)))</f>
        <v>0</v>
      </c>
      <c r="J56" s="3">
        <f>IF(($A56-Ft!F$2)&lt;0,Ft!F$3*((1-Ft!F$6)/(1+Ft!F$37*($A56-Ft!F$2)^2)+Ft!F$6*EXP(Ft!F$38*($A56-Ft!F$2)^2)),Ft!F$3*((1-Ft!F$7)/(1+Ft!F$39*($A56-Ft!F$2)^2)+Ft!F$7*EXP(Ft!F$40*($A56-Ft!F$2)^2)))</f>
        <v>0</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s="21">
        <v>530.5</v>
      </c>
      <c r="B57">
        <v>15486</v>
      </c>
      <c r="C57" s="1">
        <f t="shared" si="1"/>
        <v>13984.3875357501</v>
      </c>
      <c r="D57" s="3">
        <f t="shared" si="0"/>
        <v>2254839.9927906566</v>
      </c>
      <c r="E57" s="3">
        <f>Ft!$B$12+Ft!$B$14*(Data!A57-Vars!$B$3)</f>
        <v>9945.5555555555547</v>
      </c>
      <c r="F57" s="3">
        <f>IF(($A57-Ft!B$2)&lt;0,Ft!B$3*((1-Ft!B$6)/(1+Ft!B$37*($A57-Ft!B$2)^2)+Ft!B$6*EXP(Ft!B$38*($A57-Ft!B$2)^2)),Ft!B$3*((1-Ft!B$7)/(1+Ft!B$39*($A57-Ft!B$2)^2)+Ft!B$7*EXP(Ft!B$40*($A57-Ft!B$2)^2)))</f>
        <v>3148.7503250100235</v>
      </c>
      <c r="G57" s="3">
        <f>IF(($A57-Ft!C$2)&lt;0,Ft!C$3*((1-Ft!C$6)/(1+Ft!C$37*($A57-Ft!C$2)^2)+Ft!C$6*EXP(Ft!C$38*($A57-Ft!C$2)^2)),Ft!C$3*((1-Ft!C$7)/(1+Ft!C$39*($A57-Ft!C$2)^2)+Ft!C$7*EXP(Ft!C$40*($A57-Ft!C$2)^2)))</f>
        <v>890.0816551845212</v>
      </c>
      <c r="H57" s="3">
        <f>IF(($A57-Ft!D$2)&lt;0,Ft!D$3*((1-Ft!D$6)/(1+Ft!D$37*($A57-Ft!D$2)^2)+Ft!D$6*EXP(Ft!D$38*($A57-Ft!D$2)^2)),Ft!D$3*((1-Ft!D$7)/(1+Ft!D$39*($A57-Ft!D$2)^2)+Ft!D$7*EXP(Ft!D$40*($A57-Ft!D$2)^2)))</f>
        <v>0</v>
      </c>
      <c r="I57" s="3">
        <f>IF(($A57-Ft!E$2)&lt;0,Ft!E$3*((1-Ft!E$6)/(1+Ft!E$37*($A57-Ft!E$2)^2)+Ft!E$6*EXP(Ft!E$38*($A57-Ft!E$2)^2)),Ft!E$3*((1-Ft!E$7)/(1+Ft!E$39*($A57-Ft!E$2)^2)+Ft!E$7*EXP(Ft!E$40*($A57-Ft!E$2)^2)))</f>
        <v>0</v>
      </c>
      <c r="J57" s="3">
        <f>IF(($A57-Ft!F$2)&lt;0,Ft!F$3*((1-Ft!F$6)/(1+Ft!F$37*($A57-Ft!F$2)^2)+Ft!F$6*EXP(Ft!F$38*($A57-Ft!F$2)^2)),Ft!F$3*((1-Ft!F$7)/(1+Ft!F$39*($A57-Ft!F$2)^2)+Ft!F$7*EXP(Ft!F$40*($A57-Ft!F$2)^2)))</f>
        <v>0</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s="21">
        <v>530.4</v>
      </c>
      <c r="B58">
        <v>16411</v>
      </c>
      <c r="C58" s="1">
        <f t="shared" si="1"/>
        <v>14703.515696417668</v>
      </c>
      <c r="D58" s="3">
        <f t="shared" si="0"/>
        <v>2915502.6469800426</v>
      </c>
      <c r="E58" s="3">
        <f>Ft!$B$12+Ft!$B$14*(Data!A58-Vars!$B$3)</f>
        <v>9940.0202020201996</v>
      </c>
      <c r="F58" s="3">
        <f>IF(($A58-Ft!B$2)&lt;0,Ft!B$3*((1-Ft!B$6)/(1+Ft!B$37*($A58-Ft!B$2)^2)+Ft!B$6*EXP(Ft!B$38*($A58-Ft!B$2)^2)),Ft!B$3*((1-Ft!B$7)/(1+Ft!B$39*($A58-Ft!B$2)^2)+Ft!B$7*EXP(Ft!B$40*($A58-Ft!B$2)^2)))</f>
        <v>3917.0451754757391</v>
      </c>
      <c r="G58" s="3">
        <f>IF(($A58-Ft!C$2)&lt;0,Ft!C$3*((1-Ft!C$6)/(1+Ft!C$37*($A58-Ft!C$2)^2)+Ft!C$6*EXP(Ft!C$38*($A58-Ft!C$2)^2)),Ft!C$3*((1-Ft!C$7)/(1+Ft!C$39*($A58-Ft!C$2)^2)+Ft!C$7*EXP(Ft!C$40*($A58-Ft!C$2)^2)))</f>
        <v>846.45031892172824</v>
      </c>
      <c r="H58" s="3">
        <f>IF(($A58-Ft!D$2)&lt;0,Ft!D$3*((1-Ft!D$6)/(1+Ft!D$37*($A58-Ft!D$2)^2)+Ft!D$6*EXP(Ft!D$38*($A58-Ft!D$2)^2)),Ft!D$3*((1-Ft!D$7)/(1+Ft!D$39*($A58-Ft!D$2)^2)+Ft!D$7*EXP(Ft!D$40*($A58-Ft!D$2)^2)))</f>
        <v>0</v>
      </c>
      <c r="I58" s="3">
        <f>IF(($A58-Ft!E$2)&lt;0,Ft!E$3*((1-Ft!E$6)/(1+Ft!E$37*($A58-Ft!E$2)^2)+Ft!E$6*EXP(Ft!E$38*($A58-Ft!E$2)^2)),Ft!E$3*((1-Ft!E$7)/(1+Ft!E$39*($A58-Ft!E$2)^2)+Ft!E$7*EXP(Ft!E$40*($A58-Ft!E$2)^2)))</f>
        <v>0</v>
      </c>
      <c r="J58" s="3">
        <f>IF(($A58-Ft!F$2)&lt;0,Ft!F$3*((1-Ft!F$6)/(1+Ft!F$37*($A58-Ft!F$2)^2)+Ft!F$6*EXP(Ft!F$38*($A58-Ft!F$2)^2)),Ft!F$3*((1-Ft!F$7)/(1+Ft!F$39*($A58-Ft!F$2)^2)+Ft!F$7*EXP(Ft!F$40*($A58-Ft!F$2)^2)))</f>
        <v>0</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s="21">
        <v>530.29999999999995</v>
      </c>
      <c r="B59">
        <v>17236</v>
      </c>
      <c r="C59" s="1">
        <f t="shared" si="1"/>
        <v>15526.054615268067</v>
      </c>
      <c r="D59" s="3">
        <f t="shared" si="0"/>
        <v>2923913.2187660378</v>
      </c>
      <c r="E59" s="3">
        <f>Ft!$B$12+Ft!$B$14*(Data!A59-Vars!$B$3)</f>
        <v>9934.4848484848444</v>
      </c>
      <c r="F59" s="3">
        <f>IF(($A59-Ft!B$2)&lt;0,Ft!B$3*((1-Ft!B$6)/(1+Ft!B$37*($A59-Ft!B$2)^2)+Ft!B$6*EXP(Ft!B$38*($A59-Ft!B$2)^2)),Ft!B$3*((1-Ft!B$7)/(1+Ft!B$39*($A59-Ft!B$2)^2)+Ft!B$7*EXP(Ft!B$40*($A59-Ft!B$2)^2)))</f>
        <v>4793.4430379450787</v>
      </c>
      <c r="G59" s="3">
        <f>IF(($A59-Ft!C$2)&lt;0,Ft!C$3*((1-Ft!C$6)/(1+Ft!C$37*($A59-Ft!C$2)^2)+Ft!C$6*EXP(Ft!C$38*($A59-Ft!C$2)^2)),Ft!C$3*((1-Ft!C$7)/(1+Ft!C$39*($A59-Ft!C$2)^2)+Ft!C$7*EXP(Ft!C$40*($A59-Ft!C$2)^2)))</f>
        <v>798.12672883814469</v>
      </c>
      <c r="H59" s="3">
        <f>IF(($A59-Ft!D$2)&lt;0,Ft!D$3*((1-Ft!D$6)/(1+Ft!D$37*($A59-Ft!D$2)^2)+Ft!D$6*EXP(Ft!D$38*($A59-Ft!D$2)^2)),Ft!D$3*((1-Ft!D$7)/(1+Ft!D$39*($A59-Ft!D$2)^2)+Ft!D$7*EXP(Ft!D$40*($A59-Ft!D$2)^2)))</f>
        <v>0</v>
      </c>
      <c r="I59" s="3">
        <f>IF(($A59-Ft!E$2)&lt;0,Ft!E$3*((1-Ft!E$6)/(1+Ft!E$37*($A59-Ft!E$2)^2)+Ft!E$6*EXP(Ft!E$38*($A59-Ft!E$2)^2)),Ft!E$3*((1-Ft!E$7)/(1+Ft!E$39*($A59-Ft!E$2)^2)+Ft!E$7*EXP(Ft!E$40*($A59-Ft!E$2)^2)))</f>
        <v>0</v>
      </c>
      <c r="J59" s="3">
        <f>IF(($A59-Ft!F$2)&lt;0,Ft!F$3*((1-Ft!F$6)/(1+Ft!F$37*($A59-Ft!F$2)^2)+Ft!F$6*EXP(Ft!F$38*($A59-Ft!F$2)^2)),Ft!F$3*((1-Ft!F$7)/(1+Ft!F$39*($A59-Ft!F$2)^2)+Ft!F$7*EXP(Ft!F$40*($A59-Ft!F$2)^2)))</f>
        <v>0</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s="21">
        <v>530.20000000000005</v>
      </c>
      <c r="B60">
        <v>18225</v>
      </c>
      <c r="C60" s="1">
        <f t="shared" si="1"/>
        <v>16436.335729252609</v>
      </c>
      <c r="D60" s="3">
        <f t="shared" si="0"/>
        <v>3199319.8734482965</v>
      </c>
      <c r="E60" s="3">
        <f>Ft!$B$12+Ft!$B$14*(Data!A60-Vars!$B$3)</f>
        <v>9928.9494949494965</v>
      </c>
      <c r="F60" s="3">
        <f>IF(($A60-Ft!B$2)&lt;0,Ft!B$3*((1-Ft!B$6)/(1+Ft!B$37*($A60-Ft!B$2)^2)+Ft!B$6*EXP(Ft!B$38*($A60-Ft!B$2)^2)),Ft!B$3*((1-Ft!B$7)/(1+Ft!B$39*($A60-Ft!B$2)^2)+Ft!B$7*EXP(Ft!B$40*($A60-Ft!B$2)^2)))</f>
        <v>5761.0658042780569</v>
      </c>
      <c r="G60" s="3">
        <f>IF(($A60-Ft!C$2)&lt;0,Ft!C$3*((1-Ft!C$6)/(1+Ft!C$37*($A60-Ft!C$2)^2)+Ft!C$6*EXP(Ft!C$38*($A60-Ft!C$2)^2)),Ft!C$3*((1-Ft!C$7)/(1+Ft!C$39*($A60-Ft!C$2)^2)+Ft!C$7*EXP(Ft!C$40*($A60-Ft!C$2)^2)))</f>
        <v>746.32043002505497</v>
      </c>
      <c r="H60" s="3">
        <f>IF(($A60-Ft!D$2)&lt;0,Ft!D$3*((1-Ft!D$6)/(1+Ft!D$37*($A60-Ft!D$2)^2)+Ft!D$6*EXP(Ft!D$38*($A60-Ft!D$2)^2)),Ft!D$3*((1-Ft!D$7)/(1+Ft!D$39*($A60-Ft!D$2)^2)+Ft!D$7*EXP(Ft!D$40*($A60-Ft!D$2)^2)))</f>
        <v>0</v>
      </c>
      <c r="I60" s="3">
        <f>IF(($A60-Ft!E$2)&lt;0,Ft!E$3*((1-Ft!E$6)/(1+Ft!E$37*($A60-Ft!E$2)^2)+Ft!E$6*EXP(Ft!E$38*($A60-Ft!E$2)^2)),Ft!E$3*((1-Ft!E$7)/(1+Ft!E$39*($A60-Ft!E$2)^2)+Ft!E$7*EXP(Ft!E$40*($A60-Ft!E$2)^2)))</f>
        <v>0</v>
      </c>
      <c r="J60" s="3">
        <f>IF(($A60-Ft!F$2)&lt;0,Ft!F$3*((1-Ft!F$6)/(1+Ft!F$37*($A60-Ft!F$2)^2)+Ft!F$6*EXP(Ft!F$38*($A60-Ft!F$2)^2)),Ft!F$3*((1-Ft!F$7)/(1+Ft!F$39*($A60-Ft!F$2)^2)+Ft!F$7*EXP(Ft!F$40*($A60-Ft!F$2)^2)))</f>
        <v>0</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s="21">
        <v>530.1</v>
      </c>
      <c r="B61">
        <v>19177</v>
      </c>
      <c r="C61" s="1">
        <f t="shared" si="1"/>
        <v>17407.422784826507</v>
      </c>
      <c r="D61" s="3">
        <f t="shared" si="0"/>
        <v>3131403.5204611737</v>
      </c>
      <c r="E61" s="3">
        <f>Ft!$B$12+Ft!$B$14*(Data!A61-Vars!$B$3)</f>
        <v>9923.4141414141413</v>
      </c>
      <c r="F61" s="3">
        <f>IF(($A61-Ft!B$2)&lt;0,Ft!B$3*((1-Ft!B$6)/(1+Ft!B$37*($A61-Ft!B$2)^2)+Ft!B$6*EXP(Ft!B$38*($A61-Ft!B$2)^2)),Ft!B$3*((1-Ft!B$7)/(1+Ft!B$39*($A61-Ft!B$2)^2)+Ft!B$7*EXP(Ft!B$40*($A61-Ft!B$2)^2)))</f>
        <v>6791.7966236687689</v>
      </c>
      <c r="G61" s="3">
        <f>IF(($A61-Ft!C$2)&lt;0,Ft!C$3*((1-Ft!C$6)/(1+Ft!C$37*($A61-Ft!C$2)^2)+Ft!C$6*EXP(Ft!C$38*($A61-Ft!C$2)^2)),Ft!C$3*((1-Ft!C$7)/(1+Ft!C$39*($A61-Ft!C$2)^2)+Ft!C$7*EXP(Ft!C$40*($A61-Ft!C$2)^2)))</f>
        <v>692.21201974359928</v>
      </c>
      <c r="H61" s="3">
        <f>IF(($A61-Ft!D$2)&lt;0,Ft!D$3*((1-Ft!D$6)/(1+Ft!D$37*($A61-Ft!D$2)^2)+Ft!D$6*EXP(Ft!D$38*($A61-Ft!D$2)^2)),Ft!D$3*((1-Ft!D$7)/(1+Ft!D$39*($A61-Ft!D$2)^2)+Ft!D$7*EXP(Ft!D$40*($A61-Ft!D$2)^2)))</f>
        <v>0</v>
      </c>
      <c r="I61" s="3">
        <f>IF(($A61-Ft!E$2)&lt;0,Ft!E$3*((1-Ft!E$6)/(1+Ft!E$37*($A61-Ft!E$2)^2)+Ft!E$6*EXP(Ft!E$38*($A61-Ft!E$2)^2)),Ft!E$3*((1-Ft!E$7)/(1+Ft!E$39*($A61-Ft!E$2)^2)+Ft!E$7*EXP(Ft!E$40*($A61-Ft!E$2)^2)))</f>
        <v>0</v>
      </c>
      <c r="J61" s="3">
        <f>IF(($A61-Ft!F$2)&lt;0,Ft!F$3*((1-Ft!F$6)/(1+Ft!F$37*($A61-Ft!F$2)^2)+Ft!F$6*EXP(Ft!F$38*($A61-Ft!F$2)^2)),Ft!F$3*((1-Ft!F$7)/(1+Ft!F$39*($A61-Ft!F$2)^2)+Ft!F$7*EXP(Ft!F$40*($A61-Ft!F$2)^2)))</f>
        <v>0</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s="21">
        <v>530</v>
      </c>
      <c r="B62">
        <v>20141</v>
      </c>
      <c r="C62" s="1">
        <f t="shared" si="1"/>
        <v>18400.786504951186</v>
      </c>
      <c r="D62" s="3">
        <f t="shared" si="0"/>
        <v>3028343.00835001</v>
      </c>
      <c r="E62" s="3">
        <f>Ft!$B$12+Ft!$B$14*(Data!A62-Vars!$B$3)</f>
        <v>9917.878787878788</v>
      </c>
      <c r="F62" s="3">
        <f>IF(($A62-Ft!B$2)&lt;0,Ft!B$3*((1-Ft!B$6)/(1+Ft!B$37*($A62-Ft!B$2)^2)+Ft!B$6*EXP(Ft!B$38*($A62-Ft!B$2)^2)),Ft!B$3*((1-Ft!B$7)/(1+Ft!B$39*($A62-Ft!B$2)^2)+Ft!B$7*EXP(Ft!B$40*($A62-Ft!B$2)^2)))</f>
        <v>7845.9882957785458</v>
      </c>
      <c r="G62" s="3">
        <f>IF(($A62-Ft!C$2)&lt;0,Ft!C$3*((1-Ft!C$6)/(1+Ft!C$37*($A62-Ft!C$2)^2)+Ft!C$6*EXP(Ft!C$38*($A62-Ft!C$2)^2)),Ft!C$3*((1-Ft!C$7)/(1+Ft!C$39*($A62-Ft!C$2)^2)+Ft!C$7*EXP(Ft!C$40*($A62-Ft!C$2)^2)))</f>
        <v>636.91942129385291</v>
      </c>
      <c r="H62" s="3">
        <f>IF(($A62-Ft!D$2)&lt;0,Ft!D$3*((1-Ft!D$6)/(1+Ft!D$37*($A62-Ft!D$2)^2)+Ft!D$6*EXP(Ft!D$38*($A62-Ft!D$2)^2)),Ft!D$3*((1-Ft!D$7)/(1+Ft!D$39*($A62-Ft!D$2)^2)+Ft!D$7*EXP(Ft!D$40*($A62-Ft!D$2)^2)))</f>
        <v>0</v>
      </c>
      <c r="I62" s="3">
        <f>IF(($A62-Ft!E$2)&lt;0,Ft!E$3*((1-Ft!E$6)/(1+Ft!E$37*($A62-Ft!E$2)^2)+Ft!E$6*EXP(Ft!E$38*($A62-Ft!E$2)^2)),Ft!E$3*((1-Ft!E$7)/(1+Ft!E$39*($A62-Ft!E$2)^2)+Ft!E$7*EXP(Ft!E$40*($A62-Ft!E$2)^2)))</f>
        <v>0</v>
      </c>
      <c r="J62" s="3">
        <f>IF(($A62-Ft!F$2)&lt;0,Ft!F$3*((1-Ft!F$6)/(1+Ft!F$37*($A62-Ft!F$2)^2)+Ft!F$6*EXP(Ft!F$38*($A62-Ft!F$2)^2)),Ft!F$3*((1-Ft!F$7)/(1+Ft!F$39*($A62-Ft!F$2)^2)+Ft!F$7*EXP(Ft!F$40*($A62-Ft!F$2)^2)))</f>
        <v>0</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s="21">
        <v>529.9</v>
      </c>
      <c r="B63">
        <v>21065</v>
      </c>
      <c r="C63" s="1">
        <f t="shared" si="1"/>
        <v>19366.887228609783</v>
      </c>
      <c r="D63" s="3">
        <f t="shared" si="0"/>
        <v>2883586.9843585631</v>
      </c>
      <c r="E63" s="3">
        <f>Ft!$B$12+Ft!$B$14*(Data!A63-Vars!$B$3)</f>
        <v>9912.3434343434328</v>
      </c>
      <c r="F63" s="3">
        <f>IF(($A63-Ft!B$2)&lt;0,Ft!B$3*((1-Ft!B$6)/(1+Ft!B$37*($A63-Ft!B$2)^2)+Ft!B$6*EXP(Ft!B$38*($A63-Ft!B$2)^2)),Ft!B$3*((1-Ft!B$7)/(1+Ft!B$39*($A63-Ft!B$2)^2)+Ft!B$7*EXP(Ft!B$40*($A63-Ft!B$2)^2)))</f>
        <v>8873.0712184379026</v>
      </c>
      <c r="G63" s="3">
        <f>IF(($A63-Ft!C$2)&lt;0,Ft!C$3*((1-Ft!C$6)/(1+Ft!C$37*($A63-Ft!C$2)^2)+Ft!C$6*EXP(Ft!C$38*($A63-Ft!C$2)^2)),Ft!C$3*((1-Ft!C$7)/(1+Ft!C$39*($A63-Ft!C$2)^2)+Ft!C$7*EXP(Ft!C$40*($A63-Ft!C$2)^2)))</f>
        <v>581.47257582844873</v>
      </c>
      <c r="H63" s="3">
        <f>IF(($A63-Ft!D$2)&lt;0,Ft!D$3*((1-Ft!D$6)/(1+Ft!D$37*($A63-Ft!D$2)^2)+Ft!D$6*EXP(Ft!D$38*($A63-Ft!D$2)^2)),Ft!D$3*((1-Ft!D$7)/(1+Ft!D$39*($A63-Ft!D$2)^2)+Ft!D$7*EXP(Ft!D$40*($A63-Ft!D$2)^2)))</f>
        <v>0</v>
      </c>
      <c r="I63" s="3">
        <f>IF(($A63-Ft!E$2)&lt;0,Ft!E$3*((1-Ft!E$6)/(1+Ft!E$37*($A63-Ft!E$2)^2)+Ft!E$6*EXP(Ft!E$38*($A63-Ft!E$2)^2)),Ft!E$3*((1-Ft!E$7)/(1+Ft!E$39*($A63-Ft!E$2)^2)+Ft!E$7*EXP(Ft!E$40*($A63-Ft!E$2)^2)))</f>
        <v>0</v>
      </c>
      <c r="J63" s="3">
        <f>IF(($A63-Ft!F$2)&lt;0,Ft!F$3*((1-Ft!F$6)/(1+Ft!F$37*($A63-Ft!F$2)^2)+Ft!F$6*EXP(Ft!F$38*($A63-Ft!F$2)^2)),Ft!F$3*((1-Ft!F$7)/(1+Ft!F$39*($A63-Ft!F$2)^2)+Ft!F$7*EXP(Ft!F$40*($A63-Ft!F$2)^2)))</f>
        <v>0</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s="21">
        <v>529.79999999999995</v>
      </c>
      <c r="B64">
        <v>21835</v>
      </c>
      <c r="C64" s="1">
        <f t="shared" si="1"/>
        <v>20246.881994325267</v>
      </c>
      <c r="D64" s="3">
        <f t="shared" si="0"/>
        <v>2522118.79994829</v>
      </c>
      <c r="E64" s="3">
        <f>Ft!$B$12+Ft!$B$14*(Data!A64-Vars!$B$3)</f>
        <v>9906.8080808080776</v>
      </c>
      <c r="F64" s="3">
        <f>IF(($A64-Ft!B$2)&lt;0,Ft!B$3*((1-Ft!B$6)/(1+Ft!B$37*($A64-Ft!B$2)^2)+Ft!B$6*EXP(Ft!B$38*($A64-Ft!B$2)^2)),Ft!B$3*((1-Ft!B$7)/(1+Ft!B$39*($A64-Ft!B$2)^2)+Ft!B$7*EXP(Ft!B$40*($A64-Ft!B$2)^2)))</f>
        <v>9813.2792348092244</v>
      </c>
      <c r="G64" s="3">
        <f>IF(($A64-Ft!C$2)&lt;0,Ft!C$3*((1-Ft!C$6)/(1+Ft!C$37*($A64-Ft!C$2)^2)+Ft!C$6*EXP(Ft!C$38*($A64-Ft!C$2)^2)),Ft!C$3*((1-Ft!C$7)/(1+Ft!C$39*($A64-Ft!C$2)^2)+Ft!C$7*EXP(Ft!C$40*($A64-Ft!C$2)^2)))</f>
        <v>526.79467870796202</v>
      </c>
      <c r="H64" s="3">
        <f>IF(($A64-Ft!D$2)&lt;0,Ft!D$3*((1-Ft!D$6)/(1+Ft!D$37*($A64-Ft!D$2)^2)+Ft!D$6*EXP(Ft!D$38*($A64-Ft!D$2)^2)),Ft!D$3*((1-Ft!D$7)/(1+Ft!D$39*($A64-Ft!D$2)^2)+Ft!D$7*EXP(Ft!D$40*($A64-Ft!D$2)^2)))</f>
        <v>0</v>
      </c>
      <c r="I64" s="3">
        <f>IF(($A64-Ft!E$2)&lt;0,Ft!E$3*((1-Ft!E$6)/(1+Ft!E$37*($A64-Ft!E$2)^2)+Ft!E$6*EXP(Ft!E$38*($A64-Ft!E$2)^2)),Ft!E$3*((1-Ft!E$7)/(1+Ft!E$39*($A64-Ft!E$2)^2)+Ft!E$7*EXP(Ft!E$40*($A64-Ft!E$2)^2)))</f>
        <v>0</v>
      </c>
      <c r="J64" s="3">
        <f>IF(($A64-Ft!F$2)&lt;0,Ft!F$3*((1-Ft!F$6)/(1+Ft!F$37*($A64-Ft!F$2)^2)+Ft!F$6*EXP(Ft!F$38*($A64-Ft!F$2)^2)),Ft!F$3*((1-Ft!F$7)/(1+Ft!F$39*($A64-Ft!F$2)^2)+Ft!F$7*EXP(Ft!F$40*($A64-Ft!F$2)^2)))</f>
        <v>0</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s="21">
        <v>529.70000000000005</v>
      </c>
      <c r="B65">
        <v>22375</v>
      </c>
      <c r="C65" s="1">
        <f t="shared" si="1"/>
        <v>20976.11568633627</v>
      </c>
      <c r="D65" s="3">
        <f t="shared" si="0"/>
        <v>1956877.3230144442</v>
      </c>
      <c r="E65" s="3">
        <f>Ft!$B$12+Ft!$B$14*(Data!A65-Vars!$B$3)</f>
        <v>9901.2727272727298</v>
      </c>
      <c r="F65" s="3">
        <f>IF(($A65-Ft!B$2)&lt;0,Ft!B$3*((1-Ft!B$6)/(1+Ft!B$37*($A65-Ft!B$2)^2)+Ft!B$6*EXP(Ft!B$38*($A65-Ft!B$2)^2)),Ft!B$3*((1-Ft!B$7)/(1+Ft!B$39*($A65-Ft!B$2)^2)+Ft!B$7*EXP(Ft!B$40*($A65-Ft!B$2)^2)))</f>
        <v>10601.154172793458</v>
      </c>
      <c r="G65" s="3">
        <f>IF(($A65-Ft!C$2)&lt;0,Ft!C$3*((1-Ft!C$6)/(1+Ft!C$37*($A65-Ft!C$2)^2)+Ft!C$6*EXP(Ft!C$38*($A65-Ft!C$2)^2)),Ft!C$3*((1-Ft!C$7)/(1+Ft!C$39*($A65-Ft!C$2)^2)+Ft!C$7*EXP(Ft!C$40*($A65-Ft!C$2)^2)))</f>
        <v>473.68878627008417</v>
      </c>
      <c r="H65" s="3">
        <f>IF(($A65-Ft!D$2)&lt;0,Ft!D$3*((1-Ft!D$6)/(1+Ft!D$37*($A65-Ft!D$2)^2)+Ft!D$6*EXP(Ft!D$38*($A65-Ft!D$2)^2)),Ft!D$3*((1-Ft!D$7)/(1+Ft!D$39*($A65-Ft!D$2)^2)+Ft!D$7*EXP(Ft!D$40*($A65-Ft!D$2)^2)))</f>
        <v>0</v>
      </c>
      <c r="I65" s="3">
        <f>IF(($A65-Ft!E$2)&lt;0,Ft!E$3*((1-Ft!E$6)/(1+Ft!E$37*($A65-Ft!E$2)^2)+Ft!E$6*EXP(Ft!E$38*($A65-Ft!E$2)^2)),Ft!E$3*((1-Ft!E$7)/(1+Ft!E$39*($A65-Ft!E$2)^2)+Ft!E$7*EXP(Ft!E$40*($A65-Ft!E$2)^2)))</f>
        <v>0</v>
      </c>
      <c r="J65" s="3">
        <f>IF(($A65-Ft!F$2)&lt;0,Ft!F$3*((1-Ft!F$6)/(1+Ft!F$37*($A65-Ft!F$2)^2)+Ft!F$6*EXP(Ft!F$38*($A65-Ft!F$2)^2)),Ft!F$3*((1-Ft!F$7)/(1+Ft!F$39*($A65-Ft!F$2)^2)+Ft!F$7*EXP(Ft!F$40*($A65-Ft!F$2)^2)))</f>
        <v>0</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s="21">
        <v>529.6</v>
      </c>
      <c r="B66">
        <v>22803</v>
      </c>
      <c r="C66" s="1">
        <f t="shared" si="1"/>
        <v>21490.565743256389</v>
      </c>
      <c r="D66" s="3">
        <f t="shared" ref="D66:D101" si="2">(C66-B66)^2</f>
        <v>1722483.6782741535</v>
      </c>
      <c r="E66" s="3">
        <f>Ft!$B$12+Ft!$B$14*(Data!A66-Vars!$B$3)</f>
        <v>9895.7373737373746</v>
      </c>
      <c r="F66" s="3">
        <f>IF(($A66-Ft!B$2)&lt;0,Ft!B$3*((1-Ft!B$6)/(1+Ft!B$37*($A66-Ft!B$2)^2)+Ft!B$6*EXP(Ft!B$38*($A66-Ft!B$2)^2)),Ft!B$3*((1-Ft!B$7)/(1+Ft!B$39*($A66-Ft!B$2)^2)+Ft!B$7*EXP(Ft!B$40*($A66-Ft!B$2)^2)))</f>
        <v>11171.999139138425</v>
      </c>
      <c r="G66" s="3">
        <f>IF(($A66-Ft!C$2)&lt;0,Ft!C$3*((1-Ft!C$6)/(1+Ft!C$37*($A66-Ft!C$2)^2)+Ft!C$6*EXP(Ft!C$38*($A66-Ft!C$2)^2)),Ft!C$3*((1-Ft!C$7)/(1+Ft!C$39*($A66-Ft!C$2)^2)+Ft!C$7*EXP(Ft!C$40*($A66-Ft!C$2)^2)))</f>
        <v>422.82923038058965</v>
      </c>
      <c r="H66" s="3">
        <f>IF(($A66-Ft!D$2)&lt;0,Ft!D$3*((1-Ft!D$6)/(1+Ft!D$37*($A66-Ft!D$2)^2)+Ft!D$6*EXP(Ft!D$38*($A66-Ft!D$2)^2)),Ft!D$3*((1-Ft!D$7)/(1+Ft!D$39*($A66-Ft!D$2)^2)+Ft!D$7*EXP(Ft!D$40*($A66-Ft!D$2)^2)))</f>
        <v>0</v>
      </c>
      <c r="I66" s="3">
        <f>IF(($A66-Ft!E$2)&lt;0,Ft!E$3*((1-Ft!E$6)/(1+Ft!E$37*($A66-Ft!E$2)^2)+Ft!E$6*EXP(Ft!E$38*($A66-Ft!E$2)^2)),Ft!E$3*((1-Ft!E$7)/(1+Ft!E$39*($A66-Ft!E$2)^2)+Ft!E$7*EXP(Ft!E$40*($A66-Ft!E$2)^2)))</f>
        <v>0</v>
      </c>
      <c r="J66" s="3">
        <f>IF(($A66-Ft!F$2)&lt;0,Ft!F$3*((1-Ft!F$6)/(1+Ft!F$37*($A66-Ft!F$2)^2)+Ft!F$6*EXP(Ft!F$38*($A66-Ft!F$2)^2)),Ft!F$3*((1-Ft!F$7)/(1+Ft!F$39*($A66-Ft!F$2)^2)+Ft!F$7*EXP(Ft!F$40*($A66-Ft!F$2)^2)))</f>
        <v>0</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s="21">
        <v>529.5</v>
      </c>
      <c r="B67">
        <v>22899</v>
      </c>
      <c r="C67" s="1">
        <f t="shared" ref="C67:C101" si="3">SUM(E67:G67)</f>
        <v>21736.945057849389</v>
      </c>
      <c r="D67" s="3">
        <f t="shared" si="2"/>
        <v>1350371.6885766604</v>
      </c>
      <c r="E67" s="3">
        <f>Ft!$B$12+Ft!$B$14*(Data!A67-Vars!$B$3)</f>
        <v>9890.2020202020194</v>
      </c>
      <c r="F67" s="3">
        <f>IF(($A67-Ft!B$2)&lt;0,Ft!B$3*((1-Ft!B$6)/(1+Ft!B$37*($A67-Ft!B$2)^2)+Ft!B$6*EXP(Ft!B$38*($A67-Ft!B$2)^2)),Ft!B$3*((1-Ft!B$7)/(1+Ft!B$39*($A67-Ft!B$2)^2)+Ft!B$7*EXP(Ft!B$40*($A67-Ft!B$2)^2)))</f>
        <v>11471.985418884338</v>
      </c>
      <c r="G67" s="3">
        <f>IF(($A67-Ft!C$2)&lt;0,Ft!C$3*((1-Ft!C$6)/(1+Ft!C$37*($A67-Ft!C$2)^2)+Ft!C$6*EXP(Ft!C$38*($A67-Ft!C$2)^2)),Ft!C$3*((1-Ft!C$7)/(1+Ft!C$39*($A67-Ft!C$2)^2)+Ft!C$7*EXP(Ft!C$40*($A67-Ft!C$2)^2)))</f>
        <v>374.75761876303073</v>
      </c>
      <c r="H67" s="3">
        <f>IF(($A67-Ft!D$2)&lt;0,Ft!D$3*((1-Ft!D$6)/(1+Ft!D$37*($A67-Ft!D$2)^2)+Ft!D$6*EXP(Ft!D$38*($A67-Ft!D$2)^2)),Ft!D$3*((1-Ft!D$7)/(1+Ft!D$39*($A67-Ft!D$2)^2)+Ft!D$7*EXP(Ft!D$40*($A67-Ft!D$2)^2)))</f>
        <v>0</v>
      </c>
      <c r="I67" s="3">
        <f>IF(($A67-Ft!E$2)&lt;0,Ft!E$3*((1-Ft!E$6)/(1+Ft!E$37*($A67-Ft!E$2)^2)+Ft!E$6*EXP(Ft!E$38*($A67-Ft!E$2)^2)),Ft!E$3*((1-Ft!E$7)/(1+Ft!E$39*($A67-Ft!E$2)^2)+Ft!E$7*EXP(Ft!E$40*($A67-Ft!E$2)^2)))</f>
        <v>0</v>
      </c>
      <c r="J67" s="3">
        <f>IF(($A67-Ft!F$2)&lt;0,Ft!F$3*((1-Ft!F$6)/(1+Ft!F$37*($A67-Ft!F$2)^2)+Ft!F$6*EXP(Ft!F$38*($A67-Ft!F$2)^2)),Ft!F$3*((1-Ft!F$7)/(1+Ft!F$39*($A67-Ft!F$2)^2)+Ft!F$7*EXP(Ft!F$40*($A67-Ft!F$2)^2)))</f>
        <v>0</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s="21">
        <v>529.4</v>
      </c>
      <c r="B68">
        <v>23059</v>
      </c>
      <c r="C68" s="1">
        <f t="shared" si="3"/>
        <v>21684.60854573745</v>
      </c>
      <c r="D68" s="3">
        <f t="shared" si="2"/>
        <v>1888951.8695499266</v>
      </c>
      <c r="E68" s="3">
        <f>Ft!$B$12+Ft!$B$14*(Data!A68-Vars!$B$3)</f>
        <v>9884.6666666666642</v>
      </c>
      <c r="F68" s="3">
        <f>IF(($A68-Ft!B$2)&lt;0,Ft!B$3*((1-Ft!B$6)/(1+Ft!B$37*($A68-Ft!B$2)^2)+Ft!B$6*EXP(Ft!B$38*($A68-Ft!B$2)^2)),Ft!B$3*((1-Ft!B$7)/(1+Ft!B$39*($A68-Ft!B$2)^2)+Ft!B$7*EXP(Ft!B$40*($A68-Ft!B$2)^2)))</f>
        <v>11470.058604807145</v>
      </c>
      <c r="G68" s="3">
        <f>IF(($A68-Ft!C$2)&lt;0,Ft!C$3*((1-Ft!C$6)/(1+Ft!C$37*($A68-Ft!C$2)^2)+Ft!C$6*EXP(Ft!C$38*($A68-Ft!C$2)^2)),Ft!C$3*((1-Ft!C$7)/(1+Ft!C$39*($A68-Ft!C$2)^2)+Ft!C$7*EXP(Ft!C$40*($A68-Ft!C$2)^2)))</f>
        <v>329.88327426364026</v>
      </c>
      <c r="H68" s="3">
        <f>IF(($A68-Ft!D$2)&lt;0,Ft!D$3*((1-Ft!D$6)/(1+Ft!D$37*($A68-Ft!D$2)^2)+Ft!D$6*EXP(Ft!D$38*($A68-Ft!D$2)^2)),Ft!D$3*((1-Ft!D$7)/(1+Ft!D$39*($A68-Ft!D$2)^2)+Ft!D$7*EXP(Ft!D$40*($A68-Ft!D$2)^2)))</f>
        <v>0</v>
      </c>
      <c r="I68" s="3">
        <f>IF(($A68-Ft!E$2)&lt;0,Ft!E$3*((1-Ft!E$6)/(1+Ft!E$37*($A68-Ft!E$2)^2)+Ft!E$6*EXP(Ft!E$38*($A68-Ft!E$2)^2)),Ft!E$3*((1-Ft!E$7)/(1+Ft!E$39*($A68-Ft!E$2)^2)+Ft!E$7*EXP(Ft!E$40*($A68-Ft!E$2)^2)))</f>
        <v>0</v>
      </c>
      <c r="J68" s="3">
        <f>IF(($A68-Ft!F$2)&lt;0,Ft!F$3*((1-Ft!F$6)/(1+Ft!F$37*($A68-Ft!F$2)^2)+Ft!F$6*EXP(Ft!F$38*($A68-Ft!F$2)^2)),Ft!F$3*((1-Ft!F$7)/(1+Ft!F$39*($A68-Ft!F$2)^2)+Ft!F$7*EXP(Ft!F$40*($A68-Ft!F$2)^2)))</f>
        <v>0</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s="21">
        <v>529.29999999999995</v>
      </c>
      <c r="B69">
        <v>22656</v>
      </c>
      <c r="C69" s="1">
        <f t="shared" si="3"/>
        <v>21334.043987975456</v>
      </c>
      <c r="D69" s="3">
        <f t="shared" si="2"/>
        <v>1747567.6977278369</v>
      </c>
      <c r="E69" s="3">
        <f>Ft!$B$12+Ft!$B$14*(Data!A69-Vars!$B$3)</f>
        <v>9879.1313131313091</v>
      </c>
      <c r="F69" s="3">
        <f>IF(($A69-Ft!B$2)&lt;0,Ft!B$3*((1-Ft!B$6)/(1+Ft!B$37*($A69-Ft!B$2)^2)+Ft!B$6*EXP(Ft!B$38*($A69-Ft!B$2)^2)),Ft!B$3*((1-Ft!B$7)/(1+Ft!B$39*($A69-Ft!B$2)^2)+Ft!B$7*EXP(Ft!B$40*($A69-Ft!B$2)^2)))</f>
        <v>11166.424812778621</v>
      </c>
      <c r="G69" s="3">
        <f>IF(($A69-Ft!C$2)&lt;0,Ft!C$3*((1-Ft!C$6)/(1+Ft!C$37*($A69-Ft!C$2)^2)+Ft!C$6*EXP(Ft!C$38*($A69-Ft!C$2)^2)),Ft!C$3*((1-Ft!C$7)/(1+Ft!C$39*($A69-Ft!C$2)^2)+Ft!C$7*EXP(Ft!C$40*($A69-Ft!C$2)^2)))</f>
        <v>288.48786206552683</v>
      </c>
      <c r="H69" s="3">
        <f>IF(($A69-Ft!D$2)&lt;0,Ft!D$3*((1-Ft!D$6)/(1+Ft!D$37*($A69-Ft!D$2)^2)+Ft!D$6*EXP(Ft!D$38*($A69-Ft!D$2)^2)),Ft!D$3*((1-Ft!D$7)/(1+Ft!D$39*($A69-Ft!D$2)^2)+Ft!D$7*EXP(Ft!D$40*($A69-Ft!D$2)^2)))</f>
        <v>0</v>
      </c>
      <c r="I69" s="3">
        <f>IF(($A69-Ft!E$2)&lt;0,Ft!E$3*((1-Ft!E$6)/(1+Ft!E$37*($A69-Ft!E$2)^2)+Ft!E$6*EXP(Ft!E$38*($A69-Ft!E$2)^2)),Ft!E$3*((1-Ft!E$7)/(1+Ft!E$39*($A69-Ft!E$2)^2)+Ft!E$7*EXP(Ft!E$40*($A69-Ft!E$2)^2)))</f>
        <v>0</v>
      </c>
      <c r="J69" s="3">
        <f>IF(($A69-Ft!F$2)&lt;0,Ft!F$3*((1-Ft!F$6)/(1+Ft!F$37*($A69-Ft!F$2)^2)+Ft!F$6*EXP(Ft!F$38*($A69-Ft!F$2)^2)),Ft!F$3*((1-Ft!F$7)/(1+Ft!F$39*($A69-Ft!F$2)^2)+Ft!F$7*EXP(Ft!F$40*($A69-Ft!F$2)^2)))</f>
        <v>0</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s="21">
        <v>529.20000000000005</v>
      </c>
      <c r="B70">
        <v>22229</v>
      </c>
      <c r="C70" s="1">
        <f t="shared" si="3"/>
        <v>20716.820002805882</v>
      </c>
      <c r="D70" s="3">
        <f t="shared" si="2"/>
        <v>2286688.3439140031</v>
      </c>
      <c r="E70" s="3">
        <f>Ft!$B$12+Ft!$B$14*(Data!A70-Vars!$B$3)</f>
        <v>9873.5959595959612</v>
      </c>
      <c r="F70" s="3">
        <f>IF(($A70-Ft!B$2)&lt;0,Ft!B$3*((1-Ft!B$6)/(1+Ft!B$37*($A70-Ft!B$2)^2)+Ft!B$6*EXP(Ft!B$38*($A70-Ft!B$2)^2)),Ft!B$3*((1-Ft!B$7)/(1+Ft!B$39*($A70-Ft!B$2)^2)+Ft!B$7*EXP(Ft!B$40*($A70-Ft!B$2)^2)))</f>
        <v>10592.490275273627</v>
      </c>
      <c r="G70" s="3">
        <f>IF(($A70-Ft!C$2)&lt;0,Ft!C$3*((1-Ft!C$6)/(1+Ft!C$37*($A70-Ft!C$2)^2)+Ft!C$6*EXP(Ft!C$38*($A70-Ft!C$2)^2)),Ft!C$3*((1-Ft!C$7)/(1+Ft!C$39*($A70-Ft!C$2)^2)+Ft!C$7*EXP(Ft!C$40*($A70-Ft!C$2)^2)))</f>
        <v>250.73376793629438</v>
      </c>
      <c r="H70" s="3">
        <f>IF(($A70-Ft!D$2)&lt;0,Ft!D$3*((1-Ft!D$6)/(1+Ft!D$37*($A70-Ft!D$2)^2)+Ft!D$6*EXP(Ft!D$38*($A70-Ft!D$2)^2)),Ft!D$3*((1-Ft!D$7)/(1+Ft!D$39*($A70-Ft!D$2)^2)+Ft!D$7*EXP(Ft!D$40*($A70-Ft!D$2)^2)))</f>
        <v>0</v>
      </c>
      <c r="I70" s="3">
        <f>IF(($A70-Ft!E$2)&lt;0,Ft!E$3*((1-Ft!E$6)/(1+Ft!E$37*($A70-Ft!E$2)^2)+Ft!E$6*EXP(Ft!E$38*($A70-Ft!E$2)^2)),Ft!E$3*((1-Ft!E$7)/(1+Ft!E$39*($A70-Ft!E$2)^2)+Ft!E$7*EXP(Ft!E$40*($A70-Ft!E$2)^2)))</f>
        <v>0</v>
      </c>
      <c r="J70" s="3">
        <f>IF(($A70-Ft!F$2)&lt;0,Ft!F$3*((1-Ft!F$6)/(1+Ft!F$37*($A70-Ft!F$2)^2)+Ft!F$6*EXP(Ft!F$38*($A70-Ft!F$2)^2)),Ft!F$3*((1-Ft!F$7)/(1+Ft!F$39*($A70-Ft!F$2)^2)+Ft!F$7*EXP(Ft!F$40*($A70-Ft!F$2)^2)))</f>
        <v>0</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s="21">
        <v>529.1</v>
      </c>
      <c r="B71">
        <v>21471</v>
      </c>
      <c r="C71" s="1">
        <f t="shared" si="3"/>
        <v>19887.030427230009</v>
      </c>
      <c r="D71" s="3">
        <f t="shared" si="2"/>
        <v>2508959.6074611475</v>
      </c>
      <c r="E71" s="3">
        <f>Ft!$B$12+Ft!$B$14*(Data!A71-Vars!$B$3)</f>
        <v>9868.060606060606</v>
      </c>
      <c r="F71" s="3">
        <f>IF(($A71-Ft!B$2)&lt;0,Ft!B$3*((1-Ft!B$6)/(1+Ft!B$37*($A71-Ft!B$2)^2)+Ft!B$6*EXP(Ft!B$38*($A71-Ft!B$2)^2)),Ft!B$3*((1-Ft!B$7)/(1+Ft!B$39*($A71-Ft!B$2)^2)+Ft!B$7*EXP(Ft!B$40*($A71-Ft!B$2)^2)))</f>
        <v>9802.294221045142</v>
      </c>
      <c r="G71" s="3">
        <f>IF(($A71-Ft!C$2)&lt;0,Ft!C$3*((1-Ft!C$6)/(1+Ft!C$37*($A71-Ft!C$2)^2)+Ft!C$6*EXP(Ft!C$38*($A71-Ft!C$2)^2)),Ft!C$3*((1-Ft!C$7)/(1+Ft!C$39*($A71-Ft!C$2)^2)+Ft!C$7*EXP(Ft!C$40*($A71-Ft!C$2)^2)))</f>
        <v>216.67560012425974</v>
      </c>
      <c r="H71" s="3">
        <f>IF(($A71-Ft!D$2)&lt;0,Ft!D$3*((1-Ft!D$6)/(1+Ft!D$37*($A71-Ft!D$2)^2)+Ft!D$6*EXP(Ft!D$38*($A71-Ft!D$2)^2)),Ft!D$3*((1-Ft!D$7)/(1+Ft!D$39*($A71-Ft!D$2)^2)+Ft!D$7*EXP(Ft!D$40*($A71-Ft!D$2)^2)))</f>
        <v>0</v>
      </c>
      <c r="I71" s="3">
        <f>IF(($A71-Ft!E$2)&lt;0,Ft!E$3*((1-Ft!E$6)/(1+Ft!E$37*($A71-Ft!E$2)^2)+Ft!E$6*EXP(Ft!E$38*($A71-Ft!E$2)^2)),Ft!E$3*((1-Ft!E$7)/(1+Ft!E$39*($A71-Ft!E$2)^2)+Ft!E$7*EXP(Ft!E$40*($A71-Ft!E$2)^2)))</f>
        <v>0</v>
      </c>
      <c r="J71" s="3">
        <f>IF(($A71-Ft!F$2)&lt;0,Ft!F$3*((1-Ft!F$6)/(1+Ft!F$37*($A71-Ft!F$2)^2)+Ft!F$6*EXP(Ft!F$38*($A71-Ft!F$2)^2)),Ft!F$3*((1-Ft!F$7)/(1+Ft!F$39*($A71-Ft!F$2)^2)+Ft!F$7*EXP(Ft!F$40*($A71-Ft!F$2)^2)))</f>
        <v>0</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s="21">
        <v>529</v>
      </c>
      <c r="B72">
        <v>20517</v>
      </c>
      <c r="C72" s="1">
        <f t="shared" si="3"/>
        <v>18909.397709446079</v>
      </c>
      <c r="D72" s="3">
        <f t="shared" si="2"/>
        <v>2584385.1245942139</v>
      </c>
      <c r="E72" s="3">
        <f>Ft!$B$12+Ft!$B$14*(Data!A72-Vars!$B$3)</f>
        <v>9862.5252525252508</v>
      </c>
      <c r="F72" s="3">
        <f>IF(($A72-Ft!B$2)&lt;0,Ft!B$3*((1-Ft!B$6)/(1+Ft!B$37*($A72-Ft!B$2)^2)+Ft!B$6*EXP(Ft!B$38*($A72-Ft!B$2)^2)),Ft!B$3*((1-Ft!B$7)/(1+Ft!B$39*($A72-Ft!B$2)^2)+Ft!B$7*EXP(Ft!B$40*($A72-Ft!B$2)^2)))</f>
        <v>8860.598415462222</v>
      </c>
      <c r="G72" s="3">
        <f>IF(($A72-Ft!C$2)&lt;0,Ft!C$3*((1-Ft!C$6)/(1+Ft!C$37*($A72-Ft!C$2)^2)+Ft!C$6*EXP(Ft!C$38*($A72-Ft!C$2)^2)),Ft!C$3*((1-Ft!C$7)/(1+Ft!C$39*($A72-Ft!C$2)^2)+Ft!C$7*EXP(Ft!C$40*($A72-Ft!C$2)^2)))</f>
        <v>186.27404145860709</v>
      </c>
      <c r="H72" s="3">
        <f>IF(($A72-Ft!D$2)&lt;0,Ft!D$3*((1-Ft!D$6)/(1+Ft!D$37*($A72-Ft!D$2)^2)+Ft!D$6*EXP(Ft!D$38*($A72-Ft!D$2)^2)),Ft!D$3*((1-Ft!D$7)/(1+Ft!D$39*($A72-Ft!D$2)^2)+Ft!D$7*EXP(Ft!D$40*($A72-Ft!D$2)^2)))</f>
        <v>0</v>
      </c>
      <c r="I72" s="3">
        <f>IF(($A72-Ft!E$2)&lt;0,Ft!E$3*((1-Ft!E$6)/(1+Ft!E$37*($A72-Ft!E$2)^2)+Ft!E$6*EXP(Ft!E$38*($A72-Ft!E$2)^2)),Ft!E$3*((1-Ft!E$7)/(1+Ft!E$39*($A72-Ft!E$2)^2)+Ft!E$7*EXP(Ft!E$40*($A72-Ft!E$2)^2)))</f>
        <v>0</v>
      </c>
      <c r="J72" s="3">
        <f>IF(($A72-Ft!F$2)&lt;0,Ft!F$3*((1-Ft!F$6)/(1+Ft!F$37*($A72-Ft!F$2)^2)+Ft!F$6*EXP(Ft!F$38*($A72-Ft!F$2)^2)),Ft!F$3*((1-Ft!F$7)/(1+Ft!F$39*($A72-Ft!F$2)^2)+Ft!F$7*EXP(Ft!F$40*($A72-Ft!F$2)^2)))</f>
        <v>0</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s="21">
        <v>528.9</v>
      </c>
      <c r="B73">
        <v>19688</v>
      </c>
      <c r="C73" s="1">
        <f t="shared" si="3"/>
        <v>17849.223242096039</v>
      </c>
      <c r="D73" s="3">
        <f t="shared" si="2"/>
        <v>3381099.9654078018</v>
      </c>
      <c r="E73" s="3">
        <f>Ft!$B$12+Ft!$B$14*(Data!A73-Vars!$B$3)</f>
        <v>9856.9898989898975</v>
      </c>
      <c r="F73" s="3">
        <f>IF(($A73-Ft!B$2)&lt;0,Ft!B$3*((1-Ft!B$6)/(1+Ft!B$37*($A73-Ft!B$2)^2)+Ft!B$6*EXP(Ft!B$38*($A73-Ft!B$2)^2)),Ft!B$3*((1-Ft!B$7)/(1+Ft!B$39*($A73-Ft!B$2)^2)+Ft!B$7*EXP(Ft!B$40*($A73-Ft!B$2)^2)))</f>
        <v>7832.8221429145224</v>
      </c>
      <c r="G73" s="3">
        <f>IF(($A73-Ft!C$2)&lt;0,Ft!C$3*((1-Ft!C$6)/(1+Ft!C$37*($A73-Ft!C$2)^2)+Ft!C$6*EXP(Ft!C$38*($A73-Ft!C$2)^2)),Ft!C$3*((1-Ft!C$7)/(1+Ft!C$39*($A73-Ft!C$2)^2)+Ft!C$7*EXP(Ft!C$40*($A73-Ft!C$2)^2)))</f>
        <v>159.41120019161849</v>
      </c>
      <c r="H73" s="3">
        <f>IF(($A73-Ft!D$2)&lt;0,Ft!D$3*((1-Ft!D$6)/(1+Ft!D$37*($A73-Ft!D$2)^2)+Ft!D$6*EXP(Ft!D$38*($A73-Ft!D$2)^2)),Ft!D$3*((1-Ft!D$7)/(1+Ft!D$39*($A73-Ft!D$2)^2)+Ft!D$7*EXP(Ft!D$40*($A73-Ft!D$2)^2)))</f>
        <v>0</v>
      </c>
      <c r="I73" s="3">
        <f>IF(($A73-Ft!E$2)&lt;0,Ft!E$3*((1-Ft!E$6)/(1+Ft!E$37*($A73-Ft!E$2)^2)+Ft!E$6*EXP(Ft!E$38*($A73-Ft!E$2)^2)),Ft!E$3*((1-Ft!E$7)/(1+Ft!E$39*($A73-Ft!E$2)^2)+Ft!E$7*EXP(Ft!E$40*($A73-Ft!E$2)^2)))</f>
        <v>0</v>
      </c>
      <c r="J73" s="3">
        <f>IF(($A73-Ft!F$2)&lt;0,Ft!F$3*((1-Ft!F$6)/(1+Ft!F$37*($A73-Ft!F$2)^2)+Ft!F$6*EXP(Ft!F$38*($A73-Ft!F$2)^2)),Ft!F$3*((1-Ft!F$7)/(1+Ft!F$39*($A73-Ft!F$2)^2)+Ft!F$7*EXP(Ft!F$40*($A73-Ft!F$2)^2)))</f>
        <v>0</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s="21">
        <v>528.79999999999995</v>
      </c>
      <c r="B74">
        <v>18475</v>
      </c>
      <c r="C74" s="1">
        <f t="shared" si="3"/>
        <v>16765.994304638651</v>
      </c>
      <c r="D74" s="3">
        <f t="shared" si="2"/>
        <v>2920700.4667775291</v>
      </c>
      <c r="E74" s="3">
        <f>Ft!$B$12+Ft!$B$14*(Data!A74-Vars!$B$3)</f>
        <v>9851.4545454545423</v>
      </c>
      <c r="F74" s="3">
        <f>IF(($A74-Ft!B$2)&lt;0,Ft!B$3*((1-Ft!B$6)/(1+Ft!B$37*($A74-Ft!B$2)^2)+Ft!B$6*EXP(Ft!B$38*($A74-Ft!B$2)^2)),Ft!B$3*((1-Ft!B$7)/(1+Ft!B$39*($A74-Ft!B$2)^2)+Ft!B$7*EXP(Ft!B$40*($A74-Ft!B$2)^2)))</f>
        <v>6778.6331562479709</v>
      </c>
      <c r="G74" s="3">
        <f>IF(($A74-Ft!C$2)&lt;0,Ft!C$3*((1-Ft!C$6)/(1+Ft!C$37*($A74-Ft!C$2)^2)+Ft!C$6*EXP(Ft!C$38*($A74-Ft!C$2)^2)),Ft!C$3*((1-Ft!C$7)/(1+Ft!C$39*($A74-Ft!C$2)^2)+Ft!C$7*EXP(Ft!C$40*($A74-Ft!C$2)^2)))</f>
        <v>135.90660293613959</v>
      </c>
      <c r="H74" s="3">
        <f>IF(($A74-Ft!D$2)&lt;0,Ft!D$3*((1-Ft!D$6)/(1+Ft!D$37*($A74-Ft!D$2)^2)+Ft!D$6*EXP(Ft!D$38*($A74-Ft!D$2)^2)),Ft!D$3*((1-Ft!D$7)/(1+Ft!D$39*($A74-Ft!D$2)^2)+Ft!D$7*EXP(Ft!D$40*($A74-Ft!D$2)^2)))</f>
        <v>0</v>
      </c>
      <c r="I74" s="3">
        <f>IF(($A74-Ft!E$2)&lt;0,Ft!E$3*((1-Ft!E$6)/(1+Ft!E$37*($A74-Ft!E$2)^2)+Ft!E$6*EXP(Ft!E$38*($A74-Ft!E$2)^2)),Ft!E$3*((1-Ft!E$7)/(1+Ft!E$39*($A74-Ft!E$2)^2)+Ft!E$7*EXP(Ft!E$40*($A74-Ft!E$2)^2)))</f>
        <v>0</v>
      </c>
      <c r="J74" s="3">
        <f>IF(($A74-Ft!F$2)&lt;0,Ft!F$3*((1-Ft!F$6)/(1+Ft!F$37*($A74-Ft!F$2)^2)+Ft!F$6*EXP(Ft!F$38*($A74-Ft!F$2)^2)),Ft!F$3*((1-Ft!F$7)/(1+Ft!F$39*($A74-Ft!F$2)^2)+Ft!F$7*EXP(Ft!F$40*($A74-Ft!F$2)^2)))</f>
        <v>0</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s="21">
        <v>528.70000000000005</v>
      </c>
      <c r="B75">
        <v>17607</v>
      </c>
      <c r="C75" s="1">
        <f t="shared" si="3"/>
        <v>15709.924248784306</v>
      </c>
      <c r="D75" s="3">
        <f t="shared" si="2"/>
        <v>3598896.4058505907</v>
      </c>
      <c r="E75" s="3">
        <f>Ft!$B$12+Ft!$B$14*(Data!A75-Vars!$B$3)</f>
        <v>9845.9191919191944</v>
      </c>
      <c r="F75" s="3">
        <f>IF(($A75-Ft!B$2)&lt;0,Ft!B$3*((1-Ft!B$6)/(1+Ft!B$37*($A75-Ft!B$2)^2)+Ft!B$6*EXP(Ft!B$38*($A75-Ft!B$2)^2)),Ft!B$3*((1-Ft!B$7)/(1+Ft!B$39*($A75-Ft!B$2)^2)+Ft!B$7*EXP(Ft!B$40*($A75-Ft!B$2)^2)))</f>
        <v>5748.4720237470656</v>
      </c>
      <c r="G75" s="3">
        <f>IF(($A75-Ft!C$2)&lt;0,Ft!C$3*((1-Ft!C$6)/(1+Ft!C$37*($A75-Ft!C$2)^2)+Ft!C$6*EXP(Ft!C$38*($A75-Ft!C$2)^2)),Ft!C$3*((1-Ft!C$7)/(1+Ft!C$39*($A75-Ft!C$2)^2)+Ft!C$7*EXP(Ft!C$40*($A75-Ft!C$2)^2)))</f>
        <v>115.5330331180471</v>
      </c>
      <c r="H75" s="3">
        <f>IF(($A75-Ft!D$2)&lt;0,Ft!D$3*((1-Ft!D$6)/(1+Ft!D$37*($A75-Ft!D$2)^2)+Ft!D$6*EXP(Ft!D$38*($A75-Ft!D$2)^2)),Ft!D$3*((1-Ft!D$7)/(1+Ft!D$39*($A75-Ft!D$2)^2)+Ft!D$7*EXP(Ft!D$40*($A75-Ft!D$2)^2)))</f>
        <v>0</v>
      </c>
      <c r="I75" s="3">
        <f>IF(($A75-Ft!E$2)&lt;0,Ft!E$3*((1-Ft!E$6)/(1+Ft!E$37*($A75-Ft!E$2)^2)+Ft!E$6*EXP(Ft!E$38*($A75-Ft!E$2)^2)),Ft!E$3*((1-Ft!E$7)/(1+Ft!E$39*($A75-Ft!E$2)^2)+Ft!E$7*EXP(Ft!E$40*($A75-Ft!E$2)^2)))</f>
        <v>0</v>
      </c>
      <c r="J75" s="3">
        <f>IF(($A75-Ft!F$2)&lt;0,Ft!F$3*((1-Ft!F$6)/(1+Ft!F$37*($A75-Ft!F$2)^2)+Ft!F$6*EXP(Ft!F$38*($A75-Ft!F$2)^2)),Ft!F$3*((1-Ft!F$7)/(1+Ft!F$39*($A75-Ft!F$2)^2)+Ft!F$7*EXP(Ft!F$40*($A75-Ft!F$2)^2)))</f>
        <v>0</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s="21">
        <v>528.6</v>
      </c>
      <c r="B76">
        <v>16441</v>
      </c>
      <c r="C76" s="1">
        <f t="shared" si="3"/>
        <v>14720.258512348182</v>
      </c>
      <c r="D76" s="3">
        <f t="shared" si="2"/>
        <v>2960951.2673261911</v>
      </c>
      <c r="E76" s="3">
        <f>Ft!$B$12+Ft!$B$14*(Data!A76-Vars!$B$3)</f>
        <v>9840.3838383838392</v>
      </c>
      <c r="F76" s="3">
        <f>IF(($A76-Ft!B$2)&lt;0,Ft!B$3*((1-Ft!B$6)/(1+Ft!B$37*($A76-Ft!B$2)^2)+Ft!B$6*EXP(Ft!B$38*($A76-Ft!B$2)^2)),Ft!B$3*((1-Ft!B$7)/(1+Ft!B$39*($A76-Ft!B$2)^2)+Ft!B$7*EXP(Ft!B$40*($A76-Ft!B$2)^2)))</f>
        <v>4781.8431448542806</v>
      </c>
      <c r="G76" s="3">
        <f>IF(($A76-Ft!C$2)&lt;0,Ft!C$3*((1-Ft!C$6)/(1+Ft!C$37*($A76-Ft!C$2)^2)+Ft!C$6*EXP(Ft!C$38*($A76-Ft!C$2)^2)),Ft!C$3*((1-Ft!C$7)/(1+Ft!C$39*($A76-Ft!C$2)^2)+Ft!C$7*EXP(Ft!C$40*($A76-Ft!C$2)^2)))</f>
        <v>98.031529110062166</v>
      </c>
      <c r="H76" s="3">
        <f>IF(($A76-Ft!D$2)&lt;0,Ft!D$3*((1-Ft!D$6)/(1+Ft!D$37*($A76-Ft!D$2)^2)+Ft!D$6*EXP(Ft!D$38*($A76-Ft!D$2)^2)),Ft!D$3*((1-Ft!D$7)/(1+Ft!D$39*($A76-Ft!D$2)^2)+Ft!D$7*EXP(Ft!D$40*($A76-Ft!D$2)^2)))</f>
        <v>0</v>
      </c>
      <c r="I76" s="3">
        <f>IF(($A76-Ft!E$2)&lt;0,Ft!E$3*((1-Ft!E$6)/(1+Ft!E$37*($A76-Ft!E$2)^2)+Ft!E$6*EXP(Ft!E$38*($A76-Ft!E$2)^2)),Ft!E$3*((1-Ft!E$7)/(1+Ft!E$39*($A76-Ft!E$2)^2)+Ft!E$7*EXP(Ft!E$40*($A76-Ft!E$2)^2)))</f>
        <v>0</v>
      </c>
      <c r="J76" s="3">
        <f>IF(($A76-Ft!F$2)&lt;0,Ft!F$3*((1-Ft!F$6)/(1+Ft!F$37*($A76-Ft!F$2)^2)+Ft!F$6*EXP(Ft!F$38*($A76-Ft!F$2)^2)),Ft!F$3*((1-Ft!F$7)/(1+Ft!F$39*($A76-Ft!F$2)^2)+Ft!F$7*EXP(Ft!F$40*($A76-Ft!F$2)^2)))</f>
        <v>0</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s="21">
        <v>528.5</v>
      </c>
      <c r="B77">
        <v>15403</v>
      </c>
      <c r="C77" s="1">
        <f t="shared" si="3"/>
        <v>13824.692352110193</v>
      </c>
      <c r="D77" s="3">
        <f t="shared" si="2"/>
        <v>2491055.0313874562</v>
      </c>
      <c r="E77" s="3">
        <f>Ft!$B$12+Ft!$B$14*(Data!A77-Vars!$B$3)</f>
        <v>9834.8484848484841</v>
      </c>
      <c r="F77" s="3">
        <f>IF(($A77-Ft!B$2)&lt;0,Ft!B$3*((1-Ft!B$6)/(1+Ft!B$37*($A77-Ft!B$2)^2)+Ft!B$6*EXP(Ft!B$38*($A77-Ft!B$2)^2)),Ft!B$3*((1-Ft!B$7)/(1+Ft!B$39*($A77-Ft!B$2)^2)+Ft!B$7*EXP(Ft!B$40*($A77-Ft!B$2)^2)))</f>
        <v>3906.7188671427193</v>
      </c>
      <c r="G77" s="3">
        <f>IF(($A77-Ft!C$2)&lt;0,Ft!C$3*((1-Ft!C$6)/(1+Ft!C$37*($A77-Ft!C$2)^2)+Ft!C$6*EXP(Ft!C$38*($A77-Ft!C$2)^2)),Ft!C$3*((1-Ft!C$7)/(1+Ft!C$39*($A77-Ft!C$2)^2)+Ft!C$7*EXP(Ft!C$40*($A77-Ft!C$2)^2)))</f>
        <v>83.125000118988382</v>
      </c>
      <c r="H77" s="3">
        <f>IF(($A77-Ft!D$2)&lt;0,Ft!D$3*((1-Ft!D$6)/(1+Ft!D$37*($A77-Ft!D$2)^2)+Ft!D$6*EXP(Ft!D$38*($A77-Ft!D$2)^2)),Ft!D$3*((1-Ft!D$7)/(1+Ft!D$39*($A77-Ft!D$2)^2)+Ft!D$7*EXP(Ft!D$40*($A77-Ft!D$2)^2)))</f>
        <v>0</v>
      </c>
      <c r="I77" s="3">
        <f>IF(($A77-Ft!E$2)&lt;0,Ft!E$3*((1-Ft!E$6)/(1+Ft!E$37*($A77-Ft!E$2)^2)+Ft!E$6*EXP(Ft!E$38*($A77-Ft!E$2)^2)),Ft!E$3*((1-Ft!E$7)/(1+Ft!E$39*($A77-Ft!E$2)^2)+Ft!E$7*EXP(Ft!E$40*($A77-Ft!E$2)^2)))</f>
        <v>0</v>
      </c>
      <c r="J77" s="3">
        <f>IF(($A77-Ft!F$2)&lt;0,Ft!F$3*((1-Ft!F$6)/(1+Ft!F$37*($A77-Ft!F$2)^2)+Ft!F$6*EXP(Ft!F$38*($A77-Ft!F$2)^2)),Ft!F$3*((1-Ft!F$7)/(1+Ft!F$39*($A77-Ft!F$2)^2)+Ft!F$7*EXP(Ft!F$40*($A77-Ft!F$2)^2)))</f>
        <v>0</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s="21">
        <v>528.4</v>
      </c>
      <c r="B78">
        <v>14550</v>
      </c>
      <c r="C78" s="1">
        <f t="shared" si="3"/>
        <v>13039.684988529389</v>
      </c>
      <c r="D78" s="3">
        <f t="shared" si="2"/>
        <v>2281051.4338734727</v>
      </c>
      <c r="E78" s="3">
        <f>Ft!$B$12+Ft!$B$14*(Data!A78-Vars!$B$3)</f>
        <v>9829.3131313131289</v>
      </c>
      <c r="F78" s="3">
        <f>IF(($A78-Ft!B$2)&lt;0,Ft!B$3*((1-Ft!B$6)/(1+Ft!B$37*($A78-Ft!B$2)^2)+Ft!B$6*EXP(Ft!B$38*($A78-Ft!B$2)^2)),Ft!B$3*((1-Ft!B$7)/(1+Ft!B$39*($A78-Ft!B$2)^2)+Ft!B$7*EXP(Ft!B$40*($A78-Ft!B$2)^2)))</f>
        <v>3139.8417798177152</v>
      </c>
      <c r="G78" s="3">
        <f>IF(($A78-Ft!C$2)&lt;0,Ft!C$3*((1-Ft!C$6)/(1+Ft!C$37*($A78-Ft!C$2)^2)+Ft!C$6*EXP(Ft!C$38*($A78-Ft!C$2)^2)),Ft!C$3*((1-Ft!C$7)/(1+Ft!C$39*($A78-Ft!C$2)^2)+Ft!C$7*EXP(Ft!C$40*($A78-Ft!C$2)^2)))</f>
        <v>70.530077398543298</v>
      </c>
      <c r="H78" s="3">
        <f>IF(($A78-Ft!D$2)&lt;0,Ft!D$3*((1-Ft!D$6)/(1+Ft!D$37*($A78-Ft!D$2)^2)+Ft!D$6*EXP(Ft!D$38*($A78-Ft!D$2)^2)),Ft!D$3*((1-Ft!D$7)/(1+Ft!D$39*($A78-Ft!D$2)^2)+Ft!D$7*EXP(Ft!D$40*($A78-Ft!D$2)^2)))</f>
        <v>0</v>
      </c>
      <c r="I78" s="3">
        <f>IF(($A78-Ft!E$2)&lt;0,Ft!E$3*((1-Ft!E$6)/(1+Ft!E$37*($A78-Ft!E$2)^2)+Ft!E$6*EXP(Ft!E$38*($A78-Ft!E$2)^2)),Ft!E$3*((1-Ft!E$7)/(1+Ft!E$39*($A78-Ft!E$2)^2)+Ft!E$7*EXP(Ft!E$40*($A78-Ft!E$2)^2)))</f>
        <v>0</v>
      </c>
      <c r="J78" s="3">
        <f>IF(($A78-Ft!F$2)&lt;0,Ft!F$3*((1-Ft!F$6)/(1+Ft!F$37*($A78-Ft!F$2)^2)+Ft!F$6*EXP(Ft!F$38*($A78-Ft!F$2)^2)),Ft!F$3*((1-Ft!F$7)/(1+Ft!F$39*($A78-Ft!F$2)^2)+Ft!F$7*EXP(Ft!F$40*($A78-Ft!F$2)^2)))</f>
        <v>0</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s="21">
        <v>528.29999999999995</v>
      </c>
      <c r="B79">
        <v>13714</v>
      </c>
      <c r="C79" s="1">
        <f t="shared" si="3"/>
        <v>12371.572914229961</v>
      </c>
      <c r="D79" s="3">
        <f t="shared" si="2"/>
        <v>1802110.4806090407</v>
      </c>
      <c r="E79" s="3">
        <f>Ft!$B$12+Ft!$B$14*(Data!A79-Vars!$B$3)</f>
        <v>9823.7777777777737</v>
      </c>
      <c r="F79" s="3">
        <f>IF(($A79-Ft!B$2)&lt;0,Ft!B$3*((1-Ft!B$6)/(1+Ft!B$37*($A79-Ft!B$2)^2)+Ft!B$6*EXP(Ft!B$38*($A79-Ft!B$2)^2)),Ft!B$3*((1-Ft!B$7)/(1+Ft!B$39*($A79-Ft!B$2)^2)+Ft!B$7*EXP(Ft!B$40*($A79-Ft!B$2)^2)))</f>
        <v>2487.8281586511735</v>
      </c>
      <c r="G79" s="3">
        <f>IF(($A79-Ft!C$2)&lt;0,Ft!C$3*((1-Ft!C$6)/(1+Ft!C$37*($A79-Ft!C$2)^2)+Ft!C$6*EXP(Ft!C$38*($A79-Ft!C$2)^2)),Ft!C$3*((1-Ft!C$7)/(1+Ft!C$39*($A79-Ft!C$2)^2)+Ft!C$7*EXP(Ft!C$40*($A79-Ft!C$2)^2)))</f>
        <v>59.966977801014714</v>
      </c>
      <c r="H79" s="3">
        <f>IF(($A79-Ft!D$2)&lt;0,Ft!D$3*((1-Ft!D$6)/(1+Ft!D$37*($A79-Ft!D$2)^2)+Ft!D$6*EXP(Ft!D$38*($A79-Ft!D$2)^2)),Ft!D$3*((1-Ft!D$7)/(1+Ft!D$39*($A79-Ft!D$2)^2)+Ft!D$7*EXP(Ft!D$40*($A79-Ft!D$2)^2)))</f>
        <v>0</v>
      </c>
      <c r="I79" s="3">
        <f>IF(($A79-Ft!E$2)&lt;0,Ft!E$3*((1-Ft!E$6)/(1+Ft!E$37*($A79-Ft!E$2)^2)+Ft!E$6*EXP(Ft!E$38*($A79-Ft!E$2)^2)),Ft!E$3*((1-Ft!E$7)/(1+Ft!E$39*($A79-Ft!E$2)^2)+Ft!E$7*EXP(Ft!E$40*($A79-Ft!E$2)^2)))</f>
        <v>0</v>
      </c>
      <c r="J79" s="3">
        <f>IF(($A79-Ft!F$2)&lt;0,Ft!F$3*((1-Ft!F$6)/(1+Ft!F$37*($A79-Ft!F$2)^2)+Ft!F$6*EXP(Ft!F$38*($A79-Ft!F$2)^2)),Ft!F$3*((1-Ft!F$7)/(1+Ft!F$39*($A79-Ft!F$2)^2)+Ft!F$7*EXP(Ft!F$40*($A79-Ft!F$2)^2)))</f>
        <v>0</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s="21">
        <v>528.20000000000005</v>
      </c>
      <c r="B80">
        <v>13044</v>
      </c>
      <c r="C80" s="1">
        <f t="shared" si="3"/>
        <v>11818.318436451225</v>
      </c>
      <c r="D80" s="3">
        <f t="shared" si="2"/>
        <v>1502295.2952233688</v>
      </c>
      <c r="E80" s="3">
        <f>Ft!$B$12+Ft!$B$14*(Data!A80-Vars!$B$3)</f>
        <v>9818.2424242424258</v>
      </c>
      <c r="F80" s="3">
        <f>IF(($A80-Ft!B$2)&lt;0,Ft!B$3*((1-Ft!B$6)/(1+Ft!B$37*($A80-Ft!B$2)^2)+Ft!B$6*EXP(Ft!B$38*($A80-Ft!B$2)^2)),Ft!B$3*((1-Ft!B$7)/(1+Ft!B$39*($A80-Ft!B$2)^2)+Ft!B$7*EXP(Ft!B$40*($A80-Ft!B$2)^2)))</f>
        <v>1948.9087087229032</v>
      </c>
      <c r="G80" s="3">
        <f>IF(($A80-Ft!C$2)&lt;0,Ft!C$3*((1-Ft!C$6)/(1+Ft!C$37*($A80-Ft!C$2)^2)+Ft!C$6*EXP(Ft!C$38*($A80-Ft!C$2)^2)),Ft!C$3*((1-Ft!C$7)/(1+Ft!C$39*($A80-Ft!C$2)^2)+Ft!C$7*EXP(Ft!C$40*($A80-Ft!C$2)^2)))</f>
        <v>51.167303485895111</v>
      </c>
      <c r="H80" s="3">
        <f>IF(($A80-Ft!D$2)&lt;0,Ft!D$3*((1-Ft!D$6)/(1+Ft!D$37*($A80-Ft!D$2)^2)+Ft!D$6*EXP(Ft!D$38*($A80-Ft!D$2)^2)),Ft!D$3*((1-Ft!D$7)/(1+Ft!D$39*($A80-Ft!D$2)^2)+Ft!D$7*EXP(Ft!D$40*($A80-Ft!D$2)^2)))</f>
        <v>0</v>
      </c>
      <c r="I80" s="3">
        <f>IF(($A80-Ft!E$2)&lt;0,Ft!E$3*((1-Ft!E$6)/(1+Ft!E$37*($A80-Ft!E$2)^2)+Ft!E$6*EXP(Ft!E$38*($A80-Ft!E$2)^2)),Ft!E$3*((1-Ft!E$7)/(1+Ft!E$39*($A80-Ft!E$2)^2)+Ft!E$7*EXP(Ft!E$40*($A80-Ft!E$2)^2)))</f>
        <v>0</v>
      </c>
      <c r="J80" s="3">
        <f>IF(($A80-Ft!F$2)&lt;0,Ft!F$3*((1-Ft!F$6)/(1+Ft!F$37*($A80-Ft!F$2)^2)+Ft!F$6*EXP(Ft!F$38*($A80-Ft!F$2)^2)),Ft!F$3*((1-Ft!F$7)/(1+Ft!F$39*($A80-Ft!F$2)^2)+Ft!F$7*EXP(Ft!F$40*($A80-Ft!F$2)^2)))</f>
        <v>0</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s="21">
        <v>528.1</v>
      </c>
      <c r="B81">
        <v>12448</v>
      </c>
      <c r="C81" s="1">
        <f t="shared" si="3"/>
        <v>11371.637781707666</v>
      </c>
      <c r="D81" s="3">
        <f t="shared" si="2"/>
        <v>1158555.6249671932</v>
      </c>
      <c r="E81" s="3">
        <f>Ft!$B$12+Ft!$B$14*(Data!A81-Vars!$B$3)</f>
        <v>9812.7070707070707</v>
      </c>
      <c r="F81" s="3">
        <f>IF(($A81-Ft!B$2)&lt;0,Ft!B$3*((1-Ft!B$6)/(1+Ft!B$37*($A81-Ft!B$2)^2)+Ft!B$6*EXP(Ft!B$38*($A81-Ft!B$2)^2)),Ft!B$3*((1-Ft!B$7)/(1+Ft!B$39*($A81-Ft!B$2)^2)+Ft!B$7*EXP(Ft!B$40*($A81-Ft!B$2)^2)))</f>
        <v>1515.0508841721028</v>
      </c>
      <c r="G81" s="3">
        <f>IF(($A81-Ft!C$2)&lt;0,Ft!C$3*((1-Ft!C$6)/(1+Ft!C$37*($A81-Ft!C$2)^2)+Ft!C$6*EXP(Ft!C$38*($A81-Ft!C$2)^2)),Ft!C$3*((1-Ft!C$7)/(1+Ft!C$39*($A81-Ft!C$2)^2)+Ft!C$7*EXP(Ft!C$40*($A81-Ft!C$2)^2)))</f>
        <v>43.879826828493037</v>
      </c>
      <c r="H81" s="3">
        <f>IF(($A81-Ft!D$2)&lt;0,Ft!D$3*((1-Ft!D$6)/(1+Ft!D$37*($A81-Ft!D$2)^2)+Ft!D$6*EXP(Ft!D$38*($A81-Ft!D$2)^2)),Ft!D$3*((1-Ft!D$7)/(1+Ft!D$39*($A81-Ft!D$2)^2)+Ft!D$7*EXP(Ft!D$40*($A81-Ft!D$2)^2)))</f>
        <v>0</v>
      </c>
      <c r="I81" s="3">
        <f>IF(($A81-Ft!E$2)&lt;0,Ft!E$3*((1-Ft!E$6)/(1+Ft!E$37*($A81-Ft!E$2)^2)+Ft!E$6*EXP(Ft!E$38*($A81-Ft!E$2)^2)),Ft!E$3*((1-Ft!E$7)/(1+Ft!E$39*($A81-Ft!E$2)^2)+Ft!E$7*EXP(Ft!E$40*($A81-Ft!E$2)^2)))</f>
        <v>0</v>
      </c>
      <c r="J81" s="3">
        <f>IF(($A81-Ft!F$2)&lt;0,Ft!F$3*((1-Ft!F$6)/(1+Ft!F$37*($A81-Ft!F$2)^2)+Ft!F$6*EXP(Ft!F$38*($A81-Ft!F$2)^2)),Ft!F$3*((1-Ft!F$7)/(1+Ft!F$39*($A81-Ft!F$2)^2)+Ft!F$7*EXP(Ft!F$40*($A81-Ft!F$2)^2)))</f>
        <v>0</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s="21">
        <v>528</v>
      </c>
      <c r="B82">
        <v>11868</v>
      </c>
      <c r="C82" s="1">
        <f t="shared" si="3"/>
        <v>11019.215641205856</v>
      </c>
      <c r="D82" s="3">
        <f t="shared" si="2"/>
        <v>720434.8877335866</v>
      </c>
      <c r="E82" s="3">
        <f>Ft!$B$12+Ft!$B$14*(Data!A82-Vars!$B$3)</f>
        <v>9807.1717171717155</v>
      </c>
      <c r="F82" s="3">
        <f>IF(($A82-Ft!B$2)&lt;0,Ft!B$3*((1-Ft!B$6)/(1+Ft!B$37*($A82-Ft!B$2)^2)+Ft!B$6*EXP(Ft!B$38*($A82-Ft!B$2)^2)),Ft!B$3*((1-Ft!B$7)/(1+Ft!B$39*($A82-Ft!B$2)^2)+Ft!B$7*EXP(Ft!B$40*($A82-Ft!B$2)^2)))</f>
        <v>1174.1695160865145</v>
      </c>
      <c r="G82" s="3">
        <f>IF(($A82-Ft!C$2)&lt;0,Ft!C$3*((1-Ft!C$6)/(1+Ft!C$37*($A82-Ft!C$2)^2)+Ft!C$6*EXP(Ft!C$38*($A82-Ft!C$2)^2)),Ft!C$3*((1-Ft!C$7)/(1+Ft!C$39*($A82-Ft!C$2)^2)+Ft!C$7*EXP(Ft!C$40*($A82-Ft!C$2)^2)))</f>
        <v>37.87440794762577</v>
      </c>
      <c r="H82" s="3">
        <f>IF(($A82-Ft!D$2)&lt;0,Ft!D$3*((1-Ft!D$6)/(1+Ft!D$37*($A82-Ft!D$2)^2)+Ft!D$6*EXP(Ft!D$38*($A82-Ft!D$2)^2)),Ft!D$3*((1-Ft!D$7)/(1+Ft!D$39*($A82-Ft!D$2)^2)+Ft!D$7*EXP(Ft!D$40*($A82-Ft!D$2)^2)))</f>
        <v>0</v>
      </c>
      <c r="I82" s="3">
        <f>IF(($A82-Ft!E$2)&lt;0,Ft!E$3*((1-Ft!E$6)/(1+Ft!E$37*($A82-Ft!E$2)^2)+Ft!E$6*EXP(Ft!E$38*($A82-Ft!E$2)^2)),Ft!E$3*((1-Ft!E$7)/(1+Ft!E$39*($A82-Ft!E$2)^2)+Ft!E$7*EXP(Ft!E$40*($A82-Ft!E$2)^2)))</f>
        <v>0</v>
      </c>
      <c r="J82" s="3">
        <f>IF(($A82-Ft!F$2)&lt;0,Ft!F$3*((1-Ft!F$6)/(1+Ft!F$37*($A82-Ft!F$2)^2)+Ft!F$6*EXP(Ft!F$38*($A82-Ft!F$2)^2)),Ft!F$3*((1-Ft!F$7)/(1+Ft!F$39*($A82-Ft!F$2)^2)+Ft!F$7*EXP(Ft!F$40*($A82-Ft!F$2)^2)))</f>
        <v>0</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s="21">
        <v>527.9</v>
      </c>
      <c r="B83">
        <v>11640</v>
      </c>
      <c r="C83" s="1">
        <f t="shared" si="3"/>
        <v>10746.742736454957</v>
      </c>
      <c r="D83" s="3">
        <f t="shared" si="2"/>
        <v>797908.53887597902</v>
      </c>
      <c r="E83" s="3">
        <f>Ft!$B$12+Ft!$B$14*(Data!A83-Vars!$B$3)</f>
        <v>9801.6363636363621</v>
      </c>
      <c r="F83" s="3">
        <f>IF(($A83-Ft!B$2)&lt;0,Ft!B$3*((1-Ft!B$6)/(1+Ft!B$37*($A83-Ft!B$2)^2)+Ft!B$6*EXP(Ft!B$38*($A83-Ft!B$2)^2)),Ft!B$3*((1-Ft!B$7)/(1+Ft!B$39*($A83-Ft!B$2)^2)+Ft!B$7*EXP(Ft!B$40*($A83-Ft!B$2)^2)))</f>
        <v>912.16211093224388</v>
      </c>
      <c r="G83" s="3">
        <f>IF(($A83-Ft!C$2)&lt;0,Ft!C$3*((1-Ft!C$6)/(1+Ft!C$37*($A83-Ft!C$2)^2)+Ft!C$6*EXP(Ft!C$38*($A83-Ft!C$2)^2)),Ft!C$3*((1-Ft!C$7)/(1+Ft!C$39*($A83-Ft!C$2)^2)+Ft!C$7*EXP(Ft!C$40*($A83-Ft!C$2)^2)))</f>
        <v>32.944261886350873</v>
      </c>
      <c r="H83" s="3">
        <f>IF(($A83-Ft!D$2)&lt;0,Ft!D$3*((1-Ft!D$6)/(1+Ft!D$37*($A83-Ft!D$2)^2)+Ft!D$6*EXP(Ft!D$38*($A83-Ft!D$2)^2)),Ft!D$3*((1-Ft!D$7)/(1+Ft!D$39*($A83-Ft!D$2)^2)+Ft!D$7*EXP(Ft!D$40*($A83-Ft!D$2)^2)))</f>
        <v>0</v>
      </c>
      <c r="I83" s="3">
        <f>IF(($A83-Ft!E$2)&lt;0,Ft!E$3*((1-Ft!E$6)/(1+Ft!E$37*($A83-Ft!E$2)^2)+Ft!E$6*EXP(Ft!E$38*($A83-Ft!E$2)^2)),Ft!E$3*((1-Ft!E$7)/(1+Ft!E$39*($A83-Ft!E$2)^2)+Ft!E$7*EXP(Ft!E$40*($A83-Ft!E$2)^2)))</f>
        <v>0</v>
      </c>
      <c r="J83" s="3">
        <f>IF(($A83-Ft!F$2)&lt;0,Ft!F$3*((1-Ft!F$6)/(1+Ft!F$37*($A83-Ft!F$2)^2)+Ft!F$6*EXP(Ft!F$38*($A83-Ft!F$2)^2)),Ft!F$3*((1-Ft!F$7)/(1+Ft!F$39*($A83-Ft!F$2)^2)+Ft!F$7*EXP(Ft!F$40*($A83-Ft!F$2)^2)))</f>
        <v>0</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s="21">
        <v>527.79999999999995</v>
      </c>
      <c r="B84">
        <v>11199</v>
      </c>
      <c r="C84" s="1">
        <f t="shared" si="3"/>
        <v>10539.589596790269</v>
      </c>
      <c r="D84" s="3">
        <f t="shared" si="2"/>
        <v>434822.07986122021</v>
      </c>
      <c r="E84" s="3">
        <f>Ft!$B$12+Ft!$B$14*(Data!A84-Vars!$B$3)</f>
        <v>9796.101010101007</v>
      </c>
      <c r="F84" s="3">
        <f>IF(($A84-Ft!B$2)&lt;0,Ft!B$3*((1-Ft!B$6)/(1+Ft!B$37*($A84-Ft!B$2)^2)+Ft!B$6*EXP(Ft!B$38*($A84-Ft!B$2)^2)),Ft!B$3*((1-Ft!B$7)/(1+Ft!B$39*($A84-Ft!B$2)^2)+Ft!B$7*EXP(Ft!B$40*($A84-Ft!B$2)^2)))</f>
        <v>714.58175248035604</v>
      </c>
      <c r="G84" s="3">
        <f>IF(($A84-Ft!C$2)&lt;0,Ft!C$3*((1-Ft!C$6)/(1+Ft!C$37*($A84-Ft!C$2)^2)+Ft!C$6*EXP(Ft!C$38*($A84-Ft!C$2)^2)),Ft!C$3*((1-Ft!C$7)/(1+Ft!C$39*($A84-Ft!C$2)^2)+Ft!C$7*EXP(Ft!C$40*($A84-Ft!C$2)^2)))</f>
        <v>28.906834208905181</v>
      </c>
      <c r="H84" s="3">
        <f>IF(($A84-Ft!D$2)&lt;0,Ft!D$3*((1-Ft!D$6)/(1+Ft!D$37*($A84-Ft!D$2)^2)+Ft!D$6*EXP(Ft!D$38*($A84-Ft!D$2)^2)),Ft!D$3*((1-Ft!D$7)/(1+Ft!D$39*($A84-Ft!D$2)^2)+Ft!D$7*EXP(Ft!D$40*($A84-Ft!D$2)^2)))</f>
        <v>0</v>
      </c>
      <c r="I84" s="3">
        <f>IF(($A84-Ft!E$2)&lt;0,Ft!E$3*((1-Ft!E$6)/(1+Ft!E$37*($A84-Ft!E$2)^2)+Ft!E$6*EXP(Ft!E$38*($A84-Ft!E$2)^2)),Ft!E$3*((1-Ft!E$7)/(1+Ft!E$39*($A84-Ft!E$2)^2)+Ft!E$7*EXP(Ft!E$40*($A84-Ft!E$2)^2)))</f>
        <v>0</v>
      </c>
      <c r="J84" s="3">
        <f>IF(($A84-Ft!F$2)&lt;0,Ft!F$3*((1-Ft!F$6)/(1+Ft!F$37*($A84-Ft!F$2)^2)+Ft!F$6*EXP(Ft!F$38*($A84-Ft!F$2)^2)),Ft!F$3*((1-Ft!F$7)/(1+Ft!F$39*($A84-Ft!F$2)^2)+Ft!F$7*EXP(Ft!F$40*($A84-Ft!F$2)^2)))</f>
        <v>0</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s="21">
        <v>527.70000000000005</v>
      </c>
      <c r="B85">
        <v>10974</v>
      </c>
      <c r="C85" s="1">
        <f t="shared" si="3"/>
        <v>10384.024036596616</v>
      </c>
      <c r="D85" s="3">
        <f t="shared" si="2"/>
        <v>348071.63739375048</v>
      </c>
      <c r="E85" s="3">
        <f>Ft!$B$12+Ft!$B$14*(Data!A85-Vars!$B$3)</f>
        <v>9790.5656565656573</v>
      </c>
      <c r="F85" s="3">
        <f>IF(($A85-Ft!B$2)&lt;0,Ft!B$3*((1-Ft!B$6)/(1+Ft!B$37*($A85-Ft!B$2)^2)+Ft!B$6*EXP(Ft!B$38*($A85-Ft!B$2)^2)),Ft!B$3*((1-Ft!B$7)/(1+Ft!B$39*($A85-Ft!B$2)^2)+Ft!B$7*EXP(Ft!B$40*($A85-Ft!B$2)^2)))</f>
        <v>567.85481945467234</v>
      </c>
      <c r="G85" s="3">
        <f>IF(($A85-Ft!C$2)&lt;0,Ft!C$3*((1-Ft!C$6)/(1+Ft!C$37*($A85-Ft!C$2)^2)+Ft!C$6*EXP(Ft!C$38*($A85-Ft!C$2)^2)),Ft!C$3*((1-Ft!C$7)/(1+Ft!C$39*($A85-Ft!C$2)^2)+Ft!C$7*EXP(Ft!C$40*($A85-Ft!C$2)^2)))</f>
        <v>25.603560576285723</v>
      </c>
      <c r="H85" s="3">
        <f>IF(($A85-Ft!D$2)&lt;0,Ft!D$3*((1-Ft!D$6)/(1+Ft!D$37*($A85-Ft!D$2)^2)+Ft!D$6*EXP(Ft!D$38*($A85-Ft!D$2)^2)),Ft!D$3*((1-Ft!D$7)/(1+Ft!D$39*($A85-Ft!D$2)^2)+Ft!D$7*EXP(Ft!D$40*($A85-Ft!D$2)^2)))</f>
        <v>0</v>
      </c>
      <c r="I85" s="3">
        <f>IF(($A85-Ft!E$2)&lt;0,Ft!E$3*((1-Ft!E$6)/(1+Ft!E$37*($A85-Ft!E$2)^2)+Ft!E$6*EXP(Ft!E$38*($A85-Ft!E$2)^2)),Ft!E$3*((1-Ft!E$7)/(1+Ft!E$39*($A85-Ft!E$2)^2)+Ft!E$7*EXP(Ft!E$40*($A85-Ft!E$2)^2)))</f>
        <v>0</v>
      </c>
      <c r="J85" s="3">
        <f>IF(($A85-Ft!F$2)&lt;0,Ft!F$3*((1-Ft!F$6)/(1+Ft!F$37*($A85-Ft!F$2)^2)+Ft!F$6*EXP(Ft!F$38*($A85-Ft!F$2)^2)),Ft!F$3*((1-Ft!F$7)/(1+Ft!F$39*($A85-Ft!F$2)^2)+Ft!F$7*EXP(Ft!F$40*($A85-Ft!F$2)^2)))</f>
        <v>0</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s="21">
        <v>527.6</v>
      </c>
      <c r="B86">
        <v>10829</v>
      </c>
      <c r="C86" s="1">
        <f t="shared" si="3"/>
        <v>10267.966709445709</v>
      </c>
      <c r="D86" s="3">
        <f t="shared" si="2"/>
        <v>314758.35311017546</v>
      </c>
      <c r="E86" s="3">
        <f>Ft!$B$12+Ft!$B$14*(Data!A86-Vars!$B$3)</f>
        <v>9785.0303030303039</v>
      </c>
      <c r="F86" s="3">
        <f>IF(($A86-Ft!B$2)&lt;0,Ft!B$3*((1-Ft!B$6)/(1+Ft!B$37*($A86-Ft!B$2)^2)+Ft!B$6*EXP(Ft!B$38*($A86-Ft!B$2)^2)),Ft!B$3*((1-Ft!B$7)/(1+Ft!B$39*($A86-Ft!B$2)^2)+Ft!B$7*EXP(Ft!B$40*($A86-Ft!B$2)^2)))</f>
        <v>460.03762438007243</v>
      </c>
      <c r="G86" s="3">
        <f>IF(($A86-Ft!C$2)&lt;0,Ft!C$3*((1-Ft!C$6)/(1+Ft!C$37*($A86-Ft!C$2)^2)+Ft!C$6*EXP(Ft!C$38*($A86-Ft!C$2)^2)),Ft!C$3*((1-Ft!C$7)/(1+Ft!C$39*($A86-Ft!C$2)^2)+Ft!C$7*EXP(Ft!C$40*($A86-Ft!C$2)^2)))</f>
        <v>22.898782035332911</v>
      </c>
      <c r="H86" s="3">
        <f>IF(($A86-Ft!D$2)&lt;0,Ft!D$3*((1-Ft!D$6)/(1+Ft!D$37*($A86-Ft!D$2)^2)+Ft!D$6*EXP(Ft!D$38*($A86-Ft!D$2)^2)),Ft!D$3*((1-Ft!D$7)/(1+Ft!D$39*($A86-Ft!D$2)^2)+Ft!D$7*EXP(Ft!D$40*($A86-Ft!D$2)^2)))</f>
        <v>0</v>
      </c>
      <c r="I86" s="3">
        <f>IF(($A86-Ft!E$2)&lt;0,Ft!E$3*((1-Ft!E$6)/(1+Ft!E$37*($A86-Ft!E$2)^2)+Ft!E$6*EXP(Ft!E$38*($A86-Ft!E$2)^2)),Ft!E$3*((1-Ft!E$7)/(1+Ft!E$39*($A86-Ft!E$2)^2)+Ft!E$7*EXP(Ft!E$40*($A86-Ft!E$2)^2)))</f>
        <v>0</v>
      </c>
      <c r="J86" s="3">
        <f>IF(($A86-Ft!F$2)&lt;0,Ft!F$3*((1-Ft!F$6)/(1+Ft!F$37*($A86-Ft!F$2)^2)+Ft!F$6*EXP(Ft!F$38*($A86-Ft!F$2)^2)),Ft!F$3*((1-Ft!F$7)/(1+Ft!F$39*($A86-Ft!F$2)^2)+Ft!F$7*EXP(Ft!F$40*($A86-Ft!F$2)^2)))</f>
        <v>0</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s="21">
        <v>527.5</v>
      </c>
      <c r="B87">
        <v>10570</v>
      </c>
      <c r="C87" s="1">
        <f t="shared" si="3"/>
        <v>10181.34305687809</v>
      </c>
      <c r="D87" s="3">
        <f t="shared" si="2"/>
        <v>151054.21943686792</v>
      </c>
      <c r="E87" s="3">
        <f>Ft!$B$12+Ft!$B$14*(Data!A87-Vars!$B$3)</f>
        <v>9779.4949494949487</v>
      </c>
      <c r="F87" s="3">
        <f>IF(($A87-Ft!B$2)&lt;0,Ft!B$3*((1-Ft!B$6)/(1+Ft!B$37*($A87-Ft!B$2)^2)+Ft!B$6*EXP(Ft!B$38*($A87-Ft!B$2)^2)),Ft!B$3*((1-Ft!B$7)/(1+Ft!B$39*($A87-Ft!B$2)^2)+Ft!B$7*EXP(Ft!B$40*($A87-Ft!B$2)^2)))</f>
        <v>381.17003912437042</v>
      </c>
      <c r="G87" s="3">
        <f>IF(($A87-Ft!C$2)&lt;0,Ft!C$3*((1-Ft!C$6)/(1+Ft!C$37*($A87-Ft!C$2)^2)+Ft!C$6*EXP(Ft!C$38*($A87-Ft!C$2)^2)),Ft!C$3*((1-Ft!C$7)/(1+Ft!C$39*($A87-Ft!C$2)^2)+Ft!C$7*EXP(Ft!C$40*($A87-Ft!C$2)^2)))</f>
        <v>20.678068258771287</v>
      </c>
      <c r="H87" s="3">
        <f>IF(($A87-Ft!D$2)&lt;0,Ft!D$3*((1-Ft!D$6)/(1+Ft!D$37*($A87-Ft!D$2)^2)+Ft!D$6*EXP(Ft!D$38*($A87-Ft!D$2)^2)),Ft!D$3*((1-Ft!D$7)/(1+Ft!D$39*($A87-Ft!D$2)^2)+Ft!D$7*EXP(Ft!D$40*($A87-Ft!D$2)^2)))</f>
        <v>0</v>
      </c>
      <c r="I87" s="3">
        <f>IF(($A87-Ft!E$2)&lt;0,Ft!E$3*((1-Ft!E$6)/(1+Ft!E$37*($A87-Ft!E$2)^2)+Ft!E$6*EXP(Ft!E$38*($A87-Ft!E$2)^2)),Ft!E$3*((1-Ft!E$7)/(1+Ft!E$39*($A87-Ft!E$2)^2)+Ft!E$7*EXP(Ft!E$40*($A87-Ft!E$2)^2)))</f>
        <v>0</v>
      </c>
      <c r="J87" s="3">
        <f>IF(($A87-Ft!F$2)&lt;0,Ft!F$3*((1-Ft!F$6)/(1+Ft!F$37*($A87-Ft!F$2)^2)+Ft!F$6*EXP(Ft!F$38*($A87-Ft!F$2)^2)),Ft!F$3*((1-Ft!F$7)/(1+Ft!F$39*($A87-Ft!F$2)^2)+Ft!F$7*EXP(Ft!F$40*($A87-Ft!F$2)^2)))</f>
        <v>0</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s="21">
        <v>527.4</v>
      </c>
      <c r="B88">
        <v>10482</v>
      </c>
      <c r="C88" s="1">
        <f t="shared" si="3"/>
        <v>10116.125502905545</v>
      </c>
      <c r="D88" s="3">
        <f t="shared" si="2"/>
        <v>133864.14762412064</v>
      </c>
      <c r="E88" s="3">
        <f>Ft!$B$12+Ft!$B$14*(Data!A88-Vars!$B$3)</f>
        <v>9773.9595959595936</v>
      </c>
      <c r="F88" s="3">
        <f>IF(($A88-Ft!B$2)&lt;0,Ft!B$3*((1-Ft!B$6)/(1+Ft!B$37*($A88-Ft!B$2)^2)+Ft!B$6*EXP(Ft!B$38*($A88-Ft!B$2)^2)),Ft!B$3*((1-Ft!B$7)/(1+Ft!B$39*($A88-Ft!B$2)^2)+Ft!B$7*EXP(Ft!B$40*($A88-Ft!B$2)^2)))</f>
        <v>323.31973611404828</v>
      </c>
      <c r="G88" s="3">
        <f>IF(($A88-Ft!C$2)&lt;0,Ft!C$3*((1-Ft!C$6)/(1+Ft!C$37*($A88-Ft!C$2)^2)+Ft!C$6*EXP(Ft!C$38*($A88-Ft!C$2)^2)),Ft!C$3*((1-Ft!C$7)/(1+Ft!C$39*($A88-Ft!C$2)^2)+Ft!C$7*EXP(Ft!C$40*($A88-Ft!C$2)^2)))</f>
        <v>18.846170831903478</v>
      </c>
      <c r="H88" s="3">
        <f>IF(($A88-Ft!D$2)&lt;0,Ft!D$3*((1-Ft!D$6)/(1+Ft!D$37*($A88-Ft!D$2)^2)+Ft!D$6*EXP(Ft!D$38*($A88-Ft!D$2)^2)),Ft!D$3*((1-Ft!D$7)/(1+Ft!D$39*($A88-Ft!D$2)^2)+Ft!D$7*EXP(Ft!D$40*($A88-Ft!D$2)^2)))</f>
        <v>0</v>
      </c>
      <c r="I88" s="3">
        <f>IF(($A88-Ft!E$2)&lt;0,Ft!E$3*((1-Ft!E$6)/(1+Ft!E$37*($A88-Ft!E$2)^2)+Ft!E$6*EXP(Ft!E$38*($A88-Ft!E$2)^2)),Ft!E$3*((1-Ft!E$7)/(1+Ft!E$39*($A88-Ft!E$2)^2)+Ft!E$7*EXP(Ft!E$40*($A88-Ft!E$2)^2)))</f>
        <v>0</v>
      </c>
      <c r="J88" s="3">
        <f>IF(($A88-Ft!F$2)&lt;0,Ft!F$3*((1-Ft!F$6)/(1+Ft!F$37*($A88-Ft!F$2)^2)+Ft!F$6*EXP(Ft!F$38*($A88-Ft!F$2)^2)),Ft!F$3*((1-Ft!F$7)/(1+Ft!F$39*($A88-Ft!F$2)^2)+Ft!F$7*EXP(Ft!F$40*($A88-Ft!F$2)^2)))</f>
        <v>0</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s="21">
        <v>527.29999999999995</v>
      </c>
      <c r="B89">
        <v>10297</v>
      </c>
      <c r="C89" s="1">
        <f t="shared" si="3"/>
        <v>10066.169277463048</v>
      </c>
      <c r="D89" s="3">
        <f t="shared" si="2"/>
        <v>53282.822466931197</v>
      </c>
      <c r="E89" s="3">
        <f>Ft!$B$12+Ft!$B$14*(Data!A89-Vars!$B$3)</f>
        <v>9768.4242424242384</v>
      </c>
      <c r="F89" s="3">
        <f>IF(($A89-Ft!B$2)&lt;0,Ft!B$3*((1-Ft!B$6)/(1+Ft!B$37*($A89-Ft!B$2)^2)+Ft!B$6*EXP(Ft!B$38*($A89-Ft!B$2)^2)),Ft!B$3*((1-Ft!B$7)/(1+Ft!B$39*($A89-Ft!B$2)^2)+Ft!B$7*EXP(Ft!B$40*($A89-Ft!B$2)^2)))</f>
        <v>280.42024249870724</v>
      </c>
      <c r="G89" s="3">
        <f>IF(($A89-Ft!C$2)&lt;0,Ft!C$3*((1-Ft!C$6)/(1+Ft!C$37*($A89-Ft!C$2)^2)+Ft!C$6*EXP(Ft!C$38*($A89-Ft!C$2)^2)),Ft!C$3*((1-Ft!C$7)/(1+Ft!C$39*($A89-Ft!C$2)^2)+Ft!C$7*EXP(Ft!C$40*($A89-Ft!C$2)^2)))</f>
        <v>17.324792540102251</v>
      </c>
      <c r="H89" s="3">
        <f>IF(($A89-Ft!D$2)&lt;0,Ft!D$3*((1-Ft!D$6)/(1+Ft!D$37*($A89-Ft!D$2)^2)+Ft!D$6*EXP(Ft!D$38*($A89-Ft!D$2)^2)),Ft!D$3*((1-Ft!D$7)/(1+Ft!D$39*($A89-Ft!D$2)^2)+Ft!D$7*EXP(Ft!D$40*($A89-Ft!D$2)^2)))</f>
        <v>0</v>
      </c>
      <c r="I89" s="3">
        <f>IF(($A89-Ft!E$2)&lt;0,Ft!E$3*((1-Ft!E$6)/(1+Ft!E$37*($A89-Ft!E$2)^2)+Ft!E$6*EXP(Ft!E$38*($A89-Ft!E$2)^2)),Ft!E$3*((1-Ft!E$7)/(1+Ft!E$39*($A89-Ft!E$2)^2)+Ft!E$7*EXP(Ft!E$40*($A89-Ft!E$2)^2)))</f>
        <v>0</v>
      </c>
      <c r="J89" s="3">
        <f>IF(($A89-Ft!F$2)&lt;0,Ft!F$3*((1-Ft!F$6)/(1+Ft!F$37*($A89-Ft!F$2)^2)+Ft!F$6*EXP(Ft!F$38*($A89-Ft!F$2)^2)),Ft!F$3*((1-Ft!F$7)/(1+Ft!F$39*($A89-Ft!F$2)^2)+Ft!F$7*EXP(Ft!F$40*($A89-Ft!F$2)^2)))</f>
        <v>0</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s="21">
        <v>527.20000000000005</v>
      </c>
      <c r="B90">
        <v>10244</v>
      </c>
      <c r="C90" s="1">
        <f t="shared" si="3"/>
        <v>10026.935740504743</v>
      </c>
      <c r="D90" s="3">
        <f t="shared" si="2"/>
        <v>47116.892750224237</v>
      </c>
      <c r="E90" s="3">
        <f>Ft!$B$12+Ft!$B$14*(Data!A90-Vars!$B$3)</f>
        <v>9762.8888888888905</v>
      </c>
      <c r="F90" s="3">
        <f>IF(($A90-Ft!B$2)&lt;0,Ft!B$3*((1-Ft!B$6)/(1+Ft!B$37*($A90-Ft!B$2)^2)+Ft!B$6*EXP(Ft!B$38*($A90-Ft!B$2)^2)),Ft!B$3*((1-Ft!B$7)/(1+Ft!B$39*($A90-Ft!B$2)^2)+Ft!B$7*EXP(Ft!B$40*($A90-Ft!B$2)^2)))</f>
        <v>247.99653118664835</v>
      </c>
      <c r="G90" s="3">
        <f>IF(($A90-Ft!C$2)&lt;0,Ft!C$3*((1-Ft!C$6)/(1+Ft!C$37*($A90-Ft!C$2)^2)+Ft!C$6*EXP(Ft!C$38*($A90-Ft!C$2)^2)),Ft!C$3*((1-Ft!C$7)/(1+Ft!C$39*($A90-Ft!C$2)^2)+Ft!C$7*EXP(Ft!C$40*($A90-Ft!C$2)^2)))</f>
        <v>16.050320429203929</v>
      </c>
      <c r="H90" s="3">
        <f>IF(($A90-Ft!D$2)&lt;0,Ft!D$3*((1-Ft!D$6)/(1+Ft!D$37*($A90-Ft!D$2)^2)+Ft!D$6*EXP(Ft!D$38*($A90-Ft!D$2)^2)),Ft!D$3*((1-Ft!D$7)/(1+Ft!D$39*($A90-Ft!D$2)^2)+Ft!D$7*EXP(Ft!D$40*($A90-Ft!D$2)^2)))</f>
        <v>0</v>
      </c>
      <c r="I90" s="3">
        <f>IF(($A90-Ft!E$2)&lt;0,Ft!E$3*((1-Ft!E$6)/(1+Ft!E$37*($A90-Ft!E$2)^2)+Ft!E$6*EXP(Ft!E$38*($A90-Ft!E$2)^2)),Ft!E$3*((1-Ft!E$7)/(1+Ft!E$39*($A90-Ft!E$2)^2)+Ft!E$7*EXP(Ft!E$40*($A90-Ft!E$2)^2)))</f>
        <v>0</v>
      </c>
      <c r="J90" s="3">
        <f>IF(($A90-Ft!F$2)&lt;0,Ft!F$3*((1-Ft!F$6)/(1+Ft!F$37*($A90-Ft!F$2)^2)+Ft!F$6*EXP(Ft!F$38*($A90-Ft!F$2)^2)),Ft!F$3*((1-Ft!F$7)/(1+Ft!F$39*($A90-Ft!F$2)^2)+Ft!F$7*EXP(Ft!F$40*($A90-Ft!F$2)^2)))</f>
        <v>0</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s="21">
        <v>527.1</v>
      </c>
      <c r="B91">
        <v>10157</v>
      </c>
      <c r="C91" s="1">
        <f t="shared" si="3"/>
        <v>9995.176854231926</v>
      </c>
      <c r="D91" s="3">
        <f t="shared" si="2"/>
        <v>26186.730506275337</v>
      </c>
      <c r="E91" s="3">
        <f>Ft!$B$12+Ft!$B$14*(Data!A91-Vars!$B$3)</f>
        <v>9757.3535353535353</v>
      </c>
      <c r="F91" s="3">
        <f>IF(($A91-Ft!B$2)&lt;0,Ft!B$3*((1-Ft!B$6)/(1+Ft!B$37*($A91-Ft!B$2)^2)+Ft!B$6*EXP(Ft!B$38*($A91-Ft!B$2)^2)),Ft!B$3*((1-Ft!B$7)/(1+Ft!B$39*($A91-Ft!B$2)^2)+Ft!B$7*EXP(Ft!B$40*($A91-Ft!B$2)^2)))</f>
        <v>222.85168557701039</v>
      </c>
      <c r="G91" s="3">
        <f>IF(($A91-Ft!C$2)&lt;0,Ft!C$3*((1-Ft!C$6)/(1+Ft!C$37*($A91-Ft!C$2)^2)+Ft!C$6*EXP(Ft!C$38*($A91-Ft!C$2)^2)),Ft!C$3*((1-Ft!C$7)/(1+Ft!C$39*($A91-Ft!C$2)^2)+Ft!C$7*EXP(Ft!C$40*($A91-Ft!C$2)^2)))</f>
        <v>14.971633301380427</v>
      </c>
      <c r="H91" s="3">
        <f>IF(($A91-Ft!D$2)&lt;0,Ft!D$3*((1-Ft!D$6)/(1+Ft!D$37*($A91-Ft!D$2)^2)+Ft!D$6*EXP(Ft!D$38*($A91-Ft!D$2)^2)),Ft!D$3*((1-Ft!D$7)/(1+Ft!D$39*($A91-Ft!D$2)^2)+Ft!D$7*EXP(Ft!D$40*($A91-Ft!D$2)^2)))</f>
        <v>0</v>
      </c>
      <c r="I91" s="3">
        <f>IF(($A91-Ft!E$2)&lt;0,Ft!E$3*((1-Ft!E$6)/(1+Ft!E$37*($A91-Ft!E$2)^2)+Ft!E$6*EXP(Ft!E$38*($A91-Ft!E$2)^2)),Ft!E$3*((1-Ft!E$7)/(1+Ft!E$39*($A91-Ft!E$2)^2)+Ft!E$7*EXP(Ft!E$40*($A91-Ft!E$2)^2)))</f>
        <v>0</v>
      </c>
      <c r="J91" s="3">
        <f>IF(($A91-Ft!F$2)&lt;0,Ft!F$3*((1-Ft!F$6)/(1+Ft!F$37*($A91-Ft!F$2)^2)+Ft!F$6*EXP(Ft!F$38*($A91-Ft!F$2)^2)),Ft!F$3*((1-Ft!F$7)/(1+Ft!F$39*($A91-Ft!F$2)^2)+Ft!F$7*EXP(Ft!F$40*($A91-Ft!F$2)^2)))</f>
        <v>0</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s="21">
        <v>527</v>
      </c>
      <c r="B92">
        <v>10041</v>
      </c>
      <c r="C92" s="1">
        <f t="shared" si="3"/>
        <v>9968.6309018285156</v>
      </c>
      <c r="D92" s="3">
        <f t="shared" si="2"/>
        <v>5237.2863701539527</v>
      </c>
      <c r="E92" s="3">
        <f>Ft!$B$12+Ft!$B$14*(Data!A92-Vars!$B$3)</f>
        <v>9751.8181818181802</v>
      </c>
      <c r="F92" s="3">
        <f>IF(($A92-Ft!B$2)&lt;0,Ft!B$3*((1-Ft!B$6)/(1+Ft!B$37*($A92-Ft!B$2)^2)+Ft!B$6*EXP(Ft!B$38*($A92-Ft!B$2)^2)),Ft!B$3*((1-Ft!B$7)/(1+Ft!B$39*($A92-Ft!B$2)^2)+Ft!B$7*EXP(Ft!B$40*($A92-Ft!B$2)^2)))</f>
        <v>202.7646595155289</v>
      </c>
      <c r="G92" s="3">
        <f>IF(($A92-Ft!C$2)&lt;0,Ft!C$3*((1-Ft!C$6)/(1+Ft!C$37*($A92-Ft!C$2)^2)+Ft!C$6*EXP(Ft!C$38*($A92-Ft!C$2)^2)),Ft!C$3*((1-Ft!C$7)/(1+Ft!C$39*($A92-Ft!C$2)^2)+Ft!C$7*EXP(Ft!C$40*($A92-Ft!C$2)^2)))</f>
        <v>14.04806049480591</v>
      </c>
      <c r="H92" s="3">
        <f>IF(($A92-Ft!D$2)&lt;0,Ft!D$3*((1-Ft!D$6)/(1+Ft!D$37*($A92-Ft!D$2)^2)+Ft!D$6*EXP(Ft!D$38*($A92-Ft!D$2)^2)),Ft!D$3*((1-Ft!D$7)/(1+Ft!D$39*($A92-Ft!D$2)^2)+Ft!D$7*EXP(Ft!D$40*($A92-Ft!D$2)^2)))</f>
        <v>0</v>
      </c>
      <c r="I92" s="3">
        <f>IF(($A92-Ft!E$2)&lt;0,Ft!E$3*((1-Ft!E$6)/(1+Ft!E$37*($A92-Ft!E$2)^2)+Ft!E$6*EXP(Ft!E$38*($A92-Ft!E$2)^2)),Ft!E$3*((1-Ft!E$7)/(1+Ft!E$39*($A92-Ft!E$2)^2)+Ft!E$7*EXP(Ft!E$40*($A92-Ft!E$2)^2)))</f>
        <v>0</v>
      </c>
      <c r="J92" s="3">
        <f>IF(($A92-Ft!F$2)&lt;0,Ft!F$3*((1-Ft!F$6)/(1+Ft!F$37*($A92-Ft!F$2)^2)+Ft!F$6*EXP(Ft!F$38*($A92-Ft!F$2)^2)),Ft!F$3*((1-Ft!F$7)/(1+Ft!F$39*($A92-Ft!F$2)^2)+Ft!F$7*EXP(Ft!F$40*($A92-Ft!F$2)^2)))</f>
        <v>0</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s="21">
        <v>526.9</v>
      </c>
      <c r="B93">
        <v>10042</v>
      </c>
      <c r="C93" s="1">
        <f t="shared" si="3"/>
        <v>9945.7579044455415</v>
      </c>
      <c r="D93" s="3">
        <f t="shared" si="2"/>
        <v>9262.5409567135212</v>
      </c>
      <c r="E93" s="3">
        <f>Ft!$B$12+Ft!$B$14*(Data!A93-Vars!$B$3)</f>
        <v>9746.282828282825</v>
      </c>
      <c r="F93" s="3">
        <f>IF(($A93-Ft!B$2)&lt;0,Ft!B$3*((1-Ft!B$6)/(1+Ft!B$37*($A93-Ft!B$2)^2)+Ft!B$6*EXP(Ft!B$38*($A93-Ft!B$2)^2)),Ft!B$3*((1-Ft!B$7)/(1+Ft!B$39*($A93-Ft!B$2)^2)+Ft!B$7*EXP(Ft!B$40*($A93-Ft!B$2)^2)))</f>
        <v>186.22753650349131</v>
      </c>
      <c r="G93" s="3">
        <f>IF(($A93-Ft!C$2)&lt;0,Ft!C$3*((1-Ft!C$6)/(1+Ft!C$37*($A93-Ft!C$2)^2)+Ft!C$6*EXP(Ft!C$38*($A93-Ft!C$2)^2)),Ft!C$3*((1-Ft!C$7)/(1+Ft!C$39*($A93-Ft!C$2)^2)+Ft!C$7*EXP(Ft!C$40*($A93-Ft!C$2)^2)))</f>
        <v>13.247539659225891</v>
      </c>
      <c r="H93" s="3">
        <f>IF(($A93-Ft!D$2)&lt;0,Ft!D$3*((1-Ft!D$6)/(1+Ft!D$37*($A93-Ft!D$2)^2)+Ft!D$6*EXP(Ft!D$38*($A93-Ft!D$2)^2)),Ft!D$3*((1-Ft!D$7)/(1+Ft!D$39*($A93-Ft!D$2)^2)+Ft!D$7*EXP(Ft!D$40*($A93-Ft!D$2)^2)))</f>
        <v>0</v>
      </c>
      <c r="I93" s="3">
        <f>IF(($A93-Ft!E$2)&lt;0,Ft!E$3*((1-Ft!E$6)/(1+Ft!E$37*($A93-Ft!E$2)^2)+Ft!E$6*EXP(Ft!E$38*($A93-Ft!E$2)^2)),Ft!E$3*((1-Ft!E$7)/(1+Ft!E$39*($A93-Ft!E$2)^2)+Ft!E$7*EXP(Ft!E$40*($A93-Ft!E$2)^2)))</f>
        <v>0</v>
      </c>
      <c r="J93" s="3">
        <f>IF(($A93-Ft!F$2)&lt;0,Ft!F$3*((1-Ft!F$6)/(1+Ft!F$37*($A93-Ft!F$2)^2)+Ft!F$6*EXP(Ft!F$38*($A93-Ft!F$2)^2)),Ft!F$3*((1-Ft!F$7)/(1+Ft!F$39*($A93-Ft!F$2)^2)+Ft!F$7*EXP(Ft!F$40*($A93-Ft!F$2)^2)))</f>
        <v>0</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s="21">
        <v>526.79999999999995</v>
      </c>
      <c r="B94">
        <v>10062</v>
      </c>
      <c r="C94" s="1">
        <f t="shared" si="3"/>
        <v>9925.5262620684171</v>
      </c>
      <c r="D94" s="3">
        <f t="shared" si="2"/>
        <v>18625.081145018383</v>
      </c>
      <c r="E94" s="3">
        <f>Ft!$B$12+Ft!$B$14*(Data!A94-Vars!$B$3)</f>
        <v>9740.7474747474716</v>
      </c>
      <c r="F94" s="3">
        <f>IF(($A94-Ft!B$2)&lt;0,Ft!B$3*((1-Ft!B$6)/(1+Ft!B$37*($A94-Ft!B$2)^2)+Ft!B$6*EXP(Ft!B$38*($A94-Ft!B$2)^2)),Ft!B$3*((1-Ft!B$7)/(1+Ft!B$39*($A94-Ft!B$2)^2)+Ft!B$7*EXP(Ft!B$40*($A94-Ft!B$2)^2)))</f>
        <v>172.233789883752</v>
      </c>
      <c r="G94" s="3">
        <f>IF(($A94-Ft!C$2)&lt;0,Ft!C$3*((1-Ft!C$6)/(1+Ft!C$37*($A94-Ft!C$2)^2)+Ft!C$6*EXP(Ft!C$38*($A94-Ft!C$2)^2)),Ft!C$3*((1-Ft!C$7)/(1+Ft!C$39*($A94-Ft!C$2)^2)+Ft!C$7*EXP(Ft!C$40*($A94-Ft!C$2)^2)))</f>
        <v>12.544997437193505</v>
      </c>
      <c r="H94" s="3">
        <f>IF(($A94-Ft!D$2)&lt;0,Ft!D$3*((1-Ft!D$6)/(1+Ft!D$37*($A94-Ft!D$2)^2)+Ft!D$6*EXP(Ft!D$38*($A94-Ft!D$2)^2)),Ft!D$3*((1-Ft!D$7)/(1+Ft!D$39*($A94-Ft!D$2)^2)+Ft!D$7*EXP(Ft!D$40*($A94-Ft!D$2)^2)))</f>
        <v>0</v>
      </c>
      <c r="I94" s="3">
        <f>IF(($A94-Ft!E$2)&lt;0,Ft!E$3*((1-Ft!E$6)/(1+Ft!E$37*($A94-Ft!E$2)^2)+Ft!E$6*EXP(Ft!E$38*($A94-Ft!E$2)^2)),Ft!E$3*((1-Ft!E$7)/(1+Ft!E$39*($A94-Ft!E$2)^2)+Ft!E$7*EXP(Ft!E$40*($A94-Ft!E$2)^2)))</f>
        <v>0</v>
      </c>
      <c r="J94" s="3">
        <f>IF(($A94-Ft!F$2)&lt;0,Ft!F$3*((1-Ft!F$6)/(1+Ft!F$37*($A94-Ft!F$2)^2)+Ft!F$6*EXP(Ft!F$38*($A94-Ft!F$2)^2)),Ft!F$3*((1-Ft!F$7)/(1+Ft!F$39*($A94-Ft!F$2)^2)+Ft!F$7*EXP(Ft!F$40*($A94-Ft!F$2)^2)))</f>
        <v>0</v>
      </c>
      <c r="K94" s="3">
        <f>IF(($A94-Ft!G$2)&lt;0,Ft!G$3*((1-Ft!G$6)/(1+Ft!G$37*($A94-Ft!G$2)^2)+Ft!G$6*EXP(Ft!G$38*($A94-Ft!G$2)^2)),Ft!G$3*((1-Ft!G$7)/(1+Ft!G$39*($A94-Ft!G$2)^2)+Ft!G$7*EXP(Ft!G$40*($A94-Ft!G$2)^2)))</f>
        <v>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s="21">
        <v>526.70000000000005</v>
      </c>
      <c r="B95">
        <v>9892</v>
      </c>
      <c r="C95" s="1">
        <f t="shared" si="3"/>
        <v>9907.2507401784642</v>
      </c>
      <c r="D95" s="3">
        <f t="shared" si="2"/>
        <v>232.58507599102177</v>
      </c>
      <c r="E95" s="3">
        <f>Ft!$B$12+Ft!$B$14*(Data!A95-Vars!$B$3)</f>
        <v>9735.2121212121219</v>
      </c>
      <c r="F95" s="3">
        <f>IF(($A95-Ft!B$2)&lt;0,Ft!B$3*((1-Ft!B$6)/(1+Ft!B$37*($A95-Ft!B$2)^2)+Ft!B$6*EXP(Ft!B$38*($A95-Ft!B$2)^2)),Ft!B$3*((1-Ft!B$7)/(1+Ft!B$39*($A95-Ft!B$2)^2)+Ft!B$7*EXP(Ft!B$40*($A95-Ft!B$2)^2)))</f>
        <v>160.11766039848266</v>
      </c>
      <c r="G95" s="3">
        <f>IF(($A95-Ft!C$2)&lt;0,Ft!C$3*((1-Ft!C$6)/(1+Ft!C$37*($A95-Ft!C$2)^2)+Ft!C$6*EXP(Ft!C$38*($A95-Ft!C$2)^2)),Ft!C$3*((1-Ft!C$7)/(1+Ft!C$39*($A95-Ft!C$2)^2)+Ft!C$7*EXP(Ft!C$40*($A95-Ft!C$2)^2)))</f>
        <v>11.920958567859346</v>
      </c>
      <c r="H95" s="3">
        <f>IF(($A95-Ft!D$2)&lt;0,Ft!D$3*((1-Ft!D$6)/(1+Ft!D$37*($A95-Ft!D$2)^2)+Ft!D$6*EXP(Ft!D$38*($A95-Ft!D$2)^2)),Ft!D$3*((1-Ft!D$7)/(1+Ft!D$39*($A95-Ft!D$2)^2)+Ft!D$7*EXP(Ft!D$40*($A95-Ft!D$2)^2)))</f>
        <v>0</v>
      </c>
      <c r="I95" s="3">
        <f>IF(($A95-Ft!E$2)&lt;0,Ft!E$3*((1-Ft!E$6)/(1+Ft!E$37*($A95-Ft!E$2)^2)+Ft!E$6*EXP(Ft!E$38*($A95-Ft!E$2)^2)),Ft!E$3*((1-Ft!E$7)/(1+Ft!E$39*($A95-Ft!E$2)^2)+Ft!E$7*EXP(Ft!E$40*($A95-Ft!E$2)^2)))</f>
        <v>0</v>
      </c>
      <c r="J95" s="3">
        <f>IF(($A95-Ft!F$2)&lt;0,Ft!F$3*((1-Ft!F$6)/(1+Ft!F$37*($A95-Ft!F$2)^2)+Ft!F$6*EXP(Ft!F$38*($A95-Ft!F$2)^2)),Ft!F$3*((1-Ft!F$7)/(1+Ft!F$39*($A95-Ft!F$2)^2)+Ft!F$7*EXP(Ft!F$40*($A95-Ft!F$2)^2)))</f>
        <v>0</v>
      </c>
      <c r="K95" s="3">
        <f>IF(($A95-Ft!G$2)&lt;0,Ft!G$3*((1-Ft!G$6)/(1+Ft!G$37*($A95-Ft!G$2)^2)+Ft!G$6*EXP(Ft!G$38*($A95-Ft!G$2)^2)),Ft!G$3*((1-Ft!G$7)/(1+Ft!G$39*($A95-Ft!G$2)^2)+Ft!G$7*EXP(Ft!G$40*($A95-Ft!G$2)^2)))</f>
        <v>0</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s="21">
        <v>526.6</v>
      </c>
      <c r="B96">
        <v>9971</v>
      </c>
      <c r="C96" s="1">
        <f t="shared" si="3"/>
        <v>9890.4755063431276</v>
      </c>
      <c r="D96" s="3">
        <f t="shared" si="2"/>
        <v>6484.1940786956893</v>
      </c>
      <c r="E96" s="3">
        <f>Ft!$B$12+Ft!$B$14*(Data!A96-Vars!$B$3)</f>
        <v>9729.6767676767686</v>
      </c>
      <c r="F96" s="3">
        <f>IF(($A96-Ft!B$2)&lt;0,Ft!B$3*((1-Ft!B$6)/(1+Ft!B$37*($A96-Ft!B$2)^2)+Ft!B$6*EXP(Ft!B$38*($A96-Ft!B$2)^2)),Ft!B$3*((1-Ft!B$7)/(1+Ft!B$39*($A96-Ft!B$2)^2)+Ft!B$7*EXP(Ft!B$40*($A96-Ft!B$2)^2)))</f>
        <v>149.43836306554886</v>
      </c>
      <c r="G96" s="3">
        <f>IF(($A96-Ft!C$2)&lt;0,Ft!C$3*((1-Ft!C$6)/(1+Ft!C$37*($A96-Ft!C$2)^2)+Ft!C$6*EXP(Ft!C$38*($A96-Ft!C$2)^2)),Ft!C$3*((1-Ft!C$7)/(1+Ft!C$39*($A96-Ft!C$2)^2)+Ft!C$7*EXP(Ft!C$40*($A96-Ft!C$2)^2)))</f>
        <v>11.360375600811087</v>
      </c>
      <c r="H96" s="3">
        <f>IF(($A96-Ft!D$2)&lt;0,Ft!D$3*((1-Ft!D$6)/(1+Ft!D$37*($A96-Ft!D$2)^2)+Ft!D$6*EXP(Ft!D$38*($A96-Ft!D$2)^2)),Ft!D$3*((1-Ft!D$7)/(1+Ft!D$39*($A96-Ft!D$2)^2)+Ft!D$7*EXP(Ft!D$40*($A96-Ft!D$2)^2)))</f>
        <v>0</v>
      </c>
      <c r="I96" s="3">
        <f>IF(($A96-Ft!E$2)&lt;0,Ft!E$3*((1-Ft!E$6)/(1+Ft!E$37*($A96-Ft!E$2)^2)+Ft!E$6*EXP(Ft!E$38*($A96-Ft!E$2)^2)),Ft!E$3*((1-Ft!E$7)/(1+Ft!E$39*($A96-Ft!E$2)^2)+Ft!E$7*EXP(Ft!E$40*($A96-Ft!E$2)^2)))</f>
        <v>0</v>
      </c>
      <c r="J96" s="3">
        <f>IF(($A96-Ft!F$2)&lt;0,Ft!F$3*((1-Ft!F$6)/(1+Ft!F$37*($A96-Ft!F$2)^2)+Ft!F$6*EXP(Ft!F$38*($A96-Ft!F$2)^2)),Ft!F$3*((1-Ft!F$7)/(1+Ft!F$39*($A96-Ft!F$2)^2)+Ft!F$7*EXP(Ft!F$40*($A96-Ft!F$2)^2)))</f>
        <v>0</v>
      </c>
      <c r="K96" s="3">
        <f>IF(($A96-Ft!G$2)&lt;0,Ft!G$3*((1-Ft!G$6)/(1+Ft!G$37*($A96-Ft!G$2)^2)+Ft!G$6*EXP(Ft!G$38*($A96-Ft!G$2)^2)),Ft!G$3*((1-Ft!G$7)/(1+Ft!G$39*($A96-Ft!G$2)^2)+Ft!G$7*EXP(Ft!G$40*($A96-Ft!G$2)^2)))</f>
        <v>0</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s="21">
        <v>526.5</v>
      </c>
      <c r="B97">
        <v>9975</v>
      </c>
      <c r="C97" s="1">
        <f t="shared" si="3"/>
        <v>9874.8932962210438</v>
      </c>
      <c r="D97" s="3">
        <f t="shared" si="2"/>
        <v>10021.352141487687</v>
      </c>
      <c r="E97" s="3">
        <f>Ft!$B$12+Ft!$B$14*(Data!A97-Vars!$B$3)</f>
        <v>9724.1414141414134</v>
      </c>
      <c r="F97" s="3">
        <f>IF(($A97-Ft!B$2)&lt;0,Ft!B$3*((1-Ft!B$6)/(1+Ft!B$37*($A97-Ft!B$2)^2)+Ft!B$6*EXP(Ft!B$38*($A97-Ft!B$2)^2)),Ft!B$3*((1-Ft!B$7)/(1+Ft!B$39*($A97-Ft!B$2)^2)+Ft!B$7*EXP(Ft!B$40*($A97-Ft!B$2)^2)))</f>
        <v>139.90021955581372</v>
      </c>
      <c r="G97" s="3">
        <f>IF(($A97-Ft!C$2)&lt;0,Ft!C$3*((1-Ft!C$6)/(1+Ft!C$37*($A97-Ft!C$2)^2)+Ft!C$6*EXP(Ft!C$38*($A97-Ft!C$2)^2)),Ft!C$3*((1-Ft!C$7)/(1+Ft!C$39*($A97-Ft!C$2)^2)+Ft!C$7*EXP(Ft!C$40*($A97-Ft!C$2)^2)))</f>
        <v>10.851662523816234</v>
      </c>
      <c r="H97" s="3">
        <f>IF(($A97-Ft!D$2)&lt;0,Ft!D$3*((1-Ft!D$6)/(1+Ft!D$37*($A97-Ft!D$2)^2)+Ft!D$6*EXP(Ft!D$38*($A97-Ft!D$2)^2)),Ft!D$3*((1-Ft!D$7)/(1+Ft!D$39*($A97-Ft!D$2)^2)+Ft!D$7*EXP(Ft!D$40*($A97-Ft!D$2)^2)))</f>
        <v>0</v>
      </c>
      <c r="I97" s="3">
        <f>IF(($A97-Ft!E$2)&lt;0,Ft!E$3*((1-Ft!E$6)/(1+Ft!E$37*($A97-Ft!E$2)^2)+Ft!E$6*EXP(Ft!E$38*($A97-Ft!E$2)^2)),Ft!E$3*((1-Ft!E$7)/(1+Ft!E$39*($A97-Ft!E$2)^2)+Ft!E$7*EXP(Ft!E$40*($A97-Ft!E$2)^2)))</f>
        <v>0</v>
      </c>
      <c r="J97" s="3">
        <f>IF(($A97-Ft!F$2)&lt;0,Ft!F$3*((1-Ft!F$6)/(1+Ft!F$37*($A97-Ft!F$2)^2)+Ft!F$6*EXP(Ft!F$38*($A97-Ft!F$2)^2)),Ft!F$3*((1-Ft!F$7)/(1+Ft!F$39*($A97-Ft!F$2)^2)+Ft!F$7*EXP(Ft!F$40*($A97-Ft!F$2)^2)))</f>
        <v>0</v>
      </c>
      <c r="K97" s="3">
        <f>IF(($A97-Ft!G$2)&lt;0,Ft!G$3*((1-Ft!G$6)/(1+Ft!G$37*($A97-Ft!G$2)^2)+Ft!G$6*EXP(Ft!G$38*($A97-Ft!G$2)^2)),Ft!G$3*((1-Ft!G$7)/(1+Ft!G$39*($A97-Ft!G$2)^2)+Ft!G$7*EXP(Ft!G$40*($A97-Ft!G$2)^2)))</f>
        <v>0</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s="21">
        <v>526.4</v>
      </c>
      <c r="B98">
        <v>9900</v>
      </c>
      <c r="C98" s="1">
        <f t="shared" si="3"/>
        <v>9860.2916323555692</v>
      </c>
      <c r="D98" s="3">
        <f t="shared" si="2"/>
        <v>1576.7544609852816</v>
      </c>
      <c r="E98" s="3">
        <f>Ft!$B$12+Ft!$B$14*(Data!A98-Vars!$B$3)</f>
        <v>9718.6060606060582</v>
      </c>
      <c r="F98" s="3">
        <f>IF(($A98-Ft!B$2)&lt;0,Ft!B$3*((1-Ft!B$6)/(1+Ft!B$37*($A98-Ft!B$2)^2)+Ft!B$6*EXP(Ft!B$38*($A98-Ft!B$2)^2)),Ft!B$3*((1-Ft!B$7)/(1+Ft!B$39*($A98-Ft!B$2)^2)+Ft!B$7*EXP(Ft!B$40*($A98-Ft!B$2)^2)))</f>
        <v>131.29966133813917</v>
      </c>
      <c r="G98" s="3">
        <f>IF(($A98-Ft!C$2)&lt;0,Ft!C$3*((1-Ft!C$6)/(1+Ft!C$37*($A98-Ft!C$2)^2)+Ft!C$6*EXP(Ft!C$38*($A98-Ft!C$2)^2)),Ft!C$3*((1-Ft!C$7)/(1+Ft!C$39*($A98-Ft!C$2)^2)+Ft!C$7*EXP(Ft!C$40*($A98-Ft!C$2)^2)))</f>
        <v>10.385910411372782</v>
      </c>
      <c r="H98" s="3">
        <f>IF(($A98-Ft!D$2)&lt;0,Ft!D$3*((1-Ft!D$6)/(1+Ft!D$37*($A98-Ft!D$2)^2)+Ft!D$6*EXP(Ft!D$38*($A98-Ft!D$2)^2)),Ft!D$3*((1-Ft!D$7)/(1+Ft!D$39*($A98-Ft!D$2)^2)+Ft!D$7*EXP(Ft!D$40*($A98-Ft!D$2)^2)))</f>
        <v>0</v>
      </c>
      <c r="I98" s="3">
        <f>IF(($A98-Ft!E$2)&lt;0,Ft!E$3*((1-Ft!E$6)/(1+Ft!E$37*($A98-Ft!E$2)^2)+Ft!E$6*EXP(Ft!E$38*($A98-Ft!E$2)^2)),Ft!E$3*((1-Ft!E$7)/(1+Ft!E$39*($A98-Ft!E$2)^2)+Ft!E$7*EXP(Ft!E$40*($A98-Ft!E$2)^2)))</f>
        <v>0</v>
      </c>
      <c r="J98" s="3">
        <f>IF(($A98-Ft!F$2)&lt;0,Ft!F$3*((1-Ft!F$6)/(1+Ft!F$37*($A98-Ft!F$2)^2)+Ft!F$6*EXP(Ft!F$38*($A98-Ft!F$2)^2)),Ft!F$3*((1-Ft!F$7)/(1+Ft!F$39*($A98-Ft!F$2)^2)+Ft!F$7*EXP(Ft!F$40*($A98-Ft!F$2)^2)))</f>
        <v>0</v>
      </c>
      <c r="K98" s="3">
        <f>IF(($A98-Ft!G$2)&lt;0,Ft!G$3*((1-Ft!G$6)/(1+Ft!G$37*($A98-Ft!G$2)^2)+Ft!G$6*EXP(Ft!G$38*($A98-Ft!G$2)^2)),Ft!G$3*((1-Ft!G$7)/(1+Ft!G$39*($A98-Ft!G$2)^2)+Ft!G$7*EXP(Ft!G$40*($A98-Ft!G$2)^2)))</f>
        <v>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s="21">
        <v>526.29999999999995</v>
      </c>
      <c r="B99">
        <v>9851</v>
      </c>
      <c r="C99" s="1">
        <f t="shared" si="3"/>
        <v>9846.518191277386</v>
      </c>
      <c r="D99" s="3">
        <f t="shared" si="2"/>
        <v>20.086609426098981</v>
      </c>
      <c r="E99" s="3">
        <f>Ft!$B$12+Ft!$B$14*(Data!A99-Vars!$B$3)</f>
        <v>9713.0707070707031</v>
      </c>
      <c r="F99" s="3">
        <f>IF(($A99-Ft!B$2)&lt;0,Ft!B$3*((1-Ft!B$6)/(1+Ft!B$37*($A99-Ft!B$2)^2)+Ft!B$6*EXP(Ft!B$38*($A99-Ft!B$2)^2)),Ft!B$3*((1-Ft!B$7)/(1+Ft!B$39*($A99-Ft!B$2)^2)+Ft!B$7*EXP(Ft!B$40*($A99-Ft!B$2)^2)))</f>
        <v>123.49122331238996</v>
      </c>
      <c r="G99" s="3">
        <f>IF(($A99-Ft!C$2)&lt;0,Ft!C$3*((1-Ft!C$6)/(1+Ft!C$37*($A99-Ft!C$2)^2)+Ft!C$6*EXP(Ft!C$38*($A99-Ft!C$2)^2)),Ft!C$3*((1-Ft!C$7)/(1+Ft!C$39*($A99-Ft!C$2)^2)+Ft!C$7*EXP(Ft!C$40*($A99-Ft!C$2)^2)))</f>
        <v>9.9562608942928801</v>
      </c>
      <c r="H99" s="3">
        <f>IF(($A99-Ft!D$2)&lt;0,Ft!D$3*((1-Ft!D$6)/(1+Ft!D$37*($A99-Ft!D$2)^2)+Ft!D$6*EXP(Ft!D$38*($A99-Ft!D$2)^2)),Ft!D$3*((1-Ft!D$7)/(1+Ft!D$39*($A99-Ft!D$2)^2)+Ft!D$7*EXP(Ft!D$40*($A99-Ft!D$2)^2)))</f>
        <v>0</v>
      </c>
      <c r="I99" s="3">
        <f>IF(($A99-Ft!E$2)&lt;0,Ft!E$3*((1-Ft!E$6)/(1+Ft!E$37*($A99-Ft!E$2)^2)+Ft!E$6*EXP(Ft!E$38*($A99-Ft!E$2)^2)),Ft!E$3*((1-Ft!E$7)/(1+Ft!E$39*($A99-Ft!E$2)^2)+Ft!E$7*EXP(Ft!E$40*($A99-Ft!E$2)^2)))</f>
        <v>0</v>
      </c>
      <c r="J99" s="3">
        <f>IF(($A99-Ft!F$2)&lt;0,Ft!F$3*((1-Ft!F$6)/(1+Ft!F$37*($A99-Ft!F$2)^2)+Ft!F$6*EXP(Ft!F$38*($A99-Ft!F$2)^2)),Ft!F$3*((1-Ft!F$7)/(1+Ft!F$39*($A99-Ft!F$2)^2)+Ft!F$7*EXP(Ft!F$40*($A99-Ft!F$2)^2)))</f>
        <v>0</v>
      </c>
      <c r="K99" s="3">
        <f>IF(($A99-Ft!G$2)&lt;0,Ft!G$3*((1-Ft!G$6)/(1+Ft!G$37*($A99-Ft!G$2)^2)+Ft!G$6*EXP(Ft!G$38*($A99-Ft!G$2)^2)),Ft!G$3*((1-Ft!G$7)/(1+Ft!G$39*($A99-Ft!G$2)^2)+Ft!G$7*EXP(Ft!G$40*($A99-Ft!G$2)^2)))</f>
        <v>0</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s="21">
        <v>526.20000000000005</v>
      </c>
      <c r="B100">
        <v>9773</v>
      </c>
      <c r="C100" s="1">
        <f t="shared" si="3"/>
        <v>9833.4590898018032</v>
      </c>
      <c r="D100" s="3">
        <f t="shared" si="2"/>
        <v>3655.3015396625042</v>
      </c>
      <c r="E100" s="3">
        <f>Ft!$B$12+Ft!$B$14*(Data!A100-Vars!$B$3)</f>
        <v>9707.5353535353552</v>
      </c>
      <c r="F100" s="3">
        <f>IF(($A100-Ft!B$2)&lt;0,Ft!B$3*((1-Ft!B$6)/(1+Ft!B$37*($A100-Ft!B$2)^2)+Ft!B$6*EXP(Ft!B$38*($A100-Ft!B$2)^2)),Ft!B$3*((1-Ft!B$7)/(1+Ft!B$39*($A100-Ft!B$2)^2)+Ft!B$7*EXP(Ft!B$40*($A100-Ft!B$2)^2)))</f>
        <v>116.36632319100568</v>
      </c>
      <c r="G100" s="3">
        <f>IF(($A100-Ft!C$2)&lt;0,Ft!C$3*((1-Ft!C$6)/(1+Ft!C$37*($A100-Ft!C$2)^2)+Ft!C$6*EXP(Ft!C$38*($A100-Ft!C$2)^2)),Ft!C$3*((1-Ft!C$7)/(1+Ft!C$39*($A100-Ft!C$2)^2)+Ft!C$7*EXP(Ft!C$40*($A100-Ft!C$2)^2)))</f>
        <v>9.5574130754422963</v>
      </c>
      <c r="H100" s="3">
        <f>IF(($A100-Ft!D$2)&lt;0,Ft!D$3*((1-Ft!D$6)/(1+Ft!D$37*($A100-Ft!D$2)^2)+Ft!D$6*EXP(Ft!D$38*($A100-Ft!D$2)^2)),Ft!D$3*((1-Ft!D$7)/(1+Ft!D$39*($A100-Ft!D$2)^2)+Ft!D$7*EXP(Ft!D$40*($A100-Ft!D$2)^2)))</f>
        <v>0</v>
      </c>
      <c r="I100" s="3">
        <f>IF(($A100-Ft!E$2)&lt;0,Ft!E$3*((1-Ft!E$6)/(1+Ft!E$37*($A100-Ft!E$2)^2)+Ft!E$6*EXP(Ft!E$38*($A100-Ft!E$2)^2)),Ft!E$3*((1-Ft!E$7)/(1+Ft!E$39*($A100-Ft!E$2)^2)+Ft!E$7*EXP(Ft!E$40*($A100-Ft!E$2)^2)))</f>
        <v>0</v>
      </c>
      <c r="J100" s="3">
        <f>IF(($A100-Ft!F$2)&lt;0,Ft!F$3*((1-Ft!F$6)/(1+Ft!F$37*($A100-Ft!F$2)^2)+Ft!F$6*EXP(Ft!F$38*($A100-Ft!F$2)^2)),Ft!F$3*((1-Ft!F$7)/(1+Ft!F$39*($A100-Ft!F$2)^2)+Ft!F$7*EXP(Ft!F$40*($A100-Ft!F$2)^2)))</f>
        <v>0</v>
      </c>
      <c r="K100" s="3">
        <f>IF(($A100-Ft!G$2)&lt;0,Ft!G$3*((1-Ft!G$6)/(1+Ft!G$37*($A100-Ft!G$2)^2)+Ft!G$6*EXP(Ft!G$38*($A100-Ft!G$2)^2)),Ft!G$3*((1-Ft!G$7)/(1+Ft!G$39*($A100-Ft!G$2)^2)+Ft!G$7*EXP(Ft!G$40*($A100-Ft!G$2)^2)))</f>
        <v>0</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s="21">
        <v>526.1</v>
      </c>
      <c r="B101">
        <v>9702</v>
      </c>
      <c r="C101" s="1">
        <f t="shared" si="3"/>
        <v>9821.025533520693</v>
      </c>
      <c r="D101" s="3">
        <f t="shared" si="2"/>
        <v>14167.077629885611</v>
      </c>
      <c r="E101" s="3">
        <f>Ft!$B$12+Ft!$B$14*(Data!A101-Vars!$B$3)</f>
        <v>9702</v>
      </c>
      <c r="F101" s="3">
        <f>IF(($A101-Ft!B$2)&lt;0,Ft!B$3*((1-Ft!B$6)/(1+Ft!B$37*($A101-Ft!B$2)^2)+Ft!B$6*EXP(Ft!B$38*($A101-Ft!B$2)^2)),Ft!B$3*((1-Ft!B$7)/(1+Ft!B$39*($A101-Ft!B$2)^2)+Ft!B$7*EXP(Ft!B$40*($A101-Ft!B$2)^2)))</f>
        <v>109.84029271946821</v>
      </c>
      <c r="G101" s="3">
        <f>IF(($A101-Ft!C$2)&lt;0,Ft!C$3*((1-Ft!C$6)/(1+Ft!C$37*($A101-Ft!C$2)^2)+Ft!C$6*EXP(Ft!C$38*($A101-Ft!C$2)^2)),Ft!C$3*((1-Ft!C$7)/(1+Ft!C$39*($A101-Ft!C$2)^2)+Ft!C$7*EXP(Ft!C$40*($A101-Ft!C$2)^2)))</f>
        <v>9.1852408012254347</v>
      </c>
      <c r="H101" s="3">
        <f>IF(($A101-Ft!D$2)&lt;0,Ft!D$3*((1-Ft!D$6)/(1+Ft!D$37*($A101-Ft!D$2)^2)+Ft!D$6*EXP(Ft!D$38*($A101-Ft!D$2)^2)),Ft!D$3*((1-Ft!D$7)/(1+Ft!D$39*($A101-Ft!D$2)^2)+Ft!D$7*EXP(Ft!D$40*($A101-Ft!D$2)^2)))</f>
        <v>0</v>
      </c>
      <c r="I101" s="3">
        <f>IF(($A101-Ft!E$2)&lt;0,Ft!E$3*((1-Ft!E$6)/(1+Ft!E$37*($A101-Ft!E$2)^2)+Ft!E$6*EXP(Ft!E$38*($A101-Ft!E$2)^2)),Ft!E$3*((1-Ft!E$7)/(1+Ft!E$39*($A101-Ft!E$2)^2)+Ft!E$7*EXP(Ft!E$40*($A101-Ft!E$2)^2)))</f>
        <v>0</v>
      </c>
      <c r="J101" s="3">
        <f>IF(($A101-Ft!F$2)&lt;0,Ft!F$3*((1-Ft!F$6)/(1+Ft!F$37*($A101-Ft!F$2)^2)+Ft!F$6*EXP(Ft!F$38*($A101-Ft!F$2)^2)),Ft!F$3*((1-Ft!F$7)/(1+Ft!F$39*($A101-Ft!F$2)^2)+Ft!F$7*EXP(Ft!F$40*($A101-Ft!F$2)^2)))</f>
        <v>0</v>
      </c>
      <c r="K101" s="3">
        <f>IF(($A101-Ft!G$2)&lt;0,Ft!G$3*((1-Ft!G$6)/(1+Ft!G$37*($A101-Ft!G$2)^2)+Ft!G$6*EXP(Ft!G$38*($A101-Ft!G$2)^2)),Ft!G$3*((1-Ft!G$7)/(1+Ft!G$39*($A101-Ft!G$2)^2)+Ft!G$7*EXP(Ft!G$40*($A101-Ft!G$2)^2)))</f>
        <v>0</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C102" s="1"/>
      <c r="P102"/>
      <c r="Q102"/>
    </row>
    <row r="103" spans="1:17">
      <c r="C103" s="1"/>
      <c r="P103"/>
      <c r="Q103"/>
    </row>
    <row r="104" spans="1:17">
      <c r="C104" s="1"/>
      <c r="P104"/>
      <c r="Q104"/>
    </row>
    <row r="105" spans="1:17">
      <c r="C105" s="1"/>
      <c r="P105"/>
      <c r="Q105"/>
    </row>
    <row r="106" spans="1:17">
      <c r="C106" s="1"/>
      <c r="P106"/>
      <c r="Q106"/>
    </row>
    <row r="107" spans="1:17">
      <c r="C107" s="1"/>
      <c r="P107"/>
      <c r="Q107"/>
    </row>
    <row r="108" spans="1:17">
      <c r="C108" s="1"/>
      <c r="P108"/>
      <c r="Q108"/>
    </row>
    <row r="109" spans="1:17">
      <c r="C109" s="1"/>
      <c r="P109"/>
      <c r="Q109"/>
    </row>
    <row r="110" spans="1:17">
      <c r="C110" s="1"/>
      <c r="P110"/>
      <c r="Q110"/>
    </row>
    <row r="111" spans="1:17">
      <c r="C111" s="1"/>
      <c r="P111"/>
      <c r="Q111"/>
    </row>
    <row r="112" spans="1:17">
      <c r="C112" s="1"/>
      <c r="P112"/>
      <c r="Q112"/>
    </row>
    <row r="113" spans="3:17">
      <c r="C113" s="1"/>
      <c r="P113"/>
      <c r="Q113"/>
    </row>
    <row r="114" spans="3:17">
      <c r="C114" s="1"/>
      <c r="P114"/>
      <c r="Q114"/>
    </row>
    <row r="115" spans="3:17">
      <c r="C115" s="1"/>
      <c r="P115"/>
      <c r="Q115"/>
    </row>
    <row r="116" spans="3:17">
      <c r="C116" s="1"/>
      <c r="P116"/>
      <c r="Q116"/>
    </row>
    <row r="117" spans="3:17">
      <c r="C117" s="1"/>
      <c r="P117"/>
      <c r="Q117"/>
    </row>
    <row r="118" spans="3:17">
      <c r="C118" s="1"/>
      <c r="P118"/>
      <c r="Q118"/>
    </row>
    <row r="119" spans="3:17">
      <c r="C119" s="1"/>
      <c r="P119"/>
      <c r="Q119"/>
    </row>
    <row r="120" spans="3:17">
      <c r="C120" s="1"/>
      <c r="P120"/>
      <c r="Q120"/>
    </row>
    <row r="121" spans="3:17">
      <c r="C121" s="1"/>
      <c r="P121"/>
      <c r="Q121"/>
    </row>
    <row r="122" spans="3:17">
      <c r="C122" s="1"/>
      <c r="P122"/>
      <c r="Q122"/>
    </row>
    <row r="123" spans="3:17">
      <c r="C123" s="1"/>
      <c r="P123"/>
      <c r="Q123"/>
    </row>
    <row r="124" spans="3:17">
      <c r="C124" s="1"/>
      <c r="P124"/>
      <c r="Q124"/>
    </row>
    <row r="125" spans="3:17">
      <c r="C125" s="1"/>
      <c r="P125"/>
      <c r="Q125"/>
    </row>
    <row r="126" spans="3:17">
      <c r="C126" s="1"/>
      <c r="P126"/>
      <c r="Q126"/>
    </row>
    <row r="127" spans="3:17">
      <c r="C127" s="1"/>
      <c r="P127"/>
      <c r="Q127"/>
    </row>
    <row r="128" spans="3:17">
      <c r="C128" s="1"/>
      <c r="P128"/>
      <c r="Q128"/>
    </row>
    <row r="129" spans="3:17">
      <c r="C129" s="1"/>
      <c r="P129"/>
      <c r="Q129"/>
    </row>
    <row r="130" spans="3:17">
      <c r="C130" s="1"/>
      <c r="P130"/>
      <c r="Q130"/>
    </row>
    <row r="131" spans="3:17">
      <c r="C131" s="1"/>
      <c r="P131"/>
      <c r="Q131"/>
    </row>
    <row r="132" spans="3:17">
      <c r="C132" s="1"/>
      <c r="P132"/>
      <c r="Q132"/>
    </row>
    <row r="133" spans="3:17">
      <c r="C133" s="1"/>
      <c r="P133"/>
      <c r="Q133"/>
    </row>
    <row r="134" spans="3:17">
      <c r="C134" s="1"/>
      <c r="P134"/>
      <c r="Q134"/>
    </row>
    <row r="135" spans="3:17">
      <c r="C135" s="1"/>
      <c r="P135"/>
      <c r="Q135"/>
    </row>
    <row r="136" spans="3:17">
      <c r="C136" s="1"/>
      <c r="P136"/>
      <c r="Q136"/>
    </row>
    <row r="137" spans="3:17">
      <c r="C137" s="1"/>
      <c r="P137"/>
      <c r="Q137"/>
    </row>
    <row r="138" spans="3:17">
      <c r="C138" s="1"/>
      <c r="P138"/>
      <c r="Q138"/>
    </row>
    <row r="139" spans="3:17">
      <c r="C139" s="1"/>
      <c r="P139"/>
      <c r="Q139"/>
    </row>
    <row r="140" spans="3:17">
      <c r="C140" s="1"/>
      <c r="P140"/>
      <c r="Q140"/>
    </row>
    <row r="141" spans="3:17">
      <c r="C141" s="1"/>
      <c r="P141"/>
      <c r="Q141"/>
    </row>
    <row r="142" spans="3:17">
      <c r="C142" s="1"/>
      <c r="P142"/>
      <c r="Q142"/>
    </row>
    <row r="143" spans="3:17">
      <c r="C143" s="1"/>
      <c r="P143"/>
      <c r="Q143"/>
    </row>
    <row r="144" spans="3:17">
      <c r="C144" s="1"/>
      <c r="P144"/>
      <c r="Q144"/>
    </row>
    <row r="145" spans="3:17">
      <c r="C145" s="1"/>
      <c r="P145"/>
      <c r="Q145"/>
    </row>
    <row r="146" spans="3:17">
      <c r="C146" s="1"/>
      <c r="P146"/>
      <c r="Q146"/>
    </row>
    <row r="147" spans="3:17">
      <c r="C147" s="1"/>
      <c r="P147"/>
      <c r="Q147"/>
    </row>
    <row r="148" spans="3:17">
      <c r="C148" s="1"/>
      <c r="P148"/>
      <c r="Q148"/>
    </row>
    <row r="149" spans="3:17">
      <c r="C149" s="1"/>
      <c r="P149"/>
      <c r="Q149"/>
    </row>
    <row r="150" spans="3:17">
      <c r="C150" s="1"/>
      <c r="P150"/>
      <c r="Q150"/>
    </row>
    <row r="151" spans="3:17">
      <c r="C151" s="1"/>
      <c r="P151"/>
      <c r="Q151"/>
    </row>
    <row r="152" spans="3:17">
      <c r="C152" s="1"/>
      <c r="P152"/>
      <c r="Q152"/>
    </row>
    <row r="153" spans="3:17">
      <c r="C153" s="1"/>
      <c r="P153"/>
      <c r="Q153"/>
    </row>
    <row r="154" spans="3:17">
      <c r="C154" s="1"/>
      <c r="P154"/>
      <c r="Q154"/>
    </row>
    <row r="155" spans="3:17">
      <c r="C155" s="1"/>
      <c r="P155"/>
      <c r="Q155"/>
    </row>
    <row r="156" spans="3:17">
      <c r="C156" s="1"/>
      <c r="P156"/>
      <c r="Q156"/>
    </row>
    <row r="157" spans="3:17">
      <c r="C157" s="1"/>
      <c r="P157"/>
      <c r="Q157"/>
    </row>
    <row r="158" spans="3:17">
      <c r="C158" s="1"/>
      <c r="P158"/>
      <c r="Q158"/>
    </row>
    <row r="159" spans="3:17">
      <c r="C159" s="1"/>
      <c r="P159"/>
      <c r="Q159"/>
    </row>
    <row r="160" spans="3:17">
      <c r="C160" s="1"/>
      <c r="P160"/>
      <c r="Q160"/>
    </row>
    <row r="161" spans="3:17">
      <c r="C161" s="1"/>
      <c r="P161"/>
      <c r="Q161"/>
    </row>
    <row r="162" spans="3:17">
      <c r="C162" s="1"/>
      <c r="P162"/>
      <c r="Q162"/>
    </row>
    <row r="163" spans="3:17">
      <c r="C163" s="1"/>
      <c r="P163"/>
      <c r="Q163"/>
    </row>
    <row r="164" spans="3:17">
      <c r="C164" s="1"/>
      <c r="P164"/>
      <c r="Q164"/>
    </row>
    <row r="165" spans="3:17">
      <c r="C165" s="1"/>
      <c r="P165"/>
      <c r="Q165"/>
    </row>
    <row r="166" spans="3:17">
      <c r="C166" s="1"/>
      <c r="P166"/>
      <c r="Q166"/>
    </row>
    <row r="167" spans="3:17">
      <c r="C167" s="1"/>
      <c r="P167"/>
      <c r="Q167"/>
    </row>
    <row r="168" spans="3:17">
      <c r="C168" s="1"/>
      <c r="P168"/>
      <c r="Q168"/>
    </row>
    <row r="169" spans="3:17">
      <c r="C169" s="1"/>
      <c r="P169"/>
      <c r="Q169"/>
    </row>
    <row r="170" spans="3:17">
      <c r="C170" s="1"/>
      <c r="P170"/>
      <c r="Q170"/>
    </row>
    <row r="171" spans="3:17">
      <c r="C171" s="1"/>
      <c r="P171"/>
      <c r="Q171"/>
    </row>
    <row r="172" spans="3:17">
      <c r="C172" s="1"/>
      <c r="P172"/>
      <c r="Q172"/>
    </row>
    <row r="173" spans="3:17">
      <c r="C173" s="1"/>
      <c r="P173"/>
      <c r="Q173"/>
    </row>
    <row r="174" spans="3:17">
      <c r="C174" s="1"/>
      <c r="P174"/>
      <c r="Q174"/>
    </row>
    <row r="175" spans="3:17">
      <c r="C175" s="1"/>
      <c r="P175"/>
      <c r="Q175"/>
    </row>
    <row r="176" spans="3:17">
      <c r="C176" s="1"/>
      <c r="P176"/>
      <c r="Q176"/>
    </row>
    <row r="177" spans="3:17">
      <c r="C177" s="1"/>
      <c r="P177"/>
      <c r="Q177"/>
    </row>
    <row r="178" spans="3:17">
      <c r="C178" s="1"/>
      <c r="P178"/>
      <c r="Q178"/>
    </row>
    <row r="179" spans="3:17">
      <c r="C179" s="1"/>
      <c r="P179"/>
      <c r="Q179"/>
    </row>
    <row r="180" spans="3:17">
      <c r="C180" s="1"/>
      <c r="P180"/>
      <c r="Q180"/>
    </row>
    <row r="181" spans="3:17">
      <c r="C181" s="1"/>
      <c r="P181"/>
      <c r="Q181"/>
    </row>
    <row r="182" spans="3:17">
      <c r="C182" s="1"/>
      <c r="P182"/>
      <c r="Q182"/>
    </row>
    <row r="183" spans="3:17">
      <c r="C183" s="1"/>
      <c r="P183"/>
      <c r="Q183"/>
    </row>
    <row r="184" spans="3:17">
      <c r="C184" s="1"/>
      <c r="P184"/>
      <c r="Q184"/>
    </row>
    <row r="185" spans="3:17">
      <c r="C185" s="1"/>
      <c r="P185"/>
      <c r="Q185"/>
    </row>
    <row r="186" spans="3:17">
      <c r="C186" s="1"/>
      <c r="P186"/>
      <c r="Q186"/>
    </row>
    <row r="187" spans="3:17">
      <c r="C187" s="1"/>
      <c r="P187"/>
      <c r="Q187"/>
    </row>
    <row r="188" spans="3:17">
      <c r="C188" s="1"/>
      <c r="P188"/>
      <c r="Q188"/>
    </row>
    <row r="189" spans="3:17">
      <c r="C189" s="1"/>
      <c r="P189"/>
      <c r="Q189"/>
    </row>
    <row r="190" spans="3:17">
      <c r="C190" s="1"/>
      <c r="P190"/>
      <c r="Q190"/>
    </row>
    <row r="191" spans="3:17">
      <c r="C191" s="1"/>
      <c r="P191"/>
      <c r="Q191"/>
    </row>
    <row r="192" spans="3:17">
      <c r="C192" s="1"/>
      <c r="P192"/>
      <c r="Q192"/>
    </row>
    <row r="193" spans="3:17">
      <c r="C193" s="1"/>
      <c r="P193"/>
      <c r="Q193"/>
    </row>
    <row r="194" spans="3:17">
      <c r="C194" s="1"/>
      <c r="P194"/>
      <c r="Q194"/>
    </row>
    <row r="195" spans="3:17">
      <c r="C195" s="1"/>
      <c r="P195"/>
      <c r="Q195"/>
    </row>
    <row r="196" spans="3:17">
      <c r="C196" s="1"/>
      <c r="P196"/>
      <c r="Q196"/>
    </row>
    <row r="197" spans="3:17">
      <c r="C197" s="1"/>
      <c r="P197"/>
      <c r="Q197"/>
    </row>
    <row r="198" spans="3:17">
      <c r="C198" s="1"/>
      <c r="P198"/>
      <c r="Q198"/>
    </row>
    <row r="199" spans="3:17">
      <c r="C199" s="1"/>
      <c r="P199"/>
      <c r="Q199"/>
    </row>
    <row r="200" spans="3:17">
      <c r="C200" s="1"/>
      <c r="P200"/>
      <c r="Q200"/>
    </row>
    <row r="201" spans="3:17">
      <c r="C201" s="1"/>
      <c r="P201"/>
      <c r="Q201"/>
    </row>
    <row r="202" spans="3:17">
      <c r="C202" s="1"/>
      <c r="P202"/>
      <c r="Q202"/>
    </row>
    <row r="203" spans="3:17">
      <c r="C203" s="1"/>
      <c r="P203"/>
      <c r="Q203"/>
    </row>
    <row r="204" spans="3:17">
      <c r="C204" s="1"/>
      <c r="P204"/>
      <c r="Q204"/>
    </row>
    <row r="205" spans="3:17">
      <c r="C205" s="1"/>
      <c r="P205"/>
      <c r="Q205"/>
    </row>
    <row r="206" spans="3:17">
      <c r="C206" s="1"/>
      <c r="P206"/>
      <c r="Q206"/>
    </row>
    <row r="207" spans="3:17">
      <c r="C207" s="1"/>
      <c r="P207"/>
      <c r="Q207"/>
    </row>
    <row r="208" spans="3:17">
      <c r="C208" s="1"/>
      <c r="P208"/>
      <c r="Q208"/>
    </row>
    <row r="209" spans="3:17">
      <c r="C209" s="1"/>
      <c r="P209"/>
      <c r="Q209"/>
    </row>
    <row r="210" spans="3:17">
      <c r="C210" s="1"/>
      <c r="P210"/>
      <c r="Q210"/>
    </row>
    <row r="211" spans="3:17">
      <c r="C211" s="1"/>
      <c r="P211"/>
      <c r="Q211"/>
    </row>
    <row r="212" spans="3:17">
      <c r="C212" s="1"/>
      <c r="P212"/>
      <c r="Q212"/>
    </row>
    <row r="213" spans="3:17">
      <c r="C213" s="1"/>
      <c r="P213"/>
      <c r="Q213"/>
    </row>
    <row r="214" spans="3:17">
      <c r="C214" s="1"/>
      <c r="P214"/>
      <c r="Q214"/>
    </row>
    <row r="215" spans="3:17">
      <c r="C215" s="1"/>
      <c r="P215"/>
      <c r="Q215"/>
    </row>
    <row r="216" spans="3:17">
      <c r="C216" s="1"/>
      <c r="P216"/>
      <c r="Q216"/>
    </row>
    <row r="217" spans="3:17">
      <c r="C217" s="1"/>
      <c r="P217"/>
      <c r="Q217"/>
    </row>
    <row r="218" spans="3:17">
      <c r="C218" s="1"/>
      <c r="P218"/>
      <c r="Q218"/>
    </row>
    <row r="219" spans="3:17">
      <c r="C219" s="1"/>
      <c r="P219"/>
      <c r="Q219"/>
    </row>
    <row r="220" spans="3:17">
      <c r="C220" s="1"/>
      <c r="P220"/>
      <c r="Q220"/>
    </row>
    <row r="221" spans="3:17">
      <c r="C221" s="1"/>
      <c r="P221"/>
      <c r="Q221"/>
    </row>
    <row r="222" spans="3:17">
      <c r="C222" s="1"/>
      <c r="P222"/>
      <c r="Q222"/>
    </row>
    <row r="223" spans="3:17">
      <c r="C223" s="1"/>
      <c r="P223"/>
      <c r="Q223"/>
    </row>
    <row r="224" spans="3:17">
      <c r="C224" s="1"/>
      <c r="P224"/>
      <c r="Q224"/>
    </row>
    <row r="225" spans="3:17">
      <c r="C225" s="1"/>
      <c r="P225"/>
      <c r="Q225"/>
    </row>
    <row r="226" spans="3:17">
      <c r="C226" s="1"/>
      <c r="P226"/>
      <c r="Q226"/>
    </row>
    <row r="227" spans="3:17">
      <c r="C227" s="1"/>
      <c r="P227"/>
      <c r="Q227"/>
    </row>
    <row r="228" spans="3:17">
      <c r="C228" s="1"/>
      <c r="P228"/>
      <c r="Q228"/>
    </row>
    <row r="229" spans="3:17">
      <c r="C229" s="1"/>
      <c r="P229"/>
      <c r="Q229"/>
    </row>
    <row r="230" spans="3:17">
      <c r="C230" s="1"/>
      <c r="P230"/>
      <c r="Q230"/>
    </row>
    <row r="231" spans="3:17">
      <c r="C231" s="1"/>
      <c r="P231"/>
      <c r="Q231"/>
    </row>
    <row r="232" spans="3:17">
      <c r="C232" s="1"/>
      <c r="P232"/>
      <c r="Q232"/>
    </row>
    <row r="233" spans="3:17">
      <c r="C233" s="1"/>
      <c r="P233"/>
      <c r="Q233"/>
    </row>
    <row r="234" spans="3:17">
      <c r="C234" s="1"/>
      <c r="P234"/>
      <c r="Q234"/>
    </row>
    <row r="235" spans="3:17">
      <c r="C235" s="1"/>
      <c r="P235"/>
      <c r="Q235"/>
    </row>
    <row r="236" spans="3:17">
      <c r="C236" s="1"/>
      <c r="P236"/>
      <c r="Q236"/>
    </row>
    <row r="237" spans="3:17">
      <c r="C237" s="1"/>
      <c r="P237"/>
      <c r="Q237"/>
    </row>
    <row r="238" spans="3:17">
      <c r="C238" s="1"/>
      <c r="P238"/>
      <c r="Q238"/>
    </row>
    <row r="239" spans="3:17">
      <c r="C239" s="1"/>
      <c r="P239"/>
      <c r="Q239"/>
    </row>
    <row r="240" spans="3:17">
      <c r="C240" s="1"/>
      <c r="P240"/>
      <c r="Q240"/>
    </row>
    <row r="241" spans="3:17">
      <c r="C241" s="1"/>
      <c r="P241"/>
      <c r="Q241"/>
    </row>
    <row r="242" spans="3:17">
      <c r="C242" s="1"/>
      <c r="P242"/>
      <c r="Q242"/>
    </row>
    <row r="243" spans="3:17">
      <c r="C243" s="1"/>
      <c r="P243"/>
      <c r="Q243"/>
    </row>
    <row r="244" spans="3:17">
      <c r="C244" s="1"/>
      <c r="P244"/>
      <c r="Q244"/>
    </row>
    <row r="245" spans="3:17">
      <c r="C245" s="1"/>
      <c r="P245"/>
      <c r="Q245"/>
    </row>
    <row r="246" spans="3:17">
      <c r="C246" s="1"/>
      <c r="P246"/>
      <c r="Q246"/>
    </row>
    <row r="247" spans="3:17">
      <c r="C247" s="1"/>
      <c r="P247"/>
      <c r="Q247"/>
    </row>
    <row r="248" spans="3:17">
      <c r="C248" s="1"/>
      <c r="P248"/>
      <c r="Q248"/>
    </row>
    <row r="249" spans="3:17">
      <c r="C249" s="1"/>
      <c r="P249"/>
      <c r="Q249"/>
    </row>
    <row r="250" spans="3:17">
      <c r="C250" s="1"/>
      <c r="P250"/>
      <c r="Q250"/>
    </row>
    <row r="251" spans="3:17">
      <c r="C251" s="1"/>
      <c r="P251"/>
      <c r="Q251"/>
    </row>
    <row r="252" spans="3:17">
      <c r="C252" s="1"/>
      <c r="P252"/>
      <c r="Q252"/>
    </row>
    <row r="253" spans="3:17">
      <c r="C253" s="1"/>
      <c r="P253"/>
      <c r="Q253"/>
    </row>
    <row r="254" spans="3:17">
      <c r="C254" s="1"/>
      <c r="P254"/>
      <c r="Q254"/>
    </row>
    <row r="255" spans="3:17">
      <c r="C255" s="1"/>
      <c r="P255"/>
      <c r="Q255"/>
    </row>
    <row r="256" spans="3:17">
      <c r="C256" s="1"/>
      <c r="P256"/>
      <c r="Q256"/>
    </row>
    <row r="257" spans="3:17">
      <c r="C257" s="1"/>
      <c r="P257"/>
      <c r="Q257"/>
    </row>
    <row r="258" spans="3:17">
      <c r="C258" s="1"/>
      <c r="P258"/>
      <c r="Q258"/>
    </row>
    <row r="259" spans="3:17">
      <c r="C259" s="1"/>
      <c r="P259"/>
      <c r="Q259"/>
    </row>
    <row r="260" spans="3:17">
      <c r="C260" s="1"/>
      <c r="P260"/>
      <c r="Q260"/>
    </row>
    <row r="261" spans="3:17">
      <c r="C261" s="1"/>
      <c r="P261"/>
      <c r="Q261"/>
    </row>
    <row r="262" spans="3:17">
      <c r="C262" s="1"/>
      <c r="P262"/>
      <c r="Q262"/>
    </row>
    <row r="263" spans="3:17">
      <c r="C263" s="1"/>
      <c r="P263"/>
      <c r="Q263"/>
    </row>
    <row r="264" spans="3:17">
      <c r="C264" s="1"/>
      <c r="P264"/>
      <c r="Q264"/>
    </row>
    <row r="265" spans="3:17">
      <c r="C265" s="1"/>
      <c r="P265"/>
      <c r="Q265"/>
    </row>
    <row r="266" spans="3:17">
      <c r="C266" s="1"/>
      <c r="P266"/>
      <c r="Q266"/>
    </row>
    <row r="267" spans="3:17">
      <c r="C267" s="1"/>
      <c r="P267"/>
      <c r="Q267"/>
    </row>
    <row r="268" spans="3:17">
      <c r="C268" s="1"/>
      <c r="P268"/>
      <c r="Q268"/>
    </row>
    <row r="269" spans="3:17">
      <c r="C269" s="1"/>
      <c r="P269"/>
      <c r="Q269"/>
    </row>
    <row r="270" spans="3:17">
      <c r="C270" s="1"/>
      <c r="P270"/>
      <c r="Q270"/>
    </row>
    <row r="271" spans="3:17">
      <c r="C271" s="1"/>
      <c r="P271"/>
      <c r="Q271"/>
    </row>
    <row r="272" spans="3:17">
      <c r="C272" s="1"/>
      <c r="P272"/>
      <c r="Q272"/>
    </row>
    <row r="273" spans="3:17">
      <c r="C273" s="1"/>
      <c r="P273"/>
      <c r="Q273"/>
    </row>
    <row r="274" spans="3:17">
      <c r="C274" s="1"/>
      <c r="P274"/>
      <c r="Q274"/>
    </row>
    <row r="275" spans="3:17">
      <c r="C275" s="1"/>
      <c r="P275"/>
      <c r="Q275"/>
    </row>
    <row r="276" spans="3:17">
      <c r="C276" s="1"/>
      <c r="P276"/>
      <c r="Q276"/>
    </row>
    <row r="277" spans="3:17">
      <c r="C277" s="1"/>
      <c r="P277"/>
      <c r="Q277"/>
    </row>
    <row r="278" spans="3:17">
      <c r="C278" s="1"/>
      <c r="P278"/>
      <c r="Q278"/>
    </row>
    <row r="279" spans="3:17">
      <c r="C279" s="1"/>
      <c r="P279"/>
      <c r="Q279"/>
    </row>
    <row r="280" spans="3:17">
      <c r="C280" s="1"/>
      <c r="P280"/>
      <c r="Q280"/>
    </row>
    <row r="281" spans="3:17">
      <c r="C281" s="1"/>
      <c r="P281"/>
      <c r="Q281"/>
    </row>
    <row r="282" spans="3:17">
      <c r="C282" s="1"/>
      <c r="P282"/>
      <c r="Q282"/>
    </row>
    <row r="283" spans="3:17">
      <c r="C283" s="1"/>
      <c r="P283"/>
      <c r="Q283"/>
    </row>
    <row r="284" spans="3:17">
      <c r="C284" s="1"/>
      <c r="P284"/>
      <c r="Q284"/>
    </row>
    <row r="285" spans="3:17">
      <c r="C285" s="1"/>
      <c r="P285"/>
      <c r="Q285"/>
    </row>
    <row r="286" spans="3:17">
      <c r="C286" s="1"/>
      <c r="P286"/>
      <c r="Q286"/>
    </row>
    <row r="287" spans="3:17">
      <c r="C287" s="1"/>
      <c r="P287"/>
      <c r="Q287"/>
    </row>
    <row r="288" spans="3:17">
      <c r="C288" s="1"/>
      <c r="P288"/>
      <c r="Q288"/>
    </row>
    <row r="289" spans="3:17">
      <c r="C289" s="1"/>
      <c r="P289"/>
      <c r="Q289"/>
    </row>
    <row r="290" spans="3:17">
      <c r="C290" s="1"/>
      <c r="P290"/>
      <c r="Q290"/>
    </row>
    <row r="291" spans="3:17">
      <c r="C291" s="1"/>
      <c r="P291"/>
      <c r="Q291"/>
    </row>
    <row r="292" spans="3:17">
      <c r="C292" s="1"/>
      <c r="P292"/>
      <c r="Q292"/>
    </row>
    <row r="293" spans="3:17">
      <c r="C293" s="1"/>
      <c r="P293"/>
      <c r="Q293"/>
    </row>
    <row r="294" spans="3:17">
      <c r="C294" s="1"/>
      <c r="P294"/>
      <c r="Q294"/>
    </row>
    <row r="295" spans="3:17">
      <c r="C295" s="1"/>
      <c r="P295"/>
      <c r="Q295"/>
    </row>
    <row r="296" spans="3:17">
      <c r="C296" s="1"/>
      <c r="P296"/>
      <c r="Q296"/>
    </row>
    <row r="297" spans="3:17">
      <c r="C297" s="1"/>
      <c r="P297"/>
      <c r="Q297"/>
    </row>
    <row r="298" spans="3:17">
      <c r="C298" s="1"/>
      <c r="P298"/>
      <c r="Q298"/>
    </row>
    <row r="299" spans="3:17">
      <c r="C299" s="1"/>
      <c r="P299"/>
      <c r="Q299"/>
    </row>
    <row r="300" spans="3:17">
      <c r="C300" s="1"/>
      <c r="P300"/>
      <c r="Q300"/>
    </row>
    <row r="301" spans="3:17">
      <c r="C301" s="1"/>
      <c r="P301"/>
      <c r="Q301"/>
    </row>
    <row r="302" spans="3:17">
      <c r="C302" s="1"/>
      <c r="P302"/>
      <c r="Q302"/>
    </row>
    <row r="303" spans="3:17">
      <c r="C303" s="1"/>
      <c r="P303"/>
      <c r="Q303"/>
    </row>
    <row r="304" spans="3:17">
      <c r="C304" s="1"/>
      <c r="P304"/>
      <c r="Q304"/>
    </row>
    <row r="305" spans="3:17">
      <c r="C305" s="1"/>
      <c r="P305"/>
      <c r="Q305"/>
    </row>
    <row r="306" spans="3:17">
      <c r="C306" s="1"/>
      <c r="P306"/>
      <c r="Q306"/>
    </row>
    <row r="307" spans="3:17">
      <c r="C307" s="1"/>
      <c r="P307"/>
      <c r="Q307"/>
    </row>
    <row r="308" spans="3:17">
      <c r="C308" s="1"/>
      <c r="P308"/>
      <c r="Q308"/>
    </row>
    <row r="309" spans="3:17">
      <c r="C309" s="1"/>
      <c r="P309"/>
      <c r="Q309"/>
    </row>
    <row r="310" spans="3:17">
      <c r="C310" s="1"/>
      <c r="P310"/>
      <c r="Q310"/>
    </row>
    <row r="311" spans="3:17">
      <c r="C311" s="1"/>
      <c r="P311"/>
      <c r="Q311"/>
    </row>
    <row r="312" spans="3:17">
      <c r="C312" s="1"/>
      <c r="P312"/>
      <c r="Q312"/>
    </row>
    <row r="313" spans="3:17">
      <c r="C313" s="1"/>
      <c r="P313"/>
      <c r="Q313"/>
    </row>
    <row r="314" spans="3:17">
      <c r="C314" s="1"/>
      <c r="P314"/>
      <c r="Q314"/>
    </row>
    <row r="315" spans="3:17">
      <c r="C315" s="1"/>
      <c r="P315"/>
      <c r="Q315"/>
    </row>
    <row r="316" spans="3:17">
      <c r="C316" s="1"/>
      <c r="P316"/>
      <c r="Q316"/>
    </row>
    <row r="317" spans="3:17">
      <c r="C317" s="1"/>
      <c r="P317"/>
      <c r="Q317"/>
    </row>
    <row r="318" spans="3:17">
      <c r="C318" s="1"/>
      <c r="P318"/>
      <c r="Q318"/>
    </row>
    <row r="319" spans="3:17">
      <c r="C319" s="1"/>
      <c r="P319"/>
      <c r="Q319"/>
    </row>
    <row r="320" spans="3:17">
      <c r="C320" s="1"/>
      <c r="P320"/>
      <c r="Q320"/>
    </row>
    <row r="321" spans="3:17">
      <c r="C321" s="1"/>
      <c r="P321"/>
      <c r="Q321"/>
    </row>
    <row r="322" spans="3:17">
      <c r="C322" s="1"/>
      <c r="P322"/>
      <c r="Q322"/>
    </row>
    <row r="323" spans="3:17">
      <c r="C323" s="1"/>
      <c r="P323"/>
      <c r="Q323"/>
    </row>
    <row r="324" spans="3:17">
      <c r="C324" s="1"/>
      <c r="P324"/>
      <c r="Q324"/>
    </row>
    <row r="325" spans="3:17">
      <c r="C325" s="1"/>
      <c r="P325"/>
      <c r="Q325"/>
    </row>
    <row r="326" spans="3:17">
      <c r="C326" s="1"/>
      <c r="P326"/>
      <c r="Q326"/>
    </row>
    <row r="327" spans="3:17">
      <c r="C327" s="1"/>
      <c r="P327"/>
      <c r="Q327"/>
    </row>
    <row r="328" spans="3:17">
      <c r="C328" s="1"/>
      <c r="P328"/>
      <c r="Q328"/>
    </row>
    <row r="329" spans="3:17">
      <c r="C329" s="1"/>
      <c r="P329"/>
      <c r="Q329"/>
    </row>
    <row r="330" spans="3:17">
      <c r="C330" s="1"/>
      <c r="P330"/>
      <c r="Q330"/>
    </row>
    <row r="331" spans="3:17">
      <c r="C331" s="1"/>
      <c r="P331"/>
      <c r="Q331"/>
    </row>
    <row r="332" spans="3:17">
      <c r="C332" s="1"/>
      <c r="P332"/>
      <c r="Q332"/>
    </row>
    <row r="333" spans="3:17">
      <c r="C333" s="1"/>
      <c r="P333"/>
      <c r="Q333"/>
    </row>
    <row r="334" spans="3:17">
      <c r="C334" s="1"/>
      <c r="P334"/>
      <c r="Q334"/>
    </row>
    <row r="335" spans="3:17">
      <c r="C335" s="1"/>
      <c r="P335"/>
      <c r="Q335"/>
    </row>
    <row r="336" spans="3:17">
      <c r="C336" s="1"/>
      <c r="P336"/>
      <c r="Q336"/>
    </row>
    <row r="337" spans="3:17">
      <c r="C337" s="1"/>
      <c r="P337"/>
      <c r="Q337"/>
    </row>
    <row r="338" spans="3:17">
      <c r="C338" s="1"/>
      <c r="P338"/>
      <c r="Q338"/>
    </row>
    <row r="339" spans="3:17">
      <c r="C339" s="1"/>
      <c r="P339"/>
      <c r="Q339"/>
    </row>
    <row r="340" spans="3:17">
      <c r="C340" s="1"/>
      <c r="P340"/>
      <c r="Q340"/>
    </row>
    <row r="341" spans="3:17">
      <c r="C341" s="1"/>
      <c r="P341"/>
      <c r="Q341"/>
    </row>
    <row r="342" spans="3:17">
      <c r="C342" s="1"/>
      <c r="P342"/>
      <c r="Q342"/>
    </row>
    <row r="343" spans="3:17">
      <c r="C343" s="1"/>
      <c r="P343"/>
      <c r="Q343"/>
    </row>
    <row r="344" spans="3:17">
      <c r="C344" s="1"/>
      <c r="P344"/>
      <c r="Q344"/>
    </row>
    <row r="345" spans="3:17">
      <c r="C345" s="1"/>
      <c r="P345"/>
      <c r="Q345"/>
    </row>
    <row r="346" spans="3:17">
      <c r="C346" s="1"/>
      <c r="P346"/>
      <c r="Q346"/>
    </row>
    <row r="347" spans="3:17">
      <c r="C347" s="1"/>
      <c r="P347"/>
      <c r="Q347"/>
    </row>
    <row r="348" spans="3:17">
      <c r="C348" s="1"/>
      <c r="P348"/>
      <c r="Q348"/>
    </row>
    <row r="349" spans="3:17">
      <c r="C349" s="1"/>
      <c r="P349"/>
      <c r="Q349"/>
    </row>
    <row r="350" spans="3:17">
      <c r="C350" s="1"/>
      <c r="P350"/>
      <c r="Q350"/>
    </row>
    <row r="351" spans="3:17">
      <c r="C351" s="1"/>
      <c r="P351"/>
      <c r="Q351"/>
    </row>
    <row r="352" spans="3:17">
      <c r="C352" s="1"/>
      <c r="P352"/>
      <c r="Q352"/>
    </row>
    <row r="353" spans="3:17">
      <c r="C353" s="1"/>
      <c r="P353"/>
      <c r="Q353"/>
    </row>
    <row r="354" spans="3:17">
      <c r="C354" s="1"/>
      <c r="P354"/>
      <c r="Q354"/>
    </row>
    <row r="355" spans="3:17">
      <c r="C355" s="1"/>
      <c r="P355"/>
      <c r="Q355"/>
    </row>
    <row r="356" spans="3:17">
      <c r="C356" s="1"/>
      <c r="P356"/>
      <c r="Q356"/>
    </row>
    <row r="357" spans="3:17">
      <c r="C357" s="1"/>
      <c r="P357"/>
      <c r="Q357"/>
    </row>
    <row r="358" spans="3:17">
      <c r="C358" s="1"/>
      <c r="P358"/>
      <c r="Q358"/>
    </row>
    <row r="359" spans="3:17">
      <c r="C359" s="1"/>
      <c r="P359"/>
      <c r="Q359"/>
    </row>
    <row r="360" spans="3:17">
      <c r="C360" s="1"/>
      <c r="P360"/>
      <c r="Q360"/>
    </row>
    <row r="361" spans="3:17">
      <c r="C361" s="1"/>
      <c r="P361"/>
      <c r="Q361"/>
    </row>
    <row r="362" spans="3:17">
      <c r="C362" s="1"/>
      <c r="P362"/>
      <c r="Q362"/>
    </row>
    <row r="363" spans="3:17">
      <c r="C363" s="1"/>
      <c r="P363"/>
      <c r="Q363"/>
    </row>
    <row r="364" spans="3:17">
      <c r="C364" s="1"/>
      <c r="P364"/>
      <c r="Q364"/>
    </row>
    <row r="365" spans="3:17">
      <c r="C365" s="1"/>
      <c r="P365"/>
      <c r="Q365"/>
    </row>
    <row r="366" spans="3:17">
      <c r="C366" s="1"/>
      <c r="P366"/>
      <c r="Q366"/>
    </row>
    <row r="367" spans="3:17">
      <c r="C367" s="1"/>
      <c r="P367"/>
      <c r="Q367"/>
    </row>
    <row r="368" spans="3:17">
      <c r="C368" s="1"/>
      <c r="P368"/>
      <c r="Q368"/>
    </row>
    <row r="369" spans="3:17">
      <c r="C369" s="1"/>
      <c r="P369"/>
      <c r="Q369"/>
    </row>
    <row r="370" spans="3:17">
      <c r="C370" s="1"/>
      <c r="P370"/>
      <c r="Q370"/>
    </row>
    <row r="371" spans="3:17">
      <c r="C371" s="1"/>
      <c r="P371"/>
      <c r="Q371"/>
    </row>
    <row r="372" spans="3:17">
      <c r="C372" s="1"/>
      <c r="P372"/>
      <c r="Q372"/>
    </row>
    <row r="373" spans="3:17">
      <c r="C373" s="1"/>
      <c r="P373"/>
      <c r="Q373"/>
    </row>
    <row r="374" spans="3:17">
      <c r="C374" s="1"/>
      <c r="P374"/>
      <c r="Q374"/>
    </row>
    <row r="375" spans="3:17">
      <c r="C375" s="1"/>
      <c r="P375"/>
      <c r="Q375"/>
    </row>
    <row r="376" spans="3:17">
      <c r="C376" s="1"/>
      <c r="P376"/>
      <c r="Q376"/>
    </row>
    <row r="377" spans="3:17">
      <c r="C377" s="1"/>
      <c r="P377"/>
      <c r="Q377"/>
    </row>
    <row r="378" spans="3:17">
      <c r="C378" s="1"/>
      <c r="P378"/>
      <c r="Q378"/>
    </row>
    <row r="379" spans="3:17">
      <c r="C379" s="1"/>
      <c r="P379"/>
      <c r="Q379"/>
    </row>
    <row r="380" spans="3:17">
      <c r="C380" s="1"/>
      <c r="P380"/>
      <c r="Q380"/>
    </row>
    <row r="381" spans="3:17">
      <c r="C381" s="1"/>
      <c r="P381"/>
      <c r="Q381"/>
    </row>
    <row r="382" spans="3:17">
      <c r="C382" s="1"/>
      <c r="P382"/>
      <c r="Q382"/>
    </row>
    <row r="383" spans="3:17">
      <c r="C383" s="1"/>
      <c r="P383"/>
      <c r="Q383"/>
    </row>
    <row r="384" spans="3:17">
      <c r="C384" s="1"/>
      <c r="P384"/>
      <c r="Q384"/>
    </row>
    <row r="385" spans="3:17">
      <c r="C385" s="1"/>
      <c r="P385"/>
      <c r="Q385"/>
    </row>
    <row r="386" spans="3:17">
      <c r="C386" s="1"/>
      <c r="P386"/>
      <c r="Q386"/>
    </row>
    <row r="387" spans="3:17">
      <c r="C387" s="1"/>
      <c r="P387"/>
      <c r="Q387"/>
    </row>
    <row r="388" spans="3:17">
      <c r="C388" s="1"/>
      <c r="P388"/>
      <c r="Q388"/>
    </row>
    <row r="389" spans="3:17">
      <c r="C389" s="1"/>
      <c r="P389"/>
      <c r="Q389"/>
    </row>
    <row r="390" spans="3:17">
      <c r="C390" s="1"/>
      <c r="P390"/>
      <c r="Q390"/>
    </row>
    <row r="391" spans="3:17">
      <c r="C391" s="1"/>
      <c r="P391"/>
      <c r="Q391"/>
    </row>
    <row r="392" spans="3:17">
      <c r="C392" s="1"/>
      <c r="P392"/>
      <c r="Q392"/>
    </row>
    <row r="393" spans="3:17">
      <c r="C393" s="1"/>
      <c r="P393"/>
      <c r="Q393"/>
    </row>
    <row r="394" spans="3:17">
      <c r="C394" s="1"/>
      <c r="P394"/>
      <c r="Q394"/>
    </row>
    <row r="395" spans="3:17">
      <c r="C395" s="1"/>
      <c r="P395"/>
      <c r="Q395"/>
    </row>
    <row r="396" spans="3:17">
      <c r="C396" s="1"/>
      <c r="P396"/>
      <c r="Q396"/>
    </row>
    <row r="397" spans="3:17">
      <c r="C397" s="1"/>
      <c r="P397"/>
      <c r="Q397"/>
    </row>
    <row r="398" spans="3:17">
      <c r="C398" s="1"/>
      <c r="P398"/>
      <c r="Q398"/>
    </row>
    <row r="399" spans="3:17">
      <c r="C399" s="1"/>
      <c r="P399"/>
      <c r="Q399"/>
    </row>
    <row r="400" spans="3:17">
      <c r="C400" s="1"/>
      <c r="P400"/>
      <c r="Q400"/>
    </row>
    <row r="401" spans="3:17">
      <c r="C401" s="1"/>
      <c r="P401"/>
      <c r="Q401"/>
    </row>
    <row r="402" spans="3:17">
      <c r="C402" s="1"/>
      <c r="P402"/>
      <c r="Q402"/>
    </row>
    <row r="403" spans="3:17">
      <c r="C403" s="1"/>
      <c r="P403"/>
      <c r="Q403"/>
    </row>
    <row r="404" spans="3:17">
      <c r="C404" s="1"/>
      <c r="P404"/>
      <c r="Q404"/>
    </row>
    <row r="405" spans="3:17">
      <c r="C405" s="1"/>
      <c r="P405"/>
      <c r="Q405"/>
    </row>
    <row r="406" spans="3:17">
      <c r="C406" s="1"/>
      <c r="P406"/>
      <c r="Q406"/>
    </row>
    <row r="407" spans="3:17">
      <c r="C407" s="1"/>
      <c r="P407"/>
      <c r="Q407"/>
    </row>
    <row r="408" spans="3:17">
      <c r="C408" s="1"/>
      <c r="P408"/>
      <c r="Q408"/>
    </row>
    <row r="409" spans="3:17">
      <c r="C409" s="1"/>
      <c r="P409"/>
      <c r="Q409"/>
    </row>
    <row r="410" spans="3:17">
      <c r="C410" s="1"/>
      <c r="P410"/>
      <c r="Q410"/>
    </row>
    <row r="411" spans="3:17">
      <c r="C411" s="1"/>
      <c r="P411"/>
      <c r="Q411"/>
    </row>
    <row r="412" spans="3:17">
      <c r="C412" s="1"/>
      <c r="P412"/>
      <c r="Q412"/>
    </row>
    <row r="413" spans="3:17">
      <c r="C413" s="1"/>
      <c r="P413"/>
      <c r="Q413"/>
    </row>
    <row r="414" spans="3:17">
      <c r="C414" s="1"/>
      <c r="P414"/>
      <c r="Q414"/>
    </row>
    <row r="415" spans="3:17">
      <c r="C415" s="1"/>
      <c r="P415"/>
      <c r="Q415"/>
    </row>
    <row r="416" spans="3:17">
      <c r="C416" s="1"/>
      <c r="P416"/>
      <c r="Q416"/>
    </row>
    <row r="417" spans="3:17">
      <c r="C417" s="1"/>
      <c r="P417"/>
      <c r="Q417"/>
    </row>
    <row r="418" spans="3:17">
      <c r="C418" s="1"/>
      <c r="P418"/>
      <c r="Q418"/>
    </row>
    <row r="419" spans="3:17">
      <c r="C419" s="1"/>
      <c r="P419"/>
      <c r="Q419"/>
    </row>
    <row r="420" spans="3:17">
      <c r="C420" s="1"/>
      <c r="P420"/>
      <c r="Q420"/>
    </row>
    <row r="421" spans="3:17">
      <c r="C421" s="1"/>
      <c r="P421"/>
      <c r="Q421"/>
    </row>
    <row r="422" spans="3:17">
      <c r="C422" s="1"/>
      <c r="P422"/>
      <c r="Q422"/>
    </row>
    <row r="423" spans="3:17">
      <c r="C423" s="1"/>
      <c r="P423"/>
      <c r="Q423"/>
    </row>
    <row r="424" spans="3:17">
      <c r="C424" s="1"/>
      <c r="P424"/>
      <c r="Q424"/>
    </row>
    <row r="425" spans="3:17">
      <c r="C425" s="1"/>
      <c r="P425"/>
      <c r="Q425"/>
    </row>
    <row r="426" spans="3:17">
      <c r="C426" s="1"/>
      <c r="P426"/>
      <c r="Q426"/>
    </row>
    <row r="427" spans="3:17">
      <c r="C427" s="1"/>
      <c r="P427"/>
      <c r="Q427"/>
    </row>
    <row r="428" spans="3:17">
      <c r="C428" s="1"/>
      <c r="P428"/>
      <c r="Q428"/>
    </row>
    <row r="429" spans="3:17">
      <c r="C429" s="1"/>
      <c r="P429"/>
      <c r="Q429"/>
    </row>
    <row r="430" spans="3:17">
      <c r="C430" s="1"/>
      <c r="P430"/>
      <c r="Q430"/>
    </row>
    <row r="431" spans="3:17">
      <c r="C431" s="1"/>
      <c r="P431"/>
      <c r="Q431"/>
    </row>
    <row r="432" spans="3:17">
      <c r="C432" s="1"/>
      <c r="P432"/>
      <c r="Q432"/>
    </row>
    <row r="433" spans="3:17">
      <c r="C433" s="1"/>
      <c r="P433"/>
      <c r="Q433"/>
    </row>
    <row r="434" spans="3:17">
      <c r="C434" s="1"/>
      <c r="P434"/>
      <c r="Q434"/>
    </row>
    <row r="435" spans="3:17">
      <c r="C435" s="1"/>
      <c r="P435"/>
      <c r="Q435"/>
    </row>
    <row r="436" spans="3:17">
      <c r="C436" s="1"/>
      <c r="P436"/>
      <c r="Q436"/>
    </row>
    <row r="437" spans="3:17">
      <c r="C437" s="1"/>
      <c r="P437"/>
      <c r="Q437"/>
    </row>
    <row r="438" spans="3:17">
      <c r="C438" s="1"/>
      <c r="P438"/>
      <c r="Q438"/>
    </row>
    <row r="439" spans="3:17">
      <c r="C439" s="1"/>
      <c r="P439"/>
      <c r="Q439"/>
    </row>
    <row r="440" spans="3:17">
      <c r="C440" s="1"/>
      <c r="P440"/>
      <c r="Q440"/>
    </row>
    <row r="441" spans="3:17">
      <c r="C441" s="1"/>
      <c r="P441"/>
      <c r="Q441"/>
    </row>
    <row r="442" spans="3:17">
      <c r="C442" s="1"/>
      <c r="P442"/>
      <c r="Q442"/>
    </row>
    <row r="443" spans="3:17">
      <c r="C443" s="1"/>
      <c r="P443"/>
      <c r="Q443"/>
    </row>
    <row r="444" spans="3:17">
      <c r="C444" s="1"/>
      <c r="P444"/>
      <c r="Q444"/>
    </row>
    <row r="445" spans="3:17">
      <c r="C445" s="1"/>
      <c r="P445"/>
      <c r="Q445"/>
    </row>
    <row r="446" spans="3:17">
      <c r="C446" s="1"/>
      <c r="P446"/>
      <c r="Q446"/>
    </row>
    <row r="447" spans="3:17">
      <c r="C447" s="1"/>
      <c r="P447"/>
      <c r="Q447"/>
    </row>
    <row r="448" spans="3:17">
      <c r="C448" s="1"/>
      <c r="P448"/>
      <c r="Q448"/>
    </row>
    <row r="449" spans="3:17">
      <c r="C449" s="1"/>
      <c r="P449"/>
      <c r="Q449"/>
    </row>
    <row r="450" spans="3:17">
      <c r="C450" s="1"/>
      <c r="P450"/>
      <c r="Q450"/>
    </row>
    <row r="451" spans="3:17">
      <c r="C451" s="1"/>
      <c r="P451"/>
      <c r="Q451"/>
    </row>
    <row r="452" spans="3:17">
      <c r="C452" s="1"/>
      <c r="P452"/>
      <c r="Q452"/>
    </row>
    <row r="453" spans="3:17">
      <c r="C453" s="1"/>
      <c r="P453"/>
      <c r="Q453"/>
    </row>
    <row r="454" spans="3:17">
      <c r="C454" s="1"/>
      <c r="P454"/>
      <c r="Q454"/>
    </row>
    <row r="455" spans="3:17">
      <c r="C455" s="1"/>
      <c r="P455"/>
      <c r="Q455"/>
    </row>
    <row r="456" spans="3:17">
      <c r="C456" s="1"/>
      <c r="P456"/>
      <c r="Q456"/>
    </row>
    <row r="457" spans="3:17">
      <c r="C457" s="1"/>
      <c r="P457"/>
      <c r="Q457"/>
    </row>
    <row r="458" spans="3:17">
      <c r="C458" s="1"/>
      <c r="P458"/>
      <c r="Q458"/>
    </row>
    <row r="459" spans="3:17">
      <c r="C459" s="1"/>
      <c r="P459"/>
      <c r="Q459"/>
    </row>
    <row r="460" spans="3:17">
      <c r="C460" s="1"/>
      <c r="P460"/>
      <c r="Q460"/>
    </row>
    <row r="461" spans="3:17">
      <c r="C461" s="1"/>
      <c r="P461"/>
      <c r="Q461"/>
    </row>
    <row r="462" spans="3:17">
      <c r="C462" s="1"/>
      <c r="P462"/>
      <c r="Q462"/>
    </row>
    <row r="463" spans="3:17">
      <c r="C463" s="1"/>
      <c r="P463"/>
      <c r="Q463"/>
    </row>
    <row r="464" spans="3:17">
      <c r="C464" s="1"/>
      <c r="P464"/>
      <c r="Q464"/>
    </row>
    <row r="465" spans="3:17">
      <c r="C465" s="1"/>
      <c r="P465"/>
      <c r="Q465"/>
    </row>
    <row r="466" spans="3:17">
      <c r="C466" s="1"/>
      <c r="P466"/>
      <c r="Q466"/>
    </row>
    <row r="467" spans="3:17">
      <c r="C467" s="1"/>
      <c r="P467"/>
      <c r="Q467"/>
    </row>
    <row r="468" spans="3:17">
      <c r="C468" s="1"/>
      <c r="P468"/>
      <c r="Q468"/>
    </row>
    <row r="469" spans="3:17">
      <c r="C469" s="1"/>
      <c r="P469"/>
      <c r="Q469"/>
    </row>
    <row r="470" spans="3:17">
      <c r="C470" s="1"/>
      <c r="P470"/>
      <c r="Q470"/>
    </row>
    <row r="471" spans="3:17">
      <c r="C471" s="1"/>
      <c r="P471"/>
      <c r="Q471"/>
    </row>
    <row r="472" spans="3:17">
      <c r="C472" s="1"/>
      <c r="P472"/>
      <c r="Q472"/>
    </row>
    <row r="473" spans="3:17">
      <c r="C473" s="1"/>
      <c r="P473"/>
      <c r="Q473"/>
    </row>
    <row r="474" spans="3:17">
      <c r="C474" s="1"/>
      <c r="P474"/>
      <c r="Q474"/>
    </row>
    <row r="475" spans="3:17">
      <c r="C475" s="1"/>
      <c r="P475"/>
      <c r="Q475"/>
    </row>
    <row r="476" spans="3:17">
      <c r="C476" s="1"/>
      <c r="P476"/>
      <c r="Q476"/>
    </row>
    <row r="477" spans="3:17">
      <c r="C477" s="1"/>
      <c r="P477"/>
      <c r="Q477"/>
    </row>
    <row r="478" spans="3:17">
      <c r="C478" s="1"/>
      <c r="P478"/>
      <c r="Q478"/>
    </row>
    <row r="479" spans="3:17">
      <c r="C479" s="1"/>
      <c r="P479"/>
      <c r="Q479"/>
    </row>
    <row r="480" spans="3:17">
      <c r="C480" s="1"/>
      <c r="P480"/>
      <c r="Q480"/>
    </row>
    <row r="481" spans="3:17">
      <c r="C481" s="1"/>
      <c r="P481"/>
      <c r="Q481"/>
    </row>
    <row r="482" spans="3:17">
      <c r="C482" s="1"/>
      <c r="P482"/>
      <c r="Q482"/>
    </row>
    <row r="483" spans="3:17">
      <c r="C483" s="1"/>
      <c r="P483"/>
      <c r="Q483"/>
    </row>
    <row r="484" spans="3:17">
      <c r="C484" s="1"/>
      <c r="P484"/>
      <c r="Q484"/>
    </row>
    <row r="485" spans="3:17">
      <c r="C485" s="1"/>
      <c r="P485"/>
      <c r="Q485"/>
    </row>
    <row r="486" spans="3:17">
      <c r="C486" s="1"/>
      <c r="P486"/>
      <c r="Q486"/>
    </row>
    <row r="487" spans="3:17">
      <c r="C487" s="1"/>
      <c r="P487"/>
      <c r="Q487"/>
    </row>
    <row r="488" spans="3:17">
      <c r="C488" s="1"/>
      <c r="P488"/>
      <c r="Q488"/>
    </row>
    <row r="489" spans="3:17">
      <c r="C489" s="1"/>
      <c r="P489"/>
      <c r="Q489"/>
    </row>
    <row r="490" spans="3:17">
      <c r="C490" s="1"/>
      <c r="P490"/>
      <c r="Q490"/>
    </row>
    <row r="491" spans="3:17">
      <c r="C491" s="1"/>
      <c r="P491"/>
      <c r="Q491"/>
    </row>
    <row r="492" spans="3:17">
      <c r="C492" s="1"/>
      <c r="P492"/>
      <c r="Q492"/>
    </row>
    <row r="493" spans="3:17">
      <c r="C493" s="1"/>
      <c r="P493"/>
      <c r="Q493"/>
    </row>
    <row r="494" spans="3:17">
      <c r="C494" s="1"/>
      <c r="P494"/>
      <c r="Q494"/>
    </row>
    <row r="495" spans="3:17">
      <c r="C495" s="1"/>
      <c r="P495"/>
      <c r="Q495"/>
    </row>
    <row r="496" spans="3:17">
      <c r="C496" s="1"/>
      <c r="P496"/>
      <c r="Q496"/>
    </row>
    <row r="497" spans="3:17">
      <c r="C497" s="1"/>
      <c r="P497"/>
      <c r="Q497"/>
    </row>
    <row r="498" spans="3:17">
      <c r="C498" s="1"/>
      <c r="P498"/>
      <c r="Q498"/>
    </row>
    <row r="499" spans="3:17">
      <c r="C499" s="1"/>
      <c r="P499"/>
      <c r="Q499"/>
    </row>
    <row r="500" spans="3:17">
      <c r="C500" s="1"/>
      <c r="P500"/>
      <c r="Q500"/>
    </row>
    <row r="501" spans="3:17">
      <c r="C501" s="1"/>
      <c r="P501"/>
      <c r="Q501"/>
    </row>
    <row r="502" spans="3:17">
      <c r="C502" s="1"/>
      <c r="P502"/>
      <c r="Q502"/>
    </row>
    <row r="503" spans="3:17">
      <c r="C503" s="1"/>
      <c r="P503"/>
      <c r="Q503"/>
    </row>
    <row r="504" spans="3:17">
      <c r="C504" s="1"/>
      <c r="P504"/>
      <c r="Q504"/>
    </row>
    <row r="505" spans="3:17">
      <c r="C505" s="1"/>
      <c r="P505"/>
      <c r="Q505"/>
    </row>
    <row r="506" spans="3:17">
      <c r="C506" s="1"/>
      <c r="P506"/>
      <c r="Q506"/>
    </row>
    <row r="507" spans="3:17">
      <c r="C507" s="1"/>
      <c r="P507"/>
      <c r="Q507"/>
    </row>
    <row r="508" spans="3:17">
      <c r="C508" s="1"/>
      <c r="P508"/>
      <c r="Q508"/>
    </row>
    <row r="509" spans="3:17">
      <c r="C509" s="1"/>
      <c r="P509"/>
      <c r="Q509"/>
    </row>
    <row r="510" spans="3:17">
      <c r="C510" s="1"/>
      <c r="P510"/>
      <c r="Q510"/>
    </row>
    <row r="511" spans="3:17">
      <c r="C511" s="1"/>
      <c r="P511"/>
      <c r="Q511"/>
    </row>
    <row r="512" spans="3:17">
      <c r="C512" s="1"/>
      <c r="P512"/>
      <c r="Q512"/>
    </row>
    <row r="513" spans="3:17">
      <c r="C513" s="1"/>
      <c r="P513"/>
      <c r="Q513"/>
    </row>
    <row r="514" spans="3:17">
      <c r="C514" s="1"/>
      <c r="P514"/>
      <c r="Q514"/>
    </row>
    <row r="515" spans="3:17">
      <c r="C515" s="1"/>
      <c r="P515"/>
      <c r="Q515"/>
    </row>
    <row r="516" spans="3:17">
      <c r="C516" s="1"/>
      <c r="P516"/>
      <c r="Q516"/>
    </row>
    <row r="517" spans="3:17">
      <c r="C517" s="1"/>
      <c r="P517"/>
      <c r="Q517"/>
    </row>
    <row r="518" spans="3:17">
      <c r="C518" s="1"/>
      <c r="P518"/>
      <c r="Q518"/>
    </row>
    <row r="519" spans="3:17">
      <c r="C519" s="1"/>
      <c r="P519"/>
      <c r="Q519"/>
    </row>
    <row r="520" spans="3:17">
      <c r="C520" s="1"/>
      <c r="P520"/>
      <c r="Q520"/>
    </row>
    <row r="521" spans="3:17">
      <c r="C521" s="1"/>
      <c r="P521"/>
      <c r="Q521"/>
    </row>
    <row r="522" spans="3:17">
      <c r="C522" s="1"/>
      <c r="P522"/>
      <c r="Q522"/>
    </row>
    <row r="523" spans="3:17">
      <c r="C523" s="1"/>
      <c r="P523"/>
      <c r="Q523"/>
    </row>
    <row r="524" spans="3:17">
      <c r="C524" s="1"/>
      <c r="P524"/>
      <c r="Q524"/>
    </row>
    <row r="525" spans="3:17">
      <c r="C525" s="1"/>
      <c r="P525"/>
      <c r="Q525"/>
    </row>
    <row r="526" spans="3:17">
      <c r="C526" s="1"/>
      <c r="P526"/>
      <c r="Q526"/>
    </row>
    <row r="527" spans="3:17">
      <c r="C527" s="1"/>
      <c r="P527"/>
      <c r="Q527"/>
    </row>
    <row r="528" spans="3:17">
      <c r="C528" s="1"/>
      <c r="P528"/>
      <c r="Q528"/>
    </row>
    <row r="529" spans="3:17">
      <c r="C529" s="1"/>
      <c r="P529"/>
      <c r="Q529"/>
    </row>
    <row r="530" spans="3:17">
      <c r="C530" s="1"/>
      <c r="P530"/>
      <c r="Q530"/>
    </row>
    <row r="531" spans="3:17">
      <c r="C531" s="1"/>
      <c r="P531"/>
      <c r="Q531"/>
    </row>
    <row r="532" spans="3:17">
      <c r="C532" s="1"/>
      <c r="P532"/>
      <c r="Q532"/>
    </row>
    <row r="533" spans="3:17">
      <c r="C533" s="1"/>
      <c r="P533"/>
      <c r="Q533"/>
    </row>
    <row r="534" spans="3:17">
      <c r="C534" s="1"/>
      <c r="P534"/>
      <c r="Q534"/>
    </row>
    <row r="535" spans="3:17">
      <c r="C535" s="1"/>
      <c r="P535"/>
      <c r="Q535"/>
    </row>
    <row r="536" spans="3:17">
      <c r="C536" s="1"/>
      <c r="P536"/>
      <c r="Q536"/>
    </row>
    <row r="537" spans="3:17">
      <c r="C537" s="1"/>
      <c r="P537"/>
      <c r="Q537"/>
    </row>
    <row r="538" spans="3:17">
      <c r="C538" s="1"/>
      <c r="P538"/>
      <c r="Q538"/>
    </row>
    <row r="539" spans="3:17">
      <c r="C539" s="1"/>
      <c r="P539"/>
      <c r="Q539"/>
    </row>
    <row r="540" spans="3:17">
      <c r="C540" s="1"/>
      <c r="P540"/>
      <c r="Q540"/>
    </row>
    <row r="541" spans="3:17">
      <c r="C541" s="1"/>
      <c r="P541"/>
      <c r="Q541"/>
    </row>
    <row r="542" spans="3:17">
      <c r="C542" s="1"/>
      <c r="P542"/>
      <c r="Q542"/>
    </row>
    <row r="543" spans="3:17">
      <c r="C543" s="1"/>
      <c r="P543"/>
      <c r="Q543"/>
    </row>
    <row r="544" spans="3:17">
      <c r="C544" s="1"/>
      <c r="P544"/>
      <c r="Q544"/>
    </row>
    <row r="545" spans="3:17">
      <c r="C545" s="1"/>
      <c r="P545"/>
      <c r="Q545"/>
    </row>
    <row r="546" spans="3:17">
      <c r="C546" s="1"/>
      <c r="P546"/>
      <c r="Q546"/>
    </row>
    <row r="547" spans="3:17">
      <c r="C547" s="1"/>
      <c r="P547"/>
      <c r="Q547"/>
    </row>
    <row r="548" spans="3:17">
      <c r="C548" s="1"/>
      <c r="P548"/>
      <c r="Q548"/>
    </row>
    <row r="549" spans="3:17">
      <c r="C549" s="1"/>
      <c r="P549"/>
      <c r="Q549"/>
    </row>
    <row r="550" spans="3:17">
      <c r="C550" s="1"/>
      <c r="P550"/>
      <c r="Q550"/>
    </row>
    <row r="551" spans="3:17">
      <c r="C551" s="1"/>
      <c r="P551"/>
      <c r="Q551"/>
    </row>
    <row r="552" spans="3:17">
      <c r="C552" s="1"/>
      <c r="P552"/>
      <c r="Q552"/>
    </row>
    <row r="553" spans="3:17">
      <c r="C553" s="1"/>
      <c r="P553"/>
      <c r="Q553"/>
    </row>
    <row r="554" spans="3:17">
      <c r="C554" s="1"/>
      <c r="P554"/>
      <c r="Q554"/>
    </row>
    <row r="555" spans="3:17">
      <c r="C555" s="1"/>
      <c r="P555"/>
      <c r="Q555"/>
    </row>
    <row r="556" spans="3:17">
      <c r="C556" s="1"/>
      <c r="P556"/>
      <c r="Q556"/>
    </row>
    <row r="557" spans="3:17">
      <c r="C557" s="1"/>
      <c r="P557"/>
      <c r="Q557"/>
    </row>
    <row r="558" spans="3:17">
      <c r="C558" s="1"/>
      <c r="P558"/>
      <c r="Q558"/>
    </row>
    <row r="559" spans="3:17">
      <c r="C559" s="1"/>
      <c r="P559"/>
      <c r="Q559"/>
    </row>
    <row r="560" spans="3:17">
      <c r="C560" s="1"/>
      <c r="P560"/>
      <c r="Q560"/>
    </row>
    <row r="561" spans="3:17">
      <c r="C561" s="1"/>
      <c r="P561"/>
      <c r="Q561"/>
    </row>
    <row r="562" spans="3:17">
      <c r="C562" s="1"/>
      <c r="P562"/>
      <c r="Q562"/>
    </row>
    <row r="563" spans="3:17">
      <c r="C563" s="1"/>
      <c r="P563"/>
      <c r="Q563"/>
    </row>
    <row r="564" spans="3:17">
      <c r="C564" s="1"/>
      <c r="P564"/>
      <c r="Q564"/>
    </row>
    <row r="565" spans="3:17">
      <c r="C565" s="1"/>
      <c r="P565"/>
      <c r="Q565"/>
    </row>
    <row r="566" spans="3:17">
      <c r="C566" s="1"/>
      <c r="P566"/>
      <c r="Q566"/>
    </row>
    <row r="567" spans="3:17">
      <c r="C567" s="1"/>
      <c r="P567"/>
      <c r="Q567"/>
    </row>
    <row r="568" spans="3:17">
      <c r="C568" s="1"/>
      <c r="P568"/>
      <c r="Q568"/>
    </row>
    <row r="569" spans="3:17">
      <c r="C569" s="1"/>
      <c r="P569"/>
      <c r="Q569"/>
    </row>
    <row r="570" spans="3:17">
      <c r="C570" s="1"/>
      <c r="P570"/>
      <c r="Q570"/>
    </row>
    <row r="571" spans="3:17">
      <c r="C571" s="1"/>
      <c r="P571"/>
      <c r="Q571"/>
    </row>
    <row r="572" spans="3:17">
      <c r="C572" s="1"/>
      <c r="P572"/>
      <c r="Q572"/>
    </row>
    <row r="573" spans="3:17">
      <c r="C573" s="1"/>
      <c r="P573"/>
      <c r="Q573"/>
    </row>
    <row r="574" spans="3:17">
      <c r="C574" s="1"/>
      <c r="P574"/>
      <c r="Q574"/>
    </row>
    <row r="575" spans="3:17">
      <c r="C575" s="1"/>
      <c r="P575"/>
      <c r="Q575"/>
    </row>
    <row r="576" spans="3:17">
      <c r="C576" s="1"/>
      <c r="P576"/>
      <c r="Q576"/>
    </row>
    <row r="577" spans="3:17">
      <c r="C577" s="1"/>
      <c r="P577"/>
      <c r="Q577"/>
    </row>
    <row r="578" spans="3:17">
      <c r="C578" s="1"/>
      <c r="P578"/>
      <c r="Q578"/>
    </row>
    <row r="579" spans="3:17">
      <c r="C579" s="1"/>
      <c r="P579"/>
      <c r="Q579"/>
    </row>
    <row r="580" spans="3:17">
      <c r="C580" s="1"/>
      <c r="P580"/>
      <c r="Q580"/>
    </row>
    <row r="581" spans="3:17">
      <c r="C581" s="1"/>
      <c r="P581"/>
      <c r="Q581"/>
    </row>
    <row r="582" spans="3:17">
      <c r="C582" s="1"/>
      <c r="P582"/>
      <c r="Q582"/>
    </row>
    <row r="583" spans="3:17">
      <c r="C583" s="1"/>
      <c r="P583"/>
      <c r="Q583"/>
    </row>
    <row r="584" spans="3:17">
      <c r="C584" s="1"/>
      <c r="P584"/>
      <c r="Q584"/>
    </row>
    <row r="585" spans="3:17">
      <c r="C585" s="1"/>
      <c r="P585"/>
      <c r="Q585"/>
    </row>
    <row r="586" spans="3:17">
      <c r="C586" s="1"/>
      <c r="P586"/>
      <c r="Q586"/>
    </row>
    <row r="587" spans="3:17">
      <c r="C587" s="1"/>
      <c r="P587"/>
      <c r="Q587"/>
    </row>
    <row r="588" spans="3:17">
      <c r="C588" s="1"/>
      <c r="P588"/>
      <c r="Q588"/>
    </row>
    <row r="589" spans="3:17">
      <c r="C589" s="1"/>
      <c r="P589"/>
      <c r="Q589"/>
    </row>
    <row r="590" spans="3:17">
      <c r="C590" s="1"/>
      <c r="P590"/>
      <c r="Q590"/>
    </row>
    <row r="591" spans="3:17">
      <c r="C591" s="1"/>
      <c r="P591"/>
      <c r="Q591"/>
    </row>
    <row r="592" spans="3:17">
      <c r="C592" s="1"/>
      <c r="P592"/>
      <c r="Q592"/>
    </row>
    <row r="593" spans="3:17">
      <c r="C593" s="1"/>
      <c r="P593"/>
      <c r="Q593"/>
    </row>
    <row r="594" spans="3:17">
      <c r="C594" s="1"/>
      <c r="P594"/>
      <c r="Q594"/>
    </row>
    <row r="595" spans="3:17">
      <c r="C595" s="1"/>
      <c r="P595"/>
      <c r="Q595"/>
    </row>
    <row r="596" spans="3:17">
      <c r="C596" s="1"/>
      <c r="P596"/>
      <c r="Q596"/>
    </row>
    <row r="597" spans="3:17">
      <c r="C597" s="1"/>
      <c r="P597"/>
      <c r="Q597"/>
    </row>
    <row r="598" spans="3:17">
      <c r="C598" s="1"/>
      <c r="P598"/>
      <c r="Q598"/>
    </row>
    <row r="599" spans="3:17">
      <c r="C599" s="1"/>
      <c r="P599"/>
      <c r="Q599"/>
    </row>
    <row r="600" spans="3:17">
      <c r="C600" s="1"/>
      <c r="P600"/>
      <c r="Q600"/>
    </row>
    <row r="601" spans="3:17">
      <c r="C601" s="1"/>
      <c r="P601"/>
      <c r="Q601"/>
    </row>
    <row r="602" spans="3:17">
      <c r="C602" s="1"/>
      <c r="P602"/>
      <c r="Q602"/>
    </row>
    <row r="603" spans="3:17">
      <c r="C603" s="1"/>
      <c r="P603"/>
      <c r="Q603"/>
    </row>
    <row r="604" spans="3:17">
      <c r="C604" s="1"/>
      <c r="P604"/>
      <c r="Q604"/>
    </row>
    <row r="605" spans="3:17">
      <c r="C605" s="1"/>
      <c r="P605"/>
      <c r="Q605"/>
    </row>
    <row r="606" spans="3:17">
      <c r="C606" s="1"/>
      <c r="P606"/>
      <c r="Q606"/>
    </row>
    <row r="607" spans="3:17">
      <c r="C607" s="1"/>
      <c r="P607"/>
      <c r="Q607"/>
    </row>
    <row r="608" spans="3:17">
      <c r="C608" s="1"/>
      <c r="P608"/>
      <c r="Q608"/>
    </row>
    <row r="609" spans="3:17">
      <c r="C609" s="1"/>
      <c r="P609"/>
      <c r="Q609"/>
    </row>
    <row r="610" spans="3:17">
      <c r="C610" s="1"/>
      <c r="P610"/>
      <c r="Q610"/>
    </row>
    <row r="611" spans="3:17">
      <c r="C611" s="1"/>
      <c r="P611"/>
      <c r="Q611"/>
    </row>
    <row r="612" spans="3:17">
      <c r="C612" s="1"/>
      <c r="P612"/>
      <c r="Q612"/>
    </row>
    <row r="613" spans="3:17">
      <c r="C613" s="1"/>
      <c r="P613"/>
      <c r="Q613"/>
    </row>
    <row r="614" spans="3:17">
      <c r="C614" s="1"/>
      <c r="P614"/>
      <c r="Q614"/>
    </row>
    <row r="615" spans="3:17">
      <c r="C615" s="1"/>
      <c r="P615"/>
      <c r="Q615"/>
    </row>
    <row r="616" spans="3:17">
      <c r="C616" s="1"/>
      <c r="P616"/>
      <c r="Q616"/>
    </row>
    <row r="617" spans="3:17">
      <c r="C617" s="1"/>
      <c r="P617"/>
      <c r="Q617"/>
    </row>
    <row r="618" spans="3:17">
      <c r="C618" s="1"/>
      <c r="P618"/>
      <c r="Q618"/>
    </row>
    <row r="619" spans="3:17">
      <c r="C619" s="1"/>
      <c r="P619"/>
      <c r="Q619"/>
    </row>
    <row r="620" spans="3:17">
      <c r="C620" s="1"/>
      <c r="P620"/>
      <c r="Q620"/>
    </row>
    <row r="621" spans="3:17">
      <c r="C621" s="1"/>
      <c r="P621"/>
      <c r="Q621"/>
    </row>
    <row r="622" spans="3:17">
      <c r="C622" s="1"/>
      <c r="P622"/>
      <c r="Q622"/>
    </row>
    <row r="623" spans="3:17">
      <c r="C623" s="1"/>
      <c r="P623"/>
      <c r="Q623"/>
    </row>
    <row r="624" spans="3:17">
      <c r="C624" s="1"/>
      <c r="P624"/>
      <c r="Q624"/>
    </row>
    <row r="625" spans="3:17">
      <c r="C625" s="1"/>
      <c r="P625"/>
      <c r="Q625"/>
    </row>
    <row r="626" spans="3:17">
      <c r="C626" s="1"/>
      <c r="P626"/>
      <c r="Q626"/>
    </row>
    <row r="627" spans="3:17">
      <c r="C627" s="1"/>
      <c r="P627"/>
      <c r="Q627"/>
    </row>
    <row r="628" spans="3:17">
      <c r="C628" s="1"/>
      <c r="P628"/>
      <c r="Q628"/>
    </row>
    <row r="629" spans="3:17">
      <c r="C629" s="1"/>
      <c r="P629"/>
      <c r="Q629"/>
    </row>
    <row r="630" spans="3:17">
      <c r="C630" s="1"/>
      <c r="P630"/>
      <c r="Q630"/>
    </row>
    <row r="631" spans="3:17">
      <c r="C631" s="1"/>
      <c r="P631"/>
      <c r="Q631"/>
    </row>
    <row r="632" spans="3:17">
      <c r="C632" s="1"/>
      <c r="P632"/>
      <c r="Q632"/>
    </row>
    <row r="633" spans="3:17">
      <c r="C633" s="1"/>
      <c r="P633"/>
      <c r="Q633"/>
    </row>
    <row r="634" spans="3:17">
      <c r="C634" s="1"/>
      <c r="P634"/>
      <c r="Q634"/>
    </row>
    <row r="635" spans="3:17">
      <c r="C635" s="1"/>
      <c r="P635"/>
      <c r="Q635"/>
    </row>
    <row r="636" spans="3:17">
      <c r="C636" s="1"/>
      <c r="P636"/>
      <c r="Q636"/>
    </row>
    <row r="637" spans="3:17">
      <c r="C637" s="1"/>
      <c r="P637"/>
      <c r="Q637"/>
    </row>
    <row r="638" spans="3:17">
      <c r="C638" s="1"/>
      <c r="P638"/>
      <c r="Q638"/>
    </row>
    <row r="639" spans="3:17">
      <c r="C639" s="1"/>
      <c r="P639"/>
      <c r="Q639"/>
    </row>
    <row r="640" spans="3:17">
      <c r="C640" s="1"/>
      <c r="P640"/>
      <c r="Q640"/>
    </row>
    <row r="641" spans="3:17">
      <c r="C641" s="1"/>
      <c r="P641"/>
      <c r="Q641"/>
    </row>
    <row r="642" spans="3:17">
      <c r="C642" s="1"/>
      <c r="P642"/>
      <c r="Q642"/>
    </row>
    <row r="643" spans="3:17">
      <c r="C643" s="1"/>
      <c r="P643"/>
      <c r="Q643"/>
    </row>
    <row r="644" spans="3:17">
      <c r="C644" s="1"/>
      <c r="P644"/>
      <c r="Q644"/>
    </row>
    <row r="645" spans="3:17">
      <c r="C645" s="1"/>
      <c r="P645"/>
      <c r="Q645"/>
    </row>
    <row r="646" spans="3:17">
      <c r="C646" s="1"/>
      <c r="P646"/>
      <c r="Q646"/>
    </row>
    <row r="647" spans="3:17">
      <c r="C647" s="1"/>
      <c r="P647"/>
      <c r="Q647"/>
    </row>
    <row r="648" spans="3:17">
      <c r="C648" s="1"/>
      <c r="P648"/>
      <c r="Q648"/>
    </row>
    <row r="649" spans="3:17">
      <c r="C649" s="1"/>
      <c r="P649"/>
      <c r="Q649"/>
    </row>
    <row r="650" spans="3:17">
      <c r="C650" s="1"/>
      <c r="P650"/>
      <c r="Q650"/>
    </row>
    <row r="651" spans="3:17">
      <c r="C651" s="1"/>
      <c r="P651"/>
      <c r="Q651"/>
    </row>
    <row r="652" spans="3:17">
      <c r="C652" s="1"/>
      <c r="P652"/>
      <c r="Q652"/>
    </row>
    <row r="653" spans="3:17">
      <c r="C653" s="1"/>
      <c r="P653"/>
      <c r="Q653"/>
    </row>
    <row r="654" spans="3:17">
      <c r="C654" s="1"/>
      <c r="P654"/>
      <c r="Q654"/>
    </row>
    <row r="655" spans="3:17">
      <c r="C655" s="1"/>
      <c r="P655"/>
      <c r="Q655"/>
    </row>
    <row r="656" spans="3:17">
      <c r="C656" s="1"/>
      <c r="P656"/>
      <c r="Q656"/>
    </row>
    <row r="657" spans="3:17">
      <c r="C657" s="1"/>
      <c r="P657"/>
      <c r="Q657"/>
    </row>
    <row r="658" spans="3:17">
      <c r="C658" s="1"/>
      <c r="P658"/>
      <c r="Q658"/>
    </row>
    <row r="659" spans="3:17">
      <c r="C659" s="1"/>
      <c r="P659"/>
      <c r="Q659"/>
    </row>
    <row r="660" spans="3:17">
      <c r="C660" s="1"/>
      <c r="P660"/>
      <c r="Q660"/>
    </row>
    <row r="661" spans="3:17">
      <c r="C661" s="1"/>
      <c r="P661"/>
      <c r="Q661"/>
    </row>
    <row r="662" spans="3:17">
      <c r="C662" s="1"/>
      <c r="P662"/>
      <c r="Q662"/>
    </row>
    <row r="663" spans="3:17">
      <c r="C663" s="1"/>
      <c r="P663"/>
      <c r="Q663"/>
    </row>
    <row r="664" spans="3:17">
      <c r="C664" s="1"/>
      <c r="P664"/>
      <c r="Q664"/>
    </row>
    <row r="665" spans="3:17">
      <c r="C665" s="1"/>
      <c r="P665"/>
      <c r="Q665"/>
    </row>
    <row r="666" spans="3:17">
      <c r="C666" s="1"/>
      <c r="P666"/>
      <c r="Q666"/>
    </row>
    <row r="667" spans="3:17">
      <c r="C667" s="1"/>
      <c r="P667"/>
      <c r="Q667"/>
    </row>
    <row r="668" spans="3:17">
      <c r="C668" s="1"/>
      <c r="P668"/>
      <c r="Q668"/>
    </row>
    <row r="669" spans="3:17">
      <c r="C669" s="1"/>
      <c r="P669"/>
      <c r="Q669"/>
    </row>
    <row r="670" spans="3:17">
      <c r="C670" s="1"/>
      <c r="P670"/>
      <c r="Q670"/>
    </row>
    <row r="671" spans="3:17">
      <c r="C671" s="1"/>
      <c r="P671"/>
      <c r="Q671"/>
    </row>
    <row r="672" spans="3:17">
      <c r="C672" s="1"/>
      <c r="P672"/>
      <c r="Q672"/>
    </row>
    <row r="673" spans="3:17">
      <c r="C673" s="1"/>
      <c r="P673"/>
      <c r="Q673"/>
    </row>
    <row r="674" spans="3:17">
      <c r="C674" s="1"/>
      <c r="P674"/>
      <c r="Q674"/>
    </row>
    <row r="675" spans="3:17">
      <c r="C675" s="1"/>
      <c r="P675"/>
      <c r="Q675"/>
    </row>
    <row r="676" spans="3:17">
      <c r="C676" s="1"/>
      <c r="P676"/>
      <c r="Q676"/>
    </row>
    <row r="677" spans="3:17">
      <c r="C677" s="1"/>
      <c r="P677"/>
      <c r="Q677"/>
    </row>
    <row r="678" spans="3:17">
      <c r="C678" s="1"/>
      <c r="P678"/>
      <c r="Q678"/>
    </row>
    <row r="679" spans="3:17">
      <c r="C679" s="1"/>
      <c r="P679"/>
      <c r="Q679"/>
    </row>
    <row r="680" spans="3:17">
      <c r="C680" s="1"/>
      <c r="P680"/>
      <c r="Q680"/>
    </row>
    <row r="681" spans="3:17">
      <c r="C681" s="1"/>
      <c r="P681"/>
      <c r="Q681"/>
    </row>
    <row r="682" spans="3:17">
      <c r="C682" s="1"/>
      <c r="P682"/>
      <c r="Q682"/>
    </row>
    <row r="683" spans="3:17">
      <c r="C683" s="1"/>
      <c r="P683"/>
      <c r="Q683"/>
    </row>
    <row r="684" spans="3:17">
      <c r="C684" s="1"/>
      <c r="P684"/>
      <c r="Q684"/>
    </row>
    <row r="685" spans="3:17">
      <c r="C685" s="1"/>
      <c r="P685"/>
      <c r="Q685"/>
    </row>
    <row r="686" spans="3:17">
      <c r="C686" s="1"/>
      <c r="P686"/>
      <c r="Q686"/>
    </row>
    <row r="687" spans="3:17">
      <c r="C687" s="1"/>
      <c r="P687"/>
      <c r="Q687"/>
    </row>
    <row r="688" spans="3:17">
      <c r="C688" s="1"/>
      <c r="P688"/>
      <c r="Q688"/>
    </row>
    <row r="689" spans="3:17">
      <c r="C689" s="1"/>
      <c r="P689"/>
      <c r="Q689"/>
    </row>
    <row r="690" spans="3:17">
      <c r="C690" s="1"/>
      <c r="P690"/>
      <c r="Q690"/>
    </row>
    <row r="691" spans="3:17">
      <c r="C691" s="1"/>
      <c r="P691"/>
      <c r="Q691"/>
    </row>
    <row r="692" spans="3:17">
      <c r="C692" s="1"/>
      <c r="P692"/>
      <c r="Q692"/>
    </row>
    <row r="693" spans="3:17">
      <c r="C693" s="1"/>
      <c r="P693"/>
      <c r="Q693"/>
    </row>
    <row r="694" spans="3:17">
      <c r="C694" s="1"/>
      <c r="P694"/>
      <c r="Q694"/>
    </row>
    <row r="695" spans="3:17">
      <c r="C695" s="1"/>
      <c r="P695"/>
      <c r="Q695"/>
    </row>
    <row r="696" spans="3:17">
      <c r="C696" s="1"/>
      <c r="P696"/>
      <c r="Q696"/>
    </row>
    <row r="697" spans="3:17">
      <c r="C697" s="1"/>
      <c r="P697"/>
      <c r="Q697"/>
    </row>
    <row r="698" spans="3:17">
      <c r="C698" s="1"/>
      <c r="P698"/>
      <c r="Q698"/>
    </row>
    <row r="699" spans="3:17">
      <c r="C699" s="1"/>
      <c r="P699"/>
      <c r="Q699"/>
    </row>
    <row r="700" spans="3:17">
      <c r="C700" s="1"/>
      <c r="P700"/>
      <c r="Q700"/>
    </row>
    <row r="701" spans="3:17">
      <c r="C701" s="1"/>
      <c r="P701"/>
      <c r="Q701"/>
    </row>
    <row r="702" spans="3:17">
      <c r="C702" s="1"/>
      <c r="P702"/>
      <c r="Q702"/>
    </row>
    <row r="703" spans="3:17">
      <c r="D703"/>
      <c r="E703"/>
      <c r="F703"/>
      <c r="G703"/>
      <c r="H703"/>
      <c r="I703"/>
      <c r="J703"/>
      <c r="K703"/>
      <c r="L703"/>
      <c r="M703"/>
      <c r="N703"/>
      <c r="O703"/>
      <c r="P703"/>
      <c r="Q703"/>
    </row>
    <row r="704" spans="3:17">
      <c r="D704"/>
      <c r="E704"/>
      <c r="F704"/>
      <c r="G704"/>
      <c r="H704"/>
      <c r="I704"/>
      <c r="J704"/>
      <c r="K704"/>
      <c r="L704"/>
      <c r="M704"/>
      <c r="N704"/>
      <c r="O704"/>
      <c r="P704"/>
      <c r="Q704"/>
    </row>
    <row r="705" spans="4:17">
      <c r="D705"/>
      <c r="E705"/>
      <c r="F705"/>
      <c r="G705"/>
      <c r="H705"/>
      <c r="I705"/>
      <c r="J705"/>
      <c r="K705"/>
      <c r="L705"/>
      <c r="M705"/>
      <c r="N705"/>
      <c r="O705"/>
      <c r="P705"/>
      <c r="Q705"/>
    </row>
    <row r="706" spans="4:17">
      <c r="D706"/>
      <c r="E706"/>
      <c r="F706"/>
      <c r="G706"/>
      <c r="H706"/>
      <c r="I706"/>
      <c r="J706"/>
      <c r="K706"/>
      <c r="L706"/>
      <c r="M706"/>
      <c r="N706"/>
      <c r="O706"/>
      <c r="P706"/>
      <c r="Q706"/>
    </row>
    <row r="707" spans="4:17">
      <c r="D707"/>
      <c r="E707"/>
      <c r="F707"/>
      <c r="G707"/>
      <c r="H707"/>
      <c r="I707"/>
      <c r="J707"/>
      <c r="K707"/>
      <c r="L707"/>
      <c r="M707"/>
      <c r="N707"/>
      <c r="O707"/>
      <c r="P707"/>
      <c r="Q707"/>
    </row>
    <row r="708" spans="4:17">
      <c r="D708"/>
      <c r="E708"/>
      <c r="F708"/>
      <c r="G708"/>
      <c r="H708"/>
      <c r="I708"/>
      <c r="J708"/>
      <c r="K708"/>
      <c r="L708"/>
      <c r="M708"/>
      <c r="N708"/>
      <c r="O708"/>
      <c r="P708"/>
      <c r="Q708"/>
    </row>
    <row r="709" spans="4:17">
      <c r="D709"/>
      <c r="E709"/>
      <c r="F709"/>
      <c r="G709"/>
      <c r="H709"/>
      <c r="I709"/>
      <c r="J709"/>
      <c r="K709"/>
      <c r="L709"/>
      <c r="M709"/>
      <c r="N709"/>
      <c r="O709"/>
      <c r="P709"/>
      <c r="Q709"/>
    </row>
    <row r="710" spans="4:17">
      <c r="D710"/>
      <c r="E710"/>
      <c r="F710"/>
      <c r="G710"/>
      <c r="H710"/>
      <c r="I710"/>
      <c r="J710"/>
      <c r="K710"/>
      <c r="L710"/>
      <c r="M710"/>
      <c r="N710"/>
      <c r="O710"/>
      <c r="P710"/>
      <c r="Q710"/>
    </row>
    <row r="711" spans="4:17">
      <c r="D711"/>
      <c r="E711"/>
      <c r="F711"/>
      <c r="G711"/>
      <c r="H711"/>
      <c r="I711"/>
      <c r="J711"/>
      <c r="K711"/>
      <c r="L711"/>
      <c r="M711"/>
      <c r="N711"/>
      <c r="O711"/>
      <c r="P711"/>
      <c r="Q711"/>
    </row>
    <row r="712" spans="4:17">
      <c r="D712"/>
      <c r="E712"/>
      <c r="F712"/>
      <c r="G712"/>
      <c r="H712"/>
      <c r="I712"/>
      <c r="J712"/>
      <c r="K712"/>
      <c r="L712"/>
      <c r="M712"/>
      <c r="N712"/>
      <c r="O712"/>
      <c r="P712"/>
      <c r="Q712"/>
    </row>
    <row r="713" spans="4:17">
      <c r="D713"/>
      <c r="E713"/>
      <c r="F713"/>
      <c r="G713"/>
      <c r="H713"/>
      <c r="I713"/>
      <c r="J713"/>
      <c r="K713"/>
      <c r="L713"/>
      <c r="M713"/>
      <c r="N713"/>
      <c r="O713"/>
      <c r="P713"/>
      <c r="Q713"/>
    </row>
    <row r="714" spans="4:17">
      <c r="D714"/>
      <c r="E714"/>
      <c r="F714"/>
      <c r="G714"/>
      <c r="H714"/>
      <c r="I714"/>
      <c r="J714"/>
      <c r="K714"/>
      <c r="L714"/>
      <c r="M714"/>
      <c r="N714"/>
      <c r="O714"/>
      <c r="P714"/>
      <c r="Q714"/>
    </row>
    <row r="715" spans="4:17">
      <c r="D715"/>
      <c r="E715"/>
      <c r="F715"/>
      <c r="G715"/>
      <c r="H715"/>
      <c r="I715"/>
      <c r="J715"/>
      <c r="K715"/>
      <c r="L715"/>
      <c r="M715"/>
      <c r="N715"/>
      <c r="O715"/>
      <c r="P715"/>
      <c r="Q715"/>
    </row>
    <row r="716" spans="4:17">
      <c r="D716"/>
      <c r="E716"/>
      <c r="F716"/>
      <c r="G716"/>
      <c r="H716"/>
      <c r="I716"/>
      <c r="J716"/>
      <c r="K716"/>
      <c r="L716"/>
      <c r="M716"/>
      <c r="N716"/>
      <c r="O716"/>
      <c r="P716"/>
      <c r="Q716"/>
    </row>
    <row r="717" spans="4:17">
      <c r="D717"/>
      <c r="E717"/>
      <c r="F717"/>
      <c r="G717"/>
      <c r="H717"/>
      <c r="I717"/>
      <c r="J717"/>
      <c r="K717"/>
      <c r="L717"/>
      <c r="M717"/>
      <c r="N717"/>
      <c r="O717"/>
      <c r="P717"/>
      <c r="Q717"/>
    </row>
    <row r="718" spans="4:17">
      <c r="D718"/>
      <c r="E718"/>
      <c r="F718"/>
      <c r="G718"/>
      <c r="H718"/>
      <c r="I718"/>
      <c r="J718"/>
      <c r="K718"/>
      <c r="L718"/>
      <c r="M718"/>
      <c r="N718"/>
      <c r="O718"/>
      <c r="P718"/>
      <c r="Q718"/>
    </row>
    <row r="719" spans="4:17">
      <c r="D719"/>
      <c r="E719"/>
      <c r="F719"/>
      <c r="G719"/>
      <c r="H719"/>
      <c r="I719"/>
      <c r="J719"/>
      <c r="K719"/>
      <c r="L719"/>
      <c r="M719"/>
      <c r="N719"/>
      <c r="O719"/>
      <c r="P719"/>
      <c r="Q719"/>
    </row>
    <row r="720" spans="4:17">
      <c r="D720"/>
      <c r="E720"/>
      <c r="F720"/>
      <c r="G720"/>
      <c r="H720"/>
      <c r="I720"/>
      <c r="J720"/>
      <c r="K720"/>
      <c r="L720"/>
      <c r="M720"/>
      <c r="N720"/>
      <c r="O720"/>
      <c r="P720"/>
      <c r="Q720"/>
    </row>
    <row r="721" spans="4:17">
      <c r="D721"/>
      <c r="E721"/>
      <c r="F721"/>
      <c r="G721"/>
      <c r="H721"/>
      <c r="I721"/>
      <c r="J721"/>
      <c r="K721"/>
      <c r="L721"/>
      <c r="M721"/>
      <c r="N721"/>
      <c r="O721"/>
      <c r="P721"/>
      <c r="Q721"/>
    </row>
    <row r="722" spans="4:17">
      <c r="D722"/>
      <c r="E722"/>
      <c r="F722"/>
      <c r="G722"/>
      <c r="H722"/>
      <c r="I722"/>
      <c r="J722"/>
      <c r="K722"/>
      <c r="L722"/>
      <c r="M722"/>
      <c r="N722"/>
      <c r="O722"/>
      <c r="P722"/>
      <c r="Q722"/>
    </row>
    <row r="723" spans="4:17">
      <c r="D723"/>
      <c r="E723"/>
      <c r="F723"/>
      <c r="G723"/>
      <c r="H723"/>
      <c r="I723"/>
      <c r="J723"/>
      <c r="K723"/>
      <c r="L723"/>
      <c r="M723"/>
      <c r="N723"/>
      <c r="O723"/>
      <c r="P723"/>
      <c r="Q723"/>
    </row>
    <row r="724" spans="4:17">
      <c r="D724"/>
      <c r="E724"/>
      <c r="F724"/>
      <c r="G724"/>
      <c r="H724"/>
      <c r="I724"/>
      <c r="J724"/>
      <c r="K724"/>
      <c r="L724"/>
      <c r="M724"/>
      <c r="N724"/>
      <c r="O724"/>
      <c r="P724"/>
      <c r="Q724"/>
    </row>
    <row r="725" spans="4:17">
      <c r="D725"/>
      <c r="E725"/>
      <c r="F725"/>
      <c r="G725"/>
      <c r="H725"/>
      <c r="I725"/>
      <c r="J725"/>
      <c r="K725"/>
      <c r="L725"/>
      <c r="M725"/>
      <c r="N725"/>
      <c r="O725"/>
      <c r="P725"/>
      <c r="Q725"/>
    </row>
    <row r="726" spans="4:17">
      <c r="D726"/>
      <c r="E726"/>
      <c r="F726"/>
      <c r="G726"/>
      <c r="H726"/>
      <c r="I726"/>
      <c r="J726"/>
      <c r="K726"/>
      <c r="L726"/>
      <c r="M726"/>
      <c r="N726"/>
      <c r="O726"/>
      <c r="P726"/>
      <c r="Q726"/>
    </row>
    <row r="727" spans="4:17">
      <c r="D727"/>
      <c r="E727"/>
      <c r="F727"/>
      <c r="G727"/>
      <c r="H727"/>
      <c r="I727"/>
      <c r="J727"/>
      <c r="K727"/>
      <c r="L727"/>
      <c r="M727"/>
      <c r="N727"/>
      <c r="O727"/>
      <c r="P727"/>
      <c r="Q727"/>
    </row>
    <row r="728" spans="4:17">
      <c r="D728"/>
      <c r="E728"/>
      <c r="F728"/>
      <c r="G728"/>
      <c r="H728"/>
      <c r="I728"/>
      <c r="J728"/>
      <c r="K728"/>
      <c r="L728"/>
      <c r="M728"/>
      <c r="N728"/>
      <c r="O728"/>
      <c r="P728"/>
      <c r="Q728"/>
    </row>
    <row r="729" spans="4:17">
      <c r="D729"/>
      <c r="E729"/>
      <c r="F729"/>
      <c r="G729"/>
      <c r="H729"/>
      <c r="I729"/>
      <c r="J729"/>
      <c r="K729"/>
      <c r="L729"/>
      <c r="M729"/>
      <c r="N729"/>
      <c r="O729"/>
      <c r="P729"/>
      <c r="Q729"/>
    </row>
    <row r="730" spans="4:17">
      <c r="D730"/>
      <c r="E730"/>
      <c r="F730"/>
      <c r="G730"/>
      <c r="H730"/>
      <c r="I730"/>
      <c r="J730"/>
      <c r="K730"/>
      <c r="L730"/>
      <c r="M730"/>
      <c r="N730"/>
      <c r="O730"/>
      <c r="P730"/>
      <c r="Q730"/>
    </row>
    <row r="731" spans="4:17">
      <c r="D731"/>
      <c r="E731"/>
      <c r="F731"/>
      <c r="G731"/>
      <c r="H731"/>
      <c r="I731"/>
      <c r="J731"/>
      <c r="K731"/>
      <c r="L731"/>
      <c r="M731"/>
      <c r="N731"/>
      <c r="O731"/>
      <c r="P731"/>
      <c r="Q731"/>
    </row>
    <row r="732" spans="4:17">
      <c r="D732"/>
      <c r="E732"/>
      <c r="F732"/>
      <c r="G732"/>
      <c r="H732"/>
      <c r="I732"/>
      <c r="J732"/>
      <c r="K732"/>
      <c r="L732"/>
      <c r="M732"/>
      <c r="N732"/>
      <c r="O732"/>
      <c r="P732"/>
      <c r="Q732"/>
    </row>
    <row r="733" spans="4:17">
      <c r="D733"/>
      <c r="E733"/>
      <c r="F733"/>
      <c r="G733"/>
      <c r="H733"/>
      <c r="I733"/>
      <c r="J733"/>
      <c r="K733"/>
      <c r="L733"/>
      <c r="M733"/>
      <c r="N733"/>
      <c r="O733"/>
      <c r="P733"/>
      <c r="Q733"/>
    </row>
    <row r="734" spans="4:17">
      <c r="D734"/>
      <c r="E734"/>
      <c r="F734"/>
      <c r="G734"/>
      <c r="H734"/>
      <c r="I734"/>
      <c r="J734"/>
      <c r="K734"/>
      <c r="L734"/>
      <c r="M734"/>
      <c r="N734"/>
      <c r="O734"/>
      <c r="P734"/>
      <c r="Q734"/>
    </row>
    <row r="735" spans="4:17">
      <c r="D735"/>
      <c r="E735"/>
      <c r="F735"/>
      <c r="G735"/>
      <c r="H735"/>
      <c r="I735"/>
      <c r="J735"/>
      <c r="K735"/>
      <c r="L735"/>
      <c r="M735"/>
      <c r="N735"/>
      <c r="O735"/>
      <c r="P735"/>
      <c r="Q735"/>
    </row>
    <row r="736" spans="4:17">
      <c r="D736"/>
      <c r="E736"/>
      <c r="F736"/>
      <c r="G736"/>
      <c r="H736"/>
      <c r="I736"/>
      <c r="J736"/>
      <c r="K736"/>
      <c r="L736"/>
      <c r="M736"/>
      <c r="N736"/>
      <c r="O736"/>
      <c r="P736"/>
      <c r="Q736"/>
    </row>
    <row r="737" spans="4:17">
      <c r="D737"/>
      <c r="E737"/>
      <c r="F737"/>
      <c r="G737"/>
      <c r="H737"/>
      <c r="I737"/>
      <c r="J737"/>
      <c r="K737"/>
      <c r="L737"/>
      <c r="M737"/>
      <c r="N737"/>
      <c r="O737"/>
      <c r="P737"/>
      <c r="Q737"/>
    </row>
    <row r="738" spans="4:17">
      <c r="D738"/>
      <c r="E738"/>
      <c r="F738"/>
      <c r="G738"/>
      <c r="H738"/>
      <c r="I738"/>
      <c r="J738"/>
      <c r="K738"/>
      <c r="L738"/>
      <c r="M738"/>
      <c r="N738"/>
      <c r="O738"/>
      <c r="P738"/>
      <c r="Q738"/>
    </row>
    <row r="739" spans="4:17">
      <c r="D739"/>
      <c r="E739"/>
      <c r="F739"/>
      <c r="G739"/>
      <c r="H739"/>
      <c r="I739"/>
      <c r="J739"/>
      <c r="K739"/>
      <c r="L739"/>
      <c r="M739"/>
      <c r="N739"/>
      <c r="O739"/>
      <c r="P739"/>
      <c r="Q739"/>
    </row>
    <row r="740" spans="4:17">
      <c r="D740"/>
      <c r="E740"/>
      <c r="F740"/>
      <c r="G740"/>
      <c r="H740"/>
      <c r="I740"/>
      <c r="J740"/>
      <c r="K740"/>
      <c r="L740"/>
      <c r="M740"/>
      <c r="N740"/>
      <c r="O740"/>
      <c r="P740"/>
      <c r="Q740"/>
    </row>
    <row r="741" spans="4:17">
      <c r="D741"/>
      <c r="E741"/>
      <c r="F741"/>
      <c r="G741"/>
      <c r="H741"/>
      <c r="I741"/>
      <c r="J741"/>
      <c r="K741"/>
      <c r="L741"/>
      <c r="M741"/>
      <c r="N741"/>
      <c r="O741"/>
      <c r="P741"/>
      <c r="Q741"/>
    </row>
    <row r="742" spans="4:17">
      <c r="D742"/>
      <c r="E742"/>
      <c r="F742"/>
      <c r="G742"/>
      <c r="H742"/>
      <c r="I742"/>
      <c r="J742"/>
      <c r="K742"/>
      <c r="L742"/>
      <c r="M742"/>
      <c r="N742"/>
      <c r="O742"/>
      <c r="P742"/>
      <c r="Q742"/>
    </row>
    <row r="743" spans="4:17">
      <c r="D743"/>
      <c r="E743"/>
      <c r="F743"/>
      <c r="G743"/>
      <c r="H743"/>
      <c r="I743"/>
      <c r="J743"/>
      <c r="K743"/>
      <c r="L743"/>
      <c r="M743"/>
      <c r="N743"/>
      <c r="O743"/>
      <c r="P743"/>
      <c r="Q743"/>
    </row>
    <row r="744" spans="4:17">
      <c r="D744"/>
      <c r="E744"/>
      <c r="F744"/>
      <c r="G744"/>
      <c r="H744"/>
      <c r="I744"/>
      <c r="J744"/>
      <c r="K744"/>
      <c r="L744"/>
      <c r="M744"/>
      <c r="N744"/>
      <c r="O744"/>
      <c r="P744"/>
      <c r="Q744"/>
    </row>
    <row r="745" spans="4:17">
      <c r="D745"/>
      <c r="E745"/>
      <c r="F745"/>
      <c r="G745"/>
      <c r="H745"/>
      <c r="I745"/>
      <c r="J745"/>
      <c r="K745"/>
      <c r="L745"/>
      <c r="M745"/>
      <c r="N745"/>
      <c r="O745"/>
      <c r="P745"/>
      <c r="Q745"/>
    </row>
    <row r="746" spans="4:17">
      <c r="D746"/>
      <c r="E746"/>
      <c r="F746"/>
      <c r="G746"/>
      <c r="H746"/>
      <c r="I746"/>
      <c r="J746"/>
      <c r="K746"/>
      <c r="L746"/>
      <c r="M746"/>
      <c r="N746"/>
      <c r="O746"/>
      <c r="P746"/>
      <c r="Q746"/>
    </row>
    <row r="747" spans="4:17">
      <c r="D747"/>
      <c r="E747"/>
      <c r="F747"/>
      <c r="G747"/>
      <c r="H747"/>
      <c r="I747"/>
      <c r="J747"/>
      <c r="K747"/>
      <c r="L747"/>
      <c r="M747"/>
      <c r="N747"/>
      <c r="O747"/>
      <c r="P747"/>
      <c r="Q747"/>
    </row>
    <row r="748" spans="4:17">
      <c r="D748"/>
      <c r="E748"/>
      <c r="F748"/>
      <c r="G748"/>
      <c r="H748"/>
      <c r="I748"/>
      <c r="J748"/>
      <c r="K748"/>
      <c r="L748"/>
      <c r="M748"/>
      <c r="N748"/>
      <c r="O748"/>
      <c r="P748"/>
      <c r="Q748"/>
    </row>
    <row r="749" spans="4:17">
      <c r="D749"/>
      <c r="E749"/>
      <c r="F749"/>
      <c r="G749"/>
      <c r="H749"/>
      <c r="I749"/>
      <c r="J749"/>
      <c r="K749"/>
      <c r="L749"/>
      <c r="M749"/>
      <c r="N749"/>
      <c r="O749"/>
      <c r="P749"/>
      <c r="Q749"/>
    </row>
    <row r="750" spans="4:17">
      <c r="D750"/>
      <c r="E750"/>
      <c r="F750"/>
      <c r="G750"/>
      <c r="H750"/>
      <c r="I750"/>
      <c r="J750"/>
      <c r="K750"/>
      <c r="L750"/>
      <c r="M750"/>
      <c r="N750"/>
      <c r="O750"/>
      <c r="P750"/>
      <c r="Q750"/>
    </row>
    <row r="751" spans="4:17">
      <c r="D751"/>
      <c r="E751"/>
      <c r="F751"/>
      <c r="G751"/>
      <c r="H751"/>
      <c r="I751"/>
      <c r="J751"/>
      <c r="K751"/>
      <c r="L751"/>
      <c r="M751"/>
      <c r="N751"/>
      <c r="O751"/>
      <c r="P751"/>
      <c r="Q751"/>
    </row>
    <row r="752" spans="4:17">
      <c r="D752"/>
      <c r="E752"/>
      <c r="F752"/>
      <c r="G752"/>
      <c r="H752"/>
      <c r="I752"/>
      <c r="J752"/>
      <c r="K752"/>
      <c r="L752"/>
      <c r="M752"/>
      <c r="N752"/>
      <c r="O752"/>
      <c r="P752"/>
      <c r="Q752"/>
    </row>
    <row r="753" spans="4:17">
      <c r="D753"/>
      <c r="E753"/>
      <c r="F753"/>
      <c r="G753"/>
      <c r="H753"/>
      <c r="I753"/>
      <c r="J753"/>
      <c r="K753"/>
      <c r="L753"/>
      <c r="M753"/>
      <c r="N753"/>
      <c r="O753"/>
      <c r="P753"/>
      <c r="Q753"/>
    </row>
    <row r="754" spans="4:17">
      <c r="D754"/>
      <c r="E754"/>
      <c r="F754"/>
      <c r="G754"/>
      <c r="H754"/>
      <c r="I754"/>
      <c r="J754"/>
      <c r="K754"/>
      <c r="L754"/>
      <c r="M754"/>
      <c r="N754"/>
      <c r="O754"/>
      <c r="P754"/>
      <c r="Q754"/>
    </row>
    <row r="755" spans="4:17">
      <c r="D755"/>
      <c r="E755"/>
      <c r="F755"/>
      <c r="G755"/>
      <c r="H755"/>
      <c r="I755"/>
      <c r="J755"/>
      <c r="K755"/>
      <c r="L755"/>
      <c r="M755"/>
      <c r="N755"/>
      <c r="O755"/>
      <c r="P755"/>
      <c r="Q755"/>
    </row>
    <row r="756" spans="4:17">
      <c r="D756"/>
      <c r="E756"/>
      <c r="F756"/>
      <c r="G756"/>
      <c r="H756"/>
      <c r="I756"/>
      <c r="J756"/>
      <c r="K756"/>
      <c r="L756"/>
      <c r="M756"/>
      <c r="N756"/>
      <c r="O756"/>
      <c r="P756"/>
      <c r="Q756"/>
    </row>
    <row r="757" spans="4:17">
      <c r="D757"/>
      <c r="E757"/>
      <c r="F757"/>
      <c r="G757"/>
      <c r="H757"/>
      <c r="I757"/>
      <c r="J757"/>
      <c r="K757"/>
      <c r="L757"/>
      <c r="M757"/>
      <c r="N757"/>
      <c r="O757"/>
      <c r="P757"/>
      <c r="Q757"/>
    </row>
    <row r="758" spans="4:17">
      <c r="D758"/>
      <c r="E758"/>
      <c r="F758"/>
      <c r="G758"/>
      <c r="H758"/>
      <c r="I758"/>
      <c r="J758"/>
      <c r="K758"/>
      <c r="L758"/>
      <c r="M758"/>
      <c r="N758"/>
      <c r="O758"/>
      <c r="P758"/>
      <c r="Q758"/>
    </row>
    <row r="759" spans="4:17">
      <c r="D759"/>
      <c r="E759"/>
      <c r="F759"/>
      <c r="G759"/>
      <c r="H759"/>
      <c r="I759"/>
      <c r="J759"/>
      <c r="K759"/>
      <c r="L759"/>
      <c r="M759"/>
      <c r="N759"/>
      <c r="O759"/>
      <c r="P759"/>
      <c r="Q759"/>
    </row>
    <row r="760" spans="4:17">
      <c r="D760"/>
      <c r="E760"/>
      <c r="F760"/>
      <c r="G760"/>
      <c r="H760"/>
      <c r="I760"/>
      <c r="J760"/>
      <c r="K760"/>
      <c r="L760"/>
      <c r="M760"/>
      <c r="N760"/>
      <c r="O760"/>
      <c r="P760"/>
      <c r="Q760"/>
    </row>
    <row r="761" spans="4:17">
      <c r="D761"/>
      <c r="E761"/>
      <c r="F761"/>
      <c r="G761"/>
      <c r="H761"/>
      <c r="I761"/>
      <c r="J761"/>
      <c r="K761"/>
      <c r="L761"/>
      <c r="M761"/>
      <c r="N761"/>
      <c r="O761"/>
      <c r="P761"/>
      <c r="Q761"/>
    </row>
    <row r="762" spans="4:17">
      <c r="D762"/>
      <c r="E762"/>
      <c r="F762"/>
      <c r="G762"/>
      <c r="H762"/>
      <c r="I762"/>
      <c r="J762"/>
      <c r="K762"/>
      <c r="L762"/>
      <c r="M762"/>
      <c r="N762"/>
      <c r="O762"/>
      <c r="P762"/>
      <c r="Q762"/>
    </row>
    <row r="763" spans="4:17">
      <c r="D763"/>
      <c r="E763"/>
      <c r="F763"/>
      <c r="G763"/>
      <c r="H763"/>
      <c r="I763"/>
      <c r="J763"/>
      <c r="K763"/>
      <c r="L763"/>
      <c r="M763"/>
      <c r="N763"/>
      <c r="O763"/>
      <c r="P763"/>
      <c r="Q763"/>
    </row>
    <row r="764" spans="4:17">
      <c r="D764"/>
      <c r="E764"/>
      <c r="F764"/>
      <c r="G764"/>
      <c r="H764"/>
      <c r="I764"/>
      <c r="J764"/>
      <c r="K764"/>
      <c r="L764"/>
      <c r="M764"/>
      <c r="N764"/>
      <c r="O764"/>
      <c r="P764"/>
      <c r="Q764"/>
    </row>
    <row r="765" spans="4:17">
      <c r="D765"/>
      <c r="E765"/>
      <c r="F765"/>
      <c r="G765"/>
      <c r="H765"/>
      <c r="I765"/>
      <c r="J765"/>
      <c r="K765"/>
      <c r="L765"/>
      <c r="M765"/>
      <c r="N765"/>
      <c r="O765"/>
      <c r="P765"/>
      <c r="Q765"/>
    </row>
    <row r="766" spans="4:17">
      <c r="D766"/>
      <c r="E766"/>
      <c r="F766"/>
      <c r="G766"/>
      <c r="H766"/>
      <c r="I766"/>
      <c r="J766"/>
      <c r="K766"/>
      <c r="L766"/>
      <c r="M766"/>
      <c r="N766"/>
      <c r="O766"/>
      <c r="P766"/>
      <c r="Q766"/>
    </row>
    <row r="767" spans="4:17">
      <c r="D767"/>
      <c r="E767"/>
      <c r="F767"/>
      <c r="G767"/>
      <c r="H767"/>
      <c r="I767"/>
      <c r="J767"/>
      <c r="K767"/>
      <c r="L767"/>
      <c r="M767"/>
      <c r="N767"/>
      <c r="O767"/>
      <c r="P767"/>
      <c r="Q767"/>
    </row>
    <row r="768" spans="4:17">
      <c r="D768"/>
      <c r="E768"/>
      <c r="F768"/>
      <c r="G768"/>
      <c r="H768"/>
      <c r="I768"/>
      <c r="J768"/>
      <c r="K768"/>
      <c r="L768"/>
      <c r="M768"/>
      <c r="N768"/>
      <c r="O768"/>
      <c r="P768"/>
      <c r="Q768"/>
    </row>
    <row r="769" spans="4:17">
      <c r="D769"/>
      <c r="E769"/>
      <c r="F769"/>
      <c r="G769"/>
      <c r="H769"/>
      <c r="I769"/>
      <c r="J769"/>
      <c r="K769"/>
      <c r="L769"/>
      <c r="M769"/>
      <c r="N769"/>
      <c r="O769"/>
      <c r="P769"/>
      <c r="Q769"/>
    </row>
    <row r="770" spans="4:17">
      <c r="D770"/>
      <c r="E770"/>
      <c r="F770"/>
      <c r="G770"/>
      <c r="H770"/>
      <c r="I770"/>
      <c r="J770"/>
      <c r="K770"/>
      <c r="L770"/>
      <c r="M770"/>
      <c r="N770"/>
      <c r="O770"/>
      <c r="P770"/>
      <c r="Q770"/>
    </row>
    <row r="771" spans="4:17">
      <c r="D771"/>
      <c r="E771"/>
      <c r="F771"/>
      <c r="G771"/>
      <c r="H771"/>
      <c r="I771"/>
      <c r="J771"/>
      <c r="K771"/>
      <c r="L771"/>
      <c r="M771"/>
      <c r="N771"/>
      <c r="O771"/>
      <c r="P771"/>
      <c r="Q771"/>
    </row>
    <row r="772" spans="4:17">
      <c r="D772"/>
      <c r="E772"/>
      <c r="F772"/>
      <c r="G772"/>
      <c r="H772"/>
      <c r="I772"/>
      <c r="J772"/>
      <c r="K772"/>
      <c r="L772"/>
      <c r="M772"/>
      <c r="N772"/>
      <c r="O772"/>
      <c r="P772"/>
      <c r="Q772"/>
    </row>
    <row r="773" spans="4:17">
      <c r="D773"/>
      <c r="E773"/>
      <c r="F773"/>
      <c r="G773"/>
      <c r="H773"/>
      <c r="I773"/>
      <c r="J773"/>
      <c r="K773"/>
      <c r="L773"/>
      <c r="M773"/>
      <c r="N773"/>
      <c r="O773"/>
      <c r="P773"/>
      <c r="Q773"/>
    </row>
    <row r="774" spans="4:17">
      <c r="D774"/>
      <c r="E774"/>
      <c r="F774"/>
      <c r="G774"/>
      <c r="H774"/>
      <c r="I774"/>
      <c r="J774"/>
      <c r="K774"/>
      <c r="L774"/>
      <c r="M774"/>
      <c r="N774"/>
      <c r="O774"/>
      <c r="P774"/>
      <c r="Q774"/>
    </row>
    <row r="775" spans="4:17">
      <c r="D775"/>
      <c r="E775"/>
      <c r="F775"/>
      <c r="G775"/>
      <c r="H775"/>
      <c r="I775"/>
      <c r="J775"/>
      <c r="K775"/>
      <c r="L775"/>
      <c r="M775"/>
      <c r="N775"/>
      <c r="O775"/>
      <c r="P775"/>
      <c r="Q775"/>
    </row>
    <row r="776" spans="4:17">
      <c r="D776"/>
      <c r="E776"/>
      <c r="F776"/>
      <c r="G776"/>
      <c r="H776"/>
      <c r="I776"/>
      <c r="J776"/>
      <c r="K776"/>
      <c r="L776"/>
      <c r="M776"/>
      <c r="N776"/>
      <c r="O776"/>
      <c r="P776"/>
      <c r="Q776"/>
    </row>
    <row r="777" spans="4:17">
      <c r="D777"/>
      <c r="E777"/>
      <c r="F777"/>
      <c r="G777"/>
      <c r="H777"/>
      <c r="I777"/>
      <c r="J777"/>
      <c r="K777"/>
      <c r="L777"/>
      <c r="M777"/>
      <c r="N777"/>
      <c r="O777"/>
      <c r="P777"/>
      <c r="Q777"/>
    </row>
    <row r="778" spans="4:17">
      <c r="D778"/>
      <c r="E778"/>
      <c r="F778"/>
      <c r="G778"/>
      <c r="H778"/>
      <c r="I778"/>
      <c r="J778"/>
      <c r="K778"/>
      <c r="L778"/>
      <c r="M778"/>
      <c r="N778"/>
      <c r="O778"/>
      <c r="P778"/>
      <c r="Q778"/>
    </row>
    <row r="779" spans="4:17">
      <c r="D779"/>
      <c r="E779"/>
      <c r="F779"/>
      <c r="G779"/>
      <c r="H779"/>
      <c r="I779"/>
      <c r="J779"/>
      <c r="K779"/>
      <c r="L779"/>
      <c r="M779"/>
      <c r="N779"/>
      <c r="O779"/>
      <c r="P779"/>
      <c r="Q779"/>
    </row>
    <row r="780" spans="4:17">
      <c r="D780"/>
      <c r="E780"/>
      <c r="F780"/>
      <c r="G780"/>
      <c r="H780"/>
      <c r="I780"/>
      <c r="J780"/>
      <c r="K780"/>
      <c r="L780"/>
      <c r="M780"/>
      <c r="N780"/>
      <c r="O780"/>
      <c r="P780"/>
      <c r="Q780"/>
    </row>
    <row r="781" spans="4:17">
      <c r="D781"/>
      <c r="E781"/>
      <c r="F781"/>
      <c r="G781"/>
      <c r="H781"/>
      <c r="I781"/>
      <c r="J781"/>
      <c r="K781"/>
      <c r="L781"/>
      <c r="M781"/>
      <c r="N781"/>
      <c r="O781"/>
      <c r="P781"/>
      <c r="Q781"/>
    </row>
    <row r="782" spans="4:17">
      <c r="D782"/>
      <c r="E782"/>
      <c r="F782"/>
      <c r="G782"/>
      <c r="H782"/>
      <c r="I782"/>
      <c r="J782"/>
      <c r="K782"/>
      <c r="L782"/>
      <c r="M782"/>
      <c r="N782"/>
      <c r="O782"/>
      <c r="P782"/>
      <c r="Q782"/>
    </row>
    <row r="783" spans="4:17">
      <c r="D783"/>
      <c r="E783"/>
      <c r="F783"/>
      <c r="G783"/>
      <c r="H783"/>
      <c r="I783"/>
      <c r="J783"/>
      <c r="K783"/>
      <c r="L783"/>
      <c r="M783"/>
      <c r="N783"/>
      <c r="O783"/>
      <c r="P783"/>
      <c r="Q783"/>
    </row>
    <row r="784" spans="4:17">
      <c r="D784"/>
      <c r="E784"/>
      <c r="F784"/>
      <c r="G784"/>
      <c r="H784"/>
      <c r="I784"/>
      <c r="J784"/>
      <c r="K784"/>
      <c r="L784"/>
      <c r="M784"/>
      <c r="N784"/>
      <c r="O784"/>
      <c r="P784"/>
      <c r="Q784"/>
    </row>
    <row r="785" spans="4:17">
      <c r="D785"/>
      <c r="E785"/>
      <c r="F785"/>
      <c r="G785"/>
      <c r="H785"/>
      <c r="I785"/>
      <c r="J785"/>
      <c r="K785"/>
      <c r="L785"/>
      <c r="M785"/>
      <c r="N785"/>
      <c r="O785"/>
      <c r="P785"/>
      <c r="Q785"/>
    </row>
    <row r="786" spans="4:17">
      <c r="D786"/>
      <c r="E786"/>
      <c r="F786"/>
      <c r="G786"/>
      <c r="H786"/>
      <c r="I786"/>
      <c r="J786"/>
      <c r="K786"/>
      <c r="L786"/>
      <c r="M786"/>
      <c r="N786"/>
      <c r="O786"/>
      <c r="P786"/>
      <c r="Q786"/>
    </row>
    <row r="787" spans="4:17">
      <c r="D787"/>
      <c r="E787"/>
      <c r="F787"/>
      <c r="G787"/>
      <c r="H787"/>
      <c r="I787"/>
      <c r="J787"/>
      <c r="K787"/>
      <c r="L787"/>
      <c r="M787"/>
      <c r="N787"/>
      <c r="O787"/>
      <c r="P787"/>
      <c r="Q787"/>
    </row>
    <row r="788" spans="4:17">
      <c r="D788"/>
      <c r="E788"/>
      <c r="F788"/>
      <c r="G788"/>
      <c r="H788"/>
      <c r="I788"/>
      <c r="J788"/>
      <c r="K788"/>
      <c r="L788"/>
      <c r="M788"/>
      <c r="N788"/>
      <c r="O788"/>
      <c r="P788"/>
      <c r="Q788"/>
    </row>
    <row r="789" spans="4:17">
      <c r="D789"/>
      <c r="E789"/>
      <c r="F789"/>
      <c r="G789"/>
      <c r="H789"/>
      <c r="I789"/>
      <c r="J789"/>
      <c r="K789"/>
      <c r="L789"/>
      <c r="M789"/>
      <c r="N789"/>
      <c r="O789"/>
      <c r="P789"/>
      <c r="Q789"/>
    </row>
    <row r="790" spans="4:17">
      <c r="D790"/>
      <c r="E790"/>
      <c r="F790"/>
      <c r="G790"/>
      <c r="H790"/>
      <c r="I790"/>
      <c r="J790"/>
      <c r="K790"/>
      <c r="L790"/>
      <c r="M790"/>
      <c r="N790"/>
      <c r="O790"/>
      <c r="P790"/>
      <c r="Q790"/>
    </row>
    <row r="791" spans="4:17">
      <c r="D791"/>
      <c r="E791"/>
      <c r="F791"/>
      <c r="G791"/>
      <c r="H791"/>
      <c r="I791"/>
      <c r="J791"/>
      <c r="K791"/>
      <c r="L791"/>
      <c r="M791"/>
      <c r="N791"/>
      <c r="O791"/>
      <c r="P791"/>
      <c r="Q791"/>
    </row>
    <row r="792" spans="4:17">
      <c r="D792"/>
      <c r="E792"/>
      <c r="F792"/>
      <c r="G792"/>
      <c r="H792"/>
      <c r="I792"/>
      <c r="J792"/>
      <c r="K792"/>
      <c r="L792"/>
      <c r="M792"/>
      <c r="N792"/>
      <c r="O792"/>
      <c r="P792"/>
      <c r="Q792"/>
    </row>
    <row r="793" spans="4:17">
      <c r="D793"/>
      <c r="E793"/>
      <c r="F793"/>
      <c r="G793"/>
      <c r="H793"/>
      <c r="I793"/>
      <c r="J793"/>
      <c r="K793"/>
      <c r="L793"/>
      <c r="M793"/>
      <c r="N793"/>
      <c r="O793"/>
      <c r="P793"/>
      <c r="Q793"/>
    </row>
    <row r="794" spans="4:17">
      <c r="D794"/>
      <c r="E794"/>
      <c r="F794"/>
      <c r="G794"/>
      <c r="H794"/>
      <c r="I794"/>
      <c r="J794"/>
      <c r="K794"/>
      <c r="L794"/>
      <c r="M794"/>
      <c r="N794"/>
      <c r="O794"/>
      <c r="P794"/>
      <c r="Q794"/>
    </row>
    <row r="795" spans="4:17">
      <c r="D795"/>
      <c r="E795"/>
      <c r="F795"/>
      <c r="G795"/>
      <c r="H795"/>
      <c r="I795"/>
      <c r="J795"/>
      <c r="K795"/>
      <c r="L795"/>
      <c r="M795"/>
      <c r="N795"/>
      <c r="O795"/>
      <c r="P795"/>
      <c r="Q795"/>
    </row>
    <row r="796" spans="4:17">
      <c r="D796"/>
      <c r="E796"/>
      <c r="F796"/>
      <c r="G796"/>
      <c r="H796"/>
      <c r="I796"/>
      <c r="J796"/>
      <c r="K796"/>
      <c r="L796"/>
      <c r="M796"/>
      <c r="N796"/>
      <c r="O796"/>
      <c r="P796"/>
      <c r="Q796"/>
    </row>
    <row r="797" spans="4:17">
      <c r="D797"/>
      <c r="E797"/>
      <c r="F797"/>
      <c r="G797"/>
      <c r="H797"/>
      <c r="I797"/>
      <c r="J797"/>
      <c r="K797"/>
      <c r="L797"/>
      <c r="M797"/>
      <c r="N797"/>
      <c r="O797"/>
      <c r="P797"/>
      <c r="Q797"/>
    </row>
    <row r="798" spans="4:17">
      <c r="D798"/>
      <c r="E798"/>
      <c r="F798"/>
      <c r="G798"/>
      <c r="H798"/>
      <c r="I798"/>
      <c r="J798"/>
      <c r="K798"/>
      <c r="L798"/>
      <c r="M798"/>
      <c r="N798"/>
      <c r="O798"/>
      <c r="P798"/>
      <c r="Q798"/>
    </row>
    <row r="799" spans="4:17">
      <c r="D799"/>
      <c r="E799"/>
      <c r="F799"/>
      <c r="G799"/>
      <c r="H799"/>
      <c r="I799"/>
      <c r="J799"/>
      <c r="K799"/>
      <c r="L799"/>
      <c r="M799"/>
      <c r="N799"/>
      <c r="O799"/>
      <c r="P799"/>
      <c r="Q799"/>
    </row>
    <row r="800" spans="4:17">
      <c r="D800"/>
      <c r="E800"/>
      <c r="F800"/>
      <c r="G800"/>
      <c r="H800"/>
      <c r="I800"/>
      <c r="J800"/>
      <c r="K800"/>
      <c r="L800"/>
      <c r="M800"/>
      <c r="N800"/>
      <c r="O800"/>
      <c r="P800"/>
      <c r="Q800"/>
    </row>
    <row r="801" spans="4:17">
      <c r="D801"/>
      <c r="E801"/>
      <c r="F801"/>
      <c r="G801"/>
      <c r="H801"/>
      <c r="I801"/>
      <c r="J801"/>
      <c r="K801"/>
      <c r="L801"/>
      <c r="M801"/>
      <c r="N801"/>
      <c r="O801"/>
      <c r="P801"/>
      <c r="Q801"/>
    </row>
    <row r="802" spans="4:17">
      <c r="D802"/>
      <c r="E802"/>
      <c r="F802"/>
      <c r="G802"/>
      <c r="H802"/>
      <c r="I802"/>
      <c r="J802"/>
      <c r="K802"/>
      <c r="L802"/>
      <c r="M802"/>
      <c r="N802"/>
      <c r="O802"/>
      <c r="P802"/>
      <c r="Q802"/>
    </row>
    <row r="803" spans="4:17">
      <c r="D803"/>
      <c r="E803"/>
      <c r="F803"/>
      <c r="G803"/>
      <c r="H803"/>
      <c r="I803"/>
      <c r="J803"/>
      <c r="K803"/>
      <c r="L803"/>
      <c r="M803"/>
      <c r="N803"/>
      <c r="O803"/>
      <c r="P803"/>
      <c r="Q803"/>
    </row>
    <row r="804" spans="4:17">
      <c r="D804"/>
      <c r="E804"/>
      <c r="F804"/>
      <c r="G804"/>
      <c r="H804"/>
      <c r="I804"/>
      <c r="J804"/>
      <c r="K804"/>
      <c r="L804"/>
      <c r="M804"/>
      <c r="N804"/>
      <c r="O804"/>
      <c r="P804"/>
      <c r="Q804"/>
    </row>
    <row r="805" spans="4:17">
      <c r="D805"/>
      <c r="E805"/>
      <c r="F805"/>
      <c r="G805"/>
      <c r="H805"/>
      <c r="I805"/>
      <c r="J805"/>
      <c r="K805"/>
      <c r="L805"/>
      <c r="M805"/>
      <c r="N805"/>
      <c r="O805"/>
      <c r="P805"/>
      <c r="Q805"/>
    </row>
    <row r="806" spans="4:17">
      <c r="D806"/>
      <c r="E806"/>
      <c r="F806"/>
      <c r="G806"/>
      <c r="H806"/>
      <c r="I806"/>
      <c r="J806"/>
      <c r="K806"/>
      <c r="L806"/>
      <c r="M806"/>
      <c r="N806"/>
      <c r="O806"/>
      <c r="P806"/>
      <c r="Q806"/>
    </row>
    <row r="807" spans="4:17">
      <c r="D807"/>
      <c r="E807"/>
      <c r="F807"/>
      <c r="G807"/>
      <c r="H807"/>
      <c r="I807"/>
      <c r="J807"/>
      <c r="K807"/>
      <c r="L807"/>
      <c r="M807"/>
      <c r="N807"/>
      <c r="O807"/>
      <c r="P807"/>
      <c r="Q807"/>
    </row>
    <row r="808" spans="4:17">
      <c r="D808"/>
      <c r="E808"/>
      <c r="F808"/>
      <c r="G808"/>
      <c r="H808"/>
      <c r="I808"/>
      <c r="J808"/>
      <c r="K808"/>
      <c r="L808"/>
      <c r="M808"/>
      <c r="N808"/>
      <c r="O808"/>
      <c r="P808"/>
      <c r="Q808"/>
    </row>
    <row r="809" spans="4:17">
      <c r="D809"/>
      <c r="E809"/>
      <c r="F809"/>
      <c r="G809"/>
      <c r="H809"/>
      <c r="I809"/>
      <c r="J809"/>
      <c r="K809"/>
      <c r="L809"/>
      <c r="M809"/>
      <c r="N809"/>
      <c r="O809"/>
      <c r="P809"/>
      <c r="Q809"/>
    </row>
    <row r="810" spans="4:17">
      <c r="D810"/>
      <c r="E810"/>
      <c r="F810"/>
      <c r="G810"/>
      <c r="H810"/>
      <c r="I810"/>
      <c r="J810"/>
      <c r="K810"/>
      <c r="L810"/>
      <c r="M810"/>
      <c r="N810"/>
      <c r="O810"/>
      <c r="P810"/>
      <c r="Q810"/>
    </row>
    <row r="811" spans="4:17">
      <c r="D811"/>
      <c r="E811"/>
      <c r="F811"/>
      <c r="G811"/>
      <c r="H811"/>
      <c r="I811"/>
      <c r="J811"/>
      <c r="K811"/>
      <c r="L811"/>
      <c r="M811"/>
      <c r="N811"/>
      <c r="O811"/>
      <c r="P811"/>
      <c r="Q811"/>
    </row>
    <row r="812" spans="4:17">
      <c r="D812"/>
      <c r="E812"/>
      <c r="F812"/>
      <c r="G812"/>
      <c r="H812"/>
      <c r="I812"/>
      <c r="J812"/>
      <c r="K812"/>
      <c r="L812"/>
      <c r="M812"/>
      <c r="N812"/>
      <c r="O812"/>
      <c r="P812"/>
      <c r="Q812"/>
    </row>
    <row r="813" spans="4:17">
      <c r="D813"/>
      <c r="E813"/>
      <c r="F813"/>
      <c r="G813"/>
      <c r="H813"/>
      <c r="I813"/>
      <c r="J813"/>
      <c r="K813"/>
      <c r="L813"/>
      <c r="M813"/>
      <c r="N813"/>
      <c r="O813"/>
      <c r="P813"/>
      <c r="Q813"/>
    </row>
    <row r="814" spans="4:17">
      <c r="D814"/>
      <c r="E814"/>
      <c r="F814"/>
      <c r="G814"/>
      <c r="H814"/>
      <c r="I814"/>
      <c r="J814"/>
      <c r="K814"/>
      <c r="L814"/>
      <c r="M814"/>
      <c r="N814"/>
      <c r="O814"/>
      <c r="P814"/>
      <c r="Q814"/>
    </row>
    <row r="815" spans="4:17">
      <c r="D815"/>
      <c r="E815"/>
      <c r="F815"/>
      <c r="G815"/>
      <c r="H815"/>
      <c r="I815"/>
      <c r="J815"/>
      <c r="K815"/>
      <c r="L815"/>
      <c r="M815"/>
      <c r="N815"/>
      <c r="O815"/>
      <c r="P815"/>
      <c r="Q815"/>
    </row>
    <row r="816" spans="4:17">
      <c r="D816"/>
      <c r="E816"/>
      <c r="F816"/>
      <c r="G816"/>
      <c r="H816"/>
      <c r="I816"/>
      <c r="J816"/>
      <c r="K816"/>
      <c r="L816"/>
      <c r="M816"/>
      <c r="N816"/>
      <c r="O816"/>
      <c r="P816"/>
      <c r="Q816"/>
    </row>
    <row r="817" spans="4:17">
      <c r="D817"/>
      <c r="E817"/>
      <c r="F817"/>
      <c r="G817"/>
      <c r="H817"/>
      <c r="I817"/>
      <c r="J817"/>
      <c r="K817"/>
      <c r="L817"/>
      <c r="M817"/>
      <c r="N817"/>
      <c r="O817"/>
      <c r="P817"/>
      <c r="Q817"/>
    </row>
    <row r="818" spans="4:17">
      <c r="D818"/>
      <c r="E818"/>
      <c r="F818"/>
      <c r="G818"/>
      <c r="H818"/>
      <c r="I818"/>
      <c r="J818"/>
      <c r="K818"/>
      <c r="L818"/>
      <c r="M818"/>
      <c r="N818"/>
      <c r="O818"/>
      <c r="P818"/>
      <c r="Q818"/>
    </row>
    <row r="819" spans="4:17">
      <c r="D819"/>
      <c r="E819"/>
      <c r="F819"/>
      <c r="G819"/>
      <c r="H819"/>
      <c r="I819"/>
      <c r="J819"/>
      <c r="K819"/>
      <c r="L819"/>
      <c r="M819"/>
      <c r="N819"/>
      <c r="O819"/>
      <c r="P819"/>
      <c r="Q819"/>
    </row>
    <row r="820" spans="4:17">
      <c r="D820"/>
      <c r="E820"/>
      <c r="F820"/>
      <c r="G820"/>
      <c r="H820"/>
      <c r="I820"/>
      <c r="J820"/>
      <c r="K820"/>
      <c r="L820"/>
      <c r="M820"/>
      <c r="N820"/>
      <c r="O820"/>
      <c r="P820"/>
      <c r="Q820"/>
    </row>
    <row r="821" spans="4:17">
      <c r="D821"/>
      <c r="E821"/>
      <c r="F821"/>
      <c r="G821"/>
      <c r="H821"/>
      <c r="I821"/>
      <c r="J821"/>
      <c r="K821"/>
      <c r="L821"/>
      <c r="M821"/>
      <c r="N821"/>
      <c r="O821"/>
      <c r="P821"/>
      <c r="Q821"/>
    </row>
    <row r="822" spans="4:17">
      <c r="D822"/>
      <c r="E822"/>
      <c r="F822"/>
      <c r="G822"/>
      <c r="H822"/>
      <c r="I822"/>
      <c r="J822"/>
      <c r="K822"/>
      <c r="L822"/>
      <c r="M822"/>
      <c r="N822"/>
      <c r="O822"/>
      <c r="P822"/>
      <c r="Q822"/>
    </row>
    <row r="823" spans="4:17">
      <c r="D823"/>
      <c r="E823"/>
      <c r="F823"/>
      <c r="G823"/>
      <c r="H823"/>
      <c r="I823"/>
      <c r="J823"/>
      <c r="K823"/>
      <c r="L823"/>
      <c r="M823"/>
      <c r="N823"/>
      <c r="O823"/>
      <c r="P823"/>
      <c r="Q823"/>
    </row>
    <row r="824" spans="4:17">
      <c r="D824"/>
      <c r="E824"/>
      <c r="F824"/>
      <c r="G824"/>
      <c r="H824"/>
      <c r="I824"/>
      <c r="J824"/>
      <c r="K824"/>
      <c r="L824"/>
      <c r="M824"/>
      <c r="N824"/>
      <c r="O824"/>
      <c r="P824"/>
      <c r="Q824"/>
    </row>
    <row r="825" spans="4:17">
      <c r="D825"/>
      <c r="E825"/>
      <c r="F825"/>
      <c r="G825"/>
      <c r="H825"/>
      <c r="I825"/>
      <c r="J825"/>
      <c r="K825"/>
      <c r="L825"/>
      <c r="M825"/>
      <c r="N825"/>
      <c r="O825"/>
      <c r="P825"/>
      <c r="Q825"/>
    </row>
    <row r="826" spans="4:17">
      <c r="D826"/>
      <c r="E826"/>
      <c r="F826"/>
      <c r="G826"/>
      <c r="H826"/>
      <c r="I826"/>
      <c r="J826"/>
      <c r="K826"/>
      <c r="L826"/>
      <c r="M826"/>
      <c r="N826"/>
      <c r="O826"/>
      <c r="P826"/>
      <c r="Q826"/>
    </row>
    <row r="827" spans="4:17">
      <c r="D827"/>
      <c r="E827"/>
      <c r="F827"/>
      <c r="G827"/>
      <c r="H827"/>
      <c r="I827"/>
      <c r="J827"/>
      <c r="K827"/>
      <c r="L827"/>
      <c r="M827"/>
      <c r="N827"/>
      <c r="O827"/>
      <c r="P827"/>
      <c r="Q827"/>
    </row>
    <row r="828" spans="4:17">
      <c r="D828"/>
      <c r="E828"/>
      <c r="F828"/>
      <c r="G828"/>
      <c r="H828"/>
      <c r="I828"/>
      <c r="J828"/>
      <c r="K828"/>
      <c r="L828"/>
      <c r="M828"/>
      <c r="N828"/>
      <c r="O828"/>
      <c r="P828"/>
      <c r="Q828"/>
    </row>
    <row r="829" spans="4:17">
      <c r="D829"/>
      <c r="E829"/>
      <c r="F829"/>
      <c r="G829"/>
      <c r="H829"/>
      <c r="I829"/>
      <c r="J829"/>
      <c r="K829"/>
      <c r="L829"/>
      <c r="M829"/>
      <c r="N829"/>
      <c r="O829"/>
      <c r="P829"/>
      <c r="Q829"/>
    </row>
    <row r="830" spans="4:17">
      <c r="D830"/>
      <c r="E830"/>
      <c r="F830"/>
      <c r="G830"/>
      <c r="H830"/>
      <c r="I830"/>
      <c r="J830"/>
      <c r="K830"/>
      <c r="L830"/>
      <c r="M830"/>
      <c r="N830"/>
      <c r="O830"/>
      <c r="P830"/>
      <c r="Q830"/>
    </row>
    <row r="831" spans="4:17">
      <c r="D831"/>
      <c r="E831"/>
      <c r="F831"/>
      <c r="G831"/>
      <c r="H831"/>
      <c r="I831"/>
      <c r="J831"/>
      <c r="K831"/>
      <c r="L831"/>
      <c r="M831"/>
      <c r="N831"/>
      <c r="O831"/>
      <c r="P831"/>
      <c r="Q831"/>
    </row>
    <row r="832" spans="4:17">
      <c r="D832"/>
      <c r="E832"/>
      <c r="F832"/>
      <c r="G832"/>
      <c r="H832"/>
      <c r="I832"/>
      <c r="J832"/>
      <c r="K832"/>
      <c r="L832"/>
      <c r="M832"/>
      <c r="N832"/>
      <c r="O832"/>
      <c r="P832"/>
      <c r="Q832"/>
    </row>
    <row r="833" spans="4:17">
      <c r="D833"/>
      <c r="E833"/>
      <c r="F833"/>
      <c r="G833"/>
      <c r="H833"/>
      <c r="I833"/>
      <c r="J833"/>
      <c r="K833"/>
      <c r="L833"/>
      <c r="M833"/>
      <c r="N833"/>
      <c r="O833"/>
      <c r="P833"/>
      <c r="Q833"/>
    </row>
    <row r="834" spans="4:17">
      <c r="D834"/>
      <c r="E834"/>
      <c r="F834"/>
      <c r="G834"/>
      <c r="H834"/>
      <c r="I834"/>
      <c r="J834"/>
      <c r="K834"/>
      <c r="L834"/>
      <c r="M834"/>
      <c r="N834"/>
      <c r="O834"/>
      <c r="P834"/>
      <c r="Q834"/>
    </row>
    <row r="835" spans="4:17">
      <c r="D835"/>
      <c r="E835"/>
      <c r="F835"/>
      <c r="G835"/>
      <c r="H835"/>
      <c r="I835"/>
      <c r="J835"/>
      <c r="K835"/>
      <c r="L835"/>
      <c r="M835"/>
      <c r="N835"/>
      <c r="O835"/>
      <c r="P835"/>
      <c r="Q835"/>
    </row>
    <row r="836" spans="4:17">
      <c r="D836"/>
      <c r="E836"/>
      <c r="F836"/>
      <c r="G836"/>
      <c r="H836"/>
      <c r="I836"/>
      <c r="J836"/>
      <c r="K836"/>
      <c r="L836"/>
      <c r="M836"/>
      <c r="N836"/>
      <c r="O836"/>
      <c r="P836"/>
      <c r="Q836"/>
    </row>
    <row r="837" spans="4:17">
      <c r="D837"/>
      <c r="E837"/>
      <c r="F837"/>
      <c r="G837"/>
      <c r="H837"/>
      <c r="I837"/>
      <c r="J837"/>
      <c r="K837"/>
      <c r="L837"/>
      <c r="M837"/>
      <c r="N837"/>
      <c r="O837"/>
      <c r="P837"/>
      <c r="Q837"/>
    </row>
    <row r="838" spans="4:17">
      <c r="D838"/>
      <c r="E838"/>
      <c r="F838"/>
      <c r="G838"/>
      <c r="H838"/>
      <c r="I838"/>
      <c r="J838"/>
      <c r="K838"/>
      <c r="L838"/>
      <c r="M838"/>
      <c r="N838"/>
      <c r="O838"/>
      <c r="P838"/>
      <c r="Q838"/>
    </row>
    <row r="839" spans="4:17">
      <c r="D839"/>
      <c r="E839"/>
      <c r="F839"/>
      <c r="G839"/>
      <c r="H839"/>
      <c r="I839"/>
      <c r="J839"/>
      <c r="K839"/>
      <c r="L839"/>
      <c r="M839"/>
      <c r="N839"/>
      <c r="O839"/>
      <c r="P839"/>
      <c r="Q839"/>
    </row>
    <row r="840" spans="4:17">
      <c r="D840"/>
      <c r="E840"/>
      <c r="F840"/>
      <c r="G840"/>
      <c r="H840"/>
      <c r="I840"/>
      <c r="J840"/>
      <c r="K840"/>
      <c r="L840"/>
      <c r="M840"/>
      <c r="N840"/>
      <c r="O840"/>
      <c r="P840"/>
      <c r="Q840"/>
    </row>
    <row r="841" spans="4:17">
      <c r="D841"/>
      <c r="E841"/>
      <c r="F841"/>
      <c r="G841"/>
      <c r="H841"/>
      <c r="I841"/>
      <c r="J841"/>
      <c r="K841"/>
      <c r="L841"/>
      <c r="M841"/>
      <c r="N841"/>
      <c r="O841"/>
      <c r="P841"/>
      <c r="Q841"/>
    </row>
    <row r="842" spans="4:17">
      <c r="D842"/>
      <c r="E842"/>
      <c r="F842"/>
      <c r="G842"/>
      <c r="H842"/>
      <c r="I842"/>
      <c r="J842"/>
      <c r="K842"/>
      <c r="L842"/>
      <c r="M842"/>
      <c r="N842"/>
      <c r="O842"/>
      <c r="P842"/>
      <c r="Q842"/>
    </row>
    <row r="843" spans="4:17">
      <c r="D843"/>
      <c r="E843"/>
      <c r="F843"/>
      <c r="G843"/>
      <c r="H843"/>
      <c r="I843"/>
      <c r="J843"/>
      <c r="K843"/>
      <c r="L843"/>
      <c r="M843"/>
      <c r="N843"/>
      <c r="O843"/>
      <c r="P843"/>
      <c r="Q843"/>
    </row>
    <row r="844" spans="4:17">
      <c r="D844"/>
      <c r="E844"/>
      <c r="F844"/>
      <c r="G844"/>
      <c r="H844"/>
      <c r="I844"/>
      <c r="J844"/>
      <c r="K844"/>
      <c r="L844"/>
      <c r="M844"/>
      <c r="N844"/>
      <c r="O844"/>
      <c r="P844"/>
      <c r="Q844"/>
    </row>
    <row r="845" spans="4:17">
      <c r="D845"/>
      <c r="E845"/>
      <c r="F845"/>
      <c r="G845"/>
      <c r="H845"/>
      <c r="I845"/>
      <c r="J845"/>
      <c r="K845"/>
      <c r="L845"/>
      <c r="M845"/>
      <c r="N845"/>
      <c r="O845"/>
      <c r="P845"/>
      <c r="Q845"/>
    </row>
    <row r="846" spans="4:17">
      <c r="D846"/>
      <c r="E846"/>
      <c r="F846"/>
      <c r="G846"/>
      <c r="H846"/>
      <c r="I846"/>
      <c r="J846"/>
      <c r="K846"/>
      <c r="L846"/>
      <c r="M846"/>
      <c r="N846"/>
      <c r="O846"/>
      <c r="P846"/>
      <c r="Q846"/>
    </row>
    <row r="847" spans="4:17">
      <c r="D847"/>
      <c r="E847"/>
      <c r="F847"/>
      <c r="G847"/>
      <c r="H847"/>
      <c r="I847"/>
      <c r="J847"/>
      <c r="K847"/>
      <c r="L847"/>
      <c r="M847"/>
      <c r="N847"/>
      <c r="O847"/>
      <c r="P847"/>
      <c r="Q847"/>
    </row>
    <row r="848" spans="4:17">
      <c r="D848"/>
      <c r="E848"/>
      <c r="F848"/>
      <c r="G848"/>
      <c r="H848"/>
      <c r="I848"/>
      <c r="J848"/>
      <c r="K848"/>
      <c r="L848"/>
      <c r="M848"/>
      <c r="N848"/>
      <c r="O848"/>
      <c r="P848"/>
      <c r="Q848"/>
    </row>
    <row r="849" spans="4:17">
      <c r="D849"/>
      <c r="E849"/>
      <c r="F849"/>
      <c r="G849"/>
      <c r="H849"/>
      <c r="I849"/>
      <c r="J849"/>
      <c r="K849"/>
      <c r="L849"/>
      <c r="M849"/>
      <c r="N849"/>
      <c r="O849"/>
      <c r="P849"/>
      <c r="Q849"/>
    </row>
    <row r="850" spans="4:17">
      <c r="D850"/>
      <c r="E850"/>
      <c r="F850"/>
      <c r="G850"/>
      <c r="H850"/>
      <c r="I850"/>
      <c r="J850"/>
      <c r="K850"/>
      <c r="L850"/>
      <c r="M850"/>
      <c r="N850"/>
      <c r="O850"/>
      <c r="P850"/>
      <c r="Q850"/>
    </row>
    <row r="851" spans="4:17">
      <c r="D851"/>
      <c r="E851"/>
      <c r="F851"/>
      <c r="G851"/>
      <c r="H851"/>
      <c r="I851"/>
      <c r="J851"/>
      <c r="K851"/>
      <c r="L851"/>
      <c r="M851"/>
      <c r="N851"/>
      <c r="O851"/>
      <c r="P851"/>
      <c r="Q851"/>
    </row>
    <row r="852" spans="4:17">
      <c r="D852"/>
      <c r="E852"/>
      <c r="F852"/>
      <c r="G852"/>
      <c r="H852"/>
      <c r="I852"/>
      <c r="J852"/>
      <c r="K852"/>
      <c r="L852"/>
      <c r="M852"/>
      <c r="N852"/>
      <c r="O852"/>
      <c r="P852"/>
      <c r="Q852"/>
    </row>
    <row r="853" spans="4:17">
      <c r="D853"/>
      <c r="E853"/>
      <c r="F853"/>
      <c r="G853"/>
      <c r="H853"/>
      <c r="I853"/>
      <c r="J853"/>
      <c r="K853"/>
      <c r="L853"/>
      <c r="M853"/>
      <c r="N853"/>
      <c r="O853"/>
      <c r="P853"/>
      <c r="Q853"/>
    </row>
    <row r="854" spans="4:17">
      <c r="D854"/>
      <c r="E854"/>
      <c r="F854"/>
      <c r="G854"/>
      <c r="H854"/>
      <c r="I854"/>
      <c r="J854"/>
      <c r="K854"/>
      <c r="L854"/>
      <c r="M854"/>
      <c r="N854"/>
      <c r="O854"/>
      <c r="P854"/>
      <c r="Q854"/>
    </row>
    <row r="855" spans="4:17">
      <c r="D855"/>
      <c r="E855"/>
      <c r="F855"/>
      <c r="G855"/>
      <c r="H855"/>
      <c r="I855"/>
      <c r="J855"/>
      <c r="K855"/>
      <c r="L855"/>
      <c r="M855"/>
      <c r="N855"/>
      <c r="O855"/>
      <c r="P855"/>
      <c r="Q855"/>
    </row>
    <row r="856" spans="4:17">
      <c r="D856"/>
      <c r="E856"/>
      <c r="F856"/>
      <c r="G856"/>
      <c r="H856"/>
      <c r="I856"/>
      <c r="J856"/>
      <c r="K856"/>
      <c r="L856"/>
      <c r="M856"/>
      <c r="N856"/>
      <c r="O856"/>
      <c r="P856"/>
      <c r="Q856"/>
    </row>
    <row r="857" spans="4:17">
      <c r="D857"/>
      <c r="E857"/>
      <c r="F857"/>
      <c r="G857"/>
      <c r="H857"/>
      <c r="I857"/>
      <c r="J857"/>
      <c r="K857"/>
      <c r="L857"/>
      <c r="M857"/>
      <c r="N857"/>
      <c r="O857"/>
      <c r="P857"/>
      <c r="Q857"/>
    </row>
    <row r="858" spans="4:17">
      <c r="D858"/>
      <c r="E858"/>
      <c r="F858"/>
      <c r="G858"/>
      <c r="H858"/>
      <c r="I858"/>
      <c r="J858"/>
      <c r="K858"/>
      <c r="L858"/>
      <c r="M858"/>
      <c r="N858"/>
      <c r="O858"/>
      <c r="P858"/>
      <c r="Q858"/>
    </row>
    <row r="859" spans="4:17">
      <c r="D859"/>
      <c r="E859"/>
      <c r="F859"/>
      <c r="G859"/>
      <c r="H859"/>
      <c r="I859"/>
      <c r="J859"/>
      <c r="K859"/>
      <c r="L859"/>
      <c r="M859"/>
      <c r="N859"/>
      <c r="O859"/>
      <c r="P859"/>
      <c r="Q859"/>
    </row>
    <row r="860" spans="4:17">
      <c r="D860"/>
      <c r="E860"/>
      <c r="F860"/>
      <c r="G860"/>
      <c r="H860"/>
      <c r="I860"/>
      <c r="J860"/>
      <c r="K860"/>
      <c r="L860"/>
      <c r="M860"/>
      <c r="N860"/>
      <c r="O860"/>
      <c r="P860"/>
      <c r="Q860"/>
    </row>
    <row r="861" spans="4:17">
      <c r="D861"/>
      <c r="E861"/>
      <c r="F861"/>
      <c r="G861"/>
      <c r="H861"/>
      <c r="I861"/>
      <c r="J861"/>
      <c r="K861"/>
      <c r="L861"/>
      <c r="M861"/>
      <c r="N861"/>
      <c r="O861"/>
      <c r="P861"/>
      <c r="Q861"/>
    </row>
    <row r="862" spans="4:17">
      <c r="D862"/>
      <c r="E862"/>
      <c r="F862"/>
      <c r="G862"/>
      <c r="H862"/>
      <c r="I862"/>
      <c r="J862"/>
      <c r="K862"/>
      <c r="L862"/>
      <c r="M862"/>
      <c r="N862"/>
      <c r="O862"/>
      <c r="P862"/>
      <c r="Q862"/>
    </row>
    <row r="863" spans="4:17">
      <c r="D863"/>
      <c r="E863"/>
      <c r="F863"/>
      <c r="G863"/>
      <c r="H863"/>
      <c r="I863"/>
      <c r="J863"/>
      <c r="K863"/>
      <c r="L863"/>
      <c r="M863"/>
      <c r="N863"/>
      <c r="O863"/>
      <c r="P863"/>
      <c r="Q863"/>
    </row>
    <row r="864" spans="4:17">
      <c r="D864"/>
      <c r="E864"/>
      <c r="F864"/>
      <c r="G864"/>
      <c r="H864"/>
      <c r="I864"/>
      <c r="J864"/>
      <c r="K864"/>
      <c r="L864"/>
      <c r="M864"/>
      <c r="N864"/>
      <c r="O864"/>
      <c r="P864"/>
      <c r="Q864"/>
    </row>
    <row r="865" spans="4:17">
      <c r="D865"/>
      <c r="E865"/>
      <c r="F865"/>
      <c r="G865"/>
      <c r="H865"/>
      <c r="I865"/>
      <c r="J865"/>
      <c r="K865"/>
      <c r="L865"/>
      <c r="M865"/>
      <c r="N865"/>
      <c r="O865"/>
      <c r="P865"/>
      <c r="Q865"/>
    </row>
    <row r="866" spans="4:17">
      <c r="D866"/>
      <c r="E866"/>
      <c r="F866"/>
      <c r="G866"/>
      <c r="H866"/>
      <c r="I866"/>
      <c r="J866"/>
      <c r="K866"/>
      <c r="L866"/>
      <c r="M866"/>
      <c r="N866"/>
      <c r="O866"/>
      <c r="P866"/>
      <c r="Q866"/>
    </row>
    <row r="867" spans="4:17">
      <c r="D867"/>
      <c r="E867"/>
      <c r="F867"/>
      <c r="G867"/>
      <c r="H867"/>
      <c r="I867"/>
      <c r="J867"/>
      <c r="K867"/>
      <c r="L867"/>
      <c r="M867"/>
      <c r="N867"/>
      <c r="O867"/>
      <c r="P867"/>
      <c r="Q867"/>
    </row>
    <row r="868" spans="4:17">
      <c r="D868"/>
      <c r="E868"/>
      <c r="F868"/>
      <c r="G868"/>
      <c r="H868"/>
      <c r="I868"/>
      <c r="J868"/>
      <c r="K868"/>
      <c r="L868"/>
      <c r="M868"/>
      <c r="N868"/>
      <c r="O868"/>
      <c r="P868"/>
      <c r="Q868"/>
    </row>
    <row r="869" spans="4:17">
      <c r="D869"/>
      <c r="E869"/>
      <c r="F869"/>
      <c r="G869"/>
      <c r="H869"/>
      <c r="I869"/>
      <c r="J869"/>
      <c r="K869"/>
      <c r="L869"/>
      <c r="M869"/>
      <c r="N869"/>
      <c r="O869"/>
      <c r="P869"/>
      <c r="Q869"/>
    </row>
    <row r="870" spans="4:17">
      <c r="D870"/>
      <c r="E870"/>
      <c r="F870"/>
      <c r="G870"/>
      <c r="H870"/>
      <c r="I870"/>
      <c r="J870"/>
      <c r="K870"/>
      <c r="L870"/>
      <c r="M870"/>
      <c r="N870"/>
      <c r="O870"/>
      <c r="P870"/>
      <c r="Q870"/>
    </row>
    <row r="871" spans="4:17">
      <c r="D871"/>
      <c r="E871"/>
      <c r="F871"/>
      <c r="G871"/>
      <c r="H871"/>
      <c r="I871"/>
      <c r="J871"/>
      <c r="K871"/>
      <c r="L871"/>
      <c r="M871"/>
      <c r="N871"/>
      <c r="O871"/>
      <c r="P871"/>
      <c r="Q871"/>
    </row>
    <row r="872" spans="4:17">
      <c r="D872"/>
      <c r="E872"/>
      <c r="F872"/>
      <c r="G872"/>
      <c r="H872"/>
      <c r="I872"/>
      <c r="J872"/>
      <c r="K872"/>
      <c r="L872"/>
      <c r="M872"/>
      <c r="N872"/>
      <c r="O872"/>
      <c r="P872"/>
      <c r="Q872"/>
    </row>
    <row r="873" spans="4:17">
      <c r="D873"/>
      <c r="E873"/>
      <c r="F873"/>
      <c r="G873"/>
      <c r="H873"/>
      <c r="I873"/>
      <c r="J873"/>
      <c r="K873"/>
      <c r="L873"/>
      <c r="M873"/>
      <c r="N873"/>
      <c r="O873"/>
      <c r="P873"/>
      <c r="Q873"/>
    </row>
    <row r="874" spans="4:17">
      <c r="D874"/>
      <c r="E874"/>
      <c r="F874"/>
      <c r="G874"/>
      <c r="H874"/>
      <c r="I874"/>
      <c r="J874"/>
      <c r="K874"/>
      <c r="L874"/>
      <c r="M874"/>
      <c r="N874"/>
      <c r="O874"/>
      <c r="P874"/>
      <c r="Q874"/>
    </row>
    <row r="875" spans="4:17">
      <c r="D875"/>
      <c r="E875"/>
      <c r="F875"/>
      <c r="G875"/>
      <c r="H875"/>
      <c r="I875"/>
      <c r="J875"/>
      <c r="K875"/>
      <c r="L875"/>
      <c r="M875"/>
      <c r="N875"/>
      <c r="O875"/>
      <c r="P875"/>
      <c r="Q875"/>
    </row>
    <row r="876" spans="4:17">
      <c r="D876"/>
      <c r="E876"/>
      <c r="F876"/>
      <c r="G876"/>
      <c r="H876"/>
      <c r="I876"/>
      <c r="J876"/>
      <c r="K876"/>
      <c r="L876"/>
      <c r="M876"/>
      <c r="N876"/>
      <c r="O876"/>
      <c r="P876"/>
      <c r="Q876"/>
    </row>
    <row r="877" spans="4:17">
      <c r="D877"/>
      <c r="E877"/>
      <c r="F877"/>
      <c r="G877"/>
      <c r="H877"/>
      <c r="I877"/>
      <c r="J877"/>
      <c r="K877"/>
      <c r="L877"/>
      <c r="M877"/>
      <c r="N877"/>
      <c r="O877"/>
      <c r="P877"/>
      <c r="Q877"/>
    </row>
    <row r="878" spans="4:17">
      <c r="D878"/>
      <c r="E878"/>
      <c r="F878"/>
      <c r="G878"/>
      <c r="H878"/>
      <c r="I878"/>
      <c r="J878"/>
      <c r="K878"/>
      <c r="L878"/>
      <c r="M878"/>
      <c r="N878"/>
      <c r="O878"/>
      <c r="P878"/>
      <c r="Q878"/>
    </row>
    <row r="879" spans="4:17">
      <c r="D879"/>
      <c r="E879"/>
      <c r="F879"/>
      <c r="G879"/>
      <c r="H879"/>
      <c r="I879"/>
      <c r="J879"/>
      <c r="K879"/>
      <c r="L879"/>
      <c r="M879"/>
      <c r="N879"/>
      <c r="O879"/>
      <c r="P879"/>
      <c r="Q879"/>
    </row>
    <row r="880" spans="4:17">
      <c r="D880"/>
      <c r="E880"/>
      <c r="F880"/>
      <c r="G880"/>
      <c r="H880"/>
      <c r="I880"/>
      <c r="J880"/>
      <c r="K880"/>
      <c r="L880"/>
      <c r="M880"/>
      <c r="N880"/>
      <c r="O880"/>
      <c r="P880"/>
      <c r="Q880"/>
    </row>
    <row r="881" spans="4:17">
      <c r="D881"/>
      <c r="E881"/>
      <c r="F881"/>
      <c r="G881"/>
      <c r="H881"/>
      <c r="I881"/>
      <c r="J881"/>
      <c r="K881"/>
      <c r="L881"/>
      <c r="M881"/>
      <c r="N881"/>
      <c r="O881"/>
      <c r="P881"/>
      <c r="Q881"/>
    </row>
    <row r="882" spans="4:17">
      <c r="D882"/>
      <c r="E882"/>
      <c r="F882"/>
      <c r="G882"/>
      <c r="H882"/>
      <c r="I882"/>
      <c r="J882"/>
      <c r="K882"/>
      <c r="L882"/>
      <c r="M882"/>
      <c r="N882"/>
      <c r="O882"/>
      <c r="P882"/>
      <c r="Q882"/>
    </row>
    <row r="883" spans="4:17">
      <c r="D883"/>
      <c r="E883"/>
      <c r="F883"/>
      <c r="G883"/>
      <c r="H883"/>
      <c r="I883"/>
      <c r="J883"/>
      <c r="K883"/>
      <c r="L883"/>
      <c r="M883"/>
      <c r="N883"/>
      <c r="O883"/>
      <c r="P883"/>
      <c r="Q883"/>
    </row>
    <row r="884" spans="4:17">
      <c r="D884"/>
      <c r="E884"/>
      <c r="F884"/>
      <c r="G884"/>
      <c r="H884"/>
      <c r="I884"/>
      <c r="J884"/>
      <c r="K884"/>
      <c r="L884"/>
      <c r="M884"/>
      <c r="N884"/>
      <c r="O884"/>
      <c r="P884"/>
      <c r="Q884"/>
    </row>
    <row r="885" spans="4:17">
      <c r="D885"/>
      <c r="E885"/>
      <c r="F885"/>
      <c r="G885"/>
      <c r="H885"/>
      <c r="I885"/>
      <c r="J885"/>
      <c r="K885"/>
      <c r="L885"/>
      <c r="M885"/>
      <c r="N885"/>
      <c r="O885"/>
      <c r="P885"/>
      <c r="Q885"/>
    </row>
    <row r="886" spans="4:17">
      <c r="D886"/>
      <c r="E886"/>
      <c r="F886"/>
      <c r="G886"/>
      <c r="H886"/>
      <c r="I886"/>
      <c r="J886"/>
      <c r="K886"/>
      <c r="L886"/>
      <c r="M886"/>
      <c r="N886"/>
      <c r="O886"/>
      <c r="P886"/>
      <c r="Q886"/>
    </row>
    <row r="887" spans="4:17">
      <c r="D887"/>
      <c r="E887"/>
      <c r="F887"/>
      <c r="G887"/>
      <c r="H887"/>
      <c r="I887"/>
      <c r="J887"/>
      <c r="K887"/>
      <c r="L887"/>
      <c r="M887"/>
      <c r="N887"/>
      <c r="O887"/>
      <c r="P887"/>
      <c r="Q887"/>
    </row>
    <row r="888" spans="4:17">
      <c r="D888"/>
      <c r="E888"/>
      <c r="F888"/>
      <c r="G888"/>
      <c r="H888"/>
      <c r="I888"/>
      <c r="J888"/>
      <c r="K888"/>
      <c r="L888"/>
      <c r="M888"/>
      <c r="N888"/>
      <c r="O888"/>
      <c r="P888"/>
      <c r="Q888"/>
    </row>
    <row r="889" spans="4:17">
      <c r="D889"/>
      <c r="E889"/>
      <c r="F889"/>
      <c r="G889"/>
      <c r="H889"/>
      <c r="I889"/>
      <c r="J889"/>
      <c r="K889"/>
      <c r="L889"/>
      <c r="M889"/>
      <c r="N889"/>
      <c r="O889"/>
      <c r="P889"/>
      <c r="Q889"/>
    </row>
    <row r="890" spans="4:17">
      <c r="D890"/>
      <c r="E890"/>
      <c r="F890"/>
      <c r="G890"/>
      <c r="H890"/>
      <c r="I890"/>
      <c r="J890"/>
      <c r="K890"/>
      <c r="L890"/>
      <c r="M890"/>
      <c r="N890"/>
      <c r="O890"/>
      <c r="P890"/>
      <c r="Q890"/>
    </row>
    <row r="891" spans="4:17">
      <c r="D891"/>
      <c r="E891"/>
      <c r="F891"/>
      <c r="G891"/>
      <c r="H891"/>
      <c r="I891"/>
      <c r="J891"/>
      <c r="K891"/>
      <c r="L891"/>
      <c r="M891"/>
      <c r="N891"/>
      <c r="O891"/>
      <c r="P891"/>
      <c r="Q891"/>
    </row>
    <row r="892" spans="4:17">
      <c r="D892"/>
      <c r="E892"/>
      <c r="F892"/>
      <c r="G892"/>
      <c r="H892"/>
      <c r="I892"/>
      <c r="J892"/>
      <c r="K892"/>
      <c r="L892"/>
      <c r="M892"/>
      <c r="N892"/>
      <c r="O892"/>
      <c r="P892"/>
      <c r="Q892"/>
    </row>
    <row r="893" spans="4:17">
      <c r="D893"/>
      <c r="E893"/>
      <c r="F893"/>
      <c r="G893"/>
      <c r="H893"/>
      <c r="I893"/>
      <c r="J893"/>
      <c r="K893"/>
      <c r="L893"/>
      <c r="M893"/>
      <c r="N893"/>
      <c r="O893"/>
      <c r="P893"/>
      <c r="Q893"/>
    </row>
    <row r="894" spans="4:17">
      <c r="D894"/>
      <c r="E894"/>
      <c r="F894"/>
      <c r="G894"/>
      <c r="H894"/>
      <c r="I894"/>
      <c r="J894"/>
      <c r="K894"/>
      <c r="L894"/>
      <c r="M894"/>
      <c r="N894"/>
      <c r="O894"/>
      <c r="P894"/>
      <c r="Q894"/>
    </row>
    <row r="895" spans="4:17">
      <c r="D895"/>
      <c r="E895"/>
      <c r="F895"/>
      <c r="G895"/>
      <c r="H895"/>
      <c r="I895"/>
      <c r="J895"/>
      <c r="K895"/>
      <c r="L895"/>
      <c r="M895"/>
      <c r="N895"/>
      <c r="O895"/>
      <c r="P895"/>
      <c r="Q895"/>
    </row>
    <row r="896" spans="4:17">
      <c r="D896"/>
      <c r="E896"/>
      <c r="F896"/>
      <c r="G896"/>
      <c r="H896"/>
      <c r="I896"/>
      <c r="J896"/>
      <c r="K896"/>
      <c r="L896"/>
      <c r="M896"/>
      <c r="N896"/>
      <c r="O896"/>
      <c r="P896"/>
      <c r="Q896"/>
    </row>
    <row r="897" spans="4:17">
      <c r="D897"/>
      <c r="E897"/>
      <c r="F897"/>
      <c r="G897"/>
      <c r="H897"/>
      <c r="I897"/>
      <c r="J897"/>
      <c r="K897"/>
      <c r="L897"/>
      <c r="M897"/>
      <c r="N897"/>
      <c r="O897"/>
      <c r="P897"/>
      <c r="Q897"/>
    </row>
    <row r="898" spans="4:17">
      <c r="D898"/>
      <c r="E898"/>
      <c r="F898"/>
      <c r="G898"/>
      <c r="H898"/>
      <c r="I898"/>
      <c r="J898"/>
      <c r="K898"/>
      <c r="L898"/>
      <c r="M898"/>
      <c r="N898"/>
      <c r="O898"/>
      <c r="P898"/>
      <c r="Q898"/>
    </row>
    <row r="899" spans="4:17">
      <c r="D899"/>
      <c r="E899"/>
      <c r="F899"/>
      <c r="G899"/>
      <c r="H899"/>
      <c r="I899"/>
      <c r="J899"/>
      <c r="K899"/>
      <c r="L899"/>
      <c r="M899"/>
      <c r="N899"/>
      <c r="O899"/>
      <c r="P899"/>
      <c r="Q899"/>
    </row>
    <row r="900" spans="4:17">
      <c r="D900"/>
      <c r="E900"/>
      <c r="F900"/>
      <c r="G900"/>
      <c r="H900"/>
      <c r="I900"/>
      <c r="J900"/>
      <c r="K900"/>
      <c r="L900"/>
      <c r="M900"/>
      <c r="N900"/>
      <c r="O900"/>
      <c r="P900"/>
      <c r="Q900"/>
    </row>
    <row r="901" spans="4:17">
      <c r="D901"/>
      <c r="E901"/>
      <c r="F901"/>
      <c r="G901"/>
      <c r="H901"/>
      <c r="I901"/>
      <c r="J901"/>
      <c r="K901"/>
      <c r="L901"/>
      <c r="M901"/>
      <c r="N901"/>
      <c r="O901"/>
      <c r="P901"/>
      <c r="Q901"/>
    </row>
    <row r="902" spans="4:17">
      <c r="D902"/>
      <c r="E902"/>
      <c r="F902"/>
      <c r="G902"/>
      <c r="H902"/>
      <c r="I902"/>
      <c r="J902"/>
      <c r="K902"/>
      <c r="L902"/>
      <c r="M902"/>
      <c r="N902"/>
      <c r="O902"/>
      <c r="P902"/>
      <c r="Q902"/>
    </row>
    <row r="903" spans="4:17">
      <c r="D903"/>
      <c r="E903"/>
      <c r="F903"/>
      <c r="G903"/>
      <c r="H903"/>
      <c r="I903"/>
      <c r="J903"/>
      <c r="K903"/>
      <c r="L903"/>
      <c r="M903"/>
      <c r="N903"/>
      <c r="O903"/>
      <c r="P903"/>
      <c r="Q903"/>
    </row>
    <row r="904" spans="4:17">
      <c r="D904"/>
      <c r="E904"/>
      <c r="F904"/>
      <c r="G904"/>
      <c r="H904"/>
      <c r="I904"/>
      <c r="J904"/>
      <c r="K904"/>
      <c r="L904"/>
      <c r="M904"/>
      <c r="N904"/>
      <c r="O904"/>
      <c r="P904"/>
      <c r="Q904"/>
    </row>
    <row r="905" spans="4:17">
      <c r="D905"/>
      <c r="E905"/>
      <c r="F905"/>
      <c r="G905"/>
      <c r="H905"/>
      <c r="I905"/>
      <c r="J905"/>
      <c r="K905"/>
      <c r="L905"/>
      <c r="M905"/>
      <c r="N905"/>
      <c r="O905"/>
      <c r="P905"/>
      <c r="Q905"/>
    </row>
    <row r="906" spans="4:17">
      <c r="D906"/>
      <c r="E906"/>
      <c r="F906"/>
      <c r="G906"/>
      <c r="H906"/>
      <c r="I906"/>
      <c r="J906"/>
      <c r="K906"/>
      <c r="L906"/>
      <c r="M906"/>
      <c r="N906"/>
      <c r="O906"/>
      <c r="P906"/>
      <c r="Q906"/>
    </row>
    <row r="907" spans="4:17">
      <c r="D907"/>
      <c r="E907"/>
      <c r="F907"/>
      <c r="G907"/>
      <c r="H907"/>
      <c r="I907"/>
      <c r="J907"/>
      <c r="K907"/>
      <c r="L907"/>
      <c r="M907"/>
      <c r="N907"/>
      <c r="O907"/>
      <c r="P907"/>
      <c r="Q907"/>
    </row>
    <row r="908" spans="4:17">
      <c r="D908"/>
      <c r="E908"/>
      <c r="F908"/>
      <c r="G908"/>
      <c r="H908"/>
      <c r="I908"/>
      <c r="J908"/>
      <c r="K908"/>
      <c r="L908"/>
      <c r="M908"/>
      <c r="N908"/>
      <c r="O908"/>
      <c r="P908"/>
      <c r="Q908"/>
    </row>
    <row r="909" spans="4:17">
      <c r="D909"/>
      <c r="E909"/>
      <c r="F909"/>
      <c r="G909"/>
      <c r="H909"/>
      <c r="I909"/>
      <c r="J909"/>
      <c r="K909"/>
      <c r="L909"/>
      <c r="M909"/>
      <c r="N909"/>
      <c r="O909"/>
      <c r="P909"/>
      <c r="Q909"/>
    </row>
    <row r="910" spans="4:17">
      <c r="D910"/>
      <c r="E910"/>
      <c r="F910"/>
      <c r="G910"/>
      <c r="H910"/>
      <c r="I910"/>
      <c r="J910"/>
      <c r="K910"/>
      <c r="L910"/>
      <c r="M910"/>
      <c r="N910"/>
      <c r="O910"/>
      <c r="P910"/>
      <c r="Q910"/>
    </row>
    <row r="911" spans="4:17">
      <c r="D911"/>
      <c r="E911"/>
      <c r="F911"/>
      <c r="G911"/>
      <c r="H911"/>
      <c r="I911"/>
      <c r="J911"/>
      <c r="K911"/>
      <c r="L911"/>
      <c r="M911"/>
      <c r="N911"/>
      <c r="O911"/>
      <c r="P911"/>
      <c r="Q911"/>
    </row>
    <row r="912" spans="4:17">
      <c r="D912"/>
      <c r="E912"/>
      <c r="F912"/>
      <c r="G912"/>
      <c r="H912"/>
      <c r="I912"/>
      <c r="J912"/>
      <c r="K912"/>
      <c r="L912"/>
      <c r="M912"/>
      <c r="N912"/>
      <c r="O912"/>
      <c r="P912"/>
      <c r="Q912"/>
    </row>
    <row r="913" spans="4:17">
      <c r="D913"/>
      <c r="E913"/>
      <c r="F913"/>
      <c r="G913"/>
      <c r="H913"/>
      <c r="I913"/>
      <c r="J913"/>
      <c r="K913"/>
      <c r="L913"/>
      <c r="M913"/>
      <c r="N913"/>
      <c r="O913"/>
      <c r="P913"/>
      <c r="Q913"/>
    </row>
    <row r="914" spans="4:17">
      <c r="D914"/>
      <c r="E914"/>
      <c r="F914"/>
      <c r="G914"/>
      <c r="H914"/>
      <c r="I914"/>
      <c r="J914"/>
      <c r="K914"/>
      <c r="L914"/>
      <c r="M914"/>
      <c r="N914"/>
      <c r="O914"/>
      <c r="P914"/>
      <c r="Q914"/>
    </row>
    <row r="915" spans="4:17">
      <c r="D915"/>
      <c r="E915"/>
      <c r="F915"/>
      <c r="G915"/>
      <c r="H915"/>
      <c r="I915"/>
      <c r="J915"/>
      <c r="K915"/>
      <c r="L915"/>
      <c r="M915"/>
      <c r="N915"/>
      <c r="O915"/>
      <c r="P915"/>
      <c r="Q915"/>
    </row>
    <row r="916" spans="4:17">
      <c r="D916"/>
      <c r="E916"/>
      <c r="F916"/>
      <c r="G916"/>
      <c r="H916"/>
      <c r="I916"/>
      <c r="J916"/>
      <c r="K916"/>
      <c r="L916"/>
      <c r="M916"/>
      <c r="N916"/>
      <c r="O916"/>
      <c r="P916"/>
      <c r="Q916"/>
    </row>
    <row r="917" spans="4:17">
      <c r="D917"/>
      <c r="E917"/>
      <c r="F917"/>
      <c r="G917"/>
      <c r="H917"/>
      <c r="I917"/>
      <c r="J917"/>
      <c r="K917"/>
      <c r="L917"/>
      <c r="M917"/>
      <c r="N917"/>
      <c r="O917"/>
      <c r="P917"/>
      <c r="Q917"/>
    </row>
    <row r="918" spans="4:17">
      <c r="D918"/>
      <c r="E918"/>
      <c r="F918"/>
      <c r="G918"/>
      <c r="H918"/>
      <c r="I918"/>
      <c r="J918"/>
      <c r="K918"/>
      <c r="L918"/>
      <c r="M918"/>
      <c r="N918"/>
      <c r="O918"/>
      <c r="P918"/>
      <c r="Q918"/>
    </row>
    <row r="919" spans="4:17">
      <c r="D919"/>
      <c r="E919"/>
      <c r="F919"/>
      <c r="G919"/>
      <c r="H919"/>
      <c r="I919"/>
      <c r="J919"/>
      <c r="K919"/>
      <c r="L919"/>
      <c r="M919"/>
      <c r="N919"/>
      <c r="O919"/>
      <c r="P919"/>
      <c r="Q919"/>
    </row>
    <row r="920" spans="4:17">
      <c r="D920"/>
      <c r="E920"/>
      <c r="F920"/>
      <c r="G920"/>
      <c r="H920"/>
      <c r="I920"/>
      <c r="J920"/>
      <c r="K920"/>
      <c r="L920"/>
      <c r="M920"/>
      <c r="N920"/>
      <c r="O920"/>
      <c r="P920"/>
      <c r="Q920"/>
    </row>
    <row r="921" spans="4:17">
      <c r="D921"/>
      <c r="E921"/>
      <c r="F921"/>
      <c r="G921"/>
      <c r="H921"/>
      <c r="I921"/>
      <c r="J921"/>
      <c r="K921"/>
      <c r="L921"/>
      <c r="M921"/>
      <c r="N921"/>
      <c r="O921"/>
      <c r="P921"/>
      <c r="Q921"/>
    </row>
    <row r="922" spans="4:17">
      <c r="D922"/>
      <c r="E922"/>
      <c r="F922"/>
      <c r="G922"/>
      <c r="H922"/>
      <c r="I922"/>
      <c r="J922"/>
      <c r="K922"/>
      <c r="L922"/>
      <c r="M922"/>
      <c r="N922"/>
      <c r="O922"/>
      <c r="P922"/>
      <c r="Q922"/>
    </row>
    <row r="923" spans="4:17">
      <c r="D923"/>
      <c r="E923"/>
      <c r="F923"/>
      <c r="G923"/>
      <c r="H923"/>
      <c r="I923"/>
      <c r="J923"/>
      <c r="K923"/>
      <c r="L923"/>
      <c r="M923"/>
      <c r="N923"/>
      <c r="O923"/>
      <c r="P923"/>
      <c r="Q923"/>
    </row>
    <row r="924" spans="4:17">
      <c r="D924"/>
      <c r="E924"/>
      <c r="F924"/>
      <c r="G924"/>
      <c r="H924"/>
      <c r="I924"/>
      <c r="J924"/>
      <c r="K924"/>
      <c r="L924"/>
      <c r="M924"/>
      <c r="N924"/>
      <c r="O924"/>
      <c r="P924"/>
      <c r="Q924"/>
    </row>
    <row r="925" spans="4:17">
      <c r="D925"/>
      <c r="E925"/>
      <c r="F925"/>
      <c r="G925"/>
      <c r="H925"/>
      <c r="I925"/>
      <c r="J925"/>
      <c r="K925"/>
      <c r="L925"/>
      <c r="M925"/>
      <c r="N925"/>
      <c r="O925"/>
      <c r="P925"/>
      <c r="Q925"/>
    </row>
    <row r="926" spans="4:17">
      <c r="D926"/>
      <c r="E926"/>
      <c r="F926"/>
      <c r="G926"/>
      <c r="H926"/>
      <c r="I926"/>
      <c r="J926"/>
      <c r="K926"/>
      <c r="L926"/>
      <c r="M926"/>
      <c r="N926"/>
      <c r="O926"/>
      <c r="P926"/>
      <c r="Q926"/>
    </row>
    <row r="927" spans="4:17">
      <c r="D927"/>
      <c r="E927"/>
      <c r="F927"/>
      <c r="G927"/>
      <c r="H927"/>
      <c r="I927"/>
      <c r="J927"/>
      <c r="K927"/>
      <c r="L927"/>
      <c r="M927"/>
      <c r="N927"/>
      <c r="O927"/>
      <c r="P927"/>
      <c r="Q927"/>
    </row>
    <row r="928" spans="4:17">
      <c r="D928"/>
      <c r="E928"/>
      <c r="F928"/>
      <c r="G928"/>
      <c r="H928"/>
      <c r="I928"/>
      <c r="J928"/>
      <c r="K928"/>
      <c r="L928"/>
      <c r="M928"/>
      <c r="N928"/>
      <c r="O928"/>
      <c r="P928"/>
      <c r="Q928"/>
    </row>
    <row r="929" spans="4:17">
      <c r="D929"/>
      <c r="E929"/>
      <c r="F929"/>
      <c r="G929"/>
      <c r="H929"/>
      <c r="I929"/>
      <c r="J929"/>
      <c r="K929"/>
      <c r="L929"/>
      <c r="M929"/>
      <c r="N929"/>
      <c r="O929"/>
      <c r="P929"/>
      <c r="Q929"/>
    </row>
    <row r="930" spans="4:17">
      <c r="D930"/>
      <c r="E930"/>
      <c r="F930"/>
      <c r="G930"/>
      <c r="H930"/>
      <c r="I930"/>
      <c r="J930"/>
      <c r="K930"/>
      <c r="L930"/>
      <c r="M930"/>
      <c r="N930"/>
      <c r="O930"/>
      <c r="P930"/>
      <c r="Q930"/>
    </row>
    <row r="931" spans="4:17">
      <c r="D931"/>
      <c r="E931"/>
      <c r="F931"/>
      <c r="G931"/>
      <c r="H931"/>
      <c r="I931"/>
      <c r="J931"/>
      <c r="K931"/>
      <c r="L931"/>
      <c r="M931"/>
      <c r="N931"/>
      <c r="O931"/>
      <c r="P931"/>
      <c r="Q931"/>
    </row>
    <row r="932" spans="4:17">
      <c r="D932"/>
      <c r="E932"/>
      <c r="F932"/>
      <c r="G932"/>
      <c r="H932"/>
      <c r="I932"/>
      <c r="J932"/>
      <c r="K932"/>
      <c r="L932"/>
      <c r="M932"/>
      <c r="N932"/>
      <c r="O932"/>
      <c r="P932"/>
      <c r="Q932"/>
    </row>
    <row r="933" spans="4:17">
      <c r="D933"/>
      <c r="E933"/>
      <c r="F933"/>
      <c r="G933"/>
      <c r="H933"/>
      <c r="I933"/>
      <c r="J933"/>
      <c r="K933"/>
      <c r="L933"/>
      <c r="M933"/>
      <c r="N933"/>
      <c r="O933"/>
      <c r="P933"/>
      <c r="Q933"/>
    </row>
    <row r="934" spans="4:17">
      <c r="D934"/>
      <c r="E934"/>
      <c r="F934"/>
      <c r="G934"/>
      <c r="H934"/>
      <c r="I934"/>
      <c r="J934"/>
      <c r="K934"/>
      <c r="L934"/>
      <c r="M934"/>
      <c r="N934"/>
      <c r="O934"/>
      <c r="P934"/>
      <c r="Q934"/>
    </row>
    <row r="935" spans="4:17">
      <c r="D935"/>
      <c r="E935"/>
      <c r="F935"/>
      <c r="G935"/>
      <c r="H935"/>
      <c r="I935"/>
      <c r="J935"/>
      <c r="K935"/>
      <c r="L935"/>
      <c r="M935"/>
      <c r="N935"/>
      <c r="O935"/>
      <c r="P935"/>
      <c r="Q935"/>
    </row>
    <row r="936" spans="4:17">
      <c r="D936"/>
      <c r="E936"/>
      <c r="F936"/>
      <c r="G936"/>
      <c r="H936"/>
      <c r="I936"/>
      <c r="J936"/>
      <c r="K936"/>
      <c r="L936"/>
      <c r="M936"/>
      <c r="N936"/>
      <c r="O936"/>
      <c r="P936"/>
      <c r="Q936"/>
    </row>
    <row r="937" spans="4:17">
      <c r="D937"/>
      <c r="E937"/>
      <c r="F937"/>
      <c r="G937"/>
      <c r="H937"/>
      <c r="I937"/>
      <c r="J937"/>
      <c r="K937"/>
      <c r="L937"/>
      <c r="M937"/>
      <c r="N937"/>
      <c r="O937"/>
      <c r="P937"/>
      <c r="Q937"/>
    </row>
    <row r="938" spans="4:17">
      <c r="D938"/>
      <c r="E938"/>
      <c r="F938"/>
      <c r="G938"/>
      <c r="H938"/>
      <c r="I938"/>
      <c r="J938"/>
      <c r="K938"/>
      <c r="L938"/>
      <c r="M938"/>
      <c r="N938"/>
      <c r="O938"/>
      <c r="P938"/>
      <c r="Q938"/>
    </row>
    <row r="939" spans="4:17">
      <c r="D939"/>
      <c r="E939"/>
      <c r="F939"/>
      <c r="G939"/>
      <c r="H939"/>
      <c r="I939"/>
      <c r="J939"/>
      <c r="K939"/>
      <c r="L939"/>
      <c r="M939"/>
      <c r="N939"/>
      <c r="O939"/>
      <c r="P939"/>
      <c r="Q939"/>
    </row>
    <row r="940" spans="4:17">
      <c r="D940"/>
      <c r="E940"/>
      <c r="F940"/>
      <c r="G940"/>
      <c r="H940"/>
      <c r="I940"/>
      <c r="J940"/>
      <c r="K940"/>
      <c r="L940"/>
      <c r="M940"/>
      <c r="N940"/>
      <c r="O940"/>
      <c r="P940"/>
      <c r="Q940"/>
    </row>
    <row r="941" spans="4:17">
      <c r="D941"/>
      <c r="E941"/>
      <c r="F941"/>
      <c r="G941"/>
      <c r="H941"/>
      <c r="I941"/>
      <c r="J941"/>
      <c r="K941"/>
      <c r="L941"/>
      <c r="M941"/>
      <c r="N941"/>
      <c r="O941"/>
      <c r="P941"/>
      <c r="Q941"/>
    </row>
    <row r="942" spans="4:17">
      <c r="D942"/>
      <c r="E942"/>
      <c r="F942"/>
      <c r="G942"/>
      <c r="H942"/>
      <c r="I942"/>
      <c r="J942"/>
      <c r="K942"/>
      <c r="L942"/>
      <c r="M942"/>
      <c r="N942"/>
      <c r="O942"/>
      <c r="P942"/>
      <c r="Q942"/>
    </row>
    <row r="943" spans="4:17">
      <c r="D943"/>
      <c r="E943"/>
      <c r="F943"/>
      <c r="G943"/>
      <c r="H943"/>
      <c r="I943"/>
      <c r="J943"/>
      <c r="K943"/>
      <c r="L943"/>
      <c r="M943"/>
      <c r="N943"/>
      <c r="O943"/>
      <c r="P943"/>
      <c r="Q943"/>
    </row>
    <row r="944" spans="4:17">
      <c r="D944"/>
      <c r="E944"/>
      <c r="F944"/>
      <c r="G944"/>
      <c r="H944"/>
      <c r="I944"/>
      <c r="J944"/>
      <c r="K944"/>
      <c r="L944"/>
      <c r="M944"/>
      <c r="N944"/>
      <c r="O944"/>
      <c r="P944"/>
      <c r="Q944"/>
    </row>
    <row r="945" spans="4:17">
      <c r="D945"/>
      <c r="E945"/>
      <c r="F945"/>
      <c r="G945"/>
      <c r="H945"/>
      <c r="I945"/>
      <c r="J945"/>
      <c r="K945"/>
      <c r="L945"/>
      <c r="M945"/>
      <c r="N945"/>
      <c r="O945"/>
      <c r="P945"/>
      <c r="Q945"/>
    </row>
    <row r="946" spans="4:17">
      <c r="D946"/>
      <c r="E946"/>
      <c r="F946"/>
      <c r="G946"/>
      <c r="H946"/>
      <c r="I946"/>
      <c r="J946"/>
      <c r="K946"/>
      <c r="L946"/>
      <c r="M946"/>
      <c r="N946"/>
      <c r="O946"/>
      <c r="P946"/>
      <c r="Q946"/>
    </row>
    <row r="947" spans="4:17">
      <c r="D947"/>
      <c r="E947"/>
      <c r="F947"/>
      <c r="G947"/>
      <c r="H947"/>
      <c r="I947"/>
      <c r="J947"/>
      <c r="K947"/>
      <c r="L947"/>
      <c r="M947"/>
      <c r="N947"/>
      <c r="O947"/>
      <c r="P947"/>
      <c r="Q947"/>
    </row>
    <row r="948" spans="4:17">
      <c r="D948"/>
      <c r="E948"/>
      <c r="F948"/>
      <c r="G948"/>
      <c r="H948"/>
      <c r="I948"/>
      <c r="J948"/>
      <c r="K948"/>
      <c r="L948"/>
      <c r="M948"/>
      <c r="N948"/>
      <c r="O948"/>
      <c r="P948"/>
      <c r="Q948"/>
    </row>
    <row r="949" spans="4:17">
      <c r="D949"/>
      <c r="E949"/>
      <c r="F949"/>
      <c r="G949"/>
      <c r="H949"/>
      <c r="I949"/>
      <c r="J949"/>
      <c r="K949"/>
      <c r="L949"/>
      <c r="M949"/>
      <c r="N949"/>
      <c r="O949"/>
      <c r="P949"/>
      <c r="Q949"/>
    </row>
    <row r="950" spans="4:17">
      <c r="D950"/>
      <c r="E950"/>
      <c r="F950"/>
      <c r="G950"/>
      <c r="H950"/>
      <c r="I950"/>
      <c r="J950"/>
      <c r="K950"/>
      <c r="L950"/>
      <c r="M950"/>
      <c r="N950"/>
      <c r="O950"/>
      <c r="P950"/>
      <c r="Q950"/>
    </row>
    <row r="951" spans="4:17">
      <c r="D951"/>
      <c r="E951"/>
      <c r="F951"/>
      <c r="G951"/>
      <c r="H951"/>
      <c r="I951"/>
      <c r="J951"/>
      <c r="K951"/>
      <c r="L951"/>
      <c r="M951"/>
      <c r="N951"/>
      <c r="O951"/>
      <c r="P951"/>
      <c r="Q951"/>
    </row>
    <row r="952" spans="4:17">
      <c r="D952"/>
      <c r="E952"/>
      <c r="F952"/>
      <c r="G952"/>
      <c r="H952"/>
      <c r="I952"/>
      <c r="J952"/>
      <c r="K952"/>
      <c r="L952"/>
      <c r="M952"/>
      <c r="N952"/>
      <c r="O952"/>
      <c r="P952"/>
      <c r="Q952"/>
    </row>
    <row r="953" spans="4:17">
      <c r="D953"/>
      <c r="E953"/>
      <c r="F953"/>
      <c r="G953"/>
      <c r="H953"/>
      <c r="I953"/>
      <c r="J953"/>
      <c r="K953"/>
      <c r="L953"/>
      <c r="M953"/>
      <c r="N953"/>
      <c r="O953"/>
      <c r="P953"/>
      <c r="Q953"/>
    </row>
    <row r="954" spans="4:17">
      <c r="D954"/>
      <c r="E954"/>
      <c r="F954"/>
      <c r="G954"/>
      <c r="H954"/>
      <c r="I954"/>
      <c r="J954"/>
      <c r="K954"/>
      <c r="L954"/>
      <c r="M954"/>
      <c r="N954"/>
      <c r="O954"/>
      <c r="P954"/>
      <c r="Q954"/>
    </row>
    <row r="955" spans="4:17">
      <c r="D955"/>
      <c r="E955"/>
      <c r="F955"/>
      <c r="G955"/>
      <c r="H955"/>
      <c r="I955"/>
      <c r="J955"/>
      <c r="K955"/>
      <c r="L955"/>
      <c r="M955"/>
      <c r="N955"/>
      <c r="O955"/>
      <c r="P955"/>
      <c r="Q955"/>
    </row>
    <row r="956" spans="4:17">
      <c r="D956"/>
      <c r="E956"/>
      <c r="F956"/>
      <c r="G956"/>
      <c r="H956"/>
      <c r="I956"/>
      <c r="J956"/>
      <c r="K956"/>
      <c r="L956"/>
      <c r="M956"/>
      <c r="N956"/>
      <c r="O956"/>
      <c r="P956"/>
      <c r="Q956"/>
    </row>
    <row r="957" spans="4:17">
      <c r="D957"/>
      <c r="E957"/>
      <c r="F957"/>
      <c r="G957"/>
      <c r="H957"/>
      <c r="I957"/>
      <c r="J957"/>
      <c r="K957"/>
      <c r="L957"/>
      <c r="M957"/>
      <c r="N957"/>
      <c r="O957"/>
      <c r="P957"/>
      <c r="Q957"/>
    </row>
    <row r="958" spans="4:17">
      <c r="D958"/>
      <c r="E958"/>
      <c r="F958"/>
      <c r="G958"/>
      <c r="H958"/>
      <c r="I958"/>
      <c r="J958"/>
      <c r="K958"/>
      <c r="L958"/>
      <c r="M958"/>
      <c r="N958"/>
      <c r="O958"/>
      <c r="P958"/>
      <c r="Q958"/>
    </row>
    <row r="959" spans="4:17">
      <c r="D959"/>
      <c r="E959"/>
      <c r="F959"/>
      <c r="G959"/>
      <c r="H959"/>
      <c r="I959"/>
      <c r="J959"/>
      <c r="K959"/>
      <c r="L959"/>
      <c r="M959"/>
      <c r="N959"/>
      <c r="O959"/>
      <c r="P959"/>
      <c r="Q959"/>
    </row>
    <row r="960" spans="4:17">
      <c r="D960"/>
      <c r="E960"/>
      <c r="F960"/>
      <c r="G960"/>
      <c r="H960"/>
      <c r="I960"/>
      <c r="J960"/>
      <c r="K960"/>
      <c r="L960"/>
      <c r="M960"/>
      <c r="N960"/>
      <c r="O960"/>
      <c r="P960"/>
      <c r="Q960"/>
    </row>
    <row r="961" spans="4:17">
      <c r="D961"/>
      <c r="E961"/>
      <c r="F961"/>
      <c r="G961"/>
      <c r="H961"/>
      <c r="I961"/>
      <c r="J961"/>
      <c r="K961"/>
      <c r="L961"/>
      <c r="M961"/>
      <c r="N961"/>
      <c r="O961"/>
      <c r="P961"/>
      <c r="Q961"/>
    </row>
    <row r="962" spans="4:17">
      <c r="D962"/>
      <c r="E962"/>
      <c r="F962"/>
      <c r="G962"/>
      <c r="H962"/>
      <c r="I962"/>
      <c r="J962"/>
      <c r="K962"/>
      <c r="L962"/>
      <c r="M962"/>
      <c r="N962"/>
      <c r="O962"/>
      <c r="P962"/>
      <c r="Q962"/>
    </row>
    <row r="963" spans="4:17">
      <c r="D963"/>
      <c r="E963"/>
      <c r="F963"/>
      <c r="G963"/>
      <c r="H963"/>
      <c r="I963"/>
      <c r="J963"/>
      <c r="K963"/>
      <c r="L963"/>
      <c r="M963"/>
      <c r="N963"/>
      <c r="O963"/>
      <c r="P963"/>
      <c r="Q963"/>
    </row>
    <row r="964" spans="4:17">
      <c r="D964"/>
      <c r="E964"/>
      <c r="F964"/>
      <c r="G964"/>
      <c r="H964"/>
      <c r="I964"/>
      <c r="J964"/>
      <c r="K964"/>
      <c r="L964"/>
      <c r="M964"/>
      <c r="N964"/>
      <c r="O964"/>
      <c r="P964"/>
      <c r="Q964"/>
    </row>
    <row r="965" spans="4:17">
      <c r="D965"/>
      <c r="E965"/>
      <c r="F965"/>
      <c r="G965"/>
      <c r="H965"/>
      <c r="I965"/>
      <c r="J965"/>
      <c r="K965"/>
      <c r="L965"/>
      <c r="M965"/>
      <c r="N965"/>
      <c r="O965"/>
      <c r="P965"/>
      <c r="Q965"/>
    </row>
    <row r="966" spans="4:17">
      <c r="D966"/>
      <c r="E966"/>
      <c r="F966"/>
      <c r="G966"/>
      <c r="H966"/>
      <c r="I966"/>
      <c r="J966"/>
      <c r="K966"/>
      <c r="L966"/>
      <c r="M966"/>
      <c r="N966"/>
      <c r="O966"/>
      <c r="P966"/>
      <c r="Q966"/>
    </row>
    <row r="967" spans="4:17">
      <c r="D967"/>
      <c r="E967"/>
      <c r="F967"/>
      <c r="G967"/>
      <c r="H967"/>
      <c r="I967"/>
      <c r="J967"/>
      <c r="K967"/>
      <c r="L967"/>
      <c r="M967"/>
      <c r="N967"/>
      <c r="O967"/>
      <c r="P967"/>
      <c r="Q967"/>
    </row>
    <row r="968" spans="4:17">
      <c r="D968"/>
      <c r="E968"/>
      <c r="F968"/>
      <c r="G968"/>
      <c r="H968"/>
      <c r="I968"/>
      <c r="J968"/>
      <c r="K968"/>
      <c r="L968"/>
      <c r="M968"/>
      <c r="N968"/>
      <c r="O968"/>
      <c r="P968"/>
      <c r="Q968"/>
    </row>
    <row r="969" spans="4:17">
      <c r="D969"/>
      <c r="E969"/>
      <c r="F969"/>
      <c r="G969"/>
      <c r="H969"/>
      <c r="I969"/>
      <c r="J969"/>
      <c r="K969"/>
      <c r="L969"/>
      <c r="M969"/>
      <c r="N969"/>
      <c r="O969"/>
      <c r="P969"/>
      <c r="Q969"/>
    </row>
    <row r="970" spans="4:17">
      <c r="D970"/>
      <c r="E970"/>
      <c r="F970"/>
      <c r="G970"/>
      <c r="H970"/>
      <c r="I970"/>
      <c r="J970"/>
      <c r="K970"/>
      <c r="L970"/>
      <c r="M970"/>
      <c r="N970"/>
      <c r="O970"/>
      <c r="P970"/>
      <c r="Q970"/>
    </row>
    <row r="971" spans="4:17">
      <c r="D971"/>
      <c r="E971"/>
      <c r="F971"/>
      <c r="G971"/>
      <c r="H971"/>
      <c r="I971"/>
      <c r="J971"/>
      <c r="K971"/>
      <c r="L971"/>
      <c r="M971"/>
      <c r="N971"/>
      <c r="O971"/>
      <c r="P971"/>
      <c r="Q971"/>
    </row>
    <row r="972" spans="4:17">
      <c r="D972"/>
      <c r="E972"/>
      <c r="F972"/>
      <c r="G972"/>
      <c r="H972"/>
      <c r="I972"/>
      <c r="J972"/>
      <c r="K972"/>
      <c r="L972"/>
      <c r="M972"/>
      <c r="N972"/>
      <c r="O972"/>
      <c r="P972"/>
      <c r="Q972"/>
    </row>
    <row r="973" spans="4:17">
      <c r="D973"/>
      <c r="E973"/>
      <c r="F973"/>
      <c r="G973"/>
      <c r="H973"/>
      <c r="I973"/>
      <c r="J973"/>
      <c r="K973"/>
      <c r="L973"/>
      <c r="M973"/>
      <c r="N973"/>
      <c r="O973"/>
      <c r="P973"/>
      <c r="Q973"/>
    </row>
    <row r="974" spans="4:17">
      <c r="D974"/>
      <c r="E974"/>
      <c r="F974"/>
      <c r="G974"/>
      <c r="H974"/>
      <c r="I974"/>
      <c r="J974"/>
      <c r="K974"/>
      <c r="L974"/>
      <c r="M974"/>
      <c r="N974"/>
      <c r="O974"/>
      <c r="P974"/>
      <c r="Q974"/>
    </row>
    <row r="975" spans="4:17">
      <c r="D975"/>
      <c r="E975"/>
      <c r="F975"/>
      <c r="G975"/>
      <c r="H975"/>
      <c r="I975"/>
      <c r="J975"/>
      <c r="K975"/>
      <c r="L975"/>
      <c r="M975"/>
      <c r="N975"/>
      <c r="O975"/>
      <c r="P975"/>
      <c r="Q975"/>
    </row>
    <row r="976" spans="4:17">
      <c r="D976"/>
      <c r="E976"/>
      <c r="F976"/>
      <c r="G976"/>
      <c r="H976"/>
      <c r="I976"/>
      <c r="J976"/>
      <c r="K976"/>
      <c r="L976"/>
      <c r="M976"/>
      <c r="N976"/>
      <c r="O976"/>
      <c r="P976"/>
      <c r="Q976"/>
    </row>
    <row r="977" spans="4:17">
      <c r="D977"/>
      <c r="E977"/>
      <c r="F977"/>
      <c r="G977"/>
      <c r="H977"/>
      <c r="I977"/>
      <c r="J977"/>
      <c r="K977"/>
      <c r="L977"/>
      <c r="M977"/>
      <c r="N977"/>
      <c r="O977"/>
      <c r="P977"/>
      <c r="Q977"/>
    </row>
    <row r="978" spans="4:17">
      <c r="D978"/>
      <c r="E978"/>
      <c r="F978"/>
      <c r="G978"/>
      <c r="H978"/>
      <c r="I978"/>
      <c r="J978"/>
      <c r="K978"/>
      <c r="L978"/>
      <c r="M978"/>
      <c r="N978"/>
      <c r="O978"/>
      <c r="P978"/>
      <c r="Q978"/>
    </row>
    <row r="979" spans="4:17">
      <c r="D979"/>
      <c r="E979"/>
      <c r="F979"/>
      <c r="G979"/>
      <c r="H979"/>
      <c r="I979"/>
      <c r="J979"/>
      <c r="K979"/>
      <c r="L979"/>
      <c r="M979"/>
      <c r="N979"/>
      <c r="O979"/>
      <c r="P979"/>
      <c r="Q979"/>
    </row>
    <row r="980" spans="4:17">
      <c r="D980"/>
      <c r="E980"/>
      <c r="F980"/>
      <c r="G980"/>
      <c r="H980"/>
      <c r="I980"/>
      <c r="J980"/>
      <c r="K980"/>
      <c r="L980"/>
      <c r="M980"/>
      <c r="N980"/>
      <c r="O980"/>
      <c r="P980"/>
      <c r="Q980"/>
    </row>
    <row r="981" spans="4:17">
      <c r="D981"/>
      <c r="E981"/>
      <c r="F981"/>
      <c r="G981"/>
      <c r="H981"/>
      <c r="I981"/>
      <c r="J981"/>
      <c r="K981"/>
      <c r="L981"/>
      <c r="M981"/>
      <c r="N981"/>
      <c r="O981"/>
      <c r="P981"/>
      <c r="Q981"/>
    </row>
    <row r="982" spans="4:17">
      <c r="D982"/>
      <c r="E982"/>
      <c r="F982"/>
      <c r="G982"/>
      <c r="H982"/>
      <c r="I982"/>
      <c r="J982"/>
      <c r="K982"/>
      <c r="L982"/>
      <c r="M982"/>
      <c r="N982"/>
      <c r="O982"/>
      <c r="P982"/>
      <c r="Q982"/>
    </row>
    <row r="983" spans="4:17">
      <c r="D983"/>
      <c r="E983"/>
      <c r="F983"/>
      <c r="G983"/>
      <c r="H983"/>
      <c r="I983"/>
      <c r="J983"/>
      <c r="K983"/>
      <c r="L983"/>
      <c r="M983"/>
      <c r="N983"/>
      <c r="O983"/>
      <c r="P983"/>
      <c r="Q983"/>
    </row>
    <row r="984" spans="4:17">
      <c r="D984"/>
      <c r="E984"/>
      <c r="F984"/>
      <c r="G984"/>
      <c r="H984"/>
      <c r="I984"/>
      <c r="J984"/>
      <c r="K984"/>
      <c r="L984"/>
      <c r="M984"/>
      <c r="N984"/>
      <c r="O984"/>
      <c r="P984"/>
      <c r="Q984"/>
    </row>
    <row r="985" spans="4:17">
      <c r="D985"/>
      <c r="E985"/>
      <c r="F985"/>
      <c r="G985"/>
      <c r="H985"/>
      <c r="I985"/>
      <c r="J985"/>
      <c r="K985"/>
      <c r="L985"/>
      <c r="M985"/>
      <c r="N985"/>
      <c r="O985"/>
      <c r="P985"/>
      <c r="Q985"/>
    </row>
    <row r="986" spans="4:17">
      <c r="D986"/>
      <c r="E986"/>
      <c r="F986"/>
      <c r="G986"/>
      <c r="H986"/>
      <c r="I986"/>
      <c r="J986"/>
      <c r="K986"/>
      <c r="L986"/>
      <c r="M986"/>
      <c r="N986"/>
      <c r="O986"/>
      <c r="P986"/>
      <c r="Q986"/>
    </row>
    <row r="987" spans="4:17">
      <c r="D987"/>
      <c r="E987"/>
      <c r="F987"/>
      <c r="G987"/>
      <c r="H987"/>
      <c r="I987"/>
      <c r="J987"/>
      <c r="K987"/>
      <c r="L987"/>
      <c r="M987"/>
      <c r="N987"/>
      <c r="O987"/>
      <c r="P987"/>
      <c r="Q987"/>
    </row>
    <row r="988" spans="4:17">
      <c r="D988"/>
      <c r="E988"/>
      <c r="F988"/>
      <c r="G988"/>
      <c r="H988"/>
      <c r="I988"/>
      <c r="J988"/>
      <c r="K988"/>
      <c r="L988"/>
      <c r="M988"/>
      <c r="N988"/>
      <c r="O988"/>
      <c r="P988"/>
      <c r="Q988"/>
    </row>
    <row r="989" spans="4:17">
      <c r="D989"/>
      <c r="E989"/>
      <c r="F989"/>
      <c r="G989"/>
      <c r="H989"/>
      <c r="I989"/>
      <c r="J989"/>
      <c r="K989"/>
      <c r="L989"/>
      <c r="M989"/>
      <c r="N989"/>
      <c r="O989"/>
      <c r="P989"/>
      <c r="Q989"/>
    </row>
    <row r="990" spans="4:17">
      <c r="D990"/>
      <c r="E990"/>
      <c r="F990"/>
      <c r="G990"/>
      <c r="H990"/>
      <c r="I990"/>
      <c r="J990"/>
      <c r="K990"/>
      <c r="L990"/>
      <c r="M990"/>
      <c r="N990"/>
      <c r="O990"/>
      <c r="P990"/>
      <c r="Q990"/>
    </row>
    <row r="991" spans="4:17">
      <c r="D991"/>
      <c r="E991"/>
      <c r="F991"/>
      <c r="G991"/>
      <c r="H991"/>
      <c r="I991"/>
      <c r="J991"/>
      <c r="K991"/>
      <c r="L991"/>
      <c r="M991"/>
      <c r="N991"/>
      <c r="O991"/>
      <c r="P991"/>
      <c r="Q991"/>
    </row>
    <row r="992" spans="4:17">
      <c r="D992"/>
      <c r="E992"/>
      <c r="F992"/>
      <c r="G992"/>
      <c r="H992"/>
      <c r="I992"/>
      <c r="J992"/>
      <c r="K992"/>
      <c r="L992"/>
      <c r="M992"/>
      <c r="N992"/>
      <c r="O992"/>
      <c r="P992"/>
      <c r="Q992"/>
    </row>
    <row r="993" spans="4:17">
      <c r="D993"/>
      <c r="E993"/>
      <c r="F993"/>
      <c r="G993"/>
      <c r="H993"/>
      <c r="I993"/>
      <c r="J993"/>
      <c r="K993"/>
      <c r="L993"/>
      <c r="M993"/>
      <c r="N993"/>
      <c r="O993"/>
      <c r="P993"/>
      <c r="Q993"/>
    </row>
    <row r="994" spans="4:17">
      <c r="D994"/>
      <c r="E994"/>
      <c r="F994"/>
      <c r="G994"/>
      <c r="H994"/>
      <c r="I994"/>
      <c r="J994"/>
      <c r="K994"/>
      <c r="L994"/>
      <c r="M994"/>
      <c r="N994"/>
      <c r="O994"/>
      <c r="P994"/>
      <c r="Q994"/>
    </row>
    <row r="995" spans="4:17">
      <c r="D995"/>
      <c r="E995"/>
      <c r="F995"/>
      <c r="G995"/>
      <c r="H995"/>
      <c r="I995"/>
      <c r="J995"/>
      <c r="K995"/>
      <c r="L995"/>
      <c r="M995"/>
      <c r="N995"/>
      <c r="O995"/>
      <c r="P995"/>
      <c r="Q995"/>
    </row>
    <row r="996" spans="4:17">
      <c r="D996"/>
      <c r="E996"/>
      <c r="F996"/>
      <c r="G996"/>
      <c r="H996"/>
      <c r="I996"/>
      <c r="J996"/>
      <c r="K996"/>
      <c r="L996"/>
      <c r="M996"/>
      <c r="N996"/>
      <c r="O996"/>
      <c r="P996"/>
      <c r="Q996"/>
    </row>
    <row r="997" spans="4:17">
      <c r="D997"/>
      <c r="E997"/>
      <c r="F997"/>
      <c r="G997"/>
      <c r="H997"/>
      <c r="I997"/>
      <c r="J997"/>
      <c r="K997"/>
      <c r="L997"/>
      <c r="M997"/>
      <c r="N997"/>
      <c r="O997"/>
      <c r="P997"/>
      <c r="Q997"/>
    </row>
    <row r="998" spans="4:17">
      <c r="D998"/>
      <c r="E998"/>
      <c r="F998"/>
      <c r="G998"/>
      <c r="H998"/>
      <c r="I998"/>
      <c r="J998"/>
      <c r="K998"/>
      <c r="L998"/>
      <c r="M998"/>
      <c r="N998"/>
      <c r="O998"/>
      <c r="P998"/>
      <c r="Q998"/>
    </row>
    <row r="999" spans="4:17">
      <c r="D999"/>
      <c r="E999"/>
      <c r="F999"/>
      <c r="G999"/>
      <c r="H999"/>
      <c r="I999"/>
      <c r="J999"/>
      <c r="K999"/>
      <c r="L999"/>
      <c r="M999"/>
      <c r="N999"/>
      <c r="O999"/>
      <c r="P999"/>
      <c r="Q999"/>
    </row>
    <row r="1000" spans="4:17">
      <c r="D1000"/>
      <c r="E1000"/>
      <c r="F1000"/>
      <c r="G1000"/>
      <c r="H1000"/>
      <c r="I1000"/>
      <c r="J1000"/>
      <c r="K1000"/>
      <c r="L1000"/>
      <c r="M1000"/>
      <c r="N1000"/>
      <c r="O1000"/>
      <c r="P1000"/>
      <c r="Q1000"/>
    </row>
    <row r="1001" spans="4:17">
      <c r="D1001"/>
      <c r="E1001"/>
      <c r="F1001"/>
      <c r="G1001"/>
      <c r="H1001"/>
      <c r="I1001"/>
      <c r="J1001"/>
      <c r="K1001"/>
      <c r="L1001"/>
      <c r="M1001"/>
      <c r="N1001"/>
      <c r="O1001"/>
      <c r="P1001"/>
      <c r="Q100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101"/>
  <sheetViews>
    <sheetView workbookViewId="0">
      <selection activeCell="B1" sqref="B1:B1048576"/>
    </sheetView>
  </sheetViews>
  <sheetFormatPr defaultRowHeight="12.75"/>
  <cols>
    <col min="1" max="1" width="9.140625" style="1"/>
    <col min="5" max="5" width="11.85546875" customWidth="1"/>
  </cols>
  <sheetData>
    <row r="1" spans="1:6">
      <c r="A1" s="1" t="s">
        <v>1</v>
      </c>
      <c r="B1" t="s">
        <v>40</v>
      </c>
      <c r="C1" s="15" t="s">
        <v>42</v>
      </c>
      <c r="D1" s="15" t="s">
        <v>37</v>
      </c>
      <c r="E1" s="2" t="s">
        <v>38</v>
      </c>
      <c r="F1" t="s">
        <v>39</v>
      </c>
    </row>
    <row r="2" spans="1:6">
      <c r="A2" s="1">
        <v>536</v>
      </c>
      <c r="B2">
        <v>10390</v>
      </c>
      <c r="C2">
        <v>0</v>
      </c>
      <c r="D2">
        <v>10354</v>
      </c>
      <c r="E2">
        <v>36</v>
      </c>
      <c r="F2">
        <v>17</v>
      </c>
    </row>
    <row r="3" spans="1:6">
      <c r="A3" s="1">
        <v>535.9</v>
      </c>
      <c r="B3">
        <v>10316</v>
      </c>
      <c r="C3">
        <v>-38</v>
      </c>
      <c r="D3">
        <v>10316</v>
      </c>
      <c r="E3">
        <v>0</v>
      </c>
    </row>
    <row r="4" spans="1:6">
      <c r="A4" s="1">
        <v>535.79999999999995</v>
      </c>
      <c r="B4">
        <v>10357</v>
      </c>
      <c r="C4">
        <v>-8.2373361927238875E-2</v>
      </c>
      <c r="D4">
        <v>10353.917626638073</v>
      </c>
      <c r="E4">
        <v>3</v>
      </c>
    </row>
    <row r="5" spans="1:6">
      <c r="A5" s="1">
        <v>535.70000000000005</v>
      </c>
      <c r="B5">
        <v>10400</v>
      </c>
      <c r="C5">
        <v>-0.13637151823604654</v>
      </c>
      <c r="D5">
        <v>10353.863628481764</v>
      </c>
      <c r="E5">
        <v>46</v>
      </c>
    </row>
    <row r="6" spans="1:6">
      <c r="A6" s="1">
        <v>535.6</v>
      </c>
      <c r="B6">
        <v>10321</v>
      </c>
      <c r="C6">
        <v>-33</v>
      </c>
      <c r="D6">
        <v>10321</v>
      </c>
      <c r="E6">
        <v>0</v>
      </c>
    </row>
    <row r="7" spans="1:6">
      <c r="A7" s="1">
        <v>535.5</v>
      </c>
      <c r="B7">
        <v>10258</v>
      </c>
      <c r="C7">
        <v>-96</v>
      </c>
      <c r="D7">
        <v>10258</v>
      </c>
      <c r="E7">
        <v>0</v>
      </c>
    </row>
    <row r="8" spans="1:6">
      <c r="A8" s="1">
        <v>535.4</v>
      </c>
      <c r="B8">
        <v>10313</v>
      </c>
      <c r="C8">
        <v>-41</v>
      </c>
      <c r="D8">
        <v>10313</v>
      </c>
      <c r="E8">
        <v>0</v>
      </c>
    </row>
    <row r="9" spans="1:6">
      <c r="A9" s="1">
        <v>535.29999999999995</v>
      </c>
      <c r="B9">
        <v>10219</v>
      </c>
      <c r="C9">
        <v>-135</v>
      </c>
      <c r="D9">
        <v>10219</v>
      </c>
      <c r="E9">
        <v>0</v>
      </c>
    </row>
    <row r="10" spans="1:6">
      <c r="A10" s="1">
        <v>535.20000000000005</v>
      </c>
      <c r="B10">
        <v>10163</v>
      </c>
      <c r="C10">
        <v>-191</v>
      </c>
      <c r="D10">
        <v>10163</v>
      </c>
      <c r="E10">
        <v>0</v>
      </c>
    </row>
    <row r="11" spans="1:6">
      <c r="A11" s="1">
        <v>535.1</v>
      </c>
      <c r="B11">
        <v>10262</v>
      </c>
      <c r="C11">
        <v>-92</v>
      </c>
      <c r="D11">
        <v>10262</v>
      </c>
      <c r="E11">
        <v>0</v>
      </c>
    </row>
    <row r="12" spans="1:6">
      <c r="A12" s="1">
        <v>535</v>
      </c>
      <c r="B12">
        <v>10203</v>
      </c>
      <c r="C12">
        <v>-151</v>
      </c>
      <c r="D12">
        <v>10203</v>
      </c>
      <c r="E12">
        <v>0</v>
      </c>
    </row>
    <row r="13" spans="1:6">
      <c r="A13" s="1">
        <v>534.9</v>
      </c>
      <c r="B13">
        <v>10193</v>
      </c>
      <c r="C13">
        <v>-161</v>
      </c>
      <c r="D13">
        <v>10193</v>
      </c>
      <c r="E13">
        <v>0</v>
      </c>
    </row>
    <row r="14" spans="1:6">
      <c r="A14" s="1">
        <v>534.79999999999995</v>
      </c>
      <c r="B14">
        <v>10226</v>
      </c>
      <c r="C14">
        <v>-128</v>
      </c>
      <c r="D14">
        <v>10226</v>
      </c>
      <c r="E14">
        <v>0</v>
      </c>
    </row>
    <row r="15" spans="1:6">
      <c r="A15" s="1">
        <v>534.70000000000005</v>
      </c>
      <c r="B15">
        <v>10212</v>
      </c>
      <c r="C15">
        <v>-142</v>
      </c>
      <c r="D15">
        <v>10212</v>
      </c>
      <c r="E15">
        <v>0</v>
      </c>
    </row>
    <row r="16" spans="1:6">
      <c r="A16" s="1">
        <v>534.6</v>
      </c>
      <c r="B16">
        <v>10145</v>
      </c>
      <c r="C16">
        <v>-209</v>
      </c>
      <c r="D16">
        <v>10145</v>
      </c>
      <c r="E16">
        <v>0</v>
      </c>
    </row>
    <row r="17" spans="1:5">
      <c r="A17" s="1">
        <v>534.5</v>
      </c>
      <c r="B17">
        <v>10271</v>
      </c>
      <c r="C17">
        <v>-83</v>
      </c>
      <c r="D17">
        <v>10271</v>
      </c>
      <c r="E17">
        <v>0</v>
      </c>
    </row>
    <row r="18" spans="1:5">
      <c r="A18" s="1">
        <v>534.4</v>
      </c>
      <c r="B18">
        <v>10267</v>
      </c>
      <c r="C18">
        <v>-87</v>
      </c>
      <c r="D18">
        <v>10267</v>
      </c>
      <c r="E18">
        <v>0</v>
      </c>
    </row>
    <row r="19" spans="1:5">
      <c r="A19" s="1">
        <v>534.29999999999995</v>
      </c>
      <c r="B19">
        <v>10196</v>
      </c>
      <c r="C19">
        <v>-158</v>
      </c>
      <c r="D19">
        <v>10196</v>
      </c>
      <c r="E19">
        <v>0</v>
      </c>
    </row>
    <row r="20" spans="1:5">
      <c r="A20" s="1">
        <v>534.20000000000005</v>
      </c>
      <c r="B20">
        <v>10274</v>
      </c>
      <c r="C20">
        <v>-80</v>
      </c>
      <c r="D20">
        <v>10274</v>
      </c>
      <c r="E20">
        <v>0</v>
      </c>
    </row>
    <row r="21" spans="1:5">
      <c r="A21" s="1">
        <v>534.1</v>
      </c>
      <c r="B21">
        <v>10335</v>
      </c>
      <c r="C21">
        <v>-19</v>
      </c>
      <c r="D21">
        <v>10335</v>
      </c>
      <c r="E21">
        <v>0</v>
      </c>
    </row>
    <row r="22" spans="1:5">
      <c r="A22" s="1">
        <v>534</v>
      </c>
      <c r="B22">
        <v>10311</v>
      </c>
      <c r="C22">
        <v>-43</v>
      </c>
      <c r="D22">
        <v>10311</v>
      </c>
      <c r="E22">
        <v>0</v>
      </c>
    </row>
    <row r="23" spans="1:5">
      <c r="A23" s="1">
        <v>533.9</v>
      </c>
      <c r="B23">
        <v>10272</v>
      </c>
      <c r="C23">
        <v>-82</v>
      </c>
      <c r="D23">
        <v>10272</v>
      </c>
      <c r="E23">
        <v>0</v>
      </c>
    </row>
    <row r="24" spans="1:5">
      <c r="A24" s="1">
        <v>533.79999999999995</v>
      </c>
      <c r="B24">
        <v>10262</v>
      </c>
      <c r="C24">
        <v>-92</v>
      </c>
      <c r="D24">
        <v>10262</v>
      </c>
      <c r="E24">
        <v>0</v>
      </c>
    </row>
    <row r="25" spans="1:5">
      <c r="A25" s="1">
        <v>533.70000000000005</v>
      </c>
      <c r="B25">
        <v>10366</v>
      </c>
      <c r="C25">
        <v>-0.20037305864752852</v>
      </c>
      <c r="D25">
        <v>10353.799626941352</v>
      </c>
      <c r="E25">
        <v>12</v>
      </c>
    </row>
    <row r="26" spans="1:5">
      <c r="A26" s="1">
        <v>533.6</v>
      </c>
      <c r="B26">
        <v>10288</v>
      </c>
      <c r="C26">
        <v>-66</v>
      </c>
      <c r="D26">
        <v>10288</v>
      </c>
      <c r="E26">
        <v>0</v>
      </c>
    </row>
    <row r="27" spans="1:5">
      <c r="A27" s="1">
        <v>533.5</v>
      </c>
      <c r="B27">
        <v>10309</v>
      </c>
      <c r="C27">
        <v>-45</v>
      </c>
      <c r="D27">
        <v>10309</v>
      </c>
      <c r="E27">
        <v>0</v>
      </c>
    </row>
    <row r="28" spans="1:5">
      <c r="A28" s="1">
        <v>533.4</v>
      </c>
      <c r="B28">
        <v>10435</v>
      </c>
      <c r="C28">
        <v>-0.30295604947423271</v>
      </c>
      <c r="D28">
        <v>10353.697043950526</v>
      </c>
      <c r="E28">
        <v>81</v>
      </c>
    </row>
    <row r="29" spans="1:5">
      <c r="A29" s="1">
        <v>533.29999999999995</v>
      </c>
      <c r="B29">
        <v>10585</v>
      </c>
      <c r="C29">
        <v>-0.64629453068664588</v>
      </c>
      <c r="D29">
        <v>10353.353705469313</v>
      </c>
      <c r="E29">
        <v>231</v>
      </c>
    </row>
    <row r="30" spans="1:5">
      <c r="A30" s="1">
        <v>533.20000000000005</v>
      </c>
      <c r="B30">
        <v>10520</v>
      </c>
      <c r="C30">
        <v>-1.0837434649565694</v>
      </c>
      <c r="D30">
        <v>10352.916256535043</v>
      </c>
      <c r="E30">
        <v>167</v>
      </c>
    </row>
    <row r="31" spans="1:5">
      <c r="A31" s="1">
        <v>533.1</v>
      </c>
      <c r="B31">
        <v>10538</v>
      </c>
      <c r="C31">
        <v>-1.4705324028163886</v>
      </c>
      <c r="D31">
        <v>10352.529467597184</v>
      </c>
      <c r="E31">
        <v>185</v>
      </c>
    </row>
    <row r="32" spans="1:5">
      <c r="A32" s="1">
        <v>533</v>
      </c>
      <c r="B32">
        <v>10539</v>
      </c>
      <c r="C32">
        <v>-1.8790386520067841</v>
      </c>
      <c r="D32">
        <v>10352.120961347993</v>
      </c>
      <c r="E32">
        <v>186</v>
      </c>
    </row>
    <row r="33" spans="1:5">
      <c r="A33" s="1">
        <v>532.9</v>
      </c>
      <c r="B33">
        <v>10664</v>
      </c>
      <c r="C33">
        <v>-2.4268292332126293</v>
      </c>
      <c r="D33">
        <v>10351.573170766787</v>
      </c>
      <c r="E33">
        <v>312</v>
      </c>
    </row>
    <row r="34" spans="1:5">
      <c r="A34" s="1">
        <v>532.79999999999995</v>
      </c>
      <c r="B34">
        <v>10636</v>
      </c>
      <c r="C34">
        <v>-3.082358983127051</v>
      </c>
      <c r="D34">
        <v>10350.917641016873</v>
      </c>
      <c r="E34">
        <v>285</v>
      </c>
    </row>
    <row r="35" spans="1:5">
      <c r="A35" s="1">
        <v>532.70000000000005</v>
      </c>
      <c r="B35">
        <v>10693</v>
      </c>
      <c r="C35">
        <v>-3.7711793163780385</v>
      </c>
      <c r="D35">
        <v>10350.228820683622</v>
      </c>
      <c r="E35">
        <v>342</v>
      </c>
    </row>
    <row r="36" spans="1:5">
      <c r="A36" s="1">
        <v>532.6</v>
      </c>
      <c r="B36">
        <v>10798</v>
      </c>
      <c r="C36">
        <v>-4.6394387671534787</v>
      </c>
      <c r="D36">
        <v>10349.360561232847</v>
      </c>
      <c r="E36">
        <v>448</v>
      </c>
    </row>
    <row r="37" spans="1:5">
      <c r="A37" s="1">
        <v>532.5</v>
      </c>
      <c r="B37">
        <v>10740</v>
      </c>
      <c r="C37">
        <v>-5.5612255639316572</v>
      </c>
      <c r="D37">
        <v>10348.438774436068</v>
      </c>
      <c r="E37">
        <v>391</v>
      </c>
    </row>
    <row r="38" spans="1:5">
      <c r="A38" s="1">
        <v>532.4</v>
      </c>
      <c r="B38">
        <v>10715</v>
      </c>
      <c r="C38">
        <v>-6.3938767583495064</v>
      </c>
      <c r="D38">
        <v>10347.60612324165</v>
      </c>
      <c r="E38">
        <v>367</v>
      </c>
    </row>
    <row r="39" spans="1:5">
      <c r="A39" s="1">
        <v>532.29999999999995</v>
      </c>
      <c r="B39">
        <v>10782</v>
      </c>
      <c r="C39">
        <v>-7.2744855424680281</v>
      </c>
      <c r="D39">
        <v>10346.725514457532</v>
      </c>
      <c r="E39">
        <v>435</v>
      </c>
    </row>
    <row r="40" spans="1:5">
      <c r="A40" s="1">
        <v>532.20000000000005</v>
      </c>
      <c r="B40">
        <v>10818</v>
      </c>
      <c r="C40">
        <v>-8.2701542317390704</v>
      </c>
      <c r="D40">
        <v>10345.729845768261</v>
      </c>
      <c r="E40">
        <v>472</v>
      </c>
    </row>
    <row r="41" spans="1:5">
      <c r="A41" s="1">
        <v>532.1</v>
      </c>
      <c r="B41">
        <v>10927</v>
      </c>
      <c r="C41">
        <v>-9.4272645809123787</v>
      </c>
      <c r="D41">
        <v>10344.572735419088</v>
      </c>
      <c r="E41">
        <v>582</v>
      </c>
    </row>
    <row r="42" spans="1:5">
      <c r="A42" s="1">
        <v>532</v>
      </c>
      <c r="B42">
        <v>10931</v>
      </c>
      <c r="C42">
        <v>-10.711025149194029</v>
      </c>
      <c r="D42">
        <v>10343.288974850806</v>
      </c>
      <c r="E42">
        <v>587</v>
      </c>
    </row>
    <row r="43" spans="1:5">
      <c r="A43" s="1">
        <v>531.9</v>
      </c>
      <c r="B43">
        <v>11133</v>
      </c>
      <c r="C43">
        <v>-12.223857029555802</v>
      </c>
      <c r="D43">
        <v>10341.776142970444</v>
      </c>
      <c r="E43">
        <v>791</v>
      </c>
    </row>
    <row r="44" spans="1:5">
      <c r="A44" s="1">
        <v>531.79999999999995</v>
      </c>
      <c r="B44">
        <v>11035</v>
      </c>
      <c r="C44">
        <v>-13.854235492088264</v>
      </c>
      <c r="D44">
        <v>10340.145764507912</v>
      </c>
      <c r="E44">
        <v>694</v>
      </c>
    </row>
    <row r="45" spans="1:5">
      <c r="A45" s="1">
        <v>531.70000000000005</v>
      </c>
      <c r="B45">
        <v>11163</v>
      </c>
      <c r="C45">
        <v>-15.52114361830354</v>
      </c>
      <c r="D45">
        <v>10338.478856381696</v>
      </c>
      <c r="E45">
        <v>824</v>
      </c>
    </row>
    <row r="46" spans="1:5">
      <c r="A46" s="1">
        <v>531.6</v>
      </c>
      <c r="B46">
        <v>11369</v>
      </c>
      <c r="C46">
        <v>-17.558548319240799</v>
      </c>
      <c r="D46">
        <v>10336.441451680759</v>
      </c>
      <c r="E46">
        <v>1032</v>
      </c>
    </row>
    <row r="47" spans="1:5">
      <c r="A47" s="1">
        <v>531.5</v>
      </c>
      <c r="B47">
        <v>11401</v>
      </c>
      <c r="C47">
        <v>-19.861825305462844</v>
      </c>
      <c r="D47">
        <v>10334.138174694537</v>
      </c>
      <c r="E47">
        <v>1066</v>
      </c>
    </row>
    <row r="48" spans="1:5">
      <c r="A48" s="1">
        <v>531.4</v>
      </c>
      <c r="B48">
        <v>11650</v>
      </c>
      <c r="C48">
        <v>-22.478785827874162</v>
      </c>
      <c r="D48">
        <v>10331.521214172126</v>
      </c>
      <c r="E48">
        <v>1318</v>
      </c>
    </row>
    <row r="49" spans="1:5">
      <c r="A49" s="1">
        <v>531.29999999999995</v>
      </c>
      <c r="B49">
        <v>11709</v>
      </c>
      <c r="C49">
        <v>-25.439773147370943</v>
      </c>
      <c r="D49">
        <v>10328.560226852629</v>
      </c>
      <c r="E49">
        <v>1380</v>
      </c>
    </row>
    <row r="50" spans="1:5">
      <c r="A50" s="1">
        <v>531.20000000000005</v>
      </c>
      <c r="B50">
        <v>12030</v>
      </c>
      <c r="C50">
        <v>-28.824621175821449</v>
      </c>
      <c r="D50">
        <v>10325.175378824179</v>
      </c>
      <c r="E50">
        <v>1704</v>
      </c>
    </row>
    <row r="51" spans="1:5">
      <c r="A51" s="1">
        <v>531.1</v>
      </c>
      <c r="B51">
        <v>12274</v>
      </c>
      <c r="C51">
        <v>-32.837448339752882</v>
      </c>
      <c r="D51">
        <v>10321.162551660247</v>
      </c>
      <c r="E51">
        <v>1952</v>
      </c>
    </row>
    <row r="52" spans="1:5">
      <c r="A52" s="1">
        <v>531</v>
      </c>
      <c r="B52">
        <v>12508</v>
      </c>
      <c r="C52">
        <v>-37.384080586387427</v>
      </c>
      <c r="D52">
        <v>10316.615919413613</v>
      </c>
      <c r="E52">
        <v>2191</v>
      </c>
    </row>
    <row r="53" spans="1:5">
      <c r="A53" s="1">
        <v>530.9</v>
      </c>
      <c r="B53">
        <v>13166</v>
      </c>
      <c r="C53">
        <v>-42.920391112045763</v>
      </c>
      <c r="D53">
        <v>10311.079608887954</v>
      </c>
      <c r="E53">
        <v>2854</v>
      </c>
    </row>
    <row r="54" spans="1:5">
      <c r="A54" s="1">
        <v>530.79999999999995</v>
      </c>
      <c r="B54">
        <v>13520</v>
      </c>
      <c r="C54">
        <v>-49.580350638139862</v>
      </c>
      <c r="D54">
        <v>10304.41964936186</v>
      </c>
      <c r="E54">
        <v>3215</v>
      </c>
    </row>
    <row r="55" spans="1:5">
      <c r="A55" s="1">
        <v>530.70000000000005</v>
      </c>
      <c r="B55">
        <v>14018</v>
      </c>
      <c r="C55">
        <v>-57.190696868583473</v>
      </c>
      <c r="D55">
        <v>10296.809303131417</v>
      </c>
      <c r="E55">
        <v>3721</v>
      </c>
    </row>
    <row r="56" spans="1:5">
      <c r="A56" s="1">
        <v>530.6</v>
      </c>
      <c r="B56">
        <v>14702</v>
      </c>
      <c r="C56">
        <v>-66.115959650258446</v>
      </c>
      <c r="D56">
        <v>10287.884040349742</v>
      </c>
      <c r="E56">
        <v>4414</v>
      </c>
    </row>
    <row r="57" spans="1:5">
      <c r="A57" s="1">
        <v>530.5</v>
      </c>
      <c r="B57">
        <v>15486</v>
      </c>
      <c r="C57">
        <v>-76.673143636216992</v>
      </c>
      <c r="D57">
        <v>10277.326856363783</v>
      </c>
      <c r="E57">
        <v>5208</v>
      </c>
    </row>
    <row r="58" spans="1:5">
      <c r="A58" s="1">
        <v>530.4</v>
      </c>
      <c r="B58">
        <v>16411</v>
      </c>
      <c r="C58">
        <v>-89.130525607606614</v>
      </c>
      <c r="D58">
        <v>10264.869474392393</v>
      </c>
      <c r="E58">
        <v>6146</v>
      </c>
    </row>
    <row r="59" spans="1:5">
      <c r="A59" s="1">
        <v>530.29999999999995</v>
      </c>
      <c r="B59">
        <v>17236</v>
      </c>
      <c r="C59">
        <v>-103.53730918474503</v>
      </c>
      <c r="D59">
        <v>10250.462690815255</v>
      </c>
      <c r="E59">
        <v>6985</v>
      </c>
    </row>
    <row r="60" spans="1:5">
      <c r="A60" s="1">
        <v>530.20000000000005</v>
      </c>
      <c r="B60">
        <v>18225</v>
      </c>
      <c r="C60">
        <v>-119.96806720146196</v>
      </c>
      <c r="D60">
        <v>10234.031932798538</v>
      </c>
      <c r="E60">
        <v>7990</v>
      </c>
    </row>
    <row r="61" spans="1:5">
      <c r="A61" s="1">
        <v>530.1</v>
      </c>
      <c r="B61">
        <v>19177</v>
      </c>
      <c r="C61">
        <v>-138.56672987591628</v>
      </c>
      <c r="D61">
        <v>10215.433270124084</v>
      </c>
      <c r="E61">
        <v>8961</v>
      </c>
    </row>
    <row r="62" spans="1:5">
      <c r="A62" s="1">
        <v>530</v>
      </c>
      <c r="B62">
        <v>20141</v>
      </c>
      <c r="C62">
        <v>-159.31060014950526</v>
      </c>
      <c r="D62">
        <v>10194.689399850495</v>
      </c>
      <c r="E62">
        <v>9946</v>
      </c>
    </row>
    <row r="63" spans="1:5">
      <c r="A63" s="1">
        <v>529.9</v>
      </c>
      <c r="B63">
        <v>21065</v>
      </c>
      <c r="C63">
        <v>-182.17363618294439</v>
      </c>
      <c r="D63">
        <v>10171.826363817056</v>
      </c>
      <c r="E63">
        <v>10893</v>
      </c>
    </row>
    <row r="64" spans="1:5">
      <c r="A64" s="1">
        <v>529.79999999999995</v>
      </c>
      <c r="B64">
        <v>21835</v>
      </c>
      <c r="C64">
        <v>-206.94741923783113</v>
      </c>
      <c r="D64">
        <v>10147.052580762169</v>
      </c>
      <c r="E64">
        <v>11687</v>
      </c>
    </row>
    <row r="65" spans="1:5">
      <c r="A65" s="1">
        <v>529.70000000000005</v>
      </c>
      <c r="B65">
        <v>22375</v>
      </c>
      <c r="C65">
        <v>-233.21439369836844</v>
      </c>
      <c r="D65">
        <v>10120.785606301632</v>
      </c>
      <c r="E65">
        <v>12254</v>
      </c>
    </row>
    <row r="66" spans="1:5">
      <c r="A66" s="1">
        <v>529.6</v>
      </c>
      <c r="B66">
        <v>22803</v>
      </c>
      <c r="C66">
        <v>-260.6022160700486</v>
      </c>
      <c r="D66">
        <v>10093.397783929951</v>
      </c>
      <c r="E66">
        <v>12709</v>
      </c>
    </row>
    <row r="67" spans="1:5">
      <c r="A67" s="1">
        <v>529.5</v>
      </c>
      <c r="B67">
        <v>22899</v>
      </c>
      <c r="C67">
        <v>-288.62569741185689</v>
      </c>
      <c r="D67">
        <v>10065.374302588143</v>
      </c>
      <c r="E67">
        <v>12833</v>
      </c>
    </row>
    <row r="68" spans="1:5">
      <c r="A68" s="1">
        <v>529.4</v>
      </c>
      <c r="B68">
        <v>23059</v>
      </c>
      <c r="C68">
        <v>-316.99188612131729</v>
      </c>
      <c r="D68">
        <v>10037.008113878683</v>
      </c>
      <c r="E68">
        <v>13021</v>
      </c>
    </row>
    <row r="69" spans="1:5">
      <c r="A69" s="1">
        <v>529.29999999999995</v>
      </c>
      <c r="B69">
        <v>22656</v>
      </c>
      <c r="C69">
        <v>-345.15347731395923</v>
      </c>
      <c r="D69">
        <v>10008.846522686041</v>
      </c>
      <c r="E69">
        <v>12647</v>
      </c>
    </row>
    <row r="70" spans="1:5">
      <c r="A70" s="1">
        <v>529.20000000000005</v>
      </c>
      <c r="B70">
        <v>22229</v>
      </c>
      <c r="C70">
        <v>-372.46531280338786</v>
      </c>
      <c r="D70">
        <v>9981.5346871966121</v>
      </c>
      <c r="E70">
        <v>12247</v>
      </c>
    </row>
    <row r="71" spans="1:5">
      <c r="A71" s="1">
        <v>529.1</v>
      </c>
      <c r="B71">
        <v>21471</v>
      </c>
      <c r="C71">
        <v>-398.53562589223839</v>
      </c>
      <c r="D71">
        <v>9955.4643741077616</v>
      </c>
      <c r="E71">
        <v>11515</v>
      </c>
    </row>
    <row r="72" spans="1:5">
      <c r="A72" s="1">
        <v>529</v>
      </c>
      <c r="B72">
        <v>20517</v>
      </c>
      <c r="C72">
        <v>-422.78287998181804</v>
      </c>
      <c r="D72">
        <v>9931.217120018182</v>
      </c>
      <c r="E72">
        <v>10585</v>
      </c>
    </row>
    <row r="73" spans="1:5">
      <c r="A73" s="1">
        <v>528.9</v>
      </c>
      <c r="B73">
        <v>19688</v>
      </c>
      <c r="C73">
        <v>-445.12509145221702</v>
      </c>
      <c r="D73">
        <v>9908.874908547783</v>
      </c>
      <c r="E73">
        <v>9779</v>
      </c>
    </row>
    <row r="74" spans="1:5">
      <c r="A74" s="1">
        <v>528.79999999999995</v>
      </c>
      <c r="B74">
        <v>18475</v>
      </c>
      <c r="C74">
        <v>-465.27361408815159</v>
      </c>
      <c r="D74">
        <v>9888.7263859118484</v>
      </c>
      <c r="E74">
        <v>8586</v>
      </c>
    </row>
    <row r="75" spans="1:5">
      <c r="A75" s="1">
        <v>528.70000000000005</v>
      </c>
      <c r="B75">
        <v>17607</v>
      </c>
      <c r="C75">
        <v>-483.18079633369598</v>
      </c>
      <c r="D75">
        <v>9870.819203666304</v>
      </c>
      <c r="E75">
        <v>7736</v>
      </c>
    </row>
    <row r="76" spans="1:5">
      <c r="A76" s="1">
        <v>528.6</v>
      </c>
      <c r="B76">
        <v>16441</v>
      </c>
      <c r="C76">
        <v>-498.8933367807349</v>
      </c>
      <c r="D76">
        <v>9855.1066632192651</v>
      </c>
      <c r="E76">
        <v>6585</v>
      </c>
    </row>
    <row r="77" spans="1:5">
      <c r="A77" s="1">
        <v>528.5</v>
      </c>
      <c r="B77">
        <v>15403</v>
      </c>
      <c r="C77">
        <v>-512.21970298124143</v>
      </c>
      <c r="D77">
        <v>9841.7802970187586</v>
      </c>
      <c r="E77">
        <v>5561</v>
      </c>
    </row>
    <row r="78" spans="1:5">
      <c r="A78" s="1">
        <v>528.4</v>
      </c>
      <c r="B78">
        <v>14550</v>
      </c>
      <c r="C78">
        <v>-523.49842633281514</v>
      </c>
      <c r="D78">
        <v>9830.5015736671849</v>
      </c>
      <c r="E78">
        <v>4719</v>
      </c>
    </row>
    <row r="79" spans="1:5">
      <c r="A79" s="1">
        <v>528.29999999999995</v>
      </c>
      <c r="B79">
        <v>13714</v>
      </c>
      <c r="C79">
        <v>-532.94686908092081</v>
      </c>
      <c r="D79">
        <v>9821.0531309190792</v>
      </c>
      <c r="E79">
        <v>3892</v>
      </c>
    </row>
    <row r="80" spans="1:5">
      <c r="A80" s="1">
        <v>528.20000000000005</v>
      </c>
      <c r="B80">
        <v>13044</v>
      </c>
      <c r="C80">
        <v>-540.76200288637847</v>
      </c>
      <c r="D80">
        <v>9813.2379971136215</v>
      </c>
      <c r="E80">
        <v>3230</v>
      </c>
    </row>
    <row r="81" spans="1:5">
      <c r="A81" s="1">
        <v>528.1</v>
      </c>
      <c r="B81">
        <v>12448</v>
      </c>
      <c r="C81">
        <v>-547.20383572044193</v>
      </c>
      <c r="D81">
        <v>9806.7961642795581</v>
      </c>
      <c r="E81">
        <v>2641</v>
      </c>
    </row>
    <row r="82" spans="1:5">
      <c r="A82" s="1">
        <v>528</v>
      </c>
      <c r="B82">
        <v>11868</v>
      </c>
      <c r="C82">
        <v>-552.36819981432927</v>
      </c>
      <c r="D82">
        <v>9801.6318001856707</v>
      </c>
      <c r="E82">
        <v>2066</v>
      </c>
    </row>
    <row r="83" spans="1:5">
      <c r="A83" s="1">
        <v>527.9</v>
      </c>
      <c r="B83">
        <v>11640</v>
      </c>
      <c r="C83">
        <v>-556.65646844510775</v>
      </c>
      <c r="D83">
        <v>9797.3435315548923</v>
      </c>
      <c r="E83">
        <v>1842</v>
      </c>
    </row>
    <row r="84" spans="1:5">
      <c r="A84" s="1">
        <v>527.79999999999995</v>
      </c>
      <c r="B84">
        <v>11199</v>
      </c>
      <c r="C84">
        <v>-560.21938298182249</v>
      </c>
      <c r="D84">
        <v>9793.7806170181775</v>
      </c>
      <c r="E84">
        <v>1405</v>
      </c>
    </row>
    <row r="85" spans="1:5">
      <c r="A85" s="1">
        <v>527.70000000000005</v>
      </c>
      <c r="B85">
        <v>10974</v>
      </c>
      <c r="C85">
        <v>-563.05864546215707</v>
      </c>
      <c r="D85">
        <v>9790.9413545378429</v>
      </c>
      <c r="E85">
        <v>1183</v>
      </c>
    </row>
    <row r="86" spans="1:5">
      <c r="A86" s="1">
        <v>527.6</v>
      </c>
      <c r="B86">
        <v>10829</v>
      </c>
      <c r="C86">
        <v>-565.49776692977139</v>
      </c>
      <c r="D86">
        <v>9788.5022330702286</v>
      </c>
      <c r="E86">
        <v>1040</v>
      </c>
    </row>
    <row r="87" spans="1:5">
      <c r="A87" s="1">
        <v>527.5</v>
      </c>
      <c r="B87">
        <v>10570</v>
      </c>
      <c r="C87">
        <v>-567.49852607211506</v>
      </c>
      <c r="D87">
        <v>9786.5014739278849</v>
      </c>
      <c r="E87">
        <v>783</v>
      </c>
    </row>
    <row r="88" spans="1:5">
      <c r="A88" s="1">
        <v>527.4</v>
      </c>
      <c r="B88">
        <v>10482</v>
      </c>
      <c r="C88">
        <v>-569.12256398840873</v>
      </c>
      <c r="D88">
        <v>9784.8774360115913</v>
      </c>
      <c r="E88">
        <v>697</v>
      </c>
    </row>
    <row r="89" spans="1:5">
      <c r="A89" s="1">
        <v>527.29999999999995</v>
      </c>
      <c r="B89">
        <v>10297</v>
      </c>
      <c r="C89">
        <v>-570.45032843865374</v>
      </c>
      <c r="D89">
        <v>9783.5496715613463</v>
      </c>
      <c r="E89">
        <v>513</v>
      </c>
    </row>
    <row r="90" spans="1:5">
      <c r="A90" s="1">
        <v>527.20000000000005</v>
      </c>
      <c r="B90">
        <v>10244</v>
      </c>
      <c r="C90">
        <v>-571.51960969970423</v>
      </c>
      <c r="D90">
        <v>9782.4803903002958</v>
      </c>
      <c r="E90">
        <v>461</v>
      </c>
    </row>
    <row r="91" spans="1:5">
      <c r="A91" s="1">
        <v>527.1</v>
      </c>
      <c r="B91">
        <v>10157</v>
      </c>
      <c r="C91">
        <v>-572.4374746608737</v>
      </c>
      <c r="D91">
        <v>9781.5625253391263</v>
      </c>
      <c r="E91">
        <v>375</v>
      </c>
    </row>
    <row r="92" spans="1:5">
      <c r="A92" s="1">
        <v>527</v>
      </c>
      <c r="B92">
        <v>10041</v>
      </c>
      <c r="C92">
        <v>-573.13439718211339</v>
      </c>
      <c r="D92">
        <v>9780.8656028178866</v>
      </c>
      <c r="E92">
        <v>260</v>
      </c>
    </row>
    <row r="93" spans="1:5">
      <c r="A93" s="1">
        <v>526.9</v>
      </c>
      <c r="B93">
        <v>10042</v>
      </c>
      <c r="C93">
        <v>-573.70654347844538</v>
      </c>
      <c r="D93">
        <v>9780.2934565215546</v>
      </c>
      <c r="E93">
        <v>261</v>
      </c>
    </row>
    <row r="94" spans="1:5">
      <c r="A94" s="1">
        <v>526.79999999999995</v>
      </c>
      <c r="B94">
        <v>10062</v>
      </c>
      <c r="C94">
        <v>-574.3030098993313</v>
      </c>
      <c r="D94">
        <v>9779.6969901006687</v>
      </c>
      <c r="E94">
        <v>282</v>
      </c>
    </row>
    <row r="95" spans="1:5">
      <c r="A95" s="1">
        <v>526.70000000000005</v>
      </c>
      <c r="B95">
        <v>9892</v>
      </c>
      <c r="C95">
        <v>-574.73603858414026</v>
      </c>
      <c r="D95">
        <v>9779.2639614158597</v>
      </c>
      <c r="E95">
        <v>112</v>
      </c>
    </row>
    <row r="96" spans="1:5">
      <c r="A96" s="1">
        <v>526.6</v>
      </c>
      <c r="B96">
        <v>9971</v>
      </c>
      <c r="C96">
        <v>-575.07007099626935</v>
      </c>
      <c r="D96">
        <v>9778.9299290037306</v>
      </c>
      <c r="E96">
        <v>192</v>
      </c>
    </row>
    <row r="97" spans="1:5">
      <c r="A97" s="1">
        <v>526.5</v>
      </c>
      <c r="B97">
        <v>9975</v>
      </c>
      <c r="C97">
        <v>-575.49599593542007</v>
      </c>
      <c r="D97">
        <v>9778.5040040645799</v>
      </c>
      <c r="E97">
        <v>196</v>
      </c>
    </row>
    <row r="98" spans="1:5">
      <c r="A98" s="1">
        <v>526.4</v>
      </c>
      <c r="B98">
        <v>9900</v>
      </c>
      <c r="C98">
        <v>-575.84487522669224</v>
      </c>
      <c r="D98">
        <v>9778.1551247733078</v>
      </c>
      <c r="E98">
        <v>121</v>
      </c>
    </row>
    <row r="99" spans="1:5">
      <c r="A99" s="1">
        <v>526.29999999999995</v>
      </c>
      <c r="B99">
        <v>9851</v>
      </c>
      <c r="C99">
        <v>-576.05832916493091</v>
      </c>
      <c r="D99">
        <v>9777.9416708350691</v>
      </c>
      <c r="E99">
        <v>73</v>
      </c>
    </row>
    <row r="100" spans="1:5">
      <c r="A100" s="1">
        <v>526.20000000000005</v>
      </c>
      <c r="B100">
        <v>9773</v>
      </c>
      <c r="C100">
        <v>-581</v>
      </c>
      <c r="D100">
        <v>9773</v>
      </c>
      <c r="E100">
        <v>0</v>
      </c>
    </row>
    <row r="101" spans="1:5">
      <c r="A101" s="1">
        <v>526.1</v>
      </c>
      <c r="B101">
        <v>9702</v>
      </c>
      <c r="C101">
        <v>-652</v>
      </c>
      <c r="D101">
        <v>9702</v>
      </c>
      <c r="E101">
        <v>0</v>
      </c>
    </row>
  </sheetData>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2</vt:i4>
      </vt:variant>
      <vt:variant>
        <vt:lpstr>Named Ranges</vt:lpstr>
      </vt:variant>
      <vt:variant>
        <vt:i4>2</vt:i4>
      </vt:variant>
    </vt:vector>
  </HeadingPairs>
  <TitlesOfParts>
    <vt:vector size="9" baseType="lpstr">
      <vt:lpstr>Info</vt:lpstr>
      <vt:lpstr>Ft</vt:lpstr>
      <vt:lpstr>Vars</vt:lpstr>
      <vt:lpstr>Data</vt:lpstr>
      <vt:lpstr>Shirley</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2011-04-02T15:31:20Z</dcterms:modified>
</cp:coreProperties>
</file>