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135" windowWidth="9690" windowHeight="6480"/>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 name="Sheet2" sheetId="11" r:id="rId9"/>
  </sheets>
  <definedNames>
    <definedName name="Error">Ft!$B$19</definedName>
    <definedName name="_xlnm.Print_Area" localSheetId="1">Ft!$A$1:$K$32</definedName>
    <definedName name="solver_adj" localSheetId="1" hidden="1">Ft!$B$2:$B$4,Ft!$C$2:$C$4,Ft!$D$2:$D$4,Ft!$E$2:$E$4,Ft!$F$2:$F$4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F2" i="4"/>
  <c r="G7" i="2"/>
  <c r="G5"/>
  <c r="L252" i="4" l="1"/>
  <c r="M252"/>
  <c r="N252"/>
  <c r="O252"/>
  <c r="L253"/>
  <c r="M253"/>
  <c r="N253"/>
  <c r="O253"/>
  <c r="L254"/>
  <c r="M254"/>
  <c r="N254"/>
  <c r="O254"/>
  <c r="L255"/>
  <c r="M255"/>
  <c r="N255"/>
  <c r="O255"/>
  <c r="L256"/>
  <c r="M256"/>
  <c r="N256"/>
  <c r="O256"/>
  <c r="L257"/>
  <c r="M257"/>
  <c r="N257"/>
  <c r="O257"/>
  <c r="L258"/>
  <c r="M258"/>
  <c r="N258"/>
  <c r="O258"/>
  <c r="L259"/>
  <c r="M259"/>
  <c r="N259"/>
  <c r="O259"/>
  <c r="L260"/>
  <c r="M260"/>
  <c r="N260"/>
  <c r="O260"/>
  <c r="L261"/>
  <c r="M261"/>
  <c r="N261"/>
  <c r="O261"/>
  <c r="L262"/>
  <c r="M262"/>
  <c r="N262"/>
  <c r="O262"/>
  <c r="L263"/>
  <c r="M263"/>
  <c r="N263"/>
  <c r="O263"/>
  <c r="L264"/>
  <c r="M264"/>
  <c r="N264"/>
  <c r="O264"/>
  <c r="L265"/>
  <c r="M265"/>
  <c r="N265"/>
  <c r="O265"/>
  <c r="L266"/>
  <c r="M266"/>
  <c r="N266"/>
  <c r="O266"/>
  <c r="L267"/>
  <c r="M267"/>
  <c r="N267"/>
  <c r="O267"/>
  <c r="L268"/>
  <c r="M268"/>
  <c r="N268"/>
  <c r="O268"/>
  <c r="L269"/>
  <c r="M269"/>
  <c r="N269"/>
  <c r="O269"/>
  <c r="L270"/>
  <c r="M270"/>
  <c r="N270"/>
  <c r="O270"/>
  <c r="L271"/>
  <c r="M271"/>
  <c r="N271"/>
  <c r="O271"/>
  <c r="L272"/>
  <c r="M272"/>
  <c r="N272"/>
  <c r="O272"/>
  <c r="L273"/>
  <c r="M273"/>
  <c r="N273"/>
  <c r="O273"/>
  <c r="L274"/>
  <c r="M274"/>
  <c r="N274"/>
  <c r="O274"/>
  <c r="L275"/>
  <c r="M275"/>
  <c r="N275"/>
  <c r="O275"/>
  <c r="L276"/>
  <c r="M276"/>
  <c r="N276"/>
  <c r="O276"/>
  <c r="L277"/>
  <c r="M277"/>
  <c r="N277"/>
  <c r="O277"/>
  <c r="L278"/>
  <c r="M278"/>
  <c r="N278"/>
  <c r="O278"/>
  <c r="L279"/>
  <c r="M279"/>
  <c r="N279"/>
  <c r="O279"/>
  <c r="L280"/>
  <c r="M280"/>
  <c r="N280"/>
  <c r="O280"/>
  <c r="L281"/>
  <c r="M281"/>
  <c r="N281"/>
  <c r="O281"/>
  <c r="L282"/>
  <c r="M282"/>
  <c r="N282"/>
  <c r="O282"/>
  <c r="L283"/>
  <c r="M283"/>
  <c r="N283"/>
  <c r="O283"/>
  <c r="L284"/>
  <c r="M284"/>
  <c r="N284"/>
  <c r="O284"/>
  <c r="L285"/>
  <c r="M285"/>
  <c r="N285"/>
  <c r="O285"/>
  <c r="L286"/>
  <c r="M286"/>
  <c r="N286"/>
  <c r="O286"/>
  <c r="L287"/>
  <c r="M287"/>
  <c r="N287"/>
  <c r="O287"/>
  <c r="L288"/>
  <c r="M288"/>
  <c r="N288"/>
  <c r="O288"/>
  <c r="L289"/>
  <c r="M289"/>
  <c r="N289"/>
  <c r="O289"/>
  <c r="L290"/>
  <c r="M290"/>
  <c r="N290"/>
  <c r="O290"/>
  <c r="L291"/>
  <c r="M291"/>
  <c r="N291"/>
  <c r="O291"/>
  <c r="L292"/>
  <c r="M292"/>
  <c r="N292"/>
  <c r="O292"/>
  <c r="L293"/>
  <c r="M293"/>
  <c r="N293"/>
  <c r="O293"/>
  <c r="L294"/>
  <c r="M294"/>
  <c r="N294"/>
  <c r="O294"/>
  <c r="L295"/>
  <c r="M295"/>
  <c r="N295"/>
  <c r="O295"/>
  <c r="L296"/>
  <c r="M296"/>
  <c r="N296"/>
  <c r="O296"/>
  <c r="L297"/>
  <c r="M297"/>
  <c r="N297"/>
  <c r="O297"/>
  <c r="L298"/>
  <c r="M298"/>
  <c r="N298"/>
  <c r="O298"/>
  <c r="L299"/>
  <c r="M299"/>
  <c r="N299"/>
  <c r="O299"/>
  <c r="L300"/>
  <c r="M300"/>
  <c r="N300"/>
  <c r="O300"/>
  <c r="L301"/>
  <c r="M301"/>
  <c r="N301"/>
  <c r="O301"/>
  <c r="L302"/>
  <c r="M302"/>
  <c r="N302"/>
  <c r="O302"/>
  <c r="L303"/>
  <c r="M303"/>
  <c r="N303"/>
  <c r="O303"/>
  <c r="L304"/>
  <c r="M304"/>
  <c r="N304"/>
  <c r="O304"/>
  <c r="L305"/>
  <c r="M305"/>
  <c r="N305"/>
  <c r="O305"/>
  <c r="L306"/>
  <c r="M306"/>
  <c r="N306"/>
  <c r="O306"/>
  <c r="L307"/>
  <c r="M307"/>
  <c r="N307"/>
  <c r="O307"/>
  <c r="L308"/>
  <c r="M308"/>
  <c r="N308"/>
  <c r="O308"/>
  <c r="L309"/>
  <c r="M309"/>
  <c r="N309"/>
  <c r="O309"/>
  <c r="L310"/>
  <c r="M310"/>
  <c r="N310"/>
  <c r="O310"/>
  <c r="L311"/>
  <c r="M311"/>
  <c r="N311"/>
  <c r="O311"/>
  <c r="L312"/>
  <c r="M312"/>
  <c r="N312"/>
  <c r="O312"/>
  <c r="L313"/>
  <c r="M313"/>
  <c r="N313"/>
  <c r="O313"/>
  <c r="L314"/>
  <c r="M314"/>
  <c r="N314"/>
  <c r="O314"/>
  <c r="L315"/>
  <c r="M315"/>
  <c r="N315"/>
  <c r="O315"/>
  <c r="L316"/>
  <c r="M316"/>
  <c r="N316"/>
  <c r="O316"/>
  <c r="L317"/>
  <c r="M317"/>
  <c r="N317"/>
  <c r="O317"/>
  <c r="L318"/>
  <c r="M318"/>
  <c r="N318"/>
  <c r="O318"/>
  <c r="L319"/>
  <c r="M319"/>
  <c r="N319"/>
  <c r="O319"/>
  <c r="L320"/>
  <c r="M320"/>
  <c r="N320"/>
  <c r="O320"/>
  <c r="L321"/>
  <c r="M321"/>
  <c r="N321"/>
  <c r="O321"/>
  <c r="L322"/>
  <c r="M322"/>
  <c r="N322"/>
  <c r="O322"/>
  <c r="L323"/>
  <c r="M323"/>
  <c r="N323"/>
  <c r="O323"/>
  <c r="L324"/>
  <c r="M324"/>
  <c r="N324"/>
  <c r="O324"/>
  <c r="L325"/>
  <c r="M325"/>
  <c r="N325"/>
  <c r="O325"/>
  <c r="L326"/>
  <c r="M326"/>
  <c r="N326"/>
  <c r="O326"/>
  <c r="L327"/>
  <c r="M327"/>
  <c r="N327"/>
  <c r="O327"/>
  <c r="L328"/>
  <c r="M328"/>
  <c r="N328"/>
  <c r="O328"/>
  <c r="L329"/>
  <c r="M329"/>
  <c r="N329"/>
  <c r="O329"/>
  <c r="L330"/>
  <c r="M330"/>
  <c r="N330"/>
  <c r="O330"/>
  <c r="L331"/>
  <c r="M331"/>
  <c r="N331"/>
  <c r="O331"/>
  <c r="L332"/>
  <c r="M332"/>
  <c r="N332"/>
  <c r="O332"/>
  <c r="L333"/>
  <c r="M333"/>
  <c r="N333"/>
  <c r="O333"/>
  <c r="L334"/>
  <c r="M334"/>
  <c r="N334"/>
  <c r="O334"/>
  <c r="L335"/>
  <c r="M335"/>
  <c r="N335"/>
  <c r="O335"/>
  <c r="L336"/>
  <c r="M336"/>
  <c r="N336"/>
  <c r="O336"/>
  <c r="L337"/>
  <c r="M337"/>
  <c r="N337"/>
  <c r="O337"/>
  <c r="L338"/>
  <c r="M338"/>
  <c r="N338"/>
  <c r="O338"/>
  <c r="L339"/>
  <c r="M339"/>
  <c r="N339"/>
  <c r="O339"/>
  <c r="L340"/>
  <c r="M340"/>
  <c r="N340"/>
  <c r="O340"/>
  <c r="L341"/>
  <c r="M341"/>
  <c r="N341"/>
  <c r="O341"/>
  <c r="L342"/>
  <c r="M342"/>
  <c r="N342"/>
  <c r="O342"/>
  <c r="L343"/>
  <c r="M343"/>
  <c r="N343"/>
  <c r="O343"/>
  <c r="L344"/>
  <c r="M344"/>
  <c r="N344"/>
  <c r="O344"/>
  <c r="L345"/>
  <c r="M345"/>
  <c r="N345"/>
  <c r="O345"/>
  <c r="L346"/>
  <c r="M346"/>
  <c r="N346"/>
  <c r="O346"/>
  <c r="L347"/>
  <c r="M347"/>
  <c r="N347"/>
  <c r="O347"/>
  <c r="L348"/>
  <c r="M348"/>
  <c r="N348"/>
  <c r="O348"/>
  <c r="L349"/>
  <c r="M349"/>
  <c r="N349"/>
  <c r="O349"/>
  <c r="L350"/>
  <c r="M350"/>
  <c r="N350"/>
  <c r="O350"/>
  <c r="L351"/>
  <c r="M351"/>
  <c r="N351"/>
  <c r="O351"/>
  <c r="L352"/>
  <c r="M352"/>
  <c r="N352"/>
  <c r="O352"/>
  <c r="L353"/>
  <c r="M353"/>
  <c r="N353"/>
  <c r="O353"/>
  <c r="L354"/>
  <c r="M354"/>
  <c r="N354"/>
  <c r="O354"/>
  <c r="L355"/>
  <c r="M355"/>
  <c r="N355"/>
  <c r="O355"/>
  <c r="L356"/>
  <c r="M356"/>
  <c r="N356"/>
  <c r="O356"/>
  <c r="L357"/>
  <c r="M357"/>
  <c r="N357"/>
  <c r="O357"/>
  <c r="L358"/>
  <c r="M358"/>
  <c r="N358"/>
  <c r="O358"/>
  <c r="L359"/>
  <c r="M359"/>
  <c r="N359"/>
  <c r="O359"/>
  <c r="L360"/>
  <c r="M360"/>
  <c r="N360"/>
  <c r="O360"/>
  <c r="L361"/>
  <c r="M361"/>
  <c r="N361"/>
  <c r="O361"/>
  <c r="L362"/>
  <c r="M362"/>
  <c r="N362"/>
  <c r="O362"/>
  <c r="L363"/>
  <c r="M363"/>
  <c r="N363"/>
  <c r="O363"/>
  <c r="L364"/>
  <c r="M364"/>
  <c r="N364"/>
  <c r="O364"/>
  <c r="L365"/>
  <c r="M365"/>
  <c r="N365"/>
  <c r="O365"/>
  <c r="L366"/>
  <c r="M366"/>
  <c r="N366"/>
  <c r="O366"/>
  <c r="L367"/>
  <c r="M367"/>
  <c r="N367"/>
  <c r="O367"/>
  <c r="L368"/>
  <c r="M368"/>
  <c r="N368"/>
  <c r="O368"/>
  <c r="L369"/>
  <c r="M369"/>
  <c r="N369"/>
  <c r="O369"/>
  <c r="L370"/>
  <c r="M370"/>
  <c r="N370"/>
  <c r="O370"/>
  <c r="L371"/>
  <c r="M371"/>
  <c r="N371"/>
  <c r="O371"/>
  <c r="L372"/>
  <c r="M372"/>
  <c r="N372"/>
  <c r="O372"/>
  <c r="L373"/>
  <c r="M373"/>
  <c r="N373"/>
  <c r="O373"/>
  <c r="L374"/>
  <c r="M374"/>
  <c r="N374"/>
  <c r="O374"/>
  <c r="L375"/>
  <c r="M375"/>
  <c r="N375"/>
  <c r="O375"/>
  <c r="L376"/>
  <c r="M376"/>
  <c r="N376"/>
  <c r="O376"/>
  <c r="L377"/>
  <c r="M377"/>
  <c r="N377"/>
  <c r="O377"/>
  <c r="L378"/>
  <c r="M378"/>
  <c r="N378"/>
  <c r="O378"/>
  <c r="L379"/>
  <c r="M379"/>
  <c r="N379"/>
  <c r="O379"/>
  <c r="L380"/>
  <c r="M380"/>
  <c r="N380"/>
  <c r="O380"/>
  <c r="L381"/>
  <c r="M381"/>
  <c r="N381"/>
  <c r="O381"/>
  <c r="L382"/>
  <c r="M382"/>
  <c r="N382"/>
  <c r="O382"/>
  <c r="L383"/>
  <c r="M383"/>
  <c r="N383"/>
  <c r="O383"/>
  <c r="L384"/>
  <c r="M384"/>
  <c r="N384"/>
  <c r="O384"/>
  <c r="L385"/>
  <c r="M385"/>
  <c r="N385"/>
  <c r="O385"/>
  <c r="L386"/>
  <c r="M386"/>
  <c r="N386"/>
  <c r="O386"/>
  <c r="L387"/>
  <c r="M387"/>
  <c r="N387"/>
  <c r="O387"/>
  <c r="L388"/>
  <c r="M388"/>
  <c r="N388"/>
  <c r="O388"/>
  <c r="L389"/>
  <c r="M389"/>
  <c r="N389"/>
  <c r="O389"/>
  <c r="L390"/>
  <c r="M390"/>
  <c r="N390"/>
  <c r="O390"/>
  <c r="L391"/>
  <c r="M391"/>
  <c r="N391"/>
  <c r="O391"/>
  <c r="L392"/>
  <c r="M392"/>
  <c r="N392"/>
  <c r="O392"/>
  <c r="L393"/>
  <c r="M393"/>
  <c r="N393"/>
  <c r="O393"/>
  <c r="L394"/>
  <c r="M394"/>
  <c r="N394"/>
  <c r="O394"/>
  <c r="L395"/>
  <c r="M395"/>
  <c r="N395"/>
  <c r="O395"/>
  <c r="L396"/>
  <c r="M396"/>
  <c r="N396"/>
  <c r="O396"/>
  <c r="L397"/>
  <c r="M397"/>
  <c r="N397"/>
  <c r="O397"/>
  <c r="L398"/>
  <c r="M398"/>
  <c r="N398"/>
  <c r="O398"/>
  <c r="L399"/>
  <c r="M399"/>
  <c r="N399"/>
  <c r="O399"/>
  <c r="L400"/>
  <c r="M400"/>
  <c r="N400"/>
  <c r="O400"/>
  <c r="L401"/>
  <c r="M401"/>
  <c r="N401"/>
  <c r="O401"/>
  <c r="L402"/>
  <c r="M402"/>
  <c r="N402"/>
  <c r="O402"/>
  <c r="L403"/>
  <c r="M403"/>
  <c r="N403"/>
  <c r="O403"/>
  <c r="L404"/>
  <c r="M404"/>
  <c r="N404"/>
  <c r="O404"/>
  <c r="L405"/>
  <c r="M405"/>
  <c r="N405"/>
  <c r="O405"/>
  <c r="L406"/>
  <c r="M406"/>
  <c r="N406"/>
  <c r="O406"/>
  <c r="L407"/>
  <c r="M407"/>
  <c r="N407"/>
  <c r="O407"/>
  <c r="L408"/>
  <c r="M408"/>
  <c r="N408"/>
  <c r="O408"/>
  <c r="L409"/>
  <c r="M409"/>
  <c r="N409"/>
  <c r="O409"/>
  <c r="L410"/>
  <c r="M410"/>
  <c r="N410"/>
  <c r="O410"/>
  <c r="L411"/>
  <c r="M411"/>
  <c r="N411"/>
  <c r="O411"/>
  <c r="L412"/>
  <c r="M412"/>
  <c r="N412"/>
  <c r="O412"/>
  <c r="L413"/>
  <c r="M413"/>
  <c r="N413"/>
  <c r="O413"/>
  <c r="L414"/>
  <c r="M414"/>
  <c r="N414"/>
  <c r="O414"/>
  <c r="L415"/>
  <c r="M415"/>
  <c r="N415"/>
  <c r="O415"/>
  <c r="L416"/>
  <c r="M416"/>
  <c r="N416"/>
  <c r="O416"/>
  <c r="L417"/>
  <c r="M417"/>
  <c r="N417"/>
  <c r="O417"/>
  <c r="L418"/>
  <c r="M418"/>
  <c r="N418"/>
  <c r="O418"/>
  <c r="L419"/>
  <c r="M419"/>
  <c r="N419"/>
  <c r="O419"/>
  <c r="L420"/>
  <c r="M420"/>
  <c r="N420"/>
  <c r="O420"/>
  <c r="L421"/>
  <c r="M421"/>
  <c r="N421"/>
  <c r="O421"/>
  <c r="L422"/>
  <c r="M422"/>
  <c r="N422"/>
  <c r="O422"/>
  <c r="L423"/>
  <c r="M423"/>
  <c r="N423"/>
  <c r="O423"/>
  <c r="L424"/>
  <c r="M424"/>
  <c r="N424"/>
  <c r="O424"/>
  <c r="L425"/>
  <c r="M425"/>
  <c r="N425"/>
  <c r="O425"/>
  <c r="L426"/>
  <c r="M426"/>
  <c r="N426"/>
  <c r="O426"/>
  <c r="L427"/>
  <c r="M427"/>
  <c r="N427"/>
  <c r="O427"/>
  <c r="L428"/>
  <c r="M428"/>
  <c r="N428"/>
  <c r="O428"/>
  <c r="L429"/>
  <c r="M429"/>
  <c r="N429"/>
  <c r="O429"/>
  <c r="L430"/>
  <c r="M430"/>
  <c r="N430"/>
  <c r="O430"/>
  <c r="L431"/>
  <c r="M431"/>
  <c r="N431"/>
  <c r="O431"/>
  <c r="L432"/>
  <c r="M432"/>
  <c r="N432"/>
  <c r="O432"/>
  <c r="L433"/>
  <c r="M433"/>
  <c r="N433"/>
  <c r="O433"/>
  <c r="L434"/>
  <c r="M434"/>
  <c r="N434"/>
  <c r="O434"/>
  <c r="L435"/>
  <c r="M435"/>
  <c r="N435"/>
  <c r="O435"/>
  <c r="L436"/>
  <c r="M436"/>
  <c r="N436"/>
  <c r="O436"/>
  <c r="L437"/>
  <c r="M437"/>
  <c r="N437"/>
  <c r="O437"/>
  <c r="L438"/>
  <c r="M438"/>
  <c r="N438"/>
  <c r="O438"/>
  <c r="L439"/>
  <c r="M439"/>
  <c r="N439"/>
  <c r="O439"/>
  <c r="L440"/>
  <c r="M440"/>
  <c r="N440"/>
  <c r="O440"/>
  <c r="L441"/>
  <c r="M441"/>
  <c r="N441"/>
  <c r="O441"/>
  <c r="L442"/>
  <c r="M442"/>
  <c r="N442"/>
  <c r="O442"/>
  <c r="L443"/>
  <c r="M443"/>
  <c r="N443"/>
  <c r="O443"/>
  <c r="L444"/>
  <c r="M444"/>
  <c r="N444"/>
  <c r="O444"/>
  <c r="L445"/>
  <c r="M445"/>
  <c r="N445"/>
  <c r="O445"/>
  <c r="L446"/>
  <c r="M446"/>
  <c r="N446"/>
  <c r="O446"/>
  <c r="L447"/>
  <c r="M447"/>
  <c r="N447"/>
  <c r="O447"/>
  <c r="L448"/>
  <c r="M448"/>
  <c r="N448"/>
  <c r="O448"/>
  <c r="L449"/>
  <c r="M449"/>
  <c r="N449"/>
  <c r="O449"/>
  <c r="L450"/>
  <c r="M450"/>
  <c r="N450"/>
  <c r="O450"/>
  <c r="L451"/>
  <c r="M451"/>
  <c r="N451"/>
  <c r="O451"/>
  <c r="L452"/>
  <c r="M452"/>
  <c r="N452"/>
  <c r="O452"/>
  <c r="L453"/>
  <c r="M453"/>
  <c r="N453"/>
  <c r="O453"/>
  <c r="L454"/>
  <c r="M454"/>
  <c r="N454"/>
  <c r="O454"/>
  <c r="L455"/>
  <c r="M455"/>
  <c r="N455"/>
  <c r="O455"/>
  <c r="L456"/>
  <c r="M456"/>
  <c r="N456"/>
  <c r="O456"/>
  <c r="L457"/>
  <c r="M457"/>
  <c r="N457"/>
  <c r="O457"/>
  <c r="L458"/>
  <c r="M458"/>
  <c r="N458"/>
  <c r="O458"/>
  <c r="L459"/>
  <c r="M459"/>
  <c r="N459"/>
  <c r="O459"/>
  <c r="L460"/>
  <c r="M460"/>
  <c r="N460"/>
  <c r="O460"/>
  <c r="L461"/>
  <c r="M461"/>
  <c r="N461"/>
  <c r="O461"/>
  <c r="L462"/>
  <c r="M462"/>
  <c r="N462"/>
  <c r="O462"/>
  <c r="L463"/>
  <c r="M463"/>
  <c r="N463"/>
  <c r="O463"/>
  <c r="L464"/>
  <c r="M464"/>
  <c r="N464"/>
  <c r="O464"/>
  <c r="L465"/>
  <c r="M465"/>
  <c r="N465"/>
  <c r="O465"/>
  <c r="L466"/>
  <c r="M466"/>
  <c r="N466"/>
  <c r="O466"/>
  <c r="L467"/>
  <c r="M467"/>
  <c r="N467"/>
  <c r="O467"/>
  <c r="L468"/>
  <c r="M468"/>
  <c r="N468"/>
  <c r="O468"/>
  <c r="L469"/>
  <c r="M469"/>
  <c r="N469"/>
  <c r="O469"/>
  <c r="L470"/>
  <c r="M470"/>
  <c r="N470"/>
  <c r="O470"/>
  <c r="L471"/>
  <c r="M471"/>
  <c r="N471"/>
  <c r="O471"/>
  <c r="L472"/>
  <c r="M472"/>
  <c r="N472"/>
  <c r="O472"/>
  <c r="L473"/>
  <c r="M473"/>
  <c r="N473"/>
  <c r="O473"/>
  <c r="L474"/>
  <c r="M474"/>
  <c r="N474"/>
  <c r="O474"/>
  <c r="L475"/>
  <c r="M475"/>
  <c r="N475"/>
  <c r="O475"/>
  <c r="L476"/>
  <c r="M476"/>
  <c r="N476"/>
  <c r="O476"/>
  <c r="L477"/>
  <c r="M477"/>
  <c r="N477"/>
  <c r="O477"/>
  <c r="L478"/>
  <c r="M478"/>
  <c r="N478"/>
  <c r="O478"/>
  <c r="L479"/>
  <c r="M479"/>
  <c r="N479"/>
  <c r="O479"/>
  <c r="L480"/>
  <c r="M480"/>
  <c r="N480"/>
  <c r="O480"/>
  <c r="L481"/>
  <c r="M481"/>
  <c r="N481"/>
  <c r="O481"/>
  <c r="L482"/>
  <c r="M482"/>
  <c r="N482"/>
  <c r="O482"/>
  <c r="L483"/>
  <c r="M483"/>
  <c r="N483"/>
  <c r="O483"/>
  <c r="L484"/>
  <c r="M484"/>
  <c r="N484"/>
  <c r="O484"/>
  <c r="L485"/>
  <c r="M485"/>
  <c r="N485"/>
  <c r="O485"/>
  <c r="L486"/>
  <c r="M486"/>
  <c r="N486"/>
  <c r="O486"/>
  <c r="L487"/>
  <c r="M487"/>
  <c r="N487"/>
  <c r="O487"/>
  <c r="L488"/>
  <c r="M488"/>
  <c r="N488"/>
  <c r="O488"/>
  <c r="L489"/>
  <c r="M489"/>
  <c r="N489"/>
  <c r="O489"/>
  <c r="L490"/>
  <c r="M490"/>
  <c r="N490"/>
  <c r="O490"/>
  <c r="L491"/>
  <c r="M491"/>
  <c r="N491"/>
  <c r="O491"/>
  <c r="L492"/>
  <c r="M492"/>
  <c r="N492"/>
  <c r="O492"/>
  <c r="L493"/>
  <c r="M493"/>
  <c r="N493"/>
  <c r="O493"/>
  <c r="L494"/>
  <c r="M494"/>
  <c r="N494"/>
  <c r="O494"/>
  <c r="L495"/>
  <c r="M495"/>
  <c r="N495"/>
  <c r="O495"/>
  <c r="L496"/>
  <c r="M496"/>
  <c r="N496"/>
  <c r="O496"/>
  <c r="L497"/>
  <c r="M497"/>
  <c r="N497"/>
  <c r="O497"/>
  <c r="L498"/>
  <c r="M498"/>
  <c r="N498"/>
  <c r="O498"/>
  <c r="L499"/>
  <c r="M499"/>
  <c r="N499"/>
  <c r="O499"/>
  <c r="L500"/>
  <c r="M500"/>
  <c r="N500"/>
  <c r="O500"/>
  <c r="L501"/>
  <c r="M501"/>
  <c r="N501"/>
  <c r="O501"/>
  <c r="L502"/>
  <c r="M502"/>
  <c r="N502"/>
  <c r="O502"/>
  <c r="L503"/>
  <c r="M503"/>
  <c r="N503"/>
  <c r="O503"/>
  <c r="L504"/>
  <c r="M504"/>
  <c r="N504"/>
  <c r="O504"/>
  <c r="L505"/>
  <c r="M505"/>
  <c r="N505"/>
  <c r="O505"/>
  <c r="L506"/>
  <c r="M506"/>
  <c r="N506"/>
  <c r="O506"/>
  <c r="L507"/>
  <c r="M507"/>
  <c r="N507"/>
  <c r="O507"/>
  <c r="L508"/>
  <c r="M508"/>
  <c r="N508"/>
  <c r="O508"/>
  <c r="L509"/>
  <c r="M509"/>
  <c r="N509"/>
  <c r="O509"/>
  <c r="L510"/>
  <c r="M510"/>
  <c r="N510"/>
  <c r="O510"/>
  <c r="L511"/>
  <c r="M511"/>
  <c r="N511"/>
  <c r="O511"/>
  <c r="L512"/>
  <c r="M512"/>
  <c r="N512"/>
  <c r="O512"/>
  <c r="L513"/>
  <c r="M513"/>
  <c r="N513"/>
  <c r="O513"/>
  <c r="L514"/>
  <c r="M514"/>
  <c r="N514"/>
  <c r="O514"/>
  <c r="L515"/>
  <c r="M515"/>
  <c r="N515"/>
  <c r="O515"/>
  <c r="L516"/>
  <c r="M516"/>
  <c r="N516"/>
  <c r="O516"/>
  <c r="L517"/>
  <c r="M517"/>
  <c r="N517"/>
  <c r="O517"/>
  <c r="L518"/>
  <c r="M518"/>
  <c r="N518"/>
  <c r="O518"/>
  <c r="L519"/>
  <c r="M519"/>
  <c r="N519"/>
  <c r="O519"/>
  <c r="L520"/>
  <c r="M520"/>
  <c r="N520"/>
  <c r="O520"/>
  <c r="L521"/>
  <c r="M521"/>
  <c r="N521"/>
  <c r="O521"/>
  <c r="L522"/>
  <c r="M522"/>
  <c r="N522"/>
  <c r="O522"/>
  <c r="L523"/>
  <c r="M523"/>
  <c r="N523"/>
  <c r="O523"/>
  <c r="L524"/>
  <c r="M524"/>
  <c r="N524"/>
  <c r="O524"/>
  <c r="L525"/>
  <c r="M525"/>
  <c r="N525"/>
  <c r="O525"/>
  <c r="L526"/>
  <c r="M526"/>
  <c r="N526"/>
  <c r="O526"/>
  <c r="L527"/>
  <c r="M527"/>
  <c r="N527"/>
  <c r="O527"/>
  <c r="L528"/>
  <c r="M528"/>
  <c r="N528"/>
  <c r="O528"/>
  <c r="L529"/>
  <c r="M529"/>
  <c r="N529"/>
  <c r="O529"/>
  <c r="L530"/>
  <c r="M530"/>
  <c r="N530"/>
  <c r="O530"/>
  <c r="L531"/>
  <c r="M531"/>
  <c r="N531"/>
  <c r="O531"/>
  <c r="L532"/>
  <c r="M532"/>
  <c r="N532"/>
  <c r="O532"/>
  <c r="L533"/>
  <c r="M533"/>
  <c r="N533"/>
  <c r="O533"/>
  <c r="L534"/>
  <c r="M534"/>
  <c r="N534"/>
  <c r="O534"/>
  <c r="L535"/>
  <c r="M535"/>
  <c r="N535"/>
  <c r="O535"/>
  <c r="L536"/>
  <c r="M536"/>
  <c r="N536"/>
  <c r="O536"/>
  <c r="L537"/>
  <c r="M537"/>
  <c r="N537"/>
  <c r="O537"/>
  <c r="L538"/>
  <c r="M538"/>
  <c r="N538"/>
  <c r="O538"/>
  <c r="L539"/>
  <c r="M539"/>
  <c r="N539"/>
  <c r="O539"/>
  <c r="L540"/>
  <c r="M540"/>
  <c r="N540"/>
  <c r="O540"/>
  <c r="L541"/>
  <c r="M541"/>
  <c r="N541"/>
  <c r="O541"/>
  <c r="L542"/>
  <c r="M542"/>
  <c r="N542"/>
  <c r="O542"/>
  <c r="D5" i="2"/>
  <c r="F5"/>
  <c r="E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40"/>
  <c r="F39"/>
  <c r="G39"/>
  <c r="H5"/>
  <c r="I5"/>
  <c r="I9" s="1"/>
  <c r="J5"/>
  <c r="J39" s="1"/>
  <c r="K5"/>
  <c r="K39" s="1"/>
  <c r="F7"/>
  <c r="H7"/>
  <c r="I7"/>
  <c r="J7"/>
  <c r="K7"/>
  <c r="B20"/>
  <c r="B37"/>
  <c r="C37"/>
  <c r="D37"/>
  <c r="E37"/>
  <c r="F37"/>
  <c r="G37"/>
  <c r="H37"/>
  <c r="I37"/>
  <c r="J37"/>
  <c r="K37"/>
  <c r="B38"/>
  <c r="C38"/>
  <c r="D38"/>
  <c r="E38"/>
  <c r="F38"/>
  <c r="G38"/>
  <c r="H38"/>
  <c r="I38"/>
  <c r="J38"/>
  <c r="K38"/>
  <c r="E40"/>
  <c r="F40"/>
  <c r="B3" i="3"/>
  <c r="G9" i="2"/>
  <c r="E4" i="4" l="1"/>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3"/>
  <c r="E5"/>
  <c r="E7"/>
  <c r="E9"/>
  <c r="E11"/>
  <c r="E13"/>
  <c r="E15"/>
  <c r="E17"/>
  <c r="E19"/>
  <c r="E21"/>
  <c r="E23"/>
  <c r="E25"/>
  <c r="E27"/>
  <c r="E29"/>
  <c r="E31"/>
  <c r="E33"/>
  <c r="E35"/>
  <c r="E37"/>
  <c r="E39"/>
  <c r="E41"/>
  <c r="E43"/>
  <c r="E45"/>
  <c r="E47"/>
  <c r="E49"/>
  <c r="E51"/>
  <c r="E53"/>
  <c r="E55"/>
  <c r="E57"/>
  <c r="E59"/>
  <c r="E61"/>
  <c r="E63"/>
  <c r="E65"/>
  <c r="E67"/>
  <c r="E69"/>
  <c r="E71"/>
  <c r="E73"/>
  <c r="E75"/>
  <c r="E77"/>
  <c r="E79"/>
  <c r="E81"/>
  <c r="E83"/>
  <c r="E85"/>
  <c r="E87"/>
  <c r="E89"/>
  <c r="E91"/>
  <c r="E93"/>
  <c r="E95"/>
  <c r="E97"/>
  <c r="E99"/>
  <c r="E101"/>
  <c r="E103"/>
  <c r="E105"/>
  <c r="E107"/>
  <c r="E109"/>
  <c r="E111"/>
  <c r="E113"/>
  <c r="E115"/>
  <c r="E117"/>
  <c r="E119"/>
  <c r="E121"/>
  <c r="E123"/>
  <c r="E125"/>
  <c r="E127"/>
  <c r="E129"/>
  <c r="E131"/>
  <c r="E133"/>
  <c r="E135"/>
  <c r="E137"/>
  <c r="E139"/>
  <c r="E141"/>
  <c r="E143"/>
  <c r="E145"/>
  <c r="E147"/>
  <c r="E149"/>
  <c r="E151"/>
  <c r="E153"/>
  <c r="E155"/>
  <c r="E157"/>
  <c r="E159"/>
  <c r="E161"/>
  <c r="E163"/>
  <c r="E165"/>
  <c r="E167"/>
  <c r="E169"/>
  <c r="E171"/>
  <c r="E173"/>
  <c r="E175"/>
  <c r="E177"/>
  <c r="E179"/>
  <c r="E181"/>
  <c r="E183"/>
  <c r="E185"/>
  <c r="E187"/>
  <c r="E189"/>
  <c r="E191"/>
  <c r="E193"/>
  <c r="E195"/>
  <c r="E197"/>
  <c r="E199"/>
  <c r="E201"/>
  <c r="E203"/>
  <c r="E205"/>
  <c r="E207"/>
  <c r="E209"/>
  <c r="E211"/>
  <c r="E213"/>
  <c r="E215"/>
  <c r="E217"/>
  <c r="E219"/>
  <c r="E221"/>
  <c r="E223"/>
  <c r="E225"/>
  <c r="E227"/>
  <c r="E229"/>
  <c r="E231"/>
  <c r="E233"/>
  <c r="E235"/>
  <c r="E237"/>
  <c r="E239"/>
  <c r="E241"/>
  <c r="E243"/>
  <c r="E245"/>
  <c r="E247"/>
  <c r="E249"/>
  <c r="E251"/>
  <c r="E253"/>
  <c r="E255"/>
  <c r="E257"/>
  <c r="E259"/>
  <c r="E261"/>
  <c r="E263"/>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1"/>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N3"/>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L3"/>
  <c r="L4"/>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M3"/>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88"/>
  <c r="M89"/>
  <c r="M90"/>
  <c r="M91"/>
  <c r="M92"/>
  <c r="M93"/>
  <c r="M94"/>
  <c r="M95"/>
  <c r="M96"/>
  <c r="M97"/>
  <c r="M98"/>
  <c r="M99"/>
  <c r="M100"/>
  <c r="M101"/>
  <c r="M102"/>
  <c r="M103"/>
  <c r="M104"/>
  <c r="M105"/>
  <c r="M106"/>
  <c r="M107"/>
  <c r="M108"/>
  <c r="M109"/>
  <c r="M110"/>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K4"/>
  <c r="K6"/>
  <c r="K8"/>
  <c r="K10"/>
  <c r="K12"/>
  <c r="K14"/>
  <c r="K16"/>
  <c r="K18"/>
  <c r="K20"/>
  <c r="K22"/>
  <c r="K24"/>
  <c r="K26"/>
  <c r="K28"/>
  <c r="K30"/>
  <c r="K32"/>
  <c r="K34"/>
  <c r="K36"/>
  <c r="K38"/>
  <c r="K40"/>
  <c r="K42"/>
  <c r="K44"/>
  <c r="K46"/>
  <c r="K48"/>
  <c r="K50"/>
  <c r="K52"/>
  <c r="K54"/>
  <c r="K56"/>
  <c r="K58"/>
  <c r="K60"/>
  <c r="K62"/>
  <c r="K64"/>
  <c r="K66"/>
  <c r="K68"/>
  <c r="K70"/>
  <c r="K72"/>
  <c r="K74"/>
  <c r="K76"/>
  <c r="K78"/>
  <c r="K80"/>
  <c r="K82"/>
  <c r="K84"/>
  <c r="K86"/>
  <c r="K88"/>
  <c r="K90"/>
  <c r="K92"/>
  <c r="K94"/>
  <c r="K96"/>
  <c r="K98"/>
  <c r="K100"/>
  <c r="K102"/>
  <c r="K104"/>
  <c r="K106"/>
  <c r="K108"/>
  <c r="K110"/>
  <c r="K112"/>
  <c r="K114"/>
  <c r="K116"/>
  <c r="K118"/>
  <c r="K120"/>
  <c r="K122"/>
  <c r="K124"/>
  <c r="K126"/>
  <c r="K128"/>
  <c r="K130"/>
  <c r="K132"/>
  <c r="K134"/>
  <c r="K136"/>
  <c r="K138"/>
  <c r="K140"/>
  <c r="K142"/>
  <c r="K144"/>
  <c r="K146"/>
  <c r="K148"/>
  <c r="K150"/>
  <c r="K152"/>
  <c r="K154"/>
  <c r="K156"/>
  <c r="K158"/>
  <c r="K160"/>
  <c r="K162"/>
  <c r="K164"/>
  <c r="K166"/>
  <c r="K168"/>
  <c r="K170"/>
  <c r="K172"/>
  <c r="K174"/>
  <c r="K176"/>
  <c r="K178"/>
  <c r="K180"/>
  <c r="K182"/>
  <c r="K184"/>
  <c r="K186"/>
  <c r="K188"/>
  <c r="K190"/>
  <c r="K192"/>
  <c r="K194"/>
  <c r="K196"/>
  <c r="K198"/>
  <c r="K200"/>
  <c r="K202"/>
  <c r="K204"/>
  <c r="K206"/>
  <c r="K208"/>
  <c r="K210"/>
  <c r="K212"/>
  <c r="K214"/>
  <c r="K216"/>
  <c r="K218"/>
  <c r="K220"/>
  <c r="K222"/>
  <c r="K224"/>
  <c r="K226"/>
  <c r="K228"/>
  <c r="K230"/>
  <c r="K232"/>
  <c r="K234"/>
  <c r="K236"/>
  <c r="K238"/>
  <c r="K240"/>
  <c r="K242"/>
  <c r="K244"/>
  <c r="K246"/>
  <c r="K248"/>
  <c r="K250"/>
  <c r="K3"/>
  <c r="K5"/>
  <c r="K7"/>
  <c r="K9"/>
  <c r="K11"/>
  <c r="K13"/>
  <c r="K15"/>
  <c r="K17"/>
  <c r="K19"/>
  <c r="K21"/>
  <c r="K23"/>
  <c r="K25"/>
  <c r="K27"/>
  <c r="K29"/>
  <c r="K31"/>
  <c r="K33"/>
  <c r="K35"/>
  <c r="K37"/>
  <c r="K39"/>
  <c r="K41"/>
  <c r="K43"/>
  <c r="K45"/>
  <c r="K47"/>
  <c r="K49"/>
  <c r="K51"/>
  <c r="K53"/>
  <c r="K55"/>
  <c r="K57"/>
  <c r="K59"/>
  <c r="K61"/>
  <c r="K63"/>
  <c r="K65"/>
  <c r="K67"/>
  <c r="K69"/>
  <c r="K71"/>
  <c r="K73"/>
  <c r="K75"/>
  <c r="K77"/>
  <c r="K79"/>
  <c r="K81"/>
  <c r="K83"/>
  <c r="K85"/>
  <c r="K87"/>
  <c r="K89"/>
  <c r="K91"/>
  <c r="K93"/>
  <c r="K95"/>
  <c r="K97"/>
  <c r="K99"/>
  <c r="K101"/>
  <c r="K103"/>
  <c r="K105"/>
  <c r="K107"/>
  <c r="K109"/>
  <c r="K111"/>
  <c r="K113"/>
  <c r="K115"/>
  <c r="K117"/>
  <c r="K119"/>
  <c r="K121"/>
  <c r="K123"/>
  <c r="K125"/>
  <c r="K127"/>
  <c r="K129"/>
  <c r="K131"/>
  <c r="K133"/>
  <c r="K135"/>
  <c r="K137"/>
  <c r="K139"/>
  <c r="K141"/>
  <c r="K143"/>
  <c r="K145"/>
  <c r="K147"/>
  <c r="K149"/>
  <c r="K151"/>
  <c r="K153"/>
  <c r="K155"/>
  <c r="K157"/>
  <c r="K159"/>
  <c r="K161"/>
  <c r="K163"/>
  <c r="K165"/>
  <c r="K167"/>
  <c r="K169"/>
  <c r="K171"/>
  <c r="K173"/>
  <c r="K175"/>
  <c r="K177"/>
  <c r="K179"/>
  <c r="K181"/>
  <c r="K183"/>
  <c r="K185"/>
  <c r="K187"/>
  <c r="K189"/>
  <c r="K191"/>
  <c r="K193"/>
  <c r="K195"/>
  <c r="K197"/>
  <c r="K199"/>
  <c r="K201"/>
  <c r="K203"/>
  <c r="K205"/>
  <c r="K207"/>
  <c r="K209"/>
  <c r="K211"/>
  <c r="K213"/>
  <c r="K215"/>
  <c r="K217"/>
  <c r="K219"/>
  <c r="K221"/>
  <c r="K223"/>
  <c r="K225"/>
  <c r="K227"/>
  <c r="K229"/>
  <c r="K231"/>
  <c r="K233"/>
  <c r="K235"/>
  <c r="K237"/>
  <c r="K239"/>
  <c r="K241"/>
  <c r="K243"/>
  <c r="K245"/>
  <c r="K247"/>
  <c r="K249"/>
  <c r="K251"/>
  <c r="J3"/>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G3"/>
  <c r="G5"/>
  <c r="G7"/>
  <c r="G9"/>
  <c r="G11"/>
  <c r="G13"/>
  <c r="G15"/>
  <c r="G17"/>
  <c r="G19"/>
  <c r="G21"/>
  <c r="G23"/>
  <c r="G25"/>
  <c r="G27"/>
  <c r="G29"/>
  <c r="G31"/>
  <c r="G33"/>
  <c r="G35"/>
  <c r="G37"/>
  <c r="G39"/>
  <c r="G41"/>
  <c r="G43"/>
  <c r="G45"/>
  <c r="G47"/>
  <c r="G4"/>
  <c r="G6"/>
  <c r="G8"/>
  <c r="G10"/>
  <c r="G12"/>
  <c r="G14"/>
  <c r="G16"/>
  <c r="G18"/>
  <c r="G20"/>
  <c r="G22"/>
  <c r="G24"/>
  <c r="G26"/>
  <c r="G28"/>
  <c r="G30"/>
  <c r="G32"/>
  <c r="G34"/>
  <c r="G36"/>
  <c r="G38"/>
  <c r="G40"/>
  <c r="G42"/>
  <c r="G44"/>
  <c r="G46"/>
  <c r="F3"/>
  <c r="F4"/>
  <c r="F5"/>
  <c r="F6"/>
  <c r="F7"/>
  <c r="F8"/>
  <c r="F9"/>
  <c r="F10"/>
  <c r="F11"/>
  <c r="F12"/>
  <c r="F13"/>
  <c r="I4"/>
  <c r="I6"/>
  <c r="I8"/>
  <c r="I10"/>
  <c r="I12"/>
  <c r="I14"/>
  <c r="I16"/>
  <c r="I18"/>
  <c r="I20"/>
  <c r="I22"/>
  <c r="I24"/>
  <c r="I26"/>
  <c r="I28"/>
  <c r="I30"/>
  <c r="I32"/>
  <c r="I34"/>
  <c r="I36"/>
  <c r="I38"/>
  <c r="I40"/>
  <c r="I42"/>
  <c r="I44"/>
  <c r="I46"/>
  <c r="I48"/>
  <c r="I50"/>
  <c r="I52"/>
  <c r="I54"/>
  <c r="I56"/>
  <c r="I58"/>
  <c r="I60"/>
  <c r="I62"/>
  <c r="I64"/>
  <c r="I66"/>
  <c r="I68"/>
  <c r="I70"/>
  <c r="I72"/>
  <c r="I74"/>
  <c r="I76"/>
  <c r="I78"/>
  <c r="I80"/>
  <c r="I82"/>
  <c r="I84"/>
  <c r="I86"/>
  <c r="I88"/>
  <c r="I90"/>
  <c r="I92"/>
  <c r="I94"/>
  <c r="I96"/>
  <c r="I98"/>
  <c r="I3"/>
  <c r="I5"/>
  <c r="I7"/>
  <c r="I9"/>
  <c r="I11"/>
  <c r="I13"/>
  <c r="I15"/>
  <c r="I17"/>
  <c r="I19"/>
  <c r="I21"/>
  <c r="I23"/>
  <c r="I25"/>
  <c r="I27"/>
  <c r="I29"/>
  <c r="I31"/>
  <c r="I33"/>
  <c r="I35"/>
  <c r="I37"/>
  <c r="I39"/>
  <c r="I41"/>
  <c r="I43"/>
  <c r="I45"/>
  <c r="I47"/>
  <c r="I49"/>
  <c r="I51"/>
  <c r="I53"/>
  <c r="I55"/>
  <c r="I57"/>
  <c r="I59"/>
  <c r="I61"/>
  <c r="I63"/>
  <c r="I65"/>
  <c r="I67"/>
  <c r="I69"/>
  <c r="I71"/>
  <c r="I73"/>
  <c r="I75"/>
  <c r="I77"/>
  <c r="I79"/>
  <c r="I81"/>
  <c r="I83"/>
  <c r="I85"/>
  <c r="I87"/>
  <c r="I89"/>
  <c r="I91"/>
  <c r="I93"/>
  <c r="I95"/>
  <c r="I97"/>
  <c r="I99"/>
  <c r="I40" i="2"/>
  <c r="J9"/>
  <c r="M2" i="4"/>
  <c r="I39" i="2"/>
  <c r="N2" i="4"/>
  <c r="J40" i="2"/>
  <c r="D39"/>
  <c r="H239" i="4" s="1"/>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525" i="4" s="1"/>
  <c r="D9" i="2"/>
  <c r="K40"/>
  <c r="K9"/>
  <c r="H39"/>
  <c r="H40"/>
  <c r="H9"/>
  <c r="E9"/>
  <c r="F9"/>
  <c r="J2" i="4"/>
  <c r="E39" i="2"/>
  <c r="I154" i="4" s="1"/>
  <c r="B40" i="2"/>
  <c r="C9"/>
  <c r="C39"/>
  <c r="C40"/>
  <c r="B9"/>
  <c r="E2" i="4"/>
  <c r="K511" l="1"/>
  <c r="K507"/>
  <c r="K503"/>
  <c r="K499"/>
  <c r="K495"/>
  <c r="K491"/>
  <c r="K487"/>
  <c r="K483"/>
  <c r="K479"/>
  <c r="K475"/>
  <c r="K471"/>
  <c r="K467"/>
  <c r="K463"/>
  <c r="K459"/>
  <c r="K455"/>
  <c r="K451"/>
  <c r="K447"/>
  <c r="K443"/>
  <c r="K439"/>
  <c r="K435"/>
  <c r="K431"/>
  <c r="K427"/>
  <c r="K423"/>
  <c r="K419"/>
  <c r="K415"/>
  <c r="K411"/>
  <c r="K407"/>
  <c r="K403"/>
  <c r="K399"/>
  <c r="K395"/>
  <c r="K391"/>
  <c r="K387"/>
  <c r="K383"/>
  <c r="K379"/>
  <c r="K375"/>
  <c r="K371"/>
  <c r="K367"/>
  <c r="K363"/>
  <c r="K359"/>
  <c r="K355"/>
  <c r="K351"/>
  <c r="K347"/>
  <c r="K343"/>
  <c r="K339"/>
  <c r="K335"/>
  <c r="K331"/>
  <c r="K327"/>
  <c r="K323"/>
  <c r="K319"/>
  <c r="K315"/>
  <c r="K311"/>
  <c r="K307"/>
  <c r="K303"/>
  <c r="K299"/>
  <c r="K295"/>
  <c r="K291"/>
  <c r="K287"/>
  <c r="K283"/>
  <c r="K279"/>
  <c r="K275"/>
  <c r="K271"/>
  <c r="K267"/>
  <c r="K263"/>
  <c r="K259"/>
  <c r="K255"/>
  <c r="K510"/>
  <c r="K506"/>
  <c r="K502"/>
  <c r="K498"/>
  <c r="K494"/>
  <c r="K490"/>
  <c r="K486"/>
  <c r="K482"/>
  <c r="K478"/>
  <c r="K474"/>
  <c r="K470"/>
  <c r="K466"/>
  <c r="K462"/>
  <c r="K458"/>
  <c r="K454"/>
  <c r="K450"/>
  <c r="K446"/>
  <c r="K442"/>
  <c r="K438"/>
  <c r="K434"/>
  <c r="K430"/>
  <c r="K426"/>
  <c r="K422"/>
  <c r="K418"/>
  <c r="K414"/>
  <c r="K410"/>
  <c r="K406"/>
  <c r="K402"/>
  <c r="K398"/>
  <c r="K394"/>
  <c r="K390"/>
  <c r="K386"/>
  <c r="K382"/>
  <c r="K378"/>
  <c r="K374"/>
  <c r="K370"/>
  <c r="K366"/>
  <c r="K362"/>
  <c r="K358"/>
  <c r="K354"/>
  <c r="K350"/>
  <c r="K346"/>
  <c r="K342"/>
  <c r="K338"/>
  <c r="K334"/>
  <c r="K330"/>
  <c r="K326"/>
  <c r="K322"/>
  <c r="K318"/>
  <c r="K314"/>
  <c r="K310"/>
  <c r="K306"/>
  <c r="K302"/>
  <c r="K298"/>
  <c r="K294"/>
  <c r="K290"/>
  <c r="K286"/>
  <c r="K282"/>
  <c r="K278"/>
  <c r="K274"/>
  <c r="K270"/>
  <c r="K266"/>
  <c r="K262"/>
  <c r="K258"/>
  <c r="K254"/>
  <c r="K509"/>
  <c r="K505"/>
  <c r="K501"/>
  <c r="K497"/>
  <c r="K493"/>
  <c r="K489"/>
  <c r="K485"/>
  <c r="K481"/>
  <c r="K477"/>
  <c r="K473"/>
  <c r="K469"/>
  <c r="K465"/>
  <c r="K461"/>
  <c r="K457"/>
  <c r="K453"/>
  <c r="K449"/>
  <c r="K445"/>
  <c r="K441"/>
  <c r="K437"/>
  <c r="K433"/>
  <c r="K429"/>
  <c r="K425"/>
  <c r="K421"/>
  <c r="K417"/>
  <c r="K413"/>
  <c r="K409"/>
  <c r="K405"/>
  <c r="K401"/>
  <c r="K397"/>
  <c r="K393"/>
  <c r="K389"/>
  <c r="K385"/>
  <c r="K381"/>
  <c r="K377"/>
  <c r="K373"/>
  <c r="K369"/>
  <c r="K365"/>
  <c r="K361"/>
  <c r="K357"/>
  <c r="K353"/>
  <c r="K349"/>
  <c r="K345"/>
  <c r="K341"/>
  <c r="K337"/>
  <c r="K333"/>
  <c r="K329"/>
  <c r="K325"/>
  <c r="K321"/>
  <c r="K317"/>
  <c r="K313"/>
  <c r="K309"/>
  <c r="K305"/>
  <c r="K301"/>
  <c r="K297"/>
  <c r="K293"/>
  <c r="K289"/>
  <c r="K285"/>
  <c r="K281"/>
  <c r="K277"/>
  <c r="K273"/>
  <c r="K269"/>
  <c r="K265"/>
  <c r="K261"/>
  <c r="K257"/>
  <c r="K253"/>
  <c r="K512"/>
  <c r="K508"/>
  <c r="K504"/>
  <c r="K500"/>
  <c r="K496"/>
  <c r="K492"/>
  <c r="K488"/>
  <c r="K484"/>
  <c r="K480"/>
  <c r="K476"/>
  <c r="K472"/>
  <c r="K468"/>
  <c r="K464"/>
  <c r="K460"/>
  <c r="K456"/>
  <c r="K452"/>
  <c r="K448"/>
  <c r="K444"/>
  <c r="K440"/>
  <c r="K436"/>
  <c r="K432"/>
  <c r="K428"/>
  <c r="K424"/>
  <c r="K420"/>
  <c r="K416"/>
  <c r="K412"/>
  <c r="K408"/>
  <c r="K404"/>
  <c r="K400"/>
  <c r="K396"/>
  <c r="K392"/>
  <c r="K388"/>
  <c r="K384"/>
  <c r="K380"/>
  <c r="K376"/>
  <c r="K372"/>
  <c r="K368"/>
  <c r="K364"/>
  <c r="K360"/>
  <c r="K356"/>
  <c r="K352"/>
  <c r="K348"/>
  <c r="K344"/>
  <c r="K340"/>
  <c r="K336"/>
  <c r="K332"/>
  <c r="K328"/>
  <c r="K324"/>
  <c r="K320"/>
  <c r="K316"/>
  <c r="K312"/>
  <c r="K308"/>
  <c r="K304"/>
  <c r="K300"/>
  <c r="K296"/>
  <c r="K292"/>
  <c r="K288"/>
  <c r="K284"/>
  <c r="K280"/>
  <c r="K276"/>
  <c r="K272"/>
  <c r="K268"/>
  <c r="K264"/>
  <c r="K260"/>
  <c r="K256"/>
  <c r="K252"/>
  <c r="I100"/>
  <c r="I101"/>
  <c r="G48"/>
  <c r="I102"/>
  <c r="I103"/>
  <c r="I104"/>
  <c r="H174"/>
  <c r="I105"/>
  <c r="H175"/>
  <c r="I106"/>
  <c r="I107"/>
  <c r="G49"/>
  <c r="I108"/>
  <c r="I109"/>
  <c r="I110"/>
  <c r="I111"/>
  <c r="G50"/>
  <c r="I112"/>
  <c r="H176"/>
  <c r="G51"/>
  <c r="I113"/>
  <c r="I114"/>
  <c r="H177"/>
  <c r="G52"/>
  <c r="I115"/>
  <c r="I116"/>
  <c r="H178"/>
  <c r="G53"/>
  <c r="H179"/>
  <c r="I117"/>
  <c r="G54"/>
  <c r="I118"/>
  <c r="I119"/>
  <c r="G55"/>
  <c r="H180"/>
  <c r="I120"/>
  <c r="H181"/>
  <c r="G56"/>
  <c r="I121"/>
  <c r="I122"/>
  <c r="I123"/>
  <c r="H182"/>
  <c r="G57"/>
  <c r="I124"/>
  <c r="G58"/>
  <c r="I125"/>
  <c r="H183"/>
  <c r="G59"/>
  <c r="I126"/>
  <c r="G60"/>
  <c r="I127"/>
  <c r="H184"/>
  <c r="G61"/>
  <c r="I128"/>
  <c r="I129"/>
  <c r="I131"/>
  <c r="H185"/>
  <c r="I130"/>
  <c r="H186"/>
  <c r="H187"/>
  <c r="G63"/>
  <c r="I132"/>
  <c r="I135"/>
  <c r="G62"/>
  <c r="H189"/>
  <c r="G64"/>
  <c r="I133"/>
  <c r="I134"/>
  <c r="H190"/>
  <c r="H188"/>
  <c r="I137"/>
  <c r="I136"/>
  <c r="H191"/>
  <c r="I138"/>
  <c r="H192"/>
  <c r="G66"/>
  <c r="I139"/>
  <c r="G65"/>
  <c r="H193"/>
  <c r="I140"/>
  <c r="H194"/>
  <c r="I141"/>
  <c r="I142"/>
  <c r="I143"/>
  <c r="H197"/>
  <c r="H195"/>
  <c r="G68"/>
  <c r="I144"/>
  <c r="G67"/>
  <c r="H196"/>
  <c r="I145"/>
  <c r="I146"/>
  <c r="H198"/>
  <c r="G69"/>
  <c r="I147"/>
  <c r="H201"/>
  <c r="H199"/>
  <c r="I149"/>
  <c r="I148"/>
  <c r="H200"/>
  <c r="I150"/>
  <c r="H203"/>
  <c r="I151"/>
  <c r="H202"/>
  <c r="H204"/>
  <c r="H205"/>
  <c r="H206"/>
  <c r="H207"/>
  <c r="H208"/>
  <c r="H209"/>
  <c r="H210"/>
  <c r="H213"/>
  <c r="H211"/>
  <c r="H212"/>
  <c r="H214"/>
  <c r="H215"/>
  <c r="H217"/>
  <c r="H216"/>
  <c r="H219"/>
  <c r="H218"/>
  <c r="H220"/>
  <c r="H221"/>
  <c r="H223"/>
  <c r="H222"/>
  <c r="H225"/>
  <c r="H224"/>
  <c r="H229"/>
  <c r="H227"/>
  <c r="H230"/>
  <c r="H228"/>
  <c r="H226"/>
  <c r="H233"/>
  <c r="H231"/>
  <c r="H232"/>
  <c r="H234"/>
  <c r="H235"/>
  <c r="H236"/>
  <c r="G72"/>
  <c r="G70"/>
  <c r="G71"/>
  <c r="K514"/>
  <c r="K513"/>
  <c r="K516"/>
  <c r="K515"/>
  <c r="K517"/>
  <c r="G74"/>
  <c r="G73"/>
  <c r="K518"/>
  <c r="K519"/>
  <c r="G75"/>
  <c r="K520"/>
  <c r="K521"/>
  <c r="G76"/>
  <c r="C12"/>
  <c r="D12" s="1"/>
  <c r="C8"/>
  <c r="D8" s="1"/>
  <c r="C4"/>
  <c r="D4" s="1"/>
  <c r="H237"/>
  <c r="H238"/>
  <c r="C11"/>
  <c r="D11" s="1"/>
  <c r="C7"/>
  <c r="D7" s="1"/>
  <c r="C3"/>
  <c r="D3" s="1"/>
  <c r="C13"/>
  <c r="D13" s="1"/>
  <c r="C9"/>
  <c r="D9" s="1"/>
  <c r="C5"/>
  <c r="D5" s="1"/>
  <c r="G77"/>
  <c r="C10"/>
  <c r="D10" s="1"/>
  <c r="C6"/>
  <c r="D6" s="1"/>
  <c r="I249"/>
  <c r="I245"/>
  <c r="I241"/>
  <c r="I237"/>
  <c r="I233"/>
  <c r="I229"/>
  <c r="I225"/>
  <c r="I221"/>
  <c r="I217"/>
  <c r="I213"/>
  <c r="I209"/>
  <c r="I205"/>
  <c r="I201"/>
  <c r="I197"/>
  <c r="I193"/>
  <c r="I189"/>
  <c r="I185"/>
  <c r="I181"/>
  <c r="I177"/>
  <c r="I173"/>
  <c r="I169"/>
  <c r="I165"/>
  <c r="I161"/>
  <c r="I157"/>
  <c r="I153"/>
  <c r="I248"/>
  <c r="I244"/>
  <c r="I240"/>
  <c r="I236"/>
  <c r="I232"/>
  <c r="I228"/>
  <c r="I224"/>
  <c r="I220"/>
  <c r="I216"/>
  <c r="I212"/>
  <c r="I208"/>
  <c r="I204"/>
  <c r="I200"/>
  <c r="I196"/>
  <c r="I192"/>
  <c r="I188"/>
  <c r="I184"/>
  <c r="I180"/>
  <c r="I176"/>
  <c r="I172"/>
  <c r="I168"/>
  <c r="I164"/>
  <c r="I160"/>
  <c r="I156"/>
  <c r="I152"/>
  <c r="G116"/>
  <c r="G112"/>
  <c r="G108"/>
  <c r="G104"/>
  <c r="G100"/>
  <c r="G96"/>
  <c r="G92"/>
  <c r="G88"/>
  <c r="G84"/>
  <c r="G80"/>
  <c r="G115"/>
  <c r="G111"/>
  <c r="G107"/>
  <c r="G103"/>
  <c r="G99"/>
  <c r="G95"/>
  <c r="G91"/>
  <c r="G87"/>
  <c r="G83"/>
  <c r="G7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I247"/>
  <c r="I243"/>
  <c r="I239"/>
  <c r="I235"/>
  <c r="I231"/>
  <c r="I227"/>
  <c r="I223"/>
  <c r="I219"/>
  <c r="I215"/>
  <c r="I211"/>
  <c r="I207"/>
  <c r="I203"/>
  <c r="I199"/>
  <c r="I195"/>
  <c r="I191"/>
  <c r="I187"/>
  <c r="I183"/>
  <c r="I179"/>
  <c r="I175"/>
  <c r="I171"/>
  <c r="I167"/>
  <c r="I163"/>
  <c r="I159"/>
  <c r="I155"/>
  <c r="I246"/>
  <c r="I242"/>
  <c r="I238"/>
  <c r="I234"/>
  <c r="I230"/>
  <c r="I226"/>
  <c r="I222"/>
  <c r="I218"/>
  <c r="I214"/>
  <c r="I210"/>
  <c r="I206"/>
  <c r="I202"/>
  <c r="I198"/>
  <c r="I194"/>
  <c r="I190"/>
  <c r="I186"/>
  <c r="I182"/>
  <c r="I178"/>
  <c r="I174"/>
  <c r="I170"/>
  <c r="I166"/>
  <c r="I162"/>
  <c r="I158"/>
  <c r="G114"/>
  <c r="G110"/>
  <c r="G106"/>
  <c r="G102"/>
  <c r="G98"/>
  <c r="G94"/>
  <c r="G90"/>
  <c r="G86"/>
  <c r="G82"/>
  <c r="G78"/>
  <c r="G117"/>
  <c r="G113"/>
  <c r="G109"/>
  <c r="G105"/>
  <c r="G101"/>
  <c r="G97"/>
  <c r="G93"/>
  <c r="G89"/>
  <c r="G85"/>
  <c r="G81"/>
  <c r="K542"/>
  <c r="K538"/>
  <c r="K534"/>
  <c r="K530"/>
  <c r="K526"/>
  <c r="K522"/>
  <c r="K539"/>
  <c r="K535"/>
  <c r="K531"/>
  <c r="K527"/>
  <c r="K523"/>
  <c r="K540"/>
  <c r="K536"/>
  <c r="K532"/>
  <c r="K528"/>
  <c r="K524"/>
  <c r="K541"/>
  <c r="K537"/>
  <c r="K533"/>
  <c r="K529"/>
  <c r="G119"/>
  <c r="G121"/>
  <c r="G123"/>
  <c r="G125"/>
  <c r="G127"/>
  <c r="G129"/>
  <c r="G131"/>
  <c r="G133"/>
  <c r="G135"/>
  <c r="G137"/>
  <c r="G139"/>
  <c r="G141"/>
  <c r="G143"/>
  <c r="G145"/>
  <c r="G147"/>
  <c r="G149"/>
  <c r="G151"/>
  <c r="G153"/>
  <c r="G155"/>
  <c r="G157"/>
  <c r="G159"/>
  <c r="G161"/>
  <c r="G163"/>
  <c r="G165"/>
  <c r="G167"/>
  <c r="G169"/>
  <c r="G171"/>
  <c r="G173"/>
  <c r="G175"/>
  <c r="G177"/>
  <c r="G179"/>
  <c r="G181"/>
  <c r="G183"/>
  <c r="G185"/>
  <c r="G187"/>
  <c r="G189"/>
  <c r="G191"/>
  <c r="G193"/>
  <c r="G195"/>
  <c r="G197"/>
  <c r="G199"/>
  <c r="G201"/>
  <c r="G203"/>
  <c r="G205"/>
  <c r="G207"/>
  <c r="G209"/>
  <c r="G211"/>
  <c r="G213"/>
  <c r="G215"/>
  <c r="G217"/>
  <c r="G219"/>
  <c r="G221"/>
  <c r="G223"/>
  <c r="G225"/>
  <c r="G227"/>
  <c r="G229"/>
  <c r="G231"/>
  <c r="G233"/>
  <c r="G235"/>
  <c r="G237"/>
  <c r="G239"/>
  <c r="G241"/>
  <c r="G243"/>
  <c r="G245"/>
  <c r="G247"/>
  <c r="G249"/>
  <c r="G251"/>
  <c r="G253"/>
  <c r="G255"/>
  <c r="G257"/>
  <c r="G259"/>
  <c r="G261"/>
  <c r="G263"/>
  <c r="G265"/>
  <c r="G267"/>
  <c r="G269"/>
  <c r="G271"/>
  <c r="G273"/>
  <c r="G275"/>
  <c r="G277"/>
  <c r="G279"/>
  <c r="G281"/>
  <c r="G283"/>
  <c r="G285"/>
  <c r="G287"/>
  <c r="G289"/>
  <c r="G291"/>
  <c r="G293"/>
  <c r="G295"/>
  <c r="G297"/>
  <c r="G299"/>
  <c r="G301"/>
  <c r="G303"/>
  <c r="G305"/>
  <c r="G307"/>
  <c r="G309"/>
  <c r="G311"/>
  <c r="G313"/>
  <c r="G315"/>
  <c r="G317"/>
  <c r="G319"/>
  <c r="G321"/>
  <c r="G323"/>
  <c r="G325"/>
  <c r="G327"/>
  <c r="G329"/>
  <c r="G331"/>
  <c r="G333"/>
  <c r="G335"/>
  <c r="G337"/>
  <c r="G339"/>
  <c r="G341"/>
  <c r="G343"/>
  <c r="G345"/>
  <c r="G347"/>
  <c r="G349"/>
  <c r="G351"/>
  <c r="G353"/>
  <c r="G355"/>
  <c r="G357"/>
  <c r="G359"/>
  <c r="G361"/>
  <c r="G363"/>
  <c r="G365"/>
  <c r="G367"/>
  <c r="G369"/>
  <c r="G371"/>
  <c r="G373"/>
  <c r="G375"/>
  <c r="G377"/>
  <c r="G379"/>
  <c r="G381"/>
  <c r="G383"/>
  <c r="G385"/>
  <c r="G387"/>
  <c r="G389"/>
  <c r="G391"/>
  <c r="G393"/>
  <c r="G395"/>
  <c r="G397"/>
  <c r="G399"/>
  <c r="G401"/>
  <c r="G403"/>
  <c r="G405"/>
  <c r="G407"/>
  <c r="G409"/>
  <c r="G411"/>
  <c r="G413"/>
  <c r="G415"/>
  <c r="G417"/>
  <c r="G419"/>
  <c r="G421"/>
  <c r="G423"/>
  <c r="G425"/>
  <c r="G427"/>
  <c r="G429"/>
  <c r="G431"/>
  <c r="G433"/>
  <c r="G435"/>
  <c r="G437"/>
  <c r="G439"/>
  <c r="G441"/>
  <c r="G443"/>
  <c r="G445"/>
  <c r="G447"/>
  <c r="G449"/>
  <c r="G451"/>
  <c r="G453"/>
  <c r="G455"/>
  <c r="G457"/>
  <c r="G459"/>
  <c r="G461"/>
  <c r="G463"/>
  <c r="G465"/>
  <c r="G467"/>
  <c r="G469"/>
  <c r="G471"/>
  <c r="G473"/>
  <c r="G475"/>
  <c r="G477"/>
  <c r="G479"/>
  <c r="G481"/>
  <c r="G483"/>
  <c r="G485"/>
  <c r="G487"/>
  <c r="G489"/>
  <c r="G491"/>
  <c r="G493"/>
  <c r="G495"/>
  <c r="G497"/>
  <c r="G499"/>
  <c r="G501"/>
  <c r="G503"/>
  <c r="G505"/>
  <c r="G507"/>
  <c r="G509"/>
  <c r="G511"/>
  <c r="G513"/>
  <c r="G118"/>
  <c r="G120"/>
  <c r="G122"/>
  <c r="G124"/>
  <c r="G126"/>
  <c r="G128"/>
  <c r="G130"/>
  <c r="G132"/>
  <c r="G134"/>
  <c r="G136"/>
  <c r="G138"/>
  <c r="G140"/>
  <c r="G142"/>
  <c r="G144"/>
  <c r="G146"/>
  <c r="G148"/>
  <c r="G150"/>
  <c r="G152"/>
  <c r="G154"/>
  <c r="G156"/>
  <c r="G158"/>
  <c r="G160"/>
  <c r="G162"/>
  <c r="G164"/>
  <c r="G166"/>
  <c r="G168"/>
  <c r="G170"/>
  <c r="G172"/>
  <c r="G174"/>
  <c r="G176"/>
  <c r="G178"/>
  <c r="G180"/>
  <c r="G182"/>
  <c r="G184"/>
  <c r="G186"/>
  <c r="G188"/>
  <c r="G190"/>
  <c r="G192"/>
  <c r="G194"/>
  <c r="G196"/>
  <c r="G198"/>
  <c r="G200"/>
  <c r="G202"/>
  <c r="G204"/>
  <c r="G206"/>
  <c r="G208"/>
  <c r="G210"/>
  <c r="G212"/>
  <c r="G214"/>
  <c r="G216"/>
  <c r="G218"/>
  <c r="G220"/>
  <c r="G222"/>
  <c r="G224"/>
  <c r="G226"/>
  <c r="G228"/>
  <c r="G230"/>
  <c r="G232"/>
  <c r="G234"/>
  <c r="G236"/>
  <c r="G238"/>
  <c r="G240"/>
  <c r="G242"/>
  <c r="G244"/>
  <c r="G246"/>
  <c r="G248"/>
  <c r="G250"/>
  <c r="G252"/>
  <c r="G254"/>
  <c r="G256"/>
  <c r="G258"/>
  <c r="G260"/>
  <c r="G262"/>
  <c r="G264"/>
  <c r="G266"/>
  <c r="G268"/>
  <c r="G270"/>
  <c r="G272"/>
  <c r="G274"/>
  <c r="G276"/>
  <c r="G278"/>
  <c r="G280"/>
  <c r="G282"/>
  <c r="G284"/>
  <c r="G286"/>
  <c r="G288"/>
  <c r="G290"/>
  <c r="G292"/>
  <c r="G294"/>
  <c r="G296"/>
  <c r="G298"/>
  <c r="G300"/>
  <c r="G302"/>
  <c r="G304"/>
  <c r="G306"/>
  <c r="G308"/>
  <c r="G310"/>
  <c r="G312"/>
  <c r="G314"/>
  <c r="G316"/>
  <c r="G318"/>
  <c r="G320"/>
  <c r="G322"/>
  <c r="G324"/>
  <c r="G326"/>
  <c r="G328"/>
  <c r="G330"/>
  <c r="G332"/>
  <c r="G334"/>
  <c r="G336"/>
  <c r="G338"/>
  <c r="G340"/>
  <c r="G342"/>
  <c r="G344"/>
  <c r="G346"/>
  <c r="G348"/>
  <c r="G350"/>
  <c r="G352"/>
  <c r="G354"/>
  <c r="G356"/>
  <c r="G358"/>
  <c r="G360"/>
  <c r="G362"/>
  <c r="G364"/>
  <c r="G366"/>
  <c r="G368"/>
  <c r="G370"/>
  <c r="G372"/>
  <c r="G374"/>
  <c r="G376"/>
  <c r="G378"/>
  <c r="G380"/>
  <c r="G382"/>
  <c r="G384"/>
  <c r="G386"/>
  <c r="G388"/>
  <c r="G390"/>
  <c r="G392"/>
  <c r="G394"/>
  <c r="G396"/>
  <c r="G398"/>
  <c r="G400"/>
  <c r="G402"/>
  <c r="G404"/>
  <c r="G406"/>
  <c r="G408"/>
  <c r="G410"/>
  <c r="G412"/>
  <c r="G414"/>
  <c r="G416"/>
  <c r="G418"/>
  <c r="G420"/>
  <c r="G422"/>
  <c r="G424"/>
  <c r="G426"/>
  <c r="G428"/>
  <c r="G430"/>
  <c r="G432"/>
  <c r="G434"/>
  <c r="G436"/>
  <c r="G438"/>
  <c r="G440"/>
  <c r="G442"/>
  <c r="G444"/>
  <c r="G446"/>
  <c r="G448"/>
  <c r="G450"/>
  <c r="G452"/>
  <c r="G454"/>
  <c r="G456"/>
  <c r="G458"/>
  <c r="G460"/>
  <c r="G462"/>
  <c r="G464"/>
  <c r="G466"/>
  <c r="G468"/>
  <c r="G470"/>
  <c r="G472"/>
  <c r="G474"/>
  <c r="G476"/>
  <c r="G478"/>
  <c r="G480"/>
  <c r="G482"/>
  <c r="G484"/>
  <c r="G486"/>
  <c r="G488"/>
  <c r="G490"/>
  <c r="G492"/>
  <c r="G494"/>
  <c r="G496"/>
  <c r="G498"/>
  <c r="G500"/>
  <c r="G502"/>
  <c r="G504"/>
  <c r="G506"/>
  <c r="G508"/>
  <c r="G510"/>
  <c r="G512"/>
  <c r="G514"/>
  <c r="G516"/>
  <c r="G518"/>
  <c r="G520"/>
  <c r="G522"/>
  <c r="G524"/>
  <c r="G526"/>
  <c r="G528"/>
  <c r="G530"/>
  <c r="G532"/>
  <c r="G534"/>
  <c r="G536"/>
  <c r="G538"/>
  <c r="G540"/>
  <c r="G542"/>
  <c r="G515"/>
  <c r="G517"/>
  <c r="G519"/>
  <c r="G521"/>
  <c r="G523"/>
  <c r="G525"/>
  <c r="G527"/>
  <c r="G529"/>
  <c r="G531"/>
  <c r="G533"/>
  <c r="G535"/>
  <c r="G537"/>
  <c r="G539"/>
  <c r="G541"/>
  <c r="F14"/>
  <c r="C14" s="1"/>
  <c r="D14" s="1"/>
  <c r="F16"/>
  <c r="C16" s="1"/>
  <c r="D16" s="1"/>
  <c r="F18"/>
  <c r="C18" s="1"/>
  <c r="D18" s="1"/>
  <c r="F20"/>
  <c r="C20" s="1"/>
  <c r="D20" s="1"/>
  <c r="F22"/>
  <c r="C22" s="1"/>
  <c r="D22" s="1"/>
  <c r="F24"/>
  <c r="C24" s="1"/>
  <c r="D24" s="1"/>
  <c r="F26"/>
  <c r="C26" s="1"/>
  <c r="D26" s="1"/>
  <c r="F28"/>
  <c r="C28" s="1"/>
  <c r="D28" s="1"/>
  <c r="F30"/>
  <c r="C30" s="1"/>
  <c r="D30" s="1"/>
  <c r="F32"/>
  <c r="C32" s="1"/>
  <c r="D32" s="1"/>
  <c r="F34"/>
  <c r="C34" s="1"/>
  <c r="D34" s="1"/>
  <c r="F36"/>
  <c r="C36" s="1"/>
  <c r="D36" s="1"/>
  <c r="F38"/>
  <c r="C38" s="1"/>
  <c r="D38" s="1"/>
  <c r="F40"/>
  <c r="C40" s="1"/>
  <c r="D40" s="1"/>
  <c r="F42"/>
  <c r="C42" s="1"/>
  <c r="D42" s="1"/>
  <c r="F44"/>
  <c r="C44" s="1"/>
  <c r="D44" s="1"/>
  <c r="F46"/>
  <c r="C46" s="1"/>
  <c r="D46" s="1"/>
  <c r="F48"/>
  <c r="F50"/>
  <c r="C50" s="1"/>
  <c r="D50" s="1"/>
  <c r="F52"/>
  <c r="C52" s="1"/>
  <c r="D52" s="1"/>
  <c r="F54"/>
  <c r="C54" s="1"/>
  <c r="D54" s="1"/>
  <c r="F56"/>
  <c r="C56" s="1"/>
  <c r="D56" s="1"/>
  <c r="F58"/>
  <c r="C58" s="1"/>
  <c r="D58" s="1"/>
  <c r="F60"/>
  <c r="C60" s="1"/>
  <c r="D60" s="1"/>
  <c r="F62"/>
  <c r="F64"/>
  <c r="C64" s="1"/>
  <c r="D64" s="1"/>
  <c r="F66"/>
  <c r="F68"/>
  <c r="F70"/>
  <c r="C70" s="1"/>
  <c r="D70" s="1"/>
  <c r="F72"/>
  <c r="C72" s="1"/>
  <c r="D72" s="1"/>
  <c r="F74"/>
  <c r="F76"/>
  <c r="F78"/>
  <c r="C78" s="1"/>
  <c r="D78" s="1"/>
  <c r="F80"/>
  <c r="F82"/>
  <c r="F84"/>
  <c r="C84" s="1"/>
  <c r="D84" s="1"/>
  <c r="F86"/>
  <c r="C86" s="1"/>
  <c r="D86" s="1"/>
  <c r="F88"/>
  <c r="F90"/>
  <c r="F92"/>
  <c r="C92" s="1"/>
  <c r="D92" s="1"/>
  <c r="F94"/>
  <c r="C94" s="1"/>
  <c r="D94" s="1"/>
  <c r="F96"/>
  <c r="F98"/>
  <c r="F100"/>
  <c r="F102"/>
  <c r="F104"/>
  <c r="F106"/>
  <c r="F108"/>
  <c r="F110"/>
  <c r="C110" s="1"/>
  <c r="D110" s="1"/>
  <c r="F112"/>
  <c r="F114"/>
  <c r="F116"/>
  <c r="C116" s="1"/>
  <c r="D116" s="1"/>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15"/>
  <c r="C15" s="1"/>
  <c r="D15" s="1"/>
  <c r="F17"/>
  <c r="C17" s="1"/>
  <c r="D17" s="1"/>
  <c r="F19"/>
  <c r="C19" s="1"/>
  <c r="D19" s="1"/>
  <c r="F21"/>
  <c r="C21" s="1"/>
  <c r="D21" s="1"/>
  <c r="F23"/>
  <c r="C23" s="1"/>
  <c r="D23" s="1"/>
  <c r="F25"/>
  <c r="C25" s="1"/>
  <c r="D25" s="1"/>
  <c r="F27"/>
  <c r="C27" s="1"/>
  <c r="D27" s="1"/>
  <c r="F29"/>
  <c r="C29" s="1"/>
  <c r="D29" s="1"/>
  <c r="F31"/>
  <c r="C31" s="1"/>
  <c r="D31" s="1"/>
  <c r="F33"/>
  <c r="C33" s="1"/>
  <c r="D33" s="1"/>
  <c r="F35"/>
  <c r="C35" s="1"/>
  <c r="D35" s="1"/>
  <c r="F37"/>
  <c r="C37" s="1"/>
  <c r="D37" s="1"/>
  <c r="F39"/>
  <c r="C39" s="1"/>
  <c r="D39" s="1"/>
  <c r="F41"/>
  <c r="C41" s="1"/>
  <c r="D41" s="1"/>
  <c r="F43"/>
  <c r="C43" s="1"/>
  <c r="D43" s="1"/>
  <c r="F45"/>
  <c r="C45" s="1"/>
  <c r="D45" s="1"/>
  <c r="F47"/>
  <c r="C47" s="1"/>
  <c r="D47" s="1"/>
  <c r="F49"/>
  <c r="F51"/>
  <c r="C51" s="1"/>
  <c r="D51" s="1"/>
  <c r="F53"/>
  <c r="F55"/>
  <c r="C55" s="1"/>
  <c r="D55" s="1"/>
  <c r="F57"/>
  <c r="C57" s="1"/>
  <c r="D57" s="1"/>
  <c r="F59"/>
  <c r="C59" s="1"/>
  <c r="D59" s="1"/>
  <c r="F61"/>
  <c r="C61" s="1"/>
  <c r="D61" s="1"/>
  <c r="F63"/>
  <c r="F65"/>
  <c r="F67"/>
  <c r="F69"/>
  <c r="F71"/>
  <c r="C71" s="1"/>
  <c r="D71" s="1"/>
  <c r="F73"/>
  <c r="C73" s="1"/>
  <c r="D73" s="1"/>
  <c r="F75"/>
  <c r="C75" s="1"/>
  <c r="D75" s="1"/>
  <c r="F77"/>
  <c r="C77" s="1"/>
  <c r="D77" s="1"/>
  <c r="F79"/>
  <c r="F81"/>
  <c r="C81" s="1"/>
  <c r="D81" s="1"/>
  <c r="F83"/>
  <c r="C83" s="1"/>
  <c r="D83" s="1"/>
  <c r="F85"/>
  <c r="F87"/>
  <c r="F89"/>
  <c r="C89" s="1"/>
  <c r="D89" s="1"/>
  <c r="F91"/>
  <c r="C91" s="1"/>
  <c r="D91" s="1"/>
  <c r="F93"/>
  <c r="F95"/>
  <c r="F97"/>
  <c r="C97" s="1"/>
  <c r="D97" s="1"/>
  <c r="F99"/>
  <c r="C99" s="1"/>
  <c r="D99" s="1"/>
  <c r="F101"/>
  <c r="F103"/>
  <c r="F105"/>
  <c r="F107"/>
  <c r="F109"/>
  <c r="F111"/>
  <c r="F113"/>
  <c r="C113" s="1"/>
  <c r="D113" s="1"/>
  <c r="F115"/>
  <c r="F117"/>
  <c r="F119"/>
  <c r="F121"/>
  <c r="C121" s="1"/>
  <c r="D121" s="1"/>
  <c r="F123"/>
  <c r="F125"/>
  <c r="F127"/>
  <c r="F129"/>
  <c r="C129" s="1"/>
  <c r="D129" s="1"/>
  <c r="F131"/>
  <c r="C131" s="1"/>
  <c r="D131" s="1"/>
  <c r="F133"/>
  <c r="C133" s="1"/>
  <c r="D133" s="1"/>
  <c r="F135"/>
  <c r="F137"/>
  <c r="C137" s="1"/>
  <c r="D137" s="1"/>
  <c r="F139"/>
  <c r="F141"/>
  <c r="F143"/>
  <c r="C143" s="1"/>
  <c r="D143" s="1"/>
  <c r="F145"/>
  <c r="C145" s="1"/>
  <c r="D145" s="1"/>
  <c r="F147"/>
  <c r="F149"/>
  <c r="F151"/>
  <c r="F153"/>
  <c r="F155"/>
  <c r="C155" s="1"/>
  <c r="D155" s="1"/>
  <c r="F157"/>
  <c r="C157" s="1"/>
  <c r="D157" s="1"/>
  <c r="F159"/>
  <c r="F161"/>
  <c r="F163"/>
  <c r="C163" s="1"/>
  <c r="D163" s="1"/>
  <c r="F165"/>
  <c r="C165" s="1"/>
  <c r="D165" s="1"/>
  <c r="F167"/>
  <c r="F169"/>
  <c r="F171"/>
  <c r="C171" s="1"/>
  <c r="D171" s="1"/>
  <c r="F173"/>
  <c r="C173" s="1"/>
  <c r="D173" s="1"/>
  <c r="F175"/>
  <c r="F177"/>
  <c r="F179"/>
  <c r="F181"/>
  <c r="C181" s="1"/>
  <c r="D181" s="1"/>
  <c r="F183"/>
  <c r="F185"/>
  <c r="F187"/>
  <c r="C187" s="1"/>
  <c r="D187" s="1"/>
  <c r="F189"/>
  <c r="C189" s="1"/>
  <c r="D189" s="1"/>
  <c r="F191"/>
  <c r="F193"/>
  <c r="F195"/>
  <c r="C195" s="1"/>
  <c r="D195" s="1"/>
  <c r="F197"/>
  <c r="C197" s="1"/>
  <c r="D197" s="1"/>
  <c r="F199"/>
  <c r="F201"/>
  <c r="F203"/>
  <c r="C203" s="1"/>
  <c r="D203" s="1"/>
  <c r="F205"/>
  <c r="F207"/>
  <c r="F209"/>
  <c r="F211"/>
  <c r="F213"/>
  <c r="F215"/>
  <c r="F217"/>
  <c r="F219"/>
  <c r="F221"/>
  <c r="F223"/>
  <c r="F225"/>
  <c r="F227"/>
  <c r="C227" s="1"/>
  <c r="D227" s="1"/>
  <c r="F229"/>
  <c r="C229" s="1"/>
  <c r="D229" s="1"/>
  <c r="F231"/>
  <c r="F233"/>
  <c r="F235"/>
  <c r="C235" s="1"/>
  <c r="D235" s="1"/>
  <c r="F237"/>
  <c r="C237" s="1"/>
  <c r="D237" s="1"/>
  <c r="F239"/>
  <c r="F241"/>
  <c r="F243"/>
  <c r="F245"/>
  <c r="C245" s="1"/>
  <c r="D245" s="1"/>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42"/>
  <c r="F540"/>
  <c r="F538"/>
  <c r="F536"/>
  <c r="F534"/>
  <c r="F532"/>
  <c r="F530"/>
  <c r="F528"/>
  <c r="F541"/>
  <c r="F539"/>
  <c r="F537"/>
  <c r="F535"/>
  <c r="F533"/>
  <c r="F531"/>
  <c r="F529"/>
  <c r="F527"/>
  <c r="I250"/>
  <c r="I252"/>
  <c r="I254"/>
  <c r="I256"/>
  <c r="I251"/>
  <c r="I253"/>
  <c r="I255"/>
  <c r="I257"/>
  <c r="I259"/>
  <c r="I261"/>
  <c r="I263"/>
  <c r="I265"/>
  <c r="I267"/>
  <c r="I269"/>
  <c r="I271"/>
  <c r="I273"/>
  <c r="I275"/>
  <c r="I277"/>
  <c r="I279"/>
  <c r="I281"/>
  <c r="I283"/>
  <c r="I285"/>
  <c r="I287"/>
  <c r="I289"/>
  <c r="I291"/>
  <c r="I293"/>
  <c r="I295"/>
  <c r="I297"/>
  <c r="I299"/>
  <c r="I301"/>
  <c r="I303"/>
  <c r="I305"/>
  <c r="I307"/>
  <c r="I309"/>
  <c r="I311"/>
  <c r="I313"/>
  <c r="I315"/>
  <c r="I317"/>
  <c r="I319"/>
  <c r="I321"/>
  <c r="I323"/>
  <c r="I325"/>
  <c r="I327"/>
  <c r="I329"/>
  <c r="I331"/>
  <c r="I333"/>
  <c r="I335"/>
  <c r="I337"/>
  <c r="I339"/>
  <c r="I341"/>
  <c r="I343"/>
  <c r="I345"/>
  <c r="I347"/>
  <c r="I349"/>
  <c r="I351"/>
  <c r="I353"/>
  <c r="I355"/>
  <c r="I357"/>
  <c r="I359"/>
  <c r="I361"/>
  <c r="I363"/>
  <c r="I365"/>
  <c r="I367"/>
  <c r="I369"/>
  <c r="I371"/>
  <c r="I373"/>
  <c r="I375"/>
  <c r="I377"/>
  <c r="I379"/>
  <c r="I381"/>
  <c r="I383"/>
  <c r="I385"/>
  <c r="I387"/>
  <c r="I389"/>
  <c r="I391"/>
  <c r="I393"/>
  <c r="I395"/>
  <c r="I397"/>
  <c r="I399"/>
  <c r="I401"/>
  <c r="I403"/>
  <c r="I405"/>
  <c r="I407"/>
  <c r="I409"/>
  <c r="I411"/>
  <c r="I413"/>
  <c r="I415"/>
  <c r="I417"/>
  <c r="I419"/>
  <c r="I421"/>
  <c r="I423"/>
  <c r="I425"/>
  <c r="I427"/>
  <c r="I429"/>
  <c r="I431"/>
  <c r="I433"/>
  <c r="I435"/>
  <c r="I437"/>
  <c r="I439"/>
  <c r="I441"/>
  <c r="I443"/>
  <c r="I445"/>
  <c r="I447"/>
  <c r="I449"/>
  <c r="I451"/>
  <c r="I453"/>
  <c r="I455"/>
  <c r="I457"/>
  <c r="I459"/>
  <c r="I461"/>
  <c r="I463"/>
  <c r="I465"/>
  <c r="I467"/>
  <c r="I469"/>
  <c r="I471"/>
  <c r="I473"/>
  <c r="I475"/>
  <c r="I477"/>
  <c r="I479"/>
  <c r="I481"/>
  <c r="I483"/>
  <c r="I485"/>
  <c r="I487"/>
  <c r="I489"/>
  <c r="I491"/>
  <c r="I493"/>
  <c r="I495"/>
  <c r="I497"/>
  <c r="I499"/>
  <c r="I501"/>
  <c r="I503"/>
  <c r="I505"/>
  <c r="I507"/>
  <c r="I509"/>
  <c r="I511"/>
  <c r="I513"/>
  <c r="I258"/>
  <c r="I260"/>
  <c r="I262"/>
  <c r="I264"/>
  <c r="I266"/>
  <c r="I268"/>
  <c r="I270"/>
  <c r="I272"/>
  <c r="I274"/>
  <c r="I276"/>
  <c r="I278"/>
  <c r="I280"/>
  <c r="I282"/>
  <c r="I284"/>
  <c r="I286"/>
  <c r="I288"/>
  <c r="I290"/>
  <c r="I292"/>
  <c r="I294"/>
  <c r="I296"/>
  <c r="I298"/>
  <c r="I300"/>
  <c r="I302"/>
  <c r="I304"/>
  <c r="I306"/>
  <c r="I308"/>
  <c r="I310"/>
  <c r="I312"/>
  <c r="I314"/>
  <c r="I316"/>
  <c r="I318"/>
  <c r="I320"/>
  <c r="I322"/>
  <c r="I324"/>
  <c r="I326"/>
  <c r="I328"/>
  <c r="I330"/>
  <c r="I332"/>
  <c r="I334"/>
  <c r="I336"/>
  <c r="I338"/>
  <c r="I340"/>
  <c r="I342"/>
  <c r="I344"/>
  <c r="I346"/>
  <c r="I348"/>
  <c r="I350"/>
  <c r="I352"/>
  <c r="I354"/>
  <c r="I356"/>
  <c r="I358"/>
  <c r="I360"/>
  <c r="I362"/>
  <c r="I364"/>
  <c r="I366"/>
  <c r="I368"/>
  <c r="I370"/>
  <c r="I372"/>
  <c r="I374"/>
  <c r="I376"/>
  <c r="I378"/>
  <c r="I380"/>
  <c r="I382"/>
  <c r="I384"/>
  <c r="I386"/>
  <c r="I388"/>
  <c r="I390"/>
  <c r="I392"/>
  <c r="I394"/>
  <c r="I396"/>
  <c r="I398"/>
  <c r="I400"/>
  <c r="I402"/>
  <c r="I404"/>
  <c r="I406"/>
  <c r="I408"/>
  <c r="I410"/>
  <c r="I412"/>
  <c r="I414"/>
  <c r="I416"/>
  <c r="I418"/>
  <c r="I420"/>
  <c r="I422"/>
  <c r="I424"/>
  <c r="I426"/>
  <c r="I428"/>
  <c r="I430"/>
  <c r="I432"/>
  <c r="I434"/>
  <c r="I436"/>
  <c r="I438"/>
  <c r="I440"/>
  <c r="I442"/>
  <c r="I444"/>
  <c r="I446"/>
  <c r="I448"/>
  <c r="I450"/>
  <c r="I452"/>
  <c r="I454"/>
  <c r="I456"/>
  <c r="I458"/>
  <c r="I460"/>
  <c r="I462"/>
  <c r="I464"/>
  <c r="I466"/>
  <c r="I468"/>
  <c r="I470"/>
  <c r="I472"/>
  <c r="I474"/>
  <c r="I476"/>
  <c r="I478"/>
  <c r="I480"/>
  <c r="I482"/>
  <c r="I484"/>
  <c r="I486"/>
  <c r="I488"/>
  <c r="I490"/>
  <c r="I492"/>
  <c r="I494"/>
  <c r="I496"/>
  <c r="I498"/>
  <c r="I500"/>
  <c r="I502"/>
  <c r="I504"/>
  <c r="I506"/>
  <c r="I508"/>
  <c r="I510"/>
  <c r="I512"/>
  <c r="I515"/>
  <c r="I517"/>
  <c r="I519"/>
  <c r="I521"/>
  <c r="I523"/>
  <c r="I525"/>
  <c r="I527"/>
  <c r="I529"/>
  <c r="I531"/>
  <c r="I533"/>
  <c r="I535"/>
  <c r="I537"/>
  <c r="I539"/>
  <c r="I541"/>
  <c r="I514"/>
  <c r="I516"/>
  <c r="I518"/>
  <c r="I520"/>
  <c r="I522"/>
  <c r="I524"/>
  <c r="I526"/>
  <c r="I528"/>
  <c r="I530"/>
  <c r="I532"/>
  <c r="I534"/>
  <c r="I536"/>
  <c r="I538"/>
  <c r="I540"/>
  <c r="I542"/>
  <c r="K2"/>
  <c r="H2"/>
  <c r="O2"/>
  <c r="L2"/>
  <c r="I2"/>
  <c r="B16" i="2"/>
  <c r="G2" i="4"/>
  <c r="C100" l="1"/>
  <c r="D100" s="1"/>
  <c r="C102"/>
  <c r="D102" s="1"/>
  <c r="C48"/>
  <c r="D48" s="1"/>
  <c r="C105"/>
  <c r="D105" s="1"/>
  <c r="C49"/>
  <c r="D49" s="1"/>
  <c r="C107"/>
  <c r="D107" s="1"/>
  <c r="C108"/>
  <c r="D108" s="1"/>
  <c r="C179"/>
  <c r="D179" s="1"/>
  <c r="C127"/>
  <c r="D127" s="1"/>
  <c r="C123"/>
  <c r="D123" s="1"/>
  <c r="C119"/>
  <c r="D119" s="1"/>
  <c r="C115"/>
  <c r="D115" s="1"/>
  <c r="C53"/>
  <c r="D53" s="1"/>
  <c r="C125"/>
  <c r="D125" s="1"/>
  <c r="C151"/>
  <c r="D151" s="1"/>
  <c r="C147"/>
  <c r="D147" s="1"/>
  <c r="C139"/>
  <c r="D139" s="1"/>
  <c r="C135"/>
  <c r="D135" s="1"/>
  <c r="C67"/>
  <c r="D67" s="1"/>
  <c r="C63"/>
  <c r="D63" s="1"/>
  <c r="C68"/>
  <c r="D68" s="1"/>
  <c r="C213"/>
  <c r="D213" s="1"/>
  <c r="C205"/>
  <c r="D205" s="1"/>
  <c r="C149"/>
  <c r="D149" s="1"/>
  <c r="C141"/>
  <c r="D141" s="1"/>
  <c r="C69"/>
  <c r="D69" s="1"/>
  <c r="C65"/>
  <c r="D65" s="1"/>
  <c r="C142"/>
  <c r="D142" s="1"/>
  <c r="C66"/>
  <c r="D66" s="1"/>
  <c r="C62"/>
  <c r="D62" s="1"/>
  <c r="C200"/>
  <c r="D200" s="1"/>
  <c r="C243"/>
  <c r="D243" s="1"/>
  <c r="C219"/>
  <c r="D219" s="1"/>
  <c r="C211"/>
  <c r="D211" s="1"/>
  <c r="C111"/>
  <c r="D111" s="1"/>
  <c r="C221"/>
  <c r="D221" s="1"/>
  <c r="C124"/>
  <c r="D124" s="1"/>
  <c r="C247"/>
  <c r="D247" s="1"/>
  <c r="C239"/>
  <c r="D239" s="1"/>
  <c r="C231"/>
  <c r="D231" s="1"/>
  <c r="C223"/>
  <c r="D223" s="1"/>
  <c r="C215"/>
  <c r="D215" s="1"/>
  <c r="C207"/>
  <c r="D207" s="1"/>
  <c r="C199"/>
  <c r="D199" s="1"/>
  <c r="C191"/>
  <c r="D191" s="1"/>
  <c r="C183"/>
  <c r="D183" s="1"/>
  <c r="C175"/>
  <c r="D175" s="1"/>
  <c r="C167"/>
  <c r="D167" s="1"/>
  <c r="C159"/>
  <c r="D159" s="1"/>
  <c r="C103"/>
  <c r="D103" s="1"/>
  <c r="C95"/>
  <c r="D95" s="1"/>
  <c r="C87"/>
  <c r="D87" s="1"/>
  <c r="C79"/>
  <c r="D79" s="1"/>
  <c r="C156"/>
  <c r="D156" s="1"/>
  <c r="C112"/>
  <c r="D112" s="1"/>
  <c r="C104"/>
  <c r="D104" s="1"/>
  <c r="C96"/>
  <c r="D96" s="1"/>
  <c r="C88"/>
  <c r="D88" s="1"/>
  <c r="C80"/>
  <c r="D80" s="1"/>
  <c r="C76"/>
  <c r="D76" s="1"/>
  <c r="C93"/>
  <c r="D93" s="1"/>
  <c r="C206"/>
  <c r="D206" s="1"/>
  <c r="C74"/>
  <c r="D74" s="1"/>
  <c r="C513"/>
  <c r="D513" s="1"/>
  <c r="C509"/>
  <c r="D509" s="1"/>
  <c r="C505"/>
  <c r="D505" s="1"/>
  <c r="C501"/>
  <c r="D501" s="1"/>
  <c r="C497"/>
  <c r="D497" s="1"/>
  <c r="C493"/>
  <c r="D493" s="1"/>
  <c r="C489"/>
  <c r="D489" s="1"/>
  <c r="C485"/>
  <c r="D485" s="1"/>
  <c r="C481"/>
  <c r="D481" s="1"/>
  <c r="C477"/>
  <c r="D477" s="1"/>
  <c r="C473"/>
  <c r="D473" s="1"/>
  <c r="C469"/>
  <c r="D469" s="1"/>
  <c r="C465"/>
  <c r="D465" s="1"/>
  <c r="C461"/>
  <c r="D461" s="1"/>
  <c r="C457"/>
  <c r="D457" s="1"/>
  <c r="C453"/>
  <c r="D453" s="1"/>
  <c r="C449"/>
  <c r="D449" s="1"/>
  <c r="C445"/>
  <c r="D445" s="1"/>
  <c r="C441"/>
  <c r="D441" s="1"/>
  <c r="C437"/>
  <c r="D437" s="1"/>
  <c r="C433"/>
  <c r="D433" s="1"/>
  <c r="C429"/>
  <c r="D429" s="1"/>
  <c r="C425"/>
  <c r="D425" s="1"/>
  <c r="C421"/>
  <c r="D421" s="1"/>
  <c r="C417"/>
  <c r="D417" s="1"/>
  <c r="C413"/>
  <c r="D413" s="1"/>
  <c r="C409"/>
  <c r="D409" s="1"/>
  <c r="C405"/>
  <c r="D405" s="1"/>
  <c r="C401"/>
  <c r="D401" s="1"/>
  <c r="C397"/>
  <c r="D397" s="1"/>
  <c r="C393"/>
  <c r="D393" s="1"/>
  <c r="C389"/>
  <c r="D389" s="1"/>
  <c r="C385"/>
  <c r="D385" s="1"/>
  <c r="C381"/>
  <c r="D381" s="1"/>
  <c r="C377"/>
  <c r="D377" s="1"/>
  <c r="C373"/>
  <c r="D373" s="1"/>
  <c r="C369"/>
  <c r="D369" s="1"/>
  <c r="C365"/>
  <c r="D365" s="1"/>
  <c r="C361"/>
  <c r="D361" s="1"/>
  <c r="C357"/>
  <c r="D357" s="1"/>
  <c r="C353"/>
  <c r="D353" s="1"/>
  <c r="C349"/>
  <c r="D349" s="1"/>
  <c r="C345"/>
  <c r="D345" s="1"/>
  <c r="C341"/>
  <c r="D341" s="1"/>
  <c r="C337"/>
  <c r="D337" s="1"/>
  <c r="C333"/>
  <c r="D333" s="1"/>
  <c r="C329"/>
  <c r="D329" s="1"/>
  <c r="C325"/>
  <c r="D325" s="1"/>
  <c r="C321"/>
  <c r="D321" s="1"/>
  <c r="C317"/>
  <c r="D317" s="1"/>
  <c r="C313"/>
  <c r="D313" s="1"/>
  <c r="C309"/>
  <c r="D309" s="1"/>
  <c r="C305"/>
  <c r="D305" s="1"/>
  <c r="C301"/>
  <c r="D301" s="1"/>
  <c r="C297"/>
  <c r="D297" s="1"/>
  <c r="C293"/>
  <c r="D293" s="1"/>
  <c r="C289"/>
  <c r="D289" s="1"/>
  <c r="C285"/>
  <c r="D285" s="1"/>
  <c r="C281"/>
  <c r="D281" s="1"/>
  <c r="C277"/>
  <c r="D277" s="1"/>
  <c r="C273"/>
  <c r="D273" s="1"/>
  <c r="C269"/>
  <c r="D269" s="1"/>
  <c r="C265"/>
  <c r="D265" s="1"/>
  <c r="C261"/>
  <c r="D261" s="1"/>
  <c r="C257"/>
  <c r="D257" s="1"/>
  <c r="C253"/>
  <c r="D253" s="1"/>
  <c r="C248"/>
  <c r="D248" s="1"/>
  <c r="C240"/>
  <c r="D240" s="1"/>
  <c r="C232"/>
  <c r="D232" s="1"/>
  <c r="C224"/>
  <c r="D224" s="1"/>
  <c r="C216"/>
  <c r="D216" s="1"/>
  <c r="C208"/>
  <c r="D208" s="1"/>
  <c r="C192"/>
  <c r="D192" s="1"/>
  <c r="C184"/>
  <c r="D184" s="1"/>
  <c r="C176"/>
  <c r="D176" s="1"/>
  <c r="C172"/>
  <c r="D172" s="1"/>
  <c r="C168"/>
  <c r="D168" s="1"/>
  <c r="C164"/>
  <c r="D164" s="1"/>
  <c r="C160"/>
  <c r="D160" s="1"/>
  <c r="C152"/>
  <c r="D152" s="1"/>
  <c r="C148"/>
  <c r="D148" s="1"/>
  <c r="C144"/>
  <c r="D144" s="1"/>
  <c r="C140"/>
  <c r="D140" s="1"/>
  <c r="C136"/>
  <c r="D136" s="1"/>
  <c r="C132"/>
  <c r="D132" s="1"/>
  <c r="C128"/>
  <c r="D128" s="1"/>
  <c r="C120"/>
  <c r="D120" s="1"/>
  <c r="C238"/>
  <c r="D238" s="1"/>
  <c r="C174"/>
  <c r="D174" s="1"/>
  <c r="C542"/>
  <c r="D542" s="1"/>
  <c r="C538"/>
  <c r="D538" s="1"/>
  <c r="C534"/>
  <c r="D534" s="1"/>
  <c r="C530"/>
  <c r="D530" s="1"/>
  <c r="C523"/>
  <c r="D523" s="1"/>
  <c r="C519"/>
  <c r="D519" s="1"/>
  <c r="C515"/>
  <c r="D515" s="1"/>
  <c r="C511"/>
  <c r="D511" s="1"/>
  <c r="C507"/>
  <c r="D507" s="1"/>
  <c r="C503"/>
  <c r="D503" s="1"/>
  <c r="C499"/>
  <c r="D499" s="1"/>
  <c r="C495"/>
  <c r="D495" s="1"/>
  <c r="C491"/>
  <c r="D491" s="1"/>
  <c r="C487"/>
  <c r="D487" s="1"/>
  <c r="C483"/>
  <c r="D483" s="1"/>
  <c r="C479"/>
  <c r="D479" s="1"/>
  <c r="C475"/>
  <c r="D475" s="1"/>
  <c r="C471"/>
  <c r="D471" s="1"/>
  <c r="C467"/>
  <c r="D467" s="1"/>
  <c r="C463"/>
  <c r="D463" s="1"/>
  <c r="C459"/>
  <c r="D459" s="1"/>
  <c r="C455"/>
  <c r="D455" s="1"/>
  <c r="C451"/>
  <c r="D451" s="1"/>
  <c r="C447"/>
  <c r="D447" s="1"/>
  <c r="C443"/>
  <c r="D443" s="1"/>
  <c r="C439"/>
  <c r="D439" s="1"/>
  <c r="C435"/>
  <c r="D435" s="1"/>
  <c r="C431"/>
  <c r="D431" s="1"/>
  <c r="C427"/>
  <c r="D427" s="1"/>
  <c r="C423"/>
  <c r="D423" s="1"/>
  <c r="C419"/>
  <c r="D419" s="1"/>
  <c r="C415"/>
  <c r="D415" s="1"/>
  <c r="C411"/>
  <c r="D411" s="1"/>
  <c r="C407"/>
  <c r="D407" s="1"/>
  <c r="C403"/>
  <c r="D403" s="1"/>
  <c r="C399"/>
  <c r="D399" s="1"/>
  <c r="C395"/>
  <c r="D395" s="1"/>
  <c r="C391"/>
  <c r="D391" s="1"/>
  <c r="C387"/>
  <c r="D387" s="1"/>
  <c r="C383"/>
  <c r="D383" s="1"/>
  <c r="C379"/>
  <c r="D379" s="1"/>
  <c r="C375"/>
  <c r="D375" s="1"/>
  <c r="C371"/>
  <c r="D371" s="1"/>
  <c r="C367"/>
  <c r="D367" s="1"/>
  <c r="C363"/>
  <c r="D363" s="1"/>
  <c r="C359"/>
  <c r="D359" s="1"/>
  <c r="C355"/>
  <c r="D355" s="1"/>
  <c r="C351"/>
  <c r="D351" s="1"/>
  <c r="C347"/>
  <c r="D347" s="1"/>
  <c r="C343"/>
  <c r="D343" s="1"/>
  <c r="C339"/>
  <c r="D339" s="1"/>
  <c r="C335"/>
  <c r="D335" s="1"/>
  <c r="C331"/>
  <c r="D331" s="1"/>
  <c r="C327"/>
  <c r="D327" s="1"/>
  <c r="C323"/>
  <c r="D323" s="1"/>
  <c r="C319"/>
  <c r="D319" s="1"/>
  <c r="C315"/>
  <c r="D315" s="1"/>
  <c r="C311"/>
  <c r="D311" s="1"/>
  <c r="C307"/>
  <c r="D307" s="1"/>
  <c r="C303"/>
  <c r="D303" s="1"/>
  <c r="C299"/>
  <c r="D299" s="1"/>
  <c r="C295"/>
  <c r="D295" s="1"/>
  <c r="C291"/>
  <c r="D291" s="1"/>
  <c r="C287"/>
  <c r="D287" s="1"/>
  <c r="C283"/>
  <c r="D283" s="1"/>
  <c r="C279"/>
  <c r="D279" s="1"/>
  <c r="C275"/>
  <c r="D275" s="1"/>
  <c r="C271"/>
  <c r="D271" s="1"/>
  <c r="C267"/>
  <c r="D267" s="1"/>
  <c r="C263"/>
  <c r="D263" s="1"/>
  <c r="C259"/>
  <c r="D259" s="1"/>
  <c r="C255"/>
  <c r="D255" s="1"/>
  <c r="C251"/>
  <c r="D251" s="1"/>
  <c r="C222"/>
  <c r="D222" s="1"/>
  <c r="C190"/>
  <c r="D190" s="1"/>
  <c r="C158"/>
  <c r="D158" s="1"/>
  <c r="C126"/>
  <c r="D126" s="1"/>
  <c r="C109"/>
  <c r="D109" s="1"/>
  <c r="C246"/>
  <c r="D246" s="1"/>
  <c r="C230"/>
  <c r="D230" s="1"/>
  <c r="C214"/>
  <c r="D214" s="1"/>
  <c r="C198"/>
  <c r="D198" s="1"/>
  <c r="C182"/>
  <c r="D182" s="1"/>
  <c r="C166"/>
  <c r="D166" s="1"/>
  <c r="C150"/>
  <c r="D150" s="1"/>
  <c r="C134"/>
  <c r="D134" s="1"/>
  <c r="C118"/>
  <c r="D118" s="1"/>
  <c r="C85"/>
  <c r="D85" s="1"/>
  <c r="C101"/>
  <c r="D101" s="1"/>
  <c r="C117"/>
  <c r="D117" s="1"/>
  <c r="C540"/>
  <c r="D540" s="1"/>
  <c r="C536"/>
  <c r="D536" s="1"/>
  <c r="C532"/>
  <c r="D532" s="1"/>
  <c r="C528"/>
  <c r="D528" s="1"/>
  <c r="C524"/>
  <c r="D524" s="1"/>
  <c r="C520"/>
  <c r="D520" s="1"/>
  <c r="C516"/>
  <c r="D516" s="1"/>
  <c r="C541"/>
  <c r="D541" s="1"/>
  <c r="C537"/>
  <c r="D537" s="1"/>
  <c r="C533"/>
  <c r="D533" s="1"/>
  <c r="C529"/>
  <c r="D529" s="1"/>
  <c r="C525"/>
  <c r="D525" s="1"/>
  <c r="C521"/>
  <c r="D521" s="1"/>
  <c r="C517"/>
  <c r="D517" s="1"/>
  <c r="C512"/>
  <c r="D512" s="1"/>
  <c r="C508"/>
  <c r="D508" s="1"/>
  <c r="C504"/>
  <c r="D504" s="1"/>
  <c r="C500"/>
  <c r="D500" s="1"/>
  <c r="C496"/>
  <c r="D496" s="1"/>
  <c r="C492"/>
  <c r="D492" s="1"/>
  <c r="C488"/>
  <c r="D488" s="1"/>
  <c r="C484"/>
  <c r="D484" s="1"/>
  <c r="C480"/>
  <c r="D480" s="1"/>
  <c r="C476"/>
  <c r="D476" s="1"/>
  <c r="C472"/>
  <c r="D472" s="1"/>
  <c r="C468"/>
  <c r="D468" s="1"/>
  <c r="C464"/>
  <c r="D464" s="1"/>
  <c r="C460"/>
  <c r="D460" s="1"/>
  <c r="C456"/>
  <c r="D456" s="1"/>
  <c r="C452"/>
  <c r="D452" s="1"/>
  <c r="C448"/>
  <c r="D448" s="1"/>
  <c r="C444"/>
  <c r="D444" s="1"/>
  <c r="C440"/>
  <c r="D440" s="1"/>
  <c r="C436"/>
  <c r="D436" s="1"/>
  <c r="C432"/>
  <c r="D432" s="1"/>
  <c r="C428"/>
  <c r="D428" s="1"/>
  <c r="C424"/>
  <c r="D424" s="1"/>
  <c r="C420"/>
  <c r="D420" s="1"/>
  <c r="C416"/>
  <c r="D416" s="1"/>
  <c r="C412"/>
  <c r="D412" s="1"/>
  <c r="C408"/>
  <c r="D408" s="1"/>
  <c r="C404"/>
  <c r="D404" s="1"/>
  <c r="C400"/>
  <c r="D400" s="1"/>
  <c r="C396"/>
  <c r="D396" s="1"/>
  <c r="C392"/>
  <c r="D392" s="1"/>
  <c r="C388"/>
  <c r="D388" s="1"/>
  <c r="C384"/>
  <c r="D384" s="1"/>
  <c r="C380"/>
  <c r="D380" s="1"/>
  <c r="C376"/>
  <c r="D376" s="1"/>
  <c r="C372"/>
  <c r="D372" s="1"/>
  <c r="C368"/>
  <c r="D368" s="1"/>
  <c r="C364"/>
  <c r="D364" s="1"/>
  <c r="C360"/>
  <c r="D360" s="1"/>
  <c r="C356"/>
  <c r="D356" s="1"/>
  <c r="C352"/>
  <c r="D352" s="1"/>
  <c r="C348"/>
  <c r="D348" s="1"/>
  <c r="C344"/>
  <c r="D344" s="1"/>
  <c r="C340"/>
  <c r="D340" s="1"/>
  <c r="C336"/>
  <c r="D336" s="1"/>
  <c r="C332"/>
  <c r="D332" s="1"/>
  <c r="C328"/>
  <c r="D328" s="1"/>
  <c r="C324"/>
  <c r="D324" s="1"/>
  <c r="C320"/>
  <c r="D320" s="1"/>
  <c r="C316"/>
  <c r="D316" s="1"/>
  <c r="C312"/>
  <c r="D312" s="1"/>
  <c r="C308"/>
  <c r="D308" s="1"/>
  <c r="C304"/>
  <c r="D304" s="1"/>
  <c r="C300"/>
  <c r="D300" s="1"/>
  <c r="C296"/>
  <c r="D296" s="1"/>
  <c r="C292"/>
  <c r="D292" s="1"/>
  <c r="C288"/>
  <c r="D288" s="1"/>
  <c r="C284"/>
  <c r="D284" s="1"/>
  <c r="C280"/>
  <c r="D280" s="1"/>
  <c r="C276"/>
  <c r="D276" s="1"/>
  <c r="C272"/>
  <c r="D272" s="1"/>
  <c r="C268"/>
  <c r="D268" s="1"/>
  <c r="C264"/>
  <c r="D264" s="1"/>
  <c r="C260"/>
  <c r="D260" s="1"/>
  <c r="C256"/>
  <c r="D256" s="1"/>
  <c r="C252"/>
  <c r="D252" s="1"/>
  <c r="C249"/>
  <c r="D249" s="1"/>
  <c r="C241"/>
  <c r="D241" s="1"/>
  <c r="C233"/>
  <c r="D233" s="1"/>
  <c r="C225"/>
  <c r="D225" s="1"/>
  <c r="C217"/>
  <c r="D217" s="1"/>
  <c r="C209"/>
  <c r="D209" s="1"/>
  <c r="C201"/>
  <c r="D201" s="1"/>
  <c r="C193"/>
  <c r="D193" s="1"/>
  <c r="C185"/>
  <c r="D185" s="1"/>
  <c r="C177"/>
  <c r="D177" s="1"/>
  <c r="C169"/>
  <c r="D169" s="1"/>
  <c r="C161"/>
  <c r="D161" s="1"/>
  <c r="C153"/>
  <c r="D153" s="1"/>
  <c r="C242"/>
  <c r="D242" s="1"/>
  <c r="C234"/>
  <c r="D234" s="1"/>
  <c r="C226"/>
  <c r="D226" s="1"/>
  <c r="C218"/>
  <c r="D218" s="1"/>
  <c r="C210"/>
  <c r="D210" s="1"/>
  <c r="C202"/>
  <c r="D202" s="1"/>
  <c r="C194"/>
  <c r="D194" s="1"/>
  <c r="C186"/>
  <c r="D186" s="1"/>
  <c r="C178"/>
  <c r="D178" s="1"/>
  <c r="C170"/>
  <c r="D170" s="1"/>
  <c r="C162"/>
  <c r="D162" s="1"/>
  <c r="C154"/>
  <c r="D154" s="1"/>
  <c r="C146"/>
  <c r="D146" s="1"/>
  <c r="C138"/>
  <c r="D138" s="1"/>
  <c r="C130"/>
  <c r="D130" s="1"/>
  <c r="C122"/>
  <c r="D122" s="1"/>
  <c r="C114"/>
  <c r="D114" s="1"/>
  <c r="C106"/>
  <c r="D106" s="1"/>
  <c r="C98"/>
  <c r="D98" s="1"/>
  <c r="C90"/>
  <c r="D90" s="1"/>
  <c r="C82"/>
  <c r="D82" s="1"/>
  <c r="C244"/>
  <c r="D244" s="1"/>
  <c r="C236"/>
  <c r="D236" s="1"/>
  <c r="C228"/>
  <c r="D228" s="1"/>
  <c r="C220"/>
  <c r="D220" s="1"/>
  <c r="C212"/>
  <c r="D212" s="1"/>
  <c r="C204"/>
  <c r="D204" s="1"/>
  <c r="C196"/>
  <c r="D196" s="1"/>
  <c r="C188"/>
  <c r="D188" s="1"/>
  <c r="C180"/>
  <c r="D180" s="1"/>
  <c r="C526"/>
  <c r="D526" s="1"/>
  <c r="C522"/>
  <c r="D522" s="1"/>
  <c r="C518"/>
  <c r="D518" s="1"/>
  <c r="C514"/>
  <c r="D514" s="1"/>
  <c r="C539"/>
  <c r="D539" s="1"/>
  <c r="C535"/>
  <c r="D535" s="1"/>
  <c r="C531"/>
  <c r="D531" s="1"/>
  <c r="C527"/>
  <c r="D527" s="1"/>
  <c r="C510"/>
  <c r="D510" s="1"/>
  <c r="C506"/>
  <c r="D506" s="1"/>
  <c r="C502"/>
  <c r="D502" s="1"/>
  <c r="C498"/>
  <c r="D498" s="1"/>
  <c r="C494"/>
  <c r="D494" s="1"/>
  <c r="C490"/>
  <c r="D490" s="1"/>
  <c r="C486"/>
  <c r="D486" s="1"/>
  <c r="C482"/>
  <c r="D482" s="1"/>
  <c r="C478"/>
  <c r="D478" s="1"/>
  <c r="C474"/>
  <c r="D474" s="1"/>
  <c r="C470"/>
  <c r="D470" s="1"/>
  <c r="C466"/>
  <c r="D466" s="1"/>
  <c r="C462"/>
  <c r="D462" s="1"/>
  <c r="C458"/>
  <c r="D458" s="1"/>
  <c r="C454"/>
  <c r="D454" s="1"/>
  <c r="C450"/>
  <c r="D450" s="1"/>
  <c r="C446"/>
  <c r="D446" s="1"/>
  <c r="C442"/>
  <c r="D442" s="1"/>
  <c r="C438"/>
  <c r="D438" s="1"/>
  <c r="C434"/>
  <c r="D434" s="1"/>
  <c r="C430"/>
  <c r="D430" s="1"/>
  <c r="C426"/>
  <c r="D426" s="1"/>
  <c r="C422"/>
  <c r="D422" s="1"/>
  <c r="C418"/>
  <c r="D418" s="1"/>
  <c r="C414"/>
  <c r="D414" s="1"/>
  <c r="C410"/>
  <c r="D410" s="1"/>
  <c r="C406"/>
  <c r="D406" s="1"/>
  <c r="C402"/>
  <c r="D402" s="1"/>
  <c r="C398"/>
  <c r="D398" s="1"/>
  <c r="C394"/>
  <c r="D394" s="1"/>
  <c r="C390"/>
  <c r="D390" s="1"/>
  <c r="C386"/>
  <c r="D386" s="1"/>
  <c r="C382"/>
  <c r="D382" s="1"/>
  <c r="C378"/>
  <c r="D378" s="1"/>
  <c r="C374"/>
  <c r="D374" s="1"/>
  <c r="C370"/>
  <c r="D370" s="1"/>
  <c r="C366"/>
  <c r="D366" s="1"/>
  <c r="C362"/>
  <c r="D362" s="1"/>
  <c r="C358"/>
  <c r="D358" s="1"/>
  <c r="C354"/>
  <c r="D354" s="1"/>
  <c r="C350"/>
  <c r="D350" s="1"/>
  <c r="C346"/>
  <c r="D346" s="1"/>
  <c r="C342"/>
  <c r="D342" s="1"/>
  <c r="C338"/>
  <c r="D338" s="1"/>
  <c r="C334"/>
  <c r="D334" s="1"/>
  <c r="C330"/>
  <c r="D330" s="1"/>
  <c r="C326"/>
  <c r="D326" s="1"/>
  <c r="C322"/>
  <c r="D322" s="1"/>
  <c r="C318"/>
  <c r="D318" s="1"/>
  <c r="C314"/>
  <c r="D314" s="1"/>
  <c r="C310"/>
  <c r="D310" s="1"/>
  <c r="C306"/>
  <c r="D306" s="1"/>
  <c r="C302"/>
  <c r="D302" s="1"/>
  <c r="C298"/>
  <c r="D298" s="1"/>
  <c r="C294"/>
  <c r="D294" s="1"/>
  <c r="C290"/>
  <c r="D290" s="1"/>
  <c r="C286"/>
  <c r="D286" s="1"/>
  <c r="C282"/>
  <c r="D282" s="1"/>
  <c r="C278"/>
  <c r="D278" s="1"/>
  <c r="C274"/>
  <c r="D274" s="1"/>
  <c r="C270"/>
  <c r="D270" s="1"/>
  <c r="C266"/>
  <c r="D266" s="1"/>
  <c r="C262"/>
  <c r="D262" s="1"/>
  <c r="C258"/>
  <c r="D258" s="1"/>
  <c r="C254"/>
  <c r="D254" s="1"/>
  <c r="C250"/>
  <c r="D250" s="1"/>
  <c r="C2"/>
  <c r="B24" i="2" l="1"/>
  <c r="B17"/>
  <c r="D2" i="4"/>
  <c r="B19" i="2" l="1"/>
  <c r="B22" s="1"/>
  <c r="A50" l="1"/>
</calcChain>
</file>

<file path=xl/sharedStrings.xml><?xml version="1.0" encoding="utf-8"?>
<sst xmlns="http://schemas.openxmlformats.org/spreadsheetml/2006/main" count="64" uniqueCount="62">
  <si>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</si>
  <si>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</si>
  <si>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</si>
  <si>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</si>
  <si>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</si>
  <si>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</si>
  <si>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</si>
  <si>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</si>
  <si>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</si>
  <si>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</si>
  <si>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</si>
  <si>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</si>
  <si>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</si>
  <si>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</si>
  <si>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</si>
  <si>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</si>
  <si>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</si>
  <si>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</si>
  <si>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</si>
  <si>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</si>
  <si>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</si>
  <si>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</si>
  <si>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</si>
  <si>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</si>
  <si>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</si>
  <si>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</si>
  <si>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</si>
  <si>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</si>
  <si>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</si>
  <si>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</si>
  <si>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</si>
  <si>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</si>
  <si>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</si>
  <si>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</si>
  <si>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</si>
  <si>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</si>
  <si>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</si>
  <si>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</si>
  <si>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</si>
  <si>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</si>
  <si>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</si>
  <si>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</si>
  <si>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</si>
  <si>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</si>
  <si>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</si>
  <si>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</si>
  <si>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</si>
  <si>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</si>
  <si>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</si>
  <si>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</si>
  <si>
    <t>Orig. F Index</t>
  </si>
  <si>
    <t>Obs F Row</t>
  </si>
  <si>
    <t>Relative F Row</t>
  </si>
  <si>
    <t>Runnig Obs Row</t>
  </si>
  <si>
    <t>leader_profiles summary.xlsm</t>
  </si>
  <si>
    <t>Gaussian</t>
  </si>
  <si>
    <t>also</t>
  </si>
  <si>
    <t>Rearranging and squaring to get  c^2</t>
  </si>
  <si>
    <t>c^2 = FWHM^2/8ln(2))</t>
  </si>
  <si>
    <t>GRD added</t>
  </si>
  <si>
    <t>see: http://en.wikipedia.org/wiki/Gaussian_function</t>
  </si>
  <si>
    <t>substituting we get a*e^ -(4ln(2)(x-b)^2/FWHM^2)</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</si>
</sst>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7">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
      <b/>
      <sz val="11"/>
      <color theme="1"/>
      <name val="Calibri"/>
      <family val="2"/>
      <scheme val="minor"/>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3">
    <xf numFmtId="0" fontId="0" fillId="0" borderId="0" xfId="0"/>
    <xf numFmtId="2" fontId="0" fillId="0" borderId="0" xfId="0" applyNumberFormat="1"/>
    <xf numFmtId="0" fontId="0" fillId="0" borderId="0" xfId="0" applyAlignment="1">
      <alignment horizontal="center"/>
    </xf>
    <xf numFmtId="1" fontId="0" fillId="0" borderId="0" xfId="0" applyNumberFormat="1"/>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xf numFmtId="0" fontId="16" fillId="0" borderId="0" xfId="0" applyFont="1" applyAlignment="1">
      <alignment wrapText="1"/>
    </xf>
    <xf numFmtId="165" fontId="1" fillId="2" borderId="0" xfId="0" applyNumberFormat="1" applyFont="1" applyFill="1"/>
    <xf numFmtId="165" fontId="8" fillId="0" borderId="0" xfId="0" applyNumberFormat="1" applyFont="1" applyAlignment="1">
      <alignment horizontal="center"/>
    </xf>
    <xf numFmtId="0" fontId="1" fillId="0" borderId="0" xfId="0" applyFont="1"/>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583E-2"/>
          <c:y val="3.9215686274509803E-2"/>
          <c:w val="0.7578125"/>
          <c:h val="0.87114845938375696"/>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Data!$B$2:$B$700</c:f>
              <c:numCache>
                <c:formatCode>General</c:formatCode>
                <c:ptCount val="699"/>
                <c:pt idx="0">
                  <c:v>0</c:v>
                </c:pt>
                <c:pt idx="1">
                  <c:v>0.65021008808299996</c:v>
                </c:pt>
                <c:pt idx="2">
                  <c:v>1.2772538376249969</c:v>
                </c:pt>
                <c:pt idx="3">
                  <c:v>1.8801638359479966</c:v>
                </c:pt>
                <c:pt idx="4">
                  <c:v>2.4579726703749998</c:v>
                </c:pt>
                <c:pt idx="5">
                  <c:v>3.0097129282259942</c:v>
                </c:pt>
                <c:pt idx="6">
                  <c:v>3.5344171968259985</c:v>
                </c:pt>
                <c:pt idx="7">
                  <c:v>4.0311180634959953</c:v>
                </c:pt>
                <c:pt idx="8">
                  <c:v>4.4988481155579905</c:v>
                </c:pt>
                <c:pt idx="9">
                  <c:v>4.9374829812519891</c:v>
                </c:pt>
                <c:pt idx="10">
                  <c:v>5.3486787616289888</c:v>
                </c:pt>
                <c:pt idx="11">
                  <c:v>5.734138753229999</c:v>
                </c:pt>
                <c:pt idx="12">
                  <c:v>6.0955662525919934</c:v>
                </c:pt>
                <c:pt idx="13">
                  <c:v>6.4346645562579994</c:v>
                </c:pt>
                <c:pt idx="14">
                  <c:v>6.7531369607649907</c:v>
                </c:pt>
                <c:pt idx="15">
                  <c:v>7.0526867626539911</c:v>
                </c:pt>
                <c:pt idx="16">
                  <c:v>7.3350172584639921</c:v>
                </c:pt>
                <c:pt idx="17">
                  <c:v>7.5965263321320009</c:v>
                </c:pt>
                <c:pt idx="18">
                  <c:v>7.8099663248499951</c:v>
                </c:pt>
                <c:pt idx="19">
                  <c:v>7.9790990056850006</c:v>
                </c:pt>
                <c:pt idx="20">
                  <c:v>8.1133117252259979</c:v>
                </c:pt>
                <c:pt idx="21">
                  <c:v>8.2219918340629903</c:v>
                </c:pt>
                <c:pt idx="22">
                  <c:v>8.3145266827859956</c:v>
                </c:pt>
                <c:pt idx="23">
                  <c:v>8.4003036219839942</c:v>
                </c:pt>
                <c:pt idx="24">
                  <c:v>8.4887100022459947</c:v>
                </c:pt>
                <c:pt idx="25">
                  <c:v>8.5891331741609918</c:v>
                </c:pt>
                <c:pt idx="26">
                  <c:v>8.679962372576</c:v>
                </c:pt>
                <c:pt idx="27">
                  <c:v>8.7390600616589893</c:v>
                </c:pt>
                <c:pt idx="28">
                  <c:v>8.775023435979989</c:v>
                </c:pt>
                <c:pt idx="29">
                  <c:v>8.7964496901129934</c:v>
                </c:pt>
                <c:pt idx="30">
                  <c:v>8.8119360186289981</c:v>
                </c:pt>
                <c:pt idx="31">
                  <c:v>8.8300796161019974</c:v>
                </c:pt>
                <c:pt idx="32">
                  <c:v>8.8594776771030013</c:v>
                </c:pt>
                <c:pt idx="33">
                  <c:v>8.9087273962040001</c:v>
                </c:pt>
                <c:pt idx="34">
                  <c:v>8.9818653524839931</c:v>
                </c:pt>
                <c:pt idx="35">
                  <c:v>9.0572830358899949</c:v>
                </c:pt>
                <c:pt idx="36">
                  <c:v>9.1317541068249994</c:v>
                </c:pt>
                <c:pt idx="37">
                  <c:v>9.2062970621129949</c:v>
                </c:pt>
                <c:pt idx="38">
                  <c:v>9.2819303985800019</c:v>
                </c:pt>
                <c:pt idx="39">
                  <c:v>9.3596726130489998</c:v>
                </c:pt>
                <c:pt idx="40">
                  <c:v>9.4405422023459948</c:v>
                </c:pt>
                <c:pt idx="41">
                  <c:v>9.5255576632949897</c:v>
                </c:pt>
                <c:pt idx="42">
                  <c:v>9.6157374927209958</c:v>
                </c:pt>
                <c:pt idx="43">
                  <c:v>9.7156864156129927</c:v>
                </c:pt>
                <c:pt idx="44">
                  <c:v>9.827115274034</c:v>
                </c:pt>
                <c:pt idx="45">
                  <c:v>9.9467017404149942</c:v>
                </c:pt>
                <c:pt idx="46">
                  <c:v>10.071123487188999</c:v>
                </c:pt>
                <c:pt idx="47">
                  <c:v>10.197058186788993</c:v>
                </c:pt>
                <c:pt idx="48">
                  <c:v>10.321183511645998</c:v>
                </c:pt>
                <c:pt idx="49">
                  <c:v>10.440177134194002</c:v>
                </c:pt>
                <c:pt idx="50">
                  <c:v>10.550716726863001</c:v>
                </c:pt>
                <c:pt idx="51">
                  <c:v>10.651994276756994</c:v>
                </c:pt>
                <c:pt idx="52">
                  <c:v>10.756192601509994</c:v>
                </c:pt>
                <c:pt idx="53">
                  <c:v>10.863575123239997</c:v>
                </c:pt>
                <c:pt idx="54">
                  <c:v>10.971937533532</c:v>
                </c:pt>
                <c:pt idx="55">
                  <c:v>11.079075523965997</c:v>
                </c:pt>
                <c:pt idx="56">
                  <c:v>11.182784786122994</c:v>
                </c:pt>
                <c:pt idx="57">
                  <c:v>11.280861011586993</c:v>
                </c:pt>
                <c:pt idx="58">
                  <c:v>11.371099891938002</c:v>
                </c:pt>
                <c:pt idx="59">
                  <c:v>11.451297118757992</c:v>
                </c:pt>
                <c:pt idx="60">
                  <c:v>11.52274161403399</c:v>
                </c:pt>
                <c:pt idx="61">
                  <c:v>11.588698142160993</c:v>
                </c:pt>
                <c:pt idx="62">
                  <c:v>11.649926158337991</c:v>
                </c:pt>
                <c:pt idx="63">
                  <c:v>11.707185117763999</c:v>
                </c:pt>
                <c:pt idx="64">
                  <c:v>11.761234475636996</c:v>
                </c:pt>
                <c:pt idx="65">
                  <c:v>11.812833687156996</c:v>
                </c:pt>
                <c:pt idx="66">
                  <c:v>11.86274220752</c:v>
                </c:pt>
                <c:pt idx="67">
                  <c:v>11.911719491927002</c:v>
                </c:pt>
                <c:pt idx="68">
                  <c:v>11.955365553680991</c:v>
                </c:pt>
                <c:pt idx="69">
                  <c:v>11.990145652238994</c:v>
                </c:pt>
                <c:pt idx="70">
                  <c:v>12.018117112024001</c:v>
                </c:pt>
                <c:pt idx="71">
                  <c:v>12.04133725746</c:v>
                </c:pt>
                <c:pt idx="72">
                  <c:v>12.061863412970993</c:v>
                </c:pt>
                <c:pt idx="73">
                  <c:v>12.08175290298</c:v>
                </c:pt>
                <c:pt idx="74">
                  <c:v>12.103063051909999</c:v>
                </c:pt>
                <c:pt idx="75">
                  <c:v>12.127851184186994</c:v>
                </c:pt>
                <c:pt idx="76">
                  <c:v>12.15720630477</c:v>
                </c:pt>
                <c:pt idx="77">
                  <c:v>12.186594773578989</c:v>
                </c:pt>
                <c:pt idx="78">
                  <c:v>12.215109584719997</c:v>
                </c:pt>
                <c:pt idx="79">
                  <c:v>12.242725268676992</c:v>
                </c:pt>
                <c:pt idx="80">
                  <c:v>12.269416355934993</c:v>
                </c:pt>
                <c:pt idx="81">
                  <c:v>12.295157376980995</c:v>
                </c:pt>
                <c:pt idx="82">
                  <c:v>12.319922862298995</c:v>
                </c:pt>
                <c:pt idx="83">
                  <c:v>12.343687342376001</c:v>
                </c:pt>
                <c:pt idx="84">
                  <c:v>12.366425347696989</c:v>
                </c:pt>
                <c:pt idx="85">
                  <c:v>12.389729117944995</c:v>
                </c:pt>
                <c:pt idx="86">
                  <c:v>12.414658417265002</c:v>
                </c:pt>
                <c:pt idx="87">
                  <c:v>12.440389062837994</c:v>
                </c:pt>
                <c:pt idx="88">
                  <c:v>12.466096871842993</c:v>
                </c:pt>
                <c:pt idx="89">
                  <c:v>12.490957661458992</c:v>
                </c:pt>
                <c:pt idx="90">
                  <c:v>12.51414724886699</c:v>
                </c:pt>
                <c:pt idx="91">
                  <c:v>12.534841451245995</c:v>
                </c:pt>
                <c:pt idx="92">
                  <c:v>12.552216085775996</c:v>
                </c:pt>
                <c:pt idx="93">
                  <c:v>12.56547286210899</c:v>
                </c:pt>
                <c:pt idx="94">
                  <c:v>12.574512677968997</c:v>
                </c:pt>
                <c:pt idx="95">
                  <c:v>12.579993208723991</c:v>
                </c:pt>
                <c:pt idx="96">
                  <c:v>12.582609540124992</c:v>
                </c:pt>
                <c:pt idx="97">
                  <c:v>12.583056757923998</c:v>
                </c:pt>
                <c:pt idx="98">
                  <c:v>12.582029947872996</c:v>
                </c:pt>
                <c:pt idx="99">
                  <c:v>12.580224195722991</c:v>
                </c:pt>
                <c:pt idx="100">
                  <c:v>12.578334587227999</c:v>
                </c:pt>
                <c:pt idx="101">
                  <c:v>12.577056208137989</c:v>
                </c:pt>
                <c:pt idx="102">
                  <c:v>12.575052623350999</c:v>
                </c:pt>
                <c:pt idx="103">
                  <c:v>12.570858216148991</c:v>
                </c:pt>
                <c:pt idx="104">
                  <c:v>12.56497429985599</c:v>
                </c:pt>
                <c:pt idx="105">
                  <c:v>12.557902187797993</c:v>
                </c:pt>
                <c:pt idx="106">
                  <c:v>12.550143193300997</c:v>
                </c:pt>
                <c:pt idx="107">
                  <c:v>12.542198629691001</c:v>
                </c:pt>
                <c:pt idx="108">
                  <c:v>12.534569810294002</c:v>
                </c:pt>
                <c:pt idx="109">
                  <c:v>12.52775804843499</c:v>
                </c:pt>
                <c:pt idx="110">
                  <c:v>12.521557407852995</c:v>
                </c:pt>
                <c:pt idx="111">
                  <c:v>12.512413198981989</c:v>
                </c:pt>
                <c:pt idx="112">
                  <c:v>12.500598638485997</c:v>
                </c:pt>
                <c:pt idx="113">
                  <c:v>12.487115025354001</c:v>
                </c:pt>
                <c:pt idx="114">
                  <c:v>12.47296365857099</c:v>
                </c:pt>
                <c:pt idx="115">
                  <c:v>12.459145837126002</c:v>
                </c:pt>
                <c:pt idx="116">
                  <c:v>12.446662860004992</c:v>
                </c:pt>
                <c:pt idx="117">
                  <c:v>12.436516026194994</c:v>
                </c:pt>
                <c:pt idx="118">
                  <c:v>12.429706634683996</c:v>
                </c:pt>
                <c:pt idx="119">
                  <c:v>12.424248013132996</c:v>
                </c:pt>
                <c:pt idx="120">
                  <c:v>12.417896327680992</c:v>
                </c:pt>
                <c:pt idx="121">
                  <c:v>12.411267135026989</c:v>
                </c:pt>
                <c:pt idx="122">
                  <c:v>12.404975991870998</c:v>
                </c:pt>
                <c:pt idx="123">
                  <c:v>12.399638454913998</c:v>
                </c:pt>
                <c:pt idx="124">
                  <c:v>12.395870080853996</c:v>
                </c:pt>
                <c:pt idx="125">
                  <c:v>12.394286426392995</c:v>
                </c:pt>
                <c:pt idx="126">
                  <c:v>12.395503048229997</c:v>
                </c:pt>
                <c:pt idx="127">
                  <c:v>12.399443101185994</c:v>
                </c:pt>
                <c:pt idx="128">
                  <c:v>12.402688099304996</c:v>
                </c:pt>
                <c:pt idx="129">
                  <c:v>12.405468806098</c:v>
                </c:pt>
                <c:pt idx="130">
                  <c:v>12.408721761246994</c:v>
                </c:pt>
                <c:pt idx="131">
                  <c:v>12.413383504433995</c:v>
                </c:pt>
                <c:pt idx="132">
                  <c:v>12.420390575339994</c:v>
                </c:pt>
                <c:pt idx="133">
                  <c:v>12.430679513648002</c:v>
                </c:pt>
                <c:pt idx="134">
                  <c:v>12.445186859037989</c:v>
                </c:pt>
                <c:pt idx="135">
                  <c:v>12.463937096803988</c:v>
                </c:pt>
                <c:pt idx="136">
                  <c:v>12.482469979754995</c:v>
                </c:pt>
                <c:pt idx="137">
                  <c:v>12.501003038486999</c:v>
                </c:pt>
                <c:pt idx="138">
                  <c:v>12.520674251253993</c:v>
                </c:pt>
                <c:pt idx="139">
                  <c:v>12.542621596315996</c:v>
                </c:pt>
                <c:pt idx="140">
                  <c:v>12.56798305193</c:v>
                </c:pt>
                <c:pt idx="141">
                  <c:v>12.597896596352001</c:v>
                </c:pt>
                <c:pt idx="142">
                  <c:v>12.633500207840001</c:v>
                </c:pt>
                <c:pt idx="143">
                  <c:v>12.675931864652</c:v>
                </c:pt>
                <c:pt idx="144">
                  <c:v>12.722791238032002</c:v>
                </c:pt>
                <c:pt idx="145">
                  <c:v>12.771377692784</c:v>
                </c:pt>
                <c:pt idx="146">
                  <c:v>12.822378747504999</c:v>
                </c:pt>
                <c:pt idx="147">
                  <c:v>12.876481920787995</c:v>
                </c:pt>
                <c:pt idx="148">
                  <c:v>12.934374731229994</c:v>
                </c:pt>
                <c:pt idx="149">
                  <c:v>12.996744697425996</c:v>
                </c:pt>
                <c:pt idx="150">
                  <c:v>13.064279337971001</c:v>
                </c:pt>
                <c:pt idx="151">
                  <c:v>13.137666171460992</c:v>
                </c:pt>
                <c:pt idx="152">
                  <c:v>13.218329941911989</c:v>
                </c:pt>
                <c:pt idx="153">
                  <c:v>13.310229238931996</c:v>
                </c:pt>
                <c:pt idx="154">
                  <c:v>13.411844087108989</c:v>
                </c:pt>
                <c:pt idx="155">
                  <c:v>13.520789254326999</c:v>
                </c:pt>
                <c:pt idx="156">
                  <c:v>13.634679508473994</c:v>
                </c:pt>
                <c:pt idx="157">
                  <c:v>13.751129617435993</c:v>
                </c:pt>
                <c:pt idx="158">
                  <c:v>13.867754349097993</c:v>
                </c:pt>
                <c:pt idx="159">
                  <c:v>13.982168471346995</c:v>
                </c:pt>
                <c:pt idx="160">
                  <c:v>14.091986752067996</c:v>
                </c:pt>
                <c:pt idx="161">
                  <c:v>14.204680308802992</c:v>
                </c:pt>
                <c:pt idx="162">
                  <c:v>14.327229978589997</c:v>
                </c:pt>
                <c:pt idx="163">
                  <c:v>14.456515108558989</c:v>
                </c:pt>
                <c:pt idx="164">
                  <c:v>14.589415045843992</c:v>
                </c:pt>
                <c:pt idx="165">
                  <c:v>14.722809137577002</c:v>
                </c:pt>
                <c:pt idx="166">
                  <c:v>14.853576730888989</c:v>
                </c:pt>
                <c:pt idx="167">
                  <c:v>14.978597172911989</c:v>
                </c:pt>
                <c:pt idx="168">
                  <c:v>15.094749810777998</c:v>
                </c:pt>
                <c:pt idx="169">
                  <c:v>15.200481524308998</c:v>
                </c:pt>
                <c:pt idx="170">
                  <c:v>15.303233608020989</c:v>
                </c:pt>
                <c:pt idx="171">
                  <c:v>15.404409083821989</c:v>
                </c:pt>
                <c:pt idx="172">
                  <c:v>15.503971968849001</c:v>
                </c:pt>
                <c:pt idx="173">
                  <c:v>15.601886280239</c:v>
                </c:pt>
                <c:pt idx="174">
                  <c:v>15.698116035127001</c:v>
                </c:pt>
                <c:pt idx="175">
                  <c:v>15.792625250648996</c:v>
                </c:pt>
                <c:pt idx="176">
                  <c:v>15.885377943942999</c:v>
                </c:pt>
                <c:pt idx="177">
                  <c:v>15.976338132143994</c:v>
                </c:pt>
                <c:pt idx="178">
                  <c:v>16.062269356507002</c:v>
                </c:pt>
                <c:pt idx="179">
                  <c:v>16.141171652821001</c:v>
                </c:pt>
                <c:pt idx="180">
                  <c:v>16.214863780020991</c:v>
                </c:pt>
                <c:pt idx="181">
                  <c:v>16.285164497043993</c:v>
                </c:pt>
                <c:pt idx="182">
                  <c:v>16.353892562824996</c:v>
                </c:pt>
                <c:pt idx="183">
                  <c:v>16.422866736299</c:v>
                </c:pt>
                <c:pt idx="184">
                  <c:v>16.493905776402997</c:v>
                </c:pt>
                <c:pt idx="185">
                  <c:v>16.568828442070995</c:v>
                </c:pt>
                <c:pt idx="186">
                  <c:v>16.648523662000997</c:v>
                </c:pt>
                <c:pt idx="187">
                  <c:v>16.728626036885998</c:v>
                </c:pt>
                <c:pt idx="188">
                  <c:v>16.808477932489993</c:v>
                </c:pt>
                <c:pt idx="189">
                  <c:v>16.888284302949998</c:v>
                </c:pt>
                <c:pt idx="190">
                  <c:v>16.968250102403999</c:v>
                </c:pt>
                <c:pt idx="191">
                  <c:v>17.048580284989001</c:v>
                </c:pt>
                <c:pt idx="192">
                  <c:v>17.129479804841992</c:v>
                </c:pt>
                <c:pt idx="193">
                  <c:v>17.211153616098997</c:v>
                </c:pt>
                <c:pt idx="194">
                  <c:v>17.29380667289999</c:v>
                </c:pt>
                <c:pt idx="195">
                  <c:v>17.380417136134994</c:v>
                </c:pt>
                <c:pt idx="196">
                  <c:v>17.472507722570995</c:v>
                </c:pt>
                <c:pt idx="197">
                  <c:v>17.568100220155998</c:v>
                </c:pt>
                <c:pt idx="198">
                  <c:v>17.665216416835989</c:v>
                </c:pt>
                <c:pt idx="199">
                  <c:v>17.761878100557993</c:v>
                </c:pt>
                <c:pt idx="200">
                  <c:v>17.856107059270002</c:v>
                </c:pt>
                <c:pt idx="201">
                  <c:v>17.945925080918997</c:v>
                </c:pt>
                <c:pt idx="202">
                  <c:v>18.029353953452002</c:v>
                </c:pt>
                <c:pt idx="203">
                  <c:v>18.110749298263002</c:v>
                </c:pt>
                <c:pt idx="204">
                  <c:v>18.19470535061599</c:v>
                </c:pt>
                <c:pt idx="205">
                  <c:v>18.279601819264002</c:v>
                </c:pt>
                <c:pt idx="206">
                  <c:v>18.363818412960001</c:v>
                </c:pt>
                <c:pt idx="207">
                  <c:v>18.445734840456993</c:v>
                </c:pt>
                <c:pt idx="208">
                  <c:v>18.523730810509988</c:v>
                </c:pt>
                <c:pt idx="209">
                  <c:v>18.596186031870999</c:v>
                </c:pt>
                <c:pt idx="210">
                  <c:v>18.66148021329299</c:v>
                </c:pt>
                <c:pt idx="211">
                  <c:v>18.718545798544</c:v>
                </c:pt>
                <c:pt idx="212">
                  <c:v>18.769931306313993</c:v>
                </c:pt>
                <c:pt idx="213">
                  <c:v>18.816747535546995</c:v>
                </c:pt>
                <c:pt idx="214">
                  <c:v>18.859647261267995</c:v>
                </c:pt>
                <c:pt idx="215">
                  <c:v>18.899283258499992</c:v>
                </c:pt>
                <c:pt idx="216">
                  <c:v>18.936308302268998</c:v>
                </c:pt>
                <c:pt idx="217">
                  <c:v>18.971375167596989</c:v>
                </c:pt>
                <c:pt idx="218">
                  <c:v>19.005136629508996</c:v>
                </c:pt>
                <c:pt idx="219">
                  <c:v>19.038245463029995</c:v>
                </c:pt>
                <c:pt idx="220">
                  <c:v>19.06794582804099</c:v>
                </c:pt>
                <c:pt idx="221">
                  <c:v>19.091807268585001</c:v>
                </c:pt>
                <c:pt idx="222">
                  <c:v>19.110970635931992</c:v>
                </c:pt>
                <c:pt idx="223">
                  <c:v>19.126576781349002</c:v>
                </c:pt>
                <c:pt idx="224">
                  <c:v>19.139766556105002</c:v>
                </c:pt>
                <c:pt idx="225">
                  <c:v>19.151680811467998</c:v>
                </c:pt>
                <c:pt idx="226">
                  <c:v>19.163460398705993</c:v>
                </c:pt>
                <c:pt idx="227">
                  <c:v>19.176246169088998</c:v>
                </c:pt>
                <c:pt idx="228">
                  <c:v>19.190748727968995</c:v>
                </c:pt>
                <c:pt idx="229">
                  <c:v>19.205007897275991</c:v>
                </c:pt>
                <c:pt idx="230">
                  <c:v>19.218406533614996</c:v>
                </c:pt>
                <c:pt idx="231">
                  <c:v>19.230700011300002</c:v>
                </c:pt>
                <c:pt idx="232">
                  <c:v>19.241643704645</c:v>
                </c:pt>
                <c:pt idx="233">
                  <c:v>19.250992987966001</c:v>
                </c:pt>
                <c:pt idx="234">
                  <c:v>19.258503235574992</c:v>
                </c:pt>
                <c:pt idx="235">
                  <c:v>19.263929821787997</c:v>
                </c:pt>
                <c:pt idx="236">
                  <c:v>19.26702812091699</c:v>
                </c:pt>
                <c:pt idx="237">
                  <c:v>19.268249221822998</c:v>
                </c:pt>
                <c:pt idx="238">
                  <c:v>19.268164939939993</c:v>
                </c:pt>
                <c:pt idx="239">
                  <c:v>19.266711739442997</c:v>
                </c:pt>
                <c:pt idx="240">
                  <c:v>19.263826084507002</c:v>
                </c:pt>
                <c:pt idx="241">
                  <c:v>19.259444439307998</c:v>
                </c:pt>
                <c:pt idx="242">
                  <c:v>19.253503268020992</c:v>
                </c:pt>
                <c:pt idx="243">
                  <c:v>19.245939034822001</c:v>
                </c:pt>
                <c:pt idx="244">
                  <c:v>19.236688203886999</c:v>
                </c:pt>
                <c:pt idx="245">
                  <c:v>19.225006533794001</c:v>
                </c:pt>
                <c:pt idx="246">
                  <c:v>19.207366143632996</c:v>
                </c:pt>
                <c:pt idx="247">
                  <c:v>19.184606951437999</c:v>
                </c:pt>
                <c:pt idx="248">
                  <c:v>19.158318457335</c:v>
                </c:pt>
                <c:pt idx="249">
                  <c:v>19.130090161451989</c:v>
                </c:pt>
                <c:pt idx="250">
                  <c:v>19.101511563915992</c:v>
                </c:pt>
                <c:pt idx="251">
                  <c:v>19.074172164855</c:v>
                </c:pt>
                <c:pt idx="252">
                  <c:v>19.049661464395001</c:v>
                </c:pt>
                <c:pt idx="253">
                  <c:v>19.029568962664001</c:v>
                </c:pt>
                <c:pt idx="254">
                  <c:v>19.014271839822001</c:v>
                </c:pt>
                <c:pt idx="255">
                  <c:v>19.00226048540199</c:v>
                </c:pt>
                <c:pt idx="256">
                  <c:v>18.992294213587996</c:v>
                </c:pt>
                <c:pt idx="257">
                  <c:v>18.983132338564999</c:v>
                </c:pt>
                <c:pt idx="258">
                  <c:v>18.973534174516999</c:v>
                </c:pt>
                <c:pt idx="259">
                  <c:v>18.962259035628989</c:v>
                </c:pt>
                <c:pt idx="260">
                  <c:v>18.948066236083989</c:v>
                </c:pt>
                <c:pt idx="261">
                  <c:v>18.929715090066992</c:v>
                </c:pt>
                <c:pt idx="262">
                  <c:v>18.906937446740002</c:v>
                </c:pt>
                <c:pt idx="263">
                  <c:v>18.884494242595991</c:v>
                </c:pt>
                <c:pt idx="264">
                  <c:v>18.86254260304699</c:v>
                </c:pt>
                <c:pt idx="265">
                  <c:v>18.840285608798993</c:v>
                </c:pt>
                <c:pt idx="266">
                  <c:v>18.816926340558993</c:v>
                </c:pt>
                <c:pt idx="267">
                  <c:v>18.791667879034989</c:v>
                </c:pt>
                <c:pt idx="268">
                  <c:v>18.763713304931997</c:v>
                </c:pt>
                <c:pt idx="269">
                  <c:v>18.732265698956994</c:v>
                </c:pt>
                <c:pt idx="270">
                  <c:v>18.696375384402998</c:v>
                </c:pt>
                <c:pt idx="271">
                  <c:v>18.655062263709993</c:v>
                </c:pt>
                <c:pt idx="272">
                  <c:v>18.609250818291997</c:v>
                </c:pt>
                <c:pt idx="273">
                  <c:v>18.560099772111997</c:v>
                </c:pt>
                <c:pt idx="274">
                  <c:v>18.50876784913099</c:v>
                </c:pt>
                <c:pt idx="275">
                  <c:v>18.456413773313997</c:v>
                </c:pt>
                <c:pt idx="276">
                  <c:v>18.404196268620993</c:v>
                </c:pt>
                <c:pt idx="277">
                  <c:v>18.353274059017991</c:v>
                </c:pt>
                <c:pt idx="278">
                  <c:v>18.304805868464996</c:v>
                </c:pt>
                <c:pt idx="279">
                  <c:v>18.256076602484995</c:v>
                </c:pt>
                <c:pt idx="280">
                  <c:v>18.204164069873002</c:v>
                </c:pt>
                <c:pt idx="281">
                  <c:v>18.149916349506995</c:v>
                </c:pt>
                <c:pt idx="282">
                  <c:v>18.094181520262993</c:v>
                </c:pt>
                <c:pt idx="283">
                  <c:v>18.037807661015989</c:v>
                </c:pt>
                <c:pt idx="284">
                  <c:v>17.981642850643993</c:v>
                </c:pt>
                <c:pt idx="285">
                  <c:v>17.926535168021999</c:v>
                </c:pt>
                <c:pt idx="286">
                  <c:v>17.873332692026992</c:v>
                </c:pt>
                <c:pt idx="287">
                  <c:v>17.82261116592899</c:v>
                </c:pt>
                <c:pt idx="288">
                  <c:v>17.773198537635992</c:v>
                </c:pt>
                <c:pt idx="289">
                  <c:v>17.724683806146999</c:v>
                </c:pt>
                <c:pt idx="290">
                  <c:v>17.676885404136002</c:v>
                </c:pt>
                <c:pt idx="291">
                  <c:v>17.629621764283996</c:v>
                </c:pt>
                <c:pt idx="292">
                  <c:v>17.582711319265997</c:v>
                </c:pt>
                <c:pt idx="293">
                  <c:v>17.53597250176</c:v>
                </c:pt>
                <c:pt idx="294">
                  <c:v>17.489223744444999</c:v>
                </c:pt>
                <c:pt idx="295">
                  <c:v>17.442283479997002</c:v>
                </c:pt>
                <c:pt idx="296">
                  <c:v>17.39367167748</c:v>
                </c:pt>
                <c:pt idx="297">
                  <c:v>17.342638899621988</c:v>
                </c:pt>
                <c:pt idx="298">
                  <c:v>17.290099469596996</c:v>
                </c:pt>
                <c:pt idx="299">
                  <c:v>17.236967710580998</c:v>
                </c:pt>
                <c:pt idx="300">
                  <c:v>17.184157945748993</c:v>
                </c:pt>
                <c:pt idx="301">
                  <c:v>17.132584498274994</c:v>
                </c:pt>
                <c:pt idx="302">
                  <c:v>17.083161691333999</c:v>
                </c:pt>
                <c:pt idx="303">
                  <c:v>17.036803848101002</c:v>
                </c:pt>
                <c:pt idx="304">
                  <c:v>16.993602854228996</c:v>
                </c:pt>
                <c:pt idx="305">
                  <c:v>16.949528045625996</c:v>
                </c:pt>
                <c:pt idx="306">
                  <c:v>16.904644826932</c:v>
                </c:pt>
                <c:pt idx="307">
                  <c:v>16.859839888965993</c:v>
                </c:pt>
                <c:pt idx="308">
                  <c:v>16.815999922541991</c:v>
                </c:pt>
                <c:pt idx="309">
                  <c:v>16.77401161847699</c:v>
                </c:pt>
                <c:pt idx="310">
                  <c:v>16.734761667586994</c:v>
                </c:pt>
                <c:pt idx="311">
                  <c:v>16.699136760689001</c:v>
                </c:pt>
                <c:pt idx="312">
                  <c:v>16.66802358859799</c:v>
                </c:pt>
                <c:pt idx="313">
                  <c:v>16.640185090849002</c:v>
                </c:pt>
                <c:pt idx="314">
                  <c:v>16.613926992171997</c:v>
                </c:pt>
                <c:pt idx="315">
                  <c:v>16.589450161174</c:v>
                </c:pt>
                <c:pt idx="316">
                  <c:v>16.566955466465998</c:v>
                </c:pt>
                <c:pt idx="317">
                  <c:v>16.546643776654989</c:v>
                </c:pt>
                <c:pt idx="318">
                  <c:v>16.528715960352002</c:v>
                </c:pt>
                <c:pt idx="319">
                  <c:v>16.513372886162998</c:v>
                </c:pt>
                <c:pt idx="320">
                  <c:v>16.500815422700001</c:v>
                </c:pt>
                <c:pt idx="321">
                  <c:v>16.490938071026989</c:v>
                </c:pt>
                <c:pt idx="322">
                  <c:v>16.482215533877991</c:v>
                </c:pt>
                <c:pt idx="323">
                  <c:v>16.474828635164002</c:v>
                </c:pt>
                <c:pt idx="324">
                  <c:v>16.469277015159989</c:v>
                </c:pt>
                <c:pt idx="325">
                  <c:v>16.466060314139</c:v>
                </c:pt>
                <c:pt idx="326">
                  <c:v>16.465678172374993</c:v>
                </c:pt>
                <c:pt idx="327">
                  <c:v>16.468630230141002</c:v>
                </c:pt>
                <c:pt idx="328">
                  <c:v>16.475416127711995</c:v>
                </c:pt>
                <c:pt idx="329">
                  <c:v>16.48653550536099</c:v>
                </c:pt>
                <c:pt idx="330">
                  <c:v>16.504004129660999</c:v>
                </c:pt>
                <c:pt idx="331">
                  <c:v>16.528404043183997</c:v>
                </c:pt>
                <c:pt idx="332">
                  <c:v>16.55808430019799</c:v>
                </c:pt>
                <c:pt idx="333">
                  <c:v>16.591393954971991</c:v>
                </c:pt>
                <c:pt idx="334">
                  <c:v>16.626682061775995</c:v>
                </c:pt>
                <c:pt idx="335">
                  <c:v>16.662297674877991</c:v>
                </c:pt>
                <c:pt idx="336">
                  <c:v>16.696589848548996</c:v>
                </c:pt>
                <c:pt idx="337">
                  <c:v>16.727907637057001</c:v>
                </c:pt>
                <c:pt idx="338">
                  <c:v>16.759460874616991</c:v>
                </c:pt>
                <c:pt idx="339">
                  <c:v>16.794950285131989</c:v>
                </c:pt>
                <c:pt idx="340">
                  <c:v>16.833461257404991</c:v>
                </c:pt>
                <c:pt idx="341">
                  <c:v>16.874079180233991</c:v>
                </c:pt>
                <c:pt idx="342">
                  <c:v>16.915889442421999</c:v>
                </c:pt>
                <c:pt idx="343">
                  <c:v>16.95797743276799</c:v>
                </c:pt>
                <c:pt idx="344">
                  <c:v>16.999428540075002</c:v>
                </c:pt>
                <c:pt idx="345">
                  <c:v>17.039328153141994</c:v>
                </c:pt>
                <c:pt idx="346">
                  <c:v>17.078010631498998</c:v>
                </c:pt>
                <c:pt idx="347">
                  <c:v>17.121681911054992</c:v>
                </c:pt>
                <c:pt idx="348">
                  <c:v>17.169722420572995</c:v>
                </c:pt>
                <c:pt idx="349">
                  <c:v>17.220222142835993</c:v>
                </c:pt>
                <c:pt idx="350">
                  <c:v>17.271271060627996</c:v>
                </c:pt>
                <c:pt idx="351">
                  <c:v>17.320959156732002</c:v>
                </c:pt>
                <c:pt idx="352">
                  <c:v>17.367376413933002</c:v>
                </c:pt>
                <c:pt idx="353">
                  <c:v>17.408612815013001</c:v>
                </c:pt>
                <c:pt idx="354">
                  <c:v>17.442758342756989</c:v>
                </c:pt>
                <c:pt idx="355">
                  <c:v>17.471746947654992</c:v>
                </c:pt>
                <c:pt idx="356">
                  <c:v>17.498767431145993</c:v>
                </c:pt>
                <c:pt idx="357">
                  <c:v>17.523792052436988</c:v>
                </c:pt>
                <c:pt idx="358">
                  <c:v>17.546793070733997</c:v>
                </c:pt>
                <c:pt idx="359">
                  <c:v>17.567742745242001</c:v>
                </c:pt>
                <c:pt idx="360">
                  <c:v>17.586613335167002</c:v>
                </c:pt>
                <c:pt idx="361">
                  <c:v>17.603377099715999</c:v>
                </c:pt>
                <c:pt idx="362">
                  <c:v>17.618006298094002</c:v>
                </c:pt>
                <c:pt idx="363">
                  <c:v>17.630278882859002</c:v>
                </c:pt>
                <c:pt idx="364">
                  <c:v>17.639240419651998</c:v>
                </c:pt>
                <c:pt idx="365">
                  <c:v>17.645280012740002</c:v>
                </c:pt>
                <c:pt idx="366">
                  <c:v>17.649007644851991</c:v>
                </c:pt>
                <c:pt idx="367">
                  <c:v>17.651033298717991</c:v>
                </c:pt>
                <c:pt idx="368">
                  <c:v>17.651966957066989</c:v>
                </c:pt>
                <c:pt idx="369">
                  <c:v>17.652418602628998</c:v>
                </c:pt>
                <c:pt idx="370">
                  <c:v>17.652998218130989</c:v>
                </c:pt>
                <c:pt idx="371">
                  <c:v>17.654315786304991</c:v>
                </c:pt>
                <c:pt idx="372">
                  <c:v>17.654360066465998</c:v>
                </c:pt>
                <c:pt idx="373">
                  <c:v>17.65110653178499</c:v>
                </c:pt>
                <c:pt idx="374">
                  <c:v>17.645145235770997</c:v>
                </c:pt>
                <c:pt idx="375">
                  <c:v>17.637066231934</c:v>
                </c:pt>
                <c:pt idx="376">
                  <c:v>17.627459573783</c:v>
                </c:pt>
                <c:pt idx="377">
                  <c:v>17.616915314827992</c:v>
                </c:pt>
                <c:pt idx="378">
                  <c:v>17.606023508576996</c:v>
                </c:pt>
                <c:pt idx="379">
                  <c:v>17.595374208540989</c:v>
                </c:pt>
                <c:pt idx="380">
                  <c:v>17.585493104712</c:v>
                </c:pt>
                <c:pt idx="381">
                  <c:v>17.576275099480995</c:v>
                </c:pt>
                <c:pt idx="382">
                  <c:v>17.567456292803996</c:v>
                </c:pt>
                <c:pt idx="383">
                  <c:v>17.558802818150994</c:v>
                </c:pt>
                <c:pt idx="384">
                  <c:v>17.550080808991993</c:v>
                </c:pt>
                <c:pt idx="385">
                  <c:v>17.541056398797991</c:v>
                </c:pt>
                <c:pt idx="386">
                  <c:v>17.531495721037999</c:v>
                </c:pt>
                <c:pt idx="387">
                  <c:v>17.521164909183994</c:v>
                </c:pt>
                <c:pt idx="388">
                  <c:v>17.509830096705002</c:v>
                </c:pt>
                <c:pt idx="389">
                  <c:v>17.497865497522994</c:v>
                </c:pt>
                <c:pt idx="390">
                  <c:v>17.485613556811998</c:v>
                </c:pt>
                <c:pt idx="391">
                  <c:v>17.472792754919993</c:v>
                </c:pt>
                <c:pt idx="392">
                  <c:v>17.459121572198995</c:v>
                </c:pt>
                <c:pt idx="393">
                  <c:v>17.444318488996998</c:v>
                </c:pt>
                <c:pt idx="394">
                  <c:v>17.428101985662991</c:v>
                </c:pt>
                <c:pt idx="395">
                  <c:v>17.410190542547994</c:v>
                </c:pt>
                <c:pt idx="396">
                  <c:v>17.390302640001991</c:v>
                </c:pt>
                <c:pt idx="397">
                  <c:v>17.368414490335994</c:v>
                </c:pt>
                <c:pt idx="398">
                  <c:v>17.345804817692994</c:v>
                </c:pt>
                <c:pt idx="399">
                  <c:v>17.322485233956996</c:v>
                </c:pt>
                <c:pt idx="400">
                  <c:v>17.298211158160996</c:v>
                </c:pt>
                <c:pt idx="401">
                  <c:v>17.272738009339989</c:v>
                </c:pt>
                <c:pt idx="402">
                  <c:v>17.245821206525989</c:v>
                </c:pt>
                <c:pt idx="403">
                  <c:v>17.217216168752998</c:v>
                </c:pt>
                <c:pt idx="404">
                  <c:v>17.186678315054991</c:v>
                </c:pt>
                <c:pt idx="405">
                  <c:v>17.154160899711997</c:v>
                </c:pt>
                <c:pt idx="406">
                  <c:v>17.120665874167997</c:v>
                </c:pt>
                <c:pt idx="407">
                  <c:v>17.086298601745</c:v>
                </c:pt>
                <c:pt idx="408">
                  <c:v>17.050973223953989</c:v>
                </c:pt>
                <c:pt idx="409">
                  <c:v>17.01460388230899</c:v>
                </c:pt>
                <c:pt idx="410">
                  <c:v>16.977104718319993</c:v>
                </c:pt>
                <c:pt idx="411">
                  <c:v>16.938389873498991</c:v>
                </c:pt>
                <c:pt idx="412">
                  <c:v>16.898373489358988</c:v>
                </c:pt>
                <c:pt idx="413">
                  <c:v>16.856969707410002</c:v>
                </c:pt>
                <c:pt idx="414">
                  <c:v>16.812310820332996</c:v>
                </c:pt>
                <c:pt idx="415">
                  <c:v>16.763252814254997</c:v>
                </c:pt>
                <c:pt idx="416">
                  <c:v>16.710795370852992</c:v>
                </c:pt>
                <c:pt idx="417">
                  <c:v>16.655938171806994</c:v>
                </c:pt>
                <c:pt idx="418">
                  <c:v>16.599680898793991</c:v>
                </c:pt>
                <c:pt idx="419">
                  <c:v>16.543023233494992</c:v>
                </c:pt>
                <c:pt idx="420">
                  <c:v>16.486964857586997</c:v>
                </c:pt>
                <c:pt idx="421">
                  <c:v>16.432505452748998</c:v>
                </c:pt>
                <c:pt idx="422">
                  <c:v>16.380682305178993</c:v>
                </c:pt>
                <c:pt idx="423">
                  <c:v>16.331956221578992</c:v>
                </c:pt>
                <c:pt idx="424">
                  <c:v>16.285410760576994</c:v>
                </c:pt>
                <c:pt idx="425">
                  <c:v>16.240006931602991</c:v>
                </c:pt>
                <c:pt idx="426">
                  <c:v>16.194705744088992</c:v>
                </c:pt>
                <c:pt idx="427">
                  <c:v>16.148468207466991</c:v>
                </c:pt>
                <c:pt idx="428">
                  <c:v>16.100255331168</c:v>
                </c:pt>
                <c:pt idx="429">
                  <c:v>16.049028124622993</c:v>
                </c:pt>
                <c:pt idx="430">
                  <c:v>15.99374759726399</c:v>
                </c:pt>
                <c:pt idx="431">
                  <c:v>15.936492307164002</c:v>
                </c:pt>
                <c:pt idx="432">
                  <c:v>15.879523861591991</c:v>
                </c:pt>
                <c:pt idx="433">
                  <c:v>15.822077843773002</c:v>
                </c:pt>
                <c:pt idx="434">
                  <c:v>15.763389836931992</c:v>
                </c:pt>
                <c:pt idx="435">
                  <c:v>15.702695424293992</c:v>
                </c:pt>
                <c:pt idx="436">
                  <c:v>15.639230189084998</c:v>
                </c:pt>
                <c:pt idx="437">
                  <c:v>15.572229714529001</c:v>
                </c:pt>
                <c:pt idx="438">
                  <c:v>15.500929583851999</c:v>
                </c:pt>
                <c:pt idx="439">
                  <c:v>15.424061711796995</c:v>
                </c:pt>
                <c:pt idx="440">
                  <c:v>15.338935483775998</c:v>
                </c:pt>
                <c:pt idx="441">
                  <c:v>15.24708322571999</c:v>
                </c:pt>
                <c:pt idx="442">
                  <c:v>15.150662689049</c:v>
                </c:pt>
                <c:pt idx="443">
                  <c:v>15.051831625180995</c:v>
                </c:pt>
                <c:pt idx="444">
                  <c:v>14.952747785537994</c:v>
                </c:pt>
                <c:pt idx="445">
                  <c:v>14.855568921537994</c:v>
                </c:pt>
                <c:pt idx="446">
                  <c:v>14.76245278460199</c:v>
                </c:pt>
                <c:pt idx="447">
                  <c:v>14.675557126149002</c:v>
                </c:pt>
                <c:pt idx="448">
                  <c:v>14.589456386525001</c:v>
                </c:pt>
                <c:pt idx="449">
                  <c:v>14.498457241343999</c:v>
                </c:pt>
                <c:pt idx="450">
                  <c:v>14.40431579492099</c:v>
                </c:pt>
                <c:pt idx="451">
                  <c:v>14.308788151573992</c:v>
                </c:pt>
                <c:pt idx="452">
                  <c:v>14.213630415620997</c:v>
                </c:pt>
                <c:pt idx="453">
                  <c:v>14.120598691379001</c:v>
                </c:pt>
                <c:pt idx="454">
                  <c:v>14.031449083163992</c:v>
                </c:pt>
                <c:pt idx="455">
                  <c:v>13.947937695294996</c:v>
                </c:pt>
                <c:pt idx="456">
                  <c:v>13.870804435886996</c:v>
                </c:pt>
                <c:pt idx="457">
                  <c:v>13.795256080187002</c:v>
                </c:pt>
                <c:pt idx="458">
                  <c:v>13.720877037123998</c:v>
                </c:pt>
                <c:pt idx="459">
                  <c:v>13.648217672733992</c:v>
                </c:pt>
                <c:pt idx="460">
                  <c:v>13.577828353051999</c:v>
                </c:pt>
                <c:pt idx="461">
                  <c:v>13.510259444114993</c:v>
                </c:pt>
                <c:pt idx="462">
                  <c:v>13.44606131195799</c:v>
                </c:pt>
                <c:pt idx="463">
                  <c:v>13.38578432261599</c:v>
                </c:pt>
                <c:pt idx="464">
                  <c:v>13.329978842125996</c:v>
                </c:pt>
                <c:pt idx="465">
                  <c:v>13.279534219862995</c:v>
                </c:pt>
                <c:pt idx="466">
                  <c:v>13.234312571061992</c:v>
                </c:pt>
                <c:pt idx="467">
                  <c:v>13.19332341054799</c:v>
                </c:pt>
                <c:pt idx="468">
                  <c:v>13.155576253145995</c:v>
                </c:pt>
                <c:pt idx="469">
                  <c:v>13.120080613679988</c:v>
                </c:pt>
                <c:pt idx="470">
                  <c:v>13.085846006973995</c:v>
                </c:pt>
                <c:pt idx="471">
                  <c:v>13.051881947852991</c:v>
                </c:pt>
                <c:pt idx="472">
                  <c:v>13.017197951141</c:v>
                </c:pt>
                <c:pt idx="473">
                  <c:v>12.981685264812</c:v>
                </c:pt>
                <c:pt idx="474">
                  <c:v>12.946292274488997</c:v>
                </c:pt>
                <c:pt idx="475">
                  <c:v>12.911614201471991</c:v>
                </c:pt>
                <c:pt idx="476">
                  <c:v>12.878246267058998</c:v>
                </c:pt>
                <c:pt idx="477">
                  <c:v>12.846783692548996</c:v>
                </c:pt>
                <c:pt idx="478">
                  <c:v>12.817821699238991</c:v>
                </c:pt>
                <c:pt idx="479">
                  <c:v>12.791955508428998</c:v>
                </c:pt>
                <c:pt idx="480">
                  <c:v>12.769780341415995</c:v>
                </c:pt>
                <c:pt idx="481">
                  <c:v>12.751174458747002</c:v>
                </c:pt>
                <c:pt idx="482">
                  <c:v>12.732595314403994</c:v>
                </c:pt>
                <c:pt idx="483">
                  <c:v>12.71434027291599</c:v>
                </c:pt>
                <c:pt idx="484">
                  <c:v>12.69744188147699</c:v>
                </c:pt>
                <c:pt idx="485">
                  <c:v>12.682932687281991</c:v>
                </c:pt>
                <c:pt idx="486">
                  <c:v>12.671845237526</c:v>
                </c:pt>
                <c:pt idx="487">
                  <c:v>12.665212079401002</c:v>
                </c:pt>
                <c:pt idx="488">
                  <c:v>12.664065760103</c:v>
                </c:pt>
                <c:pt idx="489">
                  <c:v>12.66943882682699</c:v>
                </c:pt>
                <c:pt idx="490">
                  <c:v>12.681619645460998</c:v>
                </c:pt>
                <c:pt idx="491">
                  <c:v>12.699661417314999</c:v>
                </c:pt>
                <c:pt idx="492">
                  <c:v>12.722743942714999</c:v>
                </c:pt>
                <c:pt idx="493">
                  <c:v>12.750047021987001</c:v>
                </c:pt>
                <c:pt idx="494">
                  <c:v>12.780750455456996</c:v>
                </c:pt>
                <c:pt idx="495">
                  <c:v>12.814034043451002</c:v>
                </c:pt>
                <c:pt idx="496">
                  <c:v>12.849077586294996</c:v>
                </c:pt>
                <c:pt idx="497">
                  <c:v>12.885060884314001</c:v>
                </c:pt>
                <c:pt idx="498">
                  <c:v>12.92379689836099</c:v>
                </c:pt>
                <c:pt idx="499">
                  <c:v>12.978637310248999</c:v>
                </c:pt>
                <c:pt idx="500">
                  <c:v>13.047236983234001</c:v>
                </c:pt>
                <c:pt idx="501">
                  <c:v>13.124436833196</c:v>
                </c:pt>
                <c:pt idx="502">
                  <c:v>13.205077776015997</c:v>
                </c:pt>
                <c:pt idx="503">
                  <c:v>13.284000727573996</c:v>
                </c:pt>
                <c:pt idx="504">
                  <c:v>13.356046603747998</c:v>
                </c:pt>
                <c:pt idx="505">
                  <c:v>13.416056320419997</c:v>
                </c:pt>
                <c:pt idx="506">
                  <c:v>13.458870793467995</c:v>
                </c:pt>
                <c:pt idx="507">
                  <c:v>13.503163796118002</c:v>
                </c:pt>
                <c:pt idx="508">
                  <c:v>13.565762815584989</c:v>
                </c:pt>
                <c:pt idx="509">
                  <c:v>13.638739338736002</c:v>
                </c:pt>
                <c:pt idx="510">
                  <c:v>13.714164852435999</c:v>
                </c:pt>
                <c:pt idx="511">
                  <c:v>13.784110843549996</c:v>
                </c:pt>
                <c:pt idx="512">
                  <c:v>13.840648798944002</c:v>
                </c:pt>
                <c:pt idx="513">
                  <c:v>13.87585020548299</c:v>
                </c:pt>
                <c:pt idx="514">
                  <c:v>13.881786550033993</c:v>
                </c:pt>
                <c:pt idx="515">
                  <c:v>13.857983728801997</c:v>
                </c:pt>
                <c:pt idx="516">
                  <c:v>13.840573750345996</c:v>
                </c:pt>
                <c:pt idx="517">
                  <c:v>13.827380678623996</c:v>
                </c:pt>
                <c:pt idx="518">
                  <c:v>13.808700175548992</c:v>
                </c:pt>
                <c:pt idx="519">
                  <c:v>13.774827903030001</c:v>
                </c:pt>
                <c:pt idx="520">
                  <c:v>13.716059522978995</c:v>
                </c:pt>
                <c:pt idx="521">
                  <c:v>13.622690697306993</c:v>
                </c:pt>
                <c:pt idx="522">
                  <c:v>13.485017087925002</c:v>
                </c:pt>
                <c:pt idx="523">
                  <c:v>13.293334356744992</c:v>
                </c:pt>
                <c:pt idx="524">
                  <c:v>13.061352381657997</c:v>
                </c:pt>
                <c:pt idx="525">
                  <c:v>12.808233398005996</c:v>
                </c:pt>
                <c:pt idx="526">
                  <c:v>12.532451603879991</c:v>
                </c:pt>
                <c:pt idx="527">
                  <c:v>12.232481197367989</c:v>
                </c:pt>
                <c:pt idx="528">
                  <c:v>11.906796376559001</c:v>
                </c:pt>
                <c:pt idx="529">
                  <c:v>11.553871339541999</c:v>
                </c:pt>
                <c:pt idx="530">
                  <c:v>11.172180284405997</c:v>
                </c:pt>
                <c:pt idx="531">
                  <c:v>10.760197409239993</c:v>
                </c:pt>
                <c:pt idx="532">
                  <c:v>10.316309092556992</c:v>
                </c:pt>
                <c:pt idx="533">
                  <c:v>9.8393817215669941</c:v>
                </c:pt>
                <c:pt idx="534">
                  <c:v>9.3301505026799987</c:v>
                </c:pt>
                <c:pt idx="535">
                  <c:v>8.78954058483599</c:v>
                </c:pt>
                <c:pt idx="536">
                  <c:v>8.2184771169740003</c:v>
                </c:pt>
                <c:pt idx="537">
                  <c:v>7.6178852480349946</c:v>
                </c:pt>
                <c:pt idx="538">
                  <c:v>6.9886901269560013</c:v>
                </c:pt>
                <c:pt idx="539">
                  <c:v>6.3318169026769908</c:v>
                </c:pt>
                <c:pt idx="540">
                  <c:v>0</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General</c:formatCode>
                <c:ptCount val="699"/>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Data!$C$2:$C$700</c:f>
              <c:numCache>
                <c:formatCode>0.0000</c:formatCode>
                <c:ptCount val="699"/>
                <c:pt idx="0">
                  <c:v>2.6115493163095786</c:v>
                </c:pt>
                <c:pt idx="1">
                  <c:v>2.7734399321500431</c:v>
                </c:pt>
                <c:pt idx="2">
                  <c:v>2.9494169521205986</c:v>
                </c:pt>
                <c:pt idx="3">
                  <c:v>3.1405611769046478</c:v>
                </c:pt>
                <c:pt idx="4">
                  <c:v>3.3477930350304832</c:v>
                </c:pt>
                <c:pt idx="5">
                  <c:v>3.5717967376750099</c:v>
                </c:pt>
                <c:pt idx="6">
                  <c:v>3.8129406036851585</c:v>
                </c:pt>
                <c:pt idx="7">
                  <c:v>4.0711979673179703</c:v>
                </c:pt>
                <c:pt idx="8">
                  <c:v>4.3460739474110923</c:v>
                </c:pt>
                <c:pt idx="9">
                  <c:v>4.6365439374289972</c:v>
                </c:pt>
                <c:pt idx="10">
                  <c:v>4.9410098591724854</c:v>
                </c:pt>
                <c:pt idx="11">
                  <c:v>5.2572799187663097</c:v>
                </c:pt>
                <c:pt idx="12">
                  <c:v>5.5825767581152368</c:v>
                </c:pt>
                <c:pt idx="13">
                  <c:v>5.9135775034872173</c:v>
                </c:pt>
                <c:pt idx="14">
                  <c:v>6.2464873275847026</c:v>
                </c:pt>
                <c:pt idx="15">
                  <c:v>6.5771458742623023</c:v>
                </c:pt>
                <c:pt idx="16">
                  <c:v>6.9011634124621342</c:v>
                </c:pt>
                <c:pt idx="17">
                  <c:v>7.2140810967920066</c:v>
                </c:pt>
                <c:pt idx="18">
                  <c:v>7.5115474484853308</c:v>
                </c:pt>
                <c:pt idx="19">
                  <c:v>7.7895013634194763</c:v>
                </c:pt>
                <c:pt idx="20">
                  <c:v>8.0443508074727728</c:v>
                </c:pt>
                <c:pt idx="21">
                  <c:v>8.2731360255039252</c:v>
                </c:pt>
                <c:pt idx="22">
                  <c:v>8.4736666474004476</c:v>
                </c:pt>
                <c:pt idx="23">
                  <c:v>8.6446235156401858</c:v>
                </c:pt>
                <c:pt idx="24">
                  <c:v>8.7856182868545449</c:v>
                </c:pt>
                <c:pt idx="25">
                  <c:v>8.8972066959906311</c:v>
                </c:pt>
                <c:pt idx="26">
                  <c:v>8.9808545720344952</c:v>
                </c:pt>
                <c:pt idx="27">
                  <c:v>9.0388589757603945</c:v>
                </c:pt>
                <c:pt idx="28">
                  <c:v>9.0742299006901703</c:v>
                </c:pt>
                <c:pt idx="29">
                  <c:v>9.0905405692931467</c:v>
                </c:pt>
                <c:pt idx="30">
                  <c:v>9.0917562498944342</c:v>
                </c:pt>
                <c:pt idx="31">
                  <c:v>9.0820525720018388</c:v>
                </c:pt>
                <c:pt idx="32">
                  <c:v>9.065634471786284</c:v>
                </c:pt>
                <c:pt idx="33">
                  <c:v>9.0465661874789696</c:v>
                </c:pt>
                <c:pt idx="34">
                  <c:v>9.0286212600211542</c:v>
                </c:pt>
                <c:pt idx="35">
                  <c:v>9.0151594554561338</c:v>
                </c:pt>
                <c:pt idx="36">
                  <c:v>9.0090351317223671</c:v>
                </c:pt>
                <c:pt idx="37">
                  <c:v>9.0125390584250464</c:v>
                </c:pt>
                <c:pt idx="38">
                  <c:v>9.0273732882068334</c:v>
                </c:pt>
                <c:pt idx="39">
                  <c:v>9.0546565643960104</c:v>
                </c:pt>
                <c:pt idx="40">
                  <c:v>9.0949560748360074</c:v>
                </c:pt>
                <c:pt idx="41">
                  <c:v>9.1483402115820276</c:v>
                </c:pt>
                <c:pt idx="42">
                  <c:v>9.2144463965613923</c:v>
                </c:pt>
                <c:pt idx="43">
                  <c:v>9.2925579562881975</c:v>
                </c:pt>
                <c:pt idx="44">
                  <c:v>9.3816844025659467</c:v>
                </c:pt>
                <c:pt idx="45">
                  <c:v>9.4806401990804297</c:v>
                </c:pt>
                <c:pt idx="46">
                  <c:v>9.5881180490259226</c:v>
                </c:pt>
                <c:pt idx="47">
                  <c:v>9.7027538085346041</c:v>
                </c:pt>
                <c:pt idx="48">
                  <c:v>9.8231812075859892</c:v>
                </c:pt>
                <c:pt idx="49">
                  <c:v>9.9480755564860317</c:v>
                </c:pt>
                <c:pt idx="50">
                  <c:v>10.076186468379438</c:v>
                </c:pt>
                <c:pt idx="51">
                  <c:v>10.206360298649571</c:v>
                </c:pt>
                <c:pt idx="52">
                  <c:v>10.337553476513754</c:v>
                </c:pt>
                <c:pt idx="53">
                  <c:v>10.468838188876733</c:v>
                </c:pt>
                <c:pt idx="54">
                  <c:v>10.599401992912581</c:v>
                </c:pt>
                <c:pt idx="55">
                  <c:v>10.728542912857579</c:v>
                </c:pt>
                <c:pt idx="56">
                  <c:v>10.855661453449686</c:v>
                </c:pt>
                <c:pt idx="57">
                  <c:v>10.980250772648402</c:v>
                </c:pt>
                <c:pt idx="58">
                  <c:v>11.101886031673455</c:v>
                </c:pt>
                <c:pt idx="59">
                  <c:v>11.220213707504074</c:v>
                </c:pt>
                <c:pt idx="60">
                  <c:v>11.334941431799647</c:v>
                </c:pt>
                <c:pt idx="61">
                  <c:v>11.445828724198984</c:v>
                </c:pt>
                <c:pt idx="62">
                  <c:v>11.552678824637693</c:v>
                </c:pt>
                <c:pt idx="63">
                  <c:v>11.655331701277726</c:v>
                </c:pt>
                <c:pt idx="64">
                  <c:v>11.75365821675104</c:v>
                </c:pt>
                <c:pt idx="65">
                  <c:v>11.847555372081656</c:v>
                </c:pt>
                <c:pt idx="66">
                  <c:v>11.936942509881515</c:v>
                </c:pt>
                <c:pt idx="67">
                  <c:v>12.021758340731257</c:v>
                </c:pt>
                <c:pt idx="68">
                  <c:v>12.101958653728722</c:v>
                </c:pt>
                <c:pt idx="69">
                  <c:v>12.177514579266544</c:v>
                </c:pt>
                <c:pt idx="70">
                  <c:v>12.248411285243519</c:v>
                </c:pt>
                <c:pt idx="71">
                  <c:v>12.314647004059669</c:v>
                </c:pt>
                <c:pt idx="72">
                  <c:v>12.376232304670216</c:v>
                </c:pt>
                <c:pt idx="73">
                  <c:v>12.433189540193828</c:v>
                </c:pt>
                <c:pt idx="74">
                  <c:v>12.4855524161999</c:v>
                </c:pt>
                <c:pt idx="75">
                  <c:v>12.533365637406607</c:v>
                </c:pt>
                <c:pt idx="76">
                  <c:v>12.576684600997709</c:v>
                </c:pt>
                <c:pt idx="77">
                  <c:v>12.615575113209543</c:v>
                </c:pt>
                <c:pt idx="78">
                  <c:v>12.650113112469294</c:v>
                </c:pt>
                <c:pt idx="79">
                  <c:v>12.680384387452644</c:v>
                </c:pt>
                <c:pt idx="80">
                  <c:v>12.706484282254056</c:v>
                </c:pt>
                <c:pt idx="81">
                  <c:v>12.7285173836887</c:v>
                </c:pt>
                <c:pt idx="82">
                  <c:v>12.746597187800454</c:v>
                </c:pt>
                <c:pt idx="83">
                  <c:v>12.760845744126547</c:v>
                </c:pt>
                <c:pt idx="84">
                  <c:v>12.771393277318897</c:v>
                </c:pt>
                <c:pt idx="85">
                  <c:v>12.778377786463178</c:v>
                </c:pt>
                <c:pt idx="86">
                  <c:v>12.781944622958113</c:v>
                </c:pt>
                <c:pt idx="87">
                  <c:v>12.782246048184545</c:v>
                </c:pt>
                <c:pt idx="88">
                  <c:v>12.779440772452922</c:v>
                </c:pt>
                <c:pt idx="89">
                  <c:v>12.773693476901871</c:v>
                </c:pt>
                <c:pt idx="90">
                  <c:v>12.765174320151797</c:v>
                </c:pt>
                <c:pt idx="91">
                  <c:v>12.754058431610773</c:v>
                </c:pt>
                <c:pt idx="92">
                  <c:v>12.740525393395846</c:v>
                </c:pt>
                <c:pt idx="93">
                  <c:v>12.724758712877302</c:v>
                </c:pt>
                <c:pt idx="94">
                  <c:v>12.70694528788084</c:v>
                </c:pt>
                <c:pt idx="95">
                  <c:v>12.687274866595702</c:v>
                </c:pt>
                <c:pt idx="96">
                  <c:v>12.665939504237198</c:v>
                </c:pt>
                <c:pt idx="97">
                  <c:v>12.64313301850108</c:v>
                </c:pt>
                <c:pt idx="98">
                  <c:v>12.619050445825458</c:v>
                </c:pt>
                <c:pt idx="99">
                  <c:v>12.593887500444357</c:v>
                </c:pt>
                <c:pt idx="100">
                  <c:v>12.567840038175783</c:v>
                </c:pt>
                <c:pt idx="101">
                  <c:v>12.541103526837015</c:v>
                </c:pt>
                <c:pt idx="102">
                  <c:v>12.513872525121231</c:v>
                </c:pt>
                <c:pt idx="103">
                  <c:v>12.486340171702889</c:v>
                </c:pt>
                <c:pt idx="104">
                  <c:v>12.458697686265284</c:v>
                </c:pt>
                <c:pt idx="105">
                  <c:v>12.431133884062611</c:v>
                </c:pt>
                <c:pt idx="106">
                  <c:v>12.403834705541732</c:v>
                </c:pt>
                <c:pt idx="107">
                  <c:v>12.376982762455635</c:v>
                </c:pt>
                <c:pt idx="108">
                  <c:v>12.350756901802757</c:v>
                </c:pt>
                <c:pt idx="109">
                  <c:v>12.325331788823544</c:v>
                </c:pt>
                <c:pt idx="110">
                  <c:v>12.300877510179671</c:v>
                </c:pt>
                <c:pt idx="111">
                  <c:v>12.277559198331657</c:v>
                </c:pt>
                <c:pt idx="112">
                  <c:v>12.255536678019043</c:v>
                </c:pt>
                <c:pt idx="113">
                  <c:v>12.234964135633561</c:v>
                </c:pt>
                <c:pt idx="114">
                  <c:v>12.215989812161222</c:v>
                </c:pt>
                <c:pt idx="115">
                  <c:v>12.198755720253939</c:v>
                </c:pt>
                <c:pt idx="116">
                  <c:v>12.183397385876624</c:v>
                </c:pt>
                <c:pt idx="117">
                  <c:v>12.170043614861477</c:v>
                </c:pt>
                <c:pt idx="118">
                  <c:v>12.158816284588573</c:v>
                </c:pt>
                <c:pt idx="119">
                  <c:v>12.149830160901312</c:v>
                </c:pt>
                <c:pt idx="120">
                  <c:v>12.143192740257039</c:v>
                </c:pt>
                <c:pt idx="121">
                  <c:v>12.139004117008421</c:v>
                </c:pt>
                <c:pt idx="122">
                  <c:v>12.137356875609436</c:v>
                </c:pt>
                <c:pt idx="123">
                  <c:v>12.138336007442673</c:v>
                </c:pt>
                <c:pt idx="124">
                  <c:v>12.142018851871493</c:v>
                </c:pt>
                <c:pt idx="125">
                  <c:v>12.14847506103248</c:v>
                </c:pt>
                <c:pt idx="126">
                  <c:v>12.157766587800499</c:v>
                </c:pt>
                <c:pt idx="127">
                  <c:v>12.16994769628111</c:v>
                </c:pt>
                <c:pt idx="128">
                  <c:v>12.185064994112953</c:v>
                </c:pt>
                <c:pt idx="129">
                  <c:v>12.203157485796764</c:v>
                </c:pt>
                <c:pt idx="130">
                  <c:v>12.224256646207481</c:v>
                </c:pt>
                <c:pt idx="131">
                  <c:v>12.248386513391944</c:v>
                </c:pt>
                <c:pt idx="132">
                  <c:v>12.275563799707056</c:v>
                </c:pt>
                <c:pt idx="133">
                  <c:v>12.30579802031173</c:v>
                </c:pt>
                <c:pt idx="134">
                  <c:v>12.339091637990734</c:v>
                </c:pt>
                <c:pt idx="135">
                  <c:v>12.375440223259647</c:v>
                </c:pt>
                <c:pt idx="136">
                  <c:v>12.414832628677173</c:v>
                </c:pt>
                <c:pt idx="137">
                  <c:v>12.457251176274282</c:v>
                </c:pt>
                <c:pt idx="138">
                  <c:v>12.502671856998752</c:v>
                </c:pt>
                <c:pt idx="139">
                  <c:v>12.551064541068376</c:v>
                </c:pt>
                <c:pt idx="140">
                  <c:v>12.602393198126359</c:v>
                </c:pt>
                <c:pt idx="141">
                  <c:v>12.656616126098136</c:v>
                </c:pt>
                <c:pt idx="142">
                  <c:v>12.713686187659157</c:v>
                </c:pt>
                <c:pt idx="143">
                  <c:v>12.773551053238771</c:v>
                </c:pt>
                <c:pt idx="144">
                  <c:v>12.836153449504968</c:v>
                </c:pt>
                <c:pt idx="145">
                  <c:v>12.901431412298814</c:v>
                </c:pt>
                <c:pt idx="146">
                  <c:v>12.969318543015133</c:v>
                </c:pt>
                <c:pt idx="147">
                  <c:v>13.039744267457417</c:v>
                </c:pt>
                <c:pt idx="148">
                  <c:v>13.112634096229414</c:v>
                </c:pt>
                <c:pt idx="149">
                  <c:v>13.187909885763274</c:v>
                </c:pt>
                <c:pt idx="150">
                  <c:v>13.265490099123985</c:v>
                </c:pt>
                <c:pt idx="151">
                  <c:v>13.345290065771966</c:v>
                </c:pt>
                <c:pt idx="152">
                  <c:v>13.427222239509605</c:v>
                </c:pt>
                <c:pt idx="153">
                  <c:v>13.511196453882913</c:v>
                </c:pt>
                <c:pt idx="154">
                  <c:v>13.597120174356169</c:v>
                </c:pt>
                <c:pt idx="155">
                  <c:v>13.684898746624894</c:v>
                </c:pt>
                <c:pt idx="156">
                  <c:v>13.774435640480554</c:v>
                </c:pt>
                <c:pt idx="157">
                  <c:v>13.865632688688805</c:v>
                </c:pt>
                <c:pt idx="158">
                  <c:v>13.958390320391299</c:v>
                </c:pt>
                <c:pt idx="159">
                  <c:v>14.052607788589329</c:v>
                </c:pt>
                <c:pt idx="160">
                  <c:v>14.148183391314976</c:v>
                </c:pt>
                <c:pt idx="161">
                  <c:v>14.245014686142323</c:v>
                </c:pt>
                <c:pt idx="162">
                  <c:v>14.342998697737059</c:v>
                </c:pt>
                <c:pt idx="163">
                  <c:v>14.442032118187536</c:v>
                </c:pt>
                <c:pt idx="164">
                  <c:v>14.542011499903571</c:v>
                </c:pt>
                <c:pt idx="165">
                  <c:v>14.642833440911078</c:v>
                </c:pt>
                <c:pt idx="166">
                  <c:v>14.744394762410847</c:v>
                </c:pt>
                <c:pt idx="167">
                  <c:v>14.846592678507987</c:v>
                </c:pt>
                <c:pt idx="168">
                  <c:v>14.94932495805514</c:v>
                </c:pt>
                <c:pt idx="169">
                  <c:v>15.052490078586912</c:v>
                </c:pt>
                <c:pt idx="170">
                  <c:v>15.155987372355552</c:v>
                </c:pt>
                <c:pt idx="171">
                  <c:v>15.259717164507993</c:v>
                </c:pt>
                <c:pt idx="172">
                  <c:v>15.363580903472727</c:v>
                </c:pt>
                <c:pt idx="173">
                  <c:v>15.467481283650788</c:v>
                </c:pt>
                <c:pt idx="174">
                  <c:v>15.571322360529045</c:v>
                </c:pt>
                <c:pt idx="175">
                  <c:v>15.675009658355465</c:v>
                </c:pt>
                <c:pt idx="176">
                  <c:v>15.778450270535581</c:v>
                </c:pt>
                <c:pt idx="177">
                  <c:v>15.881552952926601</c:v>
                </c:pt>
                <c:pt idx="178">
                  <c:v>15.984228210220879</c:v>
                </c:pt>
                <c:pt idx="179">
                  <c:v>16.086388375623592</c:v>
                </c:pt>
                <c:pt idx="180">
                  <c:v>16.187947684040694</c:v>
                </c:pt>
                <c:pt idx="181">
                  <c:v>16.28882233900249</c:v>
                </c:pt>
                <c:pt idx="182">
                  <c:v>16.388930573555619</c:v>
                </c:pt>
                <c:pt idx="183">
                  <c:v>16.488192705361939</c:v>
                </c:pt>
                <c:pt idx="184">
                  <c:v>16.58653118624688</c:v>
                </c:pt>
                <c:pt idx="185">
                  <c:v>16.683870646442191</c:v>
                </c:pt>
                <c:pt idx="186">
                  <c:v>16.780137933769186</c:v>
                </c:pt>
                <c:pt idx="187">
                  <c:v>16.875262148008076</c:v>
                </c:pt>
                <c:pt idx="188">
                  <c:v>16.969174670697278</c:v>
                </c:pt>
                <c:pt idx="189">
                  <c:v>17.061809190604055</c:v>
                </c:pt>
                <c:pt idx="190">
                  <c:v>17.153101725103603</c:v>
                </c:pt>
                <c:pt idx="191">
                  <c:v>17.242990637699023</c:v>
                </c:pt>
                <c:pt idx="192">
                  <c:v>17.331416651909056</c:v>
                </c:pt>
                <c:pt idx="193">
                  <c:v>17.418322861743505</c:v>
                </c:pt>
                <c:pt idx="194">
                  <c:v>17.503654738979773</c:v>
                </c:pt>
                <c:pt idx="195">
                  <c:v>17.587360137445508</c:v>
                </c:pt>
                <c:pt idx="196">
                  <c:v>17.66938929450475</c:v>
                </c:pt>
                <c:pt idx="197">
                  <c:v>17.749694829935958</c:v>
                </c:pt>
                <c:pt idx="198">
                  <c:v>17.828231742381508</c:v>
                </c:pt>
                <c:pt idx="199">
                  <c:v>17.904957403539161</c:v>
                </c:pt>
                <c:pt idx="200">
                  <c:v>17.979831550256524</c:v>
                </c:pt>
                <c:pt idx="201">
                  <c:v>18.052816274680247</c:v>
                </c:pt>
                <c:pt idx="202">
                  <c:v>18.123876012602246</c:v>
                </c:pt>
                <c:pt idx="203">
                  <c:v>18.192977530135767</c:v>
                </c:pt>
                <c:pt idx="204">
                  <c:v>18.260089908844872</c:v>
                </c:pt>
                <c:pt idx="205">
                  <c:v>18.325184529441817</c:v>
                </c:pt>
                <c:pt idx="206">
                  <c:v>18.388235054157743</c:v>
                </c:pt>
                <c:pt idx="207">
                  <c:v>18.44921740788336</c:v>
                </c:pt>
                <c:pt idx="208">
                  <c:v>18.508109758168015</c:v>
                </c:pt>
                <c:pt idx="209">
                  <c:v>18.564892494157121</c:v>
                </c:pt>
                <c:pt idx="210">
                  <c:v>18.619548204540337</c:v>
                </c:pt>
                <c:pt idx="211">
                  <c:v>18.672061654575316</c:v>
                </c:pt>
                <c:pt idx="212">
                  <c:v>18.722419762244705</c:v>
                </c:pt>
                <c:pt idx="213">
                  <c:v>18.770611573597531</c:v>
                </c:pt>
                <c:pt idx="214">
                  <c:v>18.816628237319595</c:v>
                </c:pt>
                <c:pt idx="215">
                  <c:v>18.860462978571903</c:v>
                </c:pt>
                <c:pt idx="216">
                  <c:v>18.902111072130346</c:v>
                </c:pt>
                <c:pt idx="217">
                  <c:v>18.941569814855136</c:v>
                </c:pt>
                <c:pt idx="218">
                  <c:v>18.97883849751366</c:v>
                </c:pt>
                <c:pt idx="219">
                  <c:v>19.013918375976278</c:v>
                </c:pt>
                <c:pt idx="220">
                  <c:v>19.046812641800805</c:v>
                </c:pt>
                <c:pt idx="221">
                  <c:v>19.077526392218008</c:v>
                </c:pt>
                <c:pt idx="222">
                  <c:v>19.106066599527459</c:v>
                </c:pt>
                <c:pt idx="223">
                  <c:v>19.132442079910479</c:v>
                </c:pt>
                <c:pt idx="224">
                  <c:v>19.1566634616646</c:v>
                </c:pt>
                <c:pt idx="225">
                  <c:v>19.178743152862214</c:v>
                </c:pt>
                <c:pt idx="226">
                  <c:v>19.198695308434402</c:v>
                </c:pt>
                <c:pt idx="227">
                  <c:v>19.216535796679779</c:v>
                </c:pt>
                <c:pt idx="228">
                  <c:v>19.23228216519729</c:v>
                </c:pt>
                <c:pt idx="229">
                  <c:v>19.245953606241226</c:v>
                </c:pt>
                <c:pt idx="230">
                  <c:v>19.257570921496434</c:v>
                </c:pt>
                <c:pt idx="231">
                  <c:v>19.267156486271585</c:v>
                </c:pt>
                <c:pt idx="232">
                  <c:v>19.274734213108442</c:v>
                </c:pt>
                <c:pt idx="233">
                  <c:v>19.28032951480564</c:v>
                </c:pt>
                <c:pt idx="234">
                  <c:v>19.283969266855753</c:v>
                </c:pt>
                <c:pt idx="235">
                  <c:v>19.285681769295497</c:v>
                </c:pt>
                <c:pt idx="236">
                  <c:v>19.2854967079696</c:v>
                </c:pt>
                <c:pt idx="237">
                  <c:v>19.283445115210011</c:v>
                </c:pt>
                <c:pt idx="238">
                  <c:v>19.279559329933427</c:v>
                </c:pt>
                <c:pt idx="239">
                  <c:v>19.27387295716116</c:v>
                </c:pt>
                <c:pt idx="240">
                  <c:v>19.266420826967178</c:v>
                </c:pt>
                <c:pt idx="241">
                  <c:v>19.257238952861236</c:v>
                </c:pt>
                <c:pt idx="242">
                  <c:v>19.246364489615836</c:v>
                </c:pt>
                <c:pt idx="243">
                  <c:v>19.233835690547359</c:v>
                </c:pt>
                <c:pt idx="244">
                  <c:v>19.219691864263282</c:v>
                </c:pt>
                <c:pt idx="245">
                  <c:v>19.20397333088918</c:v>
                </c:pt>
                <c:pt idx="246">
                  <c:v>19.186721377790832</c:v>
                </c:pt>
                <c:pt idx="247">
                  <c:v>19.16797821480862</c:v>
                </c:pt>
                <c:pt idx="248">
                  <c:v>19.147786929022946</c:v>
                </c:pt>
                <c:pt idx="249">
                  <c:v>19.126191439071281</c:v>
                </c:pt>
                <c:pt idx="250">
                  <c:v>19.103236449038985</c:v>
                </c:pt>
                <c:pt idx="251">
                  <c:v>19.078967401947818</c:v>
                </c:pt>
                <c:pt idx="252">
                  <c:v>19.053430432867554</c:v>
                </c:pt>
                <c:pt idx="253">
                  <c:v>19.026672321677836</c:v>
                </c:pt>
                <c:pt idx="254">
                  <c:v>18.998740445508744</c:v>
                </c:pt>
                <c:pt idx="255">
                  <c:v>18.969682730890192</c:v>
                </c:pt>
                <c:pt idx="256">
                  <c:v>18.939547605641515</c:v>
                </c:pt>
                <c:pt idx="257">
                  <c:v>18.908383950534045</c:v>
                </c:pt>
                <c:pt idx="258">
                  <c:v>18.876241050760722</c:v>
                </c:pt>
                <c:pt idx="259">
                  <c:v>18.843168547247853</c:v>
                </c:pt>
                <c:pt idx="260">
                  <c:v>18.809216387845463</c:v>
                </c:pt>
                <c:pt idx="261">
                  <c:v>18.774434778433491</c:v>
                </c:pt>
                <c:pt idx="262">
                  <c:v>18.738874133982161</c:v>
                </c:pt>
                <c:pt idx="263">
                  <c:v>18.702585029605682</c:v>
                </c:pt>
                <c:pt idx="264">
                  <c:v>18.665618151649184</c:v>
                </c:pt>
                <c:pt idx="265">
                  <c:v>18.62802424884956</c:v>
                </c:pt>
                <c:pt idx="266">
                  <c:v>18.589854083611353</c:v>
                </c:pt>
                <c:pt idx="267">
                  <c:v>18.551158383439528</c:v>
                </c:pt>
                <c:pt idx="268">
                  <c:v>18.511987792571215</c:v>
                </c:pt>
                <c:pt idx="269">
                  <c:v>18.472392823848924</c:v>
                </c:pt>
                <c:pt idx="270">
                  <c:v>18.432423810878078</c:v>
                </c:pt>
                <c:pt idx="271">
                  <c:v>18.392130860511667</c:v>
                </c:pt>
                <c:pt idx="272">
                  <c:v>18.351563805705123</c:v>
                </c:pt>
                <c:pt idx="273">
                  <c:v>18.310772158784381</c:v>
                </c:pt>
                <c:pt idx="274">
                  <c:v>18.269805065170033</c:v>
                </c:pt>
                <c:pt idx="275">
                  <c:v>18.228711257600356</c:v>
                </c:pt>
                <c:pt idx="276">
                  <c:v>18.187539010895694</c:v>
                </c:pt>
                <c:pt idx="277">
                  <c:v>18.14633609730641</c:v>
                </c:pt>
                <c:pt idx="278">
                  <c:v>18.105149742486148</c:v>
                </c:pt>
                <c:pt idx="279">
                  <c:v>18.064026582131739</c:v>
                </c:pt>
                <c:pt idx="280">
                  <c:v>18.023012619330515</c:v>
                </c:pt>
                <c:pt idx="281">
                  <c:v>17.982153182655185</c:v>
                </c:pt>
                <c:pt idx="282">
                  <c:v>17.941492885045733</c:v>
                </c:pt>
                <c:pt idx="283">
                  <c:v>17.901075583517002</c:v>
                </c:pt>
                <c:pt idx="284">
                  <c:v>17.860944339729997</c:v>
                </c:pt>
                <c:pt idx="285">
                  <c:v>17.821141381463811</c:v>
                </c:pt>
                <c:pt idx="286">
                  <c:v>17.781708065024354</c:v>
                </c:pt>
                <c:pt idx="287">
                  <c:v>17.74268483862501</c:v>
                </c:pt>
                <c:pt idx="288">
                  <c:v>17.70411120677327</c:v>
                </c:pt>
                <c:pt idx="289">
                  <c:v>17.666025695696348</c:v>
                </c:pt>
                <c:pt idx="290">
                  <c:v>17.628465819837686</c:v>
                </c:pt>
                <c:pt idx="291">
                  <c:v>17.59146804945502</c:v>
                </c:pt>
                <c:pt idx="292">
                  <c:v>17.555067779349365</c:v>
                </c:pt>
                <c:pt idx="293">
                  <c:v>17.519299298753303</c:v>
                </c:pt>
                <c:pt idx="294">
                  <c:v>17.484195762405328</c:v>
                </c:pt>
                <c:pt idx="295">
                  <c:v>17.449789162835852</c:v>
                </c:pt>
                <c:pt idx="296">
                  <c:v>17.416110303889116</c:v>
                </c:pt>
                <c:pt idx="297">
                  <c:v>17.383188775503729</c:v>
                </c:pt>
                <c:pt idx="298">
                  <c:v>17.351052929773292</c:v>
                </c:pt>
                <c:pt idx="299">
                  <c:v>17.319729858306996</c:v>
                </c:pt>
                <c:pt idx="300">
                  <c:v>17.289245370908645</c:v>
                </c:pt>
                <c:pt idx="301">
                  <c:v>17.259623975591143</c:v>
                </c:pt>
                <c:pt idx="302">
                  <c:v>17.230888859941835</c:v>
                </c:pt>
                <c:pt idx="303">
                  <c:v>17.203061873852707</c:v>
                </c:pt>
                <c:pt idx="304">
                  <c:v>17.176163513627827</c:v>
                </c:pt>
                <c:pt idx="305">
                  <c:v>17.150212907478945</c:v>
                </c:pt>
                <c:pt idx="306">
                  <c:v>17.125227802418525</c:v>
                </c:pt>
                <c:pt idx="307">
                  <c:v>17.101224552558037</c:v>
                </c:pt>
                <c:pt idx="308">
                  <c:v>17.078218108817666</c:v>
                </c:pt>
                <c:pt idx="309">
                  <c:v>17.056222010052167</c:v>
                </c:pt>
                <c:pt idx="310">
                  <c:v>17.035248375595902</c:v>
                </c:pt>
                <c:pt idx="311">
                  <c:v>17.015307899228667</c:v>
                </c:pt>
                <c:pt idx="312">
                  <c:v>16.996409844562272</c:v>
                </c:pt>
                <c:pt idx="313">
                  <c:v>16.978562041846402</c:v>
                </c:pt>
                <c:pt idx="314">
                  <c:v>16.961770886190617</c:v>
                </c:pt>
                <c:pt idx="315">
                  <c:v>16.946041337198043</c:v>
                </c:pt>
                <c:pt idx="316">
                  <c:v>16.931376920004531</c:v>
                </c:pt>
                <c:pt idx="317">
                  <c:v>16.917779727715885</c:v>
                </c:pt>
                <c:pt idx="318">
                  <c:v>16.905250425234012</c:v>
                </c:pt>
                <c:pt idx="319">
                  <c:v>16.893788254461594</c:v>
                </c:pt>
                <c:pt idx="320">
                  <c:v>16.88339104087337</c:v>
                </c:pt>
                <c:pt idx="321">
                  <c:v>16.874055201440697</c:v>
                </c:pt>
                <c:pt idx="322">
                  <c:v>16.865775753894781</c:v>
                </c:pt>
                <c:pt idx="323">
                  <c:v>16.85854632731246</c:v>
                </c:pt>
                <c:pt idx="324">
                  <c:v>16.852359174007244</c:v>
                </c:pt>
                <c:pt idx="325">
                  <c:v>16.847205182706965</c:v>
                </c:pt>
                <c:pt idx="326">
                  <c:v>16.843073892998046</c:v>
                </c:pt>
                <c:pt idx="327">
                  <c:v>16.839953511015317</c:v>
                </c:pt>
                <c:pt idx="328">
                  <c:v>16.837830926354968</c:v>
                </c:pt>
                <c:pt idx="329">
                  <c:v>16.83669173018718</c:v>
                </c:pt>
                <c:pt idx="330">
                  <c:v>16.83652023454367</c:v>
                </c:pt>
                <c:pt idx="331">
                  <c:v>16.837299492754514</c:v>
                </c:pt>
                <c:pt idx="332">
                  <c:v>16.839011321007373</c:v>
                </c:pt>
                <c:pt idx="333">
                  <c:v>16.841636321001296</c:v>
                </c:pt>
                <c:pt idx="334">
                  <c:v>16.845153903666326</c:v>
                </c:pt>
                <c:pt idx="335">
                  <c:v>16.849542313919084</c:v>
                </c:pt>
                <c:pt idx="336">
                  <c:v>16.854778656423743</c:v>
                </c:pt>
                <c:pt idx="337">
                  <c:v>16.860838922326863</c:v>
                </c:pt>
                <c:pt idx="338">
                  <c:v>16.867698016933694</c:v>
                </c:pt>
                <c:pt idx="339">
                  <c:v>16.875329788292937</c:v>
                </c:pt>
                <c:pt idx="340">
                  <c:v>16.883707056656007</c:v>
                </c:pt>
                <c:pt idx="341">
                  <c:v>16.892801644776391</c:v>
                </c:pt>
                <c:pt idx="342">
                  <c:v>16.902584409013809</c:v>
                </c:pt>
                <c:pt idx="343">
                  <c:v>16.913025271207481</c:v>
                </c:pt>
                <c:pt idx="344">
                  <c:v>16.924093251282123</c:v>
                </c:pt>
                <c:pt idx="345">
                  <c:v>16.935756500549836</c:v>
                </c:pt>
                <c:pt idx="346">
                  <c:v>16.947982335670602</c:v>
                </c:pt>
                <c:pt idx="347">
                  <c:v>16.960737273233601</c:v>
                </c:pt>
                <c:pt idx="348">
                  <c:v>16.973987064921275</c:v>
                </c:pt>
                <c:pt idx="349">
                  <c:v>16.987696733217692</c:v>
                </c:pt>
                <c:pt idx="350">
                  <c:v>17.001830607622434</c:v>
                </c:pt>
                <c:pt idx="351">
                  <c:v>17.016352361331109</c:v>
                </c:pt>
                <c:pt idx="352">
                  <c:v>17.031225048343241</c:v>
                </c:pt>
                <c:pt idx="353">
                  <c:v>17.046411140958238</c:v>
                </c:pt>
                <c:pt idx="354">
                  <c:v>17.061872567620046</c:v>
                </c:pt>
                <c:pt idx="355">
                  <c:v>17.077570751070859</c:v>
                </c:pt>
                <c:pt idx="356">
                  <c:v>17.093466646774534</c:v>
                </c:pt>
                <c:pt idx="357">
                  <c:v>17.109520781570044</c:v>
                </c:pt>
                <c:pt idx="358">
                  <c:v>17.125693292515628</c:v>
                </c:pt>
                <c:pt idx="359">
                  <c:v>17.141943965884249</c:v>
                </c:pt>
                <c:pt idx="360">
                  <c:v>17.1582322762712</c:v>
                </c:pt>
                <c:pt idx="361">
                  <c:v>17.174517425774823</c:v>
                </c:pt>
                <c:pt idx="362">
                  <c:v>17.190758383211595</c:v>
                </c:pt>
                <c:pt idx="363">
                  <c:v>17.206913923327036</c:v>
                </c:pt>
                <c:pt idx="364">
                  <c:v>17.222942665964275</c:v>
                </c:pt>
                <c:pt idx="365">
                  <c:v>17.238803115152358</c:v>
                </c:pt>
                <c:pt idx="366">
                  <c:v>17.254453698076908</c:v>
                </c:pt>
                <c:pt idx="367">
                  <c:v>17.269852803895962</c:v>
                </c:pt>
                <c:pt idx="368">
                  <c:v>17.28495882236448</c:v>
                </c:pt>
                <c:pt idx="369">
                  <c:v>17.299730182231368</c:v>
                </c:pt>
                <c:pt idx="370">
                  <c:v>17.314125389373377</c:v>
                </c:pt>
                <c:pt idx="371">
                  <c:v>17.328103064630941</c:v>
                </c:pt>
                <c:pt idx="372">
                  <c:v>17.341621981311391</c:v>
                </c:pt>
                <c:pt idx="373">
                  <c:v>17.3546411023258</c:v>
                </c:pt>
                <c:pt idx="374">
                  <c:v>17.367119616926225</c:v>
                </c:pt>
                <c:pt idx="375">
                  <c:v>17.379016977010888</c:v>
                </c:pt>
                <c:pt idx="376">
                  <c:v>17.390292932965412</c:v>
                </c:pt>
                <c:pt idx="377">
                  <c:v>17.400907569009178</c:v>
                </c:pt>
                <c:pt idx="378">
                  <c:v>17.41082133801638</c:v>
                </c:pt>
                <c:pt idx="379">
                  <c:v>17.419995095782333</c:v>
                </c:pt>
                <c:pt idx="380">
                  <c:v>17.42839013470628</c:v>
                </c:pt>
                <c:pt idx="381">
                  <c:v>17.435968216862886</c:v>
                </c:pt>
                <c:pt idx="382">
                  <c:v>17.442691606435247</c:v>
                </c:pt>
                <c:pt idx="383">
                  <c:v>17.448523101483506</c:v>
                </c:pt>
                <c:pt idx="384">
                  <c:v>17.453426065023528</c:v>
                </c:pt>
                <c:pt idx="385">
                  <c:v>17.457364455391534</c:v>
                </c:pt>
                <c:pt idx="386">
                  <c:v>17.460302855871099</c:v>
                </c:pt>
                <c:pt idx="387">
                  <c:v>17.462206503560147</c:v>
                </c:pt>
                <c:pt idx="388">
                  <c:v>17.463041317456373</c:v>
                </c:pt>
                <c:pt idx="389">
                  <c:v>17.462773925740574</c:v>
                </c:pt>
                <c:pt idx="390">
                  <c:v>17.461371692238281</c:v>
                </c:pt>
                <c:pt idx="391">
                  <c:v>17.458802742041197</c:v>
                </c:pt>
                <c:pt idx="392">
                  <c:v>17.455035986270847</c:v>
                </c:pt>
                <c:pt idx="393">
                  <c:v>17.450041145967916</c:v>
                </c:pt>
                <c:pt idx="394">
                  <c:v>17.443788775091743</c:v>
                </c:pt>
                <c:pt idx="395">
                  <c:v>17.436250282615564</c:v>
                </c:pt>
                <c:pt idx="396">
                  <c:v>17.427397953703995</c:v>
                </c:pt>
                <c:pt idx="397">
                  <c:v>17.417204969960448</c:v>
                </c:pt>
                <c:pt idx="398">
                  <c:v>17.405645428733184</c:v>
                </c:pt>
                <c:pt idx="399">
                  <c:v>17.392694361469715</c:v>
                </c:pt>
                <c:pt idx="400">
                  <c:v>17.378327751110469</c:v>
                </c:pt>
                <c:pt idx="401">
                  <c:v>17.362522548513734</c:v>
                </c:pt>
                <c:pt idx="402">
                  <c:v>17.345256687904921</c:v>
                </c:pt>
                <c:pt idx="403">
                  <c:v>17.32650910134452</c:v>
                </c:pt>
                <c:pt idx="404">
                  <c:v>17.306259732210208</c:v>
                </c:pt>
                <c:pt idx="405">
                  <c:v>17.284489547689951</c:v>
                </c:pt>
                <c:pt idx="406">
                  <c:v>17.261180550284273</c:v>
                </c:pt>
                <c:pt idx="407">
                  <c:v>17.236315788317285</c:v>
                </c:pt>
                <c:pt idx="408">
                  <c:v>17.20987936545793</c:v>
                </c:pt>
                <c:pt idx="409">
                  <c:v>17.18185644925444</c:v>
                </c:pt>
                <c:pt idx="410">
                  <c:v>17.152233278687419</c:v>
                </c:pt>
                <c:pt idx="411">
                  <c:v>17.120997170749405</c:v>
                </c:pt>
                <c:pt idx="412">
                  <c:v>17.088136526061518</c:v>
                </c:pt>
                <c:pt idx="413">
                  <c:v>17.053640833541856</c:v>
                </c:pt>
                <c:pt idx="414">
                  <c:v>17.017500674144369</c:v>
                </c:pt>
                <c:pt idx="415">
                  <c:v>16.979707723692584</c:v>
                </c:pt>
                <c:pt idx="416">
                  <c:v>16.940254754839465</c:v>
                </c:pt>
                <c:pt idx="417">
                  <c:v>16.899135638193115</c:v>
                </c:pt>
                <c:pt idx="418">
                  <c:v>16.856345342658869</c:v>
                </c:pt>
                <c:pt idx="419">
                  <c:v>16.8118799350618</c:v>
                </c:pt>
                <c:pt idx="420">
                  <c:v>16.76573657913044</c:v>
                </c:pt>
                <c:pt idx="421">
                  <c:v>16.717913533943729</c:v>
                </c:pt>
                <c:pt idx="422">
                  <c:v>16.668410151969415</c:v>
                </c:pt>
                <c:pt idx="423">
                  <c:v>16.617226876854829</c:v>
                </c:pt>
                <c:pt idx="424">
                  <c:v>16.56436524117137</c:v>
                </c:pt>
                <c:pt idx="425">
                  <c:v>16.509827864363579</c:v>
                </c:pt>
                <c:pt idx="426">
                  <c:v>16.453618451214702</c:v>
                </c:pt>
                <c:pt idx="427">
                  <c:v>16.395741791214419</c:v>
                </c:pt>
                <c:pt idx="428">
                  <c:v>16.336203759304048</c:v>
                </c:pt>
                <c:pt idx="429">
                  <c:v>16.275011318582095</c:v>
                </c:pt>
                <c:pt idx="430">
                  <c:v>16.212172525681325</c:v>
                </c:pt>
                <c:pt idx="431">
                  <c:v>16.14769653968089</c:v>
                </c:pt>
                <c:pt idx="432">
                  <c:v>16.081593635595766</c:v>
                </c:pt>
                <c:pt idx="433">
                  <c:v>16.013875223694978</c:v>
                </c:pt>
                <c:pt idx="434">
                  <c:v>15.944553876141521</c:v>
                </c:pt>
                <c:pt idx="435">
                  <c:v>15.873643362723996</c:v>
                </c:pt>
                <c:pt idx="436">
                  <c:v>15.80115869776469</c:v>
                </c:pt>
                <c:pt idx="437">
                  <c:v>15.727116200642129</c:v>
                </c:pt>
                <c:pt idx="438">
                  <c:v>15.651533572758437</c:v>
                </c:pt>
                <c:pt idx="439">
                  <c:v>15.574429994211981</c:v>
                </c:pt>
                <c:pt idx="440">
                  <c:v>15.495826243899971</c:v>
                </c:pt>
                <c:pt idx="441">
                  <c:v>15.415744847268988</c:v>
                </c:pt>
                <c:pt idx="442">
                  <c:v>15.334210256444317</c:v>
                </c:pt>
                <c:pt idx="443">
                  <c:v>15.251249067990463</c:v>
                </c:pt>
                <c:pt idx="444">
                  <c:v>15.166890284068046</c:v>
                </c:pt>
                <c:pt idx="445">
                  <c:v>15.081165623236837</c:v>
                </c:pt>
                <c:pt idx="446">
                  <c:v>14.994109887584491</c:v>
                </c:pt>
                <c:pt idx="447">
                  <c:v>14.905761393205083</c:v>
                </c:pt>
                <c:pt idx="448">
                  <c:v>14.816162471273882</c:v>
                </c:pt>
                <c:pt idx="449">
                  <c:v>14.725360047022811</c:v>
                </c:pt>
                <c:pt idx="450">
                  <c:v>14.633406303766906</c:v>
                </c:pt>
                <c:pt idx="451">
                  <c:v>14.540359438713573</c:v>
                </c:pt>
                <c:pt idx="452">
                  <c:v>14.446284516546811</c:v>
                </c:pt>
                <c:pt idx="453">
                  <c:v>14.351254425659279</c:v>
                </c:pt>
                <c:pt idx="454">
                  <c:v>14.255350940346201</c:v>
                </c:pt>
                <c:pt idx="455">
                  <c:v>14.158665890219014</c:v>
                </c:pt>
                <c:pt idx="456">
                  <c:v>14.061302435489871</c:v>
                </c:pt>
                <c:pt idx="457">
                  <c:v>13.963376443575564</c:v>
                </c:pt>
                <c:pt idx="458">
                  <c:v>13.865017958637294</c:v>
                </c:pt>
                <c:pt idx="459">
                  <c:v>13.766372751194695</c:v>
                </c:pt>
                <c:pt idx="460">
                  <c:v>13.667603929831476</c:v>
                </c:pt>
                <c:pt idx="461">
                  <c:v>13.568893591275435</c:v>
                </c:pt>
                <c:pt idx="462">
                  <c:v>13.470444478847462</c:v>
                </c:pt>
                <c:pt idx="463">
                  <c:v>13.372481612525064</c:v>
                </c:pt>
                <c:pt idx="464">
                  <c:v>13.275253846789276</c:v>
                </c:pt>
                <c:pt idx="465">
                  <c:v>13.179035305191263</c:v>
                </c:pt>
                <c:pt idx="466">
                  <c:v>13.084126633402585</c:v>
                </c:pt>
                <c:pt idx="467">
                  <c:v>12.990856005657626</c:v>
                </c:pt>
                <c:pt idx="468">
                  <c:v>12.899579813256031</c:v>
                </c:pt>
                <c:pt idx="469">
                  <c:v>12.810682958499992</c:v>
                </c:pt>
                <c:pt idx="470">
                  <c:v>12.724578673457698</c:v>
                </c:pt>
                <c:pt idx="471">
                  <c:v>12.641707780651831</c:v>
                </c:pt>
                <c:pt idx="472">
                  <c:v>12.562537312558719</c:v>
                </c:pt>
                <c:pt idx="473">
                  <c:v>12.487558409050679</c:v>
                </c:pt>
                <c:pt idx="474">
                  <c:v>12.417283416977492</c:v>
                </c:pt>
                <c:pt idx="475">
                  <c:v>12.352242124275293</c:v>
                </c:pt>
                <c:pt idx="476">
                  <c:v>12.292977072561015</c:v>
                </c:pt>
                <c:pt idx="477">
                  <c:v>12.240037907281746</c:v>
                </c:pt>
                <c:pt idx="478">
                  <c:v>12.193974743198817</c:v>
                </c:pt>
                <c:pt idx="479">
                  <c:v>12.155330545229985</c:v>
                </c:pt>
                <c:pt idx="480">
                  <c:v>12.124632550241609</c:v>
                </c:pt>
                <c:pt idx="481">
                  <c:v>12.102382783914139</c:v>
                </c:pt>
                <c:pt idx="482">
                  <c:v>12.089047757774685</c:v>
                </c:pt>
                <c:pt idx="483">
                  <c:v>12.085047464210508</c:v>
                </c:pt>
                <c:pt idx="484">
                  <c:v>12.09074382090027</c:v>
                </c:pt>
                <c:pt idx="485">
                  <c:v>12.106428749630735</c:v>
                </c:pt>
                <c:pt idx="486">
                  <c:v>12.132312106786275</c:v>
                </c:pt>
                <c:pt idx="487">
                  <c:v>12.168509712690483</c:v>
                </c:pt>
                <c:pt idx="488">
                  <c:v>12.215031753168342</c:v>
                </c:pt>
                <c:pt idx="489">
                  <c:v>12.27177184789263</c:v>
                </c:pt>
                <c:pt idx="490">
                  <c:v>12.338497095024303</c:v>
                </c:pt>
                <c:pt idx="491">
                  <c:v>12.414839409185976</c:v>
                </c:pt>
                <c:pt idx="492">
                  <c:v>12.500288468899495</c:v>
                </c:pt>
                <c:pt idx="493">
                  <c:v>12.594186579452188</c:v>
                </c:pt>
                <c:pt idx="494">
                  <c:v>12.695725737165969</c:v>
                </c:pt>
                <c:pt idx="495">
                  <c:v>12.803947150964293</c:v>
                </c:pt>
                <c:pt idx="496">
                  <c:v>12.917743437039164</c:v>
                </c:pt>
                <c:pt idx="497">
                  <c:v>13.035863652756673</c:v>
                </c:pt>
                <c:pt idx="498">
                  <c:v>13.156921277528239</c:v>
                </c:pt>
                <c:pt idx="499">
                  <c:v>13.279405182419575</c:v>
                </c:pt>
                <c:pt idx="500">
                  <c:v>13.401693558335651</c:v>
                </c:pt>
                <c:pt idx="501">
                  <c:v>13.522070696600416</c:v>
                </c:pt>
                <c:pt idx="502">
                  <c:v>13.638746437813396</c:v>
                </c:pt>
                <c:pt idx="503">
                  <c:v>13.749878027389702</c:v>
                </c:pt>
                <c:pt idx="504">
                  <c:v>13.853594041683202</c:v>
                </c:pt>
                <c:pt idx="505">
                  <c:v>13.948019979601465</c:v>
                </c:pt>
                <c:pt idx="506">
                  <c:v>14.031305053634764</c:v>
                </c:pt>
                <c:pt idx="507">
                  <c:v>14.101649663570921</c:v>
                </c:pt>
                <c:pt idx="508">
                  <c:v>14.157332997928227</c:v>
                </c:pt>
                <c:pt idx="509">
                  <c:v>14.196740184036749</c:v>
                </c:pt>
                <c:pt idx="510">
                  <c:v>14.218388399031296</c:v>
                </c:pt>
                <c:pt idx="511">
                  <c:v>14.220951361588568</c:v>
                </c:pt>
                <c:pt idx="512">
                  <c:v>14.203281648304266</c:v>
                </c:pt>
                <c:pt idx="513">
                  <c:v>14.164430318850162</c:v>
                </c:pt>
                <c:pt idx="514">
                  <c:v>14.103663389590572</c:v>
                </c:pt>
                <c:pt idx="515">
                  <c:v>14.020474764732183</c:v>
                </c:pt>
                <c:pt idx="516">
                  <c:v>13.914595315382954</c:v>
                </c:pt>
                <c:pt idx="517">
                  <c:v>13.785997887713581</c:v>
                </c:pt>
                <c:pt idx="518">
                  <c:v>13.634898119000589</c:v>
                </c:pt>
                <c:pt idx="519">
                  <c:v>13.461751041680071</c:v>
                </c:pt>
                <c:pt idx="520">
                  <c:v>13.267243557508987</c:v>
                </c:pt>
                <c:pt idx="521">
                  <c:v>13.052282963346826</c:v>
                </c:pt>
                <c:pt idx="522">
                  <c:v>12.81798180386156</c:v>
                </c:pt>
                <c:pt idx="523">
                  <c:v>12.565639411769821</c:v>
                </c:pt>
                <c:pt idx="524">
                  <c:v>12.296720570501215</c:v>
                </c:pt>
                <c:pt idx="525">
                  <c:v>12.012831795301214</c:v>
                </c:pt>
                <c:pt idx="526">
                  <c:v>11.715695775112533</c:v>
                </c:pt>
                <c:pt idx="527">
                  <c:v>11.407124547995863</c:v>
                </c:pt>
                <c:pt idx="528">
                  <c:v>11.088991996831304</c:v>
                </c:pt>
                <c:pt idx="529">
                  <c:v>10.763206249619035</c:v>
                </c:pt>
                <c:pt idx="530">
                  <c:v>10.431682550466883</c:v>
                </c:pt>
                <c:pt idx="531">
                  <c:v>10.096317134424629</c:v>
                </c:pt>
                <c:pt idx="532">
                  <c:v>9.758962593268885</c:v>
                </c:pt>
                <c:pt idx="533">
                  <c:v>9.4214051621085098</c:v>
                </c:pt>
                <c:pt idx="534">
                  <c:v>9.0853442905115749</c:v>
                </c:pt>
                <c:pt idx="535">
                  <c:v>8.7523747891905792</c:v>
                </c:pt>
                <c:pt idx="536">
                  <c:v>8.4239717666590543</c:v>
                </c:pt>
                <c:pt idx="537">
                  <c:v>8.1014784922241176</c:v>
                </c:pt>
                <c:pt idx="538">
                  <c:v>7.7860972446446501</c:v>
                </c:pt>
                <c:pt idx="539">
                  <c:v>7.4788831320220615</c:v>
                </c:pt>
                <c:pt idx="540">
                  <c:v>7.180740800007464</c:v>
                </c:pt>
              </c:numCache>
            </c:numRef>
          </c:yVal>
        </c:ser>
        <c:axId val="43925504"/>
        <c:axId val="43927808"/>
      </c:scatterChart>
      <c:valAx>
        <c:axId val="43925504"/>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927808"/>
        <c:crosses val="autoZero"/>
        <c:crossBetween val="midCat"/>
      </c:valAx>
      <c:valAx>
        <c:axId val="43927808"/>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925504"/>
        <c:crosses val="autoZero"/>
        <c:crossBetween val="midCat"/>
      </c:valAx>
      <c:spPr>
        <a:noFill/>
        <a:ln w="12700">
          <a:solidFill>
            <a:srgbClr val="808080"/>
          </a:solidFill>
          <a:prstDash val="solid"/>
        </a:ln>
      </c:spPr>
    </c:plotArea>
    <c:legend>
      <c:legendPos val="r"/>
      <c:layout>
        <c:manualLayout>
          <c:xMode val="edge"/>
          <c:yMode val="edge"/>
          <c:x val="0.818359375"/>
          <c:y val="2.2408963585434354E-2"/>
          <c:w val="0.173828125"/>
          <c:h val="0.43137372534315777"/>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44" r="0.75000000000000244"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2007"/>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Data!$B$2:$B$1001</c:f>
              <c:numCache>
                <c:formatCode>General</c:formatCode>
                <c:ptCount val="1000"/>
                <c:pt idx="0">
                  <c:v>0</c:v>
                </c:pt>
                <c:pt idx="1">
                  <c:v>0.65021008808299996</c:v>
                </c:pt>
                <c:pt idx="2">
                  <c:v>1.2772538376249969</c:v>
                </c:pt>
                <c:pt idx="3">
                  <c:v>1.8801638359479966</c:v>
                </c:pt>
                <c:pt idx="4">
                  <c:v>2.4579726703749998</c:v>
                </c:pt>
                <c:pt idx="5">
                  <c:v>3.0097129282259942</c:v>
                </c:pt>
                <c:pt idx="6">
                  <c:v>3.5344171968259985</c:v>
                </c:pt>
                <c:pt idx="7">
                  <c:v>4.0311180634959953</c:v>
                </c:pt>
                <c:pt idx="8">
                  <c:v>4.4988481155579905</c:v>
                </c:pt>
                <c:pt idx="9">
                  <c:v>4.9374829812519891</c:v>
                </c:pt>
                <c:pt idx="10">
                  <c:v>5.3486787616289888</c:v>
                </c:pt>
                <c:pt idx="11">
                  <c:v>5.734138753229999</c:v>
                </c:pt>
                <c:pt idx="12">
                  <c:v>6.0955662525919934</c:v>
                </c:pt>
                <c:pt idx="13">
                  <c:v>6.4346645562579994</c:v>
                </c:pt>
                <c:pt idx="14">
                  <c:v>6.7531369607649907</c:v>
                </c:pt>
                <c:pt idx="15">
                  <c:v>7.0526867626539911</c:v>
                </c:pt>
                <c:pt idx="16">
                  <c:v>7.3350172584639921</c:v>
                </c:pt>
                <c:pt idx="17">
                  <c:v>7.5965263321320009</c:v>
                </c:pt>
                <c:pt idx="18">
                  <c:v>7.8099663248499951</c:v>
                </c:pt>
                <c:pt idx="19">
                  <c:v>7.9790990056850006</c:v>
                </c:pt>
                <c:pt idx="20">
                  <c:v>8.1133117252259979</c:v>
                </c:pt>
                <c:pt idx="21">
                  <c:v>8.2219918340629903</c:v>
                </c:pt>
                <c:pt idx="22">
                  <c:v>8.3145266827859956</c:v>
                </c:pt>
                <c:pt idx="23">
                  <c:v>8.4003036219839942</c:v>
                </c:pt>
                <c:pt idx="24">
                  <c:v>8.4887100022459947</c:v>
                </c:pt>
                <c:pt idx="25">
                  <c:v>8.5891331741609918</c:v>
                </c:pt>
                <c:pt idx="26">
                  <c:v>8.679962372576</c:v>
                </c:pt>
                <c:pt idx="27">
                  <c:v>8.7390600616589893</c:v>
                </c:pt>
                <c:pt idx="28">
                  <c:v>8.775023435979989</c:v>
                </c:pt>
                <c:pt idx="29">
                  <c:v>8.7964496901129934</c:v>
                </c:pt>
                <c:pt idx="30">
                  <c:v>8.8119360186289981</c:v>
                </c:pt>
                <c:pt idx="31">
                  <c:v>8.8300796161019974</c:v>
                </c:pt>
                <c:pt idx="32">
                  <c:v>8.8594776771030013</c:v>
                </c:pt>
                <c:pt idx="33">
                  <c:v>8.9087273962040001</c:v>
                </c:pt>
                <c:pt idx="34">
                  <c:v>8.9818653524839931</c:v>
                </c:pt>
                <c:pt idx="35">
                  <c:v>9.0572830358899949</c:v>
                </c:pt>
                <c:pt idx="36">
                  <c:v>9.1317541068249994</c:v>
                </c:pt>
                <c:pt idx="37">
                  <c:v>9.2062970621129949</c:v>
                </c:pt>
                <c:pt idx="38">
                  <c:v>9.2819303985800019</c:v>
                </c:pt>
                <c:pt idx="39">
                  <c:v>9.3596726130489998</c:v>
                </c:pt>
                <c:pt idx="40">
                  <c:v>9.4405422023459948</c:v>
                </c:pt>
                <c:pt idx="41">
                  <c:v>9.5255576632949897</c:v>
                </c:pt>
                <c:pt idx="42">
                  <c:v>9.6157374927209958</c:v>
                </c:pt>
                <c:pt idx="43">
                  <c:v>9.7156864156129927</c:v>
                </c:pt>
                <c:pt idx="44">
                  <c:v>9.827115274034</c:v>
                </c:pt>
                <c:pt idx="45">
                  <c:v>9.9467017404149942</c:v>
                </c:pt>
                <c:pt idx="46">
                  <c:v>10.071123487188999</c:v>
                </c:pt>
                <c:pt idx="47">
                  <c:v>10.197058186788993</c:v>
                </c:pt>
                <c:pt idx="48">
                  <c:v>10.321183511645998</c:v>
                </c:pt>
                <c:pt idx="49">
                  <c:v>10.440177134194002</c:v>
                </c:pt>
                <c:pt idx="50">
                  <c:v>10.550716726863001</c:v>
                </c:pt>
                <c:pt idx="51">
                  <c:v>10.651994276756994</c:v>
                </c:pt>
                <c:pt idx="52">
                  <c:v>10.756192601509994</c:v>
                </c:pt>
                <c:pt idx="53">
                  <c:v>10.863575123239997</c:v>
                </c:pt>
                <c:pt idx="54">
                  <c:v>10.971937533532</c:v>
                </c:pt>
                <c:pt idx="55">
                  <c:v>11.079075523965997</c:v>
                </c:pt>
                <c:pt idx="56">
                  <c:v>11.182784786122994</c:v>
                </c:pt>
                <c:pt idx="57">
                  <c:v>11.280861011586993</c:v>
                </c:pt>
                <c:pt idx="58">
                  <c:v>11.371099891938002</c:v>
                </c:pt>
                <c:pt idx="59">
                  <c:v>11.451297118757992</c:v>
                </c:pt>
                <c:pt idx="60">
                  <c:v>11.52274161403399</c:v>
                </c:pt>
                <c:pt idx="61">
                  <c:v>11.588698142160993</c:v>
                </c:pt>
                <c:pt idx="62">
                  <c:v>11.649926158337991</c:v>
                </c:pt>
                <c:pt idx="63">
                  <c:v>11.707185117763999</c:v>
                </c:pt>
                <c:pt idx="64">
                  <c:v>11.761234475636996</c:v>
                </c:pt>
                <c:pt idx="65">
                  <c:v>11.812833687156996</c:v>
                </c:pt>
                <c:pt idx="66">
                  <c:v>11.86274220752</c:v>
                </c:pt>
                <c:pt idx="67">
                  <c:v>11.911719491927002</c:v>
                </c:pt>
                <c:pt idx="68">
                  <c:v>11.955365553680991</c:v>
                </c:pt>
                <c:pt idx="69">
                  <c:v>11.990145652238994</c:v>
                </c:pt>
                <c:pt idx="70">
                  <c:v>12.018117112024001</c:v>
                </c:pt>
                <c:pt idx="71">
                  <c:v>12.04133725746</c:v>
                </c:pt>
                <c:pt idx="72">
                  <c:v>12.061863412970993</c:v>
                </c:pt>
                <c:pt idx="73">
                  <c:v>12.08175290298</c:v>
                </c:pt>
                <c:pt idx="74">
                  <c:v>12.103063051909999</c:v>
                </c:pt>
                <c:pt idx="75">
                  <c:v>12.127851184186994</c:v>
                </c:pt>
                <c:pt idx="76">
                  <c:v>12.15720630477</c:v>
                </c:pt>
                <c:pt idx="77">
                  <c:v>12.186594773578989</c:v>
                </c:pt>
                <c:pt idx="78">
                  <c:v>12.215109584719997</c:v>
                </c:pt>
                <c:pt idx="79">
                  <c:v>12.242725268676992</c:v>
                </c:pt>
                <c:pt idx="80">
                  <c:v>12.269416355934993</c:v>
                </c:pt>
                <c:pt idx="81">
                  <c:v>12.295157376980995</c:v>
                </c:pt>
                <c:pt idx="82">
                  <c:v>12.319922862298995</c:v>
                </c:pt>
                <c:pt idx="83">
                  <c:v>12.343687342376001</c:v>
                </c:pt>
                <c:pt idx="84">
                  <c:v>12.366425347696989</c:v>
                </c:pt>
                <c:pt idx="85">
                  <c:v>12.389729117944995</c:v>
                </c:pt>
                <c:pt idx="86">
                  <c:v>12.414658417265002</c:v>
                </c:pt>
                <c:pt idx="87">
                  <c:v>12.440389062837994</c:v>
                </c:pt>
                <c:pt idx="88">
                  <c:v>12.466096871842993</c:v>
                </c:pt>
                <c:pt idx="89">
                  <c:v>12.490957661458992</c:v>
                </c:pt>
                <c:pt idx="90">
                  <c:v>12.51414724886699</c:v>
                </c:pt>
                <c:pt idx="91">
                  <c:v>12.534841451245995</c:v>
                </c:pt>
                <c:pt idx="92">
                  <c:v>12.552216085775996</c:v>
                </c:pt>
                <c:pt idx="93">
                  <c:v>12.56547286210899</c:v>
                </c:pt>
                <c:pt idx="94">
                  <c:v>12.574512677968997</c:v>
                </c:pt>
                <c:pt idx="95">
                  <c:v>12.579993208723991</c:v>
                </c:pt>
                <c:pt idx="96">
                  <c:v>12.582609540124992</c:v>
                </c:pt>
                <c:pt idx="97">
                  <c:v>12.583056757923998</c:v>
                </c:pt>
                <c:pt idx="98">
                  <c:v>12.582029947872996</c:v>
                </c:pt>
                <c:pt idx="99">
                  <c:v>12.580224195722991</c:v>
                </c:pt>
                <c:pt idx="100">
                  <c:v>12.578334587227999</c:v>
                </c:pt>
                <c:pt idx="101">
                  <c:v>12.577056208137989</c:v>
                </c:pt>
                <c:pt idx="102">
                  <c:v>12.575052623350999</c:v>
                </c:pt>
                <c:pt idx="103">
                  <c:v>12.570858216148991</c:v>
                </c:pt>
                <c:pt idx="104">
                  <c:v>12.56497429985599</c:v>
                </c:pt>
                <c:pt idx="105">
                  <c:v>12.557902187797993</c:v>
                </c:pt>
                <c:pt idx="106">
                  <c:v>12.550143193300997</c:v>
                </c:pt>
                <c:pt idx="107">
                  <c:v>12.542198629691001</c:v>
                </c:pt>
                <c:pt idx="108">
                  <c:v>12.534569810294002</c:v>
                </c:pt>
                <c:pt idx="109">
                  <c:v>12.52775804843499</c:v>
                </c:pt>
                <c:pt idx="110">
                  <c:v>12.521557407852995</c:v>
                </c:pt>
                <c:pt idx="111">
                  <c:v>12.512413198981989</c:v>
                </c:pt>
                <c:pt idx="112">
                  <c:v>12.500598638485997</c:v>
                </c:pt>
                <c:pt idx="113">
                  <c:v>12.487115025354001</c:v>
                </c:pt>
                <c:pt idx="114">
                  <c:v>12.47296365857099</c:v>
                </c:pt>
                <c:pt idx="115">
                  <c:v>12.459145837126002</c:v>
                </c:pt>
                <c:pt idx="116">
                  <c:v>12.446662860004992</c:v>
                </c:pt>
                <c:pt idx="117">
                  <c:v>12.436516026194994</c:v>
                </c:pt>
                <c:pt idx="118">
                  <c:v>12.429706634683996</c:v>
                </c:pt>
                <c:pt idx="119">
                  <c:v>12.424248013132996</c:v>
                </c:pt>
                <c:pt idx="120">
                  <c:v>12.417896327680992</c:v>
                </c:pt>
                <c:pt idx="121">
                  <c:v>12.411267135026989</c:v>
                </c:pt>
                <c:pt idx="122">
                  <c:v>12.404975991870998</c:v>
                </c:pt>
                <c:pt idx="123">
                  <c:v>12.399638454913998</c:v>
                </c:pt>
                <c:pt idx="124">
                  <c:v>12.395870080853996</c:v>
                </c:pt>
                <c:pt idx="125">
                  <c:v>12.394286426392995</c:v>
                </c:pt>
                <c:pt idx="126">
                  <c:v>12.395503048229997</c:v>
                </c:pt>
                <c:pt idx="127">
                  <c:v>12.399443101185994</c:v>
                </c:pt>
                <c:pt idx="128">
                  <c:v>12.402688099304996</c:v>
                </c:pt>
                <c:pt idx="129">
                  <c:v>12.405468806098</c:v>
                </c:pt>
                <c:pt idx="130">
                  <c:v>12.408721761246994</c:v>
                </c:pt>
                <c:pt idx="131">
                  <c:v>12.413383504433995</c:v>
                </c:pt>
                <c:pt idx="132">
                  <c:v>12.420390575339994</c:v>
                </c:pt>
                <c:pt idx="133">
                  <c:v>12.430679513648002</c:v>
                </c:pt>
                <c:pt idx="134">
                  <c:v>12.445186859037989</c:v>
                </c:pt>
                <c:pt idx="135">
                  <c:v>12.463937096803988</c:v>
                </c:pt>
                <c:pt idx="136">
                  <c:v>12.482469979754995</c:v>
                </c:pt>
                <c:pt idx="137">
                  <c:v>12.501003038486999</c:v>
                </c:pt>
                <c:pt idx="138">
                  <c:v>12.520674251253993</c:v>
                </c:pt>
                <c:pt idx="139">
                  <c:v>12.542621596315996</c:v>
                </c:pt>
                <c:pt idx="140">
                  <c:v>12.56798305193</c:v>
                </c:pt>
                <c:pt idx="141">
                  <c:v>12.597896596352001</c:v>
                </c:pt>
                <c:pt idx="142">
                  <c:v>12.633500207840001</c:v>
                </c:pt>
                <c:pt idx="143">
                  <c:v>12.675931864652</c:v>
                </c:pt>
                <c:pt idx="144">
                  <c:v>12.722791238032002</c:v>
                </c:pt>
                <c:pt idx="145">
                  <c:v>12.771377692784</c:v>
                </c:pt>
                <c:pt idx="146">
                  <c:v>12.822378747504999</c:v>
                </c:pt>
                <c:pt idx="147">
                  <c:v>12.876481920787995</c:v>
                </c:pt>
                <c:pt idx="148">
                  <c:v>12.934374731229994</c:v>
                </c:pt>
                <c:pt idx="149">
                  <c:v>12.996744697425996</c:v>
                </c:pt>
                <c:pt idx="150">
                  <c:v>13.064279337971001</c:v>
                </c:pt>
                <c:pt idx="151">
                  <c:v>13.137666171460992</c:v>
                </c:pt>
                <c:pt idx="152">
                  <c:v>13.218329941911989</c:v>
                </c:pt>
                <c:pt idx="153">
                  <c:v>13.310229238931996</c:v>
                </c:pt>
                <c:pt idx="154">
                  <c:v>13.411844087108989</c:v>
                </c:pt>
                <c:pt idx="155">
                  <c:v>13.520789254326999</c:v>
                </c:pt>
                <c:pt idx="156">
                  <c:v>13.634679508473994</c:v>
                </c:pt>
                <c:pt idx="157">
                  <c:v>13.751129617435993</c:v>
                </c:pt>
                <c:pt idx="158">
                  <c:v>13.867754349097993</c:v>
                </c:pt>
                <c:pt idx="159">
                  <c:v>13.982168471346995</c:v>
                </c:pt>
                <c:pt idx="160">
                  <c:v>14.091986752067996</c:v>
                </c:pt>
                <c:pt idx="161">
                  <c:v>14.204680308802992</c:v>
                </c:pt>
                <c:pt idx="162">
                  <c:v>14.327229978589997</c:v>
                </c:pt>
                <c:pt idx="163">
                  <c:v>14.456515108558989</c:v>
                </c:pt>
                <c:pt idx="164">
                  <c:v>14.589415045843992</c:v>
                </c:pt>
                <c:pt idx="165">
                  <c:v>14.722809137577002</c:v>
                </c:pt>
                <c:pt idx="166">
                  <c:v>14.853576730888989</c:v>
                </c:pt>
                <c:pt idx="167">
                  <c:v>14.978597172911989</c:v>
                </c:pt>
                <c:pt idx="168">
                  <c:v>15.094749810777998</c:v>
                </c:pt>
                <c:pt idx="169">
                  <c:v>15.200481524308998</c:v>
                </c:pt>
                <c:pt idx="170">
                  <c:v>15.303233608020989</c:v>
                </c:pt>
                <c:pt idx="171">
                  <c:v>15.404409083821989</c:v>
                </c:pt>
                <c:pt idx="172">
                  <c:v>15.503971968849001</c:v>
                </c:pt>
                <c:pt idx="173">
                  <c:v>15.601886280239</c:v>
                </c:pt>
                <c:pt idx="174">
                  <c:v>15.698116035127001</c:v>
                </c:pt>
                <c:pt idx="175">
                  <c:v>15.792625250648996</c:v>
                </c:pt>
                <c:pt idx="176">
                  <c:v>15.885377943942999</c:v>
                </c:pt>
                <c:pt idx="177">
                  <c:v>15.976338132143994</c:v>
                </c:pt>
                <c:pt idx="178">
                  <c:v>16.062269356507002</c:v>
                </c:pt>
                <c:pt idx="179">
                  <c:v>16.141171652821001</c:v>
                </c:pt>
                <c:pt idx="180">
                  <c:v>16.214863780020991</c:v>
                </c:pt>
                <c:pt idx="181">
                  <c:v>16.285164497043993</c:v>
                </c:pt>
                <c:pt idx="182">
                  <c:v>16.353892562824996</c:v>
                </c:pt>
                <c:pt idx="183">
                  <c:v>16.422866736299</c:v>
                </c:pt>
                <c:pt idx="184">
                  <c:v>16.493905776402997</c:v>
                </c:pt>
                <c:pt idx="185">
                  <c:v>16.568828442070995</c:v>
                </c:pt>
                <c:pt idx="186">
                  <c:v>16.648523662000997</c:v>
                </c:pt>
                <c:pt idx="187">
                  <c:v>16.728626036885998</c:v>
                </c:pt>
                <c:pt idx="188">
                  <c:v>16.808477932489993</c:v>
                </c:pt>
                <c:pt idx="189">
                  <c:v>16.888284302949998</c:v>
                </c:pt>
                <c:pt idx="190">
                  <c:v>16.968250102403999</c:v>
                </c:pt>
                <c:pt idx="191">
                  <c:v>17.048580284989001</c:v>
                </c:pt>
                <c:pt idx="192">
                  <c:v>17.129479804841992</c:v>
                </c:pt>
                <c:pt idx="193">
                  <c:v>17.211153616098997</c:v>
                </c:pt>
                <c:pt idx="194">
                  <c:v>17.29380667289999</c:v>
                </c:pt>
                <c:pt idx="195">
                  <c:v>17.380417136134994</c:v>
                </c:pt>
                <c:pt idx="196">
                  <c:v>17.472507722570995</c:v>
                </c:pt>
                <c:pt idx="197">
                  <c:v>17.568100220155998</c:v>
                </c:pt>
                <c:pt idx="198">
                  <c:v>17.665216416835989</c:v>
                </c:pt>
                <c:pt idx="199">
                  <c:v>17.761878100557993</c:v>
                </c:pt>
                <c:pt idx="200">
                  <c:v>17.856107059270002</c:v>
                </c:pt>
                <c:pt idx="201">
                  <c:v>17.945925080918997</c:v>
                </c:pt>
                <c:pt idx="202">
                  <c:v>18.029353953452002</c:v>
                </c:pt>
                <c:pt idx="203">
                  <c:v>18.110749298263002</c:v>
                </c:pt>
                <c:pt idx="204">
                  <c:v>18.19470535061599</c:v>
                </c:pt>
                <c:pt idx="205">
                  <c:v>18.279601819264002</c:v>
                </c:pt>
                <c:pt idx="206">
                  <c:v>18.363818412960001</c:v>
                </c:pt>
                <c:pt idx="207">
                  <c:v>18.445734840456993</c:v>
                </c:pt>
                <c:pt idx="208">
                  <c:v>18.523730810509988</c:v>
                </c:pt>
                <c:pt idx="209">
                  <c:v>18.596186031870999</c:v>
                </c:pt>
                <c:pt idx="210">
                  <c:v>18.66148021329299</c:v>
                </c:pt>
                <c:pt idx="211">
                  <c:v>18.718545798544</c:v>
                </c:pt>
                <c:pt idx="212">
                  <c:v>18.769931306313993</c:v>
                </c:pt>
                <c:pt idx="213">
                  <c:v>18.816747535546995</c:v>
                </c:pt>
                <c:pt idx="214">
                  <c:v>18.859647261267995</c:v>
                </c:pt>
                <c:pt idx="215">
                  <c:v>18.899283258499992</c:v>
                </c:pt>
                <c:pt idx="216">
                  <c:v>18.936308302268998</c:v>
                </c:pt>
                <c:pt idx="217">
                  <c:v>18.971375167596989</c:v>
                </c:pt>
                <c:pt idx="218">
                  <c:v>19.005136629508996</c:v>
                </c:pt>
                <c:pt idx="219">
                  <c:v>19.038245463029995</c:v>
                </c:pt>
                <c:pt idx="220">
                  <c:v>19.06794582804099</c:v>
                </c:pt>
                <c:pt idx="221">
                  <c:v>19.091807268585001</c:v>
                </c:pt>
                <c:pt idx="222">
                  <c:v>19.110970635931992</c:v>
                </c:pt>
                <c:pt idx="223">
                  <c:v>19.126576781349002</c:v>
                </c:pt>
                <c:pt idx="224">
                  <c:v>19.139766556105002</c:v>
                </c:pt>
                <c:pt idx="225">
                  <c:v>19.151680811467998</c:v>
                </c:pt>
                <c:pt idx="226">
                  <c:v>19.163460398705993</c:v>
                </c:pt>
                <c:pt idx="227">
                  <c:v>19.176246169088998</c:v>
                </c:pt>
                <c:pt idx="228">
                  <c:v>19.190748727968995</c:v>
                </c:pt>
                <c:pt idx="229">
                  <c:v>19.205007897275991</c:v>
                </c:pt>
                <c:pt idx="230">
                  <c:v>19.218406533614996</c:v>
                </c:pt>
                <c:pt idx="231">
                  <c:v>19.230700011300002</c:v>
                </c:pt>
                <c:pt idx="232">
                  <c:v>19.241643704645</c:v>
                </c:pt>
                <c:pt idx="233">
                  <c:v>19.250992987966001</c:v>
                </c:pt>
                <c:pt idx="234">
                  <c:v>19.258503235574992</c:v>
                </c:pt>
                <c:pt idx="235">
                  <c:v>19.263929821787997</c:v>
                </c:pt>
                <c:pt idx="236">
                  <c:v>19.26702812091699</c:v>
                </c:pt>
                <c:pt idx="237">
                  <c:v>19.268249221822998</c:v>
                </c:pt>
                <c:pt idx="238">
                  <c:v>19.268164939939993</c:v>
                </c:pt>
                <c:pt idx="239">
                  <c:v>19.266711739442997</c:v>
                </c:pt>
                <c:pt idx="240">
                  <c:v>19.263826084507002</c:v>
                </c:pt>
                <c:pt idx="241">
                  <c:v>19.259444439307998</c:v>
                </c:pt>
                <c:pt idx="242">
                  <c:v>19.253503268020992</c:v>
                </c:pt>
                <c:pt idx="243">
                  <c:v>19.245939034822001</c:v>
                </c:pt>
                <c:pt idx="244">
                  <c:v>19.236688203886999</c:v>
                </c:pt>
                <c:pt idx="245">
                  <c:v>19.225006533794001</c:v>
                </c:pt>
                <c:pt idx="246">
                  <c:v>19.207366143632996</c:v>
                </c:pt>
                <c:pt idx="247">
                  <c:v>19.184606951437999</c:v>
                </c:pt>
                <c:pt idx="248">
                  <c:v>19.158318457335</c:v>
                </c:pt>
                <c:pt idx="249">
                  <c:v>19.130090161451989</c:v>
                </c:pt>
                <c:pt idx="250">
                  <c:v>19.101511563915992</c:v>
                </c:pt>
                <c:pt idx="251">
                  <c:v>19.074172164855</c:v>
                </c:pt>
                <c:pt idx="252">
                  <c:v>19.049661464395001</c:v>
                </c:pt>
                <c:pt idx="253">
                  <c:v>19.029568962664001</c:v>
                </c:pt>
                <c:pt idx="254">
                  <c:v>19.014271839822001</c:v>
                </c:pt>
                <c:pt idx="255">
                  <c:v>19.00226048540199</c:v>
                </c:pt>
                <c:pt idx="256">
                  <c:v>18.992294213587996</c:v>
                </c:pt>
                <c:pt idx="257">
                  <c:v>18.983132338564999</c:v>
                </c:pt>
                <c:pt idx="258">
                  <c:v>18.973534174516999</c:v>
                </c:pt>
                <c:pt idx="259">
                  <c:v>18.962259035628989</c:v>
                </c:pt>
                <c:pt idx="260">
                  <c:v>18.948066236083989</c:v>
                </c:pt>
                <c:pt idx="261">
                  <c:v>18.929715090066992</c:v>
                </c:pt>
                <c:pt idx="262">
                  <c:v>18.906937446740002</c:v>
                </c:pt>
                <c:pt idx="263">
                  <c:v>18.884494242595991</c:v>
                </c:pt>
                <c:pt idx="264">
                  <c:v>18.86254260304699</c:v>
                </c:pt>
                <c:pt idx="265">
                  <c:v>18.840285608798993</c:v>
                </c:pt>
                <c:pt idx="266">
                  <c:v>18.816926340558993</c:v>
                </c:pt>
                <c:pt idx="267">
                  <c:v>18.791667879034989</c:v>
                </c:pt>
                <c:pt idx="268">
                  <c:v>18.763713304931997</c:v>
                </c:pt>
                <c:pt idx="269">
                  <c:v>18.732265698956994</c:v>
                </c:pt>
                <c:pt idx="270">
                  <c:v>18.696375384402998</c:v>
                </c:pt>
                <c:pt idx="271">
                  <c:v>18.655062263709993</c:v>
                </c:pt>
                <c:pt idx="272">
                  <c:v>18.609250818291997</c:v>
                </c:pt>
                <c:pt idx="273">
                  <c:v>18.560099772111997</c:v>
                </c:pt>
                <c:pt idx="274">
                  <c:v>18.50876784913099</c:v>
                </c:pt>
                <c:pt idx="275">
                  <c:v>18.456413773313997</c:v>
                </c:pt>
                <c:pt idx="276">
                  <c:v>18.404196268620993</c:v>
                </c:pt>
                <c:pt idx="277">
                  <c:v>18.353274059017991</c:v>
                </c:pt>
                <c:pt idx="278">
                  <c:v>18.304805868464996</c:v>
                </c:pt>
                <c:pt idx="279">
                  <c:v>18.256076602484995</c:v>
                </c:pt>
                <c:pt idx="280">
                  <c:v>18.204164069873002</c:v>
                </c:pt>
                <c:pt idx="281">
                  <c:v>18.149916349506995</c:v>
                </c:pt>
                <c:pt idx="282">
                  <c:v>18.094181520262993</c:v>
                </c:pt>
                <c:pt idx="283">
                  <c:v>18.037807661015989</c:v>
                </c:pt>
                <c:pt idx="284">
                  <c:v>17.981642850643993</c:v>
                </c:pt>
                <c:pt idx="285">
                  <c:v>17.926535168021999</c:v>
                </c:pt>
                <c:pt idx="286">
                  <c:v>17.873332692026992</c:v>
                </c:pt>
                <c:pt idx="287">
                  <c:v>17.82261116592899</c:v>
                </c:pt>
                <c:pt idx="288">
                  <c:v>17.773198537635992</c:v>
                </c:pt>
                <c:pt idx="289">
                  <c:v>17.724683806146999</c:v>
                </c:pt>
                <c:pt idx="290">
                  <c:v>17.676885404136002</c:v>
                </c:pt>
                <c:pt idx="291">
                  <c:v>17.629621764283996</c:v>
                </c:pt>
                <c:pt idx="292">
                  <c:v>17.582711319265997</c:v>
                </c:pt>
                <c:pt idx="293">
                  <c:v>17.53597250176</c:v>
                </c:pt>
                <c:pt idx="294">
                  <c:v>17.489223744444999</c:v>
                </c:pt>
                <c:pt idx="295">
                  <c:v>17.442283479997002</c:v>
                </c:pt>
                <c:pt idx="296">
                  <c:v>17.39367167748</c:v>
                </c:pt>
                <c:pt idx="297">
                  <c:v>17.342638899621988</c:v>
                </c:pt>
                <c:pt idx="298">
                  <c:v>17.290099469596996</c:v>
                </c:pt>
                <c:pt idx="299">
                  <c:v>17.236967710580998</c:v>
                </c:pt>
                <c:pt idx="300">
                  <c:v>17.184157945748993</c:v>
                </c:pt>
                <c:pt idx="301">
                  <c:v>17.132584498274994</c:v>
                </c:pt>
                <c:pt idx="302">
                  <c:v>17.083161691333999</c:v>
                </c:pt>
                <c:pt idx="303">
                  <c:v>17.036803848101002</c:v>
                </c:pt>
                <c:pt idx="304">
                  <c:v>16.993602854228996</c:v>
                </c:pt>
                <c:pt idx="305">
                  <c:v>16.949528045625996</c:v>
                </c:pt>
                <c:pt idx="306">
                  <c:v>16.904644826932</c:v>
                </c:pt>
                <c:pt idx="307">
                  <c:v>16.859839888965993</c:v>
                </c:pt>
                <c:pt idx="308">
                  <c:v>16.815999922541991</c:v>
                </c:pt>
                <c:pt idx="309">
                  <c:v>16.77401161847699</c:v>
                </c:pt>
                <c:pt idx="310">
                  <c:v>16.734761667586994</c:v>
                </c:pt>
                <c:pt idx="311">
                  <c:v>16.699136760689001</c:v>
                </c:pt>
                <c:pt idx="312">
                  <c:v>16.66802358859799</c:v>
                </c:pt>
                <c:pt idx="313">
                  <c:v>16.640185090849002</c:v>
                </c:pt>
                <c:pt idx="314">
                  <c:v>16.613926992171997</c:v>
                </c:pt>
                <c:pt idx="315">
                  <c:v>16.589450161174</c:v>
                </c:pt>
                <c:pt idx="316">
                  <c:v>16.566955466465998</c:v>
                </c:pt>
                <c:pt idx="317">
                  <c:v>16.546643776654989</c:v>
                </c:pt>
                <c:pt idx="318">
                  <c:v>16.528715960352002</c:v>
                </c:pt>
                <c:pt idx="319">
                  <c:v>16.513372886162998</c:v>
                </c:pt>
                <c:pt idx="320">
                  <c:v>16.500815422700001</c:v>
                </c:pt>
                <c:pt idx="321">
                  <c:v>16.490938071026989</c:v>
                </c:pt>
                <c:pt idx="322">
                  <c:v>16.482215533877991</c:v>
                </c:pt>
                <c:pt idx="323">
                  <c:v>16.474828635164002</c:v>
                </c:pt>
                <c:pt idx="324">
                  <c:v>16.469277015159989</c:v>
                </c:pt>
                <c:pt idx="325">
                  <c:v>16.466060314139</c:v>
                </c:pt>
                <c:pt idx="326">
                  <c:v>16.465678172374993</c:v>
                </c:pt>
                <c:pt idx="327">
                  <c:v>16.468630230141002</c:v>
                </c:pt>
                <c:pt idx="328">
                  <c:v>16.475416127711995</c:v>
                </c:pt>
                <c:pt idx="329">
                  <c:v>16.48653550536099</c:v>
                </c:pt>
                <c:pt idx="330">
                  <c:v>16.504004129660999</c:v>
                </c:pt>
                <c:pt idx="331">
                  <c:v>16.528404043183997</c:v>
                </c:pt>
                <c:pt idx="332">
                  <c:v>16.55808430019799</c:v>
                </c:pt>
                <c:pt idx="333">
                  <c:v>16.591393954971991</c:v>
                </c:pt>
                <c:pt idx="334">
                  <c:v>16.626682061775995</c:v>
                </c:pt>
                <c:pt idx="335">
                  <c:v>16.662297674877991</c:v>
                </c:pt>
                <c:pt idx="336">
                  <c:v>16.696589848548996</c:v>
                </c:pt>
                <c:pt idx="337">
                  <c:v>16.727907637057001</c:v>
                </c:pt>
                <c:pt idx="338">
                  <c:v>16.759460874616991</c:v>
                </c:pt>
                <c:pt idx="339">
                  <c:v>16.794950285131989</c:v>
                </c:pt>
                <c:pt idx="340">
                  <c:v>16.833461257404991</c:v>
                </c:pt>
                <c:pt idx="341">
                  <c:v>16.874079180233991</c:v>
                </c:pt>
                <c:pt idx="342">
                  <c:v>16.915889442421999</c:v>
                </c:pt>
                <c:pt idx="343">
                  <c:v>16.95797743276799</c:v>
                </c:pt>
                <c:pt idx="344">
                  <c:v>16.999428540075002</c:v>
                </c:pt>
                <c:pt idx="345">
                  <c:v>17.039328153141994</c:v>
                </c:pt>
                <c:pt idx="346">
                  <c:v>17.078010631498998</c:v>
                </c:pt>
                <c:pt idx="347">
                  <c:v>17.121681911054992</c:v>
                </c:pt>
                <c:pt idx="348">
                  <c:v>17.169722420572995</c:v>
                </c:pt>
                <c:pt idx="349">
                  <c:v>17.220222142835993</c:v>
                </c:pt>
                <c:pt idx="350">
                  <c:v>17.271271060627996</c:v>
                </c:pt>
                <c:pt idx="351">
                  <c:v>17.320959156732002</c:v>
                </c:pt>
                <c:pt idx="352">
                  <c:v>17.367376413933002</c:v>
                </c:pt>
                <c:pt idx="353">
                  <c:v>17.408612815013001</c:v>
                </c:pt>
                <c:pt idx="354">
                  <c:v>17.442758342756989</c:v>
                </c:pt>
                <c:pt idx="355">
                  <c:v>17.471746947654992</c:v>
                </c:pt>
                <c:pt idx="356">
                  <c:v>17.498767431145993</c:v>
                </c:pt>
                <c:pt idx="357">
                  <c:v>17.523792052436988</c:v>
                </c:pt>
                <c:pt idx="358">
                  <c:v>17.546793070733997</c:v>
                </c:pt>
                <c:pt idx="359">
                  <c:v>17.567742745242001</c:v>
                </c:pt>
                <c:pt idx="360">
                  <c:v>17.586613335167002</c:v>
                </c:pt>
                <c:pt idx="361">
                  <c:v>17.603377099715999</c:v>
                </c:pt>
                <c:pt idx="362">
                  <c:v>17.618006298094002</c:v>
                </c:pt>
                <c:pt idx="363">
                  <c:v>17.630278882859002</c:v>
                </c:pt>
                <c:pt idx="364">
                  <c:v>17.639240419651998</c:v>
                </c:pt>
                <c:pt idx="365">
                  <c:v>17.645280012740002</c:v>
                </c:pt>
                <c:pt idx="366">
                  <c:v>17.649007644851991</c:v>
                </c:pt>
                <c:pt idx="367">
                  <c:v>17.651033298717991</c:v>
                </c:pt>
                <c:pt idx="368">
                  <c:v>17.651966957066989</c:v>
                </c:pt>
                <c:pt idx="369">
                  <c:v>17.652418602628998</c:v>
                </c:pt>
                <c:pt idx="370">
                  <c:v>17.652998218130989</c:v>
                </c:pt>
                <c:pt idx="371">
                  <c:v>17.654315786304991</c:v>
                </c:pt>
                <c:pt idx="372">
                  <c:v>17.654360066465998</c:v>
                </c:pt>
                <c:pt idx="373">
                  <c:v>17.65110653178499</c:v>
                </c:pt>
                <c:pt idx="374">
                  <c:v>17.645145235770997</c:v>
                </c:pt>
                <c:pt idx="375">
                  <c:v>17.637066231934</c:v>
                </c:pt>
                <c:pt idx="376">
                  <c:v>17.627459573783</c:v>
                </c:pt>
                <c:pt idx="377">
                  <c:v>17.616915314827992</c:v>
                </c:pt>
                <c:pt idx="378">
                  <c:v>17.606023508576996</c:v>
                </c:pt>
                <c:pt idx="379">
                  <c:v>17.595374208540989</c:v>
                </c:pt>
                <c:pt idx="380">
                  <c:v>17.585493104712</c:v>
                </c:pt>
                <c:pt idx="381">
                  <c:v>17.576275099480995</c:v>
                </c:pt>
                <c:pt idx="382">
                  <c:v>17.567456292803996</c:v>
                </c:pt>
                <c:pt idx="383">
                  <c:v>17.558802818150994</c:v>
                </c:pt>
                <c:pt idx="384">
                  <c:v>17.550080808991993</c:v>
                </c:pt>
                <c:pt idx="385">
                  <c:v>17.541056398797991</c:v>
                </c:pt>
                <c:pt idx="386">
                  <c:v>17.531495721037999</c:v>
                </c:pt>
                <c:pt idx="387">
                  <c:v>17.521164909183994</c:v>
                </c:pt>
                <c:pt idx="388">
                  <c:v>17.509830096705002</c:v>
                </c:pt>
                <c:pt idx="389">
                  <c:v>17.497865497522994</c:v>
                </c:pt>
                <c:pt idx="390">
                  <c:v>17.485613556811998</c:v>
                </c:pt>
                <c:pt idx="391">
                  <c:v>17.472792754919993</c:v>
                </c:pt>
                <c:pt idx="392">
                  <c:v>17.459121572198995</c:v>
                </c:pt>
                <c:pt idx="393">
                  <c:v>17.444318488996998</c:v>
                </c:pt>
                <c:pt idx="394">
                  <c:v>17.428101985662991</c:v>
                </c:pt>
                <c:pt idx="395">
                  <c:v>17.410190542547994</c:v>
                </c:pt>
                <c:pt idx="396">
                  <c:v>17.390302640001991</c:v>
                </c:pt>
                <c:pt idx="397">
                  <c:v>17.368414490335994</c:v>
                </c:pt>
                <c:pt idx="398">
                  <c:v>17.345804817692994</c:v>
                </c:pt>
                <c:pt idx="399">
                  <c:v>17.322485233956996</c:v>
                </c:pt>
                <c:pt idx="400">
                  <c:v>17.298211158160996</c:v>
                </c:pt>
                <c:pt idx="401">
                  <c:v>17.272738009339989</c:v>
                </c:pt>
                <c:pt idx="402">
                  <c:v>17.245821206525989</c:v>
                </c:pt>
                <c:pt idx="403">
                  <c:v>17.217216168752998</c:v>
                </c:pt>
                <c:pt idx="404">
                  <c:v>17.186678315054991</c:v>
                </c:pt>
                <c:pt idx="405">
                  <c:v>17.154160899711997</c:v>
                </c:pt>
                <c:pt idx="406">
                  <c:v>17.120665874167997</c:v>
                </c:pt>
                <c:pt idx="407">
                  <c:v>17.086298601745</c:v>
                </c:pt>
                <c:pt idx="408">
                  <c:v>17.050973223953989</c:v>
                </c:pt>
                <c:pt idx="409">
                  <c:v>17.01460388230899</c:v>
                </c:pt>
                <c:pt idx="410">
                  <c:v>16.977104718319993</c:v>
                </c:pt>
                <c:pt idx="411">
                  <c:v>16.938389873498991</c:v>
                </c:pt>
                <c:pt idx="412">
                  <c:v>16.898373489358988</c:v>
                </c:pt>
                <c:pt idx="413">
                  <c:v>16.856969707410002</c:v>
                </c:pt>
                <c:pt idx="414">
                  <c:v>16.812310820332996</c:v>
                </c:pt>
                <c:pt idx="415">
                  <c:v>16.763252814254997</c:v>
                </c:pt>
                <c:pt idx="416">
                  <c:v>16.710795370852992</c:v>
                </c:pt>
                <c:pt idx="417">
                  <c:v>16.655938171806994</c:v>
                </c:pt>
                <c:pt idx="418">
                  <c:v>16.599680898793991</c:v>
                </c:pt>
                <c:pt idx="419">
                  <c:v>16.543023233494992</c:v>
                </c:pt>
                <c:pt idx="420">
                  <c:v>16.486964857586997</c:v>
                </c:pt>
                <c:pt idx="421">
                  <c:v>16.432505452748998</c:v>
                </c:pt>
                <c:pt idx="422">
                  <c:v>16.380682305178993</c:v>
                </c:pt>
                <c:pt idx="423">
                  <c:v>16.331956221578992</c:v>
                </c:pt>
                <c:pt idx="424">
                  <c:v>16.285410760576994</c:v>
                </c:pt>
                <c:pt idx="425">
                  <c:v>16.240006931602991</c:v>
                </c:pt>
                <c:pt idx="426">
                  <c:v>16.194705744088992</c:v>
                </c:pt>
                <c:pt idx="427">
                  <c:v>16.148468207466991</c:v>
                </c:pt>
                <c:pt idx="428">
                  <c:v>16.100255331168</c:v>
                </c:pt>
                <c:pt idx="429">
                  <c:v>16.049028124622993</c:v>
                </c:pt>
                <c:pt idx="430">
                  <c:v>15.99374759726399</c:v>
                </c:pt>
                <c:pt idx="431">
                  <c:v>15.936492307164002</c:v>
                </c:pt>
                <c:pt idx="432">
                  <c:v>15.879523861591991</c:v>
                </c:pt>
                <c:pt idx="433">
                  <c:v>15.822077843773002</c:v>
                </c:pt>
                <c:pt idx="434">
                  <c:v>15.763389836931992</c:v>
                </c:pt>
                <c:pt idx="435">
                  <c:v>15.702695424293992</c:v>
                </c:pt>
                <c:pt idx="436">
                  <c:v>15.639230189084998</c:v>
                </c:pt>
                <c:pt idx="437">
                  <c:v>15.572229714529001</c:v>
                </c:pt>
                <c:pt idx="438">
                  <c:v>15.500929583851999</c:v>
                </c:pt>
                <c:pt idx="439">
                  <c:v>15.424061711796995</c:v>
                </c:pt>
                <c:pt idx="440">
                  <c:v>15.338935483775998</c:v>
                </c:pt>
                <c:pt idx="441">
                  <c:v>15.24708322571999</c:v>
                </c:pt>
                <c:pt idx="442">
                  <c:v>15.150662689049</c:v>
                </c:pt>
                <c:pt idx="443">
                  <c:v>15.051831625180995</c:v>
                </c:pt>
                <c:pt idx="444">
                  <c:v>14.952747785537994</c:v>
                </c:pt>
                <c:pt idx="445">
                  <c:v>14.855568921537994</c:v>
                </c:pt>
                <c:pt idx="446">
                  <c:v>14.76245278460199</c:v>
                </c:pt>
                <c:pt idx="447">
                  <c:v>14.675557126149002</c:v>
                </c:pt>
                <c:pt idx="448">
                  <c:v>14.589456386525001</c:v>
                </c:pt>
                <c:pt idx="449">
                  <c:v>14.498457241343999</c:v>
                </c:pt>
                <c:pt idx="450">
                  <c:v>14.40431579492099</c:v>
                </c:pt>
                <c:pt idx="451">
                  <c:v>14.308788151573992</c:v>
                </c:pt>
                <c:pt idx="452">
                  <c:v>14.213630415620997</c:v>
                </c:pt>
                <c:pt idx="453">
                  <c:v>14.120598691379001</c:v>
                </c:pt>
                <c:pt idx="454">
                  <c:v>14.031449083163992</c:v>
                </c:pt>
                <c:pt idx="455">
                  <c:v>13.947937695294996</c:v>
                </c:pt>
                <c:pt idx="456">
                  <c:v>13.870804435886996</c:v>
                </c:pt>
                <c:pt idx="457">
                  <c:v>13.795256080187002</c:v>
                </c:pt>
                <c:pt idx="458">
                  <c:v>13.720877037123998</c:v>
                </c:pt>
                <c:pt idx="459">
                  <c:v>13.648217672733992</c:v>
                </c:pt>
                <c:pt idx="460">
                  <c:v>13.577828353051999</c:v>
                </c:pt>
                <c:pt idx="461">
                  <c:v>13.510259444114993</c:v>
                </c:pt>
                <c:pt idx="462">
                  <c:v>13.44606131195799</c:v>
                </c:pt>
                <c:pt idx="463">
                  <c:v>13.38578432261599</c:v>
                </c:pt>
                <c:pt idx="464">
                  <c:v>13.329978842125996</c:v>
                </c:pt>
                <c:pt idx="465">
                  <c:v>13.279534219862995</c:v>
                </c:pt>
                <c:pt idx="466">
                  <c:v>13.234312571061992</c:v>
                </c:pt>
                <c:pt idx="467">
                  <c:v>13.19332341054799</c:v>
                </c:pt>
                <c:pt idx="468">
                  <c:v>13.155576253145995</c:v>
                </c:pt>
                <c:pt idx="469">
                  <c:v>13.120080613679988</c:v>
                </c:pt>
                <c:pt idx="470">
                  <c:v>13.085846006973995</c:v>
                </c:pt>
                <c:pt idx="471">
                  <c:v>13.051881947852991</c:v>
                </c:pt>
                <c:pt idx="472">
                  <c:v>13.017197951141</c:v>
                </c:pt>
                <c:pt idx="473">
                  <c:v>12.981685264812</c:v>
                </c:pt>
                <c:pt idx="474">
                  <c:v>12.946292274488997</c:v>
                </c:pt>
                <c:pt idx="475">
                  <c:v>12.911614201471991</c:v>
                </c:pt>
                <c:pt idx="476">
                  <c:v>12.878246267058998</c:v>
                </c:pt>
                <c:pt idx="477">
                  <c:v>12.846783692548996</c:v>
                </c:pt>
                <c:pt idx="478">
                  <c:v>12.817821699238991</c:v>
                </c:pt>
                <c:pt idx="479">
                  <c:v>12.791955508428998</c:v>
                </c:pt>
                <c:pt idx="480">
                  <c:v>12.769780341415995</c:v>
                </c:pt>
                <c:pt idx="481">
                  <c:v>12.751174458747002</c:v>
                </c:pt>
                <c:pt idx="482">
                  <c:v>12.732595314403994</c:v>
                </c:pt>
                <c:pt idx="483">
                  <c:v>12.71434027291599</c:v>
                </c:pt>
                <c:pt idx="484">
                  <c:v>12.69744188147699</c:v>
                </c:pt>
                <c:pt idx="485">
                  <c:v>12.682932687281991</c:v>
                </c:pt>
                <c:pt idx="486">
                  <c:v>12.671845237526</c:v>
                </c:pt>
                <c:pt idx="487">
                  <c:v>12.665212079401002</c:v>
                </c:pt>
                <c:pt idx="488">
                  <c:v>12.664065760103</c:v>
                </c:pt>
                <c:pt idx="489">
                  <c:v>12.66943882682699</c:v>
                </c:pt>
                <c:pt idx="490">
                  <c:v>12.681619645460998</c:v>
                </c:pt>
                <c:pt idx="491">
                  <c:v>12.699661417314999</c:v>
                </c:pt>
                <c:pt idx="492">
                  <c:v>12.722743942714999</c:v>
                </c:pt>
                <c:pt idx="493">
                  <c:v>12.750047021987001</c:v>
                </c:pt>
                <c:pt idx="494">
                  <c:v>12.780750455456996</c:v>
                </c:pt>
                <c:pt idx="495">
                  <c:v>12.814034043451002</c:v>
                </c:pt>
                <c:pt idx="496">
                  <c:v>12.849077586294996</c:v>
                </c:pt>
                <c:pt idx="497">
                  <c:v>12.885060884314001</c:v>
                </c:pt>
                <c:pt idx="498">
                  <c:v>12.92379689836099</c:v>
                </c:pt>
                <c:pt idx="499">
                  <c:v>12.978637310248999</c:v>
                </c:pt>
                <c:pt idx="500">
                  <c:v>13.047236983234001</c:v>
                </c:pt>
                <c:pt idx="501">
                  <c:v>13.124436833196</c:v>
                </c:pt>
                <c:pt idx="502">
                  <c:v>13.205077776015997</c:v>
                </c:pt>
                <c:pt idx="503">
                  <c:v>13.284000727573996</c:v>
                </c:pt>
                <c:pt idx="504">
                  <c:v>13.356046603747998</c:v>
                </c:pt>
                <c:pt idx="505">
                  <c:v>13.416056320419997</c:v>
                </c:pt>
                <c:pt idx="506">
                  <c:v>13.458870793467995</c:v>
                </c:pt>
                <c:pt idx="507">
                  <c:v>13.503163796118002</c:v>
                </c:pt>
                <c:pt idx="508">
                  <c:v>13.565762815584989</c:v>
                </c:pt>
                <c:pt idx="509">
                  <c:v>13.638739338736002</c:v>
                </c:pt>
                <c:pt idx="510">
                  <c:v>13.714164852435999</c:v>
                </c:pt>
                <c:pt idx="511">
                  <c:v>13.784110843549996</c:v>
                </c:pt>
                <c:pt idx="512">
                  <c:v>13.840648798944002</c:v>
                </c:pt>
                <c:pt idx="513">
                  <c:v>13.87585020548299</c:v>
                </c:pt>
                <c:pt idx="514">
                  <c:v>13.881786550033993</c:v>
                </c:pt>
                <c:pt idx="515">
                  <c:v>13.857983728801997</c:v>
                </c:pt>
                <c:pt idx="516">
                  <c:v>13.840573750345996</c:v>
                </c:pt>
                <c:pt idx="517">
                  <c:v>13.827380678623996</c:v>
                </c:pt>
                <c:pt idx="518">
                  <c:v>13.808700175548992</c:v>
                </c:pt>
                <c:pt idx="519">
                  <c:v>13.774827903030001</c:v>
                </c:pt>
                <c:pt idx="520">
                  <c:v>13.716059522978995</c:v>
                </c:pt>
                <c:pt idx="521">
                  <c:v>13.622690697306993</c:v>
                </c:pt>
                <c:pt idx="522">
                  <c:v>13.485017087925002</c:v>
                </c:pt>
                <c:pt idx="523">
                  <c:v>13.293334356744992</c:v>
                </c:pt>
                <c:pt idx="524">
                  <c:v>13.061352381657997</c:v>
                </c:pt>
                <c:pt idx="525">
                  <c:v>12.808233398005996</c:v>
                </c:pt>
                <c:pt idx="526">
                  <c:v>12.532451603879991</c:v>
                </c:pt>
                <c:pt idx="527">
                  <c:v>12.232481197367989</c:v>
                </c:pt>
                <c:pt idx="528">
                  <c:v>11.906796376559001</c:v>
                </c:pt>
                <c:pt idx="529">
                  <c:v>11.553871339541999</c:v>
                </c:pt>
                <c:pt idx="530">
                  <c:v>11.172180284405997</c:v>
                </c:pt>
                <c:pt idx="531">
                  <c:v>10.760197409239993</c:v>
                </c:pt>
                <c:pt idx="532">
                  <c:v>10.316309092556992</c:v>
                </c:pt>
                <c:pt idx="533">
                  <c:v>9.8393817215669941</c:v>
                </c:pt>
                <c:pt idx="534">
                  <c:v>9.3301505026799987</c:v>
                </c:pt>
                <c:pt idx="535">
                  <c:v>8.78954058483599</c:v>
                </c:pt>
                <c:pt idx="536">
                  <c:v>8.2184771169740003</c:v>
                </c:pt>
                <c:pt idx="537">
                  <c:v>7.6178852480349946</c:v>
                </c:pt>
                <c:pt idx="538">
                  <c:v>6.9886901269560013</c:v>
                </c:pt>
                <c:pt idx="539">
                  <c:v>6.3318169026769908</c:v>
                </c:pt>
                <c:pt idx="540">
                  <c:v>0</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Data!$F$2:$F$1001</c:f>
              <c:numCache>
                <c:formatCode>0</c:formatCode>
                <c:ptCount val="1000"/>
                <c:pt idx="0">
                  <c:v>0.23391218103693495</c:v>
                </c:pt>
                <c:pt idx="1">
                  <c:v>0.29258439157207689</c:v>
                </c:pt>
                <c:pt idx="2">
                  <c:v>0.36231487686621183</c:v>
                </c:pt>
                <c:pt idx="3">
                  <c:v>0.44417885081495811</c:v>
                </c:pt>
                <c:pt idx="4">
                  <c:v>0.53909621455339318</c:v>
                </c:pt>
                <c:pt idx="5">
                  <c:v>0.64775591165960367</c:v>
                </c:pt>
                <c:pt idx="6">
                  <c:v>0.77053644500490293</c:v>
                </c:pt>
                <c:pt idx="7">
                  <c:v>0.90742696666005029</c:v>
                </c:pt>
                <c:pt idx="8">
                  <c:v>1.0579542184751778</c:v>
                </c:pt>
                <c:pt idx="9">
                  <c:v>1.2211211816878684</c:v>
                </c:pt>
                <c:pt idx="10">
                  <c:v>1.3953634772648318</c:v>
                </c:pt>
                <c:pt idx="11">
                  <c:v>1.5785292545246716</c:v>
                </c:pt>
                <c:pt idx="12">
                  <c:v>1.7678874601852599</c:v>
                </c:pt>
                <c:pt idx="13">
                  <c:v>1.9601679884745262</c:v>
                </c:pt>
                <c:pt idx="14">
                  <c:v>2.1516353276787887</c:v>
                </c:pt>
                <c:pt idx="15">
                  <c:v>2.3381950513392167</c:v>
                </c:pt>
                <c:pt idx="16">
                  <c:v>2.5155300197657193</c:v>
                </c:pt>
                <c:pt idx="17">
                  <c:v>2.6792606684431872</c:v>
                </c:pt>
                <c:pt idx="18">
                  <c:v>2.8251214962766675</c:v>
                </c:pt>
                <c:pt idx="19">
                  <c:v>2.9491440596239915</c:v>
                </c:pt>
                <c:pt idx="20">
                  <c:v>3.0478356317377489</c:v>
                </c:pt>
                <c:pt idx="21">
                  <c:v>3.1183423533177463</c:v>
                </c:pt>
                <c:pt idx="22">
                  <c:v>3.158586257119079</c:v>
                </c:pt>
                <c:pt idx="23">
                  <c:v>3.1673669906446604</c:v>
                </c:pt>
                <c:pt idx="24">
                  <c:v>3.1444212890869054</c:v>
                </c:pt>
                <c:pt idx="25">
                  <c:v>3.0904360868874385</c:v>
                </c:pt>
                <c:pt idx="26">
                  <c:v>3.0070143567485452</c:v>
                </c:pt>
                <c:pt idx="27">
                  <c:v>2.8965960465362466</c:v>
                </c:pt>
                <c:pt idx="28">
                  <c:v>2.7623395553406547</c:v>
                </c:pt>
                <c:pt idx="29">
                  <c:v>2.6079717809149536</c:v>
                </c:pt>
                <c:pt idx="30">
                  <c:v>2.437616664263107</c:v>
                </c:pt>
                <c:pt idx="31">
                  <c:v>2.2556132095018322</c:v>
                </c:pt>
                <c:pt idx="32">
                  <c:v>2.0663341112608484</c:v>
                </c:pt>
                <c:pt idx="33">
                  <c:v>1.8740154100280637</c:v>
                </c:pt>
                <c:pt idx="34">
                  <c:v>1.6826061315328376</c:v>
                </c:pt>
                <c:pt idx="35">
                  <c:v>1.4956448275272489</c:v>
                </c:pt>
                <c:pt idx="36">
                  <c:v>1.3161675416057932</c:v>
                </c:pt>
                <c:pt idx="37">
                  <c:v>1.1466492097314991</c:v>
                </c:pt>
                <c:pt idx="38">
                  <c:v>0.98897809528575109</c:v>
                </c:pt>
                <c:pt idx="39">
                  <c:v>0.84446074461914866</c:v>
                </c:pt>
                <c:pt idx="40">
                  <c:v>0.71385327440450053</c:v>
                </c:pt>
                <c:pt idx="41">
                  <c:v>0.59741365196792684</c:v>
                </c:pt>
                <c:pt idx="42">
                  <c:v>0.49496903027258055</c:v>
                </c:pt>
                <c:pt idx="43">
                  <c:v>0.40599212230477699</c:v>
                </c:pt>
                <c:pt idx="44">
                  <c:v>0.32968097353005466</c:v>
                </c:pt>
                <c:pt idx="45">
                  <c:v>0.26503721412255321</c:v>
                </c:pt>
                <c:pt idx="46">
                  <c:v>0.21093882797131713</c:v>
                </c:pt>
                <c:pt idx="47">
                  <c:v>0.16620454514517469</c:v>
                </c:pt>
                <c:pt idx="48">
                  <c:v>0.12964804144706885</c:v>
                </c:pt>
                <c:pt idx="49">
                  <c:v>0.10012112513484855</c:v>
                </c:pt>
                <c:pt idx="50">
                  <c:v>7.6545943283247361E-2</c:v>
                </c:pt>
                <c:pt idx="51">
                  <c:v>5.7936910666707808E-2</c:v>
                </c:pt>
                <c:pt idx="52">
                  <c:v>4.3413538500166368E-2</c:v>
                </c:pt>
                <c:pt idx="53">
                  <c:v>3.2205625123966783E-2</c:v>
                </c:pt>
                <c:pt idx="54">
                  <c:v>2.3652387110248019E-2</c:v>
                </c:pt>
                <c:pt idx="55">
                  <c:v>1.719708825403703E-2</c:v>
                </c:pt>
                <c:pt idx="56">
                  <c:v>1.2378600828458153E-2</c:v>
                </c:pt>
                <c:pt idx="57">
                  <c:v>8.8211436349530329E-3</c:v>
                </c:pt>
                <c:pt idx="58">
                  <c:v>6.2232167270051836E-3</c:v>
                </c:pt>
                <c:pt idx="59">
                  <c:v>4.3465197225885143E-3</c:v>
                </c:pt>
                <c:pt idx="60">
                  <c:v>3.0054193635212462E-3</c:v>
                </c:pt>
                <c:pt idx="61">
                  <c:v>2.057335890801953E-3</c:v>
                </c:pt>
                <c:pt idx="62">
                  <c:v>1.3942543934493958E-3</c:v>
                </c:pt>
                <c:pt idx="63">
                  <c:v>9.3543914039139918E-4</c:v>
                </c:pt>
                <c:pt idx="64">
                  <c:v>6.2133490274286112E-4</c:v>
                </c:pt>
                <c:pt idx="65">
                  <c:v>4.0857581880957841E-4</c:v>
                </c:pt>
                <c:pt idx="66">
                  <c:v>2.6598446123609005E-4</c:v>
                </c:pt>
                <c:pt idx="67">
                  <c:v>1.7142595161191089E-4</c:v>
                </c:pt>
                <c:pt idx="68">
                  <c:v>1.0937890436042709E-4</c:v>
                </c:pt>
                <c:pt idx="69">
                  <c:v>6.909192061119953E-5</c:v>
                </c:pt>
                <c:pt idx="70">
                  <c:v>4.3207352761927628E-5</c:v>
                </c:pt>
                <c:pt idx="71">
                  <c:v>2.6750059280119994E-5</c:v>
                </c:pt>
                <c:pt idx="72">
                  <c:v>1.6395646106744917E-5</c:v>
                </c:pt>
                <c:pt idx="73">
                  <c:v>9.9487614913937624E-6</c:v>
                </c:pt>
                <c:pt idx="74">
                  <c:v>5.9764900360395092E-6</c:v>
                </c:pt>
                <c:pt idx="75">
                  <c:v>3.5543490675653202E-6</c:v>
                </c:pt>
                <c:pt idx="76">
                  <c:v>2.0927177166550811E-6</c:v>
                </c:pt>
                <c:pt idx="77">
                  <c:v>1.2198261007636194E-6</c:v>
                </c:pt>
                <c:pt idx="78">
                  <c:v>7.0391770591405052E-7</c:v>
                </c:pt>
                <c:pt idx="79">
                  <c:v>4.0214488915377997E-7</c:v>
                </c:pt>
                <c:pt idx="80">
                  <c:v>2.2744684384246048E-7</c:v>
                </c:pt>
                <c:pt idx="81">
                  <c:v>1.2735440542479814E-7</c:v>
                </c:pt>
                <c:pt idx="82">
                  <c:v>7.0596753084850808E-8</c:v>
                </c:pt>
                <c:pt idx="83">
                  <c:v>3.8742904736032271E-8</c:v>
                </c:pt>
                <c:pt idx="84">
                  <c:v>2.1049235491869512E-8</c:v>
                </c:pt>
                <c:pt idx="85">
                  <c:v>1.1321844137476244E-8</c:v>
                </c:pt>
                <c:pt idx="86">
                  <c:v>6.0288532625280442E-9</c:v>
                </c:pt>
                <c:pt idx="87">
                  <c:v>3.1782565606094858E-9</c:v>
                </c:pt>
                <c:pt idx="88">
                  <c:v>1.6587459956270891E-9</c:v>
                </c:pt>
                <c:pt idx="89">
                  <c:v>8.570526844077568E-10</c:v>
                </c:pt>
                <c:pt idx="90">
                  <c:v>4.3840131522219128E-10</c:v>
                </c:pt>
                <c:pt idx="91">
                  <c:v>2.2201017236867211E-10</c:v>
                </c:pt>
                <c:pt idx="92">
                  <c:v>1.1130395496932977E-10</c:v>
                </c:pt>
                <c:pt idx="93">
                  <c:v>5.5243987153152867E-11</c:v>
                </c:pt>
                <c:pt idx="94">
                  <c:v>2.7145392873867802E-11</c:v>
                </c:pt>
                <c:pt idx="95">
                  <c:v>1.3205168410291702E-11</c:v>
                </c:pt>
                <c:pt idx="96">
                  <c:v>6.3595802771396145E-12</c:v>
                </c:pt>
                <c:pt idx="97">
                  <c:v>3.0321428654298338E-12</c:v>
                </c:pt>
                <c:pt idx="98">
                  <c:v>1.4312238447974302E-12</c:v>
                </c:pt>
                <c:pt idx="99">
                  <c:v>6.6880908365538763E-13</c:v>
                </c:pt>
                <c:pt idx="100">
                  <c:v>3.0940936863159052E-13</c:v>
                </c:pt>
                <c:pt idx="101">
                  <c:v>1.4171031160114279E-13</c:v>
                </c:pt>
                <c:pt idx="102">
                  <c:v>6.425488389131151E-14</c:v>
                </c:pt>
                <c:pt idx="103">
                  <c:v>2.8843471548260128E-14</c:v>
                </c:pt>
                <c:pt idx="104">
                  <c:v>1.2818157802285953E-14</c:v>
                </c:pt>
                <c:pt idx="105">
                  <c:v>5.6394973160412758E-15</c:v>
                </c:pt>
                <c:pt idx="106">
                  <c:v>2.4563591796916805E-15</c:v>
                </c:pt>
                <c:pt idx="107">
                  <c:v>1.0592050571120755E-15</c:v>
                </c:pt>
                <c:pt idx="108">
                  <c:v>4.5217330203608816E-16</c:v>
                </c:pt>
                <c:pt idx="109">
                  <c:v>1.9110255082448991E-16</c:v>
                </c:pt>
                <c:pt idx="110">
                  <c:v>7.9958520275189312E-17</c:v>
                </c:pt>
                <c:pt idx="111">
                  <c:v>3.3120715450991783E-17</c:v>
                </c:pt>
                <c:pt idx="112">
                  <c:v>1.3582238975082963E-17</c:v>
                </c:pt>
                <c:pt idx="113">
                  <c:v>5.5141645535389603E-18</c:v>
                </c:pt>
                <c:pt idx="114">
                  <c:v>2.216280746576888E-18</c:v>
                </c:pt>
                <c:pt idx="115">
                  <c:v>8.8187396600640538E-19</c:v>
                </c:pt>
                <c:pt idx="116">
                  <c:v>3.473961226625579E-19</c:v>
                </c:pt>
                <c:pt idx="117">
                  <c:v>1.3548153505574461E-19</c:v>
                </c:pt>
                <c:pt idx="118">
                  <c:v>5.2308461569557065E-20</c:v>
                </c:pt>
                <c:pt idx="119">
                  <c:v>1.9994036594388766E-20</c:v>
                </c:pt>
                <c:pt idx="120">
                  <c:v>7.5659891607686468E-21</c:v>
                </c:pt>
                <c:pt idx="121">
                  <c:v>2.8344424506472579E-21</c:v>
                </c:pt>
                <c:pt idx="122">
                  <c:v>1.0512506306961115E-21</c:v>
                </c:pt>
                <c:pt idx="123">
                  <c:v>3.859949224597737E-22</c:v>
                </c:pt>
                <c:pt idx="124">
                  <c:v>1.4031161100041873E-22</c:v>
                </c:pt>
                <c:pt idx="125">
                  <c:v>5.0494296637634311E-23</c:v>
                </c:pt>
                <c:pt idx="126">
                  <c:v>1.7989858186912241E-23</c:v>
                </c:pt>
                <c:pt idx="127">
                  <c:v>6.3452662413595582E-24</c:v>
                </c:pt>
                <c:pt idx="128">
                  <c:v>2.2156882557839005E-24</c:v>
                </c:pt>
                <c:pt idx="129">
                  <c:v>7.6595659320791982E-25</c:v>
                </c:pt>
                <c:pt idx="130">
                  <c:v>2.6214184921662131E-25</c:v>
                </c:pt>
                <c:pt idx="131">
                  <c:v>8.8818872421504952E-26</c:v>
                </c:pt>
                <c:pt idx="132">
                  <c:v>2.9792767596076019E-26</c:v>
                </c:pt>
                <c:pt idx="133">
                  <c:v>9.8935724639896569E-27</c:v>
                </c:pt>
                <c:pt idx="134">
                  <c:v>3.2526109972059882E-27</c:v>
                </c:pt>
                <c:pt idx="135">
                  <c:v>1.0586388063251328E-27</c:v>
                </c:pt>
                <c:pt idx="136">
                  <c:v>3.4111450759640219E-28</c:v>
                </c:pt>
                <c:pt idx="137">
                  <c:v>1.0881512559450181E-28</c:v>
                </c:pt>
                <c:pt idx="138">
                  <c:v>3.4364896619328829E-29</c:v>
                </c:pt>
                <c:pt idx="139">
                  <c:v>1.0744284822527379E-29</c:v>
                </c:pt>
                <c:pt idx="140">
                  <c:v>3.3256510662984262E-30</c:v>
                </c:pt>
                <c:pt idx="141">
                  <c:v>1.019090010940827E-30</c:v>
                </c:pt>
                <c:pt idx="142">
                  <c:v>3.0916128652609763E-31</c:v>
                </c:pt>
                <c:pt idx="143">
                  <c:v>9.2852663020628337E-32</c:v>
                </c:pt>
                <c:pt idx="144">
                  <c:v>2.7608341518829026E-32</c:v>
                </c:pt>
                <c:pt idx="145">
                  <c:v>8.1268635894477299E-33</c:v>
                </c:pt>
                <c:pt idx="146">
                  <c:v>2.3683305569286287E-33</c:v>
                </c:pt>
                <c:pt idx="147">
                  <c:v>6.8327945663360824E-34</c:v>
                </c:pt>
                <c:pt idx="148">
                  <c:v>1.9516013297098385E-34</c:v>
                </c:pt>
                <c:pt idx="149">
                  <c:v>5.5184936095329877E-35</c:v>
                </c:pt>
                <c:pt idx="150">
                  <c:v>1.5448512882964056E-35</c:v>
                </c:pt>
                <c:pt idx="151">
                  <c:v>4.2814365430823977E-36</c:v>
                </c:pt>
                <c:pt idx="152">
                  <c:v>1.174705603781972E-36</c:v>
                </c:pt>
                <c:pt idx="153">
                  <c:v>3.1908417527009349E-37</c:v>
                </c:pt>
                <c:pt idx="154">
                  <c:v>8.5806105052494397E-38</c:v>
                </c:pt>
                <c:pt idx="155">
                  <c:v>2.2843771533305722E-38</c:v>
                </c:pt>
                <c:pt idx="156">
                  <c:v>6.0207989338984134E-39</c:v>
                </c:pt>
                <c:pt idx="157">
                  <c:v>1.5710034432535455E-39</c:v>
                </c:pt>
                <c:pt idx="158">
                  <c:v>4.0582317707796958E-40</c:v>
                </c:pt>
                <c:pt idx="159">
                  <c:v>1.0378468055009022E-40</c:v>
                </c:pt>
                <c:pt idx="160">
                  <c:v>2.6276429746153821E-41</c:v>
                </c:pt>
                <c:pt idx="161">
                  <c:v>6.5862188262956595E-42</c:v>
                </c:pt>
                <c:pt idx="162">
                  <c:v>1.6343409130968498E-42</c:v>
                </c:pt>
                <c:pt idx="163">
                  <c:v>4.0150027418391277E-43</c:v>
                </c:pt>
                <c:pt idx="164">
                  <c:v>9.7648535991745949E-44</c:v>
                </c:pt>
                <c:pt idx="165">
                  <c:v>2.3511607523340201E-44</c:v>
                </c:pt>
                <c:pt idx="166">
                  <c:v>5.6044836600360227E-45</c:v>
                </c:pt>
                <c:pt idx="167">
                  <c:v>1.3225910755859843E-45</c:v>
                </c:pt>
                <c:pt idx="168">
                  <c:v>3.0899557866516525E-46</c:v>
                </c:pt>
                <c:pt idx="169">
                  <c:v>7.1468660004077236E-47</c:v>
                </c:pt>
                <c:pt idx="170">
                  <c:v>1.6364988721138626E-47</c:v>
                </c:pt>
                <c:pt idx="171">
                  <c:v>3.7098169231622082E-48</c:v>
                </c:pt>
                <c:pt idx="172">
                  <c:v>8.3257993924823162E-49</c:v>
                </c:pt>
                <c:pt idx="173">
                  <c:v>1.8498482528798088E-49</c:v>
                </c:pt>
                <c:pt idx="174">
                  <c:v>4.0689557016395767E-50</c:v>
                </c:pt>
                <c:pt idx="175">
                  <c:v>8.8606690660272291E-51</c:v>
                </c:pt>
                <c:pt idx="176">
                  <c:v>1.9102348681489505E-51</c:v>
                </c:pt>
                <c:pt idx="177">
                  <c:v>4.077028210122961E-52</c:v>
                </c:pt>
                <c:pt idx="178">
                  <c:v>8.6146445286339239E-53</c:v>
                </c:pt>
                <c:pt idx="179">
                  <c:v>1.8020535961464881E-53</c:v>
                </c:pt>
                <c:pt idx="180">
                  <c:v>3.7319407680256366E-54</c:v>
                </c:pt>
                <c:pt idx="181">
                  <c:v>7.6513572061626769E-55</c:v>
                </c:pt>
                <c:pt idx="182">
                  <c:v>1.5530266555196324E-55</c:v>
                </c:pt>
                <c:pt idx="183">
                  <c:v>3.1207288714337947E-56</c:v>
                </c:pt>
                <c:pt idx="184">
                  <c:v>6.2082595408292781E-57</c:v>
                </c:pt>
                <c:pt idx="185">
                  <c:v>1.222701337233858E-57</c:v>
                </c:pt>
                <c:pt idx="186">
                  <c:v>2.384007440535886E-58</c:v>
                </c:pt>
                <c:pt idx="187">
                  <c:v>4.601840083476506E-59</c:v>
                </c:pt>
                <c:pt idx="188">
                  <c:v>8.7941148975707282E-60</c:v>
                </c:pt>
                <c:pt idx="189">
                  <c:v>1.6637552739454437E-60</c:v>
                </c:pt>
                <c:pt idx="190">
                  <c:v>3.1161865703989582E-61</c:v>
                </c:pt>
                <c:pt idx="191">
                  <c:v>5.7782210862614004E-62</c:v>
                </c:pt>
                <c:pt idx="192">
                  <c:v>1.0607219470361475E-62</c:v>
                </c:pt>
                <c:pt idx="193">
                  <c:v>1.9277275386382989E-63</c:v>
                </c:pt>
                <c:pt idx="194">
                  <c:v>3.4683781777738013E-64</c:v>
                </c:pt>
                <c:pt idx="195">
                  <c:v>6.1779435458355986E-65</c:v>
                </c:pt>
                <c:pt idx="196">
                  <c:v>1.0894269698937758E-65</c:v>
                </c:pt>
                <c:pt idx="197">
                  <c:v>1.9019058153145537E-66</c:v>
                </c:pt>
                <c:pt idx="198">
                  <c:v>3.2871277823648193E-67</c:v>
                </c:pt>
                <c:pt idx="199">
                  <c:v>5.6244604129556187E-68</c:v>
                </c:pt>
                <c:pt idx="200">
                  <c:v>9.5275632064208624E-69</c:v>
                </c:pt>
                <c:pt idx="201">
                  <c:v>1.5977893039967124E-69</c:v>
                </c:pt>
                <c:pt idx="202">
                  <c:v>2.6527350599887096E-70</c:v>
                </c:pt>
                <c:pt idx="203">
                  <c:v>4.3601852540656394E-71</c:v>
                </c:pt>
                <c:pt idx="204">
                  <c:v>7.0950049552451733E-72</c:v>
                </c:pt>
                <c:pt idx="205">
                  <c:v>1.1429761313928843E-72</c:v>
                </c:pt>
                <c:pt idx="206">
                  <c:v>1.8228809905313977E-73</c:v>
                </c:pt>
                <c:pt idx="207">
                  <c:v>2.878168181166678E-74</c:v>
                </c:pt>
                <c:pt idx="208">
                  <c:v>4.4989453328916354E-75</c:v>
                </c:pt>
                <c:pt idx="209">
                  <c:v>6.9621273204832418E-76</c:v>
                </c:pt>
                <c:pt idx="210">
                  <c:v>1.0666204429737283E-76</c:v>
                </c:pt>
                <c:pt idx="211">
                  <c:v>1.6177616719654303E-77</c:v>
                </c:pt>
                <c:pt idx="212">
                  <c:v>2.4291586365315565E-78</c:v>
                </c:pt>
                <c:pt idx="213">
                  <c:v>3.6110533906603084E-79</c:v>
                </c:pt>
                <c:pt idx="214">
                  <c:v>5.3143314652884017E-80</c:v>
                </c:pt>
                <c:pt idx="215">
                  <c:v>7.7428360698896621E-81</c:v>
                </c:pt>
                <c:pt idx="216">
                  <c:v>1.1168328694092443E-81</c:v>
                </c:pt>
                <c:pt idx="217">
                  <c:v>1.5948248957623499E-82</c:v>
                </c:pt>
                <c:pt idx="218">
                  <c:v>2.2546260611150278E-83</c:v>
                </c:pt>
                <c:pt idx="219">
                  <c:v>3.1555330676145594E-84</c:v>
                </c:pt>
                <c:pt idx="220">
                  <c:v>4.3722767684651262E-85</c:v>
                </c:pt>
                <c:pt idx="221">
                  <c:v>5.9976242222785134E-86</c:v>
                </c:pt>
                <c:pt idx="222">
                  <c:v>8.1449337294832593E-87</c:v>
                </c:pt>
                <c:pt idx="223">
                  <c:v>1.0950464840342374E-87</c:v>
                </c:pt>
                <c:pt idx="224">
                  <c:v>1.4575190907430876E-88</c:v>
                </c:pt>
                <c:pt idx="225">
                  <c:v>1.920581076711712E-89</c:v>
                </c:pt>
                <c:pt idx="226">
                  <c:v>2.505461513137457E-90</c:v>
                </c:pt>
                <c:pt idx="227">
                  <c:v>3.235783998281222E-91</c:v>
                </c:pt>
                <c:pt idx="228">
                  <c:v>4.1372142026099935E-92</c:v>
                </c:pt>
                <c:pt idx="229">
                  <c:v>5.2368868150791421E-93</c:v>
                </c:pt>
                <c:pt idx="230">
                  <c:v>6.5625868666245114E-94</c:v>
                </c:pt>
                <c:pt idx="231">
                  <c:v>8.1416726960834518E-95</c:v>
                </c:pt>
                <c:pt idx="232">
                  <c:v>9.999744653694061E-96</c:v>
                </c:pt>
                <c:pt idx="233">
                  <c:v>1.2159084541539975E-96</c:v>
                </c:pt>
                <c:pt idx="234">
                  <c:v>1.4636914726297548E-97</c:v>
                </c:pt>
                <c:pt idx="235">
                  <c:v>1.7443551188001261E-98</c:v>
                </c:pt>
                <c:pt idx="236">
                  <c:v>2.0580549305734929E-99</c:v>
                </c:pt>
                <c:pt idx="237">
                  <c:v>2.4038962336660578E-100</c:v>
                </c:pt>
                <c:pt idx="238">
                  <c:v>2.7797847542080407E-101</c:v>
                </c:pt>
                <c:pt idx="239">
                  <c:v>3.1823161083808461E-102</c:v>
                </c:pt>
                <c:pt idx="240">
                  <c:v>3.6067177930955799E-103</c:v>
                </c:pt>
                <c:pt idx="241">
                  <c:v>4.0468555645892996E-104</c:v>
                </c:pt>
                <c:pt idx="242">
                  <c:v>4.49531307166426E-105</c:v>
                </c:pt>
                <c:pt idx="243">
                  <c:v>4.9435494039169234E-106</c:v>
                </c:pt>
                <c:pt idx="244">
                  <c:v>5.3821340586950013E-107</c:v>
                </c:pt>
                <c:pt idx="245">
                  <c:v>5.8010530907274933E-108</c:v>
                </c:pt>
                <c:pt idx="246">
                  <c:v>6.1900743578901144E-109</c:v>
                </c:pt>
                <c:pt idx="247">
                  <c:v>6.5391543512409649E-110</c:v>
                </c:pt>
                <c:pt idx="248">
                  <c:v>6.8388646421429514E-111</c:v>
                </c:pt>
                <c:pt idx="249">
                  <c:v>7.0808129867828611E-112</c:v>
                </c:pt>
                <c:pt idx="250">
                  <c:v>7.258032979647435E-113</c:v>
                </c:pt>
                <c:pt idx="251">
                  <c:v>7.3653170607731799E-114</c:v>
                </c:pt>
                <c:pt idx="252">
                  <c:v>7.3994706780581584E-115</c:v>
                </c:pt>
                <c:pt idx="253">
                  <c:v>7.3594702975351386E-116</c:v>
                </c:pt>
                <c:pt idx="254">
                  <c:v>7.2465143561572406E-117</c:v>
                </c:pt>
                <c:pt idx="255">
                  <c:v>7.0639636178077629E-118</c:v>
                </c:pt>
                <c:pt idx="256">
                  <c:v>6.8171750744479631E-119</c:v>
                </c:pt>
                <c:pt idx="257">
                  <c:v>6.5132408469232057E-120</c:v>
                </c:pt>
                <c:pt idx="258">
                  <c:v>6.1606498403248575E-121</c:v>
                </c:pt>
                <c:pt idx="259">
                  <c:v>5.7688946622037786E-122</c:v>
                </c:pt>
                <c:pt idx="260">
                  <c:v>5.3480491478758483E-123</c:v>
                </c:pt>
                <c:pt idx="261">
                  <c:v>4.9083425838197037E-124</c:v>
                </c:pt>
                <c:pt idx="262">
                  <c:v>4.4597554153554196E-125</c:v>
                </c:pt>
                <c:pt idx="263">
                  <c:v>4.0116581009627836E-126</c:v>
                </c:pt>
                <c:pt idx="264">
                  <c:v>3.5725102246122498E-127</c:v>
                </c:pt>
                <c:pt idx="265">
                  <c:v>3.1496314984476802E-128</c:v>
                </c:pt>
                <c:pt idx="266">
                  <c:v>2.7490504274450777E-129</c:v>
                </c:pt>
                <c:pt idx="267">
                  <c:v>2.3754306979282992E-130</c:v>
                </c:pt>
                <c:pt idx="268">
                  <c:v>2.0320702585660122E-131</c:v>
                </c:pt>
                <c:pt idx="269">
                  <c:v>1.7209639430832876E-132</c:v>
                </c:pt>
                <c:pt idx="270">
                  <c:v>1.4429175634731632E-133</c:v>
                </c:pt>
                <c:pt idx="271">
                  <c:v>1.1976997669041063E-134</c:v>
                </c:pt>
                <c:pt idx="272">
                  <c:v>9.8421755504034671E-136</c:v>
                </c:pt>
                <c:pt idx="273">
                  <c:v>8.0070206012246803E-137</c:v>
                </c:pt>
                <c:pt idx="274">
                  <c:v>6.4489273062623315E-138</c:v>
                </c:pt>
                <c:pt idx="275">
                  <c:v>5.1421023162629845E-139</c:v>
                </c:pt>
                <c:pt idx="276">
                  <c:v>4.0591083397879416E-140</c:v>
                </c:pt>
                <c:pt idx="277">
                  <c:v>3.1721759556543246E-141</c:v>
                </c:pt>
                <c:pt idx="278">
                  <c:v>2.4542601267504321E-142</c:v>
                </c:pt>
                <c:pt idx="279">
                  <c:v>1.879838808246381E-143</c:v>
                </c:pt>
                <c:pt idx="280">
                  <c:v>1.4254675240875335E-144</c:v>
                </c:pt>
                <c:pt idx="281">
                  <c:v>1.0701157114295224E-145</c:v>
                </c:pt>
                <c:pt idx="282">
                  <c:v>7.9531807050896063E-147</c:v>
                </c:pt>
                <c:pt idx="283">
                  <c:v>5.8517755065063759E-148</c:v>
                </c:pt>
                <c:pt idx="284">
                  <c:v>4.2625664283813523E-149</c:v>
                </c:pt>
                <c:pt idx="285">
                  <c:v>3.0739115040739444E-150</c:v>
                </c:pt>
                <c:pt idx="286">
                  <c:v>2.1945640329074114E-151</c:v>
                </c:pt>
                <c:pt idx="287">
                  <c:v>1.5511073325061944E-152</c:v>
                </c:pt>
                <c:pt idx="288">
                  <c:v>1.0853558248165529E-153</c:v>
                </c:pt>
                <c:pt idx="289">
                  <c:v>7.5186371902610118E-155</c:v>
                </c:pt>
                <c:pt idx="290">
                  <c:v>5.1563550351951549E-156</c:v>
                </c:pt>
                <c:pt idx="291">
                  <c:v>3.5009281144912116E-157</c:v>
                </c:pt>
                <c:pt idx="292">
                  <c:v>2.3532077549809809E-158</c:v>
                </c:pt>
                <c:pt idx="293">
                  <c:v>1.5659361328911554E-159</c:v>
                </c:pt>
                <c:pt idx="294">
                  <c:v>1.0316313144792135E-160</c:v>
                </c:pt>
                <c:pt idx="295">
                  <c:v>6.7283981738511756E-162</c:v>
                </c:pt>
                <c:pt idx="296">
                  <c:v>4.3444574587933511E-163</c:v>
                </c:pt>
                <c:pt idx="297">
                  <c:v>2.7771293633104728E-164</c:v>
                </c:pt>
                <c:pt idx="298">
                  <c:v>1.7574920476928144E-165</c:v>
                </c:pt>
                <c:pt idx="299">
                  <c:v>1.1011014222311667E-166</c:v>
                </c:pt>
                <c:pt idx="300">
                  <c:v>6.8296425688627602E-168</c:v>
                </c:pt>
                <c:pt idx="301">
                  <c:v>4.1937769067864772E-169</c:v>
                </c:pt>
                <c:pt idx="302">
                  <c:v>2.5494668493781772E-170</c:v>
                </c:pt>
                <c:pt idx="303">
                  <c:v>1.534370044999759E-171</c:v>
                </c:pt>
                <c:pt idx="304">
                  <c:v>9.1421333171487687E-173</c:v>
                </c:pt>
                <c:pt idx="305">
                  <c:v>5.3926431919949015E-174</c:v>
                </c:pt>
                <c:pt idx="306">
                  <c:v>3.1491439877827562E-175</c:v>
                </c:pt>
                <c:pt idx="307">
                  <c:v>1.8206230946370759E-176</c:v>
                </c:pt>
                <c:pt idx="308">
                  <c:v>1.042039719803936E-177</c:v>
                </c:pt>
                <c:pt idx="309">
                  <c:v>5.9045281327883581E-179</c:v>
                </c:pt>
                <c:pt idx="310">
                  <c:v>3.3122477649840448E-180</c:v>
                </c:pt>
                <c:pt idx="311">
                  <c:v>1.8394887326928237E-181</c:v>
                </c:pt>
                <c:pt idx="312">
                  <c:v>1.0113655240540513E-182</c:v>
                </c:pt>
                <c:pt idx="313">
                  <c:v>5.5049813875230938E-184</c:v>
                </c:pt>
                <c:pt idx="314">
                  <c:v>2.9664720554293562E-185</c:v>
                </c:pt>
                <c:pt idx="315">
                  <c:v>1.5825643016002548E-186</c:v>
                </c:pt>
                <c:pt idx="316">
                  <c:v>8.3583232907677448E-188</c:v>
                </c:pt>
                <c:pt idx="317">
                  <c:v>4.3703242710835978E-189</c:v>
                </c:pt>
                <c:pt idx="318">
                  <c:v>2.2622721851857124E-190</c:v>
                </c:pt>
                <c:pt idx="319">
                  <c:v>1.1593451415454694E-191</c:v>
                </c:pt>
                <c:pt idx="320">
                  <c:v>5.8818958961580532E-193</c:v>
                </c:pt>
                <c:pt idx="321">
                  <c:v>2.9543273683005474E-194</c:v>
                </c:pt>
                <c:pt idx="322">
                  <c:v>1.4690500711331867E-195</c:v>
                </c:pt>
                <c:pt idx="323">
                  <c:v>7.2318810817581069E-197</c:v>
                </c:pt>
                <c:pt idx="324">
                  <c:v>3.5245416783323295E-198</c:v>
                </c:pt>
                <c:pt idx="325">
                  <c:v>1.7005551530748752E-199</c:v>
                </c:pt>
                <c:pt idx="326">
                  <c:v>8.122981977160065E-201</c:v>
                </c:pt>
                <c:pt idx="327">
                  <c:v>3.8412887501373067E-202</c:v>
                </c:pt>
                <c:pt idx="328">
                  <c:v>1.7983537126873932E-203</c:v>
                </c:pt>
                <c:pt idx="329">
                  <c:v>8.3350838687738376E-205</c:v>
                </c:pt>
                <c:pt idx="330">
                  <c:v>3.8245604456169844E-206</c:v>
                </c:pt>
                <c:pt idx="331">
                  <c:v>1.7373598505339163E-207</c:v>
                </c:pt>
                <c:pt idx="332">
                  <c:v>7.8133041332195599E-209</c:v>
                </c:pt>
                <c:pt idx="333">
                  <c:v>3.4786951759684051E-210</c:v>
                </c:pt>
                <c:pt idx="334">
                  <c:v>1.5333267668117727E-211</c:v>
                </c:pt>
                <c:pt idx="335">
                  <c:v>6.6909803739851429E-213</c:v>
                </c:pt>
                <c:pt idx="336">
                  <c:v>2.8905566930948072E-214</c:v>
                </c:pt>
                <c:pt idx="337">
                  <c:v>1.2362603034073924E-215</c:v>
                </c:pt>
                <c:pt idx="338">
                  <c:v>5.2344981834343124E-217</c:v>
                </c:pt>
                <c:pt idx="339">
                  <c:v>2.1942033786321016E-218</c:v>
                </c:pt>
                <c:pt idx="340">
                  <c:v>9.1057432852989978E-220</c:v>
                </c:pt>
                <c:pt idx="341">
                  <c:v>3.7410250979710681E-221</c:v>
                </c:pt>
                <c:pt idx="342">
                  <c:v>1.5216071424201446E-222</c:v>
                </c:pt>
                <c:pt idx="343">
                  <c:v>6.1270461468273128E-224</c:v>
                </c:pt>
                <c:pt idx="344">
                  <c:v>2.4425106228380285E-225</c:v>
                </c:pt>
                <c:pt idx="345">
                  <c:v>9.6395879003751558E-227</c:v>
                </c:pt>
                <c:pt idx="346">
                  <c:v>3.7663196087083419E-228</c:v>
                </c:pt>
                <c:pt idx="347">
                  <c:v>1.4568423962235719E-229</c:v>
                </c:pt>
                <c:pt idx="348">
                  <c:v>5.5788497944322832E-231</c:v>
                </c:pt>
                <c:pt idx="349">
                  <c:v>2.1150150513993058E-232</c:v>
                </c:pt>
                <c:pt idx="350">
                  <c:v>7.9381436354794805E-234</c:v>
                </c:pt>
                <c:pt idx="351">
                  <c:v>2.9495865229119398E-235</c:v>
                </c:pt>
                <c:pt idx="352">
                  <c:v>1.085025698299663E-236</c:v>
                </c:pt>
                <c:pt idx="353">
                  <c:v>3.9514419415463846E-238</c:v>
                </c:pt>
                <c:pt idx="354">
                  <c:v>1.4246490174633668E-239</c:v>
                </c:pt>
                <c:pt idx="355">
                  <c:v>5.0850690824238701E-241</c:v>
                </c:pt>
                <c:pt idx="356">
                  <c:v>1.7968942896850494E-242</c:v>
                </c:pt>
                <c:pt idx="357">
                  <c:v>6.2861522668017639E-244</c:v>
                </c:pt>
                <c:pt idx="358">
                  <c:v>2.1771279900450555E-245</c:v>
                </c:pt>
                <c:pt idx="359">
                  <c:v>7.4648265804978807E-247</c:v>
                </c:pt>
                <c:pt idx="360">
                  <c:v>2.5339158095159987E-248</c:v>
                </c:pt>
                <c:pt idx="361">
                  <c:v>8.5153271203833296E-250</c:v>
                </c:pt>
                <c:pt idx="362">
                  <c:v>2.8330040026321794E-251</c:v>
                </c:pt>
                <c:pt idx="363">
                  <c:v>9.3310332451391015E-253</c:v>
                </c:pt>
                <c:pt idx="364">
                  <c:v>3.0426288729571452E-254</c:v>
                </c:pt>
                <c:pt idx="365">
                  <c:v>9.8221129579644193E-256</c:v>
                </c:pt>
                <c:pt idx="366">
                  <c:v>3.1390451571302378E-257</c:v>
                </c:pt>
                <c:pt idx="367">
                  <c:v>9.9317756139277723E-259</c:v>
                </c:pt>
                <c:pt idx="368">
                  <c:v>3.1109492875456414E-260</c:v>
                </c:pt>
                <c:pt idx="369">
                  <c:v>9.6470751333135066E-262</c:v>
                </c:pt>
                <c:pt idx="370">
                  <c:v>2.9616592304291518E-263</c:v>
                </c:pt>
                <c:pt idx="371">
                  <c:v>9.0014238090758739E-265</c:v>
                </c:pt>
                <c:pt idx="372">
                  <c:v>2.708469999432537E-266</c:v>
                </c:pt>
                <c:pt idx="373">
                  <c:v>8.068142234578569E-268</c:v>
                </c:pt>
                <c:pt idx="374">
                  <c:v>2.3793578236021444E-269</c:v>
                </c:pt>
                <c:pt idx="375">
                  <c:v>6.9467659833579953E-271</c:v>
                </c:pt>
                <c:pt idx="376">
                  <c:v>2.0079009061268668E-272</c:v>
                </c:pt>
                <c:pt idx="377">
                  <c:v>5.7456422219693284E-274</c:v>
                </c:pt>
                <c:pt idx="378">
                  <c:v>1.6276895658759437E-275</c:v>
                </c:pt>
                <c:pt idx="379">
                  <c:v>4.565005199732081E-277</c:v>
                </c:pt>
                <c:pt idx="380">
                  <c:v>1.2674991313763894E-278</c:v>
                </c:pt>
                <c:pt idx="381">
                  <c:v>3.4841011988156619E-280</c:v>
                </c:pt>
                <c:pt idx="382">
                  <c:v>9.4813580712058426E-282</c:v>
                </c:pt>
                <c:pt idx="383">
                  <c:v>2.554388983541262E-283</c:v>
                </c:pt>
                <c:pt idx="384">
                  <c:v>6.8130286222968385E-285</c:v>
                </c:pt>
                <c:pt idx="385">
                  <c:v>1.7989955586906918E-286</c:v>
                </c:pt>
                <c:pt idx="386">
                  <c:v>4.7028016907001374E-288</c:v>
                </c:pt>
                <c:pt idx="387">
                  <c:v>1.2170822730540466E-289</c:v>
                </c:pt>
                <c:pt idx="388">
                  <c:v>3.1183144338881873E-291</c:v>
                </c:pt>
                <c:pt idx="389">
                  <c:v>7.9096373106739673E-293</c:v>
                </c:pt>
                <c:pt idx="390">
                  <c:v>1.9862318027453946E-294</c:v>
                </c:pt>
                <c:pt idx="391">
                  <c:v>4.9378738397108028E-296</c:v>
                </c:pt>
                <c:pt idx="392">
                  <c:v>1.2153090861068612E-297</c:v>
                </c:pt>
                <c:pt idx="393">
                  <c:v>2.9612167465510623E-299</c:v>
                </c:pt>
                <c:pt idx="394">
                  <c:v>7.1431594647002426E-301</c:v>
                </c:pt>
                <c:pt idx="395">
                  <c:v>1.7058749465092604E-302</c:v>
                </c:pt>
                <c:pt idx="396">
                  <c:v>4.0331161845239415E-304</c:v>
                </c:pt>
                <c:pt idx="397">
                  <c:v>9.4399777833406274E-306</c:v>
                </c:pt>
                <c:pt idx="398">
                  <c:v>2.1874488573915373E-307</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Data!$G$2:$G$1001</c:f>
              <c:numCache>
                <c:formatCode>0</c:formatCode>
                <c:ptCount val="1000"/>
                <c:pt idx="0">
                  <c:v>2.078327002494138</c:v>
                </c:pt>
                <c:pt idx="1">
                  <c:v>2.1702058709763832</c:v>
                </c:pt>
                <c:pt idx="2">
                  <c:v>2.2647380528156749</c:v>
                </c:pt>
                <c:pt idx="3">
                  <c:v>2.3619190556198455</c:v>
                </c:pt>
                <c:pt idx="4">
                  <c:v>2.4617391481061843</c:v>
                </c:pt>
                <c:pt idx="5">
                  <c:v>2.5641831600502658</c:v>
                </c:pt>
                <c:pt idx="6">
                  <c:v>2.6692302909727408</c:v>
                </c:pt>
                <c:pt idx="7">
                  <c:v>2.776853928661378</c:v>
                </c:pt>
                <c:pt idx="8">
                  <c:v>2.8870214786280268</c:v>
                </c:pt>
                <c:pt idx="9">
                  <c:v>2.9996942055970011</c:v>
                </c:pt>
                <c:pt idx="10">
                  <c:v>3.1148270881125963</c:v>
                </c:pt>
                <c:pt idx="11">
                  <c:v>3.2323686873386994</c:v>
                </c:pt>
                <c:pt idx="12">
                  <c:v>3.3522610311027963</c:v>
                </c:pt>
                <c:pt idx="13">
                  <c:v>3.4744395142097857</c:v>
                </c:pt>
                <c:pt idx="14">
                  <c:v>3.598832816017949</c:v>
                </c:pt>
                <c:pt idx="15">
                  <c:v>3.7253628362300595</c:v>
                </c:pt>
                <c:pt idx="16">
                  <c:v>3.8539446498070133</c:v>
                </c:pt>
                <c:pt idx="17">
                  <c:v>3.9844864818594479</c:v>
                </c:pt>
                <c:pt idx="18">
                  <c:v>4.1168897033147607</c:v>
                </c:pt>
                <c:pt idx="19">
                  <c:v>4.2510488480928093</c:v>
                </c:pt>
                <c:pt idx="20">
                  <c:v>4.3868516524534877</c:v>
                </c:pt>
                <c:pt idx="21">
                  <c:v>4.5241791171036265</c:v>
                </c:pt>
                <c:pt idx="22">
                  <c:v>4.6629055925693592</c:v>
                </c:pt>
                <c:pt idx="23">
                  <c:v>4.8028988882536581</c:v>
                </c:pt>
                <c:pt idx="24">
                  <c:v>4.9440204055073629</c:v>
                </c:pt>
                <c:pt idx="25">
                  <c:v>5.0861252949461946</c:v>
                </c:pt>
                <c:pt idx="26">
                  <c:v>5.2290626381462317</c:v>
                </c:pt>
                <c:pt idx="27">
                  <c:v>5.3726756537467004</c:v>
                </c:pt>
                <c:pt idx="28">
                  <c:v>5.516801927882093</c:v>
                </c:pt>
                <c:pt idx="29">
                  <c:v>5.6612736687561256</c:v>
                </c:pt>
                <c:pt idx="30">
                  <c:v>5.8059179850583584</c:v>
                </c:pt>
                <c:pt idx="31">
                  <c:v>5.9505571878111772</c:v>
                </c:pt>
                <c:pt idx="32">
                  <c:v>6.0950091151205905</c:v>
                </c:pt>
                <c:pt idx="33">
                  <c:v>6.2390874791898598</c:v>
                </c:pt>
                <c:pt idx="34">
                  <c:v>6.3826022348407587</c:v>
                </c:pt>
                <c:pt idx="35">
                  <c:v>6.5253599686739987</c:v>
                </c:pt>
                <c:pt idx="36">
                  <c:v>6.667164307888787</c:v>
                </c:pt>
                <c:pt idx="37">
                  <c:v>6.8078163476720963</c:v>
                </c:pt>
                <c:pt idx="38">
                  <c:v>6.9471150959618884</c:v>
                </c:pt>
                <c:pt idx="39">
                  <c:v>7.0848579342857985</c:v>
                </c:pt>
                <c:pt idx="40">
                  <c:v>7.2208410932783051</c:v>
                </c:pt>
                <c:pt idx="41">
                  <c:v>7.3548601413859496</c:v>
                </c:pt>
                <c:pt idx="42">
                  <c:v>7.4867104851821855</c:v>
                </c:pt>
                <c:pt idx="43">
                  <c:v>7.6161878796317088</c:v>
                </c:pt>
                <c:pt idx="44">
                  <c:v>7.7430889465690953</c:v>
                </c:pt>
                <c:pt idx="45">
                  <c:v>7.8672116995889008</c:v>
                </c:pt>
                <c:pt idx="46">
                  <c:v>7.9883560734844981</c:v>
                </c:pt>
                <c:pt idx="47">
                  <c:v>8.1063244563213921</c:v>
                </c:pt>
                <c:pt idx="48">
                  <c:v>8.2209222221878733</c:v>
                </c:pt>
                <c:pt idx="49">
                  <c:v>8.3319582626322166</c:v>
                </c:pt>
                <c:pt idx="50">
                  <c:v>8.4392455147713417</c:v>
                </c:pt>
                <c:pt idx="51">
                  <c:v>8.5426014840412936</c:v>
                </c:pt>
                <c:pt idx="52">
                  <c:v>8.6418487595553906</c:v>
                </c:pt>
                <c:pt idx="53">
                  <c:v>8.7368155200413309</c:v>
                </c:pt>
                <c:pt idx="54">
                  <c:v>8.8273360283443996</c:v>
                </c:pt>
                <c:pt idx="55">
                  <c:v>8.9132511125098208</c:v>
                </c:pt>
                <c:pt idx="56">
                  <c:v>8.9944086314936449</c:v>
                </c:pt>
                <c:pt idx="57">
                  <c:v>9.0706639235978557</c:v>
                </c:pt>
                <c:pt idx="58">
                  <c:v>9.141880235781823</c:v>
                </c:pt>
                <c:pt idx="59">
                  <c:v>9.2079291320683669</c:v>
                </c:pt>
                <c:pt idx="60">
                  <c:v>9.2686908793383154</c:v>
                </c:pt>
                <c:pt idx="61">
                  <c:v>9.3240548088922939</c:v>
                </c:pt>
                <c:pt idx="62">
                  <c:v>9.3739196522520185</c:v>
                </c:pt>
                <c:pt idx="63">
                  <c:v>9.4181938497752213</c:v>
                </c:pt>
                <c:pt idx="64">
                  <c:v>9.4567958307679767</c:v>
                </c:pt>
                <c:pt idx="65">
                  <c:v>9.489654263895039</c:v>
                </c:pt>
                <c:pt idx="66">
                  <c:v>9.5167082768122775</c:v>
                </c:pt>
                <c:pt idx="67">
                  <c:v>9.5379076440746626</c:v>
                </c:pt>
                <c:pt idx="68">
                  <c:v>9.5532129425078978</c:v>
                </c:pt>
                <c:pt idx="69">
                  <c:v>9.5625956733709643</c:v>
                </c:pt>
                <c:pt idx="70">
                  <c:v>9.5660383507797029</c:v>
                </c:pt>
                <c:pt idx="71">
                  <c:v>9.5635345560074239</c:v>
                </c:pt>
                <c:pt idx="72">
                  <c:v>9.5550889574265128</c:v>
                </c:pt>
                <c:pt idx="73">
                  <c:v>9.5407172960043258</c:v>
                </c:pt>
                <c:pt idx="74">
                  <c:v>9.5204463364164411</c:v>
                </c:pt>
                <c:pt idx="75">
                  <c:v>9.4943137839897709</c:v>
                </c:pt>
                <c:pt idx="76">
                  <c:v>9.4623681678363347</c:v>
                </c:pt>
                <c:pt idx="77">
                  <c:v>9.4246686906846513</c:v>
                </c:pt>
                <c:pt idx="78">
                  <c:v>9.381285046059217</c:v>
                </c:pt>
                <c:pt idx="79">
                  <c:v>9.332297203598225</c:v>
                </c:pt>
                <c:pt idx="80">
                  <c:v>9.277795163435183</c:v>
                </c:pt>
                <c:pt idx="81">
                  <c:v>9.217878680700256</c:v>
                </c:pt>
                <c:pt idx="82">
                  <c:v>9.1526569613216822</c:v>
                </c:pt>
                <c:pt idx="83">
                  <c:v>9.08224833042547</c:v>
                </c:pt>
                <c:pt idx="84">
                  <c:v>9.0067798747424739</c:v>
                </c:pt>
                <c:pt idx="85">
                  <c:v>8.9263870605350082</c:v>
                </c:pt>
                <c:pt idx="86">
                  <c:v>8.8412133286500598</c:v>
                </c:pt>
                <c:pt idx="87">
                  <c:v>8.7514096683924443</c:v>
                </c:pt>
                <c:pt idx="88">
                  <c:v>8.6571341719882806</c:v>
                </c:pt>
                <c:pt idx="89">
                  <c:v>8.5585515714769009</c:v>
                </c:pt>
                <c:pt idx="90">
                  <c:v>8.4558327599272189</c:v>
                </c:pt>
                <c:pt idx="91">
                  <c:v>8.34915429892256</c:v>
                </c:pt>
                <c:pt idx="92">
                  <c:v>8.2386979142958197</c:v>
                </c:pt>
                <c:pt idx="93">
                  <c:v>8.1246499821244278</c:v>
                </c:pt>
                <c:pt idx="94">
                  <c:v>8.0072010070119806</c:v>
                </c:pt>
                <c:pt idx="95">
                  <c:v>7.8865450946905238</c:v>
                </c:pt>
                <c:pt idx="96">
                  <c:v>7.7628794209745129</c:v>
                </c:pt>
                <c:pt idx="97">
                  <c:v>7.6364036990844593</c:v>
                </c:pt>
                <c:pt idx="98">
                  <c:v>7.5073196473355566</c:v>
                </c:pt>
                <c:pt idx="99">
                  <c:v>7.3758304591543533</c:v>
                </c:pt>
                <c:pt idx="100">
                  <c:v>7.2421402773450652</c:v>
                </c:pt>
                <c:pt idx="101">
                  <c:v>7.1064536744769882</c:v>
                </c:pt>
                <c:pt idx="102">
                  <c:v>6.9689751412058323</c:v>
                </c:pt>
                <c:pt idx="103">
                  <c:v>6.8299085842753273</c:v>
                </c:pt>
                <c:pt idx="104">
                  <c:v>6.6894568358715771</c:v>
                </c:pt>
                <c:pt idx="105">
                  <c:v>6.5478211759218974</c:v>
                </c:pt>
                <c:pt idx="106">
                  <c:v>6.4052008688428694</c:v>
                </c:pt>
                <c:pt idx="107">
                  <c:v>6.2617927161496771</c:v>
                </c:pt>
                <c:pt idx="108">
                  <c:v>6.1177906262410771</c:v>
                </c:pt>
                <c:pt idx="109">
                  <c:v>5.9733852025722438</c:v>
                </c:pt>
                <c:pt idx="110">
                  <c:v>5.8287633513219106</c:v>
                </c:pt>
                <c:pt idx="111">
                  <c:v>5.6841079095512947</c:v>
                </c:pt>
                <c:pt idx="112">
                  <c:v>5.5395972947410002</c:v>
                </c:pt>
                <c:pt idx="113">
                  <c:v>5.3954051764790698</c:v>
                </c:pt>
                <c:pt idx="114">
                  <c:v>5.2517001709592579</c:v>
                </c:pt>
                <c:pt idx="115">
                  <c:v>5.1086455588341089</c:v>
                </c:pt>
                <c:pt idx="116">
                  <c:v>4.9663990268531579</c:v>
                </c:pt>
                <c:pt idx="117">
                  <c:v>4.8251124336031976</c:v>
                </c:pt>
                <c:pt idx="118">
                  <c:v>4.684931599555596</c:v>
                </c:pt>
                <c:pt idx="119">
                  <c:v>4.5459961215158113</c:v>
                </c:pt>
                <c:pt idx="120">
                  <c:v>4.4084392114628859</c:v>
                </c:pt>
                <c:pt idx="121">
                  <c:v>4.2723875596626053</c:v>
                </c:pt>
                <c:pt idx="122">
                  <c:v>4.1379612218373429</c:v>
                </c:pt>
                <c:pt idx="123">
                  <c:v>4.0052735300791067</c:v>
                </c:pt>
                <c:pt idx="124">
                  <c:v>3.874431027100226</c:v>
                </c:pt>
                <c:pt idx="125">
                  <c:v>3.7455334233288125</c:v>
                </c:pt>
                <c:pt idx="126">
                  <c:v>3.618673576274051</c:v>
                </c:pt>
                <c:pt idx="127">
                  <c:v>3.4939374915097101</c:v>
                </c:pt>
                <c:pt idx="128">
                  <c:v>3.371404344553258</c:v>
                </c:pt>
                <c:pt idx="129">
                  <c:v>3.2511465228529146</c:v>
                </c:pt>
                <c:pt idx="130">
                  <c:v>3.1332296870359193</c:v>
                </c:pt>
                <c:pt idx="131">
                  <c:v>3.0177128505184148</c:v>
                </c:pt>
                <c:pt idx="132">
                  <c:v>2.9046484765307681</c:v>
                </c:pt>
                <c:pt idx="133">
                  <c:v>2.7940825915717498</c:v>
                </c:pt>
                <c:pt idx="134">
                  <c:v>2.6860549142709793</c:v>
                </c:pt>
                <c:pt idx="135">
                  <c:v>2.5805989986111815</c:v>
                </c:pt>
                <c:pt idx="136">
                  <c:v>2.477742390440131</c:v>
                </c:pt>
                <c:pt idx="137">
                  <c:v>2.3775067961865175</c:v>
                </c:pt>
                <c:pt idx="138">
                  <c:v>2.2799082626842386</c:v>
                </c:pt>
                <c:pt idx="139">
                  <c:v>2.18495736700558</c:v>
                </c:pt>
                <c:pt idx="140">
                  <c:v>2.0926594152052536</c:v>
                </c:pt>
                <c:pt idx="141">
                  <c:v>2.003014648884033</c:v>
                </c:pt>
                <c:pt idx="142">
                  <c:v>1.9160184584925299</c:v>
                </c:pt>
                <c:pt idx="143">
                  <c:v>1.8316616023122354</c:v>
                </c:pt>
                <c:pt idx="144">
                  <c:v>1.7499304300719785</c:v>
                </c:pt>
                <c:pt idx="145">
                  <c:v>1.6708071101831701</c:v>
                </c:pt>
                <c:pt idx="146">
                  <c:v>1.594269859606233</c:v>
                </c:pt>
                <c:pt idx="147">
                  <c:v>1.5202931753932198</c:v>
                </c:pt>
                <c:pt idx="148">
                  <c:v>1.4488480669873456</c:v>
                </c:pt>
                <c:pt idx="149">
                  <c:v>1.3799022883987888</c:v>
                </c:pt>
                <c:pt idx="150">
                  <c:v>1.3134205694172338</c:v>
                </c:pt>
                <c:pt idx="151">
                  <c:v>1.2493648450648795</c:v>
                </c:pt>
                <c:pt idx="152">
                  <c:v>1.1876944825387872</c:v>
                </c:pt>
                <c:pt idx="153">
                  <c:v>1.1283665049380172</c:v>
                </c:pt>
                <c:pt idx="154">
                  <c:v>1.0713358111188123</c:v>
                </c:pt>
                <c:pt idx="155">
                  <c:v>1.0165553910696954</c:v>
                </c:pt>
                <c:pt idx="156">
                  <c:v>0.96397653624754254</c:v>
                </c:pt>
                <c:pt idx="157">
                  <c:v>0.91354904436513285</c:v>
                </c:pt>
                <c:pt idx="158">
                  <c:v>0.86522141817006404</c:v>
                </c:pt>
                <c:pt idx="159">
                  <c:v>0.81894105780403526</c:v>
                </c:pt>
                <c:pt idx="160">
                  <c:v>0.77465444638006564</c:v>
                </c:pt>
                <c:pt idx="161">
                  <c:v>0.73230732846296587</c:v>
                </c:pt>
                <c:pt idx="162">
                  <c:v>0.69184488118516541</c:v>
                </c:pt>
                <c:pt idx="163">
                  <c:v>0.65321187777555123</c:v>
                </c:pt>
                <c:pt idx="164">
                  <c:v>0.61635284332314744</c:v>
                </c:pt>
                <c:pt idx="165">
                  <c:v>0.58121220264008644</c:v>
                </c:pt>
                <c:pt idx="166">
                  <c:v>0.54773442012924678</c:v>
                </c:pt>
                <c:pt idx="167">
                  <c:v>0.51586413160101885</c:v>
                </c:pt>
                <c:pt idx="168">
                  <c:v>0.48554626802082779</c:v>
                </c:pt>
                <c:pt idx="169">
                  <c:v>0.45672617120416231</c:v>
                </c:pt>
                <c:pt idx="170">
                  <c:v>0.42934970150888452</c:v>
                </c:pt>
                <c:pt idx="171">
                  <c:v>0.40336333760546583</c:v>
                </c:pt>
                <c:pt idx="172">
                  <c:v>0.37871426843445</c:v>
                </c:pt>
                <c:pt idx="173">
                  <c:v>0.35535047748687637</c:v>
                </c:pt>
                <c:pt idx="174">
                  <c:v>0.33322081956760374</c:v>
                </c:pt>
                <c:pt idx="175">
                  <c:v>0.31227509022342659</c:v>
                </c:pt>
                <c:pt idx="176">
                  <c:v>0.29246408803762269</c:v>
                </c:pt>
                <c:pt idx="177">
                  <c:v>0.27373967001013283</c:v>
                </c:pt>
                <c:pt idx="178">
                  <c:v>0.25605480025797467</c:v>
                </c:pt>
                <c:pt idx="179">
                  <c:v>0.23936359228380549</c:v>
                </c:pt>
                <c:pt idx="180">
                  <c:v>0.22362134507182826</c:v>
                </c:pt>
                <c:pt idx="181">
                  <c:v>0.20878457327953584</c:v>
                </c:pt>
                <c:pt idx="182">
                  <c:v>0.19481103180120454</c:v>
                </c:pt>
                <c:pt idx="183">
                  <c:v>0.18165973498465954</c:v>
                </c:pt>
                <c:pt idx="184">
                  <c:v>0.16929097078671154</c:v>
                </c:pt>
                <c:pt idx="185">
                  <c:v>0.15766631015492566</c:v>
                </c:pt>
                <c:pt idx="186">
                  <c:v>0.14674861192410787</c:v>
                </c:pt>
                <c:pt idx="187">
                  <c:v>0.13650202351518295</c:v>
                </c:pt>
                <c:pt idx="188">
                  <c:v>0.12689197772209929</c:v>
                </c:pt>
                <c:pt idx="189">
                  <c:v>0.11788518586912543</c:v>
                </c:pt>
                <c:pt idx="190">
                  <c:v>0.10944962761650293</c:v>
                </c:pt>
                <c:pt idx="191">
                  <c:v>0.10155453768699656</c:v>
                </c:pt>
                <c:pt idx="192">
                  <c:v>9.4170389779537941E-2</c:v>
                </c:pt>
                <c:pt idx="193">
                  <c:v>8.7268877928977653E-2</c:v>
                </c:pt>
                <c:pt idx="194">
                  <c:v>8.0822895563069777E-2</c:v>
                </c:pt>
                <c:pt idx="195">
                  <c:v>7.4806512499271324E-2</c:v>
                </c:pt>
                <c:pt idx="196">
                  <c:v>6.9194950114868758E-2</c:v>
                </c:pt>
                <c:pt idx="197">
                  <c:v>6.3964554914416452E-2</c:v>
                </c:pt>
                <c:pt idx="198">
                  <c:v>5.9092770708575534E-2</c:v>
                </c:pt>
                <c:pt idx="199">
                  <c:v>5.4558109608260269E-2</c:v>
                </c:pt>
                <c:pt idx="200">
                  <c:v>5.034012202760537E-2</c:v>
                </c:pt>
                <c:pt idx="201">
                  <c:v>4.6419365878733118E-2</c:v>
                </c:pt>
                <c:pt idx="202">
                  <c:v>4.2777375130695253E-2</c:v>
                </c:pt>
                <c:pt idx="203">
                  <c:v>3.9396627894348044E-2</c:v>
                </c:pt>
                <c:pt idx="204">
                  <c:v>3.62605141843515E-2</c:v>
                </c:pt>
                <c:pt idx="205">
                  <c:v>3.3353303499018896E-2</c:v>
                </c:pt>
                <c:pt idx="206">
                  <c:v>3.0660112348423692E-2</c:v>
                </c:pt>
                <c:pt idx="207">
                  <c:v>2.8166871851048131E-2</c:v>
                </c:pt>
                <c:pt idx="208">
                  <c:v>2.586029550936586E-2</c:v>
                </c:pt>
                <c:pt idx="209">
                  <c:v>2.3727847265123975E-2</c:v>
                </c:pt>
                <c:pt idx="210">
                  <c:v>2.1757709925762744E-2</c:v>
                </c:pt>
                <c:pt idx="211">
                  <c:v>1.9938754044403519E-2</c:v>
                </c:pt>
                <c:pt idx="212">
                  <c:v>1.8260507327174335E-2</c:v>
                </c:pt>
                <c:pt idx="213">
                  <c:v>1.6713124633343797E-2</c:v>
                </c:pt>
                <c:pt idx="214">
                  <c:v>1.5287358625811697E-2</c:v>
                </c:pt>
                <c:pt idx="215">
                  <c:v>1.3974531121971185E-2</c:v>
                </c:pt>
                <c:pt idx="216">
                  <c:v>1.2766505187819728E-2</c:v>
                </c:pt>
                <c:pt idx="217">
                  <c:v>1.1655658011459076E-2</c:v>
                </c:pt>
                <c:pt idx="218">
                  <c:v>1.0634854585789501E-2</c:v>
                </c:pt>
                <c:pt idx="219">
                  <c:v>9.6974222242720565E-3</c:v>
                </c:pt>
                <c:pt idx="220">
                  <c:v>8.8371259280989566E-3</c:v>
                </c:pt>
                <c:pt idx="221">
                  <c:v>8.0481446179732664E-3</c:v>
                </c:pt>
                <c:pt idx="222">
                  <c:v>7.3250482389476523E-3</c:v>
                </c:pt>
                <c:pt idx="223">
                  <c:v>6.6627757423982879E-3</c:v>
                </c:pt>
                <c:pt idx="224">
                  <c:v>6.0566139452056843E-3</c:v>
                </c:pt>
                <c:pt idx="225">
                  <c:v>5.5021772625662886E-3</c:v>
                </c:pt>
                <c:pt idx="226">
                  <c:v>4.995388307555736E-3</c:v>
                </c:pt>
                <c:pt idx="227">
                  <c:v>4.532459347592617E-3</c:v>
                </c:pt>
                <c:pt idx="228">
                  <c:v>4.1098746052966664E-3</c:v>
                </c:pt>
                <c:pt idx="229">
                  <c:v>3.7243733888824306E-3</c:v>
                </c:pt>
                <c:pt idx="230">
                  <c:v>3.3729340351637735E-3</c:v>
                </c:pt>
                <c:pt idx="231">
                  <c:v>3.0527586464502046E-3</c:v>
                </c:pt>
                <c:pt idx="232">
                  <c:v>2.7612586010777392E-3</c:v>
                </c:pt>
                <c:pt idx="233">
                  <c:v>2.4960408160184478E-3</c:v>
                </c:pt>
                <c:pt idx="234">
                  <c:v>2.2548947389392894E-3</c:v>
                </c:pt>
                <c:pt idx="235">
                  <c:v>2.0357800462156113E-3</c:v>
                </c:pt>
                <c:pt idx="236">
                  <c:v>1.8368150227335549E-3</c:v>
                </c:pt>
                <c:pt idx="237">
                  <c:v>1.6562655988229579E-3</c:v>
                </c:pt>
                <c:pt idx="238">
                  <c:v>1.4925350193338226E-3</c:v>
                </c:pt>
                <c:pt idx="239">
                  <c:v>1.3441541196908345E-3</c:v>
                </c:pt>
                <c:pt idx="240">
                  <c:v>1.209772183718175E-3</c:v>
                </c:pt>
                <c:pt idx="241">
                  <c:v>1.0881483581076997E-3</c:v>
                </c:pt>
                <c:pt idx="242">
                  <c:v>9.7814359859506469E-4</c:v>
                </c:pt>
                <c:pt idx="243">
                  <c:v>8.7871312319847501E-4</c:v>
                </c:pt>
                <c:pt idx="244">
                  <c:v>7.8889934825207716E-4</c:v>
                </c:pt>
                <c:pt idx="245">
                  <c:v>7.0782528341987582E-4</c:v>
                </c:pt>
                <c:pt idx="246">
                  <c:v>6.3468836239632812E-4</c:v>
                </c:pt>
                <c:pt idx="247">
                  <c:v>5.6875468657689829E-4</c:v>
                </c:pt>
                <c:pt idx="248">
                  <c:v>5.0935365960708189E-4</c:v>
                </c:pt>
                <c:pt idx="249">
                  <c:v>4.5587299138344329E-4</c:v>
                </c:pt>
                <c:pt idx="250">
                  <c:v>4.0775405077738753E-4</c:v>
                </c:pt>
                <c:pt idx="251">
                  <c:v>3.6448754707480335E-4</c:v>
                </c:pt>
                <c:pt idx="252">
                  <c:v>3.2560952086579714E-4</c:v>
                </c:pt>
                <c:pt idx="253">
                  <c:v>2.906976258726743E-4</c:v>
                </c:pt>
                <c:pt idx="254">
                  <c:v>2.5936768396577024E-4</c:v>
                </c:pt>
                <c:pt idx="255">
                  <c:v>2.3127049638084718E-4</c:v>
                </c:pt>
                <c:pt idx="256">
                  <c:v>2.0608889491425164E-4</c:v>
                </c:pt>
                <c:pt idx="257">
                  <c:v>1.8353501762899044E-4</c:v>
                </c:pt>
                <c:pt idx="258">
                  <c:v>1.6334779435295512E-4</c:v>
                </c:pt>
                <c:pt idx="259">
                  <c:v>1.452906279866874E-4</c:v>
                </c:pt>
                <c:pt idx="260">
                  <c:v>1.2914925835974823E-4</c:v>
                </c:pt>
                <c:pt idx="261">
                  <c:v>1.1472979607970876E-4</c:v>
                </c:pt>
                <c:pt idx="262">
                  <c:v>1.0185691450411132E-4</c:v>
                </c:pt>
                <c:pt idx="263">
                  <c:v>9.0372188631922021E-5</c:v>
                </c:pt>
                <c:pt idx="264">
                  <c:v>8.0132570355693269E-5</c:v>
                </c:pt>
                <c:pt idx="265">
                  <c:v>7.1008990137890997E-5</c:v>
                </c:pt>
                <c:pt idx="266">
                  <c:v>6.2885075773851473E-5</c:v>
                </c:pt>
                <c:pt idx="267">
                  <c:v>5.5655979479045426E-5</c:v>
                </c:pt>
                <c:pt idx="268">
                  <c:v>4.9227305089439214E-5</c:v>
                </c:pt>
                <c:pt idx="269">
                  <c:v>4.3514127690552641E-5</c:v>
                </c:pt>
                <c:pt idx="270">
                  <c:v>3.8440098493343064E-5</c:v>
                </c:pt>
                <c:pt idx="271">
                  <c:v>3.3936628253422554E-5</c:v>
                </c:pt>
                <c:pt idx="272">
                  <c:v>2.9942142984608869E-5</c:v>
                </c:pt>
                <c:pt idx="273">
                  <c:v>2.6401406148792194E-5</c:v>
                </c:pt>
                <c:pt idx="274">
                  <c:v>2.3264901912038E-5</c:v>
                </c:pt>
                <c:pt idx="275">
                  <c:v>2.0488274442291139E-5</c:v>
                </c:pt>
                <c:pt idx="276">
                  <c:v>1.8031818587605297E-5</c:v>
                </c:pt>
                <c:pt idx="277">
                  <c:v>1.5860017616177181E-5</c:v>
                </c:pt>
                <c:pt idx="278">
                  <c:v>1.3941124021317514E-5</c:v>
                </c:pt>
                <c:pt idx="279">
                  <c:v>1.2246779696604167E-5</c:v>
                </c:pt>
                <c:pt idx="280">
                  <c:v>1.0751672069600544E-5</c:v>
                </c:pt>
                <c:pt idx="281">
                  <c:v>9.4332230474852389E-6</c:v>
                </c:pt>
                <c:pt idx="282">
                  <c:v>8.2713078755272583E-6</c:v>
                </c:pt>
                <c:pt idx="283">
                  <c:v>7.2480012403618221E-6</c:v>
                </c:pt>
                <c:pt idx="284">
                  <c:v>6.3473481652838851E-6</c:v>
                </c:pt>
                <c:pt idx="285">
                  <c:v>5.5551574450755607E-6</c:v>
                </c:pt>
                <c:pt idx="286">
                  <c:v>4.8588155540114369E-6</c:v>
                </c:pt>
                <c:pt idx="287">
                  <c:v>4.2471191334143383E-6</c:v>
                </c:pt>
                <c:pt idx="288">
                  <c:v>3.7101243252200523E-6</c:v>
                </c:pt>
                <c:pt idx="289">
                  <c:v>3.2390113661893214E-6</c:v>
                </c:pt>
                <c:pt idx="290">
                  <c:v>2.8259629943910979E-6</c:v>
                </c:pt>
                <c:pt idx="291">
                  <c:v>2.4640553460625998E-6</c:v>
                </c:pt>
                <c:pt idx="292">
                  <c:v>2.1471601375918974E-6</c:v>
                </c:pt>
                <c:pt idx="293">
                  <c:v>1.869857034804412E-6</c:v>
                </c:pt>
                <c:pt idx="294">
                  <c:v>1.6273552105747953E-6</c:v>
                </c:pt>
                <c:pt idx="295">
                  <c:v>1.4154231826123435E-6</c:v>
                </c:pt>
                <c:pt idx="296">
                  <c:v>1.2303261066342142E-6</c:v>
                </c:pt>
                <c:pt idx="297">
                  <c:v>1.0687697765726134E-6</c:v>
                </c:pt>
                <c:pt idx="298">
                  <c:v>9.2785065345753721E-7</c:v>
                </c:pt>
                <c:pt idx="299">
                  <c:v>8.0501130864654942E-7</c:v>
                </c:pt>
                <c:pt idx="300">
                  <c:v>6.9800072558156902E-7</c:v>
                </c:pt>
                <c:pt idx="301">
                  <c:v>6.0483895765783288E-7</c:v>
                </c:pt>
                <c:pt idx="302">
                  <c:v>5.2378568848476133E-7</c:v>
                </c:pt>
                <c:pt idx="303">
                  <c:v>4.533122851708673E-7</c:v>
                </c:pt>
                <c:pt idx="304">
                  <c:v>3.9207697561960316E-7</c:v>
                </c:pt>
                <c:pt idx="305">
                  <c:v>3.3890281750228413E-7</c:v>
                </c:pt>
                <c:pt idx="306">
                  <c:v>2.9275815987834376E-7</c:v>
                </c:pt>
                <c:pt idx="307">
                  <c:v>2.5273932864164993E-7</c:v>
                </c:pt>
                <c:pt idx="308">
                  <c:v>2.1805529434455941E-7</c:v>
                </c:pt>
                <c:pt idx="309">
                  <c:v>1.8801410572989381E-7</c:v>
                </c:pt>
                <c:pt idx="310">
                  <c:v>1.6201089470868422E-7</c:v>
                </c:pt>
                <c:pt idx="311">
                  <c:v>1.3951727876513526E-7</c:v>
                </c:pt>
                <c:pt idx="312">
                  <c:v>1.200720050408621E-7</c:v>
                </c:pt>
                <c:pt idx="313">
                  <c:v>1.0327269682423166E-7</c:v>
                </c:pt>
                <c:pt idx="314">
                  <c:v>8.876857801001898E-8</c:v>
                </c:pt>
                <c:pt idx="315">
                  <c:v>7.6254064448821712E-8</c:v>
                </c:pt>
                <c:pt idx="316">
                  <c:v>6.5463123111967358E-8</c:v>
                </c:pt>
                <c:pt idx="317">
                  <c:v>5.6164310781823367E-8</c:v>
                </c:pt>
                <c:pt idx="318">
                  <c:v>4.815641365478055E-8</c:v>
                </c:pt>
                <c:pt idx="319">
                  <c:v>4.1264617920180939E-8</c:v>
                </c:pt>
                <c:pt idx="320">
                  <c:v>3.5337149149510055E-8</c:v>
                </c:pt>
                <c:pt idx="321">
                  <c:v>3.0242325284226764E-8</c:v>
                </c:pt>
                <c:pt idx="322">
                  <c:v>2.5865974227849795E-8</c:v>
                </c:pt>
                <c:pt idx="323">
                  <c:v>2.2109172601337632E-8</c:v>
                </c:pt>
                <c:pt idx="324">
                  <c:v>1.8886267176791122E-8</c:v>
                </c:pt>
                <c:pt idx="325">
                  <c:v>1.6123144923327254E-8</c:v>
                </c:pt>
                <c:pt idx="326">
                  <c:v>1.3755721535324111E-8</c:v>
                </c:pt>
                <c:pt idx="327">
                  <c:v>1.1728621816657595E-8</c:v>
                </c:pt>
                <c:pt idx="328">
                  <c:v>9.9940284098920172E-9</c:v>
                </c:pt>
                <c:pt idx="329">
                  <c:v>8.5106781271805668E-9</c:v>
                </c:pt>
                <c:pt idx="330">
                  <c:v>7.2429875964968555E-9</c:v>
                </c:pt>
                <c:pt idx="331">
                  <c:v>6.160292115765327E-9</c:v>
                </c:pt>
                <c:pt idx="332">
                  <c:v>5.2361835382473073E-9</c:v>
                </c:pt>
                <c:pt idx="333">
                  <c:v>4.4479347219462384E-9</c:v>
                </c:pt>
                <c:pt idx="334">
                  <c:v>3.7759995878958174E-9</c:v>
                </c:pt>
                <c:pt idx="335">
                  <c:v>3.2035791686142641E-9</c:v>
                </c:pt>
                <c:pt idx="336">
                  <c:v>2.7162452081446111E-9</c:v>
                </c:pt>
                <c:pt idx="337">
                  <c:v>2.301613916342903E-9</c:v>
                </c:pt>
                <c:pt idx="338">
                  <c:v>1.9490633979905948E-9</c:v>
                </c:pt>
                <c:pt idx="339">
                  <c:v>1.6494890858158131E-9</c:v>
                </c:pt>
                <c:pt idx="340">
                  <c:v>1.395092218052081E-9</c:v>
                </c:pt>
                <c:pt idx="341">
                  <c:v>1.1791970268445198E-9</c:v>
                </c:pt>
                <c:pt idx="342">
                  <c:v>9.9609285353402153E-10</c:v>
                </c:pt>
                <c:pt idx="343">
                  <c:v>8.4089788942920068E-10</c:v>
                </c:pt>
                <c:pt idx="344">
                  <c:v>7.0944166396215422E-10</c:v>
                </c:pt>
                <c:pt idx="345">
                  <c:v>5.9816377309574327E-10</c:v>
                </c:pt>
                <c:pt idx="346">
                  <c:v>5.0402666570433064E-10</c:v>
                </c:pt>
                <c:pt idx="347">
                  <c:v>4.2444058988635037E-10</c:v>
                </c:pt>
                <c:pt idx="348">
                  <c:v>3.5719904966037461E-10</c:v>
                </c:pt>
                <c:pt idx="349">
                  <c:v>3.0042333956397317E-10</c:v>
                </c:pt>
                <c:pt idx="350">
                  <c:v>2.5251491413657767E-10</c:v>
                </c:pt>
                <c:pt idx="351">
                  <c:v>2.1211451450022805E-10</c:v>
                </c:pt>
                <c:pt idx="352">
                  <c:v>1.7806711823763293E-10</c:v>
                </c:pt>
                <c:pt idx="353">
                  <c:v>1.493919041362467E-10</c:v>
                </c:pt>
                <c:pt idx="354">
                  <c:v>1.2525653243928016E-10</c:v>
                </c:pt>
                <c:pt idx="355">
                  <c:v>1.0495513606213208E-10</c:v>
                </c:pt>
                <c:pt idx="356">
                  <c:v>8.788950059263836E-11</c:v>
                </c:pt>
                <c:pt idx="357">
                  <c:v>7.3552982375553281E-11</c:v>
                </c:pt>
                <c:pt idx="358">
                  <c:v>6.1516775973152714E-11</c:v>
                </c:pt>
                <c:pt idx="359">
                  <c:v>5.1418196012201471E-11</c:v>
                </c:pt>
                <c:pt idx="360">
                  <c:v>4.2950684940042239E-11</c:v>
                </c:pt>
                <c:pt idx="361">
                  <c:v>3.5855298454036116E-11</c:v>
                </c:pt>
                <c:pt idx="362">
                  <c:v>2.9913455157143243E-11</c:v>
                </c:pt>
                <c:pt idx="363">
                  <c:v>2.4940767043332309E-11</c:v>
                </c:pt>
                <c:pt idx="364">
                  <c:v>2.0781793354629889E-11</c:v>
                </c:pt>
                <c:pt idx="365">
                  <c:v>1.7305582722354355E-11</c:v>
                </c:pt>
                <c:pt idx="366">
                  <c:v>1.440188778401158E-11</c:v>
                </c:pt>
                <c:pt idx="367">
                  <c:v>1.1977953068866023E-11</c:v>
                </c:pt>
                <c:pt idx="368">
                  <c:v>9.9557912300653179E-12</c:v>
                </c:pt>
                <c:pt idx="369">
                  <c:v>8.2698749831654979E-12</c:v>
                </c:pt>
                <c:pt idx="370">
                  <c:v>6.8651826626419975E-12</c:v>
                </c:pt>
                <c:pt idx="371">
                  <c:v>5.6955443662425285E-12</c:v>
                </c:pt>
                <c:pt idx="372">
                  <c:v>4.7222434272429554E-12</c:v>
                </c:pt>
                <c:pt idx="373">
                  <c:v>3.9128346148486536E-12</c:v>
                </c:pt>
                <c:pt idx="374">
                  <c:v>3.2401461673460137E-12</c:v>
                </c:pt>
                <c:pt idx="375">
                  <c:v>2.6814376445870571E-12</c:v>
                </c:pt>
                <c:pt idx="376">
                  <c:v>2.2176897613595246E-12</c:v>
                </c:pt>
                <c:pt idx="377">
                  <c:v>1.8330059308262056E-12</c:v>
                </c:pt>
                <c:pt idx="378">
                  <c:v>1.5141082935435382E-12</c:v>
                </c:pt>
                <c:pt idx="379">
                  <c:v>1.2499136067924194E-12</c:v>
                </c:pt>
                <c:pt idx="380">
                  <c:v>1.0311765850144573E-12</c:v>
                </c:pt>
                <c:pt idx="381">
                  <c:v>8.5019017010113807E-13</c:v>
                </c:pt>
                <c:pt idx="382">
                  <c:v>7.0053381749697407E-13</c:v>
                </c:pt>
                <c:pt idx="383">
                  <c:v>5.7686225126721648E-13</c:v>
                </c:pt>
                <c:pt idx="384">
                  <c:v>4.7472830341722878E-13</c:v>
                </c:pt>
                <c:pt idx="385">
                  <c:v>3.9043443984764659E-13</c:v>
                </c:pt>
                <c:pt idx="386">
                  <c:v>3.2090841312287007E-13</c:v>
                </c:pt>
                <c:pt idx="387">
                  <c:v>2.6359919277169984E-13</c:v>
                </c:pt>
                <c:pt idx="388">
                  <c:v>2.1638992600645E-13</c:v>
                </c:pt>
                <c:pt idx="389">
                  <c:v>1.7752519168970103E-13</c:v>
                </c:pt>
                <c:pt idx="390">
                  <c:v>1.4555024189945312E-13</c:v>
                </c:pt>
                <c:pt idx="391">
                  <c:v>1.1926029033237181E-13</c:v>
                </c:pt>
                <c:pt idx="392">
                  <c:v>9.7658215101248022E-14</c:v>
                </c:pt>
                <c:pt idx="393">
                  <c:v>7.9919303804784493E-14</c:v>
                </c:pt>
                <c:pt idx="394">
                  <c:v>6.5361888384011291E-14</c:v>
                </c:pt>
                <c:pt idx="395">
                  <c:v>5.3422902451876045E-14</c:v>
                </c:pt>
                <c:pt idx="396">
                  <c:v>4.3637549783771588E-14</c:v>
                </c:pt>
                <c:pt idx="397">
                  <c:v>3.5622403985514059E-14</c:v>
                </c:pt>
                <c:pt idx="398">
                  <c:v>2.9061369832452139E-14</c:v>
                </c:pt>
                <c:pt idx="399">
                  <c:v>2.369402964143529E-14</c:v>
                </c:pt>
                <c:pt idx="400">
                  <c:v>1.930597604577256E-14</c:v>
                </c:pt>
                <c:pt idx="401">
                  <c:v>1.5720798021815642E-14</c:v>
                </c:pt>
                <c:pt idx="402">
                  <c:v>1.279344193676914E-14</c:v>
                </c:pt>
                <c:pt idx="403">
                  <c:v>1.0404715419415258E-14</c:v>
                </c:pt>
                <c:pt idx="404">
                  <c:v>8.4567404091589427E-15</c:v>
                </c:pt>
                <c:pt idx="405">
                  <c:v>6.8691940055684934E-15</c:v>
                </c:pt>
                <c:pt idx="406">
                  <c:v>5.5762027259863724E-15</c:v>
                </c:pt>
                <c:pt idx="407">
                  <c:v>4.5237783308659853E-15</c:v>
                </c:pt>
                <c:pt idx="408">
                  <c:v>3.6677022099128928E-15</c:v>
                </c:pt>
                <c:pt idx="409">
                  <c:v>2.9717810386544409E-15</c:v>
                </c:pt>
                <c:pt idx="410">
                  <c:v>2.4064095210763361E-15</c:v>
                </c:pt>
                <c:pt idx="411">
                  <c:v>1.9473869551581895E-15</c:v>
                </c:pt>
                <c:pt idx="412">
                  <c:v>1.5749434521624639E-15</c:v>
                </c:pt>
                <c:pt idx="413">
                  <c:v>1.2729392076162281E-15</c:v>
                </c:pt>
                <c:pt idx="414">
                  <c:v>1.0282065139204851E-15</c:v>
                </c:pt>
                <c:pt idx="415">
                  <c:v>8.3000943252197052E-16</c:v>
                </c:pt>
                <c:pt idx="416">
                  <c:v>6.6960038439057902E-16</c:v>
                </c:pt>
                <c:pt idx="417">
                  <c:v>5.3985651913212658E-16</c:v>
                </c:pt>
                <c:pt idx="418">
                  <c:v>4.3498170917437468E-16</c:v>
                </c:pt>
                <c:pt idx="419">
                  <c:v>3.502624895010361E-16</c:v>
                </c:pt>
                <c:pt idx="420">
                  <c:v>2.8186831171947039E-16</c:v>
                </c:pt>
                <c:pt idx="421">
                  <c:v>2.2668817587908192E-16</c:v>
                </c:pt>
                <c:pt idx="422">
                  <c:v>1.8219710447749092E-16</c:v>
                </c:pt>
                <c:pt idx="423">
                  <c:v>1.4634708054530948E-16</c:v>
                </c:pt>
                <c:pt idx="424">
                  <c:v>1.1747802725050464E-16</c:v>
                </c:pt>
                <c:pt idx="425">
                  <c:v>9.4245194767924769E-17</c:v>
                </c:pt>
                <c:pt idx="426">
                  <c:v>7.555997002852836E-17</c:v>
                </c:pt>
                <c:pt idx="427">
                  <c:v>6.0541660326518628E-17</c:v>
                </c:pt>
                <c:pt idx="428">
                  <c:v>4.8478242483632859E-17</c:v>
                </c:pt>
                <c:pt idx="429">
                  <c:v>3.8794431822071637E-17</c:v>
                </c:pt>
                <c:pt idx="430">
                  <c:v>3.1025723234314066E-17</c:v>
                </c:pt>
                <c:pt idx="431">
                  <c:v>2.4797301466323853E-17</c:v>
                </c:pt>
                <c:pt idx="432">
                  <c:v>1.980691870759079E-17</c:v>
                </c:pt>
                <c:pt idx="433">
                  <c:v>1.5811002444790105E-17</c:v>
                </c:pt>
                <c:pt idx="434">
                  <c:v>1.261339167938619E-17</c:v>
                </c:pt>
                <c:pt idx="435">
                  <c:v>1.0056210312758526E-17</c:v>
                </c:pt>
                <c:pt idx="436">
                  <c:v>8.0124771214408592E-18</c:v>
                </c:pt>
                <c:pt idx="437">
                  <c:v>6.380125871418234E-18</c:v>
                </c:pt>
                <c:pt idx="438">
                  <c:v>5.0771697131427344E-18</c:v>
                </c:pt>
                <c:pt idx="439">
                  <c:v>4.0377934941239911E-18</c:v>
                </c:pt>
                <c:pt idx="440">
                  <c:v>3.2091980277476454E-18</c:v>
                </c:pt>
                <c:pt idx="441">
                  <c:v>2.5490533129132594E-18</c:v>
                </c:pt>
                <c:pt idx="442">
                  <c:v>2.0234445625595234E-18</c:v>
                </c:pt>
                <c:pt idx="443">
                  <c:v>1.6052167811220729E-18</c:v>
                </c:pt>
                <c:pt idx="444">
                  <c:v>1.2726414427366048E-18</c:v>
                </c:pt>
                <c:pt idx="445">
                  <c:v>1.0083433105103279E-18</c:v>
                </c:pt>
                <c:pt idx="446">
                  <c:v>7.9843721424894178E-19</c:v>
                </c:pt>
                <c:pt idx="447">
                  <c:v>6.3183417039491545E-19</c:v>
                </c:pt>
                <c:pt idx="448">
                  <c:v>4.9968399316134732E-19</c:v>
                </c:pt>
                <c:pt idx="449">
                  <c:v>3.9492784465712355E-19</c:v>
                </c:pt>
                <c:pt idx="450">
                  <c:v>3.1193927755994239E-19</c:v>
                </c:pt>
                <c:pt idx="451">
                  <c:v>2.4623645969897994E-19</c:v>
                </c:pt>
                <c:pt idx="452">
                  <c:v>1.9425161769435022E-19</c:v>
                </c:pt>
                <c:pt idx="453">
                  <c:v>1.5314644482946766E-19</c:v>
                </c:pt>
                <c:pt idx="454">
                  <c:v>1.2066440734087858E-19</c:v>
                </c:pt>
                <c:pt idx="455">
                  <c:v>9.5012651545665074E-20</c:v>
                </c:pt>
                <c:pt idx="456">
                  <c:v>7.4767641580467949E-20</c:v>
                </c:pt>
                <c:pt idx="457">
                  <c:v>5.8799808915607686E-20</c:v>
                </c:pt>
                <c:pt idx="458">
                  <c:v>4.621342294482262E-20</c:v>
                </c:pt>
                <c:pt idx="459">
                  <c:v>3.6298639606285558E-20</c:v>
                </c:pt>
                <c:pt idx="460">
                  <c:v>2.8493286843473379E-20</c:v>
                </c:pt>
                <c:pt idx="461">
                  <c:v>2.2352429863554006E-20</c:v>
                </c:pt>
                <c:pt idx="462">
                  <c:v>1.752414834668718E-20</c:v>
                </c:pt>
                <c:pt idx="463">
                  <c:v>1.373027040875114E-20</c:v>
                </c:pt>
                <c:pt idx="464">
                  <c:v>1.0751059104499806E-20</c:v>
                </c:pt>
                <c:pt idx="465">
                  <c:v>8.4130486014385761E-21</c:v>
                </c:pt>
                <c:pt idx="466">
                  <c:v>6.5793885639396675E-21</c:v>
                </c:pt>
                <c:pt idx="467">
                  <c:v>5.1421845936742197E-21</c:v>
                </c:pt>
                <c:pt idx="468">
                  <c:v>4.0164260900019439E-21</c:v>
                </c:pt>
                <c:pt idx="469">
                  <c:v>3.1351757089419309E-21</c:v>
                </c:pt>
                <c:pt idx="470">
                  <c:v>2.4457608065804084E-21</c:v>
                </c:pt>
                <c:pt idx="471">
                  <c:v>1.9067601464441984E-21</c:v>
                </c:pt>
                <c:pt idx="472">
                  <c:v>1.4856213787103641E-21</c:v>
                </c:pt>
                <c:pt idx="473">
                  <c:v>1.1567784895444404E-21</c:v>
                </c:pt>
                <c:pt idx="474">
                  <c:v>9.0016527918437404E-22</c:v>
                </c:pt>
                <c:pt idx="475">
                  <c:v>7.0004232762178991E-22</c:v>
                </c:pt>
                <c:pt idx="476">
                  <c:v>5.4407194512119123E-22</c:v>
                </c:pt>
                <c:pt idx="477">
                  <c:v>4.2258916112438601E-22</c:v>
                </c:pt>
                <c:pt idx="478">
                  <c:v>3.2802758356057166E-22</c:v>
                </c:pt>
                <c:pt idx="479">
                  <c:v>2.5446752457641246E-22</c:v>
                </c:pt>
                <c:pt idx="480">
                  <c:v>1.972805885418247E-22</c:v>
                </c:pt>
                <c:pt idx="481">
                  <c:v>1.5285031360128287E-22</c:v>
                </c:pt>
                <c:pt idx="482">
                  <c:v>1.1835273617521234E-22</c:v>
                </c:pt>
                <c:pt idx="483">
                  <c:v>9.158413772483369E-23</c:v>
                </c:pt>
                <c:pt idx="484">
                  <c:v>7.0825917360002676E-23</c:v>
                </c:pt>
                <c:pt idx="485">
                  <c:v>5.4738657932329718E-23</c:v>
                </c:pt>
                <c:pt idx="486">
                  <c:v>4.2279132885129588E-23</c:v>
                </c:pt>
                <c:pt idx="487">
                  <c:v>3.2635328416232044E-23</c:v>
                </c:pt>
                <c:pt idx="488">
                  <c:v>2.5175603649650142E-23</c:v>
                </c:pt>
                <c:pt idx="489">
                  <c:v>1.9408938652625616E-23</c:v>
                </c:pt>
                <c:pt idx="490">
                  <c:v>1.4953872430004644E-23</c:v>
                </c:pt>
                <c:pt idx="491">
                  <c:v>1.1514247088617854E-23</c:v>
                </c:pt>
                <c:pt idx="492">
                  <c:v>8.8602792102981721E-24</c:v>
                </c:pt>
                <c:pt idx="493">
                  <c:v>6.8137980903666523E-24</c:v>
                </c:pt>
                <c:pt idx="494">
                  <c:v>5.2367410844693484E-24</c:v>
                </c:pt>
                <c:pt idx="495">
                  <c:v>4.0221932534445894E-24</c:v>
                </c:pt>
                <c:pt idx="496">
                  <c:v>3.0874131803901938E-24</c:v>
                </c:pt>
                <c:pt idx="497">
                  <c:v>2.3684082430245192E-24</c:v>
                </c:pt>
                <c:pt idx="498">
                  <c:v>1.8157178515365926E-24</c:v>
                </c:pt>
                <c:pt idx="499">
                  <c:v>1.3911378030066051E-24</c:v>
                </c:pt>
                <c:pt idx="500">
                  <c:v>1.0651773689429908E-24</c:v>
                </c:pt>
                <c:pt idx="501">
                  <c:v>8.1508649696384996E-25</c:v>
                </c:pt>
                <c:pt idx="502">
                  <c:v>6.2332630611409419E-25</c:v>
                </c:pt>
                <c:pt idx="503">
                  <c:v>4.7638403913025726E-25</c:v>
                </c:pt>
                <c:pt idx="504">
                  <c:v>3.6385549528804914E-25</c:v>
                </c:pt>
                <c:pt idx="505">
                  <c:v>2.7773503274000646E-25</c:v>
                </c:pt>
                <c:pt idx="506">
                  <c:v>2.1186654228512603E-25</c:v>
                </c:pt>
                <c:pt idx="507">
                  <c:v>1.6151917333846287E-25</c:v>
                </c:pt>
                <c:pt idx="508">
                  <c:v>1.2305967874068198E-25</c:v>
                </c:pt>
                <c:pt idx="509">
                  <c:v>9.3699540299122268E-26</c:v>
                </c:pt>
                <c:pt idx="510">
                  <c:v>7.1299934819200669E-26</c:v>
                </c:pt>
                <c:pt idx="511">
                  <c:v>5.4221408488940062E-26</c:v>
                </c:pt>
                <c:pt idx="512">
                  <c:v>4.1208086299190216E-26</c:v>
                </c:pt>
                <c:pt idx="513">
                  <c:v>3.1298540580671648E-26</c:v>
                </c:pt>
                <c:pt idx="514">
                  <c:v>2.3757225373683563E-26</c:v>
                </c:pt>
                <c:pt idx="515">
                  <c:v>1.8021765628524165E-26</c:v>
                </c:pt>
                <c:pt idx="516">
                  <c:v>1.3662461358081936E-26</c:v>
                </c:pt>
                <c:pt idx="517">
                  <c:v>1.0351196315331065E-26</c:v>
                </c:pt>
                <c:pt idx="518">
                  <c:v>7.837582644145901E-27</c:v>
                </c:pt>
                <c:pt idx="519">
                  <c:v>5.9306693381335761E-27</c:v>
                </c:pt>
                <c:pt idx="520">
                  <c:v>4.4849259589084762E-27</c:v>
                </c:pt>
                <c:pt idx="521">
                  <c:v>3.3895093329434435E-27</c:v>
                </c:pt>
                <c:pt idx="522">
                  <c:v>2.5600496009004885E-27</c:v>
                </c:pt>
                <c:pt idx="523">
                  <c:v>1.9323683473979534E-27</c:v>
                </c:pt>
                <c:pt idx="524">
                  <c:v>1.4576774643800876E-27</c:v>
                </c:pt>
                <c:pt idx="525">
                  <c:v>1.098912095797184E-27</c:v>
                </c:pt>
                <c:pt idx="526">
                  <c:v>8.2793159694643727E-28</c:v>
                </c:pt>
                <c:pt idx="527">
                  <c:v>6.2338442887684994E-28</c:v>
                </c:pt>
                <c:pt idx="528">
                  <c:v>4.6908055729652416E-28</c:v>
                </c:pt>
                <c:pt idx="529">
                  <c:v>3.5275152846113909E-28</c:v>
                </c:pt>
                <c:pt idx="530">
                  <c:v>2.6510649347939352E-28</c:v>
                </c:pt>
                <c:pt idx="531">
                  <c:v>1.9911400873005264E-28</c:v>
                </c:pt>
                <c:pt idx="532">
                  <c:v>1.4945596604905549E-28</c:v>
                </c:pt>
                <c:pt idx="533">
                  <c:v>1.1211266741829216E-28</c:v>
                </c:pt>
                <c:pt idx="534">
                  <c:v>8.4047752479130757E-29</c:v>
                </c:pt>
                <c:pt idx="535">
                  <c:v>6.2969103871367978E-29</c:v>
                </c:pt>
                <c:pt idx="536">
                  <c:v>4.7147526203720262E-29</c:v>
                </c:pt>
                <c:pt idx="537">
                  <c:v>3.5279327483398251E-29</c:v>
                </c:pt>
                <c:pt idx="538">
                  <c:v>2.6382240458749802E-29</c:v>
                </c:pt>
                <c:pt idx="539">
                  <c:v>1.9716646062793618E-29</c:v>
                </c:pt>
                <c:pt idx="540">
                  <c:v>1.4725986428015877E-29</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Data!$H$2:$H$1001</c:f>
              <c:numCache>
                <c:formatCode>0</c:formatCode>
                <c:ptCount val="1000"/>
                <c:pt idx="0">
                  <c:v>0.29918731796414511</c:v>
                </c:pt>
                <c:pt idx="1">
                  <c:v>0.31051955109190704</c:v>
                </c:pt>
                <c:pt idx="2">
                  <c:v>0.3222261854293893</c:v>
                </c:pt>
                <c:pt idx="3">
                  <c:v>0.33431727780377146</c:v>
                </c:pt>
                <c:pt idx="4">
                  <c:v>0.34680306340533473</c:v>
                </c:pt>
                <c:pt idx="5">
                  <c:v>0.3596939553854831</c:v>
                </c:pt>
                <c:pt idx="6">
                  <c:v>0.37300054428554069</c:v>
                </c:pt>
                <c:pt idx="7">
                  <c:v>0.38673359729059731</c:v>
                </c:pt>
                <c:pt idx="8">
                  <c:v>0.40090405730267226</c:v>
                </c:pt>
                <c:pt idx="9">
                  <c:v>0.41552304182748412</c:v>
                </c:pt>
                <c:pt idx="10">
                  <c:v>0.43060184166911147</c:v>
                </c:pt>
                <c:pt idx="11">
                  <c:v>0.44615191942687227</c:v>
                </c:pt>
                <c:pt idx="12">
                  <c:v>0.46218490778876414</c:v>
                </c:pt>
                <c:pt idx="13">
                  <c:v>0.47871260761586221</c:v>
                </c:pt>
                <c:pt idx="14">
                  <c:v>0.49574698581211396</c:v>
                </c:pt>
                <c:pt idx="15">
                  <c:v>0.51330017297403296</c:v>
                </c:pt>
                <c:pt idx="16">
                  <c:v>0.53138446081486423</c:v>
                </c:pt>
                <c:pt idx="17">
                  <c:v>0.55001229935786866</c:v>
                </c:pt>
                <c:pt idx="18">
                  <c:v>0.56919629389347259</c:v>
                </c:pt>
                <c:pt idx="19">
                  <c:v>0.58894920169511877</c:v>
                </c:pt>
                <c:pt idx="20">
                  <c:v>0.60928392848877377</c:v>
                </c:pt>
                <c:pt idx="21">
                  <c:v>0.63021352467116576</c:v>
                </c:pt>
                <c:pt idx="22">
                  <c:v>0.65175118127195952</c:v>
                </c:pt>
                <c:pt idx="23">
                  <c:v>0.67391022565521874</c:v>
                </c:pt>
                <c:pt idx="24">
                  <c:v>0.69670411695566681</c:v>
                </c:pt>
                <c:pt idx="25">
                  <c:v>0.7201464412454166</c:v>
                </c:pt>
                <c:pt idx="26">
                  <c:v>0.74425090642702185</c:v>
                </c:pt>
                <c:pt idx="27">
                  <c:v>0.76903133684889913</c:v>
                </c:pt>
                <c:pt idx="28">
                  <c:v>0.79450166763936414</c:v>
                </c:pt>
                <c:pt idx="29">
                  <c:v>0.82067593875573974</c:v>
                </c:pt>
                <c:pt idx="30">
                  <c:v>0.84756828874523438</c:v>
                </c:pt>
                <c:pt idx="31">
                  <c:v>0.87519294821450511</c:v>
                </c:pt>
                <c:pt idx="32">
                  <c:v>0.90356423300509492</c:v>
                </c:pt>
                <c:pt idx="33">
                  <c:v>0.93269653707217703</c:v>
                </c:pt>
                <c:pt idx="34">
                  <c:v>0.96260432506432958</c:v>
                </c:pt>
                <c:pt idx="35">
                  <c:v>0.99330212460233891</c:v>
                </c:pt>
                <c:pt idx="36">
                  <c:v>1.0248045182553427</c:v>
                </c:pt>
                <c:pt idx="37">
                  <c:v>1.0571261352129184</c:v>
                </c:pt>
                <c:pt idx="38">
                  <c:v>1.0902816426520681</c:v>
                </c:pt>
                <c:pt idx="39">
                  <c:v>1.1242857367983654</c:v>
                </c:pt>
                <c:pt idx="40">
                  <c:v>1.1591531336808851</c:v>
                </c:pt>
                <c:pt idx="41">
                  <c:v>1.1948985595809036</c:v>
                </c:pt>
                <c:pt idx="42">
                  <c:v>1.2315367411747122</c:v>
                </c:pt>
                <c:pt idx="43">
                  <c:v>1.2690823953712735</c:v>
                </c:pt>
                <c:pt idx="44">
                  <c:v>1.3075502188458481</c:v>
                </c:pt>
                <c:pt idx="45">
                  <c:v>1.3469548772711082</c:v>
                </c:pt>
                <c:pt idx="46">
                  <c:v>1.3873109942476793</c:v>
                </c:pt>
                <c:pt idx="47">
                  <c:v>1.4286331399364647</c:v>
                </c:pt>
                <c:pt idx="48">
                  <c:v>1.4709358193955464</c:v>
                </c:pt>
                <c:pt idx="49">
                  <c:v>1.5142334606248848</c:v>
                </c:pt>
                <c:pt idx="50">
                  <c:v>1.5585404023225102</c:v>
                </c:pt>
                <c:pt idx="51">
                  <c:v>1.6038708813563312</c:v>
                </c:pt>
                <c:pt idx="52">
                  <c:v>1.6502390199561705</c:v>
                </c:pt>
                <c:pt idx="53">
                  <c:v>1.6976588126311063</c:v>
                </c:pt>
                <c:pt idx="54">
                  <c:v>1.7461441128176696</c:v>
                </c:pt>
                <c:pt idx="55">
                  <c:v>1.7957086192649467</c:v>
                </c:pt>
                <c:pt idx="56">
                  <c:v>1.8463658621631198</c:v>
                </c:pt>
                <c:pt idx="57">
                  <c:v>1.8981291890224745</c:v>
                </c:pt>
                <c:pt idx="58">
                  <c:v>1.951011750310413</c:v>
                </c:pt>
                <c:pt idx="59">
                  <c:v>2.0050264848545063</c:v>
                </c:pt>
                <c:pt idx="60">
                  <c:v>2.0601861050201364</c:v>
                </c:pt>
                <c:pt idx="61">
                  <c:v>2.1165030816717887</c:v>
                </c:pt>
                <c:pt idx="62">
                  <c:v>2.1739896289275555</c:v>
                </c:pt>
                <c:pt idx="63">
                  <c:v>2.2326576887169525</c:v>
                </c:pt>
                <c:pt idx="64">
                  <c:v>2.2925189151526237</c:v>
                </c:pt>
                <c:pt idx="65">
                  <c:v>2.3535846587270735</c:v>
                </c:pt>
                <c:pt idx="66">
                  <c:v>2.4158659503460287</c:v>
                </c:pt>
                <c:pt idx="67">
                  <c:v>2.4793734852105689</c:v>
                </c:pt>
                <c:pt idx="68">
                  <c:v>2.544117606560679</c:v>
                </c:pt>
                <c:pt idx="69">
                  <c:v>2.6101082892933438</c:v>
                </c:pt>
                <c:pt idx="70">
                  <c:v>2.6773551234688493</c:v>
                </c:pt>
                <c:pt idx="71">
                  <c:v>2.7458672977194061</c:v>
                </c:pt>
                <c:pt idx="72">
                  <c:v>2.8156535825747246</c:v>
                </c:pt>
                <c:pt idx="73">
                  <c:v>2.8867223137196345</c:v>
                </c:pt>
                <c:pt idx="74">
                  <c:v>2.9590813751993159</c:v>
                </c:pt>
                <c:pt idx="75">
                  <c:v>3.032738182588171</c:v>
                </c:pt>
                <c:pt idx="76">
                  <c:v>3.1076996661388021</c:v>
                </c:pt>
                <c:pt idx="77">
                  <c:v>3.1839722539280313</c:v>
                </c:pt>
                <c:pt idx="78">
                  <c:v>3.2615618550172831</c:v>
                </c:pt>
                <c:pt idx="79">
                  <c:v>3.3404738426450908</c:v>
                </c:pt>
                <c:pt idx="80">
                  <c:v>3.4207130374698842</c:v>
                </c:pt>
                <c:pt idx="81">
                  <c:v>3.502283690881578</c:v>
                </c:pt>
                <c:pt idx="82">
                  <c:v>3.5851894684008867</c:v>
                </c:pt>
                <c:pt idx="83">
                  <c:v>3.6694334331855956</c:v>
                </c:pt>
                <c:pt idx="84">
                  <c:v>3.7550180296633915</c:v>
                </c:pt>
                <c:pt idx="85">
                  <c:v>3.8419450673111282</c:v>
                </c:pt>
                <c:pt idx="86">
                  <c:v>3.9302157046007404</c:v>
                </c:pt>
                <c:pt idx="87">
                  <c:v>4.0198304331322552</c:v>
                </c:pt>
                <c:pt idx="88">
                  <c:v>4.1107890619746046</c:v>
                </c:pt>
                <c:pt idx="89">
                  <c:v>4.203090702235202</c:v>
                </c:pt>
                <c:pt idx="90">
                  <c:v>4.2967337518794038</c:v>
                </c:pt>
                <c:pt idx="91">
                  <c:v>4.3917158808211827</c:v>
                </c:pt>
                <c:pt idx="92">
                  <c:v>4.4880340163064973</c:v>
                </c:pt>
                <c:pt idx="93">
                  <c:v>4.585684328610963</c:v>
                </c:pt>
                <c:pt idx="94">
                  <c:v>4.6846622170735053</c:v>
                </c:pt>
                <c:pt idx="95">
                  <c:v>4.784962296487806</c:v>
                </c:pt>
                <c:pt idx="96">
                  <c:v>4.8865783838733536</c:v>
                </c:pt>
                <c:pt idx="97">
                  <c:v>4.9895034856479237</c:v>
                </c:pt>
                <c:pt idx="98">
                  <c:v>5.0937297852233359</c:v>
                </c:pt>
                <c:pt idx="99">
                  <c:v>5.1992486310462569</c:v>
                </c:pt>
                <c:pt idx="100">
                  <c:v>5.3060505251057695</c:v>
                </c:pt>
                <c:pt idx="101">
                  <c:v>5.4141251119292813</c:v>
                </c:pt>
                <c:pt idx="102">
                  <c:v>5.5234611680882724</c:v>
                </c:pt>
                <c:pt idx="103">
                  <c:v>5.6340465922351406</c:v>
                </c:pt>
                <c:pt idx="104">
                  <c:v>5.7458683956922645</c:v>
                </c:pt>
                <c:pt idx="105">
                  <c:v>5.8589126936140996</c:v>
                </c:pt>
                <c:pt idx="106">
                  <c:v>5.9731646967429235</c:v>
                </c:pt>
                <c:pt idx="107">
                  <c:v>6.0886087037784948</c:v>
                </c:pt>
                <c:pt idx="108">
                  <c:v>6.2052280943815621</c:v>
                </c:pt>
                <c:pt idx="109">
                  <c:v>6.3230053228307934</c:v>
                </c:pt>
                <c:pt idx="110">
                  <c:v>6.4419219123523153</c:v>
                </c:pt>
                <c:pt idx="111">
                  <c:v>6.5619584501405344</c:v>
                </c:pt>
                <c:pt idx="112">
                  <c:v>6.6830945830885531</c:v>
                </c:pt>
                <c:pt idx="113">
                  <c:v>6.805309014245859</c:v>
                </c:pt>
                <c:pt idx="114">
                  <c:v>6.9285795000205566</c:v>
                </c:pt>
                <c:pt idx="115">
                  <c:v>7.0528828481426888</c:v>
                </c:pt>
                <c:pt idx="116">
                  <c:v>7.178194916404733</c:v>
                </c:pt>
                <c:pt idx="117">
                  <c:v>7.3044906121946021</c:v>
                </c:pt>
                <c:pt idx="118">
                  <c:v>7.4317438928358639</c:v>
                </c:pt>
                <c:pt idx="119">
                  <c:v>7.5599277667491727</c:v>
                </c:pt>
                <c:pt idx="120">
                  <c:v>7.6890142954481391</c:v>
                </c:pt>
                <c:pt idx="121">
                  <c:v>7.8189745963821711</c:v>
                </c:pt>
                <c:pt idx="122">
                  <c:v>7.9497788466379058</c:v>
                </c:pt>
                <c:pt idx="123">
                  <c:v>8.0813962875101275</c:v>
                </c:pt>
                <c:pt idx="124">
                  <c:v>8.2137952299521437</c:v>
                </c:pt>
                <c:pt idx="125">
                  <c:v>8.3469430609147111</c:v>
                </c:pt>
                <c:pt idx="126">
                  <c:v>8.4808062505817272</c:v>
                </c:pt>
                <c:pt idx="127">
                  <c:v>8.6153503605099093</c:v>
                </c:pt>
                <c:pt idx="128">
                  <c:v>8.7505400526787405</c:v>
                </c:pt>
                <c:pt idx="129">
                  <c:v>8.886339099455979</c:v>
                </c:pt>
                <c:pt idx="130">
                  <c:v>9.0227103944829974</c:v>
                </c:pt>
                <c:pt idx="131">
                  <c:v>9.159615964483196</c:v>
                </c:pt>
                <c:pt idx="132">
                  <c:v>9.2970169819956414</c:v>
                </c:pt>
                <c:pt idx="133">
                  <c:v>9.4348737790350814</c:v>
                </c:pt>
                <c:pt idx="134">
                  <c:v>9.5731458616782792</c:v>
                </c:pt>
                <c:pt idx="135">
                  <c:v>9.7117919255756373</c:v>
                </c:pt>
                <c:pt idx="136">
                  <c:v>9.8507698723858166</c:v>
                </c:pt>
                <c:pt idx="137">
                  <c:v>9.9900368271300035</c:v>
                </c:pt>
                <c:pt idx="138">
                  <c:v>10.129549156461337</c:v>
                </c:pt>
                <c:pt idx="139">
                  <c:v>10.26926248784374</c:v>
                </c:pt>
                <c:pt idx="140">
                  <c:v>10.409131729633364</c:v>
                </c:pt>
                <c:pt idx="141">
                  <c:v>10.549111092054586</c:v>
                </c:pt>
                <c:pt idx="142">
                  <c:v>10.689154109061329</c:v>
                </c:pt>
                <c:pt idx="143">
                  <c:v>10.82921366107333</c:v>
                </c:pt>
                <c:pt idx="144">
                  <c:v>10.969241998575713</c:v>
                </c:pt>
                <c:pt idx="145">
                  <c:v>11.109190766569135</c:v>
                </c:pt>
                <c:pt idx="146">
                  <c:v>11.249011029856497</c:v>
                </c:pt>
                <c:pt idx="147">
                  <c:v>11.388653299151063</c:v>
                </c:pt>
                <c:pt idx="148">
                  <c:v>11.528067557989665</c:v>
                </c:pt>
                <c:pt idx="149">
                  <c:v>11.667203290433477</c:v>
                </c:pt>
                <c:pt idx="150">
                  <c:v>11.806009509537684</c:v>
                </c:pt>
                <c:pt idx="151">
                  <c:v>11.944434786570223</c:v>
                </c:pt>
                <c:pt idx="152">
                  <c:v>12.082427280958653</c:v>
                </c:pt>
                <c:pt idx="153">
                  <c:v>12.219934770943036</c:v>
                </c:pt>
                <c:pt idx="154">
                  <c:v>12.356904684911674</c:v>
                </c:pt>
                <c:pt idx="155">
                  <c:v>12.493284133395402</c:v>
                </c:pt>
                <c:pt idx="156">
                  <c:v>12.629019941695088</c:v>
                </c:pt>
                <c:pt idx="157">
                  <c:v>12.764058683115984</c:v>
                </c:pt>
                <c:pt idx="158">
                  <c:v>12.898346712781464</c:v>
                </c:pt>
                <c:pt idx="159">
                  <c:v>13.031830201997805</c:v>
                </c:pt>
                <c:pt idx="160">
                  <c:v>13.164455173140588</c:v>
                </c:pt>
                <c:pt idx="161">
                  <c:v>13.296167535032463</c:v>
                </c:pt>
                <c:pt idx="162">
                  <c:v>13.426913118781011</c:v>
                </c:pt>
                <c:pt idx="163">
                  <c:v>13.556637714044692</c:v>
                </c:pt>
                <c:pt idx="164">
                  <c:v>13.685287105693906</c:v>
                </c:pt>
                <c:pt idx="165">
                  <c:v>13.812807110833468</c:v>
                </c:pt>
                <c:pt idx="166">
                  <c:v>13.939143616152041</c:v>
                </c:pt>
                <c:pt idx="167">
                  <c:v>14.064242615563298</c:v>
                </c:pt>
                <c:pt idx="168">
                  <c:v>14.188050248102964</c:v>
                </c:pt>
                <c:pt idx="169">
                  <c:v>14.310512836045181</c:v>
                </c:pt>
                <c:pt idx="170">
                  <c:v>14.431576923201151</c:v>
                </c:pt>
                <c:pt idx="171">
                  <c:v>14.551189313362347</c:v>
                </c:pt>
                <c:pt idx="172">
                  <c:v>14.669297108850145</c:v>
                </c:pt>
                <c:pt idx="173">
                  <c:v>14.785847749133289</c:v>
                </c:pt>
                <c:pt idx="174">
                  <c:v>14.900789049474159</c:v>
                </c:pt>
                <c:pt idx="175">
                  <c:v>15.014069239564462</c:v>
                </c:pt>
                <c:pt idx="176">
                  <c:v>15.125637002110699</c:v>
                </c:pt>
                <c:pt idx="177">
                  <c:v>15.235441511329457</c:v>
                </c:pt>
                <c:pt idx="178">
                  <c:v>15.343432471312425</c:v>
                </c:pt>
                <c:pt idx="179">
                  <c:v>15.449560154220849</c:v>
                </c:pt>
                <c:pt idx="180">
                  <c:v>15.553775438269071</c:v>
                </c:pt>
                <c:pt idx="181">
                  <c:v>15.656029845456739</c:v>
                </c:pt>
                <c:pt idx="182">
                  <c:v>15.756275579009358</c:v>
                </c:pt>
                <c:pt idx="183">
                  <c:v>15.854465560486782</c:v>
                </c:pt>
                <c:pt idx="184">
                  <c:v>15.95055346651956</c:v>
                </c:pt>
                <c:pt idx="185">
                  <c:v>16.04449376513308</c:v>
                </c:pt>
                <c:pt idx="186">
                  <c:v>16.136241751619771</c:v>
                </c:pt>
                <c:pt idx="187">
                  <c:v>16.225753583919925</c:v>
                </c:pt>
                <c:pt idx="188">
                  <c:v>16.312986317471964</c:v>
                </c:pt>
                <c:pt idx="189">
                  <c:v>16.397897939493536</c:v>
                </c:pt>
                <c:pt idx="190">
                  <c:v>16.480447402655123</c:v>
                </c:pt>
                <c:pt idx="191">
                  <c:v>16.560594658108467</c:v>
                </c:pt>
                <c:pt idx="192">
                  <c:v>16.638300687832693</c:v>
                </c:pt>
                <c:pt idx="193">
                  <c:v>16.713527536261473</c:v>
                </c:pt>
                <c:pt idx="194">
                  <c:v>16.786238341155592</c:v>
                </c:pt>
                <c:pt idx="195">
                  <c:v>16.856397363685534</c:v>
                </c:pt>
                <c:pt idx="196">
                  <c:v>16.923970017689989</c:v>
                </c:pt>
                <c:pt idx="197">
                  <c:v>16.988922898076577</c:v>
                </c:pt>
                <c:pt idx="198">
                  <c:v>17.051223808332281</c:v>
                </c:pt>
                <c:pt idx="199">
                  <c:v>17.110841787111823</c:v>
                </c:pt>
                <c:pt idx="200">
                  <c:v>17.167747133873291</c:v>
                </c:pt>
                <c:pt idx="201">
                  <c:v>17.221911433531268</c:v>
                </c:pt>
                <c:pt idx="202">
                  <c:v>17.273307580098884</c:v>
                </c:pt>
                <c:pt idx="203">
                  <c:v>17.321909799291209</c:v>
                </c:pt>
                <c:pt idx="204">
                  <c:v>17.367693670063613</c:v>
                </c:pt>
                <c:pt idx="205">
                  <c:v>17.410636145059918</c:v>
                </c:pt>
                <c:pt idx="206">
                  <c:v>17.450715569946368</c:v>
                </c:pt>
                <c:pt idx="207">
                  <c:v>17.487911701608692</c:v>
                </c:pt>
                <c:pt idx="208">
                  <c:v>17.522205725190904</c:v>
                </c:pt>
                <c:pt idx="209">
                  <c:v>17.553580269955688</c:v>
                </c:pt>
                <c:pt idx="210">
                  <c:v>17.582019423947749</c:v>
                </c:pt>
                <c:pt idx="211">
                  <c:v>17.607508747442697</c:v>
                </c:pt>
                <c:pt idx="212">
                  <c:v>17.63003528516564</c:v>
                </c:pt>
                <c:pt idx="213">
                  <c:v>17.64958757726497</c:v>
                </c:pt>
                <c:pt idx="214">
                  <c:v>17.666155669028299</c:v>
                </c:pt>
                <c:pt idx="215">
                  <c:v>17.679731119329126</c:v>
                </c:pt>
                <c:pt idx="216">
                  <c:v>17.690307007794026</c:v>
                </c:pt>
                <c:pt idx="217">
                  <c:v>17.697877940682023</c:v>
                </c:pt>
                <c:pt idx="218">
                  <c:v>17.702440055469044</c:v>
                </c:pt>
                <c:pt idx="219">
                  <c:v>17.703991024132002</c:v>
                </c:pt>
                <c:pt idx="220">
                  <c:v>17.702530055128669</c:v>
                </c:pt>
                <c:pt idx="221">
                  <c:v>17.698057894070899</c:v>
                </c:pt>
                <c:pt idx="222">
                  <c:v>17.690576823090463</c:v>
                </c:pt>
                <c:pt idx="223">
                  <c:v>17.680090658898216</c:v>
                </c:pt>
                <c:pt idx="224">
                  <c:v>17.666604749538912</c:v>
                </c:pt>
                <c:pt idx="225">
                  <c:v>17.65012596984554</c:v>
                </c:pt>
                <c:pt idx="226">
                  <c:v>17.630662715598586</c:v>
                </c:pt>
                <c:pt idx="227">
                  <c:v>17.608224896397154</c:v>
                </c:pt>
                <c:pt idx="228">
                  <c:v>17.582823927250452</c:v>
                </c:pt>
                <c:pt idx="229">
                  <c:v>17.554472718899586</c:v>
                </c:pt>
                <c:pt idx="230">
                  <c:v>17.523185666881183</c:v>
                </c:pt>
                <c:pt idx="231">
                  <c:v>17.488978639345827</c:v>
                </c:pt>
                <c:pt idx="232">
                  <c:v>17.451868963645669</c:v>
                </c:pt>
                <c:pt idx="233">
                  <c:v>17.411875411707161</c:v>
                </c:pt>
                <c:pt idx="234">
                  <c:v>17.369018184206148</c:v>
                </c:pt>
                <c:pt idx="235">
                  <c:v>17.323318893564018</c:v>
                </c:pt>
                <c:pt idx="236">
                  <c:v>17.274800545784938</c:v>
                </c:pt>
                <c:pt idx="237">
                  <c:v>17.22348752115553</c:v>
                </c:pt>
                <c:pt idx="238">
                  <c:v>17.169405553829691</c:v>
                </c:pt>
                <c:pt idx="239">
                  <c:v>17.11258171032242</c:v>
                </c:pt>
                <c:pt idx="240">
                  <c:v>17.053044366937897</c:v>
                </c:pt>
                <c:pt idx="241">
                  <c:v>16.990823186158082</c:v>
                </c:pt>
                <c:pt idx="242">
                  <c:v>16.925949092019369</c:v>
                </c:pt>
                <c:pt idx="243">
                  <c:v>16.8584542445059</c:v>
                </c:pt>
                <c:pt idx="244">
                  <c:v>16.788372012989221</c:v>
                </c:pt>
                <c:pt idx="245">
                  <c:v>16.715736948744958</c:v>
                </c:pt>
                <c:pt idx="246">
                  <c:v>16.640584756578193</c:v>
                </c:pt>
                <c:pt idx="247">
                  <c:v>16.562952265590166</c:v>
                </c:pt>
                <c:pt idx="248">
                  <c:v>16.482877399119754</c:v>
                </c:pt>
                <c:pt idx="249">
                  <c:v>16.40039914389406</c:v>
                </c:pt>
                <c:pt idx="250">
                  <c:v>16.315557518423255</c:v>
                </c:pt>
                <c:pt idx="251">
                  <c:v>16.228393540675413</c:v>
                </c:pt>
                <c:pt idx="252">
                  <c:v>16.138949195067951</c:v>
                </c:pt>
                <c:pt idx="253">
                  <c:v>16.047267398812746</c:v>
                </c:pt>
                <c:pt idx="254">
                  <c:v>15.953391967652648</c:v>
                </c:pt>
                <c:pt idx="255">
                  <c:v>15.857367581027651</c:v>
                </c:pt>
                <c:pt idx="256">
                  <c:v>15.759239746709373</c:v>
                </c:pt>
                <c:pt idx="257">
                  <c:v>15.659054764942953</c:v>
                </c:pt>
                <c:pt idx="258">
                  <c:v>15.556859692135854</c:v>
                </c:pt>
                <c:pt idx="259">
                  <c:v>15.452702304133245</c:v>
                </c:pt>
                <c:pt idx="260">
                  <c:v>15.346631059120044</c:v>
                </c:pt>
                <c:pt idx="261">
                  <c:v>15.23869506018972</c:v>
                </c:pt>
                <c:pt idx="262">
                  <c:v>15.128944017620197</c:v>
                </c:pt>
                <c:pt idx="263">
                  <c:v>15.017428210897261</c:v>
                </c:pt>
                <c:pt idx="264">
                  <c:v>14.904198450525792</c:v>
                </c:pt>
                <c:pt idx="265">
                  <c:v>14.789306039669292</c:v>
                </c:pt>
                <c:pt idx="266">
                  <c:v>14.672802735657879</c:v>
                </c:pt>
                <c:pt idx="267">
                  <c:v>14.55474071140495</c:v>
                </c:pt>
                <c:pt idx="268">
                  <c:v>14.435172516772411</c:v>
                </c:pt>
                <c:pt idx="269">
                  <c:v>14.314151039924145</c:v>
                </c:pt>
                <c:pt idx="270">
                  <c:v>14.191729468707138</c:v>
                </c:pt>
                <c:pt idx="271">
                  <c:v>14.067961252099229</c:v>
                </c:pt>
                <c:pt idx="272">
                  <c:v>13.942900061762185</c:v>
                </c:pt>
                <c:pt idx="273">
                  <c:v>13.816599753738188</c:v>
                </c:pt>
                <c:pt idx="274">
                  <c:v>13.689114330327481</c:v>
                </c:pt>
                <c:pt idx="275">
                  <c:v>13.560497902184233</c:v>
                </c:pt>
                <c:pt idx="276">
                  <c:v>13.430804650667206</c:v>
                </c:pt>
                <c:pt idx="277">
                  <c:v>13.300088790481109</c:v>
                </c:pt>
                <c:pt idx="278">
                  <c:v>13.168404532643832</c:v>
                </c:pt>
                <c:pt idx="279">
                  <c:v>13.03580604781409</c:v>
                </c:pt>
                <c:pt idx="280">
                  <c:v>12.902347430013208</c:v>
                </c:pt>
                <c:pt idx="281">
                  <c:v>12.768082660773974</c:v>
                </c:pt>
                <c:pt idx="282">
                  <c:v>12.633065573748686</c:v>
                </c:pt>
                <c:pt idx="283">
                  <c:v>12.497349819807608</c:v>
                </c:pt>
                <c:pt idx="284">
                  <c:v>12.360988832658188</c:v>
                </c:pt>
                <c:pt idx="285">
                  <c:v>12.224035795014428</c:v>
                </c:pt>
                <c:pt idx="286">
                  <c:v>12.086543605344813</c:v>
                </c:pt>
                <c:pt idx="287">
                  <c:v>11.948564845226302</c:v>
                </c:pt>
                <c:pt idx="288">
                  <c:v>11.810151747330726</c:v>
                </c:pt>
                <c:pt idx="289">
                  <c:v>11.671356164069032</c:v>
                </c:pt>
                <c:pt idx="290">
                  <c:v>11.532229536917631</c:v>
                </c:pt>
                <c:pt idx="291">
                  <c:v>11.392822866450135</c:v>
                </c:pt>
                <c:pt idx="292">
                  <c:v>11.253186683096523</c:v>
                </c:pt>
                <c:pt idx="293">
                  <c:v>11.113371018650804</c:v>
                </c:pt>
                <c:pt idx="294">
                  <c:v>10.973425378546997</c:v>
                </c:pt>
                <c:pt idx="295">
                  <c:v>10.833398714922122</c:v>
                </c:pt>
                <c:pt idx="296">
                  <c:v>10.69333940048379</c:v>
                </c:pt>
                <c:pt idx="297">
                  <c:v>10.553295203198704</c:v>
                </c:pt>
                <c:pt idx="298">
                  <c:v>10.413313261817335</c:v>
                </c:pt>
                <c:pt idx="299">
                  <c:v>10.273440062248707</c:v>
                </c:pt>
                <c:pt idx="300">
                  <c:v>10.133721414798181</c:v>
                </c:pt>
                <c:pt idx="301">
                  <c:v>9.9942024322798275</c:v>
                </c:pt>
                <c:pt idx="302">
                  <c:v>9.8549275090138231</c:v>
                </c:pt>
                <c:pt idx="303">
                  <c:v>9.7159403007181808</c:v>
                </c:pt>
                <c:pt idx="304">
                  <c:v>9.5772837053027953</c:v>
                </c:pt>
                <c:pt idx="305">
                  <c:v>9.4389998445728054</c:v>
                </c:pt>
                <c:pt idx="306">
                  <c:v>9.3011300468468647</c:v>
                </c:pt>
                <c:pt idx="307">
                  <c:v>9.1637148304950085</c:v>
                </c:pt>
                <c:pt idx="308">
                  <c:v>9.0267938883994159</c:v>
                </c:pt>
                <c:pt idx="309">
                  <c:v>8.8904060733403796</c:v>
                </c:pt>
                <c:pt idx="310">
                  <c:v>8.7545893843086358</c:v>
                </c:pt>
                <c:pt idx="311">
                  <c:v>8.6193809537440345</c:v>
                </c:pt>
                <c:pt idx="312">
                  <c:v>8.4848170356995016</c:v>
                </c:pt>
                <c:pt idx="313">
                  <c:v>8.3509329949281739</c:v>
                </c:pt>
                <c:pt idx="314">
                  <c:v>8.2177632968904462</c:v>
                </c:pt>
                <c:pt idx="315">
                  <c:v>8.0853414986767529</c:v>
                </c:pt>
                <c:pt idx="316">
                  <c:v>7.9537002408407469</c:v>
                </c:pt>
                <c:pt idx="317">
                  <c:v>7.8228712401367293</c:v>
                </c:pt>
                <c:pt idx="318">
                  <c:v>7.6928852831540153</c:v>
                </c:pt>
                <c:pt idx="319">
                  <c:v>7.563772220840141</c:v>
                </c:pt>
                <c:pt idx="320">
                  <c:v>7.4355609639038152</c:v>
                </c:pt>
                <c:pt idx="321">
                  <c:v>7.3082794790876342</c:v>
                </c:pt>
                <c:pt idx="322">
                  <c:v>7.1819547862997792</c:v>
                </c:pt>
                <c:pt idx="323">
                  <c:v>7.0566129565929954</c:v>
                </c:pt>
                <c:pt idx="324">
                  <c:v>6.9322791109784152</c:v>
                </c:pt>
                <c:pt idx="325">
                  <c:v>6.8089774200610043</c:v>
                </c:pt>
                <c:pt idx="326">
                  <c:v>6.6867311044826439</c:v>
                </c:pt>
                <c:pt idx="327">
                  <c:v>6.5655624361581797</c:v>
                </c:pt>
                <c:pt idx="328">
                  <c:v>6.4454927402890885</c:v>
                </c:pt>
                <c:pt idx="329">
                  <c:v>6.3265423981387672</c:v>
                </c:pt>
                <c:pt idx="330">
                  <c:v>6.2087308505528176</c:v>
                </c:pt>
                <c:pt idx="331">
                  <c:v>6.0920766022071673</c:v>
                </c:pt>
                <c:pt idx="332">
                  <c:v>5.9765972265662963</c:v>
                </c:pt>
                <c:pt idx="333">
                  <c:v>5.8623093715333194</c:v>
                </c:pt>
                <c:pt idx="334">
                  <c:v>5.7492287657732257</c:v>
                </c:pt>
                <c:pt idx="335">
                  <c:v>5.6373702256901321</c:v>
                </c:pt>
                <c:pt idx="336">
                  <c:v>5.5267476630389609</c:v>
                </c:pt>
                <c:pt idx="337">
                  <c:v>5.4173740931516523</c:v>
                </c:pt>
                <c:pt idx="338">
                  <c:v>5.3092616437576252</c:v>
                </c:pt>
                <c:pt idx="339">
                  <c:v>5.2024215643778806</c:v>
                </c:pt>
                <c:pt idx="340">
                  <c:v>5.0968642362719683</c:v>
                </c:pt>
                <c:pt idx="341">
                  <c:v>4.9925991829166794</c:v>
                </c:pt>
                <c:pt idx="342">
                  <c:v>4.8896350809952063</c:v>
                </c:pt>
                <c:pt idx="343">
                  <c:v>4.7879797718752917</c:v>
                </c:pt>
                <c:pt idx="344">
                  <c:v>4.6876402735547993</c:v>
                </c:pt>
                <c:pt idx="345">
                  <c:v>4.5886227930529708</c:v>
                </c:pt>
                <c:pt idx="346">
                  <c:v>4.490932739225606</c:v>
                </c:pt>
                <c:pt idx="347">
                  <c:v>4.3945747359823466</c:v>
                </c:pt>
                <c:pt idx="348">
                  <c:v>4.2995526358841909</c:v>
                </c:pt>
                <c:pt idx="349">
                  <c:v>4.205869534099473</c:v>
                </c:pt>
                <c:pt idx="350">
                  <c:v>4.1135277826964582</c:v>
                </c:pt>
                <c:pt idx="351">
                  <c:v>4.0225290052509077</c:v>
                </c:pt>
                <c:pt idx="352">
                  <c:v>3.9328741117469588</c:v>
                </c:pt>
                <c:pt idx="353">
                  <c:v>3.8445633137498736</c:v>
                </c:pt>
                <c:pt idx="354">
                  <c:v>3.7575961398293067</c:v>
                </c:pt>
                <c:pt idx="355">
                  <c:v>3.6719714512119546</c:v>
                </c:pt>
                <c:pt idx="356">
                  <c:v>3.587687457642637</c:v>
                </c:pt>
                <c:pt idx="357">
                  <c:v>3.5047417334330979</c:v>
                </c:pt>
                <c:pt idx="358">
                  <c:v>3.4231312336780433</c:v>
                </c:pt>
                <c:pt idx="359">
                  <c:v>3.3428523106182317</c:v>
                </c:pt>
                <c:pt idx="360">
                  <c:v>3.2639007301307026</c:v>
                </c:pt>
                <c:pt idx="361">
                  <c:v>3.1862716883265496</c:v>
                </c:pt>
                <c:pt idx="362">
                  <c:v>3.1099598282369847</c:v>
                </c:pt>
                <c:pt idx="363">
                  <c:v>3.034959256568766</c:v>
                </c:pt>
                <c:pt idx="364">
                  <c:v>2.9612635605104529</c:v>
                </c:pt>
                <c:pt idx="365">
                  <c:v>2.8888658245713197</c:v>
                </c:pt>
                <c:pt idx="366">
                  <c:v>2.8177586474351699</c:v>
                </c:pt>
                <c:pt idx="367">
                  <c:v>2.7479341588116832</c:v>
                </c:pt>
                <c:pt idx="368">
                  <c:v>2.6793840362683867</c:v>
                </c:pt>
                <c:pt idx="369">
                  <c:v>2.6120995220267411</c:v>
                </c:pt>
                <c:pt idx="370">
                  <c:v>2.5460714397063131</c:v>
                </c:pt>
                <c:pt idx="371">
                  <c:v>2.4812902110014572</c:v>
                </c:pt>
                <c:pt idx="372">
                  <c:v>2.417745872275384</c:v>
                </c:pt>
                <c:pt idx="373">
                  <c:v>2.3554280910569894</c:v>
                </c:pt>
                <c:pt idx="374">
                  <c:v>2.294326182426293</c:v>
                </c:pt>
                <c:pt idx="375">
                  <c:v>2.2344291252748367</c:v>
                </c:pt>
                <c:pt idx="376">
                  <c:v>2.1757255784278762</c:v>
                </c:pt>
                <c:pt idx="377">
                  <c:v>2.1182038966157157</c:v>
                </c:pt>
                <c:pt idx="378">
                  <c:v>2.0618521462820318</c:v>
                </c:pt>
                <c:pt idx="379">
                  <c:v>2.0066581212175576</c:v>
                </c:pt>
                <c:pt idx="380">
                  <c:v>1.9526093580079869</c:v>
                </c:pt>
                <c:pt idx="381">
                  <c:v>1.899693151285496</c:v>
                </c:pt>
                <c:pt idx="382">
                  <c:v>1.8478965687737676</c:v>
                </c:pt>
                <c:pt idx="383">
                  <c:v>1.7972064661169551</c:v>
                </c:pt>
                <c:pt idx="384">
                  <c:v>1.7476095014834885</c:v>
                </c:pt>
                <c:pt idx="385">
                  <c:v>1.6990921499361695</c:v>
                </c:pt>
                <c:pt idx="386">
                  <c:v>1.6516407175605103</c:v>
                </c:pt>
                <c:pt idx="387">
                  <c:v>1.6052413553437539</c:v>
                </c:pt>
                <c:pt idx="388">
                  <c:v>1.5598800727975319</c:v>
                </c:pt>
                <c:pt idx="389">
                  <c:v>1.5155427513176245</c:v>
                </c:pt>
                <c:pt idx="390">
                  <c:v>1.4722151572747402</c:v>
                </c:pt>
                <c:pt idx="391">
                  <c:v>1.4298829548307666</c:v>
                </c:pt>
                <c:pt idx="392">
                  <c:v>1.3885317184753907</c:v>
                </c:pt>
                <c:pt idx="393">
                  <c:v>1.3481469452784678</c:v>
                </c:pt>
                <c:pt idx="394">
                  <c:v>1.3087140668539992</c:v>
                </c:pt>
                <c:pt idx="395">
                  <c:v>1.2702184610320102</c:v>
                </c:pt>
                <c:pt idx="396">
                  <c:v>1.2326454632350989</c:v>
                </c:pt>
                <c:pt idx="397">
                  <c:v>1.1959803775568389</c:v>
                </c:pt>
                <c:pt idx="398">
                  <c:v>1.1602084875396814</c:v>
                </c:pt>
                <c:pt idx="399">
                  <c:v>1.1253150666503893</c:v>
                </c:pt>
                <c:pt idx="400">
                  <c:v>1.0912853884514837</c:v>
                </c:pt>
                <c:pt idx="401">
                  <c:v>1.0581047364675655</c:v>
                </c:pt>
                <c:pt idx="402">
                  <c:v>1.0257584137457605</c:v>
                </c:pt>
                <c:pt idx="403">
                  <c:v>0.99423175210994108</c:v>
                </c:pt>
                <c:pt idx="404">
                  <c:v>0.96351012110872603</c:v>
                </c:pt>
                <c:pt idx="405">
                  <c:v>0.93357893665762837</c:v>
                </c:pt>
                <c:pt idx="406">
                  <c:v>0.90442366937606833</c:v>
                </c:pt>
                <c:pt idx="407">
                  <c:v>0.87602985262029787</c:v>
                </c:pt>
                <c:pt idx="408">
                  <c:v>0.84838309021361813</c:v>
                </c:pt>
                <c:pt idx="409">
                  <c:v>0.82146906387557428</c:v>
                </c:pt>
                <c:pt idx="410">
                  <c:v>0.79527354035210751</c:v>
                </c:pt>
                <c:pt idx="411">
                  <c:v>0.76978237824895324</c:v>
                </c:pt>
                <c:pt idx="412">
                  <c:v>0.74498153457082317</c:v>
                </c:pt>
                <c:pt idx="413">
                  <c:v>0.7208570709691936</c:v>
                </c:pt>
                <c:pt idx="414">
                  <c:v>0.69739515970175847</c:v>
                </c:pt>
                <c:pt idx="415">
                  <c:v>0.67458208930686048</c:v>
                </c:pt>
                <c:pt idx="416">
                  <c:v>0.65240426999642387</c:v>
                </c:pt>
                <c:pt idx="417">
                  <c:v>0.63084823877114171</c:v>
                </c:pt>
                <c:pt idx="418">
                  <c:v>0.60990066426186484</c:v>
                </c:pt>
                <c:pt idx="419">
                  <c:v>0.58954835130133554</c:v>
                </c:pt>
                <c:pt idx="420">
                  <c:v>0.56977824523058307</c:v>
                </c:pt>
                <c:pt idx="421">
                  <c:v>0.55057743594447495</c:v>
                </c:pt>
                <c:pt idx="422">
                  <c:v>0.53193316168106086</c:v>
                </c:pt>
                <c:pt idx="423">
                  <c:v>0.51383281255950364</c:v>
                </c:pt>
                <c:pt idx="424">
                  <c:v>0.49626393387151563</c:v>
                </c:pt>
                <c:pt idx="425">
                  <c:v>0.47921422913134815</c:v>
                </c:pt>
                <c:pt idx="426">
                  <c:v>0.46267156288948419</c:v>
                </c:pt>
                <c:pt idx="427">
                  <c:v>0.4466239633152983</c:v>
                </c:pt>
                <c:pt idx="428">
                  <c:v>0.43105962455402164</c:v>
                </c:pt>
                <c:pt idx="429">
                  <c:v>0.41596690886344573</c:v>
                </c:pt>
                <c:pt idx="430">
                  <c:v>0.40133434853585731</c:v>
                </c:pt>
                <c:pt idx="431">
                  <c:v>0.3871506476107629</c:v>
                </c:pt>
                <c:pt idx="432">
                  <c:v>0.37340468338400795</c:v>
                </c:pt>
                <c:pt idx="433">
                  <c:v>0.36008550771894304</c:v>
                </c:pt>
                <c:pt idx="434">
                  <c:v>0.34718234816531368</c:v>
                </c:pt>
                <c:pt idx="435">
                  <c:v>0.33468460889158119</c:v>
                </c:pt>
                <c:pt idx="436">
                  <c:v>0.32258187143639488</c:v>
                </c:pt>
                <c:pt idx="437">
                  <c:v>0.31086389528494046</c:v>
                </c:pt>
                <c:pt idx="438">
                  <c:v>0.29952061827588977</c:v>
                </c:pt>
                <c:pt idx="439">
                  <c:v>0.28854215684467516</c:v>
                </c:pt>
                <c:pt idx="440">
                  <c:v>0.27791880610877995</c:v>
                </c:pt>
                <c:pt idx="441">
                  <c:v>0.26764103980073511</c:v>
                </c:pt>
                <c:pt idx="442">
                  <c:v>0.25769951005446107</c:v>
                </c:pt>
                <c:pt idx="443">
                  <c:v>0.24808504705057333</c:v>
                </c:pt>
                <c:pt idx="444">
                  <c:v>0.23878865852622139</c:v>
                </c:pt>
                <c:pt idx="445">
                  <c:v>0.22980152915498339</c:v>
                </c:pt>
                <c:pt idx="446">
                  <c:v>0.22111501980228171</c:v>
                </c:pt>
                <c:pt idx="447">
                  <c:v>0.21272066666173625</c:v>
                </c:pt>
                <c:pt idx="448">
                  <c:v>0.20461018027779382</c:v>
                </c:pt>
                <c:pt idx="449">
                  <c:v>0.1967754444599156</c:v>
                </c:pt>
                <c:pt idx="450">
                  <c:v>0.18920851509352341</c:v>
                </c:pt>
                <c:pt idx="451">
                  <c:v>0.18190161885283143</c:v>
                </c:pt>
                <c:pt idx="452">
                  <c:v>0.17484715182061047</c:v>
                </c:pt>
                <c:pt idx="453">
                  <c:v>0.16803767801984135</c:v>
                </c:pt>
                <c:pt idx="454">
                  <c:v>0.16146592786213262</c:v>
                </c:pt>
                <c:pt idx="455">
                  <c:v>0.15512479651768074</c:v>
                </c:pt>
                <c:pt idx="456">
                  <c:v>0.14900734221146017</c:v>
                </c:pt>
                <c:pt idx="457">
                  <c:v>0.143106784450233</c:v>
                </c:pt>
                <c:pt idx="458">
                  <c:v>0.13741650218486712</c:v>
                </c:pt>
                <c:pt idx="459">
                  <c:v>0.13193003191235467</c:v>
                </c:pt>
                <c:pt idx="460">
                  <c:v>0.12664106572181436</c:v>
                </c:pt>
                <c:pt idx="461">
                  <c:v>0.12154344928866111</c:v>
                </c:pt>
                <c:pt idx="462">
                  <c:v>0.11663117982101701</c:v>
                </c:pt>
                <c:pt idx="463">
                  <c:v>0.11189840396233275</c:v>
                </c:pt>
                <c:pt idx="464">
                  <c:v>0.1073394156540789</c:v>
                </c:pt>
                <c:pt idx="465">
                  <c:v>0.10294865396225646</c:v>
                </c:pt>
                <c:pt idx="466">
                  <c:v>9.8720700871370373E-2</c:v>
                </c:pt>
                <c:pt idx="467">
                  <c:v>9.4650279049394312E-2</c:v>
                </c:pt>
                <c:pt idx="468">
                  <c:v>9.0732249587148955E-2</c:v>
                </c:pt>
                <c:pt idx="469">
                  <c:v>8.6961609715403163E-2</c:v>
                </c:pt>
                <c:pt idx="470">
                  <c:v>8.3333490502898705E-2</c:v>
                </c:pt>
                <c:pt idx="471">
                  <c:v>7.9843154538388209E-2</c:v>
                </c:pt>
                <c:pt idx="472">
                  <c:v>7.648599359966686E-2</c:v>
                </c:pt>
                <c:pt idx="473">
                  <c:v>7.3257526312470095E-2</c:v>
                </c:pt>
                <c:pt idx="474">
                  <c:v>7.0153395801999835E-2</c:v>
                </c:pt>
                <c:pt idx="475">
                  <c:v>6.7169367339736122E-2</c:v>
                </c:pt>
                <c:pt idx="476">
                  <c:v>6.430132598808333E-2</c:v>
                </c:pt>
                <c:pt idx="477">
                  <c:v>6.1545274245295434E-2</c:v>
                </c:pt>
                <c:pt idx="478">
                  <c:v>5.8897329693020674E-2</c:v>
                </c:pt>
                <c:pt idx="479">
                  <c:v>5.635372264870301E-2</c:v>
                </c:pt>
                <c:pt idx="480">
                  <c:v>5.391079382497687E-2</c:v>
                </c:pt>
                <c:pt idx="481">
                  <c:v>5.1564991998090795E-2</c:v>
                </c:pt>
                <c:pt idx="482">
                  <c:v>4.9312871687298622E-2</c:v>
                </c:pt>
                <c:pt idx="483">
                  <c:v>4.7151090847059186E-2</c:v>
                </c:pt>
                <c:pt idx="484">
                  <c:v>4.5076408573790985E-2</c:v>
                </c:pt>
                <c:pt idx="485">
                  <c:v>4.308568282883557E-2</c:v>
                </c:pt>
                <c:pt idx="486">
                  <c:v>4.1175868179191416E-2</c:v>
                </c:pt>
                <c:pt idx="487">
                  <c:v>3.9344013557491522E-2</c:v>
                </c:pt>
                <c:pt idx="488">
                  <c:v>3.7587260042609934E-2</c:v>
                </c:pt>
                <c:pt idx="489">
                  <c:v>3.5902838662198081E-2</c:v>
                </c:pt>
                <c:pt idx="490">
                  <c:v>3.4288068218366781E-2</c:v>
                </c:pt>
                <c:pt idx="491">
                  <c:v>3.2740353137651099E-2</c:v>
                </c:pt>
                <c:pt idx="492">
                  <c:v>3.1257181346313889E-2</c:v>
                </c:pt>
                <c:pt idx="493">
                  <c:v>2.9836122171967957E-2</c:v>
                </c:pt>
                <c:pt idx="494">
                  <c:v>2.8474824272422275E-2</c:v>
                </c:pt>
                <c:pt idx="495">
                  <c:v>2.7171013592584326E-2</c:v>
                </c:pt>
                <c:pt idx="496">
                  <c:v>2.592249135018072E-2</c:v>
                </c:pt>
                <c:pt idx="497">
                  <c:v>2.4727132050989937E-2</c:v>
                </c:pt>
                <c:pt idx="498">
                  <c:v>2.3582881534215141E-2</c:v>
                </c:pt>
                <c:pt idx="499">
                  <c:v>2.2487755048560331E-2</c:v>
                </c:pt>
                <c:pt idx="500">
                  <c:v>2.1439835359513059E-2</c:v>
                </c:pt>
                <c:pt idx="501">
                  <c:v>2.043727088827553E-2</c:v>
                </c:pt>
                <c:pt idx="502">
                  <c:v>1.9478273882730119E-2</c:v>
                </c:pt>
                <c:pt idx="503">
                  <c:v>1.8561118620769371E-2</c:v>
                </c:pt>
                <c:pt idx="504">
                  <c:v>1.7684139646267687E-2</c:v>
                </c:pt>
                <c:pt idx="505">
                  <c:v>1.6845730037920909E-2</c:v>
                </c:pt>
                <c:pt idx="506">
                  <c:v>1.6044339711131457E-2</c:v>
                </c:pt>
                <c:pt idx="507">
                  <c:v>1.5278473753069391E-2</c:v>
                </c:pt>
                <c:pt idx="508">
                  <c:v>1.4546690790995584E-2</c:v>
                </c:pt>
                <c:pt idx="509">
                  <c:v>1.384760139388993E-2</c:v>
                </c:pt>
                <c:pt idx="510">
                  <c:v>1.3179866507387268E-2</c:v>
                </c:pt>
                <c:pt idx="511">
                  <c:v>1.2542195921984273E-2</c:v>
                </c:pt>
                <c:pt idx="512">
                  <c:v>1.1933346774444391E-2</c:v>
                </c:pt>
                <c:pt idx="513">
                  <c:v>1.1352122082292186E-2</c:v>
                </c:pt>
                <c:pt idx="514">
                  <c:v>1.0797369311255604E-2</c:v>
                </c:pt>
                <c:pt idx="515">
                  <c:v>1.0267978975483228E-2</c:v>
                </c:pt>
                <c:pt idx="516">
                  <c:v>9.7628832703338352E-3</c:v>
                </c:pt>
                <c:pt idx="517">
                  <c:v>9.2810547375077393E-3</c:v>
                </c:pt>
                <c:pt idx="518">
                  <c:v>8.8215049622630028E-3</c:v>
                </c:pt>
                <c:pt idx="519">
                  <c:v>8.3832833024350406E-3</c:v>
                </c:pt>
                <c:pt idx="520">
                  <c:v>7.9654756489550907E-3</c:v>
                </c:pt>
                <c:pt idx="521">
                  <c:v>7.567203217541482E-3</c:v>
                </c:pt>
                <c:pt idx="522">
                  <c:v>7.1876213712175176E-3</c:v>
                </c:pt>
                <c:pt idx="523">
                  <c:v>6.8259184732914393E-3</c:v>
                </c:pt>
                <c:pt idx="524">
                  <c:v>6.4813147704166464E-3</c:v>
                </c:pt>
                <c:pt idx="525">
                  <c:v>6.1530613053344223E-3</c:v>
                </c:pt>
                <c:pt idx="526">
                  <c:v>5.8404388588873257E-3</c:v>
                </c:pt>
                <c:pt idx="527">
                  <c:v>5.5427569208777259E-3</c:v>
                </c:pt>
                <c:pt idx="528">
                  <c:v>5.2593526893344395E-3</c:v>
                </c:pt>
                <c:pt idx="529">
                  <c:v>4.9895900977393517E-3</c:v>
                </c:pt>
                <c:pt idx="530">
                  <c:v>4.7328588697563212E-3</c:v>
                </c:pt>
                <c:pt idx="531">
                  <c:v>4.4885736009962493E-3</c:v>
                </c:pt>
                <c:pt idx="532">
                  <c:v>4.2561728673445589E-3</c:v>
                </c:pt>
                <c:pt idx="533">
                  <c:v>4.0351183593709513E-3</c:v>
                </c:pt>
                <c:pt idx="534">
                  <c:v>3.8248940423357136E-3</c:v>
                </c:pt>
                <c:pt idx="535">
                  <c:v>3.6250053413023628E-3</c:v>
                </c:pt>
                <c:pt idx="536">
                  <c:v>3.434978350862697E-3</c:v>
                </c:pt>
                <c:pt idx="537">
                  <c:v>3.2543590689773634E-3</c:v>
                </c:pt>
                <c:pt idx="538">
                  <c:v>3.0827126544333006E-3</c:v>
                </c:pt>
                <c:pt idx="539">
                  <c:v>2.9196227074177014E-3</c:v>
                </c:pt>
                <c:pt idx="540">
                  <c:v>2.764690572708109E-3</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Data!$I$2:$I$1001</c:f>
              <c:numCache>
                <c:formatCode>0</c:formatCode>
                <c:ptCount val="1000"/>
                <c:pt idx="0">
                  <c:v>1.228148143604174E-4</c:v>
                </c:pt>
                <c:pt idx="1">
                  <c:v>1.3011850967615306E-4</c:v>
                </c:pt>
                <c:pt idx="2">
                  <c:v>1.3783700932278942E-4</c:v>
                </c:pt>
                <c:pt idx="3">
                  <c:v>1.4599266607269711E-4</c:v>
                </c:pt>
                <c:pt idx="4">
                  <c:v>1.5460896557094425E-4</c:v>
                </c:pt>
                <c:pt idx="5">
                  <c:v>1.6371057965731679E-4</c:v>
                </c:pt>
                <c:pt idx="6">
                  <c:v>1.7332342197392013E-4</c:v>
                </c:pt>
                <c:pt idx="7">
                  <c:v>1.8347470594456229E-4</c:v>
                </c:pt>
                <c:pt idx="8">
                  <c:v>1.9419300521480716E-4</c:v>
                </c:pt>
                <c:pt idx="9">
                  <c:v>2.0550831664425836E-4</c:v>
                </c:pt>
                <c:pt idx="10">
                  <c:v>2.1745212594544708E-4</c:v>
                </c:pt>
                <c:pt idx="11">
                  <c:v>2.3005747606646152E-4</c:v>
                </c:pt>
                <c:pt idx="12">
                  <c:v>2.4335903841737661E-4</c:v>
                </c:pt>
                <c:pt idx="13">
                  <c:v>2.5739318704341024E-4</c:v>
                </c:pt>
                <c:pt idx="14">
                  <c:v>2.721980758507446E-4</c:v>
                </c:pt>
                <c:pt idx="15">
                  <c:v>2.8781371899392672E-4</c:v>
                </c:pt>
                <c:pt idx="16">
                  <c:v>3.0428207453686573E-4</c:v>
                </c:pt>
                <c:pt idx="17">
                  <c:v>3.2164713150251178E-4</c:v>
                </c:pt>
                <c:pt idx="18">
                  <c:v>3.3995500042949798E-4</c:v>
                </c:pt>
                <c:pt idx="19">
                  <c:v>3.592540075571849E-4</c:v>
                </c:pt>
                <c:pt idx="20">
                  <c:v>3.7959479276382081E-4</c:v>
                </c:pt>
                <c:pt idx="21">
                  <c:v>4.0103041138576614E-4</c:v>
                </c:pt>
                <c:pt idx="22">
                  <c:v>4.236164400491096E-4</c:v>
                </c:pt>
                <c:pt idx="23">
                  <c:v>4.4741108664826424E-4</c:v>
                </c:pt>
                <c:pt idx="24">
                  <c:v>4.7247530460961854E-4</c:v>
                </c:pt>
                <c:pt idx="25">
                  <c:v>4.9887291158162911E-4</c:v>
                </c:pt>
                <c:pt idx="26">
                  <c:v>5.2667071269627106E-4</c:v>
                </c:pt>
                <c:pt idx="27">
                  <c:v>5.5593862855015351E-4</c:v>
                </c:pt>
                <c:pt idx="28">
                  <c:v>5.8674982805714771E-4</c:v>
                </c:pt>
                <c:pt idx="29">
                  <c:v>6.1918086632784582E-4</c:v>
                </c:pt>
                <c:pt idx="30">
                  <c:v>6.533118277347159E-4</c:v>
                </c:pt>
                <c:pt idx="31">
                  <c:v>6.8922647432529598E-4</c:v>
                </c:pt>
                <c:pt idx="32">
                  <c:v>7.2701239974938428E-4</c:v>
                </c:pt>
                <c:pt idx="33">
                  <c:v>7.667611888696335E-4</c:v>
                </c:pt>
                <c:pt idx="34">
                  <c:v>8.0856858322856436E-4</c:v>
                </c:pt>
                <c:pt idx="35">
                  <c:v>8.5253465254848373E-4</c:v>
                </c:pt>
                <c:pt idx="36">
                  <c:v>8.9876397244436019E-4</c:v>
                </c:pt>
                <c:pt idx="37">
                  <c:v>9.4736580853314791E-4</c:v>
                </c:pt>
                <c:pt idx="38">
                  <c:v>9.9845430712660536E-4</c:v>
                </c:pt>
                <c:pt idx="39">
                  <c:v>1.0521486926979991E-3</c:v>
                </c:pt>
                <c:pt idx="40">
                  <c:v>1.1085734723165989E-3</c:v>
                </c:pt>
                <c:pt idx="41">
                  <c:v>1.1678586472471471E-3</c:v>
                </c:pt>
                <c:pt idx="42">
                  <c:v>1.2301399319148954E-3</c:v>
                </c:pt>
                <c:pt idx="43">
                  <c:v>1.2955589804399792E-3</c:v>
                </c:pt>
                <c:pt idx="44">
                  <c:v>1.3642636209481999E-3</c:v>
                </c:pt>
                <c:pt idx="45">
                  <c:v>1.436408097868306E-3</c:v>
                </c:pt>
                <c:pt idx="46">
                  <c:v>1.5121533224290668E-3</c:v>
                </c:pt>
                <c:pt idx="47">
                  <c:v>1.5916671315722572E-3</c:v>
                </c:pt>
                <c:pt idx="48">
                  <c:v>1.6751245555006586E-3</c:v>
                </c:pt>
                <c:pt idx="49">
                  <c:v>1.7627080940829131E-3</c:v>
                </c:pt>
                <c:pt idx="50">
                  <c:v>1.8546080023397308E-3</c:v>
                </c:pt>
                <c:pt idx="51">
                  <c:v>1.951022585238495E-3</c:v>
                </c:pt>
                <c:pt idx="52">
                  <c:v>2.0521585020257431E-3</c:v>
                </c:pt>
                <c:pt idx="53">
                  <c:v>2.1582310803292641E-3</c:v>
                </c:pt>
                <c:pt idx="54">
                  <c:v>2.2694646402636283E-3</c:v>
                </c:pt>
                <c:pt idx="55">
                  <c:v>2.3860928287750246E-3</c:v>
                </c:pt>
                <c:pt idx="56">
                  <c:v>2.5083589644629479E-3</c:v>
                </c:pt>
                <c:pt idx="57">
                  <c:v>2.6365163931179707E-3</c:v>
                </c:pt>
                <c:pt idx="58">
                  <c:v>2.7708288542162233E-3</c:v>
                </c:pt>
                <c:pt idx="59">
                  <c:v>2.9115708586123401E-3</c:v>
                </c:pt>
                <c:pt idx="60">
                  <c:v>3.0590280776737278E-3</c:v>
                </c:pt>
                <c:pt idx="61">
                  <c:v>3.2134977440996192E-3</c:v>
                </c:pt>
                <c:pt idx="62">
                  <c:v>3.3752890646690402E-3</c:v>
                </c:pt>
                <c:pt idx="63">
                  <c:v>3.544723645161842E-3</c:v>
                </c:pt>
                <c:pt idx="64">
                  <c:v>3.7221359276972429E-3</c:v>
                </c:pt>
                <c:pt idx="65">
                  <c:v>3.9078736407336155E-3</c:v>
                </c:pt>
                <c:pt idx="66">
                  <c:v>4.1022982619729866E-3</c:v>
                </c:pt>
                <c:pt idx="67">
                  <c:v>4.305785494412644E-3</c:v>
                </c:pt>
                <c:pt idx="68">
                  <c:v>4.5187257557849272E-3</c:v>
                </c:pt>
                <c:pt idx="69">
                  <c:v>4.7415246816248282E-3</c:v>
                </c:pt>
                <c:pt idx="70">
                  <c:v>4.9746036422030028E-3</c:v>
                </c:pt>
                <c:pt idx="71">
                  <c:v>5.2184002735594509E-3</c:v>
                </c:pt>
                <c:pt idx="72">
                  <c:v>5.4733690228703485E-3</c:v>
                </c:pt>
                <c:pt idx="73">
                  <c:v>5.7399817083776724E-3</c:v>
                </c:pt>
                <c:pt idx="74">
                  <c:v>6.0187280941073366E-3</c:v>
                </c:pt>
                <c:pt idx="75">
                  <c:v>6.3101164795978113E-3</c:v>
                </c:pt>
                <c:pt idx="76">
                  <c:v>6.6146743048567979E-3</c:v>
                </c:pt>
                <c:pt idx="77">
                  <c:v>6.9329487707585017E-3</c:v>
                </c:pt>
                <c:pt idx="78">
                  <c:v>7.2655074750887496E-3</c:v>
                </c:pt>
                <c:pt idx="79">
                  <c:v>7.6129390644392864E-3</c:v>
                </c:pt>
                <c:pt idx="80">
                  <c:v>7.9758539021462377E-3</c:v>
                </c:pt>
                <c:pt idx="81">
                  <c:v>8.3548847524607672E-3</c:v>
                </c:pt>
                <c:pt idx="82">
                  <c:v>8.750687481132351E-3</c:v>
                </c:pt>
                <c:pt idx="83">
                  <c:v>9.1639417725773113E-3</c:v>
                </c:pt>
                <c:pt idx="84">
                  <c:v>9.5953518637963992E-3</c:v>
                </c:pt>
                <c:pt idx="85">
                  <c:v>1.004564729519601E-2</c:v>
                </c:pt>
                <c:pt idx="86">
                  <c:v>1.0515583678457821E-2</c:v>
                </c:pt>
                <c:pt idx="87">
                  <c:v>1.1005943481591195E-2</c:v>
                </c:pt>
                <c:pt idx="88">
                  <c:v>1.1517536831291416E-2</c:v>
                </c:pt>
                <c:pt idx="89">
                  <c:v>1.2051202332715165E-2</c:v>
                </c:pt>
                <c:pt idx="90">
                  <c:v>1.260780790677209E-2</c:v>
                </c:pt>
                <c:pt idx="91">
                  <c:v>1.3188251645018165E-2</c:v>
                </c:pt>
                <c:pt idx="92">
                  <c:v>1.3793462682222637E-2</c:v>
                </c:pt>
                <c:pt idx="93">
                  <c:v>1.4424402086665799E-2</c:v>
                </c:pt>
                <c:pt idx="94">
                  <c:v>1.508206376820938E-2</c:v>
                </c:pt>
                <c:pt idx="95">
                  <c:v>1.5767475404165291E-2</c:v>
                </c:pt>
                <c:pt idx="96">
                  <c:v>1.6481699382971587E-2</c:v>
                </c:pt>
                <c:pt idx="97">
                  <c:v>1.72258337656668E-2</c:v>
                </c:pt>
                <c:pt idx="98">
                  <c:v>1.8001013265135417E-2</c:v>
                </c:pt>
                <c:pt idx="99">
                  <c:v>1.8808410243077844E-2</c:v>
                </c:pt>
                <c:pt idx="100">
                  <c:v>1.964923572463843E-2</c:v>
                </c:pt>
                <c:pt idx="101">
                  <c:v>2.0524740430603833E-2</c:v>
                </c:pt>
                <c:pt idx="102">
                  <c:v>2.1436215827062496E-2</c:v>
                </c:pt>
                <c:pt idx="103">
                  <c:v>2.2384995192393401E-2</c:v>
                </c:pt>
                <c:pt idx="104">
                  <c:v>2.3372454701428555E-2</c:v>
                </c:pt>
                <c:pt idx="105">
                  <c:v>2.4400014526609923E-2</c:v>
                </c:pt>
                <c:pt idx="106">
                  <c:v>2.5469139955935399E-2</c:v>
                </c:pt>
                <c:pt idx="107">
                  <c:v>2.6581342527463355E-2</c:v>
                </c:pt>
                <c:pt idx="108">
                  <c:v>2.7738181180117578E-2</c:v>
                </c:pt>
                <c:pt idx="109">
                  <c:v>2.894126342050695E-2</c:v>
                </c:pt>
                <c:pt idx="110">
                  <c:v>3.0192246505445414E-2</c:v>
                </c:pt>
                <c:pt idx="111">
                  <c:v>3.1492838639827936E-2</c:v>
                </c:pt>
                <c:pt idx="112">
                  <c:v>3.2844800189488349E-2</c:v>
                </c:pt>
                <c:pt idx="113">
                  <c:v>3.4249944908632278E-2</c:v>
                </c:pt>
                <c:pt idx="114">
                  <c:v>3.5710141181407654E-2</c:v>
                </c:pt>
                <c:pt idx="115">
                  <c:v>3.722731327714085E-2</c:v>
                </c:pt>
                <c:pt idx="116">
                  <c:v>3.8803442618732906E-2</c:v>
                </c:pt>
                <c:pt idx="117">
                  <c:v>4.0440569063675942E-2</c:v>
                </c:pt>
                <c:pt idx="118">
                  <c:v>4.214079219711258E-2</c:v>
                </c:pt>
                <c:pt idx="119">
                  <c:v>4.3906272636326654E-2</c:v>
                </c:pt>
                <c:pt idx="120">
                  <c:v>4.5739233346013715E-2</c:v>
                </c:pt>
                <c:pt idx="121">
                  <c:v>4.764196096364369E-2</c:v>
                </c:pt>
                <c:pt idx="122">
                  <c:v>4.9616807134187105E-2</c:v>
                </c:pt>
                <c:pt idx="123">
                  <c:v>5.1666189853437967E-2</c:v>
                </c:pt>
                <c:pt idx="124">
                  <c:v>5.3792594819124212E-2</c:v>
                </c:pt>
                <c:pt idx="125">
                  <c:v>5.5998576788956145E-2</c:v>
                </c:pt>
                <c:pt idx="126">
                  <c:v>5.8286760944721176E-2</c:v>
                </c:pt>
                <c:pt idx="127">
                  <c:v>6.0659844261489501E-2</c:v>
                </c:pt>
                <c:pt idx="128">
                  <c:v>6.3120596880952382E-2</c:v>
                </c:pt>
                <c:pt idx="129">
                  <c:v>6.5671863487870422E-2</c:v>
                </c:pt>
                <c:pt idx="130">
                  <c:v>6.8316564688563897E-2</c:v>
                </c:pt>
                <c:pt idx="131">
                  <c:v>7.1057698390332866E-2</c:v>
                </c:pt>
                <c:pt idx="132">
                  <c:v>7.3898341180646726E-2</c:v>
                </c:pt>
                <c:pt idx="133">
                  <c:v>7.6841649704899179E-2</c:v>
                </c:pt>
                <c:pt idx="134">
                  <c:v>7.9890862041474872E-2</c:v>
                </c:pt>
                <c:pt idx="135">
                  <c:v>8.3049299072828209E-2</c:v>
                </c:pt>
                <c:pt idx="136">
                  <c:v>8.6320365851226044E-2</c:v>
                </c:pt>
                <c:pt idx="137">
                  <c:v>8.9707552957759451E-2</c:v>
                </c:pt>
                <c:pt idx="138">
                  <c:v>9.3214437853177928E-2</c:v>
                </c:pt>
                <c:pt idx="139">
                  <c:v>9.6844686219055065E-2</c:v>
                </c:pt>
                <c:pt idx="140">
                  <c:v>0.1006020532877419</c:v>
                </c:pt>
                <c:pt idx="141">
                  <c:v>0.1044903851595176</c:v>
                </c:pt>
                <c:pt idx="142">
                  <c:v>0.10851362010529682</c:v>
                </c:pt>
                <c:pt idx="143">
                  <c:v>0.11267578985320387</c:v>
                </c:pt>
                <c:pt idx="144">
                  <c:v>0.1169810208572765</c:v>
                </c:pt>
                <c:pt idx="145">
                  <c:v>0.1214335355465094</c:v>
                </c:pt>
                <c:pt idx="146">
                  <c:v>0.12603765355240329</c:v>
                </c:pt>
                <c:pt idx="147">
                  <c:v>0.13079779291313329</c:v>
                </c:pt>
                <c:pt idx="148">
                  <c:v>0.13571847125240377</c:v>
                </c:pt>
                <c:pt idx="149">
                  <c:v>0.14080430693100798</c:v>
                </c:pt>
                <c:pt idx="150">
                  <c:v>0.14606002016906605</c:v>
                </c:pt>
                <c:pt idx="151">
                  <c:v>0.15149043413686258</c:v>
                </c:pt>
                <c:pt idx="152">
                  <c:v>0.15710047601216615</c:v>
                </c:pt>
                <c:pt idx="153">
                  <c:v>0.16289517800186129</c:v>
                </c:pt>
                <c:pt idx="154">
                  <c:v>0.16887967832568301</c:v>
                </c:pt>
                <c:pt idx="155">
                  <c:v>0.17505922215979589</c:v>
                </c:pt>
                <c:pt idx="156">
                  <c:v>0.18143916253792422</c:v>
                </c:pt>
                <c:pt idx="157">
                  <c:v>0.18802496120768813</c:v>
                </c:pt>
                <c:pt idx="158">
                  <c:v>0.1948221894397702</c:v>
                </c:pt>
                <c:pt idx="159">
                  <c:v>0.20183652878748837</c:v>
                </c:pt>
                <c:pt idx="160">
                  <c:v>0.20907377179432232</c:v>
                </c:pt>
                <c:pt idx="161">
                  <c:v>0.21653982264689445</c:v>
                </c:pt>
                <c:pt idx="162">
                  <c:v>0.22424069777088226</c:v>
                </c:pt>
                <c:pt idx="163">
                  <c:v>0.23218252636729356</c:v>
                </c:pt>
                <c:pt idx="164">
                  <c:v>0.24037155088651774</c:v>
                </c:pt>
                <c:pt idx="165">
                  <c:v>0.24881412743752376</c:v>
                </c:pt>
                <c:pt idx="166">
                  <c:v>0.25751672612955906</c:v>
                </c:pt>
                <c:pt idx="167">
                  <c:v>0.26648593134367055</c:v>
                </c:pt>
                <c:pt idx="168">
                  <c:v>0.27572844193134755</c:v>
                </c:pt>
                <c:pt idx="169">
                  <c:v>0.28525107133757005</c:v>
                </c:pt>
                <c:pt idx="170">
                  <c:v>0.29506074764551637</c:v>
                </c:pt>
                <c:pt idx="171">
                  <c:v>0.30516451354018115</c:v>
                </c:pt>
                <c:pt idx="172">
                  <c:v>0.315569526188132</c:v>
                </c:pt>
                <c:pt idx="173">
                  <c:v>0.32628305703062294</c:v>
                </c:pt>
                <c:pt idx="174">
                  <c:v>0.33731249148728243</c:v>
                </c:pt>
                <c:pt idx="175">
                  <c:v>0.3486653285675767</c:v>
                </c:pt>
                <c:pt idx="176">
                  <c:v>0.36034918038725977</c:v>
                </c:pt>
                <c:pt idx="177">
                  <c:v>0.37237177158701129</c:v>
                </c:pt>
                <c:pt idx="178">
                  <c:v>0.3847409386504787</c:v>
                </c:pt>
                <c:pt idx="179">
                  <c:v>0.39746462911893621</c:v>
                </c:pt>
                <c:pt idx="180">
                  <c:v>0.41055090069979616</c:v>
                </c:pt>
                <c:pt idx="181">
                  <c:v>0.42400792026621481</c:v>
                </c:pt>
                <c:pt idx="182">
                  <c:v>0.43784396274505633</c:v>
                </c:pt>
                <c:pt idx="183">
                  <c:v>0.4520674098905012</c:v>
                </c:pt>
                <c:pt idx="184">
                  <c:v>0.46668674894060974</c:v>
                </c:pt>
                <c:pt idx="185">
                  <c:v>0.48171057115418575</c:v>
                </c:pt>
                <c:pt idx="186">
                  <c:v>0.49714757022531003</c:v>
                </c:pt>
                <c:pt idx="187">
                  <c:v>0.51300654057296735</c:v>
                </c:pt>
                <c:pt idx="188">
                  <c:v>0.52929637550321385</c:v>
                </c:pt>
                <c:pt idx="189">
                  <c:v>0.54602606524139696</c:v>
                </c:pt>
                <c:pt idx="190">
                  <c:v>0.56320469483197599</c:v>
                </c:pt>
                <c:pt idx="191">
                  <c:v>0.5808414419035588</c:v>
                </c:pt>
                <c:pt idx="192">
                  <c:v>0.59894557429682227</c:v>
                </c:pt>
                <c:pt idx="193">
                  <c:v>0.61752644755305308</c:v>
                </c:pt>
                <c:pt idx="194">
                  <c:v>0.63659350226111133</c:v>
                </c:pt>
                <c:pt idx="195">
                  <c:v>0.65615626126069992</c:v>
                </c:pt>
                <c:pt idx="196">
                  <c:v>0.67622432669989263</c:v>
                </c:pt>
                <c:pt idx="197">
                  <c:v>0.69680737694496442</c:v>
                </c:pt>
                <c:pt idx="198">
                  <c:v>0.71791516334065386</c:v>
                </c:pt>
                <c:pt idx="199">
                  <c:v>0.73955750681907872</c:v>
                </c:pt>
                <c:pt idx="200">
                  <c:v>0.76174429435562641</c:v>
                </c:pt>
                <c:pt idx="201">
                  <c:v>0.78448547527024592</c:v>
                </c:pt>
                <c:pt idx="202">
                  <c:v>0.80779105737266932</c:v>
                </c:pt>
                <c:pt idx="203">
                  <c:v>0.83167110295021041</c:v>
                </c:pt>
                <c:pt idx="204">
                  <c:v>0.85613572459690568</c:v>
                </c:pt>
                <c:pt idx="205">
                  <c:v>0.88119508088287934</c:v>
                </c:pt>
                <c:pt idx="206">
                  <c:v>0.90685937186294874</c:v>
                </c:pt>
                <c:pt idx="207">
                  <c:v>0.933138834423619</c:v>
                </c:pt>
                <c:pt idx="208">
                  <c:v>0.96004373746774785</c:v>
                </c:pt>
                <c:pt idx="209">
                  <c:v>0.98758437693630918</c:v>
                </c:pt>
                <c:pt idx="210">
                  <c:v>1.0157710706668279</c:v>
                </c:pt>
                <c:pt idx="211">
                  <c:v>1.0446141530882163</c:v>
                </c:pt>
                <c:pt idx="212">
                  <c:v>1.0741239697518912</c:v>
                </c:pt>
                <c:pt idx="213">
                  <c:v>1.104310871699216</c:v>
                </c:pt>
                <c:pt idx="214">
                  <c:v>1.1351852096654822</c:v>
                </c:pt>
                <c:pt idx="215">
                  <c:v>1.1667573281208068</c:v>
                </c:pt>
                <c:pt idx="216">
                  <c:v>1.1990375591485007</c:v>
                </c:pt>
                <c:pt idx="217">
                  <c:v>1.2320362161616534</c:v>
                </c:pt>
                <c:pt idx="218">
                  <c:v>1.265763587458828</c:v>
                </c:pt>
                <c:pt idx="219">
                  <c:v>1.3002299296200048</c:v>
                </c:pt>
                <c:pt idx="220">
                  <c:v>1.3354454607440371</c:v>
                </c:pt>
                <c:pt idx="221">
                  <c:v>1.3714203535291341</c:v>
                </c:pt>
                <c:pt idx="222">
                  <c:v>1.4081647281980483</c:v>
                </c:pt>
                <c:pt idx="223">
                  <c:v>1.4456886452698638</c:v>
                </c:pt>
                <c:pt idx="224">
                  <c:v>1.484002098180482</c:v>
                </c:pt>
                <c:pt idx="225">
                  <c:v>1.5231150057541079</c:v>
                </c:pt>
                <c:pt idx="226">
                  <c:v>1.5630372045282608</c:v>
                </c:pt>
                <c:pt idx="227">
                  <c:v>1.6037784409350309</c:v>
                </c:pt>
                <c:pt idx="228">
                  <c:v>1.6453483633415398</c:v>
                </c:pt>
                <c:pt idx="229">
                  <c:v>1.6877565139527582</c:v>
                </c:pt>
                <c:pt idx="230">
                  <c:v>1.7310123205800891</c:v>
                </c:pt>
                <c:pt idx="231">
                  <c:v>1.7751250882793064</c:v>
                </c:pt>
                <c:pt idx="232">
                  <c:v>1.8201039908616967</c:v>
                </c:pt>
                <c:pt idx="233">
                  <c:v>1.8659580622824596</c:v>
                </c:pt>
                <c:pt idx="234">
                  <c:v>1.9126961879106641</c:v>
                </c:pt>
                <c:pt idx="235">
                  <c:v>1.9603270956852628</c:v>
                </c:pt>
                <c:pt idx="236">
                  <c:v>2.0088593471619283</c:v>
                </c:pt>
                <c:pt idx="237">
                  <c:v>2.0583013284556606</c:v>
                </c:pt>
                <c:pt idx="238">
                  <c:v>2.108661241084401</c:v>
                </c:pt>
                <c:pt idx="239">
                  <c:v>2.1599470927190487</c:v>
                </c:pt>
                <c:pt idx="240">
                  <c:v>2.2121666878455652</c:v>
                </c:pt>
                <c:pt idx="241">
                  <c:v>2.2653276183450477</c:v>
                </c:pt>
                <c:pt idx="242">
                  <c:v>2.3194372539978723</c:v>
                </c:pt>
                <c:pt idx="243">
                  <c:v>2.3745027329182582</c:v>
                </c:pt>
                <c:pt idx="244">
                  <c:v>2.4305309519258089</c:v>
                </c:pt>
                <c:pt idx="245">
                  <c:v>2.4875285568608025</c:v>
                </c:pt>
                <c:pt idx="246">
                  <c:v>2.5455019328502448</c:v>
                </c:pt>
                <c:pt idx="247">
                  <c:v>2.6044571945318773</c:v>
                </c:pt>
                <c:pt idx="248">
                  <c:v>2.6644001762435869</c:v>
                </c:pt>
                <c:pt idx="249">
                  <c:v>2.7253364221858365</c:v>
                </c:pt>
                <c:pt idx="250">
                  <c:v>2.7872711765649547</c:v>
                </c:pt>
                <c:pt idx="251">
                  <c:v>2.8502093737253307</c:v>
                </c:pt>
                <c:pt idx="252">
                  <c:v>2.9141556282787371</c:v>
                </c:pt>
                <c:pt idx="253">
                  <c:v>2.9791142252392171</c:v>
                </c:pt>
                <c:pt idx="254">
                  <c:v>3.0450891101721318</c:v>
                </c:pt>
                <c:pt idx="255">
                  <c:v>3.11208387936616</c:v>
                </c:pt>
                <c:pt idx="256">
                  <c:v>3.180101770037226</c:v>
                </c:pt>
                <c:pt idx="257">
                  <c:v>3.2491456505734631</c:v>
                </c:pt>
                <c:pt idx="258">
                  <c:v>3.3192180108305154</c:v>
                </c:pt>
                <c:pt idx="259">
                  <c:v>3.3903209524866207</c:v>
                </c:pt>
                <c:pt idx="260">
                  <c:v>3.462456179467059</c:v>
                </c:pt>
                <c:pt idx="261">
                  <c:v>3.5356249884476925</c:v>
                </c:pt>
                <c:pt idx="262">
                  <c:v>3.6098282594474602</c:v>
                </c:pt>
                <c:pt idx="263">
                  <c:v>3.68506644651979</c:v>
                </c:pt>
                <c:pt idx="264">
                  <c:v>3.7613395685530375</c:v>
                </c:pt>
                <c:pt idx="265">
                  <c:v>3.8386472001901293</c:v>
                </c:pt>
                <c:pt idx="266">
                  <c:v>3.9169884628777005</c:v>
                </c:pt>
                <c:pt idx="267">
                  <c:v>3.9963620160551012</c:v>
                </c:pt>
                <c:pt idx="268">
                  <c:v>4.0767660484937149</c:v>
                </c:pt>
                <c:pt idx="269">
                  <c:v>4.1581982697970892</c:v>
                </c:pt>
                <c:pt idx="270">
                  <c:v>4.240655902072449</c:v>
                </c:pt>
                <c:pt idx="271">
                  <c:v>4.3241356717841839</c:v>
                </c:pt>
                <c:pt idx="272">
                  <c:v>4.4086338017999536</c:v>
                </c:pt>
                <c:pt idx="273">
                  <c:v>4.4941460036400427</c:v>
                </c:pt>
                <c:pt idx="274">
                  <c:v>4.5806674699406384</c:v>
                </c:pt>
                <c:pt idx="275">
                  <c:v>4.6681928671416797</c:v>
                </c:pt>
                <c:pt idx="276">
                  <c:v>4.7567163284099019</c:v>
                </c:pt>
                <c:pt idx="277">
                  <c:v>4.8462314468076872</c:v>
                </c:pt>
                <c:pt idx="278">
                  <c:v>4.9367312687182974</c:v>
                </c:pt>
                <c:pt idx="279">
                  <c:v>5.028208287537951</c:v>
                </c:pt>
                <c:pt idx="280">
                  <c:v>5.1206544376452356</c:v>
                </c:pt>
                <c:pt idx="281">
                  <c:v>5.2140610886581653</c:v>
                </c:pt>
                <c:pt idx="282">
                  <c:v>5.3084190399891709</c:v>
                </c:pt>
                <c:pt idx="283">
                  <c:v>5.403718515708154</c:v>
                </c:pt>
                <c:pt idx="284">
                  <c:v>5.4999491597236414</c:v>
                </c:pt>
                <c:pt idx="285">
                  <c:v>5.5971000312919355</c:v>
                </c:pt>
                <c:pt idx="286">
                  <c:v>5.6951596008639855</c:v>
                </c:pt>
                <c:pt idx="287">
                  <c:v>5.7941157462795765</c:v>
                </c:pt>
                <c:pt idx="288">
                  <c:v>5.8939557493182164</c:v>
                </c:pt>
                <c:pt idx="289">
                  <c:v>5.994666292615948</c:v>
                </c:pt>
                <c:pt idx="290">
                  <c:v>6.0962334569570622</c:v>
                </c:pt>
                <c:pt idx="291">
                  <c:v>6.1986427189495386</c:v>
                </c:pt>
                <c:pt idx="292">
                  <c:v>6.3018789490927052</c:v>
                </c:pt>
                <c:pt idx="293">
                  <c:v>6.4059264102454652</c:v>
                </c:pt>
                <c:pt idx="294">
                  <c:v>6.5107687565031203</c:v>
                </c:pt>
                <c:pt idx="295">
                  <c:v>6.616389032490547</c:v>
                </c:pt>
                <c:pt idx="296">
                  <c:v>6.7227696730792195</c:v>
                </c:pt>
                <c:pt idx="297">
                  <c:v>6.8298925035352474</c:v>
                </c:pt>
                <c:pt idx="298">
                  <c:v>6.9377387401053054</c:v>
                </c:pt>
                <c:pt idx="299">
                  <c:v>7.0462889910469801</c:v>
                </c:pt>
                <c:pt idx="300">
                  <c:v>7.1555232581097368</c:v>
                </c:pt>
                <c:pt idx="301">
                  <c:v>7.2654209384723583</c:v>
                </c:pt>
                <c:pt idx="302">
                  <c:v>7.3759608271423245</c:v>
                </c:pt>
                <c:pt idx="303">
                  <c:v>7.487121119822242</c:v>
                </c:pt>
                <c:pt idx="304">
                  <c:v>7.5988794162480549</c:v>
                </c:pt>
                <c:pt idx="305">
                  <c:v>7.7112127240033219</c:v>
                </c:pt>
                <c:pt idx="306">
                  <c:v>7.8240974628135014</c:v>
                </c:pt>
                <c:pt idx="307">
                  <c:v>7.9375094693236985</c:v>
                </c:pt>
                <c:pt idx="308">
                  <c:v>8.0514240023629569</c:v>
                </c:pt>
                <c:pt idx="309">
                  <c:v>8.1658157486976819</c:v>
                </c:pt>
                <c:pt idx="310">
                  <c:v>8.280658829276371</c:v>
                </c:pt>
                <c:pt idx="311">
                  <c:v>8.3959268059673526</c:v>
                </c:pt>
                <c:pt idx="312">
                  <c:v>8.5115926887907651</c:v>
                </c:pt>
                <c:pt idx="313">
                  <c:v>8.6276289436455311</c:v>
                </c:pt>
                <c:pt idx="314">
                  <c:v>8.7440075005315929</c:v>
                </c:pt>
                <c:pt idx="315">
                  <c:v>8.8606997622672257</c:v>
                </c:pt>
                <c:pt idx="316">
                  <c:v>8.9776766137006607</c:v>
                </c:pt>
                <c:pt idx="317">
                  <c:v>9.0949084314148454</c:v>
                </c:pt>
                <c:pt idx="318">
                  <c:v>9.2123650939235837</c:v>
                </c:pt>
                <c:pt idx="319">
                  <c:v>9.3300159923568344</c:v>
                </c:pt>
                <c:pt idx="320">
                  <c:v>9.4478300416324057</c:v>
                </c:pt>
                <c:pt idx="321">
                  <c:v>9.5657756921107389</c:v>
                </c:pt>
                <c:pt idx="322">
                  <c:v>9.683820941729028</c:v>
                </c:pt>
                <c:pt idx="323">
                  <c:v>9.8019333486102909</c:v>
                </c:pt>
                <c:pt idx="324">
                  <c:v>9.9200800441425621</c:v>
                </c:pt>
                <c:pt idx="325">
                  <c:v>10.038227746522818</c:v>
                </c:pt>
                <c:pt idx="326">
                  <c:v>10.156342774759681</c:v>
                </c:pt>
                <c:pt idx="327">
                  <c:v>10.274391063128514</c:v>
                </c:pt>
                <c:pt idx="328">
                  <c:v>10.392338176071851</c:v>
                </c:pt>
                <c:pt idx="329">
                  <c:v>10.510149323537734</c:v>
                </c:pt>
                <c:pt idx="330">
                  <c:v>10.627789376747865</c:v>
                </c:pt>
                <c:pt idx="331">
                  <c:v>10.745222884387054</c:v>
                </c:pt>
                <c:pt idx="332">
                  <c:v>10.862414089204892</c:v>
                </c:pt>
                <c:pt idx="333">
                  <c:v>10.979326945020043</c:v>
                </c:pt>
                <c:pt idx="334">
                  <c:v>11.095925134117101</c:v>
                </c:pt>
                <c:pt idx="335">
                  <c:v>11.212172085025372</c:v>
                </c:pt>
                <c:pt idx="336">
                  <c:v>11.328030990668537</c:v>
                </c:pt>
                <c:pt idx="337">
                  <c:v>11.443464826873596</c:v>
                </c:pt>
                <c:pt idx="338">
                  <c:v>11.558436371227007</c:v>
                </c:pt>
                <c:pt idx="339">
                  <c:v>11.672908222265567</c:v>
                </c:pt>
                <c:pt idx="340">
                  <c:v>11.786842818988948</c:v>
                </c:pt>
                <c:pt idx="341">
                  <c:v>11.900202460680513</c:v>
                </c:pt>
                <c:pt idx="342">
                  <c:v>12.012949327022509</c:v>
                </c:pt>
                <c:pt idx="343">
                  <c:v>12.125045498491293</c:v>
                </c:pt>
                <c:pt idx="344">
                  <c:v>12.236452977017882</c:v>
                </c:pt>
                <c:pt idx="345">
                  <c:v>12.347133706898701</c:v>
                </c:pt>
                <c:pt idx="346">
                  <c:v>12.457049595940967</c:v>
                </c:pt>
                <c:pt idx="347">
                  <c:v>12.566162536826813</c:v>
                </c:pt>
                <c:pt idx="348">
                  <c:v>12.674434428679886</c:v>
                </c:pt>
                <c:pt idx="349">
                  <c:v>12.781827198817796</c:v>
                </c:pt>
                <c:pt idx="350">
                  <c:v>12.888302824673461</c:v>
                </c:pt>
                <c:pt idx="351">
                  <c:v>12.993823355868088</c:v>
                </c:pt>
                <c:pt idx="352">
                  <c:v>13.098350936418214</c:v>
                </c:pt>
                <c:pt idx="353">
                  <c:v>13.201847827058973</c:v>
                </c:pt>
                <c:pt idx="354">
                  <c:v>13.304276427665481</c:v>
                </c:pt>
                <c:pt idx="355">
                  <c:v>13.40559929975395</c:v>
                </c:pt>
                <c:pt idx="356">
                  <c:v>13.505779189044008</c:v>
                </c:pt>
                <c:pt idx="357">
                  <c:v>13.604779048063394</c:v>
                </c:pt>
                <c:pt idx="358">
                  <c:v>13.702562058776067</c:v>
                </c:pt>
                <c:pt idx="359">
                  <c:v>13.799091655214598</c:v>
                </c:pt>
                <c:pt idx="360">
                  <c:v>13.894331546097545</c:v>
                </c:pt>
                <c:pt idx="361">
                  <c:v>13.988245737412418</c:v>
                </c:pt>
                <c:pt idx="362">
                  <c:v>14.080798554944696</c:v>
                </c:pt>
                <c:pt idx="363">
                  <c:v>14.171954666733331</c:v>
                </c:pt>
                <c:pt idx="364">
                  <c:v>14.261679105433041</c:v>
                </c:pt>
                <c:pt idx="365">
                  <c:v>14.349937290563734</c:v>
                </c:pt>
                <c:pt idx="366">
                  <c:v>14.436695050627335</c:v>
                </c:pt>
                <c:pt idx="367">
                  <c:v>14.521918645072299</c:v>
                </c:pt>
                <c:pt idx="368">
                  <c:v>14.605574786086139</c:v>
                </c:pt>
                <c:pt idx="369">
                  <c:v>14.687630660196357</c:v>
                </c:pt>
                <c:pt idx="370">
                  <c:v>14.768053949660199</c:v>
                </c:pt>
                <c:pt idx="371">
                  <c:v>14.846812853623788</c:v>
                </c:pt>
                <c:pt idx="372">
                  <c:v>14.923876109031282</c:v>
                </c:pt>
                <c:pt idx="373">
                  <c:v>14.999213011264894</c:v>
                </c:pt>
                <c:pt idx="374">
                  <c:v>15.072793434496688</c:v>
                </c:pt>
                <c:pt idx="375">
                  <c:v>15.144587851733363</c:v>
                </c:pt>
                <c:pt idx="376">
                  <c:v>15.214567354535305</c:v>
                </c:pt>
                <c:pt idx="377">
                  <c:v>15.282703672391609</c:v>
                </c:pt>
                <c:pt idx="378">
                  <c:v>15.348969191732802</c:v>
                </c:pt>
                <c:pt idx="379">
                  <c:v>15.413336974563471</c:v>
                </c:pt>
                <c:pt idx="380">
                  <c:v>15.475780776697178</c:v>
                </c:pt>
                <c:pt idx="381">
                  <c:v>15.536275065576399</c:v>
                </c:pt>
                <c:pt idx="382">
                  <c:v>15.594795037660557</c:v>
                </c:pt>
                <c:pt idx="383">
                  <c:v>15.651316635365623</c:v>
                </c:pt>
                <c:pt idx="384">
                  <c:v>15.70581656353901</c:v>
                </c:pt>
                <c:pt idx="385">
                  <c:v>15.758272305454097</c:v>
                </c:pt>
                <c:pt idx="386">
                  <c:v>15.808662138308888</c:v>
                </c:pt>
                <c:pt idx="387">
                  <c:v>15.856965148213968</c:v>
                </c:pt>
                <c:pt idx="388">
                  <c:v>15.903161244655253</c:v>
                </c:pt>
                <c:pt idx="389">
                  <c:v>15.94723117441753</c:v>
                </c:pt>
                <c:pt idx="390">
                  <c:v>15.989156534955265</c:v>
                </c:pt>
                <c:pt idx="391">
                  <c:v>16.028919787197751</c:v>
                </c:pt>
                <c:pt idx="392">
                  <c:v>16.066504267776025</c:v>
                </c:pt>
                <c:pt idx="393">
                  <c:v>16.101894200659704</c:v>
                </c:pt>
                <c:pt idx="394">
                  <c:v>16.135074708192327</c:v>
                </c:pt>
                <c:pt idx="395">
                  <c:v>16.166031821514405</c:v>
                </c:pt>
                <c:pt idx="396">
                  <c:v>16.194752490363943</c:v>
                </c:pt>
                <c:pt idx="397">
                  <c:v>16.221224592244848</c:v>
                </c:pt>
                <c:pt idx="398">
                  <c:v>16.245436940954153</c:v>
                </c:pt>
                <c:pt idx="399">
                  <c:v>16.267379294459715</c:v>
                </c:pt>
                <c:pt idx="400">
                  <c:v>16.287042362120545</c:v>
                </c:pt>
                <c:pt idx="401">
                  <c:v>16.304417811242757</c:v>
                </c:pt>
                <c:pt idx="402">
                  <c:v>16.319498272964534</c:v>
                </c:pt>
                <c:pt idx="403">
                  <c:v>16.332277347464387</c:v>
                </c:pt>
                <c:pt idx="404">
                  <c:v>16.342749608487516</c:v>
                </c:pt>
                <c:pt idx="405">
                  <c:v>16.350910607185774</c:v>
                </c:pt>
                <c:pt idx="406">
                  <c:v>16.356756875267489</c:v>
                </c:pt>
                <c:pt idx="407">
                  <c:v>16.36028592745393</c:v>
                </c:pt>
                <c:pt idx="408">
                  <c:v>16.361496263240095</c:v>
                </c:pt>
                <c:pt idx="409">
                  <c:v>16.360387367957966</c:v>
                </c:pt>
                <c:pt idx="410">
                  <c:v>16.35695971314124</c:v>
                </c:pt>
                <c:pt idx="411">
                  <c:v>16.351214756191187</c:v>
                </c:pt>
                <c:pt idx="412">
                  <c:v>16.343154939343883</c:v>
                </c:pt>
                <c:pt idx="413">
                  <c:v>16.332783687939951</c:v>
                </c:pt>
                <c:pt idx="414">
                  <c:v>16.320105407998444</c:v>
                </c:pt>
                <c:pt idx="415">
                  <c:v>16.305125483097303</c:v>
                </c:pt>
                <c:pt idx="416">
                  <c:v>16.287850270563499</c:v>
                </c:pt>
                <c:pt idx="417">
                  <c:v>16.268287096976625</c:v>
                </c:pt>
                <c:pt idx="418">
                  <c:v>16.24644425299034</c:v>
                </c:pt>
                <c:pt idx="419">
                  <c:v>16.222330987476884</c:v>
                </c:pt>
                <c:pt idx="420">
                  <c:v>16.195957501000372</c:v>
                </c:pt>
                <c:pt idx="421">
                  <c:v>16.167334938625356</c:v>
                </c:pt>
                <c:pt idx="422">
                  <c:v>16.136475382067736</c:v>
                </c:pt>
                <c:pt idx="423">
                  <c:v>16.103391841195755</c:v>
                </c:pt>
                <c:pt idx="424">
                  <c:v>16.068098244889491</c:v>
                </c:pt>
                <c:pt idx="425">
                  <c:v>16.030609431267745</c:v>
                </c:pt>
                <c:pt idx="426">
                  <c:v>15.99094113729204</c:v>
                </c:pt>
                <c:pt idx="427">
                  <c:v>15.949109987757824</c:v>
                </c:pt>
                <c:pt idx="428">
                  <c:v>15.905133483683727</c:v>
                </c:pt>
                <c:pt idx="429">
                  <c:v>15.859029990110173</c:v>
                </c:pt>
                <c:pt idx="430">
                  <c:v>15.810818723319313</c:v>
                </c:pt>
                <c:pt idx="431">
                  <c:v>15.760519737488666</c:v>
                </c:pt>
                <c:pt idx="432">
                  <c:v>15.708153910791467</c:v>
                </c:pt>
                <c:pt idx="433">
                  <c:v>15.653742930957232</c:v>
                </c:pt>
                <c:pt idx="434">
                  <c:v>15.597309280306483</c:v>
                </c:pt>
                <c:pt idx="435">
                  <c:v>15.538876220274084</c:v>
                </c:pt>
                <c:pt idx="436">
                  <c:v>15.478467775436123</c:v>
                </c:pt>
                <c:pt idx="437">
                  <c:v>15.41610871705568</c:v>
                </c:pt>
                <c:pt idx="438">
                  <c:v>15.351824546163229</c:v>
                </c:pt>
                <c:pt idx="439">
                  <c:v>15.285641476187877</c:v>
                </c:pt>
                <c:pt idx="440">
                  <c:v>15.217586415155946</c:v>
                </c:pt>
                <c:pt idx="441">
                  <c:v>15.147686947473879</c:v>
                </c:pt>
                <c:pt idx="442">
                  <c:v>15.075971315312623</c:v>
                </c:pt>
                <c:pt idx="443">
                  <c:v>15.002468399611162</c:v>
                </c:pt>
                <c:pt idx="444">
                  <c:v>14.927207700716973</c:v>
                </c:pt>
                <c:pt idx="445">
                  <c:v>14.85021931868163</c:v>
                </c:pt>
                <c:pt idx="446">
                  <c:v>14.771533933229881</c:v>
                </c:pt>
                <c:pt idx="447">
                  <c:v>14.691182783420892</c:v>
                </c:pt>
                <c:pt idx="448">
                  <c:v>14.609197647020435</c:v>
                </c:pt>
                <c:pt idx="449">
                  <c:v>14.525610819603106</c:v>
                </c:pt>
                <c:pt idx="450">
                  <c:v>14.440455093403708</c:v>
                </c:pt>
                <c:pt idx="451">
                  <c:v>14.353763735937196</c:v>
                </c:pt>
                <c:pt idx="452">
                  <c:v>14.265570468406562</c:v>
                </c:pt>
                <c:pt idx="453">
                  <c:v>14.175909443918286</c:v>
                </c:pt>
                <c:pt idx="454">
                  <c:v>14.084815225524926</c:v>
                </c:pt>
                <c:pt idx="455">
                  <c:v>13.992322764114547</c:v>
                </c:pt>
                <c:pt idx="456">
                  <c:v>13.89846737616668</c:v>
                </c:pt>
                <c:pt idx="457">
                  <c:v>13.803284721394563</c:v>
                </c:pt>
                <c:pt idx="458">
                  <c:v>13.706810780293296</c:v>
                </c:pt>
                <c:pt idx="459">
                  <c:v>13.609081831613617</c:v>
                </c:pt>
                <c:pt idx="460">
                  <c:v>13.510134429780917</c:v>
                </c:pt>
                <c:pt idx="461">
                  <c:v>13.410005382278936</c:v>
                </c:pt>
                <c:pt idx="462">
                  <c:v>13.308731727017641</c:v>
                </c:pt>
                <c:pt idx="463">
                  <c:v>13.206350709704516</c:v>
                </c:pt>
                <c:pt idx="464">
                  <c:v>13.102899761238449</c:v>
                </c:pt>
                <c:pt idx="465">
                  <c:v>12.998416475145175</c:v>
                </c:pt>
                <c:pt idx="466">
                  <c:v>12.892938585073077</c:v>
                </c:pt>
                <c:pt idx="467">
                  <c:v>12.786503942367938</c:v>
                </c:pt>
                <c:pt idx="468">
                  <c:v>12.679150493744999</c:v>
                </c:pt>
                <c:pt idx="469">
                  <c:v>12.57091625907646</c:v>
                </c:pt>
                <c:pt idx="470">
                  <c:v>12.461839309312273</c:v>
                </c:pt>
                <c:pt idx="471">
                  <c:v>12.351957744551781</c:v>
                </c:pt>
                <c:pt idx="472">
                  <c:v>12.241309672283544</c:v>
                </c:pt>
                <c:pt idx="473">
                  <c:v>12.129933185810257</c:v>
                </c:pt>
                <c:pt idx="474">
                  <c:v>12.017866342875422</c:v>
                </c:pt>
                <c:pt idx="475">
                  <c:v>11.905147144508062</c:v>
                </c:pt>
                <c:pt idx="476">
                  <c:v>11.791813514101383</c:v>
                </c:pt>
                <c:pt idx="477">
                  <c:v>11.67790327674097</c:v>
                </c:pt>
                <c:pt idx="478">
                  <c:v>11.563454138797631</c:v>
                </c:pt>
                <c:pt idx="479">
                  <c:v>11.448503667799649</c:v>
                </c:pt>
                <c:pt idx="480">
                  <c:v>11.333089272598825</c:v>
                </c:pt>
                <c:pt idx="481">
                  <c:v>11.217248183844129</c:v>
                </c:pt>
                <c:pt idx="482">
                  <c:v>11.101017434776523</c:v>
                </c:pt>
                <c:pt idx="483">
                  <c:v>10.984433842357875</c:v>
                </c:pt>
                <c:pt idx="484">
                  <c:v>10.867533988746592</c:v>
                </c:pt>
                <c:pt idx="485">
                  <c:v>10.750354203131996</c:v>
                </c:pt>
                <c:pt idx="486">
                  <c:v>10.63293054393908</c:v>
                </c:pt>
                <c:pt idx="487">
                  <c:v>10.515298781414723</c:v>
                </c:pt>
                <c:pt idx="488">
                  <c:v>10.397494380606005</c:v>
                </c:pt>
                <c:pt idx="489">
                  <c:v>10.27955248474073</c:v>
                </c:pt>
                <c:pt idx="490">
                  <c:v>10.161507899019746</c:v>
                </c:pt>
                <c:pt idx="491">
                  <c:v>10.043395074830183</c:v>
                </c:pt>
                <c:pt idx="492">
                  <c:v>9.9252480943881558</c:v>
                </c:pt>
                <c:pt idx="493">
                  <c:v>9.8071006558189939</c:v>
                </c:pt>
                <c:pt idx="494">
                  <c:v>9.6889860586825467</c:v>
                </c:pt>
                <c:pt idx="495">
                  <c:v>9.5709371899505307</c:v>
                </c:pt>
                <c:pt idx="496">
                  <c:v>9.45298651044242</c:v>
                </c:pt>
                <c:pt idx="497">
                  <c:v>9.3351660417258149</c:v>
                </c:pt>
                <c:pt idx="498">
                  <c:v>9.217507353486674</c:v>
                </c:pt>
                <c:pt idx="499">
                  <c:v>9.1000415513743711</c:v>
                </c:pt>
                <c:pt idx="500">
                  <c:v>8.9827992653258217</c:v>
                </c:pt>
                <c:pt idx="501">
                  <c:v>8.8658106383725972</c:v>
                </c:pt>
                <c:pt idx="502">
                  <c:v>8.7491053159343046</c:v>
                </c:pt>
                <c:pt idx="503">
                  <c:v>8.6327124356009826</c:v>
                </c:pt>
                <c:pt idx="504">
                  <c:v>8.5166606174068153</c:v>
                </c:pt>
                <c:pt idx="505">
                  <c:v>8.4009779545969003</c:v>
                </c:pt>
                <c:pt idx="506">
                  <c:v>8.2856920048883147</c:v>
                </c:pt>
                <c:pt idx="507">
                  <c:v>8.1708297822262015</c:v>
                </c:pt>
                <c:pt idx="508">
                  <c:v>8.0564177490351394</c:v>
                </c:pt>
                <c:pt idx="509">
                  <c:v>7.9424818089655194</c:v>
                </c:pt>
                <c:pt idx="510">
                  <c:v>7.8290473001342216</c:v>
                </c:pt>
                <c:pt idx="511">
                  <c:v>7.7161389888583418</c:v>
                </c:pt>
                <c:pt idx="512">
                  <c:v>7.6037810638803274</c:v>
                </c:pt>
                <c:pt idx="513">
                  <c:v>7.4919971310823357</c:v>
                </c:pt>
                <c:pt idx="514">
                  <c:v>7.3808102086872696</c:v>
                </c:pt>
                <c:pt idx="515">
                  <c:v>7.2702427229434194</c:v>
                </c:pt>
                <c:pt idx="516">
                  <c:v>7.1603165042892574</c:v>
                </c:pt>
                <c:pt idx="517">
                  <c:v>7.0510527839945016</c:v>
                </c:pt>
                <c:pt idx="518">
                  <c:v>6.9424721912731462</c:v>
                </c:pt>
                <c:pt idx="519">
                  <c:v>6.8345947508637472</c:v>
                </c:pt>
                <c:pt idx="520">
                  <c:v>6.7274398810719003</c:v>
                </c:pt>
                <c:pt idx="521">
                  <c:v>6.6210263922694192</c:v>
                </c:pt>
                <c:pt idx="522">
                  <c:v>6.5153724858444129</c:v>
                </c:pt>
                <c:pt idx="523">
                  <c:v>6.410495753596047</c:v>
                </c:pt>
                <c:pt idx="524">
                  <c:v>6.3064131775674968</c:v>
                </c:pt>
                <c:pt idx="525">
                  <c:v>6.2031411303102146</c:v>
                </c:pt>
                <c:pt idx="526">
                  <c:v>6.1006953755723723</c:v>
                </c:pt>
                <c:pt idx="527">
                  <c:v>5.9990910694039847</c:v>
                </c:pt>
                <c:pt idx="528">
                  <c:v>5.8983427616709845</c:v>
                </c:pt>
                <c:pt idx="529">
                  <c:v>5.7984643979701982</c:v>
                </c:pt>
                <c:pt idx="530">
                  <c:v>5.6994693219369417</c:v>
                </c:pt>
                <c:pt idx="531">
                  <c:v>5.6013702779366943</c:v>
                </c:pt>
                <c:pt idx="532">
                  <c:v>5.5041794141320848</c:v>
                </c:pt>
                <c:pt idx="533">
                  <c:v>5.4079082859161813</c:v>
                </c:pt>
                <c:pt idx="534">
                  <c:v>5.3125678597028996</c:v>
                </c:pt>
                <c:pt idx="535">
                  <c:v>5.2181685170651351</c:v>
                </c:pt>
                <c:pt idx="536">
                  <c:v>5.1247200592110502</c:v>
                </c:pt>
                <c:pt idx="537">
                  <c:v>5.0322317117887723</c:v>
                </c:pt>
                <c:pt idx="538">
                  <c:v>4.9407121300096373</c:v>
                </c:pt>
                <c:pt idx="539">
                  <c:v>4.8501694040799386</c:v>
                </c:pt>
                <c:pt idx="540">
                  <c:v>4.7606110649310436</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Data!$J$2:$J$1001</c:f>
              <c:numCache>
                <c:formatCode>0</c:formatCode>
                <c:ptCount val="1000"/>
                <c:pt idx="0">
                  <c:v>1.5885244097397708E-200</c:v>
                </c:pt>
                <c:pt idx="1">
                  <c:v>9.5132394656575622E-200</c:v>
                </c:pt>
                <c:pt idx="2">
                  <c:v>5.6774608338746882E-199</c:v>
                </c:pt>
                <c:pt idx="3">
                  <c:v>3.3765333750675072E-198</c:v>
                </c:pt>
                <c:pt idx="4">
                  <c:v>2.0011476288018696E-197</c:v>
                </c:pt>
                <c:pt idx="5">
                  <c:v>1.1818936309177468E-196</c:v>
                </c:pt>
                <c:pt idx="6">
                  <c:v>6.9561483893257053E-196</c:v>
                </c:pt>
                <c:pt idx="7">
                  <c:v>4.0799088944737381E-195</c:v>
                </c:pt>
                <c:pt idx="8">
                  <c:v>2.3846424711246965E-194</c:v>
                </c:pt>
                <c:pt idx="9">
                  <c:v>1.3889520905612605E-193</c:v>
                </c:pt>
                <c:pt idx="10">
                  <c:v>8.0619934105180787E-193</c:v>
                </c:pt>
                <c:pt idx="11">
                  <c:v>4.6632510189036256E-192</c:v>
                </c:pt>
                <c:pt idx="12">
                  <c:v>2.6879818419740939E-191</c:v>
                </c:pt>
                <c:pt idx="13">
                  <c:v>1.5440275647911593E-190</c:v>
                </c:pt>
                <c:pt idx="14">
                  <c:v>8.8384264024766765E-190</c:v>
                </c:pt>
                <c:pt idx="15">
                  <c:v>5.0418048577450145E-189</c:v>
                </c:pt>
                <c:pt idx="16">
                  <c:v>2.8660799217972919E-188</c:v>
                </c:pt>
                <c:pt idx="17">
                  <c:v>1.6236100949719449E-187</c:v>
                </c:pt>
                <c:pt idx="18">
                  <c:v>9.165715462582672E-187</c:v>
                </c:pt>
                <c:pt idx="19">
                  <c:v>5.1563475364674465E-186</c:v>
                </c:pt>
                <c:pt idx="20">
                  <c:v>2.8907409378828439E-185</c:v>
                </c:pt>
                <c:pt idx="21">
                  <c:v>1.6149807370987181E-184</c:v>
                </c:pt>
                <c:pt idx="22">
                  <c:v>8.9911802079102618E-184</c:v>
                </c:pt>
                <c:pt idx="23">
                  <c:v>4.9883537009253916E-183</c:v>
                </c:pt>
                <c:pt idx="24">
                  <c:v>2.7579663247948501E-182</c:v>
                </c:pt>
                <c:pt idx="25">
                  <c:v>1.519539032524598E-181</c:v>
                </c:pt>
                <c:pt idx="26">
                  <c:v>8.343071076381299E-181</c:v>
                </c:pt>
                <c:pt idx="27">
                  <c:v>4.5648993720382754E-180</c:v>
                </c:pt>
                <c:pt idx="28">
                  <c:v>2.489015810704221E-179</c:v>
                </c:pt>
                <c:pt idx="29">
                  <c:v>1.3524315204688939E-178</c:v>
                </c:pt>
                <c:pt idx="30">
                  <c:v>7.3230853316506971E-178</c:v>
                </c:pt>
                <c:pt idx="31">
                  <c:v>3.9515191162884424E-177</c:v>
                </c:pt>
                <c:pt idx="32">
                  <c:v>2.1248352460133698E-176</c:v>
                </c:pt>
                <c:pt idx="33">
                  <c:v>1.1386168800251076E-175</c:v>
                </c:pt>
                <c:pt idx="34">
                  <c:v>6.0802460757193086E-175</c:v>
                </c:pt>
                <c:pt idx="35">
                  <c:v>3.2356078183120386E-174</c:v>
                </c:pt>
                <c:pt idx="36">
                  <c:v>1.7158597153212601E-173</c:v>
                </c:pt>
                <c:pt idx="37">
                  <c:v>9.067735882267392E-173</c:v>
                </c:pt>
                <c:pt idx="38">
                  <c:v>4.7753711081187393E-172</c:v>
                </c:pt>
                <c:pt idx="39">
                  <c:v>2.5061471950371556E-171</c:v>
                </c:pt>
                <c:pt idx="40">
                  <c:v>1.3106816056892623E-170</c:v>
                </c:pt>
                <c:pt idx="41">
                  <c:v>6.8309171166069273E-170</c:v>
                </c:pt>
                <c:pt idx="42">
                  <c:v>3.5477418333938324E-169</c:v>
                </c:pt>
                <c:pt idx="43">
                  <c:v>1.8361839379834768E-168</c:v>
                </c:pt>
                <c:pt idx="44">
                  <c:v>9.4704701819992582E-168</c:v>
                </c:pt>
                <c:pt idx="45">
                  <c:v>4.8676358370386105E-167</c:v>
                </c:pt>
                <c:pt idx="46">
                  <c:v>2.4931924355696838E-166</c:v>
                </c:pt>
                <c:pt idx="47">
                  <c:v>1.2725788560533341E-165</c:v>
                </c:pt>
                <c:pt idx="48">
                  <c:v>6.4729877869210123E-165</c:v>
                </c:pt>
                <c:pt idx="49">
                  <c:v>3.2810742156647078E-164</c:v>
                </c:pt>
                <c:pt idx="50">
                  <c:v>1.6573662934210998E-163</c:v>
                </c:pt>
                <c:pt idx="51">
                  <c:v>8.3428057589997588E-163</c:v>
                </c:pt>
                <c:pt idx="52">
                  <c:v>4.1850142801544725E-162</c:v>
                </c:pt>
                <c:pt idx="53">
                  <c:v>2.0920542300819602E-161</c:v>
                </c:pt>
                <c:pt idx="54">
                  <c:v>1.0421737110139255E-160</c:v>
                </c:pt>
                <c:pt idx="55">
                  <c:v>5.1736669912492764E-160</c:v>
                </c:pt>
                <c:pt idx="56">
                  <c:v>2.5594580214476411E-159</c:v>
                </c:pt>
                <c:pt idx="57">
                  <c:v>1.2617947971101485E-158</c:v>
                </c:pt>
                <c:pt idx="58">
                  <c:v>6.1989857148708692E-158</c:v>
                </c:pt>
                <c:pt idx="59">
                  <c:v>3.0348953532020616E-157</c:v>
                </c:pt>
                <c:pt idx="60">
                  <c:v>1.4806690129699315E-156</c:v>
                </c:pt>
                <c:pt idx="61">
                  <c:v>7.1988551743757939E-156</c:v>
                </c:pt>
                <c:pt idx="62">
                  <c:v>3.4878682155860237E-155</c:v>
                </c:pt>
                <c:pt idx="63">
                  <c:v>1.684022462105659E-154</c:v>
                </c:pt>
                <c:pt idx="64">
                  <c:v>8.1026461727674375E-154</c:v>
                </c:pt>
                <c:pt idx="65">
                  <c:v>3.8850539220198748E-153</c:v>
                </c:pt>
                <c:pt idx="66">
                  <c:v>1.8563437885168273E-152</c:v>
                </c:pt>
                <c:pt idx="67">
                  <c:v>8.8391590656165935E-152</c:v>
                </c:pt>
                <c:pt idx="68">
                  <c:v>4.1942534591338984E-151</c:v>
                </c:pt>
                <c:pt idx="69">
                  <c:v>1.9833053129917771E-150</c:v>
                </c:pt>
                <c:pt idx="70">
                  <c:v>9.3457823152606976E-150</c:v>
                </c:pt>
                <c:pt idx="71">
                  <c:v>4.3886700289688877E-149</c:v>
                </c:pt>
                <c:pt idx="72">
                  <c:v>2.0537206896742829E-148</c:v>
                </c:pt>
                <c:pt idx="73">
                  <c:v>9.5772540920874017E-148</c:v>
                </c:pt>
                <c:pt idx="74">
                  <c:v>4.4507358835413387E-147</c:v>
                </c:pt>
                <c:pt idx="75">
                  <c:v>2.061170026092211E-146</c:v>
                </c:pt>
                <c:pt idx="76">
                  <c:v>9.512331905061594E-146</c:v>
                </c:pt>
                <c:pt idx="77">
                  <c:v>4.374731006335308E-145</c:v>
                </c:pt>
                <c:pt idx="78">
                  <c:v>2.0049654588690626E-144</c:v>
                </c:pt>
                <c:pt idx="79">
                  <c:v>9.1570085098621223E-144</c:v>
                </c:pt>
                <c:pt idx="80">
                  <c:v>4.1676527126812069E-143</c:v>
                </c:pt>
                <c:pt idx="81">
                  <c:v>1.8902559284918722E-142</c:v>
                </c:pt>
                <c:pt idx="82">
                  <c:v>8.5435994118643554E-142</c:v>
                </c:pt>
                <c:pt idx="83">
                  <c:v>3.8481529683140811E-141</c:v>
                </c:pt>
                <c:pt idx="84">
                  <c:v>1.7272490380663745E-140</c:v>
                </c:pt>
                <c:pt idx="85">
                  <c:v>7.7258945012851964E-140</c:v>
                </c:pt>
                <c:pt idx="86">
                  <c:v>3.4437670733164539E-139</c:v>
                </c:pt>
                <c:pt idx="87">
                  <c:v>1.529712963288552E-138</c:v>
                </c:pt>
                <c:pt idx="88">
                  <c:v>6.7713818743249727E-138</c:v>
                </c:pt>
                <c:pt idx="89">
                  <c:v>2.9870043024720686E-137</c:v>
                </c:pt>
                <c:pt idx="90">
                  <c:v>1.3130630234173102E-136</c:v>
                </c:pt>
                <c:pt idx="91">
                  <c:v>5.7521006509821322E-136</c:v>
                </c:pt>
                <c:pt idx="92">
                  <c:v>2.5110685220757103E-135</c:v>
                </c:pt>
                <c:pt idx="93">
                  <c:v>1.0924003557908821E-134</c:v>
                </c:pt>
                <c:pt idx="94">
                  <c:v>4.7358319572141191E-134</c:v>
                </c:pt>
                <c:pt idx="95">
                  <c:v>2.0459825086952647E-133</c:v>
                </c:pt>
                <c:pt idx="96">
                  <c:v>8.8084345397546217E-133</c:v>
                </c:pt>
                <c:pt idx="97">
                  <c:v>3.7790855870024257E-132</c:v>
                </c:pt>
                <c:pt idx="98">
                  <c:v>1.6157192754921421E-131</c:v>
                </c:pt>
                <c:pt idx="99">
                  <c:v>6.8839271611933683E-131</c:v>
                </c:pt>
                <c:pt idx="100">
                  <c:v>2.9227913176239569E-130</c:v>
                </c:pt>
                <c:pt idx="101">
                  <c:v>1.236660623401399E-129</c:v>
                </c:pt>
                <c:pt idx="102">
                  <c:v>5.2142810808123555E-129</c:v>
                </c:pt>
                <c:pt idx="103">
                  <c:v>2.1909351669020876E-128</c:v>
                </c:pt>
                <c:pt idx="104">
                  <c:v>9.1739379000239787E-128</c:v>
                </c:pt>
                <c:pt idx="105">
                  <c:v>3.8280116211267299E-127</c:v>
                </c:pt>
                <c:pt idx="106">
                  <c:v>1.5917757384279754E-126</c:v>
                </c:pt>
                <c:pt idx="107">
                  <c:v>6.5960159368139658E-126</c:v>
                </c:pt>
                <c:pt idx="108">
                  <c:v>2.7237841821672148E-125</c:v>
                </c:pt>
                <c:pt idx="109">
                  <c:v>1.1208690375291219E-124</c:v>
                </c:pt>
                <c:pt idx="110">
                  <c:v>4.596510256105009E-124</c:v>
                </c:pt>
                <c:pt idx="111">
                  <c:v>1.8784203143542871E-123</c:v>
                </c:pt>
                <c:pt idx="112">
                  <c:v>7.6497721714471803E-123</c:v>
                </c:pt>
                <c:pt idx="113">
                  <c:v>3.104526759458449E-122</c:v>
                </c:pt>
                <c:pt idx="114">
                  <c:v>1.2555485073041395E-121</c:v>
                </c:pt>
                <c:pt idx="115">
                  <c:v>5.0601427226195514E-121</c:v>
                </c:pt>
                <c:pt idx="116">
                  <c:v>2.0322784810422693E-120</c:v>
                </c:pt>
                <c:pt idx="117">
                  <c:v>8.1338255325186418E-120</c:v>
                </c:pt>
                <c:pt idx="118">
                  <c:v>3.2441256644260001E-119</c:v>
                </c:pt>
                <c:pt idx="119">
                  <c:v>1.2894118778649124E-118</c:v>
                </c:pt>
                <c:pt idx="120">
                  <c:v>5.107129217859234E-118</c:v>
                </c:pt>
                <c:pt idx="121">
                  <c:v>2.0158267681348055E-117</c:v>
                </c:pt>
                <c:pt idx="122">
                  <c:v>7.9290426039214658E-117</c:v>
                </c:pt>
                <c:pt idx="123">
                  <c:v>3.1079890265416393E-116</c:v>
                </c:pt>
                <c:pt idx="124">
                  <c:v>1.2140299028473182E-115</c:v>
                </c:pt>
                <c:pt idx="125">
                  <c:v>4.7257470633933757E-115</c:v>
                </c:pt>
                <c:pt idx="126">
                  <c:v>1.8331700117336872E-114</c:v>
                </c:pt>
                <c:pt idx="127">
                  <c:v>7.0864087146971732E-114</c:v>
                </c:pt>
                <c:pt idx="128">
                  <c:v>2.7298628715301852E-113</c:v>
                </c:pt>
                <c:pt idx="129">
                  <c:v>1.0479646866382958E-112</c:v>
                </c:pt>
                <c:pt idx="130">
                  <c:v>4.0090700708918058E-112</c:v>
                </c:pt>
                <c:pt idx="131">
                  <c:v>1.5283816940568705E-111</c:v>
                </c:pt>
                <c:pt idx="132">
                  <c:v>5.8064566716073705E-111</c:v>
                </c:pt>
                <c:pt idx="133">
                  <c:v>2.198273546773153E-110</c:v>
                </c:pt>
                <c:pt idx="134">
                  <c:v>8.2936071479678042E-110</c:v>
                </c:pt>
                <c:pt idx="135">
                  <c:v>3.1181454369561271E-109</c:v>
                </c:pt>
                <c:pt idx="136">
                  <c:v>1.1682625565466112E-108</c:v>
                </c:pt>
                <c:pt idx="137">
                  <c:v>4.3619002450786534E-108</c:v>
                </c:pt>
                <c:pt idx="138">
                  <c:v>1.6229389479944499E-107</c:v>
                </c:pt>
                <c:pt idx="139">
                  <c:v>6.0175515334325628E-107</c:v>
                </c:pt>
                <c:pt idx="140">
                  <c:v>2.2234564909608208E-106</c:v>
                </c:pt>
                <c:pt idx="141">
                  <c:v>8.1870724703515401E-106</c:v>
                </c:pt>
                <c:pt idx="142">
                  <c:v>3.0041375638252863E-105</c:v>
                </c:pt>
                <c:pt idx="143">
                  <c:v>1.0985053558757737E-104</c:v>
                </c:pt>
                <c:pt idx="144">
                  <c:v>4.0029090583981103E-104</c:v>
                </c:pt>
                <c:pt idx="145">
                  <c:v>1.4535850586915783E-103</c:v>
                </c:pt>
                <c:pt idx="146">
                  <c:v>5.2601285621370262E-103</c:v>
                </c:pt>
                <c:pt idx="147">
                  <c:v>1.8968956879128336E-102</c:v>
                </c:pt>
                <c:pt idx="148">
                  <c:v>6.816818354024006E-102</c:v>
                </c:pt>
                <c:pt idx="149">
                  <c:v>2.4412439265636525E-101</c:v>
                </c:pt>
                <c:pt idx="150">
                  <c:v>8.7122797466893667E-101</c:v>
                </c:pt>
                <c:pt idx="151">
                  <c:v>3.0984438474420687E-100</c:v>
                </c:pt>
                <c:pt idx="152">
                  <c:v>1.0981119805173608E-99</c:v>
                </c:pt>
                <c:pt idx="153">
                  <c:v>3.8782947425891493E-99</c:v>
                </c:pt>
                <c:pt idx="154">
                  <c:v>1.3649796450770832E-98</c:v>
                </c:pt>
                <c:pt idx="155">
                  <c:v>4.7874331270755125E-98</c:v>
                </c:pt>
                <c:pt idx="156">
                  <c:v>1.6732870423964641E-97</c:v>
                </c:pt>
                <c:pt idx="157">
                  <c:v>5.8281317018487161E-97</c:v>
                </c:pt>
                <c:pt idx="158">
                  <c:v>2.0229234478047787E-96</c:v>
                </c:pt>
                <c:pt idx="159">
                  <c:v>6.9971425443580103E-96</c:v>
                </c:pt>
                <c:pt idx="160">
                  <c:v>2.4118660051060575E-95</c:v>
                </c:pt>
                <c:pt idx="161">
                  <c:v>8.2847005026714299E-95</c:v>
                </c:pt>
                <c:pt idx="162">
                  <c:v>2.8359046952632655E-94</c:v>
                </c:pt>
                <c:pt idx="163">
                  <c:v>9.6738117567761916E-94</c:v>
                </c:pt>
                <c:pt idx="164">
                  <c:v>3.2884770445000832E-93</c:v>
                </c:pt>
                <c:pt idx="165">
                  <c:v>1.1139948391152055E-92</c:v>
                </c:pt>
                <c:pt idx="166">
                  <c:v>3.7606483466991686E-92</c:v>
                </c:pt>
                <c:pt idx="167">
                  <c:v>1.2651250442306026E-91</c:v>
                </c:pt>
                <c:pt idx="168">
                  <c:v>4.2412645541743813E-91</c:v>
                </c:pt>
                <c:pt idx="169">
                  <c:v>1.416930193312528E-90</c:v>
                </c:pt>
                <c:pt idx="170">
                  <c:v>4.7172916585149025E-90</c:v>
                </c:pt>
                <c:pt idx="171">
                  <c:v>1.5650498814438574E-89</c:v>
                </c:pt>
                <c:pt idx="172">
                  <c:v>5.1743383212789991E-89</c:v>
                </c:pt>
                <c:pt idx="173">
                  <c:v>1.7047968754227878E-88</c:v>
                </c:pt>
                <c:pt idx="174">
                  <c:v>5.5973394045050746E-88</c:v>
                </c:pt>
                <c:pt idx="175">
                  <c:v>1.8313941600766222E-87</c:v>
                </c:pt>
                <c:pt idx="176">
                  <c:v>5.9713591105188491E-87</c:v>
                </c:pt>
                <c:pt idx="177">
                  <c:v>1.9402412642864733E-86</c:v>
                </c:pt>
                <c:pt idx="178">
                  <c:v>6.2824561420244397E-86</c:v>
                </c:pt>
                <c:pt idx="179">
                  <c:v>2.027189630498379E-85</c:v>
                </c:pt>
                <c:pt idx="180">
                  <c:v>6.5185420059876542E-85</c:v>
                </c:pt>
                <c:pt idx="181">
                  <c:v>2.0888042518383943E-84</c:v>
                </c:pt>
                <c:pt idx="182">
                  <c:v>6.6701591922396848E-84</c:v>
                </c:pt>
                <c:pt idx="183">
                  <c:v>2.1225886477181727E-83</c:v>
                </c:pt>
                <c:pt idx="184">
                  <c:v>6.7311095235998619E-83</c:v>
                </c:pt>
                <c:pt idx="185">
                  <c:v>2.1271526591309278E-82</c:v>
                </c:pt>
                <c:pt idx="186">
                  <c:v>6.6988745175496027E-82</c:v>
                </c:pt>
                <c:pt idx="187">
                  <c:v>2.1023073483535957E-81</c:v>
                </c:pt>
                <c:pt idx="188">
                  <c:v>6.574788030192844E-81</c:v>
                </c:pt>
                <c:pt idx="189">
                  <c:v>2.0490779748366753E-80</c:v>
                </c:pt>
                <c:pt idx="190">
                  <c:v>6.3639446895584469E-80</c:v>
                </c:pt>
                <c:pt idx="191">
                  <c:v>1.9696338053803942E-79</c:v>
                </c:pt>
                <c:pt idx="192">
                  <c:v>6.074852878127199E-79</c:v>
                </c:pt>
                <c:pt idx="193">
                  <c:v>1.8671414551360105E-78</c:v>
                </c:pt>
                <c:pt idx="194">
                  <c:v>5.7188652047570067E-78</c:v>
                </c:pt>
                <c:pt idx="195">
                  <c:v>1.7455555767283274E-77</c:v>
                </c:pt>
                <c:pt idx="196">
                  <c:v>5.3094395846428198E-77</c:v>
                </c:pt>
                <c:pt idx="197">
                  <c:v>1.6093661695427854E-76</c:v>
                </c:pt>
                <c:pt idx="198">
                  <c:v>4.8612978848179961E-76</c:v>
                </c:pt>
                <c:pt idx="199">
                  <c:v>1.4633249660203957E-75</c:v>
                </c:pt>
                <c:pt idx="200">
                  <c:v>4.3895551745586372E-75</c:v>
                </c:pt>
                <c:pt idx="201">
                  <c:v>1.312173987846597E-74</c:v>
                </c:pt>
                <c:pt idx="202">
                  <c:v>3.9088906196228448E-74</c:v>
                </c:pt>
                <c:pt idx="203">
                  <c:v>1.1603975245132987E-73</c:v>
                </c:pt>
                <c:pt idx="204">
                  <c:v>3.4328217343593618E-73</c:v>
                </c:pt>
                <c:pt idx="205">
                  <c:v>1.0120148625209782E-72</c:v>
                </c:pt>
                <c:pt idx="206">
                  <c:v>2.9731287185108395E-72</c:v>
                </c:pt>
                <c:pt idx="207">
                  <c:v>8.7042571944004878E-72</c:v>
                </c:pt>
                <c:pt idx="208">
                  <c:v>2.539457215000187E-71</c:v>
                </c:pt>
                <c:pt idx="209">
                  <c:v>7.383142779462092E-71</c:v>
                </c:pt>
                <c:pt idx="210">
                  <c:v>2.1391085124205296E-70</c:v>
                </c:pt>
                <c:pt idx="211">
                  <c:v>6.1761174552608298E-70</c:v>
                </c:pt>
                <c:pt idx="212">
                  <c:v>1.7770083120699974E-69</c:v>
                </c:pt>
                <c:pt idx="213">
                  <c:v>5.0951216045476621E-69</c:v>
                </c:pt>
                <c:pt idx="214">
                  <c:v>1.4558305547661502E-68</c:v>
                </c:pt>
                <c:pt idx="215">
                  <c:v>4.145322162071373E-68</c:v>
                </c:pt>
                <c:pt idx="216">
                  <c:v>1.1762426654472001E-67</c:v>
                </c:pt>
                <c:pt idx="217">
                  <c:v>3.3260345047789927E-67</c:v>
                </c:pt>
                <c:pt idx="218">
                  <c:v>9.3723339380837731E-67</c:v>
                </c:pt>
                <c:pt idx="219">
                  <c:v>2.6318427674508757E-66</c:v>
                </c:pt>
                <c:pt idx="220">
                  <c:v>7.3648398514862022E-66</c:v>
                </c:pt>
                <c:pt idx="221">
                  <c:v>2.053798616816416E-65</c:v>
                </c:pt>
                <c:pt idx="222">
                  <c:v>5.7074693561151116E-65</c:v>
                </c:pt>
                <c:pt idx="223">
                  <c:v>1.5805946283405663E-64</c:v>
                </c:pt>
                <c:pt idx="224">
                  <c:v>4.3620294842840755E-64</c:v>
                </c:pt>
                <c:pt idx="225">
                  <c:v>1.1996315354070449E-63</c:v>
                </c:pt>
                <c:pt idx="226">
                  <c:v>3.2877465648466812E-63</c:v>
                </c:pt>
                <c:pt idx="227">
                  <c:v>8.9792481411657211E-63</c:v>
                </c:pt>
                <c:pt idx="228">
                  <c:v>2.4438401528143654E-62</c:v>
                </c:pt>
                <c:pt idx="229">
                  <c:v>6.6282182565521852E-62</c:v>
                </c:pt>
                <c:pt idx="230">
                  <c:v>1.7914800945259716E-61</c:v>
                </c:pt>
                <c:pt idx="231">
                  <c:v>4.8252337328313796E-61</c:v>
                </c:pt>
                <c:pt idx="232">
                  <c:v>1.2951375808757897E-60</c:v>
                </c:pt>
                <c:pt idx="233">
                  <c:v>3.4642134016463507E-60</c:v>
                </c:pt>
                <c:pt idx="234">
                  <c:v>9.2338869114495994E-60</c:v>
                </c:pt>
                <c:pt idx="235">
                  <c:v>2.4527633443333225E-59</c:v>
                </c:pt>
                <c:pt idx="236">
                  <c:v>6.4925891978348724E-59</c:v>
                </c:pt>
                <c:pt idx="237">
                  <c:v>1.7126609059144435E-58</c:v>
                </c:pt>
                <c:pt idx="238">
                  <c:v>4.5021092114522624E-58</c:v>
                </c:pt>
                <c:pt idx="239">
                  <c:v>1.1793748143590646E-57</c:v>
                </c:pt>
                <c:pt idx="240">
                  <c:v>3.0787814011810559E-57</c:v>
                </c:pt>
                <c:pt idx="241">
                  <c:v>8.0093457421149988E-57</c:v>
                </c:pt>
                <c:pt idx="242">
                  <c:v>2.0763779599824076E-56</c:v>
                </c:pt>
                <c:pt idx="243">
                  <c:v>5.3642246952306063E-56</c:v>
                </c:pt>
                <c:pt idx="244">
                  <c:v>1.3810159480878102E-55</c:v>
                </c:pt>
                <c:pt idx="245">
                  <c:v>3.5430853027151E-55</c:v>
                </c:pt>
                <c:pt idx="246">
                  <c:v>9.0584878242829989E-55</c:v>
                </c:pt>
                <c:pt idx="247">
                  <c:v>2.307921235925553E-54</c:v>
                </c:pt>
                <c:pt idx="248">
                  <c:v>5.8597278152306317E-54</c:v>
                </c:pt>
                <c:pt idx="249">
                  <c:v>1.4826037203393839E-53</c:v>
                </c:pt>
                <c:pt idx="250">
                  <c:v>3.7382118474083131E-53</c:v>
                </c:pt>
                <c:pt idx="251">
                  <c:v>9.392774919691514E-53</c:v>
                </c:pt>
                <c:pt idx="252">
                  <c:v>2.3518796977203847E-52</c:v>
                </c:pt>
                <c:pt idx="253">
                  <c:v>5.8685049163645821E-52</c:v>
                </c:pt>
                <c:pt idx="254">
                  <c:v>1.4592544428620788E-51</c:v>
                </c:pt>
                <c:pt idx="255">
                  <c:v>3.6159778176158224E-51</c:v>
                </c:pt>
                <c:pt idx="256">
                  <c:v>8.9291819537839414E-51</c:v>
                </c:pt>
                <c:pt idx="257">
                  <c:v>2.1972970365363581E-50</c:v>
                </c:pt>
                <c:pt idx="258">
                  <c:v>5.3883655269417546E-50</c:v>
                </c:pt>
                <c:pt idx="259">
                  <c:v>1.316789970069249E-49</c:v>
                </c:pt>
                <c:pt idx="260">
                  <c:v>3.2067651311860786E-49</c:v>
                </c:pt>
                <c:pt idx="261">
                  <c:v>7.782318078380545E-49</c:v>
                </c:pt>
                <c:pt idx="262">
                  <c:v>1.8820969192101168E-48</c:v>
                </c:pt>
                <c:pt idx="263">
                  <c:v>4.5359282082585861E-48</c:v>
                </c:pt>
                <c:pt idx="264">
                  <c:v>1.0893853797994417E-47</c:v>
                </c:pt>
                <c:pt idx="265">
                  <c:v>2.6072825297873148E-47</c:v>
                </c:pt>
                <c:pt idx="266">
                  <c:v>6.2185027207625456E-47</c:v>
                </c:pt>
                <c:pt idx="267">
                  <c:v>1.4780010568237153E-46</c:v>
                </c:pt>
                <c:pt idx="268">
                  <c:v>3.5006995794523658E-46</c:v>
                </c:pt>
                <c:pt idx="269">
                  <c:v>8.2627787143371336E-46</c:v>
                </c:pt>
                <c:pt idx="270">
                  <c:v>1.943518073325127E-45</c:v>
                </c:pt>
                <c:pt idx="271">
                  <c:v>4.5555647838913882E-45</c:v>
                </c:pt>
                <c:pt idx="272">
                  <c:v>1.064111293338737E-44</c:v>
                </c:pt>
                <c:pt idx="273">
                  <c:v>2.4769831915770014E-44</c:v>
                </c:pt>
                <c:pt idx="274">
                  <c:v>5.7457966081188102E-44</c:v>
                </c:pt>
                <c:pt idx="275">
                  <c:v>1.3282157308858609E-43</c:v>
                </c:pt>
                <c:pt idx="276">
                  <c:v>3.0596952506352798E-43</c:v>
                </c:pt>
                <c:pt idx="277">
                  <c:v>7.0239094974260767E-43</c:v>
                </c:pt>
                <c:pt idx="278">
                  <c:v>1.6068333007190416E-42</c:v>
                </c:pt>
                <c:pt idx="279">
                  <c:v>3.6631434162548702E-42</c:v>
                </c:pt>
                <c:pt idx="280">
                  <c:v>8.3220094087110014E-42</c:v>
                </c:pt>
                <c:pt idx="281">
                  <c:v>1.8840553815910503E-41</c:v>
                </c:pt>
                <c:pt idx="282">
                  <c:v>4.250600693854402E-41</c:v>
                </c:pt>
                <c:pt idx="283">
                  <c:v>9.5564839501674179E-41</c:v>
                </c:pt>
                <c:pt idx="284">
                  <c:v>2.1411009422912216E-40</c:v>
                </c:pt>
                <c:pt idx="285">
                  <c:v>4.7804340634131448E-40</c:v>
                </c:pt>
                <c:pt idx="286">
                  <c:v>1.063625409704922E-39</c:v>
                </c:pt>
                <c:pt idx="287">
                  <c:v>2.3583119814608462E-39</c:v>
                </c:pt>
                <c:pt idx="288">
                  <c:v>5.2108070591061656E-39</c:v>
                </c:pt>
                <c:pt idx="289">
                  <c:v>1.147360541337745E-38</c:v>
                </c:pt>
                <c:pt idx="290">
                  <c:v>2.5175958220263063E-38</c:v>
                </c:pt>
                <c:pt idx="291">
                  <c:v>5.5050756351904504E-38</c:v>
                </c:pt>
                <c:pt idx="292">
                  <c:v>1.1995870067524629E-37</c:v>
                </c:pt>
                <c:pt idx="293">
                  <c:v>2.6049020519312382E-37</c:v>
                </c:pt>
                <c:pt idx="294">
                  <c:v>5.6369245842839646E-37</c:v>
                </c:pt>
                <c:pt idx="295">
                  <c:v>1.2155819229285931E-36</c:v>
                </c:pt>
                <c:pt idx="296">
                  <c:v>2.6122661534888558E-36</c:v>
                </c:pt>
                <c:pt idx="297">
                  <c:v>5.5942490357526991E-36</c:v>
                </c:pt>
                <c:pt idx="298">
                  <c:v>1.1938708538886724E-35</c:v>
                </c:pt>
                <c:pt idx="299">
                  <c:v>2.5390080971290354E-35</c:v>
                </c:pt>
                <c:pt idx="300">
                  <c:v>5.3809877553807457E-35</c:v>
                </c:pt>
                <c:pt idx="301">
                  <c:v>1.1364520165222271E-34</c:v>
                </c:pt>
                <c:pt idx="302">
                  <c:v>2.3918359284584756E-34</c:v>
                </c:pt>
                <c:pt idx="303">
                  <c:v>5.0165234741943948E-34</c:v>
                </c:pt>
                <c:pt idx="304">
                  <c:v>1.0484929007529825E-33</c:v>
                </c:pt>
                <c:pt idx="305">
                  <c:v>2.1838324831005998E-33</c:v>
                </c:pt>
                <c:pt idx="306">
                  <c:v>4.5327767624024296E-33</c:v>
                </c:pt>
                <c:pt idx="307">
                  <c:v>9.3756313341328212E-33</c:v>
                </c:pt>
                <c:pt idx="308">
                  <c:v>1.9325373433501988E-32</c:v>
                </c:pt>
                <c:pt idx="309">
                  <c:v>3.9695972821111348E-32</c:v>
                </c:pt>
                <c:pt idx="310">
                  <c:v>8.1256139732306089E-32</c:v>
                </c:pt>
                <c:pt idx="311">
                  <c:v>1.6575136166315136E-31</c:v>
                </c:pt>
                <c:pt idx="312">
                  <c:v>3.3693738839696752E-31</c:v>
                </c:pt>
                <c:pt idx="313">
                  <c:v>6.8254688294514381E-31</c:v>
                </c:pt>
                <c:pt idx="314">
                  <c:v>1.3778658990802673E-30</c:v>
                </c:pt>
                <c:pt idx="315">
                  <c:v>2.7718683396671838E-30</c:v>
                </c:pt>
                <c:pt idx="316">
                  <c:v>5.556859624857407E-30</c:v>
                </c:pt>
                <c:pt idx="317">
                  <c:v>1.1101391937606284E-29</c:v>
                </c:pt>
                <c:pt idx="318">
                  <c:v>2.2101239332535286E-29</c:v>
                </c:pt>
                <c:pt idx="319">
                  <c:v>4.384771852282264E-29</c:v>
                </c:pt>
                <c:pt idx="320">
                  <c:v>8.6689910911855858E-29</c:v>
                </c:pt>
                <c:pt idx="321">
                  <c:v>1.7079741523930527E-28</c:v>
                </c:pt>
                <c:pt idx="322">
                  <c:v>3.3533988669568682E-28</c:v>
                </c:pt>
                <c:pt idx="323">
                  <c:v>6.5611552535726604E-28</c:v>
                </c:pt>
                <c:pt idx="324">
                  <c:v>1.2792829077272157E-27</c:v>
                </c:pt>
                <c:pt idx="325">
                  <c:v>2.4856733854863662E-27</c:v>
                </c:pt>
                <c:pt idx="326">
                  <c:v>4.8129650615414532E-27</c:v>
                </c:pt>
                <c:pt idx="327">
                  <c:v>9.2869378181324328E-27</c:v>
                </c:pt>
                <c:pt idx="328">
                  <c:v>1.7857618808291161E-26</c:v>
                </c:pt>
                <c:pt idx="329">
                  <c:v>3.4218876046970518E-26</c:v>
                </c:pt>
                <c:pt idx="330">
                  <c:v>6.534300679213089E-26</c:v>
                </c:pt>
                <c:pt idx="331">
                  <c:v>1.2434366703095278E-25</c:v>
                </c:pt>
                <c:pt idx="332">
                  <c:v>2.3579761555029888E-25</c:v>
                </c:pt>
                <c:pt idx="333">
                  <c:v>4.4560117668215547E-25</c:v>
                </c:pt>
                <c:pt idx="334">
                  <c:v>8.3915933627303311E-25</c:v>
                </c:pt>
                <c:pt idx="335">
                  <c:v>1.574830127252328E-24</c:v>
                </c:pt>
                <c:pt idx="336">
                  <c:v>2.9451958510710572E-24</c:v>
                </c:pt>
                <c:pt idx="337">
                  <c:v>5.4889064307792839E-24</c:v>
                </c:pt>
                <c:pt idx="338">
                  <c:v>1.0194094536052169E-23</c:v>
                </c:pt>
                <c:pt idx="339">
                  <c:v>1.8866992114610606E-23</c:v>
                </c:pt>
                <c:pt idx="340">
                  <c:v>3.479748537679947E-23</c:v>
                </c:pt>
                <c:pt idx="341">
                  <c:v>6.3956433267811288E-23</c:v>
                </c:pt>
                <c:pt idx="342">
                  <c:v>1.1714177293629478E-22</c:v>
                </c:pt>
                <c:pt idx="343">
                  <c:v>2.1381123963409465E-22</c:v>
                </c:pt>
                <c:pt idx="344">
                  <c:v>3.8890224667277646E-22</c:v>
                </c:pt>
                <c:pt idx="345">
                  <c:v>7.0492279499328972E-22</c:v>
                </c:pt>
                <c:pt idx="346">
                  <c:v>1.2733090882157291E-21</c:v>
                </c:pt>
                <c:pt idx="347">
                  <c:v>2.2920142059737654E-21</c:v>
                </c:pt>
                <c:pt idx="348">
                  <c:v>4.1114210318383329E-21</c:v>
                </c:pt>
                <c:pt idx="349">
                  <c:v>7.3494998123153244E-21</c:v>
                </c:pt>
                <c:pt idx="350">
                  <c:v>1.3092265233296487E-20</c:v>
                </c:pt>
                <c:pt idx="351">
                  <c:v>2.3241437647254538E-20</c:v>
                </c:pt>
                <c:pt idx="352">
                  <c:v>4.11151959453648E-20</c:v>
                </c:pt>
                <c:pt idx="353">
                  <c:v>7.2482459547764267E-20</c:v>
                </c:pt>
                <c:pt idx="354">
                  <c:v>1.2733701387783677E-19</c:v>
                </c:pt>
                <c:pt idx="355">
                  <c:v>2.2292952078409639E-19</c:v>
                </c:pt>
                <c:pt idx="356">
                  <c:v>3.8893021669095472E-19</c:v>
                </c:pt>
                <c:pt idx="357">
                  <c:v>6.7618723912682765E-19</c:v>
                </c:pt>
                <c:pt idx="358">
                  <c:v>1.1715300625373264E-18</c:v>
                </c:pt>
                <c:pt idx="359">
                  <c:v>2.0226981918492121E-18</c:v>
                </c:pt>
                <c:pt idx="360">
                  <c:v>3.4801656560516994E-18</c:v>
                </c:pt>
                <c:pt idx="361">
                  <c:v>5.96705346833759E-18</c:v>
                </c:pt>
                <c:pt idx="362">
                  <c:v>1.0195560916178337E-17</c:v>
                </c:pt>
                <c:pt idx="363">
                  <c:v>1.736015106756767E-17</c:v>
                </c:pt>
                <c:pt idx="364">
                  <c:v>2.9456901208811248E-17</c:v>
                </c:pt>
                <c:pt idx="365">
                  <c:v>4.9809455966806529E-17</c:v>
                </c:pt>
                <c:pt idx="366">
                  <c:v>8.3932028646096549E-17</c:v>
                </c:pt>
                <c:pt idx="367">
                  <c:v>1.4094018070168879E-16</c:v>
                </c:pt>
                <c:pt idx="368">
                  <c:v>2.3584849520961356E-16</c:v>
                </c:pt>
                <c:pt idx="369">
                  <c:v>3.932987600374864E-16</c:v>
                </c:pt>
                <c:pt idx="370">
                  <c:v>6.5358673097831239E-16</c:v>
                </c:pt>
                <c:pt idx="371">
                  <c:v>1.0823682840976407E-15</c:v>
                </c:pt>
                <c:pt idx="372">
                  <c:v>1.7862328461409478E-15</c:v>
                </c:pt>
                <c:pt idx="373">
                  <c:v>2.9375973395057498E-15</c:v>
                </c:pt>
                <c:pt idx="374">
                  <c:v>4.8143498130554333E-15</c:v>
                </c:pt>
                <c:pt idx="375">
                  <c:v>7.8627451965379375E-15</c:v>
                </c:pt>
                <c:pt idx="376">
                  <c:v>1.2796816507061541E-14</c:v>
                </c:pt>
                <c:pt idx="377">
                  <c:v>2.0754910514676927E-14</c:v>
                </c:pt>
                <c:pt idx="378">
                  <c:v>3.3545245122357511E-14</c:v>
                </c:pt>
                <c:pt idx="379">
                  <c:v>5.4029662667804925E-14</c:v>
                </c:pt>
                <c:pt idx="380">
                  <c:v>8.672108927612937E-14</c:v>
                </c:pt>
                <c:pt idx="381">
                  <c:v>1.3871019247484452E-13</c:v>
                </c:pt>
                <c:pt idx="382">
                  <c:v>2.2109718150811143E-13</c:v>
                </c:pt>
                <c:pt idx="383">
                  <c:v>3.51195724563368E-13</c:v>
                </c:pt>
                <c:pt idx="384">
                  <c:v>5.5591246982071494E-13</c:v>
                </c:pt>
                <c:pt idx="385">
                  <c:v>8.7690953735940291E-13</c:v>
                </c:pt>
                <c:pt idx="386">
                  <c:v>1.3784605862734678E-12</c:v>
                </c:pt>
                <c:pt idx="387">
                  <c:v>2.1593602096121755E-12</c:v>
                </c:pt>
                <c:pt idx="388">
                  <c:v>3.3709089149367557E-12</c:v>
                </c:pt>
                <c:pt idx="389">
                  <c:v>5.2439690857143079E-12</c:v>
                </c:pt>
                <c:pt idx="390">
                  <c:v>8.1295107517525411E-12</c:v>
                </c:pt>
                <c:pt idx="391">
                  <c:v>1.255913933489219E-11</c:v>
                </c:pt>
                <c:pt idx="392">
                  <c:v>1.9335104757590805E-11</c:v>
                </c:pt>
                <c:pt idx="393">
                  <c:v>2.9663634549176642E-11</c:v>
                </c:pt>
                <c:pt idx="394">
                  <c:v>4.5351679682523956E-11</c:v>
                </c:pt>
                <c:pt idx="395">
                  <c:v>6.9096106023212743E-11</c:v>
                </c:pt>
                <c:pt idx="396">
                  <c:v>1.0490711678597325E-10</c:v>
                </c:pt>
                <c:pt idx="397">
                  <c:v>1.5872579516266857E-10</c:v>
                </c:pt>
                <c:pt idx="398">
                  <c:v>2.3932124499362468E-10</c:v>
                </c:pt>
                <c:pt idx="399">
                  <c:v>3.5958881733296023E-10</c:v>
                </c:pt>
                <c:pt idx="400">
                  <c:v>5.3842136307433963E-10</c:v>
                </c:pt>
                <c:pt idx="401">
                  <c:v>8.0339582561006447E-10</c:v>
                </c:pt>
                <c:pt idx="402">
                  <c:v>1.1946152112284448E-9</c:v>
                </c:pt>
                <c:pt idx="403">
                  <c:v>1.7701810685663469E-9</c:v>
                </c:pt>
                <c:pt idx="404">
                  <c:v>2.6139575178332588E-9</c:v>
                </c:pt>
                <c:pt idx="405">
                  <c:v>3.846542544678979E-9</c:v>
                </c:pt>
                <c:pt idx="406">
                  <c:v>5.6407095456021685E-9</c:v>
                </c:pt>
                <c:pt idx="407">
                  <c:v>8.2430534575778722E-9</c:v>
                </c:pt>
                <c:pt idx="408">
                  <c:v>1.2004212566207304E-8</c:v>
                </c:pt>
                <c:pt idx="409">
                  <c:v>1.7420893262688362E-8</c:v>
                </c:pt>
                <c:pt idx="410">
                  <c:v>2.5194070739756667E-8</c:v>
                </c:pt>
                <c:pt idx="411">
                  <c:v>3.6309264432572509E-8</c:v>
                </c:pt>
                <c:pt idx="412">
                  <c:v>5.2146809153012014E-8</c:v>
                </c:pt>
                <c:pt idx="413">
                  <c:v>7.4632709623273664E-8</c:v>
                </c:pt>
                <c:pt idx="414">
                  <c:v>1.0644416550107858E-7</c:v>
                </c:pt>
                <c:pt idx="415">
                  <c:v>1.5128842286647497E-7</c:v>
                </c:pt>
                <c:pt idx="416">
                  <c:v>2.1427954295326408E-7</c:v>
                </c:pt>
                <c:pt idx="417">
                  <c:v>3.0244534815533126E-7</c:v>
                </c:pt>
                <c:pt idx="418">
                  <c:v>4.2540666387430912E-7</c:v>
                </c:pt>
                <c:pt idx="419">
                  <c:v>5.9628357995585397E-7</c:v>
                </c:pt>
                <c:pt idx="420">
                  <c:v>8.3289948505346518E-7</c:v>
                </c:pt>
                <c:pt idx="421">
                  <c:v>1.1593738988920248E-6</c:v>
                </c:pt>
                <c:pt idx="422">
                  <c:v>1.6082206191755233E-6</c:v>
                </c:pt>
                <c:pt idx="423">
                  <c:v>2.2230995714764461E-6</c:v>
                </c:pt>
                <c:pt idx="424">
                  <c:v>3.0624103638431524E-6</c:v>
                </c:pt>
                <c:pt idx="425">
                  <c:v>4.2039644864045684E-6</c:v>
                </c:pt>
                <c:pt idx="426">
                  <c:v>5.7510331803398111E-6</c:v>
                </c:pt>
                <c:pt idx="427">
                  <c:v>7.8401412978950469E-6</c:v>
                </c:pt>
                <c:pt idx="428">
                  <c:v>1.0651066302689513E-5</c:v>
                </c:pt>
                <c:pt idx="429">
                  <c:v>1.4419608474372695E-5</c:v>
                </c:pt>
                <c:pt idx="430">
                  <c:v>1.9453826156235072E-5</c:v>
                </c:pt>
                <c:pt idx="431">
                  <c:v>2.6154581462383461E-5</c:v>
                </c:pt>
                <c:pt idx="432">
                  <c:v>3.5041420288944698E-5</c:v>
                </c:pt>
                <c:pt idx="433">
                  <c:v>4.6785018801986864E-5</c:v>
                </c:pt>
                <c:pt idx="434">
                  <c:v>6.2247669724274386E-5</c:v>
                </c:pt>
                <c:pt idx="435">
                  <c:v>8.2533558329999385E-5</c:v>
                </c:pt>
                <c:pt idx="436">
                  <c:v>1.0905089217238622E-4</c:v>
                </c:pt>
                <c:pt idx="437">
                  <c:v>1.4358830150811236E-4</c:v>
                </c:pt>
                <c:pt idx="438">
                  <c:v>1.8840831931802608E-4</c:v>
                </c:pt>
                <c:pt idx="439">
                  <c:v>2.4636117942796978E-4</c:v>
                </c:pt>
                <c:pt idx="440">
                  <c:v>3.210226352456154E-4</c:v>
                </c:pt>
                <c:pt idx="441">
                  <c:v>4.1685999437410059E-4</c:v>
                </c:pt>
                <c:pt idx="442">
                  <c:v>5.3943107723298785E-4</c:v>
                </c:pt>
                <c:pt idx="443">
                  <c:v>6.9562132872742885E-4</c:v>
                </c:pt>
                <c:pt idx="444">
                  <c:v>8.9392482485014472E-4</c:v>
                </c:pt>
                <c:pt idx="445">
                  <c:v>1.1447754002239293E-3</c:v>
                </c:pt>
                <c:pt idx="446">
                  <c:v>1.4609345523282828E-3</c:v>
                </c:pt>
                <c:pt idx="447">
                  <c:v>1.8579431224549374E-3</c:v>
                </c:pt>
                <c:pt idx="448">
                  <c:v>2.3546439756539014E-3</c:v>
                </c:pt>
                <c:pt idx="449">
                  <c:v>2.9737829597904714E-3</c:v>
                </c:pt>
                <c:pt idx="450">
                  <c:v>3.7426952696735494E-3</c:v>
                </c:pt>
                <c:pt idx="451">
                  <c:v>4.694083923543829E-3</c:v>
                </c:pt>
                <c:pt idx="452">
                  <c:v>5.8668963196377216E-3</c:v>
                </c:pt>
                <c:pt idx="453">
                  <c:v>7.3073037211528061E-3</c:v>
                </c:pt>
                <c:pt idx="454">
                  <c:v>9.0697869591442326E-3</c:v>
                </c:pt>
                <c:pt idx="455">
                  <c:v>1.1218329586785125E-2</c:v>
                </c:pt>
                <c:pt idx="456">
                  <c:v>1.3827717111731508E-2</c:v>
                </c:pt>
                <c:pt idx="457">
                  <c:v>1.698493773076911E-2</c:v>
                </c:pt>
                <c:pt idx="458">
                  <c:v>2.0790676159129506E-2</c:v>
                </c:pt>
                <c:pt idx="459">
                  <c:v>2.5360887668724061E-2</c:v>
                </c:pt>
                <c:pt idx="460">
                  <c:v>3.0828434328743742E-2</c:v>
                </c:pt>
                <c:pt idx="461">
                  <c:v>3.7344759707838432E-2</c:v>
                </c:pt>
                <c:pt idx="462">
                  <c:v>4.5081572008804E-2</c:v>
                </c:pt>
                <c:pt idx="463">
                  <c:v>5.4232498858216592E-2</c:v>
                </c:pt>
                <c:pt idx="464">
                  <c:v>6.5014669896747521E-2</c:v>
                </c:pt>
                <c:pt idx="465">
                  <c:v>7.7670176083831297E-2</c:v>
                </c:pt>
                <c:pt idx="466">
                  <c:v>9.2467347458138574E-2</c:v>
                </c:pt>
                <c:pt idx="467">
                  <c:v>0.10970178424029393</c:v>
                </c:pt>
                <c:pt idx="468">
                  <c:v>0.12969706992388444</c:v>
                </c:pt>
                <c:pt idx="469">
                  <c:v>0.15280508970812878</c:v>
                </c:pt>
                <c:pt idx="470">
                  <c:v>0.1794058736425268</c:v>
                </c:pt>
                <c:pt idx="471">
                  <c:v>0.20990688156166326</c:v>
                </c:pt>
                <c:pt idx="472">
                  <c:v>0.24474164667550954</c:v>
                </c:pt>
                <c:pt idx="473">
                  <c:v>0.28436769692795127</c:v>
                </c:pt>
                <c:pt idx="474">
                  <c:v>0.32926367830006886</c:v>
                </c:pt>
                <c:pt idx="475">
                  <c:v>0.37992561242749479</c:v>
                </c:pt>
                <c:pt idx="476">
                  <c:v>0.43686223247154982</c:v>
                </c:pt>
                <c:pt idx="477">
                  <c:v>0.50058935629547996</c:v>
                </c:pt>
                <c:pt idx="478">
                  <c:v>0.57162327470816376</c:v>
                </c:pt>
                <c:pt idx="479">
                  <c:v>0.65047315478163281</c:v>
                </c:pt>
                <c:pt idx="480">
                  <c:v>0.73763248381780655</c:v>
                </c:pt>
                <c:pt idx="481">
                  <c:v>0.83356960807191927</c:v>
                </c:pt>
                <c:pt idx="482">
                  <c:v>0.9387174513108637</c:v>
                </c:pt>
                <c:pt idx="483">
                  <c:v>1.0534625310055736</c:v>
                </c:pt>
                <c:pt idx="484">
                  <c:v>1.178133423579887</c:v>
                </c:pt>
                <c:pt idx="485">
                  <c:v>1.3129888636699039</c:v>
                </c:pt>
                <c:pt idx="486">
                  <c:v>1.4582056946680029</c:v>
                </c:pt>
                <c:pt idx="487">
                  <c:v>1.6138669177182698</c:v>
                </c:pt>
                <c:pt idx="488">
                  <c:v>1.7799501125197259</c:v>
                </c:pt>
                <c:pt idx="489">
                  <c:v>1.9563165244897027</c:v>
                </c:pt>
                <c:pt idx="490">
                  <c:v>2.1427011277861916</c:v>
                </c:pt>
                <c:pt idx="491">
                  <c:v>2.3387039812181425</c:v>
                </c:pt>
                <c:pt idx="492">
                  <c:v>2.5437831931650257</c:v>
                </c:pt>
                <c:pt idx="493">
                  <c:v>2.7572498014612252</c:v>
                </c:pt>
                <c:pt idx="494">
                  <c:v>2.9782648542110008</c:v>
                </c:pt>
                <c:pt idx="495">
                  <c:v>3.2058389474211784</c:v>
                </c:pt>
                <c:pt idx="496">
                  <c:v>3.4388344352465614</c:v>
                </c:pt>
                <c:pt idx="497">
                  <c:v>3.6759704789798686</c:v>
                </c:pt>
                <c:pt idx="498">
                  <c:v>3.9158310425073495</c:v>
                </c:pt>
                <c:pt idx="499">
                  <c:v>4.1568758759966435</c:v>
                </c:pt>
                <c:pt idx="500">
                  <c:v>4.3974544576503174</c:v>
                </c:pt>
                <c:pt idx="501">
                  <c:v>4.6358227873395439</c:v>
                </c:pt>
                <c:pt idx="502">
                  <c:v>4.8701628479963608</c:v>
                </c:pt>
                <c:pt idx="503">
                  <c:v>5.0986044731679501</c:v>
                </c:pt>
                <c:pt idx="504">
                  <c:v>5.3192492846301187</c:v>
                </c:pt>
                <c:pt idx="505">
                  <c:v>5.5301962949666423</c:v>
                </c:pt>
                <c:pt idx="506">
                  <c:v>5.7295687090353171</c:v>
                </c:pt>
                <c:pt idx="507">
                  <c:v>5.9155414075916495</c:v>
                </c:pt>
                <c:pt idx="508">
                  <c:v>6.0863685581020928</c:v>
                </c:pt>
                <c:pt idx="509">
                  <c:v>6.2404107736773407</c:v>
                </c:pt>
                <c:pt idx="510">
                  <c:v>6.3761612323896868</c:v>
                </c:pt>
                <c:pt idx="511">
                  <c:v>6.4922701768082423</c:v>
                </c:pt>
                <c:pt idx="512">
                  <c:v>6.5875672376494938</c:v>
                </c:pt>
                <c:pt idx="513">
                  <c:v>6.6610810656855328</c:v>
                </c:pt>
                <c:pt idx="514">
                  <c:v>6.7120558115920481</c:v>
                </c:pt>
                <c:pt idx="515">
                  <c:v>6.7399640628132804</c:v>
                </c:pt>
                <c:pt idx="516">
                  <c:v>6.744515927823362</c:v>
                </c:pt>
                <c:pt idx="517">
                  <c:v>6.7256640489815709</c:v>
                </c:pt>
                <c:pt idx="518">
                  <c:v>6.6836044227651783</c:v>
                </c:pt>
                <c:pt idx="519">
                  <c:v>6.6187730075138873</c:v>
                </c:pt>
                <c:pt idx="520">
                  <c:v>6.5318382007881324</c:v>
                </c:pt>
                <c:pt idx="521">
                  <c:v>6.4236893678598648</c:v>
                </c:pt>
                <c:pt idx="522">
                  <c:v>6.2954216966459287</c:v>
                </c:pt>
                <c:pt idx="523">
                  <c:v>6.1483177397004827</c:v>
                </c:pt>
                <c:pt idx="524">
                  <c:v>5.9838260781633004</c:v>
                </c:pt>
                <c:pt idx="525">
                  <c:v>5.8035376036856654</c:v>
                </c:pt>
                <c:pt idx="526">
                  <c:v>5.6091599606812723</c:v>
                </c:pt>
                <c:pt idx="527">
                  <c:v>5.4024907216710005</c:v>
                </c:pt>
                <c:pt idx="528">
                  <c:v>5.1853898824709859</c:v>
                </c:pt>
                <c:pt idx="529">
                  <c:v>4.9597522615510972</c:v>
                </c:pt>
                <c:pt idx="530">
                  <c:v>4.727480369660185</c:v>
                </c:pt>
                <c:pt idx="531">
                  <c:v>4.4904582828869382</c:v>
                </c:pt>
                <c:pt idx="532">
                  <c:v>4.250527006269456</c:v>
                </c:pt>
                <c:pt idx="533">
                  <c:v>4.0094617578329563</c:v>
                </c:pt>
                <c:pt idx="534">
                  <c:v>3.7689515367663389</c:v>
                </c:pt>
                <c:pt idx="535">
                  <c:v>3.530581266784143</c:v>
                </c:pt>
                <c:pt idx="536">
                  <c:v>3.2958167290971421</c:v>
                </c:pt>
                <c:pt idx="537">
                  <c:v>3.0659924213663676</c:v>
                </c:pt>
                <c:pt idx="538">
                  <c:v>2.8423024019805796</c:v>
                </c:pt>
                <c:pt idx="539">
                  <c:v>2.6257941052347054</c:v>
                </c:pt>
                <c:pt idx="540">
                  <c:v>2.417365044503712</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General</c:formatCode>
                <c:ptCount val="1000"/>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pt idx="101">
                  <c:v>202</c:v>
                </c:pt>
                <c:pt idx="102">
                  <c:v>204</c:v>
                </c:pt>
                <c:pt idx="103">
                  <c:v>206</c:v>
                </c:pt>
                <c:pt idx="104">
                  <c:v>208</c:v>
                </c:pt>
                <c:pt idx="105">
                  <c:v>210</c:v>
                </c:pt>
                <c:pt idx="106">
                  <c:v>212</c:v>
                </c:pt>
                <c:pt idx="107">
                  <c:v>214</c:v>
                </c:pt>
                <c:pt idx="108">
                  <c:v>216</c:v>
                </c:pt>
                <c:pt idx="109">
                  <c:v>218</c:v>
                </c:pt>
                <c:pt idx="110">
                  <c:v>220</c:v>
                </c:pt>
                <c:pt idx="111">
                  <c:v>222</c:v>
                </c:pt>
                <c:pt idx="112">
                  <c:v>224</c:v>
                </c:pt>
                <c:pt idx="113">
                  <c:v>226</c:v>
                </c:pt>
                <c:pt idx="114">
                  <c:v>228</c:v>
                </c:pt>
                <c:pt idx="115">
                  <c:v>230</c:v>
                </c:pt>
                <c:pt idx="116">
                  <c:v>232</c:v>
                </c:pt>
                <c:pt idx="117">
                  <c:v>234</c:v>
                </c:pt>
                <c:pt idx="118">
                  <c:v>236</c:v>
                </c:pt>
                <c:pt idx="119">
                  <c:v>238</c:v>
                </c:pt>
                <c:pt idx="120">
                  <c:v>240</c:v>
                </c:pt>
                <c:pt idx="121">
                  <c:v>242</c:v>
                </c:pt>
                <c:pt idx="122">
                  <c:v>244</c:v>
                </c:pt>
                <c:pt idx="123">
                  <c:v>246</c:v>
                </c:pt>
                <c:pt idx="124">
                  <c:v>248</c:v>
                </c:pt>
                <c:pt idx="125">
                  <c:v>250</c:v>
                </c:pt>
                <c:pt idx="126">
                  <c:v>252</c:v>
                </c:pt>
                <c:pt idx="127">
                  <c:v>254</c:v>
                </c:pt>
                <c:pt idx="128">
                  <c:v>256</c:v>
                </c:pt>
                <c:pt idx="129">
                  <c:v>258</c:v>
                </c:pt>
                <c:pt idx="130">
                  <c:v>260</c:v>
                </c:pt>
                <c:pt idx="131">
                  <c:v>262</c:v>
                </c:pt>
                <c:pt idx="132">
                  <c:v>264</c:v>
                </c:pt>
                <c:pt idx="133">
                  <c:v>266</c:v>
                </c:pt>
                <c:pt idx="134">
                  <c:v>268</c:v>
                </c:pt>
                <c:pt idx="135">
                  <c:v>270</c:v>
                </c:pt>
                <c:pt idx="136">
                  <c:v>272</c:v>
                </c:pt>
                <c:pt idx="137">
                  <c:v>274</c:v>
                </c:pt>
                <c:pt idx="138">
                  <c:v>276</c:v>
                </c:pt>
                <c:pt idx="139">
                  <c:v>278</c:v>
                </c:pt>
                <c:pt idx="140">
                  <c:v>280</c:v>
                </c:pt>
                <c:pt idx="141">
                  <c:v>282</c:v>
                </c:pt>
                <c:pt idx="142">
                  <c:v>284</c:v>
                </c:pt>
                <c:pt idx="143">
                  <c:v>286</c:v>
                </c:pt>
                <c:pt idx="144">
                  <c:v>288</c:v>
                </c:pt>
                <c:pt idx="145">
                  <c:v>290</c:v>
                </c:pt>
                <c:pt idx="146">
                  <c:v>292</c:v>
                </c:pt>
                <c:pt idx="147">
                  <c:v>294</c:v>
                </c:pt>
                <c:pt idx="148">
                  <c:v>296</c:v>
                </c:pt>
                <c:pt idx="149">
                  <c:v>298</c:v>
                </c:pt>
                <c:pt idx="150">
                  <c:v>300</c:v>
                </c:pt>
                <c:pt idx="151">
                  <c:v>302</c:v>
                </c:pt>
                <c:pt idx="152">
                  <c:v>304</c:v>
                </c:pt>
                <c:pt idx="153">
                  <c:v>306</c:v>
                </c:pt>
                <c:pt idx="154">
                  <c:v>308</c:v>
                </c:pt>
                <c:pt idx="155">
                  <c:v>310</c:v>
                </c:pt>
                <c:pt idx="156">
                  <c:v>312</c:v>
                </c:pt>
                <c:pt idx="157">
                  <c:v>314</c:v>
                </c:pt>
                <c:pt idx="158">
                  <c:v>316</c:v>
                </c:pt>
                <c:pt idx="159">
                  <c:v>318</c:v>
                </c:pt>
                <c:pt idx="160">
                  <c:v>320</c:v>
                </c:pt>
                <c:pt idx="161">
                  <c:v>322</c:v>
                </c:pt>
                <c:pt idx="162">
                  <c:v>324</c:v>
                </c:pt>
                <c:pt idx="163">
                  <c:v>326</c:v>
                </c:pt>
                <c:pt idx="164">
                  <c:v>328</c:v>
                </c:pt>
                <c:pt idx="165">
                  <c:v>330</c:v>
                </c:pt>
                <c:pt idx="166">
                  <c:v>332</c:v>
                </c:pt>
                <c:pt idx="167">
                  <c:v>334</c:v>
                </c:pt>
                <c:pt idx="168">
                  <c:v>336</c:v>
                </c:pt>
                <c:pt idx="169">
                  <c:v>338</c:v>
                </c:pt>
                <c:pt idx="170">
                  <c:v>340</c:v>
                </c:pt>
                <c:pt idx="171">
                  <c:v>342</c:v>
                </c:pt>
                <c:pt idx="172">
                  <c:v>344</c:v>
                </c:pt>
                <c:pt idx="173">
                  <c:v>346</c:v>
                </c:pt>
                <c:pt idx="174">
                  <c:v>348</c:v>
                </c:pt>
                <c:pt idx="175">
                  <c:v>350</c:v>
                </c:pt>
                <c:pt idx="176">
                  <c:v>352</c:v>
                </c:pt>
                <c:pt idx="177">
                  <c:v>354</c:v>
                </c:pt>
                <c:pt idx="178">
                  <c:v>356</c:v>
                </c:pt>
                <c:pt idx="179">
                  <c:v>358</c:v>
                </c:pt>
                <c:pt idx="180">
                  <c:v>360</c:v>
                </c:pt>
                <c:pt idx="181">
                  <c:v>362</c:v>
                </c:pt>
                <c:pt idx="182">
                  <c:v>364</c:v>
                </c:pt>
                <c:pt idx="183">
                  <c:v>366</c:v>
                </c:pt>
                <c:pt idx="184">
                  <c:v>368</c:v>
                </c:pt>
                <c:pt idx="185">
                  <c:v>370</c:v>
                </c:pt>
                <c:pt idx="186">
                  <c:v>372</c:v>
                </c:pt>
                <c:pt idx="187">
                  <c:v>374</c:v>
                </c:pt>
                <c:pt idx="188">
                  <c:v>376</c:v>
                </c:pt>
                <c:pt idx="189">
                  <c:v>378</c:v>
                </c:pt>
                <c:pt idx="190">
                  <c:v>380</c:v>
                </c:pt>
                <c:pt idx="191">
                  <c:v>382</c:v>
                </c:pt>
                <c:pt idx="192">
                  <c:v>384</c:v>
                </c:pt>
                <c:pt idx="193">
                  <c:v>386</c:v>
                </c:pt>
                <c:pt idx="194">
                  <c:v>388</c:v>
                </c:pt>
                <c:pt idx="195">
                  <c:v>390</c:v>
                </c:pt>
                <c:pt idx="196">
                  <c:v>392</c:v>
                </c:pt>
                <c:pt idx="197">
                  <c:v>394</c:v>
                </c:pt>
                <c:pt idx="198">
                  <c:v>396</c:v>
                </c:pt>
                <c:pt idx="199">
                  <c:v>398</c:v>
                </c:pt>
                <c:pt idx="200">
                  <c:v>400</c:v>
                </c:pt>
                <c:pt idx="201">
                  <c:v>402</c:v>
                </c:pt>
                <c:pt idx="202">
                  <c:v>404</c:v>
                </c:pt>
                <c:pt idx="203">
                  <c:v>406</c:v>
                </c:pt>
                <c:pt idx="204">
                  <c:v>408</c:v>
                </c:pt>
                <c:pt idx="205">
                  <c:v>410</c:v>
                </c:pt>
                <c:pt idx="206">
                  <c:v>412</c:v>
                </c:pt>
                <c:pt idx="207">
                  <c:v>414</c:v>
                </c:pt>
                <c:pt idx="208">
                  <c:v>416</c:v>
                </c:pt>
                <c:pt idx="209">
                  <c:v>418</c:v>
                </c:pt>
                <c:pt idx="210">
                  <c:v>420</c:v>
                </c:pt>
                <c:pt idx="211">
                  <c:v>422</c:v>
                </c:pt>
                <c:pt idx="212">
                  <c:v>424</c:v>
                </c:pt>
                <c:pt idx="213">
                  <c:v>426</c:v>
                </c:pt>
                <c:pt idx="214">
                  <c:v>428</c:v>
                </c:pt>
                <c:pt idx="215">
                  <c:v>430</c:v>
                </c:pt>
                <c:pt idx="216">
                  <c:v>432</c:v>
                </c:pt>
                <c:pt idx="217">
                  <c:v>434</c:v>
                </c:pt>
                <c:pt idx="218">
                  <c:v>436</c:v>
                </c:pt>
                <c:pt idx="219">
                  <c:v>438</c:v>
                </c:pt>
                <c:pt idx="220">
                  <c:v>440</c:v>
                </c:pt>
                <c:pt idx="221">
                  <c:v>442</c:v>
                </c:pt>
                <c:pt idx="222">
                  <c:v>444</c:v>
                </c:pt>
                <c:pt idx="223">
                  <c:v>446</c:v>
                </c:pt>
                <c:pt idx="224">
                  <c:v>448</c:v>
                </c:pt>
                <c:pt idx="225">
                  <c:v>450</c:v>
                </c:pt>
                <c:pt idx="226">
                  <c:v>452</c:v>
                </c:pt>
                <c:pt idx="227">
                  <c:v>454</c:v>
                </c:pt>
                <c:pt idx="228">
                  <c:v>456</c:v>
                </c:pt>
                <c:pt idx="229">
                  <c:v>458</c:v>
                </c:pt>
                <c:pt idx="230">
                  <c:v>460</c:v>
                </c:pt>
                <c:pt idx="231">
                  <c:v>462</c:v>
                </c:pt>
                <c:pt idx="232">
                  <c:v>464</c:v>
                </c:pt>
                <c:pt idx="233">
                  <c:v>466</c:v>
                </c:pt>
                <c:pt idx="234">
                  <c:v>468</c:v>
                </c:pt>
                <c:pt idx="235">
                  <c:v>470</c:v>
                </c:pt>
                <c:pt idx="236">
                  <c:v>472</c:v>
                </c:pt>
                <c:pt idx="237">
                  <c:v>474</c:v>
                </c:pt>
                <c:pt idx="238">
                  <c:v>476</c:v>
                </c:pt>
                <c:pt idx="239">
                  <c:v>478</c:v>
                </c:pt>
                <c:pt idx="240">
                  <c:v>480</c:v>
                </c:pt>
                <c:pt idx="241">
                  <c:v>482</c:v>
                </c:pt>
                <c:pt idx="242">
                  <c:v>484</c:v>
                </c:pt>
                <c:pt idx="243">
                  <c:v>486</c:v>
                </c:pt>
                <c:pt idx="244">
                  <c:v>488</c:v>
                </c:pt>
                <c:pt idx="245">
                  <c:v>490</c:v>
                </c:pt>
                <c:pt idx="246">
                  <c:v>492</c:v>
                </c:pt>
                <c:pt idx="247">
                  <c:v>494</c:v>
                </c:pt>
                <c:pt idx="248">
                  <c:v>496</c:v>
                </c:pt>
                <c:pt idx="249">
                  <c:v>498</c:v>
                </c:pt>
                <c:pt idx="250">
                  <c:v>500</c:v>
                </c:pt>
                <c:pt idx="251">
                  <c:v>502</c:v>
                </c:pt>
                <c:pt idx="252">
                  <c:v>504</c:v>
                </c:pt>
                <c:pt idx="253">
                  <c:v>506</c:v>
                </c:pt>
                <c:pt idx="254">
                  <c:v>508</c:v>
                </c:pt>
                <c:pt idx="255">
                  <c:v>510</c:v>
                </c:pt>
                <c:pt idx="256">
                  <c:v>512</c:v>
                </c:pt>
                <c:pt idx="257">
                  <c:v>514</c:v>
                </c:pt>
                <c:pt idx="258">
                  <c:v>516</c:v>
                </c:pt>
                <c:pt idx="259">
                  <c:v>518</c:v>
                </c:pt>
                <c:pt idx="260">
                  <c:v>520</c:v>
                </c:pt>
                <c:pt idx="261">
                  <c:v>522</c:v>
                </c:pt>
                <c:pt idx="262">
                  <c:v>524</c:v>
                </c:pt>
                <c:pt idx="263">
                  <c:v>526</c:v>
                </c:pt>
                <c:pt idx="264">
                  <c:v>528</c:v>
                </c:pt>
                <c:pt idx="265">
                  <c:v>530</c:v>
                </c:pt>
                <c:pt idx="266">
                  <c:v>532</c:v>
                </c:pt>
                <c:pt idx="267">
                  <c:v>534</c:v>
                </c:pt>
                <c:pt idx="268">
                  <c:v>536</c:v>
                </c:pt>
                <c:pt idx="269">
                  <c:v>538</c:v>
                </c:pt>
                <c:pt idx="270">
                  <c:v>540</c:v>
                </c:pt>
                <c:pt idx="271">
                  <c:v>542</c:v>
                </c:pt>
                <c:pt idx="272">
                  <c:v>544</c:v>
                </c:pt>
                <c:pt idx="273">
                  <c:v>546</c:v>
                </c:pt>
                <c:pt idx="274">
                  <c:v>548</c:v>
                </c:pt>
                <c:pt idx="275">
                  <c:v>550</c:v>
                </c:pt>
                <c:pt idx="276">
                  <c:v>552</c:v>
                </c:pt>
                <c:pt idx="277">
                  <c:v>554</c:v>
                </c:pt>
                <c:pt idx="278">
                  <c:v>556</c:v>
                </c:pt>
                <c:pt idx="279">
                  <c:v>558</c:v>
                </c:pt>
                <c:pt idx="280">
                  <c:v>560</c:v>
                </c:pt>
                <c:pt idx="281">
                  <c:v>562</c:v>
                </c:pt>
                <c:pt idx="282">
                  <c:v>564</c:v>
                </c:pt>
                <c:pt idx="283">
                  <c:v>566</c:v>
                </c:pt>
                <c:pt idx="284">
                  <c:v>568</c:v>
                </c:pt>
                <c:pt idx="285">
                  <c:v>570</c:v>
                </c:pt>
                <c:pt idx="286">
                  <c:v>572</c:v>
                </c:pt>
                <c:pt idx="287">
                  <c:v>574</c:v>
                </c:pt>
                <c:pt idx="288">
                  <c:v>576</c:v>
                </c:pt>
                <c:pt idx="289">
                  <c:v>578</c:v>
                </c:pt>
                <c:pt idx="290">
                  <c:v>580</c:v>
                </c:pt>
                <c:pt idx="291">
                  <c:v>582</c:v>
                </c:pt>
                <c:pt idx="292">
                  <c:v>584</c:v>
                </c:pt>
                <c:pt idx="293">
                  <c:v>586</c:v>
                </c:pt>
                <c:pt idx="294">
                  <c:v>588</c:v>
                </c:pt>
                <c:pt idx="295">
                  <c:v>590</c:v>
                </c:pt>
                <c:pt idx="296">
                  <c:v>592</c:v>
                </c:pt>
                <c:pt idx="297">
                  <c:v>594</c:v>
                </c:pt>
                <c:pt idx="298">
                  <c:v>596</c:v>
                </c:pt>
                <c:pt idx="299">
                  <c:v>598</c:v>
                </c:pt>
                <c:pt idx="300">
                  <c:v>600</c:v>
                </c:pt>
                <c:pt idx="301">
                  <c:v>602</c:v>
                </c:pt>
                <c:pt idx="302">
                  <c:v>604</c:v>
                </c:pt>
                <c:pt idx="303">
                  <c:v>606</c:v>
                </c:pt>
                <c:pt idx="304">
                  <c:v>608</c:v>
                </c:pt>
                <c:pt idx="305">
                  <c:v>610</c:v>
                </c:pt>
                <c:pt idx="306">
                  <c:v>612</c:v>
                </c:pt>
                <c:pt idx="307">
                  <c:v>614</c:v>
                </c:pt>
                <c:pt idx="308">
                  <c:v>616</c:v>
                </c:pt>
                <c:pt idx="309">
                  <c:v>618</c:v>
                </c:pt>
                <c:pt idx="310">
                  <c:v>620</c:v>
                </c:pt>
                <c:pt idx="311">
                  <c:v>622</c:v>
                </c:pt>
                <c:pt idx="312">
                  <c:v>624</c:v>
                </c:pt>
                <c:pt idx="313">
                  <c:v>626</c:v>
                </c:pt>
                <c:pt idx="314">
                  <c:v>628</c:v>
                </c:pt>
                <c:pt idx="315">
                  <c:v>630</c:v>
                </c:pt>
                <c:pt idx="316">
                  <c:v>632</c:v>
                </c:pt>
                <c:pt idx="317">
                  <c:v>634</c:v>
                </c:pt>
                <c:pt idx="318">
                  <c:v>636</c:v>
                </c:pt>
                <c:pt idx="319">
                  <c:v>638</c:v>
                </c:pt>
                <c:pt idx="320">
                  <c:v>640</c:v>
                </c:pt>
                <c:pt idx="321">
                  <c:v>642</c:v>
                </c:pt>
                <c:pt idx="322">
                  <c:v>644</c:v>
                </c:pt>
                <c:pt idx="323">
                  <c:v>646</c:v>
                </c:pt>
                <c:pt idx="324">
                  <c:v>648</c:v>
                </c:pt>
                <c:pt idx="325">
                  <c:v>650</c:v>
                </c:pt>
                <c:pt idx="326">
                  <c:v>652</c:v>
                </c:pt>
                <c:pt idx="327">
                  <c:v>654</c:v>
                </c:pt>
                <c:pt idx="328">
                  <c:v>656</c:v>
                </c:pt>
                <c:pt idx="329">
                  <c:v>658</c:v>
                </c:pt>
                <c:pt idx="330">
                  <c:v>660</c:v>
                </c:pt>
                <c:pt idx="331">
                  <c:v>662</c:v>
                </c:pt>
                <c:pt idx="332">
                  <c:v>664</c:v>
                </c:pt>
                <c:pt idx="333">
                  <c:v>666</c:v>
                </c:pt>
                <c:pt idx="334">
                  <c:v>668</c:v>
                </c:pt>
                <c:pt idx="335">
                  <c:v>670</c:v>
                </c:pt>
                <c:pt idx="336">
                  <c:v>672</c:v>
                </c:pt>
                <c:pt idx="337">
                  <c:v>674</c:v>
                </c:pt>
                <c:pt idx="338">
                  <c:v>676</c:v>
                </c:pt>
                <c:pt idx="339">
                  <c:v>678</c:v>
                </c:pt>
                <c:pt idx="340">
                  <c:v>680</c:v>
                </c:pt>
                <c:pt idx="341">
                  <c:v>682</c:v>
                </c:pt>
                <c:pt idx="342">
                  <c:v>684</c:v>
                </c:pt>
                <c:pt idx="343">
                  <c:v>686</c:v>
                </c:pt>
                <c:pt idx="344">
                  <c:v>688</c:v>
                </c:pt>
                <c:pt idx="345">
                  <c:v>690</c:v>
                </c:pt>
                <c:pt idx="346">
                  <c:v>692</c:v>
                </c:pt>
                <c:pt idx="347">
                  <c:v>694</c:v>
                </c:pt>
                <c:pt idx="348">
                  <c:v>696</c:v>
                </c:pt>
                <c:pt idx="349">
                  <c:v>698</c:v>
                </c:pt>
                <c:pt idx="350">
                  <c:v>700</c:v>
                </c:pt>
                <c:pt idx="351">
                  <c:v>702</c:v>
                </c:pt>
                <c:pt idx="352">
                  <c:v>704</c:v>
                </c:pt>
                <c:pt idx="353">
                  <c:v>706</c:v>
                </c:pt>
                <c:pt idx="354">
                  <c:v>708</c:v>
                </c:pt>
                <c:pt idx="355">
                  <c:v>710</c:v>
                </c:pt>
                <c:pt idx="356">
                  <c:v>712</c:v>
                </c:pt>
                <c:pt idx="357">
                  <c:v>714</c:v>
                </c:pt>
                <c:pt idx="358">
                  <c:v>716</c:v>
                </c:pt>
                <c:pt idx="359">
                  <c:v>718</c:v>
                </c:pt>
                <c:pt idx="360">
                  <c:v>720</c:v>
                </c:pt>
                <c:pt idx="361">
                  <c:v>722</c:v>
                </c:pt>
                <c:pt idx="362">
                  <c:v>724</c:v>
                </c:pt>
                <c:pt idx="363">
                  <c:v>726</c:v>
                </c:pt>
                <c:pt idx="364">
                  <c:v>728</c:v>
                </c:pt>
                <c:pt idx="365">
                  <c:v>730</c:v>
                </c:pt>
                <c:pt idx="366">
                  <c:v>732</c:v>
                </c:pt>
                <c:pt idx="367">
                  <c:v>734</c:v>
                </c:pt>
                <c:pt idx="368">
                  <c:v>736</c:v>
                </c:pt>
                <c:pt idx="369">
                  <c:v>738</c:v>
                </c:pt>
                <c:pt idx="370">
                  <c:v>740</c:v>
                </c:pt>
                <c:pt idx="371">
                  <c:v>742</c:v>
                </c:pt>
                <c:pt idx="372">
                  <c:v>744</c:v>
                </c:pt>
                <c:pt idx="373">
                  <c:v>746</c:v>
                </c:pt>
                <c:pt idx="374">
                  <c:v>748</c:v>
                </c:pt>
                <c:pt idx="375">
                  <c:v>750</c:v>
                </c:pt>
                <c:pt idx="376">
                  <c:v>752</c:v>
                </c:pt>
                <c:pt idx="377">
                  <c:v>754</c:v>
                </c:pt>
                <c:pt idx="378">
                  <c:v>756</c:v>
                </c:pt>
                <c:pt idx="379">
                  <c:v>758</c:v>
                </c:pt>
                <c:pt idx="380">
                  <c:v>760</c:v>
                </c:pt>
                <c:pt idx="381">
                  <c:v>762</c:v>
                </c:pt>
                <c:pt idx="382">
                  <c:v>764</c:v>
                </c:pt>
                <c:pt idx="383">
                  <c:v>766</c:v>
                </c:pt>
                <c:pt idx="384">
                  <c:v>768</c:v>
                </c:pt>
                <c:pt idx="385">
                  <c:v>770</c:v>
                </c:pt>
                <c:pt idx="386">
                  <c:v>772</c:v>
                </c:pt>
                <c:pt idx="387">
                  <c:v>774</c:v>
                </c:pt>
                <c:pt idx="388">
                  <c:v>776</c:v>
                </c:pt>
                <c:pt idx="389">
                  <c:v>778</c:v>
                </c:pt>
                <c:pt idx="390">
                  <c:v>780</c:v>
                </c:pt>
                <c:pt idx="391">
                  <c:v>782</c:v>
                </c:pt>
                <c:pt idx="392">
                  <c:v>784</c:v>
                </c:pt>
                <c:pt idx="393">
                  <c:v>786</c:v>
                </c:pt>
                <c:pt idx="394">
                  <c:v>788</c:v>
                </c:pt>
                <c:pt idx="395">
                  <c:v>790</c:v>
                </c:pt>
                <c:pt idx="396">
                  <c:v>792</c:v>
                </c:pt>
                <c:pt idx="397">
                  <c:v>794</c:v>
                </c:pt>
                <c:pt idx="398">
                  <c:v>796</c:v>
                </c:pt>
                <c:pt idx="399">
                  <c:v>798</c:v>
                </c:pt>
                <c:pt idx="400">
                  <c:v>800</c:v>
                </c:pt>
                <c:pt idx="401">
                  <c:v>802</c:v>
                </c:pt>
                <c:pt idx="402">
                  <c:v>804</c:v>
                </c:pt>
                <c:pt idx="403">
                  <c:v>806</c:v>
                </c:pt>
                <c:pt idx="404">
                  <c:v>808</c:v>
                </c:pt>
                <c:pt idx="405">
                  <c:v>810</c:v>
                </c:pt>
                <c:pt idx="406">
                  <c:v>812</c:v>
                </c:pt>
                <c:pt idx="407">
                  <c:v>814</c:v>
                </c:pt>
                <c:pt idx="408">
                  <c:v>816</c:v>
                </c:pt>
                <c:pt idx="409">
                  <c:v>818</c:v>
                </c:pt>
                <c:pt idx="410">
                  <c:v>820</c:v>
                </c:pt>
                <c:pt idx="411">
                  <c:v>822</c:v>
                </c:pt>
                <c:pt idx="412">
                  <c:v>824</c:v>
                </c:pt>
                <c:pt idx="413">
                  <c:v>826</c:v>
                </c:pt>
                <c:pt idx="414">
                  <c:v>828</c:v>
                </c:pt>
                <c:pt idx="415">
                  <c:v>830</c:v>
                </c:pt>
                <c:pt idx="416">
                  <c:v>832</c:v>
                </c:pt>
                <c:pt idx="417">
                  <c:v>834</c:v>
                </c:pt>
                <c:pt idx="418">
                  <c:v>836</c:v>
                </c:pt>
                <c:pt idx="419">
                  <c:v>838</c:v>
                </c:pt>
                <c:pt idx="420">
                  <c:v>840</c:v>
                </c:pt>
                <c:pt idx="421">
                  <c:v>842</c:v>
                </c:pt>
                <c:pt idx="422">
                  <c:v>844</c:v>
                </c:pt>
                <c:pt idx="423">
                  <c:v>846</c:v>
                </c:pt>
                <c:pt idx="424">
                  <c:v>848</c:v>
                </c:pt>
                <c:pt idx="425">
                  <c:v>850</c:v>
                </c:pt>
                <c:pt idx="426">
                  <c:v>852</c:v>
                </c:pt>
                <c:pt idx="427">
                  <c:v>854</c:v>
                </c:pt>
                <c:pt idx="428">
                  <c:v>856</c:v>
                </c:pt>
                <c:pt idx="429">
                  <c:v>858</c:v>
                </c:pt>
                <c:pt idx="430">
                  <c:v>860</c:v>
                </c:pt>
                <c:pt idx="431">
                  <c:v>862</c:v>
                </c:pt>
                <c:pt idx="432">
                  <c:v>864</c:v>
                </c:pt>
                <c:pt idx="433">
                  <c:v>866</c:v>
                </c:pt>
                <c:pt idx="434">
                  <c:v>868</c:v>
                </c:pt>
                <c:pt idx="435">
                  <c:v>870</c:v>
                </c:pt>
                <c:pt idx="436">
                  <c:v>872</c:v>
                </c:pt>
                <c:pt idx="437">
                  <c:v>874</c:v>
                </c:pt>
                <c:pt idx="438">
                  <c:v>876</c:v>
                </c:pt>
                <c:pt idx="439">
                  <c:v>878</c:v>
                </c:pt>
                <c:pt idx="440">
                  <c:v>880</c:v>
                </c:pt>
                <c:pt idx="441">
                  <c:v>882</c:v>
                </c:pt>
                <c:pt idx="442">
                  <c:v>884</c:v>
                </c:pt>
                <c:pt idx="443">
                  <c:v>886</c:v>
                </c:pt>
                <c:pt idx="444">
                  <c:v>888</c:v>
                </c:pt>
                <c:pt idx="445">
                  <c:v>890</c:v>
                </c:pt>
                <c:pt idx="446">
                  <c:v>892</c:v>
                </c:pt>
                <c:pt idx="447">
                  <c:v>894</c:v>
                </c:pt>
                <c:pt idx="448">
                  <c:v>896</c:v>
                </c:pt>
                <c:pt idx="449">
                  <c:v>898</c:v>
                </c:pt>
                <c:pt idx="450">
                  <c:v>900</c:v>
                </c:pt>
                <c:pt idx="451">
                  <c:v>902</c:v>
                </c:pt>
                <c:pt idx="452">
                  <c:v>904</c:v>
                </c:pt>
                <c:pt idx="453">
                  <c:v>906</c:v>
                </c:pt>
                <c:pt idx="454">
                  <c:v>908</c:v>
                </c:pt>
                <c:pt idx="455">
                  <c:v>910</c:v>
                </c:pt>
                <c:pt idx="456">
                  <c:v>912</c:v>
                </c:pt>
                <c:pt idx="457">
                  <c:v>914</c:v>
                </c:pt>
                <c:pt idx="458">
                  <c:v>916</c:v>
                </c:pt>
                <c:pt idx="459">
                  <c:v>918</c:v>
                </c:pt>
                <c:pt idx="460">
                  <c:v>920</c:v>
                </c:pt>
                <c:pt idx="461">
                  <c:v>922</c:v>
                </c:pt>
                <c:pt idx="462">
                  <c:v>924</c:v>
                </c:pt>
                <c:pt idx="463">
                  <c:v>926</c:v>
                </c:pt>
                <c:pt idx="464">
                  <c:v>928</c:v>
                </c:pt>
                <c:pt idx="465">
                  <c:v>930</c:v>
                </c:pt>
                <c:pt idx="466">
                  <c:v>932</c:v>
                </c:pt>
                <c:pt idx="467">
                  <c:v>934</c:v>
                </c:pt>
                <c:pt idx="468">
                  <c:v>936</c:v>
                </c:pt>
                <c:pt idx="469">
                  <c:v>938</c:v>
                </c:pt>
                <c:pt idx="470">
                  <c:v>940</c:v>
                </c:pt>
                <c:pt idx="471">
                  <c:v>942</c:v>
                </c:pt>
                <c:pt idx="472">
                  <c:v>944</c:v>
                </c:pt>
                <c:pt idx="473">
                  <c:v>946</c:v>
                </c:pt>
                <c:pt idx="474">
                  <c:v>948</c:v>
                </c:pt>
                <c:pt idx="475">
                  <c:v>950</c:v>
                </c:pt>
                <c:pt idx="476">
                  <c:v>952</c:v>
                </c:pt>
                <c:pt idx="477">
                  <c:v>954</c:v>
                </c:pt>
                <c:pt idx="478">
                  <c:v>956</c:v>
                </c:pt>
                <c:pt idx="479">
                  <c:v>958</c:v>
                </c:pt>
                <c:pt idx="480">
                  <c:v>960</c:v>
                </c:pt>
                <c:pt idx="481">
                  <c:v>962</c:v>
                </c:pt>
                <c:pt idx="482">
                  <c:v>964</c:v>
                </c:pt>
                <c:pt idx="483">
                  <c:v>966</c:v>
                </c:pt>
                <c:pt idx="484">
                  <c:v>968</c:v>
                </c:pt>
                <c:pt idx="485">
                  <c:v>970</c:v>
                </c:pt>
                <c:pt idx="486">
                  <c:v>972</c:v>
                </c:pt>
                <c:pt idx="487">
                  <c:v>974</c:v>
                </c:pt>
                <c:pt idx="488">
                  <c:v>976</c:v>
                </c:pt>
                <c:pt idx="489">
                  <c:v>978</c:v>
                </c:pt>
                <c:pt idx="490">
                  <c:v>980</c:v>
                </c:pt>
                <c:pt idx="491">
                  <c:v>982</c:v>
                </c:pt>
                <c:pt idx="492">
                  <c:v>984</c:v>
                </c:pt>
                <c:pt idx="493">
                  <c:v>986</c:v>
                </c:pt>
                <c:pt idx="494">
                  <c:v>988</c:v>
                </c:pt>
                <c:pt idx="495">
                  <c:v>990</c:v>
                </c:pt>
                <c:pt idx="496">
                  <c:v>992</c:v>
                </c:pt>
                <c:pt idx="497">
                  <c:v>994</c:v>
                </c:pt>
                <c:pt idx="498">
                  <c:v>996</c:v>
                </c:pt>
                <c:pt idx="499">
                  <c:v>998</c:v>
                </c:pt>
                <c:pt idx="500">
                  <c:v>1000</c:v>
                </c:pt>
                <c:pt idx="501">
                  <c:v>1002</c:v>
                </c:pt>
                <c:pt idx="502">
                  <c:v>1004</c:v>
                </c:pt>
                <c:pt idx="503">
                  <c:v>1006</c:v>
                </c:pt>
                <c:pt idx="504">
                  <c:v>1008</c:v>
                </c:pt>
                <c:pt idx="505">
                  <c:v>1010</c:v>
                </c:pt>
                <c:pt idx="506">
                  <c:v>1012</c:v>
                </c:pt>
                <c:pt idx="507">
                  <c:v>1014</c:v>
                </c:pt>
                <c:pt idx="508">
                  <c:v>1016</c:v>
                </c:pt>
                <c:pt idx="509">
                  <c:v>1018</c:v>
                </c:pt>
                <c:pt idx="510">
                  <c:v>1020</c:v>
                </c:pt>
                <c:pt idx="511">
                  <c:v>1022</c:v>
                </c:pt>
                <c:pt idx="512">
                  <c:v>1024</c:v>
                </c:pt>
                <c:pt idx="513">
                  <c:v>1026</c:v>
                </c:pt>
                <c:pt idx="514">
                  <c:v>1028</c:v>
                </c:pt>
                <c:pt idx="515">
                  <c:v>1030</c:v>
                </c:pt>
                <c:pt idx="516">
                  <c:v>1032</c:v>
                </c:pt>
                <c:pt idx="517">
                  <c:v>1034</c:v>
                </c:pt>
                <c:pt idx="518">
                  <c:v>1036</c:v>
                </c:pt>
                <c:pt idx="519">
                  <c:v>1038</c:v>
                </c:pt>
                <c:pt idx="520">
                  <c:v>1040</c:v>
                </c:pt>
                <c:pt idx="521">
                  <c:v>1042</c:v>
                </c:pt>
                <c:pt idx="522">
                  <c:v>1044</c:v>
                </c:pt>
                <c:pt idx="523">
                  <c:v>1046</c:v>
                </c:pt>
                <c:pt idx="524">
                  <c:v>1048</c:v>
                </c:pt>
                <c:pt idx="525">
                  <c:v>1050</c:v>
                </c:pt>
                <c:pt idx="526">
                  <c:v>1052</c:v>
                </c:pt>
                <c:pt idx="527">
                  <c:v>1054</c:v>
                </c:pt>
                <c:pt idx="528">
                  <c:v>1056</c:v>
                </c:pt>
                <c:pt idx="529">
                  <c:v>1058</c:v>
                </c:pt>
                <c:pt idx="530">
                  <c:v>1060</c:v>
                </c:pt>
                <c:pt idx="531">
                  <c:v>1062</c:v>
                </c:pt>
                <c:pt idx="532">
                  <c:v>1064</c:v>
                </c:pt>
                <c:pt idx="533">
                  <c:v>1066</c:v>
                </c:pt>
                <c:pt idx="534">
                  <c:v>1068</c:v>
                </c:pt>
                <c:pt idx="535">
                  <c:v>1070</c:v>
                </c:pt>
                <c:pt idx="536">
                  <c:v>1072</c:v>
                </c:pt>
                <c:pt idx="537">
                  <c:v>1074</c:v>
                </c:pt>
                <c:pt idx="538">
                  <c:v>1076</c:v>
                </c:pt>
                <c:pt idx="539">
                  <c:v>1078</c:v>
                </c:pt>
                <c:pt idx="540">
                  <c:v>1080</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axId val="177332992"/>
        <c:axId val="177338240"/>
      </c:scatterChart>
      <c:valAx>
        <c:axId val="177332992"/>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7338240"/>
        <c:crosses val="autoZero"/>
        <c:crossBetween val="midCat"/>
      </c:valAx>
      <c:valAx>
        <c:axId val="177338240"/>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77332992"/>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41"/>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09"/>
          <c:h val="0.76779661016949774"/>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233431808"/>
        <c:axId val="233433728"/>
      </c:scatterChart>
      <c:valAx>
        <c:axId val="233431808"/>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3433728"/>
        <c:crosses val="autoZero"/>
        <c:crossBetween val="midCat"/>
      </c:valAx>
      <c:valAx>
        <c:axId val="233433728"/>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3431808"/>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43"/>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twoCellAnchor editAs="oneCell">
    <xdr:from>
      <xdr:col>10</xdr:col>
      <xdr:colOff>1</xdr:colOff>
      <xdr:row>23</xdr:row>
      <xdr:rowOff>0</xdr:rowOff>
    </xdr:from>
    <xdr:to>
      <xdr:col>12</xdr:col>
      <xdr:colOff>438151</xdr:colOff>
      <xdr:row>25</xdr:row>
      <xdr:rowOff>84304</xdr:rowOff>
    </xdr:to>
    <xdr:pic>
      <xdr:nvPicPr>
        <xdr:cNvPr id="3073" name="Picture 1" descr="f(x) = a e^{- { \frac{(x-b)^2 }{ 2 c^2} } }"/>
        <xdr:cNvPicPr>
          <a:picLocks noChangeAspect="1" noChangeArrowheads="1"/>
        </xdr:cNvPicPr>
      </xdr:nvPicPr>
      <xdr:blipFill>
        <a:blip xmlns:r="http://schemas.openxmlformats.org/officeDocument/2006/relationships" r:embed="rId1" cstate="print"/>
        <a:srcRect/>
        <a:stretch>
          <a:fillRect/>
        </a:stretch>
      </xdr:blipFill>
      <xdr:spPr bwMode="auto">
        <a:xfrm>
          <a:off x="6096001" y="3724275"/>
          <a:ext cx="1657350" cy="408154"/>
        </a:xfrm>
        <a:prstGeom prst="rect">
          <a:avLst/>
        </a:prstGeom>
        <a:noFill/>
      </xdr:spPr>
    </xdr:pic>
    <xdr:clientData/>
  </xdr:twoCellAnchor>
  <xdr:twoCellAnchor editAs="oneCell">
    <xdr:from>
      <xdr:col>10</xdr:col>
      <xdr:colOff>0</xdr:colOff>
      <xdr:row>30</xdr:row>
      <xdr:rowOff>0</xdr:rowOff>
    </xdr:from>
    <xdr:to>
      <xdr:col>14</xdr:col>
      <xdr:colOff>219075</xdr:colOff>
      <xdr:row>31</xdr:row>
      <xdr:rowOff>38100</xdr:rowOff>
    </xdr:to>
    <xdr:pic>
      <xdr:nvPicPr>
        <xdr:cNvPr id="3074" name="Picture 2" descr="\mathrm{FWHM} = 2 \sqrt{2 \ln 2}\ c \approx 2.35482 c."/>
        <xdr:cNvPicPr>
          <a:picLocks noChangeAspect="1" noChangeArrowheads="1"/>
        </xdr:cNvPicPr>
      </xdr:nvPicPr>
      <xdr:blipFill>
        <a:blip xmlns:r="http://schemas.openxmlformats.org/officeDocument/2006/relationships" r:embed="rId2" cstate="print"/>
        <a:srcRect/>
        <a:stretch>
          <a:fillRect/>
        </a:stretch>
      </xdr:blipFill>
      <xdr:spPr bwMode="auto">
        <a:xfrm>
          <a:off x="6096000" y="4857750"/>
          <a:ext cx="2657475" cy="2000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390525</xdr:colOff>
      <xdr:row>0</xdr:row>
      <xdr:rowOff>133349</xdr:rowOff>
    </xdr:from>
    <xdr:ext cx="2171700" cy="1028701"/>
    <xdr:sp macro="" textlink="">
      <xdr:nvSpPr>
        <xdr:cNvPr id="3" name="TextBox 2"/>
        <xdr:cNvSpPr txBox="1"/>
      </xdr:nvSpPr>
      <xdr:spPr>
        <a:xfrm>
          <a:off x="9039225" y="133349"/>
          <a:ext cx="2171700" cy="1028701"/>
        </a:xfrm>
        <a:prstGeom prst="rect">
          <a:avLst/>
        </a:prstGeom>
        <a:noFill/>
        <a:ln>
          <a:solidFill>
            <a:srgbClr val="C0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N38"/>
  <sheetViews>
    <sheetView tabSelected="1" topLeftCell="A11" workbookViewId="0">
      <selection activeCell="C47" sqref="C47"/>
    </sheetView>
  </sheetViews>
  <sheetFormatPr defaultRowHeight="12.75"/>
  <sheetData>
    <row r="6" spans="11:11">
      <c r="K6" s="33"/>
    </row>
    <row r="8" spans="11:11">
      <c r="K8" s="33"/>
    </row>
    <row r="21" spans="1:14">
      <c r="K21" s="42" t="s">
        <v>59</v>
      </c>
    </row>
    <row r="23" spans="1:14">
      <c r="K23" s="42" t="s">
        <v>55</v>
      </c>
    </row>
    <row r="27" spans="1:14">
      <c r="N27" s="42" t="s">
        <v>60</v>
      </c>
    </row>
    <row r="29" spans="1:14">
      <c r="K29" s="42" t="s">
        <v>56</v>
      </c>
    </row>
    <row r="32" spans="1:14">
      <c r="A32" s="35" t="s">
        <v>48</v>
      </c>
    </row>
    <row r="33" spans="1:11">
      <c r="A33" s="36" t="s">
        <v>47</v>
      </c>
    </row>
    <row r="34" spans="1:11">
      <c r="K34" s="42" t="s">
        <v>57</v>
      </c>
    </row>
    <row r="36" spans="1:11">
      <c r="K36" s="42" t="s">
        <v>58</v>
      </c>
    </row>
    <row r="38" spans="1:11">
      <c r="K38" s="42" t="s">
        <v>61</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workbookViewId="0">
      <selection activeCell="N28" sqref="N28"/>
    </sheetView>
  </sheetViews>
  <sheetFormatPr defaultRowHeight="12.75"/>
  <cols>
    <col min="1" max="1" width="11.85546875" customWidth="1"/>
    <col min="2" max="2" width="13.5703125" customWidth="1"/>
    <col min="3" max="3" width="11.7109375" customWidth="1"/>
    <col min="4" max="4" width="15" customWidth="1"/>
    <col min="5" max="5" width="12.140625" customWidth="1"/>
    <col min="6" max="6" width="16" customWidth="1"/>
    <col min="7" max="7" width="12.85546875" customWidth="1"/>
  </cols>
  <sheetData>
    <row r="1" spans="1:14">
      <c r="A1" s="20" t="s">
        <v>0</v>
      </c>
      <c r="B1" s="20">
        <v>1</v>
      </c>
      <c r="C1" s="20">
        <v>2</v>
      </c>
      <c r="D1" s="20">
        <v>3</v>
      </c>
      <c r="E1" s="20">
        <v>4</v>
      </c>
      <c r="F1" s="20">
        <v>5</v>
      </c>
      <c r="G1" s="20">
        <v>6</v>
      </c>
      <c r="H1" s="20">
        <v>7</v>
      </c>
      <c r="I1" s="20">
        <v>8</v>
      </c>
      <c r="J1" s="20">
        <v>9</v>
      </c>
      <c r="K1" s="20">
        <v>10</v>
      </c>
    </row>
    <row r="2" spans="1:14" s="7" customFormat="1">
      <c r="A2" s="37" t="s">
        <v>49</v>
      </c>
      <c r="B2" s="17">
        <v>45.552629426010391</v>
      </c>
      <c r="C2" s="17">
        <v>140.15791294648017</v>
      </c>
      <c r="D2" s="17">
        <v>438.02988225332189</v>
      </c>
      <c r="E2" s="17">
        <v>816.04374039893446</v>
      </c>
      <c r="F2" s="17">
        <v>1031.3886535139957</v>
      </c>
      <c r="G2" s="14">
        <v>500</v>
      </c>
      <c r="H2" s="14">
        <v>500</v>
      </c>
      <c r="I2" s="14">
        <v>500</v>
      </c>
      <c r="J2" s="14">
        <v>500</v>
      </c>
      <c r="K2" s="14">
        <v>500</v>
      </c>
    </row>
    <row r="3" spans="1:14" s="7" customFormat="1">
      <c r="A3" s="7" t="s">
        <v>2</v>
      </c>
      <c r="B3" s="5">
        <v>3.1681632029647275</v>
      </c>
      <c r="C3" s="5">
        <v>9.5660568892750959</v>
      </c>
      <c r="D3" s="5">
        <v>17.703991360334683</v>
      </c>
      <c r="E3" s="5">
        <v>16.361496817910432</v>
      </c>
      <c r="F3" s="5">
        <v>6.7456106992735894</v>
      </c>
      <c r="G3" s="15">
        <v>0</v>
      </c>
      <c r="H3" s="15">
        <v>0</v>
      </c>
      <c r="I3" s="15">
        <v>0</v>
      </c>
      <c r="J3" s="15">
        <v>0</v>
      </c>
      <c r="K3" s="15">
        <v>0</v>
      </c>
    </row>
    <row r="4" spans="1:14" s="7" customFormat="1">
      <c r="A4" s="7" t="s">
        <v>3</v>
      </c>
      <c r="B4" s="18">
        <v>46.986400660839188</v>
      </c>
      <c r="C4" s="18">
        <v>188.88152940001021</v>
      </c>
      <c r="D4" s="18">
        <v>361.06972548705011</v>
      </c>
      <c r="E4" s="40">
        <v>395.5665031335239</v>
      </c>
      <c r="F4" s="18">
        <v>79.902695329135369</v>
      </c>
      <c r="G4" s="16">
        <v>1.5</v>
      </c>
      <c r="H4" s="16">
        <v>1.5</v>
      </c>
      <c r="I4" s="16">
        <v>1.5</v>
      </c>
      <c r="J4" s="16">
        <v>1.5</v>
      </c>
      <c r="K4" s="16">
        <v>1.5</v>
      </c>
    </row>
    <row r="5" spans="1:14" s="7" customFormat="1">
      <c r="A5" s="7" t="s">
        <v>4</v>
      </c>
      <c r="B5" s="16">
        <f t="shared" ref="B5:G5" si="0">B4</f>
        <v>46.986400660839188</v>
      </c>
      <c r="C5" s="16">
        <f t="shared" si="0"/>
        <v>188.88152940001021</v>
      </c>
      <c r="D5" s="16">
        <f t="shared" si="0"/>
        <v>361.06972548705011</v>
      </c>
      <c r="E5" s="16">
        <f t="shared" si="0"/>
        <v>395.5665031335239</v>
      </c>
      <c r="F5" s="16">
        <f t="shared" si="0"/>
        <v>79.902695329135369</v>
      </c>
      <c r="G5" s="16">
        <f t="shared" si="0"/>
        <v>1.5</v>
      </c>
      <c r="H5" s="16">
        <f t="shared" ref="H5:K5" si="1">H4</f>
        <v>1.5</v>
      </c>
      <c r="I5" s="16">
        <f t="shared" si="1"/>
        <v>1.5</v>
      </c>
      <c r="J5" s="16">
        <f t="shared" si="1"/>
        <v>1.5</v>
      </c>
      <c r="K5" s="16">
        <f t="shared" si="1"/>
        <v>1.5</v>
      </c>
    </row>
    <row r="6" spans="1:14" s="7" customFormat="1">
      <c r="A6" s="7" t="s">
        <v>5</v>
      </c>
      <c r="B6" s="16">
        <v>1</v>
      </c>
      <c r="C6" s="16">
        <v>1</v>
      </c>
      <c r="D6" s="16">
        <v>1</v>
      </c>
      <c r="E6" s="16">
        <v>1</v>
      </c>
      <c r="F6" s="16">
        <v>1</v>
      </c>
      <c r="G6" s="16">
        <v>0.5</v>
      </c>
      <c r="H6" s="16">
        <v>0.5</v>
      </c>
      <c r="I6" s="16">
        <v>0.5</v>
      </c>
      <c r="J6" s="16">
        <v>0.5</v>
      </c>
      <c r="K6" s="16">
        <v>0.5</v>
      </c>
    </row>
    <row r="7" spans="1:14" s="7" customFormat="1">
      <c r="A7" s="7" t="s">
        <v>6</v>
      </c>
      <c r="B7" s="16">
        <v>1</v>
      </c>
      <c r="C7" s="16">
        <v>1</v>
      </c>
      <c r="D7" s="16">
        <v>1</v>
      </c>
      <c r="E7" s="16">
        <v>1</v>
      </c>
      <c r="F7" s="16">
        <f t="shared" ref="F7:K7" si="2">F6</f>
        <v>1</v>
      </c>
      <c r="G7" s="16">
        <f t="shared" ref="G7" si="3">G6</f>
        <v>0.5</v>
      </c>
      <c r="H7" s="16">
        <f t="shared" si="2"/>
        <v>0.5</v>
      </c>
      <c r="I7" s="16">
        <f t="shared" si="2"/>
        <v>0.5</v>
      </c>
      <c r="J7" s="16">
        <f t="shared" si="2"/>
        <v>0.5</v>
      </c>
      <c r="K7" s="16">
        <f t="shared" si="2"/>
        <v>0.5</v>
      </c>
    </row>
    <row r="8" spans="1:14" s="7" customFormat="1" ht="3" customHeight="1">
      <c r="B8" s="8"/>
      <c r="C8" s="8"/>
    </row>
    <row r="9" spans="1:14" s="7" customFormat="1">
      <c r="A9" s="7" t="s">
        <v>7</v>
      </c>
      <c r="B9" s="9">
        <f>(B4*(1.064467*B6+1.5*(1-B6))+B5*(1.064467*B7+1.5*(1-B7)))*B3/2</f>
        <v>158.45718098616916</v>
      </c>
      <c r="C9" s="9">
        <f>(C4*(1.064467*C6+1.5*(1-C6))+C5*(1.064467*C7+1.5*(1-C7)))*C3/2</f>
        <v>1923.3337483602595</v>
      </c>
      <c r="D9" s="9">
        <f>(D4*(1.064467*D6+1.5*(1-D6))+D5*(1.064467*D7+1.5*(1-D7)))*D3/2</f>
        <v>6804.4725589985592</v>
      </c>
      <c r="E9" s="9">
        <f t="shared" ref="E9:K9" si="4">(E4*(1.064467*E6+1.5*(1-E6))+E5*(1.064467*E7+1.5*(1-E7)))*E3/2</f>
        <v>6889.294379616169</v>
      </c>
      <c r="F9" s="9">
        <f t="shared" si="4"/>
        <v>573.73970449637784</v>
      </c>
      <c r="G9" s="9">
        <f t="shared" si="4"/>
        <v>0</v>
      </c>
      <c r="H9" s="9">
        <f t="shared" si="4"/>
        <v>0</v>
      </c>
      <c r="I9" s="9">
        <f t="shared" si="4"/>
        <v>0</v>
      </c>
      <c r="J9" s="9">
        <f t="shared" si="4"/>
        <v>0</v>
      </c>
      <c r="K9" s="9">
        <f t="shared" si="4"/>
        <v>0</v>
      </c>
      <c r="M9"/>
      <c r="N9"/>
    </row>
    <row r="10" spans="1:14" s="7" customFormat="1" ht="9" customHeight="1">
      <c r="B10" s="9"/>
      <c r="C10" s="9"/>
      <c r="D10" s="9"/>
      <c r="E10" s="9"/>
      <c r="F10" s="9"/>
      <c r="G10" s="9"/>
      <c r="H10" s="9"/>
      <c r="I10" s="9"/>
      <c r="J10" s="9"/>
      <c r="K10" s="9"/>
      <c r="M10"/>
      <c r="N10"/>
    </row>
    <row r="11" spans="1:14" s="7" customFormat="1" ht="18" customHeight="1">
      <c r="B11" s="9"/>
      <c r="C11" s="9"/>
      <c r="D11" s="9"/>
      <c r="E11" s="9"/>
      <c r="F11" s="9"/>
      <c r="G11" s="9"/>
      <c r="H11" s="9"/>
      <c r="I11" s="9"/>
      <c r="J11" s="9"/>
      <c r="K11" s="9"/>
      <c r="M11"/>
      <c r="N11"/>
    </row>
    <row r="12" spans="1:14" s="7" customFormat="1">
      <c r="A12" s="8" t="s">
        <v>8</v>
      </c>
      <c r="B12" s="11">
        <v>0</v>
      </c>
      <c r="C12" s="9"/>
      <c r="D12" s="9"/>
      <c r="E12" s="9"/>
      <c r="F12" s="9"/>
      <c r="G12" s="9"/>
      <c r="H12" s="9"/>
      <c r="I12" s="9"/>
      <c r="J12"/>
      <c r="K12"/>
      <c r="M12"/>
      <c r="N12"/>
    </row>
    <row r="13" spans="1:14" s="7" customFormat="1">
      <c r="A13" s="8" t="s">
        <v>9</v>
      </c>
      <c r="B13" s="11">
        <v>0</v>
      </c>
      <c r="C13" s="9"/>
      <c r="D13" s="9"/>
      <c r="E13" s="9"/>
      <c r="F13" s="9"/>
      <c r="G13" s="9"/>
      <c r="H13" s="9"/>
      <c r="I13" s="9"/>
      <c r="J13"/>
      <c r="K13"/>
      <c r="M13"/>
      <c r="N13"/>
    </row>
    <row r="14" spans="1:14" s="7" customFormat="1">
      <c r="A14" s="8" t="s">
        <v>10</v>
      </c>
      <c r="B14" s="11">
        <v>0</v>
      </c>
      <c r="C14" s="9"/>
      <c r="D14" s="9"/>
      <c r="E14" s="9"/>
      <c r="F14" s="9"/>
      <c r="G14" s="9"/>
      <c r="H14" s="9"/>
      <c r="I14" s="9"/>
      <c r="J14" s="9"/>
      <c r="K14" s="9"/>
      <c r="M14"/>
      <c r="N14"/>
    </row>
    <row r="15" spans="1:14" s="7" customFormat="1">
      <c r="A15" s="8"/>
      <c r="B15" s="11"/>
      <c r="C15" s="9"/>
      <c r="D15" s="9"/>
      <c r="E15" s="9"/>
      <c r="F15" s="9"/>
      <c r="G15" s="9"/>
      <c r="H15" s="9"/>
      <c r="I15" s="9"/>
      <c r="J15" s="9"/>
      <c r="K15" s="9"/>
      <c r="M15"/>
      <c r="N15"/>
    </row>
    <row r="16" spans="1:14" s="7" customFormat="1">
      <c r="A16" s="7" t="s">
        <v>11</v>
      </c>
      <c r="B16" s="9">
        <f>SUM(B9:K9)+(B12+B13)*(MAX(Data!A:A)-MIN(Data!A:A))/2</f>
        <v>16349.297572457535</v>
      </c>
      <c r="C16" s="9"/>
      <c r="D16" s="9"/>
      <c r="E16" s="9"/>
      <c r="F16" s="9"/>
      <c r="G16" s="9"/>
      <c r="H16" s="9"/>
      <c r="I16" s="9"/>
      <c r="J16" s="9"/>
      <c r="K16" s="9"/>
      <c r="M16"/>
      <c r="N16"/>
    </row>
    <row r="17" spans="1:18" s="7" customFormat="1">
      <c r="A17" s="7" t="s">
        <v>12</v>
      </c>
      <c r="B17" s="9">
        <f>SUM(Data!B:B)*ABS(Data!A2-Data!A3)</f>
        <v>15812.326622291184</v>
      </c>
      <c r="C17" s="9"/>
      <c r="D17" s="9"/>
      <c r="E17" s="9"/>
      <c r="F17" s="9"/>
      <c r="G17" s="9"/>
      <c r="H17" s="9"/>
      <c r="I17" s="9"/>
      <c r="J17" s="9"/>
      <c r="K17" s="9"/>
      <c r="M17"/>
      <c r="N17"/>
    </row>
    <row r="18" spans="1:18" s="7" customFormat="1">
      <c r="B18" s="8"/>
      <c r="C18" s="8"/>
      <c r="M18"/>
      <c r="N18"/>
    </row>
    <row r="19" spans="1:18" s="7" customFormat="1">
      <c r="A19" t="s">
        <v>13</v>
      </c>
      <c r="B19" s="4">
        <f>SUM(Data!D:D)</f>
        <v>111.44564992368198</v>
      </c>
      <c r="C19" s="8"/>
    </row>
    <row r="20" spans="1:18" s="7" customFormat="1">
      <c r="A20" s="7" t="s">
        <v>14</v>
      </c>
      <c r="B20" s="9">
        <f>COUNT(Data!A:A)</f>
        <v>541</v>
      </c>
      <c r="C20" s="8"/>
      <c r="M20" s="10"/>
    </row>
    <row r="21" spans="1:18" s="7" customFormat="1">
      <c r="A21"/>
      <c r="B21"/>
      <c r="C21" s="8"/>
    </row>
    <row r="22" spans="1:18" s="7" customFormat="1">
      <c r="A22" s="7" t="s">
        <v>15</v>
      </c>
      <c r="B22" s="31">
        <f>SQRT(B19/B20)</f>
        <v>0.4538715158597631</v>
      </c>
      <c r="C22" s="8"/>
    </row>
    <row r="23" spans="1:18" s="7" customFormat="1">
      <c r="B23" s="8"/>
      <c r="C23" s="8"/>
    </row>
    <row r="24" spans="1:18" s="7" customFormat="1">
      <c r="A24" s="32" t="s">
        <v>46</v>
      </c>
      <c r="B24" s="34">
        <f>CORREL(Data!B2:B678,Data!C2:C678)</f>
        <v>0.99196485589079164</v>
      </c>
      <c r="C24" s="8"/>
    </row>
    <row r="25" spans="1:18" s="7" customFormat="1">
      <c r="B25" s="8"/>
      <c r="C25" s="8"/>
    </row>
    <row r="26" spans="1:18" s="7" customFormat="1">
      <c r="B26" s="8"/>
      <c r="C26" s="8"/>
      <c r="M26" s="17"/>
      <c r="N26" s="17"/>
      <c r="O26" s="17"/>
      <c r="P26" s="17"/>
      <c r="Q26" s="17"/>
      <c r="R26" s="17"/>
    </row>
    <row r="27" spans="1:18" s="7" customFormat="1">
      <c r="B27" s="8"/>
      <c r="C27" s="8"/>
      <c r="M27" s="5"/>
      <c r="N27" s="5"/>
      <c r="O27" s="5"/>
      <c r="P27" s="5"/>
      <c r="Q27" s="5"/>
      <c r="R27" s="5"/>
    </row>
    <row r="28" spans="1:18" s="7" customFormat="1">
      <c r="B28" s="8"/>
      <c r="C28" s="8"/>
      <c r="M28" s="18"/>
      <c r="N28" s="18"/>
      <c r="O28" s="18"/>
      <c r="P28" s="18"/>
      <c r="Q28" s="18"/>
      <c r="R28" s="18"/>
    </row>
    <row r="29" spans="1:18" s="7" customFormat="1">
      <c r="B29" s="8"/>
      <c r="C29" s="8"/>
      <c r="N29" s="37"/>
    </row>
    <row r="30" spans="1:18" s="7" customFormat="1">
      <c r="B30" s="8"/>
      <c r="C30" s="8"/>
    </row>
    <row r="31" spans="1:18" s="7" customFormat="1">
      <c r="B31" s="8"/>
      <c r="C31" s="8"/>
    </row>
    <row r="32" spans="1:18" s="7" customFormat="1">
      <c r="B32" s="8"/>
      <c r="C32" s="8"/>
    </row>
    <row r="33" spans="1:14" s="7" customFormat="1">
      <c r="B33" s="8"/>
      <c r="C33" s="8"/>
      <c r="N33" s="37"/>
    </row>
    <row r="34" spans="1:14" s="7" customFormat="1">
      <c r="B34" s="8"/>
      <c r="C34" s="8"/>
    </row>
    <row r="35" spans="1:14" s="7" customFormat="1">
      <c r="A35" s="7" t="s">
        <v>41</v>
      </c>
      <c r="B35" s="8"/>
      <c r="C35" s="8"/>
    </row>
    <row r="36" spans="1:14" s="7" customFormat="1">
      <c r="B36" s="8"/>
      <c r="C36" s="8"/>
    </row>
    <row r="37" spans="1:14">
      <c r="A37" t="s">
        <v>16</v>
      </c>
      <c r="B37" s="6">
        <f t="shared" ref="B37:K37" si="5">4/(B4^2)</f>
        <v>1.811822447345489E-3</v>
      </c>
      <c r="C37" s="6">
        <f t="shared" si="5"/>
        <v>1.1211946327044085E-4</v>
      </c>
      <c r="D37" s="6">
        <f t="shared" si="5"/>
        <v>3.0681588419353247E-5</v>
      </c>
      <c r="E37" s="6">
        <f t="shared" si="5"/>
        <v>2.5563538883796424E-5</v>
      </c>
      <c r="F37" s="6">
        <f t="shared" si="5"/>
        <v>6.2652316387406203E-4</v>
      </c>
      <c r="G37" s="6">
        <f t="shared" si="5"/>
        <v>1.7777777777777777</v>
      </c>
      <c r="H37" s="6">
        <f t="shared" si="5"/>
        <v>1.7777777777777777</v>
      </c>
      <c r="I37" s="6">
        <f t="shared" si="5"/>
        <v>1.7777777777777777</v>
      </c>
      <c r="J37" s="6">
        <f t="shared" si="5"/>
        <v>1.7777777777777777</v>
      </c>
      <c r="K37" s="6">
        <f t="shared" si="5"/>
        <v>1.7777777777777777</v>
      </c>
    </row>
    <row r="38" spans="1:14">
      <c r="A38" t="s">
        <v>17</v>
      </c>
      <c r="B38" s="6">
        <f t="shared" ref="B38:K38" si="6">-2.77258872/(B4^2)</f>
        <v>-1.2558596200382243E-3</v>
      </c>
      <c r="C38" s="6">
        <f t="shared" si="6"/>
        <v>-7.7715289789019655E-5</v>
      </c>
      <c r="D38" s="6">
        <f t="shared" si="6"/>
        <v>-2.126685649079536E-5</v>
      </c>
      <c r="E38" s="6">
        <f t="shared" si="6"/>
        <v>-1.7719294888123839E-5</v>
      </c>
      <c r="F38" s="6">
        <f t="shared" si="6"/>
        <v>-4.3427276424398399E-4</v>
      </c>
      <c r="G38" s="6">
        <f t="shared" si="6"/>
        <v>-1.2322616533333333</v>
      </c>
      <c r="H38" s="6">
        <f t="shared" si="6"/>
        <v>-1.2322616533333333</v>
      </c>
      <c r="I38" s="6">
        <f t="shared" si="6"/>
        <v>-1.2322616533333333</v>
      </c>
      <c r="J38" s="6">
        <f t="shared" si="6"/>
        <v>-1.2322616533333333</v>
      </c>
      <c r="K38" s="6">
        <f t="shared" si="6"/>
        <v>-1.2322616533333333</v>
      </c>
    </row>
    <row r="39" spans="1:14">
      <c r="A39" t="s">
        <v>18</v>
      </c>
      <c r="B39" s="6">
        <f t="shared" ref="B39:K39" si="7">4/(B5^2)</f>
        <v>1.811822447345489E-3</v>
      </c>
      <c r="C39" s="6">
        <f t="shared" si="7"/>
        <v>1.1211946327044085E-4</v>
      </c>
      <c r="D39" s="6">
        <f t="shared" si="7"/>
        <v>3.0681588419353247E-5</v>
      </c>
      <c r="E39" s="6">
        <f t="shared" si="7"/>
        <v>2.5563538883796424E-5</v>
      </c>
      <c r="F39" s="6">
        <f t="shared" si="7"/>
        <v>6.2652316387406203E-4</v>
      </c>
      <c r="G39" s="6">
        <f t="shared" si="7"/>
        <v>1.7777777777777777</v>
      </c>
      <c r="H39" s="6">
        <f t="shared" si="7"/>
        <v>1.7777777777777777</v>
      </c>
      <c r="I39" s="6">
        <f t="shared" si="7"/>
        <v>1.7777777777777777</v>
      </c>
      <c r="J39" s="6">
        <f t="shared" si="7"/>
        <v>1.7777777777777777</v>
      </c>
      <c r="K39" s="6">
        <f t="shared" si="7"/>
        <v>1.7777777777777777</v>
      </c>
    </row>
    <row r="40" spans="1:14">
      <c r="A40" t="s">
        <v>19</v>
      </c>
      <c r="B40" s="6">
        <f t="shared" ref="B40:K40" si="8">-2.77258872/(B5^2)</f>
        <v>-1.2558596200382243E-3</v>
      </c>
      <c r="C40" s="6">
        <f t="shared" si="8"/>
        <v>-7.7715289789019655E-5</v>
      </c>
      <c r="D40" s="6">
        <f t="shared" si="8"/>
        <v>-2.126685649079536E-5</v>
      </c>
      <c r="E40" s="6">
        <f t="shared" si="8"/>
        <v>-1.7719294888123839E-5</v>
      </c>
      <c r="F40" s="6">
        <f t="shared" si="8"/>
        <v>-4.3427276424398399E-4</v>
      </c>
      <c r="G40" s="6">
        <f t="shared" si="8"/>
        <v>-1.2322616533333333</v>
      </c>
      <c r="H40" s="6">
        <f t="shared" si="8"/>
        <v>-1.2322616533333333</v>
      </c>
      <c r="I40" s="6">
        <f t="shared" si="8"/>
        <v>-1.2322616533333333</v>
      </c>
      <c r="J40" s="6">
        <f t="shared" si="8"/>
        <v>-1.2322616533333333</v>
      </c>
      <c r="K40" s="6">
        <f t="shared" si="8"/>
        <v>-1.2322616533333333</v>
      </c>
    </row>
    <row r="42" spans="1:14">
      <c r="A42" s="4"/>
    </row>
    <row r="44" spans="1:14">
      <c r="A44" t="s">
        <v>20</v>
      </c>
    </row>
    <row r="45" spans="1:14">
      <c r="A45" t="b">
        <v>1</v>
      </c>
    </row>
    <row r="48" spans="1:14">
      <c r="A48" t="s">
        <v>21</v>
      </c>
    </row>
    <row r="50" spans="1:1">
      <c r="A50" s="4">
        <f>MIN($B$19)</f>
        <v>111.44564992368198</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10"/>
  <sheetViews>
    <sheetView workbookViewId="0">
      <selection activeCell="A13" sqref="A13"/>
    </sheetView>
  </sheetViews>
  <sheetFormatPr defaultRowHeight="12.75"/>
  <cols>
    <col min="1" max="1" width="12.85546875" customWidth="1"/>
  </cols>
  <sheetData>
    <row r="1" spans="1:2">
      <c r="A1" t="s">
        <v>22</v>
      </c>
    </row>
    <row r="3" spans="1:2">
      <c r="A3" t="s">
        <v>23</v>
      </c>
      <c r="B3" s="1">
        <f>MIN(Data!A:A)</f>
        <v>0</v>
      </c>
    </row>
    <row r="10" spans="1:2">
      <c r="A10" t="s">
        <v>54</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82"/>
  <sheetViews>
    <sheetView workbookViewId="0">
      <selection activeCell="F2" sqref="F2"/>
    </sheetView>
  </sheetViews>
  <sheetFormatPr defaultRowHeight="12.75"/>
  <cols>
    <col min="1" max="1" width="9.140625" style="19"/>
    <col min="2" max="2" width="10.5703125" style="28" bestFit="1" customWidth="1"/>
    <col min="3" max="3" width="19.42578125" style="6" customWidth="1"/>
    <col min="4" max="4" width="25.5703125" style="19" customWidth="1"/>
    <col min="5" max="5" width="11" style="3" customWidth="1"/>
    <col min="6" max="17" width="9.140625" style="3"/>
    <col min="18" max="18" width="11.85546875" customWidth="1"/>
  </cols>
  <sheetData>
    <row r="1" spans="1:20" s="2" customFormat="1" ht="14.25">
      <c r="A1" s="38" t="s">
        <v>49</v>
      </c>
      <c r="B1" s="28" t="s">
        <v>40</v>
      </c>
      <c r="C1" s="29" t="s">
        <v>24</v>
      </c>
      <c r="D1" s="41" t="s">
        <v>25</v>
      </c>
      <c r="E1" s="12" t="s">
        <v>26</v>
      </c>
      <c r="F1" s="13" t="s">
        <v>27</v>
      </c>
      <c r="G1" s="13" t="s">
        <v>28</v>
      </c>
      <c r="H1" s="13" t="s">
        <v>29</v>
      </c>
      <c r="I1" s="13" t="s">
        <v>30</v>
      </c>
      <c r="J1" s="13" t="s">
        <v>31</v>
      </c>
      <c r="K1" s="13" t="s">
        <v>32</v>
      </c>
      <c r="L1" s="13" t="s">
        <v>33</v>
      </c>
      <c r="M1" s="13" t="s">
        <v>34</v>
      </c>
      <c r="N1" s="13" t="s">
        <v>35</v>
      </c>
      <c r="O1" s="13" t="s">
        <v>36</v>
      </c>
      <c r="P1"/>
      <c r="Q1"/>
      <c r="R1"/>
      <c r="T1"/>
    </row>
    <row r="2" spans="1:20">
      <c r="A2">
        <v>0</v>
      </c>
      <c r="B2">
        <v>0</v>
      </c>
      <c r="C2" s="6">
        <f>SUM(E2:K2)</f>
        <v>2.6115493163095786</v>
      </c>
      <c r="D2" s="19">
        <f t="shared" ref="D2" si="0">(C2-B2)^2</f>
        <v>6.8201898315170277</v>
      </c>
      <c r="E2" s="3">
        <f>Ft!$B$12+Ft!$B$14*(Data!A2-Vars!$B$3)</f>
        <v>0</v>
      </c>
      <c r="F2" s="3">
        <f>IF(($A2-Ft!B$2)&lt;0,Ft!B$3*((1-Ft!B$6)/(1+Ft!B$37*($A2-Ft!B$2)^2)+Ft!B$6*EXP(Ft!B$38*($A2-Ft!B$2)^2)),Ft!B$3*((1-Ft!B$7)/(1+Ft!B$39*($A2-Ft!B$2)^2)+Ft!B$7*EXP(Ft!B$40*($A2-Ft!B$2)^2)))</f>
        <v>0.23391218103693495</v>
      </c>
      <c r="G2" s="3">
        <f>IF(($A2-Ft!C$2)&lt;0,Ft!C$3*((1-Ft!C$6)/(1+Ft!C$37*($A2-Ft!C$2)^2)+Ft!C$6*EXP(Ft!C$38*($A2-Ft!C$2)^2)),Ft!C$3*((1-Ft!C$7)/(1+Ft!C$39*($A2-Ft!C$2)^2)+Ft!C$7*EXP(Ft!C$40*($A2-Ft!C$2)^2)))</f>
        <v>2.078327002494138</v>
      </c>
      <c r="H2" s="3">
        <f>IF(($A2-Ft!D$2)&lt;0,Ft!D$3*((1-Ft!D$6)/(1+Ft!D$37*($A2-Ft!D$2)^2)+Ft!D$6*EXP(Ft!D$38*($A2-Ft!D$2)^2)),Ft!D$3*((1-Ft!D$7)/(1+Ft!D$39*($A2-Ft!D$2)^2)+Ft!D$7*EXP(Ft!D$40*($A2-Ft!D$2)^2)))</f>
        <v>0.29918731796414511</v>
      </c>
      <c r="I2" s="3">
        <f>IF(($A2-Ft!E$2)&lt;0,Ft!E$3*((1-Ft!E$6)/(1+Ft!E$37*($A2-Ft!E$2)^2)+Ft!E$6*EXP(Ft!E$38*($A2-Ft!E$2)^2)),Ft!E$3*((1-Ft!E$7)/(1+Ft!E$39*($A2-Ft!E$2)^2)+Ft!E$7*EXP(Ft!E$40*($A2-Ft!E$2)^2)))</f>
        <v>1.228148143604174E-4</v>
      </c>
      <c r="J2" s="3">
        <f>IF(($A2-Ft!F$2)&lt;0,Ft!F$3*((1-Ft!F$6)/(1+Ft!F$37*($A2-Ft!F$2)^2)+Ft!F$6*EXP(Ft!F$38*($A2-Ft!F$2)^2)),Ft!F$3*((1-Ft!F$7)/(1+Ft!F$39*($A2-Ft!F$2)^2)+Ft!F$7*EXP(Ft!F$40*($A2-Ft!F$2)^2)))</f>
        <v>1.5885244097397708E-200</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v>2</v>
      </c>
      <c r="B3">
        <v>0.65021008808299996</v>
      </c>
      <c r="C3" s="6">
        <f t="shared" ref="C3:C66" si="1">SUM(E3:K3)</f>
        <v>2.7734399321500431</v>
      </c>
      <c r="D3" s="19">
        <f t="shared" ref="D3:D66" si="2">(C3-B3)^2</f>
        <v>4.5081049707369605</v>
      </c>
      <c r="E3" s="3">
        <f>Ft!$B$12+Ft!$B$14*(Data!A3-Vars!$B$3)</f>
        <v>0</v>
      </c>
      <c r="F3" s="3">
        <f>IF(($A3-Ft!B$2)&lt;0,Ft!B$3*((1-Ft!B$6)/(1+Ft!B$37*($A3-Ft!B$2)^2)+Ft!B$6*EXP(Ft!B$38*($A3-Ft!B$2)^2)),Ft!B$3*((1-Ft!B$7)/(1+Ft!B$39*($A3-Ft!B$2)^2)+Ft!B$7*EXP(Ft!B$40*($A3-Ft!B$2)^2)))</f>
        <v>0.29258439157207689</v>
      </c>
      <c r="G3" s="3">
        <f>IF(($A3-Ft!C$2)&lt;0,Ft!C$3*((1-Ft!C$6)/(1+Ft!C$37*($A3-Ft!C$2)^2)+Ft!C$6*EXP(Ft!C$38*($A3-Ft!C$2)^2)),Ft!C$3*((1-Ft!C$7)/(1+Ft!C$39*($A3-Ft!C$2)^2)+Ft!C$7*EXP(Ft!C$40*($A3-Ft!C$2)^2)))</f>
        <v>2.1702058709763832</v>
      </c>
      <c r="H3" s="3">
        <f>IF(($A3-Ft!D$2)&lt;0,Ft!D$3*((1-Ft!D$6)/(1+Ft!D$37*($A3-Ft!D$2)^2)+Ft!D$6*EXP(Ft!D$38*($A3-Ft!D$2)^2)),Ft!D$3*((1-Ft!D$7)/(1+Ft!D$39*($A3-Ft!D$2)^2)+Ft!D$7*EXP(Ft!D$40*($A3-Ft!D$2)^2)))</f>
        <v>0.31051955109190704</v>
      </c>
      <c r="I3" s="3">
        <f>IF(($A3-Ft!E$2)&lt;0,Ft!E$3*((1-Ft!E$6)/(1+Ft!E$37*($A3-Ft!E$2)^2)+Ft!E$6*EXP(Ft!E$38*($A3-Ft!E$2)^2)),Ft!E$3*((1-Ft!E$7)/(1+Ft!E$39*($A3-Ft!E$2)^2)+Ft!E$7*EXP(Ft!E$40*($A3-Ft!E$2)^2)))</f>
        <v>1.3011850967615306E-4</v>
      </c>
      <c r="J3" s="3">
        <f>IF(($A3-Ft!F$2)&lt;0,Ft!F$3*((1-Ft!F$6)/(1+Ft!F$37*($A3-Ft!F$2)^2)+Ft!F$6*EXP(Ft!F$38*($A3-Ft!F$2)^2)),Ft!F$3*((1-Ft!F$7)/(1+Ft!F$39*($A3-Ft!F$2)^2)+Ft!F$7*EXP(Ft!F$40*($A3-Ft!F$2)^2)))</f>
        <v>9.5132394656575622E-200</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v>4</v>
      </c>
      <c r="B4">
        <v>1.2772538376249969</v>
      </c>
      <c r="C4" s="6">
        <f t="shared" si="1"/>
        <v>2.9494169521205986</v>
      </c>
      <c r="D4" s="19">
        <f t="shared" si="2"/>
        <v>2.7961294814796309</v>
      </c>
      <c r="E4" s="3">
        <f>Ft!$B$12+Ft!$B$14*(Data!A4-Vars!$B$3)</f>
        <v>0</v>
      </c>
      <c r="F4" s="3">
        <f>IF(($A4-Ft!B$2)&lt;0,Ft!B$3*((1-Ft!B$6)/(1+Ft!B$37*($A4-Ft!B$2)^2)+Ft!B$6*EXP(Ft!B$38*($A4-Ft!B$2)^2)),Ft!B$3*((1-Ft!B$7)/(1+Ft!B$39*($A4-Ft!B$2)^2)+Ft!B$7*EXP(Ft!B$40*($A4-Ft!B$2)^2)))</f>
        <v>0.36231487686621183</v>
      </c>
      <c r="G4" s="3">
        <f>IF(($A4-Ft!C$2)&lt;0,Ft!C$3*((1-Ft!C$6)/(1+Ft!C$37*($A4-Ft!C$2)^2)+Ft!C$6*EXP(Ft!C$38*($A4-Ft!C$2)^2)),Ft!C$3*((1-Ft!C$7)/(1+Ft!C$39*($A4-Ft!C$2)^2)+Ft!C$7*EXP(Ft!C$40*($A4-Ft!C$2)^2)))</f>
        <v>2.2647380528156749</v>
      </c>
      <c r="H4" s="3">
        <f>IF(($A4-Ft!D$2)&lt;0,Ft!D$3*((1-Ft!D$6)/(1+Ft!D$37*($A4-Ft!D$2)^2)+Ft!D$6*EXP(Ft!D$38*($A4-Ft!D$2)^2)),Ft!D$3*((1-Ft!D$7)/(1+Ft!D$39*($A4-Ft!D$2)^2)+Ft!D$7*EXP(Ft!D$40*($A4-Ft!D$2)^2)))</f>
        <v>0.3222261854293893</v>
      </c>
      <c r="I4" s="3">
        <f>IF(($A4-Ft!E$2)&lt;0,Ft!E$3*((1-Ft!E$6)/(1+Ft!E$37*($A4-Ft!E$2)^2)+Ft!E$6*EXP(Ft!E$38*($A4-Ft!E$2)^2)),Ft!E$3*((1-Ft!E$7)/(1+Ft!E$39*($A4-Ft!E$2)^2)+Ft!E$7*EXP(Ft!E$40*($A4-Ft!E$2)^2)))</f>
        <v>1.3783700932278942E-4</v>
      </c>
      <c r="J4" s="3">
        <f>IF(($A4-Ft!F$2)&lt;0,Ft!F$3*((1-Ft!F$6)/(1+Ft!F$37*($A4-Ft!F$2)^2)+Ft!F$6*EXP(Ft!F$38*($A4-Ft!F$2)^2)),Ft!F$3*((1-Ft!F$7)/(1+Ft!F$39*($A4-Ft!F$2)^2)+Ft!F$7*EXP(Ft!F$40*($A4-Ft!F$2)^2)))</f>
        <v>5.6774608338746882E-199</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v>6</v>
      </c>
      <c r="B5">
        <v>1.8801638359479966</v>
      </c>
      <c r="C5" s="6">
        <f t="shared" si="1"/>
        <v>3.1405611769046478</v>
      </c>
      <c r="D5" s="19">
        <f t="shared" si="2"/>
        <v>1.5886014570905966</v>
      </c>
      <c r="E5" s="3">
        <f>Ft!$B$12+Ft!$B$14*(Data!A5-Vars!$B$3)</f>
        <v>0</v>
      </c>
      <c r="F5" s="3">
        <f>IF(($A5-Ft!B$2)&lt;0,Ft!B$3*((1-Ft!B$6)/(1+Ft!B$37*($A5-Ft!B$2)^2)+Ft!B$6*EXP(Ft!B$38*($A5-Ft!B$2)^2)),Ft!B$3*((1-Ft!B$7)/(1+Ft!B$39*($A5-Ft!B$2)^2)+Ft!B$7*EXP(Ft!B$40*($A5-Ft!B$2)^2)))</f>
        <v>0.44417885081495811</v>
      </c>
      <c r="G5" s="3">
        <f>IF(($A5-Ft!C$2)&lt;0,Ft!C$3*((1-Ft!C$6)/(1+Ft!C$37*($A5-Ft!C$2)^2)+Ft!C$6*EXP(Ft!C$38*($A5-Ft!C$2)^2)),Ft!C$3*((1-Ft!C$7)/(1+Ft!C$39*($A5-Ft!C$2)^2)+Ft!C$7*EXP(Ft!C$40*($A5-Ft!C$2)^2)))</f>
        <v>2.3619190556198455</v>
      </c>
      <c r="H5" s="3">
        <f>IF(($A5-Ft!D$2)&lt;0,Ft!D$3*((1-Ft!D$6)/(1+Ft!D$37*($A5-Ft!D$2)^2)+Ft!D$6*EXP(Ft!D$38*($A5-Ft!D$2)^2)),Ft!D$3*((1-Ft!D$7)/(1+Ft!D$39*($A5-Ft!D$2)^2)+Ft!D$7*EXP(Ft!D$40*($A5-Ft!D$2)^2)))</f>
        <v>0.33431727780377146</v>
      </c>
      <c r="I5" s="3">
        <f>IF(($A5-Ft!E$2)&lt;0,Ft!E$3*((1-Ft!E$6)/(1+Ft!E$37*($A5-Ft!E$2)^2)+Ft!E$6*EXP(Ft!E$38*($A5-Ft!E$2)^2)),Ft!E$3*((1-Ft!E$7)/(1+Ft!E$39*($A5-Ft!E$2)^2)+Ft!E$7*EXP(Ft!E$40*($A5-Ft!E$2)^2)))</f>
        <v>1.4599266607269711E-4</v>
      </c>
      <c r="J5" s="3">
        <f>IF(($A5-Ft!F$2)&lt;0,Ft!F$3*((1-Ft!F$6)/(1+Ft!F$37*($A5-Ft!F$2)^2)+Ft!F$6*EXP(Ft!F$38*($A5-Ft!F$2)^2)),Ft!F$3*((1-Ft!F$7)/(1+Ft!F$39*($A5-Ft!F$2)^2)+Ft!F$7*EXP(Ft!F$40*($A5-Ft!F$2)^2)))</f>
        <v>3.3765333750675072E-198</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v>8</v>
      </c>
      <c r="B6">
        <v>2.4579726703749998</v>
      </c>
      <c r="C6" s="6">
        <f t="shared" si="1"/>
        <v>3.3477930350304832</v>
      </c>
      <c r="D6" s="19">
        <f t="shared" si="2"/>
        <v>0.79178028135561751</v>
      </c>
      <c r="E6" s="3">
        <f>Ft!$B$12+Ft!$B$14*(Data!A6-Vars!$B$3)</f>
        <v>0</v>
      </c>
      <c r="F6" s="3">
        <f>IF(($A6-Ft!B$2)&lt;0,Ft!B$3*((1-Ft!B$6)/(1+Ft!B$37*($A6-Ft!B$2)^2)+Ft!B$6*EXP(Ft!B$38*($A6-Ft!B$2)^2)),Ft!B$3*((1-Ft!B$7)/(1+Ft!B$39*($A6-Ft!B$2)^2)+Ft!B$7*EXP(Ft!B$40*($A6-Ft!B$2)^2)))</f>
        <v>0.53909621455339318</v>
      </c>
      <c r="G6" s="3">
        <f>IF(($A6-Ft!C$2)&lt;0,Ft!C$3*((1-Ft!C$6)/(1+Ft!C$37*($A6-Ft!C$2)^2)+Ft!C$6*EXP(Ft!C$38*($A6-Ft!C$2)^2)),Ft!C$3*((1-Ft!C$7)/(1+Ft!C$39*($A6-Ft!C$2)^2)+Ft!C$7*EXP(Ft!C$40*($A6-Ft!C$2)^2)))</f>
        <v>2.4617391481061843</v>
      </c>
      <c r="H6" s="3">
        <f>IF(($A6-Ft!D$2)&lt;0,Ft!D$3*((1-Ft!D$6)/(1+Ft!D$37*($A6-Ft!D$2)^2)+Ft!D$6*EXP(Ft!D$38*($A6-Ft!D$2)^2)),Ft!D$3*((1-Ft!D$7)/(1+Ft!D$39*($A6-Ft!D$2)^2)+Ft!D$7*EXP(Ft!D$40*($A6-Ft!D$2)^2)))</f>
        <v>0.34680306340533473</v>
      </c>
      <c r="I6" s="3">
        <f>IF(($A6-Ft!E$2)&lt;0,Ft!E$3*((1-Ft!E$6)/(1+Ft!E$37*($A6-Ft!E$2)^2)+Ft!E$6*EXP(Ft!E$38*($A6-Ft!E$2)^2)),Ft!E$3*((1-Ft!E$7)/(1+Ft!E$39*($A6-Ft!E$2)^2)+Ft!E$7*EXP(Ft!E$40*($A6-Ft!E$2)^2)))</f>
        <v>1.5460896557094425E-4</v>
      </c>
      <c r="J6" s="3">
        <f>IF(($A6-Ft!F$2)&lt;0,Ft!F$3*((1-Ft!F$6)/(1+Ft!F$37*($A6-Ft!F$2)^2)+Ft!F$6*EXP(Ft!F$38*($A6-Ft!F$2)^2)),Ft!F$3*((1-Ft!F$7)/(1+Ft!F$39*($A6-Ft!F$2)^2)+Ft!F$7*EXP(Ft!F$40*($A6-Ft!F$2)^2)))</f>
        <v>2.0011476288018696E-197</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v>10</v>
      </c>
      <c r="B7">
        <v>3.0097129282259942</v>
      </c>
      <c r="C7" s="6">
        <f t="shared" si="1"/>
        <v>3.5717967376750099</v>
      </c>
      <c r="D7" s="19">
        <f t="shared" si="2"/>
        <v>0.31593820884471741</v>
      </c>
      <c r="E7" s="3">
        <f>Ft!$B$12+Ft!$B$14*(Data!A7-Vars!$B$3)</f>
        <v>0</v>
      </c>
      <c r="F7" s="3">
        <f>IF(($A7-Ft!B$2)&lt;0,Ft!B$3*((1-Ft!B$6)/(1+Ft!B$37*($A7-Ft!B$2)^2)+Ft!B$6*EXP(Ft!B$38*($A7-Ft!B$2)^2)),Ft!B$3*((1-Ft!B$7)/(1+Ft!B$39*($A7-Ft!B$2)^2)+Ft!B$7*EXP(Ft!B$40*($A7-Ft!B$2)^2)))</f>
        <v>0.64775591165960367</v>
      </c>
      <c r="G7" s="3">
        <f>IF(($A7-Ft!C$2)&lt;0,Ft!C$3*((1-Ft!C$6)/(1+Ft!C$37*($A7-Ft!C$2)^2)+Ft!C$6*EXP(Ft!C$38*($A7-Ft!C$2)^2)),Ft!C$3*((1-Ft!C$7)/(1+Ft!C$39*($A7-Ft!C$2)^2)+Ft!C$7*EXP(Ft!C$40*($A7-Ft!C$2)^2)))</f>
        <v>2.5641831600502658</v>
      </c>
      <c r="H7" s="3">
        <f>IF(($A7-Ft!D$2)&lt;0,Ft!D$3*((1-Ft!D$6)/(1+Ft!D$37*($A7-Ft!D$2)^2)+Ft!D$6*EXP(Ft!D$38*($A7-Ft!D$2)^2)),Ft!D$3*((1-Ft!D$7)/(1+Ft!D$39*($A7-Ft!D$2)^2)+Ft!D$7*EXP(Ft!D$40*($A7-Ft!D$2)^2)))</f>
        <v>0.3596939553854831</v>
      </c>
      <c r="I7" s="3">
        <f>IF(($A7-Ft!E$2)&lt;0,Ft!E$3*((1-Ft!E$6)/(1+Ft!E$37*($A7-Ft!E$2)^2)+Ft!E$6*EXP(Ft!E$38*($A7-Ft!E$2)^2)),Ft!E$3*((1-Ft!E$7)/(1+Ft!E$39*($A7-Ft!E$2)^2)+Ft!E$7*EXP(Ft!E$40*($A7-Ft!E$2)^2)))</f>
        <v>1.6371057965731679E-4</v>
      </c>
      <c r="J7" s="3">
        <f>IF(($A7-Ft!F$2)&lt;0,Ft!F$3*((1-Ft!F$6)/(1+Ft!F$37*($A7-Ft!F$2)^2)+Ft!F$6*EXP(Ft!F$38*($A7-Ft!F$2)^2)),Ft!F$3*((1-Ft!F$7)/(1+Ft!F$39*($A7-Ft!F$2)^2)+Ft!F$7*EXP(Ft!F$40*($A7-Ft!F$2)^2)))</f>
        <v>1.1818936309177468E-196</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v>12</v>
      </c>
      <c r="B8">
        <v>3.5344171968259985</v>
      </c>
      <c r="C8" s="6">
        <f t="shared" si="1"/>
        <v>3.8129406036851585</v>
      </c>
      <c r="D8" s="19">
        <f t="shared" si="2"/>
        <v>7.7575288168433176E-2</v>
      </c>
      <c r="E8" s="3">
        <f>Ft!$B$12+Ft!$B$14*(Data!A8-Vars!$B$3)</f>
        <v>0</v>
      </c>
      <c r="F8" s="3">
        <f>IF(($A8-Ft!B$2)&lt;0,Ft!B$3*((1-Ft!B$6)/(1+Ft!B$37*($A8-Ft!B$2)^2)+Ft!B$6*EXP(Ft!B$38*($A8-Ft!B$2)^2)),Ft!B$3*((1-Ft!B$7)/(1+Ft!B$39*($A8-Ft!B$2)^2)+Ft!B$7*EXP(Ft!B$40*($A8-Ft!B$2)^2)))</f>
        <v>0.77053644500490293</v>
      </c>
      <c r="G8" s="3">
        <f>IF(($A8-Ft!C$2)&lt;0,Ft!C$3*((1-Ft!C$6)/(1+Ft!C$37*($A8-Ft!C$2)^2)+Ft!C$6*EXP(Ft!C$38*($A8-Ft!C$2)^2)),Ft!C$3*((1-Ft!C$7)/(1+Ft!C$39*($A8-Ft!C$2)^2)+Ft!C$7*EXP(Ft!C$40*($A8-Ft!C$2)^2)))</f>
        <v>2.6692302909727408</v>
      </c>
      <c r="H8" s="3">
        <f>IF(($A8-Ft!D$2)&lt;0,Ft!D$3*((1-Ft!D$6)/(1+Ft!D$37*($A8-Ft!D$2)^2)+Ft!D$6*EXP(Ft!D$38*($A8-Ft!D$2)^2)),Ft!D$3*((1-Ft!D$7)/(1+Ft!D$39*($A8-Ft!D$2)^2)+Ft!D$7*EXP(Ft!D$40*($A8-Ft!D$2)^2)))</f>
        <v>0.37300054428554069</v>
      </c>
      <c r="I8" s="3">
        <f>IF(($A8-Ft!E$2)&lt;0,Ft!E$3*((1-Ft!E$6)/(1+Ft!E$37*($A8-Ft!E$2)^2)+Ft!E$6*EXP(Ft!E$38*($A8-Ft!E$2)^2)),Ft!E$3*((1-Ft!E$7)/(1+Ft!E$39*($A8-Ft!E$2)^2)+Ft!E$7*EXP(Ft!E$40*($A8-Ft!E$2)^2)))</f>
        <v>1.7332342197392013E-4</v>
      </c>
      <c r="J8" s="3">
        <f>IF(($A8-Ft!F$2)&lt;0,Ft!F$3*((1-Ft!F$6)/(1+Ft!F$37*($A8-Ft!F$2)^2)+Ft!F$6*EXP(Ft!F$38*($A8-Ft!F$2)^2)),Ft!F$3*((1-Ft!F$7)/(1+Ft!F$39*($A8-Ft!F$2)^2)+Ft!F$7*EXP(Ft!F$40*($A8-Ft!F$2)^2)))</f>
        <v>6.9561483893257053E-196</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v>14</v>
      </c>
      <c r="B9">
        <v>4.0311180634959953</v>
      </c>
      <c r="C9" s="6">
        <f t="shared" si="1"/>
        <v>4.0711979673179703</v>
      </c>
      <c r="D9" s="19">
        <f t="shared" si="2"/>
        <v>1.6063986903787676E-3</v>
      </c>
      <c r="E9" s="3">
        <f>Ft!$B$12+Ft!$B$14*(Data!A9-Vars!$B$3)</f>
        <v>0</v>
      </c>
      <c r="F9" s="3">
        <f>IF(($A9-Ft!B$2)&lt;0,Ft!B$3*((1-Ft!B$6)/(1+Ft!B$37*($A9-Ft!B$2)^2)+Ft!B$6*EXP(Ft!B$38*($A9-Ft!B$2)^2)),Ft!B$3*((1-Ft!B$7)/(1+Ft!B$39*($A9-Ft!B$2)^2)+Ft!B$7*EXP(Ft!B$40*($A9-Ft!B$2)^2)))</f>
        <v>0.90742696666005029</v>
      </c>
      <c r="G9" s="3">
        <f>IF(($A9-Ft!C$2)&lt;0,Ft!C$3*((1-Ft!C$6)/(1+Ft!C$37*($A9-Ft!C$2)^2)+Ft!C$6*EXP(Ft!C$38*($A9-Ft!C$2)^2)),Ft!C$3*((1-Ft!C$7)/(1+Ft!C$39*($A9-Ft!C$2)^2)+Ft!C$7*EXP(Ft!C$40*($A9-Ft!C$2)^2)))</f>
        <v>2.776853928661378</v>
      </c>
      <c r="H9" s="3">
        <f>IF(($A9-Ft!D$2)&lt;0,Ft!D$3*((1-Ft!D$6)/(1+Ft!D$37*($A9-Ft!D$2)^2)+Ft!D$6*EXP(Ft!D$38*($A9-Ft!D$2)^2)),Ft!D$3*((1-Ft!D$7)/(1+Ft!D$39*($A9-Ft!D$2)^2)+Ft!D$7*EXP(Ft!D$40*($A9-Ft!D$2)^2)))</f>
        <v>0.38673359729059731</v>
      </c>
      <c r="I9" s="3">
        <f>IF(($A9-Ft!E$2)&lt;0,Ft!E$3*((1-Ft!E$6)/(1+Ft!E$37*($A9-Ft!E$2)^2)+Ft!E$6*EXP(Ft!E$38*($A9-Ft!E$2)^2)),Ft!E$3*((1-Ft!E$7)/(1+Ft!E$39*($A9-Ft!E$2)^2)+Ft!E$7*EXP(Ft!E$40*($A9-Ft!E$2)^2)))</f>
        <v>1.8347470594456229E-4</v>
      </c>
      <c r="J9" s="3">
        <f>IF(($A9-Ft!F$2)&lt;0,Ft!F$3*((1-Ft!F$6)/(1+Ft!F$37*($A9-Ft!F$2)^2)+Ft!F$6*EXP(Ft!F$38*($A9-Ft!F$2)^2)),Ft!F$3*((1-Ft!F$7)/(1+Ft!F$39*($A9-Ft!F$2)^2)+Ft!F$7*EXP(Ft!F$40*($A9-Ft!F$2)^2)))</f>
        <v>4.0799088944737381E-195</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v>16</v>
      </c>
      <c r="B10">
        <v>4.4988481155579905</v>
      </c>
      <c r="C10" s="6">
        <f t="shared" si="1"/>
        <v>4.3460739474110923</v>
      </c>
      <c r="D10" s="19">
        <f t="shared" si="2"/>
        <v>2.3339946452976709E-2</v>
      </c>
      <c r="E10" s="3">
        <f>Ft!$B$12+Ft!$B$14*(Data!A10-Vars!$B$3)</f>
        <v>0</v>
      </c>
      <c r="F10" s="3">
        <f>IF(($A10-Ft!B$2)&lt;0,Ft!B$3*((1-Ft!B$6)/(1+Ft!B$37*($A10-Ft!B$2)^2)+Ft!B$6*EXP(Ft!B$38*($A10-Ft!B$2)^2)),Ft!B$3*((1-Ft!B$7)/(1+Ft!B$39*($A10-Ft!B$2)^2)+Ft!B$7*EXP(Ft!B$40*($A10-Ft!B$2)^2)))</f>
        <v>1.0579542184751778</v>
      </c>
      <c r="G10" s="3">
        <f>IF(($A10-Ft!C$2)&lt;0,Ft!C$3*((1-Ft!C$6)/(1+Ft!C$37*($A10-Ft!C$2)^2)+Ft!C$6*EXP(Ft!C$38*($A10-Ft!C$2)^2)),Ft!C$3*((1-Ft!C$7)/(1+Ft!C$39*($A10-Ft!C$2)^2)+Ft!C$7*EXP(Ft!C$40*($A10-Ft!C$2)^2)))</f>
        <v>2.8870214786280268</v>
      </c>
      <c r="H10" s="3">
        <f>IF(($A10-Ft!D$2)&lt;0,Ft!D$3*((1-Ft!D$6)/(1+Ft!D$37*($A10-Ft!D$2)^2)+Ft!D$6*EXP(Ft!D$38*($A10-Ft!D$2)^2)),Ft!D$3*((1-Ft!D$7)/(1+Ft!D$39*($A10-Ft!D$2)^2)+Ft!D$7*EXP(Ft!D$40*($A10-Ft!D$2)^2)))</f>
        <v>0.40090405730267226</v>
      </c>
      <c r="I10" s="3">
        <f>IF(($A10-Ft!E$2)&lt;0,Ft!E$3*((1-Ft!E$6)/(1+Ft!E$37*($A10-Ft!E$2)^2)+Ft!E$6*EXP(Ft!E$38*($A10-Ft!E$2)^2)),Ft!E$3*((1-Ft!E$7)/(1+Ft!E$39*($A10-Ft!E$2)^2)+Ft!E$7*EXP(Ft!E$40*($A10-Ft!E$2)^2)))</f>
        <v>1.9419300521480716E-4</v>
      </c>
      <c r="J10" s="3">
        <f>IF(($A10-Ft!F$2)&lt;0,Ft!F$3*((1-Ft!F$6)/(1+Ft!F$37*($A10-Ft!F$2)^2)+Ft!F$6*EXP(Ft!F$38*($A10-Ft!F$2)^2)),Ft!F$3*((1-Ft!F$7)/(1+Ft!F$39*($A10-Ft!F$2)^2)+Ft!F$7*EXP(Ft!F$40*($A10-Ft!F$2)^2)))</f>
        <v>2.3846424711246965E-194</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v>18</v>
      </c>
      <c r="B11">
        <v>4.9374829812519891</v>
      </c>
      <c r="C11" s="6">
        <f t="shared" si="1"/>
        <v>4.6365439374289972</v>
      </c>
      <c r="D11" s="19">
        <f t="shared" si="2"/>
        <v>9.0564308097096688E-2</v>
      </c>
      <c r="E11" s="3">
        <f>Ft!$B$12+Ft!$B$14*(Data!A11-Vars!$B$3)</f>
        <v>0</v>
      </c>
      <c r="F11" s="3">
        <f>IF(($A11-Ft!B$2)&lt;0,Ft!B$3*((1-Ft!B$6)/(1+Ft!B$37*($A11-Ft!B$2)^2)+Ft!B$6*EXP(Ft!B$38*($A11-Ft!B$2)^2)),Ft!B$3*((1-Ft!B$7)/(1+Ft!B$39*($A11-Ft!B$2)^2)+Ft!B$7*EXP(Ft!B$40*($A11-Ft!B$2)^2)))</f>
        <v>1.2211211816878684</v>
      </c>
      <c r="G11" s="3">
        <f>IF(($A11-Ft!C$2)&lt;0,Ft!C$3*((1-Ft!C$6)/(1+Ft!C$37*($A11-Ft!C$2)^2)+Ft!C$6*EXP(Ft!C$38*($A11-Ft!C$2)^2)),Ft!C$3*((1-Ft!C$7)/(1+Ft!C$39*($A11-Ft!C$2)^2)+Ft!C$7*EXP(Ft!C$40*($A11-Ft!C$2)^2)))</f>
        <v>2.9996942055970011</v>
      </c>
      <c r="H11" s="3">
        <f>IF(($A11-Ft!D$2)&lt;0,Ft!D$3*((1-Ft!D$6)/(1+Ft!D$37*($A11-Ft!D$2)^2)+Ft!D$6*EXP(Ft!D$38*($A11-Ft!D$2)^2)),Ft!D$3*((1-Ft!D$7)/(1+Ft!D$39*($A11-Ft!D$2)^2)+Ft!D$7*EXP(Ft!D$40*($A11-Ft!D$2)^2)))</f>
        <v>0.41552304182748412</v>
      </c>
      <c r="I11" s="3">
        <f>IF(($A11-Ft!E$2)&lt;0,Ft!E$3*((1-Ft!E$6)/(1+Ft!E$37*($A11-Ft!E$2)^2)+Ft!E$6*EXP(Ft!E$38*($A11-Ft!E$2)^2)),Ft!E$3*((1-Ft!E$7)/(1+Ft!E$39*($A11-Ft!E$2)^2)+Ft!E$7*EXP(Ft!E$40*($A11-Ft!E$2)^2)))</f>
        <v>2.0550831664425836E-4</v>
      </c>
      <c r="J11" s="3">
        <f>IF(($A11-Ft!F$2)&lt;0,Ft!F$3*((1-Ft!F$6)/(1+Ft!F$37*($A11-Ft!F$2)^2)+Ft!F$6*EXP(Ft!F$38*($A11-Ft!F$2)^2)),Ft!F$3*((1-Ft!F$7)/(1+Ft!F$39*($A11-Ft!F$2)^2)+Ft!F$7*EXP(Ft!F$40*($A11-Ft!F$2)^2)))</f>
        <v>1.3889520905612605E-193</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v>20</v>
      </c>
      <c r="B12">
        <v>5.3486787616289888</v>
      </c>
      <c r="C12" s="6">
        <f t="shared" si="1"/>
        <v>4.9410098591724854</v>
      </c>
      <c r="D12" s="19">
        <f t="shared" si="2"/>
        <v>0.16619393403009011</v>
      </c>
      <c r="E12" s="3">
        <f>Ft!$B$12+Ft!$B$14*(Data!A12-Vars!$B$3)</f>
        <v>0</v>
      </c>
      <c r="F12" s="3">
        <f>IF(($A12-Ft!B$2)&lt;0,Ft!B$3*((1-Ft!B$6)/(1+Ft!B$37*($A12-Ft!B$2)^2)+Ft!B$6*EXP(Ft!B$38*($A12-Ft!B$2)^2)),Ft!B$3*((1-Ft!B$7)/(1+Ft!B$39*($A12-Ft!B$2)^2)+Ft!B$7*EXP(Ft!B$40*($A12-Ft!B$2)^2)))</f>
        <v>1.3953634772648318</v>
      </c>
      <c r="G12" s="3">
        <f>IF(($A12-Ft!C$2)&lt;0,Ft!C$3*((1-Ft!C$6)/(1+Ft!C$37*($A12-Ft!C$2)^2)+Ft!C$6*EXP(Ft!C$38*($A12-Ft!C$2)^2)),Ft!C$3*((1-Ft!C$7)/(1+Ft!C$39*($A12-Ft!C$2)^2)+Ft!C$7*EXP(Ft!C$40*($A12-Ft!C$2)^2)))</f>
        <v>3.1148270881125963</v>
      </c>
      <c r="H12" s="3">
        <f>IF(($A12-Ft!D$2)&lt;0,Ft!D$3*((1-Ft!D$6)/(1+Ft!D$37*($A12-Ft!D$2)^2)+Ft!D$6*EXP(Ft!D$38*($A12-Ft!D$2)^2)),Ft!D$3*((1-Ft!D$7)/(1+Ft!D$39*($A12-Ft!D$2)^2)+Ft!D$7*EXP(Ft!D$40*($A12-Ft!D$2)^2)))</f>
        <v>0.43060184166911147</v>
      </c>
      <c r="I12" s="3">
        <f>IF(($A12-Ft!E$2)&lt;0,Ft!E$3*((1-Ft!E$6)/(1+Ft!E$37*($A12-Ft!E$2)^2)+Ft!E$6*EXP(Ft!E$38*($A12-Ft!E$2)^2)),Ft!E$3*((1-Ft!E$7)/(1+Ft!E$39*($A12-Ft!E$2)^2)+Ft!E$7*EXP(Ft!E$40*($A12-Ft!E$2)^2)))</f>
        <v>2.1745212594544708E-4</v>
      </c>
      <c r="J12" s="3">
        <f>IF(($A12-Ft!F$2)&lt;0,Ft!F$3*((1-Ft!F$6)/(1+Ft!F$37*($A12-Ft!F$2)^2)+Ft!F$6*EXP(Ft!F$38*($A12-Ft!F$2)^2)),Ft!F$3*((1-Ft!F$7)/(1+Ft!F$39*($A12-Ft!F$2)^2)+Ft!F$7*EXP(Ft!F$40*($A12-Ft!F$2)^2)))</f>
        <v>8.0619934105180787E-193</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v>22</v>
      </c>
      <c r="B13">
        <v>5.734138753229999</v>
      </c>
      <c r="C13" s="6">
        <f t="shared" si="1"/>
        <v>5.2572799187663097</v>
      </c>
      <c r="D13" s="19">
        <f t="shared" si="2"/>
        <v>0.2273943480060682</v>
      </c>
      <c r="E13" s="3">
        <f>Ft!$B$12+Ft!$B$14*(Data!A13-Vars!$B$3)</f>
        <v>0</v>
      </c>
      <c r="F13" s="3">
        <f>IF(($A13-Ft!B$2)&lt;0,Ft!B$3*((1-Ft!B$6)/(1+Ft!B$37*($A13-Ft!B$2)^2)+Ft!B$6*EXP(Ft!B$38*($A13-Ft!B$2)^2)),Ft!B$3*((1-Ft!B$7)/(1+Ft!B$39*($A13-Ft!B$2)^2)+Ft!B$7*EXP(Ft!B$40*($A13-Ft!B$2)^2)))</f>
        <v>1.5785292545246716</v>
      </c>
      <c r="G13" s="3">
        <f>IF(($A13-Ft!C$2)&lt;0,Ft!C$3*((1-Ft!C$6)/(1+Ft!C$37*($A13-Ft!C$2)^2)+Ft!C$6*EXP(Ft!C$38*($A13-Ft!C$2)^2)),Ft!C$3*((1-Ft!C$7)/(1+Ft!C$39*($A13-Ft!C$2)^2)+Ft!C$7*EXP(Ft!C$40*($A13-Ft!C$2)^2)))</f>
        <v>3.2323686873386994</v>
      </c>
      <c r="H13" s="3">
        <f>IF(($A13-Ft!D$2)&lt;0,Ft!D$3*((1-Ft!D$6)/(1+Ft!D$37*($A13-Ft!D$2)^2)+Ft!D$6*EXP(Ft!D$38*($A13-Ft!D$2)^2)),Ft!D$3*((1-Ft!D$7)/(1+Ft!D$39*($A13-Ft!D$2)^2)+Ft!D$7*EXP(Ft!D$40*($A13-Ft!D$2)^2)))</f>
        <v>0.44615191942687227</v>
      </c>
      <c r="I13" s="3">
        <f>IF(($A13-Ft!E$2)&lt;0,Ft!E$3*((1-Ft!E$6)/(1+Ft!E$37*($A13-Ft!E$2)^2)+Ft!E$6*EXP(Ft!E$38*($A13-Ft!E$2)^2)),Ft!E$3*((1-Ft!E$7)/(1+Ft!E$39*($A13-Ft!E$2)^2)+Ft!E$7*EXP(Ft!E$40*($A13-Ft!E$2)^2)))</f>
        <v>2.3005747606646152E-4</v>
      </c>
      <c r="J13" s="3">
        <f>IF(($A13-Ft!F$2)&lt;0,Ft!F$3*((1-Ft!F$6)/(1+Ft!F$37*($A13-Ft!F$2)^2)+Ft!F$6*EXP(Ft!F$38*($A13-Ft!F$2)^2)),Ft!F$3*((1-Ft!F$7)/(1+Ft!F$39*($A13-Ft!F$2)^2)+Ft!F$7*EXP(Ft!F$40*($A13-Ft!F$2)^2)))</f>
        <v>4.6632510189036256E-192</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v>24</v>
      </c>
      <c r="B14">
        <v>6.0955662525919934</v>
      </c>
      <c r="C14" s="6">
        <f t="shared" si="1"/>
        <v>5.5825767581152368</v>
      </c>
      <c r="D14" s="19">
        <f t="shared" si="2"/>
        <v>0.26315822144351825</v>
      </c>
      <c r="E14" s="3">
        <f>Ft!$B$12+Ft!$B$14*(Data!A14-Vars!$B$3)</f>
        <v>0</v>
      </c>
      <c r="F14" s="3">
        <f>IF(($A14-Ft!B$2)&lt;0,Ft!B$3*((1-Ft!B$6)/(1+Ft!B$37*($A14-Ft!B$2)^2)+Ft!B$6*EXP(Ft!B$38*($A14-Ft!B$2)^2)),Ft!B$3*((1-Ft!B$7)/(1+Ft!B$39*($A14-Ft!B$2)^2)+Ft!B$7*EXP(Ft!B$40*($A14-Ft!B$2)^2)))</f>
        <v>1.7678874601852599</v>
      </c>
      <c r="G14" s="3">
        <f>IF(($A14-Ft!C$2)&lt;0,Ft!C$3*((1-Ft!C$6)/(1+Ft!C$37*($A14-Ft!C$2)^2)+Ft!C$6*EXP(Ft!C$38*($A14-Ft!C$2)^2)),Ft!C$3*((1-Ft!C$7)/(1+Ft!C$39*($A14-Ft!C$2)^2)+Ft!C$7*EXP(Ft!C$40*($A14-Ft!C$2)^2)))</f>
        <v>3.3522610311027963</v>
      </c>
      <c r="H14" s="3">
        <f>IF(($A14-Ft!D$2)&lt;0,Ft!D$3*((1-Ft!D$6)/(1+Ft!D$37*($A14-Ft!D$2)^2)+Ft!D$6*EXP(Ft!D$38*($A14-Ft!D$2)^2)),Ft!D$3*((1-Ft!D$7)/(1+Ft!D$39*($A14-Ft!D$2)^2)+Ft!D$7*EXP(Ft!D$40*($A14-Ft!D$2)^2)))</f>
        <v>0.46218490778876414</v>
      </c>
      <c r="I14" s="3">
        <f>IF(($A14-Ft!E$2)&lt;0,Ft!E$3*((1-Ft!E$6)/(1+Ft!E$37*($A14-Ft!E$2)^2)+Ft!E$6*EXP(Ft!E$38*($A14-Ft!E$2)^2)),Ft!E$3*((1-Ft!E$7)/(1+Ft!E$39*($A14-Ft!E$2)^2)+Ft!E$7*EXP(Ft!E$40*($A14-Ft!E$2)^2)))</f>
        <v>2.4335903841737661E-4</v>
      </c>
      <c r="J14" s="3">
        <f>IF(($A14-Ft!F$2)&lt;0,Ft!F$3*((1-Ft!F$6)/(1+Ft!F$37*($A14-Ft!F$2)^2)+Ft!F$6*EXP(Ft!F$38*($A14-Ft!F$2)^2)),Ft!F$3*((1-Ft!F$7)/(1+Ft!F$39*($A14-Ft!F$2)^2)+Ft!F$7*EXP(Ft!F$40*($A14-Ft!F$2)^2)))</f>
        <v>2.6879818419740939E-191</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v>26</v>
      </c>
      <c r="B15">
        <v>6.4346645562579994</v>
      </c>
      <c r="C15" s="6">
        <f t="shared" si="1"/>
        <v>5.9135775034872173</v>
      </c>
      <c r="D15" s="19">
        <f t="shared" si="2"/>
        <v>0.27153171656533981</v>
      </c>
      <c r="E15" s="3">
        <f>Ft!$B$12+Ft!$B$14*(Data!A15-Vars!$B$3)</f>
        <v>0</v>
      </c>
      <c r="F15" s="3">
        <f>IF(($A15-Ft!B$2)&lt;0,Ft!B$3*((1-Ft!B$6)/(1+Ft!B$37*($A15-Ft!B$2)^2)+Ft!B$6*EXP(Ft!B$38*($A15-Ft!B$2)^2)),Ft!B$3*((1-Ft!B$7)/(1+Ft!B$39*($A15-Ft!B$2)^2)+Ft!B$7*EXP(Ft!B$40*($A15-Ft!B$2)^2)))</f>
        <v>1.9601679884745262</v>
      </c>
      <c r="G15" s="3">
        <f>IF(($A15-Ft!C$2)&lt;0,Ft!C$3*((1-Ft!C$6)/(1+Ft!C$37*($A15-Ft!C$2)^2)+Ft!C$6*EXP(Ft!C$38*($A15-Ft!C$2)^2)),Ft!C$3*((1-Ft!C$7)/(1+Ft!C$39*($A15-Ft!C$2)^2)+Ft!C$7*EXP(Ft!C$40*($A15-Ft!C$2)^2)))</f>
        <v>3.4744395142097857</v>
      </c>
      <c r="H15" s="3">
        <f>IF(($A15-Ft!D$2)&lt;0,Ft!D$3*((1-Ft!D$6)/(1+Ft!D$37*($A15-Ft!D$2)^2)+Ft!D$6*EXP(Ft!D$38*($A15-Ft!D$2)^2)),Ft!D$3*((1-Ft!D$7)/(1+Ft!D$39*($A15-Ft!D$2)^2)+Ft!D$7*EXP(Ft!D$40*($A15-Ft!D$2)^2)))</f>
        <v>0.47871260761586221</v>
      </c>
      <c r="I15" s="3">
        <f>IF(($A15-Ft!E$2)&lt;0,Ft!E$3*((1-Ft!E$6)/(1+Ft!E$37*($A15-Ft!E$2)^2)+Ft!E$6*EXP(Ft!E$38*($A15-Ft!E$2)^2)),Ft!E$3*((1-Ft!E$7)/(1+Ft!E$39*($A15-Ft!E$2)^2)+Ft!E$7*EXP(Ft!E$40*($A15-Ft!E$2)^2)))</f>
        <v>2.5739318704341024E-4</v>
      </c>
      <c r="J15" s="3">
        <f>IF(($A15-Ft!F$2)&lt;0,Ft!F$3*((1-Ft!F$6)/(1+Ft!F$37*($A15-Ft!F$2)^2)+Ft!F$6*EXP(Ft!F$38*($A15-Ft!F$2)^2)),Ft!F$3*((1-Ft!F$7)/(1+Ft!F$39*($A15-Ft!F$2)^2)+Ft!F$7*EXP(Ft!F$40*($A15-Ft!F$2)^2)))</f>
        <v>1.5440275647911593E-190</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v>28</v>
      </c>
      <c r="B16">
        <v>6.7531369607649907</v>
      </c>
      <c r="C16" s="6">
        <f t="shared" si="1"/>
        <v>6.2464873275847026</v>
      </c>
      <c r="D16" s="19">
        <f t="shared" si="2"/>
        <v>0.25669385080172047</v>
      </c>
      <c r="E16" s="3">
        <f>Ft!$B$12+Ft!$B$14*(Data!A16-Vars!$B$3)</f>
        <v>0</v>
      </c>
      <c r="F16" s="3">
        <f>IF(($A16-Ft!B$2)&lt;0,Ft!B$3*((1-Ft!B$6)/(1+Ft!B$37*($A16-Ft!B$2)^2)+Ft!B$6*EXP(Ft!B$38*($A16-Ft!B$2)^2)),Ft!B$3*((1-Ft!B$7)/(1+Ft!B$39*($A16-Ft!B$2)^2)+Ft!B$7*EXP(Ft!B$40*($A16-Ft!B$2)^2)))</f>
        <v>2.1516353276787887</v>
      </c>
      <c r="G16" s="3">
        <f>IF(($A16-Ft!C$2)&lt;0,Ft!C$3*((1-Ft!C$6)/(1+Ft!C$37*($A16-Ft!C$2)^2)+Ft!C$6*EXP(Ft!C$38*($A16-Ft!C$2)^2)),Ft!C$3*((1-Ft!C$7)/(1+Ft!C$39*($A16-Ft!C$2)^2)+Ft!C$7*EXP(Ft!C$40*($A16-Ft!C$2)^2)))</f>
        <v>3.598832816017949</v>
      </c>
      <c r="H16" s="3">
        <f>IF(($A16-Ft!D$2)&lt;0,Ft!D$3*((1-Ft!D$6)/(1+Ft!D$37*($A16-Ft!D$2)^2)+Ft!D$6*EXP(Ft!D$38*($A16-Ft!D$2)^2)),Ft!D$3*((1-Ft!D$7)/(1+Ft!D$39*($A16-Ft!D$2)^2)+Ft!D$7*EXP(Ft!D$40*($A16-Ft!D$2)^2)))</f>
        <v>0.49574698581211396</v>
      </c>
      <c r="I16" s="3">
        <f>IF(($A16-Ft!E$2)&lt;0,Ft!E$3*((1-Ft!E$6)/(1+Ft!E$37*($A16-Ft!E$2)^2)+Ft!E$6*EXP(Ft!E$38*($A16-Ft!E$2)^2)),Ft!E$3*((1-Ft!E$7)/(1+Ft!E$39*($A16-Ft!E$2)^2)+Ft!E$7*EXP(Ft!E$40*($A16-Ft!E$2)^2)))</f>
        <v>2.721980758507446E-4</v>
      </c>
      <c r="J16" s="3">
        <f>IF(($A16-Ft!F$2)&lt;0,Ft!F$3*((1-Ft!F$6)/(1+Ft!F$37*($A16-Ft!F$2)^2)+Ft!F$6*EXP(Ft!F$38*($A16-Ft!F$2)^2)),Ft!F$3*((1-Ft!F$7)/(1+Ft!F$39*($A16-Ft!F$2)^2)+Ft!F$7*EXP(Ft!F$40*($A16-Ft!F$2)^2)))</f>
        <v>8.8384264024766765E-190</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v>30</v>
      </c>
      <c r="B17">
        <v>7.0526867626539911</v>
      </c>
      <c r="C17" s="6">
        <f t="shared" si="1"/>
        <v>6.5771458742623023</v>
      </c>
      <c r="D17" s="19">
        <f t="shared" si="2"/>
        <v>0.22613913653235657</v>
      </c>
      <c r="E17" s="3">
        <f>Ft!$B$12+Ft!$B$14*(Data!A17-Vars!$B$3)</f>
        <v>0</v>
      </c>
      <c r="F17" s="3">
        <f>IF(($A17-Ft!B$2)&lt;0,Ft!B$3*((1-Ft!B$6)/(1+Ft!B$37*($A17-Ft!B$2)^2)+Ft!B$6*EXP(Ft!B$38*($A17-Ft!B$2)^2)),Ft!B$3*((1-Ft!B$7)/(1+Ft!B$39*($A17-Ft!B$2)^2)+Ft!B$7*EXP(Ft!B$40*($A17-Ft!B$2)^2)))</f>
        <v>2.3381950513392167</v>
      </c>
      <c r="G17" s="3">
        <f>IF(($A17-Ft!C$2)&lt;0,Ft!C$3*((1-Ft!C$6)/(1+Ft!C$37*($A17-Ft!C$2)^2)+Ft!C$6*EXP(Ft!C$38*($A17-Ft!C$2)^2)),Ft!C$3*((1-Ft!C$7)/(1+Ft!C$39*($A17-Ft!C$2)^2)+Ft!C$7*EXP(Ft!C$40*($A17-Ft!C$2)^2)))</f>
        <v>3.7253628362300595</v>
      </c>
      <c r="H17" s="3">
        <f>IF(($A17-Ft!D$2)&lt;0,Ft!D$3*((1-Ft!D$6)/(1+Ft!D$37*($A17-Ft!D$2)^2)+Ft!D$6*EXP(Ft!D$38*($A17-Ft!D$2)^2)),Ft!D$3*((1-Ft!D$7)/(1+Ft!D$39*($A17-Ft!D$2)^2)+Ft!D$7*EXP(Ft!D$40*($A17-Ft!D$2)^2)))</f>
        <v>0.51330017297403296</v>
      </c>
      <c r="I17" s="3">
        <f>IF(($A17-Ft!E$2)&lt;0,Ft!E$3*((1-Ft!E$6)/(1+Ft!E$37*($A17-Ft!E$2)^2)+Ft!E$6*EXP(Ft!E$38*($A17-Ft!E$2)^2)),Ft!E$3*((1-Ft!E$7)/(1+Ft!E$39*($A17-Ft!E$2)^2)+Ft!E$7*EXP(Ft!E$40*($A17-Ft!E$2)^2)))</f>
        <v>2.8781371899392672E-4</v>
      </c>
      <c r="J17" s="3">
        <f>IF(($A17-Ft!F$2)&lt;0,Ft!F$3*((1-Ft!F$6)/(1+Ft!F$37*($A17-Ft!F$2)^2)+Ft!F$6*EXP(Ft!F$38*($A17-Ft!F$2)^2)),Ft!F$3*((1-Ft!F$7)/(1+Ft!F$39*($A17-Ft!F$2)^2)+Ft!F$7*EXP(Ft!F$40*($A17-Ft!F$2)^2)))</f>
        <v>5.0418048577450145E-189</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v>32</v>
      </c>
      <c r="B18">
        <v>7.3350172584639921</v>
      </c>
      <c r="C18" s="6">
        <f t="shared" si="1"/>
        <v>6.9011634124621342</v>
      </c>
      <c r="D18" s="19">
        <f t="shared" si="2"/>
        <v>0.18822915969060386</v>
      </c>
      <c r="E18" s="3">
        <f>Ft!$B$12+Ft!$B$14*(Data!A18-Vars!$B$3)</f>
        <v>0</v>
      </c>
      <c r="F18" s="3">
        <f>IF(($A18-Ft!B$2)&lt;0,Ft!B$3*((1-Ft!B$6)/(1+Ft!B$37*($A18-Ft!B$2)^2)+Ft!B$6*EXP(Ft!B$38*($A18-Ft!B$2)^2)),Ft!B$3*((1-Ft!B$7)/(1+Ft!B$39*($A18-Ft!B$2)^2)+Ft!B$7*EXP(Ft!B$40*($A18-Ft!B$2)^2)))</f>
        <v>2.5155300197657193</v>
      </c>
      <c r="G18" s="3">
        <f>IF(($A18-Ft!C$2)&lt;0,Ft!C$3*((1-Ft!C$6)/(1+Ft!C$37*($A18-Ft!C$2)^2)+Ft!C$6*EXP(Ft!C$38*($A18-Ft!C$2)^2)),Ft!C$3*((1-Ft!C$7)/(1+Ft!C$39*($A18-Ft!C$2)^2)+Ft!C$7*EXP(Ft!C$40*($A18-Ft!C$2)^2)))</f>
        <v>3.8539446498070133</v>
      </c>
      <c r="H18" s="3">
        <f>IF(($A18-Ft!D$2)&lt;0,Ft!D$3*((1-Ft!D$6)/(1+Ft!D$37*($A18-Ft!D$2)^2)+Ft!D$6*EXP(Ft!D$38*($A18-Ft!D$2)^2)),Ft!D$3*((1-Ft!D$7)/(1+Ft!D$39*($A18-Ft!D$2)^2)+Ft!D$7*EXP(Ft!D$40*($A18-Ft!D$2)^2)))</f>
        <v>0.53138446081486423</v>
      </c>
      <c r="I18" s="3">
        <f>IF(($A18-Ft!E$2)&lt;0,Ft!E$3*((1-Ft!E$6)/(1+Ft!E$37*($A18-Ft!E$2)^2)+Ft!E$6*EXP(Ft!E$38*($A18-Ft!E$2)^2)),Ft!E$3*((1-Ft!E$7)/(1+Ft!E$39*($A18-Ft!E$2)^2)+Ft!E$7*EXP(Ft!E$40*($A18-Ft!E$2)^2)))</f>
        <v>3.0428207453686573E-4</v>
      </c>
      <c r="J18" s="3">
        <f>IF(($A18-Ft!F$2)&lt;0,Ft!F$3*((1-Ft!F$6)/(1+Ft!F$37*($A18-Ft!F$2)^2)+Ft!F$6*EXP(Ft!F$38*($A18-Ft!F$2)^2)),Ft!F$3*((1-Ft!F$7)/(1+Ft!F$39*($A18-Ft!F$2)^2)+Ft!F$7*EXP(Ft!F$40*($A18-Ft!F$2)^2)))</f>
        <v>2.8660799217972919E-188</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v>34</v>
      </c>
      <c r="B19">
        <v>7.5965263321320009</v>
      </c>
      <c r="C19" s="6">
        <f t="shared" si="1"/>
        <v>7.2140810967920066</v>
      </c>
      <c r="D19" s="19">
        <f t="shared" si="2"/>
        <v>0.14626435803426363</v>
      </c>
      <c r="E19" s="3">
        <f>Ft!$B$12+Ft!$B$14*(Data!A19-Vars!$B$3)</f>
        <v>0</v>
      </c>
      <c r="F19" s="3">
        <f>IF(($A19-Ft!B$2)&lt;0,Ft!B$3*((1-Ft!B$6)/(1+Ft!B$37*($A19-Ft!B$2)^2)+Ft!B$6*EXP(Ft!B$38*($A19-Ft!B$2)^2)),Ft!B$3*((1-Ft!B$7)/(1+Ft!B$39*($A19-Ft!B$2)^2)+Ft!B$7*EXP(Ft!B$40*($A19-Ft!B$2)^2)))</f>
        <v>2.6792606684431872</v>
      </c>
      <c r="G19" s="3">
        <f>IF(($A19-Ft!C$2)&lt;0,Ft!C$3*((1-Ft!C$6)/(1+Ft!C$37*($A19-Ft!C$2)^2)+Ft!C$6*EXP(Ft!C$38*($A19-Ft!C$2)^2)),Ft!C$3*((1-Ft!C$7)/(1+Ft!C$39*($A19-Ft!C$2)^2)+Ft!C$7*EXP(Ft!C$40*($A19-Ft!C$2)^2)))</f>
        <v>3.9844864818594479</v>
      </c>
      <c r="H19" s="3">
        <f>IF(($A19-Ft!D$2)&lt;0,Ft!D$3*((1-Ft!D$6)/(1+Ft!D$37*($A19-Ft!D$2)^2)+Ft!D$6*EXP(Ft!D$38*($A19-Ft!D$2)^2)),Ft!D$3*((1-Ft!D$7)/(1+Ft!D$39*($A19-Ft!D$2)^2)+Ft!D$7*EXP(Ft!D$40*($A19-Ft!D$2)^2)))</f>
        <v>0.55001229935786866</v>
      </c>
      <c r="I19" s="3">
        <f>IF(($A19-Ft!E$2)&lt;0,Ft!E$3*((1-Ft!E$6)/(1+Ft!E$37*($A19-Ft!E$2)^2)+Ft!E$6*EXP(Ft!E$38*($A19-Ft!E$2)^2)),Ft!E$3*((1-Ft!E$7)/(1+Ft!E$39*($A19-Ft!E$2)^2)+Ft!E$7*EXP(Ft!E$40*($A19-Ft!E$2)^2)))</f>
        <v>3.2164713150251178E-4</v>
      </c>
      <c r="J19" s="3">
        <f>IF(($A19-Ft!F$2)&lt;0,Ft!F$3*((1-Ft!F$6)/(1+Ft!F$37*($A19-Ft!F$2)^2)+Ft!F$6*EXP(Ft!F$38*($A19-Ft!F$2)^2)),Ft!F$3*((1-Ft!F$7)/(1+Ft!F$39*($A19-Ft!F$2)^2)+Ft!F$7*EXP(Ft!F$40*($A19-Ft!F$2)^2)))</f>
        <v>1.6236100949719449E-187</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v>36</v>
      </c>
      <c r="B20">
        <v>7.8099663248499951</v>
      </c>
      <c r="C20" s="6">
        <f t="shared" si="1"/>
        <v>7.5115474484853308</v>
      </c>
      <c r="D20" s="19">
        <f t="shared" si="2"/>
        <v>8.905382577074876E-2</v>
      </c>
      <c r="E20" s="3">
        <f>Ft!$B$12+Ft!$B$14*(Data!A20-Vars!$B$3)</f>
        <v>0</v>
      </c>
      <c r="F20" s="3">
        <f>IF(($A20-Ft!B$2)&lt;0,Ft!B$3*((1-Ft!B$6)/(1+Ft!B$37*($A20-Ft!B$2)^2)+Ft!B$6*EXP(Ft!B$38*($A20-Ft!B$2)^2)),Ft!B$3*((1-Ft!B$7)/(1+Ft!B$39*($A20-Ft!B$2)^2)+Ft!B$7*EXP(Ft!B$40*($A20-Ft!B$2)^2)))</f>
        <v>2.8251214962766675</v>
      </c>
      <c r="G20" s="3">
        <f>IF(($A20-Ft!C$2)&lt;0,Ft!C$3*((1-Ft!C$6)/(1+Ft!C$37*($A20-Ft!C$2)^2)+Ft!C$6*EXP(Ft!C$38*($A20-Ft!C$2)^2)),Ft!C$3*((1-Ft!C$7)/(1+Ft!C$39*($A20-Ft!C$2)^2)+Ft!C$7*EXP(Ft!C$40*($A20-Ft!C$2)^2)))</f>
        <v>4.1168897033147607</v>
      </c>
      <c r="H20" s="3">
        <f>IF(($A20-Ft!D$2)&lt;0,Ft!D$3*((1-Ft!D$6)/(1+Ft!D$37*($A20-Ft!D$2)^2)+Ft!D$6*EXP(Ft!D$38*($A20-Ft!D$2)^2)),Ft!D$3*((1-Ft!D$7)/(1+Ft!D$39*($A20-Ft!D$2)^2)+Ft!D$7*EXP(Ft!D$40*($A20-Ft!D$2)^2)))</f>
        <v>0.56919629389347259</v>
      </c>
      <c r="I20" s="3">
        <f>IF(($A20-Ft!E$2)&lt;0,Ft!E$3*((1-Ft!E$6)/(1+Ft!E$37*($A20-Ft!E$2)^2)+Ft!E$6*EXP(Ft!E$38*($A20-Ft!E$2)^2)),Ft!E$3*((1-Ft!E$7)/(1+Ft!E$39*($A20-Ft!E$2)^2)+Ft!E$7*EXP(Ft!E$40*($A20-Ft!E$2)^2)))</f>
        <v>3.3995500042949798E-4</v>
      </c>
      <c r="J20" s="3">
        <f>IF(($A20-Ft!F$2)&lt;0,Ft!F$3*((1-Ft!F$6)/(1+Ft!F$37*($A20-Ft!F$2)^2)+Ft!F$6*EXP(Ft!F$38*($A20-Ft!F$2)^2)),Ft!F$3*((1-Ft!F$7)/(1+Ft!F$39*($A20-Ft!F$2)^2)+Ft!F$7*EXP(Ft!F$40*($A20-Ft!F$2)^2)))</f>
        <v>9.165715462582672E-187</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v>38</v>
      </c>
      <c r="B21">
        <v>7.9790990056850006</v>
      </c>
      <c r="C21" s="6">
        <f t="shared" si="1"/>
        <v>7.7895013634194763</v>
      </c>
      <c r="D21" s="19">
        <f t="shared" si="2"/>
        <v>3.5947265952645739E-2</v>
      </c>
      <c r="E21" s="3">
        <f>Ft!$B$12+Ft!$B$14*(Data!A21-Vars!$B$3)</f>
        <v>0</v>
      </c>
      <c r="F21" s="3">
        <f>IF(($A21-Ft!B$2)&lt;0,Ft!B$3*((1-Ft!B$6)/(1+Ft!B$37*($A21-Ft!B$2)^2)+Ft!B$6*EXP(Ft!B$38*($A21-Ft!B$2)^2)),Ft!B$3*((1-Ft!B$7)/(1+Ft!B$39*($A21-Ft!B$2)^2)+Ft!B$7*EXP(Ft!B$40*($A21-Ft!B$2)^2)))</f>
        <v>2.9491440596239915</v>
      </c>
      <c r="G21" s="3">
        <f>IF(($A21-Ft!C$2)&lt;0,Ft!C$3*((1-Ft!C$6)/(1+Ft!C$37*($A21-Ft!C$2)^2)+Ft!C$6*EXP(Ft!C$38*($A21-Ft!C$2)^2)),Ft!C$3*((1-Ft!C$7)/(1+Ft!C$39*($A21-Ft!C$2)^2)+Ft!C$7*EXP(Ft!C$40*($A21-Ft!C$2)^2)))</f>
        <v>4.2510488480928093</v>
      </c>
      <c r="H21" s="3">
        <f>IF(($A21-Ft!D$2)&lt;0,Ft!D$3*((1-Ft!D$6)/(1+Ft!D$37*($A21-Ft!D$2)^2)+Ft!D$6*EXP(Ft!D$38*($A21-Ft!D$2)^2)),Ft!D$3*((1-Ft!D$7)/(1+Ft!D$39*($A21-Ft!D$2)^2)+Ft!D$7*EXP(Ft!D$40*($A21-Ft!D$2)^2)))</f>
        <v>0.58894920169511877</v>
      </c>
      <c r="I21" s="3">
        <f>IF(($A21-Ft!E$2)&lt;0,Ft!E$3*((1-Ft!E$6)/(1+Ft!E$37*($A21-Ft!E$2)^2)+Ft!E$6*EXP(Ft!E$38*($A21-Ft!E$2)^2)),Ft!E$3*((1-Ft!E$7)/(1+Ft!E$39*($A21-Ft!E$2)^2)+Ft!E$7*EXP(Ft!E$40*($A21-Ft!E$2)^2)))</f>
        <v>3.592540075571849E-4</v>
      </c>
      <c r="J21" s="3">
        <f>IF(($A21-Ft!F$2)&lt;0,Ft!F$3*((1-Ft!F$6)/(1+Ft!F$37*($A21-Ft!F$2)^2)+Ft!F$6*EXP(Ft!F$38*($A21-Ft!F$2)^2)),Ft!F$3*((1-Ft!F$7)/(1+Ft!F$39*($A21-Ft!F$2)^2)+Ft!F$7*EXP(Ft!F$40*($A21-Ft!F$2)^2)))</f>
        <v>5.1563475364674465E-186</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v>40</v>
      </c>
      <c r="B22">
        <v>8.1133117252259979</v>
      </c>
      <c r="C22" s="6">
        <f t="shared" si="1"/>
        <v>8.0443508074727728</v>
      </c>
      <c r="D22" s="19">
        <f t="shared" si="2"/>
        <v>4.7556081773670773E-3</v>
      </c>
      <c r="E22" s="3">
        <f>Ft!$B$12+Ft!$B$14*(Data!A22-Vars!$B$3)</f>
        <v>0</v>
      </c>
      <c r="F22" s="3">
        <f>IF(($A22-Ft!B$2)&lt;0,Ft!B$3*((1-Ft!B$6)/(1+Ft!B$37*($A22-Ft!B$2)^2)+Ft!B$6*EXP(Ft!B$38*($A22-Ft!B$2)^2)),Ft!B$3*((1-Ft!B$7)/(1+Ft!B$39*($A22-Ft!B$2)^2)+Ft!B$7*EXP(Ft!B$40*($A22-Ft!B$2)^2)))</f>
        <v>3.0478356317377489</v>
      </c>
      <c r="G22" s="3">
        <f>IF(($A22-Ft!C$2)&lt;0,Ft!C$3*((1-Ft!C$6)/(1+Ft!C$37*($A22-Ft!C$2)^2)+Ft!C$6*EXP(Ft!C$38*($A22-Ft!C$2)^2)),Ft!C$3*((1-Ft!C$7)/(1+Ft!C$39*($A22-Ft!C$2)^2)+Ft!C$7*EXP(Ft!C$40*($A22-Ft!C$2)^2)))</f>
        <v>4.3868516524534877</v>
      </c>
      <c r="H22" s="3">
        <f>IF(($A22-Ft!D$2)&lt;0,Ft!D$3*((1-Ft!D$6)/(1+Ft!D$37*($A22-Ft!D$2)^2)+Ft!D$6*EXP(Ft!D$38*($A22-Ft!D$2)^2)),Ft!D$3*((1-Ft!D$7)/(1+Ft!D$39*($A22-Ft!D$2)^2)+Ft!D$7*EXP(Ft!D$40*($A22-Ft!D$2)^2)))</f>
        <v>0.60928392848877377</v>
      </c>
      <c r="I22" s="3">
        <f>IF(($A22-Ft!E$2)&lt;0,Ft!E$3*((1-Ft!E$6)/(1+Ft!E$37*($A22-Ft!E$2)^2)+Ft!E$6*EXP(Ft!E$38*($A22-Ft!E$2)^2)),Ft!E$3*((1-Ft!E$7)/(1+Ft!E$39*($A22-Ft!E$2)^2)+Ft!E$7*EXP(Ft!E$40*($A22-Ft!E$2)^2)))</f>
        <v>3.7959479276382081E-4</v>
      </c>
      <c r="J22" s="3">
        <f>IF(($A22-Ft!F$2)&lt;0,Ft!F$3*((1-Ft!F$6)/(1+Ft!F$37*($A22-Ft!F$2)^2)+Ft!F$6*EXP(Ft!F$38*($A22-Ft!F$2)^2)),Ft!F$3*((1-Ft!F$7)/(1+Ft!F$39*($A22-Ft!F$2)^2)+Ft!F$7*EXP(Ft!F$40*($A22-Ft!F$2)^2)))</f>
        <v>2.8907409378828439E-185</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v>42</v>
      </c>
      <c r="B23">
        <v>8.2219918340629903</v>
      </c>
      <c r="C23" s="6">
        <f t="shared" si="1"/>
        <v>8.2731360255039252</v>
      </c>
      <c r="D23" s="19">
        <f t="shared" si="2"/>
        <v>2.6157283181470047E-3</v>
      </c>
      <c r="E23" s="3">
        <f>Ft!$B$12+Ft!$B$14*(Data!A23-Vars!$B$3)</f>
        <v>0</v>
      </c>
      <c r="F23" s="3">
        <f>IF(($A23-Ft!B$2)&lt;0,Ft!B$3*((1-Ft!B$6)/(1+Ft!B$37*($A23-Ft!B$2)^2)+Ft!B$6*EXP(Ft!B$38*($A23-Ft!B$2)^2)),Ft!B$3*((1-Ft!B$7)/(1+Ft!B$39*($A23-Ft!B$2)^2)+Ft!B$7*EXP(Ft!B$40*($A23-Ft!B$2)^2)))</f>
        <v>3.1183423533177463</v>
      </c>
      <c r="G23" s="3">
        <f>IF(($A23-Ft!C$2)&lt;0,Ft!C$3*((1-Ft!C$6)/(1+Ft!C$37*($A23-Ft!C$2)^2)+Ft!C$6*EXP(Ft!C$38*($A23-Ft!C$2)^2)),Ft!C$3*((1-Ft!C$7)/(1+Ft!C$39*($A23-Ft!C$2)^2)+Ft!C$7*EXP(Ft!C$40*($A23-Ft!C$2)^2)))</f>
        <v>4.5241791171036265</v>
      </c>
      <c r="H23" s="3">
        <f>IF(($A23-Ft!D$2)&lt;0,Ft!D$3*((1-Ft!D$6)/(1+Ft!D$37*($A23-Ft!D$2)^2)+Ft!D$6*EXP(Ft!D$38*($A23-Ft!D$2)^2)),Ft!D$3*((1-Ft!D$7)/(1+Ft!D$39*($A23-Ft!D$2)^2)+Ft!D$7*EXP(Ft!D$40*($A23-Ft!D$2)^2)))</f>
        <v>0.63021352467116576</v>
      </c>
      <c r="I23" s="3">
        <f>IF(($A23-Ft!E$2)&lt;0,Ft!E$3*((1-Ft!E$6)/(1+Ft!E$37*($A23-Ft!E$2)^2)+Ft!E$6*EXP(Ft!E$38*($A23-Ft!E$2)^2)),Ft!E$3*((1-Ft!E$7)/(1+Ft!E$39*($A23-Ft!E$2)^2)+Ft!E$7*EXP(Ft!E$40*($A23-Ft!E$2)^2)))</f>
        <v>4.0103041138576614E-4</v>
      </c>
      <c r="J23" s="3">
        <f>IF(($A23-Ft!F$2)&lt;0,Ft!F$3*((1-Ft!F$6)/(1+Ft!F$37*($A23-Ft!F$2)^2)+Ft!F$6*EXP(Ft!F$38*($A23-Ft!F$2)^2)),Ft!F$3*((1-Ft!F$7)/(1+Ft!F$39*($A23-Ft!F$2)^2)+Ft!F$7*EXP(Ft!F$40*($A23-Ft!F$2)^2)))</f>
        <v>1.6149807370987181E-184</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v>44</v>
      </c>
      <c r="B24">
        <v>8.3145266827859956</v>
      </c>
      <c r="C24" s="6">
        <f t="shared" si="1"/>
        <v>8.4736666474004476</v>
      </c>
      <c r="D24" s="19">
        <f t="shared" si="2"/>
        <v>2.532552833748904E-2</v>
      </c>
      <c r="E24" s="3">
        <f>Ft!$B$12+Ft!$B$14*(Data!A24-Vars!$B$3)</f>
        <v>0</v>
      </c>
      <c r="F24" s="3">
        <f>IF(($A24-Ft!B$2)&lt;0,Ft!B$3*((1-Ft!B$6)/(1+Ft!B$37*($A24-Ft!B$2)^2)+Ft!B$6*EXP(Ft!B$38*($A24-Ft!B$2)^2)),Ft!B$3*((1-Ft!B$7)/(1+Ft!B$39*($A24-Ft!B$2)^2)+Ft!B$7*EXP(Ft!B$40*($A24-Ft!B$2)^2)))</f>
        <v>3.158586257119079</v>
      </c>
      <c r="G24" s="3">
        <f>IF(($A24-Ft!C$2)&lt;0,Ft!C$3*((1-Ft!C$6)/(1+Ft!C$37*($A24-Ft!C$2)^2)+Ft!C$6*EXP(Ft!C$38*($A24-Ft!C$2)^2)),Ft!C$3*((1-Ft!C$7)/(1+Ft!C$39*($A24-Ft!C$2)^2)+Ft!C$7*EXP(Ft!C$40*($A24-Ft!C$2)^2)))</f>
        <v>4.6629055925693592</v>
      </c>
      <c r="H24" s="3">
        <f>IF(($A24-Ft!D$2)&lt;0,Ft!D$3*((1-Ft!D$6)/(1+Ft!D$37*($A24-Ft!D$2)^2)+Ft!D$6*EXP(Ft!D$38*($A24-Ft!D$2)^2)),Ft!D$3*((1-Ft!D$7)/(1+Ft!D$39*($A24-Ft!D$2)^2)+Ft!D$7*EXP(Ft!D$40*($A24-Ft!D$2)^2)))</f>
        <v>0.65175118127195952</v>
      </c>
      <c r="I24" s="3">
        <f>IF(($A24-Ft!E$2)&lt;0,Ft!E$3*((1-Ft!E$6)/(1+Ft!E$37*($A24-Ft!E$2)^2)+Ft!E$6*EXP(Ft!E$38*($A24-Ft!E$2)^2)),Ft!E$3*((1-Ft!E$7)/(1+Ft!E$39*($A24-Ft!E$2)^2)+Ft!E$7*EXP(Ft!E$40*($A24-Ft!E$2)^2)))</f>
        <v>4.236164400491096E-4</v>
      </c>
      <c r="J24" s="3">
        <f>IF(($A24-Ft!F$2)&lt;0,Ft!F$3*((1-Ft!F$6)/(1+Ft!F$37*($A24-Ft!F$2)^2)+Ft!F$6*EXP(Ft!F$38*($A24-Ft!F$2)^2)),Ft!F$3*((1-Ft!F$7)/(1+Ft!F$39*($A24-Ft!F$2)^2)+Ft!F$7*EXP(Ft!F$40*($A24-Ft!F$2)^2)))</f>
        <v>8.9911802079102618E-184</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v>46</v>
      </c>
      <c r="B25">
        <v>8.4003036219839942</v>
      </c>
      <c r="C25" s="6">
        <f t="shared" si="1"/>
        <v>8.6446235156401858</v>
      </c>
      <c r="D25" s="19">
        <f t="shared" si="2"/>
        <v>5.9692210436172802E-2</v>
      </c>
      <c r="E25" s="3">
        <f>Ft!$B$12+Ft!$B$14*(Data!A25-Vars!$B$3)</f>
        <v>0</v>
      </c>
      <c r="F25" s="3">
        <f>IF(($A25-Ft!B$2)&lt;0,Ft!B$3*((1-Ft!B$6)/(1+Ft!B$37*($A25-Ft!B$2)^2)+Ft!B$6*EXP(Ft!B$38*($A25-Ft!B$2)^2)),Ft!B$3*((1-Ft!B$7)/(1+Ft!B$39*($A25-Ft!B$2)^2)+Ft!B$7*EXP(Ft!B$40*($A25-Ft!B$2)^2)))</f>
        <v>3.1673669906446604</v>
      </c>
      <c r="G25" s="3">
        <f>IF(($A25-Ft!C$2)&lt;0,Ft!C$3*((1-Ft!C$6)/(1+Ft!C$37*($A25-Ft!C$2)^2)+Ft!C$6*EXP(Ft!C$38*($A25-Ft!C$2)^2)),Ft!C$3*((1-Ft!C$7)/(1+Ft!C$39*($A25-Ft!C$2)^2)+Ft!C$7*EXP(Ft!C$40*($A25-Ft!C$2)^2)))</f>
        <v>4.8028988882536581</v>
      </c>
      <c r="H25" s="3">
        <f>IF(($A25-Ft!D$2)&lt;0,Ft!D$3*((1-Ft!D$6)/(1+Ft!D$37*($A25-Ft!D$2)^2)+Ft!D$6*EXP(Ft!D$38*($A25-Ft!D$2)^2)),Ft!D$3*((1-Ft!D$7)/(1+Ft!D$39*($A25-Ft!D$2)^2)+Ft!D$7*EXP(Ft!D$40*($A25-Ft!D$2)^2)))</f>
        <v>0.67391022565521874</v>
      </c>
      <c r="I25" s="3">
        <f>IF(($A25-Ft!E$2)&lt;0,Ft!E$3*((1-Ft!E$6)/(1+Ft!E$37*($A25-Ft!E$2)^2)+Ft!E$6*EXP(Ft!E$38*($A25-Ft!E$2)^2)),Ft!E$3*((1-Ft!E$7)/(1+Ft!E$39*($A25-Ft!E$2)^2)+Ft!E$7*EXP(Ft!E$40*($A25-Ft!E$2)^2)))</f>
        <v>4.4741108664826424E-4</v>
      </c>
      <c r="J25" s="3">
        <f>IF(($A25-Ft!F$2)&lt;0,Ft!F$3*((1-Ft!F$6)/(1+Ft!F$37*($A25-Ft!F$2)^2)+Ft!F$6*EXP(Ft!F$38*($A25-Ft!F$2)^2)),Ft!F$3*((1-Ft!F$7)/(1+Ft!F$39*($A25-Ft!F$2)^2)+Ft!F$7*EXP(Ft!F$40*($A25-Ft!F$2)^2)))</f>
        <v>4.9883537009253916E-183</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v>48</v>
      </c>
      <c r="B26">
        <v>8.4887100022459947</v>
      </c>
      <c r="C26" s="6">
        <f t="shared" si="1"/>
        <v>8.7856182868545449</v>
      </c>
      <c r="D26" s="19">
        <f t="shared" si="2"/>
        <v>8.8154529469191861E-2</v>
      </c>
      <c r="E26" s="3">
        <f>Ft!$B$12+Ft!$B$14*(Data!A26-Vars!$B$3)</f>
        <v>0</v>
      </c>
      <c r="F26" s="3">
        <f>IF(($A26-Ft!B$2)&lt;0,Ft!B$3*((1-Ft!B$6)/(1+Ft!B$37*($A26-Ft!B$2)^2)+Ft!B$6*EXP(Ft!B$38*($A26-Ft!B$2)^2)),Ft!B$3*((1-Ft!B$7)/(1+Ft!B$39*($A26-Ft!B$2)^2)+Ft!B$7*EXP(Ft!B$40*($A26-Ft!B$2)^2)))</f>
        <v>3.1444212890869054</v>
      </c>
      <c r="G26" s="3">
        <f>IF(($A26-Ft!C$2)&lt;0,Ft!C$3*((1-Ft!C$6)/(1+Ft!C$37*($A26-Ft!C$2)^2)+Ft!C$6*EXP(Ft!C$38*($A26-Ft!C$2)^2)),Ft!C$3*((1-Ft!C$7)/(1+Ft!C$39*($A26-Ft!C$2)^2)+Ft!C$7*EXP(Ft!C$40*($A26-Ft!C$2)^2)))</f>
        <v>4.9440204055073629</v>
      </c>
      <c r="H26" s="3">
        <f>IF(($A26-Ft!D$2)&lt;0,Ft!D$3*((1-Ft!D$6)/(1+Ft!D$37*($A26-Ft!D$2)^2)+Ft!D$6*EXP(Ft!D$38*($A26-Ft!D$2)^2)),Ft!D$3*((1-Ft!D$7)/(1+Ft!D$39*($A26-Ft!D$2)^2)+Ft!D$7*EXP(Ft!D$40*($A26-Ft!D$2)^2)))</f>
        <v>0.69670411695566681</v>
      </c>
      <c r="I26" s="3">
        <f>IF(($A26-Ft!E$2)&lt;0,Ft!E$3*((1-Ft!E$6)/(1+Ft!E$37*($A26-Ft!E$2)^2)+Ft!E$6*EXP(Ft!E$38*($A26-Ft!E$2)^2)),Ft!E$3*((1-Ft!E$7)/(1+Ft!E$39*($A26-Ft!E$2)^2)+Ft!E$7*EXP(Ft!E$40*($A26-Ft!E$2)^2)))</f>
        <v>4.7247530460961854E-4</v>
      </c>
      <c r="J26" s="3">
        <f>IF(($A26-Ft!F$2)&lt;0,Ft!F$3*((1-Ft!F$6)/(1+Ft!F$37*($A26-Ft!F$2)^2)+Ft!F$6*EXP(Ft!F$38*($A26-Ft!F$2)^2)),Ft!F$3*((1-Ft!F$7)/(1+Ft!F$39*($A26-Ft!F$2)^2)+Ft!F$7*EXP(Ft!F$40*($A26-Ft!F$2)^2)))</f>
        <v>2.7579663247948501E-182</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v>50</v>
      </c>
      <c r="B27">
        <v>8.5891331741609918</v>
      </c>
      <c r="C27" s="6">
        <f t="shared" si="1"/>
        <v>8.8972066959906311</v>
      </c>
      <c r="D27" s="19">
        <f t="shared" si="2"/>
        <v>9.4909294852517256E-2</v>
      </c>
      <c r="E27" s="3">
        <f>Ft!$B$12+Ft!$B$14*(Data!A27-Vars!$B$3)</f>
        <v>0</v>
      </c>
      <c r="F27" s="3">
        <f>IF(($A27-Ft!B$2)&lt;0,Ft!B$3*((1-Ft!B$6)/(1+Ft!B$37*($A27-Ft!B$2)^2)+Ft!B$6*EXP(Ft!B$38*($A27-Ft!B$2)^2)),Ft!B$3*((1-Ft!B$7)/(1+Ft!B$39*($A27-Ft!B$2)^2)+Ft!B$7*EXP(Ft!B$40*($A27-Ft!B$2)^2)))</f>
        <v>3.0904360868874385</v>
      </c>
      <c r="G27" s="3">
        <f>IF(($A27-Ft!C$2)&lt;0,Ft!C$3*((1-Ft!C$6)/(1+Ft!C$37*($A27-Ft!C$2)^2)+Ft!C$6*EXP(Ft!C$38*($A27-Ft!C$2)^2)),Ft!C$3*((1-Ft!C$7)/(1+Ft!C$39*($A27-Ft!C$2)^2)+Ft!C$7*EXP(Ft!C$40*($A27-Ft!C$2)^2)))</f>
        <v>5.0861252949461946</v>
      </c>
      <c r="H27" s="3">
        <f>IF(($A27-Ft!D$2)&lt;0,Ft!D$3*((1-Ft!D$6)/(1+Ft!D$37*($A27-Ft!D$2)^2)+Ft!D$6*EXP(Ft!D$38*($A27-Ft!D$2)^2)),Ft!D$3*((1-Ft!D$7)/(1+Ft!D$39*($A27-Ft!D$2)^2)+Ft!D$7*EXP(Ft!D$40*($A27-Ft!D$2)^2)))</f>
        <v>0.7201464412454166</v>
      </c>
      <c r="I27" s="3">
        <f>IF(($A27-Ft!E$2)&lt;0,Ft!E$3*((1-Ft!E$6)/(1+Ft!E$37*($A27-Ft!E$2)^2)+Ft!E$6*EXP(Ft!E$38*($A27-Ft!E$2)^2)),Ft!E$3*((1-Ft!E$7)/(1+Ft!E$39*($A27-Ft!E$2)^2)+Ft!E$7*EXP(Ft!E$40*($A27-Ft!E$2)^2)))</f>
        <v>4.9887291158162911E-4</v>
      </c>
      <c r="J27" s="3">
        <f>IF(($A27-Ft!F$2)&lt;0,Ft!F$3*((1-Ft!F$6)/(1+Ft!F$37*($A27-Ft!F$2)^2)+Ft!F$6*EXP(Ft!F$38*($A27-Ft!F$2)^2)),Ft!F$3*((1-Ft!F$7)/(1+Ft!F$39*($A27-Ft!F$2)^2)+Ft!F$7*EXP(Ft!F$40*($A27-Ft!F$2)^2)))</f>
        <v>1.519539032524598E-181</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v>52</v>
      </c>
      <c r="B28">
        <v>8.679962372576</v>
      </c>
      <c r="C28" s="6">
        <f t="shared" si="1"/>
        <v>8.9808545720344952</v>
      </c>
      <c r="D28" s="19">
        <f t="shared" si="2"/>
        <v>9.0536115694970873E-2</v>
      </c>
      <c r="E28" s="3">
        <f>Ft!$B$12+Ft!$B$14*(Data!A28-Vars!$B$3)</f>
        <v>0</v>
      </c>
      <c r="F28" s="3">
        <f>IF(($A28-Ft!B$2)&lt;0,Ft!B$3*((1-Ft!B$6)/(1+Ft!B$37*($A28-Ft!B$2)^2)+Ft!B$6*EXP(Ft!B$38*($A28-Ft!B$2)^2)),Ft!B$3*((1-Ft!B$7)/(1+Ft!B$39*($A28-Ft!B$2)^2)+Ft!B$7*EXP(Ft!B$40*($A28-Ft!B$2)^2)))</f>
        <v>3.0070143567485452</v>
      </c>
      <c r="G28" s="3">
        <f>IF(($A28-Ft!C$2)&lt;0,Ft!C$3*((1-Ft!C$6)/(1+Ft!C$37*($A28-Ft!C$2)^2)+Ft!C$6*EXP(Ft!C$38*($A28-Ft!C$2)^2)),Ft!C$3*((1-Ft!C$7)/(1+Ft!C$39*($A28-Ft!C$2)^2)+Ft!C$7*EXP(Ft!C$40*($A28-Ft!C$2)^2)))</f>
        <v>5.2290626381462317</v>
      </c>
      <c r="H28" s="3">
        <f>IF(($A28-Ft!D$2)&lt;0,Ft!D$3*((1-Ft!D$6)/(1+Ft!D$37*($A28-Ft!D$2)^2)+Ft!D$6*EXP(Ft!D$38*($A28-Ft!D$2)^2)),Ft!D$3*((1-Ft!D$7)/(1+Ft!D$39*($A28-Ft!D$2)^2)+Ft!D$7*EXP(Ft!D$40*($A28-Ft!D$2)^2)))</f>
        <v>0.74425090642702185</v>
      </c>
      <c r="I28" s="3">
        <f>IF(($A28-Ft!E$2)&lt;0,Ft!E$3*((1-Ft!E$6)/(1+Ft!E$37*($A28-Ft!E$2)^2)+Ft!E$6*EXP(Ft!E$38*($A28-Ft!E$2)^2)),Ft!E$3*((1-Ft!E$7)/(1+Ft!E$39*($A28-Ft!E$2)^2)+Ft!E$7*EXP(Ft!E$40*($A28-Ft!E$2)^2)))</f>
        <v>5.2667071269627106E-4</v>
      </c>
      <c r="J28" s="3">
        <f>IF(($A28-Ft!F$2)&lt;0,Ft!F$3*((1-Ft!F$6)/(1+Ft!F$37*($A28-Ft!F$2)^2)+Ft!F$6*EXP(Ft!F$38*($A28-Ft!F$2)^2)),Ft!F$3*((1-Ft!F$7)/(1+Ft!F$39*($A28-Ft!F$2)^2)+Ft!F$7*EXP(Ft!F$40*($A28-Ft!F$2)^2)))</f>
        <v>8.343071076381299E-181</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v>54</v>
      </c>
      <c r="B29">
        <v>8.7390600616589893</v>
      </c>
      <c r="C29" s="6">
        <f t="shared" si="1"/>
        <v>9.0388589757603945</v>
      </c>
      <c r="D29" s="19">
        <f t="shared" si="2"/>
        <v>8.9879388896381765E-2</v>
      </c>
      <c r="E29" s="3">
        <f>Ft!$B$12+Ft!$B$14*(Data!A29-Vars!$B$3)</f>
        <v>0</v>
      </c>
      <c r="F29" s="3">
        <f>IF(($A29-Ft!B$2)&lt;0,Ft!B$3*((1-Ft!B$6)/(1+Ft!B$37*($A29-Ft!B$2)^2)+Ft!B$6*EXP(Ft!B$38*($A29-Ft!B$2)^2)),Ft!B$3*((1-Ft!B$7)/(1+Ft!B$39*($A29-Ft!B$2)^2)+Ft!B$7*EXP(Ft!B$40*($A29-Ft!B$2)^2)))</f>
        <v>2.8965960465362466</v>
      </c>
      <c r="G29" s="3">
        <f>IF(($A29-Ft!C$2)&lt;0,Ft!C$3*((1-Ft!C$6)/(1+Ft!C$37*($A29-Ft!C$2)^2)+Ft!C$6*EXP(Ft!C$38*($A29-Ft!C$2)^2)),Ft!C$3*((1-Ft!C$7)/(1+Ft!C$39*($A29-Ft!C$2)^2)+Ft!C$7*EXP(Ft!C$40*($A29-Ft!C$2)^2)))</f>
        <v>5.3726756537467004</v>
      </c>
      <c r="H29" s="3">
        <f>IF(($A29-Ft!D$2)&lt;0,Ft!D$3*((1-Ft!D$6)/(1+Ft!D$37*($A29-Ft!D$2)^2)+Ft!D$6*EXP(Ft!D$38*($A29-Ft!D$2)^2)),Ft!D$3*((1-Ft!D$7)/(1+Ft!D$39*($A29-Ft!D$2)^2)+Ft!D$7*EXP(Ft!D$40*($A29-Ft!D$2)^2)))</f>
        <v>0.76903133684889913</v>
      </c>
      <c r="I29" s="3">
        <f>IF(($A29-Ft!E$2)&lt;0,Ft!E$3*((1-Ft!E$6)/(1+Ft!E$37*($A29-Ft!E$2)^2)+Ft!E$6*EXP(Ft!E$38*($A29-Ft!E$2)^2)),Ft!E$3*((1-Ft!E$7)/(1+Ft!E$39*($A29-Ft!E$2)^2)+Ft!E$7*EXP(Ft!E$40*($A29-Ft!E$2)^2)))</f>
        <v>5.5593862855015351E-4</v>
      </c>
      <c r="J29" s="3">
        <f>IF(($A29-Ft!F$2)&lt;0,Ft!F$3*((1-Ft!F$6)/(1+Ft!F$37*($A29-Ft!F$2)^2)+Ft!F$6*EXP(Ft!F$38*($A29-Ft!F$2)^2)),Ft!F$3*((1-Ft!F$7)/(1+Ft!F$39*($A29-Ft!F$2)^2)+Ft!F$7*EXP(Ft!F$40*($A29-Ft!F$2)^2)))</f>
        <v>4.5648993720382754E-180</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v>56</v>
      </c>
      <c r="B30">
        <v>8.775023435979989</v>
      </c>
      <c r="C30" s="6">
        <f t="shared" si="1"/>
        <v>9.0742299006901703</v>
      </c>
      <c r="D30" s="19">
        <f t="shared" si="2"/>
        <v>8.9524508524364971E-2</v>
      </c>
      <c r="E30" s="3">
        <f>Ft!$B$12+Ft!$B$14*(Data!A30-Vars!$B$3)</f>
        <v>0</v>
      </c>
      <c r="F30" s="3">
        <f>IF(($A30-Ft!B$2)&lt;0,Ft!B$3*((1-Ft!B$6)/(1+Ft!B$37*($A30-Ft!B$2)^2)+Ft!B$6*EXP(Ft!B$38*($A30-Ft!B$2)^2)),Ft!B$3*((1-Ft!B$7)/(1+Ft!B$39*($A30-Ft!B$2)^2)+Ft!B$7*EXP(Ft!B$40*($A30-Ft!B$2)^2)))</f>
        <v>2.7623395553406547</v>
      </c>
      <c r="G30" s="3">
        <f>IF(($A30-Ft!C$2)&lt;0,Ft!C$3*((1-Ft!C$6)/(1+Ft!C$37*($A30-Ft!C$2)^2)+Ft!C$6*EXP(Ft!C$38*($A30-Ft!C$2)^2)),Ft!C$3*((1-Ft!C$7)/(1+Ft!C$39*($A30-Ft!C$2)^2)+Ft!C$7*EXP(Ft!C$40*($A30-Ft!C$2)^2)))</f>
        <v>5.516801927882093</v>
      </c>
      <c r="H30" s="3">
        <f>IF(($A30-Ft!D$2)&lt;0,Ft!D$3*((1-Ft!D$6)/(1+Ft!D$37*($A30-Ft!D$2)^2)+Ft!D$6*EXP(Ft!D$38*($A30-Ft!D$2)^2)),Ft!D$3*((1-Ft!D$7)/(1+Ft!D$39*($A30-Ft!D$2)^2)+Ft!D$7*EXP(Ft!D$40*($A30-Ft!D$2)^2)))</f>
        <v>0.79450166763936414</v>
      </c>
      <c r="I30" s="3">
        <f>IF(($A30-Ft!E$2)&lt;0,Ft!E$3*((1-Ft!E$6)/(1+Ft!E$37*($A30-Ft!E$2)^2)+Ft!E$6*EXP(Ft!E$38*($A30-Ft!E$2)^2)),Ft!E$3*((1-Ft!E$7)/(1+Ft!E$39*($A30-Ft!E$2)^2)+Ft!E$7*EXP(Ft!E$40*($A30-Ft!E$2)^2)))</f>
        <v>5.8674982805714771E-4</v>
      </c>
      <c r="J30" s="3">
        <f>IF(($A30-Ft!F$2)&lt;0,Ft!F$3*((1-Ft!F$6)/(1+Ft!F$37*($A30-Ft!F$2)^2)+Ft!F$6*EXP(Ft!F$38*($A30-Ft!F$2)^2)),Ft!F$3*((1-Ft!F$7)/(1+Ft!F$39*($A30-Ft!F$2)^2)+Ft!F$7*EXP(Ft!F$40*($A30-Ft!F$2)^2)))</f>
        <v>2.489015810704221E-179</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v>58</v>
      </c>
      <c r="B31">
        <v>8.7964496901129934</v>
      </c>
      <c r="C31" s="6">
        <f t="shared" si="1"/>
        <v>9.0905405692931467</v>
      </c>
      <c r="D31" s="19">
        <f t="shared" si="2"/>
        <v>8.6489445216955535E-2</v>
      </c>
      <c r="E31" s="3">
        <f>Ft!$B$12+Ft!$B$14*(Data!A31-Vars!$B$3)</f>
        <v>0</v>
      </c>
      <c r="F31" s="3">
        <f>IF(($A31-Ft!B$2)&lt;0,Ft!B$3*((1-Ft!B$6)/(1+Ft!B$37*($A31-Ft!B$2)^2)+Ft!B$6*EXP(Ft!B$38*($A31-Ft!B$2)^2)),Ft!B$3*((1-Ft!B$7)/(1+Ft!B$39*($A31-Ft!B$2)^2)+Ft!B$7*EXP(Ft!B$40*($A31-Ft!B$2)^2)))</f>
        <v>2.6079717809149536</v>
      </c>
      <c r="G31" s="3">
        <f>IF(($A31-Ft!C$2)&lt;0,Ft!C$3*((1-Ft!C$6)/(1+Ft!C$37*($A31-Ft!C$2)^2)+Ft!C$6*EXP(Ft!C$38*($A31-Ft!C$2)^2)),Ft!C$3*((1-Ft!C$7)/(1+Ft!C$39*($A31-Ft!C$2)^2)+Ft!C$7*EXP(Ft!C$40*($A31-Ft!C$2)^2)))</f>
        <v>5.6612736687561256</v>
      </c>
      <c r="H31" s="3">
        <f>IF(($A31-Ft!D$2)&lt;0,Ft!D$3*((1-Ft!D$6)/(1+Ft!D$37*($A31-Ft!D$2)^2)+Ft!D$6*EXP(Ft!D$38*($A31-Ft!D$2)^2)),Ft!D$3*((1-Ft!D$7)/(1+Ft!D$39*($A31-Ft!D$2)^2)+Ft!D$7*EXP(Ft!D$40*($A31-Ft!D$2)^2)))</f>
        <v>0.82067593875573974</v>
      </c>
      <c r="I31" s="3">
        <f>IF(($A31-Ft!E$2)&lt;0,Ft!E$3*((1-Ft!E$6)/(1+Ft!E$37*($A31-Ft!E$2)^2)+Ft!E$6*EXP(Ft!E$38*($A31-Ft!E$2)^2)),Ft!E$3*((1-Ft!E$7)/(1+Ft!E$39*($A31-Ft!E$2)^2)+Ft!E$7*EXP(Ft!E$40*($A31-Ft!E$2)^2)))</f>
        <v>6.1918086632784582E-4</v>
      </c>
      <c r="J31" s="3">
        <f>IF(($A31-Ft!F$2)&lt;0,Ft!F$3*((1-Ft!F$6)/(1+Ft!F$37*($A31-Ft!F$2)^2)+Ft!F$6*EXP(Ft!F$38*($A31-Ft!F$2)^2)),Ft!F$3*((1-Ft!F$7)/(1+Ft!F$39*($A31-Ft!F$2)^2)+Ft!F$7*EXP(Ft!F$40*($A31-Ft!F$2)^2)))</f>
        <v>1.3524315204688939E-178</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v>60</v>
      </c>
      <c r="B32">
        <v>8.8119360186289981</v>
      </c>
      <c r="C32" s="6">
        <f t="shared" si="1"/>
        <v>9.0917562498944342</v>
      </c>
      <c r="D32" s="19">
        <f t="shared" si="2"/>
        <v>7.8299361825442143E-2</v>
      </c>
      <c r="E32" s="3">
        <f>Ft!$B$12+Ft!$B$14*(Data!A32-Vars!$B$3)</f>
        <v>0</v>
      </c>
      <c r="F32" s="3">
        <f>IF(($A32-Ft!B$2)&lt;0,Ft!B$3*((1-Ft!B$6)/(1+Ft!B$37*($A32-Ft!B$2)^2)+Ft!B$6*EXP(Ft!B$38*($A32-Ft!B$2)^2)),Ft!B$3*((1-Ft!B$7)/(1+Ft!B$39*($A32-Ft!B$2)^2)+Ft!B$7*EXP(Ft!B$40*($A32-Ft!B$2)^2)))</f>
        <v>2.437616664263107</v>
      </c>
      <c r="G32" s="3">
        <f>IF(($A32-Ft!C$2)&lt;0,Ft!C$3*((1-Ft!C$6)/(1+Ft!C$37*($A32-Ft!C$2)^2)+Ft!C$6*EXP(Ft!C$38*($A32-Ft!C$2)^2)),Ft!C$3*((1-Ft!C$7)/(1+Ft!C$39*($A32-Ft!C$2)^2)+Ft!C$7*EXP(Ft!C$40*($A32-Ft!C$2)^2)))</f>
        <v>5.8059179850583584</v>
      </c>
      <c r="H32" s="3">
        <f>IF(($A32-Ft!D$2)&lt;0,Ft!D$3*((1-Ft!D$6)/(1+Ft!D$37*($A32-Ft!D$2)^2)+Ft!D$6*EXP(Ft!D$38*($A32-Ft!D$2)^2)),Ft!D$3*((1-Ft!D$7)/(1+Ft!D$39*($A32-Ft!D$2)^2)+Ft!D$7*EXP(Ft!D$40*($A32-Ft!D$2)^2)))</f>
        <v>0.84756828874523438</v>
      </c>
      <c r="I32" s="3">
        <f>IF(($A32-Ft!E$2)&lt;0,Ft!E$3*((1-Ft!E$6)/(1+Ft!E$37*($A32-Ft!E$2)^2)+Ft!E$6*EXP(Ft!E$38*($A32-Ft!E$2)^2)),Ft!E$3*((1-Ft!E$7)/(1+Ft!E$39*($A32-Ft!E$2)^2)+Ft!E$7*EXP(Ft!E$40*($A32-Ft!E$2)^2)))</f>
        <v>6.533118277347159E-4</v>
      </c>
      <c r="J32" s="3">
        <f>IF(($A32-Ft!F$2)&lt;0,Ft!F$3*((1-Ft!F$6)/(1+Ft!F$37*($A32-Ft!F$2)^2)+Ft!F$6*EXP(Ft!F$38*($A32-Ft!F$2)^2)),Ft!F$3*((1-Ft!F$7)/(1+Ft!F$39*($A32-Ft!F$2)^2)+Ft!F$7*EXP(Ft!F$40*($A32-Ft!F$2)^2)))</f>
        <v>7.3230853316506971E-178</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v>62</v>
      </c>
      <c r="B33">
        <v>8.8300796161019974</v>
      </c>
      <c r="C33" s="6">
        <f t="shared" si="1"/>
        <v>9.0820525720018388</v>
      </c>
      <c r="D33" s="19">
        <f t="shared" si="2"/>
        <v>6.3490370504903401E-2</v>
      </c>
      <c r="E33" s="3">
        <f>Ft!$B$12+Ft!$B$14*(Data!A33-Vars!$B$3)</f>
        <v>0</v>
      </c>
      <c r="F33" s="3">
        <f>IF(($A33-Ft!B$2)&lt;0,Ft!B$3*((1-Ft!B$6)/(1+Ft!B$37*($A33-Ft!B$2)^2)+Ft!B$6*EXP(Ft!B$38*($A33-Ft!B$2)^2)),Ft!B$3*((1-Ft!B$7)/(1+Ft!B$39*($A33-Ft!B$2)^2)+Ft!B$7*EXP(Ft!B$40*($A33-Ft!B$2)^2)))</f>
        <v>2.2556132095018322</v>
      </c>
      <c r="G33" s="3">
        <f>IF(($A33-Ft!C$2)&lt;0,Ft!C$3*((1-Ft!C$6)/(1+Ft!C$37*($A33-Ft!C$2)^2)+Ft!C$6*EXP(Ft!C$38*($A33-Ft!C$2)^2)),Ft!C$3*((1-Ft!C$7)/(1+Ft!C$39*($A33-Ft!C$2)^2)+Ft!C$7*EXP(Ft!C$40*($A33-Ft!C$2)^2)))</f>
        <v>5.9505571878111772</v>
      </c>
      <c r="H33" s="3">
        <f>IF(($A33-Ft!D$2)&lt;0,Ft!D$3*((1-Ft!D$6)/(1+Ft!D$37*($A33-Ft!D$2)^2)+Ft!D$6*EXP(Ft!D$38*($A33-Ft!D$2)^2)),Ft!D$3*((1-Ft!D$7)/(1+Ft!D$39*($A33-Ft!D$2)^2)+Ft!D$7*EXP(Ft!D$40*($A33-Ft!D$2)^2)))</f>
        <v>0.87519294821450511</v>
      </c>
      <c r="I33" s="3">
        <f>IF(($A33-Ft!E$2)&lt;0,Ft!E$3*((1-Ft!E$6)/(1+Ft!E$37*($A33-Ft!E$2)^2)+Ft!E$6*EXP(Ft!E$38*($A33-Ft!E$2)^2)),Ft!E$3*((1-Ft!E$7)/(1+Ft!E$39*($A33-Ft!E$2)^2)+Ft!E$7*EXP(Ft!E$40*($A33-Ft!E$2)^2)))</f>
        <v>6.8922647432529598E-4</v>
      </c>
      <c r="J33" s="3">
        <f>IF(($A33-Ft!F$2)&lt;0,Ft!F$3*((1-Ft!F$6)/(1+Ft!F$37*($A33-Ft!F$2)^2)+Ft!F$6*EXP(Ft!F$38*($A33-Ft!F$2)^2)),Ft!F$3*((1-Ft!F$7)/(1+Ft!F$39*($A33-Ft!F$2)^2)+Ft!F$7*EXP(Ft!F$40*($A33-Ft!F$2)^2)))</f>
        <v>3.9515191162884424E-177</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v>64</v>
      </c>
      <c r="B34">
        <v>8.8594776771030013</v>
      </c>
      <c r="C34" s="6">
        <f t="shared" si="1"/>
        <v>9.065634471786284</v>
      </c>
      <c r="D34" s="19">
        <f t="shared" si="2"/>
        <v>4.2500623994085197E-2</v>
      </c>
      <c r="E34" s="3">
        <f>Ft!$B$12+Ft!$B$14*(Data!A34-Vars!$B$3)</f>
        <v>0</v>
      </c>
      <c r="F34" s="3">
        <f>IF(($A34-Ft!B$2)&lt;0,Ft!B$3*((1-Ft!B$6)/(1+Ft!B$37*($A34-Ft!B$2)^2)+Ft!B$6*EXP(Ft!B$38*($A34-Ft!B$2)^2)),Ft!B$3*((1-Ft!B$7)/(1+Ft!B$39*($A34-Ft!B$2)^2)+Ft!B$7*EXP(Ft!B$40*($A34-Ft!B$2)^2)))</f>
        <v>2.0663341112608484</v>
      </c>
      <c r="G34" s="3">
        <f>IF(($A34-Ft!C$2)&lt;0,Ft!C$3*((1-Ft!C$6)/(1+Ft!C$37*($A34-Ft!C$2)^2)+Ft!C$6*EXP(Ft!C$38*($A34-Ft!C$2)^2)),Ft!C$3*((1-Ft!C$7)/(1+Ft!C$39*($A34-Ft!C$2)^2)+Ft!C$7*EXP(Ft!C$40*($A34-Ft!C$2)^2)))</f>
        <v>6.0950091151205905</v>
      </c>
      <c r="H34" s="3">
        <f>IF(($A34-Ft!D$2)&lt;0,Ft!D$3*((1-Ft!D$6)/(1+Ft!D$37*($A34-Ft!D$2)^2)+Ft!D$6*EXP(Ft!D$38*($A34-Ft!D$2)^2)),Ft!D$3*((1-Ft!D$7)/(1+Ft!D$39*($A34-Ft!D$2)^2)+Ft!D$7*EXP(Ft!D$40*($A34-Ft!D$2)^2)))</f>
        <v>0.90356423300509492</v>
      </c>
      <c r="I34" s="3">
        <f>IF(($A34-Ft!E$2)&lt;0,Ft!E$3*((1-Ft!E$6)/(1+Ft!E$37*($A34-Ft!E$2)^2)+Ft!E$6*EXP(Ft!E$38*($A34-Ft!E$2)^2)),Ft!E$3*((1-Ft!E$7)/(1+Ft!E$39*($A34-Ft!E$2)^2)+Ft!E$7*EXP(Ft!E$40*($A34-Ft!E$2)^2)))</f>
        <v>7.2701239974938428E-4</v>
      </c>
      <c r="J34" s="3">
        <f>IF(($A34-Ft!F$2)&lt;0,Ft!F$3*((1-Ft!F$6)/(1+Ft!F$37*($A34-Ft!F$2)^2)+Ft!F$6*EXP(Ft!F$38*($A34-Ft!F$2)^2)),Ft!F$3*((1-Ft!F$7)/(1+Ft!F$39*($A34-Ft!F$2)^2)+Ft!F$7*EXP(Ft!F$40*($A34-Ft!F$2)^2)))</f>
        <v>2.1248352460133698E-176</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v>66</v>
      </c>
      <c r="B35">
        <v>8.9087273962040001</v>
      </c>
      <c r="C35" s="6">
        <f t="shared" si="1"/>
        <v>9.0465661874789696</v>
      </c>
      <c r="D35" s="19">
        <f t="shared" si="2"/>
        <v>1.8999532380144596E-2</v>
      </c>
      <c r="E35" s="3">
        <f>Ft!$B$12+Ft!$B$14*(Data!A35-Vars!$B$3)</f>
        <v>0</v>
      </c>
      <c r="F35" s="3">
        <f>IF(($A35-Ft!B$2)&lt;0,Ft!B$3*((1-Ft!B$6)/(1+Ft!B$37*($A35-Ft!B$2)^2)+Ft!B$6*EXP(Ft!B$38*($A35-Ft!B$2)^2)),Ft!B$3*((1-Ft!B$7)/(1+Ft!B$39*($A35-Ft!B$2)^2)+Ft!B$7*EXP(Ft!B$40*($A35-Ft!B$2)^2)))</f>
        <v>1.8740154100280637</v>
      </c>
      <c r="G35" s="3">
        <f>IF(($A35-Ft!C$2)&lt;0,Ft!C$3*((1-Ft!C$6)/(1+Ft!C$37*($A35-Ft!C$2)^2)+Ft!C$6*EXP(Ft!C$38*($A35-Ft!C$2)^2)),Ft!C$3*((1-Ft!C$7)/(1+Ft!C$39*($A35-Ft!C$2)^2)+Ft!C$7*EXP(Ft!C$40*($A35-Ft!C$2)^2)))</f>
        <v>6.2390874791898598</v>
      </c>
      <c r="H35" s="3">
        <f>IF(($A35-Ft!D$2)&lt;0,Ft!D$3*((1-Ft!D$6)/(1+Ft!D$37*($A35-Ft!D$2)^2)+Ft!D$6*EXP(Ft!D$38*($A35-Ft!D$2)^2)),Ft!D$3*((1-Ft!D$7)/(1+Ft!D$39*($A35-Ft!D$2)^2)+Ft!D$7*EXP(Ft!D$40*($A35-Ft!D$2)^2)))</f>
        <v>0.93269653707217703</v>
      </c>
      <c r="I35" s="3">
        <f>IF(($A35-Ft!E$2)&lt;0,Ft!E$3*((1-Ft!E$6)/(1+Ft!E$37*($A35-Ft!E$2)^2)+Ft!E$6*EXP(Ft!E$38*($A35-Ft!E$2)^2)),Ft!E$3*((1-Ft!E$7)/(1+Ft!E$39*($A35-Ft!E$2)^2)+Ft!E$7*EXP(Ft!E$40*($A35-Ft!E$2)^2)))</f>
        <v>7.667611888696335E-4</v>
      </c>
      <c r="J35" s="3">
        <f>IF(($A35-Ft!F$2)&lt;0,Ft!F$3*((1-Ft!F$6)/(1+Ft!F$37*($A35-Ft!F$2)^2)+Ft!F$6*EXP(Ft!F$38*($A35-Ft!F$2)^2)),Ft!F$3*((1-Ft!F$7)/(1+Ft!F$39*($A35-Ft!F$2)^2)+Ft!F$7*EXP(Ft!F$40*($A35-Ft!F$2)^2)))</f>
        <v>1.1386168800251076E-175</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v>68</v>
      </c>
      <c r="B36">
        <v>8.9818653524839931</v>
      </c>
      <c r="C36" s="6">
        <f t="shared" si="1"/>
        <v>9.0286212600211542</v>
      </c>
      <c r="D36" s="19">
        <f t="shared" si="2"/>
        <v>2.1861148896235561E-3</v>
      </c>
      <c r="E36" s="3">
        <f>Ft!$B$12+Ft!$B$14*(Data!A36-Vars!$B$3)</f>
        <v>0</v>
      </c>
      <c r="F36" s="3">
        <f>IF(($A36-Ft!B$2)&lt;0,Ft!B$3*((1-Ft!B$6)/(1+Ft!B$37*($A36-Ft!B$2)^2)+Ft!B$6*EXP(Ft!B$38*($A36-Ft!B$2)^2)),Ft!B$3*((1-Ft!B$7)/(1+Ft!B$39*($A36-Ft!B$2)^2)+Ft!B$7*EXP(Ft!B$40*($A36-Ft!B$2)^2)))</f>
        <v>1.6826061315328376</v>
      </c>
      <c r="G36" s="3">
        <f>IF(($A36-Ft!C$2)&lt;0,Ft!C$3*((1-Ft!C$6)/(1+Ft!C$37*($A36-Ft!C$2)^2)+Ft!C$6*EXP(Ft!C$38*($A36-Ft!C$2)^2)),Ft!C$3*((1-Ft!C$7)/(1+Ft!C$39*($A36-Ft!C$2)^2)+Ft!C$7*EXP(Ft!C$40*($A36-Ft!C$2)^2)))</f>
        <v>6.3826022348407587</v>
      </c>
      <c r="H36" s="3">
        <f>IF(($A36-Ft!D$2)&lt;0,Ft!D$3*((1-Ft!D$6)/(1+Ft!D$37*($A36-Ft!D$2)^2)+Ft!D$6*EXP(Ft!D$38*($A36-Ft!D$2)^2)),Ft!D$3*((1-Ft!D$7)/(1+Ft!D$39*($A36-Ft!D$2)^2)+Ft!D$7*EXP(Ft!D$40*($A36-Ft!D$2)^2)))</f>
        <v>0.96260432506432958</v>
      </c>
      <c r="I36" s="3">
        <f>IF(($A36-Ft!E$2)&lt;0,Ft!E$3*((1-Ft!E$6)/(1+Ft!E$37*($A36-Ft!E$2)^2)+Ft!E$6*EXP(Ft!E$38*($A36-Ft!E$2)^2)),Ft!E$3*((1-Ft!E$7)/(1+Ft!E$39*($A36-Ft!E$2)^2)+Ft!E$7*EXP(Ft!E$40*($A36-Ft!E$2)^2)))</f>
        <v>8.0856858322856436E-4</v>
      </c>
      <c r="J36" s="3">
        <f>IF(($A36-Ft!F$2)&lt;0,Ft!F$3*((1-Ft!F$6)/(1+Ft!F$37*($A36-Ft!F$2)^2)+Ft!F$6*EXP(Ft!F$38*($A36-Ft!F$2)^2)),Ft!F$3*((1-Ft!F$7)/(1+Ft!F$39*($A36-Ft!F$2)^2)+Ft!F$7*EXP(Ft!F$40*($A36-Ft!F$2)^2)))</f>
        <v>6.0802460757193086E-175</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v>70</v>
      </c>
      <c r="B37">
        <v>9.0572830358899949</v>
      </c>
      <c r="C37" s="6">
        <f t="shared" si="1"/>
        <v>9.0151594554561338</v>
      </c>
      <c r="D37" s="19">
        <f t="shared" si="2"/>
        <v>1.7743960285679663E-3</v>
      </c>
      <c r="E37" s="3">
        <f>Ft!$B$12+Ft!$B$14*(Data!A37-Vars!$B$3)</f>
        <v>0</v>
      </c>
      <c r="F37" s="3">
        <f>IF(($A37-Ft!B$2)&lt;0,Ft!B$3*((1-Ft!B$6)/(1+Ft!B$37*($A37-Ft!B$2)^2)+Ft!B$6*EXP(Ft!B$38*($A37-Ft!B$2)^2)),Ft!B$3*((1-Ft!B$7)/(1+Ft!B$39*($A37-Ft!B$2)^2)+Ft!B$7*EXP(Ft!B$40*($A37-Ft!B$2)^2)))</f>
        <v>1.4956448275272489</v>
      </c>
      <c r="G37" s="3">
        <f>IF(($A37-Ft!C$2)&lt;0,Ft!C$3*((1-Ft!C$6)/(1+Ft!C$37*($A37-Ft!C$2)^2)+Ft!C$6*EXP(Ft!C$38*($A37-Ft!C$2)^2)),Ft!C$3*((1-Ft!C$7)/(1+Ft!C$39*($A37-Ft!C$2)^2)+Ft!C$7*EXP(Ft!C$40*($A37-Ft!C$2)^2)))</f>
        <v>6.5253599686739987</v>
      </c>
      <c r="H37" s="3">
        <f>IF(($A37-Ft!D$2)&lt;0,Ft!D$3*((1-Ft!D$6)/(1+Ft!D$37*($A37-Ft!D$2)^2)+Ft!D$6*EXP(Ft!D$38*($A37-Ft!D$2)^2)),Ft!D$3*((1-Ft!D$7)/(1+Ft!D$39*($A37-Ft!D$2)^2)+Ft!D$7*EXP(Ft!D$40*($A37-Ft!D$2)^2)))</f>
        <v>0.99330212460233891</v>
      </c>
      <c r="I37" s="3">
        <f>IF(($A37-Ft!E$2)&lt;0,Ft!E$3*((1-Ft!E$6)/(1+Ft!E$37*($A37-Ft!E$2)^2)+Ft!E$6*EXP(Ft!E$38*($A37-Ft!E$2)^2)),Ft!E$3*((1-Ft!E$7)/(1+Ft!E$39*($A37-Ft!E$2)^2)+Ft!E$7*EXP(Ft!E$40*($A37-Ft!E$2)^2)))</f>
        <v>8.5253465254848373E-4</v>
      </c>
      <c r="J37" s="3">
        <f>IF(($A37-Ft!F$2)&lt;0,Ft!F$3*((1-Ft!F$6)/(1+Ft!F$37*($A37-Ft!F$2)^2)+Ft!F$6*EXP(Ft!F$38*($A37-Ft!F$2)^2)),Ft!F$3*((1-Ft!F$7)/(1+Ft!F$39*($A37-Ft!F$2)^2)+Ft!F$7*EXP(Ft!F$40*($A37-Ft!F$2)^2)))</f>
        <v>3.2356078183120386E-174</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v>72</v>
      </c>
      <c r="B38">
        <v>9.1317541068249994</v>
      </c>
      <c r="C38" s="6">
        <f t="shared" si="1"/>
        <v>9.0090351317223671</v>
      </c>
      <c r="D38" s="19">
        <f t="shared" si="2"/>
        <v>1.5059946850240487E-2</v>
      </c>
      <c r="E38" s="3">
        <f>Ft!$B$12+Ft!$B$14*(Data!A38-Vars!$B$3)</f>
        <v>0</v>
      </c>
      <c r="F38" s="3">
        <f>IF(($A38-Ft!B$2)&lt;0,Ft!B$3*((1-Ft!B$6)/(1+Ft!B$37*($A38-Ft!B$2)^2)+Ft!B$6*EXP(Ft!B$38*($A38-Ft!B$2)^2)),Ft!B$3*((1-Ft!B$7)/(1+Ft!B$39*($A38-Ft!B$2)^2)+Ft!B$7*EXP(Ft!B$40*($A38-Ft!B$2)^2)))</f>
        <v>1.3161675416057932</v>
      </c>
      <c r="G38" s="3">
        <f>IF(($A38-Ft!C$2)&lt;0,Ft!C$3*((1-Ft!C$6)/(1+Ft!C$37*($A38-Ft!C$2)^2)+Ft!C$6*EXP(Ft!C$38*($A38-Ft!C$2)^2)),Ft!C$3*((1-Ft!C$7)/(1+Ft!C$39*($A38-Ft!C$2)^2)+Ft!C$7*EXP(Ft!C$40*($A38-Ft!C$2)^2)))</f>
        <v>6.667164307888787</v>
      </c>
      <c r="H38" s="3">
        <f>IF(($A38-Ft!D$2)&lt;0,Ft!D$3*((1-Ft!D$6)/(1+Ft!D$37*($A38-Ft!D$2)^2)+Ft!D$6*EXP(Ft!D$38*($A38-Ft!D$2)^2)),Ft!D$3*((1-Ft!D$7)/(1+Ft!D$39*($A38-Ft!D$2)^2)+Ft!D$7*EXP(Ft!D$40*($A38-Ft!D$2)^2)))</f>
        <v>1.0248045182553427</v>
      </c>
      <c r="I38" s="3">
        <f>IF(($A38-Ft!E$2)&lt;0,Ft!E$3*((1-Ft!E$6)/(1+Ft!E$37*($A38-Ft!E$2)^2)+Ft!E$6*EXP(Ft!E$38*($A38-Ft!E$2)^2)),Ft!E$3*((1-Ft!E$7)/(1+Ft!E$39*($A38-Ft!E$2)^2)+Ft!E$7*EXP(Ft!E$40*($A38-Ft!E$2)^2)))</f>
        <v>8.9876397244436019E-4</v>
      </c>
      <c r="J38" s="3">
        <f>IF(($A38-Ft!F$2)&lt;0,Ft!F$3*((1-Ft!F$6)/(1+Ft!F$37*($A38-Ft!F$2)^2)+Ft!F$6*EXP(Ft!F$38*($A38-Ft!F$2)^2)),Ft!F$3*((1-Ft!F$7)/(1+Ft!F$39*($A38-Ft!F$2)^2)+Ft!F$7*EXP(Ft!F$40*($A38-Ft!F$2)^2)))</f>
        <v>1.7158597153212601E-173</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v>74</v>
      </c>
      <c r="B39">
        <v>9.2062970621129949</v>
      </c>
      <c r="C39" s="6">
        <f t="shared" si="1"/>
        <v>9.0125390584250464</v>
      </c>
      <c r="D39" s="19">
        <f t="shared" si="2"/>
        <v>3.754216399313906E-2</v>
      </c>
      <c r="E39" s="3">
        <f>Ft!$B$12+Ft!$B$14*(Data!A39-Vars!$B$3)</f>
        <v>0</v>
      </c>
      <c r="F39" s="3">
        <f>IF(($A39-Ft!B$2)&lt;0,Ft!B$3*((1-Ft!B$6)/(1+Ft!B$37*($A39-Ft!B$2)^2)+Ft!B$6*EXP(Ft!B$38*($A39-Ft!B$2)^2)),Ft!B$3*((1-Ft!B$7)/(1+Ft!B$39*($A39-Ft!B$2)^2)+Ft!B$7*EXP(Ft!B$40*($A39-Ft!B$2)^2)))</f>
        <v>1.1466492097314991</v>
      </c>
      <c r="G39" s="3">
        <f>IF(($A39-Ft!C$2)&lt;0,Ft!C$3*((1-Ft!C$6)/(1+Ft!C$37*($A39-Ft!C$2)^2)+Ft!C$6*EXP(Ft!C$38*($A39-Ft!C$2)^2)),Ft!C$3*((1-Ft!C$7)/(1+Ft!C$39*($A39-Ft!C$2)^2)+Ft!C$7*EXP(Ft!C$40*($A39-Ft!C$2)^2)))</f>
        <v>6.8078163476720963</v>
      </c>
      <c r="H39" s="3">
        <f>IF(($A39-Ft!D$2)&lt;0,Ft!D$3*((1-Ft!D$6)/(1+Ft!D$37*($A39-Ft!D$2)^2)+Ft!D$6*EXP(Ft!D$38*($A39-Ft!D$2)^2)),Ft!D$3*((1-Ft!D$7)/(1+Ft!D$39*($A39-Ft!D$2)^2)+Ft!D$7*EXP(Ft!D$40*($A39-Ft!D$2)^2)))</f>
        <v>1.0571261352129184</v>
      </c>
      <c r="I39" s="3">
        <f>IF(($A39-Ft!E$2)&lt;0,Ft!E$3*((1-Ft!E$6)/(1+Ft!E$37*($A39-Ft!E$2)^2)+Ft!E$6*EXP(Ft!E$38*($A39-Ft!E$2)^2)),Ft!E$3*((1-Ft!E$7)/(1+Ft!E$39*($A39-Ft!E$2)^2)+Ft!E$7*EXP(Ft!E$40*($A39-Ft!E$2)^2)))</f>
        <v>9.4736580853314791E-4</v>
      </c>
      <c r="J39" s="3">
        <f>IF(($A39-Ft!F$2)&lt;0,Ft!F$3*((1-Ft!F$6)/(1+Ft!F$37*($A39-Ft!F$2)^2)+Ft!F$6*EXP(Ft!F$38*($A39-Ft!F$2)^2)),Ft!F$3*((1-Ft!F$7)/(1+Ft!F$39*($A39-Ft!F$2)^2)+Ft!F$7*EXP(Ft!F$40*($A39-Ft!F$2)^2)))</f>
        <v>9.067735882267392E-173</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v>76</v>
      </c>
      <c r="B40">
        <v>9.2819303985800019</v>
      </c>
      <c r="C40" s="6">
        <f t="shared" si="1"/>
        <v>9.0273732882068334</v>
      </c>
      <c r="D40" s="19">
        <f t="shared" si="2"/>
        <v>6.4799322441537507E-2</v>
      </c>
      <c r="E40" s="3">
        <f>Ft!$B$12+Ft!$B$14*(Data!A40-Vars!$B$3)</f>
        <v>0</v>
      </c>
      <c r="F40" s="3">
        <f>IF(($A40-Ft!B$2)&lt;0,Ft!B$3*((1-Ft!B$6)/(1+Ft!B$37*($A40-Ft!B$2)^2)+Ft!B$6*EXP(Ft!B$38*($A40-Ft!B$2)^2)),Ft!B$3*((1-Ft!B$7)/(1+Ft!B$39*($A40-Ft!B$2)^2)+Ft!B$7*EXP(Ft!B$40*($A40-Ft!B$2)^2)))</f>
        <v>0.98897809528575109</v>
      </c>
      <c r="G40" s="3">
        <f>IF(($A40-Ft!C$2)&lt;0,Ft!C$3*((1-Ft!C$6)/(1+Ft!C$37*($A40-Ft!C$2)^2)+Ft!C$6*EXP(Ft!C$38*($A40-Ft!C$2)^2)),Ft!C$3*((1-Ft!C$7)/(1+Ft!C$39*($A40-Ft!C$2)^2)+Ft!C$7*EXP(Ft!C$40*($A40-Ft!C$2)^2)))</f>
        <v>6.9471150959618884</v>
      </c>
      <c r="H40" s="3">
        <f>IF(($A40-Ft!D$2)&lt;0,Ft!D$3*((1-Ft!D$6)/(1+Ft!D$37*($A40-Ft!D$2)^2)+Ft!D$6*EXP(Ft!D$38*($A40-Ft!D$2)^2)),Ft!D$3*((1-Ft!D$7)/(1+Ft!D$39*($A40-Ft!D$2)^2)+Ft!D$7*EXP(Ft!D$40*($A40-Ft!D$2)^2)))</f>
        <v>1.0902816426520681</v>
      </c>
      <c r="I40" s="3">
        <f>IF(($A40-Ft!E$2)&lt;0,Ft!E$3*((1-Ft!E$6)/(1+Ft!E$37*($A40-Ft!E$2)^2)+Ft!E$6*EXP(Ft!E$38*($A40-Ft!E$2)^2)),Ft!E$3*((1-Ft!E$7)/(1+Ft!E$39*($A40-Ft!E$2)^2)+Ft!E$7*EXP(Ft!E$40*($A40-Ft!E$2)^2)))</f>
        <v>9.9845430712660536E-4</v>
      </c>
      <c r="J40" s="3">
        <f>IF(($A40-Ft!F$2)&lt;0,Ft!F$3*((1-Ft!F$6)/(1+Ft!F$37*($A40-Ft!F$2)^2)+Ft!F$6*EXP(Ft!F$38*($A40-Ft!F$2)^2)),Ft!F$3*((1-Ft!F$7)/(1+Ft!F$39*($A40-Ft!F$2)^2)+Ft!F$7*EXP(Ft!F$40*($A40-Ft!F$2)^2)))</f>
        <v>4.7753711081187393E-172</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v>78</v>
      </c>
      <c r="B41">
        <v>9.3596726130489998</v>
      </c>
      <c r="C41" s="6">
        <f t="shared" si="1"/>
        <v>9.0546565643960104</v>
      </c>
      <c r="D41" s="19">
        <f t="shared" si="2"/>
        <v>9.3034789935882781E-2</v>
      </c>
      <c r="E41" s="3">
        <f>Ft!$B$12+Ft!$B$14*(Data!A41-Vars!$B$3)</f>
        <v>0</v>
      </c>
      <c r="F41" s="3">
        <f>IF(($A41-Ft!B$2)&lt;0,Ft!B$3*((1-Ft!B$6)/(1+Ft!B$37*($A41-Ft!B$2)^2)+Ft!B$6*EXP(Ft!B$38*($A41-Ft!B$2)^2)),Ft!B$3*((1-Ft!B$7)/(1+Ft!B$39*($A41-Ft!B$2)^2)+Ft!B$7*EXP(Ft!B$40*($A41-Ft!B$2)^2)))</f>
        <v>0.84446074461914866</v>
      </c>
      <c r="G41" s="3">
        <f>IF(($A41-Ft!C$2)&lt;0,Ft!C$3*((1-Ft!C$6)/(1+Ft!C$37*($A41-Ft!C$2)^2)+Ft!C$6*EXP(Ft!C$38*($A41-Ft!C$2)^2)),Ft!C$3*((1-Ft!C$7)/(1+Ft!C$39*($A41-Ft!C$2)^2)+Ft!C$7*EXP(Ft!C$40*($A41-Ft!C$2)^2)))</f>
        <v>7.0848579342857985</v>
      </c>
      <c r="H41" s="3">
        <f>IF(($A41-Ft!D$2)&lt;0,Ft!D$3*((1-Ft!D$6)/(1+Ft!D$37*($A41-Ft!D$2)^2)+Ft!D$6*EXP(Ft!D$38*($A41-Ft!D$2)^2)),Ft!D$3*((1-Ft!D$7)/(1+Ft!D$39*($A41-Ft!D$2)^2)+Ft!D$7*EXP(Ft!D$40*($A41-Ft!D$2)^2)))</f>
        <v>1.1242857367983654</v>
      </c>
      <c r="I41" s="3">
        <f>IF(($A41-Ft!E$2)&lt;0,Ft!E$3*((1-Ft!E$6)/(1+Ft!E$37*($A41-Ft!E$2)^2)+Ft!E$6*EXP(Ft!E$38*($A41-Ft!E$2)^2)),Ft!E$3*((1-Ft!E$7)/(1+Ft!E$39*($A41-Ft!E$2)^2)+Ft!E$7*EXP(Ft!E$40*($A41-Ft!E$2)^2)))</f>
        <v>1.0521486926979991E-3</v>
      </c>
      <c r="J41" s="3">
        <f>IF(($A41-Ft!F$2)&lt;0,Ft!F$3*((1-Ft!F$6)/(1+Ft!F$37*($A41-Ft!F$2)^2)+Ft!F$6*EXP(Ft!F$38*($A41-Ft!F$2)^2)),Ft!F$3*((1-Ft!F$7)/(1+Ft!F$39*($A41-Ft!F$2)^2)+Ft!F$7*EXP(Ft!F$40*($A41-Ft!F$2)^2)))</f>
        <v>2.5061471950371556E-171</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v>80</v>
      </c>
      <c r="B42">
        <v>9.4405422023459948</v>
      </c>
      <c r="C42" s="6">
        <f t="shared" si="1"/>
        <v>9.0949560748360074</v>
      </c>
      <c r="D42" s="19">
        <f t="shared" si="2"/>
        <v>0.11942977152734928</v>
      </c>
      <c r="E42" s="3">
        <f>Ft!$B$12+Ft!$B$14*(Data!A42-Vars!$B$3)</f>
        <v>0</v>
      </c>
      <c r="F42" s="3">
        <f>IF(($A42-Ft!B$2)&lt;0,Ft!B$3*((1-Ft!B$6)/(1+Ft!B$37*($A42-Ft!B$2)^2)+Ft!B$6*EXP(Ft!B$38*($A42-Ft!B$2)^2)),Ft!B$3*((1-Ft!B$7)/(1+Ft!B$39*($A42-Ft!B$2)^2)+Ft!B$7*EXP(Ft!B$40*($A42-Ft!B$2)^2)))</f>
        <v>0.71385327440450053</v>
      </c>
      <c r="G42" s="3">
        <f>IF(($A42-Ft!C$2)&lt;0,Ft!C$3*((1-Ft!C$6)/(1+Ft!C$37*($A42-Ft!C$2)^2)+Ft!C$6*EXP(Ft!C$38*($A42-Ft!C$2)^2)),Ft!C$3*((1-Ft!C$7)/(1+Ft!C$39*($A42-Ft!C$2)^2)+Ft!C$7*EXP(Ft!C$40*($A42-Ft!C$2)^2)))</f>
        <v>7.2208410932783051</v>
      </c>
      <c r="H42" s="3">
        <f>IF(($A42-Ft!D$2)&lt;0,Ft!D$3*((1-Ft!D$6)/(1+Ft!D$37*($A42-Ft!D$2)^2)+Ft!D$6*EXP(Ft!D$38*($A42-Ft!D$2)^2)),Ft!D$3*((1-Ft!D$7)/(1+Ft!D$39*($A42-Ft!D$2)^2)+Ft!D$7*EXP(Ft!D$40*($A42-Ft!D$2)^2)))</f>
        <v>1.1591531336808851</v>
      </c>
      <c r="I42" s="3">
        <f>IF(($A42-Ft!E$2)&lt;0,Ft!E$3*((1-Ft!E$6)/(1+Ft!E$37*($A42-Ft!E$2)^2)+Ft!E$6*EXP(Ft!E$38*($A42-Ft!E$2)^2)),Ft!E$3*((1-Ft!E$7)/(1+Ft!E$39*($A42-Ft!E$2)^2)+Ft!E$7*EXP(Ft!E$40*($A42-Ft!E$2)^2)))</f>
        <v>1.1085734723165989E-3</v>
      </c>
      <c r="J42" s="3">
        <f>IF(($A42-Ft!F$2)&lt;0,Ft!F$3*((1-Ft!F$6)/(1+Ft!F$37*($A42-Ft!F$2)^2)+Ft!F$6*EXP(Ft!F$38*($A42-Ft!F$2)^2)),Ft!F$3*((1-Ft!F$7)/(1+Ft!F$39*($A42-Ft!F$2)^2)+Ft!F$7*EXP(Ft!F$40*($A42-Ft!F$2)^2)))</f>
        <v>1.3106816056892623E-170</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v>82</v>
      </c>
      <c r="B43">
        <v>9.5255576632949897</v>
      </c>
      <c r="C43" s="6">
        <f t="shared" si="1"/>
        <v>9.1483402115820276</v>
      </c>
      <c r="D43" s="19">
        <f t="shared" si="2"/>
        <v>0.14229300587682087</v>
      </c>
      <c r="E43" s="3">
        <f>Ft!$B$12+Ft!$B$14*(Data!A43-Vars!$B$3)</f>
        <v>0</v>
      </c>
      <c r="F43" s="3">
        <f>IF(($A43-Ft!B$2)&lt;0,Ft!B$3*((1-Ft!B$6)/(1+Ft!B$37*($A43-Ft!B$2)^2)+Ft!B$6*EXP(Ft!B$38*($A43-Ft!B$2)^2)),Ft!B$3*((1-Ft!B$7)/(1+Ft!B$39*($A43-Ft!B$2)^2)+Ft!B$7*EXP(Ft!B$40*($A43-Ft!B$2)^2)))</f>
        <v>0.59741365196792684</v>
      </c>
      <c r="G43" s="3">
        <f>IF(($A43-Ft!C$2)&lt;0,Ft!C$3*((1-Ft!C$6)/(1+Ft!C$37*($A43-Ft!C$2)^2)+Ft!C$6*EXP(Ft!C$38*($A43-Ft!C$2)^2)),Ft!C$3*((1-Ft!C$7)/(1+Ft!C$39*($A43-Ft!C$2)^2)+Ft!C$7*EXP(Ft!C$40*($A43-Ft!C$2)^2)))</f>
        <v>7.3548601413859496</v>
      </c>
      <c r="H43" s="3">
        <f>IF(($A43-Ft!D$2)&lt;0,Ft!D$3*((1-Ft!D$6)/(1+Ft!D$37*($A43-Ft!D$2)^2)+Ft!D$6*EXP(Ft!D$38*($A43-Ft!D$2)^2)),Ft!D$3*((1-Ft!D$7)/(1+Ft!D$39*($A43-Ft!D$2)^2)+Ft!D$7*EXP(Ft!D$40*($A43-Ft!D$2)^2)))</f>
        <v>1.1948985595809036</v>
      </c>
      <c r="I43" s="3">
        <f>IF(($A43-Ft!E$2)&lt;0,Ft!E$3*((1-Ft!E$6)/(1+Ft!E$37*($A43-Ft!E$2)^2)+Ft!E$6*EXP(Ft!E$38*($A43-Ft!E$2)^2)),Ft!E$3*((1-Ft!E$7)/(1+Ft!E$39*($A43-Ft!E$2)^2)+Ft!E$7*EXP(Ft!E$40*($A43-Ft!E$2)^2)))</f>
        <v>1.1678586472471471E-3</v>
      </c>
      <c r="J43" s="3">
        <f>IF(($A43-Ft!F$2)&lt;0,Ft!F$3*((1-Ft!F$6)/(1+Ft!F$37*($A43-Ft!F$2)^2)+Ft!F$6*EXP(Ft!F$38*($A43-Ft!F$2)^2)),Ft!F$3*((1-Ft!F$7)/(1+Ft!F$39*($A43-Ft!F$2)^2)+Ft!F$7*EXP(Ft!F$40*($A43-Ft!F$2)^2)))</f>
        <v>6.8309171166069273E-170</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v>84</v>
      </c>
      <c r="B44">
        <v>9.6157374927209958</v>
      </c>
      <c r="C44" s="6">
        <f t="shared" si="1"/>
        <v>9.2144463965613923</v>
      </c>
      <c r="D44" s="19">
        <f t="shared" si="2"/>
        <v>0.1610345438569761</v>
      </c>
      <c r="E44" s="3">
        <f>Ft!$B$12+Ft!$B$14*(Data!A44-Vars!$B$3)</f>
        <v>0</v>
      </c>
      <c r="F44" s="3">
        <f>IF(($A44-Ft!B$2)&lt;0,Ft!B$3*((1-Ft!B$6)/(1+Ft!B$37*($A44-Ft!B$2)^2)+Ft!B$6*EXP(Ft!B$38*($A44-Ft!B$2)^2)),Ft!B$3*((1-Ft!B$7)/(1+Ft!B$39*($A44-Ft!B$2)^2)+Ft!B$7*EXP(Ft!B$40*($A44-Ft!B$2)^2)))</f>
        <v>0.49496903027258055</v>
      </c>
      <c r="G44" s="3">
        <f>IF(($A44-Ft!C$2)&lt;0,Ft!C$3*((1-Ft!C$6)/(1+Ft!C$37*($A44-Ft!C$2)^2)+Ft!C$6*EXP(Ft!C$38*($A44-Ft!C$2)^2)),Ft!C$3*((1-Ft!C$7)/(1+Ft!C$39*($A44-Ft!C$2)^2)+Ft!C$7*EXP(Ft!C$40*($A44-Ft!C$2)^2)))</f>
        <v>7.4867104851821855</v>
      </c>
      <c r="H44" s="3">
        <f>IF(($A44-Ft!D$2)&lt;0,Ft!D$3*((1-Ft!D$6)/(1+Ft!D$37*($A44-Ft!D$2)^2)+Ft!D$6*EXP(Ft!D$38*($A44-Ft!D$2)^2)),Ft!D$3*((1-Ft!D$7)/(1+Ft!D$39*($A44-Ft!D$2)^2)+Ft!D$7*EXP(Ft!D$40*($A44-Ft!D$2)^2)))</f>
        <v>1.2315367411747122</v>
      </c>
      <c r="I44" s="3">
        <f>IF(($A44-Ft!E$2)&lt;0,Ft!E$3*((1-Ft!E$6)/(1+Ft!E$37*($A44-Ft!E$2)^2)+Ft!E$6*EXP(Ft!E$38*($A44-Ft!E$2)^2)),Ft!E$3*((1-Ft!E$7)/(1+Ft!E$39*($A44-Ft!E$2)^2)+Ft!E$7*EXP(Ft!E$40*($A44-Ft!E$2)^2)))</f>
        <v>1.2301399319148954E-3</v>
      </c>
      <c r="J44" s="3">
        <f>IF(($A44-Ft!F$2)&lt;0,Ft!F$3*((1-Ft!F$6)/(1+Ft!F$37*($A44-Ft!F$2)^2)+Ft!F$6*EXP(Ft!F$38*($A44-Ft!F$2)^2)),Ft!F$3*((1-Ft!F$7)/(1+Ft!F$39*($A44-Ft!F$2)^2)+Ft!F$7*EXP(Ft!F$40*($A44-Ft!F$2)^2)))</f>
        <v>3.5477418333938324E-169</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v>86</v>
      </c>
      <c r="B45">
        <v>9.7156864156129927</v>
      </c>
      <c r="C45" s="6">
        <f t="shared" si="1"/>
        <v>9.2925579562881975</v>
      </c>
      <c r="D45" s="19">
        <f t="shared" si="2"/>
        <v>0.17903769309057491</v>
      </c>
      <c r="E45" s="3">
        <f>Ft!$B$12+Ft!$B$14*(Data!A45-Vars!$B$3)</f>
        <v>0</v>
      </c>
      <c r="F45" s="3">
        <f>IF(($A45-Ft!B$2)&lt;0,Ft!B$3*((1-Ft!B$6)/(1+Ft!B$37*($A45-Ft!B$2)^2)+Ft!B$6*EXP(Ft!B$38*($A45-Ft!B$2)^2)),Ft!B$3*((1-Ft!B$7)/(1+Ft!B$39*($A45-Ft!B$2)^2)+Ft!B$7*EXP(Ft!B$40*($A45-Ft!B$2)^2)))</f>
        <v>0.40599212230477699</v>
      </c>
      <c r="G45" s="3">
        <f>IF(($A45-Ft!C$2)&lt;0,Ft!C$3*((1-Ft!C$6)/(1+Ft!C$37*($A45-Ft!C$2)^2)+Ft!C$6*EXP(Ft!C$38*($A45-Ft!C$2)^2)),Ft!C$3*((1-Ft!C$7)/(1+Ft!C$39*($A45-Ft!C$2)^2)+Ft!C$7*EXP(Ft!C$40*($A45-Ft!C$2)^2)))</f>
        <v>7.6161878796317088</v>
      </c>
      <c r="H45" s="3">
        <f>IF(($A45-Ft!D$2)&lt;0,Ft!D$3*((1-Ft!D$6)/(1+Ft!D$37*($A45-Ft!D$2)^2)+Ft!D$6*EXP(Ft!D$38*($A45-Ft!D$2)^2)),Ft!D$3*((1-Ft!D$7)/(1+Ft!D$39*($A45-Ft!D$2)^2)+Ft!D$7*EXP(Ft!D$40*($A45-Ft!D$2)^2)))</f>
        <v>1.2690823953712735</v>
      </c>
      <c r="I45" s="3">
        <f>IF(($A45-Ft!E$2)&lt;0,Ft!E$3*((1-Ft!E$6)/(1+Ft!E$37*($A45-Ft!E$2)^2)+Ft!E$6*EXP(Ft!E$38*($A45-Ft!E$2)^2)),Ft!E$3*((1-Ft!E$7)/(1+Ft!E$39*($A45-Ft!E$2)^2)+Ft!E$7*EXP(Ft!E$40*($A45-Ft!E$2)^2)))</f>
        <v>1.2955589804399792E-3</v>
      </c>
      <c r="J45" s="3">
        <f>IF(($A45-Ft!F$2)&lt;0,Ft!F$3*((1-Ft!F$6)/(1+Ft!F$37*($A45-Ft!F$2)^2)+Ft!F$6*EXP(Ft!F$38*($A45-Ft!F$2)^2)),Ft!F$3*((1-Ft!F$7)/(1+Ft!F$39*($A45-Ft!F$2)^2)+Ft!F$7*EXP(Ft!F$40*($A45-Ft!F$2)^2)))</f>
        <v>1.8361839379834768E-168</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v>88</v>
      </c>
      <c r="B46">
        <v>9.827115274034</v>
      </c>
      <c r="C46" s="6">
        <f t="shared" si="1"/>
        <v>9.3816844025659467</v>
      </c>
      <c r="D46" s="19">
        <f t="shared" si="2"/>
        <v>0.19840866125678938</v>
      </c>
      <c r="E46" s="3">
        <f>Ft!$B$12+Ft!$B$14*(Data!A46-Vars!$B$3)</f>
        <v>0</v>
      </c>
      <c r="F46" s="3">
        <f>IF(($A46-Ft!B$2)&lt;0,Ft!B$3*((1-Ft!B$6)/(1+Ft!B$37*($A46-Ft!B$2)^2)+Ft!B$6*EXP(Ft!B$38*($A46-Ft!B$2)^2)),Ft!B$3*((1-Ft!B$7)/(1+Ft!B$39*($A46-Ft!B$2)^2)+Ft!B$7*EXP(Ft!B$40*($A46-Ft!B$2)^2)))</f>
        <v>0.32968097353005466</v>
      </c>
      <c r="G46" s="3">
        <f>IF(($A46-Ft!C$2)&lt;0,Ft!C$3*((1-Ft!C$6)/(1+Ft!C$37*($A46-Ft!C$2)^2)+Ft!C$6*EXP(Ft!C$38*($A46-Ft!C$2)^2)),Ft!C$3*((1-Ft!C$7)/(1+Ft!C$39*($A46-Ft!C$2)^2)+Ft!C$7*EXP(Ft!C$40*($A46-Ft!C$2)^2)))</f>
        <v>7.7430889465690953</v>
      </c>
      <c r="H46" s="3">
        <f>IF(($A46-Ft!D$2)&lt;0,Ft!D$3*((1-Ft!D$6)/(1+Ft!D$37*($A46-Ft!D$2)^2)+Ft!D$6*EXP(Ft!D$38*($A46-Ft!D$2)^2)),Ft!D$3*((1-Ft!D$7)/(1+Ft!D$39*($A46-Ft!D$2)^2)+Ft!D$7*EXP(Ft!D$40*($A46-Ft!D$2)^2)))</f>
        <v>1.3075502188458481</v>
      </c>
      <c r="I46" s="3">
        <f>IF(($A46-Ft!E$2)&lt;0,Ft!E$3*((1-Ft!E$6)/(1+Ft!E$37*($A46-Ft!E$2)^2)+Ft!E$6*EXP(Ft!E$38*($A46-Ft!E$2)^2)),Ft!E$3*((1-Ft!E$7)/(1+Ft!E$39*($A46-Ft!E$2)^2)+Ft!E$7*EXP(Ft!E$40*($A46-Ft!E$2)^2)))</f>
        <v>1.3642636209481999E-3</v>
      </c>
      <c r="J46" s="3">
        <f>IF(($A46-Ft!F$2)&lt;0,Ft!F$3*((1-Ft!F$6)/(1+Ft!F$37*($A46-Ft!F$2)^2)+Ft!F$6*EXP(Ft!F$38*($A46-Ft!F$2)^2)),Ft!F$3*((1-Ft!F$7)/(1+Ft!F$39*($A46-Ft!F$2)^2)+Ft!F$7*EXP(Ft!F$40*($A46-Ft!F$2)^2)))</f>
        <v>9.4704701819992582E-168</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v>90</v>
      </c>
      <c r="B47">
        <v>9.9467017404149942</v>
      </c>
      <c r="C47" s="6">
        <f t="shared" si="1"/>
        <v>9.4806401990804297</v>
      </c>
      <c r="D47" s="19">
        <f t="shared" si="2"/>
        <v>0.21721336031115004</v>
      </c>
      <c r="E47" s="3">
        <f>Ft!$B$12+Ft!$B$14*(Data!A47-Vars!$B$3)</f>
        <v>0</v>
      </c>
      <c r="F47" s="3">
        <f>IF(($A47-Ft!B$2)&lt;0,Ft!B$3*((1-Ft!B$6)/(1+Ft!B$37*($A47-Ft!B$2)^2)+Ft!B$6*EXP(Ft!B$38*($A47-Ft!B$2)^2)),Ft!B$3*((1-Ft!B$7)/(1+Ft!B$39*($A47-Ft!B$2)^2)+Ft!B$7*EXP(Ft!B$40*($A47-Ft!B$2)^2)))</f>
        <v>0.26503721412255321</v>
      </c>
      <c r="G47" s="3">
        <f>IF(($A47-Ft!C$2)&lt;0,Ft!C$3*((1-Ft!C$6)/(1+Ft!C$37*($A47-Ft!C$2)^2)+Ft!C$6*EXP(Ft!C$38*($A47-Ft!C$2)^2)),Ft!C$3*((1-Ft!C$7)/(1+Ft!C$39*($A47-Ft!C$2)^2)+Ft!C$7*EXP(Ft!C$40*($A47-Ft!C$2)^2)))</f>
        <v>7.8672116995889008</v>
      </c>
      <c r="H47" s="3">
        <f>IF(($A47-Ft!D$2)&lt;0,Ft!D$3*((1-Ft!D$6)/(1+Ft!D$37*($A47-Ft!D$2)^2)+Ft!D$6*EXP(Ft!D$38*($A47-Ft!D$2)^2)),Ft!D$3*((1-Ft!D$7)/(1+Ft!D$39*($A47-Ft!D$2)^2)+Ft!D$7*EXP(Ft!D$40*($A47-Ft!D$2)^2)))</f>
        <v>1.3469548772711082</v>
      </c>
      <c r="I47" s="3">
        <f>IF(($A47-Ft!E$2)&lt;0,Ft!E$3*((1-Ft!E$6)/(1+Ft!E$37*($A47-Ft!E$2)^2)+Ft!E$6*EXP(Ft!E$38*($A47-Ft!E$2)^2)),Ft!E$3*((1-Ft!E$7)/(1+Ft!E$39*($A47-Ft!E$2)^2)+Ft!E$7*EXP(Ft!E$40*($A47-Ft!E$2)^2)))</f>
        <v>1.436408097868306E-3</v>
      </c>
      <c r="J47" s="3">
        <f>IF(($A47-Ft!F$2)&lt;0,Ft!F$3*((1-Ft!F$6)/(1+Ft!F$37*($A47-Ft!F$2)^2)+Ft!F$6*EXP(Ft!F$38*($A47-Ft!F$2)^2)),Ft!F$3*((1-Ft!F$7)/(1+Ft!F$39*($A47-Ft!F$2)^2)+Ft!F$7*EXP(Ft!F$40*($A47-Ft!F$2)^2)))</f>
        <v>4.8676358370386105E-167</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v>92</v>
      </c>
      <c r="B48">
        <v>10.071123487188999</v>
      </c>
      <c r="C48" s="6">
        <f t="shared" si="1"/>
        <v>9.5881180490259226</v>
      </c>
      <c r="D48" s="19">
        <f t="shared" si="2"/>
        <v>0.23329425329510498</v>
      </c>
      <c r="E48" s="3">
        <f>Ft!$B$12+Ft!$B$14*(Data!A48-Vars!$B$3)</f>
        <v>0</v>
      </c>
      <c r="F48" s="3">
        <f>IF(($A48-Ft!B$2)&lt;0,Ft!B$3*((1-Ft!B$6)/(1+Ft!B$37*($A48-Ft!B$2)^2)+Ft!B$6*EXP(Ft!B$38*($A48-Ft!B$2)^2)),Ft!B$3*((1-Ft!B$7)/(1+Ft!B$39*($A48-Ft!B$2)^2)+Ft!B$7*EXP(Ft!B$40*($A48-Ft!B$2)^2)))</f>
        <v>0.21093882797131713</v>
      </c>
      <c r="G48" s="3">
        <f>IF(($A48-Ft!C$2)&lt;0,Ft!C$3*((1-Ft!C$6)/(1+Ft!C$37*($A48-Ft!C$2)^2)+Ft!C$6*EXP(Ft!C$38*($A48-Ft!C$2)^2)),Ft!C$3*((1-Ft!C$7)/(1+Ft!C$39*($A48-Ft!C$2)^2)+Ft!C$7*EXP(Ft!C$40*($A48-Ft!C$2)^2)))</f>
        <v>7.9883560734844981</v>
      </c>
      <c r="H48" s="3">
        <f>IF(($A48-Ft!D$2)&lt;0,Ft!D$3*((1-Ft!D$6)/(1+Ft!D$37*($A48-Ft!D$2)^2)+Ft!D$6*EXP(Ft!D$38*($A48-Ft!D$2)^2)),Ft!D$3*((1-Ft!D$7)/(1+Ft!D$39*($A48-Ft!D$2)^2)+Ft!D$7*EXP(Ft!D$40*($A48-Ft!D$2)^2)))</f>
        <v>1.3873109942476793</v>
      </c>
      <c r="I48" s="3">
        <f>IF(($A48-Ft!E$2)&lt;0,Ft!E$3*((1-Ft!E$6)/(1+Ft!E$37*($A48-Ft!E$2)^2)+Ft!E$6*EXP(Ft!E$38*($A48-Ft!E$2)^2)),Ft!E$3*((1-Ft!E$7)/(1+Ft!E$39*($A48-Ft!E$2)^2)+Ft!E$7*EXP(Ft!E$40*($A48-Ft!E$2)^2)))</f>
        <v>1.5121533224290668E-3</v>
      </c>
      <c r="J48" s="3">
        <f>IF(($A48-Ft!F$2)&lt;0,Ft!F$3*((1-Ft!F$6)/(1+Ft!F$37*($A48-Ft!F$2)^2)+Ft!F$6*EXP(Ft!F$38*($A48-Ft!F$2)^2)),Ft!F$3*((1-Ft!F$7)/(1+Ft!F$39*($A48-Ft!F$2)^2)+Ft!F$7*EXP(Ft!F$40*($A48-Ft!F$2)^2)))</f>
        <v>2.4931924355696838E-166</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v>94</v>
      </c>
      <c r="B49">
        <v>10.197058186788993</v>
      </c>
      <c r="C49" s="6">
        <f t="shared" si="1"/>
        <v>9.7027538085346041</v>
      </c>
      <c r="D49" s="19">
        <f t="shared" si="2"/>
        <v>0.24433681836145829</v>
      </c>
      <c r="E49" s="3">
        <f>Ft!$B$12+Ft!$B$14*(Data!A49-Vars!$B$3)</f>
        <v>0</v>
      </c>
      <c r="F49" s="3">
        <f>IF(($A49-Ft!B$2)&lt;0,Ft!B$3*((1-Ft!B$6)/(1+Ft!B$37*($A49-Ft!B$2)^2)+Ft!B$6*EXP(Ft!B$38*($A49-Ft!B$2)^2)),Ft!B$3*((1-Ft!B$7)/(1+Ft!B$39*($A49-Ft!B$2)^2)+Ft!B$7*EXP(Ft!B$40*($A49-Ft!B$2)^2)))</f>
        <v>0.16620454514517469</v>
      </c>
      <c r="G49" s="3">
        <f>IF(($A49-Ft!C$2)&lt;0,Ft!C$3*((1-Ft!C$6)/(1+Ft!C$37*($A49-Ft!C$2)^2)+Ft!C$6*EXP(Ft!C$38*($A49-Ft!C$2)^2)),Ft!C$3*((1-Ft!C$7)/(1+Ft!C$39*($A49-Ft!C$2)^2)+Ft!C$7*EXP(Ft!C$40*($A49-Ft!C$2)^2)))</f>
        <v>8.1063244563213921</v>
      </c>
      <c r="H49" s="3">
        <f>IF(($A49-Ft!D$2)&lt;0,Ft!D$3*((1-Ft!D$6)/(1+Ft!D$37*($A49-Ft!D$2)^2)+Ft!D$6*EXP(Ft!D$38*($A49-Ft!D$2)^2)),Ft!D$3*((1-Ft!D$7)/(1+Ft!D$39*($A49-Ft!D$2)^2)+Ft!D$7*EXP(Ft!D$40*($A49-Ft!D$2)^2)))</f>
        <v>1.4286331399364647</v>
      </c>
      <c r="I49" s="3">
        <f>IF(($A49-Ft!E$2)&lt;0,Ft!E$3*((1-Ft!E$6)/(1+Ft!E$37*($A49-Ft!E$2)^2)+Ft!E$6*EXP(Ft!E$38*($A49-Ft!E$2)^2)),Ft!E$3*((1-Ft!E$7)/(1+Ft!E$39*($A49-Ft!E$2)^2)+Ft!E$7*EXP(Ft!E$40*($A49-Ft!E$2)^2)))</f>
        <v>1.5916671315722572E-3</v>
      </c>
      <c r="J49" s="3">
        <f>IF(($A49-Ft!F$2)&lt;0,Ft!F$3*((1-Ft!F$6)/(1+Ft!F$37*($A49-Ft!F$2)^2)+Ft!F$6*EXP(Ft!F$38*($A49-Ft!F$2)^2)),Ft!F$3*((1-Ft!F$7)/(1+Ft!F$39*($A49-Ft!F$2)^2)+Ft!F$7*EXP(Ft!F$40*($A49-Ft!F$2)^2)))</f>
        <v>1.2725788560533341E-165</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v>96</v>
      </c>
      <c r="B50">
        <v>10.321183511645998</v>
      </c>
      <c r="C50" s="6">
        <f t="shared" si="1"/>
        <v>9.8231812075859892</v>
      </c>
      <c r="D50" s="19">
        <f t="shared" si="2"/>
        <v>0.24800629484907744</v>
      </c>
      <c r="E50" s="3">
        <f>Ft!$B$12+Ft!$B$14*(Data!A50-Vars!$B$3)</f>
        <v>0</v>
      </c>
      <c r="F50" s="3">
        <f>IF(($A50-Ft!B$2)&lt;0,Ft!B$3*((1-Ft!B$6)/(1+Ft!B$37*($A50-Ft!B$2)^2)+Ft!B$6*EXP(Ft!B$38*($A50-Ft!B$2)^2)),Ft!B$3*((1-Ft!B$7)/(1+Ft!B$39*($A50-Ft!B$2)^2)+Ft!B$7*EXP(Ft!B$40*($A50-Ft!B$2)^2)))</f>
        <v>0.12964804144706885</v>
      </c>
      <c r="G50" s="3">
        <f>IF(($A50-Ft!C$2)&lt;0,Ft!C$3*((1-Ft!C$6)/(1+Ft!C$37*($A50-Ft!C$2)^2)+Ft!C$6*EXP(Ft!C$38*($A50-Ft!C$2)^2)),Ft!C$3*((1-Ft!C$7)/(1+Ft!C$39*($A50-Ft!C$2)^2)+Ft!C$7*EXP(Ft!C$40*($A50-Ft!C$2)^2)))</f>
        <v>8.2209222221878733</v>
      </c>
      <c r="H50" s="3">
        <f>IF(($A50-Ft!D$2)&lt;0,Ft!D$3*((1-Ft!D$6)/(1+Ft!D$37*($A50-Ft!D$2)^2)+Ft!D$6*EXP(Ft!D$38*($A50-Ft!D$2)^2)),Ft!D$3*((1-Ft!D$7)/(1+Ft!D$39*($A50-Ft!D$2)^2)+Ft!D$7*EXP(Ft!D$40*($A50-Ft!D$2)^2)))</f>
        <v>1.4709358193955464</v>
      </c>
      <c r="I50" s="3">
        <f>IF(($A50-Ft!E$2)&lt;0,Ft!E$3*((1-Ft!E$6)/(1+Ft!E$37*($A50-Ft!E$2)^2)+Ft!E$6*EXP(Ft!E$38*($A50-Ft!E$2)^2)),Ft!E$3*((1-Ft!E$7)/(1+Ft!E$39*($A50-Ft!E$2)^2)+Ft!E$7*EXP(Ft!E$40*($A50-Ft!E$2)^2)))</f>
        <v>1.6751245555006586E-3</v>
      </c>
      <c r="J50" s="3">
        <f>IF(($A50-Ft!F$2)&lt;0,Ft!F$3*((1-Ft!F$6)/(1+Ft!F$37*($A50-Ft!F$2)^2)+Ft!F$6*EXP(Ft!F$38*($A50-Ft!F$2)^2)),Ft!F$3*((1-Ft!F$7)/(1+Ft!F$39*($A50-Ft!F$2)^2)+Ft!F$7*EXP(Ft!F$40*($A50-Ft!F$2)^2)))</f>
        <v>6.4729877869210123E-165</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v>98</v>
      </c>
      <c r="B51">
        <v>10.440177134194002</v>
      </c>
      <c r="C51" s="6">
        <f t="shared" si="1"/>
        <v>9.9480755564860317</v>
      </c>
      <c r="D51" s="19">
        <f t="shared" si="2"/>
        <v>0.24216396278267349</v>
      </c>
      <c r="E51" s="3">
        <f>Ft!$B$12+Ft!$B$14*(Data!A51-Vars!$B$3)</f>
        <v>0</v>
      </c>
      <c r="F51" s="3">
        <f>IF(($A51-Ft!B$2)&lt;0,Ft!B$3*((1-Ft!B$6)/(1+Ft!B$37*($A51-Ft!B$2)^2)+Ft!B$6*EXP(Ft!B$38*($A51-Ft!B$2)^2)),Ft!B$3*((1-Ft!B$7)/(1+Ft!B$39*($A51-Ft!B$2)^2)+Ft!B$7*EXP(Ft!B$40*($A51-Ft!B$2)^2)))</f>
        <v>0.10012112513484855</v>
      </c>
      <c r="G51" s="3">
        <f>IF(($A51-Ft!C$2)&lt;0,Ft!C$3*((1-Ft!C$6)/(1+Ft!C$37*($A51-Ft!C$2)^2)+Ft!C$6*EXP(Ft!C$38*($A51-Ft!C$2)^2)),Ft!C$3*((1-Ft!C$7)/(1+Ft!C$39*($A51-Ft!C$2)^2)+Ft!C$7*EXP(Ft!C$40*($A51-Ft!C$2)^2)))</f>
        <v>8.3319582626322166</v>
      </c>
      <c r="H51" s="3">
        <f>IF(($A51-Ft!D$2)&lt;0,Ft!D$3*((1-Ft!D$6)/(1+Ft!D$37*($A51-Ft!D$2)^2)+Ft!D$6*EXP(Ft!D$38*($A51-Ft!D$2)^2)),Ft!D$3*((1-Ft!D$7)/(1+Ft!D$39*($A51-Ft!D$2)^2)+Ft!D$7*EXP(Ft!D$40*($A51-Ft!D$2)^2)))</f>
        <v>1.5142334606248848</v>
      </c>
      <c r="I51" s="3">
        <f>IF(($A51-Ft!E$2)&lt;0,Ft!E$3*((1-Ft!E$6)/(1+Ft!E$37*($A51-Ft!E$2)^2)+Ft!E$6*EXP(Ft!E$38*($A51-Ft!E$2)^2)),Ft!E$3*((1-Ft!E$7)/(1+Ft!E$39*($A51-Ft!E$2)^2)+Ft!E$7*EXP(Ft!E$40*($A51-Ft!E$2)^2)))</f>
        <v>1.7627080940829131E-3</v>
      </c>
      <c r="J51" s="3">
        <f>IF(($A51-Ft!F$2)&lt;0,Ft!F$3*((1-Ft!F$6)/(1+Ft!F$37*($A51-Ft!F$2)^2)+Ft!F$6*EXP(Ft!F$38*($A51-Ft!F$2)^2)),Ft!F$3*((1-Ft!F$7)/(1+Ft!F$39*($A51-Ft!F$2)^2)+Ft!F$7*EXP(Ft!F$40*($A51-Ft!F$2)^2)))</f>
        <v>3.2810742156647078E-164</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v>100</v>
      </c>
      <c r="B52">
        <v>10.550716726863001</v>
      </c>
      <c r="C52" s="6">
        <f t="shared" si="1"/>
        <v>10.076186468379438</v>
      </c>
      <c r="D52" s="19">
        <f t="shared" si="2"/>
        <v>0.22517896621647723</v>
      </c>
      <c r="E52" s="3">
        <f>Ft!$B$12+Ft!$B$14*(Data!A52-Vars!$B$3)</f>
        <v>0</v>
      </c>
      <c r="F52" s="3">
        <f>IF(($A52-Ft!B$2)&lt;0,Ft!B$3*((1-Ft!B$6)/(1+Ft!B$37*($A52-Ft!B$2)^2)+Ft!B$6*EXP(Ft!B$38*($A52-Ft!B$2)^2)),Ft!B$3*((1-Ft!B$7)/(1+Ft!B$39*($A52-Ft!B$2)^2)+Ft!B$7*EXP(Ft!B$40*($A52-Ft!B$2)^2)))</f>
        <v>7.6545943283247361E-2</v>
      </c>
      <c r="G52" s="3">
        <f>IF(($A52-Ft!C$2)&lt;0,Ft!C$3*((1-Ft!C$6)/(1+Ft!C$37*($A52-Ft!C$2)^2)+Ft!C$6*EXP(Ft!C$38*($A52-Ft!C$2)^2)),Ft!C$3*((1-Ft!C$7)/(1+Ft!C$39*($A52-Ft!C$2)^2)+Ft!C$7*EXP(Ft!C$40*($A52-Ft!C$2)^2)))</f>
        <v>8.4392455147713417</v>
      </c>
      <c r="H52" s="3">
        <f>IF(($A52-Ft!D$2)&lt;0,Ft!D$3*((1-Ft!D$6)/(1+Ft!D$37*($A52-Ft!D$2)^2)+Ft!D$6*EXP(Ft!D$38*($A52-Ft!D$2)^2)),Ft!D$3*((1-Ft!D$7)/(1+Ft!D$39*($A52-Ft!D$2)^2)+Ft!D$7*EXP(Ft!D$40*($A52-Ft!D$2)^2)))</f>
        <v>1.5585404023225102</v>
      </c>
      <c r="I52" s="3">
        <f>IF(($A52-Ft!E$2)&lt;0,Ft!E$3*((1-Ft!E$6)/(1+Ft!E$37*($A52-Ft!E$2)^2)+Ft!E$6*EXP(Ft!E$38*($A52-Ft!E$2)^2)),Ft!E$3*((1-Ft!E$7)/(1+Ft!E$39*($A52-Ft!E$2)^2)+Ft!E$7*EXP(Ft!E$40*($A52-Ft!E$2)^2)))</f>
        <v>1.8546080023397308E-3</v>
      </c>
      <c r="J52" s="3">
        <f>IF(($A52-Ft!F$2)&lt;0,Ft!F$3*((1-Ft!F$6)/(1+Ft!F$37*($A52-Ft!F$2)^2)+Ft!F$6*EXP(Ft!F$38*($A52-Ft!F$2)^2)),Ft!F$3*((1-Ft!F$7)/(1+Ft!F$39*($A52-Ft!F$2)^2)+Ft!F$7*EXP(Ft!F$40*($A52-Ft!F$2)^2)))</f>
        <v>1.6573662934210998E-163</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v>102</v>
      </c>
      <c r="B53">
        <v>10.651994276756994</v>
      </c>
      <c r="C53" s="6">
        <f t="shared" si="1"/>
        <v>10.206360298649571</v>
      </c>
      <c r="D53" s="19">
        <f t="shared" si="2"/>
        <v>0.19858964244384755</v>
      </c>
      <c r="E53" s="3">
        <f>Ft!$B$12+Ft!$B$14*(Data!A53-Vars!$B$3)</f>
        <v>0</v>
      </c>
      <c r="F53" s="3">
        <f>IF(($A53-Ft!B$2)&lt;0,Ft!B$3*((1-Ft!B$6)/(1+Ft!B$37*($A53-Ft!B$2)^2)+Ft!B$6*EXP(Ft!B$38*($A53-Ft!B$2)^2)),Ft!B$3*((1-Ft!B$7)/(1+Ft!B$39*($A53-Ft!B$2)^2)+Ft!B$7*EXP(Ft!B$40*($A53-Ft!B$2)^2)))</f>
        <v>5.7936910666707808E-2</v>
      </c>
      <c r="G53" s="3">
        <f>IF(($A53-Ft!C$2)&lt;0,Ft!C$3*((1-Ft!C$6)/(1+Ft!C$37*($A53-Ft!C$2)^2)+Ft!C$6*EXP(Ft!C$38*($A53-Ft!C$2)^2)),Ft!C$3*((1-Ft!C$7)/(1+Ft!C$39*($A53-Ft!C$2)^2)+Ft!C$7*EXP(Ft!C$40*($A53-Ft!C$2)^2)))</f>
        <v>8.5426014840412936</v>
      </c>
      <c r="H53" s="3">
        <f>IF(($A53-Ft!D$2)&lt;0,Ft!D$3*((1-Ft!D$6)/(1+Ft!D$37*($A53-Ft!D$2)^2)+Ft!D$6*EXP(Ft!D$38*($A53-Ft!D$2)^2)),Ft!D$3*((1-Ft!D$7)/(1+Ft!D$39*($A53-Ft!D$2)^2)+Ft!D$7*EXP(Ft!D$40*($A53-Ft!D$2)^2)))</f>
        <v>1.6038708813563312</v>
      </c>
      <c r="I53" s="3">
        <f>IF(($A53-Ft!E$2)&lt;0,Ft!E$3*((1-Ft!E$6)/(1+Ft!E$37*($A53-Ft!E$2)^2)+Ft!E$6*EXP(Ft!E$38*($A53-Ft!E$2)^2)),Ft!E$3*((1-Ft!E$7)/(1+Ft!E$39*($A53-Ft!E$2)^2)+Ft!E$7*EXP(Ft!E$40*($A53-Ft!E$2)^2)))</f>
        <v>1.951022585238495E-3</v>
      </c>
      <c r="J53" s="3">
        <f>IF(($A53-Ft!F$2)&lt;0,Ft!F$3*((1-Ft!F$6)/(1+Ft!F$37*($A53-Ft!F$2)^2)+Ft!F$6*EXP(Ft!F$38*($A53-Ft!F$2)^2)),Ft!F$3*((1-Ft!F$7)/(1+Ft!F$39*($A53-Ft!F$2)^2)+Ft!F$7*EXP(Ft!F$40*($A53-Ft!F$2)^2)))</f>
        <v>8.3428057589997588E-163</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v>104</v>
      </c>
      <c r="B54">
        <v>10.756192601509994</v>
      </c>
      <c r="C54" s="6">
        <f t="shared" si="1"/>
        <v>10.337553476513754</v>
      </c>
      <c r="D54" s="19">
        <f t="shared" si="2"/>
        <v>0.17525871697761727</v>
      </c>
      <c r="E54" s="3">
        <f>Ft!$B$12+Ft!$B$14*(Data!A54-Vars!$B$3)</f>
        <v>0</v>
      </c>
      <c r="F54" s="3">
        <f>IF(($A54-Ft!B$2)&lt;0,Ft!B$3*((1-Ft!B$6)/(1+Ft!B$37*($A54-Ft!B$2)^2)+Ft!B$6*EXP(Ft!B$38*($A54-Ft!B$2)^2)),Ft!B$3*((1-Ft!B$7)/(1+Ft!B$39*($A54-Ft!B$2)^2)+Ft!B$7*EXP(Ft!B$40*($A54-Ft!B$2)^2)))</f>
        <v>4.3413538500166368E-2</v>
      </c>
      <c r="G54" s="3">
        <f>IF(($A54-Ft!C$2)&lt;0,Ft!C$3*((1-Ft!C$6)/(1+Ft!C$37*($A54-Ft!C$2)^2)+Ft!C$6*EXP(Ft!C$38*($A54-Ft!C$2)^2)),Ft!C$3*((1-Ft!C$7)/(1+Ft!C$39*($A54-Ft!C$2)^2)+Ft!C$7*EXP(Ft!C$40*($A54-Ft!C$2)^2)))</f>
        <v>8.6418487595553906</v>
      </c>
      <c r="H54" s="3">
        <f>IF(($A54-Ft!D$2)&lt;0,Ft!D$3*((1-Ft!D$6)/(1+Ft!D$37*($A54-Ft!D$2)^2)+Ft!D$6*EXP(Ft!D$38*($A54-Ft!D$2)^2)),Ft!D$3*((1-Ft!D$7)/(1+Ft!D$39*($A54-Ft!D$2)^2)+Ft!D$7*EXP(Ft!D$40*($A54-Ft!D$2)^2)))</f>
        <v>1.6502390199561705</v>
      </c>
      <c r="I54" s="3">
        <f>IF(($A54-Ft!E$2)&lt;0,Ft!E$3*((1-Ft!E$6)/(1+Ft!E$37*($A54-Ft!E$2)^2)+Ft!E$6*EXP(Ft!E$38*($A54-Ft!E$2)^2)),Ft!E$3*((1-Ft!E$7)/(1+Ft!E$39*($A54-Ft!E$2)^2)+Ft!E$7*EXP(Ft!E$40*($A54-Ft!E$2)^2)))</f>
        <v>2.0521585020257431E-3</v>
      </c>
      <c r="J54" s="3">
        <f>IF(($A54-Ft!F$2)&lt;0,Ft!F$3*((1-Ft!F$6)/(1+Ft!F$37*($A54-Ft!F$2)^2)+Ft!F$6*EXP(Ft!F$38*($A54-Ft!F$2)^2)),Ft!F$3*((1-Ft!F$7)/(1+Ft!F$39*($A54-Ft!F$2)^2)+Ft!F$7*EXP(Ft!F$40*($A54-Ft!F$2)^2)))</f>
        <v>4.1850142801544725E-162</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v>106</v>
      </c>
      <c r="B55">
        <v>10.863575123239997</v>
      </c>
      <c r="C55" s="6">
        <f t="shared" si="1"/>
        <v>10.468838188876733</v>
      </c>
      <c r="D55" s="19">
        <f t="shared" si="2"/>
        <v>0.15581724735050784</v>
      </c>
      <c r="E55" s="3">
        <f>Ft!$B$12+Ft!$B$14*(Data!A55-Vars!$B$3)</f>
        <v>0</v>
      </c>
      <c r="F55" s="3">
        <f>IF(($A55-Ft!B$2)&lt;0,Ft!B$3*((1-Ft!B$6)/(1+Ft!B$37*($A55-Ft!B$2)^2)+Ft!B$6*EXP(Ft!B$38*($A55-Ft!B$2)^2)),Ft!B$3*((1-Ft!B$7)/(1+Ft!B$39*($A55-Ft!B$2)^2)+Ft!B$7*EXP(Ft!B$40*($A55-Ft!B$2)^2)))</f>
        <v>3.2205625123966783E-2</v>
      </c>
      <c r="G55" s="3">
        <f>IF(($A55-Ft!C$2)&lt;0,Ft!C$3*((1-Ft!C$6)/(1+Ft!C$37*($A55-Ft!C$2)^2)+Ft!C$6*EXP(Ft!C$38*($A55-Ft!C$2)^2)),Ft!C$3*((1-Ft!C$7)/(1+Ft!C$39*($A55-Ft!C$2)^2)+Ft!C$7*EXP(Ft!C$40*($A55-Ft!C$2)^2)))</f>
        <v>8.7368155200413309</v>
      </c>
      <c r="H55" s="3">
        <f>IF(($A55-Ft!D$2)&lt;0,Ft!D$3*((1-Ft!D$6)/(1+Ft!D$37*($A55-Ft!D$2)^2)+Ft!D$6*EXP(Ft!D$38*($A55-Ft!D$2)^2)),Ft!D$3*((1-Ft!D$7)/(1+Ft!D$39*($A55-Ft!D$2)^2)+Ft!D$7*EXP(Ft!D$40*($A55-Ft!D$2)^2)))</f>
        <v>1.6976588126311063</v>
      </c>
      <c r="I55" s="3">
        <f>IF(($A55-Ft!E$2)&lt;0,Ft!E$3*((1-Ft!E$6)/(1+Ft!E$37*($A55-Ft!E$2)^2)+Ft!E$6*EXP(Ft!E$38*($A55-Ft!E$2)^2)),Ft!E$3*((1-Ft!E$7)/(1+Ft!E$39*($A55-Ft!E$2)^2)+Ft!E$7*EXP(Ft!E$40*($A55-Ft!E$2)^2)))</f>
        <v>2.1582310803292641E-3</v>
      </c>
      <c r="J55" s="3">
        <f>IF(($A55-Ft!F$2)&lt;0,Ft!F$3*((1-Ft!F$6)/(1+Ft!F$37*($A55-Ft!F$2)^2)+Ft!F$6*EXP(Ft!F$38*($A55-Ft!F$2)^2)),Ft!F$3*((1-Ft!F$7)/(1+Ft!F$39*($A55-Ft!F$2)^2)+Ft!F$7*EXP(Ft!F$40*($A55-Ft!F$2)^2)))</f>
        <v>2.0920542300819602E-161</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v>108</v>
      </c>
      <c r="B56">
        <v>10.971937533532</v>
      </c>
      <c r="C56" s="6">
        <f t="shared" si="1"/>
        <v>10.599401992912581</v>
      </c>
      <c r="D56" s="19">
        <f t="shared" si="2"/>
        <v>0.13878272902460251</v>
      </c>
      <c r="E56" s="3">
        <f>Ft!$B$12+Ft!$B$14*(Data!A56-Vars!$B$3)</f>
        <v>0</v>
      </c>
      <c r="F56" s="3">
        <f>IF(($A56-Ft!B$2)&lt;0,Ft!B$3*((1-Ft!B$6)/(1+Ft!B$37*($A56-Ft!B$2)^2)+Ft!B$6*EXP(Ft!B$38*($A56-Ft!B$2)^2)),Ft!B$3*((1-Ft!B$7)/(1+Ft!B$39*($A56-Ft!B$2)^2)+Ft!B$7*EXP(Ft!B$40*($A56-Ft!B$2)^2)))</f>
        <v>2.3652387110248019E-2</v>
      </c>
      <c r="G56" s="3">
        <f>IF(($A56-Ft!C$2)&lt;0,Ft!C$3*((1-Ft!C$6)/(1+Ft!C$37*($A56-Ft!C$2)^2)+Ft!C$6*EXP(Ft!C$38*($A56-Ft!C$2)^2)),Ft!C$3*((1-Ft!C$7)/(1+Ft!C$39*($A56-Ft!C$2)^2)+Ft!C$7*EXP(Ft!C$40*($A56-Ft!C$2)^2)))</f>
        <v>8.8273360283443996</v>
      </c>
      <c r="H56" s="3">
        <f>IF(($A56-Ft!D$2)&lt;0,Ft!D$3*((1-Ft!D$6)/(1+Ft!D$37*($A56-Ft!D$2)^2)+Ft!D$6*EXP(Ft!D$38*($A56-Ft!D$2)^2)),Ft!D$3*((1-Ft!D$7)/(1+Ft!D$39*($A56-Ft!D$2)^2)+Ft!D$7*EXP(Ft!D$40*($A56-Ft!D$2)^2)))</f>
        <v>1.7461441128176696</v>
      </c>
      <c r="I56" s="3">
        <f>IF(($A56-Ft!E$2)&lt;0,Ft!E$3*((1-Ft!E$6)/(1+Ft!E$37*($A56-Ft!E$2)^2)+Ft!E$6*EXP(Ft!E$38*($A56-Ft!E$2)^2)),Ft!E$3*((1-Ft!E$7)/(1+Ft!E$39*($A56-Ft!E$2)^2)+Ft!E$7*EXP(Ft!E$40*($A56-Ft!E$2)^2)))</f>
        <v>2.2694646402636283E-3</v>
      </c>
      <c r="J56" s="3">
        <f>IF(($A56-Ft!F$2)&lt;0,Ft!F$3*((1-Ft!F$6)/(1+Ft!F$37*($A56-Ft!F$2)^2)+Ft!F$6*EXP(Ft!F$38*($A56-Ft!F$2)^2)),Ft!F$3*((1-Ft!F$7)/(1+Ft!F$39*($A56-Ft!F$2)^2)+Ft!F$7*EXP(Ft!F$40*($A56-Ft!F$2)^2)))</f>
        <v>1.0421737110139255E-160</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v>110</v>
      </c>
      <c r="B57">
        <v>11.079075523965997</v>
      </c>
      <c r="C57" s="6">
        <f t="shared" si="1"/>
        <v>10.728542912857579</v>
      </c>
      <c r="D57" s="19">
        <f t="shared" si="2"/>
        <v>0.12287311145048567</v>
      </c>
      <c r="E57" s="3">
        <f>Ft!$B$12+Ft!$B$14*(Data!A57-Vars!$B$3)</f>
        <v>0</v>
      </c>
      <c r="F57" s="3">
        <f>IF(($A57-Ft!B$2)&lt;0,Ft!B$3*((1-Ft!B$6)/(1+Ft!B$37*($A57-Ft!B$2)^2)+Ft!B$6*EXP(Ft!B$38*($A57-Ft!B$2)^2)),Ft!B$3*((1-Ft!B$7)/(1+Ft!B$39*($A57-Ft!B$2)^2)+Ft!B$7*EXP(Ft!B$40*($A57-Ft!B$2)^2)))</f>
        <v>1.719708825403703E-2</v>
      </c>
      <c r="G57" s="3">
        <f>IF(($A57-Ft!C$2)&lt;0,Ft!C$3*((1-Ft!C$6)/(1+Ft!C$37*($A57-Ft!C$2)^2)+Ft!C$6*EXP(Ft!C$38*($A57-Ft!C$2)^2)),Ft!C$3*((1-Ft!C$7)/(1+Ft!C$39*($A57-Ft!C$2)^2)+Ft!C$7*EXP(Ft!C$40*($A57-Ft!C$2)^2)))</f>
        <v>8.9132511125098208</v>
      </c>
      <c r="H57" s="3">
        <f>IF(($A57-Ft!D$2)&lt;0,Ft!D$3*((1-Ft!D$6)/(1+Ft!D$37*($A57-Ft!D$2)^2)+Ft!D$6*EXP(Ft!D$38*($A57-Ft!D$2)^2)),Ft!D$3*((1-Ft!D$7)/(1+Ft!D$39*($A57-Ft!D$2)^2)+Ft!D$7*EXP(Ft!D$40*($A57-Ft!D$2)^2)))</f>
        <v>1.7957086192649467</v>
      </c>
      <c r="I57" s="3">
        <f>IF(($A57-Ft!E$2)&lt;0,Ft!E$3*((1-Ft!E$6)/(1+Ft!E$37*($A57-Ft!E$2)^2)+Ft!E$6*EXP(Ft!E$38*($A57-Ft!E$2)^2)),Ft!E$3*((1-Ft!E$7)/(1+Ft!E$39*($A57-Ft!E$2)^2)+Ft!E$7*EXP(Ft!E$40*($A57-Ft!E$2)^2)))</f>
        <v>2.3860928287750246E-3</v>
      </c>
      <c r="J57" s="3">
        <f>IF(($A57-Ft!F$2)&lt;0,Ft!F$3*((1-Ft!F$6)/(1+Ft!F$37*($A57-Ft!F$2)^2)+Ft!F$6*EXP(Ft!F$38*($A57-Ft!F$2)^2)),Ft!F$3*((1-Ft!F$7)/(1+Ft!F$39*($A57-Ft!F$2)^2)+Ft!F$7*EXP(Ft!F$40*($A57-Ft!F$2)^2)))</f>
        <v>5.1736669912492764E-160</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v>112</v>
      </c>
      <c r="B58">
        <v>11.182784786122994</v>
      </c>
      <c r="C58" s="6">
        <f t="shared" si="1"/>
        <v>10.855661453449686</v>
      </c>
      <c r="D58" s="19">
        <f t="shared" si="2"/>
        <v>0.10700967477929163</v>
      </c>
      <c r="E58" s="3">
        <f>Ft!$B$12+Ft!$B$14*(Data!A58-Vars!$B$3)</f>
        <v>0</v>
      </c>
      <c r="F58" s="3">
        <f>IF(($A58-Ft!B$2)&lt;0,Ft!B$3*((1-Ft!B$6)/(1+Ft!B$37*($A58-Ft!B$2)^2)+Ft!B$6*EXP(Ft!B$38*($A58-Ft!B$2)^2)),Ft!B$3*((1-Ft!B$7)/(1+Ft!B$39*($A58-Ft!B$2)^2)+Ft!B$7*EXP(Ft!B$40*($A58-Ft!B$2)^2)))</f>
        <v>1.2378600828458153E-2</v>
      </c>
      <c r="G58" s="3">
        <f>IF(($A58-Ft!C$2)&lt;0,Ft!C$3*((1-Ft!C$6)/(1+Ft!C$37*($A58-Ft!C$2)^2)+Ft!C$6*EXP(Ft!C$38*($A58-Ft!C$2)^2)),Ft!C$3*((1-Ft!C$7)/(1+Ft!C$39*($A58-Ft!C$2)^2)+Ft!C$7*EXP(Ft!C$40*($A58-Ft!C$2)^2)))</f>
        <v>8.9944086314936449</v>
      </c>
      <c r="H58" s="3">
        <f>IF(($A58-Ft!D$2)&lt;0,Ft!D$3*((1-Ft!D$6)/(1+Ft!D$37*($A58-Ft!D$2)^2)+Ft!D$6*EXP(Ft!D$38*($A58-Ft!D$2)^2)),Ft!D$3*((1-Ft!D$7)/(1+Ft!D$39*($A58-Ft!D$2)^2)+Ft!D$7*EXP(Ft!D$40*($A58-Ft!D$2)^2)))</f>
        <v>1.8463658621631198</v>
      </c>
      <c r="I58" s="3">
        <f>IF(($A58-Ft!E$2)&lt;0,Ft!E$3*((1-Ft!E$6)/(1+Ft!E$37*($A58-Ft!E$2)^2)+Ft!E$6*EXP(Ft!E$38*($A58-Ft!E$2)^2)),Ft!E$3*((1-Ft!E$7)/(1+Ft!E$39*($A58-Ft!E$2)^2)+Ft!E$7*EXP(Ft!E$40*($A58-Ft!E$2)^2)))</f>
        <v>2.5083589644629479E-3</v>
      </c>
      <c r="J58" s="3">
        <f>IF(($A58-Ft!F$2)&lt;0,Ft!F$3*((1-Ft!F$6)/(1+Ft!F$37*($A58-Ft!F$2)^2)+Ft!F$6*EXP(Ft!F$38*($A58-Ft!F$2)^2)),Ft!F$3*((1-Ft!F$7)/(1+Ft!F$39*($A58-Ft!F$2)^2)+Ft!F$7*EXP(Ft!F$40*($A58-Ft!F$2)^2)))</f>
        <v>2.5594580214476411E-159</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v>114</v>
      </c>
      <c r="B59">
        <v>11.280861011586993</v>
      </c>
      <c r="C59" s="6">
        <f t="shared" si="1"/>
        <v>10.980250772648402</v>
      </c>
      <c r="D59" s="19">
        <f t="shared" si="2"/>
        <v>9.0366515754716478E-2</v>
      </c>
      <c r="E59" s="3">
        <f>Ft!$B$12+Ft!$B$14*(Data!A59-Vars!$B$3)</f>
        <v>0</v>
      </c>
      <c r="F59" s="3">
        <f>IF(($A59-Ft!B$2)&lt;0,Ft!B$3*((1-Ft!B$6)/(1+Ft!B$37*($A59-Ft!B$2)^2)+Ft!B$6*EXP(Ft!B$38*($A59-Ft!B$2)^2)),Ft!B$3*((1-Ft!B$7)/(1+Ft!B$39*($A59-Ft!B$2)^2)+Ft!B$7*EXP(Ft!B$40*($A59-Ft!B$2)^2)))</f>
        <v>8.8211436349530329E-3</v>
      </c>
      <c r="G59" s="3">
        <f>IF(($A59-Ft!C$2)&lt;0,Ft!C$3*((1-Ft!C$6)/(1+Ft!C$37*($A59-Ft!C$2)^2)+Ft!C$6*EXP(Ft!C$38*($A59-Ft!C$2)^2)),Ft!C$3*((1-Ft!C$7)/(1+Ft!C$39*($A59-Ft!C$2)^2)+Ft!C$7*EXP(Ft!C$40*($A59-Ft!C$2)^2)))</f>
        <v>9.0706639235978557</v>
      </c>
      <c r="H59" s="3">
        <f>IF(($A59-Ft!D$2)&lt;0,Ft!D$3*((1-Ft!D$6)/(1+Ft!D$37*($A59-Ft!D$2)^2)+Ft!D$6*EXP(Ft!D$38*($A59-Ft!D$2)^2)),Ft!D$3*((1-Ft!D$7)/(1+Ft!D$39*($A59-Ft!D$2)^2)+Ft!D$7*EXP(Ft!D$40*($A59-Ft!D$2)^2)))</f>
        <v>1.8981291890224745</v>
      </c>
      <c r="I59" s="3">
        <f>IF(($A59-Ft!E$2)&lt;0,Ft!E$3*((1-Ft!E$6)/(1+Ft!E$37*($A59-Ft!E$2)^2)+Ft!E$6*EXP(Ft!E$38*($A59-Ft!E$2)^2)),Ft!E$3*((1-Ft!E$7)/(1+Ft!E$39*($A59-Ft!E$2)^2)+Ft!E$7*EXP(Ft!E$40*($A59-Ft!E$2)^2)))</f>
        <v>2.6365163931179707E-3</v>
      </c>
      <c r="J59" s="3">
        <f>IF(($A59-Ft!F$2)&lt;0,Ft!F$3*((1-Ft!F$6)/(1+Ft!F$37*($A59-Ft!F$2)^2)+Ft!F$6*EXP(Ft!F$38*($A59-Ft!F$2)^2)),Ft!F$3*((1-Ft!F$7)/(1+Ft!F$39*($A59-Ft!F$2)^2)+Ft!F$7*EXP(Ft!F$40*($A59-Ft!F$2)^2)))</f>
        <v>1.2617947971101485E-158</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v>116</v>
      </c>
      <c r="B60">
        <v>11.371099891938002</v>
      </c>
      <c r="C60" s="6">
        <f t="shared" si="1"/>
        <v>11.101886031673455</v>
      </c>
      <c r="D60" s="19">
        <f t="shared" si="2"/>
        <v>7.2476102558538716E-2</v>
      </c>
      <c r="E60" s="3">
        <f>Ft!$B$12+Ft!$B$14*(Data!A60-Vars!$B$3)</f>
        <v>0</v>
      </c>
      <c r="F60" s="3">
        <f>IF(($A60-Ft!B$2)&lt;0,Ft!B$3*((1-Ft!B$6)/(1+Ft!B$37*($A60-Ft!B$2)^2)+Ft!B$6*EXP(Ft!B$38*($A60-Ft!B$2)^2)),Ft!B$3*((1-Ft!B$7)/(1+Ft!B$39*($A60-Ft!B$2)^2)+Ft!B$7*EXP(Ft!B$40*($A60-Ft!B$2)^2)))</f>
        <v>6.2232167270051836E-3</v>
      </c>
      <c r="G60" s="3">
        <f>IF(($A60-Ft!C$2)&lt;0,Ft!C$3*((1-Ft!C$6)/(1+Ft!C$37*($A60-Ft!C$2)^2)+Ft!C$6*EXP(Ft!C$38*($A60-Ft!C$2)^2)),Ft!C$3*((1-Ft!C$7)/(1+Ft!C$39*($A60-Ft!C$2)^2)+Ft!C$7*EXP(Ft!C$40*($A60-Ft!C$2)^2)))</f>
        <v>9.141880235781823</v>
      </c>
      <c r="H60" s="3">
        <f>IF(($A60-Ft!D$2)&lt;0,Ft!D$3*((1-Ft!D$6)/(1+Ft!D$37*($A60-Ft!D$2)^2)+Ft!D$6*EXP(Ft!D$38*($A60-Ft!D$2)^2)),Ft!D$3*((1-Ft!D$7)/(1+Ft!D$39*($A60-Ft!D$2)^2)+Ft!D$7*EXP(Ft!D$40*($A60-Ft!D$2)^2)))</f>
        <v>1.951011750310413</v>
      </c>
      <c r="I60" s="3">
        <f>IF(($A60-Ft!E$2)&lt;0,Ft!E$3*((1-Ft!E$6)/(1+Ft!E$37*($A60-Ft!E$2)^2)+Ft!E$6*EXP(Ft!E$38*($A60-Ft!E$2)^2)),Ft!E$3*((1-Ft!E$7)/(1+Ft!E$39*($A60-Ft!E$2)^2)+Ft!E$7*EXP(Ft!E$40*($A60-Ft!E$2)^2)))</f>
        <v>2.7708288542162233E-3</v>
      </c>
      <c r="J60" s="3">
        <f>IF(($A60-Ft!F$2)&lt;0,Ft!F$3*((1-Ft!F$6)/(1+Ft!F$37*($A60-Ft!F$2)^2)+Ft!F$6*EXP(Ft!F$38*($A60-Ft!F$2)^2)),Ft!F$3*((1-Ft!F$7)/(1+Ft!F$39*($A60-Ft!F$2)^2)+Ft!F$7*EXP(Ft!F$40*($A60-Ft!F$2)^2)))</f>
        <v>6.1989857148708692E-158</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v>118</v>
      </c>
      <c r="B61">
        <v>11.451297118757992</v>
      </c>
      <c r="C61" s="6">
        <f t="shared" si="1"/>
        <v>11.220213707504074</v>
      </c>
      <c r="D61" s="19">
        <f t="shared" si="2"/>
        <v>5.3399542956747377E-2</v>
      </c>
      <c r="E61" s="3">
        <f>Ft!$B$12+Ft!$B$14*(Data!A61-Vars!$B$3)</f>
        <v>0</v>
      </c>
      <c r="F61" s="3">
        <f>IF(($A61-Ft!B$2)&lt;0,Ft!B$3*((1-Ft!B$6)/(1+Ft!B$37*($A61-Ft!B$2)^2)+Ft!B$6*EXP(Ft!B$38*($A61-Ft!B$2)^2)),Ft!B$3*((1-Ft!B$7)/(1+Ft!B$39*($A61-Ft!B$2)^2)+Ft!B$7*EXP(Ft!B$40*($A61-Ft!B$2)^2)))</f>
        <v>4.3465197225885143E-3</v>
      </c>
      <c r="G61" s="3">
        <f>IF(($A61-Ft!C$2)&lt;0,Ft!C$3*((1-Ft!C$6)/(1+Ft!C$37*($A61-Ft!C$2)^2)+Ft!C$6*EXP(Ft!C$38*($A61-Ft!C$2)^2)),Ft!C$3*((1-Ft!C$7)/(1+Ft!C$39*($A61-Ft!C$2)^2)+Ft!C$7*EXP(Ft!C$40*($A61-Ft!C$2)^2)))</f>
        <v>9.2079291320683669</v>
      </c>
      <c r="H61" s="3">
        <f>IF(($A61-Ft!D$2)&lt;0,Ft!D$3*((1-Ft!D$6)/(1+Ft!D$37*($A61-Ft!D$2)^2)+Ft!D$6*EXP(Ft!D$38*($A61-Ft!D$2)^2)),Ft!D$3*((1-Ft!D$7)/(1+Ft!D$39*($A61-Ft!D$2)^2)+Ft!D$7*EXP(Ft!D$40*($A61-Ft!D$2)^2)))</f>
        <v>2.0050264848545063</v>
      </c>
      <c r="I61" s="3">
        <f>IF(($A61-Ft!E$2)&lt;0,Ft!E$3*((1-Ft!E$6)/(1+Ft!E$37*($A61-Ft!E$2)^2)+Ft!E$6*EXP(Ft!E$38*($A61-Ft!E$2)^2)),Ft!E$3*((1-Ft!E$7)/(1+Ft!E$39*($A61-Ft!E$2)^2)+Ft!E$7*EXP(Ft!E$40*($A61-Ft!E$2)^2)))</f>
        <v>2.9115708586123401E-3</v>
      </c>
      <c r="J61" s="3">
        <f>IF(($A61-Ft!F$2)&lt;0,Ft!F$3*((1-Ft!F$6)/(1+Ft!F$37*($A61-Ft!F$2)^2)+Ft!F$6*EXP(Ft!F$38*($A61-Ft!F$2)^2)),Ft!F$3*((1-Ft!F$7)/(1+Ft!F$39*($A61-Ft!F$2)^2)+Ft!F$7*EXP(Ft!F$40*($A61-Ft!F$2)^2)))</f>
        <v>3.0348953532020616E-157</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v>120</v>
      </c>
      <c r="B62">
        <v>11.52274161403399</v>
      </c>
      <c r="C62" s="6">
        <f t="shared" si="1"/>
        <v>11.334941431799647</v>
      </c>
      <c r="D62" s="19">
        <f t="shared" si="2"/>
        <v>3.5268908447252244E-2</v>
      </c>
      <c r="E62" s="3">
        <f>Ft!$B$12+Ft!$B$14*(Data!A62-Vars!$B$3)</f>
        <v>0</v>
      </c>
      <c r="F62" s="3">
        <f>IF(($A62-Ft!B$2)&lt;0,Ft!B$3*((1-Ft!B$6)/(1+Ft!B$37*($A62-Ft!B$2)^2)+Ft!B$6*EXP(Ft!B$38*($A62-Ft!B$2)^2)),Ft!B$3*((1-Ft!B$7)/(1+Ft!B$39*($A62-Ft!B$2)^2)+Ft!B$7*EXP(Ft!B$40*($A62-Ft!B$2)^2)))</f>
        <v>3.0054193635212462E-3</v>
      </c>
      <c r="G62" s="3">
        <f>IF(($A62-Ft!C$2)&lt;0,Ft!C$3*((1-Ft!C$6)/(1+Ft!C$37*($A62-Ft!C$2)^2)+Ft!C$6*EXP(Ft!C$38*($A62-Ft!C$2)^2)),Ft!C$3*((1-Ft!C$7)/(1+Ft!C$39*($A62-Ft!C$2)^2)+Ft!C$7*EXP(Ft!C$40*($A62-Ft!C$2)^2)))</f>
        <v>9.2686908793383154</v>
      </c>
      <c r="H62" s="3">
        <f>IF(($A62-Ft!D$2)&lt;0,Ft!D$3*((1-Ft!D$6)/(1+Ft!D$37*($A62-Ft!D$2)^2)+Ft!D$6*EXP(Ft!D$38*($A62-Ft!D$2)^2)),Ft!D$3*((1-Ft!D$7)/(1+Ft!D$39*($A62-Ft!D$2)^2)+Ft!D$7*EXP(Ft!D$40*($A62-Ft!D$2)^2)))</f>
        <v>2.0601861050201364</v>
      </c>
      <c r="I62" s="3">
        <f>IF(($A62-Ft!E$2)&lt;0,Ft!E$3*((1-Ft!E$6)/(1+Ft!E$37*($A62-Ft!E$2)^2)+Ft!E$6*EXP(Ft!E$38*($A62-Ft!E$2)^2)),Ft!E$3*((1-Ft!E$7)/(1+Ft!E$39*($A62-Ft!E$2)^2)+Ft!E$7*EXP(Ft!E$40*($A62-Ft!E$2)^2)))</f>
        <v>3.0590280776737278E-3</v>
      </c>
      <c r="J62" s="3">
        <f>IF(($A62-Ft!F$2)&lt;0,Ft!F$3*((1-Ft!F$6)/(1+Ft!F$37*($A62-Ft!F$2)^2)+Ft!F$6*EXP(Ft!F$38*($A62-Ft!F$2)^2)),Ft!F$3*((1-Ft!F$7)/(1+Ft!F$39*($A62-Ft!F$2)^2)+Ft!F$7*EXP(Ft!F$40*($A62-Ft!F$2)^2)))</f>
        <v>1.4806690129699315E-156</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v>122</v>
      </c>
      <c r="B63">
        <v>11.588698142160993</v>
      </c>
      <c r="C63" s="6">
        <f t="shared" si="1"/>
        <v>11.445828724198984</v>
      </c>
      <c r="D63" s="19">
        <f t="shared" si="2"/>
        <v>2.0411670588803259E-2</v>
      </c>
      <c r="E63" s="3">
        <f>Ft!$B$12+Ft!$B$14*(Data!A63-Vars!$B$3)</f>
        <v>0</v>
      </c>
      <c r="F63" s="3">
        <f>IF(($A63-Ft!B$2)&lt;0,Ft!B$3*((1-Ft!B$6)/(1+Ft!B$37*($A63-Ft!B$2)^2)+Ft!B$6*EXP(Ft!B$38*($A63-Ft!B$2)^2)),Ft!B$3*((1-Ft!B$7)/(1+Ft!B$39*($A63-Ft!B$2)^2)+Ft!B$7*EXP(Ft!B$40*($A63-Ft!B$2)^2)))</f>
        <v>2.057335890801953E-3</v>
      </c>
      <c r="G63" s="3">
        <f>IF(($A63-Ft!C$2)&lt;0,Ft!C$3*((1-Ft!C$6)/(1+Ft!C$37*($A63-Ft!C$2)^2)+Ft!C$6*EXP(Ft!C$38*($A63-Ft!C$2)^2)),Ft!C$3*((1-Ft!C$7)/(1+Ft!C$39*($A63-Ft!C$2)^2)+Ft!C$7*EXP(Ft!C$40*($A63-Ft!C$2)^2)))</f>
        <v>9.3240548088922939</v>
      </c>
      <c r="H63" s="3">
        <f>IF(($A63-Ft!D$2)&lt;0,Ft!D$3*((1-Ft!D$6)/(1+Ft!D$37*($A63-Ft!D$2)^2)+Ft!D$6*EXP(Ft!D$38*($A63-Ft!D$2)^2)),Ft!D$3*((1-Ft!D$7)/(1+Ft!D$39*($A63-Ft!D$2)^2)+Ft!D$7*EXP(Ft!D$40*($A63-Ft!D$2)^2)))</f>
        <v>2.1165030816717887</v>
      </c>
      <c r="I63" s="3">
        <f>IF(($A63-Ft!E$2)&lt;0,Ft!E$3*((1-Ft!E$6)/(1+Ft!E$37*($A63-Ft!E$2)^2)+Ft!E$6*EXP(Ft!E$38*($A63-Ft!E$2)^2)),Ft!E$3*((1-Ft!E$7)/(1+Ft!E$39*($A63-Ft!E$2)^2)+Ft!E$7*EXP(Ft!E$40*($A63-Ft!E$2)^2)))</f>
        <v>3.2134977440996192E-3</v>
      </c>
      <c r="J63" s="3">
        <f>IF(($A63-Ft!F$2)&lt;0,Ft!F$3*((1-Ft!F$6)/(1+Ft!F$37*($A63-Ft!F$2)^2)+Ft!F$6*EXP(Ft!F$38*($A63-Ft!F$2)^2)),Ft!F$3*((1-Ft!F$7)/(1+Ft!F$39*($A63-Ft!F$2)^2)+Ft!F$7*EXP(Ft!F$40*($A63-Ft!F$2)^2)))</f>
        <v>7.1988551743757939E-156</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v>124</v>
      </c>
      <c r="B64">
        <v>11.649926158337991</v>
      </c>
      <c r="C64" s="6">
        <f t="shared" si="1"/>
        <v>11.552678824637693</v>
      </c>
      <c r="D64" s="19">
        <f t="shared" si="2"/>
        <v>9.4570439118169276E-3</v>
      </c>
      <c r="E64" s="3">
        <f>Ft!$B$12+Ft!$B$14*(Data!A64-Vars!$B$3)</f>
        <v>0</v>
      </c>
      <c r="F64" s="3">
        <f>IF(($A64-Ft!B$2)&lt;0,Ft!B$3*((1-Ft!B$6)/(1+Ft!B$37*($A64-Ft!B$2)^2)+Ft!B$6*EXP(Ft!B$38*($A64-Ft!B$2)^2)),Ft!B$3*((1-Ft!B$7)/(1+Ft!B$39*($A64-Ft!B$2)^2)+Ft!B$7*EXP(Ft!B$40*($A64-Ft!B$2)^2)))</f>
        <v>1.3942543934493958E-3</v>
      </c>
      <c r="G64" s="3">
        <f>IF(($A64-Ft!C$2)&lt;0,Ft!C$3*((1-Ft!C$6)/(1+Ft!C$37*($A64-Ft!C$2)^2)+Ft!C$6*EXP(Ft!C$38*($A64-Ft!C$2)^2)),Ft!C$3*((1-Ft!C$7)/(1+Ft!C$39*($A64-Ft!C$2)^2)+Ft!C$7*EXP(Ft!C$40*($A64-Ft!C$2)^2)))</f>
        <v>9.3739196522520185</v>
      </c>
      <c r="H64" s="3">
        <f>IF(($A64-Ft!D$2)&lt;0,Ft!D$3*((1-Ft!D$6)/(1+Ft!D$37*($A64-Ft!D$2)^2)+Ft!D$6*EXP(Ft!D$38*($A64-Ft!D$2)^2)),Ft!D$3*((1-Ft!D$7)/(1+Ft!D$39*($A64-Ft!D$2)^2)+Ft!D$7*EXP(Ft!D$40*($A64-Ft!D$2)^2)))</f>
        <v>2.1739896289275555</v>
      </c>
      <c r="I64" s="3">
        <f>IF(($A64-Ft!E$2)&lt;0,Ft!E$3*((1-Ft!E$6)/(1+Ft!E$37*($A64-Ft!E$2)^2)+Ft!E$6*EXP(Ft!E$38*($A64-Ft!E$2)^2)),Ft!E$3*((1-Ft!E$7)/(1+Ft!E$39*($A64-Ft!E$2)^2)+Ft!E$7*EXP(Ft!E$40*($A64-Ft!E$2)^2)))</f>
        <v>3.3752890646690402E-3</v>
      </c>
      <c r="J64" s="3">
        <f>IF(($A64-Ft!F$2)&lt;0,Ft!F$3*((1-Ft!F$6)/(1+Ft!F$37*($A64-Ft!F$2)^2)+Ft!F$6*EXP(Ft!F$38*($A64-Ft!F$2)^2)),Ft!F$3*((1-Ft!F$7)/(1+Ft!F$39*($A64-Ft!F$2)^2)+Ft!F$7*EXP(Ft!F$40*($A64-Ft!F$2)^2)))</f>
        <v>3.4878682155860237E-155</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v>126</v>
      </c>
      <c r="B65">
        <v>11.707185117763999</v>
      </c>
      <c r="C65" s="6">
        <f t="shared" si="1"/>
        <v>11.655331701277726</v>
      </c>
      <c r="D65" s="19">
        <f t="shared" si="2"/>
        <v>2.6887768012988375E-3</v>
      </c>
      <c r="E65" s="3">
        <f>Ft!$B$12+Ft!$B$14*(Data!A65-Vars!$B$3)</f>
        <v>0</v>
      </c>
      <c r="F65" s="3">
        <f>IF(($A65-Ft!B$2)&lt;0,Ft!B$3*((1-Ft!B$6)/(1+Ft!B$37*($A65-Ft!B$2)^2)+Ft!B$6*EXP(Ft!B$38*($A65-Ft!B$2)^2)),Ft!B$3*((1-Ft!B$7)/(1+Ft!B$39*($A65-Ft!B$2)^2)+Ft!B$7*EXP(Ft!B$40*($A65-Ft!B$2)^2)))</f>
        <v>9.3543914039139918E-4</v>
      </c>
      <c r="G65" s="3">
        <f>IF(($A65-Ft!C$2)&lt;0,Ft!C$3*((1-Ft!C$6)/(1+Ft!C$37*($A65-Ft!C$2)^2)+Ft!C$6*EXP(Ft!C$38*($A65-Ft!C$2)^2)),Ft!C$3*((1-Ft!C$7)/(1+Ft!C$39*($A65-Ft!C$2)^2)+Ft!C$7*EXP(Ft!C$40*($A65-Ft!C$2)^2)))</f>
        <v>9.4181938497752213</v>
      </c>
      <c r="H65" s="3">
        <f>IF(($A65-Ft!D$2)&lt;0,Ft!D$3*((1-Ft!D$6)/(1+Ft!D$37*($A65-Ft!D$2)^2)+Ft!D$6*EXP(Ft!D$38*($A65-Ft!D$2)^2)),Ft!D$3*((1-Ft!D$7)/(1+Ft!D$39*($A65-Ft!D$2)^2)+Ft!D$7*EXP(Ft!D$40*($A65-Ft!D$2)^2)))</f>
        <v>2.2326576887169525</v>
      </c>
      <c r="I65" s="3">
        <f>IF(($A65-Ft!E$2)&lt;0,Ft!E$3*((1-Ft!E$6)/(1+Ft!E$37*($A65-Ft!E$2)^2)+Ft!E$6*EXP(Ft!E$38*($A65-Ft!E$2)^2)),Ft!E$3*((1-Ft!E$7)/(1+Ft!E$39*($A65-Ft!E$2)^2)+Ft!E$7*EXP(Ft!E$40*($A65-Ft!E$2)^2)))</f>
        <v>3.544723645161842E-3</v>
      </c>
      <c r="J65" s="3">
        <f>IF(($A65-Ft!F$2)&lt;0,Ft!F$3*((1-Ft!F$6)/(1+Ft!F$37*($A65-Ft!F$2)^2)+Ft!F$6*EXP(Ft!F$38*($A65-Ft!F$2)^2)),Ft!F$3*((1-Ft!F$7)/(1+Ft!F$39*($A65-Ft!F$2)^2)+Ft!F$7*EXP(Ft!F$40*($A65-Ft!F$2)^2)))</f>
        <v>1.684022462105659E-154</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v>128</v>
      </c>
      <c r="B66">
        <v>11.761234475636996</v>
      </c>
      <c r="C66" s="6">
        <f t="shared" si="1"/>
        <v>11.75365821675104</v>
      </c>
      <c r="D66" s="19">
        <f t="shared" si="2"/>
        <v>5.7399698707034481E-5</v>
      </c>
      <c r="E66" s="3">
        <f>Ft!$B$12+Ft!$B$14*(Data!A66-Vars!$B$3)</f>
        <v>0</v>
      </c>
      <c r="F66" s="3">
        <f>IF(($A66-Ft!B$2)&lt;0,Ft!B$3*((1-Ft!B$6)/(1+Ft!B$37*($A66-Ft!B$2)^2)+Ft!B$6*EXP(Ft!B$38*($A66-Ft!B$2)^2)),Ft!B$3*((1-Ft!B$7)/(1+Ft!B$39*($A66-Ft!B$2)^2)+Ft!B$7*EXP(Ft!B$40*($A66-Ft!B$2)^2)))</f>
        <v>6.2133490274286112E-4</v>
      </c>
      <c r="G66" s="3">
        <f>IF(($A66-Ft!C$2)&lt;0,Ft!C$3*((1-Ft!C$6)/(1+Ft!C$37*($A66-Ft!C$2)^2)+Ft!C$6*EXP(Ft!C$38*($A66-Ft!C$2)^2)),Ft!C$3*((1-Ft!C$7)/(1+Ft!C$39*($A66-Ft!C$2)^2)+Ft!C$7*EXP(Ft!C$40*($A66-Ft!C$2)^2)))</f>
        <v>9.4567958307679767</v>
      </c>
      <c r="H66" s="3">
        <f>IF(($A66-Ft!D$2)&lt;0,Ft!D$3*((1-Ft!D$6)/(1+Ft!D$37*($A66-Ft!D$2)^2)+Ft!D$6*EXP(Ft!D$38*($A66-Ft!D$2)^2)),Ft!D$3*((1-Ft!D$7)/(1+Ft!D$39*($A66-Ft!D$2)^2)+Ft!D$7*EXP(Ft!D$40*($A66-Ft!D$2)^2)))</f>
        <v>2.2925189151526237</v>
      </c>
      <c r="I66" s="3">
        <f>IF(($A66-Ft!E$2)&lt;0,Ft!E$3*((1-Ft!E$6)/(1+Ft!E$37*($A66-Ft!E$2)^2)+Ft!E$6*EXP(Ft!E$38*($A66-Ft!E$2)^2)),Ft!E$3*((1-Ft!E$7)/(1+Ft!E$39*($A66-Ft!E$2)^2)+Ft!E$7*EXP(Ft!E$40*($A66-Ft!E$2)^2)))</f>
        <v>3.7221359276972429E-3</v>
      </c>
      <c r="J66" s="3">
        <f>IF(($A66-Ft!F$2)&lt;0,Ft!F$3*((1-Ft!F$6)/(1+Ft!F$37*($A66-Ft!F$2)^2)+Ft!F$6*EXP(Ft!F$38*($A66-Ft!F$2)^2)),Ft!F$3*((1-Ft!F$7)/(1+Ft!F$39*($A66-Ft!F$2)^2)+Ft!F$7*EXP(Ft!F$40*($A66-Ft!F$2)^2)))</f>
        <v>8.1026461727674375E-154</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v>130</v>
      </c>
      <c r="B67">
        <v>11.812833687156996</v>
      </c>
      <c r="C67" s="6">
        <f t="shared" ref="C67:C130" si="3">SUM(E67:K67)</f>
        <v>11.847555372081656</v>
      </c>
      <c r="D67" s="19">
        <f t="shared" ref="D67:D130" si="4">(C67-B67)^2</f>
        <v>1.205595404007384E-3</v>
      </c>
      <c r="E67" s="3">
        <f>Ft!$B$12+Ft!$B$14*(Data!A67-Vars!$B$3)</f>
        <v>0</v>
      </c>
      <c r="F67" s="3">
        <f>IF(($A67-Ft!B$2)&lt;0,Ft!B$3*((1-Ft!B$6)/(1+Ft!B$37*($A67-Ft!B$2)^2)+Ft!B$6*EXP(Ft!B$38*($A67-Ft!B$2)^2)),Ft!B$3*((1-Ft!B$7)/(1+Ft!B$39*($A67-Ft!B$2)^2)+Ft!B$7*EXP(Ft!B$40*($A67-Ft!B$2)^2)))</f>
        <v>4.0857581880957841E-4</v>
      </c>
      <c r="G67" s="3">
        <f>IF(($A67-Ft!C$2)&lt;0,Ft!C$3*((1-Ft!C$6)/(1+Ft!C$37*($A67-Ft!C$2)^2)+Ft!C$6*EXP(Ft!C$38*($A67-Ft!C$2)^2)),Ft!C$3*((1-Ft!C$7)/(1+Ft!C$39*($A67-Ft!C$2)^2)+Ft!C$7*EXP(Ft!C$40*($A67-Ft!C$2)^2)))</f>
        <v>9.489654263895039</v>
      </c>
      <c r="H67" s="3">
        <f>IF(($A67-Ft!D$2)&lt;0,Ft!D$3*((1-Ft!D$6)/(1+Ft!D$37*($A67-Ft!D$2)^2)+Ft!D$6*EXP(Ft!D$38*($A67-Ft!D$2)^2)),Ft!D$3*((1-Ft!D$7)/(1+Ft!D$39*($A67-Ft!D$2)^2)+Ft!D$7*EXP(Ft!D$40*($A67-Ft!D$2)^2)))</f>
        <v>2.3535846587270735</v>
      </c>
      <c r="I67" s="3">
        <f>IF(($A67-Ft!E$2)&lt;0,Ft!E$3*((1-Ft!E$6)/(1+Ft!E$37*($A67-Ft!E$2)^2)+Ft!E$6*EXP(Ft!E$38*($A67-Ft!E$2)^2)),Ft!E$3*((1-Ft!E$7)/(1+Ft!E$39*($A67-Ft!E$2)^2)+Ft!E$7*EXP(Ft!E$40*($A67-Ft!E$2)^2)))</f>
        <v>3.9078736407336155E-3</v>
      </c>
      <c r="J67" s="3">
        <f>IF(($A67-Ft!F$2)&lt;0,Ft!F$3*((1-Ft!F$6)/(1+Ft!F$37*($A67-Ft!F$2)^2)+Ft!F$6*EXP(Ft!F$38*($A67-Ft!F$2)^2)),Ft!F$3*((1-Ft!F$7)/(1+Ft!F$39*($A67-Ft!F$2)^2)+Ft!F$7*EXP(Ft!F$40*($A67-Ft!F$2)^2)))</f>
        <v>3.8850539220198748E-153</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v>132</v>
      </c>
      <c r="B68">
        <v>11.86274220752</v>
      </c>
      <c r="C68" s="6">
        <f t="shared" si="3"/>
        <v>11.936942509881515</v>
      </c>
      <c r="D68" s="19">
        <f t="shared" si="4"/>
        <v>5.5056848705402122E-3</v>
      </c>
      <c r="E68" s="3">
        <f>Ft!$B$12+Ft!$B$14*(Data!A68-Vars!$B$3)</f>
        <v>0</v>
      </c>
      <c r="F68" s="3">
        <f>IF(($A68-Ft!B$2)&lt;0,Ft!B$3*((1-Ft!B$6)/(1+Ft!B$37*($A68-Ft!B$2)^2)+Ft!B$6*EXP(Ft!B$38*($A68-Ft!B$2)^2)),Ft!B$3*((1-Ft!B$7)/(1+Ft!B$39*($A68-Ft!B$2)^2)+Ft!B$7*EXP(Ft!B$40*($A68-Ft!B$2)^2)))</f>
        <v>2.6598446123609005E-4</v>
      </c>
      <c r="G68" s="3">
        <f>IF(($A68-Ft!C$2)&lt;0,Ft!C$3*((1-Ft!C$6)/(1+Ft!C$37*($A68-Ft!C$2)^2)+Ft!C$6*EXP(Ft!C$38*($A68-Ft!C$2)^2)),Ft!C$3*((1-Ft!C$7)/(1+Ft!C$39*($A68-Ft!C$2)^2)+Ft!C$7*EXP(Ft!C$40*($A68-Ft!C$2)^2)))</f>
        <v>9.5167082768122775</v>
      </c>
      <c r="H68" s="3">
        <f>IF(($A68-Ft!D$2)&lt;0,Ft!D$3*((1-Ft!D$6)/(1+Ft!D$37*($A68-Ft!D$2)^2)+Ft!D$6*EXP(Ft!D$38*($A68-Ft!D$2)^2)),Ft!D$3*((1-Ft!D$7)/(1+Ft!D$39*($A68-Ft!D$2)^2)+Ft!D$7*EXP(Ft!D$40*($A68-Ft!D$2)^2)))</f>
        <v>2.4158659503460287</v>
      </c>
      <c r="I68" s="3">
        <f>IF(($A68-Ft!E$2)&lt;0,Ft!E$3*((1-Ft!E$6)/(1+Ft!E$37*($A68-Ft!E$2)^2)+Ft!E$6*EXP(Ft!E$38*($A68-Ft!E$2)^2)),Ft!E$3*((1-Ft!E$7)/(1+Ft!E$39*($A68-Ft!E$2)^2)+Ft!E$7*EXP(Ft!E$40*($A68-Ft!E$2)^2)))</f>
        <v>4.1022982619729866E-3</v>
      </c>
      <c r="J68" s="3">
        <f>IF(($A68-Ft!F$2)&lt;0,Ft!F$3*((1-Ft!F$6)/(1+Ft!F$37*($A68-Ft!F$2)^2)+Ft!F$6*EXP(Ft!F$38*($A68-Ft!F$2)^2)),Ft!F$3*((1-Ft!F$7)/(1+Ft!F$39*($A68-Ft!F$2)^2)+Ft!F$7*EXP(Ft!F$40*($A68-Ft!F$2)^2)))</f>
        <v>1.8563437885168273E-152</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v>134</v>
      </c>
      <c r="B69">
        <v>11.911719491927002</v>
      </c>
      <c r="C69" s="6">
        <f t="shared" si="3"/>
        <v>12.021758340731257</v>
      </c>
      <c r="D69" s="19">
        <f t="shared" si="4"/>
        <v>1.2108548246165635E-2</v>
      </c>
      <c r="E69" s="3">
        <f>Ft!$B$12+Ft!$B$14*(Data!A69-Vars!$B$3)</f>
        <v>0</v>
      </c>
      <c r="F69" s="3">
        <f>IF(($A69-Ft!B$2)&lt;0,Ft!B$3*((1-Ft!B$6)/(1+Ft!B$37*($A69-Ft!B$2)^2)+Ft!B$6*EXP(Ft!B$38*($A69-Ft!B$2)^2)),Ft!B$3*((1-Ft!B$7)/(1+Ft!B$39*($A69-Ft!B$2)^2)+Ft!B$7*EXP(Ft!B$40*($A69-Ft!B$2)^2)))</f>
        <v>1.7142595161191089E-4</v>
      </c>
      <c r="G69" s="3">
        <f>IF(($A69-Ft!C$2)&lt;0,Ft!C$3*((1-Ft!C$6)/(1+Ft!C$37*($A69-Ft!C$2)^2)+Ft!C$6*EXP(Ft!C$38*($A69-Ft!C$2)^2)),Ft!C$3*((1-Ft!C$7)/(1+Ft!C$39*($A69-Ft!C$2)^2)+Ft!C$7*EXP(Ft!C$40*($A69-Ft!C$2)^2)))</f>
        <v>9.5379076440746626</v>
      </c>
      <c r="H69" s="3">
        <f>IF(($A69-Ft!D$2)&lt;0,Ft!D$3*((1-Ft!D$6)/(1+Ft!D$37*($A69-Ft!D$2)^2)+Ft!D$6*EXP(Ft!D$38*($A69-Ft!D$2)^2)),Ft!D$3*((1-Ft!D$7)/(1+Ft!D$39*($A69-Ft!D$2)^2)+Ft!D$7*EXP(Ft!D$40*($A69-Ft!D$2)^2)))</f>
        <v>2.4793734852105689</v>
      </c>
      <c r="I69" s="3">
        <f>IF(($A69-Ft!E$2)&lt;0,Ft!E$3*((1-Ft!E$6)/(1+Ft!E$37*($A69-Ft!E$2)^2)+Ft!E$6*EXP(Ft!E$38*($A69-Ft!E$2)^2)),Ft!E$3*((1-Ft!E$7)/(1+Ft!E$39*($A69-Ft!E$2)^2)+Ft!E$7*EXP(Ft!E$40*($A69-Ft!E$2)^2)))</f>
        <v>4.305785494412644E-3</v>
      </c>
      <c r="J69" s="3">
        <f>IF(($A69-Ft!F$2)&lt;0,Ft!F$3*((1-Ft!F$6)/(1+Ft!F$37*($A69-Ft!F$2)^2)+Ft!F$6*EXP(Ft!F$38*($A69-Ft!F$2)^2)),Ft!F$3*((1-Ft!F$7)/(1+Ft!F$39*($A69-Ft!F$2)^2)+Ft!F$7*EXP(Ft!F$40*($A69-Ft!F$2)^2)))</f>
        <v>8.8391590656165935E-152</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v>136</v>
      </c>
      <c r="B70">
        <v>11.955365553680991</v>
      </c>
      <c r="C70" s="6">
        <f t="shared" si="3"/>
        <v>12.101958653728722</v>
      </c>
      <c r="D70" s="19">
        <f t="shared" si="4"/>
        <v>2.1489536981604124E-2</v>
      </c>
      <c r="E70" s="3">
        <f>Ft!$B$12+Ft!$B$14*(Data!A70-Vars!$B$3)</f>
        <v>0</v>
      </c>
      <c r="F70" s="3">
        <f>IF(($A70-Ft!B$2)&lt;0,Ft!B$3*((1-Ft!B$6)/(1+Ft!B$37*($A70-Ft!B$2)^2)+Ft!B$6*EXP(Ft!B$38*($A70-Ft!B$2)^2)),Ft!B$3*((1-Ft!B$7)/(1+Ft!B$39*($A70-Ft!B$2)^2)+Ft!B$7*EXP(Ft!B$40*($A70-Ft!B$2)^2)))</f>
        <v>1.0937890436042709E-4</v>
      </c>
      <c r="G70" s="3">
        <f>IF(($A70-Ft!C$2)&lt;0,Ft!C$3*((1-Ft!C$6)/(1+Ft!C$37*($A70-Ft!C$2)^2)+Ft!C$6*EXP(Ft!C$38*($A70-Ft!C$2)^2)),Ft!C$3*((1-Ft!C$7)/(1+Ft!C$39*($A70-Ft!C$2)^2)+Ft!C$7*EXP(Ft!C$40*($A70-Ft!C$2)^2)))</f>
        <v>9.5532129425078978</v>
      </c>
      <c r="H70" s="3">
        <f>IF(($A70-Ft!D$2)&lt;0,Ft!D$3*((1-Ft!D$6)/(1+Ft!D$37*($A70-Ft!D$2)^2)+Ft!D$6*EXP(Ft!D$38*($A70-Ft!D$2)^2)),Ft!D$3*((1-Ft!D$7)/(1+Ft!D$39*($A70-Ft!D$2)^2)+Ft!D$7*EXP(Ft!D$40*($A70-Ft!D$2)^2)))</f>
        <v>2.544117606560679</v>
      </c>
      <c r="I70" s="3">
        <f>IF(($A70-Ft!E$2)&lt;0,Ft!E$3*((1-Ft!E$6)/(1+Ft!E$37*($A70-Ft!E$2)^2)+Ft!E$6*EXP(Ft!E$38*($A70-Ft!E$2)^2)),Ft!E$3*((1-Ft!E$7)/(1+Ft!E$39*($A70-Ft!E$2)^2)+Ft!E$7*EXP(Ft!E$40*($A70-Ft!E$2)^2)))</f>
        <v>4.5187257557849272E-3</v>
      </c>
      <c r="J70" s="3">
        <f>IF(($A70-Ft!F$2)&lt;0,Ft!F$3*((1-Ft!F$6)/(1+Ft!F$37*($A70-Ft!F$2)^2)+Ft!F$6*EXP(Ft!F$38*($A70-Ft!F$2)^2)),Ft!F$3*((1-Ft!F$7)/(1+Ft!F$39*($A70-Ft!F$2)^2)+Ft!F$7*EXP(Ft!F$40*($A70-Ft!F$2)^2)))</f>
        <v>4.1942534591338984E-151</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v>138</v>
      </c>
      <c r="B71">
        <v>11.990145652238994</v>
      </c>
      <c r="C71" s="6">
        <f t="shared" si="3"/>
        <v>12.177514579266544</v>
      </c>
      <c r="D71" s="19">
        <f t="shared" si="4"/>
        <v>3.5107114815455705E-2</v>
      </c>
      <c r="E71" s="3">
        <f>Ft!$B$12+Ft!$B$14*(Data!A71-Vars!$B$3)</f>
        <v>0</v>
      </c>
      <c r="F71" s="3">
        <f>IF(($A71-Ft!B$2)&lt;0,Ft!B$3*((1-Ft!B$6)/(1+Ft!B$37*($A71-Ft!B$2)^2)+Ft!B$6*EXP(Ft!B$38*($A71-Ft!B$2)^2)),Ft!B$3*((1-Ft!B$7)/(1+Ft!B$39*($A71-Ft!B$2)^2)+Ft!B$7*EXP(Ft!B$40*($A71-Ft!B$2)^2)))</f>
        <v>6.909192061119953E-5</v>
      </c>
      <c r="G71" s="3">
        <f>IF(($A71-Ft!C$2)&lt;0,Ft!C$3*((1-Ft!C$6)/(1+Ft!C$37*($A71-Ft!C$2)^2)+Ft!C$6*EXP(Ft!C$38*($A71-Ft!C$2)^2)),Ft!C$3*((1-Ft!C$7)/(1+Ft!C$39*($A71-Ft!C$2)^2)+Ft!C$7*EXP(Ft!C$40*($A71-Ft!C$2)^2)))</f>
        <v>9.5625956733709643</v>
      </c>
      <c r="H71" s="3">
        <f>IF(($A71-Ft!D$2)&lt;0,Ft!D$3*((1-Ft!D$6)/(1+Ft!D$37*($A71-Ft!D$2)^2)+Ft!D$6*EXP(Ft!D$38*($A71-Ft!D$2)^2)),Ft!D$3*((1-Ft!D$7)/(1+Ft!D$39*($A71-Ft!D$2)^2)+Ft!D$7*EXP(Ft!D$40*($A71-Ft!D$2)^2)))</f>
        <v>2.6101082892933438</v>
      </c>
      <c r="I71" s="3">
        <f>IF(($A71-Ft!E$2)&lt;0,Ft!E$3*((1-Ft!E$6)/(1+Ft!E$37*($A71-Ft!E$2)^2)+Ft!E$6*EXP(Ft!E$38*($A71-Ft!E$2)^2)),Ft!E$3*((1-Ft!E$7)/(1+Ft!E$39*($A71-Ft!E$2)^2)+Ft!E$7*EXP(Ft!E$40*($A71-Ft!E$2)^2)))</f>
        <v>4.7415246816248282E-3</v>
      </c>
      <c r="J71" s="3">
        <f>IF(($A71-Ft!F$2)&lt;0,Ft!F$3*((1-Ft!F$6)/(1+Ft!F$37*($A71-Ft!F$2)^2)+Ft!F$6*EXP(Ft!F$38*($A71-Ft!F$2)^2)),Ft!F$3*((1-Ft!F$7)/(1+Ft!F$39*($A71-Ft!F$2)^2)+Ft!F$7*EXP(Ft!F$40*($A71-Ft!F$2)^2)))</f>
        <v>1.9833053129917771E-150</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v>140</v>
      </c>
      <c r="B72">
        <v>12.018117112024001</v>
      </c>
      <c r="C72" s="6">
        <f t="shared" si="3"/>
        <v>12.248411285243519</v>
      </c>
      <c r="D72" s="19">
        <f t="shared" si="4"/>
        <v>5.3035406218861186E-2</v>
      </c>
      <c r="E72" s="3">
        <f>Ft!$B$12+Ft!$B$14*(Data!A72-Vars!$B$3)</f>
        <v>0</v>
      </c>
      <c r="F72" s="3">
        <f>IF(($A72-Ft!B$2)&lt;0,Ft!B$3*((1-Ft!B$6)/(1+Ft!B$37*($A72-Ft!B$2)^2)+Ft!B$6*EXP(Ft!B$38*($A72-Ft!B$2)^2)),Ft!B$3*((1-Ft!B$7)/(1+Ft!B$39*($A72-Ft!B$2)^2)+Ft!B$7*EXP(Ft!B$40*($A72-Ft!B$2)^2)))</f>
        <v>4.3207352761927628E-5</v>
      </c>
      <c r="G72" s="3">
        <f>IF(($A72-Ft!C$2)&lt;0,Ft!C$3*((1-Ft!C$6)/(1+Ft!C$37*($A72-Ft!C$2)^2)+Ft!C$6*EXP(Ft!C$38*($A72-Ft!C$2)^2)),Ft!C$3*((1-Ft!C$7)/(1+Ft!C$39*($A72-Ft!C$2)^2)+Ft!C$7*EXP(Ft!C$40*($A72-Ft!C$2)^2)))</f>
        <v>9.5660383507797029</v>
      </c>
      <c r="H72" s="3">
        <f>IF(($A72-Ft!D$2)&lt;0,Ft!D$3*((1-Ft!D$6)/(1+Ft!D$37*($A72-Ft!D$2)^2)+Ft!D$6*EXP(Ft!D$38*($A72-Ft!D$2)^2)),Ft!D$3*((1-Ft!D$7)/(1+Ft!D$39*($A72-Ft!D$2)^2)+Ft!D$7*EXP(Ft!D$40*($A72-Ft!D$2)^2)))</f>
        <v>2.6773551234688493</v>
      </c>
      <c r="I72" s="3">
        <f>IF(($A72-Ft!E$2)&lt;0,Ft!E$3*((1-Ft!E$6)/(1+Ft!E$37*($A72-Ft!E$2)^2)+Ft!E$6*EXP(Ft!E$38*($A72-Ft!E$2)^2)),Ft!E$3*((1-Ft!E$7)/(1+Ft!E$39*($A72-Ft!E$2)^2)+Ft!E$7*EXP(Ft!E$40*($A72-Ft!E$2)^2)))</f>
        <v>4.9746036422030028E-3</v>
      </c>
      <c r="J72" s="3">
        <f>IF(($A72-Ft!F$2)&lt;0,Ft!F$3*((1-Ft!F$6)/(1+Ft!F$37*($A72-Ft!F$2)^2)+Ft!F$6*EXP(Ft!F$38*($A72-Ft!F$2)^2)),Ft!F$3*((1-Ft!F$7)/(1+Ft!F$39*($A72-Ft!F$2)^2)+Ft!F$7*EXP(Ft!F$40*($A72-Ft!F$2)^2)))</f>
        <v>9.3457823152606976E-150</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v>142</v>
      </c>
      <c r="B73">
        <v>12.04133725746</v>
      </c>
      <c r="C73" s="6">
        <f t="shared" si="3"/>
        <v>12.314647004059669</v>
      </c>
      <c r="D73" s="19">
        <f t="shared" si="4"/>
        <v>7.4698217586375043E-2</v>
      </c>
      <c r="E73" s="3">
        <f>Ft!$B$12+Ft!$B$14*(Data!A73-Vars!$B$3)</f>
        <v>0</v>
      </c>
      <c r="F73" s="3">
        <f>IF(($A73-Ft!B$2)&lt;0,Ft!B$3*((1-Ft!B$6)/(1+Ft!B$37*($A73-Ft!B$2)^2)+Ft!B$6*EXP(Ft!B$38*($A73-Ft!B$2)^2)),Ft!B$3*((1-Ft!B$7)/(1+Ft!B$39*($A73-Ft!B$2)^2)+Ft!B$7*EXP(Ft!B$40*($A73-Ft!B$2)^2)))</f>
        <v>2.6750059280119994E-5</v>
      </c>
      <c r="G73" s="3">
        <f>IF(($A73-Ft!C$2)&lt;0,Ft!C$3*((1-Ft!C$6)/(1+Ft!C$37*($A73-Ft!C$2)^2)+Ft!C$6*EXP(Ft!C$38*($A73-Ft!C$2)^2)),Ft!C$3*((1-Ft!C$7)/(1+Ft!C$39*($A73-Ft!C$2)^2)+Ft!C$7*EXP(Ft!C$40*($A73-Ft!C$2)^2)))</f>
        <v>9.5635345560074239</v>
      </c>
      <c r="H73" s="3">
        <f>IF(($A73-Ft!D$2)&lt;0,Ft!D$3*((1-Ft!D$6)/(1+Ft!D$37*($A73-Ft!D$2)^2)+Ft!D$6*EXP(Ft!D$38*($A73-Ft!D$2)^2)),Ft!D$3*((1-Ft!D$7)/(1+Ft!D$39*($A73-Ft!D$2)^2)+Ft!D$7*EXP(Ft!D$40*($A73-Ft!D$2)^2)))</f>
        <v>2.7458672977194061</v>
      </c>
      <c r="I73" s="3">
        <f>IF(($A73-Ft!E$2)&lt;0,Ft!E$3*((1-Ft!E$6)/(1+Ft!E$37*($A73-Ft!E$2)^2)+Ft!E$6*EXP(Ft!E$38*($A73-Ft!E$2)^2)),Ft!E$3*((1-Ft!E$7)/(1+Ft!E$39*($A73-Ft!E$2)^2)+Ft!E$7*EXP(Ft!E$40*($A73-Ft!E$2)^2)))</f>
        <v>5.2184002735594509E-3</v>
      </c>
      <c r="J73" s="3">
        <f>IF(($A73-Ft!F$2)&lt;0,Ft!F$3*((1-Ft!F$6)/(1+Ft!F$37*($A73-Ft!F$2)^2)+Ft!F$6*EXP(Ft!F$38*($A73-Ft!F$2)^2)),Ft!F$3*((1-Ft!F$7)/(1+Ft!F$39*($A73-Ft!F$2)^2)+Ft!F$7*EXP(Ft!F$40*($A73-Ft!F$2)^2)))</f>
        <v>4.3886700289688877E-149</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v>144</v>
      </c>
      <c r="B74">
        <v>12.061863412970993</v>
      </c>
      <c r="C74" s="6">
        <f t="shared" si="3"/>
        <v>12.376232304670216</v>
      </c>
      <c r="D74" s="19">
        <f t="shared" si="4"/>
        <v>9.8827800068197733E-2</v>
      </c>
      <c r="E74" s="3">
        <f>Ft!$B$12+Ft!$B$14*(Data!A74-Vars!$B$3)</f>
        <v>0</v>
      </c>
      <c r="F74" s="3">
        <f>IF(($A74-Ft!B$2)&lt;0,Ft!B$3*((1-Ft!B$6)/(1+Ft!B$37*($A74-Ft!B$2)^2)+Ft!B$6*EXP(Ft!B$38*($A74-Ft!B$2)^2)),Ft!B$3*((1-Ft!B$7)/(1+Ft!B$39*($A74-Ft!B$2)^2)+Ft!B$7*EXP(Ft!B$40*($A74-Ft!B$2)^2)))</f>
        <v>1.6395646106744917E-5</v>
      </c>
      <c r="G74" s="3">
        <f>IF(($A74-Ft!C$2)&lt;0,Ft!C$3*((1-Ft!C$6)/(1+Ft!C$37*($A74-Ft!C$2)^2)+Ft!C$6*EXP(Ft!C$38*($A74-Ft!C$2)^2)),Ft!C$3*((1-Ft!C$7)/(1+Ft!C$39*($A74-Ft!C$2)^2)+Ft!C$7*EXP(Ft!C$40*($A74-Ft!C$2)^2)))</f>
        <v>9.5550889574265128</v>
      </c>
      <c r="H74" s="3">
        <f>IF(($A74-Ft!D$2)&lt;0,Ft!D$3*((1-Ft!D$6)/(1+Ft!D$37*($A74-Ft!D$2)^2)+Ft!D$6*EXP(Ft!D$38*($A74-Ft!D$2)^2)),Ft!D$3*((1-Ft!D$7)/(1+Ft!D$39*($A74-Ft!D$2)^2)+Ft!D$7*EXP(Ft!D$40*($A74-Ft!D$2)^2)))</f>
        <v>2.8156535825747246</v>
      </c>
      <c r="I74" s="3">
        <f>IF(($A74-Ft!E$2)&lt;0,Ft!E$3*((1-Ft!E$6)/(1+Ft!E$37*($A74-Ft!E$2)^2)+Ft!E$6*EXP(Ft!E$38*($A74-Ft!E$2)^2)),Ft!E$3*((1-Ft!E$7)/(1+Ft!E$39*($A74-Ft!E$2)^2)+Ft!E$7*EXP(Ft!E$40*($A74-Ft!E$2)^2)))</f>
        <v>5.4733690228703485E-3</v>
      </c>
      <c r="J74" s="3">
        <f>IF(($A74-Ft!F$2)&lt;0,Ft!F$3*((1-Ft!F$6)/(1+Ft!F$37*($A74-Ft!F$2)^2)+Ft!F$6*EXP(Ft!F$38*($A74-Ft!F$2)^2)),Ft!F$3*((1-Ft!F$7)/(1+Ft!F$39*($A74-Ft!F$2)^2)+Ft!F$7*EXP(Ft!F$40*($A74-Ft!F$2)^2)))</f>
        <v>2.0537206896742829E-148</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v>146</v>
      </c>
      <c r="B75">
        <v>12.08175290298</v>
      </c>
      <c r="C75" s="6">
        <f t="shared" si="3"/>
        <v>12.433189540193828</v>
      </c>
      <c r="D75" s="19">
        <f t="shared" si="4"/>
        <v>0.12350770997616375</v>
      </c>
      <c r="E75" s="3">
        <f>Ft!$B$12+Ft!$B$14*(Data!A75-Vars!$B$3)</f>
        <v>0</v>
      </c>
      <c r="F75" s="3">
        <f>IF(($A75-Ft!B$2)&lt;0,Ft!B$3*((1-Ft!B$6)/(1+Ft!B$37*($A75-Ft!B$2)^2)+Ft!B$6*EXP(Ft!B$38*($A75-Ft!B$2)^2)),Ft!B$3*((1-Ft!B$7)/(1+Ft!B$39*($A75-Ft!B$2)^2)+Ft!B$7*EXP(Ft!B$40*($A75-Ft!B$2)^2)))</f>
        <v>9.9487614913937624E-6</v>
      </c>
      <c r="G75" s="3">
        <f>IF(($A75-Ft!C$2)&lt;0,Ft!C$3*((1-Ft!C$6)/(1+Ft!C$37*($A75-Ft!C$2)^2)+Ft!C$6*EXP(Ft!C$38*($A75-Ft!C$2)^2)),Ft!C$3*((1-Ft!C$7)/(1+Ft!C$39*($A75-Ft!C$2)^2)+Ft!C$7*EXP(Ft!C$40*($A75-Ft!C$2)^2)))</f>
        <v>9.5407172960043258</v>
      </c>
      <c r="H75" s="3">
        <f>IF(($A75-Ft!D$2)&lt;0,Ft!D$3*((1-Ft!D$6)/(1+Ft!D$37*($A75-Ft!D$2)^2)+Ft!D$6*EXP(Ft!D$38*($A75-Ft!D$2)^2)),Ft!D$3*((1-Ft!D$7)/(1+Ft!D$39*($A75-Ft!D$2)^2)+Ft!D$7*EXP(Ft!D$40*($A75-Ft!D$2)^2)))</f>
        <v>2.8867223137196345</v>
      </c>
      <c r="I75" s="3">
        <f>IF(($A75-Ft!E$2)&lt;0,Ft!E$3*((1-Ft!E$6)/(1+Ft!E$37*($A75-Ft!E$2)^2)+Ft!E$6*EXP(Ft!E$38*($A75-Ft!E$2)^2)),Ft!E$3*((1-Ft!E$7)/(1+Ft!E$39*($A75-Ft!E$2)^2)+Ft!E$7*EXP(Ft!E$40*($A75-Ft!E$2)^2)))</f>
        <v>5.7399817083776724E-3</v>
      </c>
      <c r="J75" s="3">
        <f>IF(($A75-Ft!F$2)&lt;0,Ft!F$3*((1-Ft!F$6)/(1+Ft!F$37*($A75-Ft!F$2)^2)+Ft!F$6*EXP(Ft!F$38*($A75-Ft!F$2)^2)),Ft!F$3*((1-Ft!F$7)/(1+Ft!F$39*($A75-Ft!F$2)^2)+Ft!F$7*EXP(Ft!F$40*($A75-Ft!F$2)^2)))</f>
        <v>9.5772540920874017E-148</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v>148</v>
      </c>
      <c r="B76">
        <v>12.103063051909999</v>
      </c>
      <c r="C76" s="6">
        <f t="shared" si="3"/>
        <v>12.4855524161999</v>
      </c>
      <c r="D76" s="19">
        <f t="shared" si="4"/>
        <v>0.14629811379489258</v>
      </c>
      <c r="E76" s="3">
        <f>Ft!$B$12+Ft!$B$14*(Data!A76-Vars!$B$3)</f>
        <v>0</v>
      </c>
      <c r="F76" s="3">
        <f>IF(($A76-Ft!B$2)&lt;0,Ft!B$3*((1-Ft!B$6)/(1+Ft!B$37*($A76-Ft!B$2)^2)+Ft!B$6*EXP(Ft!B$38*($A76-Ft!B$2)^2)),Ft!B$3*((1-Ft!B$7)/(1+Ft!B$39*($A76-Ft!B$2)^2)+Ft!B$7*EXP(Ft!B$40*($A76-Ft!B$2)^2)))</f>
        <v>5.9764900360395092E-6</v>
      </c>
      <c r="G76" s="3">
        <f>IF(($A76-Ft!C$2)&lt;0,Ft!C$3*((1-Ft!C$6)/(1+Ft!C$37*($A76-Ft!C$2)^2)+Ft!C$6*EXP(Ft!C$38*($A76-Ft!C$2)^2)),Ft!C$3*((1-Ft!C$7)/(1+Ft!C$39*($A76-Ft!C$2)^2)+Ft!C$7*EXP(Ft!C$40*($A76-Ft!C$2)^2)))</f>
        <v>9.5204463364164411</v>
      </c>
      <c r="H76" s="3">
        <f>IF(($A76-Ft!D$2)&lt;0,Ft!D$3*((1-Ft!D$6)/(1+Ft!D$37*($A76-Ft!D$2)^2)+Ft!D$6*EXP(Ft!D$38*($A76-Ft!D$2)^2)),Ft!D$3*((1-Ft!D$7)/(1+Ft!D$39*($A76-Ft!D$2)^2)+Ft!D$7*EXP(Ft!D$40*($A76-Ft!D$2)^2)))</f>
        <v>2.9590813751993159</v>
      </c>
      <c r="I76" s="3">
        <f>IF(($A76-Ft!E$2)&lt;0,Ft!E$3*((1-Ft!E$6)/(1+Ft!E$37*($A76-Ft!E$2)^2)+Ft!E$6*EXP(Ft!E$38*($A76-Ft!E$2)^2)),Ft!E$3*((1-Ft!E$7)/(1+Ft!E$39*($A76-Ft!E$2)^2)+Ft!E$7*EXP(Ft!E$40*($A76-Ft!E$2)^2)))</f>
        <v>6.0187280941073366E-3</v>
      </c>
      <c r="J76" s="3">
        <f>IF(($A76-Ft!F$2)&lt;0,Ft!F$3*((1-Ft!F$6)/(1+Ft!F$37*($A76-Ft!F$2)^2)+Ft!F$6*EXP(Ft!F$38*($A76-Ft!F$2)^2)),Ft!F$3*((1-Ft!F$7)/(1+Ft!F$39*($A76-Ft!F$2)^2)+Ft!F$7*EXP(Ft!F$40*($A76-Ft!F$2)^2)))</f>
        <v>4.4507358835413387E-147</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v>150</v>
      </c>
      <c r="B77">
        <v>12.127851184186994</v>
      </c>
      <c r="C77" s="6">
        <f t="shared" si="3"/>
        <v>12.533365637406607</v>
      </c>
      <c r="D77" s="19">
        <f t="shared" si="4"/>
        <v>0.16444197177000178</v>
      </c>
      <c r="E77" s="3">
        <f>Ft!$B$12+Ft!$B$14*(Data!A77-Vars!$B$3)</f>
        <v>0</v>
      </c>
      <c r="F77" s="3">
        <f>IF(($A77-Ft!B$2)&lt;0,Ft!B$3*((1-Ft!B$6)/(1+Ft!B$37*($A77-Ft!B$2)^2)+Ft!B$6*EXP(Ft!B$38*($A77-Ft!B$2)^2)),Ft!B$3*((1-Ft!B$7)/(1+Ft!B$39*($A77-Ft!B$2)^2)+Ft!B$7*EXP(Ft!B$40*($A77-Ft!B$2)^2)))</f>
        <v>3.5543490675653202E-6</v>
      </c>
      <c r="G77" s="3">
        <f>IF(($A77-Ft!C$2)&lt;0,Ft!C$3*((1-Ft!C$6)/(1+Ft!C$37*($A77-Ft!C$2)^2)+Ft!C$6*EXP(Ft!C$38*($A77-Ft!C$2)^2)),Ft!C$3*((1-Ft!C$7)/(1+Ft!C$39*($A77-Ft!C$2)^2)+Ft!C$7*EXP(Ft!C$40*($A77-Ft!C$2)^2)))</f>
        <v>9.4943137839897709</v>
      </c>
      <c r="H77" s="3">
        <f>IF(($A77-Ft!D$2)&lt;0,Ft!D$3*((1-Ft!D$6)/(1+Ft!D$37*($A77-Ft!D$2)^2)+Ft!D$6*EXP(Ft!D$38*($A77-Ft!D$2)^2)),Ft!D$3*((1-Ft!D$7)/(1+Ft!D$39*($A77-Ft!D$2)^2)+Ft!D$7*EXP(Ft!D$40*($A77-Ft!D$2)^2)))</f>
        <v>3.032738182588171</v>
      </c>
      <c r="I77" s="3">
        <f>IF(($A77-Ft!E$2)&lt;0,Ft!E$3*((1-Ft!E$6)/(1+Ft!E$37*($A77-Ft!E$2)^2)+Ft!E$6*EXP(Ft!E$38*($A77-Ft!E$2)^2)),Ft!E$3*((1-Ft!E$7)/(1+Ft!E$39*($A77-Ft!E$2)^2)+Ft!E$7*EXP(Ft!E$40*($A77-Ft!E$2)^2)))</f>
        <v>6.3101164795978113E-3</v>
      </c>
      <c r="J77" s="3">
        <f>IF(($A77-Ft!F$2)&lt;0,Ft!F$3*((1-Ft!F$6)/(1+Ft!F$37*($A77-Ft!F$2)^2)+Ft!F$6*EXP(Ft!F$38*($A77-Ft!F$2)^2)),Ft!F$3*((1-Ft!F$7)/(1+Ft!F$39*($A77-Ft!F$2)^2)+Ft!F$7*EXP(Ft!F$40*($A77-Ft!F$2)^2)))</f>
        <v>2.061170026092211E-146</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v>152</v>
      </c>
      <c r="B78">
        <v>12.15720630477</v>
      </c>
      <c r="C78" s="6">
        <f t="shared" si="3"/>
        <v>12.576684600997709</v>
      </c>
      <c r="D78" s="19">
        <f t="shared" si="4"/>
        <v>0.17596204100610144</v>
      </c>
      <c r="E78" s="3">
        <f>Ft!$B$12+Ft!$B$14*(Data!A78-Vars!$B$3)</f>
        <v>0</v>
      </c>
      <c r="F78" s="3">
        <f>IF(($A78-Ft!B$2)&lt;0,Ft!B$3*((1-Ft!B$6)/(1+Ft!B$37*($A78-Ft!B$2)^2)+Ft!B$6*EXP(Ft!B$38*($A78-Ft!B$2)^2)),Ft!B$3*((1-Ft!B$7)/(1+Ft!B$39*($A78-Ft!B$2)^2)+Ft!B$7*EXP(Ft!B$40*($A78-Ft!B$2)^2)))</f>
        <v>2.0927177166550811E-6</v>
      </c>
      <c r="G78" s="3">
        <f>IF(($A78-Ft!C$2)&lt;0,Ft!C$3*((1-Ft!C$6)/(1+Ft!C$37*($A78-Ft!C$2)^2)+Ft!C$6*EXP(Ft!C$38*($A78-Ft!C$2)^2)),Ft!C$3*((1-Ft!C$7)/(1+Ft!C$39*($A78-Ft!C$2)^2)+Ft!C$7*EXP(Ft!C$40*($A78-Ft!C$2)^2)))</f>
        <v>9.4623681678363347</v>
      </c>
      <c r="H78" s="3">
        <f>IF(($A78-Ft!D$2)&lt;0,Ft!D$3*((1-Ft!D$6)/(1+Ft!D$37*($A78-Ft!D$2)^2)+Ft!D$6*EXP(Ft!D$38*($A78-Ft!D$2)^2)),Ft!D$3*((1-Ft!D$7)/(1+Ft!D$39*($A78-Ft!D$2)^2)+Ft!D$7*EXP(Ft!D$40*($A78-Ft!D$2)^2)))</f>
        <v>3.1076996661388021</v>
      </c>
      <c r="I78" s="3">
        <f>IF(($A78-Ft!E$2)&lt;0,Ft!E$3*((1-Ft!E$6)/(1+Ft!E$37*($A78-Ft!E$2)^2)+Ft!E$6*EXP(Ft!E$38*($A78-Ft!E$2)^2)),Ft!E$3*((1-Ft!E$7)/(1+Ft!E$39*($A78-Ft!E$2)^2)+Ft!E$7*EXP(Ft!E$40*($A78-Ft!E$2)^2)))</f>
        <v>6.6146743048567979E-3</v>
      </c>
      <c r="J78" s="3">
        <f>IF(($A78-Ft!F$2)&lt;0,Ft!F$3*((1-Ft!F$6)/(1+Ft!F$37*($A78-Ft!F$2)^2)+Ft!F$6*EXP(Ft!F$38*($A78-Ft!F$2)^2)),Ft!F$3*((1-Ft!F$7)/(1+Ft!F$39*($A78-Ft!F$2)^2)+Ft!F$7*EXP(Ft!F$40*($A78-Ft!F$2)^2)))</f>
        <v>9.512331905061594E-146</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v>154</v>
      </c>
      <c r="B79">
        <v>12.186594773578989</v>
      </c>
      <c r="C79" s="6">
        <f t="shared" si="3"/>
        <v>12.615575113209543</v>
      </c>
      <c r="D79" s="19">
        <f t="shared" si="4"/>
        <v>0.18402413178954549</v>
      </c>
      <c r="E79" s="3">
        <f>Ft!$B$12+Ft!$B$14*(Data!A79-Vars!$B$3)</f>
        <v>0</v>
      </c>
      <c r="F79" s="3">
        <f>IF(($A79-Ft!B$2)&lt;0,Ft!B$3*((1-Ft!B$6)/(1+Ft!B$37*($A79-Ft!B$2)^2)+Ft!B$6*EXP(Ft!B$38*($A79-Ft!B$2)^2)),Ft!B$3*((1-Ft!B$7)/(1+Ft!B$39*($A79-Ft!B$2)^2)+Ft!B$7*EXP(Ft!B$40*($A79-Ft!B$2)^2)))</f>
        <v>1.2198261007636194E-6</v>
      </c>
      <c r="G79" s="3">
        <f>IF(($A79-Ft!C$2)&lt;0,Ft!C$3*((1-Ft!C$6)/(1+Ft!C$37*($A79-Ft!C$2)^2)+Ft!C$6*EXP(Ft!C$38*($A79-Ft!C$2)^2)),Ft!C$3*((1-Ft!C$7)/(1+Ft!C$39*($A79-Ft!C$2)^2)+Ft!C$7*EXP(Ft!C$40*($A79-Ft!C$2)^2)))</f>
        <v>9.4246686906846513</v>
      </c>
      <c r="H79" s="3">
        <f>IF(($A79-Ft!D$2)&lt;0,Ft!D$3*((1-Ft!D$6)/(1+Ft!D$37*($A79-Ft!D$2)^2)+Ft!D$6*EXP(Ft!D$38*($A79-Ft!D$2)^2)),Ft!D$3*((1-Ft!D$7)/(1+Ft!D$39*($A79-Ft!D$2)^2)+Ft!D$7*EXP(Ft!D$40*($A79-Ft!D$2)^2)))</f>
        <v>3.1839722539280313</v>
      </c>
      <c r="I79" s="3">
        <f>IF(($A79-Ft!E$2)&lt;0,Ft!E$3*((1-Ft!E$6)/(1+Ft!E$37*($A79-Ft!E$2)^2)+Ft!E$6*EXP(Ft!E$38*($A79-Ft!E$2)^2)),Ft!E$3*((1-Ft!E$7)/(1+Ft!E$39*($A79-Ft!E$2)^2)+Ft!E$7*EXP(Ft!E$40*($A79-Ft!E$2)^2)))</f>
        <v>6.9329487707585017E-3</v>
      </c>
      <c r="J79" s="3">
        <f>IF(($A79-Ft!F$2)&lt;0,Ft!F$3*((1-Ft!F$6)/(1+Ft!F$37*($A79-Ft!F$2)^2)+Ft!F$6*EXP(Ft!F$38*($A79-Ft!F$2)^2)),Ft!F$3*((1-Ft!F$7)/(1+Ft!F$39*($A79-Ft!F$2)^2)+Ft!F$7*EXP(Ft!F$40*($A79-Ft!F$2)^2)))</f>
        <v>4.374731006335308E-145</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v>156</v>
      </c>
      <c r="B80">
        <v>12.215109584719997</v>
      </c>
      <c r="C80" s="6">
        <f t="shared" si="3"/>
        <v>12.650113112469294</v>
      </c>
      <c r="D80" s="19">
        <f t="shared" si="4"/>
        <v>0.18922806915433318</v>
      </c>
      <c r="E80" s="3">
        <f>Ft!$B$12+Ft!$B$14*(Data!A80-Vars!$B$3)</f>
        <v>0</v>
      </c>
      <c r="F80" s="3">
        <f>IF(($A80-Ft!B$2)&lt;0,Ft!B$3*((1-Ft!B$6)/(1+Ft!B$37*($A80-Ft!B$2)^2)+Ft!B$6*EXP(Ft!B$38*($A80-Ft!B$2)^2)),Ft!B$3*((1-Ft!B$7)/(1+Ft!B$39*($A80-Ft!B$2)^2)+Ft!B$7*EXP(Ft!B$40*($A80-Ft!B$2)^2)))</f>
        <v>7.0391770591405052E-7</v>
      </c>
      <c r="G80" s="3">
        <f>IF(($A80-Ft!C$2)&lt;0,Ft!C$3*((1-Ft!C$6)/(1+Ft!C$37*($A80-Ft!C$2)^2)+Ft!C$6*EXP(Ft!C$38*($A80-Ft!C$2)^2)),Ft!C$3*((1-Ft!C$7)/(1+Ft!C$39*($A80-Ft!C$2)^2)+Ft!C$7*EXP(Ft!C$40*($A80-Ft!C$2)^2)))</f>
        <v>9.381285046059217</v>
      </c>
      <c r="H80" s="3">
        <f>IF(($A80-Ft!D$2)&lt;0,Ft!D$3*((1-Ft!D$6)/(1+Ft!D$37*($A80-Ft!D$2)^2)+Ft!D$6*EXP(Ft!D$38*($A80-Ft!D$2)^2)),Ft!D$3*((1-Ft!D$7)/(1+Ft!D$39*($A80-Ft!D$2)^2)+Ft!D$7*EXP(Ft!D$40*($A80-Ft!D$2)^2)))</f>
        <v>3.2615618550172831</v>
      </c>
      <c r="I80" s="3">
        <f>IF(($A80-Ft!E$2)&lt;0,Ft!E$3*((1-Ft!E$6)/(1+Ft!E$37*($A80-Ft!E$2)^2)+Ft!E$6*EXP(Ft!E$38*($A80-Ft!E$2)^2)),Ft!E$3*((1-Ft!E$7)/(1+Ft!E$39*($A80-Ft!E$2)^2)+Ft!E$7*EXP(Ft!E$40*($A80-Ft!E$2)^2)))</f>
        <v>7.2655074750887496E-3</v>
      </c>
      <c r="J80" s="3">
        <f>IF(($A80-Ft!F$2)&lt;0,Ft!F$3*((1-Ft!F$6)/(1+Ft!F$37*($A80-Ft!F$2)^2)+Ft!F$6*EXP(Ft!F$38*($A80-Ft!F$2)^2)),Ft!F$3*((1-Ft!F$7)/(1+Ft!F$39*($A80-Ft!F$2)^2)+Ft!F$7*EXP(Ft!F$40*($A80-Ft!F$2)^2)))</f>
        <v>2.0049654588690626E-144</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v>158</v>
      </c>
      <c r="B81">
        <v>12.242725268676992</v>
      </c>
      <c r="C81" s="6">
        <f t="shared" si="3"/>
        <v>12.680384387452644</v>
      </c>
      <c r="D81" s="19">
        <f t="shared" si="4"/>
        <v>0.19154550424748065</v>
      </c>
      <c r="E81" s="3">
        <f>Ft!$B$12+Ft!$B$14*(Data!A81-Vars!$B$3)</f>
        <v>0</v>
      </c>
      <c r="F81" s="3">
        <f>IF(($A81-Ft!B$2)&lt;0,Ft!B$3*((1-Ft!B$6)/(1+Ft!B$37*($A81-Ft!B$2)^2)+Ft!B$6*EXP(Ft!B$38*($A81-Ft!B$2)^2)),Ft!B$3*((1-Ft!B$7)/(1+Ft!B$39*($A81-Ft!B$2)^2)+Ft!B$7*EXP(Ft!B$40*($A81-Ft!B$2)^2)))</f>
        <v>4.0214488915377997E-7</v>
      </c>
      <c r="G81" s="3">
        <f>IF(($A81-Ft!C$2)&lt;0,Ft!C$3*((1-Ft!C$6)/(1+Ft!C$37*($A81-Ft!C$2)^2)+Ft!C$6*EXP(Ft!C$38*($A81-Ft!C$2)^2)),Ft!C$3*((1-Ft!C$7)/(1+Ft!C$39*($A81-Ft!C$2)^2)+Ft!C$7*EXP(Ft!C$40*($A81-Ft!C$2)^2)))</f>
        <v>9.332297203598225</v>
      </c>
      <c r="H81" s="3">
        <f>IF(($A81-Ft!D$2)&lt;0,Ft!D$3*((1-Ft!D$6)/(1+Ft!D$37*($A81-Ft!D$2)^2)+Ft!D$6*EXP(Ft!D$38*($A81-Ft!D$2)^2)),Ft!D$3*((1-Ft!D$7)/(1+Ft!D$39*($A81-Ft!D$2)^2)+Ft!D$7*EXP(Ft!D$40*($A81-Ft!D$2)^2)))</f>
        <v>3.3404738426450908</v>
      </c>
      <c r="I81" s="3">
        <f>IF(($A81-Ft!E$2)&lt;0,Ft!E$3*((1-Ft!E$6)/(1+Ft!E$37*($A81-Ft!E$2)^2)+Ft!E$6*EXP(Ft!E$38*($A81-Ft!E$2)^2)),Ft!E$3*((1-Ft!E$7)/(1+Ft!E$39*($A81-Ft!E$2)^2)+Ft!E$7*EXP(Ft!E$40*($A81-Ft!E$2)^2)))</f>
        <v>7.6129390644392864E-3</v>
      </c>
      <c r="J81" s="3">
        <f>IF(($A81-Ft!F$2)&lt;0,Ft!F$3*((1-Ft!F$6)/(1+Ft!F$37*($A81-Ft!F$2)^2)+Ft!F$6*EXP(Ft!F$38*($A81-Ft!F$2)^2)),Ft!F$3*((1-Ft!F$7)/(1+Ft!F$39*($A81-Ft!F$2)^2)+Ft!F$7*EXP(Ft!F$40*($A81-Ft!F$2)^2)))</f>
        <v>9.1570085098621223E-144</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v>160</v>
      </c>
      <c r="B82">
        <v>12.269416355934993</v>
      </c>
      <c r="C82" s="6">
        <f t="shared" si="3"/>
        <v>12.706484282254056</v>
      </c>
      <c r="D82" s="19">
        <f t="shared" si="4"/>
        <v>0.19102837221684599</v>
      </c>
      <c r="E82" s="3">
        <f>Ft!$B$12+Ft!$B$14*(Data!A82-Vars!$B$3)</f>
        <v>0</v>
      </c>
      <c r="F82" s="3">
        <f>IF(($A82-Ft!B$2)&lt;0,Ft!B$3*((1-Ft!B$6)/(1+Ft!B$37*($A82-Ft!B$2)^2)+Ft!B$6*EXP(Ft!B$38*($A82-Ft!B$2)^2)),Ft!B$3*((1-Ft!B$7)/(1+Ft!B$39*($A82-Ft!B$2)^2)+Ft!B$7*EXP(Ft!B$40*($A82-Ft!B$2)^2)))</f>
        <v>2.2744684384246048E-7</v>
      </c>
      <c r="G82" s="3">
        <f>IF(($A82-Ft!C$2)&lt;0,Ft!C$3*((1-Ft!C$6)/(1+Ft!C$37*($A82-Ft!C$2)^2)+Ft!C$6*EXP(Ft!C$38*($A82-Ft!C$2)^2)),Ft!C$3*((1-Ft!C$7)/(1+Ft!C$39*($A82-Ft!C$2)^2)+Ft!C$7*EXP(Ft!C$40*($A82-Ft!C$2)^2)))</f>
        <v>9.277795163435183</v>
      </c>
      <c r="H82" s="3">
        <f>IF(($A82-Ft!D$2)&lt;0,Ft!D$3*((1-Ft!D$6)/(1+Ft!D$37*($A82-Ft!D$2)^2)+Ft!D$6*EXP(Ft!D$38*($A82-Ft!D$2)^2)),Ft!D$3*((1-Ft!D$7)/(1+Ft!D$39*($A82-Ft!D$2)^2)+Ft!D$7*EXP(Ft!D$40*($A82-Ft!D$2)^2)))</f>
        <v>3.4207130374698842</v>
      </c>
      <c r="I82" s="3">
        <f>IF(($A82-Ft!E$2)&lt;0,Ft!E$3*((1-Ft!E$6)/(1+Ft!E$37*($A82-Ft!E$2)^2)+Ft!E$6*EXP(Ft!E$38*($A82-Ft!E$2)^2)),Ft!E$3*((1-Ft!E$7)/(1+Ft!E$39*($A82-Ft!E$2)^2)+Ft!E$7*EXP(Ft!E$40*($A82-Ft!E$2)^2)))</f>
        <v>7.9758539021462377E-3</v>
      </c>
      <c r="J82" s="3">
        <f>IF(($A82-Ft!F$2)&lt;0,Ft!F$3*((1-Ft!F$6)/(1+Ft!F$37*($A82-Ft!F$2)^2)+Ft!F$6*EXP(Ft!F$38*($A82-Ft!F$2)^2)),Ft!F$3*((1-Ft!F$7)/(1+Ft!F$39*($A82-Ft!F$2)^2)+Ft!F$7*EXP(Ft!F$40*($A82-Ft!F$2)^2)))</f>
        <v>4.1676527126812069E-143</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v>162</v>
      </c>
      <c r="B83">
        <v>12.295157376980995</v>
      </c>
      <c r="C83" s="6">
        <f t="shared" si="3"/>
        <v>12.7285173836887</v>
      </c>
      <c r="D83" s="19">
        <f t="shared" si="4"/>
        <v>0.18780089541370215</v>
      </c>
      <c r="E83" s="3">
        <f>Ft!$B$12+Ft!$B$14*(Data!A83-Vars!$B$3)</f>
        <v>0</v>
      </c>
      <c r="F83" s="3">
        <f>IF(($A83-Ft!B$2)&lt;0,Ft!B$3*((1-Ft!B$6)/(1+Ft!B$37*($A83-Ft!B$2)^2)+Ft!B$6*EXP(Ft!B$38*($A83-Ft!B$2)^2)),Ft!B$3*((1-Ft!B$7)/(1+Ft!B$39*($A83-Ft!B$2)^2)+Ft!B$7*EXP(Ft!B$40*($A83-Ft!B$2)^2)))</f>
        <v>1.2735440542479814E-7</v>
      </c>
      <c r="G83" s="3">
        <f>IF(($A83-Ft!C$2)&lt;0,Ft!C$3*((1-Ft!C$6)/(1+Ft!C$37*($A83-Ft!C$2)^2)+Ft!C$6*EXP(Ft!C$38*($A83-Ft!C$2)^2)),Ft!C$3*((1-Ft!C$7)/(1+Ft!C$39*($A83-Ft!C$2)^2)+Ft!C$7*EXP(Ft!C$40*($A83-Ft!C$2)^2)))</f>
        <v>9.217878680700256</v>
      </c>
      <c r="H83" s="3">
        <f>IF(($A83-Ft!D$2)&lt;0,Ft!D$3*((1-Ft!D$6)/(1+Ft!D$37*($A83-Ft!D$2)^2)+Ft!D$6*EXP(Ft!D$38*($A83-Ft!D$2)^2)),Ft!D$3*((1-Ft!D$7)/(1+Ft!D$39*($A83-Ft!D$2)^2)+Ft!D$7*EXP(Ft!D$40*($A83-Ft!D$2)^2)))</f>
        <v>3.502283690881578</v>
      </c>
      <c r="I83" s="3">
        <f>IF(($A83-Ft!E$2)&lt;0,Ft!E$3*((1-Ft!E$6)/(1+Ft!E$37*($A83-Ft!E$2)^2)+Ft!E$6*EXP(Ft!E$38*($A83-Ft!E$2)^2)),Ft!E$3*((1-Ft!E$7)/(1+Ft!E$39*($A83-Ft!E$2)^2)+Ft!E$7*EXP(Ft!E$40*($A83-Ft!E$2)^2)))</f>
        <v>8.3548847524607672E-3</v>
      </c>
      <c r="J83" s="3">
        <f>IF(($A83-Ft!F$2)&lt;0,Ft!F$3*((1-Ft!F$6)/(1+Ft!F$37*($A83-Ft!F$2)^2)+Ft!F$6*EXP(Ft!F$38*($A83-Ft!F$2)^2)),Ft!F$3*((1-Ft!F$7)/(1+Ft!F$39*($A83-Ft!F$2)^2)+Ft!F$7*EXP(Ft!F$40*($A83-Ft!F$2)^2)))</f>
        <v>1.8902559284918722E-142</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v>164</v>
      </c>
      <c r="B84">
        <v>12.319922862298995</v>
      </c>
      <c r="C84" s="6">
        <f t="shared" si="3"/>
        <v>12.746597187800454</v>
      </c>
      <c r="D84" s="19">
        <f t="shared" si="4"/>
        <v>0.18205098004212489</v>
      </c>
      <c r="E84" s="3">
        <f>Ft!$B$12+Ft!$B$14*(Data!A84-Vars!$B$3)</f>
        <v>0</v>
      </c>
      <c r="F84" s="3">
        <f>IF(($A84-Ft!B$2)&lt;0,Ft!B$3*((1-Ft!B$6)/(1+Ft!B$37*($A84-Ft!B$2)^2)+Ft!B$6*EXP(Ft!B$38*($A84-Ft!B$2)^2)),Ft!B$3*((1-Ft!B$7)/(1+Ft!B$39*($A84-Ft!B$2)^2)+Ft!B$7*EXP(Ft!B$40*($A84-Ft!B$2)^2)))</f>
        <v>7.0596753084850808E-8</v>
      </c>
      <c r="G84" s="3">
        <f>IF(($A84-Ft!C$2)&lt;0,Ft!C$3*((1-Ft!C$6)/(1+Ft!C$37*($A84-Ft!C$2)^2)+Ft!C$6*EXP(Ft!C$38*($A84-Ft!C$2)^2)),Ft!C$3*((1-Ft!C$7)/(1+Ft!C$39*($A84-Ft!C$2)^2)+Ft!C$7*EXP(Ft!C$40*($A84-Ft!C$2)^2)))</f>
        <v>9.1526569613216822</v>
      </c>
      <c r="H84" s="3">
        <f>IF(($A84-Ft!D$2)&lt;0,Ft!D$3*((1-Ft!D$6)/(1+Ft!D$37*($A84-Ft!D$2)^2)+Ft!D$6*EXP(Ft!D$38*($A84-Ft!D$2)^2)),Ft!D$3*((1-Ft!D$7)/(1+Ft!D$39*($A84-Ft!D$2)^2)+Ft!D$7*EXP(Ft!D$40*($A84-Ft!D$2)^2)))</f>
        <v>3.5851894684008867</v>
      </c>
      <c r="I84" s="3">
        <f>IF(($A84-Ft!E$2)&lt;0,Ft!E$3*((1-Ft!E$6)/(1+Ft!E$37*($A84-Ft!E$2)^2)+Ft!E$6*EXP(Ft!E$38*($A84-Ft!E$2)^2)),Ft!E$3*((1-Ft!E$7)/(1+Ft!E$39*($A84-Ft!E$2)^2)+Ft!E$7*EXP(Ft!E$40*($A84-Ft!E$2)^2)))</f>
        <v>8.750687481132351E-3</v>
      </c>
      <c r="J84" s="3">
        <f>IF(($A84-Ft!F$2)&lt;0,Ft!F$3*((1-Ft!F$6)/(1+Ft!F$37*($A84-Ft!F$2)^2)+Ft!F$6*EXP(Ft!F$38*($A84-Ft!F$2)^2)),Ft!F$3*((1-Ft!F$7)/(1+Ft!F$39*($A84-Ft!F$2)^2)+Ft!F$7*EXP(Ft!F$40*($A84-Ft!F$2)^2)))</f>
        <v>8.5435994118643554E-142</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v>166</v>
      </c>
      <c r="B85">
        <v>12.343687342376001</v>
      </c>
      <c r="C85" s="6">
        <f t="shared" si="3"/>
        <v>12.760845744126547</v>
      </c>
      <c r="D85" s="19">
        <f t="shared" si="4"/>
        <v>0.17402113215107021</v>
      </c>
      <c r="E85" s="3">
        <f>Ft!$B$12+Ft!$B$14*(Data!A85-Vars!$B$3)</f>
        <v>0</v>
      </c>
      <c r="F85" s="3">
        <f>IF(($A85-Ft!B$2)&lt;0,Ft!B$3*((1-Ft!B$6)/(1+Ft!B$37*($A85-Ft!B$2)^2)+Ft!B$6*EXP(Ft!B$38*($A85-Ft!B$2)^2)),Ft!B$3*((1-Ft!B$7)/(1+Ft!B$39*($A85-Ft!B$2)^2)+Ft!B$7*EXP(Ft!B$40*($A85-Ft!B$2)^2)))</f>
        <v>3.8742904736032271E-8</v>
      </c>
      <c r="G85" s="3">
        <f>IF(($A85-Ft!C$2)&lt;0,Ft!C$3*((1-Ft!C$6)/(1+Ft!C$37*($A85-Ft!C$2)^2)+Ft!C$6*EXP(Ft!C$38*($A85-Ft!C$2)^2)),Ft!C$3*((1-Ft!C$7)/(1+Ft!C$39*($A85-Ft!C$2)^2)+Ft!C$7*EXP(Ft!C$40*($A85-Ft!C$2)^2)))</f>
        <v>9.08224833042547</v>
      </c>
      <c r="H85" s="3">
        <f>IF(($A85-Ft!D$2)&lt;0,Ft!D$3*((1-Ft!D$6)/(1+Ft!D$37*($A85-Ft!D$2)^2)+Ft!D$6*EXP(Ft!D$38*($A85-Ft!D$2)^2)),Ft!D$3*((1-Ft!D$7)/(1+Ft!D$39*($A85-Ft!D$2)^2)+Ft!D$7*EXP(Ft!D$40*($A85-Ft!D$2)^2)))</f>
        <v>3.6694334331855956</v>
      </c>
      <c r="I85" s="3">
        <f>IF(($A85-Ft!E$2)&lt;0,Ft!E$3*((1-Ft!E$6)/(1+Ft!E$37*($A85-Ft!E$2)^2)+Ft!E$6*EXP(Ft!E$38*($A85-Ft!E$2)^2)),Ft!E$3*((1-Ft!E$7)/(1+Ft!E$39*($A85-Ft!E$2)^2)+Ft!E$7*EXP(Ft!E$40*($A85-Ft!E$2)^2)))</f>
        <v>9.1639417725773113E-3</v>
      </c>
      <c r="J85" s="3">
        <f>IF(($A85-Ft!F$2)&lt;0,Ft!F$3*((1-Ft!F$6)/(1+Ft!F$37*($A85-Ft!F$2)^2)+Ft!F$6*EXP(Ft!F$38*($A85-Ft!F$2)^2)),Ft!F$3*((1-Ft!F$7)/(1+Ft!F$39*($A85-Ft!F$2)^2)+Ft!F$7*EXP(Ft!F$40*($A85-Ft!F$2)^2)))</f>
        <v>3.8481529683140811E-141</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v>168</v>
      </c>
      <c r="B86">
        <v>12.366425347696989</v>
      </c>
      <c r="C86" s="6">
        <f t="shared" si="3"/>
        <v>12.771393277318897</v>
      </c>
      <c r="D86" s="19">
        <f t="shared" si="4"/>
        <v>0.16399902402225425</v>
      </c>
      <c r="E86" s="3">
        <f>Ft!$B$12+Ft!$B$14*(Data!A86-Vars!$B$3)</f>
        <v>0</v>
      </c>
      <c r="F86" s="3">
        <f>IF(($A86-Ft!B$2)&lt;0,Ft!B$3*((1-Ft!B$6)/(1+Ft!B$37*($A86-Ft!B$2)^2)+Ft!B$6*EXP(Ft!B$38*($A86-Ft!B$2)^2)),Ft!B$3*((1-Ft!B$7)/(1+Ft!B$39*($A86-Ft!B$2)^2)+Ft!B$7*EXP(Ft!B$40*($A86-Ft!B$2)^2)))</f>
        <v>2.1049235491869512E-8</v>
      </c>
      <c r="G86" s="3">
        <f>IF(($A86-Ft!C$2)&lt;0,Ft!C$3*((1-Ft!C$6)/(1+Ft!C$37*($A86-Ft!C$2)^2)+Ft!C$6*EXP(Ft!C$38*($A86-Ft!C$2)^2)),Ft!C$3*((1-Ft!C$7)/(1+Ft!C$39*($A86-Ft!C$2)^2)+Ft!C$7*EXP(Ft!C$40*($A86-Ft!C$2)^2)))</f>
        <v>9.0067798747424739</v>
      </c>
      <c r="H86" s="3">
        <f>IF(($A86-Ft!D$2)&lt;0,Ft!D$3*((1-Ft!D$6)/(1+Ft!D$37*($A86-Ft!D$2)^2)+Ft!D$6*EXP(Ft!D$38*($A86-Ft!D$2)^2)),Ft!D$3*((1-Ft!D$7)/(1+Ft!D$39*($A86-Ft!D$2)^2)+Ft!D$7*EXP(Ft!D$40*($A86-Ft!D$2)^2)))</f>
        <v>3.7550180296633915</v>
      </c>
      <c r="I86" s="3">
        <f>IF(($A86-Ft!E$2)&lt;0,Ft!E$3*((1-Ft!E$6)/(1+Ft!E$37*($A86-Ft!E$2)^2)+Ft!E$6*EXP(Ft!E$38*($A86-Ft!E$2)^2)),Ft!E$3*((1-Ft!E$7)/(1+Ft!E$39*($A86-Ft!E$2)^2)+Ft!E$7*EXP(Ft!E$40*($A86-Ft!E$2)^2)))</f>
        <v>9.5953518637963992E-3</v>
      </c>
      <c r="J86" s="3">
        <f>IF(($A86-Ft!F$2)&lt;0,Ft!F$3*((1-Ft!F$6)/(1+Ft!F$37*($A86-Ft!F$2)^2)+Ft!F$6*EXP(Ft!F$38*($A86-Ft!F$2)^2)),Ft!F$3*((1-Ft!F$7)/(1+Ft!F$39*($A86-Ft!F$2)^2)+Ft!F$7*EXP(Ft!F$40*($A86-Ft!F$2)^2)))</f>
        <v>1.7272490380663745E-140</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v>170</v>
      </c>
      <c r="B87">
        <v>12.389729117944995</v>
      </c>
      <c r="C87" s="6">
        <f t="shared" si="3"/>
        <v>12.778377786463178</v>
      </c>
      <c r="D87" s="19">
        <f t="shared" si="4"/>
        <v>0.15104778754095644</v>
      </c>
      <c r="E87" s="3">
        <f>Ft!$B$12+Ft!$B$14*(Data!A87-Vars!$B$3)</f>
        <v>0</v>
      </c>
      <c r="F87" s="3">
        <f>IF(($A87-Ft!B$2)&lt;0,Ft!B$3*((1-Ft!B$6)/(1+Ft!B$37*($A87-Ft!B$2)^2)+Ft!B$6*EXP(Ft!B$38*($A87-Ft!B$2)^2)),Ft!B$3*((1-Ft!B$7)/(1+Ft!B$39*($A87-Ft!B$2)^2)+Ft!B$7*EXP(Ft!B$40*($A87-Ft!B$2)^2)))</f>
        <v>1.1321844137476244E-8</v>
      </c>
      <c r="G87" s="3">
        <f>IF(($A87-Ft!C$2)&lt;0,Ft!C$3*((1-Ft!C$6)/(1+Ft!C$37*($A87-Ft!C$2)^2)+Ft!C$6*EXP(Ft!C$38*($A87-Ft!C$2)^2)),Ft!C$3*((1-Ft!C$7)/(1+Ft!C$39*($A87-Ft!C$2)^2)+Ft!C$7*EXP(Ft!C$40*($A87-Ft!C$2)^2)))</f>
        <v>8.9263870605350082</v>
      </c>
      <c r="H87" s="3">
        <f>IF(($A87-Ft!D$2)&lt;0,Ft!D$3*((1-Ft!D$6)/(1+Ft!D$37*($A87-Ft!D$2)^2)+Ft!D$6*EXP(Ft!D$38*($A87-Ft!D$2)^2)),Ft!D$3*((1-Ft!D$7)/(1+Ft!D$39*($A87-Ft!D$2)^2)+Ft!D$7*EXP(Ft!D$40*($A87-Ft!D$2)^2)))</f>
        <v>3.8419450673111282</v>
      </c>
      <c r="I87" s="3">
        <f>IF(($A87-Ft!E$2)&lt;0,Ft!E$3*((1-Ft!E$6)/(1+Ft!E$37*($A87-Ft!E$2)^2)+Ft!E$6*EXP(Ft!E$38*($A87-Ft!E$2)^2)),Ft!E$3*((1-Ft!E$7)/(1+Ft!E$39*($A87-Ft!E$2)^2)+Ft!E$7*EXP(Ft!E$40*($A87-Ft!E$2)^2)))</f>
        <v>1.004564729519601E-2</v>
      </c>
      <c r="J87" s="3">
        <f>IF(($A87-Ft!F$2)&lt;0,Ft!F$3*((1-Ft!F$6)/(1+Ft!F$37*($A87-Ft!F$2)^2)+Ft!F$6*EXP(Ft!F$38*($A87-Ft!F$2)^2)),Ft!F$3*((1-Ft!F$7)/(1+Ft!F$39*($A87-Ft!F$2)^2)+Ft!F$7*EXP(Ft!F$40*($A87-Ft!F$2)^2)))</f>
        <v>7.7258945012851964E-140</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v>172</v>
      </c>
      <c r="B88">
        <v>12.414658417265002</v>
      </c>
      <c r="C88" s="6">
        <f t="shared" si="3"/>
        <v>12.781944622958113</v>
      </c>
      <c r="D88" s="19">
        <f t="shared" si="4"/>
        <v>0.13489915689244192</v>
      </c>
      <c r="E88" s="3">
        <f>Ft!$B$12+Ft!$B$14*(Data!A88-Vars!$B$3)</f>
        <v>0</v>
      </c>
      <c r="F88" s="3">
        <f>IF(($A88-Ft!B$2)&lt;0,Ft!B$3*((1-Ft!B$6)/(1+Ft!B$37*($A88-Ft!B$2)^2)+Ft!B$6*EXP(Ft!B$38*($A88-Ft!B$2)^2)),Ft!B$3*((1-Ft!B$7)/(1+Ft!B$39*($A88-Ft!B$2)^2)+Ft!B$7*EXP(Ft!B$40*($A88-Ft!B$2)^2)))</f>
        <v>6.0288532625280442E-9</v>
      </c>
      <c r="G88" s="3">
        <f>IF(($A88-Ft!C$2)&lt;0,Ft!C$3*((1-Ft!C$6)/(1+Ft!C$37*($A88-Ft!C$2)^2)+Ft!C$6*EXP(Ft!C$38*($A88-Ft!C$2)^2)),Ft!C$3*((1-Ft!C$7)/(1+Ft!C$39*($A88-Ft!C$2)^2)+Ft!C$7*EXP(Ft!C$40*($A88-Ft!C$2)^2)))</f>
        <v>8.8412133286500598</v>
      </c>
      <c r="H88" s="3">
        <f>IF(($A88-Ft!D$2)&lt;0,Ft!D$3*((1-Ft!D$6)/(1+Ft!D$37*($A88-Ft!D$2)^2)+Ft!D$6*EXP(Ft!D$38*($A88-Ft!D$2)^2)),Ft!D$3*((1-Ft!D$7)/(1+Ft!D$39*($A88-Ft!D$2)^2)+Ft!D$7*EXP(Ft!D$40*($A88-Ft!D$2)^2)))</f>
        <v>3.9302157046007404</v>
      </c>
      <c r="I88" s="3">
        <f>IF(($A88-Ft!E$2)&lt;0,Ft!E$3*((1-Ft!E$6)/(1+Ft!E$37*($A88-Ft!E$2)^2)+Ft!E$6*EXP(Ft!E$38*($A88-Ft!E$2)^2)),Ft!E$3*((1-Ft!E$7)/(1+Ft!E$39*($A88-Ft!E$2)^2)+Ft!E$7*EXP(Ft!E$40*($A88-Ft!E$2)^2)))</f>
        <v>1.0515583678457821E-2</v>
      </c>
      <c r="J88" s="3">
        <f>IF(($A88-Ft!F$2)&lt;0,Ft!F$3*((1-Ft!F$6)/(1+Ft!F$37*($A88-Ft!F$2)^2)+Ft!F$6*EXP(Ft!F$38*($A88-Ft!F$2)^2)),Ft!F$3*((1-Ft!F$7)/(1+Ft!F$39*($A88-Ft!F$2)^2)+Ft!F$7*EXP(Ft!F$40*($A88-Ft!F$2)^2)))</f>
        <v>3.4437670733164539E-139</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v>174</v>
      </c>
      <c r="B89">
        <v>12.440389062837994</v>
      </c>
      <c r="C89" s="6">
        <f t="shared" si="3"/>
        <v>12.782246048184545</v>
      </c>
      <c r="D89" s="19">
        <f t="shared" si="4"/>
        <v>0.11686619843023195</v>
      </c>
      <c r="E89" s="3">
        <f>Ft!$B$12+Ft!$B$14*(Data!A89-Vars!$B$3)</f>
        <v>0</v>
      </c>
      <c r="F89" s="3">
        <f>IF(($A89-Ft!B$2)&lt;0,Ft!B$3*((1-Ft!B$6)/(1+Ft!B$37*($A89-Ft!B$2)^2)+Ft!B$6*EXP(Ft!B$38*($A89-Ft!B$2)^2)),Ft!B$3*((1-Ft!B$7)/(1+Ft!B$39*($A89-Ft!B$2)^2)+Ft!B$7*EXP(Ft!B$40*($A89-Ft!B$2)^2)))</f>
        <v>3.1782565606094858E-9</v>
      </c>
      <c r="G89" s="3">
        <f>IF(($A89-Ft!C$2)&lt;0,Ft!C$3*((1-Ft!C$6)/(1+Ft!C$37*($A89-Ft!C$2)^2)+Ft!C$6*EXP(Ft!C$38*($A89-Ft!C$2)^2)),Ft!C$3*((1-Ft!C$7)/(1+Ft!C$39*($A89-Ft!C$2)^2)+Ft!C$7*EXP(Ft!C$40*($A89-Ft!C$2)^2)))</f>
        <v>8.7514096683924443</v>
      </c>
      <c r="H89" s="3">
        <f>IF(($A89-Ft!D$2)&lt;0,Ft!D$3*((1-Ft!D$6)/(1+Ft!D$37*($A89-Ft!D$2)^2)+Ft!D$6*EXP(Ft!D$38*($A89-Ft!D$2)^2)),Ft!D$3*((1-Ft!D$7)/(1+Ft!D$39*($A89-Ft!D$2)^2)+Ft!D$7*EXP(Ft!D$40*($A89-Ft!D$2)^2)))</f>
        <v>4.0198304331322552</v>
      </c>
      <c r="I89" s="3">
        <f>IF(($A89-Ft!E$2)&lt;0,Ft!E$3*((1-Ft!E$6)/(1+Ft!E$37*($A89-Ft!E$2)^2)+Ft!E$6*EXP(Ft!E$38*($A89-Ft!E$2)^2)),Ft!E$3*((1-Ft!E$7)/(1+Ft!E$39*($A89-Ft!E$2)^2)+Ft!E$7*EXP(Ft!E$40*($A89-Ft!E$2)^2)))</f>
        <v>1.1005943481591195E-2</v>
      </c>
      <c r="J89" s="3">
        <f>IF(($A89-Ft!F$2)&lt;0,Ft!F$3*((1-Ft!F$6)/(1+Ft!F$37*($A89-Ft!F$2)^2)+Ft!F$6*EXP(Ft!F$38*($A89-Ft!F$2)^2)),Ft!F$3*((1-Ft!F$7)/(1+Ft!F$39*($A89-Ft!F$2)^2)+Ft!F$7*EXP(Ft!F$40*($A89-Ft!F$2)^2)))</f>
        <v>1.529712963288552E-138</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v>176</v>
      </c>
      <c r="B90">
        <v>12.466096871842993</v>
      </c>
      <c r="C90" s="6">
        <f t="shared" si="3"/>
        <v>12.779440772452922</v>
      </c>
      <c r="D90" s="19">
        <f t="shared" si="4"/>
        <v>9.8184400049445342E-2</v>
      </c>
      <c r="E90" s="3">
        <f>Ft!$B$12+Ft!$B$14*(Data!A90-Vars!$B$3)</f>
        <v>0</v>
      </c>
      <c r="F90" s="3">
        <f>IF(($A90-Ft!B$2)&lt;0,Ft!B$3*((1-Ft!B$6)/(1+Ft!B$37*($A90-Ft!B$2)^2)+Ft!B$6*EXP(Ft!B$38*($A90-Ft!B$2)^2)),Ft!B$3*((1-Ft!B$7)/(1+Ft!B$39*($A90-Ft!B$2)^2)+Ft!B$7*EXP(Ft!B$40*($A90-Ft!B$2)^2)))</f>
        <v>1.6587459956270891E-9</v>
      </c>
      <c r="G90" s="3">
        <f>IF(($A90-Ft!C$2)&lt;0,Ft!C$3*((1-Ft!C$6)/(1+Ft!C$37*($A90-Ft!C$2)^2)+Ft!C$6*EXP(Ft!C$38*($A90-Ft!C$2)^2)),Ft!C$3*((1-Ft!C$7)/(1+Ft!C$39*($A90-Ft!C$2)^2)+Ft!C$7*EXP(Ft!C$40*($A90-Ft!C$2)^2)))</f>
        <v>8.6571341719882806</v>
      </c>
      <c r="H90" s="3">
        <f>IF(($A90-Ft!D$2)&lt;0,Ft!D$3*((1-Ft!D$6)/(1+Ft!D$37*($A90-Ft!D$2)^2)+Ft!D$6*EXP(Ft!D$38*($A90-Ft!D$2)^2)),Ft!D$3*((1-Ft!D$7)/(1+Ft!D$39*($A90-Ft!D$2)^2)+Ft!D$7*EXP(Ft!D$40*($A90-Ft!D$2)^2)))</f>
        <v>4.1107890619746046</v>
      </c>
      <c r="I90" s="3">
        <f>IF(($A90-Ft!E$2)&lt;0,Ft!E$3*((1-Ft!E$6)/(1+Ft!E$37*($A90-Ft!E$2)^2)+Ft!E$6*EXP(Ft!E$38*($A90-Ft!E$2)^2)),Ft!E$3*((1-Ft!E$7)/(1+Ft!E$39*($A90-Ft!E$2)^2)+Ft!E$7*EXP(Ft!E$40*($A90-Ft!E$2)^2)))</f>
        <v>1.1517536831291416E-2</v>
      </c>
      <c r="J90" s="3">
        <f>IF(($A90-Ft!F$2)&lt;0,Ft!F$3*((1-Ft!F$6)/(1+Ft!F$37*($A90-Ft!F$2)^2)+Ft!F$6*EXP(Ft!F$38*($A90-Ft!F$2)^2)),Ft!F$3*((1-Ft!F$7)/(1+Ft!F$39*($A90-Ft!F$2)^2)+Ft!F$7*EXP(Ft!F$40*($A90-Ft!F$2)^2)))</f>
        <v>6.7713818743249727E-138</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v>178</v>
      </c>
      <c r="B91">
        <v>12.490957661458992</v>
      </c>
      <c r="C91" s="6">
        <f t="shared" si="3"/>
        <v>12.773693476901871</v>
      </c>
      <c r="D91" s="19">
        <f t="shared" si="4"/>
        <v>7.9939541334149336E-2</v>
      </c>
      <c r="E91" s="3">
        <f>Ft!$B$12+Ft!$B$14*(Data!A91-Vars!$B$3)</f>
        <v>0</v>
      </c>
      <c r="F91" s="3">
        <f>IF(($A91-Ft!B$2)&lt;0,Ft!B$3*((1-Ft!B$6)/(1+Ft!B$37*($A91-Ft!B$2)^2)+Ft!B$6*EXP(Ft!B$38*($A91-Ft!B$2)^2)),Ft!B$3*((1-Ft!B$7)/(1+Ft!B$39*($A91-Ft!B$2)^2)+Ft!B$7*EXP(Ft!B$40*($A91-Ft!B$2)^2)))</f>
        <v>8.570526844077568E-10</v>
      </c>
      <c r="G91" s="3">
        <f>IF(($A91-Ft!C$2)&lt;0,Ft!C$3*((1-Ft!C$6)/(1+Ft!C$37*($A91-Ft!C$2)^2)+Ft!C$6*EXP(Ft!C$38*($A91-Ft!C$2)^2)),Ft!C$3*((1-Ft!C$7)/(1+Ft!C$39*($A91-Ft!C$2)^2)+Ft!C$7*EXP(Ft!C$40*($A91-Ft!C$2)^2)))</f>
        <v>8.5585515714769009</v>
      </c>
      <c r="H91" s="3">
        <f>IF(($A91-Ft!D$2)&lt;0,Ft!D$3*((1-Ft!D$6)/(1+Ft!D$37*($A91-Ft!D$2)^2)+Ft!D$6*EXP(Ft!D$38*($A91-Ft!D$2)^2)),Ft!D$3*((1-Ft!D$7)/(1+Ft!D$39*($A91-Ft!D$2)^2)+Ft!D$7*EXP(Ft!D$40*($A91-Ft!D$2)^2)))</f>
        <v>4.203090702235202</v>
      </c>
      <c r="I91" s="3">
        <f>IF(($A91-Ft!E$2)&lt;0,Ft!E$3*((1-Ft!E$6)/(1+Ft!E$37*($A91-Ft!E$2)^2)+Ft!E$6*EXP(Ft!E$38*($A91-Ft!E$2)^2)),Ft!E$3*((1-Ft!E$7)/(1+Ft!E$39*($A91-Ft!E$2)^2)+Ft!E$7*EXP(Ft!E$40*($A91-Ft!E$2)^2)))</f>
        <v>1.2051202332715165E-2</v>
      </c>
      <c r="J91" s="3">
        <f>IF(($A91-Ft!F$2)&lt;0,Ft!F$3*((1-Ft!F$6)/(1+Ft!F$37*($A91-Ft!F$2)^2)+Ft!F$6*EXP(Ft!F$38*($A91-Ft!F$2)^2)),Ft!F$3*((1-Ft!F$7)/(1+Ft!F$39*($A91-Ft!F$2)^2)+Ft!F$7*EXP(Ft!F$40*($A91-Ft!F$2)^2)))</f>
        <v>2.9870043024720686E-137</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v>180</v>
      </c>
      <c r="B92">
        <v>12.51414724886699</v>
      </c>
      <c r="C92" s="6">
        <f t="shared" si="3"/>
        <v>12.765174320151797</v>
      </c>
      <c r="D92" s="19">
        <f t="shared" si="4"/>
        <v>6.3014590517827151E-2</v>
      </c>
      <c r="E92" s="3">
        <f>Ft!$B$12+Ft!$B$14*(Data!A92-Vars!$B$3)</f>
        <v>0</v>
      </c>
      <c r="F92" s="3">
        <f>IF(($A92-Ft!B$2)&lt;0,Ft!B$3*((1-Ft!B$6)/(1+Ft!B$37*($A92-Ft!B$2)^2)+Ft!B$6*EXP(Ft!B$38*($A92-Ft!B$2)^2)),Ft!B$3*((1-Ft!B$7)/(1+Ft!B$39*($A92-Ft!B$2)^2)+Ft!B$7*EXP(Ft!B$40*($A92-Ft!B$2)^2)))</f>
        <v>4.3840131522219128E-10</v>
      </c>
      <c r="G92" s="3">
        <f>IF(($A92-Ft!C$2)&lt;0,Ft!C$3*((1-Ft!C$6)/(1+Ft!C$37*($A92-Ft!C$2)^2)+Ft!C$6*EXP(Ft!C$38*($A92-Ft!C$2)^2)),Ft!C$3*((1-Ft!C$7)/(1+Ft!C$39*($A92-Ft!C$2)^2)+Ft!C$7*EXP(Ft!C$40*($A92-Ft!C$2)^2)))</f>
        <v>8.4558327599272189</v>
      </c>
      <c r="H92" s="3">
        <f>IF(($A92-Ft!D$2)&lt;0,Ft!D$3*((1-Ft!D$6)/(1+Ft!D$37*($A92-Ft!D$2)^2)+Ft!D$6*EXP(Ft!D$38*($A92-Ft!D$2)^2)),Ft!D$3*((1-Ft!D$7)/(1+Ft!D$39*($A92-Ft!D$2)^2)+Ft!D$7*EXP(Ft!D$40*($A92-Ft!D$2)^2)))</f>
        <v>4.2967337518794038</v>
      </c>
      <c r="I92" s="3">
        <f>IF(($A92-Ft!E$2)&lt;0,Ft!E$3*((1-Ft!E$6)/(1+Ft!E$37*($A92-Ft!E$2)^2)+Ft!E$6*EXP(Ft!E$38*($A92-Ft!E$2)^2)),Ft!E$3*((1-Ft!E$7)/(1+Ft!E$39*($A92-Ft!E$2)^2)+Ft!E$7*EXP(Ft!E$40*($A92-Ft!E$2)^2)))</f>
        <v>1.260780790677209E-2</v>
      </c>
      <c r="J92" s="3">
        <f>IF(($A92-Ft!F$2)&lt;0,Ft!F$3*((1-Ft!F$6)/(1+Ft!F$37*($A92-Ft!F$2)^2)+Ft!F$6*EXP(Ft!F$38*($A92-Ft!F$2)^2)),Ft!F$3*((1-Ft!F$7)/(1+Ft!F$39*($A92-Ft!F$2)^2)+Ft!F$7*EXP(Ft!F$40*($A92-Ft!F$2)^2)))</f>
        <v>1.3130630234173102E-136</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v>182</v>
      </c>
      <c r="B93">
        <v>12.534841451245995</v>
      </c>
      <c r="C93" s="6">
        <f t="shared" si="3"/>
        <v>12.754058431610773</v>
      </c>
      <c r="D93" s="19">
        <f t="shared" si="4"/>
        <v>4.8056084480251116E-2</v>
      </c>
      <c r="E93" s="3">
        <f>Ft!$B$12+Ft!$B$14*(Data!A93-Vars!$B$3)</f>
        <v>0</v>
      </c>
      <c r="F93" s="3">
        <f>IF(($A93-Ft!B$2)&lt;0,Ft!B$3*((1-Ft!B$6)/(1+Ft!B$37*($A93-Ft!B$2)^2)+Ft!B$6*EXP(Ft!B$38*($A93-Ft!B$2)^2)),Ft!B$3*((1-Ft!B$7)/(1+Ft!B$39*($A93-Ft!B$2)^2)+Ft!B$7*EXP(Ft!B$40*($A93-Ft!B$2)^2)))</f>
        <v>2.2201017236867211E-10</v>
      </c>
      <c r="G93" s="3">
        <f>IF(($A93-Ft!C$2)&lt;0,Ft!C$3*((1-Ft!C$6)/(1+Ft!C$37*($A93-Ft!C$2)^2)+Ft!C$6*EXP(Ft!C$38*($A93-Ft!C$2)^2)),Ft!C$3*((1-Ft!C$7)/(1+Ft!C$39*($A93-Ft!C$2)^2)+Ft!C$7*EXP(Ft!C$40*($A93-Ft!C$2)^2)))</f>
        <v>8.34915429892256</v>
      </c>
      <c r="H93" s="3">
        <f>IF(($A93-Ft!D$2)&lt;0,Ft!D$3*((1-Ft!D$6)/(1+Ft!D$37*($A93-Ft!D$2)^2)+Ft!D$6*EXP(Ft!D$38*($A93-Ft!D$2)^2)),Ft!D$3*((1-Ft!D$7)/(1+Ft!D$39*($A93-Ft!D$2)^2)+Ft!D$7*EXP(Ft!D$40*($A93-Ft!D$2)^2)))</f>
        <v>4.3917158808211827</v>
      </c>
      <c r="I93" s="3">
        <f>IF(($A93-Ft!E$2)&lt;0,Ft!E$3*((1-Ft!E$6)/(1+Ft!E$37*($A93-Ft!E$2)^2)+Ft!E$6*EXP(Ft!E$38*($A93-Ft!E$2)^2)),Ft!E$3*((1-Ft!E$7)/(1+Ft!E$39*($A93-Ft!E$2)^2)+Ft!E$7*EXP(Ft!E$40*($A93-Ft!E$2)^2)))</f>
        <v>1.3188251645018165E-2</v>
      </c>
      <c r="J93" s="3">
        <f>IF(($A93-Ft!F$2)&lt;0,Ft!F$3*((1-Ft!F$6)/(1+Ft!F$37*($A93-Ft!F$2)^2)+Ft!F$6*EXP(Ft!F$38*($A93-Ft!F$2)^2)),Ft!F$3*((1-Ft!F$7)/(1+Ft!F$39*($A93-Ft!F$2)^2)+Ft!F$7*EXP(Ft!F$40*($A93-Ft!F$2)^2)))</f>
        <v>5.7521006509821322E-136</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v>184</v>
      </c>
      <c r="B94">
        <v>12.552216085775996</v>
      </c>
      <c r="C94" s="6">
        <f t="shared" si="3"/>
        <v>12.740525393395846</v>
      </c>
      <c r="D94" s="19">
        <f t="shared" si="4"/>
        <v>3.5460395336267249E-2</v>
      </c>
      <c r="E94" s="3">
        <f>Ft!$B$12+Ft!$B$14*(Data!A94-Vars!$B$3)</f>
        <v>0</v>
      </c>
      <c r="F94" s="3">
        <f>IF(($A94-Ft!B$2)&lt;0,Ft!B$3*((1-Ft!B$6)/(1+Ft!B$37*($A94-Ft!B$2)^2)+Ft!B$6*EXP(Ft!B$38*($A94-Ft!B$2)^2)),Ft!B$3*((1-Ft!B$7)/(1+Ft!B$39*($A94-Ft!B$2)^2)+Ft!B$7*EXP(Ft!B$40*($A94-Ft!B$2)^2)))</f>
        <v>1.1130395496932977E-10</v>
      </c>
      <c r="G94" s="3">
        <f>IF(($A94-Ft!C$2)&lt;0,Ft!C$3*((1-Ft!C$6)/(1+Ft!C$37*($A94-Ft!C$2)^2)+Ft!C$6*EXP(Ft!C$38*($A94-Ft!C$2)^2)),Ft!C$3*((1-Ft!C$7)/(1+Ft!C$39*($A94-Ft!C$2)^2)+Ft!C$7*EXP(Ft!C$40*($A94-Ft!C$2)^2)))</f>
        <v>8.2386979142958197</v>
      </c>
      <c r="H94" s="3">
        <f>IF(($A94-Ft!D$2)&lt;0,Ft!D$3*((1-Ft!D$6)/(1+Ft!D$37*($A94-Ft!D$2)^2)+Ft!D$6*EXP(Ft!D$38*($A94-Ft!D$2)^2)),Ft!D$3*((1-Ft!D$7)/(1+Ft!D$39*($A94-Ft!D$2)^2)+Ft!D$7*EXP(Ft!D$40*($A94-Ft!D$2)^2)))</f>
        <v>4.4880340163064973</v>
      </c>
      <c r="I94" s="3">
        <f>IF(($A94-Ft!E$2)&lt;0,Ft!E$3*((1-Ft!E$6)/(1+Ft!E$37*($A94-Ft!E$2)^2)+Ft!E$6*EXP(Ft!E$38*($A94-Ft!E$2)^2)),Ft!E$3*((1-Ft!E$7)/(1+Ft!E$39*($A94-Ft!E$2)^2)+Ft!E$7*EXP(Ft!E$40*($A94-Ft!E$2)^2)))</f>
        <v>1.3793462682222637E-2</v>
      </c>
      <c r="J94" s="3">
        <f>IF(($A94-Ft!F$2)&lt;0,Ft!F$3*((1-Ft!F$6)/(1+Ft!F$37*($A94-Ft!F$2)^2)+Ft!F$6*EXP(Ft!F$38*($A94-Ft!F$2)^2)),Ft!F$3*((1-Ft!F$7)/(1+Ft!F$39*($A94-Ft!F$2)^2)+Ft!F$7*EXP(Ft!F$40*($A94-Ft!F$2)^2)))</f>
        <v>2.5110685220757103E-135</v>
      </c>
      <c r="K94" s="3">
        <f>IF(($A94-Ft!G$2)&lt;0,Ft!G$3*((1-Ft!G$6)/(1+Ft!G$37*($A94-Ft!G$2)^2)+Ft!G$6*EXP(Ft!G$38*($A94-Ft!G$2)^2)),Ft!G$3*((1-Ft!G$7)/(1+Ft!G$39*($A94-Ft!G$2)^2)+Ft!G$7*EXP(Ft!G$40*($A94-Ft!G$2)^2)))</f>
        <v>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v>186</v>
      </c>
      <c r="B95">
        <v>12.56547286210899</v>
      </c>
      <c r="C95" s="6">
        <f t="shared" si="3"/>
        <v>12.724758712877302</v>
      </c>
      <c r="D95" s="19">
        <f t="shared" si="4"/>
        <v>2.5371982254984795E-2</v>
      </c>
      <c r="E95" s="3">
        <f>Ft!$B$12+Ft!$B$14*(Data!A95-Vars!$B$3)</f>
        <v>0</v>
      </c>
      <c r="F95" s="3">
        <f>IF(($A95-Ft!B$2)&lt;0,Ft!B$3*((1-Ft!B$6)/(1+Ft!B$37*($A95-Ft!B$2)^2)+Ft!B$6*EXP(Ft!B$38*($A95-Ft!B$2)^2)),Ft!B$3*((1-Ft!B$7)/(1+Ft!B$39*($A95-Ft!B$2)^2)+Ft!B$7*EXP(Ft!B$40*($A95-Ft!B$2)^2)))</f>
        <v>5.5243987153152867E-11</v>
      </c>
      <c r="G95" s="3">
        <f>IF(($A95-Ft!C$2)&lt;0,Ft!C$3*((1-Ft!C$6)/(1+Ft!C$37*($A95-Ft!C$2)^2)+Ft!C$6*EXP(Ft!C$38*($A95-Ft!C$2)^2)),Ft!C$3*((1-Ft!C$7)/(1+Ft!C$39*($A95-Ft!C$2)^2)+Ft!C$7*EXP(Ft!C$40*($A95-Ft!C$2)^2)))</f>
        <v>8.1246499821244278</v>
      </c>
      <c r="H95" s="3">
        <f>IF(($A95-Ft!D$2)&lt;0,Ft!D$3*((1-Ft!D$6)/(1+Ft!D$37*($A95-Ft!D$2)^2)+Ft!D$6*EXP(Ft!D$38*($A95-Ft!D$2)^2)),Ft!D$3*((1-Ft!D$7)/(1+Ft!D$39*($A95-Ft!D$2)^2)+Ft!D$7*EXP(Ft!D$40*($A95-Ft!D$2)^2)))</f>
        <v>4.585684328610963</v>
      </c>
      <c r="I95" s="3">
        <f>IF(($A95-Ft!E$2)&lt;0,Ft!E$3*((1-Ft!E$6)/(1+Ft!E$37*($A95-Ft!E$2)^2)+Ft!E$6*EXP(Ft!E$38*($A95-Ft!E$2)^2)),Ft!E$3*((1-Ft!E$7)/(1+Ft!E$39*($A95-Ft!E$2)^2)+Ft!E$7*EXP(Ft!E$40*($A95-Ft!E$2)^2)))</f>
        <v>1.4424402086665799E-2</v>
      </c>
      <c r="J95" s="3">
        <f>IF(($A95-Ft!F$2)&lt;0,Ft!F$3*((1-Ft!F$6)/(1+Ft!F$37*($A95-Ft!F$2)^2)+Ft!F$6*EXP(Ft!F$38*($A95-Ft!F$2)^2)),Ft!F$3*((1-Ft!F$7)/(1+Ft!F$39*($A95-Ft!F$2)^2)+Ft!F$7*EXP(Ft!F$40*($A95-Ft!F$2)^2)))</f>
        <v>1.0924003557908821E-134</v>
      </c>
      <c r="K95" s="3">
        <f>IF(($A95-Ft!G$2)&lt;0,Ft!G$3*((1-Ft!G$6)/(1+Ft!G$37*($A95-Ft!G$2)^2)+Ft!G$6*EXP(Ft!G$38*($A95-Ft!G$2)^2)),Ft!G$3*((1-Ft!G$7)/(1+Ft!G$39*($A95-Ft!G$2)^2)+Ft!G$7*EXP(Ft!G$40*($A95-Ft!G$2)^2)))</f>
        <v>0</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v>188</v>
      </c>
      <c r="B96">
        <v>12.574512677968997</v>
      </c>
      <c r="C96" s="6">
        <f t="shared" si="3"/>
        <v>12.70694528788084</v>
      </c>
      <c r="D96" s="19">
        <f t="shared" si="4"/>
        <v>1.7538396168062471E-2</v>
      </c>
      <c r="E96" s="3">
        <f>Ft!$B$12+Ft!$B$14*(Data!A96-Vars!$B$3)</f>
        <v>0</v>
      </c>
      <c r="F96" s="3">
        <f>IF(($A96-Ft!B$2)&lt;0,Ft!B$3*((1-Ft!B$6)/(1+Ft!B$37*($A96-Ft!B$2)^2)+Ft!B$6*EXP(Ft!B$38*($A96-Ft!B$2)^2)),Ft!B$3*((1-Ft!B$7)/(1+Ft!B$39*($A96-Ft!B$2)^2)+Ft!B$7*EXP(Ft!B$40*($A96-Ft!B$2)^2)))</f>
        <v>2.7145392873867802E-11</v>
      </c>
      <c r="G96" s="3">
        <f>IF(($A96-Ft!C$2)&lt;0,Ft!C$3*((1-Ft!C$6)/(1+Ft!C$37*($A96-Ft!C$2)^2)+Ft!C$6*EXP(Ft!C$38*($A96-Ft!C$2)^2)),Ft!C$3*((1-Ft!C$7)/(1+Ft!C$39*($A96-Ft!C$2)^2)+Ft!C$7*EXP(Ft!C$40*($A96-Ft!C$2)^2)))</f>
        <v>8.0072010070119806</v>
      </c>
      <c r="H96" s="3">
        <f>IF(($A96-Ft!D$2)&lt;0,Ft!D$3*((1-Ft!D$6)/(1+Ft!D$37*($A96-Ft!D$2)^2)+Ft!D$6*EXP(Ft!D$38*($A96-Ft!D$2)^2)),Ft!D$3*((1-Ft!D$7)/(1+Ft!D$39*($A96-Ft!D$2)^2)+Ft!D$7*EXP(Ft!D$40*($A96-Ft!D$2)^2)))</f>
        <v>4.6846622170735053</v>
      </c>
      <c r="I96" s="3">
        <f>IF(($A96-Ft!E$2)&lt;0,Ft!E$3*((1-Ft!E$6)/(1+Ft!E$37*($A96-Ft!E$2)^2)+Ft!E$6*EXP(Ft!E$38*($A96-Ft!E$2)^2)),Ft!E$3*((1-Ft!E$7)/(1+Ft!E$39*($A96-Ft!E$2)^2)+Ft!E$7*EXP(Ft!E$40*($A96-Ft!E$2)^2)))</f>
        <v>1.508206376820938E-2</v>
      </c>
      <c r="J96" s="3">
        <f>IF(($A96-Ft!F$2)&lt;0,Ft!F$3*((1-Ft!F$6)/(1+Ft!F$37*($A96-Ft!F$2)^2)+Ft!F$6*EXP(Ft!F$38*($A96-Ft!F$2)^2)),Ft!F$3*((1-Ft!F$7)/(1+Ft!F$39*($A96-Ft!F$2)^2)+Ft!F$7*EXP(Ft!F$40*($A96-Ft!F$2)^2)))</f>
        <v>4.7358319572141191E-134</v>
      </c>
      <c r="K96" s="3">
        <f>IF(($A96-Ft!G$2)&lt;0,Ft!G$3*((1-Ft!G$6)/(1+Ft!G$37*($A96-Ft!G$2)^2)+Ft!G$6*EXP(Ft!G$38*($A96-Ft!G$2)^2)),Ft!G$3*((1-Ft!G$7)/(1+Ft!G$39*($A96-Ft!G$2)^2)+Ft!G$7*EXP(Ft!G$40*($A96-Ft!G$2)^2)))</f>
        <v>0</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v>190</v>
      </c>
      <c r="B97">
        <v>12.579993208723991</v>
      </c>
      <c r="C97" s="6">
        <f t="shared" si="3"/>
        <v>12.687274866595702</v>
      </c>
      <c r="D97" s="19">
        <f t="shared" si="4"/>
        <v>1.1509354115702912E-2</v>
      </c>
      <c r="E97" s="3">
        <f>Ft!$B$12+Ft!$B$14*(Data!A97-Vars!$B$3)</f>
        <v>0</v>
      </c>
      <c r="F97" s="3">
        <f>IF(($A97-Ft!B$2)&lt;0,Ft!B$3*((1-Ft!B$6)/(1+Ft!B$37*($A97-Ft!B$2)^2)+Ft!B$6*EXP(Ft!B$38*($A97-Ft!B$2)^2)),Ft!B$3*((1-Ft!B$7)/(1+Ft!B$39*($A97-Ft!B$2)^2)+Ft!B$7*EXP(Ft!B$40*($A97-Ft!B$2)^2)))</f>
        <v>1.3205168410291702E-11</v>
      </c>
      <c r="G97" s="3">
        <f>IF(($A97-Ft!C$2)&lt;0,Ft!C$3*((1-Ft!C$6)/(1+Ft!C$37*($A97-Ft!C$2)^2)+Ft!C$6*EXP(Ft!C$38*($A97-Ft!C$2)^2)),Ft!C$3*((1-Ft!C$7)/(1+Ft!C$39*($A97-Ft!C$2)^2)+Ft!C$7*EXP(Ft!C$40*($A97-Ft!C$2)^2)))</f>
        <v>7.8865450946905238</v>
      </c>
      <c r="H97" s="3">
        <f>IF(($A97-Ft!D$2)&lt;0,Ft!D$3*((1-Ft!D$6)/(1+Ft!D$37*($A97-Ft!D$2)^2)+Ft!D$6*EXP(Ft!D$38*($A97-Ft!D$2)^2)),Ft!D$3*((1-Ft!D$7)/(1+Ft!D$39*($A97-Ft!D$2)^2)+Ft!D$7*EXP(Ft!D$40*($A97-Ft!D$2)^2)))</f>
        <v>4.784962296487806</v>
      </c>
      <c r="I97" s="3">
        <f>IF(($A97-Ft!E$2)&lt;0,Ft!E$3*((1-Ft!E$6)/(1+Ft!E$37*($A97-Ft!E$2)^2)+Ft!E$6*EXP(Ft!E$38*($A97-Ft!E$2)^2)),Ft!E$3*((1-Ft!E$7)/(1+Ft!E$39*($A97-Ft!E$2)^2)+Ft!E$7*EXP(Ft!E$40*($A97-Ft!E$2)^2)))</f>
        <v>1.5767475404165291E-2</v>
      </c>
      <c r="J97" s="3">
        <f>IF(($A97-Ft!F$2)&lt;0,Ft!F$3*((1-Ft!F$6)/(1+Ft!F$37*($A97-Ft!F$2)^2)+Ft!F$6*EXP(Ft!F$38*($A97-Ft!F$2)^2)),Ft!F$3*((1-Ft!F$7)/(1+Ft!F$39*($A97-Ft!F$2)^2)+Ft!F$7*EXP(Ft!F$40*($A97-Ft!F$2)^2)))</f>
        <v>2.0459825086952647E-133</v>
      </c>
      <c r="K97" s="3">
        <f>IF(($A97-Ft!G$2)&lt;0,Ft!G$3*((1-Ft!G$6)/(1+Ft!G$37*($A97-Ft!G$2)^2)+Ft!G$6*EXP(Ft!G$38*($A97-Ft!G$2)^2)),Ft!G$3*((1-Ft!G$7)/(1+Ft!G$39*($A97-Ft!G$2)^2)+Ft!G$7*EXP(Ft!G$40*($A97-Ft!G$2)^2)))</f>
        <v>0</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v>192</v>
      </c>
      <c r="B98">
        <v>12.582609540124992</v>
      </c>
      <c r="C98" s="6">
        <f t="shared" si="3"/>
        <v>12.665939504237198</v>
      </c>
      <c r="D98" s="19">
        <f t="shared" si="4"/>
        <v>6.9438829189415489E-3</v>
      </c>
      <c r="E98" s="3">
        <f>Ft!$B$12+Ft!$B$14*(Data!A98-Vars!$B$3)</f>
        <v>0</v>
      </c>
      <c r="F98" s="3">
        <f>IF(($A98-Ft!B$2)&lt;0,Ft!B$3*((1-Ft!B$6)/(1+Ft!B$37*($A98-Ft!B$2)^2)+Ft!B$6*EXP(Ft!B$38*($A98-Ft!B$2)^2)),Ft!B$3*((1-Ft!B$7)/(1+Ft!B$39*($A98-Ft!B$2)^2)+Ft!B$7*EXP(Ft!B$40*($A98-Ft!B$2)^2)))</f>
        <v>6.3595802771396145E-12</v>
      </c>
      <c r="G98" s="3">
        <f>IF(($A98-Ft!C$2)&lt;0,Ft!C$3*((1-Ft!C$6)/(1+Ft!C$37*($A98-Ft!C$2)^2)+Ft!C$6*EXP(Ft!C$38*($A98-Ft!C$2)^2)),Ft!C$3*((1-Ft!C$7)/(1+Ft!C$39*($A98-Ft!C$2)^2)+Ft!C$7*EXP(Ft!C$40*($A98-Ft!C$2)^2)))</f>
        <v>7.7628794209745129</v>
      </c>
      <c r="H98" s="3">
        <f>IF(($A98-Ft!D$2)&lt;0,Ft!D$3*((1-Ft!D$6)/(1+Ft!D$37*($A98-Ft!D$2)^2)+Ft!D$6*EXP(Ft!D$38*($A98-Ft!D$2)^2)),Ft!D$3*((1-Ft!D$7)/(1+Ft!D$39*($A98-Ft!D$2)^2)+Ft!D$7*EXP(Ft!D$40*($A98-Ft!D$2)^2)))</f>
        <v>4.8865783838733536</v>
      </c>
      <c r="I98" s="3">
        <f>IF(($A98-Ft!E$2)&lt;0,Ft!E$3*((1-Ft!E$6)/(1+Ft!E$37*($A98-Ft!E$2)^2)+Ft!E$6*EXP(Ft!E$38*($A98-Ft!E$2)^2)),Ft!E$3*((1-Ft!E$7)/(1+Ft!E$39*($A98-Ft!E$2)^2)+Ft!E$7*EXP(Ft!E$40*($A98-Ft!E$2)^2)))</f>
        <v>1.6481699382971587E-2</v>
      </c>
      <c r="J98" s="3">
        <f>IF(($A98-Ft!F$2)&lt;0,Ft!F$3*((1-Ft!F$6)/(1+Ft!F$37*($A98-Ft!F$2)^2)+Ft!F$6*EXP(Ft!F$38*($A98-Ft!F$2)^2)),Ft!F$3*((1-Ft!F$7)/(1+Ft!F$39*($A98-Ft!F$2)^2)+Ft!F$7*EXP(Ft!F$40*($A98-Ft!F$2)^2)))</f>
        <v>8.8084345397546217E-133</v>
      </c>
      <c r="K98" s="3">
        <f>IF(($A98-Ft!G$2)&lt;0,Ft!G$3*((1-Ft!G$6)/(1+Ft!G$37*($A98-Ft!G$2)^2)+Ft!G$6*EXP(Ft!G$38*($A98-Ft!G$2)^2)),Ft!G$3*((1-Ft!G$7)/(1+Ft!G$39*($A98-Ft!G$2)^2)+Ft!G$7*EXP(Ft!G$40*($A98-Ft!G$2)^2)))</f>
        <v>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v>194</v>
      </c>
      <c r="B99">
        <v>12.583056757923998</v>
      </c>
      <c r="C99" s="6">
        <f t="shared" si="3"/>
        <v>12.64313301850108</v>
      </c>
      <c r="D99" s="19">
        <f t="shared" si="4"/>
        <v>3.6091570849254751E-3</v>
      </c>
      <c r="E99" s="3">
        <f>Ft!$B$12+Ft!$B$14*(Data!A99-Vars!$B$3)</f>
        <v>0</v>
      </c>
      <c r="F99" s="3">
        <f>IF(($A99-Ft!B$2)&lt;0,Ft!B$3*((1-Ft!B$6)/(1+Ft!B$37*($A99-Ft!B$2)^2)+Ft!B$6*EXP(Ft!B$38*($A99-Ft!B$2)^2)),Ft!B$3*((1-Ft!B$7)/(1+Ft!B$39*($A99-Ft!B$2)^2)+Ft!B$7*EXP(Ft!B$40*($A99-Ft!B$2)^2)))</f>
        <v>3.0321428654298338E-12</v>
      </c>
      <c r="G99" s="3">
        <f>IF(($A99-Ft!C$2)&lt;0,Ft!C$3*((1-Ft!C$6)/(1+Ft!C$37*($A99-Ft!C$2)^2)+Ft!C$6*EXP(Ft!C$38*($A99-Ft!C$2)^2)),Ft!C$3*((1-Ft!C$7)/(1+Ft!C$39*($A99-Ft!C$2)^2)+Ft!C$7*EXP(Ft!C$40*($A99-Ft!C$2)^2)))</f>
        <v>7.6364036990844593</v>
      </c>
      <c r="H99" s="3">
        <f>IF(($A99-Ft!D$2)&lt;0,Ft!D$3*((1-Ft!D$6)/(1+Ft!D$37*($A99-Ft!D$2)^2)+Ft!D$6*EXP(Ft!D$38*($A99-Ft!D$2)^2)),Ft!D$3*((1-Ft!D$7)/(1+Ft!D$39*($A99-Ft!D$2)^2)+Ft!D$7*EXP(Ft!D$40*($A99-Ft!D$2)^2)))</f>
        <v>4.9895034856479237</v>
      </c>
      <c r="I99" s="3">
        <f>IF(($A99-Ft!E$2)&lt;0,Ft!E$3*((1-Ft!E$6)/(1+Ft!E$37*($A99-Ft!E$2)^2)+Ft!E$6*EXP(Ft!E$38*($A99-Ft!E$2)^2)),Ft!E$3*((1-Ft!E$7)/(1+Ft!E$39*($A99-Ft!E$2)^2)+Ft!E$7*EXP(Ft!E$40*($A99-Ft!E$2)^2)))</f>
        <v>1.72258337656668E-2</v>
      </c>
      <c r="J99" s="3">
        <f>IF(($A99-Ft!F$2)&lt;0,Ft!F$3*((1-Ft!F$6)/(1+Ft!F$37*($A99-Ft!F$2)^2)+Ft!F$6*EXP(Ft!F$38*($A99-Ft!F$2)^2)),Ft!F$3*((1-Ft!F$7)/(1+Ft!F$39*($A99-Ft!F$2)^2)+Ft!F$7*EXP(Ft!F$40*($A99-Ft!F$2)^2)))</f>
        <v>3.7790855870024257E-132</v>
      </c>
      <c r="K99" s="3">
        <f>IF(($A99-Ft!G$2)&lt;0,Ft!G$3*((1-Ft!G$6)/(1+Ft!G$37*($A99-Ft!G$2)^2)+Ft!G$6*EXP(Ft!G$38*($A99-Ft!G$2)^2)),Ft!G$3*((1-Ft!G$7)/(1+Ft!G$39*($A99-Ft!G$2)^2)+Ft!G$7*EXP(Ft!G$40*($A99-Ft!G$2)^2)))</f>
        <v>0</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v>196</v>
      </c>
      <c r="B100">
        <v>12.582029947872996</v>
      </c>
      <c r="C100" s="6">
        <f t="shared" si="3"/>
        <v>12.619050445825458</v>
      </c>
      <c r="D100" s="19">
        <f t="shared" si="4"/>
        <v>1.3705172686482091E-3</v>
      </c>
      <c r="E100" s="3">
        <f>Ft!$B$12+Ft!$B$14*(Data!A100-Vars!$B$3)</f>
        <v>0</v>
      </c>
      <c r="F100" s="3">
        <f>IF(($A100-Ft!B$2)&lt;0,Ft!B$3*((1-Ft!B$6)/(1+Ft!B$37*($A100-Ft!B$2)^2)+Ft!B$6*EXP(Ft!B$38*($A100-Ft!B$2)^2)),Ft!B$3*((1-Ft!B$7)/(1+Ft!B$39*($A100-Ft!B$2)^2)+Ft!B$7*EXP(Ft!B$40*($A100-Ft!B$2)^2)))</f>
        <v>1.4312238447974302E-12</v>
      </c>
      <c r="G100" s="3">
        <f>IF(($A100-Ft!C$2)&lt;0,Ft!C$3*((1-Ft!C$6)/(1+Ft!C$37*($A100-Ft!C$2)^2)+Ft!C$6*EXP(Ft!C$38*($A100-Ft!C$2)^2)),Ft!C$3*((1-Ft!C$7)/(1+Ft!C$39*($A100-Ft!C$2)^2)+Ft!C$7*EXP(Ft!C$40*($A100-Ft!C$2)^2)))</f>
        <v>7.5073196473355566</v>
      </c>
      <c r="H100" s="3">
        <f>IF(($A100-Ft!D$2)&lt;0,Ft!D$3*((1-Ft!D$6)/(1+Ft!D$37*($A100-Ft!D$2)^2)+Ft!D$6*EXP(Ft!D$38*($A100-Ft!D$2)^2)),Ft!D$3*((1-Ft!D$7)/(1+Ft!D$39*($A100-Ft!D$2)^2)+Ft!D$7*EXP(Ft!D$40*($A100-Ft!D$2)^2)))</f>
        <v>5.0937297852233359</v>
      </c>
      <c r="I100" s="3">
        <f>IF(($A100-Ft!E$2)&lt;0,Ft!E$3*((1-Ft!E$6)/(1+Ft!E$37*($A100-Ft!E$2)^2)+Ft!E$6*EXP(Ft!E$38*($A100-Ft!E$2)^2)),Ft!E$3*((1-Ft!E$7)/(1+Ft!E$39*($A100-Ft!E$2)^2)+Ft!E$7*EXP(Ft!E$40*($A100-Ft!E$2)^2)))</f>
        <v>1.8001013265135417E-2</v>
      </c>
      <c r="J100" s="3">
        <f>IF(($A100-Ft!F$2)&lt;0,Ft!F$3*((1-Ft!F$6)/(1+Ft!F$37*($A100-Ft!F$2)^2)+Ft!F$6*EXP(Ft!F$38*($A100-Ft!F$2)^2)),Ft!F$3*((1-Ft!F$7)/(1+Ft!F$39*($A100-Ft!F$2)^2)+Ft!F$7*EXP(Ft!F$40*($A100-Ft!F$2)^2)))</f>
        <v>1.6157192754921421E-131</v>
      </c>
      <c r="K100" s="3">
        <f>IF(($A100-Ft!G$2)&lt;0,Ft!G$3*((1-Ft!G$6)/(1+Ft!G$37*($A100-Ft!G$2)^2)+Ft!G$6*EXP(Ft!G$38*($A100-Ft!G$2)^2)),Ft!G$3*((1-Ft!G$7)/(1+Ft!G$39*($A100-Ft!G$2)^2)+Ft!G$7*EXP(Ft!G$40*($A100-Ft!G$2)^2)))</f>
        <v>0</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v>198</v>
      </c>
      <c r="B101">
        <v>12.580224195722991</v>
      </c>
      <c r="C101" s="6">
        <f t="shared" si="3"/>
        <v>12.593887500444357</v>
      </c>
      <c r="D101" s="19">
        <f t="shared" si="4"/>
        <v>1.8668589590889359E-4</v>
      </c>
      <c r="E101" s="3">
        <f>Ft!$B$12+Ft!$B$14*(Data!A101-Vars!$B$3)</f>
        <v>0</v>
      </c>
      <c r="F101" s="3">
        <f>IF(($A101-Ft!B$2)&lt;0,Ft!B$3*((1-Ft!B$6)/(1+Ft!B$37*($A101-Ft!B$2)^2)+Ft!B$6*EXP(Ft!B$38*($A101-Ft!B$2)^2)),Ft!B$3*((1-Ft!B$7)/(1+Ft!B$39*($A101-Ft!B$2)^2)+Ft!B$7*EXP(Ft!B$40*($A101-Ft!B$2)^2)))</f>
        <v>6.6880908365538763E-13</v>
      </c>
      <c r="G101" s="3">
        <f>IF(($A101-Ft!C$2)&lt;0,Ft!C$3*((1-Ft!C$6)/(1+Ft!C$37*($A101-Ft!C$2)^2)+Ft!C$6*EXP(Ft!C$38*($A101-Ft!C$2)^2)),Ft!C$3*((1-Ft!C$7)/(1+Ft!C$39*($A101-Ft!C$2)^2)+Ft!C$7*EXP(Ft!C$40*($A101-Ft!C$2)^2)))</f>
        <v>7.3758304591543533</v>
      </c>
      <c r="H101" s="3">
        <f>IF(($A101-Ft!D$2)&lt;0,Ft!D$3*((1-Ft!D$6)/(1+Ft!D$37*($A101-Ft!D$2)^2)+Ft!D$6*EXP(Ft!D$38*($A101-Ft!D$2)^2)),Ft!D$3*((1-Ft!D$7)/(1+Ft!D$39*($A101-Ft!D$2)^2)+Ft!D$7*EXP(Ft!D$40*($A101-Ft!D$2)^2)))</f>
        <v>5.1992486310462569</v>
      </c>
      <c r="I101" s="3">
        <f>IF(($A101-Ft!E$2)&lt;0,Ft!E$3*((1-Ft!E$6)/(1+Ft!E$37*($A101-Ft!E$2)^2)+Ft!E$6*EXP(Ft!E$38*($A101-Ft!E$2)^2)),Ft!E$3*((1-Ft!E$7)/(1+Ft!E$39*($A101-Ft!E$2)^2)+Ft!E$7*EXP(Ft!E$40*($A101-Ft!E$2)^2)))</f>
        <v>1.8808410243077844E-2</v>
      </c>
      <c r="J101" s="3">
        <f>IF(($A101-Ft!F$2)&lt;0,Ft!F$3*((1-Ft!F$6)/(1+Ft!F$37*($A101-Ft!F$2)^2)+Ft!F$6*EXP(Ft!F$38*($A101-Ft!F$2)^2)),Ft!F$3*((1-Ft!F$7)/(1+Ft!F$39*($A101-Ft!F$2)^2)+Ft!F$7*EXP(Ft!F$40*($A101-Ft!F$2)^2)))</f>
        <v>6.8839271611933683E-131</v>
      </c>
      <c r="K101" s="3">
        <f>IF(($A101-Ft!G$2)&lt;0,Ft!G$3*((1-Ft!G$6)/(1+Ft!G$37*($A101-Ft!G$2)^2)+Ft!G$6*EXP(Ft!G$38*($A101-Ft!G$2)^2)),Ft!G$3*((1-Ft!G$7)/(1+Ft!G$39*($A101-Ft!G$2)^2)+Ft!G$7*EXP(Ft!G$40*($A101-Ft!G$2)^2)))</f>
        <v>0</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v>200</v>
      </c>
      <c r="B102">
        <v>12.578334587227999</v>
      </c>
      <c r="C102" s="6">
        <f t="shared" si="3"/>
        <v>12.567840038175783</v>
      </c>
      <c r="D102" s="19">
        <f t="shared" si="4"/>
        <v>1.1013555980938001E-4</v>
      </c>
      <c r="E102" s="3">
        <f>Ft!$B$12+Ft!$B$14*(Data!A102-Vars!$B$3)</f>
        <v>0</v>
      </c>
      <c r="F102" s="3">
        <f>IF(($A102-Ft!B$2)&lt;0,Ft!B$3*((1-Ft!B$6)/(1+Ft!B$37*($A102-Ft!B$2)^2)+Ft!B$6*EXP(Ft!B$38*($A102-Ft!B$2)^2)),Ft!B$3*((1-Ft!B$7)/(1+Ft!B$39*($A102-Ft!B$2)^2)+Ft!B$7*EXP(Ft!B$40*($A102-Ft!B$2)^2)))</f>
        <v>3.0940936863159052E-13</v>
      </c>
      <c r="G102" s="3">
        <f>IF(($A102-Ft!C$2)&lt;0,Ft!C$3*((1-Ft!C$6)/(1+Ft!C$37*($A102-Ft!C$2)^2)+Ft!C$6*EXP(Ft!C$38*($A102-Ft!C$2)^2)),Ft!C$3*((1-Ft!C$7)/(1+Ft!C$39*($A102-Ft!C$2)^2)+Ft!C$7*EXP(Ft!C$40*($A102-Ft!C$2)^2)))</f>
        <v>7.2421402773450652</v>
      </c>
      <c r="H102" s="3">
        <f>IF(($A102-Ft!D$2)&lt;0,Ft!D$3*((1-Ft!D$6)/(1+Ft!D$37*($A102-Ft!D$2)^2)+Ft!D$6*EXP(Ft!D$38*($A102-Ft!D$2)^2)),Ft!D$3*((1-Ft!D$7)/(1+Ft!D$39*($A102-Ft!D$2)^2)+Ft!D$7*EXP(Ft!D$40*($A102-Ft!D$2)^2)))</f>
        <v>5.3060505251057695</v>
      </c>
      <c r="I102" s="3">
        <f>IF(($A102-Ft!E$2)&lt;0,Ft!E$3*((1-Ft!E$6)/(1+Ft!E$37*($A102-Ft!E$2)^2)+Ft!E$6*EXP(Ft!E$38*($A102-Ft!E$2)^2)),Ft!E$3*((1-Ft!E$7)/(1+Ft!E$39*($A102-Ft!E$2)^2)+Ft!E$7*EXP(Ft!E$40*($A102-Ft!E$2)^2)))</f>
        <v>1.964923572463843E-2</v>
      </c>
      <c r="J102" s="3">
        <f>IF(($A102-Ft!F$2)&lt;0,Ft!F$3*((1-Ft!F$6)/(1+Ft!F$37*($A102-Ft!F$2)^2)+Ft!F$6*EXP(Ft!F$38*($A102-Ft!F$2)^2)),Ft!F$3*((1-Ft!F$7)/(1+Ft!F$39*($A102-Ft!F$2)^2)+Ft!F$7*EXP(Ft!F$40*($A102-Ft!F$2)^2)))</f>
        <v>2.9227913176239569E-130</v>
      </c>
      <c r="K102" s="3">
        <f>IF(($A102-Ft!G$2)&lt;0,Ft!G$3*((1-Ft!G$6)/(1+Ft!G$37*($A102-Ft!G$2)^2)+Ft!G$6*EXP(Ft!G$38*($A102-Ft!G$2)^2)),Ft!G$3*((1-Ft!G$7)/(1+Ft!G$39*($A102-Ft!G$2)^2)+Ft!G$7*EXP(Ft!G$40*($A102-Ft!G$2)^2)))</f>
        <v>0</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v>202</v>
      </c>
      <c r="B103">
        <v>12.577056208137989</v>
      </c>
      <c r="C103" s="6">
        <f t="shared" si="3"/>
        <v>12.541103526837015</v>
      </c>
      <c r="D103" s="19">
        <f t="shared" si="4"/>
        <v>1.2925952927294582E-3</v>
      </c>
      <c r="E103" s="3">
        <f>Ft!$B$12+Ft!$B$14*(Data!A103-Vars!$B$3)</f>
        <v>0</v>
      </c>
      <c r="F103" s="3">
        <f>IF(($A103-Ft!B$2)&lt;0,Ft!B$3*((1-Ft!B$6)/(1+Ft!B$37*($A103-Ft!B$2)^2)+Ft!B$6*EXP(Ft!B$38*($A103-Ft!B$2)^2)),Ft!B$3*((1-Ft!B$7)/(1+Ft!B$39*($A103-Ft!B$2)^2)+Ft!B$7*EXP(Ft!B$40*($A103-Ft!B$2)^2)))</f>
        <v>1.4171031160114279E-13</v>
      </c>
      <c r="G103" s="3">
        <f>IF(($A103-Ft!C$2)&lt;0,Ft!C$3*((1-Ft!C$6)/(1+Ft!C$37*($A103-Ft!C$2)^2)+Ft!C$6*EXP(Ft!C$38*($A103-Ft!C$2)^2)),Ft!C$3*((1-Ft!C$7)/(1+Ft!C$39*($A103-Ft!C$2)^2)+Ft!C$7*EXP(Ft!C$40*($A103-Ft!C$2)^2)))</f>
        <v>7.1064536744769882</v>
      </c>
      <c r="H103" s="3">
        <f>IF(($A103-Ft!D$2)&lt;0,Ft!D$3*((1-Ft!D$6)/(1+Ft!D$37*($A103-Ft!D$2)^2)+Ft!D$6*EXP(Ft!D$38*($A103-Ft!D$2)^2)),Ft!D$3*((1-Ft!D$7)/(1+Ft!D$39*($A103-Ft!D$2)^2)+Ft!D$7*EXP(Ft!D$40*($A103-Ft!D$2)^2)))</f>
        <v>5.4141251119292813</v>
      </c>
      <c r="I103" s="3">
        <f>IF(($A103-Ft!E$2)&lt;0,Ft!E$3*((1-Ft!E$6)/(1+Ft!E$37*($A103-Ft!E$2)^2)+Ft!E$6*EXP(Ft!E$38*($A103-Ft!E$2)^2)),Ft!E$3*((1-Ft!E$7)/(1+Ft!E$39*($A103-Ft!E$2)^2)+Ft!E$7*EXP(Ft!E$40*($A103-Ft!E$2)^2)))</f>
        <v>2.0524740430603833E-2</v>
      </c>
      <c r="J103" s="3">
        <f>IF(($A103-Ft!F$2)&lt;0,Ft!F$3*((1-Ft!F$6)/(1+Ft!F$37*($A103-Ft!F$2)^2)+Ft!F$6*EXP(Ft!F$38*($A103-Ft!F$2)^2)),Ft!F$3*((1-Ft!F$7)/(1+Ft!F$39*($A103-Ft!F$2)^2)+Ft!F$7*EXP(Ft!F$40*($A103-Ft!F$2)^2)))</f>
        <v>1.236660623401399E-129</v>
      </c>
      <c r="K103" s="3">
        <f>IF(($A103-Ft!G$2)&lt;0,Ft!G$3*((1-Ft!G$6)/(1+Ft!G$37*($A103-Ft!G$2)^2)+Ft!G$6*EXP(Ft!G$38*($A103-Ft!G$2)^2)),Ft!G$3*((1-Ft!G$7)/(1+Ft!G$39*($A103-Ft!G$2)^2)+Ft!G$7*EXP(Ft!G$40*($A103-Ft!G$2)^2)))</f>
        <v>0</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v>204</v>
      </c>
      <c r="B104">
        <v>12.575052623350999</v>
      </c>
      <c r="C104" s="6">
        <f t="shared" si="3"/>
        <v>12.513872525121231</v>
      </c>
      <c r="D104" s="19">
        <f t="shared" si="4"/>
        <v>3.7430044194040205E-3</v>
      </c>
      <c r="E104" s="3">
        <f>Ft!$B$12+Ft!$B$14*(Data!A104-Vars!$B$3)</f>
        <v>0</v>
      </c>
      <c r="F104" s="3">
        <f>IF(($A104-Ft!B$2)&lt;0,Ft!B$3*((1-Ft!B$6)/(1+Ft!B$37*($A104-Ft!B$2)^2)+Ft!B$6*EXP(Ft!B$38*($A104-Ft!B$2)^2)),Ft!B$3*((1-Ft!B$7)/(1+Ft!B$39*($A104-Ft!B$2)^2)+Ft!B$7*EXP(Ft!B$40*($A104-Ft!B$2)^2)))</f>
        <v>6.425488389131151E-14</v>
      </c>
      <c r="G104" s="3">
        <f>IF(($A104-Ft!C$2)&lt;0,Ft!C$3*((1-Ft!C$6)/(1+Ft!C$37*($A104-Ft!C$2)^2)+Ft!C$6*EXP(Ft!C$38*($A104-Ft!C$2)^2)),Ft!C$3*((1-Ft!C$7)/(1+Ft!C$39*($A104-Ft!C$2)^2)+Ft!C$7*EXP(Ft!C$40*($A104-Ft!C$2)^2)))</f>
        <v>6.9689751412058323</v>
      </c>
      <c r="H104" s="3">
        <f>IF(($A104-Ft!D$2)&lt;0,Ft!D$3*((1-Ft!D$6)/(1+Ft!D$37*($A104-Ft!D$2)^2)+Ft!D$6*EXP(Ft!D$38*($A104-Ft!D$2)^2)),Ft!D$3*((1-Ft!D$7)/(1+Ft!D$39*($A104-Ft!D$2)^2)+Ft!D$7*EXP(Ft!D$40*($A104-Ft!D$2)^2)))</f>
        <v>5.5234611680882724</v>
      </c>
      <c r="I104" s="3">
        <f>IF(($A104-Ft!E$2)&lt;0,Ft!E$3*((1-Ft!E$6)/(1+Ft!E$37*($A104-Ft!E$2)^2)+Ft!E$6*EXP(Ft!E$38*($A104-Ft!E$2)^2)),Ft!E$3*((1-Ft!E$7)/(1+Ft!E$39*($A104-Ft!E$2)^2)+Ft!E$7*EXP(Ft!E$40*($A104-Ft!E$2)^2)))</f>
        <v>2.1436215827062496E-2</v>
      </c>
      <c r="J104" s="3">
        <f>IF(($A104-Ft!F$2)&lt;0,Ft!F$3*((1-Ft!F$6)/(1+Ft!F$37*($A104-Ft!F$2)^2)+Ft!F$6*EXP(Ft!F$38*($A104-Ft!F$2)^2)),Ft!F$3*((1-Ft!F$7)/(1+Ft!F$39*($A104-Ft!F$2)^2)+Ft!F$7*EXP(Ft!F$40*($A104-Ft!F$2)^2)))</f>
        <v>5.2142810808123555E-129</v>
      </c>
      <c r="K104" s="3">
        <f>IF(($A104-Ft!G$2)&lt;0,Ft!G$3*((1-Ft!G$6)/(1+Ft!G$37*($A104-Ft!G$2)^2)+Ft!G$6*EXP(Ft!G$38*($A104-Ft!G$2)^2)),Ft!G$3*((1-Ft!G$7)/(1+Ft!G$39*($A104-Ft!G$2)^2)+Ft!G$7*EXP(Ft!G$40*($A104-Ft!G$2)^2)))</f>
        <v>0</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v>206</v>
      </c>
      <c r="B105">
        <v>12.570858216148991</v>
      </c>
      <c r="C105" s="6">
        <f t="shared" si="3"/>
        <v>12.486340171702889</v>
      </c>
      <c r="D105" s="19">
        <f t="shared" si="4"/>
        <v>7.1432998369934239E-3</v>
      </c>
      <c r="E105" s="3">
        <f>Ft!$B$12+Ft!$B$14*(Data!A105-Vars!$B$3)</f>
        <v>0</v>
      </c>
      <c r="F105" s="3">
        <f>IF(($A105-Ft!B$2)&lt;0,Ft!B$3*((1-Ft!B$6)/(1+Ft!B$37*($A105-Ft!B$2)^2)+Ft!B$6*EXP(Ft!B$38*($A105-Ft!B$2)^2)),Ft!B$3*((1-Ft!B$7)/(1+Ft!B$39*($A105-Ft!B$2)^2)+Ft!B$7*EXP(Ft!B$40*($A105-Ft!B$2)^2)))</f>
        <v>2.8843471548260128E-14</v>
      </c>
      <c r="G105" s="3">
        <f>IF(($A105-Ft!C$2)&lt;0,Ft!C$3*((1-Ft!C$6)/(1+Ft!C$37*($A105-Ft!C$2)^2)+Ft!C$6*EXP(Ft!C$38*($A105-Ft!C$2)^2)),Ft!C$3*((1-Ft!C$7)/(1+Ft!C$39*($A105-Ft!C$2)^2)+Ft!C$7*EXP(Ft!C$40*($A105-Ft!C$2)^2)))</f>
        <v>6.8299085842753273</v>
      </c>
      <c r="H105" s="3">
        <f>IF(($A105-Ft!D$2)&lt;0,Ft!D$3*((1-Ft!D$6)/(1+Ft!D$37*($A105-Ft!D$2)^2)+Ft!D$6*EXP(Ft!D$38*($A105-Ft!D$2)^2)),Ft!D$3*((1-Ft!D$7)/(1+Ft!D$39*($A105-Ft!D$2)^2)+Ft!D$7*EXP(Ft!D$40*($A105-Ft!D$2)^2)))</f>
        <v>5.6340465922351406</v>
      </c>
      <c r="I105" s="3">
        <f>IF(($A105-Ft!E$2)&lt;0,Ft!E$3*((1-Ft!E$6)/(1+Ft!E$37*($A105-Ft!E$2)^2)+Ft!E$6*EXP(Ft!E$38*($A105-Ft!E$2)^2)),Ft!E$3*((1-Ft!E$7)/(1+Ft!E$39*($A105-Ft!E$2)^2)+Ft!E$7*EXP(Ft!E$40*($A105-Ft!E$2)^2)))</f>
        <v>2.2384995192393401E-2</v>
      </c>
      <c r="J105" s="3">
        <f>IF(($A105-Ft!F$2)&lt;0,Ft!F$3*((1-Ft!F$6)/(1+Ft!F$37*($A105-Ft!F$2)^2)+Ft!F$6*EXP(Ft!F$38*($A105-Ft!F$2)^2)),Ft!F$3*((1-Ft!F$7)/(1+Ft!F$39*($A105-Ft!F$2)^2)+Ft!F$7*EXP(Ft!F$40*($A105-Ft!F$2)^2)))</f>
        <v>2.1909351669020876E-128</v>
      </c>
      <c r="K105" s="3">
        <f>IF(($A105-Ft!G$2)&lt;0,Ft!G$3*((1-Ft!G$6)/(1+Ft!G$37*($A105-Ft!G$2)^2)+Ft!G$6*EXP(Ft!G$38*($A105-Ft!G$2)^2)),Ft!G$3*((1-Ft!G$7)/(1+Ft!G$39*($A105-Ft!G$2)^2)+Ft!G$7*EXP(Ft!G$40*($A105-Ft!G$2)^2)))</f>
        <v>0</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v>208</v>
      </c>
      <c r="B106">
        <v>12.56497429985599</v>
      </c>
      <c r="C106" s="6">
        <f t="shared" si="3"/>
        <v>12.458697686265284</v>
      </c>
      <c r="D106" s="19">
        <f t="shared" si="4"/>
        <v>1.1294718596308342E-2</v>
      </c>
      <c r="E106" s="3">
        <f>Ft!$B$12+Ft!$B$14*(Data!A106-Vars!$B$3)</f>
        <v>0</v>
      </c>
      <c r="F106" s="3">
        <f>IF(($A106-Ft!B$2)&lt;0,Ft!B$3*((1-Ft!B$6)/(1+Ft!B$37*($A106-Ft!B$2)^2)+Ft!B$6*EXP(Ft!B$38*($A106-Ft!B$2)^2)),Ft!B$3*((1-Ft!B$7)/(1+Ft!B$39*($A106-Ft!B$2)^2)+Ft!B$7*EXP(Ft!B$40*($A106-Ft!B$2)^2)))</f>
        <v>1.2818157802285953E-14</v>
      </c>
      <c r="G106" s="3">
        <f>IF(($A106-Ft!C$2)&lt;0,Ft!C$3*((1-Ft!C$6)/(1+Ft!C$37*($A106-Ft!C$2)^2)+Ft!C$6*EXP(Ft!C$38*($A106-Ft!C$2)^2)),Ft!C$3*((1-Ft!C$7)/(1+Ft!C$39*($A106-Ft!C$2)^2)+Ft!C$7*EXP(Ft!C$40*($A106-Ft!C$2)^2)))</f>
        <v>6.6894568358715771</v>
      </c>
      <c r="H106" s="3">
        <f>IF(($A106-Ft!D$2)&lt;0,Ft!D$3*((1-Ft!D$6)/(1+Ft!D$37*($A106-Ft!D$2)^2)+Ft!D$6*EXP(Ft!D$38*($A106-Ft!D$2)^2)),Ft!D$3*((1-Ft!D$7)/(1+Ft!D$39*($A106-Ft!D$2)^2)+Ft!D$7*EXP(Ft!D$40*($A106-Ft!D$2)^2)))</f>
        <v>5.7458683956922645</v>
      </c>
      <c r="I106" s="3">
        <f>IF(($A106-Ft!E$2)&lt;0,Ft!E$3*((1-Ft!E$6)/(1+Ft!E$37*($A106-Ft!E$2)^2)+Ft!E$6*EXP(Ft!E$38*($A106-Ft!E$2)^2)),Ft!E$3*((1-Ft!E$7)/(1+Ft!E$39*($A106-Ft!E$2)^2)+Ft!E$7*EXP(Ft!E$40*($A106-Ft!E$2)^2)))</f>
        <v>2.3372454701428555E-2</v>
      </c>
      <c r="J106" s="3">
        <f>IF(($A106-Ft!F$2)&lt;0,Ft!F$3*((1-Ft!F$6)/(1+Ft!F$37*($A106-Ft!F$2)^2)+Ft!F$6*EXP(Ft!F$38*($A106-Ft!F$2)^2)),Ft!F$3*((1-Ft!F$7)/(1+Ft!F$39*($A106-Ft!F$2)^2)+Ft!F$7*EXP(Ft!F$40*($A106-Ft!F$2)^2)))</f>
        <v>9.1739379000239787E-128</v>
      </c>
      <c r="K106" s="3">
        <f>IF(($A106-Ft!G$2)&lt;0,Ft!G$3*((1-Ft!G$6)/(1+Ft!G$37*($A106-Ft!G$2)^2)+Ft!G$6*EXP(Ft!G$38*($A106-Ft!G$2)^2)),Ft!G$3*((1-Ft!G$7)/(1+Ft!G$39*($A106-Ft!G$2)^2)+Ft!G$7*EXP(Ft!G$40*($A106-Ft!G$2)^2)))</f>
        <v>0</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v>210</v>
      </c>
      <c r="B107">
        <v>12.557902187797993</v>
      </c>
      <c r="C107" s="6">
        <f t="shared" si="3"/>
        <v>12.431133884062611</v>
      </c>
      <c r="D107" s="19">
        <f t="shared" si="4"/>
        <v>1.6070202831946052E-2</v>
      </c>
      <c r="E107" s="3">
        <f>Ft!$B$12+Ft!$B$14*(Data!A107-Vars!$B$3)</f>
        <v>0</v>
      </c>
      <c r="F107" s="3">
        <f>IF(($A107-Ft!B$2)&lt;0,Ft!B$3*((1-Ft!B$6)/(1+Ft!B$37*($A107-Ft!B$2)^2)+Ft!B$6*EXP(Ft!B$38*($A107-Ft!B$2)^2)),Ft!B$3*((1-Ft!B$7)/(1+Ft!B$39*($A107-Ft!B$2)^2)+Ft!B$7*EXP(Ft!B$40*($A107-Ft!B$2)^2)))</f>
        <v>5.6394973160412758E-15</v>
      </c>
      <c r="G107" s="3">
        <f>IF(($A107-Ft!C$2)&lt;0,Ft!C$3*((1-Ft!C$6)/(1+Ft!C$37*($A107-Ft!C$2)^2)+Ft!C$6*EXP(Ft!C$38*($A107-Ft!C$2)^2)),Ft!C$3*((1-Ft!C$7)/(1+Ft!C$39*($A107-Ft!C$2)^2)+Ft!C$7*EXP(Ft!C$40*($A107-Ft!C$2)^2)))</f>
        <v>6.5478211759218974</v>
      </c>
      <c r="H107" s="3">
        <f>IF(($A107-Ft!D$2)&lt;0,Ft!D$3*((1-Ft!D$6)/(1+Ft!D$37*($A107-Ft!D$2)^2)+Ft!D$6*EXP(Ft!D$38*($A107-Ft!D$2)^2)),Ft!D$3*((1-Ft!D$7)/(1+Ft!D$39*($A107-Ft!D$2)^2)+Ft!D$7*EXP(Ft!D$40*($A107-Ft!D$2)^2)))</f>
        <v>5.8589126936140996</v>
      </c>
      <c r="I107" s="3">
        <f>IF(($A107-Ft!E$2)&lt;0,Ft!E$3*((1-Ft!E$6)/(1+Ft!E$37*($A107-Ft!E$2)^2)+Ft!E$6*EXP(Ft!E$38*($A107-Ft!E$2)^2)),Ft!E$3*((1-Ft!E$7)/(1+Ft!E$39*($A107-Ft!E$2)^2)+Ft!E$7*EXP(Ft!E$40*($A107-Ft!E$2)^2)))</f>
        <v>2.4400014526609923E-2</v>
      </c>
      <c r="J107" s="3">
        <f>IF(($A107-Ft!F$2)&lt;0,Ft!F$3*((1-Ft!F$6)/(1+Ft!F$37*($A107-Ft!F$2)^2)+Ft!F$6*EXP(Ft!F$38*($A107-Ft!F$2)^2)),Ft!F$3*((1-Ft!F$7)/(1+Ft!F$39*($A107-Ft!F$2)^2)+Ft!F$7*EXP(Ft!F$40*($A107-Ft!F$2)^2)))</f>
        <v>3.8280116211267299E-127</v>
      </c>
      <c r="K107" s="3">
        <f>IF(($A107-Ft!G$2)&lt;0,Ft!G$3*((1-Ft!G$6)/(1+Ft!G$37*($A107-Ft!G$2)^2)+Ft!G$6*EXP(Ft!G$38*($A107-Ft!G$2)^2)),Ft!G$3*((1-Ft!G$7)/(1+Ft!G$39*($A107-Ft!G$2)^2)+Ft!G$7*EXP(Ft!G$40*($A107-Ft!G$2)^2)))</f>
        <v>0</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v>212</v>
      </c>
      <c r="B108">
        <v>12.550143193300997</v>
      </c>
      <c r="C108" s="6">
        <f t="shared" si="3"/>
        <v>12.403834705541732</v>
      </c>
      <c r="D108" s="19">
        <f t="shared" si="4"/>
        <v>2.1406173590403085E-2</v>
      </c>
      <c r="E108" s="3">
        <f>Ft!$B$12+Ft!$B$14*(Data!A108-Vars!$B$3)</f>
        <v>0</v>
      </c>
      <c r="F108" s="3">
        <f>IF(($A108-Ft!B$2)&lt;0,Ft!B$3*((1-Ft!B$6)/(1+Ft!B$37*($A108-Ft!B$2)^2)+Ft!B$6*EXP(Ft!B$38*($A108-Ft!B$2)^2)),Ft!B$3*((1-Ft!B$7)/(1+Ft!B$39*($A108-Ft!B$2)^2)+Ft!B$7*EXP(Ft!B$40*($A108-Ft!B$2)^2)))</f>
        <v>2.4563591796916805E-15</v>
      </c>
      <c r="G108" s="3">
        <f>IF(($A108-Ft!C$2)&lt;0,Ft!C$3*((1-Ft!C$6)/(1+Ft!C$37*($A108-Ft!C$2)^2)+Ft!C$6*EXP(Ft!C$38*($A108-Ft!C$2)^2)),Ft!C$3*((1-Ft!C$7)/(1+Ft!C$39*($A108-Ft!C$2)^2)+Ft!C$7*EXP(Ft!C$40*($A108-Ft!C$2)^2)))</f>
        <v>6.4052008688428694</v>
      </c>
      <c r="H108" s="3">
        <f>IF(($A108-Ft!D$2)&lt;0,Ft!D$3*((1-Ft!D$6)/(1+Ft!D$37*($A108-Ft!D$2)^2)+Ft!D$6*EXP(Ft!D$38*($A108-Ft!D$2)^2)),Ft!D$3*((1-Ft!D$7)/(1+Ft!D$39*($A108-Ft!D$2)^2)+Ft!D$7*EXP(Ft!D$40*($A108-Ft!D$2)^2)))</f>
        <v>5.9731646967429235</v>
      </c>
      <c r="I108" s="3">
        <f>IF(($A108-Ft!E$2)&lt;0,Ft!E$3*((1-Ft!E$6)/(1+Ft!E$37*($A108-Ft!E$2)^2)+Ft!E$6*EXP(Ft!E$38*($A108-Ft!E$2)^2)),Ft!E$3*((1-Ft!E$7)/(1+Ft!E$39*($A108-Ft!E$2)^2)+Ft!E$7*EXP(Ft!E$40*($A108-Ft!E$2)^2)))</f>
        <v>2.5469139955935399E-2</v>
      </c>
      <c r="J108" s="3">
        <f>IF(($A108-Ft!F$2)&lt;0,Ft!F$3*((1-Ft!F$6)/(1+Ft!F$37*($A108-Ft!F$2)^2)+Ft!F$6*EXP(Ft!F$38*($A108-Ft!F$2)^2)),Ft!F$3*((1-Ft!F$7)/(1+Ft!F$39*($A108-Ft!F$2)^2)+Ft!F$7*EXP(Ft!F$40*($A108-Ft!F$2)^2)))</f>
        <v>1.5917757384279754E-126</v>
      </c>
      <c r="K108" s="3">
        <f>IF(($A108-Ft!G$2)&lt;0,Ft!G$3*((1-Ft!G$6)/(1+Ft!G$37*($A108-Ft!G$2)^2)+Ft!G$6*EXP(Ft!G$38*($A108-Ft!G$2)^2)),Ft!G$3*((1-Ft!G$7)/(1+Ft!G$39*($A108-Ft!G$2)^2)+Ft!G$7*EXP(Ft!G$40*($A108-Ft!G$2)^2)))</f>
        <v>0</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v>214</v>
      </c>
      <c r="B109">
        <v>12.542198629691001</v>
      </c>
      <c r="C109" s="6">
        <f t="shared" si="3"/>
        <v>12.376982762455635</v>
      </c>
      <c r="D109" s="19">
        <f t="shared" si="4"/>
        <v>2.7296282786334111E-2</v>
      </c>
      <c r="E109" s="3">
        <f>Ft!$B$12+Ft!$B$14*(Data!A109-Vars!$B$3)</f>
        <v>0</v>
      </c>
      <c r="F109" s="3">
        <f>IF(($A109-Ft!B$2)&lt;0,Ft!B$3*((1-Ft!B$6)/(1+Ft!B$37*($A109-Ft!B$2)^2)+Ft!B$6*EXP(Ft!B$38*($A109-Ft!B$2)^2)),Ft!B$3*((1-Ft!B$7)/(1+Ft!B$39*($A109-Ft!B$2)^2)+Ft!B$7*EXP(Ft!B$40*($A109-Ft!B$2)^2)))</f>
        <v>1.0592050571120755E-15</v>
      </c>
      <c r="G109" s="3">
        <f>IF(($A109-Ft!C$2)&lt;0,Ft!C$3*((1-Ft!C$6)/(1+Ft!C$37*($A109-Ft!C$2)^2)+Ft!C$6*EXP(Ft!C$38*($A109-Ft!C$2)^2)),Ft!C$3*((1-Ft!C$7)/(1+Ft!C$39*($A109-Ft!C$2)^2)+Ft!C$7*EXP(Ft!C$40*($A109-Ft!C$2)^2)))</f>
        <v>6.2617927161496771</v>
      </c>
      <c r="H109" s="3">
        <f>IF(($A109-Ft!D$2)&lt;0,Ft!D$3*((1-Ft!D$6)/(1+Ft!D$37*($A109-Ft!D$2)^2)+Ft!D$6*EXP(Ft!D$38*($A109-Ft!D$2)^2)),Ft!D$3*((1-Ft!D$7)/(1+Ft!D$39*($A109-Ft!D$2)^2)+Ft!D$7*EXP(Ft!D$40*($A109-Ft!D$2)^2)))</f>
        <v>6.0886087037784948</v>
      </c>
      <c r="I109" s="3">
        <f>IF(($A109-Ft!E$2)&lt;0,Ft!E$3*((1-Ft!E$6)/(1+Ft!E$37*($A109-Ft!E$2)^2)+Ft!E$6*EXP(Ft!E$38*($A109-Ft!E$2)^2)),Ft!E$3*((1-Ft!E$7)/(1+Ft!E$39*($A109-Ft!E$2)^2)+Ft!E$7*EXP(Ft!E$40*($A109-Ft!E$2)^2)))</f>
        <v>2.6581342527463355E-2</v>
      </c>
      <c r="J109" s="3">
        <f>IF(($A109-Ft!F$2)&lt;0,Ft!F$3*((1-Ft!F$6)/(1+Ft!F$37*($A109-Ft!F$2)^2)+Ft!F$6*EXP(Ft!F$38*($A109-Ft!F$2)^2)),Ft!F$3*((1-Ft!F$7)/(1+Ft!F$39*($A109-Ft!F$2)^2)+Ft!F$7*EXP(Ft!F$40*($A109-Ft!F$2)^2)))</f>
        <v>6.5960159368139658E-126</v>
      </c>
      <c r="K109" s="3">
        <f>IF(($A109-Ft!G$2)&lt;0,Ft!G$3*((1-Ft!G$6)/(1+Ft!G$37*($A109-Ft!G$2)^2)+Ft!G$6*EXP(Ft!G$38*($A109-Ft!G$2)^2)),Ft!G$3*((1-Ft!G$7)/(1+Ft!G$39*($A109-Ft!G$2)^2)+Ft!G$7*EXP(Ft!G$40*($A109-Ft!G$2)^2)))</f>
        <v>0</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v>216</v>
      </c>
      <c r="B110">
        <v>12.534569810294002</v>
      </c>
      <c r="C110" s="6">
        <f t="shared" si="3"/>
        <v>12.350756901802757</v>
      </c>
      <c r="D110" s="19">
        <f t="shared" si="4"/>
        <v>3.3787185328010637E-2</v>
      </c>
      <c r="E110" s="3">
        <f>Ft!$B$12+Ft!$B$14*(Data!A110-Vars!$B$3)</f>
        <v>0</v>
      </c>
      <c r="F110" s="3">
        <f>IF(($A110-Ft!B$2)&lt;0,Ft!B$3*((1-Ft!B$6)/(1+Ft!B$37*($A110-Ft!B$2)^2)+Ft!B$6*EXP(Ft!B$38*($A110-Ft!B$2)^2)),Ft!B$3*((1-Ft!B$7)/(1+Ft!B$39*($A110-Ft!B$2)^2)+Ft!B$7*EXP(Ft!B$40*($A110-Ft!B$2)^2)))</f>
        <v>4.5217330203608816E-16</v>
      </c>
      <c r="G110" s="3">
        <f>IF(($A110-Ft!C$2)&lt;0,Ft!C$3*((1-Ft!C$6)/(1+Ft!C$37*($A110-Ft!C$2)^2)+Ft!C$6*EXP(Ft!C$38*($A110-Ft!C$2)^2)),Ft!C$3*((1-Ft!C$7)/(1+Ft!C$39*($A110-Ft!C$2)^2)+Ft!C$7*EXP(Ft!C$40*($A110-Ft!C$2)^2)))</f>
        <v>6.1177906262410771</v>
      </c>
      <c r="H110" s="3">
        <f>IF(($A110-Ft!D$2)&lt;0,Ft!D$3*((1-Ft!D$6)/(1+Ft!D$37*($A110-Ft!D$2)^2)+Ft!D$6*EXP(Ft!D$38*($A110-Ft!D$2)^2)),Ft!D$3*((1-Ft!D$7)/(1+Ft!D$39*($A110-Ft!D$2)^2)+Ft!D$7*EXP(Ft!D$40*($A110-Ft!D$2)^2)))</f>
        <v>6.2052280943815621</v>
      </c>
      <c r="I110" s="3">
        <f>IF(($A110-Ft!E$2)&lt;0,Ft!E$3*((1-Ft!E$6)/(1+Ft!E$37*($A110-Ft!E$2)^2)+Ft!E$6*EXP(Ft!E$38*($A110-Ft!E$2)^2)),Ft!E$3*((1-Ft!E$7)/(1+Ft!E$39*($A110-Ft!E$2)^2)+Ft!E$7*EXP(Ft!E$40*($A110-Ft!E$2)^2)))</f>
        <v>2.7738181180117578E-2</v>
      </c>
      <c r="J110" s="3">
        <f>IF(($A110-Ft!F$2)&lt;0,Ft!F$3*((1-Ft!F$6)/(1+Ft!F$37*($A110-Ft!F$2)^2)+Ft!F$6*EXP(Ft!F$38*($A110-Ft!F$2)^2)),Ft!F$3*((1-Ft!F$7)/(1+Ft!F$39*($A110-Ft!F$2)^2)+Ft!F$7*EXP(Ft!F$40*($A110-Ft!F$2)^2)))</f>
        <v>2.7237841821672148E-125</v>
      </c>
      <c r="K110" s="3">
        <f>IF(($A110-Ft!G$2)&lt;0,Ft!G$3*((1-Ft!G$6)/(1+Ft!G$37*($A110-Ft!G$2)^2)+Ft!G$6*EXP(Ft!G$38*($A110-Ft!G$2)^2)),Ft!G$3*((1-Ft!G$7)/(1+Ft!G$39*($A110-Ft!G$2)^2)+Ft!G$7*EXP(Ft!G$40*($A110-Ft!G$2)^2)))</f>
        <v>0</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v>218</v>
      </c>
      <c r="B111">
        <v>12.52775804843499</v>
      </c>
      <c r="C111" s="6">
        <f t="shared" si="3"/>
        <v>12.325331788823544</v>
      </c>
      <c r="D111" s="19">
        <f t="shared" si="4"/>
        <v>4.0976390580280582E-2</v>
      </c>
      <c r="E111" s="3">
        <f>Ft!$B$12+Ft!$B$14*(Data!A111-Vars!$B$3)</f>
        <v>0</v>
      </c>
      <c r="F111" s="3">
        <f>IF(($A111-Ft!B$2)&lt;0,Ft!B$3*((1-Ft!B$6)/(1+Ft!B$37*($A111-Ft!B$2)^2)+Ft!B$6*EXP(Ft!B$38*($A111-Ft!B$2)^2)),Ft!B$3*((1-Ft!B$7)/(1+Ft!B$39*($A111-Ft!B$2)^2)+Ft!B$7*EXP(Ft!B$40*($A111-Ft!B$2)^2)))</f>
        <v>1.9110255082448991E-16</v>
      </c>
      <c r="G111" s="3">
        <f>IF(($A111-Ft!C$2)&lt;0,Ft!C$3*((1-Ft!C$6)/(1+Ft!C$37*($A111-Ft!C$2)^2)+Ft!C$6*EXP(Ft!C$38*($A111-Ft!C$2)^2)),Ft!C$3*((1-Ft!C$7)/(1+Ft!C$39*($A111-Ft!C$2)^2)+Ft!C$7*EXP(Ft!C$40*($A111-Ft!C$2)^2)))</f>
        <v>5.9733852025722438</v>
      </c>
      <c r="H111" s="3">
        <f>IF(($A111-Ft!D$2)&lt;0,Ft!D$3*((1-Ft!D$6)/(1+Ft!D$37*($A111-Ft!D$2)^2)+Ft!D$6*EXP(Ft!D$38*($A111-Ft!D$2)^2)),Ft!D$3*((1-Ft!D$7)/(1+Ft!D$39*($A111-Ft!D$2)^2)+Ft!D$7*EXP(Ft!D$40*($A111-Ft!D$2)^2)))</f>
        <v>6.3230053228307934</v>
      </c>
      <c r="I111" s="3">
        <f>IF(($A111-Ft!E$2)&lt;0,Ft!E$3*((1-Ft!E$6)/(1+Ft!E$37*($A111-Ft!E$2)^2)+Ft!E$6*EXP(Ft!E$38*($A111-Ft!E$2)^2)),Ft!E$3*((1-Ft!E$7)/(1+Ft!E$39*($A111-Ft!E$2)^2)+Ft!E$7*EXP(Ft!E$40*($A111-Ft!E$2)^2)))</f>
        <v>2.894126342050695E-2</v>
      </c>
      <c r="J111" s="3">
        <f>IF(($A111-Ft!F$2)&lt;0,Ft!F$3*((1-Ft!F$6)/(1+Ft!F$37*($A111-Ft!F$2)^2)+Ft!F$6*EXP(Ft!F$38*($A111-Ft!F$2)^2)),Ft!F$3*((1-Ft!F$7)/(1+Ft!F$39*($A111-Ft!F$2)^2)+Ft!F$7*EXP(Ft!F$40*($A111-Ft!F$2)^2)))</f>
        <v>1.1208690375291219E-124</v>
      </c>
      <c r="K111" s="3">
        <f>IF(($A111-Ft!G$2)&lt;0,Ft!G$3*((1-Ft!G$6)/(1+Ft!G$37*($A111-Ft!G$2)^2)+Ft!G$6*EXP(Ft!G$38*($A111-Ft!G$2)^2)),Ft!G$3*((1-Ft!G$7)/(1+Ft!G$39*($A111-Ft!G$2)^2)+Ft!G$7*EXP(Ft!G$40*($A111-Ft!G$2)^2)))</f>
        <v>0</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v>220</v>
      </c>
      <c r="B112">
        <v>12.521557407852995</v>
      </c>
      <c r="C112" s="6">
        <f t="shared" si="3"/>
        <v>12.300877510179671</v>
      </c>
      <c r="D112" s="19">
        <f t="shared" si="4"/>
        <v>4.8699617237109027E-2</v>
      </c>
      <c r="E112" s="3">
        <f>Ft!$B$12+Ft!$B$14*(Data!A112-Vars!$B$3)</f>
        <v>0</v>
      </c>
      <c r="F112" s="3">
        <f>IF(($A112-Ft!B$2)&lt;0,Ft!B$3*((1-Ft!B$6)/(1+Ft!B$37*($A112-Ft!B$2)^2)+Ft!B$6*EXP(Ft!B$38*($A112-Ft!B$2)^2)),Ft!B$3*((1-Ft!B$7)/(1+Ft!B$39*($A112-Ft!B$2)^2)+Ft!B$7*EXP(Ft!B$40*($A112-Ft!B$2)^2)))</f>
        <v>7.9958520275189312E-17</v>
      </c>
      <c r="G112" s="3">
        <f>IF(($A112-Ft!C$2)&lt;0,Ft!C$3*((1-Ft!C$6)/(1+Ft!C$37*($A112-Ft!C$2)^2)+Ft!C$6*EXP(Ft!C$38*($A112-Ft!C$2)^2)),Ft!C$3*((1-Ft!C$7)/(1+Ft!C$39*($A112-Ft!C$2)^2)+Ft!C$7*EXP(Ft!C$40*($A112-Ft!C$2)^2)))</f>
        <v>5.8287633513219106</v>
      </c>
      <c r="H112" s="3">
        <f>IF(($A112-Ft!D$2)&lt;0,Ft!D$3*((1-Ft!D$6)/(1+Ft!D$37*($A112-Ft!D$2)^2)+Ft!D$6*EXP(Ft!D$38*($A112-Ft!D$2)^2)),Ft!D$3*((1-Ft!D$7)/(1+Ft!D$39*($A112-Ft!D$2)^2)+Ft!D$7*EXP(Ft!D$40*($A112-Ft!D$2)^2)))</f>
        <v>6.4419219123523153</v>
      </c>
      <c r="I112" s="3">
        <f>IF(($A112-Ft!E$2)&lt;0,Ft!E$3*((1-Ft!E$6)/(1+Ft!E$37*($A112-Ft!E$2)^2)+Ft!E$6*EXP(Ft!E$38*($A112-Ft!E$2)^2)),Ft!E$3*((1-Ft!E$7)/(1+Ft!E$39*($A112-Ft!E$2)^2)+Ft!E$7*EXP(Ft!E$40*($A112-Ft!E$2)^2)))</f>
        <v>3.0192246505445414E-2</v>
      </c>
      <c r="J112" s="3">
        <f>IF(($A112-Ft!F$2)&lt;0,Ft!F$3*((1-Ft!F$6)/(1+Ft!F$37*($A112-Ft!F$2)^2)+Ft!F$6*EXP(Ft!F$38*($A112-Ft!F$2)^2)),Ft!F$3*((1-Ft!F$7)/(1+Ft!F$39*($A112-Ft!F$2)^2)+Ft!F$7*EXP(Ft!F$40*($A112-Ft!F$2)^2)))</f>
        <v>4.596510256105009E-124</v>
      </c>
      <c r="K112" s="3">
        <f>IF(($A112-Ft!G$2)&lt;0,Ft!G$3*((1-Ft!G$6)/(1+Ft!G$37*($A112-Ft!G$2)^2)+Ft!G$6*EXP(Ft!G$38*($A112-Ft!G$2)^2)),Ft!G$3*((1-Ft!G$7)/(1+Ft!G$39*($A112-Ft!G$2)^2)+Ft!G$7*EXP(Ft!G$40*($A112-Ft!G$2)^2)))</f>
        <v>0</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v>222</v>
      </c>
      <c r="B113">
        <v>12.512413198981989</v>
      </c>
      <c r="C113" s="6">
        <f t="shared" si="3"/>
        <v>12.277559198331657</v>
      </c>
      <c r="D113" s="19">
        <f t="shared" si="4"/>
        <v>5.5156401621465997E-2</v>
      </c>
      <c r="E113" s="3">
        <f>Ft!$B$12+Ft!$B$14*(Data!A113-Vars!$B$3)</f>
        <v>0</v>
      </c>
      <c r="F113" s="3">
        <f>IF(($A113-Ft!B$2)&lt;0,Ft!B$3*((1-Ft!B$6)/(1+Ft!B$37*($A113-Ft!B$2)^2)+Ft!B$6*EXP(Ft!B$38*($A113-Ft!B$2)^2)),Ft!B$3*((1-Ft!B$7)/(1+Ft!B$39*($A113-Ft!B$2)^2)+Ft!B$7*EXP(Ft!B$40*($A113-Ft!B$2)^2)))</f>
        <v>3.3120715450991783E-17</v>
      </c>
      <c r="G113" s="3">
        <f>IF(($A113-Ft!C$2)&lt;0,Ft!C$3*((1-Ft!C$6)/(1+Ft!C$37*($A113-Ft!C$2)^2)+Ft!C$6*EXP(Ft!C$38*($A113-Ft!C$2)^2)),Ft!C$3*((1-Ft!C$7)/(1+Ft!C$39*($A113-Ft!C$2)^2)+Ft!C$7*EXP(Ft!C$40*($A113-Ft!C$2)^2)))</f>
        <v>5.6841079095512947</v>
      </c>
      <c r="H113" s="3">
        <f>IF(($A113-Ft!D$2)&lt;0,Ft!D$3*((1-Ft!D$6)/(1+Ft!D$37*($A113-Ft!D$2)^2)+Ft!D$6*EXP(Ft!D$38*($A113-Ft!D$2)^2)),Ft!D$3*((1-Ft!D$7)/(1+Ft!D$39*($A113-Ft!D$2)^2)+Ft!D$7*EXP(Ft!D$40*($A113-Ft!D$2)^2)))</f>
        <v>6.5619584501405344</v>
      </c>
      <c r="I113" s="3">
        <f>IF(($A113-Ft!E$2)&lt;0,Ft!E$3*((1-Ft!E$6)/(1+Ft!E$37*($A113-Ft!E$2)^2)+Ft!E$6*EXP(Ft!E$38*($A113-Ft!E$2)^2)),Ft!E$3*((1-Ft!E$7)/(1+Ft!E$39*($A113-Ft!E$2)^2)+Ft!E$7*EXP(Ft!E$40*($A113-Ft!E$2)^2)))</f>
        <v>3.1492838639827936E-2</v>
      </c>
      <c r="J113" s="3">
        <f>IF(($A113-Ft!F$2)&lt;0,Ft!F$3*((1-Ft!F$6)/(1+Ft!F$37*($A113-Ft!F$2)^2)+Ft!F$6*EXP(Ft!F$38*($A113-Ft!F$2)^2)),Ft!F$3*((1-Ft!F$7)/(1+Ft!F$39*($A113-Ft!F$2)^2)+Ft!F$7*EXP(Ft!F$40*($A113-Ft!F$2)^2)))</f>
        <v>1.8784203143542871E-123</v>
      </c>
      <c r="K113" s="3">
        <f>IF(($A113-Ft!G$2)&lt;0,Ft!G$3*((1-Ft!G$6)/(1+Ft!G$37*($A113-Ft!G$2)^2)+Ft!G$6*EXP(Ft!G$38*($A113-Ft!G$2)^2)),Ft!G$3*((1-Ft!G$7)/(1+Ft!G$39*($A113-Ft!G$2)^2)+Ft!G$7*EXP(Ft!G$40*($A113-Ft!G$2)^2)))</f>
        <v>0</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v>224</v>
      </c>
      <c r="B114">
        <v>12.500598638485997</v>
      </c>
      <c r="C114" s="6">
        <f t="shared" si="3"/>
        <v>12.255536678019043</v>
      </c>
      <c r="D114" s="19">
        <f t="shared" si="4"/>
        <v>6.005536446790679E-2</v>
      </c>
      <c r="E114" s="3">
        <f>Ft!$B$12+Ft!$B$14*(Data!A114-Vars!$B$3)</f>
        <v>0</v>
      </c>
      <c r="F114" s="3">
        <f>IF(($A114-Ft!B$2)&lt;0,Ft!B$3*((1-Ft!B$6)/(1+Ft!B$37*($A114-Ft!B$2)^2)+Ft!B$6*EXP(Ft!B$38*($A114-Ft!B$2)^2)),Ft!B$3*((1-Ft!B$7)/(1+Ft!B$39*($A114-Ft!B$2)^2)+Ft!B$7*EXP(Ft!B$40*($A114-Ft!B$2)^2)))</f>
        <v>1.3582238975082963E-17</v>
      </c>
      <c r="G114" s="3">
        <f>IF(($A114-Ft!C$2)&lt;0,Ft!C$3*((1-Ft!C$6)/(1+Ft!C$37*($A114-Ft!C$2)^2)+Ft!C$6*EXP(Ft!C$38*($A114-Ft!C$2)^2)),Ft!C$3*((1-Ft!C$7)/(1+Ft!C$39*($A114-Ft!C$2)^2)+Ft!C$7*EXP(Ft!C$40*($A114-Ft!C$2)^2)))</f>
        <v>5.5395972947410002</v>
      </c>
      <c r="H114" s="3">
        <f>IF(($A114-Ft!D$2)&lt;0,Ft!D$3*((1-Ft!D$6)/(1+Ft!D$37*($A114-Ft!D$2)^2)+Ft!D$6*EXP(Ft!D$38*($A114-Ft!D$2)^2)),Ft!D$3*((1-Ft!D$7)/(1+Ft!D$39*($A114-Ft!D$2)^2)+Ft!D$7*EXP(Ft!D$40*($A114-Ft!D$2)^2)))</f>
        <v>6.6830945830885531</v>
      </c>
      <c r="I114" s="3">
        <f>IF(($A114-Ft!E$2)&lt;0,Ft!E$3*((1-Ft!E$6)/(1+Ft!E$37*($A114-Ft!E$2)^2)+Ft!E$6*EXP(Ft!E$38*($A114-Ft!E$2)^2)),Ft!E$3*((1-Ft!E$7)/(1+Ft!E$39*($A114-Ft!E$2)^2)+Ft!E$7*EXP(Ft!E$40*($A114-Ft!E$2)^2)))</f>
        <v>3.2844800189488349E-2</v>
      </c>
      <c r="J114" s="3">
        <f>IF(($A114-Ft!F$2)&lt;0,Ft!F$3*((1-Ft!F$6)/(1+Ft!F$37*($A114-Ft!F$2)^2)+Ft!F$6*EXP(Ft!F$38*($A114-Ft!F$2)^2)),Ft!F$3*((1-Ft!F$7)/(1+Ft!F$39*($A114-Ft!F$2)^2)+Ft!F$7*EXP(Ft!F$40*($A114-Ft!F$2)^2)))</f>
        <v>7.6497721714471803E-123</v>
      </c>
      <c r="K114" s="3">
        <f>IF(($A114-Ft!G$2)&lt;0,Ft!G$3*((1-Ft!G$6)/(1+Ft!G$37*($A114-Ft!G$2)^2)+Ft!G$6*EXP(Ft!G$38*($A114-Ft!G$2)^2)),Ft!G$3*((1-Ft!G$7)/(1+Ft!G$39*($A114-Ft!G$2)^2)+Ft!G$7*EXP(Ft!G$40*($A114-Ft!G$2)^2)))</f>
        <v>0</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v>226</v>
      </c>
      <c r="B115">
        <v>12.487115025354001</v>
      </c>
      <c r="C115" s="6">
        <f t="shared" si="3"/>
        <v>12.234964135633561</v>
      </c>
      <c r="D115" s="19">
        <f t="shared" si="4"/>
        <v>6.3580071186809431E-2</v>
      </c>
      <c r="E115" s="3">
        <f>Ft!$B$12+Ft!$B$14*(Data!A115-Vars!$B$3)</f>
        <v>0</v>
      </c>
      <c r="F115" s="3">
        <f>IF(($A115-Ft!B$2)&lt;0,Ft!B$3*((1-Ft!B$6)/(1+Ft!B$37*($A115-Ft!B$2)^2)+Ft!B$6*EXP(Ft!B$38*($A115-Ft!B$2)^2)),Ft!B$3*((1-Ft!B$7)/(1+Ft!B$39*($A115-Ft!B$2)^2)+Ft!B$7*EXP(Ft!B$40*($A115-Ft!B$2)^2)))</f>
        <v>5.5141645535389603E-18</v>
      </c>
      <c r="G115" s="3">
        <f>IF(($A115-Ft!C$2)&lt;0,Ft!C$3*((1-Ft!C$6)/(1+Ft!C$37*($A115-Ft!C$2)^2)+Ft!C$6*EXP(Ft!C$38*($A115-Ft!C$2)^2)),Ft!C$3*((1-Ft!C$7)/(1+Ft!C$39*($A115-Ft!C$2)^2)+Ft!C$7*EXP(Ft!C$40*($A115-Ft!C$2)^2)))</f>
        <v>5.3954051764790698</v>
      </c>
      <c r="H115" s="3">
        <f>IF(($A115-Ft!D$2)&lt;0,Ft!D$3*((1-Ft!D$6)/(1+Ft!D$37*($A115-Ft!D$2)^2)+Ft!D$6*EXP(Ft!D$38*($A115-Ft!D$2)^2)),Ft!D$3*((1-Ft!D$7)/(1+Ft!D$39*($A115-Ft!D$2)^2)+Ft!D$7*EXP(Ft!D$40*($A115-Ft!D$2)^2)))</f>
        <v>6.805309014245859</v>
      </c>
      <c r="I115" s="3">
        <f>IF(($A115-Ft!E$2)&lt;0,Ft!E$3*((1-Ft!E$6)/(1+Ft!E$37*($A115-Ft!E$2)^2)+Ft!E$6*EXP(Ft!E$38*($A115-Ft!E$2)^2)),Ft!E$3*((1-Ft!E$7)/(1+Ft!E$39*($A115-Ft!E$2)^2)+Ft!E$7*EXP(Ft!E$40*($A115-Ft!E$2)^2)))</f>
        <v>3.4249944908632278E-2</v>
      </c>
      <c r="J115" s="3">
        <f>IF(($A115-Ft!F$2)&lt;0,Ft!F$3*((1-Ft!F$6)/(1+Ft!F$37*($A115-Ft!F$2)^2)+Ft!F$6*EXP(Ft!F$38*($A115-Ft!F$2)^2)),Ft!F$3*((1-Ft!F$7)/(1+Ft!F$39*($A115-Ft!F$2)^2)+Ft!F$7*EXP(Ft!F$40*($A115-Ft!F$2)^2)))</f>
        <v>3.104526759458449E-122</v>
      </c>
      <c r="K115" s="3">
        <f>IF(($A115-Ft!G$2)&lt;0,Ft!G$3*((1-Ft!G$6)/(1+Ft!G$37*($A115-Ft!G$2)^2)+Ft!G$6*EXP(Ft!G$38*($A115-Ft!G$2)^2)),Ft!G$3*((1-Ft!G$7)/(1+Ft!G$39*($A115-Ft!G$2)^2)+Ft!G$7*EXP(Ft!G$40*($A115-Ft!G$2)^2)))</f>
        <v>0</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v>228</v>
      </c>
      <c r="B116">
        <v>12.47296365857099</v>
      </c>
      <c r="C116" s="6">
        <f t="shared" si="3"/>
        <v>12.215989812161222</v>
      </c>
      <c r="D116" s="19">
        <f t="shared" si="4"/>
        <v>6.6035557738630776E-2</v>
      </c>
      <c r="E116" s="3">
        <f>Ft!$B$12+Ft!$B$14*(Data!A116-Vars!$B$3)</f>
        <v>0</v>
      </c>
      <c r="F116" s="3">
        <f>IF(($A116-Ft!B$2)&lt;0,Ft!B$3*((1-Ft!B$6)/(1+Ft!B$37*($A116-Ft!B$2)^2)+Ft!B$6*EXP(Ft!B$38*($A116-Ft!B$2)^2)),Ft!B$3*((1-Ft!B$7)/(1+Ft!B$39*($A116-Ft!B$2)^2)+Ft!B$7*EXP(Ft!B$40*($A116-Ft!B$2)^2)))</f>
        <v>2.216280746576888E-18</v>
      </c>
      <c r="G116" s="3">
        <f>IF(($A116-Ft!C$2)&lt;0,Ft!C$3*((1-Ft!C$6)/(1+Ft!C$37*($A116-Ft!C$2)^2)+Ft!C$6*EXP(Ft!C$38*($A116-Ft!C$2)^2)),Ft!C$3*((1-Ft!C$7)/(1+Ft!C$39*($A116-Ft!C$2)^2)+Ft!C$7*EXP(Ft!C$40*($A116-Ft!C$2)^2)))</f>
        <v>5.2517001709592579</v>
      </c>
      <c r="H116" s="3">
        <f>IF(($A116-Ft!D$2)&lt;0,Ft!D$3*((1-Ft!D$6)/(1+Ft!D$37*($A116-Ft!D$2)^2)+Ft!D$6*EXP(Ft!D$38*($A116-Ft!D$2)^2)),Ft!D$3*((1-Ft!D$7)/(1+Ft!D$39*($A116-Ft!D$2)^2)+Ft!D$7*EXP(Ft!D$40*($A116-Ft!D$2)^2)))</f>
        <v>6.9285795000205566</v>
      </c>
      <c r="I116" s="3">
        <f>IF(($A116-Ft!E$2)&lt;0,Ft!E$3*((1-Ft!E$6)/(1+Ft!E$37*($A116-Ft!E$2)^2)+Ft!E$6*EXP(Ft!E$38*($A116-Ft!E$2)^2)),Ft!E$3*((1-Ft!E$7)/(1+Ft!E$39*($A116-Ft!E$2)^2)+Ft!E$7*EXP(Ft!E$40*($A116-Ft!E$2)^2)))</f>
        <v>3.5710141181407654E-2</v>
      </c>
      <c r="J116" s="3">
        <f>IF(($A116-Ft!F$2)&lt;0,Ft!F$3*((1-Ft!F$6)/(1+Ft!F$37*($A116-Ft!F$2)^2)+Ft!F$6*EXP(Ft!F$38*($A116-Ft!F$2)^2)),Ft!F$3*((1-Ft!F$7)/(1+Ft!F$39*($A116-Ft!F$2)^2)+Ft!F$7*EXP(Ft!F$40*($A116-Ft!F$2)^2)))</f>
        <v>1.2555485073041395E-121</v>
      </c>
      <c r="K116" s="3">
        <f>IF(($A116-Ft!G$2)&lt;0,Ft!G$3*((1-Ft!G$6)/(1+Ft!G$37*($A116-Ft!G$2)^2)+Ft!G$6*EXP(Ft!G$38*($A116-Ft!G$2)^2)),Ft!G$3*((1-Ft!G$7)/(1+Ft!G$39*($A116-Ft!G$2)^2)+Ft!G$7*EXP(Ft!G$40*($A116-Ft!G$2)^2)))</f>
        <v>0</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v>230</v>
      </c>
      <c r="B117">
        <v>12.459145837126002</v>
      </c>
      <c r="C117" s="6">
        <f t="shared" si="3"/>
        <v>12.198755720253939</v>
      </c>
      <c r="D117" s="19">
        <f t="shared" si="4"/>
        <v>6.7803012964646761E-2</v>
      </c>
      <c r="E117" s="3">
        <f>Ft!$B$12+Ft!$B$14*(Data!A117-Vars!$B$3)</f>
        <v>0</v>
      </c>
      <c r="F117" s="3">
        <f>IF(($A117-Ft!B$2)&lt;0,Ft!B$3*((1-Ft!B$6)/(1+Ft!B$37*($A117-Ft!B$2)^2)+Ft!B$6*EXP(Ft!B$38*($A117-Ft!B$2)^2)),Ft!B$3*((1-Ft!B$7)/(1+Ft!B$39*($A117-Ft!B$2)^2)+Ft!B$7*EXP(Ft!B$40*($A117-Ft!B$2)^2)))</f>
        <v>8.8187396600640538E-19</v>
      </c>
      <c r="G117" s="3">
        <f>IF(($A117-Ft!C$2)&lt;0,Ft!C$3*((1-Ft!C$6)/(1+Ft!C$37*($A117-Ft!C$2)^2)+Ft!C$6*EXP(Ft!C$38*($A117-Ft!C$2)^2)),Ft!C$3*((1-Ft!C$7)/(1+Ft!C$39*($A117-Ft!C$2)^2)+Ft!C$7*EXP(Ft!C$40*($A117-Ft!C$2)^2)))</f>
        <v>5.1086455588341089</v>
      </c>
      <c r="H117" s="3">
        <f>IF(($A117-Ft!D$2)&lt;0,Ft!D$3*((1-Ft!D$6)/(1+Ft!D$37*($A117-Ft!D$2)^2)+Ft!D$6*EXP(Ft!D$38*($A117-Ft!D$2)^2)),Ft!D$3*((1-Ft!D$7)/(1+Ft!D$39*($A117-Ft!D$2)^2)+Ft!D$7*EXP(Ft!D$40*($A117-Ft!D$2)^2)))</f>
        <v>7.0528828481426888</v>
      </c>
      <c r="I117" s="3">
        <f>IF(($A117-Ft!E$2)&lt;0,Ft!E$3*((1-Ft!E$6)/(1+Ft!E$37*($A117-Ft!E$2)^2)+Ft!E$6*EXP(Ft!E$38*($A117-Ft!E$2)^2)),Ft!E$3*((1-Ft!E$7)/(1+Ft!E$39*($A117-Ft!E$2)^2)+Ft!E$7*EXP(Ft!E$40*($A117-Ft!E$2)^2)))</f>
        <v>3.722731327714085E-2</v>
      </c>
      <c r="J117" s="3">
        <f>IF(($A117-Ft!F$2)&lt;0,Ft!F$3*((1-Ft!F$6)/(1+Ft!F$37*($A117-Ft!F$2)^2)+Ft!F$6*EXP(Ft!F$38*($A117-Ft!F$2)^2)),Ft!F$3*((1-Ft!F$7)/(1+Ft!F$39*($A117-Ft!F$2)^2)+Ft!F$7*EXP(Ft!F$40*($A117-Ft!F$2)^2)))</f>
        <v>5.0601427226195514E-121</v>
      </c>
      <c r="K117" s="3">
        <f>IF(($A117-Ft!G$2)&lt;0,Ft!G$3*((1-Ft!G$6)/(1+Ft!G$37*($A117-Ft!G$2)^2)+Ft!G$6*EXP(Ft!G$38*($A117-Ft!G$2)^2)),Ft!G$3*((1-Ft!G$7)/(1+Ft!G$39*($A117-Ft!G$2)^2)+Ft!G$7*EXP(Ft!G$40*($A117-Ft!G$2)^2)))</f>
        <v>0</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v>232</v>
      </c>
      <c r="B118">
        <v>12.446662860004992</v>
      </c>
      <c r="C118" s="6">
        <f t="shared" si="3"/>
        <v>12.183397385876624</v>
      </c>
      <c r="D118" s="19">
        <f t="shared" si="4"/>
        <v>6.9308709868034044E-2</v>
      </c>
      <c r="E118" s="3">
        <f>Ft!$B$12+Ft!$B$14*(Data!A118-Vars!$B$3)</f>
        <v>0</v>
      </c>
      <c r="F118" s="3">
        <f>IF(($A118-Ft!B$2)&lt;0,Ft!B$3*((1-Ft!B$6)/(1+Ft!B$37*($A118-Ft!B$2)^2)+Ft!B$6*EXP(Ft!B$38*($A118-Ft!B$2)^2)),Ft!B$3*((1-Ft!B$7)/(1+Ft!B$39*($A118-Ft!B$2)^2)+Ft!B$7*EXP(Ft!B$40*($A118-Ft!B$2)^2)))</f>
        <v>3.473961226625579E-19</v>
      </c>
      <c r="G118" s="3">
        <f>IF(($A118-Ft!C$2)&lt;0,Ft!C$3*((1-Ft!C$6)/(1+Ft!C$37*($A118-Ft!C$2)^2)+Ft!C$6*EXP(Ft!C$38*($A118-Ft!C$2)^2)),Ft!C$3*((1-Ft!C$7)/(1+Ft!C$39*($A118-Ft!C$2)^2)+Ft!C$7*EXP(Ft!C$40*($A118-Ft!C$2)^2)))</f>
        <v>4.9663990268531579</v>
      </c>
      <c r="H118" s="3">
        <f>IF(($A118-Ft!D$2)&lt;0,Ft!D$3*((1-Ft!D$6)/(1+Ft!D$37*($A118-Ft!D$2)^2)+Ft!D$6*EXP(Ft!D$38*($A118-Ft!D$2)^2)),Ft!D$3*((1-Ft!D$7)/(1+Ft!D$39*($A118-Ft!D$2)^2)+Ft!D$7*EXP(Ft!D$40*($A118-Ft!D$2)^2)))</f>
        <v>7.178194916404733</v>
      </c>
      <c r="I118" s="3">
        <f>IF(($A118-Ft!E$2)&lt;0,Ft!E$3*((1-Ft!E$6)/(1+Ft!E$37*($A118-Ft!E$2)^2)+Ft!E$6*EXP(Ft!E$38*($A118-Ft!E$2)^2)),Ft!E$3*((1-Ft!E$7)/(1+Ft!E$39*($A118-Ft!E$2)^2)+Ft!E$7*EXP(Ft!E$40*($A118-Ft!E$2)^2)))</f>
        <v>3.8803442618732906E-2</v>
      </c>
      <c r="J118" s="3">
        <f>IF(($A118-Ft!F$2)&lt;0,Ft!F$3*((1-Ft!F$6)/(1+Ft!F$37*($A118-Ft!F$2)^2)+Ft!F$6*EXP(Ft!F$38*($A118-Ft!F$2)^2)),Ft!F$3*((1-Ft!F$7)/(1+Ft!F$39*($A118-Ft!F$2)^2)+Ft!F$7*EXP(Ft!F$40*($A118-Ft!F$2)^2)))</f>
        <v>2.0322784810422693E-120</v>
      </c>
      <c r="K118" s="3">
        <f>IF(($A118-Ft!G$2)&lt;0,Ft!G$3*((1-Ft!G$6)/(1+Ft!G$37*($A118-Ft!G$2)^2)+Ft!G$6*EXP(Ft!G$38*($A118-Ft!G$2)^2)),Ft!G$3*((1-Ft!G$7)/(1+Ft!G$39*($A118-Ft!G$2)^2)+Ft!G$7*EXP(Ft!G$40*($A118-Ft!G$2)^2)))</f>
        <v>0</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v>234</v>
      </c>
      <c r="B119">
        <v>12.436516026194994</v>
      </c>
      <c r="C119" s="6">
        <f t="shared" si="3"/>
        <v>12.170043614861477</v>
      </c>
      <c r="D119" s="19">
        <f t="shared" si="4"/>
        <v>7.1007546001899E-2</v>
      </c>
      <c r="E119" s="3">
        <f>Ft!$B$12+Ft!$B$14*(Data!A119-Vars!$B$3)</f>
        <v>0</v>
      </c>
      <c r="F119" s="3">
        <f>IF(($A119-Ft!B$2)&lt;0,Ft!B$3*((1-Ft!B$6)/(1+Ft!B$37*($A119-Ft!B$2)^2)+Ft!B$6*EXP(Ft!B$38*($A119-Ft!B$2)^2)),Ft!B$3*((1-Ft!B$7)/(1+Ft!B$39*($A119-Ft!B$2)^2)+Ft!B$7*EXP(Ft!B$40*($A119-Ft!B$2)^2)))</f>
        <v>1.3548153505574461E-19</v>
      </c>
      <c r="G119" s="3">
        <f>IF(($A119-Ft!C$2)&lt;0,Ft!C$3*((1-Ft!C$6)/(1+Ft!C$37*($A119-Ft!C$2)^2)+Ft!C$6*EXP(Ft!C$38*($A119-Ft!C$2)^2)),Ft!C$3*((1-Ft!C$7)/(1+Ft!C$39*($A119-Ft!C$2)^2)+Ft!C$7*EXP(Ft!C$40*($A119-Ft!C$2)^2)))</f>
        <v>4.8251124336031976</v>
      </c>
      <c r="H119" s="3">
        <f>IF(($A119-Ft!D$2)&lt;0,Ft!D$3*((1-Ft!D$6)/(1+Ft!D$37*($A119-Ft!D$2)^2)+Ft!D$6*EXP(Ft!D$38*($A119-Ft!D$2)^2)),Ft!D$3*((1-Ft!D$7)/(1+Ft!D$39*($A119-Ft!D$2)^2)+Ft!D$7*EXP(Ft!D$40*($A119-Ft!D$2)^2)))</f>
        <v>7.3044906121946021</v>
      </c>
      <c r="I119" s="3">
        <f>IF(($A119-Ft!E$2)&lt;0,Ft!E$3*((1-Ft!E$6)/(1+Ft!E$37*($A119-Ft!E$2)^2)+Ft!E$6*EXP(Ft!E$38*($A119-Ft!E$2)^2)),Ft!E$3*((1-Ft!E$7)/(1+Ft!E$39*($A119-Ft!E$2)^2)+Ft!E$7*EXP(Ft!E$40*($A119-Ft!E$2)^2)))</f>
        <v>4.0440569063675942E-2</v>
      </c>
      <c r="J119" s="3">
        <f>IF(($A119-Ft!F$2)&lt;0,Ft!F$3*((1-Ft!F$6)/(1+Ft!F$37*($A119-Ft!F$2)^2)+Ft!F$6*EXP(Ft!F$38*($A119-Ft!F$2)^2)),Ft!F$3*((1-Ft!F$7)/(1+Ft!F$39*($A119-Ft!F$2)^2)+Ft!F$7*EXP(Ft!F$40*($A119-Ft!F$2)^2)))</f>
        <v>8.1338255325186418E-120</v>
      </c>
      <c r="K119" s="3">
        <f>IF(($A119-Ft!G$2)&lt;0,Ft!G$3*((1-Ft!G$6)/(1+Ft!G$37*($A119-Ft!G$2)^2)+Ft!G$6*EXP(Ft!G$38*($A119-Ft!G$2)^2)),Ft!G$3*((1-Ft!G$7)/(1+Ft!G$39*($A119-Ft!G$2)^2)+Ft!G$7*EXP(Ft!G$40*($A119-Ft!G$2)^2)))</f>
        <v>0</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v>236</v>
      </c>
      <c r="B120">
        <v>12.429706634683996</v>
      </c>
      <c r="C120" s="6">
        <f t="shared" si="3"/>
        <v>12.158816284588573</v>
      </c>
      <c r="D120" s="19">
        <f t="shared" si="4"/>
        <v>7.338158177482057E-2</v>
      </c>
      <c r="E120" s="3">
        <f>Ft!$B$12+Ft!$B$14*(Data!A120-Vars!$B$3)</f>
        <v>0</v>
      </c>
      <c r="F120" s="3">
        <f>IF(($A120-Ft!B$2)&lt;0,Ft!B$3*((1-Ft!B$6)/(1+Ft!B$37*($A120-Ft!B$2)^2)+Ft!B$6*EXP(Ft!B$38*($A120-Ft!B$2)^2)),Ft!B$3*((1-Ft!B$7)/(1+Ft!B$39*($A120-Ft!B$2)^2)+Ft!B$7*EXP(Ft!B$40*($A120-Ft!B$2)^2)))</f>
        <v>5.2308461569557065E-20</v>
      </c>
      <c r="G120" s="3">
        <f>IF(($A120-Ft!C$2)&lt;0,Ft!C$3*((1-Ft!C$6)/(1+Ft!C$37*($A120-Ft!C$2)^2)+Ft!C$6*EXP(Ft!C$38*($A120-Ft!C$2)^2)),Ft!C$3*((1-Ft!C$7)/(1+Ft!C$39*($A120-Ft!C$2)^2)+Ft!C$7*EXP(Ft!C$40*($A120-Ft!C$2)^2)))</f>
        <v>4.684931599555596</v>
      </c>
      <c r="H120" s="3">
        <f>IF(($A120-Ft!D$2)&lt;0,Ft!D$3*((1-Ft!D$6)/(1+Ft!D$37*($A120-Ft!D$2)^2)+Ft!D$6*EXP(Ft!D$38*($A120-Ft!D$2)^2)),Ft!D$3*((1-Ft!D$7)/(1+Ft!D$39*($A120-Ft!D$2)^2)+Ft!D$7*EXP(Ft!D$40*($A120-Ft!D$2)^2)))</f>
        <v>7.4317438928358639</v>
      </c>
      <c r="I120" s="3">
        <f>IF(($A120-Ft!E$2)&lt;0,Ft!E$3*((1-Ft!E$6)/(1+Ft!E$37*($A120-Ft!E$2)^2)+Ft!E$6*EXP(Ft!E$38*($A120-Ft!E$2)^2)),Ft!E$3*((1-Ft!E$7)/(1+Ft!E$39*($A120-Ft!E$2)^2)+Ft!E$7*EXP(Ft!E$40*($A120-Ft!E$2)^2)))</f>
        <v>4.214079219711258E-2</v>
      </c>
      <c r="J120" s="3">
        <f>IF(($A120-Ft!F$2)&lt;0,Ft!F$3*((1-Ft!F$6)/(1+Ft!F$37*($A120-Ft!F$2)^2)+Ft!F$6*EXP(Ft!F$38*($A120-Ft!F$2)^2)),Ft!F$3*((1-Ft!F$7)/(1+Ft!F$39*($A120-Ft!F$2)^2)+Ft!F$7*EXP(Ft!F$40*($A120-Ft!F$2)^2)))</f>
        <v>3.2441256644260001E-119</v>
      </c>
      <c r="K120" s="3">
        <f>IF(($A120-Ft!G$2)&lt;0,Ft!G$3*((1-Ft!G$6)/(1+Ft!G$37*($A120-Ft!G$2)^2)+Ft!G$6*EXP(Ft!G$38*($A120-Ft!G$2)^2)),Ft!G$3*((1-Ft!G$7)/(1+Ft!G$39*($A120-Ft!G$2)^2)+Ft!G$7*EXP(Ft!G$40*($A120-Ft!G$2)^2)))</f>
        <v>0</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v>238</v>
      </c>
      <c r="B121">
        <v>12.424248013132996</v>
      </c>
      <c r="C121" s="6">
        <f t="shared" si="3"/>
        <v>12.149830160901312</v>
      </c>
      <c r="D121" s="19">
        <f t="shared" si="4"/>
        <v>7.5305157623450372E-2</v>
      </c>
      <c r="E121" s="3">
        <f>Ft!$B$12+Ft!$B$14*(Data!A121-Vars!$B$3)</f>
        <v>0</v>
      </c>
      <c r="F121" s="3">
        <f>IF(($A121-Ft!B$2)&lt;0,Ft!B$3*((1-Ft!B$6)/(1+Ft!B$37*($A121-Ft!B$2)^2)+Ft!B$6*EXP(Ft!B$38*($A121-Ft!B$2)^2)),Ft!B$3*((1-Ft!B$7)/(1+Ft!B$39*($A121-Ft!B$2)^2)+Ft!B$7*EXP(Ft!B$40*($A121-Ft!B$2)^2)))</f>
        <v>1.9994036594388766E-20</v>
      </c>
      <c r="G121" s="3">
        <f>IF(($A121-Ft!C$2)&lt;0,Ft!C$3*((1-Ft!C$6)/(1+Ft!C$37*($A121-Ft!C$2)^2)+Ft!C$6*EXP(Ft!C$38*($A121-Ft!C$2)^2)),Ft!C$3*((1-Ft!C$7)/(1+Ft!C$39*($A121-Ft!C$2)^2)+Ft!C$7*EXP(Ft!C$40*($A121-Ft!C$2)^2)))</f>
        <v>4.5459961215158113</v>
      </c>
      <c r="H121" s="3">
        <f>IF(($A121-Ft!D$2)&lt;0,Ft!D$3*((1-Ft!D$6)/(1+Ft!D$37*($A121-Ft!D$2)^2)+Ft!D$6*EXP(Ft!D$38*($A121-Ft!D$2)^2)),Ft!D$3*((1-Ft!D$7)/(1+Ft!D$39*($A121-Ft!D$2)^2)+Ft!D$7*EXP(Ft!D$40*($A121-Ft!D$2)^2)))</f>
        <v>7.5599277667491727</v>
      </c>
      <c r="I121" s="3">
        <f>IF(($A121-Ft!E$2)&lt;0,Ft!E$3*((1-Ft!E$6)/(1+Ft!E$37*($A121-Ft!E$2)^2)+Ft!E$6*EXP(Ft!E$38*($A121-Ft!E$2)^2)),Ft!E$3*((1-Ft!E$7)/(1+Ft!E$39*($A121-Ft!E$2)^2)+Ft!E$7*EXP(Ft!E$40*($A121-Ft!E$2)^2)))</f>
        <v>4.3906272636326654E-2</v>
      </c>
      <c r="J121" s="3">
        <f>IF(($A121-Ft!F$2)&lt;0,Ft!F$3*((1-Ft!F$6)/(1+Ft!F$37*($A121-Ft!F$2)^2)+Ft!F$6*EXP(Ft!F$38*($A121-Ft!F$2)^2)),Ft!F$3*((1-Ft!F$7)/(1+Ft!F$39*($A121-Ft!F$2)^2)+Ft!F$7*EXP(Ft!F$40*($A121-Ft!F$2)^2)))</f>
        <v>1.2894118778649124E-118</v>
      </c>
      <c r="K121" s="3">
        <f>IF(($A121-Ft!G$2)&lt;0,Ft!G$3*((1-Ft!G$6)/(1+Ft!G$37*($A121-Ft!G$2)^2)+Ft!G$6*EXP(Ft!G$38*($A121-Ft!G$2)^2)),Ft!G$3*((1-Ft!G$7)/(1+Ft!G$39*($A121-Ft!G$2)^2)+Ft!G$7*EXP(Ft!G$40*($A121-Ft!G$2)^2)))</f>
        <v>0</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v>240</v>
      </c>
      <c r="B122">
        <v>12.417896327680992</v>
      </c>
      <c r="C122" s="6">
        <f t="shared" si="3"/>
        <v>12.143192740257039</v>
      </c>
      <c r="D122" s="19">
        <f t="shared" si="4"/>
        <v>7.5462060943589732E-2</v>
      </c>
      <c r="E122" s="3">
        <f>Ft!$B$12+Ft!$B$14*(Data!A122-Vars!$B$3)</f>
        <v>0</v>
      </c>
      <c r="F122" s="3">
        <f>IF(($A122-Ft!B$2)&lt;0,Ft!B$3*((1-Ft!B$6)/(1+Ft!B$37*($A122-Ft!B$2)^2)+Ft!B$6*EXP(Ft!B$38*($A122-Ft!B$2)^2)),Ft!B$3*((1-Ft!B$7)/(1+Ft!B$39*($A122-Ft!B$2)^2)+Ft!B$7*EXP(Ft!B$40*($A122-Ft!B$2)^2)))</f>
        <v>7.5659891607686468E-21</v>
      </c>
      <c r="G122" s="3">
        <f>IF(($A122-Ft!C$2)&lt;0,Ft!C$3*((1-Ft!C$6)/(1+Ft!C$37*($A122-Ft!C$2)^2)+Ft!C$6*EXP(Ft!C$38*($A122-Ft!C$2)^2)),Ft!C$3*((1-Ft!C$7)/(1+Ft!C$39*($A122-Ft!C$2)^2)+Ft!C$7*EXP(Ft!C$40*($A122-Ft!C$2)^2)))</f>
        <v>4.4084392114628859</v>
      </c>
      <c r="H122" s="3">
        <f>IF(($A122-Ft!D$2)&lt;0,Ft!D$3*((1-Ft!D$6)/(1+Ft!D$37*($A122-Ft!D$2)^2)+Ft!D$6*EXP(Ft!D$38*($A122-Ft!D$2)^2)),Ft!D$3*((1-Ft!D$7)/(1+Ft!D$39*($A122-Ft!D$2)^2)+Ft!D$7*EXP(Ft!D$40*($A122-Ft!D$2)^2)))</f>
        <v>7.6890142954481391</v>
      </c>
      <c r="I122" s="3">
        <f>IF(($A122-Ft!E$2)&lt;0,Ft!E$3*((1-Ft!E$6)/(1+Ft!E$37*($A122-Ft!E$2)^2)+Ft!E$6*EXP(Ft!E$38*($A122-Ft!E$2)^2)),Ft!E$3*((1-Ft!E$7)/(1+Ft!E$39*($A122-Ft!E$2)^2)+Ft!E$7*EXP(Ft!E$40*($A122-Ft!E$2)^2)))</f>
        <v>4.5739233346013715E-2</v>
      </c>
      <c r="J122" s="3">
        <f>IF(($A122-Ft!F$2)&lt;0,Ft!F$3*((1-Ft!F$6)/(1+Ft!F$37*($A122-Ft!F$2)^2)+Ft!F$6*EXP(Ft!F$38*($A122-Ft!F$2)^2)),Ft!F$3*((1-Ft!F$7)/(1+Ft!F$39*($A122-Ft!F$2)^2)+Ft!F$7*EXP(Ft!F$40*($A122-Ft!F$2)^2)))</f>
        <v>5.107129217859234E-118</v>
      </c>
      <c r="K122" s="3">
        <f>IF(($A122-Ft!G$2)&lt;0,Ft!G$3*((1-Ft!G$6)/(1+Ft!G$37*($A122-Ft!G$2)^2)+Ft!G$6*EXP(Ft!G$38*($A122-Ft!G$2)^2)),Ft!G$3*((1-Ft!G$7)/(1+Ft!G$39*($A122-Ft!G$2)^2)+Ft!G$7*EXP(Ft!G$40*($A122-Ft!G$2)^2)))</f>
        <v>0</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v>242</v>
      </c>
      <c r="B123">
        <v>12.411267135026989</v>
      </c>
      <c r="C123" s="6">
        <f t="shared" si="3"/>
        <v>12.139004117008421</v>
      </c>
      <c r="D123" s="19">
        <f t="shared" si="4"/>
        <v>7.4127150980579384E-2</v>
      </c>
      <c r="E123" s="3">
        <f>Ft!$B$12+Ft!$B$14*(Data!A123-Vars!$B$3)</f>
        <v>0</v>
      </c>
      <c r="F123" s="3">
        <f>IF(($A123-Ft!B$2)&lt;0,Ft!B$3*((1-Ft!B$6)/(1+Ft!B$37*($A123-Ft!B$2)^2)+Ft!B$6*EXP(Ft!B$38*($A123-Ft!B$2)^2)),Ft!B$3*((1-Ft!B$7)/(1+Ft!B$39*($A123-Ft!B$2)^2)+Ft!B$7*EXP(Ft!B$40*($A123-Ft!B$2)^2)))</f>
        <v>2.8344424506472579E-21</v>
      </c>
      <c r="G123" s="3">
        <f>IF(($A123-Ft!C$2)&lt;0,Ft!C$3*((1-Ft!C$6)/(1+Ft!C$37*($A123-Ft!C$2)^2)+Ft!C$6*EXP(Ft!C$38*($A123-Ft!C$2)^2)),Ft!C$3*((1-Ft!C$7)/(1+Ft!C$39*($A123-Ft!C$2)^2)+Ft!C$7*EXP(Ft!C$40*($A123-Ft!C$2)^2)))</f>
        <v>4.2723875596626053</v>
      </c>
      <c r="H123" s="3">
        <f>IF(($A123-Ft!D$2)&lt;0,Ft!D$3*((1-Ft!D$6)/(1+Ft!D$37*($A123-Ft!D$2)^2)+Ft!D$6*EXP(Ft!D$38*($A123-Ft!D$2)^2)),Ft!D$3*((1-Ft!D$7)/(1+Ft!D$39*($A123-Ft!D$2)^2)+Ft!D$7*EXP(Ft!D$40*($A123-Ft!D$2)^2)))</f>
        <v>7.8189745963821711</v>
      </c>
      <c r="I123" s="3">
        <f>IF(($A123-Ft!E$2)&lt;0,Ft!E$3*((1-Ft!E$6)/(1+Ft!E$37*($A123-Ft!E$2)^2)+Ft!E$6*EXP(Ft!E$38*($A123-Ft!E$2)^2)),Ft!E$3*((1-Ft!E$7)/(1+Ft!E$39*($A123-Ft!E$2)^2)+Ft!E$7*EXP(Ft!E$40*($A123-Ft!E$2)^2)))</f>
        <v>4.764196096364369E-2</v>
      </c>
      <c r="J123" s="3">
        <f>IF(($A123-Ft!F$2)&lt;0,Ft!F$3*((1-Ft!F$6)/(1+Ft!F$37*($A123-Ft!F$2)^2)+Ft!F$6*EXP(Ft!F$38*($A123-Ft!F$2)^2)),Ft!F$3*((1-Ft!F$7)/(1+Ft!F$39*($A123-Ft!F$2)^2)+Ft!F$7*EXP(Ft!F$40*($A123-Ft!F$2)^2)))</f>
        <v>2.0158267681348055E-117</v>
      </c>
      <c r="K123" s="3">
        <f>IF(($A123-Ft!G$2)&lt;0,Ft!G$3*((1-Ft!G$6)/(1+Ft!G$37*($A123-Ft!G$2)^2)+Ft!G$6*EXP(Ft!G$38*($A123-Ft!G$2)^2)),Ft!G$3*((1-Ft!G$7)/(1+Ft!G$39*($A123-Ft!G$2)^2)+Ft!G$7*EXP(Ft!G$40*($A123-Ft!G$2)^2)))</f>
        <v>0</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v>244</v>
      </c>
      <c r="B124">
        <v>12.404975991870998</v>
      </c>
      <c r="C124" s="6">
        <f t="shared" si="3"/>
        <v>12.137356875609436</v>
      </c>
      <c r="D124" s="19">
        <f t="shared" si="4"/>
        <v>7.1619991388619436E-2</v>
      </c>
      <c r="E124" s="3">
        <f>Ft!$B$12+Ft!$B$14*(Data!A124-Vars!$B$3)</f>
        <v>0</v>
      </c>
      <c r="F124" s="3">
        <f>IF(($A124-Ft!B$2)&lt;0,Ft!B$3*((1-Ft!B$6)/(1+Ft!B$37*($A124-Ft!B$2)^2)+Ft!B$6*EXP(Ft!B$38*($A124-Ft!B$2)^2)),Ft!B$3*((1-Ft!B$7)/(1+Ft!B$39*($A124-Ft!B$2)^2)+Ft!B$7*EXP(Ft!B$40*($A124-Ft!B$2)^2)))</f>
        <v>1.0512506306961115E-21</v>
      </c>
      <c r="G124" s="3">
        <f>IF(($A124-Ft!C$2)&lt;0,Ft!C$3*((1-Ft!C$6)/(1+Ft!C$37*($A124-Ft!C$2)^2)+Ft!C$6*EXP(Ft!C$38*($A124-Ft!C$2)^2)),Ft!C$3*((1-Ft!C$7)/(1+Ft!C$39*($A124-Ft!C$2)^2)+Ft!C$7*EXP(Ft!C$40*($A124-Ft!C$2)^2)))</f>
        <v>4.1379612218373429</v>
      </c>
      <c r="H124" s="3">
        <f>IF(($A124-Ft!D$2)&lt;0,Ft!D$3*((1-Ft!D$6)/(1+Ft!D$37*($A124-Ft!D$2)^2)+Ft!D$6*EXP(Ft!D$38*($A124-Ft!D$2)^2)),Ft!D$3*((1-Ft!D$7)/(1+Ft!D$39*($A124-Ft!D$2)^2)+Ft!D$7*EXP(Ft!D$40*($A124-Ft!D$2)^2)))</f>
        <v>7.9497788466379058</v>
      </c>
      <c r="I124" s="3">
        <f>IF(($A124-Ft!E$2)&lt;0,Ft!E$3*((1-Ft!E$6)/(1+Ft!E$37*($A124-Ft!E$2)^2)+Ft!E$6*EXP(Ft!E$38*($A124-Ft!E$2)^2)),Ft!E$3*((1-Ft!E$7)/(1+Ft!E$39*($A124-Ft!E$2)^2)+Ft!E$7*EXP(Ft!E$40*($A124-Ft!E$2)^2)))</f>
        <v>4.9616807134187105E-2</v>
      </c>
      <c r="J124" s="3">
        <f>IF(($A124-Ft!F$2)&lt;0,Ft!F$3*((1-Ft!F$6)/(1+Ft!F$37*($A124-Ft!F$2)^2)+Ft!F$6*EXP(Ft!F$38*($A124-Ft!F$2)^2)),Ft!F$3*((1-Ft!F$7)/(1+Ft!F$39*($A124-Ft!F$2)^2)+Ft!F$7*EXP(Ft!F$40*($A124-Ft!F$2)^2)))</f>
        <v>7.9290426039214658E-117</v>
      </c>
      <c r="K124" s="3">
        <f>IF(($A124-Ft!G$2)&lt;0,Ft!G$3*((1-Ft!G$6)/(1+Ft!G$37*($A124-Ft!G$2)^2)+Ft!G$6*EXP(Ft!G$38*($A124-Ft!G$2)^2)),Ft!G$3*((1-Ft!G$7)/(1+Ft!G$39*($A124-Ft!G$2)^2)+Ft!G$7*EXP(Ft!G$40*($A124-Ft!G$2)^2)))</f>
        <v>0</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v>246</v>
      </c>
      <c r="B125">
        <v>12.399638454913998</v>
      </c>
      <c r="C125" s="6">
        <f t="shared" si="3"/>
        <v>12.138336007442673</v>
      </c>
      <c r="D125" s="19">
        <f t="shared" si="4"/>
        <v>6.827896905450434E-2</v>
      </c>
      <c r="E125" s="3">
        <f>Ft!$B$12+Ft!$B$14*(Data!A125-Vars!$B$3)</f>
        <v>0</v>
      </c>
      <c r="F125" s="3">
        <f>IF(($A125-Ft!B$2)&lt;0,Ft!B$3*((1-Ft!B$6)/(1+Ft!B$37*($A125-Ft!B$2)^2)+Ft!B$6*EXP(Ft!B$38*($A125-Ft!B$2)^2)),Ft!B$3*((1-Ft!B$7)/(1+Ft!B$39*($A125-Ft!B$2)^2)+Ft!B$7*EXP(Ft!B$40*($A125-Ft!B$2)^2)))</f>
        <v>3.859949224597737E-22</v>
      </c>
      <c r="G125" s="3">
        <f>IF(($A125-Ft!C$2)&lt;0,Ft!C$3*((1-Ft!C$6)/(1+Ft!C$37*($A125-Ft!C$2)^2)+Ft!C$6*EXP(Ft!C$38*($A125-Ft!C$2)^2)),Ft!C$3*((1-Ft!C$7)/(1+Ft!C$39*($A125-Ft!C$2)^2)+Ft!C$7*EXP(Ft!C$40*($A125-Ft!C$2)^2)))</f>
        <v>4.0052735300791067</v>
      </c>
      <c r="H125" s="3">
        <f>IF(($A125-Ft!D$2)&lt;0,Ft!D$3*((1-Ft!D$6)/(1+Ft!D$37*($A125-Ft!D$2)^2)+Ft!D$6*EXP(Ft!D$38*($A125-Ft!D$2)^2)),Ft!D$3*((1-Ft!D$7)/(1+Ft!D$39*($A125-Ft!D$2)^2)+Ft!D$7*EXP(Ft!D$40*($A125-Ft!D$2)^2)))</f>
        <v>8.0813962875101275</v>
      </c>
      <c r="I125" s="3">
        <f>IF(($A125-Ft!E$2)&lt;0,Ft!E$3*((1-Ft!E$6)/(1+Ft!E$37*($A125-Ft!E$2)^2)+Ft!E$6*EXP(Ft!E$38*($A125-Ft!E$2)^2)),Ft!E$3*((1-Ft!E$7)/(1+Ft!E$39*($A125-Ft!E$2)^2)+Ft!E$7*EXP(Ft!E$40*($A125-Ft!E$2)^2)))</f>
        <v>5.1666189853437967E-2</v>
      </c>
      <c r="J125" s="3">
        <f>IF(($A125-Ft!F$2)&lt;0,Ft!F$3*((1-Ft!F$6)/(1+Ft!F$37*($A125-Ft!F$2)^2)+Ft!F$6*EXP(Ft!F$38*($A125-Ft!F$2)^2)),Ft!F$3*((1-Ft!F$7)/(1+Ft!F$39*($A125-Ft!F$2)^2)+Ft!F$7*EXP(Ft!F$40*($A125-Ft!F$2)^2)))</f>
        <v>3.1079890265416393E-116</v>
      </c>
      <c r="K125" s="3">
        <f>IF(($A125-Ft!G$2)&lt;0,Ft!G$3*((1-Ft!G$6)/(1+Ft!G$37*($A125-Ft!G$2)^2)+Ft!G$6*EXP(Ft!G$38*($A125-Ft!G$2)^2)),Ft!G$3*((1-Ft!G$7)/(1+Ft!G$39*($A125-Ft!G$2)^2)+Ft!G$7*EXP(Ft!G$40*($A125-Ft!G$2)^2)))</f>
        <v>0</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v>248</v>
      </c>
      <c r="B126">
        <v>12.395870080853996</v>
      </c>
      <c r="C126" s="6">
        <f t="shared" si="3"/>
        <v>12.142018851871493</v>
      </c>
      <c r="D126" s="19">
        <f t="shared" si="4"/>
        <v>6.4440446455927294E-2</v>
      </c>
      <c r="E126" s="3">
        <f>Ft!$B$12+Ft!$B$14*(Data!A126-Vars!$B$3)</f>
        <v>0</v>
      </c>
      <c r="F126" s="3">
        <f>IF(($A126-Ft!B$2)&lt;0,Ft!B$3*((1-Ft!B$6)/(1+Ft!B$37*($A126-Ft!B$2)^2)+Ft!B$6*EXP(Ft!B$38*($A126-Ft!B$2)^2)),Ft!B$3*((1-Ft!B$7)/(1+Ft!B$39*($A126-Ft!B$2)^2)+Ft!B$7*EXP(Ft!B$40*($A126-Ft!B$2)^2)))</f>
        <v>1.4031161100041873E-22</v>
      </c>
      <c r="G126" s="3">
        <f>IF(($A126-Ft!C$2)&lt;0,Ft!C$3*((1-Ft!C$6)/(1+Ft!C$37*($A126-Ft!C$2)^2)+Ft!C$6*EXP(Ft!C$38*($A126-Ft!C$2)^2)),Ft!C$3*((1-Ft!C$7)/(1+Ft!C$39*($A126-Ft!C$2)^2)+Ft!C$7*EXP(Ft!C$40*($A126-Ft!C$2)^2)))</f>
        <v>3.874431027100226</v>
      </c>
      <c r="H126" s="3">
        <f>IF(($A126-Ft!D$2)&lt;0,Ft!D$3*((1-Ft!D$6)/(1+Ft!D$37*($A126-Ft!D$2)^2)+Ft!D$6*EXP(Ft!D$38*($A126-Ft!D$2)^2)),Ft!D$3*((1-Ft!D$7)/(1+Ft!D$39*($A126-Ft!D$2)^2)+Ft!D$7*EXP(Ft!D$40*($A126-Ft!D$2)^2)))</f>
        <v>8.2137952299521437</v>
      </c>
      <c r="I126" s="3">
        <f>IF(($A126-Ft!E$2)&lt;0,Ft!E$3*((1-Ft!E$6)/(1+Ft!E$37*($A126-Ft!E$2)^2)+Ft!E$6*EXP(Ft!E$38*($A126-Ft!E$2)^2)),Ft!E$3*((1-Ft!E$7)/(1+Ft!E$39*($A126-Ft!E$2)^2)+Ft!E$7*EXP(Ft!E$40*($A126-Ft!E$2)^2)))</f>
        <v>5.3792594819124212E-2</v>
      </c>
      <c r="J126" s="3">
        <f>IF(($A126-Ft!F$2)&lt;0,Ft!F$3*((1-Ft!F$6)/(1+Ft!F$37*($A126-Ft!F$2)^2)+Ft!F$6*EXP(Ft!F$38*($A126-Ft!F$2)^2)),Ft!F$3*((1-Ft!F$7)/(1+Ft!F$39*($A126-Ft!F$2)^2)+Ft!F$7*EXP(Ft!F$40*($A126-Ft!F$2)^2)))</f>
        <v>1.2140299028473182E-115</v>
      </c>
      <c r="K126" s="3">
        <f>IF(($A126-Ft!G$2)&lt;0,Ft!G$3*((1-Ft!G$6)/(1+Ft!G$37*($A126-Ft!G$2)^2)+Ft!G$6*EXP(Ft!G$38*($A126-Ft!G$2)^2)),Ft!G$3*((1-Ft!G$7)/(1+Ft!G$39*($A126-Ft!G$2)^2)+Ft!G$7*EXP(Ft!G$40*($A126-Ft!G$2)^2)))</f>
        <v>0</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v>250</v>
      </c>
      <c r="B127">
        <v>12.394286426392995</v>
      </c>
      <c r="C127" s="6">
        <f t="shared" si="3"/>
        <v>12.14847506103248</v>
      </c>
      <c r="D127" s="19">
        <f t="shared" si="4"/>
        <v>6.0423227340400572E-2</v>
      </c>
      <c r="E127" s="3">
        <f>Ft!$B$12+Ft!$B$14*(Data!A127-Vars!$B$3)</f>
        <v>0</v>
      </c>
      <c r="F127" s="3">
        <f>IF(($A127-Ft!B$2)&lt;0,Ft!B$3*((1-Ft!B$6)/(1+Ft!B$37*($A127-Ft!B$2)^2)+Ft!B$6*EXP(Ft!B$38*($A127-Ft!B$2)^2)),Ft!B$3*((1-Ft!B$7)/(1+Ft!B$39*($A127-Ft!B$2)^2)+Ft!B$7*EXP(Ft!B$40*($A127-Ft!B$2)^2)))</f>
        <v>5.0494296637634311E-23</v>
      </c>
      <c r="G127" s="3">
        <f>IF(($A127-Ft!C$2)&lt;0,Ft!C$3*((1-Ft!C$6)/(1+Ft!C$37*($A127-Ft!C$2)^2)+Ft!C$6*EXP(Ft!C$38*($A127-Ft!C$2)^2)),Ft!C$3*((1-Ft!C$7)/(1+Ft!C$39*($A127-Ft!C$2)^2)+Ft!C$7*EXP(Ft!C$40*($A127-Ft!C$2)^2)))</f>
        <v>3.7455334233288125</v>
      </c>
      <c r="H127" s="3">
        <f>IF(($A127-Ft!D$2)&lt;0,Ft!D$3*((1-Ft!D$6)/(1+Ft!D$37*($A127-Ft!D$2)^2)+Ft!D$6*EXP(Ft!D$38*($A127-Ft!D$2)^2)),Ft!D$3*((1-Ft!D$7)/(1+Ft!D$39*($A127-Ft!D$2)^2)+Ft!D$7*EXP(Ft!D$40*($A127-Ft!D$2)^2)))</f>
        <v>8.3469430609147111</v>
      </c>
      <c r="I127" s="3">
        <f>IF(($A127-Ft!E$2)&lt;0,Ft!E$3*((1-Ft!E$6)/(1+Ft!E$37*($A127-Ft!E$2)^2)+Ft!E$6*EXP(Ft!E$38*($A127-Ft!E$2)^2)),Ft!E$3*((1-Ft!E$7)/(1+Ft!E$39*($A127-Ft!E$2)^2)+Ft!E$7*EXP(Ft!E$40*($A127-Ft!E$2)^2)))</f>
        <v>5.5998576788956145E-2</v>
      </c>
      <c r="J127" s="3">
        <f>IF(($A127-Ft!F$2)&lt;0,Ft!F$3*((1-Ft!F$6)/(1+Ft!F$37*($A127-Ft!F$2)^2)+Ft!F$6*EXP(Ft!F$38*($A127-Ft!F$2)^2)),Ft!F$3*((1-Ft!F$7)/(1+Ft!F$39*($A127-Ft!F$2)^2)+Ft!F$7*EXP(Ft!F$40*($A127-Ft!F$2)^2)))</f>
        <v>4.7257470633933757E-115</v>
      </c>
      <c r="K127" s="3">
        <f>IF(($A127-Ft!G$2)&lt;0,Ft!G$3*((1-Ft!G$6)/(1+Ft!G$37*($A127-Ft!G$2)^2)+Ft!G$6*EXP(Ft!G$38*($A127-Ft!G$2)^2)),Ft!G$3*((1-Ft!G$7)/(1+Ft!G$39*($A127-Ft!G$2)^2)+Ft!G$7*EXP(Ft!G$40*($A127-Ft!G$2)^2)))</f>
        <v>0</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v>252</v>
      </c>
      <c r="B128">
        <v>12.395503048229997</v>
      </c>
      <c r="C128" s="6">
        <f t="shared" si="3"/>
        <v>12.157766587800499</v>
      </c>
      <c r="D128" s="19">
        <f t="shared" si="4"/>
        <v>5.6518624617546705E-2</v>
      </c>
      <c r="E128" s="3">
        <f>Ft!$B$12+Ft!$B$14*(Data!A128-Vars!$B$3)</f>
        <v>0</v>
      </c>
      <c r="F128" s="3">
        <f>IF(($A128-Ft!B$2)&lt;0,Ft!B$3*((1-Ft!B$6)/(1+Ft!B$37*($A128-Ft!B$2)^2)+Ft!B$6*EXP(Ft!B$38*($A128-Ft!B$2)^2)),Ft!B$3*((1-Ft!B$7)/(1+Ft!B$39*($A128-Ft!B$2)^2)+Ft!B$7*EXP(Ft!B$40*($A128-Ft!B$2)^2)))</f>
        <v>1.7989858186912241E-23</v>
      </c>
      <c r="G128" s="3">
        <f>IF(($A128-Ft!C$2)&lt;0,Ft!C$3*((1-Ft!C$6)/(1+Ft!C$37*($A128-Ft!C$2)^2)+Ft!C$6*EXP(Ft!C$38*($A128-Ft!C$2)^2)),Ft!C$3*((1-Ft!C$7)/(1+Ft!C$39*($A128-Ft!C$2)^2)+Ft!C$7*EXP(Ft!C$40*($A128-Ft!C$2)^2)))</f>
        <v>3.618673576274051</v>
      </c>
      <c r="H128" s="3">
        <f>IF(($A128-Ft!D$2)&lt;0,Ft!D$3*((1-Ft!D$6)/(1+Ft!D$37*($A128-Ft!D$2)^2)+Ft!D$6*EXP(Ft!D$38*($A128-Ft!D$2)^2)),Ft!D$3*((1-Ft!D$7)/(1+Ft!D$39*($A128-Ft!D$2)^2)+Ft!D$7*EXP(Ft!D$40*($A128-Ft!D$2)^2)))</f>
        <v>8.4808062505817272</v>
      </c>
      <c r="I128" s="3">
        <f>IF(($A128-Ft!E$2)&lt;0,Ft!E$3*((1-Ft!E$6)/(1+Ft!E$37*($A128-Ft!E$2)^2)+Ft!E$6*EXP(Ft!E$38*($A128-Ft!E$2)^2)),Ft!E$3*((1-Ft!E$7)/(1+Ft!E$39*($A128-Ft!E$2)^2)+Ft!E$7*EXP(Ft!E$40*($A128-Ft!E$2)^2)))</f>
        <v>5.8286760944721176E-2</v>
      </c>
      <c r="J128" s="3">
        <f>IF(($A128-Ft!F$2)&lt;0,Ft!F$3*((1-Ft!F$6)/(1+Ft!F$37*($A128-Ft!F$2)^2)+Ft!F$6*EXP(Ft!F$38*($A128-Ft!F$2)^2)),Ft!F$3*((1-Ft!F$7)/(1+Ft!F$39*($A128-Ft!F$2)^2)+Ft!F$7*EXP(Ft!F$40*($A128-Ft!F$2)^2)))</f>
        <v>1.8331700117336872E-114</v>
      </c>
      <c r="K128" s="3">
        <f>IF(($A128-Ft!G$2)&lt;0,Ft!G$3*((1-Ft!G$6)/(1+Ft!G$37*($A128-Ft!G$2)^2)+Ft!G$6*EXP(Ft!G$38*($A128-Ft!G$2)^2)),Ft!G$3*((1-Ft!G$7)/(1+Ft!G$39*($A128-Ft!G$2)^2)+Ft!G$7*EXP(Ft!G$40*($A128-Ft!G$2)^2)))</f>
        <v>0</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v>254</v>
      </c>
      <c r="B129">
        <v>12.399443101185994</v>
      </c>
      <c r="C129" s="6">
        <f t="shared" si="3"/>
        <v>12.16994769628111</v>
      </c>
      <c r="D129" s="19">
        <f t="shared" si="4"/>
        <v>5.2668140872456991E-2</v>
      </c>
      <c r="E129" s="3">
        <f>Ft!$B$12+Ft!$B$14*(Data!A129-Vars!$B$3)</f>
        <v>0</v>
      </c>
      <c r="F129" s="3">
        <f>IF(($A129-Ft!B$2)&lt;0,Ft!B$3*((1-Ft!B$6)/(1+Ft!B$37*($A129-Ft!B$2)^2)+Ft!B$6*EXP(Ft!B$38*($A129-Ft!B$2)^2)),Ft!B$3*((1-Ft!B$7)/(1+Ft!B$39*($A129-Ft!B$2)^2)+Ft!B$7*EXP(Ft!B$40*($A129-Ft!B$2)^2)))</f>
        <v>6.3452662413595582E-24</v>
      </c>
      <c r="G129" s="3">
        <f>IF(($A129-Ft!C$2)&lt;0,Ft!C$3*((1-Ft!C$6)/(1+Ft!C$37*($A129-Ft!C$2)^2)+Ft!C$6*EXP(Ft!C$38*($A129-Ft!C$2)^2)),Ft!C$3*((1-Ft!C$7)/(1+Ft!C$39*($A129-Ft!C$2)^2)+Ft!C$7*EXP(Ft!C$40*($A129-Ft!C$2)^2)))</f>
        <v>3.4939374915097101</v>
      </c>
      <c r="H129" s="3">
        <f>IF(($A129-Ft!D$2)&lt;0,Ft!D$3*((1-Ft!D$6)/(1+Ft!D$37*($A129-Ft!D$2)^2)+Ft!D$6*EXP(Ft!D$38*($A129-Ft!D$2)^2)),Ft!D$3*((1-Ft!D$7)/(1+Ft!D$39*($A129-Ft!D$2)^2)+Ft!D$7*EXP(Ft!D$40*($A129-Ft!D$2)^2)))</f>
        <v>8.6153503605099093</v>
      </c>
      <c r="I129" s="3">
        <f>IF(($A129-Ft!E$2)&lt;0,Ft!E$3*((1-Ft!E$6)/(1+Ft!E$37*($A129-Ft!E$2)^2)+Ft!E$6*EXP(Ft!E$38*($A129-Ft!E$2)^2)),Ft!E$3*((1-Ft!E$7)/(1+Ft!E$39*($A129-Ft!E$2)^2)+Ft!E$7*EXP(Ft!E$40*($A129-Ft!E$2)^2)))</f>
        <v>6.0659844261489501E-2</v>
      </c>
      <c r="J129" s="3">
        <f>IF(($A129-Ft!F$2)&lt;0,Ft!F$3*((1-Ft!F$6)/(1+Ft!F$37*($A129-Ft!F$2)^2)+Ft!F$6*EXP(Ft!F$38*($A129-Ft!F$2)^2)),Ft!F$3*((1-Ft!F$7)/(1+Ft!F$39*($A129-Ft!F$2)^2)+Ft!F$7*EXP(Ft!F$40*($A129-Ft!F$2)^2)))</f>
        <v>7.0864087146971732E-114</v>
      </c>
      <c r="K129" s="3">
        <f>IF(($A129-Ft!G$2)&lt;0,Ft!G$3*((1-Ft!G$6)/(1+Ft!G$37*($A129-Ft!G$2)^2)+Ft!G$6*EXP(Ft!G$38*($A129-Ft!G$2)^2)),Ft!G$3*((1-Ft!G$7)/(1+Ft!G$39*($A129-Ft!G$2)^2)+Ft!G$7*EXP(Ft!G$40*($A129-Ft!G$2)^2)))</f>
        <v>0</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v>256</v>
      </c>
      <c r="B130">
        <v>12.402688099304996</v>
      </c>
      <c r="C130" s="6">
        <f t="shared" si="3"/>
        <v>12.185064994112953</v>
      </c>
      <c r="D130" s="19">
        <f t="shared" si="4"/>
        <v>4.7359815913427097E-2</v>
      </c>
      <c r="E130" s="3">
        <f>Ft!$B$12+Ft!$B$14*(Data!A130-Vars!$B$3)</f>
        <v>0</v>
      </c>
      <c r="F130" s="3">
        <f>IF(($A130-Ft!B$2)&lt;0,Ft!B$3*((1-Ft!B$6)/(1+Ft!B$37*($A130-Ft!B$2)^2)+Ft!B$6*EXP(Ft!B$38*($A130-Ft!B$2)^2)),Ft!B$3*((1-Ft!B$7)/(1+Ft!B$39*($A130-Ft!B$2)^2)+Ft!B$7*EXP(Ft!B$40*($A130-Ft!B$2)^2)))</f>
        <v>2.2156882557839005E-24</v>
      </c>
      <c r="G130" s="3">
        <f>IF(($A130-Ft!C$2)&lt;0,Ft!C$3*((1-Ft!C$6)/(1+Ft!C$37*($A130-Ft!C$2)^2)+Ft!C$6*EXP(Ft!C$38*($A130-Ft!C$2)^2)),Ft!C$3*((1-Ft!C$7)/(1+Ft!C$39*($A130-Ft!C$2)^2)+Ft!C$7*EXP(Ft!C$40*($A130-Ft!C$2)^2)))</f>
        <v>3.371404344553258</v>
      </c>
      <c r="H130" s="3">
        <f>IF(($A130-Ft!D$2)&lt;0,Ft!D$3*((1-Ft!D$6)/(1+Ft!D$37*($A130-Ft!D$2)^2)+Ft!D$6*EXP(Ft!D$38*($A130-Ft!D$2)^2)),Ft!D$3*((1-Ft!D$7)/(1+Ft!D$39*($A130-Ft!D$2)^2)+Ft!D$7*EXP(Ft!D$40*($A130-Ft!D$2)^2)))</f>
        <v>8.7505400526787405</v>
      </c>
      <c r="I130" s="3">
        <f>IF(($A130-Ft!E$2)&lt;0,Ft!E$3*((1-Ft!E$6)/(1+Ft!E$37*($A130-Ft!E$2)^2)+Ft!E$6*EXP(Ft!E$38*($A130-Ft!E$2)^2)),Ft!E$3*((1-Ft!E$7)/(1+Ft!E$39*($A130-Ft!E$2)^2)+Ft!E$7*EXP(Ft!E$40*($A130-Ft!E$2)^2)))</f>
        <v>6.3120596880952382E-2</v>
      </c>
      <c r="J130" s="3">
        <f>IF(($A130-Ft!F$2)&lt;0,Ft!F$3*((1-Ft!F$6)/(1+Ft!F$37*($A130-Ft!F$2)^2)+Ft!F$6*EXP(Ft!F$38*($A130-Ft!F$2)^2)),Ft!F$3*((1-Ft!F$7)/(1+Ft!F$39*($A130-Ft!F$2)^2)+Ft!F$7*EXP(Ft!F$40*($A130-Ft!F$2)^2)))</f>
        <v>2.7298628715301852E-113</v>
      </c>
      <c r="K130" s="3">
        <f>IF(($A130-Ft!G$2)&lt;0,Ft!G$3*((1-Ft!G$6)/(1+Ft!G$37*($A130-Ft!G$2)^2)+Ft!G$6*EXP(Ft!G$38*($A130-Ft!G$2)^2)),Ft!G$3*((1-Ft!G$7)/(1+Ft!G$39*($A130-Ft!G$2)^2)+Ft!G$7*EXP(Ft!G$40*($A130-Ft!G$2)^2)))</f>
        <v>0</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v>258</v>
      </c>
      <c r="B131">
        <v>12.405468806098</v>
      </c>
      <c r="C131" s="6">
        <f t="shared" ref="C131:C194" si="5">SUM(E131:K131)</f>
        <v>12.203157485796764</v>
      </c>
      <c r="D131" s="19">
        <f t="shared" ref="D131:D194" si="6">(C131-B131)^2</f>
        <v>4.0929870322029348E-2</v>
      </c>
      <c r="E131" s="3">
        <f>Ft!$B$12+Ft!$B$14*(Data!A131-Vars!$B$3)</f>
        <v>0</v>
      </c>
      <c r="F131" s="3">
        <f>IF(($A131-Ft!B$2)&lt;0,Ft!B$3*((1-Ft!B$6)/(1+Ft!B$37*($A131-Ft!B$2)^2)+Ft!B$6*EXP(Ft!B$38*($A131-Ft!B$2)^2)),Ft!B$3*((1-Ft!B$7)/(1+Ft!B$39*($A131-Ft!B$2)^2)+Ft!B$7*EXP(Ft!B$40*($A131-Ft!B$2)^2)))</f>
        <v>7.6595659320791982E-25</v>
      </c>
      <c r="G131" s="3">
        <f>IF(($A131-Ft!C$2)&lt;0,Ft!C$3*((1-Ft!C$6)/(1+Ft!C$37*($A131-Ft!C$2)^2)+Ft!C$6*EXP(Ft!C$38*($A131-Ft!C$2)^2)),Ft!C$3*((1-Ft!C$7)/(1+Ft!C$39*($A131-Ft!C$2)^2)+Ft!C$7*EXP(Ft!C$40*($A131-Ft!C$2)^2)))</f>
        <v>3.2511465228529146</v>
      </c>
      <c r="H131" s="3">
        <f>IF(($A131-Ft!D$2)&lt;0,Ft!D$3*((1-Ft!D$6)/(1+Ft!D$37*($A131-Ft!D$2)^2)+Ft!D$6*EXP(Ft!D$38*($A131-Ft!D$2)^2)),Ft!D$3*((1-Ft!D$7)/(1+Ft!D$39*($A131-Ft!D$2)^2)+Ft!D$7*EXP(Ft!D$40*($A131-Ft!D$2)^2)))</f>
        <v>8.886339099455979</v>
      </c>
      <c r="I131" s="3">
        <f>IF(($A131-Ft!E$2)&lt;0,Ft!E$3*((1-Ft!E$6)/(1+Ft!E$37*($A131-Ft!E$2)^2)+Ft!E$6*EXP(Ft!E$38*($A131-Ft!E$2)^2)),Ft!E$3*((1-Ft!E$7)/(1+Ft!E$39*($A131-Ft!E$2)^2)+Ft!E$7*EXP(Ft!E$40*($A131-Ft!E$2)^2)))</f>
        <v>6.5671863487870422E-2</v>
      </c>
      <c r="J131" s="3">
        <f>IF(($A131-Ft!F$2)&lt;0,Ft!F$3*((1-Ft!F$6)/(1+Ft!F$37*($A131-Ft!F$2)^2)+Ft!F$6*EXP(Ft!F$38*($A131-Ft!F$2)^2)),Ft!F$3*((1-Ft!F$7)/(1+Ft!F$39*($A131-Ft!F$2)^2)+Ft!F$7*EXP(Ft!F$40*($A131-Ft!F$2)^2)))</f>
        <v>1.0479646866382958E-112</v>
      </c>
      <c r="K131" s="3">
        <f>IF(($A131-Ft!G$2)&lt;0,Ft!G$3*((1-Ft!G$6)/(1+Ft!G$37*($A131-Ft!G$2)^2)+Ft!G$6*EXP(Ft!G$38*($A131-Ft!G$2)^2)),Ft!G$3*((1-Ft!G$7)/(1+Ft!G$39*($A131-Ft!G$2)^2)+Ft!G$7*EXP(Ft!G$40*($A131-Ft!G$2)^2)))</f>
        <v>0</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v>260</v>
      </c>
      <c r="B132">
        <v>12.408721761246994</v>
      </c>
      <c r="C132" s="6">
        <f t="shared" si="5"/>
        <v>12.224256646207481</v>
      </c>
      <c r="D132" s="19">
        <f t="shared" si="6"/>
        <v>3.4027378666540896E-2</v>
      </c>
      <c r="E132" s="3">
        <f>Ft!$B$12+Ft!$B$14*(Data!A132-Vars!$B$3)</f>
        <v>0</v>
      </c>
      <c r="F132" s="3">
        <f>IF(($A132-Ft!B$2)&lt;0,Ft!B$3*((1-Ft!B$6)/(1+Ft!B$37*($A132-Ft!B$2)^2)+Ft!B$6*EXP(Ft!B$38*($A132-Ft!B$2)^2)),Ft!B$3*((1-Ft!B$7)/(1+Ft!B$39*($A132-Ft!B$2)^2)+Ft!B$7*EXP(Ft!B$40*($A132-Ft!B$2)^2)))</f>
        <v>2.6214184921662131E-25</v>
      </c>
      <c r="G132" s="3">
        <f>IF(($A132-Ft!C$2)&lt;0,Ft!C$3*((1-Ft!C$6)/(1+Ft!C$37*($A132-Ft!C$2)^2)+Ft!C$6*EXP(Ft!C$38*($A132-Ft!C$2)^2)),Ft!C$3*((1-Ft!C$7)/(1+Ft!C$39*($A132-Ft!C$2)^2)+Ft!C$7*EXP(Ft!C$40*($A132-Ft!C$2)^2)))</f>
        <v>3.1332296870359193</v>
      </c>
      <c r="H132" s="3">
        <f>IF(($A132-Ft!D$2)&lt;0,Ft!D$3*((1-Ft!D$6)/(1+Ft!D$37*($A132-Ft!D$2)^2)+Ft!D$6*EXP(Ft!D$38*($A132-Ft!D$2)^2)),Ft!D$3*((1-Ft!D$7)/(1+Ft!D$39*($A132-Ft!D$2)^2)+Ft!D$7*EXP(Ft!D$40*($A132-Ft!D$2)^2)))</f>
        <v>9.0227103944829974</v>
      </c>
      <c r="I132" s="3">
        <f>IF(($A132-Ft!E$2)&lt;0,Ft!E$3*((1-Ft!E$6)/(1+Ft!E$37*($A132-Ft!E$2)^2)+Ft!E$6*EXP(Ft!E$38*($A132-Ft!E$2)^2)),Ft!E$3*((1-Ft!E$7)/(1+Ft!E$39*($A132-Ft!E$2)^2)+Ft!E$7*EXP(Ft!E$40*($A132-Ft!E$2)^2)))</f>
        <v>6.8316564688563897E-2</v>
      </c>
      <c r="J132" s="3">
        <f>IF(($A132-Ft!F$2)&lt;0,Ft!F$3*((1-Ft!F$6)/(1+Ft!F$37*($A132-Ft!F$2)^2)+Ft!F$6*EXP(Ft!F$38*($A132-Ft!F$2)^2)),Ft!F$3*((1-Ft!F$7)/(1+Ft!F$39*($A132-Ft!F$2)^2)+Ft!F$7*EXP(Ft!F$40*($A132-Ft!F$2)^2)))</f>
        <v>4.0090700708918058E-112</v>
      </c>
      <c r="K132" s="3">
        <f>IF(($A132-Ft!G$2)&lt;0,Ft!G$3*((1-Ft!G$6)/(1+Ft!G$37*($A132-Ft!G$2)^2)+Ft!G$6*EXP(Ft!G$38*($A132-Ft!G$2)^2)),Ft!G$3*((1-Ft!G$7)/(1+Ft!G$39*($A132-Ft!G$2)^2)+Ft!G$7*EXP(Ft!G$40*($A132-Ft!G$2)^2)))</f>
        <v>0</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v>262</v>
      </c>
      <c r="B133">
        <v>12.413383504433995</v>
      </c>
      <c r="C133" s="6">
        <f t="shared" si="5"/>
        <v>12.248386513391944</v>
      </c>
      <c r="D133" s="19">
        <f t="shared" si="6"/>
        <v>2.7224007052930516E-2</v>
      </c>
      <c r="E133" s="3">
        <f>Ft!$B$12+Ft!$B$14*(Data!A133-Vars!$B$3)</f>
        <v>0</v>
      </c>
      <c r="F133" s="3">
        <f>IF(($A133-Ft!B$2)&lt;0,Ft!B$3*((1-Ft!B$6)/(1+Ft!B$37*($A133-Ft!B$2)^2)+Ft!B$6*EXP(Ft!B$38*($A133-Ft!B$2)^2)),Ft!B$3*((1-Ft!B$7)/(1+Ft!B$39*($A133-Ft!B$2)^2)+Ft!B$7*EXP(Ft!B$40*($A133-Ft!B$2)^2)))</f>
        <v>8.8818872421504952E-26</v>
      </c>
      <c r="G133" s="3">
        <f>IF(($A133-Ft!C$2)&lt;0,Ft!C$3*((1-Ft!C$6)/(1+Ft!C$37*($A133-Ft!C$2)^2)+Ft!C$6*EXP(Ft!C$38*($A133-Ft!C$2)^2)),Ft!C$3*((1-Ft!C$7)/(1+Ft!C$39*($A133-Ft!C$2)^2)+Ft!C$7*EXP(Ft!C$40*($A133-Ft!C$2)^2)))</f>
        <v>3.0177128505184148</v>
      </c>
      <c r="H133" s="3">
        <f>IF(($A133-Ft!D$2)&lt;0,Ft!D$3*((1-Ft!D$6)/(1+Ft!D$37*($A133-Ft!D$2)^2)+Ft!D$6*EXP(Ft!D$38*($A133-Ft!D$2)^2)),Ft!D$3*((1-Ft!D$7)/(1+Ft!D$39*($A133-Ft!D$2)^2)+Ft!D$7*EXP(Ft!D$40*($A133-Ft!D$2)^2)))</f>
        <v>9.159615964483196</v>
      </c>
      <c r="I133" s="3">
        <f>IF(($A133-Ft!E$2)&lt;0,Ft!E$3*((1-Ft!E$6)/(1+Ft!E$37*($A133-Ft!E$2)^2)+Ft!E$6*EXP(Ft!E$38*($A133-Ft!E$2)^2)),Ft!E$3*((1-Ft!E$7)/(1+Ft!E$39*($A133-Ft!E$2)^2)+Ft!E$7*EXP(Ft!E$40*($A133-Ft!E$2)^2)))</f>
        <v>7.1057698390332866E-2</v>
      </c>
      <c r="J133" s="3">
        <f>IF(($A133-Ft!F$2)&lt;0,Ft!F$3*((1-Ft!F$6)/(1+Ft!F$37*($A133-Ft!F$2)^2)+Ft!F$6*EXP(Ft!F$38*($A133-Ft!F$2)^2)),Ft!F$3*((1-Ft!F$7)/(1+Ft!F$39*($A133-Ft!F$2)^2)+Ft!F$7*EXP(Ft!F$40*($A133-Ft!F$2)^2)))</f>
        <v>1.5283816940568705E-111</v>
      </c>
      <c r="K133" s="3">
        <f>IF(($A133-Ft!G$2)&lt;0,Ft!G$3*((1-Ft!G$6)/(1+Ft!G$37*($A133-Ft!G$2)^2)+Ft!G$6*EXP(Ft!G$38*($A133-Ft!G$2)^2)),Ft!G$3*((1-Ft!G$7)/(1+Ft!G$39*($A133-Ft!G$2)^2)+Ft!G$7*EXP(Ft!G$40*($A133-Ft!G$2)^2)))</f>
        <v>0</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v>264</v>
      </c>
      <c r="B134">
        <v>12.420390575339994</v>
      </c>
      <c r="C134" s="6">
        <f t="shared" si="5"/>
        <v>12.275563799707056</v>
      </c>
      <c r="D134" s="19">
        <f t="shared" si="6"/>
        <v>2.0974794940233236E-2</v>
      </c>
      <c r="E134" s="3">
        <f>Ft!$B$12+Ft!$B$14*(Data!A134-Vars!$B$3)</f>
        <v>0</v>
      </c>
      <c r="F134" s="3">
        <f>IF(($A134-Ft!B$2)&lt;0,Ft!B$3*((1-Ft!B$6)/(1+Ft!B$37*($A134-Ft!B$2)^2)+Ft!B$6*EXP(Ft!B$38*($A134-Ft!B$2)^2)),Ft!B$3*((1-Ft!B$7)/(1+Ft!B$39*($A134-Ft!B$2)^2)+Ft!B$7*EXP(Ft!B$40*($A134-Ft!B$2)^2)))</f>
        <v>2.9792767596076019E-26</v>
      </c>
      <c r="G134" s="3">
        <f>IF(($A134-Ft!C$2)&lt;0,Ft!C$3*((1-Ft!C$6)/(1+Ft!C$37*($A134-Ft!C$2)^2)+Ft!C$6*EXP(Ft!C$38*($A134-Ft!C$2)^2)),Ft!C$3*((1-Ft!C$7)/(1+Ft!C$39*($A134-Ft!C$2)^2)+Ft!C$7*EXP(Ft!C$40*($A134-Ft!C$2)^2)))</f>
        <v>2.9046484765307681</v>
      </c>
      <c r="H134" s="3">
        <f>IF(($A134-Ft!D$2)&lt;0,Ft!D$3*((1-Ft!D$6)/(1+Ft!D$37*($A134-Ft!D$2)^2)+Ft!D$6*EXP(Ft!D$38*($A134-Ft!D$2)^2)),Ft!D$3*((1-Ft!D$7)/(1+Ft!D$39*($A134-Ft!D$2)^2)+Ft!D$7*EXP(Ft!D$40*($A134-Ft!D$2)^2)))</f>
        <v>9.2970169819956414</v>
      </c>
      <c r="I134" s="3">
        <f>IF(($A134-Ft!E$2)&lt;0,Ft!E$3*((1-Ft!E$6)/(1+Ft!E$37*($A134-Ft!E$2)^2)+Ft!E$6*EXP(Ft!E$38*($A134-Ft!E$2)^2)),Ft!E$3*((1-Ft!E$7)/(1+Ft!E$39*($A134-Ft!E$2)^2)+Ft!E$7*EXP(Ft!E$40*($A134-Ft!E$2)^2)))</f>
        <v>7.3898341180646726E-2</v>
      </c>
      <c r="J134" s="3">
        <f>IF(($A134-Ft!F$2)&lt;0,Ft!F$3*((1-Ft!F$6)/(1+Ft!F$37*($A134-Ft!F$2)^2)+Ft!F$6*EXP(Ft!F$38*($A134-Ft!F$2)^2)),Ft!F$3*((1-Ft!F$7)/(1+Ft!F$39*($A134-Ft!F$2)^2)+Ft!F$7*EXP(Ft!F$40*($A134-Ft!F$2)^2)))</f>
        <v>5.8064566716073705E-111</v>
      </c>
      <c r="K134" s="3">
        <f>IF(($A134-Ft!G$2)&lt;0,Ft!G$3*((1-Ft!G$6)/(1+Ft!G$37*($A134-Ft!G$2)^2)+Ft!G$6*EXP(Ft!G$38*($A134-Ft!G$2)^2)),Ft!G$3*((1-Ft!G$7)/(1+Ft!G$39*($A134-Ft!G$2)^2)+Ft!G$7*EXP(Ft!G$40*($A134-Ft!G$2)^2)))</f>
        <v>0</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v>266</v>
      </c>
      <c r="B135">
        <v>12.430679513648002</v>
      </c>
      <c r="C135" s="6">
        <f t="shared" si="5"/>
        <v>12.30579802031173</v>
      </c>
      <c r="D135" s="19">
        <f t="shared" si="6"/>
        <v>1.5595387377897256E-2</v>
      </c>
      <c r="E135" s="3">
        <f>Ft!$B$12+Ft!$B$14*(Data!A135-Vars!$B$3)</f>
        <v>0</v>
      </c>
      <c r="F135" s="3">
        <f>IF(($A135-Ft!B$2)&lt;0,Ft!B$3*((1-Ft!B$6)/(1+Ft!B$37*($A135-Ft!B$2)^2)+Ft!B$6*EXP(Ft!B$38*($A135-Ft!B$2)^2)),Ft!B$3*((1-Ft!B$7)/(1+Ft!B$39*($A135-Ft!B$2)^2)+Ft!B$7*EXP(Ft!B$40*($A135-Ft!B$2)^2)))</f>
        <v>9.8935724639896569E-27</v>
      </c>
      <c r="G135" s="3">
        <f>IF(($A135-Ft!C$2)&lt;0,Ft!C$3*((1-Ft!C$6)/(1+Ft!C$37*($A135-Ft!C$2)^2)+Ft!C$6*EXP(Ft!C$38*($A135-Ft!C$2)^2)),Ft!C$3*((1-Ft!C$7)/(1+Ft!C$39*($A135-Ft!C$2)^2)+Ft!C$7*EXP(Ft!C$40*($A135-Ft!C$2)^2)))</f>
        <v>2.7940825915717498</v>
      </c>
      <c r="H135" s="3">
        <f>IF(($A135-Ft!D$2)&lt;0,Ft!D$3*((1-Ft!D$6)/(1+Ft!D$37*($A135-Ft!D$2)^2)+Ft!D$6*EXP(Ft!D$38*($A135-Ft!D$2)^2)),Ft!D$3*((1-Ft!D$7)/(1+Ft!D$39*($A135-Ft!D$2)^2)+Ft!D$7*EXP(Ft!D$40*($A135-Ft!D$2)^2)))</f>
        <v>9.4348737790350814</v>
      </c>
      <c r="I135" s="3">
        <f>IF(($A135-Ft!E$2)&lt;0,Ft!E$3*((1-Ft!E$6)/(1+Ft!E$37*($A135-Ft!E$2)^2)+Ft!E$6*EXP(Ft!E$38*($A135-Ft!E$2)^2)),Ft!E$3*((1-Ft!E$7)/(1+Ft!E$39*($A135-Ft!E$2)^2)+Ft!E$7*EXP(Ft!E$40*($A135-Ft!E$2)^2)))</f>
        <v>7.6841649704899179E-2</v>
      </c>
      <c r="J135" s="3">
        <f>IF(($A135-Ft!F$2)&lt;0,Ft!F$3*((1-Ft!F$6)/(1+Ft!F$37*($A135-Ft!F$2)^2)+Ft!F$6*EXP(Ft!F$38*($A135-Ft!F$2)^2)),Ft!F$3*((1-Ft!F$7)/(1+Ft!F$39*($A135-Ft!F$2)^2)+Ft!F$7*EXP(Ft!F$40*($A135-Ft!F$2)^2)))</f>
        <v>2.198273546773153E-110</v>
      </c>
      <c r="K135" s="3">
        <f>IF(($A135-Ft!G$2)&lt;0,Ft!G$3*((1-Ft!G$6)/(1+Ft!G$37*($A135-Ft!G$2)^2)+Ft!G$6*EXP(Ft!G$38*($A135-Ft!G$2)^2)),Ft!G$3*((1-Ft!G$7)/(1+Ft!G$39*($A135-Ft!G$2)^2)+Ft!G$7*EXP(Ft!G$40*($A135-Ft!G$2)^2)))</f>
        <v>0</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v>268</v>
      </c>
      <c r="B136">
        <v>12.445186859037989</v>
      </c>
      <c r="C136" s="6">
        <f t="shared" si="5"/>
        <v>12.339091637990734</v>
      </c>
      <c r="D136" s="19">
        <f t="shared" si="6"/>
        <v>1.1256195929065899E-2</v>
      </c>
      <c r="E136" s="3">
        <f>Ft!$B$12+Ft!$B$14*(Data!A136-Vars!$B$3)</f>
        <v>0</v>
      </c>
      <c r="F136" s="3">
        <f>IF(($A136-Ft!B$2)&lt;0,Ft!B$3*((1-Ft!B$6)/(1+Ft!B$37*($A136-Ft!B$2)^2)+Ft!B$6*EXP(Ft!B$38*($A136-Ft!B$2)^2)),Ft!B$3*((1-Ft!B$7)/(1+Ft!B$39*($A136-Ft!B$2)^2)+Ft!B$7*EXP(Ft!B$40*($A136-Ft!B$2)^2)))</f>
        <v>3.2526109972059882E-27</v>
      </c>
      <c r="G136" s="3">
        <f>IF(($A136-Ft!C$2)&lt;0,Ft!C$3*((1-Ft!C$6)/(1+Ft!C$37*($A136-Ft!C$2)^2)+Ft!C$6*EXP(Ft!C$38*($A136-Ft!C$2)^2)),Ft!C$3*((1-Ft!C$7)/(1+Ft!C$39*($A136-Ft!C$2)^2)+Ft!C$7*EXP(Ft!C$40*($A136-Ft!C$2)^2)))</f>
        <v>2.6860549142709793</v>
      </c>
      <c r="H136" s="3">
        <f>IF(($A136-Ft!D$2)&lt;0,Ft!D$3*((1-Ft!D$6)/(1+Ft!D$37*($A136-Ft!D$2)^2)+Ft!D$6*EXP(Ft!D$38*($A136-Ft!D$2)^2)),Ft!D$3*((1-Ft!D$7)/(1+Ft!D$39*($A136-Ft!D$2)^2)+Ft!D$7*EXP(Ft!D$40*($A136-Ft!D$2)^2)))</f>
        <v>9.5731458616782792</v>
      </c>
      <c r="I136" s="3">
        <f>IF(($A136-Ft!E$2)&lt;0,Ft!E$3*((1-Ft!E$6)/(1+Ft!E$37*($A136-Ft!E$2)^2)+Ft!E$6*EXP(Ft!E$38*($A136-Ft!E$2)^2)),Ft!E$3*((1-Ft!E$7)/(1+Ft!E$39*($A136-Ft!E$2)^2)+Ft!E$7*EXP(Ft!E$40*($A136-Ft!E$2)^2)))</f>
        <v>7.9890862041474872E-2</v>
      </c>
      <c r="J136" s="3">
        <f>IF(($A136-Ft!F$2)&lt;0,Ft!F$3*((1-Ft!F$6)/(1+Ft!F$37*($A136-Ft!F$2)^2)+Ft!F$6*EXP(Ft!F$38*($A136-Ft!F$2)^2)),Ft!F$3*((1-Ft!F$7)/(1+Ft!F$39*($A136-Ft!F$2)^2)+Ft!F$7*EXP(Ft!F$40*($A136-Ft!F$2)^2)))</f>
        <v>8.2936071479678042E-110</v>
      </c>
      <c r="K136" s="3">
        <f>IF(($A136-Ft!G$2)&lt;0,Ft!G$3*((1-Ft!G$6)/(1+Ft!G$37*($A136-Ft!G$2)^2)+Ft!G$6*EXP(Ft!G$38*($A136-Ft!G$2)^2)),Ft!G$3*((1-Ft!G$7)/(1+Ft!G$39*($A136-Ft!G$2)^2)+Ft!G$7*EXP(Ft!G$40*($A136-Ft!G$2)^2)))</f>
        <v>0</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v>270</v>
      </c>
      <c r="B137">
        <v>12.463937096803988</v>
      </c>
      <c r="C137" s="6">
        <f t="shared" si="5"/>
        <v>12.375440223259647</v>
      </c>
      <c r="D137" s="19">
        <f t="shared" si="6"/>
        <v>7.8316966271232379E-3</v>
      </c>
      <c r="E137" s="3">
        <f>Ft!$B$12+Ft!$B$14*(Data!A137-Vars!$B$3)</f>
        <v>0</v>
      </c>
      <c r="F137" s="3">
        <f>IF(($A137-Ft!B$2)&lt;0,Ft!B$3*((1-Ft!B$6)/(1+Ft!B$37*($A137-Ft!B$2)^2)+Ft!B$6*EXP(Ft!B$38*($A137-Ft!B$2)^2)),Ft!B$3*((1-Ft!B$7)/(1+Ft!B$39*($A137-Ft!B$2)^2)+Ft!B$7*EXP(Ft!B$40*($A137-Ft!B$2)^2)))</f>
        <v>1.0586388063251328E-27</v>
      </c>
      <c r="G137" s="3">
        <f>IF(($A137-Ft!C$2)&lt;0,Ft!C$3*((1-Ft!C$6)/(1+Ft!C$37*($A137-Ft!C$2)^2)+Ft!C$6*EXP(Ft!C$38*($A137-Ft!C$2)^2)),Ft!C$3*((1-Ft!C$7)/(1+Ft!C$39*($A137-Ft!C$2)^2)+Ft!C$7*EXP(Ft!C$40*($A137-Ft!C$2)^2)))</f>
        <v>2.5805989986111815</v>
      </c>
      <c r="H137" s="3">
        <f>IF(($A137-Ft!D$2)&lt;0,Ft!D$3*((1-Ft!D$6)/(1+Ft!D$37*($A137-Ft!D$2)^2)+Ft!D$6*EXP(Ft!D$38*($A137-Ft!D$2)^2)),Ft!D$3*((1-Ft!D$7)/(1+Ft!D$39*($A137-Ft!D$2)^2)+Ft!D$7*EXP(Ft!D$40*($A137-Ft!D$2)^2)))</f>
        <v>9.7117919255756373</v>
      </c>
      <c r="I137" s="3">
        <f>IF(($A137-Ft!E$2)&lt;0,Ft!E$3*((1-Ft!E$6)/(1+Ft!E$37*($A137-Ft!E$2)^2)+Ft!E$6*EXP(Ft!E$38*($A137-Ft!E$2)^2)),Ft!E$3*((1-Ft!E$7)/(1+Ft!E$39*($A137-Ft!E$2)^2)+Ft!E$7*EXP(Ft!E$40*($A137-Ft!E$2)^2)))</f>
        <v>8.3049299072828209E-2</v>
      </c>
      <c r="J137" s="3">
        <f>IF(($A137-Ft!F$2)&lt;0,Ft!F$3*((1-Ft!F$6)/(1+Ft!F$37*($A137-Ft!F$2)^2)+Ft!F$6*EXP(Ft!F$38*($A137-Ft!F$2)^2)),Ft!F$3*((1-Ft!F$7)/(1+Ft!F$39*($A137-Ft!F$2)^2)+Ft!F$7*EXP(Ft!F$40*($A137-Ft!F$2)^2)))</f>
        <v>3.1181454369561271E-109</v>
      </c>
      <c r="K137" s="3">
        <f>IF(($A137-Ft!G$2)&lt;0,Ft!G$3*((1-Ft!G$6)/(1+Ft!G$37*($A137-Ft!G$2)^2)+Ft!G$6*EXP(Ft!G$38*($A137-Ft!G$2)^2)),Ft!G$3*((1-Ft!G$7)/(1+Ft!G$39*($A137-Ft!G$2)^2)+Ft!G$7*EXP(Ft!G$40*($A137-Ft!G$2)^2)))</f>
        <v>0</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v>272</v>
      </c>
      <c r="B138">
        <v>12.482469979754995</v>
      </c>
      <c r="C138" s="6">
        <f t="shared" si="5"/>
        <v>12.414832628677173</v>
      </c>
      <c r="D138" s="19">
        <f t="shared" si="6"/>
        <v>4.5748112608245918E-3</v>
      </c>
      <c r="E138" s="3">
        <f>Ft!$B$12+Ft!$B$14*(Data!A138-Vars!$B$3)</f>
        <v>0</v>
      </c>
      <c r="F138" s="3">
        <f>IF(($A138-Ft!B$2)&lt;0,Ft!B$3*((1-Ft!B$6)/(1+Ft!B$37*($A138-Ft!B$2)^2)+Ft!B$6*EXP(Ft!B$38*($A138-Ft!B$2)^2)),Ft!B$3*((1-Ft!B$7)/(1+Ft!B$39*($A138-Ft!B$2)^2)+Ft!B$7*EXP(Ft!B$40*($A138-Ft!B$2)^2)))</f>
        <v>3.4111450759640219E-28</v>
      </c>
      <c r="G138" s="3">
        <f>IF(($A138-Ft!C$2)&lt;0,Ft!C$3*((1-Ft!C$6)/(1+Ft!C$37*($A138-Ft!C$2)^2)+Ft!C$6*EXP(Ft!C$38*($A138-Ft!C$2)^2)),Ft!C$3*((1-Ft!C$7)/(1+Ft!C$39*($A138-Ft!C$2)^2)+Ft!C$7*EXP(Ft!C$40*($A138-Ft!C$2)^2)))</f>
        <v>2.477742390440131</v>
      </c>
      <c r="H138" s="3">
        <f>IF(($A138-Ft!D$2)&lt;0,Ft!D$3*((1-Ft!D$6)/(1+Ft!D$37*($A138-Ft!D$2)^2)+Ft!D$6*EXP(Ft!D$38*($A138-Ft!D$2)^2)),Ft!D$3*((1-Ft!D$7)/(1+Ft!D$39*($A138-Ft!D$2)^2)+Ft!D$7*EXP(Ft!D$40*($A138-Ft!D$2)^2)))</f>
        <v>9.8507698723858166</v>
      </c>
      <c r="I138" s="3">
        <f>IF(($A138-Ft!E$2)&lt;0,Ft!E$3*((1-Ft!E$6)/(1+Ft!E$37*($A138-Ft!E$2)^2)+Ft!E$6*EXP(Ft!E$38*($A138-Ft!E$2)^2)),Ft!E$3*((1-Ft!E$7)/(1+Ft!E$39*($A138-Ft!E$2)^2)+Ft!E$7*EXP(Ft!E$40*($A138-Ft!E$2)^2)))</f>
        <v>8.6320365851226044E-2</v>
      </c>
      <c r="J138" s="3">
        <f>IF(($A138-Ft!F$2)&lt;0,Ft!F$3*((1-Ft!F$6)/(1+Ft!F$37*($A138-Ft!F$2)^2)+Ft!F$6*EXP(Ft!F$38*($A138-Ft!F$2)^2)),Ft!F$3*((1-Ft!F$7)/(1+Ft!F$39*($A138-Ft!F$2)^2)+Ft!F$7*EXP(Ft!F$40*($A138-Ft!F$2)^2)))</f>
        <v>1.1682625565466112E-108</v>
      </c>
      <c r="K138" s="3">
        <f>IF(($A138-Ft!G$2)&lt;0,Ft!G$3*((1-Ft!G$6)/(1+Ft!G$37*($A138-Ft!G$2)^2)+Ft!G$6*EXP(Ft!G$38*($A138-Ft!G$2)^2)),Ft!G$3*((1-Ft!G$7)/(1+Ft!G$39*($A138-Ft!G$2)^2)+Ft!G$7*EXP(Ft!G$40*($A138-Ft!G$2)^2)))</f>
        <v>0</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v>274</v>
      </c>
      <c r="B139">
        <v>12.501003038486999</v>
      </c>
      <c r="C139" s="6">
        <f t="shared" si="5"/>
        <v>12.457251176274282</v>
      </c>
      <c r="D139" s="19">
        <f t="shared" si="6"/>
        <v>1.9142254470806211E-3</v>
      </c>
      <c r="E139" s="3">
        <f>Ft!$B$12+Ft!$B$14*(Data!A139-Vars!$B$3)</f>
        <v>0</v>
      </c>
      <c r="F139" s="3">
        <f>IF(($A139-Ft!B$2)&lt;0,Ft!B$3*((1-Ft!B$6)/(1+Ft!B$37*($A139-Ft!B$2)^2)+Ft!B$6*EXP(Ft!B$38*($A139-Ft!B$2)^2)),Ft!B$3*((1-Ft!B$7)/(1+Ft!B$39*($A139-Ft!B$2)^2)+Ft!B$7*EXP(Ft!B$40*($A139-Ft!B$2)^2)))</f>
        <v>1.0881512559450181E-28</v>
      </c>
      <c r="G139" s="3">
        <f>IF(($A139-Ft!C$2)&lt;0,Ft!C$3*((1-Ft!C$6)/(1+Ft!C$37*($A139-Ft!C$2)^2)+Ft!C$6*EXP(Ft!C$38*($A139-Ft!C$2)^2)),Ft!C$3*((1-Ft!C$7)/(1+Ft!C$39*($A139-Ft!C$2)^2)+Ft!C$7*EXP(Ft!C$40*($A139-Ft!C$2)^2)))</f>
        <v>2.3775067961865175</v>
      </c>
      <c r="H139" s="3">
        <f>IF(($A139-Ft!D$2)&lt;0,Ft!D$3*((1-Ft!D$6)/(1+Ft!D$37*($A139-Ft!D$2)^2)+Ft!D$6*EXP(Ft!D$38*($A139-Ft!D$2)^2)),Ft!D$3*((1-Ft!D$7)/(1+Ft!D$39*($A139-Ft!D$2)^2)+Ft!D$7*EXP(Ft!D$40*($A139-Ft!D$2)^2)))</f>
        <v>9.9900368271300035</v>
      </c>
      <c r="I139" s="3">
        <f>IF(($A139-Ft!E$2)&lt;0,Ft!E$3*((1-Ft!E$6)/(1+Ft!E$37*($A139-Ft!E$2)^2)+Ft!E$6*EXP(Ft!E$38*($A139-Ft!E$2)^2)),Ft!E$3*((1-Ft!E$7)/(1+Ft!E$39*($A139-Ft!E$2)^2)+Ft!E$7*EXP(Ft!E$40*($A139-Ft!E$2)^2)))</f>
        <v>8.9707552957759451E-2</v>
      </c>
      <c r="J139" s="3">
        <f>IF(($A139-Ft!F$2)&lt;0,Ft!F$3*((1-Ft!F$6)/(1+Ft!F$37*($A139-Ft!F$2)^2)+Ft!F$6*EXP(Ft!F$38*($A139-Ft!F$2)^2)),Ft!F$3*((1-Ft!F$7)/(1+Ft!F$39*($A139-Ft!F$2)^2)+Ft!F$7*EXP(Ft!F$40*($A139-Ft!F$2)^2)))</f>
        <v>4.3619002450786534E-108</v>
      </c>
      <c r="K139" s="3">
        <f>IF(($A139-Ft!G$2)&lt;0,Ft!G$3*((1-Ft!G$6)/(1+Ft!G$37*($A139-Ft!G$2)^2)+Ft!G$6*EXP(Ft!G$38*($A139-Ft!G$2)^2)),Ft!G$3*((1-Ft!G$7)/(1+Ft!G$39*($A139-Ft!G$2)^2)+Ft!G$7*EXP(Ft!G$40*($A139-Ft!G$2)^2)))</f>
        <v>0</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v>276</v>
      </c>
      <c r="B140">
        <v>12.520674251253993</v>
      </c>
      <c r="C140" s="6">
        <f t="shared" si="5"/>
        <v>12.502671856998752</v>
      </c>
      <c r="D140" s="19">
        <f t="shared" si="6"/>
        <v>3.2408619892113316E-4</v>
      </c>
      <c r="E140" s="3">
        <f>Ft!$B$12+Ft!$B$14*(Data!A140-Vars!$B$3)</f>
        <v>0</v>
      </c>
      <c r="F140" s="3">
        <f>IF(($A140-Ft!B$2)&lt;0,Ft!B$3*((1-Ft!B$6)/(1+Ft!B$37*($A140-Ft!B$2)^2)+Ft!B$6*EXP(Ft!B$38*($A140-Ft!B$2)^2)),Ft!B$3*((1-Ft!B$7)/(1+Ft!B$39*($A140-Ft!B$2)^2)+Ft!B$7*EXP(Ft!B$40*($A140-Ft!B$2)^2)))</f>
        <v>3.4364896619328829E-29</v>
      </c>
      <c r="G140" s="3">
        <f>IF(($A140-Ft!C$2)&lt;0,Ft!C$3*((1-Ft!C$6)/(1+Ft!C$37*($A140-Ft!C$2)^2)+Ft!C$6*EXP(Ft!C$38*($A140-Ft!C$2)^2)),Ft!C$3*((1-Ft!C$7)/(1+Ft!C$39*($A140-Ft!C$2)^2)+Ft!C$7*EXP(Ft!C$40*($A140-Ft!C$2)^2)))</f>
        <v>2.2799082626842386</v>
      </c>
      <c r="H140" s="3">
        <f>IF(($A140-Ft!D$2)&lt;0,Ft!D$3*((1-Ft!D$6)/(1+Ft!D$37*($A140-Ft!D$2)^2)+Ft!D$6*EXP(Ft!D$38*($A140-Ft!D$2)^2)),Ft!D$3*((1-Ft!D$7)/(1+Ft!D$39*($A140-Ft!D$2)^2)+Ft!D$7*EXP(Ft!D$40*($A140-Ft!D$2)^2)))</f>
        <v>10.129549156461337</v>
      </c>
      <c r="I140" s="3">
        <f>IF(($A140-Ft!E$2)&lt;0,Ft!E$3*((1-Ft!E$6)/(1+Ft!E$37*($A140-Ft!E$2)^2)+Ft!E$6*EXP(Ft!E$38*($A140-Ft!E$2)^2)),Ft!E$3*((1-Ft!E$7)/(1+Ft!E$39*($A140-Ft!E$2)^2)+Ft!E$7*EXP(Ft!E$40*($A140-Ft!E$2)^2)))</f>
        <v>9.3214437853177928E-2</v>
      </c>
      <c r="J140" s="3">
        <f>IF(($A140-Ft!F$2)&lt;0,Ft!F$3*((1-Ft!F$6)/(1+Ft!F$37*($A140-Ft!F$2)^2)+Ft!F$6*EXP(Ft!F$38*($A140-Ft!F$2)^2)),Ft!F$3*((1-Ft!F$7)/(1+Ft!F$39*($A140-Ft!F$2)^2)+Ft!F$7*EXP(Ft!F$40*($A140-Ft!F$2)^2)))</f>
        <v>1.6229389479944499E-107</v>
      </c>
      <c r="K140" s="3">
        <f>IF(($A140-Ft!G$2)&lt;0,Ft!G$3*((1-Ft!G$6)/(1+Ft!G$37*($A140-Ft!G$2)^2)+Ft!G$6*EXP(Ft!G$38*($A140-Ft!G$2)^2)),Ft!G$3*((1-Ft!G$7)/(1+Ft!G$39*($A140-Ft!G$2)^2)+Ft!G$7*EXP(Ft!G$40*($A140-Ft!G$2)^2)))</f>
        <v>0</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v>278</v>
      </c>
      <c r="B141">
        <v>12.542621596315996</v>
      </c>
      <c r="C141" s="6">
        <f t="shared" si="5"/>
        <v>12.551064541068376</v>
      </c>
      <c r="D141" s="19">
        <f t="shared" si="6"/>
        <v>7.1283316091740037E-5</v>
      </c>
      <c r="E141" s="3">
        <f>Ft!$B$12+Ft!$B$14*(Data!A141-Vars!$B$3)</f>
        <v>0</v>
      </c>
      <c r="F141" s="3">
        <f>IF(($A141-Ft!B$2)&lt;0,Ft!B$3*((1-Ft!B$6)/(1+Ft!B$37*($A141-Ft!B$2)^2)+Ft!B$6*EXP(Ft!B$38*($A141-Ft!B$2)^2)),Ft!B$3*((1-Ft!B$7)/(1+Ft!B$39*($A141-Ft!B$2)^2)+Ft!B$7*EXP(Ft!B$40*($A141-Ft!B$2)^2)))</f>
        <v>1.0744284822527379E-29</v>
      </c>
      <c r="G141" s="3">
        <f>IF(($A141-Ft!C$2)&lt;0,Ft!C$3*((1-Ft!C$6)/(1+Ft!C$37*($A141-Ft!C$2)^2)+Ft!C$6*EXP(Ft!C$38*($A141-Ft!C$2)^2)),Ft!C$3*((1-Ft!C$7)/(1+Ft!C$39*($A141-Ft!C$2)^2)+Ft!C$7*EXP(Ft!C$40*($A141-Ft!C$2)^2)))</f>
        <v>2.18495736700558</v>
      </c>
      <c r="H141" s="3">
        <f>IF(($A141-Ft!D$2)&lt;0,Ft!D$3*((1-Ft!D$6)/(1+Ft!D$37*($A141-Ft!D$2)^2)+Ft!D$6*EXP(Ft!D$38*($A141-Ft!D$2)^2)),Ft!D$3*((1-Ft!D$7)/(1+Ft!D$39*($A141-Ft!D$2)^2)+Ft!D$7*EXP(Ft!D$40*($A141-Ft!D$2)^2)))</f>
        <v>10.26926248784374</v>
      </c>
      <c r="I141" s="3">
        <f>IF(($A141-Ft!E$2)&lt;0,Ft!E$3*((1-Ft!E$6)/(1+Ft!E$37*($A141-Ft!E$2)^2)+Ft!E$6*EXP(Ft!E$38*($A141-Ft!E$2)^2)),Ft!E$3*((1-Ft!E$7)/(1+Ft!E$39*($A141-Ft!E$2)^2)+Ft!E$7*EXP(Ft!E$40*($A141-Ft!E$2)^2)))</f>
        <v>9.6844686219055065E-2</v>
      </c>
      <c r="J141" s="3">
        <f>IF(($A141-Ft!F$2)&lt;0,Ft!F$3*((1-Ft!F$6)/(1+Ft!F$37*($A141-Ft!F$2)^2)+Ft!F$6*EXP(Ft!F$38*($A141-Ft!F$2)^2)),Ft!F$3*((1-Ft!F$7)/(1+Ft!F$39*($A141-Ft!F$2)^2)+Ft!F$7*EXP(Ft!F$40*($A141-Ft!F$2)^2)))</f>
        <v>6.0175515334325628E-107</v>
      </c>
      <c r="K141" s="3">
        <f>IF(($A141-Ft!G$2)&lt;0,Ft!G$3*((1-Ft!G$6)/(1+Ft!G$37*($A141-Ft!G$2)^2)+Ft!G$6*EXP(Ft!G$38*($A141-Ft!G$2)^2)),Ft!G$3*((1-Ft!G$7)/(1+Ft!G$39*($A141-Ft!G$2)^2)+Ft!G$7*EXP(Ft!G$40*($A141-Ft!G$2)^2)))</f>
        <v>0</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v>280</v>
      </c>
      <c r="B142">
        <v>12.56798305193</v>
      </c>
      <c r="C142" s="6">
        <f t="shared" si="5"/>
        <v>12.602393198126359</v>
      </c>
      <c r="D142" s="19">
        <f t="shared" si="6"/>
        <v>1.1840581612548198E-3</v>
      </c>
      <c r="E142" s="3">
        <f>Ft!$B$12+Ft!$B$14*(Data!A142-Vars!$B$3)</f>
        <v>0</v>
      </c>
      <c r="F142" s="3">
        <f>IF(($A142-Ft!B$2)&lt;0,Ft!B$3*((1-Ft!B$6)/(1+Ft!B$37*($A142-Ft!B$2)^2)+Ft!B$6*EXP(Ft!B$38*($A142-Ft!B$2)^2)),Ft!B$3*((1-Ft!B$7)/(1+Ft!B$39*($A142-Ft!B$2)^2)+Ft!B$7*EXP(Ft!B$40*($A142-Ft!B$2)^2)))</f>
        <v>3.3256510662984262E-30</v>
      </c>
      <c r="G142" s="3">
        <f>IF(($A142-Ft!C$2)&lt;0,Ft!C$3*((1-Ft!C$6)/(1+Ft!C$37*($A142-Ft!C$2)^2)+Ft!C$6*EXP(Ft!C$38*($A142-Ft!C$2)^2)),Ft!C$3*((1-Ft!C$7)/(1+Ft!C$39*($A142-Ft!C$2)^2)+Ft!C$7*EXP(Ft!C$40*($A142-Ft!C$2)^2)))</f>
        <v>2.0926594152052536</v>
      </c>
      <c r="H142" s="3">
        <f>IF(($A142-Ft!D$2)&lt;0,Ft!D$3*((1-Ft!D$6)/(1+Ft!D$37*($A142-Ft!D$2)^2)+Ft!D$6*EXP(Ft!D$38*($A142-Ft!D$2)^2)),Ft!D$3*((1-Ft!D$7)/(1+Ft!D$39*($A142-Ft!D$2)^2)+Ft!D$7*EXP(Ft!D$40*($A142-Ft!D$2)^2)))</f>
        <v>10.409131729633364</v>
      </c>
      <c r="I142" s="3">
        <f>IF(($A142-Ft!E$2)&lt;0,Ft!E$3*((1-Ft!E$6)/(1+Ft!E$37*($A142-Ft!E$2)^2)+Ft!E$6*EXP(Ft!E$38*($A142-Ft!E$2)^2)),Ft!E$3*((1-Ft!E$7)/(1+Ft!E$39*($A142-Ft!E$2)^2)+Ft!E$7*EXP(Ft!E$40*($A142-Ft!E$2)^2)))</f>
        <v>0.1006020532877419</v>
      </c>
      <c r="J142" s="3">
        <f>IF(($A142-Ft!F$2)&lt;0,Ft!F$3*((1-Ft!F$6)/(1+Ft!F$37*($A142-Ft!F$2)^2)+Ft!F$6*EXP(Ft!F$38*($A142-Ft!F$2)^2)),Ft!F$3*((1-Ft!F$7)/(1+Ft!F$39*($A142-Ft!F$2)^2)+Ft!F$7*EXP(Ft!F$40*($A142-Ft!F$2)^2)))</f>
        <v>2.2234564909608208E-106</v>
      </c>
      <c r="K142" s="3">
        <f>IF(($A142-Ft!G$2)&lt;0,Ft!G$3*((1-Ft!G$6)/(1+Ft!G$37*($A142-Ft!G$2)^2)+Ft!G$6*EXP(Ft!G$38*($A142-Ft!G$2)^2)),Ft!G$3*((1-Ft!G$7)/(1+Ft!G$39*($A142-Ft!G$2)^2)+Ft!G$7*EXP(Ft!G$40*($A142-Ft!G$2)^2)))</f>
        <v>0</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v>282</v>
      </c>
      <c r="B143">
        <v>12.597896596352001</v>
      </c>
      <c r="C143" s="6">
        <f t="shared" si="5"/>
        <v>12.656616126098136</v>
      </c>
      <c r="D143" s="19">
        <f t="shared" si="6"/>
        <v>3.447983173607224E-3</v>
      </c>
      <c r="E143" s="3">
        <f>Ft!$B$12+Ft!$B$14*(Data!A143-Vars!$B$3)</f>
        <v>0</v>
      </c>
      <c r="F143" s="3">
        <f>IF(($A143-Ft!B$2)&lt;0,Ft!B$3*((1-Ft!B$6)/(1+Ft!B$37*($A143-Ft!B$2)^2)+Ft!B$6*EXP(Ft!B$38*($A143-Ft!B$2)^2)),Ft!B$3*((1-Ft!B$7)/(1+Ft!B$39*($A143-Ft!B$2)^2)+Ft!B$7*EXP(Ft!B$40*($A143-Ft!B$2)^2)))</f>
        <v>1.019090010940827E-30</v>
      </c>
      <c r="G143" s="3">
        <f>IF(($A143-Ft!C$2)&lt;0,Ft!C$3*((1-Ft!C$6)/(1+Ft!C$37*($A143-Ft!C$2)^2)+Ft!C$6*EXP(Ft!C$38*($A143-Ft!C$2)^2)),Ft!C$3*((1-Ft!C$7)/(1+Ft!C$39*($A143-Ft!C$2)^2)+Ft!C$7*EXP(Ft!C$40*($A143-Ft!C$2)^2)))</f>
        <v>2.003014648884033</v>
      </c>
      <c r="H143" s="3">
        <f>IF(($A143-Ft!D$2)&lt;0,Ft!D$3*((1-Ft!D$6)/(1+Ft!D$37*($A143-Ft!D$2)^2)+Ft!D$6*EXP(Ft!D$38*($A143-Ft!D$2)^2)),Ft!D$3*((1-Ft!D$7)/(1+Ft!D$39*($A143-Ft!D$2)^2)+Ft!D$7*EXP(Ft!D$40*($A143-Ft!D$2)^2)))</f>
        <v>10.549111092054586</v>
      </c>
      <c r="I143" s="3">
        <f>IF(($A143-Ft!E$2)&lt;0,Ft!E$3*((1-Ft!E$6)/(1+Ft!E$37*($A143-Ft!E$2)^2)+Ft!E$6*EXP(Ft!E$38*($A143-Ft!E$2)^2)),Ft!E$3*((1-Ft!E$7)/(1+Ft!E$39*($A143-Ft!E$2)^2)+Ft!E$7*EXP(Ft!E$40*($A143-Ft!E$2)^2)))</f>
        <v>0.1044903851595176</v>
      </c>
      <c r="J143" s="3">
        <f>IF(($A143-Ft!F$2)&lt;0,Ft!F$3*((1-Ft!F$6)/(1+Ft!F$37*($A143-Ft!F$2)^2)+Ft!F$6*EXP(Ft!F$38*($A143-Ft!F$2)^2)),Ft!F$3*((1-Ft!F$7)/(1+Ft!F$39*($A143-Ft!F$2)^2)+Ft!F$7*EXP(Ft!F$40*($A143-Ft!F$2)^2)))</f>
        <v>8.1870724703515401E-106</v>
      </c>
      <c r="K143" s="3">
        <f>IF(($A143-Ft!G$2)&lt;0,Ft!G$3*((1-Ft!G$6)/(1+Ft!G$37*($A143-Ft!G$2)^2)+Ft!G$6*EXP(Ft!G$38*($A143-Ft!G$2)^2)),Ft!G$3*((1-Ft!G$7)/(1+Ft!G$39*($A143-Ft!G$2)^2)+Ft!G$7*EXP(Ft!G$40*($A143-Ft!G$2)^2)))</f>
        <v>0</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v>284</v>
      </c>
      <c r="B144">
        <v>12.633500207840001</v>
      </c>
      <c r="C144" s="6">
        <f t="shared" si="5"/>
        <v>12.713686187659157</v>
      </c>
      <c r="D144" s="19">
        <f t="shared" si="6"/>
        <v>6.429791359558055E-3</v>
      </c>
      <c r="E144" s="3">
        <f>Ft!$B$12+Ft!$B$14*(Data!A144-Vars!$B$3)</f>
        <v>0</v>
      </c>
      <c r="F144" s="3">
        <f>IF(($A144-Ft!B$2)&lt;0,Ft!B$3*((1-Ft!B$6)/(1+Ft!B$37*($A144-Ft!B$2)^2)+Ft!B$6*EXP(Ft!B$38*($A144-Ft!B$2)^2)),Ft!B$3*((1-Ft!B$7)/(1+Ft!B$39*($A144-Ft!B$2)^2)+Ft!B$7*EXP(Ft!B$40*($A144-Ft!B$2)^2)))</f>
        <v>3.0916128652609763E-31</v>
      </c>
      <c r="G144" s="3">
        <f>IF(($A144-Ft!C$2)&lt;0,Ft!C$3*((1-Ft!C$6)/(1+Ft!C$37*($A144-Ft!C$2)^2)+Ft!C$6*EXP(Ft!C$38*($A144-Ft!C$2)^2)),Ft!C$3*((1-Ft!C$7)/(1+Ft!C$39*($A144-Ft!C$2)^2)+Ft!C$7*EXP(Ft!C$40*($A144-Ft!C$2)^2)))</f>
        <v>1.9160184584925299</v>
      </c>
      <c r="H144" s="3">
        <f>IF(($A144-Ft!D$2)&lt;0,Ft!D$3*((1-Ft!D$6)/(1+Ft!D$37*($A144-Ft!D$2)^2)+Ft!D$6*EXP(Ft!D$38*($A144-Ft!D$2)^2)),Ft!D$3*((1-Ft!D$7)/(1+Ft!D$39*($A144-Ft!D$2)^2)+Ft!D$7*EXP(Ft!D$40*($A144-Ft!D$2)^2)))</f>
        <v>10.689154109061329</v>
      </c>
      <c r="I144" s="3">
        <f>IF(($A144-Ft!E$2)&lt;0,Ft!E$3*((1-Ft!E$6)/(1+Ft!E$37*($A144-Ft!E$2)^2)+Ft!E$6*EXP(Ft!E$38*($A144-Ft!E$2)^2)),Ft!E$3*((1-Ft!E$7)/(1+Ft!E$39*($A144-Ft!E$2)^2)+Ft!E$7*EXP(Ft!E$40*($A144-Ft!E$2)^2)))</f>
        <v>0.10851362010529682</v>
      </c>
      <c r="J144" s="3">
        <f>IF(($A144-Ft!F$2)&lt;0,Ft!F$3*((1-Ft!F$6)/(1+Ft!F$37*($A144-Ft!F$2)^2)+Ft!F$6*EXP(Ft!F$38*($A144-Ft!F$2)^2)),Ft!F$3*((1-Ft!F$7)/(1+Ft!F$39*($A144-Ft!F$2)^2)+Ft!F$7*EXP(Ft!F$40*($A144-Ft!F$2)^2)))</f>
        <v>3.0041375638252863E-105</v>
      </c>
      <c r="K144" s="3">
        <f>IF(($A144-Ft!G$2)&lt;0,Ft!G$3*((1-Ft!G$6)/(1+Ft!G$37*($A144-Ft!G$2)^2)+Ft!G$6*EXP(Ft!G$38*($A144-Ft!G$2)^2)),Ft!G$3*((1-Ft!G$7)/(1+Ft!G$39*($A144-Ft!G$2)^2)+Ft!G$7*EXP(Ft!G$40*($A144-Ft!G$2)^2)))</f>
        <v>0</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v>286</v>
      </c>
      <c r="B145">
        <v>12.675931864652</v>
      </c>
      <c r="C145" s="6">
        <f t="shared" si="5"/>
        <v>12.773551053238771</v>
      </c>
      <c r="D145" s="19">
        <f t="shared" si="6"/>
        <v>9.5295059803395584E-3</v>
      </c>
      <c r="E145" s="3">
        <f>Ft!$B$12+Ft!$B$14*(Data!A145-Vars!$B$3)</f>
        <v>0</v>
      </c>
      <c r="F145" s="3">
        <f>IF(($A145-Ft!B$2)&lt;0,Ft!B$3*((1-Ft!B$6)/(1+Ft!B$37*($A145-Ft!B$2)^2)+Ft!B$6*EXP(Ft!B$38*($A145-Ft!B$2)^2)),Ft!B$3*((1-Ft!B$7)/(1+Ft!B$39*($A145-Ft!B$2)^2)+Ft!B$7*EXP(Ft!B$40*($A145-Ft!B$2)^2)))</f>
        <v>9.2852663020628337E-32</v>
      </c>
      <c r="G145" s="3">
        <f>IF(($A145-Ft!C$2)&lt;0,Ft!C$3*((1-Ft!C$6)/(1+Ft!C$37*($A145-Ft!C$2)^2)+Ft!C$6*EXP(Ft!C$38*($A145-Ft!C$2)^2)),Ft!C$3*((1-Ft!C$7)/(1+Ft!C$39*($A145-Ft!C$2)^2)+Ft!C$7*EXP(Ft!C$40*($A145-Ft!C$2)^2)))</f>
        <v>1.8316616023122354</v>
      </c>
      <c r="H145" s="3">
        <f>IF(($A145-Ft!D$2)&lt;0,Ft!D$3*((1-Ft!D$6)/(1+Ft!D$37*($A145-Ft!D$2)^2)+Ft!D$6*EXP(Ft!D$38*($A145-Ft!D$2)^2)),Ft!D$3*((1-Ft!D$7)/(1+Ft!D$39*($A145-Ft!D$2)^2)+Ft!D$7*EXP(Ft!D$40*($A145-Ft!D$2)^2)))</f>
        <v>10.82921366107333</v>
      </c>
      <c r="I145" s="3">
        <f>IF(($A145-Ft!E$2)&lt;0,Ft!E$3*((1-Ft!E$6)/(1+Ft!E$37*($A145-Ft!E$2)^2)+Ft!E$6*EXP(Ft!E$38*($A145-Ft!E$2)^2)),Ft!E$3*((1-Ft!E$7)/(1+Ft!E$39*($A145-Ft!E$2)^2)+Ft!E$7*EXP(Ft!E$40*($A145-Ft!E$2)^2)))</f>
        <v>0.11267578985320387</v>
      </c>
      <c r="J145" s="3">
        <f>IF(($A145-Ft!F$2)&lt;0,Ft!F$3*((1-Ft!F$6)/(1+Ft!F$37*($A145-Ft!F$2)^2)+Ft!F$6*EXP(Ft!F$38*($A145-Ft!F$2)^2)),Ft!F$3*((1-Ft!F$7)/(1+Ft!F$39*($A145-Ft!F$2)^2)+Ft!F$7*EXP(Ft!F$40*($A145-Ft!F$2)^2)))</f>
        <v>1.0985053558757737E-104</v>
      </c>
      <c r="K145" s="3">
        <f>IF(($A145-Ft!G$2)&lt;0,Ft!G$3*((1-Ft!G$6)/(1+Ft!G$37*($A145-Ft!G$2)^2)+Ft!G$6*EXP(Ft!G$38*($A145-Ft!G$2)^2)),Ft!G$3*((1-Ft!G$7)/(1+Ft!G$39*($A145-Ft!G$2)^2)+Ft!G$7*EXP(Ft!G$40*($A145-Ft!G$2)^2)))</f>
        <v>0</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v>288</v>
      </c>
      <c r="B146">
        <v>12.722791238032002</v>
      </c>
      <c r="C146" s="6">
        <f t="shared" si="5"/>
        <v>12.836153449504968</v>
      </c>
      <c r="D146" s="19">
        <f t="shared" si="6"/>
        <v>1.2850990990041411E-2</v>
      </c>
      <c r="E146" s="3">
        <f>Ft!$B$12+Ft!$B$14*(Data!A146-Vars!$B$3)</f>
        <v>0</v>
      </c>
      <c r="F146" s="3">
        <f>IF(($A146-Ft!B$2)&lt;0,Ft!B$3*((1-Ft!B$6)/(1+Ft!B$37*($A146-Ft!B$2)^2)+Ft!B$6*EXP(Ft!B$38*($A146-Ft!B$2)^2)),Ft!B$3*((1-Ft!B$7)/(1+Ft!B$39*($A146-Ft!B$2)^2)+Ft!B$7*EXP(Ft!B$40*($A146-Ft!B$2)^2)))</f>
        <v>2.7608341518829026E-32</v>
      </c>
      <c r="G146" s="3">
        <f>IF(($A146-Ft!C$2)&lt;0,Ft!C$3*((1-Ft!C$6)/(1+Ft!C$37*($A146-Ft!C$2)^2)+Ft!C$6*EXP(Ft!C$38*($A146-Ft!C$2)^2)),Ft!C$3*((1-Ft!C$7)/(1+Ft!C$39*($A146-Ft!C$2)^2)+Ft!C$7*EXP(Ft!C$40*($A146-Ft!C$2)^2)))</f>
        <v>1.7499304300719785</v>
      </c>
      <c r="H146" s="3">
        <f>IF(($A146-Ft!D$2)&lt;0,Ft!D$3*((1-Ft!D$6)/(1+Ft!D$37*($A146-Ft!D$2)^2)+Ft!D$6*EXP(Ft!D$38*($A146-Ft!D$2)^2)),Ft!D$3*((1-Ft!D$7)/(1+Ft!D$39*($A146-Ft!D$2)^2)+Ft!D$7*EXP(Ft!D$40*($A146-Ft!D$2)^2)))</f>
        <v>10.969241998575713</v>
      </c>
      <c r="I146" s="3">
        <f>IF(($A146-Ft!E$2)&lt;0,Ft!E$3*((1-Ft!E$6)/(1+Ft!E$37*($A146-Ft!E$2)^2)+Ft!E$6*EXP(Ft!E$38*($A146-Ft!E$2)^2)),Ft!E$3*((1-Ft!E$7)/(1+Ft!E$39*($A146-Ft!E$2)^2)+Ft!E$7*EXP(Ft!E$40*($A146-Ft!E$2)^2)))</f>
        <v>0.1169810208572765</v>
      </c>
      <c r="J146" s="3">
        <f>IF(($A146-Ft!F$2)&lt;0,Ft!F$3*((1-Ft!F$6)/(1+Ft!F$37*($A146-Ft!F$2)^2)+Ft!F$6*EXP(Ft!F$38*($A146-Ft!F$2)^2)),Ft!F$3*((1-Ft!F$7)/(1+Ft!F$39*($A146-Ft!F$2)^2)+Ft!F$7*EXP(Ft!F$40*($A146-Ft!F$2)^2)))</f>
        <v>4.0029090583981103E-104</v>
      </c>
      <c r="K146" s="3">
        <f>IF(($A146-Ft!G$2)&lt;0,Ft!G$3*((1-Ft!G$6)/(1+Ft!G$37*($A146-Ft!G$2)^2)+Ft!G$6*EXP(Ft!G$38*($A146-Ft!G$2)^2)),Ft!G$3*((1-Ft!G$7)/(1+Ft!G$39*($A146-Ft!G$2)^2)+Ft!G$7*EXP(Ft!G$40*($A146-Ft!G$2)^2)))</f>
        <v>0</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v>290</v>
      </c>
      <c r="B147">
        <v>12.771377692784</v>
      </c>
      <c r="C147" s="6">
        <f t="shared" si="5"/>
        <v>12.901431412298814</v>
      </c>
      <c r="D147" s="19">
        <f t="shared" si="6"/>
        <v>1.691396995963795E-2</v>
      </c>
      <c r="E147" s="3">
        <f>Ft!$B$12+Ft!$B$14*(Data!A147-Vars!$B$3)</f>
        <v>0</v>
      </c>
      <c r="F147" s="3">
        <f>IF(($A147-Ft!B$2)&lt;0,Ft!B$3*((1-Ft!B$6)/(1+Ft!B$37*($A147-Ft!B$2)^2)+Ft!B$6*EXP(Ft!B$38*($A147-Ft!B$2)^2)),Ft!B$3*((1-Ft!B$7)/(1+Ft!B$39*($A147-Ft!B$2)^2)+Ft!B$7*EXP(Ft!B$40*($A147-Ft!B$2)^2)))</f>
        <v>8.1268635894477299E-33</v>
      </c>
      <c r="G147" s="3">
        <f>IF(($A147-Ft!C$2)&lt;0,Ft!C$3*((1-Ft!C$6)/(1+Ft!C$37*($A147-Ft!C$2)^2)+Ft!C$6*EXP(Ft!C$38*($A147-Ft!C$2)^2)),Ft!C$3*((1-Ft!C$7)/(1+Ft!C$39*($A147-Ft!C$2)^2)+Ft!C$7*EXP(Ft!C$40*($A147-Ft!C$2)^2)))</f>
        <v>1.6708071101831701</v>
      </c>
      <c r="H147" s="3">
        <f>IF(($A147-Ft!D$2)&lt;0,Ft!D$3*((1-Ft!D$6)/(1+Ft!D$37*($A147-Ft!D$2)^2)+Ft!D$6*EXP(Ft!D$38*($A147-Ft!D$2)^2)),Ft!D$3*((1-Ft!D$7)/(1+Ft!D$39*($A147-Ft!D$2)^2)+Ft!D$7*EXP(Ft!D$40*($A147-Ft!D$2)^2)))</f>
        <v>11.109190766569135</v>
      </c>
      <c r="I147" s="3">
        <f>IF(($A147-Ft!E$2)&lt;0,Ft!E$3*((1-Ft!E$6)/(1+Ft!E$37*($A147-Ft!E$2)^2)+Ft!E$6*EXP(Ft!E$38*($A147-Ft!E$2)^2)),Ft!E$3*((1-Ft!E$7)/(1+Ft!E$39*($A147-Ft!E$2)^2)+Ft!E$7*EXP(Ft!E$40*($A147-Ft!E$2)^2)))</f>
        <v>0.1214335355465094</v>
      </c>
      <c r="J147" s="3">
        <f>IF(($A147-Ft!F$2)&lt;0,Ft!F$3*((1-Ft!F$6)/(1+Ft!F$37*($A147-Ft!F$2)^2)+Ft!F$6*EXP(Ft!F$38*($A147-Ft!F$2)^2)),Ft!F$3*((1-Ft!F$7)/(1+Ft!F$39*($A147-Ft!F$2)^2)+Ft!F$7*EXP(Ft!F$40*($A147-Ft!F$2)^2)))</f>
        <v>1.4535850586915783E-103</v>
      </c>
      <c r="K147" s="3">
        <f>IF(($A147-Ft!G$2)&lt;0,Ft!G$3*((1-Ft!G$6)/(1+Ft!G$37*($A147-Ft!G$2)^2)+Ft!G$6*EXP(Ft!G$38*($A147-Ft!G$2)^2)),Ft!G$3*((1-Ft!G$7)/(1+Ft!G$39*($A147-Ft!G$2)^2)+Ft!G$7*EXP(Ft!G$40*($A147-Ft!G$2)^2)))</f>
        <v>0</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v>292</v>
      </c>
      <c r="B148">
        <v>12.822378747504999</v>
      </c>
      <c r="C148" s="6">
        <f t="shared" si="5"/>
        <v>12.969318543015133</v>
      </c>
      <c r="D148" s="19">
        <f t="shared" si="6"/>
        <v>2.1591303504559973E-2</v>
      </c>
      <c r="E148" s="3">
        <f>Ft!$B$12+Ft!$B$14*(Data!A148-Vars!$B$3)</f>
        <v>0</v>
      </c>
      <c r="F148" s="3">
        <f>IF(($A148-Ft!B$2)&lt;0,Ft!B$3*((1-Ft!B$6)/(1+Ft!B$37*($A148-Ft!B$2)^2)+Ft!B$6*EXP(Ft!B$38*($A148-Ft!B$2)^2)),Ft!B$3*((1-Ft!B$7)/(1+Ft!B$39*($A148-Ft!B$2)^2)+Ft!B$7*EXP(Ft!B$40*($A148-Ft!B$2)^2)))</f>
        <v>2.3683305569286287E-33</v>
      </c>
      <c r="G148" s="3">
        <f>IF(($A148-Ft!C$2)&lt;0,Ft!C$3*((1-Ft!C$6)/(1+Ft!C$37*($A148-Ft!C$2)^2)+Ft!C$6*EXP(Ft!C$38*($A148-Ft!C$2)^2)),Ft!C$3*((1-Ft!C$7)/(1+Ft!C$39*($A148-Ft!C$2)^2)+Ft!C$7*EXP(Ft!C$40*($A148-Ft!C$2)^2)))</f>
        <v>1.594269859606233</v>
      </c>
      <c r="H148" s="3">
        <f>IF(($A148-Ft!D$2)&lt;0,Ft!D$3*((1-Ft!D$6)/(1+Ft!D$37*($A148-Ft!D$2)^2)+Ft!D$6*EXP(Ft!D$38*($A148-Ft!D$2)^2)),Ft!D$3*((1-Ft!D$7)/(1+Ft!D$39*($A148-Ft!D$2)^2)+Ft!D$7*EXP(Ft!D$40*($A148-Ft!D$2)^2)))</f>
        <v>11.249011029856497</v>
      </c>
      <c r="I148" s="3">
        <f>IF(($A148-Ft!E$2)&lt;0,Ft!E$3*((1-Ft!E$6)/(1+Ft!E$37*($A148-Ft!E$2)^2)+Ft!E$6*EXP(Ft!E$38*($A148-Ft!E$2)^2)),Ft!E$3*((1-Ft!E$7)/(1+Ft!E$39*($A148-Ft!E$2)^2)+Ft!E$7*EXP(Ft!E$40*($A148-Ft!E$2)^2)))</f>
        <v>0.12603765355240329</v>
      </c>
      <c r="J148" s="3">
        <f>IF(($A148-Ft!F$2)&lt;0,Ft!F$3*((1-Ft!F$6)/(1+Ft!F$37*($A148-Ft!F$2)^2)+Ft!F$6*EXP(Ft!F$38*($A148-Ft!F$2)^2)),Ft!F$3*((1-Ft!F$7)/(1+Ft!F$39*($A148-Ft!F$2)^2)+Ft!F$7*EXP(Ft!F$40*($A148-Ft!F$2)^2)))</f>
        <v>5.2601285621370262E-103</v>
      </c>
      <c r="K148" s="3">
        <f>IF(($A148-Ft!G$2)&lt;0,Ft!G$3*((1-Ft!G$6)/(1+Ft!G$37*($A148-Ft!G$2)^2)+Ft!G$6*EXP(Ft!G$38*($A148-Ft!G$2)^2)),Ft!G$3*((1-Ft!G$7)/(1+Ft!G$39*($A148-Ft!G$2)^2)+Ft!G$7*EXP(Ft!G$40*($A148-Ft!G$2)^2)))</f>
        <v>0</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v>294</v>
      </c>
      <c r="B149">
        <v>12.876481920787995</v>
      </c>
      <c r="C149" s="6">
        <f t="shared" si="5"/>
        <v>13.039744267457417</v>
      </c>
      <c r="D149" s="19">
        <f t="shared" si="6"/>
        <v>2.6654593840006409E-2</v>
      </c>
      <c r="E149" s="3">
        <f>Ft!$B$12+Ft!$B$14*(Data!A149-Vars!$B$3)</f>
        <v>0</v>
      </c>
      <c r="F149" s="3">
        <f>IF(($A149-Ft!B$2)&lt;0,Ft!B$3*((1-Ft!B$6)/(1+Ft!B$37*($A149-Ft!B$2)^2)+Ft!B$6*EXP(Ft!B$38*($A149-Ft!B$2)^2)),Ft!B$3*((1-Ft!B$7)/(1+Ft!B$39*($A149-Ft!B$2)^2)+Ft!B$7*EXP(Ft!B$40*($A149-Ft!B$2)^2)))</f>
        <v>6.8327945663360824E-34</v>
      </c>
      <c r="G149" s="3">
        <f>IF(($A149-Ft!C$2)&lt;0,Ft!C$3*((1-Ft!C$6)/(1+Ft!C$37*($A149-Ft!C$2)^2)+Ft!C$6*EXP(Ft!C$38*($A149-Ft!C$2)^2)),Ft!C$3*((1-Ft!C$7)/(1+Ft!C$39*($A149-Ft!C$2)^2)+Ft!C$7*EXP(Ft!C$40*($A149-Ft!C$2)^2)))</f>
        <v>1.5202931753932198</v>
      </c>
      <c r="H149" s="3">
        <f>IF(($A149-Ft!D$2)&lt;0,Ft!D$3*((1-Ft!D$6)/(1+Ft!D$37*($A149-Ft!D$2)^2)+Ft!D$6*EXP(Ft!D$38*($A149-Ft!D$2)^2)),Ft!D$3*((1-Ft!D$7)/(1+Ft!D$39*($A149-Ft!D$2)^2)+Ft!D$7*EXP(Ft!D$40*($A149-Ft!D$2)^2)))</f>
        <v>11.388653299151063</v>
      </c>
      <c r="I149" s="3">
        <f>IF(($A149-Ft!E$2)&lt;0,Ft!E$3*((1-Ft!E$6)/(1+Ft!E$37*($A149-Ft!E$2)^2)+Ft!E$6*EXP(Ft!E$38*($A149-Ft!E$2)^2)),Ft!E$3*((1-Ft!E$7)/(1+Ft!E$39*($A149-Ft!E$2)^2)+Ft!E$7*EXP(Ft!E$40*($A149-Ft!E$2)^2)))</f>
        <v>0.13079779291313329</v>
      </c>
      <c r="J149" s="3">
        <f>IF(($A149-Ft!F$2)&lt;0,Ft!F$3*((1-Ft!F$6)/(1+Ft!F$37*($A149-Ft!F$2)^2)+Ft!F$6*EXP(Ft!F$38*($A149-Ft!F$2)^2)),Ft!F$3*((1-Ft!F$7)/(1+Ft!F$39*($A149-Ft!F$2)^2)+Ft!F$7*EXP(Ft!F$40*($A149-Ft!F$2)^2)))</f>
        <v>1.8968956879128336E-102</v>
      </c>
      <c r="K149" s="3">
        <f>IF(($A149-Ft!G$2)&lt;0,Ft!G$3*((1-Ft!G$6)/(1+Ft!G$37*($A149-Ft!G$2)^2)+Ft!G$6*EXP(Ft!G$38*($A149-Ft!G$2)^2)),Ft!G$3*((1-Ft!G$7)/(1+Ft!G$39*($A149-Ft!G$2)^2)+Ft!G$7*EXP(Ft!G$40*($A149-Ft!G$2)^2)))</f>
        <v>0</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v>296</v>
      </c>
      <c r="B150">
        <v>12.934374731229994</v>
      </c>
      <c r="C150" s="6">
        <f t="shared" si="5"/>
        <v>13.112634096229414</v>
      </c>
      <c r="D150" s="19">
        <f t="shared" si="6"/>
        <v>3.1776401209996356E-2</v>
      </c>
      <c r="E150" s="3">
        <f>Ft!$B$12+Ft!$B$14*(Data!A150-Vars!$B$3)</f>
        <v>0</v>
      </c>
      <c r="F150" s="3">
        <f>IF(($A150-Ft!B$2)&lt;0,Ft!B$3*((1-Ft!B$6)/(1+Ft!B$37*($A150-Ft!B$2)^2)+Ft!B$6*EXP(Ft!B$38*($A150-Ft!B$2)^2)),Ft!B$3*((1-Ft!B$7)/(1+Ft!B$39*($A150-Ft!B$2)^2)+Ft!B$7*EXP(Ft!B$40*($A150-Ft!B$2)^2)))</f>
        <v>1.9516013297098385E-34</v>
      </c>
      <c r="G150" s="3">
        <f>IF(($A150-Ft!C$2)&lt;0,Ft!C$3*((1-Ft!C$6)/(1+Ft!C$37*($A150-Ft!C$2)^2)+Ft!C$6*EXP(Ft!C$38*($A150-Ft!C$2)^2)),Ft!C$3*((1-Ft!C$7)/(1+Ft!C$39*($A150-Ft!C$2)^2)+Ft!C$7*EXP(Ft!C$40*($A150-Ft!C$2)^2)))</f>
        <v>1.4488480669873456</v>
      </c>
      <c r="H150" s="3">
        <f>IF(($A150-Ft!D$2)&lt;0,Ft!D$3*((1-Ft!D$6)/(1+Ft!D$37*($A150-Ft!D$2)^2)+Ft!D$6*EXP(Ft!D$38*($A150-Ft!D$2)^2)),Ft!D$3*((1-Ft!D$7)/(1+Ft!D$39*($A150-Ft!D$2)^2)+Ft!D$7*EXP(Ft!D$40*($A150-Ft!D$2)^2)))</f>
        <v>11.528067557989665</v>
      </c>
      <c r="I150" s="3">
        <f>IF(($A150-Ft!E$2)&lt;0,Ft!E$3*((1-Ft!E$6)/(1+Ft!E$37*($A150-Ft!E$2)^2)+Ft!E$6*EXP(Ft!E$38*($A150-Ft!E$2)^2)),Ft!E$3*((1-Ft!E$7)/(1+Ft!E$39*($A150-Ft!E$2)^2)+Ft!E$7*EXP(Ft!E$40*($A150-Ft!E$2)^2)))</f>
        <v>0.13571847125240377</v>
      </c>
      <c r="J150" s="3">
        <f>IF(($A150-Ft!F$2)&lt;0,Ft!F$3*((1-Ft!F$6)/(1+Ft!F$37*($A150-Ft!F$2)^2)+Ft!F$6*EXP(Ft!F$38*($A150-Ft!F$2)^2)),Ft!F$3*((1-Ft!F$7)/(1+Ft!F$39*($A150-Ft!F$2)^2)+Ft!F$7*EXP(Ft!F$40*($A150-Ft!F$2)^2)))</f>
        <v>6.816818354024006E-102</v>
      </c>
      <c r="K150" s="3">
        <f>IF(($A150-Ft!G$2)&lt;0,Ft!G$3*((1-Ft!G$6)/(1+Ft!G$37*($A150-Ft!G$2)^2)+Ft!G$6*EXP(Ft!G$38*($A150-Ft!G$2)^2)),Ft!G$3*((1-Ft!G$7)/(1+Ft!G$39*($A150-Ft!G$2)^2)+Ft!G$7*EXP(Ft!G$40*($A150-Ft!G$2)^2)))</f>
        <v>0</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v>298</v>
      </c>
      <c r="B151">
        <v>12.996744697425996</v>
      </c>
      <c r="C151" s="6">
        <f t="shared" si="5"/>
        <v>13.187909885763274</v>
      </c>
      <c r="D151" s="19">
        <f t="shared" si="6"/>
        <v>3.6544129232026976E-2</v>
      </c>
      <c r="E151" s="3">
        <f>Ft!$B$12+Ft!$B$14*(Data!A151-Vars!$B$3)</f>
        <v>0</v>
      </c>
      <c r="F151" s="3">
        <f>IF(($A151-Ft!B$2)&lt;0,Ft!B$3*((1-Ft!B$6)/(1+Ft!B$37*($A151-Ft!B$2)^2)+Ft!B$6*EXP(Ft!B$38*($A151-Ft!B$2)^2)),Ft!B$3*((1-Ft!B$7)/(1+Ft!B$39*($A151-Ft!B$2)^2)+Ft!B$7*EXP(Ft!B$40*($A151-Ft!B$2)^2)))</f>
        <v>5.5184936095329877E-35</v>
      </c>
      <c r="G151" s="3">
        <f>IF(($A151-Ft!C$2)&lt;0,Ft!C$3*((1-Ft!C$6)/(1+Ft!C$37*($A151-Ft!C$2)^2)+Ft!C$6*EXP(Ft!C$38*($A151-Ft!C$2)^2)),Ft!C$3*((1-Ft!C$7)/(1+Ft!C$39*($A151-Ft!C$2)^2)+Ft!C$7*EXP(Ft!C$40*($A151-Ft!C$2)^2)))</f>
        <v>1.3799022883987888</v>
      </c>
      <c r="H151" s="3">
        <f>IF(($A151-Ft!D$2)&lt;0,Ft!D$3*((1-Ft!D$6)/(1+Ft!D$37*($A151-Ft!D$2)^2)+Ft!D$6*EXP(Ft!D$38*($A151-Ft!D$2)^2)),Ft!D$3*((1-Ft!D$7)/(1+Ft!D$39*($A151-Ft!D$2)^2)+Ft!D$7*EXP(Ft!D$40*($A151-Ft!D$2)^2)))</f>
        <v>11.667203290433477</v>
      </c>
      <c r="I151" s="3">
        <f>IF(($A151-Ft!E$2)&lt;0,Ft!E$3*((1-Ft!E$6)/(1+Ft!E$37*($A151-Ft!E$2)^2)+Ft!E$6*EXP(Ft!E$38*($A151-Ft!E$2)^2)),Ft!E$3*((1-Ft!E$7)/(1+Ft!E$39*($A151-Ft!E$2)^2)+Ft!E$7*EXP(Ft!E$40*($A151-Ft!E$2)^2)))</f>
        <v>0.14080430693100798</v>
      </c>
      <c r="J151" s="3">
        <f>IF(($A151-Ft!F$2)&lt;0,Ft!F$3*((1-Ft!F$6)/(1+Ft!F$37*($A151-Ft!F$2)^2)+Ft!F$6*EXP(Ft!F$38*($A151-Ft!F$2)^2)),Ft!F$3*((1-Ft!F$7)/(1+Ft!F$39*($A151-Ft!F$2)^2)+Ft!F$7*EXP(Ft!F$40*($A151-Ft!F$2)^2)))</f>
        <v>2.4412439265636525E-101</v>
      </c>
      <c r="K151" s="3">
        <f>IF(($A151-Ft!G$2)&lt;0,Ft!G$3*((1-Ft!G$6)/(1+Ft!G$37*($A151-Ft!G$2)^2)+Ft!G$6*EXP(Ft!G$38*($A151-Ft!G$2)^2)),Ft!G$3*((1-Ft!G$7)/(1+Ft!G$39*($A151-Ft!G$2)^2)+Ft!G$7*EXP(Ft!G$40*($A151-Ft!G$2)^2)))</f>
        <v>0</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v>300</v>
      </c>
      <c r="B152">
        <v>13.064279337971001</v>
      </c>
      <c r="C152" s="6">
        <f t="shared" si="5"/>
        <v>13.265490099123985</v>
      </c>
      <c r="D152" s="19">
        <f t="shared" si="6"/>
        <v>4.0485770403763117E-2</v>
      </c>
      <c r="E152" s="3">
        <f>Ft!$B$12+Ft!$B$14*(Data!A152-Vars!$B$3)</f>
        <v>0</v>
      </c>
      <c r="F152" s="3">
        <f>IF(($A152-Ft!B$2)&lt;0,Ft!B$3*((1-Ft!B$6)/(1+Ft!B$37*($A152-Ft!B$2)^2)+Ft!B$6*EXP(Ft!B$38*($A152-Ft!B$2)^2)),Ft!B$3*((1-Ft!B$7)/(1+Ft!B$39*($A152-Ft!B$2)^2)+Ft!B$7*EXP(Ft!B$40*($A152-Ft!B$2)^2)))</f>
        <v>1.5448512882964056E-35</v>
      </c>
      <c r="G152" s="3">
        <f>IF(($A152-Ft!C$2)&lt;0,Ft!C$3*((1-Ft!C$6)/(1+Ft!C$37*($A152-Ft!C$2)^2)+Ft!C$6*EXP(Ft!C$38*($A152-Ft!C$2)^2)),Ft!C$3*((1-Ft!C$7)/(1+Ft!C$39*($A152-Ft!C$2)^2)+Ft!C$7*EXP(Ft!C$40*($A152-Ft!C$2)^2)))</f>
        <v>1.3134205694172338</v>
      </c>
      <c r="H152" s="3">
        <f>IF(($A152-Ft!D$2)&lt;0,Ft!D$3*((1-Ft!D$6)/(1+Ft!D$37*($A152-Ft!D$2)^2)+Ft!D$6*EXP(Ft!D$38*($A152-Ft!D$2)^2)),Ft!D$3*((1-Ft!D$7)/(1+Ft!D$39*($A152-Ft!D$2)^2)+Ft!D$7*EXP(Ft!D$40*($A152-Ft!D$2)^2)))</f>
        <v>11.806009509537684</v>
      </c>
      <c r="I152" s="3">
        <f>IF(($A152-Ft!E$2)&lt;0,Ft!E$3*((1-Ft!E$6)/(1+Ft!E$37*($A152-Ft!E$2)^2)+Ft!E$6*EXP(Ft!E$38*($A152-Ft!E$2)^2)),Ft!E$3*((1-Ft!E$7)/(1+Ft!E$39*($A152-Ft!E$2)^2)+Ft!E$7*EXP(Ft!E$40*($A152-Ft!E$2)^2)))</f>
        <v>0.14606002016906605</v>
      </c>
      <c r="J152" s="3">
        <f>IF(($A152-Ft!F$2)&lt;0,Ft!F$3*((1-Ft!F$6)/(1+Ft!F$37*($A152-Ft!F$2)^2)+Ft!F$6*EXP(Ft!F$38*($A152-Ft!F$2)^2)),Ft!F$3*((1-Ft!F$7)/(1+Ft!F$39*($A152-Ft!F$2)^2)+Ft!F$7*EXP(Ft!F$40*($A152-Ft!F$2)^2)))</f>
        <v>8.7122797466893667E-101</v>
      </c>
      <c r="K152" s="3">
        <f>IF(($A152-Ft!G$2)&lt;0,Ft!G$3*((1-Ft!G$6)/(1+Ft!G$37*($A152-Ft!G$2)^2)+Ft!G$6*EXP(Ft!G$38*($A152-Ft!G$2)^2)),Ft!G$3*((1-Ft!G$7)/(1+Ft!G$39*($A152-Ft!G$2)^2)+Ft!G$7*EXP(Ft!G$40*($A152-Ft!G$2)^2)))</f>
        <v>0</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v>302</v>
      </c>
      <c r="B153">
        <v>13.137666171460992</v>
      </c>
      <c r="C153" s="6">
        <f t="shared" si="5"/>
        <v>13.345290065771966</v>
      </c>
      <c r="D153" s="19">
        <f t="shared" si="6"/>
        <v>4.3107681488854341E-2</v>
      </c>
      <c r="E153" s="3">
        <f>Ft!$B$12+Ft!$B$14*(Data!A153-Vars!$B$3)</f>
        <v>0</v>
      </c>
      <c r="F153" s="3">
        <f>IF(($A153-Ft!B$2)&lt;0,Ft!B$3*((1-Ft!B$6)/(1+Ft!B$37*($A153-Ft!B$2)^2)+Ft!B$6*EXP(Ft!B$38*($A153-Ft!B$2)^2)),Ft!B$3*((1-Ft!B$7)/(1+Ft!B$39*($A153-Ft!B$2)^2)+Ft!B$7*EXP(Ft!B$40*($A153-Ft!B$2)^2)))</f>
        <v>4.2814365430823977E-36</v>
      </c>
      <c r="G153" s="3">
        <f>IF(($A153-Ft!C$2)&lt;0,Ft!C$3*((1-Ft!C$6)/(1+Ft!C$37*($A153-Ft!C$2)^2)+Ft!C$6*EXP(Ft!C$38*($A153-Ft!C$2)^2)),Ft!C$3*((1-Ft!C$7)/(1+Ft!C$39*($A153-Ft!C$2)^2)+Ft!C$7*EXP(Ft!C$40*($A153-Ft!C$2)^2)))</f>
        <v>1.2493648450648795</v>
      </c>
      <c r="H153" s="3">
        <f>IF(($A153-Ft!D$2)&lt;0,Ft!D$3*((1-Ft!D$6)/(1+Ft!D$37*($A153-Ft!D$2)^2)+Ft!D$6*EXP(Ft!D$38*($A153-Ft!D$2)^2)),Ft!D$3*((1-Ft!D$7)/(1+Ft!D$39*($A153-Ft!D$2)^2)+Ft!D$7*EXP(Ft!D$40*($A153-Ft!D$2)^2)))</f>
        <v>11.944434786570223</v>
      </c>
      <c r="I153" s="3">
        <f>IF(($A153-Ft!E$2)&lt;0,Ft!E$3*((1-Ft!E$6)/(1+Ft!E$37*($A153-Ft!E$2)^2)+Ft!E$6*EXP(Ft!E$38*($A153-Ft!E$2)^2)),Ft!E$3*((1-Ft!E$7)/(1+Ft!E$39*($A153-Ft!E$2)^2)+Ft!E$7*EXP(Ft!E$40*($A153-Ft!E$2)^2)))</f>
        <v>0.15149043413686258</v>
      </c>
      <c r="J153" s="3">
        <f>IF(($A153-Ft!F$2)&lt;0,Ft!F$3*((1-Ft!F$6)/(1+Ft!F$37*($A153-Ft!F$2)^2)+Ft!F$6*EXP(Ft!F$38*($A153-Ft!F$2)^2)),Ft!F$3*((1-Ft!F$7)/(1+Ft!F$39*($A153-Ft!F$2)^2)+Ft!F$7*EXP(Ft!F$40*($A153-Ft!F$2)^2)))</f>
        <v>3.0984438474420687E-100</v>
      </c>
      <c r="K153" s="3">
        <f>IF(($A153-Ft!G$2)&lt;0,Ft!G$3*((1-Ft!G$6)/(1+Ft!G$37*($A153-Ft!G$2)^2)+Ft!G$6*EXP(Ft!G$38*($A153-Ft!G$2)^2)),Ft!G$3*((1-Ft!G$7)/(1+Ft!G$39*($A153-Ft!G$2)^2)+Ft!G$7*EXP(Ft!G$40*($A153-Ft!G$2)^2)))</f>
        <v>0</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v>304</v>
      </c>
      <c r="B154">
        <v>13.218329941911989</v>
      </c>
      <c r="C154" s="6">
        <f t="shared" si="5"/>
        <v>13.427222239509605</v>
      </c>
      <c r="D154" s="19">
        <f t="shared" si="6"/>
        <v>4.3635991995611134E-2</v>
      </c>
      <c r="E154" s="3">
        <f>Ft!$B$12+Ft!$B$14*(Data!A154-Vars!$B$3)</f>
        <v>0</v>
      </c>
      <c r="F154" s="3">
        <f>IF(($A154-Ft!B$2)&lt;0,Ft!B$3*((1-Ft!B$6)/(1+Ft!B$37*($A154-Ft!B$2)^2)+Ft!B$6*EXP(Ft!B$38*($A154-Ft!B$2)^2)),Ft!B$3*((1-Ft!B$7)/(1+Ft!B$39*($A154-Ft!B$2)^2)+Ft!B$7*EXP(Ft!B$40*($A154-Ft!B$2)^2)))</f>
        <v>1.174705603781972E-36</v>
      </c>
      <c r="G154" s="3">
        <f>IF(($A154-Ft!C$2)&lt;0,Ft!C$3*((1-Ft!C$6)/(1+Ft!C$37*($A154-Ft!C$2)^2)+Ft!C$6*EXP(Ft!C$38*($A154-Ft!C$2)^2)),Ft!C$3*((1-Ft!C$7)/(1+Ft!C$39*($A154-Ft!C$2)^2)+Ft!C$7*EXP(Ft!C$40*($A154-Ft!C$2)^2)))</f>
        <v>1.1876944825387872</v>
      </c>
      <c r="H154" s="3">
        <f>IF(($A154-Ft!D$2)&lt;0,Ft!D$3*((1-Ft!D$6)/(1+Ft!D$37*($A154-Ft!D$2)^2)+Ft!D$6*EXP(Ft!D$38*($A154-Ft!D$2)^2)),Ft!D$3*((1-Ft!D$7)/(1+Ft!D$39*($A154-Ft!D$2)^2)+Ft!D$7*EXP(Ft!D$40*($A154-Ft!D$2)^2)))</f>
        <v>12.082427280958653</v>
      </c>
      <c r="I154" s="3">
        <f>IF(($A154-Ft!E$2)&lt;0,Ft!E$3*((1-Ft!E$6)/(1+Ft!E$37*($A154-Ft!E$2)^2)+Ft!E$6*EXP(Ft!E$38*($A154-Ft!E$2)^2)),Ft!E$3*((1-Ft!E$7)/(1+Ft!E$39*($A154-Ft!E$2)^2)+Ft!E$7*EXP(Ft!E$40*($A154-Ft!E$2)^2)))</f>
        <v>0.15710047601216615</v>
      </c>
      <c r="J154" s="3">
        <f>IF(($A154-Ft!F$2)&lt;0,Ft!F$3*((1-Ft!F$6)/(1+Ft!F$37*($A154-Ft!F$2)^2)+Ft!F$6*EXP(Ft!F$38*($A154-Ft!F$2)^2)),Ft!F$3*((1-Ft!F$7)/(1+Ft!F$39*($A154-Ft!F$2)^2)+Ft!F$7*EXP(Ft!F$40*($A154-Ft!F$2)^2)))</f>
        <v>1.0981119805173608E-99</v>
      </c>
      <c r="K154" s="3">
        <f>IF(($A154-Ft!G$2)&lt;0,Ft!G$3*((1-Ft!G$6)/(1+Ft!G$37*($A154-Ft!G$2)^2)+Ft!G$6*EXP(Ft!G$38*($A154-Ft!G$2)^2)),Ft!G$3*((1-Ft!G$7)/(1+Ft!G$39*($A154-Ft!G$2)^2)+Ft!G$7*EXP(Ft!G$40*($A154-Ft!G$2)^2)))</f>
        <v>0</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v>306</v>
      </c>
      <c r="B155">
        <v>13.310229238931996</v>
      </c>
      <c r="C155" s="6">
        <f t="shared" si="5"/>
        <v>13.511196453882913</v>
      </c>
      <c r="D155" s="19">
        <f t="shared" si="6"/>
        <v>4.0387821485128421E-2</v>
      </c>
      <c r="E155" s="3">
        <f>Ft!$B$12+Ft!$B$14*(Data!A155-Vars!$B$3)</f>
        <v>0</v>
      </c>
      <c r="F155" s="3">
        <f>IF(($A155-Ft!B$2)&lt;0,Ft!B$3*((1-Ft!B$6)/(1+Ft!B$37*($A155-Ft!B$2)^2)+Ft!B$6*EXP(Ft!B$38*($A155-Ft!B$2)^2)),Ft!B$3*((1-Ft!B$7)/(1+Ft!B$39*($A155-Ft!B$2)^2)+Ft!B$7*EXP(Ft!B$40*($A155-Ft!B$2)^2)))</f>
        <v>3.1908417527009349E-37</v>
      </c>
      <c r="G155" s="3">
        <f>IF(($A155-Ft!C$2)&lt;0,Ft!C$3*((1-Ft!C$6)/(1+Ft!C$37*($A155-Ft!C$2)^2)+Ft!C$6*EXP(Ft!C$38*($A155-Ft!C$2)^2)),Ft!C$3*((1-Ft!C$7)/(1+Ft!C$39*($A155-Ft!C$2)^2)+Ft!C$7*EXP(Ft!C$40*($A155-Ft!C$2)^2)))</f>
        <v>1.1283665049380172</v>
      </c>
      <c r="H155" s="3">
        <f>IF(($A155-Ft!D$2)&lt;0,Ft!D$3*((1-Ft!D$6)/(1+Ft!D$37*($A155-Ft!D$2)^2)+Ft!D$6*EXP(Ft!D$38*($A155-Ft!D$2)^2)),Ft!D$3*((1-Ft!D$7)/(1+Ft!D$39*($A155-Ft!D$2)^2)+Ft!D$7*EXP(Ft!D$40*($A155-Ft!D$2)^2)))</f>
        <v>12.219934770943036</v>
      </c>
      <c r="I155" s="3">
        <f>IF(($A155-Ft!E$2)&lt;0,Ft!E$3*((1-Ft!E$6)/(1+Ft!E$37*($A155-Ft!E$2)^2)+Ft!E$6*EXP(Ft!E$38*($A155-Ft!E$2)^2)),Ft!E$3*((1-Ft!E$7)/(1+Ft!E$39*($A155-Ft!E$2)^2)+Ft!E$7*EXP(Ft!E$40*($A155-Ft!E$2)^2)))</f>
        <v>0.16289517800186129</v>
      </c>
      <c r="J155" s="3">
        <f>IF(($A155-Ft!F$2)&lt;0,Ft!F$3*((1-Ft!F$6)/(1+Ft!F$37*($A155-Ft!F$2)^2)+Ft!F$6*EXP(Ft!F$38*($A155-Ft!F$2)^2)),Ft!F$3*((1-Ft!F$7)/(1+Ft!F$39*($A155-Ft!F$2)^2)+Ft!F$7*EXP(Ft!F$40*($A155-Ft!F$2)^2)))</f>
        <v>3.8782947425891493E-99</v>
      </c>
      <c r="K155" s="3">
        <f>IF(($A155-Ft!G$2)&lt;0,Ft!G$3*((1-Ft!G$6)/(1+Ft!G$37*($A155-Ft!G$2)^2)+Ft!G$6*EXP(Ft!G$38*($A155-Ft!G$2)^2)),Ft!G$3*((1-Ft!G$7)/(1+Ft!G$39*($A155-Ft!G$2)^2)+Ft!G$7*EXP(Ft!G$40*($A155-Ft!G$2)^2)))</f>
        <v>0</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v>308</v>
      </c>
      <c r="B156">
        <v>13.411844087108989</v>
      </c>
      <c r="C156" s="6">
        <f t="shared" si="5"/>
        <v>13.597120174356169</v>
      </c>
      <c r="D156" s="19">
        <f t="shared" si="6"/>
        <v>3.432722850562471E-2</v>
      </c>
      <c r="E156" s="3">
        <f>Ft!$B$12+Ft!$B$14*(Data!A156-Vars!$B$3)</f>
        <v>0</v>
      </c>
      <c r="F156" s="3">
        <f>IF(($A156-Ft!B$2)&lt;0,Ft!B$3*((1-Ft!B$6)/(1+Ft!B$37*($A156-Ft!B$2)^2)+Ft!B$6*EXP(Ft!B$38*($A156-Ft!B$2)^2)),Ft!B$3*((1-Ft!B$7)/(1+Ft!B$39*($A156-Ft!B$2)^2)+Ft!B$7*EXP(Ft!B$40*($A156-Ft!B$2)^2)))</f>
        <v>8.5806105052494397E-38</v>
      </c>
      <c r="G156" s="3">
        <f>IF(($A156-Ft!C$2)&lt;0,Ft!C$3*((1-Ft!C$6)/(1+Ft!C$37*($A156-Ft!C$2)^2)+Ft!C$6*EXP(Ft!C$38*($A156-Ft!C$2)^2)),Ft!C$3*((1-Ft!C$7)/(1+Ft!C$39*($A156-Ft!C$2)^2)+Ft!C$7*EXP(Ft!C$40*($A156-Ft!C$2)^2)))</f>
        <v>1.0713358111188123</v>
      </c>
      <c r="H156" s="3">
        <f>IF(($A156-Ft!D$2)&lt;0,Ft!D$3*((1-Ft!D$6)/(1+Ft!D$37*($A156-Ft!D$2)^2)+Ft!D$6*EXP(Ft!D$38*($A156-Ft!D$2)^2)),Ft!D$3*((1-Ft!D$7)/(1+Ft!D$39*($A156-Ft!D$2)^2)+Ft!D$7*EXP(Ft!D$40*($A156-Ft!D$2)^2)))</f>
        <v>12.356904684911674</v>
      </c>
      <c r="I156" s="3">
        <f>IF(($A156-Ft!E$2)&lt;0,Ft!E$3*((1-Ft!E$6)/(1+Ft!E$37*($A156-Ft!E$2)^2)+Ft!E$6*EXP(Ft!E$38*($A156-Ft!E$2)^2)),Ft!E$3*((1-Ft!E$7)/(1+Ft!E$39*($A156-Ft!E$2)^2)+Ft!E$7*EXP(Ft!E$40*($A156-Ft!E$2)^2)))</f>
        <v>0.16887967832568301</v>
      </c>
      <c r="J156" s="3">
        <f>IF(($A156-Ft!F$2)&lt;0,Ft!F$3*((1-Ft!F$6)/(1+Ft!F$37*($A156-Ft!F$2)^2)+Ft!F$6*EXP(Ft!F$38*($A156-Ft!F$2)^2)),Ft!F$3*((1-Ft!F$7)/(1+Ft!F$39*($A156-Ft!F$2)^2)+Ft!F$7*EXP(Ft!F$40*($A156-Ft!F$2)^2)))</f>
        <v>1.3649796450770832E-98</v>
      </c>
      <c r="K156" s="3">
        <f>IF(($A156-Ft!G$2)&lt;0,Ft!G$3*((1-Ft!G$6)/(1+Ft!G$37*($A156-Ft!G$2)^2)+Ft!G$6*EXP(Ft!G$38*($A156-Ft!G$2)^2)),Ft!G$3*((1-Ft!G$7)/(1+Ft!G$39*($A156-Ft!G$2)^2)+Ft!G$7*EXP(Ft!G$40*($A156-Ft!G$2)^2)))</f>
        <v>0</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v>310</v>
      </c>
      <c r="B157">
        <v>13.520789254326999</v>
      </c>
      <c r="C157" s="6">
        <f t="shared" si="5"/>
        <v>13.684898746624894</v>
      </c>
      <c r="D157" s="19">
        <f t="shared" si="6"/>
        <v>2.6931925462272771E-2</v>
      </c>
      <c r="E157" s="3">
        <f>Ft!$B$12+Ft!$B$14*(Data!A157-Vars!$B$3)</f>
        <v>0</v>
      </c>
      <c r="F157" s="3">
        <f>IF(($A157-Ft!B$2)&lt;0,Ft!B$3*((1-Ft!B$6)/(1+Ft!B$37*($A157-Ft!B$2)^2)+Ft!B$6*EXP(Ft!B$38*($A157-Ft!B$2)^2)),Ft!B$3*((1-Ft!B$7)/(1+Ft!B$39*($A157-Ft!B$2)^2)+Ft!B$7*EXP(Ft!B$40*($A157-Ft!B$2)^2)))</f>
        <v>2.2843771533305722E-38</v>
      </c>
      <c r="G157" s="3">
        <f>IF(($A157-Ft!C$2)&lt;0,Ft!C$3*((1-Ft!C$6)/(1+Ft!C$37*($A157-Ft!C$2)^2)+Ft!C$6*EXP(Ft!C$38*($A157-Ft!C$2)^2)),Ft!C$3*((1-Ft!C$7)/(1+Ft!C$39*($A157-Ft!C$2)^2)+Ft!C$7*EXP(Ft!C$40*($A157-Ft!C$2)^2)))</f>
        <v>1.0165553910696954</v>
      </c>
      <c r="H157" s="3">
        <f>IF(($A157-Ft!D$2)&lt;0,Ft!D$3*((1-Ft!D$6)/(1+Ft!D$37*($A157-Ft!D$2)^2)+Ft!D$6*EXP(Ft!D$38*($A157-Ft!D$2)^2)),Ft!D$3*((1-Ft!D$7)/(1+Ft!D$39*($A157-Ft!D$2)^2)+Ft!D$7*EXP(Ft!D$40*($A157-Ft!D$2)^2)))</f>
        <v>12.493284133395402</v>
      </c>
      <c r="I157" s="3">
        <f>IF(($A157-Ft!E$2)&lt;0,Ft!E$3*((1-Ft!E$6)/(1+Ft!E$37*($A157-Ft!E$2)^2)+Ft!E$6*EXP(Ft!E$38*($A157-Ft!E$2)^2)),Ft!E$3*((1-Ft!E$7)/(1+Ft!E$39*($A157-Ft!E$2)^2)+Ft!E$7*EXP(Ft!E$40*($A157-Ft!E$2)^2)))</f>
        <v>0.17505922215979589</v>
      </c>
      <c r="J157" s="3">
        <f>IF(($A157-Ft!F$2)&lt;0,Ft!F$3*((1-Ft!F$6)/(1+Ft!F$37*($A157-Ft!F$2)^2)+Ft!F$6*EXP(Ft!F$38*($A157-Ft!F$2)^2)),Ft!F$3*((1-Ft!F$7)/(1+Ft!F$39*($A157-Ft!F$2)^2)+Ft!F$7*EXP(Ft!F$40*($A157-Ft!F$2)^2)))</f>
        <v>4.7874331270755125E-98</v>
      </c>
      <c r="K157" s="3">
        <f>IF(($A157-Ft!G$2)&lt;0,Ft!G$3*((1-Ft!G$6)/(1+Ft!G$37*($A157-Ft!G$2)^2)+Ft!G$6*EXP(Ft!G$38*($A157-Ft!G$2)^2)),Ft!G$3*((1-Ft!G$7)/(1+Ft!G$39*($A157-Ft!G$2)^2)+Ft!G$7*EXP(Ft!G$40*($A157-Ft!G$2)^2)))</f>
        <v>0</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v>312</v>
      </c>
      <c r="B158">
        <v>13.634679508473994</v>
      </c>
      <c r="C158" s="6">
        <f t="shared" si="5"/>
        <v>13.774435640480554</v>
      </c>
      <c r="D158" s="19">
        <f t="shared" si="6"/>
        <v>1.9531776433435181E-2</v>
      </c>
      <c r="E158" s="3">
        <f>Ft!$B$12+Ft!$B$14*(Data!A158-Vars!$B$3)</f>
        <v>0</v>
      </c>
      <c r="F158" s="3">
        <f>IF(($A158-Ft!B$2)&lt;0,Ft!B$3*((1-Ft!B$6)/(1+Ft!B$37*($A158-Ft!B$2)^2)+Ft!B$6*EXP(Ft!B$38*($A158-Ft!B$2)^2)),Ft!B$3*((1-Ft!B$7)/(1+Ft!B$39*($A158-Ft!B$2)^2)+Ft!B$7*EXP(Ft!B$40*($A158-Ft!B$2)^2)))</f>
        <v>6.0207989338984134E-39</v>
      </c>
      <c r="G158" s="3">
        <f>IF(($A158-Ft!C$2)&lt;0,Ft!C$3*((1-Ft!C$6)/(1+Ft!C$37*($A158-Ft!C$2)^2)+Ft!C$6*EXP(Ft!C$38*($A158-Ft!C$2)^2)),Ft!C$3*((1-Ft!C$7)/(1+Ft!C$39*($A158-Ft!C$2)^2)+Ft!C$7*EXP(Ft!C$40*($A158-Ft!C$2)^2)))</f>
        <v>0.96397653624754254</v>
      </c>
      <c r="H158" s="3">
        <f>IF(($A158-Ft!D$2)&lt;0,Ft!D$3*((1-Ft!D$6)/(1+Ft!D$37*($A158-Ft!D$2)^2)+Ft!D$6*EXP(Ft!D$38*($A158-Ft!D$2)^2)),Ft!D$3*((1-Ft!D$7)/(1+Ft!D$39*($A158-Ft!D$2)^2)+Ft!D$7*EXP(Ft!D$40*($A158-Ft!D$2)^2)))</f>
        <v>12.629019941695088</v>
      </c>
      <c r="I158" s="3">
        <f>IF(($A158-Ft!E$2)&lt;0,Ft!E$3*((1-Ft!E$6)/(1+Ft!E$37*($A158-Ft!E$2)^2)+Ft!E$6*EXP(Ft!E$38*($A158-Ft!E$2)^2)),Ft!E$3*((1-Ft!E$7)/(1+Ft!E$39*($A158-Ft!E$2)^2)+Ft!E$7*EXP(Ft!E$40*($A158-Ft!E$2)^2)))</f>
        <v>0.18143916253792422</v>
      </c>
      <c r="J158" s="3">
        <f>IF(($A158-Ft!F$2)&lt;0,Ft!F$3*((1-Ft!F$6)/(1+Ft!F$37*($A158-Ft!F$2)^2)+Ft!F$6*EXP(Ft!F$38*($A158-Ft!F$2)^2)),Ft!F$3*((1-Ft!F$7)/(1+Ft!F$39*($A158-Ft!F$2)^2)+Ft!F$7*EXP(Ft!F$40*($A158-Ft!F$2)^2)))</f>
        <v>1.6732870423964641E-97</v>
      </c>
      <c r="K158" s="3">
        <f>IF(($A158-Ft!G$2)&lt;0,Ft!G$3*((1-Ft!G$6)/(1+Ft!G$37*($A158-Ft!G$2)^2)+Ft!G$6*EXP(Ft!G$38*($A158-Ft!G$2)^2)),Ft!G$3*((1-Ft!G$7)/(1+Ft!G$39*($A158-Ft!G$2)^2)+Ft!G$7*EXP(Ft!G$40*($A158-Ft!G$2)^2)))</f>
        <v>0</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v>314</v>
      </c>
      <c r="B159">
        <v>13.751129617435993</v>
      </c>
      <c r="C159" s="6">
        <f t="shared" si="5"/>
        <v>13.865632688688805</v>
      </c>
      <c r="D159" s="19">
        <f t="shared" si="6"/>
        <v>1.311095332632667E-2</v>
      </c>
      <c r="E159" s="3">
        <f>Ft!$B$12+Ft!$B$14*(Data!A159-Vars!$B$3)</f>
        <v>0</v>
      </c>
      <c r="F159" s="3">
        <f>IF(($A159-Ft!B$2)&lt;0,Ft!B$3*((1-Ft!B$6)/(1+Ft!B$37*($A159-Ft!B$2)^2)+Ft!B$6*EXP(Ft!B$38*($A159-Ft!B$2)^2)),Ft!B$3*((1-Ft!B$7)/(1+Ft!B$39*($A159-Ft!B$2)^2)+Ft!B$7*EXP(Ft!B$40*($A159-Ft!B$2)^2)))</f>
        <v>1.5710034432535455E-39</v>
      </c>
      <c r="G159" s="3">
        <f>IF(($A159-Ft!C$2)&lt;0,Ft!C$3*((1-Ft!C$6)/(1+Ft!C$37*($A159-Ft!C$2)^2)+Ft!C$6*EXP(Ft!C$38*($A159-Ft!C$2)^2)),Ft!C$3*((1-Ft!C$7)/(1+Ft!C$39*($A159-Ft!C$2)^2)+Ft!C$7*EXP(Ft!C$40*($A159-Ft!C$2)^2)))</f>
        <v>0.91354904436513285</v>
      </c>
      <c r="H159" s="3">
        <f>IF(($A159-Ft!D$2)&lt;0,Ft!D$3*((1-Ft!D$6)/(1+Ft!D$37*($A159-Ft!D$2)^2)+Ft!D$6*EXP(Ft!D$38*($A159-Ft!D$2)^2)),Ft!D$3*((1-Ft!D$7)/(1+Ft!D$39*($A159-Ft!D$2)^2)+Ft!D$7*EXP(Ft!D$40*($A159-Ft!D$2)^2)))</f>
        <v>12.764058683115984</v>
      </c>
      <c r="I159" s="3">
        <f>IF(($A159-Ft!E$2)&lt;0,Ft!E$3*((1-Ft!E$6)/(1+Ft!E$37*($A159-Ft!E$2)^2)+Ft!E$6*EXP(Ft!E$38*($A159-Ft!E$2)^2)),Ft!E$3*((1-Ft!E$7)/(1+Ft!E$39*($A159-Ft!E$2)^2)+Ft!E$7*EXP(Ft!E$40*($A159-Ft!E$2)^2)))</f>
        <v>0.18802496120768813</v>
      </c>
      <c r="J159" s="3">
        <f>IF(($A159-Ft!F$2)&lt;0,Ft!F$3*((1-Ft!F$6)/(1+Ft!F$37*($A159-Ft!F$2)^2)+Ft!F$6*EXP(Ft!F$38*($A159-Ft!F$2)^2)),Ft!F$3*((1-Ft!F$7)/(1+Ft!F$39*($A159-Ft!F$2)^2)+Ft!F$7*EXP(Ft!F$40*($A159-Ft!F$2)^2)))</f>
        <v>5.8281317018487161E-97</v>
      </c>
      <c r="K159" s="3">
        <f>IF(($A159-Ft!G$2)&lt;0,Ft!G$3*((1-Ft!G$6)/(1+Ft!G$37*($A159-Ft!G$2)^2)+Ft!G$6*EXP(Ft!G$38*($A159-Ft!G$2)^2)),Ft!G$3*((1-Ft!G$7)/(1+Ft!G$39*($A159-Ft!G$2)^2)+Ft!G$7*EXP(Ft!G$40*($A159-Ft!G$2)^2)))</f>
        <v>0</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v>316</v>
      </c>
      <c r="B160">
        <v>13.867754349097993</v>
      </c>
      <c r="C160" s="6">
        <f t="shared" si="5"/>
        <v>13.958390320391299</v>
      </c>
      <c r="D160" s="19">
        <f t="shared" si="6"/>
        <v>8.2148792922809941E-3</v>
      </c>
      <c r="E160" s="3">
        <f>Ft!$B$12+Ft!$B$14*(Data!A160-Vars!$B$3)</f>
        <v>0</v>
      </c>
      <c r="F160" s="3">
        <f>IF(($A160-Ft!B$2)&lt;0,Ft!B$3*((1-Ft!B$6)/(1+Ft!B$37*($A160-Ft!B$2)^2)+Ft!B$6*EXP(Ft!B$38*($A160-Ft!B$2)^2)),Ft!B$3*((1-Ft!B$7)/(1+Ft!B$39*($A160-Ft!B$2)^2)+Ft!B$7*EXP(Ft!B$40*($A160-Ft!B$2)^2)))</f>
        <v>4.0582317707796958E-40</v>
      </c>
      <c r="G160" s="3">
        <f>IF(($A160-Ft!C$2)&lt;0,Ft!C$3*((1-Ft!C$6)/(1+Ft!C$37*($A160-Ft!C$2)^2)+Ft!C$6*EXP(Ft!C$38*($A160-Ft!C$2)^2)),Ft!C$3*((1-Ft!C$7)/(1+Ft!C$39*($A160-Ft!C$2)^2)+Ft!C$7*EXP(Ft!C$40*($A160-Ft!C$2)^2)))</f>
        <v>0.86522141817006404</v>
      </c>
      <c r="H160" s="3">
        <f>IF(($A160-Ft!D$2)&lt;0,Ft!D$3*((1-Ft!D$6)/(1+Ft!D$37*($A160-Ft!D$2)^2)+Ft!D$6*EXP(Ft!D$38*($A160-Ft!D$2)^2)),Ft!D$3*((1-Ft!D$7)/(1+Ft!D$39*($A160-Ft!D$2)^2)+Ft!D$7*EXP(Ft!D$40*($A160-Ft!D$2)^2)))</f>
        <v>12.898346712781464</v>
      </c>
      <c r="I160" s="3">
        <f>IF(($A160-Ft!E$2)&lt;0,Ft!E$3*((1-Ft!E$6)/(1+Ft!E$37*($A160-Ft!E$2)^2)+Ft!E$6*EXP(Ft!E$38*($A160-Ft!E$2)^2)),Ft!E$3*((1-Ft!E$7)/(1+Ft!E$39*($A160-Ft!E$2)^2)+Ft!E$7*EXP(Ft!E$40*($A160-Ft!E$2)^2)))</f>
        <v>0.1948221894397702</v>
      </c>
      <c r="J160" s="3">
        <f>IF(($A160-Ft!F$2)&lt;0,Ft!F$3*((1-Ft!F$6)/(1+Ft!F$37*($A160-Ft!F$2)^2)+Ft!F$6*EXP(Ft!F$38*($A160-Ft!F$2)^2)),Ft!F$3*((1-Ft!F$7)/(1+Ft!F$39*($A160-Ft!F$2)^2)+Ft!F$7*EXP(Ft!F$40*($A160-Ft!F$2)^2)))</f>
        <v>2.0229234478047787E-96</v>
      </c>
      <c r="K160" s="3">
        <f>IF(($A160-Ft!G$2)&lt;0,Ft!G$3*((1-Ft!G$6)/(1+Ft!G$37*($A160-Ft!G$2)^2)+Ft!G$6*EXP(Ft!G$38*($A160-Ft!G$2)^2)),Ft!G$3*((1-Ft!G$7)/(1+Ft!G$39*($A160-Ft!G$2)^2)+Ft!G$7*EXP(Ft!G$40*($A160-Ft!G$2)^2)))</f>
        <v>0</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v>318</v>
      </c>
      <c r="B161">
        <v>13.982168471346995</v>
      </c>
      <c r="C161" s="6">
        <f t="shared" si="5"/>
        <v>14.052607788589329</v>
      </c>
      <c r="D161" s="19">
        <f t="shared" si="6"/>
        <v>4.9616974135661858E-3</v>
      </c>
      <c r="E161" s="3">
        <f>Ft!$B$12+Ft!$B$14*(Data!A161-Vars!$B$3)</f>
        <v>0</v>
      </c>
      <c r="F161" s="3">
        <f>IF(($A161-Ft!B$2)&lt;0,Ft!B$3*((1-Ft!B$6)/(1+Ft!B$37*($A161-Ft!B$2)^2)+Ft!B$6*EXP(Ft!B$38*($A161-Ft!B$2)^2)),Ft!B$3*((1-Ft!B$7)/(1+Ft!B$39*($A161-Ft!B$2)^2)+Ft!B$7*EXP(Ft!B$40*($A161-Ft!B$2)^2)))</f>
        <v>1.0378468055009022E-40</v>
      </c>
      <c r="G161" s="3">
        <f>IF(($A161-Ft!C$2)&lt;0,Ft!C$3*((1-Ft!C$6)/(1+Ft!C$37*($A161-Ft!C$2)^2)+Ft!C$6*EXP(Ft!C$38*($A161-Ft!C$2)^2)),Ft!C$3*((1-Ft!C$7)/(1+Ft!C$39*($A161-Ft!C$2)^2)+Ft!C$7*EXP(Ft!C$40*($A161-Ft!C$2)^2)))</f>
        <v>0.81894105780403526</v>
      </c>
      <c r="H161" s="3">
        <f>IF(($A161-Ft!D$2)&lt;0,Ft!D$3*((1-Ft!D$6)/(1+Ft!D$37*($A161-Ft!D$2)^2)+Ft!D$6*EXP(Ft!D$38*($A161-Ft!D$2)^2)),Ft!D$3*((1-Ft!D$7)/(1+Ft!D$39*($A161-Ft!D$2)^2)+Ft!D$7*EXP(Ft!D$40*($A161-Ft!D$2)^2)))</f>
        <v>13.031830201997805</v>
      </c>
      <c r="I161" s="3">
        <f>IF(($A161-Ft!E$2)&lt;0,Ft!E$3*((1-Ft!E$6)/(1+Ft!E$37*($A161-Ft!E$2)^2)+Ft!E$6*EXP(Ft!E$38*($A161-Ft!E$2)^2)),Ft!E$3*((1-Ft!E$7)/(1+Ft!E$39*($A161-Ft!E$2)^2)+Ft!E$7*EXP(Ft!E$40*($A161-Ft!E$2)^2)))</f>
        <v>0.20183652878748837</v>
      </c>
      <c r="J161" s="3">
        <f>IF(($A161-Ft!F$2)&lt;0,Ft!F$3*((1-Ft!F$6)/(1+Ft!F$37*($A161-Ft!F$2)^2)+Ft!F$6*EXP(Ft!F$38*($A161-Ft!F$2)^2)),Ft!F$3*((1-Ft!F$7)/(1+Ft!F$39*($A161-Ft!F$2)^2)+Ft!F$7*EXP(Ft!F$40*($A161-Ft!F$2)^2)))</f>
        <v>6.9971425443580103E-96</v>
      </c>
      <c r="K161" s="3">
        <f>IF(($A161-Ft!G$2)&lt;0,Ft!G$3*((1-Ft!G$6)/(1+Ft!G$37*($A161-Ft!G$2)^2)+Ft!G$6*EXP(Ft!G$38*($A161-Ft!G$2)^2)),Ft!G$3*((1-Ft!G$7)/(1+Ft!G$39*($A161-Ft!G$2)^2)+Ft!G$7*EXP(Ft!G$40*($A161-Ft!G$2)^2)))</f>
        <v>0</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v>320</v>
      </c>
      <c r="B162">
        <v>14.091986752067996</v>
      </c>
      <c r="C162" s="6">
        <f t="shared" si="5"/>
        <v>14.148183391314976</v>
      </c>
      <c r="D162" s="19">
        <f t="shared" si="6"/>
        <v>3.1580622626552796E-3</v>
      </c>
      <c r="E162" s="3">
        <f>Ft!$B$12+Ft!$B$14*(Data!A162-Vars!$B$3)</f>
        <v>0</v>
      </c>
      <c r="F162" s="3">
        <f>IF(($A162-Ft!B$2)&lt;0,Ft!B$3*((1-Ft!B$6)/(1+Ft!B$37*($A162-Ft!B$2)^2)+Ft!B$6*EXP(Ft!B$38*($A162-Ft!B$2)^2)),Ft!B$3*((1-Ft!B$7)/(1+Ft!B$39*($A162-Ft!B$2)^2)+Ft!B$7*EXP(Ft!B$40*($A162-Ft!B$2)^2)))</f>
        <v>2.6276429746153821E-41</v>
      </c>
      <c r="G162" s="3">
        <f>IF(($A162-Ft!C$2)&lt;0,Ft!C$3*((1-Ft!C$6)/(1+Ft!C$37*($A162-Ft!C$2)^2)+Ft!C$6*EXP(Ft!C$38*($A162-Ft!C$2)^2)),Ft!C$3*((1-Ft!C$7)/(1+Ft!C$39*($A162-Ft!C$2)^2)+Ft!C$7*EXP(Ft!C$40*($A162-Ft!C$2)^2)))</f>
        <v>0.77465444638006564</v>
      </c>
      <c r="H162" s="3">
        <f>IF(($A162-Ft!D$2)&lt;0,Ft!D$3*((1-Ft!D$6)/(1+Ft!D$37*($A162-Ft!D$2)^2)+Ft!D$6*EXP(Ft!D$38*($A162-Ft!D$2)^2)),Ft!D$3*((1-Ft!D$7)/(1+Ft!D$39*($A162-Ft!D$2)^2)+Ft!D$7*EXP(Ft!D$40*($A162-Ft!D$2)^2)))</f>
        <v>13.164455173140588</v>
      </c>
      <c r="I162" s="3">
        <f>IF(($A162-Ft!E$2)&lt;0,Ft!E$3*((1-Ft!E$6)/(1+Ft!E$37*($A162-Ft!E$2)^2)+Ft!E$6*EXP(Ft!E$38*($A162-Ft!E$2)^2)),Ft!E$3*((1-Ft!E$7)/(1+Ft!E$39*($A162-Ft!E$2)^2)+Ft!E$7*EXP(Ft!E$40*($A162-Ft!E$2)^2)))</f>
        <v>0.20907377179432232</v>
      </c>
      <c r="J162" s="3">
        <f>IF(($A162-Ft!F$2)&lt;0,Ft!F$3*((1-Ft!F$6)/(1+Ft!F$37*($A162-Ft!F$2)^2)+Ft!F$6*EXP(Ft!F$38*($A162-Ft!F$2)^2)),Ft!F$3*((1-Ft!F$7)/(1+Ft!F$39*($A162-Ft!F$2)^2)+Ft!F$7*EXP(Ft!F$40*($A162-Ft!F$2)^2)))</f>
        <v>2.4118660051060575E-95</v>
      </c>
      <c r="K162" s="3">
        <f>IF(($A162-Ft!G$2)&lt;0,Ft!G$3*((1-Ft!G$6)/(1+Ft!G$37*($A162-Ft!G$2)^2)+Ft!G$6*EXP(Ft!G$38*($A162-Ft!G$2)^2)),Ft!G$3*((1-Ft!G$7)/(1+Ft!G$39*($A162-Ft!G$2)^2)+Ft!G$7*EXP(Ft!G$40*($A162-Ft!G$2)^2)))</f>
        <v>0</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v>322</v>
      </c>
      <c r="B163">
        <v>14.204680308802992</v>
      </c>
      <c r="C163" s="6">
        <f t="shared" si="5"/>
        <v>14.245014686142323</v>
      </c>
      <c r="D163" s="19">
        <f t="shared" si="6"/>
        <v>1.6268619953515369E-3</v>
      </c>
      <c r="E163" s="3">
        <f>Ft!$B$12+Ft!$B$14*(Data!A163-Vars!$B$3)</f>
        <v>0</v>
      </c>
      <c r="F163" s="3">
        <f>IF(($A163-Ft!B$2)&lt;0,Ft!B$3*((1-Ft!B$6)/(1+Ft!B$37*($A163-Ft!B$2)^2)+Ft!B$6*EXP(Ft!B$38*($A163-Ft!B$2)^2)),Ft!B$3*((1-Ft!B$7)/(1+Ft!B$39*($A163-Ft!B$2)^2)+Ft!B$7*EXP(Ft!B$40*($A163-Ft!B$2)^2)))</f>
        <v>6.5862188262956595E-42</v>
      </c>
      <c r="G163" s="3">
        <f>IF(($A163-Ft!C$2)&lt;0,Ft!C$3*((1-Ft!C$6)/(1+Ft!C$37*($A163-Ft!C$2)^2)+Ft!C$6*EXP(Ft!C$38*($A163-Ft!C$2)^2)),Ft!C$3*((1-Ft!C$7)/(1+Ft!C$39*($A163-Ft!C$2)^2)+Ft!C$7*EXP(Ft!C$40*($A163-Ft!C$2)^2)))</f>
        <v>0.73230732846296587</v>
      </c>
      <c r="H163" s="3">
        <f>IF(($A163-Ft!D$2)&lt;0,Ft!D$3*((1-Ft!D$6)/(1+Ft!D$37*($A163-Ft!D$2)^2)+Ft!D$6*EXP(Ft!D$38*($A163-Ft!D$2)^2)),Ft!D$3*((1-Ft!D$7)/(1+Ft!D$39*($A163-Ft!D$2)^2)+Ft!D$7*EXP(Ft!D$40*($A163-Ft!D$2)^2)))</f>
        <v>13.296167535032463</v>
      </c>
      <c r="I163" s="3">
        <f>IF(($A163-Ft!E$2)&lt;0,Ft!E$3*((1-Ft!E$6)/(1+Ft!E$37*($A163-Ft!E$2)^2)+Ft!E$6*EXP(Ft!E$38*($A163-Ft!E$2)^2)),Ft!E$3*((1-Ft!E$7)/(1+Ft!E$39*($A163-Ft!E$2)^2)+Ft!E$7*EXP(Ft!E$40*($A163-Ft!E$2)^2)))</f>
        <v>0.21653982264689445</v>
      </c>
      <c r="J163" s="3">
        <f>IF(($A163-Ft!F$2)&lt;0,Ft!F$3*((1-Ft!F$6)/(1+Ft!F$37*($A163-Ft!F$2)^2)+Ft!F$6*EXP(Ft!F$38*($A163-Ft!F$2)^2)),Ft!F$3*((1-Ft!F$7)/(1+Ft!F$39*($A163-Ft!F$2)^2)+Ft!F$7*EXP(Ft!F$40*($A163-Ft!F$2)^2)))</f>
        <v>8.2847005026714299E-95</v>
      </c>
      <c r="K163" s="3">
        <f>IF(($A163-Ft!G$2)&lt;0,Ft!G$3*((1-Ft!G$6)/(1+Ft!G$37*($A163-Ft!G$2)^2)+Ft!G$6*EXP(Ft!G$38*($A163-Ft!G$2)^2)),Ft!G$3*((1-Ft!G$7)/(1+Ft!G$39*($A163-Ft!G$2)^2)+Ft!G$7*EXP(Ft!G$40*($A163-Ft!G$2)^2)))</f>
        <v>0</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v>324</v>
      </c>
      <c r="B164">
        <v>14.327229978589997</v>
      </c>
      <c r="C164" s="6">
        <f t="shared" si="5"/>
        <v>14.342998697737059</v>
      </c>
      <c r="D164" s="19">
        <f t="shared" si="6"/>
        <v>2.4865250353890272E-4</v>
      </c>
      <c r="E164" s="3">
        <f>Ft!$B$12+Ft!$B$14*(Data!A164-Vars!$B$3)</f>
        <v>0</v>
      </c>
      <c r="F164" s="3">
        <f>IF(($A164-Ft!B$2)&lt;0,Ft!B$3*((1-Ft!B$6)/(1+Ft!B$37*($A164-Ft!B$2)^2)+Ft!B$6*EXP(Ft!B$38*($A164-Ft!B$2)^2)),Ft!B$3*((1-Ft!B$7)/(1+Ft!B$39*($A164-Ft!B$2)^2)+Ft!B$7*EXP(Ft!B$40*($A164-Ft!B$2)^2)))</f>
        <v>1.6343409130968498E-42</v>
      </c>
      <c r="G164" s="3">
        <f>IF(($A164-Ft!C$2)&lt;0,Ft!C$3*((1-Ft!C$6)/(1+Ft!C$37*($A164-Ft!C$2)^2)+Ft!C$6*EXP(Ft!C$38*($A164-Ft!C$2)^2)),Ft!C$3*((1-Ft!C$7)/(1+Ft!C$39*($A164-Ft!C$2)^2)+Ft!C$7*EXP(Ft!C$40*($A164-Ft!C$2)^2)))</f>
        <v>0.69184488118516541</v>
      </c>
      <c r="H164" s="3">
        <f>IF(($A164-Ft!D$2)&lt;0,Ft!D$3*((1-Ft!D$6)/(1+Ft!D$37*($A164-Ft!D$2)^2)+Ft!D$6*EXP(Ft!D$38*($A164-Ft!D$2)^2)),Ft!D$3*((1-Ft!D$7)/(1+Ft!D$39*($A164-Ft!D$2)^2)+Ft!D$7*EXP(Ft!D$40*($A164-Ft!D$2)^2)))</f>
        <v>13.426913118781011</v>
      </c>
      <c r="I164" s="3">
        <f>IF(($A164-Ft!E$2)&lt;0,Ft!E$3*((1-Ft!E$6)/(1+Ft!E$37*($A164-Ft!E$2)^2)+Ft!E$6*EXP(Ft!E$38*($A164-Ft!E$2)^2)),Ft!E$3*((1-Ft!E$7)/(1+Ft!E$39*($A164-Ft!E$2)^2)+Ft!E$7*EXP(Ft!E$40*($A164-Ft!E$2)^2)))</f>
        <v>0.22424069777088226</v>
      </c>
      <c r="J164" s="3">
        <f>IF(($A164-Ft!F$2)&lt;0,Ft!F$3*((1-Ft!F$6)/(1+Ft!F$37*($A164-Ft!F$2)^2)+Ft!F$6*EXP(Ft!F$38*($A164-Ft!F$2)^2)),Ft!F$3*((1-Ft!F$7)/(1+Ft!F$39*($A164-Ft!F$2)^2)+Ft!F$7*EXP(Ft!F$40*($A164-Ft!F$2)^2)))</f>
        <v>2.8359046952632655E-94</v>
      </c>
      <c r="K164" s="3">
        <f>IF(($A164-Ft!G$2)&lt;0,Ft!G$3*((1-Ft!G$6)/(1+Ft!G$37*($A164-Ft!G$2)^2)+Ft!G$6*EXP(Ft!G$38*($A164-Ft!G$2)^2)),Ft!G$3*((1-Ft!G$7)/(1+Ft!G$39*($A164-Ft!G$2)^2)+Ft!G$7*EXP(Ft!G$40*($A164-Ft!G$2)^2)))</f>
        <v>0</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v>326</v>
      </c>
      <c r="B165">
        <v>14.456515108558989</v>
      </c>
      <c r="C165" s="6">
        <f t="shared" si="5"/>
        <v>14.442032118187536</v>
      </c>
      <c r="D165" s="19">
        <f t="shared" si="6"/>
        <v>2.097570100996118E-4</v>
      </c>
      <c r="E165" s="3">
        <f>Ft!$B$12+Ft!$B$14*(Data!A165-Vars!$B$3)</f>
        <v>0</v>
      </c>
      <c r="F165" s="3">
        <f>IF(($A165-Ft!B$2)&lt;0,Ft!B$3*((1-Ft!B$6)/(1+Ft!B$37*($A165-Ft!B$2)^2)+Ft!B$6*EXP(Ft!B$38*($A165-Ft!B$2)^2)),Ft!B$3*((1-Ft!B$7)/(1+Ft!B$39*($A165-Ft!B$2)^2)+Ft!B$7*EXP(Ft!B$40*($A165-Ft!B$2)^2)))</f>
        <v>4.0150027418391277E-43</v>
      </c>
      <c r="G165" s="3">
        <f>IF(($A165-Ft!C$2)&lt;0,Ft!C$3*((1-Ft!C$6)/(1+Ft!C$37*($A165-Ft!C$2)^2)+Ft!C$6*EXP(Ft!C$38*($A165-Ft!C$2)^2)),Ft!C$3*((1-Ft!C$7)/(1+Ft!C$39*($A165-Ft!C$2)^2)+Ft!C$7*EXP(Ft!C$40*($A165-Ft!C$2)^2)))</f>
        <v>0.65321187777555123</v>
      </c>
      <c r="H165" s="3">
        <f>IF(($A165-Ft!D$2)&lt;0,Ft!D$3*((1-Ft!D$6)/(1+Ft!D$37*($A165-Ft!D$2)^2)+Ft!D$6*EXP(Ft!D$38*($A165-Ft!D$2)^2)),Ft!D$3*((1-Ft!D$7)/(1+Ft!D$39*($A165-Ft!D$2)^2)+Ft!D$7*EXP(Ft!D$40*($A165-Ft!D$2)^2)))</f>
        <v>13.556637714044692</v>
      </c>
      <c r="I165" s="3">
        <f>IF(($A165-Ft!E$2)&lt;0,Ft!E$3*((1-Ft!E$6)/(1+Ft!E$37*($A165-Ft!E$2)^2)+Ft!E$6*EXP(Ft!E$38*($A165-Ft!E$2)^2)),Ft!E$3*((1-Ft!E$7)/(1+Ft!E$39*($A165-Ft!E$2)^2)+Ft!E$7*EXP(Ft!E$40*($A165-Ft!E$2)^2)))</f>
        <v>0.23218252636729356</v>
      </c>
      <c r="J165" s="3">
        <f>IF(($A165-Ft!F$2)&lt;0,Ft!F$3*((1-Ft!F$6)/(1+Ft!F$37*($A165-Ft!F$2)^2)+Ft!F$6*EXP(Ft!F$38*($A165-Ft!F$2)^2)),Ft!F$3*((1-Ft!F$7)/(1+Ft!F$39*($A165-Ft!F$2)^2)+Ft!F$7*EXP(Ft!F$40*($A165-Ft!F$2)^2)))</f>
        <v>9.6738117567761916E-94</v>
      </c>
      <c r="K165" s="3">
        <f>IF(($A165-Ft!G$2)&lt;0,Ft!G$3*((1-Ft!G$6)/(1+Ft!G$37*($A165-Ft!G$2)^2)+Ft!G$6*EXP(Ft!G$38*($A165-Ft!G$2)^2)),Ft!G$3*((1-Ft!G$7)/(1+Ft!G$39*($A165-Ft!G$2)^2)+Ft!G$7*EXP(Ft!G$40*($A165-Ft!G$2)^2)))</f>
        <v>0</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v>328</v>
      </c>
      <c r="B166">
        <v>14.589415045843992</v>
      </c>
      <c r="C166" s="6">
        <f t="shared" si="5"/>
        <v>14.542011499903571</v>
      </c>
      <c r="D166" s="19">
        <f t="shared" si="6"/>
        <v>2.2470961677256E-3</v>
      </c>
      <c r="E166" s="3">
        <f>Ft!$B$12+Ft!$B$14*(Data!A166-Vars!$B$3)</f>
        <v>0</v>
      </c>
      <c r="F166" s="3">
        <f>IF(($A166-Ft!B$2)&lt;0,Ft!B$3*((1-Ft!B$6)/(1+Ft!B$37*($A166-Ft!B$2)^2)+Ft!B$6*EXP(Ft!B$38*($A166-Ft!B$2)^2)),Ft!B$3*((1-Ft!B$7)/(1+Ft!B$39*($A166-Ft!B$2)^2)+Ft!B$7*EXP(Ft!B$40*($A166-Ft!B$2)^2)))</f>
        <v>9.7648535991745949E-44</v>
      </c>
      <c r="G166" s="3">
        <f>IF(($A166-Ft!C$2)&lt;0,Ft!C$3*((1-Ft!C$6)/(1+Ft!C$37*($A166-Ft!C$2)^2)+Ft!C$6*EXP(Ft!C$38*($A166-Ft!C$2)^2)),Ft!C$3*((1-Ft!C$7)/(1+Ft!C$39*($A166-Ft!C$2)^2)+Ft!C$7*EXP(Ft!C$40*($A166-Ft!C$2)^2)))</f>
        <v>0.61635284332314744</v>
      </c>
      <c r="H166" s="3">
        <f>IF(($A166-Ft!D$2)&lt;0,Ft!D$3*((1-Ft!D$6)/(1+Ft!D$37*($A166-Ft!D$2)^2)+Ft!D$6*EXP(Ft!D$38*($A166-Ft!D$2)^2)),Ft!D$3*((1-Ft!D$7)/(1+Ft!D$39*($A166-Ft!D$2)^2)+Ft!D$7*EXP(Ft!D$40*($A166-Ft!D$2)^2)))</f>
        <v>13.685287105693906</v>
      </c>
      <c r="I166" s="3">
        <f>IF(($A166-Ft!E$2)&lt;0,Ft!E$3*((1-Ft!E$6)/(1+Ft!E$37*($A166-Ft!E$2)^2)+Ft!E$6*EXP(Ft!E$38*($A166-Ft!E$2)^2)),Ft!E$3*((1-Ft!E$7)/(1+Ft!E$39*($A166-Ft!E$2)^2)+Ft!E$7*EXP(Ft!E$40*($A166-Ft!E$2)^2)))</f>
        <v>0.24037155088651774</v>
      </c>
      <c r="J166" s="3">
        <f>IF(($A166-Ft!F$2)&lt;0,Ft!F$3*((1-Ft!F$6)/(1+Ft!F$37*($A166-Ft!F$2)^2)+Ft!F$6*EXP(Ft!F$38*($A166-Ft!F$2)^2)),Ft!F$3*((1-Ft!F$7)/(1+Ft!F$39*($A166-Ft!F$2)^2)+Ft!F$7*EXP(Ft!F$40*($A166-Ft!F$2)^2)))</f>
        <v>3.2884770445000832E-93</v>
      </c>
      <c r="K166" s="3">
        <f>IF(($A166-Ft!G$2)&lt;0,Ft!G$3*((1-Ft!G$6)/(1+Ft!G$37*($A166-Ft!G$2)^2)+Ft!G$6*EXP(Ft!G$38*($A166-Ft!G$2)^2)),Ft!G$3*((1-Ft!G$7)/(1+Ft!G$39*($A166-Ft!G$2)^2)+Ft!G$7*EXP(Ft!G$40*($A166-Ft!G$2)^2)))</f>
        <v>0</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v>330</v>
      </c>
      <c r="B167">
        <v>14.722809137577002</v>
      </c>
      <c r="C167" s="6">
        <f t="shared" si="5"/>
        <v>14.642833440911078</v>
      </c>
      <c r="D167" s="19">
        <f t="shared" si="6"/>
        <v>6.3961120571999174E-3</v>
      </c>
      <c r="E167" s="3">
        <f>Ft!$B$12+Ft!$B$14*(Data!A167-Vars!$B$3)</f>
        <v>0</v>
      </c>
      <c r="F167" s="3">
        <f>IF(($A167-Ft!B$2)&lt;0,Ft!B$3*((1-Ft!B$6)/(1+Ft!B$37*($A167-Ft!B$2)^2)+Ft!B$6*EXP(Ft!B$38*($A167-Ft!B$2)^2)),Ft!B$3*((1-Ft!B$7)/(1+Ft!B$39*($A167-Ft!B$2)^2)+Ft!B$7*EXP(Ft!B$40*($A167-Ft!B$2)^2)))</f>
        <v>2.3511607523340201E-44</v>
      </c>
      <c r="G167" s="3">
        <f>IF(($A167-Ft!C$2)&lt;0,Ft!C$3*((1-Ft!C$6)/(1+Ft!C$37*($A167-Ft!C$2)^2)+Ft!C$6*EXP(Ft!C$38*($A167-Ft!C$2)^2)),Ft!C$3*((1-Ft!C$7)/(1+Ft!C$39*($A167-Ft!C$2)^2)+Ft!C$7*EXP(Ft!C$40*($A167-Ft!C$2)^2)))</f>
        <v>0.58121220264008644</v>
      </c>
      <c r="H167" s="3">
        <f>IF(($A167-Ft!D$2)&lt;0,Ft!D$3*((1-Ft!D$6)/(1+Ft!D$37*($A167-Ft!D$2)^2)+Ft!D$6*EXP(Ft!D$38*($A167-Ft!D$2)^2)),Ft!D$3*((1-Ft!D$7)/(1+Ft!D$39*($A167-Ft!D$2)^2)+Ft!D$7*EXP(Ft!D$40*($A167-Ft!D$2)^2)))</f>
        <v>13.812807110833468</v>
      </c>
      <c r="I167" s="3">
        <f>IF(($A167-Ft!E$2)&lt;0,Ft!E$3*((1-Ft!E$6)/(1+Ft!E$37*($A167-Ft!E$2)^2)+Ft!E$6*EXP(Ft!E$38*($A167-Ft!E$2)^2)),Ft!E$3*((1-Ft!E$7)/(1+Ft!E$39*($A167-Ft!E$2)^2)+Ft!E$7*EXP(Ft!E$40*($A167-Ft!E$2)^2)))</f>
        <v>0.24881412743752376</v>
      </c>
      <c r="J167" s="3">
        <f>IF(($A167-Ft!F$2)&lt;0,Ft!F$3*((1-Ft!F$6)/(1+Ft!F$37*($A167-Ft!F$2)^2)+Ft!F$6*EXP(Ft!F$38*($A167-Ft!F$2)^2)),Ft!F$3*((1-Ft!F$7)/(1+Ft!F$39*($A167-Ft!F$2)^2)+Ft!F$7*EXP(Ft!F$40*($A167-Ft!F$2)^2)))</f>
        <v>1.1139948391152055E-92</v>
      </c>
      <c r="K167" s="3">
        <f>IF(($A167-Ft!G$2)&lt;0,Ft!G$3*((1-Ft!G$6)/(1+Ft!G$37*($A167-Ft!G$2)^2)+Ft!G$6*EXP(Ft!G$38*($A167-Ft!G$2)^2)),Ft!G$3*((1-Ft!G$7)/(1+Ft!G$39*($A167-Ft!G$2)^2)+Ft!G$7*EXP(Ft!G$40*($A167-Ft!G$2)^2)))</f>
        <v>0</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v>332</v>
      </c>
      <c r="B168">
        <v>14.853576730888989</v>
      </c>
      <c r="C168" s="6">
        <f t="shared" si="5"/>
        <v>14.744394762410847</v>
      </c>
      <c r="D168" s="19">
        <f t="shared" si="6"/>
        <v>1.1920702240761917E-2</v>
      </c>
      <c r="E168" s="3">
        <f>Ft!$B$12+Ft!$B$14*(Data!A168-Vars!$B$3)</f>
        <v>0</v>
      </c>
      <c r="F168" s="3">
        <f>IF(($A168-Ft!B$2)&lt;0,Ft!B$3*((1-Ft!B$6)/(1+Ft!B$37*($A168-Ft!B$2)^2)+Ft!B$6*EXP(Ft!B$38*($A168-Ft!B$2)^2)),Ft!B$3*((1-Ft!B$7)/(1+Ft!B$39*($A168-Ft!B$2)^2)+Ft!B$7*EXP(Ft!B$40*($A168-Ft!B$2)^2)))</f>
        <v>5.6044836600360227E-45</v>
      </c>
      <c r="G168" s="3">
        <f>IF(($A168-Ft!C$2)&lt;0,Ft!C$3*((1-Ft!C$6)/(1+Ft!C$37*($A168-Ft!C$2)^2)+Ft!C$6*EXP(Ft!C$38*($A168-Ft!C$2)^2)),Ft!C$3*((1-Ft!C$7)/(1+Ft!C$39*($A168-Ft!C$2)^2)+Ft!C$7*EXP(Ft!C$40*($A168-Ft!C$2)^2)))</f>
        <v>0.54773442012924678</v>
      </c>
      <c r="H168" s="3">
        <f>IF(($A168-Ft!D$2)&lt;0,Ft!D$3*((1-Ft!D$6)/(1+Ft!D$37*($A168-Ft!D$2)^2)+Ft!D$6*EXP(Ft!D$38*($A168-Ft!D$2)^2)),Ft!D$3*((1-Ft!D$7)/(1+Ft!D$39*($A168-Ft!D$2)^2)+Ft!D$7*EXP(Ft!D$40*($A168-Ft!D$2)^2)))</f>
        <v>13.939143616152041</v>
      </c>
      <c r="I168" s="3">
        <f>IF(($A168-Ft!E$2)&lt;0,Ft!E$3*((1-Ft!E$6)/(1+Ft!E$37*($A168-Ft!E$2)^2)+Ft!E$6*EXP(Ft!E$38*($A168-Ft!E$2)^2)),Ft!E$3*((1-Ft!E$7)/(1+Ft!E$39*($A168-Ft!E$2)^2)+Ft!E$7*EXP(Ft!E$40*($A168-Ft!E$2)^2)))</f>
        <v>0.25751672612955906</v>
      </c>
      <c r="J168" s="3">
        <f>IF(($A168-Ft!F$2)&lt;0,Ft!F$3*((1-Ft!F$6)/(1+Ft!F$37*($A168-Ft!F$2)^2)+Ft!F$6*EXP(Ft!F$38*($A168-Ft!F$2)^2)),Ft!F$3*((1-Ft!F$7)/(1+Ft!F$39*($A168-Ft!F$2)^2)+Ft!F$7*EXP(Ft!F$40*($A168-Ft!F$2)^2)))</f>
        <v>3.7606483466991686E-92</v>
      </c>
      <c r="K168" s="3">
        <f>IF(($A168-Ft!G$2)&lt;0,Ft!G$3*((1-Ft!G$6)/(1+Ft!G$37*($A168-Ft!G$2)^2)+Ft!G$6*EXP(Ft!G$38*($A168-Ft!G$2)^2)),Ft!G$3*((1-Ft!G$7)/(1+Ft!G$39*($A168-Ft!G$2)^2)+Ft!G$7*EXP(Ft!G$40*($A168-Ft!G$2)^2)))</f>
        <v>0</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v>334</v>
      </c>
      <c r="B169">
        <v>14.978597172911989</v>
      </c>
      <c r="C169" s="6">
        <f t="shared" si="5"/>
        <v>14.846592678507987</v>
      </c>
      <c r="D169" s="19">
        <f t="shared" si="6"/>
        <v>1.7425186542856304E-2</v>
      </c>
      <c r="E169" s="3">
        <f>Ft!$B$12+Ft!$B$14*(Data!A169-Vars!$B$3)</f>
        <v>0</v>
      </c>
      <c r="F169" s="3">
        <f>IF(($A169-Ft!B$2)&lt;0,Ft!B$3*((1-Ft!B$6)/(1+Ft!B$37*($A169-Ft!B$2)^2)+Ft!B$6*EXP(Ft!B$38*($A169-Ft!B$2)^2)),Ft!B$3*((1-Ft!B$7)/(1+Ft!B$39*($A169-Ft!B$2)^2)+Ft!B$7*EXP(Ft!B$40*($A169-Ft!B$2)^2)))</f>
        <v>1.3225910755859843E-45</v>
      </c>
      <c r="G169" s="3">
        <f>IF(($A169-Ft!C$2)&lt;0,Ft!C$3*((1-Ft!C$6)/(1+Ft!C$37*($A169-Ft!C$2)^2)+Ft!C$6*EXP(Ft!C$38*($A169-Ft!C$2)^2)),Ft!C$3*((1-Ft!C$7)/(1+Ft!C$39*($A169-Ft!C$2)^2)+Ft!C$7*EXP(Ft!C$40*($A169-Ft!C$2)^2)))</f>
        <v>0.51586413160101885</v>
      </c>
      <c r="H169" s="3">
        <f>IF(($A169-Ft!D$2)&lt;0,Ft!D$3*((1-Ft!D$6)/(1+Ft!D$37*($A169-Ft!D$2)^2)+Ft!D$6*EXP(Ft!D$38*($A169-Ft!D$2)^2)),Ft!D$3*((1-Ft!D$7)/(1+Ft!D$39*($A169-Ft!D$2)^2)+Ft!D$7*EXP(Ft!D$40*($A169-Ft!D$2)^2)))</f>
        <v>14.064242615563298</v>
      </c>
      <c r="I169" s="3">
        <f>IF(($A169-Ft!E$2)&lt;0,Ft!E$3*((1-Ft!E$6)/(1+Ft!E$37*($A169-Ft!E$2)^2)+Ft!E$6*EXP(Ft!E$38*($A169-Ft!E$2)^2)),Ft!E$3*((1-Ft!E$7)/(1+Ft!E$39*($A169-Ft!E$2)^2)+Ft!E$7*EXP(Ft!E$40*($A169-Ft!E$2)^2)))</f>
        <v>0.26648593134367055</v>
      </c>
      <c r="J169" s="3">
        <f>IF(($A169-Ft!F$2)&lt;0,Ft!F$3*((1-Ft!F$6)/(1+Ft!F$37*($A169-Ft!F$2)^2)+Ft!F$6*EXP(Ft!F$38*($A169-Ft!F$2)^2)),Ft!F$3*((1-Ft!F$7)/(1+Ft!F$39*($A169-Ft!F$2)^2)+Ft!F$7*EXP(Ft!F$40*($A169-Ft!F$2)^2)))</f>
        <v>1.2651250442306026E-91</v>
      </c>
      <c r="K169" s="3">
        <f>IF(($A169-Ft!G$2)&lt;0,Ft!G$3*((1-Ft!G$6)/(1+Ft!G$37*($A169-Ft!G$2)^2)+Ft!G$6*EXP(Ft!G$38*($A169-Ft!G$2)^2)),Ft!G$3*((1-Ft!G$7)/(1+Ft!G$39*($A169-Ft!G$2)^2)+Ft!G$7*EXP(Ft!G$40*($A169-Ft!G$2)^2)))</f>
        <v>0</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v>336</v>
      </c>
      <c r="B170">
        <v>15.094749810777998</v>
      </c>
      <c r="C170" s="6">
        <f t="shared" si="5"/>
        <v>14.94932495805514</v>
      </c>
      <c r="D170" s="19">
        <f t="shared" si="6"/>
        <v>2.1148387789464904E-2</v>
      </c>
      <c r="E170" s="3">
        <f>Ft!$B$12+Ft!$B$14*(Data!A170-Vars!$B$3)</f>
        <v>0</v>
      </c>
      <c r="F170" s="3">
        <f>IF(($A170-Ft!B$2)&lt;0,Ft!B$3*((1-Ft!B$6)/(1+Ft!B$37*($A170-Ft!B$2)^2)+Ft!B$6*EXP(Ft!B$38*($A170-Ft!B$2)^2)),Ft!B$3*((1-Ft!B$7)/(1+Ft!B$39*($A170-Ft!B$2)^2)+Ft!B$7*EXP(Ft!B$40*($A170-Ft!B$2)^2)))</f>
        <v>3.0899557866516525E-46</v>
      </c>
      <c r="G170" s="3">
        <f>IF(($A170-Ft!C$2)&lt;0,Ft!C$3*((1-Ft!C$6)/(1+Ft!C$37*($A170-Ft!C$2)^2)+Ft!C$6*EXP(Ft!C$38*($A170-Ft!C$2)^2)),Ft!C$3*((1-Ft!C$7)/(1+Ft!C$39*($A170-Ft!C$2)^2)+Ft!C$7*EXP(Ft!C$40*($A170-Ft!C$2)^2)))</f>
        <v>0.48554626802082779</v>
      </c>
      <c r="H170" s="3">
        <f>IF(($A170-Ft!D$2)&lt;0,Ft!D$3*((1-Ft!D$6)/(1+Ft!D$37*($A170-Ft!D$2)^2)+Ft!D$6*EXP(Ft!D$38*($A170-Ft!D$2)^2)),Ft!D$3*((1-Ft!D$7)/(1+Ft!D$39*($A170-Ft!D$2)^2)+Ft!D$7*EXP(Ft!D$40*($A170-Ft!D$2)^2)))</f>
        <v>14.188050248102964</v>
      </c>
      <c r="I170" s="3">
        <f>IF(($A170-Ft!E$2)&lt;0,Ft!E$3*((1-Ft!E$6)/(1+Ft!E$37*($A170-Ft!E$2)^2)+Ft!E$6*EXP(Ft!E$38*($A170-Ft!E$2)^2)),Ft!E$3*((1-Ft!E$7)/(1+Ft!E$39*($A170-Ft!E$2)^2)+Ft!E$7*EXP(Ft!E$40*($A170-Ft!E$2)^2)))</f>
        <v>0.27572844193134755</v>
      </c>
      <c r="J170" s="3">
        <f>IF(($A170-Ft!F$2)&lt;0,Ft!F$3*((1-Ft!F$6)/(1+Ft!F$37*($A170-Ft!F$2)^2)+Ft!F$6*EXP(Ft!F$38*($A170-Ft!F$2)^2)),Ft!F$3*((1-Ft!F$7)/(1+Ft!F$39*($A170-Ft!F$2)^2)+Ft!F$7*EXP(Ft!F$40*($A170-Ft!F$2)^2)))</f>
        <v>4.2412645541743813E-91</v>
      </c>
      <c r="K170" s="3">
        <f>IF(($A170-Ft!G$2)&lt;0,Ft!G$3*((1-Ft!G$6)/(1+Ft!G$37*($A170-Ft!G$2)^2)+Ft!G$6*EXP(Ft!G$38*($A170-Ft!G$2)^2)),Ft!G$3*((1-Ft!G$7)/(1+Ft!G$39*($A170-Ft!G$2)^2)+Ft!G$7*EXP(Ft!G$40*($A170-Ft!G$2)^2)))</f>
        <v>0</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v>338</v>
      </c>
      <c r="B171">
        <v>15.200481524308998</v>
      </c>
      <c r="C171" s="6">
        <f t="shared" si="5"/>
        <v>15.052490078586912</v>
      </c>
      <c r="D171" s="19">
        <f t="shared" si="6"/>
        <v>2.1901468006913161E-2</v>
      </c>
      <c r="E171" s="3">
        <f>Ft!$B$12+Ft!$B$14*(Data!A171-Vars!$B$3)</f>
        <v>0</v>
      </c>
      <c r="F171" s="3">
        <f>IF(($A171-Ft!B$2)&lt;0,Ft!B$3*((1-Ft!B$6)/(1+Ft!B$37*($A171-Ft!B$2)^2)+Ft!B$6*EXP(Ft!B$38*($A171-Ft!B$2)^2)),Ft!B$3*((1-Ft!B$7)/(1+Ft!B$39*($A171-Ft!B$2)^2)+Ft!B$7*EXP(Ft!B$40*($A171-Ft!B$2)^2)))</f>
        <v>7.1468660004077236E-47</v>
      </c>
      <c r="G171" s="3">
        <f>IF(($A171-Ft!C$2)&lt;0,Ft!C$3*((1-Ft!C$6)/(1+Ft!C$37*($A171-Ft!C$2)^2)+Ft!C$6*EXP(Ft!C$38*($A171-Ft!C$2)^2)),Ft!C$3*((1-Ft!C$7)/(1+Ft!C$39*($A171-Ft!C$2)^2)+Ft!C$7*EXP(Ft!C$40*($A171-Ft!C$2)^2)))</f>
        <v>0.45672617120416231</v>
      </c>
      <c r="H171" s="3">
        <f>IF(($A171-Ft!D$2)&lt;0,Ft!D$3*((1-Ft!D$6)/(1+Ft!D$37*($A171-Ft!D$2)^2)+Ft!D$6*EXP(Ft!D$38*($A171-Ft!D$2)^2)),Ft!D$3*((1-Ft!D$7)/(1+Ft!D$39*($A171-Ft!D$2)^2)+Ft!D$7*EXP(Ft!D$40*($A171-Ft!D$2)^2)))</f>
        <v>14.310512836045181</v>
      </c>
      <c r="I171" s="3">
        <f>IF(($A171-Ft!E$2)&lt;0,Ft!E$3*((1-Ft!E$6)/(1+Ft!E$37*($A171-Ft!E$2)^2)+Ft!E$6*EXP(Ft!E$38*($A171-Ft!E$2)^2)),Ft!E$3*((1-Ft!E$7)/(1+Ft!E$39*($A171-Ft!E$2)^2)+Ft!E$7*EXP(Ft!E$40*($A171-Ft!E$2)^2)))</f>
        <v>0.28525107133757005</v>
      </c>
      <c r="J171" s="3">
        <f>IF(($A171-Ft!F$2)&lt;0,Ft!F$3*((1-Ft!F$6)/(1+Ft!F$37*($A171-Ft!F$2)^2)+Ft!F$6*EXP(Ft!F$38*($A171-Ft!F$2)^2)),Ft!F$3*((1-Ft!F$7)/(1+Ft!F$39*($A171-Ft!F$2)^2)+Ft!F$7*EXP(Ft!F$40*($A171-Ft!F$2)^2)))</f>
        <v>1.416930193312528E-90</v>
      </c>
      <c r="K171" s="3">
        <f>IF(($A171-Ft!G$2)&lt;0,Ft!G$3*((1-Ft!G$6)/(1+Ft!G$37*($A171-Ft!G$2)^2)+Ft!G$6*EXP(Ft!G$38*($A171-Ft!G$2)^2)),Ft!G$3*((1-Ft!G$7)/(1+Ft!G$39*($A171-Ft!G$2)^2)+Ft!G$7*EXP(Ft!G$40*($A171-Ft!G$2)^2)))</f>
        <v>0</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v>340</v>
      </c>
      <c r="B172">
        <v>15.303233608020989</v>
      </c>
      <c r="C172" s="6">
        <f t="shared" si="5"/>
        <v>15.155987372355552</v>
      </c>
      <c r="D172" s="19">
        <f t="shared" si="6"/>
        <v>2.1681453917641261E-2</v>
      </c>
      <c r="E172" s="3">
        <f>Ft!$B$12+Ft!$B$14*(Data!A172-Vars!$B$3)</f>
        <v>0</v>
      </c>
      <c r="F172" s="3">
        <f>IF(($A172-Ft!B$2)&lt;0,Ft!B$3*((1-Ft!B$6)/(1+Ft!B$37*($A172-Ft!B$2)^2)+Ft!B$6*EXP(Ft!B$38*($A172-Ft!B$2)^2)),Ft!B$3*((1-Ft!B$7)/(1+Ft!B$39*($A172-Ft!B$2)^2)+Ft!B$7*EXP(Ft!B$40*($A172-Ft!B$2)^2)))</f>
        <v>1.6364988721138626E-47</v>
      </c>
      <c r="G172" s="3">
        <f>IF(($A172-Ft!C$2)&lt;0,Ft!C$3*((1-Ft!C$6)/(1+Ft!C$37*($A172-Ft!C$2)^2)+Ft!C$6*EXP(Ft!C$38*($A172-Ft!C$2)^2)),Ft!C$3*((1-Ft!C$7)/(1+Ft!C$39*($A172-Ft!C$2)^2)+Ft!C$7*EXP(Ft!C$40*($A172-Ft!C$2)^2)))</f>
        <v>0.42934970150888452</v>
      </c>
      <c r="H172" s="3">
        <f>IF(($A172-Ft!D$2)&lt;0,Ft!D$3*((1-Ft!D$6)/(1+Ft!D$37*($A172-Ft!D$2)^2)+Ft!D$6*EXP(Ft!D$38*($A172-Ft!D$2)^2)),Ft!D$3*((1-Ft!D$7)/(1+Ft!D$39*($A172-Ft!D$2)^2)+Ft!D$7*EXP(Ft!D$40*($A172-Ft!D$2)^2)))</f>
        <v>14.431576923201151</v>
      </c>
      <c r="I172" s="3">
        <f>IF(($A172-Ft!E$2)&lt;0,Ft!E$3*((1-Ft!E$6)/(1+Ft!E$37*($A172-Ft!E$2)^2)+Ft!E$6*EXP(Ft!E$38*($A172-Ft!E$2)^2)),Ft!E$3*((1-Ft!E$7)/(1+Ft!E$39*($A172-Ft!E$2)^2)+Ft!E$7*EXP(Ft!E$40*($A172-Ft!E$2)^2)))</f>
        <v>0.29506074764551637</v>
      </c>
      <c r="J172" s="3">
        <f>IF(($A172-Ft!F$2)&lt;0,Ft!F$3*((1-Ft!F$6)/(1+Ft!F$37*($A172-Ft!F$2)^2)+Ft!F$6*EXP(Ft!F$38*($A172-Ft!F$2)^2)),Ft!F$3*((1-Ft!F$7)/(1+Ft!F$39*($A172-Ft!F$2)^2)+Ft!F$7*EXP(Ft!F$40*($A172-Ft!F$2)^2)))</f>
        <v>4.7172916585149025E-90</v>
      </c>
      <c r="K172" s="3">
        <f>IF(($A172-Ft!G$2)&lt;0,Ft!G$3*((1-Ft!G$6)/(1+Ft!G$37*($A172-Ft!G$2)^2)+Ft!G$6*EXP(Ft!G$38*($A172-Ft!G$2)^2)),Ft!G$3*((1-Ft!G$7)/(1+Ft!G$39*($A172-Ft!G$2)^2)+Ft!G$7*EXP(Ft!G$40*($A172-Ft!G$2)^2)))</f>
        <v>0</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v>342</v>
      </c>
      <c r="B173">
        <v>15.404409083821989</v>
      </c>
      <c r="C173" s="6">
        <f t="shared" si="5"/>
        <v>15.259717164507993</v>
      </c>
      <c r="D173" s="19">
        <f t="shared" si="6"/>
        <v>2.0935751514767783E-2</v>
      </c>
      <c r="E173" s="3">
        <f>Ft!$B$12+Ft!$B$14*(Data!A173-Vars!$B$3)</f>
        <v>0</v>
      </c>
      <c r="F173" s="3">
        <f>IF(($A173-Ft!B$2)&lt;0,Ft!B$3*((1-Ft!B$6)/(1+Ft!B$37*($A173-Ft!B$2)^2)+Ft!B$6*EXP(Ft!B$38*($A173-Ft!B$2)^2)),Ft!B$3*((1-Ft!B$7)/(1+Ft!B$39*($A173-Ft!B$2)^2)+Ft!B$7*EXP(Ft!B$40*($A173-Ft!B$2)^2)))</f>
        <v>3.7098169231622082E-48</v>
      </c>
      <c r="G173" s="3">
        <f>IF(($A173-Ft!C$2)&lt;0,Ft!C$3*((1-Ft!C$6)/(1+Ft!C$37*($A173-Ft!C$2)^2)+Ft!C$6*EXP(Ft!C$38*($A173-Ft!C$2)^2)),Ft!C$3*((1-Ft!C$7)/(1+Ft!C$39*($A173-Ft!C$2)^2)+Ft!C$7*EXP(Ft!C$40*($A173-Ft!C$2)^2)))</f>
        <v>0.40336333760546583</v>
      </c>
      <c r="H173" s="3">
        <f>IF(($A173-Ft!D$2)&lt;0,Ft!D$3*((1-Ft!D$6)/(1+Ft!D$37*($A173-Ft!D$2)^2)+Ft!D$6*EXP(Ft!D$38*($A173-Ft!D$2)^2)),Ft!D$3*((1-Ft!D$7)/(1+Ft!D$39*($A173-Ft!D$2)^2)+Ft!D$7*EXP(Ft!D$40*($A173-Ft!D$2)^2)))</f>
        <v>14.551189313362347</v>
      </c>
      <c r="I173" s="3">
        <f>IF(($A173-Ft!E$2)&lt;0,Ft!E$3*((1-Ft!E$6)/(1+Ft!E$37*($A173-Ft!E$2)^2)+Ft!E$6*EXP(Ft!E$38*($A173-Ft!E$2)^2)),Ft!E$3*((1-Ft!E$7)/(1+Ft!E$39*($A173-Ft!E$2)^2)+Ft!E$7*EXP(Ft!E$40*($A173-Ft!E$2)^2)))</f>
        <v>0.30516451354018115</v>
      </c>
      <c r="J173" s="3">
        <f>IF(($A173-Ft!F$2)&lt;0,Ft!F$3*((1-Ft!F$6)/(1+Ft!F$37*($A173-Ft!F$2)^2)+Ft!F$6*EXP(Ft!F$38*($A173-Ft!F$2)^2)),Ft!F$3*((1-Ft!F$7)/(1+Ft!F$39*($A173-Ft!F$2)^2)+Ft!F$7*EXP(Ft!F$40*($A173-Ft!F$2)^2)))</f>
        <v>1.5650498814438574E-89</v>
      </c>
      <c r="K173" s="3">
        <f>IF(($A173-Ft!G$2)&lt;0,Ft!G$3*((1-Ft!G$6)/(1+Ft!G$37*($A173-Ft!G$2)^2)+Ft!G$6*EXP(Ft!G$38*($A173-Ft!G$2)^2)),Ft!G$3*((1-Ft!G$7)/(1+Ft!G$39*($A173-Ft!G$2)^2)+Ft!G$7*EXP(Ft!G$40*($A173-Ft!G$2)^2)))</f>
        <v>0</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v>344</v>
      </c>
      <c r="B174">
        <v>15.503971968849001</v>
      </c>
      <c r="C174" s="6">
        <f t="shared" si="5"/>
        <v>15.363580903472727</v>
      </c>
      <c r="D174" s="19">
        <f t="shared" si="6"/>
        <v>1.9709651237485332E-2</v>
      </c>
      <c r="E174" s="3">
        <f>Ft!$B$12+Ft!$B$14*(Data!A174-Vars!$B$3)</f>
        <v>0</v>
      </c>
      <c r="F174" s="3">
        <f>IF(($A174-Ft!B$2)&lt;0,Ft!B$3*((1-Ft!B$6)/(1+Ft!B$37*($A174-Ft!B$2)^2)+Ft!B$6*EXP(Ft!B$38*($A174-Ft!B$2)^2)),Ft!B$3*((1-Ft!B$7)/(1+Ft!B$39*($A174-Ft!B$2)^2)+Ft!B$7*EXP(Ft!B$40*($A174-Ft!B$2)^2)))</f>
        <v>8.3257993924823162E-49</v>
      </c>
      <c r="G174" s="3">
        <f>IF(($A174-Ft!C$2)&lt;0,Ft!C$3*((1-Ft!C$6)/(1+Ft!C$37*($A174-Ft!C$2)^2)+Ft!C$6*EXP(Ft!C$38*($A174-Ft!C$2)^2)),Ft!C$3*((1-Ft!C$7)/(1+Ft!C$39*($A174-Ft!C$2)^2)+Ft!C$7*EXP(Ft!C$40*($A174-Ft!C$2)^2)))</f>
        <v>0.37871426843445</v>
      </c>
      <c r="H174" s="3">
        <f>IF(($A174-Ft!D$2)&lt;0,Ft!D$3*((1-Ft!D$6)/(1+Ft!D$37*($A174-Ft!D$2)^2)+Ft!D$6*EXP(Ft!D$38*($A174-Ft!D$2)^2)),Ft!D$3*((1-Ft!D$7)/(1+Ft!D$39*($A174-Ft!D$2)^2)+Ft!D$7*EXP(Ft!D$40*($A174-Ft!D$2)^2)))</f>
        <v>14.669297108850145</v>
      </c>
      <c r="I174" s="3">
        <f>IF(($A174-Ft!E$2)&lt;0,Ft!E$3*((1-Ft!E$6)/(1+Ft!E$37*($A174-Ft!E$2)^2)+Ft!E$6*EXP(Ft!E$38*($A174-Ft!E$2)^2)),Ft!E$3*((1-Ft!E$7)/(1+Ft!E$39*($A174-Ft!E$2)^2)+Ft!E$7*EXP(Ft!E$40*($A174-Ft!E$2)^2)))</f>
        <v>0.315569526188132</v>
      </c>
      <c r="J174" s="3">
        <f>IF(($A174-Ft!F$2)&lt;0,Ft!F$3*((1-Ft!F$6)/(1+Ft!F$37*($A174-Ft!F$2)^2)+Ft!F$6*EXP(Ft!F$38*($A174-Ft!F$2)^2)),Ft!F$3*((1-Ft!F$7)/(1+Ft!F$39*($A174-Ft!F$2)^2)+Ft!F$7*EXP(Ft!F$40*($A174-Ft!F$2)^2)))</f>
        <v>5.1743383212789991E-89</v>
      </c>
      <c r="K174" s="3">
        <f>IF(($A174-Ft!G$2)&lt;0,Ft!G$3*((1-Ft!G$6)/(1+Ft!G$37*($A174-Ft!G$2)^2)+Ft!G$6*EXP(Ft!G$38*($A174-Ft!G$2)^2)),Ft!G$3*((1-Ft!G$7)/(1+Ft!G$39*($A174-Ft!G$2)^2)+Ft!G$7*EXP(Ft!G$40*($A174-Ft!G$2)^2)))</f>
        <v>0</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v>346</v>
      </c>
      <c r="B175">
        <v>15.601886280239</v>
      </c>
      <c r="C175" s="6">
        <f t="shared" si="5"/>
        <v>15.467481283650788</v>
      </c>
      <c r="D175" s="19">
        <f t="shared" si="6"/>
        <v>1.8064703107877497E-2</v>
      </c>
      <c r="E175" s="3">
        <f>Ft!$B$12+Ft!$B$14*(Data!A175-Vars!$B$3)</f>
        <v>0</v>
      </c>
      <c r="F175" s="3">
        <f>IF(($A175-Ft!B$2)&lt;0,Ft!B$3*((1-Ft!B$6)/(1+Ft!B$37*($A175-Ft!B$2)^2)+Ft!B$6*EXP(Ft!B$38*($A175-Ft!B$2)^2)),Ft!B$3*((1-Ft!B$7)/(1+Ft!B$39*($A175-Ft!B$2)^2)+Ft!B$7*EXP(Ft!B$40*($A175-Ft!B$2)^2)))</f>
        <v>1.8498482528798088E-49</v>
      </c>
      <c r="G175" s="3">
        <f>IF(($A175-Ft!C$2)&lt;0,Ft!C$3*((1-Ft!C$6)/(1+Ft!C$37*($A175-Ft!C$2)^2)+Ft!C$6*EXP(Ft!C$38*($A175-Ft!C$2)^2)),Ft!C$3*((1-Ft!C$7)/(1+Ft!C$39*($A175-Ft!C$2)^2)+Ft!C$7*EXP(Ft!C$40*($A175-Ft!C$2)^2)))</f>
        <v>0.35535047748687637</v>
      </c>
      <c r="H175" s="3">
        <f>IF(($A175-Ft!D$2)&lt;0,Ft!D$3*((1-Ft!D$6)/(1+Ft!D$37*($A175-Ft!D$2)^2)+Ft!D$6*EXP(Ft!D$38*($A175-Ft!D$2)^2)),Ft!D$3*((1-Ft!D$7)/(1+Ft!D$39*($A175-Ft!D$2)^2)+Ft!D$7*EXP(Ft!D$40*($A175-Ft!D$2)^2)))</f>
        <v>14.785847749133289</v>
      </c>
      <c r="I175" s="3">
        <f>IF(($A175-Ft!E$2)&lt;0,Ft!E$3*((1-Ft!E$6)/(1+Ft!E$37*($A175-Ft!E$2)^2)+Ft!E$6*EXP(Ft!E$38*($A175-Ft!E$2)^2)),Ft!E$3*((1-Ft!E$7)/(1+Ft!E$39*($A175-Ft!E$2)^2)+Ft!E$7*EXP(Ft!E$40*($A175-Ft!E$2)^2)))</f>
        <v>0.32628305703062294</v>
      </c>
      <c r="J175" s="3">
        <f>IF(($A175-Ft!F$2)&lt;0,Ft!F$3*((1-Ft!F$6)/(1+Ft!F$37*($A175-Ft!F$2)^2)+Ft!F$6*EXP(Ft!F$38*($A175-Ft!F$2)^2)),Ft!F$3*((1-Ft!F$7)/(1+Ft!F$39*($A175-Ft!F$2)^2)+Ft!F$7*EXP(Ft!F$40*($A175-Ft!F$2)^2)))</f>
        <v>1.7047968754227878E-88</v>
      </c>
      <c r="K175" s="3">
        <f>IF(($A175-Ft!G$2)&lt;0,Ft!G$3*((1-Ft!G$6)/(1+Ft!G$37*($A175-Ft!G$2)^2)+Ft!G$6*EXP(Ft!G$38*($A175-Ft!G$2)^2)),Ft!G$3*((1-Ft!G$7)/(1+Ft!G$39*($A175-Ft!G$2)^2)+Ft!G$7*EXP(Ft!G$40*($A175-Ft!G$2)^2)))</f>
        <v>0</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v>348</v>
      </c>
      <c r="B176">
        <v>15.698116035127001</v>
      </c>
      <c r="C176" s="6">
        <f t="shared" si="5"/>
        <v>15.571322360529045</v>
      </c>
      <c r="D176" s="19">
        <f t="shared" si="6"/>
        <v>1.6076635918052209E-2</v>
      </c>
      <c r="E176" s="3">
        <f>Ft!$B$12+Ft!$B$14*(Data!A176-Vars!$B$3)</f>
        <v>0</v>
      </c>
      <c r="F176" s="3">
        <f>IF(($A176-Ft!B$2)&lt;0,Ft!B$3*((1-Ft!B$6)/(1+Ft!B$37*($A176-Ft!B$2)^2)+Ft!B$6*EXP(Ft!B$38*($A176-Ft!B$2)^2)),Ft!B$3*((1-Ft!B$7)/(1+Ft!B$39*($A176-Ft!B$2)^2)+Ft!B$7*EXP(Ft!B$40*($A176-Ft!B$2)^2)))</f>
        <v>4.0689557016395767E-50</v>
      </c>
      <c r="G176" s="3">
        <f>IF(($A176-Ft!C$2)&lt;0,Ft!C$3*((1-Ft!C$6)/(1+Ft!C$37*($A176-Ft!C$2)^2)+Ft!C$6*EXP(Ft!C$38*($A176-Ft!C$2)^2)),Ft!C$3*((1-Ft!C$7)/(1+Ft!C$39*($A176-Ft!C$2)^2)+Ft!C$7*EXP(Ft!C$40*($A176-Ft!C$2)^2)))</f>
        <v>0.33322081956760374</v>
      </c>
      <c r="H176" s="3">
        <f>IF(($A176-Ft!D$2)&lt;0,Ft!D$3*((1-Ft!D$6)/(1+Ft!D$37*($A176-Ft!D$2)^2)+Ft!D$6*EXP(Ft!D$38*($A176-Ft!D$2)^2)),Ft!D$3*((1-Ft!D$7)/(1+Ft!D$39*($A176-Ft!D$2)^2)+Ft!D$7*EXP(Ft!D$40*($A176-Ft!D$2)^2)))</f>
        <v>14.900789049474159</v>
      </c>
      <c r="I176" s="3">
        <f>IF(($A176-Ft!E$2)&lt;0,Ft!E$3*((1-Ft!E$6)/(1+Ft!E$37*($A176-Ft!E$2)^2)+Ft!E$6*EXP(Ft!E$38*($A176-Ft!E$2)^2)),Ft!E$3*((1-Ft!E$7)/(1+Ft!E$39*($A176-Ft!E$2)^2)+Ft!E$7*EXP(Ft!E$40*($A176-Ft!E$2)^2)))</f>
        <v>0.33731249148728243</v>
      </c>
      <c r="J176" s="3">
        <f>IF(($A176-Ft!F$2)&lt;0,Ft!F$3*((1-Ft!F$6)/(1+Ft!F$37*($A176-Ft!F$2)^2)+Ft!F$6*EXP(Ft!F$38*($A176-Ft!F$2)^2)),Ft!F$3*((1-Ft!F$7)/(1+Ft!F$39*($A176-Ft!F$2)^2)+Ft!F$7*EXP(Ft!F$40*($A176-Ft!F$2)^2)))</f>
        <v>5.5973394045050746E-88</v>
      </c>
      <c r="K176" s="3">
        <f>IF(($A176-Ft!G$2)&lt;0,Ft!G$3*((1-Ft!G$6)/(1+Ft!G$37*($A176-Ft!G$2)^2)+Ft!G$6*EXP(Ft!G$38*($A176-Ft!G$2)^2)),Ft!G$3*((1-Ft!G$7)/(1+Ft!G$39*($A176-Ft!G$2)^2)+Ft!G$7*EXP(Ft!G$40*($A176-Ft!G$2)^2)))</f>
        <v>0</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v>350</v>
      </c>
      <c r="B177">
        <v>15.792625250648996</v>
      </c>
      <c r="C177" s="6">
        <f t="shared" si="5"/>
        <v>15.675009658355465</v>
      </c>
      <c r="D177" s="19">
        <f t="shared" si="6"/>
        <v>1.3833427550557983E-2</v>
      </c>
      <c r="E177" s="3">
        <f>Ft!$B$12+Ft!$B$14*(Data!A177-Vars!$B$3)</f>
        <v>0</v>
      </c>
      <c r="F177" s="3">
        <f>IF(($A177-Ft!B$2)&lt;0,Ft!B$3*((1-Ft!B$6)/(1+Ft!B$37*($A177-Ft!B$2)^2)+Ft!B$6*EXP(Ft!B$38*($A177-Ft!B$2)^2)),Ft!B$3*((1-Ft!B$7)/(1+Ft!B$39*($A177-Ft!B$2)^2)+Ft!B$7*EXP(Ft!B$40*($A177-Ft!B$2)^2)))</f>
        <v>8.8606690660272291E-51</v>
      </c>
      <c r="G177" s="3">
        <f>IF(($A177-Ft!C$2)&lt;0,Ft!C$3*((1-Ft!C$6)/(1+Ft!C$37*($A177-Ft!C$2)^2)+Ft!C$6*EXP(Ft!C$38*($A177-Ft!C$2)^2)),Ft!C$3*((1-Ft!C$7)/(1+Ft!C$39*($A177-Ft!C$2)^2)+Ft!C$7*EXP(Ft!C$40*($A177-Ft!C$2)^2)))</f>
        <v>0.31227509022342659</v>
      </c>
      <c r="H177" s="3">
        <f>IF(($A177-Ft!D$2)&lt;0,Ft!D$3*((1-Ft!D$6)/(1+Ft!D$37*($A177-Ft!D$2)^2)+Ft!D$6*EXP(Ft!D$38*($A177-Ft!D$2)^2)),Ft!D$3*((1-Ft!D$7)/(1+Ft!D$39*($A177-Ft!D$2)^2)+Ft!D$7*EXP(Ft!D$40*($A177-Ft!D$2)^2)))</f>
        <v>15.014069239564462</v>
      </c>
      <c r="I177" s="3">
        <f>IF(($A177-Ft!E$2)&lt;0,Ft!E$3*((1-Ft!E$6)/(1+Ft!E$37*($A177-Ft!E$2)^2)+Ft!E$6*EXP(Ft!E$38*($A177-Ft!E$2)^2)),Ft!E$3*((1-Ft!E$7)/(1+Ft!E$39*($A177-Ft!E$2)^2)+Ft!E$7*EXP(Ft!E$40*($A177-Ft!E$2)^2)))</f>
        <v>0.3486653285675767</v>
      </c>
      <c r="J177" s="3">
        <f>IF(($A177-Ft!F$2)&lt;0,Ft!F$3*((1-Ft!F$6)/(1+Ft!F$37*($A177-Ft!F$2)^2)+Ft!F$6*EXP(Ft!F$38*($A177-Ft!F$2)^2)),Ft!F$3*((1-Ft!F$7)/(1+Ft!F$39*($A177-Ft!F$2)^2)+Ft!F$7*EXP(Ft!F$40*($A177-Ft!F$2)^2)))</f>
        <v>1.8313941600766222E-87</v>
      </c>
      <c r="K177" s="3">
        <f>IF(($A177-Ft!G$2)&lt;0,Ft!G$3*((1-Ft!G$6)/(1+Ft!G$37*($A177-Ft!G$2)^2)+Ft!G$6*EXP(Ft!G$38*($A177-Ft!G$2)^2)),Ft!G$3*((1-Ft!G$7)/(1+Ft!G$39*($A177-Ft!G$2)^2)+Ft!G$7*EXP(Ft!G$40*($A177-Ft!G$2)^2)))</f>
        <v>0</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v>352</v>
      </c>
      <c r="B178">
        <v>15.885377943942999</v>
      </c>
      <c r="C178" s="6">
        <f t="shared" si="5"/>
        <v>15.778450270535581</v>
      </c>
      <c r="D178" s="19">
        <f t="shared" si="6"/>
        <v>1.143352734032336E-2</v>
      </c>
      <c r="E178" s="3">
        <f>Ft!$B$12+Ft!$B$14*(Data!A178-Vars!$B$3)</f>
        <v>0</v>
      </c>
      <c r="F178" s="3">
        <f>IF(($A178-Ft!B$2)&lt;0,Ft!B$3*((1-Ft!B$6)/(1+Ft!B$37*($A178-Ft!B$2)^2)+Ft!B$6*EXP(Ft!B$38*($A178-Ft!B$2)^2)),Ft!B$3*((1-Ft!B$7)/(1+Ft!B$39*($A178-Ft!B$2)^2)+Ft!B$7*EXP(Ft!B$40*($A178-Ft!B$2)^2)))</f>
        <v>1.9102348681489505E-51</v>
      </c>
      <c r="G178" s="3">
        <f>IF(($A178-Ft!C$2)&lt;0,Ft!C$3*((1-Ft!C$6)/(1+Ft!C$37*($A178-Ft!C$2)^2)+Ft!C$6*EXP(Ft!C$38*($A178-Ft!C$2)^2)),Ft!C$3*((1-Ft!C$7)/(1+Ft!C$39*($A178-Ft!C$2)^2)+Ft!C$7*EXP(Ft!C$40*($A178-Ft!C$2)^2)))</f>
        <v>0.29246408803762269</v>
      </c>
      <c r="H178" s="3">
        <f>IF(($A178-Ft!D$2)&lt;0,Ft!D$3*((1-Ft!D$6)/(1+Ft!D$37*($A178-Ft!D$2)^2)+Ft!D$6*EXP(Ft!D$38*($A178-Ft!D$2)^2)),Ft!D$3*((1-Ft!D$7)/(1+Ft!D$39*($A178-Ft!D$2)^2)+Ft!D$7*EXP(Ft!D$40*($A178-Ft!D$2)^2)))</f>
        <v>15.125637002110699</v>
      </c>
      <c r="I178" s="3">
        <f>IF(($A178-Ft!E$2)&lt;0,Ft!E$3*((1-Ft!E$6)/(1+Ft!E$37*($A178-Ft!E$2)^2)+Ft!E$6*EXP(Ft!E$38*($A178-Ft!E$2)^2)),Ft!E$3*((1-Ft!E$7)/(1+Ft!E$39*($A178-Ft!E$2)^2)+Ft!E$7*EXP(Ft!E$40*($A178-Ft!E$2)^2)))</f>
        <v>0.36034918038725977</v>
      </c>
      <c r="J178" s="3">
        <f>IF(($A178-Ft!F$2)&lt;0,Ft!F$3*((1-Ft!F$6)/(1+Ft!F$37*($A178-Ft!F$2)^2)+Ft!F$6*EXP(Ft!F$38*($A178-Ft!F$2)^2)),Ft!F$3*((1-Ft!F$7)/(1+Ft!F$39*($A178-Ft!F$2)^2)+Ft!F$7*EXP(Ft!F$40*($A178-Ft!F$2)^2)))</f>
        <v>5.9713591105188491E-87</v>
      </c>
      <c r="K178" s="3">
        <f>IF(($A178-Ft!G$2)&lt;0,Ft!G$3*((1-Ft!G$6)/(1+Ft!G$37*($A178-Ft!G$2)^2)+Ft!G$6*EXP(Ft!G$38*($A178-Ft!G$2)^2)),Ft!G$3*((1-Ft!G$7)/(1+Ft!G$39*($A178-Ft!G$2)^2)+Ft!G$7*EXP(Ft!G$40*($A178-Ft!G$2)^2)))</f>
        <v>0</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v>354</v>
      </c>
      <c r="B179">
        <v>15.976338132143994</v>
      </c>
      <c r="C179" s="6">
        <f t="shared" si="5"/>
        <v>15.881552952926601</v>
      </c>
      <c r="D179" s="19">
        <f t="shared" si="6"/>
        <v>8.984230199273276E-3</v>
      </c>
      <c r="E179" s="3">
        <f>Ft!$B$12+Ft!$B$14*(Data!A179-Vars!$B$3)</f>
        <v>0</v>
      </c>
      <c r="F179" s="3">
        <f>IF(($A179-Ft!B$2)&lt;0,Ft!B$3*((1-Ft!B$6)/(1+Ft!B$37*($A179-Ft!B$2)^2)+Ft!B$6*EXP(Ft!B$38*($A179-Ft!B$2)^2)),Ft!B$3*((1-Ft!B$7)/(1+Ft!B$39*($A179-Ft!B$2)^2)+Ft!B$7*EXP(Ft!B$40*($A179-Ft!B$2)^2)))</f>
        <v>4.077028210122961E-52</v>
      </c>
      <c r="G179" s="3">
        <f>IF(($A179-Ft!C$2)&lt;0,Ft!C$3*((1-Ft!C$6)/(1+Ft!C$37*($A179-Ft!C$2)^2)+Ft!C$6*EXP(Ft!C$38*($A179-Ft!C$2)^2)),Ft!C$3*((1-Ft!C$7)/(1+Ft!C$39*($A179-Ft!C$2)^2)+Ft!C$7*EXP(Ft!C$40*($A179-Ft!C$2)^2)))</f>
        <v>0.27373967001013283</v>
      </c>
      <c r="H179" s="3">
        <f>IF(($A179-Ft!D$2)&lt;0,Ft!D$3*((1-Ft!D$6)/(1+Ft!D$37*($A179-Ft!D$2)^2)+Ft!D$6*EXP(Ft!D$38*($A179-Ft!D$2)^2)),Ft!D$3*((1-Ft!D$7)/(1+Ft!D$39*($A179-Ft!D$2)^2)+Ft!D$7*EXP(Ft!D$40*($A179-Ft!D$2)^2)))</f>
        <v>15.235441511329457</v>
      </c>
      <c r="I179" s="3">
        <f>IF(($A179-Ft!E$2)&lt;0,Ft!E$3*((1-Ft!E$6)/(1+Ft!E$37*($A179-Ft!E$2)^2)+Ft!E$6*EXP(Ft!E$38*($A179-Ft!E$2)^2)),Ft!E$3*((1-Ft!E$7)/(1+Ft!E$39*($A179-Ft!E$2)^2)+Ft!E$7*EXP(Ft!E$40*($A179-Ft!E$2)^2)))</f>
        <v>0.37237177158701129</v>
      </c>
      <c r="J179" s="3">
        <f>IF(($A179-Ft!F$2)&lt;0,Ft!F$3*((1-Ft!F$6)/(1+Ft!F$37*($A179-Ft!F$2)^2)+Ft!F$6*EXP(Ft!F$38*($A179-Ft!F$2)^2)),Ft!F$3*((1-Ft!F$7)/(1+Ft!F$39*($A179-Ft!F$2)^2)+Ft!F$7*EXP(Ft!F$40*($A179-Ft!F$2)^2)))</f>
        <v>1.9402412642864733E-86</v>
      </c>
      <c r="K179" s="3">
        <f>IF(($A179-Ft!G$2)&lt;0,Ft!G$3*((1-Ft!G$6)/(1+Ft!G$37*($A179-Ft!G$2)^2)+Ft!G$6*EXP(Ft!G$38*($A179-Ft!G$2)^2)),Ft!G$3*((1-Ft!G$7)/(1+Ft!G$39*($A179-Ft!G$2)^2)+Ft!G$7*EXP(Ft!G$40*($A179-Ft!G$2)^2)))</f>
        <v>0</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v>356</v>
      </c>
      <c r="B180">
        <v>16.062269356507002</v>
      </c>
      <c r="C180" s="6">
        <f t="shared" si="5"/>
        <v>15.984228210220879</v>
      </c>
      <c r="D180" s="19">
        <f t="shared" si="6"/>
        <v>6.0904205136521217E-3</v>
      </c>
      <c r="E180" s="3">
        <f>Ft!$B$12+Ft!$B$14*(Data!A180-Vars!$B$3)</f>
        <v>0</v>
      </c>
      <c r="F180" s="3">
        <f>IF(($A180-Ft!B$2)&lt;0,Ft!B$3*((1-Ft!B$6)/(1+Ft!B$37*($A180-Ft!B$2)^2)+Ft!B$6*EXP(Ft!B$38*($A180-Ft!B$2)^2)),Ft!B$3*((1-Ft!B$7)/(1+Ft!B$39*($A180-Ft!B$2)^2)+Ft!B$7*EXP(Ft!B$40*($A180-Ft!B$2)^2)))</f>
        <v>8.6146445286339239E-53</v>
      </c>
      <c r="G180" s="3">
        <f>IF(($A180-Ft!C$2)&lt;0,Ft!C$3*((1-Ft!C$6)/(1+Ft!C$37*($A180-Ft!C$2)^2)+Ft!C$6*EXP(Ft!C$38*($A180-Ft!C$2)^2)),Ft!C$3*((1-Ft!C$7)/(1+Ft!C$39*($A180-Ft!C$2)^2)+Ft!C$7*EXP(Ft!C$40*($A180-Ft!C$2)^2)))</f>
        <v>0.25605480025797467</v>
      </c>
      <c r="H180" s="3">
        <f>IF(($A180-Ft!D$2)&lt;0,Ft!D$3*((1-Ft!D$6)/(1+Ft!D$37*($A180-Ft!D$2)^2)+Ft!D$6*EXP(Ft!D$38*($A180-Ft!D$2)^2)),Ft!D$3*((1-Ft!D$7)/(1+Ft!D$39*($A180-Ft!D$2)^2)+Ft!D$7*EXP(Ft!D$40*($A180-Ft!D$2)^2)))</f>
        <v>15.343432471312425</v>
      </c>
      <c r="I180" s="3">
        <f>IF(($A180-Ft!E$2)&lt;0,Ft!E$3*((1-Ft!E$6)/(1+Ft!E$37*($A180-Ft!E$2)^2)+Ft!E$6*EXP(Ft!E$38*($A180-Ft!E$2)^2)),Ft!E$3*((1-Ft!E$7)/(1+Ft!E$39*($A180-Ft!E$2)^2)+Ft!E$7*EXP(Ft!E$40*($A180-Ft!E$2)^2)))</f>
        <v>0.3847409386504787</v>
      </c>
      <c r="J180" s="3">
        <f>IF(($A180-Ft!F$2)&lt;0,Ft!F$3*((1-Ft!F$6)/(1+Ft!F$37*($A180-Ft!F$2)^2)+Ft!F$6*EXP(Ft!F$38*($A180-Ft!F$2)^2)),Ft!F$3*((1-Ft!F$7)/(1+Ft!F$39*($A180-Ft!F$2)^2)+Ft!F$7*EXP(Ft!F$40*($A180-Ft!F$2)^2)))</f>
        <v>6.2824561420244397E-86</v>
      </c>
      <c r="K180" s="3">
        <f>IF(($A180-Ft!G$2)&lt;0,Ft!G$3*((1-Ft!G$6)/(1+Ft!G$37*($A180-Ft!G$2)^2)+Ft!G$6*EXP(Ft!G$38*($A180-Ft!G$2)^2)),Ft!G$3*((1-Ft!G$7)/(1+Ft!G$39*($A180-Ft!G$2)^2)+Ft!G$7*EXP(Ft!G$40*($A180-Ft!G$2)^2)))</f>
        <v>0</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v>358</v>
      </c>
      <c r="B181">
        <v>16.141171652821001</v>
      </c>
      <c r="C181" s="6">
        <f t="shared" si="5"/>
        <v>16.086388375623592</v>
      </c>
      <c r="D181" s="19">
        <f t="shared" si="6"/>
        <v>3.00120746048811E-3</v>
      </c>
      <c r="E181" s="3">
        <f>Ft!$B$12+Ft!$B$14*(Data!A181-Vars!$B$3)</f>
        <v>0</v>
      </c>
      <c r="F181" s="3">
        <f>IF(($A181-Ft!B$2)&lt;0,Ft!B$3*((1-Ft!B$6)/(1+Ft!B$37*($A181-Ft!B$2)^2)+Ft!B$6*EXP(Ft!B$38*($A181-Ft!B$2)^2)),Ft!B$3*((1-Ft!B$7)/(1+Ft!B$39*($A181-Ft!B$2)^2)+Ft!B$7*EXP(Ft!B$40*($A181-Ft!B$2)^2)))</f>
        <v>1.8020535961464881E-53</v>
      </c>
      <c r="G181" s="3">
        <f>IF(($A181-Ft!C$2)&lt;0,Ft!C$3*((1-Ft!C$6)/(1+Ft!C$37*($A181-Ft!C$2)^2)+Ft!C$6*EXP(Ft!C$38*($A181-Ft!C$2)^2)),Ft!C$3*((1-Ft!C$7)/(1+Ft!C$39*($A181-Ft!C$2)^2)+Ft!C$7*EXP(Ft!C$40*($A181-Ft!C$2)^2)))</f>
        <v>0.23936359228380549</v>
      </c>
      <c r="H181" s="3">
        <f>IF(($A181-Ft!D$2)&lt;0,Ft!D$3*((1-Ft!D$6)/(1+Ft!D$37*($A181-Ft!D$2)^2)+Ft!D$6*EXP(Ft!D$38*($A181-Ft!D$2)^2)),Ft!D$3*((1-Ft!D$7)/(1+Ft!D$39*($A181-Ft!D$2)^2)+Ft!D$7*EXP(Ft!D$40*($A181-Ft!D$2)^2)))</f>
        <v>15.449560154220849</v>
      </c>
      <c r="I181" s="3">
        <f>IF(($A181-Ft!E$2)&lt;0,Ft!E$3*((1-Ft!E$6)/(1+Ft!E$37*($A181-Ft!E$2)^2)+Ft!E$6*EXP(Ft!E$38*($A181-Ft!E$2)^2)),Ft!E$3*((1-Ft!E$7)/(1+Ft!E$39*($A181-Ft!E$2)^2)+Ft!E$7*EXP(Ft!E$40*($A181-Ft!E$2)^2)))</f>
        <v>0.39746462911893621</v>
      </c>
      <c r="J181" s="3">
        <f>IF(($A181-Ft!F$2)&lt;0,Ft!F$3*((1-Ft!F$6)/(1+Ft!F$37*($A181-Ft!F$2)^2)+Ft!F$6*EXP(Ft!F$38*($A181-Ft!F$2)^2)),Ft!F$3*((1-Ft!F$7)/(1+Ft!F$39*($A181-Ft!F$2)^2)+Ft!F$7*EXP(Ft!F$40*($A181-Ft!F$2)^2)))</f>
        <v>2.027189630498379E-85</v>
      </c>
      <c r="K181" s="3">
        <f>IF(($A181-Ft!G$2)&lt;0,Ft!G$3*((1-Ft!G$6)/(1+Ft!G$37*($A181-Ft!G$2)^2)+Ft!G$6*EXP(Ft!G$38*($A181-Ft!G$2)^2)),Ft!G$3*((1-Ft!G$7)/(1+Ft!G$39*($A181-Ft!G$2)^2)+Ft!G$7*EXP(Ft!G$40*($A181-Ft!G$2)^2)))</f>
        <v>0</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v>360</v>
      </c>
      <c r="B182">
        <v>16.214863780020991</v>
      </c>
      <c r="C182" s="6">
        <f t="shared" si="5"/>
        <v>16.187947684040694</v>
      </c>
      <c r="D182" s="19">
        <f t="shared" si="6"/>
        <v>7.2447622282058332E-4</v>
      </c>
      <c r="E182" s="3">
        <f>Ft!$B$12+Ft!$B$14*(Data!A182-Vars!$B$3)</f>
        <v>0</v>
      </c>
      <c r="F182" s="3">
        <f>IF(($A182-Ft!B$2)&lt;0,Ft!B$3*((1-Ft!B$6)/(1+Ft!B$37*($A182-Ft!B$2)^2)+Ft!B$6*EXP(Ft!B$38*($A182-Ft!B$2)^2)),Ft!B$3*((1-Ft!B$7)/(1+Ft!B$39*($A182-Ft!B$2)^2)+Ft!B$7*EXP(Ft!B$40*($A182-Ft!B$2)^2)))</f>
        <v>3.7319407680256366E-54</v>
      </c>
      <c r="G182" s="3">
        <f>IF(($A182-Ft!C$2)&lt;0,Ft!C$3*((1-Ft!C$6)/(1+Ft!C$37*($A182-Ft!C$2)^2)+Ft!C$6*EXP(Ft!C$38*($A182-Ft!C$2)^2)),Ft!C$3*((1-Ft!C$7)/(1+Ft!C$39*($A182-Ft!C$2)^2)+Ft!C$7*EXP(Ft!C$40*($A182-Ft!C$2)^2)))</f>
        <v>0.22362134507182826</v>
      </c>
      <c r="H182" s="3">
        <f>IF(($A182-Ft!D$2)&lt;0,Ft!D$3*((1-Ft!D$6)/(1+Ft!D$37*($A182-Ft!D$2)^2)+Ft!D$6*EXP(Ft!D$38*($A182-Ft!D$2)^2)),Ft!D$3*((1-Ft!D$7)/(1+Ft!D$39*($A182-Ft!D$2)^2)+Ft!D$7*EXP(Ft!D$40*($A182-Ft!D$2)^2)))</f>
        <v>15.553775438269071</v>
      </c>
      <c r="I182" s="3">
        <f>IF(($A182-Ft!E$2)&lt;0,Ft!E$3*((1-Ft!E$6)/(1+Ft!E$37*($A182-Ft!E$2)^2)+Ft!E$6*EXP(Ft!E$38*($A182-Ft!E$2)^2)),Ft!E$3*((1-Ft!E$7)/(1+Ft!E$39*($A182-Ft!E$2)^2)+Ft!E$7*EXP(Ft!E$40*($A182-Ft!E$2)^2)))</f>
        <v>0.41055090069979616</v>
      </c>
      <c r="J182" s="3">
        <f>IF(($A182-Ft!F$2)&lt;0,Ft!F$3*((1-Ft!F$6)/(1+Ft!F$37*($A182-Ft!F$2)^2)+Ft!F$6*EXP(Ft!F$38*($A182-Ft!F$2)^2)),Ft!F$3*((1-Ft!F$7)/(1+Ft!F$39*($A182-Ft!F$2)^2)+Ft!F$7*EXP(Ft!F$40*($A182-Ft!F$2)^2)))</f>
        <v>6.5185420059876542E-85</v>
      </c>
      <c r="K182" s="3">
        <f>IF(($A182-Ft!G$2)&lt;0,Ft!G$3*((1-Ft!G$6)/(1+Ft!G$37*($A182-Ft!G$2)^2)+Ft!G$6*EXP(Ft!G$38*($A182-Ft!G$2)^2)),Ft!G$3*((1-Ft!G$7)/(1+Ft!G$39*($A182-Ft!G$2)^2)+Ft!G$7*EXP(Ft!G$40*($A182-Ft!G$2)^2)))</f>
        <v>0</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v>362</v>
      </c>
      <c r="B183">
        <v>16.285164497043993</v>
      </c>
      <c r="C183" s="6">
        <f t="shared" si="5"/>
        <v>16.28882233900249</v>
      </c>
      <c r="D183" s="19">
        <f t="shared" si="6"/>
        <v>1.3379807793335882E-5</v>
      </c>
      <c r="E183" s="3">
        <f>Ft!$B$12+Ft!$B$14*(Data!A183-Vars!$B$3)</f>
        <v>0</v>
      </c>
      <c r="F183" s="3">
        <f>IF(($A183-Ft!B$2)&lt;0,Ft!B$3*((1-Ft!B$6)/(1+Ft!B$37*($A183-Ft!B$2)^2)+Ft!B$6*EXP(Ft!B$38*($A183-Ft!B$2)^2)),Ft!B$3*((1-Ft!B$7)/(1+Ft!B$39*($A183-Ft!B$2)^2)+Ft!B$7*EXP(Ft!B$40*($A183-Ft!B$2)^2)))</f>
        <v>7.6513572061626769E-55</v>
      </c>
      <c r="G183" s="3">
        <f>IF(($A183-Ft!C$2)&lt;0,Ft!C$3*((1-Ft!C$6)/(1+Ft!C$37*($A183-Ft!C$2)^2)+Ft!C$6*EXP(Ft!C$38*($A183-Ft!C$2)^2)),Ft!C$3*((1-Ft!C$7)/(1+Ft!C$39*($A183-Ft!C$2)^2)+Ft!C$7*EXP(Ft!C$40*($A183-Ft!C$2)^2)))</f>
        <v>0.20878457327953584</v>
      </c>
      <c r="H183" s="3">
        <f>IF(($A183-Ft!D$2)&lt;0,Ft!D$3*((1-Ft!D$6)/(1+Ft!D$37*($A183-Ft!D$2)^2)+Ft!D$6*EXP(Ft!D$38*($A183-Ft!D$2)^2)),Ft!D$3*((1-Ft!D$7)/(1+Ft!D$39*($A183-Ft!D$2)^2)+Ft!D$7*EXP(Ft!D$40*($A183-Ft!D$2)^2)))</f>
        <v>15.656029845456739</v>
      </c>
      <c r="I183" s="3">
        <f>IF(($A183-Ft!E$2)&lt;0,Ft!E$3*((1-Ft!E$6)/(1+Ft!E$37*($A183-Ft!E$2)^2)+Ft!E$6*EXP(Ft!E$38*($A183-Ft!E$2)^2)),Ft!E$3*((1-Ft!E$7)/(1+Ft!E$39*($A183-Ft!E$2)^2)+Ft!E$7*EXP(Ft!E$40*($A183-Ft!E$2)^2)))</f>
        <v>0.42400792026621481</v>
      </c>
      <c r="J183" s="3">
        <f>IF(($A183-Ft!F$2)&lt;0,Ft!F$3*((1-Ft!F$6)/(1+Ft!F$37*($A183-Ft!F$2)^2)+Ft!F$6*EXP(Ft!F$38*($A183-Ft!F$2)^2)),Ft!F$3*((1-Ft!F$7)/(1+Ft!F$39*($A183-Ft!F$2)^2)+Ft!F$7*EXP(Ft!F$40*($A183-Ft!F$2)^2)))</f>
        <v>2.0888042518383943E-84</v>
      </c>
      <c r="K183" s="3">
        <f>IF(($A183-Ft!G$2)&lt;0,Ft!G$3*((1-Ft!G$6)/(1+Ft!G$37*($A183-Ft!G$2)^2)+Ft!G$6*EXP(Ft!G$38*($A183-Ft!G$2)^2)),Ft!G$3*((1-Ft!G$7)/(1+Ft!G$39*($A183-Ft!G$2)^2)+Ft!G$7*EXP(Ft!G$40*($A183-Ft!G$2)^2)))</f>
        <v>0</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v>364</v>
      </c>
      <c r="B184">
        <v>16.353892562824996</v>
      </c>
      <c r="C184" s="6">
        <f t="shared" si="5"/>
        <v>16.388930573555619</v>
      </c>
      <c r="D184" s="19">
        <f t="shared" si="6"/>
        <v>1.2276621959592963E-3</v>
      </c>
      <c r="E184" s="3">
        <f>Ft!$B$12+Ft!$B$14*(Data!A184-Vars!$B$3)</f>
        <v>0</v>
      </c>
      <c r="F184" s="3">
        <f>IF(($A184-Ft!B$2)&lt;0,Ft!B$3*((1-Ft!B$6)/(1+Ft!B$37*($A184-Ft!B$2)^2)+Ft!B$6*EXP(Ft!B$38*($A184-Ft!B$2)^2)),Ft!B$3*((1-Ft!B$7)/(1+Ft!B$39*($A184-Ft!B$2)^2)+Ft!B$7*EXP(Ft!B$40*($A184-Ft!B$2)^2)))</f>
        <v>1.5530266555196324E-55</v>
      </c>
      <c r="G184" s="3">
        <f>IF(($A184-Ft!C$2)&lt;0,Ft!C$3*((1-Ft!C$6)/(1+Ft!C$37*($A184-Ft!C$2)^2)+Ft!C$6*EXP(Ft!C$38*($A184-Ft!C$2)^2)),Ft!C$3*((1-Ft!C$7)/(1+Ft!C$39*($A184-Ft!C$2)^2)+Ft!C$7*EXP(Ft!C$40*($A184-Ft!C$2)^2)))</f>
        <v>0.19481103180120454</v>
      </c>
      <c r="H184" s="3">
        <f>IF(($A184-Ft!D$2)&lt;0,Ft!D$3*((1-Ft!D$6)/(1+Ft!D$37*($A184-Ft!D$2)^2)+Ft!D$6*EXP(Ft!D$38*($A184-Ft!D$2)^2)),Ft!D$3*((1-Ft!D$7)/(1+Ft!D$39*($A184-Ft!D$2)^2)+Ft!D$7*EXP(Ft!D$40*($A184-Ft!D$2)^2)))</f>
        <v>15.756275579009358</v>
      </c>
      <c r="I184" s="3">
        <f>IF(($A184-Ft!E$2)&lt;0,Ft!E$3*((1-Ft!E$6)/(1+Ft!E$37*($A184-Ft!E$2)^2)+Ft!E$6*EXP(Ft!E$38*($A184-Ft!E$2)^2)),Ft!E$3*((1-Ft!E$7)/(1+Ft!E$39*($A184-Ft!E$2)^2)+Ft!E$7*EXP(Ft!E$40*($A184-Ft!E$2)^2)))</f>
        <v>0.43784396274505633</v>
      </c>
      <c r="J184" s="3">
        <f>IF(($A184-Ft!F$2)&lt;0,Ft!F$3*((1-Ft!F$6)/(1+Ft!F$37*($A184-Ft!F$2)^2)+Ft!F$6*EXP(Ft!F$38*($A184-Ft!F$2)^2)),Ft!F$3*((1-Ft!F$7)/(1+Ft!F$39*($A184-Ft!F$2)^2)+Ft!F$7*EXP(Ft!F$40*($A184-Ft!F$2)^2)))</f>
        <v>6.6701591922396848E-84</v>
      </c>
      <c r="K184" s="3">
        <f>IF(($A184-Ft!G$2)&lt;0,Ft!G$3*((1-Ft!G$6)/(1+Ft!G$37*($A184-Ft!G$2)^2)+Ft!G$6*EXP(Ft!G$38*($A184-Ft!G$2)^2)),Ft!G$3*((1-Ft!G$7)/(1+Ft!G$39*($A184-Ft!G$2)^2)+Ft!G$7*EXP(Ft!G$40*($A184-Ft!G$2)^2)))</f>
        <v>0</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v>366</v>
      </c>
      <c r="B185">
        <v>16.422866736299</v>
      </c>
      <c r="C185" s="6">
        <f t="shared" si="5"/>
        <v>16.488192705361939</v>
      </c>
      <c r="D185" s="19">
        <f t="shared" si="6"/>
        <v>4.2674822340121607E-3</v>
      </c>
      <c r="E185" s="3">
        <f>Ft!$B$12+Ft!$B$14*(Data!A185-Vars!$B$3)</f>
        <v>0</v>
      </c>
      <c r="F185" s="3">
        <f>IF(($A185-Ft!B$2)&lt;0,Ft!B$3*((1-Ft!B$6)/(1+Ft!B$37*($A185-Ft!B$2)^2)+Ft!B$6*EXP(Ft!B$38*($A185-Ft!B$2)^2)),Ft!B$3*((1-Ft!B$7)/(1+Ft!B$39*($A185-Ft!B$2)^2)+Ft!B$7*EXP(Ft!B$40*($A185-Ft!B$2)^2)))</f>
        <v>3.1207288714337947E-56</v>
      </c>
      <c r="G185" s="3">
        <f>IF(($A185-Ft!C$2)&lt;0,Ft!C$3*((1-Ft!C$6)/(1+Ft!C$37*($A185-Ft!C$2)^2)+Ft!C$6*EXP(Ft!C$38*($A185-Ft!C$2)^2)),Ft!C$3*((1-Ft!C$7)/(1+Ft!C$39*($A185-Ft!C$2)^2)+Ft!C$7*EXP(Ft!C$40*($A185-Ft!C$2)^2)))</f>
        <v>0.18165973498465954</v>
      </c>
      <c r="H185" s="3">
        <f>IF(($A185-Ft!D$2)&lt;0,Ft!D$3*((1-Ft!D$6)/(1+Ft!D$37*($A185-Ft!D$2)^2)+Ft!D$6*EXP(Ft!D$38*($A185-Ft!D$2)^2)),Ft!D$3*((1-Ft!D$7)/(1+Ft!D$39*($A185-Ft!D$2)^2)+Ft!D$7*EXP(Ft!D$40*($A185-Ft!D$2)^2)))</f>
        <v>15.854465560486782</v>
      </c>
      <c r="I185" s="3">
        <f>IF(($A185-Ft!E$2)&lt;0,Ft!E$3*((1-Ft!E$6)/(1+Ft!E$37*($A185-Ft!E$2)^2)+Ft!E$6*EXP(Ft!E$38*($A185-Ft!E$2)^2)),Ft!E$3*((1-Ft!E$7)/(1+Ft!E$39*($A185-Ft!E$2)^2)+Ft!E$7*EXP(Ft!E$40*($A185-Ft!E$2)^2)))</f>
        <v>0.4520674098905012</v>
      </c>
      <c r="J185" s="3">
        <f>IF(($A185-Ft!F$2)&lt;0,Ft!F$3*((1-Ft!F$6)/(1+Ft!F$37*($A185-Ft!F$2)^2)+Ft!F$6*EXP(Ft!F$38*($A185-Ft!F$2)^2)),Ft!F$3*((1-Ft!F$7)/(1+Ft!F$39*($A185-Ft!F$2)^2)+Ft!F$7*EXP(Ft!F$40*($A185-Ft!F$2)^2)))</f>
        <v>2.1225886477181727E-83</v>
      </c>
      <c r="K185" s="3">
        <f>IF(($A185-Ft!G$2)&lt;0,Ft!G$3*((1-Ft!G$6)/(1+Ft!G$37*($A185-Ft!G$2)^2)+Ft!G$6*EXP(Ft!G$38*($A185-Ft!G$2)^2)),Ft!G$3*((1-Ft!G$7)/(1+Ft!G$39*($A185-Ft!G$2)^2)+Ft!G$7*EXP(Ft!G$40*($A185-Ft!G$2)^2)))</f>
        <v>0</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v>368</v>
      </c>
      <c r="B186">
        <v>16.493905776402997</v>
      </c>
      <c r="C186" s="6">
        <f t="shared" si="5"/>
        <v>16.58653118624688</v>
      </c>
      <c r="D186" s="19">
        <f t="shared" si="6"/>
        <v>8.5794665487473401E-3</v>
      </c>
      <c r="E186" s="3">
        <f>Ft!$B$12+Ft!$B$14*(Data!A186-Vars!$B$3)</f>
        <v>0</v>
      </c>
      <c r="F186" s="3">
        <f>IF(($A186-Ft!B$2)&lt;0,Ft!B$3*((1-Ft!B$6)/(1+Ft!B$37*($A186-Ft!B$2)^2)+Ft!B$6*EXP(Ft!B$38*($A186-Ft!B$2)^2)),Ft!B$3*((1-Ft!B$7)/(1+Ft!B$39*($A186-Ft!B$2)^2)+Ft!B$7*EXP(Ft!B$40*($A186-Ft!B$2)^2)))</f>
        <v>6.2082595408292781E-57</v>
      </c>
      <c r="G186" s="3">
        <f>IF(($A186-Ft!C$2)&lt;0,Ft!C$3*((1-Ft!C$6)/(1+Ft!C$37*($A186-Ft!C$2)^2)+Ft!C$6*EXP(Ft!C$38*($A186-Ft!C$2)^2)),Ft!C$3*((1-Ft!C$7)/(1+Ft!C$39*($A186-Ft!C$2)^2)+Ft!C$7*EXP(Ft!C$40*($A186-Ft!C$2)^2)))</f>
        <v>0.16929097078671154</v>
      </c>
      <c r="H186" s="3">
        <f>IF(($A186-Ft!D$2)&lt;0,Ft!D$3*((1-Ft!D$6)/(1+Ft!D$37*($A186-Ft!D$2)^2)+Ft!D$6*EXP(Ft!D$38*($A186-Ft!D$2)^2)),Ft!D$3*((1-Ft!D$7)/(1+Ft!D$39*($A186-Ft!D$2)^2)+Ft!D$7*EXP(Ft!D$40*($A186-Ft!D$2)^2)))</f>
        <v>15.95055346651956</v>
      </c>
      <c r="I186" s="3">
        <f>IF(($A186-Ft!E$2)&lt;0,Ft!E$3*((1-Ft!E$6)/(1+Ft!E$37*($A186-Ft!E$2)^2)+Ft!E$6*EXP(Ft!E$38*($A186-Ft!E$2)^2)),Ft!E$3*((1-Ft!E$7)/(1+Ft!E$39*($A186-Ft!E$2)^2)+Ft!E$7*EXP(Ft!E$40*($A186-Ft!E$2)^2)))</f>
        <v>0.46668674894060974</v>
      </c>
      <c r="J186" s="3">
        <f>IF(($A186-Ft!F$2)&lt;0,Ft!F$3*((1-Ft!F$6)/(1+Ft!F$37*($A186-Ft!F$2)^2)+Ft!F$6*EXP(Ft!F$38*($A186-Ft!F$2)^2)),Ft!F$3*((1-Ft!F$7)/(1+Ft!F$39*($A186-Ft!F$2)^2)+Ft!F$7*EXP(Ft!F$40*($A186-Ft!F$2)^2)))</f>
        <v>6.7311095235998619E-83</v>
      </c>
      <c r="K186" s="3">
        <f>IF(($A186-Ft!G$2)&lt;0,Ft!G$3*((1-Ft!G$6)/(1+Ft!G$37*($A186-Ft!G$2)^2)+Ft!G$6*EXP(Ft!G$38*($A186-Ft!G$2)^2)),Ft!G$3*((1-Ft!G$7)/(1+Ft!G$39*($A186-Ft!G$2)^2)+Ft!G$7*EXP(Ft!G$40*($A186-Ft!G$2)^2)))</f>
        <v>0</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v>370</v>
      </c>
      <c r="B187">
        <v>16.568828442070995</v>
      </c>
      <c r="C187" s="6">
        <f t="shared" si="5"/>
        <v>16.683870646442191</v>
      </c>
      <c r="D187" s="19">
        <f t="shared" si="6"/>
        <v>1.3234708786584093E-2</v>
      </c>
      <c r="E187" s="3">
        <f>Ft!$B$12+Ft!$B$14*(Data!A187-Vars!$B$3)</f>
        <v>0</v>
      </c>
      <c r="F187" s="3">
        <f>IF(($A187-Ft!B$2)&lt;0,Ft!B$3*((1-Ft!B$6)/(1+Ft!B$37*($A187-Ft!B$2)^2)+Ft!B$6*EXP(Ft!B$38*($A187-Ft!B$2)^2)),Ft!B$3*((1-Ft!B$7)/(1+Ft!B$39*($A187-Ft!B$2)^2)+Ft!B$7*EXP(Ft!B$40*($A187-Ft!B$2)^2)))</f>
        <v>1.222701337233858E-57</v>
      </c>
      <c r="G187" s="3">
        <f>IF(($A187-Ft!C$2)&lt;0,Ft!C$3*((1-Ft!C$6)/(1+Ft!C$37*($A187-Ft!C$2)^2)+Ft!C$6*EXP(Ft!C$38*($A187-Ft!C$2)^2)),Ft!C$3*((1-Ft!C$7)/(1+Ft!C$39*($A187-Ft!C$2)^2)+Ft!C$7*EXP(Ft!C$40*($A187-Ft!C$2)^2)))</f>
        <v>0.15766631015492566</v>
      </c>
      <c r="H187" s="3">
        <f>IF(($A187-Ft!D$2)&lt;0,Ft!D$3*((1-Ft!D$6)/(1+Ft!D$37*($A187-Ft!D$2)^2)+Ft!D$6*EXP(Ft!D$38*($A187-Ft!D$2)^2)),Ft!D$3*((1-Ft!D$7)/(1+Ft!D$39*($A187-Ft!D$2)^2)+Ft!D$7*EXP(Ft!D$40*($A187-Ft!D$2)^2)))</f>
        <v>16.04449376513308</v>
      </c>
      <c r="I187" s="3">
        <f>IF(($A187-Ft!E$2)&lt;0,Ft!E$3*((1-Ft!E$6)/(1+Ft!E$37*($A187-Ft!E$2)^2)+Ft!E$6*EXP(Ft!E$38*($A187-Ft!E$2)^2)),Ft!E$3*((1-Ft!E$7)/(1+Ft!E$39*($A187-Ft!E$2)^2)+Ft!E$7*EXP(Ft!E$40*($A187-Ft!E$2)^2)))</f>
        <v>0.48171057115418575</v>
      </c>
      <c r="J187" s="3">
        <f>IF(($A187-Ft!F$2)&lt;0,Ft!F$3*((1-Ft!F$6)/(1+Ft!F$37*($A187-Ft!F$2)^2)+Ft!F$6*EXP(Ft!F$38*($A187-Ft!F$2)^2)),Ft!F$3*((1-Ft!F$7)/(1+Ft!F$39*($A187-Ft!F$2)^2)+Ft!F$7*EXP(Ft!F$40*($A187-Ft!F$2)^2)))</f>
        <v>2.1271526591309278E-82</v>
      </c>
      <c r="K187" s="3">
        <f>IF(($A187-Ft!G$2)&lt;0,Ft!G$3*((1-Ft!G$6)/(1+Ft!G$37*($A187-Ft!G$2)^2)+Ft!G$6*EXP(Ft!G$38*($A187-Ft!G$2)^2)),Ft!G$3*((1-Ft!G$7)/(1+Ft!G$39*($A187-Ft!G$2)^2)+Ft!G$7*EXP(Ft!G$40*($A187-Ft!G$2)^2)))</f>
        <v>0</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v>372</v>
      </c>
      <c r="B188">
        <v>16.648523662000997</v>
      </c>
      <c r="C188" s="6">
        <f t="shared" si="5"/>
        <v>16.780137933769186</v>
      </c>
      <c r="D188" s="19">
        <f t="shared" si="6"/>
        <v>1.7322316533070762E-2</v>
      </c>
      <c r="E188" s="3">
        <f>Ft!$B$12+Ft!$B$14*(Data!A188-Vars!$B$3)</f>
        <v>0</v>
      </c>
      <c r="F188" s="3">
        <f>IF(($A188-Ft!B$2)&lt;0,Ft!B$3*((1-Ft!B$6)/(1+Ft!B$37*($A188-Ft!B$2)^2)+Ft!B$6*EXP(Ft!B$38*($A188-Ft!B$2)^2)),Ft!B$3*((1-Ft!B$7)/(1+Ft!B$39*($A188-Ft!B$2)^2)+Ft!B$7*EXP(Ft!B$40*($A188-Ft!B$2)^2)))</f>
        <v>2.384007440535886E-58</v>
      </c>
      <c r="G188" s="3">
        <f>IF(($A188-Ft!C$2)&lt;0,Ft!C$3*((1-Ft!C$6)/(1+Ft!C$37*($A188-Ft!C$2)^2)+Ft!C$6*EXP(Ft!C$38*($A188-Ft!C$2)^2)),Ft!C$3*((1-Ft!C$7)/(1+Ft!C$39*($A188-Ft!C$2)^2)+Ft!C$7*EXP(Ft!C$40*($A188-Ft!C$2)^2)))</f>
        <v>0.14674861192410787</v>
      </c>
      <c r="H188" s="3">
        <f>IF(($A188-Ft!D$2)&lt;0,Ft!D$3*((1-Ft!D$6)/(1+Ft!D$37*($A188-Ft!D$2)^2)+Ft!D$6*EXP(Ft!D$38*($A188-Ft!D$2)^2)),Ft!D$3*((1-Ft!D$7)/(1+Ft!D$39*($A188-Ft!D$2)^2)+Ft!D$7*EXP(Ft!D$40*($A188-Ft!D$2)^2)))</f>
        <v>16.136241751619771</v>
      </c>
      <c r="I188" s="3">
        <f>IF(($A188-Ft!E$2)&lt;0,Ft!E$3*((1-Ft!E$6)/(1+Ft!E$37*($A188-Ft!E$2)^2)+Ft!E$6*EXP(Ft!E$38*($A188-Ft!E$2)^2)),Ft!E$3*((1-Ft!E$7)/(1+Ft!E$39*($A188-Ft!E$2)^2)+Ft!E$7*EXP(Ft!E$40*($A188-Ft!E$2)^2)))</f>
        <v>0.49714757022531003</v>
      </c>
      <c r="J188" s="3">
        <f>IF(($A188-Ft!F$2)&lt;0,Ft!F$3*((1-Ft!F$6)/(1+Ft!F$37*($A188-Ft!F$2)^2)+Ft!F$6*EXP(Ft!F$38*($A188-Ft!F$2)^2)),Ft!F$3*((1-Ft!F$7)/(1+Ft!F$39*($A188-Ft!F$2)^2)+Ft!F$7*EXP(Ft!F$40*($A188-Ft!F$2)^2)))</f>
        <v>6.6988745175496027E-82</v>
      </c>
      <c r="K188" s="3">
        <f>IF(($A188-Ft!G$2)&lt;0,Ft!G$3*((1-Ft!G$6)/(1+Ft!G$37*($A188-Ft!G$2)^2)+Ft!G$6*EXP(Ft!G$38*($A188-Ft!G$2)^2)),Ft!G$3*((1-Ft!G$7)/(1+Ft!G$39*($A188-Ft!G$2)^2)+Ft!G$7*EXP(Ft!G$40*($A188-Ft!G$2)^2)))</f>
        <v>0</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v>374</v>
      </c>
      <c r="B189">
        <v>16.728626036885998</v>
      </c>
      <c r="C189" s="6">
        <f t="shared" si="5"/>
        <v>16.875262148008076</v>
      </c>
      <c r="D189" s="19">
        <f t="shared" si="6"/>
        <v>2.1502149085006333E-2</v>
      </c>
      <c r="E189" s="3">
        <f>Ft!$B$12+Ft!$B$14*(Data!A189-Vars!$B$3)</f>
        <v>0</v>
      </c>
      <c r="F189" s="3">
        <f>IF(($A189-Ft!B$2)&lt;0,Ft!B$3*((1-Ft!B$6)/(1+Ft!B$37*($A189-Ft!B$2)^2)+Ft!B$6*EXP(Ft!B$38*($A189-Ft!B$2)^2)),Ft!B$3*((1-Ft!B$7)/(1+Ft!B$39*($A189-Ft!B$2)^2)+Ft!B$7*EXP(Ft!B$40*($A189-Ft!B$2)^2)))</f>
        <v>4.601840083476506E-59</v>
      </c>
      <c r="G189" s="3">
        <f>IF(($A189-Ft!C$2)&lt;0,Ft!C$3*((1-Ft!C$6)/(1+Ft!C$37*($A189-Ft!C$2)^2)+Ft!C$6*EXP(Ft!C$38*($A189-Ft!C$2)^2)),Ft!C$3*((1-Ft!C$7)/(1+Ft!C$39*($A189-Ft!C$2)^2)+Ft!C$7*EXP(Ft!C$40*($A189-Ft!C$2)^2)))</f>
        <v>0.13650202351518295</v>
      </c>
      <c r="H189" s="3">
        <f>IF(($A189-Ft!D$2)&lt;0,Ft!D$3*((1-Ft!D$6)/(1+Ft!D$37*($A189-Ft!D$2)^2)+Ft!D$6*EXP(Ft!D$38*($A189-Ft!D$2)^2)),Ft!D$3*((1-Ft!D$7)/(1+Ft!D$39*($A189-Ft!D$2)^2)+Ft!D$7*EXP(Ft!D$40*($A189-Ft!D$2)^2)))</f>
        <v>16.225753583919925</v>
      </c>
      <c r="I189" s="3">
        <f>IF(($A189-Ft!E$2)&lt;0,Ft!E$3*((1-Ft!E$6)/(1+Ft!E$37*($A189-Ft!E$2)^2)+Ft!E$6*EXP(Ft!E$38*($A189-Ft!E$2)^2)),Ft!E$3*((1-Ft!E$7)/(1+Ft!E$39*($A189-Ft!E$2)^2)+Ft!E$7*EXP(Ft!E$40*($A189-Ft!E$2)^2)))</f>
        <v>0.51300654057296735</v>
      </c>
      <c r="J189" s="3">
        <f>IF(($A189-Ft!F$2)&lt;0,Ft!F$3*((1-Ft!F$6)/(1+Ft!F$37*($A189-Ft!F$2)^2)+Ft!F$6*EXP(Ft!F$38*($A189-Ft!F$2)^2)),Ft!F$3*((1-Ft!F$7)/(1+Ft!F$39*($A189-Ft!F$2)^2)+Ft!F$7*EXP(Ft!F$40*($A189-Ft!F$2)^2)))</f>
        <v>2.1023073483535957E-81</v>
      </c>
      <c r="K189" s="3">
        <f>IF(($A189-Ft!G$2)&lt;0,Ft!G$3*((1-Ft!G$6)/(1+Ft!G$37*($A189-Ft!G$2)^2)+Ft!G$6*EXP(Ft!G$38*($A189-Ft!G$2)^2)),Ft!G$3*((1-Ft!G$7)/(1+Ft!G$39*($A189-Ft!G$2)^2)+Ft!G$7*EXP(Ft!G$40*($A189-Ft!G$2)^2)))</f>
        <v>0</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v>376</v>
      </c>
      <c r="B190">
        <v>16.808477932489993</v>
      </c>
      <c r="C190" s="6">
        <f t="shared" si="5"/>
        <v>16.969174670697278</v>
      </c>
      <c r="D190" s="19">
        <f t="shared" si="6"/>
        <v>2.5823441670460773E-2</v>
      </c>
      <c r="E190" s="3">
        <f>Ft!$B$12+Ft!$B$14*(Data!A190-Vars!$B$3)</f>
        <v>0</v>
      </c>
      <c r="F190" s="3">
        <f>IF(($A190-Ft!B$2)&lt;0,Ft!B$3*((1-Ft!B$6)/(1+Ft!B$37*($A190-Ft!B$2)^2)+Ft!B$6*EXP(Ft!B$38*($A190-Ft!B$2)^2)),Ft!B$3*((1-Ft!B$7)/(1+Ft!B$39*($A190-Ft!B$2)^2)+Ft!B$7*EXP(Ft!B$40*($A190-Ft!B$2)^2)))</f>
        <v>8.7941148975707282E-60</v>
      </c>
      <c r="G190" s="3">
        <f>IF(($A190-Ft!C$2)&lt;0,Ft!C$3*((1-Ft!C$6)/(1+Ft!C$37*($A190-Ft!C$2)^2)+Ft!C$6*EXP(Ft!C$38*($A190-Ft!C$2)^2)),Ft!C$3*((1-Ft!C$7)/(1+Ft!C$39*($A190-Ft!C$2)^2)+Ft!C$7*EXP(Ft!C$40*($A190-Ft!C$2)^2)))</f>
        <v>0.12689197772209929</v>
      </c>
      <c r="H190" s="3">
        <f>IF(($A190-Ft!D$2)&lt;0,Ft!D$3*((1-Ft!D$6)/(1+Ft!D$37*($A190-Ft!D$2)^2)+Ft!D$6*EXP(Ft!D$38*($A190-Ft!D$2)^2)),Ft!D$3*((1-Ft!D$7)/(1+Ft!D$39*($A190-Ft!D$2)^2)+Ft!D$7*EXP(Ft!D$40*($A190-Ft!D$2)^2)))</f>
        <v>16.312986317471964</v>
      </c>
      <c r="I190" s="3">
        <f>IF(($A190-Ft!E$2)&lt;0,Ft!E$3*((1-Ft!E$6)/(1+Ft!E$37*($A190-Ft!E$2)^2)+Ft!E$6*EXP(Ft!E$38*($A190-Ft!E$2)^2)),Ft!E$3*((1-Ft!E$7)/(1+Ft!E$39*($A190-Ft!E$2)^2)+Ft!E$7*EXP(Ft!E$40*($A190-Ft!E$2)^2)))</f>
        <v>0.52929637550321385</v>
      </c>
      <c r="J190" s="3">
        <f>IF(($A190-Ft!F$2)&lt;0,Ft!F$3*((1-Ft!F$6)/(1+Ft!F$37*($A190-Ft!F$2)^2)+Ft!F$6*EXP(Ft!F$38*($A190-Ft!F$2)^2)),Ft!F$3*((1-Ft!F$7)/(1+Ft!F$39*($A190-Ft!F$2)^2)+Ft!F$7*EXP(Ft!F$40*($A190-Ft!F$2)^2)))</f>
        <v>6.574788030192844E-81</v>
      </c>
      <c r="K190" s="3">
        <f>IF(($A190-Ft!G$2)&lt;0,Ft!G$3*((1-Ft!G$6)/(1+Ft!G$37*($A190-Ft!G$2)^2)+Ft!G$6*EXP(Ft!G$38*($A190-Ft!G$2)^2)),Ft!G$3*((1-Ft!G$7)/(1+Ft!G$39*($A190-Ft!G$2)^2)+Ft!G$7*EXP(Ft!G$40*($A190-Ft!G$2)^2)))</f>
        <v>0</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v>378</v>
      </c>
      <c r="B191">
        <v>16.888284302949998</v>
      </c>
      <c r="C191" s="6">
        <f t="shared" si="5"/>
        <v>17.061809190604055</v>
      </c>
      <c r="D191" s="19">
        <f t="shared" si="6"/>
        <v>3.0110886635353235E-2</v>
      </c>
      <c r="E191" s="3">
        <f>Ft!$B$12+Ft!$B$14*(Data!A191-Vars!$B$3)</f>
        <v>0</v>
      </c>
      <c r="F191" s="3">
        <f>IF(($A191-Ft!B$2)&lt;0,Ft!B$3*((1-Ft!B$6)/(1+Ft!B$37*($A191-Ft!B$2)^2)+Ft!B$6*EXP(Ft!B$38*($A191-Ft!B$2)^2)),Ft!B$3*((1-Ft!B$7)/(1+Ft!B$39*($A191-Ft!B$2)^2)+Ft!B$7*EXP(Ft!B$40*($A191-Ft!B$2)^2)))</f>
        <v>1.6637552739454437E-60</v>
      </c>
      <c r="G191" s="3">
        <f>IF(($A191-Ft!C$2)&lt;0,Ft!C$3*((1-Ft!C$6)/(1+Ft!C$37*($A191-Ft!C$2)^2)+Ft!C$6*EXP(Ft!C$38*($A191-Ft!C$2)^2)),Ft!C$3*((1-Ft!C$7)/(1+Ft!C$39*($A191-Ft!C$2)^2)+Ft!C$7*EXP(Ft!C$40*($A191-Ft!C$2)^2)))</f>
        <v>0.11788518586912543</v>
      </c>
      <c r="H191" s="3">
        <f>IF(($A191-Ft!D$2)&lt;0,Ft!D$3*((1-Ft!D$6)/(1+Ft!D$37*($A191-Ft!D$2)^2)+Ft!D$6*EXP(Ft!D$38*($A191-Ft!D$2)^2)),Ft!D$3*((1-Ft!D$7)/(1+Ft!D$39*($A191-Ft!D$2)^2)+Ft!D$7*EXP(Ft!D$40*($A191-Ft!D$2)^2)))</f>
        <v>16.397897939493536</v>
      </c>
      <c r="I191" s="3">
        <f>IF(($A191-Ft!E$2)&lt;0,Ft!E$3*((1-Ft!E$6)/(1+Ft!E$37*($A191-Ft!E$2)^2)+Ft!E$6*EXP(Ft!E$38*($A191-Ft!E$2)^2)),Ft!E$3*((1-Ft!E$7)/(1+Ft!E$39*($A191-Ft!E$2)^2)+Ft!E$7*EXP(Ft!E$40*($A191-Ft!E$2)^2)))</f>
        <v>0.54602606524139696</v>
      </c>
      <c r="J191" s="3">
        <f>IF(($A191-Ft!F$2)&lt;0,Ft!F$3*((1-Ft!F$6)/(1+Ft!F$37*($A191-Ft!F$2)^2)+Ft!F$6*EXP(Ft!F$38*($A191-Ft!F$2)^2)),Ft!F$3*((1-Ft!F$7)/(1+Ft!F$39*($A191-Ft!F$2)^2)+Ft!F$7*EXP(Ft!F$40*($A191-Ft!F$2)^2)))</f>
        <v>2.0490779748366753E-80</v>
      </c>
      <c r="K191" s="3">
        <f>IF(($A191-Ft!G$2)&lt;0,Ft!G$3*((1-Ft!G$6)/(1+Ft!G$37*($A191-Ft!G$2)^2)+Ft!G$6*EXP(Ft!G$38*($A191-Ft!G$2)^2)),Ft!G$3*((1-Ft!G$7)/(1+Ft!G$39*($A191-Ft!G$2)^2)+Ft!G$7*EXP(Ft!G$40*($A191-Ft!G$2)^2)))</f>
        <v>0</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v>380</v>
      </c>
      <c r="B192">
        <v>16.968250102403999</v>
      </c>
      <c r="C192" s="6">
        <f t="shared" si="5"/>
        <v>17.153101725103603</v>
      </c>
      <c r="D192" s="19">
        <f t="shared" si="6"/>
        <v>3.4170122414676748E-2</v>
      </c>
      <c r="E192" s="3">
        <f>Ft!$B$12+Ft!$B$14*(Data!A192-Vars!$B$3)</f>
        <v>0</v>
      </c>
      <c r="F192" s="3">
        <f>IF(($A192-Ft!B$2)&lt;0,Ft!B$3*((1-Ft!B$6)/(1+Ft!B$37*($A192-Ft!B$2)^2)+Ft!B$6*EXP(Ft!B$38*($A192-Ft!B$2)^2)),Ft!B$3*((1-Ft!B$7)/(1+Ft!B$39*($A192-Ft!B$2)^2)+Ft!B$7*EXP(Ft!B$40*($A192-Ft!B$2)^2)))</f>
        <v>3.1161865703989582E-61</v>
      </c>
      <c r="G192" s="3">
        <f>IF(($A192-Ft!C$2)&lt;0,Ft!C$3*((1-Ft!C$6)/(1+Ft!C$37*($A192-Ft!C$2)^2)+Ft!C$6*EXP(Ft!C$38*($A192-Ft!C$2)^2)),Ft!C$3*((1-Ft!C$7)/(1+Ft!C$39*($A192-Ft!C$2)^2)+Ft!C$7*EXP(Ft!C$40*($A192-Ft!C$2)^2)))</f>
        <v>0.10944962761650293</v>
      </c>
      <c r="H192" s="3">
        <f>IF(($A192-Ft!D$2)&lt;0,Ft!D$3*((1-Ft!D$6)/(1+Ft!D$37*($A192-Ft!D$2)^2)+Ft!D$6*EXP(Ft!D$38*($A192-Ft!D$2)^2)),Ft!D$3*((1-Ft!D$7)/(1+Ft!D$39*($A192-Ft!D$2)^2)+Ft!D$7*EXP(Ft!D$40*($A192-Ft!D$2)^2)))</f>
        <v>16.480447402655123</v>
      </c>
      <c r="I192" s="3">
        <f>IF(($A192-Ft!E$2)&lt;0,Ft!E$3*((1-Ft!E$6)/(1+Ft!E$37*($A192-Ft!E$2)^2)+Ft!E$6*EXP(Ft!E$38*($A192-Ft!E$2)^2)),Ft!E$3*((1-Ft!E$7)/(1+Ft!E$39*($A192-Ft!E$2)^2)+Ft!E$7*EXP(Ft!E$40*($A192-Ft!E$2)^2)))</f>
        <v>0.56320469483197599</v>
      </c>
      <c r="J192" s="3">
        <f>IF(($A192-Ft!F$2)&lt;0,Ft!F$3*((1-Ft!F$6)/(1+Ft!F$37*($A192-Ft!F$2)^2)+Ft!F$6*EXP(Ft!F$38*($A192-Ft!F$2)^2)),Ft!F$3*((1-Ft!F$7)/(1+Ft!F$39*($A192-Ft!F$2)^2)+Ft!F$7*EXP(Ft!F$40*($A192-Ft!F$2)^2)))</f>
        <v>6.3639446895584469E-80</v>
      </c>
      <c r="K192" s="3">
        <f>IF(($A192-Ft!G$2)&lt;0,Ft!G$3*((1-Ft!G$6)/(1+Ft!G$37*($A192-Ft!G$2)^2)+Ft!G$6*EXP(Ft!G$38*($A192-Ft!G$2)^2)),Ft!G$3*((1-Ft!G$7)/(1+Ft!G$39*($A192-Ft!G$2)^2)+Ft!G$7*EXP(Ft!G$40*($A192-Ft!G$2)^2)))</f>
        <v>0</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v>382</v>
      </c>
      <c r="B193">
        <v>17.048580284989001</v>
      </c>
      <c r="C193" s="6">
        <f t="shared" si="5"/>
        <v>17.242990637699023</v>
      </c>
      <c r="D193" s="19">
        <f t="shared" si="6"/>
        <v>3.7795385240835352E-2</v>
      </c>
      <c r="E193" s="3">
        <f>Ft!$B$12+Ft!$B$14*(Data!A193-Vars!$B$3)</f>
        <v>0</v>
      </c>
      <c r="F193" s="3">
        <f>IF(($A193-Ft!B$2)&lt;0,Ft!B$3*((1-Ft!B$6)/(1+Ft!B$37*($A193-Ft!B$2)^2)+Ft!B$6*EXP(Ft!B$38*($A193-Ft!B$2)^2)),Ft!B$3*((1-Ft!B$7)/(1+Ft!B$39*($A193-Ft!B$2)^2)+Ft!B$7*EXP(Ft!B$40*($A193-Ft!B$2)^2)))</f>
        <v>5.7782210862614004E-62</v>
      </c>
      <c r="G193" s="3">
        <f>IF(($A193-Ft!C$2)&lt;0,Ft!C$3*((1-Ft!C$6)/(1+Ft!C$37*($A193-Ft!C$2)^2)+Ft!C$6*EXP(Ft!C$38*($A193-Ft!C$2)^2)),Ft!C$3*((1-Ft!C$7)/(1+Ft!C$39*($A193-Ft!C$2)^2)+Ft!C$7*EXP(Ft!C$40*($A193-Ft!C$2)^2)))</f>
        <v>0.10155453768699656</v>
      </c>
      <c r="H193" s="3">
        <f>IF(($A193-Ft!D$2)&lt;0,Ft!D$3*((1-Ft!D$6)/(1+Ft!D$37*($A193-Ft!D$2)^2)+Ft!D$6*EXP(Ft!D$38*($A193-Ft!D$2)^2)),Ft!D$3*((1-Ft!D$7)/(1+Ft!D$39*($A193-Ft!D$2)^2)+Ft!D$7*EXP(Ft!D$40*($A193-Ft!D$2)^2)))</f>
        <v>16.560594658108467</v>
      </c>
      <c r="I193" s="3">
        <f>IF(($A193-Ft!E$2)&lt;0,Ft!E$3*((1-Ft!E$6)/(1+Ft!E$37*($A193-Ft!E$2)^2)+Ft!E$6*EXP(Ft!E$38*($A193-Ft!E$2)^2)),Ft!E$3*((1-Ft!E$7)/(1+Ft!E$39*($A193-Ft!E$2)^2)+Ft!E$7*EXP(Ft!E$40*($A193-Ft!E$2)^2)))</f>
        <v>0.5808414419035588</v>
      </c>
      <c r="J193" s="3">
        <f>IF(($A193-Ft!F$2)&lt;0,Ft!F$3*((1-Ft!F$6)/(1+Ft!F$37*($A193-Ft!F$2)^2)+Ft!F$6*EXP(Ft!F$38*($A193-Ft!F$2)^2)),Ft!F$3*((1-Ft!F$7)/(1+Ft!F$39*($A193-Ft!F$2)^2)+Ft!F$7*EXP(Ft!F$40*($A193-Ft!F$2)^2)))</f>
        <v>1.9696338053803942E-79</v>
      </c>
      <c r="K193" s="3">
        <f>IF(($A193-Ft!G$2)&lt;0,Ft!G$3*((1-Ft!G$6)/(1+Ft!G$37*($A193-Ft!G$2)^2)+Ft!G$6*EXP(Ft!G$38*($A193-Ft!G$2)^2)),Ft!G$3*((1-Ft!G$7)/(1+Ft!G$39*($A193-Ft!G$2)^2)+Ft!G$7*EXP(Ft!G$40*($A193-Ft!G$2)^2)))</f>
        <v>0</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v>384</v>
      </c>
      <c r="B194">
        <v>17.129479804841992</v>
      </c>
      <c r="C194" s="6">
        <f t="shared" si="5"/>
        <v>17.331416651909056</v>
      </c>
      <c r="D194" s="19">
        <f t="shared" si="6"/>
        <v>4.0778490203386593E-2</v>
      </c>
      <c r="E194" s="3">
        <f>Ft!$B$12+Ft!$B$14*(Data!A194-Vars!$B$3)</f>
        <v>0</v>
      </c>
      <c r="F194" s="3">
        <f>IF(($A194-Ft!B$2)&lt;0,Ft!B$3*((1-Ft!B$6)/(1+Ft!B$37*($A194-Ft!B$2)^2)+Ft!B$6*EXP(Ft!B$38*($A194-Ft!B$2)^2)),Ft!B$3*((1-Ft!B$7)/(1+Ft!B$39*($A194-Ft!B$2)^2)+Ft!B$7*EXP(Ft!B$40*($A194-Ft!B$2)^2)))</f>
        <v>1.0607219470361475E-62</v>
      </c>
      <c r="G194" s="3">
        <f>IF(($A194-Ft!C$2)&lt;0,Ft!C$3*((1-Ft!C$6)/(1+Ft!C$37*($A194-Ft!C$2)^2)+Ft!C$6*EXP(Ft!C$38*($A194-Ft!C$2)^2)),Ft!C$3*((1-Ft!C$7)/(1+Ft!C$39*($A194-Ft!C$2)^2)+Ft!C$7*EXP(Ft!C$40*($A194-Ft!C$2)^2)))</f>
        <v>9.4170389779537941E-2</v>
      </c>
      <c r="H194" s="3">
        <f>IF(($A194-Ft!D$2)&lt;0,Ft!D$3*((1-Ft!D$6)/(1+Ft!D$37*($A194-Ft!D$2)^2)+Ft!D$6*EXP(Ft!D$38*($A194-Ft!D$2)^2)),Ft!D$3*((1-Ft!D$7)/(1+Ft!D$39*($A194-Ft!D$2)^2)+Ft!D$7*EXP(Ft!D$40*($A194-Ft!D$2)^2)))</f>
        <v>16.638300687832693</v>
      </c>
      <c r="I194" s="3">
        <f>IF(($A194-Ft!E$2)&lt;0,Ft!E$3*((1-Ft!E$6)/(1+Ft!E$37*($A194-Ft!E$2)^2)+Ft!E$6*EXP(Ft!E$38*($A194-Ft!E$2)^2)),Ft!E$3*((1-Ft!E$7)/(1+Ft!E$39*($A194-Ft!E$2)^2)+Ft!E$7*EXP(Ft!E$40*($A194-Ft!E$2)^2)))</f>
        <v>0.59894557429682227</v>
      </c>
      <c r="J194" s="3">
        <f>IF(($A194-Ft!F$2)&lt;0,Ft!F$3*((1-Ft!F$6)/(1+Ft!F$37*($A194-Ft!F$2)^2)+Ft!F$6*EXP(Ft!F$38*($A194-Ft!F$2)^2)),Ft!F$3*((1-Ft!F$7)/(1+Ft!F$39*($A194-Ft!F$2)^2)+Ft!F$7*EXP(Ft!F$40*($A194-Ft!F$2)^2)))</f>
        <v>6.074852878127199E-79</v>
      </c>
      <c r="K194" s="3">
        <f>IF(($A194-Ft!G$2)&lt;0,Ft!G$3*((1-Ft!G$6)/(1+Ft!G$37*($A194-Ft!G$2)^2)+Ft!G$6*EXP(Ft!G$38*($A194-Ft!G$2)^2)),Ft!G$3*((1-Ft!G$7)/(1+Ft!G$39*($A194-Ft!G$2)^2)+Ft!G$7*EXP(Ft!G$40*($A194-Ft!G$2)^2)))</f>
        <v>0</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v>386</v>
      </c>
      <c r="B195">
        <v>17.211153616098997</v>
      </c>
      <c r="C195" s="6">
        <f t="shared" ref="C195:C258" si="7">SUM(E195:K195)</f>
        <v>17.418322861743505</v>
      </c>
      <c r="D195" s="19">
        <f t="shared" ref="D195:D258" si="8">(C195-B195)^2</f>
        <v>4.2919096340914405E-2</v>
      </c>
      <c r="E195" s="3">
        <f>Ft!$B$12+Ft!$B$14*(Data!A195-Vars!$B$3)</f>
        <v>0</v>
      </c>
      <c r="F195" s="3">
        <f>IF(($A195-Ft!B$2)&lt;0,Ft!B$3*((1-Ft!B$6)/(1+Ft!B$37*($A195-Ft!B$2)^2)+Ft!B$6*EXP(Ft!B$38*($A195-Ft!B$2)^2)),Ft!B$3*((1-Ft!B$7)/(1+Ft!B$39*($A195-Ft!B$2)^2)+Ft!B$7*EXP(Ft!B$40*($A195-Ft!B$2)^2)))</f>
        <v>1.9277275386382989E-63</v>
      </c>
      <c r="G195" s="3">
        <f>IF(($A195-Ft!C$2)&lt;0,Ft!C$3*((1-Ft!C$6)/(1+Ft!C$37*($A195-Ft!C$2)^2)+Ft!C$6*EXP(Ft!C$38*($A195-Ft!C$2)^2)),Ft!C$3*((1-Ft!C$7)/(1+Ft!C$39*($A195-Ft!C$2)^2)+Ft!C$7*EXP(Ft!C$40*($A195-Ft!C$2)^2)))</f>
        <v>8.7268877928977653E-2</v>
      </c>
      <c r="H195" s="3">
        <f>IF(($A195-Ft!D$2)&lt;0,Ft!D$3*((1-Ft!D$6)/(1+Ft!D$37*($A195-Ft!D$2)^2)+Ft!D$6*EXP(Ft!D$38*($A195-Ft!D$2)^2)),Ft!D$3*((1-Ft!D$7)/(1+Ft!D$39*($A195-Ft!D$2)^2)+Ft!D$7*EXP(Ft!D$40*($A195-Ft!D$2)^2)))</f>
        <v>16.713527536261473</v>
      </c>
      <c r="I195" s="3">
        <f>IF(($A195-Ft!E$2)&lt;0,Ft!E$3*((1-Ft!E$6)/(1+Ft!E$37*($A195-Ft!E$2)^2)+Ft!E$6*EXP(Ft!E$38*($A195-Ft!E$2)^2)),Ft!E$3*((1-Ft!E$7)/(1+Ft!E$39*($A195-Ft!E$2)^2)+Ft!E$7*EXP(Ft!E$40*($A195-Ft!E$2)^2)))</f>
        <v>0.61752644755305308</v>
      </c>
      <c r="J195" s="3">
        <f>IF(($A195-Ft!F$2)&lt;0,Ft!F$3*((1-Ft!F$6)/(1+Ft!F$37*($A195-Ft!F$2)^2)+Ft!F$6*EXP(Ft!F$38*($A195-Ft!F$2)^2)),Ft!F$3*((1-Ft!F$7)/(1+Ft!F$39*($A195-Ft!F$2)^2)+Ft!F$7*EXP(Ft!F$40*($A195-Ft!F$2)^2)))</f>
        <v>1.8671414551360105E-78</v>
      </c>
      <c r="K195" s="3">
        <f>IF(($A195-Ft!G$2)&lt;0,Ft!G$3*((1-Ft!G$6)/(1+Ft!G$37*($A195-Ft!G$2)^2)+Ft!G$6*EXP(Ft!G$38*($A195-Ft!G$2)^2)),Ft!G$3*((1-Ft!G$7)/(1+Ft!G$39*($A195-Ft!G$2)^2)+Ft!G$7*EXP(Ft!G$40*($A195-Ft!G$2)^2)))</f>
        <v>0</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v>388</v>
      </c>
      <c r="B196">
        <v>17.29380667289999</v>
      </c>
      <c r="C196" s="6">
        <f t="shared" si="7"/>
        <v>17.503654738979773</v>
      </c>
      <c r="D196" s="19">
        <f t="shared" si="8"/>
        <v>4.4036210837424788E-2</v>
      </c>
      <c r="E196" s="3">
        <f>Ft!$B$12+Ft!$B$14*(Data!A196-Vars!$B$3)</f>
        <v>0</v>
      </c>
      <c r="F196" s="3">
        <f>IF(($A196-Ft!B$2)&lt;0,Ft!B$3*((1-Ft!B$6)/(1+Ft!B$37*($A196-Ft!B$2)^2)+Ft!B$6*EXP(Ft!B$38*($A196-Ft!B$2)^2)),Ft!B$3*((1-Ft!B$7)/(1+Ft!B$39*($A196-Ft!B$2)^2)+Ft!B$7*EXP(Ft!B$40*($A196-Ft!B$2)^2)))</f>
        <v>3.4683781777738013E-64</v>
      </c>
      <c r="G196" s="3">
        <f>IF(($A196-Ft!C$2)&lt;0,Ft!C$3*((1-Ft!C$6)/(1+Ft!C$37*($A196-Ft!C$2)^2)+Ft!C$6*EXP(Ft!C$38*($A196-Ft!C$2)^2)),Ft!C$3*((1-Ft!C$7)/(1+Ft!C$39*($A196-Ft!C$2)^2)+Ft!C$7*EXP(Ft!C$40*($A196-Ft!C$2)^2)))</f>
        <v>8.0822895563069777E-2</v>
      </c>
      <c r="H196" s="3">
        <f>IF(($A196-Ft!D$2)&lt;0,Ft!D$3*((1-Ft!D$6)/(1+Ft!D$37*($A196-Ft!D$2)^2)+Ft!D$6*EXP(Ft!D$38*($A196-Ft!D$2)^2)),Ft!D$3*((1-Ft!D$7)/(1+Ft!D$39*($A196-Ft!D$2)^2)+Ft!D$7*EXP(Ft!D$40*($A196-Ft!D$2)^2)))</f>
        <v>16.786238341155592</v>
      </c>
      <c r="I196" s="3">
        <f>IF(($A196-Ft!E$2)&lt;0,Ft!E$3*((1-Ft!E$6)/(1+Ft!E$37*($A196-Ft!E$2)^2)+Ft!E$6*EXP(Ft!E$38*($A196-Ft!E$2)^2)),Ft!E$3*((1-Ft!E$7)/(1+Ft!E$39*($A196-Ft!E$2)^2)+Ft!E$7*EXP(Ft!E$40*($A196-Ft!E$2)^2)))</f>
        <v>0.63659350226111133</v>
      </c>
      <c r="J196" s="3">
        <f>IF(($A196-Ft!F$2)&lt;0,Ft!F$3*((1-Ft!F$6)/(1+Ft!F$37*($A196-Ft!F$2)^2)+Ft!F$6*EXP(Ft!F$38*($A196-Ft!F$2)^2)),Ft!F$3*((1-Ft!F$7)/(1+Ft!F$39*($A196-Ft!F$2)^2)+Ft!F$7*EXP(Ft!F$40*($A196-Ft!F$2)^2)))</f>
        <v>5.7188652047570067E-78</v>
      </c>
      <c r="K196" s="3">
        <f>IF(($A196-Ft!G$2)&lt;0,Ft!G$3*((1-Ft!G$6)/(1+Ft!G$37*($A196-Ft!G$2)^2)+Ft!G$6*EXP(Ft!G$38*($A196-Ft!G$2)^2)),Ft!G$3*((1-Ft!G$7)/(1+Ft!G$39*($A196-Ft!G$2)^2)+Ft!G$7*EXP(Ft!G$40*($A196-Ft!G$2)^2)))</f>
        <v>0</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v>390</v>
      </c>
      <c r="B197">
        <v>17.380417136134994</v>
      </c>
      <c r="C197" s="6">
        <f t="shared" si="7"/>
        <v>17.587360137445508</v>
      </c>
      <c r="D197" s="19">
        <f t="shared" si="8"/>
        <v>4.2825405791403134E-2</v>
      </c>
      <c r="E197" s="3">
        <f>Ft!$B$12+Ft!$B$14*(Data!A197-Vars!$B$3)</f>
        <v>0</v>
      </c>
      <c r="F197" s="3">
        <f>IF(($A197-Ft!B$2)&lt;0,Ft!B$3*((1-Ft!B$6)/(1+Ft!B$37*($A197-Ft!B$2)^2)+Ft!B$6*EXP(Ft!B$38*($A197-Ft!B$2)^2)),Ft!B$3*((1-Ft!B$7)/(1+Ft!B$39*($A197-Ft!B$2)^2)+Ft!B$7*EXP(Ft!B$40*($A197-Ft!B$2)^2)))</f>
        <v>6.1779435458355986E-65</v>
      </c>
      <c r="G197" s="3">
        <f>IF(($A197-Ft!C$2)&lt;0,Ft!C$3*((1-Ft!C$6)/(1+Ft!C$37*($A197-Ft!C$2)^2)+Ft!C$6*EXP(Ft!C$38*($A197-Ft!C$2)^2)),Ft!C$3*((1-Ft!C$7)/(1+Ft!C$39*($A197-Ft!C$2)^2)+Ft!C$7*EXP(Ft!C$40*($A197-Ft!C$2)^2)))</f>
        <v>7.4806512499271324E-2</v>
      </c>
      <c r="H197" s="3">
        <f>IF(($A197-Ft!D$2)&lt;0,Ft!D$3*((1-Ft!D$6)/(1+Ft!D$37*($A197-Ft!D$2)^2)+Ft!D$6*EXP(Ft!D$38*($A197-Ft!D$2)^2)),Ft!D$3*((1-Ft!D$7)/(1+Ft!D$39*($A197-Ft!D$2)^2)+Ft!D$7*EXP(Ft!D$40*($A197-Ft!D$2)^2)))</f>
        <v>16.856397363685534</v>
      </c>
      <c r="I197" s="3">
        <f>IF(($A197-Ft!E$2)&lt;0,Ft!E$3*((1-Ft!E$6)/(1+Ft!E$37*($A197-Ft!E$2)^2)+Ft!E$6*EXP(Ft!E$38*($A197-Ft!E$2)^2)),Ft!E$3*((1-Ft!E$7)/(1+Ft!E$39*($A197-Ft!E$2)^2)+Ft!E$7*EXP(Ft!E$40*($A197-Ft!E$2)^2)))</f>
        <v>0.65615626126069992</v>
      </c>
      <c r="J197" s="3">
        <f>IF(($A197-Ft!F$2)&lt;0,Ft!F$3*((1-Ft!F$6)/(1+Ft!F$37*($A197-Ft!F$2)^2)+Ft!F$6*EXP(Ft!F$38*($A197-Ft!F$2)^2)),Ft!F$3*((1-Ft!F$7)/(1+Ft!F$39*($A197-Ft!F$2)^2)+Ft!F$7*EXP(Ft!F$40*($A197-Ft!F$2)^2)))</f>
        <v>1.7455555767283274E-77</v>
      </c>
      <c r="K197" s="3">
        <f>IF(($A197-Ft!G$2)&lt;0,Ft!G$3*((1-Ft!G$6)/(1+Ft!G$37*($A197-Ft!G$2)^2)+Ft!G$6*EXP(Ft!G$38*($A197-Ft!G$2)^2)),Ft!G$3*((1-Ft!G$7)/(1+Ft!G$39*($A197-Ft!G$2)^2)+Ft!G$7*EXP(Ft!G$40*($A197-Ft!G$2)^2)))</f>
        <v>0</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v>392</v>
      </c>
      <c r="B198">
        <v>17.472507722570995</v>
      </c>
      <c r="C198" s="6">
        <f t="shared" si="7"/>
        <v>17.66938929450475</v>
      </c>
      <c r="D198" s="19">
        <f t="shared" si="8"/>
        <v>3.8762353367106296E-2</v>
      </c>
      <c r="E198" s="3">
        <f>Ft!$B$12+Ft!$B$14*(Data!A198-Vars!$B$3)</f>
        <v>0</v>
      </c>
      <c r="F198" s="3">
        <f>IF(($A198-Ft!B$2)&lt;0,Ft!B$3*((1-Ft!B$6)/(1+Ft!B$37*($A198-Ft!B$2)^2)+Ft!B$6*EXP(Ft!B$38*($A198-Ft!B$2)^2)),Ft!B$3*((1-Ft!B$7)/(1+Ft!B$39*($A198-Ft!B$2)^2)+Ft!B$7*EXP(Ft!B$40*($A198-Ft!B$2)^2)))</f>
        <v>1.0894269698937758E-65</v>
      </c>
      <c r="G198" s="3">
        <f>IF(($A198-Ft!C$2)&lt;0,Ft!C$3*((1-Ft!C$6)/(1+Ft!C$37*($A198-Ft!C$2)^2)+Ft!C$6*EXP(Ft!C$38*($A198-Ft!C$2)^2)),Ft!C$3*((1-Ft!C$7)/(1+Ft!C$39*($A198-Ft!C$2)^2)+Ft!C$7*EXP(Ft!C$40*($A198-Ft!C$2)^2)))</f>
        <v>6.9194950114868758E-2</v>
      </c>
      <c r="H198" s="3">
        <f>IF(($A198-Ft!D$2)&lt;0,Ft!D$3*((1-Ft!D$6)/(1+Ft!D$37*($A198-Ft!D$2)^2)+Ft!D$6*EXP(Ft!D$38*($A198-Ft!D$2)^2)),Ft!D$3*((1-Ft!D$7)/(1+Ft!D$39*($A198-Ft!D$2)^2)+Ft!D$7*EXP(Ft!D$40*($A198-Ft!D$2)^2)))</f>
        <v>16.923970017689989</v>
      </c>
      <c r="I198" s="3">
        <f>IF(($A198-Ft!E$2)&lt;0,Ft!E$3*((1-Ft!E$6)/(1+Ft!E$37*($A198-Ft!E$2)^2)+Ft!E$6*EXP(Ft!E$38*($A198-Ft!E$2)^2)),Ft!E$3*((1-Ft!E$7)/(1+Ft!E$39*($A198-Ft!E$2)^2)+Ft!E$7*EXP(Ft!E$40*($A198-Ft!E$2)^2)))</f>
        <v>0.67622432669989263</v>
      </c>
      <c r="J198" s="3">
        <f>IF(($A198-Ft!F$2)&lt;0,Ft!F$3*((1-Ft!F$6)/(1+Ft!F$37*($A198-Ft!F$2)^2)+Ft!F$6*EXP(Ft!F$38*($A198-Ft!F$2)^2)),Ft!F$3*((1-Ft!F$7)/(1+Ft!F$39*($A198-Ft!F$2)^2)+Ft!F$7*EXP(Ft!F$40*($A198-Ft!F$2)^2)))</f>
        <v>5.3094395846428198E-77</v>
      </c>
      <c r="K198" s="3">
        <f>IF(($A198-Ft!G$2)&lt;0,Ft!G$3*((1-Ft!G$6)/(1+Ft!G$37*($A198-Ft!G$2)^2)+Ft!G$6*EXP(Ft!G$38*($A198-Ft!G$2)^2)),Ft!G$3*((1-Ft!G$7)/(1+Ft!G$39*($A198-Ft!G$2)^2)+Ft!G$7*EXP(Ft!G$40*($A198-Ft!G$2)^2)))</f>
        <v>0</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v>394</v>
      </c>
      <c r="B199">
        <v>17.568100220155998</v>
      </c>
      <c r="C199" s="6">
        <f t="shared" si="7"/>
        <v>17.749694829935958</v>
      </c>
      <c r="D199" s="19">
        <f t="shared" si="8"/>
        <v>3.2976602301136068E-2</v>
      </c>
      <c r="E199" s="3">
        <f>Ft!$B$12+Ft!$B$14*(Data!A199-Vars!$B$3)</f>
        <v>0</v>
      </c>
      <c r="F199" s="3">
        <f>IF(($A199-Ft!B$2)&lt;0,Ft!B$3*((1-Ft!B$6)/(1+Ft!B$37*($A199-Ft!B$2)^2)+Ft!B$6*EXP(Ft!B$38*($A199-Ft!B$2)^2)),Ft!B$3*((1-Ft!B$7)/(1+Ft!B$39*($A199-Ft!B$2)^2)+Ft!B$7*EXP(Ft!B$40*($A199-Ft!B$2)^2)))</f>
        <v>1.9019058153145537E-66</v>
      </c>
      <c r="G199" s="3">
        <f>IF(($A199-Ft!C$2)&lt;0,Ft!C$3*((1-Ft!C$6)/(1+Ft!C$37*($A199-Ft!C$2)^2)+Ft!C$6*EXP(Ft!C$38*($A199-Ft!C$2)^2)),Ft!C$3*((1-Ft!C$7)/(1+Ft!C$39*($A199-Ft!C$2)^2)+Ft!C$7*EXP(Ft!C$40*($A199-Ft!C$2)^2)))</f>
        <v>6.3964554914416452E-2</v>
      </c>
      <c r="H199" s="3">
        <f>IF(($A199-Ft!D$2)&lt;0,Ft!D$3*((1-Ft!D$6)/(1+Ft!D$37*($A199-Ft!D$2)^2)+Ft!D$6*EXP(Ft!D$38*($A199-Ft!D$2)^2)),Ft!D$3*((1-Ft!D$7)/(1+Ft!D$39*($A199-Ft!D$2)^2)+Ft!D$7*EXP(Ft!D$40*($A199-Ft!D$2)^2)))</f>
        <v>16.988922898076577</v>
      </c>
      <c r="I199" s="3">
        <f>IF(($A199-Ft!E$2)&lt;0,Ft!E$3*((1-Ft!E$6)/(1+Ft!E$37*($A199-Ft!E$2)^2)+Ft!E$6*EXP(Ft!E$38*($A199-Ft!E$2)^2)),Ft!E$3*((1-Ft!E$7)/(1+Ft!E$39*($A199-Ft!E$2)^2)+Ft!E$7*EXP(Ft!E$40*($A199-Ft!E$2)^2)))</f>
        <v>0.69680737694496442</v>
      </c>
      <c r="J199" s="3">
        <f>IF(($A199-Ft!F$2)&lt;0,Ft!F$3*((1-Ft!F$6)/(1+Ft!F$37*($A199-Ft!F$2)^2)+Ft!F$6*EXP(Ft!F$38*($A199-Ft!F$2)^2)),Ft!F$3*((1-Ft!F$7)/(1+Ft!F$39*($A199-Ft!F$2)^2)+Ft!F$7*EXP(Ft!F$40*($A199-Ft!F$2)^2)))</f>
        <v>1.6093661695427854E-76</v>
      </c>
      <c r="K199" s="3">
        <f>IF(($A199-Ft!G$2)&lt;0,Ft!G$3*((1-Ft!G$6)/(1+Ft!G$37*($A199-Ft!G$2)^2)+Ft!G$6*EXP(Ft!G$38*($A199-Ft!G$2)^2)),Ft!G$3*((1-Ft!G$7)/(1+Ft!G$39*($A199-Ft!G$2)^2)+Ft!G$7*EXP(Ft!G$40*($A199-Ft!G$2)^2)))</f>
        <v>0</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v>396</v>
      </c>
      <c r="B200">
        <v>17.665216416835989</v>
      </c>
      <c r="C200" s="6">
        <f t="shared" si="7"/>
        <v>17.828231742381508</v>
      </c>
      <c r="D200" s="19">
        <f t="shared" si="8"/>
        <v>2.6573996362711579E-2</v>
      </c>
      <c r="E200" s="3">
        <f>Ft!$B$12+Ft!$B$14*(Data!A200-Vars!$B$3)</f>
        <v>0</v>
      </c>
      <c r="F200" s="3">
        <f>IF(($A200-Ft!B$2)&lt;0,Ft!B$3*((1-Ft!B$6)/(1+Ft!B$37*($A200-Ft!B$2)^2)+Ft!B$6*EXP(Ft!B$38*($A200-Ft!B$2)^2)),Ft!B$3*((1-Ft!B$7)/(1+Ft!B$39*($A200-Ft!B$2)^2)+Ft!B$7*EXP(Ft!B$40*($A200-Ft!B$2)^2)))</f>
        <v>3.2871277823648193E-67</v>
      </c>
      <c r="G200" s="3">
        <f>IF(($A200-Ft!C$2)&lt;0,Ft!C$3*((1-Ft!C$6)/(1+Ft!C$37*($A200-Ft!C$2)^2)+Ft!C$6*EXP(Ft!C$38*($A200-Ft!C$2)^2)),Ft!C$3*((1-Ft!C$7)/(1+Ft!C$39*($A200-Ft!C$2)^2)+Ft!C$7*EXP(Ft!C$40*($A200-Ft!C$2)^2)))</f>
        <v>5.9092770708575534E-2</v>
      </c>
      <c r="H200" s="3">
        <f>IF(($A200-Ft!D$2)&lt;0,Ft!D$3*((1-Ft!D$6)/(1+Ft!D$37*($A200-Ft!D$2)^2)+Ft!D$6*EXP(Ft!D$38*($A200-Ft!D$2)^2)),Ft!D$3*((1-Ft!D$7)/(1+Ft!D$39*($A200-Ft!D$2)^2)+Ft!D$7*EXP(Ft!D$40*($A200-Ft!D$2)^2)))</f>
        <v>17.051223808332281</v>
      </c>
      <c r="I200" s="3">
        <f>IF(($A200-Ft!E$2)&lt;0,Ft!E$3*((1-Ft!E$6)/(1+Ft!E$37*($A200-Ft!E$2)^2)+Ft!E$6*EXP(Ft!E$38*($A200-Ft!E$2)^2)),Ft!E$3*((1-Ft!E$7)/(1+Ft!E$39*($A200-Ft!E$2)^2)+Ft!E$7*EXP(Ft!E$40*($A200-Ft!E$2)^2)))</f>
        <v>0.71791516334065386</v>
      </c>
      <c r="J200" s="3">
        <f>IF(($A200-Ft!F$2)&lt;0,Ft!F$3*((1-Ft!F$6)/(1+Ft!F$37*($A200-Ft!F$2)^2)+Ft!F$6*EXP(Ft!F$38*($A200-Ft!F$2)^2)),Ft!F$3*((1-Ft!F$7)/(1+Ft!F$39*($A200-Ft!F$2)^2)+Ft!F$7*EXP(Ft!F$40*($A200-Ft!F$2)^2)))</f>
        <v>4.8612978848179961E-76</v>
      </c>
      <c r="K200" s="3">
        <f>IF(($A200-Ft!G$2)&lt;0,Ft!G$3*((1-Ft!G$6)/(1+Ft!G$37*($A200-Ft!G$2)^2)+Ft!G$6*EXP(Ft!G$38*($A200-Ft!G$2)^2)),Ft!G$3*((1-Ft!G$7)/(1+Ft!G$39*($A200-Ft!G$2)^2)+Ft!G$7*EXP(Ft!G$40*($A200-Ft!G$2)^2)))</f>
        <v>0</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v>398</v>
      </c>
      <c r="B201">
        <v>17.761878100557993</v>
      </c>
      <c r="C201" s="6">
        <f t="shared" si="7"/>
        <v>17.904957403539161</v>
      </c>
      <c r="D201" s="19">
        <f t="shared" si="8"/>
        <v>2.0471686941576712E-2</v>
      </c>
      <c r="E201" s="3">
        <f>Ft!$B$12+Ft!$B$14*(Data!A201-Vars!$B$3)</f>
        <v>0</v>
      </c>
      <c r="F201" s="3">
        <f>IF(($A201-Ft!B$2)&lt;0,Ft!B$3*((1-Ft!B$6)/(1+Ft!B$37*($A201-Ft!B$2)^2)+Ft!B$6*EXP(Ft!B$38*($A201-Ft!B$2)^2)),Ft!B$3*((1-Ft!B$7)/(1+Ft!B$39*($A201-Ft!B$2)^2)+Ft!B$7*EXP(Ft!B$40*($A201-Ft!B$2)^2)))</f>
        <v>5.6244604129556187E-68</v>
      </c>
      <c r="G201" s="3">
        <f>IF(($A201-Ft!C$2)&lt;0,Ft!C$3*((1-Ft!C$6)/(1+Ft!C$37*($A201-Ft!C$2)^2)+Ft!C$6*EXP(Ft!C$38*($A201-Ft!C$2)^2)),Ft!C$3*((1-Ft!C$7)/(1+Ft!C$39*($A201-Ft!C$2)^2)+Ft!C$7*EXP(Ft!C$40*($A201-Ft!C$2)^2)))</f>
        <v>5.4558109608260269E-2</v>
      </c>
      <c r="H201" s="3">
        <f>IF(($A201-Ft!D$2)&lt;0,Ft!D$3*((1-Ft!D$6)/(1+Ft!D$37*($A201-Ft!D$2)^2)+Ft!D$6*EXP(Ft!D$38*($A201-Ft!D$2)^2)),Ft!D$3*((1-Ft!D$7)/(1+Ft!D$39*($A201-Ft!D$2)^2)+Ft!D$7*EXP(Ft!D$40*($A201-Ft!D$2)^2)))</f>
        <v>17.110841787111823</v>
      </c>
      <c r="I201" s="3">
        <f>IF(($A201-Ft!E$2)&lt;0,Ft!E$3*((1-Ft!E$6)/(1+Ft!E$37*($A201-Ft!E$2)^2)+Ft!E$6*EXP(Ft!E$38*($A201-Ft!E$2)^2)),Ft!E$3*((1-Ft!E$7)/(1+Ft!E$39*($A201-Ft!E$2)^2)+Ft!E$7*EXP(Ft!E$40*($A201-Ft!E$2)^2)))</f>
        <v>0.73955750681907872</v>
      </c>
      <c r="J201" s="3">
        <f>IF(($A201-Ft!F$2)&lt;0,Ft!F$3*((1-Ft!F$6)/(1+Ft!F$37*($A201-Ft!F$2)^2)+Ft!F$6*EXP(Ft!F$38*($A201-Ft!F$2)^2)),Ft!F$3*((1-Ft!F$7)/(1+Ft!F$39*($A201-Ft!F$2)^2)+Ft!F$7*EXP(Ft!F$40*($A201-Ft!F$2)^2)))</f>
        <v>1.4633249660203957E-75</v>
      </c>
      <c r="K201" s="3">
        <f>IF(($A201-Ft!G$2)&lt;0,Ft!G$3*((1-Ft!G$6)/(1+Ft!G$37*($A201-Ft!G$2)^2)+Ft!G$6*EXP(Ft!G$38*($A201-Ft!G$2)^2)),Ft!G$3*((1-Ft!G$7)/(1+Ft!G$39*($A201-Ft!G$2)^2)+Ft!G$7*EXP(Ft!G$40*($A201-Ft!G$2)^2)))</f>
        <v>0</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v>400</v>
      </c>
      <c r="B202">
        <v>17.856107059270002</v>
      </c>
      <c r="C202" s="6">
        <f t="shared" si="7"/>
        <v>17.979831550256524</v>
      </c>
      <c r="D202" s="19">
        <f t="shared" si="8"/>
        <v>1.5307749669873921E-2</v>
      </c>
      <c r="E202" s="3">
        <f>Ft!$B$12+Ft!$B$14*(Data!A202-Vars!$B$3)</f>
        <v>0</v>
      </c>
      <c r="F202" s="3">
        <f>IF(($A202-Ft!B$2)&lt;0,Ft!B$3*((1-Ft!B$6)/(1+Ft!B$37*($A202-Ft!B$2)^2)+Ft!B$6*EXP(Ft!B$38*($A202-Ft!B$2)^2)),Ft!B$3*((1-Ft!B$7)/(1+Ft!B$39*($A202-Ft!B$2)^2)+Ft!B$7*EXP(Ft!B$40*($A202-Ft!B$2)^2)))</f>
        <v>9.5275632064208624E-69</v>
      </c>
      <c r="G202" s="3">
        <f>IF(($A202-Ft!C$2)&lt;0,Ft!C$3*((1-Ft!C$6)/(1+Ft!C$37*($A202-Ft!C$2)^2)+Ft!C$6*EXP(Ft!C$38*($A202-Ft!C$2)^2)),Ft!C$3*((1-Ft!C$7)/(1+Ft!C$39*($A202-Ft!C$2)^2)+Ft!C$7*EXP(Ft!C$40*($A202-Ft!C$2)^2)))</f>
        <v>5.034012202760537E-2</v>
      </c>
      <c r="H202" s="3">
        <f>IF(($A202-Ft!D$2)&lt;0,Ft!D$3*((1-Ft!D$6)/(1+Ft!D$37*($A202-Ft!D$2)^2)+Ft!D$6*EXP(Ft!D$38*($A202-Ft!D$2)^2)),Ft!D$3*((1-Ft!D$7)/(1+Ft!D$39*($A202-Ft!D$2)^2)+Ft!D$7*EXP(Ft!D$40*($A202-Ft!D$2)^2)))</f>
        <v>17.167747133873291</v>
      </c>
      <c r="I202" s="3">
        <f>IF(($A202-Ft!E$2)&lt;0,Ft!E$3*((1-Ft!E$6)/(1+Ft!E$37*($A202-Ft!E$2)^2)+Ft!E$6*EXP(Ft!E$38*($A202-Ft!E$2)^2)),Ft!E$3*((1-Ft!E$7)/(1+Ft!E$39*($A202-Ft!E$2)^2)+Ft!E$7*EXP(Ft!E$40*($A202-Ft!E$2)^2)))</f>
        <v>0.76174429435562641</v>
      </c>
      <c r="J202" s="3">
        <f>IF(($A202-Ft!F$2)&lt;0,Ft!F$3*((1-Ft!F$6)/(1+Ft!F$37*($A202-Ft!F$2)^2)+Ft!F$6*EXP(Ft!F$38*($A202-Ft!F$2)^2)),Ft!F$3*((1-Ft!F$7)/(1+Ft!F$39*($A202-Ft!F$2)^2)+Ft!F$7*EXP(Ft!F$40*($A202-Ft!F$2)^2)))</f>
        <v>4.3895551745586372E-75</v>
      </c>
      <c r="K202" s="3">
        <f>IF(($A202-Ft!G$2)&lt;0,Ft!G$3*((1-Ft!G$6)/(1+Ft!G$37*($A202-Ft!G$2)^2)+Ft!G$6*EXP(Ft!G$38*($A202-Ft!G$2)^2)),Ft!G$3*((1-Ft!G$7)/(1+Ft!G$39*($A202-Ft!G$2)^2)+Ft!G$7*EXP(Ft!G$40*($A202-Ft!G$2)^2)))</f>
        <v>0</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v>402</v>
      </c>
      <c r="B203">
        <v>17.945925080918997</v>
      </c>
      <c r="C203" s="6">
        <f t="shared" si="7"/>
        <v>18.052816274680247</v>
      </c>
      <c r="D203" s="19">
        <f t="shared" si="8"/>
        <v>1.1425727303705044E-2</v>
      </c>
      <c r="E203" s="3">
        <f>Ft!$B$12+Ft!$B$14*(Data!A203-Vars!$B$3)</f>
        <v>0</v>
      </c>
      <c r="F203" s="3">
        <f>IF(($A203-Ft!B$2)&lt;0,Ft!B$3*((1-Ft!B$6)/(1+Ft!B$37*($A203-Ft!B$2)^2)+Ft!B$6*EXP(Ft!B$38*($A203-Ft!B$2)^2)),Ft!B$3*((1-Ft!B$7)/(1+Ft!B$39*($A203-Ft!B$2)^2)+Ft!B$7*EXP(Ft!B$40*($A203-Ft!B$2)^2)))</f>
        <v>1.5977893039967124E-69</v>
      </c>
      <c r="G203" s="3">
        <f>IF(($A203-Ft!C$2)&lt;0,Ft!C$3*((1-Ft!C$6)/(1+Ft!C$37*($A203-Ft!C$2)^2)+Ft!C$6*EXP(Ft!C$38*($A203-Ft!C$2)^2)),Ft!C$3*((1-Ft!C$7)/(1+Ft!C$39*($A203-Ft!C$2)^2)+Ft!C$7*EXP(Ft!C$40*($A203-Ft!C$2)^2)))</f>
        <v>4.6419365878733118E-2</v>
      </c>
      <c r="H203" s="3">
        <f>IF(($A203-Ft!D$2)&lt;0,Ft!D$3*((1-Ft!D$6)/(1+Ft!D$37*($A203-Ft!D$2)^2)+Ft!D$6*EXP(Ft!D$38*($A203-Ft!D$2)^2)),Ft!D$3*((1-Ft!D$7)/(1+Ft!D$39*($A203-Ft!D$2)^2)+Ft!D$7*EXP(Ft!D$40*($A203-Ft!D$2)^2)))</f>
        <v>17.221911433531268</v>
      </c>
      <c r="I203" s="3">
        <f>IF(($A203-Ft!E$2)&lt;0,Ft!E$3*((1-Ft!E$6)/(1+Ft!E$37*($A203-Ft!E$2)^2)+Ft!E$6*EXP(Ft!E$38*($A203-Ft!E$2)^2)),Ft!E$3*((1-Ft!E$7)/(1+Ft!E$39*($A203-Ft!E$2)^2)+Ft!E$7*EXP(Ft!E$40*($A203-Ft!E$2)^2)))</f>
        <v>0.78448547527024592</v>
      </c>
      <c r="J203" s="3">
        <f>IF(($A203-Ft!F$2)&lt;0,Ft!F$3*((1-Ft!F$6)/(1+Ft!F$37*($A203-Ft!F$2)^2)+Ft!F$6*EXP(Ft!F$38*($A203-Ft!F$2)^2)),Ft!F$3*((1-Ft!F$7)/(1+Ft!F$39*($A203-Ft!F$2)^2)+Ft!F$7*EXP(Ft!F$40*($A203-Ft!F$2)^2)))</f>
        <v>1.312173987846597E-74</v>
      </c>
      <c r="K203" s="3">
        <f>IF(($A203-Ft!G$2)&lt;0,Ft!G$3*((1-Ft!G$6)/(1+Ft!G$37*($A203-Ft!G$2)^2)+Ft!G$6*EXP(Ft!G$38*($A203-Ft!G$2)^2)),Ft!G$3*((1-Ft!G$7)/(1+Ft!G$39*($A203-Ft!G$2)^2)+Ft!G$7*EXP(Ft!G$40*($A203-Ft!G$2)^2)))</f>
        <v>0</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v>404</v>
      </c>
      <c r="B204">
        <v>18.029353953452002</v>
      </c>
      <c r="C204" s="6">
        <f t="shared" si="7"/>
        <v>18.123876012602246</v>
      </c>
      <c r="D204" s="19">
        <f t="shared" si="8"/>
        <v>8.9344196660021049E-3</v>
      </c>
      <c r="E204" s="3">
        <f>Ft!$B$12+Ft!$B$14*(Data!A204-Vars!$B$3)</f>
        <v>0</v>
      </c>
      <c r="F204" s="3">
        <f>IF(($A204-Ft!B$2)&lt;0,Ft!B$3*((1-Ft!B$6)/(1+Ft!B$37*($A204-Ft!B$2)^2)+Ft!B$6*EXP(Ft!B$38*($A204-Ft!B$2)^2)),Ft!B$3*((1-Ft!B$7)/(1+Ft!B$39*($A204-Ft!B$2)^2)+Ft!B$7*EXP(Ft!B$40*($A204-Ft!B$2)^2)))</f>
        <v>2.6527350599887096E-70</v>
      </c>
      <c r="G204" s="3">
        <f>IF(($A204-Ft!C$2)&lt;0,Ft!C$3*((1-Ft!C$6)/(1+Ft!C$37*($A204-Ft!C$2)^2)+Ft!C$6*EXP(Ft!C$38*($A204-Ft!C$2)^2)),Ft!C$3*((1-Ft!C$7)/(1+Ft!C$39*($A204-Ft!C$2)^2)+Ft!C$7*EXP(Ft!C$40*($A204-Ft!C$2)^2)))</f>
        <v>4.2777375130695253E-2</v>
      </c>
      <c r="H204" s="3">
        <f>IF(($A204-Ft!D$2)&lt;0,Ft!D$3*((1-Ft!D$6)/(1+Ft!D$37*($A204-Ft!D$2)^2)+Ft!D$6*EXP(Ft!D$38*($A204-Ft!D$2)^2)),Ft!D$3*((1-Ft!D$7)/(1+Ft!D$39*($A204-Ft!D$2)^2)+Ft!D$7*EXP(Ft!D$40*($A204-Ft!D$2)^2)))</f>
        <v>17.273307580098884</v>
      </c>
      <c r="I204" s="3">
        <f>IF(($A204-Ft!E$2)&lt;0,Ft!E$3*((1-Ft!E$6)/(1+Ft!E$37*($A204-Ft!E$2)^2)+Ft!E$6*EXP(Ft!E$38*($A204-Ft!E$2)^2)),Ft!E$3*((1-Ft!E$7)/(1+Ft!E$39*($A204-Ft!E$2)^2)+Ft!E$7*EXP(Ft!E$40*($A204-Ft!E$2)^2)))</f>
        <v>0.80779105737266932</v>
      </c>
      <c r="J204" s="3">
        <f>IF(($A204-Ft!F$2)&lt;0,Ft!F$3*((1-Ft!F$6)/(1+Ft!F$37*($A204-Ft!F$2)^2)+Ft!F$6*EXP(Ft!F$38*($A204-Ft!F$2)^2)),Ft!F$3*((1-Ft!F$7)/(1+Ft!F$39*($A204-Ft!F$2)^2)+Ft!F$7*EXP(Ft!F$40*($A204-Ft!F$2)^2)))</f>
        <v>3.9088906196228448E-74</v>
      </c>
      <c r="K204" s="3">
        <f>IF(($A204-Ft!G$2)&lt;0,Ft!G$3*((1-Ft!G$6)/(1+Ft!G$37*($A204-Ft!G$2)^2)+Ft!G$6*EXP(Ft!G$38*($A204-Ft!G$2)^2)),Ft!G$3*((1-Ft!G$7)/(1+Ft!G$39*($A204-Ft!G$2)^2)+Ft!G$7*EXP(Ft!G$40*($A204-Ft!G$2)^2)))</f>
        <v>0</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v>406</v>
      </c>
      <c r="B205">
        <v>18.110749298263002</v>
      </c>
      <c r="C205" s="6">
        <f t="shared" si="7"/>
        <v>18.192977530135767</v>
      </c>
      <c r="D205" s="19">
        <f t="shared" si="8"/>
        <v>6.7614821169212349E-3</v>
      </c>
      <c r="E205" s="3">
        <f>Ft!$B$12+Ft!$B$14*(Data!A205-Vars!$B$3)</f>
        <v>0</v>
      </c>
      <c r="F205" s="3">
        <f>IF(($A205-Ft!B$2)&lt;0,Ft!B$3*((1-Ft!B$6)/(1+Ft!B$37*($A205-Ft!B$2)^2)+Ft!B$6*EXP(Ft!B$38*($A205-Ft!B$2)^2)),Ft!B$3*((1-Ft!B$7)/(1+Ft!B$39*($A205-Ft!B$2)^2)+Ft!B$7*EXP(Ft!B$40*($A205-Ft!B$2)^2)))</f>
        <v>4.3601852540656394E-71</v>
      </c>
      <c r="G205" s="3">
        <f>IF(($A205-Ft!C$2)&lt;0,Ft!C$3*((1-Ft!C$6)/(1+Ft!C$37*($A205-Ft!C$2)^2)+Ft!C$6*EXP(Ft!C$38*($A205-Ft!C$2)^2)),Ft!C$3*((1-Ft!C$7)/(1+Ft!C$39*($A205-Ft!C$2)^2)+Ft!C$7*EXP(Ft!C$40*($A205-Ft!C$2)^2)))</f>
        <v>3.9396627894348044E-2</v>
      </c>
      <c r="H205" s="3">
        <f>IF(($A205-Ft!D$2)&lt;0,Ft!D$3*((1-Ft!D$6)/(1+Ft!D$37*($A205-Ft!D$2)^2)+Ft!D$6*EXP(Ft!D$38*($A205-Ft!D$2)^2)),Ft!D$3*((1-Ft!D$7)/(1+Ft!D$39*($A205-Ft!D$2)^2)+Ft!D$7*EXP(Ft!D$40*($A205-Ft!D$2)^2)))</f>
        <v>17.321909799291209</v>
      </c>
      <c r="I205" s="3">
        <f>IF(($A205-Ft!E$2)&lt;0,Ft!E$3*((1-Ft!E$6)/(1+Ft!E$37*($A205-Ft!E$2)^2)+Ft!E$6*EXP(Ft!E$38*($A205-Ft!E$2)^2)),Ft!E$3*((1-Ft!E$7)/(1+Ft!E$39*($A205-Ft!E$2)^2)+Ft!E$7*EXP(Ft!E$40*($A205-Ft!E$2)^2)))</f>
        <v>0.83167110295021041</v>
      </c>
      <c r="J205" s="3">
        <f>IF(($A205-Ft!F$2)&lt;0,Ft!F$3*((1-Ft!F$6)/(1+Ft!F$37*($A205-Ft!F$2)^2)+Ft!F$6*EXP(Ft!F$38*($A205-Ft!F$2)^2)),Ft!F$3*((1-Ft!F$7)/(1+Ft!F$39*($A205-Ft!F$2)^2)+Ft!F$7*EXP(Ft!F$40*($A205-Ft!F$2)^2)))</f>
        <v>1.1603975245132987E-73</v>
      </c>
      <c r="K205" s="3">
        <f>IF(($A205-Ft!G$2)&lt;0,Ft!G$3*((1-Ft!G$6)/(1+Ft!G$37*($A205-Ft!G$2)^2)+Ft!G$6*EXP(Ft!G$38*($A205-Ft!G$2)^2)),Ft!G$3*((1-Ft!G$7)/(1+Ft!G$39*($A205-Ft!G$2)^2)+Ft!G$7*EXP(Ft!G$40*($A205-Ft!G$2)^2)))</f>
        <v>0</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v>408</v>
      </c>
      <c r="B206">
        <v>18.19470535061599</v>
      </c>
      <c r="C206" s="6">
        <f t="shared" si="7"/>
        <v>18.260089908844872</v>
      </c>
      <c r="D206" s="19">
        <f t="shared" si="8"/>
        <v>4.2751404547860181E-3</v>
      </c>
      <c r="E206" s="3">
        <f>Ft!$B$12+Ft!$B$14*(Data!A206-Vars!$B$3)</f>
        <v>0</v>
      </c>
      <c r="F206" s="3">
        <f>IF(($A206-Ft!B$2)&lt;0,Ft!B$3*((1-Ft!B$6)/(1+Ft!B$37*($A206-Ft!B$2)^2)+Ft!B$6*EXP(Ft!B$38*($A206-Ft!B$2)^2)),Ft!B$3*((1-Ft!B$7)/(1+Ft!B$39*($A206-Ft!B$2)^2)+Ft!B$7*EXP(Ft!B$40*($A206-Ft!B$2)^2)))</f>
        <v>7.0950049552451733E-72</v>
      </c>
      <c r="G206" s="3">
        <f>IF(($A206-Ft!C$2)&lt;0,Ft!C$3*((1-Ft!C$6)/(1+Ft!C$37*($A206-Ft!C$2)^2)+Ft!C$6*EXP(Ft!C$38*($A206-Ft!C$2)^2)),Ft!C$3*((1-Ft!C$7)/(1+Ft!C$39*($A206-Ft!C$2)^2)+Ft!C$7*EXP(Ft!C$40*($A206-Ft!C$2)^2)))</f>
        <v>3.62605141843515E-2</v>
      </c>
      <c r="H206" s="3">
        <f>IF(($A206-Ft!D$2)&lt;0,Ft!D$3*((1-Ft!D$6)/(1+Ft!D$37*($A206-Ft!D$2)^2)+Ft!D$6*EXP(Ft!D$38*($A206-Ft!D$2)^2)),Ft!D$3*((1-Ft!D$7)/(1+Ft!D$39*($A206-Ft!D$2)^2)+Ft!D$7*EXP(Ft!D$40*($A206-Ft!D$2)^2)))</f>
        <v>17.367693670063613</v>
      </c>
      <c r="I206" s="3">
        <f>IF(($A206-Ft!E$2)&lt;0,Ft!E$3*((1-Ft!E$6)/(1+Ft!E$37*($A206-Ft!E$2)^2)+Ft!E$6*EXP(Ft!E$38*($A206-Ft!E$2)^2)),Ft!E$3*((1-Ft!E$7)/(1+Ft!E$39*($A206-Ft!E$2)^2)+Ft!E$7*EXP(Ft!E$40*($A206-Ft!E$2)^2)))</f>
        <v>0.85613572459690568</v>
      </c>
      <c r="J206" s="3">
        <f>IF(($A206-Ft!F$2)&lt;0,Ft!F$3*((1-Ft!F$6)/(1+Ft!F$37*($A206-Ft!F$2)^2)+Ft!F$6*EXP(Ft!F$38*($A206-Ft!F$2)^2)),Ft!F$3*((1-Ft!F$7)/(1+Ft!F$39*($A206-Ft!F$2)^2)+Ft!F$7*EXP(Ft!F$40*($A206-Ft!F$2)^2)))</f>
        <v>3.4328217343593618E-73</v>
      </c>
      <c r="K206" s="3">
        <f>IF(($A206-Ft!G$2)&lt;0,Ft!G$3*((1-Ft!G$6)/(1+Ft!G$37*($A206-Ft!G$2)^2)+Ft!G$6*EXP(Ft!G$38*($A206-Ft!G$2)^2)),Ft!G$3*((1-Ft!G$7)/(1+Ft!G$39*($A206-Ft!G$2)^2)+Ft!G$7*EXP(Ft!G$40*($A206-Ft!G$2)^2)))</f>
        <v>0</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v>410</v>
      </c>
      <c r="B207">
        <v>18.279601819264002</v>
      </c>
      <c r="C207" s="6">
        <f t="shared" si="7"/>
        <v>18.325184529441817</v>
      </c>
      <c r="D207" s="19">
        <f t="shared" si="8"/>
        <v>2.0777834671546602E-3</v>
      </c>
      <c r="E207" s="3">
        <f>Ft!$B$12+Ft!$B$14*(Data!A207-Vars!$B$3)</f>
        <v>0</v>
      </c>
      <c r="F207" s="3">
        <f>IF(($A207-Ft!B$2)&lt;0,Ft!B$3*((1-Ft!B$6)/(1+Ft!B$37*($A207-Ft!B$2)^2)+Ft!B$6*EXP(Ft!B$38*($A207-Ft!B$2)^2)),Ft!B$3*((1-Ft!B$7)/(1+Ft!B$39*($A207-Ft!B$2)^2)+Ft!B$7*EXP(Ft!B$40*($A207-Ft!B$2)^2)))</f>
        <v>1.1429761313928843E-72</v>
      </c>
      <c r="G207" s="3">
        <f>IF(($A207-Ft!C$2)&lt;0,Ft!C$3*((1-Ft!C$6)/(1+Ft!C$37*($A207-Ft!C$2)^2)+Ft!C$6*EXP(Ft!C$38*($A207-Ft!C$2)^2)),Ft!C$3*((1-Ft!C$7)/(1+Ft!C$39*($A207-Ft!C$2)^2)+Ft!C$7*EXP(Ft!C$40*($A207-Ft!C$2)^2)))</f>
        <v>3.3353303499018896E-2</v>
      </c>
      <c r="H207" s="3">
        <f>IF(($A207-Ft!D$2)&lt;0,Ft!D$3*((1-Ft!D$6)/(1+Ft!D$37*($A207-Ft!D$2)^2)+Ft!D$6*EXP(Ft!D$38*($A207-Ft!D$2)^2)),Ft!D$3*((1-Ft!D$7)/(1+Ft!D$39*($A207-Ft!D$2)^2)+Ft!D$7*EXP(Ft!D$40*($A207-Ft!D$2)^2)))</f>
        <v>17.410636145059918</v>
      </c>
      <c r="I207" s="3">
        <f>IF(($A207-Ft!E$2)&lt;0,Ft!E$3*((1-Ft!E$6)/(1+Ft!E$37*($A207-Ft!E$2)^2)+Ft!E$6*EXP(Ft!E$38*($A207-Ft!E$2)^2)),Ft!E$3*((1-Ft!E$7)/(1+Ft!E$39*($A207-Ft!E$2)^2)+Ft!E$7*EXP(Ft!E$40*($A207-Ft!E$2)^2)))</f>
        <v>0.88119508088287934</v>
      </c>
      <c r="J207" s="3">
        <f>IF(($A207-Ft!F$2)&lt;0,Ft!F$3*((1-Ft!F$6)/(1+Ft!F$37*($A207-Ft!F$2)^2)+Ft!F$6*EXP(Ft!F$38*($A207-Ft!F$2)^2)),Ft!F$3*((1-Ft!F$7)/(1+Ft!F$39*($A207-Ft!F$2)^2)+Ft!F$7*EXP(Ft!F$40*($A207-Ft!F$2)^2)))</f>
        <v>1.0120148625209782E-72</v>
      </c>
      <c r="K207" s="3">
        <f>IF(($A207-Ft!G$2)&lt;0,Ft!G$3*((1-Ft!G$6)/(1+Ft!G$37*($A207-Ft!G$2)^2)+Ft!G$6*EXP(Ft!G$38*($A207-Ft!G$2)^2)),Ft!G$3*((1-Ft!G$7)/(1+Ft!G$39*($A207-Ft!G$2)^2)+Ft!G$7*EXP(Ft!G$40*($A207-Ft!G$2)^2)))</f>
        <v>0</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v>412</v>
      </c>
      <c r="B208">
        <v>18.363818412960001</v>
      </c>
      <c r="C208" s="6">
        <f t="shared" si="7"/>
        <v>18.388235054157743</v>
      </c>
      <c r="D208" s="19">
        <f t="shared" si="8"/>
        <v>5.9617236737929383E-4</v>
      </c>
      <c r="E208" s="3">
        <f>Ft!$B$12+Ft!$B$14*(Data!A208-Vars!$B$3)</f>
        <v>0</v>
      </c>
      <c r="F208" s="3">
        <f>IF(($A208-Ft!B$2)&lt;0,Ft!B$3*((1-Ft!B$6)/(1+Ft!B$37*($A208-Ft!B$2)^2)+Ft!B$6*EXP(Ft!B$38*($A208-Ft!B$2)^2)),Ft!B$3*((1-Ft!B$7)/(1+Ft!B$39*($A208-Ft!B$2)^2)+Ft!B$7*EXP(Ft!B$40*($A208-Ft!B$2)^2)))</f>
        <v>1.8228809905313977E-73</v>
      </c>
      <c r="G208" s="3">
        <f>IF(($A208-Ft!C$2)&lt;0,Ft!C$3*((1-Ft!C$6)/(1+Ft!C$37*($A208-Ft!C$2)^2)+Ft!C$6*EXP(Ft!C$38*($A208-Ft!C$2)^2)),Ft!C$3*((1-Ft!C$7)/(1+Ft!C$39*($A208-Ft!C$2)^2)+Ft!C$7*EXP(Ft!C$40*($A208-Ft!C$2)^2)))</f>
        <v>3.0660112348423692E-2</v>
      </c>
      <c r="H208" s="3">
        <f>IF(($A208-Ft!D$2)&lt;0,Ft!D$3*((1-Ft!D$6)/(1+Ft!D$37*($A208-Ft!D$2)^2)+Ft!D$6*EXP(Ft!D$38*($A208-Ft!D$2)^2)),Ft!D$3*((1-Ft!D$7)/(1+Ft!D$39*($A208-Ft!D$2)^2)+Ft!D$7*EXP(Ft!D$40*($A208-Ft!D$2)^2)))</f>
        <v>17.450715569946368</v>
      </c>
      <c r="I208" s="3">
        <f>IF(($A208-Ft!E$2)&lt;0,Ft!E$3*((1-Ft!E$6)/(1+Ft!E$37*($A208-Ft!E$2)^2)+Ft!E$6*EXP(Ft!E$38*($A208-Ft!E$2)^2)),Ft!E$3*((1-Ft!E$7)/(1+Ft!E$39*($A208-Ft!E$2)^2)+Ft!E$7*EXP(Ft!E$40*($A208-Ft!E$2)^2)))</f>
        <v>0.90685937186294874</v>
      </c>
      <c r="J208" s="3">
        <f>IF(($A208-Ft!F$2)&lt;0,Ft!F$3*((1-Ft!F$6)/(1+Ft!F$37*($A208-Ft!F$2)^2)+Ft!F$6*EXP(Ft!F$38*($A208-Ft!F$2)^2)),Ft!F$3*((1-Ft!F$7)/(1+Ft!F$39*($A208-Ft!F$2)^2)+Ft!F$7*EXP(Ft!F$40*($A208-Ft!F$2)^2)))</f>
        <v>2.9731287185108395E-72</v>
      </c>
      <c r="K208" s="3">
        <f>IF(($A208-Ft!G$2)&lt;0,Ft!G$3*((1-Ft!G$6)/(1+Ft!G$37*($A208-Ft!G$2)^2)+Ft!G$6*EXP(Ft!G$38*($A208-Ft!G$2)^2)),Ft!G$3*((1-Ft!G$7)/(1+Ft!G$39*($A208-Ft!G$2)^2)+Ft!G$7*EXP(Ft!G$40*($A208-Ft!G$2)^2)))</f>
        <v>0</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v>414</v>
      </c>
      <c r="B209">
        <v>18.445734840456993</v>
      </c>
      <c r="C209" s="6">
        <f t="shared" si="7"/>
        <v>18.44921740788336</v>
      </c>
      <c r="D209" s="19">
        <f t="shared" si="8"/>
        <v>1.2128275879193942E-5</v>
      </c>
      <c r="E209" s="3">
        <f>Ft!$B$12+Ft!$B$14*(Data!A209-Vars!$B$3)</f>
        <v>0</v>
      </c>
      <c r="F209" s="3">
        <f>IF(($A209-Ft!B$2)&lt;0,Ft!B$3*((1-Ft!B$6)/(1+Ft!B$37*($A209-Ft!B$2)^2)+Ft!B$6*EXP(Ft!B$38*($A209-Ft!B$2)^2)),Ft!B$3*((1-Ft!B$7)/(1+Ft!B$39*($A209-Ft!B$2)^2)+Ft!B$7*EXP(Ft!B$40*($A209-Ft!B$2)^2)))</f>
        <v>2.878168181166678E-74</v>
      </c>
      <c r="G209" s="3">
        <f>IF(($A209-Ft!C$2)&lt;0,Ft!C$3*((1-Ft!C$6)/(1+Ft!C$37*($A209-Ft!C$2)^2)+Ft!C$6*EXP(Ft!C$38*($A209-Ft!C$2)^2)),Ft!C$3*((1-Ft!C$7)/(1+Ft!C$39*($A209-Ft!C$2)^2)+Ft!C$7*EXP(Ft!C$40*($A209-Ft!C$2)^2)))</f>
        <v>2.8166871851048131E-2</v>
      </c>
      <c r="H209" s="3">
        <f>IF(($A209-Ft!D$2)&lt;0,Ft!D$3*((1-Ft!D$6)/(1+Ft!D$37*($A209-Ft!D$2)^2)+Ft!D$6*EXP(Ft!D$38*($A209-Ft!D$2)^2)),Ft!D$3*((1-Ft!D$7)/(1+Ft!D$39*($A209-Ft!D$2)^2)+Ft!D$7*EXP(Ft!D$40*($A209-Ft!D$2)^2)))</f>
        <v>17.487911701608692</v>
      </c>
      <c r="I209" s="3">
        <f>IF(($A209-Ft!E$2)&lt;0,Ft!E$3*((1-Ft!E$6)/(1+Ft!E$37*($A209-Ft!E$2)^2)+Ft!E$6*EXP(Ft!E$38*($A209-Ft!E$2)^2)),Ft!E$3*((1-Ft!E$7)/(1+Ft!E$39*($A209-Ft!E$2)^2)+Ft!E$7*EXP(Ft!E$40*($A209-Ft!E$2)^2)))</f>
        <v>0.933138834423619</v>
      </c>
      <c r="J209" s="3">
        <f>IF(($A209-Ft!F$2)&lt;0,Ft!F$3*((1-Ft!F$6)/(1+Ft!F$37*($A209-Ft!F$2)^2)+Ft!F$6*EXP(Ft!F$38*($A209-Ft!F$2)^2)),Ft!F$3*((1-Ft!F$7)/(1+Ft!F$39*($A209-Ft!F$2)^2)+Ft!F$7*EXP(Ft!F$40*($A209-Ft!F$2)^2)))</f>
        <v>8.7042571944004878E-72</v>
      </c>
      <c r="K209" s="3">
        <f>IF(($A209-Ft!G$2)&lt;0,Ft!G$3*((1-Ft!G$6)/(1+Ft!G$37*($A209-Ft!G$2)^2)+Ft!G$6*EXP(Ft!G$38*($A209-Ft!G$2)^2)),Ft!G$3*((1-Ft!G$7)/(1+Ft!G$39*($A209-Ft!G$2)^2)+Ft!G$7*EXP(Ft!G$40*($A209-Ft!G$2)^2)))</f>
        <v>0</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v>416</v>
      </c>
      <c r="B210">
        <v>18.523730810509988</v>
      </c>
      <c r="C210" s="6">
        <f t="shared" si="7"/>
        <v>18.508109758168015</v>
      </c>
      <c r="D210" s="19">
        <f t="shared" si="8"/>
        <v>2.4401727627068362E-4</v>
      </c>
      <c r="E210" s="3">
        <f>Ft!$B$12+Ft!$B$14*(Data!A210-Vars!$B$3)</f>
        <v>0</v>
      </c>
      <c r="F210" s="3">
        <f>IF(($A210-Ft!B$2)&lt;0,Ft!B$3*((1-Ft!B$6)/(1+Ft!B$37*($A210-Ft!B$2)^2)+Ft!B$6*EXP(Ft!B$38*($A210-Ft!B$2)^2)),Ft!B$3*((1-Ft!B$7)/(1+Ft!B$39*($A210-Ft!B$2)^2)+Ft!B$7*EXP(Ft!B$40*($A210-Ft!B$2)^2)))</f>
        <v>4.4989453328916354E-75</v>
      </c>
      <c r="G210" s="3">
        <f>IF(($A210-Ft!C$2)&lt;0,Ft!C$3*((1-Ft!C$6)/(1+Ft!C$37*($A210-Ft!C$2)^2)+Ft!C$6*EXP(Ft!C$38*($A210-Ft!C$2)^2)),Ft!C$3*((1-Ft!C$7)/(1+Ft!C$39*($A210-Ft!C$2)^2)+Ft!C$7*EXP(Ft!C$40*($A210-Ft!C$2)^2)))</f>
        <v>2.586029550936586E-2</v>
      </c>
      <c r="H210" s="3">
        <f>IF(($A210-Ft!D$2)&lt;0,Ft!D$3*((1-Ft!D$6)/(1+Ft!D$37*($A210-Ft!D$2)^2)+Ft!D$6*EXP(Ft!D$38*($A210-Ft!D$2)^2)),Ft!D$3*((1-Ft!D$7)/(1+Ft!D$39*($A210-Ft!D$2)^2)+Ft!D$7*EXP(Ft!D$40*($A210-Ft!D$2)^2)))</f>
        <v>17.522205725190904</v>
      </c>
      <c r="I210" s="3">
        <f>IF(($A210-Ft!E$2)&lt;0,Ft!E$3*((1-Ft!E$6)/(1+Ft!E$37*($A210-Ft!E$2)^2)+Ft!E$6*EXP(Ft!E$38*($A210-Ft!E$2)^2)),Ft!E$3*((1-Ft!E$7)/(1+Ft!E$39*($A210-Ft!E$2)^2)+Ft!E$7*EXP(Ft!E$40*($A210-Ft!E$2)^2)))</f>
        <v>0.96004373746774785</v>
      </c>
      <c r="J210" s="3">
        <f>IF(($A210-Ft!F$2)&lt;0,Ft!F$3*((1-Ft!F$6)/(1+Ft!F$37*($A210-Ft!F$2)^2)+Ft!F$6*EXP(Ft!F$38*($A210-Ft!F$2)^2)),Ft!F$3*((1-Ft!F$7)/(1+Ft!F$39*($A210-Ft!F$2)^2)+Ft!F$7*EXP(Ft!F$40*($A210-Ft!F$2)^2)))</f>
        <v>2.539457215000187E-71</v>
      </c>
      <c r="K210" s="3">
        <f>IF(($A210-Ft!G$2)&lt;0,Ft!G$3*((1-Ft!G$6)/(1+Ft!G$37*($A210-Ft!G$2)^2)+Ft!G$6*EXP(Ft!G$38*($A210-Ft!G$2)^2)),Ft!G$3*((1-Ft!G$7)/(1+Ft!G$39*($A210-Ft!G$2)^2)+Ft!G$7*EXP(Ft!G$40*($A210-Ft!G$2)^2)))</f>
        <v>0</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v>418</v>
      </c>
      <c r="B211">
        <v>18.596186031870999</v>
      </c>
      <c r="C211" s="6">
        <f t="shared" si="7"/>
        <v>18.564892494157121</v>
      </c>
      <c r="D211" s="19">
        <f t="shared" si="8"/>
        <v>9.7928550264993913E-4</v>
      </c>
      <c r="E211" s="3">
        <f>Ft!$B$12+Ft!$B$14*(Data!A211-Vars!$B$3)</f>
        <v>0</v>
      </c>
      <c r="F211" s="3">
        <f>IF(($A211-Ft!B$2)&lt;0,Ft!B$3*((1-Ft!B$6)/(1+Ft!B$37*($A211-Ft!B$2)^2)+Ft!B$6*EXP(Ft!B$38*($A211-Ft!B$2)^2)),Ft!B$3*((1-Ft!B$7)/(1+Ft!B$39*($A211-Ft!B$2)^2)+Ft!B$7*EXP(Ft!B$40*($A211-Ft!B$2)^2)))</f>
        <v>6.9621273204832418E-76</v>
      </c>
      <c r="G211" s="3">
        <f>IF(($A211-Ft!C$2)&lt;0,Ft!C$3*((1-Ft!C$6)/(1+Ft!C$37*($A211-Ft!C$2)^2)+Ft!C$6*EXP(Ft!C$38*($A211-Ft!C$2)^2)),Ft!C$3*((1-Ft!C$7)/(1+Ft!C$39*($A211-Ft!C$2)^2)+Ft!C$7*EXP(Ft!C$40*($A211-Ft!C$2)^2)))</f>
        <v>2.3727847265123975E-2</v>
      </c>
      <c r="H211" s="3">
        <f>IF(($A211-Ft!D$2)&lt;0,Ft!D$3*((1-Ft!D$6)/(1+Ft!D$37*($A211-Ft!D$2)^2)+Ft!D$6*EXP(Ft!D$38*($A211-Ft!D$2)^2)),Ft!D$3*((1-Ft!D$7)/(1+Ft!D$39*($A211-Ft!D$2)^2)+Ft!D$7*EXP(Ft!D$40*($A211-Ft!D$2)^2)))</f>
        <v>17.553580269955688</v>
      </c>
      <c r="I211" s="3">
        <f>IF(($A211-Ft!E$2)&lt;0,Ft!E$3*((1-Ft!E$6)/(1+Ft!E$37*($A211-Ft!E$2)^2)+Ft!E$6*EXP(Ft!E$38*($A211-Ft!E$2)^2)),Ft!E$3*((1-Ft!E$7)/(1+Ft!E$39*($A211-Ft!E$2)^2)+Ft!E$7*EXP(Ft!E$40*($A211-Ft!E$2)^2)))</f>
        <v>0.98758437693630918</v>
      </c>
      <c r="J211" s="3">
        <f>IF(($A211-Ft!F$2)&lt;0,Ft!F$3*((1-Ft!F$6)/(1+Ft!F$37*($A211-Ft!F$2)^2)+Ft!F$6*EXP(Ft!F$38*($A211-Ft!F$2)^2)),Ft!F$3*((1-Ft!F$7)/(1+Ft!F$39*($A211-Ft!F$2)^2)+Ft!F$7*EXP(Ft!F$40*($A211-Ft!F$2)^2)))</f>
        <v>7.383142779462092E-71</v>
      </c>
      <c r="K211" s="3">
        <f>IF(($A211-Ft!G$2)&lt;0,Ft!G$3*((1-Ft!G$6)/(1+Ft!G$37*($A211-Ft!G$2)^2)+Ft!G$6*EXP(Ft!G$38*($A211-Ft!G$2)^2)),Ft!G$3*((1-Ft!G$7)/(1+Ft!G$39*($A211-Ft!G$2)^2)+Ft!G$7*EXP(Ft!G$40*($A211-Ft!G$2)^2)))</f>
        <v>0</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v>420</v>
      </c>
      <c r="B212">
        <v>18.66148021329299</v>
      </c>
      <c r="C212" s="6">
        <f t="shared" si="7"/>
        <v>18.619548204540337</v>
      </c>
      <c r="D212" s="19">
        <f t="shared" si="8"/>
        <v>1.7582933580325599E-3</v>
      </c>
      <c r="E212" s="3">
        <f>Ft!$B$12+Ft!$B$14*(Data!A212-Vars!$B$3)</f>
        <v>0</v>
      </c>
      <c r="F212" s="3">
        <f>IF(($A212-Ft!B$2)&lt;0,Ft!B$3*((1-Ft!B$6)/(1+Ft!B$37*($A212-Ft!B$2)^2)+Ft!B$6*EXP(Ft!B$38*($A212-Ft!B$2)^2)),Ft!B$3*((1-Ft!B$7)/(1+Ft!B$39*($A212-Ft!B$2)^2)+Ft!B$7*EXP(Ft!B$40*($A212-Ft!B$2)^2)))</f>
        <v>1.0666204429737283E-76</v>
      </c>
      <c r="G212" s="3">
        <f>IF(($A212-Ft!C$2)&lt;0,Ft!C$3*((1-Ft!C$6)/(1+Ft!C$37*($A212-Ft!C$2)^2)+Ft!C$6*EXP(Ft!C$38*($A212-Ft!C$2)^2)),Ft!C$3*((1-Ft!C$7)/(1+Ft!C$39*($A212-Ft!C$2)^2)+Ft!C$7*EXP(Ft!C$40*($A212-Ft!C$2)^2)))</f>
        <v>2.1757709925762744E-2</v>
      </c>
      <c r="H212" s="3">
        <f>IF(($A212-Ft!D$2)&lt;0,Ft!D$3*((1-Ft!D$6)/(1+Ft!D$37*($A212-Ft!D$2)^2)+Ft!D$6*EXP(Ft!D$38*($A212-Ft!D$2)^2)),Ft!D$3*((1-Ft!D$7)/(1+Ft!D$39*($A212-Ft!D$2)^2)+Ft!D$7*EXP(Ft!D$40*($A212-Ft!D$2)^2)))</f>
        <v>17.582019423947749</v>
      </c>
      <c r="I212" s="3">
        <f>IF(($A212-Ft!E$2)&lt;0,Ft!E$3*((1-Ft!E$6)/(1+Ft!E$37*($A212-Ft!E$2)^2)+Ft!E$6*EXP(Ft!E$38*($A212-Ft!E$2)^2)),Ft!E$3*((1-Ft!E$7)/(1+Ft!E$39*($A212-Ft!E$2)^2)+Ft!E$7*EXP(Ft!E$40*($A212-Ft!E$2)^2)))</f>
        <v>1.0157710706668279</v>
      </c>
      <c r="J212" s="3">
        <f>IF(($A212-Ft!F$2)&lt;0,Ft!F$3*((1-Ft!F$6)/(1+Ft!F$37*($A212-Ft!F$2)^2)+Ft!F$6*EXP(Ft!F$38*($A212-Ft!F$2)^2)),Ft!F$3*((1-Ft!F$7)/(1+Ft!F$39*($A212-Ft!F$2)^2)+Ft!F$7*EXP(Ft!F$40*($A212-Ft!F$2)^2)))</f>
        <v>2.1391085124205296E-70</v>
      </c>
      <c r="K212" s="3">
        <f>IF(($A212-Ft!G$2)&lt;0,Ft!G$3*((1-Ft!G$6)/(1+Ft!G$37*($A212-Ft!G$2)^2)+Ft!G$6*EXP(Ft!G$38*($A212-Ft!G$2)^2)),Ft!G$3*((1-Ft!G$7)/(1+Ft!G$39*($A212-Ft!G$2)^2)+Ft!G$7*EXP(Ft!G$40*($A212-Ft!G$2)^2)))</f>
        <v>0</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v>422</v>
      </c>
      <c r="B213">
        <v>18.718545798544</v>
      </c>
      <c r="C213" s="6">
        <f t="shared" si="7"/>
        <v>18.672061654575316</v>
      </c>
      <c r="D213" s="19">
        <f t="shared" si="8"/>
        <v>2.160775640501305E-3</v>
      </c>
      <c r="E213" s="3">
        <f>Ft!$B$12+Ft!$B$14*(Data!A213-Vars!$B$3)</f>
        <v>0</v>
      </c>
      <c r="F213" s="3">
        <f>IF(($A213-Ft!B$2)&lt;0,Ft!B$3*((1-Ft!B$6)/(1+Ft!B$37*($A213-Ft!B$2)^2)+Ft!B$6*EXP(Ft!B$38*($A213-Ft!B$2)^2)),Ft!B$3*((1-Ft!B$7)/(1+Ft!B$39*($A213-Ft!B$2)^2)+Ft!B$7*EXP(Ft!B$40*($A213-Ft!B$2)^2)))</f>
        <v>1.6177616719654303E-77</v>
      </c>
      <c r="G213" s="3">
        <f>IF(($A213-Ft!C$2)&lt;0,Ft!C$3*((1-Ft!C$6)/(1+Ft!C$37*($A213-Ft!C$2)^2)+Ft!C$6*EXP(Ft!C$38*($A213-Ft!C$2)^2)),Ft!C$3*((1-Ft!C$7)/(1+Ft!C$39*($A213-Ft!C$2)^2)+Ft!C$7*EXP(Ft!C$40*($A213-Ft!C$2)^2)))</f>
        <v>1.9938754044403519E-2</v>
      </c>
      <c r="H213" s="3">
        <f>IF(($A213-Ft!D$2)&lt;0,Ft!D$3*((1-Ft!D$6)/(1+Ft!D$37*($A213-Ft!D$2)^2)+Ft!D$6*EXP(Ft!D$38*($A213-Ft!D$2)^2)),Ft!D$3*((1-Ft!D$7)/(1+Ft!D$39*($A213-Ft!D$2)^2)+Ft!D$7*EXP(Ft!D$40*($A213-Ft!D$2)^2)))</f>
        <v>17.607508747442697</v>
      </c>
      <c r="I213" s="3">
        <f>IF(($A213-Ft!E$2)&lt;0,Ft!E$3*((1-Ft!E$6)/(1+Ft!E$37*($A213-Ft!E$2)^2)+Ft!E$6*EXP(Ft!E$38*($A213-Ft!E$2)^2)),Ft!E$3*((1-Ft!E$7)/(1+Ft!E$39*($A213-Ft!E$2)^2)+Ft!E$7*EXP(Ft!E$40*($A213-Ft!E$2)^2)))</f>
        <v>1.0446141530882163</v>
      </c>
      <c r="J213" s="3">
        <f>IF(($A213-Ft!F$2)&lt;0,Ft!F$3*((1-Ft!F$6)/(1+Ft!F$37*($A213-Ft!F$2)^2)+Ft!F$6*EXP(Ft!F$38*($A213-Ft!F$2)^2)),Ft!F$3*((1-Ft!F$7)/(1+Ft!F$39*($A213-Ft!F$2)^2)+Ft!F$7*EXP(Ft!F$40*($A213-Ft!F$2)^2)))</f>
        <v>6.1761174552608298E-70</v>
      </c>
      <c r="K213" s="3">
        <f>IF(($A213-Ft!G$2)&lt;0,Ft!G$3*((1-Ft!G$6)/(1+Ft!G$37*($A213-Ft!G$2)^2)+Ft!G$6*EXP(Ft!G$38*($A213-Ft!G$2)^2)),Ft!G$3*((1-Ft!G$7)/(1+Ft!G$39*($A213-Ft!G$2)^2)+Ft!G$7*EXP(Ft!G$40*($A213-Ft!G$2)^2)))</f>
        <v>0</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v>424</v>
      </c>
      <c r="B214">
        <v>18.769931306313993</v>
      </c>
      <c r="C214" s="6">
        <f t="shared" si="7"/>
        <v>18.722419762244705</v>
      </c>
      <c r="D214" s="19">
        <f t="shared" si="8"/>
        <v>2.2573468198478466E-3</v>
      </c>
      <c r="E214" s="3">
        <f>Ft!$B$12+Ft!$B$14*(Data!A214-Vars!$B$3)</f>
        <v>0</v>
      </c>
      <c r="F214" s="3">
        <f>IF(($A214-Ft!B$2)&lt;0,Ft!B$3*((1-Ft!B$6)/(1+Ft!B$37*($A214-Ft!B$2)^2)+Ft!B$6*EXP(Ft!B$38*($A214-Ft!B$2)^2)),Ft!B$3*((1-Ft!B$7)/(1+Ft!B$39*($A214-Ft!B$2)^2)+Ft!B$7*EXP(Ft!B$40*($A214-Ft!B$2)^2)))</f>
        <v>2.4291586365315565E-78</v>
      </c>
      <c r="G214" s="3">
        <f>IF(($A214-Ft!C$2)&lt;0,Ft!C$3*((1-Ft!C$6)/(1+Ft!C$37*($A214-Ft!C$2)^2)+Ft!C$6*EXP(Ft!C$38*($A214-Ft!C$2)^2)),Ft!C$3*((1-Ft!C$7)/(1+Ft!C$39*($A214-Ft!C$2)^2)+Ft!C$7*EXP(Ft!C$40*($A214-Ft!C$2)^2)))</f>
        <v>1.8260507327174335E-2</v>
      </c>
      <c r="H214" s="3">
        <f>IF(($A214-Ft!D$2)&lt;0,Ft!D$3*((1-Ft!D$6)/(1+Ft!D$37*($A214-Ft!D$2)^2)+Ft!D$6*EXP(Ft!D$38*($A214-Ft!D$2)^2)),Ft!D$3*((1-Ft!D$7)/(1+Ft!D$39*($A214-Ft!D$2)^2)+Ft!D$7*EXP(Ft!D$40*($A214-Ft!D$2)^2)))</f>
        <v>17.63003528516564</v>
      </c>
      <c r="I214" s="3">
        <f>IF(($A214-Ft!E$2)&lt;0,Ft!E$3*((1-Ft!E$6)/(1+Ft!E$37*($A214-Ft!E$2)^2)+Ft!E$6*EXP(Ft!E$38*($A214-Ft!E$2)^2)),Ft!E$3*((1-Ft!E$7)/(1+Ft!E$39*($A214-Ft!E$2)^2)+Ft!E$7*EXP(Ft!E$40*($A214-Ft!E$2)^2)))</f>
        <v>1.0741239697518912</v>
      </c>
      <c r="J214" s="3">
        <f>IF(($A214-Ft!F$2)&lt;0,Ft!F$3*((1-Ft!F$6)/(1+Ft!F$37*($A214-Ft!F$2)^2)+Ft!F$6*EXP(Ft!F$38*($A214-Ft!F$2)^2)),Ft!F$3*((1-Ft!F$7)/(1+Ft!F$39*($A214-Ft!F$2)^2)+Ft!F$7*EXP(Ft!F$40*($A214-Ft!F$2)^2)))</f>
        <v>1.7770083120699974E-69</v>
      </c>
      <c r="K214" s="3">
        <f>IF(($A214-Ft!G$2)&lt;0,Ft!G$3*((1-Ft!G$6)/(1+Ft!G$37*($A214-Ft!G$2)^2)+Ft!G$6*EXP(Ft!G$38*($A214-Ft!G$2)^2)),Ft!G$3*((1-Ft!G$7)/(1+Ft!G$39*($A214-Ft!G$2)^2)+Ft!G$7*EXP(Ft!G$40*($A214-Ft!G$2)^2)))</f>
        <v>0</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v>426</v>
      </c>
      <c r="B215">
        <v>18.816747535546995</v>
      </c>
      <c r="C215" s="6">
        <f t="shared" si="7"/>
        <v>18.770611573597531</v>
      </c>
      <c r="D215" s="19">
        <f t="shared" si="8"/>
        <v>2.1285269850023604E-3</v>
      </c>
      <c r="E215" s="3">
        <f>Ft!$B$12+Ft!$B$14*(Data!A215-Vars!$B$3)</f>
        <v>0</v>
      </c>
      <c r="F215" s="3">
        <f>IF(($A215-Ft!B$2)&lt;0,Ft!B$3*((1-Ft!B$6)/(1+Ft!B$37*($A215-Ft!B$2)^2)+Ft!B$6*EXP(Ft!B$38*($A215-Ft!B$2)^2)),Ft!B$3*((1-Ft!B$7)/(1+Ft!B$39*($A215-Ft!B$2)^2)+Ft!B$7*EXP(Ft!B$40*($A215-Ft!B$2)^2)))</f>
        <v>3.6110533906603084E-79</v>
      </c>
      <c r="G215" s="3">
        <f>IF(($A215-Ft!C$2)&lt;0,Ft!C$3*((1-Ft!C$6)/(1+Ft!C$37*($A215-Ft!C$2)^2)+Ft!C$6*EXP(Ft!C$38*($A215-Ft!C$2)^2)),Ft!C$3*((1-Ft!C$7)/(1+Ft!C$39*($A215-Ft!C$2)^2)+Ft!C$7*EXP(Ft!C$40*($A215-Ft!C$2)^2)))</f>
        <v>1.6713124633343797E-2</v>
      </c>
      <c r="H215" s="3">
        <f>IF(($A215-Ft!D$2)&lt;0,Ft!D$3*((1-Ft!D$6)/(1+Ft!D$37*($A215-Ft!D$2)^2)+Ft!D$6*EXP(Ft!D$38*($A215-Ft!D$2)^2)),Ft!D$3*((1-Ft!D$7)/(1+Ft!D$39*($A215-Ft!D$2)^2)+Ft!D$7*EXP(Ft!D$40*($A215-Ft!D$2)^2)))</f>
        <v>17.64958757726497</v>
      </c>
      <c r="I215" s="3">
        <f>IF(($A215-Ft!E$2)&lt;0,Ft!E$3*((1-Ft!E$6)/(1+Ft!E$37*($A215-Ft!E$2)^2)+Ft!E$6*EXP(Ft!E$38*($A215-Ft!E$2)^2)),Ft!E$3*((1-Ft!E$7)/(1+Ft!E$39*($A215-Ft!E$2)^2)+Ft!E$7*EXP(Ft!E$40*($A215-Ft!E$2)^2)))</f>
        <v>1.104310871699216</v>
      </c>
      <c r="J215" s="3">
        <f>IF(($A215-Ft!F$2)&lt;0,Ft!F$3*((1-Ft!F$6)/(1+Ft!F$37*($A215-Ft!F$2)^2)+Ft!F$6*EXP(Ft!F$38*($A215-Ft!F$2)^2)),Ft!F$3*((1-Ft!F$7)/(1+Ft!F$39*($A215-Ft!F$2)^2)+Ft!F$7*EXP(Ft!F$40*($A215-Ft!F$2)^2)))</f>
        <v>5.0951216045476621E-69</v>
      </c>
      <c r="K215" s="3">
        <f>IF(($A215-Ft!G$2)&lt;0,Ft!G$3*((1-Ft!G$6)/(1+Ft!G$37*($A215-Ft!G$2)^2)+Ft!G$6*EXP(Ft!G$38*($A215-Ft!G$2)^2)),Ft!G$3*((1-Ft!G$7)/(1+Ft!G$39*($A215-Ft!G$2)^2)+Ft!G$7*EXP(Ft!G$40*($A215-Ft!G$2)^2)))</f>
        <v>0</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v>428</v>
      </c>
      <c r="B216">
        <v>18.859647261267995</v>
      </c>
      <c r="C216" s="6">
        <f t="shared" si="7"/>
        <v>18.816628237319595</v>
      </c>
      <c r="D216" s="19">
        <f t="shared" si="8"/>
        <v>1.8506364214729996E-3</v>
      </c>
      <c r="E216" s="3">
        <f>Ft!$B$12+Ft!$B$14*(Data!A216-Vars!$B$3)</f>
        <v>0</v>
      </c>
      <c r="F216" s="3">
        <f>IF(($A216-Ft!B$2)&lt;0,Ft!B$3*((1-Ft!B$6)/(1+Ft!B$37*($A216-Ft!B$2)^2)+Ft!B$6*EXP(Ft!B$38*($A216-Ft!B$2)^2)),Ft!B$3*((1-Ft!B$7)/(1+Ft!B$39*($A216-Ft!B$2)^2)+Ft!B$7*EXP(Ft!B$40*($A216-Ft!B$2)^2)))</f>
        <v>5.3143314652884017E-80</v>
      </c>
      <c r="G216" s="3">
        <f>IF(($A216-Ft!C$2)&lt;0,Ft!C$3*((1-Ft!C$6)/(1+Ft!C$37*($A216-Ft!C$2)^2)+Ft!C$6*EXP(Ft!C$38*($A216-Ft!C$2)^2)),Ft!C$3*((1-Ft!C$7)/(1+Ft!C$39*($A216-Ft!C$2)^2)+Ft!C$7*EXP(Ft!C$40*($A216-Ft!C$2)^2)))</f>
        <v>1.5287358625811697E-2</v>
      </c>
      <c r="H216" s="3">
        <f>IF(($A216-Ft!D$2)&lt;0,Ft!D$3*((1-Ft!D$6)/(1+Ft!D$37*($A216-Ft!D$2)^2)+Ft!D$6*EXP(Ft!D$38*($A216-Ft!D$2)^2)),Ft!D$3*((1-Ft!D$7)/(1+Ft!D$39*($A216-Ft!D$2)^2)+Ft!D$7*EXP(Ft!D$40*($A216-Ft!D$2)^2)))</f>
        <v>17.666155669028299</v>
      </c>
      <c r="I216" s="3">
        <f>IF(($A216-Ft!E$2)&lt;0,Ft!E$3*((1-Ft!E$6)/(1+Ft!E$37*($A216-Ft!E$2)^2)+Ft!E$6*EXP(Ft!E$38*($A216-Ft!E$2)^2)),Ft!E$3*((1-Ft!E$7)/(1+Ft!E$39*($A216-Ft!E$2)^2)+Ft!E$7*EXP(Ft!E$40*($A216-Ft!E$2)^2)))</f>
        <v>1.1351852096654822</v>
      </c>
      <c r="J216" s="3">
        <f>IF(($A216-Ft!F$2)&lt;0,Ft!F$3*((1-Ft!F$6)/(1+Ft!F$37*($A216-Ft!F$2)^2)+Ft!F$6*EXP(Ft!F$38*($A216-Ft!F$2)^2)),Ft!F$3*((1-Ft!F$7)/(1+Ft!F$39*($A216-Ft!F$2)^2)+Ft!F$7*EXP(Ft!F$40*($A216-Ft!F$2)^2)))</f>
        <v>1.4558305547661502E-68</v>
      </c>
      <c r="K216" s="3">
        <f>IF(($A216-Ft!G$2)&lt;0,Ft!G$3*((1-Ft!G$6)/(1+Ft!G$37*($A216-Ft!G$2)^2)+Ft!G$6*EXP(Ft!G$38*($A216-Ft!G$2)^2)),Ft!G$3*((1-Ft!G$7)/(1+Ft!G$39*($A216-Ft!G$2)^2)+Ft!G$7*EXP(Ft!G$40*($A216-Ft!G$2)^2)))</f>
        <v>0</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v>430</v>
      </c>
      <c r="B217">
        <v>18.899283258499992</v>
      </c>
      <c r="C217" s="6">
        <f t="shared" si="7"/>
        <v>18.860462978571903</v>
      </c>
      <c r="D217" s="19">
        <f t="shared" si="8"/>
        <v>1.5070141336951902E-3</v>
      </c>
      <c r="E217" s="3">
        <f>Ft!$B$12+Ft!$B$14*(Data!A217-Vars!$B$3)</f>
        <v>0</v>
      </c>
      <c r="F217" s="3">
        <f>IF(($A217-Ft!B$2)&lt;0,Ft!B$3*((1-Ft!B$6)/(1+Ft!B$37*($A217-Ft!B$2)^2)+Ft!B$6*EXP(Ft!B$38*($A217-Ft!B$2)^2)),Ft!B$3*((1-Ft!B$7)/(1+Ft!B$39*($A217-Ft!B$2)^2)+Ft!B$7*EXP(Ft!B$40*($A217-Ft!B$2)^2)))</f>
        <v>7.7428360698896621E-81</v>
      </c>
      <c r="G217" s="3">
        <f>IF(($A217-Ft!C$2)&lt;0,Ft!C$3*((1-Ft!C$6)/(1+Ft!C$37*($A217-Ft!C$2)^2)+Ft!C$6*EXP(Ft!C$38*($A217-Ft!C$2)^2)),Ft!C$3*((1-Ft!C$7)/(1+Ft!C$39*($A217-Ft!C$2)^2)+Ft!C$7*EXP(Ft!C$40*($A217-Ft!C$2)^2)))</f>
        <v>1.3974531121971185E-2</v>
      </c>
      <c r="H217" s="3">
        <f>IF(($A217-Ft!D$2)&lt;0,Ft!D$3*((1-Ft!D$6)/(1+Ft!D$37*($A217-Ft!D$2)^2)+Ft!D$6*EXP(Ft!D$38*($A217-Ft!D$2)^2)),Ft!D$3*((1-Ft!D$7)/(1+Ft!D$39*($A217-Ft!D$2)^2)+Ft!D$7*EXP(Ft!D$40*($A217-Ft!D$2)^2)))</f>
        <v>17.679731119329126</v>
      </c>
      <c r="I217" s="3">
        <f>IF(($A217-Ft!E$2)&lt;0,Ft!E$3*((1-Ft!E$6)/(1+Ft!E$37*($A217-Ft!E$2)^2)+Ft!E$6*EXP(Ft!E$38*($A217-Ft!E$2)^2)),Ft!E$3*((1-Ft!E$7)/(1+Ft!E$39*($A217-Ft!E$2)^2)+Ft!E$7*EXP(Ft!E$40*($A217-Ft!E$2)^2)))</f>
        <v>1.1667573281208068</v>
      </c>
      <c r="J217" s="3">
        <f>IF(($A217-Ft!F$2)&lt;0,Ft!F$3*((1-Ft!F$6)/(1+Ft!F$37*($A217-Ft!F$2)^2)+Ft!F$6*EXP(Ft!F$38*($A217-Ft!F$2)^2)),Ft!F$3*((1-Ft!F$7)/(1+Ft!F$39*($A217-Ft!F$2)^2)+Ft!F$7*EXP(Ft!F$40*($A217-Ft!F$2)^2)))</f>
        <v>4.145322162071373E-68</v>
      </c>
      <c r="K217" s="3">
        <f>IF(($A217-Ft!G$2)&lt;0,Ft!G$3*((1-Ft!G$6)/(1+Ft!G$37*($A217-Ft!G$2)^2)+Ft!G$6*EXP(Ft!G$38*($A217-Ft!G$2)^2)),Ft!G$3*((1-Ft!G$7)/(1+Ft!G$39*($A217-Ft!G$2)^2)+Ft!G$7*EXP(Ft!G$40*($A217-Ft!G$2)^2)))</f>
        <v>0</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v>432</v>
      </c>
      <c r="B218">
        <v>18.936308302268998</v>
      </c>
      <c r="C218" s="6">
        <f t="shared" si="7"/>
        <v>18.902111072130346</v>
      </c>
      <c r="D218" s="19">
        <f t="shared" si="8"/>
        <v>1.169450549155925E-3</v>
      </c>
      <c r="E218" s="3">
        <f>Ft!$B$12+Ft!$B$14*(Data!A218-Vars!$B$3)</f>
        <v>0</v>
      </c>
      <c r="F218" s="3">
        <f>IF(($A218-Ft!B$2)&lt;0,Ft!B$3*((1-Ft!B$6)/(1+Ft!B$37*($A218-Ft!B$2)^2)+Ft!B$6*EXP(Ft!B$38*($A218-Ft!B$2)^2)),Ft!B$3*((1-Ft!B$7)/(1+Ft!B$39*($A218-Ft!B$2)^2)+Ft!B$7*EXP(Ft!B$40*($A218-Ft!B$2)^2)))</f>
        <v>1.1168328694092443E-81</v>
      </c>
      <c r="G218" s="3">
        <f>IF(($A218-Ft!C$2)&lt;0,Ft!C$3*((1-Ft!C$6)/(1+Ft!C$37*($A218-Ft!C$2)^2)+Ft!C$6*EXP(Ft!C$38*($A218-Ft!C$2)^2)),Ft!C$3*((1-Ft!C$7)/(1+Ft!C$39*($A218-Ft!C$2)^2)+Ft!C$7*EXP(Ft!C$40*($A218-Ft!C$2)^2)))</f>
        <v>1.2766505187819728E-2</v>
      </c>
      <c r="H218" s="3">
        <f>IF(($A218-Ft!D$2)&lt;0,Ft!D$3*((1-Ft!D$6)/(1+Ft!D$37*($A218-Ft!D$2)^2)+Ft!D$6*EXP(Ft!D$38*($A218-Ft!D$2)^2)),Ft!D$3*((1-Ft!D$7)/(1+Ft!D$39*($A218-Ft!D$2)^2)+Ft!D$7*EXP(Ft!D$40*($A218-Ft!D$2)^2)))</f>
        <v>17.690307007794026</v>
      </c>
      <c r="I218" s="3">
        <f>IF(($A218-Ft!E$2)&lt;0,Ft!E$3*((1-Ft!E$6)/(1+Ft!E$37*($A218-Ft!E$2)^2)+Ft!E$6*EXP(Ft!E$38*($A218-Ft!E$2)^2)),Ft!E$3*((1-Ft!E$7)/(1+Ft!E$39*($A218-Ft!E$2)^2)+Ft!E$7*EXP(Ft!E$40*($A218-Ft!E$2)^2)))</f>
        <v>1.1990375591485007</v>
      </c>
      <c r="J218" s="3">
        <f>IF(($A218-Ft!F$2)&lt;0,Ft!F$3*((1-Ft!F$6)/(1+Ft!F$37*($A218-Ft!F$2)^2)+Ft!F$6*EXP(Ft!F$38*($A218-Ft!F$2)^2)),Ft!F$3*((1-Ft!F$7)/(1+Ft!F$39*($A218-Ft!F$2)^2)+Ft!F$7*EXP(Ft!F$40*($A218-Ft!F$2)^2)))</f>
        <v>1.1762426654472001E-67</v>
      </c>
      <c r="K218" s="3">
        <f>IF(($A218-Ft!G$2)&lt;0,Ft!G$3*((1-Ft!G$6)/(1+Ft!G$37*($A218-Ft!G$2)^2)+Ft!G$6*EXP(Ft!G$38*($A218-Ft!G$2)^2)),Ft!G$3*((1-Ft!G$7)/(1+Ft!G$39*($A218-Ft!G$2)^2)+Ft!G$7*EXP(Ft!G$40*($A218-Ft!G$2)^2)))</f>
        <v>0</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v>434</v>
      </c>
      <c r="B219">
        <v>18.971375167596989</v>
      </c>
      <c r="C219" s="6">
        <f t="shared" si="7"/>
        <v>18.941569814855136</v>
      </c>
      <c r="D219" s="19">
        <f t="shared" si="8"/>
        <v>8.883590520662926E-4</v>
      </c>
      <c r="E219" s="3">
        <f>Ft!$B$12+Ft!$B$14*(Data!A219-Vars!$B$3)</f>
        <v>0</v>
      </c>
      <c r="F219" s="3">
        <f>IF(($A219-Ft!B$2)&lt;0,Ft!B$3*((1-Ft!B$6)/(1+Ft!B$37*($A219-Ft!B$2)^2)+Ft!B$6*EXP(Ft!B$38*($A219-Ft!B$2)^2)),Ft!B$3*((1-Ft!B$7)/(1+Ft!B$39*($A219-Ft!B$2)^2)+Ft!B$7*EXP(Ft!B$40*($A219-Ft!B$2)^2)))</f>
        <v>1.5948248957623499E-82</v>
      </c>
      <c r="G219" s="3">
        <f>IF(($A219-Ft!C$2)&lt;0,Ft!C$3*((1-Ft!C$6)/(1+Ft!C$37*($A219-Ft!C$2)^2)+Ft!C$6*EXP(Ft!C$38*($A219-Ft!C$2)^2)),Ft!C$3*((1-Ft!C$7)/(1+Ft!C$39*($A219-Ft!C$2)^2)+Ft!C$7*EXP(Ft!C$40*($A219-Ft!C$2)^2)))</f>
        <v>1.1655658011459076E-2</v>
      </c>
      <c r="H219" s="3">
        <f>IF(($A219-Ft!D$2)&lt;0,Ft!D$3*((1-Ft!D$6)/(1+Ft!D$37*($A219-Ft!D$2)^2)+Ft!D$6*EXP(Ft!D$38*($A219-Ft!D$2)^2)),Ft!D$3*((1-Ft!D$7)/(1+Ft!D$39*($A219-Ft!D$2)^2)+Ft!D$7*EXP(Ft!D$40*($A219-Ft!D$2)^2)))</f>
        <v>17.697877940682023</v>
      </c>
      <c r="I219" s="3">
        <f>IF(($A219-Ft!E$2)&lt;0,Ft!E$3*((1-Ft!E$6)/(1+Ft!E$37*($A219-Ft!E$2)^2)+Ft!E$6*EXP(Ft!E$38*($A219-Ft!E$2)^2)),Ft!E$3*((1-Ft!E$7)/(1+Ft!E$39*($A219-Ft!E$2)^2)+Ft!E$7*EXP(Ft!E$40*($A219-Ft!E$2)^2)))</f>
        <v>1.2320362161616534</v>
      </c>
      <c r="J219" s="3">
        <f>IF(($A219-Ft!F$2)&lt;0,Ft!F$3*((1-Ft!F$6)/(1+Ft!F$37*($A219-Ft!F$2)^2)+Ft!F$6*EXP(Ft!F$38*($A219-Ft!F$2)^2)),Ft!F$3*((1-Ft!F$7)/(1+Ft!F$39*($A219-Ft!F$2)^2)+Ft!F$7*EXP(Ft!F$40*($A219-Ft!F$2)^2)))</f>
        <v>3.3260345047789927E-67</v>
      </c>
      <c r="K219" s="3">
        <f>IF(($A219-Ft!G$2)&lt;0,Ft!G$3*((1-Ft!G$6)/(1+Ft!G$37*($A219-Ft!G$2)^2)+Ft!G$6*EXP(Ft!G$38*($A219-Ft!G$2)^2)),Ft!G$3*((1-Ft!G$7)/(1+Ft!G$39*($A219-Ft!G$2)^2)+Ft!G$7*EXP(Ft!G$40*($A219-Ft!G$2)^2)))</f>
        <v>0</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v>436</v>
      </c>
      <c r="B220">
        <v>19.005136629508996</v>
      </c>
      <c r="C220" s="6">
        <f t="shared" si="7"/>
        <v>18.97883849751366</v>
      </c>
      <c r="D220" s="19">
        <f t="shared" si="8"/>
        <v>6.9159174644412285E-4</v>
      </c>
      <c r="E220" s="3">
        <f>Ft!$B$12+Ft!$B$14*(Data!A220-Vars!$B$3)</f>
        <v>0</v>
      </c>
      <c r="F220" s="3">
        <f>IF(($A220-Ft!B$2)&lt;0,Ft!B$3*((1-Ft!B$6)/(1+Ft!B$37*($A220-Ft!B$2)^2)+Ft!B$6*EXP(Ft!B$38*($A220-Ft!B$2)^2)),Ft!B$3*((1-Ft!B$7)/(1+Ft!B$39*($A220-Ft!B$2)^2)+Ft!B$7*EXP(Ft!B$40*($A220-Ft!B$2)^2)))</f>
        <v>2.2546260611150278E-83</v>
      </c>
      <c r="G220" s="3">
        <f>IF(($A220-Ft!C$2)&lt;0,Ft!C$3*((1-Ft!C$6)/(1+Ft!C$37*($A220-Ft!C$2)^2)+Ft!C$6*EXP(Ft!C$38*($A220-Ft!C$2)^2)),Ft!C$3*((1-Ft!C$7)/(1+Ft!C$39*($A220-Ft!C$2)^2)+Ft!C$7*EXP(Ft!C$40*($A220-Ft!C$2)^2)))</f>
        <v>1.0634854585789501E-2</v>
      </c>
      <c r="H220" s="3">
        <f>IF(($A220-Ft!D$2)&lt;0,Ft!D$3*((1-Ft!D$6)/(1+Ft!D$37*($A220-Ft!D$2)^2)+Ft!D$6*EXP(Ft!D$38*($A220-Ft!D$2)^2)),Ft!D$3*((1-Ft!D$7)/(1+Ft!D$39*($A220-Ft!D$2)^2)+Ft!D$7*EXP(Ft!D$40*($A220-Ft!D$2)^2)))</f>
        <v>17.702440055469044</v>
      </c>
      <c r="I220" s="3">
        <f>IF(($A220-Ft!E$2)&lt;0,Ft!E$3*((1-Ft!E$6)/(1+Ft!E$37*($A220-Ft!E$2)^2)+Ft!E$6*EXP(Ft!E$38*($A220-Ft!E$2)^2)),Ft!E$3*((1-Ft!E$7)/(1+Ft!E$39*($A220-Ft!E$2)^2)+Ft!E$7*EXP(Ft!E$40*($A220-Ft!E$2)^2)))</f>
        <v>1.265763587458828</v>
      </c>
      <c r="J220" s="3">
        <f>IF(($A220-Ft!F$2)&lt;0,Ft!F$3*((1-Ft!F$6)/(1+Ft!F$37*($A220-Ft!F$2)^2)+Ft!F$6*EXP(Ft!F$38*($A220-Ft!F$2)^2)),Ft!F$3*((1-Ft!F$7)/(1+Ft!F$39*($A220-Ft!F$2)^2)+Ft!F$7*EXP(Ft!F$40*($A220-Ft!F$2)^2)))</f>
        <v>9.3723339380837731E-67</v>
      </c>
      <c r="K220" s="3">
        <f>IF(($A220-Ft!G$2)&lt;0,Ft!G$3*((1-Ft!G$6)/(1+Ft!G$37*($A220-Ft!G$2)^2)+Ft!G$6*EXP(Ft!G$38*($A220-Ft!G$2)^2)),Ft!G$3*((1-Ft!G$7)/(1+Ft!G$39*($A220-Ft!G$2)^2)+Ft!G$7*EXP(Ft!G$40*($A220-Ft!G$2)^2)))</f>
        <v>0</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v>438</v>
      </c>
      <c r="B221">
        <v>19.038245463029995</v>
      </c>
      <c r="C221" s="6">
        <f t="shared" si="7"/>
        <v>19.013918375976278</v>
      </c>
      <c r="D221" s="19">
        <f t="shared" si="8"/>
        <v>5.9180716451910913E-4</v>
      </c>
      <c r="E221" s="3">
        <f>Ft!$B$12+Ft!$B$14*(Data!A221-Vars!$B$3)</f>
        <v>0</v>
      </c>
      <c r="F221" s="3">
        <f>IF(($A221-Ft!B$2)&lt;0,Ft!B$3*((1-Ft!B$6)/(1+Ft!B$37*($A221-Ft!B$2)^2)+Ft!B$6*EXP(Ft!B$38*($A221-Ft!B$2)^2)),Ft!B$3*((1-Ft!B$7)/(1+Ft!B$39*($A221-Ft!B$2)^2)+Ft!B$7*EXP(Ft!B$40*($A221-Ft!B$2)^2)))</f>
        <v>3.1555330676145594E-84</v>
      </c>
      <c r="G221" s="3">
        <f>IF(($A221-Ft!C$2)&lt;0,Ft!C$3*((1-Ft!C$6)/(1+Ft!C$37*($A221-Ft!C$2)^2)+Ft!C$6*EXP(Ft!C$38*($A221-Ft!C$2)^2)),Ft!C$3*((1-Ft!C$7)/(1+Ft!C$39*($A221-Ft!C$2)^2)+Ft!C$7*EXP(Ft!C$40*($A221-Ft!C$2)^2)))</f>
        <v>9.6974222242720565E-3</v>
      </c>
      <c r="H221" s="3">
        <f>IF(($A221-Ft!D$2)&lt;0,Ft!D$3*((1-Ft!D$6)/(1+Ft!D$37*($A221-Ft!D$2)^2)+Ft!D$6*EXP(Ft!D$38*($A221-Ft!D$2)^2)),Ft!D$3*((1-Ft!D$7)/(1+Ft!D$39*($A221-Ft!D$2)^2)+Ft!D$7*EXP(Ft!D$40*($A221-Ft!D$2)^2)))</f>
        <v>17.703991024132002</v>
      </c>
      <c r="I221" s="3">
        <f>IF(($A221-Ft!E$2)&lt;0,Ft!E$3*((1-Ft!E$6)/(1+Ft!E$37*($A221-Ft!E$2)^2)+Ft!E$6*EXP(Ft!E$38*($A221-Ft!E$2)^2)),Ft!E$3*((1-Ft!E$7)/(1+Ft!E$39*($A221-Ft!E$2)^2)+Ft!E$7*EXP(Ft!E$40*($A221-Ft!E$2)^2)))</f>
        <v>1.3002299296200048</v>
      </c>
      <c r="J221" s="3">
        <f>IF(($A221-Ft!F$2)&lt;0,Ft!F$3*((1-Ft!F$6)/(1+Ft!F$37*($A221-Ft!F$2)^2)+Ft!F$6*EXP(Ft!F$38*($A221-Ft!F$2)^2)),Ft!F$3*((1-Ft!F$7)/(1+Ft!F$39*($A221-Ft!F$2)^2)+Ft!F$7*EXP(Ft!F$40*($A221-Ft!F$2)^2)))</f>
        <v>2.6318427674508757E-66</v>
      </c>
      <c r="K221" s="3">
        <f>IF(($A221-Ft!G$2)&lt;0,Ft!G$3*((1-Ft!G$6)/(1+Ft!G$37*($A221-Ft!G$2)^2)+Ft!G$6*EXP(Ft!G$38*($A221-Ft!G$2)^2)),Ft!G$3*((1-Ft!G$7)/(1+Ft!G$39*($A221-Ft!G$2)^2)+Ft!G$7*EXP(Ft!G$40*($A221-Ft!G$2)^2)))</f>
        <v>0</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v>440</v>
      </c>
      <c r="B222">
        <v>19.06794582804099</v>
      </c>
      <c r="C222" s="6">
        <f t="shared" si="7"/>
        <v>19.046812641800805</v>
      </c>
      <c r="D222" s="19">
        <f t="shared" si="8"/>
        <v>4.4661156066234031E-4</v>
      </c>
      <c r="E222" s="3">
        <f>Ft!$B$12+Ft!$B$14*(Data!A222-Vars!$B$3)</f>
        <v>0</v>
      </c>
      <c r="F222" s="3">
        <f>IF(($A222-Ft!B$2)&lt;0,Ft!B$3*((1-Ft!B$6)/(1+Ft!B$37*($A222-Ft!B$2)^2)+Ft!B$6*EXP(Ft!B$38*($A222-Ft!B$2)^2)),Ft!B$3*((1-Ft!B$7)/(1+Ft!B$39*($A222-Ft!B$2)^2)+Ft!B$7*EXP(Ft!B$40*($A222-Ft!B$2)^2)))</f>
        <v>4.3722767684651262E-85</v>
      </c>
      <c r="G222" s="3">
        <f>IF(($A222-Ft!C$2)&lt;0,Ft!C$3*((1-Ft!C$6)/(1+Ft!C$37*($A222-Ft!C$2)^2)+Ft!C$6*EXP(Ft!C$38*($A222-Ft!C$2)^2)),Ft!C$3*((1-Ft!C$7)/(1+Ft!C$39*($A222-Ft!C$2)^2)+Ft!C$7*EXP(Ft!C$40*($A222-Ft!C$2)^2)))</f>
        <v>8.8371259280989566E-3</v>
      </c>
      <c r="H222" s="3">
        <f>IF(($A222-Ft!D$2)&lt;0,Ft!D$3*((1-Ft!D$6)/(1+Ft!D$37*($A222-Ft!D$2)^2)+Ft!D$6*EXP(Ft!D$38*($A222-Ft!D$2)^2)),Ft!D$3*((1-Ft!D$7)/(1+Ft!D$39*($A222-Ft!D$2)^2)+Ft!D$7*EXP(Ft!D$40*($A222-Ft!D$2)^2)))</f>
        <v>17.702530055128669</v>
      </c>
      <c r="I222" s="3">
        <f>IF(($A222-Ft!E$2)&lt;0,Ft!E$3*((1-Ft!E$6)/(1+Ft!E$37*($A222-Ft!E$2)^2)+Ft!E$6*EXP(Ft!E$38*($A222-Ft!E$2)^2)),Ft!E$3*((1-Ft!E$7)/(1+Ft!E$39*($A222-Ft!E$2)^2)+Ft!E$7*EXP(Ft!E$40*($A222-Ft!E$2)^2)))</f>
        <v>1.3354454607440371</v>
      </c>
      <c r="J222" s="3">
        <f>IF(($A222-Ft!F$2)&lt;0,Ft!F$3*((1-Ft!F$6)/(1+Ft!F$37*($A222-Ft!F$2)^2)+Ft!F$6*EXP(Ft!F$38*($A222-Ft!F$2)^2)),Ft!F$3*((1-Ft!F$7)/(1+Ft!F$39*($A222-Ft!F$2)^2)+Ft!F$7*EXP(Ft!F$40*($A222-Ft!F$2)^2)))</f>
        <v>7.3648398514862022E-66</v>
      </c>
      <c r="K222" s="3">
        <f>IF(($A222-Ft!G$2)&lt;0,Ft!G$3*((1-Ft!G$6)/(1+Ft!G$37*($A222-Ft!G$2)^2)+Ft!G$6*EXP(Ft!G$38*($A222-Ft!G$2)^2)),Ft!G$3*((1-Ft!G$7)/(1+Ft!G$39*($A222-Ft!G$2)^2)+Ft!G$7*EXP(Ft!G$40*($A222-Ft!G$2)^2)))</f>
        <v>0</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v>442</v>
      </c>
      <c r="B223">
        <v>19.091807268585001</v>
      </c>
      <c r="C223" s="6">
        <f t="shared" si="7"/>
        <v>19.077526392218008</v>
      </c>
      <c r="D223" s="19">
        <f t="shared" si="8"/>
        <v>2.039434298093278E-4</v>
      </c>
      <c r="E223" s="3">
        <f>Ft!$B$12+Ft!$B$14*(Data!A223-Vars!$B$3)</f>
        <v>0</v>
      </c>
      <c r="F223" s="3">
        <f>IF(($A223-Ft!B$2)&lt;0,Ft!B$3*((1-Ft!B$6)/(1+Ft!B$37*($A223-Ft!B$2)^2)+Ft!B$6*EXP(Ft!B$38*($A223-Ft!B$2)^2)),Ft!B$3*((1-Ft!B$7)/(1+Ft!B$39*($A223-Ft!B$2)^2)+Ft!B$7*EXP(Ft!B$40*($A223-Ft!B$2)^2)))</f>
        <v>5.9976242222785134E-86</v>
      </c>
      <c r="G223" s="3">
        <f>IF(($A223-Ft!C$2)&lt;0,Ft!C$3*((1-Ft!C$6)/(1+Ft!C$37*($A223-Ft!C$2)^2)+Ft!C$6*EXP(Ft!C$38*($A223-Ft!C$2)^2)),Ft!C$3*((1-Ft!C$7)/(1+Ft!C$39*($A223-Ft!C$2)^2)+Ft!C$7*EXP(Ft!C$40*($A223-Ft!C$2)^2)))</f>
        <v>8.0481446179732664E-3</v>
      </c>
      <c r="H223" s="3">
        <f>IF(($A223-Ft!D$2)&lt;0,Ft!D$3*((1-Ft!D$6)/(1+Ft!D$37*($A223-Ft!D$2)^2)+Ft!D$6*EXP(Ft!D$38*($A223-Ft!D$2)^2)),Ft!D$3*((1-Ft!D$7)/(1+Ft!D$39*($A223-Ft!D$2)^2)+Ft!D$7*EXP(Ft!D$40*($A223-Ft!D$2)^2)))</f>
        <v>17.698057894070899</v>
      </c>
      <c r="I223" s="3">
        <f>IF(($A223-Ft!E$2)&lt;0,Ft!E$3*((1-Ft!E$6)/(1+Ft!E$37*($A223-Ft!E$2)^2)+Ft!E$6*EXP(Ft!E$38*($A223-Ft!E$2)^2)),Ft!E$3*((1-Ft!E$7)/(1+Ft!E$39*($A223-Ft!E$2)^2)+Ft!E$7*EXP(Ft!E$40*($A223-Ft!E$2)^2)))</f>
        <v>1.3714203535291341</v>
      </c>
      <c r="J223" s="3">
        <f>IF(($A223-Ft!F$2)&lt;0,Ft!F$3*((1-Ft!F$6)/(1+Ft!F$37*($A223-Ft!F$2)^2)+Ft!F$6*EXP(Ft!F$38*($A223-Ft!F$2)^2)),Ft!F$3*((1-Ft!F$7)/(1+Ft!F$39*($A223-Ft!F$2)^2)+Ft!F$7*EXP(Ft!F$40*($A223-Ft!F$2)^2)))</f>
        <v>2.053798616816416E-65</v>
      </c>
      <c r="K223" s="3">
        <f>IF(($A223-Ft!G$2)&lt;0,Ft!G$3*((1-Ft!G$6)/(1+Ft!G$37*($A223-Ft!G$2)^2)+Ft!G$6*EXP(Ft!G$38*($A223-Ft!G$2)^2)),Ft!G$3*((1-Ft!G$7)/(1+Ft!G$39*($A223-Ft!G$2)^2)+Ft!G$7*EXP(Ft!G$40*($A223-Ft!G$2)^2)))</f>
        <v>0</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v>444</v>
      </c>
      <c r="B224">
        <v>19.110970635931992</v>
      </c>
      <c r="C224" s="6">
        <f t="shared" si="7"/>
        <v>19.106066599527459</v>
      </c>
      <c r="D224" s="19">
        <f t="shared" si="8"/>
        <v>2.4049573056980239E-5</v>
      </c>
      <c r="E224" s="3">
        <f>Ft!$B$12+Ft!$B$14*(Data!A224-Vars!$B$3)</f>
        <v>0</v>
      </c>
      <c r="F224" s="3">
        <f>IF(($A224-Ft!B$2)&lt;0,Ft!B$3*((1-Ft!B$6)/(1+Ft!B$37*($A224-Ft!B$2)^2)+Ft!B$6*EXP(Ft!B$38*($A224-Ft!B$2)^2)),Ft!B$3*((1-Ft!B$7)/(1+Ft!B$39*($A224-Ft!B$2)^2)+Ft!B$7*EXP(Ft!B$40*($A224-Ft!B$2)^2)))</f>
        <v>8.1449337294832593E-87</v>
      </c>
      <c r="G224" s="3">
        <f>IF(($A224-Ft!C$2)&lt;0,Ft!C$3*((1-Ft!C$6)/(1+Ft!C$37*($A224-Ft!C$2)^2)+Ft!C$6*EXP(Ft!C$38*($A224-Ft!C$2)^2)),Ft!C$3*((1-Ft!C$7)/(1+Ft!C$39*($A224-Ft!C$2)^2)+Ft!C$7*EXP(Ft!C$40*($A224-Ft!C$2)^2)))</f>
        <v>7.3250482389476523E-3</v>
      </c>
      <c r="H224" s="3">
        <f>IF(($A224-Ft!D$2)&lt;0,Ft!D$3*((1-Ft!D$6)/(1+Ft!D$37*($A224-Ft!D$2)^2)+Ft!D$6*EXP(Ft!D$38*($A224-Ft!D$2)^2)),Ft!D$3*((1-Ft!D$7)/(1+Ft!D$39*($A224-Ft!D$2)^2)+Ft!D$7*EXP(Ft!D$40*($A224-Ft!D$2)^2)))</f>
        <v>17.690576823090463</v>
      </c>
      <c r="I224" s="3">
        <f>IF(($A224-Ft!E$2)&lt;0,Ft!E$3*((1-Ft!E$6)/(1+Ft!E$37*($A224-Ft!E$2)^2)+Ft!E$6*EXP(Ft!E$38*($A224-Ft!E$2)^2)),Ft!E$3*((1-Ft!E$7)/(1+Ft!E$39*($A224-Ft!E$2)^2)+Ft!E$7*EXP(Ft!E$40*($A224-Ft!E$2)^2)))</f>
        <v>1.4081647281980483</v>
      </c>
      <c r="J224" s="3">
        <f>IF(($A224-Ft!F$2)&lt;0,Ft!F$3*((1-Ft!F$6)/(1+Ft!F$37*($A224-Ft!F$2)^2)+Ft!F$6*EXP(Ft!F$38*($A224-Ft!F$2)^2)),Ft!F$3*((1-Ft!F$7)/(1+Ft!F$39*($A224-Ft!F$2)^2)+Ft!F$7*EXP(Ft!F$40*($A224-Ft!F$2)^2)))</f>
        <v>5.7074693561151116E-65</v>
      </c>
      <c r="K224" s="3">
        <f>IF(($A224-Ft!G$2)&lt;0,Ft!G$3*((1-Ft!G$6)/(1+Ft!G$37*($A224-Ft!G$2)^2)+Ft!G$6*EXP(Ft!G$38*($A224-Ft!G$2)^2)),Ft!G$3*((1-Ft!G$7)/(1+Ft!G$39*($A224-Ft!G$2)^2)+Ft!G$7*EXP(Ft!G$40*($A224-Ft!G$2)^2)))</f>
        <v>0</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v>446</v>
      </c>
      <c r="B225">
        <v>19.126576781349002</v>
      </c>
      <c r="C225" s="6">
        <f t="shared" si="7"/>
        <v>19.132442079910479</v>
      </c>
      <c r="D225" s="19">
        <f t="shared" si="8"/>
        <v>3.440172721527322E-5</v>
      </c>
      <c r="E225" s="3">
        <f>Ft!$B$12+Ft!$B$14*(Data!A225-Vars!$B$3)</f>
        <v>0</v>
      </c>
      <c r="F225" s="3">
        <f>IF(($A225-Ft!B$2)&lt;0,Ft!B$3*((1-Ft!B$6)/(1+Ft!B$37*($A225-Ft!B$2)^2)+Ft!B$6*EXP(Ft!B$38*($A225-Ft!B$2)^2)),Ft!B$3*((1-Ft!B$7)/(1+Ft!B$39*($A225-Ft!B$2)^2)+Ft!B$7*EXP(Ft!B$40*($A225-Ft!B$2)^2)))</f>
        <v>1.0950464840342374E-87</v>
      </c>
      <c r="G225" s="3">
        <f>IF(($A225-Ft!C$2)&lt;0,Ft!C$3*((1-Ft!C$6)/(1+Ft!C$37*($A225-Ft!C$2)^2)+Ft!C$6*EXP(Ft!C$38*($A225-Ft!C$2)^2)),Ft!C$3*((1-Ft!C$7)/(1+Ft!C$39*($A225-Ft!C$2)^2)+Ft!C$7*EXP(Ft!C$40*($A225-Ft!C$2)^2)))</f>
        <v>6.6627757423982879E-3</v>
      </c>
      <c r="H225" s="3">
        <f>IF(($A225-Ft!D$2)&lt;0,Ft!D$3*((1-Ft!D$6)/(1+Ft!D$37*($A225-Ft!D$2)^2)+Ft!D$6*EXP(Ft!D$38*($A225-Ft!D$2)^2)),Ft!D$3*((1-Ft!D$7)/(1+Ft!D$39*($A225-Ft!D$2)^2)+Ft!D$7*EXP(Ft!D$40*($A225-Ft!D$2)^2)))</f>
        <v>17.680090658898216</v>
      </c>
      <c r="I225" s="3">
        <f>IF(($A225-Ft!E$2)&lt;0,Ft!E$3*((1-Ft!E$6)/(1+Ft!E$37*($A225-Ft!E$2)^2)+Ft!E$6*EXP(Ft!E$38*($A225-Ft!E$2)^2)),Ft!E$3*((1-Ft!E$7)/(1+Ft!E$39*($A225-Ft!E$2)^2)+Ft!E$7*EXP(Ft!E$40*($A225-Ft!E$2)^2)))</f>
        <v>1.4456886452698638</v>
      </c>
      <c r="J225" s="3">
        <f>IF(($A225-Ft!F$2)&lt;0,Ft!F$3*((1-Ft!F$6)/(1+Ft!F$37*($A225-Ft!F$2)^2)+Ft!F$6*EXP(Ft!F$38*($A225-Ft!F$2)^2)),Ft!F$3*((1-Ft!F$7)/(1+Ft!F$39*($A225-Ft!F$2)^2)+Ft!F$7*EXP(Ft!F$40*($A225-Ft!F$2)^2)))</f>
        <v>1.5805946283405663E-64</v>
      </c>
      <c r="K225" s="3">
        <f>IF(($A225-Ft!G$2)&lt;0,Ft!G$3*((1-Ft!G$6)/(1+Ft!G$37*($A225-Ft!G$2)^2)+Ft!G$6*EXP(Ft!G$38*($A225-Ft!G$2)^2)),Ft!G$3*((1-Ft!G$7)/(1+Ft!G$39*($A225-Ft!G$2)^2)+Ft!G$7*EXP(Ft!G$40*($A225-Ft!G$2)^2)))</f>
        <v>0</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v>448</v>
      </c>
      <c r="B226">
        <v>19.139766556105002</v>
      </c>
      <c r="C226" s="6">
        <f t="shared" si="7"/>
        <v>19.1566634616646</v>
      </c>
      <c r="D226" s="19">
        <f t="shared" si="8"/>
        <v>2.8550541748997372E-4</v>
      </c>
      <c r="E226" s="3">
        <f>Ft!$B$12+Ft!$B$14*(Data!A226-Vars!$B$3)</f>
        <v>0</v>
      </c>
      <c r="F226" s="3">
        <f>IF(($A226-Ft!B$2)&lt;0,Ft!B$3*((1-Ft!B$6)/(1+Ft!B$37*($A226-Ft!B$2)^2)+Ft!B$6*EXP(Ft!B$38*($A226-Ft!B$2)^2)),Ft!B$3*((1-Ft!B$7)/(1+Ft!B$39*($A226-Ft!B$2)^2)+Ft!B$7*EXP(Ft!B$40*($A226-Ft!B$2)^2)))</f>
        <v>1.4575190907430876E-88</v>
      </c>
      <c r="G226" s="3">
        <f>IF(($A226-Ft!C$2)&lt;0,Ft!C$3*((1-Ft!C$6)/(1+Ft!C$37*($A226-Ft!C$2)^2)+Ft!C$6*EXP(Ft!C$38*($A226-Ft!C$2)^2)),Ft!C$3*((1-Ft!C$7)/(1+Ft!C$39*($A226-Ft!C$2)^2)+Ft!C$7*EXP(Ft!C$40*($A226-Ft!C$2)^2)))</f>
        <v>6.0566139452056843E-3</v>
      </c>
      <c r="H226" s="3">
        <f>IF(($A226-Ft!D$2)&lt;0,Ft!D$3*((1-Ft!D$6)/(1+Ft!D$37*($A226-Ft!D$2)^2)+Ft!D$6*EXP(Ft!D$38*($A226-Ft!D$2)^2)),Ft!D$3*((1-Ft!D$7)/(1+Ft!D$39*($A226-Ft!D$2)^2)+Ft!D$7*EXP(Ft!D$40*($A226-Ft!D$2)^2)))</f>
        <v>17.666604749538912</v>
      </c>
      <c r="I226" s="3">
        <f>IF(($A226-Ft!E$2)&lt;0,Ft!E$3*((1-Ft!E$6)/(1+Ft!E$37*($A226-Ft!E$2)^2)+Ft!E$6*EXP(Ft!E$38*($A226-Ft!E$2)^2)),Ft!E$3*((1-Ft!E$7)/(1+Ft!E$39*($A226-Ft!E$2)^2)+Ft!E$7*EXP(Ft!E$40*($A226-Ft!E$2)^2)))</f>
        <v>1.484002098180482</v>
      </c>
      <c r="J226" s="3">
        <f>IF(($A226-Ft!F$2)&lt;0,Ft!F$3*((1-Ft!F$6)/(1+Ft!F$37*($A226-Ft!F$2)^2)+Ft!F$6*EXP(Ft!F$38*($A226-Ft!F$2)^2)),Ft!F$3*((1-Ft!F$7)/(1+Ft!F$39*($A226-Ft!F$2)^2)+Ft!F$7*EXP(Ft!F$40*($A226-Ft!F$2)^2)))</f>
        <v>4.3620294842840755E-64</v>
      </c>
      <c r="K226" s="3">
        <f>IF(($A226-Ft!G$2)&lt;0,Ft!G$3*((1-Ft!G$6)/(1+Ft!G$37*($A226-Ft!G$2)^2)+Ft!G$6*EXP(Ft!G$38*($A226-Ft!G$2)^2)),Ft!G$3*((1-Ft!G$7)/(1+Ft!G$39*($A226-Ft!G$2)^2)+Ft!G$7*EXP(Ft!G$40*($A226-Ft!G$2)^2)))</f>
        <v>0</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v>450</v>
      </c>
      <c r="B227">
        <v>19.151680811467998</v>
      </c>
      <c r="C227" s="6">
        <f t="shared" si="7"/>
        <v>19.178743152862214</v>
      </c>
      <c r="D227" s="19">
        <f t="shared" si="8"/>
        <v>7.3237032173714093E-4</v>
      </c>
      <c r="E227" s="3">
        <f>Ft!$B$12+Ft!$B$14*(Data!A227-Vars!$B$3)</f>
        <v>0</v>
      </c>
      <c r="F227" s="3">
        <f>IF(($A227-Ft!B$2)&lt;0,Ft!B$3*((1-Ft!B$6)/(1+Ft!B$37*($A227-Ft!B$2)^2)+Ft!B$6*EXP(Ft!B$38*($A227-Ft!B$2)^2)),Ft!B$3*((1-Ft!B$7)/(1+Ft!B$39*($A227-Ft!B$2)^2)+Ft!B$7*EXP(Ft!B$40*($A227-Ft!B$2)^2)))</f>
        <v>1.920581076711712E-89</v>
      </c>
      <c r="G227" s="3">
        <f>IF(($A227-Ft!C$2)&lt;0,Ft!C$3*((1-Ft!C$6)/(1+Ft!C$37*($A227-Ft!C$2)^2)+Ft!C$6*EXP(Ft!C$38*($A227-Ft!C$2)^2)),Ft!C$3*((1-Ft!C$7)/(1+Ft!C$39*($A227-Ft!C$2)^2)+Ft!C$7*EXP(Ft!C$40*($A227-Ft!C$2)^2)))</f>
        <v>5.5021772625662886E-3</v>
      </c>
      <c r="H227" s="3">
        <f>IF(($A227-Ft!D$2)&lt;0,Ft!D$3*((1-Ft!D$6)/(1+Ft!D$37*($A227-Ft!D$2)^2)+Ft!D$6*EXP(Ft!D$38*($A227-Ft!D$2)^2)),Ft!D$3*((1-Ft!D$7)/(1+Ft!D$39*($A227-Ft!D$2)^2)+Ft!D$7*EXP(Ft!D$40*($A227-Ft!D$2)^2)))</f>
        <v>17.65012596984554</v>
      </c>
      <c r="I227" s="3">
        <f>IF(($A227-Ft!E$2)&lt;0,Ft!E$3*((1-Ft!E$6)/(1+Ft!E$37*($A227-Ft!E$2)^2)+Ft!E$6*EXP(Ft!E$38*($A227-Ft!E$2)^2)),Ft!E$3*((1-Ft!E$7)/(1+Ft!E$39*($A227-Ft!E$2)^2)+Ft!E$7*EXP(Ft!E$40*($A227-Ft!E$2)^2)))</f>
        <v>1.5231150057541079</v>
      </c>
      <c r="J227" s="3">
        <f>IF(($A227-Ft!F$2)&lt;0,Ft!F$3*((1-Ft!F$6)/(1+Ft!F$37*($A227-Ft!F$2)^2)+Ft!F$6*EXP(Ft!F$38*($A227-Ft!F$2)^2)),Ft!F$3*((1-Ft!F$7)/(1+Ft!F$39*($A227-Ft!F$2)^2)+Ft!F$7*EXP(Ft!F$40*($A227-Ft!F$2)^2)))</f>
        <v>1.1996315354070449E-63</v>
      </c>
      <c r="K227" s="3">
        <f>IF(($A227-Ft!G$2)&lt;0,Ft!G$3*((1-Ft!G$6)/(1+Ft!G$37*($A227-Ft!G$2)^2)+Ft!G$6*EXP(Ft!G$38*($A227-Ft!G$2)^2)),Ft!G$3*((1-Ft!G$7)/(1+Ft!G$39*($A227-Ft!G$2)^2)+Ft!G$7*EXP(Ft!G$40*($A227-Ft!G$2)^2)))</f>
        <v>0</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v>452</v>
      </c>
      <c r="B228">
        <v>19.163460398705993</v>
      </c>
      <c r="C228" s="6">
        <f t="shared" si="7"/>
        <v>19.198695308434402</v>
      </c>
      <c r="D228" s="19">
        <f t="shared" si="8"/>
        <v>1.2414988635691337E-3</v>
      </c>
      <c r="E228" s="3">
        <f>Ft!$B$12+Ft!$B$14*(Data!A228-Vars!$B$3)</f>
        <v>0</v>
      </c>
      <c r="F228" s="3">
        <f>IF(($A228-Ft!B$2)&lt;0,Ft!B$3*((1-Ft!B$6)/(1+Ft!B$37*($A228-Ft!B$2)^2)+Ft!B$6*EXP(Ft!B$38*($A228-Ft!B$2)^2)),Ft!B$3*((1-Ft!B$7)/(1+Ft!B$39*($A228-Ft!B$2)^2)+Ft!B$7*EXP(Ft!B$40*($A228-Ft!B$2)^2)))</f>
        <v>2.505461513137457E-90</v>
      </c>
      <c r="G228" s="3">
        <f>IF(($A228-Ft!C$2)&lt;0,Ft!C$3*((1-Ft!C$6)/(1+Ft!C$37*($A228-Ft!C$2)^2)+Ft!C$6*EXP(Ft!C$38*($A228-Ft!C$2)^2)),Ft!C$3*((1-Ft!C$7)/(1+Ft!C$39*($A228-Ft!C$2)^2)+Ft!C$7*EXP(Ft!C$40*($A228-Ft!C$2)^2)))</f>
        <v>4.995388307555736E-3</v>
      </c>
      <c r="H228" s="3">
        <f>IF(($A228-Ft!D$2)&lt;0,Ft!D$3*((1-Ft!D$6)/(1+Ft!D$37*($A228-Ft!D$2)^2)+Ft!D$6*EXP(Ft!D$38*($A228-Ft!D$2)^2)),Ft!D$3*((1-Ft!D$7)/(1+Ft!D$39*($A228-Ft!D$2)^2)+Ft!D$7*EXP(Ft!D$40*($A228-Ft!D$2)^2)))</f>
        <v>17.630662715598586</v>
      </c>
      <c r="I228" s="3">
        <f>IF(($A228-Ft!E$2)&lt;0,Ft!E$3*((1-Ft!E$6)/(1+Ft!E$37*($A228-Ft!E$2)^2)+Ft!E$6*EXP(Ft!E$38*($A228-Ft!E$2)^2)),Ft!E$3*((1-Ft!E$7)/(1+Ft!E$39*($A228-Ft!E$2)^2)+Ft!E$7*EXP(Ft!E$40*($A228-Ft!E$2)^2)))</f>
        <v>1.5630372045282608</v>
      </c>
      <c r="J228" s="3">
        <f>IF(($A228-Ft!F$2)&lt;0,Ft!F$3*((1-Ft!F$6)/(1+Ft!F$37*($A228-Ft!F$2)^2)+Ft!F$6*EXP(Ft!F$38*($A228-Ft!F$2)^2)),Ft!F$3*((1-Ft!F$7)/(1+Ft!F$39*($A228-Ft!F$2)^2)+Ft!F$7*EXP(Ft!F$40*($A228-Ft!F$2)^2)))</f>
        <v>3.2877465648466812E-63</v>
      </c>
      <c r="K228" s="3">
        <f>IF(($A228-Ft!G$2)&lt;0,Ft!G$3*((1-Ft!G$6)/(1+Ft!G$37*($A228-Ft!G$2)^2)+Ft!G$6*EXP(Ft!G$38*($A228-Ft!G$2)^2)),Ft!G$3*((1-Ft!G$7)/(1+Ft!G$39*($A228-Ft!G$2)^2)+Ft!G$7*EXP(Ft!G$40*($A228-Ft!G$2)^2)))</f>
        <v>0</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v>454</v>
      </c>
      <c r="B229">
        <v>19.176246169088998</v>
      </c>
      <c r="C229" s="6">
        <f t="shared" si="7"/>
        <v>19.216535796679779</v>
      </c>
      <c r="D229" s="19">
        <f t="shared" si="8"/>
        <v>1.6232540914037973E-3</v>
      </c>
      <c r="E229" s="3">
        <f>Ft!$B$12+Ft!$B$14*(Data!A229-Vars!$B$3)</f>
        <v>0</v>
      </c>
      <c r="F229" s="3">
        <f>IF(($A229-Ft!B$2)&lt;0,Ft!B$3*((1-Ft!B$6)/(1+Ft!B$37*($A229-Ft!B$2)^2)+Ft!B$6*EXP(Ft!B$38*($A229-Ft!B$2)^2)),Ft!B$3*((1-Ft!B$7)/(1+Ft!B$39*($A229-Ft!B$2)^2)+Ft!B$7*EXP(Ft!B$40*($A229-Ft!B$2)^2)))</f>
        <v>3.235783998281222E-91</v>
      </c>
      <c r="G229" s="3">
        <f>IF(($A229-Ft!C$2)&lt;0,Ft!C$3*((1-Ft!C$6)/(1+Ft!C$37*($A229-Ft!C$2)^2)+Ft!C$6*EXP(Ft!C$38*($A229-Ft!C$2)^2)),Ft!C$3*((1-Ft!C$7)/(1+Ft!C$39*($A229-Ft!C$2)^2)+Ft!C$7*EXP(Ft!C$40*($A229-Ft!C$2)^2)))</f>
        <v>4.532459347592617E-3</v>
      </c>
      <c r="H229" s="3">
        <f>IF(($A229-Ft!D$2)&lt;0,Ft!D$3*((1-Ft!D$6)/(1+Ft!D$37*($A229-Ft!D$2)^2)+Ft!D$6*EXP(Ft!D$38*($A229-Ft!D$2)^2)),Ft!D$3*((1-Ft!D$7)/(1+Ft!D$39*($A229-Ft!D$2)^2)+Ft!D$7*EXP(Ft!D$40*($A229-Ft!D$2)^2)))</f>
        <v>17.608224896397154</v>
      </c>
      <c r="I229" s="3">
        <f>IF(($A229-Ft!E$2)&lt;0,Ft!E$3*((1-Ft!E$6)/(1+Ft!E$37*($A229-Ft!E$2)^2)+Ft!E$6*EXP(Ft!E$38*($A229-Ft!E$2)^2)),Ft!E$3*((1-Ft!E$7)/(1+Ft!E$39*($A229-Ft!E$2)^2)+Ft!E$7*EXP(Ft!E$40*($A229-Ft!E$2)^2)))</f>
        <v>1.6037784409350309</v>
      </c>
      <c r="J229" s="3">
        <f>IF(($A229-Ft!F$2)&lt;0,Ft!F$3*((1-Ft!F$6)/(1+Ft!F$37*($A229-Ft!F$2)^2)+Ft!F$6*EXP(Ft!F$38*($A229-Ft!F$2)^2)),Ft!F$3*((1-Ft!F$7)/(1+Ft!F$39*($A229-Ft!F$2)^2)+Ft!F$7*EXP(Ft!F$40*($A229-Ft!F$2)^2)))</f>
        <v>8.9792481411657211E-63</v>
      </c>
      <c r="K229" s="3">
        <f>IF(($A229-Ft!G$2)&lt;0,Ft!G$3*((1-Ft!G$6)/(1+Ft!G$37*($A229-Ft!G$2)^2)+Ft!G$6*EXP(Ft!G$38*($A229-Ft!G$2)^2)),Ft!G$3*((1-Ft!G$7)/(1+Ft!G$39*($A229-Ft!G$2)^2)+Ft!G$7*EXP(Ft!G$40*($A229-Ft!G$2)^2)))</f>
        <v>0</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v>456</v>
      </c>
      <c r="B230">
        <v>19.190748727968995</v>
      </c>
      <c r="C230" s="6">
        <f t="shared" si="7"/>
        <v>19.23228216519729</v>
      </c>
      <c r="D230" s="19">
        <f t="shared" si="8"/>
        <v>1.7250264079967717E-3</v>
      </c>
      <c r="E230" s="3">
        <f>Ft!$B$12+Ft!$B$14*(Data!A230-Vars!$B$3)</f>
        <v>0</v>
      </c>
      <c r="F230" s="3">
        <f>IF(($A230-Ft!B$2)&lt;0,Ft!B$3*((1-Ft!B$6)/(1+Ft!B$37*($A230-Ft!B$2)^2)+Ft!B$6*EXP(Ft!B$38*($A230-Ft!B$2)^2)),Ft!B$3*((1-Ft!B$7)/(1+Ft!B$39*($A230-Ft!B$2)^2)+Ft!B$7*EXP(Ft!B$40*($A230-Ft!B$2)^2)))</f>
        <v>4.1372142026099935E-92</v>
      </c>
      <c r="G230" s="3">
        <f>IF(($A230-Ft!C$2)&lt;0,Ft!C$3*((1-Ft!C$6)/(1+Ft!C$37*($A230-Ft!C$2)^2)+Ft!C$6*EXP(Ft!C$38*($A230-Ft!C$2)^2)),Ft!C$3*((1-Ft!C$7)/(1+Ft!C$39*($A230-Ft!C$2)^2)+Ft!C$7*EXP(Ft!C$40*($A230-Ft!C$2)^2)))</f>
        <v>4.1098746052966664E-3</v>
      </c>
      <c r="H230" s="3">
        <f>IF(($A230-Ft!D$2)&lt;0,Ft!D$3*((1-Ft!D$6)/(1+Ft!D$37*($A230-Ft!D$2)^2)+Ft!D$6*EXP(Ft!D$38*($A230-Ft!D$2)^2)),Ft!D$3*((1-Ft!D$7)/(1+Ft!D$39*($A230-Ft!D$2)^2)+Ft!D$7*EXP(Ft!D$40*($A230-Ft!D$2)^2)))</f>
        <v>17.582823927250452</v>
      </c>
      <c r="I230" s="3">
        <f>IF(($A230-Ft!E$2)&lt;0,Ft!E$3*((1-Ft!E$6)/(1+Ft!E$37*($A230-Ft!E$2)^2)+Ft!E$6*EXP(Ft!E$38*($A230-Ft!E$2)^2)),Ft!E$3*((1-Ft!E$7)/(1+Ft!E$39*($A230-Ft!E$2)^2)+Ft!E$7*EXP(Ft!E$40*($A230-Ft!E$2)^2)))</f>
        <v>1.6453483633415398</v>
      </c>
      <c r="J230" s="3">
        <f>IF(($A230-Ft!F$2)&lt;0,Ft!F$3*((1-Ft!F$6)/(1+Ft!F$37*($A230-Ft!F$2)^2)+Ft!F$6*EXP(Ft!F$38*($A230-Ft!F$2)^2)),Ft!F$3*((1-Ft!F$7)/(1+Ft!F$39*($A230-Ft!F$2)^2)+Ft!F$7*EXP(Ft!F$40*($A230-Ft!F$2)^2)))</f>
        <v>2.4438401528143654E-62</v>
      </c>
      <c r="K230" s="3">
        <f>IF(($A230-Ft!G$2)&lt;0,Ft!G$3*((1-Ft!G$6)/(1+Ft!G$37*($A230-Ft!G$2)^2)+Ft!G$6*EXP(Ft!G$38*($A230-Ft!G$2)^2)),Ft!G$3*((1-Ft!G$7)/(1+Ft!G$39*($A230-Ft!G$2)^2)+Ft!G$7*EXP(Ft!G$40*($A230-Ft!G$2)^2)))</f>
        <v>0</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v>458</v>
      </c>
      <c r="B231">
        <v>19.205007897275991</v>
      </c>
      <c r="C231" s="6">
        <f t="shared" si="7"/>
        <v>19.245953606241226</v>
      </c>
      <c r="D231" s="19">
        <f t="shared" si="8"/>
        <v>1.6765510826657782E-3</v>
      </c>
      <c r="E231" s="3">
        <f>Ft!$B$12+Ft!$B$14*(Data!A231-Vars!$B$3)</f>
        <v>0</v>
      </c>
      <c r="F231" s="3">
        <f>IF(($A231-Ft!B$2)&lt;0,Ft!B$3*((1-Ft!B$6)/(1+Ft!B$37*($A231-Ft!B$2)^2)+Ft!B$6*EXP(Ft!B$38*($A231-Ft!B$2)^2)),Ft!B$3*((1-Ft!B$7)/(1+Ft!B$39*($A231-Ft!B$2)^2)+Ft!B$7*EXP(Ft!B$40*($A231-Ft!B$2)^2)))</f>
        <v>5.2368868150791421E-93</v>
      </c>
      <c r="G231" s="3">
        <f>IF(($A231-Ft!C$2)&lt;0,Ft!C$3*((1-Ft!C$6)/(1+Ft!C$37*($A231-Ft!C$2)^2)+Ft!C$6*EXP(Ft!C$38*($A231-Ft!C$2)^2)),Ft!C$3*((1-Ft!C$7)/(1+Ft!C$39*($A231-Ft!C$2)^2)+Ft!C$7*EXP(Ft!C$40*($A231-Ft!C$2)^2)))</f>
        <v>3.7243733888824306E-3</v>
      </c>
      <c r="H231" s="3">
        <f>IF(($A231-Ft!D$2)&lt;0,Ft!D$3*((1-Ft!D$6)/(1+Ft!D$37*($A231-Ft!D$2)^2)+Ft!D$6*EXP(Ft!D$38*($A231-Ft!D$2)^2)),Ft!D$3*((1-Ft!D$7)/(1+Ft!D$39*($A231-Ft!D$2)^2)+Ft!D$7*EXP(Ft!D$40*($A231-Ft!D$2)^2)))</f>
        <v>17.554472718899586</v>
      </c>
      <c r="I231" s="3">
        <f>IF(($A231-Ft!E$2)&lt;0,Ft!E$3*((1-Ft!E$6)/(1+Ft!E$37*($A231-Ft!E$2)^2)+Ft!E$6*EXP(Ft!E$38*($A231-Ft!E$2)^2)),Ft!E$3*((1-Ft!E$7)/(1+Ft!E$39*($A231-Ft!E$2)^2)+Ft!E$7*EXP(Ft!E$40*($A231-Ft!E$2)^2)))</f>
        <v>1.6877565139527582</v>
      </c>
      <c r="J231" s="3">
        <f>IF(($A231-Ft!F$2)&lt;0,Ft!F$3*((1-Ft!F$6)/(1+Ft!F$37*($A231-Ft!F$2)^2)+Ft!F$6*EXP(Ft!F$38*($A231-Ft!F$2)^2)),Ft!F$3*((1-Ft!F$7)/(1+Ft!F$39*($A231-Ft!F$2)^2)+Ft!F$7*EXP(Ft!F$40*($A231-Ft!F$2)^2)))</f>
        <v>6.6282182565521852E-62</v>
      </c>
      <c r="K231" s="3">
        <f>IF(($A231-Ft!G$2)&lt;0,Ft!G$3*((1-Ft!G$6)/(1+Ft!G$37*($A231-Ft!G$2)^2)+Ft!G$6*EXP(Ft!G$38*($A231-Ft!G$2)^2)),Ft!G$3*((1-Ft!G$7)/(1+Ft!G$39*($A231-Ft!G$2)^2)+Ft!G$7*EXP(Ft!G$40*($A231-Ft!G$2)^2)))</f>
        <v>0</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v>460</v>
      </c>
      <c r="B232">
        <v>19.218406533614996</v>
      </c>
      <c r="C232" s="6">
        <f t="shared" si="7"/>
        <v>19.257570921496434</v>
      </c>
      <c r="D232" s="19">
        <f t="shared" si="8"/>
        <v>1.5338492781277668E-3</v>
      </c>
      <c r="E232" s="3">
        <f>Ft!$B$12+Ft!$B$14*(Data!A232-Vars!$B$3)</f>
        <v>0</v>
      </c>
      <c r="F232" s="3">
        <f>IF(($A232-Ft!B$2)&lt;0,Ft!B$3*((1-Ft!B$6)/(1+Ft!B$37*($A232-Ft!B$2)^2)+Ft!B$6*EXP(Ft!B$38*($A232-Ft!B$2)^2)),Ft!B$3*((1-Ft!B$7)/(1+Ft!B$39*($A232-Ft!B$2)^2)+Ft!B$7*EXP(Ft!B$40*($A232-Ft!B$2)^2)))</f>
        <v>6.5625868666245114E-94</v>
      </c>
      <c r="G232" s="3">
        <f>IF(($A232-Ft!C$2)&lt;0,Ft!C$3*((1-Ft!C$6)/(1+Ft!C$37*($A232-Ft!C$2)^2)+Ft!C$6*EXP(Ft!C$38*($A232-Ft!C$2)^2)),Ft!C$3*((1-Ft!C$7)/(1+Ft!C$39*($A232-Ft!C$2)^2)+Ft!C$7*EXP(Ft!C$40*($A232-Ft!C$2)^2)))</f>
        <v>3.3729340351637735E-3</v>
      </c>
      <c r="H232" s="3">
        <f>IF(($A232-Ft!D$2)&lt;0,Ft!D$3*((1-Ft!D$6)/(1+Ft!D$37*($A232-Ft!D$2)^2)+Ft!D$6*EXP(Ft!D$38*($A232-Ft!D$2)^2)),Ft!D$3*((1-Ft!D$7)/(1+Ft!D$39*($A232-Ft!D$2)^2)+Ft!D$7*EXP(Ft!D$40*($A232-Ft!D$2)^2)))</f>
        <v>17.523185666881183</v>
      </c>
      <c r="I232" s="3">
        <f>IF(($A232-Ft!E$2)&lt;0,Ft!E$3*((1-Ft!E$6)/(1+Ft!E$37*($A232-Ft!E$2)^2)+Ft!E$6*EXP(Ft!E$38*($A232-Ft!E$2)^2)),Ft!E$3*((1-Ft!E$7)/(1+Ft!E$39*($A232-Ft!E$2)^2)+Ft!E$7*EXP(Ft!E$40*($A232-Ft!E$2)^2)))</f>
        <v>1.7310123205800891</v>
      </c>
      <c r="J232" s="3">
        <f>IF(($A232-Ft!F$2)&lt;0,Ft!F$3*((1-Ft!F$6)/(1+Ft!F$37*($A232-Ft!F$2)^2)+Ft!F$6*EXP(Ft!F$38*($A232-Ft!F$2)^2)),Ft!F$3*((1-Ft!F$7)/(1+Ft!F$39*($A232-Ft!F$2)^2)+Ft!F$7*EXP(Ft!F$40*($A232-Ft!F$2)^2)))</f>
        <v>1.7914800945259716E-61</v>
      </c>
      <c r="K232" s="3">
        <f>IF(($A232-Ft!G$2)&lt;0,Ft!G$3*((1-Ft!G$6)/(1+Ft!G$37*($A232-Ft!G$2)^2)+Ft!G$6*EXP(Ft!G$38*($A232-Ft!G$2)^2)),Ft!G$3*((1-Ft!G$7)/(1+Ft!G$39*($A232-Ft!G$2)^2)+Ft!G$7*EXP(Ft!G$40*($A232-Ft!G$2)^2)))</f>
        <v>0</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v>462</v>
      </c>
      <c r="B233">
        <v>19.230700011300002</v>
      </c>
      <c r="C233" s="6">
        <f t="shared" si="7"/>
        <v>19.267156486271585</v>
      </c>
      <c r="D233" s="19">
        <f t="shared" si="8"/>
        <v>1.3290745673536738E-3</v>
      </c>
      <c r="E233" s="3">
        <f>Ft!$B$12+Ft!$B$14*(Data!A233-Vars!$B$3)</f>
        <v>0</v>
      </c>
      <c r="F233" s="3">
        <f>IF(($A233-Ft!B$2)&lt;0,Ft!B$3*((1-Ft!B$6)/(1+Ft!B$37*($A233-Ft!B$2)^2)+Ft!B$6*EXP(Ft!B$38*($A233-Ft!B$2)^2)),Ft!B$3*((1-Ft!B$7)/(1+Ft!B$39*($A233-Ft!B$2)^2)+Ft!B$7*EXP(Ft!B$40*($A233-Ft!B$2)^2)))</f>
        <v>8.1416726960834518E-95</v>
      </c>
      <c r="G233" s="3">
        <f>IF(($A233-Ft!C$2)&lt;0,Ft!C$3*((1-Ft!C$6)/(1+Ft!C$37*($A233-Ft!C$2)^2)+Ft!C$6*EXP(Ft!C$38*($A233-Ft!C$2)^2)),Ft!C$3*((1-Ft!C$7)/(1+Ft!C$39*($A233-Ft!C$2)^2)+Ft!C$7*EXP(Ft!C$40*($A233-Ft!C$2)^2)))</f>
        <v>3.0527586464502046E-3</v>
      </c>
      <c r="H233" s="3">
        <f>IF(($A233-Ft!D$2)&lt;0,Ft!D$3*((1-Ft!D$6)/(1+Ft!D$37*($A233-Ft!D$2)^2)+Ft!D$6*EXP(Ft!D$38*($A233-Ft!D$2)^2)),Ft!D$3*((1-Ft!D$7)/(1+Ft!D$39*($A233-Ft!D$2)^2)+Ft!D$7*EXP(Ft!D$40*($A233-Ft!D$2)^2)))</f>
        <v>17.488978639345827</v>
      </c>
      <c r="I233" s="3">
        <f>IF(($A233-Ft!E$2)&lt;0,Ft!E$3*((1-Ft!E$6)/(1+Ft!E$37*($A233-Ft!E$2)^2)+Ft!E$6*EXP(Ft!E$38*($A233-Ft!E$2)^2)),Ft!E$3*((1-Ft!E$7)/(1+Ft!E$39*($A233-Ft!E$2)^2)+Ft!E$7*EXP(Ft!E$40*($A233-Ft!E$2)^2)))</f>
        <v>1.7751250882793064</v>
      </c>
      <c r="J233" s="3">
        <f>IF(($A233-Ft!F$2)&lt;0,Ft!F$3*((1-Ft!F$6)/(1+Ft!F$37*($A233-Ft!F$2)^2)+Ft!F$6*EXP(Ft!F$38*($A233-Ft!F$2)^2)),Ft!F$3*((1-Ft!F$7)/(1+Ft!F$39*($A233-Ft!F$2)^2)+Ft!F$7*EXP(Ft!F$40*($A233-Ft!F$2)^2)))</f>
        <v>4.8252337328313796E-61</v>
      </c>
      <c r="K233" s="3">
        <f>IF(($A233-Ft!G$2)&lt;0,Ft!G$3*((1-Ft!G$6)/(1+Ft!G$37*($A233-Ft!G$2)^2)+Ft!G$6*EXP(Ft!G$38*($A233-Ft!G$2)^2)),Ft!G$3*((1-Ft!G$7)/(1+Ft!G$39*($A233-Ft!G$2)^2)+Ft!G$7*EXP(Ft!G$40*($A233-Ft!G$2)^2)))</f>
        <v>0</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v>464</v>
      </c>
      <c r="B234">
        <v>19.241643704645</v>
      </c>
      <c r="C234" s="6">
        <f t="shared" si="7"/>
        <v>19.274734213108442</v>
      </c>
      <c r="D234" s="19">
        <f t="shared" si="8"/>
        <v>1.0949817503691027E-3</v>
      </c>
      <c r="E234" s="3">
        <f>Ft!$B$12+Ft!$B$14*(Data!A234-Vars!$B$3)</f>
        <v>0</v>
      </c>
      <c r="F234" s="3">
        <f>IF(($A234-Ft!B$2)&lt;0,Ft!B$3*((1-Ft!B$6)/(1+Ft!B$37*($A234-Ft!B$2)^2)+Ft!B$6*EXP(Ft!B$38*($A234-Ft!B$2)^2)),Ft!B$3*((1-Ft!B$7)/(1+Ft!B$39*($A234-Ft!B$2)^2)+Ft!B$7*EXP(Ft!B$40*($A234-Ft!B$2)^2)))</f>
        <v>9.999744653694061E-96</v>
      </c>
      <c r="G234" s="3">
        <f>IF(($A234-Ft!C$2)&lt;0,Ft!C$3*((1-Ft!C$6)/(1+Ft!C$37*($A234-Ft!C$2)^2)+Ft!C$6*EXP(Ft!C$38*($A234-Ft!C$2)^2)),Ft!C$3*((1-Ft!C$7)/(1+Ft!C$39*($A234-Ft!C$2)^2)+Ft!C$7*EXP(Ft!C$40*($A234-Ft!C$2)^2)))</f>
        <v>2.7612586010777392E-3</v>
      </c>
      <c r="H234" s="3">
        <f>IF(($A234-Ft!D$2)&lt;0,Ft!D$3*((1-Ft!D$6)/(1+Ft!D$37*($A234-Ft!D$2)^2)+Ft!D$6*EXP(Ft!D$38*($A234-Ft!D$2)^2)),Ft!D$3*((1-Ft!D$7)/(1+Ft!D$39*($A234-Ft!D$2)^2)+Ft!D$7*EXP(Ft!D$40*($A234-Ft!D$2)^2)))</f>
        <v>17.451868963645669</v>
      </c>
      <c r="I234" s="3">
        <f>IF(($A234-Ft!E$2)&lt;0,Ft!E$3*((1-Ft!E$6)/(1+Ft!E$37*($A234-Ft!E$2)^2)+Ft!E$6*EXP(Ft!E$38*($A234-Ft!E$2)^2)),Ft!E$3*((1-Ft!E$7)/(1+Ft!E$39*($A234-Ft!E$2)^2)+Ft!E$7*EXP(Ft!E$40*($A234-Ft!E$2)^2)))</f>
        <v>1.8201039908616967</v>
      </c>
      <c r="J234" s="3">
        <f>IF(($A234-Ft!F$2)&lt;0,Ft!F$3*((1-Ft!F$6)/(1+Ft!F$37*($A234-Ft!F$2)^2)+Ft!F$6*EXP(Ft!F$38*($A234-Ft!F$2)^2)),Ft!F$3*((1-Ft!F$7)/(1+Ft!F$39*($A234-Ft!F$2)^2)+Ft!F$7*EXP(Ft!F$40*($A234-Ft!F$2)^2)))</f>
        <v>1.2951375808757897E-60</v>
      </c>
      <c r="K234" s="3">
        <f>IF(($A234-Ft!G$2)&lt;0,Ft!G$3*((1-Ft!G$6)/(1+Ft!G$37*($A234-Ft!G$2)^2)+Ft!G$6*EXP(Ft!G$38*($A234-Ft!G$2)^2)),Ft!G$3*((1-Ft!G$7)/(1+Ft!G$39*($A234-Ft!G$2)^2)+Ft!G$7*EXP(Ft!G$40*($A234-Ft!G$2)^2)))</f>
        <v>0</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v>466</v>
      </c>
      <c r="B235">
        <v>19.250992987966001</v>
      </c>
      <c r="C235" s="6">
        <f t="shared" si="7"/>
        <v>19.28032951480564</v>
      </c>
      <c r="D235" s="19">
        <f t="shared" si="8"/>
        <v>8.6063180701287563E-4</v>
      </c>
      <c r="E235" s="3">
        <f>Ft!$B$12+Ft!$B$14*(Data!A235-Vars!$B$3)</f>
        <v>0</v>
      </c>
      <c r="F235" s="3">
        <f>IF(($A235-Ft!B$2)&lt;0,Ft!B$3*((1-Ft!B$6)/(1+Ft!B$37*($A235-Ft!B$2)^2)+Ft!B$6*EXP(Ft!B$38*($A235-Ft!B$2)^2)),Ft!B$3*((1-Ft!B$7)/(1+Ft!B$39*($A235-Ft!B$2)^2)+Ft!B$7*EXP(Ft!B$40*($A235-Ft!B$2)^2)))</f>
        <v>1.2159084541539975E-96</v>
      </c>
      <c r="G235" s="3">
        <f>IF(($A235-Ft!C$2)&lt;0,Ft!C$3*((1-Ft!C$6)/(1+Ft!C$37*($A235-Ft!C$2)^2)+Ft!C$6*EXP(Ft!C$38*($A235-Ft!C$2)^2)),Ft!C$3*((1-Ft!C$7)/(1+Ft!C$39*($A235-Ft!C$2)^2)+Ft!C$7*EXP(Ft!C$40*($A235-Ft!C$2)^2)))</f>
        <v>2.4960408160184478E-3</v>
      </c>
      <c r="H235" s="3">
        <f>IF(($A235-Ft!D$2)&lt;0,Ft!D$3*((1-Ft!D$6)/(1+Ft!D$37*($A235-Ft!D$2)^2)+Ft!D$6*EXP(Ft!D$38*($A235-Ft!D$2)^2)),Ft!D$3*((1-Ft!D$7)/(1+Ft!D$39*($A235-Ft!D$2)^2)+Ft!D$7*EXP(Ft!D$40*($A235-Ft!D$2)^2)))</f>
        <v>17.411875411707161</v>
      </c>
      <c r="I235" s="3">
        <f>IF(($A235-Ft!E$2)&lt;0,Ft!E$3*((1-Ft!E$6)/(1+Ft!E$37*($A235-Ft!E$2)^2)+Ft!E$6*EXP(Ft!E$38*($A235-Ft!E$2)^2)),Ft!E$3*((1-Ft!E$7)/(1+Ft!E$39*($A235-Ft!E$2)^2)+Ft!E$7*EXP(Ft!E$40*($A235-Ft!E$2)^2)))</f>
        <v>1.8659580622824596</v>
      </c>
      <c r="J235" s="3">
        <f>IF(($A235-Ft!F$2)&lt;0,Ft!F$3*((1-Ft!F$6)/(1+Ft!F$37*($A235-Ft!F$2)^2)+Ft!F$6*EXP(Ft!F$38*($A235-Ft!F$2)^2)),Ft!F$3*((1-Ft!F$7)/(1+Ft!F$39*($A235-Ft!F$2)^2)+Ft!F$7*EXP(Ft!F$40*($A235-Ft!F$2)^2)))</f>
        <v>3.4642134016463507E-60</v>
      </c>
      <c r="K235" s="3">
        <f>IF(($A235-Ft!G$2)&lt;0,Ft!G$3*((1-Ft!G$6)/(1+Ft!G$37*($A235-Ft!G$2)^2)+Ft!G$6*EXP(Ft!G$38*($A235-Ft!G$2)^2)),Ft!G$3*((1-Ft!G$7)/(1+Ft!G$39*($A235-Ft!G$2)^2)+Ft!G$7*EXP(Ft!G$40*($A235-Ft!G$2)^2)))</f>
        <v>0</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v>468</v>
      </c>
      <c r="B236">
        <v>19.258503235574992</v>
      </c>
      <c r="C236" s="6">
        <f t="shared" si="7"/>
        <v>19.283969266855753</v>
      </c>
      <c r="D236" s="19">
        <f t="shared" si="8"/>
        <v>6.4851874919269058E-4</v>
      </c>
      <c r="E236" s="3">
        <f>Ft!$B$12+Ft!$B$14*(Data!A236-Vars!$B$3)</f>
        <v>0</v>
      </c>
      <c r="F236" s="3">
        <f>IF(($A236-Ft!B$2)&lt;0,Ft!B$3*((1-Ft!B$6)/(1+Ft!B$37*($A236-Ft!B$2)^2)+Ft!B$6*EXP(Ft!B$38*($A236-Ft!B$2)^2)),Ft!B$3*((1-Ft!B$7)/(1+Ft!B$39*($A236-Ft!B$2)^2)+Ft!B$7*EXP(Ft!B$40*($A236-Ft!B$2)^2)))</f>
        <v>1.4636914726297548E-97</v>
      </c>
      <c r="G236" s="3">
        <f>IF(($A236-Ft!C$2)&lt;0,Ft!C$3*((1-Ft!C$6)/(1+Ft!C$37*($A236-Ft!C$2)^2)+Ft!C$6*EXP(Ft!C$38*($A236-Ft!C$2)^2)),Ft!C$3*((1-Ft!C$7)/(1+Ft!C$39*($A236-Ft!C$2)^2)+Ft!C$7*EXP(Ft!C$40*($A236-Ft!C$2)^2)))</f>
        <v>2.2548947389392894E-3</v>
      </c>
      <c r="H236" s="3">
        <f>IF(($A236-Ft!D$2)&lt;0,Ft!D$3*((1-Ft!D$6)/(1+Ft!D$37*($A236-Ft!D$2)^2)+Ft!D$6*EXP(Ft!D$38*($A236-Ft!D$2)^2)),Ft!D$3*((1-Ft!D$7)/(1+Ft!D$39*($A236-Ft!D$2)^2)+Ft!D$7*EXP(Ft!D$40*($A236-Ft!D$2)^2)))</f>
        <v>17.369018184206148</v>
      </c>
      <c r="I236" s="3">
        <f>IF(($A236-Ft!E$2)&lt;0,Ft!E$3*((1-Ft!E$6)/(1+Ft!E$37*($A236-Ft!E$2)^2)+Ft!E$6*EXP(Ft!E$38*($A236-Ft!E$2)^2)),Ft!E$3*((1-Ft!E$7)/(1+Ft!E$39*($A236-Ft!E$2)^2)+Ft!E$7*EXP(Ft!E$40*($A236-Ft!E$2)^2)))</f>
        <v>1.9126961879106641</v>
      </c>
      <c r="J236" s="3">
        <f>IF(($A236-Ft!F$2)&lt;0,Ft!F$3*((1-Ft!F$6)/(1+Ft!F$37*($A236-Ft!F$2)^2)+Ft!F$6*EXP(Ft!F$38*($A236-Ft!F$2)^2)),Ft!F$3*((1-Ft!F$7)/(1+Ft!F$39*($A236-Ft!F$2)^2)+Ft!F$7*EXP(Ft!F$40*($A236-Ft!F$2)^2)))</f>
        <v>9.2338869114495994E-60</v>
      </c>
      <c r="K236" s="3">
        <f>IF(($A236-Ft!G$2)&lt;0,Ft!G$3*((1-Ft!G$6)/(1+Ft!G$37*($A236-Ft!G$2)^2)+Ft!G$6*EXP(Ft!G$38*($A236-Ft!G$2)^2)),Ft!G$3*((1-Ft!G$7)/(1+Ft!G$39*($A236-Ft!G$2)^2)+Ft!G$7*EXP(Ft!G$40*($A236-Ft!G$2)^2)))</f>
        <v>0</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v>470</v>
      </c>
      <c r="B237">
        <v>19.263929821787997</v>
      </c>
      <c r="C237" s="6">
        <f t="shared" si="7"/>
        <v>19.285681769295497</v>
      </c>
      <c r="D237" s="19">
        <f t="shared" si="8"/>
        <v>4.7314722036903941E-4</v>
      </c>
      <c r="E237" s="3">
        <f>Ft!$B$12+Ft!$B$14*(Data!A237-Vars!$B$3)</f>
        <v>0</v>
      </c>
      <c r="F237" s="3">
        <f>IF(($A237-Ft!B$2)&lt;0,Ft!B$3*((1-Ft!B$6)/(1+Ft!B$37*($A237-Ft!B$2)^2)+Ft!B$6*EXP(Ft!B$38*($A237-Ft!B$2)^2)),Ft!B$3*((1-Ft!B$7)/(1+Ft!B$39*($A237-Ft!B$2)^2)+Ft!B$7*EXP(Ft!B$40*($A237-Ft!B$2)^2)))</f>
        <v>1.7443551188001261E-98</v>
      </c>
      <c r="G237" s="3">
        <f>IF(($A237-Ft!C$2)&lt;0,Ft!C$3*((1-Ft!C$6)/(1+Ft!C$37*($A237-Ft!C$2)^2)+Ft!C$6*EXP(Ft!C$38*($A237-Ft!C$2)^2)),Ft!C$3*((1-Ft!C$7)/(1+Ft!C$39*($A237-Ft!C$2)^2)+Ft!C$7*EXP(Ft!C$40*($A237-Ft!C$2)^2)))</f>
        <v>2.0357800462156113E-3</v>
      </c>
      <c r="H237" s="3">
        <f>IF(($A237-Ft!D$2)&lt;0,Ft!D$3*((1-Ft!D$6)/(1+Ft!D$37*($A237-Ft!D$2)^2)+Ft!D$6*EXP(Ft!D$38*($A237-Ft!D$2)^2)),Ft!D$3*((1-Ft!D$7)/(1+Ft!D$39*($A237-Ft!D$2)^2)+Ft!D$7*EXP(Ft!D$40*($A237-Ft!D$2)^2)))</f>
        <v>17.323318893564018</v>
      </c>
      <c r="I237" s="3">
        <f>IF(($A237-Ft!E$2)&lt;0,Ft!E$3*((1-Ft!E$6)/(1+Ft!E$37*($A237-Ft!E$2)^2)+Ft!E$6*EXP(Ft!E$38*($A237-Ft!E$2)^2)),Ft!E$3*((1-Ft!E$7)/(1+Ft!E$39*($A237-Ft!E$2)^2)+Ft!E$7*EXP(Ft!E$40*($A237-Ft!E$2)^2)))</f>
        <v>1.9603270956852628</v>
      </c>
      <c r="J237" s="3">
        <f>IF(($A237-Ft!F$2)&lt;0,Ft!F$3*((1-Ft!F$6)/(1+Ft!F$37*($A237-Ft!F$2)^2)+Ft!F$6*EXP(Ft!F$38*($A237-Ft!F$2)^2)),Ft!F$3*((1-Ft!F$7)/(1+Ft!F$39*($A237-Ft!F$2)^2)+Ft!F$7*EXP(Ft!F$40*($A237-Ft!F$2)^2)))</f>
        <v>2.4527633443333225E-59</v>
      </c>
      <c r="K237" s="3">
        <f>IF(($A237-Ft!G$2)&lt;0,Ft!G$3*((1-Ft!G$6)/(1+Ft!G$37*($A237-Ft!G$2)^2)+Ft!G$6*EXP(Ft!G$38*($A237-Ft!G$2)^2)),Ft!G$3*((1-Ft!G$7)/(1+Ft!G$39*($A237-Ft!G$2)^2)+Ft!G$7*EXP(Ft!G$40*($A237-Ft!G$2)^2)))</f>
        <v>0</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v>472</v>
      </c>
      <c r="B238">
        <v>19.26702812091699</v>
      </c>
      <c r="C238" s="6">
        <f t="shared" si="7"/>
        <v>19.2854967079696</v>
      </c>
      <c r="D238" s="19">
        <f t="shared" si="8"/>
        <v>3.4108870771981762E-4</v>
      </c>
      <c r="E238" s="3">
        <f>Ft!$B$12+Ft!$B$14*(Data!A238-Vars!$B$3)</f>
        <v>0</v>
      </c>
      <c r="F238" s="3">
        <f>IF(($A238-Ft!B$2)&lt;0,Ft!B$3*((1-Ft!B$6)/(1+Ft!B$37*($A238-Ft!B$2)^2)+Ft!B$6*EXP(Ft!B$38*($A238-Ft!B$2)^2)),Ft!B$3*((1-Ft!B$7)/(1+Ft!B$39*($A238-Ft!B$2)^2)+Ft!B$7*EXP(Ft!B$40*($A238-Ft!B$2)^2)))</f>
        <v>2.0580549305734929E-99</v>
      </c>
      <c r="G238" s="3">
        <f>IF(($A238-Ft!C$2)&lt;0,Ft!C$3*((1-Ft!C$6)/(1+Ft!C$37*($A238-Ft!C$2)^2)+Ft!C$6*EXP(Ft!C$38*($A238-Ft!C$2)^2)),Ft!C$3*((1-Ft!C$7)/(1+Ft!C$39*($A238-Ft!C$2)^2)+Ft!C$7*EXP(Ft!C$40*($A238-Ft!C$2)^2)))</f>
        <v>1.8368150227335549E-3</v>
      </c>
      <c r="H238" s="3">
        <f>IF(($A238-Ft!D$2)&lt;0,Ft!D$3*((1-Ft!D$6)/(1+Ft!D$37*($A238-Ft!D$2)^2)+Ft!D$6*EXP(Ft!D$38*($A238-Ft!D$2)^2)),Ft!D$3*((1-Ft!D$7)/(1+Ft!D$39*($A238-Ft!D$2)^2)+Ft!D$7*EXP(Ft!D$40*($A238-Ft!D$2)^2)))</f>
        <v>17.274800545784938</v>
      </c>
      <c r="I238" s="3">
        <f>IF(($A238-Ft!E$2)&lt;0,Ft!E$3*((1-Ft!E$6)/(1+Ft!E$37*($A238-Ft!E$2)^2)+Ft!E$6*EXP(Ft!E$38*($A238-Ft!E$2)^2)),Ft!E$3*((1-Ft!E$7)/(1+Ft!E$39*($A238-Ft!E$2)^2)+Ft!E$7*EXP(Ft!E$40*($A238-Ft!E$2)^2)))</f>
        <v>2.0088593471619283</v>
      </c>
      <c r="J238" s="3">
        <f>IF(($A238-Ft!F$2)&lt;0,Ft!F$3*((1-Ft!F$6)/(1+Ft!F$37*($A238-Ft!F$2)^2)+Ft!F$6*EXP(Ft!F$38*($A238-Ft!F$2)^2)),Ft!F$3*((1-Ft!F$7)/(1+Ft!F$39*($A238-Ft!F$2)^2)+Ft!F$7*EXP(Ft!F$40*($A238-Ft!F$2)^2)))</f>
        <v>6.4925891978348724E-59</v>
      </c>
      <c r="K238" s="3">
        <f>IF(($A238-Ft!G$2)&lt;0,Ft!G$3*((1-Ft!G$6)/(1+Ft!G$37*($A238-Ft!G$2)^2)+Ft!G$6*EXP(Ft!G$38*($A238-Ft!G$2)^2)),Ft!G$3*((1-Ft!G$7)/(1+Ft!G$39*($A238-Ft!G$2)^2)+Ft!G$7*EXP(Ft!G$40*($A238-Ft!G$2)^2)))</f>
        <v>0</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v>474</v>
      </c>
      <c r="B239">
        <v>19.268249221822998</v>
      </c>
      <c r="C239" s="6">
        <f t="shared" si="7"/>
        <v>19.283445115210011</v>
      </c>
      <c r="D239" s="19">
        <f t="shared" si="8"/>
        <v>2.309151758294551E-4</v>
      </c>
      <c r="E239" s="3">
        <f>Ft!$B$12+Ft!$B$14*(Data!A239-Vars!$B$3)</f>
        <v>0</v>
      </c>
      <c r="F239" s="3">
        <f>IF(($A239-Ft!B$2)&lt;0,Ft!B$3*((1-Ft!B$6)/(1+Ft!B$37*($A239-Ft!B$2)^2)+Ft!B$6*EXP(Ft!B$38*($A239-Ft!B$2)^2)),Ft!B$3*((1-Ft!B$7)/(1+Ft!B$39*($A239-Ft!B$2)^2)+Ft!B$7*EXP(Ft!B$40*($A239-Ft!B$2)^2)))</f>
        <v>2.4038962336660578E-100</v>
      </c>
      <c r="G239" s="3">
        <f>IF(($A239-Ft!C$2)&lt;0,Ft!C$3*((1-Ft!C$6)/(1+Ft!C$37*($A239-Ft!C$2)^2)+Ft!C$6*EXP(Ft!C$38*($A239-Ft!C$2)^2)),Ft!C$3*((1-Ft!C$7)/(1+Ft!C$39*($A239-Ft!C$2)^2)+Ft!C$7*EXP(Ft!C$40*($A239-Ft!C$2)^2)))</f>
        <v>1.6562655988229579E-3</v>
      </c>
      <c r="H239" s="3">
        <f>IF(($A239-Ft!D$2)&lt;0,Ft!D$3*((1-Ft!D$6)/(1+Ft!D$37*($A239-Ft!D$2)^2)+Ft!D$6*EXP(Ft!D$38*($A239-Ft!D$2)^2)),Ft!D$3*((1-Ft!D$7)/(1+Ft!D$39*($A239-Ft!D$2)^2)+Ft!D$7*EXP(Ft!D$40*($A239-Ft!D$2)^2)))</f>
        <v>17.22348752115553</v>
      </c>
      <c r="I239" s="3">
        <f>IF(($A239-Ft!E$2)&lt;0,Ft!E$3*((1-Ft!E$6)/(1+Ft!E$37*($A239-Ft!E$2)^2)+Ft!E$6*EXP(Ft!E$38*($A239-Ft!E$2)^2)),Ft!E$3*((1-Ft!E$7)/(1+Ft!E$39*($A239-Ft!E$2)^2)+Ft!E$7*EXP(Ft!E$40*($A239-Ft!E$2)^2)))</f>
        <v>2.0583013284556606</v>
      </c>
      <c r="J239" s="3">
        <f>IF(($A239-Ft!F$2)&lt;0,Ft!F$3*((1-Ft!F$6)/(1+Ft!F$37*($A239-Ft!F$2)^2)+Ft!F$6*EXP(Ft!F$38*($A239-Ft!F$2)^2)),Ft!F$3*((1-Ft!F$7)/(1+Ft!F$39*($A239-Ft!F$2)^2)+Ft!F$7*EXP(Ft!F$40*($A239-Ft!F$2)^2)))</f>
        <v>1.7126609059144435E-58</v>
      </c>
      <c r="K239" s="3">
        <f>IF(($A239-Ft!G$2)&lt;0,Ft!G$3*((1-Ft!G$6)/(1+Ft!G$37*($A239-Ft!G$2)^2)+Ft!G$6*EXP(Ft!G$38*($A239-Ft!G$2)^2)),Ft!G$3*((1-Ft!G$7)/(1+Ft!G$39*($A239-Ft!G$2)^2)+Ft!G$7*EXP(Ft!G$40*($A239-Ft!G$2)^2)))</f>
        <v>0</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v>476</v>
      </c>
      <c r="B240">
        <v>19.268164939939993</v>
      </c>
      <c r="C240" s="6">
        <f t="shared" si="7"/>
        <v>19.279559329933427</v>
      </c>
      <c r="D240" s="19">
        <f t="shared" si="8"/>
        <v>1.2983212332247154E-4</v>
      </c>
      <c r="E240" s="3">
        <f>Ft!$B$12+Ft!$B$14*(Data!A240-Vars!$B$3)</f>
        <v>0</v>
      </c>
      <c r="F240" s="3">
        <f>IF(($A240-Ft!B$2)&lt;0,Ft!B$3*((1-Ft!B$6)/(1+Ft!B$37*($A240-Ft!B$2)^2)+Ft!B$6*EXP(Ft!B$38*($A240-Ft!B$2)^2)),Ft!B$3*((1-Ft!B$7)/(1+Ft!B$39*($A240-Ft!B$2)^2)+Ft!B$7*EXP(Ft!B$40*($A240-Ft!B$2)^2)))</f>
        <v>2.7797847542080407E-101</v>
      </c>
      <c r="G240" s="3">
        <f>IF(($A240-Ft!C$2)&lt;0,Ft!C$3*((1-Ft!C$6)/(1+Ft!C$37*($A240-Ft!C$2)^2)+Ft!C$6*EXP(Ft!C$38*($A240-Ft!C$2)^2)),Ft!C$3*((1-Ft!C$7)/(1+Ft!C$39*($A240-Ft!C$2)^2)+Ft!C$7*EXP(Ft!C$40*($A240-Ft!C$2)^2)))</f>
        <v>1.4925350193338226E-3</v>
      </c>
      <c r="H240" s="3">
        <f>IF(($A240-Ft!D$2)&lt;0,Ft!D$3*((1-Ft!D$6)/(1+Ft!D$37*($A240-Ft!D$2)^2)+Ft!D$6*EXP(Ft!D$38*($A240-Ft!D$2)^2)),Ft!D$3*((1-Ft!D$7)/(1+Ft!D$39*($A240-Ft!D$2)^2)+Ft!D$7*EXP(Ft!D$40*($A240-Ft!D$2)^2)))</f>
        <v>17.169405553829691</v>
      </c>
      <c r="I240" s="3">
        <f>IF(($A240-Ft!E$2)&lt;0,Ft!E$3*((1-Ft!E$6)/(1+Ft!E$37*($A240-Ft!E$2)^2)+Ft!E$6*EXP(Ft!E$38*($A240-Ft!E$2)^2)),Ft!E$3*((1-Ft!E$7)/(1+Ft!E$39*($A240-Ft!E$2)^2)+Ft!E$7*EXP(Ft!E$40*($A240-Ft!E$2)^2)))</f>
        <v>2.108661241084401</v>
      </c>
      <c r="J240" s="3">
        <f>IF(($A240-Ft!F$2)&lt;0,Ft!F$3*((1-Ft!F$6)/(1+Ft!F$37*($A240-Ft!F$2)^2)+Ft!F$6*EXP(Ft!F$38*($A240-Ft!F$2)^2)),Ft!F$3*((1-Ft!F$7)/(1+Ft!F$39*($A240-Ft!F$2)^2)+Ft!F$7*EXP(Ft!F$40*($A240-Ft!F$2)^2)))</f>
        <v>4.5021092114522624E-58</v>
      </c>
      <c r="K240" s="3">
        <f>IF(($A240-Ft!G$2)&lt;0,Ft!G$3*((1-Ft!G$6)/(1+Ft!G$37*($A240-Ft!G$2)^2)+Ft!G$6*EXP(Ft!G$38*($A240-Ft!G$2)^2)),Ft!G$3*((1-Ft!G$7)/(1+Ft!G$39*($A240-Ft!G$2)^2)+Ft!G$7*EXP(Ft!G$40*($A240-Ft!G$2)^2)))</f>
        <v>0</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v>478</v>
      </c>
      <c r="B241">
        <v>19.266711739442997</v>
      </c>
      <c r="C241" s="6">
        <f t="shared" si="7"/>
        <v>19.27387295716116</v>
      </c>
      <c r="D241" s="19">
        <f t="shared" si="8"/>
        <v>5.1283039206938426E-5</v>
      </c>
      <c r="E241" s="3">
        <f>Ft!$B$12+Ft!$B$14*(Data!A241-Vars!$B$3)</f>
        <v>0</v>
      </c>
      <c r="F241" s="3">
        <f>IF(($A241-Ft!B$2)&lt;0,Ft!B$3*((1-Ft!B$6)/(1+Ft!B$37*($A241-Ft!B$2)^2)+Ft!B$6*EXP(Ft!B$38*($A241-Ft!B$2)^2)),Ft!B$3*((1-Ft!B$7)/(1+Ft!B$39*($A241-Ft!B$2)^2)+Ft!B$7*EXP(Ft!B$40*($A241-Ft!B$2)^2)))</f>
        <v>3.1823161083808461E-102</v>
      </c>
      <c r="G241" s="3">
        <f>IF(($A241-Ft!C$2)&lt;0,Ft!C$3*((1-Ft!C$6)/(1+Ft!C$37*($A241-Ft!C$2)^2)+Ft!C$6*EXP(Ft!C$38*($A241-Ft!C$2)^2)),Ft!C$3*((1-Ft!C$7)/(1+Ft!C$39*($A241-Ft!C$2)^2)+Ft!C$7*EXP(Ft!C$40*($A241-Ft!C$2)^2)))</f>
        <v>1.3441541196908345E-3</v>
      </c>
      <c r="H241" s="3">
        <f>IF(($A241-Ft!D$2)&lt;0,Ft!D$3*((1-Ft!D$6)/(1+Ft!D$37*($A241-Ft!D$2)^2)+Ft!D$6*EXP(Ft!D$38*($A241-Ft!D$2)^2)),Ft!D$3*((1-Ft!D$7)/(1+Ft!D$39*($A241-Ft!D$2)^2)+Ft!D$7*EXP(Ft!D$40*($A241-Ft!D$2)^2)))</f>
        <v>17.11258171032242</v>
      </c>
      <c r="I241" s="3">
        <f>IF(($A241-Ft!E$2)&lt;0,Ft!E$3*((1-Ft!E$6)/(1+Ft!E$37*($A241-Ft!E$2)^2)+Ft!E$6*EXP(Ft!E$38*($A241-Ft!E$2)^2)),Ft!E$3*((1-Ft!E$7)/(1+Ft!E$39*($A241-Ft!E$2)^2)+Ft!E$7*EXP(Ft!E$40*($A241-Ft!E$2)^2)))</f>
        <v>2.1599470927190487</v>
      </c>
      <c r="J241" s="3">
        <f>IF(($A241-Ft!F$2)&lt;0,Ft!F$3*((1-Ft!F$6)/(1+Ft!F$37*($A241-Ft!F$2)^2)+Ft!F$6*EXP(Ft!F$38*($A241-Ft!F$2)^2)),Ft!F$3*((1-Ft!F$7)/(1+Ft!F$39*($A241-Ft!F$2)^2)+Ft!F$7*EXP(Ft!F$40*($A241-Ft!F$2)^2)))</f>
        <v>1.1793748143590646E-57</v>
      </c>
      <c r="K241" s="3">
        <f>IF(($A241-Ft!G$2)&lt;0,Ft!G$3*((1-Ft!G$6)/(1+Ft!G$37*($A241-Ft!G$2)^2)+Ft!G$6*EXP(Ft!G$38*($A241-Ft!G$2)^2)),Ft!G$3*((1-Ft!G$7)/(1+Ft!G$39*($A241-Ft!G$2)^2)+Ft!G$7*EXP(Ft!G$40*($A241-Ft!G$2)^2)))</f>
        <v>0</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v>480</v>
      </c>
      <c r="B242">
        <v>19.263826084507002</v>
      </c>
      <c r="C242" s="6">
        <f t="shared" si="7"/>
        <v>19.266420826967178</v>
      </c>
      <c r="D242" s="19">
        <f t="shared" si="8"/>
        <v>6.7326884346367004E-6</v>
      </c>
      <c r="E242" s="3">
        <f>Ft!$B$12+Ft!$B$14*(Data!A242-Vars!$B$3)</f>
        <v>0</v>
      </c>
      <c r="F242" s="3">
        <f>IF(($A242-Ft!B$2)&lt;0,Ft!B$3*((1-Ft!B$6)/(1+Ft!B$37*($A242-Ft!B$2)^2)+Ft!B$6*EXP(Ft!B$38*($A242-Ft!B$2)^2)),Ft!B$3*((1-Ft!B$7)/(1+Ft!B$39*($A242-Ft!B$2)^2)+Ft!B$7*EXP(Ft!B$40*($A242-Ft!B$2)^2)))</f>
        <v>3.6067177930955799E-103</v>
      </c>
      <c r="G242" s="3">
        <f>IF(($A242-Ft!C$2)&lt;0,Ft!C$3*((1-Ft!C$6)/(1+Ft!C$37*($A242-Ft!C$2)^2)+Ft!C$6*EXP(Ft!C$38*($A242-Ft!C$2)^2)),Ft!C$3*((1-Ft!C$7)/(1+Ft!C$39*($A242-Ft!C$2)^2)+Ft!C$7*EXP(Ft!C$40*($A242-Ft!C$2)^2)))</f>
        <v>1.209772183718175E-3</v>
      </c>
      <c r="H242" s="3">
        <f>IF(($A242-Ft!D$2)&lt;0,Ft!D$3*((1-Ft!D$6)/(1+Ft!D$37*($A242-Ft!D$2)^2)+Ft!D$6*EXP(Ft!D$38*($A242-Ft!D$2)^2)),Ft!D$3*((1-Ft!D$7)/(1+Ft!D$39*($A242-Ft!D$2)^2)+Ft!D$7*EXP(Ft!D$40*($A242-Ft!D$2)^2)))</f>
        <v>17.053044366937897</v>
      </c>
      <c r="I242" s="3">
        <f>IF(($A242-Ft!E$2)&lt;0,Ft!E$3*((1-Ft!E$6)/(1+Ft!E$37*($A242-Ft!E$2)^2)+Ft!E$6*EXP(Ft!E$38*($A242-Ft!E$2)^2)),Ft!E$3*((1-Ft!E$7)/(1+Ft!E$39*($A242-Ft!E$2)^2)+Ft!E$7*EXP(Ft!E$40*($A242-Ft!E$2)^2)))</f>
        <v>2.2121666878455652</v>
      </c>
      <c r="J242" s="3">
        <f>IF(($A242-Ft!F$2)&lt;0,Ft!F$3*((1-Ft!F$6)/(1+Ft!F$37*($A242-Ft!F$2)^2)+Ft!F$6*EXP(Ft!F$38*($A242-Ft!F$2)^2)),Ft!F$3*((1-Ft!F$7)/(1+Ft!F$39*($A242-Ft!F$2)^2)+Ft!F$7*EXP(Ft!F$40*($A242-Ft!F$2)^2)))</f>
        <v>3.0787814011810559E-57</v>
      </c>
      <c r="K242" s="3">
        <f>IF(($A242-Ft!G$2)&lt;0,Ft!G$3*((1-Ft!G$6)/(1+Ft!G$37*($A242-Ft!G$2)^2)+Ft!G$6*EXP(Ft!G$38*($A242-Ft!G$2)^2)),Ft!G$3*((1-Ft!G$7)/(1+Ft!G$39*($A242-Ft!G$2)^2)+Ft!G$7*EXP(Ft!G$40*($A242-Ft!G$2)^2)))</f>
        <v>0</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v>482</v>
      </c>
      <c r="B243">
        <v>19.259444439307998</v>
      </c>
      <c r="C243" s="6">
        <f t="shared" si="7"/>
        <v>19.257238952861236</v>
      </c>
      <c r="D243" s="19">
        <f t="shared" si="8"/>
        <v>4.8641704668508499E-6</v>
      </c>
      <c r="E243" s="3">
        <f>Ft!$B$12+Ft!$B$14*(Data!A243-Vars!$B$3)</f>
        <v>0</v>
      </c>
      <c r="F243" s="3">
        <f>IF(($A243-Ft!B$2)&lt;0,Ft!B$3*((1-Ft!B$6)/(1+Ft!B$37*($A243-Ft!B$2)^2)+Ft!B$6*EXP(Ft!B$38*($A243-Ft!B$2)^2)),Ft!B$3*((1-Ft!B$7)/(1+Ft!B$39*($A243-Ft!B$2)^2)+Ft!B$7*EXP(Ft!B$40*($A243-Ft!B$2)^2)))</f>
        <v>4.0468555645892996E-104</v>
      </c>
      <c r="G243" s="3">
        <f>IF(($A243-Ft!C$2)&lt;0,Ft!C$3*((1-Ft!C$6)/(1+Ft!C$37*($A243-Ft!C$2)^2)+Ft!C$6*EXP(Ft!C$38*($A243-Ft!C$2)^2)),Ft!C$3*((1-Ft!C$7)/(1+Ft!C$39*($A243-Ft!C$2)^2)+Ft!C$7*EXP(Ft!C$40*($A243-Ft!C$2)^2)))</f>
        <v>1.0881483581076997E-3</v>
      </c>
      <c r="H243" s="3">
        <f>IF(($A243-Ft!D$2)&lt;0,Ft!D$3*((1-Ft!D$6)/(1+Ft!D$37*($A243-Ft!D$2)^2)+Ft!D$6*EXP(Ft!D$38*($A243-Ft!D$2)^2)),Ft!D$3*((1-Ft!D$7)/(1+Ft!D$39*($A243-Ft!D$2)^2)+Ft!D$7*EXP(Ft!D$40*($A243-Ft!D$2)^2)))</f>
        <v>16.990823186158082</v>
      </c>
      <c r="I243" s="3">
        <f>IF(($A243-Ft!E$2)&lt;0,Ft!E$3*((1-Ft!E$6)/(1+Ft!E$37*($A243-Ft!E$2)^2)+Ft!E$6*EXP(Ft!E$38*($A243-Ft!E$2)^2)),Ft!E$3*((1-Ft!E$7)/(1+Ft!E$39*($A243-Ft!E$2)^2)+Ft!E$7*EXP(Ft!E$40*($A243-Ft!E$2)^2)))</f>
        <v>2.2653276183450477</v>
      </c>
      <c r="J243" s="3">
        <f>IF(($A243-Ft!F$2)&lt;0,Ft!F$3*((1-Ft!F$6)/(1+Ft!F$37*($A243-Ft!F$2)^2)+Ft!F$6*EXP(Ft!F$38*($A243-Ft!F$2)^2)),Ft!F$3*((1-Ft!F$7)/(1+Ft!F$39*($A243-Ft!F$2)^2)+Ft!F$7*EXP(Ft!F$40*($A243-Ft!F$2)^2)))</f>
        <v>8.0093457421149988E-57</v>
      </c>
      <c r="K243" s="3">
        <f>IF(($A243-Ft!G$2)&lt;0,Ft!G$3*((1-Ft!G$6)/(1+Ft!G$37*($A243-Ft!G$2)^2)+Ft!G$6*EXP(Ft!G$38*($A243-Ft!G$2)^2)),Ft!G$3*((1-Ft!G$7)/(1+Ft!G$39*($A243-Ft!G$2)^2)+Ft!G$7*EXP(Ft!G$40*($A243-Ft!G$2)^2)))</f>
        <v>0</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v>484</v>
      </c>
      <c r="B244">
        <v>19.253503268020992</v>
      </c>
      <c r="C244" s="6">
        <f t="shared" si="7"/>
        <v>19.246364489615836</v>
      </c>
      <c r="D244" s="19">
        <f t="shared" si="8"/>
        <v>5.0962157117930819E-5</v>
      </c>
      <c r="E244" s="3">
        <f>Ft!$B$12+Ft!$B$14*(Data!A244-Vars!$B$3)</f>
        <v>0</v>
      </c>
      <c r="F244" s="3">
        <f>IF(($A244-Ft!B$2)&lt;0,Ft!B$3*((1-Ft!B$6)/(1+Ft!B$37*($A244-Ft!B$2)^2)+Ft!B$6*EXP(Ft!B$38*($A244-Ft!B$2)^2)),Ft!B$3*((1-Ft!B$7)/(1+Ft!B$39*($A244-Ft!B$2)^2)+Ft!B$7*EXP(Ft!B$40*($A244-Ft!B$2)^2)))</f>
        <v>4.49531307166426E-105</v>
      </c>
      <c r="G244" s="3">
        <f>IF(($A244-Ft!C$2)&lt;0,Ft!C$3*((1-Ft!C$6)/(1+Ft!C$37*($A244-Ft!C$2)^2)+Ft!C$6*EXP(Ft!C$38*($A244-Ft!C$2)^2)),Ft!C$3*((1-Ft!C$7)/(1+Ft!C$39*($A244-Ft!C$2)^2)+Ft!C$7*EXP(Ft!C$40*($A244-Ft!C$2)^2)))</f>
        <v>9.7814359859506469E-4</v>
      </c>
      <c r="H244" s="3">
        <f>IF(($A244-Ft!D$2)&lt;0,Ft!D$3*((1-Ft!D$6)/(1+Ft!D$37*($A244-Ft!D$2)^2)+Ft!D$6*EXP(Ft!D$38*($A244-Ft!D$2)^2)),Ft!D$3*((1-Ft!D$7)/(1+Ft!D$39*($A244-Ft!D$2)^2)+Ft!D$7*EXP(Ft!D$40*($A244-Ft!D$2)^2)))</f>
        <v>16.925949092019369</v>
      </c>
      <c r="I244" s="3">
        <f>IF(($A244-Ft!E$2)&lt;0,Ft!E$3*((1-Ft!E$6)/(1+Ft!E$37*($A244-Ft!E$2)^2)+Ft!E$6*EXP(Ft!E$38*($A244-Ft!E$2)^2)),Ft!E$3*((1-Ft!E$7)/(1+Ft!E$39*($A244-Ft!E$2)^2)+Ft!E$7*EXP(Ft!E$40*($A244-Ft!E$2)^2)))</f>
        <v>2.3194372539978723</v>
      </c>
      <c r="J244" s="3">
        <f>IF(($A244-Ft!F$2)&lt;0,Ft!F$3*((1-Ft!F$6)/(1+Ft!F$37*($A244-Ft!F$2)^2)+Ft!F$6*EXP(Ft!F$38*($A244-Ft!F$2)^2)),Ft!F$3*((1-Ft!F$7)/(1+Ft!F$39*($A244-Ft!F$2)^2)+Ft!F$7*EXP(Ft!F$40*($A244-Ft!F$2)^2)))</f>
        <v>2.0763779599824076E-56</v>
      </c>
      <c r="K244" s="3">
        <f>IF(($A244-Ft!G$2)&lt;0,Ft!G$3*((1-Ft!G$6)/(1+Ft!G$37*($A244-Ft!G$2)^2)+Ft!G$6*EXP(Ft!G$38*($A244-Ft!G$2)^2)),Ft!G$3*((1-Ft!G$7)/(1+Ft!G$39*($A244-Ft!G$2)^2)+Ft!G$7*EXP(Ft!G$40*($A244-Ft!G$2)^2)))</f>
        <v>0</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v>486</v>
      </c>
      <c r="B245">
        <v>19.245939034822001</v>
      </c>
      <c r="C245" s="6">
        <f t="shared" si="7"/>
        <v>19.233835690547359</v>
      </c>
      <c r="D245" s="19">
        <f t="shared" si="8"/>
        <v>1.4649094263051714E-4</v>
      </c>
      <c r="E245" s="3">
        <f>Ft!$B$12+Ft!$B$14*(Data!A245-Vars!$B$3)</f>
        <v>0</v>
      </c>
      <c r="F245" s="3">
        <f>IF(($A245-Ft!B$2)&lt;0,Ft!B$3*((1-Ft!B$6)/(1+Ft!B$37*($A245-Ft!B$2)^2)+Ft!B$6*EXP(Ft!B$38*($A245-Ft!B$2)^2)),Ft!B$3*((1-Ft!B$7)/(1+Ft!B$39*($A245-Ft!B$2)^2)+Ft!B$7*EXP(Ft!B$40*($A245-Ft!B$2)^2)))</f>
        <v>4.9435494039169234E-106</v>
      </c>
      <c r="G245" s="3">
        <f>IF(($A245-Ft!C$2)&lt;0,Ft!C$3*((1-Ft!C$6)/(1+Ft!C$37*($A245-Ft!C$2)^2)+Ft!C$6*EXP(Ft!C$38*($A245-Ft!C$2)^2)),Ft!C$3*((1-Ft!C$7)/(1+Ft!C$39*($A245-Ft!C$2)^2)+Ft!C$7*EXP(Ft!C$40*($A245-Ft!C$2)^2)))</f>
        <v>8.7871312319847501E-4</v>
      </c>
      <c r="H245" s="3">
        <f>IF(($A245-Ft!D$2)&lt;0,Ft!D$3*((1-Ft!D$6)/(1+Ft!D$37*($A245-Ft!D$2)^2)+Ft!D$6*EXP(Ft!D$38*($A245-Ft!D$2)^2)),Ft!D$3*((1-Ft!D$7)/(1+Ft!D$39*($A245-Ft!D$2)^2)+Ft!D$7*EXP(Ft!D$40*($A245-Ft!D$2)^2)))</f>
        <v>16.8584542445059</v>
      </c>
      <c r="I245" s="3">
        <f>IF(($A245-Ft!E$2)&lt;0,Ft!E$3*((1-Ft!E$6)/(1+Ft!E$37*($A245-Ft!E$2)^2)+Ft!E$6*EXP(Ft!E$38*($A245-Ft!E$2)^2)),Ft!E$3*((1-Ft!E$7)/(1+Ft!E$39*($A245-Ft!E$2)^2)+Ft!E$7*EXP(Ft!E$40*($A245-Ft!E$2)^2)))</f>
        <v>2.3745027329182582</v>
      </c>
      <c r="J245" s="3">
        <f>IF(($A245-Ft!F$2)&lt;0,Ft!F$3*((1-Ft!F$6)/(1+Ft!F$37*($A245-Ft!F$2)^2)+Ft!F$6*EXP(Ft!F$38*($A245-Ft!F$2)^2)),Ft!F$3*((1-Ft!F$7)/(1+Ft!F$39*($A245-Ft!F$2)^2)+Ft!F$7*EXP(Ft!F$40*($A245-Ft!F$2)^2)))</f>
        <v>5.3642246952306063E-56</v>
      </c>
      <c r="K245" s="3">
        <f>IF(($A245-Ft!G$2)&lt;0,Ft!G$3*((1-Ft!G$6)/(1+Ft!G$37*($A245-Ft!G$2)^2)+Ft!G$6*EXP(Ft!G$38*($A245-Ft!G$2)^2)),Ft!G$3*((1-Ft!G$7)/(1+Ft!G$39*($A245-Ft!G$2)^2)+Ft!G$7*EXP(Ft!G$40*($A245-Ft!G$2)^2)))</f>
        <v>0</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v>488</v>
      </c>
      <c r="B246">
        <v>19.236688203886999</v>
      </c>
      <c r="C246" s="6">
        <f t="shared" si="7"/>
        <v>19.219691864263282</v>
      </c>
      <c r="D246" s="19">
        <f t="shared" si="8"/>
        <v>2.8887556060471533E-4</v>
      </c>
      <c r="E246" s="3">
        <f>Ft!$B$12+Ft!$B$14*(Data!A246-Vars!$B$3)</f>
        <v>0</v>
      </c>
      <c r="F246" s="3">
        <f>IF(($A246-Ft!B$2)&lt;0,Ft!B$3*((1-Ft!B$6)/(1+Ft!B$37*($A246-Ft!B$2)^2)+Ft!B$6*EXP(Ft!B$38*($A246-Ft!B$2)^2)),Ft!B$3*((1-Ft!B$7)/(1+Ft!B$39*($A246-Ft!B$2)^2)+Ft!B$7*EXP(Ft!B$40*($A246-Ft!B$2)^2)))</f>
        <v>5.3821340586950013E-107</v>
      </c>
      <c r="G246" s="3">
        <f>IF(($A246-Ft!C$2)&lt;0,Ft!C$3*((1-Ft!C$6)/(1+Ft!C$37*($A246-Ft!C$2)^2)+Ft!C$6*EXP(Ft!C$38*($A246-Ft!C$2)^2)),Ft!C$3*((1-Ft!C$7)/(1+Ft!C$39*($A246-Ft!C$2)^2)+Ft!C$7*EXP(Ft!C$40*($A246-Ft!C$2)^2)))</f>
        <v>7.8889934825207716E-4</v>
      </c>
      <c r="H246" s="3">
        <f>IF(($A246-Ft!D$2)&lt;0,Ft!D$3*((1-Ft!D$6)/(1+Ft!D$37*($A246-Ft!D$2)^2)+Ft!D$6*EXP(Ft!D$38*($A246-Ft!D$2)^2)),Ft!D$3*((1-Ft!D$7)/(1+Ft!D$39*($A246-Ft!D$2)^2)+Ft!D$7*EXP(Ft!D$40*($A246-Ft!D$2)^2)))</f>
        <v>16.788372012989221</v>
      </c>
      <c r="I246" s="3">
        <f>IF(($A246-Ft!E$2)&lt;0,Ft!E$3*((1-Ft!E$6)/(1+Ft!E$37*($A246-Ft!E$2)^2)+Ft!E$6*EXP(Ft!E$38*($A246-Ft!E$2)^2)),Ft!E$3*((1-Ft!E$7)/(1+Ft!E$39*($A246-Ft!E$2)^2)+Ft!E$7*EXP(Ft!E$40*($A246-Ft!E$2)^2)))</f>
        <v>2.4305309519258089</v>
      </c>
      <c r="J246" s="3">
        <f>IF(($A246-Ft!F$2)&lt;0,Ft!F$3*((1-Ft!F$6)/(1+Ft!F$37*($A246-Ft!F$2)^2)+Ft!F$6*EXP(Ft!F$38*($A246-Ft!F$2)^2)),Ft!F$3*((1-Ft!F$7)/(1+Ft!F$39*($A246-Ft!F$2)^2)+Ft!F$7*EXP(Ft!F$40*($A246-Ft!F$2)^2)))</f>
        <v>1.3810159480878102E-55</v>
      </c>
      <c r="K246" s="3">
        <f>IF(($A246-Ft!G$2)&lt;0,Ft!G$3*((1-Ft!G$6)/(1+Ft!G$37*($A246-Ft!G$2)^2)+Ft!G$6*EXP(Ft!G$38*($A246-Ft!G$2)^2)),Ft!G$3*((1-Ft!G$7)/(1+Ft!G$39*($A246-Ft!G$2)^2)+Ft!G$7*EXP(Ft!G$40*($A246-Ft!G$2)^2)))</f>
        <v>0</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v>490</v>
      </c>
      <c r="B247">
        <v>19.225006533794001</v>
      </c>
      <c r="C247" s="6">
        <f t="shared" si="7"/>
        <v>19.20397333088918</v>
      </c>
      <c r="D247" s="19">
        <f t="shared" si="8"/>
        <v>4.4239562443537157E-4</v>
      </c>
      <c r="E247" s="3">
        <f>Ft!$B$12+Ft!$B$14*(Data!A247-Vars!$B$3)</f>
        <v>0</v>
      </c>
      <c r="F247" s="3">
        <f>IF(($A247-Ft!B$2)&lt;0,Ft!B$3*((1-Ft!B$6)/(1+Ft!B$37*($A247-Ft!B$2)^2)+Ft!B$6*EXP(Ft!B$38*($A247-Ft!B$2)^2)),Ft!B$3*((1-Ft!B$7)/(1+Ft!B$39*($A247-Ft!B$2)^2)+Ft!B$7*EXP(Ft!B$40*($A247-Ft!B$2)^2)))</f>
        <v>5.8010530907274933E-108</v>
      </c>
      <c r="G247" s="3">
        <f>IF(($A247-Ft!C$2)&lt;0,Ft!C$3*((1-Ft!C$6)/(1+Ft!C$37*($A247-Ft!C$2)^2)+Ft!C$6*EXP(Ft!C$38*($A247-Ft!C$2)^2)),Ft!C$3*((1-Ft!C$7)/(1+Ft!C$39*($A247-Ft!C$2)^2)+Ft!C$7*EXP(Ft!C$40*($A247-Ft!C$2)^2)))</f>
        <v>7.0782528341987582E-4</v>
      </c>
      <c r="H247" s="3">
        <f>IF(($A247-Ft!D$2)&lt;0,Ft!D$3*((1-Ft!D$6)/(1+Ft!D$37*($A247-Ft!D$2)^2)+Ft!D$6*EXP(Ft!D$38*($A247-Ft!D$2)^2)),Ft!D$3*((1-Ft!D$7)/(1+Ft!D$39*($A247-Ft!D$2)^2)+Ft!D$7*EXP(Ft!D$40*($A247-Ft!D$2)^2)))</f>
        <v>16.715736948744958</v>
      </c>
      <c r="I247" s="3">
        <f>IF(($A247-Ft!E$2)&lt;0,Ft!E$3*((1-Ft!E$6)/(1+Ft!E$37*($A247-Ft!E$2)^2)+Ft!E$6*EXP(Ft!E$38*($A247-Ft!E$2)^2)),Ft!E$3*((1-Ft!E$7)/(1+Ft!E$39*($A247-Ft!E$2)^2)+Ft!E$7*EXP(Ft!E$40*($A247-Ft!E$2)^2)))</f>
        <v>2.4875285568608025</v>
      </c>
      <c r="J247" s="3">
        <f>IF(($A247-Ft!F$2)&lt;0,Ft!F$3*((1-Ft!F$6)/(1+Ft!F$37*($A247-Ft!F$2)^2)+Ft!F$6*EXP(Ft!F$38*($A247-Ft!F$2)^2)),Ft!F$3*((1-Ft!F$7)/(1+Ft!F$39*($A247-Ft!F$2)^2)+Ft!F$7*EXP(Ft!F$40*($A247-Ft!F$2)^2)))</f>
        <v>3.5430853027151E-55</v>
      </c>
      <c r="K247" s="3">
        <f>IF(($A247-Ft!G$2)&lt;0,Ft!G$3*((1-Ft!G$6)/(1+Ft!G$37*($A247-Ft!G$2)^2)+Ft!G$6*EXP(Ft!G$38*($A247-Ft!G$2)^2)),Ft!G$3*((1-Ft!G$7)/(1+Ft!G$39*($A247-Ft!G$2)^2)+Ft!G$7*EXP(Ft!G$40*($A247-Ft!G$2)^2)))</f>
        <v>0</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v>492</v>
      </c>
      <c r="B248">
        <v>19.207366143632996</v>
      </c>
      <c r="C248" s="6">
        <f t="shared" si="7"/>
        <v>19.186721377790832</v>
      </c>
      <c r="D248" s="19">
        <f t="shared" si="8"/>
        <v>4.2620635667777287E-4</v>
      </c>
      <c r="E248" s="3">
        <f>Ft!$B$12+Ft!$B$14*(Data!A248-Vars!$B$3)</f>
        <v>0</v>
      </c>
      <c r="F248" s="3">
        <f>IF(($A248-Ft!B$2)&lt;0,Ft!B$3*((1-Ft!B$6)/(1+Ft!B$37*($A248-Ft!B$2)^2)+Ft!B$6*EXP(Ft!B$38*($A248-Ft!B$2)^2)),Ft!B$3*((1-Ft!B$7)/(1+Ft!B$39*($A248-Ft!B$2)^2)+Ft!B$7*EXP(Ft!B$40*($A248-Ft!B$2)^2)))</f>
        <v>6.1900743578901144E-109</v>
      </c>
      <c r="G248" s="3">
        <f>IF(($A248-Ft!C$2)&lt;0,Ft!C$3*((1-Ft!C$6)/(1+Ft!C$37*($A248-Ft!C$2)^2)+Ft!C$6*EXP(Ft!C$38*($A248-Ft!C$2)^2)),Ft!C$3*((1-Ft!C$7)/(1+Ft!C$39*($A248-Ft!C$2)^2)+Ft!C$7*EXP(Ft!C$40*($A248-Ft!C$2)^2)))</f>
        <v>6.3468836239632812E-4</v>
      </c>
      <c r="H248" s="3">
        <f>IF(($A248-Ft!D$2)&lt;0,Ft!D$3*((1-Ft!D$6)/(1+Ft!D$37*($A248-Ft!D$2)^2)+Ft!D$6*EXP(Ft!D$38*($A248-Ft!D$2)^2)),Ft!D$3*((1-Ft!D$7)/(1+Ft!D$39*($A248-Ft!D$2)^2)+Ft!D$7*EXP(Ft!D$40*($A248-Ft!D$2)^2)))</f>
        <v>16.640584756578193</v>
      </c>
      <c r="I248" s="3">
        <f>IF(($A248-Ft!E$2)&lt;0,Ft!E$3*((1-Ft!E$6)/(1+Ft!E$37*($A248-Ft!E$2)^2)+Ft!E$6*EXP(Ft!E$38*($A248-Ft!E$2)^2)),Ft!E$3*((1-Ft!E$7)/(1+Ft!E$39*($A248-Ft!E$2)^2)+Ft!E$7*EXP(Ft!E$40*($A248-Ft!E$2)^2)))</f>
        <v>2.5455019328502448</v>
      </c>
      <c r="J248" s="3">
        <f>IF(($A248-Ft!F$2)&lt;0,Ft!F$3*((1-Ft!F$6)/(1+Ft!F$37*($A248-Ft!F$2)^2)+Ft!F$6*EXP(Ft!F$38*($A248-Ft!F$2)^2)),Ft!F$3*((1-Ft!F$7)/(1+Ft!F$39*($A248-Ft!F$2)^2)+Ft!F$7*EXP(Ft!F$40*($A248-Ft!F$2)^2)))</f>
        <v>9.0584878242829989E-55</v>
      </c>
      <c r="K248" s="3">
        <f>IF(($A248-Ft!G$2)&lt;0,Ft!G$3*((1-Ft!G$6)/(1+Ft!G$37*($A248-Ft!G$2)^2)+Ft!G$6*EXP(Ft!G$38*($A248-Ft!G$2)^2)),Ft!G$3*((1-Ft!G$7)/(1+Ft!G$39*($A248-Ft!G$2)^2)+Ft!G$7*EXP(Ft!G$40*($A248-Ft!G$2)^2)))</f>
        <v>0</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v>494</v>
      </c>
      <c r="B249">
        <v>19.184606951437999</v>
      </c>
      <c r="C249" s="6">
        <f t="shared" si="7"/>
        <v>19.16797821480862</v>
      </c>
      <c r="D249" s="19">
        <f t="shared" si="8"/>
        <v>2.7651488188924067E-4</v>
      </c>
      <c r="E249" s="3">
        <f>Ft!$B$12+Ft!$B$14*(Data!A249-Vars!$B$3)</f>
        <v>0</v>
      </c>
      <c r="F249" s="3">
        <f>IF(($A249-Ft!B$2)&lt;0,Ft!B$3*((1-Ft!B$6)/(1+Ft!B$37*($A249-Ft!B$2)^2)+Ft!B$6*EXP(Ft!B$38*($A249-Ft!B$2)^2)),Ft!B$3*((1-Ft!B$7)/(1+Ft!B$39*($A249-Ft!B$2)^2)+Ft!B$7*EXP(Ft!B$40*($A249-Ft!B$2)^2)))</f>
        <v>6.5391543512409649E-110</v>
      </c>
      <c r="G249" s="3">
        <f>IF(($A249-Ft!C$2)&lt;0,Ft!C$3*((1-Ft!C$6)/(1+Ft!C$37*($A249-Ft!C$2)^2)+Ft!C$6*EXP(Ft!C$38*($A249-Ft!C$2)^2)),Ft!C$3*((1-Ft!C$7)/(1+Ft!C$39*($A249-Ft!C$2)^2)+Ft!C$7*EXP(Ft!C$40*($A249-Ft!C$2)^2)))</f>
        <v>5.6875468657689829E-4</v>
      </c>
      <c r="H249" s="3">
        <f>IF(($A249-Ft!D$2)&lt;0,Ft!D$3*((1-Ft!D$6)/(1+Ft!D$37*($A249-Ft!D$2)^2)+Ft!D$6*EXP(Ft!D$38*($A249-Ft!D$2)^2)),Ft!D$3*((1-Ft!D$7)/(1+Ft!D$39*($A249-Ft!D$2)^2)+Ft!D$7*EXP(Ft!D$40*($A249-Ft!D$2)^2)))</f>
        <v>16.562952265590166</v>
      </c>
      <c r="I249" s="3">
        <f>IF(($A249-Ft!E$2)&lt;0,Ft!E$3*((1-Ft!E$6)/(1+Ft!E$37*($A249-Ft!E$2)^2)+Ft!E$6*EXP(Ft!E$38*($A249-Ft!E$2)^2)),Ft!E$3*((1-Ft!E$7)/(1+Ft!E$39*($A249-Ft!E$2)^2)+Ft!E$7*EXP(Ft!E$40*($A249-Ft!E$2)^2)))</f>
        <v>2.6044571945318773</v>
      </c>
      <c r="J249" s="3">
        <f>IF(($A249-Ft!F$2)&lt;0,Ft!F$3*((1-Ft!F$6)/(1+Ft!F$37*($A249-Ft!F$2)^2)+Ft!F$6*EXP(Ft!F$38*($A249-Ft!F$2)^2)),Ft!F$3*((1-Ft!F$7)/(1+Ft!F$39*($A249-Ft!F$2)^2)+Ft!F$7*EXP(Ft!F$40*($A249-Ft!F$2)^2)))</f>
        <v>2.307921235925553E-54</v>
      </c>
      <c r="K249" s="3">
        <f>IF(($A249-Ft!G$2)&lt;0,Ft!G$3*((1-Ft!G$6)/(1+Ft!G$37*($A249-Ft!G$2)^2)+Ft!G$6*EXP(Ft!G$38*($A249-Ft!G$2)^2)),Ft!G$3*((1-Ft!G$7)/(1+Ft!G$39*($A249-Ft!G$2)^2)+Ft!G$7*EXP(Ft!G$40*($A249-Ft!G$2)^2)))</f>
        <v>0</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v>496</v>
      </c>
      <c r="B250">
        <v>19.158318457335</v>
      </c>
      <c r="C250" s="6">
        <f t="shared" si="7"/>
        <v>19.147786929022946</v>
      </c>
      <c r="D250" s="19">
        <f t="shared" si="8"/>
        <v>1.1091308858759393E-4</v>
      </c>
      <c r="E250" s="3">
        <f>Ft!$B$12+Ft!$B$14*(Data!A250-Vars!$B$3)</f>
        <v>0</v>
      </c>
      <c r="F250" s="3">
        <f>IF(($A250-Ft!B$2)&lt;0,Ft!B$3*((1-Ft!B$6)/(1+Ft!B$37*($A250-Ft!B$2)^2)+Ft!B$6*EXP(Ft!B$38*($A250-Ft!B$2)^2)),Ft!B$3*((1-Ft!B$7)/(1+Ft!B$39*($A250-Ft!B$2)^2)+Ft!B$7*EXP(Ft!B$40*($A250-Ft!B$2)^2)))</f>
        <v>6.8388646421429514E-111</v>
      </c>
      <c r="G250" s="3">
        <f>IF(($A250-Ft!C$2)&lt;0,Ft!C$3*((1-Ft!C$6)/(1+Ft!C$37*($A250-Ft!C$2)^2)+Ft!C$6*EXP(Ft!C$38*($A250-Ft!C$2)^2)),Ft!C$3*((1-Ft!C$7)/(1+Ft!C$39*($A250-Ft!C$2)^2)+Ft!C$7*EXP(Ft!C$40*($A250-Ft!C$2)^2)))</f>
        <v>5.0935365960708189E-4</v>
      </c>
      <c r="H250" s="3">
        <f>IF(($A250-Ft!D$2)&lt;0,Ft!D$3*((1-Ft!D$6)/(1+Ft!D$37*($A250-Ft!D$2)^2)+Ft!D$6*EXP(Ft!D$38*($A250-Ft!D$2)^2)),Ft!D$3*((1-Ft!D$7)/(1+Ft!D$39*($A250-Ft!D$2)^2)+Ft!D$7*EXP(Ft!D$40*($A250-Ft!D$2)^2)))</f>
        <v>16.482877399119754</v>
      </c>
      <c r="I250" s="3">
        <f>IF(($A250-Ft!E$2)&lt;0,Ft!E$3*((1-Ft!E$6)/(1+Ft!E$37*($A250-Ft!E$2)^2)+Ft!E$6*EXP(Ft!E$38*($A250-Ft!E$2)^2)),Ft!E$3*((1-Ft!E$7)/(1+Ft!E$39*($A250-Ft!E$2)^2)+Ft!E$7*EXP(Ft!E$40*($A250-Ft!E$2)^2)))</f>
        <v>2.6644001762435869</v>
      </c>
      <c r="J250" s="3">
        <f>IF(($A250-Ft!F$2)&lt;0,Ft!F$3*((1-Ft!F$6)/(1+Ft!F$37*($A250-Ft!F$2)^2)+Ft!F$6*EXP(Ft!F$38*($A250-Ft!F$2)^2)),Ft!F$3*((1-Ft!F$7)/(1+Ft!F$39*($A250-Ft!F$2)^2)+Ft!F$7*EXP(Ft!F$40*($A250-Ft!F$2)^2)))</f>
        <v>5.8597278152306317E-54</v>
      </c>
      <c r="K250" s="3">
        <f>IF(($A250-Ft!G$2)&lt;0,Ft!G$3*((1-Ft!G$6)/(1+Ft!G$37*($A250-Ft!G$2)^2)+Ft!G$6*EXP(Ft!G$38*($A250-Ft!G$2)^2)),Ft!G$3*((1-Ft!G$7)/(1+Ft!G$39*($A250-Ft!G$2)^2)+Ft!G$7*EXP(Ft!G$40*($A250-Ft!G$2)^2)))</f>
        <v>0</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v>498</v>
      </c>
      <c r="B251">
        <v>19.130090161451989</v>
      </c>
      <c r="C251" s="6">
        <f t="shared" si="7"/>
        <v>19.126191439071281</v>
      </c>
      <c r="D251" s="19">
        <f t="shared" si="8"/>
        <v>1.5200036201830752E-5</v>
      </c>
      <c r="E251" s="3">
        <f>Ft!$B$12+Ft!$B$14*(Data!A251-Vars!$B$3)</f>
        <v>0</v>
      </c>
      <c r="F251" s="3">
        <f>IF(($A251-Ft!B$2)&lt;0,Ft!B$3*((1-Ft!B$6)/(1+Ft!B$37*($A251-Ft!B$2)^2)+Ft!B$6*EXP(Ft!B$38*($A251-Ft!B$2)^2)),Ft!B$3*((1-Ft!B$7)/(1+Ft!B$39*($A251-Ft!B$2)^2)+Ft!B$7*EXP(Ft!B$40*($A251-Ft!B$2)^2)))</f>
        <v>7.0808129867828611E-112</v>
      </c>
      <c r="G251" s="3">
        <f>IF(($A251-Ft!C$2)&lt;0,Ft!C$3*((1-Ft!C$6)/(1+Ft!C$37*($A251-Ft!C$2)^2)+Ft!C$6*EXP(Ft!C$38*($A251-Ft!C$2)^2)),Ft!C$3*((1-Ft!C$7)/(1+Ft!C$39*($A251-Ft!C$2)^2)+Ft!C$7*EXP(Ft!C$40*($A251-Ft!C$2)^2)))</f>
        <v>4.5587299138344329E-4</v>
      </c>
      <c r="H251" s="3">
        <f>IF(($A251-Ft!D$2)&lt;0,Ft!D$3*((1-Ft!D$6)/(1+Ft!D$37*($A251-Ft!D$2)^2)+Ft!D$6*EXP(Ft!D$38*($A251-Ft!D$2)^2)),Ft!D$3*((1-Ft!D$7)/(1+Ft!D$39*($A251-Ft!D$2)^2)+Ft!D$7*EXP(Ft!D$40*($A251-Ft!D$2)^2)))</f>
        <v>16.40039914389406</v>
      </c>
      <c r="I251" s="3">
        <f>IF(($A251-Ft!E$2)&lt;0,Ft!E$3*((1-Ft!E$6)/(1+Ft!E$37*($A251-Ft!E$2)^2)+Ft!E$6*EXP(Ft!E$38*($A251-Ft!E$2)^2)),Ft!E$3*((1-Ft!E$7)/(1+Ft!E$39*($A251-Ft!E$2)^2)+Ft!E$7*EXP(Ft!E$40*($A251-Ft!E$2)^2)))</f>
        <v>2.7253364221858365</v>
      </c>
      <c r="J251" s="3">
        <f>IF(($A251-Ft!F$2)&lt;0,Ft!F$3*((1-Ft!F$6)/(1+Ft!F$37*($A251-Ft!F$2)^2)+Ft!F$6*EXP(Ft!F$38*($A251-Ft!F$2)^2)),Ft!F$3*((1-Ft!F$7)/(1+Ft!F$39*($A251-Ft!F$2)^2)+Ft!F$7*EXP(Ft!F$40*($A251-Ft!F$2)^2)))</f>
        <v>1.4826037203393839E-53</v>
      </c>
      <c r="K251" s="3">
        <f>IF(($A251-Ft!G$2)&lt;0,Ft!G$3*((1-Ft!G$6)/(1+Ft!G$37*($A251-Ft!G$2)^2)+Ft!G$6*EXP(Ft!G$38*($A251-Ft!G$2)^2)),Ft!G$3*((1-Ft!G$7)/(1+Ft!G$39*($A251-Ft!G$2)^2)+Ft!G$7*EXP(Ft!G$40*($A251-Ft!G$2)^2)))</f>
        <v>0</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v>500</v>
      </c>
      <c r="B252">
        <v>19.101511563915992</v>
      </c>
      <c r="C252" s="6">
        <f t="shared" si="7"/>
        <v>19.103236449038985</v>
      </c>
      <c r="D252" s="19">
        <f t="shared" si="8"/>
        <v>2.9752286875224337E-6</v>
      </c>
      <c r="E252" s="3">
        <f>Ft!$B$12+Ft!$B$14*(Data!A252-Vars!$B$3)</f>
        <v>0</v>
      </c>
      <c r="F252" s="3">
        <f>IF(($A252-Ft!B$2)&lt;0,Ft!B$3*((1-Ft!B$6)/(1+Ft!B$37*($A252-Ft!B$2)^2)+Ft!B$6*EXP(Ft!B$38*($A252-Ft!B$2)^2)),Ft!B$3*((1-Ft!B$7)/(1+Ft!B$39*($A252-Ft!B$2)^2)+Ft!B$7*EXP(Ft!B$40*($A252-Ft!B$2)^2)))</f>
        <v>7.258032979647435E-113</v>
      </c>
      <c r="G252" s="3">
        <f>IF(($A252-Ft!C$2)&lt;0,Ft!C$3*((1-Ft!C$6)/(1+Ft!C$37*($A252-Ft!C$2)^2)+Ft!C$6*EXP(Ft!C$38*($A252-Ft!C$2)^2)),Ft!C$3*((1-Ft!C$7)/(1+Ft!C$39*($A252-Ft!C$2)^2)+Ft!C$7*EXP(Ft!C$40*($A252-Ft!C$2)^2)))</f>
        <v>4.0775405077738753E-4</v>
      </c>
      <c r="H252" s="3">
        <f>IF(($A252-Ft!D$2)&lt;0,Ft!D$3*((1-Ft!D$6)/(1+Ft!D$37*($A252-Ft!D$2)^2)+Ft!D$6*EXP(Ft!D$38*($A252-Ft!D$2)^2)),Ft!D$3*((1-Ft!D$7)/(1+Ft!D$39*($A252-Ft!D$2)^2)+Ft!D$7*EXP(Ft!D$40*($A252-Ft!D$2)^2)))</f>
        <v>16.315557518423255</v>
      </c>
      <c r="I252" s="3">
        <f>IF(($A252-Ft!E$2)&lt;0,Ft!E$3*((1-Ft!E$6)/(1+Ft!E$37*($A252-Ft!E$2)^2)+Ft!E$6*EXP(Ft!E$38*($A252-Ft!E$2)^2)),Ft!E$3*((1-Ft!E$7)/(1+Ft!E$39*($A252-Ft!E$2)^2)+Ft!E$7*EXP(Ft!E$40*($A252-Ft!E$2)^2)))</f>
        <v>2.7872711765649547</v>
      </c>
      <c r="J252" s="3">
        <f>IF(($A252-Ft!F$2)&lt;0,Ft!F$3*((1-Ft!F$6)/(1+Ft!F$37*($A252-Ft!F$2)^2)+Ft!F$6*EXP(Ft!F$38*($A252-Ft!F$2)^2)),Ft!F$3*((1-Ft!F$7)/(1+Ft!F$39*($A252-Ft!F$2)^2)+Ft!F$7*EXP(Ft!F$40*($A252-Ft!F$2)^2)))</f>
        <v>3.7382118474083131E-53</v>
      </c>
      <c r="K252" s="3">
        <f>IF(($A252-Ft!G$2)&lt;0,Ft!G$3*((1-Ft!G$6)/(1+Ft!G$37*($A252-Ft!G$2)^2)+Ft!G$6*EXP(Ft!G$38*($A252-Ft!G$2)^2)),Ft!G$3*((1-Ft!G$7)/(1+Ft!G$39*($A252-Ft!G$2)^2)+Ft!G$7*EXP(Ft!G$40*($A252-Ft!G$2)^2)))</f>
        <v>0</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v>502</v>
      </c>
      <c r="B253">
        <v>19.074172164855</v>
      </c>
      <c r="C253" s="6">
        <f t="shared" si="7"/>
        <v>19.078967401947818</v>
      </c>
      <c r="D253" s="19">
        <f t="shared" si="8"/>
        <v>2.299429877633693E-5</v>
      </c>
      <c r="E253" s="3">
        <f>Ft!$B$12+Ft!$B$14*(Data!A253-Vars!$B$3)</f>
        <v>0</v>
      </c>
      <c r="F253" s="3">
        <f>IF(($A253-Ft!B$2)&lt;0,Ft!B$3*((1-Ft!B$6)/(1+Ft!B$37*($A253-Ft!B$2)^2)+Ft!B$6*EXP(Ft!B$38*($A253-Ft!B$2)^2)),Ft!B$3*((1-Ft!B$7)/(1+Ft!B$39*($A253-Ft!B$2)^2)+Ft!B$7*EXP(Ft!B$40*($A253-Ft!B$2)^2)))</f>
        <v>7.3653170607731799E-114</v>
      </c>
      <c r="G253" s="3">
        <f>IF(($A253-Ft!C$2)&lt;0,Ft!C$3*((1-Ft!C$6)/(1+Ft!C$37*($A253-Ft!C$2)^2)+Ft!C$6*EXP(Ft!C$38*($A253-Ft!C$2)^2)),Ft!C$3*((1-Ft!C$7)/(1+Ft!C$39*($A253-Ft!C$2)^2)+Ft!C$7*EXP(Ft!C$40*($A253-Ft!C$2)^2)))</f>
        <v>3.6448754707480335E-4</v>
      </c>
      <c r="H253" s="3">
        <f>IF(($A253-Ft!D$2)&lt;0,Ft!D$3*((1-Ft!D$6)/(1+Ft!D$37*($A253-Ft!D$2)^2)+Ft!D$6*EXP(Ft!D$38*($A253-Ft!D$2)^2)),Ft!D$3*((1-Ft!D$7)/(1+Ft!D$39*($A253-Ft!D$2)^2)+Ft!D$7*EXP(Ft!D$40*($A253-Ft!D$2)^2)))</f>
        <v>16.228393540675413</v>
      </c>
      <c r="I253" s="3">
        <f>IF(($A253-Ft!E$2)&lt;0,Ft!E$3*((1-Ft!E$6)/(1+Ft!E$37*($A253-Ft!E$2)^2)+Ft!E$6*EXP(Ft!E$38*($A253-Ft!E$2)^2)),Ft!E$3*((1-Ft!E$7)/(1+Ft!E$39*($A253-Ft!E$2)^2)+Ft!E$7*EXP(Ft!E$40*($A253-Ft!E$2)^2)))</f>
        <v>2.8502093737253307</v>
      </c>
      <c r="J253" s="3">
        <f>IF(($A253-Ft!F$2)&lt;0,Ft!F$3*((1-Ft!F$6)/(1+Ft!F$37*($A253-Ft!F$2)^2)+Ft!F$6*EXP(Ft!F$38*($A253-Ft!F$2)^2)),Ft!F$3*((1-Ft!F$7)/(1+Ft!F$39*($A253-Ft!F$2)^2)+Ft!F$7*EXP(Ft!F$40*($A253-Ft!F$2)^2)))</f>
        <v>9.392774919691514E-53</v>
      </c>
      <c r="K253" s="3">
        <f>IF(($A253-Ft!G$2)&lt;0,Ft!G$3*((1-Ft!G$6)/(1+Ft!G$37*($A253-Ft!G$2)^2)+Ft!G$6*EXP(Ft!G$38*($A253-Ft!G$2)^2)),Ft!G$3*((1-Ft!G$7)/(1+Ft!G$39*($A253-Ft!G$2)^2)+Ft!G$7*EXP(Ft!G$40*($A253-Ft!G$2)^2)))</f>
        <v>0</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v>504</v>
      </c>
      <c r="B254">
        <v>19.049661464395001</v>
      </c>
      <c r="C254" s="6">
        <f t="shared" si="7"/>
        <v>19.053430432867554</v>
      </c>
      <c r="D254" s="19">
        <f t="shared" si="8"/>
        <v>1.420512334709709E-5</v>
      </c>
      <c r="E254" s="3">
        <f>Ft!$B$12+Ft!$B$14*(Data!A254-Vars!$B$3)</f>
        <v>0</v>
      </c>
      <c r="F254" s="3">
        <f>IF(($A254-Ft!B$2)&lt;0,Ft!B$3*((1-Ft!B$6)/(1+Ft!B$37*($A254-Ft!B$2)^2)+Ft!B$6*EXP(Ft!B$38*($A254-Ft!B$2)^2)),Ft!B$3*((1-Ft!B$7)/(1+Ft!B$39*($A254-Ft!B$2)^2)+Ft!B$7*EXP(Ft!B$40*($A254-Ft!B$2)^2)))</f>
        <v>7.3994706780581584E-115</v>
      </c>
      <c r="G254" s="3">
        <f>IF(($A254-Ft!C$2)&lt;0,Ft!C$3*((1-Ft!C$6)/(1+Ft!C$37*($A254-Ft!C$2)^2)+Ft!C$6*EXP(Ft!C$38*($A254-Ft!C$2)^2)),Ft!C$3*((1-Ft!C$7)/(1+Ft!C$39*($A254-Ft!C$2)^2)+Ft!C$7*EXP(Ft!C$40*($A254-Ft!C$2)^2)))</f>
        <v>3.2560952086579714E-4</v>
      </c>
      <c r="H254" s="3">
        <f>IF(($A254-Ft!D$2)&lt;0,Ft!D$3*((1-Ft!D$6)/(1+Ft!D$37*($A254-Ft!D$2)^2)+Ft!D$6*EXP(Ft!D$38*($A254-Ft!D$2)^2)),Ft!D$3*((1-Ft!D$7)/(1+Ft!D$39*($A254-Ft!D$2)^2)+Ft!D$7*EXP(Ft!D$40*($A254-Ft!D$2)^2)))</f>
        <v>16.138949195067951</v>
      </c>
      <c r="I254" s="3">
        <f>IF(($A254-Ft!E$2)&lt;0,Ft!E$3*((1-Ft!E$6)/(1+Ft!E$37*($A254-Ft!E$2)^2)+Ft!E$6*EXP(Ft!E$38*($A254-Ft!E$2)^2)),Ft!E$3*((1-Ft!E$7)/(1+Ft!E$39*($A254-Ft!E$2)^2)+Ft!E$7*EXP(Ft!E$40*($A254-Ft!E$2)^2)))</f>
        <v>2.9141556282787371</v>
      </c>
      <c r="J254" s="3">
        <f>IF(($A254-Ft!F$2)&lt;0,Ft!F$3*((1-Ft!F$6)/(1+Ft!F$37*($A254-Ft!F$2)^2)+Ft!F$6*EXP(Ft!F$38*($A254-Ft!F$2)^2)),Ft!F$3*((1-Ft!F$7)/(1+Ft!F$39*($A254-Ft!F$2)^2)+Ft!F$7*EXP(Ft!F$40*($A254-Ft!F$2)^2)))</f>
        <v>2.3518796977203847E-52</v>
      </c>
      <c r="K254" s="3">
        <f>IF(($A254-Ft!G$2)&lt;0,Ft!G$3*((1-Ft!G$6)/(1+Ft!G$37*($A254-Ft!G$2)^2)+Ft!G$6*EXP(Ft!G$38*($A254-Ft!G$2)^2)),Ft!G$3*((1-Ft!G$7)/(1+Ft!G$39*($A254-Ft!G$2)^2)+Ft!G$7*EXP(Ft!G$40*($A254-Ft!G$2)^2)))</f>
        <v>0</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v>506</v>
      </c>
      <c r="B255">
        <v>19.029568962664001</v>
      </c>
      <c r="C255" s="6">
        <f t="shared" si="7"/>
        <v>19.026672321677836</v>
      </c>
      <c r="D255" s="19">
        <f t="shared" si="8"/>
        <v>8.3905290027324873E-6</v>
      </c>
      <c r="E255" s="3">
        <f>Ft!$B$12+Ft!$B$14*(Data!A255-Vars!$B$3)</f>
        <v>0</v>
      </c>
      <c r="F255" s="3">
        <f>IF(($A255-Ft!B$2)&lt;0,Ft!B$3*((1-Ft!B$6)/(1+Ft!B$37*($A255-Ft!B$2)^2)+Ft!B$6*EXP(Ft!B$38*($A255-Ft!B$2)^2)),Ft!B$3*((1-Ft!B$7)/(1+Ft!B$39*($A255-Ft!B$2)^2)+Ft!B$7*EXP(Ft!B$40*($A255-Ft!B$2)^2)))</f>
        <v>7.3594702975351386E-116</v>
      </c>
      <c r="G255" s="3">
        <f>IF(($A255-Ft!C$2)&lt;0,Ft!C$3*((1-Ft!C$6)/(1+Ft!C$37*($A255-Ft!C$2)^2)+Ft!C$6*EXP(Ft!C$38*($A255-Ft!C$2)^2)),Ft!C$3*((1-Ft!C$7)/(1+Ft!C$39*($A255-Ft!C$2)^2)+Ft!C$7*EXP(Ft!C$40*($A255-Ft!C$2)^2)))</f>
        <v>2.906976258726743E-4</v>
      </c>
      <c r="H255" s="3">
        <f>IF(($A255-Ft!D$2)&lt;0,Ft!D$3*((1-Ft!D$6)/(1+Ft!D$37*($A255-Ft!D$2)^2)+Ft!D$6*EXP(Ft!D$38*($A255-Ft!D$2)^2)),Ft!D$3*((1-Ft!D$7)/(1+Ft!D$39*($A255-Ft!D$2)^2)+Ft!D$7*EXP(Ft!D$40*($A255-Ft!D$2)^2)))</f>
        <v>16.047267398812746</v>
      </c>
      <c r="I255" s="3">
        <f>IF(($A255-Ft!E$2)&lt;0,Ft!E$3*((1-Ft!E$6)/(1+Ft!E$37*($A255-Ft!E$2)^2)+Ft!E$6*EXP(Ft!E$38*($A255-Ft!E$2)^2)),Ft!E$3*((1-Ft!E$7)/(1+Ft!E$39*($A255-Ft!E$2)^2)+Ft!E$7*EXP(Ft!E$40*($A255-Ft!E$2)^2)))</f>
        <v>2.9791142252392171</v>
      </c>
      <c r="J255" s="3">
        <f>IF(($A255-Ft!F$2)&lt;0,Ft!F$3*((1-Ft!F$6)/(1+Ft!F$37*($A255-Ft!F$2)^2)+Ft!F$6*EXP(Ft!F$38*($A255-Ft!F$2)^2)),Ft!F$3*((1-Ft!F$7)/(1+Ft!F$39*($A255-Ft!F$2)^2)+Ft!F$7*EXP(Ft!F$40*($A255-Ft!F$2)^2)))</f>
        <v>5.8685049163645821E-52</v>
      </c>
      <c r="K255" s="3">
        <f>IF(($A255-Ft!G$2)&lt;0,Ft!G$3*((1-Ft!G$6)/(1+Ft!G$37*($A255-Ft!G$2)^2)+Ft!G$6*EXP(Ft!G$38*($A255-Ft!G$2)^2)),Ft!G$3*((1-Ft!G$7)/(1+Ft!G$39*($A255-Ft!G$2)^2)+Ft!G$7*EXP(Ft!G$40*($A255-Ft!G$2)^2)))</f>
        <v>0</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v>508</v>
      </c>
      <c r="B256">
        <v>19.014271839822001</v>
      </c>
      <c r="C256" s="6">
        <f t="shared" si="7"/>
        <v>18.998740445508744</v>
      </c>
      <c r="D256" s="19">
        <f t="shared" si="8"/>
        <v>2.4122420931386865E-4</v>
      </c>
      <c r="E256" s="3">
        <f>Ft!$B$12+Ft!$B$14*(Data!A256-Vars!$B$3)</f>
        <v>0</v>
      </c>
      <c r="F256" s="3">
        <f>IF(($A256-Ft!B$2)&lt;0,Ft!B$3*((1-Ft!B$6)/(1+Ft!B$37*($A256-Ft!B$2)^2)+Ft!B$6*EXP(Ft!B$38*($A256-Ft!B$2)^2)),Ft!B$3*((1-Ft!B$7)/(1+Ft!B$39*($A256-Ft!B$2)^2)+Ft!B$7*EXP(Ft!B$40*($A256-Ft!B$2)^2)))</f>
        <v>7.2465143561572406E-117</v>
      </c>
      <c r="G256" s="3">
        <f>IF(($A256-Ft!C$2)&lt;0,Ft!C$3*((1-Ft!C$6)/(1+Ft!C$37*($A256-Ft!C$2)^2)+Ft!C$6*EXP(Ft!C$38*($A256-Ft!C$2)^2)),Ft!C$3*((1-Ft!C$7)/(1+Ft!C$39*($A256-Ft!C$2)^2)+Ft!C$7*EXP(Ft!C$40*($A256-Ft!C$2)^2)))</f>
        <v>2.5936768396577024E-4</v>
      </c>
      <c r="H256" s="3">
        <f>IF(($A256-Ft!D$2)&lt;0,Ft!D$3*((1-Ft!D$6)/(1+Ft!D$37*($A256-Ft!D$2)^2)+Ft!D$6*EXP(Ft!D$38*($A256-Ft!D$2)^2)),Ft!D$3*((1-Ft!D$7)/(1+Ft!D$39*($A256-Ft!D$2)^2)+Ft!D$7*EXP(Ft!D$40*($A256-Ft!D$2)^2)))</f>
        <v>15.953391967652648</v>
      </c>
      <c r="I256" s="3">
        <f>IF(($A256-Ft!E$2)&lt;0,Ft!E$3*((1-Ft!E$6)/(1+Ft!E$37*($A256-Ft!E$2)^2)+Ft!E$6*EXP(Ft!E$38*($A256-Ft!E$2)^2)),Ft!E$3*((1-Ft!E$7)/(1+Ft!E$39*($A256-Ft!E$2)^2)+Ft!E$7*EXP(Ft!E$40*($A256-Ft!E$2)^2)))</f>
        <v>3.0450891101721318</v>
      </c>
      <c r="J256" s="3">
        <f>IF(($A256-Ft!F$2)&lt;0,Ft!F$3*((1-Ft!F$6)/(1+Ft!F$37*($A256-Ft!F$2)^2)+Ft!F$6*EXP(Ft!F$38*($A256-Ft!F$2)^2)),Ft!F$3*((1-Ft!F$7)/(1+Ft!F$39*($A256-Ft!F$2)^2)+Ft!F$7*EXP(Ft!F$40*($A256-Ft!F$2)^2)))</f>
        <v>1.4592544428620788E-51</v>
      </c>
      <c r="K256" s="3">
        <f>IF(($A256-Ft!G$2)&lt;0,Ft!G$3*((1-Ft!G$6)/(1+Ft!G$37*($A256-Ft!G$2)^2)+Ft!G$6*EXP(Ft!G$38*($A256-Ft!G$2)^2)),Ft!G$3*((1-Ft!G$7)/(1+Ft!G$39*($A256-Ft!G$2)^2)+Ft!G$7*EXP(Ft!G$40*($A256-Ft!G$2)^2)))</f>
        <v>0</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v>510</v>
      </c>
      <c r="B257">
        <v>19.00226048540199</v>
      </c>
      <c r="C257" s="6">
        <f t="shared" si="7"/>
        <v>18.969682730890192</v>
      </c>
      <c r="D257" s="19">
        <f t="shared" si="8"/>
        <v>1.0613100890310189E-3</v>
      </c>
      <c r="E257" s="3">
        <f>Ft!$B$12+Ft!$B$14*(Data!A257-Vars!$B$3)</f>
        <v>0</v>
      </c>
      <c r="F257" s="3">
        <f>IF(($A257-Ft!B$2)&lt;0,Ft!B$3*((1-Ft!B$6)/(1+Ft!B$37*($A257-Ft!B$2)^2)+Ft!B$6*EXP(Ft!B$38*($A257-Ft!B$2)^2)),Ft!B$3*((1-Ft!B$7)/(1+Ft!B$39*($A257-Ft!B$2)^2)+Ft!B$7*EXP(Ft!B$40*($A257-Ft!B$2)^2)))</f>
        <v>7.0639636178077629E-118</v>
      </c>
      <c r="G257" s="3">
        <f>IF(($A257-Ft!C$2)&lt;0,Ft!C$3*((1-Ft!C$6)/(1+Ft!C$37*($A257-Ft!C$2)^2)+Ft!C$6*EXP(Ft!C$38*($A257-Ft!C$2)^2)),Ft!C$3*((1-Ft!C$7)/(1+Ft!C$39*($A257-Ft!C$2)^2)+Ft!C$7*EXP(Ft!C$40*($A257-Ft!C$2)^2)))</f>
        <v>2.3127049638084718E-4</v>
      </c>
      <c r="H257" s="3">
        <f>IF(($A257-Ft!D$2)&lt;0,Ft!D$3*((1-Ft!D$6)/(1+Ft!D$37*($A257-Ft!D$2)^2)+Ft!D$6*EXP(Ft!D$38*($A257-Ft!D$2)^2)),Ft!D$3*((1-Ft!D$7)/(1+Ft!D$39*($A257-Ft!D$2)^2)+Ft!D$7*EXP(Ft!D$40*($A257-Ft!D$2)^2)))</f>
        <v>15.857367581027651</v>
      </c>
      <c r="I257" s="3">
        <f>IF(($A257-Ft!E$2)&lt;0,Ft!E$3*((1-Ft!E$6)/(1+Ft!E$37*($A257-Ft!E$2)^2)+Ft!E$6*EXP(Ft!E$38*($A257-Ft!E$2)^2)),Ft!E$3*((1-Ft!E$7)/(1+Ft!E$39*($A257-Ft!E$2)^2)+Ft!E$7*EXP(Ft!E$40*($A257-Ft!E$2)^2)))</f>
        <v>3.11208387936616</v>
      </c>
      <c r="J257" s="3">
        <f>IF(($A257-Ft!F$2)&lt;0,Ft!F$3*((1-Ft!F$6)/(1+Ft!F$37*($A257-Ft!F$2)^2)+Ft!F$6*EXP(Ft!F$38*($A257-Ft!F$2)^2)),Ft!F$3*((1-Ft!F$7)/(1+Ft!F$39*($A257-Ft!F$2)^2)+Ft!F$7*EXP(Ft!F$40*($A257-Ft!F$2)^2)))</f>
        <v>3.6159778176158224E-51</v>
      </c>
      <c r="K257" s="3">
        <f>IF(($A257-Ft!G$2)&lt;0,Ft!G$3*((1-Ft!G$6)/(1+Ft!G$37*($A257-Ft!G$2)^2)+Ft!G$6*EXP(Ft!G$38*($A257-Ft!G$2)^2)),Ft!G$3*((1-Ft!G$7)/(1+Ft!G$39*($A257-Ft!G$2)^2)+Ft!G$7*EXP(Ft!G$40*($A257-Ft!G$2)^2)))</f>
        <v>0</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v>512</v>
      </c>
      <c r="B258">
        <v>18.992294213587996</v>
      </c>
      <c r="C258" s="6">
        <f t="shared" si="7"/>
        <v>18.939547605641515</v>
      </c>
      <c r="D258" s="19">
        <f t="shared" si="8"/>
        <v>2.7822046498598317E-3</v>
      </c>
      <c r="E258" s="3">
        <f>Ft!$B$12+Ft!$B$14*(Data!A258-Vars!$B$3)</f>
        <v>0</v>
      </c>
      <c r="F258" s="3">
        <f>IF(($A258-Ft!B$2)&lt;0,Ft!B$3*((1-Ft!B$6)/(1+Ft!B$37*($A258-Ft!B$2)^2)+Ft!B$6*EXP(Ft!B$38*($A258-Ft!B$2)^2)),Ft!B$3*((1-Ft!B$7)/(1+Ft!B$39*($A258-Ft!B$2)^2)+Ft!B$7*EXP(Ft!B$40*($A258-Ft!B$2)^2)))</f>
        <v>6.8171750744479631E-119</v>
      </c>
      <c r="G258" s="3">
        <f>IF(($A258-Ft!C$2)&lt;0,Ft!C$3*((1-Ft!C$6)/(1+Ft!C$37*($A258-Ft!C$2)^2)+Ft!C$6*EXP(Ft!C$38*($A258-Ft!C$2)^2)),Ft!C$3*((1-Ft!C$7)/(1+Ft!C$39*($A258-Ft!C$2)^2)+Ft!C$7*EXP(Ft!C$40*($A258-Ft!C$2)^2)))</f>
        <v>2.0608889491425164E-4</v>
      </c>
      <c r="H258" s="3">
        <f>IF(($A258-Ft!D$2)&lt;0,Ft!D$3*((1-Ft!D$6)/(1+Ft!D$37*($A258-Ft!D$2)^2)+Ft!D$6*EXP(Ft!D$38*($A258-Ft!D$2)^2)),Ft!D$3*((1-Ft!D$7)/(1+Ft!D$39*($A258-Ft!D$2)^2)+Ft!D$7*EXP(Ft!D$40*($A258-Ft!D$2)^2)))</f>
        <v>15.759239746709373</v>
      </c>
      <c r="I258" s="3">
        <f>IF(($A258-Ft!E$2)&lt;0,Ft!E$3*((1-Ft!E$6)/(1+Ft!E$37*($A258-Ft!E$2)^2)+Ft!E$6*EXP(Ft!E$38*($A258-Ft!E$2)^2)),Ft!E$3*((1-Ft!E$7)/(1+Ft!E$39*($A258-Ft!E$2)^2)+Ft!E$7*EXP(Ft!E$40*($A258-Ft!E$2)^2)))</f>
        <v>3.180101770037226</v>
      </c>
      <c r="J258" s="3">
        <f>IF(($A258-Ft!F$2)&lt;0,Ft!F$3*((1-Ft!F$6)/(1+Ft!F$37*($A258-Ft!F$2)^2)+Ft!F$6*EXP(Ft!F$38*($A258-Ft!F$2)^2)),Ft!F$3*((1-Ft!F$7)/(1+Ft!F$39*($A258-Ft!F$2)^2)+Ft!F$7*EXP(Ft!F$40*($A258-Ft!F$2)^2)))</f>
        <v>8.9291819537839414E-51</v>
      </c>
      <c r="K258" s="3">
        <f>IF(($A258-Ft!G$2)&lt;0,Ft!G$3*((1-Ft!G$6)/(1+Ft!G$37*($A258-Ft!G$2)^2)+Ft!G$6*EXP(Ft!G$38*($A258-Ft!G$2)^2)),Ft!G$3*((1-Ft!G$7)/(1+Ft!G$39*($A258-Ft!G$2)^2)+Ft!G$7*EXP(Ft!G$40*($A258-Ft!G$2)^2)))</f>
        <v>0</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v>514</v>
      </c>
      <c r="B259">
        <v>18.983132338564999</v>
      </c>
      <c r="C259" s="6">
        <f t="shared" ref="C259:C322" si="9">SUM(E259:K259)</f>
        <v>18.908383950534045</v>
      </c>
      <c r="D259" s="19">
        <f t="shared" ref="D259:D322" si="10">(C259-B259)^2</f>
        <v>5.587321513226144E-3</v>
      </c>
      <c r="E259" s="3">
        <f>Ft!$B$12+Ft!$B$14*(Data!A259-Vars!$B$3)</f>
        <v>0</v>
      </c>
      <c r="F259" s="3">
        <f>IF(($A259-Ft!B$2)&lt;0,Ft!B$3*((1-Ft!B$6)/(1+Ft!B$37*($A259-Ft!B$2)^2)+Ft!B$6*EXP(Ft!B$38*($A259-Ft!B$2)^2)),Ft!B$3*((1-Ft!B$7)/(1+Ft!B$39*($A259-Ft!B$2)^2)+Ft!B$7*EXP(Ft!B$40*($A259-Ft!B$2)^2)))</f>
        <v>6.5132408469232057E-120</v>
      </c>
      <c r="G259" s="3">
        <f>IF(($A259-Ft!C$2)&lt;0,Ft!C$3*((1-Ft!C$6)/(1+Ft!C$37*($A259-Ft!C$2)^2)+Ft!C$6*EXP(Ft!C$38*($A259-Ft!C$2)^2)),Ft!C$3*((1-Ft!C$7)/(1+Ft!C$39*($A259-Ft!C$2)^2)+Ft!C$7*EXP(Ft!C$40*($A259-Ft!C$2)^2)))</f>
        <v>1.8353501762899044E-4</v>
      </c>
      <c r="H259" s="3">
        <f>IF(($A259-Ft!D$2)&lt;0,Ft!D$3*((1-Ft!D$6)/(1+Ft!D$37*($A259-Ft!D$2)^2)+Ft!D$6*EXP(Ft!D$38*($A259-Ft!D$2)^2)),Ft!D$3*((1-Ft!D$7)/(1+Ft!D$39*($A259-Ft!D$2)^2)+Ft!D$7*EXP(Ft!D$40*($A259-Ft!D$2)^2)))</f>
        <v>15.659054764942953</v>
      </c>
      <c r="I259" s="3">
        <f>IF(($A259-Ft!E$2)&lt;0,Ft!E$3*((1-Ft!E$6)/(1+Ft!E$37*($A259-Ft!E$2)^2)+Ft!E$6*EXP(Ft!E$38*($A259-Ft!E$2)^2)),Ft!E$3*((1-Ft!E$7)/(1+Ft!E$39*($A259-Ft!E$2)^2)+Ft!E$7*EXP(Ft!E$40*($A259-Ft!E$2)^2)))</f>
        <v>3.2491456505734631</v>
      </c>
      <c r="J259" s="3">
        <f>IF(($A259-Ft!F$2)&lt;0,Ft!F$3*((1-Ft!F$6)/(1+Ft!F$37*($A259-Ft!F$2)^2)+Ft!F$6*EXP(Ft!F$38*($A259-Ft!F$2)^2)),Ft!F$3*((1-Ft!F$7)/(1+Ft!F$39*($A259-Ft!F$2)^2)+Ft!F$7*EXP(Ft!F$40*($A259-Ft!F$2)^2)))</f>
        <v>2.1972970365363581E-50</v>
      </c>
      <c r="K259" s="3">
        <f>IF(($A259-Ft!G$2)&lt;0,Ft!G$3*((1-Ft!G$6)/(1+Ft!G$37*($A259-Ft!G$2)^2)+Ft!G$6*EXP(Ft!G$38*($A259-Ft!G$2)^2)),Ft!G$3*((1-Ft!G$7)/(1+Ft!G$39*($A259-Ft!G$2)^2)+Ft!G$7*EXP(Ft!G$40*($A259-Ft!G$2)^2)))</f>
        <v>0</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v>516</v>
      </c>
      <c r="B260">
        <v>18.973534174516999</v>
      </c>
      <c r="C260" s="6">
        <f t="shared" si="9"/>
        <v>18.876241050760722</v>
      </c>
      <c r="D260" s="19">
        <f t="shared" si="10"/>
        <v>9.4659519302542038E-3</v>
      </c>
      <c r="E260" s="3">
        <f>Ft!$B$12+Ft!$B$14*(Data!A260-Vars!$B$3)</f>
        <v>0</v>
      </c>
      <c r="F260" s="3">
        <f>IF(($A260-Ft!B$2)&lt;0,Ft!B$3*((1-Ft!B$6)/(1+Ft!B$37*($A260-Ft!B$2)^2)+Ft!B$6*EXP(Ft!B$38*($A260-Ft!B$2)^2)),Ft!B$3*((1-Ft!B$7)/(1+Ft!B$39*($A260-Ft!B$2)^2)+Ft!B$7*EXP(Ft!B$40*($A260-Ft!B$2)^2)))</f>
        <v>6.1606498403248575E-121</v>
      </c>
      <c r="G260" s="3">
        <f>IF(($A260-Ft!C$2)&lt;0,Ft!C$3*((1-Ft!C$6)/(1+Ft!C$37*($A260-Ft!C$2)^2)+Ft!C$6*EXP(Ft!C$38*($A260-Ft!C$2)^2)),Ft!C$3*((1-Ft!C$7)/(1+Ft!C$39*($A260-Ft!C$2)^2)+Ft!C$7*EXP(Ft!C$40*($A260-Ft!C$2)^2)))</f>
        <v>1.6334779435295512E-4</v>
      </c>
      <c r="H260" s="3">
        <f>IF(($A260-Ft!D$2)&lt;0,Ft!D$3*((1-Ft!D$6)/(1+Ft!D$37*($A260-Ft!D$2)^2)+Ft!D$6*EXP(Ft!D$38*($A260-Ft!D$2)^2)),Ft!D$3*((1-Ft!D$7)/(1+Ft!D$39*($A260-Ft!D$2)^2)+Ft!D$7*EXP(Ft!D$40*($A260-Ft!D$2)^2)))</f>
        <v>15.556859692135854</v>
      </c>
      <c r="I260" s="3">
        <f>IF(($A260-Ft!E$2)&lt;0,Ft!E$3*((1-Ft!E$6)/(1+Ft!E$37*($A260-Ft!E$2)^2)+Ft!E$6*EXP(Ft!E$38*($A260-Ft!E$2)^2)),Ft!E$3*((1-Ft!E$7)/(1+Ft!E$39*($A260-Ft!E$2)^2)+Ft!E$7*EXP(Ft!E$40*($A260-Ft!E$2)^2)))</f>
        <v>3.3192180108305154</v>
      </c>
      <c r="J260" s="3">
        <f>IF(($A260-Ft!F$2)&lt;0,Ft!F$3*((1-Ft!F$6)/(1+Ft!F$37*($A260-Ft!F$2)^2)+Ft!F$6*EXP(Ft!F$38*($A260-Ft!F$2)^2)),Ft!F$3*((1-Ft!F$7)/(1+Ft!F$39*($A260-Ft!F$2)^2)+Ft!F$7*EXP(Ft!F$40*($A260-Ft!F$2)^2)))</f>
        <v>5.3883655269417546E-50</v>
      </c>
      <c r="K260" s="3">
        <f>IF(($A260-Ft!G$2)&lt;0,Ft!G$3*((1-Ft!G$6)/(1+Ft!G$37*($A260-Ft!G$2)^2)+Ft!G$6*EXP(Ft!G$38*($A260-Ft!G$2)^2)),Ft!G$3*((1-Ft!G$7)/(1+Ft!G$39*($A260-Ft!G$2)^2)+Ft!G$7*EXP(Ft!G$40*($A260-Ft!G$2)^2)))</f>
        <v>0</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v>518</v>
      </c>
      <c r="B261">
        <v>18.962259035628989</v>
      </c>
      <c r="C261" s="6">
        <f t="shared" si="9"/>
        <v>18.843168547247853</v>
      </c>
      <c r="D261" s="19">
        <f t="shared" si="10"/>
        <v>1.418254442285757E-2</v>
      </c>
      <c r="E261" s="3">
        <f>Ft!$B$12+Ft!$B$14*(Data!A261-Vars!$B$3)</f>
        <v>0</v>
      </c>
      <c r="F261" s="3">
        <f>IF(($A261-Ft!B$2)&lt;0,Ft!B$3*((1-Ft!B$6)/(1+Ft!B$37*($A261-Ft!B$2)^2)+Ft!B$6*EXP(Ft!B$38*($A261-Ft!B$2)^2)),Ft!B$3*((1-Ft!B$7)/(1+Ft!B$39*($A261-Ft!B$2)^2)+Ft!B$7*EXP(Ft!B$40*($A261-Ft!B$2)^2)))</f>
        <v>5.7688946622037786E-122</v>
      </c>
      <c r="G261" s="3">
        <f>IF(($A261-Ft!C$2)&lt;0,Ft!C$3*((1-Ft!C$6)/(1+Ft!C$37*($A261-Ft!C$2)^2)+Ft!C$6*EXP(Ft!C$38*($A261-Ft!C$2)^2)),Ft!C$3*((1-Ft!C$7)/(1+Ft!C$39*($A261-Ft!C$2)^2)+Ft!C$7*EXP(Ft!C$40*($A261-Ft!C$2)^2)))</f>
        <v>1.452906279866874E-4</v>
      </c>
      <c r="H261" s="3">
        <f>IF(($A261-Ft!D$2)&lt;0,Ft!D$3*((1-Ft!D$6)/(1+Ft!D$37*($A261-Ft!D$2)^2)+Ft!D$6*EXP(Ft!D$38*($A261-Ft!D$2)^2)),Ft!D$3*((1-Ft!D$7)/(1+Ft!D$39*($A261-Ft!D$2)^2)+Ft!D$7*EXP(Ft!D$40*($A261-Ft!D$2)^2)))</f>
        <v>15.452702304133245</v>
      </c>
      <c r="I261" s="3">
        <f>IF(($A261-Ft!E$2)&lt;0,Ft!E$3*((1-Ft!E$6)/(1+Ft!E$37*($A261-Ft!E$2)^2)+Ft!E$6*EXP(Ft!E$38*($A261-Ft!E$2)^2)),Ft!E$3*((1-Ft!E$7)/(1+Ft!E$39*($A261-Ft!E$2)^2)+Ft!E$7*EXP(Ft!E$40*($A261-Ft!E$2)^2)))</f>
        <v>3.3903209524866207</v>
      </c>
      <c r="J261" s="3">
        <f>IF(($A261-Ft!F$2)&lt;0,Ft!F$3*((1-Ft!F$6)/(1+Ft!F$37*($A261-Ft!F$2)^2)+Ft!F$6*EXP(Ft!F$38*($A261-Ft!F$2)^2)),Ft!F$3*((1-Ft!F$7)/(1+Ft!F$39*($A261-Ft!F$2)^2)+Ft!F$7*EXP(Ft!F$40*($A261-Ft!F$2)^2)))</f>
        <v>1.316789970069249E-49</v>
      </c>
      <c r="K261" s="3">
        <f>IF(($A261-Ft!G$2)&lt;0,Ft!G$3*((1-Ft!G$6)/(1+Ft!G$37*($A261-Ft!G$2)^2)+Ft!G$6*EXP(Ft!G$38*($A261-Ft!G$2)^2)),Ft!G$3*((1-Ft!G$7)/(1+Ft!G$39*($A261-Ft!G$2)^2)+Ft!G$7*EXP(Ft!G$40*($A261-Ft!G$2)^2)))</f>
        <v>0</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v>520</v>
      </c>
      <c r="B262">
        <v>18.948066236083989</v>
      </c>
      <c r="C262" s="6">
        <f t="shared" si="9"/>
        <v>18.809216387845463</v>
      </c>
      <c r="D262" s="19">
        <f t="shared" si="10"/>
        <v>1.9279280355861479E-2</v>
      </c>
      <c r="E262" s="3">
        <f>Ft!$B$12+Ft!$B$14*(Data!A262-Vars!$B$3)</f>
        <v>0</v>
      </c>
      <c r="F262" s="3">
        <f>IF(($A262-Ft!B$2)&lt;0,Ft!B$3*((1-Ft!B$6)/(1+Ft!B$37*($A262-Ft!B$2)^2)+Ft!B$6*EXP(Ft!B$38*($A262-Ft!B$2)^2)),Ft!B$3*((1-Ft!B$7)/(1+Ft!B$39*($A262-Ft!B$2)^2)+Ft!B$7*EXP(Ft!B$40*($A262-Ft!B$2)^2)))</f>
        <v>5.3480491478758483E-123</v>
      </c>
      <c r="G262" s="3">
        <f>IF(($A262-Ft!C$2)&lt;0,Ft!C$3*((1-Ft!C$6)/(1+Ft!C$37*($A262-Ft!C$2)^2)+Ft!C$6*EXP(Ft!C$38*($A262-Ft!C$2)^2)),Ft!C$3*((1-Ft!C$7)/(1+Ft!C$39*($A262-Ft!C$2)^2)+Ft!C$7*EXP(Ft!C$40*($A262-Ft!C$2)^2)))</f>
        <v>1.2914925835974823E-4</v>
      </c>
      <c r="H262" s="3">
        <f>IF(($A262-Ft!D$2)&lt;0,Ft!D$3*((1-Ft!D$6)/(1+Ft!D$37*($A262-Ft!D$2)^2)+Ft!D$6*EXP(Ft!D$38*($A262-Ft!D$2)^2)),Ft!D$3*((1-Ft!D$7)/(1+Ft!D$39*($A262-Ft!D$2)^2)+Ft!D$7*EXP(Ft!D$40*($A262-Ft!D$2)^2)))</f>
        <v>15.346631059120044</v>
      </c>
      <c r="I262" s="3">
        <f>IF(($A262-Ft!E$2)&lt;0,Ft!E$3*((1-Ft!E$6)/(1+Ft!E$37*($A262-Ft!E$2)^2)+Ft!E$6*EXP(Ft!E$38*($A262-Ft!E$2)^2)),Ft!E$3*((1-Ft!E$7)/(1+Ft!E$39*($A262-Ft!E$2)^2)+Ft!E$7*EXP(Ft!E$40*($A262-Ft!E$2)^2)))</f>
        <v>3.462456179467059</v>
      </c>
      <c r="J262" s="3">
        <f>IF(($A262-Ft!F$2)&lt;0,Ft!F$3*((1-Ft!F$6)/(1+Ft!F$37*($A262-Ft!F$2)^2)+Ft!F$6*EXP(Ft!F$38*($A262-Ft!F$2)^2)),Ft!F$3*((1-Ft!F$7)/(1+Ft!F$39*($A262-Ft!F$2)^2)+Ft!F$7*EXP(Ft!F$40*($A262-Ft!F$2)^2)))</f>
        <v>3.2067651311860786E-49</v>
      </c>
      <c r="K262" s="3">
        <f>IF(($A262-Ft!G$2)&lt;0,Ft!G$3*((1-Ft!G$6)/(1+Ft!G$37*($A262-Ft!G$2)^2)+Ft!G$6*EXP(Ft!G$38*($A262-Ft!G$2)^2)),Ft!G$3*((1-Ft!G$7)/(1+Ft!G$39*($A262-Ft!G$2)^2)+Ft!G$7*EXP(Ft!G$40*($A262-Ft!G$2)^2)))</f>
        <v>0</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v>522</v>
      </c>
      <c r="B263">
        <v>18.929715090066992</v>
      </c>
      <c r="C263" s="6">
        <f t="shared" si="9"/>
        <v>18.774434778433491</v>
      </c>
      <c r="D263" s="19">
        <f t="shared" si="10"/>
        <v>2.4111975180997076E-2</v>
      </c>
      <c r="E263" s="3">
        <f>Ft!$B$12+Ft!$B$14*(Data!A263-Vars!$B$3)</f>
        <v>0</v>
      </c>
      <c r="F263" s="3">
        <f>IF(($A263-Ft!B$2)&lt;0,Ft!B$3*((1-Ft!B$6)/(1+Ft!B$37*($A263-Ft!B$2)^2)+Ft!B$6*EXP(Ft!B$38*($A263-Ft!B$2)^2)),Ft!B$3*((1-Ft!B$7)/(1+Ft!B$39*($A263-Ft!B$2)^2)+Ft!B$7*EXP(Ft!B$40*($A263-Ft!B$2)^2)))</f>
        <v>4.9083425838197037E-124</v>
      </c>
      <c r="G263" s="3">
        <f>IF(($A263-Ft!C$2)&lt;0,Ft!C$3*((1-Ft!C$6)/(1+Ft!C$37*($A263-Ft!C$2)^2)+Ft!C$6*EXP(Ft!C$38*($A263-Ft!C$2)^2)),Ft!C$3*((1-Ft!C$7)/(1+Ft!C$39*($A263-Ft!C$2)^2)+Ft!C$7*EXP(Ft!C$40*($A263-Ft!C$2)^2)))</f>
        <v>1.1472979607970876E-4</v>
      </c>
      <c r="H263" s="3">
        <f>IF(($A263-Ft!D$2)&lt;0,Ft!D$3*((1-Ft!D$6)/(1+Ft!D$37*($A263-Ft!D$2)^2)+Ft!D$6*EXP(Ft!D$38*($A263-Ft!D$2)^2)),Ft!D$3*((1-Ft!D$7)/(1+Ft!D$39*($A263-Ft!D$2)^2)+Ft!D$7*EXP(Ft!D$40*($A263-Ft!D$2)^2)))</f>
        <v>15.23869506018972</v>
      </c>
      <c r="I263" s="3">
        <f>IF(($A263-Ft!E$2)&lt;0,Ft!E$3*((1-Ft!E$6)/(1+Ft!E$37*($A263-Ft!E$2)^2)+Ft!E$6*EXP(Ft!E$38*($A263-Ft!E$2)^2)),Ft!E$3*((1-Ft!E$7)/(1+Ft!E$39*($A263-Ft!E$2)^2)+Ft!E$7*EXP(Ft!E$40*($A263-Ft!E$2)^2)))</f>
        <v>3.5356249884476925</v>
      </c>
      <c r="J263" s="3">
        <f>IF(($A263-Ft!F$2)&lt;0,Ft!F$3*((1-Ft!F$6)/(1+Ft!F$37*($A263-Ft!F$2)^2)+Ft!F$6*EXP(Ft!F$38*($A263-Ft!F$2)^2)),Ft!F$3*((1-Ft!F$7)/(1+Ft!F$39*($A263-Ft!F$2)^2)+Ft!F$7*EXP(Ft!F$40*($A263-Ft!F$2)^2)))</f>
        <v>7.782318078380545E-49</v>
      </c>
      <c r="K263" s="3">
        <f>IF(($A263-Ft!G$2)&lt;0,Ft!G$3*((1-Ft!G$6)/(1+Ft!G$37*($A263-Ft!G$2)^2)+Ft!G$6*EXP(Ft!G$38*($A263-Ft!G$2)^2)),Ft!G$3*((1-Ft!G$7)/(1+Ft!G$39*($A263-Ft!G$2)^2)+Ft!G$7*EXP(Ft!G$40*($A263-Ft!G$2)^2)))</f>
        <v>0</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v>524</v>
      </c>
      <c r="B264">
        <v>18.906937446740002</v>
      </c>
      <c r="C264" s="6">
        <f t="shared" si="9"/>
        <v>18.738874133982161</v>
      </c>
      <c r="D264" s="19">
        <f t="shared" si="10"/>
        <v>2.8245277095139892E-2</v>
      </c>
      <c r="E264" s="3">
        <f>Ft!$B$12+Ft!$B$14*(Data!A264-Vars!$B$3)</f>
        <v>0</v>
      </c>
      <c r="F264" s="3">
        <f>IF(($A264-Ft!B$2)&lt;0,Ft!B$3*((1-Ft!B$6)/(1+Ft!B$37*($A264-Ft!B$2)^2)+Ft!B$6*EXP(Ft!B$38*($A264-Ft!B$2)^2)),Ft!B$3*((1-Ft!B$7)/(1+Ft!B$39*($A264-Ft!B$2)^2)+Ft!B$7*EXP(Ft!B$40*($A264-Ft!B$2)^2)))</f>
        <v>4.4597554153554196E-125</v>
      </c>
      <c r="G264" s="3">
        <f>IF(($A264-Ft!C$2)&lt;0,Ft!C$3*((1-Ft!C$6)/(1+Ft!C$37*($A264-Ft!C$2)^2)+Ft!C$6*EXP(Ft!C$38*($A264-Ft!C$2)^2)),Ft!C$3*((1-Ft!C$7)/(1+Ft!C$39*($A264-Ft!C$2)^2)+Ft!C$7*EXP(Ft!C$40*($A264-Ft!C$2)^2)))</f>
        <v>1.0185691450411132E-4</v>
      </c>
      <c r="H264" s="3">
        <f>IF(($A264-Ft!D$2)&lt;0,Ft!D$3*((1-Ft!D$6)/(1+Ft!D$37*($A264-Ft!D$2)^2)+Ft!D$6*EXP(Ft!D$38*($A264-Ft!D$2)^2)),Ft!D$3*((1-Ft!D$7)/(1+Ft!D$39*($A264-Ft!D$2)^2)+Ft!D$7*EXP(Ft!D$40*($A264-Ft!D$2)^2)))</f>
        <v>15.128944017620197</v>
      </c>
      <c r="I264" s="3">
        <f>IF(($A264-Ft!E$2)&lt;0,Ft!E$3*((1-Ft!E$6)/(1+Ft!E$37*($A264-Ft!E$2)^2)+Ft!E$6*EXP(Ft!E$38*($A264-Ft!E$2)^2)),Ft!E$3*((1-Ft!E$7)/(1+Ft!E$39*($A264-Ft!E$2)^2)+Ft!E$7*EXP(Ft!E$40*($A264-Ft!E$2)^2)))</f>
        <v>3.6098282594474602</v>
      </c>
      <c r="J264" s="3">
        <f>IF(($A264-Ft!F$2)&lt;0,Ft!F$3*((1-Ft!F$6)/(1+Ft!F$37*($A264-Ft!F$2)^2)+Ft!F$6*EXP(Ft!F$38*($A264-Ft!F$2)^2)),Ft!F$3*((1-Ft!F$7)/(1+Ft!F$39*($A264-Ft!F$2)^2)+Ft!F$7*EXP(Ft!F$40*($A264-Ft!F$2)^2)))</f>
        <v>1.8820969192101168E-48</v>
      </c>
      <c r="K264" s="3">
        <f>IF(($A264-Ft!G$2)&lt;0,Ft!G$3*((1-Ft!G$6)/(1+Ft!G$37*($A264-Ft!G$2)^2)+Ft!G$6*EXP(Ft!G$38*($A264-Ft!G$2)^2)),Ft!G$3*((1-Ft!G$7)/(1+Ft!G$39*($A264-Ft!G$2)^2)+Ft!G$7*EXP(Ft!G$40*($A264-Ft!G$2)^2)))</f>
        <v>0</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v>526</v>
      </c>
      <c r="B265">
        <v>18.884494242595991</v>
      </c>
      <c r="C265" s="6">
        <f t="shared" si="9"/>
        <v>18.702585029605682</v>
      </c>
      <c r="D265" s="19">
        <f t="shared" si="10"/>
        <v>3.3090961770753623E-2</v>
      </c>
      <c r="E265" s="3">
        <f>Ft!$B$12+Ft!$B$14*(Data!A265-Vars!$B$3)</f>
        <v>0</v>
      </c>
      <c r="F265" s="3">
        <f>IF(($A265-Ft!B$2)&lt;0,Ft!B$3*((1-Ft!B$6)/(1+Ft!B$37*($A265-Ft!B$2)^2)+Ft!B$6*EXP(Ft!B$38*($A265-Ft!B$2)^2)),Ft!B$3*((1-Ft!B$7)/(1+Ft!B$39*($A265-Ft!B$2)^2)+Ft!B$7*EXP(Ft!B$40*($A265-Ft!B$2)^2)))</f>
        <v>4.0116581009627836E-126</v>
      </c>
      <c r="G265" s="3">
        <f>IF(($A265-Ft!C$2)&lt;0,Ft!C$3*((1-Ft!C$6)/(1+Ft!C$37*($A265-Ft!C$2)^2)+Ft!C$6*EXP(Ft!C$38*($A265-Ft!C$2)^2)),Ft!C$3*((1-Ft!C$7)/(1+Ft!C$39*($A265-Ft!C$2)^2)+Ft!C$7*EXP(Ft!C$40*($A265-Ft!C$2)^2)))</f>
        <v>9.0372188631922021E-5</v>
      </c>
      <c r="H265" s="3">
        <f>IF(($A265-Ft!D$2)&lt;0,Ft!D$3*((1-Ft!D$6)/(1+Ft!D$37*($A265-Ft!D$2)^2)+Ft!D$6*EXP(Ft!D$38*($A265-Ft!D$2)^2)),Ft!D$3*((1-Ft!D$7)/(1+Ft!D$39*($A265-Ft!D$2)^2)+Ft!D$7*EXP(Ft!D$40*($A265-Ft!D$2)^2)))</f>
        <v>15.017428210897261</v>
      </c>
      <c r="I265" s="3">
        <f>IF(($A265-Ft!E$2)&lt;0,Ft!E$3*((1-Ft!E$6)/(1+Ft!E$37*($A265-Ft!E$2)^2)+Ft!E$6*EXP(Ft!E$38*($A265-Ft!E$2)^2)),Ft!E$3*((1-Ft!E$7)/(1+Ft!E$39*($A265-Ft!E$2)^2)+Ft!E$7*EXP(Ft!E$40*($A265-Ft!E$2)^2)))</f>
        <v>3.68506644651979</v>
      </c>
      <c r="J265" s="3">
        <f>IF(($A265-Ft!F$2)&lt;0,Ft!F$3*((1-Ft!F$6)/(1+Ft!F$37*($A265-Ft!F$2)^2)+Ft!F$6*EXP(Ft!F$38*($A265-Ft!F$2)^2)),Ft!F$3*((1-Ft!F$7)/(1+Ft!F$39*($A265-Ft!F$2)^2)+Ft!F$7*EXP(Ft!F$40*($A265-Ft!F$2)^2)))</f>
        <v>4.5359282082585861E-48</v>
      </c>
      <c r="K265" s="3">
        <f>IF(($A265-Ft!G$2)&lt;0,Ft!G$3*((1-Ft!G$6)/(1+Ft!G$37*($A265-Ft!G$2)^2)+Ft!G$6*EXP(Ft!G$38*($A265-Ft!G$2)^2)),Ft!G$3*((1-Ft!G$7)/(1+Ft!G$39*($A265-Ft!G$2)^2)+Ft!G$7*EXP(Ft!G$40*($A265-Ft!G$2)^2)))</f>
        <v>0</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v>528</v>
      </c>
      <c r="B266">
        <v>18.86254260304699</v>
      </c>
      <c r="C266" s="6">
        <f t="shared" si="9"/>
        <v>18.665618151649184</v>
      </c>
      <c r="D266" s="19">
        <f t="shared" si="10"/>
        <v>3.8779239558326642E-2</v>
      </c>
      <c r="E266" s="3">
        <f>Ft!$B$12+Ft!$B$14*(Data!A266-Vars!$B$3)</f>
        <v>0</v>
      </c>
      <c r="F266" s="3">
        <f>IF(($A266-Ft!B$2)&lt;0,Ft!B$3*((1-Ft!B$6)/(1+Ft!B$37*($A266-Ft!B$2)^2)+Ft!B$6*EXP(Ft!B$38*($A266-Ft!B$2)^2)),Ft!B$3*((1-Ft!B$7)/(1+Ft!B$39*($A266-Ft!B$2)^2)+Ft!B$7*EXP(Ft!B$40*($A266-Ft!B$2)^2)))</f>
        <v>3.5725102246122498E-127</v>
      </c>
      <c r="G266" s="3">
        <f>IF(($A266-Ft!C$2)&lt;0,Ft!C$3*((1-Ft!C$6)/(1+Ft!C$37*($A266-Ft!C$2)^2)+Ft!C$6*EXP(Ft!C$38*($A266-Ft!C$2)^2)),Ft!C$3*((1-Ft!C$7)/(1+Ft!C$39*($A266-Ft!C$2)^2)+Ft!C$7*EXP(Ft!C$40*($A266-Ft!C$2)^2)))</f>
        <v>8.0132570355693269E-5</v>
      </c>
      <c r="H266" s="3">
        <f>IF(($A266-Ft!D$2)&lt;0,Ft!D$3*((1-Ft!D$6)/(1+Ft!D$37*($A266-Ft!D$2)^2)+Ft!D$6*EXP(Ft!D$38*($A266-Ft!D$2)^2)),Ft!D$3*((1-Ft!D$7)/(1+Ft!D$39*($A266-Ft!D$2)^2)+Ft!D$7*EXP(Ft!D$40*($A266-Ft!D$2)^2)))</f>
        <v>14.904198450525792</v>
      </c>
      <c r="I266" s="3">
        <f>IF(($A266-Ft!E$2)&lt;0,Ft!E$3*((1-Ft!E$6)/(1+Ft!E$37*($A266-Ft!E$2)^2)+Ft!E$6*EXP(Ft!E$38*($A266-Ft!E$2)^2)),Ft!E$3*((1-Ft!E$7)/(1+Ft!E$39*($A266-Ft!E$2)^2)+Ft!E$7*EXP(Ft!E$40*($A266-Ft!E$2)^2)))</f>
        <v>3.7613395685530375</v>
      </c>
      <c r="J266" s="3">
        <f>IF(($A266-Ft!F$2)&lt;0,Ft!F$3*((1-Ft!F$6)/(1+Ft!F$37*($A266-Ft!F$2)^2)+Ft!F$6*EXP(Ft!F$38*($A266-Ft!F$2)^2)),Ft!F$3*((1-Ft!F$7)/(1+Ft!F$39*($A266-Ft!F$2)^2)+Ft!F$7*EXP(Ft!F$40*($A266-Ft!F$2)^2)))</f>
        <v>1.0893853797994417E-47</v>
      </c>
      <c r="K266" s="3">
        <f>IF(($A266-Ft!G$2)&lt;0,Ft!G$3*((1-Ft!G$6)/(1+Ft!G$37*($A266-Ft!G$2)^2)+Ft!G$6*EXP(Ft!G$38*($A266-Ft!G$2)^2)),Ft!G$3*((1-Ft!G$7)/(1+Ft!G$39*($A266-Ft!G$2)^2)+Ft!G$7*EXP(Ft!G$40*($A266-Ft!G$2)^2)))</f>
        <v>0</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v>530</v>
      </c>
      <c r="B267">
        <v>18.840285608798993</v>
      </c>
      <c r="C267" s="6">
        <f t="shared" si="9"/>
        <v>18.62802424884956</v>
      </c>
      <c r="D267" s="19">
        <f t="shared" si="10"/>
        <v>4.5054884927583028E-2</v>
      </c>
      <c r="E267" s="3">
        <f>Ft!$B$12+Ft!$B$14*(Data!A267-Vars!$B$3)</f>
        <v>0</v>
      </c>
      <c r="F267" s="3">
        <f>IF(($A267-Ft!B$2)&lt;0,Ft!B$3*((1-Ft!B$6)/(1+Ft!B$37*($A267-Ft!B$2)^2)+Ft!B$6*EXP(Ft!B$38*($A267-Ft!B$2)^2)),Ft!B$3*((1-Ft!B$7)/(1+Ft!B$39*($A267-Ft!B$2)^2)+Ft!B$7*EXP(Ft!B$40*($A267-Ft!B$2)^2)))</f>
        <v>3.1496314984476802E-128</v>
      </c>
      <c r="G267" s="3">
        <f>IF(($A267-Ft!C$2)&lt;0,Ft!C$3*((1-Ft!C$6)/(1+Ft!C$37*($A267-Ft!C$2)^2)+Ft!C$6*EXP(Ft!C$38*($A267-Ft!C$2)^2)),Ft!C$3*((1-Ft!C$7)/(1+Ft!C$39*($A267-Ft!C$2)^2)+Ft!C$7*EXP(Ft!C$40*($A267-Ft!C$2)^2)))</f>
        <v>7.1008990137890997E-5</v>
      </c>
      <c r="H267" s="3">
        <f>IF(($A267-Ft!D$2)&lt;0,Ft!D$3*((1-Ft!D$6)/(1+Ft!D$37*($A267-Ft!D$2)^2)+Ft!D$6*EXP(Ft!D$38*($A267-Ft!D$2)^2)),Ft!D$3*((1-Ft!D$7)/(1+Ft!D$39*($A267-Ft!D$2)^2)+Ft!D$7*EXP(Ft!D$40*($A267-Ft!D$2)^2)))</f>
        <v>14.789306039669292</v>
      </c>
      <c r="I267" s="3">
        <f>IF(($A267-Ft!E$2)&lt;0,Ft!E$3*((1-Ft!E$6)/(1+Ft!E$37*($A267-Ft!E$2)^2)+Ft!E$6*EXP(Ft!E$38*($A267-Ft!E$2)^2)),Ft!E$3*((1-Ft!E$7)/(1+Ft!E$39*($A267-Ft!E$2)^2)+Ft!E$7*EXP(Ft!E$40*($A267-Ft!E$2)^2)))</f>
        <v>3.8386472001901293</v>
      </c>
      <c r="J267" s="3">
        <f>IF(($A267-Ft!F$2)&lt;0,Ft!F$3*((1-Ft!F$6)/(1+Ft!F$37*($A267-Ft!F$2)^2)+Ft!F$6*EXP(Ft!F$38*($A267-Ft!F$2)^2)),Ft!F$3*((1-Ft!F$7)/(1+Ft!F$39*($A267-Ft!F$2)^2)+Ft!F$7*EXP(Ft!F$40*($A267-Ft!F$2)^2)))</f>
        <v>2.6072825297873148E-47</v>
      </c>
      <c r="K267" s="3">
        <f>IF(($A267-Ft!G$2)&lt;0,Ft!G$3*((1-Ft!G$6)/(1+Ft!G$37*($A267-Ft!G$2)^2)+Ft!G$6*EXP(Ft!G$38*($A267-Ft!G$2)^2)),Ft!G$3*((1-Ft!G$7)/(1+Ft!G$39*($A267-Ft!G$2)^2)+Ft!G$7*EXP(Ft!G$40*($A267-Ft!G$2)^2)))</f>
        <v>0</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v>532</v>
      </c>
      <c r="B268">
        <v>18.816926340558993</v>
      </c>
      <c r="C268" s="6">
        <f t="shared" si="9"/>
        <v>18.589854083611353</v>
      </c>
      <c r="D268" s="19">
        <f t="shared" si="10"/>
        <v>5.1561809875294941E-2</v>
      </c>
      <c r="E268" s="3">
        <f>Ft!$B$12+Ft!$B$14*(Data!A268-Vars!$B$3)</f>
        <v>0</v>
      </c>
      <c r="F268" s="3">
        <f>IF(($A268-Ft!B$2)&lt;0,Ft!B$3*((1-Ft!B$6)/(1+Ft!B$37*($A268-Ft!B$2)^2)+Ft!B$6*EXP(Ft!B$38*($A268-Ft!B$2)^2)),Ft!B$3*((1-Ft!B$7)/(1+Ft!B$39*($A268-Ft!B$2)^2)+Ft!B$7*EXP(Ft!B$40*($A268-Ft!B$2)^2)))</f>
        <v>2.7490504274450777E-129</v>
      </c>
      <c r="G268" s="3">
        <f>IF(($A268-Ft!C$2)&lt;0,Ft!C$3*((1-Ft!C$6)/(1+Ft!C$37*($A268-Ft!C$2)^2)+Ft!C$6*EXP(Ft!C$38*($A268-Ft!C$2)^2)),Ft!C$3*((1-Ft!C$7)/(1+Ft!C$39*($A268-Ft!C$2)^2)+Ft!C$7*EXP(Ft!C$40*($A268-Ft!C$2)^2)))</f>
        <v>6.2885075773851473E-5</v>
      </c>
      <c r="H268" s="3">
        <f>IF(($A268-Ft!D$2)&lt;0,Ft!D$3*((1-Ft!D$6)/(1+Ft!D$37*($A268-Ft!D$2)^2)+Ft!D$6*EXP(Ft!D$38*($A268-Ft!D$2)^2)),Ft!D$3*((1-Ft!D$7)/(1+Ft!D$39*($A268-Ft!D$2)^2)+Ft!D$7*EXP(Ft!D$40*($A268-Ft!D$2)^2)))</f>
        <v>14.672802735657879</v>
      </c>
      <c r="I268" s="3">
        <f>IF(($A268-Ft!E$2)&lt;0,Ft!E$3*((1-Ft!E$6)/(1+Ft!E$37*($A268-Ft!E$2)^2)+Ft!E$6*EXP(Ft!E$38*($A268-Ft!E$2)^2)),Ft!E$3*((1-Ft!E$7)/(1+Ft!E$39*($A268-Ft!E$2)^2)+Ft!E$7*EXP(Ft!E$40*($A268-Ft!E$2)^2)))</f>
        <v>3.9169884628777005</v>
      </c>
      <c r="J268" s="3">
        <f>IF(($A268-Ft!F$2)&lt;0,Ft!F$3*((1-Ft!F$6)/(1+Ft!F$37*($A268-Ft!F$2)^2)+Ft!F$6*EXP(Ft!F$38*($A268-Ft!F$2)^2)),Ft!F$3*((1-Ft!F$7)/(1+Ft!F$39*($A268-Ft!F$2)^2)+Ft!F$7*EXP(Ft!F$40*($A268-Ft!F$2)^2)))</f>
        <v>6.2185027207625456E-47</v>
      </c>
      <c r="K268" s="3">
        <f>IF(($A268-Ft!G$2)&lt;0,Ft!G$3*((1-Ft!G$6)/(1+Ft!G$37*($A268-Ft!G$2)^2)+Ft!G$6*EXP(Ft!G$38*($A268-Ft!G$2)^2)),Ft!G$3*((1-Ft!G$7)/(1+Ft!G$39*($A268-Ft!G$2)^2)+Ft!G$7*EXP(Ft!G$40*($A268-Ft!G$2)^2)))</f>
        <v>0</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v>534</v>
      </c>
      <c r="B269">
        <v>18.791667879034989</v>
      </c>
      <c r="C269" s="6">
        <f t="shared" si="9"/>
        <v>18.551158383439528</v>
      </c>
      <c r="D269" s="19">
        <f t="shared" si="10"/>
        <v>5.7844817471583064E-2</v>
      </c>
      <c r="E269" s="3">
        <f>Ft!$B$12+Ft!$B$14*(Data!A269-Vars!$B$3)</f>
        <v>0</v>
      </c>
      <c r="F269" s="3">
        <f>IF(($A269-Ft!B$2)&lt;0,Ft!B$3*((1-Ft!B$6)/(1+Ft!B$37*($A269-Ft!B$2)^2)+Ft!B$6*EXP(Ft!B$38*($A269-Ft!B$2)^2)),Ft!B$3*((1-Ft!B$7)/(1+Ft!B$39*($A269-Ft!B$2)^2)+Ft!B$7*EXP(Ft!B$40*($A269-Ft!B$2)^2)))</f>
        <v>2.3754306979282992E-130</v>
      </c>
      <c r="G269" s="3">
        <f>IF(($A269-Ft!C$2)&lt;0,Ft!C$3*((1-Ft!C$6)/(1+Ft!C$37*($A269-Ft!C$2)^2)+Ft!C$6*EXP(Ft!C$38*($A269-Ft!C$2)^2)),Ft!C$3*((1-Ft!C$7)/(1+Ft!C$39*($A269-Ft!C$2)^2)+Ft!C$7*EXP(Ft!C$40*($A269-Ft!C$2)^2)))</f>
        <v>5.5655979479045426E-5</v>
      </c>
      <c r="H269" s="3">
        <f>IF(($A269-Ft!D$2)&lt;0,Ft!D$3*((1-Ft!D$6)/(1+Ft!D$37*($A269-Ft!D$2)^2)+Ft!D$6*EXP(Ft!D$38*($A269-Ft!D$2)^2)),Ft!D$3*((1-Ft!D$7)/(1+Ft!D$39*($A269-Ft!D$2)^2)+Ft!D$7*EXP(Ft!D$40*($A269-Ft!D$2)^2)))</f>
        <v>14.55474071140495</v>
      </c>
      <c r="I269" s="3">
        <f>IF(($A269-Ft!E$2)&lt;0,Ft!E$3*((1-Ft!E$6)/(1+Ft!E$37*($A269-Ft!E$2)^2)+Ft!E$6*EXP(Ft!E$38*($A269-Ft!E$2)^2)),Ft!E$3*((1-Ft!E$7)/(1+Ft!E$39*($A269-Ft!E$2)^2)+Ft!E$7*EXP(Ft!E$40*($A269-Ft!E$2)^2)))</f>
        <v>3.9963620160551012</v>
      </c>
      <c r="J269" s="3">
        <f>IF(($A269-Ft!F$2)&lt;0,Ft!F$3*((1-Ft!F$6)/(1+Ft!F$37*($A269-Ft!F$2)^2)+Ft!F$6*EXP(Ft!F$38*($A269-Ft!F$2)^2)),Ft!F$3*((1-Ft!F$7)/(1+Ft!F$39*($A269-Ft!F$2)^2)+Ft!F$7*EXP(Ft!F$40*($A269-Ft!F$2)^2)))</f>
        <v>1.4780010568237153E-46</v>
      </c>
      <c r="K269" s="3">
        <f>IF(($A269-Ft!G$2)&lt;0,Ft!G$3*((1-Ft!G$6)/(1+Ft!G$37*($A269-Ft!G$2)^2)+Ft!G$6*EXP(Ft!G$38*($A269-Ft!G$2)^2)),Ft!G$3*((1-Ft!G$7)/(1+Ft!G$39*($A269-Ft!G$2)^2)+Ft!G$7*EXP(Ft!G$40*($A269-Ft!G$2)^2)))</f>
        <v>0</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v>536</v>
      </c>
      <c r="B270">
        <v>18.763713304931997</v>
      </c>
      <c r="C270" s="6">
        <f t="shared" si="9"/>
        <v>18.511987792571215</v>
      </c>
      <c r="D270" s="19">
        <f t="shared" si="10"/>
        <v>6.3365733573298097E-2</v>
      </c>
      <c r="E270" s="3">
        <f>Ft!$B$12+Ft!$B$14*(Data!A270-Vars!$B$3)</f>
        <v>0</v>
      </c>
      <c r="F270" s="3">
        <f>IF(($A270-Ft!B$2)&lt;0,Ft!B$3*((1-Ft!B$6)/(1+Ft!B$37*($A270-Ft!B$2)^2)+Ft!B$6*EXP(Ft!B$38*($A270-Ft!B$2)^2)),Ft!B$3*((1-Ft!B$7)/(1+Ft!B$39*($A270-Ft!B$2)^2)+Ft!B$7*EXP(Ft!B$40*($A270-Ft!B$2)^2)))</f>
        <v>2.0320702585660122E-131</v>
      </c>
      <c r="G270" s="3">
        <f>IF(($A270-Ft!C$2)&lt;0,Ft!C$3*((1-Ft!C$6)/(1+Ft!C$37*($A270-Ft!C$2)^2)+Ft!C$6*EXP(Ft!C$38*($A270-Ft!C$2)^2)),Ft!C$3*((1-Ft!C$7)/(1+Ft!C$39*($A270-Ft!C$2)^2)+Ft!C$7*EXP(Ft!C$40*($A270-Ft!C$2)^2)))</f>
        <v>4.9227305089439214E-5</v>
      </c>
      <c r="H270" s="3">
        <f>IF(($A270-Ft!D$2)&lt;0,Ft!D$3*((1-Ft!D$6)/(1+Ft!D$37*($A270-Ft!D$2)^2)+Ft!D$6*EXP(Ft!D$38*($A270-Ft!D$2)^2)),Ft!D$3*((1-Ft!D$7)/(1+Ft!D$39*($A270-Ft!D$2)^2)+Ft!D$7*EXP(Ft!D$40*($A270-Ft!D$2)^2)))</f>
        <v>14.435172516772411</v>
      </c>
      <c r="I270" s="3">
        <f>IF(($A270-Ft!E$2)&lt;0,Ft!E$3*((1-Ft!E$6)/(1+Ft!E$37*($A270-Ft!E$2)^2)+Ft!E$6*EXP(Ft!E$38*($A270-Ft!E$2)^2)),Ft!E$3*((1-Ft!E$7)/(1+Ft!E$39*($A270-Ft!E$2)^2)+Ft!E$7*EXP(Ft!E$40*($A270-Ft!E$2)^2)))</f>
        <v>4.0767660484937149</v>
      </c>
      <c r="J270" s="3">
        <f>IF(($A270-Ft!F$2)&lt;0,Ft!F$3*((1-Ft!F$6)/(1+Ft!F$37*($A270-Ft!F$2)^2)+Ft!F$6*EXP(Ft!F$38*($A270-Ft!F$2)^2)),Ft!F$3*((1-Ft!F$7)/(1+Ft!F$39*($A270-Ft!F$2)^2)+Ft!F$7*EXP(Ft!F$40*($A270-Ft!F$2)^2)))</f>
        <v>3.5006995794523658E-46</v>
      </c>
      <c r="K270" s="3">
        <f>IF(($A270-Ft!G$2)&lt;0,Ft!G$3*((1-Ft!G$6)/(1+Ft!G$37*($A270-Ft!G$2)^2)+Ft!G$6*EXP(Ft!G$38*($A270-Ft!G$2)^2)),Ft!G$3*((1-Ft!G$7)/(1+Ft!G$39*($A270-Ft!G$2)^2)+Ft!G$7*EXP(Ft!G$40*($A270-Ft!G$2)^2)))</f>
        <v>0</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v>538</v>
      </c>
      <c r="B271">
        <v>18.732265698956994</v>
      </c>
      <c r="C271" s="6">
        <f t="shared" si="9"/>
        <v>18.472392823848924</v>
      </c>
      <c r="D271" s="19">
        <f t="shared" si="10"/>
        <v>6.7533911216934139E-2</v>
      </c>
      <c r="E271" s="3">
        <f>Ft!$B$12+Ft!$B$14*(Data!A271-Vars!$B$3)</f>
        <v>0</v>
      </c>
      <c r="F271" s="3">
        <f>IF(($A271-Ft!B$2)&lt;0,Ft!B$3*((1-Ft!B$6)/(1+Ft!B$37*($A271-Ft!B$2)^2)+Ft!B$6*EXP(Ft!B$38*($A271-Ft!B$2)^2)),Ft!B$3*((1-Ft!B$7)/(1+Ft!B$39*($A271-Ft!B$2)^2)+Ft!B$7*EXP(Ft!B$40*($A271-Ft!B$2)^2)))</f>
        <v>1.7209639430832876E-132</v>
      </c>
      <c r="G271" s="3">
        <f>IF(($A271-Ft!C$2)&lt;0,Ft!C$3*((1-Ft!C$6)/(1+Ft!C$37*($A271-Ft!C$2)^2)+Ft!C$6*EXP(Ft!C$38*($A271-Ft!C$2)^2)),Ft!C$3*((1-Ft!C$7)/(1+Ft!C$39*($A271-Ft!C$2)^2)+Ft!C$7*EXP(Ft!C$40*($A271-Ft!C$2)^2)))</f>
        <v>4.3514127690552641E-5</v>
      </c>
      <c r="H271" s="3">
        <f>IF(($A271-Ft!D$2)&lt;0,Ft!D$3*((1-Ft!D$6)/(1+Ft!D$37*($A271-Ft!D$2)^2)+Ft!D$6*EXP(Ft!D$38*($A271-Ft!D$2)^2)),Ft!D$3*((1-Ft!D$7)/(1+Ft!D$39*($A271-Ft!D$2)^2)+Ft!D$7*EXP(Ft!D$40*($A271-Ft!D$2)^2)))</f>
        <v>14.314151039924145</v>
      </c>
      <c r="I271" s="3">
        <f>IF(($A271-Ft!E$2)&lt;0,Ft!E$3*((1-Ft!E$6)/(1+Ft!E$37*($A271-Ft!E$2)^2)+Ft!E$6*EXP(Ft!E$38*($A271-Ft!E$2)^2)),Ft!E$3*((1-Ft!E$7)/(1+Ft!E$39*($A271-Ft!E$2)^2)+Ft!E$7*EXP(Ft!E$40*($A271-Ft!E$2)^2)))</f>
        <v>4.1581982697970892</v>
      </c>
      <c r="J271" s="3">
        <f>IF(($A271-Ft!F$2)&lt;0,Ft!F$3*((1-Ft!F$6)/(1+Ft!F$37*($A271-Ft!F$2)^2)+Ft!F$6*EXP(Ft!F$38*($A271-Ft!F$2)^2)),Ft!F$3*((1-Ft!F$7)/(1+Ft!F$39*($A271-Ft!F$2)^2)+Ft!F$7*EXP(Ft!F$40*($A271-Ft!F$2)^2)))</f>
        <v>8.2627787143371336E-46</v>
      </c>
      <c r="K271" s="3">
        <f>IF(($A271-Ft!G$2)&lt;0,Ft!G$3*((1-Ft!G$6)/(1+Ft!G$37*($A271-Ft!G$2)^2)+Ft!G$6*EXP(Ft!G$38*($A271-Ft!G$2)^2)),Ft!G$3*((1-Ft!G$7)/(1+Ft!G$39*($A271-Ft!G$2)^2)+Ft!G$7*EXP(Ft!G$40*($A271-Ft!G$2)^2)))</f>
        <v>0</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v>540</v>
      </c>
      <c r="B272">
        <v>18.696375384402998</v>
      </c>
      <c r="C272" s="6">
        <f t="shared" si="9"/>
        <v>18.432423810878078</v>
      </c>
      <c r="D272" s="19">
        <f t="shared" si="10"/>
        <v>6.9670433166281506E-2</v>
      </c>
      <c r="E272" s="3">
        <f>Ft!$B$12+Ft!$B$14*(Data!A272-Vars!$B$3)</f>
        <v>0</v>
      </c>
      <c r="F272" s="3">
        <f>IF(($A272-Ft!B$2)&lt;0,Ft!B$3*((1-Ft!B$6)/(1+Ft!B$37*($A272-Ft!B$2)^2)+Ft!B$6*EXP(Ft!B$38*($A272-Ft!B$2)^2)),Ft!B$3*((1-Ft!B$7)/(1+Ft!B$39*($A272-Ft!B$2)^2)+Ft!B$7*EXP(Ft!B$40*($A272-Ft!B$2)^2)))</f>
        <v>1.4429175634731632E-133</v>
      </c>
      <c r="G272" s="3">
        <f>IF(($A272-Ft!C$2)&lt;0,Ft!C$3*((1-Ft!C$6)/(1+Ft!C$37*($A272-Ft!C$2)^2)+Ft!C$6*EXP(Ft!C$38*($A272-Ft!C$2)^2)),Ft!C$3*((1-Ft!C$7)/(1+Ft!C$39*($A272-Ft!C$2)^2)+Ft!C$7*EXP(Ft!C$40*($A272-Ft!C$2)^2)))</f>
        <v>3.8440098493343064E-5</v>
      </c>
      <c r="H272" s="3">
        <f>IF(($A272-Ft!D$2)&lt;0,Ft!D$3*((1-Ft!D$6)/(1+Ft!D$37*($A272-Ft!D$2)^2)+Ft!D$6*EXP(Ft!D$38*($A272-Ft!D$2)^2)),Ft!D$3*((1-Ft!D$7)/(1+Ft!D$39*($A272-Ft!D$2)^2)+Ft!D$7*EXP(Ft!D$40*($A272-Ft!D$2)^2)))</f>
        <v>14.191729468707138</v>
      </c>
      <c r="I272" s="3">
        <f>IF(($A272-Ft!E$2)&lt;0,Ft!E$3*((1-Ft!E$6)/(1+Ft!E$37*($A272-Ft!E$2)^2)+Ft!E$6*EXP(Ft!E$38*($A272-Ft!E$2)^2)),Ft!E$3*((1-Ft!E$7)/(1+Ft!E$39*($A272-Ft!E$2)^2)+Ft!E$7*EXP(Ft!E$40*($A272-Ft!E$2)^2)))</f>
        <v>4.240655902072449</v>
      </c>
      <c r="J272" s="3">
        <f>IF(($A272-Ft!F$2)&lt;0,Ft!F$3*((1-Ft!F$6)/(1+Ft!F$37*($A272-Ft!F$2)^2)+Ft!F$6*EXP(Ft!F$38*($A272-Ft!F$2)^2)),Ft!F$3*((1-Ft!F$7)/(1+Ft!F$39*($A272-Ft!F$2)^2)+Ft!F$7*EXP(Ft!F$40*($A272-Ft!F$2)^2)))</f>
        <v>1.943518073325127E-45</v>
      </c>
      <c r="K272" s="3">
        <f>IF(($A272-Ft!G$2)&lt;0,Ft!G$3*((1-Ft!G$6)/(1+Ft!G$37*($A272-Ft!G$2)^2)+Ft!G$6*EXP(Ft!G$38*($A272-Ft!G$2)^2)),Ft!G$3*((1-Ft!G$7)/(1+Ft!G$39*($A272-Ft!G$2)^2)+Ft!G$7*EXP(Ft!G$40*($A272-Ft!G$2)^2)))</f>
        <v>0</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v>542</v>
      </c>
      <c r="B273">
        <v>18.655062263709993</v>
      </c>
      <c r="C273" s="6">
        <f t="shared" si="9"/>
        <v>18.392130860511667</v>
      </c>
      <c r="D273" s="19">
        <f t="shared" si="10"/>
        <v>6.9132922787840834E-2</v>
      </c>
      <c r="E273" s="3">
        <f>Ft!$B$12+Ft!$B$14*(Data!A273-Vars!$B$3)</f>
        <v>0</v>
      </c>
      <c r="F273" s="3">
        <f>IF(($A273-Ft!B$2)&lt;0,Ft!B$3*((1-Ft!B$6)/(1+Ft!B$37*($A273-Ft!B$2)^2)+Ft!B$6*EXP(Ft!B$38*($A273-Ft!B$2)^2)),Ft!B$3*((1-Ft!B$7)/(1+Ft!B$39*($A273-Ft!B$2)^2)+Ft!B$7*EXP(Ft!B$40*($A273-Ft!B$2)^2)))</f>
        <v>1.1976997669041063E-134</v>
      </c>
      <c r="G273" s="3">
        <f>IF(($A273-Ft!C$2)&lt;0,Ft!C$3*((1-Ft!C$6)/(1+Ft!C$37*($A273-Ft!C$2)^2)+Ft!C$6*EXP(Ft!C$38*($A273-Ft!C$2)^2)),Ft!C$3*((1-Ft!C$7)/(1+Ft!C$39*($A273-Ft!C$2)^2)+Ft!C$7*EXP(Ft!C$40*($A273-Ft!C$2)^2)))</f>
        <v>3.3936628253422554E-5</v>
      </c>
      <c r="H273" s="3">
        <f>IF(($A273-Ft!D$2)&lt;0,Ft!D$3*((1-Ft!D$6)/(1+Ft!D$37*($A273-Ft!D$2)^2)+Ft!D$6*EXP(Ft!D$38*($A273-Ft!D$2)^2)),Ft!D$3*((1-Ft!D$7)/(1+Ft!D$39*($A273-Ft!D$2)^2)+Ft!D$7*EXP(Ft!D$40*($A273-Ft!D$2)^2)))</f>
        <v>14.067961252099229</v>
      </c>
      <c r="I273" s="3">
        <f>IF(($A273-Ft!E$2)&lt;0,Ft!E$3*((1-Ft!E$6)/(1+Ft!E$37*($A273-Ft!E$2)^2)+Ft!E$6*EXP(Ft!E$38*($A273-Ft!E$2)^2)),Ft!E$3*((1-Ft!E$7)/(1+Ft!E$39*($A273-Ft!E$2)^2)+Ft!E$7*EXP(Ft!E$40*($A273-Ft!E$2)^2)))</f>
        <v>4.3241356717841839</v>
      </c>
      <c r="J273" s="3">
        <f>IF(($A273-Ft!F$2)&lt;0,Ft!F$3*((1-Ft!F$6)/(1+Ft!F$37*($A273-Ft!F$2)^2)+Ft!F$6*EXP(Ft!F$38*($A273-Ft!F$2)^2)),Ft!F$3*((1-Ft!F$7)/(1+Ft!F$39*($A273-Ft!F$2)^2)+Ft!F$7*EXP(Ft!F$40*($A273-Ft!F$2)^2)))</f>
        <v>4.5555647838913882E-45</v>
      </c>
      <c r="K273" s="3">
        <f>IF(($A273-Ft!G$2)&lt;0,Ft!G$3*((1-Ft!G$6)/(1+Ft!G$37*($A273-Ft!G$2)^2)+Ft!G$6*EXP(Ft!G$38*($A273-Ft!G$2)^2)),Ft!G$3*((1-Ft!G$7)/(1+Ft!G$39*($A273-Ft!G$2)^2)+Ft!G$7*EXP(Ft!G$40*($A273-Ft!G$2)^2)))</f>
        <v>0</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v>544</v>
      </c>
      <c r="B274">
        <v>18.609250818291997</v>
      </c>
      <c r="C274" s="6">
        <f t="shared" si="9"/>
        <v>18.351563805705123</v>
      </c>
      <c r="D274" s="19">
        <f t="shared" si="10"/>
        <v>6.6402596455947982E-2</v>
      </c>
      <c r="E274" s="3">
        <f>Ft!$B$12+Ft!$B$14*(Data!A274-Vars!$B$3)</f>
        <v>0</v>
      </c>
      <c r="F274" s="3">
        <f>IF(($A274-Ft!B$2)&lt;0,Ft!B$3*((1-Ft!B$6)/(1+Ft!B$37*($A274-Ft!B$2)^2)+Ft!B$6*EXP(Ft!B$38*($A274-Ft!B$2)^2)),Ft!B$3*((1-Ft!B$7)/(1+Ft!B$39*($A274-Ft!B$2)^2)+Ft!B$7*EXP(Ft!B$40*($A274-Ft!B$2)^2)))</f>
        <v>9.8421755504034671E-136</v>
      </c>
      <c r="G274" s="3">
        <f>IF(($A274-Ft!C$2)&lt;0,Ft!C$3*((1-Ft!C$6)/(1+Ft!C$37*($A274-Ft!C$2)^2)+Ft!C$6*EXP(Ft!C$38*($A274-Ft!C$2)^2)),Ft!C$3*((1-Ft!C$7)/(1+Ft!C$39*($A274-Ft!C$2)^2)+Ft!C$7*EXP(Ft!C$40*($A274-Ft!C$2)^2)))</f>
        <v>2.9942142984608869E-5</v>
      </c>
      <c r="H274" s="3">
        <f>IF(($A274-Ft!D$2)&lt;0,Ft!D$3*((1-Ft!D$6)/(1+Ft!D$37*($A274-Ft!D$2)^2)+Ft!D$6*EXP(Ft!D$38*($A274-Ft!D$2)^2)),Ft!D$3*((1-Ft!D$7)/(1+Ft!D$39*($A274-Ft!D$2)^2)+Ft!D$7*EXP(Ft!D$40*($A274-Ft!D$2)^2)))</f>
        <v>13.942900061762185</v>
      </c>
      <c r="I274" s="3">
        <f>IF(($A274-Ft!E$2)&lt;0,Ft!E$3*((1-Ft!E$6)/(1+Ft!E$37*($A274-Ft!E$2)^2)+Ft!E$6*EXP(Ft!E$38*($A274-Ft!E$2)^2)),Ft!E$3*((1-Ft!E$7)/(1+Ft!E$39*($A274-Ft!E$2)^2)+Ft!E$7*EXP(Ft!E$40*($A274-Ft!E$2)^2)))</f>
        <v>4.4086338017999536</v>
      </c>
      <c r="J274" s="3">
        <f>IF(($A274-Ft!F$2)&lt;0,Ft!F$3*((1-Ft!F$6)/(1+Ft!F$37*($A274-Ft!F$2)^2)+Ft!F$6*EXP(Ft!F$38*($A274-Ft!F$2)^2)),Ft!F$3*((1-Ft!F$7)/(1+Ft!F$39*($A274-Ft!F$2)^2)+Ft!F$7*EXP(Ft!F$40*($A274-Ft!F$2)^2)))</f>
        <v>1.064111293338737E-44</v>
      </c>
      <c r="K274" s="3">
        <f>IF(($A274-Ft!G$2)&lt;0,Ft!G$3*((1-Ft!G$6)/(1+Ft!G$37*($A274-Ft!G$2)^2)+Ft!G$6*EXP(Ft!G$38*($A274-Ft!G$2)^2)),Ft!G$3*((1-Ft!G$7)/(1+Ft!G$39*($A274-Ft!G$2)^2)+Ft!G$7*EXP(Ft!G$40*($A274-Ft!G$2)^2)))</f>
        <v>0</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v>546</v>
      </c>
      <c r="B275">
        <v>18.560099772111997</v>
      </c>
      <c r="C275" s="6">
        <f t="shared" si="9"/>
        <v>18.310772158784381</v>
      </c>
      <c r="D275" s="19">
        <f t="shared" si="10"/>
        <v>6.216425876764492E-2</v>
      </c>
      <c r="E275" s="3">
        <f>Ft!$B$12+Ft!$B$14*(Data!A275-Vars!$B$3)</f>
        <v>0</v>
      </c>
      <c r="F275" s="3">
        <f>IF(($A275-Ft!B$2)&lt;0,Ft!B$3*((1-Ft!B$6)/(1+Ft!B$37*($A275-Ft!B$2)^2)+Ft!B$6*EXP(Ft!B$38*($A275-Ft!B$2)^2)),Ft!B$3*((1-Ft!B$7)/(1+Ft!B$39*($A275-Ft!B$2)^2)+Ft!B$7*EXP(Ft!B$40*($A275-Ft!B$2)^2)))</f>
        <v>8.0070206012246803E-137</v>
      </c>
      <c r="G275" s="3">
        <f>IF(($A275-Ft!C$2)&lt;0,Ft!C$3*((1-Ft!C$6)/(1+Ft!C$37*($A275-Ft!C$2)^2)+Ft!C$6*EXP(Ft!C$38*($A275-Ft!C$2)^2)),Ft!C$3*((1-Ft!C$7)/(1+Ft!C$39*($A275-Ft!C$2)^2)+Ft!C$7*EXP(Ft!C$40*($A275-Ft!C$2)^2)))</f>
        <v>2.6401406148792194E-5</v>
      </c>
      <c r="H275" s="3">
        <f>IF(($A275-Ft!D$2)&lt;0,Ft!D$3*((1-Ft!D$6)/(1+Ft!D$37*($A275-Ft!D$2)^2)+Ft!D$6*EXP(Ft!D$38*($A275-Ft!D$2)^2)),Ft!D$3*((1-Ft!D$7)/(1+Ft!D$39*($A275-Ft!D$2)^2)+Ft!D$7*EXP(Ft!D$40*($A275-Ft!D$2)^2)))</f>
        <v>13.816599753738188</v>
      </c>
      <c r="I275" s="3">
        <f>IF(($A275-Ft!E$2)&lt;0,Ft!E$3*((1-Ft!E$6)/(1+Ft!E$37*($A275-Ft!E$2)^2)+Ft!E$6*EXP(Ft!E$38*($A275-Ft!E$2)^2)),Ft!E$3*((1-Ft!E$7)/(1+Ft!E$39*($A275-Ft!E$2)^2)+Ft!E$7*EXP(Ft!E$40*($A275-Ft!E$2)^2)))</f>
        <v>4.4941460036400427</v>
      </c>
      <c r="J275" s="3">
        <f>IF(($A275-Ft!F$2)&lt;0,Ft!F$3*((1-Ft!F$6)/(1+Ft!F$37*($A275-Ft!F$2)^2)+Ft!F$6*EXP(Ft!F$38*($A275-Ft!F$2)^2)),Ft!F$3*((1-Ft!F$7)/(1+Ft!F$39*($A275-Ft!F$2)^2)+Ft!F$7*EXP(Ft!F$40*($A275-Ft!F$2)^2)))</f>
        <v>2.4769831915770014E-44</v>
      </c>
      <c r="K275" s="3">
        <f>IF(($A275-Ft!G$2)&lt;0,Ft!G$3*((1-Ft!G$6)/(1+Ft!G$37*($A275-Ft!G$2)^2)+Ft!G$6*EXP(Ft!G$38*($A275-Ft!G$2)^2)),Ft!G$3*((1-Ft!G$7)/(1+Ft!G$39*($A275-Ft!G$2)^2)+Ft!G$7*EXP(Ft!G$40*($A275-Ft!G$2)^2)))</f>
        <v>0</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v>548</v>
      </c>
      <c r="B276">
        <v>18.50876784913099</v>
      </c>
      <c r="C276" s="6">
        <f t="shared" si="9"/>
        <v>18.269805065170033</v>
      </c>
      <c r="D276" s="19">
        <f t="shared" si="10"/>
        <v>5.7103212118371188E-2</v>
      </c>
      <c r="E276" s="3">
        <f>Ft!$B$12+Ft!$B$14*(Data!A276-Vars!$B$3)</f>
        <v>0</v>
      </c>
      <c r="F276" s="3">
        <f>IF(($A276-Ft!B$2)&lt;0,Ft!B$3*((1-Ft!B$6)/(1+Ft!B$37*($A276-Ft!B$2)^2)+Ft!B$6*EXP(Ft!B$38*($A276-Ft!B$2)^2)),Ft!B$3*((1-Ft!B$7)/(1+Ft!B$39*($A276-Ft!B$2)^2)+Ft!B$7*EXP(Ft!B$40*($A276-Ft!B$2)^2)))</f>
        <v>6.4489273062623315E-138</v>
      </c>
      <c r="G276" s="3">
        <f>IF(($A276-Ft!C$2)&lt;0,Ft!C$3*((1-Ft!C$6)/(1+Ft!C$37*($A276-Ft!C$2)^2)+Ft!C$6*EXP(Ft!C$38*($A276-Ft!C$2)^2)),Ft!C$3*((1-Ft!C$7)/(1+Ft!C$39*($A276-Ft!C$2)^2)+Ft!C$7*EXP(Ft!C$40*($A276-Ft!C$2)^2)))</f>
        <v>2.3264901912038E-5</v>
      </c>
      <c r="H276" s="3">
        <f>IF(($A276-Ft!D$2)&lt;0,Ft!D$3*((1-Ft!D$6)/(1+Ft!D$37*($A276-Ft!D$2)^2)+Ft!D$6*EXP(Ft!D$38*($A276-Ft!D$2)^2)),Ft!D$3*((1-Ft!D$7)/(1+Ft!D$39*($A276-Ft!D$2)^2)+Ft!D$7*EXP(Ft!D$40*($A276-Ft!D$2)^2)))</f>
        <v>13.689114330327481</v>
      </c>
      <c r="I276" s="3">
        <f>IF(($A276-Ft!E$2)&lt;0,Ft!E$3*((1-Ft!E$6)/(1+Ft!E$37*($A276-Ft!E$2)^2)+Ft!E$6*EXP(Ft!E$38*($A276-Ft!E$2)^2)),Ft!E$3*((1-Ft!E$7)/(1+Ft!E$39*($A276-Ft!E$2)^2)+Ft!E$7*EXP(Ft!E$40*($A276-Ft!E$2)^2)))</f>
        <v>4.5806674699406384</v>
      </c>
      <c r="J276" s="3">
        <f>IF(($A276-Ft!F$2)&lt;0,Ft!F$3*((1-Ft!F$6)/(1+Ft!F$37*($A276-Ft!F$2)^2)+Ft!F$6*EXP(Ft!F$38*($A276-Ft!F$2)^2)),Ft!F$3*((1-Ft!F$7)/(1+Ft!F$39*($A276-Ft!F$2)^2)+Ft!F$7*EXP(Ft!F$40*($A276-Ft!F$2)^2)))</f>
        <v>5.7457966081188102E-44</v>
      </c>
      <c r="K276" s="3">
        <f>IF(($A276-Ft!G$2)&lt;0,Ft!G$3*((1-Ft!G$6)/(1+Ft!G$37*($A276-Ft!G$2)^2)+Ft!G$6*EXP(Ft!G$38*($A276-Ft!G$2)^2)),Ft!G$3*((1-Ft!G$7)/(1+Ft!G$39*($A276-Ft!G$2)^2)+Ft!G$7*EXP(Ft!G$40*($A276-Ft!G$2)^2)))</f>
        <v>0</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v>550</v>
      </c>
      <c r="B277">
        <v>18.456413773313997</v>
      </c>
      <c r="C277" s="6">
        <f t="shared" si="9"/>
        <v>18.228711257600356</v>
      </c>
      <c r="D277" s="19">
        <f t="shared" si="10"/>
        <v>5.184843566232112E-2</v>
      </c>
      <c r="E277" s="3">
        <f>Ft!$B$12+Ft!$B$14*(Data!A277-Vars!$B$3)</f>
        <v>0</v>
      </c>
      <c r="F277" s="3">
        <f>IF(($A277-Ft!B$2)&lt;0,Ft!B$3*((1-Ft!B$6)/(1+Ft!B$37*($A277-Ft!B$2)^2)+Ft!B$6*EXP(Ft!B$38*($A277-Ft!B$2)^2)),Ft!B$3*((1-Ft!B$7)/(1+Ft!B$39*($A277-Ft!B$2)^2)+Ft!B$7*EXP(Ft!B$40*($A277-Ft!B$2)^2)))</f>
        <v>5.1421023162629845E-139</v>
      </c>
      <c r="G277" s="3">
        <f>IF(($A277-Ft!C$2)&lt;0,Ft!C$3*((1-Ft!C$6)/(1+Ft!C$37*($A277-Ft!C$2)^2)+Ft!C$6*EXP(Ft!C$38*($A277-Ft!C$2)^2)),Ft!C$3*((1-Ft!C$7)/(1+Ft!C$39*($A277-Ft!C$2)^2)+Ft!C$7*EXP(Ft!C$40*($A277-Ft!C$2)^2)))</f>
        <v>2.0488274442291139E-5</v>
      </c>
      <c r="H277" s="3">
        <f>IF(($A277-Ft!D$2)&lt;0,Ft!D$3*((1-Ft!D$6)/(1+Ft!D$37*($A277-Ft!D$2)^2)+Ft!D$6*EXP(Ft!D$38*($A277-Ft!D$2)^2)),Ft!D$3*((1-Ft!D$7)/(1+Ft!D$39*($A277-Ft!D$2)^2)+Ft!D$7*EXP(Ft!D$40*($A277-Ft!D$2)^2)))</f>
        <v>13.560497902184233</v>
      </c>
      <c r="I277" s="3">
        <f>IF(($A277-Ft!E$2)&lt;0,Ft!E$3*((1-Ft!E$6)/(1+Ft!E$37*($A277-Ft!E$2)^2)+Ft!E$6*EXP(Ft!E$38*($A277-Ft!E$2)^2)),Ft!E$3*((1-Ft!E$7)/(1+Ft!E$39*($A277-Ft!E$2)^2)+Ft!E$7*EXP(Ft!E$40*($A277-Ft!E$2)^2)))</f>
        <v>4.6681928671416797</v>
      </c>
      <c r="J277" s="3">
        <f>IF(($A277-Ft!F$2)&lt;0,Ft!F$3*((1-Ft!F$6)/(1+Ft!F$37*($A277-Ft!F$2)^2)+Ft!F$6*EXP(Ft!F$38*($A277-Ft!F$2)^2)),Ft!F$3*((1-Ft!F$7)/(1+Ft!F$39*($A277-Ft!F$2)^2)+Ft!F$7*EXP(Ft!F$40*($A277-Ft!F$2)^2)))</f>
        <v>1.3282157308858609E-43</v>
      </c>
      <c r="K277" s="3">
        <f>IF(($A277-Ft!G$2)&lt;0,Ft!G$3*((1-Ft!G$6)/(1+Ft!G$37*($A277-Ft!G$2)^2)+Ft!G$6*EXP(Ft!G$38*($A277-Ft!G$2)^2)),Ft!G$3*((1-Ft!G$7)/(1+Ft!G$39*($A277-Ft!G$2)^2)+Ft!G$7*EXP(Ft!G$40*($A277-Ft!G$2)^2)))</f>
        <v>0</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v>552</v>
      </c>
      <c r="B278">
        <v>18.404196268620993</v>
      </c>
      <c r="C278" s="6">
        <f t="shared" si="9"/>
        <v>18.187539010895694</v>
      </c>
      <c r="D278" s="19">
        <f t="shared" si="10"/>
        <v>4.6940367325046431E-2</v>
      </c>
      <c r="E278" s="3">
        <f>Ft!$B$12+Ft!$B$14*(Data!A278-Vars!$B$3)</f>
        <v>0</v>
      </c>
      <c r="F278" s="3">
        <f>IF(($A278-Ft!B$2)&lt;0,Ft!B$3*((1-Ft!B$6)/(1+Ft!B$37*($A278-Ft!B$2)^2)+Ft!B$6*EXP(Ft!B$38*($A278-Ft!B$2)^2)),Ft!B$3*((1-Ft!B$7)/(1+Ft!B$39*($A278-Ft!B$2)^2)+Ft!B$7*EXP(Ft!B$40*($A278-Ft!B$2)^2)))</f>
        <v>4.0591083397879416E-140</v>
      </c>
      <c r="G278" s="3">
        <f>IF(($A278-Ft!C$2)&lt;0,Ft!C$3*((1-Ft!C$6)/(1+Ft!C$37*($A278-Ft!C$2)^2)+Ft!C$6*EXP(Ft!C$38*($A278-Ft!C$2)^2)),Ft!C$3*((1-Ft!C$7)/(1+Ft!C$39*($A278-Ft!C$2)^2)+Ft!C$7*EXP(Ft!C$40*($A278-Ft!C$2)^2)))</f>
        <v>1.8031818587605297E-5</v>
      </c>
      <c r="H278" s="3">
        <f>IF(($A278-Ft!D$2)&lt;0,Ft!D$3*((1-Ft!D$6)/(1+Ft!D$37*($A278-Ft!D$2)^2)+Ft!D$6*EXP(Ft!D$38*($A278-Ft!D$2)^2)),Ft!D$3*((1-Ft!D$7)/(1+Ft!D$39*($A278-Ft!D$2)^2)+Ft!D$7*EXP(Ft!D$40*($A278-Ft!D$2)^2)))</f>
        <v>13.430804650667206</v>
      </c>
      <c r="I278" s="3">
        <f>IF(($A278-Ft!E$2)&lt;0,Ft!E$3*((1-Ft!E$6)/(1+Ft!E$37*($A278-Ft!E$2)^2)+Ft!E$6*EXP(Ft!E$38*($A278-Ft!E$2)^2)),Ft!E$3*((1-Ft!E$7)/(1+Ft!E$39*($A278-Ft!E$2)^2)+Ft!E$7*EXP(Ft!E$40*($A278-Ft!E$2)^2)))</f>
        <v>4.7567163284099019</v>
      </c>
      <c r="J278" s="3">
        <f>IF(($A278-Ft!F$2)&lt;0,Ft!F$3*((1-Ft!F$6)/(1+Ft!F$37*($A278-Ft!F$2)^2)+Ft!F$6*EXP(Ft!F$38*($A278-Ft!F$2)^2)),Ft!F$3*((1-Ft!F$7)/(1+Ft!F$39*($A278-Ft!F$2)^2)+Ft!F$7*EXP(Ft!F$40*($A278-Ft!F$2)^2)))</f>
        <v>3.0596952506352798E-43</v>
      </c>
      <c r="K278" s="3">
        <f>IF(($A278-Ft!G$2)&lt;0,Ft!G$3*((1-Ft!G$6)/(1+Ft!G$37*($A278-Ft!G$2)^2)+Ft!G$6*EXP(Ft!G$38*($A278-Ft!G$2)^2)),Ft!G$3*((1-Ft!G$7)/(1+Ft!G$39*($A278-Ft!G$2)^2)+Ft!G$7*EXP(Ft!G$40*($A278-Ft!G$2)^2)))</f>
        <v>0</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v>554</v>
      </c>
      <c r="B279">
        <v>18.353274059017991</v>
      </c>
      <c r="C279" s="6">
        <f t="shared" si="9"/>
        <v>18.14633609730641</v>
      </c>
      <c r="D279" s="19">
        <f t="shared" si="10"/>
        <v>4.2823319997343935E-2</v>
      </c>
      <c r="E279" s="3">
        <f>Ft!$B$12+Ft!$B$14*(Data!A279-Vars!$B$3)</f>
        <v>0</v>
      </c>
      <c r="F279" s="3">
        <f>IF(($A279-Ft!B$2)&lt;0,Ft!B$3*((1-Ft!B$6)/(1+Ft!B$37*($A279-Ft!B$2)^2)+Ft!B$6*EXP(Ft!B$38*($A279-Ft!B$2)^2)),Ft!B$3*((1-Ft!B$7)/(1+Ft!B$39*($A279-Ft!B$2)^2)+Ft!B$7*EXP(Ft!B$40*($A279-Ft!B$2)^2)))</f>
        <v>3.1721759556543246E-141</v>
      </c>
      <c r="G279" s="3">
        <f>IF(($A279-Ft!C$2)&lt;0,Ft!C$3*((1-Ft!C$6)/(1+Ft!C$37*($A279-Ft!C$2)^2)+Ft!C$6*EXP(Ft!C$38*($A279-Ft!C$2)^2)),Ft!C$3*((1-Ft!C$7)/(1+Ft!C$39*($A279-Ft!C$2)^2)+Ft!C$7*EXP(Ft!C$40*($A279-Ft!C$2)^2)))</f>
        <v>1.5860017616177181E-5</v>
      </c>
      <c r="H279" s="3">
        <f>IF(($A279-Ft!D$2)&lt;0,Ft!D$3*((1-Ft!D$6)/(1+Ft!D$37*($A279-Ft!D$2)^2)+Ft!D$6*EXP(Ft!D$38*($A279-Ft!D$2)^2)),Ft!D$3*((1-Ft!D$7)/(1+Ft!D$39*($A279-Ft!D$2)^2)+Ft!D$7*EXP(Ft!D$40*($A279-Ft!D$2)^2)))</f>
        <v>13.300088790481109</v>
      </c>
      <c r="I279" s="3">
        <f>IF(($A279-Ft!E$2)&lt;0,Ft!E$3*((1-Ft!E$6)/(1+Ft!E$37*($A279-Ft!E$2)^2)+Ft!E$6*EXP(Ft!E$38*($A279-Ft!E$2)^2)),Ft!E$3*((1-Ft!E$7)/(1+Ft!E$39*($A279-Ft!E$2)^2)+Ft!E$7*EXP(Ft!E$40*($A279-Ft!E$2)^2)))</f>
        <v>4.8462314468076872</v>
      </c>
      <c r="J279" s="3">
        <f>IF(($A279-Ft!F$2)&lt;0,Ft!F$3*((1-Ft!F$6)/(1+Ft!F$37*($A279-Ft!F$2)^2)+Ft!F$6*EXP(Ft!F$38*($A279-Ft!F$2)^2)),Ft!F$3*((1-Ft!F$7)/(1+Ft!F$39*($A279-Ft!F$2)^2)+Ft!F$7*EXP(Ft!F$40*($A279-Ft!F$2)^2)))</f>
        <v>7.0239094974260767E-43</v>
      </c>
      <c r="K279" s="3">
        <f>IF(($A279-Ft!G$2)&lt;0,Ft!G$3*((1-Ft!G$6)/(1+Ft!G$37*($A279-Ft!G$2)^2)+Ft!G$6*EXP(Ft!G$38*($A279-Ft!G$2)^2)),Ft!G$3*((1-Ft!G$7)/(1+Ft!G$39*($A279-Ft!G$2)^2)+Ft!G$7*EXP(Ft!G$40*($A279-Ft!G$2)^2)))</f>
        <v>0</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v>556</v>
      </c>
      <c r="B280">
        <v>18.304805868464996</v>
      </c>
      <c r="C280" s="6">
        <f t="shared" si="9"/>
        <v>18.105149742486148</v>
      </c>
      <c r="D280" s="19">
        <f t="shared" si="10"/>
        <v>3.9862568640881564E-2</v>
      </c>
      <c r="E280" s="3">
        <f>Ft!$B$12+Ft!$B$14*(Data!A280-Vars!$B$3)</f>
        <v>0</v>
      </c>
      <c r="F280" s="3">
        <f>IF(($A280-Ft!B$2)&lt;0,Ft!B$3*((1-Ft!B$6)/(1+Ft!B$37*($A280-Ft!B$2)^2)+Ft!B$6*EXP(Ft!B$38*($A280-Ft!B$2)^2)),Ft!B$3*((1-Ft!B$7)/(1+Ft!B$39*($A280-Ft!B$2)^2)+Ft!B$7*EXP(Ft!B$40*($A280-Ft!B$2)^2)))</f>
        <v>2.4542601267504321E-142</v>
      </c>
      <c r="G280" s="3">
        <f>IF(($A280-Ft!C$2)&lt;0,Ft!C$3*((1-Ft!C$6)/(1+Ft!C$37*($A280-Ft!C$2)^2)+Ft!C$6*EXP(Ft!C$38*($A280-Ft!C$2)^2)),Ft!C$3*((1-Ft!C$7)/(1+Ft!C$39*($A280-Ft!C$2)^2)+Ft!C$7*EXP(Ft!C$40*($A280-Ft!C$2)^2)))</f>
        <v>1.3941124021317514E-5</v>
      </c>
      <c r="H280" s="3">
        <f>IF(($A280-Ft!D$2)&lt;0,Ft!D$3*((1-Ft!D$6)/(1+Ft!D$37*($A280-Ft!D$2)^2)+Ft!D$6*EXP(Ft!D$38*($A280-Ft!D$2)^2)),Ft!D$3*((1-Ft!D$7)/(1+Ft!D$39*($A280-Ft!D$2)^2)+Ft!D$7*EXP(Ft!D$40*($A280-Ft!D$2)^2)))</f>
        <v>13.168404532643832</v>
      </c>
      <c r="I280" s="3">
        <f>IF(($A280-Ft!E$2)&lt;0,Ft!E$3*((1-Ft!E$6)/(1+Ft!E$37*($A280-Ft!E$2)^2)+Ft!E$6*EXP(Ft!E$38*($A280-Ft!E$2)^2)),Ft!E$3*((1-Ft!E$7)/(1+Ft!E$39*($A280-Ft!E$2)^2)+Ft!E$7*EXP(Ft!E$40*($A280-Ft!E$2)^2)))</f>
        <v>4.9367312687182974</v>
      </c>
      <c r="J280" s="3">
        <f>IF(($A280-Ft!F$2)&lt;0,Ft!F$3*((1-Ft!F$6)/(1+Ft!F$37*($A280-Ft!F$2)^2)+Ft!F$6*EXP(Ft!F$38*($A280-Ft!F$2)^2)),Ft!F$3*((1-Ft!F$7)/(1+Ft!F$39*($A280-Ft!F$2)^2)+Ft!F$7*EXP(Ft!F$40*($A280-Ft!F$2)^2)))</f>
        <v>1.6068333007190416E-42</v>
      </c>
      <c r="K280" s="3">
        <f>IF(($A280-Ft!G$2)&lt;0,Ft!G$3*((1-Ft!G$6)/(1+Ft!G$37*($A280-Ft!G$2)^2)+Ft!G$6*EXP(Ft!G$38*($A280-Ft!G$2)^2)),Ft!G$3*((1-Ft!G$7)/(1+Ft!G$39*($A280-Ft!G$2)^2)+Ft!G$7*EXP(Ft!G$40*($A280-Ft!G$2)^2)))</f>
        <v>0</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v>558</v>
      </c>
      <c r="B281">
        <v>18.256076602484995</v>
      </c>
      <c r="C281" s="6">
        <f t="shared" si="9"/>
        <v>18.064026582131739</v>
      </c>
      <c r="D281" s="19">
        <f t="shared" si="10"/>
        <v>3.6883210317686391E-2</v>
      </c>
      <c r="E281" s="3">
        <f>Ft!$B$12+Ft!$B$14*(Data!A281-Vars!$B$3)</f>
        <v>0</v>
      </c>
      <c r="F281" s="3">
        <f>IF(($A281-Ft!B$2)&lt;0,Ft!B$3*((1-Ft!B$6)/(1+Ft!B$37*($A281-Ft!B$2)^2)+Ft!B$6*EXP(Ft!B$38*($A281-Ft!B$2)^2)),Ft!B$3*((1-Ft!B$7)/(1+Ft!B$39*($A281-Ft!B$2)^2)+Ft!B$7*EXP(Ft!B$40*($A281-Ft!B$2)^2)))</f>
        <v>1.879838808246381E-143</v>
      </c>
      <c r="G281" s="3">
        <f>IF(($A281-Ft!C$2)&lt;0,Ft!C$3*((1-Ft!C$6)/(1+Ft!C$37*($A281-Ft!C$2)^2)+Ft!C$6*EXP(Ft!C$38*($A281-Ft!C$2)^2)),Ft!C$3*((1-Ft!C$7)/(1+Ft!C$39*($A281-Ft!C$2)^2)+Ft!C$7*EXP(Ft!C$40*($A281-Ft!C$2)^2)))</f>
        <v>1.2246779696604167E-5</v>
      </c>
      <c r="H281" s="3">
        <f>IF(($A281-Ft!D$2)&lt;0,Ft!D$3*((1-Ft!D$6)/(1+Ft!D$37*($A281-Ft!D$2)^2)+Ft!D$6*EXP(Ft!D$38*($A281-Ft!D$2)^2)),Ft!D$3*((1-Ft!D$7)/(1+Ft!D$39*($A281-Ft!D$2)^2)+Ft!D$7*EXP(Ft!D$40*($A281-Ft!D$2)^2)))</f>
        <v>13.03580604781409</v>
      </c>
      <c r="I281" s="3">
        <f>IF(($A281-Ft!E$2)&lt;0,Ft!E$3*((1-Ft!E$6)/(1+Ft!E$37*($A281-Ft!E$2)^2)+Ft!E$6*EXP(Ft!E$38*($A281-Ft!E$2)^2)),Ft!E$3*((1-Ft!E$7)/(1+Ft!E$39*($A281-Ft!E$2)^2)+Ft!E$7*EXP(Ft!E$40*($A281-Ft!E$2)^2)))</f>
        <v>5.028208287537951</v>
      </c>
      <c r="J281" s="3">
        <f>IF(($A281-Ft!F$2)&lt;0,Ft!F$3*((1-Ft!F$6)/(1+Ft!F$37*($A281-Ft!F$2)^2)+Ft!F$6*EXP(Ft!F$38*($A281-Ft!F$2)^2)),Ft!F$3*((1-Ft!F$7)/(1+Ft!F$39*($A281-Ft!F$2)^2)+Ft!F$7*EXP(Ft!F$40*($A281-Ft!F$2)^2)))</f>
        <v>3.6631434162548702E-42</v>
      </c>
      <c r="K281" s="3">
        <f>IF(($A281-Ft!G$2)&lt;0,Ft!G$3*((1-Ft!G$6)/(1+Ft!G$37*($A281-Ft!G$2)^2)+Ft!G$6*EXP(Ft!G$38*($A281-Ft!G$2)^2)),Ft!G$3*((1-Ft!G$7)/(1+Ft!G$39*($A281-Ft!G$2)^2)+Ft!G$7*EXP(Ft!G$40*($A281-Ft!G$2)^2)))</f>
        <v>0</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v>560</v>
      </c>
      <c r="B282">
        <v>18.204164069873002</v>
      </c>
      <c r="C282" s="6">
        <f t="shared" si="9"/>
        <v>18.023012619330515</v>
      </c>
      <c r="D282" s="19">
        <f t="shared" si="10"/>
        <v>3.281584803364701E-2</v>
      </c>
      <c r="E282" s="3">
        <f>Ft!$B$12+Ft!$B$14*(Data!A282-Vars!$B$3)</f>
        <v>0</v>
      </c>
      <c r="F282" s="3">
        <f>IF(($A282-Ft!B$2)&lt;0,Ft!B$3*((1-Ft!B$6)/(1+Ft!B$37*($A282-Ft!B$2)^2)+Ft!B$6*EXP(Ft!B$38*($A282-Ft!B$2)^2)),Ft!B$3*((1-Ft!B$7)/(1+Ft!B$39*($A282-Ft!B$2)^2)+Ft!B$7*EXP(Ft!B$40*($A282-Ft!B$2)^2)))</f>
        <v>1.4254675240875335E-144</v>
      </c>
      <c r="G282" s="3">
        <f>IF(($A282-Ft!C$2)&lt;0,Ft!C$3*((1-Ft!C$6)/(1+Ft!C$37*($A282-Ft!C$2)^2)+Ft!C$6*EXP(Ft!C$38*($A282-Ft!C$2)^2)),Ft!C$3*((1-Ft!C$7)/(1+Ft!C$39*($A282-Ft!C$2)^2)+Ft!C$7*EXP(Ft!C$40*($A282-Ft!C$2)^2)))</f>
        <v>1.0751672069600544E-5</v>
      </c>
      <c r="H282" s="3">
        <f>IF(($A282-Ft!D$2)&lt;0,Ft!D$3*((1-Ft!D$6)/(1+Ft!D$37*($A282-Ft!D$2)^2)+Ft!D$6*EXP(Ft!D$38*($A282-Ft!D$2)^2)),Ft!D$3*((1-Ft!D$7)/(1+Ft!D$39*($A282-Ft!D$2)^2)+Ft!D$7*EXP(Ft!D$40*($A282-Ft!D$2)^2)))</f>
        <v>12.902347430013208</v>
      </c>
      <c r="I282" s="3">
        <f>IF(($A282-Ft!E$2)&lt;0,Ft!E$3*((1-Ft!E$6)/(1+Ft!E$37*($A282-Ft!E$2)^2)+Ft!E$6*EXP(Ft!E$38*($A282-Ft!E$2)^2)),Ft!E$3*((1-Ft!E$7)/(1+Ft!E$39*($A282-Ft!E$2)^2)+Ft!E$7*EXP(Ft!E$40*($A282-Ft!E$2)^2)))</f>
        <v>5.1206544376452356</v>
      </c>
      <c r="J282" s="3">
        <f>IF(($A282-Ft!F$2)&lt;0,Ft!F$3*((1-Ft!F$6)/(1+Ft!F$37*($A282-Ft!F$2)^2)+Ft!F$6*EXP(Ft!F$38*($A282-Ft!F$2)^2)),Ft!F$3*((1-Ft!F$7)/(1+Ft!F$39*($A282-Ft!F$2)^2)+Ft!F$7*EXP(Ft!F$40*($A282-Ft!F$2)^2)))</f>
        <v>8.3220094087110014E-42</v>
      </c>
      <c r="K282" s="3">
        <f>IF(($A282-Ft!G$2)&lt;0,Ft!G$3*((1-Ft!G$6)/(1+Ft!G$37*($A282-Ft!G$2)^2)+Ft!G$6*EXP(Ft!G$38*($A282-Ft!G$2)^2)),Ft!G$3*((1-Ft!G$7)/(1+Ft!G$39*($A282-Ft!G$2)^2)+Ft!G$7*EXP(Ft!G$40*($A282-Ft!G$2)^2)))</f>
        <v>0</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v>562</v>
      </c>
      <c r="B283">
        <v>18.149916349506995</v>
      </c>
      <c r="C283" s="6">
        <f t="shared" si="9"/>
        <v>17.982153182655185</v>
      </c>
      <c r="D283" s="19">
        <f t="shared" si="10"/>
        <v>2.8144480152148103E-2</v>
      </c>
      <c r="E283" s="3">
        <f>Ft!$B$12+Ft!$B$14*(Data!A283-Vars!$B$3)</f>
        <v>0</v>
      </c>
      <c r="F283" s="3">
        <f>IF(($A283-Ft!B$2)&lt;0,Ft!B$3*((1-Ft!B$6)/(1+Ft!B$37*($A283-Ft!B$2)^2)+Ft!B$6*EXP(Ft!B$38*($A283-Ft!B$2)^2)),Ft!B$3*((1-Ft!B$7)/(1+Ft!B$39*($A283-Ft!B$2)^2)+Ft!B$7*EXP(Ft!B$40*($A283-Ft!B$2)^2)))</f>
        <v>1.0701157114295224E-145</v>
      </c>
      <c r="G283" s="3">
        <f>IF(($A283-Ft!C$2)&lt;0,Ft!C$3*((1-Ft!C$6)/(1+Ft!C$37*($A283-Ft!C$2)^2)+Ft!C$6*EXP(Ft!C$38*($A283-Ft!C$2)^2)),Ft!C$3*((1-Ft!C$7)/(1+Ft!C$39*($A283-Ft!C$2)^2)+Ft!C$7*EXP(Ft!C$40*($A283-Ft!C$2)^2)))</f>
        <v>9.4332230474852389E-6</v>
      </c>
      <c r="H283" s="3">
        <f>IF(($A283-Ft!D$2)&lt;0,Ft!D$3*((1-Ft!D$6)/(1+Ft!D$37*($A283-Ft!D$2)^2)+Ft!D$6*EXP(Ft!D$38*($A283-Ft!D$2)^2)),Ft!D$3*((1-Ft!D$7)/(1+Ft!D$39*($A283-Ft!D$2)^2)+Ft!D$7*EXP(Ft!D$40*($A283-Ft!D$2)^2)))</f>
        <v>12.768082660773974</v>
      </c>
      <c r="I283" s="3">
        <f>IF(($A283-Ft!E$2)&lt;0,Ft!E$3*((1-Ft!E$6)/(1+Ft!E$37*($A283-Ft!E$2)^2)+Ft!E$6*EXP(Ft!E$38*($A283-Ft!E$2)^2)),Ft!E$3*((1-Ft!E$7)/(1+Ft!E$39*($A283-Ft!E$2)^2)+Ft!E$7*EXP(Ft!E$40*($A283-Ft!E$2)^2)))</f>
        <v>5.2140610886581653</v>
      </c>
      <c r="J283" s="3">
        <f>IF(($A283-Ft!F$2)&lt;0,Ft!F$3*((1-Ft!F$6)/(1+Ft!F$37*($A283-Ft!F$2)^2)+Ft!F$6*EXP(Ft!F$38*($A283-Ft!F$2)^2)),Ft!F$3*((1-Ft!F$7)/(1+Ft!F$39*($A283-Ft!F$2)^2)+Ft!F$7*EXP(Ft!F$40*($A283-Ft!F$2)^2)))</f>
        <v>1.8840553815910503E-41</v>
      </c>
      <c r="K283" s="3">
        <f>IF(($A283-Ft!G$2)&lt;0,Ft!G$3*((1-Ft!G$6)/(1+Ft!G$37*($A283-Ft!G$2)^2)+Ft!G$6*EXP(Ft!G$38*($A283-Ft!G$2)^2)),Ft!G$3*((1-Ft!G$7)/(1+Ft!G$39*($A283-Ft!G$2)^2)+Ft!G$7*EXP(Ft!G$40*($A283-Ft!G$2)^2)))</f>
        <v>0</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v>564</v>
      </c>
      <c r="B284">
        <v>18.094181520262993</v>
      </c>
      <c r="C284" s="6">
        <f t="shared" si="9"/>
        <v>17.941492885045733</v>
      </c>
      <c r="D284" s="19">
        <f t="shared" si="10"/>
        <v>2.3313819324509374E-2</v>
      </c>
      <c r="E284" s="3">
        <f>Ft!$B$12+Ft!$B$14*(Data!A284-Vars!$B$3)</f>
        <v>0</v>
      </c>
      <c r="F284" s="3">
        <f>IF(($A284-Ft!B$2)&lt;0,Ft!B$3*((1-Ft!B$6)/(1+Ft!B$37*($A284-Ft!B$2)^2)+Ft!B$6*EXP(Ft!B$38*($A284-Ft!B$2)^2)),Ft!B$3*((1-Ft!B$7)/(1+Ft!B$39*($A284-Ft!B$2)^2)+Ft!B$7*EXP(Ft!B$40*($A284-Ft!B$2)^2)))</f>
        <v>7.9531807050896063E-147</v>
      </c>
      <c r="G284" s="3">
        <f>IF(($A284-Ft!C$2)&lt;0,Ft!C$3*((1-Ft!C$6)/(1+Ft!C$37*($A284-Ft!C$2)^2)+Ft!C$6*EXP(Ft!C$38*($A284-Ft!C$2)^2)),Ft!C$3*((1-Ft!C$7)/(1+Ft!C$39*($A284-Ft!C$2)^2)+Ft!C$7*EXP(Ft!C$40*($A284-Ft!C$2)^2)))</f>
        <v>8.2713078755272583E-6</v>
      </c>
      <c r="H284" s="3">
        <f>IF(($A284-Ft!D$2)&lt;0,Ft!D$3*((1-Ft!D$6)/(1+Ft!D$37*($A284-Ft!D$2)^2)+Ft!D$6*EXP(Ft!D$38*($A284-Ft!D$2)^2)),Ft!D$3*((1-Ft!D$7)/(1+Ft!D$39*($A284-Ft!D$2)^2)+Ft!D$7*EXP(Ft!D$40*($A284-Ft!D$2)^2)))</f>
        <v>12.633065573748686</v>
      </c>
      <c r="I284" s="3">
        <f>IF(($A284-Ft!E$2)&lt;0,Ft!E$3*((1-Ft!E$6)/(1+Ft!E$37*($A284-Ft!E$2)^2)+Ft!E$6*EXP(Ft!E$38*($A284-Ft!E$2)^2)),Ft!E$3*((1-Ft!E$7)/(1+Ft!E$39*($A284-Ft!E$2)^2)+Ft!E$7*EXP(Ft!E$40*($A284-Ft!E$2)^2)))</f>
        <v>5.3084190399891709</v>
      </c>
      <c r="J284" s="3">
        <f>IF(($A284-Ft!F$2)&lt;0,Ft!F$3*((1-Ft!F$6)/(1+Ft!F$37*($A284-Ft!F$2)^2)+Ft!F$6*EXP(Ft!F$38*($A284-Ft!F$2)^2)),Ft!F$3*((1-Ft!F$7)/(1+Ft!F$39*($A284-Ft!F$2)^2)+Ft!F$7*EXP(Ft!F$40*($A284-Ft!F$2)^2)))</f>
        <v>4.250600693854402E-41</v>
      </c>
      <c r="K284" s="3">
        <f>IF(($A284-Ft!G$2)&lt;0,Ft!G$3*((1-Ft!G$6)/(1+Ft!G$37*($A284-Ft!G$2)^2)+Ft!G$6*EXP(Ft!G$38*($A284-Ft!G$2)^2)),Ft!G$3*((1-Ft!G$7)/(1+Ft!G$39*($A284-Ft!G$2)^2)+Ft!G$7*EXP(Ft!G$40*($A284-Ft!G$2)^2)))</f>
        <v>0</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v>566</v>
      </c>
      <c r="B285">
        <v>18.037807661015989</v>
      </c>
      <c r="C285" s="6">
        <f t="shared" si="9"/>
        <v>17.901075583517002</v>
      </c>
      <c r="D285" s="19">
        <f t="shared" si="10"/>
        <v>1.8695661017189009E-2</v>
      </c>
      <c r="E285" s="3">
        <f>Ft!$B$12+Ft!$B$14*(Data!A285-Vars!$B$3)</f>
        <v>0</v>
      </c>
      <c r="F285" s="3">
        <f>IF(($A285-Ft!B$2)&lt;0,Ft!B$3*((1-Ft!B$6)/(1+Ft!B$37*($A285-Ft!B$2)^2)+Ft!B$6*EXP(Ft!B$38*($A285-Ft!B$2)^2)),Ft!B$3*((1-Ft!B$7)/(1+Ft!B$39*($A285-Ft!B$2)^2)+Ft!B$7*EXP(Ft!B$40*($A285-Ft!B$2)^2)))</f>
        <v>5.8517755065063759E-148</v>
      </c>
      <c r="G285" s="3">
        <f>IF(($A285-Ft!C$2)&lt;0,Ft!C$3*((1-Ft!C$6)/(1+Ft!C$37*($A285-Ft!C$2)^2)+Ft!C$6*EXP(Ft!C$38*($A285-Ft!C$2)^2)),Ft!C$3*((1-Ft!C$7)/(1+Ft!C$39*($A285-Ft!C$2)^2)+Ft!C$7*EXP(Ft!C$40*($A285-Ft!C$2)^2)))</f>
        <v>7.2480012403618221E-6</v>
      </c>
      <c r="H285" s="3">
        <f>IF(($A285-Ft!D$2)&lt;0,Ft!D$3*((1-Ft!D$6)/(1+Ft!D$37*($A285-Ft!D$2)^2)+Ft!D$6*EXP(Ft!D$38*($A285-Ft!D$2)^2)),Ft!D$3*((1-Ft!D$7)/(1+Ft!D$39*($A285-Ft!D$2)^2)+Ft!D$7*EXP(Ft!D$40*($A285-Ft!D$2)^2)))</f>
        <v>12.497349819807608</v>
      </c>
      <c r="I285" s="3">
        <f>IF(($A285-Ft!E$2)&lt;0,Ft!E$3*((1-Ft!E$6)/(1+Ft!E$37*($A285-Ft!E$2)^2)+Ft!E$6*EXP(Ft!E$38*($A285-Ft!E$2)^2)),Ft!E$3*((1-Ft!E$7)/(1+Ft!E$39*($A285-Ft!E$2)^2)+Ft!E$7*EXP(Ft!E$40*($A285-Ft!E$2)^2)))</f>
        <v>5.403718515708154</v>
      </c>
      <c r="J285" s="3">
        <f>IF(($A285-Ft!F$2)&lt;0,Ft!F$3*((1-Ft!F$6)/(1+Ft!F$37*($A285-Ft!F$2)^2)+Ft!F$6*EXP(Ft!F$38*($A285-Ft!F$2)^2)),Ft!F$3*((1-Ft!F$7)/(1+Ft!F$39*($A285-Ft!F$2)^2)+Ft!F$7*EXP(Ft!F$40*($A285-Ft!F$2)^2)))</f>
        <v>9.5564839501674179E-41</v>
      </c>
      <c r="K285" s="3">
        <f>IF(($A285-Ft!G$2)&lt;0,Ft!G$3*((1-Ft!G$6)/(1+Ft!G$37*($A285-Ft!G$2)^2)+Ft!G$6*EXP(Ft!G$38*($A285-Ft!G$2)^2)),Ft!G$3*((1-Ft!G$7)/(1+Ft!G$39*($A285-Ft!G$2)^2)+Ft!G$7*EXP(Ft!G$40*($A285-Ft!G$2)^2)))</f>
        <v>0</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v>568</v>
      </c>
      <c r="B286">
        <v>17.981642850643993</v>
      </c>
      <c r="C286" s="6">
        <f t="shared" si="9"/>
        <v>17.860944339729997</v>
      </c>
      <c r="D286" s="19">
        <f t="shared" si="10"/>
        <v>1.4568130536856112E-2</v>
      </c>
      <c r="E286" s="3">
        <f>Ft!$B$12+Ft!$B$14*(Data!A286-Vars!$B$3)</f>
        <v>0</v>
      </c>
      <c r="F286" s="3">
        <f>IF(($A286-Ft!B$2)&lt;0,Ft!B$3*((1-Ft!B$6)/(1+Ft!B$37*($A286-Ft!B$2)^2)+Ft!B$6*EXP(Ft!B$38*($A286-Ft!B$2)^2)),Ft!B$3*((1-Ft!B$7)/(1+Ft!B$39*($A286-Ft!B$2)^2)+Ft!B$7*EXP(Ft!B$40*($A286-Ft!B$2)^2)))</f>
        <v>4.2625664283813523E-149</v>
      </c>
      <c r="G286" s="3">
        <f>IF(($A286-Ft!C$2)&lt;0,Ft!C$3*((1-Ft!C$6)/(1+Ft!C$37*($A286-Ft!C$2)^2)+Ft!C$6*EXP(Ft!C$38*($A286-Ft!C$2)^2)),Ft!C$3*((1-Ft!C$7)/(1+Ft!C$39*($A286-Ft!C$2)^2)+Ft!C$7*EXP(Ft!C$40*($A286-Ft!C$2)^2)))</f>
        <v>6.3473481652838851E-6</v>
      </c>
      <c r="H286" s="3">
        <f>IF(($A286-Ft!D$2)&lt;0,Ft!D$3*((1-Ft!D$6)/(1+Ft!D$37*($A286-Ft!D$2)^2)+Ft!D$6*EXP(Ft!D$38*($A286-Ft!D$2)^2)),Ft!D$3*((1-Ft!D$7)/(1+Ft!D$39*($A286-Ft!D$2)^2)+Ft!D$7*EXP(Ft!D$40*($A286-Ft!D$2)^2)))</f>
        <v>12.360988832658188</v>
      </c>
      <c r="I286" s="3">
        <f>IF(($A286-Ft!E$2)&lt;0,Ft!E$3*((1-Ft!E$6)/(1+Ft!E$37*($A286-Ft!E$2)^2)+Ft!E$6*EXP(Ft!E$38*($A286-Ft!E$2)^2)),Ft!E$3*((1-Ft!E$7)/(1+Ft!E$39*($A286-Ft!E$2)^2)+Ft!E$7*EXP(Ft!E$40*($A286-Ft!E$2)^2)))</f>
        <v>5.4999491597236414</v>
      </c>
      <c r="J286" s="3">
        <f>IF(($A286-Ft!F$2)&lt;0,Ft!F$3*((1-Ft!F$6)/(1+Ft!F$37*($A286-Ft!F$2)^2)+Ft!F$6*EXP(Ft!F$38*($A286-Ft!F$2)^2)),Ft!F$3*((1-Ft!F$7)/(1+Ft!F$39*($A286-Ft!F$2)^2)+Ft!F$7*EXP(Ft!F$40*($A286-Ft!F$2)^2)))</f>
        <v>2.1411009422912216E-40</v>
      </c>
      <c r="K286" s="3">
        <f>IF(($A286-Ft!G$2)&lt;0,Ft!G$3*((1-Ft!G$6)/(1+Ft!G$37*($A286-Ft!G$2)^2)+Ft!G$6*EXP(Ft!G$38*($A286-Ft!G$2)^2)),Ft!G$3*((1-Ft!G$7)/(1+Ft!G$39*($A286-Ft!G$2)^2)+Ft!G$7*EXP(Ft!G$40*($A286-Ft!G$2)^2)))</f>
        <v>0</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v>570</v>
      </c>
      <c r="B287">
        <v>17.926535168021999</v>
      </c>
      <c r="C287" s="6">
        <f t="shared" si="9"/>
        <v>17.821141381463811</v>
      </c>
      <c r="D287" s="19">
        <f t="shared" si="10"/>
        <v>1.1107850245073027E-2</v>
      </c>
      <c r="E287" s="3">
        <f>Ft!$B$12+Ft!$B$14*(Data!A287-Vars!$B$3)</f>
        <v>0</v>
      </c>
      <c r="F287" s="3">
        <f>IF(($A287-Ft!B$2)&lt;0,Ft!B$3*((1-Ft!B$6)/(1+Ft!B$37*($A287-Ft!B$2)^2)+Ft!B$6*EXP(Ft!B$38*($A287-Ft!B$2)^2)),Ft!B$3*((1-Ft!B$7)/(1+Ft!B$39*($A287-Ft!B$2)^2)+Ft!B$7*EXP(Ft!B$40*($A287-Ft!B$2)^2)))</f>
        <v>3.0739115040739444E-150</v>
      </c>
      <c r="G287" s="3">
        <f>IF(($A287-Ft!C$2)&lt;0,Ft!C$3*((1-Ft!C$6)/(1+Ft!C$37*($A287-Ft!C$2)^2)+Ft!C$6*EXP(Ft!C$38*($A287-Ft!C$2)^2)),Ft!C$3*((1-Ft!C$7)/(1+Ft!C$39*($A287-Ft!C$2)^2)+Ft!C$7*EXP(Ft!C$40*($A287-Ft!C$2)^2)))</f>
        <v>5.5551574450755607E-6</v>
      </c>
      <c r="H287" s="3">
        <f>IF(($A287-Ft!D$2)&lt;0,Ft!D$3*((1-Ft!D$6)/(1+Ft!D$37*($A287-Ft!D$2)^2)+Ft!D$6*EXP(Ft!D$38*($A287-Ft!D$2)^2)),Ft!D$3*((1-Ft!D$7)/(1+Ft!D$39*($A287-Ft!D$2)^2)+Ft!D$7*EXP(Ft!D$40*($A287-Ft!D$2)^2)))</f>
        <v>12.224035795014428</v>
      </c>
      <c r="I287" s="3">
        <f>IF(($A287-Ft!E$2)&lt;0,Ft!E$3*((1-Ft!E$6)/(1+Ft!E$37*($A287-Ft!E$2)^2)+Ft!E$6*EXP(Ft!E$38*($A287-Ft!E$2)^2)),Ft!E$3*((1-Ft!E$7)/(1+Ft!E$39*($A287-Ft!E$2)^2)+Ft!E$7*EXP(Ft!E$40*($A287-Ft!E$2)^2)))</f>
        <v>5.5971000312919355</v>
      </c>
      <c r="J287" s="3">
        <f>IF(($A287-Ft!F$2)&lt;0,Ft!F$3*((1-Ft!F$6)/(1+Ft!F$37*($A287-Ft!F$2)^2)+Ft!F$6*EXP(Ft!F$38*($A287-Ft!F$2)^2)),Ft!F$3*((1-Ft!F$7)/(1+Ft!F$39*($A287-Ft!F$2)^2)+Ft!F$7*EXP(Ft!F$40*($A287-Ft!F$2)^2)))</f>
        <v>4.7804340634131448E-40</v>
      </c>
      <c r="K287" s="3">
        <f>IF(($A287-Ft!G$2)&lt;0,Ft!G$3*((1-Ft!G$6)/(1+Ft!G$37*($A287-Ft!G$2)^2)+Ft!G$6*EXP(Ft!G$38*($A287-Ft!G$2)^2)),Ft!G$3*((1-Ft!G$7)/(1+Ft!G$39*($A287-Ft!G$2)^2)+Ft!G$7*EXP(Ft!G$40*($A287-Ft!G$2)^2)))</f>
        <v>0</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v>572</v>
      </c>
      <c r="B288">
        <v>17.873332692026992</v>
      </c>
      <c r="C288" s="6">
        <f t="shared" si="9"/>
        <v>17.781708065024354</v>
      </c>
      <c r="D288" s="19">
        <f t="shared" si="10"/>
        <v>8.395072273372493E-3</v>
      </c>
      <c r="E288" s="3">
        <f>Ft!$B$12+Ft!$B$14*(Data!A288-Vars!$B$3)</f>
        <v>0</v>
      </c>
      <c r="F288" s="3">
        <f>IF(($A288-Ft!B$2)&lt;0,Ft!B$3*((1-Ft!B$6)/(1+Ft!B$37*($A288-Ft!B$2)^2)+Ft!B$6*EXP(Ft!B$38*($A288-Ft!B$2)^2)),Ft!B$3*((1-Ft!B$7)/(1+Ft!B$39*($A288-Ft!B$2)^2)+Ft!B$7*EXP(Ft!B$40*($A288-Ft!B$2)^2)))</f>
        <v>2.1945640329074114E-151</v>
      </c>
      <c r="G288" s="3">
        <f>IF(($A288-Ft!C$2)&lt;0,Ft!C$3*((1-Ft!C$6)/(1+Ft!C$37*($A288-Ft!C$2)^2)+Ft!C$6*EXP(Ft!C$38*($A288-Ft!C$2)^2)),Ft!C$3*((1-Ft!C$7)/(1+Ft!C$39*($A288-Ft!C$2)^2)+Ft!C$7*EXP(Ft!C$40*($A288-Ft!C$2)^2)))</f>
        <v>4.8588155540114369E-6</v>
      </c>
      <c r="H288" s="3">
        <f>IF(($A288-Ft!D$2)&lt;0,Ft!D$3*((1-Ft!D$6)/(1+Ft!D$37*($A288-Ft!D$2)^2)+Ft!D$6*EXP(Ft!D$38*($A288-Ft!D$2)^2)),Ft!D$3*((1-Ft!D$7)/(1+Ft!D$39*($A288-Ft!D$2)^2)+Ft!D$7*EXP(Ft!D$40*($A288-Ft!D$2)^2)))</f>
        <v>12.086543605344813</v>
      </c>
      <c r="I288" s="3">
        <f>IF(($A288-Ft!E$2)&lt;0,Ft!E$3*((1-Ft!E$6)/(1+Ft!E$37*($A288-Ft!E$2)^2)+Ft!E$6*EXP(Ft!E$38*($A288-Ft!E$2)^2)),Ft!E$3*((1-Ft!E$7)/(1+Ft!E$39*($A288-Ft!E$2)^2)+Ft!E$7*EXP(Ft!E$40*($A288-Ft!E$2)^2)))</f>
        <v>5.6951596008639855</v>
      </c>
      <c r="J288" s="3">
        <f>IF(($A288-Ft!F$2)&lt;0,Ft!F$3*((1-Ft!F$6)/(1+Ft!F$37*($A288-Ft!F$2)^2)+Ft!F$6*EXP(Ft!F$38*($A288-Ft!F$2)^2)),Ft!F$3*((1-Ft!F$7)/(1+Ft!F$39*($A288-Ft!F$2)^2)+Ft!F$7*EXP(Ft!F$40*($A288-Ft!F$2)^2)))</f>
        <v>1.063625409704922E-39</v>
      </c>
      <c r="K288" s="3">
        <f>IF(($A288-Ft!G$2)&lt;0,Ft!G$3*((1-Ft!G$6)/(1+Ft!G$37*($A288-Ft!G$2)^2)+Ft!G$6*EXP(Ft!G$38*($A288-Ft!G$2)^2)),Ft!G$3*((1-Ft!G$7)/(1+Ft!G$39*($A288-Ft!G$2)^2)+Ft!G$7*EXP(Ft!G$40*($A288-Ft!G$2)^2)))</f>
        <v>0</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v>574</v>
      </c>
      <c r="B289">
        <v>17.82261116592899</v>
      </c>
      <c r="C289" s="6">
        <f t="shared" si="9"/>
        <v>17.74268483862501</v>
      </c>
      <c r="D289" s="19">
        <f t="shared" si="10"/>
        <v>6.3882177963029167E-3</v>
      </c>
      <c r="E289" s="3">
        <f>Ft!$B$12+Ft!$B$14*(Data!A289-Vars!$B$3)</f>
        <v>0</v>
      </c>
      <c r="F289" s="3">
        <f>IF(($A289-Ft!B$2)&lt;0,Ft!B$3*((1-Ft!B$6)/(1+Ft!B$37*($A289-Ft!B$2)^2)+Ft!B$6*EXP(Ft!B$38*($A289-Ft!B$2)^2)),Ft!B$3*((1-Ft!B$7)/(1+Ft!B$39*($A289-Ft!B$2)^2)+Ft!B$7*EXP(Ft!B$40*($A289-Ft!B$2)^2)))</f>
        <v>1.5511073325061944E-152</v>
      </c>
      <c r="G289" s="3">
        <f>IF(($A289-Ft!C$2)&lt;0,Ft!C$3*((1-Ft!C$6)/(1+Ft!C$37*($A289-Ft!C$2)^2)+Ft!C$6*EXP(Ft!C$38*($A289-Ft!C$2)^2)),Ft!C$3*((1-Ft!C$7)/(1+Ft!C$39*($A289-Ft!C$2)^2)+Ft!C$7*EXP(Ft!C$40*($A289-Ft!C$2)^2)))</f>
        <v>4.2471191334143383E-6</v>
      </c>
      <c r="H289" s="3">
        <f>IF(($A289-Ft!D$2)&lt;0,Ft!D$3*((1-Ft!D$6)/(1+Ft!D$37*($A289-Ft!D$2)^2)+Ft!D$6*EXP(Ft!D$38*($A289-Ft!D$2)^2)),Ft!D$3*((1-Ft!D$7)/(1+Ft!D$39*($A289-Ft!D$2)^2)+Ft!D$7*EXP(Ft!D$40*($A289-Ft!D$2)^2)))</f>
        <v>11.948564845226302</v>
      </c>
      <c r="I289" s="3">
        <f>IF(($A289-Ft!E$2)&lt;0,Ft!E$3*((1-Ft!E$6)/(1+Ft!E$37*($A289-Ft!E$2)^2)+Ft!E$6*EXP(Ft!E$38*($A289-Ft!E$2)^2)),Ft!E$3*((1-Ft!E$7)/(1+Ft!E$39*($A289-Ft!E$2)^2)+Ft!E$7*EXP(Ft!E$40*($A289-Ft!E$2)^2)))</f>
        <v>5.7941157462795765</v>
      </c>
      <c r="J289" s="3">
        <f>IF(($A289-Ft!F$2)&lt;0,Ft!F$3*((1-Ft!F$6)/(1+Ft!F$37*($A289-Ft!F$2)^2)+Ft!F$6*EXP(Ft!F$38*($A289-Ft!F$2)^2)),Ft!F$3*((1-Ft!F$7)/(1+Ft!F$39*($A289-Ft!F$2)^2)+Ft!F$7*EXP(Ft!F$40*($A289-Ft!F$2)^2)))</f>
        <v>2.3583119814608462E-39</v>
      </c>
      <c r="K289" s="3">
        <f>IF(($A289-Ft!G$2)&lt;0,Ft!G$3*((1-Ft!G$6)/(1+Ft!G$37*($A289-Ft!G$2)^2)+Ft!G$6*EXP(Ft!G$38*($A289-Ft!G$2)^2)),Ft!G$3*((1-Ft!G$7)/(1+Ft!G$39*($A289-Ft!G$2)^2)+Ft!G$7*EXP(Ft!G$40*($A289-Ft!G$2)^2)))</f>
        <v>0</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v>576</v>
      </c>
      <c r="B290">
        <v>17.773198537635992</v>
      </c>
      <c r="C290" s="6">
        <f t="shared" si="9"/>
        <v>17.70411120677327</v>
      </c>
      <c r="D290" s="19">
        <f t="shared" si="10"/>
        <v>4.7730592857351904E-3</v>
      </c>
      <c r="E290" s="3">
        <f>Ft!$B$12+Ft!$B$14*(Data!A290-Vars!$B$3)</f>
        <v>0</v>
      </c>
      <c r="F290" s="3">
        <f>IF(($A290-Ft!B$2)&lt;0,Ft!B$3*((1-Ft!B$6)/(1+Ft!B$37*($A290-Ft!B$2)^2)+Ft!B$6*EXP(Ft!B$38*($A290-Ft!B$2)^2)),Ft!B$3*((1-Ft!B$7)/(1+Ft!B$39*($A290-Ft!B$2)^2)+Ft!B$7*EXP(Ft!B$40*($A290-Ft!B$2)^2)))</f>
        <v>1.0853558248165529E-153</v>
      </c>
      <c r="G290" s="3">
        <f>IF(($A290-Ft!C$2)&lt;0,Ft!C$3*((1-Ft!C$6)/(1+Ft!C$37*($A290-Ft!C$2)^2)+Ft!C$6*EXP(Ft!C$38*($A290-Ft!C$2)^2)),Ft!C$3*((1-Ft!C$7)/(1+Ft!C$39*($A290-Ft!C$2)^2)+Ft!C$7*EXP(Ft!C$40*($A290-Ft!C$2)^2)))</f>
        <v>3.7101243252200523E-6</v>
      </c>
      <c r="H290" s="3">
        <f>IF(($A290-Ft!D$2)&lt;0,Ft!D$3*((1-Ft!D$6)/(1+Ft!D$37*($A290-Ft!D$2)^2)+Ft!D$6*EXP(Ft!D$38*($A290-Ft!D$2)^2)),Ft!D$3*((1-Ft!D$7)/(1+Ft!D$39*($A290-Ft!D$2)^2)+Ft!D$7*EXP(Ft!D$40*($A290-Ft!D$2)^2)))</f>
        <v>11.810151747330726</v>
      </c>
      <c r="I290" s="3">
        <f>IF(($A290-Ft!E$2)&lt;0,Ft!E$3*((1-Ft!E$6)/(1+Ft!E$37*($A290-Ft!E$2)^2)+Ft!E$6*EXP(Ft!E$38*($A290-Ft!E$2)^2)),Ft!E$3*((1-Ft!E$7)/(1+Ft!E$39*($A290-Ft!E$2)^2)+Ft!E$7*EXP(Ft!E$40*($A290-Ft!E$2)^2)))</f>
        <v>5.8939557493182164</v>
      </c>
      <c r="J290" s="3">
        <f>IF(($A290-Ft!F$2)&lt;0,Ft!F$3*((1-Ft!F$6)/(1+Ft!F$37*($A290-Ft!F$2)^2)+Ft!F$6*EXP(Ft!F$38*($A290-Ft!F$2)^2)),Ft!F$3*((1-Ft!F$7)/(1+Ft!F$39*($A290-Ft!F$2)^2)+Ft!F$7*EXP(Ft!F$40*($A290-Ft!F$2)^2)))</f>
        <v>5.2108070591061656E-39</v>
      </c>
      <c r="K290" s="3">
        <f>IF(($A290-Ft!G$2)&lt;0,Ft!G$3*((1-Ft!G$6)/(1+Ft!G$37*($A290-Ft!G$2)^2)+Ft!G$6*EXP(Ft!G$38*($A290-Ft!G$2)^2)),Ft!G$3*((1-Ft!G$7)/(1+Ft!G$39*($A290-Ft!G$2)^2)+Ft!G$7*EXP(Ft!G$40*($A290-Ft!G$2)^2)))</f>
        <v>0</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v>578</v>
      </c>
      <c r="B291">
        <v>17.724683806146999</v>
      </c>
      <c r="C291" s="6">
        <f t="shared" si="9"/>
        <v>17.666025695696348</v>
      </c>
      <c r="D291" s="19">
        <f t="shared" si="10"/>
        <v>3.4407739216407397E-3</v>
      </c>
      <c r="E291" s="3">
        <f>Ft!$B$12+Ft!$B$14*(Data!A291-Vars!$B$3)</f>
        <v>0</v>
      </c>
      <c r="F291" s="3">
        <f>IF(($A291-Ft!B$2)&lt;0,Ft!B$3*((1-Ft!B$6)/(1+Ft!B$37*($A291-Ft!B$2)^2)+Ft!B$6*EXP(Ft!B$38*($A291-Ft!B$2)^2)),Ft!B$3*((1-Ft!B$7)/(1+Ft!B$39*($A291-Ft!B$2)^2)+Ft!B$7*EXP(Ft!B$40*($A291-Ft!B$2)^2)))</f>
        <v>7.5186371902610118E-155</v>
      </c>
      <c r="G291" s="3">
        <f>IF(($A291-Ft!C$2)&lt;0,Ft!C$3*((1-Ft!C$6)/(1+Ft!C$37*($A291-Ft!C$2)^2)+Ft!C$6*EXP(Ft!C$38*($A291-Ft!C$2)^2)),Ft!C$3*((1-Ft!C$7)/(1+Ft!C$39*($A291-Ft!C$2)^2)+Ft!C$7*EXP(Ft!C$40*($A291-Ft!C$2)^2)))</f>
        <v>3.2390113661893214E-6</v>
      </c>
      <c r="H291" s="3">
        <f>IF(($A291-Ft!D$2)&lt;0,Ft!D$3*((1-Ft!D$6)/(1+Ft!D$37*($A291-Ft!D$2)^2)+Ft!D$6*EXP(Ft!D$38*($A291-Ft!D$2)^2)),Ft!D$3*((1-Ft!D$7)/(1+Ft!D$39*($A291-Ft!D$2)^2)+Ft!D$7*EXP(Ft!D$40*($A291-Ft!D$2)^2)))</f>
        <v>11.671356164069032</v>
      </c>
      <c r="I291" s="3">
        <f>IF(($A291-Ft!E$2)&lt;0,Ft!E$3*((1-Ft!E$6)/(1+Ft!E$37*($A291-Ft!E$2)^2)+Ft!E$6*EXP(Ft!E$38*($A291-Ft!E$2)^2)),Ft!E$3*((1-Ft!E$7)/(1+Ft!E$39*($A291-Ft!E$2)^2)+Ft!E$7*EXP(Ft!E$40*($A291-Ft!E$2)^2)))</f>
        <v>5.994666292615948</v>
      </c>
      <c r="J291" s="3">
        <f>IF(($A291-Ft!F$2)&lt;0,Ft!F$3*((1-Ft!F$6)/(1+Ft!F$37*($A291-Ft!F$2)^2)+Ft!F$6*EXP(Ft!F$38*($A291-Ft!F$2)^2)),Ft!F$3*((1-Ft!F$7)/(1+Ft!F$39*($A291-Ft!F$2)^2)+Ft!F$7*EXP(Ft!F$40*($A291-Ft!F$2)^2)))</f>
        <v>1.147360541337745E-38</v>
      </c>
      <c r="K291" s="3">
        <f>IF(($A291-Ft!G$2)&lt;0,Ft!G$3*((1-Ft!G$6)/(1+Ft!G$37*($A291-Ft!G$2)^2)+Ft!G$6*EXP(Ft!G$38*($A291-Ft!G$2)^2)),Ft!G$3*((1-Ft!G$7)/(1+Ft!G$39*($A291-Ft!G$2)^2)+Ft!G$7*EXP(Ft!G$40*($A291-Ft!G$2)^2)))</f>
        <v>0</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v>580</v>
      </c>
      <c r="B292">
        <v>17.676885404136002</v>
      </c>
      <c r="C292" s="6">
        <f t="shared" si="9"/>
        <v>17.628465819837686</v>
      </c>
      <c r="D292" s="19">
        <f t="shared" si="10"/>
        <v>2.3444561436216809E-3</v>
      </c>
      <c r="E292" s="3">
        <f>Ft!$B$12+Ft!$B$14*(Data!A292-Vars!$B$3)</f>
        <v>0</v>
      </c>
      <c r="F292" s="3">
        <f>IF(($A292-Ft!B$2)&lt;0,Ft!B$3*((1-Ft!B$6)/(1+Ft!B$37*($A292-Ft!B$2)^2)+Ft!B$6*EXP(Ft!B$38*($A292-Ft!B$2)^2)),Ft!B$3*((1-Ft!B$7)/(1+Ft!B$39*($A292-Ft!B$2)^2)+Ft!B$7*EXP(Ft!B$40*($A292-Ft!B$2)^2)))</f>
        <v>5.1563550351951549E-156</v>
      </c>
      <c r="G292" s="3">
        <f>IF(($A292-Ft!C$2)&lt;0,Ft!C$3*((1-Ft!C$6)/(1+Ft!C$37*($A292-Ft!C$2)^2)+Ft!C$6*EXP(Ft!C$38*($A292-Ft!C$2)^2)),Ft!C$3*((1-Ft!C$7)/(1+Ft!C$39*($A292-Ft!C$2)^2)+Ft!C$7*EXP(Ft!C$40*($A292-Ft!C$2)^2)))</f>
        <v>2.8259629943910979E-6</v>
      </c>
      <c r="H292" s="3">
        <f>IF(($A292-Ft!D$2)&lt;0,Ft!D$3*((1-Ft!D$6)/(1+Ft!D$37*($A292-Ft!D$2)^2)+Ft!D$6*EXP(Ft!D$38*($A292-Ft!D$2)^2)),Ft!D$3*((1-Ft!D$7)/(1+Ft!D$39*($A292-Ft!D$2)^2)+Ft!D$7*EXP(Ft!D$40*($A292-Ft!D$2)^2)))</f>
        <v>11.532229536917631</v>
      </c>
      <c r="I292" s="3">
        <f>IF(($A292-Ft!E$2)&lt;0,Ft!E$3*((1-Ft!E$6)/(1+Ft!E$37*($A292-Ft!E$2)^2)+Ft!E$6*EXP(Ft!E$38*($A292-Ft!E$2)^2)),Ft!E$3*((1-Ft!E$7)/(1+Ft!E$39*($A292-Ft!E$2)^2)+Ft!E$7*EXP(Ft!E$40*($A292-Ft!E$2)^2)))</f>
        <v>6.0962334569570622</v>
      </c>
      <c r="J292" s="3">
        <f>IF(($A292-Ft!F$2)&lt;0,Ft!F$3*((1-Ft!F$6)/(1+Ft!F$37*($A292-Ft!F$2)^2)+Ft!F$6*EXP(Ft!F$38*($A292-Ft!F$2)^2)),Ft!F$3*((1-Ft!F$7)/(1+Ft!F$39*($A292-Ft!F$2)^2)+Ft!F$7*EXP(Ft!F$40*($A292-Ft!F$2)^2)))</f>
        <v>2.5175958220263063E-38</v>
      </c>
      <c r="K292" s="3">
        <f>IF(($A292-Ft!G$2)&lt;0,Ft!G$3*((1-Ft!G$6)/(1+Ft!G$37*($A292-Ft!G$2)^2)+Ft!G$6*EXP(Ft!G$38*($A292-Ft!G$2)^2)),Ft!G$3*((1-Ft!G$7)/(1+Ft!G$39*($A292-Ft!G$2)^2)+Ft!G$7*EXP(Ft!G$40*($A292-Ft!G$2)^2)))</f>
        <v>0</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v>582</v>
      </c>
      <c r="B293">
        <v>17.629621764283996</v>
      </c>
      <c r="C293" s="6">
        <f t="shared" si="9"/>
        <v>17.59146804945502</v>
      </c>
      <c r="D293" s="19">
        <f t="shared" si="10"/>
        <v>1.4557059552508149E-3</v>
      </c>
      <c r="E293" s="3">
        <f>Ft!$B$12+Ft!$B$14*(Data!A293-Vars!$B$3)</f>
        <v>0</v>
      </c>
      <c r="F293" s="3">
        <f>IF(($A293-Ft!B$2)&lt;0,Ft!B$3*((1-Ft!B$6)/(1+Ft!B$37*($A293-Ft!B$2)^2)+Ft!B$6*EXP(Ft!B$38*($A293-Ft!B$2)^2)),Ft!B$3*((1-Ft!B$7)/(1+Ft!B$39*($A293-Ft!B$2)^2)+Ft!B$7*EXP(Ft!B$40*($A293-Ft!B$2)^2)))</f>
        <v>3.5009281144912116E-157</v>
      </c>
      <c r="G293" s="3">
        <f>IF(($A293-Ft!C$2)&lt;0,Ft!C$3*((1-Ft!C$6)/(1+Ft!C$37*($A293-Ft!C$2)^2)+Ft!C$6*EXP(Ft!C$38*($A293-Ft!C$2)^2)),Ft!C$3*((1-Ft!C$7)/(1+Ft!C$39*($A293-Ft!C$2)^2)+Ft!C$7*EXP(Ft!C$40*($A293-Ft!C$2)^2)))</f>
        <v>2.4640553460625998E-6</v>
      </c>
      <c r="H293" s="3">
        <f>IF(($A293-Ft!D$2)&lt;0,Ft!D$3*((1-Ft!D$6)/(1+Ft!D$37*($A293-Ft!D$2)^2)+Ft!D$6*EXP(Ft!D$38*($A293-Ft!D$2)^2)),Ft!D$3*((1-Ft!D$7)/(1+Ft!D$39*($A293-Ft!D$2)^2)+Ft!D$7*EXP(Ft!D$40*($A293-Ft!D$2)^2)))</f>
        <v>11.392822866450135</v>
      </c>
      <c r="I293" s="3">
        <f>IF(($A293-Ft!E$2)&lt;0,Ft!E$3*((1-Ft!E$6)/(1+Ft!E$37*($A293-Ft!E$2)^2)+Ft!E$6*EXP(Ft!E$38*($A293-Ft!E$2)^2)),Ft!E$3*((1-Ft!E$7)/(1+Ft!E$39*($A293-Ft!E$2)^2)+Ft!E$7*EXP(Ft!E$40*($A293-Ft!E$2)^2)))</f>
        <v>6.1986427189495386</v>
      </c>
      <c r="J293" s="3">
        <f>IF(($A293-Ft!F$2)&lt;0,Ft!F$3*((1-Ft!F$6)/(1+Ft!F$37*($A293-Ft!F$2)^2)+Ft!F$6*EXP(Ft!F$38*($A293-Ft!F$2)^2)),Ft!F$3*((1-Ft!F$7)/(1+Ft!F$39*($A293-Ft!F$2)^2)+Ft!F$7*EXP(Ft!F$40*($A293-Ft!F$2)^2)))</f>
        <v>5.5050756351904504E-38</v>
      </c>
      <c r="K293" s="3">
        <f>IF(($A293-Ft!G$2)&lt;0,Ft!G$3*((1-Ft!G$6)/(1+Ft!G$37*($A293-Ft!G$2)^2)+Ft!G$6*EXP(Ft!G$38*($A293-Ft!G$2)^2)),Ft!G$3*((1-Ft!G$7)/(1+Ft!G$39*($A293-Ft!G$2)^2)+Ft!G$7*EXP(Ft!G$40*($A293-Ft!G$2)^2)))</f>
        <v>0</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v>584</v>
      </c>
      <c r="B294">
        <v>17.582711319265997</v>
      </c>
      <c r="C294" s="6">
        <f t="shared" si="9"/>
        <v>17.555067779349365</v>
      </c>
      <c r="D294" s="19">
        <f t="shared" si="10"/>
        <v>7.6416529912241068E-4</v>
      </c>
      <c r="E294" s="3">
        <f>Ft!$B$12+Ft!$B$14*(Data!A294-Vars!$B$3)</f>
        <v>0</v>
      </c>
      <c r="F294" s="3">
        <f>IF(($A294-Ft!B$2)&lt;0,Ft!B$3*((1-Ft!B$6)/(1+Ft!B$37*($A294-Ft!B$2)^2)+Ft!B$6*EXP(Ft!B$38*($A294-Ft!B$2)^2)),Ft!B$3*((1-Ft!B$7)/(1+Ft!B$39*($A294-Ft!B$2)^2)+Ft!B$7*EXP(Ft!B$40*($A294-Ft!B$2)^2)))</f>
        <v>2.3532077549809809E-158</v>
      </c>
      <c r="G294" s="3">
        <f>IF(($A294-Ft!C$2)&lt;0,Ft!C$3*((1-Ft!C$6)/(1+Ft!C$37*($A294-Ft!C$2)^2)+Ft!C$6*EXP(Ft!C$38*($A294-Ft!C$2)^2)),Ft!C$3*((1-Ft!C$7)/(1+Ft!C$39*($A294-Ft!C$2)^2)+Ft!C$7*EXP(Ft!C$40*($A294-Ft!C$2)^2)))</f>
        <v>2.1471601375918974E-6</v>
      </c>
      <c r="H294" s="3">
        <f>IF(($A294-Ft!D$2)&lt;0,Ft!D$3*((1-Ft!D$6)/(1+Ft!D$37*($A294-Ft!D$2)^2)+Ft!D$6*EXP(Ft!D$38*($A294-Ft!D$2)^2)),Ft!D$3*((1-Ft!D$7)/(1+Ft!D$39*($A294-Ft!D$2)^2)+Ft!D$7*EXP(Ft!D$40*($A294-Ft!D$2)^2)))</f>
        <v>11.253186683096523</v>
      </c>
      <c r="I294" s="3">
        <f>IF(($A294-Ft!E$2)&lt;0,Ft!E$3*((1-Ft!E$6)/(1+Ft!E$37*($A294-Ft!E$2)^2)+Ft!E$6*EXP(Ft!E$38*($A294-Ft!E$2)^2)),Ft!E$3*((1-Ft!E$7)/(1+Ft!E$39*($A294-Ft!E$2)^2)+Ft!E$7*EXP(Ft!E$40*($A294-Ft!E$2)^2)))</f>
        <v>6.3018789490927052</v>
      </c>
      <c r="J294" s="3">
        <f>IF(($A294-Ft!F$2)&lt;0,Ft!F$3*((1-Ft!F$6)/(1+Ft!F$37*($A294-Ft!F$2)^2)+Ft!F$6*EXP(Ft!F$38*($A294-Ft!F$2)^2)),Ft!F$3*((1-Ft!F$7)/(1+Ft!F$39*($A294-Ft!F$2)^2)+Ft!F$7*EXP(Ft!F$40*($A294-Ft!F$2)^2)))</f>
        <v>1.1995870067524629E-37</v>
      </c>
      <c r="K294" s="3">
        <f>IF(($A294-Ft!G$2)&lt;0,Ft!G$3*((1-Ft!G$6)/(1+Ft!G$37*($A294-Ft!G$2)^2)+Ft!G$6*EXP(Ft!G$38*($A294-Ft!G$2)^2)),Ft!G$3*((1-Ft!G$7)/(1+Ft!G$39*($A294-Ft!G$2)^2)+Ft!G$7*EXP(Ft!G$40*($A294-Ft!G$2)^2)))</f>
        <v>0</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v>586</v>
      </c>
      <c r="B295">
        <v>17.53597250176</v>
      </c>
      <c r="C295" s="6">
        <f t="shared" si="9"/>
        <v>17.519299298753303</v>
      </c>
      <c r="D295" s="19">
        <f t="shared" si="10"/>
        <v>2.779956985025207E-4</v>
      </c>
      <c r="E295" s="3">
        <f>Ft!$B$12+Ft!$B$14*(Data!A295-Vars!$B$3)</f>
        <v>0</v>
      </c>
      <c r="F295" s="3">
        <f>IF(($A295-Ft!B$2)&lt;0,Ft!B$3*((1-Ft!B$6)/(1+Ft!B$37*($A295-Ft!B$2)^2)+Ft!B$6*EXP(Ft!B$38*($A295-Ft!B$2)^2)),Ft!B$3*((1-Ft!B$7)/(1+Ft!B$39*($A295-Ft!B$2)^2)+Ft!B$7*EXP(Ft!B$40*($A295-Ft!B$2)^2)))</f>
        <v>1.5659361328911554E-159</v>
      </c>
      <c r="G295" s="3">
        <f>IF(($A295-Ft!C$2)&lt;0,Ft!C$3*((1-Ft!C$6)/(1+Ft!C$37*($A295-Ft!C$2)^2)+Ft!C$6*EXP(Ft!C$38*($A295-Ft!C$2)^2)),Ft!C$3*((1-Ft!C$7)/(1+Ft!C$39*($A295-Ft!C$2)^2)+Ft!C$7*EXP(Ft!C$40*($A295-Ft!C$2)^2)))</f>
        <v>1.869857034804412E-6</v>
      </c>
      <c r="H295" s="3">
        <f>IF(($A295-Ft!D$2)&lt;0,Ft!D$3*((1-Ft!D$6)/(1+Ft!D$37*($A295-Ft!D$2)^2)+Ft!D$6*EXP(Ft!D$38*($A295-Ft!D$2)^2)),Ft!D$3*((1-Ft!D$7)/(1+Ft!D$39*($A295-Ft!D$2)^2)+Ft!D$7*EXP(Ft!D$40*($A295-Ft!D$2)^2)))</f>
        <v>11.113371018650804</v>
      </c>
      <c r="I295" s="3">
        <f>IF(($A295-Ft!E$2)&lt;0,Ft!E$3*((1-Ft!E$6)/(1+Ft!E$37*($A295-Ft!E$2)^2)+Ft!E$6*EXP(Ft!E$38*($A295-Ft!E$2)^2)),Ft!E$3*((1-Ft!E$7)/(1+Ft!E$39*($A295-Ft!E$2)^2)+Ft!E$7*EXP(Ft!E$40*($A295-Ft!E$2)^2)))</f>
        <v>6.4059264102454652</v>
      </c>
      <c r="J295" s="3">
        <f>IF(($A295-Ft!F$2)&lt;0,Ft!F$3*((1-Ft!F$6)/(1+Ft!F$37*($A295-Ft!F$2)^2)+Ft!F$6*EXP(Ft!F$38*($A295-Ft!F$2)^2)),Ft!F$3*((1-Ft!F$7)/(1+Ft!F$39*($A295-Ft!F$2)^2)+Ft!F$7*EXP(Ft!F$40*($A295-Ft!F$2)^2)))</f>
        <v>2.6049020519312382E-37</v>
      </c>
      <c r="K295" s="3">
        <f>IF(($A295-Ft!G$2)&lt;0,Ft!G$3*((1-Ft!G$6)/(1+Ft!G$37*($A295-Ft!G$2)^2)+Ft!G$6*EXP(Ft!G$38*($A295-Ft!G$2)^2)),Ft!G$3*((1-Ft!G$7)/(1+Ft!G$39*($A295-Ft!G$2)^2)+Ft!G$7*EXP(Ft!G$40*($A295-Ft!G$2)^2)))</f>
        <v>0</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v>588</v>
      </c>
      <c r="B296">
        <v>17.489223744444999</v>
      </c>
      <c r="C296" s="6">
        <f t="shared" si="9"/>
        <v>17.484195762405328</v>
      </c>
      <c r="D296" s="19">
        <f t="shared" si="10"/>
        <v>2.5280603391254457E-5</v>
      </c>
      <c r="E296" s="3">
        <f>Ft!$B$12+Ft!$B$14*(Data!A296-Vars!$B$3)</f>
        <v>0</v>
      </c>
      <c r="F296" s="3">
        <f>IF(($A296-Ft!B$2)&lt;0,Ft!B$3*((1-Ft!B$6)/(1+Ft!B$37*($A296-Ft!B$2)^2)+Ft!B$6*EXP(Ft!B$38*($A296-Ft!B$2)^2)),Ft!B$3*((1-Ft!B$7)/(1+Ft!B$39*($A296-Ft!B$2)^2)+Ft!B$7*EXP(Ft!B$40*($A296-Ft!B$2)^2)))</f>
        <v>1.0316313144792135E-160</v>
      </c>
      <c r="G296" s="3">
        <f>IF(($A296-Ft!C$2)&lt;0,Ft!C$3*((1-Ft!C$6)/(1+Ft!C$37*($A296-Ft!C$2)^2)+Ft!C$6*EXP(Ft!C$38*($A296-Ft!C$2)^2)),Ft!C$3*((1-Ft!C$7)/(1+Ft!C$39*($A296-Ft!C$2)^2)+Ft!C$7*EXP(Ft!C$40*($A296-Ft!C$2)^2)))</f>
        <v>1.6273552105747953E-6</v>
      </c>
      <c r="H296" s="3">
        <f>IF(($A296-Ft!D$2)&lt;0,Ft!D$3*((1-Ft!D$6)/(1+Ft!D$37*($A296-Ft!D$2)^2)+Ft!D$6*EXP(Ft!D$38*($A296-Ft!D$2)^2)),Ft!D$3*((1-Ft!D$7)/(1+Ft!D$39*($A296-Ft!D$2)^2)+Ft!D$7*EXP(Ft!D$40*($A296-Ft!D$2)^2)))</f>
        <v>10.973425378546997</v>
      </c>
      <c r="I296" s="3">
        <f>IF(($A296-Ft!E$2)&lt;0,Ft!E$3*((1-Ft!E$6)/(1+Ft!E$37*($A296-Ft!E$2)^2)+Ft!E$6*EXP(Ft!E$38*($A296-Ft!E$2)^2)),Ft!E$3*((1-Ft!E$7)/(1+Ft!E$39*($A296-Ft!E$2)^2)+Ft!E$7*EXP(Ft!E$40*($A296-Ft!E$2)^2)))</f>
        <v>6.5107687565031203</v>
      </c>
      <c r="J296" s="3">
        <f>IF(($A296-Ft!F$2)&lt;0,Ft!F$3*((1-Ft!F$6)/(1+Ft!F$37*($A296-Ft!F$2)^2)+Ft!F$6*EXP(Ft!F$38*($A296-Ft!F$2)^2)),Ft!F$3*((1-Ft!F$7)/(1+Ft!F$39*($A296-Ft!F$2)^2)+Ft!F$7*EXP(Ft!F$40*($A296-Ft!F$2)^2)))</f>
        <v>5.6369245842839646E-37</v>
      </c>
      <c r="K296" s="3">
        <f>IF(($A296-Ft!G$2)&lt;0,Ft!G$3*((1-Ft!G$6)/(1+Ft!G$37*($A296-Ft!G$2)^2)+Ft!G$6*EXP(Ft!G$38*($A296-Ft!G$2)^2)),Ft!G$3*((1-Ft!G$7)/(1+Ft!G$39*($A296-Ft!G$2)^2)+Ft!G$7*EXP(Ft!G$40*($A296-Ft!G$2)^2)))</f>
        <v>0</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v>590</v>
      </c>
      <c r="B297">
        <v>17.442283479997002</v>
      </c>
      <c r="C297" s="6">
        <f t="shared" si="9"/>
        <v>17.449789162835852</v>
      </c>
      <c r="D297" s="19">
        <f t="shared" si="10"/>
        <v>5.6335274877414106E-5</v>
      </c>
      <c r="E297" s="3">
        <f>Ft!$B$12+Ft!$B$14*(Data!A297-Vars!$B$3)</f>
        <v>0</v>
      </c>
      <c r="F297" s="3">
        <f>IF(($A297-Ft!B$2)&lt;0,Ft!B$3*((1-Ft!B$6)/(1+Ft!B$37*($A297-Ft!B$2)^2)+Ft!B$6*EXP(Ft!B$38*($A297-Ft!B$2)^2)),Ft!B$3*((1-Ft!B$7)/(1+Ft!B$39*($A297-Ft!B$2)^2)+Ft!B$7*EXP(Ft!B$40*($A297-Ft!B$2)^2)))</f>
        <v>6.7283981738511756E-162</v>
      </c>
      <c r="G297" s="3">
        <f>IF(($A297-Ft!C$2)&lt;0,Ft!C$3*((1-Ft!C$6)/(1+Ft!C$37*($A297-Ft!C$2)^2)+Ft!C$6*EXP(Ft!C$38*($A297-Ft!C$2)^2)),Ft!C$3*((1-Ft!C$7)/(1+Ft!C$39*($A297-Ft!C$2)^2)+Ft!C$7*EXP(Ft!C$40*($A297-Ft!C$2)^2)))</f>
        <v>1.4154231826123435E-6</v>
      </c>
      <c r="H297" s="3">
        <f>IF(($A297-Ft!D$2)&lt;0,Ft!D$3*((1-Ft!D$6)/(1+Ft!D$37*($A297-Ft!D$2)^2)+Ft!D$6*EXP(Ft!D$38*($A297-Ft!D$2)^2)),Ft!D$3*((1-Ft!D$7)/(1+Ft!D$39*($A297-Ft!D$2)^2)+Ft!D$7*EXP(Ft!D$40*($A297-Ft!D$2)^2)))</f>
        <v>10.833398714922122</v>
      </c>
      <c r="I297" s="3">
        <f>IF(($A297-Ft!E$2)&lt;0,Ft!E$3*((1-Ft!E$6)/(1+Ft!E$37*($A297-Ft!E$2)^2)+Ft!E$6*EXP(Ft!E$38*($A297-Ft!E$2)^2)),Ft!E$3*((1-Ft!E$7)/(1+Ft!E$39*($A297-Ft!E$2)^2)+Ft!E$7*EXP(Ft!E$40*($A297-Ft!E$2)^2)))</f>
        <v>6.616389032490547</v>
      </c>
      <c r="J297" s="3">
        <f>IF(($A297-Ft!F$2)&lt;0,Ft!F$3*((1-Ft!F$6)/(1+Ft!F$37*($A297-Ft!F$2)^2)+Ft!F$6*EXP(Ft!F$38*($A297-Ft!F$2)^2)),Ft!F$3*((1-Ft!F$7)/(1+Ft!F$39*($A297-Ft!F$2)^2)+Ft!F$7*EXP(Ft!F$40*($A297-Ft!F$2)^2)))</f>
        <v>1.2155819229285931E-36</v>
      </c>
      <c r="K297" s="3">
        <f>IF(($A297-Ft!G$2)&lt;0,Ft!G$3*((1-Ft!G$6)/(1+Ft!G$37*($A297-Ft!G$2)^2)+Ft!G$6*EXP(Ft!G$38*($A297-Ft!G$2)^2)),Ft!G$3*((1-Ft!G$7)/(1+Ft!G$39*($A297-Ft!G$2)^2)+Ft!G$7*EXP(Ft!G$40*($A297-Ft!G$2)^2)))</f>
        <v>0</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v>592</v>
      </c>
      <c r="B298">
        <v>17.39367167748</v>
      </c>
      <c r="C298" s="6">
        <f t="shared" si="9"/>
        <v>17.416110303889116</v>
      </c>
      <c r="D298" s="19">
        <f t="shared" si="10"/>
        <v>5.0349195512787209E-4</v>
      </c>
      <c r="E298" s="3">
        <f>Ft!$B$12+Ft!$B$14*(Data!A298-Vars!$B$3)</f>
        <v>0</v>
      </c>
      <c r="F298" s="3">
        <f>IF(($A298-Ft!B$2)&lt;0,Ft!B$3*((1-Ft!B$6)/(1+Ft!B$37*($A298-Ft!B$2)^2)+Ft!B$6*EXP(Ft!B$38*($A298-Ft!B$2)^2)),Ft!B$3*((1-Ft!B$7)/(1+Ft!B$39*($A298-Ft!B$2)^2)+Ft!B$7*EXP(Ft!B$40*($A298-Ft!B$2)^2)))</f>
        <v>4.3444574587933511E-163</v>
      </c>
      <c r="G298" s="3">
        <f>IF(($A298-Ft!C$2)&lt;0,Ft!C$3*((1-Ft!C$6)/(1+Ft!C$37*($A298-Ft!C$2)^2)+Ft!C$6*EXP(Ft!C$38*($A298-Ft!C$2)^2)),Ft!C$3*((1-Ft!C$7)/(1+Ft!C$39*($A298-Ft!C$2)^2)+Ft!C$7*EXP(Ft!C$40*($A298-Ft!C$2)^2)))</f>
        <v>1.2303261066342142E-6</v>
      </c>
      <c r="H298" s="3">
        <f>IF(($A298-Ft!D$2)&lt;0,Ft!D$3*((1-Ft!D$6)/(1+Ft!D$37*($A298-Ft!D$2)^2)+Ft!D$6*EXP(Ft!D$38*($A298-Ft!D$2)^2)),Ft!D$3*((1-Ft!D$7)/(1+Ft!D$39*($A298-Ft!D$2)^2)+Ft!D$7*EXP(Ft!D$40*($A298-Ft!D$2)^2)))</f>
        <v>10.69333940048379</v>
      </c>
      <c r="I298" s="3">
        <f>IF(($A298-Ft!E$2)&lt;0,Ft!E$3*((1-Ft!E$6)/(1+Ft!E$37*($A298-Ft!E$2)^2)+Ft!E$6*EXP(Ft!E$38*($A298-Ft!E$2)^2)),Ft!E$3*((1-Ft!E$7)/(1+Ft!E$39*($A298-Ft!E$2)^2)+Ft!E$7*EXP(Ft!E$40*($A298-Ft!E$2)^2)))</f>
        <v>6.7227696730792195</v>
      </c>
      <c r="J298" s="3">
        <f>IF(($A298-Ft!F$2)&lt;0,Ft!F$3*((1-Ft!F$6)/(1+Ft!F$37*($A298-Ft!F$2)^2)+Ft!F$6*EXP(Ft!F$38*($A298-Ft!F$2)^2)),Ft!F$3*((1-Ft!F$7)/(1+Ft!F$39*($A298-Ft!F$2)^2)+Ft!F$7*EXP(Ft!F$40*($A298-Ft!F$2)^2)))</f>
        <v>2.6122661534888558E-36</v>
      </c>
      <c r="K298" s="3">
        <f>IF(($A298-Ft!G$2)&lt;0,Ft!G$3*((1-Ft!G$6)/(1+Ft!G$37*($A298-Ft!G$2)^2)+Ft!G$6*EXP(Ft!G$38*($A298-Ft!G$2)^2)),Ft!G$3*((1-Ft!G$7)/(1+Ft!G$39*($A298-Ft!G$2)^2)+Ft!G$7*EXP(Ft!G$40*($A298-Ft!G$2)^2)))</f>
        <v>0</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v>594</v>
      </c>
      <c r="B299">
        <v>17.342638899621988</v>
      </c>
      <c r="C299" s="6">
        <f t="shared" si="9"/>
        <v>17.383188775503729</v>
      </c>
      <c r="D299" s="19">
        <f t="shared" si="10"/>
        <v>1.6442924340245892E-3</v>
      </c>
      <c r="E299" s="3">
        <f>Ft!$B$12+Ft!$B$14*(Data!A299-Vars!$B$3)</f>
        <v>0</v>
      </c>
      <c r="F299" s="3">
        <f>IF(($A299-Ft!B$2)&lt;0,Ft!B$3*((1-Ft!B$6)/(1+Ft!B$37*($A299-Ft!B$2)^2)+Ft!B$6*EXP(Ft!B$38*($A299-Ft!B$2)^2)),Ft!B$3*((1-Ft!B$7)/(1+Ft!B$39*($A299-Ft!B$2)^2)+Ft!B$7*EXP(Ft!B$40*($A299-Ft!B$2)^2)))</f>
        <v>2.7771293633104728E-164</v>
      </c>
      <c r="G299" s="3">
        <f>IF(($A299-Ft!C$2)&lt;0,Ft!C$3*((1-Ft!C$6)/(1+Ft!C$37*($A299-Ft!C$2)^2)+Ft!C$6*EXP(Ft!C$38*($A299-Ft!C$2)^2)),Ft!C$3*((1-Ft!C$7)/(1+Ft!C$39*($A299-Ft!C$2)^2)+Ft!C$7*EXP(Ft!C$40*($A299-Ft!C$2)^2)))</f>
        <v>1.0687697765726134E-6</v>
      </c>
      <c r="H299" s="3">
        <f>IF(($A299-Ft!D$2)&lt;0,Ft!D$3*((1-Ft!D$6)/(1+Ft!D$37*($A299-Ft!D$2)^2)+Ft!D$6*EXP(Ft!D$38*($A299-Ft!D$2)^2)),Ft!D$3*((1-Ft!D$7)/(1+Ft!D$39*($A299-Ft!D$2)^2)+Ft!D$7*EXP(Ft!D$40*($A299-Ft!D$2)^2)))</f>
        <v>10.553295203198704</v>
      </c>
      <c r="I299" s="3">
        <f>IF(($A299-Ft!E$2)&lt;0,Ft!E$3*((1-Ft!E$6)/(1+Ft!E$37*($A299-Ft!E$2)^2)+Ft!E$6*EXP(Ft!E$38*($A299-Ft!E$2)^2)),Ft!E$3*((1-Ft!E$7)/(1+Ft!E$39*($A299-Ft!E$2)^2)+Ft!E$7*EXP(Ft!E$40*($A299-Ft!E$2)^2)))</f>
        <v>6.8298925035352474</v>
      </c>
      <c r="J299" s="3">
        <f>IF(($A299-Ft!F$2)&lt;0,Ft!F$3*((1-Ft!F$6)/(1+Ft!F$37*($A299-Ft!F$2)^2)+Ft!F$6*EXP(Ft!F$38*($A299-Ft!F$2)^2)),Ft!F$3*((1-Ft!F$7)/(1+Ft!F$39*($A299-Ft!F$2)^2)+Ft!F$7*EXP(Ft!F$40*($A299-Ft!F$2)^2)))</f>
        <v>5.5942490357526991E-36</v>
      </c>
      <c r="K299" s="3">
        <f>IF(($A299-Ft!G$2)&lt;0,Ft!G$3*((1-Ft!G$6)/(1+Ft!G$37*($A299-Ft!G$2)^2)+Ft!G$6*EXP(Ft!G$38*($A299-Ft!G$2)^2)),Ft!G$3*((1-Ft!G$7)/(1+Ft!G$39*($A299-Ft!G$2)^2)+Ft!G$7*EXP(Ft!G$40*($A299-Ft!G$2)^2)))</f>
        <v>0</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v>596</v>
      </c>
      <c r="B300">
        <v>17.290099469596996</v>
      </c>
      <c r="C300" s="6">
        <f t="shared" si="9"/>
        <v>17.351052929773292</v>
      </c>
      <c r="D300" s="19">
        <f t="shared" si="10"/>
        <v>3.7153243074633828E-3</v>
      </c>
      <c r="E300" s="3">
        <f>Ft!$B$12+Ft!$B$14*(Data!A300-Vars!$B$3)</f>
        <v>0</v>
      </c>
      <c r="F300" s="3">
        <f>IF(($A300-Ft!B$2)&lt;0,Ft!B$3*((1-Ft!B$6)/(1+Ft!B$37*($A300-Ft!B$2)^2)+Ft!B$6*EXP(Ft!B$38*($A300-Ft!B$2)^2)),Ft!B$3*((1-Ft!B$7)/(1+Ft!B$39*($A300-Ft!B$2)^2)+Ft!B$7*EXP(Ft!B$40*($A300-Ft!B$2)^2)))</f>
        <v>1.7574920476928144E-165</v>
      </c>
      <c r="G300" s="3">
        <f>IF(($A300-Ft!C$2)&lt;0,Ft!C$3*((1-Ft!C$6)/(1+Ft!C$37*($A300-Ft!C$2)^2)+Ft!C$6*EXP(Ft!C$38*($A300-Ft!C$2)^2)),Ft!C$3*((1-Ft!C$7)/(1+Ft!C$39*($A300-Ft!C$2)^2)+Ft!C$7*EXP(Ft!C$40*($A300-Ft!C$2)^2)))</f>
        <v>9.2785065345753721E-7</v>
      </c>
      <c r="H300" s="3">
        <f>IF(($A300-Ft!D$2)&lt;0,Ft!D$3*((1-Ft!D$6)/(1+Ft!D$37*($A300-Ft!D$2)^2)+Ft!D$6*EXP(Ft!D$38*($A300-Ft!D$2)^2)),Ft!D$3*((1-Ft!D$7)/(1+Ft!D$39*($A300-Ft!D$2)^2)+Ft!D$7*EXP(Ft!D$40*($A300-Ft!D$2)^2)))</f>
        <v>10.413313261817335</v>
      </c>
      <c r="I300" s="3">
        <f>IF(($A300-Ft!E$2)&lt;0,Ft!E$3*((1-Ft!E$6)/(1+Ft!E$37*($A300-Ft!E$2)^2)+Ft!E$6*EXP(Ft!E$38*($A300-Ft!E$2)^2)),Ft!E$3*((1-Ft!E$7)/(1+Ft!E$39*($A300-Ft!E$2)^2)+Ft!E$7*EXP(Ft!E$40*($A300-Ft!E$2)^2)))</f>
        <v>6.9377387401053054</v>
      </c>
      <c r="J300" s="3">
        <f>IF(($A300-Ft!F$2)&lt;0,Ft!F$3*((1-Ft!F$6)/(1+Ft!F$37*($A300-Ft!F$2)^2)+Ft!F$6*EXP(Ft!F$38*($A300-Ft!F$2)^2)),Ft!F$3*((1-Ft!F$7)/(1+Ft!F$39*($A300-Ft!F$2)^2)+Ft!F$7*EXP(Ft!F$40*($A300-Ft!F$2)^2)))</f>
        <v>1.1938708538886724E-35</v>
      </c>
      <c r="K300" s="3">
        <f>IF(($A300-Ft!G$2)&lt;0,Ft!G$3*((1-Ft!G$6)/(1+Ft!G$37*($A300-Ft!G$2)^2)+Ft!G$6*EXP(Ft!G$38*($A300-Ft!G$2)^2)),Ft!G$3*((1-Ft!G$7)/(1+Ft!G$39*($A300-Ft!G$2)^2)+Ft!G$7*EXP(Ft!G$40*($A300-Ft!G$2)^2)))</f>
        <v>0</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v>598</v>
      </c>
      <c r="B301">
        <v>17.236967710580998</v>
      </c>
      <c r="C301" s="6">
        <f t="shared" si="9"/>
        <v>17.319729858306996</v>
      </c>
      <c r="D301" s="19">
        <f t="shared" si="10"/>
        <v>6.8495730962198223E-3</v>
      </c>
      <c r="E301" s="3">
        <f>Ft!$B$12+Ft!$B$14*(Data!A301-Vars!$B$3)</f>
        <v>0</v>
      </c>
      <c r="F301" s="3">
        <f>IF(($A301-Ft!B$2)&lt;0,Ft!B$3*((1-Ft!B$6)/(1+Ft!B$37*($A301-Ft!B$2)^2)+Ft!B$6*EXP(Ft!B$38*($A301-Ft!B$2)^2)),Ft!B$3*((1-Ft!B$7)/(1+Ft!B$39*($A301-Ft!B$2)^2)+Ft!B$7*EXP(Ft!B$40*($A301-Ft!B$2)^2)))</f>
        <v>1.1011014222311667E-166</v>
      </c>
      <c r="G301" s="3">
        <f>IF(($A301-Ft!C$2)&lt;0,Ft!C$3*((1-Ft!C$6)/(1+Ft!C$37*($A301-Ft!C$2)^2)+Ft!C$6*EXP(Ft!C$38*($A301-Ft!C$2)^2)),Ft!C$3*((1-Ft!C$7)/(1+Ft!C$39*($A301-Ft!C$2)^2)+Ft!C$7*EXP(Ft!C$40*($A301-Ft!C$2)^2)))</f>
        <v>8.0501130864654942E-7</v>
      </c>
      <c r="H301" s="3">
        <f>IF(($A301-Ft!D$2)&lt;0,Ft!D$3*((1-Ft!D$6)/(1+Ft!D$37*($A301-Ft!D$2)^2)+Ft!D$6*EXP(Ft!D$38*($A301-Ft!D$2)^2)),Ft!D$3*((1-Ft!D$7)/(1+Ft!D$39*($A301-Ft!D$2)^2)+Ft!D$7*EXP(Ft!D$40*($A301-Ft!D$2)^2)))</f>
        <v>10.273440062248707</v>
      </c>
      <c r="I301" s="3">
        <f>IF(($A301-Ft!E$2)&lt;0,Ft!E$3*((1-Ft!E$6)/(1+Ft!E$37*($A301-Ft!E$2)^2)+Ft!E$6*EXP(Ft!E$38*($A301-Ft!E$2)^2)),Ft!E$3*((1-Ft!E$7)/(1+Ft!E$39*($A301-Ft!E$2)^2)+Ft!E$7*EXP(Ft!E$40*($A301-Ft!E$2)^2)))</f>
        <v>7.0462889910469801</v>
      </c>
      <c r="J301" s="3">
        <f>IF(($A301-Ft!F$2)&lt;0,Ft!F$3*((1-Ft!F$6)/(1+Ft!F$37*($A301-Ft!F$2)^2)+Ft!F$6*EXP(Ft!F$38*($A301-Ft!F$2)^2)),Ft!F$3*((1-Ft!F$7)/(1+Ft!F$39*($A301-Ft!F$2)^2)+Ft!F$7*EXP(Ft!F$40*($A301-Ft!F$2)^2)))</f>
        <v>2.5390080971290354E-35</v>
      </c>
      <c r="K301" s="3">
        <f>IF(($A301-Ft!G$2)&lt;0,Ft!G$3*((1-Ft!G$6)/(1+Ft!G$37*($A301-Ft!G$2)^2)+Ft!G$6*EXP(Ft!G$38*($A301-Ft!G$2)^2)),Ft!G$3*((1-Ft!G$7)/(1+Ft!G$39*($A301-Ft!G$2)^2)+Ft!G$7*EXP(Ft!G$40*($A301-Ft!G$2)^2)))</f>
        <v>0</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v>600</v>
      </c>
      <c r="B302">
        <v>17.184157945748993</v>
      </c>
      <c r="C302" s="6">
        <f t="shared" si="9"/>
        <v>17.289245370908645</v>
      </c>
      <c r="D302" s="19">
        <f t="shared" si="10"/>
        <v>1.1043366926685571E-2</v>
      </c>
      <c r="E302" s="3">
        <f>Ft!$B$12+Ft!$B$14*(Data!A302-Vars!$B$3)</f>
        <v>0</v>
      </c>
      <c r="F302" s="3">
        <f>IF(($A302-Ft!B$2)&lt;0,Ft!B$3*((1-Ft!B$6)/(1+Ft!B$37*($A302-Ft!B$2)^2)+Ft!B$6*EXP(Ft!B$38*($A302-Ft!B$2)^2)),Ft!B$3*((1-Ft!B$7)/(1+Ft!B$39*($A302-Ft!B$2)^2)+Ft!B$7*EXP(Ft!B$40*($A302-Ft!B$2)^2)))</f>
        <v>6.8296425688627602E-168</v>
      </c>
      <c r="G302" s="3">
        <f>IF(($A302-Ft!C$2)&lt;0,Ft!C$3*((1-Ft!C$6)/(1+Ft!C$37*($A302-Ft!C$2)^2)+Ft!C$6*EXP(Ft!C$38*($A302-Ft!C$2)^2)),Ft!C$3*((1-Ft!C$7)/(1+Ft!C$39*($A302-Ft!C$2)^2)+Ft!C$7*EXP(Ft!C$40*($A302-Ft!C$2)^2)))</f>
        <v>6.9800072558156902E-7</v>
      </c>
      <c r="H302" s="3">
        <f>IF(($A302-Ft!D$2)&lt;0,Ft!D$3*((1-Ft!D$6)/(1+Ft!D$37*($A302-Ft!D$2)^2)+Ft!D$6*EXP(Ft!D$38*($A302-Ft!D$2)^2)),Ft!D$3*((1-Ft!D$7)/(1+Ft!D$39*($A302-Ft!D$2)^2)+Ft!D$7*EXP(Ft!D$40*($A302-Ft!D$2)^2)))</f>
        <v>10.133721414798181</v>
      </c>
      <c r="I302" s="3">
        <f>IF(($A302-Ft!E$2)&lt;0,Ft!E$3*((1-Ft!E$6)/(1+Ft!E$37*($A302-Ft!E$2)^2)+Ft!E$6*EXP(Ft!E$38*($A302-Ft!E$2)^2)),Ft!E$3*((1-Ft!E$7)/(1+Ft!E$39*($A302-Ft!E$2)^2)+Ft!E$7*EXP(Ft!E$40*($A302-Ft!E$2)^2)))</f>
        <v>7.1555232581097368</v>
      </c>
      <c r="J302" s="3">
        <f>IF(($A302-Ft!F$2)&lt;0,Ft!F$3*((1-Ft!F$6)/(1+Ft!F$37*($A302-Ft!F$2)^2)+Ft!F$6*EXP(Ft!F$38*($A302-Ft!F$2)^2)),Ft!F$3*((1-Ft!F$7)/(1+Ft!F$39*($A302-Ft!F$2)^2)+Ft!F$7*EXP(Ft!F$40*($A302-Ft!F$2)^2)))</f>
        <v>5.3809877553807457E-35</v>
      </c>
      <c r="K302" s="3">
        <f>IF(($A302-Ft!G$2)&lt;0,Ft!G$3*((1-Ft!G$6)/(1+Ft!G$37*($A302-Ft!G$2)^2)+Ft!G$6*EXP(Ft!G$38*($A302-Ft!G$2)^2)),Ft!G$3*((1-Ft!G$7)/(1+Ft!G$39*($A302-Ft!G$2)^2)+Ft!G$7*EXP(Ft!G$40*($A302-Ft!G$2)^2)))</f>
        <v>0</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v>602</v>
      </c>
      <c r="B303">
        <v>17.132584498274994</v>
      </c>
      <c r="C303" s="6">
        <f t="shared" si="9"/>
        <v>17.259623975591143</v>
      </c>
      <c r="D303" s="19">
        <f t="shared" si="10"/>
        <v>1.613902879676038E-2</v>
      </c>
      <c r="E303" s="3">
        <f>Ft!$B$12+Ft!$B$14*(Data!A303-Vars!$B$3)</f>
        <v>0</v>
      </c>
      <c r="F303" s="3">
        <f>IF(($A303-Ft!B$2)&lt;0,Ft!B$3*((1-Ft!B$6)/(1+Ft!B$37*($A303-Ft!B$2)^2)+Ft!B$6*EXP(Ft!B$38*($A303-Ft!B$2)^2)),Ft!B$3*((1-Ft!B$7)/(1+Ft!B$39*($A303-Ft!B$2)^2)+Ft!B$7*EXP(Ft!B$40*($A303-Ft!B$2)^2)))</f>
        <v>4.1937769067864772E-169</v>
      </c>
      <c r="G303" s="3">
        <f>IF(($A303-Ft!C$2)&lt;0,Ft!C$3*((1-Ft!C$6)/(1+Ft!C$37*($A303-Ft!C$2)^2)+Ft!C$6*EXP(Ft!C$38*($A303-Ft!C$2)^2)),Ft!C$3*((1-Ft!C$7)/(1+Ft!C$39*($A303-Ft!C$2)^2)+Ft!C$7*EXP(Ft!C$40*($A303-Ft!C$2)^2)))</f>
        <v>6.0483895765783288E-7</v>
      </c>
      <c r="H303" s="3">
        <f>IF(($A303-Ft!D$2)&lt;0,Ft!D$3*((1-Ft!D$6)/(1+Ft!D$37*($A303-Ft!D$2)^2)+Ft!D$6*EXP(Ft!D$38*($A303-Ft!D$2)^2)),Ft!D$3*((1-Ft!D$7)/(1+Ft!D$39*($A303-Ft!D$2)^2)+Ft!D$7*EXP(Ft!D$40*($A303-Ft!D$2)^2)))</f>
        <v>9.9942024322798275</v>
      </c>
      <c r="I303" s="3">
        <f>IF(($A303-Ft!E$2)&lt;0,Ft!E$3*((1-Ft!E$6)/(1+Ft!E$37*($A303-Ft!E$2)^2)+Ft!E$6*EXP(Ft!E$38*($A303-Ft!E$2)^2)),Ft!E$3*((1-Ft!E$7)/(1+Ft!E$39*($A303-Ft!E$2)^2)+Ft!E$7*EXP(Ft!E$40*($A303-Ft!E$2)^2)))</f>
        <v>7.2654209384723583</v>
      </c>
      <c r="J303" s="3">
        <f>IF(($A303-Ft!F$2)&lt;0,Ft!F$3*((1-Ft!F$6)/(1+Ft!F$37*($A303-Ft!F$2)^2)+Ft!F$6*EXP(Ft!F$38*($A303-Ft!F$2)^2)),Ft!F$3*((1-Ft!F$7)/(1+Ft!F$39*($A303-Ft!F$2)^2)+Ft!F$7*EXP(Ft!F$40*($A303-Ft!F$2)^2)))</f>
        <v>1.1364520165222271E-34</v>
      </c>
      <c r="K303" s="3">
        <f>IF(($A303-Ft!G$2)&lt;0,Ft!G$3*((1-Ft!G$6)/(1+Ft!G$37*($A303-Ft!G$2)^2)+Ft!G$6*EXP(Ft!G$38*($A303-Ft!G$2)^2)),Ft!G$3*((1-Ft!G$7)/(1+Ft!G$39*($A303-Ft!G$2)^2)+Ft!G$7*EXP(Ft!G$40*($A303-Ft!G$2)^2)))</f>
        <v>0</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v>604</v>
      </c>
      <c r="B304">
        <v>17.083161691333999</v>
      </c>
      <c r="C304" s="6">
        <f t="shared" si="9"/>
        <v>17.230888859941835</v>
      </c>
      <c r="D304" s="19">
        <f t="shared" si="10"/>
        <v>2.1823316344888228E-2</v>
      </c>
      <c r="E304" s="3">
        <f>Ft!$B$12+Ft!$B$14*(Data!A304-Vars!$B$3)</f>
        <v>0</v>
      </c>
      <c r="F304" s="3">
        <f>IF(($A304-Ft!B$2)&lt;0,Ft!B$3*((1-Ft!B$6)/(1+Ft!B$37*($A304-Ft!B$2)^2)+Ft!B$6*EXP(Ft!B$38*($A304-Ft!B$2)^2)),Ft!B$3*((1-Ft!B$7)/(1+Ft!B$39*($A304-Ft!B$2)^2)+Ft!B$7*EXP(Ft!B$40*($A304-Ft!B$2)^2)))</f>
        <v>2.5494668493781772E-170</v>
      </c>
      <c r="G304" s="3">
        <f>IF(($A304-Ft!C$2)&lt;0,Ft!C$3*((1-Ft!C$6)/(1+Ft!C$37*($A304-Ft!C$2)^2)+Ft!C$6*EXP(Ft!C$38*($A304-Ft!C$2)^2)),Ft!C$3*((1-Ft!C$7)/(1+Ft!C$39*($A304-Ft!C$2)^2)+Ft!C$7*EXP(Ft!C$40*($A304-Ft!C$2)^2)))</f>
        <v>5.2378568848476133E-7</v>
      </c>
      <c r="H304" s="3">
        <f>IF(($A304-Ft!D$2)&lt;0,Ft!D$3*((1-Ft!D$6)/(1+Ft!D$37*($A304-Ft!D$2)^2)+Ft!D$6*EXP(Ft!D$38*($A304-Ft!D$2)^2)),Ft!D$3*((1-Ft!D$7)/(1+Ft!D$39*($A304-Ft!D$2)^2)+Ft!D$7*EXP(Ft!D$40*($A304-Ft!D$2)^2)))</f>
        <v>9.8549275090138231</v>
      </c>
      <c r="I304" s="3">
        <f>IF(($A304-Ft!E$2)&lt;0,Ft!E$3*((1-Ft!E$6)/(1+Ft!E$37*($A304-Ft!E$2)^2)+Ft!E$6*EXP(Ft!E$38*($A304-Ft!E$2)^2)),Ft!E$3*((1-Ft!E$7)/(1+Ft!E$39*($A304-Ft!E$2)^2)+Ft!E$7*EXP(Ft!E$40*($A304-Ft!E$2)^2)))</f>
        <v>7.3759608271423245</v>
      </c>
      <c r="J304" s="3">
        <f>IF(($A304-Ft!F$2)&lt;0,Ft!F$3*((1-Ft!F$6)/(1+Ft!F$37*($A304-Ft!F$2)^2)+Ft!F$6*EXP(Ft!F$38*($A304-Ft!F$2)^2)),Ft!F$3*((1-Ft!F$7)/(1+Ft!F$39*($A304-Ft!F$2)^2)+Ft!F$7*EXP(Ft!F$40*($A304-Ft!F$2)^2)))</f>
        <v>2.3918359284584756E-34</v>
      </c>
      <c r="K304" s="3">
        <f>IF(($A304-Ft!G$2)&lt;0,Ft!G$3*((1-Ft!G$6)/(1+Ft!G$37*($A304-Ft!G$2)^2)+Ft!G$6*EXP(Ft!G$38*($A304-Ft!G$2)^2)),Ft!G$3*((1-Ft!G$7)/(1+Ft!G$39*($A304-Ft!G$2)^2)+Ft!G$7*EXP(Ft!G$40*($A304-Ft!G$2)^2)))</f>
        <v>0</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v>606</v>
      </c>
      <c r="B305">
        <v>17.036803848101002</v>
      </c>
      <c r="C305" s="6">
        <f t="shared" si="9"/>
        <v>17.203061873852707</v>
      </c>
      <c r="D305" s="19">
        <f t="shared" si="10"/>
        <v>2.7641731126854828E-2</v>
      </c>
      <c r="E305" s="3">
        <f>Ft!$B$12+Ft!$B$14*(Data!A305-Vars!$B$3)</f>
        <v>0</v>
      </c>
      <c r="F305" s="3">
        <f>IF(($A305-Ft!B$2)&lt;0,Ft!B$3*((1-Ft!B$6)/(1+Ft!B$37*($A305-Ft!B$2)^2)+Ft!B$6*EXP(Ft!B$38*($A305-Ft!B$2)^2)),Ft!B$3*((1-Ft!B$7)/(1+Ft!B$39*($A305-Ft!B$2)^2)+Ft!B$7*EXP(Ft!B$40*($A305-Ft!B$2)^2)))</f>
        <v>1.534370044999759E-171</v>
      </c>
      <c r="G305" s="3">
        <f>IF(($A305-Ft!C$2)&lt;0,Ft!C$3*((1-Ft!C$6)/(1+Ft!C$37*($A305-Ft!C$2)^2)+Ft!C$6*EXP(Ft!C$38*($A305-Ft!C$2)^2)),Ft!C$3*((1-Ft!C$7)/(1+Ft!C$39*($A305-Ft!C$2)^2)+Ft!C$7*EXP(Ft!C$40*($A305-Ft!C$2)^2)))</f>
        <v>4.533122851708673E-7</v>
      </c>
      <c r="H305" s="3">
        <f>IF(($A305-Ft!D$2)&lt;0,Ft!D$3*((1-Ft!D$6)/(1+Ft!D$37*($A305-Ft!D$2)^2)+Ft!D$6*EXP(Ft!D$38*($A305-Ft!D$2)^2)),Ft!D$3*((1-Ft!D$7)/(1+Ft!D$39*($A305-Ft!D$2)^2)+Ft!D$7*EXP(Ft!D$40*($A305-Ft!D$2)^2)))</f>
        <v>9.7159403007181808</v>
      </c>
      <c r="I305" s="3">
        <f>IF(($A305-Ft!E$2)&lt;0,Ft!E$3*((1-Ft!E$6)/(1+Ft!E$37*($A305-Ft!E$2)^2)+Ft!E$6*EXP(Ft!E$38*($A305-Ft!E$2)^2)),Ft!E$3*((1-Ft!E$7)/(1+Ft!E$39*($A305-Ft!E$2)^2)+Ft!E$7*EXP(Ft!E$40*($A305-Ft!E$2)^2)))</f>
        <v>7.487121119822242</v>
      </c>
      <c r="J305" s="3">
        <f>IF(($A305-Ft!F$2)&lt;0,Ft!F$3*((1-Ft!F$6)/(1+Ft!F$37*($A305-Ft!F$2)^2)+Ft!F$6*EXP(Ft!F$38*($A305-Ft!F$2)^2)),Ft!F$3*((1-Ft!F$7)/(1+Ft!F$39*($A305-Ft!F$2)^2)+Ft!F$7*EXP(Ft!F$40*($A305-Ft!F$2)^2)))</f>
        <v>5.0165234741943948E-34</v>
      </c>
      <c r="K305" s="3">
        <f>IF(($A305-Ft!G$2)&lt;0,Ft!G$3*((1-Ft!G$6)/(1+Ft!G$37*($A305-Ft!G$2)^2)+Ft!G$6*EXP(Ft!G$38*($A305-Ft!G$2)^2)),Ft!G$3*((1-Ft!G$7)/(1+Ft!G$39*($A305-Ft!G$2)^2)+Ft!G$7*EXP(Ft!G$40*($A305-Ft!G$2)^2)))</f>
        <v>0</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v>608</v>
      </c>
      <c r="B306">
        <v>16.993602854228996</v>
      </c>
      <c r="C306" s="6">
        <f t="shared" si="9"/>
        <v>17.176163513627827</v>
      </c>
      <c r="D306" s="19">
        <f t="shared" si="10"/>
        <v>3.3328394360136036E-2</v>
      </c>
      <c r="E306" s="3">
        <f>Ft!$B$12+Ft!$B$14*(Data!A306-Vars!$B$3)</f>
        <v>0</v>
      </c>
      <c r="F306" s="3">
        <f>IF(($A306-Ft!B$2)&lt;0,Ft!B$3*((1-Ft!B$6)/(1+Ft!B$37*($A306-Ft!B$2)^2)+Ft!B$6*EXP(Ft!B$38*($A306-Ft!B$2)^2)),Ft!B$3*((1-Ft!B$7)/(1+Ft!B$39*($A306-Ft!B$2)^2)+Ft!B$7*EXP(Ft!B$40*($A306-Ft!B$2)^2)))</f>
        <v>9.1421333171487687E-173</v>
      </c>
      <c r="G306" s="3">
        <f>IF(($A306-Ft!C$2)&lt;0,Ft!C$3*((1-Ft!C$6)/(1+Ft!C$37*($A306-Ft!C$2)^2)+Ft!C$6*EXP(Ft!C$38*($A306-Ft!C$2)^2)),Ft!C$3*((1-Ft!C$7)/(1+Ft!C$39*($A306-Ft!C$2)^2)+Ft!C$7*EXP(Ft!C$40*($A306-Ft!C$2)^2)))</f>
        <v>3.9207697561960316E-7</v>
      </c>
      <c r="H306" s="3">
        <f>IF(($A306-Ft!D$2)&lt;0,Ft!D$3*((1-Ft!D$6)/(1+Ft!D$37*($A306-Ft!D$2)^2)+Ft!D$6*EXP(Ft!D$38*($A306-Ft!D$2)^2)),Ft!D$3*((1-Ft!D$7)/(1+Ft!D$39*($A306-Ft!D$2)^2)+Ft!D$7*EXP(Ft!D$40*($A306-Ft!D$2)^2)))</f>
        <v>9.5772837053027953</v>
      </c>
      <c r="I306" s="3">
        <f>IF(($A306-Ft!E$2)&lt;0,Ft!E$3*((1-Ft!E$6)/(1+Ft!E$37*($A306-Ft!E$2)^2)+Ft!E$6*EXP(Ft!E$38*($A306-Ft!E$2)^2)),Ft!E$3*((1-Ft!E$7)/(1+Ft!E$39*($A306-Ft!E$2)^2)+Ft!E$7*EXP(Ft!E$40*($A306-Ft!E$2)^2)))</f>
        <v>7.5988794162480549</v>
      </c>
      <c r="J306" s="3">
        <f>IF(($A306-Ft!F$2)&lt;0,Ft!F$3*((1-Ft!F$6)/(1+Ft!F$37*($A306-Ft!F$2)^2)+Ft!F$6*EXP(Ft!F$38*($A306-Ft!F$2)^2)),Ft!F$3*((1-Ft!F$7)/(1+Ft!F$39*($A306-Ft!F$2)^2)+Ft!F$7*EXP(Ft!F$40*($A306-Ft!F$2)^2)))</f>
        <v>1.0484929007529825E-33</v>
      </c>
      <c r="K306" s="3">
        <f>IF(($A306-Ft!G$2)&lt;0,Ft!G$3*((1-Ft!G$6)/(1+Ft!G$37*($A306-Ft!G$2)^2)+Ft!G$6*EXP(Ft!G$38*($A306-Ft!G$2)^2)),Ft!G$3*((1-Ft!G$7)/(1+Ft!G$39*($A306-Ft!G$2)^2)+Ft!G$7*EXP(Ft!G$40*($A306-Ft!G$2)^2)))</f>
        <v>0</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v>610</v>
      </c>
      <c r="B307">
        <v>16.949528045625996</v>
      </c>
      <c r="C307" s="6">
        <f t="shared" si="9"/>
        <v>17.150212907478945</v>
      </c>
      <c r="D307" s="19">
        <f t="shared" si="10"/>
        <v>4.0274413776937169E-2</v>
      </c>
      <c r="E307" s="3">
        <f>Ft!$B$12+Ft!$B$14*(Data!A307-Vars!$B$3)</f>
        <v>0</v>
      </c>
      <c r="F307" s="3">
        <f>IF(($A307-Ft!B$2)&lt;0,Ft!B$3*((1-Ft!B$6)/(1+Ft!B$37*($A307-Ft!B$2)^2)+Ft!B$6*EXP(Ft!B$38*($A307-Ft!B$2)^2)),Ft!B$3*((1-Ft!B$7)/(1+Ft!B$39*($A307-Ft!B$2)^2)+Ft!B$7*EXP(Ft!B$40*($A307-Ft!B$2)^2)))</f>
        <v>5.3926431919949015E-174</v>
      </c>
      <c r="G307" s="3">
        <f>IF(($A307-Ft!C$2)&lt;0,Ft!C$3*((1-Ft!C$6)/(1+Ft!C$37*($A307-Ft!C$2)^2)+Ft!C$6*EXP(Ft!C$38*($A307-Ft!C$2)^2)),Ft!C$3*((1-Ft!C$7)/(1+Ft!C$39*($A307-Ft!C$2)^2)+Ft!C$7*EXP(Ft!C$40*($A307-Ft!C$2)^2)))</f>
        <v>3.3890281750228413E-7</v>
      </c>
      <c r="H307" s="3">
        <f>IF(($A307-Ft!D$2)&lt;0,Ft!D$3*((1-Ft!D$6)/(1+Ft!D$37*($A307-Ft!D$2)^2)+Ft!D$6*EXP(Ft!D$38*($A307-Ft!D$2)^2)),Ft!D$3*((1-Ft!D$7)/(1+Ft!D$39*($A307-Ft!D$2)^2)+Ft!D$7*EXP(Ft!D$40*($A307-Ft!D$2)^2)))</f>
        <v>9.4389998445728054</v>
      </c>
      <c r="I307" s="3">
        <f>IF(($A307-Ft!E$2)&lt;0,Ft!E$3*((1-Ft!E$6)/(1+Ft!E$37*($A307-Ft!E$2)^2)+Ft!E$6*EXP(Ft!E$38*($A307-Ft!E$2)^2)),Ft!E$3*((1-Ft!E$7)/(1+Ft!E$39*($A307-Ft!E$2)^2)+Ft!E$7*EXP(Ft!E$40*($A307-Ft!E$2)^2)))</f>
        <v>7.7112127240033219</v>
      </c>
      <c r="J307" s="3">
        <f>IF(($A307-Ft!F$2)&lt;0,Ft!F$3*((1-Ft!F$6)/(1+Ft!F$37*($A307-Ft!F$2)^2)+Ft!F$6*EXP(Ft!F$38*($A307-Ft!F$2)^2)),Ft!F$3*((1-Ft!F$7)/(1+Ft!F$39*($A307-Ft!F$2)^2)+Ft!F$7*EXP(Ft!F$40*($A307-Ft!F$2)^2)))</f>
        <v>2.1838324831005998E-33</v>
      </c>
      <c r="K307" s="3">
        <f>IF(($A307-Ft!G$2)&lt;0,Ft!G$3*((1-Ft!G$6)/(1+Ft!G$37*($A307-Ft!G$2)^2)+Ft!G$6*EXP(Ft!G$38*($A307-Ft!G$2)^2)),Ft!G$3*((1-Ft!G$7)/(1+Ft!G$39*($A307-Ft!G$2)^2)+Ft!G$7*EXP(Ft!G$40*($A307-Ft!G$2)^2)))</f>
        <v>0</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v>612</v>
      </c>
      <c r="B308">
        <v>16.904644826932</v>
      </c>
      <c r="C308" s="6">
        <f t="shared" si="9"/>
        <v>17.125227802418525</v>
      </c>
      <c r="D308" s="19">
        <f t="shared" si="10"/>
        <v>4.865684907448916E-2</v>
      </c>
      <c r="E308" s="3">
        <f>Ft!$B$12+Ft!$B$14*(Data!A308-Vars!$B$3)</f>
        <v>0</v>
      </c>
      <c r="F308" s="3">
        <f>IF(($A308-Ft!B$2)&lt;0,Ft!B$3*((1-Ft!B$6)/(1+Ft!B$37*($A308-Ft!B$2)^2)+Ft!B$6*EXP(Ft!B$38*($A308-Ft!B$2)^2)),Ft!B$3*((1-Ft!B$7)/(1+Ft!B$39*($A308-Ft!B$2)^2)+Ft!B$7*EXP(Ft!B$40*($A308-Ft!B$2)^2)))</f>
        <v>3.1491439877827562E-175</v>
      </c>
      <c r="G308" s="3">
        <f>IF(($A308-Ft!C$2)&lt;0,Ft!C$3*((1-Ft!C$6)/(1+Ft!C$37*($A308-Ft!C$2)^2)+Ft!C$6*EXP(Ft!C$38*($A308-Ft!C$2)^2)),Ft!C$3*((1-Ft!C$7)/(1+Ft!C$39*($A308-Ft!C$2)^2)+Ft!C$7*EXP(Ft!C$40*($A308-Ft!C$2)^2)))</f>
        <v>2.9275815987834376E-7</v>
      </c>
      <c r="H308" s="3">
        <f>IF(($A308-Ft!D$2)&lt;0,Ft!D$3*((1-Ft!D$6)/(1+Ft!D$37*($A308-Ft!D$2)^2)+Ft!D$6*EXP(Ft!D$38*($A308-Ft!D$2)^2)),Ft!D$3*((1-Ft!D$7)/(1+Ft!D$39*($A308-Ft!D$2)^2)+Ft!D$7*EXP(Ft!D$40*($A308-Ft!D$2)^2)))</f>
        <v>9.3011300468468647</v>
      </c>
      <c r="I308" s="3">
        <f>IF(($A308-Ft!E$2)&lt;0,Ft!E$3*((1-Ft!E$6)/(1+Ft!E$37*($A308-Ft!E$2)^2)+Ft!E$6*EXP(Ft!E$38*($A308-Ft!E$2)^2)),Ft!E$3*((1-Ft!E$7)/(1+Ft!E$39*($A308-Ft!E$2)^2)+Ft!E$7*EXP(Ft!E$40*($A308-Ft!E$2)^2)))</f>
        <v>7.8240974628135014</v>
      </c>
      <c r="J308" s="3">
        <f>IF(($A308-Ft!F$2)&lt;0,Ft!F$3*((1-Ft!F$6)/(1+Ft!F$37*($A308-Ft!F$2)^2)+Ft!F$6*EXP(Ft!F$38*($A308-Ft!F$2)^2)),Ft!F$3*((1-Ft!F$7)/(1+Ft!F$39*($A308-Ft!F$2)^2)+Ft!F$7*EXP(Ft!F$40*($A308-Ft!F$2)^2)))</f>
        <v>4.5327767624024296E-33</v>
      </c>
      <c r="K308" s="3">
        <f>IF(($A308-Ft!G$2)&lt;0,Ft!G$3*((1-Ft!G$6)/(1+Ft!G$37*($A308-Ft!G$2)^2)+Ft!G$6*EXP(Ft!G$38*($A308-Ft!G$2)^2)),Ft!G$3*((1-Ft!G$7)/(1+Ft!G$39*($A308-Ft!G$2)^2)+Ft!G$7*EXP(Ft!G$40*($A308-Ft!G$2)^2)))</f>
        <v>0</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v>614</v>
      </c>
      <c r="B309">
        <v>16.859839888965993</v>
      </c>
      <c r="C309" s="6">
        <f t="shared" si="9"/>
        <v>17.101224552558037</v>
      </c>
      <c r="D309" s="19">
        <f t="shared" si="10"/>
        <v>5.8266555817444048E-2</v>
      </c>
      <c r="E309" s="3">
        <f>Ft!$B$12+Ft!$B$14*(Data!A309-Vars!$B$3)</f>
        <v>0</v>
      </c>
      <c r="F309" s="3">
        <f>IF(($A309-Ft!B$2)&lt;0,Ft!B$3*((1-Ft!B$6)/(1+Ft!B$37*($A309-Ft!B$2)^2)+Ft!B$6*EXP(Ft!B$38*($A309-Ft!B$2)^2)),Ft!B$3*((1-Ft!B$7)/(1+Ft!B$39*($A309-Ft!B$2)^2)+Ft!B$7*EXP(Ft!B$40*($A309-Ft!B$2)^2)))</f>
        <v>1.8206230946370759E-176</v>
      </c>
      <c r="G309" s="3">
        <f>IF(($A309-Ft!C$2)&lt;0,Ft!C$3*((1-Ft!C$6)/(1+Ft!C$37*($A309-Ft!C$2)^2)+Ft!C$6*EXP(Ft!C$38*($A309-Ft!C$2)^2)),Ft!C$3*((1-Ft!C$7)/(1+Ft!C$39*($A309-Ft!C$2)^2)+Ft!C$7*EXP(Ft!C$40*($A309-Ft!C$2)^2)))</f>
        <v>2.5273932864164993E-7</v>
      </c>
      <c r="H309" s="3">
        <f>IF(($A309-Ft!D$2)&lt;0,Ft!D$3*((1-Ft!D$6)/(1+Ft!D$37*($A309-Ft!D$2)^2)+Ft!D$6*EXP(Ft!D$38*($A309-Ft!D$2)^2)),Ft!D$3*((1-Ft!D$7)/(1+Ft!D$39*($A309-Ft!D$2)^2)+Ft!D$7*EXP(Ft!D$40*($A309-Ft!D$2)^2)))</f>
        <v>9.1637148304950085</v>
      </c>
      <c r="I309" s="3">
        <f>IF(($A309-Ft!E$2)&lt;0,Ft!E$3*((1-Ft!E$6)/(1+Ft!E$37*($A309-Ft!E$2)^2)+Ft!E$6*EXP(Ft!E$38*($A309-Ft!E$2)^2)),Ft!E$3*((1-Ft!E$7)/(1+Ft!E$39*($A309-Ft!E$2)^2)+Ft!E$7*EXP(Ft!E$40*($A309-Ft!E$2)^2)))</f>
        <v>7.9375094693236985</v>
      </c>
      <c r="J309" s="3">
        <f>IF(($A309-Ft!F$2)&lt;0,Ft!F$3*((1-Ft!F$6)/(1+Ft!F$37*($A309-Ft!F$2)^2)+Ft!F$6*EXP(Ft!F$38*($A309-Ft!F$2)^2)),Ft!F$3*((1-Ft!F$7)/(1+Ft!F$39*($A309-Ft!F$2)^2)+Ft!F$7*EXP(Ft!F$40*($A309-Ft!F$2)^2)))</f>
        <v>9.3756313341328212E-33</v>
      </c>
      <c r="K309" s="3">
        <f>IF(($A309-Ft!G$2)&lt;0,Ft!G$3*((1-Ft!G$6)/(1+Ft!G$37*($A309-Ft!G$2)^2)+Ft!G$6*EXP(Ft!G$38*($A309-Ft!G$2)^2)),Ft!G$3*((1-Ft!G$7)/(1+Ft!G$39*($A309-Ft!G$2)^2)+Ft!G$7*EXP(Ft!G$40*($A309-Ft!G$2)^2)))</f>
        <v>0</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v>616</v>
      </c>
      <c r="B310">
        <v>16.815999922541991</v>
      </c>
      <c r="C310" s="6">
        <f t="shared" si="9"/>
        <v>17.078218108817666</v>
      </c>
      <c r="D310" s="19">
        <f t="shared" si="10"/>
        <v>6.8758377213704452E-2</v>
      </c>
      <c r="E310" s="3">
        <f>Ft!$B$12+Ft!$B$14*(Data!A310-Vars!$B$3)</f>
        <v>0</v>
      </c>
      <c r="F310" s="3">
        <f>IF(($A310-Ft!B$2)&lt;0,Ft!B$3*((1-Ft!B$6)/(1+Ft!B$37*($A310-Ft!B$2)^2)+Ft!B$6*EXP(Ft!B$38*($A310-Ft!B$2)^2)),Ft!B$3*((1-Ft!B$7)/(1+Ft!B$39*($A310-Ft!B$2)^2)+Ft!B$7*EXP(Ft!B$40*($A310-Ft!B$2)^2)))</f>
        <v>1.042039719803936E-177</v>
      </c>
      <c r="G310" s="3">
        <f>IF(($A310-Ft!C$2)&lt;0,Ft!C$3*((1-Ft!C$6)/(1+Ft!C$37*($A310-Ft!C$2)^2)+Ft!C$6*EXP(Ft!C$38*($A310-Ft!C$2)^2)),Ft!C$3*((1-Ft!C$7)/(1+Ft!C$39*($A310-Ft!C$2)^2)+Ft!C$7*EXP(Ft!C$40*($A310-Ft!C$2)^2)))</f>
        <v>2.1805529434455941E-7</v>
      </c>
      <c r="H310" s="3">
        <f>IF(($A310-Ft!D$2)&lt;0,Ft!D$3*((1-Ft!D$6)/(1+Ft!D$37*($A310-Ft!D$2)^2)+Ft!D$6*EXP(Ft!D$38*($A310-Ft!D$2)^2)),Ft!D$3*((1-Ft!D$7)/(1+Ft!D$39*($A310-Ft!D$2)^2)+Ft!D$7*EXP(Ft!D$40*($A310-Ft!D$2)^2)))</f>
        <v>9.0267938883994159</v>
      </c>
      <c r="I310" s="3">
        <f>IF(($A310-Ft!E$2)&lt;0,Ft!E$3*((1-Ft!E$6)/(1+Ft!E$37*($A310-Ft!E$2)^2)+Ft!E$6*EXP(Ft!E$38*($A310-Ft!E$2)^2)),Ft!E$3*((1-Ft!E$7)/(1+Ft!E$39*($A310-Ft!E$2)^2)+Ft!E$7*EXP(Ft!E$40*($A310-Ft!E$2)^2)))</f>
        <v>8.0514240023629569</v>
      </c>
      <c r="J310" s="3">
        <f>IF(($A310-Ft!F$2)&lt;0,Ft!F$3*((1-Ft!F$6)/(1+Ft!F$37*($A310-Ft!F$2)^2)+Ft!F$6*EXP(Ft!F$38*($A310-Ft!F$2)^2)),Ft!F$3*((1-Ft!F$7)/(1+Ft!F$39*($A310-Ft!F$2)^2)+Ft!F$7*EXP(Ft!F$40*($A310-Ft!F$2)^2)))</f>
        <v>1.9325373433501988E-32</v>
      </c>
      <c r="K310" s="3">
        <f>IF(($A310-Ft!G$2)&lt;0,Ft!G$3*((1-Ft!G$6)/(1+Ft!G$37*($A310-Ft!G$2)^2)+Ft!G$6*EXP(Ft!G$38*($A310-Ft!G$2)^2)),Ft!G$3*((1-Ft!G$7)/(1+Ft!G$39*($A310-Ft!G$2)^2)+Ft!G$7*EXP(Ft!G$40*($A310-Ft!G$2)^2)))</f>
        <v>0</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v>618</v>
      </c>
      <c r="B311">
        <v>16.77401161847699</v>
      </c>
      <c r="C311" s="6">
        <f t="shared" si="9"/>
        <v>17.056222010052167</v>
      </c>
      <c r="D311" s="19">
        <f t="shared" si="10"/>
        <v>7.964270511301462E-2</v>
      </c>
      <c r="E311" s="3">
        <f>Ft!$B$12+Ft!$B$14*(Data!A311-Vars!$B$3)</f>
        <v>0</v>
      </c>
      <c r="F311" s="3">
        <f>IF(($A311-Ft!B$2)&lt;0,Ft!B$3*((1-Ft!B$6)/(1+Ft!B$37*($A311-Ft!B$2)^2)+Ft!B$6*EXP(Ft!B$38*($A311-Ft!B$2)^2)),Ft!B$3*((1-Ft!B$7)/(1+Ft!B$39*($A311-Ft!B$2)^2)+Ft!B$7*EXP(Ft!B$40*($A311-Ft!B$2)^2)))</f>
        <v>5.9045281327883581E-179</v>
      </c>
      <c r="G311" s="3">
        <f>IF(($A311-Ft!C$2)&lt;0,Ft!C$3*((1-Ft!C$6)/(1+Ft!C$37*($A311-Ft!C$2)^2)+Ft!C$6*EXP(Ft!C$38*($A311-Ft!C$2)^2)),Ft!C$3*((1-Ft!C$7)/(1+Ft!C$39*($A311-Ft!C$2)^2)+Ft!C$7*EXP(Ft!C$40*($A311-Ft!C$2)^2)))</f>
        <v>1.8801410572989381E-7</v>
      </c>
      <c r="H311" s="3">
        <f>IF(($A311-Ft!D$2)&lt;0,Ft!D$3*((1-Ft!D$6)/(1+Ft!D$37*($A311-Ft!D$2)^2)+Ft!D$6*EXP(Ft!D$38*($A311-Ft!D$2)^2)),Ft!D$3*((1-Ft!D$7)/(1+Ft!D$39*($A311-Ft!D$2)^2)+Ft!D$7*EXP(Ft!D$40*($A311-Ft!D$2)^2)))</f>
        <v>8.8904060733403796</v>
      </c>
      <c r="I311" s="3">
        <f>IF(($A311-Ft!E$2)&lt;0,Ft!E$3*((1-Ft!E$6)/(1+Ft!E$37*($A311-Ft!E$2)^2)+Ft!E$6*EXP(Ft!E$38*($A311-Ft!E$2)^2)),Ft!E$3*((1-Ft!E$7)/(1+Ft!E$39*($A311-Ft!E$2)^2)+Ft!E$7*EXP(Ft!E$40*($A311-Ft!E$2)^2)))</f>
        <v>8.1658157486976819</v>
      </c>
      <c r="J311" s="3">
        <f>IF(($A311-Ft!F$2)&lt;0,Ft!F$3*((1-Ft!F$6)/(1+Ft!F$37*($A311-Ft!F$2)^2)+Ft!F$6*EXP(Ft!F$38*($A311-Ft!F$2)^2)),Ft!F$3*((1-Ft!F$7)/(1+Ft!F$39*($A311-Ft!F$2)^2)+Ft!F$7*EXP(Ft!F$40*($A311-Ft!F$2)^2)))</f>
        <v>3.9695972821111348E-32</v>
      </c>
      <c r="K311" s="3">
        <f>IF(($A311-Ft!G$2)&lt;0,Ft!G$3*((1-Ft!G$6)/(1+Ft!G$37*($A311-Ft!G$2)^2)+Ft!G$6*EXP(Ft!G$38*($A311-Ft!G$2)^2)),Ft!G$3*((1-Ft!G$7)/(1+Ft!G$39*($A311-Ft!G$2)^2)+Ft!G$7*EXP(Ft!G$40*($A311-Ft!G$2)^2)))</f>
        <v>0</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v>620</v>
      </c>
      <c r="B312">
        <v>16.734761667586994</v>
      </c>
      <c r="C312" s="6">
        <f t="shared" si="9"/>
        <v>17.035248375595902</v>
      </c>
      <c r="D312" s="19">
        <f t="shared" si="10"/>
        <v>9.0292261690030587E-2</v>
      </c>
      <c r="E312" s="3">
        <f>Ft!$B$12+Ft!$B$14*(Data!A312-Vars!$B$3)</f>
        <v>0</v>
      </c>
      <c r="F312" s="3">
        <f>IF(($A312-Ft!B$2)&lt;0,Ft!B$3*((1-Ft!B$6)/(1+Ft!B$37*($A312-Ft!B$2)^2)+Ft!B$6*EXP(Ft!B$38*($A312-Ft!B$2)^2)),Ft!B$3*((1-Ft!B$7)/(1+Ft!B$39*($A312-Ft!B$2)^2)+Ft!B$7*EXP(Ft!B$40*($A312-Ft!B$2)^2)))</f>
        <v>3.3122477649840448E-180</v>
      </c>
      <c r="G312" s="3">
        <f>IF(($A312-Ft!C$2)&lt;0,Ft!C$3*((1-Ft!C$6)/(1+Ft!C$37*($A312-Ft!C$2)^2)+Ft!C$6*EXP(Ft!C$38*($A312-Ft!C$2)^2)),Ft!C$3*((1-Ft!C$7)/(1+Ft!C$39*($A312-Ft!C$2)^2)+Ft!C$7*EXP(Ft!C$40*($A312-Ft!C$2)^2)))</f>
        <v>1.6201089470868422E-7</v>
      </c>
      <c r="H312" s="3">
        <f>IF(($A312-Ft!D$2)&lt;0,Ft!D$3*((1-Ft!D$6)/(1+Ft!D$37*($A312-Ft!D$2)^2)+Ft!D$6*EXP(Ft!D$38*($A312-Ft!D$2)^2)),Ft!D$3*((1-Ft!D$7)/(1+Ft!D$39*($A312-Ft!D$2)^2)+Ft!D$7*EXP(Ft!D$40*($A312-Ft!D$2)^2)))</f>
        <v>8.7545893843086358</v>
      </c>
      <c r="I312" s="3">
        <f>IF(($A312-Ft!E$2)&lt;0,Ft!E$3*((1-Ft!E$6)/(1+Ft!E$37*($A312-Ft!E$2)^2)+Ft!E$6*EXP(Ft!E$38*($A312-Ft!E$2)^2)),Ft!E$3*((1-Ft!E$7)/(1+Ft!E$39*($A312-Ft!E$2)^2)+Ft!E$7*EXP(Ft!E$40*($A312-Ft!E$2)^2)))</f>
        <v>8.280658829276371</v>
      </c>
      <c r="J312" s="3">
        <f>IF(($A312-Ft!F$2)&lt;0,Ft!F$3*((1-Ft!F$6)/(1+Ft!F$37*($A312-Ft!F$2)^2)+Ft!F$6*EXP(Ft!F$38*($A312-Ft!F$2)^2)),Ft!F$3*((1-Ft!F$7)/(1+Ft!F$39*($A312-Ft!F$2)^2)+Ft!F$7*EXP(Ft!F$40*($A312-Ft!F$2)^2)))</f>
        <v>8.1256139732306089E-32</v>
      </c>
      <c r="K312" s="3">
        <f>IF(($A312-Ft!G$2)&lt;0,Ft!G$3*((1-Ft!G$6)/(1+Ft!G$37*($A312-Ft!G$2)^2)+Ft!G$6*EXP(Ft!G$38*($A312-Ft!G$2)^2)),Ft!G$3*((1-Ft!G$7)/(1+Ft!G$39*($A312-Ft!G$2)^2)+Ft!G$7*EXP(Ft!G$40*($A312-Ft!G$2)^2)))</f>
        <v>0</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v>622</v>
      </c>
      <c r="B313">
        <v>16.699136760689001</v>
      </c>
      <c r="C313" s="6">
        <f t="shared" si="9"/>
        <v>17.015307899228667</v>
      </c>
      <c r="D313" s="19">
        <f t="shared" si="10"/>
        <v>9.9964188845468496E-2</v>
      </c>
      <c r="E313" s="3">
        <f>Ft!$B$12+Ft!$B$14*(Data!A313-Vars!$B$3)</f>
        <v>0</v>
      </c>
      <c r="F313" s="3">
        <f>IF(($A313-Ft!B$2)&lt;0,Ft!B$3*((1-Ft!B$6)/(1+Ft!B$37*($A313-Ft!B$2)^2)+Ft!B$6*EXP(Ft!B$38*($A313-Ft!B$2)^2)),Ft!B$3*((1-Ft!B$7)/(1+Ft!B$39*($A313-Ft!B$2)^2)+Ft!B$7*EXP(Ft!B$40*($A313-Ft!B$2)^2)))</f>
        <v>1.8394887326928237E-181</v>
      </c>
      <c r="G313" s="3">
        <f>IF(($A313-Ft!C$2)&lt;0,Ft!C$3*((1-Ft!C$6)/(1+Ft!C$37*($A313-Ft!C$2)^2)+Ft!C$6*EXP(Ft!C$38*($A313-Ft!C$2)^2)),Ft!C$3*((1-Ft!C$7)/(1+Ft!C$39*($A313-Ft!C$2)^2)+Ft!C$7*EXP(Ft!C$40*($A313-Ft!C$2)^2)))</f>
        <v>1.3951727876513526E-7</v>
      </c>
      <c r="H313" s="3">
        <f>IF(($A313-Ft!D$2)&lt;0,Ft!D$3*((1-Ft!D$6)/(1+Ft!D$37*($A313-Ft!D$2)^2)+Ft!D$6*EXP(Ft!D$38*($A313-Ft!D$2)^2)),Ft!D$3*((1-Ft!D$7)/(1+Ft!D$39*($A313-Ft!D$2)^2)+Ft!D$7*EXP(Ft!D$40*($A313-Ft!D$2)^2)))</f>
        <v>8.6193809537440345</v>
      </c>
      <c r="I313" s="3">
        <f>IF(($A313-Ft!E$2)&lt;0,Ft!E$3*((1-Ft!E$6)/(1+Ft!E$37*($A313-Ft!E$2)^2)+Ft!E$6*EXP(Ft!E$38*($A313-Ft!E$2)^2)),Ft!E$3*((1-Ft!E$7)/(1+Ft!E$39*($A313-Ft!E$2)^2)+Ft!E$7*EXP(Ft!E$40*($A313-Ft!E$2)^2)))</f>
        <v>8.3959268059673526</v>
      </c>
      <c r="J313" s="3">
        <f>IF(($A313-Ft!F$2)&lt;0,Ft!F$3*((1-Ft!F$6)/(1+Ft!F$37*($A313-Ft!F$2)^2)+Ft!F$6*EXP(Ft!F$38*($A313-Ft!F$2)^2)),Ft!F$3*((1-Ft!F$7)/(1+Ft!F$39*($A313-Ft!F$2)^2)+Ft!F$7*EXP(Ft!F$40*($A313-Ft!F$2)^2)))</f>
        <v>1.6575136166315136E-31</v>
      </c>
      <c r="K313" s="3">
        <f>IF(($A313-Ft!G$2)&lt;0,Ft!G$3*((1-Ft!G$6)/(1+Ft!G$37*($A313-Ft!G$2)^2)+Ft!G$6*EXP(Ft!G$38*($A313-Ft!G$2)^2)),Ft!G$3*((1-Ft!G$7)/(1+Ft!G$39*($A313-Ft!G$2)^2)+Ft!G$7*EXP(Ft!G$40*($A313-Ft!G$2)^2)))</f>
        <v>0</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v>624</v>
      </c>
      <c r="B314">
        <v>16.66802358859799</v>
      </c>
      <c r="C314" s="6">
        <f t="shared" si="9"/>
        <v>16.996409844562272</v>
      </c>
      <c r="D314" s="19">
        <f t="shared" si="10"/>
        <v>0.10783753310623941</v>
      </c>
      <c r="E314" s="3">
        <f>Ft!$B$12+Ft!$B$14*(Data!A314-Vars!$B$3)</f>
        <v>0</v>
      </c>
      <c r="F314" s="3">
        <f>IF(($A314-Ft!B$2)&lt;0,Ft!B$3*((1-Ft!B$6)/(1+Ft!B$37*($A314-Ft!B$2)^2)+Ft!B$6*EXP(Ft!B$38*($A314-Ft!B$2)^2)),Ft!B$3*((1-Ft!B$7)/(1+Ft!B$39*($A314-Ft!B$2)^2)+Ft!B$7*EXP(Ft!B$40*($A314-Ft!B$2)^2)))</f>
        <v>1.0113655240540513E-182</v>
      </c>
      <c r="G314" s="3">
        <f>IF(($A314-Ft!C$2)&lt;0,Ft!C$3*((1-Ft!C$6)/(1+Ft!C$37*($A314-Ft!C$2)^2)+Ft!C$6*EXP(Ft!C$38*($A314-Ft!C$2)^2)),Ft!C$3*((1-Ft!C$7)/(1+Ft!C$39*($A314-Ft!C$2)^2)+Ft!C$7*EXP(Ft!C$40*($A314-Ft!C$2)^2)))</f>
        <v>1.200720050408621E-7</v>
      </c>
      <c r="H314" s="3">
        <f>IF(($A314-Ft!D$2)&lt;0,Ft!D$3*((1-Ft!D$6)/(1+Ft!D$37*($A314-Ft!D$2)^2)+Ft!D$6*EXP(Ft!D$38*($A314-Ft!D$2)^2)),Ft!D$3*((1-Ft!D$7)/(1+Ft!D$39*($A314-Ft!D$2)^2)+Ft!D$7*EXP(Ft!D$40*($A314-Ft!D$2)^2)))</f>
        <v>8.4848170356995016</v>
      </c>
      <c r="I314" s="3">
        <f>IF(($A314-Ft!E$2)&lt;0,Ft!E$3*((1-Ft!E$6)/(1+Ft!E$37*($A314-Ft!E$2)^2)+Ft!E$6*EXP(Ft!E$38*($A314-Ft!E$2)^2)),Ft!E$3*((1-Ft!E$7)/(1+Ft!E$39*($A314-Ft!E$2)^2)+Ft!E$7*EXP(Ft!E$40*($A314-Ft!E$2)^2)))</f>
        <v>8.5115926887907651</v>
      </c>
      <c r="J314" s="3">
        <f>IF(($A314-Ft!F$2)&lt;0,Ft!F$3*((1-Ft!F$6)/(1+Ft!F$37*($A314-Ft!F$2)^2)+Ft!F$6*EXP(Ft!F$38*($A314-Ft!F$2)^2)),Ft!F$3*((1-Ft!F$7)/(1+Ft!F$39*($A314-Ft!F$2)^2)+Ft!F$7*EXP(Ft!F$40*($A314-Ft!F$2)^2)))</f>
        <v>3.3693738839696752E-31</v>
      </c>
      <c r="K314" s="3">
        <f>IF(($A314-Ft!G$2)&lt;0,Ft!G$3*((1-Ft!G$6)/(1+Ft!G$37*($A314-Ft!G$2)^2)+Ft!G$6*EXP(Ft!G$38*($A314-Ft!G$2)^2)),Ft!G$3*((1-Ft!G$7)/(1+Ft!G$39*($A314-Ft!G$2)^2)+Ft!G$7*EXP(Ft!G$40*($A314-Ft!G$2)^2)))</f>
        <v>0</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v>626</v>
      </c>
      <c r="B315">
        <v>16.640185090849002</v>
      </c>
      <c r="C315" s="6">
        <f t="shared" si="9"/>
        <v>16.978562041846402</v>
      </c>
      <c r="D315" s="19">
        <f t="shared" si="10"/>
        <v>0.11449896096629696</v>
      </c>
      <c r="E315" s="3">
        <f>Ft!$B$12+Ft!$B$14*(Data!A315-Vars!$B$3)</f>
        <v>0</v>
      </c>
      <c r="F315" s="3">
        <f>IF(($A315-Ft!B$2)&lt;0,Ft!B$3*((1-Ft!B$6)/(1+Ft!B$37*($A315-Ft!B$2)^2)+Ft!B$6*EXP(Ft!B$38*($A315-Ft!B$2)^2)),Ft!B$3*((1-Ft!B$7)/(1+Ft!B$39*($A315-Ft!B$2)^2)+Ft!B$7*EXP(Ft!B$40*($A315-Ft!B$2)^2)))</f>
        <v>5.5049813875230938E-184</v>
      </c>
      <c r="G315" s="3">
        <f>IF(($A315-Ft!C$2)&lt;0,Ft!C$3*((1-Ft!C$6)/(1+Ft!C$37*($A315-Ft!C$2)^2)+Ft!C$6*EXP(Ft!C$38*($A315-Ft!C$2)^2)),Ft!C$3*((1-Ft!C$7)/(1+Ft!C$39*($A315-Ft!C$2)^2)+Ft!C$7*EXP(Ft!C$40*($A315-Ft!C$2)^2)))</f>
        <v>1.0327269682423166E-7</v>
      </c>
      <c r="H315" s="3">
        <f>IF(($A315-Ft!D$2)&lt;0,Ft!D$3*((1-Ft!D$6)/(1+Ft!D$37*($A315-Ft!D$2)^2)+Ft!D$6*EXP(Ft!D$38*($A315-Ft!D$2)^2)),Ft!D$3*((1-Ft!D$7)/(1+Ft!D$39*($A315-Ft!D$2)^2)+Ft!D$7*EXP(Ft!D$40*($A315-Ft!D$2)^2)))</f>
        <v>8.3509329949281739</v>
      </c>
      <c r="I315" s="3">
        <f>IF(($A315-Ft!E$2)&lt;0,Ft!E$3*((1-Ft!E$6)/(1+Ft!E$37*($A315-Ft!E$2)^2)+Ft!E$6*EXP(Ft!E$38*($A315-Ft!E$2)^2)),Ft!E$3*((1-Ft!E$7)/(1+Ft!E$39*($A315-Ft!E$2)^2)+Ft!E$7*EXP(Ft!E$40*($A315-Ft!E$2)^2)))</f>
        <v>8.6276289436455311</v>
      </c>
      <c r="J315" s="3">
        <f>IF(($A315-Ft!F$2)&lt;0,Ft!F$3*((1-Ft!F$6)/(1+Ft!F$37*($A315-Ft!F$2)^2)+Ft!F$6*EXP(Ft!F$38*($A315-Ft!F$2)^2)),Ft!F$3*((1-Ft!F$7)/(1+Ft!F$39*($A315-Ft!F$2)^2)+Ft!F$7*EXP(Ft!F$40*($A315-Ft!F$2)^2)))</f>
        <v>6.8254688294514381E-31</v>
      </c>
      <c r="K315" s="3">
        <f>IF(($A315-Ft!G$2)&lt;0,Ft!G$3*((1-Ft!G$6)/(1+Ft!G$37*($A315-Ft!G$2)^2)+Ft!G$6*EXP(Ft!G$38*($A315-Ft!G$2)^2)),Ft!G$3*((1-Ft!G$7)/(1+Ft!G$39*($A315-Ft!G$2)^2)+Ft!G$7*EXP(Ft!G$40*($A315-Ft!G$2)^2)))</f>
        <v>0</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v>628</v>
      </c>
      <c r="B316">
        <v>16.613926992171997</v>
      </c>
      <c r="C316" s="6">
        <f t="shared" si="9"/>
        <v>16.961770886190617</v>
      </c>
      <c r="D316" s="19">
        <f t="shared" si="10"/>
        <v>0.12099537460603704</v>
      </c>
      <c r="E316" s="3">
        <f>Ft!$B$12+Ft!$B$14*(Data!A316-Vars!$B$3)</f>
        <v>0</v>
      </c>
      <c r="F316" s="3">
        <f>IF(($A316-Ft!B$2)&lt;0,Ft!B$3*((1-Ft!B$6)/(1+Ft!B$37*($A316-Ft!B$2)^2)+Ft!B$6*EXP(Ft!B$38*($A316-Ft!B$2)^2)),Ft!B$3*((1-Ft!B$7)/(1+Ft!B$39*($A316-Ft!B$2)^2)+Ft!B$7*EXP(Ft!B$40*($A316-Ft!B$2)^2)))</f>
        <v>2.9664720554293562E-185</v>
      </c>
      <c r="G316" s="3">
        <f>IF(($A316-Ft!C$2)&lt;0,Ft!C$3*((1-Ft!C$6)/(1+Ft!C$37*($A316-Ft!C$2)^2)+Ft!C$6*EXP(Ft!C$38*($A316-Ft!C$2)^2)),Ft!C$3*((1-Ft!C$7)/(1+Ft!C$39*($A316-Ft!C$2)^2)+Ft!C$7*EXP(Ft!C$40*($A316-Ft!C$2)^2)))</f>
        <v>8.876857801001898E-8</v>
      </c>
      <c r="H316" s="3">
        <f>IF(($A316-Ft!D$2)&lt;0,Ft!D$3*((1-Ft!D$6)/(1+Ft!D$37*($A316-Ft!D$2)^2)+Ft!D$6*EXP(Ft!D$38*($A316-Ft!D$2)^2)),Ft!D$3*((1-Ft!D$7)/(1+Ft!D$39*($A316-Ft!D$2)^2)+Ft!D$7*EXP(Ft!D$40*($A316-Ft!D$2)^2)))</f>
        <v>8.2177632968904462</v>
      </c>
      <c r="I316" s="3">
        <f>IF(($A316-Ft!E$2)&lt;0,Ft!E$3*((1-Ft!E$6)/(1+Ft!E$37*($A316-Ft!E$2)^2)+Ft!E$6*EXP(Ft!E$38*($A316-Ft!E$2)^2)),Ft!E$3*((1-Ft!E$7)/(1+Ft!E$39*($A316-Ft!E$2)^2)+Ft!E$7*EXP(Ft!E$40*($A316-Ft!E$2)^2)))</f>
        <v>8.7440075005315929</v>
      </c>
      <c r="J316" s="3">
        <f>IF(($A316-Ft!F$2)&lt;0,Ft!F$3*((1-Ft!F$6)/(1+Ft!F$37*($A316-Ft!F$2)^2)+Ft!F$6*EXP(Ft!F$38*($A316-Ft!F$2)^2)),Ft!F$3*((1-Ft!F$7)/(1+Ft!F$39*($A316-Ft!F$2)^2)+Ft!F$7*EXP(Ft!F$40*($A316-Ft!F$2)^2)))</f>
        <v>1.3778658990802673E-30</v>
      </c>
      <c r="K316" s="3">
        <f>IF(($A316-Ft!G$2)&lt;0,Ft!G$3*((1-Ft!G$6)/(1+Ft!G$37*($A316-Ft!G$2)^2)+Ft!G$6*EXP(Ft!G$38*($A316-Ft!G$2)^2)),Ft!G$3*((1-Ft!G$7)/(1+Ft!G$39*($A316-Ft!G$2)^2)+Ft!G$7*EXP(Ft!G$40*($A316-Ft!G$2)^2)))</f>
        <v>0</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v>630</v>
      </c>
      <c r="B317">
        <v>16.589450161174</v>
      </c>
      <c r="C317" s="6">
        <f t="shared" si="9"/>
        <v>16.946041337198043</v>
      </c>
      <c r="D317" s="19">
        <f t="shared" si="10"/>
        <v>0.12715726681821019</v>
      </c>
      <c r="E317" s="3">
        <f>Ft!$B$12+Ft!$B$14*(Data!A317-Vars!$B$3)</f>
        <v>0</v>
      </c>
      <c r="F317" s="3">
        <f>IF(($A317-Ft!B$2)&lt;0,Ft!B$3*((1-Ft!B$6)/(1+Ft!B$37*($A317-Ft!B$2)^2)+Ft!B$6*EXP(Ft!B$38*($A317-Ft!B$2)^2)),Ft!B$3*((1-Ft!B$7)/(1+Ft!B$39*($A317-Ft!B$2)^2)+Ft!B$7*EXP(Ft!B$40*($A317-Ft!B$2)^2)))</f>
        <v>1.5825643016002548E-186</v>
      </c>
      <c r="G317" s="3">
        <f>IF(($A317-Ft!C$2)&lt;0,Ft!C$3*((1-Ft!C$6)/(1+Ft!C$37*($A317-Ft!C$2)^2)+Ft!C$6*EXP(Ft!C$38*($A317-Ft!C$2)^2)),Ft!C$3*((1-Ft!C$7)/(1+Ft!C$39*($A317-Ft!C$2)^2)+Ft!C$7*EXP(Ft!C$40*($A317-Ft!C$2)^2)))</f>
        <v>7.6254064448821712E-8</v>
      </c>
      <c r="H317" s="3">
        <f>IF(($A317-Ft!D$2)&lt;0,Ft!D$3*((1-Ft!D$6)/(1+Ft!D$37*($A317-Ft!D$2)^2)+Ft!D$6*EXP(Ft!D$38*($A317-Ft!D$2)^2)),Ft!D$3*((1-Ft!D$7)/(1+Ft!D$39*($A317-Ft!D$2)^2)+Ft!D$7*EXP(Ft!D$40*($A317-Ft!D$2)^2)))</f>
        <v>8.0853414986767529</v>
      </c>
      <c r="I317" s="3">
        <f>IF(($A317-Ft!E$2)&lt;0,Ft!E$3*((1-Ft!E$6)/(1+Ft!E$37*($A317-Ft!E$2)^2)+Ft!E$6*EXP(Ft!E$38*($A317-Ft!E$2)^2)),Ft!E$3*((1-Ft!E$7)/(1+Ft!E$39*($A317-Ft!E$2)^2)+Ft!E$7*EXP(Ft!E$40*($A317-Ft!E$2)^2)))</f>
        <v>8.8606997622672257</v>
      </c>
      <c r="J317" s="3">
        <f>IF(($A317-Ft!F$2)&lt;0,Ft!F$3*((1-Ft!F$6)/(1+Ft!F$37*($A317-Ft!F$2)^2)+Ft!F$6*EXP(Ft!F$38*($A317-Ft!F$2)^2)),Ft!F$3*((1-Ft!F$7)/(1+Ft!F$39*($A317-Ft!F$2)^2)+Ft!F$7*EXP(Ft!F$40*($A317-Ft!F$2)^2)))</f>
        <v>2.7718683396671838E-30</v>
      </c>
      <c r="K317" s="3">
        <f>IF(($A317-Ft!G$2)&lt;0,Ft!G$3*((1-Ft!G$6)/(1+Ft!G$37*($A317-Ft!G$2)^2)+Ft!G$6*EXP(Ft!G$38*($A317-Ft!G$2)^2)),Ft!G$3*((1-Ft!G$7)/(1+Ft!G$39*($A317-Ft!G$2)^2)+Ft!G$7*EXP(Ft!G$40*($A317-Ft!G$2)^2)))</f>
        <v>0</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v>632</v>
      </c>
      <c r="B318">
        <v>16.566955466465998</v>
      </c>
      <c r="C318" s="6">
        <f t="shared" si="9"/>
        <v>16.931376920004531</v>
      </c>
      <c r="D318" s="19">
        <f t="shared" si="10"/>
        <v>0.13280299579913721</v>
      </c>
      <c r="E318" s="3">
        <f>Ft!$B$12+Ft!$B$14*(Data!A318-Vars!$B$3)</f>
        <v>0</v>
      </c>
      <c r="F318" s="3">
        <f>IF(($A318-Ft!B$2)&lt;0,Ft!B$3*((1-Ft!B$6)/(1+Ft!B$37*($A318-Ft!B$2)^2)+Ft!B$6*EXP(Ft!B$38*($A318-Ft!B$2)^2)),Ft!B$3*((1-Ft!B$7)/(1+Ft!B$39*($A318-Ft!B$2)^2)+Ft!B$7*EXP(Ft!B$40*($A318-Ft!B$2)^2)))</f>
        <v>8.3583232907677448E-188</v>
      </c>
      <c r="G318" s="3">
        <f>IF(($A318-Ft!C$2)&lt;0,Ft!C$3*((1-Ft!C$6)/(1+Ft!C$37*($A318-Ft!C$2)^2)+Ft!C$6*EXP(Ft!C$38*($A318-Ft!C$2)^2)),Ft!C$3*((1-Ft!C$7)/(1+Ft!C$39*($A318-Ft!C$2)^2)+Ft!C$7*EXP(Ft!C$40*($A318-Ft!C$2)^2)))</f>
        <v>6.5463123111967358E-8</v>
      </c>
      <c r="H318" s="3">
        <f>IF(($A318-Ft!D$2)&lt;0,Ft!D$3*((1-Ft!D$6)/(1+Ft!D$37*($A318-Ft!D$2)^2)+Ft!D$6*EXP(Ft!D$38*($A318-Ft!D$2)^2)),Ft!D$3*((1-Ft!D$7)/(1+Ft!D$39*($A318-Ft!D$2)^2)+Ft!D$7*EXP(Ft!D$40*($A318-Ft!D$2)^2)))</f>
        <v>7.9537002408407469</v>
      </c>
      <c r="I318" s="3">
        <f>IF(($A318-Ft!E$2)&lt;0,Ft!E$3*((1-Ft!E$6)/(1+Ft!E$37*($A318-Ft!E$2)^2)+Ft!E$6*EXP(Ft!E$38*($A318-Ft!E$2)^2)),Ft!E$3*((1-Ft!E$7)/(1+Ft!E$39*($A318-Ft!E$2)^2)+Ft!E$7*EXP(Ft!E$40*($A318-Ft!E$2)^2)))</f>
        <v>8.9776766137006607</v>
      </c>
      <c r="J318" s="3">
        <f>IF(($A318-Ft!F$2)&lt;0,Ft!F$3*((1-Ft!F$6)/(1+Ft!F$37*($A318-Ft!F$2)^2)+Ft!F$6*EXP(Ft!F$38*($A318-Ft!F$2)^2)),Ft!F$3*((1-Ft!F$7)/(1+Ft!F$39*($A318-Ft!F$2)^2)+Ft!F$7*EXP(Ft!F$40*($A318-Ft!F$2)^2)))</f>
        <v>5.556859624857407E-30</v>
      </c>
      <c r="K318" s="3">
        <f>IF(($A318-Ft!G$2)&lt;0,Ft!G$3*((1-Ft!G$6)/(1+Ft!G$37*($A318-Ft!G$2)^2)+Ft!G$6*EXP(Ft!G$38*($A318-Ft!G$2)^2)),Ft!G$3*((1-Ft!G$7)/(1+Ft!G$39*($A318-Ft!G$2)^2)+Ft!G$7*EXP(Ft!G$40*($A318-Ft!G$2)^2)))</f>
        <v>0</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v>634</v>
      </c>
      <c r="B319">
        <v>16.546643776654989</v>
      </c>
      <c r="C319" s="6">
        <f t="shared" si="9"/>
        <v>16.917779727715885</v>
      </c>
      <c r="D319" s="19">
        <f t="shared" si="10"/>
        <v>0.13774189416987614</v>
      </c>
      <c r="E319" s="3">
        <f>Ft!$B$12+Ft!$B$14*(Data!A319-Vars!$B$3)</f>
        <v>0</v>
      </c>
      <c r="F319" s="3">
        <f>IF(($A319-Ft!B$2)&lt;0,Ft!B$3*((1-Ft!B$6)/(1+Ft!B$37*($A319-Ft!B$2)^2)+Ft!B$6*EXP(Ft!B$38*($A319-Ft!B$2)^2)),Ft!B$3*((1-Ft!B$7)/(1+Ft!B$39*($A319-Ft!B$2)^2)+Ft!B$7*EXP(Ft!B$40*($A319-Ft!B$2)^2)))</f>
        <v>4.3703242710835978E-189</v>
      </c>
      <c r="G319" s="3">
        <f>IF(($A319-Ft!C$2)&lt;0,Ft!C$3*((1-Ft!C$6)/(1+Ft!C$37*($A319-Ft!C$2)^2)+Ft!C$6*EXP(Ft!C$38*($A319-Ft!C$2)^2)),Ft!C$3*((1-Ft!C$7)/(1+Ft!C$39*($A319-Ft!C$2)^2)+Ft!C$7*EXP(Ft!C$40*($A319-Ft!C$2)^2)))</f>
        <v>5.6164310781823367E-8</v>
      </c>
      <c r="H319" s="3">
        <f>IF(($A319-Ft!D$2)&lt;0,Ft!D$3*((1-Ft!D$6)/(1+Ft!D$37*($A319-Ft!D$2)^2)+Ft!D$6*EXP(Ft!D$38*($A319-Ft!D$2)^2)),Ft!D$3*((1-Ft!D$7)/(1+Ft!D$39*($A319-Ft!D$2)^2)+Ft!D$7*EXP(Ft!D$40*($A319-Ft!D$2)^2)))</f>
        <v>7.8228712401367293</v>
      </c>
      <c r="I319" s="3">
        <f>IF(($A319-Ft!E$2)&lt;0,Ft!E$3*((1-Ft!E$6)/(1+Ft!E$37*($A319-Ft!E$2)^2)+Ft!E$6*EXP(Ft!E$38*($A319-Ft!E$2)^2)),Ft!E$3*((1-Ft!E$7)/(1+Ft!E$39*($A319-Ft!E$2)^2)+Ft!E$7*EXP(Ft!E$40*($A319-Ft!E$2)^2)))</f>
        <v>9.0949084314148454</v>
      </c>
      <c r="J319" s="3">
        <f>IF(($A319-Ft!F$2)&lt;0,Ft!F$3*((1-Ft!F$6)/(1+Ft!F$37*($A319-Ft!F$2)^2)+Ft!F$6*EXP(Ft!F$38*($A319-Ft!F$2)^2)),Ft!F$3*((1-Ft!F$7)/(1+Ft!F$39*($A319-Ft!F$2)^2)+Ft!F$7*EXP(Ft!F$40*($A319-Ft!F$2)^2)))</f>
        <v>1.1101391937606284E-29</v>
      </c>
      <c r="K319" s="3">
        <f>IF(($A319-Ft!G$2)&lt;0,Ft!G$3*((1-Ft!G$6)/(1+Ft!G$37*($A319-Ft!G$2)^2)+Ft!G$6*EXP(Ft!G$38*($A319-Ft!G$2)^2)),Ft!G$3*((1-Ft!G$7)/(1+Ft!G$39*($A319-Ft!G$2)^2)+Ft!G$7*EXP(Ft!G$40*($A319-Ft!G$2)^2)))</f>
        <v>0</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v>636</v>
      </c>
      <c r="B320">
        <v>16.528715960352002</v>
      </c>
      <c r="C320" s="6">
        <f t="shared" si="9"/>
        <v>16.905250425234012</v>
      </c>
      <c r="D320" s="19">
        <f t="shared" si="10"/>
        <v>0.14177820324398141</v>
      </c>
      <c r="E320" s="3">
        <f>Ft!$B$12+Ft!$B$14*(Data!A320-Vars!$B$3)</f>
        <v>0</v>
      </c>
      <c r="F320" s="3">
        <f>IF(($A320-Ft!B$2)&lt;0,Ft!B$3*((1-Ft!B$6)/(1+Ft!B$37*($A320-Ft!B$2)^2)+Ft!B$6*EXP(Ft!B$38*($A320-Ft!B$2)^2)),Ft!B$3*((1-Ft!B$7)/(1+Ft!B$39*($A320-Ft!B$2)^2)+Ft!B$7*EXP(Ft!B$40*($A320-Ft!B$2)^2)))</f>
        <v>2.2622721851857124E-190</v>
      </c>
      <c r="G320" s="3">
        <f>IF(($A320-Ft!C$2)&lt;0,Ft!C$3*((1-Ft!C$6)/(1+Ft!C$37*($A320-Ft!C$2)^2)+Ft!C$6*EXP(Ft!C$38*($A320-Ft!C$2)^2)),Ft!C$3*((1-Ft!C$7)/(1+Ft!C$39*($A320-Ft!C$2)^2)+Ft!C$7*EXP(Ft!C$40*($A320-Ft!C$2)^2)))</f>
        <v>4.815641365478055E-8</v>
      </c>
      <c r="H320" s="3">
        <f>IF(($A320-Ft!D$2)&lt;0,Ft!D$3*((1-Ft!D$6)/(1+Ft!D$37*($A320-Ft!D$2)^2)+Ft!D$6*EXP(Ft!D$38*($A320-Ft!D$2)^2)),Ft!D$3*((1-Ft!D$7)/(1+Ft!D$39*($A320-Ft!D$2)^2)+Ft!D$7*EXP(Ft!D$40*($A320-Ft!D$2)^2)))</f>
        <v>7.6928852831540153</v>
      </c>
      <c r="I320" s="3">
        <f>IF(($A320-Ft!E$2)&lt;0,Ft!E$3*((1-Ft!E$6)/(1+Ft!E$37*($A320-Ft!E$2)^2)+Ft!E$6*EXP(Ft!E$38*($A320-Ft!E$2)^2)),Ft!E$3*((1-Ft!E$7)/(1+Ft!E$39*($A320-Ft!E$2)^2)+Ft!E$7*EXP(Ft!E$40*($A320-Ft!E$2)^2)))</f>
        <v>9.2123650939235837</v>
      </c>
      <c r="J320" s="3">
        <f>IF(($A320-Ft!F$2)&lt;0,Ft!F$3*((1-Ft!F$6)/(1+Ft!F$37*($A320-Ft!F$2)^2)+Ft!F$6*EXP(Ft!F$38*($A320-Ft!F$2)^2)),Ft!F$3*((1-Ft!F$7)/(1+Ft!F$39*($A320-Ft!F$2)^2)+Ft!F$7*EXP(Ft!F$40*($A320-Ft!F$2)^2)))</f>
        <v>2.2101239332535286E-29</v>
      </c>
      <c r="K320" s="3">
        <f>IF(($A320-Ft!G$2)&lt;0,Ft!G$3*((1-Ft!G$6)/(1+Ft!G$37*($A320-Ft!G$2)^2)+Ft!G$6*EXP(Ft!G$38*($A320-Ft!G$2)^2)),Ft!G$3*((1-Ft!G$7)/(1+Ft!G$39*($A320-Ft!G$2)^2)+Ft!G$7*EXP(Ft!G$40*($A320-Ft!G$2)^2)))</f>
        <v>0</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v>638</v>
      </c>
      <c r="B321">
        <v>16.513372886162998</v>
      </c>
      <c r="C321" s="6">
        <f t="shared" si="9"/>
        <v>16.893788254461594</v>
      </c>
      <c r="D321" s="19">
        <f t="shared" si="10"/>
        <v>0.14471585243775661</v>
      </c>
      <c r="E321" s="3">
        <f>Ft!$B$12+Ft!$B$14*(Data!A321-Vars!$B$3)</f>
        <v>0</v>
      </c>
      <c r="F321" s="3">
        <f>IF(($A321-Ft!B$2)&lt;0,Ft!B$3*((1-Ft!B$6)/(1+Ft!B$37*($A321-Ft!B$2)^2)+Ft!B$6*EXP(Ft!B$38*($A321-Ft!B$2)^2)),Ft!B$3*((1-Ft!B$7)/(1+Ft!B$39*($A321-Ft!B$2)^2)+Ft!B$7*EXP(Ft!B$40*($A321-Ft!B$2)^2)))</f>
        <v>1.1593451415454694E-191</v>
      </c>
      <c r="G321" s="3">
        <f>IF(($A321-Ft!C$2)&lt;0,Ft!C$3*((1-Ft!C$6)/(1+Ft!C$37*($A321-Ft!C$2)^2)+Ft!C$6*EXP(Ft!C$38*($A321-Ft!C$2)^2)),Ft!C$3*((1-Ft!C$7)/(1+Ft!C$39*($A321-Ft!C$2)^2)+Ft!C$7*EXP(Ft!C$40*($A321-Ft!C$2)^2)))</f>
        <v>4.1264617920180939E-8</v>
      </c>
      <c r="H321" s="3">
        <f>IF(($A321-Ft!D$2)&lt;0,Ft!D$3*((1-Ft!D$6)/(1+Ft!D$37*($A321-Ft!D$2)^2)+Ft!D$6*EXP(Ft!D$38*($A321-Ft!D$2)^2)),Ft!D$3*((1-Ft!D$7)/(1+Ft!D$39*($A321-Ft!D$2)^2)+Ft!D$7*EXP(Ft!D$40*($A321-Ft!D$2)^2)))</f>
        <v>7.563772220840141</v>
      </c>
      <c r="I321" s="3">
        <f>IF(($A321-Ft!E$2)&lt;0,Ft!E$3*((1-Ft!E$6)/(1+Ft!E$37*($A321-Ft!E$2)^2)+Ft!E$6*EXP(Ft!E$38*($A321-Ft!E$2)^2)),Ft!E$3*((1-Ft!E$7)/(1+Ft!E$39*($A321-Ft!E$2)^2)+Ft!E$7*EXP(Ft!E$40*($A321-Ft!E$2)^2)))</f>
        <v>9.3300159923568344</v>
      </c>
      <c r="J321" s="3">
        <f>IF(($A321-Ft!F$2)&lt;0,Ft!F$3*((1-Ft!F$6)/(1+Ft!F$37*($A321-Ft!F$2)^2)+Ft!F$6*EXP(Ft!F$38*($A321-Ft!F$2)^2)),Ft!F$3*((1-Ft!F$7)/(1+Ft!F$39*($A321-Ft!F$2)^2)+Ft!F$7*EXP(Ft!F$40*($A321-Ft!F$2)^2)))</f>
        <v>4.384771852282264E-29</v>
      </c>
      <c r="K321" s="3">
        <f>IF(($A321-Ft!G$2)&lt;0,Ft!G$3*((1-Ft!G$6)/(1+Ft!G$37*($A321-Ft!G$2)^2)+Ft!G$6*EXP(Ft!G$38*($A321-Ft!G$2)^2)),Ft!G$3*((1-Ft!G$7)/(1+Ft!G$39*($A321-Ft!G$2)^2)+Ft!G$7*EXP(Ft!G$40*($A321-Ft!G$2)^2)))</f>
        <v>0</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v>640</v>
      </c>
      <c r="B322">
        <v>16.500815422700001</v>
      </c>
      <c r="C322" s="6">
        <f t="shared" si="9"/>
        <v>16.88339104087337</v>
      </c>
      <c r="D322" s="19">
        <f t="shared" si="10"/>
        <v>0.14636410362073579</v>
      </c>
      <c r="E322" s="3">
        <f>Ft!$B$12+Ft!$B$14*(Data!A322-Vars!$B$3)</f>
        <v>0</v>
      </c>
      <c r="F322" s="3">
        <f>IF(($A322-Ft!B$2)&lt;0,Ft!B$3*((1-Ft!B$6)/(1+Ft!B$37*($A322-Ft!B$2)^2)+Ft!B$6*EXP(Ft!B$38*($A322-Ft!B$2)^2)),Ft!B$3*((1-Ft!B$7)/(1+Ft!B$39*($A322-Ft!B$2)^2)+Ft!B$7*EXP(Ft!B$40*($A322-Ft!B$2)^2)))</f>
        <v>5.8818958961580532E-193</v>
      </c>
      <c r="G322" s="3">
        <f>IF(($A322-Ft!C$2)&lt;0,Ft!C$3*((1-Ft!C$6)/(1+Ft!C$37*($A322-Ft!C$2)^2)+Ft!C$6*EXP(Ft!C$38*($A322-Ft!C$2)^2)),Ft!C$3*((1-Ft!C$7)/(1+Ft!C$39*($A322-Ft!C$2)^2)+Ft!C$7*EXP(Ft!C$40*($A322-Ft!C$2)^2)))</f>
        <v>3.5337149149510055E-8</v>
      </c>
      <c r="H322" s="3">
        <f>IF(($A322-Ft!D$2)&lt;0,Ft!D$3*((1-Ft!D$6)/(1+Ft!D$37*($A322-Ft!D$2)^2)+Ft!D$6*EXP(Ft!D$38*($A322-Ft!D$2)^2)),Ft!D$3*((1-Ft!D$7)/(1+Ft!D$39*($A322-Ft!D$2)^2)+Ft!D$7*EXP(Ft!D$40*($A322-Ft!D$2)^2)))</f>
        <v>7.4355609639038152</v>
      </c>
      <c r="I322" s="3">
        <f>IF(($A322-Ft!E$2)&lt;0,Ft!E$3*((1-Ft!E$6)/(1+Ft!E$37*($A322-Ft!E$2)^2)+Ft!E$6*EXP(Ft!E$38*($A322-Ft!E$2)^2)),Ft!E$3*((1-Ft!E$7)/(1+Ft!E$39*($A322-Ft!E$2)^2)+Ft!E$7*EXP(Ft!E$40*($A322-Ft!E$2)^2)))</f>
        <v>9.4478300416324057</v>
      </c>
      <c r="J322" s="3">
        <f>IF(($A322-Ft!F$2)&lt;0,Ft!F$3*((1-Ft!F$6)/(1+Ft!F$37*($A322-Ft!F$2)^2)+Ft!F$6*EXP(Ft!F$38*($A322-Ft!F$2)^2)),Ft!F$3*((1-Ft!F$7)/(1+Ft!F$39*($A322-Ft!F$2)^2)+Ft!F$7*EXP(Ft!F$40*($A322-Ft!F$2)^2)))</f>
        <v>8.6689910911855858E-29</v>
      </c>
      <c r="K322" s="3">
        <f>IF(($A322-Ft!G$2)&lt;0,Ft!G$3*((1-Ft!G$6)/(1+Ft!G$37*($A322-Ft!G$2)^2)+Ft!G$6*EXP(Ft!G$38*($A322-Ft!G$2)^2)),Ft!G$3*((1-Ft!G$7)/(1+Ft!G$39*($A322-Ft!G$2)^2)+Ft!G$7*EXP(Ft!G$40*($A322-Ft!G$2)^2)))</f>
        <v>0</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v>642</v>
      </c>
      <c r="B323">
        <v>16.490938071026989</v>
      </c>
      <c r="C323" s="6">
        <f t="shared" ref="C323:C386" si="11">SUM(E323:K323)</f>
        <v>16.874055201440697</v>
      </c>
      <c r="D323" s="19">
        <f t="shared" ref="D323:D386" si="12">(C323-B323)^2</f>
        <v>0.14677873561643465</v>
      </c>
      <c r="E323" s="3">
        <f>Ft!$B$12+Ft!$B$14*(Data!A323-Vars!$B$3)</f>
        <v>0</v>
      </c>
      <c r="F323" s="3">
        <f>IF(($A323-Ft!B$2)&lt;0,Ft!B$3*((1-Ft!B$6)/(1+Ft!B$37*($A323-Ft!B$2)^2)+Ft!B$6*EXP(Ft!B$38*($A323-Ft!B$2)^2)),Ft!B$3*((1-Ft!B$7)/(1+Ft!B$39*($A323-Ft!B$2)^2)+Ft!B$7*EXP(Ft!B$40*($A323-Ft!B$2)^2)))</f>
        <v>2.9543273683005474E-194</v>
      </c>
      <c r="G323" s="3">
        <f>IF(($A323-Ft!C$2)&lt;0,Ft!C$3*((1-Ft!C$6)/(1+Ft!C$37*($A323-Ft!C$2)^2)+Ft!C$6*EXP(Ft!C$38*($A323-Ft!C$2)^2)),Ft!C$3*((1-Ft!C$7)/(1+Ft!C$39*($A323-Ft!C$2)^2)+Ft!C$7*EXP(Ft!C$40*($A323-Ft!C$2)^2)))</f>
        <v>3.0242325284226764E-8</v>
      </c>
      <c r="H323" s="3">
        <f>IF(($A323-Ft!D$2)&lt;0,Ft!D$3*((1-Ft!D$6)/(1+Ft!D$37*($A323-Ft!D$2)^2)+Ft!D$6*EXP(Ft!D$38*($A323-Ft!D$2)^2)),Ft!D$3*((1-Ft!D$7)/(1+Ft!D$39*($A323-Ft!D$2)^2)+Ft!D$7*EXP(Ft!D$40*($A323-Ft!D$2)^2)))</f>
        <v>7.3082794790876342</v>
      </c>
      <c r="I323" s="3">
        <f>IF(($A323-Ft!E$2)&lt;0,Ft!E$3*((1-Ft!E$6)/(1+Ft!E$37*($A323-Ft!E$2)^2)+Ft!E$6*EXP(Ft!E$38*($A323-Ft!E$2)^2)),Ft!E$3*((1-Ft!E$7)/(1+Ft!E$39*($A323-Ft!E$2)^2)+Ft!E$7*EXP(Ft!E$40*($A323-Ft!E$2)^2)))</f>
        <v>9.5657756921107389</v>
      </c>
      <c r="J323" s="3">
        <f>IF(($A323-Ft!F$2)&lt;0,Ft!F$3*((1-Ft!F$6)/(1+Ft!F$37*($A323-Ft!F$2)^2)+Ft!F$6*EXP(Ft!F$38*($A323-Ft!F$2)^2)),Ft!F$3*((1-Ft!F$7)/(1+Ft!F$39*($A323-Ft!F$2)^2)+Ft!F$7*EXP(Ft!F$40*($A323-Ft!F$2)^2)))</f>
        <v>1.7079741523930527E-28</v>
      </c>
      <c r="K323" s="3">
        <f>IF(($A323-Ft!G$2)&lt;0,Ft!G$3*((1-Ft!G$6)/(1+Ft!G$37*($A323-Ft!G$2)^2)+Ft!G$6*EXP(Ft!G$38*($A323-Ft!G$2)^2)),Ft!G$3*((1-Ft!G$7)/(1+Ft!G$39*($A323-Ft!G$2)^2)+Ft!G$7*EXP(Ft!G$40*($A323-Ft!G$2)^2)))</f>
        <v>0</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v>644</v>
      </c>
      <c r="B324">
        <v>16.482215533877991</v>
      </c>
      <c r="C324" s="6">
        <f t="shared" si="11"/>
        <v>16.865775753894781</v>
      </c>
      <c r="D324" s="19">
        <f t="shared" si="12"/>
        <v>0.1471184423793282</v>
      </c>
      <c r="E324" s="3">
        <f>Ft!$B$12+Ft!$B$14*(Data!A324-Vars!$B$3)</f>
        <v>0</v>
      </c>
      <c r="F324" s="3">
        <f>IF(($A324-Ft!B$2)&lt;0,Ft!B$3*((1-Ft!B$6)/(1+Ft!B$37*($A324-Ft!B$2)^2)+Ft!B$6*EXP(Ft!B$38*($A324-Ft!B$2)^2)),Ft!B$3*((1-Ft!B$7)/(1+Ft!B$39*($A324-Ft!B$2)^2)+Ft!B$7*EXP(Ft!B$40*($A324-Ft!B$2)^2)))</f>
        <v>1.4690500711331867E-195</v>
      </c>
      <c r="G324" s="3">
        <f>IF(($A324-Ft!C$2)&lt;0,Ft!C$3*((1-Ft!C$6)/(1+Ft!C$37*($A324-Ft!C$2)^2)+Ft!C$6*EXP(Ft!C$38*($A324-Ft!C$2)^2)),Ft!C$3*((1-Ft!C$7)/(1+Ft!C$39*($A324-Ft!C$2)^2)+Ft!C$7*EXP(Ft!C$40*($A324-Ft!C$2)^2)))</f>
        <v>2.5865974227849795E-8</v>
      </c>
      <c r="H324" s="3">
        <f>IF(($A324-Ft!D$2)&lt;0,Ft!D$3*((1-Ft!D$6)/(1+Ft!D$37*($A324-Ft!D$2)^2)+Ft!D$6*EXP(Ft!D$38*($A324-Ft!D$2)^2)),Ft!D$3*((1-Ft!D$7)/(1+Ft!D$39*($A324-Ft!D$2)^2)+Ft!D$7*EXP(Ft!D$40*($A324-Ft!D$2)^2)))</f>
        <v>7.1819547862997792</v>
      </c>
      <c r="I324" s="3">
        <f>IF(($A324-Ft!E$2)&lt;0,Ft!E$3*((1-Ft!E$6)/(1+Ft!E$37*($A324-Ft!E$2)^2)+Ft!E$6*EXP(Ft!E$38*($A324-Ft!E$2)^2)),Ft!E$3*((1-Ft!E$7)/(1+Ft!E$39*($A324-Ft!E$2)^2)+Ft!E$7*EXP(Ft!E$40*($A324-Ft!E$2)^2)))</f>
        <v>9.683820941729028</v>
      </c>
      <c r="J324" s="3">
        <f>IF(($A324-Ft!F$2)&lt;0,Ft!F$3*((1-Ft!F$6)/(1+Ft!F$37*($A324-Ft!F$2)^2)+Ft!F$6*EXP(Ft!F$38*($A324-Ft!F$2)^2)),Ft!F$3*((1-Ft!F$7)/(1+Ft!F$39*($A324-Ft!F$2)^2)+Ft!F$7*EXP(Ft!F$40*($A324-Ft!F$2)^2)))</f>
        <v>3.3533988669568682E-28</v>
      </c>
      <c r="K324" s="3">
        <f>IF(($A324-Ft!G$2)&lt;0,Ft!G$3*((1-Ft!G$6)/(1+Ft!G$37*($A324-Ft!G$2)^2)+Ft!G$6*EXP(Ft!G$38*($A324-Ft!G$2)^2)),Ft!G$3*((1-Ft!G$7)/(1+Ft!G$39*($A324-Ft!G$2)^2)+Ft!G$7*EXP(Ft!G$40*($A324-Ft!G$2)^2)))</f>
        <v>0</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v>646</v>
      </c>
      <c r="B325">
        <v>16.474828635164002</v>
      </c>
      <c r="C325" s="6">
        <f t="shared" si="11"/>
        <v>16.85854632731246</v>
      </c>
      <c r="D325" s="19">
        <f t="shared" si="12"/>
        <v>0.14723926726773912</v>
      </c>
      <c r="E325" s="3">
        <f>Ft!$B$12+Ft!$B$14*(Data!A325-Vars!$B$3)</f>
        <v>0</v>
      </c>
      <c r="F325" s="3">
        <f>IF(($A325-Ft!B$2)&lt;0,Ft!B$3*((1-Ft!B$6)/(1+Ft!B$37*($A325-Ft!B$2)^2)+Ft!B$6*EXP(Ft!B$38*($A325-Ft!B$2)^2)),Ft!B$3*((1-Ft!B$7)/(1+Ft!B$39*($A325-Ft!B$2)^2)+Ft!B$7*EXP(Ft!B$40*($A325-Ft!B$2)^2)))</f>
        <v>7.2318810817581069E-197</v>
      </c>
      <c r="G325" s="3">
        <f>IF(($A325-Ft!C$2)&lt;0,Ft!C$3*((1-Ft!C$6)/(1+Ft!C$37*($A325-Ft!C$2)^2)+Ft!C$6*EXP(Ft!C$38*($A325-Ft!C$2)^2)),Ft!C$3*((1-Ft!C$7)/(1+Ft!C$39*($A325-Ft!C$2)^2)+Ft!C$7*EXP(Ft!C$40*($A325-Ft!C$2)^2)))</f>
        <v>2.2109172601337632E-8</v>
      </c>
      <c r="H325" s="3">
        <f>IF(($A325-Ft!D$2)&lt;0,Ft!D$3*((1-Ft!D$6)/(1+Ft!D$37*($A325-Ft!D$2)^2)+Ft!D$6*EXP(Ft!D$38*($A325-Ft!D$2)^2)),Ft!D$3*((1-Ft!D$7)/(1+Ft!D$39*($A325-Ft!D$2)^2)+Ft!D$7*EXP(Ft!D$40*($A325-Ft!D$2)^2)))</f>
        <v>7.0566129565929954</v>
      </c>
      <c r="I325" s="3">
        <f>IF(($A325-Ft!E$2)&lt;0,Ft!E$3*((1-Ft!E$6)/(1+Ft!E$37*($A325-Ft!E$2)^2)+Ft!E$6*EXP(Ft!E$38*($A325-Ft!E$2)^2)),Ft!E$3*((1-Ft!E$7)/(1+Ft!E$39*($A325-Ft!E$2)^2)+Ft!E$7*EXP(Ft!E$40*($A325-Ft!E$2)^2)))</f>
        <v>9.8019333486102909</v>
      </c>
      <c r="J325" s="3">
        <f>IF(($A325-Ft!F$2)&lt;0,Ft!F$3*((1-Ft!F$6)/(1+Ft!F$37*($A325-Ft!F$2)^2)+Ft!F$6*EXP(Ft!F$38*($A325-Ft!F$2)^2)),Ft!F$3*((1-Ft!F$7)/(1+Ft!F$39*($A325-Ft!F$2)^2)+Ft!F$7*EXP(Ft!F$40*($A325-Ft!F$2)^2)))</f>
        <v>6.5611552535726604E-28</v>
      </c>
      <c r="K325" s="3">
        <f>IF(($A325-Ft!G$2)&lt;0,Ft!G$3*((1-Ft!G$6)/(1+Ft!G$37*($A325-Ft!G$2)^2)+Ft!G$6*EXP(Ft!G$38*($A325-Ft!G$2)^2)),Ft!G$3*((1-Ft!G$7)/(1+Ft!G$39*($A325-Ft!G$2)^2)+Ft!G$7*EXP(Ft!G$40*($A325-Ft!G$2)^2)))</f>
        <v>0</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v>648</v>
      </c>
      <c r="B326">
        <v>16.469277015159989</v>
      </c>
      <c r="C326" s="6">
        <f t="shared" si="11"/>
        <v>16.852359174007244</v>
      </c>
      <c r="D326" s="19">
        <f t="shared" si="12"/>
        <v>0.14675194042707371</v>
      </c>
      <c r="E326" s="3">
        <f>Ft!$B$12+Ft!$B$14*(Data!A326-Vars!$B$3)</f>
        <v>0</v>
      </c>
      <c r="F326" s="3">
        <f>IF(($A326-Ft!B$2)&lt;0,Ft!B$3*((1-Ft!B$6)/(1+Ft!B$37*($A326-Ft!B$2)^2)+Ft!B$6*EXP(Ft!B$38*($A326-Ft!B$2)^2)),Ft!B$3*((1-Ft!B$7)/(1+Ft!B$39*($A326-Ft!B$2)^2)+Ft!B$7*EXP(Ft!B$40*($A326-Ft!B$2)^2)))</f>
        <v>3.5245416783323295E-198</v>
      </c>
      <c r="G326" s="3">
        <f>IF(($A326-Ft!C$2)&lt;0,Ft!C$3*((1-Ft!C$6)/(1+Ft!C$37*($A326-Ft!C$2)^2)+Ft!C$6*EXP(Ft!C$38*($A326-Ft!C$2)^2)),Ft!C$3*((1-Ft!C$7)/(1+Ft!C$39*($A326-Ft!C$2)^2)+Ft!C$7*EXP(Ft!C$40*($A326-Ft!C$2)^2)))</f>
        <v>1.8886267176791122E-8</v>
      </c>
      <c r="H326" s="3">
        <f>IF(($A326-Ft!D$2)&lt;0,Ft!D$3*((1-Ft!D$6)/(1+Ft!D$37*($A326-Ft!D$2)^2)+Ft!D$6*EXP(Ft!D$38*($A326-Ft!D$2)^2)),Ft!D$3*((1-Ft!D$7)/(1+Ft!D$39*($A326-Ft!D$2)^2)+Ft!D$7*EXP(Ft!D$40*($A326-Ft!D$2)^2)))</f>
        <v>6.9322791109784152</v>
      </c>
      <c r="I326" s="3">
        <f>IF(($A326-Ft!E$2)&lt;0,Ft!E$3*((1-Ft!E$6)/(1+Ft!E$37*($A326-Ft!E$2)^2)+Ft!E$6*EXP(Ft!E$38*($A326-Ft!E$2)^2)),Ft!E$3*((1-Ft!E$7)/(1+Ft!E$39*($A326-Ft!E$2)^2)+Ft!E$7*EXP(Ft!E$40*($A326-Ft!E$2)^2)))</f>
        <v>9.9200800441425621</v>
      </c>
      <c r="J326" s="3">
        <f>IF(($A326-Ft!F$2)&lt;0,Ft!F$3*((1-Ft!F$6)/(1+Ft!F$37*($A326-Ft!F$2)^2)+Ft!F$6*EXP(Ft!F$38*($A326-Ft!F$2)^2)),Ft!F$3*((1-Ft!F$7)/(1+Ft!F$39*($A326-Ft!F$2)^2)+Ft!F$7*EXP(Ft!F$40*($A326-Ft!F$2)^2)))</f>
        <v>1.2792829077272157E-27</v>
      </c>
      <c r="K326" s="3">
        <f>IF(($A326-Ft!G$2)&lt;0,Ft!G$3*((1-Ft!G$6)/(1+Ft!G$37*($A326-Ft!G$2)^2)+Ft!G$6*EXP(Ft!G$38*($A326-Ft!G$2)^2)),Ft!G$3*((1-Ft!G$7)/(1+Ft!G$39*($A326-Ft!G$2)^2)+Ft!G$7*EXP(Ft!G$40*($A326-Ft!G$2)^2)))</f>
        <v>0</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v>650</v>
      </c>
      <c r="B327">
        <v>16.466060314139</v>
      </c>
      <c r="C327" s="6">
        <f t="shared" si="11"/>
        <v>16.847205182706965</v>
      </c>
      <c r="D327" s="19">
        <f t="shared" si="12"/>
        <v>0.14527141083569134</v>
      </c>
      <c r="E327" s="3">
        <f>Ft!$B$12+Ft!$B$14*(Data!A327-Vars!$B$3)</f>
        <v>0</v>
      </c>
      <c r="F327" s="3">
        <f>IF(($A327-Ft!B$2)&lt;0,Ft!B$3*((1-Ft!B$6)/(1+Ft!B$37*($A327-Ft!B$2)^2)+Ft!B$6*EXP(Ft!B$38*($A327-Ft!B$2)^2)),Ft!B$3*((1-Ft!B$7)/(1+Ft!B$39*($A327-Ft!B$2)^2)+Ft!B$7*EXP(Ft!B$40*($A327-Ft!B$2)^2)))</f>
        <v>1.7005551530748752E-199</v>
      </c>
      <c r="G327" s="3">
        <f>IF(($A327-Ft!C$2)&lt;0,Ft!C$3*((1-Ft!C$6)/(1+Ft!C$37*($A327-Ft!C$2)^2)+Ft!C$6*EXP(Ft!C$38*($A327-Ft!C$2)^2)),Ft!C$3*((1-Ft!C$7)/(1+Ft!C$39*($A327-Ft!C$2)^2)+Ft!C$7*EXP(Ft!C$40*($A327-Ft!C$2)^2)))</f>
        <v>1.6123144923327254E-8</v>
      </c>
      <c r="H327" s="3">
        <f>IF(($A327-Ft!D$2)&lt;0,Ft!D$3*((1-Ft!D$6)/(1+Ft!D$37*($A327-Ft!D$2)^2)+Ft!D$6*EXP(Ft!D$38*($A327-Ft!D$2)^2)),Ft!D$3*((1-Ft!D$7)/(1+Ft!D$39*($A327-Ft!D$2)^2)+Ft!D$7*EXP(Ft!D$40*($A327-Ft!D$2)^2)))</f>
        <v>6.8089774200610043</v>
      </c>
      <c r="I327" s="3">
        <f>IF(($A327-Ft!E$2)&lt;0,Ft!E$3*((1-Ft!E$6)/(1+Ft!E$37*($A327-Ft!E$2)^2)+Ft!E$6*EXP(Ft!E$38*($A327-Ft!E$2)^2)),Ft!E$3*((1-Ft!E$7)/(1+Ft!E$39*($A327-Ft!E$2)^2)+Ft!E$7*EXP(Ft!E$40*($A327-Ft!E$2)^2)))</f>
        <v>10.038227746522818</v>
      </c>
      <c r="J327" s="3">
        <f>IF(($A327-Ft!F$2)&lt;0,Ft!F$3*((1-Ft!F$6)/(1+Ft!F$37*($A327-Ft!F$2)^2)+Ft!F$6*EXP(Ft!F$38*($A327-Ft!F$2)^2)),Ft!F$3*((1-Ft!F$7)/(1+Ft!F$39*($A327-Ft!F$2)^2)+Ft!F$7*EXP(Ft!F$40*($A327-Ft!F$2)^2)))</f>
        <v>2.4856733854863662E-27</v>
      </c>
      <c r="K327" s="3">
        <f>IF(($A327-Ft!G$2)&lt;0,Ft!G$3*((1-Ft!G$6)/(1+Ft!G$37*($A327-Ft!G$2)^2)+Ft!G$6*EXP(Ft!G$38*($A327-Ft!G$2)^2)),Ft!G$3*((1-Ft!G$7)/(1+Ft!G$39*($A327-Ft!G$2)^2)+Ft!G$7*EXP(Ft!G$40*($A327-Ft!G$2)^2)))</f>
        <v>0</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v>652</v>
      </c>
      <c r="B328">
        <v>16.465678172374993</v>
      </c>
      <c r="C328" s="6">
        <f t="shared" si="11"/>
        <v>16.843073892998046</v>
      </c>
      <c r="D328" s="19">
        <f t="shared" si="12"/>
        <v>0.14242752994459326</v>
      </c>
      <c r="E328" s="3">
        <f>Ft!$B$12+Ft!$B$14*(Data!A328-Vars!$B$3)</f>
        <v>0</v>
      </c>
      <c r="F328" s="3">
        <f>IF(($A328-Ft!B$2)&lt;0,Ft!B$3*((1-Ft!B$6)/(1+Ft!B$37*($A328-Ft!B$2)^2)+Ft!B$6*EXP(Ft!B$38*($A328-Ft!B$2)^2)),Ft!B$3*((1-Ft!B$7)/(1+Ft!B$39*($A328-Ft!B$2)^2)+Ft!B$7*EXP(Ft!B$40*($A328-Ft!B$2)^2)))</f>
        <v>8.122981977160065E-201</v>
      </c>
      <c r="G328" s="3">
        <f>IF(($A328-Ft!C$2)&lt;0,Ft!C$3*((1-Ft!C$6)/(1+Ft!C$37*($A328-Ft!C$2)^2)+Ft!C$6*EXP(Ft!C$38*($A328-Ft!C$2)^2)),Ft!C$3*((1-Ft!C$7)/(1+Ft!C$39*($A328-Ft!C$2)^2)+Ft!C$7*EXP(Ft!C$40*($A328-Ft!C$2)^2)))</f>
        <v>1.3755721535324111E-8</v>
      </c>
      <c r="H328" s="3">
        <f>IF(($A328-Ft!D$2)&lt;0,Ft!D$3*((1-Ft!D$6)/(1+Ft!D$37*($A328-Ft!D$2)^2)+Ft!D$6*EXP(Ft!D$38*($A328-Ft!D$2)^2)),Ft!D$3*((1-Ft!D$7)/(1+Ft!D$39*($A328-Ft!D$2)^2)+Ft!D$7*EXP(Ft!D$40*($A328-Ft!D$2)^2)))</f>
        <v>6.6867311044826439</v>
      </c>
      <c r="I328" s="3">
        <f>IF(($A328-Ft!E$2)&lt;0,Ft!E$3*((1-Ft!E$6)/(1+Ft!E$37*($A328-Ft!E$2)^2)+Ft!E$6*EXP(Ft!E$38*($A328-Ft!E$2)^2)),Ft!E$3*((1-Ft!E$7)/(1+Ft!E$39*($A328-Ft!E$2)^2)+Ft!E$7*EXP(Ft!E$40*($A328-Ft!E$2)^2)))</f>
        <v>10.156342774759681</v>
      </c>
      <c r="J328" s="3">
        <f>IF(($A328-Ft!F$2)&lt;0,Ft!F$3*((1-Ft!F$6)/(1+Ft!F$37*($A328-Ft!F$2)^2)+Ft!F$6*EXP(Ft!F$38*($A328-Ft!F$2)^2)),Ft!F$3*((1-Ft!F$7)/(1+Ft!F$39*($A328-Ft!F$2)^2)+Ft!F$7*EXP(Ft!F$40*($A328-Ft!F$2)^2)))</f>
        <v>4.8129650615414532E-27</v>
      </c>
      <c r="K328" s="3">
        <f>IF(($A328-Ft!G$2)&lt;0,Ft!G$3*((1-Ft!G$6)/(1+Ft!G$37*($A328-Ft!G$2)^2)+Ft!G$6*EXP(Ft!G$38*($A328-Ft!G$2)^2)),Ft!G$3*((1-Ft!G$7)/(1+Ft!G$39*($A328-Ft!G$2)^2)+Ft!G$7*EXP(Ft!G$40*($A328-Ft!G$2)^2)))</f>
        <v>0</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v>654</v>
      </c>
      <c r="B329">
        <v>16.468630230141002</v>
      </c>
      <c r="C329" s="6">
        <f t="shared" si="11"/>
        <v>16.839953511015317</v>
      </c>
      <c r="D329" s="19">
        <f t="shared" si="12"/>
        <v>0.13788097891926493</v>
      </c>
      <c r="E329" s="3">
        <f>Ft!$B$12+Ft!$B$14*(Data!A329-Vars!$B$3)</f>
        <v>0</v>
      </c>
      <c r="F329" s="3">
        <f>IF(($A329-Ft!B$2)&lt;0,Ft!B$3*((1-Ft!B$6)/(1+Ft!B$37*($A329-Ft!B$2)^2)+Ft!B$6*EXP(Ft!B$38*($A329-Ft!B$2)^2)),Ft!B$3*((1-Ft!B$7)/(1+Ft!B$39*($A329-Ft!B$2)^2)+Ft!B$7*EXP(Ft!B$40*($A329-Ft!B$2)^2)))</f>
        <v>3.8412887501373067E-202</v>
      </c>
      <c r="G329" s="3">
        <f>IF(($A329-Ft!C$2)&lt;0,Ft!C$3*((1-Ft!C$6)/(1+Ft!C$37*($A329-Ft!C$2)^2)+Ft!C$6*EXP(Ft!C$38*($A329-Ft!C$2)^2)),Ft!C$3*((1-Ft!C$7)/(1+Ft!C$39*($A329-Ft!C$2)^2)+Ft!C$7*EXP(Ft!C$40*($A329-Ft!C$2)^2)))</f>
        <v>1.1728621816657595E-8</v>
      </c>
      <c r="H329" s="3">
        <f>IF(($A329-Ft!D$2)&lt;0,Ft!D$3*((1-Ft!D$6)/(1+Ft!D$37*($A329-Ft!D$2)^2)+Ft!D$6*EXP(Ft!D$38*($A329-Ft!D$2)^2)),Ft!D$3*((1-Ft!D$7)/(1+Ft!D$39*($A329-Ft!D$2)^2)+Ft!D$7*EXP(Ft!D$40*($A329-Ft!D$2)^2)))</f>
        <v>6.5655624361581797</v>
      </c>
      <c r="I329" s="3">
        <f>IF(($A329-Ft!E$2)&lt;0,Ft!E$3*((1-Ft!E$6)/(1+Ft!E$37*($A329-Ft!E$2)^2)+Ft!E$6*EXP(Ft!E$38*($A329-Ft!E$2)^2)),Ft!E$3*((1-Ft!E$7)/(1+Ft!E$39*($A329-Ft!E$2)^2)+Ft!E$7*EXP(Ft!E$40*($A329-Ft!E$2)^2)))</f>
        <v>10.274391063128514</v>
      </c>
      <c r="J329" s="3">
        <f>IF(($A329-Ft!F$2)&lt;0,Ft!F$3*((1-Ft!F$6)/(1+Ft!F$37*($A329-Ft!F$2)^2)+Ft!F$6*EXP(Ft!F$38*($A329-Ft!F$2)^2)),Ft!F$3*((1-Ft!F$7)/(1+Ft!F$39*($A329-Ft!F$2)^2)+Ft!F$7*EXP(Ft!F$40*($A329-Ft!F$2)^2)))</f>
        <v>9.2869378181324328E-27</v>
      </c>
      <c r="K329" s="3">
        <f>IF(($A329-Ft!G$2)&lt;0,Ft!G$3*((1-Ft!G$6)/(1+Ft!G$37*($A329-Ft!G$2)^2)+Ft!G$6*EXP(Ft!G$38*($A329-Ft!G$2)^2)),Ft!G$3*((1-Ft!G$7)/(1+Ft!G$39*($A329-Ft!G$2)^2)+Ft!G$7*EXP(Ft!G$40*($A329-Ft!G$2)^2)))</f>
        <v>0</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v>656</v>
      </c>
      <c r="B330">
        <v>16.475416127711995</v>
      </c>
      <c r="C330" s="6">
        <f t="shared" si="11"/>
        <v>16.837830926354968</v>
      </c>
      <c r="D330" s="19">
        <f t="shared" si="12"/>
        <v>0.13134448627542689</v>
      </c>
      <c r="E330" s="3">
        <f>Ft!$B$12+Ft!$B$14*(Data!A330-Vars!$B$3)</f>
        <v>0</v>
      </c>
      <c r="F330" s="3">
        <f>IF(($A330-Ft!B$2)&lt;0,Ft!B$3*((1-Ft!B$6)/(1+Ft!B$37*($A330-Ft!B$2)^2)+Ft!B$6*EXP(Ft!B$38*($A330-Ft!B$2)^2)),Ft!B$3*((1-Ft!B$7)/(1+Ft!B$39*($A330-Ft!B$2)^2)+Ft!B$7*EXP(Ft!B$40*($A330-Ft!B$2)^2)))</f>
        <v>1.7983537126873932E-203</v>
      </c>
      <c r="G330" s="3">
        <f>IF(($A330-Ft!C$2)&lt;0,Ft!C$3*((1-Ft!C$6)/(1+Ft!C$37*($A330-Ft!C$2)^2)+Ft!C$6*EXP(Ft!C$38*($A330-Ft!C$2)^2)),Ft!C$3*((1-Ft!C$7)/(1+Ft!C$39*($A330-Ft!C$2)^2)+Ft!C$7*EXP(Ft!C$40*($A330-Ft!C$2)^2)))</f>
        <v>9.9940284098920172E-9</v>
      </c>
      <c r="H330" s="3">
        <f>IF(($A330-Ft!D$2)&lt;0,Ft!D$3*((1-Ft!D$6)/(1+Ft!D$37*($A330-Ft!D$2)^2)+Ft!D$6*EXP(Ft!D$38*($A330-Ft!D$2)^2)),Ft!D$3*((1-Ft!D$7)/(1+Ft!D$39*($A330-Ft!D$2)^2)+Ft!D$7*EXP(Ft!D$40*($A330-Ft!D$2)^2)))</f>
        <v>6.4454927402890885</v>
      </c>
      <c r="I330" s="3">
        <f>IF(($A330-Ft!E$2)&lt;0,Ft!E$3*((1-Ft!E$6)/(1+Ft!E$37*($A330-Ft!E$2)^2)+Ft!E$6*EXP(Ft!E$38*($A330-Ft!E$2)^2)),Ft!E$3*((1-Ft!E$7)/(1+Ft!E$39*($A330-Ft!E$2)^2)+Ft!E$7*EXP(Ft!E$40*($A330-Ft!E$2)^2)))</f>
        <v>10.392338176071851</v>
      </c>
      <c r="J330" s="3">
        <f>IF(($A330-Ft!F$2)&lt;0,Ft!F$3*((1-Ft!F$6)/(1+Ft!F$37*($A330-Ft!F$2)^2)+Ft!F$6*EXP(Ft!F$38*($A330-Ft!F$2)^2)),Ft!F$3*((1-Ft!F$7)/(1+Ft!F$39*($A330-Ft!F$2)^2)+Ft!F$7*EXP(Ft!F$40*($A330-Ft!F$2)^2)))</f>
        <v>1.7857618808291161E-26</v>
      </c>
      <c r="K330" s="3">
        <f>IF(($A330-Ft!G$2)&lt;0,Ft!G$3*((1-Ft!G$6)/(1+Ft!G$37*($A330-Ft!G$2)^2)+Ft!G$6*EXP(Ft!G$38*($A330-Ft!G$2)^2)),Ft!G$3*((1-Ft!G$7)/(1+Ft!G$39*($A330-Ft!G$2)^2)+Ft!G$7*EXP(Ft!G$40*($A330-Ft!G$2)^2)))</f>
        <v>0</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v>658</v>
      </c>
      <c r="B331">
        <v>16.48653550536099</v>
      </c>
      <c r="C331" s="6">
        <f t="shared" si="11"/>
        <v>16.83669173018718</v>
      </c>
      <c r="D331" s="19">
        <f t="shared" si="12"/>
        <v>0.12260938178452918</v>
      </c>
      <c r="E331" s="3">
        <f>Ft!$B$12+Ft!$B$14*(Data!A331-Vars!$B$3)</f>
        <v>0</v>
      </c>
      <c r="F331" s="3">
        <f>IF(($A331-Ft!B$2)&lt;0,Ft!B$3*((1-Ft!B$6)/(1+Ft!B$37*($A331-Ft!B$2)^2)+Ft!B$6*EXP(Ft!B$38*($A331-Ft!B$2)^2)),Ft!B$3*((1-Ft!B$7)/(1+Ft!B$39*($A331-Ft!B$2)^2)+Ft!B$7*EXP(Ft!B$40*($A331-Ft!B$2)^2)))</f>
        <v>8.3350838687738376E-205</v>
      </c>
      <c r="G331" s="3">
        <f>IF(($A331-Ft!C$2)&lt;0,Ft!C$3*((1-Ft!C$6)/(1+Ft!C$37*($A331-Ft!C$2)^2)+Ft!C$6*EXP(Ft!C$38*($A331-Ft!C$2)^2)),Ft!C$3*((1-Ft!C$7)/(1+Ft!C$39*($A331-Ft!C$2)^2)+Ft!C$7*EXP(Ft!C$40*($A331-Ft!C$2)^2)))</f>
        <v>8.5106781271805668E-9</v>
      </c>
      <c r="H331" s="3">
        <f>IF(($A331-Ft!D$2)&lt;0,Ft!D$3*((1-Ft!D$6)/(1+Ft!D$37*($A331-Ft!D$2)^2)+Ft!D$6*EXP(Ft!D$38*($A331-Ft!D$2)^2)),Ft!D$3*((1-Ft!D$7)/(1+Ft!D$39*($A331-Ft!D$2)^2)+Ft!D$7*EXP(Ft!D$40*($A331-Ft!D$2)^2)))</f>
        <v>6.3265423981387672</v>
      </c>
      <c r="I331" s="3">
        <f>IF(($A331-Ft!E$2)&lt;0,Ft!E$3*((1-Ft!E$6)/(1+Ft!E$37*($A331-Ft!E$2)^2)+Ft!E$6*EXP(Ft!E$38*($A331-Ft!E$2)^2)),Ft!E$3*((1-Ft!E$7)/(1+Ft!E$39*($A331-Ft!E$2)^2)+Ft!E$7*EXP(Ft!E$40*($A331-Ft!E$2)^2)))</f>
        <v>10.510149323537734</v>
      </c>
      <c r="J331" s="3">
        <f>IF(($A331-Ft!F$2)&lt;0,Ft!F$3*((1-Ft!F$6)/(1+Ft!F$37*($A331-Ft!F$2)^2)+Ft!F$6*EXP(Ft!F$38*($A331-Ft!F$2)^2)),Ft!F$3*((1-Ft!F$7)/(1+Ft!F$39*($A331-Ft!F$2)^2)+Ft!F$7*EXP(Ft!F$40*($A331-Ft!F$2)^2)))</f>
        <v>3.4218876046970518E-26</v>
      </c>
      <c r="K331" s="3">
        <f>IF(($A331-Ft!G$2)&lt;0,Ft!G$3*((1-Ft!G$6)/(1+Ft!G$37*($A331-Ft!G$2)^2)+Ft!G$6*EXP(Ft!G$38*($A331-Ft!G$2)^2)),Ft!G$3*((1-Ft!G$7)/(1+Ft!G$39*($A331-Ft!G$2)^2)+Ft!G$7*EXP(Ft!G$40*($A331-Ft!G$2)^2)))</f>
        <v>0</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v>660</v>
      </c>
      <c r="B332">
        <v>16.504004129660999</v>
      </c>
      <c r="C332" s="6">
        <f t="shared" si="11"/>
        <v>16.83652023454367</v>
      </c>
      <c r="D332" s="19">
        <f t="shared" si="12"/>
        <v>0.11056696000634378</v>
      </c>
      <c r="E332" s="3">
        <f>Ft!$B$12+Ft!$B$14*(Data!A332-Vars!$B$3)</f>
        <v>0</v>
      </c>
      <c r="F332" s="3">
        <f>IF(($A332-Ft!B$2)&lt;0,Ft!B$3*((1-Ft!B$6)/(1+Ft!B$37*($A332-Ft!B$2)^2)+Ft!B$6*EXP(Ft!B$38*($A332-Ft!B$2)^2)),Ft!B$3*((1-Ft!B$7)/(1+Ft!B$39*($A332-Ft!B$2)^2)+Ft!B$7*EXP(Ft!B$40*($A332-Ft!B$2)^2)))</f>
        <v>3.8245604456169844E-206</v>
      </c>
      <c r="G332" s="3">
        <f>IF(($A332-Ft!C$2)&lt;0,Ft!C$3*((1-Ft!C$6)/(1+Ft!C$37*($A332-Ft!C$2)^2)+Ft!C$6*EXP(Ft!C$38*($A332-Ft!C$2)^2)),Ft!C$3*((1-Ft!C$7)/(1+Ft!C$39*($A332-Ft!C$2)^2)+Ft!C$7*EXP(Ft!C$40*($A332-Ft!C$2)^2)))</f>
        <v>7.2429875964968555E-9</v>
      </c>
      <c r="H332" s="3">
        <f>IF(($A332-Ft!D$2)&lt;0,Ft!D$3*((1-Ft!D$6)/(1+Ft!D$37*($A332-Ft!D$2)^2)+Ft!D$6*EXP(Ft!D$38*($A332-Ft!D$2)^2)),Ft!D$3*((1-Ft!D$7)/(1+Ft!D$39*($A332-Ft!D$2)^2)+Ft!D$7*EXP(Ft!D$40*($A332-Ft!D$2)^2)))</f>
        <v>6.2087308505528176</v>
      </c>
      <c r="I332" s="3">
        <f>IF(($A332-Ft!E$2)&lt;0,Ft!E$3*((1-Ft!E$6)/(1+Ft!E$37*($A332-Ft!E$2)^2)+Ft!E$6*EXP(Ft!E$38*($A332-Ft!E$2)^2)),Ft!E$3*((1-Ft!E$7)/(1+Ft!E$39*($A332-Ft!E$2)^2)+Ft!E$7*EXP(Ft!E$40*($A332-Ft!E$2)^2)))</f>
        <v>10.627789376747865</v>
      </c>
      <c r="J332" s="3">
        <f>IF(($A332-Ft!F$2)&lt;0,Ft!F$3*((1-Ft!F$6)/(1+Ft!F$37*($A332-Ft!F$2)^2)+Ft!F$6*EXP(Ft!F$38*($A332-Ft!F$2)^2)),Ft!F$3*((1-Ft!F$7)/(1+Ft!F$39*($A332-Ft!F$2)^2)+Ft!F$7*EXP(Ft!F$40*($A332-Ft!F$2)^2)))</f>
        <v>6.534300679213089E-26</v>
      </c>
      <c r="K332" s="3">
        <f>IF(($A332-Ft!G$2)&lt;0,Ft!G$3*((1-Ft!G$6)/(1+Ft!G$37*($A332-Ft!G$2)^2)+Ft!G$6*EXP(Ft!G$38*($A332-Ft!G$2)^2)),Ft!G$3*((1-Ft!G$7)/(1+Ft!G$39*($A332-Ft!G$2)^2)+Ft!G$7*EXP(Ft!G$40*($A332-Ft!G$2)^2)))</f>
        <v>0</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v>662</v>
      </c>
      <c r="B333">
        <v>16.528404043183997</v>
      </c>
      <c r="C333" s="6">
        <f t="shared" si="11"/>
        <v>16.837299492754514</v>
      </c>
      <c r="D333" s="19">
        <f t="shared" si="12"/>
        <v>9.5416398765372057E-2</v>
      </c>
      <c r="E333" s="3">
        <f>Ft!$B$12+Ft!$B$14*(Data!A333-Vars!$B$3)</f>
        <v>0</v>
      </c>
      <c r="F333" s="3">
        <f>IF(($A333-Ft!B$2)&lt;0,Ft!B$3*((1-Ft!B$6)/(1+Ft!B$37*($A333-Ft!B$2)^2)+Ft!B$6*EXP(Ft!B$38*($A333-Ft!B$2)^2)),Ft!B$3*((1-Ft!B$7)/(1+Ft!B$39*($A333-Ft!B$2)^2)+Ft!B$7*EXP(Ft!B$40*($A333-Ft!B$2)^2)))</f>
        <v>1.7373598505339163E-207</v>
      </c>
      <c r="G333" s="3">
        <f>IF(($A333-Ft!C$2)&lt;0,Ft!C$3*((1-Ft!C$6)/(1+Ft!C$37*($A333-Ft!C$2)^2)+Ft!C$6*EXP(Ft!C$38*($A333-Ft!C$2)^2)),Ft!C$3*((1-Ft!C$7)/(1+Ft!C$39*($A333-Ft!C$2)^2)+Ft!C$7*EXP(Ft!C$40*($A333-Ft!C$2)^2)))</f>
        <v>6.160292115765327E-9</v>
      </c>
      <c r="H333" s="3">
        <f>IF(($A333-Ft!D$2)&lt;0,Ft!D$3*((1-Ft!D$6)/(1+Ft!D$37*($A333-Ft!D$2)^2)+Ft!D$6*EXP(Ft!D$38*($A333-Ft!D$2)^2)),Ft!D$3*((1-Ft!D$7)/(1+Ft!D$39*($A333-Ft!D$2)^2)+Ft!D$7*EXP(Ft!D$40*($A333-Ft!D$2)^2)))</f>
        <v>6.0920766022071673</v>
      </c>
      <c r="I333" s="3">
        <f>IF(($A333-Ft!E$2)&lt;0,Ft!E$3*((1-Ft!E$6)/(1+Ft!E$37*($A333-Ft!E$2)^2)+Ft!E$6*EXP(Ft!E$38*($A333-Ft!E$2)^2)),Ft!E$3*((1-Ft!E$7)/(1+Ft!E$39*($A333-Ft!E$2)^2)+Ft!E$7*EXP(Ft!E$40*($A333-Ft!E$2)^2)))</f>
        <v>10.745222884387054</v>
      </c>
      <c r="J333" s="3">
        <f>IF(($A333-Ft!F$2)&lt;0,Ft!F$3*((1-Ft!F$6)/(1+Ft!F$37*($A333-Ft!F$2)^2)+Ft!F$6*EXP(Ft!F$38*($A333-Ft!F$2)^2)),Ft!F$3*((1-Ft!F$7)/(1+Ft!F$39*($A333-Ft!F$2)^2)+Ft!F$7*EXP(Ft!F$40*($A333-Ft!F$2)^2)))</f>
        <v>1.2434366703095278E-25</v>
      </c>
      <c r="K333" s="3">
        <f>IF(($A333-Ft!G$2)&lt;0,Ft!G$3*((1-Ft!G$6)/(1+Ft!G$37*($A333-Ft!G$2)^2)+Ft!G$6*EXP(Ft!G$38*($A333-Ft!G$2)^2)),Ft!G$3*((1-Ft!G$7)/(1+Ft!G$39*($A333-Ft!G$2)^2)+Ft!G$7*EXP(Ft!G$40*($A333-Ft!G$2)^2)))</f>
        <v>0</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v>664</v>
      </c>
      <c r="B334">
        <v>16.55808430019799</v>
      </c>
      <c r="C334" s="6">
        <f t="shared" si="11"/>
        <v>16.839011321007373</v>
      </c>
      <c r="D334" s="19">
        <f t="shared" si="12"/>
        <v>7.8919991020835398E-2</v>
      </c>
      <c r="E334" s="3">
        <f>Ft!$B$12+Ft!$B$14*(Data!A334-Vars!$B$3)</f>
        <v>0</v>
      </c>
      <c r="F334" s="3">
        <f>IF(($A334-Ft!B$2)&lt;0,Ft!B$3*((1-Ft!B$6)/(1+Ft!B$37*($A334-Ft!B$2)^2)+Ft!B$6*EXP(Ft!B$38*($A334-Ft!B$2)^2)),Ft!B$3*((1-Ft!B$7)/(1+Ft!B$39*($A334-Ft!B$2)^2)+Ft!B$7*EXP(Ft!B$40*($A334-Ft!B$2)^2)))</f>
        <v>7.8133041332195599E-209</v>
      </c>
      <c r="G334" s="3">
        <f>IF(($A334-Ft!C$2)&lt;0,Ft!C$3*((1-Ft!C$6)/(1+Ft!C$37*($A334-Ft!C$2)^2)+Ft!C$6*EXP(Ft!C$38*($A334-Ft!C$2)^2)),Ft!C$3*((1-Ft!C$7)/(1+Ft!C$39*($A334-Ft!C$2)^2)+Ft!C$7*EXP(Ft!C$40*($A334-Ft!C$2)^2)))</f>
        <v>5.2361835382473073E-9</v>
      </c>
      <c r="H334" s="3">
        <f>IF(($A334-Ft!D$2)&lt;0,Ft!D$3*((1-Ft!D$6)/(1+Ft!D$37*($A334-Ft!D$2)^2)+Ft!D$6*EXP(Ft!D$38*($A334-Ft!D$2)^2)),Ft!D$3*((1-Ft!D$7)/(1+Ft!D$39*($A334-Ft!D$2)^2)+Ft!D$7*EXP(Ft!D$40*($A334-Ft!D$2)^2)))</f>
        <v>5.9765972265662963</v>
      </c>
      <c r="I334" s="3">
        <f>IF(($A334-Ft!E$2)&lt;0,Ft!E$3*((1-Ft!E$6)/(1+Ft!E$37*($A334-Ft!E$2)^2)+Ft!E$6*EXP(Ft!E$38*($A334-Ft!E$2)^2)),Ft!E$3*((1-Ft!E$7)/(1+Ft!E$39*($A334-Ft!E$2)^2)+Ft!E$7*EXP(Ft!E$40*($A334-Ft!E$2)^2)))</f>
        <v>10.862414089204892</v>
      </c>
      <c r="J334" s="3">
        <f>IF(($A334-Ft!F$2)&lt;0,Ft!F$3*((1-Ft!F$6)/(1+Ft!F$37*($A334-Ft!F$2)^2)+Ft!F$6*EXP(Ft!F$38*($A334-Ft!F$2)^2)),Ft!F$3*((1-Ft!F$7)/(1+Ft!F$39*($A334-Ft!F$2)^2)+Ft!F$7*EXP(Ft!F$40*($A334-Ft!F$2)^2)))</f>
        <v>2.3579761555029888E-25</v>
      </c>
      <c r="K334" s="3">
        <f>IF(($A334-Ft!G$2)&lt;0,Ft!G$3*((1-Ft!G$6)/(1+Ft!G$37*($A334-Ft!G$2)^2)+Ft!G$6*EXP(Ft!G$38*($A334-Ft!G$2)^2)),Ft!G$3*((1-Ft!G$7)/(1+Ft!G$39*($A334-Ft!G$2)^2)+Ft!G$7*EXP(Ft!G$40*($A334-Ft!G$2)^2)))</f>
        <v>0</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v>666</v>
      </c>
      <c r="B335">
        <v>16.591393954971991</v>
      </c>
      <c r="C335" s="6">
        <f t="shared" si="11"/>
        <v>16.841636321001296</v>
      </c>
      <c r="D335" s="19">
        <f t="shared" si="12"/>
        <v>6.2621241755944523E-2</v>
      </c>
      <c r="E335" s="3">
        <f>Ft!$B$12+Ft!$B$14*(Data!A335-Vars!$B$3)</f>
        <v>0</v>
      </c>
      <c r="F335" s="3">
        <f>IF(($A335-Ft!B$2)&lt;0,Ft!B$3*((1-Ft!B$6)/(1+Ft!B$37*($A335-Ft!B$2)^2)+Ft!B$6*EXP(Ft!B$38*($A335-Ft!B$2)^2)),Ft!B$3*((1-Ft!B$7)/(1+Ft!B$39*($A335-Ft!B$2)^2)+Ft!B$7*EXP(Ft!B$40*($A335-Ft!B$2)^2)))</f>
        <v>3.4786951759684051E-210</v>
      </c>
      <c r="G335" s="3">
        <f>IF(($A335-Ft!C$2)&lt;0,Ft!C$3*((1-Ft!C$6)/(1+Ft!C$37*($A335-Ft!C$2)^2)+Ft!C$6*EXP(Ft!C$38*($A335-Ft!C$2)^2)),Ft!C$3*((1-Ft!C$7)/(1+Ft!C$39*($A335-Ft!C$2)^2)+Ft!C$7*EXP(Ft!C$40*($A335-Ft!C$2)^2)))</f>
        <v>4.4479347219462384E-9</v>
      </c>
      <c r="H335" s="3">
        <f>IF(($A335-Ft!D$2)&lt;0,Ft!D$3*((1-Ft!D$6)/(1+Ft!D$37*($A335-Ft!D$2)^2)+Ft!D$6*EXP(Ft!D$38*($A335-Ft!D$2)^2)),Ft!D$3*((1-Ft!D$7)/(1+Ft!D$39*($A335-Ft!D$2)^2)+Ft!D$7*EXP(Ft!D$40*($A335-Ft!D$2)^2)))</f>
        <v>5.8623093715333194</v>
      </c>
      <c r="I335" s="3">
        <f>IF(($A335-Ft!E$2)&lt;0,Ft!E$3*((1-Ft!E$6)/(1+Ft!E$37*($A335-Ft!E$2)^2)+Ft!E$6*EXP(Ft!E$38*($A335-Ft!E$2)^2)),Ft!E$3*((1-Ft!E$7)/(1+Ft!E$39*($A335-Ft!E$2)^2)+Ft!E$7*EXP(Ft!E$40*($A335-Ft!E$2)^2)))</f>
        <v>10.979326945020043</v>
      </c>
      <c r="J335" s="3">
        <f>IF(($A335-Ft!F$2)&lt;0,Ft!F$3*((1-Ft!F$6)/(1+Ft!F$37*($A335-Ft!F$2)^2)+Ft!F$6*EXP(Ft!F$38*($A335-Ft!F$2)^2)),Ft!F$3*((1-Ft!F$7)/(1+Ft!F$39*($A335-Ft!F$2)^2)+Ft!F$7*EXP(Ft!F$40*($A335-Ft!F$2)^2)))</f>
        <v>4.4560117668215547E-25</v>
      </c>
      <c r="K335" s="3">
        <f>IF(($A335-Ft!G$2)&lt;0,Ft!G$3*((1-Ft!G$6)/(1+Ft!G$37*($A335-Ft!G$2)^2)+Ft!G$6*EXP(Ft!G$38*($A335-Ft!G$2)^2)),Ft!G$3*((1-Ft!G$7)/(1+Ft!G$39*($A335-Ft!G$2)^2)+Ft!G$7*EXP(Ft!G$40*($A335-Ft!G$2)^2)))</f>
        <v>0</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v>668</v>
      </c>
      <c r="B336">
        <v>16.626682061775995</v>
      </c>
      <c r="C336" s="6">
        <f t="shared" si="11"/>
        <v>16.845153903666326</v>
      </c>
      <c r="D336" s="19">
        <f t="shared" si="12"/>
        <v>4.7729945698953731E-2</v>
      </c>
      <c r="E336" s="3">
        <f>Ft!$B$12+Ft!$B$14*(Data!A336-Vars!$B$3)</f>
        <v>0</v>
      </c>
      <c r="F336" s="3">
        <f>IF(($A336-Ft!B$2)&lt;0,Ft!B$3*((1-Ft!B$6)/(1+Ft!B$37*($A336-Ft!B$2)^2)+Ft!B$6*EXP(Ft!B$38*($A336-Ft!B$2)^2)),Ft!B$3*((1-Ft!B$7)/(1+Ft!B$39*($A336-Ft!B$2)^2)+Ft!B$7*EXP(Ft!B$40*($A336-Ft!B$2)^2)))</f>
        <v>1.5333267668117727E-211</v>
      </c>
      <c r="G336" s="3">
        <f>IF(($A336-Ft!C$2)&lt;0,Ft!C$3*((1-Ft!C$6)/(1+Ft!C$37*($A336-Ft!C$2)^2)+Ft!C$6*EXP(Ft!C$38*($A336-Ft!C$2)^2)),Ft!C$3*((1-Ft!C$7)/(1+Ft!C$39*($A336-Ft!C$2)^2)+Ft!C$7*EXP(Ft!C$40*($A336-Ft!C$2)^2)))</f>
        <v>3.7759995878958174E-9</v>
      </c>
      <c r="H336" s="3">
        <f>IF(($A336-Ft!D$2)&lt;0,Ft!D$3*((1-Ft!D$6)/(1+Ft!D$37*($A336-Ft!D$2)^2)+Ft!D$6*EXP(Ft!D$38*($A336-Ft!D$2)^2)),Ft!D$3*((1-Ft!D$7)/(1+Ft!D$39*($A336-Ft!D$2)^2)+Ft!D$7*EXP(Ft!D$40*($A336-Ft!D$2)^2)))</f>
        <v>5.7492287657732257</v>
      </c>
      <c r="I336" s="3">
        <f>IF(($A336-Ft!E$2)&lt;0,Ft!E$3*((1-Ft!E$6)/(1+Ft!E$37*($A336-Ft!E$2)^2)+Ft!E$6*EXP(Ft!E$38*($A336-Ft!E$2)^2)),Ft!E$3*((1-Ft!E$7)/(1+Ft!E$39*($A336-Ft!E$2)^2)+Ft!E$7*EXP(Ft!E$40*($A336-Ft!E$2)^2)))</f>
        <v>11.095925134117101</v>
      </c>
      <c r="J336" s="3">
        <f>IF(($A336-Ft!F$2)&lt;0,Ft!F$3*((1-Ft!F$6)/(1+Ft!F$37*($A336-Ft!F$2)^2)+Ft!F$6*EXP(Ft!F$38*($A336-Ft!F$2)^2)),Ft!F$3*((1-Ft!F$7)/(1+Ft!F$39*($A336-Ft!F$2)^2)+Ft!F$7*EXP(Ft!F$40*($A336-Ft!F$2)^2)))</f>
        <v>8.3915933627303311E-25</v>
      </c>
      <c r="K336" s="3">
        <f>IF(($A336-Ft!G$2)&lt;0,Ft!G$3*((1-Ft!G$6)/(1+Ft!G$37*($A336-Ft!G$2)^2)+Ft!G$6*EXP(Ft!G$38*($A336-Ft!G$2)^2)),Ft!G$3*((1-Ft!G$7)/(1+Ft!G$39*($A336-Ft!G$2)^2)+Ft!G$7*EXP(Ft!G$40*($A336-Ft!G$2)^2)))</f>
        <v>0</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v>670</v>
      </c>
      <c r="B337">
        <v>16.662297674877991</v>
      </c>
      <c r="C337" s="6">
        <f t="shared" si="11"/>
        <v>16.849542313919084</v>
      </c>
      <c r="D337" s="19">
        <f t="shared" si="12"/>
        <v>3.5060554849629423E-2</v>
      </c>
      <c r="E337" s="3">
        <f>Ft!$B$12+Ft!$B$14*(Data!A337-Vars!$B$3)</f>
        <v>0</v>
      </c>
      <c r="F337" s="3">
        <f>IF(($A337-Ft!B$2)&lt;0,Ft!B$3*((1-Ft!B$6)/(1+Ft!B$37*($A337-Ft!B$2)^2)+Ft!B$6*EXP(Ft!B$38*($A337-Ft!B$2)^2)),Ft!B$3*((1-Ft!B$7)/(1+Ft!B$39*($A337-Ft!B$2)^2)+Ft!B$7*EXP(Ft!B$40*($A337-Ft!B$2)^2)))</f>
        <v>6.6909803739851429E-213</v>
      </c>
      <c r="G337" s="3">
        <f>IF(($A337-Ft!C$2)&lt;0,Ft!C$3*((1-Ft!C$6)/(1+Ft!C$37*($A337-Ft!C$2)^2)+Ft!C$6*EXP(Ft!C$38*($A337-Ft!C$2)^2)),Ft!C$3*((1-Ft!C$7)/(1+Ft!C$39*($A337-Ft!C$2)^2)+Ft!C$7*EXP(Ft!C$40*($A337-Ft!C$2)^2)))</f>
        <v>3.2035791686142641E-9</v>
      </c>
      <c r="H337" s="3">
        <f>IF(($A337-Ft!D$2)&lt;0,Ft!D$3*((1-Ft!D$6)/(1+Ft!D$37*($A337-Ft!D$2)^2)+Ft!D$6*EXP(Ft!D$38*($A337-Ft!D$2)^2)),Ft!D$3*((1-Ft!D$7)/(1+Ft!D$39*($A337-Ft!D$2)^2)+Ft!D$7*EXP(Ft!D$40*($A337-Ft!D$2)^2)))</f>
        <v>5.6373702256901321</v>
      </c>
      <c r="I337" s="3">
        <f>IF(($A337-Ft!E$2)&lt;0,Ft!E$3*((1-Ft!E$6)/(1+Ft!E$37*($A337-Ft!E$2)^2)+Ft!E$6*EXP(Ft!E$38*($A337-Ft!E$2)^2)),Ft!E$3*((1-Ft!E$7)/(1+Ft!E$39*($A337-Ft!E$2)^2)+Ft!E$7*EXP(Ft!E$40*($A337-Ft!E$2)^2)))</f>
        <v>11.212172085025372</v>
      </c>
      <c r="J337" s="3">
        <f>IF(($A337-Ft!F$2)&lt;0,Ft!F$3*((1-Ft!F$6)/(1+Ft!F$37*($A337-Ft!F$2)^2)+Ft!F$6*EXP(Ft!F$38*($A337-Ft!F$2)^2)),Ft!F$3*((1-Ft!F$7)/(1+Ft!F$39*($A337-Ft!F$2)^2)+Ft!F$7*EXP(Ft!F$40*($A337-Ft!F$2)^2)))</f>
        <v>1.574830127252328E-24</v>
      </c>
      <c r="K337" s="3">
        <f>IF(($A337-Ft!G$2)&lt;0,Ft!G$3*((1-Ft!G$6)/(1+Ft!G$37*($A337-Ft!G$2)^2)+Ft!G$6*EXP(Ft!G$38*($A337-Ft!G$2)^2)),Ft!G$3*((1-Ft!G$7)/(1+Ft!G$39*($A337-Ft!G$2)^2)+Ft!G$7*EXP(Ft!G$40*($A337-Ft!G$2)^2)))</f>
        <v>0</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v>672</v>
      </c>
      <c r="B338">
        <v>16.696589848548996</v>
      </c>
      <c r="C338" s="6">
        <f t="shared" si="11"/>
        <v>16.854778656423743</v>
      </c>
      <c r="D338" s="19">
        <f t="shared" si="12"/>
        <v>2.5023698936833788E-2</v>
      </c>
      <c r="E338" s="3">
        <f>Ft!$B$12+Ft!$B$14*(Data!A338-Vars!$B$3)</f>
        <v>0</v>
      </c>
      <c r="F338" s="3">
        <f>IF(($A338-Ft!B$2)&lt;0,Ft!B$3*((1-Ft!B$6)/(1+Ft!B$37*($A338-Ft!B$2)^2)+Ft!B$6*EXP(Ft!B$38*($A338-Ft!B$2)^2)),Ft!B$3*((1-Ft!B$7)/(1+Ft!B$39*($A338-Ft!B$2)^2)+Ft!B$7*EXP(Ft!B$40*($A338-Ft!B$2)^2)))</f>
        <v>2.8905566930948072E-214</v>
      </c>
      <c r="G338" s="3">
        <f>IF(($A338-Ft!C$2)&lt;0,Ft!C$3*((1-Ft!C$6)/(1+Ft!C$37*($A338-Ft!C$2)^2)+Ft!C$6*EXP(Ft!C$38*($A338-Ft!C$2)^2)),Ft!C$3*((1-Ft!C$7)/(1+Ft!C$39*($A338-Ft!C$2)^2)+Ft!C$7*EXP(Ft!C$40*($A338-Ft!C$2)^2)))</f>
        <v>2.7162452081446111E-9</v>
      </c>
      <c r="H338" s="3">
        <f>IF(($A338-Ft!D$2)&lt;0,Ft!D$3*((1-Ft!D$6)/(1+Ft!D$37*($A338-Ft!D$2)^2)+Ft!D$6*EXP(Ft!D$38*($A338-Ft!D$2)^2)),Ft!D$3*((1-Ft!D$7)/(1+Ft!D$39*($A338-Ft!D$2)^2)+Ft!D$7*EXP(Ft!D$40*($A338-Ft!D$2)^2)))</f>
        <v>5.5267476630389609</v>
      </c>
      <c r="I338" s="3">
        <f>IF(($A338-Ft!E$2)&lt;0,Ft!E$3*((1-Ft!E$6)/(1+Ft!E$37*($A338-Ft!E$2)^2)+Ft!E$6*EXP(Ft!E$38*($A338-Ft!E$2)^2)),Ft!E$3*((1-Ft!E$7)/(1+Ft!E$39*($A338-Ft!E$2)^2)+Ft!E$7*EXP(Ft!E$40*($A338-Ft!E$2)^2)))</f>
        <v>11.328030990668537</v>
      </c>
      <c r="J338" s="3">
        <f>IF(($A338-Ft!F$2)&lt;0,Ft!F$3*((1-Ft!F$6)/(1+Ft!F$37*($A338-Ft!F$2)^2)+Ft!F$6*EXP(Ft!F$38*($A338-Ft!F$2)^2)),Ft!F$3*((1-Ft!F$7)/(1+Ft!F$39*($A338-Ft!F$2)^2)+Ft!F$7*EXP(Ft!F$40*($A338-Ft!F$2)^2)))</f>
        <v>2.9451958510710572E-24</v>
      </c>
      <c r="K338" s="3">
        <f>IF(($A338-Ft!G$2)&lt;0,Ft!G$3*((1-Ft!G$6)/(1+Ft!G$37*($A338-Ft!G$2)^2)+Ft!G$6*EXP(Ft!G$38*($A338-Ft!G$2)^2)),Ft!G$3*((1-Ft!G$7)/(1+Ft!G$39*($A338-Ft!G$2)^2)+Ft!G$7*EXP(Ft!G$40*($A338-Ft!G$2)^2)))</f>
        <v>0</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v>674</v>
      </c>
      <c r="B339">
        <v>16.727907637057001</v>
      </c>
      <c r="C339" s="6">
        <f t="shared" si="11"/>
        <v>16.860838922326863</v>
      </c>
      <c r="D339" s="19">
        <f t="shared" si="12"/>
        <v>1.7670726603497455E-2</v>
      </c>
      <c r="E339" s="3">
        <f>Ft!$B$12+Ft!$B$14*(Data!A339-Vars!$B$3)</f>
        <v>0</v>
      </c>
      <c r="F339" s="3">
        <f>IF(($A339-Ft!B$2)&lt;0,Ft!B$3*((1-Ft!B$6)/(1+Ft!B$37*($A339-Ft!B$2)^2)+Ft!B$6*EXP(Ft!B$38*($A339-Ft!B$2)^2)),Ft!B$3*((1-Ft!B$7)/(1+Ft!B$39*($A339-Ft!B$2)^2)+Ft!B$7*EXP(Ft!B$40*($A339-Ft!B$2)^2)))</f>
        <v>1.2362603034073924E-215</v>
      </c>
      <c r="G339" s="3">
        <f>IF(($A339-Ft!C$2)&lt;0,Ft!C$3*((1-Ft!C$6)/(1+Ft!C$37*($A339-Ft!C$2)^2)+Ft!C$6*EXP(Ft!C$38*($A339-Ft!C$2)^2)),Ft!C$3*((1-Ft!C$7)/(1+Ft!C$39*($A339-Ft!C$2)^2)+Ft!C$7*EXP(Ft!C$40*($A339-Ft!C$2)^2)))</f>
        <v>2.301613916342903E-9</v>
      </c>
      <c r="H339" s="3">
        <f>IF(($A339-Ft!D$2)&lt;0,Ft!D$3*((1-Ft!D$6)/(1+Ft!D$37*($A339-Ft!D$2)^2)+Ft!D$6*EXP(Ft!D$38*($A339-Ft!D$2)^2)),Ft!D$3*((1-Ft!D$7)/(1+Ft!D$39*($A339-Ft!D$2)^2)+Ft!D$7*EXP(Ft!D$40*($A339-Ft!D$2)^2)))</f>
        <v>5.4173740931516523</v>
      </c>
      <c r="I339" s="3">
        <f>IF(($A339-Ft!E$2)&lt;0,Ft!E$3*((1-Ft!E$6)/(1+Ft!E$37*($A339-Ft!E$2)^2)+Ft!E$6*EXP(Ft!E$38*($A339-Ft!E$2)^2)),Ft!E$3*((1-Ft!E$7)/(1+Ft!E$39*($A339-Ft!E$2)^2)+Ft!E$7*EXP(Ft!E$40*($A339-Ft!E$2)^2)))</f>
        <v>11.443464826873596</v>
      </c>
      <c r="J339" s="3">
        <f>IF(($A339-Ft!F$2)&lt;0,Ft!F$3*((1-Ft!F$6)/(1+Ft!F$37*($A339-Ft!F$2)^2)+Ft!F$6*EXP(Ft!F$38*($A339-Ft!F$2)^2)),Ft!F$3*((1-Ft!F$7)/(1+Ft!F$39*($A339-Ft!F$2)^2)+Ft!F$7*EXP(Ft!F$40*($A339-Ft!F$2)^2)))</f>
        <v>5.4889064307792839E-24</v>
      </c>
      <c r="K339" s="3">
        <f>IF(($A339-Ft!G$2)&lt;0,Ft!G$3*((1-Ft!G$6)/(1+Ft!G$37*($A339-Ft!G$2)^2)+Ft!G$6*EXP(Ft!G$38*($A339-Ft!G$2)^2)),Ft!G$3*((1-Ft!G$7)/(1+Ft!G$39*($A339-Ft!G$2)^2)+Ft!G$7*EXP(Ft!G$40*($A339-Ft!G$2)^2)))</f>
        <v>0</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v>676</v>
      </c>
      <c r="B340">
        <v>16.759460874616991</v>
      </c>
      <c r="C340" s="6">
        <f t="shared" si="11"/>
        <v>16.867698016933694</v>
      </c>
      <c r="D340" s="19">
        <f t="shared" si="12"/>
        <v>1.1715278976886269E-2</v>
      </c>
      <c r="E340" s="3">
        <f>Ft!$B$12+Ft!$B$14*(Data!A340-Vars!$B$3)</f>
        <v>0</v>
      </c>
      <c r="F340" s="3">
        <f>IF(($A340-Ft!B$2)&lt;0,Ft!B$3*((1-Ft!B$6)/(1+Ft!B$37*($A340-Ft!B$2)^2)+Ft!B$6*EXP(Ft!B$38*($A340-Ft!B$2)^2)),Ft!B$3*((1-Ft!B$7)/(1+Ft!B$39*($A340-Ft!B$2)^2)+Ft!B$7*EXP(Ft!B$40*($A340-Ft!B$2)^2)))</f>
        <v>5.2344981834343124E-217</v>
      </c>
      <c r="G340" s="3">
        <f>IF(($A340-Ft!C$2)&lt;0,Ft!C$3*((1-Ft!C$6)/(1+Ft!C$37*($A340-Ft!C$2)^2)+Ft!C$6*EXP(Ft!C$38*($A340-Ft!C$2)^2)),Ft!C$3*((1-Ft!C$7)/(1+Ft!C$39*($A340-Ft!C$2)^2)+Ft!C$7*EXP(Ft!C$40*($A340-Ft!C$2)^2)))</f>
        <v>1.9490633979905948E-9</v>
      </c>
      <c r="H340" s="3">
        <f>IF(($A340-Ft!D$2)&lt;0,Ft!D$3*((1-Ft!D$6)/(1+Ft!D$37*($A340-Ft!D$2)^2)+Ft!D$6*EXP(Ft!D$38*($A340-Ft!D$2)^2)),Ft!D$3*((1-Ft!D$7)/(1+Ft!D$39*($A340-Ft!D$2)^2)+Ft!D$7*EXP(Ft!D$40*($A340-Ft!D$2)^2)))</f>
        <v>5.3092616437576252</v>
      </c>
      <c r="I340" s="3">
        <f>IF(($A340-Ft!E$2)&lt;0,Ft!E$3*((1-Ft!E$6)/(1+Ft!E$37*($A340-Ft!E$2)^2)+Ft!E$6*EXP(Ft!E$38*($A340-Ft!E$2)^2)),Ft!E$3*((1-Ft!E$7)/(1+Ft!E$39*($A340-Ft!E$2)^2)+Ft!E$7*EXP(Ft!E$40*($A340-Ft!E$2)^2)))</f>
        <v>11.558436371227007</v>
      </c>
      <c r="J340" s="3">
        <f>IF(($A340-Ft!F$2)&lt;0,Ft!F$3*((1-Ft!F$6)/(1+Ft!F$37*($A340-Ft!F$2)^2)+Ft!F$6*EXP(Ft!F$38*($A340-Ft!F$2)^2)),Ft!F$3*((1-Ft!F$7)/(1+Ft!F$39*($A340-Ft!F$2)^2)+Ft!F$7*EXP(Ft!F$40*($A340-Ft!F$2)^2)))</f>
        <v>1.0194094536052169E-23</v>
      </c>
      <c r="K340" s="3">
        <f>IF(($A340-Ft!G$2)&lt;0,Ft!G$3*((1-Ft!G$6)/(1+Ft!G$37*($A340-Ft!G$2)^2)+Ft!G$6*EXP(Ft!G$38*($A340-Ft!G$2)^2)),Ft!G$3*((1-Ft!G$7)/(1+Ft!G$39*($A340-Ft!G$2)^2)+Ft!G$7*EXP(Ft!G$40*($A340-Ft!G$2)^2)))</f>
        <v>0</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v>678</v>
      </c>
      <c r="B341">
        <v>16.794950285131989</v>
      </c>
      <c r="C341" s="6">
        <f t="shared" si="11"/>
        <v>16.875329788292937</v>
      </c>
      <c r="D341" s="19">
        <f t="shared" si="12"/>
        <v>6.4608645284008849E-3</v>
      </c>
      <c r="E341" s="3">
        <f>Ft!$B$12+Ft!$B$14*(Data!A341-Vars!$B$3)</f>
        <v>0</v>
      </c>
      <c r="F341" s="3">
        <f>IF(($A341-Ft!B$2)&lt;0,Ft!B$3*((1-Ft!B$6)/(1+Ft!B$37*($A341-Ft!B$2)^2)+Ft!B$6*EXP(Ft!B$38*($A341-Ft!B$2)^2)),Ft!B$3*((1-Ft!B$7)/(1+Ft!B$39*($A341-Ft!B$2)^2)+Ft!B$7*EXP(Ft!B$40*($A341-Ft!B$2)^2)))</f>
        <v>2.1942033786321016E-218</v>
      </c>
      <c r="G341" s="3">
        <f>IF(($A341-Ft!C$2)&lt;0,Ft!C$3*((1-Ft!C$6)/(1+Ft!C$37*($A341-Ft!C$2)^2)+Ft!C$6*EXP(Ft!C$38*($A341-Ft!C$2)^2)),Ft!C$3*((1-Ft!C$7)/(1+Ft!C$39*($A341-Ft!C$2)^2)+Ft!C$7*EXP(Ft!C$40*($A341-Ft!C$2)^2)))</f>
        <v>1.6494890858158131E-9</v>
      </c>
      <c r="H341" s="3">
        <f>IF(($A341-Ft!D$2)&lt;0,Ft!D$3*((1-Ft!D$6)/(1+Ft!D$37*($A341-Ft!D$2)^2)+Ft!D$6*EXP(Ft!D$38*($A341-Ft!D$2)^2)),Ft!D$3*((1-Ft!D$7)/(1+Ft!D$39*($A341-Ft!D$2)^2)+Ft!D$7*EXP(Ft!D$40*($A341-Ft!D$2)^2)))</f>
        <v>5.2024215643778806</v>
      </c>
      <c r="I341" s="3">
        <f>IF(($A341-Ft!E$2)&lt;0,Ft!E$3*((1-Ft!E$6)/(1+Ft!E$37*($A341-Ft!E$2)^2)+Ft!E$6*EXP(Ft!E$38*($A341-Ft!E$2)^2)),Ft!E$3*((1-Ft!E$7)/(1+Ft!E$39*($A341-Ft!E$2)^2)+Ft!E$7*EXP(Ft!E$40*($A341-Ft!E$2)^2)))</f>
        <v>11.672908222265567</v>
      </c>
      <c r="J341" s="3">
        <f>IF(($A341-Ft!F$2)&lt;0,Ft!F$3*((1-Ft!F$6)/(1+Ft!F$37*($A341-Ft!F$2)^2)+Ft!F$6*EXP(Ft!F$38*($A341-Ft!F$2)^2)),Ft!F$3*((1-Ft!F$7)/(1+Ft!F$39*($A341-Ft!F$2)^2)+Ft!F$7*EXP(Ft!F$40*($A341-Ft!F$2)^2)))</f>
        <v>1.8866992114610606E-23</v>
      </c>
      <c r="K341" s="3">
        <f>IF(($A341-Ft!G$2)&lt;0,Ft!G$3*((1-Ft!G$6)/(1+Ft!G$37*($A341-Ft!G$2)^2)+Ft!G$6*EXP(Ft!G$38*($A341-Ft!G$2)^2)),Ft!G$3*((1-Ft!G$7)/(1+Ft!G$39*($A341-Ft!G$2)^2)+Ft!G$7*EXP(Ft!G$40*($A341-Ft!G$2)^2)))</f>
        <v>0</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v>680</v>
      </c>
      <c r="B342">
        <v>16.833461257404991</v>
      </c>
      <c r="C342" s="6">
        <f t="shared" si="11"/>
        <v>16.883707056656007</v>
      </c>
      <c r="D342" s="19">
        <f t="shared" si="12"/>
        <v>2.5246403423733908E-3</v>
      </c>
      <c r="E342" s="3">
        <f>Ft!$B$12+Ft!$B$14*(Data!A342-Vars!$B$3)</f>
        <v>0</v>
      </c>
      <c r="F342" s="3">
        <f>IF(($A342-Ft!B$2)&lt;0,Ft!B$3*((1-Ft!B$6)/(1+Ft!B$37*($A342-Ft!B$2)^2)+Ft!B$6*EXP(Ft!B$38*($A342-Ft!B$2)^2)),Ft!B$3*((1-Ft!B$7)/(1+Ft!B$39*($A342-Ft!B$2)^2)+Ft!B$7*EXP(Ft!B$40*($A342-Ft!B$2)^2)))</f>
        <v>9.1057432852989978E-220</v>
      </c>
      <c r="G342" s="3">
        <f>IF(($A342-Ft!C$2)&lt;0,Ft!C$3*((1-Ft!C$6)/(1+Ft!C$37*($A342-Ft!C$2)^2)+Ft!C$6*EXP(Ft!C$38*($A342-Ft!C$2)^2)),Ft!C$3*((1-Ft!C$7)/(1+Ft!C$39*($A342-Ft!C$2)^2)+Ft!C$7*EXP(Ft!C$40*($A342-Ft!C$2)^2)))</f>
        <v>1.395092218052081E-9</v>
      </c>
      <c r="H342" s="3">
        <f>IF(($A342-Ft!D$2)&lt;0,Ft!D$3*((1-Ft!D$6)/(1+Ft!D$37*($A342-Ft!D$2)^2)+Ft!D$6*EXP(Ft!D$38*($A342-Ft!D$2)^2)),Ft!D$3*((1-Ft!D$7)/(1+Ft!D$39*($A342-Ft!D$2)^2)+Ft!D$7*EXP(Ft!D$40*($A342-Ft!D$2)^2)))</f>
        <v>5.0968642362719683</v>
      </c>
      <c r="I342" s="3">
        <f>IF(($A342-Ft!E$2)&lt;0,Ft!E$3*((1-Ft!E$6)/(1+Ft!E$37*($A342-Ft!E$2)^2)+Ft!E$6*EXP(Ft!E$38*($A342-Ft!E$2)^2)),Ft!E$3*((1-Ft!E$7)/(1+Ft!E$39*($A342-Ft!E$2)^2)+Ft!E$7*EXP(Ft!E$40*($A342-Ft!E$2)^2)))</f>
        <v>11.786842818988948</v>
      </c>
      <c r="J342" s="3">
        <f>IF(($A342-Ft!F$2)&lt;0,Ft!F$3*((1-Ft!F$6)/(1+Ft!F$37*($A342-Ft!F$2)^2)+Ft!F$6*EXP(Ft!F$38*($A342-Ft!F$2)^2)),Ft!F$3*((1-Ft!F$7)/(1+Ft!F$39*($A342-Ft!F$2)^2)+Ft!F$7*EXP(Ft!F$40*($A342-Ft!F$2)^2)))</f>
        <v>3.479748537679947E-23</v>
      </c>
      <c r="K342" s="3">
        <f>IF(($A342-Ft!G$2)&lt;0,Ft!G$3*((1-Ft!G$6)/(1+Ft!G$37*($A342-Ft!G$2)^2)+Ft!G$6*EXP(Ft!G$38*($A342-Ft!G$2)^2)),Ft!G$3*((1-Ft!G$7)/(1+Ft!G$39*($A342-Ft!G$2)^2)+Ft!G$7*EXP(Ft!G$40*($A342-Ft!G$2)^2)))</f>
        <v>0</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v>682</v>
      </c>
      <c r="B343">
        <v>16.874079180233991</v>
      </c>
      <c r="C343" s="6">
        <f t="shared" si="11"/>
        <v>16.892801644776391</v>
      </c>
      <c r="D343" s="19">
        <f t="shared" si="12"/>
        <v>3.5053067854140893E-4</v>
      </c>
      <c r="E343" s="3">
        <f>Ft!$B$12+Ft!$B$14*(Data!A343-Vars!$B$3)</f>
        <v>0</v>
      </c>
      <c r="F343" s="3">
        <f>IF(($A343-Ft!B$2)&lt;0,Ft!B$3*((1-Ft!B$6)/(1+Ft!B$37*($A343-Ft!B$2)^2)+Ft!B$6*EXP(Ft!B$38*($A343-Ft!B$2)^2)),Ft!B$3*((1-Ft!B$7)/(1+Ft!B$39*($A343-Ft!B$2)^2)+Ft!B$7*EXP(Ft!B$40*($A343-Ft!B$2)^2)))</f>
        <v>3.7410250979710681E-221</v>
      </c>
      <c r="G343" s="3">
        <f>IF(($A343-Ft!C$2)&lt;0,Ft!C$3*((1-Ft!C$6)/(1+Ft!C$37*($A343-Ft!C$2)^2)+Ft!C$6*EXP(Ft!C$38*($A343-Ft!C$2)^2)),Ft!C$3*((1-Ft!C$7)/(1+Ft!C$39*($A343-Ft!C$2)^2)+Ft!C$7*EXP(Ft!C$40*($A343-Ft!C$2)^2)))</f>
        <v>1.1791970268445198E-9</v>
      </c>
      <c r="H343" s="3">
        <f>IF(($A343-Ft!D$2)&lt;0,Ft!D$3*((1-Ft!D$6)/(1+Ft!D$37*($A343-Ft!D$2)^2)+Ft!D$6*EXP(Ft!D$38*($A343-Ft!D$2)^2)),Ft!D$3*((1-Ft!D$7)/(1+Ft!D$39*($A343-Ft!D$2)^2)+Ft!D$7*EXP(Ft!D$40*($A343-Ft!D$2)^2)))</f>
        <v>4.9925991829166794</v>
      </c>
      <c r="I343" s="3">
        <f>IF(($A343-Ft!E$2)&lt;0,Ft!E$3*((1-Ft!E$6)/(1+Ft!E$37*($A343-Ft!E$2)^2)+Ft!E$6*EXP(Ft!E$38*($A343-Ft!E$2)^2)),Ft!E$3*((1-Ft!E$7)/(1+Ft!E$39*($A343-Ft!E$2)^2)+Ft!E$7*EXP(Ft!E$40*($A343-Ft!E$2)^2)))</f>
        <v>11.900202460680513</v>
      </c>
      <c r="J343" s="3">
        <f>IF(($A343-Ft!F$2)&lt;0,Ft!F$3*((1-Ft!F$6)/(1+Ft!F$37*($A343-Ft!F$2)^2)+Ft!F$6*EXP(Ft!F$38*($A343-Ft!F$2)^2)),Ft!F$3*((1-Ft!F$7)/(1+Ft!F$39*($A343-Ft!F$2)^2)+Ft!F$7*EXP(Ft!F$40*($A343-Ft!F$2)^2)))</f>
        <v>6.3956433267811288E-23</v>
      </c>
      <c r="K343" s="3">
        <f>IF(($A343-Ft!G$2)&lt;0,Ft!G$3*((1-Ft!G$6)/(1+Ft!G$37*($A343-Ft!G$2)^2)+Ft!G$6*EXP(Ft!G$38*($A343-Ft!G$2)^2)),Ft!G$3*((1-Ft!G$7)/(1+Ft!G$39*($A343-Ft!G$2)^2)+Ft!G$7*EXP(Ft!G$40*($A343-Ft!G$2)^2)))</f>
        <v>0</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v>684</v>
      </c>
      <c r="B344">
        <v>16.915889442421999</v>
      </c>
      <c r="C344" s="6">
        <f t="shared" si="11"/>
        <v>16.902584409013809</v>
      </c>
      <c r="D344" s="19">
        <f t="shared" si="12"/>
        <v>1.7702391399307277E-4</v>
      </c>
      <c r="E344" s="3">
        <f>Ft!$B$12+Ft!$B$14*(Data!A344-Vars!$B$3)</f>
        <v>0</v>
      </c>
      <c r="F344" s="3">
        <f>IF(($A344-Ft!B$2)&lt;0,Ft!B$3*((1-Ft!B$6)/(1+Ft!B$37*($A344-Ft!B$2)^2)+Ft!B$6*EXP(Ft!B$38*($A344-Ft!B$2)^2)),Ft!B$3*((1-Ft!B$7)/(1+Ft!B$39*($A344-Ft!B$2)^2)+Ft!B$7*EXP(Ft!B$40*($A344-Ft!B$2)^2)))</f>
        <v>1.5216071424201446E-222</v>
      </c>
      <c r="G344" s="3">
        <f>IF(($A344-Ft!C$2)&lt;0,Ft!C$3*((1-Ft!C$6)/(1+Ft!C$37*($A344-Ft!C$2)^2)+Ft!C$6*EXP(Ft!C$38*($A344-Ft!C$2)^2)),Ft!C$3*((1-Ft!C$7)/(1+Ft!C$39*($A344-Ft!C$2)^2)+Ft!C$7*EXP(Ft!C$40*($A344-Ft!C$2)^2)))</f>
        <v>9.9609285353402153E-10</v>
      </c>
      <c r="H344" s="3">
        <f>IF(($A344-Ft!D$2)&lt;0,Ft!D$3*((1-Ft!D$6)/(1+Ft!D$37*($A344-Ft!D$2)^2)+Ft!D$6*EXP(Ft!D$38*($A344-Ft!D$2)^2)),Ft!D$3*((1-Ft!D$7)/(1+Ft!D$39*($A344-Ft!D$2)^2)+Ft!D$7*EXP(Ft!D$40*($A344-Ft!D$2)^2)))</f>
        <v>4.8896350809952063</v>
      </c>
      <c r="I344" s="3">
        <f>IF(($A344-Ft!E$2)&lt;0,Ft!E$3*((1-Ft!E$6)/(1+Ft!E$37*($A344-Ft!E$2)^2)+Ft!E$6*EXP(Ft!E$38*($A344-Ft!E$2)^2)),Ft!E$3*((1-Ft!E$7)/(1+Ft!E$39*($A344-Ft!E$2)^2)+Ft!E$7*EXP(Ft!E$40*($A344-Ft!E$2)^2)))</f>
        <v>12.012949327022509</v>
      </c>
      <c r="J344" s="3">
        <f>IF(($A344-Ft!F$2)&lt;0,Ft!F$3*((1-Ft!F$6)/(1+Ft!F$37*($A344-Ft!F$2)^2)+Ft!F$6*EXP(Ft!F$38*($A344-Ft!F$2)^2)),Ft!F$3*((1-Ft!F$7)/(1+Ft!F$39*($A344-Ft!F$2)^2)+Ft!F$7*EXP(Ft!F$40*($A344-Ft!F$2)^2)))</f>
        <v>1.1714177293629478E-22</v>
      </c>
      <c r="K344" s="3">
        <f>IF(($A344-Ft!G$2)&lt;0,Ft!G$3*((1-Ft!G$6)/(1+Ft!G$37*($A344-Ft!G$2)^2)+Ft!G$6*EXP(Ft!G$38*($A344-Ft!G$2)^2)),Ft!G$3*((1-Ft!G$7)/(1+Ft!G$39*($A344-Ft!G$2)^2)+Ft!G$7*EXP(Ft!G$40*($A344-Ft!G$2)^2)))</f>
        <v>0</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v>686</v>
      </c>
      <c r="B345">
        <v>16.95797743276799</v>
      </c>
      <c r="C345" s="6">
        <f t="shared" si="11"/>
        <v>16.913025271207481</v>
      </c>
      <c r="D345" s="19">
        <f t="shared" si="12"/>
        <v>2.0206968289621296E-3</v>
      </c>
      <c r="E345" s="3">
        <f>Ft!$B$12+Ft!$B$14*(Data!A345-Vars!$B$3)</f>
        <v>0</v>
      </c>
      <c r="F345" s="3">
        <f>IF(($A345-Ft!B$2)&lt;0,Ft!B$3*((1-Ft!B$6)/(1+Ft!B$37*($A345-Ft!B$2)^2)+Ft!B$6*EXP(Ft!B$38*($A345-Ft!B$2)^2)),Ft!B$3*((1-Ft!B$7)/(1+Ft!B$39*($A345-Ft!B$2)^2)+Ft!B$7*EXP(Ft!B$40*($A345-Ft!B$2)^2)))</f>
        <v>6.1270461468273128E-224</v>
      </c>
      <c r="G345" s="3">
        <f>IF(($A345-Ft!C$2)&lt;0,Ft!C$3*((1-Ft!C$6)/(1+Ft!C$37*($A345-Ft!C$2)^2)+Ft!C$6*EXP(Ft!C$38*($A345-Ft!C$2)^2)),Ft!C$3*((1-Ft!C$7)/(1+Ft!C$39*($A345-Ft!C$2)^2)+Ft!C$7*EXP(Ft!C$40*($A345-Ft!C$2)^2)))</f>
        <v>8.4089788942920068E-10</v>
      </c>
      <c r="H345" s="3">
        <f>IF(($A345-Ft!D$2)&lt;0,Ft!D$3*((1-Ft!D$6)/(1+Ft!D$37*($A345-Ft!D$2)^2)+Ft!D$6*EXP(Ft!D$38*($A345-Ft!D$2)^2)),Ft!D$3*((1-Ft!D$7)/(1+Ft!D$39*($A345-Ft!D$2)^2)+Ft!D$7*EXP(Ft!D$40*($A345-Ft!D$2)^2)))</f>
        <v>4.7879797718752917</v>
      </c>
      <c r="I345" s="3">
        <f>IF(($A345-Ft!E$2)&lt;0,Ft!E$3*((1-Ft!E$6)/(1+Ft!E$37*($A345-Ft!E$2)^2)+Ft!E$6*EXP(Ft!E$38*($A345-Ft!E$2)^2)),Ft!E$3*((1-Ft!E$7)/(1+Ft!E$39*($A345-Ft!E$2)^2)+Ft!E$7*EXP(Ft!E$40*($A345-Ft!E$2)^2)))</f>
        <v>12.125045498491293</v>
      </c>
      <c r="J345" s="3">
        <f>IF(($A345-Ft!F$2)&lt;0,Ft!F$3*((1-Ft!F$6)/(1+Ft!F$37*($A345-Ft!F$2)^2)+Ft!F$6*EXP(Ft!F$38*($A345-Ft!F$2)^2)),Ft!F$3*((1-Ft!F$7)/(1+Ft!F$39*($A345-Ft!F$2)^2)+Ft!F$7*EXP(Ft!F$40*($A345-Ft!F$2)^2)))</f>
        <v>2.1381123963409465E-22</v>
      </c>
      <c r="K345" s="3">
        <f>IF(($A345-Ft!G$2)&lt;0,Ft!G$3*((1-Ft!G$6)/(1+Ft!G$37*($A345-Ft!G$2)^2)+Ft!G$6*EXP(Ft!G$38*($A345-Ft!G$2)^2)),Ft!G$3*((1-Ft!G$7)/(1+Ft!G$39*($A345-Ft!G$2)^2)+Ft!G$7*EXP(Ft!G$40*($A345-Ft!G$2)^2)))</f>
        <v>0</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v>688</v>
      </c>
      <c r="B346">
        <v>16.999428540075002</v>
      </c>
      <c r="C346" s="6">
        <f t="shared" si="11"/>
        <v>16.924093251282123</v>
      </c>
      <c r="D346" s="19">
        <f t="shared" si="12"/>
        <v>5.6754057375063942E-3</v>
      </c>
      <c r="E346" s="3">
        <f>Ft!$B$12+Ft!$B$14*(Data!A346-Vars!$B$3)</f>
        <v>0</v>
      </c>
      <c r="F346" s="3">
        <f>IF(($A346-Ft!B$2)&lt;0,Ft!B$3*((1-Ft!B$6)/(1+Ft!B$37*($A346-Ft!B$2)^2)+Ft!B$6*EXP(Ft!B$38*($A346-Ft!B$2)^2)),Ft!B$3*((1-Ft!B$7)/(1+Ft!B$39*($A346-Ft!B$2)^2)+Ft!B$7*EXP(Ft!B$40*($A346-Ft!B$2)^2)))</f>
        <v>2.4425106228380285E-225</v>
      </c>
      <c r="G346" s="3">
        <f>IF(($A346-Ft!C$2)&lt;0,Ft!C$3*((1-Ft!C$6)/(1+Ft!C$37*($A346-Ft!C$2)^2)+Ft!C$6*EXP(Ft!C$38*($A346-Ft!C$2)^2)),Ft!C$3*((1-Ft!C$7)/(1+Ft!C$39*($A346-Ft!C$2)^2)+Ft!C$7*EXP(Ft!C$40*($A346-Ft!C$2)^2)))</f>
        <v>7.0944166396215422E-10</v>
      </c>
      <c r="H346" s="3">
        <f>IF(($A346-Ft!D$2)&lt;0,Ft!D$3*((1-Ft!D$6)/(1+Ft!D$37*($A346-Ft!D$2)^2)+Ft!D$6*EXP(Ft!D$38*($A346-Ft!D$2)^2)),Ft!D$3*((1-Ft!D$7)/(1+Ft!D$39*($A346-Ft!D$2)^2)+Ft!D$7*EXP(Ft!D$40*($A346-Ft!D$2)^2)))</f>
        <v>4.6876402735547993</v>
      </c>
      <c r="I346" s="3">
        <f>IF(($A346-Ft!E$2)&lt;0,Ft!E$3*((1-Ft!E$6)/(1+Ft!E$37*($A346-Ft!E$2)^2)+Ft!E$6*EXP(Ft!E$38*($A346-Ft!E$2)^2)),Ft!E$3*((1-Ft!E$7)/(1+Ft!E$39*($A346-Ft!E$2)^2)+Ft!E$7*EXP(Ft!E$40*($A346-Ft!E$2)^2)))</f>
        <v>12.236452977017882</v>
      </c>
      <c r="J346" s="3">
        <f>IF(($A346-Ft!F$2)&lt;0,Ft!F$3*((1-Ft!F$6)/(1+Ft!F$37*($A346-Ft!F$2)^2)+Ft!F$6*EXP(Ft!F$38*($A346-Ft!F$2)^2)),Ft!F$3*((1-Ft!F$7)/(1+Ft!F$39*($A346-Ft!F$2)^2)+Ft!F$7*EXP(Ft!F$40*($A346-Ft!F$2)^2)))</f>
        <v>3.8890224667277646E-22</v>
      </c>
      <c r="K346" s="3">
        <f>IF(($A346-Ft!G$2)&lt;0,Ft!G$3*((1-Ft!G$6)/(1+Ft!G$37*($A346-Ft!G$2)^2)+Ft!G$6*EXP(Ft!G$38*($A346-Ft!G$2)^2)),Ft!G$3*((1-Ft!G$7)/(1+Ft!G$39*($A346-Ft!G$2)^2)+Ft!G$7*EXP(Ft!G$40*($A346-Ft!G$2)^2)))</f>
        <v>0</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v>690</v>
      </c>
      <c r="B347">
        <v>17.039328153141994</v>
      </c>
      <c r="C347" s="6">
        <f t="shared" si="11"/>
        <v>16.935756500549836</v>
      </c>
      <c r="D347" s="19">
        <f t="shared" si="12"/>
        <v>1.0727087220670796E-2</v>
      </c>
      <c r="E347" s="3">
        <f>Ft!$B$12+Ft!$B$14*(Data!A347-Vars!$B$3)</f>
        <v>0</v>
      </c>
      <c r="F347" s="3">
        <f>IF(($A347-Ft!B$2)&lt;0,Ft!B$3*((1-Ft!B$6)/(1+Ft!B$37*($A347-Ft!B$2)^2)+Ft!B$6*EXP(Ft!B$38*($A347-Ft!B$2)^2)),Ft!B$3*((1-Ft!B$7)/(1+Ft!B$39*($A347-Ft!B$2)^2)+Ft!B$7*EXP(Ft!B$40*($A347-Ft!B$2)^2)))</f>
        <v>9.6395879003751558E-227</v>
      </c>
      <c r="G347" s="3">
        <f>IF(($A347-Ft!C$2)&lt;0,Ft!C$3*((1-Ft!C$6)/(1+Ft!C$37*($A347-Ft!C$2)^2)+Ft!C$6*EXP(Ft!C$38*($A347-Ft!C$2)^2)),Ft!C$3*((1-Ft!C$7)/(1+Ft!C$39*($A347-Ft!C$2)^2)+Ft!C$7*EXP(Ft!C$40*($A347-Ft!C$2)^2)))</f>
        <v>5.9816377309574327E-10</v>
      </c>
      <c r="H347" s="3">
        <f>IF(($A347-Ft!D$2)&lt;0,Ft!D$3*((1-Ft!D$6)/(1+Ft!D$37*($A347-Ft!D$2)^2)+Ft!D$6*EXP(Ft!D$38*($A347-Ft!D$2)^2)),Ft!D$3*((1-Ft!D$7)/(1+Ft!D$39*($A347-Ft!D$2)^2)+Ft!D$7*EXP(Ft!D$40*($A347-Ft!D$2)^2)))</f>
        <v>4.5886227930529708</v>
      </c>
      <c r="I347" s="3">
        <f>IF(($A347-Ft!E$2)&lt;0,Ft!E$3*((1-Ft!E$6)/(1+Ft!E$37*($A347-Ft!E$2)^2)+Ft!E$6*EXP(Ft!E$38*($A347-Ft!E$2)^2)),Ft!E$3*((1-Ft!E$7)/(1+Ft!E$39*($A347-Ft!E$2)^2)+Ft!E$7*EXP(Ft!E$40*($A347-Ft!E$2)^2)))</f>
        <v>12.347133706898701</v>
      </c>
      <c r="J347" s="3">
        <f>IF(($A347-Ft!F$2)&lt;0,Ft!F$3*((1-Ft!F$6)/(1+Ft!F$37*($A347-Ft!F$2)^2)+Ft!F$6*EXP(Ft!F$38*($A347-Ft!F$2)^2)),Ft!F$3*((1-Ft!F$7)/(1+Ft!F$39*($A347-Ft!F$2)^2)+Ft!F$7*EXP(Ft!F$40*($A347-Ft!F$2)^2)))</f>
        <v>7.0492279499328972E-22</v>
      </c>
      <c r="K347" s="3">
        <f>IF(($A347-Ft!G$2)&lt;0,Ft!G$3*((1-Ft!G$6)/(1+Ft!G$37*($A347-Ft!G$2)^2)+Ft!G$6*EXP(Ft!G$38*($A347-Ft!G$2)^2)),Ft!G$3*((1-Ft!G$7)/(1+Ft!G$39*($A347-Ft!G$2)^2)+Ft!G$7*EXP(Ft!G$40*($A347-Ft!G$2)^2)))</f>
        <v>0</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v>692</v>
      </c>
      <c r="B348">
        <v>17.078010631498998</v>
      </c>
      <c r="C348" s="6">
        <f t="shared" si="11"/>
        <v>16.947982335670602</v>
      </c>
      <c r="D348" s="19">
        <f t="shared" si="12"/>
        <v>1.6907357716036815E-2</v>
      </c>
      <c r="E348" s="3">
        <f>Ft!$B$12+Ft!$B$14*(Data!A348-Vars!$B$3)</f>
        <v>0</v>
      </c>
      <c r="F348" s="3">
        <f>IF(($A348-Ft!B$2)&lt;0,Ft!B$3*((1-Ft!B$6)/(1+Ft!B$37*($A348-Ft!B$2)^2)+Ft!B$6*EXP(Ft!B$38*($A348-Ft!B$2)^2)),Ft!B$3*((1-Ft!B$7)/(1+Ft!B$39*($A348-Ft!B$2)^2)+Ft!B$7*EXP(Ft!B$40*($A348-Ft!B$2)^2)))</f>
        <v>3.7663196087083419E-228</v>
      </c>
      <c r="G348" s="3">
        <f>IF(($A348-Ft!C$2)&lt;0,Ft!C$3*((1-Ft!C$6)/(1+Ft!C$37*($A348-Ft!C$2)^2)+Ft!C$6*EXP(Ft!C$38*($A348-Ft!C$2)^2)),Ft!C$3*((1-Ft!C$7)/(1+Ft!C$39*($A348-Ft!C$2)^2)+Ft!C$7*EXP(Ft!C$40*($A348-Ft!C$2)^2)))</f>
        <v>5.0402666570433064E-10</v>
      </c>
      <c r="H348" s="3">
        <f>IF(($A348-Ft!D$2)&lt;0,Ft!D$3*((1-Ft!D$6)/(1+Ft!D$37*($A348-Ft!D$2)^2)+Ft!D$6*EXP(Ft!D$38*($A348-Ft!D$2)^2)),Ft!D$3*((1-Ft!D$7)/(1+Ft!D$39*($A348-Ft!D$2)^2)+Ft!D$7*EXP(Ft!D$40*($A348-Ft!D$2)^2)))</f>
        <v>4.490932739225606</v>
      </c>
      <c r="I348" s="3">
        <f>IF(($A348-Ft!E$2)&lt;0,Ft!E$3*((1-Ft!E$6)/(1+Ft!E$37*($A348-Ft!E$2)^2)+Ft!E$6*EXP(Ft!E$38*($A348-Ft!E$2)^2)),Ft!E$3*((1-Ft!E$7)/(1+Ft!E$39*($A348-Ft!E$2)^2)+Ft!E$7*EXP(Ft!E$40*($A348-Ft!E$2)^2)))</f>
        <v>12.457049595940967</v>
      </c>
      <c r="J348" s="3">
        <f>IF(($A348-Ft!F$2)&lt;0,Ft!F$3*((1-Ft!F$6)/(1+Ft!F$37*($A348-Ft!F$2)^2)+Ft!F$6*EXP(Ft!F$38*($A348-Ft!F$2)^2)),Ft!F$3*((1-Ft!F$7)/(1+Ft!F$39*($A348-Ft!F$2)^2)+Ft!F$7*EXP(Ft!F$40*($A348-Ft!F$2)^2)))</f>
        <v>1.2733090882157291E-21</v>
      </c>
      <c r="K348" s="3">
        <f>IF(($A348-Ft!G$2)&lt;0,Ft!G$3*((1-Ft!G$6)/(1+Ft!G$37*($A348-Ft!G$2)^2)+Ft!G$6*EXP(Ft!G$38*($A348-Ft!G$2)^2)),Ft!G$3*((1-Ft!G$7)/(1+Ft!G$39*($A348-Ft!G$2)^2)+Ft!G$7*EXP(Ft!G$40*($A348-Ft!G$2)^2)))</f>
        <v>0</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v>694</v>
      </c>
      <c r="B349">
        <v>17.121681911054992</v>
      </c>
      <c r="C349" s="6">
        <f t="shared" si="11"/>
        <v>16.960737273233601</v>
      </c>
      <c r="D349" s="19">
        <f t="shared" si="12"/>
        <v>2.5903176443458725E-2</v>
      </c>
      <c r="E349" s="3">
        <f>Ft!$B$12+Ft!$B$14*(Data!A349-Vars!$B$3)</f>
        <v>0</v>
      </c>
      <c r="F349" s="3">
        <f>IF(($A349-Ft!B$2)&lt;0,Ft!B$3*((1-Ft!B$6)/(1+Ft!B$37*($A349-Ft!B$2)^2)+Ft!B$6*EXP(Ft!B$38*($A349-Ft!B$2)^2)),Ft!B$3*((1-Ft!B$7)/(1+Ft!B$39*($A349-Ft!B$2)^2)+Ft!B$7*EXP(Ft!B$40*($A349-Ft!B$2)^2)))</f>
        <v>1.4568423962235719E-229</v>
      </c>
      <c r="G349" s="3">
        <f>IF(($A349-Ft!C$2)&lt;0,Ft!C$3*((1-Ft!C$6)/(1+Ft!C$37*($A349-Ft!C$2)^2)+Ft!C$6*EXP(Ft!C$38*($A349-Ft!C$2)^2)),Ft!C$3*((1-Ft!C$7)/(1+Ft!C$39*($A349-Ft!C$2)^2)+Ft!C$7*EXP(Ft!C$40*($A349-Ft!C$2)^2)))</f>
        <v>4.2444058988635037E-10</v>
      </c>
      <c r="H349" s="3">
        <f>IF(($A349-Ft!D$2)&lt;0,Ft!D$3*((1-Ft!D$6)/(1+Ft!D$37*($A349-Ft!D$2)^2)+Ft!D$6*EXP(Ft!D$38*($A349-Ft!D$2)^2)),Ft!D$3*((1-Ft!D$7)/(1+Ft!D$39*($A349-Ft!D$2)^2)+Ft!D$7*EXP(Ft!D$40*($A349-Ft!D$2)^2)))</f>
        <v>4.3945747359823466</v>
      </c>
      <c r="I349" s="3">
        <f>IF(($A349-Ft!E$2)&lt;0,Ft!E$3*((1-Ft!E$6)/(1+Ft!E$37*($A349-Ft!E$2)^2)+Ft!E$6*EXP(Ft!E$38*($A349-Ft!E$2)^2)),Ft!E$3*((1-Ft!E$7)/(1+Ft!E$39*($A349-Ft!E$2)^2)+Ft!E$7*EXP(Ft!E$40*($A349-Ft!E$2)^2)))</f>
        <v>12.566162536826813</v>
      </c>
      <c r="J349" s="3">
        <f>IF(($A349-Ft!F$2)&lt;0,Ft!F$3*((1-Ft!F$6)/(1+Ft!F$37*($A349-Ft!F$2)^2)+Ft!F$6*EXP(Ft!F$38*($A349-Ft!F$2)^2)),Ft!F$3*((1-Ft!F$7)/(1+Ft!F$39*($A349-Ft!F$2)^2)+Ft!F$7*EXP(Ft!F$40*($A349-Ft!F$2)^2)))</f>
        <v>2.2920142059737654E-21</v>
      </c>
      <c r="K349" s="3">
        <f>IF(($A349-Ft!G$2)&lt;0,Ft!G$3*((1-Ft!G$6)/(1+Ft!G$37*($A349-Ft!G$2)^2)+Ft!G$6*EXP(Ft!G$38*($A349-Ft!G$2)^2)),Ft!G$3*((1-Ft!G$7)/(1+Ft!G$39*($A349-Ft!G$2)^2)+Ft!G$7*EXP(Ft!G$40*($A349-Ft!G$2)^2)))</f>
        <v>0</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v>696</v>
      </c>
      <c r="B350">
        <v>17.169722420572995</v>
      </c>
      <c r="C350" s="6">
        <f t="shared" si="11"/>
        <v>16.973987064921275</v>
      </c>
      <c r="D350" s="19">
        <f t="shared" si="12"/>
        <v>3.8312329452105519E-2</v>
      </c>
      <c r="E350" s="3">
        <f>Ft!$B$12+Ft!$B$14*(Data!A350-Vars!$B$3)</f>
        <v>0</v>
      </c>
      <c r="F350" s="3">
        <f>IF(($A350-Ft!B$2)&lt;0,Ft!B$3*((1-Ft!B$6)/(1+Ft!B$37*($A350-Ft!B$2)^2)+Ft!B$6*EXP(Ft!B$38*($A350-Ft!B$2)^2)),Ft!B$3*((1-Ft!B$7)/(1+Ft!B$39*($A350-Ft!B$2)^2)+Ft!B$7*EXP(Ft!B$40*($A350-Ft!B$2)^2)))</f>
        <v>5.5788497944322832E-231</v>
      </c>
      <c r="G350" s="3">
        <f>IF(($A350-Ft!C$2)&lt;0,Ft!C$3*((1-Ft!C$6)/(1+Ft!C$37*($A350-Ft!C$2)^2)+Ft!C$6*EXP(Ft!C$38*($A350-Ft!C$2)^2)),Ft!C$3*((1-Ft!C$7)/(1+Ft!C$39*($A350-Ft!C$2)^2)+Ft!C$7*EXP(Ft!C$40*($A350-Ft!C$2)^2)))</f>
        <v>3.5719904966037461E-10</v>
      </c>
      <c r="H350" s="3">
        <f>IF(($A350-Ft!D$2)&lt;0,Ft!D$3*((1-Ft!D$6)/(1+Ft!D$37*($A350-Ft!D$2)^2)+Ft!D$6*EXP(Ft!D$38*($A350-Ft!D$2)^2)),Ft!D$3*((1-Ft!D$7)/(1+Ft!D$39*($A350-Ft!D$2)^2)+Ft!D$7*EXP(Ft!D$40*($A350-Ft!D$2)^2)))</f>
        <v>4.2995526358841909</v>
      </c>
      <c r="I350" s="3">
        <f>IF(($A350-Ft!E$2)&lt;0,Ft!E$3*((1-Ft!E$6)/(1+Ft!E$37*($A350-Ft!E$2)^2)+Ft!E$6*EXP(Ft!E$38*($A350-Ft!E$2)^2)),Ft!E$3*((1-Ft!E$7)/(1+Ft!E$39*($A350-Ft!E$2)^2)+Ft!E$7*EXP(Ft!E$40*($A350-Ft!E$2)^2)))</f>
        <v>12.674434428679886</v>
      </c>
      <c r="J350" s="3">
        <f>IF(($A350-Ft!F$2)&lt;0,Ft!F$3*((1-Ft!F$6)/(1+Ft!F$37*($A350-Ft!F$2)^2)+Ft!F$6*EXP(Ft!F$38*($A350-Ft!F$2)^2)),Ft!F$3*((1-Ft!F$7)/(1+Ft!F$39*($A350-Ft!F$2)^2)+Ft!F$7*EXP(Ft!F$40*($A350-Ft!F$2)^2)))</f>
        <v>4.1114210318383329E-21</v>
      </c>
      <c r="K350" s="3">
        <f>IF(($A350-Ft!G$2)&lt;0,Ft!G$3*((1-Ft!G$6)/(1+Ft!G$37*($A350-Ft!G$2)^2)+Ft!G$6*EXP(Ft!G$38*($A350-Ft!G$2)^2)),Ft!G$3*((1-Ft!G$7)/(1+Ft!G$39*($A350-Ft!G$2)^2)+Ft!G$7*EXP(Ft!G$40*($A350-Ft!G$2)^2)))</f>
        <v>0</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v>698</v>
      </c>
      <c r="B351">
        <v>17.220222142835993</v>
      </c>
      <c r="C351" s="6">
        <f t="shared" si="11"/>
        <v>16.987696733217692</v>
      </c>
      <c r="D351" s="19">
        <f t="shared" si="12"/>
        <v>5.4068066118158634E-2</v>
      </c>
      <c r="E351" s="3">
        <f>Ft!$B$12+Ft!$B$14*(Data!A351-Vars!$B$3)</f>
        <v>0</v>
      </c>
      <c r="F351" s="3">
        <f>IF(($A351-Ft!B$2)&lt;0,Ft!B$3*((1-Ft!B$6)/(1+Ft!B$37*($A351-Ft!B$2)^2)+Ft!B$6*EXP(Ft!B$38*($A351-Ft!B$2)^2)),Ft!B$3*((1-Ft!B$7)/(1+Ft!B$39*($A351-Ft!B$2)^2)+Ft!B$7*EXP(Ft!B$40*($A351-Ft!B$2)^2)))</f>
        <v>2.1150150513993058E-232</v>
      </c>
      <c r="G351" s="3">
        <f>IF(($A351-Ft!C$2)&lt;0,Ft!C$3*((1-Ft!C$6)/(1+Ft!C$37*($A351-Ft!C$2)^2)+Ft!C$6*EXP(Ft!C$38*($A351-Ft!C$2)^2)),Ft!C$3*((1-Ft!C$7)/(1+Ft!C$39*($A351-Ft!C$2)^2)+Ft!C$7*EXP(Ft!C$40*($A351-Ft!C$2)^2)))</f>
        <v>3.0042333956397317E-10</v>
      </c>
      <c r="H351" s="3">
        <f>IF(($A351-Ft!D$2)&lt;0,Ft!D$3*((1-Ft!D$6)/(1+Ft!D$37*($A351-Ft!D$2)^2)+Ft!D$6*EXP(Ft!D$38*($A351-Ft!D$2)^2)),Ft!D$3*((1-Ft!D$7)/(1+Ft!D$39*($A351-Ft!D$2)^2)+Ft!D$7*EXP(Ft!D$40*($A351-Ft!D$2)^2)))</f>
        <v>4.205869534099473</v>
      </c>
      <c r="I351" s="3">
        <f>IF(($A351-Ft!E$2)&lt;0,Ft!E$3*((1-Ft!E$6)/(1+Ft!E$37*($A351-Ft!E$2)^2)+Ft!E$6*EXP(Ft!E$38*($A351-Ft!E$2)^2)),Ft!E$3*((1-Ft!E$7)/(1+Ft!E$39*($A351-Ft!E$2)^2)+Ft!E$7*EXP(Ft!E$40*($A351-Ft!E$2)^2)))</f>
        <v>12.781827198817796</v>
      </c>
      <c r="J351" s="3">
        <f>IF(($A351-Ft!F$2)&lt;0,Ft!F$3*((1-Ft!F$6)/(1+Ft!F$37*($A351-Ft!F$2)^2)+Ft!F$6*EXP(Ft!F$38*($A351-Ft!F$2)^2)),Ft!F$3*((1-Ft!F$7)/(1+Ft!F$39*($A351-Ft!F$2)^2)+Ft!F$7*EXP(Ft!F$40*($A351-Ft!F$2)^2)))</f>
        <v>7.3494998123153244E-21</v>
      </c>
      <c r="K351" s="3">
        <f>IF(($A351-Ft!G$2)&lt;0,Ft!G$3*((1-Ft!G$6)/(1+Ft!G$37*($A351-Ft!G$2)^2)+Ft!G$6*EXP(Ft!G$38*($A351-Ft!G$2)^2)),Ft!G$3*((1-Ft!G$7)/(1+Ft!G$39*($A351-Ft!G$2)^2)+Ft!G$7*EXP(Ft!G$40*($A351-Ft!G$2)^2)))</f>
        <v>0</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v>700</v>
      </c>
      <c r="B352">
        <v>17.271271060627996</v>
      </c>
      <c r="C352" s="6">
        <f t="shared" si="11"/>
        <v>17.001830607622434</v>
      </c>
      <c r="D352" s="19">
        <f t="shared" si="12"/>
        <v>7.2598157715842146E-2</v>
      </c>
      <c r="E352" s="3">
        <f>Ft!$B$12+Ft!$B$14*(Data!A352-Vars!$B$3)</f>
        <v>0</v>
      </c>
      <c r="F352" s="3">
        <f>IF(($A352-Ft!B$2)&lt;0,Ft!B$3*((1-Ft!B$6)/(1+Ft!B$37*($A352-Ft!B$2)^2)+Ft!B$6*EXP(Ft!B$38*($A352-Ft!B$2)^2)),Ft!B$3*((1-Ft!B$7)/(1+Ft!B$39*($A352-Ft!B$2)^2)+Ft!B$7*EXP(Ft!B$40*($A352-Ft!B$2)^2)))</f>
        <v>7.9381436354794805E-234</v>
      </c>
      <c r="G352" s="3">
        <f>IF(($A352-Ft!C$2)&lt;0,Ft!C$3*((1-Ft!C$6)/(1+Ft!C$37*($A352-Ft!C$2)^2)+Ft!C$6*EXP(Ft!C$38*($A352-Ft!C$2)^2)),Ft!C$3*((1-Ft!C$7)/(1+Ft!C$39*($A352-Ft!C$2)^2)+Ft!C$7*EXP(Ft!C$40*($A352-Ft!C$2)^2)))</f>
        <v>2.5251491413657767E-10</v>
      </c>
      <c r="H352" s="3">
        <f>IF(($A352-Ft!D$2)&lt;0,Ft!D$3*((1-Ft!D$6)/(1+Ft!D$37*($A352-Ft!D$2)^2)+Ft!D$6*EXP(Ft!D$38*($A352-Ft!D$2)^2)),Ft!D$3*((1-Ft!D$7)/(1+Ft!D$39*($A352-Ft!D$2)^2)+Ft!D$7*EXP(Ft!D$40*($A352-Ft!D$2)^2)))</f>
        <v>4.1135277826964582</v>
      </c>
      <c r="I352" s="3">
        <f>IF(($A352-Ft!E$2)&lt;0,Ft!E$3*((1-Ft!E$6)/(1+Ft!E$37*($A352-Ft!E$2)^2)+Ft!E$6*EXP(Ft!E$38*($A352-Ft!E$2)^2)),Ft!E$3*((1-Ft!E$7)/(1+Ft!E$39*($A352-Ft!E$2)^2)+Ft!E$7*EXP(Ft!E$40*($A352-Ft!E$2)^2)))</f>
        <v>12.888302824673461</v>
      </c>
      <c r="J352" s="3">
        <f>IF(($A352-Ft!F$2)&lt;0,Ft!F$3*((1-Ft!F$6)/(1+Ft!F$37*($A352-Ft!F$2)^2)+Ft!F$6*EXP(Ft!F$38*($A352-Ft!F$2)^2)),Ft!F$3*((1-Ft!F$7)/(1+Ft!F$39*($A352-Ft!F$2)^2)+Ft!F$7*EXP(Ft!F$40*($A352-Ft!F$2)^2)))</f>
        <v>1.3092265233296487E-20</v>
      </c>
      <c r="K352" s="3">
        <f>IF(($A352-Ft!G$2)&lt;0,Ft!G$3*((1-Ft!G$6)/(1+Ft!G$37*($A352-Ft!G$2)^2)+Ft!G$6*EXP(Ft!G$38*($A352-Ft!G$2)^2)),Ft!G$3*((1-Ft!G$7)/(1+Ft!G$39*($A352-Ft!G$2)^2)+Ft!G$7*EXP(Ft!G$40*($A352-Ft!G$2)^2)))</f>
        <v>0</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v>702</v>
      </c>
      <c r="B353">
        <v>17.320959156732002</v>
      </c>
      <c r="C353" s="6">
        <f t="shared" si="11"/>
        <v>17.016352361331109</v>
      </c>
      <c r="D353" s="19">
        <f t="shared" si="12"/>
        <v>9.2785299804401672E-2</v>
      </c>
      <c r="E353" s="3">
        <f>Ft!$B$12+Ft!$B$14*(Data!A353-Vars!$B$3)</f>
        <v>0</v>
      </c>
      <c r="F353" s="3">
        <f>IF(($A353-Ft!B$2)&lt;0,Ft!B$3*((1-Ft!B$6)/(1+Ft!B$37*($A353-Ft!B$2)^2)+Ft!B$6*EXP(Ft!B$38*($A353-Ft!B$2)^2)),Ft!B$3*((1-Ft!B$7)/(1+Ft!B$39*($A353-Ft!B$2)^2)+Ft!B$7*EXP(Ft!B$40*($A353-Ft!B$2)^2)))</f>
        <v>2.9495865229119398E-235</v>
      </c>
      <c r="G353" s="3">
        <f>IF(($A353-Ft!C$2)&lt;0,Ft!C$3*((1-Ft!C$6)/(1+Ft!C$37*($A353-Ft!C$2)^2)+Ft!C$6*EXP(Ft!C$38*($A353-Ft!C$2)^2)),Ft!C$3*((1-Ft!C$7)/(1+Ft!C$39*($A353-Ft!C$2)^2)+Ft!C$7*EXP(Ft!C$40*($A353-Ft!C$2)^2)))</f>
        <v>2.1211451450022805E-10</v>
      </c>
      <c r="H353" s="3">
        <f>IF(($A353-Ft!D$2)&lt;0,Ft!D$3*((1-Ft!D$6)/(1+Ft!D$37*($A353-Ft!D$2)^2)+Ft!D$6*EXP(Ft!D$38*($A353-Ft!D$2)^2)),Ft!D$3*((1-Ft!D$7)/(1+Ft!D$39*($A353-Ft!D$2)^2)+Ft!D$7*EXP(Ft!D$40*($A353-Ft!D$2)^2)))</f>
        <v>4.0225290052509077</v>
      </c>
      <c r="I353" s="3">
        <f>IF(($A353-Ft!E$2)&lt;0,Ft!E$3*((1-Ft!E$6)/(1+Ft!E$37*($A353-Ft!E$2)^2)+Ft!E$6*EXP(Ft!E$38*($A353-Ft!E$2)^2)),Ft!E$3*((1-Ft!E$7)/(1+Ft!E$39*($A353-Ft!E$2)^2)+Ft!E$7*EXP(Ft!E$40*($A353-Ft!E$2)^2)))</f>
        <v>12.993823355868088</v>
      </c>
      <c r="J353" s="3">
        <f>IF(($A353-Ft!F$2)&lt;0,Ft!F$3*((1-Ft!F$6)/(1+Ft!F$37*($A353-Ft!F$2)^2)+Ft!F$6*EXP(Ft!F$38*($A353-Ft!F$2)^2)),Ft!F$3*((1-Ft!F$7)/(1+Ft!F$39*($A353-Ft!F$2)^2)+Ft!F$7*EXP(Ft!F$40*($A353-Ft!F$2)^2)))</f>
        <v>2.3241437647254538E-20</v>
      </c>
      <c r="K353" s="3">
        <f>IF(($A353-Ft!G$2)&lt;0,Ft!G$3*((1-Ft!G$6)/(1+Ft!G$37*($A353-Ft!G$2)^2)+Ft!G$6*EXP(Ft!G$38*($A353-Ft!G$2)^2)),Ft!G$3*((1-Ft!G$7)/(1+Ft!G$39*($A353-Ft!G$2)^2)+Ft!G$7*EXP(Ft!G$40*($A353-Ft!G$2)^2)))</f>
        <v>0</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v>704</v>
      </c>
      <c r="B354">
        <v>17.367376413933002</v>
      </c>
      <c r="C354" s="6">
        <f t="shared" si="11"/>
        <v>17.031225048343241</v>
      </c>
      <c r="D354" s="19">
        <f t="shared" si="12"/>
        <v>0.1129977405878607</v>
      </c>
      <c r="E354" s="3">
        <f>Ft!$B$12+Ft!$B$14*(Data!A354-Vars!$B$3)</f>
        <v>0</v>
      </c>
      <c r="F354" s="3">
        <f>IF(($A354-Ft!B$2)&lt;0,Ft!B$3*((1-Ft!B$6)/(1+Ft!B$37*($A354-Ft!B$2)^2)+Ft!B$6*EXP(Ft!B$38*($A354-Ft!B$2)^2)),Ft!B$3*((1-Ft!B$7)/(1+Ft!B$39*($A354-Ft!B$2)^2)+Ft!B$7*EXP(Ft!B$40*($A354-Ft!B$2)^2)))</f>
        <v>1.085025698299663E-236</v>
      </c>
      <c r="G354" s="3">
        <f>IF(($A354-Ft!C$2)&lt;0,Ft!C$3*((1-Ft!C$6)/(1+Ft!C$37*($A354-Ft!C$2)^2)+Ft!C$6*EXP(Ft!C$38*($A354-Ft!C$2)^2)),Ft!C$3*((1-Ft!C$7)/(1+Ft!C$39*($A354-Ft!C$2)^2)+Ft!C$7*EXP(Ft!C$40*($A354-Ft!C$2)^2)))</f>
        <v>1.7806711823763293E-10</v>
      </c>
      <c r="H354" s="3">
        <f>IF(($A354-Ft!D$2)&lt;0,Ft!D$3*((1-Ft!D$6)/(1+Ft!D$37*($A354-Ft!D$2)^2)+Ft!D$6*EXP(Ft!D$38*($A354-Ft!D$2)^2)),Ft!D$3*((1-Ft!D$7)/(1+Ft!D$39*($A354-Ft!D$2)^2)+Ft!D$7*EXP(Ft!D$40*($A354-Ft!D$2)^2)))</f>
        <v>3.9328741117469588</v>
      </c>
      <c r="I354" s="3">
        <f>IF(($A354-Ft!E$2)&lt;0,Ft!E$3*((1-Ft!E$6)/(1+Ft!E$37*($A354-Ft!E$2)^2)+Ft!E$6*EXP(Ft!E$38*($A354-Ft!E$2)^2)),Ft!E$3*((1-Ft!E$7)/(1+Ft!E$39*($A354-Ft!E$2)^2)+Ft!E$7*EXP(Ft!E$40*($A354-Ft!E$2)^2)))</f>
        <v>13.098350936418214</v>
      </c>
      <c r="J354" s="3">
        <f>IF(($A354-Ft!F$2)&lt;0,Ft!F$3*((1-Ft!F$6)/(1+Ft!F$37*($A354-Ft!F$2)^2)+Ft!F$6*EXP(Ft!F$38*($A354-Ft!F$2)^2)),Ft!F$3*((1-Ft!F$7)/(1+Ft!F$39*($A354-Ft!F$2)^2)+Ft!F$7*EXP(Ft!F$40*($A354-Ft!F$2)^2)))</f>
        <v>4.11151959453648E-20</v>
      </c>
      <c r="K354" s="3">
        <f>IF(($A354-Ft!G$2)&lt;0,Ft!G$3*((1-Ft!G$6)/(1+Ft!G$37*($A354-Ft!G$2)^2)+Ft!G$6*EXP(Ft!G$38*($A354-Ft!G$2)^2)),Ft!G$3*((1-Ft!G$7)/(1+Ft!G$39*($A354-Ft!G$2)^2)+Ft!G$7*EXP(Ft!G$40*($A354-Ft!G$2)^2)))</f>
        <v>0</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v>706</v>
      </c>
      <c r="B355">
        <v>17.408612815013001</v>
      </c>
      <c r="C355" s="6">
        <f t="shared" si="11"/>
        <v>17.046411140958238</v>
      </c>
      <c r="D355" s="19">
        <f t="shared" si="12"/>
        <v>0.13119005268807268</v>
      </c>
      <c r="E355" s="3">
        <f>Ft!$B$12+Ft!$B$14*(Data!A355-Vars!$B$3)</f>
        <v>0</v>
      </c>
      <c r="F355" s="3">
        <f>IF(($A355-Ft!B$2)&lt;0,Ft!B$3*((1-Ft!B$6)/(1+Ft!B$37*($A355-Ft!B$2)^2)+Ft!B$6*EXP(Ft!B$38*($A355-Ft!B$2)^2)),Ft!B$3*((1-Ft!B$7)/(1+Ft!B$39*($A355-Ft!B$2)^2)+Ft!B$7*EXP(Ft!B$40*($A355-Ft!B$2)^2)))</f>
        <v>3.9514419415463846E-238</v>
      </c>
      <c r="G355" s="3">
        <f>IF(($A355-Ft!C$2)&lt;0,Ft!C$3*((1-Ft!C$6)/(1+Ft!C$37*($A355-Ft!C$2)^2)+Ft!C$6*EXP(Ft!C$38*($A355-Ft!C$2)^2)),Ft!C$3*((1-Ft!C$7)/(1+Ft!C$39*($A355-Ft!C$2)^2)+Ft!C$7*EXP(Ft!C$40*($A355-Ft!C$2)^2)))</f>
        <v>1.493919041362467E-10</v>
      </c>
      <c r="H355" s="3">
        <f>IF(($A355-Ft!D$2)&lt;0,Ft!D$3*((1-Ft!D$6)/(1+Ft!D$37*($A355-Ft!D$2)^2)+Ft!D$6*EXP(Ft!D$38*($A355-Ft!D$2)^2)),Ft!D$3*((1-Ft!D$7)/(1+Ft!D$39*($A355-Ft!D$2)^2)+Ft!D$7*EXP(Ft!D$40*($A355-Ft!D$2)^2)))</f>
        <v>3.8445633137498736</v>
      </c>
      <c r="I355" s="3">
        <f>IF(($A355-Ft!E$2)&lt;0,Ft!E$3*((1-Ft!E$6)/(1+Ft!E$37*($A355-Ft!E$2)^2)+Ft!E$6*EXP(Ft!E$38*($A355-Ft!E$2)^2)),Ft!E$3*((1-Ft!E$7)/(1+Ft!E$39*($A355-Ft!E$2)^2)+Ft!E$7*EXP(Ft!E$40*($A355-Ft!E$2)^2)))</f>
        <v>13.201847827058973</v>
      </c>
      <c r="J355" s="3">
        <f>IF(($A355-Ft!F$2)&lt;0,Ft!F$3*((1-Ft!F$6)/(1+Ft!F$37*($A355-Ft!F$2)^2)+Ft!F$6*EXP(Ft!F$38*($A355-Ft!F$2)^2)),Ft!F$3*((1-Ft!F$7)/(1+Ft!F$39*($A355-Ft!F$2)^2)+Ft!F$7*EXP(Ft!F$40*($A355-Ft!F$2)^2)))</f>
        <v>7.2482459547764267E-20</v>
      </c>
      <c r="K355" s="3">
        <f>IF(($A355-Ft!G$2)&lt;0,Ft!G$3*((1-Ft!G$6)/(1+Ft!G$37*($A355-Ft!G$2)^2)+Ft!G$6*EXP(Ft!G$38*($A355-Ft!G$2)^2)),Ft!G$3*((1-Ft!G$7)/(1+Ft!G$39*($A355-Ft!G$2)^2)+Ft!G$7*EXP(Ft!G$40*($A355-Ft!G$2)^2)))</f>
        <v>0</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v>708</v>
      </c>
      <c r="B356">
        <v>17.442758342756989</v>
      </c>
      <c r="C356" s="6">
        <f t="shared" si="11"/>
        <v>17.061872567620046</v>
      </c>
      <c r="D356" s="19">
        <f t="shared" si="12"/>
        <v>0.14507397370166938</v>
      </c>
      <c r="E356" s="3">
        <f>Ft!$B$12+Ft!$B$14*(Data!A356-Vars!$B$3)</f>
        <v>0</v>
      </c>
      <c r="F356" s="3">
        <f>IF(($A356-Ft!B$2)&lt;0,Ft!B$3*((1-Ft!B$6)/(1+Ft!B$37*($A356-Ft!B$2)^2)+Ft!B$6*EXP(Ft!B$38*($A356-Ft!B$2)^2)),Ft!B$3*((1-Ft!B$7)/(1+Ft!B$39*($A356-Ft!B$2)^2)+Ft!B$7*EXP(Ft!B$40*($A356-Ft!B$2)^2)))</f>
        <v>1.4246490174633668E-239</v>
      </c>
      <c r="G356" s="3">
        <f>IF(($A356-Ft!C$2)&lt;0,Ft!C$3*((1-Ft!C$6)/(1+Ft!C$37*($A356-Ft!C$2)^2)+Ft!C$6*EXP(Ft!C$38*($A356-Ft!C$2)^2)),Ft!C$3*((1-Ft!C$7)/(1+Ft!C$39*($A356-Ft!C$2)^2)+Ft!C$7*EXP(Ft!C$40*($A356-Ft!C$2)^2)))</f>
        <v>1.2525653243928016E-10</v>
      </c>
      <c r="H356" s="3">
        <f>IF(($A356-Ft!D$2)&lt;0,Ft!D$3*((1-Ft!D$6)/(1+Ft!D$37*($A356-Ft!D$2)^2)+Ft!D$6*EXP(Ft!D$38*($A356-Ft!D$2)^2)),Ft!D$3*((1-Ft!D$7)/(1+Ft!D$39*($A356-Ft!D$2)^2)+Ft!D$7*EXP(Ft!D$40*($A356-Ft!D$2)^2)))</f>
        <v>3.7575961398293067</v>
      </c>
      <c r="I356" s="3">
        <f>IF(($A356-Ft!E$2)&lt;0,Ft!E$3*((1-Ft!E$6)/(1+Ft!E$37*($A356-Ft!E$2)^2)+Ft!E$6*EXP(Ft!E$38*($A356-Ft!E$2)^2)),Ft!E$3*((1-Ft!E$7)/(1+Ft!E$39*($A356-Ft!E$2)^2)+Ft!E$7*EXP(Ft!E$40*($A356-Ft!E$2)^2)))</f>
        <v>13.304276427665481</v>
      </c>
      <c r="J356" s="3">
        <f>IF(($A356-Ft!F$2)&lt;0,Ft!F$3*((1-Ft!F$6)/(1+Ft!F$37*($A356-Ft!F$2)^2)+Ft!F$6*EXP(Ft!F$38*($A356-Ft!F$2)^2)),Ft!F$3*((1-Ft!F$7)/(1+Ft!F$39*($A356-Ft!F$2)^2)+Ft!F$7*EXP(Ft!F$40*($A356-Ft!F$2)^2)))</f>
        <v>1.2733701387783677E-19</v>
      </c>
      <c r="K356" s="3">
        <f>IF(($A356-Ft!G$2)&lt;0,Ft!G$3*((1-Ft!G$6)/(1+Ft!G$37*($A356-Ft!G$2)^2)+Ft!G$6*EXP(Ft!G$38*($A356-Ft!G$2)^2)),Ft!G$3*((1-Ft!G$7)/(1+Ft!G$39*($A356-Ft!G$2)^2)+Ft!G$7*EXP(Ft!G$40*($A356-Ft!G$2)^2)))</f>
        <v>0</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v>710</v>
      </c>
      <c r="B357">
        <v>17.471746947654992</v>
      </c>
      <c r="C357" s="6">
        <f t="shared" si="11"/>
        <v>17.077570751070859</v>
      </c>
      <c r="D357" s="19">
        <f t="shared" si="12"/>
        <v>0.15537487395353364</v>
      </c>
      <c r="E357" s="3">
        <f>Ft!$B$12+Ft!$B$14*(Data!A357-Vars!$B$3)</f>
        <v>0</v>
      </c>
      <c r="F357" s="3">
        <f>IF(($A357-Ft!B$2)&lt;0,Ft!B$3*((1-Ft!B$6)/(1+Ft!B$37*($A357-Ft!B$2)^2)+Ft!B$6*EXP(Ft!B$38*($A357-Ft!B$2)^2)),Ft!B$3*((1-Ft!B$7)/(1+Ft!B$39*($A357-Ft!B$2)^2)+Ft!B$7*EXP(Ft!B$40*($A357-Ft!B$2)^2)))</f>
        <v>5.0850690824238701E-241</v>
      </c>
      <c r="G357" s="3">
        <f>IF(($A357-Ft!C$2)&lt;0,Ft!C$3*((1-Ft!C$6)/(1+Ft!C$37*($A357-Ft!C$2)^2)+Ft!C$6*EXP(Ft!C$38*($A357-Ft!C$2)^2)),Ft!C$3*((1-Ft!C$7)/(1+Ft!C$39*($A357-Ft!C$2)^2)+Ft!C$7*EXP(Ft!C$40*($A357-Ft!C$2)^2)))</f>
        <v>1.0495513606213208E-10</v>
      </c>
      <c r="H357" s="3">
        <f>IF(($A357-Ft!D$2)&lt;0,Ft!D$3*((1-Ft!D$6)/(1+Ft!D$37*($A357-Ft!D$2)^2)+Ft!D$6*EXP(Ft!D$38*($A357-Ft!D$2)^2)),Ft!D$3*((1-Ft!D$7)/(1+Ft!D$39*($A357-Ft!D$2)^2)+Ft!D$7*EXP(Ft!D$40*($A357-Ft!D$2)^2)))</f>
        <v>3.6719714512119546</v>
      </c>
      <c r="I357" s="3">
        <f>IF(($A357-Ft!E$2)&lt;0,Ft!E$3*((1-Ft!E$6)/(1+Ft!E$37*($A357-Ft!E$2)^2)+Ft!E$6*EXP(Ft!E$38*($A357-Ft!E$2)^2)),Ft!E$3*((1-Ft!E$7)/(1+Ft!E$39*($A357-Ft!E$2)^2)+Ft!E$7*EXP(Ft!E$40*($A357-Ft!E$2)^2)))</f>
        <v>13.40559929975395</v>
      </c>
      <c r="J357" s="3">
        <f>IF(($A357-Ft!F$2)&lt;0,Ft!F$3*((1-Ft!F$6)/(1+Ft!F$37*($A357-Ft!F$2)^2)+Ft!F$6*EXP(Ft!F$38*($A357-Ft!F$2)^2)),Ft!F$3*((1-Ft!F$7)/(1+Ft!F$39*($A357-Ft!F$2)^2)+Ft!F$7*EXP(Ft!F$40*($A357-Ft!F$2)^2)))</f>
        <v>2.2292952078409639E-19</v>
      </c>
      <c r="K357" s="3">
        <f>IF(($A357-Ft!G$2)&lt;0,Ft!G$3*((1-Ft!G$6)/(1+Ft!G$37*($A357-Ft!G$2)^2)+Ft!G$6*EXP(Ft!G$38*($A357-Ft!G$2)^2)),Ft!G$3*((1-Ft!G$7)/(1+Ft!G$39*($A357-Ft!G$2)^2)+Ft!G$7*EXP(Ft!G$40*($A357-Ft!G$2)^2)))</f>
        <v>0</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v>712</v>
      </c>
      <c r="B358">
        <v>17.498767431145993</v>
      </c>
      <c r="C358" s="6">
        <f t="shared" si="11"/>
        <v>17.093466646774534</v>
      </c>
      <c r="D358" s="19">
        <f t="shared" si="12"/>
        <v>0.16426872581211982</v>
      </c>
      <c r="E358" s="3">
        <f>Ft!$B$12+Ft!$B$14*(Data!A358-Vars!$B$3)</f>
        <v>0</v>
      </c>
      <c r="F358" s="3">
        <f>IF(($A358-Ft!B$2)&lt;0,Ft!B$3*((1-Ft!B$6)/(1+Ft!B$37*($A358-Ft!B$2)^2)+Ft!B$6*EXP(Ft!B$38*($A358-Ft!B$2)^2)),Ft!B$3*((1-Ft!B$7)/(1+Ft!B$39*($A358-Ft!B$2)^2)+Ft!B$7*EXP(Ft!B$40*($A358-Ft!B$2)^2)))</f>
        <v>1.7968942896850494E-242</v>
      </c>
      <c r="G358" s="3">
        <f>IF(($A358-Ft!C$2)&lt;0,Ft!C$3*((1-Ft!C$6)/(1+Ft!C$37*($A358-Ft!C$2)^2)+Ft!C$6*EXP(Ft!C$38*($A358-Ft!C$2)^2)),Ft!C$3*((1-Ft!C$7)/(1+Ft!C$39*($A358-Ft!C$2)^2)+Ft!C$7*EXP(Ft!C$40*($A358-Ft!C$2)^2)))</f>
        <v>8.788950059263836E-11</v>
      </c>
      <c r="H358" s="3">
        <f>IF(($A358-Ft!D$2)&lt;0,Ft!D$3*((1-Ft!D$6)/(1+Ft!D$37*($A358-Ft!D$2)^2)+Ft!D$6*EXP(Ft!D$38*($A358-Ft!D$2)^2)),Ft!D$3*((1-Ft!D$7)/(1+Ft!D$39*($A358-Ft!D$2)^2)+Ft!D$7*EXP(Ft!D$40*($A358-Ft!D$2)^2)))</f>
        <v>3.587687457642637</v>
      </c>
      <c r="I358" s="3">
        <f>IF(($A358-Ft!E$2)&lt;0,Ft!E$3*((1-Ft!E$6)/(1+Ft!E$37*($A358-Ft!E$2)^2)+Ft!E$6*EXP(Ft!E$38*($A358-Ft!E$2)^2)),Ft!E$3*((1-Ft!E$7)/(1+Ft!E$39*($A358-Ft!E$2)^2)+Ft!E$7*EXP(Ft!E$40*($A358-Ft!E$2)^2)))</f>
        <v>13.505779189044008</v>
      </c>
      <c r="J358" s="3">
        <f>IF(($A358-Ft!F$2)&lt;0,Ft!F$3*((1-Ft!F$6)/(1+Ft!F$37*($A358-Ft!F$2)^2)+Ft!F$6*EXP(Ft!F$38*($A358-Ft!F$2)^2)),Ft!F$3*((1-Ft!F$7)/(1+Ft!F$39*($A358-Ft!F$2)^2)+Ft!F$7*EXP(Ft!F$40*($A358-Ft!F$2)^2)))</f>
        <v>3.8893021669095472E-19</v>
      </c>
      <c r="K358" s="3">
        <f>IF(($A358-Ft!G$2)&lt;0,Ft!G$3*((1-Ft!G$6)/(1+Ft!G$37*($A358-Ft!G$2)^2)+Ft!G$6*EXP(Ft!G$38*($A358-Ft!G$2)^2)),Ft!G$3*((1-Ft!G$7)/(1+Ft!G$39*($A358-Ft!G$2)^2)+Ft!G$7*EXP(Ft!G$40*($A358-Ft!G$2)^2)))</f>
        <v>0</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v>714</v>
      </c>
      <c r="B359">
        <v>17.523792052436988</v>
      </c>
      <c r="C359" s="6">
        <f t="shared" si="11"/>
        <v>17.109520781570044</v>
      </c>
      <c r="D359" s="19">
        <f t="shared" si="12"/>
        <v>0.17162068586571311</v>
      </c>
      <c r="E359" s="3">
        <f>Ft!$B$12+Ft!$B$14*(Data!A359-Vars!$B$3)</f>
        <v>0</v>
      </c>
      <c r="F359" s="3">
        <f>IF(($A359-Ft!B$2)&lt;0,Ft!B$3*((1-Ft!B$6)/(1+Ft!B$37*($A359-Ft!B$2)^2)+Ft!B$6*EXP(Ft!B$38*($A359-Ft!B$2)^2)),Ft!B$3*((1-Ft!B$7)/(1+Ft!B$39*($A359-Ft!B$2)^2)+Ft!B$7*EXP(Ft!B$40*($A359-Ft!B$2)^2)))</f>
        <v>6.2861522668017639E-244</v>
      </c>
      <c r="G359" s="3">
        <f>IF(($A359-Ft!C$2)&lt;0,Ft!C$3*((1-Ft!C$6)/(1+Ft!C$37*($A359-Ft!C$2)^2)+Ft!C$6*EXP(Ft!C$38*($A359-Ft!C$2)^2)),Ft!C$3*((1-Ft!C$7)/(1+Ft!C$39*($A359-Ft!C$2)^2)+Ft!C$7*EXP(Ft!C$40*($A359-Ft!C$2)^2)))</f>
        <v>7.3552982375553281E-11</v>
      </c>
      <c r="H359" s="3">
        <f>IF(($A359-Ft!D$2)&lt;0,Ft!D$3*((1-Ft!D$6)/(1+Ft!D$37*($A359-Ft!D$2)^2)+Ft!D$6*EXP(Ft!D$38*($A359-Ft!D$2)^2)),Ft!D$3*((1-Ft!D$7)/(1+Ft!D$39*($A359-Ft!D$2)^2)+Ft!D$7*EXP(Ft!D$40*($A359-Ft!D$2)^2)))</f>
        <v>3.5047417334330979</v>
      </c>
      <c r="I359" s="3">
        <f>IF(($A359-Ft!E$2)&lt;0,Ft!E$3*((1-Ft!E$6)/(1+Ft!E$37*($A359-Ft!E$2)^2)+Ft!E$6*EXP(Ft!E$38*($A359-Ft!E$2)^2)),Ft!E$3*((1-Ft!E$7)/(1+Ft!E$39*($A359-Ft!E$2)^2)+Ft!E$7*EXP(Ft!E$40*($A359-Ft!E$2)^2)))</f>
        <v>13.604779048063394</v>
      </c>
      <c r="J359" s="3">
        <f>IF(($A359-Ft!F$2)&lt;0,Ft!F$3*((1-Ft!F$6)/(1+Ft!F$37*($A359-Ft!F$2)^2)+Ft!F$6*EXP(Ft!F$38*($A359-Ft!F$2)^2)),Ft!F$3*((1-Ft!F$7)/(1+Ft!F$39*($A359-Ft!F$2)^2)+Ft!F$7*EXP(Ft!F$40*($A359-Ft!F$2)^2)))</f>
        <v>6.7618723912682765E-19</v>
      </c>
      <c r="K359" s="3">
        <f>IF(($A359-Ft!G$2)&lt;0,Ft!G$3*((1-Ft!G$6)/(1+Ft!G$37*($A359-Ft!G$2)^2)+Ft!G$6*EXP(Ft!G$38*($A359-Ft!G$2)^2)),Ft!G$3*((1-Ft!G$7)/(1+Ft!G$39*($A359-Ft!G$2)^2)+Ft!G$7*EXP(Ft!G$40*($A359-Ft!G$2)^2)))</f>
        <v>0</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v>716</v>
      </c>
      <c r="B360">
        <v>17.546793070733997</v>
      </c>
      <c r="C360" s="6">
        <f t="shared" si="11"/>
        <v>17.125693292515628</v>
      </c>
      <c r="D360" s="19">
        <f t="shared" si="12"/>
        <v>0.1773250232155601</v>
      </c>
      <c r="E360" s="3">
        <f>Ft!$B$12+Ft!$B$14*(Data!A360-Vars!$B$3)</f>
        <v>0</v>
      </c>
      <c r="F360" s="3">
        <f>IF(($A360-Ft!B$2)&lt;0,Ft!B$3*((1-Ft!B$6)/(1+Ft!B$37*($A360-Ft!B$2)^2)+Ft!B$6*EXP(Ft!B$38*($A360-Ft!B$2)^2)),Ft!B$3*((1-Ft!B$7)/(1+Ft!B$39*($A360-Ft!B$2)^2)+Ft!B$7*EXP(Ft!B$40*($A360-Ft!B$2)^2)))</f>
        <v>2.1771279900450555E-245</v>
      </c>
      <c r="G360" s="3">
        <f>IF(($A360-Ft!C$2)&lt;0,Ft!C$3*((1-Ft!C$6)/(1+Ft!C$37*($A360-Ft!C$2)^2)+Ft!C$6*EXP(Ft!C$38*($A360-Ft!C$2)^2)),Ft!C$3*((1-Ft!C$7)/(1+Ft!C$39*($A360-Ft!C$2)^2)+Ft!C$7*EXP(Ft!C$40*($A360-Ft!C$2)^2)))</f>
        <v>6.1516775973152714E-11</v>
      </c>
      <c r="H360" s="3">
        <f>IF(($A360-Ft!D$2)&lt;0,Ft!D$3*((1-Ft!D$6)/(1+Ft!D$37*($A360-Ft!D$2)^2)+Ft!D$6*EXP(Ft!D$38*($A360-Ft!D$2)^2)),Ft!D$3*((1-Ft!D$7)/(1+Ft!D$39*($A360-Ft!D$2)^2)+Ft!D$7*EXP(Ft!D$40*($A360-Ft!D$2)^2)))</f>
        <v>3.4231312336780433</v>
      </c>
      <c r="I360" s="3">
        <f>IF(($A360-Ft!E$2)&lt;0,Ft!E$3*((1-Ft!E$6)/(1+Ft!E$37*($A360-Ft!E$2)^2)+Ft!E$6*EXP(Ft!E$38*($A360-Ft!E$2)^2)),Ft!E$3*((1-Ft!E$7)/(1+Ft!E$39*($A360-Ft!E$2)^2)+Ft!E$7*EXP(Ft!E$40*($A360-Ft!E$2)^2)))</f>
        <v>13.702562058776067</v>
      </c>
      <c r="J360" s="3">
        <f>IF(($A360-Ft!F$2)&lt;0,Ft!F$3*((1-Ft!F$6)/(1+Ft!F$37*($A360-Ft!F$2)^2)+Ft!F$6*EXP(Ft!F$38*($A360-Ft!F$2)^2)),Ft!F$3*((1-Ft!F$7)/(1+Ft!F$39*($A360-Ft!F$2)^2)+Ft!F$7*EXP(Ft!F$40*($A360-Ft!F$2)^2)))</f>
        <v>1.1715300625373264E-18</v>
      </c>
      <c r="K360" s="3">
        <f>IF(($A360-Ft!G$2)&lt;0,Ft!G$3*((1-Ft!G$6)/(1+Ft!G$37*($A360-Ft!G$2)^2)+Ft!G$6*EXP(Ft!G$38*($A360-Ft!G$2)^2)),Ft!G$3*((1-Ft!G$7)/(1+Ft!G$39*($A360-Ft!G$2)^2)+Ft!G$7*EXP(Ft!G$40*($A360-Ft!G$2)^2)))</f>
        <v>0</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v>718</v>
      </c>
      <c r="B361">
        <v>17.567742745242001</v>
      </c>
      <c r="C361" s="6">
        <f t="shared" si="11"/>
        <v>17.141943965884249</v>
      </c>
      <c r="D361" s="19">
        <f t="shared" si="12"/>
        <v>0.18130460050255157</v>
      </c>
      <c r="E361" s="3">
        <f>Ft!$B$12+Ft!$B$14*(Data!A361-Vars!$B$3)</f>
        <v>0</v>
      </c>
      <c r="F361" s="3">
        <f>IF(($A361-Ft!B$2)&lt;0,Ft!B$3*((1-Ft!B$6)/(1+Ft!B$37*($A361-Ft!B$2)^2)+Ft!B$6*EXP(Ft!B$38*($A361-Ft!B$2)^2)),Ft!B$3*((1-Ft!B$7)/(1+Ft!B$39*($A361-Ft!B$2)^2)+Ft!B$7*EXP(Ft!B$40*($A361-Ft!B$2)^2)))</f>
        <v>7.4648265804978807E-247</v>
      </c>
      <c r="G361" s="3">
        <f>IF(($A361-Ft!C$2)&lt;0,Ft!C$3*((1-Ft!C$6)/(1+Ft!C$37*($A361-Ft!C$2)^2)+Ft!C$6*EXP(Ft!C$38*($A361-Ft!C$2)^2)),Ft!C$3*((1-Ft!C$7)/(1+Ft!C$39*($A361-Ft!C$2)^2)+Ft!C$7*EXP(Ft!C$40*($A361-Ft!C$2)^2)))</f>
        <v>5.1418196012201471E-11</v>
      </c>
      <c r="H361" s="3">
        <f>IF(($A361-Ft!D$2)&lt;0,Ft!D$3*((1-Ft!D$6)/(1+Ft!D$37*($A361-Ft!D$2)^2)+Ft!D$6*EXP(Ft!D$38*($A361-Ft!D$2)^2)),Ft!D$3*((1-Ft!D$7)/(1+Ft!D$39*($A361-Ft!D$2)^2)+Ft!D$7*EXP(Ft!D$40*($A361-Ft!D$2)^2)))</f>
        <v>3.3428523106182317</v>
      </c>
      <c r="I361" s="3">
        <f>IF(($A361-Ft!E$2)&lt;0,Ft!E$3*((1-Ft!E$6)/(1+Ft!E$37*($A361-Ft!E$2)^2)+Ft!E$6*EXP(Ft!E$38*($A361-Ft!E$2)^2)),Ft!E$3*((1-Ft!E$7)/(1+Ft!E$39*($A361-Ft!E$2)^2)+Ft!E$7*EXP(Ft!E$40*($A361-Ft!E$2)^2)))</f>
        <v>13.799091655214598</v>
      </c>
      <c r="J361" s="3">
        <f>IF(($A361-Ft!F$2)&lt;0,Ft!F$3*((1-Ft!F$6)/(1+Ft!F$37*($A361-Ft!F$2)^2)+Ft!F$6*EXP(Ft!F$38*($A361-Ft!F$2)^2)),Ft!F$3*((1-Ft!F$7)/(1+Ft!F$39*($A361-Ft!F$2)^2)+Ft!F$7*EXP(Ft!F$40*($A361-Ft!F$2)^2)))</f>
        <v>2.0226981918492121E-18</v>
      </c>
      <c r="K361" s="3">
        <f>IF(($A361-Ft!G$2)&lt;0,Ft!G$3*((1-Ft!G$6)/(1+Ft!G$37*($A361-Ft!G$2)^2)+Ft!G$6*EXP(Ft!G$38*($A361-Ft!G$2)^2)),Ft!G$3*((1-Ft!G$7)/(1+Ft!G$39*($A361-Ft!G$2)^2)+Ft!G$7*EXP(Ft!G$40*($A361-Ft!G$2)^2)))</f>
        <v>0</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v>720</v>
      </c>
      <c r="B362">
        <v>17.586613335167002</v>
      </c>
      <c r="C362" s="6">
        <f t="shared" si="11"/>
        <v>17.1582322762712</v>
      </c>
      <c r="D362" s="19">
        <f t="shared" si="12"/>
        <v>0.1835103316206885</v>
      </c>
      <c r="E362" s="3">
        <f>Ft!$B$12+Ft!$B$14*(Data!A362-Vars!$B$3)</f>
        <v>0</v>
      </c>
      <c r="F362" s="3">
        <f>IF(($A362-Ft!B$2)&lt;0,Ft!B$3*((1-Ft!B$6)/(1+Ft!B$37*($A362-Ft!B$2)^2)+Ft!B$6*EXP(Ft!B$38*($A362-Ft!B$2)^2)),Ft!B$3*((1-Ft!B$7)/(1+Ft!B$39*($A362-Ft!B$2)^2)+Ft!B$7*EXP(Ft!B$40*($A362-Ft!B$2)^2)))</f>
        <v>2.5339158095159987E-248</v>
      </c>
      <c r="G362" s="3">
        <f>IF(($A362-Ft!C$2)&lt;0,Ft!C$3*((1-Ft!C$6)/(1+Ft!C$37*($A362-Ft!C$2)^2)+Ft!C$6*EXP(Ft!C$38*($A362-Ft!C$2)^2)),Ft!C$3*((1-Ft!C$7)/(1+Ft!C$39*($A362-Ft!C$2)^2)+Ft!C$7*EXP(Ft!C$40*($A362-Ft!C$2)^2)))</f>
        <v>4.2950684940042239E-11</v>
      </c>
      <c r="H362" s="3">
        <f>IF(($A362-Ft!D$2)&lt;0,Ft!D$3*((1-Ft!D$6)/(1+Ft!D$37*($A362-Ft!D$2)^2)+Ft!D$6*EXP(Ft!D$38*($A362-Ft!D$2)^2)),Ft!D$3*((1-Ft!D$7)/(1+Ft!D$39*($A362-Ft!D$2)^2)+Ft!D$7*EXP(Ft!D$40*($A362-Ft!D$2)^2)))</f>
        <v>3.2639007301307026</v>
      </c>
      <c r="I362" s="3">
        <f>IF(($A362-Ft!E$2)&lt;0,Ft!E$3*((1-Ft!E$6)/(1+Ft!E$37*($A362-Ft!E$2)^2)+Ft!E$6*EXP(Ft!E$38*($A362-Ft!E$2)^2)),Ft!E$3*((1-Ft!E$7)/(1+Ft!E$39*($A362-Ft!E$2)^2)+Ft!E$7*EXP(Ft!E$40*($A362-Ft!E$2)^2)))</f>
        <v>13.894331546097545</v>
      </c>
      <c r="J362" s="3">
        <f>IF(($A362-Ft!F$2)&lt;0,Ft!F$3*((1-Ft!F$6)/(1+Ft!F$37*($A362-Ft!F$2)^2)+Ft!F$6*EXP(Ft!F$38*($A362-Ft!F$2)^2)),Ft!F$3*((1-Ft!F$7)/(1+Ft!F$39*($A362-Ft!F$2)^2)+Ft!F$7*EXP(Ft!F$40*($A362-Ft!F$2)^2)))</f>
        <v>3.4801656560516994E-18</v>
      </c>
      <c r="K362" s="3">
        <f>IF(($A362-Ft!G$2)&lt;0,Ft!G$3*((1-Ft!G$6)/(1+Ft!G$37*($A362-Ft!G$2)^2)+Ft!G$6*EXP(Ft!G$38*($A362-Ft!G$2)^2)),Ft!G$3*((1-Ft!G$7)/(1+Ft!G$39*($A362-Ft!G$2)^2)+Ft!G$7*EXP(Ft!G$40*($A362-Ft!G$2)^2)))</f>
        <v>0</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v>722</v>
      </c>
      <c r="B363">
        <v>17.603377099715999</v>
      </c>
      <c r="C363" s="6">
        <f t="shared" si="11"/>
        <v>17.174517425774823</v>
      </c>
      <c r="D363" s="19">
        <f t="shared" si="12"/>
        <v>0.18392061993293166</v>
      </c>
      <c r="E363" s="3">
        <f>Ft!$B$12+Ft!$B$14*(Data!A363-Vars!$B$3)</f>
        <v>0</v>
      </c>
      <c r="F363" s="3">
        <f>IF(($A363-Ft!B$2)&lt;0,Ft!B$3*((1-Ft!B$6)/(1+Ft!B$37*($A363-Ft!B$2)^2)+Ft!B$6*EXP(Ft!B$38*($A363-Ft!B$2)^2)),Ft!B$3*((1-Ft!B$7)/(1+Ft!B$39*($A363-Ft!B$2)^2)+Ft!B$7*EXP(Ft!B$40*($A363-Ft!B$2)^2)))</f>
        <v>8.5153271203833296E-250</v>
      </c>
      <c r="G363" s="3">
        <f>IF(($A363-Ft!C$2)&lt;0,Ft!C$3*((1-Ft!C$6)/(1+Ft!C$37*($A363-Ft!C$2)^2)+Ft!C$6*EXP(Ft!C$38*($A363-Ft!C$2)^2)),Ft!C$3*((1-Ft!C$7)/(1+Ft!C$39*($A363-Ft!C$2)^2)+Ft!C$7*EXP(Ft!C$40*($A363-Ft!C$2)^2)))</f>
        <v>3.5855298454036116E-11</v>
      </c>
      <c r="H363" s="3">
        <f>IF(($A363-Ft!D$2)&lt;0,Ft!D$3*((1-Ft!D$6)/(1+Ft!D$37*($A363-Ft!D$2)^2)+Ft!D$6*EXP(Ft!D$38*($A363-Ft!D$2)^2)),Ft!D$3*((1-Ft!D$7)/(1+Ft!D$39*($A363-Ft!D$2)^2)+Ft!D$7*EXP(Ft!D$40*($A363-Ft!D$2)^2)))</f>
        <v>3.1862716883265496</v>
      </c>
      <c r="I363" s="3">
        <f>IF(($A363-Ft!E$2)&lt;0,Ft!E$3*((1-Ft!E$6)/(1+Ft!E$37*($A363-Ft!E$2)^2)+Ft!E$6*EXP(Ft!E$38*($A363-Ft!E$2)^2)),Ft!E$3*((1-Ft!E$7)/(1+Ft!E$39*($A363-Ft!E$2)^2)+Ft!E$7*EXP(Ft!E$40*($A363-Ft!E$2)^2)))</f>
        <v>13.988245737412418</v>
      </c>
      <c r="J363" s="3">
        <f>IF(($A363-Ft!F$2)&lt;0,Ft!F$3*((1-Ft!F$6)/(1+Ft!F$37*($A363-Ft!F$2)^2)+Ft!F$6*EXP(Ft!F$38*($A363-Ft!F$2)^2)),Ft!F$3*((1-Ft!F$7)/(1+Ft!F$39*($A363-Ft!F$2)^2)+Ft!F$7*EXP(Ft!F$40*($A363-Ft!F$2)^2)))</f>
        <v>5.96705346833759E-18</v>
      </c>
      <c r="K363" s="3">
        <f>IF(($A363-Ft!G$2)&lt;0,Ft!G$3*((1-Ft!G$6)/(1+Ft!G$37*($A363-Ft!G$2)^2)+Ft!G$6*EXP(Ft!G$38*($A363-Ft!G$2)^2)),Ft!G$3*((1-Ft!G$7)/(1+Ft!G$39*($A363-Ft!G$2)^2)+Ft!G$7*EXP(Ft!G$40*($A363-Ft!G$2)^2)))</f>
        <v>0</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v>724</v>
      </c>
      <c r="B364">
        <v>17.618006298094002</v>
      </c>
      <c r="C364" s="6">
        <f t="shared" si="11"/>
        <v>17.190758383211595</v>
      </c>
      <c r="D364" s="19">
        <f t="shared" si="12"/>
        <v>0.18254078077136496</v>
      </c>
      <c r="E364" s="3">
        <f>Ft!$B$12+Ft!$B$14*(Data!A364-Vars!$B$3)</f>
        <v>0</v>
      </c>
      <c r="F364" s="3">
        <f>IF(($A364-Ft!B$2)&lt;0,Ft!B$3*((1-Ft!B$6)/(1+Ft!B$37*($A364-Ft!B$2)^2)+Ft!B$6*EXP(Ft!B$38*($A364-Ft!B$2)^2)),Ft!B$3*((1-Ft!B$7)/(1+Ft!B$39*($A364-Ft!B$2)^2)+Ft!B$7*EXP(Ft!B$40*($A364-Ft!B$2)^2)))</f>
        <v>2.8330040026321794E-251</v>
      </c>
      <c r="G364" s="3">
        <f>IF(($A364-Ft!C$2)&lt;0,Ft!C$3*((1-Ft!C$6)/(1+Ft!C$37*($A364-Ft!C$2)^2)+Ft!C$6*EXP(Ft!C$38*($A364-Ft!C$2)^2)),Ft!C$3*((1-Ft!C$7)/(1+Ft!C$39*($A364-Ft!C$2)^2)+Ft!C$7*EXP(Ft!C$40*($A364-Ft!C$2)^2)))</f>
        <v>2.9913455157143243E-11</v>
      </c>
      <c r="H364" s="3">
        <f>IF(($A364-Ft!D$2)&lt;0,Ft!D$3*((1-Ft!D$6)/(1+Ft!D$37*($A364-Ft!D$2)^2)+Ft!D$6*EXP(Ft!D$38*($A364-Ft!D$2)^2)),Ft!D$3*((1-Ft!D$7)/(1+Ft!D$39*($A364-Ft!D$2)^2)+Ft!D$7*EXP(Ft!D$40*($A364-Ft!D$2)^2)))</f>
        <v>3.1099598282369847</v>
      </c>
      <c r="I364" s="3">
        <f>IF(($A364-Ft!E$2)&lt;0,Ft!E$3*((1-Ft!E$6)/(1+Ft!E$37*($A364-Ft!E$2)^2)+Ft!E$6*EXP(Ft!E$38*($A364-Ft!E$2)^2)),Ft!E$3*((1-Ft!E$7)/(1+Ft!E$39*($A364-Ft!E$2)^2)+Ft!E$7*EXP(Ft!E$40*($A364-Ft!E$2)^2)))</f>
        <v>14.080798554944696</v>
      </c>
      <c r="J364" s="3">
        <f>IF(($A364-Ft!F$2)&lt;0,Ft!F$3*((1-Ft!F$6)/(1+Ft!F$37*($A364-Ft!F$2)^2)+Ft!F$6*EXP(Ft!F$38*($A364-Ft!F$2)^2)),Ft!F$3*((1-Ft!F$7)/(1+Ft!F$39*($A364-Ft!F$2)^2)+Ft!F$7*EXP(Ft!F$40*($A364-Ft!F$2)^2)))</f>
        <v>1.0195560916178337E-17</v>
      </c>
      <c r="K364" s="3">
        <f>IF(($A364-Ft!G$2)&lt;0,Ft!G$3*((1-Ft!G$6)/(1+Ft!G$37*($A364-Ft!G$2)^2)+Ft!G$6*EXP(Ft!G$38*($A364-Ft!G$2)^2)),Ft!G$3*((1-Ft!G$7)/(1+Ft!G$39*($A364-Ft!G$2)^2)+Ft!G$7*EXP(Ft!G$40*($A364-Ft!G$2)^2)))</f>
        <v>0</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v>726</v>
      </c>
      <c r="B365">
        <v>17.630278882859002</v>
      </c>
      <c r="C365" s="6">
        <f t="shared" si="11"/>
        <v>17.206913923327036</v>
      </c>
      <c r="D365" s="19">
        <f t="shared" si="12"/>
        <v>0.17923788895950335</v>
      </c>
      <c r="E365" s="3">
        <f>Ft!$B$12+Ft!$B$14*(Data!A365-Vars!$B$3)</f>
        <v>0</v>
      </c>
      <c r="F365" s="3">
        <f>IF(($A365-Ft!B$2)&lt;0,Ft!B$3*((1-Ft!B$6)/(1+Ft!B$37*($A365-Ft!B$2)^2)+Ft!B$6*EXP(Ft!B$38*($A365-Ft!B$2)^2)),Ft!B$3*((1-Ft!B$7)/(1+Ft!B$39*($A365-Ft!B$2)^2)+Ft!B$7*EXP(Ft!B$40*($A365-Ft!B$2)^2)))</f>
        <v>9.3310332451391015E-253</v>
      </c>
      <c r="G365" s="3">
        <f>IF(($A365-Ft!C$2)&lt;0,Ft!C$3*((1-Ft!C$6)/(1+Ft!C$37*($A365-Ft!C$2)^2)+Ft!C$6*EXP(Ft!C$38*($A365-Ft!C$2)^2)),Ft!C$3*((1-Ft!C$7)/(1+Ft!C$39*($A365-Ft!C$2)^2)+Ft!C$7*EXP(Ft!C$40*($A365-Ft!C$2)^2)))</f>
        <v>2.4940767043332309E-11</v>
      </c>
      <c r="H365" s="3">
        <f>IF(($A365-Ft!D$2)&lt;0,Ft!D$3*((1-Ft!D$6)/(1+Ft!D$37*($A365-Ft!D$2)^2)+Ft!D$6*EXP(Ft!D$38*($A365-Ft!D$2)^2)),Ft!D$3*((1-Ft!D$7)/(1+Ft!D$39*($A365-Ft!D$2)^2)+Ft!D$7*EXP(Ft!D$40*($A365-Ft!D$2)^2)))</f>
        <v>3.034959256568766</v>
      </c>
      <c r="I365" s="3">
        <f>IF(($A365-Ft!E$2)&lt;0,Ft!E$3*((1-Ft!E$6)/(1+Ft!E$37*($A365-Ft!E$2)^2)+Ft!E$6*EXP(Ft!E$38*($A365-Ft!E$2)^2)),Ft!E$3*((1-Ft!E$7)/(1+Ft!E$39*($A365-Ft!E$2)^2)+Ft!E$7*EXP(Ft!E$40*($A365-Ft!E$2)^2)))</f>
        <v>14.171954666733331</v>
      </c>
      <c r="J365" s="3">
        <f>IF(($A365-Ft!F$2)&lt;0,Ft!F$3*((1-Ft!F$6)/(1+Ft!F$37*($A365-Ft!F$2)^2)+Ft!F$6*EXP(Ft!F$38*($A365-Ft!F$2)^2)),Ft!F$3*((1-Ft!F$7)/(1+Ft!F$39*($A365-Ft!F$2)^2)+Ft!F$7*EXP(Ft!F$40*($A365-Ft!F$2)^2)))</f>
        <v>1.736015106756767E-17</v>
      </c>
      <c r="K365" s="3">
        <f>IF(($A365-Ft!G$2)&lt;0,Ft!G$3*((1-Ft!G$6)/(1+Ft!G$37*($A365-Ft!G$2)^2)+Ft!G$6*EXP(Ft!G$38*($A365-Ft!G$2)^2)),Ft!G$3*((1-Ft!G$7)/(1+Ft!G$39*($A365-Ft!G$2)^2)+Ft!G$7*EXP(Ft!G$40*($A365-Ft!G$2)^2)))</f>
        <v>0</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v>728</v>
      </c>
      <c r="B366">
        <v>17.639240419651998</v>
      </c>
      <c r="C366" s="6">
        <f t="shared" si="11"/>
        <v>17.222942665964275</v>
      </c>
      <c r="D366" s="19">
        <f t="shared" si="12"/>
        <v>0.17330381972544337</v>
      </c>
      <c r="E366" s="3">
        <f>Ft!$B$12+Ft!$B$14*(Data!A366-Vars!$B$3)</f>
        <v>0</v>
      </c>
      <c r="F366" s="3">
        <f>IF(($A366-Ft!B$2)&lt;0,Ft!B$3*((1-Ft!B$6)/(1+Ft!B$37*($A366-Ft!B$2)^2)+Ft!B$6*EXP(Ft!B$38*($A366-Ft!B$2)^2)),Ft!B$3*((1-Ft!B$7)/(1+Ft!B$39*($A366-Ft!B$2)^2)+Ft!B$7*EXP(Ft!B$40*($A366-Ft!B$2)^2)))</f>
        <v>3.0426288729571452E-254</v>
      </c>
      <c r="G366" s="3">
        <f>IF(($A366-Ft!C$2)&lt;0,Ft!C$3*((1-Ft!C$6)/(1+Ft!C$37*($A366-Ft!C$2)^2)+Ft!C$6*EXP(Ft!C$38*($A366-Ft!C$2)^2)),Ft!C$3*((1-Ft!C$7)/(1+Ft!C$39*($A366-Ft!C$2)^2)+Ft!C$7*EXP(Ft!C$40*($A366-Ft!C$2)^2)))</f>
        <v>2.0781793354629889E-11</v>
      </c>
      <c r="H366" s="3">
        <f>IF(($A366-Ft!D$2)&lt;0,Ft!D$3*((1-Ft!D$6)/(1+Ft!D$37*($A366-Ft!D$2)^2)+Ft!D$6*EXP(Ft!D$38*($A366-Ft!D$2)^2)),Ft!D$3*((1-Ft!D$7)/(1+Ft!D$39*($A366-Ft!D$2)^2)+Ft!D$7*EXP(Ft!D$40*($A366-Ft!D$2)^2)))</f>
        <v>2.9612635605104529</v>
      </c>
      <c r="I366" s="3">
        <f>IF(($A366-Ft!E$2)&lt;0,Ft!E$3*((1-Ft!E$6)/(1+Ft!E$37*($A366-Ft!E$2)^2)+Ft!E$6*EXP(Ft!E$38*($A366-Ft!E$2)^2)),Ft!E$3*((1-Ft!E$7)/(1+Ft!E$39*($A366-Ft!E$2)^2)+Ft!E$7*EXP(Ft!E$40*($A366-Ft!E$2)^2)))</f>
        <v>14.261679105433041</v>
      </c>
      <c r="J366" s="3">
        <f>IF(($A366-Ft!F$2)&lt;0,Ft!F$3*((1-Ft!F$6)/(1+Ft!F$37*($A366-Ft!F$2)^2)+Ft!F$6*EXP(Ft!F$38*($A366-Ft!F$2)^2)),Ft!F$3*((1-Ft!F$7)/(1+Ft!F$39*($A366-Ft!F$2)^2)+Ft!F$7*EXP(Ft!F$40*($A366-Ft!F$2)^2)))</f>
        <v>2.9456901208811248E-17</v>
      </c>
      <c r="K366" s="3">
        <f>IF(($A366-Ft!G$2)&lt;0,Ft!G$3*((1-Ft!G$6)/(1+Ft!G$37*($A366-Ft!G$2)^2)+Ft!G$6*EXP(Ft!G$38*($A366-Ft!G$2)^2)),Ft!G$3*((1-Ft!G$7)/(1+Ft!G$39*($A366-Ft!G$2)^2)+Ft!G$7*EXP(Ft!G$40*($A366-Ft!G$2)^2)))</f>
        <v>0</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v>730</v>
      </c>
      <c r="B367">
        <v>17.645280012740002</v>
      </c>
      <c r="C367" s="6">
        <f t="shared" si="11"/>
        <v>17.238803115152358</v>
      </c>
      <c r="D367" s="19">
        <f t="shared" si="12"/>
        <v>0.16522346827247661</v>
      </c>
      <c r="E367" s="3">
        <f>Ft!$B$12+Ft!$B$14*(Data!A367-Vars!$B$3)</f>
        <v>0</v>
      </c>
      <c r="F367" s="3">
        <f>IF(($A367-Ft!B$2)&lt;0,Ft!B$3*((1-Ft!B$6)/(1+Ft!B$37*($A367-Ft!B$2)^2)+Ft!B$6*EXP(Ft!B$38*($A367-Ft!B$2)^2)),Ft!B$3*((1-Ft!B$7)/(1+Ft!B$39*($A367-Ft!B$2)^2)+Ft!B$7*EXP(Ft!B$40*($A367-Ft!B$2)^2)))</f>
        <v>9.8221129579644193E-256</v>
      </c>
      <c r="G367" s="3">
        <f>IF(($A367-Ft!C$2)&lt;0,Ft!C$3*((1-Ft!C$6)/(1+Ft!C$37*($A367-Ft!C$2)^2)+Ft!C$6*EXP(Ft!C$38*($A367-Ft!C$2)^2)),Ft!C$3*((1-Ft!C$7)/(1+Ft!C$39*($A367-Ft!C$2)^2)+Ft!C$7*EXP(Ft!C$40*($A367-Ft!C$2)^2)))</f>
        <v>1.7305582722354355E-11</v>
      </c>
      <c r="H367" s="3">
        <f>IF(($A367-Ft!D$2)&lt;0,Ft!D$3*((1-Ft!D$6)/(1+Ft!D$37*($A367-Ft!D$2)^2)+Ft!D$6*EXP(Ft!D$38*($A367-Ft!D$2)^2)),Ft!D$3*((1-Ft!D$7)/(1+Ft!D$39*($A367-Ft!D$2)^2)+Ft!D$7*EXP(Ft!D$40*($A367-Ft!D$2)^2)))</f>
        <v>2.8888658245713197</v>
      </c>
      <c r="I367" s="3">
        <f>IF(($A367-Ft!E$2)&lt;0,Ft!E$3*((1-Ft!E$6)/(1+Ft!E$37*($A367-Ft!E$2)^2)+Ft!E$6*EXP(Ft!E$38*($A367-Ft!E$2)^2)),Ft!E$3*((1-Ft!E$7)/(1+Ft!E$39*($A367-Ft!E$2)^2)+Ft!E$7*EXP(Ft!E$40*($A367-Ft!E$2)^2)))</f>
        <v>14.349937290563734</v>
      </c>
      <c r="J367" s="3">
        <f>IF(($A367-Ft!F$2)&lt;0,Ft!F$3*((1-Ft!F$6)/(1+Ft!F$37*($A367-Ft!F$2)^2)+Ft!F$6*EXP(Ft!F$38*($A367-Ft!F$2)^2)),Ft!F$3*((1-Ft!F$7)/(1+Ft!F$39*($A367-Ft!F$2)^2)+Ft!F$7*EXP(Ft!F$40*($A367-Ft!F$2)^2)))</f>
        <v>4.9809455966806529E-17</v>
      </c>
      <c r="K367" s="3">
        <f>IF(($A367-Ft!G$2)&lt;0,Ft!G$3*((1-Ft!G$6)/(1+Ft!G$37*($A367-Ft!G$2)^2)+Ft!G$6*EXP(Ft!G$38*($A367-Ft!G$2)^2)),Ft!G$3*((1-Ft!G$7)/(1+Ft!G$39*($A367-Ft!G$2)^2)+Ft!G$7*EXP(Ft!G$40*($A367-Ft!G$2)^2)))</f>
        <v>0</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v>732</v>
      </c>
      <c r="B368">
        <v>17.649007644851991</v>
      </c>
      <c r="C368" s="6">
        <f t="shared" si="11"/>
        <v>17.254453698076908</v>
      </c>
      <c r="D368" s="19">
        <f t="shared" si="12"/>
        <v>0.15567281691579532</v>
      </c>
      <c r="E368" s="3">
        <f>Ft!$B$12+Ft!$B$14*(Data!A368-Vars!$B$3)</f>
        <v>0</v>
      </c>
      <c r="F368" s="3">
        <f>IF(($A368-Ft!B$2)&lt;0,Ft!B$3*((1-Ft!B$6)/(1+Ft!B$37*($A368-Ft!B$2)^2)+Ft!B$6*EXP(Ft!B$38*($A368-Ft!B$2)^2)),Ft!B$3*((1-Ft!B$7)/(1+Ft!B$39*($A368-Ft!B$2)^2)+Ft!B$7*EXP(Ft!B$40*($A368-Ft!B$2)^2)))</f>
        <v>3.1390451571302378E-257</v>
      </c>
      <c r="G368" s="3">
        <f>IF(($A368-Ft!C$2)&lt;0,Ft!C$3*((1-Ft!C$6)/(1+Ft!C$37*($A368-Ft!C$2)^2)+Ft!C$6*EXP(Ft!C$38*($A368-Ft!C$2)^2)),Ft!C$3*((1-Ft!C$7)/(1+Ft!C$39*($A368-Ft!C$2)^2)+Ft!C$7*EXP(Ft!C$40*($A368-Ft!C$2)^2)))</f>
        <v>1.440188778401158E-11</v>
      </c>
      <c r="H368" s="3">
        <f>IF(($A368-Ft!D$2)&lt;0,Ft!D$3*((1-Ft!D$6)/(1+Ft!D$37*($A368-Ft!D$2)^2)+Ft!D$6*EXP(Ft!D$38*($A368-Ft!D$2)^2)),Ft!D$3*((1-Ft!D$7)/(1+Ft!D$39*($A368-Ft!D$2)^2)+Ft!D$7*EXP(Ft!D$40*($A368-Ft!D$2)^2)))</f>
        <v>2.8177586474351699</v>
      </c>
      <c r="I368" s="3">
        <f>IF(($A368-Ft!E$2)&lt;0,Ft!E$3*((1-Ft!E$6)/(1+Ft!E$37*($A368-Ft!E$2)^2)+Ft!E$6*EXP(Ft!E$38*($A368-Ft!E$2)^2)),Ft!E$3*((1-Ft!E$7)/(1+Ft!E$39*($A368-Ft!E$2)^2)+Ft!E$7*EXP(Ft!E$40*($A368-Ft!E$2)^2)))</f>
        <v>14.436695050627335</v>
      </c>
      <c r="J368" s="3">
        <f>IF(($A368-Ft!F$2)&lt;0,Ft!F$3*((1-Ft!F$6)/(1+Ft!F$37*($A368-Ft!F$2)^2)+Ft!F$6*EXP(Ft!F$38*($A368-Ft!F$2)^2)),Ft!F$3*((1-Ft!F$7)/(1+Ft!F$39*($A368-Ft!F$2)^2)+Ft!F$7*EXP(Ft!F$40*($A368-Ft!F$2)^2)))</f>
        <v>8.3932028646096549E-17</v>
      </c>
      <c r="K368" s="3">
        <f>IF(($A368-Ft!G$2)&lt;0,Ft!G$3*((1-Ft!G$6)/(1+Ft!G$37*($A368-Ft!G$2)^2)+Ft!G$6*EXP(Ft!G$38*($A368-Ft!G$2)^2)),Ft!G$3*((1-Ft!G$7)/(1+Ft!G$39*($A368-Ft!G$2)^2)+Ft!G$7*EXP(Ft!G$40*($A368-Ft!G$2)^2)))</f>
        <v>0</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v>734</v>
      </c>
      <c r="B369">
        <v>17.651033298717991</v>
      </c>
      <c r="C369" s="6">
        <f t="shared" si="11"/>
        <v>17.269852803895962</v>
      </c>
      <c r="D369" s="19">
        <f t="shared" si="12"/>
        <v>0.14529856963276702</v>
      </c>
      <c r="E369" s="3">
        <f>Ft!$B$12+Ft!$B$14*(Data!A369-Vars!$B$3)</f>
        <v>0</v>
      </c>
      <c r="F369" s="3">
        <f>IF(($A369-Ft!B$2)&lt;0,Ft!B$3*((1-Ft!B$6)/(1+Ft!B$37*($A369-Ft!B$2)^2)+Ft!B$6*EXP(Ft!B$38*($A369-Ft!B$2)^2)),Ft!B$3*((1-Ft!B$7)/(1+Ft!B$39*($A369-Ft!B$2)^2)+Ft!B$7*EXP(Ft!B$40*($A369-Ft!B$2)^2)))</f>
        <v>9.9317756139277723E-259</v>
      </c>
      <c r="G369" s="3">
        <f>IF(($A369-Ft!C$2)&lt;0,Ft!C$3*((1-Ft!C$6)/(1+Ft!C$37*($A369-Ft!C$2)^2)+Ft!C$6*EXP(Ft!C$38*($A369-Ft!C$2)^2)),Ft!C$3*((1-Ft!C$7)/(1+Ft!C$39*($A369-Ft!C$2)^2)+Ft!C$7*EXP(Ft!C$40*($A369-Ft!C$2)^2)))</f>
        <v>1.1977953068866023E-11</v>
      </c>
      <c r="H369" s="3">
        <f>IF(($A369-Ft!D$2)&lt;0,Ft!D$3*((1-Ft!D$6)/(1+Ft!D$37*($A369-Ft!D$2)^2)+Ft!D$6*EXP(Ft!D$38*($A369-Ft!D$2)^2)),Ft!D$3*((1-Ft!D$7)/(1+Ft!D$39*($A369-Ft!D$2)^2)+Ft!D$7*EXP(Ft!D$40*($A369-Ft!D$2)^2)))</f>
        <v>2.7479341588116832</v>
      </c>
      <c r="I369" s="3">
        <f>IF(($A369-Ft!E$2)&lt;0,Ft!E$3*((1-Ft!E$6)/(1+Ft!E$37*($A369-Ft!E$2)^2)+Ft!E$6*EXP(Ft!E$38*($A369-Ft!E$2)^2)),Ft!E$3*((1-Ft!E$7)/(1+Ft!E$39*($A369-Ft!E$2)^2)+Ft!E$7*EXP(Ft!E$40*($A369-Ft!E$2)^2)))</f>
        <v>14.521918645072299</v>
      </c>
      <c r="J369" s="3">
        <f>IF(($A369-Ft!F$2)&lt;0,Ft!F$3*((1-Ft!F$6)/(1+Ft!F$37*($A369-Ft!F$2)^2)+Ft!F$6*EXP(Ft!F$38*($A369-Ft!F$2)^2)),Ft!F$3*((1-Ft!F$7)/(1+Ft!F$39*($A369-Ft!F$2)^2)+Ft!F$7*EXP(Ft!F$40*($A369-Ft!F$2)^2)))</f>
        <v>1.4094018070168879E-16</v>
      </c>
      <c r="K369" s="3">
        <f>IF(($A369-Ft!G$2)&lt;0,Ft!G$3*((1-Ft!G$6)/(1+Ft!G$37*($A369-Ft!G$2)^2)+Ft!G$6*EXP(Ft!G$38*($A369-Ft!G$2)^2)),Ft!G$3*((1-Ft!G$7)/(1+Ft!G$39*($A369-Ft!G$2)^2)+Ft!G$7*EXP(Ft!G$40*($A369-Ft!G$2)^2)))</f>
        <v>0</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v>736</v>
      </c>
      <c r="B370">
        <v>17.651966957066989</v>
      </c>
      <c r="C370" s="6">
        <f t="shared" si="11"/>
        <v>17.28495882236448</v>
      </c>
      <c r="D370" s="19">
        <f t="shared" si="12"/>
        <v>0.13469497093781493</v>
      </c>
      <c r="E370" s="3">
        <f>Ft!$B$12+Ft!$B$14*(Data!A370-Vars!$B$3)</f>
        <v>0</v>
      </c>
      <c r="F370" s="3">
        <f>IF(($A370-Ft!B$2)&lt;0,Ft!B$3*((1-Ft!B$6)/(1+Ft!B$37*($A370-Ft!B$2)^2)+Ft!B$6*EXP(Ft!B$38*($A370-Ft!B$2)^2)),Ft!B$3*((1-Ft!B$7)/(1+Ft!B$39*($A370-Ft!B$2)^2)+Ft!B$7*EXP(Ft!B$40*($A370-Ft!B$2)^2)))</f>
        <v>3.1109492875456414E-260</v>
      </c>
      <c r="G370" s="3">
        <f>IF(($A370-Ft!C$2)&lt;0,Ft!C$3*((1-Ft!C$6)/(1+Ft!C$37*($A370-Ft!C$2)^2)+Ft!C$6*EXP(Ft!C$38*($A370-Ft!C$2)^2)),Ft!C$3*((1-Ft!C$7)/(1+Ft!C$39*($A370-Ft!C$2)^2)+Ft!C$7*EXP(Ft!C$40*($A370-Ft!C$2)^2)))</f>
        <v>9.9557912300653179E-12</v>
      </c>
      <c r="H370" s="3">
        <f>IF(($A370-Ft!D$2)&lt;0,Ft!D$3*((1-Ft!D$6)/(1+Ft!D$37*($A370-Ft!D$2)^2)+Ft!D$6*EXP(Ft!D$38*($A370-Ft!D$2)^2)),Ft!D$3*((1-Ft!D$7)/(1+Ft!D$39*($A370-Ft!D$2)^2)+Ft!D$7*EXP(Ft!D$40*($A370-Ft!D$2)^2)))</f>
        <v>2.6793840362683867</v>
      </c>
      <c r="I370" s="3">
        <f>IF(($A370-Ft!E$2)&lt;0,Ft!E$3*((1-Ft!E$6)/(1+Ft!E$37*($A370-Ft!E$2)^2)+Ft!E$6*EXP(Ft!E$38*($A370-Ft!E$2)^2)),Ft!E$3*((1-Ft!E$7)/(1+Ft!E$39*($A370-Ft!E$2)^2)+Ft!E$7*EXP(Ft!E$40*($A370-Ft!E$2)^2)))</f>
        <v>14.605574786086139</v>
      </c>
      <c r="J370" s="3">
        <f>IF(($A370-Ft!F$2)&lt;0,Ft!F$3*((1-Ft!F$6)/(1+Ft!F$37*($A370-Ft!F$2)^2)+Ft!F$6*EXP(Ft!F$38*($A370-Ft!F$2)^2)),Ft!F$3*((1-Ft!F$7)/(1+Ft!F$39*($A370-Ft!F$2)^2)+Ft!F$7*EXP(Ft!F$40*($A370-Ft!F$2)^2)))</f>
        <v>2.3584849520961356E-16</v>
      </c>
      <c r="K370" s="3">
        <f>IF(($A370-Ft!G$2)&lt;0,Ft!G$3*((1-Ft!G$6)/(1+Ft!G$37*($A370-Ft!G$2)^2)+Ft!G$6*EXP(Ft!G$38*($A370-Ft!G$2)^2)),Ft!G$3*((1-Ft!G$7)/(1+Ft!G$39*($A370-Ft!G$2)^2)+Ft!G$7*EXP(Ft!G$40*($A370-Ft!G$2)^2)))</f>
        <v>0</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v>738</v>
      </c>
      <c r="B371">
        <v>17.652418602628998</v>
      </c>
      <c r="C371" s="6">
        <f t="shared" si="11"/>
        <v>17.299730182231368</v>
      </c>
      <c r="D371" s="19">
        <f t="shared" si="12"/>
        <v>0.1243891218825755</v>
      </c>
      <c r="E371" s="3">
        <f>Ft!$B$12+Ft!$B$14*(Data!A371-Vars!$B$3)</f>
        <v>0</v>
      </c>
      <c r="F371" s="3">
        <f>IF(($A371-Ft!B$2)&lt;0,Ft!B$3*((1-Ft!B$6)/(1+Ft!B$37*($A371-Ft!B$2)^2)+Ft!B$6*EXP(Ft!B$38*($A371-Ft!B$2)^2)),Ft!B$3*((1-Ft!B$7)/(1+Ft!B$39*($A371-Ft!B$2)^2)+Ft!B$7*EXP(Ft!B$40*($A371-Ft!B$2)^2)))</f>
        <v>9.6470751333135066E-262</v>
      </c>
      <c r="G371" s="3">
        <f>IF(($A371-Ft!C$2)&lt;0,Ft!C$3*((1-Ft!C$6)/(1+Ft!C$37*($A371-Ft!C$2)^2)+Ft!C$6*EXP(Ft!C$38*($A371-Ft!C$2)^2)),Ft!C$3*((1-Ft!C$7)/(1+Ft!C$39*($A371-Ft!C$2)^2)+Ft!C$7*EXP(Ft!C$40*($A371-Ft!C$2)^2)))</f>
        <v>8.2698749831654979E-12</v>
      </c>
      <c r="H371" s="3">
        <f>IF(($A371-Ft!D$2)&lt;0,Ft!D$3*((1-Ft!D$6)/(1+Ft!D$37*($A371-Ft!D$2)^2)+Ft!D$6*EXP(Ft!D$38*($A371-Ft!D$2)^2)),Ft!D$3*((1-Ft!D$7)/(1+Ft!D$39*($A371-Ft!D$2)^2)+Ft!D$7*EXP(Ft!D$40*($A371-Ft!D$2)^2)))</f>
        <v>2.6120995220267411</v>
      </c>
      <c r="I371" s="3">
        <f>IF(($A371-Ft!E$2)&lt;0,Ft!E$3*((1-Ft!E$6)/(1+Ft!E$37*($A371-Ft!E$2)^2)+Ft!E$6*EXP(Ft!E$38*($A371-Ft!E$2)^2)),Ft!E$3*((1-Ft!E$7)/(1+Ft!E$39*($A371-Ft!E$2)^2)+Ft!E$7*EXP(Ft!E$40*($A371-Ft!E$2)^2)))</f>
        <v>14.687630660196357</v>
      </c>
      <c r="J371" s="3">
        <f>IF(($A371-Ft!F$2)&lt;0,Ft!F$3*((1-Ft!F$6)/(1+Ft!F$37*($A371-Ft!F$2)^2)+Ft!F$6*EXP(Ft!F$38*($A371-Ft!F$2)^2)),Ft!F$3*((1-Ft!F$7)/(1+Ft!F$39*($A371-Ft!F$2)^2)+Ft!F$7*EXP(Ft!F$40*($A371-Ft!F$2)^2)))</f>
        <v>3.932987600374864E-16</v>
      </c>
      <c r="K371" s="3">
        <f>IF(($A371-Ft!G$2)&lt;0,Ft!G$3*((1-Ft!G$6)/(1+Ft!G$37*($A371-Ft!G$2)^2)+Ft!G$6*EXP(Ft!G$38*($A371-Ft!G$2)^2)),Ft!G$3*((1-Ft!G$7)/(1+Ft!G$39*($A371-Ft!G$2)^2)+Ft!G$7*EXP(Ft!G$40*($A371-Ft!G$2)^2)))</f>
        <v>0</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v>740</v>
      </c>
      <c r="B372">
        <v>17.652998218130989</v>
      </c>
      <c r="C372" s="6">
        <f t="shared" si="11"/>
        <v>17.314125389373377</v>
      </c>
      <c r="D372" s="19">
        <f t="shared" si="12"/>
        <v>0.11483479407018593</v>
      </c>
      <c r="E372" s="3">
        <f>Ft!$B$12+Ft!$B$14*(Data!A372-Vars!$B$3)</f>
        <v>0</v>
      </c>
      <c r="F372" s="3">
        <f>IF(($A372-Ft!B$2)&lt;0,Ft!B$3*((1-Ft!B$6)/(1+Ft!B$37*($A372-Ft!B$2)^2)+Ft!B$6*EXP(Ft!B$38*($A372-Ft!B$2)^2)),Ft!B$3*((1-Ft!B$7)/(1+Ft!B$39*($A372-Ft!B$2)^2)+Ft!B$7*EXP(Ft!B$40*($A372-Ft!B$2)^2)))</f>
        <v>2.9616592304291518E-263</v>
      </c>
      <c r="G372" s="3">
        <f>IF(($A372-Ft!C$2)&lt;0,Ft!C$3*((1-Ft!C$6)/(1+Ft!C$37*($A372-Ft!C$2)^2)+Ft!C$6*EXP(Ft!C$38*($A372-Ft!C$2)^2)),Ft!C$3*((1-Ft!C$7)/(1+Ft!C$39*($A372-Ft!C$2)^2)+Ft!C$7*EXP(Ft!C$40*($A372-Ft!C$2)^2)))</f>
        <v>6.8651826626419975E-12</v>
      </c>
      <c r="H372" s="3">
        <f>IF(($A372-Ft!D$2)&lt;0,Ft!D$3*((1-Ft!D$6)/(1+Ft!D$37*($A372-Ft!D$2)^2)+Ft!D$6*EXP(Ft!D$38*($A372-Ft!D$2)^2)),Ft!D$3*((1-Ft!D$7)/(1+Ft!D$39*($A372-Ft!D$2)^2)+Ft!D$7*EXP(Ft!D$40*($A372-Ft!D$2)^2)))</f>
        <v>2.5460714397063131</v>
      </c>
      <c r="I372" s="3">
        <f>IF(($A372-Ft!E$2)&lt;0,Ft!E$3*((1-Ft!E$6)/(1+Ft!E$37*($A372-Ft!E$2)^2)+Ft!E$6*EXP(Ft!E$38*($A372-Ft!E$2)^2)),Ft!E$3*((1-Ft!E$7)/(1+Ft!E$39*($A372-Ft!E$2)^2)+Ft!E$7*EXP(Ft!E$40*($A372-Ft!E$2)^2)))</f>
        <v>14.768053949660199</v>
      </c>
      <c r="J372" s="3">
        <f>IF(($A372-Ft!F$2)&lt;0,Ft!F$3*((1-Ft!F$6)/(1+Ft!F$37*($A372-Ft!F$2)^2)+Ft!F$6*EXP(Ft!F$38*($A372-Ft!F$2)^2)),Ft!F$3*((1-Ft!F$7)/(1+Ft!F$39*($A372-Ft!F$2)^2)+Ft!F$7*EXP(Ft!F$40*($A372-Ft!F$2)^2)))</f>
        <v>6.5358673097831239E-16</v>
      </c>
      <c r="K372" s="3">
        <f>IF(($A372-Ft!G$2)&lt;0,Ft!G$3*((1-Ft!G$6)/(1+Ft!G$37*($A372-Ft!G$2)^2)+Ft!G$6*EXP(Ft!G$38*($A372-Ft!G$2)^2)),Ft!G$3*((1-Ft!G$7)/(1+Ft!G$39*($A372-Ft!G$2)^2)+Ft!G$7*EXP(Ft!G$40*($A372-Ft!G$2)^2)))</f>
        <v>0</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v>742</v>
      </c>
      <c r="B373">
        <v>17.654315786304991</v>
      </c>
      <c r="C373" s="6">
        <f t="shared" si="11"/>
        <v>17.328103064630941</v>
      </c>
      <c r="D373" s="19">
        <f t="shared" si="12"/>
        <v>0.10641473978199137</v>
      </c>
      <c r="E373" s="3">
        <f>Ft!$B$12+Ft!$B$14*(Data!A373-Vars!$B$3)</f>
        <v>0</v>
      </c>
      <c r="F373" s="3">
        <f>IF(($A373-Ft!B$2)&lt;0,Ft!B$3*((1-Ft!B$6)/(1+Ft!B$37*($A373-Ft!B$2)^2)+Ft!B$6*EXP(Ft!B$38*($A373-Ft!B$2)^2)),Ft!B$3*((1-Ft!B$7)/(1+Ft!B$39*($A373-Ft!B$2)^2)+Ft!B$7*EXP(Ft!B$40*($A373-Ft!B$2)^2)))</f>
        <v>9.0014238090758739E-265</v>
      </c>
      <c r="G373" s="3">
        <f>IF(($A373-Ft!C$2)&lt;0,Ft!C$3*((1-Ft!C$6)/(1+Ft!C$37*($A373-Ft!C$2)^2)+Ft!C$6*EXP(Ft!C$38*($A373-Ft!C$2)^2)),Ft!C$3*((1-Ft!C$7)/(1+Ft!C$39*($A373-Ft!C$2)^2)+Ft!C$7*EXP(Ft!C$40*($A373-Ft!C$2)^2)))</f>
        <v>5.6955443662425285E-12</v>
      </c>
      <c r="H373" s="3">
        <f>IF(($A373-Ft!D$2)&lt;0,Ft!D$3*((1-Ft!D$6)/(1+Ft!D$37*($A373-Ft!D$2)^2)+Ft!D$6*EXP(Ft!D$38*($A373-Ft!D$2)^2)),Ft!D$3*((1-Ft!D$7)/(1+Ft!D$39*($A373-Ft!D$2)^2)+Ft!D$7*EXP(Ft!D$40*($A373-Ft!D$2)^2)))</f>
        <v>2.4812902110014572</v>
      </c>
      <c r="I373" s="3">
        <f>IF(($A373-Ft!E$2)&lt;0,Ft!E$3*((1-Ft!E$6)/(1+Ft!E$37*($A373-Ft!E$2)^2)+Ft!E$6*EXP(Ft!E$38*($A373-Ft!E$2)^2)),Ft!E$3*((1-Ft!E$7)/(1+Ft!E$39*($A373-Ft!E$2)^2)+Ft!E$7*EXP(Ft!E$40*($A373-Ft!E$2)^2)))</f>
        <v>14.846812853623788</v>
      </c>
      <c r="J373" s="3">
        <f>IF(($A373-Ft!F$2)&lt;0,Ft!F$3*((1-Ft!F$6)/(1+Ft!F$37*($A373-Ft!F$2)^2)+Ft!F$6*EXP(Ft!F$38*($A373-Ft!F$2)^2)),Ft!F$3*((1-Ft!F$7)/(1+Ft!F$39*($A373-Ft!F$2)^2)+Ft!F$7*EXP(Ft!F$40*($A373-Ft!F$2)^2)))</f>
        <v>1.0823682840976407E-15</v>
      </c>
      <c r="K373" s="3">
        <f>IF(($A373-Ft!G$2)&lt;0,Ft!G$3*((1-Ft!G$6)/(1+Ft!G$37*($A373-Ft!G$2)^2)+Ft!G$6*EXP(Ft!G$38*($A373-Ft!G$2)^2)),Ft!G$3*((1-Ft!G$7)/(1+Ft!G$39*($A373-Ft!G$2)^2)+Ft!G$7*EXP(Ft!G$40*($A373-Ft!G$2)^2)))</f>
        <v>0</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v>744</v>
      </c>
      <c r="B374">
        <v>17.654360066465998</v>
      </c>
      <c r="C374" s="6">
        <f t="shared" si="11"/>
        <v>17.341621981311391</v>
      </c>
      <c r="D374" s="19">
        <f t="shared" si="12"/>
        <v>9.7805109906169863E-2</v>
      </c>
      <c r="E374" s="3">
        <f>Ft!$B$12+Ft!$B$14*(Data!A374-Vars!$B$3)</f>
        <v>0</v>
      </c>
      <c r="F374" s="3">
        <f>IF(($A374-Ft!B$2)&lt;0,Ft!B$3*((1-Ft!B$6)/(1+Ft!B$37*($A374-Ft!B$2)^2)+Ft!B$6*EXP(Ft!B$38*($A374-Ft!B$2)^2)),Ft!B$3*((1-Ft!B$7)/(1+Ft!B$39*($A374-Ft!B$2)^2)+Ft!B$7*EXP(Ft!B$40*($A374-Ft!B$2)^2)))</f>
        <v>2.708469999432537E-266</v>
      </c>
      <c r="G374" s="3">
        <f>IF(($A374-Ft!C$2)&lt;0,Ft!C$3*((1-Ft!C$6)/(1+Ft!C$37*($A374-Ft!C$2)^2)+Ft!C$6*EXP(Ft!C$38*($A374-Ft!C$2)^2)),Ft!C$3*((1-Ft!C$7)/(1+Ft!C$39*($A374-Ft!C$2)^2)+Ft!C$7*EXP(Ft!C$40*($A374-Ft!C$2)^2)))</f>
        <v>4.7222434272429554E-12</v>
      </c>
      <c r="H374" s="3">
        <f>IF(($A374-Ft!D$2)&lt;0,Ft!D$3*((1-Ft!D$6)/(1+Ft!D$37*($A374-Ft!D$2)^2)+Ft!D$6*EXP(Ft!D$38*($A374-Ft!D$2)^2)),Ft!D$3*((1-Ft!D$7)/(1+Ft!D$39*($A374-Ft!D$2)^2)+Ft!D$7*EXP(Ft!D$40*($A374-Ft!D$2)^2)))</f>
        <v>2.417745872275384</v>
      </c>
      <c r="I374" s="3">
        <f>IF(($A374-Ft!E$2)&lt;0,Ft!E$3*((1-Ft!E$6)/(1+Ft!E$37*($A374-Ft!E$2)^2)+Ft!E$6*EXP(Ft!E$38*($A374-Ft!E$2)^2)),Ft!E$3*((1-Ft!E$7)/(1+Ft!E$39*($A374-Ft!E$2)^2)+Ft!E$7*EXP(Ft!E$40*($A374-Ft!E$2)^2)))</f>
        <v>14.923876109031282</v>
      </c>
      <c r="J374" s="3">
        <f>IF(($A374-Ft!F$2)&lt;0,Ft!F$3*((1-Ft!F$6)/(1+Ft!F$37*($A374-Ft!F$2)^2)+Ft!F$6*EXP(Ft!F$38*($A374-Ft!F$2)^2)),Ft!F$3*((1-Ft!F$7)/(1+Ft!F$39*($A374-Ft!F$2)^2)+Ft!F$7*EXP(Ft!F$40*($A374-Ft!F$2)^2)))</f>
        <v>1.7862328461409478E-15</v>
      </c>
      <c r="K374" s="3">
        <f>IF(($A374-Ft!G$2)&lt;0,Ft!G$3*((1-Ft!G$6)/(1+Ft!G$37*($A374-Ft!G$2)^2)+Ft!G$6*EXP(Ft!G$38*($A374-Ft!G$2)^2)),Ft!G$3*((1-Ft!G$7)/(1+Ft!G$39*($A374-Ft!G$2)^2)+Ft!G$7*EXP(Ft!G$40*($A374-Ft!G$2)^2)))</f>
        <v>0</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v>746</v>
      </c>
      <c r="B375">
        <v>17.65110653178499</v>
      </c>
      <c r="C375" s="6">
        <f t="shared" si="11"/>
        <v>17.3546411023258</v>
      </c>
      <c r="D375" s="19">
        <f t="shared" si="12"/>
        <v>8.7891750864421678E-2</v>
      </c>
      <c r="E375" s="3">
        <f>Ft!$B$12+Ft!$B$14*(Data!A375-Vars!$B$3)</f>
        <v>0</v>
      </c>
      <c r="F375" s="3">
        <f>IF(($A375-Ft!B$2)&lt;0,Ft!B$3*((1-Ft!B$6)/(1+Ft!B$37*($A375-Ft!B$2)^2)+Ft!B$6*EXP(Ft!B$38*($A375-Ft!B$2)^2)),Ft!B$3*((1-Ft!B$7)/(1+Ft!B$39*($A375-Ft!B$2)^2)+Ft!B$7*EXP(Ft!B$40*($A375-Ft!B$2)^2)))</f>
        <v>8.068142234578569E-268</v>
      </c>
      <c r="G375" s="3">
        <f>IF(($A375-Ft!C$2)&lt;0,Ft!C$3*((1-Ft!C$6)/(1+Ft!C$37*($A375-Ft!C$2)^2)+Ft!C$6*EXP(Ft!C$38*($A375-Ft!C$2)^2)),Ft!C$3*((1-Ft!C$7)/(1+Ft!C$39*($A375-Ft!C$2)^2)+Ft!C$7*EXP(Ft!C$40*($A375-Ft!C$2)^2)))</f>
        <v>3.9128346148486536E-12</v>
      </c>
      <c r="H375" s="3">
        <f>IF(($A375-Ft!D$2)&lt;0,Ft!D$3*((1-Ft!D$6)/(1+Ft!D$37*($A375-Ft!D$2)^2)+Ft!D$6*EXP(Ft!D$38*($A375-Ft!D$2)^2)),Ft!D$3*((1-Ft!D$7)/(1+Ft!D$39*($A375-Ft!D$2)^2)+Ft!D$7*EXP(Ft!D$40*($A375-Ft!D$2)^2)))</f>
        <v>2.3554280910569894</v>
      </c>
      <c r="I375" s="3">
        <f>IF(($A375-Ft!E$2)&lt;0,Ft!E$3*((1-Ft!E$6)/(1+Ft!E$37*($A375-Ft!E$2)^2)+Ft!E$6*EXP(Ft!E$38*($A375-Ft!E$2)^2)),Ft!E$3*((1-Ft!E$7)/(1+Ft!E$39*($A375-Ft!E$2)^2)+Ft!E$7*EXP(Ft!E$40*($A375-Ft!E$2)^2)))</f>
        <v>14.999213011264894</v>
      </c>
      <c r="J375" s="3">
        <f>IF(($A375-Ft!F$2)&lt;0,Ft!F$3*((1-Ft!F$6)/(1+Ft!F$37*($A375-Ft!F$2)^2)+Ft!F$6*EXP(Ft!F$38*($A375-Ft!F$2)^2)),Ft!F$3*((1-Ft!F$7)/(1+Ft!F$39*($A375-Ft!F$2)^2)+Ft!F$7*EXP(Ft!F$40*($A375-Ft!F$2)^2)))</f>
        <v>2.9375973395057498E-15</v>
      </c>
      <c r="K375" s="3">
        <f>IF(($A375-Ft!G$2)&lt;0,Ft!G$3*((1-Ft!G$6)/(1+Ft!G$37*($A375-Ft!G$2)^2)+Ft!G$6*EXP(Ft!G$38*($A375-Ft!G$2)^2)),Ft!G$3*((1-Ft!G$7)/(1+Ft!G$39*($A375-Ft!G$2)^2)+Ft!G$7*EXP(Ft!G$40*($A375-Ft!G$2)^2)))</f>
        <v>0</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v>748</v>
      </c>
      <c r="B376">
        <v>17.645145235770997</v>
      </c>
      <c r="C376" s="6">
        <f t="shared" si="11"/>
        <v>17.367119616926225</v>
      </c>
      <c r="D376" s="19">
        <f t="shared" si="12"/>
        <v>7.7298244734018598E-2</v>
      </c>
      <c r="E376" s="3">
        <f>Ft!$B$12+Ft!$B$14*(Data!A376-Vars!$B$3)</f>
        <v>0</v>
      </c>
      <c r="F376" s="3">
        <f>IF(($A376-Ft!B$2)&lt;0,Ft!B$3*((1-Ft!B$6)/(1+Ft!B$37*($A376-Ft!B$2)^2)+Ft!B$6*EXP(Ft!B$38*($A376-Ft!B$2)^2)),Ft!B$3*((1-Ft!B$7)/(1+Ft!B$39*($A376-Ft!B$2)^2)+Ft!B$7*EXP(Ft!B$40*($A376-Ft!B$2)^2)))</f>
        <v>2.3793578236021444E-269</v>
      </c>
      <c r="G376" s="3">
        <f>IF(($A376-Ft!C$2)&lt;0,Ft!C$3*((1-Ft!C$6)/(1+Ft!C$37*($A376-Ft!C$2)^2)+Ft!C$6*EXP(Ft!C$38*($A376-Ft!C$2)^2)),Ft!C$3*((1-Ft!C$7)/(1+Ft!C$39*($A376-Ft!C$2)^2)+Ft!C$7*EXP(Ft!C$40*($A376-Ft!C$2)^2)))</f>
        <v>3.2401461673460137E-12</v>
      </c>
      <c r="H376" s="3">
        <f>IF(($A376-Ft!D$2)&lt;0,Ft!D$3*((1-Ft!D$6)/(1+Ft!D$37*($A376-Ft!D$2)^2)+Ft!D$6*EXP(Ft!D$38*($A376-Ft!D$2)^2)),Ft!D$3*((1-Ft!D$7)/(1+Ft!D$39*($A376-Ft!D$2)^2)+Ft!D$7*EXP(Ft!D$40*($A376-Ft!D$2)^2)))</f>
        <v>2.294326182426293</v>
      </c>
      <c r="I376" s="3">
        <f>IF(($A376-Ft!E$2)&lt;0,Ft!E$3*((1-Ft!E$6)/(1+Ft!E$37*($A376-Ft!E$2)^2)+Ft!E$6*EXP(Ft!E$38*($A376-Ft!E$2)^2)),Ft!E$3*((1-Ft!E$7)/(1+Ft!E$39*($A376-Ft!E$2)^2)+Ft!E$7*EXP(Ft!E$40*($A376-Ft!E$2)^2)))</f>
        <v>15.072793434496688</v>
      </c>
      <c r="J376" s="3">
        <f>IF(($A376-Ft!F$2)&lt;0,Ft!F$3*((1-Ft!F$6)/(1+Ft!F$37*($A376-Ft!F$2)^2)+Ft!F$6*EXP(Ft!F$38*($A376-Ft!F$2)^2)),Ft!F$3*((1-Ft!F$7)/(1+Ft!F$39*($A376-Ft!F$2)^2)+Ft!F$7*EXP(Ft!F$40*($A376-Ft!F$2)^2)))</f>
        <v>4.8143498130554333E-15</v>
      </c>
      <c r="K376" s="3">
        <f>IF(($A376-Ft!G$2)&lt;0,Ft!G$3*((1-Ft!G$6)/(1+Ft!G$37*($A376-Ft!G$2)^2)+Ft!G$6*EXP(Ft!G$38*($A376-Ft!G$2)^2)),Ft!G$3*((1-Ft!G$7)/(1+Ft!G$39*($A376-Ft!G$2)^2)+Ft!G$7*EXP(Ft!G$40*($A376-Ft!G$2)^2)))</f>
        <v>0</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v>750</v>
      </c>
      <c r="B377">
        <v>17.637066231934</v>
      </c>
      <c r="C377" s="6">
        <f t="shared" si="11"/>
        <v>17.379016977010888</v>
      </c>
      <c r="D377" s="19">
        <f t="shared" si="12"/>
        <v>6.6589417966373091E-2</v>
      </c>
      <c r="E377" s="3">
        <f>Ft!$B$12+Ft!$B$14*(Data!A377-Vars!$B$3)</f>
        <v>0</v>
      </c>
      <c r="F377" s="3">
        <f>IF(($A377-Ft!B$2)&lt;0,Ft!B$3*((1-Ft!B$6)/(1+Ft!B$37*($A377-Ft!B$2)^2)+Ft!B$6*EXP(Ft!B$38*($A377-Ft!B$2)^2)),Ft!B$3*((1-Ft!B$7)/(1+Ft!B$39*($A377-Ft!B$2)^2)+Ft!B$7*EXP(Ft!B$40*($A377-Ft!B$2)^2)))</f>
        <v>6.9467659833579953E-271</v>
      </c>
      <c r="G377" s="3">
        <f>IF(($A377-Ft!C$2)&lt;0,Ft!C$3*((1-Ft!C$6)/(1+Ft!C$37*($A377-Ft!C$2)^2)+Ft!C$6*EXP(Ft!C$38*($A377-Ft!C$2)^2)),Ft!C$3*((1-Ft!C$7)/(1+Ft!C$39*($A377-Ft!C$2)^2)+Ft!C$7*EXP(Ft!C$40*($A377-Ft!C$2)^2)))</f>
        <v>2.6814376445870571E-12</v>
      </c>
      <c r="H377" s="3">
        <f>IF(($A377-Ft!D$2)&lt;0,Ft!D$3*((1-Ft!D$6)/(1+Ft!D$37*($A377-Ft!D$2)^2)+Ft!D$6*EXP(Ft!D$38*($A377-Ft!D$2)^2)),Ft!D$3*((1-Ft!D$7)/(1+Ft!D$39*($A377-Ft!D$2)^2)+Ft!D$7*EXP(Ft!D$40*($A377-Ft!D$2)^2)))</f>
        <v>2.2344291252748367</v>
      </c>
      <c r="I377" s="3">
        <f>IF(($A377-Ft!E$2)&lt;0,Ft!E$3*((1-Ft!E$6)/(1+Ft!E$37*($A377-Ft!E$2)^2)+Ft!E$6*EXP(Ft!E$38*($A377-Ft!E$2)^2)),Ft!E$3*((1-Ft!E$7)/(1+Ft!E$39*($A377-Ft!E$2)^2)+Ft!E$7*EXP(Ft!E$40*($A377-Ft!E$2)^2)))</f>
        <v>15.144587851733363</v>
      </c>
      <c r="J377" s="3">
        <f>IF(($A377-Ft!F$2)&lt;0,Ft!F$3*((1-Ft!F$6)/(1+Ft!F$37*($A377-Ft!F$2)^2)+Ft!F$6*EXP(Ft!F$38*($A377-Ft!F$2)^2)),Ft!F$3*((1-Ft!F$7)/(1+Ft!F$39*($A377-Ft!F$2)^2)+Ft!F$7*EXP(Ft!F$40*($A377-Ft!F$2)^2)))</f>
        <v>7.8627451965379375E-15</v>
      </c>
      <c r="K377" s="3">
        <f>IF(($A377-Ft!G$2)&lt;0,Ft!G$3*((1-Ft!G$6)/(1+Ft!G$37*($A377-Ft!G$2)^2)+Ft!G$6*EXP(Ft!G$38*($A377-Ft!G$2)^2)),Ft!G$3*((1-Ft!G$7)/(1+Ft!G$39*($A377-Ft!G$2)^2)+Ft!G$7*EXP(Ft!G$40*($A377-Ft!G$2)^2)))</f>
        <v>0</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v>752</v>
      </c>
      <c r="B378">
        <v>17.627459573783</v>
      </c>
      <c r="C378" s="6">
        <f t="shared" si="11"/>
        <v>17.390292932965412</v>
      </c>
      <c r="D378" s="19">
        <f t="shared" si="12"/>
        <v>5.6248015516698634E-2</v>
      </c>
      <c r="E378" s="3">
        <f>Ft!$B$12+Ft!$B$14*(Data!A378-Vars!$B$3)</f>
        <v>0</v>
      </c>
      <c r="F378" s="3">
        <f>IF(($A378-Ft!B$2)&lt;0,Ft!B$3*((1-Ft!B$6)/(1+Ft!B$37*($A378-Ft!B$2)^2)+Ft!B$6*EXP(Ft!B$38*($A378-Ft!B$2)^2)),Ft!B$3*((1-Ft!B$7)/(1+Ft!B$39*($A378-Ft!B$2)^2)+Ft!B$7*EXP(Ft!B$40*($A378-Ft!B$2)^2)))</f>
        <v>2.0079009061268668E-272</v>
      </c>
      <c r="G378" s="3">
        <f>IF(($A378-Ft!C$2)&lt;0,Ft!C$3*((1-Ft!C$6)/(1+Ft!C$37*($A378-Ft!C$2)^2)+Ft!C$6*EXP(Ft!C$38*($A378-Ft!C$2)^2)),Ft!C$3*((1-Ft!C$7)/(1+Ft!C$39*($A378-Ft!C$2)^2)+Ft!C$7*EXP(Ft!C$40*($A378-Ft!C$2)^2)))</f>
        <v>2.2176897613595246E-12</v>
      </c>
      <c r="H378" s="3">
        <f>IF(($A378-Ft!D$2)&lt;0,Ft!D$3*((1-Ft!D$6)/(1+Ft!D$37*($A378-Ft!D$2)^2)+Ft!D$6*EXP(Ft!D$38*($A378-Ft!D$2)^2)),Ft!D$3*((1-Ft!D$7)/(1+Ft!D$39*($A378-Ft!D$2)^2)+Ft!D$7*EXP(Ft!D$40*($A378-Ft!D$2)^2)))</f>
        <v>2.1757255784278762</v>
      </c>
      <c r="I378" s="3">
        <f>IF(($A378-Ft!E$2)&lt;0,Ft!E$3*((1-Ft!E$6)/(1+Ft!E$37*($A378-Ft!E$2)^2)+Ft!E$6*EXP(Ft!E$38*($A378-Ft!E$2)^2)),Ft!E$3*((1-Ft!E$7)/(1+Ft!E$39*($A378-Ft!E$2)^2)+Ft!E$7*EXP(Ft!E$40*($A378-Ft!E$2)^2)))</f>
        <v>15.214567354535305</v>
      </c>
      <c r="J378" s="3">
        <f>IF(($A378-Ft!F$2)&lt;0,Ft!F$3*((1-Ft!F$6)/(1+Ft!F$37*($A378-Ft!F$2)^2)+Ft!F$6*EXP(Ft!F$38*($A378-Ft!F$2)^2)),Ft!F$3*((1-Ft!F$7)/(1+Ft!F$39*($A378-Ft!F$2)^2)+Ft!F$7*EXP(Ft!F$40*($A378-Ft!F$2)^2)))</f>
        <v>1.2796816507061541E-14</v>
      </c>
      <c r="K378" s="3">
        <f>IF(($A378-Ft!G$2)&lt;0,Ft!G$3*((1-Ft!G$6)/(1+Ft!G$37*($A378-Ft!G$2)^2)+Ft!G$6*EXP(Ft!G$38*($A378-Ft!G$2)^2)),Ft!G$3*((1-Ft!G$7)/(1+Ft!G$39*($A378-Ft!G$2)^2)+Ft!G$7*EXP(Ft!G$40*($A378-Ft!G$2)^2)))</f>
        <v>0</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v>754</v>
      </c>
      <c r="B379">
        <v>17.616915314827992</v>
      </c>
      <c r="C379" s="6">
        <f t="shared" si="11"/>
        <v>17.400907569009178</v>
      </c>
      <c r="D379" s="19">
        <f t="shared" si="12"/>
        <v>4.6659346253725399E-2</v>
      </c>
      <c r="E379" s="3">
        <f>Ft!$B$12+Ft!$B$14*(Data!A379-Vars!$B$3)</f>
        <v>0</v>
      </c>
      <c r="F379" s="3">
        <f>IF(($A379-Ft!B$2)&lt;0,Ft!B$3*((1-Ft!B$6)/(1+Ft!B$37*($A379-Ft!B$2)^2)+Ft!B$6*EXP(Ft!B$38*($A379-Ft!B$2)^2)),Ft!B$3*((1-Ft!B$7)/(1+Ft!B$39*($A379-Ft!B$2)^2)+Ft!B$7*EXP(Ft!B$40*($A379-Ft!B$2)^2)))</f>
        <v>5.7456422219693284E-274</v>
      </c>
      <c r="G379" s="3">
        <f>IF(($A379-Ft!C$2)&lt;0,Ft!C$3*((1-Ft!C$6)/(1+Ft!C$37*($A379-Ft!C$2)^2)+Ft!C$6*EXP(Ft!C$38*($A379-Ft!C$2)^2)),Ft!C$3*((1-Ft!C$7)/(1+Ft!C$39*($A379-Ft!C$2)^2)+Ft!C$7*EXP(Ft!C$40*($A379-Ft!C$2)^2)))</f>
        <v>1.8330059308262056E-12</v>
      </c>
      <c r="H379" s="3">
        <f>IF(($A379-Ft!D$2)&lt;0,Ft!D$3*((1-Ft!D$6)/(1+Ft!D$37*($A379-Ft!D$2)^2)+Ft!D$6*EXP(Ft!D$38*($A379-Ft!D$2)^2)),Ft!D$3*((1-Ft!D$7)/(1+Ft!D$39*($A379-Ft!D$2)^2)+Ft!D$7*EXP(Ft!D$40*($A379-Ft!D$2)^2)))</f>
        <v>2.1182038966157157</v>
      </c>
      <c r="I379" s="3">
        <f>IF(($A379-Ft!E$2)&lt;0,Ft!E$3*((1-Ft!E$6)/(1+Ft!E$37*($A379-Ft!E$2)^2)+Ft!E$6*EXP(Ft!E$38*($A379-Ft!E$2)^2)),Ft!E$3*((1-Ft!E$7)/(1+Ft!E$39*($A379-Ft!E$2)^2)+Ft!E$7*EXP(Ft!E$40*($A379-Ft!E$2)^2)))</f>
        <v>15.282703672391609</v>
      </c>
      <c r="J379" s="3">
        <f>IF(($A379-Ft!F$2)&lt;0,Ft!F$3*((1-Ft!F$6)/(1+Ft!F$37*($A379-Ft!F$2)^2)+Ft!F$6*EXP(Ft!F$38*($A379-Ft!F$2)^2)),Ft!F$3*((1-Ft!F$7)/(1+Ft!F$39*($A379-Ft!F$2)^2)+Ft!F$7*EXP(Ft!F$40*($A379-Ft!F$2)^2)))</f>
        <v>2.0754910514676927E-14</v>
      </c>
      <c r="K379" s="3">
        <f>IF(($A379-Ft!G$2)&lt;0,Ft!G$3*((1-Ft!G$6)/(1+Ft!G$37*($A379-Ft!G$2)^2)+Ft!G$6*EXP(Ft!G$38*($A379-Ft!G$2)^2)),Ft!G$3*((1-Ft!G$7)/(1+Ft!G$39*($A379-Ft!G$2)^2)+Ft!G$7*EXP(Ft!G$40*($A379-Ft!G$2)^2)))</f>
        <v>0</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v>756</v>
      </c>
      <c r="B380">
        <v>17.606023508576996</v>
      </c>
      <c r="C380" s="6">
        <f t="shared" si="11"/>
        <v>17.41082133801638</v>
      </c>
      <c r="D380" s="19">
        <f t="shared" si="12"/>
        <v>3.8103887391575976E-2</v>
      </c>
      <c r="E380" s="3">
        <f>Ft!$B$12+Ft!$B$14*(Data!A380-Vars!$B$3)</f>
        <v>0</v>
      </c>
      <c r="F380" s="3">
        <f>IF(($A380-Ft!B$2)&lt;0,Ft!B$3*((1-Ft!B$6)/(1+Ft!B$37*($A380-Ft!B$2)^2)+Ft!B$6*EXP(Ft!B$38*($A380-Ft!B$2)^2)),Ft!B$3*((1-Ft!B$7)/(1+Ft!B$39*($A380-Ft!B$2)^2)+Ft!B$7*EXP(Ft!B$40*($A380-Ft!B$2)^2)))</f>
        <v>1.6276895658759437E-275</v>
      </c>
      <c r="G380" s="3">
        <f>IF(($A380-Ft!C$2)&lt;0,Ft!C$3*((1-Ft!C$6)/(1+Ft!C$37*($A380-Ft!C$2)^2)+Ft!C$6*EXP(Ft!C$38*($A380-Ft!C$2)^2)),Ft!C$3*((1-Ft!C$7)/(1+Ft!C$39*($A380-Ft!C$2)^2)+Ft!C$7*EXP(Ft!C$40*($A380-Ft!C$2)^2)))</f>
        <v>1.5141082935435382E-12</v>
      </c>
      <c r="H380" s="3">
        <f>IF(($A380-Ft!D$2)&lt;0,Ft!D$3*((1-Ft!D$6)/(1+Ft!D$37*($A380-Ft!D$2)^2)+Ft!D$6*EXP(Ft!D$38*($A380-Ft!D$2)^2)),Ft!D$3*((1-Ft!D$7)/(1+Ft!D$39*($A380-Ft!D$2)^2)+Ft!D$7*EXP(Ft!D$40*($A380-Ft!D$2)^2)))</f>
        <v>2.0618521462820318</v>
      </c>
      <c r="I380" s="3">
        <f>IF(($A380-Ft!E$2)&lt;0,Ft!E$3*((1-Ft!E$6)/(1+Ft!E$37*($A380-Ft!E$2)^2)+Ft!E$6*EXP(Ft!E$38*($A380-Ft!E$2)^2)),Ft!E$3*((1-Ft!E$7)/(1+Ft!E$39*($A380-Ft!E$2)^2)+Ft!E$7*EXP(Ft!E$40*($A380-Ft!E$2)^2)))</f>
        <v>15.348969191732802</v>
      </c>
      <c r="J380" s="3">
        <f>IF(($A380-Ft!F$2)&lt;0,Ft!F$3*((1-Ft!F$6)/(1+Ft!F$37*($A380-Ft!F$2)^2)+Ft!F$6*EXP(Ft!F$38*($A380-Ft!F$2)^2)),Ft!F$3*((1-Ft!F$7)/(1+Ft!F$39*($A380-Ft!F$2)^2)+Ft!F$7*EXP(Ft!F$40*($A380-Ft!F$2)^2)))</f>
        <v>3.3545245122357511E-14</v>
      </c>
      <c r="K380" s="3">
        <f>IF(($A380-Ft!G$2)&lt;0,Ft!G$3*((1-Ft!G$6)/(1+Ft!G$37*($A380-Ft!G$2)^2)+Ft!G$6*EXP(Ft!G$38*($A380-Ft!G$2)^2)),Ft!G$3*((1-Ft!G$7)/(1+Ft!G$39*($A380-Ft!G$2)^2)+Ft!G$7*EXP(Ft!G$40*($A380-Ft!G$2)^2)))</f>
        <v>0</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v>758</v>
      </c>
      <c r="B381">
        <v>17.595374208540989</v>
      </c>
      <c r="C381" s="6">
        <f t="shared" si="11"/>
        <v>17.419995095782333</v>
      </c>
      <c r="D381" s="19">
        <f t="shared" si="12"/>
        <v>3.0757833192013116E-2</v>
      </c>
      <c r="E381" s="3">
        <f>Ft!$B$12+Ft!$B$14*(Data!A381-Vars!$B$3)</f>
        <v>0</v>
      </c>
      <c r="F381" s="3">
        <f>IF(($A381-Ft!B$2)&lt;0,Ft!B$3*((1-Ft!B$6)/(1+Ft!B$37*($A381-Ft!B$2)^2)+Ft!B$6*EXP(Ft!B$38*($A381-Ft!B$2)^2)),Ft!B$3*((1-Ft!B$7)/(1+Ft!B$39*($A381-Ft!B$2)^2)+Ft!B$7*EXP(Ft!B$40*($A381-Ft!B$2)^2)))</f>
        <v>4.565005199732081E-277</v>
      </c>
      <c r="G381" s="3">
        <f>IF(($A381-Ft!C$2)&lt;0,Ft!C$3*((1-Ft!C$6)/(1+Ft!C$37*($A381-Ft!C$2)^2)+Ft!C$6*EXP(Ft!C$38*($A381-Ft!C$2)^2)),Ft!C$3*((1-Ft!C$7)/(1+Ft!C$39*($A381-Ft!C$2)^2)+Ft!C$7*EXP(Ft!C$40*($A381-Ft!C$2)^2)))</f>
        <v>1.2499136067924194E-12</v>
      </c>
      <c r="H381" s="3">
        <f>IF(($A381-Ft!D$2)&lt;0,Ft!D$3*((1-Ft!D$6)/(1+Ft!D$37*($A381-Ft!D$2)^2)+Ft!D$6*EXP(Ft!D$38*($A381-Ft!D$2)^2)),Ft!D$3*((1-Ft!D$7)/(1+Ft!D$39*($A381-Ft!D$2)^2)+Ft!D$7*EXP(Ft!D$40*($A381-Ft!D$2)^2)))</f>
        <v>2.0066581212175576</v>
      </c>
      <c r="I381" s="3">
        <f>IF(($A381-Ft!E$2)&lt;0,Ft!E$3*((1-Ft!E$6)/(1+Ft!E$37*($A381-Ft!E$2)^2)+Ft!E$6*EXP(Ft!E$38*($A381-Ft!E$2)^2)),Ft!E$3*((1-Ft!E$7)/(1+Ft!E$39*($A381-Ft!E$2)^2)+Ft!E$7*EXP(Ft!E$40*($A381-Ft!E$2)^2)))</f>
        <v>15.413336974563471</v>
      </c>
      <c r="J381" s="3">
        <f>IF(($A381-Ft!F$2)&lt;0,Ft!F$3*((1-Ft!F$6)/(1+Ft!F$37*($A381-Ft!F$2)^2)+Ft!F$6*EXP(Ft!F$38*($A381-Ft!F$2)^2)),Ft!F$3*((1-Ft!F$7)/(1+Ft!F$39*($A381-Ft!F$2)^2)+Ft!F$7*EXP(Ft!F$40*($A381-Ft!F$2)^2)))</f>
        <v>5.4029662667804925E-14</v>
      </c>
      <c r="K381" s="3">
        <f>IF(($A381-Ft!G$2)&lt;0,Ft!G$3*((1-Ft!G$6)/(1+Ft!G$37*($A381-Ft!G$2)^2)+Ft!G$6*EXP(Ft!G$38*($A381-Ft!G$2)^2)),Ft!G$3*((1-Ft!G$7)/(1+Ft!G$39*($A381-Ft!G$2)^2)+Ft!G$7*EXP(Ft!G$40*($A381-Ft!G$2)^2)))</f>
        <v>0</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v>760</v>
      </c>
      <c r="B382">
        <v>17.585493104712</v>
      </c>
      <c r="C382" s="6">
        <f t="shared" si="11"/>
        <v>17.42839013470628</v>
      </c>
      <c r="D382" s="19">
        <f t="shared" si="12"/>
        <v>2.4681343184618242E-2</v>
      </c>
      <c r="E382" s="3">
        <f>Ft!$B$12+Ft!$B$14*(Data!A382-Vars!$B$3)</f>
        <v>0</v>
      </c>
      <c r="F382" s="3">
        <f>IF(($A382-Ft!B$2)&lt;0,Ft!B$3*((1-Ft!B$6)/(1+Ft!B$37*($A382-Ft!B$2)^2)+Ft!B$6*EXP(Ft!B$38*($A382-Ft!B$2)^2)),Ft!B$3*((1-Ft!B$7)/(1+Ft!B$39*($A382-Ft!B$2)^2)+Ft!B$7*EXP(Ft!B$40*($A382-Ft!B$2)^2)))</f>
        <v>1.2674991313763894E-278</v>
      </c>
      <c r="G382" s="3">
        <f>IF(($A382-Ft!C$2)&lt;0,Ft!C$3*((1-Ft!C$6)/(1+Ft!C$37*($A382-Ft!C$2)^2)+Ft!C$6*EXP(Ft!C$38*($A382-Ft!C$2)^2)),Ft!C$3*((1-Ft!C$7)/(1+Ft!C$39*($A382-Ft!C$2)^2)+Ft!C$7*EXP(Ft!C$40*($A382-Ft!C$2)^2)))</f>
        <v>1.0311765850144573E-12</v>
      </c>
      <c r="H382" s="3">
        <f>IF(($A382-Ft!D$2)&lt;0,Ft!D$3*((1-Ft!D$6)/(1+Ft!D$37*($A382-Ft!D$2)^2)+Ft!D$6*EXP(Ft!D$38*($A382-Ft!D$2)^2)),Ft!D$3*((1-Ft!D$7)/(1+Ft!D$39*($A382-Ft!D$2)^2)+Ft!D$7*EXP(Ft!D$40*($A382-Ft!D$2)^2)))</f>
        <v>1.9526093580079869</v>
      </c>
      <c r="I382" s="3">
        <f>IF(($A382-Ft!E$2)&lt;0,Ft!E$3*((1-Ft!E$6)/(1+Ft!E$37*($A382-Ft!E$2)^2)+Ft!E$6*EXP(Ft!E$38*($A382-Ft!E$2)^2)),Ft!E$3*((1-Ft!E$7)/(1+Ft!E$39*($A382-Ft!E$2)^2)+Ft!E$7*EXP(Ft!E$40*($A382-Ft!E$2)^2)))</f>
        <v>15.475780776697178</v>
      </c>
      <c r="J382" s="3">
        <f>IF(($A382-Ft!F$2)&lt;0,Ft!F$3*((1-Ft!F$6)/(1+Ft!F$37*($A382-Ft!F$2)^2)+Ft!F$6*EXP(Ft!F$38*($A382-Ft!F$2)^2)),Ft!F$3*((1-Ft!F$7)/(1+Ft!F$39*($A382-Ft!F$2)^2)+Ft!F$7*EXP(Ft!F$40*($A382-Ft!F$2)^2)))</f>
        <v>8.672108927612937E-14</v>
      </c>
      <c r="K382" s="3">
        <f>IF(($A382-Ft!G$2)&lt;0,Ft!G$3*((1-Ft!G$6)/(1+Ft!G$37*($A382-Ft!G$2)^2)+Ft!G$6*EXP(Ft!G$38*($A382-Ft!G$2)^2)),Ft!G$3*((1-Ft!G$7)/(1+Ft!G$39*($A382-Ft!G$2)^2)+Ft!G$7*EXP(Ft!G$40*($A382-Ft!G$2)^2)))</f>
        <v>0</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v>762</v>
      </c>
      <c r="B383">
        <v>17.576275099480995</v>
      </c>
      <c r="C383" s="6">
        <f t="shared" si="11"/>
        <v>17.435968216862886</v>
      </c>
      <c r="D383" s="19">
        <f t="shared" si="12"/>
        <v>1.9686021310011841E-2</v>
      </c>
      <c r="E383" s="3">
        <f>Ft!$B$12+Ft!$B$14*(Data!A383-Vars!$B$3)</f>
        <v>0</v>
      </c>
      <c r="F383" s="3">
        <f>IF(($A383-Ft!B$2)&lt;0,Ft!B$3*((1-Ft!B$6)/(1+Ft!B$37*($A383-Ft!B$2)^2)+Ft!B$6*EXP(Ft!B$38*($A383-Ft!B$2)^2)),Ft!B$3*((1-Ft!B$7)/(1+Ft!B$39*($A383-Ft!B$2)^2)+Ft!B$7*EXP(Ft!B$40*($A383-Ft!B$2)^2)))</f>
        <v>3.4841011988156619E-280</v>
      </c>
      <c r="G383" s="3">
        <f>IF(($A383-Ft!C$2)&lt;0,Ft!C$3*((1-Ft!C$6)/(1+Ft!C$37*($A383-Ft!C$2)^2)+Ft!C$6*EXP(Ft!C$38*($A383-Ft!C$2)^2)),Ft!C$3*((1-Ft!C$7)/(1+Ft!C$39*($A383-Ft!C$2)^2)+Ft!C$7*EXP(Ft!C$40*($A383-Ft!C$2)^2)))</f>
        <v>8.5019017010113807E-13</v>
      </c>
      <c r="H383" s="3">
        <f>IF(($A383-Ft!D$2)&lt;0,Ft!D$3*((1-Ft!D$6)/(1+Ft!D$37*($A383-Ft!D$2)^2)+Ft!D$6*EXP(Ft!D$38*($A383-Ft!D$2)^2)),Ft!D$3*((1-Ft!D$7)/(1+Ft!D$39*($A383-Ft!D$2)^2)+Ft!D$7*EXP(Ft!D$40*($A383-Ft!D$2)^2)))</f>
        <v>1.899693151285496</v>
      </c>
      <c r="I383" s="3">
        <f>IF(($A383-Ft!E$2)&lt;0,Ft!E$3*((1-Ft!E$6)/(1+Ft!E$37*($A383-Ft!E$2)^2)+Ft!E$6*EXP(Ft!E$38*($A383-Ft!E$2)^2)),Ft!E$3*((1-Ft!E$7)/(1+Ft!E$39*($A383-Ft!E$2)^2)+Ft!E$7*EXP(Ft!E$40*($A383-Ft!E$2)^2)))</f>
        <v>15.536275065576399</v>
      </c>
      <c r="J383" s="3">
        <f>IF(($A383-Ft!F$2)&lt;0,Ft!F$3*((1-Ft!F$6)/(1+Ft!F$37*($A383-Ft!F$2)^2)+Ft!F$6*EXP(Ft!F$38*($A383-Ft!F$2)^2)),Ft!F$3*((1-Ft!F$7)/(1+Ft!F$39*($A383-Ft!F$2)^2)+Ft!F$7*EXP(Ft!F$40*($A383-Ft!F$2)^2)))</f>
        <v>1.3871019247484452E-13</v>
      </c>
      <c r="K383" s="3">
        <f>IF(($A383-Ft!G$2)&lt;0,Ft!G$3*((1-Ft!G$6)/(1+Ft!G$37*($A383-Ft!G$2)^2)+Ft!G$6*EXP(Ft!G$38*($A383-Ft!G$2)^2)),Ft!G$3*((1-Ft!G$7)/(1+Ft!G$39*($A383-Ft!G$2)^2)+Ft!G$7*EXP(Ft!G$40*($A383-Ft!G$2)^2)))</f>
        <v>0</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v>764</v>
      </c>
      <c r="B384">
        <v>17.567456292803996</v>
      </c>
      <c r="C384" s="6">
        <f t="shared" si="11"/>
        <v>17.442691606435247</v>
      </c>
      <c r="D384" s="19">
        <f t="shared" si="12"/>
        <v>1.5566226964692368E-2</v>
      </c>
      <c r="E384" s="3">
        <f>Ft!$B$12+Ft!$B$14*(Data!A384-Vars!$B$3)</f>
        <v>0</v>
      </c>
      <c r="F384" s="3">
        <f>IF(($A384-Ft!B$2)&lt;0,Ft!B$3*((1-Ft!B$6)/(1+Ft!B$37*($A384-Ft!B$2)^2)+Ft!B$6*EXP(Ft!B$38*($A384-Ft!B$2)^2)),Ft!B$3*((1-Ft!B$7)/(1+Ft!B$39*($A384-Ft!B$2)^2)+Ft!B$7*EXP(Ft!B$40*($A384-Ft!B$2)^2)))</f>
        <v>9.4813580712058426E-282</v>
      </c>
      <c r="G384" s="3">
        <f>IF(($A384-Ft!C$2)&lt;0,Ft!C$3*((1-Ft!C$6)/(1+Ft!C$37*($A384-Ft!C$2)^2)+Ft!C$6*EXP(Ft!C$38*($A384-Ft!C$2)^2)),Ft!C$3*((1-Ft!C$7)/(1+Ft!C$39*($A384-Ft!C$2)^2)+Ft!C$7*EXP(Ft!C$40*($A384-Ft!C$2)^2)))</f>
        <v>7.0053381749697407E-13</v>
      </c>
      <c r="H384" s="3">
        <f>IF(($A384-Ft!D$2)&lt;0,Ft!D$3*((1-Ft!D$6)/(1+Ft!D$37*($A384-Ft!D$2)^2)+Ft!D$6*EXP(Ft!D$38*($A384-Ft!D$2)^2)),Ft!D$3*((1-Ft!D$7)/(1+Ft!D$39*($A384-Ft!D$2)^2)+Ft!D$7*EXP(Ft!D$40*($A384-Ft!D$2)^2)))</f>
        <v>1.8478965687737676</v>
      </c>
      <c r="I384" s="3">
        <f>IF(($A384-Ft!E$2)&lt;0,Ft!E$3*((1-Ft!E$6)/(1+Ft!E$37*($A384-Ft!E$2)^2)+Ft!E$6*EXP(Ft!E$38*($A384-Ft!E$2)^2)),Ft!E$3*((1-Ft!E$7)/(1+Ft!E$39*($A384-Ft!E$2)^2)+Ft!E$7*EXP(Ft!E$40*($A384-Ft!E$2)^2)))</f>
        <v>15.594795037660557</v>
      </c>
      <c r="J384" s="3">
        <f>IF(($A384-Ft!F$2)&lt;0,Ft!F$3*((1-Ft!F$6)/(1+Ft!F$37*($A384-Ft!F$2)^2)+Ft!F$6*EXP(Ft!F$38*($A384-Ft!F$2)^2)),Ft!F$3*((1-Ft!F$7)/(1+Ft!F$39*($A384-Ft!F$2)^2)+Ft!F$7*EXP(Ft!F$40*($A384-Ft!F$2)^2)))</f>
        <v>2.2109718150811143E-13</v>
      </c>
      <c r="K384" s="3">
        <f>IF(($A384-Ft!G$2)&lt;0,Ft!G$3*((1-Ft!G$6)/(1+Ft!G$37*($A384-Ft!G$2)^2)+Ft!G$6*EXP(Ft!G$38*($A384-Ft!G$2)^2)),Ft!G$3*((1-Ft!G$7)/(1+Ft!G$39*($A384-Ft!G$2)^2)+Ft!G$7*EXP(Ft!G$40*($A384-Ft!G$2)^2)))</f>
        <v>0</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v>766</v>
      </c>
      <c r="B385">
        <v>17.558802818150994</v>
      </c>
      <c r="C385" s="6">
        <f t="shared" si="11"/>
        <v>17.448523101483506</v>
      </c>
      <c r="D385" s="19">
        <f t="shared" si="12"/>
        <v>1.2161615908261487E-2</v>
      </c>
      <c r="E385" s="3">
        <f>Ft!$B$12+Ft!$B$14*(Data!A385-Vars!$B$3)</f>
        <v>0</v>
      </c>
      <c r="F385" s="3">
        <f>IF(($A385-Ft!B$2)&lt;0,Ft!B$3*((1-Ft!B$6)/(1+Ft!B$37*($A385-Ft!B$2)^2)+Ft!B$6*EXP(Ft!B$38*($A385-Ft!B$2)^2)),Ft!B$3*((1-Ft!B$7)/(1+Ft!B$39*($A385-Ft!B$2)^2)+Ft!B$7*EXP(Ft!B$40*($A385-Ft!B$2)^2)))</f>
        <v>2.554388983541262E-283</v>
      </c>
      <c r="G385" s="3">
        <f>IF(($A385-Ft!C$2)&lt;0,Ft!C$3*((1-Ft!C$6)/(1+Ft!C$37*($A385-Ft!C$2)^2)+Ft!C$6*EXP(Ft!C$38*($A385-Ft!C$2)^2)),Ft!C$3*((1-Ft!C$7)/(1+Ft!C$39*($A385-Ft!C$2)^2)+Ft!C$7*EXP(Ft!C$40*($A385-Ft!C$2)^2)))</f>
        <v>5.7686225126721648E-13</v>
      </c>
      <c r="H385" s="3">
        <f>IF(($A385-Ft!D$2)&lt;0,Ft!D$3*((1-Ft!D$6)/(1+Ft!D$37*($A385-Ft!D$2)^2)+Ft!D$6*EXP(Ft!D$38*($A385-Ft!D$2)^2)),Ft!D$3*((1-Ft!D$7)/(1+Ft!D$39*($A385-Ft!D$2)^2)+Ft!D$7*EXP(Ft!D$40*($A385-Ft!D$2)^2)))</f>
        <v>1.7972064661169551</v>
      </c>
      <c r="I385" s="3">
        <f>IF(($A385-Ft!E$2)&lt;0,Ft!E$3*((1-Ft!E$6)/(1+Ft!E$37*($A385-Ft!E$2)^2)+Ft!E$6*EXP(Ft!E$38*($A385-Ft!E$2)^2)),Ft!E$3*((1-Ft!E$7)/(1+Ft!E$39*($A385-Ft!E$2)^2)+Ft!E$7*EXP(Ft!E$40*($A385-Ft!E$2)^2)))</f>
        <v>15.651316635365623</v>
      </c>
      <c r="J385" s="3">
        <f>IF(($A385-Ft!F$2)&lt;0,Ft!F$3*((1-Ft!F$6)/(1+Ft!F$37*($A385-Ft!F$2)^2)+Ft!F$6*EXP(Ft!F$38*($A385-Ft!F$2)^2)),Ft!F$3*((1-Ft!F$7)/(1+Ft!F$39*($A385-Ft!F$2)^2)+Ft!F$7*EXP(Ft!F$40*($A385-Ft!F$2)^2)))</f>
        <v>3.51195724563368E-13</v>
      </c>
      <c r="K385" s="3">
        <f>IF(($A385-Ft!G$2)&lt;0,Ft!G$3*((1-Ft!G$6)/(1+Ft!G$37*($A385-Ft!G$2)^2)+Ft!G$6*EXP(Ft!G$38*($A385-Ft!G$2)^2)),Ft!G$3*((1-Ft!G$7)/(1+Ft!G$39*($A385-Ft!G$2)^2)+Ft!G$7*EXP(Ft!G$40*($A385-Ft!G$2)^2)))</f>
        <v>0</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v>768</v>
      </c>
      <c r="B386">
        <v>17.550080808991993</v>
      </c>
      <c r="C386" s="6">
        <f t="shared" si="11"/>
        <v>17.453426065023528</v>
      </c>
      <c r="D386" s="19">
        <f t="shared" si="12"/>
        <v>9.3421395316094502E-3</v>
      </c>
      <c r="E386" s="3">
        <f>Ft!$B$12+Ft!$B$14*(Data!A386-Vars!$B$3)</f>
        <v>0</v>
      </c>
      <c r="F386" s="3">
        <f>IF(($A386-Ft!B$2)&lt;0,Ft!B$3*((1-Ft!B$6)/(1+Ft!B$37*($A386-Ft!B$2)^2)+Ft!B$6*EXP(Ft!B$38*($A386-Ft!B$2)^2)),Ft!B$3*((1-Ft!B$7)/(1+Ft!B$39*($A386-Ft!B$2)^2)+Ft!B$7*EXP(Ft!B$40*($A386-Ft!B$2)^2)))</f>
        <v>6.8130286222968385E-285</v>
      </c>
      <c r="G386" s="3">
        <f>IF(($A386-Ft!C$2)&lt;0,Ft!C$3*((1-Ft!C$6)/(1+Ft!C$37*($A386-Ft!C$2)^2)+Ft!C$6*EXP(Ft!C$38*($A386-Ft!C$2)^2)),Ft!C$3*((1-Ft!C$7)/(1+Ft!C$39*($A386-Ft!C$2)^2)+Ft!C$7*EXP(Ft!C$40*($A386-Ft!C$2)^2)))</f>
        <v>4.7472830341722878E-13</v>
      </c>
      <c r="H386" s="3">
        <f>IF(($A386-Ft!D$2)&lt;0,Ft!D$3*((1-Ft!D$6)/(1+Ft!D$37*($A386-Ft!D$2)^2)+Ft!D$6*EXP(Ft!D$38*($A386-Ft!D$2)^2)),Ft!D$3*((1-Ft!D$7)/(1+Ft!D$39*($A386-Ft!D$2)^2)+Ft!D$7*EXP(Ft!D$40*($A386-Ft!D$2)^2)))</f>
        <v>1.7476095014834885</v>
      </c>
      <c r="I386" s="3">
        <f>IF(($A386-Ft!E$2)&lt;0,Ft!E$3*((1-Ft!E$6)/(1+Ft!E$37*($A386-Ft!E$2)^2)+Ft!E$6*EXP(Ft!E$38*($A386-Ft!E$2)^2)),Ft!E$3*((1-Ft!E$7)/(1+Ft!E$39*($A386-Ft!E$2)^2)+Ft!E$7*EXP(Ft!E$40*($A386-Ft!E$2)^2)))</f>
        <v>15.70581656353901</v>
      </c>
      <c r="J386" s="3">
        <f>IF(($A386-Ft!F$2)&lt;0,Ft!F$3*((1-Ft!F$6)/(1+Ft!F$37*($A386-Ft!F$2)^2)+Ft!F$6*EXP(Ft!F$38*($A386-Ft!F$2)^2)),Ft!F$3*((1-Ft!F$7)/(1+Ft!F$39*($A386-Ft!F$2)^2)+Ft!F$7*EXP(Ft!F$40*($A386-Ft!F$2)^2)))</f>
        <v>5.5591246982071494E-13</v>
      </c>
      <c r="K386" s="3">
        <f>IF(($A386-Ft!G$2)&lt;0,Ft!G$3*((1-Ft!G$6)/(1+Ft!G$37*($A386-Ft!G$2)^2)+Ft!G$6*EXP(Ft!G$38*($A386-Ft!G$2)^2)),Ft!G$3*((1-Ft!G$7)/(1+Ft!G$39*($A386-Ft!G$2)^2)+Ft!G$7*EXP(Ft!G$40*($A386-Ft!G$2)^2)))</f>
        <v>0</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v>770</v>
      </c>
      <c r="B387">
        <v>17.541056398797991</v>
      </c>
      <c r="C387" s="6">
        <f t="shared" ref="C387:C450" si="13">SUM(E387:K387)</f>
        <v>17.457364455391534</v>
      </c>
      <c r="D387" s="19">
        <f t="shared" ref="D387:D450" si="14">(C387-B387)^2</f>
        <v>7.0043413911495874E-3</v>
      </c>
      <c r="E387" s="3">
        <f>Ft!$B$12+Ft!$B$14*(Data!A387-Vars!$B$3)</f>
        <v>0</v>
      </c>
      <c r="F387" s="3">
        <f>IF(($A387-Ft!B$2)&lt;0,Ft!B$3*((1-Ft!B$6)/(1+Ft!B$37*($A387-Ft!B$2)^2)+Ft!B$6*EXP(Ft!B$38*($A387-Ft!B$2)^2)),Ft!B$3*((1-Ft!B$7)/(1+Ft!B$39*($A387-Ft!B$2)^2)+Ft!B$7*EXP(Ft!B$40*($A387-Ft!B$2)^2)))</f>
        <v>1.7989955586906918E-286</v>
      </c>
      <c r="G387" s="3">
        <f>IF(($A387-Ft!C$2)&lt;0,Ft!C$3*((1-Ft!C$6)/(1+Ft!C$37*($A387-Ft!C$2)^2)+Ft!C$6*EXP(Ft!C$38*($A387-Ft!C$2)^2)),Ft!C$3*((1-Ft!C$7)/(1+Ft!C$39*($A387-Ft!C$2)^2)+Ft!C$7*EXP(Ft!C$40*($A387-Ft!C$2)^2)))</f>
        <v>3.9043443984764659E-13</v>
      </c>
      <c r="H387" s="3">
        <f>IF(($A387-Ft!D$2)&lt;0,Ft!D$3*((1-Ft!D$6)/(1+Ft!D$37*($A387-Ft!D$2)^2)+Ft!D$6*EXP(Ft!D$38*($A387-Ft!D$2)^2)),Ft!D$3*((1-Ft!D$7)/(1+Ft!D$39*($A387-Ft!D$2)^2)+Ft!D$7*EXP(Ft!D$40*($A387-Ft!D$2)^2)))</f>
        <v>1.6990921499361695</v>
      </c>
      <c r="I387" s="3">
        <f>IF(($A387-Ft!E$2)&lt;0,Ft!E$3*((1-Ft!E$6)/(1+Ft!E$37*($A387-Ft!E$2)^2)+Ft!E$6*EXP(Ft!E$38*($A387-Ft!E$2)^2)),Ft!E$3*((1-Ft!E$7)/(1+Ft!E$39*($A387-Ft!E$2)^2)+Ft!E$7*EXP(Ft!E$40*($A387-Ft!E$2)^2)))</f>
        <v>15.758272305454097</v>
      </c>
      <c r="J387" s="3">
        <f>IF(($A387-Ft!F$2)&lt;0,Ft!F$3*((1-Ft!F$6)/(1+Ft!F$37*($A387-Ft!F$2)^2)+Ft!F$6*EXP(Ft!F$38*($A387-Ft!F$2)^2)),Ft!F$3*((1-Ft!F$7)/(1+Ft!F$39*($A387-Ft!F$2)^2)+Ft!F$7*EXP(Ft!F$40*($A387-Ft!F$2)^2)))</f>
        <v>8.7690953735940291E-13</v>
      </c>
      <c r="K387" s="3">
        <f>IF(($A387-Ft!G$2)&lt;0,Ft!G$3*((1-Ft!G$6)/(1+Ft!G$37*($A387-Ft!G$2)^2)+Ft!G$6*EXP(Ft!G$38*($A387-Ft!G$2)^2)),Ft!G$3*((1-Ft!G$7)/(1+Ft!G$39*($A387-Ft!G$2)^2)+Ft!G$7*EXP(Ft!G$40*($A387-Ft!G$2)^2)))</f>
        <v>0</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v>772</v>
      </c>
      <c r="B388">
        <v>17.531495721037999</v>
      </c>
      <c r="C388" s="6">
        <f t="shared" si="13"/>
        <v>17.460302855871099</v>
      </c>
      <c r="D388" s="19">
        <f t="shared" si="14"/>
        <v>5.0684240506723779E-3</v>
      </c>
      <c r="E388" s="3">
        <f>Ft!$B$12+Ft!$B$14*(Data!A388-Vars!$B$3)</f>
        <v>0</v>
      </c>
      <c r="F388" s="3">
        <f>IF(($A388-Ft!B$2)&lt;0,Ft!B$3*((1-Ft!B$6)/(1+Ft!B$37*($A388-Ft!B$2)^2)+Ft!B$6*EXP(Ft!B$38*($A388-Ft!B$2)^2)),Ft!B$3*((1-Ft!B$7)/(1+Ft!B$39*($A388-Ft!B$2)^2)+Ft!B$7*EXP(Ft!B$40*($A388-Ft!B$2)^2)))</f>
        <v>4.7028016907001374E-288</v>
      </c>
      <c r="G388" s="3">
        <f>IF(($A388-Ft!C$2)&lt;0,Ft!C$3*((1-Ft!C$6)/(1+Ft!C$37*($A388-Ft!C$2)^2)+Ft!C$6*EXP(Ft!C$38*($A388-Ft!C$2)^2)),Ft!C$3*((1-Ft!C$7)/(1+Ft!C$39*($A388-Ft!C$2)^2)+Ft!C$7*EXP(Ft!C$40*($A388-Ft!C$2)^2)))</f>
        <v>3.2090841312287007E-13</v>
      </c>
      <c r="H388" s="3">
        <f>IF(($A388-Ft!D$2)&lt;0,Ft!D$3*((1-Ft!D$6)/(1+Ft!D$37*($A388-Ft!D$2)^2)+Ft!D$6*EXP(Ft!D$38*($A388-Ft!D$2)^2)),Ft!D$3*((1-Ft!D$7)/(1+Ft!D$39*($A388-Ft!D$2)^2)+Ft!D$7*EXP(Ft!D$40*($A388-Ft!D$2)^2)))</f>
        <v>1.6516407175605103</v>
      </c>
      <c r="I388" s="3">
        <f>IF(($A388-Ft!E$2)&lt;0,Ft!E$3*((1-Ft!E$6)/(1+Ft!E$37*($A388-Ft!E$2)^2)+Ft!E$6*EXP(Ft!E$38*($A388-Ft!E$2)^2)),Ft!E$3*((1-Ft!E$7)/(1+Ft!E$39*($A388-Ft!E$2)^2)+Ft!E$7*EXP(Ft!E$40*($A388-Ft!E$2)^2)))</f>
        <v>15.808662138308888</v>
      </c>
      <c r="J388" s="3">
        <f>IF(($A388-Ft!F$2)&lt;0,Ft!F$3*((1-Ft!F$6)/(1+Ft!F$37*($A388-Ft!F$2)^2)+Ft!F$6*EXP(Ft!F$38*($A388-Ft!F$2)^2)),Ft!F$3*((1-Ft!F$7)/(1+Ft!F$39*($A388-Ft!F$2)^2)+Ft!F$7*EXP(Ft!F$40*($A388-Ft!F$2)^2)))</f>
        <v>1.3784605862734678E-12</v>
      </c>
      <c r="K388" s="3">
        <f>IF(($A388-Ft!G$2)&lt;0,Ft!G$3*((1-Ft!G$6)/(1+Ft!G$37*($A388-Ft!G$2)^2)+Ft!G$6*EXP(Ft!G$38*($A388-Ft!G$2)^2)),Ft!G$3*((1-Ft!G$7)/(1+Ft!G$39*($A388-Ft!G$2)^2)+Ft!G$7*EXP(Ft!G$40*($A388-Ft!G$2)^2)))</f>
        <v>0</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v>774</v>
      </c>
      <c r="B389">
        <v>17.521164909183994</v>
      </c>
      <c r="C389" s="6">
        <f t="shared" si="13"/>
        <v>17.462206503560147</v>
      </c>
      <c r="D389" s="19">
        <f t="shared" si="14"/>
        <v>3.476093593706181E-3</v>
      </c>
      <c r="E389" s="3">
        <f>Ft!$B$12+Ft!$B$14*(Data!A389-Vars!$B$3)</f>
        <v>0</v>
      </c>
      <c r="F389" s="3">
        <f>IF(($A389-Ft!B$2)&lt;0,Ft!B$3*((1-Ft!B$6)/(1+Ft!B$37*($A389-Ft!B$2)^2)+Ft!B$6*EXP(Ft!B$38*($A389-Ft!B$2)^2)),Ft!B$3*((1-Ft!B$7)/(1+Ft!B$39*($A389-Ft!B$2)^2)+Ft!B$7*EXP(Ft!B$40*($A389-Ft!B$2)^2)))</f>
        <v>1.2170822730540466E-289</v>
      </c>
      <c r="G389" s="3">
        <f>IF(($A389-Ft!C$2)&lt;0,Ft!C$3*((1-Ft!C$6)/(1+Ft!C$37*($A389-Ft!C$2)^2)+Ft!C$6*EXP(Ft!C$38*($A389-Ft!C$2)^2)),Ft!C$3*((1-Ft!C$7)/(1+Ft!C$39*($A389-Ft!C$2)^2)+Ft!C$7*EXP(Ft!C$40*($A389-Ft!C$2)^2)))</f>
        <v>2.6359919277169984E-13</v>
      </c>
      <c r="H389" s="3">
        <f>IF(($A389-Ft!D$2)&lt;0,Ft!D$3*((1-Ft!D$6)/(1+Ft!D$37*($A389-Ft!D$2)^2)+Ft!D$6*EXP(Ft!D$38*($A389-Ft!D$2)^2)),Ft!D$3*((1-Ft!D$7)/(1+Ft!D$39*($A389-Ft!D$2)^2)+Ft!D$7*EXP(Ft!D$40*($A389-Ft!D$2)^2)))</f>
        <v>1.6052413553437539</v>
      </c>
      <c r="I389" s="3">
        <f>IF(($A389-Ft!E$2)&lt;0,Ft!E$3*((1-Ft!E$6)/(1+Ft!E$37*($A389-Ft!E$2)^2)+Ft!E$6*EXP(Ft!E$38*($A389-Ft!E$2)^2)),Ft!E$3*((1-Ft!E$7)/(1+Ft!E$39*($A389-Ft!E$2)^2)+Ft!E$7*EXP(Ft!E$40*($A389-Ft!E$2)^2)))</f>
        <v>15.856965148213968</v>
      </c>
      <c r="J389" s="3">
        <f>IF(($A389-Ft!F$2)&lt;0,Ft!F$3*((1-Ft!F$6)/(1+Ft!F$37*($A389-Ft!F$2)^2)+Ft!F$6*EXP(Ft!F$38*($A389-Ft!F$2)^2)),Ft!F$3*((1-Ft!F$7)/(1+Ft!F$39*($A389-Ft!F$2)^2)+Ft!F$7*EXP(Ft!F$40*($A389-Ft!F$2)^2)))</f>
        <v>2.1593602096121755E-12</v>
      </c>
      <c r="K389" s="3">
        <f>IF(($A389-Ft!G$2)&lt;0,Ft!G$3*((1-Ft!G$6)/(1+Ft!G$37*($A389-Ft!G$2)^2)+Ft!G$6*EXP(Ft!G$38*($A389-Ft!G$2)^2)),Ft!G$3*((1-Ft!G$7)/(1+Ft!G$39*($A389-Ft!G$2)^2)+Ft!G$7*EXP(Ft!G$40*($A389-Ft!G$2)^2)))</f>
        <v>0</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v>776</v>
      </c>
      <c r="B390">
        <v>17.509830096705002</v>
      </c>
      <c r="C390" s="6">
        <f t="shared" si="13"/>
        <v>17.463041317456373</v>
      </c>
      <c r="D390" s="19">
        <f t="shared" si="14"/>
        <v>2.189189863576978E-3</v>
      </c>
      <c r="E390" s="3">
        <f>Ft!$B$12+Ft!$B$14*(Data!A390-Vars!$B$3)</f>
        <v>0</v>
      </c>
      <c r="F390" s="3">
        <f>IF(($A390-Ft!B$2)&lt;0,Ft!B$3*((1-Ft!B$6)/(1+Ft!B$37*($A390-Ft!B$2)^2)+Ft!B$6*EXP(Ft!B$38*($A390-Ft!B$2)^2)),Ft!B$3*((1-Ft!B$7)/(1+Ft!B$39*($A390-Ft!B$2)^2)+Ft!B$7*EXP(Ft!B$40*($A390-Ft!B$2)^2)))</f>
        <v>3.1183144338881873E-291</v>
      </c>
      <c r="G390" s="3">
        <f>IF(($A390-Ft!C$2)&lt;0,Ft!C$3*((1-Ft!C$6)/(1+Ft!C$37*($A390-Ft!C$2)^2)+Ft!C$6*EXP(Ft!C$38*($A390-Ft!C$2)^2)),Ft!C$3*((1-Ft!C$7)/(1+Ft!C$39*($A390-Ft!C$2)^2)+Ft!C$7*EXP(Ft!C$40*($A390-Ft!C$2)^2)))</f>
        <v>2.1638992600645E-13</v>
      </c>
      <c r="H390" s="3">
        <f>IF(($A390-Ft!D$2)&lt;0,Ft!D$3*((1-Ft!D$6)/(1+Ft!D$37*($A390-Ft!D$2)^2)+Ft!D$6*EXP(Ft!D$38*($A390-Ft!D$2)^2)),Ft!D$3*((1-Ft!D$7)/(1+Ft!D$39*($A390-Ft!D$2)^2)+Ft!D$7*EXP(Ft!D$40*($A390-Ft!D$2)^2)))</f>
        <v>1.5598800727975319</v>
      </c>
      <c r="I390" s="3">
        <f>IF(($A390-Ft!E$2)&lt;0,Ft!E$3*((1-Ft!E$6)/(1+Ft!E$37*($A390-Ft!E$2)^2)+Ft!E$6*EXP(Ft!E$38*($A390-Ft!E$2)^2)),Ft!E$3*((1-Ft!E$7)/(1+Ft!E$39*($A390-Ft!E$2)^2)+Ft!E$7*EXP(Ft!E$40*($A390-Ft!E$2)^2)))</f>
        <v>15.903161244655253</v>
      </c>
      <c r="J390" s="3">
        <f>IF(($A390-Ft!F$2)&lt;0,Ft!F$3*((1-Ft!F$6)/(1+Ft!F$37*($A390-Ft!F$2)^2)+Ft!F$6*EXP(Ft!F$38*($A390-Ft!F$2)^2)),Ft!F$3*((1-Ft!F$7)/(1+Ft!F$39*($A390-Ft!F$2)^2)+Ft!F$7*EXP(Ft!F$40*($A390-Ft!F$2)^2)))</f>
        <v>3.3709089149367557E-12</v>
      </c>
      <c r="K390" s="3">
        <f>IF(($A390-Ft!G$2)&lt;0,Ft!G$3*((1-Ft!G$6)/(1+Ft!G$37*($A390-Ft!G$2)^2)+Ft!G$6*EXP(Ft!G$38*($A390-Ft!G$2)^2)),Ft!G$3*((1-Ft!G$7)/(1+Ft!G$39*($A390-Ft!G$2)^2)+Ft!G$7*EXP(Ft!G$40*($A390-Ft!G$2)^2)))</f>
        <v>0</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v>778</v>
      </c>
      <c r="B391">
        <v>17.497865497522994</v>
      </c>
      <c r="C391" s="6">
        <f t="shared" si="13"/>
        <v>17.462773925740574</v>
      </c>
      <c r="D391" s="19">
        <f t="shared" si="14"/>
        <v>1.23141841016074E-3</v>
      </c>
      <c r="E391" s="3">
        <f>Ft!$B$12+Ft!$B$14*(Data!A391-Vars!$B$3)</f>
        <v>0</v>
      </c>
      <c r="F391" s="3">
        <f>IF(($A391-Ft!B$2)&lt;0,Ft!B$3*((1-Ft!B$6)/(1+Ft!B$37*($A391-Ft!B$2)^2)+Ft!B$6*EXP(Ft!B$38*($A391-Ft!B$2)^2)),Ft!B$3*((1-Ft!B$7)/(1+Ft!B$39*($A391-Ft!B$2)^2)+Ft!B$7*EXP(Ft!B$40*($A391-Ft!B$2)^2)))</f>
        <v>7.9096373106739673E-293</v>
      </c>
      <c r="G391" s="3">
        <f>IF(($A391-Ft!C$2)&lt;0,Ft!C$3*((1-Ft!C$6)/(1+Ft!C$37*($A391-Ft!C$2)^2)+Ft!C$6*EXP(Ft!C$38*($A391-Ft!C$2)^2)),Ft!C$3*((1-Ft!C$7)/(1+Ft!C$39*($A391-Ft!C$2)^2)+Ft!C$7*EXP(Ft!C$40*($A391-Ft!C$2)^2)))</f>
        <v>1.7752519168970103E-13</v>
      </c>
      <c r="H391" s="3">
        <f>IF(($A391-Ft!D$2)&lt;0,Ft!D$3*((1-Ft!D$6)/(1+Ft!D$37*($A391-Ft!D$2)^2)+Ft!D$6*EXP(Ft!D$38*($A391-Ft!D$2)^2)),Ft!D$3*((1-Ft!D$7)/(1+Ft!D$39*($A391-Ft!D$2)^2)+Ft!D$7*EXP(Ft!D$40*($A391-Ft!D$2)^2)))</f>
        <v>1.5155427513176245</v>
      </c>
      <c r="I391" s="3">
        <f>IF(($A391-Ft!E$2)&lt;0,Ft!E$3*((1-Ft!E$6)/(1+Ft!E$37*($A391-Ft!E$2)^2)+Ft!E$6*EXP(Ft!E$38*($A391-Ft!E$2)^2)),Ft!E$3*((1-Ft!E$7)/(1+Ft!E$39*($A391-Ft!E$2)^2)+Ft!E$7*EXP(Ft!E$40*($A391-Ft!E$2)^2)))</f>
        <v>15.94723117441753</v>
      </c>
      <c r="J391" s="3">
        <f>IF(($A391-Ft!F$2)&lt;0,Ft!F$3*((1-Ft!F$6)/(1+Ft!F$37*($A391-Ft!F$2)^2)+Ft!F$6*EXP(Ft!F$38*($A391-Ft!F$2)^2)),Ft!F$3*((1-Ft!F$7)/(1+Ft!F$39*($A391-Ft!F$2)^2)+Ft!F$7*EXP(Ft!F$40*($A391-Ft!F$2)^2)))</f>
        <v>5.2439690857143079E-12</v>
      </c>
      <c r="K391" s="3">
        <f>IF(($A391-Ft!G$2)&lt;0,Ft!G$3*((1-Ft!G$6)/(1+Ft!G$37*($A391-Ft!G$2)^2)+Ft!G$6*EXP(Ft!G$38*($A391-Ft!G$2)^2)),Ft!G$3*((1-Ft!G$7)/(1+Ft!G$39*($A391-Ft!G$2)^2)+Ft!G$7*EXP(Ft!G$40*($A391-Ft!G$2)^2)))</f>
        <v>0</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v>780</v>
      </c>
      <c r="B392">
        <v>17.485613556811998</v>
      </c>
      <c r="C392" s="6">
        <f t="shared" si="13"/>
        <v>17.461371692238281</v>
      </c>
      <c r="D392" s="19">
        <f t="shared" si="14"/>
        <v>5.8766799801045785E-4</v>
      </c>
      <c r="E392" s="3">
        <f>Ft!$B$12+Ft!$B$14*(Data!A392-Vars!$B$3)</f>
        <v>0</v>
      </c>
      <c r="F392" s="3">
        <f>IF(($A392-Ft!B$2)&lt;0,Ft!B$3*((1-Ft!B$6)/(1+Ft!B$37*($A392-Ft!B$2)^2)+Ft!B$6*EXP(Ft!B$38*($A392-Ft!B$2)^2)),Ft!B$3*((1-Ft!B$7)/(1+Ft!B$39*($A392-Ft!B$2)^2)+Ft!B$7*EXP(Ft!B$40*($A392-Ft!B$2)^2)))</f>
        <v>1.9862318027453946E-294</v>
      </c>
      <c r="G392" s="3">
        <f>IF(($A392-Ft!C$2)&lt;0,Ft!C$3*((1-Ft!C$6)/(1+Ft!C$37*($A392-Ft!C$2)^2)+Ft!C$6*EXP(Ft!C$38*($A392-Ft!C$2)^2)),Ft!C$3*((1-Ft!C$7)/(1+Ft!C$39*($A392-Ft!C$2)^2)+Ft!C$7*EXP(Ft!C$40*($A392-Ft!C$2)^2)))</f>
        <v>1.4555024189945312E-13</v>
      </c>
      <c r="H392" s="3">
        <f>IF(($A392-Ft!D$2)&lt;0,Ft!D$3*((1-Ft!D$6)/(1+Ft!D$37*($A392-Ft!D$2)^2)+Ft!D$6*EXP(Ft!D$38*($A392-Ft!D$2)^2)),Ft!D$3*((1-Ft!D$7)/(1+Ft!D$39*($A392-Ft!D$2)^2)+Ft!D$7*EXP(Ft!D$40*($A392-Ft!D$2)^2)))</f>
        <v>1.4722151572747402</v>
      </c>
      <c r="I392" s="3">
        <f>IF(($A392-Ft!E$2)&lt;0,Ft!E$3*((1-Ft!E$6)/(1+Ft!E$37*($A392-Ft!E$2)^2)+Ft!E$6*EXP(Ft!E$38*($A392-Ft!E$2)^2)),Ft!E$3*((1-Ft!E$7)/(1+Ft!E$39*($A392-Ft!E$2)^2)+Ft!E$7*EXP(Ft!E$40*($A392-Ft!E$2)^2)))</f>
        <v>15.989156534955265</v>
      </c>
      <c r="J392" s="3">
        <f>IF(($A392-Ft!F$2)&lt;0,Ft!F$3*((1-Ft!F$6)/(1+Ft!F$37*($A392-Ft!F$2)^2)+Ft!F$6*EXP(Ft!F$38*($A392-Ft!F$2)^2)),Ft!F$3*((1-Ft!F$7)/(1+Ft!F$39*($A392-Ft!F$2)^2)+Ft!F$7*EXP(Ft!F$40*($A392-Ft!F$2)^2)))</f>
        <v>8.1295107517525411E-12</v>
      </c>
      <c r="K392" s="3">
        <f>IF(($A392-Ft!G$2)&lt;0,Ft!G$3*((1-Ft!G$6)/(1+Ft!G$37*($A392-Ft!G$2)^2)+Ft!G$6*EXP(Ft!G$38*($A392-Ft!G$2)^2)),Ft!G$3*((1-Ft!G$7)/(1+Ft!G$39*($A392-Ft!G$2)^2)+Ft!G$7*EXP(Ft!G$40*($A392-Ft!G$2)^2)))</f>
        <v>0</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v>782</v>
      </c>
      <c r="B393">
        <v>17.472792754919993</v>
      </c>
      <c r="C393" s="6">
        <f t="shared" si="13"/>
        <v>17.458802742041197</v>
      </c>
      <c r="D393" s="19">
        <f t="shared" si="14"/>
        <v>1.9572046034888971E-4</v>
      </c>
      <c r="E393" s="3">
        <f>Ft!$B$12+Ft!$B$14*(Data!A393-Vars!$B$3)</f>
        <v>0</v>
      </c>
      <c r="F393" s="3">
        <f>IF(($A393-Ft!B$2)&lt;0,Ft!B$3*((1-Ft!B$6)/(1+Ft!B$37*($A393-Ft!B$2)^2)+Ft!B$6*EXP(Ft!B$38*($A393-Ft!B$2)^2)),Ft!B$3*((1-Ft!B$7)/(1+Ft!B$39*($A393-Ft!B$2)^2)+Ft!B$7*EXP(Ft!B$40*($A393-Ft!B$2)^2)))</f>
        <v>4.9378738397108028E-296</v>
      </c>
      <c r="G393" s="3">
        <f>IF(($A393-Ft!C$2)&lt;0,Ft!C$3*((1-Ft!C$6)/(1+Ft!C$37*($A393-Ft!C$2)^2)+Ft!C$6*EXP(Ft!C$38*($A393-Ft!C$2)^2)),Ft!C$3*((1-Ft!C$7)/(1+Ft!C$39*($A393-Ft!C$2)^2)+Ft!C$7*EXP(Ft!C$40*($A393-Ft!C$2)^2)))</f>
        <v>1.1926029033237181E-13</v>
      </c>
      <c r="H393" s="3">
        <f>IF(($A393-Ft!D$2)&lt;0,Ft!D$3*((1-Ft!D$6)/(1+Ft!D$37*($A393-Ft!D$2)^2)+Ft!D$6*EXP(Ft!D$38*($A393-Ft!D$2)^2)),Ft!D$3*((1-Ft!D$7)/(1+Ft!D$39*($A393-Ft!D$2)^2)+Ft!D$7*EXP(Ft!D$40*($A393-Ft!D$2)^2)))</f>
        <v>1.4298829548307666</v>
      </c>
      <c r="I393" s="3">
        <f>IF(($A393-Ft!E$2)&lt;0,Ft!E$3*((1-Ft!E$6)/(1+Ft!E$37*($A393-Ft!E$2)^2)+Ft!E$6*EXP(Ft!E$38*($A393-Ft!E$2)^2)),Ft!E$3*((1-Ft!E$7)/(1+Ft!E$39*($A393-Ft!E$2)^2)+Ft!E$7*EXP(Ft!E$40*($A393-Ft!E$2)^2)))</f>
        <v>16.028919787197751</v>
      </c>
      <c r="J393" s="3">
        <f>IF(($A393-Ft!F$2)&lt;0,Ft!F$3*((1-Ft!F$6)/(1+Ft!F$37*($A393-Ft!F$2)^2)+Ft!F$6*EXP(Ft!F$38*($A393-Ft!F$2)^2)),Ft!F$3*((1-Ft!F$7)/(1+Ft!F$39*($A393-Ft!F$2)^2)+Ft!F$7*EXP(Ft!F$40*($A393-Ft!F$2)^2)))</f>
        <v>1.255913933489219E-11</v>
      </c>
      <c r="K393" s="3">
        <f>IF(($A393-Ft!G$2)&lt;0,Ft!G$3*((1-Ft!G$6)/(1+Ft!G$37*($A393-Ft!G$2)^2)+Ft!G$6*EXP(Ft!G$38*($A393-Ft!G$2)^2)),Ft!G$3*((1-Ft!G$7)/(1+Ft!G$39*($A393-Ft!G$2)^2)+Ft!G$7*EXP(Ft!G$40*($A393-Ft!G$2)^2)))</f>
        <v>0</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v>784</v>
      </c>
      <c r="B394">
        <v>17.459121572198995</v>
      </c>
      <c r="C394" s="6">
        <f t="shared" si="13"/>
        <v>17.455035986270847</v>
      </c>
      <c r="D394" s="19">
        <f t="shared" si="14"/>
        <v>1.6692012376285535E-5</v>
      </c>
      <c r="E394" s="3">
        <f>Ft!$B$12+Ft!$B$14*(Data!A394-Vars!$B$3)</f>
        <v>0</v>
      </c>
      <c r="F394" s="3">
        <f>IF(($A394-Ft!B$2)&lt;0,Ft!B$3*((1-Ft!B$6)/(1+Ft!B$37*($A394-Ft!B$2)^2)+Ft!B$6*EXP(Ft!B$38*($A394-Ft!B$2)^2)),Ft!B$3*((1-Ft!B$7)/(1+Ft!B$39*($A394-Ft!B$2)^2)+Ft!B$7*EXP(Ft!B$40*($A394-Ft!B$2)^2)))</f>
        <v>1.2153090861068612E-297</v>
      </c>
      <c r="G394" s="3">
        <f>IF(($A394-Ft!C$2)&lt;0,Ft!C$3*((1-Ft!C$6)/(1+Ft!C$37*($A394-Ft!C$2)^2)+Ft!C$6*EXP(Ft!C$38*($A394-Ft!C$2)^2)),Ft!C$3*((1-Ft!C$7)/(1+Ft!C$39*($A394-Ft!C$2)^2)+Ft!C$7*EXP(Ft!C$40*($A394-Ft!C$2)^2)))</f>
        <v>9.7658215101248022E-14</v>
      </c>
      <c r="H394" s="3">
        <f>IF(($A394-Ft!D$2)&lt;0,Ft!D$3*((1-Ft!D$6)/(1+Ft!D$37*($A394-Ft!D$2)^2)+Ft!D$6*EXP(Ft!D$38*($A394-Ft!D$2)^2)),Ft!D$3*((1-Ft!D$7)/(1+Ft!D$39*($A394-Ft!D$2)^2)+Ft!D$7*EXP(Ft!D$40*($A394-Ft!D$2)^2)))</f>
        <v>1.3885317184753907</v>
      </c>
      <c r="I394" s="3">
        <f>IF(($A394-Ft!E$2)&lt;0,Ft!E$3*((1-Ft!E$6)/(1+Ft!E$37*($A394-Ft!E$2)^2)+Ft!E$6*EXP(Ft!E$38*($A394-Ft!E$2)^2)),Ft!E$3*((1-Ft!E$7)/(1+Ft!E$39*($A394-Ft!E$2)^2)+Ft!E$7*EXP(Ft!E$40*($A394-Ft!E$2)^2)))</f>
        <v>16.066504267776025</v>
      </c>
      <c r="J394" s="3">
        <f>IF(($A394-Ft!F$2)&lt;0,Ft!F$3*((1-Ft!F$6)/(1+Ft!F$37*($A394-Ft!F$2)^2)+Ft!F$6*EXP(Ft!F$38*($A394-Ft!F$2)^2)),Ft!F$3*((1-Ft!F$7)/(1+Ft!F$39*($A394-Ft!F$2)^2)+Ft!F$7*EXP(Ft!F$40*($A394-Ft!F$2)^2)))</f>
        <v>1.9335104757590805E-11</v>
      </c>
      <c r="K394" s="3">
        <f>IF(($A394-Ft!G$2)&lt;0,Ft!G$3*((1-Ft!G$6)/(1+Ft!G$37*($A394-Ft!G$2)^2)+Ft!G$6*EXP(Ft!G$38*($A394-Ft!G$2)^2)),Ft!G$3*((1-Ft!G$7)/(1+Ft!G$39*($A394-Ft!G$2)^2)+Ft!G$7*EXP(Ft!G$40*($A394-Ft!G$2)^2)))</f>
        <v>0</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v>786</v>
      </c>
      <c r="B395">
        <v>17.444318488996998</v>
      </c>
      <c r="C395" s="6">
        <f t="shared" si="13"/>
        <v>17.450041145967916</v>
      </c>
      <c r="D395" s="19">
        <f t="shared" si="14"/>
        <v>3.2748802806787545E-5</v>
      </c>
      <c r="E395" s="3">
        <f>Ft!$B$12+Ft!$B$14*(Data!A395-Vars!$B$3)</f>
        <v>0</v>
      </c>
      <c r="F395" s="3">
        <f>IF(($A395-Ft!B$2)&lt;0,Ft!B$3*((1-Ft!B$6)/(1+Ft!B$37*($A395-Ft!B$2)^2)+Ft!B$6*EXP(Ft!B$38*($A395-Ft!B$2)^2)),Ft!B$3*((1-Ft!B$7)/(1+Ft!B$39*($A395-Ft!B$2)^2)+Ft!B$7*EXP(Ft!B$40*($A395-Ft!B$2)^2)))</f>
        <v>2.9612167465510623E-299</v>
      </c>
      <c r="G395" s="3">
        <f>IF(($A395-Ft!C$2)&lt;0,Ft!C$3*((1-Ft!C$6)/(1+Ft!C$37*($A395-Ft!C$2)^2)+Ft!C$6*EXP(Ft!C$38*($A395-Ft!C$2)^2)),Ft!C$3*((1-Ft!C$7)/(1+Ft!C$39*($A395-Ft!C$2)^2)+Ft!C$7*EXP(Ft!C$40*($A395-Ft!C$2)^2)))</f>
        <v>7.9919303804784493E-14</v>
      </c>
      <c r="H395" s="3">
        <f>IF(($A395-Ft!D$2)&lt;0,Ft!D$3*((1-Ft!D$6)/(1+Ft!D$37*($A395-Ft!D$2)^2)+Ft!D$6*EXP(Ft!D$38*($A395-Ft!D$2)^2)),Ft!D$3*((1-Ft!D$7)/(1+Ft!D$39*($A395-Ft!D$2)^2)+Ft!D$7*EXP(Ft!D$40*($A395-Ft!D$2)^2)))</f>
        <v>1.3481469452784678</v>
      </c>
      <c r="I395" s="3">
        <f>IF(($A395-Ft!E$2)&lt;0,Ft!E$3*((1-Ft!E$6)/(1+Ft!E$37*($A395-Ft!E$2)^2)+Ft!E$6*EXP(Ft!E$38*($A395-Ft!E$2)^2)),Ft!E$3*((1-Ft!E$7)/(1+Ft!E$39*($A395-Ft!E$2)^2)+Ft!E$7*EXP(Ft!E$40*($A395-Ft!E$2)^2)))</f>
        <v>16.101894200659704</v>
      </c>
      <c r="J395" s="3">
        <f>IF(($A395-Ft!F$2)&lt;0,Ft!F$3*((1-Ft!F$6)/(1+Ft!F$37*($A395-Ft!F$2)^2)+Ft!F$6*EXP(Ft!F$38*($A395-Ft!F$2)^2)),Ft!F$3*((1-Ft!F$7)/(1+Ft!F$39*($A395-Ft!F$2)^2)+Ft!F$7*EXP(Ft!F$40*($A395-Ft!F$2)^2)))</f>
        <v>2.9663634549176642E-11</v>
      </c>
      <c r="K395" s="3">
        <f>IF(($A395-Ft!G$2)&lt;0,Ft!G$3*((1-Ft!G$6)/(1+Ft!G$37*($A395-Ft!G$2)^2)+Ft!G$6*EXP(Ft!G$38*($A395-Ft!G$2)^2)),Ft!G$3*((1-Ft!G$7)/(1+Ft!G$39*($A395-Ft!G$2)^2)+Ft!G$7*EXP(Ft!G$40*($A395-Ft!G$2)^2)))</f>
        <v>0</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v>788</v>
      </c>
      <c r="B396">
        <v>17.428101985662991</v>
      </c>
      <c r="C396" s="6">
        <f t="shared" si="13"/>
        <v>17.443788775091743</v>
      </c>
      <c r="D396" s="19">
        <f t="shared" si="14"/>
        <v>2.4607536258201287E-4</v>
      </c>
      <c r="E396" s="3">
        <f>Ft!$B$12+Ft!$B$14*(Data!A396-Vars!$B$3)</f>
        <v>0</v>
      </c>
      <c r="F396" s="3">
        <f>IF(($A396-Ft!B$2)&lt;0,Ft!B$3*((1-Ft!B$6)/(1+Ft!B$37*($A396-Ft!B$2)^2)+Ft!B$6*EXP(Ft!B$38*($A396-Ft!B$2)^2)),Ft!B$3*((1-Ft!B$7)/(1+Ft!B$39*($A396-Ft!B$2)^2)+Ft!B$7*EXP(Ft!B$40*($A396-Ft!B$2)^2)))</f>
        <v>7.1431594647002426E-301</v>
      </c>
      <c r="G396" s="3">
        <f>IF(($A396-Ft!C$2)&lt;0,Ft!C$3*((1-Ft!C$6)/(1+Ft!C$37*($A396-Ft!C$2)^2)+Ft!C$6*EXP(Ft!C$38*($A396-Ft!C$2)^2)),Ft!C$3*((1-Ft!C$7)/(1+Ft!C$39*($A396-Ft!C$2)^2)+Ft!C$7*EXP(Ft!C$40*($A396-Ft!C$2)^2)))</f>
        <v>6.5361888384011291E-14</v>
      </c>
      <c r="H396" s="3">
        <f>IF(($A396-Ft!D$2)&lt;0,Ft!D$3*((1-Ft!D$6)/(1+Ft!D$37*($A396-Ft!D$2)^2)+Ft!D$6*EXP(Ft!D$38*($A396-Ft!D$2)^2)),Ft!D$3*((1-Ft!D$7)/(1+Ft!D$39*($A396-Ft!D$2)^2)+Ft!D$7*EXP(Ft!D$40*($A396-Ft!D$2)^2)))</f>
        <v>1.3087140668539992</v>
      </c>
      <c r="I396" s="3">
        <f>IF(($A396-Ft!E$2)&lt;0,Ft!E$3*((1-Ft!E$6)/(1+Ft!E$37*($A396-Ft!E$2)^2)+Ft!E$6*EXP(Ft!E$38*($A396-Ft!E$2)^2)),Ft!E$3*((1-Ft!E$7)/(1+Ft!E$39*($A396-Ft!E$2)^2)+Ft!E$7*EXP(Ft!E$40*($A396-Ft!E$2)^2)))</f>
        <v>16.135074708192327</v>
      </c>
      <c r="J396" s="3">
        <f>IF(($A396-Ft!F$2)&lt;0,Ft!F$3*((1-Ft!F$6)/(1+Ft!F$37*($A396-Ft!F$2)^2)+Ft!F$6*EXP(Ft!F$38*($A396-Ft!F$2)^2)),Ft!F$3*((1-Ft!F$7)/(1+Ft!F$39*($A396-Ft!F$2)^2)+Ft!F$7*EXP(Ft!F$40*($A396-Ft!F$2)^2)))</f>
        <v>4.5351679682523956E-11</v>
      </c>
      <c r="K396" s="3">
        <f>IF(($A396-Ft!G$2)&lt;0,Ft!G$3*((1-Ft!G$6)/(1+Ft!G$37*($A396-Ft!G$2)^2)+Ft!G$6*EXP(Ft!G$38*($A396-Ft!G$2)^2)),Ft!G$3*((1-Ft!G$7)/(1+Ft!G$39*($A396-Ft!G$2)^2)+Ft!G$7*EXP(Ft!G$40*($A396-Ft!G$2)^2)))</f>
        <v>0</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v>790</v>
      </c>
      <c r="B397">
        <v>17.410190542547994</v>
      </c>
      <c r="C397" s="6">
        <f t="shared" si="13"/>
        <v>17.436250282615564</v>
      </c>
      <c r="D397" s="19">
        <f t="shared" si="14"/>
        <v>6.7911005238931058E-4</v>
      </c>
      <c r="E397" s="3">
        <f>Ft!$B$12+Ft!$B$14*(Data!A397-Vars!$B$3)</f>
        <v>0</v>
      </c>
      <c r="F397" s="3">
        <f>IF(($A397-Ft!B$2)&lt;0,Ft!B$3*((1-Ft!B$6)/(1+Ft!B$37*($A397-Ft!B$2)^2)+Ft!B$6*EXP(Ft!B$38*($A397-Ft!B$2)^2)),Ft!B$3*((1-Ft!B$7)/(1+Ft!B$39*($A397-Ft!B$2)^2)+Ft!B$7*EXP(Ft!B$40*($A397-Ft!B$2)^2)))</f>
        <v>1.7058749465092604E-302</v>
      </c>
      <c r="G397" s="3">
        <f>IF(($A397-Ft!C$2)&lt;0,Ft!C$3*((1-Ft!C$6)/(1+Ft!C$37*($A397-Ft!C$2)^2)+Ft!C$6*EXP(Ft!C$38*($A397-Ft!C$2)^2)),Ft!C$3*((1-Ft!C$7)/(1+Ft!C$39*($A397-Ft!C$2)^2)+Ft!C$7*EXP(Ft!C$40*($A397-Ft!C$2)^2)))</f>
        <v>5.3422902451876045E-14</v>
      </c>
      <c r="H397" s="3">
        <f>IF(($A397-Ft!D$2)&lt;0,Ft!D$3*((1-Ft!D$6)/(1+Ft!D$37*($A397-Ft!D$2)^2)+Ft!D$6*EXP(Ft!D$38*($A397-Ft!D$2)^2)),Ft!D$3*((1-Ft!D$7)/(1+Ft!D$39*($A397-Ft!D$2)^2)+Ft!D$7*EXP(Ft!D$40*($A397-Ft!D$2)^2)))</f>
        <v>1.2702184610320102</v>
      </c>
      <c r="I397" s="3">
        <f>IF(($A397-Ft!E$2)&lt;0,Ft!E$3*((1-Ft!E$6)/(1+Ft!E$37*($A397-Ft!E$2)^2)+Ft!E$6*EXP(Ft!E$38*($A397-Ft!E$2)^2)),Ft!E$3*((1-Ft!E$7)/(1+Ft!E$39*($A397-Ft!E$2)^2)+Ft!E$7*EXP(Ft!E$40*($A397-Ft!E$2)^2)))</f>
        <v>16.166031821514405</v>
      </c>
      <c r="J397" s="3">
        <f>IF(($A397-Ft!F$2)&lt;0,Ft!F$3*((1-Ft!F$6)/(1+Ft!F$37*($A397-Ft!F$2)^2)+Ft!F$6*EXP(Ft!F$38*($A397-Ft!F$2)^2)),Ft!F$3*((1-Ft!F$7)/(1+Ft!F$39*($A397-Ft!F$2)^2)+Ft!F$7*EXP(Ft!F$40*($A397-Ft!F$2)^2)))</f>
        <v>6.9096106023212743E-11</v>
      </c>
      <c r="K397" s="3">
        <f>IF(($A397-Ft!G$2)&lt;0,Ft!G$3*((1-Ft!G$6)/(1+Ft!G$37*($A397-Ft!G$2)^2)+Ft!G$6*EXP(Ft!G$38*($A397-Ft!G$2)^2)),Ft!G$3*((1-Ft!G$7)/(1+Ft!G$39*($A397-Ft!G$2)^2)+Ft!G$7*EXP(Ft!G$40*($A397-Ft!G$2)^2)))</f>
        <v>0</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v>792</v>
      </c>
      <c r="B398">
        <v>17.390302640001991</v>
      </c>
      <c r="C398" s="6">
        <f t="shared" si="13"/>
        <v>17.427397953703995</v>
      </c>
      <c r="D398" s="19">
        <f t="shared" si="14"/>
        <v>1.3760622986500714E-3</v>
      </c>
      <c r="E398" s="3">
        <f>Ft!$B$12+Ft!$B$14*(Data!A398-Vars!$B$3)</f>
        <v>0</v>
      </c>
      <c r="F398" s="3">
        <f>IF(($A398-Ft!B$2)&lt;0,Ft!B$3*((1-Ft!B$6)/(1+Ft!B$37*($A398-Ft!B$2)^2)+Ft!B$6*EXP(Ft!B$38*($A398-Ft!B$2)^2)),Ft!B$3*((1-Ft!B$7)/(1+Ft!B$39*($A398-Ft!B$2)^2)+Ft!B$7*EXP(Ft!B$40*($A398-Ft!B$2)^2)))</f>
        <v>4.0331161845239415E-304</v>
      </c>
      <c r="G398" s="3">
        <f>IF(($A398-Ft!C$2)&lt;0,Ft!C$3*((1-Ft!C$6)/(1+Ft!C$37*($A398-Ft!C$2)^2)+Ft!C$6*EXP(Ft!C$38*($A398-Ft!C$2)^2)),Ft!C$3*((1-Ft!C$7)/(1+Ft!C$39*($A398-Ft!C$2)^2)+Ft!C$7*EXP(Ft!C$40*($A398-Ft!C$2)^2)))</f>
        <v>4.3637549783771588E-14</v>
      </c>
      <c r="H398" s="3">
        <f>IF(($A398-Ft!D$2)&lt;0,Ft!D$3*((1-Ft!D$6)/(1+Ft!D$37*($A398-Ft!D$2)^2)+Ft!D$6*EXP(Ft!D$38*($A398-Ft!D$2)^2)),Ft!D$3*((1-Ft!D$7)/(1+Ft!D$39*($A398-Ft!D$2)^2)+Ft!D$7*EXP(Ft!D$40*($A398-Ft!D$2)^2)))</f>
        <v>1.2326454632350989</v>
      </c>
      <c r="I398" s="3">
        <f>IF(($A398-Ft!E$2)&lt;0,Ft!E$3*((1-Ft!E$6)/(1+Ft!E$37*($A398-Ft!E$2)^2)+Ft!E$6*EXP(Ft!E$38*($A398-Ft!E$2)^2)),Ft!E$3*((1-Ft!E$7)/(1+Ft!E$39*($A398-Ft!E$2)^2)+Ft!E$7*EXP(Ft!E$40*($A398-Ft!E$2)^2)))</f>
        <v>16.194752490363943</v>
      </c>
      <c r="J398" s="3">
        <f>IF(($A398-Ft!F$2)&lt;0,Ft!F$3*((1-Ft!F$6)/(1+Ft!F$37*($A398-Ft!F$2)^2)+Ft!F$6*EXP(Ft!F$38*($A398-Ft!F$2)^2)),Ft!F$3*((1-Ft!F$7)/(1+Ft!F$39*($A398-Ft!F$2)^2)+Ft!F$7*EXP(Ft!F$40*($A398-Ft!F$2)^2)))</f>
        <v>1.0490711678597325E-10</v>
      </c>
      <c r="K398" s="3">
        <f>IF(($A398-Ft!G$2)&lt;0,Ft!G$3*((1-Ft!G$6)/(1+Ft!G$37*($A398-Ft!G$2)^2)+Ft!G$6*EXP(Ft!G$38*($A398-Ft!G$2)^2)),Ft!G$3*((1-Ft!G$7)/(1+Ft!G$39*($A398-Ft!G$2)^2)+Ft!G$7*EXP(Ft!G$40*($A398-Ft!G$2)^2)))</f>
        <v>0</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v>794</v>
      </c>
      <c r="B399">
        <v>17.368414490335994</v>
      </c>
      <c r="C399" s="6">
        <f t="shared" si="13"/>
        <v>17.417204969960448</v>
      </c>
      <c r="D399" s="19">
        <f t="shared" si="14"/>
        <v>2.3805109019842865E-3</v>
      </c>
      <c r="E399" s="3">
        <f>Ft!$B$12+Ft!$B$14*(Data!A399-Vars!$B$3)</f>
        <v>0</v>
      </c>
      <c r="F399" s="3">
        <f>IF(($A399-Ft!B$2)&lt;0,Ft!B$3*((1-Ft!B$6)/(1+Ft!B$37*($A399-Ft!B$2)^2)+Ft!B$6*EXP(Ft!B$38*($A399-Ft!B$2)^2)),Ft!B$3*((1-Ft!B$7)/(1+Ft!B$39*($A399-Ft!B$2)^2)+Ft!B$7*EXP(Ft!B$40*($A399-Ft!B$2)^2)))</f>
        <v>9.4399777833406274E-306</v>
      </c>
      <c r="G399" s="3">
        <f>IF(($A399-Ft!C$2)&lt;0,Ft!C$3*((1-Ft!C$6)/(1+Ft!C$37*($A399-Ft!C$2)^2)+Ft!C$6*EXP(Ft!C$38*($A399-Ft!C$2)^2)),Ft!C$3*((1-Ft!C$7)/(1+Ft!C$39*($A399-Ft!C$2)^2)+Ft!C$7*EXP(Ft!C$40*($A399-Ft!C$2)^2)))</f>
        <v>3.5622403985514059E-14</v>
      </c>
      <c r="H399" s="3">
        <f>IF(($A399-Ft!D$2)&lt;0,Ft!D$3*((1-Ft!D$6)/(1+Ft!D$37*($A399-Ft!D$2)^2)+Ft!D$6*EXP(Ft!D$38*($A399-Ft!D$2)^2)),Ft!D$3*((1-Ft!D$7)/(1+Ft!D$39*($A399-Ft!D$2)^2)+Ft!D$7*EXP(Ft!D$40*($A399-Ft!D$2)^2)))</f>
        <v>1.1959803775568389</v>
      </c>
      <c r="I399" s="3">
        <f>IF(($A399-Ft!E$2)&lt;0,Ft!E$3*((1-Ft!E$6)/(1+Ft!E$37*($A399-Ft!E$2)^2)+Ft!E$6*EXP(Ft!E$38*($A399-Ft!E$2)^2)),Ft!E$3*((1-Ft!E$7)/(1+Ft!E$39*($A399-Ft!E$2)^2)+Ft!E$7*EXP(Ft!E$40*($A399-Ft!E$2)^2)))</f>
        <v>16.221224592244848</v>
      </c>
      <c r="J399" s="3">
        <f>IF(($A399-Ft!F$2)&lt;0,Ft!F$3*((1-Ft!F$6)/(1+Ft!F$37*($A399-Ft!F$2)^2)+Ft!F$6*EXP(Ft!F$38*($A399-Ft!F$2)^2)),Ft!F$3*((1-Ft!F$7)/(1+Ft!F$39*($A399-Ft!F$2)^2)+Ft!F$7*EXP(Ft!F$40*($A399-Ft!F$2)^2)))</f>
        <v>1.5872579516266857E-10</v>
      </c>
      <c r="K399" s="3">
        <f>IF(($A399-Ft!G$2)&lt;0,Ft!G$3*((1-Ft!G$6)/(1+Ft!G$37*($A399-Ft!G$2)^2)+Ft!G$6*EXP(Ft!G$38*($A399-Ft!G$2)^2)),Ft!G$3*((1-Ft!G$7)/(1+Ft!G$39*($A399-Ft!G$2)^2)+Ft!G$7*EXP(Ft!G$40*($A399-Ft!G$2)^2)))</f>
        <v>0</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v>796</v>
      </c>
      <c r="B400">
        <v>17.345804817692994</v>
      </c>
      <c r="C400" s="6">
        <f t="shared" si="13"/>
        <v>17.405645428733184</v>
      </c>
      <c r="D400" s="19">
        <f t="shared" si="14"/>
        <v>3.58089872966335E-3</v>
      </c>
      <c r="E400" s="3">
        <f>Ft!$B$12+Ft!$B$14*(Data!A400-Vars!$B$3)</f>
        <v>0</v>
      </c>
      <c r="F400" s="3">
        <f>IF(($A400-Ft!B$2)&lt;0,Ft!B$3*((1-Ft!B$6)/(1+Ft!B$37*($A400-Ft!B$2)^2)+Ft!B$6*EXP(Ft!B$38*($A400-Ft!B$2)^2)),Ft!B$3*((1-Ft!B$7)/(1+Ft!B$39*($A400-Ft!B$2)^2)+Ft!B$7*EXP(Ft!B$40*($A400-Ft!B$2)^2)))</f>
        <v>2.1874488573915373E-307</v>
      </c>
      <c r="G400" s="3">
        <f>IF(($A400-Ft!C$2)&lt;0,Ft!C$3*((1-Ft!C$6)/(1+Ft!C$37*($A400-Ft!C$2)^2)+Ft!C$6*EXP(Ft!C$38*($A400-Ft!C$2)^2)),Ft!C$3*((1-Ft!C$7)/(1+Ft!C$39*($A400-Ft!C$2)^2)+Ft!C$7*EXP(Ft!C$40*($A400-Ft!C$2)^2)))</f>
        <v>2.9061369832452139E-14</v>
      </c>
      <c r="H400" s="3">
        <f>IF(($A400-Ft!D$2)&lt;0,Ft!D$3*((1-Ft!D$6)/(1+Ft!D$37*($A400-Ft!D$2)^2)+Ft!D$6*EXP(Ft!D$38*($A400-Ft!D$2)^2)),Ft!D$3*((1-Ft!D$7)/(1+Ft!D$39*($A400-Ft!D$2)^2)+Ft!D$7*EXP(Ft!D$40*($A400-Ft!D$2)^2)))</f>
        <v>1.1602084875396814</v>
      </c>
      <c r="I400" s="3">
        <f>IF(($A400-Ft!E$2)&lt;0,Ft!E$3*((1-Ft!E$6)/(1+Ft!E$37*($A400-Ft!E$2)^2)+Ft!E$6*EXP(Ft!E$38*($A400-Ft!E$2)^2)),Ft!E$3*((1-Ft!E$7)/(1+Ft!E$39*($A400-Ft!E$2)^2)+Ft!E$7*EXP(Ft!E$40*($A400-Ft!E$2)^2)))</f>
        <v>16.245436940954153</v>
      </c>
      <c r="J400" s="3">
        <f>IF(($A400-Ft!F$2)&lt;0,Ft!F$3*((1-Ft!F$6)/(1+Ft!F$37*($A400-Ft!F$2)^2)+Ft!F$6*EXP(Ft!F$38*($A400-Ft!F$2)^2)),Ft!F$3*((1-Ft!F$7)/(1+Ft!F$39*($A400-Ft!F$2)^2)+Ft!F$7*EXP(Ft!F$40*($A400-Ft!F$2)^2)))</f>
        <v>2.3932124499362468E-10</v>
      </c>
      <c r="K400" s="3">
        <f>IF(($A400-Ft!G$2)&lt;0,Ft!G$3*((1-Ft!G$6)/(1+Ft!G$37*($A400-Ft!G$2)^2)+Ft!G$6*EXP(Ft!G$38*($A400-Ft!G$2)^2)),Ft!G$3*((1-Ft!G$7)/(1+Ft!G$39*($A400-Ft!G$2)^2)+Ft!G$7*EXP(Ft!G$40*($A400-Ft!G$2)^2)))</f>
        <v>0</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v>798</v>
      </c>
      <c r="B401">
        <v>17.322485233956996</v>
      </c>
      <c r="C401" s="6">
        <f t="shared" si="13"/>
        <v>17.392694361469715</v>
      </c>
      <c r="D401" s="19">
        <f t="shared" si="14"/>
        <v>4.9293215860972068E-3</v>
      </c>
      <c r="E401" s="3">
        <f>Ft!$B$12+Ft!$B$14*(Data!A401-Vars!$B$3)</f>
        <v>0</v>
      </c>
      <c r="F401" s="3">
        <f>IF(($A401-Ft!B$2)&lt;0,Ft!B$3*((1-Ft!B$6)/(1+Ft!B$37*($A401-Ft!B$2)^2)+Ft!B$6*EXP(Ft!B$38*($A401-Ft!B$2)^2)),Ft!B$3*((1-Ft!B$7)/(1+Ft!B$39*($A401-Ft!B$2)^2)+Ft!B$7*EXP(Ft!B$40*($A401-Ft!B$2)^2)))</f>
        <v>0</v>
      </c>
      <c r="G401" s="3">
        <f>IF(($A401-Ft!C$2)&lt;0,Ft!C$3*((1-Ft!C$6)/(1+Ft!C$37*($A401-Ft!C$2)^2)+Ft!C$6*EXP(Ft!C$38*($A401-Ft!C$2)^2)),Ft!C$3*((1-Ft!C$7)/(1+Ft!C$39*($A401-Ft!C$2)^2)+Ft!C$7*EXP(Ft!C$40*($A401-Ft!C$2)^2)))</f>
        <v>2.369402964143529E-14</v>
      </c>
      <c r="H401" s="3">
        <f>IF(($A401-Ft!D$2)&lt;0,Ft!D$3*((1-Ft!D$6)/(1+Ft!D$37*($A401-Ft!D$2)^2)+Ft!D$6*EXP(Ft!D$38*($A401-Ft!D$2)^2)),Ft!D$3*((1-Ft!D$7)/(1+Ft!D$39*($A401-Ft!D$2)^2)+Ft!D$7*EXP(Ft!D$40*($A401-Ft!D$2)^2)))</f>
        <v>1.1253150666503893</v>
      </c>
      <c r="I401" s="3">
        <f>IF(($A401-Ft!E$2)&lt;0,Ft!E$3*((1-Ft!E$6)/(1+Ft!E$37*($A401-Ft!E$2)^2)+Ft!E$6*EXP(Ft!E$38*($A401-Ft!E$2)^2)),Ft!E$3*((1-Ft!E$7)/(1+Ft!E$39*($A401-Ft!E$2)^2)+Ft!E$7*EXP(Ft!E$40*($A401-Ft!E$2)^2)))</f>
        <v>16.267379294459715</v>
      </c>
      <c r="J401" s="3">
        <f>IF(($A401-Ft!F$2)&lt;0,Ft!F$3*((1-Ft!F$6)/(1+Ft!F$37*($A401-Ft!F$2)^2)+Ft!F$6*EXP(Ft!F$38*($A401-Ft!F$2)^2)),Ft!F$3*((1-Ft!F$7)/(1+Ft!F$39*($A401-Ft!F$2)^2)+Ft!F$7*EXP(Ft!F$40*($A401-Ft!F$2)^2)))</f>
        <v>3.5958881733296023E-10</v>
      </c>
      <c r="K401" s="3">
        <f>IF(($A401-Ft!G$2)&lt;0,Ft!G$3*((1-Ft!G$6)/(1+Ft!G$37*($A401-Ft!G$2)^2)+Ft!G$6*EXP(Ft!G$38*($A401-Ft!G$2)^2)),Ft!G$3*((1-Ft!G$7)/(1+Ft!G$39*($A401-Ft!G$2)^2)+Ft!G$7*EXP(Ft!G$40*($A401-Ft!G$2)^2)))</f>
        <v>0</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v>800</v>
      </c>
      <c r="B402">
        <v>17.298211158160996</v>
      </c>
      <c r="C402" s="6">
        <f t="shared" si="13"/>
        <v>17.378327751110469</v>
      </c>
      <c r="D402" s="19">
        <f t="shared" si="14"/>
        <v>6.4186684658315354E-3</v>
      </c>
      <c r="E402" s="3">
        <f>Ft!$B$12+Ft!$B$14*(Data!A402-Vars!$B$3)</f>
        <v>0</v>
      </c>
      <c r="F402" s="3">
        <f>IF(($A402-Ft!B$2)&lt;0,Ft!B$3*((1-Ft!B$6)/(1+Ft!B$37*($A402-Ft!B$2)^2)+Ft!B$6*EXP(Ft!B$38*($A402-Ft!B$2)^2)),Ft!B$3*((1-Ft!B$7)/(1+Ft!B$39*($A402-Ft!B$2)^2)+Ft!B$7*EXP(Ft!B$40*($A402-Ft!B$2)^2)))</f>
        <v>0</v>
      </c>
      <c r="G402" s="3">
        <f>IF(($A402-Ft!C$2)&lt;0,Ft!C$3*((1-Ft!C$6)/(1+Ft!C$37*($A402-Ft!C$2)^2)+Ft!C$6*EXP(Ft!C$38*($A402-Ft!C$2)^2)),Ft!C$3*((1-Ft!C$7)/(1+Ft!C$39*($A402-Ft!C$2)^2)+Ft!C$7*EXP(Ft!C$40*($A402-Ft!C$2)^2)))</f>
        <v>1.930597604577256E-14</v>
      </c>
      <c r="H402" s="3">
        <f>IF(($A402-Ft!D$2)&lt;0,Ft!D$3*((1-Ft!D$6)/(1+Ft!D$37*($A402-Ft!D$2)^2)+Ft!D$6*EXP(Ft!D$38*($A402-Ft!D$2)^2)),Ft!D$3*((1-Ft!D$7)/(1+Ft!D$39*($A402-Ft!D$2)^2)+Ft!D$7*EXP(Ft!D$40*($A402-Ft!D$2)^2)))</f>
        <v>1.0912853884514837</v>
      </c>
      <c r="I402" s="3">
        <f>IF(($A402-Ft!E$2)&lt;0,Ft!E$3*((1-Ft!E$6)/(1+Ft!E$37*($A402-Ft!E$2)^2)+Ft!E$6*EXP(Ft!E$38*($A402-Ft!E$2)^2)),Ft!E$3*((1-Ft!E$7)/(1+Ft!E$39*($A402-Ft!E$2)^2)+Ft!E$7*EXP(Ft!E$40*($A402-Ft!E$2)^2)))</f>
        <v>16.287042362120545</v>
      </c>
      <c r="J402" s="3">
        <f>IF(($A402-Ft!F$2)&lt;0,Ft!F$3*((1-Ft!F$6)/(1+Ft!F$37*($A402-Ft!F$2)^2)+Ft!F$6*EXP(Ft!F$38*($A402-Ft!F$2)^2)),Ft!F$3*((1-Ft!F$7)/(1+Ft!F$39*($A402-Ft!F$2)^2)+Ft!F$7*EXP(Ft!F$40*($A402-Ft!F$2)^2)))</f>
        <v>5.3842136307433963E-10</v>
      </c>
      <c r="K402" s="3">
        <f>IF(($A402-Ft!G$2)&lt;0,Ft!G$3*((1-Ft!G$6)/(1+Ft!G$37*($A402-Ft!G$2)^2)+Ft!G$6*EXP(Ft!G$38*($A402-Ft!G$2)^2)),Ft!G$3*((1-Ft!G$7)/(1+Ft!G$39*($A402-Ft!G$2)^2)+Ft!G$7*EXP(Ft!G$40*($A402-Ft!G$2)^2)))</f>
        <v>0</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v>802</v>
      </c>
      <c r="B403">
        <v>17.272738009339989</v>
      </c>
      <c r="C403" s="6">
        <f t="shared" si="13"/>
        <v>17.362522548513734</v>
      </c>
      <c r="D403" s="19">
        <f t="shared" si="14"/>
        <v>8.0612634746418423E-3</v>
      </c>
      <c r="E403" s="3">
        <f>Ft!$B$12+Ft!$B$14*(Data!A403-Vars!$B$3)</f>
        <v>0</v>
      </c>
      <c r="F403" s="3">
        <f>IF(($A403-Ft!B$2)&lt;0,Ft!B$3*((1-Ft!B$6)/(1+Ft!B$37*($A403-Ft!B$2)^2)+Ft!B$6*EXP(Ft!B$38*($A403-Ft!B$2)^2)),Ft!B$3*((1-Ft!B$7)/(1+Ft!B$39*($A403-Ft!B$2)^2)+Ft!B$7*EXP(Ft!B$40*($A403-Ft!B$2)^2)))</f>
        <v>0</v>
      </c>
      <c r="G403" s="3">
        <f>IF(($A403-Ft!C$2)&lt;0,Ft!C$3*((1-Ft!C$6)/(1+Ft!C$37*($A403-Ft!C$2)^2)+Ft!C$6*EXP(Ft!C$38*($A403-Ft!C$2)^2)),Ft!C$3*((1-Ft!C$7)/(1+Ft!C$39*($A403-Ft!C$2)^2)+Ft!C$7*EXP(Ft!C$40*($A403-Ft!C$2)^2)))</f>
        <v>1.5720798021815642E-14</v>
      </c>
      <c r="H403" s="3">
        <f>IF(($A403-Ft!D$2)&lt;0,Ft!D$3*((1-Ft!D$6)/(1+Ft!D$37*($A403-Ft!D$2)^2)+Ft!D$6*EXP(Ft!D$38*($A403-Ft!D$2)^2)),Ft!D$3*((1-Ft!D$7)/(1+Ft!D$39*($A403-Ft!D$2)^2)+Ft!D$7*EXP(Ft!D$40*($A403-Ft!D$2)^2)))</f>
        <v>1.0581047364675655</v>
      </c>
      <c r="I403" s="3">
        <f>IF(($A403-Ft!E$2)&lt;0,Ft!E$3*((1-Ft!E$6)/(1+Ft!E$37*($A403-Ft!E$2)^2)+Ft!E$6*EXP(Ft!E$38*($A403-Ft!E$2)^2)),Ft!E$3*((1-Ft!E$7)/(1+Ft!E$39*($A403-Ft!E$2)^2)+Ft!E$7*EXP(Ft!E$40*($A403-Ft!E$2)^2)))</f>
        <v>16.304417811242757</v>
      </c>
      <c r="J403" s="3">
        <f>IF(($A403-Ft!F$2)&lt;0,Ft!F$3*((1-Ft!F$6)/(1+Ft!F$37*($A403-Ft!F$2)^2)+Ft!F$6*EXP(Ft!F$38*($A403-Ft!F$2)^2)),Ft!F$3*((1-Ft!F$7)/(1+Ft!F$39*($A403-Ft!F$2)^2)+Ft!F$7*EXP(Ft!F$40*($A403-Ft!F$2)^2)))</f>
        <v>8.0339582561006447E-10</v>
      </c>
      <c r="K403" s="3">
        <f>IF(($A403-Ft!G$2)&lt;0,Ft!G$3*((1-Ft!G$6)/(1+Ft!G$37*($A403-Ft!G$2)^2)+Ft!G$6*EXP(Ft!G$38*($A403-Ft!G$2)^2)),Ft!G$3*((1-Ft!G$7)/(1+Ft!G$39*($A403-Ft!G$2)^2)+Ft!G$7*EXP(Ft!G$40*($A403-Ft!G$2)^2)))</f>
        <v>0</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v>804</v>
      </c>
      <c r="B404">
        <v>17.245821206525989</v>
      </c>
      <c r="C404" s="6">
        <f t="shared" si="13"/>
        <v>17.345256687904921</v>
      </c>
      <c r="D404" s="19">
        <f t="shared" si="14"/>
        <v>9.8874149570601071E-3</v>
      </c>
      <c r="E404" s="3">
        <f>Ft!$B$12+Ft!$B$14*(Data!A404-Vars!$B$3)</f>
        <v>0</v>
      </c>
      <c r="F404" s="3">
        <f>IF(($A404-Ft!B$2)&lt;0,Ft!B$3*((1-Ft!B$6)/(1+Ft!B$37*($A404-Ft!B$2)^2)+Ft!B$6*EXP(Ft!B$38*($A404-Ft!B$2)^2)),Ft!B$3*((1-Ft!B$7)/(1+Ft!B$39*($A404-Ft!B$2)^2)+Ft!B$7*EXP(Ft!B$40*($A404-Ft!B$2)^2)))</f>
        <v>0</v>
      </c>
      <c r="G404" s="3">
        <f>IF(($A404-Ft!C$2)&lt;0,Ft!C$3*((1-Ft!C$6)/(1+Ft!C$37*($A404-Ft!C$2)^2)+Ft!C$6*EXP(Ft!C$38*($A404-Ft!C$2)^2)),Ft!C$3*((1-Ft!C$7)/(1+Ft!C$39*($A404-Ft!C$2)^2)+Ft!C$7*EXP(Ft!C$40*($A404-Ft!C$2)^2)))</f>
        <v>1.279344193676914E-14</v>
      </c>
      <c r="H404" s="3">
        <f>IF(($A404-Ft!D$2)&lt;0,Ft!D$3*((1-Ft!D$6)/(1+Ft!D$37*($A404-Ft!D$2)^2)+Ft!D$6*EXP(Ft!D$38*($A404-Ft!D$2)^2)),Ft!D$3*((1-Ft!D$7)/(1+Ft!D$39*($A404-Ft!D$2)^2)+Ft!D$7*EXP(Ft!D$40*($A404-Ft!D$2)^2)))</f>
        <v>1.0257584137457605</v>
      </c>
      <c r="I404" s="3">
        <f>IF(($A404-Ft!E$2)&lt;0,Ft!E$3*((1-Ft!E$6)/(1+Ft!E$37*($A404-Ft!E$2)^2)+Ft!E$6*EXP(Ft!E$38*($A404-Ft!E$2)^2)),Ft!E$3*((1-Ft!E$7)/(1+Ft!E$39*($A404-Ft!E$2)^2)+Ft!E$7*EXP(Ft!E$40*($A404-Ft!E$2)^2)))</f>
        <v>16.319498272964534</v>
      </c>
      <c r="J404" s="3">
        <f>IF(($A404-Ft!F$2)&lt;0,Ft!F$3*((1-Ft!F$6)/(1+Ft!F$37*($A404-Ft!F$2)^2)+Ft!F$6*EXP(Ft!F$38*($A404-Ft!F$2)^2)),Ft!F$3*((1-Ft!F$7)/(1+Ft!F$39*($A404-Ft!F$2)^2)+Ft!F$7*EXP(Ft!F$40*($A404-Ft!F$2)^2)))</f>
        <v>1.1946152112284448E-9</v>
      </c>
      <c r="K404" s="3">
        <f>IF(($A404-Ft!G$2)&lt;0,Ft!G$3*((1-Ft!G$6)/(1+Ft!G$37*($A404-Ft!G$2)^2)+Ft!G$6*EXP(Ft!G$38*($A404-Ft!G$2)^2)),Ft!G$3*((1-Ft!G$7)/(1+Ft!G$39*($A404-Ft!G$2)^2)+Ft!G$7*EXP(Ft!G$40*($A404-Ft!G$2)^2)))</f>
        <v>0</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v>806</v>
      </c>
      <c r="B405">
        <v>17.217216168752998</v>
      </c>
      <c r="C405" s="6">
        <f t="shared" si="13"/>
        <v>17.32650910134452</v>
      </c>
      <c r="D405" s="19">
        <f t="shared" si="14"/>
        <v>1.194494511445501E-2</v>
      </c>
      <c r="E405" s="3">
        <f>Ft!$B$12+Ft!$B$14*(Data!A405-Vars!$B$3)</f>
        <v>0</v>
      </c>
      <c r="F405" s="3">
        <f>IF(($A405-Ft!B$2)&lt;0,Ft!B$3*((1-Ft!B$6)/(1+Ft!B$37*($A405-Ft!B$2)^2)+Ft!B$6*EXP(Ft!B$38*($A405-Ft!B$2)^2)),Ft!B$3*((1-Ft!B$7)/(1+Ft!B$39*($A405-Ft!B$2)^2)+Ft!B$7*EXP(Ft!B$40*($A405-Ft!B$2)^2)))</f>
        <v>0</v>
      </c>
      <c r="G405" s="3">
        <f>IF(($A405-Ft!C$2)&lt;0,Ft!C$3*((1-Ft!C$6)/(1+Ft!C$37*($A405-Ft!C$2)^2)+Ft!C$6*EXP(Ft!C$38*($A405-Ft!C$2)^2)),Ft!C$3*((1-Ft!C$7)/(1+Ft!C$39*($A405-Ft!C$2)^2)+Ft!C$7*EXP(Ft!C$40*($A405-Ft!C$2)^2)))</f>
        <v>1.0404715419415258E-14</v>
      </c>
      <c r="H405" s="3">
        <f>IF(($A405-Ft!D$2)&lt;0,Ft!D$3*((1-Ft!D$6)/(1+Ft!D$37*($A405-Ft!D$2)^2)+Ft!D$6*EXP(Ft!D$38*($A405-Ft!D$2)^2)),Ft!D$3*((1-Ft!D$7)/(1+Ft!D$39*($A405-Ft!D$2)^2)+Ft!D$7*EXP(Ft!D$40*($A405-Ft!D$2)^2)))</f>
        <v>0.99423175210994108</v>
      </c>
      <c r="I405" s="3">
        <f>IF(($A405-Ft!E$2)&lt;0,Ft!E$3*((1-Ft!E$6)/(1+Ft!E$37*($A405-Ft!E$2)^2)+Ft!E$6*EXP(Ft!E$38*($A405-Ft!E$2)^2)),Ft!E$3*((1-Ft!E$7)/(1+Ft!E$39*($A405-Ft!E$2)^2)+Ft!E$7*EXP(Ft!E$40*($A405-Ft!E$2)^2)))</f>
        <v>16.332277347464387</v>
      </c>
      <c r="J405" s="3">
        <f>IF(($A405-Ft!F$2)&lt;0,Ft!F$3*((1-Ft!F$6)/(1+Ft!F$37*($A405-Ft!F$2)^2)+Ft!F$6*EXP(Ft!F$38*($A405-Ft!F$2)^2)),Ft!F$3*((1-Ft!F$7)/(1+Ft!F$39*($A405-Ft!F$2)^2)+Ft!F$7*EXP(Ft!F$40*($A405-Ft!F$2)^2)))</f>
        <v>1.7701810685663469E-9</v>
      </c>
      <c r="K405" s="3">
        <f>IF(($A405-Ft!G$2)&lt;0,Ft!G$3*((1-Ft!G$6)/(1+Ft!G$37*($A405-Ft!G$2)^2)+Ft!G$6*EXP(Ft!G$38*($A405-Ft!G$2)^2)),Ft!G$3*((1-Ft!G$7)/(1+Ft!G$39*($A405-Ft!G$2)^2)+Ft!G$7*EXP(Ft!G$40*($A405-Ft!G$2)^2)))</f>
        <v>0</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v>808</v>
      </c>
      <c r="B406">
        <v>17.186678315054991</v>
      </c>
      <c r="C406" s="6">
        <f t="shared" si="13"/>
        <v>17.306259732210208</v>
      </c>
      <c r="D406" s="19">
        <f t="shared" si="14"/>
        <v>1.4299715328850073E-2</v>
      </c>
      <c r="E406" s="3">
        <f>Ft!$B$12+Ft!$B$14*(Data!A406-Vars!$B$3)</f>
        <v>0</v>
      </c>
      <c r="F406" s="3">
        <f>IF(($A406-Ft!B$2)&lt;0,Ft!B$3*((1-Ft!B$6)/(1+Ft!B$37*($A406-Ft!B$2)^2)+Ft!B$6*EXP(Ft!B$38*($A406-Ft!B$2)^2)),Ft!B$3*((1-Ft!B$7)/(1+Ft!B$39*($A406-Ft!B$2)^2)+Ft!B$7*EXP(Ft!B$40*($A406-Ft!B$2)^2)))</f>
        <v>0</v>
      </c>
      <c r="G406" s="3">
        <f>IF(($A406-Ft!C$2)&lt;0,Ft!C$3*((1-Ft!C$6)/(1+Ft!C$37*($A406-Ft!C$2)^2)+Ft!C$6*EXP(Ft!C$38*($A406-Ft!C$2)^2)),Ft!C$3*((1-Ft!C$7)/(1+Ft!C$39*($A406-Ft!C$2)^2)+Ft!C$7*EXP(Ft!C$40*($A406-Ft!C$2)^2)))</f>
        <v>8.4567404091589427E-15</v>
      </c>
      <c r="H406" s="3">
        <f>IF(($A406-Ft!D$2)&lt;0,Ft!D$3*((1-Ft!D$6)/(1+Ft!D$37*($A406-Ft!D$2)^2)+Ft!D$6*EXP(Ft!D$38*($A406-Ft!D$2)^2)),Ft!D$3*((1-Ft!D$7)/(1+Ft!D$39*($A406-Ft!D$2)^2)+Ft!D$7*EXP(Ft!D$40*($A406-Ft!D$2)^2)))</f>
        <v>0.96351012110872603</v>
      </c>
      <c r="I406" s="3">
        <f>IF(($A406-Ft!E$2)&lt;0,Ft!E$3*((1-Ft!E$6)/(1+Ft!E$37*($A406-Ft!E$2)^2)+Ft!E$6*EXP(Ft!E$38*($A406-Ft!E$2)^2)),Ft!E$3*((1-Ft!E$7)/(1+Ft!E$39*($A406-Ft!E$2)^2)+Ft!E$7*EXP(Ft!E$40*($A406-Ft!E$2)^2)))</f>
        <v>16.342749608487516</v>
      </c>
      <c r="J406" s="3">
        <f>IF(($A406-Ft!F$2)&lt;0,Ft!F$3*((1-Ft!F$6)/(1+Ft!F$37*($A406-Ft!F$2)^2)+Ft!F$6*EXP(Ft!F$38*($A406-Ft!F$2)^2)),Ft!F$3*((1-Ft!F$7)/(1+Ft!F$39*($A406-Ft!F$2)^2)+Ft!F$7*EXP(Ft!F$40*($A406-Ft!F$2)^2)))</f>
        <v>2.6139575178332588E-9</v>
      </c>
      <c r="K406" s="3">
        <f>IF(($A406-Ft!G$2)&lt;0,Ft!G$3*((1-Ft!G$6)/(1+Ft!G$37*($A406-Ft!G$2)^2)+Ft!G$6*EXP(Ft!G$38*($A406-Ft!G$2)^2)),Ft!G$3*((1-Ft!G$7)/(1+Ft!G$39*($A406-Ft!G$2)^2)+Ft!G$7*EXP(Ft!G$40*($A406-Ft!G$2)^2)))</f>
        <v>0</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v>810</v>
      </c>
      <c r="B407">
        <v>17.154160899711997</v>
      </c>
      <c r="C407" s="6">
        <f t="shared" si="13"/>
        <v>17.284489547689951</v>
      </c>
      <c r="D407" s="19">
        <f t="shared" si="14"/>
        <v>1.6985556483761557E-2</v>
      </c>
      <c r="E407" s="3">
        <f>Ft!$B$12+Ft!$B$14*(Data!A407-Vars!$B$3)</f>
        <v>0</v>
      </c>
      <c r="F407" s="3">
        <f>IF(($A407-Ft!B$2)&lt;0,Ft!B$3*((1-Ft!B$6)/(1+Ft!B$37*($A407-Ft!B$2)^2)+Ft!B$6*EXP(Ft!B$38*($A407-Ft!B$2)^2)),Ft!B$3*((1-Ft!B$7)/(1+Ft!B$39*($A407-Ft!B$2)^2)+Ft!B$7*EXP(Ft!B$40*($A407-Ft!B$2)^2)))</f>
        <v>0</v>
      </c>
      <c r="G407" s="3">
        <f>IF(($A407-Ft!C$2)&lt;0,Ft!C$3*((1-Ft!C$6)/(1+Ft!C$37*($A407-Ft!C$2)^2)+Ft!C$6*EXP(Ft!C$38*($A407-Ft!C$2)^2)),Ft!C$3*((1-Ft!C$7)/(1+Ft!C$39*($A407-Ft!C$2)^2)+Ft!C$7*EXP(Ft!C$40*($A407-Ft!C$2)^2)))</f>
        <v>6.8691940055684934E-15</v>
      </c>
      <c r="H407" s="3">
        <f>IF(($A407-Ft!D$2)&lt;0,Ft!D$3*((1-Ft!D$6)/(1+Ft!D$37*($A407-Ft!D$2)^2)+Ft!D$6*EXP(Ft!D$38*($A407-Ft!D$2)^2)),Ft!D$3*((1-Ft!D$7)/(1+Ft!D$39*($A407-Ft!D$2)^2)+Ft!D$7*EXP(Ft!D$40*($A407-Ft!D$2)^2)))</f>
        <v>0.93357893665762837</v>
      </c>
      <c r="I407" s="3">
        <f>IF(($A407-Ft!E$2)&lt;0,Ft!E$3*((1-Ft!E$6)/(1+Ft!E$37*($A407-Ft!E$2)^2)+Ft!E$6*EXP(Ft!E$38*($A407-Ft!E$2)^2)),Ft!E$3*((1-Ft!E$7)/(1+Ft!E$39*($A407-Ft!E$2)^2)+Ft!E$7*EXP(Ft!E$40*($A407-Ft!E$2)^2)))</f>
        <v>16.350910607185774</v>
      </c>
      <c r="J407" s="3">
        <f>IF(($A407-Ft!F$2)&lt;0,Ft!F$3*((1-Ft!F$6)/(1+Ft!F$37*($A407-Ft!F$2)^2)+Ft!F$6*EXP(Ft!F$38*($A407-Ft!F$2)^2)),Ft!F$3*((1-Ft!F$7)/(1+Ft!F$39*($A407-Ft!F$2)^2)+Ft!F$7*EXP(Ft!F$40*($A407-Ft!F$2)^2)))</f>
        <v>3.846542544678979E-9</v>
      </c>
      <c r="K407" s="3">
        <f>IF(($A407-Ft!G$2)&lt;0,Ft!G$3*((1-Ft!G$6)/(1+Ft!G$37*($A407-Ft!G$2)^2)+Ft!G$6*EXP(Ft!G$38*($A407-Ft!G$2)^2)),Ft!G$3*((1-Ft!G$7)/(1+Ft!G$39*($A407-Ft!G$2)^2)+Ft!G$7*EXP(Ft!G$40*($A407-Ft!G$2)^2)))</f>
        <v>0</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v>812</v>
      </c>
      <c r="B408">
        <v>17.120665874167997</v>
      </c>
      <c r="C408" s="6">
        <f t="shared" si="13"/>
        <v>17.261180550284273</v>
      </c>
      <c r="D408" s="19">
        <f t="shared" si="14"/>
        <v>1.9744374204061787E-2</v>
      </c>
      <c r="E408" s="3">
        <f>Ft!$B$12+Ft!$B$14*(Data!A408-Vars!$B$3)</f>
        <v>0</v>
      </c>
      <c r="F408" s="3">
        <f>IF(($A408-Ft!B$2)&lt;0,Ft!B$3*((1-Ft!B$6)/(1+Ft!B$37*($A408-Ft!B$2)^2)+Ft!B$6*EXP(Ft!B$38*($A408-Ft!B$2)^2)),Ft!B$3*((1-Ft!B$7)/(1+Ft!B$39*($A408-Ft!B$2)^2)+Ft!B$7*EXP(Ft!B$40*($A408-Ft!B$2)^2)))</f>
        <v>0</v>
      </c>
      <c r="G408" s="3">
        <f>IF(($A408-Ft!C$2)&lt;0,Ft!C$3*((1-Ft!C$6)/(1+Ft!C$37*($A408-Ft!C$2)^2)+Ft!C$6*EXP(Ft!C$38*($A408-Ft!C$2)^2)),Ft!C$3*((1-Ft!C$7)/(1+Ft!C$39*($A408-Ft!C$2)^2)+Ft!C$7*EXP(Ft!C$40*($A408-Ft!C$2)^2)))</f>
        <v>5.5762027259863724E-15</v>
      </c>
      <c r="H408" s="3">
        <f>IF(($A408-Ft!D$2)&lt;0,Ft!D$3*((1-Ft!D$6)/(1+Ft!D$37*($A408-Ft!D$2)^2)+Ft!D$6*EXP(Ft!D$38*($A408-Ft!D$2)^2)),Ft!D$3*((1-Ft!D$7)/(1+Ft!D$39*($A408-Ft!D$2)^2)+Ft!D$7*EXP(Ft!D$40*($A408-Ft!D$2)^2)))</f>
        <v>0.90442366937606833</v>
      </c>
      <c r="I408" s="3">
        <f>IF(($A408-Ft!E$2)&lt;0,Ft!E$3*((1-Ft!E$6)/(1+Ft!E$37*($A408-Ft!E$2)^2)+Ft!E$6*EXP(Ft!E$38*($A408-Ft!E$2)^2)),Ft!E$3*((1-Ft!E$7)/(1+Ft!E$39*($A408-Ft!E$2)^2)+Ft!E$7*EXP(Ft!E$40*($A408-Ft!E$2)^2)))</f>
        <v>16.356756875267489</v>
      </c>
      <c r="J408" s="3">
        <f>IF(($A408-Ft!F$2)&lt;0,Ft!F$3*((1-Ft!F$6)/(1+Ft!F$37*($A408-Ft!F$2)^2)+Ft!F$6*EXP(Ft!F$38*($A408-Ft!F$2)^2)),Ft!F$3*((1-Ft!F$7)/(1+Ft!F$39*($A408-Ft!F$2)^2)+Ft!F$7*EXP(Ft!F$40*($A408-Ft!F$2)^2)))</f>
        <v>5.6407095456021685E-9</v>
      </c>
      <c r="K408" s="3">
        <f>IF(($A408-Ft!G$2)&lt;0,Ft!G$3*((1-Ft!G$6)/(1+Ft!G$37*($A408-Ft!G$2)^2)+Ft!G$6*EXP(Ft!G$38*($A408-Ft!G$2)^2)),Ft!G$3*((1-Ft!G$7)/(1+Ft!G$39*($A408-Ft!G$2)^2)+Ft!G$7*EXP(Ft!G$40*($A408-Ft!G$2)^2)))</f>
        <v>0</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v>814</v>
      </c>
      <c r="B409">
        <v>17.086298601745</v>
      </c>
      <c r="C409" s="6">
        <f t="shared" si="13"/>
        <v>17.236315788317285</v>
      </c>
      <c r="D409" s="19">
        <f t="shared" si="14"/>
        <v>2.2505156267063706E-2</v>
      </c>
      <c r="E409" s="3">
        <f>Ft!$B$12+Ft!$B$14*(Data!A409-Vars!$B$3)</f>
        <v>0</v>
      </c>
      <c r="F409" s="3">
        <f>IF(($A409-Ft!B$2)&lt;0,Ft!B$3*((1-Ft!B$6)/(1+Ft!B$37*($A409-Ft!B$2)^2)+Ft!B$6*EXP(Ft!B$38*($A409-Ft!B$2)^2)),Ft!B$3*((1-Ft!B$7)/(1+Ft!B$39*($A409-Ft!B$2)^2)+Ft!B$7*EXP(Ft!B$40*($A409-Ft!B$2)^2)))</f>
        <v>0</v>
      </c>
      <c r="G409" s="3">
        <f>IF(($A409-Ft!C$2)&lt;0,Ft!C$3*((1-Ft!C$6)/(1+Ft!C$37*($A409-Ft!C$2)^2)+Ft!C$6*EXP(Ft!C$38*($A409-Ft!C$2)^2)),Ft!C$3*((1-Ft!C$7)/(1+Ft!C$39*($A409-Ft!C$2)^2)+Ft!C$7*EXP(Ft!C$40*($A409-Ft!C$2)^2)))</f>
        <v>4.5237783308659853E-15</v>
      </c>
      <c r="H409" s="3">
        <f>IF(($A409-Ft!D$2)&lt;0,Ft!D$3*((1-Ft!D$6)/(1+Ft!D$37*($A409-Ft!D$2)^2)+Ft!D$6*EXP(Ft!D$38*($A409-Ft!D$2)^2)),Ft!D$3*((1-Ft!D$7)/(1+Ft!D$39*($A409-Ft!D$2)^2)+Ft!D$7*EXP(Ft!D$40*($A409-Ft!D$2)^2)))</f>
        <v>0.87602985262029787</v>
      </c>
      <c r="I409" s="3">
        <f>IF(($A409-Ft!E$2)&lt;0,Ft!E$3*((1-Ft!E$6)/(1+Ft!E$37*($A409-Ft!E$2)^2)+Ft!E$6*EXP(Ft!E$38*($A409-Ft!E$2)^2)),Ft!E$3*((1-Ft!E$7)/(1+Ft!E$39*($A409-Ft!E$2)^2)+Ft!E$7*EXP(Ft!E$40*($A409-Ft!E$2)^2)))</f>
        <v>16.36028592745393</v>
      </c>
      <c r="J409" s="3">
        <f>IF(($A409-Ft!F$2)&lt;0,Ft!F$3*((1-Ft!F$6)/(1+Ft!F$37*($A409-Ft!F$2)^2)+Ft!F$6*EXP(Ft!F$38*($A409-Ft!F$2)^2)),Ft!F$3*((1-Ft!F$7)/(1+Ft!F$39*($A409-Ft!F$2)^2)+Ft!F$7*EXP(Ft!F$40*($A409-Ft!F$2)^2)))</f>
        <v>8.2430534575778722E-9</v>
      </c>
      <c r="K409" s="3">
        <f>IF(($A409-Ft!G$2)&lt;0,Ft!G$3*((1-Ft!G$6)/(1+Ft!G$37*($A409-Ft!G$2)^2)+Ft!G$6*EXP(Ft!G$38*($A409-Ft!G$2)^2)),Ft!G$3*((1-Ft!G$7)/(1+Ft!G$39*($A409-Ft!G$2)^2)+Ft!G$7*EXP(Ft!G$40*($A409-Ft!G$2)^2)))</f>
        <v>0</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v>816</v>
      </c>
      <c r="B410">
        <v>17.050973223953989</v>
      </c>
      <c r="C410" s="6">
        <f t="shared" si="13"/>
        <v>17.20987936545793</v>
      </c>
      <c r="D410" s="19">
        <f t="shared" si="14"/>
        <v>2.5251161807670522E-2</v>
      </c>
      <c r="E410" s="3">
        <f>Ft!$B$12+Ft!$B$14*(Data!A410-Vars!$B$3)</f>
        <v>0</v>
      </c>
      <c r="F410" s="3">
        <f>IF(($A410-Ft!B$2)&lt;0,Ft!B$3*((1-Ft!B$6)/(1+Ft!B$37*($A410-Ft!B$2)^2)+Ft!B$6*EXP(Ft!B$38*($A410-Ft!B$2)^2)),Ft!B$3*((1-Ft!B$7)/(1+Ft!B$39*($A410-Ft!B$2)^2)+Ft!B$7*EXP(Ft!B$40*($A410-Ft!B$2)^2)))</f>
        <v>0</v>
      </c>
      <c r="G410" s="3">
        <f>IF(($A410-Ft!C$2)&lt;0,Ft!C$3*((1-Ft!C$6)/(1+Ft!C$37*($A410-Ft!C$2)^2)+Ft!C$6*EXP(Ft!C$38*($A410-Ft!C$2)^2)),Ft!C$3*((1-Ft!C$7)/(1+Ft!C$39*($A410-Ft!C$2)^2)+Ft!C$7*EXP(Ft!C$40*($A410-Ft!C$2)^2)))</f>
        <v>3.6677022099128928E-15</v>
      </c>
      <c r="H410" s="3">
        <f>IF(($A410-Ft!D$2)&lt;0,Ft!D$3*((1-Ft!D$6)/(1+Ft!D$37*($A410-Ft!D$2)^2)+Ft!D$6*EXP(Ft!D$38*($A410-Ft!D$2)^2)),Ft!D$3*((1-Ft!D$7)/(1+Ft!D$39*($A410-Ft!D$2)^2)+Ft!D$7*EXP(Ft!D$40*($A410-Ft!D$2)^2)))</f>
        <v>0.84838309021361813</v>
      </c>
      <c r="I410" s="3">
        <f>IF(($A410-Ft!E$2)&lt;0,Ft!E$3*((1-Ft!E$6)/(1+Ft!E$37*($A410-Ft!E$2)^2)+Ft!E$6*EXP(Ft!E$38*($A410-Ft!E$2)^2)),Ft!E$3*((1-Ft!E$7)/(1+Ft!E$39*($A410-Ft!E$2)^2)+Ft!E$7*EXP(Ft!E$40*($A410-Ft!E$2)^2)))</f>
        <v>16.361496263240095</v>
      </c>
      <c r="J410" s="3">
        <f>IF(($A410-Ft!F$2)&lt;0,Ft!F$3*((1-Ft!F$6)/(1+Ft!F$37*($A410-Ft!F$2)^2)+Ft!F$6*EXP(Ft!F$38*($A410-Ft!F$2)^2)),Ft!F$3*((1-Ft!F$7)/(1+Ft!F$39*($A410-Ft!F$2)^2)+Ft!F$7*EXP(Ft!F$40*($A410-Ft!F$2)^2)))</f>
        <v>1.2004212566207304E-8</v>
      </c>
      <c r="K410" s="3">
        <f>IF(($A410-Ft!G$2)&lt;0,Ft!G$3*((1-Ft!G$6)/(1+Ft!G$37*($A410-Ft!G$2)^2)+Ft!G$6*EXP(Ft!G$38*($A410-Ft!G$2)^2)),Ft!G$3*((1-Ft!G$7)/(1+Ft!G$39*($A410-Ft!G$2)^2)+Ft!G$7*EXP(Ft!G$40*($A410-Ft!G$2)^2)))</f>
        <v>0</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v>818</v>
      </c>
      <c r="B411">
        <v>17.01460388230899</v>
      </c>
      <c r="C411" s="6">
        <f t="shared" si="13"/>
        <v>17.18185644925444</v>
      </c>
      <c r="D411" s="19">
        <f t="shared" si="14"/>
        <v>2.7973421149842265E-2</v>
      </c>
      <c r="E411" s="3">
        <f>Ft!$B$12+Ft!$B$14*(Data!A411-Vars!$B$3)</f>
        <v>0</v>
      </c>
      <c r="F411" s="3">
        <f>IF(($A411-Ft!B$2)&lt;0,Ft!B$3*((1-Ft!B$6)/(1+Ft!B$37*($A411-Ft!B$2)^2)+Ft!B$6*EXP(Ft!B$38*($A411-Ft!B$2)^2)),Ft!B$3*((1-Ft!B$7)/(1+Ft!B$39*($A411-Ft!B$2)^2)+Ft!B$7*EXP(Ft!B$40*($A411-Ft!B$2)^2)))</f>
        <v>0</v>
      </c>
      <c r="G411" s="3">
        <f>IF(($A411-Ft!C$2)&lt;0,Ft!C$3*((1-Ft!C$6)/(1+Ft!C$37*($A411-Ft!C$2)^2)+Ft!C$6*EXP(Ft!C$38*($A411-Ft!C$2)^2)),Ft!C$3*((1-Ft!C$7)/(1+Ft!C$39*($A411-Ft!C$2)^2)+Ft!C$7*EXP(Ft!C$40*($A411-Ft!C$2)^2)))</f>
        <v>2.9717810386544409E-15</v>
      </c>
      <c r="H411" s="3">
        <f>IF(($A411-Ft!D$2)&lt;0,Ft!D$3*((1-Ft!D$6)/(1+Ft!D$37*($A411-Ft!D$2)^2)+Ft!D$6*EXP(Ft!D$38*($A411-Ft!D$2)^2)),Ft!D$3*((1-Ft!D$7)/(1+Ft!D$39*($A411-Ft!D$2)^2)+Ft!D$7*EXP(Ft!D$40*($A411-Ft!D$2)^2)))</f>
        <v>0.82146906387557428</v>
      </c>
      <c r="I411" s="3">
        <f>IF(($A411-Ft!E$2)&lt;0,Ft!E$3*((1-Ft!E$6)/(1+Ft!E$37*($A411-Ft!E$2)^2)+Ft!E$6*EXP(Ft!E$38*($A411-Ft!E$2)^2)),Ft!E$3*((1-Ft!E$7)/(1+Ft!E$39*($A411-Ft!E$2)^2)+Ft!E$7*EXP(Ft!E$40*($A411-Ft!E$2)^2)))</f>
        <v>16.360387367957966</v>
      </c>
      <c r="J411" s="3">
        <f>IF(($A411-Ft!F$2)&lt;0,Ft!F$3*((1-Ft!F$6)/(1+Ft!F$37*($A411-Ft!F$2)^2)+Ft!F$6*EXP(Ft!F$38*($A411-Ft!F$2)^2)),Ft!F$3*((1-Ft!F$7)/(1+Ft!F$39*($A411-Ft!F$2)^2)+Ft!F$7*EXP(Ft!F$40*($A411-Ft!F$2)^2)))</f>
        <v>1.7420893262688362E-8</v>
      </c>
      <c r="K411" s="3">
        <f>IF(($A411-Ft!G$2)&lt;0,Ft!G$3*((1-Ft!G$6)/(1+Ft!G$37*($A411-Ft!G$2)^2)+Ft!G$6*EXP(Ft!G$38*($A411-Ft!G$2)^2)),Ft!G$3*((1-Ft!G$7)/(1+Ft!G$39*($A411-Ft!G$2)^2)+Ft!G$7*EXP(Ft!G$40*($A411-Ft!G$2)^2)))</f>
        <v>0</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v>820</v>
      </c>
      <c r="B412">
        <v>16.977104718319993</v>
      </c>
      <c r="C412" s="6">
        <f t="shared" si="13"/>
        <v>17.152233278687419</v>
      </c>
      <c r="D412" s="19">
        <f t="shared" si="14"/>
        <v>3.0670012656367238E-2</v>
      </c>
      <c r="E412" s="3">
        <f>Ft!$B$12+Ft!$B$14*(Data!A412-Vars!$B$3)</f>
        <v>0</v>
      </c>
      <c r="F412" s="3">
        <f>IF(($A412-Ft!B$2)&lt;0,Ft!B$3*((1-Ft!B$6)/(1+Ft!B$37*($A412-Ft!B$2)^2)+Ft!B$6*EXP(Ft!B$38*($A412-Ft!B$2)^2)),Ft!B$3*((1-Ft!B$7)/(1+Ft!B$39*($A412-Ft!B$2)^2)+Ft!B$7*EXP(Ft!B$40*($A412-Ft!B$2)^2)))</f>
        <v>0</v>
      </c>
      <c r="G412" s="3">
        <f>IF(($A412-Ft!C$2)&lt;0,Ft!C$3*((1-Ft!C$6)/(1+Ft!C$37*($A412-Ft!C$2)^2)+Ft!C$6*EXP(Ft!C$38*($A412-Ft!C$2)^2)),Ft!C$3*((1-Ft!C$7)/(1+Ft!C$39*($A412-Ft!C$2)^2)+Ft!C$7*EXP(Ft!C$40*($A412-Ft!C$2)^2)))</f>
        <v>2.4064095210763361E-15</v>
      </c>
      <c r="H412" s="3">
        <f>IF(($A412-Ft!D$2)&lt;0,Ft!D$3*((1-Ft!D$6)/(1+Ft!D$37*($A412-Ft!D$2)^2)+Ft!D$6*EXP(Ft!D$38*($A412-Ft!D$2)^2)),Ft!D$3*((1-Ft!D$7)/(1+Ft!D$39*($A412-Ft!D$2)^2)+Ft!D$7*EXP(Ft!D$40*($A412-Ft!D$2)^2)))</f>
        <v>0.79527354035210751</v>
      </c>
      <c r="I412" s="3">
        <f>IF(($A412-Ft!E$2)&lt;0,Ft!E$3*((1-Ft!E$6)/(1+Ft!E$37*($A412-Ft!E$2)^2)+Ft!E$6*EXP(Ft!E$38*($A412-Ft!E$2)^2)),Ft!E$3*((1-Ft!E$7)/(1+Ft!E$39*($A412-Ft!E$2)^2)+Ft!E$7*EXP(Ft!E$40*($A412-Ft!E$2)^2)))</f>
        <v>16.35695971314124</v>
      </c>
      <c r="J412" s="3">
        <f>IF(($A412-Ft!F$2)&lt;0,Ft!F$3*((1-Ft!F$6)/(1+Ft!F$37*($A412-Ft!F$2)^2)+Ft!F$6*EXP(Ft!F$38*($A412-Ft!F$2)^2)),Ft!F$3*((1-Ft!F$7)/(1+Ft!F$39*($A412-Ft!F$2)^2)+Ft!F$7*EXP(Ft!F$40*($A412-Ft!F$2)^2)))</f>
        <v>2.5194070739756667E-8</v>
      </c>
      <c r="K412" s="3">
        <f>IF(($A412-Ft!G$2)&lt;0,Ft!G$3*((1-Ft!G$6)/(1+Ft!G$37*($A412-Ft!G$2)^2)+Ft!G$6*EXP(Ft!G$38*($A412-Ft!G$2)^2)),Ft!G$3*((1-Ft!G$7)/(1+Ft!G$39*($A412-Ft!G$2)^2)+Ft!G$7*EXP(Ft!G$40*($A412-Ft!G$2)^2)))</f>
        <v>0</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v>822</v>
      </c>
      <c r="B413">
        <v>16.938389873498991</v>
      </c>
      <c r="C413" s="6">
        <f t="shared" si="13"/>
        <v>17.120997170749405</v>
      </c>
      <c r="D413" s="19">
        <f t="shared" si="14"/>
        <v>3.3345425009100906E-2</v>
      </c>
      <c r="E413" s="3">
        <f>Ft!$B$12+Ft!$B$14*(Data!A413-Vars!$B$3)</f>
        <v>0</v>
      </c>
      <c r="F413" s="3">
        <f>IF(($A413-Ft!B$2)&lt;0,Ft!B$3*((1-Ft!B$6)/(1+Ft!B$37*($A413-Ft!B$2)^2)+Ft!B$6*EXP(Ft!B$38*($A413-Ft!B$2)^2)),Ft!B$3*((1-Ft!B$7)/(1+Ft!B$39*($A413-Ft!B$2)^2)+Ft!B$7*EXP(Ft!B$40*($A413-Ft!B$2)^2)))</f>
        <v>0</v>
      </c>
      <c r="G413" s="3">
        <f>IF(($A413-Ft!C$2)&lt;0,Ft!C$3*((1-Ft!C$6)/(1+Ft!C$37*($A413-Ft!C$2)^2)+Ft!C$6*EXP(Ft!C$38*($A413-Ft!C$2)^2)),Ft!C$3*((1-Ft!C$7)/(1+Ft!C$39*($A413-Ft!C$2)^2)+Ft!C$7*EXP(Ft!C$40*($A413-Ft!C$2)^2)))</f>
        <v>1.9473869551581895E-15</v>
      </c>
      <c r="H413" s="3">
        <f>IF(($A413-Ft!D$2)&lt;0,Ft!D$3*((1-Ft!D$6)/(1+Ft!D$37*($A413-Ft!D$2)^2)+Ft!D$6*EXP(Ft!D$38*($A413-Ft!D$2)^2)),Ft!D$3*((1-Ft!D$7)/(1+Ft!D$39*($A413-Ft!D$2)^2)+Ft!D$7*EXP(Ft!D$40*($A413-Ft!D$2)^2)))</f>
        <v>0.76978237824895324</v>
      </c>
      <c r="I413" s="3">
        <f>IF(($A413-Ft!E$2)&lt;0,Ft!E$3*((1-Ft!E$6)/(1+Ft!E$37*($A413-Ft!E$2)^2)+Ft!E$6*EXP(Ft!E$38*($A413-Ft!E$2)^2)),Ft!E$3*((1-Ft!E$7)/(1+Ft!E$39*($A413-Ft!E$2)^2)+Ft!E$7*EXP(Ft!E$40*($A413-Ft!E$2)^2)))</f>
        <v>16.351214756191187</v>
      </c>
      <c r="J413" s="3">
        <f>IF(($A413-Ft!F$2)&lt;0,Ft!F$3*((1-Ft!F$6)/(1+Ft!F$37*($A413-Ft!F$2)^2)+Ft!F$6*EXP(Ft!F$38*($A413-Ft!F$2)^2)),Ft!F$3*((1-Ft!F$7)/(1+Ft!F$39*($A413-Ft!F$2)^2)+Ft!F$7*EXP(Ft!F$40*($A413-Ft!F$2)^2)))</f>
        <v>3.6309264432572509E-8</v>
      </c>
      <c r="K413" s="3">
        <f>IF(($A413-Ft!G$2)&lt;0,Ft!G$3*((1-Ft!G$6)/(1+Ft!G$37*($A413-Ft!G$2)^2)+Ft!G$6*EXP(Ft!G$38*($A413-Ft!G$2)^2)),Ft!G$3*((1-Ft!G$7)/(1+Ft!G$39*($A413-Ft!G$2)^2)+Ft!G$7*EXP(Ft!G$40*($A413-Ft!G$2)^2)))</f>
        <v>0</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v>824</v>
      </c>
      <c r="B414">
        <v>16.898373489358988</v>
      </c>
      <c r="C414" s="6">
        <f t="shared" si="13"/>
        <v>17.088136526061518</v>
      </c>
      <c r="D414" s="19">
        <f t="shared" si="14"/>
        <v>3.6010010098565762E-2</v>
      </c>
      <c r="E414" s="3">
        <f>Ft!$B$12+Ft!$B$14*(Data!A414-Vars!$B$3)</f>
        <v>0</v>
      </c>
      <c r="F414" s="3">
        <f>IF(($A414-Ft!B$2)&lt;0,Ft!B$3*((1-Ft!B$6)/(1+Ft!B$37*($A414-Ft!B$2)^2)+Ft!B$6*EXP(Ft!B$38*($A414-Ft!B$2)^2)),Ft!B$3*((1-Ft!B$7)/(1+Ft!B$39*($A414-Ft!B$2)^2)+Ft!B$7*EXP(Ft!B$40*($A414-Ft!B$2)^2)))</f>
        <v>0</v>
      </c>
      <c r="G414" s="3">
        <f>IF(($A414-Ft!C$2)&lt;0,Ft!C$3*((1-Ft!C$6)/(1+Ft!C$37*($A414-Ft!C$2)^2)+Ft!C$6*EXP(Ft!C$38*($A414-Ft!C$2)^2)),Ft!C$3*((1-Ft!C$7)/(1+Ft!C$39*($A414-Ft!C$2)^2)+Ft!C$7*EXP(Ft!C$40*($A414-Ft!C$2)^2)))</f>
        <v>1.5749434521624639E-15</v>
      </c>
      <c r="H414" s="3">
        <f>IF(($A414-Ft!D$2)&lt;0,Ft!D$3*((1-Ft!D$6)/(1+Ft!D$37*($A414-Ft!D$2)^2)+Ft!D$6*EXP(Ft!D$38*($A414-Ft!D$2)^2)),Ft!D$3*((1-Ft!D$7)/(1+Ft!D$39*($A414-Ft!D$2)^2)+Ft!D$7*EXP(Ft!D$40*($A414-Ft!D$2)^2)))</f>
        <v>0.74498153457082317</v>
      </c>
      <c r="I414" s="3">
        <f>IF(($A414-Ft!E$2)&lt;0,Ft!E$3*((1-Ft!E$6)/(1+Ft!E$37*($A414-Ft!E$2)^2)+Ft!E$6*EXP(Ft!E$38*($A414-Ft!E$2)^2)),Ft!E$3*((1-Ft!E$7)/(1+Ft!E$39*($A414-Ft!E$2)^2)+Ft!E$7*EXP(Ft!E$40*($A414-Ft!E$2)^2)))</f>
        <v>16.343154939343883</v>
      </c>
      <c r="J414" s="3">
        <f>IF(($A414-Ft!F$2)&lt;0,Ft!F$3*((1-Ft!F$6)/(1+Ft!F$37*($A414-Ft!F$2)^2)+Ft!F$6*EXP(Ft!F$38*($A414-Ft!F$2)^2)),Ft!F$3*((1-Ft!F$7)/(1+Ft!F$39*($A414-Ft!F$2)^2)+Ft!F$7*EXP(Ft!F$40*($A414-Ft!F$2)^2)))</f>
        <v>5.2146809153012014E-8</v>
      </c>
      <c r="K414" s="3">
        <f>IF(($A414-Ft!G$2)&lt;0,Ft!G$3*((1-Ft!G$6)/(1+Ft!G$37*($A414-Ft!G$2)^2)+Ft!G$6*EXP(Ft!G$38*($A414-Ft!G$2)^2)),Ft!G$3*((1-Ft!G$7)/(1+Ft!G$39*($A414-Ft!G$2)^2)+Ft!G$7*EXP(Ft!G$40*($A414-Ft!G$2)^2)))</f>
        <v>0</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v>826</v>
      </c>
      <c r="B415">
        <v>16.856969707410002</v>
      </c>
      <c r="C415" s="6">
        <f t="shared" si="13"/>
        <v>17.053640833541856</v>
      </c>
      <c r="D415" s="19">
        <f t="shared" si="14"/>
        <v>3.8679531853971494E-2</v>
      </c>
      <c r="E415" s="3">
        <f>Ft!$B$12+Ft!$B$14*(Data!A415-Vars!$B$3)</f>
        <v>0</v>
      </c>
      <c r="F415" s="3">
        <f>IF(($A415-Ft!B$2)&lt;0,Ft!B$3*((1-Ft!B$6)/(1+Ft!B$37*($A415-Ft!B$2)^2)+Ft!B$6*EXP(Ft!B$38*($A415-Ft!B$2)^2)),Ft!B$3*((1-Ft!B$7)/(1+Ft!B$39*($A415-Ft!B$2)^2)+Ft!B$7*EXP(Ft!B$40*($A415-Ft!B$2)^2)))</f>
        <v>0</v>
      </c>
      <c r="G415" s="3">
        <f>IF(($A415-Ft!C$2)&lt;0,Ft!C$3*((1-Ft!C$6)/(1+Ft!C$37*($A415-Ft!C$2)^2)+Ft!C$6*EXP(Ft!C$38*($A415-Ft!C$2)^2)),Ft!C$3*((1-Ft!C$7)/(1+Ft!C$39*($A415-Ft!C$2)^2)+Ft!C$7*EXP(Ft!C$40*($A415-Ft!C$2)^2)))</f>
        <v>1.2729392076162281E-15</v>
      </c>
      <c r="H415" s="3">
        <f>IF(($A415-Ft!D$2)&lt;0,Ft!D$3*((1-Ft!D$6)/(1+Ft!D$37*($A415-Ft!D$2)^2)+Ft!D$6*EXP(Ft!D$38*($A415-Ft!D$2)^2)),Ft!D$3*((1-Ft!D$7)/(1+Ft!D$39*($A415-Ft!D$2)^2)+Ft!D$7*EXP(Ft!D$40*($A415-Ft!D$2)^2)))</f>
        <v>0.7208570709691936</v>
      </c>
      <c r="I415" s="3">
        <f>IF(($A415-Ft!E$2)&lt;0,Ft!E$3*((1-Ft!E$6)/(1+Ft!E$37*($A415-Ft!E$2)^2)+Ft!E$6*EXP(Ft!E$38*($A415-Ft!E$2)^2)),Ft!E$3*((1-Ft!E$7)/(1+Ft!E$39*($A415-Ft!E$2)^2)+Ft!E$7*EXP(Ft!E$40*($A415-Ft!E$2)^2)))</f>
        <v>16.332783687939951</v>
      </c>
      <c r="J415" s="3">
        <f>IF(($A415-Ft!F$2)&lt;0,Ft!F$3*((1-Ft!F$6)/(1+Ft!F$37*($A415-Ft!F$2)^2)+Ft!F$6*EXP(Ft!F$38*($A415-Ft!F$2)^2)),Ft!F$3*((1-Ft!F$7)/(1+Ft!F$39*($A415-Ft!F$2)^2)+Ft!F$7*EXP(Ft!F$40*($A415-Ft!F$2)^2)))</f>
        <v>7.4632709623273664E-8</v>
      </c>
      <c r="K415" s="3">
        <f>IF(($A415-Ft!G$2)&lt;0,Ft!G$3*((1-Ft!G$6)/(1+Ft!G$37*($A415-Ft!G$2)^2)+Ft!G$6*EXP(Ft!G$38*($A415-Ft!G$2)^2)),Ft!G$3*((1-Ft!G$7)/(1+Ft!G$39*($A415-Ft!G$2)^2)+Ft!G$7*EXP(Ft!G$40*($A415-Ft!G$2)^2)))</f>
        <v>0</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v>828</v>
      </c>
      <c r="B416">
        <v>16.812310820332996</v>
      </c>
      <c r="C416" s="6">
        <f t="shared" si="13"/>
        <v>17.017500674144369</v>
      </c>
      <c r="D416" s="19">
        <f t="shared" si="14"/>
        <v>4.2102876107132439E-2</v>
      </c>
      <c r="E416" s="3">
        <f>Ft!$B$12+Ft!$B$14*(Data!A416-Vars!$B$3)</f>
        <v>0</v>
      </c>
      <c r="F416" s="3">
        <f>IF(($A416-Ft!B$2)&lt;0,Ft!B$3*((1-Ft!B$6)/(1+Ft!B$37*($A416-Ft!B$2)^2)+Ft!B$6*EXP(Ft!B$38*($A416-Ft!B$2)^2)),Ft!B$3*((1-Ft!B$7)/(1+Ft!B$39*($A416-Ft!B$2)^2)+Ft!B$7*EXP(Ft!B$40*($A416-Ft!B$2)^2)))</f>
        <v>0</v>
      </c>
      <c r="G416" s="3">
        <f>IF(($A416-Ft!C$2)&lt;0,Ft!C$3*((1-Ft!C$6)/(1+Ft!C$37*($A416-Ft!C$2)^2)+Ft!C$6*EXP(Ft!C$38*($A416-Ft!C$2)^2)),Ft!C$3*((1-Ft!C$7)/(1+Ft!C$39*($A416-Ft!C$2)^2)+Ft!C$7*EXP(Ft!C$40*($A416-Ft!C$2)^2)))</f>
        <v>1.0282065139204851E-15</v>
      </c>
      <c r="H416" s="3">
        <f>IF(($A416-Ft!D$2)&lt;0,Ft!D$3*((1-Ft!D$6)/(1+Ft!D$37*($A416-Ft!D$2)^2)+Ft!D$6*EXP(Ft!D$38*($A416-Ft!D$2)^2)),Ft!D$3*((1-Ft!D$7)/(1+Ft!D$39*($A416-Ft!D$2)^2)+Ft!D$7*EXP(Ft!D$40*($A416-Ft!D$2)^2)))</f>
        <v>0.69739515970175847</v>
      </c>
      <c r="I416" s="3">
        <f>IF(($A416-Ft!E$2)&lt;0,Ft!E$3*((1-Ft!E$6)/(1+Ft!E$37*($A416-Ft!E$2)^2)+Ft!E$6*EXP(Ft!E$38*($A416-Ft!E$2)^2)),Ft!E$3*((1-Ft!E$7)/(1+Ft!E$39*($A416-Ft!E$2)^2)+Ft!E$7*EXP(Ft!E$40*($A416-Ft!E$2)^2)))</f>
        <v>16.320105407998444</v>
      </c>
      <c r="J416" s="3">
        <f>IF(($A416-Ft!F$2)&lt;0,Ft!F$3*((1-Ft!F$6)/(1+Ft!F$37*($A416-Ft!F$2)^2)+Ft!F$6*EXP(Ft!F$38*($A416-Ft!F$2)^2)),Ft!F$3*((1-Ft!F$7)/(1+Ft!F$39*($A416-Ft!F$2)^2)+Ft!F$7*EXP(Ft!F$40*($A416-Ft!F$2)^2)))</f>
        <v>1.0644416550107858E-7</v>
      </c>
      <c r="K416" s="3">
        <f>IF(($A416-Ft!G$2)&lt;0,Ft!G$3*((1-Ft!G$6)/(1+Ft!G$37*($A416-Ft!G$2)^2)+Ft!G$6*EXP(Ft!G$38*($A416-Ft!G$2)^2)),Ft!G$3*((1-Ft!G$7)/(1+Ft!G$39*($A416-Ft!G$2)^2)+Ft!G$7*EXP(Ft!G$40*($A416-Ft!G$2)^2)))</f>
        <v>0</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v>830</v>
      </c>
      <c r="B417">
        <v>16.763252814254997</v>
      </c>
      <c r="C417" s="6">
        <f t="shared" si="13"/>
        <v>16.979707723692584</v>
      </c>
      <c r="D417" s="19">
        <f t="shared" si="14"/>
        <v>4.6852727819634059E-2</v>
      </c>
      <c r="E417" s="3">
        <f>Ft!$B$12+Ft!$B$14*(Data!A417-Vars!$B$3)</f>
        <v>0</v>
      </c>
      <c r="F417" s="3">
        <f>IF(($A417-Ft!B$2)&lt;0,Ft!B$3*((1-Ft!B$6)/(1+Ft!B$37*($A417-Ft!B$2)^2)+Ft!B$6*EXP(Ft!B$38*($A417-Ft!B$2)^2)),Ft!B$3*((1-Ft!B$7)/(1+Ft!B$39*($A417-Ft!B$2)^2)+Ft!B$7*EXP(Ft!B$40*($A417-Ft!B$2)^2)))</f>
        <v>0</v>
      </c>
      <c r="G417" s="3">
        <f>IF(($A417-Ft!C$2)&lt;0,Ft!C$3*((1-Ft!C$6)/(1+Ft!C$37*($A417-Ft!C$2)^2)+Ft!C$6*EXP(Ft!C$38*($A417-Ft!C$2)^2)),Ft!C$3*((1-Ft!C$7)/(1+Ft!C$39*($A417-Ft!C$2)^2)+Ft!C$7*EXP(Ft!C$40*($A417-Ft!C$2)^2)))</f>
        <v>8.3000943252197052E-16</v>
      </c>
      <c r="H417" s="3">
        <f>IF(($A417-Ft!D$2)&lt;0,Ft!D$3*((1-Ft!D$6)/(1+Ft!D$37*($A417-Ft!D$2)^2)+Ft!D$6*EXP(Ft!D$38*($A417-Ft!D$2)^2)),Ft!D$3*((1-Ft!D$7)/(1+Ft!D$39*($A417-Ft!D$2)^2)+Ft!D$7*EXP(Ft!D$40*($A417-Ft!D$2)^2)))</f>
        <v>0.67458208930686048</v>
      </c>
      <c r="I417" s="3">
        <f>IF(($A417-Ft!E$2)&lt;0,Ft!E$3*((1-Ft!E$6)/(1+Ft!E$37*($A417-Ft!E$2)^2)+Ft!E$6*EXP(Ft!E$38*($A417-Ft!E$2)^2)),Ft!E$3*((1-Ft!E$7)/(1+Ft!E$39*($A417-Ft!E$2)^2)+Ft!E$7*EXP(Ft!E$40*($A417-Ft!E$2)^2)))</f>
        <v>16.305125483097303</v>
      </c>
      <c r="J417" s="3">
        <f>IF(($A417-Ft!F$2)&lt;0,Ft!F$3*((1-Ft!F$6)/(1+Ft!F$37*($A417-Ft!F$2)^2)+Ft!F$6*EXP(Ft!F$38*($A417-Ft!F$2)^2)),Ft!F$3*((1-Ft!F$7)/(1+Ft!F$39*($A417-Ft!F$2)^2)+Ft!F$7*EXP(Ft!F$40*($A417-Ft!F$2)^2)))</f>
        <v>1.5128842286647497E-7</v>
      </c>
      <c r="K417" s="3">
        <f>IF(($A417-Ft!G$2)&lt;0,Ft!G$3*((1-Ft!G$6)/(1+Ft!G$37*($A417-Ft!G$2)^2)+Ft!G$6*EXP(Ft!G$38*($A417-Ft!G$2)^2)),Ft!G$3*((1-Ft!G$7)/(1+Ft!G$39*($A417-Ft!G$2)^2)+Ft!G$7*EXP(Ft!G$40*($A417-Ft!G$2)^2)))</f>
        <v>0</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v>832</v>
      </c>
      <c r="B418">
        <v>16.710795370852992</v>
      </c>
      <c r="C418" s="6">
        <f t="shared" si="13"/>
        <v>16.940254754839465</v>
      </c>
      <c r="D418" s="19">
        <f t="shared" si="14"/>
        <v>5.2651608899451724E-2</v>
      </c>
      <c r="E418" s="3">
        <f>Ft!$B$12+Ft!$B$14*(Data!A418-Vars!$B$3)</f>
        <v>0</v>
      </c>
      <c r="F418" s="3">
        <f>IF(($A418-Ft!B$2)&lt;0,Ft!B$3*((1-Ft!B$6)/(1+Ft!B$37*($A418-Ft!B$2)^2)+Ft!B$6*EXP(Ft!B$38*($A418-Ft!B$2)^2)),Ft!B$3*((1-Ft!B$7)/(1+Ft!B$39*($A418-Ft!B$2)^2)+Ft!B$7*EXP(Ft!B$40*($A418-Ft!B$2)^2)))</f>
        <v>0</v>
      </c>
      <c r="G418" s="3">
        <f>IF(($A418-Ft!C$2)&lt;0,Ft!C$3*((1-Ft!C$6)/(1+Ft!C$37*($A418-Ft!C$2)^2)+Ft!C$6*EXP(Ft!C$38*($A418-Ft!C$2)^2)),Ft!C$3*((1-Ft!C$7)/(1+Ft!C$39*($A418-Ft!C$2)^2)+Ft!C$7*EXP(Ft!C$40*($A418-Ft!C$2)^2)))</f>
        <v>6.6960038439057902E-16</v>
      </c>
      <c r="H418" s="3">
        <f>IF(($A418-Ft!D$2)&lt;0,Ft!D$3*((1-Ft!D$6)/(1+Ft!D$37*($A418-Ft!D$2)^2)+Ft!D$6*EXP(Ft!D$38*($A418-Ft!D$2)^2)),Ft!D$3*((1-Ft!D$7)/(1+Ft!D$39*($A418-Ft!D$2)^2)+Ft!D$7*EXP(Ft!D$40*($A418-Ft!D$2)^2)))</f>
        <v>0.65240426999642387</v>
      </c>
      <c r="I418" s="3">
        <f>IF(($A418-Ft!E$2)&lt;0,Ft!E$3*((1-Ft!E$6)/(1+Ft!E$37*($A418-Ft!E$2)^2)+Ft!E$6*EXP(Ft!E$38*($A418-Ft!E$2)^2)),Ft!E$3*((1-Ft!E$7)/(1+Ft!E$39*($A418-Ft!E$2)^2)+Ft!E$7*EXP(Ft!E$40*($A418-Ft!E$2)^2)))</f>
        <v>16.287850270563499</v>
      </c>
      <c r="J418" s="3">
        <f>IF(($A418-Ft!F$2)&lt;0,Ft!F$3*((1-Ft!F$6)/(1+Ft!F$37*($A418-Ft!F$2)^2)+Ft!F$6*EXP(Ft!F$38*($A418-Ft!F$2)^2)),Ft!F$3*((1-Ft!F$7)/(1+Ft!F$39*($A418-Ft!F$2)^2)+Ft!F$7*EXP(Ft!F$40*($A418-Ft!F$2)^2)))</f>
        <v>2.1427954295326408E-7</v>
      </c>
      <c r="K418" s="3">
        <f>IF(($A418-Ft!G$2)&lt;0,Ft!G$3*((1-Ft!G$6)/(1+Ft!G$37*($A418-Ft!G$2)^2)+Ft!G$6*EXP(Ft!G$38*($A418-Ft!G$2)^2)),Ft!G$3*((1-Ft!G$7)/(1+Ft!G$39*($A418-Ft!G$2)^2)+Ft!G$7*EXP(Ft!G$40*($A418-Ft!G$2)^2)))</f>
        <v>0</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v>834</v>
      </c>
      <c r="B419">
        <v>16.655938171806994</v>
      </c>
      <c r="C419" s="6">
        <f t="shared" si="13"/>
        <v>16.899135638193115</v>
      </c>
      <c r="D419" s="19">
        <f t="shared" si="14"/>
        <v>5.9145007656628536E-2</v>
      </c>
      <c r="E419" s="3">
        <f>Ft!$B$12+Ft!$B$14*(Data!A419-Vars!$B$3)</f>
        <v>0</v>
      </c>
      <c r="F419" s="3">
        <f>IF(($A419-Ft!B$2)&lt;0,Ft!B$3*((1-Ft!B$6)/(1+Ft!B$37*($A419-Ft!B$2)^2)+Ft!B$6*EXP(Ft!B$38*($A419-Ft!B$2)^2)),Ft!B$3*((1-Ft!B$7)/(1+Ft!B$39*($A419-Ft!B$2)^2)+Ft!B$7*EXP(Ft!B$40*($A419-Ft!B$2)^2)))</f>
        <v>0</v>
      </c>
      <c r="G419" s="3">
        <f>IF(($A419-Ft!C$2)&lt;0,Ft!C$3*((1-Ft!C$6)/(1+Ft!C$37*($A419-Ft!C$2)^2)+Ft!C$6*EXP(Ft!C$38*($A419-Ft!C$2)^2)),Ft!C$3*((1-Ft!C$7)/(1+Ft!C$39*($A419-Ft!C$2)^2)+Ft!C$7*EXP(Ft!C$40*($A419-Ft!C$2)^2)))</f>
        <v>5.3985651913212658E-16</v>
      </c>
      <c r="H419" s="3">
        <f>IF(($A419-Ft!D$2)&lt;0,Ft!D$3*((1-Ft!D$6)/(1+Ft!D$37*($A419-Ft!D$2)^2)+Ft!D$6*EXP(Ft!D$38*($A419-Ft!D$2)^2)),Ft!D$3*((1-Ft!D$7)/(1+Ft!D$39*($A419-Ft!D$2)^2)+Ft!D$7*EXP(Ft!D$40*($A419-Ft!D$2)^2)))</f>
        <v>0.63084823877114171</v>
      </c>
      <c r="I419" s="3">
        <f>IF(($A419-Ft!E$2)&lt;0,Ft!E$3*((1-Ft!E$6)/(1+Ft!E$37*($A419-Ft!E$2)^2)+Ft!E$6*EXP(Ft!E$38*($A419-Ft!E$2)^2)),Ft!E$3*((1-Ft!E$7)/(1+Ft!E$39*($A419-Ft!E$2)^2)+Ft!E$7*EXP(Ft!E$40*($A419-Ft!E$2)^2)))</f>
        <v>16.268287096976625</v>
      </c>
      <c r="J419" s="3">
        <f>IF(($A419-Ft!F$2)&lt;0,Ft!F$3*((1-Ft!F$6)/(1+Ft!F$37*($A419-Ft!F$2)^2)+Ft!F$6*EXP(Ft!F$38*($A419-Ft!F$2)^2)),Ft!F$3*((1-Ft!F$7)/(1+Ft!F$39*($A419-Ft!F$2)^2)+Ft!F$7*EXP(Ft!F$40*($A419-Ft!F$2)^2)))</f>
        <v>3.0244534815533126E-7</v>
      </c>
      <c r="K419" s="3">
        <f>IF(($A419-Ft!G$2)&lt;0,Ft!G$3*((1-Ft!G$6)/(1+Ft!G$37*($A419-Ft!G$2)^2)+Ft!G$6*EXP(Ft!G$38*($A419-Ft!G$2)^2)),Ft!G$3*((1-Ft!G$7)/(1+Ft!G$39*($A419-Ft!G$2)^2)+Ft!G$7*EXP(Ft!G$40*($A419-Ft!G$2)^2)))</f>
        <v>0</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v>836</v>
      </c>
      <c r="B420">
        <v>16.599680898793991</v>
      </c>
      <c r="C420" s="6">
        <f t="shared" si="13"/>
        <v>16.856345342658869</v>
      </c>
      <c r="D420" s="19">
        <f t="shared" si="14"/>
        <v>6.5876636744467088E-2</v>
      </c>
      <c r="E420" s="3">
        <f>Ft!$B$12+Ft!$B$14*(Data!A420-Vars!$B$3)</f>
        <v>0</v>
      </c>
      <c r="F420" s="3">
        <f>IF(($A420-Ft!B$2)&lt;0,Ft!B$3*((1-Ft!B$6)/(1+Ft!B$37*($A420-Ft!B$2)^2)+Ft!B$6*EXP(Ft!B$38*($A420-Ft!B$2)^2)),Ft!B$3*((1-Ft!B$7)/(1+Ft!B$39*($A420-Ft!B$2)^2)+Ft!B$7*EXP(Ft!B$40*($A420-Ft!B$2)^2)))</f>
        <v>0</v>
      </c>
      <c r="G420" s="3">
        <f>IF(($A420-Ft!C$2)&lt;0,Ft!C$3*((1-Ft!C$6)/(1+Ft!C$37*($A420-Ft!C$2)^2)+Ft!C$6*EXP(Ft!C$38*($A420-Ft!C$2)^2)),Ft!C$3*((1-Ft!C$7)/(1+Ft!C$39*($A420-Ft!C$2)^2)+Ft!C$7*EXP(Ft!C$40*($A420-Ft!C$2)^2)))</f>
        <v>4.3498170917437468E-16</v>
      </c>
      <c r="H420" s="3">
        <f>IF(($A420-Ft!D$2)&lt;0,Ft!D$3*((1-Ft!D$6)/(1+Ft!D$37*($A420-Ft!D$2)^2)+Ft!D$6*EXP(Ft!D$38*($A420-Ft!D$2)^2)),Ft!D$3*((1-Ft!D$7)/(1+Ft!D$39*($A420-Ft!D$2)^2)+Ft!D$7*EXP(Ft!D$40*($A420-Ft!D$2)^2)))</f>
        <v>0.60990066426186484</v>
      </c>
      <c r="I420" s="3">
        <f>IF(($A420-Ft!E$2)&lt;0,Ft!E$3*((1-Ft!E$6)/(1+Ft!E$37*($A420-Ft!E$2)^2)+Ft!E$6*EXP(Ft!E$38*($A420-Ft!E$2)^2)),Ft!E$3*((1-Ft!E$7)/(1+Ft!E$39*($A420-Ft!E$2)^2)+Ft!E$7*EXP(Ft!E$40*($A420-Ft!E$2)^2)))</f>
        <v>16.24644425299034</v>
      </c>
      <c r="J420" s="3">
        <f>IF(($A420-Ft!F$2)&lt;0,Ft!F$3*((1-Ft!F$6)/(1+Ft!F$37*($A420-Ft!F$2)^2)+Ft!F$6*EXP(Ft!F$38*($A420-Ft!F$2)^2)),Ft!F$3*((1-Ft!F$7)/(1+Ft!F$39*($A420-Ft!F$2)^2)+Ft!F$7*EXP(Ft!F$40*($A420-Ft!F$2)^2)))</f>
        <v>4.2540666387430912E-7</v>
      </c>
      <c r="K420" s="3">
        <f>IF(($A420-Ft!G$2)&lt;0,Ft!G$3*((1-Ft!G$6)/(1+Ft!G$37*($A420-Ft!G$2)^2)+Ft!G$6*EXP(Ft!G$38*($A420-Ft!G$2)^2)),Ft!G$3*((1-Ft!G$7)/(1+Ft!G$39*($A420-Ft!G$2)^2)+Ft!G$7*EXP(Ft!G$40*($A420-Ft!G$2)^2)))</f>
        <v>0</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v>838</v>
      </c>
      <c r="B421">
        <v>16.543023233494992</v>
      </c>
      <c r="C421" s="6">
        <f t="shared" si="13"/>
        <v>16.8118799350618</v>
      </c>
      <c r="D421" s="19">
        <f t="shared" si="14"/>
        <v>7.228392597738352E-2</v>
      </c>
      <c r="E421" s="3">
        <f>Ft!$B$12+Ft!$B$14*(Data!A421-Vars!$B$3)</f>
        <v>0</v>
      </c>
      <c r="F421" s="3">
        <f>IF(($A421-Ft!B$2)&lt;0,Ft!B$3*((1-Ft!B$6)/(1+Ft!B$37*($A421-Ft!B$2)^2)+Ft!B$6*EXP(Ft!B$38*($A421-Ft!B$2)^2)),Ft!B$3*((1-Ft!B$7)/(1+Ft!B$39*($A421-Ft!B$2)^2)+Ft!B$7*EXP(Ft!B$40*($A421-Ft!B$2)^2)))</f>
        <v>0</v>
      </c>
      <c r="G421" s="3">
        <f>IF(($A421-Ft!C$2)&lt;0,Ft!C$3*((1-Ft!C$6)/(1+Ft!C$37*($A421-Ft!C$2)^2)+Ft!C$6*EXP(Ft!C$38*($A421-Ft!C$2)^2)),Ft!C$3*((1-Ft!C$7)/(1+Ft!C$39*($A421-Ft!C$2)^2)+Ft!C$7*EXP(Ft!C$40*($A421-Ft!C$2)^2)))</f>
        <v>3.502624895010361E-16</v>
      </c>
      <c r="H421" s="3">
        <f>IF(($A421-Ft!D$2)&lt;0,Ft!D$3*((1-Ft!D$6)/(1+Ft!D$37*($A421-Ft!D$2)^2)+Ft!D$6*EXP(Ft!D$38*($A421-Ft!D$2)^2)),Ft!D$3*((1-Ft!D$7)/(1+Ft!D$39*($A421-Ft!D$2)^2)+Ft!D$7*EXP(Ft!D$40*($A421-Ft!D$2)^2)))</f>
        <v>0.58954835130133554</v>
      </c>
      <c r="I421" s="3">
        <f>IF(($A421-Ft!E$2)&lt;0,Ft!E$3*((1-Ft!E$6)/(1+Ft!E$37*($A421-Ft!E$2)^2)+Ft!E$6*EXP(Ft!E$38*($A421-Ft!E$2)^2)),Ft!E$3*((1-Ft!E$7)/(1+Ft!E$39*($A421-Ft!E$2)^2)+Ft!E$7*EXP(Ft!E$40*($A421-Ft!E$2)^2)))</f>
        <v>16.222330987476884</v>
      </c>
      <c r="J421" s="3">
        <f>IF(($A421-Ft!F$2)&lt;0,Ft!F$3*((1-Ft!F$6)/(1+Ft!F$37*($A421-Ft!F$2)^2)+Ft!F$6*EXP(Ft!F$38*($A421-Ft!F$2)^2)),Ft!F$3*((1-Ft!F$7)/(1+Ft!F$39*($A421-Ft!F$2)^2)+Ft!F$7*EXP(Ft!F$40*($A421-Ft!F$2)^2)))</f>
        <v>5.9628357995585397E-7</v>
      </c>
      <c r="K421" s="3">
        <f>IF(($A421-Ft!G$2)&lt;0,Ft!G$3*((1-Ft!G$6)/(1+Ft!G$37*($A421-Ft!G$2)^2)+Ft!G$6*EXP(Ft!G$38*($A421-Ft!G$2)^2)),Ft!G$3*((1-Ft!G$7)/(1+Ft!G$39*($A421-Ft!G$2)^2)+Ft!G$7*EXP(Ft!G$40*($A421-Ft!G$2)^2)))</f>
        <v>0</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v>840</v>
      </c>
      <c r="B422">
        <v>16.486964857586997</v>
      </c>
      <c r="C422" s="6">
        <f t="shared" si="13"/>
        <v>16.76573657913044</v>
      </c>
      <c r="D422" s="19">
        <f t="shared" si="14"/>
        <v>7.7713672732294722E-2</v>
      </c>
      <c r="E422" s="3">
        <f>Ft!$B$12+Ft!$B$14*(Data!A422-Vars!$B$3)</f>
        <v>0</v>
      </c>
      <c r="F422" s="3">
        <f>IF(($A422-Ft!B$2)&lt;0,Ft!B$3*((1-Ft!B$6)/(1+Ft!B$37*($A422-Ft!B$2)^2)+Ft!B$6*EXP(Ft!B$38*($A422-Ft!B$2)^2)),Ft!B$3*((1-Ft!B$7)/(1+Ft!B$39*($A422-Ft!B$2)^2)+Ft!B$7*EXP(Ft!B$40*($A422-Ft!B$2)^2)))</f>
        <v>0</v>
      </c>
      <c r="G422" s="3">
        <f>IF(($A422-Ft!C$2)&lt;0,Ft!C$3*((1-Ft!C$6)/(1+Ft!C$37*($A422-Ft!C$2)^2)+Ft!C$6*EXP(Ft!C$38*($A422-Ft!C$2)^2)),Ft!C$3*((1-Ft!C$7)/(1+Ft!C$39*($A422-Ft!C$2)^2)+Ft!C$7*EXP(Ft!C$40*($A422-Ft!C$2)^2)))</f>
        <v>2.8186831171947039E-16</v>
      </c>
      <c r="H422" s="3">
        <f>IF(($A422-Ft!D$2)&lt;0,Ft!D$3*((1-Ft!D$6)/(1+Ft!D$37*($A422-Ft!D$2)^2)+Ft!D$6*EXP(Ft!D$38*($A422-Ft!D$2)^2)),Ft!D$3*((1-Ft!D$7)/(1+Ft!D$39*($A422-Ft!D$2)^2)+Ft!D$7*EXP(Ft!D$40*($A422-Ft!D$2)^2)))</f>
        <v>0.56977824523058307</v>
      </c>
      <c r="I422" s="3">
        <f>IF(($A422-Ft!E$2)&lt;0,Ft!E$3*((1-Ft!E$6)/(1+Ft!E$37*($A422-Ft!E$2)^2)+Ft!E$6*EXP(Ft!E$38*($A422-Ft!E$2)^2)),Ft!E$3*((1-Ft!E$7)/(1+Ft!E$39*($A422-Ft!E$2)^2)+Ft!E$7*EXP(Ft!E$40*($A422-Ft!E$2)^2)))</f>
        <v>16.195957501000372</v>
      </c>
      <c r="J422" s="3">
        <f>IF(($A422-Ft!F$2)&lt;0,Ft!F$3*((1-Ft!F$6)/(1+Ft!F$37*($A422-Ft!F$2)^2)+Ft!F$6*EXP(Ft!F$38*($A422-Ft!F$2)^2)),Ft!F$3*((1-Ft!F$7)/(1+Ft!F$39*($A422-Ft!F$2)^2)+Ft!F$7*EXP(Ft!F$40*($A422-Ft!F$2)^2)))</f>
        <v>8.3289948505346518E-7</v>
      </c>
      <c r="K422" s="3">
        <f>IF(($A422-Ft!G$2)&lt;0,Ft!G$3*((1-Ft!G$6)/(1+Ft!G$37*($A422-Ft!G$2)^2)+Ft!G$6*EXP(Ft!G$38*($A422-Ft!G$2)^2)),Ft!G$3*((1-Ft!G$7)/(1+Ft!G$39*($A422-Ft!G$2)^2)+Ft!G$7*EXP(Ft!G$40*($A422-Ft!G$2)^2)))</f>
        <v>0</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v>842</v>
      </c>
      <c r="B423">
        <v>16.432505452748998</v>
      </c>
      <c r="C423" s="6">
        <f t="shared" si="13"/>
        <v>16.717913533943729</v>
      </c>
      <c r="D423" s="19">
        <f t="shared" si="14"/>
        <v>8.1457772811258322E-2</v>
      </c>
      <c r="E423" s="3">
        <f>Ft!$B$12+Ft!$B$14*(Data!A423-Vars!$B$3)</f>
        <v>0</v>
      </c>
      <c r="F423" s="3">
        <f>IF(($A423-Ft!B$2)&lt;0,Ft!B$3*((1-Ft!B$6)/(1+Ft!B$37*($A423-Ft!B$2)^2)+Ft!B$6*EXP(Ft!B$38*($A423-Ft!B$2)^2)),Ft!B$3*((1-Ft!B$7)/(1+Ft!B$39*($A423-Ft!B$2)^2)+Ft!B$7*EXP(Ft!B$40*($A423-Ft!B$2)^2)))</f>
        <v>0</v>
      </c>
      <c r="G423" s="3">
        <f>IF(($A423-Ft!C$2)&lt;0,Ft!C$3*((1-Ft!C$6)/(1+Ft!C$37*($A423-Ft!C$2)^2)+Ft!C$6*EXP(Ft!C$38*($A423-Ft!C$2)^2)),Ft!C$3*((1-Ft!C$7)/(1+Ft!C$39*($A423-Ft!C$2)^2)+Ft!C$7*EXP(Ft!C$40*($A423-Ft!C$2)^2)))</f>
        <v>2.2668817587908192E-16</v>
      </c>
      <c r="H423" s="3">
        <f>IF(($A423-Ft!D$2)&lt;0,Ft!D$3*((1-Ft!D$6)/(1+Ft!D$37*($A423-Ft!D$2)^2)+Ft!D$6*EXP(Ft!D$38*($A423-Ft!D$2)^2)),Ft!D$3*((1-Ft!D$7)/(1+Ft!D$39*($A423-Ft!D$2)^2)+Ft!D$7*EXP(Ft!D$40*($A423-Ft!D$2)^2)))</f>
        <v>0.55057743594447495</v>
      </c>
      <c r="I423" s="3">
        <f>IF(($A423-Ft!E$2)&lt;0,Ft!E$3*((1-Ft!E$6)/(1+Ft!E$37*($A423-Ft!E$2)^2)+Ft!E$6*EXP(Ft!E$38*($A423-Ft!E$2)^2)),Ft!E$3*((1-Ft!E$7)/(1+Ft!E$39*($A423-Ft!E$2)^2)+Ft!E$7*EXP(Ft!E$40*($A423-Ft!E$2)^2)))</f>
        <v>16.167334938625356</v>
      </c>
      <c r="J423" s="3">
        <f>IF(($A423-Ft!F$2)&lt;0,Ft!F$3*((1-Ft!F$6)/(1+Ft!F$37*($A423-Ft!F$2)^2)+Ft!F$6*EXP(Ft!F$38*($A423-Ft!F$2)^2)),Ft!F$3*((1-Ft!F$7)/(1+Ft!F$39*($A423-Ft!F$2)^2)+Ft!F$7*EXP(Ft!F$40*($A423-Ft!F$2)^2)))</f>
        <v>1.1593738988920248E-6</v>
      </c>
      <c r="K423" s="3">
        <f>IF(($A423-Ft!G$2)&lt;0,Ft!G$3*((1-Ft!G$6)/(1+Ft!G$37*($A423-Ft!G$2)^2)+Ft!G$6*EXP(Ft!G$38*($A423-Ft!G$2)^2)),Ft!G$3*((1-Ft!G$7)/(1+Ft!G$39*($A423-Ft!G$2)^2)+Ft!G$7*EXP(Ft!G$40*($A423-Ft!G$2)^2)))</f>
        <v>0</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v>844</v>
      </c>
      <c r="B424">
        <v>16.380682305178993</v>
      </c>
      <c r="C424" s="6">
        <f t="shared" si="13"/>
        <v>16.668410151969415</v>
      </c>
      <c r="D424" s="19">
        <f t="shared" si="14"/>
        <v>8.2787313818652092E-2</v>
      </c>
      <c r="E424" s="3">
        <f>Ft!$B$12+Ft!$B$14*(Data!A424-Vars!$B$3)</f>
        <v>0</v>
      </c>
      <c r="F424" s="3">
        <f>IF(($A424-Ft!B$2)&lt;0,Ft!B$3*((1-Ft!B$6)/(1+Ft!B$37*($A424-Ft!B$2)^2)+Ft!B$6*EXP(Ft!B$38*($A424-Ft!B$2)^2)),Ft!B$3*((1-Ft!B$7)/(1+Ft!B$39*($A424-Ft!B$2)^2)+Ft!B$7*EXP(Ft!B$40*($A424-Ft!B$2)^2)))</f>
        <v>0</v>
      </c>
      <c r="G424" s="3">
        <f>IF(($A424-Ft!C$2)&lt;0,Ft!C$3*((1-Ft!C$6)/(1+Ft!C$37*($A424-Ft!C$2)^2)+Ft!C$6*EXP(Ft!C$38*($A424-Ft!C$2)^2)),Ft!C$3*((1-Ft!C$7)/(1+Ft!C$39*($A424-Ft!C$2)^2)+Ft!C$7*EXP(Ft!C$40*($A424-Ft!C$2)^2)))</f>
        <v>1.8219710447749092E-16</v>
      </c>
      <c r="H424" s="3">
        <f>IF(($A424-Ft!D$2)&lt;0,Ft!D$3*((1-Ft!D$6)/(1+Ft!D$37*($A424-Ft!D$2)^2)+Ft!D$6*EXP(Ft!D$38*($A424-Ft!D$2)^2)),Ft!D$3*((1-Ft!D$7)/(1+Ft!D$39*($A424-Ft!D$2)^2)+Ft!D$7*EXP(Ft!D$40*($A424-Ft!D$2)^2)))</f>
        <v>0.53193316168106086</v>
      </c>
      <c r="I424" s="3">
        <f>IF(($A424-Ft!E$2)&lt;0,Ft!E$3*((1-Ft!E$6)/(1+Ft!E$37*($A424-Ft!E$2)^2)+Ft!E$6*EXP(Ft!E$38*($A424-Ft!E$2)^2)),Ft!E$3*((1-Ft!E$7)/(1+Ft!E$39*($A424-Ft!E$2)^2)+Ft!E$7*EXP(Ft!E$40*($A424-Ft!E$2)^2)))</f>
        <v>16.136475382067736</v>
      </c>
      <c r="J424" s="3">
        <f>IF(($A424-Ft!F$2)&lt;0,Ft!F$3*((1-Ft!F$6)/(1+Ft!F$37*($A424-Ft!F$2)^2)+Ft!F$6*EXP(Ft!F$38*($A424-Ft!F$2)^2)),Ft!F$3*((1-Ft!F$7)/(1+Ft!F$39*($A424-Ft!F$2)^2)+Ft!F$7*EXP(Ft!F$40*($A424-Ft!F$2)^2)))</f>
        <v>1.6082206191755233E-6</v>
      </c>
      <c r="K424" s="3">
        <f>IF(($A424-Ft!G$2)&lt;0,Ft!G$3*((1-Ft!G$6)/(1+Ft!G$37*($A424-Ft!G$2)^2)+Ft!G$6*EXP(Ft!G$38*($A424-Ft!G$2)^2)),Ft!G$3*((1-Ft!G$7)/(1+Ft!G$39*($A424-Ft!G$2)^2)+Ft!G$7*EXP(Ft!G$40*($A424-Ft!G$2)^2)))</f>
        <v>0</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v>846</v>
      </c>
      <c r="B425">
        <v>16.331956221578992</v>
      </c>
      <c r="C425" s="6">
        <f t="shared" si="13"/>
        <v>16.617226876854829</v>
      </c>
      <c r="D425" s="19">
        <f t="shared" si="14"/>
        <v>8.1379346761505836E-2</v>
      </c>
      <c r="E425" s="3">
        <f>Ft!$B$12+Ft!$B$14*(Data!A425-Vars!$B$3)</f>
        <v>0</v>
      </c>
      <c r="F425" s="3">
        <f>IF(($A425-Ft!B$2)&lt;0,Ft!B$3*((1-Ft!B$6)/(1+Ft!B$37*($A425-Ft!B$2)^2)+Ft!B$6*EXP(Ft!B$38*($A425-Ft!B$2)^2)),Ft!B$3*((1-Ft!B$7)/(1+Ft!B$39*($A425-Ft!B$2)^2)+Ft!B$7*EXP(Ft!B$40*($A425-Ft!B$2)^2)))</f>
        <v>0</v>
      </c>
      <c r="G425" s="3">
        <f>IF(($A425-Ft!C$2)&lt;0,Ft!C$3*((1-Ft!C$6)/(1+Ft!C$37*($A425-Ft!C$2)^2)+Ft!C$6*EXP(Ft!C$38*($A425-Ft!C$2)^2)),Ft!C$3*((1-Ft!C$7)/(1+Ft!C$39*($A425-Ft!C$2)^2)+Ft!C$7*EXP(Ft!C$40*($A425-Ft!C$2)^2)))</f>
        <v>1.4634708054530948E-16</v>
      </c>
      <c r="H425" s="3">
        <f>IF(($A425-Ft!D$2)&lt;0,Ft!D$3*((1-Ft!D$6)/(1+Ft!D$37*($A425-Ft!D$2)^2)+Ft!D$6*EXP(Ft!D$38*($A425-Ft!D$2)^2)),Ft!D$3*((1-Ft!D$7)/(1+Ft!D$39*($A425-Ft!D$2)^2)+Ft!D$7*EXP(Ft!D$40*($A425-Ft!D$2)^2)))</f>
        <v>0.51383281255950364</v>
      </c>
      <c r="I425" s="3">
        <f>IF(($A425-Ft!E$2)&lt;0,Ft!E$3*((1-Ft!E$6)/(1+Ft!E$37*($A425-Ft!E$2)^2)+Ft!E$6*EXP(Ft!E$38*($A425-Ft!E$2)^2)),Ft!E$3*((1-Ft!E$7)/(1+Ft!E$39*($A425-Ft!E$2)^2)+Ft!E$7*EXP(Ft!E$40*($A425-Ft!E$2)^2)))</f>
        <v>16.103391841195755</v>
      </c>
      <c r="J425" s="3">
        <f>IF(($A425-Ft!F$2)&lt;0,Ft!F$3*((1-Ft!F$6)/(1+Ft!F$37*($A425-Ft!F$2)^2)+Ft!F$6*EXP(Ft!F$38*($A425-Ft!F$2)^2)),Ft!F$3*((1-Ft!F$7)/(1+Ft!F$39*($A425-Ft!F$2)^2)+Ft!F$7*EXP(Ft!F$40*($A425-Ft!F$2)^2)))</f>
        <v>2.2230995714764461E-6</v>
      </c>
      <c r="K425" s="3">
        <f>IF(($A425-Ft!G$2)&lt;0,Ft!G$3*((1-Ft!G$6)/(1+Ft!G$37*($A425-Ft!G$2)^2)+Ft!G$6*EXP(Ft!G$38*($A425-Ft!G$2)^2)),Ft!G$3*((1-Ft!G$7)/(1+Ft!G$39*($A425-Ft!G$2)^2)+Ft!G$7*EXP(Ft!G$40*($A425-Ft!G$2)^2)))</f>
        <v>0</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v>848</v>
      </c>
      <c r="B426">
        <v>16.285410760576994</v>
      </c>
      <c r="C426" s="6">
        <f t="shared" si="13"/>
        <v>16.56436524117137</v>
      </c>
      <c r="D426" s="19">
        <f t="shared" si="14"/>
        <v>7.7815602243677853E-2</v>
      </c>
      <c r="E426" s="3">
        <f>Ft!$B$12+Ft!$B$14*(Data!A426-Vars!$B$3)</f>
        <v>0</v>
      </c>
      <c r="F426" s="3">
        <f>IF(($A426-Ft!B$2)&lt;0,Ft!B$3*((1-Ft!B$6)/(1+Ft!B$37*($A426-Ft!B$2)^2)+Ft!B$6*EXP(Ft!B$38*($A426-Ft!B$2)^2)),Ft!B$3*((1-Ft!B$7)/(1+Ft!B$39*($A426-Ft!B$2)^2)+Ft!B$7*EXP(Ft!B$40*($A426-Ft!B$2)^2)))</f>
        <v>0</v>
      </c>
      <c r="G426" s="3">
        <f>IF(($A426-Ft!C$2)&lt;0,Ft!C$3*((1-Ft!C$6)/(1+Ft!C$37*($A426-Ft!C$2)^2)+Ft!C$6*EXP(Ft!C$38*($A426-Ft!C$2)^2)),Ft!C$3*((1-Ft!C$7)/(1+Ft!C$39*($A426-Ft!C$2)^2)+Ft!C$7*EXP(Ft!C$40*($A426-Ft!C$2)^2)))</f>
        <v>1.1747802725050464E-16</v>
      </c>
      <c r="H426" s="3">
        <f>IF(($A426-Ft!D$2)&lt;0,Ft!D$3*((1-Ft!D$6)/(1+Ft!D$37*($A426-Ft!D$2)^2)+Ft!D$6*EXP(Ft!D$38*($A426-Ft!D$2)^2)),Ft!D$3*((1-Ft!D$7)/(1+Ft!D$39*($A426-Ft!D$2)^2)+Ft!D$7*EXP(Ft!D$40*($A426-Ft!D$2)^2)))</f>
        <v>0.49626393387151563</v>
      </c>
      <c r="I426" s="3">
        <f>IF(($A426-Ft!E$2)&lt;0,Ft!E$3*((1-Ft!E$6)/(1+Ft!E$37*($A426-Ft!E$2)^2)+Ft!E$6*EXP(Ft!E$38*($A426-Ft!E$2)^2)),Ft!E$3*((1-Ft!E$7)/(1+Ft!E$39*($A426-Ft!E$2)^2)+Ft!E$7*EXP(Ft!E$40*($A426-Ft!E$2)^2)))</f>
        <v>16.068098244889491</v>
      </c>
      <c r="J426" s="3">
        <f>IF(($A426-Ft!F$2)&lt;0,Ft!F$3*((1-Ft!F$6)/(1+Ft!F$37*($A426-Ft!F$2)^2)+Ft!F$6*EXP(Ft!F$38*($A426-Ft!F$2)^2)),Ft!F$3*((1-Ft!F$7)/(1+Ft!F$39*($A426-Ft!F$2)^2)+Ft!F$7*EXP(Ft!F$40*($A426-Ft!F$2)^2)))</f>
        <v>3.0624103638431524E-6</v>
      </c>
      <c r="K426" s="3">
        <f>IF(($A426-Ft!G$2)&lt;0,Ft!G$3*((1-Ft!G$6)/(1+Ft!G$37*($A426-Ft!G$2)^2)+Ft!G$6*EXP(Ft!G$38*($A426-Ft!G$2)^2)),Ft!G$3*((1-Ft!G$7)/(1+Ft!G$39*($A426-Ft!G$2)^2)+Ft!G$7*EXP(Ft!G$40*($A426-Ft!G$2)^2)))</f>
        <v>0</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v>850</v>
      </c>
      <c r="B427">
        <v>16.240006931602991</v>
      </c>
      <c r="C427" s="6">
        <f t="shared" si="13"/>
        <v>16.509827864363579</v>
      </c>
      <c r="D427" s="19">
        <f t="shared" si="14"/>
        <v>7.2803335755793772E-2</v>
      </c>
      <c r="E427" s="3">
        <f>Ft!$B$12+Ft!$B$14*(Data!A427-Vars!$B$3)</f>
        <v>0</v>
      </c>
      <c r="F427" s="3">
        <f>IF(($A427-Ft!B$2)&lt;0,Ft!B$3*((1-Ft!B$6)/(1+Ft!B$37*($A427-Ft!B$2)^2)+Ft!B$6*EXP(Ft!B$38*($A427-Ft!B$2)^2)),Ft!B$3*((1-Ft!B$7)/(1+Ft!B$39*($A427-Ft!B$2)^2)+Ft!B$7*EXP(Ft!B$40*($A427-Ft!B$2)^2)))</f>
        <v>0</v>
      </c>
      <c r="G427" s="3">
        <f>IF(($A427-Ft!C$2)&lt;0,Ft!C$3*((1-Ft!C$6)/(1+Ft!C$37*($A427-Ft!C$2)^2)+Ft!C$6*EXP(Ft!C$38*($A427-Ft!C$2)^2)),Ft!C$3*((1-Ft!C$7)/(1+Ft!C$39*($A427-Ft!C$2)^2)+Ft!C$7*EXP(Ft!C$40*($A427-Ft!C$2)^2)))</f>
        <v>9.4245194767924769E-17</v>
      </c>
      <c r="H427" s="3">
        <f>IF(($A427-Ft!D$2)&lt;0,Ft!D$3*((1-Ft!D$6)/(1+Ft!D$37*($A427-Ft!D$2)^2)+Ft!D$6*EXP(Ft!D$38*($A427-Ft!D$2)^2)),Ft!D$3*((1-Ft!D$7)/(1+Ft!D$39*($A427-Ft!D$2)^2)+Ft!D$7*EXP(Ft!D$40*($A427-Ft!D$2)^2)))</f>
        <v>0.47921422913134815</v>
      </c>
      <c r="I427" s="3">
        <f>IF(($A427-Ft!E$2)&lt;0,Ft!E$3*((1-Ft!E$6)/(1+Ft!E$37*($A427-Ft!E$2)^2)+Ft!E$6*EXP(Ft!E$38*($A427-Ft!E$2)^2)),Ft!E$3*((1-Ft!E$7)/(1+Ft!E$39*($A427-Ft!E$2)^2)+Ft!E$7*EXP(Ft!E$40*($A427-Ft!E$2)^2)))</f>
        <v>16.030609431267745</v>
      </c>
      <c r="J427" s="3">
        <f>IF(($A427-Ft!F$2)&lt;0,Ft!F$3*((1-Ft!F$6)/(1+Ft!F$37*($A427-Ft!F$2)^2)+Ft!F$6*EXP(Ft!F$38*($A427-Ft!F$2)^2)),Ft!F$3*((1-Ft!F$7)/(1+Ft!F$39*($A427-Ft!F$2)^2)+Ft!F$7*EXP(Ft!F$40*($A427-Ft!F$2)^2)))</f>
        <v>4.2039644864045684E-6</v>
      </c>
      <c r="K427" s="3">
        <f>IF(($A427-Ft!G$2)&lt;0,Ft!G$3*((1-Ft!G$6)/(1+Ft!G$37*($A427-Ft!G$2)^2)+Ft!G$6*EXP(Ft!G$38*($A427-Ft!G$2)^2)),Ft!G$3*((1-Ft!G$7)/(1+Ft!G$39*($A427-Ft!G$2)^2)+Ft!G$7*EXP(Ft!G$40*($A427-Ft!G$2)^2)))</f>
        <v>0</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v>852</v>
      </c>
      <c r="B428">
        <v>16.194705744088992</v>
      </c>
      <c r="C428" s="6">
        <f t="shared" si="13"/>
        <v>16.453618451214702</v>
      </c>
      <c r="D428" s="19">
        <f t="shared" si="14"/>
        <v>6.7035789911163463E-2</v>
      </c>
      <c r="E428" s="3">
        <f>Ft!$B$12+Ft!$B$14*(Data!A428-Vars!$B$3)</f>
        <v>0</v>
      </c>
      <c r="F428" s="3">
        <f>IF(($A428-Ft!B$2)&lt;0,Ft!B$3*((1-Ft!B$6)/(1+Ft!B$37*($A428-Ft!B$2)^2)+Ft!B$6*EXP(Ft!B$38*($A428-Ft!B$2)^2)),Ft!B$3*((1-Ft!B$7)/(1+Ft!B$39*($A428-Ft!B$2)^2)+Ft!B$7*EXP(Ft!B$40*($A428-Ft!B$2)^2)))</f>
        <v>0</v>
      </c>
      <c r="G428" s="3">
        <f>IF(($A428-Ft!C$2)&lt;0,Ft!C$3*((1-Ft!C$6)/(1+Ft!C$37*($A428-Ft!C$2)^2)+Ft!C$6*EXP(Ft!C$38*($A428-Ft!C$2)^2)),Ft!C$3*((1-Ft!C$7)/(1+Ft!C$39*($A428-Ft!C$2)^2)+Ft!C$7*EXP(Ft!C$40*($A428-Ft!C$2)^2)))</f>
        <v>7.555997002852836E-17</v>
      </c>
      <c r="H428" s="3">
        <f>IF(($A428-Ft!D$2)&lt;0,Ft!D$3*((1-Ft!D$6)/(1+Ft!D$37*($A428-Ft!D$2)^2)+Ft!D$6*EXP(Ft!D$38*($A428-Ft!D$2)^2)),Ft!D$3*((1-Ft!D$7)/(1+Ft!D$39*($A428-Ft!D$2)^2)+Ft!D$7*EXP(Ft!D$40*($A428-Ft!D$2)^2)))</f>
        <v>0.46267156288948419</v>
      </c>
      <c r="I428" s="3">
        <f>IF(($A428-Ft!E$2)&lt;0,Ft!E$3*((1-Ft!E$6)/(1+Ft!E$37*($A428-Ft!E$2)^2)+Ft!E$6*EXP(Ft!E$38*($A428-Ft!E$2)^2)),Ft!E$3*((1-Ft!E$7)/(1+Ft!E$39*($A428-Ft!E$2)^2)+Ft!E$7*EXP(Ft!E$40*($A428-Ft!E$2)^2)))</f>
        <v>15.99094113729204</v>
      </c>
      <c r="J428" s="3">
        <f>IF(($A428-Ft!F$2)&lt;0,Ft!F$3*((1-Ft!F$6)/(1+Ft!F$37*($A428-Ft!F$2)^2)+Ft!F$6*EXP(Ft!F$38*($A428-Ft!F$2)^2)),Ft!F$3*((1-Ft!F$7)/(1+Ft!F$39*($A428-Ft!F$2)^2)+Ft!F$7*EXP(Ft!F$40*($A428-Ft!F$2)^2)))</f>
        <v>5.7510331803398111E-6</v>
      </c>
      <c r="K428" s="3">
        <f>IF(($A428-Ft!G$2)&lt;0,Ft!G$3*((1-Ft!G$6)/(1+Ft!G$37*($A428-Ft!G$2)^2)+Ft!G$6*EXP(Ft!G$38*($A428-Ft!G$2)^2)),Ft!G$3*((1-Ft!G$7)/(1+Ft!G$39*($A428-Ft!G$2)^2)+Ft!G$7*EXP(Ft!G$40*($A428-Ft!G$2)^2)))</f>
        <v>0</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v>854</v>
      </c>
      <c r="B429">
        <v>16.148468207466991</v>
      </c>
      <c r="C429" s="6">
        <f t="shared" si="13"/>
        <v>16.395741791214419</v>
      </c>
      <c r="D429" s="19">
        <f t="shared" si="14"/>
        <v>6.1144225219296744E-2</v>
      </c>
      <c r="E429" s="3">
        <f>Ft!$B$12+Ft!$B$14*(Data!A429-Vars!$B$3)</f>
        <v>0</v>
      </c>
      <c r="F429" s="3">
        <f>IF(($A429-Ft!B$2)&lt;0,Ft!B$3*((1-Ft!B$6)/(1+Ft!B$37*($A429-Ft!B$2)^2)+Ft!B$6*EXP(Ft!B$38*($A429-Ft!B$2)^2)),Ft!B$3*((1-Ft!B$7)/(1+Ft!B$39*($A429-Ft!B$2)^2)+Ft!B$7*EXP(Ft!B$40*($A429-Ft!B$2)^2)))</f>
        <v>0</v>
      </c>
      <c r="G429" s="3">
        <f>IF(($A429-Ft!C$2)&lt;0,Ft!C$3*((1-Ft!C$6)/(1+Ft!C$37*($A429-Ft!C$2)^2)+Ft!C$6*EXP(Ft!C$38*($A429-Ft!C$2)^2)),Ft!C$3*((1-Ft!C$7)/(1+Ft!C$39*($A429-Ft!C$2)^2)+Ft!C$7*EXP(Ft!C$40*($A429-Ft!C$2)^2)))</f>
        <v>6.0541660326518628E-17</v>
      </c>
      <c r="H429" s="3">
        <f>IF(($A429-Ft!D$2)&lt;0,Ft!D$3*((1-Ft!D$6)/(1+Ft!D$37*($A429-Ft!D$2)^2)+Ft!D$6*EXP(Ft!D$38*($A429-Ft!D$2)^2)),Ft!D$3*((1-Ft!D$7)/(1+Ft!D$39*($A429-Ft!D$2)^2)+Ft!D$7*EXP(Ft!D$40*($A429-Ft!D$2)^2)))</f>
        <v>0.4466239633152983</v>
      </c>
      <c r="I429" s="3">
        <f>IF(($A429-Ft!E$2)&lt;0,Ft!E$3*((1-Ft!E$6)/(1+Ft!E$37*($A429-Ft!E$2)^2)+Ft!E$6*EXP(Ft!E$38*($A429-Ft!E$2)^2)),Ft!E$3*((1-Ft!E$7)/(1+Ft!E$39*($A429-Ft!E$2)^2)+Ft!E$7*EXP(Ft!E$40*($A429-Ft!E$2)^2)))</f>
        <v>15.949109987757824</v>
      </c>
      <c r="J429" s="3">
        <f>IF(($A429-Ft!F$2)&lt;0,Ft!F$3*((1-Ft!F$6)/(1+Ft!F$37*($A429-Ft!F$2)^2)+Ft!F$6*EXP(Ft!F$38*($A429-Ft!F$2)^2)),Ft!F$3*((1-Ft!F$7)/(1+Ft!F$39*($A429-Ft!F$2)^2)+Ft!F$7*EXP(Ft!F$40*($A429-Ft!F$2)^2)))</f>
        <v>7.8401412978950469E-6</v>
      </c>
      <c r="K429" s="3">
        <f>IF(($A429-Ft!G$2)&lt;0,Ft!G$3*((1-Ft!G$6)/(1+Ft!G$37*($A429-Ft!G$2)^2)+Ft!G$6*EXP(Ft!G$38*($A429-Ft!G$2)^2)),Ft!G$3*((1-Ft!G$7)/(1+Ft!G$39*($A429-Ft!G$2)^2)+Ft!G$7*EXP(Ft!G$40*($A429-Ft!G$2)^2)))</f>
        <v>0</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v>856</v>
      </c>
      <c r="B430">
        <v>16.100255331168</v>
      </c>
      <c r="C430" s="6">
        <f t="shared" si="13"/>
        <v>16.336203759304048</v>
      </c>
      <c r="D430" s="19">
        <f t="shared" si="14"/>
        <v>5.5671660739871807E-2</v>
      </c>
      <c r="E430" s="3">
        <f>Ft!$B$12+Ft!$B$14*(Data!A430-Vars!$B$3)</f>
        <v>0</v>
      </c>
      <c r="F430" s="3">
        <f>IF(($A430-Ft!B$2)&lt;0,Ft!B$3*((1-Ft!B$6)/(1+Ft!B$37*($A430-Ft!B$2)^2)+Ft!B$6*EXP(Ft!B$38*($A430-Ft!B$2)^2)),Ft!B$3*((1-Ft!B$7)/(1+Ft!B$39*($A430-Ft!B$2)^2)+Ft!B$7*EXP(Ft!B$40*($A430-Ft!B$2)^2)))</f>
        <v>0</v>
      </c>
      <c r="G430" s="3">
        <f>IF(($A430-Ft!C$2)&lt;0,Ft!C$3*((1-Ft!C$6)/(1+Ft!C$37*($A430-Ft!C$2)^2)+Ft!C$6*EXP(Ft!C$38*($A430-Ft!C$2)^2)),Ft!C$3*((1-Ft!C$7)/(1+Ft!C$39*($A430-Ft!C$2)^2)+Ft!C$7*EXP(Ft!C$40*($A430-Ft!C$2)^2)))</f>
        <v>4.8478242483632859E-17</v>
      </c>
      <c r="H430" s="3">
        <f>IF(($A430-Ft!D$2)&lt;0,Ft!D$3*((1-Ft!D$6)/(1+Ft!D$37*($A430-Ft!D$2)^2)+Ft!D$6*EXP(Ft!D$38*($A430-Ft!D$2)^2)),Ft!D$3*((1-Ft!D$7)/(1+Ft!D$39*($A430-Ft!D$2)^2)+Ft!D$7*EXP(Ft!D$40*($A430-Ft!D$2)^2)))</f>
        <v>0.43105962455402164</v>
      </c>
      <c r="I430" s="3">
        <f>IF(($A430-Ft!E$2)&lt;0,Ft!E$3*((1-Ft!E$6)/(1+Ft!E$37*($A430-Ft!E$2)^2)+Ft!E$6*EXP(Ft!E$38*($A430-Ft!E$2)^2)),Ft!E$3*((1-Ft!E$7)/(1+Ft!E$39*($A430-Ft!E$2)^2)+Ft!E$7*EXP(Ft!E$40*($A430-Ft!E$2)^2)))</f>
        <v>15.905133483683727</v>
      </c>
      <c r="J430" s="3">
        <f>IF(($A430-Ft!F$2)&lt;0,Ft!F$3*((1-Ft!F$6)/(1+Ft!F$37*($A430-Ft!F$2)^2)+Ft!F$6*EXP(Ft!F$38*($A430-Ft!F$2)^2)),Ft!F$3*((1-Ft!F$7)/(1+Ft!F$39*($A430-Ft!F$2)^2)+Ft!F$7*EXP(Ft!F$40*($A430-Ft!F$2)^2)))</f>
        <v>1.0651066302689513E-5</v>
      </c>
      <c r="K430" s="3">
        <f>IF(($A430-Ft!G$2)&lt;0,Ft!G$3*((1-Ft!G$6)/(1+Ft!G$37*($A430-Ft!G$2)^2)+Ft!G$6*EXP(Ft!G$38*($A430-Ft!G$2)^2)),Ft!G$3*((1-Ft!G$7)/(1+Ft!G$39*($A430-Ft!G$2)^2)+Ft!G$7*EXP(Ft!G$40*($A430-Ft!G$2)^2)))</f>
        <v>0</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v>858</v>
      </c>
      <c r="B431">
        <v>16.049028124622993</v>
      </c>
      <c r="C431" s="6">
        <f t="shared" si="13"/>
        <v>16.275011318582095</v>
      </c>
      <c r="D431" s="19">
        <f t="shared" si="14"/>
        <v>5.1068403951957289E-2</v>
      </c>
      <c r="E431" s="3">
        <f>Ft!$B$12+Ft!$B$14*(Data!A431-Vars!$B$3)</f>
        <v>0</v>
      </c>
      <c r="F431" s="3">
        <f>IF(($A431-Ft!B$2)&lt;0,Ft!B$3*((1-Ft!B$6)/(1+Ft!B$37*($A431-Ft!B$2)^2)+Ft!B$6*EXP(Ft!B$38*($A431-Ft!B$2)^2)),Ft!B$3*((1-Ft!B$7)/(1+Ft!B$39*($A431-Ft!B$2)^2)+Ft!B$7*EXP(Ft!B$40*($A431-Ft!B$2)^2)))</f>
        <v>0</v>
      </c>
      <c r="G431" s="3">
        <f>IF(($A431-Ft!C$2)&lt;0,Ft!C$3*((1-Ft!C$6)/(1+Ft!C$37*($A431-Ft!C$2)^2)+Ft!C$6*EXP(Ft!C$38*($A431-Ft!C$2)^2)),Ft!C$3*((1-Ft!C$7)/(1+Ft!C$39*($A431-Ft!C$2)^2)+Ft!C$7*EXP(Ft!C$40*($A431-Ft!C$2)^2)))</f>
        <v>3.8794431822071637E-17</v>
      </c>
      <c r="H431" s="3">
        <f>IF(($A431-Ft!D$2)&lt;0,Ft!D$3*((1-Ft!D$6)/(1+Ft!D$37*($A431-Ft!D$2)^2)+Ft!D$6*EXP(Ft!D$38*($A431-Ft!D$2)^2)),Ft!D$3*((1-Ft!D$7)/(1+Ft!D$39*($A431-Ft!D$2)^2)+Ft!D$7*EXP(Ft!D$40*($A431-Ft!D$2)^2)))</f>
        <v>0.41596690886344573</v>
      </c>
      <c r="I431" s="3">
        <f>IF(($A431-Ft!E$2)&lt;0,Ft!E$3*((1-Ft!E$6)/(1+Ft!E$37*($A431-Ft!E$2)^2)+Ft!E$6*EXP(Ft!E$38*($A431-Ft!E$2)^2)),Ft!E$3*((1-Ft!E$7)/(1+Ft!E$39*($A431-Ft!E$2)^2)+Ft!E$7*EXP(Ft!E$40*($A431-Ft!E$2)^2)))</f>
        <v>15.859029990110173</v>
      </c>
      <c r="J431" s="3">
        <f>IF(($A431-Ft!F$2)&lt;0,Ft!F$3*((1-Ft!F$6)/(1+Ft!F$37*($A431-Ft!F$2)^2)+Ft!F$6*EXP(Ft!F$38*($A431-Ft!F$2)^2)),Ft!F$3*((1-Ft!F$7)/(1+Ft!F$39*($A431-Ft!F$2)^2)+Ft!F$7*EXP(Ft!F$40*($A431-Ft!F$2)^2)))</f>
        <v>1.4419608474372695E-5</v>
      </c>
      <c r="K431" s="3">
        <f>IF(($A431-Ft!G$2)&lt;0,Ft!G$3*((1-Ft!G$6)/(1+Ft!G$37*($A431-Ft!G$2)^2)+Ft!G$6*EXP(Ft!G$38*($A431-Ft!G$2)^2)),Ft!G$3*((1-Ft!G$7)/(1+Ft!G$39*($A431-Ft!G$2)^2)+Ft!G$7*EXP(Ft!G$40*($A431-Ft!G$2)^2)))</f>
        <v>0</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v>860</v>
      </c>
      <c r="B432">
        <v>15.99374759726399</v>
      </c>
      <c r="C432" s="6">
        <f t="shared" si="13"/>
        <v>16.212172525681325</v>
      </c>
      <c r="D432" s="19">
        <f t="shared" si="14"/>
        <v>4.7709449354117806E-2</v>
      </c>
      <c r="E432" s="3">
        <f>Ft!$B$12+Ft!$B$14*(Data!A432-Vars!$B$3)</f>
        <v>0</v>
      </c>
      <c r="F432" s="3">
        <f>IF(($A432-Ft!B$2)&lt;0,Ft!B$3*((1-Ft!B$6)/(1+Ft!B$37*($A432-Ft!B$2)^2)+Ft!B$6*EXP(Ft!B$38*($A432-Ft!B$2)^2)),Ft!B$3*((1-Ft!B$7)/(1+Ft!B$39*($A432-Ft!B$2)^2)+Ft!B$7*EXP(Ft!B$40*($A432-Ft!B$2)^2)))</f>
        <v>0</v>
      </c>
      <c r="G432" s="3">
        <f>IF(($A432-Ft!C$2)&lt;0,Ft!C$3*((1-Ft!C$6)/(1+Ft!C$37*($A432-Ft!C$2)^2)+Ft!C$6*EXP(Ft!C$38*($A432-Ft!C$2)^2)),Ft!C$3*((1-Ft!C$7)/(1+Ft!C$39*($A432-Ft!C$2)^2)+Ft!C$7*EXP(Ft!C$40*($A432-Ft!C$2)^2)))</f>
        <v>3.1025723234314066E-17</v>
      </c>
      <c r="H432" s="3">
        <f>IF(($A432-Ft!D$2)&lt;0,Ft!D$3*((1-Ft!D$6)/(1+Ft!D$37*($A432-Ft!D$2)^2)+Ft!D$6*EXP(Ft!D$38*($A432-Ft!D$2)^2)),Ft!D$3*((1-Ft!D$7)/(1+Ft!D$39*($A432-Ft!D$2)^2)+Ft!D$7*EXP(Ft!D$40*($A432-Ft!D$2)^2)))</f>
        <v>0.40133434853585731</v>
      </c>
      <c r="I432" s="3">
        <f>IF(($A432-Ft!E$2)&lt;0,Ft!E$3*((1-Ft!E$6)/(1+Ft!E$37*($A432-Ft!E$2)^2)+Ft!E$6*EXP(Ft!E$38*($A432-Ft!E$2)^2)),Ft!E$3*((1-Ft!E$7)/(1+Ft!E$39*($A432-Ft!E$2)^2)+Ft!E$7*EXP(Ft!E$40*($A432-Ft!E$2)^2)))</f>
        <v>15.810818723319313</v>
      </c>
      <c r="J432" s="3">
        <f>IF(($A432-Ft!F$2)&lt;0,Ft!F$3*((1-Ft!F$6)/(1+Ft!F$37*($A432-Ft!F$2)^2)+Ft!F$6*EXP(Ft!F$38*($A432-Ft!F$2)^2)),Ft!F$3*((1-Ft!F$7)/(1+Ft!F$39*($A432-Ft!F$2)^2)+Ft!F$7*EXP(Ft!F$40*($A432-Ft!F$2)^2)))</f>
        <v>1.9453826156235072E-5</v>
      </c>
      <c r="K432" s="3">
        <f>IF(($A432-Ft!G$2)&lt;0,Ft!G$3*((1-Ft!G$6)/(1+Ft!G$37*($A432-Ft!G$2)^2)+Ft!G$6*EXP(Ft!G$38*($A432-Ft!G$2)^2)),Ft!G$3*((1-Ft!G$7)/(1+Ft!G$39*($A432-Ft!G$2)^2)+Ft!G$7*EXP(Ft!G$40*($A432-Ft!G$2)^2)))</f>
        <v>0</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v>862</v>
      </c>
      <c r="B433">
        <v>15.936492307164002</v>
      </c>
      <c r="C433" s="6">
        <f t="shared" si="13"/>
        <v>16.14769653968089</v>
      </c>
      <c r="D433" s="19">
        <f t="shared" si="14"/>
        <v>4.4607227833047651E-2</v>
      </c>
      <c r="E433" s="3">
        <f>Ft!$B$12+Ft!$B$14*(Data!A433-Vars!$B$3)</f>
        <v>0</v>
      </c>
      <c r="F433" s="3">
        <f>IF(($A433-Ft!B$2)&lt;0,Ft!B$3*((1-Ft!B$6)/(1+Ft!B$37*($A433-Ft!B$2)^2)+Ft!B$6*EXP(Ft!B$38*($A433-Ft!B$2)^2)),Ft!B$3*((1-Ft!B$7)/(1+Ft!B$39*($A433-Ft!B$2)^2)+Ft!B$7*EXP(Ft!B$40*($A433-Ft!B$2)^2)))</f>
        <v>0</v>
      </c>
      <c r="G433" s="3">
        <f>IF(($A433-Ft!C$2)&lt;0,Ft!C$3*((1-Ft!C$6)/(1+Ft!C$37*($A433-Ft!C$2)^2)+Ft!C$6*EXP(Ft!C$38*($A433-Ft!C$2)^2)),Ft!C$3*((1-Ft!C$7)/(1+Ft!C$39*($A433-Ft!C$2)^2)+Ft!C$7*EXP(Ft!C$40*($A433-Ft!C$2)^2)))</f>
        <v>2.4797301466323853E-17</v>
      </c>
      <c r="H433" s="3">
        <f>IF(($A433-Ft!D$2)&lt;0,Ft!D$3*((1-Ft!D$6)/(1+Ft!D$37*($A433-Ft!D$2)^2)+Ft!D$6*EXP(Ft!D$38*($A433-Ft!D$2)^2)),Ft!D$3*((1-Ft!D$7)/(1+Ft!D$39*($A433-Ft!D$2)^2)+Ft!D$7*EXP(Ft!D$40*($A433-Ft!D$2)^2)))</f>
        <v>0.3871506476107629</v>
      </c>
      <c r="I433" s="3">
        <f>IF(($A433-Ft!E$2)&lt;0,Ft!E$3*((1-Ft!E$6)/(1+Ft!E$37*($A433-Ft!E$2)^2)+Ft!E$6*EXP(Ft!E$38*($A433-Ft!E$2)^2)),Ft!E$3*((1-Ft!E$7)/(1+Ft!E$39*($A433-Ft!E$2)^2)+Ft!E$7*EXP(Ft!E$40*($A433-Ft!E$2)^2)))</f>
        <v>15.760519737488666</v>
      </c>
      <c r="J433" s="3">
        <f>IF(($A433-Ft!F$2)&lt;0,Ft!F$3*((1-Ft!F$6)/(1+Ft!F$37*($A433-Ft!F$2)^2)+Ft!F$6*EXP(Ft!F$38*($A433-Ft!F$2)^2)),Ft!F$3*((1-Ft!F$7)/(1+Ft!F$39*($A433-Ft!F$2)^2)+Ft!F$7*EXP(Ft!F$40*($A433-Ft!F$2)^2)))</f>
        <v>2.6154581462383461E-5</v>
      </c>
      <c r="K433" s="3">
        <f>IF(($A433-Ft!G$2)&lt;0,Ft!G$3*((1-Ft!G$6)/(1+Ft!G$37*($A433-Ft!G$2)^2)+Ft!G$6*EXP(Ft!G$38*($A433-Ft!G$2)^2)),Ft!G$3*((1-Ft!G$7)/(1+Ft!G$39*($A433-Ft!G$2)^2)+Ft!G$7*EXP(Ft!G$40*($A433-Ft!G$2)^2)))</f>
        <v>0</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v>864</v>
      </c>
      <c r="B434">
        <v>15.879523861591991</v>
      </c>
      <c r="C434" s="6">
        <f t="shared" si="13"/>
        <v>16.081593635595766</v>
      </c>
      <c r="D434" s="19">
        <f t="shared" si="14"/>
        <v>4.0832193565936571E-2</v>
      </c>
      <c r="E434" s="3">
        <f>Ft!$B$12+Ft!$B$14*(Data!A434-Vars!$B$3)</f>
        <v>0</v>
      </c>
      <c r="F434" s="3">
        <f>IF(($A434-Ft!B$2)&lt;0,Ft!B$3*((1-Ft!B$6)/(1+Ft!B$37*($A434-Ft!B$2)^2)+Ft!B$6*EXP(Ft!B$38*($A434-Ft!B$2)^2)),Ft!B$3*((1-Ft!B$7)/(1+Ft!B$39*($A434-Ft!B$2)^2)+Ft!B$7*EXP(Ft!B$40*($A434-Ft!B$2)^2)))</f>
        <v>0</v>
      </c>
      <c r="G434" s="3">
        <f>IF(($A434-Ft!C$2)&lt;0,Ft!C$3*((1-Ft!C$6)/(1+Ft!C$37*($A434-Ft!C$2)^2)+Ft!C$6*EXP(Ft!C$38*($A434-Ft!C$2)^2)),Ft!C$3*((1-Ft!C$7)/(1+Ft!C$39*($A434-Ft!C$2)^2)+Ft!C$7*EXP(Ft!C$40*($A434-Ft!C$2)^2)))</f>
        <v>1.980691870759079E-17</v>
      </c>
      <c r="H434" s="3">
        <f>IF(($A434-Ft!D$2)&lt;0,Ft!D$3*((1-Ft!D$6)/(1+Ft!D$37*($A434-Ft!D$2)^2)+Ft!D$6*EXP(Ft!D$38*($A434-Ft!D$2)^2)),Ft!D$3*((1-Ft!D$7)/(1+Ft!D$39*($A434-Ft!D$2)^2)+Ft!D$7*EXP(Ft!D$40*($A434-Ft!D$2)^2)))</f>
        <v>0.37340468338400795</v>
      </c>
      <c r="I434" s="3">
        <f>IF(($A434-Ft!E$2)&lt;0,Ft!E$3*((1-Ft!E$6)/(1+Ft!E$37*($A434-Ft!E$2)^2)+Ft!E$6*EXP(Ft!E$38*($A434-Ft!E$2)^2)),Ft!E$3*((1-Ft!E$7)/(1+Ft!E$39*($A434-Ft!E$2)^2)+Ft!E$7*EXP(Ft!E$40*($A434-Ft!E$2)^2)))</f>
        <v>15.708153910791467</v>
      </c>
      <c r="J434" s="3">
        <f>IF(($A434-Ft!F$2)&lt;0,Ft!F$3*((1-Ft!F$6)/(1+Ft!F$37*($A434-Ft!F$2)^2)+Ft!F$6*EXP(Ft!F$38*($A434-Ft!F$2)^2)),Ft!F$3*((1-Ft!F$7)/(1+Ft!F$39*($A434-Ft!F$2)^2)+Ft!F$7*EXP(Ft!F$40*($A434-Ft!F$2)^2)))</f>
        <v>3.5041420288944698E-5</v>
      </c>
      <c r="K434" s="3">
        <f>IF(($A434-Ft!G$2)&lt;0,Ft!G$3*((1-Ft!G$6)/(1+Ft!G$37*($A434-Ft!G$2)^2)+Ft!G$6*EXP(Ft!G$38*($A434-Ft!G$2)^2)),Ft!G$3*((1-Ft!G$7)/(1+Ft!G$39*($A434-Ft!G$2)^2)+Ft!G$7*EXP(Ft!G$40*($A434-Ft!G$2)^2)))</f>
        <v>0</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v>866</v>
      </c>
      <c r="B435">
        <v>15.822077843773002</v>
      </c>
      <c r="C435" s="6">
        <f t="shared" si="13"/>
        <v>16.013875223694978</v>
      </c>
      <c r="D435" s="19">
        <f t="shared" si="14"/>
        <v>3.6786234944934756E-2</v>
      </c>
      <c r="E435" s="3">
        <f>Ft!$B$12+Ft!$B$14*(Data!A435-Vars!$B$3)</f>
        <v>0</v>
      </c>
      <c r="F435" s="3">
        <f>IF(($A435-Ft!B$2)&lt;0,Ft!B$3*((1-Ft!B$6)/(1+Ft!B$37*($A435-Ft!B$2)^2)+Ft!B$6*EXP(Ft!B$38*($A435-Ft!B$2)^2)),Ft!B$3*((1-Ft!B$7)/(1+Ft!B$39*($A435-Ft!B$2)^2)+Ft!B$7*EXP(Ft!B$40*($A435-Ft!B$2)^2)))</f>
        <v>0</v>
      </c>
      <c r="G435" s="3">
        <f>IF(($A435-Ft!C$2)&lt;0,Ft!C$3*((1-Ft!C$6)/(1+Ft!C$37*($A435-Ft!C$2)^2)+Ft!C$6*EXP(Ft!C$38*($A435-Ft!C$2)^2)),Ft!C$3*((1-Ft!C$7)/(1+Ft!C$39*($A435-Ft!C$2)^2)+Ft!C$7*EXP(Ft!C$40*($A435-Ft!C$2)^2)))</f>
        <v>1.5811002444790105E-17</v>
      </c>
      <c r="H435" s="3">
        <f>IF(($A435-Ft!D$2)&lt;0,Ft!D$3*((1-Ft!D$6)/(1+Ft!D$37*($A435-Ft!D$2)^2)+Ft!D$6*EXP(Ft!D$38*($A435-Ft!D$2)^2)),Ft!D$3*((1-Ft!D$7)/(1+Ft!D$39*($A435-Ft!D$2)^2)+Ft!D$7*EXP(Ft!D$40*($A435-Ft!D$2)^2)))</f>
        <v>0.36008550771894304</v>
      </c>
      <c r="I435" s="3">
        <f>IF(($A435-Ft!E$2)&lt;0,Ft!E$3*((1-Ft!E$6)/(1+Ft!E$37*($A435-Ft!E$2)^2)+Ft!E$6*EXP(Ft!E$38*($A435-Ft!E$2)^2)),Ft!E$3*((1-Ft!E$7)/(1+Ft!E$39*($A435-Ft!E$2)^2)+Ft!E$7*EXP(Ft!E$40*($A435-Ft!E$2)^2)))</f>
        <v>15.653742930957232</v>
      </c>
      <c r="J435" s="3">
        <f>IF(($A435-Ft!F$2)&lt;0,Ft!F$3*((1-Ft!F$6)/(1+Ft!F$37*($A435-Ft!F$2)^2)+Ft!F$6*EXP(Ft!F$38*($A435-Ft!F$2)^2)),Ft!F$3*((1-Ft!F$7)/(1+Ft!F$39*($A435-Ft!F$2)^2)+Ft!F$7*EXP(Ft!F$40*($A435-Ft!F$2)^2)))</f>
        <v>4.6785018801986864E-5</v>
      </c>
      <c r="K435" s="3">
        <f>IF(($A435-Ft!G$2)&lt;0,Ft!G$3*((1-Ft!G$6)/(1+Ft!G$37*($A435-Ft!G$2)^2)+Ft!G$6*EXP(Ft!G$38*($A435-Ft!G$2)^2)),Ft!G$3*((1-Ft!G$7)/(1+Ft!G$39*($A435-Ft!G$2)^2)+Ft!G$7*EXP(Ft!G$40*($A435-Ft!G$2)^2)))</f>
        <v>0</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v>868</v>
      </c>
      <c r="B436">
        <v>15.763389836931992</v>
      </c>
      <c r="C436" s="6">
        <f t="shared" si="13"/>
        <v>15.944553876141521</v>
      </c>
      <c r="D436" s="19">
        <f t="shared" si="14"/>
        <v>3.2820409102711702E-2</v>
      </c>
      <c r="E436" s="3">
        <f>Ft!$B$12+Ft!$B$14*(Data!A436-Vars!$B$3)</f>
        <v>0</v>
      </c>
      <c r="F436" s="3">
        <f>IF(($A436-Ft!B$2)&lt;0,Ft!B$3*((1-Ft!B$6)/(1+Ft!B$37*($A436-Ft!B$2)^2)+Ft!B$6*EXP(Ft!B$38*($A436-Ft!B$2)^2)),Ft!B$3*((1-Ft!B$7)/(1+Ft!B$39*($A436-Ft!B$2)^2)+Ft!B$7*EXP(Ft!B$40*($A436-Ft!B$2)^2)))</f>
        <v>0</v>
      </c>
      <c r="G436" s="3">
        <f>IF(($A436-Ft!C$2)&lt;0,Ft!C$3*((1-Ft!C$6)/(1+Ft!C$37*($A436-Ft!C$2)^2)+Ft!C$6*EXP(Ft!C$38*($A436-Ft!C$2)^2)),Ft!C$3*((1-Ft!C$7)/(1+Ft!C$39*($A436-Ft!C$2)^2)+Ft!C$7*EXP(Ft!C$40*($A436-Ft!C$2)^2)))</f>
        <v>1.261339167938619E-17</v>
      </c>
      <c r="H436" s="3">
        <f>IF(($A436-Ft!D$2)&lt;0,Ft!D$3*((1-Ft!D$6)/(1+Ft!D$37*($A436-Ft!D$2)^2)+Ft!D$6*EXP(Ft!D$38*($A436-Ft!D$2)^2)),Ft!D$3*((1-Ft!D$7)/(1+Ft!D$39*($A436-Ft!D$2)^2)+Ft!D$7*EXP(Ft!D$40*($A436-Ft!D$2)^2)))</f>
        <v>0.34718234816531368</v>
      </c>
      <c r="I436" s="3">
        <f>IF(($A436-Ft!E$2)&lt;0,Ft!E$3*((1-Ft!E$6)/(1+Ft!E$37*($A436-Ft!E$2)^2)+Ft!E$6*EXP(Ft!E$38*($A436-Ft!E$2)^2)),Ft!E$3*((1-Ft!E$7)/(1+Ft!E$39*($A436-Ft!E$2)^2)+Ft!E$7*EXP(Ft!E$40*($A436-Ft!E$2)^2)))</f>
        <v>15.597309280306483</v>
      </c>
      <c r="J436" s="3">
        <f>IF(($A436-Ft!F$2)&lt;0,Ft!F$3*((1-Ft!F$6)/(1+Ft!F$37*($A436-Ft!F$2)^2)+Ft!F$6*EXP(Ft!F$38*($A436-Ft!F$2)^2)),Ft!F$3*((1-Ft!F$7)/(1+Ft!F$39*($A436-Ft!F$2)^2)+Ft!F$7*EXP(Ft!F$40*($A436-Ft!F$2)^2)))</f>
        <v>6.2247669724274386E-5</v>
      </c>
      <c r="K436" s="3">
        <f>IF(($A436-Ft!G$2)&lt;0,Ft!G$3*((1-Ft!G$6)/(1+Ft!G$37*($A436-Ft!G$2)^2)+Ft!G$6*EXP(Ft!G$38*($A436-Ft!G$2)^2)),Ft!G$3*((1-Ft!G$7)/(1+Ft!G$39*($A436-Ft!G$2)^2)+Ft!G$7*EXP(Ft!G$40*($A436-Ft!G$2)^2)))</f>
        <v>0</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v>870</v>
      </c>
      <c r="B437">
        <v>15.702695424293992</v>
      </c>
      <c r="C437" s="6">
        <f t="shared" si="13"/>
        <v>15.873643362723996</v>
      </c>
      <c r="D437" s="19">
        <f t="shared" si="14"/>
        <v>2.92231976534684E-2</v>
      </c>
      <c r="E437" s="3">
        <f>Ft!$B$12+Ft!$B$14*(Data!A437-Vars!$B$3)</f>
        <v>0</v>
      </c>
      <c r="F437" s="3">
        <f>IF(($A437-Ft!B$2)&lt;0,Ft!B$3*((1-Ft!B$6)/(1+Ft!B$37*($A437-Ft!B$2)^2)+Ft!B$6*EXP(Ft!B$38*($A437-Ft!B$2)^2)),Ft!B$3*((1-Ft!B$7)/(1+Ft!B$39*($A437-Ft!B$2)^2)+Ft!B$7*EXP(Ft!B$40*($A437-Ft!B$2)^2)))</f>
        <v>0</v>
      </c>
      <c r="G437" s="3">
        <f>IF(($A437-Ft!C$2)&lt;0,Ft!C$3*((1-Ft!C$6)/(1+Ft!C$37*($A437-Ft!C$2)^2)+Ft!C$6*EXP(Ft!C$38*($A437-Ft!C$2)^2)),Ft!C$3*((1-Ft!C$7)/(1+Ft!C$39*($A437-Ft!C$2)^2)+Ft!C$7*EXP(Ft!C$40*($A437-Ft!C$2)^2)))</f>
        <v>1.0056210312758526E-17</v>
      </c>
      <c r="H437" s="3">
        <f>IF(($A437-Ft!D$2)&lt;0,Ft!D$3*((1-Ft!D$6)/(1+Ft!D$37*($A437-Ft!D$2)^2)+Ft!D$6*EXP(Ft!D$38*($A437-Ft!D$2)^2)),Ft!D$3*((1-Ft!D$7)/(1+Ft!D$39*($A437-Ft!D$2)^2)+Ft!D$7*EXP(Ft!D$40*($A437-Ft!D$2)^2)))</f>
        <v>0.33468460889158119</v>
      </c>
      <c r="I437" s="3">
        <f>IF(($A437-Ft!E$2)&lt;0,Ft!E$3*((1-Ft!E$6)/(1+Ft!E$37*($A437-Ft!E$2)^2)+Ft!E$6*EXP(Ft!E$38*($A437-Ft!E$2)^2)),Ft!E$3*((1-Ft!E$7)/(1+Ft!E$39*($A437-Ft!E$2)^2)+Ft!E$7*EXP(Ft!E$40*($A437-Ft!E$2)^2)))</f>
        <v>15.538876220274084</v>
      </c>
      <c r="J437" s="3">
        <f>IF(($A437-Ft!F$2)&lt;0,Ft!F$3*((1-Ft!F$6)/(1+Ft!F$37*($A437-Ft!F$2)^2)+Ft!F$6*EXP(Ft!F$38*($A437-Ft!F$2)^2)),Ft!F$3*((1-Ft!F$7)/(1+Ft!F$39*($A437-Ft!F$2)^2)+Ft!F$7*EXP(Ft!F$40*($A437-Ft!F$2)^2)))</f>
        <v>8.2533558329999385E-5</v>
      </c>
      <c r="K437" s="3">
        <f>IF(($A437-Ft!G$2)&lt;0,Ft!G$3*((1-Ft!G$6)/(1+Ft!G$37*($A437-Ft!G$2)^2)+Ft!G$6*EXP(Ft!G$38*($A437-Ft!G$2)^2)),Ft!G$3*((1-Ft!G$7)/(1+Ft!G$39*($A437-Ft!G$2)^2)+Ft!G$7*EXP(Ft!G$40*($A437-Ft!G$2)^2)))</f>
        <v>0</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v>872</v>
      </c>
      <c r="B438">
        <v>15.639230189084998</v>
      </c>
      <c r="C438" s="6">
        <f t="shared" si="13"/>
        <v>15.80115869776469</v>
      </c>
      <c r="D438" s="19">
        <f t="shared" si="14"/>
        <v>2.6220841923229016E-2</v>
      </c>
      <c r="E438" s="3">
        <f>Ft!$B$12+Ft!$B$14*(Data!A438-Vars!$B$3)</f>
        <v>0</v>
      </c>
      <c r="F438" s="3">
        <f>IF(($A438-Ft!B$2)&lt;0,Ft!B$3*((1-Ft!B$6)/(1+Ft!B$37*($A438-Ft!B$2)^2)+Ft!B$6*EXP(Ft!B$38*($A438-Ft!B$2)^2)),Ft!B$3*((1-Ft!B$7)/(1+Ft!B$39*($A438-Ft!B$2)^2)+Ft!B$7*EXP(Ft!B$40*($A438-Ft!B$2)^2)))</f>
        <v>0</v>
      </c>
      <c r="G438" s="3">
        <f>IF(($A438-Ft!C$2)&lt;0,Ft!C$3*((1-Ft!C$6)/(1+Ft!C$37*($A438-Ft!C$2)^2)+Ft!C$6*EXP(Ft!C$38*($A438-Ft!C$2)^2)),Ft!C$3*((1-Ft!C$7)/(1+Ft!C$39*($A438-Ft!C$2)^2)+Ft!C$7*EXP(Ft!C$40*($A438-Ft!C$2)^2)))</f>
        <v>8.0124771214408592E-18</v>
      </c>
      <c r="H438" s="3">
        <f>IF(($A438-Ft!D$2)&lt;0,Ft!D$3*((1-Ft!D$6)/(1+Ft!D$37*($A438-Ft!D$2)^2)+Ft!D$6*EXP(Ft!D$38*($A438-Ft!D$2)^2)),Ft!D$3*((1-Ft!D$7)/(1+Ft!D$39*($A438-Ft!D$2)^2)+Ft!D$7*EXP(Ft!D$40*($A438-Ft!D$2)^2)))</f>
        <v>0.32258187143639488</v>
      </c>
      <c r="I438" s="3">
        <f>IF(($A438-Ft!E$2)&lt;0,Ft!E$3*((1-Ft!E$6)/(1+Ft!E$37*($A438-Ft!E$2)^2)+Ft!E$6*EXP(Ft!E$38*($A438-Ft!E$2)^2)),Ft!E$3*((1-Ft!E$7)/(1+Ft!E$39*($A438-Ft!E$2)^2)+Ft!E$7*EXP(Ft!E$40*($A438-Ft!E$2)^2)))</f>
        <v>15.478467775436123</v>
      </c>
      <c r="J438" s="3">
        <f>IF(($A438-Ft!F$2)&lt;0,Ft!F$3*((1-Ft!F$6)/(1+Ft!F$37*($A438-Ft!F$2)^2)+Ft!F$6*EXP(Ft!F$38*($A438-Ft!F$2)^2)),Ft!F$3*((1-Ft!F$7)/(1+Ft!F$39*($A438-Ft!F$2)^2)+Ft!F$7*EXP(Ft!F$40*($A438-Ft!F$2)^2)))</f>
        <v>1.0905089217238622E-4</v>
      </c>
      <c r="K438" s="3">
        <f>IF(($A438-Ft!G$2)&lt;0,Ft!G$3*((1-Ft!G$6)/(1+Ft!G$37*($A438-Ft!G$2)^2)+Ft!G$6*EXP(Ft!G$38*($A438-Ft!G$2)^2)),Ft!G$3*((1-Ft!G$7)/(1+Ft!G$39*($A438-Ft!G$2)^2)+Ft!G$7*EXP(Ft!G$40*($A438-Ft!G$2)^2)))</f>
        <v>0</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v>874</v>
      </c>
      <c r="B439">
        <v>15.572229714529001</v>
      </c>
      <c r="C439" s="6">
        <f t="shared" si="13"/>
        <v>15.727116200642129</v>
      </c>
      <c r="D439" s="19">
        <f t="shared" si="14"/>
        <v>2.398982358047214E-2</v>
      </c>
      <c r="E439" s="3">
        <f>Ft!$B$12+Ft!$B$14*(Data!A439-Vars!$B$3)</f>
        <v>0</v>
      </c>
      <c r="F439" s="3">
        <f>IF(($A439-Ft!B$2)&lt;0,Ft!B$3*((1-Ft!B$6)/(1+Ft!B$37*($A439-Ft!B$2)^2)+Ft!B$6*EXP(Ft!B$38*($A439-Ft!B$2)^2)),Ft!B$3*((1-Ft!B$7)/(1+Ft!B$39*($A439-Ft!B$2)^2)+Ft!B$7*EXP(Ft!B$40*($A439-Ft!B$2)^2)))</f>
        <v>0</v>
      </c>
      <c r="G439" s="3">
        <f>IF(($A439-Ft!C$2)&lt;0,Ft!C$3*((1-Ft!C$6)/(1+Ft!C$37*($A439-Ft!C$2)^2)+Ft!C$6*EXP(Ft!C$38*($A439-Ft!C$2)^2)),Ft!C$3*((1-Ft!C$7)/(1+Ft!C$39*($A439-Ft!C$2)^2)+Ft!C$7*EXP(Ft!C$40*($A439-Ft!C$2)^2)))</f>
        <v>6.380125871418234E-18</v>
      </c>
      <c r="H439" s="3">
        <f>IF(($A439-Ft!D$2)&lt;0,Ft!D$3*((1-Ft!D$6)/(1+Ft!D$37*($A439-Ft!D$2)^2)+Ft!D$6*EXP(Ft!D$38*($A439-Ft!D$2)^2)),Ft!D$3*((1-Ft!D$7)/(1+Ft!D$39*($A439-Ft!D$2)^2)+Ft!D$7*EXP(Ft!D$40*($A439-Ft!D$2)^2)))</f>
        <v>0.31086389528494046</v>
      </c>
      <c r="I439" s="3">
        <f>IF(($A439-Ft!E$2)&lt;0,Ft!E$3*((1-Ft!E$6)/(1+Ft!E$37*($A439-Ft!E$2)^2)+Ft!E$6*EXP(Ft!E$38*($A439-Ft!E$2)^2)),Ft!E$3*((1-Ft!E$7)/(1+Ft!E$39*($A439-Ft!E$2)^2)+Ft!E$7*EXP(Ft!E$40*($A439-Ft!E$2)^2)))</f>
        <v>15.41610871705568</v>
      </c>
      <c r="J439" s="3">
        <f>IF(($A439-Ft!F$2)&lt;0,Ft!F$3*((1-Ft!F$6)/(1+Ft!F$37*($A439-Ft!F$2)^2)+Ft!F$6*EXP(Ft!F$38*($A439-Ft!F$2)^2)),Ft!F$3*((1-Ft!F$7)/(1+Ft!F$39*($A439-Ft!F$2)^2)+Ft!F$7*EXP(Ft!F$40*($A439-Ft!F$2)^2)))</f>
        <v>1.4358830150811236E-4</v>
      </c>
      <c r="K439" s="3">
        <f>IF(($A439-Ft!G$2)&lt;0,Ft!G$3*((1-Ft!G$6)/(1+Ft!G$37*($A439-Ft!G$2)^2)+Ft!G$6*EXP(Ft!G$38*($A439-Ft!G$2)^2)),Ft!G$3*((1-Ft!G$7)/(1+Ft!G$39*($A439-Ft!G$2)^2)+Ft!G$7*EXP(Ft!G$40*($A439-Ft!G$2)^2)))</f>
        <v>0</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v>876</v>
      </c>
      <c r="B440">
        <v>15.500929583851999</v>
      </c>
      <c r="C440" s="6">
        <f t="shared" si="13"/>
        <v>15.651533572758437</v>
      </c>
      <c r="D440" s="19">
        <f t="shared" si="14"/>
        <v>2.2681561474530466E-2</v>
      </c>
      <c r="E440" s="3">
        <f>Ft!$B$12+Ft!$B$14*(Data!A440-Vars!$B$3)</f>
        <v>0</v>
      </c>
      <c r="F440" s="3">
        <f>IF(($A440-Ft!B$2)&lt;0,Ft!B$3*((1-Ft!B$6)/(1+Ft!B$37*($A440-Ft!B$2)^2)+Ft!B$6*EXP(Ft!B$38*($A440-Ft!B$2)^2)),Ft!B$3*((1-Ft!B$7)/(1+Ft!B$39*($A440-Ft!B$2)^2)+Ft!B$7*EXP(Ft!B$40*($A440-Ft!B$2)^2)))</f>
        <v>0</v>
      </c>
      <c r="G440" s="3">
        <f>IF(($A440-Ft!C$2)&lt;0,Ft!C$3*((1-Ft!C$6)/(1+Ft!C$37*($A440-Ft!C$2)^2)+Ft!C$6*EXP(Ft!C$38*($A440-Ft!C$2)^2)),Ft!C$3*((1-Ft!C$7)/(1+Ft!C$39*($A440-Ft!C$2)^2)+Ft!C$7*EXP(Ft!C$40*($A440-Ft!C$2)^2)))</f>
        <v>5.0771697131427344E-18</v>
      </c>
      <c r="H440" s="3">
        <f>IF(($A440-Ft!D$2)&lt;0,Ft!D$3*((1-Ft!D$6)/(1+Ft!D$37*($A440-Ft!D$2)^2)+Ft!D$6*EXP(Ft!D$38*($A440-Ft!D$2)^2)),Ft!D$3*((1-Ft!D$7)/(1+Ft!D$39*($A440-Ft!D$2)^2)+Ft!D$7*EXP(Ft!D$40*($A440-Ft!D$2)^2)))</f>
        <v>0.29952061827588977</v>
      </c>
      <c r="I440" s="3">
        <f>IF(($A440-Ft!E$2)&lt;0,Ft!E$3*((1-Ft!E$6)/(1+Ft!E$37*($A440-Ft!E$2)^2)+Ft!E$6*EXP(Ft!E$38*($A440-Ft!E$2)^2)),Ft!E$3*((1-Ft!E$7)/(1+Ft!E$39*($A440-Ft!E$2)^2)+Ft!E$7*EXP(Ft!E$40*($A440-Ft!E$2)^2)))</f>
        <v>15.351824546163229</v>
      </c>
      <c r="J440" s="3">
        <f>IF(($A440-Ft!F$2)&lt;0,Ft!F$3*((1-Ft!F$6)/(1+Ft!F$37*($A440-Ft!F$2)^2)+Ft!F$6*EXP(Ft!F$38*($A440-Ft!F$2)^2)),Ft!F$3*((1-Ft!F$7)/(1+Ft!F$39*($A440-Ft!F$2)^2)+Ft!F$7*EXP(Ft!F$40*($A440-Ft!F$2)^2)))</f>
        <v>1.8840831931802608E-4</v>
      </c>
      <c r="K440" s="3">
        <f>IF(($A440-Ft!G$2)&lt;0,Ft!G$3*((1-Ft!G$6)/(1+Ft!G$37*($A440-Ft!G$2)^2)+Ft!G$6*EXP(Ft!G$38*($A440-Ft!G$2)^2)),Ft!G$3*((1-Ft!G$7)/(1+Ft!G$39*($A440-Ft!G$2)^2)+Ft!G$7*EXP(Ft!G$40*($A440-Ft!G$2)^2)))</f>
        <v>0</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v>878</v>
      </c>
      <c r="B441">
        <v>15.424061711796995</v>
      </c>
      <c r="C441" s="6">
        <f t="shared" si="13"/>
        <v>15.574429994211981</v>
      </c>
      <c r="D441" s="19">
        <f t="shared" si="14"/>
        <v>2.2610620356432957E-2</v>
      </c>
      <c r="E441" s="3">
        <f>Ft!$B$12+Ft!$B$14*(Data!A441-Vars!$B$3)</f>
        <v>0</v>
      </c>
      <c r="F441" s="3">
        <f>IF(($A441-Ft!B$2)&lt;0,Ft!B$3*((1-Ft!B$6)/(1+Ft!B$37*($A441-Ft!B$2)^2)+Ft!B$6*EXP(Ft!B$38*($A441-Ft!B$2)^2)),Ft!B$3*((1-Ft!B$7)/(1+Ft!B$39*($A441-Ft!B$2)^2)+Ft!B$7*EXP(Ft!B$40*($A441-Ft!B$2)^2)))</f>
        <v>0</v>
      </c>
      <c r="G441" s="3">
        <f>IF(($A441-Ft!C$2)&lt;0,Ft!C$3*((1-Ft!C$6)/(1+Ft!C$37*($A441-Ft!C$2)^2)+Ft!C$6*EXP(Ft!C$38*($A441-Ft!C$2)^2)),Ft!C$3*((1-Ft!C$7)/(1+Ft!C$39*($A441-Ft!C$2)^2)+Ft!C$7*EXP(Ft!C$40*($A441-Ft!C$2)^2)))</f>
        <v>4.0377934941239911E-18</v>
      </c>
      <c r="H441" s="3">
        <f>IF(($A441-Ft!D$2)&lt;0,Ft!D$3*((1-Ft!D$6)/(1+Ft!D$37*($A441-Ft!D$2)^2)+Ft!D$6*EXP(Ft!D$38*($A441-Ft!D$2)^2)),Ft!D$3*((1-Ft!D$7)/(1+Ft!D$39*($A441-Ft!D$2)^2)+Ft!D$7*EXP(Ft!D$40*($A441-Ft!D$2)^2)))</f>
        <v>0.28854215684467516</v>
      </c>
      <c r="I441" s="3">
        <f>IF(($A441-Ft!E$2)&lt;0,Ft!E$3*((1-Ft!E$6)/(1+Ft!E$37*($A441-Ft!E$2)^2)+Ft!E$6*EXP(Ft!E$38*($A441-Ft!E$2)^2)),Ft!E$3*((1-Ft!E$7)/(1+Ft!E$39*($A441-Ft!E$2)^2)+Ft!E$7*EXP(Ft!E$40*($A441-Ft!E$2)^2)))</f>
        <v>15.285641476187877</v>
      </c>
      <c r="J441" s="3">
        <f>IF(($A441-Ft!F$2)&lt;0,Ft!F$3*((1-Ft!F$6)/(1+Ft!F$37*($A441-Ft!F$2)^2)+Ft!F$6*EXP(Ft!F$38*($A441-Ft!F$2)^2)),Ft!F$3*((1-Ft!F$7)/(1+Ft!F$39*($A441-Ft!F$2)^2)+Ft!F$7*EXP(Ft!F$40*($A441-Ft!F$2)^2)))</f>
        <v>2.4636117942796978E-4</v>
      </c>
      <c r="K441" s="3">
        <f>IF(($A441-Ft!G$2)&lt;0,Ft!G$3*((1-Ft!G$6)/(1+Ft!G$37*($A441-Ft!G$2)^2)+Ft!G$6*EXP(Ft!G$38*($A441-Ft!G$2)^2)),Ft!G$3*((1-Ft!G$7)/(1+Ft!G$39*($A441-Ft!G$2)^2)+Ft!G$7*EXP(Ft!G$40*($A441-Ft!G$2)^2)))</f>
        <v>0</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v>880</v>
      </c>
      <c r="B442">
        <v>15.338935483775998</v>
      </c>
      <c r="C442" s="6">
        <f t="shared" si="13"/>
        <v>15.495826243899971</v>
      </c>
      <c r="D442" s="19">
        <f t="shared" si="14"/>
        <v>2.4614710612278129E-2</v>
      </c>
      <c r="E442" s="3">
        <f>Ft!$B$12+Ft!$B$14*(Data!A442-Vars!$B$3)</f>
        <v>0</v>
      </c>
      <c r="F442" s="3">
        <f>IF(($A442-Ft!B$2)&lt;0,Ft!B$3*((1-Ft!B$6)/(1+Ft!B$37*($A442-Ft!B$2)^2)+Ft!B$6*EXP(Ft!B$38*($A442-Ft!B$2)^2)),Ft!B$3*((1-Ft!B$7)/(1+Ft!B$39*($A442-Ft!B$2)^2)+Ft!B$7*EXP(Ft!B$40*($A442-Ft!B$2)^2)))</f>
        <v>0</v>
      </c>
      <c r="G442" s="3">
        <f>IF(($A442-Ft!C$2)&lt;0,Ft!C$3*((1-Ft!C$6)/(1+Ft!C$37*($A442-Ft!C$2)^2)+Ft!C$6*EXP(Ft!C$38*($A442-Ft!C$2)^2)),Ft!C$3*((1-Ft!C$7)/(1+Ft!C$39*($A442-Ft!C$2)^2)+Ft!C$7*EXP(Ft!C$40*($A442-Ft!C$2)^2)))</f>
        <v>3.2091980277476454E-18</v>
      </c>
      <c r="H442" s="3">
        <f>IF(($A442-Ft!D$2)&lt;0,Ft!D$3*((1-Ft!D$6)/(1+Ft!D$37*($A442-Ft!D$2)^2)+Ft!D$6*EXP(Ft!D$38*($A442-Ft!D$2)^2)),Ft!D$3*((1-Ft!D$7)/(1+Ft!D$39*($A442-Ft!D$2)^2)+Ft!D$7*EXP(Ft!D$40*($A442-Ft!D$2)^2)))</f>
        <v>0.27791880610877995</v>
      </c>
      <c r="I442" s="3">
        <f>IF(($A442-Ft!E$2)&lt;0,Ft!E$3*((1-Ft!E$6)/(1+Ft!E$37*($A442-Ft!E$2)^2)+Ft!E$6*EXP(Ft!E$38*($A442-Ft!E$2)^2)),Ft!E$3*((1-Ft!E$7)/(1+Ft!E$39*($A442-Ft!E$2)^2)+Ft!E$7*EXP(Ft!E$40*($A442-Ft!E$2)^2)))</f>
        <v>15.217586415155946</v>
      </c>
      <c r="J442" s="3">
        <f>IF(($A442-Ft!F$2)&lt;0,Ft!F$3*((1-Ft!F$6)/(1+Ft!F$37*($A442-Ft!F$2)^2)+Ft!F$6*EXP(Ft!F$38*($A442-Ft!F$2)^2)),Ft!F$3*((1-Ft!F$7)/(1+Ft!F$39*($A442-Ft!F$2)^2)+Ft!F$7*EXP(Ft!F$40*($A442-Ft!F$2)^2)))</f>
        <v>3.210226352456154E-4</v>
      </c>
      <c r="K442" s="3">
        <f>IF(($A442-Ft!G$2)&lt;0,Ft!G$3*((1-Ft!G$6)/(1+Ft!G$37*($A442-Ft!G$2)^2)+Ft!G$6*EXP(Ft!G$38*($A442-Ft!G$2)^2)),Ft!G$3*((1-Ft!G$7)/(1+Ft!G$39*($A442-Ft!G$2)^2)+Ft!G$7*EXP(Ft!G$40*($A442-Ft!G$2)^2)))</f>
        <v>0</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v>882</v>
      </c>
      <c r="B443">
        <v>15.24708322571999</v>
      </c>
      <c r="C443" s="6">
        <f t="shared" si="13"/>
        <v>15.415744847268988</v>
      </c>
      <c r="D443" s="19">
        <f t="shared" si="14"/>
        <v>2.8446742583537202E-2</v>
      </c>
      <c r="E443" s="3">
        <f>Ft!$B$12+Ft!$B$14*(Data!A443-Vars!$B$3)</f>
        <v>0</v>
      </c>
      <c r="F443" s="3">
        <f>IF(($A443-Ft!B$2)&lt;0,Ft!B$3*((1-Ft!B$6)/(1+Ft!B$37*($A443-Ft!B$2)^2)+Ft!B$6*EXP(Ft!B$38*($A443-Ft!B$2)^2)),Ft!B$3*((1-Ft!B$7)/(1+Ft!B$39*($A443-Ft!B$2)^2)+Ft!B$7*EXP(Ft!B$40*($A443-Ft!B$2)^2)))</f>
        <v>0</v>
      </c>
      <c r="G443" s="3">
        <f>IF(($A443-Ft!C$2)&lt;0,Ft!C$3*((1-Ft!C$6)/(1+Ft!C$37*($A443-Ft!C$2)^2)+Ft!C$6*EXP(Ft!C$38*($A443-Ft!C$2)^2)),Ft!C$3*((1-Ft!C$7)/(1+Ft!C$39*($A443-Ft!C$2)^2)+Ft!C$7*EXP(Ft!C$40*($A443-Ft!C$2)^2)))</f>
        <v>2.5490533129132594E-18</v>
      </c>
      <c r="H443" s="3">
        <f>IF(($A443-Ft!D$2)&lt;0,Ft!D$3*((1-Ft!D$6)/(1+Ft!D$37*($A443-Ft!D$2)^2)+Ft!D$6*EXP(Ft!D$38*($A443-Ft!D$2)^2)),Ft!D$3*((1-Ft!D$7)/(1+Ft!D$39*($A443-Ft!D$2)^2)+Ft!D$7*EXP(Ft!D$40*($A443-Ft!D$2)^2)))</f>
        <v>0.26764103980073511</v>
      </c>
      <c r="I443" s="3">
        <f>IF(($A443-Ft!E$2)&lt;0,Ft!E$3*((1-Ft!E$6)/(1+Ft!E$37*($A443-Ft!E$2)^2)+Ft!E$6*EXP(Ft!E$38*($A443-Ft!E$2)^2)),Ft!E$3*((1-Ft!E$7)/(1+Ft!E$39*($A443-Ft!E$2)^2)+Ft!E$7*EXP(Ft!E$40*($A443-Ft!E$2)^2)))</f>
        <v>15.147686947473879</v>
      </c>
      <c r="J443" s="3">
        <f>IF(($A443-Ft!F$2)&lt;0,Ft!F$3*((1-Ft!F$6)/(1+Ft!F$37*($A443-Ft!F$2)^2)+Ft!F$6*EXP(Ft!F$38*($A443-Ft!F$2)^2)),Ft!F$3*((1-Ft!F$7)/(1+Ft!F$39*($A443-Ft!F$2)^2)+Ft!F$7*EXP(Ft!F$40*($A443-Ft!F$2)^2)))</f>
        <v>4.1685999437410059E-4</v>
      </c>
      <c r="K443" s="3">
        <f>IF(($A443-Ft!G$2)&lt;0,Ft!G$3*((1-Ft!G$6)/(1+Ft!G$37*($A443-Ft!G$2)^2)+Ft!G$6*EXP(Ft!G$38*($A443-Ft!G$2)^2)),Ft!G$3*((1-Ft!G$7)/(1+Ft!G$39*($A443-Ft!G$2)^2)+Ft!G$7*EXP(Ft!G$40*($A443-Ft!G$2)^2)))</f>
        <v>0</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v>884</v>
      </c>
      <c r="B444">
        <v>15.150662689049</v>
      </c>
      <c r="C444" s="6">
        <f t="shared" si="13"/>
        <v>15.334210256444317</v>
      </c>
      <c r="D444" s="19">
        <f t="shared" si="14"/>
        <v>3.3689709496738544E-2</v>
      </c>
      <c r="E444" s="3">
        <f>Ft!$B$12+Ft!$B$14*(Data!A444-Vars!$B$3)</f>
        <v>0</v>
      </c>
      <c r="F444" s="3">
        <f>IF(($A444-Ft!B$2)&lt;0,Ft!B$3*((1-Ft!B$6)/(1+Ft!B$37*($A444-Ft!B$2)^2)+Ft!B$6*EXP(Ft!B$38*($A444-Ft!B$2)^2)),Ft!B$3*((1-Ft!B$7)/(1+Ft!B$39*($A444-Ft!B$2)^2)+Ft!B$7*EXP(Ft!B$40*($A444-Ft!B$2)^2)))</f>
        <v>0</v>
      </c>
      <c r="G444" s="3">
        <f>IF(($A444-Ft!C$2)&lt;0,Ft!C$3*((1-Ft!C$6)/(1+Ft!C$37*($A444-Ft!C$2)^2)+Ft!C$6*EXP(Ft!C$38*($A444-Ft!C$2)^2)),Ft!C$3*((1-Ft!C$7)/(1+Ft!C$39*($A444-Ft!C$2)^2)+Ft!C$7*EXP(Ft!C$40*($A444-Ft!C$2)^2)))</f>
        <v>2.0234445625595234E-18</v>
      </c>
      <c r="H444" s="3">
        <f>IF(($A444-Ft!D$2)&lt;0,Ft!D$3*((1-Ft!D$6)/(1+Ft!D$37*($A444-Ft!D$2)^2)+Ft!D$6*EXP(Ft!D$38*($A444-Ft!D$2)^2)),Ft!D$3*((1-Ft!D$7)/(1+Ft!D$39*($A444-Ft!D$2)^2)+Ft!D$7*EXP(Ft!D$40*($A444-Ft!D$2)^2)))</f>
        <v>0.25769951005446107</v>
      </c>
      <c r="I444" s="3">
        <f>IF(($A444-Ft!E$2)&lt;0,Ft!E$3*((1-Ft!E$6)/(1+Ft!E$37*($A444-Ft!E$2)^2)+Ft!E$6*EXP(Ft!E$38*($A444-Ft!E$2)^2)),Ft!E$3*((1-Ft!E$7)/(1+Ft!E$39*($A444-Ft!E$2)^2)+Ft!E$7*EXP(Ft!E$40*($A444-Ft!E$2)^2)))</f>
        <v>15.075971315312623</v>
      </c>
      <c r="J444" s="3">
        <f>IF(($A444-Ft!F$2)&lt;0,Ft!F$3*((1-Ft!F$6)/(1+Ft!F$37*($A444-Ft!F$2)^2)+Ft!F$6*EXP(Ft!F$38*($A444-Ft!F$2)^2)),Ft!F$3*((1-Ft!F$7)/(1+Ft!F$39*($A444-Ft!F$2)^2)+Ft!F$7*EXP(Ft!F$40*($A444-Ft!F$2)^2)))</f>
        <v>5.3943107723298785E-4</v>
      </c>
      <c r="K444" s="3">
        <f>IF(($A444-Ft!G$2)&lt;0,Ft!G$3*((1-Ft!G$6)/(1+Ft!G$37*($A444-Ft!G$2)^2)+Ft!G$6*EXP(Ft!G$38*($A444-Ft!G$2)^2)),Ft!G$3*((1-Ft!G$7)/(1+Ft!G$39*($A444-Ft!G$2)^2)+Ft!G$7*EXP(Ft!G$40*($A444-Ft!G$2)^2)))</f>
        <v>0</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v>886</v>
      </c>
      <c r="B445">
        <v>15.051831625180995</v>
      </c>
      <c r="C445" s="6">
        <f t="shared" si="13"/>
        <v>15.251249067990463</v>
      </c>
      <c r="D445" s="19">
        <f t="shared" si="14"/>
        <v>3.9767316496667329E-2</v>
      </c>
      <c r="E445" s="3">
        <f>Ft!$B$12+Ft!$B$14*(Data!A445-Vars!$B$3)</f>
        <v>0</v>
      </c>
      <c r="F445" s="3">
        <f>IF(($A445-Ft!B$2)&lt;0,Ft!B$3*((1-Ft!B$6)/(1+Ft!B$37*($A445-Ft!B$2)^2)+Ft!B$6*EXP(Ft!B$38*($A445-Ft!B$2)^2)),Ft!B$3*((1-Ft!B$7)/(1+Ft!B$39*($A445-Ft!B$2)^2)+Ft!B$7*EXP(Ft!B$40*($A445-Ft!B$2)^2)))</f>
        <v>0</v>
      </c>
      <c r="G445" s="3">
        <f>IF(($A445-Ft!C$2)&lt;0,Ft!C$3*((1-Ft!C$6)/(1+Ft!C$37*($A445-Ft!C$2)^2)+Ft!C$6*EXP(Ft!C$38*($A445-Ft!C$2)^2)),Ft!C$3*((1-Ft!C$7)/(1+Ft!C$39*($A445-Ft!C$2)^2)+Ft!C$7*EXP(Ft!C$40*($A445-Ft!C$2)^2)))</f>
        <v>1.6052167811220729E-18</v>
      </c>
      <c r="H445" s="3">
        <f>IF(($A445-Ft!D$2)&lt;0,Ft!D$3*((1-Ft!D$6)/(1+Ft!D$37*($A445-Ft!D$2)^2)+Ft!D$6*EXP(Ft!D$38*($A445-Ft!D$2)^2)),Ft!D$3*((1-Ft!D$7)/(1+Ft!D$39*($A445-Ft!D$2)^2)+Ft!D$7*EXP(Ft!D$40*($A445-Ft!D$2)^2)))</f>
        <v>0.24808504705057333</v>
      </c>
      <c r="I445" s="3">
        <f>IF(($A445-Ft!E$2)&lt;0,Ft!E$3*((1-Ft!E$6)/(1+Ft!E$37*($A445-Ft!E$2)^2)+Ft!E$6*EXP(Ft!E$38*($A445-Ft!E$2)^2)),Ft!E$3*((1-Ft!E$7)/(1+Ft!E$39*($A445-Ft!E$2)^2)+Ft!E$7*EXP(Ft!E$40*($A445-Ft!E$2)^2)))</f>
        <v>15.002468399611162</v>
      </c>
      <c r="J445" s="3">
        <f>IF(($A445-Ft!F$2)&lt;0,Ft!F$3*((1-Ft!F$6)/(1+Ft!F$37*($A445-Ft!F$2)^2)+Ft!F$6*EXP(Ft!F$38*($A445-Ft!F$2)^2)),Ft!F$3*((1-Ft!F$7)/(1+Ft!F$39*($A445-Ft!F$2)^2)+Ft!F$7*EXP(Ft!F$40*($A445-Ft!F$2)^2)))</f>
        <v>6.9562132872742885E-4</v>
      </c>
      <c r="K445" s="3">
        <f>IF(($A445-Ft!G$2)&lt;0,Ft!G$3*((1-Ft!G$6)/(1+Ft!G$37*($A445-Ft!G$2)^2)+Ft!G$6*EXP(Ft!G$38*($A445-Ft!G$2)^2)),Ft!G$3*((1-Ft!G$7)/(1+Ft!G$39*($A445-Ft!G$2)^2)+Ft!G$7*EXP(Ft!G$40*($A445-Ft!G$2)^2)))</f>
        <v>0</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v>888</v>
      </c>
      <c r="B446">
        <v>14.952747785537994</v>
      </c>
      <c r="C446" s="6">
        <f t="shared" si="13"/>
        <v>15.166890284068046</v>
      </c>
      <c r="D446" s="19">
        <f t="shared" si="14"/>
        <v>4.5857009676693213E-2</v>
      </c>
      <c r="E446" s="3">
        <f>Ft!$B$12+Ft!$B$14*(Data!A446-Vars!$B$3)</f>
        <v>0</v>
      </c>
      <c r="F446" s="3">
        <f>IF(($A446-Ft!B$2)&lt;0,Ft!B$3*((1-Ft!B$6)/(1+Ft!B$37*($A446-Ft!B$2)^2)+Ft!B$6*EXP(Ft!B$38*($A446-Ft!B$2)^2)),Ft!B$3*((1-Ft!B$7)/(1+Ft!B$39*($A446-Ft!B$2)^2)+Ft!B$7*EXP(Ft!B$40*($A446-Ft!B$2)^2)))</f>
        <v>0</v>
      </c>
      <c r="G446" s="3">
        <f>IF(($A446-Ft!C$2)&lt;0,Ft!C$3*((1-Ft!C$6)/(1+Ft!C$37*($A446-Ft!C$2)^2)+Ft!C$6*EXP(Ft!C$38*($A446-Ft!C$2)^2)),Ft!C$3*((1-Ft!C$7)/(1+Ft!C$39*($A446-Ft!C$2)^2)+Ft!C$7*EXP(Ft!C$40*($A446-Ft!C$2)^2)))</f>
        <v>1.2726414427366048E-18</v>
      </c>
      <c r="H446" s="3">
        <f>IF(($A446-Ft!D$2)&lt;0,Ft!D$3*((1-Ft!D$6)/(1+Ft!D$37*($A446-Ft!D$2)^2)+Ft!D$6*EXP(Ft!D$38*($A446-Ft!D$2)^2)),Ft!D$3*((1-Ft!D$7)/(1+Ft!D$39*($A446-Ft!D$2)^2)+Ft!D$7*EXP(Ft!D$40*($A446-Ft!D$2)^2)))</f>
        <v>0.23878865852622139</v>
      </c>
      <c r="I446" s="3">
        <f>IF(($A446-Ft!E$2)&lt;0,Ft!E$3*((1-Ft!E$6)/(1+Ft!E$37*($A446-Ft!E$2)^2)+Ft!E$6*EXP(Ft!E$38*($A446-Ft!E$2)^2)),Ft!E$3*((1-Ft!E$7)/(1+Ft!E$39*($A446-Ft!E$2)^2)+Ft!E$7*EXP(Ft!E$40*($A446-Ft!E$2)^2)))</f>
        <v>14.927207700716973</v>
      </c>
      <c r="J446" s="3">
        <f>IF(($A446-Ft!F$2)&lt;0,Ft!F$3*((1-Ft!F$6)/(1+Ft!F$37*($A446-Ft!F$2)^2)+Ft!F$6*EXP(Ft!F$38*($A446-Ft!F$2)^2)),Ft!F$3*((1-Ft!F$7)/(1+Ft!F$39*($A446-Ft!F$2)^2)+Ft!F$7*EXP(Ft!F$40*($A446-Ft!F$2)^2)))</f>
        <v>8.9392482485014472E-4</v>
      </c>
      <c r="K446" s="3">
        <f>IF(($A446-Ft!G$2)&lt;0,Ft!G$3*((1-Ft!G$6)/(1+Ft!G$37*($A446-Ft!G$2)^2)+Ft!G$6*EXP(Ft!G$38*($A446-Ft!G$2)^2)),Ft!G$3*((1-Ft!G$7)/(1+Ft!G$39*($A446-Ft!G$2)^2)+Ft!G$7*EXP(Ft!G$40*($A446-Ft!G$2)^2)))</f>
        <v>0</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v>890</v>
      </c>
      <c r="B447">
        <v>14.855568921537994</v>
      </c>
      <c r="C447" s="6">
        <f t="shared" si="13"/>
        <v>15.081165623236837</v>
      </c>
      <c r="D447" s="19">
        <f t="shared" si="14"/>
        <v>5.0893871817396526E-2</v>
      </c>
      <c r="E447" s="3">
        <f>Ft!$B$12+Ft!$B$14*(Data!A447-Vars!$B$3)</f>
        <v>0</v>
      </c>
      <c r="F447" s="3">
        <f>IF(($A447-Ft!B$2)&lt;0,Ft!B$3*((1-Ft!B$6)/(1+Ft!B$37*($A447-Ft!B$2)^2)+Ft!B$6*EXP(Ft!B$38*($A447-Ft!B$2)^2)),Ft!B$3*((1-Ft!B$7)/(1+Ft!B$39*($A447-Ft!B$2)^2)+Ft!B$7*EXP(Ft!B$40*($A447-Ft!B$2)^2)))</f>
        <v>0</v>
      </c>
      <c r="G447" s="3">
        <f>IF(($A447-Ft!C$2)&lt;0,Ft!C$3*((1-Ft!C$6)/(1+Ft!C$37*($A447-Ft!C$2)^2)+Ft!C$6*EXP(Ft!C$38*($A447-Ft!C$2)^2)),Ft!C$3*((1-Ft!C$7)/(1+Ft!C$39*($A447-Ft!C$2)^2)+Ft!C$7*EXP(Ft!C$40*($A447-Ft!C$2)^2)))</f>
        <v>1.0083433105103279E-18</v>
      </c>
      <c r="H447" s="3">
        <f>IF(($A447-Ft!D$2)&lt;0,Ft!D$3*((1-Ft!D$6)/(1+Ft!D$37*($A447-Ft!D$2)^2)+Ft!D$6*EXP(Ft!D$38*($A447-Ft!D$2)^2)),Ft!D$3*((1-Ft!D$7)/(1+Ft!D$39*($A447-Ft!D$2)^2)+Ft!D$7*EXP(Ft!D$40*($A447-Ft!D$2)^2)))</f>
        <v>0.22980152915498339</v>
      </c>
      <c r="I447" s="3">
        <f>IF(($A447-Ft!E$2)&lt;0,Ft!E$3*((1-Ft!E$6)/(1+Ft!E$37*($A447-Ft!E$2)^2)+Ft!E$6*EXP(Ft!E$38*($A447-Ft!E$2)^2)),Ft!E$3*((1-Ft!E$7)/(1+Ft!E$39*($A447-Ft!E$2)^2)+Ft!E$7*EXP(Ft!E$40*($A447-Ft!E$2)^2)))</f>
        <v>14.85021931868163</v>
      </c>
      <c r="J447" s="3">
        <f>IF(($A447-Ft!F$2)&lt;0,Ft!F$3*((1-Ft!F$6)/(1+Ft!F$37*($A447-Ft!F$2)^2)+Ft!F$6*EXP(Ft!F$38*($A447-Ft!F$2)^2)),Ft!F$3*((1-Ft!F$7)/(1+Ft!F$39*($A447-Ft!F$2)^2)+Ft!F$7*EXP(Ft!F$40*($A447-Ft!F$2)^2)))</f>
        <v>1.1447754002239293E-3</v>
      </c>
      <c r="K447" s="3">
        <f>IF(($A447-Ft!G$2)&lt;0,Ft!G$3*((1-Ft!G$6)/(1+Ft!G$37*($A447-Ft!G$2)^2)+Ft!G$6*EXP(Ft!G$38*($A447-Ft!G$2)^2)),Ft!G$3*((1-Ft!G$7)/(1+Ft!G$39*($A447-Ft!G$2)^2)+Ft!G$7*EXP(Ft!G$40*($A447-Ft!G$2)^2)))</f>
        <v>0</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v>892</v>
      </c>
      <c r="B448">
        <v>14.76245278460199</v>
      </c>
      <c r="C448" s="6">
        <f t="shared" si="13"/>
        <v>14.994109887584491</v>
      </c>
      <c r="D448" s="19">
        <f t="shared" si="14"/>
        <v>5.3665013362245058E-2</v>
      </c>
      <c r="E448" s="3">
        <f>Ft!$B$12+Ft!$B$14*(Data!A448-Vars!$B$3)</f>
        <v>0</v>
      </c>
      <c r="F448" s="3">
        <f>IF(($A448-Ft!B$2)&lt;0,Ft!B$3*((1-Ft!B$6)/(1+Ft!B$37*($A448-Ft!B$2)^2)+Ft!B$6*EXP(Ft!B$38*($A448-Ft!B$2)^2)),Ft!B$3*((1-Ft!B$7)/(1+Ft!B$39*($A448-Ft!B$2)^2)+Ft!B$7*EXP(Ft!B$40*($A448-Ft!B$2)^2)))</f>
        <v>0</v>
      </c>
      <c r="G448" s="3">
        <f>IF(($A448-Ft!C$2)&lt;0,Ft!C$3*((1-Ft!C$6)/(1+Ft!C$37*($A448-Ft!C$2)^2)+Ft!C$6*EXP(Ft!C$38*($A448-Ft!C$2)^2)),Ft!C$3*((1-Ft!C$7)/(1+Ft!C$39*($A448-Ft!C$2)^2)+Ft!C$7*EXP(Ft!C$40*($A448-Ft!C$2)^2)))</f>
        <v>7.9843721424894178E-19</v>
      </c>
      <c r="H448" s="3">
        <f>IF(($A448-Ft!D$2)&lt;0,Ft!D$3*((1-Ft!D$6)/(1+Ft!D$37*($A448-Ft!D$2)^2)+Ft!D$6*EXP(Ft!D$38*($A448-Ft!D$2)^2)),Ft!D$3*((1-Ft!D$7)/(1+Ft!D$39*($A448-Ft!D$2)^2)+Ft!D$7*EXP(Ft!D$40*($A448-Ft!D$2)^2)))</f>
        <v>0.22111501980228171</v>
      </c>
      <c r="I448" s="3">
        <f>IF(($A448-Ft!E$2)&lt;0,Ft!E$3*((1-Ft!E$6)/(1+Ft!E$37*($A448-Ft!E$2)^2)+Ft!E$6*EXP(Ft!E$38*($A448-Ft!E$2)^2)),Ft!E$3*((1-Ft!E$7)/(1+Ft!E$39*($A448-Ft!E$2)^2)+Ft!E$7*EXP(Ft!E$40*($A448-Ft!E$2)^2)))</f>
        <v>14.771533933229881</v>
      </c>
      <c r="J448" s="3">
        <f>IF(($A448-Ft!F$2)&lt;0,Ft!F$3*((1-Ft!F$6)/(1+Ft!F$37*($A448-Ft!F$2)^2)+Ft!F$6*EXP(Ft!F$38*($A448-Ft!F$2)^2)),Ft!F$3*((1-Ft!F$7)/(1+Ft!F$39*($A448-Ft!F$2)^2)+Ft!F$7*EXP(Ft!F$40*($A448-Ft!F$2)^2)))</f>
        <v>1.4609345523282828E-3</v>
      </c>
      <c r="K448" s="3">
        <f>IF(($A448-Ft!G$2)&lt;0,Ft!G$3*((1-Ft!G$6)/(1+Ft!G$37*($A448-Ft!G$2)^2)+Ft!G$6*EXP(Ft!G$38*($A448-Ft!G$2)^2)),Ft!G$3*((1-Ft!G$7)/(1+Ft!G$39*($A448-Ft!G$2)^2)+Ft!G$7*EXP(Ft!G$40*($A448-Ft!G$2)^2)))</f>
        <v>0</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v>894</v>
      </c>
      <c r="B449">
        <v>14.675557126149002</v>
      </c>
      <c r="C449" s="6">
        <f t="shared" si="13"/>
        <v>14.905761393205083</v>
      </c>
      <c r="D449" s="19">
        <f t="shared" si="14"/>
        <v>5.2994004570827404E-2</v>
      </c>
      <c r="E449" s="3">
        <f>Ft!$B$12+Ft!$B$14*(Data!A449-Vars!$B$3)</f>
        <v>0</v>
      </c>
      <c r="F449" s="3">
        <f>IF(($A449-Ft!B$2)&lt;0,Ft!B$3*((1-Ft!B$6)/(1+Ft!B$37*($A449-Ft!B$2)^2)+Ft!B$6*EXP(Ft!B$38*($A449-Ft!B$2)^2)),Ft!B$3*((1-Ft!B$7)/(1+Ft!B$39*($A449-Ft!B$2)^2)+Ft!B$7*EXP(Ft!B$40*($A449-Ft!B$2)^2)))</f>
        <v>0</v>
      </c>
      <c r="G449" s="3">
        <f>IF(($A449-Ft!C$2)&lt;0,Ft!C$3*((1-Ft!C$6)/(1+Ft!C$37*($A449-Ft!C$2)^2)+Ft!C$6*EXP(Ft!C$38*($A449-Ft!C$2)^2)),Ft!C$3*((1-Ft!C$7)/(1+Ft!C$39*($A449-Ft!C$2)^2)+Ft!C$7*EXP(Ft!C$40*($A449-Ft!C$2)^2)))</f>
        <v>6.3183417039491545E-19</v>
      </c>
      <c r="H449" s="3">
        <f>IF(($A449-Ft!D$2)&lt;0,Ft!D$3*((1-Ft!D$6)/(1+Ft!D$37*($A449-Ft!D$2)^2)+Ft!D$6*EXP(Ft!D$38*($A449-Ft!D$2)^2)),Ft!D$3*((1-Ft!D$7)/(1+Ft!D$39*($A449-Ft!D$2)^2)+Ft!D$7*EXP(Ft!D$40*($A449-Ft!D$2)^2)))</f>
        <v>0.21272066666173625</v>
      </c>
      <c r="I449" s="3">
        <f>IF(($A449-Ft!E$2)&lt;0,Ft!E$3*((1-Ft!E$6)/(1+Ft!E$37*($A449-Ft!E$2)^2)+Ft!E$6*EXP(Ft!E$38*($A449-Ft!E$2)^2)),Ft!E$3*((1-Ft!E$7)/(1+Ft!E$39*($A449-Ft!E$2)^2)+Ft!E$7*EXP(Ft!E$40*($A449-Ft!E$2)^2)))</f>
        <v>14.691182783420892</v>
      </c>
      <c r="J449" s="3">
        <f>IF(($A449-Ft!F$2)&lt;0,Ft!F$3*((1-Ft!F$6)/(1+Ft!F$37*($A449-Ft!F$2)^2)+Ft!F$6*EXP(Ft!F$38*($A449-Ft!F$2)^2)),Ft!F$3*((1-Ft!F$7)/(1+Ft!F$39*($A449-Ft!F$2)^2)+Ft!F$7*EXP(Ft!F$40*($A449-Ft!F$2)^2)))</f>
        <v>1.8579431224549374E-3</v>
      </c>
      <c r="K449" s="3">
        <f>IF(($A449-Ft!G$2)&lt;0,Ft!G$3*((1-Ft!G$6)/(1+Ft!G$37*($A449-Ft!G$2)^2)+Ft!G$6*EXP(Ft!G$38*($A449-Ft!G$2)^2)),Ft!G$3*((1-Ft!G$7)/(1+Ft!G$39*($A449-Ft!G$2)^2)+Ft!G$7*EXP(Ft!G$40*($A449-Ft!G$2)^2)))</f>
        <v>0</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v>896</v>
      </c>
      <c r="B450">
        <v>14.589456386525001</v>
      </c>
      <c r="C450" s="6">
        <f t="shared" si="13"/>
        <v>14.816162471273882</v>
      </c>
      <c r="D450" s="19">
        <f t="shared" si="14"/>
        <v>5.1395648862167159E-2</v>
      </c>
      <c r="E450" s="3">
        <f>Ft!$B$12+Ft!$B$14*(Data!A450-Vars!$B$3)</f>
        <v>0</v>
      </c>
      <c r="F450" s="3">
        <f>IF(($A450-Ft!B$2)&lt;0,Ft!B$3*((1-Ft!B$6)/(1+Ft!B$37*($A450-Ft!B$2)^2)+Ft!B$6*EXP(Ft!B$38*($A450-Ft!B$2)^2)),Ft!B$3*((1-Ft!B$7)/(1+Ft!B$39*($A450-Ft!B$2)^2)+Ft!B$7*EXP(Ft!B$40*($A450-Ft!B$2)^2)))</f>
        <v>0</v>
      </c>
      <c r="G450" s="3">
        <f>IF(($A450-Ft!C$2)&lt;0,Ft!C$3*((1-Ft!C$6)/(1+Ft!C$37*($A450-Ft!C$2)^2)+Ft!C$6*EXP(Ft!C$38*($A450-Ft!C$2)^2)),Ft!C$3*((1-Ft!C$7)/(1+Ft!C$39*($A450-Ft!C$2)^2)+Ft!C$7*EXP(Ft!C$40*($A450-Ft!C$2)^2)))</f>
        <v>4.9968399316134732E-19</v>
      </c>
      <c r="H450" s="3">
        <f>IF(($A450-Ft!D$2)&lt;0,Ft!D$3*((1-Ft!D$6)/(1+Ft!D$37*($A450-Ft!D$2)^2)+Ft!D$6*EXP(Ft!D$38*($A450-Ft!D$2)^2)),Ft!D$3*((1-Ft!D$7)/(1+Ft!D$39*($A450-Ft!D$2)^2)+Ft!D$7*EXP(Ft!D$40*($A450-Ft!D$2)^2)))</f>
        <v>0.20461018027779382</v>
      </c>
      <c r="I450" s="3">
        <f>IF(($A450-Ft!E$2)&lt;0,Ft!E$3*((1-Ft!E$6)/(1+Ft!E$37*($A450-Ft!E$2)^2)+Ft!E$6*EXP(Ft!E$38*($A450-Ft!E$2)^2)),Ft!E$3*((1-Ft!E$7)/(1+Ft!E$39*($A450-Ft!E$2)^2)+Ft!E$7*EXP(Ft!E$40*($A450-Ft!E$2)^2)))</f>
        <v>14.609197647020435</v>
      </c>
      <c r="J450" s="3">
        <f>IF(($A450-Ft!F$2)&lt;0,Ft!F$3*((1-Ft!F$6)/(1+Ft!F$37*($A450-Ft!F$2)^2)+Ft!F$6*EXP(Ft!F$38*($A450-Ft!F$2)^2)),Ft!F$3*((1-Ft!F$7)/(1+Ft!F$39*($A450-Ft!F$2)^2)+Ft!F$7*EXP(Ft!F$40*($A450-Ft!F$2)^2)))</f>
        <v>2.3546439756539014E-3</v>
      </c>
      <c r="K450" s="3">
        <f>IF(($A450-Ft!G$2)&lt;0,Ft!G$3*((1-Ft!G$6)/(1+Ft!G$37*($A450-Ft!G$2)^2)+Ft!G$6*EXP(Ft!G$38*($A450-Ft!G$2)^2)),Ft!G$3*((1-Ft!G$7)/(1+Ft!G$39*($A450-Ft!G$2)^2)+Ft!G$7*EXP(Ft!G$40*($A450-Ft!G$2)^2)))</f>
        <v>0</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v>898</v>
      </c>
      <c r="B451">
        <v>14.498457241343999</v>
      </c>
      <c r="C451" s="6">
        <f t="shared" ref="C451:C514" si="15">SUM(E451:K451)</f>
        <v>14.725360047022811</v>
      </c>
      <c r="D451" s="19">
        <f t="shared" ref="D451:D514" si="16">(C451-B451)^2</f>
        <v>5.1484883224916539E-2</v>
      </c>
      <c r="E451" s="3">
        <f>Ft!$B$12+Ft!$B$14*(Data!A451-Vars!$B$3)</f>
        <v>0</v>
      </c>
      <c r="F451" s="3">
        <f>IF(($A451-Ft!B$2)&lt;0,Ft!B$3*((1-Ft!B$6)/(1+Ft!B$37*($A451-Ft!B$2)^2)+Ft!B$6*EXP(Ft!B$38*($A451-Ft!B$2)^2)),Ft!B$3*((1-Ft!B$7)/(1+Ft!B$39*($A451-Ft!B$2)^2)+Ft!B$7*EXP(Ft!B$40*($A451-Ft!B$2)^2)))</f>
        <v>0</v>
      </c>
      <c r="G451" s="3">
        <f>IF(($A451-Ft!C$2)&lt;0,Ft!C$3*((1-Ft!C$6)/(1+Ft!C$37*($A451-Ft!C$2)^2)+Ft!C$6*EXP(Ft!C$38*($A451-Ft!C$2)^2)),Ft!C$3*((1-Ft!C$7)/(1+Ft!C$39*($A451-Ft!C$2)^2)+Ft!C$7*EXP(Ft!C$40*($A451-Ft!C$2)^2)))</f>
        <v>3.9492784465712355E-19</v>
      </c>
      <c r="H451" s="3">
        <f>IF(($A451-Ft!D$2)&lt;0,Ft!D$3*((1-Ft!D$6)/(1+Ft!D$37*($A451-Ft!D$2)^2)+Ft!D$6*EXP(Ft!D$38*($A451-Ft!D$2)^2)),Ft!D$3*((1-Ft!D$7)/(1+Ft!D$39*($A451-Ft!D$2)^2)+Ft!D$7*EXP(Ft!D$40*($A451-Ft!D$2)^2)))</f>
        <v>0.1967754444599156</v>
      </c>
      <c r="I451" s="3">
        <f>IF(($A451-Ft!E$2)&lt;0,Ft!E$3*((1-Ft!E$6)/(1+Ft!E$37*($A451-Ft!E$2)^2)+Ft!E$6*EXP(Ft!E$38*($A451-Ft!E$2)^2)),Ft!E$3*((1-Ft!E$7)/(1+Ft!E$39*($A451-Ft!E$2)^2)+Ft!E$7*EXP(Ft!E$40*($A451-Ft!E$2)^2)))</f>
        <v>14.525610819603106</v>
      </c>
      <c r="J451" s="3">
        <f>IF(($A451-Ft!F$2)&lt;0,Ft!F$3*((1-Ft!F$6)/(1+Ft!F$37*($A451-Ft!F$2)^2)+Ft!F$6*EXP(Ft!F$38*($A451-Ft!F$2)^2)),Ft!F$3*((1-Ft!F$7)/(1+Ft!F$39*($A451-Ft!F$2)^2)+Ft!F$7*EXP(Ft!F$40*($A451-Ft!F$2)^2)))</f>
        <v>2.9737829597904714E-3</v>
      </c>
      <c r="K451" s="3">
        <f>IF(($A451-Ft!G$2)&lt;0,Ft!G$3*((1-Ft!G$6)/(1+Ft!G$37*($A451-Ft!G$2)^2)+Ft!G$6*EXP(Ft!G$38*($A451-Ft!G$2)^2)),Ft!G$3*((1-Ft!G$7)/(1+Ft!G$39*($A451-Ft!G$2)^2)+Ft!G$7*EXP(Ft!G$40*($A451-Ft!G$2)^2)))</f>
        <v>0</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v>900</v>
      </c>
      <c r="B452">
        <v>14.40431579492099</v>
      </c>
      <c r="C452" s="6">
        <f t="shared" si="15"/>
        <v>14.633406303766906</v>
      </c>
      <c r="D452" s="19">
        <f t="shared" si="16"/>
        <v>5.2482461243280654E-2</v>
      </c>
      <c r="E452" s="3">
        <f>Ft!$B$12+Ft!$B$14*(Data!A452-Vars!$B$3)</f>
        <v>0</v>
      </c>
      <c r="F452" s="3">
        <f>IF(($A452-Ft!B$2)&lt;0,Ft!B$3*((1-Ft!B$6)/(1+Ft!B$37*($A452-Ft!B$2)^2)+Ft!B$6*EXP(Ft!B$38*($A452-Ft!B$2)^2)),Ft!B$3*((1-Ft!B$7)/(1+Ft!B$39*($A452-Ft!B$2)^2)+Ft!B$7*EXP(Ft!B$40*($A452-Ft!B$2)^2)))</f>
        <v>0</v>
      </c>
      <c r="G452" s="3">
        <f>IF(($A452-Ft!C$2)&lt;0,Ft!C$3*((1-Ft!C$6)/(1+Ft!C$37*($A452-Ft!C$2)^2)+Ft!C$6*EXP(Ft!C$38*($A452-Ft!C$2)^2)),Ft!C$3*((1-Ft!C$7)/(1+Ft!C$39*($A452-Ft!C$2)^2)+Ft!C$7*EXP(Ft!C$40*($A452-Ft!C$2)^2)))</f>
        <v>3.1193927755994239E-19</v>
      </c>
      <c r="H452" s="3">
        <f>IF(($A452-Ft!D$2)&lt;0,Ft!D$3*((1-Ft!D$6)/(1+Ft!D$37*($A452-Ft!D$2)^2)+Ft!D$6*EXP(Ft!D$38*($A452-Ft!D$2)^2)),Ft!D$3*((1-Ft!D$7)/(1+Ft!D$39*($A452-Ft!D$2)^2)+Ft!D$7*EXP(Ft!D$40*($A452-Ft!D$2)^2)))</f>
        <v>0.18920851509352341</v>
      </c>
      <c r="I452" s="3">
        <f>IF(($A452-Ft!E$2)&lt;0,Ft!E$3*((1-Ft!E$6)/(1+Ft!E$37*($A452-Ft!E$2)^2)+Ft!E$6*EXP(Ft!E$38*($A452-Ft!E$2)^2)),Ft!E$3*((1-Ft!E$7)/(1+Ft!E$39*($A452-Ft!E$2)^2)+Ft!E$7*EXP(Ft!E$40*($A452-Ft!E$2)^2)))</f>
        <v>14.440455093403708</v>
      </c>
      <c r="J452" s="3">
        <f>IF(($A452-Ft!F$2)&lt;0,Ft!F$3*((1-Ft!F$6)/(1+Ft!F$37*($A452-Ft!F$2)^2)+Ft!F$6*EXP(Ft!F$38*($A452-Ft!F$2)^2)),Ft!F$3*((1-Ft!F$7)/(1+Ft!F$39*($A452-Ft!F$2)^2)+Ft!F$7*EXP(Ft!F$40*($A452-Ft!F$2)^2)))</f>
        <v>3.7426952696735494E-3</v>
      </c>
      <c r="K452" s="3">
        <f>IF(($A452-Ft!G$2)&lt;0,Ft!G$3*((1-Ft!G$6)/(1+Ft!G$37*($A452-Ft!G$2)^2)+Ft!G$6*EXP(Ft!G$38*($A452-Ft!G$2)^2)),Ft!G$3*((1-Ft!G$7)/(1+Ft!G$39*($A452-Ft!G$2)^2)+Ft!G$7*EXP(Ft!G$40*($A452-Ft!G$2)^2)))</f>
        <v>0</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v>902</v>
      </c>
      <c r="B453">
        <v>14.308788151573992</v>
      </c>
      <c r="C453" s="6">
        <f t="shared" si="15"/>
        <v>14.540359438713573</v>
      </c>
      <c r="D453" s="19">
        <f t="shared" si="16"/>
        <v>5.3625261027481955E-2</v>
      </c>
      <c r="E453" s="3">
        <f>Ft!$B$12+Ft!$B$14*(Data!A453-Vars!$B$3)</f>
        <v>0</v>
      </c>
      <c r="F453" s="3">
        <f>IF(($A453-Ft!B$2)&lt;0,Ft!B$3*((1-Ft!B$6)/(1+Ft!B$37*($A453-Ft!B$2)^2)+Ft!B$6*EXP(Ft!B$38*($A453-Ft!B$2)^2)),Ft!B$3*((1-Ft!B$7)/(1+Ft!B$39*($A453-Ft!B$2)^2)+Ft!B$7*EXP(Ft!B$40*($A453-Ft!B$2)^2)))</f>
        <v>0</v>
      </c>
      <c r="G453" s="3">
        <f>IF(($A453-Ft!C$2)&lt;0,Ft!C$3*((1-Ft!C$6)/(1+Ft!C$37*($A453-Ft!C$2)^2)+Ft!C$6*EXP(Ft!C$38*($A453-Ft!C$2)^2)),Ft!C$3*((1-Ft!C$7)/(1+Ft!C$39*($A453-Ft!C$2)^2)+Ft!C$7*EXP(Ft!C$40*($A453-Ft!C$2)^2)))</f>
        <v>2.4623645969897994E-19</v>
      </c>
      <c r="H453" s="3">
        <f>IF(($A453-Ft!D$2)&lt;0,Ft!D$3*((1-Ft!D$6)/(1+Ft!D$37*($A453-Ft!D$2)^2)+Ft!D$6*EXP(Ft!D$38*($A453-Ft!D$2)^2)),Ft!D$3*((1-Ft!D$7)/(1+Ft!D$39*($A453-Ft!D$2)^2)+Ft!D$7*EXP(Ft!D$40*($A453-Ft!D$2)^2)))</f>
        <v>0.18190161885283143</v>
      </c>
      <c r="I453" s="3">
        <f>IF(($A453-Ft!E$2)&lt;0,Ft!E$3*((1-Ft!E$6)/(1+Ft!E$37*($A453-Ft!E$2)^2)+Ft!E$6*EXP(Ft!E$38*($A453-Ft!E$2)^2)),Ft!E$3*((1-Ft!E$7)/(1+Ft!E$39*($A453-Ft!E$2)^2)+Ft!E$7*EXP(Ft!E$40*($A453-Ft!E$2)^2)))</f>
        <v>14.353763735937196</v>
      </c>
      <c r="J453" s="3">
        <f>IF(($A453-Ft!F$2)&lt;0,Ft!F$3*((1-Ft!F$6)/(1+Ft!F$37*($A453-Ft!F$2)^2)+Ft!F$6*EXP(Ft!F$38*($A453-Ft!F$2)^2)),Ft!F$3*((1-Ft!F$7)/(1+Ft!F$39*($A453-Ft!F$2)^2)+Ft!F$7*EXP(Ft!F$40*($A453-Ft!F$2)^2)))</f>
        <v>4.694083923543829E-3</v>
      </c>
      <c r="K453" s="3">
        <f>IF(($A453-Ft!G$2)&lt;0,Ft!G$3*((1-Ft!G$6)/(1+Ft!G$37*($A453-Ft!G$2)^2)+Ft!G$6*EXP(Ft!G$38*($A453-Ft!G$2)^2)),Ft!G$3*((1-Ft!G$7)/(1+Ft!G$39*($A453-Ft!G$2)^2)+Ft!G$7*EXP(Ft!G$40*($A453-Ft!G$2)^2)))</f>
        <v>0</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v>904</v>
      </c>
      <c r="B454">
        <v>14.213630415620997</v>
      </c>
      <c r="C454" s="6">
        <f t="shared" si="15"/>
        <v>14.446284516546811</v>
      </c>
      <c r="D454" s="19">
        <f t="shared" si="16"/>
        <v>5.4127930677598669E-2</v>
      </c>
      <c r="E454" s="3">
        <f>Ft!$B$12+Ft!$B$14*(Data!A454-Vars!$B$3)</f>
        <v>0</v>
      </c>
      <c r="F454" s="3">
        <f>IF(($A454-Ft!B$2)&lt;0,Ft!B$3*((1-Ft!B$6)/(1+Ft!B$37*($A454-Ft!B$2)^2)+Ft!B$6*EXP(Ft!B$38*($A454-Ft!B$2)^2)),Ft!B$3*((1-Ft!B$7)/(1+Ft!B$39*($A454-Ft!B$2)^2)+Ft!B$7*EXP(Ft!B$40*($A454-Ft!B$2)^2)))</f>
        <v>0</v>
      </c>
      <c r="G454" s="3">
        <f>IF(($A454-Ft!C$2)&lt;0,Ft!C$3*((1-Ft!C$6)/(1+Ft!C$37*($A454-Ft!C$2)^2)+Ft!C$6*EXP(Ft!C$38*($A454-Ft!C$2)^2)),Ft!C$3*((1-Ft!C$7)/(1+Ft!C$39*($A454-Ft!C$2)^2)+Ft!C$7*EXP(Ft!C$40*($A454-Ft!C$2)^2)))</f>
        <v>1.9425161769435022E-19</v>
      </c>
      <c r="H454" s="3">
        <f>IF(($A454-Ft!D$2)&lt;0,Ft!D$3*((1-Ft!D$6)/(1+Ft!D$37*($A454-Ft!D$2)^2)+Ft!D$6*EXP(Ft!D$38*($A454-Ft!D$2)^2)),Ft!D$3*((1-Ft!D$7)/(1+Ft!D$39*($A454-Ft!D$2)^2)+Ft!D$7*EXP(Ft!D$40*($A454-Ft!D$2)^2)))</f>
        <v>0.17484715182061047</v>
      </c>
      <c r="I454" s="3">
        <f>IF(($A454-Ft!E$2)&lt;0,Ft!E$3*((1-Ft!E$6)/(1+Ft!E$37*($A454-Ft!E$2)^2)+Ft!E$6*EXP(Ft!E$38*($A454-Ft!E$2)^2)),Ft!E$3*((1-Ft!E$7)/(1+Ft!E$39*($A454-Ft!E$2)^2)+Ft!E$7*EXP(Ft!E$40*($A454-Ft!E$2)^2)))</f>
        <v>14.265570468406562</v>
      </c>
      <c r="J454" s="3">
        <f>IF(($A454-Ft!F$2)&lt;0,Ft!F$3*((1-Ft!F$6)/(1+Ft!F$37*($A454-Ft!F$2)^2)+Ft!F$6*EXP(Ft!F$38*($A454-Ft!F$2)^2)),Ft!F$3*((1-Ft!F$7)/(1+Ft!F$39*($A454-Ft!F$2)^2)+Ft!F$7*EXP(Ft!F$40*($A454-Ft!F$2)^2)))</f>
        <v>5.8668963196377216E-3</v>
      </c>
      <c r="K454" s="3">
        <f>IF(($A454-Ft!G$2)&lt;0,Ft!G$3*((1-Ft!G$6)/(1+Ft!G$37*($A454-Ft!G$2)^2)+Ft!G$6*EXP(Ft!G$38*($A454-Ft!G$2)^2)),Ft!G$3*((1-Ft!G$7)/(1+Ft!G$39*($A454-Ft!G$2)^2)+Ft!G$7*EXP(Ft!G$40*($A454-Ft!G$2)^2)))</f>
        <v>0</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v>906</v>
      </c>
      <c r="B455">
        <v>14.120598691379001</v>
      </c>
      <c r="C455" s="6">
        <f t="shared" si="15"/>
        <v>14.351254425659279</v>
      </c>
      <c r="D455" s="19">
        <f t="shared" si="16"/>
        <v>5.3202067756374198E-2</v>
      </c>
      <c r="E455" s="3">
        <f>Ft!$B$12+Ft!$B$14*(Data!A455-Vars!$B$3)</f>
        <v>0</v>
      </c>
      <c r="F455" s="3">
        <f>IF(($A455-Ft!B$2)&lt;0,Ft!B$3*((1-Ft!B$6)/(1+Ft!B$37*($A455-Ft!B$2)^2)+Ft!B$6*EXP(Ft!B$38*($A455-Ft!B$2)^2)),Ft!B$3*((1-Ft!B$7)/(1+Ft!B$39*($A455-Ft!B$2)^2)+Ft!B$7*EXP(Ft!B$40*($A455-Ft!B$2)^2)))</f>
        <v>0</v>
      </c>
      <c r="G455" s="3">
        <f>IF(($A455-Ft!C$2)&lt;0,Ft!C$3*((1-Ft!C$6)/(1+Ft!C$37*($A455-Ft!C$2)^2)+Ft!C$6*EXP(Ft!C$38*($A455-Ft!C$2)^2)),Ft!C$3*((1-Ft!C$7)/(1+Ft!C$39*($A455-Ft!C$2)^2)+Ft!C$7*EXP(Ft!C$40*($A455-Ft!C$2)^2)))</f>
        <v>1.5314644482946766E-19</v>
      </c>
      <c r="H455" s="3">
        <f>IF(($A455-Ft!D$2)&lt;0,Ft!D$3*((1-Ft!D$6)/(1+Ft!D$37*($A455-Ft!D$2)^2)+Ft!D$6*EXP(Ft!D$38*($A455-Ft!D$2)^2)),Ft!D$3*((1-Ft!D$7)/(1+Ft!D$39*($A455-Ft!D$2)^2)+Ft!D$7*EXP(Ft!D$40*($A455-Ft!D$2)^2)))</f>
        <v>0.16803767801984135</v>
      </c>
      <c r="I455" s="3">
        <f>IF(($A455-Ft!E$2)&lt;0,Ft!E$3*((1-Ft!E$6)/(1+Ft!E$37*($A455-Ft!E$2)^2)+Ft!E$6*EXP(Ft!E$38*($A455-Ft!E$2)^2)),Ft!E$3*((1-Ft!E$7)/(1+Ft!E$39*($A455-Ft!E$2)^2)+Ft!E$7*EXP(Ft!E$40*($A455-Ft!E$2)^2)))</f>
        <v>14.175909443918286</v>
      </c>
      <c r="J455" s="3">
        <f>IF(($A455-Ft!F$2)&lt;0,Ft!F$3*((1-Ft!F$6)/(1+Ft!F$37*($A455-Ft!F$2)^2)+Ft!F$6*EXP(Ft!F$38*($A455-Ft!F$2)^2)),Ft!F$3*((1-Ft!F$7)/(1+Ft!F$39*($A455-Ft!F$2)^2)+Ft!F$7*EXP(Ft!F$40*($A455-Ft!F$2)^2)))</f>
        <v>7.3073037211528061E-3</v>
      </c>
      <c r="K455" s="3">
        <f>IF(($A455-Ft!G$2)&lt;0,Ft!G$3*((1-Ft!G$6)/(1+Ft!G$37*($A455-Ft!G$2)^2)+Ft!G$6*EXP(Ft!G$38*($A455-Ft!G$2)^2)),Ft!G$3*((1-Ft!G$7)/(1+Ft!G$39*($A455-Ft!G$2)^2)+Ft!G$7*EXP(Ft!G$40*($A455-Ft!G$2)^2)))</f>
        <v>0</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v>908</v>
      </c>
      <c r="B456">
        <v>14.031449083163992</v>
      </c>
      <c r="C456" s="6">
        <f t="shared" si="15"/>
        <v>14.255350940346201</v>
      </c>
      <c r="D456" s="19">
        <f t="shared" si="16"/>
        <v>5.0132041649642467E-2</v>
      </c>
      <c r="E456" s="3">
        <f>Ft!$B$12+Ft!$B$14*(Data!A456-Vars!$B$3)</f>
        <v>0</v>
      </c>
      <c r="F456" s="3">
        <f>IF(($A456-Ft!B$2)&lt;0,Ft!B$3*((1-Ft!B$6)/(1+Ft!B$37*($A456-Ft!B$2)^2)+Ft!B$6*EXP(Ft!B$38*($A456-Ft!B$2)^2)),Ft!B$3*((1-Ft!B$7)/(1+Ft!B$39*($A456-Ft!B$2)^2)+Ft!B$7*EXP(Ft!B$40*($A456-Ft!B$2)^2)))</f>
        <v>0</v>
      </c>
      <c r="G456" s="3">
        <f>IF(($A456-Ft!C$2)&lt;0,Ft!C$3*((1-Ft!C$6)/(1+Ft!C$37*($A456-Ft!C$2)^2)+Ft!C$6*EXP(Ft!C$38*($A456-Ft!C$2)^2)),Ft!C$3*((1-Ft!C$7)/(1+Ft!C$39*($A456-Ft!C$2)^2)+Ft!C$7*EXP(Ft!C$40*($A456-Ft!C$2)^2)))</f>
        <v>1.2066440734087858E-19</v>
      </c>
      <c r="H456" s="3">
        <f>IF(($A456-Ft!D$2)&lt;0,Ft!D$3*((1-Ft!D$6)/(1+Ft!D$37*($A456-Ft!D$2)^2)+Ft!D$6*EXP(Ft!D$38*($A456-Ft!D$2)^2)),Ft!D$3*((1-Ft!D$7)/(1+Ft!D$39*($A456-Ft!D$2)^2)+Ft!D$7*EXP(Ft!D$40*($A456-Ft!D$2)^2)))</f>
        <v>0.16146592786213262</v>
      </c>
      <c r="I456" s="3">
        <f>IF(($A456-Ft!E$2)&lt;0,Ft!E$3*((1-Ft!E$6)/(1+Ft!E$37*($A456-Ft!E$2)^2)+Ft!E$6*EXP(Ft!E$38*($A456-Ft!E$2)^2)),Ft!E$3*((1-Ft!E$7)/(1+Ft!E$39*($A456-Ft!E$2)^2)+Ft!E$7*EXP(Ft!E$40*($A456-Ft!E$2)^2)))</f>
        <v>14.084815225524926</v>
      </c>
      <c r="J456" s="3">
        <f>IF(($A456-Ft!F$2)&lt;0,Ft!F$3*((1-Ft!F$6)/(1+Ft!F$37*($A456-Ft!F$2)^2)+Ft!F$6*EXP(Ft!F$38*($A456-Ft!F$2)^2)),Ft!F$3*((1-Ft!F$7)/(1+Ft!F$39*($A456-Ft!F$2)^2)+Ft!F$7*EXP(Ft!F$40*($A456-Ft!F$2)^2)))</f>
        <v>9.0697869591442326E-3</v>
      </c>
      <c r="K456" s="3">
        <f>IF(($A456-Ft!G$2)&lt;0,Ft!G$3*((1-Ft!G$6)/(1+Ft!G$37*($A456-Ft!G$2)^2)+Ft!G$6*EXP(Ft!G$38*($A456-Ft!G$2)^2)),Ft!G$3*((1-Ft!G$7)/(1+Ft!G$39*($A456-Ft!G$2)^2)+Ft!G$7*EXP(Ft!G$40*($A456-Ft!G$2)^2)))</f>
        <v>0</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v>910</v>
      </c>
      <c r="B457">
        <v>13.947937695294996</v>
      </c>
      <c r="C457" s="6">
        <f t="shared" si="15"/>
        <v>14.158665890219014</v>
      </c>
      <c r="D457" s="19">
        <f t="shared" si="16"/>
        <v>4.440637213593486E-2</v>
      </c>
      <c r="E457" s="3">
        <f>Ft!$B$12+Ft!$B$14*(Data!A457-Vars!$B$3)</f>
        <v>0</v>
      </c>
      <c r="F457" s="3">
        <f>IF(($A457-Ft!B$2)&lt;0,Ft!B$3*((1-Ft!B$6)/(1+Ft!B$37*($A457-Ft!B$2)^2)+Ft!B$6*EXP(Ft!B$38*($A457-Ft!B$2)^2)),Ft!B$3*((1-Ft!B$7)/(1+Ft!B$39*($A457-Ft!B$2)^2)+Ft!B$7*EXP(Ft!B$40*($A457-Ft!B$2)^2)))</f>
        <v>0</v>
      </c>
      <c r="G457" s="3">
        <f>IF(($A457-Ft!C$2)&lt;0,Ft!C$3*((1-Ft!C$6)/(1+Ft!C$37*($A457-Ft!C$2)^2)+Ft!C$6*EXP(Ft!C$38*($A457-Ft!C$2)^2)),Ft!C$3*((1-Ft!C$7)/(1+Ft!C$39*($A457-Ft!C$2)^2)+Ft!C$7*EXP(Ft!C$40*($A457-Ft!C$2)^2)))</f>
        <v>9.5012651545665074E-20</v>
      </c>
      <c r="H457" s="3">
        <f>IF(($A457-Ft!D$2)&lt;0,Ft!D$3*((1-Ft!D$6)/(1+Ft!D$37*($A457-Ft!D$2)^2)+Ft!D$6*EXP(Ft!D$38*($A457-Ft!D$2)^2)),Ft!D$3*((1-Ft!D$7)/(1+Ft!D$39*($A457-Ft!D$2)^2)+Ft!D$7*EXP(Ft!D$40*($A457-Ft!D$2)^2)))</f>
        <v>0.15512479651768074</v>
      </c>
      <c r="I457" s="3">
        <f>IF(($A457-Ft!E$2)&lt;0,Ft!E$3*((1-Ft!E$6)/(1+Ft!E$37*($A457-Ft!E$2)^2)+Ft!E$6*EXP(Ft!E$38*($A457-Ft!E$2)^2)),Ft!E$3*((1-Ft!E$7)/(1+Ft!E$39*($A457-Ft!E$2)^2)+Ft!E$7*EXP(Ft!E$40*($A457-Ft!E$2)^2)))</f>
        <v>13.992322764114547</v>
      </c>
      <c r="J457" s="3">
        <f>IF(($A457-Ft!F$2)&lt;0,Ft!F$3*((1-Ft!F$6)/(1+Ft!F$37*($A457-Ft!F$2)^2)+Ft!F$6*EXP(Ft!F$38*($A457-Ft!F$2)^2)),Ft!F$3*((1-Ft!F$7)/(1+Ft!F$39*($A457-Ft!F$2)^2)+Ft!F$7*EXP(Ft!F$40*($A457-Ft!F$2)^2)))</f>
        <v>1.1218329586785125E-2</v>
      </c>
      <c r="K457" s="3">
        <f>IF(($A457-Ft!G$2)&lt;0,Ft!G$3*((1-Ft!G$6)/(1+Ft!G$37*($A457-Ft!G$2)^2)+Ft!G$6*EXP(Ft!G$38*($A457-Ft!G$2)^2)),Ft!G$3*((1-Ft!G$7)/(1+Ft!G$39*($A457-Ft!G$2)^2)+Ft!G$7*EXP(Ft!G$40*($A457-Ft!G$2)^2)))</f>
        <v>0</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v>912</v>
      </c>
      <c r="B458">
        <v>13.870804435886996</v>
      </c>
      <c r="C458" s="6">
        <f t="shared" si="15"/>
        <v>14.061302435489871</v>
      </c>
      <c r="D458" s="19">
        <f t="shared" si="16"/>
        <v>3.6289487852697241E-2</v>
      </c>
      <c r="E458" s="3">
        <f>Ft!$B$12+Ft!$B$14*(Data!A458-Vars!$B$3)</f>
        <v>0</v>
      </c>
      <c r="F458" s="3">
        <f>IF(($A458-Ft!B$2)&lt;0,Ft!B$3*((1-Ft!B$6)/(1+Ft!B$37*($A458-Ft!B$2)^2)+Ft!B$6*EXP(Ft!B$38*($A458-Ft!B$2)^2)),Ft!B$3*((1-Ft!B$7)/(1+Ft!B$39*($A458-Ft!B$2)^2)+Ft!B$7*EXP(Ft!B$40*($A458-Ft!B$2)^2)))</f>
        <v>0</v>
      </c>
      <c r="G458" s="3">
        <f>IF(($A458-Ft!C$2)&lt;0,Ft!C$3*((1-Ft!C$6)/(1+Ft!C$37*($A458-Ft!C$2)^2)+Ft!C$6*EXP(Ft!C$38*($A458-Ft!C$2)^2)),Ft!C$3*((1-Ft!C$7)/(1+Ft!C$39*($A458-Ft!C$2)^2)+Ft!C$7*EXP(Ft!C$40*($A458-Ft!C$2)^2)))</f>
        <v>7.4767641580467949E-20</v>
      </c>
      <c r="H458" s="3">
        <f>IF(($A458-Ft!D$2)&lt;0,Ft!D$3*((1-Ft!D$6)/(1+Ft!D$37*($A458-Ft!D$2)^2)+Ft!D$6*EXP(Ft!D$38*($A458-Ft!D$2)^2)),Ft!D$3*((1-Ft!D$7)/(1+Ft!D$39*($A458-Ft!D$2)^2)+Ft!D$7*EXP(Ft!D$40*($A458-Ft!D$2)^2)))</f>
        <v>0.14900734221146017</v>
      </c>
      <c r="I458" s="3">
        <f>IF(($A458-Ft!E$2)&lt;0,Ft!E$3*((1-Ft!E$6)/(1+Ft!E$37*($A458-Ft!E$2)^2)+Ft!E$6*EXP(Ft!E$38*($A458-Ft!E$2)^2)),Ft!E$3*((1-Ft!E$7)/(1+Ft!E$39*($A458-Ft!E$2)^2)+Ft!E$7*EXP(Ft!E$40*($A458-Ft!E$2)^2)))</f>
        <v>13.89846737616668</v>
      </c>
      <c r="J458" s="3">
        <f>IF(($A458-Ft!F$2)&lt;0,Ft!F$3*((1-Ft!F$6)/(1+Ft!F$37*($A458-Ft!F$2)^2)+Ft!F$6*EXP(Ft!F$38*($A458-Ft!F$2)^2)),Ft!F$3*((1-Ft!F$7)/(1+Ft!F$39*($A458-Ft!F$2)^2)+Ft!F$7*EXP(Ft!F$40*($A458-Ft!F$2)^2)))</f>
        <v>1.3827717111731508E-2</v>
      </c>
      <c r="K458" s="3">
        <f>IF(($A458-Ft!G$2)&lt;0,Ft!G$3*((1-Ft!G$6)/(1+Ft!G$37*($A458-Ft!G$2)^2)+Ft!G$6*EXP(Ft!G$38*($A458-Ft!G$2)^2)),Ft!G$3*((1-Ft!G$7)/(1+Ft!G$39*($A458-Ft!G$2)^2)+Ft!G$7*EXP(Ft!G$40*($A458-Ft!G$2)^2)))</f>
        <v>0</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v>914</v>
      </c>
      <c r="B459">
        <v>13.795256080187002</v>
      </c>
      <c r="C459" s="6">
        <f t="shared" si="15"/>
        <v>13.963376443575564</v>
      </c>
      <c r="D459" s="19">
        <f t="shared" si="16"/>
        <v>2.8264456585902122E-2</v>
      </c>
      <c r="E459" s="3">
        <f>Ft!$B$12+Ft!$B$14*(Data!A459-Vars!$B$3)</f>
        <v>0</v>
      </c>
      <c r="F459" s="3">
        <f>IF(($A459-Ft!B$2)&lt;0,Ft!B$3*((1-Ft!B$6)/(1+Ft!B$37*($A459-Ft!B$2)^2)+Ft!B$6*EXP(Ft!B$38*($A459-Ft!B$2)^2)),Ft!B$3*((1-Ft!B$7)/(1+Ft!B$39*($A459-Ft!B$2)^2)+Ft!B$7*EXP(Ft!B$40*($A459-Ft!B$2)^2)))</f>
        <v>0</v>
      </c>
      <c r="G459" s="3">
        <f>IF(($A459-Ft!C$2)&lt;0,Ft!C$3*((1-Ft!C$6)/(1+Ft!C$37*($A459-Ft!C$2)^2)+Ft!C$6*EXP(Ft!C$38*($A459-Ft!C$2)^2)),Ft!C$3*((1-Ft!C$7)/(1+Ft!C$39*($A459-Ft!C$2)^2)+Ft!C$7*EXP(Ft!C$40*($A459-Ft!C$2)^2)))</f>
        <v>5.8799808915607686E-20</v>
      </c>
      <c r="H459" s="3">
        <f>IF(($A459-Ft!D$2)&lt;0,Ft!D$3*((1-Ft!D$6)/(1+Ft!D$37*($A459-Ft!D$2)^2)+Ft!D$6*EXP(Ft!D$38*($A459-Ft!D$2)^2)),Ft!D$3*((1-Ft!D$7)/(1+Ft!D$39*($A459-Ft!D$2)^2)+Ft!D$7*EXP(Ft!D$40*($A459-Ft!D$2)^2)))</f>
        <v>0.143106784450233</v>
      </c>
      <c r="I459" s="3">
        <f>IF(($A459-Ft!E$2)&lt;0,Ft!E$3*((1-Ft!E$6)/(1+Ft!E$37*($A459-Ft!E$2)^2)+Ft!E$6*EXP(Ft!E$38*($A459-Ft!E$2)^2)),Ft!E$3*((1-Ft!E$7)/(1+Ft!E$39*($A459-Ft!E$2)^2)+Ft!E$7*EXP(Ft!E$40*($A459-Ft!E$2)^2)))</f>
        <v>13.803284721394563</v>
      </c>
      <c r="J459" s="3">
        <f>IF(($A459-Ft!F$2)&lt;0,Ft!F$3*((1-Ft!F$6)/(1+Ft!F$37*($A459-Ft!F$2)^2)+Ft!F$6*EXP(Ft!F$38*($A459-Ft!F$2)^2)),Ft!F$3*((1-Ft!F$7)/(1+Ft!F$39*($A459-Ft!F$2)^2)+Ft!F$7*EXP(Ft!F$40*($A459-Ft!F$2)^2)))</f>
        <v>1.698493773076911E-2</v>
      </c>
      <c r="K459" s="3">
        <f>IF(($A459-Ft!G$2)&lt;0,Ft!G$3*((1-Ft!G$6)/(1+Ft!G$37*($A459-Ft!G$2)^2)+Ft!G$6*EXP(Ft!G$38*($A459-Ft!G$2)^2)),Ft!G$3*((1-Ft!G$7)/(1+Ft!G$39*($A459-Ft!G$2)^2)+Ft!G$7*EXP(Ft!G$40*($A459-Ft!G$2)^2)))</f>
        <v>0</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v>916</v>
      </c>
      <c r="B460">
        <v>13.720877037123998</v>
      </c>
      <c r="C460" s="6">
        <f t="shared" si="15"/>
        <v>13.865017958637294</v>
      </c>
      <c r="D460" s="19">
        <f t="shared" si="16"/>
        <v>2.0776605254702173E-2</v>
      </c>
      <c r="E460" s="3">
        <f>Ft!$B$12+Ft!$B$14*(Data!A460-Vars!$B$3)</f>
        <v>0</v>
      </c>
      <c r="F460" s="3">
        <f>IF(($A460-Ft!B$2)&lt;0,Ft!B$3*((1-Ft!B$6)/(1+Ft!B$37*($A460-Ft!B$2)^2)+Ft!B$6*EXP(Ft!B$38*($A460-Ft!B$2)^2)),Ft!B$3*((1-Ft!B$7)/(1+Ft!B$39*($A460-Ft!B$2)^2)+Ft!B$7*EXP(Ft!B$40*($A460-Ft!B$2)^2)))</f>
        <v>0</v>
      </c>
      <c r="G460" s="3">
        <f>IF(($A460-Ft!C$2)&lt;0,Ft!C$3*((1-Ft!C$6)/(1+Ft!C$37*($A460-Ft!C$2)^2)+Ft!C$6*EXP(Ft!C$38*($A460-Ft!C$2)^2)),Ft!C$3*((1-Ft!C$7)/(1+Ft!C$39*($A460-Ft!C$2)^2)+Ft!C$7*EXP(Ft!C$40*($A460-Ft!C$2)^2)))</f>
        <v>4.621342294482262E-20</v>
      </c>
      <c r="H460" s="3">
        <f>IF(($A460-Ft!D$2)&lt;0,Ft!D$3*((1-Ft!D$6)/(1+Ft!D$37*($A460-Ft!D$2)^2)+Ft!D$6*EXP(Ft!D$38*($A460-Ft!D$2)^2)),Ft!D$3*((1-Ft!D$7)/(1+Ft!D$39*($A460-Ft!D$2)^2)+Ft!D$7*EXP(Ft!D$40*($A460-Ft!D$2)^2)))</f>
        <v>0.13741650218486712</v>
      </c>
      <c r="I460" s="3">
        <f>IF(($A460-Ft!E$2)&lt;0,Ft!E$3*((1-Ft!E$6)/(1+Ft!E$37*($A460-Ft!E$2)^2)+Ft!E$6*EXP(Ft!E$38*($A460-Ft!E$2)^2)),Ft!E$3*((1-Ft!E$7)/(1+Ft!E$39*($A460-Ft!E$2)^2)+Ft!E$7*EXP(Ft!E$40*($A460-Ft!E$2)^2)))</f>
        <v>13.706810780293296</v>
      </c>
      <c r="J460" s="3">
        <f>IF(($A460-Ft!F$2)&lt;0,Ft!F$3*((1-Ft!F$6)/(1+Ft!F$37*($A460-Ft!F$2)^2)+Ft!F$6*EXP(Ft!F$38*($A460-Ft!F$2)^2)),Ft!F$3*((1-Ft!F$7)/(1+Ft!F$39*($A460-Ft!F$2)^2)+Ft!F$7*EXP(Ft!F$40*($A460-Ft!F$2)^2)))</f>
        <v>2.0790676159129506E-2</v>
      </c>
      <c r="K460" s="3">
        <f>IF(($A460-Ft!G$2)&lt;0,Ft!G$3*((1-Ft!G$6)/(1+Ft!G$37*($A460-Ft!G$2)^2)+Ft!G$6*EXP(Ft!G$38*($A460-Ft!G$2)^2)),Ft!G$3*((1-Ft!G$7)/(1+Ft!G$39*($A460-Ft!G$2)^2)+Ft!G$7*EXP(Ft!G$40*($A460-Ft!G$2)^2)))</f>
        <v>0</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v>918</v>
      </c>
      <c r="B461">
        <v>13.648217672733992</v>
      </c>
      <c r="C461" s="6">
        <f t="shared" si="15"/>
        <v>13.766372751194695</v>
      </c>
      <c r="D461" s="19">
        <f t="shared" si="16"/>
        <v>1.3960622566054791E-2</v>
      </c>
      <c r="E461" s="3">
        <f>Ft!$B$12+Ft!$B$14*(Data!A461-Vars!$B$3)</f>
        <v>0</v>
      </c>
      <c r="F461" s="3">
        <f>IF(($A461-Ft!B$2)&lt;0,Ft!B$3*((1-Ft!B$6)/(1+Ft!B$37*($A461-Ft!B$2)^2)+Ft!B$6*EXP(Ft!B$38*($A461-Ft!B$2)^2)),Ft!B$3*((1-Ft!B$7)/(1+Ft!B$39*($A461-Ft!B$2)^2)+Ft!B$7*EXP(Ft!B$40*($A461-Ft!B$2)^2)))</f>
        <v>0</v>
      </c>
      <c r="G461" s="3">
        <f>IF(($A461-Ft!C$2)&lt;0,Ft!C$3*((1-Ft!C$6)/(1+Ft!C$37*($A461-Ft!C$2)^2)+Ft!C$6*EXP(Ft!C$38*($A461-Ft!C$2)^2)),Ft!C$3*((1-Ft!C$7)/(1+Ft!C$39*($A461-Ft!C$2)^2)+Ft!C$7*EXP(Ft!C$40*($A461-Ft!C$2)^2)))</f>
        <v>3.6298639606285558E-20</v>
      </c>
      <c r="H461" s="3">
        <f>IF(($A461-Ft!D$2)&lt;0,Ft!D$3*((1-Ft!D$6)/(1+Ft!D$37*($A461-Ft!D$2)^2)+Ft!D$6*EXP(Ft!D$38*($A461-Ft!D$2)^2)),Ft!D$3*((1-Ft!D$7)/(1+Ft!D$39*($A461-Ft!D$2)^2)+Ft!D$7*EXP(Ft!D$40*($A461-Ft!D$2)^2)))</f>
        <v>0.13193003191235467</v>
      </c>
      <c r="I461" s="3">
        <f>IF(($A461-Ft!E$2)&lt;0,Ft!E$3*((1-Ft!E$6)/(1+Ft!E$37*($A461-Ft!E$2)^2)+Ft!E$6*EXP(Ft!E$38*($A461-Ft!E$2)^2)),Ft!E$3*((1-Ft!E$7)/(1+Ft!E$39*($A461-Ft!E$2)^2)+Ft!E$7*EXP(Ft!E$40*($A461-Ft!E$2)^2)))</f>
        <v>13.609081831613617</v>
      </c>
      <c r="J461" s="3">
        <f>IF(($A461-Ft!F$2)&lt;0,Ft!F$3*((1-Ft!F$6)/(1+Ft!F$37*($A461-Ft!F$2)^2)+Ft!F$6*EXP(Ft!F$38*($A461-Ft!F$2)^2)),Ft!F$3*((1-Ft!F$7)/(1+Ft!F$39*($A461-Ft!F$2)^2)+Ft!F$7*EXP(Ft!F$40*($A461-Ft!F$2)^2)))</f>
        <v>2.5360887668724061E-2</v>
      </c>
      <c r="K461" s="3">
        <f>IF(($A461-Ft!G$2)&lt;0,Ft!G$3*((1-Ft!G$6)/(1+Ft!G$37*($A461-Ft!G$2)^2)+Ft!G$6*EXP(Ft!G$38*($A461-Ft!G$2)^2)),Ft!G$3*((1-Ft!G$7)/(1+Ft!G$39*($A461-Ft!G$2)^2)+Ft!G$7*EXP(Ft!G$40*($A461-Ft!G$2)^2)))</f>
        <v>0</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v>920</v>
      </c>
      <c r="B462">
        <v>13.577828353051999</v>
      </c>
      <c r="C462" s="6">
        <f t="shared" si="15"/>
        <v>13.667603929831476</v>
      </c>
      <c r="D462" s="19">
        <f t="shared" si="16"/>
        <v>8.0596541860877714E-3</v>
      </c>
      <c r="E462" s="3">
        <f>Ft!$B$12+Ft!$B$14*(Data!A462-Vars!$B$3)</f>
        <v>0</v>
      </c>
      <c r="F462" s="3">
        <f>IF(($A462-Ft!B$2)&lt;0,Ft!B$3*((1-Ft!B$6)/(1+Ft!B$37*($A462-Ft!B$2)^2)+Ft!B$6*EXP(Ft!B$38*($A462-Ft!B$2)^2)),Ft!B$3*((1-Ft!B$7)/(1+Ft!B$39*($A462-Ft!B$2)^2)+Ft!B$7*EXP(Ft!B$40*($A462-Ft!B$2)^2)))</f>
        <v>0</v>
      </c>
      <c r="G462" s="3">
        <f>IF(($A462-Ft!C$2)&lt;0,Ft!C$3*((1-Ft!C$6)/(1+Ft!C$37*($A462-Ft!C$2)^2)+Ft!C$6*EXP(Ft!C$38*($A462-Ft!C$2)^2)),Ft!C$3*((1-Ft!C$7)/(1+Ft!C$39*($A462-Ft!C$2)^2)+Ft!C$7*EXP(Ft!C$40*($A462-Ft!C$2)^2)))</f>
        <v>2.8493286843473379E-20</v>
      </c>
      <c r="H462" s="3">
        <f>IF(($A462-Ft!D$2)&lt;0,Ft!D$3*((1-Ft!D$6)/(1+Ft!D$37*($A462-Ft!D$2)^2)+Ft!D$6*EXP(Ft!D$38*($A462-Ft!D$2)^2)),Ft!D$3*((1-Ft!D$7)/(1+Ft!D$39*($A462-Ft!D$2)^2)+Ft!D$7*EXP(Ft!D$40*($A462-Ft!D$2)^2)))</f>
        <v>0.12664106572181436</v>
      </c>
      <c r="I462" s="3">
        <f>IF(($A462-Ft!E$2)&lt;0,Ft!E$3*((1-Ft!E$6)/(1+Ft!E$37*($A462-Ft!E$2)^2)+Ft!E$6*EXP(Ft!E$38*($A462-Ft!E$2)^2)),Ft!E$3*((1-Ft!E$7)/(1+Ft!E$39*($A462-Ft!E$2)^2)+Ft!E$7*EXP(Ft!E$40*($A462-Ft!E$2)^2)))</f>
        <v>13.510134429780917</v>
      </c>
      <c r="J462" s="3">
        <f>IF(($A462-Ft!F$2)&lt;0,Ft!F$3*((1-Ft!F$6)/(1+Ft!F$37*($A462-Ft!F$2)^2)+Ft!F$6*EXP(Ft!F$38*($A462-Ft!F$2)^2)),Ft!F$3*((1-Ft!F$7)/(1+Ft!F$39*($A462-Ft!F$2)^2)+Ft!F$7*EXP(Ft!F$40*($A462-Ft!F$2)^2)))</f>
        <v>3.0828434328743742E-2</v>
      </c>
      <c r="K462" s="3">
        <f>IF(($A462-Ft!G$2)&lt;0,Ft!G$3*((1-Ft!G$6)/(1+Ft!G$37*($A462-Ft!G$2)^2)+Ft!G$6*EXP(Ft!G$38*($A462-Ft!G$2)^2)),Ft!G$3*((1-Ft!G$7)/(1+Ft!G$39*($A462-Ft!G$2)^2)+Ft!G$7*EXP(Ft!G$40*($A462-Ft!G$2)^2)))</f>
        <v>0</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v>922</v>
      </c>
      <c r="B463">
        <v>13.510259444114993</v>
      </c>
      <c r="C463" s="6">
        <f t="shared" si="15"/>
        <v>13.568893591275435</v>
      </c>
      <c r="D463" s="19">
        <f t="shared" si="16"/>
        <v>3.4379632132323316E-3</v>
      </c>
      <c r="E463" s="3">
        <f>Ft!$B$12+Ft!$B$14*(Data!A463-Vars!$B$3)</f>
        <v>0</v>
      </c>
      <c r="F463" s="3">
        <f>IF(($A463-Ft!B$2)&lt;0,Ft!B$3*((1-Ft!B$6)/(1+Ft!B$37*($A463-Ft!B$2)^2)+Ft!B$6*EXP(Ft!B$38*($A463-Ft!B$2)^2)),Ft!B$3*((1-Ft!B$7)/(1+Ft!B$39*($A463-Ft!B$2)^2)+Ft!B$7*EXP(Ft!B$40*($A463-Ft!B$2)^2)))</f>
        <v>0</v>
      </c>
      <c r="G463" s="3">
        <f>IF(($A463-Ft!C$2)&lt;0,Ft!C$3*((1-Ft!C$6)/(1+Ft!C$37*($A463-Ft!C$2)^2)+Ft!C$6*EXP(Ft!C$38*($A463-Ft!C$2)^2)),Ft!C$3*((1-Ft!C$7)/(1+Ft!C$39*($A463-Ft!C$2)^2)+Ft!C$7*EXP(Ft!C$40*($A463-Ft!C$2)^2)))</f>
        <v>2.2352429863554006E-20</v>
      </c>
      <c r="H463" s="3">
        <f>IF(($A463-Ft!D$2)&lt;0,Ft!D$3*((1-Ft!D$6)/(1+Ft!D$37*($A463-Ft!D$2)^2)+Ft!D$6*EXP(Ft!D$38*($A463-Ft!D$2)^2)),Ft!D$3*((1-Ft!D$7)/(1+Ft!D$39*($A463-Ft!D$2)^2)+Ft!D$7*EXP(Ft!D$40*($A463-Ft!D$2)^2)))</f>
        <v>0.12154344928866111</v>
      </c>
      <c r="I463" s="3">
        <f>IF(($A463-Ft!E$2)&lt;0,Ft!E$3*((1-Ft!E$6)/(1+Ft!E$37*($A463-Ft!E$2)^2)+Ft!E$6*EXP(Ft!E$38*($A463-Ft!E$2)^2)),Ft!E$3*((1-Ft!E$7)/(1+Ft!E$39*($A463-Ft!E$2)^2)+Ft!E$7*EXP(Ft!E$40*($A463-Ft!E$2)^2)))</f>
        <v>13.410005382278936</v>
      </c>
      <c r="J463" s="3">
        <f>IF(($A463-Ft!F$2)&lt;0,Ft!F$3*((1-Ft!F$6)/(1+Ft!F$37*($A463-Ft!F$2)^2)+Ft!F$6*EXP(Ft!F$38*($A463-Ft!F$2)^2)),Ft!F$3*((1-Ft!F$7)/(1+Ft!F$39*($A463-Ft!F$2)^2)+Ft!F$7*EXP(Ft!F$40*($A463-Ft!F$2)^2)))</f>
        <v>3.7344759707838432E-2</v>
      </c>
      <c r="K463" s="3">
        <f>IF(($A463-Ft!G$2)&lt;0,Ft!G$3*((1-Ft!G$6)/(1+Ft!G$37*($A463-Ft!G$2)^2)+Ft!G$6*EXP(Ft!G$38*($A463-Ft!G$2)^2)),Ft!G$3*((1-Ft!G$7)/(1+Ft!G$39*($A463-Ft!G$2)^2)+Ft!G$7*EXP(Ft!G$40*($A463-Ft!G$2)^2)))</f>
        <v>0</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v>924</v>
      </c>
      <c r="B464">
        <v>13.44606131195799</v>
      </c>
      <c r="C464" s="6">
        <f t="shared" si="15"/>
        <v>13.470444478847462</v>
      </c>
      <c r="D464" s="19">
        <f t="shared" si="16"/>
        <v>5.9453882755981422E-4</v>
      </c>
      <c r="E464" s="3">
        <f>Ft!$B$12+Ft!$B$14*(Data!A464-Vars!$B$3)</f>
        <v>0</v>
      </c>
      <c r="F464" s="3">
        <f>IF(($A464-Ft!B$2)&lt;0,Ft!B$3*((1-Ft!B$6)/(1+Ft!B$37*($A464-Ft!B$2)^2)+Ft!B$6*EXP(Ft!B$38*($A464-Ft!B$2)^2)),Ft!B$3*((1-Ft!B$7)/(1+Ft!B$39*($A464-Ft!B$2)^2)+Ft!B$7*EXP(Ft!B$40*($A464-Ft!B$2)^2)))</f>
        <v>0</v>
      </c>
      <c r="G464" s="3">
        <f>IF(($A464-Ft!C$2)&lt;0,Ft!C$3*((1-Ft!C$6)/(1+Ft!C$37*($A464-Ft!C$2)^2)+Ft!C$6*EXP(Ft!C$38*($A464-Ft!C$2)^2)),Ft!C$3*((1-Ft!C$7)/(1+Ft!C$39*($A464-Ft!C$2)^2)+Ft!C$7*EXP(Ft!C$40*($A464-Ft!C$2)^2)))</f>
        <v>1.752414834668718E-20</v>
      </c>
      <c r="H464" s="3">
        <f>IF(($A464-Ft!D$2)&lt;0,Ft!D$3*((1-Ft!D$6)/(1+Ft!D$37*($A464-Ft!D$2)^2)+Ft!D$6*EXP(Ft!D$38*($A464-Ft!D$2)^2)),Ft!D$3*((1-Ft!D$7)/(1+Ft!D$39*($A464-Ft!D$2)^2)+Ft!D$7*EXP(Ft!D$40*($A464-Ft!D$2)^2)))</f>
        <v>0.11663117982101701</v>
      </c>
      <c r="I464" s="3">
        <f>IF(($A464-Ft!E$2)&lt;0,Ft!E$3*((1-Ft!E$6)/(1+Ft!E$37*($A464-Ft!E$2)^2)+Ft!E$6*EXP(Ft!E$38*($A464-Ft!E$2)^2)),Ft!E$3*((1-Ft!E$7)/(1+Ft!E$39*($A464-Ft!E$2)^2)+Ft!E$7*EXP(Ft!E$40*($A464-Ft!E$2)^2)))</f>
        <v>13.308731727017641</v>
      </c>
      <c r="J464" s="3">
        <f>IF(($A464-Ft!F$2)&lt;0,Ft!F$3*((1-Ft!F$6)/(1+Ft!F$37*($A464-Ft!F$2)^2)+Ft!F$6*EXP(Ft!F$38*($A464-Ft!F$2)^2)),Ft!F$3*((1-Ft!F$7)/(1+Ft!F$39*($A464-Ft!F$2)^2)+Ft!F$7*EXP(Ft!F$40*($A464-Ft!F$2)^2)))</f>
        <v>4.5081572008804E-2</v>
      </c>
      <c r="K464" s="3">
        <f>IF(($A464-Ft!G$2)&lt;0,Ft!G$3*((1-Ft!G$6)/(1+Ft!G$37*($A464-Ft!G$2)^2)+Ft!G$6*EXP(Ft!G$38*($A464-Ft!G$2)^2)),Ft!G$3*((1-Ft!G$7)/(1+Ft!G$39*($A464-Ft!G$2)^2)+Ft!G$7*EXP(Ft!G$40*($A464-Ft!G$2)^2)))</f>
        <v>0</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v>926</v>
      </c>
      <c r="B465">
        <v>13.38578432261599</v>
      </c>
      <c r="C465" s="6">
        <f t="shared" si="15"/>
        <v>13.372481612525064</v>
      </c>
      <c r="D465" s="19">
        <f t="shared" si="16"/>
        <v>1.76962095763224E-4</v>
      </c>
      <c r="E465" s="3">
        <f>Ft!$B$12+Ft!$B$14*(Data!A465-Vars!$B$3)</f>
        <v>0</v>
      </c>
      <c r="F465" s="3">
        <f>IF(($A465-Ft!B$2)&lt;0,Ft!B$3*((1-Ft!B$6)/(1+Ft!B$37*($A465-Ft!B$2)^2)+Ft!B$6*EXP(Ft!B$38*($A465-Ft!B$2)^2)),Ft!B$3*((1-Ft!B$7)/(1+Ft!B$39*($A465-Ft!B$2)^2)+Ft!B$7*EXP(Ft!B$40*($A465-Ft!B$2)^2)))</f>
        <v>0</v>
      </c>
      <c r="G465" s="3">
        <f>IF(($A465-Ft!C$2)&lt;0,Ft!C$3*((1-Ft!C$6)/(1+Ft!C$37*($A465-Ft!C$2)^2)+Ft!C$6*EXP(Ft!C$38*($A465-Ft!C$2)^2)),Ft!C$3*((1-Ft!C$7)/(1+Ft!C$39*($A465-Ft!C$2)^2)+Ft!C$7*EXP(Ft!C$40*($A465-Ft!C$2)^2)))</f>
        <v>1.373027040875114E-20</v>
      </c>
      <c r="H465" s="3">
        <f>IF(($A465-Ft!D$2)&lt;0,Ft!D$3*((1-Ft!D$6)/(1+Ft!D$37*($A465-Ft!D$2)^2)+Ft!D$6*EXP(Ft!D$38*($A465-Ft!D$2)^2)),Ft!D$3*((1-Ft!D$7)/(1+Ft!D$39*($A465-Ft!D$2)^2)+Ft!D$7*EXP(Ft!D$40*($A465-Ft!D$2)^2)))</f>
        <v>0.11189840396233275</v>
      </c>
      <c r="I465" s="3">
        <f>IF(($A465-Ft!E$2)&lt;0,Ft!E$3*((1-Ft!E$6)/(1+Ft!E$37*($A465-Ft!E$2)^2)+Ft!E$6*EXP(Ft!E$38*($A465-Ft!E$2)^2)),Ft!E$3*((1-Ft!E$7)/(1+Ft!E$39*($A465-Ft!E$2)^2)+Ft!E$7*EXP(Ft!E$40*($A465-Ft!E$2)^2)))</f>
        <v>13.206350709704516</v>
      </c>
      <c r="J465" s="3">
        <f>IF(($A465-Ft!F$2)&lt;0,Ft!F$3*((1-Ft!F$6)/(1+Ft!F$37*($A465-Ft!F$2)^2)+Ft!F$6*EXP(Ft!F$38*($A465-Ft!F$2)^2)),Ft!F$3*((1-Ft!F$7)/(1+Ft!F$39*($A465-Ft!F$2)^2)+Ft!F$7*EXP(Ft!F$40*($A465-Ft!F$2)^2)))</f>
        <v>5.4232498858216592E-2</v>
      </c>
      <c r="K465" s="3">
        <f>IF(($A465-Ft!G$2)&lt;0,Ft!G$3*((1-Ft!G$6)/(1+Ft!G$37*($A465-Ft!G$2)^2)+Ft!G$6*EXP(Ft!G$38*($A465-Ft!G$2)^2)),Ft!G$3*((1-Ft!G$7)/(1+Ft!G$39*($A465-Ft!G$2)^2)+Ft!G$7*EXP(Ft!G$40*($A465-Ft!G$2)^2)))</f>
        <v>0</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v>928</v>
      </c>
      <c r="B466">
        <v>13.329978842125996</v>
      </c>
      <c r="C466" s="6">
        <f t="shared" si="15"/>
        <v>13.275253846789276</v>
      </c>
      <c r="D466" s="19">
        <f t="shared" si="16"/>
        <v>2.9948251146040177E-3</v>
      </c>
      <c r="E466" s="3">
        <f>Ft!$B$12+Ft!$B$14*(Data!A466-Vars!$B$3)</f>
        <v>0</v>
      </c>
      <c r="F466" s="3">
        <f>IF(($A466-Ft!B$2)&lt;0,Ft!B$3*((1-Ft!B$6)/(1+Ft!B$37*($A466-Ft!B$2)^2)+Ft!B$6*EXP(Ft!B$38*($A466-Ft!B$2)^2)),Ft!B$3*((1-Ft!B$7)/(1+Ft!B$39*($A466-Ft!B$2)^2)+Ft!B$7*EXP(Ft!B$40*($A466-Ft!B$2)^2)))</f>
        <v>0</v>
      </c>
      <c r="G466" s="3">
        <f>IF(($A466-Ft!C$2)&lt;0,Ft!C$3*((1-Ft!C$6)/(1+Ft!C$37*($A466-Ft!C$2)^2)+Ft!C$6*EXP(Ft!C$38*($A466-Ft!C$2)^2)),Ft!C$3*((1-Ft!C$7)/(1+Ft!C$39*($A466-Ft!C$2)^2)+Ft!C$7*EXP(Ft!C$40*($A466-Ft!C$2)^2)))</f>
        <v>1.0751059104499806E-20</v>
      </c>
      <c r="H466" s="3">
        <f>IF(($A466-Ft!D$2)&lt;0,Ft!D$3*((1-Ft!D$6)/(1+Ft!D$37*($A466-Ft!D$2)^2)+Ft!D$6*EXP(Ft!D$38*($A466-Ft!D$2)^2)),Ft!D$3*((1-Ft!D$7)/(1+Ft!D$39*($A466-Ft!D$2)^2)+Ft!D$7*EXP(Ft!D$40*($A466-Ft!D$2)^2)))</f>
        <v>0.1073394156540789</v>
      </c>
      <c r="I466" s="3">
        <f>IF(($A466-Ft!E$2)&lt;0,Ft!E$3*((1-Ft!E$6)/(1+Ft!E$37*($A466-Ft!E$2)^2)+Ft!E$6*EXP(Ft!E$38*($A466-Ft!E$2)^2)),Ft!E$3*((1-Ft!E$7)/(1+Ft!E$39*($A466-Ft!E$2)^2)+Ft!E$7*EXP(Ft!E$40*($A466-Ft!E$2)^2)))</f>
        <v>13.102899761238449</v>
      </c>
      <c r="J466" s="3">
        <f>IF(($A466-Ft!F$2)&lt;0,Ft!F$3*((1-Ft!F$6)/(1+Ft!F$37*($A466-Ft!F$2)^2)+Ft!F$6*EXP(Ft!F$38*($A466-Ft!F$2)^2)),Ft!F$3*((1-Ft!F$7)/(1+Ft!F$39*($A466-Ft!F$2)^2)+Ft!F$7*EXP(Ft!F$40*($A466-Ft!F$2)^2)))</f>
        <v>6.5014669896747521E-2</v>
      </c>
      <c r="K466" s="3">
        <f>IF(($A466-Ft!G$2)&lt;0,Ft!G$3*((1-Ft!G$6)/(1+Ft!G$37*($A466-Ft!G$2)^2)+Ft!G$6*EXP(Ft!G$38*($A466-Ft!G$2)^2)),Ft!G$3*((1-Ft!G$7)/(1+Ft!G$39*($A466-Ft!G$2)^2)+Ft!G$7*EXP(Ft!G$40*($A466-Ft!G$2)^2)))</f>
        <v>0</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v>930</v>
      </c>
      <c r="B467">
        <v>13.279534219862995</v>
      </c>
      <c r="C467" s="6">
        <f t="shared" si="15"/>
        <v>13.179035305191263</v>
      </c>
      <c r="D467" s="19">
        <f t="shared" si="16"/>
        <v>1.0100031850196091E-2</v>
      </c>
      <c r="E467" s="3">
        <f>Ft!$B$12+Ft!$B$14*(Data!A467-Vars!$B$3)</f>
        <v>0</v>
      </c>
      <c r="F467" s="3">
        <f>IF(($A467-Ft!B$2)&lt;0,Ft!B$3*((1-Ft!B$6)/(1+Ft!B$37*($A467-Ft!B$2)^2)+Ft!B$6*EXP(Ft!B$38*($A467-Ft!B$2)^2)),Ft!B$3*((1-Ft!B$7)/(1+Ft!B$39*($A467-Ft!B$2)^2)+Ft!B$7*EXP(Ft!B$40*($A467-Ft!B$2)^2)))</f>
        <v>0</v>
      </c>
      <c r="G467" s="3">
        <f>IF(($A467-Ft!C$2)&lt;0,Ft!C$3*((1-Ft!C$6)/(1+Ft!C$37*($A467-Ft!C$2)^2)+Ft!C$6*EXP(Ft!C$38*($A467-Ft!C$2)^2)),Ft!C$3*((1-Ft!C$7)/(1+Ft!C$39*($A467-Ft!C$2)^2)+Ft!C$7*EXP(Ft!C$40*($A467-Ft!C$2)^2)))</f>
        <v>8.4130486014385761E-21</v>
      </c>
      <c r="H467" s="3">
        <f>IF(($A467-Ft!D$2)&lt;0,Ft!D$3*((1-Ft!D$6)/(1+Ft!D$37*($A467-Ft!D$2)^2)+Ft!D$6*EXP(Ft!D$38*($A467-Ft!D$2)^2)),Ft!D$3*((1-Ft!D$7)/(1+Ft!D$39*($A467-Ft!D$2)^2)+Ft!D$7*EXP(Ft!D$40*($A467-Ft!D$2)^2)))</f>
        <v>0.10294865396225646</v>
      </c>
      <c r="I467" s="3">
        <f>IF(($A467-Ft!E$2)&lt;0,Ft!E$3*((1-Ft!E$6)/(1+Ft!E$37*($A467-Ft!E$2)^2)+Ft!E$6*EXP(Ft!E$38*($A467-Ft!E$2)^2)),Ft!E$3*((1-Ft!E$7)/(1+Ft!E$39*($A467-Ft!E$2)^2)+Ft!E$7*EXP(Ft!E$40*($A467-Ft!E$2)^2)))</f>
        <v>12.998416475145175</v>
      </c>
      <c r="J467" s="3">
        <f>IF(($A467-Ft!F$2)&lt;0,Ft!F$3*((1-Ft!F$6)/(1+Ft!F$37*($A467-Ft!F$2)^2)+Ft!F$6*EXP(Ft!F$38*($A467-Ft!F$2)^2)),Ft!F$3*((1-Ft!F$7)/(1+Ft!F$39*($A467-Ft!F$2)^2)+Ft!F$7*EXP(Ft!F$40*($A467-Ft!F$2)^2)))</f>
        <v>7.7670176083831297E-2</v>
      </c>
      <c r="K467" s="3">
        <f>IF(($A467-Ft!G$2)&lt;0,Ft!G$3*((1-Ft!G$6)/(1+Ft!G$37*($A467-Ft!G$2)^2)+Ft!G$6*EXP(Ft!G$38*($A467-Ft!G$2)^2)),Ft!G$3*((1-Ft!G$7)/(1+Ft!G$39*($A467-Ft!G$2)^2)+Ft!G$7*EXP(Ft!G$40*($A467-Ft!G$2)^2)))</f>
        <v>0</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v>932</v>
      </c>
      <c r="B468">
        <v>13.234312571061992</v>
      </c>
      <c r="C468" s="6">
        <f t="shared" si="15"/>
        <v>13.084126633402585</v>
      </c>
      <c r="D468" s="19">
        <f t="shared" si="16"/>
        <v>2.2555815870635158E-2</v>
      </c>
      <c r="E468" s="3">
        <f>Ft!$B$12+Ft!$B$14*(Data!A468-Vars!$B$3)</f>
        <v>0</v>
      </c>
      <c r="F468" s="3">
        <f>IF(($A468-Ft!B$2)&lt;0,Ft!B$3*((1-Ft!B$6)/(1+Ft!B$37*($A468-Ft!B$2)^2)+Ft!B$6*EXP(Ft!B$38*($A468-Ft!B$2)^2)),Ft!B$3*((1-Ft!B$7)/(1+Ft!B$39*($A468-Ft!B$2)^2)+Ft!B$7*EXP(Ft!B$40*($A468-Ft!B$2)^2)))</f>
        <v>0</v>
      </c>
      <c r="G468" s="3">
        <f>IF(($A468-Ft!C$2)&lt;0,Ft!C$3*((1-Ft!C$6)/(1+Ft!C$37*($A468-Ft!C$2)^2)+Ft!C$6*EXP(Ft!C$38*($A468-Ft!C$2)^2)),Ft!C$3*((1-Ft!C$7)/(1+Ft!C$39*($A468-Ft!C$2)^2)+Ft!C$7*EXP(Ft!C$40*($A468-Ft!C$2)^2)))</f>
        <v>6.5793885639396675E-21</v>
      </c>
      <c r="H468" s="3">
        <f>IF(($A468-Ft!D$2)&lt;0,Ft!D$3*((1-Ft!D$6)/(1+Ft!D$37*($A468-Ft!D$2)^2)+Ft!D$6*EXP(Ft!D$38*($A468-Ft!D$2)^2)),Ft!D$3*((1-Ft!D$7)/(1+Ft!D$39*($A468-Ft!D$2)^2)+Ft!D$7*EXP(Ft!D$40*($A468-Ft!D$2)^2)))</f>
        <v>9.8720700871370373E-2</v>
      </c>
      <c r="I468" s="3">
        <f>IF(($A468-Ft!E$2)&lt;0,Ft!E$3*((1-Ft!E$6)/(1+Ft!E$37*($A468-Ft!E$2)^2)+Ft!E$6*EXP(Ft!E$38*($A468-Ft!E$2)^2)),Ft!E$3*((1-Ft!E$7)/(1+Ft!E$39*($A468-Ft!E$2)^2)+Ft!E$7*EXP(Ft!E$40*($A468-Ft!E$2)^2)))</f>
        <v>12.892938585073077</v>
      </c>
      <c r="J468" s="3">
        <f>IF(($A468-Ft!F$2)&lt;0,Ft!F$3*((1-Ft!F$6)/(1+Ft!F$37*($A468-Ft!F$2)^2)+Ft!F$6*EXP(Ft!F$38*($A468-Ft!F$2)^2)),Ft!F$3*((1-Ft!F$7)/(1+Ft!F$39*($A468-Ft!F$2)^2)+Ft!F$7*EXP(Ft!F$40*($A468-Ft!F$2)^2)))</f>
        <v>9.2467347458138574E-2</v>
      </c>
      <c r="K468" s="3">
        <f>IF(($A468-Ft!G$2)&lt;0,Ft!G$3*((1-Ft!G$6)/(1+Ft!G$37*($A468-Ft!G$2)^2)+Ft!G$6*EXP(Ft!G$38*($A468-Ft!G$2)^2)),Ft!G$3*((1-Ft!G$7)/(1+Ft!G$39*($A468-Ft!G$2)^2)+Ft!G$7*EXP(Ft!G$40*($A468-Ft!G$2)^2)))</f>
        <v>0</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v>934</v>
      </c>
      <c r="B469">
        <v>13.19332341054799</v>
      </c>
      <c r="C469" s="6">
        <f t="shared" si="15"/>
        <v>12.990856005657626</v>
      </c>
      <c r="D469" s="19">
        <f t="shared" si="16"/>
        <v>4.0993050043038354E-2</v>
      </c>
      <c r="E469" s="3">
        <f>Ft!$B$12+Ft!$B$14*(Data!A469-Vars!$B$3)</f>
        <v>0</v>
      </c>
      <c r="F469" s="3">
        <f>IF(($A469-Ft!B$2)&lt;0,Ft!B$3*((1-Ft!B$6)/(1+Ft!B$37*($A469-Ft!B$2)^2)+Ft!B$6*EXP(Ft!B$38*($A469-Ft!B$2)^2)),Ft!B$3*((1-Ft!B$7)/(1+Ft!B$39*($A469-Ft!B$2)^2)+Ft!B$7*EXP(Ft!B$40*($A469-Ft!B$2)^2)))</f>
        <v>0</v>
      </c>
      <c r="G469" s="3">
        <f>IF(($A469-Ft!C$2)&lt;0,Ft!C$3*((1-Ft!C$6)/(1+Ft!C$37*($A469-Ft!C$2)^2)+Ft!C$6*EXP(Ft!C$38*($A469-Ft!C$2)^2)),Ft!C$3*((1-Ft!C$7)/(1+Ft!C$39*($A469-Ft!C$2)^2)+Ft!C$7*EXP(Ft!C$40*($A469-Ft!C$2)^2)))</f>
        <v>5.1421845936742197E-21</v>
      </c>
      <c r="H469" s="3">
        <f>IF(($A469-Ft!D$2)&lt;0,Ft!D$3*((1-Ft!D$6)/(1+Ft!D$37*($A469-Ft!D$2)^2)+Ft!D$6*EXP(Ft!D$38*($A469-Ft!D$2)^2)),Ft!D$3*((1-Ft!D$7)/(1+Ft!D$39*($A469-Ft!D$2)^2)+Ft!D$7*EXP(Ft!D$40*($A469-Ft!D$2)^2)))</f>
        <v>9.4650279049394312E-2</v>
      </c>
      <c r="I469" s="3">
        <f>IF(($A469-Ft!E$2)&lt;0,Ft!E$3*((1-Ft!E$6)/(1+Ft!E$37*($A469-Ft!E$2)^2)+Ft!E$6*EXP(Ft!E$38*($A469-Ft!E$2)^2)),Ft!E$3*((1-Ft!E$7)/(1+Ft!E$39*($A469-Ft!E$2)^2)+Ft!E$7*EXP(Ft!E$40*($A469-Ft!E$2)^2)))</f>
        <v>12.786503942367938</v>
      </c>
      <c r="J469" s="3">
        <f>IF(($A469-Ft!F$2)&lt;0,Ft!F$3*((1-Ft!F$6)/(1+Ft!F$37*($A469-Ft!F$2)^2)+Ft!F$6*EXP(Ft!F$38*($A469-Ft!F$2)^2)),Ft!F$3*((1-Ft!F$7)/(1+Ft!F$39*($A469-Ft!F$2)^2)+Ft!F$7*EXP(Ft!F$40*($A469-Ft!F$2)^2)))</f>
        <v>0.10970178424029393</v>
      </c>
      <c r="K469" s="3">
        <f>IF(($A469-Ft!G$2)&lt;0,Ft!G$3*((1-Ft!G$6)/(1+Ft!G$37*($A469-Ft!G$2)^2)+Ft!G$6*EXP(Ft!G$38*($A469-Ft!G$2)^2)),Ft!G$3*((1-Ft!G$7)/(1+Ft!G$39*($A469-Ft!G$2)^2)+Ft!G$7*EXP(Ft!G$40*($A469-Ft!G$2)^2)))</f>
        <v>0</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v>936</v>
      </c>
      <c r="B470">
        <v>13.155576253145995</v>
      </c>
      <c r="C470" s="6">
        <f t="shared" si="15"/>
        <v>12.899579813256031</v>
      </c>
      <c r="D470" s="19">
        <f t="shared" si="16"/>
        <v>6.5534177236336019E-2</v>
      </c>
      <c r="E470" s="3">
        <f>Ft!$B$12+Ft!$B$14*(Data!A470-Vars!$B$3)</f>
        <v>0</v>
      </c>
      <c r="F470" s="3">
        <f>IF(($A470-Ft!B$2)&lt;0,Ft!B$3*((1-Ft!B$6)/(1+Ft!B$37*($A470-Ft!B$2)^2)+Ft!B$6*EXP(Ft!B$38*($A470-Ft!B$2)^2)),Ft!B$3*((1-Ft!B$7)/(1+Ft!B$39*($A470-Ft!B$2)^2)+Ft!B$7*EXP(Ft!B$40*($A470-Ft!B$2)^2)))</f>
        <v>0</v>
      </c>
      <c r="G470" s="3">
        <f>IF(($A470-Ft!C$2)&lt;0,Ft!C$3*((1-Ft!C$6)/(1+Ft!C$37*($A470-Ft!C$2)^2)+Ft!C$6*EXP(Ft!C$38*($A470-Ft!C$2)^2)),Ft!C$3*((1-Ft!C$7)/(1+Ft!C$39*($A470-Ft!C$2)^2)+Ft!C$7*EXP(Ft!C$40*($A470-Ft!C$2)^2)))</f>
        <v>4.0164260900019439E-21</v>
      </c>
      <c r="H470" s="3">
        <f>IF(($A470-Ft!D$2)&lt;0,Ft!D$3*((1-Ft!D$6)/(1+Ft!D$37*($A470-Ft!D$2)^2)+Ft!D$6*EXP(Ft!D$38*($A470-Ft!D$2)^2)),Ft!D$3*((1-Ft!D$7)/(1+Ft!D$39*($A470-Ft!D$2)^2)+Ft!D$7*EXP(Ft!D$40*($A470-Ft!D$2)^2)))</f>
        <v>9.0732249587148955E-2</v>
      </c>
      <c r="I470" s="3">
        <f>IF(($A470-Ft!E$2)&lt;0,Ft!E$3*((1-Ft!E$6)/(1+Ft!E$37*($A470-Ft!E$2)^2)+Ft!E$6*EXP(Ft!E$38*($A470-Ft!E$2)^2)),Ft!E$3*((1-Ft!E$7)/(1+Ft!E$39*($A470-Ft!E$2)^2)+Ft!E$7*EXP(Ft!E$40*($A470-Ft!E$2)^2)))</f>
        <v>12.679150493744999</v>
      </c>
      <c r="J470" s="3">
        <f>IF(($A470-Ft!F$2)&lt;0,Ft!F$3*((1-Ft!F$6)/(1+Ft!F$37*($A470-Ft!F$2)^2)+Ft!F$6*EXP(Ft!F$38*($A470-Ft!F$2)^2)),Ft!F$3*((1-Ft!F$7)/(1+Ft!F$39*($A470-Ft!F$2)^2)+Ft!F$7*EXP(Ft!F$40*($A470-Ft!F$2)^2)))</f>
        <v>0.12969706992388444</v>
      </c>
      <c r="K470" s="3">
        <f>IF(($A470-Ft!G$2)&lt;0,Ft!G$3*((1-Ft!G$6)/(1+Ft!G$37*($A470-Ft!G$2)^2)+Ft!G$6*EXP(Ft!G$38*($A470-Ft!G$2)^2)),Ft!G$3*((1-Ft!G$7)/(1+Ft!G$39*($A470-Ft!G$2)^2)+Ft!G$7*EXP(Ft!G$40*($A470-Ft!G$2)^2)))</f>
        <v>0</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v>938</v>
      </c>
      <c r="B471">
        <v>13.120080613679988</v>
      </c>
      <c r="C471" s="6">
        <f t="shared" si="15"/>
        <v>12.810682958499992</v>
      </c>
      <c r="D471" s="19">
        <f t="shared" si="16"/>
        <v>9.5726909030879812E-2</v>
      </c>
      <c r="E471" s="3">
        <f>Ft!$B$12+Ft!$B$14*(Data!A471-Vars!$B$3)</f>
        <v>0</v>
      </c>
      <c r="F471" s="3">
        <f>IF(($A471-Ft!B$2)&lt;0,Ft!B$3*((1-Ft!B$6)/(1+Ft!B$37*($A471-Ft!B$2)^2)+Ft!B$6*EXP(Ft!B$38*($A471-Ft!B$2)^2)),Ft!B$3*((1-Ft!B$7)/(1+Ft!B$39*($A471-Ft!B$2)^2)+Ft!B$7*EXP(Ft!B$40*($A471-Ft!B$2)^2)))</f>
        <v>0</v>
      </c>
      <c r="G471" s="3">
        <f>IF(($A471-Ft!C$2)&lt;0,Ft!C$3*((1-Ft!C$6)/(1+Ft!C$37*($A471-Ft!C$2)^2)+Ft!C$6*EXP(Ft!C$38*($A471-Ft!C$2)^2)),Ft!C$3*((1-Ft!C$7)/(1+Ft!C$39*($A471-Ft!C$2)^2)+Ft!C$7*EXP(Ft!C$40*($A471-Ft!C$2)^2)))</f>
        <v>3.1351757089419309E-21</v>
      </c>
      <c r="H471" s="3">
        <f>IF(($A471-Ft!D$2)&lt;0,Ft!D$3*((1-Ft!D$6)/(1+Ft!D$37*($A471-Ft!D$2)^2)+Ft!D$6*EXP(Ft!D$38*($A471-Ft!D$2)^2)),Ft!D$3*((1-Ft!D$7)/(1+Ft!D$39*($A471-Ft!D$2)^2)+Ft!D$7*EXP(Ft!D$40*($A471-Ft!D$2)^2)))</f>
        <v>8.6961609715403163E-2</v>
      </c>
      <c r="I471" s="3">
        <f>IF(($A471-Ft!E$2)&lt;0,Ft!E$3*((1-Ft!E$6)/(1+Ft!E$37*($A471-Ft!E$2)^2)+Ft!E$6*EXP(Ft!E$38*($A471-Ft!E$2)^2)),Ft!E$3*((1-Ft!E$7)/(1+Ft!E$39*($A471-Ft!E$2)^2)+Ft!E$7*EXP(Ft!E$40*($A471-Ft!E$2)^2)))</f>
        <v>12.57091625907646</v>
      </c>
      <c r="J471" s="3">
        <f>IF(($A471-Ft!F$2)&lt;0,Ft!F$3*((1-Ft!F$6)/(1+Ft!F$37*($A471-Ft!F$2)^2)+Ft!F$6*EXP(Ft!F$38*($A471-Ft!F$2)^2)),Ft!F$3*((1-Ft!F$7)/(1+Ft!F$39*($A471-Ft!F$2)^2)+Ft!F$7*EXP(Ft!F$40*($A471-Ft!F$2)^2)))</f>
        <v>0.15280508970812878</v>
      </c>
      <c r="K471" s="3">
        <f>IF(($A471-Ft!G$2)&lt;0,Ft!G$3*((1-Ft!G$6)/(1+Ft!G$37*($A471-Ft!G$2)^2)+Ft!G$6*EXP(Ft!G$38*($A471-Ft!G$2)^2)),Ft!G$3*((1-Ft!G$7)/(1+Ft!G$39*($A471-Ft!G$2)^2)+Ft!G$7*EXP(Ft!G$40*($A471-Ft!G$2)^2)))</f>
        <v>0</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v>940</v>
      </c>
      <c r="B472">
        <v>13.085846006973995</v>
      </c>
      <c r="C472" s="6">
        <f t="shared" si="15"/>
        <v>12.724578673457698</v>
      </c>
      <c r="D472" s="19">
        <f t="shared" si="16"/>
        <v>0.13051408626597538</v>
      </c>
      <c r="E472" s="3">
        <f>Ft!$B$12+Ft!$B$14*(Data!A472-Vars!$B$3)</f>
        <v>0</v>
      </c>
      <c r="F472" s="3">
        <f>IF(($A472-Ft!B$2)&lt;0,Ft!B$3*((1-Ft!B$6)/(1+Ft!B$37*($A472-Ft!B$2)^2)+Ft!B$6*EXP(Ft!B$38*($A472-Ft!B$2)^2)),Ft!B$3*((1-Ft!B$7)/(1+Ft!B$39*($A472-Ft!B$2)^2)+Ft!B$7*EXP(Ft!B$40*($A472-Ft!B$2)^2)))</f>
        <v>0</v>
      </c>
      <c r="G472" s="3">
        <f>IF(($A472-Ft!C$2)&lt;0,Ft!C$3*((1-Ft!C$6)/(1+Ft!C$37*($A472-Ft!C$2)^2)+Ft!C$6*EXP(Ft!C$38*($A472-Ft!C$2)^2)),Ft!C$3*((1-Ft!C$7)/(1+Ft!C$39*($A472-Ft!C$2)^2)+Ft!C$7*EXP(Ft!C$40*($A472-Ft!C$2)^2)))</f>
        <v>2.4457608065804084E-21</v>
      </c>
      <c r="H472" s="3">
        <f>IF(($A472-Ft!D$2)&lt;0,Ft!D$3*((1-Ft!D$6)/(1+Ft!D$37*($A472-Ft!D$2)^2)+Ft!D$6*EXP(Ft!D$38*($A472-Ft!D$2)^2)),Ft!D$3*((1-Ft!D$7)/(1+Ft!D$39*($A472-Ft!D$2)^2)+Ft!D$7*EXP(Ft!D$40*($A472-Ft!D$2)^2)))</f>
        <v>8.3333490502898705E-2</v>
      </c>
      <c r="I472" s="3">
        <f>IF(($A472-Ft!E$2)&lt;0,Ft!E$3*((1-Ft!E$6)/(1+Ft!E$37*($A472-Ft!E$2)^2)+Ft!E$6*EXP(Ft!E$38*($A472-Ft!E$2)^2)),Ft!E$3*((1-Ft!E$7)/(1+Ft!E$39*($A472-Ft!E$2)^2)+Ft!E$7*EXP(Ft!E$40*($A472-Ft!E$2)^2)))</f>
        <v>12.461839309312273</v>
      </c>
      <c r="J472" s="3">
        <f>IF(($A472-Ft!F$2)&lt;0,Ft!F$3*((1-Ft!F$6)/(1+Ft!F$37*($A472-Ft!F$2)^2)+Ft!F$6*EXP(Ft!F$38*($A472-Ft!F$2)^2)),Ft!F$3*((1-Ft!F$7)/(1+Ft!F$39*($A472-Ft!F$2)^2)+Ft!F$7*EXP(Ft!F$40*($A472-Ft!F$2)^2)))</f>
        <v>0.1794058736425268</v>
      </c>
      <c r="K472" s="3">
        <f>IF(($A472-Ft!G$2)&lt;0,Ft!G$3*((1-Ft!G$6)/(1+Ft!G$37*($A472-Ft!G$2)^2)+Ft!G$6*EXP(Ft!G$38*($A472-Ft!G$2)^2)),Ft!G$3*((1-Ft!G$7)/(1+Ft!G$39*($A472-Ft!G$2)^2)+Ft!G$7*EXP(Ft!G$40*($A472-Ft!G$2)^2)))</f>
        <v>0</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v>942</v>
      </c>
      <c r="B473">
        <v>13.051881947852991</v>
      </c>
      <c r="C473" s="6">
        <f t="shared" si="15"/>
        <v>12.641707780651831</v>
      </c>
      <c r="D473" s="19">
        <f t="shared" si="16"/>
        <v>0.16824284743916448</v>
      </c>
      <c r="E473" s="3">
        <f>Ft!$B$12+Ft!$B$14*(Data!A473-Vars!$B$3)</f>
        <v>0</v>
      </c>
      <c r="F473" s="3">
        <f>IF(($A473-Ft!B$2)&lt;0,Ft!B$3*((1-Ft!B$6)/(1+Ft!B$37*($A473-Ft!B$2)^2)+Ft!B$6*EXP(Ft!B$38*($A473-Ft!B$2)^2)),Ft!B$3*((1-Ft!B$7)/(1+Ft!B$39*($A473-Ft!B$2)^2)+Ft!B$7*EXP(Ft!B$40*($A473-Ft!B$2)^2)))</f>
        <v>0</v>
      </c>
      <c r="G473" s="3">
        <f>IF(($A473-Ft!C$2)&lt;0,Ft!C$3*((1-Ft!C$6)/(1+Ft!C$37*($A473-Ft!C$2)^2)+Ft!C$6*EXP(Ft!C$38*($A473-Ft!C$2)^2)),Ft!C$3*((1-Ft!C$7)/(1+Ft!C$39*($A473-Ft!C$2)^2)+Ft!C$7*EXP(Ft!C$40*($A473-Ft!C$2)^2)))</f>
        <v>1.9067601464441984E-21</v>
      </c>
      <c r="H473" s="3">
        <f>IF(($A473-Ft!D$2)&lt;0,Ft!D$3*((1-Ft!D$6)/(1+Ft!D$37*($A473-Ft!D$2)^2)+Ft!D$6*EXP(Ft!D$38*($A473-Ft!D$2)^2)),Ft!D$3*((1-Ft!D$7)/(1+Ft!D$39*($A473-Ft!D$2)^2)+Ft!D$7*EXP(Ft!D$40*($A473-Ft!D$2)^2)))</f>
        <v>7.9843154538388209E-2</v>
      </c>
      <c r="I473" s="3">
        <f>IF(($A473-Ft!E$2)&lt;0,Ft!E$3*((1-Ft!E$6)/(1+Ft!E$37*($A473-Ft!E$2)^2)+Ft!E$6*EXP(Ft!E$38*($A473-Ft!E$2)^2)),Ft!E$3*((1-Ft!E$7)/(1+Ft!E$39*($A473-Ft!E$2)^2)+Ft!E$7*EXP(Ft!E$40*($A473-Ft!E$2)^2)))</f>
        <v>12.351957744551781</v>
      </c>
      <c r="J473" s="3">
        <f>IF(($A473-Ft!F$2)&lt;0,Ft!F$3*((1-Ft!F$6)/(1+Ft!F$37*($A473-Ft!F$2)^2)+Ft!F$6*EXP(Ft!F$38*($A473-Ft!F$2)^2)),Ft!F$3*((1-Ft!F$7)/(1+Ft!F$39*($A473-Ft!F$2)^2)+Ft!F$7*EXP(Ft!F$40*($A473-Ft!F$2)^2)))</f>
        <v>0.20990688156166326</v>
      </c>
      <c r="K473" s="3">
        <f>IF(($A473-Ft!G$2)&lt;0,Ft!G$3*((1-Ft!G$6)/(1+Ft!G$37*($A473-Ft!G$2)^2)+Ft!G$6*EXP(Ft!G$38*($A473-Ft!G$2)^2)),Ft!G$3*((1-Ft!G$7)/(1+Ft!G$39*($A473-Ft!G$2)^2)+Ft!G$7*EXP(Ft!G$40*($A473-Ft!G$2)^2)))</f>
        <v>0</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v>944</v>
      </c>
      <c r="B474">
        <v>13.017197951141</v>
      </c>
      <c r="C474" s="6">
        <f t="shared" si="15"/>
        <v>12.562537312558719</v>
      </c>
      <c r="D474" s="19">
        <f t="shared" si="16"/>
        <v>0.20671629627604746</v>
      </c>
      <c r="E474" s="3">
        <f>Ft!$B$12+Ft!$B$14*(Data!A474-Vars!$B$3)</f>
        <v>0</v>
      </c>
      <c r="F474" s="3">
        <f>IF(($A474-Ft!B$2)&lt;0,Ft!B$3*((1-Ft!B$6)/(1+Ft!B$37*($A474-Ft!B$2)^2)+Ft!B$6*EXP(Ft!B$38*($A474-Ft!B$2)^2)),Ft!B$3*((1-Ft!B$7)/(1+Ft!B$39*($A474-Ft!B$2)^2)+Ft!B$7*EXP(Ft!B$40*($A474-Ft!B$2)^2)))</f>
        <v>0</v>
      </c>
      <c r="G474" s="3">
        <f>IF(($A474-Ft!C$2)&lt;0,Ft!C$3*((1-Ft!C$6)/(1+Ft!C$37*($A474-Ft!C$2)^2)+Ft!C$6*EXP(Ft!C$38*($A474-Ft!C$2)^2)),Ft!C$3*((1-Ft!C$7)/(1+Ft!C$39*($A474-Ft!C$2)^2)+Ft!C$7*EXP(Ft!C$40*($A474-Ft!C$2)^2)))</f>
        <v>1.4856213787103641E-21</v>
      </c>
      <c r="H474" s="3">
        <f>IF(($A474-Ft!D$2)&lt;0,Ft!D$3*((1-Ft!D$6)/(1+Ft!D$37*($A474-Ft!D$2)^2)+Ft!D$6*EXP(Ft!D$38*($A474-Ft!D$2)^2)),Ft!D$3*((1-Ft!D$7)/(1+Ft!D$39*($A474-Ft!D$2)^2)+Ft!D$7*EXP(Ft!D$40*($A474-Ft!D$2)^2)))</f>
        <v>7.648599359966686E-2</v>
      </c>
      <c r="I474" s="3">
        <f>IF(($A474-Ft!E$2)&lt;0,Ft!E$3*((1-Ft!E$6)/(1+Ft!E$37*($A474-Ft!E$2)^2)+Ft!E$6*EXP(Ft!E$38*($A474-Ft!E$2)^2)),Ft!E$3*((1-Ft!E$7)/(1+Ft!E$39*($A474-Ft!E$2)^2)+Ft!E$7*EXP(Ft!E$40*($A474-Ft!E$2)^2)))</f>
        <v>12.241309672283544</v>
      </c>
      <c r="J474" s="3">
        <f>IF(($A474-Ft!F$2)&lt;0,Ft!F$3*((1-Ft!F$6)/(1+Ft!F$37*($A474-Ft!F$2)^2)+Ft!F$6*EXP(Ft!F$38*($A474-Ft!F$2)^2)),Ft!F$3*((1-Ft!F$7)/(1+Ft!F$39*($A474-Ft!F$2)^2)+Ft!F$7*EXP(Ft!F$40*($A474-Ft!F$2)^2)))</f>
        <v>0.24474164667550954</v>
      </c>
      <c r="K474" s="3">
        <f>IF(($A474-Ft!G$2)&lt;0,Ft!G$3*((1-Ft!G$6)/(1+Ft!G$37*($A474-Ft!G$2)^2)+Ft!G$6*EXP(Ft!G$38*($A474-Ft!G$2)^2)),Ft!G$3*((1-Ft!G$7)/(1+Ft!G$39*($A474-Ft!G$2)^2)+Ft!G$7*EXP(Ft!G$40*($A474-Ft!G$2)^2)))</f>
        <v>0</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v>946</v>
      </c>
      <c r="B475">
        <v>12.981685264812</v>
      </c>
      <c r="C475" s="6">
        <f t="shared" si="15"/>
        <v>12.487558409050679</v>
      </c>
      <c r="D475" s="19">
        <f t="shared" si="16"/>
        <v>0.24416134958456931</v>
      </c>
      <c r="E475" s="3">
        <f>Ft!$B$12+Ft!$B$14*(Data!A475-Vars!$B$3)</f>
        <v>0</v>
      </c>
      <c r="F475" s="3">
        <f>IF(($A475-Ft!B$2)&lt;0,Ft!B$3*((1-Ft!B$6)/(1+Ft!B$37*($A475-Ft!B$2)^2)+Ft!B$6*EXP(Ft!B$38*($A475-Ft!B$2)^2)),Ft!B$3*((1-Ft!B$7)/(1+Ft!B$39*($A475-Ft!B$2)^2)+Ft!B$7*EXP(Ft!B$40*($A475-Ft!B$2)^2)))</f>
        <v>0</v>
      </c>
      <c r="G475" s="3">
        <f>IF(($A475-Ft!C$2)&lt;0,Ft!C$3*((1-Ft!C$6)/(1+Ft!C$37*($A475-Ft!C$2)^2)+Ft!C$6*EXP(Ft!C$38*($A475-Ft!C$2)^2)),Ft!C$3*((1-Ft!C$7)/(1+Ft!C$39*($A475-Ft!C$2)^2)+Ft!C$7*EXP(Ft!C$40*($A475-Ft!C$2)^2)))</f>
        <v>1.1567784895444404E-21</v>
      </c>
      <c r="H475" s="3">
        <f>IF(($A475-Ft!D$2)&lt;0,Ft!D$3*((1-Ft!D$6)/(1+Ft!D$37*($A475-Ft!D$2)^2)+Ft!D$6*EXP(Ft!D$38*($A475-Ft!D$2)^2)),Ft!D$3*((1-Ft!D$7)/(1+Ft!D$39*($A475-Ft!D$2)^2)+Ft!D$7*EXP(Ft!D$40*($A475-Ft!D$2)^2)))</f>
        <v>7.3257526312470095E-2</v>
      </c>
      <c r="I475" s="3">
        <f>IF(($A475-Ft!E$2)&lt;0,Ft!E$3*((1-Ft!E$6)/(1+Ft!E$37*($A475-Ft!E$2)^2)+Ft!E$6*EXP(Ft!E$38*($A475-Ft!E$2)^2)),Ft!E$3*((1-Ft!E$7)/(1+Ft!E$39*($A475-Ft!E$2)^2)+Ft!E$7*EXP(Ft!E$40*($A475-Ft!E$2)^2)))</f>
        <v>12.129933185810257</v>
      </c>
      <c r="J475" s="3">
        <f>IF(($A475-Ft!F$2)&lt;0,Ft!F$3*((1-Ft!F$6)/(1+Ft!F$37*($A475-Ft!F$2)^2)+Ft!F$6*EXP(Ft!F$38*($A475-Ft!F$2)^2)),Ft!F$3*((1-Ft!F$7)/(1+Ft!F$39*($A475-Ft!F$2)^2)+Ft!F$7*EXP(Ft!F$40*($A475-Ft!F$2)^2)))</f>
        <v>0.28436769692795127</v>
      </c>
      <c r="K475" s="3">
        <f>IF(($A475-Ft!G$2)&lt;0,Ft!G$3*((1-Ft!G$6)/(1+Ft!G$37*($A475-Ft!G$2)^2)+Ft!G$6*EXP(Ft!G$38*($A475-Ft!G$2)^2)),Ft!G$3*((1-Ft!G$7)/(1+Ft!G$39*($A475-Ft!G$2)^2)+Ft!G$7*EXP(Ft!G$40*($A475-Ft!G$2)^2)))</f>
        <v>0</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v>948</v>
      </c>
      <c r="B476">
        <v>12.946292274488997</v>
      </c>
      <c r="C476" s="6">
        <f t="shared" si="15"/>
        <v>12.417283416977492</v>
      </c>
      <c r="D476" s="19">
        <f t="shared" si="16"/>
        <v>0.2798503713256274</v>
      </c>
      <c r="E476" s="3">
        <f>Ft!$B$12+Ft!$B$14*(Data!A476-Vars!$B$3)</f>
        <v>0</v>
      </c>
      <c r="F476" s="3">
        <f>IF(($A476-Ft!B$2)&lt;0,Ft!B$3*((1-Ft!B$6)/(1+Ft!B$37*($A476-Ft!B$2)^2)+Ft!B$6*EXP(Ft!B$38*($A476-Ft!B$2)^2)),Ft!B$3*((1-Ft!B$7)/(1+Ft!B$39*($A476-Ft!B$2)^2)+Ft!B$7*EXP(Ft!B$40*($A476-Ft!B$2)^2)))</f>
        <v>0</v>
      </c>
      <c r="G476" s="3">
        <f>IF(($A476-Ft!C$2)&lt;0,Ft!C$3*((1-Ft!C$6)/(1+Ft!C$37*($A476-Ft!C$2)^2)+Ft!C$6*EXP(Ft!C$38*($A476-Ft!C$2)^2)),Ft!C$3*((1-Ft!C$7)/(1+Ft!C$39*($A476-Ft!C$2)^2)+Ft!C$7*EXP(Ft!C$40*($A476-Ft!C$2)^2)))</f>
        <v>9.0016527918437404E-22</v>
      </c>
      <c r="H476" s="3">
        <f>IF(($A476-Ft!D$2)&lt;0,Ft!D$3*((1-Ft!D$6)/(1+Ft!D$37*($A476-Ft!D$2)^2)+Ft!D$6*EXP(Ft!D$38*($A476-Ft!D$2)^2)),Ft!D$3*((1-Ft!D$7)/(1+Ft!D$39*($A476-Ft!D$2)^2)+Ft!D$7*EXP(Ft!D$40*($A476-Ft!D$2)^2)))</f>
        <v>7.0153395801999835E-2</v>
      </c>
      <c r="I476" s="3">
        <f>IF(($A476-Ft!E$2)&lt;0,Ft!E$3*((1-Ft!E$6)/(1+Ft!E$37*($A476-Ft!E$2)^2)+Ft!E$6*EXP(Ft!E$38*($A476-Ft!E$2)^2)),Ft!E$3*((1-Ft!E$7)/(1+Ft!E$39*($A476-Ft!E$2)^2)+Ft!E$7*EXP(Ft!E$40*($A476-Ft!E$2)^2)))</f>
        <v>12.017866342875422</v>
      </c>
      <c r="J476" s="3">
        <f>IF(($A476-Ft!F$2)&lt;0,Ft!F$3*((1-Ft!F$6)/(1+Ft!F$37*($A476-Ft!F$2)^2)+Ft!F$6*EXP(Ft!F$38*($A476-Ft!F$2)^2)),Ft!F$3*((1-Ft!F$7)/(1+Ft!F$39*($A476-Ft!F$2)^2)+Ft!F$7*EXP(Ft!F$40*($A476-Ft!F$2)^2)))</f>
        <v>0.32926367830006886</v>
      </c>
      <c r="K476" s="3">
        <f>IF(($A476-Ft!G$2)&lt;0,Ft!G$3*((1-Ft!G$6)/(1+Ft!G$37*($A476-Ft!G$2)^2)+Ft!G$6*EXP(Ft!G$38*($A476-Ft!G$2)^2)),Ft!G$3*((1-Ft!G$7)/(1+Ft!G$39*($A476-Ft!G$2)^2)+Ft!G$7*EXP(Ft!G$40*($A476-Ft!G$2)^2)))</f>
        <v>0</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v>950</v>
      </c>
      <c r="B477">
        <v>12.911614201471991</v>
      </c>
      <c r="C477" s="6">
        <f t="shared" si="15"/>
        <v>12.352242124275293</v>
      </c>
      <c r="D477" s="19">
        <f t="shared" si="16"/>
        <v>0.31289712074734932</v>
      </c>
      <c r="E477" s="3">
        <f>Ft!$B$12+Ft!$B$14*(Data!A477-Vars!$B$3)</f>
        <v>0</v>
      </c>
      <c r="F477" s="3">
        <f>IF(($A477-Ft!B$2)&lt;0,Ft!B$3*((1-Ft!B$6)/(1+Ft!B$37*($A477-Ft!B$2)^2)+Ft!B$6*EXP(Ft!B$38*($A477-Ft!B$2)^2)),Ft!B$3*((1-Ft!B$7)/(1+Ft!B$39*($A477-Ft!B$2)^2)+Ft!B$7*EXP(Ft!B$40*($A477-Ft!B$2)^2)))</f>
        <v>0</v>
      </c>
      <c r="G477" s="3">
        <f>IF(($A477-Ft!C$2)&lt;0,Ft!C$3*((1-Ft!C$6)/(1+Ft!C$37*($A477-Ft!C$2)^2)+Ft!C$6*EXP(Ft!C$38*($A477-Ft!C$2)^2)),Ft!C$3*((1-Ft!C$7)/(1+Ft!C$39*($A477-Ft!C$2)^2)+Ft!C$7*EXP(Ft!C$40*($A477-Ft!C$2)^2)))</f>
        <v>7.0004232762178991E-22</v>
      </c>
      <c r="H477" s="3">
        <f>IF(($A477-Ft!D$2)&lt;0,Ft!D$3*((1-Ft!D$6)/(1+Ft!D$37*($A477-Ft!D$2)^2)+Ft!D$6*EXP(Ft!D$38*($A477-Ft!D$2)^2)),Ft!D$3*((1-Ft!D$7)/(1+Ft!D$39*($A477-Ft!D$2)^2)+Ft!D$7*EXP(Ft!D$40*($A477-Ft!D$2)^2)))</f>
        <v>6.7169367339736122E-2</v>
      </c>
      <c r="I477" s="3">
        <f>IF(($A477-Ft!E$2)&lt;0,Ft!E$3*((1-Ft!E$6)/(1+Ft!E$37*($A477-Ft!E$2)^2)+Ft!E$6*EXP(Ft!E$38*($A477-Ft!E$2)^2)),Ft!E$3*((1-Ft!E$7)/(1+Ft!E$39*($A477-Ft!E$2)^2)+Ft!E$7*EXP(Ft!E$40*($A477-Ft!E$2)^2)))</f>
        <v>11.905147144508062</v>
      </c>
      <c r="J477" s="3">
        <f>IF(($A477-Ft!F$2)&lt;0,Ft!F$3*((1-Ft!F$6)/(1+Ft!F$37*($A477-Ft!F$2)^2)+Ft!F$6*EXP(Ft!F$38*($A477-Ft!F$2)^2)),Ft!F$3*((1-Ft!F$7)/(1+Ft!F$39*($A477-Ft!F$2)^2)+Ft!F$7*EXP(Ft!F$40*($A477-Ft!F$2)^2)))</f>
        <v>0.37992561242749479</v>
      </c>
      <c r="K477" s="3">
        <f>IF(($A477-Ft!G$2)&lt;0,Ft!G$3*((1-Ft!G$6)/(1+Ft!G$37*($A477-Ft!G$2)^2)+Ft!G$6*EXP(Ft!G$38*($A477-Ft!G$2)^2)),Ft!G$3*((1-Ft!G$7)/(1+Ft!G$39*($A477-Ft!G$2)^2)+Ft!G$7*EXP(Ft!G$40*($A477-Ft!G$2)^2)))</f>
        <v>0</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v>952</v>
      </c>
      <c r="B478">
        <v>12.878246267058998</v>
      </c>
      <c r="C478" s="6">
        <f t="shared" si="15"/>
        <v>12.292977072561015</v>
      </c>
      <c r="D478" s="19">
        <f t="shared" si="16"/>
        <v>0.34254003002831718</v>
      </c>
      <c r="E478" s="3">
        <f>Ft!$B$12+Ft!$B$14*(Data!A478-Vars!$B$3)</f>
        <v>0</v>
      </c>
      <c r="F478" s="3">
        <f>IF(($A478-Ft!B$2)&lt;0,Ft!B$3*((1-Ft!B$6)/(1+Ft!B$37*($A478-Ft!B$2)^2)+Ft!B$6*EXP(Ft!B$38*($A478-Ft!B$2)^2)),Ft!B$3*((1-Ft!B$7)/(1+Ft!B$39*($A478-Ft!B$2)^2)+Ft!B$7*EXP(Ft!B$40*($A478-Ft!B$2)^2)))</f>
        <v>0</v>
      </c>
      <c r="G478" s="3">
        <f>IF(($A478-Ft!C$2)&lt;0,Ft!C$3*((1-Ft!C$6)/(1+Ft!C$37*($A478-Ft!C$2)^2)+Ft!C$6*EXP(Ft!C$38*($A478-Ft!C$2)^2)),Ft!C$3*((1-Ft!C$7)/(1+Ft!C$39*($A478-Ft!C$2)^2)+Ft!C$7*EXP(Ft!C$40*($A478-Ft!C$2)^2)))</f>
        <v>5.4407194512119123E-22</v>
      </c>
      <c r="H478" s="3">
        <f>IF(($A478-Ft!D$2)&lt;0,Ft!D$3*((1-Ft!D$6)/(1+Ft!D$37*($A478-Ft!D$2)^2)+Ft!D$6*EXP(Ft!D$38*($A478-Ft!D$2)^2)),Ft!D$3*((1-Ft!D$7)/(1+Ft!D$39*($A478-Ft!D$2)^2)+Ft!D$7*EXP(Ft!D$40*($A478-Ft!D$2)^2)))</f>
        <v>6.430132598808333E-2</v>
      </c>
      <c r="I478" s="3">
        <f>IF(($A478-Ft!E$2)&lt;0,Ft!E$3*((1-Ft!E$6)/(1+Ft!E$37*($A478-Ft!E$2)^2)+Ft!E$6*EXP(Ft!E$38*($A478-Ft!E$2)^2)),Ft!E$3*((1-Ft!E$7)/(1+Ft!E$39*($A478-Ft!E$2)^2)+Ft!E$7*EXP(Ft!E$40*($A478-Ft!E$2)^2)))</f>
        <v>11.791813514101383</v>
      </c>
      <c r="J478" s="3">
        <f>IF(($A478-Ft!F$2)&lt;0,Ft!F$3*((1-Ft!F$6)/(1+Ft!F$37*($A478-Ft!F$2)^2)+Ft!F$6*EXP(Ft!F$38*($A478-Ft!F$2)^2)),Ft!F$3*((1-Ft!F$7)/(1+Ft!F$39*($A478-Ft!F$2)^2)+Ft!F$7*EXP(Ft!F$40*($A478-Ft!F$2)^2)))</f>
        <v>0.43686223247154982</v>
      </c>
      <c r="K478" s="3">
        <f>IF(($A478-Ft!G$2)&lt;0,Ft!G$3*((1-Ft!G$6)/(1+Ft!G$37*($A478-Ft!G$2)^2)+Ft!G$6*EXP(Ft!G$38*($A478-Ft!G$2)^2)),Ft!G$3*((1-Ft!G$7)/(1+Ft!G$39*($A478-Ft!G$2)^2)+Ft!G$7*EXP(Ft!G$40*($A478-Ft!G$2)^2)))</f>
        <v>0</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v>954</v>
      </c>
      <c r="B479">
        <v>12.846783692548996</v>
      </c>
      <c r="C479" s="6">
        <f t="shared" si="15"/>
        <v>12.240037907281746</v>
      </c>
      <c r="D479" s="19">
        <f t="shared" si="16"/>
        <v>0.36814044793957235</v>
      </c>
      <c r="E479" s="3">
        <f>Ft!$B$12+Ft!$B$14*(Data!A479-Vars!$B$3)</f>
        <v>0</v>
      </c>
      <c r="F479" s="3">
        <f>IF(($A479-Ft!B$2)&lt;0,Ft!B$3*((1-Ft!B$6)/(1+Ft!B$37*($A479-Ft!B$2)^2)+Ft!B$6*EXP(Ft!B$38*($A479-Ft!B$2)^2)),Ft!B$3*((1-Ft!B$7)/(1+Ft!B$39*($A479-Ft!B$2)^2)+Ft!B$7*EXP(Ft!B$40*($A479-Ft!B$2)^2)))</f>
        <v>0</v>
      </c>
      <c r="G479" s="3">
        <f>IF(($A479-Ft!C$2)&lt;0,Ft!C$3*((1-Ft!C$6)/(1+Ft!C$37*($A479-Ft!C$2)^2)+Ft!C$6*EXP(Ft!C$38*($A479-Ft!C$2)^2)),Ft!C$3*((1-Ft!C$7)/(1+Ft!C$39*($A479-Ft!C$2)^2)+Ft!C$7*EXP(Ft!C$40*($A479-Ft!C$2)^2)))</f>
        <v>4.2258916112438601E-22</v>
      </c>
      <c r="H479" s="3">
        <f>IF(($A479-Ft!D$2)&lt;0,Ft!D$3*((1-Ft!D$6)/(1+Ft!D$37*($A479-Ft!D$2)^2)+Ft!D$6*EXP(Ft!D$38*($A479-Ft!D$2)^2)),Ft!D$3*((1-Ft!D$7)/(1+Ft!D$39*($A479-Ft!D$2)^2)+Ft!D$7*EXP(Ft!D$40*($A479-Ft!D$2)^2)))</f>
        <v>6.1545274245295434E-2</v>
      </c>
      <c r="I479" s="3">
        <f>IF(($A479-Ft!E$2)&lt;0,Ft!E$3*((1-Ft!E$6)/(1+Ft!E$37*($A479-Ft!E$2)^2)+Ft!E$6*EXP(Ft!E$38*($A479-Ft!E$2)^2)),Ft!E$3*((1-Ft!E$7)/(1+Ft!E$39*($A479-Ft!E$2)^2)+Ft!E$7*EXP(Ft!E$40*($A479-Ft!E$2)^2)))</f>
        <v>11.67790327674097</v>
      </c>
      <c r="J479" s="3">
        <f>IF(($A479-Ft!F$2)&lt;0,Ft!F$3*((1-Ft!F$6)/(1+Ft!F$37*($A479-Ft!F$2)^2)+Ft!F$6*EXP(Ft!F$38*($A479-Ft!F$2)^2)),Ft!F$3*((1-Ft!F$7)/(1+Ft!F$39*($A479-Ft!F$2)^2)+Ft!F$7*EXP(Ft!F$40*($A479-Ft!F$2)^2)))</f>
        <v>0.50058935629547996</v>
      </c>
      <c r="K479" s="3">
        <f>IF(($A479-Ft!G$2)&lt;0,Ft!G$3*((1-Ft!G$6)/(1+Ft!G$37*($A479-Ft!G$2)^2)+Ft!G$6*EXP(Ft!G$38*($A479-Ft!G$2)^2)),Ft!G$3*((1-Ft!G$7)/(1+Ft!G$39*($A479-Ft!G$2)^2)+Ft!G$7*EXP(Ft!G$40*($A479-Ft!G$2)^2)))</f>
        <v>0</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v>956</v>
      </c>
      <c r="B480">
        <v>12.817821699238991</v>
      </c>
      <c r="C480" s="6">
        <f t="shared" si="15"/>
        <v>12.193974743198817</v>
      </c>
      <c r="D480" s="19">
        <f t="shared" si="16"/>
        <v>0.38918502456059029</v>
      </c>
      <c r="E480" s="3">
        <f>Ft!$B$12+Ft!$B$14*(Data!A480-Vars!$B$3)</f>
        <v>0</v>
      </c>
      <c r="F480" s="3">
        <f>IF(($A480-Ft!B$2)&lt;0,Ft!B$3*((1-Ft!B$6)/(1+Ft!B$37*($A480-Ft!B$2)^2)+Ft!B$6*EXP(Ft!B$38*($A480-Ft!B$2)^2)),Ft!B$3*((1-Ft!B$7)/(1+Ft!B$39*($A480-Ft!B$2)^2)+Ft!B$7*EXP(Ft!B$40*($A480-Ft!B$2)^2)))</f>
        <v>0</v>
      </c>
      <c r="G480" s="3">
        <f>IF(($A480-Ft!C$2)&lt;0,Ft!C$3*((1-Ft!C$6)/(1+Ft!C$37*($A480-Ft!C$2)^2)+Ft!C$6*EXP(Ft!C$38*($A480-Ft!C$2)^2)),Ft!C$3*((1-Ft!C$7)/(1+Ft!C$39*($A480-Ft!C$2)^2)+Ft!C$7*EXP(Ft!C$40*($A480-Ft!C$2)^2)))</f>
        <v>3.2802758356057166E-22</v>
      </c>
      <c r="H480" s="3">
        <f>IF(($A480-Ft!D$2)&lt;0,Ft!D$3*((1-Ft!D$6)/(1+Ft!D$37*($A480-Ft!D$2)^2)+Ft!D$6*EXP(Ft!D$38*($A480-Ft!D$2)^2)),Ft!D$3*((1-Ft!D$7)/(1+Ft!D$39*($A480-Ft!D$2)^2)+Ft!D$7*EXP(Ft!D$40*($A480-Ft!D$2)^2)))</f>
        <v>5.8897329693020674E-2</v>
      </c>
      <c r="I480" s="3">
        <f>IF(($A480-Ft!E$2)&lt;0,Ft!E$3*((1-Ft!E$6)/(1+Ft!E$37*($A480-Ft!E$2)^2)+Ft!E$6*EXP(Ft!E$38*($A480-Ft!E$2)^2)),Ft!E$3*((1-Ft!E$7)/(1+Ft!E$39*($A480-Ft!E$2)^2)+Ft!E$7*EXP(Ft!E$40*($A480-Ft!E$2)^2)))</f>
        <v>11.563454138797631</v>
      </c>
      <c r="J480" s="3">
        <f>IF(($A480-Ft!F$2)&lt;0,Ft!F$3*((1-Ft!F$6)/(1+Ft!F$37*($A480-Ft!F$2)^2)+Ft!F$6*EXP(Ft!F$38*($A480-Ft!F$2)^2)),Ft!F$3*((1-Ft!F$7)/(1+Ft!F$39*($A480-Ft!F$2)^2)+Ft!F$7*EXP(Ft!F$40*($A480-Ft!F$2)^2)))</f>
        <v>0.57162327470816376</v>
      </c>
      <c r="K480" s="3">
        <f>IF(($A480-Ft!G$2)&lt;0,Ft!G$3*((1-Ft!G$6)/(1+Ft!G$37*($A480-Ft!G$2)^2)+Ft!G$6*EXP(Ft!G$38*($A480-Ft!G$2)^2)),Ft!G$3*((1-Ft!G$7)/(1+Ft!G$39*($A480-Ft!G$2)^2)+Ft!G$7*EXP(Ft!G$40*($A480-Ft!G$2)^2)))</f>
        <v>0</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v>958</v>
      </c>
      <c r="B481">
        <v>12.791955508428998</v>
      </c>
      <c r="C481" s="6">
        <f t="shared" si="15"/>
        <v>12.155330545229985</v>
      </c>
      <c r="D481" s="19">
        <f t="shared" si="16"/>
        <v>0.40529134376814502</v>
      </c>
      <c r="E481" s="3">
        <f>Ft!$B$12+Ft!$B$14*(Data!A481-Vars!$B$3)</f>
        <v>0</v>
      </c>
      <c r="F481" s="3">
        <f>IF(($A481-Ft!B$2)&lt;0,Ft!B$3*((1-Ft!B$6)/(1+Ft!B$37*($A481-Ft!B$2)^2)+Ft!B$6*EXP(Ft!B$38*($A481-Ft!B$2)^2)),Ft!B$3*((1-Ft!B$7)/(1+Ft!B$39*($A481-Ft!B$2)^2)+Ft!B$7*EXP(Ft!B$40*($A481-Ft!B$2)^2)))</f>
        <v>0</v>
      </c>
      <c r="G481" s="3">
        <f>IF(($A481-Ft!C$2)&lt;0,Ft!C$3*((1-Ft!C$6)/(1+Ft!C$37*($A481-Ft!C$2)^2)+Ft!C$6*EXP(Ft!C$38*($A481-Ft!C$2)^2)),Ft!C$3*((1-Ft!C$7)/(1+Ft!C$39*($A481-Ft!C$2)^2)+Ft!C$7*EXP(Ft!C$40*($A481-Ft!C$2)^2)))</f>
        <v>2.5446752457641246E-22</v>
      </c>
      <c r="H481" s="3">
        <f>IF(($A481-Ft!D$2)&lt;0,Ft!D$3*((1-Ft!D$6)/(1+Ft!D$37*($A481-Ft!D$2)^2)+Ft!D$6*EXP(Ft!D$38*($A481-Ft!D$2)^2)),Ft!D$3*((1-Ft!D$7)/(1+Ft!D$39*($A481-Ft!D$2)^2)+Ft!D$7*EXP(Ft!D$40*($A481-Ft!D$2)^2)))</f>
        <v>5.635372264870301E-2</v>
      </c>
      <c r="I481" s="3">
        <f>IF(($A481-Ft!E$2)&lt;0,Ft!E$3*((1-Ft!E$6)/(1+Ft!E$37*($A481-Ft!E$2)^2)+Ft!E$6*EXP(Ft!E$38*($A481-Ft!E$2)^2)),Ft!E$3*((1-Ft!E$7)/(1+Ft!E$39*($A481-Ft!E$2)^2)+Ft!E$7*EXP(Ft!E$40*($A481-Ft!E$2)^2)))</f>
        <v>11.448503667799649</v>
      </c>
      <c r="J481" s="3">
        <f>IF(($A481-Ft!F$2)&lt;0,Ft!F$3*((1-Ft!F$6)/(1+Ft!F$37*($A481-Ft!F$2)^2)+Ft!F$6*EXP(Ft!F$38*($A481-Ft!F$2)^2)),Ft!F$3*((1-Ft!F$7)/(1+Ft!F$39*($A481-Ft!F$2)^2)+Ft!F$7*EXP(Ft!F$40*($A481-Ft!F$2)^2)))</f>
        <v>0.65047315478163281</v>
      </c>
      <c r="K481" s="3">
        <f>IF(($A481-Ft!G$2)&lt;0,Ft!G$3*((1-Ft!G$6)/(1+Ft!G$37*($A481-Ft!G$2)^2)+Ft!G$6*EXP(Ft!G$38*($A481-Ft!G$2)^2)),Ft!G$3*((1-Ft!G$7)/(1+Ft!G$39*($A481-Ft!G$2)^2)+Ft!G$7*EXP(Ft!G$40*($A481-Ft!G$2)^2)))</f>
        <v>0</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v>960</v>
      </c>
      <c r="B482">
        <v>12.769780341415995</v>
      </c>
      <c r="C482" s="6">
        <f t="shared" si="15"/>
        <v>12.124632550241609</v>
      </c>
      <c r="D482" s="19">
        <f t="shared" si="16"/>
        <v>0.41621567245718932</v>
      </c>
      <c r="E482" s="3">
        <f>Ft!$B$12+Ft!$B$14*(Data!A482-Vars!$B$3)</f>
        <v>0</v>
      </c>
      <c r="F482" s="3">
        <f>IF(($A482-Ft!B$2)&lt;0,Ft!B$3*((1-Ft!B$6)/(1+Ft!B$37*($A482-Ft!B$2)^2)+Ft!B$6*EXP(Ft!B$38*($A482-Ft!B$2)^2)),Ft!B$3*((1-Ft!B$7)/(1+Ft!B$39*($A482-Ft!B$2)^2)+Ft!B$7*EXP(Ft!B$40*($A482-Ft!B$2)^2)))</f>
        <v>0</v>
      </c>
      <c r="G482" s="3">
        <f>IF(($A482-Ft!C$2)&lt;0,Ft!C$3*((1-Ft!C$6)/(1+Ft!C$37*($A482-Ft!C$2)^2)+Ft!C$6*EXP(Ft!C$38*($A482-Ft!C$2)^2)),Ft!C$3*((1-Ft!C$7)/(1+Ft!C$39*($A482-Ft!C$2)^2)+Ft!C$7*EXP(Ft!C$40*($A482-Ft!C$2)^2)))</f>
        <v>1.972805885418247E-22</v>
      </c>
      <c r="H482" s="3">
        <f>IF(($A482-Ft!D$2)&lt;0,Ft!D$3*((1-Ft!D$6)/(1+Ft!D$37*($A482-Ft!D$2)^2)+Ft!D$6*EXP(Ft!D$38*($A482-Ft!D$2)^2)),Ft!D$3*((1-Ft!D$7)/(1+Ft!D$39*($A482-Ft!D$2)^2)+Ft!D$7*EXP(Ft!D$40*($A482-Ft!D$2)^2)))</f>
        <v>5.391079382497687E-2</v>
      </c>
      <c r="I482" s="3">
        <f>IF(($A482-Ft!E$2)&lt;0,Ft!E$3*((1-Ft!E$6)/(1+Ft!E$37*($A482-Ft!E$2)^2)+Ft!E$6*EXP(Ft!E$38*($A482-Ft!E$2)^2)),Ft!E$3*((1-Ft!E$7)/(1+Ft!E$39*($A482-Ft!E$2)^2)+Ft!E$7*EXP(Ft!E$40*($A482-Ft!E$2)^2)))</f>
        <v>11.333089272598825</v>
      </c>
      <c r="J482" s="3">
        <f>IF(($A482-Ft!F$2)&lt;0,Ft!F$3*((1-Ft!F$6)/(1+Ft!F$37*($A482-Ft!F$2)^2)+Ft!F$6*EXP(Ft!F$38*($A482-Ft!F$2)^2)),Ft!F$3*((1-Ft!F$7)/(1+Ft!F$39*($A482-Ft!F$2)^2)+Ft!F$7*EXP(Ft!F$40*($A482-Ft!F$2)^2)))</f>
        <v>0.73763248381780655</v>
      </c>
      <c r="K482" s="3">
        <f>IF(($A482-Ft!G$2)&lt;0,Ft!G$3*((1-Ft!G$6)/(1+Ft!G$37*($A482-Ft!G$2)^2)+Ft!G$6*EXP(Ft!G$38*($A482-Ft!G$2)^2)),Ft!G$3*((1-Ft!G$7)/(1+Ft!G$39*($A482-Ft!G$2)^2)+Ft!G$7*EXP(Ft!G$40*($A482-Ft!G$2)^2)))</f>
        <v>0</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v>962</v>
      </c>
      <c r="B483">
        <v>12.751174458747002</v>
      </c>
      <c r="C483" s="6">
        <f t="shared" si="15"/>
        <v>12.102382783914139</v>
      </c>
      <c r="D483" s="19">
        <f t="shared" si="16"/>
        <v>0.42093063733243091</v>
      </c>
      <c r="E483" s="3">
        <f>Ft!$B$12+Ft!$B$14*(Data!A483-Vars!$B$3)</f>
        <v>0</v>
      </c>
      <c r="F483" s="3">
        <f>IF(($A483-Ft!B$2)&lt;0,Ft!B$3*((1-Ft!B$6)/(1+Ft!B$37*($A483-Ft!B$2)^2)+Ft!B$6*EXP(Ft!B$38*($A483-Ft!B$2)^2)),Ft!B$3*((1-Ft!B$7)/(1+Ft!B$39*($A483-Ft!B$2)^2)+Ft!B$7*EXP(Ft!B$40*($A483-Ft!B$2)^2)))</f>
        <v>0</v>
      </c>
      <c r="G483" s="3">
        <f>IF(($A483-Ft!C$2)&lt;0,Ft!C$3*((1-Ft!C$6)/(1+Ft!C$37*($A483-Ft!C$2)^2)+Ft!C$6*EXP(Ft!C$38*($A483-Ft!C$2)^2)),Ft!C$3*((1-Ft!C$7)/(1+Ft!C$39*($A483-Ft!C$2)^2)+Ft!C$7*EXP(Ft!C$40*($A483-Ft!C$2)^2)))</f>
        <v>1.5285031360128287E-22</v>
      </c>
      <c r="H483" s="3">
        <f>IF(($A483-Ft!D$2)&lt;0,Ft!D$3*((1-Ft!D$6)/(1+Ft!D$37*($A483-Ft!D$2)^2)+Ft!D$6*EXP(Ft!D$38*($A483-Ft!D$2)^2)),Ft!D$3*((1-Ft!D$7)/(1+Ft!D$39*($A483-Ft!D$2)^2)+Ft!D$7*EXP(Ft!D$40*($A483-Ft!D$2)^2)))</f>
        <v>5.1564991998090795E-2</v>
      </c>
      <c r="I483" s="3">
        <f>IF(($A483-Ft!E$2)&lt;0,Ft!E$3*((1-Ft!E$6)/(1+Ft!E$37*($A483-Ft!E$2)^2)+Ft!E$6*EXP(Ft!E$38*($A483-Ft!E$2)^2)),Ft!E$3*((1-Ft!E$7)/(1+Ft!E$39*($A483-Ft!E$2)^2)+Ft!E$7*EXP(Ft!E$40*($A483-Ft!E$2)^2)))</f>
        <v>11.217248183844129</v>
      </c>
      <c r="J483" s="3">
        <f>IF(($A483-Ft!F$2)&lt;0,Ft!F$3*((1-Ft!F$6)/(1+Ft!F$37*($A483-Ft!F$2)^2)+Ft!F$6*EXP(Ft!F$38*($A483-Ft!F$2)^2)),Ft!F$3*((1-Ft!F$7)/(1+Ft!F$39*($A483-Ft!F$2)^2)+Ft!F$7*EXP(Ft!F$40*($A483-Ft!F$2)^2)))</f>
        <v>0.83356960807191927</v>
      </c>
      <c r="K483" s="3">
        <f>IF(($A483-Ft!G$2)&lt;0,Ft!G$3*((1-Ft!G$6)/(1+Ft!G$37*($A483-Ft!G$2)^2)+Ft!G$6*EXP(Ft!G$38*($A483-Ft!G$2)^2)),Ft!G$3*((1-Ft!G$7)/(1+Ft!G$39*($A483-Ft!G$2)^2)+Ft!G$7*EXP(Ft!G$40*($A483-Ft!G$2)^2)))</f>
        <v>0</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v>964</v>
      </c>
      <c r="B484">
        <v>12.732595314403994</v>
      </c>
      <c r="C484" s="6">
        <f t="shared" si="15"/>
        <v>12.089047757774685</v>
      </c>
      <c r="D484" s="19">
        <f t="shared" si="16"/>
        <v>0.41415345764355449</v>
      </c>
      <c r="E484" s="3">
        <f>Ft!$B$12+Ft!$B$14*(Data!A484-Vars!$B$3)</f>
        <v>0</v>
      </c>
      <c r="F484" s="3">
        <f>IF(($A484-Ft!B$2)&lt;0,Ft!B$3*((1-Ft!B$6)/(1+Ft!B$37*($A484-Ft!B$2)^2)+Ft!B$6*EXP(Ft!B$38*($A484-Ft!B$2)^2)),Ft!B$3*((1-Ft!B$7)/(1+Ft!B$39*($A484-Ft!B$2)^2)+Ft!B$7*EXP(Ft!B$40*($A484-Ft!B$2)^2)))</f>
        <v>0</v>
      </c>
      <c r="G484" s="3">
        <f>IF(($A484-Ft!C$2)&lt;0,Ft!C$3*((1-Ft!C$6)/(1+Ft!C$37*($A484-Ft!C$2)^2)+Ft!C$6*EXP(Ft!C$38*($A484-Ft!C$2)^2)),Ft!C$3*((1-Ft!C$7)/(1+Ft!C$39*($A484-Ft!C$2)^2)+Ft!C$7*EXP(Ft!C$40*($A484-Ft!C$2)^2)))</f>
        <v>1.1835273617521234E-22</v>
      </c>
      <c r="H484" s="3">
        <f>IF(($A484-Ft!D$2)&lt;0,Ft!D$3*((1-Ft!D$6)/(1+Ft!D$37*($A484-Ft!D$2)^2)+Ft!D$6*EXP(Ft!D$38*($A484-Ft!D$2)^2)),Ft!D$3*((1-Ft!D$7)/(1+Ft!D$39*($A484-Ft!D$2)^2)+Ft!D$7*EXP(Ft!D$40*($A484-Ft!D$2)^2)))</f>
        <v>4.9312871687298622E-2</v>
      </c>
      <c r="I484" s="3">
        <f>IF(($A484-Ft!E$2)&lt;0,Ft!E$3*((1-Ft!E$6)/(1+Ft!E$37*($A484-Ft!E$2)^2)+Ft!E$6*EXP(Ft!E$38*($A484-Ft!E$2)^2)),Ft!E$3*((1-Ft!E$7)/(1+Ft!E$39*($A484-Ft!E$2)^2)+Ft!E$7*EXP(Ft!E$40*($A484-Ft!E$2)^2)))</f>
        <v>11.101017434776523</v>
      </c>
      <c r="J484" s="3">
        <f>IF(($A484-Ft!F$2)&lt;0,Ft!F$3*((1-Ft!F$6)/(1+Ft!F$37*($A484-Ft!F$2)^2)+Ft!F$6*EXP(Ft!F$38*($A484-Ft!F$2)^2)),Ft!F$3*((1-Ft!F$7)/(1+Ft!F$39*($A484-Ft!F$2)^2)+Ft!F$7*EXP(Ft!F$40*($A484-Ft!F$2)^2)))</f>
        <v>0.9387174513108637</v>
      </c>
      <c r="K484" s="3">
        <f>IF(($A484-Ft!G$2)&lt;0,Ft!G$3*((1-Ft!G$6)/(1+Ft!G$37*($A484-Ft!G$2)^2)+Ft!G$6*EXP(Ft!G$38*($A484-Ft!G$2)^2)),Ft!G$3*((1-Ft!G$7)/(1+Ft!G$39*($A484-Ft!G$2)^2)+Ft!G$7*EXP(Ft!G$40*($A484-Ft!G$2)^2)))</f>
        <v>0</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v>966</v>
      </c>
      <c r="B485">
        <v>12.71434027291599</v>
      </c>
      <c r="C485" s="6">
        <f t="shared" si="15"/>
        <v>12.085047464210508</v>
      </c>
      <c r="D485" s="19">
        <f t="shared" si="16"/>
        <v>0.39600943908843506</v>
      </c>
      <c r="E485" s="3">
        <f>Ft!$B$12+Ft!$B$14*(Data!A485-Vars!$B$3)</f>
        <v>0</v>
      </c>
      <c r="F485" s="3">
        <f>IF(($A485-Ft!B$2)&lt;0,Ft!B$3*((1-Ft!B$6)/(1+Ft!B$37*($A485-Ft!B$2)^2)+Ft!B$6*EXP(Ft!B$38*($A485-Ft!B$2)^2)),Ft!B$3*((1-Ft!B$7)/(1+Ft!B$39*($A485-Ft!B$2)^2)+Ft!B$7*EXP(Ft!B$40*($A485-Ft!B$2)^2)))</f>
        <v>0</v>
      </c>
      <c r="G485" s="3">
        <f>IF(($A485-Ft!C$2)&lt;0,Ft!C$3*((1-Ft!C$6)/(1+Ft!C$37*($A485-Ft!C$2)^2)+Ft!C$6*EXP(Ft!C$38*($A485-Ft!C$2)^2)),Ft!C$3*((1-Ft!C$7)/(1+Ft!C$39*($A485-Ft!C$2)^2)+Ft!C$7*EXP(Ft!C$40*($A485-Ft!C$2)^2)))</f>
        <v>9.158413772483369E-23</v>
      </c>
      <c r="H485" s="3">
        <f>IF(($A485-Ft!D$2)&lt;0,Ft!D$3*((1-Ft!D$6)/(1+Ft!D$37*($A485-Ft!D$2)^2)+Ft!D$6*EXP(Ft!D$38*($A485-Ft!D$2)^2)),Ft!D$3*((1-Ft!D$7)/(1+Ft!D$39*($A485-Ft!D$2)^2)+Ft!D$7*EXP(Ft!D$40*($A485-Ft!D$2)^2)))</f>
        <v>4.7151090847059186E-2</v>
      </c>
      <c r="I485" s="3">
        <f>IF(($A485-Ft!E$2)&lt;0,Ft!E$3*((1-Ft!E$6)/(1+Ft!E$37*($A485-Ft!E$2)^2)+Ft!E$6*EXP(Ft!E$38*($A485-Ft!E$2)^2)),Ft!E$3*((1-Ft!E$7)/(1+Ft!E$39*($A485-Ft!E$2)^2)+Ft!E$7*EXP(Ft!E$40*($A485-Ft!E$2)^2)))</f>
        <v>10.984433842357875</v>
      </c>
      <c r="J485" s="3">
        <f>IF(($A485-Ft!F$2)&lt;0,Ft!F$3*((1-Ft!F$6)/(1+Ft!F$37*($A485-Ft!F$2)^2)+Ft!F$6*EXP(Ft!F$38*($A485-Ft!F$2)^2)),Ft!F$3*((1-Ft!F$7)/(1+Ft!F$39*($A485-Ft!F$2)^2)+Ft!F$7*EXP(Ft!F$40*($A485-Ft!F$2)^2)))</f>
        <v>1.0534625310055736</v>
      </c>
      <c r="K485" s="3">
        <f>IF(($A485-Ft!G$2)&lt;0,Ft!G$3*((1-Ft!G$6)/(1+Ft!G$37*($A485-Ft!G$2)^2)+Ft!G$6*EXP(Ft!G$38*($A485-Ft!G$2)^2)),Ft!G$3*((1-Ft!G$7)/(1+Ft!G$39*($A485-Ft!G$2)^2)+Ft!G$7*EXP(Ft!G$40*($A485-Ft!G$2)^2)))</f>
        <v>0</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v>968</v>
      </c>
      <c r="B486">
        <v>12.69744188147699</v>
      </c>
      <c r="C486" s="6">
        <f t="shared" si="15"/>
        <v>12.09074382090027</v>
      </c>
      <c r="D486" s="19">
        <f t="shared" si="16"/>
        <v>0.36808253670755375</v>
      </c>
      <c r="E486" s="3">
        <f>Ft!$B$12+Ft!$B$14*(Data!A486-Vars!$B$3)</f>
        <v>0</v>
      </c>
      <c r="F486" s="3">
        <f>IF(($A486-Ft!B$2)&lt;0,Ft!B$3*((1-Ft!B$6)/(1+Ft!B$37*($A486-Ft!B$2)^2)+Ft!B$6*EXP(Ft!B$38*($A486-Ft!B$2)^2)),Ft!B$3*((1-Ft!B$7)/(1+Ft!B$39*($A486-Ft!B$2)^2)+Ft!B$7*EXP(Ft!B$40*($A486-Ft!B$2)^2)))</f>
        <v>0</v>
      </c>
      <c r="G486" s="3">
        <f>IF(($A486-Ft!C$2)&lt;0,Ft!C$3*((1-Ft!C$6)/(1+Ft!C$37*($A486-Ft!C$2)^2)+Ft!C$6*EXP(Ft!C$38*($A486-Ft!C$2)^2)),Ft!C$3*((1-Ft!C$7)/(1+Ft!C$39*($A486-Ft!C$2)^2)+Ft!C$7*EXP(Ft!C$40*($A486-Ft!C$2)^2)))</f>
        <v>7.0825917360002676E-23</v>
      </c>
      <c r="H486" s="3">
        <f>IF(($A486-Ft!D$2)&lt;0,Ft!D$3*((1-Ft!D$6)/(1+Ft!D$37*($A486-Ft!D$2)^2)+Ft!D$6*EXP(Ft!D$38*($A486-Ft!D$2)^2)),Ft!D$3*((1-Ft!D$7)/(1+Ft!D$39*($A486-Ft!D$2)^2)+Ft!D$7*EXP(Ft!D$40*($A486-Ft!D$2)^2)))</f>
        <v>4.5076408573790985E-2</v>
      </c>
      <c r="I486" s="3">
        <f>IF(($A486-Ft!E$2)&lt;0,Ft!E$3*((1-Ft!E$6)/(1+Ft!E$37*($A486-Ft!E$2)^2)+Ft!E$6*EXP(Ft!E$38*($A486-Ft!E$2)^2)),Ft!E$3*((1-Ft!E$7)/(1+Ft!E$39*($A486-Ft!E$2)^2)+Ft!E$7*EXP(Ft!E$40*($A486-Ft!E$2)^2)))</f>
        <v>10.867533988746592</v>
      </c>
      <c r="J486" s="3">
        <f>IF(($A486-Ft!F$2)&lt;0,Ft!F$3*((1-Ft!F$6)/(1+Ft!F$37*($A486-Ft!F$2)^2)+Ft!F$6*EXP(Ft!F$38*($A486-Ft!F$2)^2)),Ft!F$3*((1-Ft!F$7)/(1+Ft!F$39*($A486-Ft!F$2)^2)+Ft!F$7*EXP(Ft!F$40*($A486-Ft!F$2)^2)))</f>
        <v>1.178133423579887</v>
      </c>
      <c r="K486" s="3">
        <f>IF(($A486-Ft!G$2)&lt;0,Ft!G$3*((1-Ft!G$6)/(1+Ft!G$37*($A486-Ft!G$2)^2)+Ft!G$6*EXP(Ft!G$38*($A486-Ft!G$2)^2)),Ft!G$3*((1-Ft!G$7)/(1+Ft!G$39*($A486-Ft!G$2)^2)+Ft!G$7*EXP(Ft!G$40*($A486-Ft!G$2)^2)))</f>
        <v>0</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v>970</v>
      </c>
      <c r="B487">
        <v>12.682932687281991</v>
      </c>
      <c r="C487" s="6">
        <f t="shared" si="15"/>
        <v>12.106428749630735</v>
      </c>
      <c r="D487" s="19">
        <f t="shared" si="16"/>
        <v>0.33235679012740221</v>
      </c>
      <c r="E487" s="3">
        <f>Ft!$B$12+Ft!$B$14*(Data!A487-Vars!$B$3)</f>
        <v>0</v>
      </c>
      <c r="F487" s="3">
        <f>IF(($A487-Ft!B$2)&lt;0,Ft!B$3*((1-Ft!B$6)/(1+Ft!B$37*($A487-Ft!B$2)^2)+Ft!B$6*EXP(Ft!B$38*($A487-Ft!B$2)^2)),Ft!B$3*((1-Ft!B$7)/(1+Ft!B$39*($A487-Ft!B$2)^2)+Ft!B$7*EXP(Ft!B$40*($A487-Ft!B$2)^2)))</f>
        <v>0</v>
      </c>
      <c r="G487" s="3">
        <f>IF(($A487-Ft!C$2)&lt;0,Ft!C$3*((1-Ft!C$6)/(1+Ft!C$37*($A487-Ft!C$2)^2)+Ft!C$6*EXP(Ft!C$38*($A487-Ft!C$2)^2)),Ft!C$3*((1-Ft!C$7)/(1+Ft!C$39*($A487-Ft!C$2)^2)+Ft!C$7*EXP(Ft!C$40*($A487-Ft!C$2)^2)))</f>
        <v>5.4738657932329718E-23</v>
      </c>
      <c r="H487" s="3">
        <f>IF(($A487-Ft!D$2)&lt;0,Ft!D$3*((1-Ft!D$6)/(1+Ft!D$37*($A487-Ft!D$2)^2)+Ft!D$6*EXP(Ft!D$38*($A487-Ft!D$2)^2)),Ft!D$3*((1-Ft!D$7)/(1+Ft!D$39*($A487-Ft!D$2)^2)+Ft!D$7*EXP(Ft!D$40*($A487-Ft!D$2)^2)))</f>
        <v>4.308568282883557E-2</v>
      </c>
      <c r="I487" s="3">
        <f>IF(($A487-Ft!E$2)&lt;0,Ft!E$3*((1-Ft!E$6)/(1+Ft!E$37*($A487-Ft!E$2)^2)+Ft!E$6*EXP(Ft!E$38*($A487-Ft!E$2)^2)),Ft!E$3*((1-Ft!E$7)/(1+Ft!E$39*($A487-Ft!E$2)^2)+Ft!E$7*EXP(Ft!E$40*($A487-Ft!E$2)^2)))</f>
        <v>10.750354203131996</v>
      </c>
      <c r="J487" s="3">
        <f>IF(($A487-Ft!F$2)&lt;0,Ft!F$3*((1-Ft!F$6)/(1+Ft!F$37*($A487-Ft!F$2)^2)+Ft!F$6*EXP(Ft!F$38*($A487-Ft!F$2)^2)),Ft!F$3*((1-Ft!F$7)/(1+Ft!F$39*($A487-Ft!F$2)^2)+Ft!F$7*EXP(Ft!F$40*($A487-Ft!F$2)^2)))</f>
        <v>1.3129888636699039</v>
      </c>
      <c r="K487" s="3">
        <f>IF(($A487-Ft!G$2)&lt;0,Ft!G$3*((1-Ft!G$6)/(1+Ft!G$37*($A487-Ft!G$2)^2)+Ft!G$6*EXP(Ft!G$38*($A487-Ft!G$2)^2)),Ft!G$3*((1-Ft!G$7)/(1+Ft!G$39*($A487-Ft!G$2)^2)+Ft!G$7*EXP(Ft!G$40*($A487-Ft!G$2)^2)))</f>
        <v>0</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v>972</v>
      </c>
      <c r="B488">
        <v>12.671845237526</v>
      </c>
      <c r="C488" s="6">
        <f t="shared" si="15"/>
        <v>12.132312106786275</v>
      </c>
      <c r="D488" s="19">
        <f t="shared" si="16"/>
        <v>0.29109599916580953</v>
      </c>
      <c r="E488" s="3">
        <f>Ft!$B$12+Ft!$B$14*(Data!A488-Vars!$B$3)</f>
        <v>0</v>
      </c>
      <c r="F488" s="3">
        <f>IF(($A488-Ft!B$2)&lt;0,Ft!B$3*((1-Ft!B$6)/(1+Ft!B$37*($A488-Ft!B$2)^2)+Ft!B$6*EXP(Ft!B$38*($A488-Ft!B$2)^2)),Ft!B$3*((1-Ft!B$7)/(1+Ft!B$39*($A488-Ft!B$2)^2)+Ft!B$7*EXP(Ft!B$40*($A488-Ft!B$2)^2)))</f>
        <v>0</v>
      </c>
      <c r="G488" s="3">
        <f>IF(($A488-Ft!C$2)&lt;0,Ft!C$3*((1-Ft!C$6)/(1+Ft!C$37*($A488-Ft!C$2)^2)+Ft!C$6*EXP(Ft!C$38*($A488-Ft!C$2)^2)),Ft!C$3*((1-Ft!C$7)/(1+Ft!C$39*($A488-Ft!C$2)^2)+Ft!C$7*EXP(Ft!C$40*($A488-Ft!C$2)^2)))</f>
        <v>4.2279132885129588E-23</v>
      </c>
      <c r="H488" s="3">
        <f>IF(($A488-Ft!D$2)&lt;0,Ft!D$3*((1-Ft!D$6)/(1+Ft!D$37*($A488-Ft!D$2)^2)+Ft!D$6*EXP(Ft!D$38*($A488-Ft!D$2)^2)),Ft!D$3*((1-Ft!D$7)/(1+Ft!D$39*($A488-Ft!D$2)^2)+Ft!D$7*EXP(Ft!D$40*($A488-Ft!D$2)^2)))</f>
        <v>4.1175868179191416E-2</v>
      </c>
      <c r="I488" s="3">
        <f>IF(($A488-Ft!E$2)&lt;0,Ft!E$3*((1-Ft!E$6)/(1+Ft!E$37*($A488-Ft!E$2)^2)+Ft!E$6*EXP(Ft!E$38*($A488-Ft!E$2)^2)),Ft!E$3*((1-Ft!E$7)/(1+Ft!E$39*($A488-Ft!E$2)^2)+Ft!E$7*EXP(Ft!E$40*($A488-Ft!E$2)^2)))</f>
        <v>10.63293054393908</v>
      </c>
      <c r="J488" s="3">
        <f>IF(($A488-Ft!F$2)&lt;0,Ft!F$3*((1-Ft!F$6)/(1+Ft!F$37*($A488-Ft!F$2)^2)+Ft!F$6*EXP(Ft!F$38*($A488-Ft!F$2)^2)),Ft!F$3*((1-Ft!F$7)/(1+Ft!F$39*($A488-Ft!F$2)^2)+Ft!F$7*EXP(Ft!F$40*($A488-Ft!F$2)^2)))</f>
        <v>1.4582056946680029</v>
      </c>
      <c r="K488" s="3">
        <f>IF(($A488-Ft!G$2)&lt;0,Ft!G$3*((1-Ft!G$6)/(1+Ft!G$37*($A488-Ft!G$2)^2)+Ft!G$6*EXP(Ft!G$38*($A488-Ft!G$2)^2)),Ft!G$3*((1-Ft!G$7)/(1+Ft!G$39*($A488-Ft!G$2)^2)+Ft!G$7*EXP(Ft!G$40*($A488-Ft!G$2)^2)))</f>
        <v>0</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v>974</v>
      </c>
      <c r="B489">
        <v>12.665212079401002</v>
      </c>
      <c r="C489" s="6">
        <f t="shared" si="15"/>
        <v>12.168509712690483</v>
      </c>
      <c r="D489" s="19">
        <f t="shared" si="16"/>
        <v>0.2467132410958307</v>
      </c>
      <c r="E489" s="3">
        <f>Ft!$B$12+Ft!$B$14*(Data!A489-Vars!$B$3)</f>
        <v>0</v>
      </c>
      <c r="F489" s="3">
        <f>IF(($A489-Ft!B$2)&lt;0,Ft!B$3*((1-Ft!B$6)/(1+Ft!B$37*($A489-Ft!B$2)^2)+Ft!B$6*EXP(Ft!B$38*($A489-Ft!B$2)^2)),Ft!B$3*((1-Ft!B$7)/(1+Ft!B$39*($A489-Ft!B$2)^2)+Ft!B$7*EXP(Ft!B$40*($A489-Ft!B$2)^2)))</f>
        <v>0</v>
      </c>
      <c r="G489" s="3">
        <f>IF(($A489-Ft!C$2)&lt;0,Ft!C$3*((1-Ft!C$6)/(1+Ft!C$37*($A489-Ft!C$2)^2)+Ft!C$6*EXP(Ft!C$38*($A489-Ft!C$2)^2)),Ft!C$3*((1-Ft!C$7)/(1+Ft!C$39*($A489-Ft!C$2)^2)+Ft!C$7*EXP(Ft!C$40*($A489-Ft!C$2)^2)))</f>
        <v>3.2635328416232044E-23</v>
      </c>
      <c r="H489" s="3">
        <f>IF(($A489-Ft!D$2)&lt;0,Ft!D$3*((1-Ft!D$6)/(1+Ft!D$37*($A489-Ft!D$2)^2)+Ft!D$6*EXP(Ft!D$38*($A489-Ft!D$2)^2)),Ft!D$3*((1-Ft!D$7)/(1+Ft!D$39*($A489-Ft!D$2)^2)+Ft!D$7*EXP(Ft!D$40*($A489-Ft!D$2)^2)))</f>
        <v>3.9344013557491522E-2</v>
      </c>
      <c r="I489" s="3">
        <f>IF(($A489-Ft!E$2)&lt;0,Ft!E$3*((1-Ft!E$6)/(1+Ft!E$37*($A489-Ft!E$2)^2)+Ft!E$6*EXP(Ft!E$38*($A489-Ft!E$2)^2)),Ft!E$3*((1-Ft!E$7)/(1+Ft!E$39*($A489-Ft!E$2)^2)+Ft!E$7*EXP(Ft!E$40*($A489-Ft!E$2)^2)))</f>
        <v>10.515298781414723</v>
      </c>
      <c r="J489" s="3">
        <f>IF(($A489-Ft!F$2)&lt;0,Ft!F$3*((1-Ft!F$6)/(1+Ft!F$37*($A489-Ft!F$2)^2)+Ft!F$6*EXP(Ft!F$38*($A489-Ft!F$2)^2)),Ft!F$3*((1-Ft!F$7)/(1+Ft!F$39*($A489-Ft!F$2)^2)+Ft!F$7*EXP(Ft!F$40*($A489-Ft!F$2)^2)))</f>
        <v>1.6138669177182698</v>
      </c>
      <c r="K489" s="3">
        <f>IF(($A489-Ft!G$2)&lt;0,Ft!G$3*((1-Ft!G$6)/(1+Ft!G$37*($A489-Ft!G$2)^2)+Ft!G$6*EXP(Ft!G$38*($A489-Ft!G$2)^2)),Ft!G$3*((1-Ft!G$7)/(1+Ft!G$39*($A489-Ft!G$2)^2)+Ft!G$7*EXP(Ft!G$40*($A489-Ft!G$2)^2)))</f>
        <v>0</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v>976</v>
      </c>
      <c r="B490">
        <v>12.664065760103</v>
      </c>
      <c r="C490" s="6">
        <f t="shared" si="15"/>
        <v>12.215031753168342</v>
      </c>
      <c r="D490" s="19">
        <f t="shared" si="16"/>
        <v>0.2016315393837948</v>
      </c>
      <c r="E490" s="3">
        <f>Ft!$B$12+Ft!$B$14*(Data!A490-Vars!$B$3)</f>
        <v>0</v>
      </c>
      <c r="F490" s="3">
        <f>IF(($A490-Ft!B$2)&lt;0,Ft!B$3*((1-Ft!B$6)/(1+Ft!B$37*($A490-Ft!B$2)^2)+Ft!B$6*EXP(Ft!B$38*($A490-Ft!B$2)^2)),Ft!B$3*((1-Ft!B$7)/(1+Ft!B$39*($A490-Ft!B$2)^2)+Ft!B$7*EXP(Ft!B$40*($A490-Ft!B$2)^2)))</f>
        <v>0</v>
      </c>
      <c r="G490" s="3">
        <f>IF(($A490-Ft!C$2)&lt;0,Ft!C$3*((1-Ft!C$6)/(1+Ft!C$37*($A490-Ft!C$2)^2)+Ft!C$6*EXP(Ft!C$38*($A490-Ft!C$2)^2)),Ft!C$3*((1-Ft!C$7)/(1+Ft!C$39*($A490-Ft!C$2)^2)+Ft!C$7*EXP(Ft!C$40*($A490-Ft!C$2)^2)))</f>
        <v>2.5175603649650142E-23</v>
      </c>
      <c r="H490" s="3">
        <f>IF(($A490-Ft!D$2)&lt;0,Ft!D$3*((1-Ft!D$6)/(1+Ft!D$37*($A490-Ft!D$2)^2)+Ft!D$6*EXP(Ft!D$38*($A490-Ft!D$2)^2)),Ft!D$3*((1-Ft!D$7)/(1+Ft!D$39*($A490-Ft!D$2)^2)+Ft!D$7*EXP(Ft!D$40*($A490-Ft!D$2)^2)))</f>
        <v>3.7587260042609934E-2</v>
      </c>
      <c r="I490" s="3">
        <f>IF(($A490-Ft!E$2)&lt;0,Ft!E$3*((1-Ft!E$6)/(1+Ft!E$37*($A490-Ft!E$2)^2)+Ft!E$6*EXP(Ft!E$38*($A490-Ft!E$2)^2)),Ft!E$3*((1-Ft!E$7)/(1+Ft!E$39*($A490-Ft!E$2)^2)+Ft!E$7*EXP(Ft!E$40*($A490-Ft!E$2)^2)))</f>
        <v>10.397494380606005</v>
      </c>
      <c r="J490" s="3">
        <f>IF(($A490-Ft!F$2)&lt;0,Ft!F$3*((1-Ft!F$6)/(1+Ft!F$37*($A490-Ft!F$2)^2)+Ft!F$6*EXP(Ft!F$38*($A490-Ft!F$2)^2)),Ft!F$3*((1-Ft!F$7)/(1+Ft!F$39*($A490-Ft!F$2)^2)+Ft!F$7*EXP(Ft!F$40*($A490-Ft!F$2)^2)))</f>
        <v>1.7799501125197259</v>
      </c>
      <c r="K490" s="3">
        <f>IF(($A490-Ft!G$2)&lt;0,Ft!G$3*((1-Ft!G$6)/(1+Ft!G$37*($A490-Ft!G$2)^2)+Ft!G$6*EXP(Ft!G$38*($A490-Ft!G$2)^2)),Ft!G$3*((1-Ft!G$7)/(1+Ft!G$39*($A490-Ft!G$2)^2)+Ft!G$7*EXP(Ft!G$40*($A490-Ft!G$2)^2)))</f>
        <v>0</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v>978</v>
      </c>
      <c r="B491">
        <v>12.66943882682699</v>
      </c>
      <c r="C491" s="6">
        <f t="shared" si="15"/>
        <v>12.27177184789263</v>
      </c>
      <c r="D491" s="19">
        <f t="shared" si="16"/>
        <v>0.15813902613478098</v>
      </c>
      <c r="E491" s="3">
        <f>Ft!$B$12+Ft!$B$14*(Data!A491-Vars!$B$3)</f>
        <v>0</v>
      </c>
      <c r="F491" s="3">
        <f>IF(($A491-Ft!B$2)&lt;0,Ft!B$3*((1-Ft!B$6)/(1+Ft!B$37*($A491-Ft!B$2)^2)+Ft!B$6*EXP(Ft!B$38*($A491-Ft!B$2)^2)),Ft!B$3*((1-Ft!B$7)/(1+Ft!B$39*($A491-Ft!B$2)^2)+Ft!B$7*EXP(Ft!B$40*($A491-Ft!B$2)^2)))</f>
        <v>0</v>
      </c>
      <c r="G491" s="3">
        <f>IF(($A491-Ft!C$2)&lt;0,Ft!C$3*((1-Ft!C$6)/(1+Ft!C$37*($A491-Ft!C$2)^2)+Ft!C$6*EXP(Ft!C$38*($A491-Ft!C$2)^2)),Ft!C$3*((1-Ft!C$7)/(1+Ft!C$39*($A491-Ft!C$2)^2)+Ft!C$7*EXP(Ft!C$40*($A491-Ft!C$2)^2)))</f>
        <v>1.9408938652625616E-23</v>
      </c>
      <c r="H491" s="3">
        <f>IF(($A491-Ft!D$2)&lt;0,Ft!D$3*((1-Ft!D$6)/(1+Ft!D$37*($A491-Ft!D$2)^2)+Ft!D$6*EXP(Ft!D$38*($A491-Ft!D$2)^2)),Ft!D$3*((1-Ft!D$7)/(1+Ft!D$39*($A491-Ft!D$2)^2)+Ft!D$7*EXP(Ft!D$40*($A491-Ft!D$2)^2)))</f>
        <v>3.5902838662198081E-2</v>
      </c>
      <c r="I491" s="3">
        <f>IF(($A491-Ft!E$2)&lt;0,Ft!E$3*((1-Ft!E$6)/(1+Ft!E$37*($A491-Ft!E$2)^2)+Ft!E$6*EXP(Ft!E$38*($A491-Ft!E$2)^2)),Ft!E$3*((1-Ft!E$7)/(1+Ft!E$39*($A491-Ft!E$2)^2)+Ft!E$7*EXP(Ft!E$40*($A491-Ft!E$2)^2)))</f>
        <v>10.27955248474073</v>
      </c>
      <c r="J491" s="3">
        <f>IF(($A491-Ft!F$2)&lt;0,Ft!F$3*((1-Ft!F$6)/(1+Ft!F$37*($A491-Ft!F$2)^2)+Ft!F$6*EXP(Ft!F$38*($A491-Ft!F$2)^2)),Ft!F$3*((1-Ft!F$7)/(1+Ft!F$39*($A491-Ft!F$2)^2)+Ft!F$7*EXP(Ft!F$40*($A491-Ft!F$2)^2)))</f>
        <v>1.9563165244897027</v>
      </c>
      <c r="K491" s="3">
        <f>IF(($A491-Ft!G$2)&lt;0,Ft!G$3*((1-Ft!G$6)/(1+Ft!G$37*($A491-Ft!G$2)^2)+Ft!G$6*EXP(Ft!G$38*($A491-Ft!G$2)^2)),Ft!G$3*((1-Ft!G$7)/(1+Ft!G$39*($A491-Ft!G$2)^2)+Ft!G$7*EXP(Ft!G$40*($A491-Ft!G$2)^2)))</f>
        <v>0</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v>980</v>
      </c>
      <c r="B492">
        <v>12.681619645460998</v>
      </c>
      <c r="C492" s="6">
        <f t="shared" si="15"/>
        <v>12.338497095024303</v>
      </c>
      <c r="D492" s="19">
        <f t="shared" si="16"/>
        <v>0.11773308461818202</v>
      </c>
      <c r="E492" s="3">
        <f>Ft!$B$12+Ft!$B$14*(Data!A492-Vars!$B$3)</f>
        <v>0</v>
      </c>
      <c r="F492" s="3">
        <f>IF(($A492-Ft!B$2)&lt;0,Ft!B$3*((1-Ft!B$6)/(1+Ft!B$37*($A492-Ft!B$2)^2)+Ft!B$6*EXP(Ft!B$38*($A492-Ft!B$2)^2)),Ft!B$3*((1-Ft!B$7)/(1+Ft!B$39*($A492-Ft!B$2)^2)+Ft!B$7*EXP(Ft!B$40*($A492-Ft!B$2)^2)))</f>
        <v>0</v>
      </c>
      <c r="G492" s="3">
        <f>IF(($A492-Ft!C$2)&lt;0,Ft!C$3*((1-Ft!C$6)/(1+Ft!C$37*($A492-Ft!C$2)^2)+Ft!C$6*EXP(Ft!C$38*($A492-Ft!C$2)^2)),Ft!C$3*((1-Ft!C$7)/(1+Ft!C$39*($A492-Ft!C$2)^2)+Ft!C$7*EXP(Ft!C$40*($A492-Ft!C$2)^2)))</f>
        <v>1.4953872430004644E-23</v>
      </c>
      <c r="H492" s="3">
        <f>IF(($A492-Ft!D$2)&lt;0,Ft!D$3*((1-Ft!D$6)/(1+Ft!D$37*($A492-Ft!D$2)^2)+Ft!D$6*EXP(Ft!D$38*($A492-Ft!D$2)^2)),Ft!D$3*((1-Ft!D$7)/(1+Ft!D$39*($A492-Ft!D$2)^2)+Ft!D$7*EXP(Ft!D$40*($A492-Ft!D$2)^2)))</f>
        <v>3.4288068218366781E-2</v>
      </c>
      <c r="I492" s="3">
        <f>IF(($A492-Ft!E$2)&lt;0,Ft!E$3*((1-Ft!E$6)/(1+Ft!E$37*($A492-Ft!E$2)^2)+Ft!E$6*EXP(Ft!E$38*($A492-Ft!E$2)^2)),Ft!E$3*((1-Ft!E$7)/(1+Ft!E$39*($A492-Ft!E$2)^2)+Ft!E$7*EXP(Ft!E$40*($A492-Ft!E$2)^2)))</f>
        <v>10.161507899019746</v>
      </c>
      <c r="J492" s="3">
        <f>IF(($A492-Ft!F$2)&lt;0,Ft!F$3*((1-Ft!F$6)/(1+Ft!F$37*($A492-Ft!F$2)^2)+Ft!F$6*EXP(Ft!F$38*($A492-Ft!F$2)^2)),Ft!F$3*((1-Ft!F$7)/(1+Ft!F$39*($A492-Ft!F$2)^2)+Ft!F$7*EXP(Ft!F$40*($A492-Ft!F$2)^2)))</f>
        <v>2.1427011277861916</v>
      </c>
      <c r="K492" s="3">
        <f>IF(($A492-Ft!G$2)&lt;0,Ft!G$3*((1-Ft!G$6)/(1+Ft!G$37*($A492-Ft!G$2)^2)+Ft!G$6*EXP(Ft!G$38*($A492-Ft!G$2)^2)),Ft!G$3*((1-Ft!G$7)/(1+Ft!G$39*($A492-Ft!G$2)^2)+Ft!G$7*EXP(Ft!G$40*($A492-Ft!G$2)^2)))</f>
        <v>0</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v>982</v>
      </c>
      <c r="B493">
        <v>12.699661417314999</v>
      </c>
      <c r="C493" s="6">
        <f t="shared" si="15"/>
        <v>12.414839409185976</v>
      </c>
      <c r="D493" s="19">
        <f t="shared" si="16"/>
        <v>8.1123576314649198E-2</v>
      </c>
      <c r="E493" s="3">
        <f>Ft!$B$12+Ft!$B$14*(Data!A493-Vars!$B$3)</f>
        <v>0</v>
      </c>
      <c r="F493" s="3">
        <f>IF(($A493-Ft!B$2)&lt;0,Ft!B$3*((1-Ft!B$6)/(1+Ft!B$37*($A493-Ft!B$2)^2)+Ft!B$6*EXP(Ft!B$38*($A493-Ft!B$2)^2)),Ft!B$3*((1-Ft!B$7)/(1+Ft!B$39*($A493-Ft!B$2)^2)+Ft!B$7*EXP(Ft!B$40*($A493-Ft!B$2)^2)))</f>
        <v>0</v>
      </c>
      <c r="G493" s="3">
        <f>IF(($A493-Ft!C$2)&lt;0,Ft!C$3*((1-Ft!C$6)/(1+Ft!C$37*($A493-Ft!C$2)^2)+Ft!C$6*EXP(Ft!C$38*($A493-Ft!C$2)^2)),Ft!C$3*((1-Ft!C$7)/(1+Ft!C$39*($A493-Ft!C$2)^2)+Ft!C$7*EXP(Ft!C$40*($A493-Ft!C$2)^2)))</f>
        <v>1.1514247088617854E-23</v>
      </c>
      <c r="H493" s="3">
        <f>IF(($A493-Ft!D$2)&lt;0,Ft!D$3*((1-Ft!D$6)/(1+Ft!D$37*($A493-Ft!D$2)^2)+Ft!D$6*EXP(Ft!D$38*($A493-Ft!D$2)^2)),Ft!D$3*((1-Ft!D$7)/(1+Ft!D$39*($A493-Ft!D$2)^2)+Ft!D$7*EXP(Ft!D$40*($A493-Ft!D$2)^2)))</f>
        <v>3.2740353137651099E-2</v>
      </c>
      <c r="I493" s="3">
        <f>IF(($A493-Ft!E$2)&lt;0,Ft!E$3*((1-Ft!E$6)/(1+Ft!E$37*($A493-Ft!E$2)^2)+Ft!E$6*EXP(Ft!E$38*($A493-Ft!E$2)^2)),Ft!E$3*((1-Ft!E$7)/(1+Ft!E$39*($A493-Ft!E$2)^2)+Ft!E$7*EXP(Ft!E$40*($A493-Ft!E$2)^2)))</f>
        <v>10.043395074830183</v>
      </c>
      <c r="J493" s="3">
        <f>IF(($A493-Ft!F$2)&lt;0,Ft!F$3*((1-Ft!F$6)/(1+Ft!F$37*($A493-Ft!F$2)^2)+Ft!F$6*EXP(Ft!F$38*($A493-Ft!F$2)^2)),Ft!F$3*((1-Ft!F$7)/(1+Ft!F$39*($A493-Ft!F$2)^2)+Ft!F$7*EXP(Ft!F$40*($A493-Ft!F$2)^2)))</f>
        <v>2.3387039812181425</v>
      </c>
      <c r="K493" s="3">
        <f>IF(($A493-Ft!G$2)&lt;0,Ft!G$3*((1-Ft!G$6)/(1+Ft!G$37*($A493-Ft!G$2)^2)+Ft!G$6*EXP(Ft!G$38*($A493-Ft!G$2)^2)),Ft!G$3*((1-Ft!G$7)/(1+Ft!G$39*($A493-Ft!G$2)^2)+Ft!G$7*EXP(Ft!G$40*($A493-Ft!G$2)^2)))</f>
        <v>0</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v>984</v>
      </c>
      <c r="B494">
        <v>12.722743942714999</v>
      </c>
      <c r="C494" s="6">
        <f t="shared" si="15"/>
        <v>12.500288468899495</v>
      </c>
      <c r="D494" s="19">
        <f t="shared" si="16"/>
        <v>4.9486437830480491E-2</v>
      </c>
      <c r="E494" s="3">
        <f>Ft!$B$12+Ft!$B$14*(Data!A494-Vars!$B$3)</f>
        <v>0</v>
      </c>
      <c r="F494" s="3">
        <f>IF(($A494-Ft!B$2)&lt;0,Ft!B$3*((1-Ft!B$6)/(1+Ft!B$37*($A494-Ft!B$2)^2)+Ft!B$6*EXP(Ft!B$38*($A494-Ft!B$2)^2)),Ft!B$3*((1-Ft!B$7)/(1+Ft!B$39*($A494-Ft!B$2)^2)+Ft!B$7*EXP(Ft!B$40*($A494-Ft!B$2)^2)))</f>
        <v>0</v>
      </c>
      <c r="G494" s="3">
        <f>IF(($A494-Ft!C$2)&lt;0,Ft!C$3*((1-Ft!C$6)/(1+Ft!C$37*($A494-Ft!C$2)^2)+Ft!C$6*EXP(Ft!C$38*($A494-Ft!C$2)^2)),Ft!C$3*((1-Ft!C$7)/(1+Ft!C$39*($A494-Ft!C$2)^2)+Ft!C$7*EXP(Ft!C$40*($A494-Ft!C$2)^2)))</f>
        <v>8.8602792102981721E-24</v>
      </c>
      <c r="H494" s="3">
        <f>IF(($A494-Ft!D$2)&lt;0,Ft!D$3*((1-Ft!D$6)/(1+Ft!D$37*($A494-Ft!D$2)^2)+Ft!D$6*EXP(Ft!D$38*($A494-Ft!D$2)^2)),Ft!D$3*((1-Ft!D$7)/(1+Ft!D$39*($A494-Ft!D$2)^2)+Ft!D$7*EXP(Ft!D$40*($A494-Ft!D$2)^2)))</f>
        <v>3.1257181346313889E-2</v>
      </c>
      <c r="I494" s="3">
        <f>IF(($A494-Ft!E$2)&lt;0,Ft!E$3*((1-Ft!E$6)/(1+Ft!E$37*($A494-Ft!E$2)^2)+Ft!E$6*EXP(Ft!E$38*($A494-Ft!E$2)^2)),Ft!E$3*((1-Ft!E$7)/(1+Ft!E$39*($A494-Ft!E$2)^2)+Ft!E$7*EXP(Ft!E$40*($A494-Ft!E$2)^2)))</f>
        <v>9.9252480943881558</v>
      </c>
      <c r="J494" s="3">
        <f>IF(($A494-Ft!F$2)&lt;0,Ft!F$3*((1-Ft!F$6)/(1+Ft!F$37*($A494-Ft!F$2)^2)+Ft!F$6*EXP(Ft!F$38*($A494-Ft!F$2)^2)),Ft!F$3*((1-Ft!F$7)/(1+Ft!F$39*($A494-Ft!F$2)^2)+Ft!F$7*EXP(Ft!F$40*($A494-Ft!F$2)^2)))</f>
        <v>2.5437831931650257</v>
      </c>
      <c r="K494" s="3">
        <f>IF(($A494-Ft!G$2)&lt;0,Ft!G$3*((1-Ft!G$6)/(1+Ft!G$37*($A494-Ft!G$2)^2)+Ft!G$6*EXP(Ft!G$38*($A494-Ft!G$2)^2)),Ft!G$3*((1-Ft!G$7)/(1+Ft!G$39*($A494-Ft!G$2)^2)+Ft!G$7*EXP(Ft!G$40*($A494-Ft!G$2)^2)))</f>
        <v>0</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v>986</v>
      </c>
      <c r="B495">
        <v>12.750047021987001</v>
      </c>
      <c r="C495" s="6">
        <f t="shared" si="15"/>
        <v>12.594186579452188</v>
      </c>
      <c r="D495" s="19">
        <f t="shared" si="16"/>
        <v>2.4292477547147716E-2</v>
      </c>
      <c r="E495" s="3">
        <f>Ft!$B$12+Ft!$B$14*(Data!A495-Vars!$B$3)</f>
        <v>0</v>
      </c>
      <c r="F495" s="3">
        <f>IF(($A495-Ft!B$2)&lt;0,Ft!B$3*((1-Ft!B$6)/(1+Ft!B$37*($A495-Ft!B$2)^2)+Ft!B$6*EXP(Ft!B$38*($A495-Ft!B$2)^2)),Ft!B$3*((1-Ft!B$7)/(1+Ft!B$39*($A495-Ft!B$2)^2)+Ft!B$7*EXP(Ft!B$40*($A495-Ft!B$2)^2)))</f>
        <v>0</v>
      </c>
      <c r="G495" s="3">
        <f>IF(($A495-Ft!C$2)&lt;0,Ft!C$3*((1-Ft!C$6)/(1+Ft!C$37*($A495-Ft!C$2)^2)+Ft!C$6*EXP(Ft!C$38*($A495-Ft!C$2)^2)),Ft!C$3*((1-Ft!C$7)/(1+Ft!C$39*($A495-Ft!C$2)^2)+Ft!C$7*EXP(Ft!C$40*($A495-Ft!C$2)^2)))</f>
        <v>6.8137980903666523E-24</v>
      </c>
      <c r="H495" s="3">
        <f>IF(($A495-Ft!D$2)&lt;0,Ft!D$3*((1-Ft!D$6)/(1+Ft!D$37*($A495-Ft!D$2)^2)+Ft!D$6*EXP(Ft!D$38*($A495-Ft!D$2)^2)),Ft!D$3*((1-Ft!D$7)/(1+Ft!D$39*($A495-Ft!D$2)^2)+Ft!D$7*EXP(Ft!D$40*($A495-Ft!D$2)^2)))</f>
        <v>2.9836122171967957E-2</v>
      </c>
      <c r="I495" s="3">
        <f>IF(($A495-Ft!E$2)&lt;0,Ft!E$3*((1-Ft!E$6)/(1+Ft!E$37*($A495-Ft!E$2)^2)+Ft!E$6*EXP(Ft!E$38*($A495-Ft!E$2)^2)),Ft!E$3*((1-Ft!E$7)/(1+Ft!E$39*($A495-Ft!E$2)^2)+Ft!E$7*EXP(Ft!E$40*($A495-Ft!E$2)^2)))</f>
        <v>9.8071006558189939</v>
      </c>
      <c r="J495" s="3">
        <f>IF(($A495-Ft!F$2)&lt;0,Ft!F$3*((1-Ft!F$6)/(1+Ft!F$37*($A495-Ft!F$2)^2)+Ft!F$6*EXP(Ft!F$38*($A495-Ft!F$2)^2)),Ft!F$3*((1-Ft!F$7)/(1+Ft!F$39*($A495-Ft!F$2)^2)+Ft!F$7*EXP(Ft!F$40*($A495-Ft!F$2)^2)))</f>
        <v>2.7572498014612252</v>
      </c>
      <c r="K495" s="3">
        <f>IF(($A495-Ft!G$2)&lt;0,Ft!G$3*((1-Ft!G$6)/(1+Ft!G$37*($A495-Ft!G$2)^2)+Ft!G$6*EXP(Ft!G$38*($A495-Ft!G$2)^2)),Ft!G$3*((1-Ft!G$7)/(1+Ft!G$39*($A495-Ft!G$2)^2)+Ft!G$7*EXP(Ft!G$40*($A495-Ft!G$2)^2)))</f>
        <v>0</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v>988</v>
      </c>
      <c r="B496">
        <v>12.780750455456996</v>
      </c>
      <c r="C496" s="6">
        <f t="shared" si="15"/>
        <v>12.695725737165969</v>
      </c>
      <c r="D496" s="19">
        <f t="shared" si="16"/>
        <v>7.2292027204685543E-3</v>
      </c>
      <c r="E496" s="3">
        <f>Ft!$B$12+Ft!$B$14*(Data!A496-Vars!$B$3)</f>
        <v>0</v>
      </c>
      <c r="F496" s="3">
        <f>IF(($A496-Ft!B$2)&lt;0,Ft!B$3*((1-Ft!B$6)/(1+Ft!B$37*($A496-Ft!B$2)^2)+Ft!B$6*EXP(Ft!B$38*($A496-Ft!B$2)^2)),Ft!B$3*((1-Ft!B$7)/(1+Ft!B$39*($A496-Ft!B$2)^2)+Ft!B$7*EXP(Ft!B$40*($A496-Ft!B$2)^2)))</f>
        <v>0</v>
      </c>
      <c r="G496" s="3">
        <f>IF(($A496-Ft!C$2)&lt;0,Ft!C$3*((1-Ft!C$6)/(1+Ft!C$37*($A496-Ft!C$2)^2)+Ft!C$6*EXP(Ft!C$38*($A496-Ft!C$2)^2)),Ft!C$3*((1-Ft!C$7)/(1+Ft!C$39*($A496-Ft!C$2)^2)+Ft!C$7*EXP(Ft!C$40*($A496-Ft!C$2)^2)))</f>
        <v>5.2367410844693484E-24</v>
      </c>
      <c r="H496" s="3">
        <f>IF(($A496-Ft!D$2)&lt;0,Ft!D$3*((1-Ft!D$6)/(1+Ft!D$37*($A496-Ft!D$2)^2)+Ft!D$6*EXP(Ft!D$38*($A496-Ft!D$2)^2)),Ft!D$3*((1-Ft!D$7)/(1+Ft!D$39*($A496-Ft!D$2)^2)+Ft!D$7*EXP(Ft!D$40*($A496-Ft!D$2)^2)))</f>
        <v>2.8474824272422275E-2</v>
      </c>
      <c r="I496" s="3">
        <f>IF(($A496-Ft!E$2)&lt;0,Ft!E$3*((1-Ft!E$6)/(1+Ft!E$37*($A496-Ft!E$2)^2)+Ft!E$6*EXP(Ft!E$38*($A496-Ft!E$2)^2)),Ft!E$3*((1-Ft!E$7)/(1+Ft!E$39*($A496-Ft!E$2)^2)+Ft!E$7*EXP(Ft!E$40*($A496-Ft!E$2)^2)))</f>
        <v>9.6889860586825467</v>
      </c>
      <c r="J496" s="3">
        <f>IF(($A496-Ft!F$2)&lt;0,Ft!F$3*((1-Ft!F$6)/(1+Ft!F$37*($A496-Ft!F$2)^2)+Ft!F$6*EXP(Ft!F$38*($A496-Ft!F$2)^2)),Ft!F$3*((1-Ft!F$7)/(1+Ft!F$39*($A496-Ft!F$2)^2)+Ft!F$7*EXP(Ft!F$40*($A496-Ft!F$2)^2)))</f>
        <v>2.9782648542110008</v>
      </c>
      <c r="K496" s="3">
        <f>IF(($A496-Ft!G$2)&lt;0,Ft!G$3*((1-Ft!G$6)/(1+Ft!G$37*($A496-Ft!G$2)^2)+Ft!G$6*EXP(Ft!G$38*($A496-Ft!G$2)^2)),Ft!G$3*((1-Ft!G$7)/(1+Ft!G$39*($A496-Ft!G$2)^2)+Ft!G$7*EXP(Ft!G$40*($A496-Ft!G$2)^2)))</f>
        <v>0</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v>990</v>
      </c>
      <c r="B497">
        <v>12.814034043451002</v>
      </c>
      <c r="C497" s="6">
        <f t="shared" si="15"/>
        <v>12.803947150964293</v>
      </c>
      <c r="D497" s="19">
        <f t="shared" si="16"/>
        <v>1.0174540003844032E-4</v>
      </c>
      <c r="E497" s="3">
        <f>Ft!$B$12+Ft!$B$14*(Data!A497-Vars!$B$3)</f>
        <v>0</v>
      </c>
      <c r="F497" s="3">
        <f>IF(($A497-Ft!B$2)&lt;0,Ft!B$3*((1-Ft!B$6)/(1+Ft!B$37*($A497-Ft!B$2)^2)+Ft!B$6*EXP(Ft!B$38*($A497-Ft!B$2)^2)),Ft!B$3*((1-Ft!B$7)/(1+Ft!B$39*($A497-Ft!B$2)^2)+Ft!B$7*EXP(Ft!B$40*($A497-Ft!B$2)^2)))</f>
        <v>0</v>
      </c>
      <c r="G497" s="3">
        <f>IF(($A497-Ft!C$2)&lt;0,Ft!C$3*((1-Ft!C$6)/(1+Ft!C$37*($A497-Ft!C$2)^2)+Ft!C$6*EXP(Ft!C$38*($A497-Ft!C$2)^2)),Ft!C$3*((1-Ft!C$7)/(1+Ft!C$39*($A497-Ft!C$2)^2)+Ft!C$7*EXP(Ft!C$40*($A497-Ft!C$2)^2)))</f>
        <v>4.0221932534445894E-24</v>
      </c>
      <c r="H497" s="3">
        <f>IF(($A497-Ft!D$2)&lt;0,Ft!D$3*((1-Ft!D$6)/(1+Ft!D$37*($A497-Ft!D$2)^2)+Ft!D$6*EXP(Ft!D$38*($A497-Ft!D$2)^2)),Ft!D$3*((1-Ft!D$7)/(1+Ft!D$39*($A497-Ft!D$2)^2)+Ft!D$7*EXP(Ft!D$40*($A497-Ft!D$2)^2)))</f>
        <v>2.7171013592584326E-2</v>
      </c>
      <c r="I497" s="3">
        <f>IF(($A497-Ft!E$2)&lt;0,Ft!E$3*((1-Ft!E$6)/(1+Ft!E$37*($A497-Ft!E$2)^2)+Ft!E$6*EXP(Ft!E$38*($A497-Ft!E$2)^2)),Ft!E$3*((1-Ft!E$7)/(1+Ft!E$39*($A497-Ft!E$2)^2)+Ft!E$7*EXP(Ft!E$40*($A497-Ft!E$2)^2)))</f>
        <v>9.5709371899505307</v>
      </c>
      <c r="J497" s="3">
        <f>IF(($A497-Ft!F$2)&lt;0,Ft!F$3*((1-Ft!F$6)/(1+Ft!F$37*($A497-Ft!F$2)^2)+Ft!F$6*EXP(Ft!F$38*($A497-Ft!F$2)^2)),Ft!F$3*((1-Ft!F$7)/(1+Ft!F$39*($A497-Ft!F$2)^2)+Ft!F$7*EXP(Ft!F$40*($A497-Ft!F$2)^2)))</f>
        <v>3.2058389474211784</v>
      </c>
      <c r="K497" s="3">
        <f>IF(($A497-Ft!G$2)&lt;0,Ft!G$3*((1-Ft!G$6)/(1+Ft!G$37*($A497-Ft!G$2)^2)+Ft!G$6*EXP(Ft!G$38*($A497-Ft!G$2)^2)),Ft!G$3*((1-Ft!G$7)/(1+Ft!G$39*($A497-Ft!G$2)^2)+Ft!G$7*EXP(Ft!G$40*($A497-Ft!G$2)^2)))</f>
        <v>0</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v>992</v>
      </c>
      <c r="B498">
        <v>12.849077586294996</v>
      </c>
      <c r="C498" s="6">
        <f t="shared" si="15"/>
        <v>12.917743437039164</v>
      </c>
      <c r="D498" s="19">
        <f t="shared" si="16"/>
        <v>4.7149990584203234E-3</v>
      </c>
      <c r="E498" s="3">
        <f>Ft!$B$12+Ft!$B$14*(Data!A498-Vars!$B$3)</f>
        <v>0</v>
      </c>
      <c r="F498" s="3">
        <f>IF(($A498-Ft!B$2)&lt;0,Ft!B$3*((1-Ft!B$6)/(1+Ft!B$37*($A498-Ft!B$2)^2)+Ft!B$6*EXP(Ft!B$38*($A498-Ft!B$2)^2)),Ft!B$3*((1-Ft!B$7)/(1+Ft!B$39*($A498-Ft!B$2)^2)+Ft!B$7*EXP(Ft!B$40*($A498-Ft!B$2)^2)))</f>
        <v>0</v>
      </c>
      <c r="G498" s="3">
        <f>IF(($A498-Ft!C$2)&lt;0,Ft!C$3*((1-Ft!C$6)/(1+Ft!C$37*($A498-Ft!C$2)^2)+Ft!C$6*EXP(Ft!C$38*($A498-Ft!C$2)^2)),Ft!C$3*((1-Ft!C$7)/(1+Ft!C$39*($A498-Ft!C$2)^2)+Ft!C$7*EXP(Ft!C$40*($A498-Ft!C$2)^2)))</f>
        <v>3.0874131803901938E-24</v>
      </c>
      <c r="H498" s="3">
        <f>IF(($A498-Ft!D$2)&lt;0,Ft!D$3*((1-Ft!D$6)/(1+Ft!D$37*($A498-Ft!D$2)^2)+Ft!D$6*EXP(Ft!D$38*($A498-Ft!D$2)^2)),Ft!D$3*((1-Ft!D$7)/(1+Ft!D$39*($A498-Ft!D$2)^2)+Ft!D$7*EXP(Ft!D$40*($A498-Ft!D$2)^2)))</f>
        <v>2.592249135018072E-2</v>
      </c>
      <c r="I498" s="3">
        <f>IF(($A498-Ft!E$2)&lt;0,Ft!E$3*((1-Ft!E$6)/(1+Ft!E$37*($A498-Ft!E$2)^2)+Ft!E$6*EXP(Ft!E$38*($A498-Ft!E$2)^2)),Ft!E$3*((1-Ft!E$7)/(1+Ft!E$39*($A498-Ft!E$2)^2)+Ft!E$7*EXP(Ft!E$40*($A498-Ft!E$2)^2)))</f>
        <v>9.45298651044242</v>
      </c>
      <c r="J498" s="3">
        <f>IF(($A498-Ft!F$2)&lt;0,Ft!F$3*((1-Ft!F$6)/(1+Ft!F$37*($A498-Ft!F$2)^2)+Ft!F$6*EXP(Ft!F$38*($A498-Ft!F$2)^2)),Ft!F$3*((1-Ft!F$7)/(1+Ft!F$39*($A498-Ft!F$2)^2)+Ft!F$7*EXP(Ft!F$40*($A498-Ft!F$2)^2)))</f>
        <v>3.4388344352465614</v>
      </c>
      <c r="K498" s="3">
        <f>IF(($A498-Ft!G$2)&lt;0,Ft!G$3*((1-Ft!G$6)/(1+Ft!G$37*($A498-Ft!G$2)^2)+Ft!G$6*EXP(Ft!G$38*($A498-Ft!G$2)^2)),Ft!G$3*((1-Ft!G$7)/(1+Ft!G$39*($A498-Ft!G$2)^2)+Ft!G$7*EXP(Ft!G$40*($A498-Ft!G$2)^2)))</f>
        <v>0</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v>994</v>
      </c>
      <c r="B499">
        <v>12.885060884314001</v>
      </c>
      <c r="C499" s="6">
        <f t="shared" si="15"/>
        <v>13.035863652756673</v>
      </c>
      <c r="D499" s="19">
        <f t="shared" si="16"/>
        <v>2.2741474969974095E-2</v>
      </c>
      <c r="E499" s="3">
        <f>Ft!$B$12+Ft!$B$14*(Data!A499-Vars!$B$3)</f>
        <v>0</v>
      </c>
      <c r="F499" s="3">
        <f>IF(($A499-Ft!B$2)&lt;0,Ft!B$3*((1-Ft!B$6)/(1+Ft!B$37*($A499-Ft!B$2)^2)+Ft!B$6*EXP(Ft!B$38*($A499-Ft!B$2)^2)),Ft!B$3*((1-Ft!B$7)/(1+Ft!B$39*($A499-Ft!B$2)^2)+Ft!B$7*EXP(Ft!B$40*($A499-Ft!B$2)^2)))</f>
        <v>0</v>
      </c>
      <c r="G499" s="3">
        <f>IF(($A499-Ft!C$2)&lt;0,Ft!C$3*((1-Ft!C$6)/(1+Ft!C$37*($A499-Ft!C$2)^2)+Ft!C$6*EXP(Ft!C$38*($A499-Ft!C$2)^2)),Ft!C$3*((1-Ft!C$7)/(1+Ft!C$39*($A499-Ft!C$2)^2)+Ft!C$7*EXP(Ft!C$40*($A499-Ft!C$2)^2)))</f>
        <v>2.3684082430245192E-24</v>
      </c>
      <c r="H499" s="3">
        <f>IF(($A499-Ft!D$2)&lt;0,Ft!D$3*((1-Ft!D$6)/(1+Ft!D$37*($A499-Ft!D$2)^2)+Ft!D$6*EXP(Ft!D$38*($A499-Ft!D$2)^2)),Ft!D$3*((1-Ft!D$7)/(1+Ft!D$39*($A499-Ft!D$2)^2)+Ft!D$7*EXP(Ft!D$40*($A499-Ft!D$2)^2)))</f>
        <v>2.4727132050989937E-2</v>
      </c>
      <c r="I499" s="3">
        <f>IF(($A499-Ft!E$2)&lt;0,Ft!E$3*((1-Ft!E$6)/(1+Ft!E$37*($A499-Ft!E$2)^2)+Ft!E$6*EXP(Ft!E$38*($A499-Ft!E$2)^2)),Ft!E$3*((1-Ft!E$7)/(1+Ft!E$39*($A499-Ft!E$2)^2)+Ft!E$7*EXP(Ft!E$40*($A499-Ft!E$2)^2)))</f>
        <v>9.3351660417258149</v>
      </c>
      <c r="J499" s="3">
        <f>IF(($A499-Ft!F$2)&lt;0,Ft!F$3*((1-Ft!F$6)/(1+Ft!F$37*($A499-Ft!F$2)^2)+Ft!F$6*EXP(Ft!F$38*($A499-Ft!F$2)^2)),Ft!F$3*((1-Ft!F$7)/(1+Ft!F$39*($A499-Ft!F$2)^2)+Ft!F$7*EXP(Ft!F$40*($A499-Ft!F$2)^2)))</f>
        <v>3.6759704789798686</v>
      </c>
      <c r="K499" s="3">
        <f>IF(($A499-Ft!G$2)&lt;0,Ft!G$3*((1-Ft!G$6)/(1+Ft!G$37*($A499-Ft!G$2)^2)+Ft!G$6*EXP(Ft!G$38*($A499-Ft!G$2)^2)),Ft!G$3*((1-Ft!G$7)/(1+Ft!G$39*($A499-Ft!G$2)^2)+Ft!G$7*EXP(Ft!G$40*($A499-Ft!G$2)^2)))</f>
        <v>0</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v>996</v>
      </c>
      <c r="B500">
        <v>12.92379689836099</v>
      </c>
      <c r="C500" s="6">
        <f t="shared" si="15"/>
        <v>13.156921277528239</v>
      </c>
      <c r="D500" s="19">
        <f t="shared" si="16"/>
        <v>5.4346976162115194E-2</v>
      </c>
      <c r="E500" s="3">
        <f>Ft!$B$12+Ft!$B$14*(Data!A500-Vars!$B$3)</f>
        <v>0</v>
      </c>
      <c r="F500" s="3">
        <f>IF(($A500-Ft!B$2)&lt;0,Ft!B$3*((1-Ft!B$6)/(1+Ft!B$37*($A500-Ft!B$2)^2)+Ft!B$6*EXP(Ft!B$38*($A500-Ft!B$2)^2)),Ft!B$3*((1-Ft!B$7)/(1+Ft!B$39*($A500-Ft!B$2)^2)+Ft!B$7*EXP(Ft!B$40*($A500-Ft!B$2)^2)))</f>
        <v>0</v>
      </c>
      <c r="G500" s="3">
        <f>IF(($A500-Ft!C$2)&lt;0,Ft!C$3*((1-Ft!C$6)/(1+Ft!C$37*($A500-Ft!C$2)^2)+Ft!C$6*EXP(Ft!C$38*($A500-Ft!C$2)^2)),Ft!C$3*((1-Ft!C$7)/(1+Ft!C$39*($A500-Ft!C$2)^2)+Ft!C$7*EXP(Ft!C$40*($A500-Ft!C$2)^2)))</f>
        <v>1.8157178515365926E-24</v>
      </c>
      <c r="H500" s="3">
        <f>IF(($A500-Ft!D$2)&lt;0,Ft!D$3*((1-Ft!D$6)/(1+Ft!D$37*($A500-Ft!D$2)^2)+Ft!D$6*EXP(Ft!D$38*($A500-Ft!D$2)^2)),Ft!D$3*((1-Ft!D$7)/(1+Ft!D$39*($A500-Ft!D$2)^2)+Ft!D$7*EXP(Ft!D$40*($A500-Ft!D$2)^2)))</f>
        <v>2.3582881534215141E-2</v>
      </c>
      <c r="I500" s="3">
        <f>IF(($A500-Ft!E$2)&lt;0,Ft!E$3*((1-Ft!E$6)/(1+Ft!E$37*($A500-Ft!E$2)^2)+Ft!E$6*EXP(Ft!E$38*($A500-Ft!E$2)^2)),Ft!E$3*((1-Ft!E$7)/(1+Ft!E$39*($A500-Ft!E$2)^2)+Ft!E$7*EXP(Ft!E$40*($A500-Ft!E$2)^2)))</f>
        <v>9.217507353486674</v>
      </c>
      <c r="J500" s="3">
        <f>IF(($A500-Ft!F$2)&lt;0,Ft!F$3*((1-Ft!F$6)/(1+Ft!F$37*($A500-Ft!F$2)^2)+Ft!F$6*EXP(Ft!F$38*($A500-Ft!F$2)^2)),Ft!F$3*((1-Ft!F$7)/(1+Ft!F$39*($A500-Ft!F$2)^2)+Ft!F$7*EXP(Ft!F$40*($A500-Ft!F$2)^2)))</f>
        <v>3.9158310425073495</v>
      </c>
      <c r="K500" s="3">
        <f>IF(($A500-Ft!G$2)&lt;0,Ft!G$3*((1-Ft!G$6)/(1+Ft!G$37*($A500-Ft!G$2)^2)+Ft!G$6*EXP(Ft!G$38*($A500-Ft!G$2)^2)),Ft!G$3*((1-Ft!G$7)/(1+Ft!G$39*($A500-Ft!G$2)^2)+Ft!G$7*EXP(Ft!G$40*($A500-Ft!G$2)^2)))</f>
        <v>0</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v>998</v>
      </c>
      <c r="B501">
        <v>12.978637310248999</v>
      </c>
      <c r="C501" s="6">
        <f t="shared" si="15"/>
        <v>13.279405182419575</v>
      </c>
      <c r="D501" s="19">
        <f t="shared" si="16"/>
        <v>9.0461312930016066E-2</v>
      </c>
      <c r="E501" s="3">
        <f>Ft!$B$12+Ft!$B$14*(Data!A501-Vars!$B$3)</f>
        <v>0</v>
      </c>
      <c r="F501" s="3">
        <f>IF(($A501-Ft!B$2)&lt;0,Ft!B$3*((1-Ft!B$6)/(1+Ft!B$37*($A501-Ft!B$2)^2)+Ft!B$6*EXP(Ft!B$38*($A501-Ft!B$2)^2)),Ft!B$3*((1-Ft!B$7)/(1+Ft!B$39*($A501-Ft!B$2)^2)+Ft!B$7*EXP(Ft!B$40*($A501-Ft!B$2)^2)))</f>
        <v>0</v>
      </c>
      <c r="G501" s="3">
        <f>IF(($A501-Ft!C$2)&lt;0,Ft!C$3*((1-Ft!C$6)/(1+Ft!C$37*($A501-Ft!C$2)^2)+Ft!C$6*EXP(Ft!C$38*($A501-Ft!C$2)^2)),Ft!C$3*((1-Ft!C$7)/(1+Ft!C$39*($A501-Ft!C$2)^2)+Ft!C$7*EXP(Ft!C$40*($A501-Ft!C$2)^2)))</f>
        <v>1.3911378030066051E-24</v>
      </c>
      <c r="H501" s="3">
        <f>IF(($A501-Ft!D$2)&lt;0,Ft!D$3*((1-Ft!D$6)/(1+Ft!D$37*($A501-Ft!D$2)^2)+Ft!D$6*EXP(Ft!D$38*($A501-Ft!D$2)^2)),Ft!D$3*((1-Ft!D$7)/(1+Ft!D$39*($A501-Ft!D$2)^2)+Ft!D$7*EXP(Ft!D$40*($A501-Ft!D$2)^2)))</f>
        <v>2.2487755048560331E-2</v>
      </c>
      <c r="I501" s="3">
        <f>IF(($A501-Ft!E$2)&lt;0,Ft!E$3*((1-Ft!E$6)/(1+Ft!E$37*($A501-Ft!E$2)^2)+Ft!E$6*EXP(Ft!E$38*($A501-Ft!E$2)^2)),Ft!E$3*((1-Ft!E$7)/(1+Ft!E$39*($A501-Ft!E$2)^2)+Ft!E$7*EXP(Ft!E$40*($A501-Ft!E$2)^2)))</f>
        <v>9.1000415513743711</v>
      </c>
      <c r="J501" s="3">
        <f>IF(($A501-Ft!F$2)&lt;0,Ft!F$3*((1-Ft!F$6)/(1+Ft!F$37*($A501-Ft!F$2)^2)+Ft!F$6*EXP(Ft!F$38*($A501-Ft!F$2)^2)),Ft!F$3*((1-Ft!F$7)/(1+Ft!F$39*($A501-Ft!F$2)^2)+Ft!F$7*EXP(Ft!F$40*($A501-Ft!F$2)^2)))</f>
        <v>4.1568758759966435</v>
      </c>
      <c r="K501" s="3">
        <f>IF(($A501-Ft!G$2)&lt;0,Ft!G$3*((1-Ft!G$6)/(1+Ft!G$37*($A501-Ft!G$2)^2)+Ft!G$6*EXP(Ft!G$38*($A501-Ft!G$2)^2)),Ft!G$3*((1-Ft!G$7)/(1+Ft!G$39*($A501-Ft!G$2)^2)+Ft!G$7*EXP(Ft!G$40*($A501-Ft!G$2)^2)))</f>
        <v>0</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v>1000</v>
      </c>
      <c r="B502">
        <v>13.047236983234001</v>
      </c>
      <c r="C502" s="6">
        <f t="shared" si="15"/>
        <v>13.401693558335651</v>
      </c>
      <c r="D502" s="19">
        <f t="shared" si="16"/>
        <v>0.1256394636327921</v>
      </c>
      <c r="E502" s="3">
        <f>Ft!$B$12+Ft!$B$14*(Data!A502-Vars!$B$3)</f>
        <v>0</v>
      </c>
      <c r="F502" s="3">
        <f>IF(($A502-Ft!B$2)&lt;0,Ft!B$3*((1-Ft!B$6)/(1+Ft!B$37*($A502-Ft!B$2)^2)+Ft!B$6*EXP(Ft!B$38*($A502-Ft!B$2)^2)),Ft!B$3*((1-Ft!B$7)/(1+Ft!B$39*($A502-Ft!B$2)^2)+Ft!B$7*EXP(Ft!B$40*($A502-Ft!B$2)^2)))</f>
        <v>0</v>
      </c>
      <c r="G502" s="3">
        <f>IF(($A502-Ft!C$2)&lt;0,Ft!C$3*((1-Ft!C$6)/(1+Ft!C$37*($A502-Ft!C$2)^2)+Ft!C$6*EXP(Ft!C$38*($A502-Ft!C$2)^2)),Ft!C$3*((1-Ft!C$7)/(1+Ft!C$39*($A502-Ft!C$2)^2)+Ft!C$7*EXP(Ft!C$40*($A502-Ft!C$2)^2)))</f>
        <v>1.0651773689429908E-24</v>
      </c>
      <c r="H502" s="3">
        <f>IF(($A502-Ft!D$2)&lt;0,Ft!D$3*((1-Ft!D$6)/(1+Ft!D$37*($A502-Ft!D$2)^2)+Ft!D$6*EXP(Ft!D$38*($A502-Ft!D$2)^2)),Ft!D$3*((1-Ft!D$7)/(1+Ft!D$39*($A502-Ft!D$2)^2)+Ft!D$7*EXP(Ft!D$40*($A502-Ft!D$2)^2)))</f>
        <v>2.1439835359513059E-2</v>
      </c>
      <c r="I502" s="3">
        <f>IF(($A502-Ft!E$2)&lt;0,Ft!E$3*((1-Ft!E$6)/(1+Ft!E$37*($A502-Ft!E$2)^2)+Ft!E$6*EXP(Ft!E$38*($A502-Ft!E$2)^2)),Ft!E$3*((1-Ft!E$7)/(1+Ft!E$39*($A502-Ft!E$2)^2)+Ft!E$7*EXP(Ft!E$40*($A502-Ft!E$2)^2)))</f>
        <v>8.9827992653258217</v>
      </c>
      <c r="J502" s="3">
        <f>IF(($A502-Ft!F$2)&lt;0,Ft!F$3*((1-Ft!F$6)/(1+Ft!F$37*($A502-Ft!F$2)^2)+Ft!F$6*EXP(Ft!F$38*($A502-Ft!F$2)^2)),Ft!F$3*((1-Ft!F$7)/(1+Ft!F$39*($A502-Ft!F$2)^2)+Ft!F$7*EXP(Ft!F$40*($A502-Ft!F$2)^2)))</f>
        <v>4.3974544576503174</v>
      </c>
      <c r="K502" s="3">
        <f>IF(($A502-Ft!G$2)&lt;0,Ft!G$3*((1-Ft!G$6)/(1+Ft!G$37*($A502-Ft!G$2)^2)+Ft!G$6*EXP(Ft!G$38*($A502-Ft!G$2)^2)),Ft!G$3*((1-Ft!G$7)/(1+Ft!G$39*($A502-Ft!G$2)^2)+Ft!G$7*EXP(Ft!G$40*($A502-Ft!G$2)^2)))</f>
        <v>0</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v>1002</v>
      </c>
      <c r="B503">
        <v>13.124436833196</v>
      </c>
      <c r="C503" s="6">
        <f t="shared" si="15"/>
        <v>13.522070696600416</v>
      </c>
      <c r="D503" s="19">
        <f t="shared" si="16"/>
        <v>0.15811268932592129</v>
      </c>
      <c r="E503" s="3">
        <f>Ft!$B$12+Ft!$B$14*(Data!A503-Vars!$B$3)</f>
        <v>0</v>
      </c>
      <c r="F503" s="3">
        <f>IF(($A503-Ft!B$2)&lt;0,Ft!B$3*((1-Ft!B$6)/(1+Ft!B$37*($A503-Ft!B$2)^2)+Ft!B$6*EXP(Ft!B$38*($A503-Ft!B$2)^2)),Ft!B$3*((1-Ft!B$7)/(1+Ft!B$39*($A503-Ft!B$2)^2)+Ft!B$7*EXP(Ft!B$40*($A503-Ft!B$2)^2)))</f>
        <v>0</v>
      </c>
      <c r="G503" s="3">
        <f>IF(($A503-Ft!C$2)&lt;0,Ft!C$3*((1-Ft!C$6)/(1+Ft!C$37*($A503-Ft!C$2)^2)+Ft!C$6*EXP(Ft!C$38*($A503-Ft!C$2)^2)),Ft!C$3*((1-Ft!C$7)/(1+Ft!C$39*($A503-Ft!C$2)^2)+Ft!C$7*EXP(Ft!C$40*($A503-Ft!C$2)^2)))</f>
        <v>8.1508649696384996E-25</v>
      </c>
      <c r="H503" s="3">
        <f>IF(($A503-Ft!D$2)&lt;0,Ft!D$3*((1-Ft!D$6)/(1+Ft!D$37*($A503-Ft!D$2)^2)+Ft!D$6*EXP(Ft!D$38*($A503-Ft!D$2)^2)),Ft!D$3*((1-Ft!D$7)/(1+Ft!D$39*($A503-Ft!D$2)^2)+Ft!D$7*EXP(Ft!D$40*($A503-Ft!D$2)^2)))</f>
        <v>2.043727088827553E-2</v>
      </c>
      <c r="I503" s="3">
        <f>IF(($A503-Ft!E$2)&lt;0,Ft!E$3*((1-Ft!E$6)/(1+Ft!E$37*($A503-Ft!E$2)^2)+Ft!E$6*EXP(Ft!E$38*($A503-Ft!E$2)^2)),Ft!E$3*((1-Ft!E$7)/(1+Ft!E$39*($A503-Ft!E$2)^2)+Ft!E$7*EXP(Ft!E$40*($A503-Ft!E$2)^2)))</f>
        <v>8.8658106383725972</v>
      </c>
      <c r="J503" s="3">
        <f>IF(($A503-Ft!F$2)&lt;0,Ft!F$3*((1-Ft!F$6)/(1+Ft!F$37*($A503-Ft!F$2)^2)+Ft!F$6*EXP(Ft!F$38*($A503-Ft!F$2)^2)),Ft!F$3*((1-Ft!F$7)/(1+Ft!F$39*($A503-Ft!F$2)^2)+Ft!F$7*EXP(Ft!F$40*($A503-Ft!F$2)^2)))</f>
        <v>4.6358227873395439</v>
      </c>
      <c r="K503" s="3">
        <f>IF(($A503-Ft!G$2)&lt;0,Ft!G$3*((1-Ft!G$6)/(1+Ft!G$37*($A503-Ft!G$2)^2)+Ft!G$6*EXP(Ft!G$38*($A503-Ft!G$2)^2)),Ft!G$3*((1-Ft!G$7)/(1+Ft!G$39*($A503-Ft!G$2)^2)+Ft!G$7*EXP(Ft!G$40*($A503-Ft!G$2)^2)))</f>
        <v>0</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v>1004</v>
      </c>
      <c r="B504">
        <v>13.205077776015997</v>
      </c>
      <c r="C504" s="6">
        <f t="shared" si="15"/>
        <v>13.638746437813396</v>
      </c>
      <c r="D504" s="19">
        <f t="shared" si="16"/>
        <v>0.18806850822514609</v>
      </c>
      <c r="E504" s="3">
        <f>Ft!$B$12+Ft!$B$14*(Data!A504-Vars!$B$3)</f>
        <v>0</v>
      </c>
      <c r="F504" s="3">
        <f>IF(($A504-Ft!B$2)&lt;0,Ft!B$3*((1-Ft!B$6)/(1+Ft!B$37*($A504-Ft!B$2)^2)+Ft!B$6*EXP(Ft!B$38*($A504-Ft!B$2)^2)),Ft!B$3*((1-Ft!B$7)/(1+Ft!B$39*($A504-Ft!B$2)^2)+Ft!B$7*EXP(Ft!B$40*($A504-Ft!B$2)^2)))</f>
        <v>0</v>
      </c>
      <c r="G504" s="3">
        <f>IF(($A504-Ft!C$2)&lt;0,Ft!C$3*((1-Ft!C$6)/(1+Ft!C$37*($A504-Ft!C$2)^2)+Ft!C$6*EXP(Ft!C$38*($A504-Ft!C$2)^2)),Ft!C$3*((1-Ft!C$7)/(1+Ft!C$39*($A504-Ft!C$2)^2)+Ft!C$7*EXP(Ft!C$40*($A504-Ft!C$2)^2)))</f>
        <v>6.2332630611409419E-25</v>
      </c>
      <c r="H504" s="3">
        <f>IF(($A504-Ft!D$2)&lt;0,Ft!D$3*((1-Ft!D$6)/(1+Ft!D$37*($A504-Ft!D$2)^2)+Ft!D$6*EXP(Ft!D$38*($A504-Ft!D$2)^2)),Ft!D$3*((1-Ft!D$7)/(1+Ft!D$39*($A504-Ft!D$2)^2)+Ft!D$7*EXP(Ft!D$40*($A504-Ft!D$2)^2)))</f>
        <v>1.9478273882730119E-2</v>
      </c>
      <c r="I504" s="3">
        <f>IF(($A504-Ft!E$2)&lt;0,Ft!E$3*((1-Ft!E$6)/(1+Ft!E$37*($A504-Ft!E$2)^2)+Ft!E$6*EXP(Ft!E$38*($A504-Ft!E$2)^2)),Ft!E$3*((1-Ft!E$7)/(1+Ft!E$39*($A504-Ft!E$2)^2)+Ft!E$7*EXP(Ft!E$40*($A504-Ft!E$2)^2)))</f>
        <v>8.7491053159343046</v>
      </c>
      <c r="J504" s="3">
        <f>IF(($A504-Ft!F$2)&lt;0,Ft!F$3*((1-Ft!F$6)/(1+Ft!F$37*($A504-Ft!F$2)^2)+Ft!F$6*EXP(Ft!F$38*($A504-Ft!F$2)^2)),Ft!F$3*((1-Ft!F$7)/(1+Ft!F$39*($A504-Ft!F$2)^2)+Ft!F$7*EXP(Ft!F$40*($A504-Ft!F$2)^2)))</f>
        <v>4.8701628479963608</v>
      </c>
      <c r="K504" s="3">
        <f>IF(($A504-Ft!G$2)&lt;0,Ft!G$3*((1-Ft!G$6)/(1+Ft!G$37*($A504-Ft!G$2)^2)+Ft!G$6*EXP(Ft!G$38*($A504-Ft!G$2)^2)),Ft!G$3*((1-Ft!G$7)/(1+Ft!G$39*($A504-Ft!G$2)^2)+Ft!G$7*EXP(Ft!G$40*($A504-Ft!G$2)^2)))</f>
        <v>0</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v>1006</v>
      </c>
      <c r="B505">
        <v>13.284000727573996</v>
      </c>
      <c r="C505" s="6">
        <f t="shared" si="15"/>
        <v>13.749878027389702</v>
      </c>
      <c r="D505" s="19">
        <f t="shared" si="16"/>
        <v>0.21704165848357274</v>
      </c>
      <c r="E505" s="3">
        <f>Ft!$B$12+Ft!$B$14*(Data!A505-Vars!$B$3)</f>
        <v>0</v>
      </c>
      <c r="F505" s="3">
        <f>IF(($A505-Ft!B$2)&lt;0,Ft!B$3*((1-Ft!B$6)/(1+Ft!B$37*($A505-Ft!B$2)^2)+Ft!B$6*EXP(Ft!B$38*($A505-Ft!B$2)^2)),Ft!B$3*((1-Ft!B$7)/(1+Ft!B$39*($A505-Ft!B$2)^2)+Ft!B$7*EXP(Ft!B$40*($A505-Ft!B$2)^2)))</f>
        <v>0</v>
      </c>
      <c r="G505" s="3">
        <f>IF(($A505-Ft!C$2)&lt;0,Ft!C$3*((1-Ft!C$6)/(1+Ft!C$37*($A505-Ft!C$2)^2)+Ft!C$6*EXP(Ft!C$38*($A505-Ft!C$2)^2)),Ft!C$3*((1-Ft!C$7)/(1+Ft!C$39*($A505-Ft!C$2)^2)+Ft!C$7*EXP(Ft!C$40*($A505-Ft!C$2)^2)))</f>
        <v>4.7638403913025726E-25</v>
      </c>
      <c r="H505" s="3">
        <f>IF(($A505-Ft!D$2)&lt;0,Ft!D$3*((1-Ft!D$6)/(1+Ft!D$37*($A505-Ft!D$2)^2)+Ft!D$6*EXP(Ft!D$38*($A505-Ft!D$2)^2)),Ft!D$3*((1-Ft!D$7)/(1+Ft!D$39*($A505-Ft!D$2)^2)+Ft!D$7*EXP(Ft!D$40*($A505-Ft!D$2)^2)))</f>
        <v>1.8561118620769371E-2</v>
      </c>
      <c r="I505" s="3">
        <f>IF(($A505-Ft!E$2)&lt;0,Ft!E$3*((1-Ft!E$6)/(1+Ft!E$37*($A505-Ft!E$2)^2)+Ft!E$6*EXP(Ft!E$38*($A505-Ft!E$2)^2)),Ft!E$3*((1-Ft!E$7)/(1+Ft!E$39*($A505-Ft!E$2)^2)+Ft!E$7*EXP(Ft!E$40*($A505-Ft!E$2)^2)))</f>
        <v>8.6327124356009826</v>
      </c>
      <c r="J505" s="3">
        <f>IF(($A505-Ft!F$2)&lt;0,Ft!F$3*((1-Ft!F$6)/(1+Ft!F$37*($A505-Ft!F$2)^2)+Ft!F$6*EXP(Ft!F$38*($A505-Ft!F$2)^2)),Ft!F$3*((1-Ft!F$7)/(1+Ft!F$39*($A505-Ft!F$2)^2)+Ft!F$7*EXP(Ft!F$40*($A505-Ft!F$2)^2)))</f>
        <v>5.0986044731679501</v>
      </c>
      <c r="K505" s="3">
        <f>IF(($A505-Ft!G$2)&lt;0,Ft!G$3*((1-Ft!G$6)/(1+Ft!G$37*($A505-Ft!G$2)^2)+Ft!G$6*EXP(Ft!G$38*($A505-Ft!G$2)^2)),Ft!G$3*((1-Ft!G$7)/(1+Ft!G$39*($A505-Ft!G$2)^2)+Ft!G$7*EXP(Ft!G$40*($A505-Ft!G$2)^2)))</f>
        <v>0</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v>1008</v>
      </c>
      <c r="B506">
        <v>13.356046603747998</v>
      </c>
      <c r="C506" s="6">
        <f t="shared" si="15"/>
        <v>13.853594041683202</v>
      </c>
      <c r="D506" s="19">
        <f t="shared" si="16"/>
        <v>0.2475534529958853</v>
      </c>
      <c r="E506" s="3">
        <f>Ft!$B$12+Ft!$B$14*(Data!A506-Vars!$B$3)</f>
        <v>0</v>
      </c>
      <c r="F506" s="3">
        <f>IF(($A506-Ft!B$2)&lt;0,Ft!B$3*((1-Ft!B$6)/(1+Ft!B$37*($A506-Ft!B$2)^2)+Ft!B$6*EXP(Ft!B$38*($A506-Ft!B$2)^2)),Ft!B$3*((1-Ft!B$7)/(1+Ft!B$39*($A506-Ft!B$2)^2)+Ft!B$7*EXP(Ft!B$40*($A506-Ft!B$2)^2)))</f>
        <v>0</v>
      </c>
      <c r="G506" s="3">
        <f>IF(($A506-Ft!C$2)&lt;0,Ft!C$3*((1-Ft!C$6)/(1+Ft!C$37*($A506-Ft!C$2)^2)+Ft!C$6*EXP(Ft!C$38*($A506-Ft!C$2)^2)),Ft!C$3*((1-Ft!C$7)/(1+Ft!C$39*($A506-Ft!C$2)^2)+Ft!C$7*EXP(Ft!C$40*($A506-Ft!C$2)^2)))</f>
        <v>3.6385549528804914E-25</v>
      </c>
      <c r="H506" s="3">
        <f>IF(($A506-Ft!D$2)&lt;0,Ft!D$3*((1-Ft!D$6)/(1+Ft!D$37*($A506-Ft!D$2)^2)+Ft!D$6*EXP(Ft!D$38*($A506-Ft!D$2)^2)),Ft!D$3*((1-Ft!D$7)/(1+Ft!D$39*($A506-Ft!D$2)^2)+Ft!D$7*EXP(Ft!D$40*($A506-Ft!D$2)^2)))</f>
        <v>1.7684139646267687E-2</v>
      </c>
      <c r="I506" s="3">
        <f>IF(($A506-Ft!E$2)&lt;0,Ft!E$3*((1-Ft!E$6)/(1+Ft!E$37*($A506-Ft!E$2)^2)+Ft!E$6*EXP(Ft!E$38*($A506-Ft!E$2)^2)),Ft!E$3*((1-Ft!E$7)/(1+Ft!E$39*($A506-Ft!E$2)^2)+Ft!E$7*EXP(Ft!E$40*($A506-Ft!E$2)^2)))</f>
        <v>8.5166606174068153</v>
      </c>
      <c r="J506" s="3">
        <f>IF(($A506-Ft!F$2)&lt;0,Ft!F$3*((1-Ft!F$6)/(1+Ft!F$37*($A506-Ft!F$2)^2)+Ft!F$6*EXP(Ft!F$38*($A506-Ft!F$2)^2)),Ft!F$3*((1-Ft!F$7)/(1+Ft!F$39*($A506-Ft!F$2)^2)+Ft!F$7*EXP(Ft!F$40*($A506-Ft!F$2)^2)))</f>
        <v>5.3192492846301187</v>
      </c>
      <c r="K506" s="3">
        <f>IF(($A506-Ft!G$2)&lt;0,Ft!G$3*((1-Ft!G$6)/(1+Ft!G$37*($A506-Ft!G$2)^2)+Ft!G$6*EXP(Ft!G$38*($A506-Ft!G$2)^2)),Ft!G$3*((1-Ft!G$7)/(1+Ft!G$39*($A506-Ft!G$2)^2)+Ft!G$7*EXP(Ft!G$40*($A506-Ft!G$2)^2)))</f>
        <v>0</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v>1010</v>
      </c>
      <c r="B507">
        <v>13.416056320419997</v>
      </c>
      <c r="C507" s="6">
        <f t="shared" si="15"/>
        <v>13.948019979601465</v>
      </c>
      <c r="D507" s="19">
        <f t="shared" si="16"/>
        <v>0.28298533468973686</v>
      </c>
      <c r="E507" s="3">
        <f>Ft!$B$12+Ft!$B$14*(Data!A507-Vars!$B$3)</f>
        <v>0</v>
      </c>
      <c r="F507" s="3">
        <f>IF(($A507-Ft!B$2)&lt;0,Ft!B$3*((1-Ft!B$6)/(1+Ft!B$37*($A507-Ft!B$2)^2)+Ft!B$6*EXP(Ft!B$38*($A507-Ft!B$2)^2)),Ft!B$3*((1-Ft!B$7)/(1+Ft!B$39*($A507-Ft!B$2)^2)+Ft!B$7*EXP(Ft!B$40*($A507-Ft!B$2)^2)))</f>
        <v>0</v>
      </c>
      <c r="G507" s="3">
        <f>IF(($A507-Ft!C$2)&lt;0,Ft!C$3*((1-Ft!C$6)/(1+Ft!C$37*($A507-Ft!C$2)^2)+Ft!C$6*EXP(Ft!C$38*($A507-Ft!C$2)^2)),Ft!C$3*((1-Ft!C$7)/(1+Ft!C$39*($A507-Ft!C$2)^2)+Ft!C$7*EXP(Ft!C$40*($A507-Ft!C$2)^2)))</f>
        <v>2.7773503274000646E-25</v>
      </c>
      <c r="H507" s="3">
        <f>IF(($A507-Ft!D$2)&lt;0,Ft!D$3*((1-Ft!D$6)/(1+Ft!D$37*($A507-Ft!D$2)^2)+Ft!D$6*EXP(Ft!D$38*($A507-Ft!D$2)^2)),Ft!D$3*((1-Ft!D$7)/(1+Ft!D$39*($A507-Ft!D$2)^2)+Ft!D$7*EXP(Ft!D$40*($A507-Ft!D$2)^2)))</f>
        <v>1.6845730037920909E-2</v>
      </c>
      <c r="I507" s="3">
        <f>IF(($A507-Ft!E$2)&lt;0,Ft!E$3*((1-Ft!E$6)/(1+Ft!E$37*($A507-Ft!E$2)^2)+Ft!E$6*EXP(Ft!E$38*($A507-Ft!E$2)^2)),Ft!E$3*((1-Ft!E$7)/(1+Ft!E$39*($A507-Ft!E$2)^2)+Ft!E$7*EXP(Ft!E$40*($A507-Ft!E$2)^2)))</f>
        <v>8.4009779545969003</v>
      </c>
      <c r="J507" s="3">
        <f>IF(($A507-Ft!F$2)&lt;0,Ft!F$3*((1-Ft!F$6)/(1+Ft!F$37*($A507-Ft!F$2)^2)+Ft!F$6*EXP(Ft!F$38*($A507-Ft!F$2)^2)),Ft!F$3*((1-Ft!F$7)/(1+Ft!F$39*($A507-Ft!F$2)^2)+Ft!F$7*EXP(Ft!F$40*($A507-Ft!F$2)^2)))</f>
        <v>5.5301962949666423</v>
      </c>
      <c r="K507" s="3">
        <f>IF(($A507-Ft!G$2)&lt;0,Ft!G$3*((1-Ft!G$6)/(1+Ft!G$37*($A507-Ft!G$2)^2)+Ft!G$6*EXP(Ft!G$38*($A507-Ft!G$2)^2)),Ft!G$3*((1-Ft!G$7)/(1+Ft!G$39*($A507-Ft!G$2)^2)+Ft!G$7*EXP(Ft!G$40*($A507-Ft!G$2)^2)))</f>
        <v>0</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v>1012</v>
      </c>
      <c r="B508">
        <v>13.458870793467995</v>
      </c>
      <c r="C508" s="6">
        <f t="shared" si="15"/>
        <v>14.031305053634764</v>
      </c>
      <c r="D508" s="19">
        <f t="shared" si="16"/>
        <v>0.32768098221267655</v>
      </c>
      <c r="E508" s="3">
        <f>Ft!$B$12+Ft!$B$14*(Data!A508-Vars!$B$3)</f>
        <v>0</v>
      </c>
      <c r="F508" s="3">
        <f>IF(($A508-Ft!B$2)&lt;0,Ft!B$3*((1-Ft!B$6)/(1+Ft!B$37*($A508-Ft!B$2)^2)+Ft!B$6*EXP(Ft!B$38*($A508-Ft!B$2)^2)),Ft!B$3*((1-Ft!B$7)/(1+Ft!B$39*($A508-Ft!B$2)^2)+Ft!B$7*EXP(Ft!B$40*($A508-Ft!B$2)^2)))</f>
        <v>0</v>
      </c>
      <c r="G508" s="3">
        <f>IF(($A508-Ft!C$2)&lt;0,Ft!C$3*((1-Ft!C$6)/(1+Ft!C$37*($A508-Ft!C$2)^2)+Ft!C$6*EXP(Ft!C$38*($A508-Ft!C$2)^2)),Ft!C$3*((1-Ft!C$7)/(1+Ft!C$39*($A508-Ft!C$2)^2)+Ft!C$7*EXP(Ft!C$40*($A508-Ft!C$2)^2)))</f>
        <v>2.1186654228512603E-25</v>
      </c>
      <c r="H508" s="3">
        <f>IF(($A508-Ft!D$2)&lt;0,Ft!D$3*((1-Ft!D$6)/(1+Ft!D$37*($A508-Ft!D$2)^2)+Ft!D$6*EXP(Ft!D$38*($A508-Ft!D$2)^2)),Ft!D$3*((1-Ft!D$7)/(1+Ft!D$39*($A508-Ft!D$2)^2)+Ft!D$7*EXP(Ft!D$40*($A508-Ft!D$2)^2)))</f>
        <v>1.6044339711131457E-2</v>
      </c>
      <c r="I508" s="3">
        <f>IF(($A508-Ft!E$2)&lt;0,Ft!E$3*((1-Ft!E$6)/(1+Ft!E$37*($A508-Ft!E$2)^2)+Ft!E$6*EXP(Ft!E$38*($A508-Ft!E$2)^2)),Ft!E$3*((1-Ft!E$7)/(1+Ft!E$39*($A508-Ft!E$2)^2)+Ft!E$7*EXP(Ft!E$40*($A508-Ft!E$2)^2)))</f>
        <v>8.2856920048883147</v>
      </c>
      <c r="J508" s="3">
        <f>IF(($A508-Ft!F$2)&lt;0,Ft!F$3*((1-Ft!F$6)/(1+Ft!F$37*($A508-Ft!F$2)^2)+Ft!F$6*EXP(Ft!F$38*($A508-Ft!F$2)^2)),Ft!F$3*((1-Ft!F$7)/(1+Ft!F$39*($A508-Ft!F$2)^2)+Ft!F$7*EXP(Ft!F$40*($A508-Ft!F$2)^2)))</f>
        <v>5.7295687090353171</v>
      </c>
      <c r="K508" s="3">
        <f>IF(($A508-Ft!G$2)&lt;0,Ft!G$3*((1-Ft!G$6)/(1+Ft!G$37*($A508-Ft!G$2)^2)+Ft!G$6*EXP(Ft!G$38*($A508-Ft!G$2)^2)),Ft!G$3*((1-Ft!G$7)/(1+Ft!G$39*($A508-Ft!G$2)^2)+Ft!G$7*EXP(Ft!G$40*($A508-Ft!G$2)^2)))</f>
        <v>0</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v>1014</v>
      </c>
      <c r="B509">
        <v>13.503163796118002</v>
      </c>
      <c r="C509" s="6">
        <f t="shared" si="15"/>
        <v>14.101649663570921</v>
      </c>
      <c r="D509" s="19">
        <f t="shared" si="16"/>
        <v>0.3581853335408724</v>
      </c>
      <c r="E509" s="3">
        <f>Ft!$B$12+Ft!$B$14*(Data!A509-Vars!$B$3)</f>
        <v>0</v>
      </c>
      <c r="F509" s="3">
        <f>IF(($A509-Ft!B$2)&lt;0,Ft!B$3*((1-Ft!B$6)/(1+Ft!B$37*($A509-Ft!B$2)^2)+Ft!B$6*EXP(Ft!B$38*($A509-Ft!B$2)^2)),Ft!B$3*((1-Ft!B$7)/(1+Ft!B$39*($A509-Ft!B$2)^2)+Ft!B$7*EXP(Ft!B$40*($A509-Ft!B$2)^2)))</f>
        <v>0</v>
      </c>
      <c r="G509" s="3">
        <f>IF(($A509-Ft!C$2)&lt;0,Ft!C$3*((1-Ft!C$6)/(1+Ft!C$37*($A509-Ft!C$2)^2)+Ft!C$6*EXP(Ft!C$38*($A509-Ft!C$2)^2)),Ft!C$3*((1-Ft!C$7)/(1+Ft!C$39*($A509-Ft!C$2)^2)+Ft!C$7*EXP(Ft!C$40*($A509-Ft!C$2)^2)))</f>
        <v>1.6151917333846287E-25</v>
      </c>
      <c r="H509" s="3">
        <f>IF(($A509-Ft!D$2)&lt;0,Ft!D$3*((1-Ft!D$6)/(1+Ft!D$37*($A509-Ft!D$2)^2)+Ft!D$6*EXP(Ft!D$38*($A509-Ft!D$2)^2)),Ft!D$3*((1-Ft!D$7)/(1+Ft!D$39*($A509-Ft!D$2)^2)+Ft!D$7*EXP(Ft!D$40*($A509-Ft!D$2)^2)))</f>
        <v>1.5278473753069391E-2</v>
      </c>
      <c r="I509" s="3">
        <f>IF(($A509-Ft!E$2)&lt;0,Ft!E$3*((1-Ft!E$6)/(1+Ft!E$37*($A509-Ft!E$2)^2)+Ft!E$6*EXP(Ft!E$38*($A509-Ft!E$2)^2)),Ft!E$3*((1-Ft!E$7)/(1+Ft!E$39*($A509-Ft!E$2)^2)+Ft!E$7*EXP(Ft!E$40*($A509-Ft!E$2)^2)))</f>
        <v>8.1708297822262015</v>
      </c>
      <c r="J509" s="3">
        <f>IF(($A509-Ft!F$2)&lt;0,Ft!F$3*((1-Ft!F$6)/(1+Ft!F$37*($A509-Ft!F$2)^2)+Ft!F$6*EXP(Ft!F$38*($A509-Ft!F$2)^2)),Ft!F$3*((1-Ft!F$7)/(1+Ft!F$39*($A509-Ft!F$2)^2)+Ft!F$7*EXP(Ft!F$40*($A509-Ft!F$2)^2)))</f>
        <v>5.9155414075916495</v>
      </c>
      <c r="K509" s="3">
        <f>IF(($A509-Ft!G$2)&lt;0,Ft!G$3*((1-Ft!G$6)/(1+Ft!G$37*($A509-Ft!G$2)^2)+Ft!G$6*EXP(Ft!G$38*($A509-Ft!G$2)^2)),Ft!G$3*((1-Ft!G$7)/(1+Ft!G$39*($A509-Ft!G$2)^2)+Ft!G$7*EXP(Ft!G$40*($A509-Ft!G$2)^2)))</f>
        <v>0</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v>1016</v>
      </c>
      <c r="B510">
        <v>13.565762815584989</v>
      </c>
      <c r="C510" s="6">
        <f t="shared" si="15"/>
        <v>14.157332997928227</v>
      </c>
      <c r="D510" s="19">
        <f t="shared" si="16"/>
        <v>0.34995528063761211</v>
      </c>
      <c r="E510" s="3">
        <f>Ft!$B$12+Ft!$B$14*(Data!A510-Vars!$B$3)</f>
        <v>0</v>
      </c>
      <c r="F510" s="3">
        <f>IF(($A510-Ft!B$2)&lt;0,Ft!B$3*((1-Ft!B$6)/(1+Ft!B$37*($A510-Ft!B$2)^2)+Ft!B$6*EXP(Ft!B$38*($A510-Ft!B$2)^2)),Ft!B$3*((1-Ft!B$7)/(1+Ft!B$39*($A510-Ft!B$2)^2)+Ft!B$7*EXP(Ft!B$40*($A510-Ft!B$2)^2)))</f>
        <v>0</v>
      </c>
      <c r="G510" s="3">
        <f>IF(($A510-Ft!C$2)&lt;0,Ft!C$3*((1-Ft!C$6)/(1+Ft!C$37*($A510-Ft!C$2)^2)+Ft!C$6*EXP(Ft!C$38*($A510-Ft!C$2)^2)),Ft!C$3*((1-Ft!C$7)/(1+Ft!C$39*($A510-Ft!C$2)^2)+Ft!C$7*EXP(Ft!C$40*($A510-Ft!C$2)^2)))</f>
        <v>1.2305967874068198E-25</v>
      </c>
      <c r="H510" s="3">
        <f>IF(($A510-Ft!D$2)&lt;0,Ft!D$3*((1-Ft!D$6)/(1+Ft!D$37*($A510-Ft!D$2)^2)+Ft!D$6*EXP(Ft!D$38*($A510-Ft!D$2)^2)),Ft!D$3*((1-Ft!D$7)/(1+Ft!D$39*($A510-Ft!D$2)^2)+Ft!D$7*EXP(Ft!D$40*($A510-Ft!D$2)^2)))</f>
        <v>1.4546690790995584E-2</v>
      </c>
      <c r="I510" s="3">
        <f>IF(($A510-Ft!E$2)&lt;0,Ft!E$3*((1-Ft!E$6)/(1+Ft!E$37*($A510-Ft!E$2)^2)+Ft!E$6*EXP(Ft!E$38*($A510-Ft!E$2)^2)),Ft!E$3*((1-Ft!E$7)/(1+Ft!E$39*($A510-Ft!E$2)^2)+Ft!E$7*EXP(Ft!E$40*($A510-Ft!E$2)^2)))</f>
        <v>8.0564177490351394</v>
      </c>
      <c r="J510" s="3">
        <f>IF(($A510-Ft!F$2)&lt;0,Ft!F$3*((1-Ft!F$6)/(1+Ft!F$37*($A510-Ft!F$2)^2)+Ft!F$6*EXP(Ft!F$38*($A510-Ft!F$2)^2)),Ft!F$3*((1-Ft!F$7)/(1+Ft!F$39*($A510-Ft!F$2)^2)+Ft!F$7*EXP(Ft!F$40*($A510-Ft!F$2)^2)))</f>
        <v>6.0863685581020928</v>
      </c>
      <c r="K510" s="3">
        <f>IF(($A510-Ft!G$2)&lt;0,Ft!G$3*((1-Ft!G$6)/(1+Ft!G$37*($A510-Ft!G$2)^2)+Ft!G$6*EXP(Ft!G$38*($A510-Ft!G$2)^2)),Ft!G$3*((1-Ft!G$7)/(1+Ft!G$39*($A510-Ft!G$2)^2)+Ft!G$7*EXP(Ft!G$40*($A510-Ft!G$2)^2)))</f>
        <v>0</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v>1018</v>
      </c>
      <c r="B511">
        <v>13.638739338736002</v>
      </c>
      <c r="C511" s="6">
        <f t="shared" si="15"/>
        <v>14.196740184036749</v>
      </c>
      <c r="D511" s="19">
        <f t="shared" si="16"/>
        <v>0.31136494335634768</v>
      </c>
      <c r="E511" s="3">
        <f>Ft!$B$12+Ft!$B$14*(Data!A511-Vars!$B$3)</f>
        <v>0</v>
      </c>
      <c r="F511" s="3">
        <f>IF(($A511-Ft!B$2)&lt;0,Ft!B$3*((1-Ft!B$6)/(1+Ft!B$37*($A511-Ft!B$2)^2)+Ft!B$6*EXP(Ft!B$38*($A511-Ft!B$2)^2)),Ft!B$3*((1-Ft!B$7)/(1+Ft!B$39*($A511-Ft!B$2)^2)+Ft!B$7*EXP(Ft!B$40*($A511-Ft!B$2)^2)))</f>
        <v>0</v>
      </c>
      <c r="G511" s="3">
        <f>IF(($A511-Ft!C$2)&lt;0,Ft!C$3*((1-Ft!C$6)/(1+Ft!C$37*($A511-Ft!C$2)^2)+Ft!C$6*EXP(Ft!C$38*($A511-Ft!C$2)^2)),Ft!C$3*((1-Ft!C$7)/(1+Ft!C$39*($A511-Ft!C$2)^2)+Ft!C$7*EXP(Ft!C$40*($A511-Ft!C$2)^2)))</f>
        <v>9.3699540299122268E-26</v>
      </c>
      <c r="H511" s="3">
        <f>IF(($A511-Ft!D$2)&lt;0,Ft!D$3*((1-Ft!D$6)/(1+Ft!D$37*($A511-Ft!D$2)^2)+Ft!D$6*EXP(Ft!D$38*($A511-Ft!D$2)^2)),Ft!D$3*((1-Ft!D$7)/(1+Ft!D$39*($A511-Ft!D$2)^2)+Ft!D$7*EXP(Ft!D$40*($A511-Ft!D$2)^2)))</f>
        <v>1.384760139388993E-2</v>
      </c>
      <c r="I511" s="3">
        <f>IF(($A511-Ft!E$2)&lt;0,Ft!E$3*((1-Ft!E$6)/(1+Ft!E$37*($A511-Ft!E$2)^2)+Ft!E$6*EXP(Ft!E$38*($A511-Ft!E$2)^2)),Ft!E$3*((1-Ft!E$7)/(1+Ft!E$39*($A511-Ft!E$2)^2)+Ft!E$7*EXP(Ft!E$40*($A511-Ft!E$2)^2)))</f>
        <v>7.9424818089655194</v>
      </c>
      <c r="J511" s="3">
        <f>IF(($A511-Ft!F$2)&lt;0,Ft!F$3*((1-Ft!F$6)/(1+Ft!F$37*($A511-Ft!F$2)^2)+Ft!F$6*EXP(Ft!F$38*($A511-Ft!F$2)^2)),Ft!F$3*((1-Ft!F$7)/(1+Ft!F$39*($A511-Ft!F$2)^2)+Ft!F$7*EXP(Ft!F$40*($A511-Ft!F$2)^2)))</f>
        <v>6.2404107736773407</v>
      </c>
      <c r="K511" s="3">
        <f>IF(($A511-Ft!G$2)&lt;0,Ft!G$3*((1-Ft!G$6)/(1+Ft!G$37*($A511-Ft!G$2)^2)+Ft!G$6*EXP(Ft!G$38*($A511-Ft!G$2)^2)),Ft!G$3*((1-Ft!G$7)/(1+Ft!G$39*($A511-Ft!G$2)^2)+Ft!G$7*EXP(Ft!G$40*($A511-Ft!G$2)^2)))</f>
        <v>0</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v>1020</v>
      </c>
      <c r="B512">
        <v>13.714164852435999</v>
      </c>
      <c r="C512" s="6">
        <f t="shared" si="15"/>
        <v>14.218388399031296</v>
      </c>
      <c r="D512" s="19">
        <f t="shared" si="16"/>
        <v>0.25424138494113929</v>
      </c>
      <c r="E512" s="3">
        <f>Ft!$B$12+Ft!$B$14*(Data!A512-Vars!$B$3)</f>
        <v>0</v>
      </c>
      <c r="F512" s="3">
        <f>IF(($A512-Ft!B$2)&lt;0,Ft!B$3*((1-Ft!B$6)/(1+Ft!B$37*($A512-Ft!B$2)^2)+Ft!B$6*EXP(Ft!B$38*($A512-Ft!B$2)^2)),Ft!B$3*((1-Ft!B$7)/(1+Ft!B$39*($A512-Ft!B$2)^2)+Ft!B$7*EXP(Ft!B$40*($A512-Ft!B$2)^2)))</f>
        <v>0</v>
      </c>
      <c r="G512" s="3">
        <f>IF(($A512-Ft!C$2)&lt;0,Ft!C$3*((1-Ft!C$6)/(1+Ft!C$37*($A512-Ft!C$2)^2)+Ft!C$6*EXP(Ft!C$38*($A512-Ft!C$2)^2)),Ft!C$3*((1-Ft!C$7)/(1+Ft!C$39*($A512-Ft!C$2)^2)+Ft!C$7*EXP(Ft!C$40*($A512-Ft!C$2)^2)))</f>
        <v>7.1299934819200669E-26</v>
      </c>
      <c r="H512" s="3">
        <f>IF(($A512-Ft!D$2)&lt;0,Ft!D$3*((1-Ft!D$6)/(1+Ft!D$37*($A512-Ft!D$2)^2)+Ft!D$6*EXP(Ft!D$38*($A512-Ft!D$2)^2)),Ft!D$3*((1-Ft!D$7)/(1+Ft!D$39*($A512-Ft!D$2)^2)+Ft!D$7*EXP(Ft!D$40*($A512-Ft!D$2)^2)))</f>
        <v>1.3179866507387268E-2</v>
      </c>
      <c r="I512" s="3">
        <f>IF(($A512-Ft!E$2)&lt;0,Ft!E$3*((1-Ft!E$6)/(1+Ft!E$37*($A512-Ft!E$2)^2)+Ft!E$6*EXP(Ft!E$38*($A512-Ft!E$2)^2)),Ft!E$3*((1-Ft!E$7)/(1+Ft!E$39*($A512-Ft!E$2)^2)+Ft!E$7*EXP(Ft!E$40*($A512-Ft!E$2)^2)))</f>
        <v>7.8290473001342216</v>
      </c>
      <c r="J512" s="3">
        <f>IF(($A512-Ft!F$2)&lt;0,Ft!F$3*((1-Ft!F$6)/(1+Ft!F$37*($A512-Ft!F$2)^2)+Ft!F$6*EXP(Ft!F$38*($A512-Ft!F$2)^2)),Ft!F$3*((1-Ft!F$7)/(1+Ft!F$39*($A512-Ft!F$2)^2)+Ft!F$7*EXP(Ft!F$40*($A512-Ft!F$2)^2)))</f>
        <v>6.3761612323896868</v>
      </c>
      <c r="K512" s="3">
        <f>IF(($A512-Ft!G$2)&lt;0,Ft!G$3*((1-Ft!G$6)/(1+Ft!G$37*($A512-Ft!G$2)^2)+Ft!G$6*EXP(Ft!G$38*($A512-Ft!G$2)^2)),Ft!G$3*((1-Ft!G$7)/(1+Ft!G$39*($A512-Ft!G$2)^2)+Ft!G$7*EXP(Ft!G$40*($A512-Ft!G$2)^2)))</f>
        <v>0</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v>1022</v>
      </c>
      <c r="B513">
        <v>13.784110843549996</v>
      </c>
      <c r="C513" s="6">
        <f t="shared" si="15"/>
        <v>14.220951361588568</v>
      </c>
      <c r="D513" s="19">
        <f t="shared" si="16"/>
        <v>0.1908296382002081</v>
      </c>
      <c r="E513" s="3">
        <f>Ft!$B$12+Ft!$B$14*(Data!A513-Vars!$B$3)</f>
        <v>0</v>
      </c>
      <c r="F513" s="3">
        <f>IF(($A513-Ft!B$2)&lt;0,Ft!B$3*((1-Ft!B$6)/(1+Ft!B$37*($A513-Ft!B$2)^2)+Ft!B$6*EXP(Ft!B$38*($A513-Ft!B$2)^2)),Ft!B$3*((1-Ft!B$7)/(1+Ft!B$39*($A513-Ft!B$2)^2)+Ft!B$7*EXP(Ft!B$40*($A513-Ft!B$2)^2)))</f>
        <v>0</v>
      </c>
      <c r="G513" s="3">
        <f>IF(($A513-Ft!C$2)&lt;0,Ft!C$3*((1-Ft!C$6)/(1+Ft!C$37*($A513-Ft!C$2)^2)+Ft!C$6*EXP(Ft!C$38*($A513-Ft!C$2)^2)),Ft!C$3*((1-Ft!C$7)/(1+Ft!C$39*($A513-Ft!C$2)^2)+Ft!C$7*EXP(Ft!C$40*($A513-Ft!C$2)^2)))</f>
        <v>5.4221408488940062E-26</v>
      </c>
      <c r="H513" s="3">
        <f>IF(($A513-Ft!D$2)&lt;0,Ft!D$3*((1-Ft!D$6)/(1+Ft!D$37*($A513-Ft!D$2)^2)+Ft!D$6*EXP(Ft!D$38*($A513-Ft!D$2)^2)),Ft!D$3*((1-Ft!D$7)/(1+Ft!D$39*($A513-Ft!D$2)^2)+Ft!D$7*EXP(Ft!D$40*($A513-Ft!D$2)^2)))</f>
        <v>1.2542195921984273E-2</v>
      </c>
      <c r="I513" s="3">
        <f>IF(($A513-Ft!E$2)&lt;0,Ft!E$3*((1-Ft!E$6)/(1+Ft!E$37*($A513-Ft!E$2)^2)+Ft!E$6*EXP(Ft!E$38*($A513-Ft!E$2)^2)),Ft!E$3*((1-Ft!E$7)/(1+Ft!E$39*($A513-Ft!E$2)^2)+Ft!E$7*EXP(Ft!E$40*($A513-Ft!E$2)^2)))</f>
        <v>7.7161389888583418</v>
      </c>
      <c r="J513" s="3">
        <f>IF(($A513-Ft!F$2)&lt;0,Ft!F$3*((1-Ft!F$6)/(1+Ft!F$37*($A513-Ft!F$2)^2)+Ft!F$6*EXP(Ft!F$38*($A513-Ft!F$2)^2)),Ft!F$3*((1-Ft!F$7)/(1+Ft!F$39*($A513-Ft!F$2)^2)+Ft!F$7*EXP(Ft!F$40*($A513-Ft!F$2)^2)))</f>
        <v>6.4922701768082423</v>
      </c>
      <c r="K513" s="3">
        <f>IF(($A513-Ft!G$2)&lt;0,Ft!G$3*((1-Ft!G$6)/(1+Ft!G$37*($A513-Ft!G$2)^2)+Ft!G$6*EXP(Ft!G$38*($A513-Ft!G$2)^2)),Ft!G$3*((1-Ft!G$7)/(1+Ft!G$39*($A513-Ft!G$2)^2)+Ft!G$7*EXP(Ft!G$40*($A513-Ft!G$2)^2)))</f>
        <v>0</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v>1024</v>
      </c>
      <c r="B514">
        <v>13.840648798944002</v>
      </c>
      <c r="C514" s="6">
        <f t="shared" si="15"/>
        <v>14.203281648304266</v>
      </c>
      <c r="D514" s="19">
        <f t="shared" si="16"/>
        <v>0.13150258343514357</v>
      </c>
      <c r="E514" s="3">
        <f>Ft!$B$12+Ft!$B$14*(Data!A514-Vars!$B$3)</f>
        <v>0</v>
      </c>
      <c r="F514" s="3">
        <f>IF(($A514-Ft!B$2)&lt;0,Ft!B$3*((1-Ft!B$6)/(1+Ft!B$37*($A514-Ft!B$2)^2)+Ft!B$6*EXP(Ft!B$38*($A514-Ft!B$2)^2)),Ft!B$3*((1-Ft!B$7)/(1+Ft!B$39*($A514-Ft!B$2)^2)+Ft!B$7*EXP(Ft!B$40*($A514-Ft!B$2)^2)))</f>
        <v>0</v>
      </c>
      <c r="G514" s="3">
        <f>IF(($A514-Ft!C$2)&lt;0,Ft!C$3*((1-Ft!C$6)/(1+Ft!C$37*($A514-Ft!C$2)^2)+Ft!C$6*EXP(Ft!C$38*($A514-Ft!C$2)^2)),Ft!C$3*((1-Ft!C$7)/(1+Ft!C$39*($A514-Ft!C$2)^2)+Ft!C$7*EXP(Ft!C$40*($A514-Ft!C$2)^2)))</f>
        <v>4.1208086299190216E-26</v>
      </c>
      <c r="H514" s="3">
        <f>IF(($A514-Ft!D$2)&lt;0,Ft!D$3*((1-Ft!D$6)/(1+Ft!D$37*($A514-Ft!D$2)^2)+Ft!D$6*EXP(Ft!D$38*($A514-Ft!D$2)^2)),Ft!D$3*((1-Ft!D$7)/(1+Ft!D$39*($A514-Ft!D$2)^2)+Ft!D$7*EXP(Ft!D$40*($A514-Ft!D$2)^2)))</f>
        <v>1.1933346774444391E-2</v>
      </c>
      <c r="I514" s="3">
        <f>IF(($A514-Ft!E$2)&lt;0,Ft!E$3*((1-Ft!E$6)/(1+Ft!E$37*($A514-Ft!E$2)^2)+Ft!E$6*EXP(Ft!E$38*($A514-Ft!E$2)^2)),Ft!E$3*((1-Ft!E$7)/(1+Ft!E$39*($A514-Ft!E$2)^2)+Ft!E$7*EXP(Ft!E$40*($A514-Ft!E$2)^2)))</f>
        <v>7.6037810638803274</v>
      </c>
      <c r="J514" s="3">
        <f>IF(($A514-Ft!F$2)&lt;0,Ft!F$3*((1-Ft!F$6)/(1+Ft!F$37*($A514-Ft!F$2)^2)+Ft!F$6*EXP(Ft!F$38*($A514-Ft!F$2)^2)),Ft!F$3*((1-Ft!F$7)/(1+Ft!F$39*($A514-Ft!F$2)^2)+Ft!F$7*EXP(Ft!F$40*($A514-Ft!F$2)^2)))</f>
        <v>6.5875672376494938</v>
      </c>
      <c r="K514" s="3">
        <f>IF(($A514-Ft!G$2)&lt;0,Ft!G$3*((1-Ft!G$6)/(1+Ft!G$37*($A514-Ft!G$2)^2)+Ft!G$6*EXP(Ft!G$38*($A514-Ft!G$2)^2)),Ft!G$3*((1-Ft!G$7)/(1+Ft!G$39*($A514-Ft!G$2)^2)+Ft!G$7*EXP(Ft!G$40*($A514-Ft!G$2)^2)))</f>
        <v>0</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v>1026</v>
      </c>
      <c r="B515">
        <v>13.87585020548299</v>
      </c>
      <c r="C515" s="6">
        <f t="shared" ref="C515:C542" si="17">SUM(E515:K515)</f>
        <v>14.164430318850162</v>
      </c>
      <c r="D515" s="19">
        <f t="shared" ref="D515:D542" si="18">(C515-B515)^2</f>
        <v>8.3278481831009415E-2</v>
      </c>
      <c r="E515" s="3">
        <f>Ft!$B$12+Ft!$B$14*(Data!A515-Vars!$B$3)</f>
        <v>0</v>
      </c>
      <c r="F515" s="3">
        <f>IF(($A515-Ft!B$2)&lt;0,Ft!B$3*((1-Ft!B$6)/(1+Ft!B$37*($A515-Ft!B$2)^2)+Ft!B$6*EXP(Ft!B$38*($A515-Ft!B$2)^2)),Ft!B$3*((1-Ft!B$7)/(1+Ft!B$39*($A515-Ft!B$2)^2)+Ft!B$7*EXP(Ft!B$40*($A515-Ft!B$2)^2)))</f>
        <v>0</v>
      </c>
      <c r="G515" s="3">
        <f>IF(($A515-Ft!C$2)&lt;0,Ft!C$3*((1-Ft!C$6)/(1+Ft!C$37*($A515-Ft!C$2)^2)+Ft!C$6*EXP(Ft!C$38*($A515-Ft!C$2)^2)),Ft!C$3*((1-Ft!C$7)/(1+Ft!C$39*($A515-Ft!C$2)^2)+Ft!C$7*EXP(Ft!C$40*($A515-Ft!C$2)^2)))</f>
        <v>3.1298540580671648E-26</v>
      </c>
      <c r="H515" s="3">
        <f>IF(($A515-Ft!D$2)&lt;0,Ft!D$3*((1-Ft!D$6)/(1+Ft!D$37*($A515-Ft!D$2)^2)+Ft!D$6*EXP(Ft!D$38*($A515-Ft!D$2)^2)),Ft!D$3*((1-Ft!D$7)/(1+Ft!D$39*($A515-Ft!D$2)^2)+Ft!D$7*EXP(Ft!D$40*($A515-Ft!D$2)^2)))</f>
        <v>1.1352122082292186E-2</v>
      </c>
      <c r="I515" s="3">
        <f>IF(($A515-Ft!E$2)&lt;0,Ft!E$3*((1-Ft!E$6)/(1+Ft!E$37*($A515-Ft!E$2)^2)+Ft!E$6*EXP(Ft!E$38*($A515-Ft!E$2)^2)),Ft!E$3*((1-Ft!E$7)/(1+Ft!E$39*($A515-Ft!E$2)^2)+Ft!E$7*EXP(Ft!E$40*($A515-Ft!E$2)^2)))</f>
        <v>7.4919971310823357</v>
      </c>
      <c r="J515" s="3">
        <f>IF(($A515-Ft!F$2)&lt;0,Ft!F$3*((1-Ft!F$6)/(1+Ft!F$37*($A515-Ft!F$2)^2)+Ft!F$6*EXP(Ft!F$38*($A515-Ft!F$2)^2)),Ft!F$3*((1-Ft!F$7)/(1+Ft!F$39*($A515-Ft!F$2)^2)+Ft!F$7*EXP(Ft!F$40*($A515-Ft!F$2)^2)))</f>
        <v>6.6610810656855328</v>
      </c>
      <c r="K515" s="3">
        <f>IF(($A515-Ft!G$2)&lt;0,Ft!G$3*((1-Ft!G$6)/(1+Ft!G$37*($A515-Ft!G$2)^2)+Ft!G$6*EXP(Ft!G$38*($A515-Ft!G$2)^2)),Ft!G$3*((1-Ft!G$7)/(1+Ft!G$39*($A515-Ft!G$2)^2)+Ft!G$7*EXP(Ft!G$40*($A515-Ft!G$2)^2)))</f>
        <v>0</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v>1028</v>
      </c>
      <c r="B516">
        <v>13.881786550033993</v>
      </c>
      <c r="C516" s="6">
        <f t="shared" si="17"/>
        <v>14.103663389590572</v>
      </c>
      <c r="D516" s="19">
        <f t="shared" si="18"/>
        <v>4.9229331931615848E-2</v>
      </c>
      <c r="E516" s="3">
        <f>Ft!$B$12+Ft!$B$14*(Data!A516-Vars!$B$3)</f>
        <v>0</v>
      </c>
      <c r="F516" s="3">
        <f>IF(($A516-Ft!B$2)&lt;0,Ft!B$3*((1-Ft!B$6)/(1+Ft!B$37*($A516-Ft!B$2)^2)+Ft!B$6*EXP(Ft!B$38*($A516-Ft!B$2)^2)),Ft!B$3*((1-Ft!B$7)/(1+Ft!B$39*($A516-Ft!B$2)^2)+Ft!B$7*EXP(Ft!B$40*($A516-Ft!B$2)^2)))</f>
        <v>0</v>
      </c>
      <c r="G516" s="3">
        <f>IF(($A516-Ft!C$2)&lt;0,Ft!C$3*((1-Ft!C$6)/(1+Ft!C$37*($A516-Ft!C$2)^2)+Ft!C$6*EXP(Ft!C$38*($A516-Ft!C$2)^2)),Ft!C$3*((1-Ft!C$7)/(1+Ft!C$39*($A516-Ft!C$2)^2)+Ft!C$7*EXP(Ft!C$40*($A516-Ft!C$2)^2)))</f>
        <v>2.3757225373683563E-26</v>
      </c>
      <c r="H516" s="3">
        <f>IF(($A516-Ft!D$2)&lt;0,Ft!D$3*((1-Ft!D$6)/(1+Ft!D$37*($A516-Ft!D$2)^2)+Ft!D$6*EXP(Ft!D$38*($A516-Ft!D$2)^2)),Ft!D$3*((1-Ft!D$7)/(1+Ft!D$39*($A516-Ft!D$2)^2)+Ft!D$7*EXP(Ft!D$40*($A516-Ft!D$2)^2)))</f>
        <v>1.0797369311255604E-2</v>
      </c>
      <c r="I516" s="3">
        <f>IF(($A516-Ft!E$2)&lt;0,Ft!E$3*((1-Ft!E$6)/(1+Ft!E$37*($A516-Ft!E$2)^2)+Ft!E$6*EXP(Ft!E$38*($A516-Ft!E$2)^2)),Ft!E$3*((1-Ft!E$7)/(1+Ft!E$39*($A516-Ft!E$2)^2)+Ft!E$7*EXP(Ft!E$40*($A516-Ft!E$2)^2)))</f>
        <v>7.3808102086872696</v>
      </c>
      <c r="J516" s="3">
        <f>IF(($A516-Ft!F$2)&lt;0,Ft!F$3*((1-Ft!F$6)/(1+Ft!F$37*($A516-Ft!F$2)^2)+Ft!F$6*EXP(Ft!F$38*($A516-Ft!F$2)^2)),Ft!F$3*((1-Ft!F$7)/(1+Ft!F$39*($A516-Ft!F$2)^2)+Ft!F$7*EXP(Ft!F$40*($A516-Ft!F$2)^2)))</f>
        <v>6.7120558115920481</v>
      </c>
      <c r="K516" s="3">
        <f>IF(($A516-Ft!G$2)&lt;0,Ft!G$3*((1-Ft!G$6)/(1+Ft!G$37*($A516-Ft!G$2)^2)+Ft!G$6*EXP(Ft!G$38*($A516-Ft!G$2)^2)),Ft!G$3*((1-Ft!G$7)/(1+Ft!G$39*($A516-Ft!G$2)^2)+Ft!G$7*EXP(Ft!G$40*($A516-Ft!G$2)^2)))</f>
        <v>0</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v>1030</v>
      </c>
      <c r="B517">
        <v>13.857983728801997</v>
      </c>
      <c r="C517" s="6">
        <f t="shared" si="17"/>
        <v>14.020474764732183</v>
      </c>
      <c r="D517" s="19">
        <f t="shared" si="18"/>
        <v>2.6403336757665031E-2</v>
      </c>
      <c r="E517" s="3">
        <f>Ft!$B$12+Ft!$B$14*(Data!A517-Vars!$B$3)</f>
        <v>0</v>
      </c>
      <c r="F517" s="3">
        <f>IF(($A517-Ft!B$2)&lt;0,Ft!B$3*((1-Ft!B$6)/(1+Ft!B$37*($A517-Ft!B$2)^2)+Ft!B$6*EXP(Ft!B$38*($A517-Ft!B$2)^2)),Ft!B$3*((1-Ft!B$7)/(1+Ft!B$39*($A517-Ft!B$2)^2)+Ft!B$7*EXP(Ft!B$40*($A517-Ft!B$2)^2)))</f>
        <v>0</v>
      </c>
      <c r="G517" s="3">
        <f>IF(($A517-Ft!C$2)&lt;0,Ft!C$3*((1-Ft!C$6)/(1+Ft!C$37*($A517-Ft!C$2)^2)+Ft!C$6*EXP(Ft!C$38*($A517-Ft!C$2)^2)),Ft!C$3*((1-Ft!C$7)/(1+Ft!C$39*($A517-Ft!C$2)^2)+Ft!C$7*EXP(Ft!C$40*($A517-Ft!C$2)^2)))</f>
        <v>1.8021765628524165E-26</v>
      </c>
      <c r="H517" s="3">
        <f>IF(($A517-Ft!D$2)&lt;0,Ft!D$3*((1-Ft!D$6)/(1+Ft!D$37*($A517-Ft!D$2)^2)+Ft!D$6*EXP(Ft!D$38*($A517-Ft!D$2)^2)),Ft!D$3*((1-Ft!D$7)/(1+Ft!D$39*($A517-Ft!D$2)^2)+Ft!D$7*EXP(Ft!D$40*($A517-Ft!D$2)^2)))</f>
        <v>1.0267978975483228E-2</v>
      </c>
      <c r="I517" s="3">
        <f>IF(($A517-Ft!E$2)&lt;0,Ft!E$3*((1-Ft!E$6)/(1+Ft!E$37*($A517-Ft!E$2)^2)+Ft!E$6*EXP(Ft!E$38*($A517-Ft!E$2)^2)),Ft!E$3*((1-Ft!E$7)/(1+Ft!E$39*($A517-Ft!E$2)^2)+Ft!E$7*EXP(Ft!E$40*($A517-Ft!E$2)^2)))</f>
        <v>7.2702427229434194</v>
      </c>
      <c r="J517" s="3">
        <f>IF(($A517-Ft!F$2)&lt;0,Ft!F$3*((1-Ft!F$6)/(1+Ft!F$37*($A517-Ft!F$2)^2)+Ft!F$6*EXP(Ft!F$38*($A517-Ft!F$2)^2)),Ft!F$3*((1-Ft!F$7)/(1+Ft!F$39*($A517-Ft!F$2)^2)+Ft!F$7*EXP(Ft!F$40*($A517-Ft!F$2)^2)))</f>
        <v>6.7399640628132804</v>
      </c>
      <c r="K517" s="3">
        <f>IF(($A517-Ft!G$2)&lt;0,Ft!G$3*((1-Ft!G$6)/(1+Ft!G$37*($A517-Ft!G$2)^2)+Ft!G$6*EXP(Ft!G$38*($A517-Ft!G$2)^2)),Ft!G$3*((1-Ft!G$7)/(1+Ft!G$39*($A517-Ft!G$2)^2)+Ft!G$7*EXP(Ft!G$40*($A517-Ft!G$2)^2)))</f>
        <v>0</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v>1032</v>
      </c>
      <c r="B518">
        <v>13.840573750345996</v>
      </c>
      <c r="C518" s="6">
        <f t="shared" si="17"/>
        <v>13.914595315382954</v>
      </c>
      <c r="D518" s="19">
        <f t="shared" si="18"/>
        <v>5.479192090520571E-3</v>
      </c>
      <c r="E518" s="3">
        <f>Ft!$B$12+Ft!$B$14*(Data!A518-Vars!$B$3)</f>
        <v>0</v>
      </c>
      <c r="F518" s="3">
        <f>IF(($A518-Ft!B$2)&lt;0,Ft!B$3*((1-Ft!B$6)/(1+Ft!B$37*($A518-Ft!B$2)^2)+Ft!B$6*EXP(Ft!B$38*($A518-Ft!B$2)^2)),Ft!B$3*((1-Ft!B$7)/(1+Ft!B$39*($A518-Ft!B$2)^2)+Ft!B$7*EXP(Ft!B$40*($A518-Ft!B$2)^2)))</f>
        <v>0</v>
      </c>
      <c r="G518" s="3">
        <f>IF(($A518-Ft!C$2)&lt;0,Ft!C$3*((1-Ft!C$6)/(1+Ft!C$37*($A518-Ft!C$2)^2)+Ft!C$6*EXP(Ft!C$38*($A518-Ft!C$2)^2)),Ft!C$3*((1-Ft!C$7)/(1+Ft!C$39*($A518-Ft!C$2)^2)+Ft!C$7*EXP(Ft!C$40*($A518-Ft!C$2)^2)))</f>
        <v>1.3662461358081936E-26</v>
      </c>
      <c r="H518" s="3">
        <f>IF(($A518-Ft!D$2)&lt;0,Ft!D$3*((1-Ft!D$6)/(1+Ft!D$37*($A518-Ft!D$2)^2)+Ft!D$6*EXP(Ft!D$38*($A518-Ft!D$2)^2)),Ft!D$3*((1-Ft!D$7)/(1+Ft!D$39*($A518-Ft!D$2)^2)+Ft!D$7*EXP(Ft!D$40*($A518-Ft!D$2)^2)))</f>
        <v>9.7628832703338352E-3</v>
      </c>
      <c r="I518" s="3">
        <f>IF(($A518-Ft!E$2)&lt;0,Ft!E$3*((1-Ft!E$6)/(1+Ft!E$37*($A518-Ft!E$2)^2)+Ft!E$6*EXP(Ft!E$38*($A518-Ft!E$2)^2)),Ft!E$3*((1-Ft!E$7)/(1+Ft!E$39*($A518-Ft!E$2)^2)+Ft!E$7*EXP(Ft!E$40*($A518-Ft!E$2)^2)))</f>
        <v>7.1603165042892574</v>
      </c>
      <c r="J518" s="3">
        <f>IF(($A518-Ft!F$2)&lt;0,Ft!F$3*((1-Ft!F$6)/(1+Ft!F$37*($A518-Ft!F$2)^2)+Ft!F$6*EXP(Ft!F$38*($A518-Ft!F$2)^2)),Ft!F$3*((1-Ft!F$7)/(1+Ft!F$39*($A518-Ft!F$2)^2)+Ft!F$7*EXP(Ft!F$40*($A518-Ft!F$2)^2)))</f>
        <v>6.744515927823362</v>
      </c>
      <c r="K518" s="3">
        <f>IF(($A518-Ft!G$2)&lt;0,Ft!G$3*((1-Ft!G$6)/(1+Ft!G$37*($A518-Ft!G$2)^2)+Ft!G$6*EXP(Ft!G$38*($A518-Ft!G$2)^2)),Ft!G$3*((1-Ft!G$7)/(1+Ft!G$39*($A518-Ft!G$2)^2)+Ft!G$7*EXP(Ft!G$40*($A518-Ft!G$2)^2)))</f>
        <v>0</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v>1034</v>
      </c>
      <c r="B519">
        <v>13.827380678623996</v>
      </c>
      <c r="C519" s="6">
        <f t="shared" si="17"/>
        <v>13.785997887713581</v>
      </c>
      <c r="D519" s="19">
        <f t="shared" si="18"/>
        <v>1.7125353835351236E-3</v>
      </c>
      <c r="E519" s="3">
        <f>Ft!$B$12+Ft!$B$14*(Data!A519-Vars!$B$3)</f>
        <v>0</v>
      </c>
      <c r="F519" s="3">
        <f>IF(($A519-Ft!B$2)&lt;0,Ft!B$3*((1-Ft!B$6)/(1+Ft!B$37*($A519-Ft!B$2)^2)+Ft!B$6*EXP(Ft!B$38*($A519-Ft!B$2)^2)),Ft!B$3*((1-Ft!B$7)/(1+Ft!B$39*($A519-Ft!B$2)^2)+Ft!B$7*EXP(Ft!B$40*($A519-Ft!B$2)^2)))</f>
        <v>0</v>
      </c>
      <c r="G519" s="3">
        <f>IF(($A519-Ft!C$2)&lt;0,Ft!C$3*((1-Ft!C$6)/(1+Ft!C$37*($A519-Ft!C$2)^2)+Ft!C$6*EXP(Ft!C$38*($A519-Ft!C$2)^2)),Ft!C$3*((1-Ft!C$7)/(1+Ft!C$39*($A519-Ft!C$2)^2)+Ft!C$7*EXP(Ft!C$40*($A519-Ft!C$2)^2)))</f>
        <v>1.0351196315331065E-26</v>
      </c>
      <c r="H519" s="3">
        <f>IF(($A519-Ft!D$2)&lt;0,Ft!D$3*((1-Ft!D$6)/(1+Ft!D$37*($A519-Ft!D$2)^2)+Ft!D$6*EXP(Ft!D$38*($A519-Ft!D$2)^2)),Ft!D$3*((1-Ft!D$7)/(1+Ft!D$39*($A519-Ft!D$2)^2)+Ft!D$7*EXP(Ft!D$40*($A519-Ft!D$2)^2)))</f>
        <v>9.2810547375077393E-3</v>
      </c>
      <c r="I519" s="3">
        <f>IF(($A519-Ft!E$2)&lt;0,Ft!E$3*((1-Ft!E$6)/(1+Ft!E$37*($A519-Ft!E$2)^2)+Ft!E$6*EXP(Ft!E$38*($A519-Ft!E$2)^2)),Ft!E$3*((1-Ft!E$7)/(1+Ft!E$39*($A519-Ft!E$2)^2)+Ft!E$7*EXP(Ft!E$40*($A519-Ft!E$2)^2)))</f>
        <v>7.0510527839945016</v>
      </c>
      <c r="J519" s="3">
        <f>IF(($A519-Ft!F$2)&lt;0,Ft!F$3*((1-Ft!F$6)/(1+Ft!F$37*($A519-Ft!F$2)^2)+Ft!F$6*EXP(Ft!F$38*($A519-Ft!F$2)^2)),Ft!F$3*((1-Ft!F$7)/(1+Ft!F$39*($A519-Ft!F$2)^2)+Ft!F$7*EXP(Ft!F$40*($A519-Ft!F$2)^2)))</f>
        <v>6.7256640489815709</v>
      </c>
      <c r="K519" s="3">
        <f>IF(($A519-Ft!G$2)&lt;0,Ft!G$3*((1-Ft!G$6)/(1+Ft!G$37*($A519-Ft!G$2)^2)+Ft!G$6*EXP(Ft!G$38*($A519-Ft!G$2)^2)),Ft!G$3*((1-Ft!G$7)/(1+Ft!G$39*($A519-Ft!G$2)^2)+Ft!G$7*EXP(Ft!G$40*($A519-Ft!G$2)^2)))</f>
        <v>0</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v>1036</v>
      </c>
      <c r="B520">
        <v>13.808700175548992</v>
      </c>
      <c r="C520" s="6">
        <f t="shared" si="17"/>
        <v>13.634898119000589</v>
      </c>
      <c r="D520" s="19">
        <f t="shared" si="18"/>
        <v>3.0207154860454458E-2</v>
      </c>
      <c r="E520" s="3">
        <f>Ft!$B$12+Ft!$B$14*(Data!A520-Vars!$B$3)</f>
        <v>0</v>
      </c>
      <c r="F520" s="3">
        <f>IF(($A520-Ft!B$2)&lt;0,Ft!B$3*((1-Ft!B$6)/(1+Ft!B$37*($A520-Ft!B$2)^2)+Ft!B$6*EXP(Ft!B$38*($A520-Ft!B$2)^2)),Ft!B$3*((1-Ft!B$7)/(1+Ft!B$39*($A520-Ft!B$2)^2)+Ft!B$7*EXP(Ft!B$40*($A520-Ft!B$2)^2)))</f>
        <v>0</v>
      </c>
      <c r="G520" s="3">
        <f>IF(($A520-Ft!C$2)&lt;0,Ft!C$3*((1-Ft!C$6)/(1+Ft!C$37*($A520-Ft!C$2)^2)+Ft!C$6*EXP(Ft!C$38*($A520-Ft!C$2)^2)),Ft!C$3*((1-Ft!C$7)/(1+Ft!C$39*($A520-Ft!C$2)^2)+Ft!C$7*EXP(Ft!C$40*($A520-Ft!C$2)^2)))</f>
        <v>7.837582644145901E-27</v>
      </c>
      <c r="H520" s="3">
        <f>IF(($A520-Ft!D$2)&lt;0,Ft!D$3*((1-Ft!D$6)/(1+Ft!D$37*($A520-Ft!D$2)^2)+Ft!D$6*EXP(Ft!D$38*($A520-Ft!D$2)^2)),Ft!D$3*((1-Ft!D$7)/(1+Ft!D$39*($A520-Ft!D$2)^2)+Ft!D$7*EXP(Ft!D$40*($A520-Ft!D$2)^2)))</f>
        <v>8.8215049622630028E-3</v>
      </c>
      <c r="I520" s="3">
        <f>IF(($A520-Ft!E$2)&lt;0,Ft!E$3*((1-Ft!E$6)/(1+Ft!E$37*($A520-Ft!E$2)^2)+Ft!E$6*EXP(Ft!E$38*($A520-Ft!E$2)^2)),Ft!E$3*((1-Ft!E$7)/(1+Ft!E$39*($A520-Ft!E$2)^2)+Ft!E$7*EXP(Ft!E$40*($A520-Ft!E$2)^2)))</f>
        <v>6.9424721912731462</v>
      </c>
      <c r="J520" s="3">
        <f>IF(($A520-Ft!F$2)&lt;0,Ft!F$3*((1-Ft!F$6)/(1+Ft!F$37*($A520-Ft!F$2)^2)+Ft!F$6*EXP(Ft!F$38*($A520-Ft!F$2)^2)),Ft!F$3*((1-Ft!F$7)/(1+Ft!F$39*($A520-Ft!F$2)^2)+Ft!F$7*EXP(Ft!F$40*($A520-Ft!F$2)^2)))</f>
        <v>6.6836044227651783</v>
      </c>
      <c r="K520" s="3">
        <f>IF(($A520-Ft!G$2)&lt;0,Ft!G$3*((1-Ft!G$6)/(1+Ft!G$37*($A520-Ft!G$2)^2)+Ft!G$6*EXP(Ft!G$38*($A520-Ft!G$2)^2)),Ft!G$3*((1-Ft!G$7)/(1+Ft!G$39*($A520-Ft!G$2)^2)+Ft!G$7*EXP(Ft!G$40*($A520-Ft!G$2)^2)))</f>
        <v>0</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v>1038</v>
      </c>
      <c r="B521">
        <v>13.774827903030001</v>
      </c>
      <c r="C521" s="6">
        <f t="shared" si="17"/>
        <v>13.461751041680071</v>
      </c>
      <c r="D521" s="19">
        <f t="shared" si="18"/>
        <v>9.801712111272369E-2</v>
      </c>
      <c r="E521" s="3">
        <f>Ft!$B$12+Ft!$B$14*(Data!A521-Vars!$B$3)</f>
        <v>0</v>
      </c>
      <c r="F521" s="3">
        <f>IF(($A521-Ft!B$2)&lt;0,Ft!B$3*((1-Ft!B$6)/(1+Ft!B$37*($A521-Ft!B$2)^2)+Ft!B$6*EXP(Ft!B$38*($A521-Ft!B$2)^2)),Ft!B$3*((1-Ft!B$7)/(1+Ft!B$39*($A521-Ft!B$2)^2)+Ft!B$7*EXP(Ft!B$40*($A521-Ft!B$2)^2)))</f>
        <v>0</v>
      </c>
      <c r="G521" s="3">
        <f>IF(($A521-Ft!C$2)&lt;0,Ft!C$3*((1-Ft!C$6)/(1+Ft!C$37*($A521-Ft!C$2)^2)+Ft!C$6*EXP(Ft!C$38*($A521-Ft!C$2)^2)),Ft!C$3*((1-Ft!C$7)/(1+Ft!C$39*($A521-Ft!C$2)^2)+Ft!C$7*EXP(Ft!C$40*($A521-Ft!C$2)^2)))</f>
        <v>5.9306693381335761E-27</v>
      </c>
      <c r="H521" s="3">
        <f>IF(($A521-Ft!D$2)&lt;0,Ft!D$3*((1-Ft!D$6)/(1+Ft!D$37*($A521-Ft!D$2)^2)+Ft!D$6*EXP(Ft!D$38*($A521-Ft!D$2)^2)),Ft!D$3*((1-Ft!D$7)/(1+Ft!D$39*($A521-Ft!D$2)^2)+Ft!D$7*EXP(Ft!D$40*($A521-Ft!D$2)^2)))</f>
        <v>8.3832833024350406E-3</v>
      </c>
      <c r="I521" s="3">
        <f>IF(($A521-Ft!E$2)&lt;0,Ft!E$3*((1-Ft!E$6)/(1+Ft!E$37*($A521-Ft!E$2)^2)+Ft!E$6*EXP(Ft!E$38*($A521-Ft!E$2)^2)),Ft!E$3*((1-Ft!E$7)/(1+Ft!E$39*($A521-Ft!E$2)^2)+Ft!E$7*EXP(Ft!E$40*($A521-Ft!E$2)^2)))</f>
        <v>6.8345947508637472</v>
      </c>
      <c r="J521" s="3">
        <f>IF(($A521-Ft!F$2)&lt;0,Ft!F$3*((1-Ft!F$6)/(1+Ft!F$37*($A521-Ft!F$2)^2)+Ft!F$6*EXP(Ft!F$38*($A521-Ft!F$2)^2)),Ft!F$3*((1-Ft!F$7)/(1+Ft!F$39*($A521-Ft!F$2)^2)+Ft!F$7*EXP(Ft!F$40*($A521-Ft!F$2)^2)))</f>
        <v>6.6187730075138873</v>
      </c>
      <c r="K521" s="3">
        <f>IF(($A521-Ft!G$2)&lt;0,Ft!G$3*((1-Ft!G$6)/(1+Ft!G$37*($A521-Ft!G$2)^2)+Ft!G$6*EXP(Ft!G$38*($A521-Ft!G$2)^2)),Ft!G$3*((1-Ft!G$7)/(1+Ft!G$39*($A521-Ft!G$2)^2)+Ft!G$7*EXP(Ft!G$40*($A521-Ft!G$2)^2)))</f>
        <v>0</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v>1040</v>
      </c>
      <c r="B522">
        <v>13.716059522978995</v>
      </c>
      <c r="C522" s="6">
        <f t="shared" si="17"/>
        <v>13.267243557508987</v>
      </c>
      <c r="D522" s="19">
        <f t="shared" si="18"/>
        <v>0.20143577086077513</v>
      </c>
      <c r="E522" s="3">
        <f>Ft!$B$12+Ft!$B$14*(Data!A522-Vars!$B$3)</f>
        <v>0</v>
      </c>
      <c r="F522" s="3">
        <f>IF(($A522-Ft!B$2)&lt;0,Ft!B$3*((1-Ft!B$6)/(1+Ft!B$37*($A522-Ft!B$2)^2)+Ft!B$6*EXP(Ft!B$38*($A522-Ft!B$2)^2)),Ft!B$3*((1-Ft!B$7)/(1+Ft!B$39*($A522-Ft!B$2)^2)+Ft!B$7*EXP(Ft!B$40*($A522-Ft!B$2)^2)))</f>
        <v>0</v>
      </c>
      <c r="G522" s="3">
        <f>IF(($A522-Ft!C$2)&lt;0,Ft!C$3*((1-Ft!C$6)/(1+Ft!C$37*($A522-Ft!C$2)^2)+Ft!C$6*EXP(Ft!C$38*($A522-Ft!C$2)^2)),Ft!C$3*((1-Ft!C$7)/(1+Ft!C$39*($A522-Ft!C$2)^2)+Ft!C$7*EXP(Ft!C$40*($A522-Ft!C$2)^2)))</f>
        <v>4.4849259589084762E-27</v>
      </c>
      <c r="H522" s="3">
        <f>IF(($A522-Ft!D$2)&lt;0,Ft!D$3*((1-Ft!D$6)/(1+Ft!D$37*($A522-Ft!D$2)^2)+Ft!D$6*EXP(Ft!D$38*($A522-Ft!D$2)^2)),Ft!D$3*((1-Ft!D$7)/(1+Ft!D$39*($A522-Ft!D$2)^2)+Ft!D$7*EXP(Ft!D$40*($A522-Ft!D$2)^2)))</f>
        <v>7.9654756489550907E-3</v>
      </c>
      <c r="I522" s="3">
        <f>IF(($A522-Ft!E$2)&lt;0,Ft!E$3*((1-Ft!E$6)/(1+Ft!E$37*($A522-Ft!E$2)^2)+Ft!E$6*EXP(Ft!E$38*($A522-Ft!E$2)^2)),Ft!E$3*((1-Ft!E$7)/(1+Ft!E$39*($A522-Ft!E$2)^2)+Ft!E$7*EXP(Ft!E$40*($A522-Ft!E$2)^2)))</f>
        <v>6.7274398810719003</v>
      </c>
      <c r="J522" s="3">
        <f>IF(($A522-Ft!F$2)&lt;0,Ft!F$3*((1-Ft!F$6)/(1+Ft!F$37*($A522-Ft!F$2)^2)+Ft!F$6*EXP(Ft!F$38*($A522-Ft!F$2)^2)),Ft!F$3*((1-Ft!F$7)/(1+Ft!F$39*($A522-Ft!F$2)^2)+Ft!F$7*EXP(Ft!F$40*($A522-Ft!F$2)^2)))</f>
        <v>6.5318382007881324</v>
      </c>
      <c r="K522" s="3">
        <f>IF(($A522-Ft!G$2)&lt;0,Ft!G$3*((1-Ft!G$6)/(1+Ft!G$37*($A522-Ft!G$2)^2)+Ft!G$6*EXP(Ft!G$38*($A522-Ft!G$2)^2)),Ft!G$3*((1-Ft!G$7)/(1+Ft!G$39*($A522-Ft!G$2)^2)+Ft!G$7*EXP(Ft!G$40*($A522-Ft!G$2)^2)))</f>
        <v>0</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v>1042</v>
      </c>
      <c r="B523">
        <v>13.622690697306993</v>
      </c>
      <c r="C523" s="6">
        <f t="shared" si="17"/>
        <v>13.052282963346826</v>
      </c>
      <c r="D523" s="19">
        <f t="shared" si="18"/>
        <v>0.32536498296157235</v>
      </c>
      <c r="E523" s="3">
        <f>Ft!$B$12+Ft!$B$14*(Data!A523-Vars!$B$3)</f>
        <v>0</v>
      </c>
      <c r="F523" s="3">
        <f>IF(($A523-Ft!B$2)&lt;0,Ft!B$3*((1-Ft!B$6)/(1+Ft!B$37*($A523-Ft!B$2)^2)+Ft!B$6*EXP(Ft!B$38*($A523-Ft!B$2)^2)),Ft!B$3*((1-Ft!B$7)/(1+Ft!B$39*($A523-Ft!B$2)^2)+Ft!B$7*EXP(Ft!B$40*($A523-Ft!B$2)^2)))</f>
        <v>0</v>
      </c>
      <c r="G523" s="3">
        <f>IF(($A523-Ft!C$2)&lt;0,Ft!C$3*((1-Ft!C$6)/(1+Ft!C$37*($A523-Ft!C$2)^2)+Ft!C$6*EXP(Ft!C$38*($A523-Ft!C$2)^2)),Ft!C$3*((1-Ft!C$7)/(1+Ft!C$39*($A523-Ft!C$2)^2)+Ft!C$7*EXP(Ft!C$40*($A523-Ft!C$2)^2)))</f>
        <v>3.3895093329434435E-27</v>
      </c>
      <c r="H523" s="3">
        <f>IF(($A523-Ft!D$2)&lt;0,Ft!D$3*((1-Ft!D$6)/(1+Ft!D$37*($A523-Ft!D$2)^2)+Ft!D$6*EXP(Ft!D$38*($A523-Ft!D$2)^2)),Ft!D$3*((1-Ft!D$7)/(1+Ft!D$39*($A523-Ft!D$2)^2)+Ft!D$7*EXP(Ft!D$40*($A523-Ft!D$2)^2)))</f>
        <v>7.567203217541482E-3</v>
      </c>
      <c r="I523" s="3">
        <f>IF(($A523-Ft!E$2)&lt;0,Ft!E$3*((1-Ft!E$6)/(1+Ft!E$37*($A523-Ft!E$2)^2)+Ft!E$6*EXP(Ft!E$38*($A523-Ft!E$2)^2)),Ft!E$3*((1-Ft!E$7)/(1+Ft!E$39*($A523-Ft!E$2)^2)+Ft!E$7*EXP(Ft!E$40*($A523-Ft!E$2)^2)))</f>
        <v>6.6210263922694192</v>
      </c>
      <c r="J523" s="3">
        <f>IF(($A523-Ft!F$2)&lt;0,Ft!F$3*((1-Ft!F$6)/(1+Ft!F$37*($A523-Ft!F$2)^2)+Ft!F$6*EXP(Ft!F$38*($A523-Ft!F$2)^2)),Ft!F$3*((1-Ft!F$7)/(1+Ft!F$39*($A523-Ft!F$2)^2)+Ft!F$7*EXP(Ft!F$40*($A523-Ft!F$2)^2)))</f>
        <v>6.4236893678598648</v>
      </c>
      <c r="K523" s="3">
        <f>IF(($A523-Ft!G$2)&lt;0,Ft!G$3*((1-Ft!G$6)/(1+Ft!G$37*($A523-Ft!G$2)^2)+Ft!G$6*EXP(Ft!G$38*($A523-Ft!G$2)^2)),Ft!G$3*((1-Ft!G$7)/(1+Ft!G$39*($A523-Ft!G$2)^2)+Ft!G$7*EXP(Ft!G$40*($A523-Ft!G$2)^2)))</f>
        <v>0</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v>1044</v>
      </c>
      <c r="B524">
        <v>13.485017087925002</v>
      </c>
      <c r="C524" s="6">
        <f t="shared" si="17"/>
        <v>12.81798180386156</v>
      </c>
      <c r="D524" s="19">
        <f t="shared" si="18"/>
        <v>0.44493607018559606</v>
      </c>
      <c r="E524" s="3">
        <f>Ft!$B$12+Ft!$B$14*(Data!A524-Vars!$B$3)</f>
        <v>0</v>
      </c>
      <c r="F524" s="3">
        <f>IF(($A524-Ft!B$2)&lt;0,Ft!B$3*((1-Ft!B$6)/(1+Ft!B$37*($A524-Ft!B$2)^2)+Ft!B$6*EXP(Ft!B$38*($A524-Ft!B$2)^2)),Ft!B$3*((1-Ft!B$7)/(1+Ft!B$39*($A524-Ft!B$2)^2)+Ft!B$7*EXP(Ft!B$40*($A524-Ft!B$2)^2)))</f>
        <v>0</v>
      </c>
      <c r="G524" s="3">
        <f>IF(($A524-Ft!C$2)&lt;0,Ft!C$3*((1-Ft!C$6)/(1+Ft!C$37*($A524-Ft!C$2)^2)+Ft!C$6*EXP(Ft!C$38*($A524-Ft!C$2)^2)),Ft!C$3*((1-Ft!C$7)/(1+Ft!C$39*($A524-Ft!C$2)^2)+Ft!C$7*EXP(Ft!C$40*($A524-Ft!C$2)^2)))</f>
        <v>2.5600496009004885E-27</v>
      </c>
      <c r="H524" s="3">
        <f>IF(($A524-Ft!D$2)&lt;0,Ft!D$3*((1-Ft!D$6)/(1+Ft!D$37*($A524-Ft!D$2)^2)+Ft!D$6*EXP(Ft!D$38*($A524-Ft!D$2)^2)),Ft!D$3*((1-Ft!D$7)/(1+Ft!D$39*($A524-Ft!D$2)^2)+Ft!D$7*EXP(Ft!D$40*($A524-Ft!D$2)^2)))</f>
        <v>7.1876213712175176E-3</v>
      </c>
      <c r="I524" s="3">
        <f>IF(($A524-Ft!E$2)&lt;0,Ft!E$3*((1-Ft!E$6)/(1+Ft!E$37*($A524-Ft!E$2)^2)+Ft!E$6*EXP(Ft!E$38*($A524-Ft!E$2)^2)),Ft!E$3*((1-Ft!E$7)/(1+Ft!E$39*($A524-Ft!E$2)^2)+Ft!E$7*EXP(Ft!E$40*($A524-Ft!E$2)^2)))</f>
        <v>6.5153724858444129</v>
      </c>
      <c r="J524" s="3">
        <f>IF(($A524-Ft!F$2)&lt;0,Ft!F$3*((1-Ft!F$6)/(1+Ft!F$37*($A524-Ft!F$2)^2)+Ft!F$6*EXP(Ft!F$38*($A524-Ft!F$2)^2)),Ft!F$3*((1-Ft!F$7)/(1+Ft!F$39*($A524-Ft!F$2)^2)+Ft!F$7*EXP(Ft!F$40*($A524-Ft!F$2)^2)))</f>
        <v>6.2954216966459287</v>
      </c>
      <c r="K524" s="3">
        <f>IF(($A524-Ft!G$2)&lt;0,Ft!G$3*((1-Ft!G$6)/(1+Ft!G$37*($A524-Ft!G$2)^2)+Ft!G$6*EXP(Ft!G$38*($A524-Ft!G$2)^2)),Ft!G$3*((1-Ft!G$7)/(1+Ft!G$39*($A524-Ft!G$2)^2)+Ft!G$7*EXP(Ft!G$40*($A524-Ft!G$2)^2)))</f>
        <v>0</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v>1046</v>
      </c>
      <c r="B525">
        <v>13.293334356744992</v>
      </c>
      <c r="C525" s="6">
        <f t="shared" si="17"/>
        <v>12.565639411769821</v>
      </c>
      <c r="D525" s="19">
        <f t="shared" si="18"/>
        <v>0.52953993294241786</v>
      </c>
      <c r="E525" s="3">
        <f>Ft!$B$12+Ft!$B$14*(Data!A525-Vars!$B$3)</f>
        <v>0</v>
      </c>
      <c r="F525" s="3">
        <f>IF(($A525-Ft!B$2)&lt;0,Ft!B$3*((1-Ft!B$6)/(1+Ft!B$37*($A525-Ft!B$2)^2)+Ft!B$6*EXP(Ft!B$38*($A525-Ft!B$2)^2)),Ft!B$3*((1-Ft!B$7)/(1+Ft!B$39*($A525-Ft!B$2)^2)+Ft!B$7*EXP(Ft!B$40*($A525-Ft!B$2)^2)))</f>
        <v>0</v>
      </c>
      <c r="G525" s="3">
        <f>IF(($A525-Ft!C$2)&lt;0,Ft!C$3*((1-Ft!C$6)/(1+Ft!C$37*($A525-Ft!C$2)^2)+Ft!C$6*EXP(Ft!C$38*($A525-Ft!C$2)^2)),Ft!C$3*((1-Ft!C$7)/(1+Ft!C$39*($A525-Ft!C$2)^2)+Ft!C$7*EXP(Ft!C$40*($A525-Ft!C$2)^2)))</f>
        <v>1.9323683473979534E-27</v>
      </c>
      <c r="H525" s="3">
        <f>IF(($A525-Ft!D$2)&lt;0,Ft!D$3*((1-Ft!D$6)/(1+Ft!D$37*($A525-Ft!D$2)^2)+Ft!D$6*EXP(Ft!D$38*($A525-Ft!D$2)^2)),Ft!D$3*((1-Ft!D$7)/(1+Ft!D$39*($A525-Ft!D$2)^2)+Ft!D$7*EXP(Ft!D$40*($A525-Ft!D$2)^2)))</f>
        <v>6.8259184732914393E-3</v>
      </c>
      <c r="I525" s="3">
        <f>IF(($A525-Ft!E$2)&lt;0,Ft!E$3*((1-Ft!E$6)/(1+Ft!E$37*($A525-Ft!E$2)^2)+Ft!E$6*EXP(Ft!E$38*($A525-Ft!E$2)^2)),Ft!E$3*((1-Ft!E$7)/(1+Ft!E$39*($A525-Ft!E$2)^2)+Ft!E$7*EXP(Ft!E$40*($A525-Ft!E$2)^2)))</f>
        <v>6.410495753596047</v>
      </c>
      <c r="J525" s="3">
        <f>IF(($A525-Ft!F$2)&lt;0,Ft!F$3*((1-Ft!F$6)/(1+Ft!F$37*($A525-Ft!F$2)^2)+Ft!F$6*EXP(Ft!F$38*($A525-Ft!F$2)^2)),Ft!F$3*((1-Ft!F$7)/(1+Ft!F$39*($A525-Ft!F$2)^2)+Ft!F$7*EXP(Ft!F$40*($A525-Ft!F$2)^2)))</f>
        <v>6.1483177397004827</v>
      </c>
      <c r="K525" s="3">
        <f>IF(($A525-Ft!G$2)&lt;0,Ft!G$3*((1-Ft!G$6)/(1+Ft!G$37*($A525-Ft!G$2)^2)+Ft!G$6*EXP(Ft!G$38*($A525-Ft!G$2)^2)),Ft!G$3*((1-Ft!G$7)/(1+Ft!G$39*($A525-Ft!G$2)^2)+Ft!G$7*EXP(Ft!G$40*($A525-Ft!G$2)^2)))</f>
        <v>0</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v>1048</v>
      </c>
      <c r="B526">
        <v>13.061352381657997</v>
      </c>
      <c r="C526" s="6">
        <f t="shared" si="17"/>
        <v>12.296720570501215</v>
      </c>
      <c r="D526" s="19">
        <f t="shared" si="18"/>
        <v>0.58466180663290113</v>
      </c>
      <c r="E526" s="3">
        <f>Ft!$B$12+Ft!$B$14*(Data!A526-Vars!$B$3)</f>
        <v>0</v>
      </c>
      <c r="F526" s="3">
        <f>IF(($A526-Ft!B$2)&lt;0,Ft!B$3*((1-Ft!B$6)/(1+Ft!B$37*($A526-Ft!B$2)^2)+Ft!B$6*EXP(Ft!B$38*($A526-Ft!B$2)^2)),Ft!B$3*((1-Ft!B$7)/(1+Ft!B$39*($A526-Ft!B$2)^2)+Ft!B$7*EXP(Ft!B$40*($A526-Ft!B$2)^2)))</f>
        <v>0</v>
      </c>
      <c r="G526" s="3">
        <f>IF(($A526-Ft!C$2)&lt;0,Ft!C$3*((1-Ft!C$6)/(1+Ft!C$37*($A526-Ft!C$2)^2)+Ft!C$6*EXP(Ft!C$38*($A526-Ft!C$2)^2)),Ft!C$3*((1-Ft!C$7)/(1+Ft!C$39*($A526-Ft!C$2)^2)+Ft!C$7*EXP(Ft!C$40*($A526-Ft!C$2)^2)))</f>
        <v>1.4576774643800876E-27</v>
      </c>
      <c r="H526" s="3">
        <f>IF(($A526-Ft!D$2)&lt;0,Ft!D$3*((1-Ft!D$6)/(1+Ft!D$37*($A526-Ft!D$2)^2)+Ft!D$6*EXP(Ft!D$38*($A526-Ft!D$2)^2)),Ft!D$3*((1-Ft!D$7)/(1+Ft!D$39*($A526-Ft!D$2)^2)+Ft!D$7*EXP(Ft!D$40*($A526-Ft!D$2)^2)))</f>
        <v>6.4813147704166464E-3</v>
      </c>
      <c r="I526" s="3">
        <f>IF(($A526-Ft!E$2)&lt;0,Ft!E$3*((1-Ft!E$6)/(1+Ft!E$37*($A526-Ft!E$2)^2)+Ft!E$6*EXP(Ft!E$38*($A526-Ft!E$2)^2)),Ft!E$3*((1-Ft!E$7)/(1+Ft!E$39*($A526-Ft!E$2)^2)+Ft!E$7*EXP(Ft!E$40*($A526-Ft!E$2)^2)))</f>
        <v>6.3064131775674968</v>
      </c>
      <c r="J526" s="3">
        <f>IF(($A526-Ft!F$2)&lt;0,Ft!F$3*((1-Ft!F$6)/(1+Ft!F$37*($A526-Ft!F$2)^2)+Ft!F$6*EXP(Ft!F$38*($A526-Ft!F$2)^2)),Ft!F$3*((1-Ft!F$7)/(1+Ft!F$39*($A526-Ft!F$2)^2)+Ft!F$7*EXP(Ft!F$40*($A526-Ft!F$2)^2)))</f>
        <v>5.9838260781633004</v>
      </c>
      <c r="K526" s="3">
        <f>IF(($A526-Ft!G$2)&lt;0,Ft!G$3*((1-Ft!G$6)/(1+Ft!G$37*($A526-Ft!G$2)^2)+Ft!G$6*EXP(Ft!G$38*($A526-Ft!G$2)^2)),Ft!G$3*((1-Ft!G$7)/(1+Ft!G$39*($A526-Ft!G$2)^2)+Ft!G$7*EXP(Ft!G$40*($A526-Ft!G$2)^2)))</f>
        <v>0</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v>1050</v>
      </c>
      <c r="B527">
        <v>12.808233398005996</v>
      </c>
      <c r="C527" s="6">
        <f t="shared" si="17"/>
        <v>12.012831795301214</v>
      </c>
      <c r="D527" s="19">
        <f t="shared" si="18"/>
        <v>0.63266370958533602</v>
      </c>
      <c r="E527" s="3">
        <f>Ft!$B$12+Ft!$B$14*(Data!A527-Vars!$B$3)</f>
        <v>0</v>
      </c>
      <c r="F527" s="3">
        <f>IF(($A527-Ft!B$2)&lt;0,Ft!B$3*((1-Ft!B$6)/(1+Ft!B$37*($A527-Ft!B$2)^2)+Ft!B$6*EXP(Ft!B$38*($A527-Ft!B$2)^2)),Ft!B$3*((1-Ft!B$7)/(1+Ft!B$39*($A527-Ft!B$2)^2)+Ft!B$7*EXP(Ft!B$40*($A527-Ft!B$2)^2)))</f>
        <v>0</v>
      </c>
      <c r="G527" s="3">
        <f>IF(($A527-Ft!C$2)&lt;0,Ft!C$3*((1-Ft!C$6)/(1+Ft!C$37*($A527-Ft!C$2)^2)+Ft!C$6*EXP(Ft!C$38*($A527-Ft!C$2)^2)),Ft!C$3*((1-Ft!C$7)/(1+Ft!C$39*($A527-Ft!C$2)^2)+Ft!C$7*EXP(Ft!C$40*($A527-Ft!C$2)^2)))</f>
        <v>1.098912095797184E-27</v>
      </c>
      <c r="H527" s="3">
        <f>IF(($A527-Ft!D$2)&lt;0,Ft!D$3*((1-Ft!D$6)/(1+Ft!D$37*($A527-Ft!D$2)^2)+Ft!D$6*EXP(Ft!D$38*($A527-Ft!D$2)^2)),Ft!D$3*((1-Ft!D$7)/(1+Ft!D$39*($A527-Ft!D$2)^2)+Ft!D$7*EXP(Ft!D$40*($A527-Ft!D$2)^2)))</f>
        <v>6.1530613053344223E-3</v>
      </c>
      <c r="I527" s="3">
        <f>IF(($A527-Ft!E$2)&lt;0,Ft!E$3*((1-Ft!E$6)/(1+Ft!E$37*($A527-Ft!E$2)^2)+Ft!E$6*EXP(Ft!E$38*($A527-Ft!E$2)^2)),Ft!E$3*((1-Ft!E$7)/(1+Ft!E$39*($A527-Ft!E$2)^2)+Ft!E$7*EXP(Ft!E$40*($A527-Ft!E$2)^2)))</f>
        <v>6.2031411303102146</v>
      </c>
      <c r="J527" s="3">
        <f>IF(($A527-Ft!F$2)&lt;0,Ft!F$3*((1-Ft!F$6)/(1+Ft!F$37*($A527-Ft!F$2)^2)+Ft!F$6*EXP(Ft!F$38*($A527-Ft!F$2)^2)),Ft!F$3*((1-Ft!F$7)/(1+Ft!F$39*($A527-Ft!F$2)^2)+Ft!F$7*EXP(Ft!F$40*($A527-Ft!F$2)^2)))</f>
        <v>5.8035376036856654</v>
      </c>
      <c r="K527" s="3">
        <f>IF(($A527-Ft!G$2)&lt;0,Ft!G$3*((1-Ft!G$6)/(1+Ft!G$37*($A527-Ft!G$2)^2)+Ft!G$6*EXP(Ft!G$38*($A527-Ft!G$2)^2)),Ft!G$3*((1-Ft!G$7)/(1+Ft!G$39*($A527-Ft!G$2)^2)+Ft!G$7*EXP(Ft!G$40*($A527-Ft!G$2)^2)))</f>
        <v>0</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v>1052</v>
      </c>
      <c r="B528">
        <v>12.532451603879991</v>
      </c>
      <c r="C528" s="6">
        <f t="shared" si="17"/>
        <v>11.715695775112533</v>
      </c>
      <c r="D528" s="19">
        <f t="shared" si="18"/>
        <v>0.66709008382561841</v>
      </c>
      <c r="E528" s="3">
        <f>Ft!$B$12+Ft!$B$14*(Data!A528-Vars!$B$3)</f>
        <v>0</v>
      </c>
      <c r="F528" s="3">
        <f>IF(($A528-Ft!B$2)&lt;0,Ft!B$3*((1-Ft!B$6)/(1+Ft!B$37*($A528-Ft!B$2)^2)+Ft!B$6*EXP(Ft!B$38*($A528-Ft!B$2)^2)),Ft!B$3*((1-Ft!B$7)/(1+Ft!B$39*($A528-Ft!B$2)^2)+Ft!B$7*EXP(Ft!B$40*($A528-Ft!B$2)^2)))</f>
        <v>0</v>
      </c>
      <c r="G528" s="3">
        <f>IF(($A528-Ft!C$2)&lt;0,Ft!C$3*((1-Ft!C$6)/(1+Ft!C$37*($A528-Ft!C$2)^2)+Ft!C$6*EXP(Ft!C$38*($A528-Ft!C$2)^2)),Ft!C$3*((1-Ft!C$7)/(1+Ft!C$39*($A528-Ft!C$2)^2)+Ft!C$7*EXP(Ft!C$40*($A528-Ft!C$2)^2)))</f>
        <v>8.2793159694643727E-28</v>
      </c>
      <c r="H528" s="3">
        <f>IF(($A528-Ft!D$2)&lt;0,Ft!D$3*((1-Ft!D$6)/(1+Ft!D$37*($A528-Ft!D$2)^2)+Ft!D$6*EXP(Ft!D$38*($A528-Ft!D$2)^2)),Ft!D$3*((1-Ft!D$7)/(1+Ft!D$39*($A528-Ft!D$2)^2)+Ft!D$7*EXP(Ft!D$40*($A528-Ft!D$2)^2)))</f>
        <v>5.8404388588873257E-3</v>
      </c>
      <c r="I528" s="3">
        <f>IF(($A528-Ft!E$2)&lt;0,Ft!E$3*((1-Ft!E$6)/(1+Ft!E$37*($A528-Ft!E$2)^2)+Ft!E$6*EXP(Ft!E$38*($A528-Ft!E$2)^2)),Ft!E$3*((1-Ft!E$7)/(1+Ft!E$39*($A528-Ft!E$2)^2)+Ft!E$7*EXP(Ft!E$40*($A528-Ft!E$2)^2)))</f>
        <v>6.1006953755723723</v>
      </c>
      <c r="J528" s="3">
        <f>IF(($A528-Ft!F$2)&lt;0,Ft!F$3*((1-Ft!F$6)/(1+Ft!F$37*($A528-Ft!F$2)^2)+Ft!F$6*EXP(Ft!F$38*($A528-Ft!F$2)^2)),Ft!F$3*((1-Ft!F$7)/(1+Ft!F$39*($A528-Ft!F$2)^2)+Ft!F$7*EXP(Ft!F$40*($A528-Ft!F$2)^2)))</f>
        <v>5.6091599606812723</v>
      </c>
      <c r="K528" s="3">
        <f>IF(($A528-Ft!G$2)&lt;0,Ft!G$3*((1-Ft!G$6)/(1+Ft!G$37*($A528-Ft!G$2)^2)+Ft!G$6*EXP(Ft!G$38*($A528-Ft!G$2)^2)),Ft!G$3*((1-Ft!G$7)/(1+Ft!G$39*($A528-Ft!G$2)^2)+Ft!G$7*EXP(Ft!G$40*($A528-Ft!G$2)^2)))</f>
        <v>0</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v>1054</v>
      </c>
      <c r="B529">
        <v>12.232481197367989</v>
      </c>
      <c r="C529" s="6">
        <f t="shared" si="17"/>
        <v>11.407124547995863</v>
      </c>
      <c r="D529" s="19">
        <f t="shared" si="18"/>
        <v>0.68121359866278119</v>
      </c>
      <c r="E529" s="3">
        <f>Ft!$B$12+Ft!$B$14*(Data!A529-Vars!$B$3)</f>
        <v>0</v>
      </c>
      <c r="F529" s="3">
        <f>IF(($A529-Ft!B$2)&lt;0,Ft!B$3*((1-Ft!B$6)/(1+Ft!B$37*($A529-Ft!B$2)^2)+Ft!B$6*EXP(Ft!B$38*($A529-Ft!B$2)^2)),Ft!B$3*((1-Ft!B$7)/(1+Ft!B$39*($A529-Ft!B$2)^2)+Ft!B$7*EXP(Ft!B$40*($A529-Ft!B$2)^2)))</f>
        <v>0</v>
      </c>
      <c r="G529" s="3">
        <f>IF(($A529-Ft!C$2)&lt;0,Ft!C$3*((1-Ft!C$6)/(1+Ft!C$37*($A529-Ft!C$2)^2)+Ft!C$6*EXP(Ft!C$38*($A529-Ft!C$2)^2)),Ft!C$3*((1-Ft!C$7)/(1+Ft!C$39*($A529-Ft!C$2)^2)+Ft!C$7*EXP(Ft!C$40*($A529-Ft!C$2)^2)))</f>
        <v>6.2338442887684994E-28</v>
      </c>
      <c r="H529" s="3">
        <f>IF(($A529-Ft!D$2)&lt;0,Ft!D$3*((1-Ft!D$6)/(1+Ft!D$37*($A529-Ft!D$2)^2)+Ft!D$6*EXP(Ft!D$38*($A529-Ft!D$2)^2)),Ft!D$3*((1-Ft!D$7)/(1+Ft!D$39*($A529-Ft!D$2)^2)+Ft!D$7*EXP(Ft!D$40*($A529-Ft!D$2)^2)))</f>
        <v>5.5427569208777259E-3</v>
      </c>
      <c r="I529" s="3">
        <f>IF(($A529-Ft!E$2)&lt;0,Ft!E$3*((1-Ft!E$6)/(1+Ft!E$37*($A529-Ft!E$2)^2)+Ft!E$6*EXP(Ft!E$38*($A529-Ft!E$2)^2)),Ft!E$3*((1-Ft!E$7)/(1+Ft!E$39*($A529-Ft!E$2)^2)+Ft!E$7*EXP(Ft!E$40*($A529-Ft!E$2)^2)))</f>
        <v>5.9990910694039847</v>
      </c>
      <c r="J529" s="3">
        <f>IF(($A529-Ft!F$2)&lt;0,Ft!F$3*((1-Ft!F$6)/(1+Ft!F$37*($A529-Ft!F$2)^2)+Ft!F$6*EXP(Ft!F$38*($A529-Ft!F$2)^2)),Ft!F$3*((1-Ft!F$7)/(1+Ft!F$39*($A529-Ft!F$2)^2)+Ft!F$7*EXP(Ft!F$40*($A529-Ft!F$2)^2)))</f>
        <v>5.4024907216710005</v>
      </c>
      <c r="K529" s="3">
        <f>IF(($A529-Ft!G$2)&lt;0,Ft!G$3*((1-Ft!G$6)/(1+Ft!G$37*($A529-Ft!G$2)^2)+Ft!G$6*EXP(Ft!G$38*($A529-Ft!G$2)^2)),Ft!G$3*((1-Ft!G$7)/(1+Ft!G$39*($A529-Ft!G$2)^2)+Ft!G$7*EXP(Ft!G$40*($A529-Ft!G$2)^2)))</f>
        <v>0</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v>1056</v>
      </c>
      <c r="B530">
        <v>11.906796376559001</v>
      </c>
      <c r="C530" s="6">
        <f t="shared" si="17"/>
        <v>11.088991996831304</v>
      </c>
      <c r="D530" s="19">
        <f t="shared" si="18"/>
        <v>0.66880400350180325</v>
      </c>
      <c r="E530" s="3">
        <f>Ft!$B$12+Ft!$B$14*(Data!A530-Vars!$B$3)</f>
        <v>0</v>
      </c>
      <c r="F530" s="3">
        <f>IF(($A530-Ft!B$2)&lt;0,Ft!B$3*((1-Ft!B$6)/(1+Ft!B$37*($A530-Ft!B$2)^2)+Ft!B$6*EXP(Ft!B$38*($A530-Ft!B$2)^2)),Ft!B$3*((1-Ft!B$7)/(1+Ft!B$39*($A530-Ft!B$2)^2)+Ft!B$7*EXP(Ft!B$40*($A530-Ft!B$2)^2)))</f>
        <v>0</v>
      </c>
      <c r="G530" s="3">
        <f>IF(($A530-Ft!C$2)&lt;0,Ft!C$3*((1-Ft!C$6)/(1+Ft!C$37*($A530-Ft!C$2)^2)+Ft!C$6*EXP(Ft!C$38*($A530-Ft!C$2)^2)),Ft!C$3*((1-Ft!C$7)/(1+Ft!C$39*($A530-Ft!C$2)^2)+Ft!C$7*EXP(Ft!C$40*($A530-Ft!C$2)^2)))</f>
        <v>4.6908055729652416E-28</v>
      </c>
      <c r="H530" s="3">
        <f>IF(($A530-Ft!D$2)&lt;0,Ft!D$3*((1-Ft!D$6)/(1+Ft!D$37*($A530-Ft!D$2)^2)+Ft!D$6*EXP(Ft!D$38*($A530-Ft!D$2)^2)),Ft!D$3*((1-Ft!D$7)/(1+Ft!D$39*($A530-Ft!D$2)^2)+Ft!D$7*EXP(Ft!D$40*($A530-Ft!D$2)^2)))</f>
        <v>5.2593526893344395E-3</v>
      </c>
      <c r="I530" s="3">
        <f>IF(($A530-Ft!E$2)&lt;0,Ft!E$3*((1-Ft!E$6)/(1+Ft!E$37*($A530-Ft!E$2)^2)+Ft!E$6*EXP(Ft!E$38*($A530-Ft!E$2)^2)),Ft!E$3*((1-Ft!E$7)/(1+Ft!E$39*($A530-Ft!E$2)^2)+Ft!E$7*EXP(Ft!E$40*($A530-Ft!E$2)^2)))</f>
        <v>5.8983427616709845</v>
      </c>
      <c r="J530" s="3">
        <f>IF(($A530-Ft!F$2)&lt;0,Ft!F$3*((1-Ft!F$6)/(1+Ft!F$37*($A530-Ft!F$2)^2)+Ft!F$6*EXP(Ft!F$38*($A530-Ft!F$2)^2)),Ft!F$3*((1-Ft!F$7)/(1+Ft!F$39*($A530-Ft!F$2)^2)+Ft!F$7*EXP(Ft!F$40*($A530-Ft!F$2)^2)))</f>
        <v>5.1853898824709859</v>
      </c>
      <c r="K530" s="3">
        <f>IF(($A530-Ft!G$2)&lt;0,Ft!G$3*((1-Ft!G$6)/(1+Ft!G$37*($A530-Ft!G$2)^2)+Ft!G$6*EXP(Ft!G$38*($A530-Ft!G$2)^2)),Ft!G$3*((1-Ft!G$7)/(1+Ft!G$39*($A530-Ft!G$2)^2)+Ft!G$7*EXP(Ft!G$40*($A530-Ft!G$2)^2)))</f>
        <v>0</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v>1058</v>
      </c>
      <c r="B531">
        <v>11.553871339541999</v>
      </c>
      <c r="C531" s="6">
        <f t="shared" si="17"/>
        <v>10.763206249619035</v>
      </c>
      <c r="D531" s="19">
        <f t="shared" si="18"/>
        <v>0.62515128442288859</v>
      </c>
      <c r="E531" s="3">
        <f>Ft!$B$12+Ft!$B$14*(Data!A531-Vars!$B$3)</f>
        <v>0</v>
      </c>
      <c r="F531" s="3">
        <f>IF(($A531-Ft!B$2)&lt;0,Ft!B$3*((1-Ft!B$6)/(1+Ft!B$37*($A531-Ft!B$2)^2)+Ft!B$6*EXP(Ft!B$38*($A531-Ft!B$2)^2)),Ft!B$3*((1-Ft!B$7)/(1+Ft!B$39*($A531-Ft!B$2)^2)+Ft!B$7*EXP(Ft!B$40*($A531-Ft!B$2)^2)))</f>
        <v>0</v>
      </c>
      <c r="G531" s="3">
        <f>IF(($A531-Ft!C$2)&lt;0,Ft!C$3*((1-Ft!C$6)/(1+Ft!C$37*($A531-Ft!C$2)^2)+Ft!C$6*EXP(Ft!C$38*($A531-Ft!C$2)^2)),Ft!C$3*((1-Ft!C$7)/(1+Ft!C$39*($A531-Ft!C$2)^2)+Ft!C$7*EXP(Ft!C$40*($A531-Ft!C$2)^2)))</f>
        <v>3.5275152846113909E-28</v>
      </c>
      <c r="H531" s="3">
        <f>IF(($A531-Ft!D$2)&lt;0,Ft!D$3*((1-Ft!D$6)/(1+Ft!D$37*($A531-Ft!D$2)^2)+Ft!D$6*EXP(Ft!D$38*($A531-Ft!D$2)^2)),Ft!D$3*((1-Ft!D$7)/(1+Ft!D$39*($A531-Ft!D$2)^2)+Ft!D$7*EXP(Ft!D$40*($A531-Ft!D$2)^2)))</f>
        <v>4.9895900977393517E-3</v>
      </c>
      <c r="I531" s="3">
        <f>IF(($A531-Ft!E$2)&lt;0,Ft!E$3*((1-Ft!E$6)/(1+Ft!E$37*($A531-Ft!E$2)^2)+Ft!E$6*EXP(Ft!E$38*($A531-Ft!E$2)^2)),Ft!E$3*((1-Ft!E$7)/(1+Ft!E$39*($A531-Ft!E$2)^2)+Ft!E$7*EXP(Ft!E$40*($A531-Ft!E$2)^2)))</f>
        <v>5.7984643979701982</v>
      </c>
      <c r="J531" s="3">
        <f>IF(($A531-Ft!F$2)&lt;0,Ft!F$3*((1-Ft!F$6)/(1+Ft!F$37*($A531-Ft!F$2)^2)+Ft!F$6*EXP(Ft!F$38*($A531-Ft!F$2)^2)),Ft!F$3*((1-Ft!F$7)/(1+Ft!F$39*($A531-Ft!F$2)^2)+Ft!F$7*EXP(Ft!F$40*($A531-Ft!F$2)^2)))</f>
        <v>4.9597522615510972</v>
      </c>
      <c r="K531" s="3">
        <f>IF(($A531-Ft!G$2)&lt;0,Ft!G$3*((1-Ft!G$6)/(1+Ft!G$37*($A531-Ft!G$2)^2)+Ft!G$6*EXP(Ft!G$38*($A531-Ft!G$2)^2)),Ft!G$3*((1-Ft!G$7)/(1+Ft!G$39*($A531-Ft!G$2)^2)+Ft!G$7*EXP(Ft!G$40*($A531-Ft!G$2)^2)))</f>
        <v>0</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v>1060</v>
      </c>
      <c r="B532">
        <v>11.172180284405997</v>
      </c>
      <c r="C532" s="6">
        <f t="shared" si="17"/>
        <v>10.431682550466883</v>
      </c>
      <c r="D532" s="19">
        <f t="shared" si="18"/>
        <v>0.54833689396896201</v>
      </c>
      <c r="E532" s="3">
        <f>Ft!$B$12+Ft!$B$14*(Data!A532-Vars!$B$3)</f>
        <v>0</v>
      </c>
      <c r="F532" s="3">
        <f>IF(($A532-Ft!B$2)&lt;0,Ft!B$3*((1-Ft!B$6)/(1+Ft!B$37*($A532-Ft!B$2)^2)+Ft!B$6*EXP(Ft!B$38*($A532-Ft!B$2)^2)),Ft!B$3*((1-Ft!B$7)/(1+Ft!B$39*($A532-Ft!B$2)^2)+Ft!B$7*EXP(Ft!B$40*($A532-Ft!B$2)^2)))</f>
        <v>0</v>
      </c>
      <c r="G532" s="3">
        <f>IF(($A532-Ft!C$2)&lt;0,Ft!C$3*((1-Ft!C$6)/(1+Ft!C$37*($A532-Ft!C$2)^2)+Ft!C$6*EXP(Ft!C$38*($A532-Ft!C$2)^2)),Ft!C$3*((1-Ft!C$7)/(1+Ft!C$39*($A532-Ft!C$2)^2)+Ft!C$7*EXP(Ft!C$40*($A532-Ft!C$2)^2)))</f>
        <v>2.6510649347939352E-28</v>
      </c>
      <c r="H532" s="3">
        <f>IF(($A532-Ft!D$2)&lt;0,Ft!D$3*((1-Ft!D$6)/(1+Ft!D$37*($A532-Ft!D$2)^2)+Ft!D$6*EXP(Ft!D$38*($A532-Ft!D$2)^2)),Ft!D$3*((1-Ft!D$7)/(1+Ft!D$39*($A532-Ft!D$2)^2)+Ft!D$7*EXP(Ft!D$40*($A532-Ft!D$2)^2)))</f>
        <v>4.7328588697563212E-3</v>
      </c>
      <c r="I532" s="3">
        <f>IF(($A532-Ft!E$2)&lt;0,Ft!E$3*((1-Ft!E$6)/(1+Ft!E$37*($A532-Ft!E$2)^2)+Ft!E$6*EXP(Ft!E$38*($A532-Ft!E$2)^2)),Ft!E$3*((1-Ft!E$7)/(1+Ft!E$39*($A532-Ft!E$2)^2)+Ft!E$7*EXP(Ft!E$40*($A532-Ft!E$2)^2)))</f>
        <v>5.6994693219369417</v>
      </c>
      <c r="J532" s="3">
        <f>IF(($A532-Ft!F$2)&lt;0,Ft!F$3*((1-Ft!F$6)/(1+Ft!F$37*($A532-Ft!F$2)^2)+Ft!F$6*EXP(Ft!F$38*($A532-Ft!F$2)^2)),Ft!F$3*((1-Ft!F$7)/(1+Ft!F$39*($A532-Ft!F$2)^2)+Ft!F$7*EXP(Ft!F$40*($A532-Ft!F$2)^2)))</f>
        <v>4.727480369660185</v>
      </c>
      <c r="K532" s="3">
        <f>IF(($A532-Ft!G$2)&lt;0,Ft!G$3*((1-Ft!G$6)/(1+Ft!G$37*($A532-Ft!G$2)^2)+Ft!G$6*EXP(Ft!G$38*($A532-Ft!G$2)^2)),Ft!G$3*((1-Ft!G$7)/(1+Ft!G$39*($A532-Ft!G$2)^2)+Ft!G$7*EXP(Ft!G$40*($A532-Ft!G$2)^2)))</f>
        <v>0</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v>1062</v>
      </c>
      <c r="B533">
        <v>10.760197409239993</v>
      </c>
      <c r="C533" s="6">
        <f t="shared" si="17"/>
        <v>10.096317134424629</v>
      </c>
      <c r="D533" s="19">
        <f t="shared" si="18"/>
        <v>0.44073701928892328</v>
      </c>
      <c r="E533" s="3">
        <f>Ft!$B$12+Ft!$B$14*(Data!A533-Vars!$B$3)</f>
        <v>0</v>
      </c>
      <c r="F533" s="3">
        <f>IF(($A533-Ft!B$2)&lt;0,Ft!B$3*((1-Ft!B$6)/(1+Ft!B$37*($A533-Ft!B$2)^2)+Ft!B$6*EXP(Ft!B$38*($A533-Ft!B$2)^2)),Ft!B$3*((1-Ft!B$7)/(1+Ft!B$39*($A533-Ft!B$2)^2)+Ft!B$7*EXP(Ft!B$40*($A533-Ft!B$2)^2)))</f>
        <v>0</v>
      </c>
      <c r="G533" s="3">
        <f>IF(($A533-Ft!C$2)&lt;0,Ft!C$3*((1-Ft!C$6)/(1+Ft!C$37*($A533-Ft!C$2)^2)+Ft!C$6*EXP(Ft!C$38*($A533-Ft!C$2)^2)),Ft!C$3*((1-Ft!C$7)/(1+Ft!C$39*($A533-Ft!C$2)^2)+Ft!C$7*EXP(Ft!C$40*($A533-Ft!C$2)^2)))</f>
        <v>1.9911400873005264E-28</v>
      </c>
      <c r="H533" s="3">
        <f>IF(($A533-Ft!D$2)&lt;0,Ft!D$3*((1-Ft!D$6)/(1+Ft!D$37*($A533-Ft!D$2)^2)+Ft!D$6*EXP(Ft!D$38*($A533-Ft!D$2)^2)),Ft!D$3*((1-Ft!D$7)/(1+Ft!D$39*($A533-Ft!D$2)^2)+Ft!D$7*EXP(Ft!D$40*($A533-Ft!D$2)^2)))</f>
        <v>4.4885736009962493E-3</v>
      </c>
      <c r="I533" s="3">
        <f>IF(($A533-Ft!E$2)&lt;0,Ft!E$3*((1-Ft!E$6)/(1+Ft!E$37*($A533-Ft!E$2)^2)+Ft!E$6*EXP(Ft!E$38*($A533-Ft!E$2)^2)),Ft!E$3*((1-Ft!E$7)/(1+Ft!E$39*($A533-Ft!E$2)^2)+Ft!E$7*EXP(Ft!E$40*($A533-Ft!E$2)^2)))</f>
        <v>5.6013702779366943</v>
      </c>
      <c r="J533" s="3">
        <f>IF(($A533-Ft!F$2)&lt;0,Ft!F$3*((1-Ft!F$6)/(1+Ft!F$37*($A533-Ft!F$2)^2)+Ft!F$6*EXP(Ft!F$38*($A533-Ft!F$2)^2)),Ft!F$3*((1-Ft!F$7)/(1+Ft!F$39*($A533-Ft!F$2)^2)+Ft!F$7*EXP(Ft!F$40*($A533-Ft!F$2)^2)))</f>
        <v>4.4904582828869382</v>
      </c>
      <c r="K533" s="3">
        <f>IF(($A533-Ft!G$2)&lt;0,Ft!G$3*((1-Ft!G$6)/(1+Ft!G$37*($A533-Ft!G$2)^2)+Ft!G$6*EXP(Ft!G$38*($A533-Ft!G$2)^2)),Ft!G$3*((1-Ft!G$7)/(1+Ft!G$39*($A533-Ft!G$2)^2)+Ft!G$7*EXP(Ft!G$40*($A533-Ft!G$2)^2)))</f>
        <v>0</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v>1064</v>
      </c>
      <c r="B534">
        <v>10.316309092556992</v>
      </c>
      <c r="C534" s="6">
        <f t="shared" si="17"/>
        <v>9.758962593268885</v>
      </c>
      <c r="D534" s="19">
        <f t="shared" si="18"/>
        <v>0.3106351202687076</v>
      </c>
      <c r="E534" s="3">
        <f>Ft!$B$12+Ft!$B$14*(Data!A534-Vars!$B$3)</f>
        <v>0</v>
      </c>
      <c r="F534" s="3">
        <f>IF(($A534-Ft!B$2)&lt;0,Ft!B$3*((1-Ft!B$6)/(1+Ft!B$37*($A534-Ft!B$2)^2)+Ft!B$6*EXP(Ft!B$38*($A534-Ft!B$2)^2)),Ft!B$3*((1-Ft!B$7)/(1+Ft!B$39*($A534-Ft!B$2)^2)+Ft!B$7*EXP(Ft!B$40*($A534-Ft!B$2)^2)))</f>
        <v>0</v>
      </c>
      <c r="G534" s="3">
        <f>IF(($A534-Ft!C$2)&lt;0,Ft!C$3*((1-Ft!C$6)/(1+Ft!C$37*($A534-Ft!C$2)^2)+Ft!C$6*EXP(Ft!C$38*($A534-Ft!C$2)^2)),Ft!C$3*((1-Ft!C$7)/(1+Ft!C$39*($A534-Ft!C$2)^2)+Ft!C$7*EXP(Ft!C$40*($A534-Ft!C$2)^2)))</f>
        <v>1.4945596604905549E-28</v>
      </c>
      <c r="H534" s="3">
        <f>IF(($A534-Ft!D$2)&lt;0,Ft!D$3*((1-Ft!D$6)/(1+Ft!D$37*($A534-Ft!D$2)^2)+Ft!D$6*EXP(Ft!D$38*($A534-Ft!D$2)^2)),Ft!D$3*((1-Ft!D$7)/(1+Ft!D$39*($A534-Ft!D$2)^2)+Ft!D$7*EXP(Ft!D$40*($A534-Ft!D$2)^2)))</f>
        <v>4.2561728673445589E-3</v>
      </c>
      <c r="I534" s="3">
        <f>IF(($A534-Ft!E$2)&lt;0,Ft!E$3*((1-Ft!E$6)/(1+Ft!E$37*($A534-Ft!E$2)^2)+Ft!E$6*EXP(Ft!E$38*($A534-Ft!E$2)^2)),Ft!E$3*((1-Ft!E$7)/(1+Ft!E$39*($A534-Ft!E$2)^2)+Ft!E$7*EXP(Ft!E$40*($A534-Ft!E$2)^2)))</f>
        <v>5.5041794141320848</v>
      </c>
      <c r="J534" s="3">
        <f>IF(($A534-Ft!F$2)&lt;0,Ft!F$3*((1-Ft!F$6)/(1+Ft!F$37*($A534-Ft!F$2)^2)+Ft!F$6*EXP(Ft!F$38*($A534-Ft!F$2)^2)),Ft!F$3*((1-Ft!F$7)/(1+Ft!F$39*($A534-Ft!F$2)^2)+Ft!F$7*EXP(Ft!F$40*($A534-Ft!F$2)^2)))</f>
        <v>4.250527006269456</v>
      </c>
      <c r="K534" s="3">
        <f>IF(($A534-Ft!G$2)&lt;0,Ft!G$3*((1-Ft!G$6)/(1+Ft!G$37*($A534-Ft!G$2)^2)+Ft!G$6*EXP(Ft!G$38*($A534-Ft!G$2)^2)),Ft!G$3*((1-Ft!G$7)/(1+Ft!G$39*($A534-Ft!G$2)^2)+Ft!G$7*EXP(Ft!G$40*($A534-Ft!G$2)^2)))</f>
        <v>0</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v>1066</v>
      </c>
      <c r="B535">
        <v>9.8393817215669941</v>
      </c>
      <c r="C535" s="6">
        <f t="shared" si="17"/>
        <v>9.4214051621085098</v>
      </c>
      <c r="D535" s="19">
        <f t="shared" si="18"/>
        <v>0.17470440425675188</v>
      </c>
      <c r="E535" s="3">
        <f>Ft!$B$12+Ft!$B$14*(Data!A535-Vars!$B$3)</f>
        <v>0</v>
      </c>
      <c r="F535" s="3">
        <f>IF(($A535-Ft!B$2)&lt;0,Ft!B$3*((1-Ft!B$6)/(1+Ft!B$37*($A535-Ft!B$2)^2)+Ft!B$6*EXP(Ft!B$38*($A535-Ft!B$2)^2)),Ft!B$3*((1-Ft!B$7)/(1+Ft!B$39*($A535-Ft!B$2)^2)+Ft!B$7*EXP(Ft!B$40*($A535-Ft!B$2)^2)))</f>
        <v>0</v>
      </c>
      <c r="G535" s="3">
        <f>IF(($A535-Ft!C$2)&lt;0,Ft!C$3*((1-Ft!C$6)/(1+Ft!C$37*($A535-Ft!C$2)^2)+Ft!C$6*EXP(Ft!C$38*($A535-Ft!C$2)^2)),Ft!C$3*((1-Ft!C$7)/(1+Ft!C$39*($A535-Ft!C$2)^2)+Ft!C$7*EXP(Ft!C$40*($A535-Ft!C$2)^2)))</f>
        <v>1.1211266741829216E-28</v>
      </c>
      <c r="H535" s="3">
        <f>IF(($A535-Ft!D$2)&lt;0,Ft!D$3*((1-Ft!D$6)/(1+Ft!D$37*($A535-Ft!D$2)^2)+Ft!D$6*EXP(Ft!D$38*($A535-Ft!D$2)^2)),Ft!D$3*((1-Ft!D$7)/(1+Ft!D$39*($A535-Ft!D$2)^2)+Ft!D$7*EXP(Ft!D$40*($A535-Ft!D$2)^2)))</f>
        <v>4.0351183593709513E-3</v>
      </c>
      <c r="I535" s="3">
        <f>IF(($A535-Ft!E$2)&lt;0,Ft!E$3*((1-Ft!E$6)/(1+Ft!E$37*($A535-Ft!E$2)^2)+Ft!E$6*EXP(Ft!E$38*($A535-Ft!E$2)^2)),Ft!E$3*((1-Ft!E$7)/(1+Ft!E$39*($A535-Ft!E$2)^2)+Ft!E$7*EXP(Ft!E$40*($A535-Ft!E$2)^2)))</f>
        <v>5.4079082859161813</v>
      </c>
      <c r="J535" s="3">
        <f>IF(($A535-Ft!F$2)&lt;0,Ft!F$3*((1-Ft!F$6)/(1+Ft!F$37*($A535-Ft!F$2)^2)+Ft!F$6*EXP(Ft!F$38*($A535-Ft!F$2)^2)),Ft!F$3*((1-Ft!F$7)/(1+Ft!F$39*($A535-Ft!F$2)^2)+Ft!F$7*EXP(Ft!F$40*($A535-Ft!F$2)^2)))</f>
        <v>4.0094617578329563</v>
      </c>
      <c r="K535" s="3">
        <f>IF(($A535-Ft!G$2)&lt;0,Ft!G$3*((1-Ft!G$6)/(1+Ft!G$37*($A535-Ft!G$2)^2)+Ft!G$6*EXP(Ft!G$38*($A535-Ft!G$2)^2)),Ft!G$3*((1-Ft!G$7)/(1+Ft!G$39*($A535-Ft!G$2)^2)+Ft!G$7*EXP(Ft!G$40*($A535-Ft!G$2)^2)))</f>
        <v>0</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v>1068</v>
      </c>
      <c r="B536">
        <v>9.3301505026799987</v>
      </c>
      <c r="C536" s="6">
        <f t="shared" si="17"/>
        <v>9.0853442905115749</v>
      </c>
      <c r="D536" s="19">
        <f t="shared" si="18"/>
        <v>5.993008151625133E-2</v>
      </c>
      <c r="E536" s="3">
        <f>Ft!$B$12+Ft!$B$14*(Data!A536-Vars!$B$3)</f>
        <v>0</v>
      </c>
      <c r="F536" s="3">
        <f>IF(($A536-Ft!B$2)&lt;0,Ft!B$3*((1-Ft!B$6)/(1+Ft!B$37*($A536-Ft!B$2)^2)+Ft!B$6*EXP(Ft!B$38*($A536-Ft!B$2)^2)),Ft!B$3*((1-Ft!B$7)/(1+Ft!B$39*($A536-Ft!B$2)^2)+Ft!B$7*EXP(Ft!B$40*($A536-Ft!B$2)^2)))</f>
        <v>0</v>
      </c>
      <c r="G536" s="3">
        <f>IF(($A536-Ft!C$2)&lt;0,Ft!C$3*((1-Ft!C$6)/(1+Ft!C$37*($A536-Ft!C$2)^2)+Ft!C$6*EXP(Ft!C$38*($A536-Ft!C$2)^2)),Ft!C$3*((1-Ft!C$7)/(1+Ft!C$39*($A536-Ft!C$2)^2)+Ft!C$7*EXP(Ft!C$40*($A536-Ft!C$2)^2)))</f>
        <v>8.4047752479130757E-29</v>
      </c>
      <c r="H536" s="3">
        <f>IF(($A536-Ft!D$2)&lt;0,Ft!D$3*((1-Ft!D$6)/(1+Ft!D$37*($A536-Ft!D$2)^2)+Ft!D$6*EXP(Ft!D$38*($A536-Ft!D$2)^2)),Ft!D$3*((1-Ft!D$7)/(1+Ft!D$39*($A536-Ft!D$2)^2)+Ft!D$7*EXP(Ft!D$40*($A536-Ft!D$2)^2)))</f>
        <v>3.8248940423357136E-3</v>
      </c>
      <c r="I536" s="3">
        <f>IF(($A536-Ft!E$2)&lt;0,Ft!E$3*((1-Ft!E$6)/(1+Ft!E$37*($A536-Ft!E$2)^2)+Ft!E$6*EXP(Ft!E$38*($A536-Ft!E$2)^2)),Ft!E$3*((1-Ft!E$7)/(1+Ft!E$39*($A536-Ft!E$2)^2)+Ft!E$7*EXP(Ft!E$40*($A536-Ft!E$2)^2)))</f>
        <v>5.3125678597028996</v>
      </c>
      <c r="J536" s="3">
        <f>IF(($A536-Ft!F$2)&lt;0,Ft!F$3*((1-Ft!F$6)/(1+Ft!F$37*($A536-Ft!F$2)^2)+Ft!F$6*EXP(Ft!F$38*($A536-Ft!F$2)^2)),Ft!F$3*((1-Ft!F$7)/(1+Ft!F$39*($A536-Ft!F$2)^2)+Ft!F$7*EXP(Ft!F$40*($A536-Ft!F$2)^2)))</f>
        <v>3.7689515367663389</v>
      </c>
      <c r="K536" s="3">
        <f>IF(($A536-Ft!G$2)&lt;0,Ft!G$3*((1-Ft!G$6)/(1+Ft!G$37*($A536-Ft!G$2)^2)+Ft!G$6*EXP(Ft!G$38*($A536-Ft!G$2)^2)),Ft!G$3*((1-Ft!G$7)/(1+Ft!G$39*($A536-Ft!G$2)^2)+Ft!G$7*EXP(Ft!G$40*($A536-Ft!G$2)^2)))</f>
        <v>0</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v>1070</v>
      </c>
      <c r="B537">
        <v>8.78954058483599</v>
      </c>
      <c r="C537" s="6">
        <f t="shared" si="17"/>
        <v>8.7523747891905792</v>
      </c>
      <c r="D537" s="19">
        <f t="shared" si="18"/>
        <v>1.381296365956435E-3</v>
      </c>
      <c r="E537" s="3">
        <f>Ft!$B$12+Ft!$B$14*(Data!A537-Vars!$B$3)</f>
        <v>0</v>
      </c>
      <c r="F537" s="3">
        <f>IF(($A537-Ft!B$2)&lt;0,Ft!B$3*((1-Ft!B$6)/(1+Ft!B$37*($A537-Ft!B$2)^2)+Ft!B$6*EXP(Ft!B$38*($A537-Ft!B$2)^2)),Ft!B$3*((1-Ft!B$7)/(1+Ft!B$39*($A537-Ft!B$2)^2)+Ft!B$7*EXP(Ft!B$40*($A537-Ft!B$2)^2)))</f>
        <v>0</v>
      </c>
      <c r="G537" s="3">
        <f>IF(($A537-Ft!C$2)&lt;0,Ft!C$3*((1-Ft!C$6)/(1+Ft!C$37*($A537-Ft!C$2)^2)+Ft!C$6*EXP(Ft!C$38*($A537-Ft!C$2)^2)),Ft!C$3*((1-Ft!C$7)/(1+Ft!C$39*($A537-Ft!C$2)^2)+Ft!C$7*EXP(Ft!C$40*($A537-Ft!C$2)^2)))</f>
        <v>6.2969103871367978E-29</v>
      </c>
      <c r="H537" s="3">
        <f>IF(($A537-Ft!D$2)&lt;0,Ft!D$3*((1-Ft!D$6)/(1+Ft!D$37*($A537-Ft!D$2)^2)+Ft!D$6*EXP(Ft!D$38*($A537-Ft!D$2)^2)),Ft!D$3*((1-Ft!D$7)/(1+Ft!D$39*($A537-Ft!D$2)^2)+Ft!D$7*EXP(Ft!D$40*($A537-Ft!D$2)^2)))</f>
        <v>3.6250053413023628E-3</v>
      </c>
      <c r="I537" s="3">
        <f>IF(($A537-Ft!E$2)&lt;0,Ft!E$3*((1-Ft!E$6)/(1+Ft!E$37*($A537-Ft!E$2)^2)+Ft!E$6*EXP(Ft!E$38*($A537-Ft!E$2)^2)),Ft!E$3*((1-Ft!E$7)/(1+Ft!E$39*($A537-Ft!E$2)^2)+Ft!E$7*EXP(Ft!E$40*($A537-Ft!E$2)^2)))</f>
        <v>5.2181685170651351</v>
      </c>
      <c r="J537" s="3">
        <f>IF(($A537-Ft!F$2)&lt;0,Ft!F$3*((1-Ft!F$6)/(1+Ft!F$37*($A537-Ft!F$2)^2)+Ft!F$6*EXP(Ft!F$38*($A537-Ft!F$2)^2)),Ft!F$3*((1-Ft!F$7)/(1+Ft!F$39*($A537-Ft!F$2)^2)+Ft!F$7*EXP(Ft!F$40*($A537-Ft!F$2)^2)))</f>
        <v>3.530581266784143</v>
      </c>
      <c r="K537" s="3">
        <f>IF(($A537-Ft!G$2)&lt;0,Ft!G$3*((1-Ft!G$6)/(1+Ft!G$37*($A537-Ft!G$2)^2)+Ft!G$6*EXP(Ft!G$38*($A537-Ft!G$2)^2)),Ft!G$3*((1-Ft!G$7)/(1+Ft!G$39*($A537-Ft!G$2)^2)+Ft!G$7*EXP(Ft!G$40*($A537-Ft!G$2)^2)))</f>
        <v>0</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v>1072</v>
      </c>
      <c r="B538">
        <v>8.2184771169740003</v>
      </c>
      <c r="C538" s="6">
        <f t="shared" si="17"/>
        <v>8.4239717666590543</v>
      </c>
      <c r="D538" s="19">
        <f t="shared" si="18"/>
        <v>4.2228051049183084E-2</v>
      </c>
      <c r="E538" s="3">
        <f>Ft!$B$12+Ft!$B$14*(Data!A538-Vars!$B$3)</f>
        <v>0</v>
      </c>
      <c r="F538" s="3">
        <f>IF(($A538-Ft!B$2)&lt;0,Ft!B$3*((1-Ft!B$6)/(1+Ft!B$37*($A538-Ft!B$2)^2)+Ft!B$6*EXP(Ft!B$38*($A538-Ft!B$2)^2)),Ft!B$3*((1-Ft!B$7)/(1+Ft!B$39*($A538-Ft!B$2)^2)+Ft!B$7*EXP(Ft!B$40*($A538-Ft!B$2)^2)))</f>
        <v>0</v>
      </c>
      <c r="G538" s="3">
        <f>IF(($A538-Ft!C$2)&lt;0,Ft!C$3*((1-Ft!C$6)/(1+Ft!C$37*($A538-Ft!C$2)^2)+Ft!C$6*EXP(Ft!C$38*($A538-Ft!C$2)^2)),Ft!C$3*((1-Ft!C$7)/(1+Ft!C$39*($A538-Ft!C$2)^2)+Ft!C$7*EXP(Ft!C$40*($A538-Ft!C$2)^2)))</f>
        <v>4.7147526203720262E-29</v>
      </c>
      <c r="H538" s="3">
        <f>IF(($A538-Ft!D$2)&lt;0,Ft!D$3*((1-Ft!D$6)/(1+Ft!D$37*($A538-Ft!D$2)^2)+Ft!D$6*EXP(Ft!D$38*($A538-Ft!D$2)^2)),Ft!D$3*((1-Ft!D$7)/(1+Ft!D$39*($A538-Ft!D$2)^2)+Ft!D$7*EXP(Ft!D$40*($A538-Ft!D$2)^2)))</f>
        <v>3.434978350862697E-3</v>
      </c>
      <c r="I538" s="3">
        <f>IF(($A538-Ft!E$2)&lt;0,Ft!E$3*((1-Ft!E$6)/(1+Ft!E$37*($A538-Ft!E$2)^2)+Ft!E$6*EXP(Ft!E$38*($A538-Ft!E$2)^2)),Ft!E$3*((1-Ft!E$7)/(1+Ft!E$39*($A538-Ft!E$2)^2)+Ft!E$7*EXP(Ft!E$40*($A538-Ft!E$2)^2)))</f>
        <v>5.1247200592110502</v>
      </c>
      <c r="J538" s="3">
        <f>IF(($A538-Ft!F$2)&lt;0,Ft!F$3*((1-Ft!F$6)/(1+Ft!F$37*($A538-Ft!F$2)^2)+Ft!F$6*EXP(Ft!F$38*($A538-Ft!F$2)^2)),Ft!F$3*((1-Ft!F$7)/(1+Ft!F$39*($A538-Ft!F$2)^2)+Ft!F$7*EXP(Ft!F$40*($A538-Ft!F$2)^2)))</f>
        <v>3.2958167290971421</v>
      </c>
      <c r="K538" s="3">
        <f>IF(($A538-Ft!G$2)&lt;0,Ft!G$3*((1-Ft!G$6)/(1+Ft!G$37*($A538-Ft!G$2)^2)+Ft!G$6*EXP(Ft!G$38*($A538-Ft!G$2)^2)),Ft!G$3*((1-Ft!G$7)/(1+Ft!G$39*($A538-Ft!G$2)^2)+Ft!G$7*EXP(Ft!G$40*($A538-Ft!G$2)^2)))</f>
        <v>0</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v>1074</v>
      </c>
      <c r="B539">
        <v>7.6178852480349946</v>
      </c>
      <c r="C539" s="6">
        <f t="shared" si="17"/>
        <v>8.1014784922241176</v>
      </c>
      <c r="D539" s="19">
        <f t="shared" si="18"/>
        <v>0.23386242582536082</v>
      </c>
      <c r="E539" s="3">
        <f>Ft!$B$12+Ft!$B$14*(Data!A539-Vars!$B$3)</f>
        <v>0</v>
      </c>
      <c r="F539" s="3">
        <f>IF(($A539-Ft!B$2)&lt;0,Ft!B$3*((1-Ft!B$6)/(1+Ft!B$37*($A539-Ft!B$2)^2)+Ft!B$6*EXP(Ft!B$38*($A539-Ft!B$2)^2)),Ft!B$3*((1-Ft!B$7)/(1+Ft!B$39*($A539-Ft!B$2)^2)+Ft!B$7*EXP(Ft!B$40*($A539-Ft!B$2)^2)))</f>
        <v>0</v>
      </c>
      <c r="G539" s="3">
        <f>IF(($A539-Ft!C$2)&lt;0,Ft!C$3*((1-Ft!C$6)/(1+Ft!C$37*($A539-Ft!C$2)^2)+Ft!C$6*EXP(Ft!C$38*($A539-Ft!C$2)^2)),Ft!C$3*((1-Ft!C$7)/(1+Ft!C$39*($A539-Ft!C$2)^2)+Ft!C$7*EXP(Ft!C$40*($A539-Ft!C$2)^2)))</f>
        <v>3.5279327483398251E-29</v>
      </c>
      <c r="H539" s="3">
        <f>IF(($A539-Ft!D$2)&lt;0,Ft!D$3*((1-Ft!D$6)/(1+Ft!D$37*($A539-Ft!D$2)^2)+Ft!D$6*EXP(Ft!D$38*($A539-Ft!D$2)^2)),Ft!D$3*((1-Ft!D$7)/(1+Ft!D$39*($A539-Ft!D$2)^2)+Ft!D$7*EXP(Ft!D$40*($A539-Ft!D$2)^2)))</f>
        <v>3.2543590689773634E-3</v>
      </c>
      <c r="I539" s="3">
        <f>IF(($A539-Ft!E$2)&lt;0,Ft!E$3*((1-Ft!E$6)/(1+Ft!E$37*($A539-Ft!E$2)^2)+Ft!E$6*EXP(Ft!E$38*($A539-Ft!E$2)^2)),Ft!E$3*((1-Ft!E$7)/(1+Ft!E$39*($A539-Ft!E$2)^2)+Ft!E$7*EXP(Ft!E$40*($A539-Ft!E$2)^2)))</f>
        <v>5.0322317117887723</v>
      </c>
      <c r="J539" s="3">
        <f>IF(($A539-Ft!F$2)&lt;0,Ft!F$3*((1-Ft!F$6)/(1+Ft!F$37*($A539-Ft!F$2)^2)+Ft!F$6*EXP(Ft!F$38*($A539-Ft!F$2)^2)),Ft!F$3*((1-Ft!F$7)/(1+Ft!F$39*($A539-Ft!F$2)^2)+Ft!F$7*EXP(Ft!F$40*($A539-Ft!F$2)^2)))</f>
        <v>3.0659924213663676</v>
      </c>
      <c r="K539" s="3">
        <f>IF(($A539-Ft!G$2)&lt;0,Ft!G$3*((1-Ft!G$6)/(1+Ft!G$37*($A539-Ft!G$2)^2)+Ft!G$6*EXP(Ft!G$38*($A539-Ft!G$2)^2)),Ft!G$3*((1-Ft!G$7)/(1+Ft!G$39*($A539-Ft!G$2)^2)+Ft!G$7*EXP(Ft!G$40*($A539-Ft!G$2)^2)))</f>
        <v>0</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v>1076</v>
      </c>
      <c r="B540">
        <v>6.9886901269560013</v>
      </c>
      <c r="C540" s="6">
        <f t="shared" si="17"/>
        <v>7.7860972446446501</v>
      </c>
      <c r="D540" s="19">
        <f t="shared" si="18"/>
        <v>0.63585811134051862</v>
      </c>
      <c r="E540" s="3">
        <f>Ft!$B$12+Ft!$B$14*(Data!A540-Vars!$B$3)</f>
        <v>0</v>
      </c>
      <c r="F540" s="3">
        <f>IF(($A540-Ft!B$2)&lt;0,Ft!B$3*((1-Ft!B$6)/(1+Ft!B$37*($A540-Ft!B$2)^2)+Ft!B$6*EXP(Ft!B$38*($A540-Ft!B$2)^2)),Ft!B$3*((1-Ft!B$7)/(1+Ft!B$39*($A540-Ft!B$2)^2)+Ft!B$7*EXP(Ft!B$40*($A540-Ft!B$2)^2)))</f>
        <v>0</v>
      </c>
      <c r="G540" s="3">
        <f>IF(($A540-Ft!C$2)&lt;0,Ft!C$3*((1-Ft!C$6)/(1+Ft!C$37*($A540-Ft!C$2)^2)+Ft!C$6*EXP(Ft!C$38*($A540-Ft!C$2)^2)),Ft!C$3*((1-Ft!C$7)/(1+Ft!C$39*($A540-Ft!C$2)^2)+Ft!C$7*EXP(Ft!C$40*($A540-Ft!C$2)^2)))</f>
        <v>2.6382240458749802E-29</v>
      </c>
      <c r="H540" s="3">
        <f>IF(($A540-Ft!D$2)&lt;0,Ft!D$3*((1-Ft!D$6)/(1+Ft!D$37*($A540-Ft!D$2)^2)+Ft!D$6*EXP(Ft!D$38*($A540-Ft!D$2)^2)),Ft!D$3*((1-Ft!D$7)/(1+Ft!D$39*($A540-Ft!D$2)^2)+Ft!D$7*EXP(Ft!D$40*($A540-Ft!D$2)^2)))</f>
        <v>3.0827126544333006E-3</v>
      </c>
      <c r="I540" s="3">
        <f>IF(($A540-Ft!E$2)&lt;0,Ft!E$3*((1-Ft!E$6)/(1+Ft!E$37*($A540-Ft!E$2)^2)+Ft!E$6*EXP(Ft!E$38*($A540-Ft!E$2)^2)),Ft!E$3*((1-Ft!E$7)/(1+Ft!E$39*($A540-Ft!E$2)^2)+Ft!E$7*EXP(Ft!E$40*($A540-Ft!E$2)^2)))</f>
        <v>4.9407121300096373</v>
      </c>
      <c r="J540" s="3">
        <f>IF(($A540-Ft!F$2)&lt;0,Ft!F$3*((1-Ft!F$6)/(1+Ft!F$37*($A540-Ft!F$2)^2)+Ft!F$6*EXP(Ft!F$38*($A540-Ft!F$2)^2)),Ft!F$3*((1-Ft!F$7)/(1+Ft!F$39*($A540-Ft!F$2)^2)+Ft!F$7*EXP(Ft!F$40*($A540-Ft!F$2)^2)))</f>
        <v>2.8423024019805796</v>
      </c>
      <c r="K540" s="3">
        <f>IF(($A540-Ft!G$2)&lt;0,Ft!G$3*((1-Ft!G$6)/(1+Ft!G$37*($A540-Ft!G$2)^2)+Ft!G$6*EXP(Ft!G$38*($A540-Ft!G$2)^2)),Ft!G$3*((1-Ft!G$7)/(1+Ft!G$39*($A540-Ft!G$2)^2)+Ft!G$7*EXP(Ft!G$40*($A540-Ft!G$2)^2)))</f>
        <v>0</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v>1078</v>
      </c>
      <c r="B541">
        <v>6.3318169026769908</v>
      </c>
      <c r="C541" s="6">
        <f t="shared" si="17"/>
        <v>7.4788831320220615</v>
      </c>
      <c r="D541" s="19">
        <f t="shared" si="18"/>
        <v>1.3157609345039181</v>
      </c>
      <c r="E541" s="3">
        <f>Ft!$B$12+Ft!$B$14*(Data!A541-Vars!$B$3)</f>
        <v>0</v>
      </c>
      <c r="F541" s="3">
        <f>IF(($A541-Ft!B$2)&lt;0,Ft!B$3*((1-Ft!B$6)/(1+Ft!B$37*($A541-Ft!B$2)^2)+Ft!B$6*EXP(Ft!B$38*($A541-Ft!B$2)^2)),Ft!B$3*((1-Ft!B$7)/(1+Ft!B$39*($A541-Ft!B$2)^2)+Ft!B$7*EXP(Ft!B$40*($A541-Ft!B$2)^2)))</f>
        <v>0</v>
      </c>
      <c r="G541" s="3">
        <f>IF(($A541-Ft!C$2)&lt;0,Ft!C$3*((1-Ft!C$6)/(1+Ft!C$37*($A541-Ft!C$2)^2)+Ft!C$6*EXP(Ft!C$38*($A541-Ft!C$2)^2)),Ft!C$3*((1-Ft!C$7)/(1+Ft!C$39*($A541-Ft!C$2)^2)+Ft!C$7*EXP(Ft!C$40*($A541-Ft!C$2)^2)))</f>
        <v>1.9716646062793618E-29</v>
      </c>
      <c r="H541" s="3">
        <f>IF(($A541-Ft!D$2)&lt;0,Ft!D$3*((1-Ft!D$6)/(1+Ft!D$37*($A541-Ft!D$2)^2)+Ft!D$6*EXP(Ft!D$38*($A541-Ft!D$2)^2)),Ft!D$3*((1-Ft!D$7)/(1+Ft!D$39*($A541-Ft!D$2)^2)+Ft!D$7*EXP(Ft!D$40*($A541-Ft!D$2)^2)))</f>
        <v>2.9196227074177014E-3</v>
      </c>
      <c r="I541" s="3">
        <f>IF(($A541-Ft!E$2)&lt;0,Ft!E$3*((1-Ft!E$6)/(1+Ft!E$37*($A541-Ft!E$2)^2)+Ft!E$6*EXP(Ft!E$38*($A541-Ft!E$2)^2)),Ft!E$3*((1-Ft!E$7)/(1+Ft!E$39*($A541-Ft!E$2)^2)+Ft!E$7*EXP(Ft!E$40*($A541-Ft!E$2)^2)))</f>
        <v>4.8501694040799386</v>
      </c>
      <c r="J541" s="3">
        <f>IF(($A541-Ft!F$2)&lt;0,Ft!F$3*((1-Ft!F$6)/(1+Ft!F$37*($A541-Ft!F$2)^2)+Ft!F$6*EXP(Ft!F$38*($A541-Ft!F$2)^2)),Ft!F$3*((1-Ft!F$7)/(1+Ft!F$39*($A541-Ft!F$2)^2)+Ft!F$7*EXP(Ft!F$40*($A541-Ft!F$2)^2)))</f>
        <v>2.6257941052347054</v>
      </c>
      <c r="K541" s="3">
        <f>IF(($A541-Ft!G$2)&lt;0,Ft!G$3*((1-Ft!G$6)/(1+Ft!G$37*($A541-Ft!G$2)^2)+Ft!G$6*EXP(Ft!G$38*($A541-Ft!G$2)^2)),Ft!G$3*((1-Ft!G$7)/(1+Ft!G$39*($A541-Ft!G$2)^2)+Ft!G$7*EXP(Ft!G$40*($A541-Ft!G$2)^2)))</f>
        <v>0</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v>1080</v>
      </c>
      <c r="B542">
        <v>0</v>
      </c>
      <c r="C542" s="6">
        <f t="shared" si="17"/>
        <v>7.180740800007464</v>
      </c>
      <c r="D542" s="19">
        <f t="shared" si="18"/>
        <v>51.56303843689183</v>
      </c>
      <c r="E542" s="3">
        <f>Ft!$B$12+Ft!$B$14*(Data!A542-Vars!$B$3)</f>
        <v>0</v>
      </c>
      <c r="F542" s="3">
        <f>IF(($A542-Ft!B$2)&lt;0,Ft!B$3*((1-Ft!B$6)/(1+Ft!B$37*($A542-Ft!B$2)^2)+Ft!B$6*EXP(Ft!B$38*($A542-Ft!B$2)^2)),Ft!B$3*((1-Ft!B$7)/(1+Ft!B$39*($A542-Ft!B$2)^2)+Ft!B$7*EXP(Ft!B$40*($A542-Ft!B$2)^2)))</f>
        <v>0</v>
      </c>
      <c r="G542" s="3">
        <f>IF(($A542-Ft!C$2)&lt;0,Ft!C$3*((1-Ft!C$6)/(1+Ft!C$37*($A542-Ft!C$2)^2)+Ft!C$6*EXP(Ft!C$38*($A542-Ft!C$2)^2)),Ft!C$3*((1-Ft!C$7)/(1+Ft!C$39*($A542-Ft!C$2)^2)+Ft!C$7*EXP(Ft!C$40*($A542-Ft!C$2)^2)))</f>
        <v>1.4725986428015877E-29</v>
      </c>
      <c r="H542" s="3">
        <f>IF(($A542-Ft!D$2)&lt;0,Ft!D$3*((1-Ft!D$6)/(1+Ft!D$37*($A542-Ft!D$2)^2)+Ft!D$6*EXP(Ft!D$38*($A542-Ft!D$2)^2)),Ft!D$3*((1-Ft!D$7)/(1+Ft!D$39*($A542-Ft!D$2)^2)+Ft!D$7*EXP(Ft!D$40*($A542-Ft!D$2)^2)))</f>
        <v>2.764690572708109E-3</v>
      </c>
      <c r="I542" s="3">
        <f>IF(($A542-Ft!E$2)&lt;0,Ft!E$3*((1-Ft!E$6)/(1+Ft!E$37*($A542-Ft!E$2)^2)+Ft!E$6*EXP(Ft!E$38*($A542-Ft!E$2)^2)),Ft!E$3*((1-Ft!E$7)/(1+Ft!E$39*($A542-Ft!E$2)^2)+Ft!E$7*EXP(Ft!E$40*($A542-Ft!E$2)^2)))</f>
        <v>4.7606110649310436</v>
      </c>
      <c r="J542" s="3">
        <f>IF(($A542-Ft!F$2)&lt;0,Ft!F$3*((1-Ft!F$6)/(1+Ft!F$37*($A542-Ft!F$2)^2)+Ft!F$6*EXP(Ft!F$38*($A542-Ft!F$2)^2)),Ft!F$3*((1-Ft!F$7)/(1+Ft!F$39*($A542-Ft!F$2)^2)+Ft!F$7*EXP(Ft!F$40*($A542-Ft!F$2)^2)))</f>
        <v>2.417365044503712</v>
      </c>
      <c r="K542" s="3">
        <f>IF(($A542-Ft!G$2)&lt;0,Ft!G$3*((1-Ft!G$6)/(1+Ft!G$37*($A542-Ft!G$2)^2)+Ft!G$6*EXP(Ft!G$38*($A542-Ft!G$2)^2)),Ft!G$3*((1-Ft!G$7)/(1+Ft!G$39*($A542-Ft!G$2)^2)+Ft!G$7*EXP(Ft!G$40*($A542-Ft!G$2)^2)))</f>
        <v>0</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c r="B543"/>
      <c r="P543"/>
      <c r="Q543"/>
    </row>
    <row r="544" spans="1:17">
      <c r="A544"/>
      <c r="B544"/>
      <c r="P544"/>
      <c r="Q544"/>
    </row>
    <row r="545" spans="1:17">
      <c r="A545"/>
      <c r="B545"/>
      <c r="P545"/>
      <c r="Q545"/>
    </row>
    <row r="546" spans="1:17">
      <c r="A546"/>
      <c r="B546"/>
      <c r="P546"/>
      <c r="Q546"/>
    </row>
    <row r="547" spans="1:17">
      <c r="A547"/>
      <c r="B547"/>
      <c r="P547"/>
      <c r="Q547"/>
    </row>
    <row r="548" spans="1:17">
      <c r="A548"/>
      <c r="B548"/>
      <c r="P548"/>
      <c r="Q548"/>
    </row>
    <row r="549" spans="1:17">
      <c r="A549"/>
      <c r="B549"/>
      <c r="P549"/>
      <c r="Q549"/>
    </row>
    <row r="550" spans="1:17">
      <c r="A550"/>
      <c r="B550"/>
      <c r="P550"/>
      <c r="Q550"/>
    </row>
    <row r="551" spans="1:17">
      <c r="A551"/>
      <c r="B551"/>
      <c r="P551"/>
      <c r="Q551"/>
    </row>
    <row r="552" spans="1:17">
      <c r="A552"/>
      <c r="B552"/>
      <c r="P552"/>
      <c r="Q552"/>
    </row>
    <row r="553" spans="1:17">
      <c r="A553"/>
      <c r="B553"/>
      <c r="P553"/>
      <c r="Q553"/>
    </row>
    <row r="554" spans="1:17">
      <c r="A554"/>
      <c r="B554"/>
      <c r="P554"/>
      <c r="Q554"/>
    </row>
    <row r="555" spans="1:17">
      <c r="A555"/>
      <c r="B555"/>
      <c r="P555"/>
      <c r="Q555"/>
    </row>
    <row r="556" spans="1:17">
      <c r="A556"/>
      <c r="B556"/>
      <c r="P556"/>
      <c r="Q556"/>
    </row>
    <row r="557" spans="1:17">
      <c r="A557"/>
      <c r="B557"/>
      <c r="P557"/>
      <c r="Q557"/>
    </row>
    <row r="558" spans="1:17">
      <c r="A558"/>
      <c r="B558"/>
      <c r="P558"/>
      <c r="Q558"/>
    </row>
    <row r="559" spans="1:17">
      <c r="A559"/>
      <c r="B559"/>
      <c r="P559"/>
      <c r="Q559"/>
    </row>
    <row r="560" spans="1:17">
      <c r="A560"/>
      <c r="B560"/>
      <c r="P560"/>
      <c r="Q560"/>
    </row>
    <row r="561" spans="1:17">
      <c r="A561"/>
      <c r="B561"/>
      <c r="P561"/>
      <c r="Q561"/>
    </row>
    <row r="562" spans="1:17">
      <c r="A562"/>
      <c r="B562"/>
      <c r="P562"/>
      <c r="Q562"/>
    </row>
    <row r="563" spans="1:17">
      <c r="A563"/>
      <c r="B563"/>
      <c r="P563"/>
      <c r="Q563"/>
    </row>
    <row r="564" spans="1:17">
      <c r="A564"/>
      <c r="B564"/>
      <c r="P564"/>
      <c r="Q564"/>
    </row>
    <row r="565" spans="1:17">
      <c r="A565"/>
      <c r="B565"/>
      <c r="P565"/>
      <c r="Q565"/>
    </row>
    <row r="566" spans="1:17">
      <c r="A566"/>
      <c r="B566"/>
      <c r="P566"/>
      <c r="Q566"/>
    </row>
    <row r="567" spans="1:17">
      <c r="A567"/>
      <c r="B567"/>
      <c r="P567"/>
      <c r="Q567"/>
    </row>
    <row r="568" spans="1:17">
      <c r="A568"/>
      <c r="B568"/>
      <c r="P568"/>
      <c r="Q568"/>
    </row>
    <row r="569" spans="1:17">
      <c r="A569"/>
      <c r="B569"/>
      <c r="P569"/>
      <c r="Q569"/>
    </row>
    <row r="570" spans="1:17">
      <c r="A570"/>
      <c r="B570"/>
      <c r="P570"/>
      <c r="Q570"/>
    </row>
    <row r="571" spans="1:17">
      <c r="A571"/>
      <c r="B571"/>
      <c r="P571"/>
      <c r="Q571"/>
    </row>
    <row r="572" spans="1:17">
      <c r="A572"/>
      <c r="B572"/>
      <c r="P572"/>
      <c r="Q572"/>
    </row>
    <row r="573" spans="1:17">
      <c r="A573"/>
      <c r="B573"/>
      <c r="P573"/>
      <c r="Q573"/>
    </row>
    <row r="574" spans="1:17">
      <c r="A574"/>
      <c r="B574"/>
      <c r="P574"/>
      <c r="Q574"/>
    </row>
    <row r="575" spans="1:17">
      <c r="A575"/>
      <c r="B575"/>
      <c r="P575"/>
      <c r="Q575"/>
    </row>
    <row r="576" spans="1:17">
      <c r="A576"/>
      <c r="B576"/>
      <c r="P576"/>
      <c r="Q576"/>
    </row>
    <row r="577" spans="1:17">
      <c r="A577"/>
      <c r="B577"/>
      <c r="P577"/>
      <c r="Q577"/>
    </row>
    <row r="578" spans="1:17">
      <c r="A578"/>
      <c r="B578"/>
      <c r="P578"/>
      <c r="Q578"/>
    </row>
    <row r="579" spans="1:17">
      <c r="A579"/>
      <c r="B579"/>
      <c r="P579"/>
      <c r="Q579"/>
    </row>
    <row r="580" spans="1:17">
      <c r="A580"/>
      <c r="B580"/>
      <c r="P580"/>
      <c r="Q580"/>
    </row>
    <row r="581" spans="1:17">
      <c r="A581"/>
      <c r="B581"/>
      <c r="P581"/>
      <c r="Q581"/>
    </row>
    <row r="582" spans="1:17">
      <c r="A582"/>
      <c r="B582"/>
      <c r="P582"/>
      <c r="Q582"/>
    </row>
    <row r="583" spans="1:17">
      <c r="A583"/>
      <c r="B583"/>
      <c r="P583"/>
      <c r="Q583"/>
    </row>
    <row r="584" spans="1:17">
      <c r="A584"/>
      <c r="B584"/>
      <c r="P584"/>
      <c r="Q584"/>
    </row>
    <row r="585" spans="1:17">
      <c r="A585"/>
      <c r="B585"/>
      <c r="P585"/>
      <c r="Q585"/>
    </row>
    <row r="586" spans="1:17">
      <c r="A586"/>
      <c r="B586"/>
      <c r="P586"/>
      <c r="Q586"/>
    </row>
    <row r="587" spans="1:17">
      <c r="A587"/>
      <c r="B587"/>
      <c r="P587"/>
      <c r="Q587"/>
    </row>
    <row r="588" spans="1:17">
      <c r="A588"/>
      <c r="B588"/>
      <c r="P588"/>
      <c r="Q588"/>
    </row>
    <row r="589" spans="1:17">
      <c r="A589"/>
      <c r="B589"/>
      <c r="P589"/>
      <c r="Q589"/>
    </row>
    <row r="590" spans="1:17">
      <c r="A590"/>
      <c r="B590"/>
      <c r="P590"/>
      <c r="Q590"/>
    </row>
    <row r="591" spans="1:17">
      <c r="A591"/>
      <c r="B591"/>
      <c r="P591"/>
      <c r="Q591"/>
    </row>
    <row r="592" spans="1:17">
      <c r="A592"/>
      <c r="B592"/>
      <c r="P592"/>
      <c r="Q592"/>
    </row>
    <row r="593" spans="1:17">
      <c r="A593"/>
      <c r="B593"/>
      <c r="P593"/>
      <c r="Q593"/>
    </row>
    <row r="594" spans="1:17">
      <c r="A594"/>
      <c r="B594"/>
      <c r="P594"/>
      <c r="Q594"/>
    </row>
    <row r="595" spans="1:17">
      <c r="A595"/>
      <c r="B595"/>
      <c r="P595"/>
      <c r="Q595"/>
    </row>
    <row r="596" spans="1:17">
      <c r="A596"/>
      <c r="B596"/>
      <c r="P596"/>
      <c r="Q596"/>
    </row>
    <row r="597" spans="1:17">
      <c r="A597"/>
      <c r="B597"/>
      <c r="P597"/>
      <c r="Q597"/>
    </row>
    <row r="598" spans="1:17">
      <c r="A598"/>
      <c r="B598"/>
      <c r="P598"/>
      <c r="Q598"/>
    </row>
    <row r="599" spans="1:17">
      <c r="A599"/>
      <c r="B599"/>
      <c r="P599"/>
      <c r="Q599"/>
    </row>
    <row r="600" spans="1:17">
      <c r="A600"/>
      <c r="B600"/>
      <c r="P600"/>
      <c r="Q600"/>
    </row>
    <row r="601" spans="1:17">
      <c r="A601"/>
      <c r="B601"/>
      <c r="P601"/>
      <c r="Q601"/>
    </row>
    <row r="602" spans="1:17">
      <c r="A602"/>
      <c r="B602"/>
      <c r="P602"/>
      <c r="Q602"/>
    </row>
    <row r="603" spans="1:17">
      <c r="A603"/>
      <c r="B603"/>
      <c r="P603"/>
      <c r="Q603"/>
    </row>
    <row r="604" spans="1:17">
      <c r="A604"/>
      <c r="B604"/>
      <c r="P604"/>
      <c r="Q604"/>
    </row>
    <row r="605" spans="1:17">
      <c r="A605"/>
      <c r="B605"/>
      <c r="P605"/>
      <c r="Q605"/>
    </row>
    <row r="606" spans="1:17">
      <c r="A606"/>
      <c r="B606"/>
      <c r="P606"/>
      <c r="Q606"/>
    </row>
    <row r="607" spans="1:17">
      <c r="A607"/>
      <c r="B607"/>
      <c r="P607"/>
      <c r="Q607"/>
    </row>
    <row r="608" spans="1:17">
      <c r="A608"/>
      <c r="B608"/>
      <c r="P608"/>
      <c r="Q608"/>
    </row>
    <row r="609" spans="1:17">
      <c r="A609"/>
      <c r="B609"/>
      <c r="P609"/>
      <c r="Q609"/>
    </row>
    <row r="610" spans="1:17">
      <c r="A610"/>
      <c r="B610"/>
      <c r="P610"/>
      <c r="Q610"/>
    </row>
    <row r="611" spans="1:17">
      <c r="A611"/>
      <c r="B611"/>
      <c r="P611"/>
      <c r="Q611"/>
    </row>
    <row r="612" spans="1:17">
      <c r="A612"/>
      <c r="B612"/>
      <c r="P612"/>
      <c r="Q612"/>
    </row>
    <row r="613" spans="1:17">
      <c r="A613"/>
      <c r="B613"/>
      <c r="P613"/>
      <c r="Q613"/>
    </row>
    <row r="614" spans="1:17">
      <c r="A614"/>
      <c r="B614"/>
      <c r="P614"/>
      <c r="Q614"/>
    </row>
    <row r="615" spans="1:17">
      <c r="A615"/>
      <c r="B615"/>
      <c r="P615"/>
      <c r="Q615"/>
    </row>
    <row r="616" spans="1:17">
      <c r="A616"/>
      <c r="B616"/>
      <c r="P616"/>
      <c r="Q616"/>
    </row>
    <row r="617" spans="1:17">
      <c r="A617"/>
      <c r="B617"/>
      <c r="P617"/>
      <c r="Q617"/>
    </row>
    <row r="618" spans="1:17">
      <c r="A618"/>
      <c r="B618"/>
      <c r="P618"/>
      <c r="Q618"/>
    </row>
    <row r="619" spans="1:17">
      <c r="A619"/>
      <c r="B619"/>
      <c r="P619"/>
      <c r="Q619"/>
    </row>
    <row r="620" spans="1:17">
      <c r="A620"/>
      <c r="B620"/>
      <c r="P620"/>
      <c r="Q620"/>
    </row>
    <row r="621" spans="1:17">
      <c r="A621"/>
      <c r="B621"/>
      <c r="P621"/>
      <c r="Q621"/>
    </row>
    <row r="622" spans="1:17">
      <c r="A622"/>
      <c r="B622"/>
      <c r="P622"/>
      <c r="Q622"/>
    </row>
    <row r="623" spans="1:17">
      <c r="A623"/>
      <c r="B623"/>
      <c r="P623"/>
      <c r="Q623"/>
    </row>
    <row r="624" spans="1:17">
      <c r="A624"/>
      <c r="B624"/>
      <c r="P624"/>
      <c r="Q624"/>
    </row>
    <row r="625" spans="1:17">
      <c r="A625"/>
      <c r="B625"/>
      <c r="P625"/>
      <c r="Q625"/>
    </row>
    <row r="626" spans="1:17">
      <c r="A626"/>
      <c r="B626"/>
      <c r="P626"/>
      <c r="Q626"/>
    </row>
    <row r="627" spans="1:17">
      <c r="A627"/>
      <c r="B627"/>
      <c r="P627"/>
      <c r="Q627"/>
    </row>
    <row r="628" spans="1:17">
      <c r="A628"/>
      <c r="B628"/>
      <c r="P628"/>
      <c r="Q628"/>
    </row>
    <row r="629" spans="1:17">
      <c r="A629"/>
      <c r="B629"/>
      <c r="P629"/>
      <c r="Q629"/>
    </row>
    <row r="630" spans="1:17">
      <c r="A630"/>
      <c r="B630"/>
      <c r="P630"/>
      <c r="Q630"/>
    </row>
    <row r="631" spans="1:17">
      <c r="A631"/>
      <c r="B631"/>
      <c r="P631"/>
      <c r="Q631"/>
    </row>
    <row r="632" spans="1:17">
      <c r="A632"/>
      <c r="B632"/>
      <c r="P632"/>
      <c r="Q632"/>
    </row>
    <row r="633" spans="1:17">
      <c r="A633"/>
      <c r="B633"/>
      <c r="P633"/>
      <c r="Q633"/>
    </row>
    <row r="634" spans="1:17">
      <c r="A634"/>
      <c r="B634"/>
      <c r="P634"/>
      <c r="Q634"/>
    </row>
    <row r="635" spans="1:17">
      <c r="A635"/>
      <c r="B635"/>
      <c r="P635"/>
      <c r="Q635"/>
    </row>
    <row r="636" spans="1:17">
      <c r="A636"/>
      <c r="B636"/>
      <c r="P636"/>
      <c r="Q636"/>
    </row>
    <row r="637" spans="1:17">
      <c r="A637"/>
      <c r="B637"/>
      <c r="P637"/>
      <c r="Q637"/>
    </row>
    <row r="638" spans="1:17">
      <c r="A638"/>
      <c r="B638"/>
      <c r="P638"/>
      <c r="Q638"/>
    </row>
    <row r="639" spans="1:17">
      <c r="A639"/>
      <c r="B639"/>
      <c r="P639"/>
      <c r="Q639"/>
    </row>
    <row r="640" spans="1:17">
      <c r="A640"/>
      <c r="B640"/>
      <c r="P640"/>
      <c r="Q640"/>
    </row>
    <row r="641" spans="1:17">
      <c r="A641"/>
      <c r="B641"/>
      <c r="P641"/>
      <c r="Q641"/>
    </row>
    <row r="642" spans="1:17">
      <c r="A642"/>
      <c r="B642"/>
      <c r="P642"/>
      <c r="Q642"/>
    </row>
    <row r="643" spans="1:17">
      <c r="A643"/>
      <c r="B643"/>
      <c r="P643"/>
      <c r="Q643"/>
    </row>
    <row r="644" spans="1:17">
      <c r="A644"/>
      <c r="B644"/>
      <c r="P644"/>
      <c r="Q644"/>
    </row>
    <row r="645" spans="1:17">
      <c r="A645"/>
      <c r="B645"/>
      <c r="P645"/>
      <c r="Q645"/>
    </row>
    <row r="646" spans="1:17">
      <c r="A646"/>
      <c r="B646"/>
      <c r="P646"/>
      <c r="Q646"/>
    </row>
    <row r="647" spans="1:17">
      <c r="A647"/>
      <c r="B647"/>
      <c r="P647"/>
      <c r="Q647"/>
    </row>
    <row r="648" spans="1:17">
      <c r="A648"/>
      <c r="B648"/>
      <c r="P648"/>
      <c r="Q648"/>
    </row>
    <row r="649" spans="1:17">
      <c r="A649"/>
      <c r="B649"/>
      <c r="P649"/>
      <c r="Q649"/>
    </row>
    <row r="650" spans="1:17">
      <c r="A650"/>
      <c r="B650"/>
      <c r="P650"/>
      <c r="Q650"/>
    </row>
    <row r="651" spans="1:17">
      <c r="A651"/>
      <c r="B651"/>
      <c r="P651"/>
      <c r="Q651"/>
    </row>
    <row r="652" spans="1:17">
      <c r="A652"/>
      <c r="B652"/>
      <c r="P652"/>
      <c r="Q652"/>
    </row>
    <row r="653" spans="1:17">
      <c r="A653"/>
      <c r="B653"/>
      <c r="P653"/>
      <c r="Q653"/>
    </row>
    <row r="654" spans="1:17">
      <c r="A654"/>
      <c r="B654"/>
      <c r="P654"/>
      <c r="Q654"/>
    </row>
    <row r="655" spans="1:17">
      <c r="A655"/>
      <c r="B655"/>
      <c r="P655"/>
      <c r="Q655"/>
    </row>
    <row r="656" spans="1:17">
      <c r="A656"/>
      <c r="B656"/>
      <c r="P656"/>
      <c r="Q656"/>
    </row>
    <row r="657" spans="1:17">
      <c r="A657"/>
      <c r="B657"/>
      <c r="P657"/>
      <c r="Q657"/>
    </row>
    <row r="658" spans="1:17">
      <c r="A658"/>
      <c r="B658"/>
      <c r="P658"/>
      <c r="Q658"/>
    </row>
    <row r="659" spans="1:17">
      <c r="A659"/>
      <c r="B659"/>
      <c r="P659"/>
      <c r="Q659"/>
    </row>
    <row r="660" spans="1:17">
      <c r="A660"/>
      <c r="B660"/>
      <c r="P660"/>
      <c r="Q660"/>
    </row>
    <row r="661" spans="1:17">
      <c r="A661"/>
      <c r="B661"/>
      <c r="P661"/>
      <c r="Q661"/>
    </row>
    <row r="662" spans="1:17">
      <c r="A662"/>
      <c r="B662"/>
      <c r="P662"/>
      <c r="Q662"/>
    </row>
    <row r="663" spans="1:17">
      <c r="A663"/>
      <c r="B663"/>
      <c r="P663"/>
      <c r="Q663"/>
    </row>
    <row r="664" spans="1:17">
      <c r="A664"/>
      <c r="B664"/>
      <c r="P664"/>
      <c r="Q664"/>
    </row>
    <row r="665" spans="1:17">
      <c r="A665"/>
      <c r="B665"/>
      <c r="P665"/>
      <c r="Q665"/>
    </row>
    <row r="666" spans="1:17">
      <c r="A666"/>
      <c r="B666"/>
      <c r="P666"/>
      <c r="Q666"/>
    </row>
    <row r="667" spans="1:17">
      <c r="A667"/>
      <c r="B667"/>
      <c r="P667"/>
      <c r="Q667"/>
    </row>
    <row r="668" spans="1:17">
      <c r="A668"/>
      <c r="B668"/>
      <c r="P668"/>
      <c r="Q668"/>
    </row>
    <row r="669" spans="1:17">
      <c r="A669"/>
      <c r="B669"/>
      <c r="P669"/>
      <c r="Q669"/>
    </row>
    <row r="670" spans="1:17">
      <c r="A670"/>
      <c r="B670"/>
      <c r="P670"/>
      <c r="Q670"/>
    </row>
    <row r="671" spans="1:17">
      <c r="A671"/>
      <c r="B671"/>
      <c r="P671"/>
      <c r="Q671"/>
    </row>
    <row r="672" spans="1:17">
      <c r="A672"/>
      <c r="B672"/>
      <c r="P672"/>
      <c r="Q672"/>
    </row>
    <row r="673" spans="1:17">
      <c r="A673"/>
      <c r="B673"/>
      <c r="P673"/>
      <c r="Q673"/>
    </row>
    <row r="674" spans="1:17">
      <c r="A674"/>
      <c r="B674"/>
      <c r="P674"/>
      <c r="Q674"/>
    </row>
    <row r="675" spans="1:17">
      <c r="A675"/>
      <c r="B675"/>
      <c r="P675"/>
      <c r="Q675"/>
    </row>
    <row r="676" spans="1:17">
      <c r="A676"/>
      <c r="B676"/>
      <c r="P676"/>
      <c r="Q676"/>
    </row>
    <row r="677" spans="1:17">
      <c r="A677"/>
      <c r="B677"/>
      <c r="P677"/>
      <c r="Q677"/>
    </row>
    <row r="678" spans="1:17">
      <c r="A678"/>
      <c r="B678"/>
      <c r="P678"/>
      <c r="Q678"/>
    </row>
    <row r="679" spans="1:17">
      <c r="A679"/>
      <c r="B679"/>
      <c r="P679"/>
      <c r="Q679"/>
    </row>
    <row r="680" spans="1:17">
      <c r="A680"/>
      <c r="B680"/>
      <c r="P680"/>
      <c r="Q680"/>
    </row>
    <row r="681" spans="1:17">
      <c r="A681"/>
      <c r="B681"/>
      <c r="P681"/>
      <c r="Q681"/>
    </row>
    <row r="682" spans="1:17">
      <c r="A682"/>
      <c r="B682"/>
      <c r="P682"/>
      <c r="Q682"/>
    </row>
    <row r="683" spans="1:17">
      <c r="A683"/>
      <c r="B683"/>
      <c r="P683"/>
      <c r="Q683"/>
    </row>
    <row r="684" spans="1:17">
      <c r="A684"/>
      <c r="B684"/>
      <c r="P684"/>
      <c r="Q684"/>
    </row>
    <row r="685" spans="1:17">
      <c r="A685"/>
      <c r="B685"/>
      <c r="P685"/>
      <c r="Q685"/>
    </row>
    <row r="686" spans="1:17">
      <c r="A686"/>
      <c r="B686"/>
      <c r="P686"/>
      <c r="Q686"/>
    </row>
    <row r="687" spans="1:17">
      <c r="A687"/>
      <c r="B687"/>
      <c r="P687"/>
      <c r="Q687"/>
    </row>
    <row r="688" spans="1:17">
      <c r="A688"/>
      <c r="B688"/>
      <c r="P688"/>
      <c r="Q688"/>
    </row>
    <row r="689" spans="1:17">
      <c r="A689"/>
      <c r="B689"/>
      <c r="P689"/>
      <c r="Q689"/>
    </row>
    <row r="690" spans="1:17">
      <c r="A690"/>
      <c r="B690"/>
      <c r="P690"/>
      <c r="Q690"/>
    </row>
    <row r="691" spans="1:17">
      <c r="A691"/>
      <c r="B691"/>
      <c r="P691"/>
      <c r="Q691"/>
    </row>
    <row r="692" spans="1:17">
      <c r="A692"/>
      <c r="B692"/>
      <c r="P692"/>
      <c r="Q692"/>
    </row>
    <row r="693" spans="1:17">
      <c r="A693"/>
      <c r="B693"/>
      <c r="P693"/>
      <c r="Q693"/>
    </row>
    <row r="694" spans="1:17">
      <c r="A694"/>
      <c r="B694"/>
      <c r="P694"/>
      <c r="Q694"/>
    </row>
    <row r="695" spans="1:17">
      <c r="A695"/>
      <c r="B695"/>
      <c r="P695"/>
      <c r="Q695"/>
    </row>
    <row r="696" spans="1:17">
      <c r="A696"/>
      <c r="B696"/>
      <c r="P696"/>
      <c r="Q696"/>
    </row>
    <row r="697" spans="1:17">
      <c r="A697"/>
      <c r="B697"/>
      <c r="P697"/>
      <c r="Q697"/>
    </row>
    <row r="698" spans="1:17">
      <c r="A698"/>
      <c r="B698"/>
      <c r="P698"/>
      <c r="Q698"/>
    </row>
    <row r="699" spans="1:17">
      <c r="A699"/>
      <c r="B699"/>
      <c r="P699"/>
      <c r="Q699"/>
    </row>
    <row r="700" spans="1:17">
      <c r="A700"/>
      <c r="B700"/>
      <c r="P700"/>
      <c r="Q700"/>
    </row>
    <row r="701" spans="1:17">
      <c r="A701"/>
      <c r="B701"/>
      <c r="P701"/>
      <c r="Q701"/>
    </row>
    <row r="702" spans="1:17">
      <c r="A702"/>
      <c r="B702"/>
      <c r="P702"/>
      <c r="Q702"/>
    </row>
    <row r="703" spans="1:17">
      <c r="A703"/>
      <c r="B703"/>
      <c r="E703"/>
      <c r="F703"/>
      <c r="G703"/>
      <c r="H703"/>
      <c r="I703"/>
      <c r="J703"/>
      <c r="K703"/>
      <c r="L703"/>
      <c r="M703"/>
      <c r="N703"/>
      <c r="O703"/>
      <c r="P703"/>
      <c r="Q703"/>
    </row>
    <row r="704" spans="1:17">
      <c r="A704"/>
      <c r="B704"/>
      <c r="E704"/>
      <c r="F704"/>
      <c r="G704"/>
      <c r="H704"/>
      <c r="I704"/>
      <c r="J704"/>
      <c r="K704"/>
      <c r="L704"/>
      <c r="M704"/>
      <c r="N704"/>
      <c r="O704"/>
      <c r="P704"/>
      <c r="Q704"/>
    </row>
    <row r="705" spans="1:17">
      <c r="A705"/>
      <c r="B705"/>
      <c r="E705"/>
      <c r="F705"/>
      <c r="G705"/>
      <c r="H705"/>
      <c r="I705"/>
      <c r="J705"/>
      <c r="K705"/>
      <c r="L705"/>
      <c r="M705"/>
      <c r="N705"/>
      <c r="O705"/>
      <c r="P705"/>
      <c r="Q705"/>
    </row>
    <row r="706" spans="1:17">
      <c r="A706"/>
      <c r="B706"/>
      <c r="E706"/>
      <c r="F706"/>
      <c r="G706"/>
      <c r="H706"/>
      <c r="I706"/>
      <c r="J706"/>
      <c r="K706"/>
      <c r="L706"/>
      <c r="M706"/>
      <c r="N706"/>
      <c r="O706"/>
      <c r="P706"/>
      <c r="Q706"/>
    </row>
    <row r="707" spans="1:17">
      <c r="A707"/>
      <c r="B707"/>
      <c r="E707"/>
      <c r="F707"/>
      <c r="G707"/>
      <c r="H707"/>
      <c r="I707"/>
      <c r="J707"/>
      <c r="K707"/>
      <c r="L707"/>
      <c r="M707"/>
      <c r="N707"/>
      <c r="O707"/>
      <c r="P707"/>
      <c r="Q707"/>
    </row>
    <row r="708" spans="1:17">
      <c r="A708"/>
      <c r="B708"/>
      <c r="E708"/>
      <c r="F708"/>
      <c r="G708"/>
      <c r="H708"/>
      <c r="I708"/>
      <c r="J708"/>
      <c r="K708"/>
      <c r="L708"/>
      <c r="M708"/>
      <c r="N708"/>
      <c r="O708"/>
      <c r="P708"/>
      <c r="Q708"/>
    </row>
    <row r="709" spans="1:17">
      <c r="A709"/>
      <c r="B709"/>
      <c r="E709"/>
      <c r="F709"/>
      <c r="G709"/>
      <c r="H709"/>
      <c r="I709"/>
      <c r="J709"/>
      <c r="K709"/>
      <c r="L709"/>
      <c r="M709"/>
      <c r="N709"/>
      <c r="O709"/>
      <c r="P709"/>
      <c r="Q709"/>
    </row>
    <row r="710" spans="1:17">
      <c r="A710"/>
      <c r="B710"/>
      <c r="E710"/>
      <c r="F710"/>
      <c r="G710"/>
      <c r="H710"/>
      <c r="I710"/>
      <c r="J710"/>
      <c r="K710"/>
      <c r="L710"/>
      <c r="M710"/>
      <c r="N710"/>
      <c r="O710"/>
      <c r="P710"/>
      <c r="Q710"/>
    </row>
    <row r="711" spans="1:17">
      <c r="A711"/>
      <c r="B711"/>
      <c r="E711"/>
      <c r="F711"/>
      <c r="G711"/>
      <c r="H711"/>
      <c r="I711"/>
      <c r="J711"/>
      <c r="K711"/>
      <c r="L711"/>
      <c r="M711"/>
      <c r="N711"/>
      <c r="O711"/>
      <c r="P711"/>
      <c r="Q711"/>
    </row>
    <row r="712" spans="1:17">
      <c r="A712"/>
      <c r="B712"/>
      <c r="E712"/>
      <c r="F712"/>
      <c r="G712"/>
      <c r="H712"/>
      <c r="I712"/>
      <c r="J712"/>
      <c r="K712"/>
      <c r="L712"/>
      <c r="M712"/>
      <c r="N712"/>
      <c r="O712"/>
      <c r="P712"/>
      <c r="Q712"/>
    </row>
    <row r="713" spans="1:17">
      <c r="A713"/>
      <c r="B713"/>
      <c r="E713"/>
      <c r="F713"/>
      <c r="G713"/>
      <c r="H713"/>
      <c r="I713"/>
      <c r="J713"/>
      <c r="K713"/>
      <c r="L713"/>
      <c r="M713"/>
      <c r="N713"/>
      <c r="O713"/>
      <c r="P713"/>
      <c r="Q713"/>
    </row>
    <row r="714" spans="1:17">
      <c r="A714"/>
      <c r="B714"/>
      <c r="E714"/>
      <c r="F714"/>
      <c r="G714"/>
      <c r="H714"/>
      <c r="I714"/>
      <c r="J714"/>
      <c r="K714"/>
      <c r="L714"/>
      <c r="M714"/>
      <c r="N714"/>
      <c r="O714"/>
      <c r="P714"/>
      <c r="Q714"/>
    </row>
    <row r="715" spans="1:17">
      <c r="A715"/>
      <c r="B715"/>
      <c r="E715"/>
      <c r="F715"/>
      <c r="G715"/>
      <c r="H715"/>
      <c r="I715"/>
      <c r="J715"/>
      <c r="K715"/>
      <c r="L715"/>
      <c r="M715"/>
      <c r="N715"/>
      <c r="O715"/>
      <c r="P715"/>
      <c r="Q715"/>
    </row>
    <row r="716" spans="1:17">
      <c r="A716"/>
      <c r="B716"/>
      <c r="E716"/>
      <c r="F716"/>
      <c r="G716"/>
      <c r="H716"/>
      <c r="I716"/>
      <c r="J716"/>
      <c r="K716"/>
      <c r="L716"/>
      <c r="M716"/>
      <c r="N716"/>
      <c r="O716"/>
      <c r="P716"/>
      <c r="Q716"/>
    </row>
    <row r="717" spans="1:17">
      <c r="A717"/>
      <c r="B717"/>
      <c r="E717"/>
      <c r="F717"/>
      <c r="G717"/>
      <c r="H717"/>
      <c r="I717"/>
      <c r="J717"/>
      <c r="K717"/>
      <c r="L717"/>
      <c r="M717"/>
      <c r="N717"/>
      <c r="O717"/>
      <c r="P717"/>
      <c r="Q717"/>
    </row>
    <row r="718" spans="1:17">
      <c r="A718"/>
      <c r="B718"/>
      <c r="E718"/>
      <c r="F718"/>
      <c r="G718"/>
      <c r="H718"/>
      <c r="I718"/>
      <c r="J718"/>
      <c r="K718"/>
      <c r="L718"/>
      <c r="M718"/>
      <c r="N718"/>
      <c r="O718"/>
      <c r="P718"/>
      <c r="Q718"/>
    </row>
    <row r="719" spans="1:17">
      <c r="A719"/>
      <c r="B719"/>
      <c r="E719"/>
      <c r="F719"/>
      <c r="G719"/>
      <c r="H719"/>
      <c r="I719"/>
      <c r="J719"/>
      <c r="K719"/>
      <c r="L719"/>
      <c r="M719"/>
      <c r="N719"/>
      <c r="O719"/>
      <c r="P719"/>
      <c r="Q719"/>
    </row>
    <row r="720" spans="1:17">
      <c r="A720"/>
      <c r="B720"/>
      <c r="E720"/>
      <c r="F720"/>
      <c r="G720"/>
      <c r="H720"/>
      <c r="I720"/>
      <c r="J720"/>
      <c r="K720"/>
      <c r="L720"/>
      <c r="M720"/>
      <c r="N720"/>
      <c r="O720"/>
      <c r="P720"/>
      <c r="Q720"/>
    </row>
    <row r="721" spans="1:17">
      <c r="A721"/>
      <c r="B721"/>
      <c r="E721"/>
      <c r="F721"/>
      <c r="G721"/>
      <c r="H721"/>
      <c r="I721"/>
      <c r="J721"/>
      <c r="K721"/>
      <c r="L721"/>
      <c r="M721"/>
      <c r="N721"/>
      <c r="O721"/>
      <c r="P721"/>
      <c r="Q721"/>
    </row>
    <row r="722" spans="1:17">
      <c r="A722"/>
      <c r="B722"/>
      <c r="E722"/>
      <c r="F722"/>
      <c r="G722"/>
      <c r="H722"/>
      <c r="I722"/>
      <c r="J722"/>
      <c r="K722"/>
      <c r="L722"/>
      <c r="M722"/>
      <c r="N722"/>
      <c r="O722"/>
      <c r="P722"/>
      <c r="Q722"/>
    </row>
    <row r="723" spans="1:17">
      <c r="A723"/>
      <c r="B723"/>
      <c r="E723"/>
      <c r="F723"/>
      <c r="G723"/>
      <c r="H723"/>
      <c r="I723"/>
      <c r="J723"/>
      <c r="K723"/>
      <c r="L723"/>
      <c r="M723"/>
      <c r="N723"/>
      <c r="O723"/>
      <c r="P723"/>
      <c r="Q723"/>
    </row>
    <row r="724" spans="1:17">
      <c r="A724"/>
      <c r="B724"/>
      <c r="E724"/>
      <c r="F724"/>
      <c r="G724"/>
      <c r="H724"/>
      <c r="I724"/>
      <c r="J724"/>
      <c r="K724"/>
      <c r="L724"/>
      <c r="M724"/>
      <c r="N724"/>
      <c r="O724"/>
      <c r="P724"/>
      <c r="Q724"/>
    </row>
    <row r="725" spans="1:17">
      <c r="A725"/>
      <c r="B725"/>
      <c r="E725"/>
      <c r="F725"/>
      <c r="G725"/>
      <c r="H725"/>
      <c r="I725"/>
      <c r="J725"/>
      <c r="K725"/>
      <c r="L725"/>
      <c r="M725"/>
      <c r="N725"/>
      <c r="O725"/>
      <c r="P725"/>
      <c r="Q725"/>
    </row>
    <row r="726" spans="1:17">
      <c r="A726"/>
      <c r="B726"/>
      <c r="E726"/>
      <c r="F726"/>
      <c r="G726"/>
      <c r="H726"/>
      <c r="I726"/>
      <c r="J726"/>
      <c r="K726"/>
      <c r="L726"/>
      <c r="M726"/>
      <c r="N726"/>
      <c r="O726"/>
      <c r="P726"/>
      <c r="Q726"/>
    </row>
    <row r="727" spans="1:17">
      <c r="A727"/>
      <c r="B727"/>
      <c r="E727"/>
      <c r="F727"/>
      <c r="G727"/>
      <c r="H727"/>
      <c r="I727"/>
      <c r="J727"/>
      <c r="K727"/>
      <c r="L727"/>
      <c r="M727"/>
      <c r="N727"/>
      <c r="O727"/>
      <c r="P727"/>
      <c r="Q727"/>
    </row>
    <row r="728" spans="1:17">
      <c r="A728"/>
      <c r="B728"/>
      <c r="E728"/>
      <c r="F728"/>
      <c r="G728"/>
      <c r="H728"/>
      <c r="I728"/>
      <c r="J728"/>
      <c r="K728"/>
      <c r="L728"/>
      <c r="M728"/>
      <c r="N728"/>
      <c r="O728"/>
      <c r="P728"/>
      <c r="Q728"/>
    </row>
    <row r="729" spans="1:17">
      <c r="A729"/>
      <c r="B729"/>
      <c r="E729"/>
      <c r="F729"/>
      <c r="G729"/>
      <c r="H729"/>
      <c r="I729"/>
      <c r="J729"/>
      <c r="K729"/>
      <c r="L729"/>
      <c r="M729"/>
      <c r="N729"/>
      <c r="O729"/>
      <c r="P729"/>
      <c r="Q729"/>
    </row>
    <row r="730" spans="1:17">
      <c r="A730"/>
      <c r="B730"/>
      <c r="E730"/>
      <c r="F730"/>
      <c r="G730"/>
      <c r="H730"/>
      <c r="I730"/>
      <c r="J730"/>
      <c r="K730"/>
      <c r="L730"/>
      <c r="M730"/>
      <c r="N730"/>
      <c r="O730"/>
      <c r="P730"/>
      <c r="Q730"/>
    </row>
    <row r="731" spans="1:17">
      <c r="A731"/>
      <c r="B731"/>
      <c r="E731"/>
      <c r="F731"/>
      <c r="G731"/>
      <c r="H731"/>
      <c r="I731"/>
      <c r="J731"/>
      <c r="K731"/>
      <c r="L731"/>
      <c r="M731"/>
      <c r="N731"/>
      <c r="O731"/>
      <c r="P731"/>
      <c r="Q731"/>
    </row>
    <row r="732" spans="1:17">
      <c r="A732"/>
      <c r="B732"/>
      <c r="E732"/>
      <c r="F732"/>
      <c r="G732"/>
      <c r="H732"/>
      <c r="I732"/>
      <c r="J732"/>
      <c r="K732"/>
      <c r="L732"/>
      <c r="M732"/>
      <c r="N732"/>
      <c r="O732"/>
      <c r="P732"/>
      <c r="Q732"/>
    </row>
    <row r="733" spans="1:17">
      <c r="A733"/>
      <c r="B733"/>
      <c r="E733"/>
      <c r="F733"/>
      <c r="G733"/>
      <c r="H733"/>
      <c r="I733"/>
      <c r="J733"/>
      <c r="K733"/>
      <c r="L733"/>
      <c r="M733"/>
      <c r="N733"/>
      <c r="O733"/>
      <c r="P733"/>
      <c r="Q733"/>
    </row>
    <row r="734" spans="1:17">
      <c r="A734"/>
      <c r="B734"/>
      <c r="E734"/>
      <c r="F734"/>
      <c r="G734"/>
      <c r="H734"/>
      <c r="I734"/>
      <c r="J734"/>
      <c r="K734"/>
      <c r="L734"/>
      <c r="M734"/>
      <c r="N734"/>
      <c r="O734"/>
      <c r="P734"/>
      <c r="Q734"/>
    </row>
    <row r="735" spans="1:17">
      <c r="A735"/>
      <c r="B735"/>
      <c r="E735"/>
      <c r="F735"/>
      <c r="G735"/>
      <c r="H735"/>
      <c r="I735"/>
      <c r="J735"/>
      <c r="K735"/>
      <c r="L735"/>
      <c r="M735"/>
      <c r="N735"/>
      <c r="O735"/>
      <c r="P735"/>
      <c r="Q735"/>
    </row>
    <row r="736" spans="1:17">
      <c r="A736"/>
      <c r="B736"/>
      <c r="E736"/>
      <c r="F736"/>
      <c r="G736"/>
      <c r="H736"/>
      <c r="I736"/>
      <c r="J736"/>
      <c r="K736"/>
      <c r="L736"/>
      <c r="M736"/>
      <c r="N736"/>
      <c r="O736"/>
      <c r="P736"/>
      <c r="Q736"/>
    </row>
    <row r="737" spans="1:17">
      <c r="A737"/>
      <c r="B737"/>
      <c r="E737"/>
      <c r="F737"/>
      <c r="G737"/>
      <c r="H737"/>
      <c r="I737"/>
      <c r="J737"/>
      <c r="K737"/>
      <c r="L737"/>
      <c r="M737"/>
      <c r="N737"/>
      <c r="O737"/>
      <c r="P737"/>
      <c r="Q737"/>
    </row>
    <row r="738" spans="1:17">
      <c r="A738"/>
      <c r="B738"/>
      <c r="E738"/>
      <c r="F738"/>
      <c r="G738"/>
      <c r="H738"/>
      <c r="I738"/>
      <c r="J738"/>
      <c r="K738"/>
      <c r="L738"/>
      <c r="M738"/>
      <c r="N738"/>
      <c r="O738"/>
      <c r="P738"/>
      <c r="Q738"/>
    </row>
    <row r="739" spans="1:17">
      <c r="A739"/>
      <c r="B739"/>
      <c r="E739"/>
      <c r="F739"/>
      <c r="G739"/>
      <c r="H739"/>
      <c r="I739"/>
      <c r="J739"/>
      <c r="K739"/>
      <c r="L739"/>
      <c r="M739"/>
      <c r="N739"/>
      <c r="O739"/>
      <c r="P739"/>
      <c r="Q739"/>
    </row>
    <row r="740" spans="1:17">
      <c r="A740"/>
      <c r="B740"/>
      <c r="E740"/>
      <c r="F740"/>
      <c r="G740"/>
      <c r="H740"/>
      <c r="I740"/>
      <c r="J740"/>
      <c r="K740"/>
      <c r="L740"/>
      <c r="M740"/>
      <c r="N740"/>
      <c r="O740"/>
      <c r="P740"/>
      <c r="Q740"/>
    </row>
    <row r="741" spans="1:17">
      <c r="A741"/>
      <c r="B741"/>
      <c r="E741"/>
      <c r="F741"/>
      <c r="G741"/>
      <c r="H741"/>
      <c r="I741"/>
      <c r="J741"/>
      <c r="K741"/>
      <c r="L741"/>
      <c r="M741"/>
      <c r="N741"/>
      <c r="O741"/>
      <c r="P741"/>
      <c r="Q741"/>
    </row>
    <row r="742" spans="1:17">
      <c r="A742"/>
      <c r="B742"/>
      <c r="E742"/>
      <c r="F742"/>
      <c r="G742"/>
      <c r="H742"/>
      <c r="I742"/>
      <c r="J742"/>
      <c r="K742"/>
      <c r="L742"/>
      <c r="M742"/>
      <c r="N742"/>
      <c r="O742"/>
      <c r="P742"/>
      <c r="Q742"/>
    </row>
    <row r="743" spans="1:17">
      <c r="A743"/>
      <c r="B743"/>
      <c r="E743"/>
      <c r="F743"/>
      <c r="G743"/>
      <c r="H743"/>
      <c r="I743"/>
      <c r="J743"/>
      <c r="K743"/>
      <c r="L743"/>
      <c r="M743"/>
      <c r="N743"/>
      <c r="O743"/>
      <c r="P743"/>
      <c r="Q743"/>
    </row>
    <row r="744" spans="1:17">
      <c r="A744"/>
      <c r="B744"/>
      <c r="E744"/>
      <c r="F744"/>
      <c r="G744"/>
      <c r="H744"/>
      <c r="I744"/>
      <c r="J744"/>
      <c r="K744"/>
      <c r="L744"/>
      <c r="M744"/>
      <c r="N744"/>
      <c r="O744"/>
      <c r="P744"/>
      <c r="Q744"/>
    </row>
    <row r="745" spans="1:17">
      <c r="A745"/>
      <c r="B745"/>
      <c r="E745"/>
      <c r="F745"/>
      <c r="G745"/>
      <c r="H745"/>
      <c r="I745"/>
      <c r="J745"/>
      <c r="K745"/>
      <c r="L745"/>
      <c r="M745"/>
      <c r="N745"/>
      <c r="O745"/>
      <c r="P745"/>
      <c r="Q745"/>
    </row>
    <row r="746" spans="1:17">
      <c r="A746"/>
      <c r="B746"/>
      <c r="E746"/>
      <c r="F746"/>
      <c r="G746"/>
      <c r="H746"/>
      <c r="I746"/>
      <c r="J746"/>
      <c r="K746"/>
      <c r="L746"/>
      <c r="M746"/>
      <c r="N746"/>
      <c r="O746"/>
      <c r="P746"/>
      <c r="Q746"/>
    </row>
    <row r="747" spans="1:17">
      <c r="A747"/>
      <c r="B747"/>
      <c r="E747"/>
      <c r="F747"/>
      <c r="G747"/>
      <c r="H747"/>
      <c r="I747"/>
      <c r="J747"/>
      <c r="K747"/>
      <c r="L747"/>
      <c r="M747"/>
      <c r="N747"/>
      <c r="O747"/>
      <c r="P747"/>
      <c r="Q747"/>
    </row>
    <row r="748" spans="1:17">
      <c r="A748"/>
      <c r="B748"/>
      <c r="E748"/>
      <c r="F748"/>
      <c r="G748"/>
      <c r="H748"/>
      <c r="I748"/>
      <c r="J748"/>
      <c r="K748"/>
      <c r="L748"/>
      <c r="M748"/>
      <c r="N748"/>
      <c r="O748"/>
      <c r="P748"/>
      <c r="Q748"/>
    </row>
    <row r="749" spans="1:17">
      <c r="A749"/>
      <c r="B749"/>
      <c r="E749"/>
      <c r="F749"/>
      <c r="G749"/>
      <c r="H749"/>
      <c r="I749"/>
      <c r="J749"/>
      <c r="K749"/>
      <c r="L749"/>
      <c r="M749"/>
      <c r="N749"/>
      <c r="O749"/>
      <c r="P749"/>
      <c r="Q749"/>
    </row>
    <row r="750" spans="1:17">
      <c r="A750"/>
      <c r="B750"/>
      <c r="E750"/>
      <c r="F750"/>
      <c r="G750"/>
      <c r="H750"/>
      <c r="I750"/>
      <c r="J750"/>
      <c r="K750"/>
      <c r="L750"/>
      <c r="M750"/>
      <c r="N750"/>
      <c r="O750"/>
      <c r="P750"/>
      <c r="Q750"/>
    </row>
    <row r="751" spans="1:17">
      <c r="A751"/>
      <c r="B751"/>
      <c r="E751"/>
      <c r="F751"/>
      <c r="G751"/>
      <c r="H751"/>
      <c r="I751"/>
      <c r="J751"/>
      <c r="K751"/>
      <c r="L751"/>
      <c r="M751"/>
      <c r="N751"/>
      <c r="O751"/>
      <c r="P751"/>
      <c r="Q751"/>
    </row>
    <row r="752" spans="1:17">
      <c r="A752"/>
      <c r="B752"/>
      <c r="E752"/>
      <c r="F752"/>
      <c r="G752"/>
      <c r="H752"/>
      <c r="I752"/>
      <c r="J752"/>
      <c r="K752"/>
      <c r="L752"/>
      <c r="M752"/>
      <c r="N752"/>
      <c r="O752"/>
      <c r="P752"/>
      <c r="Q752"/>
    </row>
    <row r="753" spans="1:17">
      <c r="A753"/>
      <c r="B753"/>
      <c r="E753"/>
      <c r="F753"/>
      <c r="G753"/>
      <c r="H753"/>
      <c r="I753"/>
      <c r="J753"/>
      <c r="K753"/>
      <c r="L753"/>
      <c r="M753"/>
      <c r="N753"/>
      <c r="O753"/>
      <c r="P753"/>
      <c r="Q753"/>
    </row>
    <row r="754" spans="1:17">
      <c r="A754"/>
      <c r="B754"/>
      <c r="E754"/>
      <c r="F754"/>
      <c r="G754"/>
      <c r="H754"/>
      <c r="I754"/>
      <c r="J754"/>
      <c r="K754"/>
      <c r="L754"/>
      <c r="M754"/>
      <c r="N754"/>
      <c r="O754"/>
      <c r="P754"/>
      <c r="Q754"/>
    </row>
    <row r="755" spans="1:17">
      <c r="A755"/>
      <c r="B755"/>
      <c r="E755"/>
      <c r="F755"/>
      <c r="G755"/>
      <c r="H755"/>
      <c r="I755"/>
      <c r="J755"/>
      <c r="K755"/>
      <c r="L755"/>
      <c r="M755"/>
      <c r="N755"/>
      <c r="O755"/>
      <c r="P755"/>
      <c r="Q755"/>
    </row>
    <row r="756" spans="1:17">
      <c r="A756"/>
      <c r="B756"/>
      <c r="E756"/>
      <c r="F756"/>
      <c r="G756"/>
      <c r="H756"/>
      <c r="I756"/>
      <c r="J756"/>
      <c r="K756"/>
      <c r="L756"/>
      <c r="M756"/>
      <c r="N756"/>
      <c r="O756"/>
      <c r="P756"/>
      <c r="Q756"/>
    </row>
    <row r="757" spans="1:17">
      <c r="A757"/>
      <c r="B757"/>
      <c r="E757"/>
      <c r="F757"/>
      <c r="G757"/>
      <c r="H757"/>
      <c r="I757"/>
      <c r="J757"/>
      <c r="K757"/>
      <c r="L757"/>
      <c r="M757"/>
      <c r="N757"/>
      <c r="O757"/>
      <c r="P757"/>
      <c r="Q757"/>
    </row>
    <row r="758" spans="1:17">
      <c r="A758"/>
      <c r="B758"/>
      <c r="E758"/>
      <c r="F758"/>
      <c r="G758"/>
      <c r="H758"/>
      <c r="I758"/>
      <c r="J758"/>
      <c r="K758"/>
      <c r="L758"/>
      <c r="M758"/>
      <c r="N758"/>
      <c r="O758"/>
      <c r="P758"/>
      <c r="Q758"/>
    </row>
    <row r="759" spans="1:17">
      <c r="A759"/>
      <c r="B759"/>
      <c r="E759"/>
      <c r="F759"/>
      <c r="G759"/>
      <c r="H759"/>
      <c r="I759"/>
      <c r="J759"/>
      <c r="K759"/>
      <c r="L759"/>
      <c r="M759"/>
      <c r="N759"/>
      <c r="O759"/>
      <c r="P759"/>
      <c r="Q759"/>
    </row>
    <row r="760" spans="1:17">
      <c r="A760"/>
      <c r="B760"/>
      <c r="E760"/>
      <c r="F760"/>
      <c r="G760"/>
      <c r="H760"/>
      <c r="I760"/>
      <c r="J760"/>
      <c r="K760"/>
      <c r="L760"/>
      <c r="M760"/>
      <c r="N760"/>
      <c r="O760"/>
      <c r="P760"/>
      <c r="Q760"/>
    </row>
    <row r="761" spans="1:17">
      <c r="A761"/>
      <c r="B761"/>
      <c r="E761"/>
      <c r="F761"/>
      <c r="G761"/>
      <c r="H761"/>
      <c r="I761"/>
      <c r="J761"/>
      <c r="K761"/>
      <c r="L761"/>
      <c r="M761"/>
      <c r="N761"/>
      <c r="O761"/>
      <c r="P761"/>
      <c r="Q761"/>
    </row>
    <row r="762" spans="1:17">
      <c r="A762"/>
      <c r="B762"/>
      <c r="E762"/>
      <c r="F762"/>
      <c r="G762"/>
      <c r="H762"/>
      <c r="I762"/>
      <c r="J762"/>
      <c r="K762"/>
      <c r="L762"/>
      <c r="M762"/>
      <c r="N762"/>
      <c r="O762"/>
      <c r="P762"/>
      <c r="Q762"/>
    </row>
    <row r="763" spans="1:17">
      <c r="A763"/>
      <c r="B763"/>
      <c r="E763"/>
      <c r="F763"/>
      <c r="G763"/>
      <c r="H763"/>
      <c r="I763"/>
      <c r="J763"/>
      <c r="K763"/>
      <c r="L763"/>
      <c r="M763"/>
      <c r="N763"/>
      <c r="O763"/>
      <c r="P763"/>
      <c r="Q763"/>
    </row>
    <row r="764" spans="1:17">
      <c r="A764"/>
      <c r="B764"/>
      <c r="E764"/>
      <c r="F764"/>
      <c r="G764"/>
      <c r="H764"/>
      <c r="I764"/>
      <c r="J764"/>
      <c r="K764"/>
      <c r="L764"/>
      <c r="M764"/>
      <c r="N764"/>
      <c r="O764"/>
      <c r="P764"/>
      <c r="Q764"/>
    </row>
    <row r="765" spans="1:17">
      <c r="A765"/>
      <c r="B765"/>
      <c r="E765"/>
      <c r="F765"/>
      <c r="G765"/>
      <c r="H765"/>
      <c r="I765"/>
      <c r="J765"/>
      <c r="K765"/>
      <c r="L765"/>
      <c r="M765"/>
      <c r="N765"/>
      <c r="O765"/>
      <c r="P765"/>
      <c r="Q765"/>
    </row>
    <row r="766" spans="1:17">
      <c r="A766"/>
      <c r="B766"/>
      <c r="E766"/>
      <c r="F766"/>
      <c r="G766"/>
      <c r="H766"/>
      <c r="I766"/>
      <c r="J766"/>
      <c r="K766"/>
      <c r="L766"/>
      <c r="M766"/>
      <c r="N766"/>
      <c r="O766"/>
      <c r="P766"/>
      <c r="Q766"/>
    </row>
    <row r="767" spans="1:17">
      <c r="A767"/>
      <c r="B767"/>
      <c r="E767"/>
      <c r="F767"/>
      <c r="G767"/>
      <c r="H767"/>
      <c r="I767"/>
      <c r="J767"/>
      <c r="K767"/>
      <c r="L767"/>
      <c r="M767"/>
      <c r="N767"/>
      <c r="O767"/>
      <c r="P767"/>
      <c r="Q767"/>
    </row>
    <row r="768" spans="1:17">
      <c r="A768"/>
      <c r="B768"/>
      <c r="E768"/>
      <c r="F768"/>
      <c r="G768"/>
      <c r="H768"/>
      <c r="I768"/>
      <c r="J768"/>
      <c r="K768"/>
      <c r="L768"/>
      <c r="M768"/>
      <c r="N768"/>
      <c r="O768"/>
      <c r="P768"/>
      <c r="Q768"/>
    </row>
    <row r="769" spans="1:17">
      <c r="A769"/>
      <c r="B769"/>
      <c r="E769"/>
      <c r="F769"/>
      <c r="G769"/>
      <c r="H769"/>
      <c r="I769"/>
      <c r="J769"/>
      <c r="K769"/>
      <c r="L769"/>
      <c r="M769"/>
      <c r="N769"/>
      <c r="O769"/>
      <c r="P769"/>
      <c r="Q769"/>
    </row>
    <row r="770" spans="1:17">
      <c r="A770"/>
      <c r="B770"/>
      <c r="E770"/>
      <c r="F770"/>
      <c r="G770"/>
      <c r="H770"/>
      <c r="I770"/>
      <c r="J770"/>
      <c r="K770"/>
      <c r="L770"/>
      <c r="M770"/>
      <c r="N770"/>
      <c r="O770"/>
      <c r="P770"/>
      <c r="Q770"/>
    </row>
    <row r="771" spans="1:17">
      <c r="A771"/>
      <c r="B771"/>
      <c r="E771"/>
      <c r="F771"/>
      <c r="G771"/>
      <c r="H771"/>
      <c r="I771"/>
      <c r="J771"/>
      <c r="K771"/>
      <c r="L771"/>
      <c r="M771"/>
      <c r="N771"/>
      <c r="O771"/>
      <c r="P771"/>
      <c r="Q771"/>
    </row>
    <row r="772" spans="1:17">
      <c r="A772"/>
      <c r="B772"/>
      <c r="E772"/>
      <c r="F772"/>
      <c r="G772"/>
      <c r="H772"/>
      <c r="I772"/>
      <c r="J772"/>
      <c r="K772"/>
      <c r="L772"/>
      <c r="M772"/>
      <c r="N772"/>
      <c r="O772"/>
      <c r="P772"/>
      <c r="Q772"/>
    </row>
    <row r="773" spans="1:17">
      <c r="A773"/>
      <c r="B773"/>
      <c r="E773"/>
      <c r="F773"/>
      <c r="G773"/>
      <c r="H773"/>
      <c r="I773"/>
      <c r="J773"/>
      <c r="K773"/>
      <c r="L773"/>
      <c r="M773"/>
      <c r="N773"/>
      <c r="O773"/>
      <c r="P773"/>
      <c r="Q773"/>
    </row>
    <row r="774" spans="1:17">
      <c r="A774"/>
      <c r="B774"/>
      <c r="E774"/>
      <c r="F774"/>
      <c r="G774"/>
      <c r="H774"/>
      <c r="I774"/>
      <c r="J774"/>
      <c r="K774"/>
      <c r="L774"/>
      <c r="M774"/>
      <c r="N774"/>
      <c r="O774"/>
      <c r="P774"/>
      <c r="Q774"/>
    </row>
    <row r="775" spans="1:17">
      <c r="A775"/>
      <c r="B775"/>
      <c r="E775"/>
      <c r="F775"/>
      <c r="G775"/>
      <c r="H775"/>
      <c r="I775"/>
      <c r="J775"/>
      <c r="K775"/>
      <c r="L775"/>
      <c r="M775"/>
      <c r="N775"/>
      <c r="O775"/>
      <c r="P775"/>
      <c r="Q775"/>
    </row>
    <row r="776" spans="1:17">
      <c r="A776"/>
      <c r="B776"/>
      <c r="E776"/>
      <c r="F776"/>
      <c r="G776"/>
      <c r="H776"/>
      <c r="I776"/>
      <c r="J776"/>
      <c r="K776"/>
      <c r="L776"/>
      <c r="M776"/>
      <c r="N776"/>
      <c r="O776"/>
      <c r="P776"/>
      <c r="Q776"/>
    </row>
    <row r="777" spans="1:17">
      <c r="A777"/>
      <c r="B777"/>
      <c r="E777"/>
      <c r="F777"/>
      <c r="G777"/>
      <c r="H777"/>
      <c r="I777"/>
      <c r="J777"/>
      <c r="K777"/>
      <c r="L777"/>
      <c r="M777"/>
      <c r="N777"/>
      <c r="O777"/>
      <c r="P777"/>
      <c r="Q777"/>
    </row>
    <row r="778" spans="1:17">
      <c r="A778"/>
      <c r="B778"/>
      <c r="E778"/>
      <c r="F778"/>
      <c r="G778"/>
      <c r="H778"/>
      <c r="I778"/>
      <c r="J778"/>
      <c r="K778"/>
      <c r="L778"/>
      <c r="M778"/>
      <c r="N778"/>
      <c r="O778"/>
      <c r="P778"/>
      <c r="Q778"/>
    </row>
    <row r="779" spans="1:17">
      <c r="A779"/>
      <c r="B779"/>
      <c r="E779"/>
      <c r="F779"/>
      <c r="G779"/>
      <c r="H779"/>
      <c r="I779"/>
      <c r="J779"/>
      <c r="K779"/>
      <c r="L779"/>
      <c r="M779"/>
      <c r="N779"/>
      <c r="O779"/>
      <c r="P779"/>
      <c r="Q779"/>
    </row>
    <row r="780" spans="1:17">
      <c r="A780"/>
      <c r="B780"/>
      <c r="E780"/>
      <c r="F780"/>
      <c r="G780"/>
      <c r="H780"/>
      <c r="I780"/>
      <c r="J780"/>
      <c r="K780"/>
      <c r="L780"/>
      <c r="M780"/>
      <c r="N780"/>
      <c r="O780"/>
      <c r="P780"/>
      <c r="Q780"/>
    </row>
    <row r="781" spans="1:17">
      <c r="A781"/>
      <c r="B781"/>
      <c r="E781"/>
      <c r="F781"/>
      <c r="G781"/>
      <c r="H781"/>
      <c r="I781"/>
      <c r="J781"/>
      <c r="K781"/>
      <c r="L781"/>
      <c r="M781"/>
      <c r="N781"/>
      <c r="O781"/>
      <c r="P781"/>
      <c r="Q781"/>
    </row>
    <row r="782" spans="1:17">
      <c r="A782"/>
      <c r="B782"/>
      <c r="E782"/>
      <c r="F782"/>
      <c r="G782"/>
      <c r="H782"/>
      <c r="I782"/>
      <c r="J782"/>
      <c r="K782"/>
      <c r="L782"/>
      <c r="M782"/>
      <c r="N782"/>
      <c r="O782"/>
      <c r="P782"/>
      <c r="Q782"/>
    </row>
    <row r="783" spans="1:17">
      <c r="A783"/>
      <c r="B783"/>
      <c r="E783"/>
      <c r="F783"/>
      <c r="G783"/>
      <c r="H783"/>
      <c r="I783"/>
      <c r="J783"/>
      <c r="K783"/>
      <c r="L783"/>
      <c r="M783"/>
      <c r="N783"/>
      <c r="O783"/>
      <c r="P783"/>
      <c r="Q783"/>
    </row>
    <row r="784" spans="1:17">
      <c r="A784"/>
      <c r="B784"/>
      <c r="E784"/>
      <c r="F784"/>
      <c r="G784"/>
      <c r="H784"/>
      <c r="I784"/>
      <c r="J784"/>
      <c r="K784"/>
      <c r="L784"/>
      <c r="M784"/>
      <c r="N784"/>
      <c r="O784"/>
      <c r="P784"/>
      <c r="Q784"/>
    </row>
    <row r="785" spans="1:17">
      <c r="A785"/>
      <c r="B785"/>
      <c r="E785"/>
      <c r="F785"/>
      <c r="G785"/>
      <c r="H785"/>
      <c r="I785"/>
      <c r="J785"/>
      <c r="K785"/>
      <c r="L785"/>
      <c r="M785"/>
      <c r="N785"/>
      <c r="O785"/>
      <c r="P785"/>
      <c r="Q785"/>
    </row>
    <row r="786" spans="1:17">
      <c r="A786"/>
      <c r="B786"/>
      <c r="E786"/>
      <c r="F786"/>
      <c r="G786"/>
      <c r="H786"/>
      <c r="I786"/>
      <c r="J786"/>
      <c r="K786"/>
      <c r="L786"/>
      <c r="M786"/>
      <c r="N786"/>
      <c r="O786"/>
      <c r="P786"/>
      <c r="Q786"/>
    </row>
    <row r="787" spans="1:17">
      <c r="A787"/>
      <c r="B787"/>
      <c r="E787"/>
      <c r="F787"/>
      <c r="G787"/>
      <c r="H787"/>
      <c r="I787"/>
      <c r="J787"/>
      <c r="K787"/>
      <c r="L787"/>
      <c r="M787"/>
      <c r="N787"/>
      <c r="O787"/>
      <c r="P787"/>
      <c r="Q787"/>
    </row>
    <row r="788" spans="1:17">
      <c r="A788"/>
      <c r="B788"/>
      <c r="E788"/>
      <c r="F788"/>
      <c r="G788"/>
      <c r="H788"/>
      <c r="I788"/>
      <c r="J788"/>
      <c r="K788"/>
      <c r="L788"/>
      <c r="M788"/>
      <c r="N788"/>
      <c r="O788"/>
      <c r="P788"/>
      <c r="Q788"/>
    </row>
    <row r="789" spans="1:17">
      <c r="A789"/>
      <c r="B789"/>
      <c r="E789"/>
      <c r="F789"/>
      <c r="G789"/>
      <c r="H789"/>
      <c r="I789"/>
      <c r="J789"/>
      <c r="K789"/>
      <c r="L789"/>
      <c r="M789"/>
      <c r="N789"/>
      <c r="O789"/>
      <c r="P789"/>
      <c r="Q789"/>
    </row>
    <row r="790" spans="1:17">
      <c r="A790"/>
      <c r="B790"/>
      <c r="E790"/>
      <c r="F790"/>
      <c r="G790"/>
      <c r="H790"/>
      <c r="I790"/>
      <c r="J790"/>
      <c r="K790"/>
      <c r="L790"/>
      <c r="M790"/>
      <c r="N790"/>
      <c r="O790"/>
      <c r="P790"/>
      <c r="Q790"/>
    </row>
    <row r="791" spans="1:17">
      <c r="A791"/>
      <c r="B791"/>
      <c r="E791"/>
      <c r="F791"/>
      <c r="G791"/>
      <c r="H791"/>
      <c r="I791"/>
      <c r="J791"/>
      <c r="K791"/>
      <c r="L791"/>
      <c r="M791"/>
      <c r="N791"/>
      <c r="O791"/>
      <c r="P791"/>
      <c r="Q791"/>
    </row>
    <row r="792" spans="1:17">
      <c r="A792"/>
      <c r="B792"/>
      <c r="E792"/>
      <c r="F792"/>
      <c r="G792"/>
      <c r="H792"/>
      <c r="I792"/>
      <c r="J792"/>
      <c r="K792"/>
      <c r="L792"/>
      <c r="M792"/>
      <c r="N792"/>
      <c r="O792"/>
      <c r="P792"/>
      <c r="Q792"/>
    </row>
    <row r="793" spans="1:17">
      <c r="A793"/>
      <c r="B793"/>
      <c r="E793"/>
      <c r="F793"/>
      <c r="G793"/>
      <c r="H793"/>
      <c r="I793"/>
      <c r="J793"/>
      <c r="K793"/>
      <c r="L793"/>
      <c r="M793"/>
      <c r="N793"/>
      <c r="O793"/>
      <c r="P793"/>
      <c r="Q793"/>
    </row>
    <row r="794" spans="1:17">
      <c r="A794"/>
      <c r="B794"/>
      <c r="E794"/>
      <c r="F794"/>
      <c r="G794"/>
      <c r="H794"/>
      <c r="I794"/>
      <c r="J794"/>
      <c r="K794"/>
      <c r="L794"/>
      <c r="M794"/>
      <c r="N794"/>
      <c r="O794"/>
      <c r="P794"/>
      <c r="Q794"/>
    </row>
    <row r="795" spans="1:17">
      <c r="A795"/>
      <c r="B795"/>
      <c r="E795"/>
      <c r="F795"/>
      <c r="G795"/>
      <c r="H795"/>
      <c r="I795"/>
      <c r="J795"/>
      <c r="K795"/>
      <c r="L795"/>
      <c r="M795"/>
      <c r="N795"/>
      <c r="O795"/>
      <c r="P795"/>
      <c r="Q795"/>
    </row>
    <row r="796" spans="1:17">
      <c r="A796"/>
      <c r="B796"/>
      <c r="E796"/>
      <c r="F796"/>
      <c r="G796"/>
      <c r="H796"/>
      <c r="I796"/>
      <c r="J796"/>
      <c r="K796"/>
      <c r="L796"/>
      <c r="M796"/>
      <c r="N796"/>
      <c r="O796"/>
      <c r="P796"/>
      <c r="Q796"/>
    </row>
    <row r="797" spans="1:17">
      <c r="A797"/>
      <c r="B797"/>
      <c r="E797"/>
      <c r="F797"/>
      <c r="G797"/>
      <c r="H797"/>
      <c r="I797"/>
      <c r="J797"/>
      <c r="K797"/>
      <c r="L797"/>
      <c r="M797"/>
      <c r="N797"/>
      <c r="O797"/>
      <c r="P797"/>
      <c r="Q797"/>
    </row>
    <row r="798" spans="1:17">
      <c r="A798"/>
      <c r="B798"/>
      <c r="E798"/>
      <c r="F798"/>
      <c r="G798"/>
      <c r="H798"/>
      <c r="I798"/>
      <c r="J798"/>
      <c r="K798"/>
      <c r="L798"/>
      <c r="M798"/>
      <c r="N798"/>
      <c r="O798"/>
      <c r="P798"/>
      <c r="Q798"/>
    </row>
    <row r="799" spans="1:17">
      <c r="A799"/>
      <c r="B799"/>
      <c r="E799"/>
      <c r="F799"/>
      <c r="G799"/>
      <c r="H799"/>
      <c r="I799"/>
      <c r="J799"/>
      <c r="K799"/>
      <c r="L799"/>
      <c r="M799"/>
      <c r="N799"/>
      <c r="O799"/>
      <c r="P799"/>
      <c r="Q799"/>
    </row>
    <row r="800" spans="1:17">
      <c r="A800"/>
      <c r="B800"/>
      <c r="E800"/>
      <c r="F800"/>
      <c r="G800"/>
      <c r="H800"/>
      <c r="I800"/>
      <c r="J800"/>
      <c r="K800"/>
      <c r="L800"/>
      <c r="M800"/>
      <c r="N800"/>
      <c r="O800"/>
      <c r="P800"/>
      <c r="Q800"/>
    </row>
    <row r="801" spans="1:17">
      <c r="A801"/>
      <c r="B801"/>
      <c r="E801"/>
      <c r="F801"/>
      <c r="G801"/>
      <c r="H801"/>
      <c r="I801"/>
      <c r="J801"/>
      <c r="K801"/>
      <c r="L801"/>
      <c r="M801"/>
      <c r="N801"/>
      <c r="O801"/>
      <c r="P801"/>
      <c r="Q801"/>
    </row>
    <row r="802" spans="1:17">
      <c r="A802"/>
      <c r="B802"/>
      <c r="E802"/>
      <c r="F802"/>
      <c r="G802"/>
      <c r="H802"/>
      <c r="I802"/>
      <c r="J802"/>
      <c r="K802"/>
      <c r="L802"/>
      <c r="M802"/>
      <c r="N802"/>
      <c r="O802"/>
      <c r="P802"/>
      <c r="Q802"/>
    </row>
    <row r="803" spans="1:17">
      <c r="A803"/>
      <c r="B803"/>
      <c r="E803"/>
      <c r="F803"/>
      <c r="G803"/>
      <c r="H803"/>
      <c r="I803"/>
      <c r="J803"/>
      <c r="K803"/>
      <c r="L803"/>
      <c r="M803"/>
      <c r="N803"/>
      <c r="O803"/>
      <c r="P803"/>
      <c r="Q803"/>
    </row>
    <row r="804" spans="1:17">
      <c r="A804"/>
      <c r="B804"/>
      <c r="E804"/>
      <c r="F804"/>
      <c r="G804"/>
      <c r="H804"/>
      <c r="I804"/>
      <c r="J804"/>
      <c r="K804"/>
      <c r="L804"/>
      <c r="M804"/>
      <c r="N804"/>
      <c r="O804"/>
      <c r="P804"/>
      <c r="Q804"/>
    </row>
    <row r="805" spans="1:17">
      <c r="A805"/>
      <c r="B805"/>
      <c r="E805"/>
      <c r="F805"/>
      <c r="G805"/>
      <c r="H805"/>
      <c r="I805"/>
      <c r="J805"/>
      <c r="K805"/>
      <c r="L805"/>
      <c r="M805"/>
      <c r="N805"/>
      <c r="O805"/>
      <c r="P805"/>
      <c r="Q805"/>
    </row>
    <row r="806" spans="1:17">
      <c r="A806"/>
      <c r="B806"/>
      <c r="E806"/>
      <c r="F806"/>
      <c r="G806"/>
      <c r="H806"/>
      <c r="I806"/>
      <c r="J806"/>
      <c r="K806"/>
      <c r="L806"/>
      <c r="M806"/>
      <c r="N806"/>
      <c r="O806"/>
      <c r="P806"/>
      <c r="Q806"/>
    </row>
    <row r="807" spans="1:17">
      <c r="A807"/>
      <c r="B807"/>
      <c r="E807"/>
      <c r="F807"/>
      <c r="G807"/>
      <c r="H807"/>
      <c r="I807"/>
      <c r="J807"/>
      <c r="K807"/>
      <c r="L807"/>
      <c r="M807"/>
      <c r="N807"/>
      <c r="O807"/>
      <c r="P807"/>
      <c r="Q807"/>
    </row>
    <row r="808" spans="1:17">
      <c r="A808"/>
      <c r="B808"/>
      <c r="E808"/>
      <c r="F808"/>
      <c r="G808"/>
      <c r="H808"/>
      <c r="I808"/>
      <c r="J808"/>
      <c r="K808"/>
      <c r="L808"/>
      <c r="M808"/>
      <c r="N808"/>
      <c r="O808"/>
      <c r="P808"/>
      <c r="Q808"/>
    </row>
    <row r="809" spans="1:17">
      <c r="A809"/>
      <c r="B809"/>
      <c r="E809"/>
      <c r="F809"/>
      <c r="G809"/>
      <c r="H809"/>
      <c r="I809"/>
      <c r="J809"/>
      <c r="K809"/>
      <c r="L809"/>
      <c r="M809"/>
      <c r="N809"/>
      <c r="O809"/>
      <c r="P809"/>
      <c r="Q809"/>
    </row>
    <row r="810" spans="1:17">
      <c r="A810"/>
      <c r="B810"/>
      <c r="E810"/>
      <c r="F810"/>
      <c r="G810"/>
      <c r="H810"/>
      <c r="I810"/>
      <c r="J810"/>
      <c r="K810"/>
      <c r="L810"/>
      <c r="M810"/>
      <c r="N810"/>
      <c r="O810"/>
      <c r="P810"/>
      <c r="Q810"/>
    </row>
    <row r="811" spans="1:17">
      <c r="A811"/>
      <c r="B811"/>
      <c r="E811"/>
      <c r="F811"/>
      <c r="G811"/>
      <c r="H811"/>
      <c r="I811"/>
      <c r="J811"/>
      <c r="K811"/>
      <c r="L811"/>
      <c r="M811"/>
      <c r="N811"/>
      <c r="O811"/>
      <c r="P811"/>
      <c r="Q811"/>
    </row>
    <row r="812" spans="1:17">
      <c r="A812"/>
      <c r="B812"/>
      <c r="E812"/>
      <c r="F812"/>
      <c r="G812"/>
      <c r="H812"/>
      <c r="I812"/>
      <c r="J812"/>
      <c r="K812"/>
      <c r="L812"/>
      <c r="M812"/>
      <c r="N812"/>
      <c r="O812"/>
      <c r="P812"/>
      <c r="Q812"/>
    </row>
    <row r="813" spans="1:17">
      <c r="A813"/>
      <c r="B813"/>
      <c r="E813"/>
      <c r="F813"/>
      <c r="G813"/>
      <c r="H813"/>
      <c r="I813"/>
      <c r="J813"/>
      <c r="K813"/>
      <c r="L813"/>
      <c r="M813"/>
      <c r="N813"/>
      <c r="O813"/>
      <c r="P813"/>
      <c r="Q813"/>
    </row>
    <row r="814" spans="1:17">
      <c r="A814"/>
      <c r="B814"/>
      <c r="E814"/>
      <c r="F814"/>
      <c r="G814"/>
      <c r="H814"/>
      <c r="I814"/>
      <c r="J814"/>
      <c r="K814"/>
      <c r="L814"/>
      <c r="M814"/>
      <c r="N814"/>
      <c r="O814"/>
      <c r="P814"/>
      <c r="Q814"/>
    </row>
    <row r="815" spans="1:17">
      <c r="A815"/>
      <c r="B815"/>
      <c r="E815"/>
      <c r="F815"/>
      <c r="G815"/>
      <c r="H815"/>
      <c r="I815"/>
      <c r="J815"/>
      <c r="K815"/>
      <c r="L815"/>
      <c r="M815"/>
      <c r="N815"/>
      <c r="O815"/>
      <c r="P815"/>
      <c r="Q815"/>
    </row>
    <row r="816" spans="1:17">
      <c r="A816"/>
      <c r="B816"/>
      <c r="E816"/>
      <c r="F816"/>
      <c r="G816"/>
      <c r="H816"/>
      <c r="I816"/>
      <c r="J816"/>
      <c r="K816"/>
      <c r="L816"/>
      <c r="M816"/>
      <c r="N816"/>
      <c r="O816"/>
      <c r="P816"/>
      <c r="Q816"/>
    </row>
    <row r="817" spans="1:17">
      <c r="A817"/>
      <c r="B817"/>
      <c r="E817"/>
      <c r="F817"/>
      <c r="G817"/>
      <c r="H817"/>
      <c r="I817"/>
      <c r="J817"/>
      <c r="K817"/>
      <c r="L817"/>
      <c r="M817"/>
      <c r="N817"/>
      <c r="O817"/>
      <c r="P817"/>
      <c r="Q817"/>
    </row>
    <row r="818" spans="1:17">
      <c r="A818"/>
      <c r="B818"/>
      <c r="E818"/>
      <c r="F818"/>
      <c r="G818"/>
      <c r="H818"/>
      <c r="I818"/>
      <c r="J818"/>
      <c r="K818"/>
      <c r="L818"/>
      <c r="M818"/>
      <c r="N818"/>
      <c r="O818"/>
      <c r="P818"/>
      <c r="Q818"/>
    </row>
    <row r="819" spans="1:17">
      <c r="A819"/>
      <c r="B819"/>
      <c r="E819"/>
      <c r="F819"/>
      <c r="G819"/>
      <c r="H819"/>
      <c r="I819"/>
      <c r="J819"/>
      <c r="K819"/>
      <c r="L819"/>
      <c r="M819"/>
      <c r="N819"/>
      <c r="O819"/>
      <c r="P819"/>
      <c r="Q819"/>
    </row>
    <row r="820" spans="1:17">
      <c r="A820"/>
      <c r="B820"/>
      <c r="E820"/>
      <c r="F820"/>
      <c r="G820"/>
      <c r="H820"/>
      <c r="I820"/>
      <c r="J820"/>
      <c r="K820"/>
      <c r="L820"/>
      <c r="M820"/>
      <c r="N820"/>
      <c r="O820"/>
      <c r="P820"/>
      <c r="Q820"/>
    </row>
    <row r="821" spans="1:17">
      <c r="A821"/>
      <c r="B821"/>
      <c r="E821"/>
      <c r="F821"/>
      <c r="G821"/>
      <c r="H821"/>
      <c r="I821"/>
      <c r="J821"/>
      <c r="K821"/>
      <c r="L821"/>
      <c r="M821"/>
      <c r="N821"/>
      <c r="O821"/>
      <c r="P821"/>
      <c r="Q821"/>
    </row>
    <row r="822" spans="1:17">
      <c r="A822"/>
      <c r="B822"/>
      <c r="E822"/>
      <c r="F822"/>
      <c r="G822"/>
      <c r="H822"/>
      <c r="I822"/>
      <c r="J822"/>
      <c r="K822"/>
      <c r="L822"/>
      <c r="M822"/>
      <c r="N822"/>
      <c r="O822"/>
      <c r="P822"/>
      <c r="Q822"/>
    </row>
    <row r="823" spans="1:17">
      <c r="A823"/>
      <c r="B823"/>
      <c r="E823"/>
      <c r="F823"/>
      <c r="G823"/>
      <c r="H823"/>
      <c r="I823"/>
      <c r="J823"/>
      <c r="K823"/>
      <c r="L823"/>
      <c r="M823"/>
      <c r="N823"/>
      <c r="O823"/>
      <c r="P823"/>
      <c r="Q823"/>
    </row>
    <row r="824" spans="1:17">
      <c r="A824"/>
      <c r="B824"/>
      <c r="E824"/>
      <c r="F824"/>
      <c r="G824"/>
      <c r="H824"/>
      <c r="I824"/>
      <c r="J824"/>
      <c r="K824"/>
      <c r="L824"/>
      <c r="M824"/>
      <c r="N824"/>
      <c r="O824"/>
      <c r="P824"/>
      <c r="Q824"/>
    </row>
    <row r="825" spans="1:17">
      <c r="A825"/>
      <c r="B825"/>
      <c r="E825"/>
      <c r="F825"/>
      <c r="G825"/>
      <c r="H825"/>
      <c r="I825"/>
      <c r="J825"/>
      <c r="K825"/>
      <c r="L825"/>
      <c r="M825"/>
      <c r="N825"/>
      <c r="O825"/>
      <c r="P825"/>
      <c r="Q825"/>
    </row>
    <row r="826" spans="1:17">
      <c r="A826"/>
      <c r="B826"/>
      <c r="E826"/>
      <c r="F826"/>
      <c r="G826"/>
      <c r="H826"/>
      <c r="I826"/>
      <c r="J826"/>
      <c r="K826"/>
      <c r="L826"/>
      <c r="M826"/>
      <c r="N826"/>
      <c r="O826"/>
      <c r="P826"/>
      <c r="Q826"/>
    </row>
    <row r="827" spans="1:17">
      <c r="A827"/>
      <c r="B827"/>
      <c r="E827"/>
      <c r="F827"/>
      <c r="G827"/>
      <c r="H827"/>
      <c r="I827"/>
      <c r="J827"/>
      <c r="K827"/>
      <c r="L827"/>
      <c r="M827"/>
      <c r="N827"/>
      <c r="O827"/>
      <c r="P827"/>
      <c r="Q827"/>
    </row>
    <row r="828" spans="1:17">
      <c r="A828"/>
      <c r="B828"/>
      <c r="E828"/>
      <c r="F828"/>
      <c r="G828"/>
      <c r="H828"/>
      <c r="I828"/>
      <c r="J828"/>
      <c r="K828"/>
      <c r="L828"/>
      <c r="M828"/>
      <c r="N828"/>
      <c r="O828"/>
      <c r="P828"/>
      <c r="Q828"/>
    </row>
    <row r="829" spans="1:17">
      <c r="A829"/>
      <c r="B829"/>
      <c r="E829"/>
      <c r="F829"/>
      <c r="G829"/>
      <c r="H829"/>
      <c r="I829"/>
      <c r="J829"/>
      <c r="K829"/>
      <c r="L829"/>
      <c r="M829"/>
      <c r="N829"/>
      <c r="O829"/>
      <c r="P829"/>
      <c r="Q829"/>
    </row>
    <row r="830" spans="1:17">
      <c r="A830"/>
      <c r="B830"/>
      <c r="E830"/>
      <c r="F830"/>
      <c r="G830"/>
      <c r="H830"/>
      <c r="I830"/>
      <c r="J830"/>
      <c r="K830"/>
      <c r="L830"/>
      <c r="M830"/>
      <c r="N830"/>
      <c r="O830"/>
      <c r="P830"/>
      <c r="Q830"/>
    </row>
    <row r="831" spans="1:17">
      <c r="A831"/>
      <c r="B831"/>
      <c r="E831"/>
      <c r="F831"/>
      <c r="G831"/>
      <c r="H831"/>
      <c r="I831"/>
      <c r="J831"/>
      <c r="K831"/>
      <c r="L831"/>
      <c r="M831"/>
      <c r="N831"/>
      <c r="O831"/>
      <c r="P831"/>
      <c r="Q831"/>
    </row>
    <row r="832" spans="1:17">
      <c r="A832"/>
      <c r="B832"/>
      <c r="E832"/>
      <c r="F832"/>
      <c r="G832"/>
      <c r="H832"/>
      <c r="I832"/>
      <c r="J832"/>
      <c r="K832"/>
      <c r="L832"/>
      <c r="M832"/>
      <c r="N832"/>
      <c r="O832"/>
      <c r="P832"/>
      <c r="Q832"/>
    </row>
    <row r="833" spans="1:17">
      <c r="A833"/>
      <c r="B833"/>
      <c r="E833"/>
      <c r="F833"/>
      <c r="G833"/>
      <c r="H833"/>
      <c r="I833"/>
      <c r="J833"/>
      <c r="K833"/>
      <c r="L833"/>
      <c r="M833"/>
      <c r="N833"/>
      <c r="O833"/>
      <c r="P833"/>
      <c r="Q833"/>
    </row>
    <row r="834" spans="1:17">
      <c r="A834"/>
      <c r="B834"/>
      <c r="E834"/>
      <c r="F834"/>
      <c r="G834"/>
      <c r="H834"/>
      <c r="I834"/>
      <c r="J834"/>
      <c r="K834"/>
      <c r="L834"/>
      <c r="M834"/>
      <c r="N834"/>
      <c r="O834"/>
      <c r="P834"/>
      <c r="Q834"/>
    </row>
    <row r="835" spans="1:17">
      <c r="A835"/>
      <c r="B835"/>
      <c r="E835"/>
      <c r="F835"/>
      <c r="G835"/>
      <c r="H835"/>
      <c r="I835"/>
      <c r="J835"/>
      <c r="K835"/>
      <c r="L835"/>
      <c r="M835"/>
      <c r="N835"/>
      <c r="O835"/>
      <c r="P835"/>
      <c r="Q835"/>
    </row>
    <row r="836" spans="1:17">
      <c r="A836"/>
      <c r="B836"/>
      <c r="E836"/>
      <c r="F836"/>
      <c r="G836"/>
      <c r="H836"/>
      <c r="I836"/>
      <c r="J836"/>
      <c r="K836"/>
      <c r="L836"/>
      <c r="M836"/>
      <c r="N836"/>
      <c r="O836"/>
      <c r="P836"/>
      <c r="Q836"/>
    </row>
    <row r="837" spans="1:17">
      <c r="A837"/>
      <c r="B837"/>
      <c r="E837"/>
      <c r="F837"/>
      <c r="G837"/>
      <c r="H837"/>
      <c r="I837"/>
      <c r="J837"/>
      <c r="K837"/>
      <c r="L837"/>
      <c r="M837"/>
      <c r="N837"/>
      <c r="O837"/>
      <c r="P837"/>
      <c r="Q837"/>
    </row>
    <row r="838" spans="1:17">
      <c r="A838"/>
      <c r="B838"/>
      <c r="E838"/>
      <c r="F838"/>
      <c r="G838"/>
      <c r="H838"/>
      <c r="I838"/>
      <c r="J838"/>
      <c r="K838"/>
      <c r="L838"/>
      <c r="M838"/>
      <c r="N838"/>
      <c r="O838"/>
      <c r="P838"/>
      <c r="Q838"/>
    </row>
    <row r="839" spans="1:17">
      <c r="A839"/>
      <c r="B839"/>
      <c r="E839"/>
      <c r="F839"/>
      <c r="G839"/>
      <c r="H839"/>
      <c r="I839"/>
      <c r="J839"/>
      <c r="K839"/>
      <c r="L839"/>
      <c r="M839"/>
      <c r="N839"/>
      <c r="O839"/>
      <c r="P839"/>
      <c r="Q839"/>
    </row>
    <row r="840" spans="1:17">
      <c r="A840"/>
      <c r="B840"/>
      <c r="E840"/>
      <c r="F840"/>
      <c r="G840"/>
      <c r="H840"/>
      <c r="I840"/>
      <c r="J840"/>
      <c r="K840"/>
      <c r="L840"/>
      <c r="M840"/>
      <c r="N840"/>
      <c r="O840"/>
      <c r="P840"/>
      <c r="Q840"/>
    </row>
    <row r="841" spans="1:17">
      <c r="A841"/>
      <c r="B841"/>
      <c r="E841"/>
      <c r="F841"/>
      <c r="G841"/>
      <c r="H841"/>
      <c r="I841"/>
      <c r="J841"/>
      <c r="K841"/>
      <c r="L841"/>
      <c r="M841"/>
      <c r="N841"/>
      <c r="O841"/>
      <c r="P841"/>
      <c r="Q841"/>
    </row>
    <row r="842" spans="1:17">
      <c r="A842"/>
      <c r="B842"/>
      <c r="E842"/>
      <c r="F842"/>
      <c r="G842"/>
      <c r="H842"/>
      <c r="I842"/>
      <c r="J842"/>
      <c r="K842"/>
      <c r="L842"/>
      <c r="M842"/>
      <c r="N842"/>
      <c r="O842"/>
      <c r="P842"/>
      <c r="Q842"/>
    </row>
    <row r="843" spans="1:17">
      <c r="A843"/>
      <c r="B843"/>
      <c r="E843"/>
      <c r="F843"/>
      <c r="G843"/>
      <c r="H843"/>
      <c r="I843"/>
      <c r="J843"/>
      <c r="K843"/>
      <c r="L843"/>
      <c r="M843"/>
      <c r="N843"/>
      <c r="O843"/>
      <c r="P843"/>
      <c r="Q843"/>
    </row>
    <row r="844" spans="1:17">
      <c r="A844"/>
      <c r="B844"/>
      <c r="E844"/>
      <c r="F844"/>
      <c r="G844"/>
      <c r="H844"/>
      <c r="I844"/>
      <c r="J844"/>
      <c r="K844"/>
      <c r="L844"/>
      <c r="M844"/>
      <c r="N844"/>
      <c r="O844"/>
      <c r="P844"/>
      <c r="Q844"/>
    </row>
    <row r="845" spans="1:17">
      <c r="A845"/>
      <c r="B845"/>
      <c r="E845"/>
      <c r="F845"/>
      <c r="G845"/>
      <c r="H845"/>
      <c r="I845"/>
      <c r="J845"/>
      <c r="K845"/>
      <c r="L845"/>
      <c r="M845"/>
      <c r="N845"/>
      <c r="O845"/>
      <c r="P845"/>
      <c r="Q845"/>
    </row>
    <row r="846" spans="1:17">
      <c r="A846"/>
      <c r="B846"/>
      <c r="E846"/>
      <c r="F846"/>
      <c r="G846"/>
      <c r="H846"/>
      <c r="I846"/>
      <c r="J846"/>
      <c r="K846"/>
      <c r="L846"/>
      <c r="M846"/>
      <c r="N846"/>
      <c r="O846"/>
      <c r="P846"/>
      <c r="Q846"/>
    </row>
    <row r="847" spans="1:17">
      <c r="A847"/>
      <c r="B847"/>
      <c r="E847"/>
      <c r="F847"/>
      <c r="G847"/>
      <c r="H847"/>
      <c r="I847"/>
      <c r="J847"/>
      <c r="K847"/>
      <c r="L847"/>
      <c r="M847"/>
      <c r="N847"/>
      <c r="O847"/>
      <c r="P847"/>
      <c r="Q847"/>
    </row>
    <row r="848" spans="1:17">
      <c r="A848"/>
      <c r="B848"/>
      <c r="E848"/>
      <c r="F848"/>
      <c r="G848"/>
      <c r="H848"/>
      <c r="I848"/>
      <c r="J848"/>
      <c r="K848"/>
      <c r="L848"/>
      <c r="M848"/>
      <c r="N848"/>
      <c r="O848"/>
      <c r="P848"/>
      <c r="Q848"/>
    </row>
    <row r="849" spans="1:17">
      <c r="A849"/>
      <c r="B849"/>
      <c r="E849"/>
      <c r="F849"/>
      <c r="G849"/>
      <c r="H849"/>
      <c r="I849"/>
      <c r="J849"/>
      <c r="K849"/>
      <c r="L849"/>
      <c r="M849"/>
      <c r="N849"/>
      <c r="O849"/>
      <c r="P849"/>
      <c r="Q849"/>
    </row>
    <row r="850" spans="1:17">
      <c r="A850"/>
      <c r="B850"/>
      <c r="E850"/>
      <c r="F850"/>
      <c r="G850"/>
      <c r="H850"/>
      <c r="I850"/>
      <c r="J850"/>
      <c r="K850"/>
      <c r="L850"/>
      <c r="M850"/>
      <c r="N850"/>
      <c r="O850"/>
      <c r="P850"/>
      <c r="Q850"/>
    </row>
    <row r="851" spans="1:17">
      <c r="A851"/>
      <c r="B851"/>
      <c r="E851"/>
      <c r="F851"/>
      <c r="G851"/>
      <c r="H851"/>
      <c r="I851"/>
      <c r="J851"/>
      <c r="K851"/>
      <c r="L851"/>
      <c r="M851"/>
      <c r="N851"/>
      <c r="O851"/>
      <c r="P851"/>
      <c r="Q851"/>
    </row>
    <row r="852" spans="1:17">
      <c r="A852"/>
      <c r="B852"/>
      <c r="E852"/>
      <c r="F852"/>
      <c r="G852"/>
      <c r="H852"/>
      <c r="I852"/>
      <c r="J852"/>
      <c r="K852"/>
      <c r="L852"/>
      <c r="M852"/>
      <c r="N852"/>
      <c r="O852"/>
      <c r="P852"/>
      <c r="Q852"/>
    </row>
    <row r="853" spans="1:17">
      <c r="A853"/>
      <c r="B853"/>
      <c r="E853"/>
      <c r="F853"/>
      <c r="G853"/>
      <c r="H853"/>
      <c r="I853"/>
      <c r="J853"/>
      <c r="K853"/>
      <c r="L853"/>
      <c r="M853"/>
      <c r="N853"/>
      <c r="O853"/>
      <c r="P853"/>
      <c r="Q853"/>
    </row>
    <row r="854" spans="1:17">
      <c r="A854"/>
      <c r="B854"/>
      <c r="E854"/>
      <c r="F854"/>
      <c r="G854"/>
      <c r="H854"/>
      <c r="I854"/>
      <c r="J854"/>
      <c r="K854"/>
      <c r="L854"/>
      <c r="M854"/>
      <c r="N854"/>
      <c r="O854"/>
      <c r="P854"/>
      <c r="Q854"/>
    </row>
    <row r="855" spans="1:17">
      <c r="A855"/>
      <c r="B855"/>
      <c r="E855"/>
      <c r="F855"/>
      <c r="G855"/>
      <c r="H855"/>
      <c r="I855"/>
      <c r="J855"/>
      <c r="K855"/>
      <c r="L855"/>
      <c r="M855"/>
      <c r="N855"/>
      <c r="O855"/>
      <c r="P855"/>
      <c r="Q855"/>
    </row>
    <row r="856" spans="1:17">
      <c r="A856"/>
      <c r="B856"/>
      <c r="E856"/>
      <c r="F856"/>
      <c r="G856"/>
      <c r="H856"/>
      <c r="I856"/>
      <c r="J856"/>
      <c r="K856"/>
      <c r="L856"/>
      <c r="M856"/>
      <c r="N856"/>
      <c r="O856"/>
      <c r="P856"/>
      <c r="Q856"/>
    </row>
    <row r="857" spans="1:17">
      <c r="A857"/>
      <c r="B857"/>
      <c r="E857"/>
      <c r="F857"/>
      <c r="G857"/>
      <c r="H857"/>
      <c r="I857"/>
      <c r="J857"/>
      <c r="K857"/>
      <c r="L857"/>
      <c r="M857"/>
      <c r="N857"/>
      <c r="O857"/>
      <c r="P857"/>
      <c r="Q857"/>
    </row>
    <row r="858" spans="1:17">
      <c r="A858"/>
      <c r="B858"/>
      <c r="E858"/>
      <c r="F858"/>
      <c r="G858"/>
      <c r="H858"/>
      <c r="I858"/>
      <c r="J858"/>
      <c r="K858"/>
      <c r="L858"/>
      <c r="M858"/>
      <c r="N858"/>
      <c r="O858"/>
      <c r="P858"/>
      <c r="Q858"/>
    </row>
    <row r="859" spans="1:17">
      <c r="A859"/>
      <c r="B859"/>
      <c r="E859"/>
      <c r="F859"/>
      <c r="G859"/>
      <c r="H859"/>
      <c r="I859"/>
      <c r="J859"/>
      <c r="K859"/>
      <c r="L859"/>
      <c r="M859"/>
      <c r="N859"/>
      <c r="O859"/>
      <c r="P859"/>
      <c r="Q859"/>
    </row>
    <row r="860" spans="1:17">
      <c r="A860"/>
      <c r="B860"/>
      <c r="E860"/>
      <c r="F860"/>
      <c r="G860"/>
      <c r="H860"/>
      <c r="I860"/>
      <c r="J860"/>
      <c r="K860"/>
      <c r="L860"/>
      <c r="M860"/>
      <c r="N860"/>
      <c r="O860"/>
      <c r="P860"/>
      <c r="Q860"/>
    </row>
    <row r="861" spans="1:17">
      <c r="A861"/>
      <c r="B861"/>
      <c r="E861"/>
      <c r="F861"/>
      <c r="G861"/>
      <c r="H861"/>
      <c r="I861"/>
      <c r="J861"/>
      <c r="K861"/>
      <c r="L861"/>
      <c r="M861"/>
      <c r="N861"/>
      <c r="O861"/>
      <c r="P861"/>
      <c r="Q861"/>
    </row>
    <row r="862" spans="1:17">
      <c r="A862"/>
      <c r="B862"/>
      <c r="E862"/>
      <c r="F862"/>
      <c r="G862"/>
      <c r="H862"/>
      <c r="I862"/>
      <c r="J862"/>
      <c r="K862"/>
      <c r="L862"/>
      <c r="M862"/>
      <c r="N862"/>
      <c r="O862"/>
      <c r="P862"/>
      <c r="Q862"/>
    </row>
    <row r="863" spans="1:17">
      <c r="A863"/>
      <c r="B863"/>
      <c r="E863"/>
      <c r="F863"/>
      <c r="G863"/>
      <c r="H863"/>
      <c r="I863"/>
      <c r="J863"/>
      <c r="K863"/>
      <c r="L863"/>
      <c r="M863"/>
      <c r="N863"/>
      <c r="O863"/>
      <c r="P863"/>
      <c r="Q863"/>
    </row>
    <row r="864" spans="1:17">
      <c r="A864"/>
      <c r="B864"/>
      <c r="E864"/>
      <c r="F864"/>
      <c r="G864"/>
      <c r="H864"/>
      <c r="I864"/>
      <c r="J864"/>
      <c r="K864"/>
      <c r="L864"/>
      <c r="M864"/>
      <c r="N864"/>
      <c r="O864"/>
      <c r="P864"/>
      <c r="Q864"/>
    </row>
    <row r="865" spans="1:17">
      <c r="A865"/>
      <c r="B865"/>
      <c r="E865"/>
      <c r="F865"/>
      <c r="G865"/>
      <c r="H865"/>
      <c r="I865"/>
      <c r="J865"/>
      <c r="K865"/>
      <c r="L865"/>
      <c r="M865"/>
      <c r="N865"/>
      <c r="O865"/>
      <c r="P865"/>
      <c r="Q865"/>
    </row>
    <row r="866" spans="1:17">
      <c r="A866"/>
      <c r="B866"/>
      <c r="E866"/>
      <c r="F866"/>
      <c r="G866"/>
      <c r="H866"/>
      <c r="I866"/>
      <c r="J866"/>
      <c r="K866"/>
      <c r="L866"/>
      <c r="M866"/>
      <c r="N866"/>
      <c r="O866"/>
      <c r="P866"/>
      <c r="Q866"/>
    </row>
    <row r="867" spans="1:17">
      <c r="A867"/>
      <c r="B867"/>
      <c r="E867"/>
      <c r="F867"/>
      <c r="G867"/>
      <c r="H867"/>
      <c r="I867"/>
      <c r="J867"/>
      <c r="K867"/>
      <c r="L867"/>
      <c r="M867"/>
      <c r="N867"/>
      <c r="O867"/>
      <c r="P867"/>
      <c r="Q867"/>
    </row>
    <row r="868" spans="1:17">
      <c r="A868"/>
      <c r="B868"/>
      <c r="E868"/>
      <c r="F868"/>
      <c r="G868"/>
      <c r="H868"/>
      <c r="I868"/>
      <c r="J868"/>
      <c r="K868"/>
      <c r="L868"/>
      <c r="M868"/>
      <c r="N868"/>
      <c r="O868"/>
      <c r="P868"/>
      <c r="Q868"/>
    </row>
    <row r="869" spans="1:17">
      <c r="A869"/>
      <c r="B869"/>
      <c r="E869"/>
      <c r="F869"/>
      <c r="G869"/>
      <c r="H869"/>
      <c r="I869"/>
      <c r="J869"/>
      <c r="K869"/>
      <c r="L869"/>
      <c r="M869"/>
      <c r="N869"/>
      <c r="O869"/>
      <c r="P869"/>
      <c r="Q869"/>
    </row>
    <row r="870" spans="1:17">
      <c r="A870"/>
      <c r="B870"/>
      <c r="E870"/>
      <c r="F870"/>
      <c r="G870"/>
      <c r="H870"/>
      <c r="I870"/>
      <c r="J870"/>
      <c r="K870"/>
      <c r="L870"/>
      <c r="M870"/>
      <c r="N870"/>
      <c r="O870"/>
      <c r="P870"/>
      <c r="Q870"/>
    </row>
    <row r="871" spans="1:17">
      <c r="A871"/>
      <c r="B871"/>
      <c r="E871"/>
      <c r="F871"/>
      <c r="G871"/>
      <c r="H871"/>
      <c r="I871"/>
      <c r="J871"/>
      <c r="K871"/>
      <c r="L871"/>
      <c r="M871"/>
      <c r="N871"/>
      <c r="O871"/>
      <c r="P871"/>
      <c r="Q871"/>
    </row>
    <row r="872" spans="1:17">
      <c r="A872"/>
      <c r="B872"/>
      <c r="E872"/>
      <c r="F872"/>
      <c r="G872"/>
      <c r="H872"/>
      <c r="I872"/>
      <c r="J872"/>
      <c r="K872"/>
      <c r="L872"/>
      <c r="M872"/>
      <c r="N872"/>
      <c r="O872"/>
      <c r="P872"/>
      <c r="Q872"/>
    </row>
    <row r="873" spans="1:17">
      <c r="A873"/>
      <c r="B873"/>
      <c r="E873"/>
      <c r="F873"/>
      <c r="G873"/>
      <c r="H873"/>
      <c r="I873"/>
      <c r="J873"/>
      <c r="K873"/>
      <c r="L873"/>
      <c r="M873"/>
      <c r="N873"/>
      <c r="O873"/>
      <c r="P873"/>
      <c r="Q873"/>
    </row>
    <row r="874" spans="1:17">
      <c r="A874"/>
      <c r="B874"/>
      <c r="E874"/>
      <c r="F874"/>
      <c r="G874"/>
      <c r="H874"/>
      <c r="I874"/>
      <c r="J874"/>
      <c r="K874"/>
      <c r="L874"/>
      <c r="M874"/>
      <c r="N874"/>
      <c r="O874"/>
      <c r="P874"/>
      <c r="Q874"/>
    </row>
    <row r="875" spans="1:17">
      <c r="A875"/>
      <c r="B875"/>
      <c r="E875"/>
      <c r="F875"/>
      <c r="G875"/>
      <c r="H875"/>
      <c r="I875"/>
      <c r="J875"/>
      <c r="K875"/>
      <c r="L875"/>
      <c r="M875"/>
      <c r="N875"/>
      <c r="O875"/>
      <c r="P875"/>
      <c r="Q875"/>
    </row>
    <row r="876" spans="1:17">
      <c r="A876"/>
      <c r="B876"/>
      <c r="E876"/>
      <c r="F876"/>
      <c r="G876"/>
      <c r="H876"/>
      <c r="I876"/>
      <c r="J876"/>
      <c r="K876"/>
      <c r="L876"/>
      <c r="M876"/>
      <c r="N876"/>
      <c r="O876"/>
      <c r="P876"/>
      <c r="Q876"/>
    </row>
    <row r="877" spans="1:17">
      <c r="A877"/>
      <c r="B877"/>
      <c r="E877"/>
      <c r="F877"/>
      <c r="G877"/>
      <c r="H877"/>
      <c r="I877"/>
      <c r="J877"/>
      <c r="K877"/>
      <c r="L877"/>
      <c r="M877"/>
      <c r="N877"/>
      <c r="O877"/>
      <c r="P877"/>
      <c r="Q877"/>
    </row>
    <row r="878" spans="1:17">
      <c r="A878"/>
      <c r="B878"/>
      <c r="E878"/>
      <c r="F878"/>
      <c r="G878"/>
      <c r="H878"/>
      <c r="I878"/>
      <c r="J878"/>
      <c r="K878"/>
      <c r="L878"/>
      <c r="M878"/>
      <c r="N878"/>
      <c r="O878"/>
      <c r="P878"/>
      <c r="Q878"/>
    </row>
    <row r="879" spans="1:17">
      <c r="A879"/>
      <c r="B879"/>
      <c r="E879"/>
      <c r="F879"/>
      <c r="G879"/>
      <c r="H879"/>
      <c r="I879"/>
      <c r="J879"/>
      <c r="K879"/>
      <c r="L879"/>
      <c r="M879"/>
      <c r="N879"/>
      <c r="O879"/>
      <c r="P879"/>
      <c r="Q879"/>
    </row>
    <row r="880" spans="1:17">
      <c r="A880"/>
      <c r="B880"/>
      <c r="E880"/>
      <c r="F880"/>
      <c r="G880"/>
      <c r="H880"/>
      <c r="I880"/>
      <c r="J880"/>
      <c r="K880"/>
      <c r="L880"/>
      <c r="M880"/>
      <c r="N880"/>
      <c r="O880"/>
      <c r="P880"/>
      <c r="Q880"/>
    </row>
    <row r="881" spans="1:17">
      <c r="A881"/>
      <c r="B881"/>
      <c r="E881"/>
      <c r="F881"/>
      <c r="G881"/>
      <c r="H881"/>
      <c r="I881"/>
      <c r="J881"/>
      <c r="K881"/>
      <c r="L881"/>
      <c r="M881"/>
      <c r="N881"/>
      <c r="O881"/>
      <c r="P881"/>
      <c r="Q881"/>
    </row>
    <row r="882" spans="1:17">
      <c r="A882"/>
      <c r="B882"/>
      <c r="E882"/>
      <c r="F882"/>
      <c r="G882"/>
      <c r="H882"/>
      <c r="I882"/>
      <c r="J882"/>
      <c r="K882"/>
      <c r="L882"/>
      <c r="M882"/>
      <c r="N882"/>
      <c r="O882"/>
      <c r="P882"/>
      <c r="Q882"/>
    </row>
    <row r="883" spans="1:17">
      <c r="A883"/>
      <c r="B883"/>
      <c r="E883"/>
      <c r="F883"/>
      <c r="G883"/>
      <c r="H883"/>
      <c r="I883"/>
      <c r="J883"/>
      <c r="K883"/>
      <c r="L883"/>
      <c r="M883"/>
      <c r="N883"/>
      <c r="O883"/>
      <c r="P883"/>
      <c r="Q883"/>
    </row>
    <row r="884" spans="1:17">
      <c r="A884"/>
      <c r="B884"/>
      <c r="E884"/>
      <c r="F884"/>
      <c r="G884"/>
      <c r="H884"/>
      <c r="I884"/>
      <c r="J884"/>
      <c r="K884"/>
      <c r="L884"/>
      <c r="M884"/>
      <c r="N884"/>
      <c r="O884"/>
      <c r="P884"/>
      <c r="Q884"/>
    </row>
    <row r="885" spans="1:17">
      <c r="A885"/>
      <c r="B885"/>
      <c r="E885"/>
      <c r="F885"/>
      <c r="G885"/>
      <c r="H885"/>
      <c r="I885"/>
      <c r="J885"/>
      <c r="K885"/>
      <c r="L885"/>
      <c r="M885"/>
      <c r="N885"/>
      <c r="O885"/>
      <c r="P885"/>
      <c r="Q885"/>
    </row>
    <row r="886" spans="1:17">
      <c r="A886"/>
      <c r="B886"/>
      <c r="E886"/>
      <c r="F886"/>
      <c r="G886"/>
      <c r="H886"/>
      <c r="I886"/>
      <c r="J886"/>
      <c r="K886"/>
      <c r="L886"/>
      <c r="M886"/>
      <c r="N886"/>
      <c r="O886"/>
      <c r="P886"/>
      <c r="Q886"/>
    </row>
    <row r="887" spans="1:17">
      <c r="A887"/>
      <c r="B887"/>
      <c r="E887"/>
      <c r="F887"/>
      <c r="G887"/>
      <c r="H887"/>
      <c r="I887"/>
      <c r="J887"/>
      <c r="K887"/>
      <c r="L887"/>
      <c r="M887"/>
      <c r="N887"/>
      <c r="O887"/>
      <c r="P887"/>
      <c r="Q887"/>
    </row>
    <row r="888" spans="1:17">
      <c r="A888"/>
      <c r="B888"/>
      <c r="E888"/>
      <c r="F888"/>
      <c r="G888"/>
      <c r="H888"/>
      <c r="I888"/>
      <c r="J888"/>
      <c r="K888"/>
      <c r="L888"/>
      <c r="M888"/>
      <c r="N888"/>
      <c r="O888"/>
      <c r="P888"/>
      <c r="Q888"/>
    </row>
    <row r="889" spans="1:17">
      <c r="A889"/>
      <c r="B889"/>
      <c r="E889"/>
      <c r="F889"/>
      <c r="G889"/>
      <c r="H889"/>
      <c r="I889"/>
      <c r="J889"/>
      <c r="K889"/>
      <c r="L889"/>
      <c r="M889"/>
      <c r="N889"/>
      <c r="O889"/>
      <c r="P889"/>
      <c r="Q889"/>
    </row>
    <row r="890" spans="1:17">
      <c r="A890"/>
      <c r="B890"/>
      <c r="E890"/>
      <c r="F890"/>
      <c r="G890"/>
      <c r="H890"/>
      <c r="I890"/>
      <c r="J890"/>
      <c r="K890"/>
      <c r="L890"/>
      <c r="M890"/>
      <c r="N890"/>
      <c r="O890"/>
      <c r="P890"/>
      <c r="Q890"/>
    </row>
    <row r="891" spans="1:17">
      <c r="A891"/>
      <c r="B891"/>
      <c r="E891"/>
      <c r="F891"/>
      <c r="G891"/>
      <c r="H891"/>
      <c r="I891"/>
      <c r="J891"/>
      <c r="K891"/>
      <c r="L891"/>
      <c r="M891"/>
      <c r="N891"/>
      <c r="O891"/>
      <c r="P891"/>
      <c r="Q891"/>
    </row>
    <row r="892" spans="1:17">
      <c r="A892"/>
      <c r="B892"/>
      <c r="E892"/>
      <c r="F892"/>
      <c r="G892"/>
      <c r="H892"/>
      <c r="I892"/>
      <c r="J892"/>
      <c r="K892"/>
      <c r="L892"/>
      <c r="M892"/>
      <c r="N892"/>
      <c r="O892"/>
      <c r="P892"/>
      <c r="Q892"/>
    </row>
    <row r="893" spans="1:17">
      <c r="A893"/>
      <c r="B893"/>
      <c r="E893"/>
      <c r="F893"/>
      <c r="G893"/>
      <c r="H893"/>
      <c r="I893"/>
      <c r="J893"/>
      <c r="K893"/>
      <c r="L893"/>
      <c r="M893"/>
      <c r="N893"/>
      <c r="O893"/>
      <c r="P893"/>
      <c r="Q893"/>
    </row>
    <row r="894" spans="1:17">
      <c r="A894"/>
      <c r="B894"/>
      <c r="E894"/>
      <c r="F894"/>
      <c r="G894"/>
      <c r="H894"/>
      <c r="I894"/>
      <c r="J894"/>
      <c r="K894"/>
      <c r="L894"/>
      <c r="M894"/>
      <c r="N894"/>
      <c r="O894"/>
      <c r="P894"/>
      <c r="Q894"/>
    </row>
    <row r="895" spans="1:17">
      <c r="A895"/>
      <c r="B895"/>
      <c r="E895"/>
      <c r="F895"/>
      <c r="G895"/>
      <c r="H895"/>
      <c r="I895"/>
      <c r="J895"/>
      <c r="K895"/>
      <c r="L895"/>
      <c r="M895"/>
      <c r="N895"/>
      <c r="O895"/>
      <c r="P895"/>
      <c r="Q895"/>
    </row>
    <row r="896" spans="1:17">
      <c r="A896"/>
      <c r="B896"/>
      <c r="E896"/>
      <c r="F896"/>
      <c r="G896"/>
      <c r="H896"/>
      <c r="I896"/>
      <c r="J896"/>
      <c r="K896"/>
      <c r="L896"/>
      <c r="M896"/>
      <c r="N896"/>
      <c r="O896"/>
      <c r="P896"/>
      <c r="Q896"/>
    </row>
    <row r="897" spans="1:17">
      <c r="A897"/>
      <c r="B897"/>
      <c r="E897"/>
      <c r="F897"/>
      <c r="G897"/>
      <c r="H897"/>
      <c r="I897"/>
      <c r="J897"/>
      <c r="K897"/>
      <c r="L897"/>
      <c r="M897"/>
      <c r="N897"/>
      <c r="O897"/>
      <c r="P897"/>
      <c r="Q897"/>
    </row>
    <row r="898" spans="1:17">
      <c r="A898"/>
      <c r="B898"/>
      <c r="E898"/>
      <c r="F898"/>
      <c r="G898"/>
      <c r="H898"/>
      <c r="I898"/>
      <c r="J898"/>
      <c r="K898"/>
      <c r="L898"/>
      <c r="M898"/>
      <c r="N898"/>
      <c r="O898"/>
      <c r="P898"/>
      <c r="Q898"/>
    </row>
    <row r="899" spans="1:17">
      <c r="A899"/>
      <c r="B899"/>
      <c r="E899"/>
      <c r="F899"/>
      <c r="G899"/>
      <c r="H899"/>
      <c r="I899"/>
      <c r="J899"/>
      <c r="K899"/>
      <c r="L899"/>
      <c r="M899"/>
      <c r="N899"/>
      <c r="O899"/>
      <c r="P899"/>
      <c r="Q899"/>
    </row>
    <row r="900" spans="1:17">
      <c r="A900"/>
      <c r="B900"/>
      <c r="E900"/>
      <c r="F900"/>
      <c r="G900"/>
      <c r="H900"/>
      <c r="I900"/>
      <c r="J900"/>
      <c r="K900"/>
      <c r="L900"/>
      <c r="M900"/>
      <c r="N900"/>
      <c r="O900"/>
      <c r="P900"/>
      <c r="Q900"/>
    </row>
    <row r="901" spans="1:17">
      <c r="A901"/>
      <c r="B901"/>
      <c r="E901"/>
      <c r="F901"/>
      <c r="G901"/>
      <c r="H901"/>
      <c r="I901"/>
      <c r="J901"/>
      <c r="K901"/>
      <c r="L901"/>
      <c r="M901"/>
      <c r="N901"/>
      <c r="O901"/>
      <c r="P901"/>
      <c r="Q901"/>
    </row>
    <row r="902" spans="1:17">
      <c r="A902"/>
      <c r="B902"/>
      <c r="E902"/>
      <c r="F902"/>
      <c r="G902"/>
      <c r="H902"/>
      <c r="I902"/>
      <c r="J902"/>
      <c r="K902"/>
      <c r="L902"/>
      <c r="M902"/>
      <c r="N902"/>
      <c r="O902"/>
      <c r="P902"/>
      <c r="Q902"/>
    </row>
    <row r="903" spans="1:17">
      <c r="A903"/>
      <c r="B903"/>
      <c r="E903"/>
      <c r="F903"/>
      <c r="G903"/>
      <c r="H903"/>
      <c r="I903"/>
      <c r="J903"/>
      <c r="K903"/>
      <c r="L903"/>
      <c r="M903"/>
      <c r="N903"/>
      <c r="O903"/>
      <c r="P903"/>
      <c r="Q903"/>
    </row>
    <row r="904" spans="1:17">
      <c r="A904"/>
      <c r="B904"/>
      <c r="E904"/>
      <c r="F904"/>
      <c r="G904"/>
      <c r="H904"/>
      <c r="I904"/>
      <c r="J904"/>
      <c r="K904"/>
      <c r="L904"/>
      <c r="M904"/>
      <c r="N904"/>
      <c r="O904"/>
      <c r="P904"/>
      <c r="Q904"/>
    </row>
    <row r="905" spans="1:17">
      <c r="A905"/>
      <c r="B905"/>
      <c r="E905"/>
      <c r="F905"/>
      <c r="G905"/>
      <c r="H905"/>
      <c r="I905"/>
      <c r="J905"/>
      <c r="K905"/>
      <c r="L905"/>
      <c r="M905"/>
      <c r="N905"/>
      <c r="O905"/>
      <c r="P905"/>
      <c r="Q905"/>
    </row>
    <row r="906" spans="1:17">
      <c r="A906"/>
      <c r="B906"/>
      <c r="E906"/>
      <c r="F906"/>
      <c r="G906"/>
      <c r="H906"/>
      <c r="I906"/>
      <c r="J906"/>
      <c r="K906"/>
      <c r="L906"/>
      <c r="M906"/>
      <c r="N906"/>
      <c r="O906"/>
      <c r="P906"/>
      <c r="Q906"/>
    </row>
    <row r="907" spans="1:17">
      <c r="A907"/>
      <c r="B907"/>
      <c r="E907"/>
      <c r="F907"/>
      <c r="G907"/>
      <c r="H907"/>
      <c r="I907"/>
      <c r="J907"/>
      <c r="K907"/>
      <c r="L907"/>
      <c r="M907"/>
      <c r="N907"/>
      <c r="O907"/>
      <c r="P907"/>
      <c r="Q907"/>
    </row>
    <row r="908" spans="1:17">
      <c r="A908"/>
      <c r="B908"/>
      <c r="E908"/>
      <c r="F908"/>
      <c r="G908"/>
      <c r="H908"/>
      <c r="I908"/>
      <c r="J908"/>
      <c r="K908"/>
      <c r="L908"/>
      <c r="M908"/>
      <c r="N908"/>
      <c r="O908"/>
      <c r="P908"/>
      <c r="Q908"/>
    </row>
    <row r="909" spans="1:17">
      <c r="A909"/>
      <c r="B909"/>
      <c r="E909"/>
      <c r="F909"/>
      <c r="G909"/>
      <c r="H909"/>
      <c r="I909"/>
      <c r="J909"/>
      <c r="K909"/>
      <c r="L909"/>
      <c r="M909"/>
      <c r="N909"/>
      <c r="O909"/>
      <c r="P909"/>
      <c r="Q909"/>
    </row>
    <row r="910" spans="1:17">
      <c r="A910"/>
      <c r="B910"/>
      <c r="E910"/>
      <c r="F910"/>
      <c r="G910"/>
      <c r="H910"/>
      <c r="I910"/>
      <c r="J910"/>
      <c r="K910"/>
      <c r="L910"/>
      <c r="M910"/>
      <c r="N910"/>
      <c r="O910"/>
      <c r="P910"/>
      <c r="Q910"/>
    </row>
    <row r="911" spans="1:17">
      <c r="A911"/>
      <c r="B911"/>
      <c r="E911"/>
      <c r="F911"/>
      <c r="G911"/>
      <c r="H911"/>
      <c r="I911"/>
      <c r="J911"/>
      <c r="K911"/>
      <c r="L911"/>
      <c r="M911"/>
      <c r="N911"/>
      <c r="O911"/>
      <c r="P911"/>
      <c r="Q911"/>
    </row>
    <row r="912" spans="1:17">
      <c r="A912"/>
      <c r="B912"/>
      <c r="E912"/>
      <c r="F912"/>
      <c r="G912"/>
      <c r="H912"/>
      <c r="I912"/>
      <c r="J912"/>
      <c r="K912"/>
      <c r="L912"/>
      <c r="M912"/>
      <c r="N912"/>
      <c r="O912"/>
      <c r="P912"/>
      <c r="Q912"/>
    </row>
    <row r="913" spans="1:17">
      <c r="A913"/>
      <c r="B913"/>
      <c r="E913"/>
      <c r="F913"/>
      <c r="G913"/>
      <c r="H913"/>
      <c r="I913"/>
      <c r="J913"/>
      <c r="K913"/>
      <c r="L913"/>
      <c r="M913"/>
      <c r="N913"/>
      <c r="O913"/>
      <c r="P913"/>
      <c r="Q913"/>
    </row>
    <row r="914" spans="1:17">
      <c r="A914"/>
      <c r="B914"/>
      <c r="E914"/>
      <c r="F914"/>
      <c r="G914"/>
      <c r="H914"/>
      <c r="I914"/>
      <c r="J914"/>
      <c r="K914"/>
      <c r="L914"/>
      <c r="M914"/>
      <c r="N914"/>
      <c r="O914"/>
      <c r="P914"/>
      <c r="Q914"/>
    </row>
    <row r="915" spans="1:17">
      <c r="A915"/>
      <c r="B915"/>
      <c r="E915"/>
      <c r="F915"/>
      <c r="G915"/>
      <c r="H915"/>
      <c r="I915"/>
      <c r="J915"/>
      <c r="K915"/>
      <c r="L915"/>
      <c r="M915"/>
      <c r="N915"/>
      <c r="O915"/>
      <c r="P915"/>
      <c r="Q915"/>
    </row>
    <row r="916" spans="1:17">
      <c r="A916"/>
      <c r="B916"/>
      <c r="E916"/>
      <c r="F916"/>
      <c r="G916"/>
      <c r="H916"/>
      <c r="I916"/>
      <c r="J916"/>
      <c r="K916"/>
      <c r="L916"/>
      <c r="M916"/>
      <c r="N916"/>
      <c r="O916"/>
      <c r="P916"/>
      <c r="Q916"/>
    </row>
    <row r="917" spans="1:17">
      <c r="A917"/>
      <c r="B917"/>
      <c r="E917"/>
      <c r="F917"/>
      <c r="G917"/>
      <c r="H917"/>
      <c r="I917"/>
      <c r="J917"/>
      <c r="K917"/>
      <c r="L917"/>
      <c r="M917"/>
      <c r="N917"/>
      <c r="O917"/>
      <c r="P917"/>
      <c r="Q917"/>
    </row>
    <row r="918" spans="1:17">
      <c r="A918"/>
      <c r="B918"/>
      <c r="E918"/>
      <c r="F918"/>
      <c r="G918"/>
      <c r="H918"/>
      <c r="I918"/>
      <c r="J918"/>
      <c r="K918"/>
      <c r="L918"/>
      <c r="M918"/>
      <c r="N918"/>
      <c r="O918"/>
      <c r="P918"/>
      <c r="Q918"/>
    </row>
    <row r="919" spans="1:17">
      <c r="A919"/>
      <c r="B919"/>
      <c r="E919"/>
      <c r="F919"/>
      <c r="G919"/>
      <c r="H919"/>
      <c r="I919"/>
      <c r="J919"/>
      <c r="K919"/>
      <c r="L919"/>
      <c r="M919"/>
      <c r="N919"/>
      <c r="O919"/>
      <c r="P919"/>
      <c r="Q919"/>
    </row>
    <row r="920" spans="1:17">
      <c r="A920"/>
      <c r="B920"/>
      <c r="E920"/>
      <c r="F920"/>
      <c r="G920"/>
      <c r="H920"/>
      <c r="I920"/>
      <c r="J920"/>
      <c r="K920"/>
      <c r="L920"/>
      <c r="M920"/>
      <c r="N920"/>
      <c r="O920"/>
      <c r="P920"/>
      <c r="Q920"/>
    </row>
    <row r="921" spans="1:17">
      <c r="A921"/>
      <c r="B921"/>
      <c r="E921"/>
      <c r="F921"/>
      <c r="G921"/>
      <c r="H921"/>
      <c r="I921"/>
      <c r="J921"/>
      <c r="K921"/>
      <c r="L921"/>
      <c r="M921"/>
      <c r="N921"/>
      <c r="O921"/>
      <c r="P921"/>
      <c r="Q921"/>
    </row>
    <row r="922" spans="1:17">
      <c r="A922"/>
      <c r="B922"/>
      <c r="E922"/>
      <c r="F922"/>
      <c r="G922"/>
      <c r="H922"/>
      <c r="I922"/>
      <c r="J922"/>
      <c r="K922"/>
      <c r="L922"/>
      <c r="M922"/>
      <c r="N922"/>
      <c r="O922"/>
      <c r="P922"/>
      <c r="Q922"/>
    </row>
    <row r="923" spans="1:17">
      <c r="A923"/>
      <c r="B923"/>
      <c r="E923"/>
      <c r="F923"/>
      <c r="G923"/>
      <c r="H923"/>
      <c r="I923"/>
      <c r="J923"/>
      <c r="K923"/>
      <c r="L923"/>
      <c r="M923"/>
      <c r="N923"/>
      <c r="O923"/>
      <c r="P923"/>
      <c r="Q923"/>
    </row>
    <row r="924" spans="1:17">
      <c r="A924"/>
      <c r="B924"/>
      <c r="E924"/>
      <c r="F924"/>
      <c r="G924"/>
      <c r="H924"/>
      <c r="I924"/>
      <c r="J924"/>
      <c r="K924"/>
      <c r="L924"/>
      <c r="M924"/>
      <c r="N924"/>
      <c r="O924"/>
      <c r="P924"/>
      <c r="Q924"/>
    </row>
    <row r="925" spans="1:17">
      <c r="A925"/>
      <c r="B925"/>
      <c r="E925"/>
      <c r="F925"/>
      <c r="G925"/>
      <c r="H925"/>
      <c r="I925"/>
      <c r="J925"/>
      <c r="K925"/>
      <c r="L925"/>
      <c r="M925"/>
      <c r="N925"/>
      <c r="O925"/>
      <c r="P925"/>
      <c r="Q925"/>
    </row>
    <row r="926" spans="1:17">
      <c r="A926"/>
      <c r="B926"/>
      <c r="E926"/>
      <c r="F926"/>
      <c r="G926"/>
      <c r="H926"/>
      <c r="I926"/>
      <c r="J926"/>
      <c r="K926"/>
      <c r="L926"/>
      <c r="M926"/>
      <c r="N926"/>
      <c r="O926"/>
      <c r="P926"/>
      <c r="Q926"/>
    </row>
    <row r="927" spans="1:17">
      <c r="A927"/>
      <c r="B927"/>
      <c r="E927"/>
      <c r="F927"/>
      <c r="G927"/>
      <c r="H927"/>
      <c r="I927"/>
      <c r="J927"/>
      <c r="K927"/>
      <c r="L927"/>
      <c r="M927"/>
      <c r="N927"/>
      <c r="O927"/>
      <c r="P927"/>
      <c r="Q927"/>
    </row>
    <row r="928" spans="1:17">
      <c r="A928"/>
      <c r="B928"/>
      <c r="E928"/>
      <c r="F928"/>
      <c r="G928"/>
      <c r="H928"/>
      <c r="I928"/>
      <c r="J928"/>
      <c r="K928"/>
      <c r="L928"/>
      <c r="M928"/>
      <c r="N928"/>
      <c r="O928"/>
      <c r="P928"/>
      <c r="Q928"/>
    </row>
    <row r="929" spans="1:17">
      <c r="A929"/>
      <c r="B929"/>
      <c r="E929"/>
      <c r="F929"/>
      <c r="G929"/>
      <c r="H929"/>
      <c r="I929"/>
      <c r="J929"/>
      <c r="K929"/>
      <c r="L929"/>
      <c r="M929"/>
      <c r="N929"/>
      <c r="O929"/>
      <c r="P929"/>
      <c r="Q929"/>
    </row>
    <row r="930" spans="1:17">
      <c r="A930"/>
      <c r="B930"/>
      <c r="E930"/>
      <c r="F930"/>
      <c r="G930"/>
      <c r="H930"/>
      <c r="I930"/>
      <c r="J930"/>
      <c r="K930"/>
      <c r="L930"/>
      <c r="M930"/>
      <c r="N930"/>
      <c r="O930"/>
      <c r="P930"/>
      <c r="Q930"/>
    </row>
    <row r="931" spans="1:17">
      <c r="A931"/>
      <c r="B931"/>
      <c r="E931"/>
      <c r="F931"/>
      <c r="G931"/>
      <c r="H931"/>
      <c r="I931"/>
      <c r="J931"/>
      <c r="K931"/>
      <c r="L931"/>
      <c r="M931"/>
      <c r="N931"/>
      <c r="O931"/>
      <c r="P931"/>
      <c r="Q931"/>
    </row>
    <row r="932" spans="1:17">
      <c r="A932"/>
      <c r="B932"/>
      <c r="E932"/>
      <c r="F932"/>
      <c r="G932"/>
      <c r="H932"/>
      <c r="I932"/>
      <c r="J932"/>
      <c r="K932"/>
      <c r="L932"/>
      <c r="M932"/>
      <c r="N932"/>
      <c r="O932"/>
      <c r="P932"/>
      <c r="Q932"/>
    </row>
    <row r="933" spans="1:17">
      <c r="A933"/>
      <c r="B933"/>
      <c r="E933"/>
      <c r="F933"/>
      <c r="G933"/>
      <c r="H933"/>
      <c r="I933"/>
      <c r="J933"/>
      <c r="K933"/>
      <c r="L933"/>
      <c r="M933"/>
      <c r="N933"/>
      <c r="O933"/>
      <c r="P933"/>
      <c r="Q933"/>
    </row>
    <row r="934" spans="1:17">
      <c r="A934"/>
      <c r="B934"/>
      <c r="E934"/>
      <c r="F934"/>
      <c r="G934"/>
      <c r="H934"/>
      <c r="I934"/>
      <c r="J934"/>
      <c r="K934"/>
      <c r="L934"/>
      <c r="M934"/>
      <c r="N934"/>
      <c r="O934"/>
      <c r="P934"/>
      <c r="Q934"/>
    </row>
    <row r="935" spans="1:17">
      <c r="A935"/>
      <c r="B935"/>
      <c r="E935"/>
      <c r="F935"/>
      <c r="G935"/>
      <c r="H935"/>
      <c r="I935"/>
      <c r="J935"/>
      <c r="K935"/>
      <c r="L935"/>
      <c r="M935"/>
      <c r="N935"/>
      <c r="O935"/>
      <c r="P935"/>
      <c r="Q935"/>
    </row>
    <row r="936" spans="1:17">
      <c r="A936"/>
      <c r="B936"/>
      <c r="E936"/>
      <c r="F936"/>
      <c r="G936"/>
      <c r="H936"/>
      <c r="I936"/>
      <c r="J936"/>
      <c r="K936"/>
      <c r="L936"/>
      <c r="M936"/>
      <c r="N936"/>
      <c r="O936"/>
      <c r="P936"/>
      <c r="Q936"/>
    </row>
    <row r="937" spans="1:17">
      <c r="A937"/>
      <c r="B937"/>
      <c r="E937"/>
      <c r="F937"/>
      <c r="G937"/>
      <c r="H937"/>
      <c r="I937"/>
      <c r="J937"/>
      <c r="K937"/>
      <c r="L937"/>
      <c r="M937"/>
      <c r="N937"/>
      <c r="O937"/>
      <c r="P937"/>
      <c r="Q937"/>
    </row>
    <row r="938" spans="1:17">
      <c r="A938"/>
      <c r="B938"/>
      <c r="E938"/>
      <c r="F938"/>
      <c r="G938"/>
      <c r="H938"/>
      <c r="I938"/>
      <c r="J938"/>
      <c r="K938"/>
      <c r="L938"/>
      <c r="M938"/>
      <c r="N938"/>
      <c r="O938"/>
      <c r="P938"/>
      <c r="Q938"/>
    </row>
    <row r="939" spans="1:17">
      <c r="A939"/>
      <c r="B939"/>
      <c r="E939"/>
      <c r="F939"/>
      <c r="G939"/>
      <c r="H939"/>
      <c r="I939"/>
      <c r="J939"/>
      <c r="K939"/>
      <c r="L939"/>
      <c r="M939"/>
      <c r="N939"/>
      <c r="O939"/>
      <c r="P939"/>
      <c r="Q939"/>
    </row>
    <row r="940" spans="1:17">
      <c r="A940"/>
      <c r="B940"/>
      <c r="E940"/>
      <c r="F940"/>
      <c r="G940"/>
      <c r="H940"/>
      <c r="I940"/>
      <c r="J940"/>
      <c r="K940"/>
      <c r="L940"/>
      <c r="M940"/>
      <c r="N940"/>
      <c r="O940"/>
      <c r="P940"/>
      <c r="Q940"/>
    </row>
    <row r="941" spans="1:17">
      <c r="A941"/>
      <c r="B941"/>
      <c r="E941"/>
      <c r="F941"/>
      <c r="G941"/>
      <c r="H941"/>
      <c r="I941"/>
      <c r="J941"/>
      <c r="K941"/>
      <c r="L941"/>
      <c r="M941"/>
      <c r="N941"/>
      <c r="O941"/>
      <c r="P941"/>
      <c r="Q941"/>
    </row>
    <row r="942" spans="1:17">
      <c r="A942"/>
      <c r="B942"/>
      <c r="E942"/>
      <c r="F942"/>
      <c r="G942"/>
      <c r="H942"/>
      <c r="I942"/>
      <c r="J942"/>
      <c r="K942"/>
      <c r="L942"/>
      <c r="M942"/>
      <c r="N942"/>
      <c r="O942"/>
      <c r="P942"/>
      <c r="Q942"/>
    </row>
    <row r="943" spans="1:17">
      <c r="A943"/>
      <c r="B943"/>
      <c r="E943"/>
      <c r="F943"/>
      <c r="G943"/>
      <c r="H943"/>
      <c r="I943"/>
      <c r="J943"/>
      <c r="K943"/>
      <c r="L943"/>
      <c r="M943"/>
      <c r="N943"/>
      <c r="O943"/>
      <c r="P943"/>
      <c r="Q943"/>
    </row>
    <row r="944" spans="1:17">
      <c r="A944"/>
      <c r="B944"/>
      <c r="E944"/>
      <c r="F944"/>
      <c r="G944"/>
      <c r="H944"/>
      <c r="I944"/>
      <c r="J944"/>
      <c r="K944"/>
      <c r="L944"/>
      <c r="M944"/>
      <c r="N944"/>
      <c r="O944"/>
      <c r="P944"/>
      <c r="Q944"/>
    </row>
    <row r="945" spans="1:17">
      <c r="A945"/>
      <c r="B945"/>
      <c r="E945"/>
      <c r="F945"/>
      <c r="G945"/>
      <c r="H945"/>
      <c r="I945"/>
      <c r="J945"/>
      <c r="K945"/>
      <c r="L945"/>
      <c r="M945"/>
      <c r="N945"/>
      <c r="O945"/>
      <c r="P945"/>
      <c r="Q945"/>
    </row>
    <row r="946" spans="1:17">
      <c r="A946"/>
      <c r="B946"/>
      <c r="E946"/>
      <c r="F946"/>
      <c r="G946"/>
      <c r="H946"/>
      <c r="I946"/>
      <c r="J946"/>
      <c r="K946"/>
      <c r="L946"/>
      <c r="M946"/>
      <c r="N946"/>
      <c r="O946"/>
      <c r="P946"/>
      <c r="Q946"/>
    </row>
    <row r="947" spans="1:17">
      <c r="A947"/>
      <c r="B947"/>
      <c r="E947"/>
      <c r="F947"/>
      <c r="G947"/>
      <c r="H947"/>
      <c r="I947"/>
      <c r="J947"/>
      <c r="K947"/>
      <c r="L947"/>
      <c r="M947"/>
      <c r="N947"/>
      <c r="O947"/>
      <c r="P947"/>
      <c r="Q947"/>
    </row>
    <row r="948" spans="1:17">
      <c r="A948"/>
      <c r="B948"/>
      <c r="E948"/>
      <c r="F948"/>
      <c r="G948"/>
      <c r="H948"/>
      <c r="I948"/>
      <c r="J948"/>
      <c r="K948"/>
      <c r="L948"/>
      <c r="M948"/>
      <c r="N948"/>
      <c r="O948"/>
      <c r="P948"/>
      <c r="Q948"/>
    </row>
    <row r="949" spans="1:17">
      <c r="A949"/>
      <c r="B949"/>
      <c r="E949"/>
      <c r="F949"/>
      <c r="G949"/>
      <c r="H949"/>
      <c r="I949"/>
      <c r="J949"/>
      <c r="K949"/>
      <c r="L949"/>
      <c r="M949"/>
      <c r="N949"/>
      <c r="O949"/>
      <c r="P949"/>
      <c r="Q949"/>
    </row>
    <row r="950" spans="1:17">
      <c r="A950"/>
      <c r="B950"/>
      <c r="E950"/>
      <c r="F950"/>
      <c r="G950"/>
      <c r="H950"/>
      <c r="I950"/>
      <c r="J950"/>
      <c r="K950"/>
      <c r="L950"/>
      <c r="M950"/>
      <c r="N950"/>
      <c r="O950"/>
      <c r="P950"/>
      <c r="Q950"/>
    </row>
    <row r="951" spans="1:17">
      <c r="A951"/>
      <c r="B951"/>
      <c r="E951"/>
      <c r="F951"/>
      <c r="G951"/>
      <c r="H951"/>
      <c r="I951"/>
      <c r="J951"/>
      <c r="K951"/>
      <c r="L951"/>
      <c r="M951"/>
      <c r="N951"/>
      <c r="O951"/>
      <c r="P951"/>
      <c r="Q951"/>
    </row>
    <row r="952" spans="1:17">
      <c r="A952"/>
      <c r="B952"/>
      <c r="E952"/>
      <c r="F952"/>
      <c r="G952"/>
      <c r="H952"/>
      <c r="I952"/>
      <c r="J952"/>
      <c r="K952"/>
      <c r="L952"/>
      <c r="M952"/>
      <c r="N952"/>
      <c r="O952"/>
      <c r="P952"/>
      <c r="Q952"/>
    </row>
    <row r="953" spans="1:17">
      <c r="A953"/>
      <c r="B953"/>
      <c r="E953"/>
      <c r="F953"/>
      <c r="G953"/>
      <c r="H953"/>
      <c r="I953"/>
      <c r="J953"/>
      <c r="K953"/>
      <c r="L953"/>
      <c r="M953"/>
      <c r="N953"/>
      <c r="O953"/>
      <c r="P953"/>
      <c r="Q953"/>
    </row>
    <row r="954" spans="1:17">
      <c r="A954"/>
      <c r="B954"/>
      <c r="E954"/>
      <c r="F954"/>
      <c r="G954"/>
      <c r="H954"/>
      <c r="I954"/>
      <c r="J954"/>
      <c r="K954"/>
      <c r="L954"/>
      <c r="M954"/>
      <c r="N954"/>
      <c r="O954"/>
      <c r="P954"/>
      <c r="Q954"/>
    </row>
    <row r="955" spans="1:17">
      <c r="A955"/>
      <c r="B955"/>
      <c r="E955"/>
      <c r="F955"/>
      <c r="G955"/>
      <c r="H955"/>
      <c r="I955"/>
      <c r="J955"/>
      <c r="K955"/>
      <c r="L955"/>
      <c r="M955"/>
      <c r="N955"/>
      <c r="O955"/>
      <c r="P955"/>
      <c r="Q955"/>
    </row>
    <row r="956" spans="1:17">
      <c r="A956"/>
      <c r="B956"/>
      <c r="E956"/>
      <c r="F956"/>
      <c r="G956"/>
      <c r="H956"/>
      <c r="I956"/>
      <c r="J956"/>
      <c r="K956"/>
      <c r="L956"/>
      <c r="M956"/>
      <c r="N956"/>
      <c r="O956"/>
      <c r="P956"/>
      <c r="Q956"/>
    </row>
    <row r="957" spans="1:17">
      <c r="A957"/>
      <c r="B957"/>
      <c r="E957"/>
      <c r="F957"/>
      <c r="G957"/>
      <c r="H957"/>
      <c r="I957"/>
      <c r="J957"/>
      <c r="K957"/>
      <c r="L957"/>
      <c r="M957"/>
      <c r="N957"/>
      <c r="O957"/>
      <c r="P957"/>
      <c r="Q957"/>
    </row>
    <row r="958" spans="1:17">
      <c r="A958"/>
      <c r="B958"/>
      <c r="E958"/>
      <c r="F958"/>
      <c r="G958"/>
      <c r="H958"/>
      <c r="I958"/>
      <c r="J958"/>
      <c r="K958"/>
      <c r="L958"/>
      <c r="M958"/>
      <c r="N958"/>
      <c r="O958"/>
      <c r="P958"/>
      <c r="Q958"/>
    </row>
    <row r="959" spans="1:17">
      <c r="A959"/>
      <c r="B959"/>
      <c r="E959"/>
      <c r="F959"/>
      <c r="G959"/>
      <c r="H959"/>
      <c r="I959"/>
      <c r="J959"/>
      <c r="K959"/>
      <c r="L959"/>
      <c r="M959"/>
      <c r="N959"/>
      <c r="O959"/>
      <c r="P959"/>
      <c r="Q959"/>
    </row>
    <row r="960" spans="1:17">
      <c r="A960"/>
      <c r="B960"/>
      <c r="E960"/>
      <c r="F960"/>
      <c r="G960"/>
      <c r="H960"/>
      <c r="I960"/>
      <c r="J960"/>
      <c r="K960"/>
      <c r="L960"/>
      <c r="M960"/>
      <c r="N960"/>
      <c r="O960"/>
      <c r="P960"/>
      <c r="Q960"/>
    </row>
    <row r="961" spans="1:17">
      <c r="A961"/>
      <c r="B961"/>
      <c r="E961"/>
      <c r="F961"/>
      <c r="G961"/>
      <c r="H961"/>
      <c r="I961"/>
      <c r="J961"/>
      <c r="K961"/>
      <c r="L961"/>
      <c r="M961"/>
      <c r="N961"/>
      <c r="O961"/>
      <c r="P961"/>
      <c r="Q961"/>
    </row>
    <row r="962" spans="1:17">
      <c r="A962"/>
      <c r="B962"/>
      <c r="E962"/>
      <c r="F962"/>
      <c r="G962"/>
      <c r="H962"/>
      <c r="I962"/>
      <c r="J962"/>
      <c r="K962"/>
      <c r="L962"/>
      <c r="M962"/>
      <c r="N962"/>
      <c r="O962"/>
      <c r="P962"/>
      <c r="Q962"/>
    </row>
    <row r="963" spans="1:17">
      <c r="A963"/>
      <c r="B963"/>
      <c r="E963"/>
      <c r="F963"/>
      <c r="G963"/>
      <c r="H963"/>
      <c r="I963"/>
      <c r="J963"/>
      <c r="K963"/>
      <c r="L963"/>
      <c r="M963"/>
      <c r="N963"/>
      <c r="O963"/>
      <c r="P963"/>
      <c r="Q963"/>
    </row>
    <row r="964" spans="1:17">
      <c r="A964"/>
      <c r="B964"/>
      <c r="E964"/>
      <c r="F964"/>
      <c r="G964"/>
      <c r="H964"/>
      <c r="I964"/>
      <c r="J964"/>
      <c r="K964"/>
      <c r="L964"/>
      <c r="M964"/>
      <c r="N964"/>
      <c r="O964"/>
      <c r="P964"/>
      <c r="Q964"/>
    </row>
    <row r="965" spans="1:17">
      <c r="A965"/>
      <c r="B965"/>
      <c r="E965"/>
      <c r="F965"/>
      <c r="G965"/>
      <c r="H965"/>
      <c r="I965"/>
      <c r="J965"/>
      <c r="K965"/>
      <c r="L965"/>
      <c r="M965"/>
      <c r="N965"/>
      <c r="O965"/>
      <c r="P965"/>
      <c r="Q965"/>
    </row>
    <row r="966" spans="1:17">
      <c r="A966"/>
      <c r="B966"/>
      <c r="E966"/>
      <c r="F966"/>
      <c r="G966"/>
      <c r="H966"/>
      <c r="I966"/>
      <c r="J966"/>
      <c r="K966"/>
      <c r="L966"/>
      <c r="M966"/>
      <c r="N966"/>
      <c r="O966"/>
      <c r="P966"/>
      <c r="Q966"/>
    </row>
    <row r="967" spans="1:17">
      <c r="A967"/>
      <c r="B967"/>
      <c r="E967"/>
      <c r="F967"/>
      <c r="G967"/>
      <c r="H967"/>
      <c r="I967"/>
      <c r="J967"/>
      <c r="K967"/>
      <c r="L967"/>
      <c r="M967"/>
      <c r="N967"/>
      <c r="O967"/>
      <c r="P967"/>
      <c r="Q967"/>
    </row>
    <row r="968" spans="1:17">
      <c r="A968"/>
      <c r="B968"/>
      <c r="E968"/>
      <c r="F968"/>
      <c r="G968"/>
      <c r="H968"/>
      <c r="I968"/>
      <c r="J968"/>
      <c r="K968"/>
      <c r="L968"/>
      <c r="M968"/>
      <c r="N968"/>
      <c r="O968"/>
      <c r="P968"/>
      <c r="Q968"/>
    </row>
    <row r="969" spans="1:17">
      <c r="A969"/>
      <c r="B969"/>
      <c r="E969"/>
      <c r="F969"/>
      <c r="G969"/>
      <c r="H969"/>
      <c r="I969"/>
      <c r="J969"/>
      <c r="K969"/>
      <c r="L969"/>
      <c r="M969"/>
      <c r="N969"/>
      <c r="O969"/>
      <c r="P969"/>
      <c r="Q969"/>
    </row>
    <row r="970" spans="1:17">
      <c r="A970"/>
      <c r="B970"/>
      <c r="E970"/>
      <c r="F970"/>
      <c r="G970"/>
      <c r="H970"/>
      <c r="I970"/>
      <c r="J970"/>
      <c r="K970"/>
      <c r="L970"/>
      <c r="M970"/>
      <c r="N970"/>
      <c r="O970"/>
      <c r="P970"/>
      <c r="Q970"/>
    </row>
    <row r="971" spans="1:17">
      <c r="A971"/>
      <c r="B971"/>
      <c r="E971"/>
      <c r="F971"/>
      <c r="G971"/>
      <c r="H971"/>
      <c r="I971"/>
      <c r="J971"/>
      <c r="K971"/>
      <c r="L971"/>
      <c r="M971"/>
      <c r="N971"/>
      <c r="O971"/>
      <c r="P971"/>
      <c r="Q971"/>
    </row>
    <row r="972" spans="1:17">
      <c r="A972"/>
      <c r="B972"/>
      <c r="E972"/>
      <c r="F972"/>
      <c r="G972"/>
      <c r="H972"/>
      <c r="I972"/>
      <c r="J972"/>
      <c r="K972"/>
      <c r="L972"/>
      <c r="M972"/>
      <c r="N972"/>
      <c r="O972"/>
      <c r="P972"/>
      <c r="Q972"/>
    </row>
    <row r="973" spans="1:17">
      <c r="A973"/>
      <c r="B973"/>
      <c r="E973"/>
      <c r="F973"/>
      <c r="G973"/>
      <c r="H973"/>
      <c r="I973"/>
      <c r="J973"/>
      <c r="K973"/>
      <c r="L973"/>
      <c r="M973"/>
      <c r="N973"/>
      <c r="O973"/>
      <c r="P973"/>
      <c r="Q973"/>
    </row>
    <row r="974" spans="1:17">
      <c r="A974"/>
      <c r="B974"/>
      <c r="E974"/>
      <c r="F974"/>
      <c r="G974"/>
      <c r="H974"/>
      <c r="I974"/>
      <c r="J974"/>
      <c r="K974"/>
      <c r="L974"/>
      <c r="M974"/>
      <c r="N974"/>
      <c r="O974"/>
      <c r="P974"/>
      <c r="Q974"/>
    </row>
    <row r="975" spans="1:17">
      <c r="A975"/>
      <c r="B975"/>
      <c r="E975"/>
      <c r="F975"/>
      <c r="G975"/>
      <c r="H975"/>
      <c r="I975"/>
      <c r="J975"/>
      <c r="K975"/>
      <c r="L975"/>
      <c r="M975"/>
      <c r="N975"/>
      <c r="O975"/>
      <c r="P975"/>
      <c r="Q975"/>
    </row>
    <row r="976" spans="1:17">
      <c r="A976"/>
      <c r="B976"/>
      <c r="E976"/>
      <c r="F976"/>
      <c r="G976"/>
      <c r="H976"/>
      <c r="I976"/>
      <c r="J976"/>
      <c r="K976"/>
      <c r="L976"/>
      <c r="M976"/>
      <c r="N976"/>
      <c r="O976"/>
      <c r="P976"/>
      <c r="Q976"/>
    </row>
    <row r="977" spans="1:17">
      <c r="A977"/>
      <c r="B977"/>
      <c r="E977"/>
      <c r="F977"/>
      <c r="G977"/>
      <c r="H977"/>
      <c r="I977"/>
      <c r="J977"/>
      <c r="K977"/>
      <c r="L977"/>
      <c r="M977"/>
      <c r="N977"/>
      <c r="O977"/>
      <c r="P977"/>
      <c r="Q977"/>
    </row>
    <row r="978" spans="1:17">
      <c r="A978"/>
      <c r="B978"/>
      <c r="E978"/>
      <c r="F978"/>
      <c r="G978"/>
      <c r="H978"/>
      <c r="I978"/>
      <c r="J978"/>
      <c r="K978"/>
      <c r="L978"/>
      <c r="M978"/>
      <c r="N978"/>
      <c r="O978"/>
      <c r="P978"/>
      <c r="Q978"/>
    </row>
    <row r="979" spans="1:17">
      <c r="A979"/>
      <c r="B979"/>
      <c r="E979"/>
      <c r="F979"/>
      <c r="G979"/>
      <c r="H979"/>
      <c r="I979"/>
      <c r="J979"/>
      <c r="K979"/>
      <c r="L979"/>
      <c r="M979"/>
      <c r="N979"/>
      <c r="O979"/>
      <c r="P979"/>
      <c r="Q979"/>
    </row>
    <row r="980" spans="1:17">
      <c r="A980"/>
      <c r="B980"/>
      <c r="E980"/>
      <c r="F980"/>
      <c r="G980"/>
      <c r="H980"/>
      <c r="I980"/>
      <c r="J980"/>
      <c r="K980"/>
      <c r="L980"/>
      <c r="M980"/>
      <c r="N980"/>
      <c r="O980"/>
      <c r="P980"/>
      <c r="Q980"/>
    </row>
    <row r="981" spans="1:17">
      <c r="A981"/>
      <c r="B981"/>
      <c r="E981"/>
      <c r="F981"/>
      <c r="G981"/>
      <c r="H981"/>
      <c r="I981"/>
      <c r="J981"/>
      <c r="K981"/>
      <c r="L981"/>
      <c r="M981"/>
      <c r="N981"/>
      <c r="O981"/>
      <c r="P981"/>
      <c r="Q981"/>
    </row>
    <row r="982" spans="1:17">
      <c r="A982"/>
      <c r="B982"/>
      <c r="E982"/>
      <c r="F982"/>
      <c r="G982"/>
      <c r="H982"/>
      <c r="I982"/>
      <c r="J982"/>
      <c r="K982"/>
      <c r="L982"/>
      <c r="M982"/>
      <c r="N982"/>
      <c r="O982"/>
      <c r="P982"/>
      <c r="Q982"/>
    </row>
    <row r="983" spans="1:17">
      <c r="A983"/>
      <c r="B983"/>
      <c r="E983"/>
      <c r="F983"/>
      <c r="G983"/>
      <c r="H983"/>
      <c r="I983"/>
      <c r="J983"/>
      <c r="K983"/>
      <c r="L983"/>
      <c r="M983"/>
      <c r="N983"/>
      <c r="O983"/>
      <c r="P983"/>
      <c r="Q983"/>
    </row>
    <row r="984" spans="1:17">
      <c r="A984"/>
      <c r="B984"/>
      <c r="E984"/>
      <c r="F984"/>
      <c r="G984"/>
      <c r="H984"/>
      <c r="I984"/>
      <c r="J984"/>
      <c r="K984"/>
      <c r="L984"/>
      <c r="M984"/>
      <c r="N984"/>
      <c r="O984"/>
      <c r="P984"/>
      <c r="Q984"/>
    </row>
    <row r="985" spans="1:17">
      <c r="A985"/>
      <c r="B985"/>
      <c r="E985"/>
      <c r="F985"/>
      <c r="G985"/>
      <c r="H985"/>
      <c r="I985"/>
      <c r="J985"/>
      <c r="K985"/>
      <c r="L985"/>
      <c r="M985"/>
      <c r="N985"/>
      <c r="O985"/>
      <c r="P985"/>
      <c r="Q985"/>
    </row>
    <row r="986" spans="1:17">
      <c r="A986"/>
      <c r="B986"/>
      <c r="E986"/>
      <c r="F986"/>
      <c r="G986"/>
      <c r="H986"/>
      <c r="I986"/>
      <c r="J986"/>
      <c r="K986"/>
      <c r="L986"/>
      <c r="M986"/>
      <c r="N986"/>
      <c r="O986"/>
      <c r="P986"/>
      <c r="Q986"/>
    </row>
    <row r="987" spans="1:17">
      <c r="A987"/>
      <c r="B987"/>
      <c r="E987"/>
      <c r="F987"/>
      <c r="G987"/>
      <c r="H987"/>
      <c r="I987"/>
      <c r="J987"/>
      <c r="K987"/>
      <c r="L987"/>
      <c r="M987"/>
      <c r="N987"/>
      <c r="O987"/>
      <c r="P987"/>
      <c r="Q987"/>
    </row>
    <row r="988" spans="1:17">
      <c r="A988"/>
      <c r="B988"/>
      <c r="E988"/>
      <c r="F988"/>
      <c r="G988"/>
      <c r="H988"/>
      <c r="I988"/>
      <c r="J988"/>
      <c r="K988"/>
      <c r="L988"/>
      <c r="M988"/>
      <c r="N988"/>
      <c r="O988"/>
      <c r="P988"/>
      <c r="Q988"/>
    </row>
    <row r="989" spans="1:17">
      <c r="A989"/>
      <c r="B989"/>
      <c r="E989"/>
      <c r="F989"/>
      <c r="G989"/>
      <c r="H989"/>
      <c r="I989"/>
      <c r="J989"/>
      <c r="K989"/>
      <c r="L989"/>
      <c r="M989"/>
      <c r="N989"/>
      <c r="O989"/>
      <c r="P989"/>
      <c r="Q989"/>
    </row>
    <row r="990" spans="1:17">
      <c r="A990"/>
      <c r="B990"/>
      <c r="E990"/>
      <c r="F990"/>
      <c r="G990"/>
      <c r="H990"/>
      <c r="I990"/>
      <c r="J990"/>
      <c r="K990"/>
      <c r="L990"/>
      <c r="M990"/>
      <c r="N990"/>
      <c r="O990"/>
      <c r="P990"/>
      <c r="Q990"/>
    </row>
    <row r="991" spans="1:17">
      <c r="A991"/>
      <c r="B991"/>
      <c r="E991"/>
      <c r="F991"/>
      <c r="G991"/>
      <c r="H991"/>
      <c r="I991"/>
      <c r="J991"/>
      <c r="K991"/>
      <c r="L991"/>
      <c r="M991"/>
      <c r="N991"/>
      <c r="O991"/>
      <c r="P991"/>
      <c r="Q991"/>
    </row>
    <row r="992" spans="1:17">
      <c r="A992"/>
      <c r="B992"/>
      <c r="E992"/>
      <c r="F992"/>
      <c r="G992"/>
      <c r="H992"/>
      <c r="I992"/>
      <c r="J992"/>
      <c r="K992"/>
      <c r="L992"/>
      <c r="M992"/>
      <c r="N992"/>
      <c r="O992"/>
      <c r="P992"/>
      <c r="Q992"/>
    </row>
    <row r="993" spans="1:17">
      <c r="A993"/>
      <c r="B993"/>
      <c r="E993"/>
      <c r="F993"/>
      <c r="G993"/>
      <c r="H993"/>
      <c r="I993"/>
      <c r="J993"/>
      <c r="K993"/>
      <c r="L993"/>
      <c r="M993"/>
      <c r="N993"/>
      <c r="O993"/>
      <c r="P993"/>
      <c r="Q993"/>
    </row>
    <row r="994" spans="1:17">
      <c r="A994"/>
      <c r="B994"/>
      <c r="E994"/>
      <c r="F994"/>
      <c r="G994"/>
      <c r="H994"/>
      <c r="I994"/>
      <c r="J994"/>
      <c r="K994"/>
      <c r="L994"/>
      <c r="M994"/>
      <c r="N994"/>
      <c r="O994"/>
      <c r="P994"/>
      <c r="Q994"/>
    </row>
    <row r="995" spans="1:17">
      <c r="A995"/>
      <c r="B995"/>
      <c r="E995"/>
      <c r="F995"/>
      <c r="G995"/>
      <c r="H995"/>
      <c r="I995"/>
      <c r="J995"/>
      <c r="K995"/>
      <c r="L995"/>
      <c r="M995"/>
      <c r="N995"/>
      <c r="O995"/>
      <c r="P995"/>
      <c r="Q995"/>
    </row>
    <row r="996" spans="1:17">
      <c r="A996"/>
      <c r="B996"/>
      <c r="E996"/>
      <c r="F996"/>
      <c r="G996"/>
      <c r="H996"/>
      <c r="I996"/>
      <c r="J996"/>
      <c r="K996"/>
      <c r="L996"/>
      <c r="M996"/>
      <c r="N996"/>
      <c r="O996"/>
      <c r="P996"/>
      <c r="Q996"/>
    </row>
    <row r="997" spans="1:17">
      <c r="A997"/>
      <c r="B997"/>
      <c r="E997"/>
      <c r="F997"/>
      <c r="G997"/>
      <c r="H997"/>
      <c r="I997"/>
      <c r="J997"/>
      <c r="K997"/>
      <c r="L997"/>
      <c r="M997"/>
      <c r="N997"/>
      <c r="O997"/>
      <c r="P997"/>
      <c r="Q997"/>
    </row>
    <row r="998" spans="1:17">
      <c r="A998"/>
      <c r="B998"/>
      <c r="E998"/>
      <c r="F998"/>
      <c r="G998"/>
      <c r="H998"/>
      <c r="I998"/>
      <c r="J998"/>
      <c r="K998"/>
      <c r="L998"/>
      <c r="M998"/>
      <c r="N998"/>
      <c r="O998"/>
      <c r="P998"/>
      <c r="Q998"/>
    </row>
    <row r="999" spans="1:17">
      <c r="A999"/>
      <c r="B999"/>
      <c r="E999"/>
      <c r="F999"/>
      <c r="G999"/>
      <c r="H999"/>
      <c r="I999"/>
      <c r="J999"/>
      <c r="K999"/>
      <c r="L999"/>
      <c r="M999"/>
      <c r="N999"/>
      <c r="O999"/>
      <c r="P999"/>
      <c r="Q999"/>
    </row>
    <row r="1000" spans="1:17">
      <c r="A1000"/>
      <c r="B1000"/>
      <c r="E1000"/>
      <c r="F1000"/>
      <c r="G1000"/>
      <c r="H1000"/>
      <c r="I1000"/>
      <c r="J1000"/>
      <c r="K1000"/>
      <c r="L1000"/>
      <c r="M1000"/>
      <c r="N1000"/>
      <c r="O1000"/>
      <c r="P1000"/>
      <c r="Q1000"/>
    </row>
    <row r="1001" spans="1:17">
      <c r="A1001"/>
      <c r="B1001"/>
      <c r="E1001"/>
      <c r="F1001"/>
      <c r="G1001"/>
      <c r="H1001"/>
      <c r="I1001"/>
      <c r="J1001"/>
      <c r="K1001"/>
      <c r="L1001"/>
      <c r="M1001"/>
      <c r="N1001"/>
      <c r="O1001"/>
      <c r="P1001"/>
      <c r="Q1001"/>
    </row>
    <row r="1002" spans="1:17">
      <c r="A1002"/>
      <c r="B1002"/>
    </row>
    <row r="1003" spans="1:17">
      <c r="A1003"/>
      <c r="B1003"/>
    </row>
    <row r="1004" spans="1:17">
      <c r="A1004"/>
      <c r="B1004"/>
    </row>
    <row r="1005" spans="1:17">
      <c r="A1005"/>
      <c r="B1005"/>
    </row>
    <row r="1006" spans="1:17">
      <c r="A1006"/>
      <c r="B1006"/>
    </row>
    <row r="1007" spans="1:17">
      <c r="A1007"/>
      <c r="B1007"/>
    </row>
    <row r="1008" spans="1:17">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3" t="s">
        <v>42</v>
      </c>
      <c r="D1" s="13"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1"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3" t="s">
        <v>43</v>
      </c>
      <c r="B1" s="25" t="s">
        <v>44</v>
      </c>
      <c r="D1" s="30" t="s">
        <v>45</v>
      </c>
    </row>
    <row r="2" spans="1:10">
      <c r="A2" s="19">
        <v>0</v>
      </c>
      <c r="B2" s="28">
        <v>0.9473817611813331</v>
      </c>
      <c r="C2" s="27">
        <f ca="1">OFFSET($B2,1*(ROWS(C$2:C2)-1),0)</f>
        <v>0.9473817611813331</v>
      </c>
      <c r="D2" s="26">
        <f>Ft!B$3*EXP(Ft!B$38*($A2-Ft!B$2)^2) +Ft!C$3*EXP(Ft!C$38*($A2-Ft!C$2)^2) + Ft!D$3*EXP(Ft!D$38*($A2-Ft!D$2)^2)+Ft!E$3*EXP(Ft!E$38*($A2-Ft!E$2)^2) +Ft!F$3*EXP(Ft!F$38*($A2-Ft!F$2)^2) + Ft!G$3*EXP(Ft!G$38*($A2-Ft!G$2)^2)</f>
        <v>2.6115493163095786</v>
      </c>
      <c r="E2" s="26">
        <f>Ft!B$3*EXP(Ft!B$38*($A2-Ft!B$2)^2)</f>
        <v>0.23391218103693495</v>
      </c>
      <c r="F2" s="26">
        <f>Ft!C$3*EXP(Ft!C$38*($A2-Ft!C$2)^2)</f>
        <v>2.078327002494138</v>
      </c>
      <c r="G2" s="26">
        <f>Ft!D$3*EXP(Ft!D$38*($A2-Ft!D$2)^2)</f>
        <v>0.29918731796414511</v>
      </c>
      <c r="H2" s="26">
        <f>Ft!E$3*EXP(Ft!E$38*($A2-Ft!E$2)^2)</f>
        <v>1.228148143604174E-4</v>
      </c>
      <c r="I2" s="26">
        <f>Ft!F$3*EXP(Ft!F$38*($A2-Ft!F$2)^2)</f>
        <v>1.5885244097397708E-200</v>
      </c>
      <c r="J2" s="26">
        <f>Ft!G$3*EXP(Ft!G$38*($A2-Ft!G$2)^2)</f>
        <v>0</v>
      </c>
    </row>
    <row r="3" spans="1:10">
      <c r="A3" s="19">
        <v>1</v>
      </c>
      <c r="B3" s="28">
        <v>0.96170225908088014</v>
      </c>
      <c r="C3" s="27">
        <f ca="1">OFFSET($B3,1*(ROWS(C$2:C3)-1),0)</f>
        <v>0.97179617465477008</v>
      </c>
      <c r="D3" s="26">
        <f>Ft!B$3*EXP(Ft!B$38*($A3-Ft!B$2)^2) +Ft!C$3*EXP(Ft!C$38*($A3-Ft!C$2)^2) + Ft!D$3*EXP(Ft!D$38*($A3-Ft!D$2)^2)+Ft!E$3*EXP(Ft!E$38*($A3-Ft!E$2)^2) +Ft!F$3*EXP(Ft!F$38*($A3-Ft!F$2)^2) + Ft!G$3*EXP(Ft!G$38*($A3-Ft!G$2)^2)</f>
        <v>2.6908057006952975</v>
      </c>
      <c r="E3" s="26">
        <f>Ft!B$3*EXP(Ft!B$38*($A3-Ft!B$2)^2)</f>
        <v>0.26193733777249534</v>
      </c>
      <c r="F3" s="26">
        <f>Ft!C$3*EXP(Ft!C$38*($A3-Ft!C$2)^2)</f>
        <v>2.1239346908035293</v>
      </c>
      <c r="G3" s="26">
        <f>Ft!D$3*EXP(Ft!D$38*($A3-Ft!D$2)^2)</f>
        <v>0.30480725595358793</v>
      </c>
      <c r="H3" s="26">
        <f>Ft!E$3*EXP(Ft!E$38*($A3-Ft!E$2)^2)</f>
        <v>1.2641616568486309E-4</v>
      </c>
      <c r="I3" s="26">
        <f>Ft!F$3*EXP(Ft!F$38*($A3-Ft!F$2)^2)</f>
        <v>3.8891058458201412E-200</v>
      </c>
      <c r="J3" s="26">
        <f>Ft!G$3*EXP(Ft!G$38*($A3-Ft!G$2)^2)</f>
        <v>0</v>
      </c>
    </row>
    <row r="4" spans="1:10">
      <c r="A4" s="19">
        <v>2</v>
      </c>
      <c r="B4" s="28">
        <v>0.97179617465477008</v>
      </c>
      <c r="C4" s="27">
        <f ca="1">OFFSET($B4,1*(ROWS(C$2:C4)-1),0)</f>
        <v>0.99194486307237639</v>
      </c>
      <c r="D4" s="26">
        <f>Ft!B$3*EXP(Ft!B$38*($A4-Ft!B$2)^2) +Ft!C$3*EXP(Ft!C$38*($A4-Ft!C$2)^2) + Ft!D$3*EXP(Ft!D$38*($A4-Ft!D$2)^2)+Ft!E$3*EXP(Ft!E$38*($A4-Ft!E$2)^2) +Ft!F$3*EXP(Ft!F$38*($A4-Ft!F$2)^2) + Ft!G$3*EXP(Ft!G$38*($A4-Ft!G$2)^2)</f>
        <v>2.7734399321500431</v>
      </c>
      <c r="E4" s="26">
        <f>Ft!B$3*EXP(Ft!B$38*($A4-Ft!B$2)^2)</f>
        <v>0.29258439157207689</v>
      </c>
      <c r="F4" s="26">
        <f>Ft!C$3*EXP(Ft!C$38*($A4-Ft!C$2)^2)</f>
        <v>2.1702058709763832</v>
      </c>
      <c r="G4" s="26">
        <f>Ft!D$3*EXP(Ft!D$38*($A4-Ft!D$2)^2)</f>
        <v>0.31051955109190704</v>
      </c>
      <c r="H4" s="26">
        <f>Ft!E$3*EXP(Ft!E$38*($A4-Ft!E$2)^2)</f>
        <v>1.3011850967615306E-4</v>
      </c>
      <c r="I4" s="26">
        <f>Ft!F$3*EXP(Ft!F$38*($A4-Ft!F$2)^2)</f>
        <v>9.5132394656575622E-200</v>
      </c>
      <c r="J4" s="26">
        <f>Ft!G$3*EXP(Ft!G$38*($A4-Ft!G$2)^2)</f>
        <v>0</v>
      </c>
    </row>
    <row r="5" spans="1:10">
      <c r="A5" s="19">
        <v>3</v>
      </c>
      <c r="B5" s="28">
        <v>0.9763906471486905</v>
      </c>
      <c r="C5" s="27">
        <f ca="1">OFFSET($B5,1*(ROWS(C$2:C5)-1),0)</f>
        <v>0.99958649406190148</v>
      </c>
      <c r="D5" s="26">
        <f>Ft!B$3*EXP(Ft!B$38*($A5-Ft!B$2)^2) +Ft!C$3*EXP(Ft!C$38*($A5-Ft!C$2)^2) + Ft!D$3*EXP(Ft!D$38*($A5-Ft!D$2)^2)+Ft!E$3*EXP(Ft!E$38*($A5-Ft!E$2)^2) +Ft!F$3*EXP(Ft!F$38*($A5-Ft!F$2)^2) + Ft!G$3*EXP(Ft!G$38*($A5-Ft!G$2)^2)</f>
        <v>2.8595971791379928</v>
      </c>
      <c r="E5" s="26">
        <f>Ft!B$3*EXP(Ft!B$38*($A5-Ft!B$2)^2)</f>
        <v>0.32599735274475244</v>
      </c>
      <c r="F5" s="26">
        <f>Ft!C$3*EXP(Ft!C$38*($A5-Ft!C$2)^2)</f>
        <v>2.2171404581136898</v>
      </c>
      <c r="G5" s="26">
        <f>Ft!D$3*EXP(Ft!D$38*($A5-Ft!D$2)^2)</f>
        <v>0.31632544374169858</v>
      </c>
      <c r="H5" s="26">
        <f>Ft!E$3*EXP(Ft!E$38*($A5-Ft!E$2)^2)</f>
        <v>1.3392453785192513E-4</v>
      </c>
      <c r="I5" s="26">
        <f>Ft!F$3*EXP(Ft!F$38*($A5-Ft!F$2)^2)</f>
        <v>2.3250371158069369E-199</v>
      </c>
      <c r="J5" s="26">
        <f>Ft!G$3*EXP(Ft!G$38*($A5-Ft!G$2)^2)</f>
        <v>0</v>
      </c>
    </row>
    <row r="6" spans="1:10">
      <c r="A6" s="19">
        <v>4</v>
      </c>
      <c r="B6" s="28">
        <v>0.99194486307237639</v>
      </c>
      <c r="C6" s="27">
        <f ca="1">OFFSET($B6,1*(ROWS(C$2:C6)-1),0)</f>
        <v>1.0143720987520624</v>
      </c>
      <c r="D6" s="26">
        <f>Ft!B$3*EXP(Ft!B$38*($A6-Ft!B$2)^2) +Ft!C$3*EXP(Ft!C$38*($A6-Ft!C$2)^2) + Ft!D$3*EXP(Ft!D$38*($A6-Ft!D$2)^2)+Ft!E$3*EXP(Ft!E$38*($A6-Ft!E$2)^2) +Ft!F$3*EXP(Ft!F$38*($A6-Ft!F$2)^2) + Ft!G$3*EXP(Ft!G$38*($A6-Ft!G$2)^2)</f>
        <v>2.9494169521205986</v>
      </c>
      <c r="E6" s="26">
        <f>Ft!B$3*EXP(Ft!B$38*($A6-Ft!B$2)^2)</f>
        <v>0.36231487686621183</v>
      </c>
      <c r="F6" s="26">
        <f>Ft!C$3*EXP(Ft!C$38*($A6-Ft!C$2)^2)</f>
        <v>2.2647380528156749</v>
      </c>
      <c r="G6" s="26">
        <f>Ft!D$3*EXP(Ft!D$38*($A6-Ft!D$2)^2)</f>
        <v>0.3222261854293893</v>
      </c>
      <c r="H6" s="26">
        <f>Ft!E$3*EXP(Ft!E$38*($A6-Ft!E$2)^2)</f>
        <v>1.3783700932278942E-4</v>
      </c>
      <c r="I6" s="26">
        <f>Ft!F$3*EXP(Ft!F$38*($A6-Ft!F$2)^2)</f>
        <v>5.6774608338746882E-199</v>
      </c>
      <c r="J6" s="26">
        <f>Ft!G$3*EXP(Ft!G$38*($A6-Ft!G$2)^2)</f>
        <v>0</v>
      </c>
    </row>
    <row r="7" spans="1:10">
      <c r="A7" s="19">
        <v>5</v>
      </c>
      <c r="B7" s="28">
        <v>0.99712947285610198</v>
      </c>
      <c r="C7" s="27">
        <f ca="1">OFFSET($B7,1*(ROWS(C$2:C7)-1),0)</f>
        <v>1.0260371374365036</v>
      </c>
      <c r="D7" s="26">
        <f>Ft!B$3*EXP(Ft!B$38*($A7-Ft!B$2)^2) +Ft!C$3*EXP(Ft!C$38*($A7-Ft!C$2)^2) + Ft!D$3*EXP(Ft!D$38*($A7-Ft!D$2)^2)+Ft!E$3*EXP(Ft!E$38*($A7-Ft!E$2)^2) +Ft!F$3*EXP(Ft!F$38*($A7-Ft!F$2)^2) + Ft!G$3*EXP(Ft!G$38*($A7-Ft!G$2)^2)</f>
        <v>3.0430310177035231</v>
      </c>
      <c r="E7" s="26">
        <f>Ft!B$3*EXP(Ft!B$38*($A7-Ft!B$2)^2)</f>
        <v>0.40166818548060895</v>
      </c>
      <c r="F7" s="26">
        <f>Ft!C$3*EXP(Ft!C$38*($A7-Ft!C$2)^2)</f>
        <v>2.3129979346314795</v>
      </c>
      <c r="G7" s="26">
        <f>Ft!D$3*EXP(Ft!D$38*($A7-Ft!D$2)^2)</f>
        <v>0.32822303883906218</v>
      </c>
      <c r="H7" s="26">
        <f>Ft!E$3*EXP(Ft!E$38*($A7-Ft!E$2)^2)</f>
        <v>1.4185875237263584E-4</v>
      </c>
      <c r="I7" s="26">
        <f>Ft!F$3*EXP(Ft!F$38*($A7-Ft!F$2)^2)</f>
        <v>1.3851640105021946E-198</v>
      </c>
      <c r="J7" s="26">
        <f>Ft!G$3*EXP(Ft!G$38*($A7-Ft!G$2)^2)</f>
        <v>0</v>
      </c>
    </row>
    <row r="8" spans="1:10">
      <c r="A8" s="19">
        <v>6</v>
      </c>
      <c r="B8" s="28">
        <v>0.99958649406190148</v>
      </c>
      <c r="C8" s="27">
        <f ca="1">OFFSET($B8,1*(ROWS(C$2:C8)-1),0)</f>
        <v>1.0375608214797012</v>
      </c>
      <c r="D8" s="26">
        <f>Ft!B$3*EXP(Ft!B$38*($A8-Ft!B$2)^2) +Ft!C$3*EXP(Ft!C$38*($A8-Ft!C$2)^2) + Ft!D$3*EXP(Ft!D$38*($A8-Ft!D$2)^2)+Ft!E$3*EXP(Ft!E$38*($A8-Ft!E$2)^2) +Ft!F$3*EXP(Ft!F$38*($A8-Ft!F$2)^2) + Ft!G$3*EXP(Ft!G$38*($A8-Ft!G$2)^2)</f>
        <v>3.1405611769046478</v>
      </c>
      <c r="E8" s="26">
        <f>Ft!B$3*EXP(Ft!B$38*($A8-Ft!B$2)^2)</f>
        <v>0.44417885081495811</v>
      </c>
      <c r="F8" s="26">
        <f>Ft!C$3*EXP(Ft!C$38*($A8-Ft!C$2)^2)</f>
        <v>2.3619190556198455</v>
      </c>
      <c r="G8" s="26">
        <f>Ft!D$3*EXP(Ft!D$38*($A8-Ft!D$2)^2)</f>
        <v>0.33431727780377146</v>
      </c>
      <c r="H8" s="26">
        <f>Ft!E$3*EXP(Ft!E$38*($A8-Ft!E$2)^2)</f>
        <v>1.4599266607269711E-4</v>
      </c>
      <c r="I8" s="26">
        <f>Ft!F$3*EXP(Ft!F$38*($A8-Ft!F$2)^2)</f>
        <v>3.3765333750675072E-198</v>
      </c>
      <c r="J8" s="26">
        <f>Ft!G$3*EXP(Ft!G$38*($A8-Ft!G$2)^2)</f>
        <v>0</v>
      </c>
    </row>
    <row r="9" spans="1:10">
      <c r="A9" s="19">
        <v>7</v>
      </c>
      <c r="B9" s="28">
        <v>1.0002786351847135</v>
      </c>
      <c r="C9" s="27">
        <f ca="1">OFFSET($B9,1*(ROWS(C$2:C9)-1),0)</f>
        <v>1.0630038880129291</v>
      </c>
      <c r="D9" s="26">
        <f>Ft!B$3*EXP(Ft!B$38*($A9-Ft!B$2)^2) +Ft!C$3*EXP(Ft!C$38*($A9-Ft!C$2)^2) + Ft!D$3*EXP(Ft!D$38*($A9-Ft!D$2)^2)+Ft!E$3*EXP(Ft!E$38*($A9-Ft!E$2)^2) +Ft!F$3*EXP(Ft!F$38*($A9-Ft!F$2)^2) + Ft!G$3*EXP(Ft!G$38*($A9-Ft!G$2)^2)</f>
        <v>3.2421169275360091</v>
      </c>
      <c r="E9" s="26">
        <f>Ft!B$3*EXP(Ft!B$38*($A9-Ft!B$2)^2)</f>
        <v>0.48995646449049218</v>
      </c>
      <c r="F9" s="26">
        <f>Ft!C$3*EXP(Ft!C$38*($A9-Ft!C$2)^2)</f>
        <v>2.411500034029284</v>
      </c>
      <c r="G9" s="26">
        <f>Ft!D$3*EXP(Ft!D$38*($A9-Ft!D$2)^2)</f>
        <v>0.34051018729430305</v>
      </c>
      <c r="H9" s="26">
        <f>Ft!E$3*EXP(Ft!E$38*($A9-Ft!E$2)^2)</f>
        <v>1.5024172193001416E-4</v>
      </c>
      <c r="I9" s="26">
        <f>Ft!F$3*EXP(Ft!F$38*($A9-Ft!F$2)^2)</f>
        <v>8.2236324200416473E-198</v>
      </c>
      <c r="J9" s="26">
        <f>Ft!G$3*EXP(Ft!G$38*($A9-Ft!G$2)^2)</f>
        <v>0</v>
      </c>
    </row>
    <row r="10" spans="1:10">
      <c r="A10" s="19">
        <v>8</v>
      </c>
      <c r="B10" s="28">
        <v>1.0143720987520624</v>
      </c>
      <c r="C10" s="27">
        <f ca="1">OFFSET($B10,1*(ROWS(C$2:C10)-1),0)</f>
        <v>1.0919651284577583</v>
      </c>
      <c r="D10" s="26">
        <f>Ft!B$3*EXP(Ft!B$38*($A10-Ft!B$2)^2) +Ft!C$3*EXP(Ft!C$38*($A10-Ft!C$2)^2) + Ft!D$3*EXP(Ft!D$38*($A10-Ft!D$2)^2)+Ft!E$3*EXP(Ft!E$38*($A10-Ft!E$2)^2) +Ft!F$3*EXP(Ft!F$38*($A10-Ft!F$2)^2) + Ft!G$3*EXP(Ft!G$38*($A10-Ft!G$2)^2)</f>
        <v>3.3477930350304832</v>
      </c>
      <c r="E10" s="26">
        <f>Ft!B$3*EXP(Ft!B$38*($A10-Ft!B$2)^2)</f>
        <v>0.53909621455339318</v>
      </c>
      <c r="F10" s="26">
        <f>Ft!C$3*EXP(Ft!C$38*($A10-Ft!C$2)^2)</f>
        <v>2.4617391481061843</v>
      </c>
      <c r="G10" s="26">
        <f>Ft!D$3*EXP(Ft!D$38*($A10-Ft!D$2)^2)</f>
        <v>0.34680306340533473</v>
      </c>
      <c r="H10" s="26">
        <f>Ft!E$3*EXP(Ft!E$38*($A10-Ft!E$2)^2)</f>
        <v>1.5460896557094425E-4</v>
      </c>
      <c r="I10" s="26">
        <f>Ft!F$3*EXP(Ft!F$38*($A10-Ft!F$2)^2)</f>
        <v>2.0011476288018696E-197</v>
      </c>
      <c r="J10" s="26">
        <f>Ft!G$3*EXP(Ft!G$38*($A10-Ft!G$2)^2)</f>
        <v>0</v>
      </c>
    </row>
    <row r="11" spans="1:10">
      <c r="A11" s="19">
        <v>9</v>
      </c>
      <c r="B11" s="28">
        <v>1.0154577826339448</v>
      </c>
      <c r="C11" s="27">
        <f ca="1">OFFSET($B11,1*(ROWS(C$2:C11)-1),0)</f>
        <v>1.135284763524453</v>
      </c>
      <c r="D11" s="26">
        <f>Ft!B$3*EXP(Ft!B$38*($A11-Ft!B$2)^2) +Ft!C$3*EXP(Ft!C$38*($A11-Ft!C$2)^2) + Ft!D$3*EXP(Ft!D$38*($A11-Ft!D$2)^2)+Ft!E$3*EXP(Ft!E$38*($A11-Ft!E$2)^2) +Ft!F$3*EXP(Ft!F$38*($A11-Ft!F$2)^2) + Ft!G$3*EXP(Ft!G$38*($A11-Ft!G$2)^2)</f>
        <v>3.457667040339572</v>
      </c>
      <c r="E11" s="26">
        <f>Ft!B$3*EXP(Ft!B$38*($A11-Ft!B$2)^2)</f>
        <v>0.59167639944269512</v>
      </c>
      <c r="F11" s="26">
        <f>Ft!C$3*EXP(Ft!C$38*($A11-Ft!C$2)^2)</f>
        <v>2.5126343300394631</v>
      </c>
      <c r="G11" s="26">
        <f>Ft!D$3*EXP(Ft!D$38*($A11-Ft!D$2)^2)</f>
        <v>0.35319721333895343</v>
      </c>
      <c r="H11" s="26">
        <f>Ft!E$3*EXP(Ft!E$38*($A11-Ft!E$2)^2)</f>
        <v>1.5909751846037611E-4</v>
      </c>
      <c r="I11" s="26">
        <f>Ft!F$3*EXP(Ft!F$38*($A11-Ft!F$2)^2)</f>
        <v>4.8653866899701005E-197</v>
      </c>
      <c r="J11" s="26">
        <f>Ft!G$3*EXP(Ft!G$38*($A11-Ft!G$2)^2)</f>
        <v>0</v>
      </c>
    </row>
    <row r="12" spans="1:10">
      <c r="A12" s="19">
        <v>10</v>
      </c>
      <c r="B12" s="28">
        <v>1.0260371374365036</v>
      </c>
      <c r="C12" s="27">
        <f ca="1">OFFSET($B12,1*(ROWS(C$2:C12)-1),0)</f>
        <v>1.1756650453954194</v>
      </c>
      <c r="D12" s="26">
        <f>Ft!B$3*EXP(Ft!B$38*($A12-Ft!B$2)^2) +Ft!C$3*EXP(Ft!C$38*($A12-Ft!C$2)^2) + Ft!D$3*EXP(Ft!D$38*($A12-Ft!D$2)^2)+Ft!E$3*EXP(Ft!E$38*($A12-Ft!E$2)^2) +Ft!F$3*EXP(Ft!F$38*($A12-Ft!F$2)^2) + Ft!G$3*EXP(Ft!G$38*($A12-Ft!G$2)^2)</f>
        <v>3.5717967376750099</v>
      </c>
      <c r="E12" s="26">
        <f>Ft!B$3*EXP(Ft!B$38*($A12-Ft!B$2)^2)</f>
        <v>0.64775591165960367</v>
      </c>
      <c r="F12" s="26">
        <f>Ft!C$3*EXP(Ft!C$38*($A12-Ft!C$2)^2)</f>
        <v>2.5641831600502658</v>
      </c>
      <c r="G12" s="26">
        <f>Ft!D$3*EXP(Ft!D$38*($A12-Ft!D$2)^2)</f>
        <v>0.3596939553854831</v>
      </c>
      <c r="H12" s="26">
        <f>Ft!E$3*EXP(Ft!E$38*($A12-Ft!E$2)^2)</f>
        <v>1.6371057965731679E-4</v>
      </c>
      <c r="I12" s="26">
        <f>Ft!F$3*EXP(Ft!F$38*($A12-Ft!F$2)^2)</f>
        <v>1.1818936309177468E-196</v>
      </c>
      <c r="J12" s="26">
        <f>Ft!G$3*EXP(Ft!G$38*($A12-Ft!G$2)^2)</f>
        <v>0</v>
      </c>
    </row>
    <row r="13" spans="1:10">
      <c r="A13" s="19">
        <v>11</v>
      </c>
      <c r="B13" s="28">
        <v>1.0286450660695436</v>
      </c>
      <c r="C13" s="27">
        <f ca="1">OFFSET($B13,1*(ROWS(C$2:C13)-1),0)</f>
        <v>1.2476498507832048</v>
      </c>
      <c r="D13" s="26">
        <f>Ft!B$3*EXP(Ft!B$38*($A13-Ft!B$2)^2) +Ft!C$3*EXP(Ft!C$38*($A13-Ft!C$2)^2) + Ft!D$3*EXP(Ft!D$38*($A13-Ft!D$2)^2)+Ft!E$3*EXP(Ft!E$38*($A13-Ft!E$2)^2) +Ft!F$3*EXP(Ft!F$38*($A13-Ft!F$2)^2) + Ft!G$3*EXP(Ft!G$38*($A13-Ft!G$2)^2)</f>
        <v>3.6902176587508237</v>
      </c>
      <c r="E13" s="26">
        <f>Ft!B$3*EXP(Ft!B$38*($A13-Ft!B$2)^2)</f>
        <v>0.70737172778628654</v>
      </c>
      <c r="F13" s="26">
        <f>Ft!C$3*EXP(Ft!C$38*($A13-Ft!C$2)^2)</f>
        <v>2.6163828606353516</v>
      </c>
      <c r="G13" s="26">
        <f>Ft!D$3*EXP(Ft!D$38*($A13-Ft!D$2)^2)</f>
        <v>0.36629461890157805</v>
      </c>
      <c r="H13" s="26">
        <f>Ft!E$3*EXP(Ft!E$38*($A13-Ft!E$2)^2)</f>
        <v>1.6845142760753154E-4</v>
      </c>
      <c r="I13" s="26">
        <f>Ft!F$3*EXP(Ft!F$38*($A13-Ft!F$2)^2)</f>
        <v>2.8685486335494265E-196</v>
      </c>
      <c r="J13" s="26">
        <f>Ft!G$3*EXP(Ft!G$38*($A13-Ft!G$2)^2)</f>
        <v>0</v>
      </c>
    </row>
    <row r="14" spans="1:10">
      <c r="A14" s="19">
        <v>12</v>
      </c>
      <c r="B14" s="28">
        <v>1.0375608214797012</v>
      </c>
      <c r="C14" s="27">
        <f ca="1">OFFSET($B14,1*(ROWS(C$2:C14)-1),0)</f>
        <v>1.3300808917291249</v>
      </c>
      <c r="D14" s="26">
        <f>Ft!B$3*EXP(Ft!B$38*($A14-Ft!B$2)^2) +Ft!C$3*EXP(Ft!C$38*($A14-Ft!C$2)^2) + Ft!D$3*EXP(Ft!D$38*($A14-Ft!D$2)^2)+Ft!E$3*EXP(Ft!E$38*($A14-Ft!E$2)^2) +Ft!F$3*EXP(Ft!F$38*($A14-Ft!F$2)^2) + Ft!G$3*EXP(Ft!G$38*($A14-Ft!G$2)^2)</f>
        <v>3.8129406036851585</v>
      </c>
      <c r="E14" s="26">
        <f>Ft!B$3*EXP(Ft!B$38*($A14-Ft!B$2)^2)</f>
        <v>0.77053644500490293</v>
      </c>
      <c r="F14" s="26">
        <f>Ft!C$3*EXP(Ft!C$38*($A14-Ft!C$2)^2)</f>
        <v>2.6692302909727408</v>
      </c>
      <c r="G14" s="26">
        <f>Ft!D$3*EXP(Ft!D$38*($A14-Ft!D$2)^2)</f>
        <v>0.37300054428554069</v>
      </c>
      <c r="H14" s="26">
        <f>Ft!E$3*EXP(Ft!E$38*($A14-Ft!E$2)^2)</f>
        <v>1.7332342197392013E-4</v>
      </c>
      <c r="I14" s="26">
        <f>Ft!F$3*EXP(Ft!F$38*($A14-Ft!F$2)^2)</f>
        <v>6.9561483893257053E-196</v>
      </c>
      <c r="J14" s="26">
        <f>Ft!G$3*EXP(Ft!G$38*($A14-Ft!G$2)^2)</f>
        <v>0</v>
      </c>
    </row>
    <row r="15" spans="1:10">
      <c r="A15" s="19">
        <v>13</v>
      </c>
      <c r="B15" s="28">
        <v>1.051216892362163</v>
      </c>
      <c r="C15" s="27">
        <f ca="1">OFFSET($B15,1*(ROWS(C$2:C15)-1),0)</f>
        <v>1.4050154910238746</v>
      </c>
      <c r="D15" s="26">
        <f>Ft!B$3*EXP(Ft!B$38*($A15-Ft!B$2)^2) +Ft!C$3*EXP(Ft!C$38*($A15-Ft!C$2)^2) + Ft!D$3*EXP(Ft!D$38*($A15-Ft!D$2)^2)+Ft!E$3*EXP(Ft!E$38*($A15-Ft!E$2)^2) +Ft!F$3*EXP(Ft!F$38*($A15-Ft!F$2)^2) + Ft!G$3*EXP(Ft!G$38*($A15-Ft!G$2)^2)</f>
        <v>3.9399492617225071</v>
      </c>
      <c r="E15" s="26">
        <f>Ft!B$3*EXP(Ft!B$38*($A15-Ft!B$2)^2)</f>
        <v>0.83723590726895658</v>
      </c>
      <c r="F15" s="26">
        <f>Ft!C$3*EXP(Ft!C$38*($A15-Ft!C$2)^2)</f>
        <v>2.7227219414982335</v>
      </c>
      <c r="G15" s="26">
        <f>Ft!D$3*EXP(Ft!D$38*($A15-Ft!D$2)^2)</f>
        <v>0.37981308294981198</v>
      </c>
      <c r="H15" s="26">
        <f>Ft!E$3*EXP(Ft!E$38*($A15-Ft!E$2)^2)</f>
        <v>1.7833000550533738E-4</v>
      </c>
      <c r="I15" s="26">
        <f>Ft!F$3*EXP(Ft!F$38*($A15-Ft!F$2)^2)</f>
        <v>1.6853816216838137E-195</v>
      </c>
      <c r="J15" s="26">
        <f>Ft!G$3*EXP(Ft!G$38*($A15-Ft!G$2)^2)</f>
        <v>0</v>
      </c>
    </row>
    <row r="16" spans="1:10">
      <c r="A16" s="19">
        <v>14</v>
      </c>
      <c r="B16" s="28">
        <v>1.0630038880129291</v>
      </c>
      <c r="C16" s="27">
        <f ca="1">OFFSET($B16,1*(ROWS(C$2:C16)-1),0)</f>
        <v>1.4492486361786519</v>
      </c>
      <c r="D16" s="26">
        <f>Ft!B$3*EXP(Ft!B$38*($A16-Ft!B$2)^2) +Ft!C$3*EXP(Ft!C$38*($A16-Ft!C$2)^2) + Ft!D$3*EXP(Ft!D$38*($A16-Ft!D$2)^2)+Ft!E$3*EXP(Ft!E$38*($A16-Ft!E$2)^2) +Ft!F$3*EXP(Ft!F$38*($A16-Ft!F$2)^2) + Ft!G$3*EXP(Ft!G$38*($A16-Ft!G$2)^2)</f>
        <v>4.0711979673179703</v>
      </c>
      <c r="E16" s="26">
        <f>Ft!B$3*EXP(Ft!B$38*($A16-Ft!B$2)^2)</f>
        <v>0.90742696666005029</v>
      </c>
      <c r="F16" s="26">
        <f>Ft!C$3*EXP(Ft!C$38*($A16-Ft!C$2)^2)</f>
        <v>2.776853928661378</v>
      </c>
      <c r="G16" s="26">
        <f>Ft!D$3*EXP(Ft!D$38*($A16-Ft!D$2)^2)</f>
        <v>0.38673359729059731</v>
      </c>
      <c r="H16" s="26">
        <f>Ft!E$3*EXP(Ft!E$38*($A16-Ft!E$2)^2)</f>
        <v>1.8347470594456229E-4</v>
      </c>
      <c r="I16" s="26">
        <f>Ft!F$3*EXP(Ft!F$38*($A16-Ft!F$2)^2)</f>
        <v>4.0799088944737381E-195</v>
      </c>
      <c r="J16" s="26">
        <f>Ft!G$3*EXP(Ft!G$38*($A16-Ft!G$2)^2)</f>
        <v>0</v>
      </c>
    </row>
    <row r="17" spans="1:10">
      <c r="A17" s="19">
        <v>15</v>
      </c>
      <c r="B17" s="28">
        <v>1.0760280179390236</v>
      </c>
      <c r="C17" s="27">
        <f ca="1">OFFSET($B17,1*(ROWS(C$2:C17)-1),0)</f>
        <v>1.5368713877024049</v>
      </c>
      <c r="D17" s="26">
        <f>Ft!B$3*EXP(Ft!B$38*($A17-Ft!B$2)^2) +Ft!C$3*EXP(Ft!C$38*($A17-Ft!C$2)^2) + Ft!D$3*EXP(Ft!D$38*($A17-Ft!D$2)^2)+Ft!E$3*EXP(Ft!E$38*($A17-Ft!E$2)^2) +Ft!F$3*EXP(Ft!F$38*($A17-Ft!F$2)^2) + Ft!G$3*EXP(Ft!G$38*($A17-Ft!G$2)^2)</f>
        <v>4.2066096387719476</v>
      </c>
      <c r="E17" s="26">
        <f>Ft!B$3*EXP(Ft!B$38*($A17-Ft!B$2)^2)</f>
        <v>0.98103542710993408</v>
      </c>
      <c r="F17" s="26">
        <f>Ft!C$3*EXP(Ft!C$38*($A17-Ft!C$2)^2)</f>
        <v>2.8316219898694581</v>
      </c>
      <c r="G17" s="26">
        <f>Ft!D$3*EXP(Ft!D$38*($A17-Ft!D$2)^2)</f>
        <v>0.39376346065457934</v>
      </c>
      <c r="H17" s="26">
        <f>Ft!E$3*EXP(Ft!E$38*($A17-Ft!E$2)^2)</f>
        <v>1.8876113797613675E-4</v>
      </c>
      <c r="I17" s="26">
        <f>Ft!F$3*EXP(Ft!F$38*($A17-Ft!F$2)^2)</f>
        <v>9.8679166423315054E-195</v>
      </c>
      <c r="J17" s="26">
        <f>Ft!G$3*EXP(Ft!G$38*($A17-Ft!G$2)^2)</f>
        <v>0</v>
      </c>
    </row>
    <row r="18" spans="1:10">
      <c r="A18" s="19">
        <v>16</v>
      </c>
      <c r="B18" s="28">
        <v>1.0919651284577583</v>
      </c>
      <c r="C18" s="27">
        <f ca="1">OFFSET($B18,1*(ROWS(C$2:C18)-1),0)</f>
        <v>1.6308469684382203</v>
      </c>
      <c r="D18" s="26">
        <f>Ft!B$3*EXP(Ft!B$38*($A18-Ft!B$2)^2) +Ft!C$3*EXP(Ft!C$38*($A18-Ft!C$2)^2) + Ft!D$3*EXP(Ft!D$38*($A18-Ft!D$2)^2)+Ft!E$3*EXP(Ft!E$38*($A18-Ft!E$2)^2) +Ft!F$3*EXP(Ft!F$38*($A18-Ft!F$2)^2) + Ft!G$3*EXP(Ft!G$38*($A18-Ft!G$2)^2)</f>
        <v>4.3460739474110923</v>
      </c>
      <c r="E18" s="26">
        <f>Ft!B$3*EXP(Ft!B$38*($A18-Ft!B$2)^2)</f>
        <v>1.0579542184751778</v>
      </c>
      <c r="F18" s="26">
        <f>Ft!C$3*EXP(Ft!C$38*($A18-Ft!C$2)^2)</f>
        <v>2.8870214786280268</v>
      </c>
      <c r="G18" s="26">
        <f>Ft!D$3*EXP(Ft!D$38*($A18-Ft!D$2)^2)</f>
        <v>0.40090405730267226</v>
      </c>
      <c r="H18" s="26">
        <f>Ft!E$3*EXP(Ft!E$38*($A18-Ft!E$2)^2)</f>
        <v>1.9419300521480716E-4</v>
      </c>
      <c r="I18" s="26">
        <f>Ft!F$3*EXP(Ft!F$38*($A18-Ft!F$2)^2)</f>
        <v>2.3846424711246965E-194</v>
      </c>
      <c r="J18" s="26">
        <f>Ft!G$3*EXP(Ft!G$38*($A18-Ft!G$2)^2)</f>
        <v>0</v>
      </c>
    </row>
    <row r="19" spans="1:10">
      <c r="A19" s="19">
        <v>17</v>
      </c>
      <c r="B19" s="28">
        <v>1.1207934707887262</v>
      </c>
      <c r="C19" s="27">
        <f ca="1">OFFSET($B19,1*(ROWS(C$2:C19)-1),0)</f>
        <v>1.8202667496568665</v>
      </c>
      <c r="D19" s="26">
        <f>Ft!B$3*EXP(Ft!B$38*($A19-Ft!B$2)^2) +Ft!C$3*EXP(Ft!C$38*($A19-Ft!C$2)^2) + Ft!D$3*EXP(Ft!D$38*($A19-Ft!D$2)^2)+Ft!E$3*EXP(Ft!E$38*($A19-Ft!E$2)^2) +Ft!F$3*EXP(Ft!F$38*($A19-Ft!F$2)^2) + Ft!G$3*EXP(Ft!G$38*($A19-Ft!G$2)^2)</f>
        <v>4.4894457651867201</v>
      </c>
      <c r="E19" s="26">
        <f>Ft!B$3*EXP(Ft!B$38*($A19-Ft!B$2)^2)</f>
        <v>1.1380418488272446</v>
      </c>
      <c r="F19" s="26">
        <f>Ft!C$3*EXP(Ft!C$38*($A19-Ft!C$2)^2)</f>
        <v>2.9430473598864642</v>
      </c>
      <c r="G19" s="26">
        <f>Ft!D$3*EXP(Ft!D$38*($A19-Ft!D$2)^2)</f>
        <v>0.40815678237077646</v>
      </c>
      <c r="H19" s="26">
        <f>Ft!E$3*EXP(Ft!E$38*($A19-Ft!E$2)^2)</f>
        <v>1.9977410223531004E-4</v>
      </c>
      <c r="I19" s="26">
        <f>Ft!F$3*EXP(Ft!F$38*($A19-Ft!F$2)^2)</f>
        <v>5.7576315893267823E-194</v>
      </c>
      <c r="J19" s="26">
        <f>Ft!G$3*EXP(Ft!G$38*($A19-Ft!G$2)^2)</f>
        <v>0</v>
      </c>
    </row>
    <row r="20" spans="1:10">
      <c r="A20" s="19">
        <v>18</v>
      </c>
      <c r="B20" s="28">
        <v>1.135284763524453</v>
      </c>
      <c r="C20" s="27">
        <f ca="1">OFFSET($B20,1*(ROWS(C$2:C20)-1),0)</f>
        <v>2.0200351726556391</v>
      </c>
      <c r="D20" s="26">
        <f>Ft!B$3*EXP(Ft!B$38*($A20-Ft!B$2)^2) +Ft!C$3*EXP(Ft!C$38*($A20-Ft!C$2)^2) + Ft!D$3*EXP(Ft!D$38*($A20-Ft!D$2)^2)+Ft!E$3*EXP(Ft!E$38*($A20-Ft!E$2)^2) +Ft!F$3*EXP(Ft!F$38*($A20-Ft!F$2)^2) + Ft!G$3*EXP(Ft!G$38*($A20-Ft!G$2)^2)</f>
        <v>4.6365439374289972</v>
      </c>
      <c r="E20" s="26">
        <f>Ft!B$3*EXP(Ft!B$38*($A20-Ft!B$2)^2)</f>
        <v>1.2211211816878684</v>
      </c>
      <c r="F20" s="26">
        <f>Ft!C$3*EXP(Ft!C$38*($A20-Ft!C$2)^2)</f>
        <v>2.9996942055970011</v>
      </c>
      <c r="G20" s="26">
        <f>Ft!D$3*EXP(Ft!D$38*($A20-Ft!D$2)^2)</f>
        <v>0.41552304182748412</v>
      </c>
      <c r="H20" s="26">
        <f>Ft!E$3*EXP(Ft!E$38*($A20-Ft!E$2)^2)</f>
        <v>2.0550831664425836E-4</v>
      </c>
      <c r="I20" s="26">
        <f>Ft!F$3*EXP(Ft!F$38*($A20-Ft!F$2)^2)</f>
        <v>1.3889520905612605E-193</v>
      </c>
      <c r="J20" s="26">
        <f>Ft!G$3*EXP(Ft!G$38*($A20-Ft!G$2)^2)</f>
        <v>0</v>
      </c>
    </row>
    <row r="21" spans="1:10">
      <c r="A21" s="19">
        <v>19</v>
      </c>
      <c r="B21" s="28">
        <v>1.1549577488627278</v>
      </c>
      <c r="C21" s="27">
        <f ca="1">OFFSET($B21,1*(ROWS(C$2:C21)-1),0)</f>
        <v>2.2068991824084492</v>
      </c>
      <c r="D21" s="26">
        <f>Ft!B$3*EXP(Ft!B$38*($A21-Ft!B$2)^2) +Ft!C$3*EXP(Ft!C$38*($A21-Ft!C$2)^2) + Ft!D$3*EXP(Ft!D$38*($A21-Ft!D$2)^2)+Ft!E$3*EXP(Ft!E$38*($A21-Ft!E$2)^2) +Ft!F$3*EXP(Ft!F$38*($A21-Ft!F$2)^2) + Ft!G$3*EXP(Ft!G$38*($A21-Ft!G$2)^2)</f>
        <v>4.7871504252974404</v>
      </c>
      <c r="E21" s="26">
        <f>Ft!B$3*EXP(Ft!B$38*($A21-Ft!B$2)^2)</f>
        <v>1.306978582742002</v>
      </c>
      <c r="F21" s="26">
        <f>Ft!C$3*EXP(Ft!C$38*($A21-Ft!C$2)^2)</f>
        <v>3.0569561904955456</v>
      </c>
      <c r="G21" s="26">
        <f>Ft!D$3*EXP(Ft!D$38*($A21-Ft!D$2)^2)</f>
        <v>0.42300425242869782</v>
      </c>
      <c r="H21" s="26">
        <f>Ft!E$3*EXP(Ft!E$38*($A21-Ft!E$2)^2)</f>
        <v>2.1139963119488927E-4</v>
      </c>
      <c r="I21" s="26">
        <f>Ft!F$3*EXP(Ft!F$38*($A21-Ft!F$2)^2)</f>
        <v>3.3477533598473372E-193</v>
      </c>
      <c r="J21" s="26">
        <f>Ft!G$3*EXP(Ft!G$38*($A21-Ft!G$2)^2)</f>
        <v>0</v>
      </c>
    </row>
    <row r="22" spans="1:10">
      <c r="A22" s="19">
        <v>20</v>
      </c>
      <c r="B22" s="28">
        <v>1.1756650453954194</v>
      </c>
      <c r="C22" s="27">
        <f ca="1">OFFSET($B22,1*(ROWS(C$2:C22)-1),0)</f>
        <v>2.371052613505924</v>
      </c>
      <c r="D22" s="26">
        <f>Ft!B$3*EXP(Ft!B$38*($A22-Ft!B$2)^2) +Ft!C$3*EXP(Ft!C$38*($A22-Ft!C$2)^2) + Ft!D$3*EXP(Ft!D$38*($A22-Ft!D$2)^2)+Ft!E$3*EXP(Ft!E$38*($A22-Ft!E$2)^2) +Ft!F$3*EXP(Ft!F$38*($A22-Ft!F$2)^2) + Ft!G$3*EXP(Ft!G$38*($A22-Ft!G$2)^2)</f>
        <v>4.9410098591724854</v>
      </c>
      <c r="E22" s="26">
        <f>Ft!B$3*EXP(Ft!B$38*($A22-Ft!B$2)^2)</f>
        <v>1.3953634772648318</v>
      </c>
      <c r="F22" s="26">
        <f>Ft!C$3*EXP(Ft!C$38*($A22-Ft!C$2)^2)</f>
        <v>3.1148270881125963</v>
      </c>
      <c r="G22" s="26">
        <f>Ft!D$3*EXP(Ft!D$38*($A22-Ft!D$2)^2)</f>
        <v>0.43060184166911147</v>
      </c>
      <c r="H22" s="26">
        <f>Ft!E$3*EXP(Ft!E$38*($A22-Ft!E$2)^2)</f>
        <v>2.1745212594544708E-4</v>
      </c>
      <c r="I22" s="26">
        <f>Ft!F$3*EXP(Ft!F$38*($A22-Ft!F$2)^2)</f>
        <v>8.0619934105180787E-193</v>
      </c>
      <c r="J22" s="26">
        <f>Ft!G$3*EXP(Ft!G$38*($A22-Ft!G$2)^2)</f>
        <v>0</v>
      </c>
    </row>
    <row r="23" spans="1:10">
      <c r="A23" s="19">
        <v>21</v>
      </c>
      <c r="B23" s="28">
        <v>1.2189107232988192</v>
      </c>
      <c r="C23" s="27">
        <f ca="1">OFFSET($B23,1*(ROWS(C$2:C23)-1),0)</f>
        <v>2.4958820834738162</v>
      </c>
      <c r="D23" s="26">
        <f>Ft!B$3*EXP(Ft!B$38*($A23-Ft!B$2)^2) +Ft!C$3*EXP(Ft!C$38*($A23-Ft!C$2)^2) + Ft!D$3*EXP(Ft!D$38*($A23-Ft!D$2)^2)+Ft!E$3*EXP(Ft!E$38*($A23-Ft!E$2)^2) +Ft!F$3*EXP(Ft!F$38*($A23-Ft!F$2)^2) + Ft!G$3*EXP(Ft!G$38*($A23-Ft!G$2)^2)</f>
        <v>5.0978295398314994</v>
      </c>
      <c r="E23" s="26">
        <f>Ft!B$3*EXP(Ft!B$38*($A23-Ft!B$2)^2)</f>
        <v>1.4859883550980784</v>
      </c>
      <c r="F23" s="26">
        <f>Ft!C$3*EXP(Ft!C$38*($A23-Ft!C$2)^2)</f>
        <v>3.1733002670224435</v>
      </c>
      <c r="G23" s="26">
        <f>Ft!D$3*EXP(Ft!D$38*($A23-Ft!D$2)^2)</f>
        <v>0.43831724773051467</v>
      </c>
      <c r="H23" s="26">
        <f>Ft!E$3*EXP(Ft!E$38*($A23-Ft!E$2)^2)</f>
        <v>2.2366998046199733E-4</v>
      </c>
      <c r="I23" s="26">
        <f>Ft!F$3*EXP(Ft!F$38*($A23-Ft!F$2)^2)</f>
        <v>1.9397877777103954E-192</v>
      </c>
      <c r="J23" s="26">
        <f>Ft!G$3*EXP(Ft!G$38*($A23-Ft!G$2)^2)</f>
        <v>0</v>
      </c>
    </row>
    <row r="24" spans="1:10">
      <c r="A24" s="19">
        <v>22</v>
      </c>
      <c r="B24" s="28">
        <v>1.2476498507832048</v>
      </c>
      <c r="C24" s="27">
        <f ca="1">OFFSET($B24,1*(ROWS(C$2:C24)-1),0)</f>
        <v>2.5921188377053568</v>
      </c>
      <c r="D24" s="26">
        <f>Ft!B$3*EXP(Ft!B$38*($A24-Ft!B$2)^2) +Ft!C$3*EXP(Ft!C$38*($A24-Ft!C$2)^2) + Ft!D$3*EXP(Ft!D$38*($A24-Ft!D$2)^2)+Ft!E$3*EXP(Ft!E$38*($A24-Ft!E$2)^2) +Ft!F$3*EXP(Ft!F$38*($A24-Ft!F$2)^2) + Ft!G$3*EXP(Ft!G$38*($A24-Ft!G$2)^2)</f>
        <v>5.2572799187663097</v>
      </c>
      <c r="E24" s="26">
        <f>Ft!B$3*EXP(Ft!B$38*($A24-Ft!B$2)^2)</f>
        <v>1.5785292545246716</v>
      </c>
      <c r="F24" s="26">
        <f>Ft!C$3*EXP(Ft!C$38*($A24-Ft!C$2)^2)</f>
        <v>3.2323686873386994</v>
      </c>
      <c r="G24" s="26">
        <f>Ft!D$3*EXP(Ft!D$38*($A24-Ft!D$2)^2)</f>
        <v>0.44615191942687227</v>
      </c>
      <c r="H24" s="26">
        <f>Ft!E$3*EXP(Ft!E$38*($A24-Ft!E$2)^2)</f>
        <v>2.3005747606646152E-4</v>
      </c>
      <c r="I24" s="26">
        <f>Ft!F$3*EXP(Ft!F$38*($A24-Ft!F$2)^2)</f>
        <v>4.6632510189036256E-192</v>
      </c>
      <c r="J24" s="26">
        <f>Ft!G$3*EXP(Ft!G$38*($A24-Ft!G$2)^2)</f>
        <v>0</v>
      </c>
    </row>
    <row r="25" spans="1:10">
      <c r="A25" s="19">
        <v>23</v>
      </c>
      <c r="B25" s="28">
        <v>1.2893384630175149</v>
      </c>
      <c r="C25" s="27">
        <f ca="1">OFFSET($B25,1*(ROWS(C$2:C25)-1),0)</f>
        <v>2.7603583577131872</v>
      </c>
      <c r="D25" s="26">
        <f>Ft!B$3*EXP(Ft!B$38*($A25-Ft!B$2)^2) +Ft!C$3*EXP(Ft!C$38*($A25-Ft!C$2)^2) + Ft!D$3*EXP(Ft!D$38*($A25-Ft!D$2)^2)+Ft!E$3*EXP(Ft!E$38*($A25-Ft!E$2)^2) +Ft!F$3*EXP(Ft!F$38*($A25-Ft!F$2)^2) + Ft!G$3*EXP(Ft!G$38*($A25-Ft!G$2)^2)</f>
        <v>5.4189955824786677</v>
      </c>
      <c r="E25" s="26">
        <f>Ft!B$3*EXP(Ft!B$38*($A25-Ft!B$2)^2)</f>
        <v>1.6726267498702387</v>
      </c>
      <c r="F25" s="26">
        <f>Ft!C$3*EXP(Ft!C$38*($A25-Ft!C$2)^2)</f>
        <v>3.2920248974641591</v>
      </c>
      <c r="G25" s="26">
        <f>Ft!D$3*EXP(Ft!D$38*($A25-Ft!D$2)^2)</f>
        <v>0.45410731614613919</v>
      </c>
      <c r="H25" s="26">
        <f>Ft!E$3*EXP(Ft!E$38*($A25-Ft!E$2)^2)</f>
        <v>2.3661899813068817E-4</v>
      </c>
      <c r="I25" s="26">
        <f>Ft!F$3*EXP(Ft!F$38*($A25-Ft!F$2)^2)</f>
        <v>1.1200725771078961E-191</v>
      </c>
      <c r="J25" s="26">
        <f>Ft!G$3*EXP(Ft!G$38*($A25-Ft!G$2)^2)</f>
        <v>0</v>
      </c>
    </row>
    <row r="26" spans="1:10">
      <c r="A26" s="19">
        <v>24</v>
      </c>
      <c r="B26" s="28">
        <v>1.3300808917291249</v>
      </c>
      <c r="C26" s="27">
        <f ca="1">OFFSET($B26,1*(ROWS(C$2:C26)-1),0)</f>
        <v>2.9508699050124108</v>
      </c>
      <c r="D26" s="26">
        <f>Ft!B$3*EXP(Ft!B$38*($A26-Ft!B$2)^2) +Ft!C$3*EXP(Ft!C$38*($A26-Ft!C$2)^2) + Ft!D$3*EXP(Ft!D$38*($A26-Ft!D$2)^2)+Ft!E$3*EXP(Ft!E$38*($A26-Ft!E$2)^2) +Ft!F$3*EXP(Ft!F$38*($A26-Ft!F$2)^2) + Ft!G$3*EXP(Ft!G$38*($A26-Ft!G$2)^2)</f>
        <v>5.5825767581152368</v>
      </c>
      <c r="E26" s="26">
        <f>Ft!B$3*EXP(Ft!B$38*($A26-Ft!B$2)^2)</f>
        <v>1.7678874601852599</v>
      </c>
      <c r="F26" s="26">
        <f>Ft!C$3*EXP(Ft!C$38*($A26-Ft!C$2)^2)</f>
        <v>3.3522610311027963</v>
      </c>
      <c r="G26" s="26">
        <f>Ft!D$3*EXP(Ft!D$38*($A26-Ft!D$2)^2)</f>
        <v>0.46218490778876414</v>
      </c>
      <c r="H26" s="26">
        <f>Ft!E$3*EXP(Ft!E$38*($A26-Ft!E$2)^2)</f>
        <v>2.4335903841737661E-4</v>
      </c>
      <c r="I26" s="26">
        <f>Ft!F$3*EXP(Ft!F$38*($A26-Ft!F$2)^2)</f>
        <v>2.6879818419740939E-191</v>
      </c>
      <c r="J26" s="26">
        <f>Ft!G$3*EXP(Ft!G$38*($A26-Ft!G$2)^2)</f>
        <v>0</v>
      </c>
    </row>
    <row r="27" spans="1:10">
      <c r="A27" s="19">
        <v>25</v>
      </c>
      <c r="B27" s="28">
        <v>1.361703555709596</v>
      </c>
      <c r="C27" s="27">
        <f ca="1">OFFSET($B27,1*(ROWS(C$2:C27)-1),0)</f>
        <v>3.1501615817441859</v>
      </c>
      <c r="D27" s="26">
        <f>Ft!B$3*EXP(Ft!B$38*($A27-Ft!B$2)^2) +Ft!C$3*EXP(Ft!C$38*($A27-Ft!C$2)^2) + Ft!D$3*EXP(Ft!D$38*($A27-Ft!D$2)^2)+Ft!E$3*EXP(Ft!E$38*($A27-Ft!E$2)^2) +Ft!F$3*EXP(Ft!F$38*($A27-Ft!F$2)^2) + Ft!G$3*EXP(Ft!G$38*($A27-Ft!G$2)^2)</f>
        <v>5.7475913494858606</v>
      </c>
      <c r="E27" s="26">
        <f>Ft!B$3*EXP(Ft!B$38*($A27-Ft!B$2)^2)</f>
        <v>1.8638860880439505</v>
      </c>
      <c r="F27" s="26">
        <f>Ft!C$3*EXP(Ft!C$38*($A27-Ft!C$2)^2)</f>
        <v>3.4130688045416004</v>
      </c>
      <c r="G27" s="26">
        <f>Ft!D$3*EXP(Ft!D$38*($A27-Ft!D$2)^2)</f>
        <v>0.47038617470284089</v>
      </c>
      <c r="H27" s="26">
        <f>Ft!E$3*EXP(Ft!E$38*($A27-Ft!E$2)^2)</f>
        <v>2.5028219746869087E-4</v>
      </c>
      <c r="I27" s="26">
        <f>Ft!F$3*EXP(Ft!F$38*($A27-Ft!F$2)^2)</f>
        <v>6.4450945406182046E-191</v>
      </c>
      <c r="J27" s="26">
        <f>Ft!G$3*EXP(Ft!G$38*($A27-Ft!G$2)^2)</f>
        <v>0</v>
      </c>
    </row>
    <row r="28" spans="1:10">
      <c r="A28" s="19">
        <v>26</v>
      </c>
      <c r="B28" s="28">
        <v>1.4050154910238746</v>
      </c>
      <c r="C28" s="27">
        <f ca="1">OFFSET($B28,1*(ROWS(C$2:C28)-1),0)</f>
        <v>3.3243625965870365</v>
      </c>
      <c r="D28" s="26">
        <f>Ft!B$3*EXP(Ft!B$38*($A28-Ft!B$2)^2) +Ft!C$3*EXP(Ft!C$38*($A28-Ft!C$2)^2) + Ft!D$3*EXP(Ft!D$38*($A28-Ft!D$2)^2)+Ft!E$3*EXP(Ft!E$38*($A28-Ft!E$2)^2) +Ft!F$3*EXP(Ft!F$38*($A28-Ft!F$2)^2) + Ft!G$3*EXP(Ft!G$38*($A28-Ft!G$2)^2)</f>
        <v>5.9135775034872173</v>
      </c>
      <c r="E28" s="26">
        <f>Ft!B$3*EXP(Ft!B$38*($A28-Ft!B$2)^2)</f>
        <v>1.9601679884745262</v>
      </c>
      <c r="F28" s="26">
        <f>Ft!C$3*EXP(Ft!C$38*($A28-Ft!C$2)^2)</f>
        <v>3.4744395142097857</v>
      </c>
      <c r="G28" s="26">
        <f>Ft!D$3*EXP(Ft!D$38*($A28-Ft!D$2)^2)</f>
        <v>0.47871260761586221</v>
      </c>
      <c r="H28" s="26">
        <f>Ft!E$3*EXP(Ft!E$38*($A28-Ft!E$2)^2)</f>
        <v>2.5739318704341024E-4</v>
      </c>
      <c r="I28" s="26">
        <f>Ft!F$3*EXP(Ft!F$38*($A28-Ft!F$2)^2)</f>
        <v>1.5440275647911593E-190</v>
      </c>
      <c r="J28" s="26">
        <f>Ft!G$3*EXP(Ft!G$38*($A28-Ft!G$2)^2)</f>
        <v>0</v>
      </c>
    </row>
    <row r="29" spans="1:10">
      <c r="A29" s="19">
        <v>27</v>
      </c>
      <c r="B29" s="28">
        <v>1.4238662720605078</v>
      </c>
      <c r="C29" s="27">
        <f ca="1">OFFSET($B29,1*(ROWS(C$2:C29)-1),0)</f>
        <v>3.5637574580262026</v>
      </c>
      <c r="D29" s="26">
        <f>Ft!B$3*EXP(Ft!B$38*($A29-Ft!B$2)^2) +Ft!C$3*EXP(Ft!C$38*($A29-Ft!C$2)^2) + Ft!D$3*EXP(Ft!D$38*($A29-Ft!D$2)^2)+Ft!E$3*EXP(Ft!E$38*($A29-Ft!E$2)^2) +Ft!F$3*EXP(Ft!F$38*($A29-Ft!F$2)^2) + Ft!G$3*EXP(Ft!G$38*($A29-Ft!G$2)^2)</f>
        <v>6.0800466973953418</v>
      </c>
      <c r="E29" s="26">
        <f>Ft!B$3*EXP(Ft!B$38*($A29-Ft!B$2)^2)</f>
        <v>2.0562522584769565</v>
      </c>
      <c r="F29" s="26">
        <f>Ft!C$3*EXP(Ft!C$38*($A29-Ft!C$2)^2)</f>
        <v>3.5363640345227467</v>
      </c>
      <c r="G29" s="26">
        <f>Ft!D$3*EXP(Ft!D$38*($A29-Ft!D$2)^2)</f>
        <v>0.48716570756303518</v>
      </c>
      <c r="H29" s="26">
        <f>Ft!E$3*EXP(Ft!E$38*($A29-Ft!E$2)^2)</f>
        <v>2.6469683260346705E-4</v>
      </c>
      <c r="I29" s="26">
        <f>Ft!F$3*EXP(Ft!F$38*($A29-Ft!F$2)^2)</f>
        <v>3.6957586485311702E-190</v>
      </c>
      <c r="J29" s="26">
        <f>Ft!G$3*EXP(Ft!G$38*($A29-Ft!G$2)^2)</f>
        <v>0</v>
      </c>
    </row>
    <row r="30" spans="1:10">
      <c r="A30" s="19">
        <v>28</v>
      </c>
      <c r="B30" s="28">
        <v>1.4492486361786519</v>
      </c>
      <c r="C30" s="27">
        <f ca="1">OFFSET($B30,1*(ROWS(C$2:C30)-1),0)</f>
        <v>3.8172766562090885</v>
      </c>
      <c r="D30" s="26">
        <f>Ft!B$3*EXP(Ft!B$38*($A30-Ft!B$2)^2) +Ft!C$3*EXP(Ft!C$38*($A30-Ft!C$2)^2) + Ft!D$3*EXP(Ft!D$38*($A30-Ft!D$2)^2)+Ft!E$3*EXP(Ft!E$38*($A30-Ft!E$2)^2) +Ft!F$3*EXP(Ft!F$38*($A30-Ft!F$2)^2) + Ft!G$3*EXP(Ft!G$38*($A30-Ft!G$2)^2)</f>
        <v>6.2464873275847026</v>
      </c>
      <c r="E30" s="26">
        <f>Ft!B$3*EXP(Ft!B$38*($A30-Ft!B$2)^2)</f>
        <v>2.1516353276787887</v>
      </c>
      <c r="F30" s="26">
        <f>Ft!C$3*EXP(Ft!C$38*($A30-Ft!C$2)^2)</f>
        <v>3.598832816017949</v>
      </c>
      <c r="G30" s="26">
        <f>Ft!D$3*EXP(Ft!D$38*($A30-Ft!D$2)^2)</f>
        <v>0.49574698581211396</v>
      </c>
      <c r="H30" s="26">
        <f>Ft!E$3*EXP(Ft!E$38*($A30-Ft!E$2)^2)</f>
        <v>2.721980758507446E-4</v>
      </c>
      <c r="I30" s="26">
        <f>Ft!F$3*EXP(Ft!F$38*($A30-Ft!F$2)^2)</f>
        <v>8.8384264024766765E-190</v>
      </c>
      <c r="J30" s="26">
        <f>Ft!G$3*EXP(Ft!G$38*($A30-Ft!G$2)^2)</f>
        <v>0</v>
      </c>
    </row>
    <row r="31" spans="1:10">
      <c r="A31" s="19">
        <v>29</v>
      </c>
      <c r="B31" s="28">
        <v>1.4828855934443652</v>
      </c>
      <c r="C31" s="27">
        <f ca="1">OFFSET($B31,1*(ROWS(C$2:C31)-1),0)</f>
        <v>4.0635912179145635</v>
      </c>
      <c r="D31" s="26">
        <f>Ft!B$3*EXP(Ft!B$38*($A31-Ft!B$2)^2) +Ft!C$3*EXP(Ft!C$38*($A31-Ft!C$2)^2) + Ft!D$3*EXP(Ft!D$38*($A31-Ft!D$2)^2)+Ft!E$3*EXP(Ft!E$38*($A31-Ft!E$2)^2) +Ft!F$3*EXP(Ft!F$38*($A31-Ft!F$2)^2) + Ft!G$3*EXP(Ft!G$38*($A31-Ft!G$2)^2)</f>
        <v>6.4123687701888237</v>
      </c>
      <c r="E31" s="26">
        <f>Ft!B$3*EXP(Ft!B$38*($A31-Ft!B$2)^2)</f>
        <v>2.2457950206370318</v>
      </c>
      <c r="F31" s="26">
        <f>Ft!C$3*EXP(Ft!C$38*($A31-Ft!C$2)^2)</f>
        <v>3.6618358837897675</v>
      </c>
      <c r="G31" s="26">
        <f>Ft!D$3*EXP(Ft!D$38*($A31-Ft!D$2)^2)</f>
        <v>0.50445796378470975</v>
      </c>
      <c r="H31" s="26">
        <f>Ft!E$3*EXP(Ft!E$38*($A31-Ft!E$2)^2)</f>
        <v>2.7990197731501807E-4</v>
      </c>
      <c r="I31" s="26">
        <f>Ft!F$3*EXP(Ft!F$38*($A31-Ft!F$2)^2)</f>
        <v>2.1118793000668938E-189</v>
      </c>
      <c r="J31" s="26">
        <f>Ft!G$3*EXP(Ft!G$38*($A31-Ft!G$2)^2)</f>
        <v>0</v>
      </c>
    </row>
    <row r="32" spans="1:10">
      <c r="A32" s="19">
        <v>30</v>
      </c>
      <c r="B32" s="28">
        <v>1.5368713877024049</v>
      </c>
      <c r="C32" s="27">
        <f ca="1">OFFSET($B32,1*(ROWS(C$2:C32)-1),0)</f>
        <v>4.2823507860106531</v>
      </c>
      <c r="D32" s="26">
        <f>Ft!B$3*EXP(Ft!B$38*($A32-Ft!B$2)^2) +Ft!C$3*EXP(Ft!C$38*($A32-Ft!C$2)^2) + Ft!D$3*EXP(Ft!D$38*($A32-Ft!D$2)^2)+Ft!E$3*EXP(Ft!E$38*($A32-Ft!E$2)^2) +Ft!F$3*EXP(Ft!F$38*($A32-Ft!F$2)^2) + Ft!G$3*EXP(Ft!G$38*($A32-Ft!G$2)^2)</f>
        <v>6.5771458742623023</v>
      </c>
      <c r="E32" s="26">
        <f>Ft!B$3*EXP(Ft!B$38*($A32-Ft!B$2)^2)</f>
        <v>2.3381950513392167</v>
      </c>
      <c r="F32" s="26">
        <f>Ft!C$3*EXP(Ft!C$38*($A32-Ft!C$2)^2)</f>
        <v>3.7253628362300595</v>
      </c>
      <c r="G32" s="26">
        <f>Ft!D$3*EXP(Ft!D$38*($A32-Ft!D$2)^2)</f>
        <v>0.51330017297403296</v>
      </c>
      <c r="H32" s="26">
        <f>Ft!E$3*EXP(Ft!E$38*($A32-Ft!E$2)^2)</f>
        <v>2.8781371899392672E-4</v>
      </c>
      <c r="I32" s="26">
        <f>Ft!F$3*EXP(Ft!F$38*($A32-Ft!F$2)^2)</f>
        <v>5.0418048577450145E-189</v>
      </c>
      <c r="J32" s="26">
        <f>Ft!G$3*EXP(Ft!G$38*($A32-Ft!G$2)^2)</f>
        <v>0</v>
      </c>
    </row>
    <row r="33" spans="1:10">
      <c r="A33" s="19">
        <v>31</v>
      </c>
      <c r="B33" s="28">
        <v>1.5834185676403081</v>
      </c>
      <c r="C33" s="27">
        <f ca="1">OFFSET($B33,1*(ROWS(C$2:C33)-1),0)</f>
        <v>4.5695920522557572</v>
      </c>
      <c r="D33" s="26">
        <f>Ft!B$3*EXP(Ft!B$38*($A33-Ft!B$2)^2) +Ft!C$3*EXP(Ft!C$38*($A33-Ft!C$2)^2) + Ft!D$3*EXP(Ft!D$38*($A33-Ft!D$2)^2)+Ft!E$3*EXP(Ft!E$38*($A33-Ft!E$2)^2) +Ft!F$3*EXP(Ft!F$38*($A33-Ft!F$2)^2) + Ft!G$3*EXP(Ft!G$38*($A33-Ft!G$2)^2)</f>
        <v>6.7402638383708737</v>
      </c>
      <c r="E33" s="26">
        <f>Ft!B$3*EXP(Ft!B$38*($A33-Ft!B$2)^2)</f>
        <v>2.4282899008237293</v>
      </c>
      <c r="F33" s="26">
        <f>Ft!C$3*EXP(Ft!C$38*($A33-Ft!C$2)^2)</f>
        <v>3.7894028440810694</v>
      </c>
      <c r="G33" s="26">
        <f>Ft!D$3*EXP(Ft!D$38*($A33-Ft!D$2)^2)</f>
        <v>0.52227515485902909</v>
      </c>
      <c r="H33" s="26">
        <f>Ft!E$3*EXP(Ft!E$38*($A33-Ft!E$2)^2)</f>
        <v>2.959386070458888E-4</v>
      </c>
      <c r="I33" s="26">
        <f>Ft!F$3*EXP(Ft!F$38*($A33-Ft!F$2)^2)</f>
        <v>1.2026126473060312E-188</v>
      </c>
      <c r="J33" s="26">
        <f>Ft!G$3*EXP(Ft!G$38*($A33-Ft!G$2)^2)</f>
        <v>0</v>
      </c>
    </row>
    <row r="34" spans="1:10">
      <c r="A34" s="19">
        <v>32</v>
      </c>
      <c r="B34" s="28">
        <v>1.6308469684382203</v>
      </c>
      <c r="C34" s="27">
        <f ca="1">OFFSET($B34,1*(ROWS(C$2:C34)-1),0)</f>
        <v>4.7505049174518774</v>
      </c>
      <c r="D34" s="26">
        <f>Ft!B$3*EXP(Ft!B$38*($A34-Ft!B$2)^2) +Ft!C$3*EXP(Ft!C$38*($A34-Ft!C$2)^2) + Ft!D$3*EXP(Ft!D$38*($A34-Ft!D$2)^2)+Ft!E$3*EXP(Ft!E$38*($A34-Ft!E$2)^2) +Ft!F$3*EXP(Ft!F$38*($A34-Ft!F$2)^2) + Ft!G$3*EXP(Ft!G$38*($A34-Ft!G$2)^2)</f>
        <v>6.9011634124621342</v>
      </c>
      <c r="E34" s="26">
        <f>Ft!B$3*EXP(Ft!B$38*($A34-Ft!B$2)^2)</f>
        <v>2.5155300197657193</v>
      </c>
      <c r="F34" s="26">
        <f>Ft!C$3*EXP(Ft!C$38*($A34-Ft!C$2)^2)</f>
        <v>3.8539446498070133</v>
      </c>
      <c r="G34" s="26">
        <f>Ft!D$3*EXP(Ft!D$38*($A34-Ft!D$2)^2)</f>
        <v>0.53138446081486423</v>
      </c>
      <c r="H34" s="26">
        <f>Ft!E$3*EXP(Ft!E$38*($A34-Ft!E$2)^2)</f>
        <v>3.0428207453686573E-4</v>
      </c>
      <c r="I34" s="26">
        <f>Ft!F$3*EXP(Ft!F$38*($A34-Ft!F$2)^2)</f>
        <v>2.8660799217972919E-188</v>
      </c>
      <c r="J34" s="26">
        <f>Ft!G$3*EXP(Ft!G$38*($A34-Ft!G$2)^2)</f>
        <v>0</v>
      </c>
    </row>
    <row r="35" spans="1:10">
      <c r="A35" s="19">
        <v>33</v>
      </c>
      <c r="B35" s="28">
        <v>1.6962694846097008</v>
      </c>
      <c r="C35" s="27">
        <f ca="1">OFFSET($B35,1*(ROWS(C$2:C35)-1),0)</f>
        <v>4.9867759017905087</v>
      </c>
      <c r="D35" s="26">
        <f>Ft!B$3*EXP(Ft!B$38*($A35-Ft!B$2)^2) +Ft!C$3*EXP(Ft!C$38*($A35-Ft!C$2)^2) + Ft!D$3*EXP(Ft!D$38*($A35-Ft!D$2)^2)+Ft!E$3*EXP(Ft!E$38*($A35-Ft!E$2)^2) +Ft!F$3*EXP(Ft!F$38*($A35-Ft!F$2)^2) + Ft!G$3*EXP(Ft!G$38*($A35-Ft!G$2)^2)</f>
        <v>7.05928635858871</v>
      </c>
      <c r="E35" s="26">
        <f>Ft!B$3*EXP(Ft!B$38*($A35-Ft!B$2)^2)</f>
        <v>2.5993672895942748</v>
      </c>
      <c r="F35" s="26">
        <f>Ft!C$3*EXP(Ft!C$38*($A35-Ft!C$2)^2)</f>
        <v>3.9189765672904713</v>
      </c>
      <c r="G35" s="26">
        <f>Ft!D$3*EXP(Ft!D$38*($A35-Ft!D$2)^2)</f>
        <v>0.54062965201972168</v>
      </c>
      <c r="H35" s="26">
        <f>Ft!E$3*EXP(Ft!E$38*($A35-Ft!E$2)^2)</f>
        <v>3.1284968424192308E-4</v>
      </c>
      <c r="I35" s="26">
        <f>Ft!F$3*EXP(Ft!F$38*($A35-Ft!F$2)^2)</f>
        <v>6.8245437475871415E-188</v>
      </c>
      <c r="J35" s="26">
        <f>Ft!G$3*EXP(Ft!G$38*($A35-Ft!G$2)^2)</f>
        <v>0</v>
      </c>
    </row>
    <row r="36" spans="1:10">
      <c r="A36" s="19">
        <v>34</v>
      </c>
      <c r="B36" s="28">
        <v>1.8202667496568665</v>
      </c>
      <c r="C36" s="27">
        <f ca="1">OFFSET($B36,1*(ROWS(C$2:C36)-1),0)</f>
        <v>5.2369768814498627</v>
      </c>
      <c r="D36" s="26">
        <f>Ft!B$3*EXP(Ft!B$38*($A36-Ft!B$2)^2) +Ft!C$3*EXP(Ft!C$38*($A36-Ft!C$2)^2) + Ft!D$3*EXP(Ft!D$38*($A36-Ft!D$2)^2)+Ft!E$3*EXP(Ft!E$38*($A36-Ft!E$2)^2) +Ft!F$3*EXP(Ft!F$38*($A36-Ft!F$2)^2) + Ft!G$3*EXP(Ft!G$38*($A36-Ft!G$2)^2)</f>
        <v>7.2140810967920066</v>
      </c>
      <c r="E36" s="26">
        <f>Ft!B$3*EXP(Ft!B$38*($A36-Ft!B$2)^2)</f>
        <v>2.6792606684431872</v>
      </c>
      <c r="F36" s="26">
        <f>Ft!C$3*EXP(Ft!C$38*($A36-Ft!C$2)^2)</f>
        <v>3.9844864818594479</v>
      </c>
      <c r="G36" s="26">
        <f>Ft!D$3*EXP(Ft!D$38*($A36-Ft!D$2)^2)</f>
        <v>0.55001229935786866</v>
      </c>
      <c r="H36" s="26">
        <f>Ft!E$3*EXP(Ft!E$38*($A36-Ft!E$2)^2)</f>
        <v>3.2164713150251178E-4</v>
      </c>
      <c r="I36" s="26">
        <f>Ft!F$3*EXP(Ft!F$38*($A36-Ft!F$2)^2)</f>
        <v>1.6236100949719449E-187</v>
      </c>
      <c r="J36" s="26">
        <f>Ft!G$3*EXP(Ft!G$38*($A36-Ft!G$2)^2)</f>
        <v>0</v>
      </c>
    </row>
    <row r="37" spans="1:10">
      <c r="A37" s="19">
        <v>35</v>
      </c>
      <c r="B37" s="28">
        <v>1.9172634496794103</v>
      </c>
      <c r="C37" s="27">
        <f ca="1">OFFSET($B37,1*(ROWS(C$2:C37)-1),0)</f>
        <v>5.5561225587664183</v>
      </c>
      <c r="D37" s="26">
        <f>Ft!B$3*EXP(Ft!B$38*($A37-Ft!B$2)^2) +Ft!C$3*EXP(Ft!C$38*($A37-Ft!C$2)^2) + Ft!D$3*EXP(Ft!D$38*($A37-Ft!D$2)^2)+Ft!E$3*EXP(Ft!E$38*($A37-Ft!E$2)^2) +Ft!F$3*EXP(Ft!F$38*($A37-Ft!F$2)^2) + Ft!G$3*EXP(Ft!G$38*($A37-Ft!G$2)^2)</f>
        <v>7.3650084564154561</v>
      </c>
      <c r="E37" s="26">
        <f>Ft!B$3*EXP(Ft!B$38*($A37-Ft!B$2)^2)</f>
        <v>2.7546819421986521</v>
      </c>
      <c r="F37" s="26">
        <f>Ft!C$3*EXP(Ft!C$38*($A37-Ft!C$2)^2)</f>
        <v>4.0504618506507146</v>
      </c>
      <c r="G37" s="26">
        <f>Ft!D$3*EXP(Ft!D$38*($A37-Ft!D$2)^2)</f>
        <v>0.55953398331894943</v>
      </c>
      <c r="H37" s="26">
        <f>Ft!E$3*EXP(Ft!E$38*($A37-Ft!E$2)^2)</f>
        <v>3.3068024714044128E-4</v>
      </c>
      <c r="I37" s="26">
        <f>Ft!F$3*EXP(Ft!F$38*($A37-Ft!F$2)^2)</f>
        <v>3.8593366100310245E-187</v>
      </c>
      <c r="J37" s="26">
        <f>Ft!G$3*EXP(Ft!G$38*($A37-Ft!G$2)^2)</f>
        <v>0</v>
      </c>
    </row>
    <row r="38" spans="1:10">
      <c r="A38" s="19">
        <v>36</v>
      </c>
      <c r="B38" s="28">
        <v>2.0200351726556391</v>
      </c>
      <c r="C38" s="27">
        <f ca="1">OFFSET($B38,1*(ROWS(C$2:C38)-1),0)</f>
        <v>5.8714795976146945</v>
      </c>
      <c r="D38" s="26">
        <f>Ft!B$3*EXP(Ft!B$38*($A38-Ft!B$2)^2) +Ft!C$3*EXP(Ft!C$38*($A38-Ft!C$2)^2) + Ft!D$3*EXP(Ft!D$38*($A38-Ft!D$2)^2)+Ft!E$3*EXP(Ft!E$38*($A38-Ft!E$2)^2) +Ft!F$3*EXP(Ft!F$38*($A38-Ft!F$2)^2) + Ft!G$3*EXP(Ft!G$38*($A38-Ft!G$2)^2)</f>
        <v>7.5115474484853308</v>
      </c>
      <c r="E38" s="26">
        <f>Ft!B$3*EXP(Ft!B$38*($A38-Ft!B$2)^2)</f>
        <v>2.8251214962766675</v>
      </c>
      <c r="F38" s="26">
        <f>Ft!C$3*EXP(Ft!C$38*($A38-Ft!C$2)^2)</f>
        <v>4.1168897033147607</v>
      </c>
      <c r="G38" s="26">
        <f>Ft!D$3*EXP(Ft!D$38*($A38-Ft!D$2)^2)</f>
        <v>0.56919629389347259</v>
      </c>
      <c r="H38" s="26">
        <f>Ft!E$3*EXP(Ft!E$38*($A38-Ft!E$2)^2)</f>
        <v>3.3995500042949798E-4</v>
      </c>
      <c r="I38" s="26">
        <f>Ft!F$3*EXP(Ft!F$38*($A38-Ft!F$2)^2)</f>
        <v>9.165715462582672E-187</v>
      </c>
      <c r="J38" s="26">
        <f>Ft!G$3*EXP(Ft!G$38*($A38-Ft!G$2)^2)</f>
        <v>0</v>
      </c>
    </row>
    <row r="39" spans="1:10">
      <c r="A39" s="19">
        <v>37</v>
      </c>
      <c r="B39" s="28">
        <v>2.1161167334557831</v>
      </c>
      <c r="C39" s="27">
        <f ca="1">OFFSET($B39,1*(ROWS(C$2:C39)-1),0)</f>
        <v>6.178612119866159</v>
      </c>
      <c r="D39" s="26">
        <f>Ft!B$3*EXP(Ft!B$38*($A39-Ft!B$2)^2) +Ft!C$3*EXP(Ft!C$38*($A39-Ft!C$2)^2) + Ft!D$3*EXP(Ft!D$38*($A39-Ft!D$2)^2)+Ft!E$3*EXP(Ft!E$38*($A39-Ft!E$2)^2) +Ft!F$3*EXP(Ft!F$38*($A39-Ft!F$2)^2) + Ft!G$3*EXP(Ft!G$38*($A39-Ft!G$2)^2)</f>
        <v>7.6532009717294249</v>
      </c>
      <c r="E39" s="26">
        <f>Ft!B$3*EXP(Ft!B$38*($A39-Ft!B$2)^2)</f>
        <v>2.8900940206954506</v>
      </c>
      <c r="F39" s="26">
        <f>Ft!C$3*EXP(Ft!C$38*($A39-Ft!C$2)^2)</f>
        <v>4.1837566430674045</v>
      </c>
      <c r="G39" s="26">
        <f>Ft!D$3*EXP(Ft!D$38*($A39-Ft!D$2)^2)</f>
        <v>0.57900083046444462</v>
      </c>
      <c r="H39" s="26">
        <f>Ft!E$3*EXP(Ft!E$38*($A39-Ft!E$2)^2)</f>
        <v>3.494775021257017E-4</v>
      </c>
      <c r="I39" s="26">
        <f>Ft!F$3*EXP(Ft!F$38*($A39-Ft!F$2)^2)</f>
        <v>2.1749179534140233E-186</v>
      </c>
      <c r="J39" s="26">
        <f>Ft!G$3*EXP(Ft!G$38*($A39-Ft!G$2)^2)</f>
        <v>0</v>
      </c>
    </row>
    <row r="40" spans="1:10">
      <c r="A40" s="19">
        <v>38</v>
      </c>
      <c r="B40" s="28">
        <v>2.2068991824084492</v>
      </c>
      <c r="C40" s="27">
        <f ca="1">OFFSET($B40,1*(ROWS(C$2:C40)-1),0)</f>
        <v>6.4864274404777689</v>
      </c>
      <c r="D40" s="26">
        <f>Ft!B$3*EXP(Ft!B$38*($A40-Ft!B$2)^2) +Ft!C$3*EXP(Ft!C$38*($A40-Ft!C$2)^2) + Ft!D$3*EXP(Ft!D$38*($A40-Ft!D$2)^2)+Ft!E$3*EXP(Ft!E$38*($A40-Ft!E$2)^2) +Ft!F$3*EXP(Ft!F$38*($A40-Ft!F$2)^2) + Ft!G$3*EXP(Ft!G$38*($A40-Ft!G$2)^2)</f>
        <v>7.7895013634194763</v>
      </c>
      <c r="E40" s="26">
        <f>Ft!B$3*EXP(Ft!B$38*($A40-Ft!B$2)^2)</f>
        <v>2.9491440596239915</v>
      </c>
      <c r="F40" s="26">
        <f>Ft!C$3*EXP(Ft!C$38*($A40-Ft!C$2)^2)</f>
        <v>4.2510488480928093</v>
      </c>
      <c r="G40" s="26">
        <f>Ft!D$3*EXP(Ft!D$38*($A40-Ft!D$2)^2)</f>
        <v>0.58894920169511877</v>
      </c>
      <c r="H40" s="26">
        <f>Ft!E$3*EXP(Ft!E$38*($A40-Ft!E$2)^2)</f>
        <v>3.592540075571849E-4</v>
      </c>
      <c r="I40" s="26">
        <f>Ft!F$3*EXP(Ft!F$38*($A40-Ft!F$2)^2)</f>
        <v>5.1563475364674465E-186</v>
      </c>
      <c r="J40" s="26">
        <f>Ft!G$3*EXP(Ft!G$38*($A40-Ft!G$2)^2)</f>
        <v>0</v>
      </c>
    </row>
    <row r="41" spans="1:10">
      <c r="A41" s="19">
        <v>39</v>
      </c>
      <c r="B41" s="28">
        <v>2.2952077843763732</v>
      </c>
      <c r="C41" s="27">
        <f ca="1">OFFSET($B41,1*(ROWS(C$2:C41)-1),0)</f>
        <v>6.7686960378715071</v>
      </c>
      <c r="D41" s="26">
        <f>Ft!B$3*EXP(Ft!B$38*($A41-Ft!B$2)^2) +Ft!C$3*EXP(Ft!C$38*($A41-Ft!C$2)^2) + Ft!D$3*EXP(Ft!D$38*($A41-Ft!D$2)^2)+Ft!E$3*EXP(Ft!E$38*($A41-Ft!E$2)^2) +Ft!F$3*EXP(Ft!F$38*($A41-Ft!F$2)^2) + Ft!G$3*EXP(Ft!G$38*($A41-Ft!G$2)^2)</f>
        <v>7.9200157066029595</v>
      </c>
      <c r="E41" s="26">
        <f>Ft!B$3*EXP(Ft!B$38*($A41-Ft!B$2)^2)</f>
        <v>3.0018513169680161</v>
      </c>
      <c r="F41" s="26">
        <f>Ft!C$3*EXP(Ft!C$38*($A41-Ft!C$2)^2)</f>
        <v>4.3187520733023552</v>
      </c>
      <c r="G41" s="26">
        <f>Ft!D$3*EXP(Ft!D$38*($A41-Ft!D$2)^2)</f>
        <v>0.59904302541281418</v>
      </c>
      <c r="H41" s="26">
        <f>Ft!E$3*EXP(Ft!E$38*($A41-Ft!E$2)^2)</f>
        <v>3.6929091977470869E-4</v>
      </c>
      <c r="I41" s="26">
        <f>Ft!F$3*EXP(Ft!F$38*($A41-Ft!F$2)^2)</f>
        <v>1.2214178967929208E-185</v>
      </c>
      <c r="J41" s="26">
        <f>Ft!G$3*EXP(Ft!G$38*($A41-Ft!G$2)^2)</f>
        <v>0</v>
      </c>
    </row>
    <row r="42" spans="1:10">
      <c r="A42" s="19">
        <v>40</v>
      </c>
      <c r="B42" s="28">
        <v>2.371052613505924</v>
      </c>
      <c r="C42" s="27">
        <f ca="1">OFFSET($B42,1*(ROWS(C$2:C42)-1),0)</f>
        <v>7.0641778348127104</v>
      </c>
      <c r="D42" s="26">
        <f>Ft!B$3*EXP(Ft!B$38*($A42-Ft!B$2)^2) +Ft!C$3*EXP(Ft!C$38*($A42-Ft!C$2)^2) + Ft!D$3*EXP(Ft!D$38*($A42-Ft!D$2)^2)+Ft!E$3*EXP(Ft!E$38*($A42-Ft!E$2)^2) +Ft!F$3*EXP(Ft!F$38*($A42-Ft!F$2)^2) + Ft!G$3*EXP(Ft!G$38*($A42-Ft!G$2)^2)</f>
        <v>8.0443508074727728</v>
      </c>
      <c r="E42" s="26">
        <f>Ft!B$3*EXP(Ft!B$38*($A42-Ft!B$2)^2)</f>
        <v>3.0478356317377489</v>
      </c>
      <c r="F42" s="26">
        <f>Ft!C$3*EXP(Ft!C$38*($A42-Ft!C$2)^2)</f>
        <v>4.3868516524534877</v>
      </c>
      <c r="G42" s="26">
        <f>Ft!D$3*EXP(Ft!D$38*($A42-Ft!D$2)^2)</f>
        <v>0.60928392848877377</v>
      </c>
      <c r="H42" s="26">
        <f>Ft!E$3*EXP(Ft!E$38*($A42-Ft!E$2)^2)</f>
        <v>3.7959479276382081E-4</v>
      </c>
      <c r="I42" s="26">
        <f>Ft!F$3*EXP(Ft!F$38*($A42-Ft!F$2)^2)</f>
        <v>2.8907409378828439E-185</v>
      </c>
      <c r="J42" s="26">
        <f>Ft!G$3*EXP(Ft!G$38*($A42-Ft!G$2)^2)</f>
        <v>0</v>
      </c>
    </row>
    <row r="43" spans="1:10">
      <c r="A43" s="19">
        <v>41</v>
      </c>
      <c r="B43" s="28">
        <v>2.4336054109384122</v>
      </c>
      <c r="C43" s="27">
        <f ca="1">OFFSET($B43,1*(ROWS(C$2:C43)-1),0)</f>
        <v>7.3964267172944176</v>
      </c>
      <c r="D43" s="26">
        <f>Ft!B$3*EXP(Ft!B$38*($A43-Ft!B$2)^2) +Ft!C$3*EXP(Ft!C$38*($A43-Ft!C$2)^2) + Ft!D$3*EXP(Ft!D$38*($A43-Ft!D$2)^2)+Ft!E$3*EXP(Ft!E$38*($A43-Ft!E$2)^2) +Ft!F$3*EXP(Ft!F$38*($A43-Ft!F$2)^2) + Ft!G$3*EXP(Ft!G$38*($A43-Ft!G$2)^2)</f>
        <v>8.1621577606029998</v>
      </c>
      <c r="E43" s="26">
        <f>Ft!B$3*EXP(Ft!B$38*($A43-Ft!B$2)^2)</f>
        <v>3.086761540921914</v>
      </c>
      <c r="F43" s="26">
        <f>Ft!C$3*EXP(Ft!C$38*($A43-Ft!C$2)^2)</f>
        <v>4.4553325006323474</v>
      </c>
      <c r="G43" s="26">
        <f>Ft!D$3*EXP(Ft!D$38*($A43-Ft!D$2)^2)</f>
        <v>0.61967354671401875</v>
      </c>
      <c r="H43" s="26">
        <f>Ft!E$3*EXP(Ft!E$38*($A43-Ft!E$2)^2)</f>
        <v>3.9017233471970729E-4</v>
      </c>
      <c r="I43" s="26">
        <f>Ft!F$3*EXP(Ft!F$38*($A43-Ft!F$2)^2)</f>
        <v>6.8356034766096424E-185</v>
      </c>
      <c r="J43" s="26">
        <f>Ft!G$3*EXP(Ft!G$38*($A43-Ft!G$2)^2)</f>
        <v>0</v>
      </c>
    </row>
    <row r="44" spans="1:10">
      <c r="A44" s="19">
        <v>42</v>
      </c>
      <c r="B44" s="28">
        <v>2.4958820834738162</v>
      </c>
      <c r="C44" s="27">
        <f ca="1">OFFSET($B44,1*(ROWS(C$2:C44)-1),0)</f>
        <v>7.7141521591006494</v>
      </c>
      <c r="D44" s="26">
        <f>Ft!B$3*EXP(Ft!B$38*($A44-Ft!B$2)^2) +Ft!C$3*EXP(Ft!C$38*($A44-Ft!C$2)^2) + Ft!D$3*EXP(Ft!D$38*($A44-Ft!D$2)^2)+Ft!E$3*EXP(Ft!E$38*($A44-Ft!E$2)^2) +Ft!F$3*EXP(Ft!F$38*($A44-Ft!F$2)^2) + Ft!G$3*EXP(Ft!G$38*($A44-Ft!G$2)^2)</f>
        <v>8.2731360255039252</v>
      </c>
      <c r="E44" s="26">
        <f>Ft!B$3*EXP(Ft!B$38*($A44-Ft!B$2)^2)</f>
        <v>3.1183423533177463</v>
      </c>
      <c r="F44" s="26">
        <f>Ft!C$3*EXP(Ft!C$38*($A44-Ft!C$2)^2)</f>
        <v>4.5241791171036265</v>
      </c>
      <c r="G44" s="26">
        <f>Ft!D$3*EXP(Ft!D$38*($A44-Ft!D$2)^2)</f>
        <v>0.63021352467116576</v>
      </c>
      <c r="H44" s="26">
        <f>Ft!E$3*EXP(Ft!E$38*($A44-Ft!E$2)^2)</f>
        <v>4.0103041138576614E-4</v>
      </c>
      <c r="I44" s="26">
        <f>Ft!F$3*EXP(Ft!F$38*($A44-Ft!F$2)^2)</f>
        <v>1.6149807370987181E-184</v>
      </c>
      <c r="J44" s="26">
        <f>Ft!G$3*EXP(Ft!G$38*($A44-Ft!G$2)^2)</f>
        <v>0</v>
      </c>
    </row>
    <row r="45" spans="1:10">
      <c r="A45" s="19">
        <v>43</v>
      </c>
      <c r="B45" s="28">
        <v>2.5252779718411205</v>
      </c>
      <c r="C45" s="27">
        <f ca="1">OFFSET($B45,1*(ROWS(C$2:C45)-1),0)</f>
        <v>7.992637002132966</v>
      </c>
      <c r="D45" s="26">
        <f>Ft!B$3*EXP(Ft!B$38*($A45-Ft!B$2)^2) +Ft!C$3*EXP(Ft!C$38*($A45-Ft!C$2)^2) + Ft!D$3*EXP(Ft!D$38*($A45-Ft!D$2)^2)+Ft!E$3*EXP(Ft!E$38*($A45-Ft!E$2)^2) +Ft!F$3*EXP(Ft!F$38*($A45-Ft!F$2)^2) + Ft!G$3*EXP(Ft!G$38*($A45-Ft!G$2)^2)</f>
        <v>8.377036945323022</v>
      </c>
      <c r="E45" s="26">
        <f>Ft!B$3*EXP(Ft!B$38*($A45-Ft!B$2)^2)</f>
        <v>3.1423436651406096</v>
      </c>
      <c r="F45" s="26">
        <f>Ft!C$3*EXP(Ft!C$38*($A45-Ft!C$2)^2)</f>
        <v>4.593375588530785</v>
      </c>
      <c r="G45" s="26">
        <f>Ft!D$3*EXP(Ft!D$38*($A45-Ft!D$2)^2)</f>
        <v>0.64090551560217024</v>
      </c>
      <c r="H45" s="26">
        <f>Ft!E$3*EXP(Ft!E$38*($A45-Ft!E$2)^2)</f>
        <v>4.1217604945697665E-4</v>
      </c>
      <c r="I45" s="26">
        <f>Ft!F$3*EXP(Ft!F$38*($A45-Ft!F$2)^2)</f>
        <v>3.8122434478135121E-184</v>
      </c>
      <c r="J45" s="26">
        <f>Ft!G$3*EXP(Ft!G$38*($A45-Ft!G$2)^2)</f>
        <v>0</v>
      </c>
    </row>
    <row r="46" spans="1:10">
      <c r="A46" s="19">
        <v>44</v>
      </c>
      <c r="B46" s="28">
        <v>2.5921188377053568</v>
      </c>
      <c r="C46" s="27">
        <f ca="1">OFFSET($B46,1*(ROWS(C$2:C46)-1),0)</f>
        <v>8.2469018850756015</v>
      </c>
      <c r="D46" s="26">
        <f>Ft!B$3*EXP(Ft!B$38*($A46-Ft!B$2)^2) +Ft!C$3*EXP(Ft!C$38*($A46-Ft!C$2)^2) + Ft!D$3*EXP(Ft!D$38*($A46-Ft!D$2)^2)+Ft!E$3*EXP(Ft!E$38*($A46-Ft!E$2)^2) +Ft!F$3*EXP(Ft!F$38*($A46-Ft!F$2)^2) + Ft!G$3*EXP(Ft!G$38*($A46-Ft!G$2)^2)</f>
        <v>8.4736666474004476</v>
      </c>
      <c r="E46" s="26">
        <f>Ft!B$3*EXP(Ft!B$38*($A46-Ft!B$2)^2)</f>
        <v>3.158586257119079</v>
      </c>
      <c r="F46" s="26">
        <f>Ft!C$3*EXP(Ft!C$38*($A46-Ft!C$2)^2)</f>
        <v>4.6629055925693592</v>
      </c>
      <c r="G46" s="26">
        <f>Ft!D$3*EXP(Ft!D$38*($A46-Ft!D$2)^2)</f>
        <v>0.65175118127195952</v>
      </c>
      <c r="H46" s="26">
        <f>Ft!E$3*EXP(Ft!E$38*($A46-Ft!E$2)^2)</f>
        <v>4.236164400491096E-4</v>
      </c>
      <c r="I46" s="26">
        <f>Ft!F$3*EXP(Ft!F$38*($A46-Ft!F$2)^2)</f>
        <v>8.9911802079102618E-184</v>
      </c>
      <c r="J46" s="26">
        <f>Ft!G$3*EXP(Ft!G$38*($A46-Ft!G$2)^2)</f>
        <v>0</v>
      </c>
    </row>
    <row r="47" spans="1:10">
      <c r="A47" s="19">
        <v>45</v>
      </c>
      <c r="B47" s="28">
        <v>2.6680189673701591</v>
      </c>
      <c r="C47" s="27">
        <f ca="1">OFFSET($B47,1*(ROWS(C$2:C47)-1),0)</f>
        <v>8.5076102389976427</v>
      </c>
      <c r="D47" s="26">
        <f>Ft!B$3*EXP(Ft!B$38*($A47-Ft!B$2)^2) +Ft!C$3*EXP(Ft!C$38*($A47-Ft!C$2)^2) + Ft!D$3*EXP(Ft!D$38*($A47-Ft!D$2)^2)+Ft!E$3*EXP(Ft!E$38*($A47-Ft!E$2)^2) +Ft!F$3*EXP(Ft!F$38*($A47-Ft!F$2)^2) + Ft!G$3*EXP(Ft!G$38*($A47-Ft!G$2)^2)</f>
        <v>8.5628882755976843</v>
      </c>
      <c r="E47" s="26">
        <f>Ft!B$3*EXP(Ft!B$38*($A47-Ft!B$2)^2)</f>
        <v>3.1669483229917499</v>
      </c>
      <c r="F47" s="26">
        <f>Ft!C$3*EXP(Ft!C$38*($A47-Ft!C$2)^2)</f>
        <v>4.7327524018357767</v>
      </c>
      <c r="G47" s="26">
        <f>Ft!D$3*EXP(Ft!D$38*($A47-Ft!D$2)^2)</f>
        <v>0.662752191827922</v>
      </c>
      <c r="H47" s="26">
        <f>Ft!E$3*EXP(Ft!E$38*($A47-Ft!E$2)^2)</f>
        <v>4.353589422349029E-4</v>
      </c>
      <c r="I47" s="26">
        <f>Ft!F$3*EXP(Ft!F$38*($A47-Ft!F$2)^2)</f>
        <v>2.1187297913116596E-183</v>
      </c>
      <c r="J47" s="26">
        <f>Ft!G$3*EXP(Ft!G$38*($A47-Ft!G$2)^2)</f>
        <v>0</v>
      </c>
    </row>
    <row r="48" spans="1:10">
      <c r="A48" s="19">
        <v>46</v>
      </c>
      <c r="B48" s="28">
        <v>2.7603583577131872</v>
      </c>
      <c r="C48" s="27">
        <f ca="1">OFFSET($B48,1*(ROWS(C$2:C48)-1),0)</f>
        <v>8.7885767445847591</v>
      </c>
      <c r="D48" s="26">
        <f>Ft!B$3*EXP(Ft!B$38*($A48-Ft!B$2)^2) +Ft!C$3*EXP(Ft!C$38*($A48-Ft!C$2)^2) + Ft!D$3*EXP(Ft!D$38*($A48-Ft!D$2)^2)+Ft!E$3*EXP(Ft!E$38*($A48-Ft!E$2)^2) +Ft!F$3*EXP(Ft!F$38*($A48-Ft!F$2)^2) + Ft!G$3*EXP(Ft!G$38*($A48-Ft!G$2)^2)</f>
        <v>8.6446235156401858</v>
      </c>
      <c r="E48" s="26">
        <f>Ft!B$3*EXP(Ft!B$38*($A48-Ft!B$2)^2)</f>
        <v>3.1673669906446604</v>
      </c>
      <c r="F48" s="26">
        <f>Ft!C$3*EXP(Ft!C$38*($A48-Ft!C$2)^2)</f>
        <v>4.8028988882536581</v>
      </c>
      <c r="G48" s="26">
        <f>Ft!D$3*EXP(Ft!D$38*($A48-Ft!D$2)^2)</f>
        <v>0.67391022565521874</v>
      </c>
      <c r="H48" s="26">
        <f>Ft!E$3*EXP(Ft!E$38*($A48-Ft!E$2)^2)</f>
        <v>4.4741108664826424E-4</v>
      </c>
      <c r="I48" s="26">
        <f>Ft!F$3*EXP(Ft!F$38*($A48-Ft!F$2)^2)</f>
        <v>4.9883537009253916E-183</v>
      </c>
      <c r="J48" s="26">
        <f>Ft!G$3*EXP(Ft!G$38*($A48-Ft!G$2)^2)</f>
        <v>0</v>
      </c>
    </row>
    <row r="49" spans="1:10">
      <c r="A49" s="19">
        <v>47</v>
      </c>
      <c r="B49" s="28">
        <v>2.8621251566917181</v>
      </c>
      <c r="C49" s="27">
        <f ca="1">OFFSET($B49,1*(ROWS(C$2:C49)-1),0)</f>
        <v>9.1133830614483031</v>
      </c>
      <c r="D49" s="26">
        <f>Ft!B$3*EXP(Ft!B$38*($A49-Ft!B$2)^2) +Ft!C$3*EXP(Ft!C$38*($A49-Ft!C$2)^2) + Ft!D$3*EXP(Ft!D$38*($A49-Ft!D$2)^2)+Ft!E$3*EXP(Ft!E$38*($A49-Ft!E$2)^2) +Ft!F$3*EXP(Ft!F$38*($A49-Ft!F$2)^2) + Ft!G$3*EXP(Ft!G$38*($A49-Ft!G$2)^2)</f>
        <v>8.7188533869032021</v>
      </c>
      <c r="E49" s="26">
        <f>Ft!B$3*EXP(Ft!B$38*($A49-Ft!B$2)^2)</f>
        <v>3.1598391093168905</v>
      </c>
      <c r="F49" s="26">
        <f>Ft!C$3*EXP(Ft!C$38*($A49-Ft!C$2)^2)</f>
        <v>4.8733275277792734</v>
      </c>
      <c r="G49" s="26">
        <f>Ft!D$3*EXP(Ft!D$38*($A49-Ft!D$2)^2)</f>
        <v>0.68522696922788107</v>
      </c>
      <c r="H49" s="26">
        <f>Ft!E$3*EXP(Ft!E$38*($A49-Ft!E$2)^2)</f>
        <v>4.5978057915763333E-4</v>
      </c>
      <c r="I49" s="26">
        <f>Ft!F$3*EXP(Ft!F$38*($A49-Ft!F$2)^2)</f>
        <v>1.1734421976756214E-182</v>
      </c>
      <c r="J49" s="26">
        <f>Ft!G$3*EXP(Ft!G$38*($A49-Ft!G$2)^2)</f>
        <v>0</v>
      </c>
    </row>
    <row r="50" spans="1:10">
      <c r="A50" s="19">
        <v>48</v>
      </c>
      <c r="B50" s="28">
        <v>2.9508699050124108</v>
      </c>
      <c r="C50" s="27">
        <f ca="1">OFFSET($B50,1*(ROWS(C$2:C50)-1),0)</f>
        <v>9.4320488532431455</v>
      </c>
      <c r="D50" s="26">
        <f>Ft!B$3*EXP(Ft!B$38*($A50-Ft!B$2)^2) +Ft!C$3*EXP(Ft!C$38*($A50-Ft!C$2)^2) + Ft!D$3*EXP(Ft!D$38*($A50-Ft!D$2)^2)+Ft!E$3*EXP(Ft!E$38*($A50-Ft!E$2)^2) +Ft!F$3*EXP(Ft!F$38*($A50-Ft!F$2)^2) + Ft!G$3*EXP(Ft!G$38*($A50-Ft!G$2)^2)</f>
        <v>8.7856182868545449</v>
      </c>
      <c r="E50" s="26">
        <f>Ft!B$3*EXP(Ft!B$38*($A50-Ft!B$2)^2)</f>
        <v>3.1444212890869054</v>
      </c>
      <c r="F50" s="26">
        <f>Ft!C$3*EXP(Ft!C$38*($A50-Ft!C$2)^2)</f>
        <v>4.9440204055073629</v>
      </c>
      <c r="G50" s="26">
        <f>Ft!D$3*EXP(Ft!D$38*($A50-Ft!D$2)^2)</f>
        <v>0.69670411695566681</v>
      </c>
      <c r="H50" s="26">
        <f>Ft!E$3*EXP(Ft!E$38*($A50-Ft!E$2)^2)</f>
        <v>4.7247530460961854E-4</v>
      </c>
      <c r="I50" s="26">
        <f>Ft!F$3*EXP(Ft!F$38*($A50-Ft!F$2)^2)</f>
        <v>2.7579663247948501E-182</v>
      </c>
      <c r="J50" s="26">
        <f>Ft!G$3*EXP(Ft!G$38*($A50-Ft!G$2)^2)</f>
        <v>0</v>
      </c>
    </row>
    <row r="51" spans="1:10">
      <c r="A51" s="19">
        <v>49</v>
      </c>
      <c r="B51" s="28">
        <v>3.0509638103258112</v>
      </c>
      <c r="C51" s="27">
        <f ca="1">OFFSET($B51,1*(ROWS(C$2:C51)-1),0)</f>
        <v>9.7876246534981419</v>
      </c>
      <c r="D51" s="26">
        <f>Ft!B$3*EXP(Ft!B$38*($A51-Ft!B$2)^2) +Ft!C$3*EXP(Ft!C$38*($A51-Ft!C$2)^2) + Ft!D$3*EXP(Ft!D$38*($A51-Ft!D$2)^2)+Ft!E$3*EXP(Ft!E$38*($A51-Ft!E$2)^2) +Ft!F$3*EXP(Ft!F$38*($A51-Ft!F$2)^2) + Ft!G$3*EXP(Ft!G$38*($A51-Ft!G$2)^2)</f>
        <v>8.845017287462893</v>
      </c>
      <c r="E51" s="26">
        <f>Ft!B$3*EXP(Ft!B$38*($A51-Ft!B$2)^2)</f>
        <v>3.1212291919474322</v>
      </c>
      <c r="F51" s="26">
        <f>Ft!C$3*EXP(Ft!C$38*($A51-Ft!C$2)^2)</f>
        <v>5.0149592211581817</v>
      </c>
      <c r="G51" s="26">
        <f>Ft!D$3*EXP(Ft!D$38*($A51-Ft!D$2)^2)</f>
        <v>0.70834337102663492</v>
      </c>
      <c r="H51" s="26">
        <f>Ft!E$3*EXP(Ft!E$38*($A51-Ft!E$2)^2)</f>
        <v>4.8550333064405513E-4</v>
      </c>
      <c r="I51" s="26">
        <f>Ft!F$3*EXP(Ft!F$38*($A51-Ft!F$2)^2)</f>
        <v>6.4764797500263544E-182</v>
      </c>
      <c r="J51" s="26">
        <f>Ft!G$3*EXP(Ft!G$38*($A51-Ft!G$2)^2)</f>
        <v>0</v>
      </c>
    </row>
    <row r="52" spans="1:10">
      <c r="A52" s="19">
        <v>50</v>
      </c>
      <c r="B52" s="28">
        <v>3.1501615817441859</v>
      </c>
      <c r="C52" s="27">
        <f ca="1">OFFSET($B52,1*(ROWS(C$2:C52)-1),0)</f>
        <v>10.099000759053354</v>
      </c>
      <c r="D52" s="26">
        <f>Ft!B$3*EXP(Ft!B$38*($A52-Ft!B$2)^2) +Ft!C$3*EXP(Ft!C$38*($A52-Ft!C$2)^2) + Ft!D$3*EXP(Ft!D$38*($A52-Ft!D$2)^2)+Ft!E$3*EXP(Ft!E$38*($A52-Ft!E$2)^2) +Ft!F$3*EXP(Ft!F$38*($A52-Ft!F$2)^2) + Ft!G$3*EXP(Ft!G$38*($A52-Ft!G$2)^2)</f>
        <v>8.8972066959906311</v>
      </c>
      <c r="E52" s="26">
        <f>Ft!B$3*EXP(Ft!B$38*($A52-Ft!B$2)^2)</f>
        <v>3.0904360868874385</v>
      </c>
      <c r="F52" s="26">
        <f>Ft!C$3*EXP(Ft!C$38*($A52-Ft!C$2)^2)</f>
        <v>5.0861252949461946</v>
      </c>
      <c r="G52" s="26">
        <f>Ft!D$3*EXP(Ft!D$38*($A52-Ft!D$2)^2)</f>
        <v>0.7201464412454166</v>
      </c>
      <c r="H52" s="26">
        <f>Ft!E$3*EXP(Ft!E$38*($A52-Ft!E$2)^2)</f>
        <v>4.9887291158162911E-4</v>
      </c>
      <c r="I52" s="26">
        <f>Ft!F$3*EXP(Ft!F$38*($A52-Ft!F$2)^2)</f>
        <v>1.519539032524598E-181</v>
      </c>
      <c r="J52" s="26">
        <f>Ft!G$3*EXP(Ft!G$38*($A52-Ft!G$2)^2)</f>
        <v>0</v>
      </c>
    </row>
    <row r="53" spans="1:10">
      <c r="A53" s="19">
        <v>51</v>
      </c>
      <c r="B53" s="28">
        <v>3.227246970057422</v>
      </c>
      <c r="C53" s="27">
        <f ca="1">OFFSET($B53,1*(ROWS(C$2:C53)-1),0)</f>
        <v>10.439505247681268</v>
      </c>
      <c r="D53" s="26">
        <f>Ft!B$3*EXP(Ft!B$38*($A53-Ft!B$2)^2) +Ft!C$3*EXP(Ft!C$38*($A53-Ft!C$2)^2) + Ft!D$3*EXP(Ft!D$38*($A53-Ft!D$2)^2)+Ft!E$3*EXP(Ft!E$38*($A53-Ft!E$2)^2) +Ft!F$3*EXP(Ft!F$38*($A53-Ft!F$2)^2) + Ft!G$3*EXP(Ft!G$38*($A53-Ft!G$2)^2)</f>
        <v>8.9423979054211333</v>
      </c>
      <c r="E53" s="26">
        <f>Ft!B$3*EXP(Ft!B$38*($A53-Ft!B$2)^2)</f>
        <v>3.0522706942311544</v>
      </c>
      <c r="F53" s="26">
        <f>Ft!C$3*EXP(Ft!C$38*($A53-Ft!C$2)^2)</f>
        <v>5.1574995738304485</v>
      </c>
      <c r="G53" s="26">
        <f>Ft!D$3*EXP(Ft!D$38*($A53-Ft!D$2)^2)</f>
        <v>0.73211504486714574</v>
      </c>
      <c r="H53" s="26">
        <f>Ft!E$3*EXP(Ft!E$38*($A53-Ft!E$2)^2)</f>
        <v>5.1259249238524019E-4</v>
      </c>
      <c r="I53" s="26">
        <f>Ft!F$3*EXP(Ft!F$38*($A53-Ft!F$2)^2)</f>
        <v>3.5621114562744998E-181</v>
      </c>
      <c r="J53" s="26">
        <f>Ft!G$3*EXP(Ft!G$38*($A53-Ft!G$2)^2)</f>
        <v>0</v>
      </c>
    </row>
    <row r="54" spans="1:10">
      <c r="A54" s="19">
        <v>52</v>
      </c>
      <c r="B54" s="28">
        <v>3.3243625965870365</v>
      </c>
      <c r="C54" s="27">
        <f ca="1">OFFSET($B54,1*(ROWS(C$2:C54)-1),0)</f>
        <v>10.802473385059983</v>
      </c>
      <c r="D54" s="26">
        <f>Ft!B$3*EXP(Ft!B$38*($A54-Ft!B$2)^2) +Ft!C$3*EXP(Ft!C$38*($A54-Ft!C$2)^2) + Ft!D$3*EXP(Ft!D$38*($A54-Ft!D$2)^2)+Ft!E$3*EXP(Ft!E$38*($A54-Ft!E$2)^2) +Ft!F$3*EXP(Ft!F$38*($A54-Ft!F$2)^2) + Ft!G$3*EXP(Ft!G$38*($A54-Ft!G$2)^2)</f>
        <v>8.9808545720344952</v>
      </c>
      <c r="E54" s="26">
        <f>Ft!B$3*EXP(Ft!B$38*($A54-Ft!B$2)^2)</f>
        <v>3.0070143567485452</v>
      </c>
      <c r="F54" s="26">
        <f>Ft!C$3*EXP(Ft!C$38*($A54-Ft!C$2)^2)</f>
        <v>5.2290626381462317</v>
      </c>
      <c r="G54" s="26">
        <f>Ft!D$3*EXP(Ft!D$38*($A54-Ft!D$2)^2)</f>
        <v>0.74425090642702185</v>
      </c>
      <c r="H54" s="26">
        <f>Ft!E$3*EXP(Ft!E$38*($A54-Ft!E$2)^2)</f>
        <v>5.2667071269627106E-4</v>
      </c>
      <c r="I54" s="26">
        <f>Ft!F$3*EXP(Ft!F$38*($A54-Ft!F$2)^2)</f>
        <v>8.343071076381299E-181</v>
      </c>
      <c r="J54" s="26">
        <f>Ft!G$3*EXP(Ft!G$38*($A54-Ft!G$2)^2)</f>
        <v>0</v>
      </c>
    </row>
    <row r="55" spans="1:10">
      <c r="A55" s="19">
        <v>53</v>
      </c>
      <c r="B55" s="28">
        <v>3.43401787253012</v>
      </c>
      <c r="C55" s="27">
        <f ca="1">OFFSET($B55,1*(ROWS(C$2:C55)-1),0)</f>
        <v>11.163340480703027</v>
      </c>
      <c r="D55" s="26">
        <f>Ft!B$3*EXP(Ft!B$38*($A55-Ft!B$2)^2) +Ft!C$3*EXP(Ft!C$38*($A55-Ft!C$2)^2) + Ft!D$3*EXP(Ft!D$38*($A55-Ft!D$2)^2)+Ft!E$3*EXP(Ft!E$38*($A55-Ft!E$2)^2) +Ft!F$3*EXP(Ft!F$38*($A55-Ft!F$2)^2) + Ft!G$3*EXP(Ft!G$38*($A55-Ft!G$2)^2)</f>
        <v>9.012889169071121</v>
      </c>
      <c r="E55" s="26">
        <f>Ft!B$3*EXP(Ft!B$38*($A55-Ft!B$2)^2)</f>
        <v>2.9549975864775049</v>
      </c>
      <c r="F55" s="26">
        <f>Ft!C$3*EXP(Ft!C$38*($A55-Ft!C$2)^2)</f>
        <v>5.3007947086171949</v>
      </c>
      <c r="G55" s="26">
        <f>Ft!D$3*EXP(Ft!D$38*($A55-Ft!D$2)^2)</f>
        <v>0.75655575756547333</v>
      </c>
      <c r="H55" s="26">
        <f>Ft!E$3*EXP(Ft!E$38*($A55-Ft!E$2)^2)</f>
        <v>5.4111641094697254E-4</v>
      </c>
      <c r="I55" s="26">
        <f>Ft!F$3*EXP(Ft!F$38*($A55-Ft!F$2)^2)</f>
        <v>1.9523927137335998E-180</v>
      </c>
      <c r="J55" s="26">
        <f>Ft!G$3*EXP(Ft!G$38*($A55-Ft!G$2)^2)</f>
        <v>0</v>
      </c>
    </row>
    <row r="56" spans="1:10">
      <c r="A56" s="19">
        <v>54</v>
      </c>
      <c r="B56" s="28">
        <v>3.5637574580262026</v>
      </c>
      <c r="C56" s="27">
        <f ca="1">OFFSET($B56,1*(ROWS(C$2:C56)-1),0)</f>
        <v>11.52182957950356</v>
      </c>
      <c r="D56" s="26">
        <f>Ft!B$3*EXP(Ft!B$38*($A56-Ft!B$2)^2) +Ft!C$3*EXP(Ft!C$38*($A56-Ft!C$2)^2) + Ft!D$3*EXP(Ft!D$38*($A56-Ft!D$2)^2)+Ft!E$3*EXP(Ft!E$38*($A56-Ft!E$2)^2) +Ft!F$3*EXP(Ft!F$38*($A56-Ft!F$2)^2) + Ft!G$3*EXP(Ft!G$38*($A56-Ft!G$2)^2)</f>
        <v>9.0388589757603945</v>
      </c>
      <c r="E56" s="26">
        <f>Ft!B$3*EXP(Ft!B$38*($A56-Ft!B$2)^2)</f>
        <v>2.8965960465362466</v>
      </c>
      <c r="F56" s="26">
        <f>Ft!C$3*EXP(Ft!C$38*($A56-Ft!C$2)^2)</f>
        <v>5.3726756537467004</v>
      </c>
      <c r="G56" s="26">
        <f>Ft!D$3*EXP(Ft!D$38*($A56-Ft!D$2)^2)</f>
        <v>0.76903133684889913</v>
      </c>
      <c r="H56" s="26">
        <f>Ft!E$3*EXP(Ft!E$38*($A56-Ft!E$2)^2)</f>
        <v>5.5593862855015351E-4</v>
      </c>
      <c r="I56" s="26">
        <f>Ft!F$3*EXP(Ft!F$38*($A56-Ft!F$2)^2)</f>
        <v>4.5648993720382754E-180</v>
      </c>
      <c r="J56" s="26">
        <f>Ft!G$3*EXP(Ft!G$38*($A56-Ft!G$2)^2)</f>
        <v>0</v>
      </c>
    </row>
    <row r="57" spans="1:10">
      <c r="A57" s="19">
        <v>55</v>
      </c>
      <c r="B57" s="28">
        <v>3.6903880591168274</v>
      </c>
      <c r="C57" s="27">
        <f ca="1">OFFSET($B57,1*(ROWS(C$2:C57)-1),0)</f>
        <v>11.896485039986999</v>
      </c>
      <c r="D57" s="26">
        <f>Ft!B$3*EXP(Ft!B$38*($A57-Ft!B$2)^2) +Ft!C$3*EXP(Ft!C$38*($A57-Ft!C$2)^2) + Ft!D$3*EXP(Ft!D$38*($A57-Ft!D$2)^2)+Ft!E$3*EXP(Ft!E$38*($A57-Ft!E$2)^2) +Ft!F$3*EXP(Ft!F$38*($A57-Ft!F$2)^2) + Ft!G$3*EXP(Ft!G$38*($A57-Ft!G$2)^2)</f>
        <v>9.059161570022404</v>
      </c>
      <c r="E57" s="26">
        <f>Ft!B$3*EXP(Ft!B$38*($A57-Ft!B$2)^2)</f>
        <v>2.8322260362355745</v>
      </c>
      <c r="F57" s="26">
        <f>Ft!C$3*EXP(Ft!C$38*($A57-Ft!C$2)^2)</f>
        <v>5.4446849975867071</v>
      </c>
      <c r="G57" s="26">
        <f>Ft!D$3*EXP(Ft!D$38*($A57-Ft!D$2)^2)</f>
        <v>0.78167938958595595</v>
      </c>
      <c r="H57" s="26">
        <f>Ft!E$3*EXP(Ft!E$38*($A57-Ft!E$2)^2)</f>
        <v>5.711466141674166E-4</v>
      </c>
      <c r="I57" s="26">
        <f>Ft!F$3*EXP(Ft!F$38*($A57-Ft!F$2)^2)</f>
        <v>1.0663948379994799E-179</v>
      </c>
      <c r="J57" s="26">
        <f>Ft!G$3*EXP(Ft!G$38*($A57-Ft!G$2)^2)</f>
        <v>0</v>
      </c>
    </row>
    <row r="58" spans="1:10">
      <c r="A58" s="19">
        <v>56</v>
      </c>
      <c r="B58" s="28">
        <v>3.8172766562090885</v>
      </c>
      <c r="C58" s="27">
        <f ca="1">OFFSET($B58,1*(ROWS(C$2:C58)-1),0)</f>
        <v>12.230686157111478</v>
      </c>
      <c r="D58" s="26">
        <f>Ft!B$3*EXP(Ft!B$38*($A58-Ft!B$2)^2) +Ft!C$3*EXP(Ft!C$38*($A58-Ft!C$2)^2) + Ft!D$3*EXP(Ft!D$38*($A58-Ft!D$2)^2)+Ft!E$3*EXP(Ft!E$38*($A58-Ft!E$2)^2) +Ft!F$3*EXP(Ft!F$38*($A58-Ft!F$2)^2) + Ft!G$3*EXP(Ft!G$38*($A58-Ft!G$2)^2)</f>
        <v>9.0742299006901703</v>
      </c>
      <c r="E58" s="26">
        <f>Ft!B$3*EXP(Ft!B$38*($A58-Ft!B$2)^2)</f>
        <v>2.7623395553406547</v>
      </c>
      <c r="F58" s="26">
        <f>Ft!C$3*EXP(Ft!C$38*($A58-Ft!C$2)^2)</f>
        <v>5.516801927882093</v>
      </c>
      <c r="G58" s="26">
        <f>Ft!D$3*EXP(Ft!D$38*($A58-Ft!D$2)^2)</f>
        <v>0.79450166763936414</v>
      </c>
      <c r="H58" s="26">
        <f>Ft!E$3*EXP(Ft!E$38*($A58-Ft!E$2)^2)</f>
        <v>5.8674982805714771E-4</v>
      </c>
      <c r="I58" s="26">
        <f>Ft!F$3*EXP(Ft!F$38*($A58-Ft!F$2)^2)</f>
        <v>2.489015810704221E-179</v>
      </c>
      <c r="J58" s="26">
        <f>Ft!G$3*EXP(Ft!G$38*($A58-Ft!G$2)^2)</f>
        <v>0</v>
      </c>
    </row>
    <row r="59" spans="1:10">
      <c r="A59" s="19">
        <v>57</v>
      </c>
      <c r="B59" s="28">
        <v>3.9466178352534484</v>
      </c>
      <c r="C59" s="27">
        <f ca="1">OFFSET($B59,1*(ROWS(C$2:C59)-1),0)</f>
        <v>12.610685455559974</v>
      </c>
      <c r="D59" s="26">
        <f>Ft!B$3*EXP(Ft!B$38*($A59-Ft!B$2)^2) +Ft!C$3*EXP(Ft!C$38*($A59-Ft!C$2)^2) + Ft!D$3*EXP(Ft!D$38*($A59-Ft!D$2)^2)+Ft!E$3*EXP(Ft!E$38*($A59-Ft!E$2)^2) +Ft!F$3*EXP(Ft!F$38*($A59-Ft!F$2)^2) + Ft!G$3*EXP(Ft!G$38*($A59-Ft!G$2)^2)</f>
        <v>9.0845270210036357</v>
      </c>
      <c r="E59" s="26">
        <f>Ft!B$3*EXP(Ft!B$38*($A59-Ft!B$2)^2)</f>
        <v>2.6874190292360733</v>
      </c>
      <c r="F59" s="26">
        <f>Ft!C$3*EXP(Ft!C$38*($A59-Ft!C$2)^2)</f>
        <v>5.5890053045878458</v>
      </c>
      <c r="G59" s="26">
        <f>Ft!D$3*EXP(Ft!D$38*($A59-Ft!D$2)^2)</f>
        <v>0.80749992923321412</v>
      </c>
      <c r="H59" s="26">
        <f>Ft!E$3*EXP(Ft!E$38*($A59-Ft!E$2)^2)</f>
        <v>6.0275794650353266E-4</v>
      </c>
      <c r="I59" s="26">
        <f>Ft!F$3*EXP(Ft!F$38*($A59-Ft!F$2)^2)</f>
        <v>5.8044366011826668E-179</v>
      </c>
      <c r="J59" s="26">
        <f>Ft!G$3*EXP(Ft!G$38*($A59-Ft!G$2)^2)</f>
        <v>0</v>
      </c>
    </row>
    <row r="60" spans="1:10">
      <c r="A60" s="19">
        <v>58</v>
      </c>
      <c r="B60" s="28">
        <v>4.0635912179145635</v>
      </c>
      <c r="C60" s="27">
        <f ca="1">OFFSET($B60,1*(ROWS(C$2:C60)-1),0)</f>
        <v>12.96845858955993</v>
      </c>
      <c r="D60" s="26">
        <f>Ft!B$3*EXP(Ft!B$38*($A60-Ft!B$2)^2) +Ft!C$3*EXP(Ft!C$38*($A60-Ft!C$2)^2) + Ft!D$3*EXP(Ft!D$38*($A60-Ft!D$2)^2)+Ft!E$3*EXP(Ft!E$38*($A60-Ft!E$2)^2) +Ft!F$3*EXP(Ft!F$38*($A60-Ft!F$2)^2) + Ft!G$3*EXP(Ft!G$38*($A60-Ft!G$2)^2)</f>
        <v>9.0905405692931467</v>
      </c>
      <c r="E60" s="26">
        <f>Ft!B$3*EXP(Ft!B$38*($A60-Ft!B$2)^2)</f>
        <v>2.6079717809149536</v>
      </c>
      <c r="F60" s="26">
        <f>Ft!C$3*EXP(Ft!C$38*($A60-Ft!C$2)^2)</f>
        <v>5.6612736687561256</v>
      </c>
      <c r="G60" s="26">
        <f>Ft!D$3*EXP(Ft!D$38*($A60-Ft!D$2)^2)</f>
        <v>0.82067593875573974</v>
      </c>
      <c r="H60" s="26">
        <f>Ft!E$3*EXP(Ft!E$38*($A60-Ft!E$2)^2)</f>
        <v>6.1918086632784582E-4</v>
      </c>
      <c r="I60" s="26">
        <f>Ft!F$3*EXP(Ft!F$38*($A60-Ft!F$2)^2)</f>
        <v>1.3524315204688939E-178</v>
      </c>
      <c r="J60" s="26">
        <f>Ft!G$3*EXP(Ft!G$38*($A60-Ft!G$2)^2)</f>
        <v>0</v>
      </c>
    </row>
    <row r="61" spans="1:10">
      <c r="A61" s="19">
        <v>59</v>
      </c>
      <c r="B61" s="28">
        <v>4.1554433538397859</v>
      </c>
      <c r="C61" s="27">
        <f ca="1">OFFSET($B61,1*(ROWS(C$2:C61)-1),0)</f>
        <v>13.328736845980472</v>
      </c>
      <c r="D61" s="26">
        <f>Ft!B$3*EXP(Ft!B$38*($A61-Ft!B$2)^2) +Ft!C$3*EXP(Ft!C$38*($A61-Ft!C$2)^2) + Ft!D$3*EXP(Ft!D$38*($A61-Ft!D$2)^2)+Ft!E$3*EXP(Ft!E$38*($A61-Ft!E$2)^2) +Ft!F$3*EXP(Ft!F$38*($A61-Ft!F$2)^2) + Ft!G$3*EXP(Ft!G$38*($A61-Ft!G$2)^2)</f>
        <v>9.0927770851430392</v>
      </c>
      <c r="E61" s="26">
        <f>Ft!B$3*EXP(Ft!B$38*($A61-Ft!B$2)^2)</f>
        <v>2.5245243380862386</v>
      </c>
      <c r="F61" s="26">
        <f>Ft!C$3*EXP(Ft!C$38*($A61-Ft!C$2)^2)</f>
        <v>5.7335852517897745</v>
      </c>
      <c r="G61" s="26">
        <f>Ft!D$3*EXP(Ft!D$38*($A61-Ft!D$2)^2)</f>
        <v>0.83403146655754179</v>
      </c>
      <c r="H61" s="26">
        <f>Ft!E$3*EXP(Ft!E$38*($A61-Ft!E$2)^2)</f>
        <v>6.36028709483299E-4</v>
      </c>
      <c r="I61" s="26">
        <f>Ft!F$3*EXP(Ft!F$38*($A61-Ft!F$2)^2)</f>
        <v>3.1484245610186608E-178</v>
      </c>
      <c r="J61" s="26">
        <f>Ft!G$3*EXP(Ft!G$38*($A61-Ft!G$2)^2)</f>
        <v>0</v>
      </c>
    </row>
    <row r="62" spans="1:10">
      <c r="A62" s="19">
        <v>60</v>
      </c>
      <c r="B62" s="28">
        <v>4.2823507860106531</v>
      </c>
      <c r="C62" s="27">
        <f ca="1">OFFSET($B62,1*(ROWS(C$2:C62)-1),0)</f>
        <v>13.6951030192362</v>
      </c>
      <c r="D62" s="26">
        <f>Ft!B$3*EXP(Ft!B$38*($A62-Ft!B$2)^2) +Ft!C$3*EXP(Ft!C$38*($A62-Ft!C$2)^2) + Ft!D$3*EXP(Ft!D$38*($A62-Ft!D$2)^2)+Ft!E$3*EXP(Ft!E$38*($A62-Ft!E$2)^2) +Ft!F$3*EXP(Ft!F$38*($A62-Ft!F$2)^2) + Ft!G$3*EXP(Ft!G$38*($A62-Ft!G$2)^2)</f>
        <v>9.0917562498944342</v>
      </c>
      <c r="E62" s="26">
        <f>Ft!B$3*EXP(Ft!B$38*($A62-Ft!B$2)^2)</f>
        <v>2.437616664263107</v>
      </c>
      <c r="F62" s="26">
        <f>Ft!C$3*EXP(Ft!C$38*($A62-Ft!C$2)^2)</f>
        <v>5.8059179850583584</v>
      </c>
      <c r="G62" s="26">
        <f>Ft!D$3*EXP(Ft!D$38*($A62-Ft!D$2)^2)</f>
        <v>0.84756828874523438</v>
      </c>
      <c r="H62" s="26">
        <f>Ft!E$3*EXP(Ft!E$38*($A62-Ft!E$2)^2)</f>
        <v>6.533118277347159E-4</v>
      </c>
      <c r="I62" s="26">
        <f>Ft!F$3*EXP(Ft!F$38*($A62-Ft!F$2)^2)</f>
        <v>7.3230853316506971E-178</v>
      </c>
      <c r="J62" s="26">
        <f>Ft!G$3*EXP(Ft!G$38*($A62-Ft!G$2)^2)</f>
        <v>0</v>
      </c>
    </row>
    <row r="63" spans="1:10">
      <c r="A63" s="19">
        <v>61</v>
      </c>
      <c r="B63" s="28">
        <v>4.4353012911035989</v>
      </c>
      <c r="C63" s="27">
        <f ca="1">OFFSET($B63,1*(ROWS(C$2:C63)-1),0)</f>
        <v>14.046353878849629</v>
      </c>
      <c r="D63" s="26">
        <f>Ft!B$3*EXP(Ft!B$38*($A63-Ft!B$2)^2) +Ft!C$3*EXP(Ft!C$38*($A63-Ft!C$2)^2) + Ft!D$3*EXP(Ft!D$38*($A63-Ft!D$2)^2)+Ft!E$3*EXP(Ft!E$38*($A63-Ft!E$2)^2) +Ft!F$3*EXP(Ft!F$38*($A63-Ft!F$2)^2) + Ft!G$3*EXP(Ft!G$38*($A63-Ft!G$2)^2)</f>
        <v>9.088005139144272</v>
      </c>
      <c r="E63" s="26">
        <f>Ft!B$3*EXP(Ft!B$38*($A63-Ft!B$2)^2)</f>
        <v>2.3477964014939272</v>
      </c>
      <c r="F63" s="26">
        <f>Ft!C$3*EXP(Ft!C$38*($A63-Ft!C$2)^2)</f>
        <v>5.8782495098724246</v>
      </c>
      <c r="G63" s="26">
        <f>Ft!D$3*EXP(Ft!D$38*($A63-Ft!D$2)^2)</f>
        <v>0.86128818697049636</v>
      </c>
      <c r="H63" s="26">
        <f>Ft!E$3*EXP(Ft!E$38*($A63-Ft!E$2)^2)</f>
        <v>6.7104080742437543E-4</v>
      </c>
      <c r="I63" s="26">
        <f>Ft!F$3*EXP(Ft!F$38*($A63-Ft!F$2)^2)</f>
        <v>1.7018359488738437E-177</v>
      </c>
      <c r="J63" s="26">
        <f>Ft!G$3*EXP(Ft!G$38*($A63-Ft!G$2)^2)</f>
        <v>0</v>
      </c>
    </row>
    <row r="64" spans="1:10">
      <c r="A64" s="19">
        <v>62</v>
      </c>
      <c r="B64" s="28">
        <v>4.5695920522557572</v>
      </c>
      <c r="C64" s="27">
        <f ca="1">OFFSET($B64,1*(ROWS(C$2:C64)-1),0)</f>
        <v>14.387525308725145</v>
      </c>
      <c r="D64" s="26">
        <f>Ft!B$3*EXP(Ft!B$38*($A64-Ft!B$2)^2) +Ft!C$3*EXP(Ft!C$38*($A64-Ft!C$2)^2) + Ft!D$3*EXP(Ft!D$38*($A64-Ft!D$2)^2)+Ft!E$3*EXP(Ft!E$38*($A64-Ft!E$2)^2) +Ft!F$3*EXP(Ft!F$38*($A64-Ft!F$2)^2) + Ft!G$3*EXP(Ft!G$38*($A64-Ft!G$2)^2)</f>
        <v>9.0820525720018388</v>
      </c>
      <c r="E64" s="26">
        <f>Ft!B$3*EXP(Ft!B$38*($A64-Ft!B$2)^2)</f>
        <v>2.2556132095018322</v>
      </c>
      <c r="F64" s="26">
        <f>Ft!C$3*EXP(Ft!C$38*($A64-Ft!C$2)^2)</f>
        <v>5.9505571878111772</v>
      </c>
      <c r="G64" s="26">
        <f>Ft!D$3*EXP(Ft!D$38*($A64-Ft!D$2)^2)</f>
        <v>0.87519294821450511</v>
      </c>
      <c r="H64" s="26">
        <f>Ft!E$3*EXP(Ft!E$38*($A64-Ft!E$2)^2)</f>
        <v>6.8922647432529598E-4</v>
      </c>
      <c r="I64" s="26">
        <f>Ft!F$3*EXP(Ft!F$38*($A64-Ft!F$2)^2)</f>
        <v>3.9515191162884424E-177</v>
      </c>
      <c r="J64" s="26">
        <f>Ft!G$3*EXP(Ft!G$38*($A64-Ft!G$2)^2)</f>
        <v>0</v>
      </c>
    </row>
    <row r="65" spans="1:10">
      <c r="A65" s="19">
        <v>63</v>
      </c>
      <c r="B65" s="28">
        <v>4.6582821590243952</v>
      </c>
      <c r="C65" s="27">
        <f ca="1">OFFSET($B65,1*(ROWS(C$2:C65)-1),0)</f>
        <v>14.777167821591888</v>
      </c>
      <c r="D65" s="26">
        <f>Ft!B$3*EXP(Ft!B$38*($A65-Ft!B$2)^2) +Ft!C$3*EXP(Ft!C$38*($A65-Ft!C$2)^2) + Ft!D$3*EXP(Ft!D$38*($A65-Ft!D$2)^2)+Ft!E$3*EXP(Ft!E$38*($A65-Ft!E$2)^2) +Ft!F$3*EXP(Ft!F$38*($A65-Ft!F$2)^2) + Ft!G$3*EXP(Ft!G$38*($A65-Ft!G$2)^2)</f>
        <v>9.0744236373909271</v>
      </c>
      <c r="E65" s="26">
        <f>Ft!B$3*EXP(Ft!B$38*($A65-Ft!B$2)^2)</f>
        <v>2.1616132815262592</v>
      </c>
      <c r="F65" s="26">
        <f>Ft!C$3*EXP(Ft!C$38*($A65-Ft!C$2)^2)</f>
        <v>6.022818111398351</v>
      </c>
      <c r="G65" s="26">
        <f>Ft!D$3*EXP(Ft!D$38*($A65-Ft!D$2)^2)</f>
        <v>0.88928436456773452</v>
      </c>
      <c r="H65" s="26">
        <f>Ft!E$3*EXP(Ft!E$38*($A65-Ft!E$2)^2)</f>
        <v>7.0787989858333081E-4</v>
      </c>
      <c r="I65" s="26">
        <f>Ft!F$3*EXP(Ft!F$38*($A65-Ft!F$2)^2)</f>
        <v>9.1671276056515365E-177</v>
      </c>
      <c r="J65" s="26">
        <f>Ft!G$3*EXP(Ft!G$38*($A65-Ft!G$2)^2)</f>
        <v>0</v>
      </c>
    </row>
    <row r="66" spans="1:10">
      <c r="A66" s="19">
        <v>64</v>
      </c>
      <c r="B66" s="28">
        <v>4.7505049174518774</v>
      </c>
      <c r="C66" s="27">
        <f ca="1">OFFSET($B66,1*(ROWS(C$2:C66)-1),0)</f>
        <v>15.149173782330706</v>
      </c>
      <c r="D66" s="26">
        <f>Ft!B$3*EXP(Ft!B$38*($A66-Ft!B$2)^2) +Ft!C$3*EXP(Ft!C$38*($A66-Ft!C$2)^2) + Ft!D$3*EXP(Ft!D$38*($A66-Ft!D$2)^2)+Ft!E$3*EXP(Ft!E$38*($A66-Ft!E$2)^2) +Ft!F$3*EXP(Ft!F$38*($A66-Ft!F$2)^2) + Ft!G$3*EXP(Ft!G$38*($A66-Ft!G$2)^2)</f>
        <v>9.065634471786284</v>
      </c>
      <c r="E66" s="26">
        <f>Ft!B$3*EXP(Ft!B$38*($A66-Ft!B$2)^2)</f>
        <v>2.0663341112608484</v>
      </c>
      <c r="F66" s="26">
        <f>Ft!C$3*EXP(Ft!C$38*($A66-Ft!C$2)^2)</f>
        <v>6.0950091151205905</v>
      </c>
      <c r="G66" s="26">
        <f>Ft!D$3*EXP(Ft!D$38*($A66-Ft!D$2)^2)</f>
        <v>0.90356423300509492</v>
      </c>
      <c r="H66" s="26">
        <f>Ft!E$3*EXP(Ft!E$38*($A66-Ft!E$2)^2)</f>
        <v>7.2701239974938428E-4</v>
      </c>
      <c r="I66" s="26">
        <f>Ft!F$3*EXP(Ft!F$38*($A66-Ft!F$2)^2)</f>
        <v>2.1248352460133698E-176</v>
      </c>
      <c r="J66" s="26">
        <f>Ft!G$3*EXP(Ft!G$38*($A66-Ft!G$2)^2)</f>
        <v>0</v>
      </c>
    </row>
    <row r="67" spans="1:10">
      <c r="A67" s="19">
        <v>65</v>
      </c>
      <c r="B67" s="28">
        <v>4.8679723122635323</v>
      </c>
      <c r="C67" s="27">
        <f ca="1">OFFSET($B67,1*(ROWS(C$2:C67)-1),0)</f>
        <v>15.483601489081508</v>
      </c>
      <c r="D67" s="26">
        <f>Ft!B$3*EXP(Ft!B$38*($A67-Ft!B$2)^2) +Ft!C$3*EXP(Ft!C$38*($A67-Ft!C$2)^2) + Ft!D$3*EXP(Ft!D$38*($A67-Ft!D$2)^2)+Ft!E$3*EXP(Ft!E$38*($A67-Ft!E$2)^2) +Ft!F$3*EXP(Ft!F$38*($A67-Ft!F$2)^2) + Ft!G$3*EXP(Ft!G$38*($A67-Ft!G$2)^2)</f>
        <v>9.0561873556287207</v>
      </c>
      <c r="E67" s="26">
        <f>Ft!B$3*EXP(Ft!B$38*($A67-Ft!B$2)^2)</f>
        <v>1.9702995781381869</v>
      </c>
      <c r="F67" s="26">
        <f>Ft!C$3*EXP(Ft!C$38*($A67-Ft!C$2)^2)</f>
        <v>6.1671067867822238</v>
      </c>
      <c r="G67" s="26">
        <f>Ft!D$3*EXP(Ft!D$38*($A67-Ft!D$2)^2)</f>
        <v>0.91803435515640641</v>
      </c>
      <c r="H67" s="26">
        <f>Ft!E$3*EXP(Ft!E$38*($A67-Ft!E$2)^2)</f>
        <v>7.4663555190313707E-4</v>
      </c>
      <c r="I67" s="26">
        <f>Ft!F$3*EXP(Ft!F$38*($A67-Ft!F$2)^2)</f>
        <v>4.9208490395898499E-176</v>
      </c>
      <c r="J67" s="26">
        <f>Ft!G$3*EXP(Ft!G$38*($A67-Ft!G$2)^2)</f>
        <v>0</v>
      </c>
    </row>
    <row r="68" spans="1:10">
      <c r="A68" s="19">
        <v>66</v>
      </c>
      <c r="B68" s="28">
        <v>4.9867759017905087</v>
      </c>
      <c r="C68" s="27">
        <f ca="1">OFFSET($B68,1*(ROWS(C$2:C68)-1),0)</f>
        <v>15.816000534660589</v>
      </c>
      <c r="D68" s="26">
        <f>Ft!B$3*EXP(Ft!B$38*($A68-Ft!B$2)^2) +Ft!C$3*EXP(Ft!C$38*($A68-Ft!C$2)^2) + Ft!D$3*EXP(Ft!D$38*($A68-Ft!D$2)^2)+Ft!E$3*EXP(Ft!E$38*($A68-Ft!E$2)^2) +Ft!F$3*EXP(Ft!F$38*($A68-Ft!F$2)^2) + Ft!G$3*EXP(Ft!G$38*($A68-Ft!G$2)^2)</f>
        <v>9.0465661874789696</v>
      </c>
      <c r="E68" s="26">
        <f>Ft!B$3*EXP(Ft!B$38*($A68-Ft!B$2)^2)</f>
        <v>1.8740154100280637</v>
      </c>
      <c r="F68" s="26">
        <f>Ft!C$3*EXP(Ft!C$38*($A68-Ft!C$2)^2)</f>
        <v>6.2390874791898598</v>
      </c>
      <c r="G68" s="26">
        <f>Ft!D$3*EXP(Ft!D$38*($A68-Ft!D$2)^2)</f>
        <v>0.93269653707217703</v>
      </c>
      <c r="H68" s="26">
        <f>Ft!E$3*EXP(Ft!E$38*($A68-Ft!E$2)^2)</f>
        <v>7.667611888696335E-4</v>
      </c>
      <c r="I68" s="26">
        <f>Ft!F$3*EXP(Ft!F$38*($A68-Ft!F$2)^2)</f>
        <v>1.1386168800251076E-175</v>
      </c>
      <c r="J68" s="26">
        <f>Ft!G$3*EXP(Ft!G$38*($A68-Ft!G$2)^2)</f>
        <v>0</v>
      </c>
    </row>
    <row r="69" spans="1:10">
      <c r="A69" s="19">
        <v>67</v>
      </c>
      <c r="B69" s="28">
        <v>5.0832946642760248</v>
      </c>
      <c r="C69" s="27">
        <f ca="1">OFFSET($B69,1*(ROWS(C$2:C69)-1),0)</f>
        <v>16.179396027476258</v>
      </c>
      <c r="D69" s="26">
        <f>Ft!B$3*EXP(Ft!B$38*($A69-Ft!B$2)^2) +Ft!C$3*EXP(Ft!C$38*($A69-Ft!C$2)^2) + Ft!D$3*EXP(Ft!D$38*($A69-Ft!D$2)^2)+Ft!E$3*EXP(Ft!E$38*($A69-Ft!E$2)^2) +Ft!F$3*EXP(Ft!F$38*($A69-Ft!F$2)^2) + Ft!G$3*EXP(Ft!G$38*($A69-Ft!G$2)^2)</f>
        <v>9.0372323859686663</v>
      </c>
      <c r="E69" s="26">
        <f>Ft!B$3*EXP(Ft!B$38*($A69-Ft!B$2)^2)</f>
        <v>1.7779650734146659</v>
      </c>
      <c r="F69" s="26">
        <f>Ft!C$3*EXP(Ft!C$38*($A69-Ft!C$2)^2)</f>
        <v>6.3109273221597864</v>
      </c>
      <c r="G69" s="26">
        <f>Ft!D$3*EXP(Ft!D$38*($A69-Ft!D$2)^2)</f>
        <v>0.94755258898468353</v>
      </c>
      <c r="H69" s="26">
        <f>Ft!E$3*EXP(Ft!E$38*($A69-Ft!E$2)^2)</f>
        <v>7.874014095301244E-4</v>
      </c>
      <c r="I69" s="26">
        <f>Ft!F$3*EXP(Ft!F$38*($A69-Ft!F$2)^2)</f>
        <v>2.6323157923700363E-175</v>
      </c>
      <c r="J69" s="26">
        <f>Ft!G$3*EXP(Ft!G$38*($A69-Ft!G$2)^2)</f>
        <v>0</v>
      </c>
    </row>
    <row r="70" spans="1:10">
      <c r="A70" s="19">
        <v>68</v>
      </c>
      <c r="B70" s="28">
        <v>5.2369768814498627</v>
      </c>
      <c r="C70" s="27">
        <f ca="1">OFFSET($B70,1*(ROWS(C$2:C70)-1),0)</f>
        <v>16.527629289316621</v>
      </c>
      <c r="D70" s="26">
        <f>Ft!B$3*EXP(Ft!B$38*($A70-Ft!B$2)^2) +Ft!C$3*EXP(Ft!C$38*($A70-Ft!C$2)^2) + Ft!D$3*EXP(Ft!D$38*($A70-Ft!D$2)^2)+Ft!E$3*EXP(Ft!E$38*($A70-Ft!E$2)^2) +Ft!F$3*EXP(Ft!F$38*($A70-Ft!F$2)^2) + Ft!G$3*EXP(Ft!G$38*($A70-Ft!G$2)^2)</f>
        <v>9.0286212600211542</v>
      </c>
      <c r="E70" s="26">
        <f>Ft!B$3*EXP(Ft!B$38*($A70-Ft!B$2)^2)</f>
        <v>1.6826061315328376</v>
      </c>
      <c r="F70" s="26">
        <f>Ft!C$3*EXP(Ft!C$38*($A70-Ft!C$2)^2)</f>
        <v>6.3826022348407587</v>
      </c>
      <c r="G70" s="26">
        <f>Ft!D$3*EXP(Ft!D$38*($A70-Ft!D$2)^2)</f>
        <v>0.96260432506432958</v>
      </c>
      <c r="H70" s="26">
        <f>Ft!E$3*EXP(Ft!E$38*($A70-Ft!E$2)^2)</f>
        <v>8.0856858322856436E-4</v>
      </c>
      <c r="I70" s="26">
        <f>Ft!F$3*EXP(Ft!F$38*($A70-Ft!F$2)^2)</f>
        <v>6.0802460757193086E-175</v>
      </c>
      <c r="J70" s="26">
        <f>Ft!G$3*EXP(Ft!G$38*($A70-Ft!G$2)^2)</f>
        <v>0</v>
      </c>
    </row>
    <row r="71" spans="1:10">
      <c r="A71" s="19">
        <v>69</v>
      </c>
      <c r="B71" s="28">
        <v>5.4029527669019899</v>
      </c>
      <c r="C71" s="27">
        <f ca="1">OFFSET($B71,1*(ROWS(C$2:C71)-1),0)</f>
        <v>16.904902499082766</v>
      </c>
      <c r="D71" s="26">
        <f>Ft!B$3*EXP(Ft!B$38*($A71-Ft!B$2)^2) +Ft!C$3*EXP(Ft!C$38*($A71-Ft!C$2)^2) + Ft!D$3*EXP(Ft!D$38*($A71-Ft!D$2)^2)+Ft!E$3*EXP(Ft!E$38*($A71-Ft!E$2)^2) +Ft!F$3*EXP(Ft!F$38*($A71-Ft!F$2)^2) + Ft!G$3*EXP(Ft!G$38*($A71-Ft!G$2)^2)</f>
        <v>9.021138877882203</v>
      </c>
      <c r="E71" s="26">
        <f>Ft!B$3*EXP(Ft!B$38*($A71-Ft!B$2)^2)</f>
        <v>1.5883671010113836</v>
      </c>
      <c r="F71" s="26">
        <f>Ft!C$3*EXP(Ft!C$38*($A71-Ft!C$2)^2)</f>
        <v>6.4540879383442658</v>
      </c>
      <c r="G71" s="26">
        <f>Ft!D$3*EXP(Ft!D$38*($A71-Ft!D$2)^2)</f>
        <v>0.97785356317127781</v>
      </c>
      <c r="H71" s="26">
        <f>Ft!E$3*EXP(Ft!E$38*($A71-Ft!E$2)^2)</f>
        <v>8.3027535527517072E-4</v>
      </c>
      <c r="I71" s="26">
        <f>Ft!F$3*EXP(Ft!F$38*($A71-Ft!F$2)^2)</f>
        <v>1.4032243695168965E-174</v>
      </c>
      <c r="J71" s="26">
        <f>Ft!G$3*EXP(Ft!G$38*($A71-Ft!G$2)^2)</f>
        <v>0</v>
      </c>
    </row>
    <row r="72" spans="1:10">
      <c r="A72" s="19">
        <v>70</v>
      </c>
      <c r="B72" s="28">
        <v>5.5561225587664183</v>
      </c>
      <c r="C72" s="27">
        <f ca="1">OFFSET($B72,1*(ROWS(C$2:C72)-1),0)</f>
        <v>17.267720281426762</v>
      </c>
      <c r="D72" s="26">
        <f>Ft!B$3*EXP(Ft!B$38*($A72-Ft!B$2)^2) +Ft!C$3*EXP(Ft!C$38*($A72-Ft!C$2)^2) + Ft!D$3*EXP(Ft!D$38*($A72-Ft!D$2)^2)+Ft!E$3*EXP(Ft!E$38*($A72-Ft!E$2)^2) +Ft!F$3*EXP(Ft!F$38*($A72-Ft!F$2)^2) + Ft!G$3*EXP(Ft!G$38*($A72-Ft!G$2)^2)</f>
        <v>9.0151594554561338</v>
      </c>
      <c r="E72" s="26">
        <f>Ft!B$3*EXP(Ft!B$38*($A72-Ft!B$2)^2)</f>
        <v>1.4956448275272489</v>
      </c>
      <c r="F72" s="26">
        <f>Ft!C$3*EXP(Ft!C$38*($A72-Ft!C$2)^2)</f>
        <v>6.5253599686739987</v>
      </c>
      <c r="G72" s="26">
        <f>Ft!D$3*EXP(Ft!D$38*($A72-Ft!D$2)^2)</f>
        <v>0.99330212460233891</v>
      </c>
      <c r="H72" s="26">
        <f>Ft!E$3*EXP(Ft!E$38*($A72-Ft!E$2)^2)</f>
        <v>8.5253465254848373E-4</v>
      </c>
      <c r="I72" s="26">
        <f>Ft!F$3*EXP(Ft!F$38*($A72-Ft!F$2)^2)</f>
        <v>3.2356078183120386E-174</v>
      </c>
      <c r="J72" s="26">
        <f>Ft!G$3*EXP(Ft!G$38*($A72-Ft!G$2)^2)</f>
        <v>0</v>
      </c>
    </row>
    <row r="73" spans="1:10">
      <c r="A73" s="19">
        <v>71</v>
      </c>
      <c r="B73" s="28">
        <v>5.7081216887532094</v>
      </c>
      <c r="C73" s="27">
        <f ca="1">OFFSET($B73,1*(ROWS(C$2:C73)-1),0)</f>
        <v>17.665299644178816</v>
      </c>
      <c r="D73" s="26">
        <f>Ft!B$3*EXP(Ft!B$38*($A73-Ft!B$2)^2) +Ft!C$3*EXP(Ft!C$38*($A73-Ft!C$2)^2) + Ft!D$3*EXP(Ft!D$38*($A73-Ft!D$2)^2)+Ft!E$3*EXP(Ft!E$38*($A73-Ft!E$2)^2) +Ft!F$3*EXP(Ft!F$38*($A73-Ft!F$2)^2) + Ft!G$3*EXP(Ft!G$38*($A73-Ft!G$2)^2)</f>
        <v>9.011023274512354</v>
      </c>
      <c r="E73" s="26">
        <f>Ft!B$3*EXP(Ft!B$38*($A73-Ft!B$2)^2)</f>
        <v>1.4048023910442724</v>
      </c>
      <c r="F73" s="26">
        <f>Ft!C$3*EXP(Ft!C$38*($A73-Ft!C$2)^2)</f>
        <v>6.5963936899457742</v>
      </c>
      <c r="G73" s="26">
        <f>Ft!D$3*EXP(Ft!D$38*($A73-Ft!D$2)^2)</f>
        <v>1.0089518338331083</v>
      </c>
      <c r="H73" s="26">
        <f>Ft!E$3*EXP(Ft!E$38*($A73-Ft!E$2)^2)</f>
        <v>8.7535968919736284E-4</v>
      </c>
      <c r="I73" s="26">
        <f>Ft!F$3*EXP(Ft!F$38*($A73-Ft!F$2)^2)</f>
        <v>7.454309651754513E-174</v>
      </c>
      <c r="J73" s="26">
        <f>Ft!G$3*EXP(Ft!G$38*($A73-Ft!G$2)^2)</f>
        <v>0</v>
      </c>
    </row>
    <row r="74" spans="1:10">
      <c r="A74" s="19">
        <v>72</v>
      </c>
      <c r="B74" s="28">
        <v>5.8714795976146945</v>
      </c>
      <c r="C74" s="27">
        <f ca="1">OFFSET($B74,1*(ROWS(C$2:C74)-1),0)</f>
        <v>18.041167608967839</v>
      </c>
      <c r="D74" s="26">
        <f>Ft!B$3*EXP(Ft!B$38*($A74-Ft!B$2)^2) +Ft!C$3*EXP(Ft!C$38*($A74-Ft!C$2)^2) + Ft!D$3*EXP(Ft!D$38*($A74-Ft!D$2)^2)+Ft!E$3*EXP(Ft!E$38*($A74-Ft!E$2)^2) +Ft!F$3*EXP(Ft!F$38*($A74-Ft!F$2)^2) + Ft!G$3*EXP(Ft!G$38*($A74-Ft!G$2)^2)</f>
        <v>9.0090351317223671</v>
      </c>
      <c r="E74" s="26">
        <f>Ft!B$3*EXP(Ft!B$38*($A74-Ft!B$2)^2)</f>
        <v>1.3161675416057932</v>
      </c>
      <c r="F74" s="26">
        <f>Ft!C$3*EXP(Ft!C$38*($A74-Ft!C$2)^2)</f>
        <v>6.667164307888787</v>
      </c>
      <c r="G74" s="26">
        <f>Ft!D$3*EXP(Ft!D$38*($A74-Ft!D$2)^2)</f>
        <v>1.0248045182553427</v>
      </c>
      <c r="H74" s="26">
        <f>Ft!E$3*EXP(Ft!E$38*($A74-Ft!E$2)^2)</f>
        <v>8.9876397244436019E-4</v>
      </c>
      <c r="I74" s="26">
        <f>Ft!F$3*EXP(Ft!F$38*($A74-Ft!F$2)^2)</f>
        <v>1.7158597153212601E-173</v>
      </c>
      <c r="J74" s="26">
        <f>Ft!G$3*EXP(Ft!G$38*($A74-Ft!G$2)^2)</f>
        <v>0</v>
      </c>
    </row>
    <row r="75" spans="1:10">
      <c r="A75" s="19">
        <v>73</v>
      </c>
      <c r="B75" s="28">
        <v>6.0299192346290624</v>
      </c>
      <c r="C75" s="27">
        <f ca="1">OFFSET($B75,1*(ROWS(C$2:C75)-1),0)</f>
        <v>18.406214207687611</v>
      </c>
      <c r="D75" s="26">
        <f>Ft!B$3*EXP(Ft!B$38*($A75-Ft!B$2)^2) +Ft!C$3*EXP(Ft!C$38*($A75-Ft!C$2)^2) + Ft!D$3*EXP(Ft!D$38*($A75-Ft!D$2)^2)+Ft!E$3*EXP(Ft!E$38*($A75-Ft!E$2)^2) +Ft!F$3*EXP(Ft!F$38*($A75-Ft!F$2)^2) + Ft!G$3*EXP(Ft!G$38*($A75-Ft!G$2)^2)</f>
        <v>9.009463310400875</v>
      </c>
      <c r="E75" s="26">
        <f>Ft!B$3*EXP(Ft!B$38*($A75-Ft!B$2)^2)</f>
        <v>1.230031657564191</v>
      </c>
      <c r="F75" s="26">
        <f>Ft!C$3*EXP(Ft!C$38*($A75-Ft!C$2)^2)</f>
        <v>6.7376468836186225</v>
      </c>
      <c r="G75" s="26">
        <f>Ft!D$3*EXP(Ft!D$38*($A75-Ft!D$2)^2)</f>
        <v>1.040862007909569</v>
      </c>
      <c r="H75" s="26">
        <f>Ft!E$3*EXP(Ft!E$38*($A75-Ft!E$2)^2)</f>
        <v>9.2276130849195726E-4</v>
      </c>
      <c r="I75" s="26">
        <f>Ft!F$3*EXP(Ft!F$38*($A75-Ft!F$2)^2)</f>
        <v>3.9461984551416033E-173</v>
      </c>
      <c r="J75" s="26">
        <f>Ft!G$3*EXP(Ft!G$38*($A75-Ft!G$2)^2)</f>
        <v>0</v>
      </c>
    </row>
    <row r="76" spans="1:10">
      <c r="A76" s="19">
        <v>74</v>
      </c>
      <c r="B76" s="28">
        <v>6.178612119866159</v>
      </c>
      <c r="C76" s="27">
        <f ca="1">OFFSET($B76,1*(ROWS(C$2:C76)-1),0)</f>
        <v>18.771690158042844</v>
      </c>
      <c r="D76" s="26">
        <f>Ft!B$3*EXP(Ft!B$38*($A76-Ft!B$2)^2) +Ft!C$3*EXP(Ft!C$38*($A76-Ft!C$2)^2) + Ft!D$3*EXP(Ft!D$38*($A76-Ft!D$2)^2)+Ft!E$3*EXP(Ft!E$38*($A76-Ft!E$2)^2) +Ft!F$3*EXP(Ft!F$38*($A76-Ft!F$2)^2) + Ft!G$3*EXP(Ft!G$38*($A76-Ft!G$2)^2)</f>
        <v>9.0125390584250464</v>
      </c>
      <c r="E76" s="26">
        <f>Ft!B$3*EXP(Ft!B$38*($A76-Ft!B$2)^2)</f>
        <v>1.1466492097314991</v>
      </c>
      <c r="F76" s="26">
        <f>Ft!C$3*EXP(Ft!C$38*($A76-Ft!C$2)^2)</f>
        <v>6.8078163476720963</v>
      </c>
      <c r="G76" s="26">
        <f>Ft!D$3*EXP(Ft!D$38*($A76-Ft!D$2)^2)</f>
        <v>1.0571261352129184</v>
      </c>
      <c r="H76" s="26">
        <f>Ft!E$3*EXP(Ft!E$38*($A76-Ft!E$2)^2)</f>
        <v>9.4736580853314791E-4</v>
      </c>
      <c r="I76" s="26">
        <f>Ft!F$3*EXP(Ft!F$38*($A76-Ft!F$2)^2)</f>
        <v>9.067735882267392E-173</v>
      </c>
      <c r="J76" s="26">
        <f>Ft!G$3*EXP(Ft!G$38*($A76-Ft!G$2)^2)</f>
        <v>0</v>
      </c>
    </row>
    <row r="77" spans="1:10">
      <c r="A77" s="19">
        <v>75</v>
      </c>
      <c r="B77" s="28">
        <v>6.3337201953216038</v>
      </c>
      <c r="C77" s="27">
        <f ca="1">OFFSET($B77,1*(ROWS(C$2:C77)-1),0)</f>
        <v>19.124989979269742</v>
      </c>
      <c r="D77" s="26">
        <f>Ft!B$3*EXP(Ft!B$38*($A77-Ft!B$2)^2) +Ft!C$3*EXP(Ft!C$38*($A77-Ft!C$2)^2) + Ft!D$3*EXP(Ft!D$38*($A77-Ft!D$2)^2)+Ft!E$3*EXP(Ft!E$38*($A77-Ft!E$2)^2) +Ft!F$3*EXP(Ft!F$38*($A77-Ft!F$2)^2) + Ft!G$3*EXP(Ft!G$38*($A77-Ft!G$2)^2)</f>
        <v>9.0184565482367738</v>
      </c>
      <c r="E77" s="26">
        <f>Ft!B$3*EXP(Ft!B$38*($A77-Ft!B$2)^2)</f>
        <v>1.0662377073661784</v>
      </c>
      <c r="F77" s="26">
        <f>Ft!C$3*EXP(Ft!C$38*($A77-Ft!C$2)^2)</f>
        <v>6.8776475142935487</v>
      </c>
      <c r="G77" s="26">
        <f>Ft!D$3*EXP(Ft!D$38*($A77-Ft!D$2)^2)</f>
        <v>1.0735987346821794</v>
      </c>
      <c r="H77" s="26">
        <f>Ft!E$3*EXP(Ft!E$38*($A77-Ft!E$2)^2)</f>
        <v>9.7259189486783974E-4</v>
      </c>
      <c r="I77" s="26">
        <f>Ft!F$3*EXP(Ft!F$38*($A77-Ft!F$2)^2)</f>
        <v>2.0818124284855734E-172</v>
      </c>
      <c r="J77" s="26">
        <f>Ft!G$3*EXP(Ft!G$38*($A77-Ft!G$2)^2)</f>
        <v>0</v>
      </c>
    </row>
    <row r="78" spans="1:10">
      <c r="A78" s="19">
        <v>76</v>
      </c>
      <c r="B78" s="28">
        <v>6.4864274404777689</v>
      </c>
      <c r="C78" s="27">
        <f ca="1">OFFSET($B78,1*(ROWS(C$2:C78)-1),0)</f>
        <v>19.510738182804175</v>
      </c>
      <c r="D78" s="26">
        <f>Ft!B$3*EXP(Ft!B$38*($A78-Ft!B$2)^2) +Ft!C$3*EXP(Ft!C$38*($A78-Ft!C$2)^2) + Ft!D$3*EXP(Ft!D$38*($A78-Ft!D$2)^2)+Ft!E$3*EXP(Ft!E$38*($A78-Ft!E$2)^2) +Ft!F$3*EXP(Ft!F$38*($A78-Ft!F$2)^2) + Ft!G$3*EXP(Ft!G$38*($A78-Ft!G$2)^2)</f>
        <v>9.0273732882068334</v>
      </c>
      <c r="E78" s="26">
        <f>Ft!B$3*EXP(Ft!B$38*($A78-Ft!B$2)^2)</f>
        <v>0.98897809528575109</v>
      </c>
      <c r="F78" s="26">
        <f>Ft!C$3*EXP(Ft!C$38*($A78-Ft!C$2)^2)</f>
        <v>6.9471150959618884</v>
      </c>
      <c r="G78" s="26">
        <f>Ft!D$3*EXP(Ft!D$38*($A78-Ft!D$2)^2)</f>
        <v>1.0902816426520681</v>
      </c>
      <c r="H78" s="26">
        <f>Ft!E$3*EXP(Ft!E$38*($A78-Ft!E$2)^2)</f>
        <v>9.9845430712660536E-4</v>
      </c>
      <c r="I78" s="26">
        <f>Ft!F$3*EXP(Ft!F$38*($A78-Ft!F$2)^2)</f>
        <v>4.7753711081187393E-172</v>
      </c>
      <c r="J78" s="26">
        <f>Ft!G$3*EXP(Ft!G$38*($A78-Ft!G$2)^2)</f>
        <v>0</v>
      </c>
    </row>
    <row r="79" spans="1:10">
      <c r="A79" s="19">
        <v>77</v>
      </c>
      <c r="B79" s="28">
        <v>6.6234343387646391</v>
      </c>
      <c r="C79" s="27">
        <f ca="1">OFFSET($B79,1*(ROWS(C$2:C79)-1),0)</f>
        <v>19.896422495919637</v>
      </c>
      <c r="D79" s="26">
        <f>Ft!B$3*EXP(Ft!B$38*($A79-Ft!B$2)^2) +Ft!C$3*EXP(Ft!C$38*($A79-Ft!C$2)^2) + Ft!D$3*EXP(Ft!D$38*($A79-Ft!D$2)^2)+Ft!E$3*EXP(Ft!E$38*($A79-Ft!E$2)^2) +Ft!F$3*EXP(Ft!F$38*($A79-Ft!F$2)^2) + Ft!G$3*EXP(Ft!G$38*($A79-Ft!G$2)^2)</f>
        <v>9.0394109490416525</v>
      </c>
      <c r="E79" s="26">
        <f>Ft!B$3*EXP(Ft!B$38*($A79-Ft!B$2)^2)</f>
        <v>0.9150155657970831</v>
      </c>
      <c r="F79" s="26">
        <f>Ft!C$3*EXP(Ft!C$38*($A79-Ft!C$2)^2)</f>
        <v>7.0161937181472487</v>
      </c>
      <c r="G79" s="26">
        <f>Ft!D$3*EXP(Ft!D$38*($A79-Ft!D$2)^2)</f>
        <v>1.1071766969887162</v>
      </c>
      <c r="H79" s="26">
        <f>Ft!E$3*EXP(Ft!E$38*($A79-Ft!E$2)^2)</f>
        <v>1.0249681086032857E-3</v>
      </c>
      <c r="I79" s="26">
        <f>Ft!F$3*EXP(Ft!F$38*($A79-Ft!F$2)^2)</f>
        <v>1.0944488104789416E-171</v>
      </c>
      <c r="J79" s="26">
        <f>Ft!G$3*EXP(Ft!G$38*($A79-Ft!G$2)^2)</f>
        <v>0</v>
      </c>
    </row>
    <row r="80" spans="1:10">
      <c r="A80" s="19">
        <v>78</v>
      </c>
      <c r="B80" s="28">
        <v>6.7686960378715071</v>
      </c>
      <c r="C80" s="27">
        <f ca="1">OFFSET($B80,1*(ROWS(C$2:C80)-1),0)</f>
        <v>20.285245962246563</v>
      </c>
      <c r="D80" s="26">
        <f>Ft!B$3*EXP(Ft!B$38*($A80-Ft!B$2)^2) +Ft!C$3*EXP(Ft!C$38*($A80-Ft!C$2)^2) + Ft!D$3*EXP(Ft!D$38*($A80-Ft!D$2)^2)+Ft!E$3*EXP(Ft!E$38*($A80-Ft!E$2)^2) +Ft!F$3*EXP(Ft!F$38*($A80-Ft!F$2)^2) + Ft!G$3*EXP(Ft!G$38*($A80-Ft!G$2)^2)</f>
        <v>9.0546565643960104</v>
      </c>
      <c r="E80" s="26">
        <f>Ft!B$3*EXP(Ft!B$38*($A80-Ft!B$2)^2)</f>
        <v>0.84446074461914866</v>
      </c>
      <c r="F80" s="26">
        <f>Ft!C$3*EXP(Ft!C$38*($A80-Ft!C$2)^2)</f>
        <v>7.0848579342857985</v>
      </c>
      <c r="G80" s="26">
        <f>Ft!D$3*EXP(Ft!D$38*($A80-Ft!D$2)^2)</f>
        <v>1.1242857367983654</v>
      </c>
      <c r="H80" s="26">
        <f>Ft!E$3*EXP(Ft!E$38*($A80-Ft!E$2)^2)</f>
        <v>1.0521486926979991E-3</v>
      </c>
      <c r="I80" s="26">
        <f>Ft!F$3*EXP(Ft!F$38*($A80-Ft!F$2)^2)</f>
        <v>2.5061471950371556E-171</v>
      </c>
      <c r="J80" s="26">
        <f>Ft!G$3*EXP(Ft!G$38*($A80-Ft!G$2)^2)</f>
        <v>0</v>
      </c>
    </row>
    <row r="81" spans="1:10">
      <c r="A81" s="19">
        <v>79</v>
      </c>
      <c r="B81" s="28">
        <v>6.9018393749587688</v>
      </c>
      <c r="C81" s="27">
        <f ca="1">OFFSET($B81,1*(ROWS(C$2:C81)-1),0)</f>
        <v>20.67976577465339</v>
      </c>
      <c r="D81" s="26">
        <f>Ft!B$3*EXP(Ft!B$38*($A81-Ft!B$2)^2) +Ft!C$3*EXP(Ft!C$38*($A81-Ft!C$2)^2) + Ft!D$3*EXP(Ft!D$38*($A81-Ft!D$2)^2)+Ft!E$3*EXP(Ft!E$38*($A81-Ft!E$2)^2) +Ft!F$3*EXP(Ft!F$38*($A81-Ft!F$2)^2) + Ft!G$3*EXP(Ft!G$38*($A81-Ft!G$2)^2)</f>
        <v>9.0731640614425046</v>
      </c>
      <c r="E81" s="26">
        <f>Ft!B$3*EXP(Ft!B$38*($A81-Ft!B$2)^2)</f>
        <v>0.77739120656086624</v>
      </c>
      <c r="F81" s="26">
        <f>Ft!C$3*EXP(Ft!C$38*($A81-Ft!C$2)^2)</f>
        <v>7.1530822409608845</v>
      </c>
      <c r="G81" s="26">
        <f>Ft!D$3*EXP(Ft!D$38*($A81-Ft!D$2)^2)</f>
        <v>1.1416106021312822</v>
      </c>
      <c r="H81" s="26">
        <f>Ft!E$3*EXP(Ft!E$38*($A81-Ft!E$2)^2)</f>
        <v>1.0800117894720971E-3</v>
      </c>
      <c r="I81" s="26">
        <f>Ft!F$3*EXP(Ft!F$38*($A81-Ft!F$2)^2)</f>
        <v>5.7337729581080656E-171</v>
      </c>
      <c r="J81" s="26">
        <f>Ft!G$3*EXP(Ft!G$38*($A81-Ft!G$2)^2)</f>
        <v>0</v>
      </c>
    </row>
    <row r="82" spans="1:10">
      <c r="A82" s="19">
        <v>80</v>
      </c>
      <c r="B82" s="28">
        <v>7.0641778348127104</v>
      </c>
      <c r="C82" s="27">
        <f ca="1">OFFSET($B82,1*(ROWS(C$2:C82)-1),0)</f>
        <v>21.070432870060131</v>
      </c>
      <c r="D82" s="26">
        <f>Ft!B$3*EXP(Ft!B$38*($A82-Ft!B$2)^2) +Ft!C$3*EXP(Ft!C$38*($A82-Ft!C$2)^2) + Ft!D$3*EXP(Ft!D$38*($A82-Ft!D$2)^2)+Ft!E$3*EXP(Ft!E$38*($A82-Ft!E$2)^2) +Ft!F$3*EXP(Ft!F$38*($A82-Ft!F$2)^2) + Ft!G$3*EXP(Ft!G$38*($A82-Ft!G$2)^2)</f>
        <v>9.0949560748360074</v>
      </c>
      <c r="E82" s="26">
        <f>Ft!B$3*EXP(Ft!B$38*($A82-Ft!B$2)^2)</f>
        <v>0.71385327440450053</v>
      </c>
      <c r="F82" s="26">
        <f>Ft!C$3*EXP(Ft!C$38*($A82-Ft!C$2)^2)</f>
        <v>7.2208410932783051</v>
      </c>
      <c r="G82" s="26">
        <f>Ft!D$3*EXP(Ft!D$38*($A82-Ft!D$2)^2)</f>
        <v>1.1591531336808851</v>
      </c>
      <c r="H82" s="26">
        <f>Ft!E$3*EXP(Ft!E$38*($A82-Ft!E$2)^2)</f>
        <v>1.1085734723165989E-3</v>
      </c>
      <c r="I82" s="26">
        <f>Ft!F$3*EXP(Ft!F$38*($A82-Ft!F$2)^2)</f>
        <v>1.3106816056892623E-170</v>
      </c>
      <c r="J82" s="26">
        <f>Ft!G$3*EXP(Ft!G$38*($A82-Ft!G$2)^2)</f>
        <v>0</v>
      </c>
    </row>
    <row r="83" spans="1:10">
      <c r="A83" s="19">
        <v>81</v>
      </c>
      <c r="B83" s="28">
        <v>7.2316837788396811</v>
      </c>
      <c r="C83" s="27">
        <f ca="1">OFFSET($B83,1*(ROWS(C$2:C83)-1),0)</f>
        <v>21.47195862469394</v>
      </c>
      <c r="D83" s="26">
        <f>Ft!B$3*EXP(Ft!B$38*($A83-Ft!B$2)^2) +Ft!C$3*EXP(Ft!C$38*($A83-Ft!C$2)^2) + Ft!D$3*EXP(Ft!D$38*($A83-Ft!D$2)^2)+Ft!E$3*EXP(Ft!E$38*($A83-Ft!E$2)^2) +Ft!F$3*EXP(Ft!F$38*($A83-Ft!F$2)^2) + Ft!G$3*EXP(Ft!G$38*($A83-Ft!G$2)^2)</f>
        <v>9.1200259962685237</v>
      </c>
      <c r="E83" s="26">
        <f>Ft!B$3*EXP(Ft!B$38*($A83-Ft!B$2)^2)</f>
        <v>0.65386405320246144</v>
      </c>
      <c r="F83" s="26">
        <f>Ft!C$3*EXP(Ft!C$38*($A83-Ft!C$2)^2)</f>
        <v>7.288108920423233</v>
      </c>
      <c r="G83" s="26">
        <f>Ft!D$3*EXP(Ft!D$38*($A83-Ft!D$2)^2)</f>
        <v>1.1769151724780951</v>
      </c>
      <c r="H83" s="26">
        <f>Ft!E$3*EXP(Ft!E$38*($A83-Ft!E$2)^2)</f>
        <v>1.1378501647357397E-3</v>
      </c>
      <c r="I83" s="26">
        <f>Ft!F$3*EXP(Ft!F$38*($A83-Ft!F$2)^2)</f>
        <v>2.9934824231223541E-170</v>
      </c>
      <c r="J83" s="26">
        <f>Ft!G$3*EXP(Ft!G$38*($A83-Ft!G$2)^2)</f>
        <v>0</v>
      </c>
    </row>
    <row r="84" spans="1:10">
      <c r="A84" s="19">
        <v>82</v>
      </c>
      <c r="B84" s="28">
        <v>7.3964267172944176</v>
      </c>
      <c r="C84" s="27">
        <f ca="1">OFFSET($B84,1*(ROWS(C$2:C84)-1),0)</f>
        <v>21.870875198535799</v>
      </c>
      <c r="D84" s="26">
        <f>Ft!B$3*EXP(Ft!B$38*($A84-Ft!B$2)^2) +Ft!C$3*EXP(Ft!C$38*($A84-Ft!C$2)^2) + Ft!D$3*EXP(Ft!D$38*($A84-Ft!D$2)^2)+Ft!E$3*EXP(Ft!E$38*($A84-Ft!E$2)^2) +Ft!F$3*EXP(Ft!F$38*($A84-Ft!F$2)^2) + Ft!G$3*EXP(Ft!G$38*($A84-Ft!G$2)^2)</f>
        <v>9.1483402115820276</v>
      </c>
      <c r="E84" s="26">
        <f>Ft!B$3*EXP(Ft!B$38*($A84-Ft!B$2)^2)</f>
        <v>0.59741365196792684</v>
      </c>
      <c r="F84" s="26">
        <f>Ft!C$3*EXP(Ft!C$38*($A84-Ft!C$2)^2)</f>
        <v>7.3548601413859496</v>
      </c>
      <c r="G84" s="26">
        <f>Ft!D$3*EXP(Ft!D$38*($A84-Ft!D$2)^2)</f>
        <v>1.1948985595809036</v>
      </c>
      <c r="H84" s="26">
        <f>Ft!E$3*EXP(Ft!E$38*($A84-Ft!E$2)^2)</f>
        <v>1.1678586472471471E-3</v>
      </c>
      <c r="I84" s="26">
        <f>Ft!F$3*EXP(Ft!F$38*($A84-Ft!F$2)^2)</f>
        <v>6.8309171166069273E-170</v>
      </c>
      <c r="J84" s="26">
        <f>Ft!G$3*EXP(Ft!G$38*($A84-Ft!G$2)^2)</f>
        <v>0</v>
      </c>
    </row>
    <row r="85" spans="1:10">
      <c r="A85" s="19">
        <v>83</v>
      </c>
      <c r="B85" s="28">
        <v>7.5441696910785652</v>
      </c>
      <c r="C85" s="27">
        <f ca="1">OFFSET($B85,1*(ROWS(C$2:C85)-1),0)</f>
        <v>22.244750409105109</v>
      </c>
      <c r="D85" s="26">
        <f>Ft!B$3*EXP(Ft!B$38*($A85-Ft!B$2)^2) +Ft!C$3*EXP(Ft!C$38*($A85-Ft!C$2)^2) + Ft!D$3*EXP(Ft!D$38*($A85-Ft!D$2)^2)+Ft!E$3*EXP(Ft!E$38*($A85-Ft!E$2)^2) +Ft!F$3*EXP(Ft!F$38*($A85-Ft!F$2)^2) + Ft!G$3*EXP(Ft!G$38*($A85-Ft!G$2)^2)</f>
        <v>9.1798404781200009</v>
      </c>
      <c r="E85" s="26">
        <f>Ft!B$3*EXP(Ft!B$38*($A85-Ft!B$2)^2)</f>
        <v>0.54446754545315457</v>
      </c>
      <c r="F85" s="26">
        <f>Ft!C$3*EXP(Ft!C$38*($A85-Ft!C$2)^2)</f>
        <v>7.4210691808432649</v>
      </c>
      <c r="G85" s="26">
        <f>Ft!D$3*EXP(Ft!D$38*($A85-Ft!D$2)^2)</f>
        <v>1.2131051357591809</v>
      </c>
      <c r="H85" s="26">
        <f>Ft!E$3*EXP(Ft!E$38*($A85-Ft!E$2)^2)</f>
        <v>1.1986160644003106E-3</v>
      </c>
      <c r="I85" s="26">
        <f>Ft!F$3*EXP(Ft!F$38*($A85-Ft!F$2)^2)</f>
        <v>1.5574141445947844E-169</v>
      </c>
      <c r="J85" s="26">
        <f>Ft!G$3*EXP(Ft!G$38*($A85-Ft!G$2)^2)</f>
        <v>0</v>
      </c>
    </row>
    <row r="86" spans="1:10">
      <c r="A86" s="19">
        <v>84</v>
      </c>
      <c r="B86" s="28">
        <v>7.7141521591006494</v>
      </c>
      <c r="C86" s="27">
        <f ca="1">OFFSET($B86,1*(ROWS(C$2:C86)-1),0)</f>
        <v>22.645533232781503</v>
      </c>
      <c r="D86" s="26">
        <f>Ft!B$3*EXP(Ft!B$38*($A86-Ft!B$2)^2) +Ft!C$3*EXP(Ft!C$38*($A86-Ft!C$2)^2) + Ft!D$3*EXP(Ft!D$38*($A86-Ft!D$2)^2)+Ft!E$3*EXP(Ft!E$38*($A86-Ft!E$2)^2) +Ft!F$3*EXP(Ft!F$38*($A86-Ft!F$2)^2) + Ft!G$3*EXP(Ft!G$38*($A86-Ft!G$2)^2)</f>
        <v>9.2144463965613923</v>
      </c>
      <c r="E86" s="26">
        <f>Ft!B$3*EXP(Ft!B$38*($A86-Ft!B$2)^2)</f>
        <v>0.49496903027258055</v>
      </c>
      <c r="F86" s="26">
        <f>Ft!C$3*EXP(Ft!C$38*($A86-Ft!C$2)^2)</f>
        <v>7.4867104851821855</v>
      </c>
      <c r="G86" s="26">
        <f>Ft!D$3*EXP(Ft!D$38*($A86-Ft!D$2)^2)</f>
        <v>1.2315367411747122</v>
      </c>
      <c r="H86" s="26">
        <f>Ft!E$3*EXP(Ft!E$38*($A86-Ft!E$2)^2)</f>
        <v>1.2301399319148954E-3</v>
      </c>
      <c r="I86" s="26">
        <f>Ft!F$3*EXP(Ft!F$38*($A86-Ft!F$2)^2)</f>
        <v>3.5477418333938324E-169</v>
      </c>
      <c r="J86" s="26">
        <f>Ft!G$3*EXP(Ft!G$38*($A86-Ft!G$2)^2)</f>
        <v>0</v>
      </c>
    </row>
    <row r="87" spans="1:10">
      <c r="A87" s="19">
        <v>85</v>
      </c>
      <c r="B87" s="28">
        <v>7.8827262081648257</v>
      </c>
      <c r="C87" s="27">
        <f ca="1">OFFSET($B87,1*(ROWS(C$2:C87)-1),0)</f>
        <v>23.02990260638478</v>
      </c>
      <c r="D87" s="26">
        <f>Ft!B$3*EXP(Ft!B$38*($A87-Ft!B$2)^2) +Ft!C$3*EXP(Ft!C$38*($A87-Ft!C$2)^2) + Ft!D$3*EXP(Ft!D$38*($A87-Ft!D$2)^2)+Ft!E$3*EXP(Ft!E$38*($A87-Ft!E$2)^2) +Ft!F$3*EXP(Ft!F$38*($A87-Ft!F$2)^2) + Ft!G$3*EXP(Ft!G$38*($A87-Ft!G$2)^2)</f>
        <v>9.2520579337893221</v>
      </c>
      <c r="E87" s="26">
        <f>Ft!B$3*EXP(Ft!B$38*($A87-Ft!B$2)^2)</f>
        <v>0.44884173193676102</v>
      </c>
      <c r="F87" s="26">
        <f>Ft!C$3*EXP(Ft!C$38*($A87-Ft!C$2)^2)</f>
        <v>7.5517585386521269</v>
      </c>
      <c r="G87" s="26">
        <f>Ft!D$3*EXP(Ft!D$38*($A87-Ft!D$2)^2)</f>
        <v>1.2501952150564928</v>
      </c>
      <c r="H87" s="26">
        <f>Ft!E$3*EXP(Ft!E$38*($A87-Ft!E$2)^2)</f>
        <v>1.2624481439405741E-3</v>
      </c>
      <c r="I87" s="26">
        <f>Ft!F$3*EXP(Ft!F$38*($A87-Ft!F$2)^2)</f>
        <v>8.0746312610844052E-169</v>
      </c>
      <c r="J87" s="26">
        <f>Ft!G$3*EXP(Ft!G$38*($A87-Ft!G$2)^2)</f>
        <v>0</v>
      </c>
    </row>
    <row r="88" spans="1:10">
      <c r="A88" s="19">
        <v>86</v>
      </c>
      <c r="B88" s="28">
        <v>7.992637002132966</v>
      </c>
      <c r="C88" s="27">
        <f ca="1">OFFSET($B88,1*(ROWS(C$2:C88)-1),0)</f>
        <v>23.408598188949128</v>
      </c>
      <c r="D88" s="26">
        <f>Ft!B$3*EXP(Ft!B$38*($A88-Ft!B$2)^2) +Ft!C$3*EXP(Ft!C$38*($A88-Ft!C$2)^2) + Ft!D$3*EXP(Ft!D$38*($A88-Ft!D$2)^2)+Ft!E$3*EXP(Ft!E$38*($A88-Ft!E$2)^2) +Ft!F$3*EXP(Ft!F$38*($A88-Ft!F$2)^2) + Ft!G$3*EXP(Ft!G$38*($A88-Ft!G$2)^2)</f>
        <v>9.2925579562881975</v>
      </c>
      <c r="E88" s="26">
        <f>Ft!B$3*EXP(Ft!B$38*($A88-Ft!B$2)^2)</f>
        <v>0.40599212230477699</v>
      </c>
      <c r="F88" s="26">
        <f>Ft!C$3*EXP(Ft!C$38*($A88-Ft!C$2)^2)</f>
        <v>7.6161878796317088</v>
      </c>
      <c r="G88" s="26">
        <f>Ft!D$3*EXP(Ft!D$38*($A88-Ft!D$2)^2)</f>
        <v>1.2690823953712735</v>
      </c>
      <c r="H88" s="26">
        <f>Ft!E$3*EXP(Ft!E$38*($A88-Ft!E$2)^2)</f>
        <v>1.2955589804399792E-3</v>
      </c>
      <c r="I88" s="26">
        <f>Ft!F$3*EXP(Ft!F$38*($A88-Ft!F$2)^2)</f>
        <v>1.8361839379834768E-168</v>
      </c>
      <c r="J88" s="26">
        <f>Ft!G$3*EXP(Ft!G$38*($A88-Ft!G$2)^2)</f>
        <v>0</v>
      </c>
    </row>
    <row r="89" spans="1:10">
      <c r="A89" s="19">
        <v>87</v>
      </c>
      <c r="B89" s="28">
        <v>8.1120957961436204</v>
      </c>
      <c r="C89" s="27">
        <f ca="1">OFFSET($B89,1*(ROWS(C$2:C89)-1),0)</f>
        <v>23.812698239267917</v>
      </c>
      <c r="D89" s="26">
        <f>Ft!B$3*EXP(Ft!B$38*($A89-Ft!B$2)^2) +Ft!C$3*EXP(Ft!C$38*($A89-Ft!C$2)^2) + Ft!D$3*EXP(Ft!D$38*($A89-Ft!D$2)^2)+Ft!E$3*EXP(Ft!E$38*($A89-Ft!E$2)^2) +Ft!F$3*EXP(Ft!F$38*($A89-Ft!F$2)^2) + Ft!G$3*EXP(Ft!G$38*($A89-Ft!G$2)^2)</f>
        <v>9.335814737018314</v>
      </c>
      <c r="E89" s="26">
        <f>Ft!B$3*EXP(Ft!B$38*($A89-Ft!B$2)^2)</f>
        <v>0.36631201041832501</v>
      </c>
      <c r="F89" s="26">
        <f>Ft!C$3*EXP(Ft!C$38*($A89-Ft!C$2)^2)</f>
        <v>7.6799731169959076</v>
      </c>
      <c r="G89" s="26">
        <f>Ft!D$3*EXP(Ft!D$38*($A89-Ft!D$2)^2)</f>
        <v>1.2882001184893861</v>
      </c>
      <c r="H89" s="26">
        <f>Ft!E$3*EXP(Ft!E$38*($A89-Ft!E$2)^2)</f>
        <v>1.3294911146964523E-3</v>
      </c>
      <c r="I89" s="26">
        <f>Ft!F$3*EXP(Ft!F$38*($A89-Ft!F$2)^2)</f>
        <v>4.1718863106155331E-168</v>
      </c>
      <c r="J89" s="26">
        <f>Ft!G$3*EXP(Ft!G$38*($A89-Ft!G$2)^2)</f>
        <v>0</v>
      </c>
    </row>
    <row r="90" spans="1:10">
      <c r="A90" s="19">
        <v>88</v>
      </c>
      <c r="B90" s="28">
        <v>8.2469018850756015</v>
      </c>
      <c r="C90" s="27">
        <f ca="1">OFFSET($B90,1*(ROWS(C$2:C90)-1),0)</f>
        <v>24.24048730529779</v>
      </c>
      <c r="D90" s="26">
        <f>Ft!B$3*EXP(Ft!B$38*($A90-Ft!B$2)^2) +Ft!C$3*EXP(Ft!C$38*($A90-Ft!C$2)^2) + Ft!D$3*EXP(Ft!D$38*($A90-Ft!D$2)^2)+Ft!E$3*EXP(Ft!E$38*($A90-Ft!E$2)^2) +Ft!F$3*EXP(Ft!F$38*($A90-Ft!F$2)^2) + Ft!G$3*EXP(Ft!G$38*($A90-Ft!G$2)^2)</f>
        <v>9.3816844025659467</v>
      </c>
      <c r="E90" s="26">
        <f>Ft!B$3*EXP(Ft!B$38*($A90-Ft!B$2)^2)</f>
        <v>0.32968097353005466</v>
      </c>
      <c r="F90" s="26">
        <f>Ft!C$3*EXP(Ft!C$38*($A90-Ft!C$2)^2)</f>
        <v>7.7430889465690953</v>
      </c>
      <c r="G90" s="26">
        <f>Ft!D$3*EXP(Ft!D$38*($A90-Ft!D$2)^2)</f>
        <v>1.3075502188458481</v>
      </c>
      <c r="H90" s="26">
        <f>Ft!E$3*EXP(Ft!E$38*($A90-Ft!E$2)^2)</f>
        <v>1.3642636209481999E-3</v>
      </c>
      <c r="I90" s="26">
        <f>Ft!F$3*EXP(Ft!F$38*($A90-Ft!F$2)^2)</f>
        <v>9.4704701819992582E-168</v>
      </c>
      <c r="J90" s="26">
        <f>Ft!G$3*EXP(Ft!G$38*($A90-Ft!G$2)^2)</f>
        <v>0</v>
      </c>
    </row>
    <row r="91" spans="1:10">
      <c r="A91" s="19">
        <v>89</v>
      </c>
      <c r="B91" s="28">
        <v>8.3738897956557139</v>
      </c>
      <c r="C91" s="27">
        <f ca="1">OFFSET($B91,1*(ROWS(C$2:C91)-1),0)</f>
        <v>24.67964745736748</v>
      </c>
      <c r="D91" s="26">
        <f>Ft!B$3*EXP(Ft!B$38*($A91-Ft!B$2)^2) +Ft!C$3*EXP(Ft!C$38*($A91-Ft!C$2)^2) + Ft!D$3*EXP(Ft!D$38*($A91-Ft!D$2)^2)+Ft!E$3*EXP(Ft!E$38*($A91-Ft!E$2)^2) +Ft!F$3*EXP(Ft!F$38*($A91-Ft!F$2)^2) + Ft!G$3*EXP(Ft!G$38*($A91-Ft!G$2)^2)</f>
        <v>9.4300132914912052</v>
      </c>
      <c r="E91" s="26">
        <f>Ft!B$3*EXP(Ft!B$38*($A91-Ft!B$2)^2)</f>
        <v>0.29596869926296654</v>
      </c>
      <c r="F91" s="26">
        <f>Ft!C$3*EXP(Ft!C$38*($A91-Ft!C$2)^2)</f>
        <v>7.8055101676493148</v>
      </c>
      <c r="G91" s="26">
        <f>Ft!D$3*EXP(Ft!D$38*($A91-Ft!D$2)^2)</f>
        <v>1.3271345285967748</v>
      </c>
      <c r="H91" s="26">
        <f>Ft!E$3*EXP(Ft!E$38*($A91-Ft!E$2)^2)</f>
        <v>1.3998959821506073E-3</v>
      </c>
      <c r="I91" s="26">
        <f>Ft!F$3*EXP(Ft!F$38*($A91-Ft!F$2)^2)</f>
        <v>2.147995725112129E-167</v>
      </c>
      <c r="J91" s="26">
        <f>Ft!G$3*EXP(Ft!G$38*($A91-Ft!G$2)^2)</f>
        <v>0</v>
      </c>
    </row>
    <row r="92" spans="1:10">
      <c r="A92" s="19">
        <v>90</v>
      </c>
      <c r="B92" s="28">
        <v>8.5076102389976427</v>
      </c>
      <c r="C92" s="27">
        <f ca="1">OFFSET($B92,1*(ROWS(C$2:C92)-1),0)</f>
        <v>25.087396458903925</v>
      </c>
      <c r="D92" s="26">
        <f>Ft!B$3*EXP(Ft!B$38*($A92-Ft!B$2)^2) +Ft!C$3*EXP(Ft!C$38*($A92-Ft!C$2)^2) + Ft!D$3*EXP(Ft!D$38*($A92-Ft!D$2)^2)+Ft!E$3*EXP(Ft!E$38*($A92-Ft!E$2)^2) +Ft!F$3*EXP(Ft!F$38*($A92-Ft!F$2)^2) + Ft!G$3*EXP(Ft!G$38*($A92-Ft!G$2)^2)</f>
        <v>9.4806401990804297</v>
      </c>
      <c r="E92" s="26">
        <f>Ft!B$3*EXP(Ft!B$38*($A92-Ft!B$2)^2)</f>
        <v>0.26503721412255321</v>
      </c>
      <c r="F92" s="26">
        <f>Ft!C$3*EXP(Ft!C$38*($A92-Ft!C$2)^2)</f>
        <v>7.8672116995889008</v>
      </c>
      <c r="G92" s="26">
        <f>Ft!D$3*EXP(Ft!D$38*($A92-Ft!D$2)^2)</f>
        <v>1.3469548772711082</v>
      </c>
      <c r="H92" s="26">
        <f>Ft!E$3*EXP(Ft!E$38*($A92-Ft!E$2)^2)</f>
        <v>1.436408097868306E-3</v>
      </c>
      <c r="I92" s="26">
        <f>Ft!F$3*EXP(Ft!F$38*($A92-Ft!F$2)^2)</f>
        <v>4.8676358370386105E-167</v>
      </c>
      <c r="J92" s="26">
        <f>Ft!G$3*EXP(Ft!G$38*($A92-Ft!G$2)^2)</f>
        <v>0</v>
      </c>
    </row>
    <row r="93" spans="1:10">
      <c r="A93" s="19">
        <v>91</v>
      </c>
      <c r="B93" s="28">
        <v>8.6344773123532832</v>
      </c>
      <c r="C93" s="27">
        <f ca="1">OFFSET($B93,1*(ROWS(C$2:C93)-1),0)</f>
        <v>25.513182195821116</v>
      </c>
      <c r="D93" s="26">
        <f>Ft!B$3*EXP(Ft!B$38*($A93-Ft!B$2)^2) +Ft!C$3*EXP(Ft!C$38*($A93-Ft!C$2)^2) + Ft!D$3*EXP(Ft!D$38*($A93-Ft!D$2)^2)+Ft!E$3*EXP(Ft!E$38*($A93-Ft!E$2)^2) +Ft!F$3*EXP(Ft!F$38*($A93-Ft!F$2)^2) + Ft!G$3*EXP(Ft!G$38*($A93-Ft!G$2)^2)</f>
        <v>9.5333984880479985</v>
      </c>
      <c r="E93" s="26">
        <f>Ft!B$3*EXP(Ft!B$38*($A93-Ft!B$2)^2)</f>
        <v>0.23674297792162127</v>
      </c>
      <c r="F93" s="26">
        <f>Ft!C$3*EXP(Ft!C$38*($A93-Ft!C$2)^2)</f>
        <v>7.9281685984163905</v>
      </c>
      <c r="G93" s="26">
        <f>Ft!D$3*EXP(Ft!D$38*($A93-Ft!D$2)^2)</f>
        <v>1.3670130914176881</v>
      </c>
      <c r="H93" s="26">
        <f>Ft!E$3*EXP(Ft!E$38*($A93-Ft!E$2)^2)</f>
        <v>1.4738202922987688E-3</v>
      </c>
      <c r="I93" s="26">
        <f>Ft!F$3*EXP(Ft!F$38*($A93-Ft!F$2)^2)</f>
        <v>1.1021115213273805E-166</v>
      </c>
      <c r="J93" s="26">
        <f>Ft!G$3*EXP(Ft!G$38*($A93-Ft!G$2)^2)</f>
        <v>0</v>
      </c>
    </row>
    <row r="94" spans="1:10">
      <c r="A94" s="19">
        <v>92</v>
      </c>
      <c r="B94" s="28">
        <v>8.7885767445847591</v>
      </c>
      <c r="C94" s="27">
        <f ca="1">OFFSET($B94,1*(ROWS(C$2:C94)-1),0)</f>
        <v>25.946852757409033</v>
      </c>
      <c r="D94" s="26">
        <f>Ft!B$3*EXP(Ft!B$38*($A94-Ft!B$2)^2) +Ft!C$3*EXP(Ft!C$38*($A94-Ft!C$2)^2) + Ft!D$3*EXP(Ft!D$38*($A94-Ft!D$2)^2)+Ft!E$3*EXP(Ft!E$38*($A94-Ft!E$2)^2) +Ft!F$3*EXP(Ft!F$38*($A94-Ft!F$2)^2) + Ft!G$3*EXP(Ft!G$38*($A94-Ft!G$2)^2)</f>
        <v>9.5881180490259226</v>
      </c>
      <c r="E94" s="26">
        <f>Ft!B$3*EXP(Ft!B$38*($A94-Ft!B$2)^2)</f>
        <v>0.21093882797131713</v>
      </c>
      <c r="F94" s="26">
        <f>Ft!C$3*EXP(Ft!C$38*($A94-Ft!C$2)^2)</f>
        <v>7.9883560734844981</v>
      </c>
      <c r="G94" s="26">
        <f>Ft!D$3*EXP(Ft!D$38*($A94-Ft!D$2)^2)</f>
        <v>1.3873109942476793</v>
      </c>
      <c r="H94" s="26">
        <f>Ft!E$3*EXP(Ft!E$38*($A94-Ft!E$2)^2)</f>
        <v>1.5121533224290668E-3</v>
      </c>
      <c r="I94" s="26">
        <f>Ft!F$3*EXP(Ft!F$38*($A94-Ft!F$2)^2)</f>
        <v>2.4931924355696838E-166</v>
      </c>
      <c r="J94" s="26">
        <f>Ft!G$3*EXP(Ft!G$38*($A94-Ft!G$2)^2)</f>
        <v>0</v>
      </c>
    </row>
    <row r="95" spans="1:10">
      <c r="A95" s="19">
        <v>93</v>
      </c>
      <c r="B95" s="28">
        <v>8.9464760474274385</v>
      </c>
      <c r="C95" s="27">
        <f ca="1">OFFSET($B95,1*(ROWS(C$2:C95)-1),0)</f>
        <v>26.388888023433736</v>
      </c>
      <c r="D95" s="26">
        <f>Ft!B$3*EXP(Ft!B$38*($A95-Ft!B$2)^2) +Ft!C$3*EXP(Ft!C$38*($A95-Ft!C$2)^2) + Ft!D$3*EXP(Ft!D$38*($A95-Ft!D$2)^2)+Ft!E$3*EXP(Ft!E$38*($A95-Ft!E$2)^2) +Ft!F$3*EXP(Ft!F$38*($A95-Ft!F$2)^2) + Ft!G$3*EXP(Ft!G$38*($A95-Ft!G$2)^2)</f>
        <v>9.6446270988410898</v>
      </c>
      <c r="E95" s="26">
        <f>Ft!B$3*EXP(Ft!B$38*($A95-Ft!B$2)^2)</f>
        <v>0.18747576105361058</v>
      </c>
      <c r="F95" s="26">
        <f>Ft!C$3*EXP(Ft!C$38*($A95-Ft!C$2)^2)</f>
        <v>8.0477495041287668</v>
      </c>
      <c r="G95" s="26">
        <f>Ft!D$3*EXP(Ft!D$38*($A95-Ft!D$2)^2)</f>
        <v>1.4078504052723848</v>
      </c>
      <c r="H95" s="26">
        <f>Ft!E$3*EXP(Ft!E$38*($A95-Ft!E$2)^2)</f>
        <v>1.551428386327566E-3</v>
      </c>
      <c r="I95" s="26">
        <f>Ft!F$3*EXP(Ft!F$38*($A95-Ft!F$2)^2)</f>
        <v>5.6351937695078504E-166</v>
      </c>
      <c r="J95" s="26">
        <f>Ft!G$3*EXP(Ft!G$38*($A95-Ft!G$2)^2)</f>
        <v>0</v>
      </c>
    </row>
    <row r="96" spans="1:10">
      <c r="A96" s="19">
        <v>94</v>
      </c>
      <c r="B96" s="28">
        <v>9.1133830614483031</v>
      </c>
      <c r="C96" s="27">
        <f ca="1">OFFSET($B96,1*(ROWS(C$2:C96)-1),0)</f>
        <v>26.780087100169624</v>
      </c>
      <c r="D96" s="26">
        <f>Ft!B$3*EXP(Ft!B$38*($A96-Ft!B$2)^2) +Ft!C$3*EXP(Ft!C$38*($A96-Ft!C$2)^2) + Ft!D$3*EXP(Ft!D$38*($A96-Ft!D$2)^2)+Ft!E$3*EXP(Ft!E$38*($A96-Ft!E$2)^2) +Ft!F$3*EXP(Ft!F$38*($A96-Ft!F$2)^2) + Ft!G$3*EXP(Ft!G$38*($A96-Ft!G$2)^2)</f>
        <v>9.7027538085346041</v>
      </c>
      <c r="E96" s="26">
        <f>Ft!B$3*EXP(Ft!B$38*($A96-Ft!B$2)^2)</f>
        <v>0.16620454514517469</v>
      </c>
      <c r="F96" s="26">
        <f>Ft!C$3*EXP(Ft!C$38*($A96-Ft!C$2)^2)</f>
        <v>8.1063244563213921</v>
      </c>
      <c r="G96" s="26">
        <f>Ft!D$3*EXP(Ft!D$38*($A96-Ft!D$2)^2)</f>
        <v>1.4286331399364647</v>
      </c>
      <c r="H96" s="26">
        <f>Ft!E$3*EXP(Ft!E$38*($A96-Ft!E$2)^2)</f>
        <v>1.5916671315722572E-3</v>
      </c>
      <c r="I96" s="26">
        <f>Ft!F$3*EXP(Ft!F$38*($A96-Ft!F$2)^2)</f>
        <v>1.2725788560533341E-165</v>
      </c>
      <c r="J96" s="26">
        <f>Ft!G$3*EXP(Ft!G$38*($A96-Ft!G$2)^2)</f>
        <v>0</v>
      </c>
    </row>
    <row r="97" spans="1:10">
      <c r="A97" s="19">
        <v>95</v>
      </c>
      <c r="B97" s="28">
        <v>9.2632725513311698</v>
      </c>
      <c r="C97" s="27">
        <f ca="1">OFFSET($B97,1*(ROWS(C$2:C97)-1),0)</f>
        <v>27.198130802772084</v>
      </c>
      <c r="D97" s="26">
        <f>Ft!B$3*EXP(Ft!B$38*($A97-Ft!B$2)^2) +Ft!C$3*EXP(Ft!C$38*($A97-Ft!C$2)^2) + Ft!D$3*EXP(Ft!D$38*($A97-Ft!D$2)^2)+Ft!E$3*EXP(Ft!E$38*($A97-Ft!E$2)^2) +Ft!F$3*EXP(Ft!F$38*($A97-Ft!F$2)^2) + Ft!G$3*EXP(Ft!G$38*($A97-Ft!G$2)^2)</f>
        <v>9.7623277567628417</v>
      </c>
      <c r="E97" s="26">
        <f>Ft!B$3*EXP(Ft!B$38*($A97-Ft!B$2)^2)</f>
        <v>0.14697715654782983</v>
      </c>
      <c r="F97" s="26">
        <f>Ft!C$3*EXP(Ft!C$38*($A97-Ft!C$2)^2)</f>
        <v>8.1640566993046058</v>
      </c>
      <c r="G97" s="26">
        <f>Ft!D$3*EXP(Ft!D$38*($A97-Ft!D$2)^2)</f>
        <v>1.4496610092465883</v>
      </c>
      <c r="H97" s="26">
        <f>Ft!E$3*EXP(Ft!E$38*($A97-Ft!E$2)^2)</f>
        <v>1.6328916638174557E-3</v>
      </c>
      <c r="I97" s="26">
        <f>Ft!F$3*EXP(Ft!F$38*($A97-Ft!F$2)^2)</f>
        <v>2.8713315808241231E-165</v>
      </c>
      <c r="J97" s="26">
        <f>Ft!G$3*EXP(Ft!G$38*($A97-Ft!G$2)^2)</f>
        <v>0</v>
      </c>
    </row>
    <row r="98" spans="1:10">
      <c r="A98" s="19">
        <v>96</v>
      </c>
      <c r="B98" s="28">
        <v>9.4320488532431455</v>
      </c>
      <c r="C98" s="27">
        <f ca="1">OFFSET($B98,1*(ROWS(C$2:C98)-1),0)</f>
        <v>27.641328953002471</v>
      </c>
      <c r="D98" s="26">
        <f>Ft!B$3*EXP(Ft!B$38*($A98-Ft!B$2)^2) +Ft!C$3*EXP(Ft!C$38*($A98-Ft!C$2)^2) + Ft!D$3*EXP(Ft!D$38*($A98-Ft!D$2)^2)+Ft!E$3*EXP(Ft!E$38*($A98-Ft!E$2)^2) +Ft!F$3*EXP(Ft!F$38*($A98-Ft!F$2)^2) + Ft!G$3*EXP(Ft!G$38*($A98-Ft!G$2)^2)</f>
        <v>9.8231812075859892</v>
      </c>
      <c r="E98" s="26">
        <f>Ft!B$3*EXP(Ft!B$38*($A98-Ft!B$2)^2)</f>
        <v>0.12964804144706885</v>
      </c>
      <c r="F98" s="26">
        <f>Ft!C$3*EXP(Ft!C$38*($A98-Ft!C$2)^2)</f>
        <v>8.2209222221878733</v>
      </c>
      <c r="G98" s="26">
        <f>Ft!D$3*EXP(Ft!D$38*($A98-Ft!D$2)^2)</f>
        <v>1.4709358193955464</v>
      </c>
      <c r="H98" s="26">
        <f>Ft!E$3*EXP(Ft!E$38*($A98-Ft!E$2)^2)</f>
        <v>1.6751245555006586E-3</v>
      </c>
      <c r="I98" s="26">
        <f>Ft!F$3*EXP(Ft!F$38*($A98-Ft!F$2)^2)</f>
        <v>6.4729877869210123E-165</v>
      </c>
      <c r="J98" s="26">
        <f>Ft!G$3*EXP(Ft!G$38*($A98-Ft!G$2)^2)</f>
        <v>0</v>
      </c>
    </row>
    <row r="99" spans="1:10">
      <c r="A99" s="19">
        <v>97</v>
      </c>
      <c r="B99" s="28">
        <v>9.6051338966068158</v>
      </c>
      <c r="C99" s="27">
        <f ca="1">OFFSET($B99,1*(ROWS(C$2:C99)-1),0)</f>
        <v>28.066420625154336</v>
      </c>
      <c r="D99" s="26">
        <f>Ft!B$3*EXP(Ft!B$38*($A99-Ft!B$2)^2) +Ft!C$3*EXP(Ft!C$38*($A99-Ft!C$2)^2) + Ft!D$3*EXP(Ft!D$38*($A99-Ft!D$2)^2)+Ft!E$3*EXP(Ft!E$38*($A99-Ft!E$2)^2) +Ft!F$3*EXP(Ft!F$38*($A99-Ft!F$2)^2) + Ft!G$3*EXP(Ft!G$38*($A99-Ft!G$2)^2)</f>
        <v>9.8851502146608325</v>
      </c>
      <c r="E99" s="26">
        <f>Ft!B$3*EXP(Ft!B$38*($A99-Ft!B$2)^2)</f>
        <v>0.11407520393115676</v>
      </c>
      <c r="F99" s="26">
        <f>Ft!C$3*EXP(Ft!C$38*($A99-Ft!C$2)^2)</f>
        <v>8.2768972504931302</v>
      </c>
      <c r="G99" s="26">
        <f>Ft!D$3*EXP(Ft!D$38*($A99-Ft!D$2)^2)</f>
        <v>1.4924593713818557</v>
      </c>
      <c r="H99" s="26">
        <f>Ft!E$3*EXP(Ft!E$38*($A99-Ft!E$2)^2)</f>
        <v>1.7183888546912504E-3</v>
      </c>
      <c r="I99" s="26">
        <f>Ft!F$3*EXP(Ft!F$38*($A99-Ft!F$2)^2)</f>
        <v>1.4579714611717744E-164</v>
      </c>
      <c r="J99" s="26">
        <f>Ft!G$3*EXP(Ft!G$38*($A99-Ft!G$2)^2)</f>
        <v>0</v>
      </c>
    </row>
    <row r="100" spans="1:10">
      <c r="A100" s="19">
        <v>98</v>
      </c>
      <c r="B100" s="28">
        <v>9.7876246534981419</v>
      </c>
      <c r="C100" s="27">
        <f ca="1">OFFSET($B100,1*(ROWS(C$2:C100)-1),0)</f>
        <v>28.511654506547842</v>
      </c>
      <c r="D100" s="26">
        <f>Ft!B$3*EXP(Ft!B$38*($A100-Ft!B$2)^2) +Ft!C$3*EXP(Ft!C$38*($A100-Ft!C$2)^2) + Ft!D$3*EXP(Ft!D$38*($A100-Ft!D$2)^2)+Ft!E$3*EXP(Ft!E$38*($A100-Ft!E$2)^2) +Ft!F$3*EXP(Ft!F$38*($A100-Ft!F$2)^2) + Ft!G$3*EXP(Ft!G$38*($A100-Ft!G$2)^2)</f>
        <v>9.9480755564860317</v>
      </c>
      <c r="E100" s="26">
        <f>Ft!B$3*EXP(Ft!B$38*($A100-Ft!B$2)^2)</f>
        <v>0.10012112513484855</v>
      </c>
      <c r="F100" s="26">
        <f>Ft!C$3*EXP(Ft!C$38*($A100-Ft!C$2)^2)</f>
        <v>8.3319582626322166</v>
      </c>
      <c r="G100" s="26">
        <f>Ft!D$3*EXP(Ft!D$38*($A100-Ft!D$2)^2)</f>
        <v>1.5142334606248848</v>
      </c>
      <c r="H100" s="26">
        <f>Ft!E$3*EXP(Ft!E$38*($A100-Ft!E$2)^2)</f>
        <v>1.7627080940829131E-3</v>
      </c>
      <c r="I100" s="26">
        <f>Ft!F$3*EXP(Ft!F$38*($A100-Ft!F$2)^2)</f>
        <v>3.2810742156647078E-164</v>
      </c>
      <c r="J100" s="26">
        <f>Ft!G$3*EXP(Ft!G$38*($A100-Ft!G$2)^2)</f>
        <v>0</v>
      </c>
    </row>
    <row r="101" spans="1:10">
      <c r="A101" s="19">
        <v>99</v>
      </c>
      <c r="B101" s="28">
        <v>9.942575092701702</v>
      </c>
      <c r="C101" s="27">
        <f ca="1">OFFSET($B101,1*(ROWS(C$2:C101)-1),0)</f>
        <v>28.999358702288845</v>
      </c>
      <c r="D101" s="26">
        <f>Ft!B$3*EXP(Ft!B$38*($A101-Ft!B$2)^2) +Ft!C$3*EXP(Ft!C$38*($A101-Ft!C$2)^2) + Ft!D$3*EXP(Ft!D$38*($A101-Ft!D$2)^2)+Ft!E$3*EXP(Ft!E$38*($A101-Ft!E$2)^2) +Ft!F$3*EXP(Ft!F$38*($A101-Ft!F$2)^2) + Ft!G$3*EXP(Ft!G$38*($A101-Ft!G$2)^2)</f>
        <v>10.011803509587708</v>
      </c>
      <c r="E101" s="26">
        <f>Ft!B$3*EXP(Ft!B$38*($A101-Ft!B$2)^2)</f>
        <v>8.765352041147062E-2</v>
      </c>
      <c r="F101" s="26">
        <f>Ft!C$3*EXP(Ft!C$38*($A101-Ft!C$2)^2)</f>
        <v>8.3860820063005708</v>
      </c>
      <c r="G101" s="26">
        <f>Ft!D$3*EXP(Ft!D$38*($A101-Ft!D$2)^2)</f>
        <v>1.5362598765755351</v>
      </c>
      <c r="H101" s="26">
        <f>Ft!E$3*EXP(Ft!E$38*($A101-Ft!E$2)^2)</f>
        <v>1.808106300131427E-3</v>
      </c>
      <c r="I101" s="26">
        <f>Ft!F$3*EXP(Ft!F$38*($A101-Ft!F$2)^2)</f>
        <v>7.3774432990079354E-164</v>
      </c>
      <c r="J101" s="26">
        <f>Ft!G$3*EXP(Ft!G$38*($A101-Ft!G$2)^2)</f>
        <v>0</v>
      </c>
    </row>
    <row r="102" spans="1:10">
      <c r="A102" s="19">
        <v>100</v>
      </c>
      <c r="B102" s="28">
        <v>10.099000759053354</v>
      </c>
      <c r="C102" s="27">
        <f ca="1">OFFSET($B102,1*(ROWS(C$2:C102)-1),0)</f>
        <v>29.466522888956916</v>
      </c>
      <c r="D102" s="26">
        <f>Ft!B$3*EXP(Ft!B$38*($A102-Ft!B$2)^2) +Ft!C$3*EXP(Ft!C$38*($A102-Ft!C$2)^2) + Ft!D$3*EXP(Ft!D$38*($A102-Ft!D$2)^2)+Ft!E$3*EXP(Ft!E$38*($A102-Ft!E$2)^2) +Ft!F$3*EXP(Ft!F$38*($A102-Ft!F$2)^2) + Ft!G$3*EXP(Ft!G$38*($A102-Ft!G$2)^2)</f>
        <v>10.076186468379438</v>
      </c>
      <c r="E102" s="26">
        <f>Ft!B$3*EXP(Ft!B$38*($A102-Ft!B$2)^2)</f>
        <v>7.6545943283247361E-2</v>
      </c>
      <c r="F102" s="26">
        <f>Ft!C$3*EXP(Ft!C$38*($A102-Ft!C$2)^2)</f>
        <v>8.4392455147713417</v>
      </c>
      <c r="G102" s="26">
        <f>Ft!D$3*EXP(Ft!D$38*($A102-Ft!D$2)^2)</f>
        <v>1.5585404023225102</v>
      </c>
      <c r="H102" s="26">
        <f>Ft!E$3*EXP(Ft!E$38*($A102-Ft!E$2)^2)</f>
        <v>1.8546080023397308E-3</v>
      </c>
      <c r="I102" s="26">
        <f>Ft!F$3*EXP(Ft!F$38*($A102-Ft!F$2)^2)</f>
        <v>1.6573662934210998E-163</v>
      </c>
      <c r="J102" s="26">
        <f>Ft!G$3*EXP(Ft!G$38*($A102-Ft!G$2)^2)</f>
        <v>0</v>
      </c>
    </row>
    <row r="103" spans="1:10">
      <c r="A103" s="19">
        <v>101</v>
      </c>
      <c r="B103" s="28">
        <v>10.273225602924725</v>
      </c>
      <c r="C103" s="27">
        <f ca="1">OFFSET($B103,1*(ROWS(C$2:C103)-1),0)</f>
        <v>29.900043858489028</v>
      </c>
      <c r="D103" s="26">
        <f>Ft!B$3*EXP(Ft!B$38*($A103-Ft!B$2)^2) +Ft!C$3*EXP(Ft!C$38*($A103-Ft!C$2)^2) + Ft!D$3*EXP(Ft!D$38*($A103-Ft!D$2)^2)+Ft!E$3*EXP(Ft!E$38*($A103-Ft!E$2)^2) +Ft!F$3*EXP(Ft!F$38*($A103-Ft!F$2)^2) + Ft!G$3*EXP(Ft!G$38*($A103-Ft!G$2)^2)</f>
        <v>10.141083421890881</v>
      </c>
      <c r="E103" s="26">
        <f>Ft!B$3*EXP(Ft!B$38*($A103-Ft!B$2)^2)</f>
        <v>6.667824638001553E-2</v>
      </c>
      <c r="F103" s="26">
        <f>Ft!C$3*EXP(Ft!C$38*($A103-Ft!C$2)^2)</f>
        <v>8.4914261230739552</v>
      </c>
      <c r="G103" s="26">
        <f>Ft!D$3*EXP(Ft!D$38*($A103-Ft!D$2)^2)</f>
        <v>1.5810768141942178</v>
      </c>
      <c r="H103" s="26">
        <f>Ft!E$3*EXP(Ft!E$38*($A103-Ft!E$2)^2)</f>
        <v>1.9022382426919892E-3</v>
      </c>
      <c r="I103" s="26">
        <f>Ft!F$3*EXP(Ft!F$38*($A103-Ft!F$2)^2)</f>
        <v>3.7200940481811441E-163</v>
      </c>
      <c r="J103" s="26">
        <f>Ft!G$3*EXP(Ft!G$38*($A103-Ft!G$2)^2)</f>
        <v>0</v>
      </c>
    </row>
    <row r="104" spans="1:10">
      <c r="A104" s="19">
        <v>102</v>
      </c>
      <c r="B104" s="28">
        <v>10.439505247681268</v>
      </c>
      <c r="C104" s="27">
        <f ca="1">OFFSET($B104,1*(ROWS(C$2:C104)-1),0)</f>
        <v>30.344535046934908</v>
      </c>
      <c r="D104" s="26">
        <f>Ft!B$3*EXP(Ft!B$38*($A104-Ft!B$2)^2) +Ft!C$3*EXP(Ft!C$38*($A104-Ft!C$2)^2) + Ft!D$3*EXP(Ft!D$38*($A104-Ft!D$2)^2)+Ft!E$3*EXP(Ft!E$38*($A104-Ft!E$2)^2) +Ft!F$3*EXP(Ft!F$38*($A104-Ft!F$2)^2) + Ft!G$3*EXP(Ft!G$38*($A104-Ft!G$2)^2)</f>
        <v>10.206360298649571</v>
      </c>
      <c r="E104" s="26">
        <f>Ft!B$3*EXP(Ft!B$38*($A104-Ft!B$2)^2)</f>
        <v>5.7936910666707808E-2</v>
      </c>
      <c r="F104" s="26">
        <f>Ft!C$3*EXP(Ft!C$38*($A104-Ft!C$2)^2)</f>
        <v>8.5426014840412936</v>
      </c>
      <c r="G104" s="26">
        <f>Ft!D$3*EXP(Ft!D$38*($A104-Ft!D$2)^2)</f>
        <v>1.6038708813563312</v>
      </c>
      <c r="H104" s="26">
        <f>Ft!E$3*EXP(Ft!E$38*($A104-Ft!E$2)^2)</f>
        <v>1.951022585238495E-3</v>
      </c>
      <c r="I104" s="26">
        <f>Ft!F$3*EXP(Ft!F$38*($A104-Ft!F$2)^2)</f>
        <v>8.3428057589997588E-163</v>
      </c>
      <c r="J104" s="26">
        <f>Ft!G$3*EXP(Ft!G$38*($A104-Ft!G$2)^2)</f>
        <v>0</v>
      </c>
    </row>
    <row r="105" spans="1:10">
      <c r="A105" s="19">
        <v>103</v>
      </c>
      <c r="B105" s="28">
        <v>10.619584116897244</v>
      </c>
      <c r="C105" s="27">
        <f ca="1">OFFSET($B105,1*(ROWS(C$2:C105)-1),0)</f>
        <v>30.843894465265123</v>
      </c>
      <c r="D105" s="26">
        <f>Ft!B$3*EXP(Ft!B$38*($A105-Ft!B$2)^2) +Ft!C$3*EXP(Ft!C$38*($A105-Ft!C$2)^2) + Ft!D$3*EXP(Ft!D$38*($A105-Ft!D$2)^2)+Ft!E$3*EXP(Ft!E$38*($A105-Ft!E$2)^2) +Ft!F$3*EXP(Ft!F$38*($A105-Ft!F$2)^2) + Ft!G$3*EXP(Ft!G$38*($A105-Ft!G$2)^2)</f>
        <v>10.271890191743291</v>
      </c>
      <c r="E105" s="26">
        <f>Ft!B$3*EXP(Ft!B$38*($A105-Ft!B$2)^2)</f>
        <v>5.0215255002795708E-2</v>
      </c>
      <c r="F105" s="26">
        <f>Ft!C$3*EXP(Ft!C$38*($A105-Ft!C$2)^2)</f>
        <v>8.5927495842096029</v>
      </c>
      <c r="G105" s="26">
        <f>Ft!D$3*EXP(Ft!D$38*($A105-Ft!D$2)^2)</f>
        <v>1.62692436540506</v>
      </c>
      <c r="H105" s="26">
        <f>Ft!E$3*EXP(Ft!E$38*($A105-Ft!E$2)^2)</f>
        <v>2.000987125833199E-3</v>
      </c>
      <c r="I105" s="26">
        <f>Ft!F$3*EXP(Ft!F$38*($A105-Ft!F$2)^2)</f>
        <v>1.8693608391875842E-162</v>
      </c>
      <c r="J105" s="26">
        <f>Ft!G$3*EXP(Ft!G$38*($A105-Ft!G$2)^2)</f>
        <v>0</v>
      </c>
    </row>
    <row r="106" spans="1:10">
      <c r="A106" s="19">
        <v>104</v>
      </c>
      <c r="B106" s="28">
        <v>10.802473385059983</v>
      </c>
      <c r="C106" s="27">
        <f ca="1">OFFSET($B106,1*(ROWS(C$2:C106)-1),0)</f>
        <v>31.294135625455283</v>
      </c>
      <c r="D106" s="26">
        <f>Ft!B$3*EXP(Ft!B$38*($A106-Ft!B$2)^2) +Ft!C$3*EXP(Ft!C$38*($A106-Ft!C$2)^2) + Ft!D$3*EXP(Ft!D$38*($A106-Ft!D$2)^2)+Ft!E$3*EXP(Ft!E$38*($A106-Ft!E$2)^2) +Ft!F$3*EXP(Ft!F$38*($A106-Ft!F$2)^2) + Ft!G$3*EXP(Ft!G$38*($A106-Ft!G$2)^2)</f>
        <v>10.337553476513754</v>
      </c>
      <c r="E106" s="26">
        <f>Ft!B$3*EXP(Ft!B$38*($A106-Ft!B$2)^2)</f>
        <v>4.3413538500166368E-2</v>
      </c>
      <c r="F106" s="26">
        <f>Ft!C$3*EXP(Ft!C$38*($A106-Ft!C$2)^2)</f>
        <v>8.6418487595553906</v>
      </c>
      <c r="G106" s="26">
        <f>Ft!D$3*EXP(Ft!D$38*($A106-Ft!D$2)^2)</f>
        <v>1.6502390199561705</v>
      </c>
      <c r="H106" s="26">
        <f>Ft!E$3*EXP(Ft!E$38*($A106-Ft!E$2)^2)</f>
        <v>2.0521585020257431E-3</v>
      </c>
      <c r="I106" s="26">
        <f>Ft!F$3*EXP(Ft!F$38*($A106-Ft!F$2)^2)</f>
        <v>4.1850142801544725E-162</v>
      </c>
      <c r="J106" s="26">
        <f>Ft!G$3*EXP(Ft!G$38*($A106-Ft!G$2)^2)</f>
        <v>0</v>
      </c>
    </row>
    <row r="107" spans="1:10">
      <c r="A107" s="19">
        <v>105</v>
      </c>
      <c r="B107" s="28">
        <v>10.969696392148194</v>
      </c>
      <c r="C107" s="27">
        <f ca="1">OFFSET($B107,1*(ROWS(C$2:C107)-1),0)</f>
        <v>31.781898328716949</v>
      </c>
      <c r="D107" s="26">
        <f>Ft!B$3*EXP(Ft!B$38*($A107-Ft!B$2)^2) +Ft!C$3*EXP(Ft!C$38*($A107-Ft!C$2)^2) + Ft!D$3*EXP(Ft!D$38*($A107-Ft!D$2)^2)+Ft!E$3*EXP(Ft!E$38*($A107-Ft!E$2)^2) +Ft!F$3*EXP(Ft!F$38*($A107-Ft!F$2)^2) + Ft!G$3*EXP(Ft!G$38*($A107-Ft!G$2)^2)</f>
        <v>10.403237833468026</v>
      </c>
      <c r="E107" s="26">
        <f>Ft!B$3*EXP(Ft!B$38*($A107-Ft!B$2)^2)</f>
        <v>3.7438968281537748E-2</v>
      </c>
      <c r="F107" s="26">
        <f>Ft!C$3*EXP(Ft!C$38*($A107-Ft!C$2)^2)</f>
        <v>8.6898777110535779</v>
      </c>
      <c r="G107" s="26">
        <f>Ft!D$3*EXP(Ft!D$38*($A107-Ft!D$2)^2)</f>
        <v>1.6738165902297999</v>
      </c>
      <c r="H107" s="26">
        <f>Ft!E$3*EXP(Ft!E$38*($A107-Ft!E$2)^2)</f>
        <v>2.104563903109747E-3</v>
      </c>
      <c r="I107" s="26">
        <f>Ft!F$3*EXP(Ft!F$38*($A107-Ft!F$2)^2)</f>
        <v>9.3610279818041936E-162</v>
      </c>
      <c r="J107" s="26">
        <f>Ft!G$3*EXP(Ft!G$38*($A107-Ft!G$2)^2)</f>
        <v>0</v>
      </c>
    </row>
    <row r="108" spans="1:10">
      <c r="A108" s="19">
        <v>106</v>
      </c>
      <c r="B108" s="28">
        <v>11.163340480703027</v>
      </c>
      <c r="C108" s="27">
        <f ca="1">OFFSET($B108,1*(ROWS(C$2:C108)-1),0)</f>
        <v>32.256779118562747</v>
      </c>
      <c r="D108" s="26">
        <f>Ft!B$3*EXP(Ft!B$38*($A108-Ft!B$2)^2) +Ft!C$3*EXP(Ft!C$38*($A108-Ft!C$2)^2) + Ft!D$3*EXP(Ft!D$38*($A108-Ft!D$2)^2)+Ft!E$3*EXP(Ft!E$38*($A108-Ft!E$2)^2) +Ft!F$3*EXP(Ft!F$38*($A108-Ft!F$2)^2) + Ft!G$3*EXP(Ft!G$38*($A108-Ft!G$2)^2)</f>
        <v>10.468838188876733</v>
      </c>
      <c r="E108" s="26">
        <f>Ft!B$3*EXP(Ft!B$38*($A108-Ft!B$2)^2)</f>
        <v>3.2205625123966783E-2</v>
      </c>
      <c r="F108" s="26">
        <f>Ft!C$3*EXP(Ft!C$38*($A108-Ft!C$2)^2)</f>
        <v>8.7368155200413309</v>
      </c>
      <c r="G108" s="26">
        <f>Ft!D$3*EXP(Ft!D$38*($A108-Ft!D$2)^2)</f>
        <v>1.6976588126311063</v>
      </c>
      <c r="H108" s="26">
        <f>Ft!E$3*EXP(Ft!E$38*($A108-Ft!E$2)^2)</f>
        <v>2.1582310803292641E-3</v>
      </c>
      <c r="I108" s="26">
        <f>Ft!F$3*EXP(Ft!F$38*($A108-Ft!F$2)^2)</f>
        <v>2.0920542300819602E-161</v>
      </c>
      <c r="J108" s="26">
        <f>Ft!G$3*EXP(Ft!G$38*($A108-Ft!G$2)^2)</f>
        <v>0</v>
      </c>
    </row>
    <row r="109" spans="1:10">
      <c r="A109" s="19">
        <v>107</v>
      </c>
      <c r="B109" s="28">
        <v>11.332259808034649</v>
      </c>
      <c r="C109" s="27">
        <f ca="1">OFFSET($B109,1*(ROWS(C$2:C109)-1),0)</f>
        <v>32.740730746427261</v>
      </c>
      <c r="D109" s="26">
        <f>Ft!B$3*EXP(Ft!B$38*($A109-Ft!B$2)^2) +Ft!C$3*EXP(Ft!C$38*($A109-Ft!C$2)^2) + Ft!D$3*EXP(Ft!D$38*($A109-Ft!D$2)^2)+Ft!E$3*EXP(Ft!E$38*($A109-Ft!E$2)^2) +Ft!F$3*EXP(Ft!F$38*($A109-Ft!F$2)^2) + Ft!G$3*EXP(Ft!G$38*($A109-Ft!G$2)^2)</f>
        <v>10.534256585193287</v>
      </c>
      <c r="E109" s="26">
        <f>Ft!B$3*EXP(Ft!B$38*($A109-Ft!B$2)^2)</f>
        <v>2.7634319137151888E-2</v>
      </c>
      <c r="F109" s="26">
        <f>Ft!C$3*EXP(Ft!C$38*($A109-Ft!C$2)^2)</f>
        <v>8.7826416633720807</v>
      </c>
      <c r="G109" s="26">
        <f>Ft!D$3*EXP(Ft!D$38*($A109-Ft!D$2)^2)</f>
        <v>1.7217674143268091</v>
      </c>
      <c r="H109" s="26">
        <f>Ft!E$3*EXP(Ft!E$38*($A109-Ft!E$2)^2)</f>
        <v>2.21318835724521E-3</v>
      </c>
      <c r="I109" s="26">
        <f>Ft!F$3*EXP(Ft!F$38*($A109-Ft!F$2)^2)</f>
        <v>4.6713792599903636E-161</v>
      </c>
      <c r="J109" s="26">
        <f>Ft!G$3*EXP(Ft!G$38*($A109-Ft!G$2)^2)</f>
        <v>0</v>
      </c>
    </row>
    <row r="110" spans="1:10">
      <c r="A110" s="19">
        <v>108</v>
      </c>
      <c r="B110" s="28">
        <v>11.52182957950356</v>
      </c>
      <c r="C110" s="27">
        <f ca="1">OFFSET($B110,1*(ROWS(C$2:C110)-1),0)</f>
        <v>33.230181546578848</v>
      </c>
      <c r="D110" s="26">
        <f>Ft!B$3*EXP(Ft!B$38*($A110-Ft!B$2)^2) +Ft!C$3*EXP(Ft!C$38*($A110-Ft!C$2)^2) + Ft!D$3*EXP(Ft!D$38*($A110-Ft!D$2)^2)+Ft!E$3*EXP(Ft!E$38*($A110-Ft!E$2)^2) +Ft!F$3*EXP(Ft!F$38*($A110-Ft!F$2)^2) + Ft!G$3*EXP(Ft!G$38*($A110-Ft!G$2)^2)</f>
        <v>10.599401992912581</v>
      </c>
      <c r="E110" s="26">
        <f>Ft!B$3*EXP(Ft!B$38*($A110-Ft!B$2)^2)</f>
        <v>2.3652387110248019E-2</v>
      </c>
      <c r="F110" s="26">
        <f>Ft!C$3*EXP(Ft!C$38*($A110-Ft!C$2)^2)</f>
        <v>8.8273360283443996</v>
      </c>
      <c r="G110" s="26">
        <f>Ft!D$3*EXP(Ft!D$38*($A110-Ft!D$2)^2)</f>
        <v>1.7461441128176696</v>
      </c>
      <c r="H110" s="26">
        <f>Ft!E$3*EXP(Ft!E$38*($A110-Ft!E$2)^2)</f>
        <v>2.2694646402636283E-3</v>
      </c>
      <c r="I110" s="26">
        <f>Ft!F$3*EXP(Ft!F$38*($A110-Ft!F$2)^2)</f>
        <v>1.0421737110139255E-160</v>
      </c>
      <c r="J110" s="26">
        <f>Ft!G$3*EXP(Ft!G$38*($A110-Ft!G$2)^2)</f>
        <v>0</v>
      </c>
    </row>
    <row r="111" spans="1:10">
      <c r="A111" s="19">
        <v>109</v>
      </c>
      <c r="B111" s="28">
        <v>11.712910322262445</v>
      </c>
      <c r="C111" s="27">
        <f ca="1">OFFSET($B111,1*(ROWS(C$2:C111)-1),0)</f>
        <v>33.722828164831469</v>
      </c>
      <c r="D111" s="26">
        <f>Ft!B$3*EXP(Ft!B$38*($A111-Ft!B$2)^2) +Ft!C$3*EXP(Ft!C$38*($A111-Ft!C$2)^2) + Ft!D$3*EXP(Ft!D$38*($A111-Ft!D$2)^2)+Ft!E$3*EXP(Ft!E$38*($A111-Ft!E$2)^2) +Ft!F$3*EXP(Ft!F$38*($A111-Ft!F$2)^2) + Ft!G$3*EXP(Ft!G$38*($A111-Ft!G$2)^2)</f>
        <v>10.664190074826132</v>
      </c>
      <c r="E111" s="26">
        <f>Ft!B$3*EXP(Ft!B$38*($A111-Ft!B$2)^2)</f>
        <v>2.0193442499286635E-2</v>
      </c>
      <c r="F111" s="26">
        <f>Ft!C$3*EXP(Ft!C$38*($A111-Ft!C$2)^2)</f>
        <v>8.8708789273905655</v>
      </c>
      <c r="G111" s="26">
        <f>Ft!D$3*EXP(Ft!D$38*($A111-Ft!D$2)^2)</f>
        <v>1.7707906155069528</v>
      </c>
      <c r="H111" s="26">
        <f>Ft!E$3*EXP(Ft!E$38*($A111-Ft!E$2)^2)</f>
        <v>2.3270894293276534E-3</v>
      </c>
      <c r="I111" s="26">
        <f>Ft!F$3*EXP(Ft!F$38*($A111-Ft!F$2)^2)</f>
        <v>2.3230464562290641E-160</v>
      </c>
      <c r="J111" s="26">
        <f>Ft!G$3*EXP(Ft!G$38*($A111-Ft!G$2)^2)</f>
        <v>0</v>
      </c>
    </row>
    <row r="112" spans="1:10">
      <c r="A112" s="19">
        <v>110</v>
      </c>
      <c r="B112" s="28">
        <v>11.896485039986999</v>
      </c>
      <c r="C112" s="27">
        <f ca="1">OFFSET($B112,1*(ROWS(C$2:C112)-1),0)</f>
        <v>34.225237407233976</v>
      </c>
      <c r="D112" s="26">
        <f>Ft!B$3*EXP(Ft!B$38*($A112-Ft!B$2)^2) +Ft!C$3*EXP(Ft!C$38*($A112-Ft!C$2)^2) + Ft!D$3*EXP(Ft!D$38*($A112-Ft!D$2)^2)+Ft!E$3*EXP(Ft!E$38*($A112-Ft!E$2)^2) +Ft!F$3*EXP(Ft!F$38*($A112-Ft!F$2)^2) + Ft!G$3*EXP(Ft!G$38*($A112-Ft!G$2)^2)</f>
        <v>10.728542912857579</v>
      </c>
      <c r="E112" s="26">
        <f>Ft!B$3*EXP(Ft!B$38*($A112-Ft!B$2)^2)</f>
        <v>1.719708825403703E-2</v>
      </c>
      <c r="F112" s="26">
        <f>Ft!C$3*EXP(Ft!C$38*($A112-Ft!C$2)^2)</f>
        <v>8.9132511125098208</v>
      </c>
      <c r="G112" s="26">
        <f>Ft!D$3*EXP(Ft!D$38*($A112-Ft!D$2)^2)</f>
        <v>1.7957086192649467</v>
      </c>
      <c r="H112" s="26">
        <f>Ft!E$3*EXP(Ft!E$38*($A112-Ft!E$2)^2)</f>
        <v>2.3860928287750246E-3</v>
      </c>
      <c r="I112" s="26">
        <f>Ft!F$3*EXP(Ft!F$38*($A112-Ft!F$2)^2)</f>
        <v>5.1736669912492764E-160</v>
      </c>
      <c r="J112" s="26">
        <f>Ft!G$3*EXP(Ft!G$38*($A112-Ft!G$2)^2)</f>
        <v>0</v>
      </c>
    </row>
    <row r="113" spans="1:10">
      <c r="A113" s="19">
        <v>111</v>
      </c>
      <c r="B113" s="28">
        <v>12.052797268720155</v>
      </c>
      <c r="C113" s="27">
        <f ca="1">OFFSET($B113,1*(ROWS(C$2:C113)-1),0)</f>
        <v>34.815680286828268</v>
      </c>
      <c r="D113" s="26">
        <f>Ft!B$3*EXP(Ft!B$38*($A113-Ft!B$2)^2) +Ft!C$3*EXP(Ft!C$38*($A113-Ft!C$2)^2) + Ft!D$3*EXP(Ft!D$38*($A113-Ft!D$2)^2)+Ft!E$3*EXP(Ft!E$38*($A113-Ft!E$2)^2) +Ft!F$3*EXP(Ft!F$38*($A113-Ft!F$2)^2) + Ft!G$3*EXP(Ft!G$38*($A113-Ft!G$2)^2)</f>
        <v>10.792388706809561</v>
      </c>
      <c r="E113" s="26">
        <f>Ft!B$3*EXP(Ft!B$38*($A113-Ft!B$2)^2)</f>
        <v>1.4608601830107513E-2</v>
      </c>
      <c r="F113" s="26">
        <f>Ft!C$3*EXP(Ft!C$38*($A113-Ft!C$2)^2)</f>
        <v>8.9544337894315262</v>
      </c>
      <c r="G113" s="26">
        <f>Ft!D$3*EXP(Ft!D$38*($A113-Ft!D$2)^2)</f>
        <v>1.8208998099895644</v>
      </c>
      <c r="H113" s="26">
        <f>Ft!E$3*EXP(Ft!E$38*($A113-Ft!E$2)^2)</f>
        <v>2.4465055583630696E-3</v>
      </c>
      <c r="I113" s="26">
        <f>Ft!F$3*EXP(Ft!F$38*($A113-Ft!F$2)^2)</f>
        <v>1.151229324198295E-159</v>
      </c>
      <c r="J113" s="26">
        <f>Ft!G$3*EXP(Ft!G$38*($A113-Ft!G$2)^2)</f>
        <v>0</v>
      </c>
    </row>
    <row r="114" spans="1:10">
      <c r="A114" s="19">
        <v>112</v>
      </c>
      <c r="B114" s="28">
        <v>12.230686157111478</v>
      </c>
      <c r="C114" s="27">
        <f ca="1">OFFSET($B114,1*(ROWS(C$2:C114)-1),0)</f>
        <v>35.381788283027902</v>
      </c>
      <c r="D114" s="26">
        <f>Ft!B$3*EXP(Ft!B$38*($A114-Ft!B$2)^2) +Ft!C$3*EXP(Ft!C$38*($A114-Ft!C$2)^2) + Ft!D$3*EXP(Ft!D$38*($A114-Ft!D$2)^2)+Ft!E$3*EXP(Ft!E$38*($A114-Ft!E$2)^2) +Ft!F$3*EXP(Ft!F$38*($A114-Ft!F$2)^2) + Ft!G$3*EXP(Ft!G$38*($A114-Ft!G$2)^2)</f>
        <v>10.855661453449686</v>
      </c>
      <c r="E114" s="26">
        <f>Ft!B$3*EXP(Ft!B$38*($A114-Ft!B$2)^2)</f>
        <v>1.2378600828458153E-2</v>
      </c>
      <c r="F114" s="26">
        <f>Ft!C$3*EXP(Ft!C$38*($A114-Ft!C$2)^2)</f>
        <v>8.9944086314936449</v>
      </c>
      <c r="G114" s="26">
        <f>Ft!D$3*EXP(Ft!D$38*($A114-Ft!D$2)^2)</f>
        <v>1.8463658621631198</v>
      </c>
      <c r="H114" s="26">
        <f>Ft!E$3*EXP(Ft!E$38*($A114-Ft!E$2)^2)</f>
        <v>2.5083589644629479E-3</v>
      </c>
      <c r="I114" s="26">
        <f>Ft!F$3*EXP(Ft!F$38*($A114-Ft!F$2)^2)</f>
        <v>2.5594580214476411E-159</v>
      </c>
      <c r="J114" s="26">
        <f>Ft!G$3*EXP(Ft!G$38*($A114-Ft!G$2)^2)</f>
        <v>0</v>
      </c>
    </row>
    <row r="115" spans="1:10">
      <c r="A115" s="19">
        <v>113</v>
      </c>
      <c r="B115" s="28">
        <v>12.409584681204421</v>
      </c>
      <c r="C115" s="27">
        <f ca="1">OFFSET($B115,1*(ROWS(C$2:C115)-1),0)</f>
        <v>35.9312302595755</v>
      </c>
      <c r="D115" s="26">
        <f>Ft!B$3*EXP(Ft!B$38*($A115-Ft!B$2)^2) +Ft!C$3*EXP(Ft!C$38*($A115-Ft!C$2)^2) + Ft!D$3*EXP(Ft!D$38*($A115-Ft!D$2)^2)+Ft!E$3*EXP(Ft!E$38*($A115-Ft!E$2)^2) +Ft!F$3*EXP(Ft!F$38*($A115-Ft!F$2)^2) + Ft!G$3*EXP(Ft!G$38*($A115-Ft!G$2)^2)</f>
        <v>10.918300613435413</v>
      </c>
      <c r="E115" s="26">
        <f>Ft!B$3*EXP(Ft!B$38*($A115-Ft!B$2)^2)</f>
        <v>1.0462696776445459E-2</v>
      </c>
      <c r="F115" s="26">
        <f>Ft!C$3*EXP(Ft!C$38*($A115-Ft!C$2)^2)</f>
        <v>9.0331577932222356</v>
      </c>
      <c r="G115" s="26">
        <f>Ft!D$3*EXP(Ft!D$38*($A115-Ft!D$2)^2)</f>
        <v>1.8721084384053079</v>
      </c>
      <c r="H115" s="26">
        <f>Ft!E$3*EXP(Ft!E$38*($A115-Ft!E$2)^2)</f>
        <v>2.5716850314251366E-3</v>
      </c>
      <c r="I115" s="26">
        <f>Ft!F$3*EXP(Ft!F$38*($A115-Ft!F$2)^2)</f>
        <v>5.6853469643810248E-159</v>
      </c>
      <c r="J115" s="26">
        <f>Ft!G$3*EXP(Ft!G$38*($A115-Ft!G$2)^2)</f>
        <v>0</v>
      </c>
    </row>
    <row r="116" spans="1:10">
      <c r="A116" s="19">
        <v>114</v>
      </c>
      <c r="B116" s="28">
        <v>12.610685455559974</v>
      </c>
      <c r="C116" s="27">
        <f ca="1">OFFSET($B116,1*(ROWS(C$2:C116)-1),0)</f>
        <v>36.494787646648575</v>
      </c>
      <c r="D116" s="26">
        <f>Ft!B$3*EXP(Ft!B$38*($A116-Ft!B$2)^2) +Ft!C$3*EXP(Ft!C$38*($A116-Ft!C$2)^2) + Ft!D$3*EXP(Ft!D$38*($A116-Ft!D$2)^2)+Ft!E$3*EXP(Ft!E$38*($A116-Ft!E$2)^2) +Ft!F$3*EXP(Ft!F$38*($A116-Ft!F$2)^2) + Ft!G$3*EXP(Ft!G$38*($A116-Ft!G$2)^2)</f>
        <v>10.980250772648402</v>
      </c>
      <c r="E116" s="26">
        <f>Ft!B$3*EXP(Ft!B$38*($A116-Ft!B$2)^2)</f>
        <v>8.8211436349530329E-3</v>
      </c>
      <c r="F116" s="26">
        <f>Ft!C$3*EXP(Ft!C$38*($A116-Ft!C$2)^2)</f>
        <v>9.0706639235978557</v>
      </c>
      <c r="G116" s="26">
        <f>Ft!D$3*EXP(Ft!D$38*($A116-Ft!D$2)^2)</f>
        <v>1.8981291890224745</v>
      </c>
      <c r="H116" s="26">
        <f>Ft!E$3*EXP(Ft!E$38*($A116-Ft!E$2)^2)</f>
        <v>2.6365163931179707E-3</v>
      </c>
      <c r="I116" s="26">
        <f>Ft!F$3*EXP(Ft!F$38*($A116-Ft!F$2)^2)</f>
        <v>1.2617947971101485E-158</v>
      </c>
      <c r="J116" s="26">
        <f>Ft!G$3*EXP(Ft!G$38*($A116-Ft!G$2)^2)</f>
        <v>0</v>
      </c>
    </row>
    <row r="117" spans="1:10">
      <c r="A117" s="19">
        <v>115</v>
      </c>
      <c r="B117" s="28">
        <v>12.778784954560876</v>
      </c>
      <c r="C117" s="27">
        <f ca="1">OFFSET($B117,1*(ROWS(C$2:C117)-1),0)</f>
        <v>37.062424050000743</v>
      </c>
      <c r="D117" s="26">
        <f>Ft!B$3*EXP(Ft!B$38*($A117-Ft!B$2)^2) +Ft!C$3*EXP(Ft!C$38*($A117-Ft!C$2)^2) + Ft!D$3*EXP(Ft!D$38*($A117-Ft!D$2)^2)+Ft!E$3*EXP(Ft!E$38*($A117-Ft!E$2)^2) +Ft!F$3*EXP(Ft!F$38*($A117-Ft!F$2)^2) + Ft!G$3*EXP(Ft!G$38*($A117-Ft!G$2)^2)</f>
        <v>11.041461303597604</v>
      </c>
      <c r="E117" s="26">
        <f>Ft!B$3*EXP(Ft!B$38*($A117-Ft!B$2)^2)</f>
        <v>7.4184867046345662E-3</v>
      </c>
      <c r="F117" s="26">
        <f>Ft!C$3*EXP(Ft!C$38*($A117-Ft!C$2)^2)</f>
        <v>9.1069101789951095</v>
      </c>
      <c r="G117" s="26">
        <f>Ft!D$3*EXP(Ft!D$38*($A117-Ft!D$2)^2)</f>
        <v>1.9244297515532185</v>
      </c>
      <c r="H117" s="26">
        <f>Ft!E$3*EXP(Ft!E$38*($A117-Ft!E$2)^2)</f>
        <v>2.7028863446411679E-3</v>
      </c>
      <c r="I117" s="26">
        <f>Ft!F$3*EXP(Ft!F$38*($A117-Ft!F$2)^2)</f>
        <v>2.7979714981686259E-158</v>
      </c>
      <c r="J117" s="26">
        <f>Ft!G$3*EXP(Ft!G$38*($A117-Ft!G$2)^2)</f>
        <v>0</v>
      </c>
    </row>
    <row r="118" spans="1:10">
      <c r="A118" s="19">
        <v>116</v>
      </c>
      <c r="B118" s="28">
        <v>12.96845858955993</v>
      </c>
      <c r="C118" s="27">
        <f ca="1">OFFSET($B118,1*(ROWS(C$2:C118)-1),0)</f>
        <v>37.600718472417498</v>
      </c>
      <c r="D118" s="26">
        <f>Ft!B$3*EXP(Ft!B$38*($A118-Ft!B$2)^2) +Ft!C$3*EXP(Ft!C$38*($A118-Ft!C$2)^2) + Ft!D$3*EXP(Ft!D$38*($A118-Ft!D$2)^2)+Ft!E$3*EXP(Ft!E$38*($A118-Ft!E$2)^2) +Ft!F$3*EXP(Ft!F$38*($A118-Ft!F$2)^2) + Ft!G$3*EXP(Ft!G$38*($A118-Ft!G$2)^2)</f>
        <v>11.101886031673455</v>
      </c>
      <c r="E118" s="26">
        <f>Ft!B$3*EXP(Ft!B$38*($A118-Ft!B$2)^2)</f>
        <v>6.2232167270051836E-3</v>
      </c>
      <c r="F118" s="26">
        <f>Ft!C$3*EXP(Ft!C$38*($A118-Ft!C$2)^2)</f>
        <v>9.141880235781823</v>
      </c>
      <c r="G118" s="26">
        <f>Ft!D$3*EXP(Ft!D$38*($A118-Ft!D$2)^2)</f>
        <v>1.951011750310413</v>
      </c>
      <c r="H118" s="26">
        <f>Ft!E$3*EXP(Ft!E$38*($A118-Ft!E$2)^2)</f>
        <v>2.7708288542162233E-3</v>
      </c>
      <c r="I118" s="26">
        <f>Ft!F$3*EXP(Ft!F$38*($A118-Ft!F$2)^2)</f>
        <v>6.1989857148708692E-158</v>
      </c>
      <c r="J118" s="26">
        <f>Ft!G$3*EXP(Ft!G$38*($A118-Ft!G$2)^2)</f>
        <v>0</v>
      </c>
    </row>
    <row r="119" spans="1:10">
      <c r="A119" s="19">
        <v>117</v>
      </c>
      <c r="B119" s="28">
        <v>13.160353711689652</v>
      </c>
      <c r="C119" s="27">
        <f ca="1">OFFSET($B119,1*(ROWS(C$2:C119)-1),0)</f>
        <v>38.162255768047714</v>
      </c>
      <c r="D119" s="26">
        <f>Ft!B$3*EXP(Ft!B$38*($A119-Ft!B$2)^2) +Ft!C$3*EXP(Ft!C$38*($A119-Ft!C$2)^2) + Ft!D$3*EXP(Ft!D$38*($A119-Ft!D$2)^2)+Ft!E$3*EXP(Ft!E$38*($A119-Ft!E$2)^2) +Ft!F$3*EXP(Ft!F$38*($A119-Ft!F$2)^2) + Ft!G$3*EXP(Ft!G$38*($A119-Ft!G$2)^2)</f>
        <v>11.161482910205624</v>
      </c>
      <c r="E119" s="26">
        <f>Ft!B$3*EXP(Ft!B$38*($A119-Ft!B$2)^2)</f>
        <v>5.2074331460057691E-3</v>
      </c>
      <c r="F119" s="26">
        <f>Ft!C$3*EXP(Ft!C$38*($A119-Ft!C$2)^2)</f>
        <v>9.1755583025646672</v>
      </c>
      <c r="G119" s="26">
        <f>Ft!D$3*EXP(Ft!D$38*($A119-Ft!D$2)^2)</f>
        <v>1.9778767959196946</v>
      </c>
      <c r="H119" s="26">
        <f>Ft!E$3*EXP(Ft!E$38*($A119-Ft!E$2)^2)</f>
        <v>2.84037857525555E-3</v>
      </c>
      <c r="I119" s="26">
        <f>Ft!F$3*EXP(Ft!F$38*($A119-Ft!F$2)^2)</f>
        <v>1.3722106333529095E-157</v>
      </c>
      <c r="J119" s="26">
        <f>Ft!G$3*EXP(Ft!G$38*($A119-Ft!G$2)^2)</f>
        <v>0</v>
      </c>
    </row>
    <row r="120" spans="1:10">
      <c r="A120" s="19">
        <v>118</v>
      </c>
      <c r="B120" s="28">
        <v>13.328736845980472</v>
      </c>
      <c r="C120" s="27">
        <f ca="1">OFFSET($B120,1*(ROWS(C$2:C120)-1),0)</f>
        <v>38.724273346300777</v>
      </c>
      <c r="D120" s="26">
        <f>Ft!B$3*EXP(Ft!B$38*($A120-Ft!B$2)^2) +Ft!C$3*EXP(Ft!C$38*($A120-Ft!C$2)^2) + Ft!D$3*EXP(Ft!D$38*($A120-Ft!D$2)^2)+Ft!E$3*EXP(Ft!E$38*($A120-Ft!E$2)^2) +Ft!F$3*EXP(Ft!F$38*($A120-Ft!F$2)^2) + Ft!G$3*EXP(Ft!G$38*($A120-Ft!G$2)^2)</f>
        <v>11.220213707504074</v>
      </c>
      <c r="E120" s="26">
        <f>Ft!B$3*EXP(Ft!B$38*($A120-Ft!B$2)^2)</f>
        <v>4.3465197225885143E-3</v>
      </c>
      <c r="F120" s="26">
        <f>Ft!C$3*EXP(Ft!C$38*($A120-Ft!C$2)^2)</f>
        <v>9.2079291320683669</v>
      </c>
      <c r="G120" s="26">
        <f>Ft!D$3*EXP(Ft!D$38*($A120-Ft!D$2)^2)</f>
        <v>2.0050264848545063</v>
      </c>
      <c r="H120" s="26">
        <f>Ft!E$3*EXP(Ft!E$38*($A120-Ft!E$2)^2)</f>
        <v>2.9115708586123401E-3</v>
      </c>
      <c r="I120" s="26">
        <f>Ft!F$3*EXP(Ft!F$38*($A120-Ft!F$2)^2)</f>
        <v>3.0348953532020616E-157</v>
      </c>
      <c r="J120" s="26">
        <f>Ft!G$3*EXP(Ft!G$38*($A120-Ft!G$2)^2)</f>
        <v>0</v>
      </c>
    </row>
    <row r="121" spans="1:10">
      <c r="A121" s="19">
        <v>119</v>
      </c>
      <c r="B121" s="28">
        <v>13.499949574380963</v>
      </c>
      <c r="C121" s="27">
        <f ca="1">OFFSET($B121,1*(ROWS(C$2:C121)-1),0)</f>
        <v>39.291900589379082</v>
      </c>
      <c r="D121" s="26">
        <f>Ft!B$3*EXP(Ft!B$38*($A121-Ft!B$2)^2) +Ft!C$3*EXP(Ft!C$38*($A121-Ft!C$2)^2) + Ft!D$3*EXP(Ft!D$38*($A121-Ft!D$2)^2)+Ft!E$3*EXP(Ft!E$38*($A121-Ft!E$2)^2) +Ft!F$3*EXP(Ft!F$38*($A121-Ft!F$2)^2) + Ft!G$3*EXP(Ft!G$38*($A121-Ft!G$2)^2)</f>
        <v>11.278043708354611</v>
      </c>
      <c r="E121" s="26">
        <f>Ft!B$3*EXP(Ft!B$38*($A121-Ft!B$2)^2)</f>
        <v>3.6188349858332441E-3</v>
      </c>
      <c r="F121" s="26">
        <f>Ft!C$3*EXP(Ft!C$38*($A121-Ft!C$2)^2)</f>
        <v>9.238978032636016</v>
      </c>
      <c r="G121" s="26">
        <f>Ft!D$3*EXP(Ft!D$38*($A121-Ft!D$2)^2)</f>
        <v>2.0324623989677493</v>
      </c>
      <c r="H121" s="26">
        <f>Ft!E$3*EXP(Ft!E$38*($A121-Ft!E$2)^2)</f>
        <v>2.9844417650129354E-3</v>
      </c>
      <c r="I121" s="26">
        <f>Ft!F$3*EXP(Ft!F$38*($A121-Ft!F$2)^2)</f>
        <v>6.7064000509231215E-157</v>
      </c>
      <c r="J121" s="26">
        <f>Ft!G$3*EXP(Ft!G$38*($A121-Ft!G$2)^2)</f>
        <v>0</v>
      </c>
    </row>
    <row r="122" spans="1:10">
      <c r="A122" s="19">
        <v>120</v>
      </c>
      <c r="B122" s="28">
        <v>13.6951030192362</v>
      </c>
      <c r="C122" s="27">
        <f ca="1">OFFSET($B122,1*(ROWS(C$2:C122)-1),0)</f>
        <v>39.770823437660511</v>
      </c>
      <c r="D122" s="26">
        <f>Ft!B$3*EXP(Ft!B$38*($A122-Ft!B$2)^2) +Ft!C$3*EXP(Ft!C$38*($A122-Ft!C$2)^2) + Ft!D$3*EXP(Ft!D$38*($A122-Ft!D$2)^2)+Ft!E$3*EXP(Ft!E$38*($A122-Ft!E$2)^2) +Ft!F$3*EXP(Ft!F$38*($A122-Ft!F$2)^2) + Ft!G$3*EXP(Ft!G$38*($A122-Ft!G$2)^2)</f>
        <v>11.334941431799647</v>
      </c>
      <c r="E122" s="26">
        <f>Ft!B$3*EXP(Ft!B$38*($A122-Ft!B$2)^2)</f>
        <v>3.0054193635212462E-3</v>
      </c>
      <c r="F122" s="26">
        <f>Ft!C$3*EXP(Ft!C$38*($A122-Ft!C$2)^2)</f>
        <v>9.2686908793383154</v>
      </c>
      <c r="G122" s="26">
        <f>Ft!D$3*EXP(Ft!D$38*($A122-Ft!D$2)^2)</f>
        <v>2.0601861050201364</v>
      </c>
      <c r="H122" s="26">
        <f>Ft!E$3*EXP(Ft!E$38*($A122-Ft!E$2)^2)</f>
        <v>3.0590280776737278E-3</v>
      </c>
      <c r="I122" s="26">
        <f>Ft!F$3*EXP(Ft!F$38*($A122-Ft!F$2)^2)</f>
        <v>1.4806690129699315E-156</v>
      </c>
      <c r="J122" s="26">
        <f>Ft!G$3*EXP(Ft!G$38*($A122-Ft!G$2)^2)</f>
        <v>0</v>
      </c>
    </row>
    <row r="123" spans="1:10">
      <c r="A123" s="19">
        <v>121</v>
      </c>
      <c r="B123" s="28">
        <v>13.866163896867732</v>
      </c>
      <c r="C123" s="27">
        <f ca="1">OFFSET($B123,1*(ROWS(C$2:C123)-1),0)</f>
        <v>40.168874241063747</v>
      </c>
      <c r="D123" s="26">
        <f>Ft!B$3*EXP(Ft!B$38*($A123-Ft!B$2)^2) +Ft!C$3*EXP(Ft!C$38*($A123-Ft!C$2)^2) + Ft!D$3*EXP(Ft!D$38*($A123-Ft!D$2)^2)+Ft!E$3*EXP(Ft!E$38*($A123-Ft!E$2)^2) +Ft!F$3*EXP(Ft!F$38*($A123-Ft!F$2)^2) + Ft!G$3*EXP(Ft!G$38*($A123-Ft!G$2)^2)</f>
        <v>11.390878366465557</v>
      </c>
      <c r="E123" s="26">
        <f>Ft!B$3*EXP(Ft!B$38*($A123-Ft!B$2)^2)</f>
        <v>2.4897202651061015E-3</v>
      </c>
      <c r="F123" s="26">
        <f>Ft!C$3*EXP(Ft!C$38*($A123-Ft!C$2)^2)</f>
        <v>9.297054124680038</v>
      </c>
      <c r="G123" s="26">
        <f>Ft!D$3*EXP(Ft!D$38*($A123-Ft!D$2)^2)</f>
        <v>2.0881991542053076</v>
      </c>
      <c r="H123" s="26">
        <f>Ft!E$3*EXP(Ft!E$38*($A123-Ft!E$2)^2)</f>
        <v>3.1353673151044248E-3</v>
      </c>
      <c r="I123" s="26">
        <f>Ft!F$3*EXP(Ft!F$38*($A123-Ft!F$2)^2)</f>
        <v>3.2662491851897995E-156</v>
      </c>
      <c r="J123" s="26">
        <f>Ft!G$3*EXP(Ft!G$38*($A123-Ft!G$2)^2)</f>
        <v>0</v>
      </c>
    </row>
    <row r="124" spans="1:10">
      <c r="A124" s="19">
        <v>122</v>
      </c>
      <c r="B124" s="28">
        <v>14.046353878849629</v>
      </c>
      <c r="C124" s="27">
        <f ca="1">OFFSET($B124,1*(ROWS(C$2:C124)-1),0)</f>
        <v>40.446895427419491</v>
      </c>
      <c r="D124" s="26">
        <f>Ft!B$3*EXP(Ft!B$38*($A124-Ft!B$2)^2) +Ft!C$3*EXP(Ft!C$38*($A124-Ft!C$2)^2) + Ft!D$3*EXP(Ft!D$38*($A124-Ft!D$2)^2)+Ft!E$3*EXP(Ft!E$38*($A124-Ft!E$2)^2) +Ft!F$3*EXP(Ft!F$38*($A124-Ft!F$2)^2) + Ft!G$3*EXP(Ft!G$38*($A124-Ft!G$2)^2)</f>
        <v>11.445828724198984</v>
      </c>
      <c r="E124" s="26">
        <f>Ft!B$3*EXP(Ft!B$38*($A124-Ft!B$2)^2)</f>
        <v>2.057335890801953E-3</v>
      </c>
      <c r="F124" s="26">
        <f>Ft!C$3*EXP(Ft!C$38*($A124-Ft!C$2)^2)</f>
        <v>9.3240548088922939</v>
      </c>
      <c r="G124" s="26">
        <f>Ft!D$3*EXP(Ft!D$38*($A124-Ft!D$2)^2)</f>
        <v>2.1165030816717887</v>
      </c>
      <c r="H124" s="26">
        <f>Ft!E$3*EXP(Ft!E$38*($A124-Ft!E$2)^2)</f>
        <v>3.2134977440996192E-3</v>
      </c>
      <c r="I124" s="26">
        <f>Ft!F$3*EXP(Ft!F$38*($A124-Ft!F$2)^2)</f>
        <v>7.1988551743757939E-156</v>
      </c>
      <c r="J124" s="26">
        <f>Ft!G$3*EXP(Ft!G$38*($A124-Ft!G$2)^2)</f>
        <v>0</v>
      </c>
    </row>
    <row r="125" spans="1:10">
      <c r="A125" s="19">
        <v>123</v>
      </c>
      <c r="B125" s="28">
        <v>14.210347087207793</v>
      </c>
      <c r="C125" s="27">
        <f ca="1">OFFSET($B125,1*(ROWS(C$2:C125)-1),0)</f>
        <v>40.674191523788522</v>
      </c>
      <c r="D125" s="26">
        <f>Ft!B$3*EXP(Ft!B$38*($A125-Ft!B$2)^2) +Ft!C$3*EXP(Ft!C$38*($A125-Ft!C$2)^2) + Ft!D$3*EXP(Ft!D$38*($A125-Ft!D$2)^2)+Ft!E$3*EXP(Ft!E$38*($A125-Ft!E$2)^2) +Ft!F$3*EXP(Ft!F$38*($A125-Ft!F$2)^2) + Ft!G$3*EXP(Ft!G$38*($A125-Ft!G$2)^2)</f>
        <v>11.499769212345104</v>
      </c>
      <c r="E125" s="26">
        <f>Ft!B$3*EXP(Ft!B$38*($A125-Ft!B$2)^2)</f>
        <v>1.695778110583762E-3</v>
      </c>
      <c r="F125" s="26">
        <f>Ft!C$3*EXP(Ft!C$38*($A125-Ft!C$2)^2)</f>
        <v>9.3496805697997178</v>
      </c>
      <c r="G125" s="26">
        <f>Ft!D$3*EXP(Ft!D$38*($A125-Ft!D$2)^2)</f>
        <v>2.1450994060418815</v>
      </c>
      <c r="H125" s="26">
        <f>Ft!E$3*EXP(Ft!E$38*($A125-Ft!E$2)^2)</f>
        <v>3.2934583929205632E-3</v>
      </c>
      <c r="I125" s="26">
        <f>Ft!F$3*EXP(Ft!F$38*($A125-Ft!F$2)^2)</f>
        <v>1.5852594625941885E-155</v>
      </c>
      <c r="J125" s="26">
        <f>Ft!G$3*EXP(Ft!G$38*($A125-Ft!G$2)^2)</f>
        <v>0</v>
      </c>
    </row>
    <row r="126" spans="1:10">
      <c r="A126" s="19">
        <v>124</v>
      </c>
      <c r="B126" s="28">
        <v>14.387525308725145</v>
      </c>
      <c r="C126" s="27">
        <f ca="1">OFFSET($B126,1*(ROWS(C$2:C126)-1),0)</f>
        <v>40.823291326657966</v>
      </c>
      <c r="D126" s="26">
        <f>Ft!B$3*EXP(Ft!B$38*($A126-Ft!B$2)^2) +Ft!C$3*EXP(Ft!C$38*($A126-Ft!C$2)^2) + Ft!D$3*EXP(Ft!D$38*($A126-Ft!D$2)^2)+Ft!E$3*EXP(Ft!E$38*($A126-Ft!E$2)^2) +Ft!F$3*EXP(Ft!F$38*($A126-Ft!F$2)^2) + Ft!G$3*EXP(Ft!G$38*($A126-Ft!G$2)^2)</f>
        <v>11.552678824637693</v>
      </c>
      <c r="E126" s="26">
        <f>Ft!B$3*EXP(Ft!B$38*($A126-Ft!B$2)^2)</f>
        <v>1.3942543934493958E-3</v>
      </c>
      <c r="F126" s="26">
        <f>Ft!C$3*EXP(Ft!C$38*($A126-Ft!C$2)^2)</f>
        <v>9.3739196522520185</v>
      </c>
      <c r="G126" s="26">
        <f>Ft!D$3*EXP(Ft!D$38*($A126-Ft!D$2)^2)</f>
        <v>2.1739896289275555</v>
      </c>
      <c r="H126" s="26">
        <f>Ft!E$3*EXP(Ft!E$38*($A126-Ft!E$2)^2)</f>
        <v>3.3752890646690402E-3</v>
      </c>
      <c r="I126" s="26">
        <f>Ft!F$3*EXP(Ft!F$38*($A126-Ft!F$2)^2)</f>
        <v>3.4878682155860237E-155</v>
      </c>
      <c r="J126" s="26">
        <f>Ft!G$3*EXP(Ft!G$38*($A126-Ft!G$2)^2)</f>
        <v>0</v>
      </c>
    </row>
    <row r="127" spans="1:10">
      <c r="A127" s="19">
        <v>125</v>
      </c>
      <c r="B127" s="28">
        <v>14.574217688715834</v>
      </c>
      <c r="C127" s="27">
        <f ca="1">OFFSET($B127,1*(ROWS(C$2:C127)-1),0)</f>
        <v>40.951537460333725</v>
      </c>
      <c r="D127" s="26">
        <f>Ft!B$3*EXP(Ft!B$38*($A127-Ft!B$2)^2) +Ft!C$3*EXP(Ft!C$38*($A127-Ft!C$2)^2) + Ft!D$3*EXP(Ft!D$38*($A127-Ft!D$2)^2)+Ft!E$3*EXP(Ft!E$38*($A127-Ft!E$2)^2) +Ft!F$3*EXP(Ft!F$38*($A127-Ft!F$2)^2) + Ft!G$3*EXP(Ft!G$38*($A127-Ft!G$2)^2)</f>
        <v>11.604538650370586</v>
      </c>
      <c r="E127" s="26">
        <f>Ft!B$3*EXP(Ft!B$38*($A127-Ft!B$2)^2)</f>
        <v>1.1434684664760244E-3</v>
      </c>
      <c r="F127" s="26">
        <f>Ft!C$3*EXP(Ft!C$38*($A127-Ft!C$2)^2)</f>
        <v>9.3967609171098196</v>
      </c>
      <c r="G127" s="26">
        <f>Ft!D$3*EXP(Ft!D$38*($A127-Ft!D$2)^2)</f>
        <v>2.2031752344434348</v>
      </c>
      <c r="H127" s="26">
        <f>Ft!E$3*EXP(Ft!E$38*($A127-Ft!E$2)^2)</f>
        <v>3.459030350855285E-3</v>
      </c>
      <c r="I127" s="26">
        <f>Ft!F$3*EXP(Ft!F$38*($A127-Ft!F$2)^2)</f>
        <v>7.6673021116166293E-155</v>
      </c>
      <c r="J127" s="26">
        <f>Ft!G$3*EXP(Ft!G$38*($A127-Ft!G$2)^2)</f>
        <v>0</v>
      </c>
    </row>
    <row r="128" spans="1:10">
      <c r="A128" s="19">
        <v>126</v>
      </c>
      <c r="B128" s="28">
        <v>14.777167821591888</v>
      </c>
      <c r="C128" s="27">
        <f ca="1">OFFSET($B128,1*(ROWS(C$2:C128)-1),0)</f>
        <v>41.067580417233387</v>
      </c>
      <c r="D128" s="26">
        <f>Ft!B$3*EXP(Ft!B$38*($A128-Ft!B$2)^2) +Ft!C$3*EXP(Ft!C$38*($A128-Ft!C$2)^2) + Ft!D$3*EXP(Ft!D$38*($A128-Ft!D$2)^2)+Ft!E$3*EXP(Ft!E$38*($A128-Ft!E$2)^2) +Ft!F$3*EXP(Ft!F$38*($A128-Ft!F$2)^2) + Ft!G$3*EXP(Ft!G$38*($A128-Ft!G$2)^2)</f>
        <v>11.655331701277726</v>
      </c>
      <c r="E128" s="26">
        <f>Ft!B$3*EXP(Ft!B$38*($A128-Ft!B$2)^2)</f>
        <v>9.3543914039139918E-4</v>
      </c>
      <c r="F128" s="26">
        <f>Ft!C$3*EXP(Ft!C$38*($A128-Ft!C$2)^2)</f>
        <v>9.4181938497752213</v>
      </c>
      <c r="G128" s="26">
        <f>Ft!D$3*EXP(Ft!D$38*($A128-Ft!D$2)^2)</f>
        <v>2.2326576887169525</v>
      </c>
      <c r="H128" s="26">
        <f>Ft!E$3*EXP(Ft!E$38*($A128-Ft!E$2)^2)</f>
        <v>3.544723645161842E-3</v>
      </c>
      <c r="I128" s="26">
        <f>Ft!F$3*EXP(Ft!F$38*($A128-Ft!F$2)^2)</f>
        <v>1.684022462105659E-154</v>
      </c>
      <c r="J128" s="26">
        <f>Ft!G$3*EXP(Ft!G$38*($A128-Ft!G$2)^2)</f>
        <v>0</v>
      </c>
    </row>
    <row r="129" spans="1:10">
      <c r="A129" s="19">
        <v>127</v>
      </c>
      <c r="B129" s="28">
        <v>14.961044230915292</v>
      </c>
      <c r="C129" s="27">
        <f ca="1">OFFSET($B129,1*(ROWS(C$2:C129)-1),0)</f>
        <v>41.200496818677607</v>
      </c>
      <c r="D129" s="26">
        <f>Ft!B$3*EXP(Ft!B$38*($A129-Ft!B$2)^2) +Ft!C$3*EXP(Ft!C$38*($A129-Ft!C$2)^2) + Ft!D$3*EXP(Ft!D$38*($A129-Ft!D$2)^2)+Ft!E$3*EXP(Ft!E$38*($A129-Ft!E$2)^2) +Ft!F$3*EXP(Ft!F$38*($A129-Ft!F$2)^2) + Ft!G$3*EXP(Ft!G$38*($A129-Ft!G$2)^2)</f>
        <v>11.7050427553595</v>
      </c>
      <c r="E129" s="26">
        <f>Ft!B$3*EXP(Ft!B$38*($A129-Ft!B$2)^2)</f>
        <v>7.6333654843302933E-4</v>
      </c>
      <c r="F129" s="26">
        <f>Ft!C$3*EXP(Ft!C$38*($A129-Ft!C$2)^2)</f>
        <v>9.4382085682578793</v>
      </c>
      <c r="G129" s="26">
        <f>Ft!D$3*EXP(Ft!D$38*($A129-Ft!D$2)^2)</f>
        <v>2.2624384393957842</v>
      </c>
      <c r="H129" s="26">
        <f>Ft!E$3*EXP(Ft!E$38*($A129-Ft!E$2)^2)</f>
        <v>3.6324111574052025E-3</v>
      </c>
      <c r="I129" s="26">
        <f>Ft!F$3*EXP(Ft!F$38*($A129-Ft!F$2)^2)</f>
        <v>3.6955235951777582E-154</v>
      </c>
      <c r="J129" s="26">
        <f>Ft!G$3*EXP(Ft!G$38*($A129-Ft!G$2)^2)</f>
        <v>0</v>
      </c>
    </row>
    <row r="130" spans="1:10">
      <c r="A130" s="19">
        <v>128</v>
      </c>
      <c r="B130" s="28">
        <v>15.149173782330706</v>
      </c>
      <c r="C130" s="27">
        <f ca="1">OFFSET($B130,1*(ROWS(C$2:C130)-1),0)</f>
        <v>41.34079029367183</v>
      </c>
      <c r="D130" s="26">
        <f>Ft!B$3*EXP(Ft!B$38*($A130-Ft!B$2)^2) +Ft!C$3*EXP(Ft!C$38*($A130-Ft!C$2)^2) + Ft!D$3*EXP(Ft!D$38*($A130-Ft!D$2)^2)+Ft!E$3*EXP(Ft!E$38*($A130-Ft!E$2)^2) +Ft!F$3*EXP(Ft!F$38*($A130-Ft!F$2)^2) + Ft!G$3*EXP(Ft!G$38*($A130-Ft!G$2)^2)</f>
        <v>11.75365821675104</v>
      </c>
      <c r="E130" s="26">
        <f>Ft!B$3*EXP(Ft!B$38*($A130-Ft!B$2)^2)</f>
        <v>6.2133490274286112E-4</v>
      </c>
      <c r="F130" s="26">
        <f>Ft!C$3*EXP(Ft!C$38*($A130-Ft!C$2)^2)</f>
        <v>9.4567958307679767</v>
      </c>
      <c r="G130" s="26">
        <f>Ft!D$3*EXP(Ft!D$38*($A130-Ft!D$2)^2)</f>
        <v>2.2925189151526237</v>
      </c>
      <c r="H130" s="26">
        <f>Ft!E$3*EXP(Ft!E$38*($A130-Ft!E$2)^2)</f>
        <v>3.7221359276972429E-3</v>
      </c>
      <c r="I130" s="26">
        <f>Ft!F$3*EXP(Ft!F$38*($A130-Ft!F$2)^2)</f>
        <v>8.1026461727674375E-154</v>
      </c>
      <c r="J130" s="26">
        <f>Ft!G$3*EXP(Ft!G$38*($A130-Ft!G$2)^2)</f>
        <v>0</v>
      </c>
    </row>
    <row r="131" spans="1:10">
      <c r="A131" s="19">
        <v>129</v>
      </c>
      <c r="B131" s="28">
        <v>15.321722432805302</v>
      </c>
      <c r="C131" s="27">
        <f ca="1">OFFSET($B131,1*(ROWS(C$2:C131)-1),0)</f>
        <v>41.525005033410423</v>
      </c>
      <c r="D131" s="26">
        <f>Ft!B$3*EXP(Ft!B$38*($A131-Ft!B$2)^2) +Ft!C$3*EXP(Ft!C$38*($A131-Ft!C$2)^2) + Ft!D$3*EXP(Ft!D$38*($A131-Ft!D$2)^2)+Ft!E$3*EXP(Ft!E$38*($A131-Ft!E$2)^2) +Ft!F$3*EXP(Ft!F$38*($A131-Ft!F$2)^2) + Ft!G$3*EXP(Ft!G$38*($A131-Ft!G$2)^2)</f>
        <v>11.801165990628013</v>
      </c>
      <c r="E131" s="26">
        <f>Ft!B$3*EXP(Ft!B$38*($A131-Ft!B$2)^2)</f>
        <v>5.044807718886645E-4</v>
      </c>
      <c r="F131" s="26">
        <f>Ft!C$3*EXP(Ft!C$38*($A131-Ft!C$2)^2)</f>
        <v>9.4739470428279109</v>
      </c>
      <c r="G131" s="26">
        <f>Ft!D$3*EXP(Ft!D$38*($A131-Ft!D$2)^2)</f>
        <v>2.3229005251874044</v>
      </c>
      <c r="H131" s="26">
        <f>Ft!E$3*EXP(Ft!E$38*($A131-Ft!E$2)^2)</f>
        <v>3.813941840808271E-3</v>
      </c>
      <c r="I131" s="26">
        <f>Ft!F$3*EXP(Ft!F$38*($A131-Ft!F$2)^2)</f>
        <v>1.7750090225859328E-153</v>
      </c>
      <c r="J131" s="26">
        <f>Ft!G$3*EXP(Ft!G$38*($A131-Ft!G$2)^2)</f>
        <v>0</v>
      </c>
    </row>
    <row r="132" spans="1:10">
      <c r="A132" s="19">
        <v>130</v>
      </c>
      <c r="B132" s="28">
        <v>15.483601489081508</v>
      </c>
      <c r="C132" s="27">
        <f ca="1">OFFSET($B132,1*(ROWS(C$2:C132)-1),0)</f>
        <v>41.886978421684432</v>
      </c>
      <c r="D132" s="26">
        <f>Ft!B$3*EXP(Ft!B$38*($A132-Ft!B$2)^2) +Ft!C$3*EXP(Ft!C$38*($A132-Ft!C$2)^2) + Ft!D$3*EXP(Ft!D$38*($A132-Ft!D$2)^2)+Ft!E$3*EXP(Ft!E$38*($A132-Ft!E$2)^2) +Ft!F$3*EXP(Ft!F$38*($A132-Ft!F$2)^2) + Ft!G$3*EXP(Ft!G$38*($A132-Ft!G$2)^2)</f>
        <v>11.847555372081656</v>
      </c>
      <c r="E132" s="26">
        <f>Ft!B$3*EXP(Ft!B$38*($A132-Ft!B$2)^2)</f>
        <v>4.0857581880957841E-4</v>
      </c>
      <c r="F132" s="26">
        <f>Ft!C$3*EXP(Ft!C$38*($A132-Ft!C$2)^2)</f>
        <v>9.489654263895039</v>
      </c>
      <c r="G132" s="26">
        <f>Ft!D$3*EXP(Ft!D$38*($A132-Ft!D$2)^2)</f>
        <v>2.3535846587270735</v>
      </c>
      <c r="H132" s="26">
        <f>Ft!E$3*EXP(Ft!E$38*($A132-Ft!E$2)^2)</f>
        <v>3.9078736407336155E-3</v>
      </c>
      <c r="I132" s="26">
        <f>Ft!F$3*EXP(Ft!F$38*($A132-Ft!F$2)^2)</f>
        <v>3.8850539220198748E-153</v>
      </c>
      <c r="J132" s="26">
        <f>Ft!G$3*EXP(Ft!G$38*($A132-Ft!G$2)^2)</f>
        <v>0</v>
      </c>
    </row>
    <row r="133" spans="1:10">
      <c r="A133" s="19">
        <v>131</v>
      </c>
      <c r="B133" s="28">
        <v>15.643859764964049</v>
      </c>
      <c r="C133" s="27">
        <f ca="1">OFFSET($B133,1*(ROWS(C$2:C133)-1),0)</f>
        <v>42.303395582887475</v>
      </c>
      <c r="D133" s="26">
        <f>Ft!B$3*EXP(Ft!B$38*($A133-Ft!B$2)^2) +Ft!C$3*EXP(Ft!C$38*($A133-Ft!C$2)^2) + Ft!D$3*EXP(Ft!D$38*($A133-Ft!D$2)^2)+Ft!E$3*EXP(Ft!E$38*($A133-Ft!E$2)^2) +Ft!F$3*EXP(Ft!F$38*($A133-Ft!F$2)^2) + Ft!G$3*EXP(Ft!G$38*($A133-Ft!G$2)^2)</f>
        <v>11.892816947861991</v>
      </c>
      <c r="E133" s="26">
        <f>Ft!B$3*EXP(Ft!B$38*($A133-Ft!B$2)^2)</f>
        <v>3.3007290522167864E-4</v>
      </c>
      <c r="F133" s="26">
        <f>Ft!C$3*EXP(Ft!C$38*($A133-Ft!C$2)^2)</f>
        <v>9.5039102134883215</v>
      </c>
      <c r="G133" s="26">
        <f>Ft!D$3*EXP(Ft!D$38*($A133-Ft!D$2)^2)</f>
        <v>2.3845726845229827</v>
      </c>
      <c r="H133" s="26">
        <f>Ft!E$3*EXP(Ft!E$38*($A133-Ft!E$2)^2)</f>
        <v>4.003976945465614E-3</v>
      </c>
      <c r="I133" s="26">
        <f>Ft!F$3*EXP(Ft!F$38*($A133-Ft!F$2)^2)</f>
        <v>8.4960357719790597E-153</v>
      </c>
      <c r="J133" s="26">
        <f>Ft!G$3*EXP(Ft!G$38*($A133-Ft!G$2)^2)</f>
        <v>0</v>
      </c>
    </row>
    <row r="134" spans="1:10">
      <c r="A134" s="19">
        <v>132</v>
      </c>
      <c r="B134" s="28">
        <v>15.816000534660589</v>
      </c>
      <c r="C134" s="27">
        <f ca="1">OFFSET($B134,1*(ROWS(C$2:C134)-1),0)</f>
        <v>42.741564736196779</v>
      </c>
      <c r="D134" s="26">
        <f>Ft!B$3*EXP(Ft!B$38*($A134-Ft!B$2)^2) +Ft!C$3*EXP(Ft!C$38*($A134-Ft!C$2)^2) + Ft!D$3*EXP(Ft!D$38*($A134-Ft!D$2)^2)+Ft!E$3*EXP(Ft!E$38*($A134-Ft!E$2)^2) +Ft!F$3*EXP(Ft!F$38*($A134-Ft!F$2)^2) + Ft!G$3*EXP(Ft!G$38*($A134-Ft!G$2)^2)</f>
        <v>11.936942509881515</v>
      </c>
      <c r="E134" s="26">
        <f>Ft!B$3*EXP(Ft!B$38*($A134-Ft!B$2)^2)</f>
        <v>2.6598446123609005E-4</v>
      </c>
      <c r="F134" s="26">
        <f>Ft!C$3*EXP(Ft!C$38*($A134-Ft!C$2)^2)</f>
        <v>9.5167082768122775</v>
      </c>
      <c r="G134" s="26">
        <f>Ft!D$3*EXP(Ft!D$38*($A134-Ft!D$2)^2)</f>
        <v>2.4158659503460287</v>
      </c>
      <c r="H134" s="26">
        <f>Ft!E$3*EXP(Ft!E$38*($A134-Ft!E$2)^2)</f>
        <v>4.1022982619729866E-3</v>
      </c>
      <c r="I134" s="26">
        <f>Ft!F$3*EXP(Ft!F$38*($A134-Ft!F$2)^2)</f>
        <v>1.8563437885168273E-152</v>
      </c>
      <c r="J134" s="26">
        <f>Ft!G$3*EXP(Ft!G$38*($A134-Ft!G$2)^2)</f>
        <v>0</v>
      </c>
    </row>
    <row r="135" spans="1:10">
      <c r="A135" s="19">
        <v>133</v>
      </c>
      <c r="B135" s="28">
        <v>15.998081767926834</v>
      </c>
      <c r="C135" s="27">
        <f ca="1">OFFSET($B135,1*(ROWS(C$2:C135)-1),0)</f>
        <v>43.209688971873959</v>
      </c>
      <c r="D135" s="26">
        <f>Ft!B$3*EXP(Ft!B$38*($A135-Ft!B$2)^2) +Ft!C$3*EXP(Ft!C$38*($A135-Ft!C$2)^2) + Ft!D$3*EXP(Ft!D$38*($A135-Ft!D$2)^2)+Ft!E$3*EXP(Ft!E$38*($A135-Ft!E$2)^2) +Ft!F$3*EXP(Ft!F$38*($A135-Ft!F$2)^2) + Ft!G$3*EXP(Ft!G$38*($A135-Ft!G$2)^2)</f>
        <v>11.979924979386075</v>
      </c>
      <c r="E135" s="26">
        <f>Ft!B$3*EXP(Ft!B$38*($A135-Ft!B$2)^2)</f>
        <v>2.1380203293424008E-4</v>
      </c>
      <c r="F135" s="26">
        <f>Ft!C$3*EXP(Ft!C$38*($A135-Ft!C$2)^2)</f>
        <v>9.5280425098721349</v>
      </c>
      <c r="G135" s="26">
        <f>Ft!D$3*EXP(Ft!D$38*($A135-Ft!D$2)^2)</f>
        <v>2.4474657824796169</v>
      </c>
      <c r="H135" s="26">
        <f>Ft!E$3*EXP(Ft!E$38*($A135-Ft!E$2)^2)</f>
        <v>4.2028850013893114E-3</v>
      </c>
      <c r="I135" s="26">
        <f>Ft!F$3*EXP(Ft!F$38*($A135-Ft!F$2)^2)</f>
        <v>4.0525024075230471E-152</v>
      </c>
      <c r="J135" s="26">
        <f>Ft!G$3*EXP(Ft!G$38*($A135-Ft!G$2)^2)</f>
        <v>0</v>
      </c>
    </row>
    <row r="136" spans="1:10">
      <c r="A136" s="19">
        <v>134</v>
      </c>
      <c r="B136" s="28">
        <v>16.179396027476258</v>
      </c>
      <c r="C136" s="27">
        <f ca="1">OFFSET($B136,1*(ROWS(C$2:C136)-1),0)</f>
        <v>43.648573448791581</v>
      </c>
      <c r="D136" s="26">
        <f>Ft!B$3*EXP(Ft!B$38*($A136-Ft!B$2)^2) +Ft!C$3*EXP(Ft!C$38*($A136-Ft!C$2)^2) + Ft!D$3*EXP(Ft!D$38*($A136-Ft!D$2)^2)+Ft!E$3*EXP(Ft!E$38*($A136-Ft!E$2)^2) +Ft!F$3*EXP(Ft!F$38*($A136-Ft!F$2)^2) + Ft!G$3*EXP(Ft!G$38*($A136-Ft!G$2)^2)</f>
        <v>12.021758340731257</v>
      </c>
      <c r="E136" s="26">
        <f>Ft!B$3*EXP(Ft!B$38*($A136-Ft!B$2)^2)</f>
        <v>1.7142595161191089E-4</v>
      </c>
      <c r="F136" s="26">
        <f>Ft!C$3*EXP(Ft!C$38*($A136-Ft!C$2)^2)</f>
        <v>9.5379076440746626</v>
      </c>
      <c r="G136" s="26">
        <f>Ft!D$3*EXP(Ft!D$38*($A136-Ft!D$2)^2)</f>
        <v>2.4793734852105689</v>
      </c>
      <c r="H136" s="26">
        <f>Ft!E$3*EXP(Ft!E$38*($A136-Ft!E$2)^2)</f>
        <v>4.305785494412644E-3</v>
      </c>
      <c r="I136" s="26">
        <f>Ft!F$3*EXP(Ft!F$38*($A136-Ft!F$2)^2)</f>
        <v>8.8391590656165935E-152</v>
      </c>
      <c r="J136" s="26">
        <f>Ft!G$3*EXP(Ft!G$38*($A136-Ft!G$2)^2)</f>
        <v>0</v>
      </c>
    </row>
    <row r="137" spans="1:10">
      <c r="A137" s="19">
        <v>135</v>
      </c>
      <c r="B137" s="28">
        <v>16.3579838798656</v>
      </c>
      <c r="C137" s="27">
        <f ca="1">OFFSET($B137,1*(ROWS(C$2:C137)-1),0)</f>
        <v>44.083119291530693</v>
      </c>
      <c r="D137" s="26">
        <f>Ft!B$3*EXP(Ft!B$38*($A137-Ft!B$2)^2) +Ft!C$3*EXP(Ft!C$38*($A137-Ft!C$2)^2) + Ft!D$3*EXP(Ft!D$38*($A137-Ft!D$2)^2)+Ft!E$3*EXP(Ft!E$38*($A137-Ft!E$2)^2) +Ft!F$3*EXP(Ft!F$38*($A137-Ft!F$2)^2) + Ft!G$3*EXP(Ft!G$38*($A137-Ft!G$2)^2)</f>
        <v>12.062437583747144</v>
      </c>
      <c r="E137" s="26">
        <f>Ft!B$3*EXP(Ft!B$38*($A137-Ft!B$2)^2)</f>
        <v>1.3710411247858917E-4</v>
      </c>
      <c r="F137" s="26">
        <f>Ft!C$3*EXP(Ft!C$38*($A137-Ft!C$2)^2)</f>
        <v>9.5462990903096934</v>
      </c>
      <c r="G137" s="26">
        <f>Ft!D$3*EXP(Ft!D$38*($A137-Ft!D$2)^2)</f>
        <v>2.5115903403180537</v>
      </c>
      <c r="H137" s="26">
        <f>Ft!E$3*EXP(Ft!E$38*($A137-Ft!E$2)^2)</f>
        <v>4.4110490069180471E-3</v>
      </c>
      <c r="I137" s="26">
        <f>Ft!F$3*EXP(Ft!F$38*($A137-Ft!F$2)^2)</f>
        <v>1.9262888580852519E-151</v>
      </c>
      <c r="J137" s="26">
        <f>Ft!G$3*EXP(Ft!G$38*($A137-Ft!G$2)^2)</f>
        <v>0</v>
      </c>
    </row>
    <row r="138" spans="1:10">
      <c r="A138" s="19">
        <v>136</v>
      </c>
      <c r="B138" s="28">
        <v>16.527629289316621</v>
      </c>
      <c r="C138" s="27">
        <f ca="1">OFFSET($B138,1*(ROWS(C$2:C138)-1),0)</f>
        <v>44.505324269654693</v>
      </c>
      <c r="D138" s="26">
        <f>Ft!B$3*EXP(Ft!B$38*($A138-Ft!B$2)^2) +Ft!C$3*EXP(Ft!C$38*($A138-Ft!C$2)^2) + Ft!D$3*EXP(Ft!D$38*($A138-Ft!D$2)^2)+Ft!E$3*EXP(Ft!E$38*($A138-Ft!E$2)^2) +Ft!F$3*EXP(Ft!F$38*($A138-Ft!F$2)^2) + Ft!G$3*EXP(Ft!G$38*($A138-Ft!G$2)^2)</f>
        <v>12.101958653728722</v>
      </c>
      <c r="E138" s="26">
        <f>Ft!B$3*EXP(Ft!B$38*($A138-Ft!B$2)^2)</f>
        <v>1.0937890436042709E-4</v>
      </c>
      <c r="F138" s="26">
        <f>Ft!C$3*EXP(Ft!C$38*($A138-Ft!C$2)^2)</f>
        <v>9.5532129425078978</v>
      </c>
      <c r="G138" s="26">
        <f>Ft!D$3*EXP(Ft!D$38*($A138-Ft!D$2)^2)</f>
        <v>2.544117606560679</v>
      </c>
      <c r="H138" s="26">
        <f>Ft!E$3*EXP(Ft!E$38*($A138-Ft!E$2)^2)</f>
        <v>4.5187257557849272E-3</v>
      </c>
      <c r="I138" s="26">
        <f>Ft!F$3*EXP(Ft!F$38*($A138-Ft!F$2)^2)</f>
        <v>4.1942534591338984E-151</v>
      </c>
      <c r="J138" s="26">
        <f>Ft!G$3*EXP(Ft!G$38*($A138-Ft!G$2)^2)</f>
        <v>0</v>
      </c>
    </row>
    <row r="139" spans="1:10">
      <c r="A139" s="19">
        <v>137</v>
      </c>
      <c r="B139" s="28">
        <v>16.712178988837252</v>
      </c>
      <c r="C139" s="27">
        <f ca="1">OFFSET($B139,1*(ROWS(C$2:C139)-1),0)</f>
        <v>44.919079122290896</v>
      </c>
      <c r="D139" s="26">
        <f>Ft!B$3*EXP(Ft!B$38*($A139-Ft!B$2)^2) +Ft!C$3*EXP(Ft!C$38*($A139-Ft!C$2)^2) + Ft!D$3*EXP(Ft!D$38*($A139-Ft!D$2)^2)+Ft!E$3*EXP(Ft!E$38*($A139-Ft!E$2)^2) +Ft!F$3*EXP(Ft!F$38*($A139-Ft!F$2)^2) + Ft!G$3*EXP(Ft!G$38*($A139-Ft!G$2)^2)</f>
        <v>12.140318408150176</v>
      </c>
      <c r="E139" s="26">
        <f>Ft!B$3*EXP(Ft!B$38*($A139-Ft!B$2)^2)</f>
        <v>8.7041392428105266E-5</v>
      </c>
      <c r="F139" s="26">
        <f>Ft!C$3*EXP(Ft!C$38*($A139-Ft!C$2)^2)</f>
        <v>9.5586459806709811</v>
      </c>
      <c r="G139" s="26">
        <f>Ft!D$3*EXP(Ft!D$38*($A139-Ft!D$2)^2)</f>
        <v>2.5769565191618256</v>
      </c>
      <c r="H139" s="26">
        <f>Ft!E$3*EXP(Ft!E$38*($A139-Ft!E$2)^2)</f>
        <v>4.6288669249410002E-3</v>
      </c>
      <c r="I139" s="26">
        <f>Ft!F$3*EXP(Ft!F$38*($A139-Ft!F$2)^2)</f>
        <v>9.1245346682198179E-151</v>
      </c>
      <c r="J139" s="26">
        <f>Ft!G$3*EXP(Ft!G$38*($A139-Ft!G$2)^2)</f>
        <v>0</v>
      </c>
    </row>
    <row r="140" spans="1:10">
      <c r="A140" s="19">
        <v>138</v>
      </c>
      <c r="B140" s="28">
        <v>16.904902499082766</v>
      </c>
      <c r="C140" s="27">
        <f ca="1">OFFSET($B140,1*(ROWS(C$2:C140)-1),0)</f>
        <v>45.316940648405136</v>
      </c>
      <c r="D140" s="26">
        <f>Ft!B$3*EXP(Ft!B$38*($A140-Ft!B$2)^2) +Ft!C$3*EXP(Ft!C$38*($A140-Ft!C$2)^2) + Ft!D$3*EXP(Ft!D$38*($A140-Ft!D$2)^2)+Ft!E$3*EXP(Ft!E$38*($A140-Ft!E$2)^2) +Ft!F$3*EXP(Ft!F$38*($A140-Ft!F$2)^2) + Ft!G$3*EXP(Ft!G$38*($A140-Ft!G$2)^2)</f>
        <v>12.177514579266544</v>
      </c>
      <c r="E140" s="26">
        <f>Ft!B$3*EXP(Ft!B$38*($A140-Ft!B$2)^2)</f>
        <v>6.909192061119953E-5</v>
      </c>
      <c r="F140" s="26">
        <f>Ft!C$3*EXP(Ft!C$38*($A140-Ft!C$2)^2)</f>
        <v>9.5625956733709643</v>
      </c>
      <c r="G140" s="26">
        <f>Ft!D$3*EXP(Ft!D$38*($A140-Ft!D$2)^2)</f>
        <v>2.6101082892933438</v>
      </c>
      <c r="H140" s="26">
        <f>Ft!E$3*EXP(Ft!E$38*($A140-Ft!E$2)^2)</f>
        <v>4.7415246816248282E-3</v>
      </c>
      <c r="I140" s="26">
        <f>Ft!F$3*EXP(Ft!F$38*($A140-Ft!F$2)^2)</f>
        <v>1.9833053129917771E-150</v>
      </c>
      <c r="J140" s="26">
        <f>Ft!G$3*EXP(Ft!G$38*($A140-Ft!G$2)^2)</f>
        <v>0</v>
      </c>
    </row>
    <row r="141" spans="1:10">
      <c r="A141" s="19">
        <v>139</v>
      </c>
      <c r="B141" s="28">
        <v>17.080868993172373</v>
      </c>
      <c r="C141" s="27">
        <f ca="1">OFFSET($B141,1*(ROWS(C$2:C141)-1),0)</f>
        <v>45.727465960365095</v>
      </c>
      <c r="D141" s="26">
        <f>Ft!B$3*EXP(Ft!B$38*($A141-Ft!B$2)^2) +Ft!C$3*EXP(Ft!C$38*($A141-Ft!C$2)^2) + Ft!D$3*EXP(Ft!D$38*($A141-Ft!D$2)^2)+Ft!E$3*EXP(Ft!E$38*($A141-Ft!E$2)^2) +Ft!F$3*EXP(Ft!F$38*($A141-Ft!F$2)^2) + Ft!G$3*EXP(Ft!G$38*($A141-Ft!G$2)^2)</f>
        <v>12.213545741833503</v>
      </c>
      <c r="E141" s="26">
        <f>Ft!B$3*EXP(Ft!B$38*($A141-Ft!B$2)^2)</f>
        <v>5.4706367034096219E-5</v>
      </c>
      <c r="F141" s="26">
        <f>Ft!C$3*EXP(Ft!C$38*($A141-Ft!C$2)^2)</f>
        <v>9.5650601797158767</v>
      </c>
      <c r="G141" s="26">
        <f>Ft!D$3*EXP(Ft!D$38*($A141-Ft!D$2)^2)</f>
        <v>2.6435741035577234</v>
      </c>
      <c r="H141" s="26">
        <f>Ft!E$3*EXP(Ft!E$38*($A141-Ft!E$2)^2)</f>
        <v>4.8567521928685646E-3</v>
      </c>
      <c r="I141" s="26">
        <f>Ft!F$3*EXP(Ft!F$38*($A141-Ft!F$2)^2)</f>
        <v>4.307162136886331E-150</v>
      </c>
      <c r="J141" s="26">
        <f>Ft!G$3*EXP(Ft!G$38*($A141-Ft!G$2)^2)</f>
        <v>0</v>
      </c>
    </row>
    <row r="142" spans="1:10">
      <c r="A142" s="19">
        <v>140</v>
      </c>
      <c r="B142" s="28">
        <v>17.267720281426762</v>
      </c>
      <c r="C142" s="27">
        <f ca="1">OFFSET($B142,1*(ROWS(C$2:C142)-1),0)</f>
        <v>46.095295073247314</v>
      </c>
      <c r="D142" s="26">
        <f>Ft!B$3*EXP(Ft!B$38*($A142-Ft!B$2)^2) +Ft!C$3*EXP(Ft!C$38*($A142-Ft!C$2)^2) + Ft!D$3*EXP(Ft!D$38*($A142-Ft!D$2)^2)+Ft!E$3*EXP(Ft!E$38*($A142-Ft!E$2)^2) +Ft!F$3*EXP(Ft!F$38*($A142-Ft!F$2)^2) + Ft!G$3*EXP(Ft!G$38*($A142-Ft!G$2)^2)</f>
        <v>12.248411285243519</v>
      </c>
      <c r="E142" s="26">
        <f>Ft!B$3*EXP(Ft!B$38*($A142-Ft!B$2)^2)</f>
        <v>4.3207352761927628E-5</v>
      </c>
      <c r="F142" s="26">
        <f>Ft!C$3*EXP(Ft!C$38*($A142-Ft!C$2)^2)</f>
        <v>9.5660383507797029</v>
      </c>
      <c r="G142" s="26">
        <f>Ft!D$3*EXP(Ft!D$38*($A142-Ft!D$2)^2)</f>
        <v>2.6773551234688493</v>
      </c>
      <c r="H142" s="26">
        <f>Ft!E$3*EXP(Ft!E$38*($A142-Ft!E$2)^2)</f>
        <v>4.9746036422030028E-3</v>
      </c>
      <c r="I142" s="26">
        <f>Ft!F$3*EXP(Ft!F$38*($A142-Ft!F$2)^2)</f>
        <v>9.3457823152606976E-150</v>
      </c>
      <c r="J142" s="26">
        <f>Ft!G$3*EXP(Ft!G$38*($A142-Ft!G$2)^2)</f>
        <v>0</v>
      </c>
    </row>
    <row r="143" spans="1:10">
      <c r="A143" s="19">
        <v>141</v>
      </c>
      <c r="B143" s="28">
        <v>17.471769508058856</v>
      </c>
      <c r="C143" s="27">
        <f ca="1">OFFSET($B143,1*(ROWS(C$2:C143)-1),0)</f>
        <v>46.427428060986159</v>
      </c>
      <c r="D143" s="26">
        <f>Ft!B$3*EXP(Ft!B$38*($A143-Ft!B$2)^2) +Ft!C$3*EXP(Ft!C$38*($A143-Ft!C$2)^2) + Ft!D$3*EXP(Ft!D$38*($A143-Ft!D$2)^2)+Ft!E$3*EXP(Ft!E$38*($A143-Ft!E$2)^2) +Ft!F$3*EXP(Ft!F$38*($A143-Ft!F$2)^2) + Ft!G$3*EXP(Ft!G$38*($A143-Ft!G$2)^2)</f>
        <v>12.282111389443045</v>
      </c>
      <c r="E143" s="26">
        <f>Ft!B$3*EXP(Ft!B$38*($A143-Ft!B$2)^2)</f>
        <v>3.4039769972722453E-5</v>
      </c>
      <c r="F143" s="26">
        <f>Ft!C$3*EXP(Ft!C$38*($A143-Ft!C$2)^2)</f>
        <v>9.5655297304950295</v>
      </c>
      <c r="G143" s="26">
        <f>Ft!D$3*EXP(Ft!D$38*($A143-Ft!D$2)^2)</f>
        <v>2.7114524849314559</v>
      </c>
      <c r="H143" s="26">
        <f>Ft!E$3*EXP(Ft!E$38*($A143-Ft!E$2)^2)</f>
        <v>5.095134246586446E-3</v>
      </c>
      <c r="I143" s="26">
        <f>Ft!F$3*EXP(Ft!F$38*($A143-Ft!F$2)^2)</f>
        <v>2.0261094268543379E-149</v>
      </c>
      <c r="J143" s="26">
        <f>Ft!G$3*EXP(Ft!G$38*($A143-Ft!G$2)^2)</f>
        <v>0</v>
      </c>
    </row>
    <row r="144" spans="1:10">
      <c r="A144" s="19">
        <v>142</v>
      </c>
      <c r="B144" s="28">
        <v>17.665299644178816</v>
      </c>
      <c r="C144" s="27">
        <f ca="1">OFFSET($B144,1*(ROWS(C$2:C144)-1),0)</f>
        <v>46.681655639424719</v>
      </c>
      <c r="D144" s="26">
        <f>Ft!B$3*EXP(Ft!B$38*($A144-Ft!B$2)^2) +Ft!C$3*EXP(Ft!C$38*($A144-Ft!C$2)^2) + Ft!D$3*EXP(Ft!D$38*($A144-Ft!D$2)^2)+Ft!E$3*EXP(Ft!E$38*($A144-Ft!E$2)^2) +Ft!F$3*EXP(Ft!F$38*($A144-Ft!F$2)^2) + Ft!G$3*EXP(Ft!G$38*($A144-Ft!G$2)^2)</f>
        <v>12.314647004059669</v>
      </c>
      <c r="E144" s="26">
        <f>Ft!B$3*EXP(Ft!B$38*($A144-Ft!B$2)^2)</f>
        <v>2.6750059280119994E-5</v>
      </c>
      <c r="F144" s="26">
        <f>Ft!C$3*EXP(Ft!C$38*($A144-Ft!C$2)^2)</f>
        <v>9.5635345560074239</v>
      </c>
      <c r="G144" s="26">
        <f>Ft!D$3*EXP(Ft!D$38*($A144-Ft!D$2)^2)</f>
        <v>2.7458672977194061</v>
      </c>
      <c r="H144" s="26">
        <f>Ft!E$3*EXP(Ft!E$38*($A144-Ft!E$2)^2)</f>
        <v>5.2184002735594509E-3</v>
      </c>
      <c r="I144" s="26">
        <f>Ft!F$3*EXP(Ft!F$38*($A144-Ft!F$2)^2)</f>
        <v>4.3886700289688877E-149</v>
      </c>
      <c r="J144" s="26">
        <f>Ft!G$3*EXP(Ft!G$38*($A144-Ft!G$2)^2)</f>
        <v>0</v>
      </c>
    </row>
    <row r="145" spans="1:10">
      <c r="A145" s="19">
        <v>143</v>
      </c>
      <c r="B145" s="28">
        <v>17.854093999957456</v>
      </c>
      <c r="C145" s="27">
        <f ca="1">OFFSET($B145,1*(ROWS(C$2:C145)-1),0)</f>
        <v>46.931584327113484</v>
      </c>
      <c r="D145" s="26">
        <f>Ft!B$3*EXP(Ft!B$38*($A145-Ft!B$2)^2) +Ft!C$3*EXP(Ft!C$38*($A145-Ft!C$2)^2) + Ft!D$3*EXP(Ft!D$38*($A145-Ft!D$2)^2)+Ft!E$3*EXP(Ft!E$38*($A145-Ft!E$2)^2) +Ft!F$3*EXP(Ft!F$38*($A145-Ft!F$2)^2) + Ft!G$3*EXP(Ft!G$38*($A145-Ft!G$2)^2)</f>
        <v>12.346019830229185</v>
      </c>
      <c r="E145" s="26">
        <f>Ft!B$3*EXP(Ft!B$38*($A145-Ft!B$2)^2)</f>
        <v>2.0968726500363293E-5</v>
      </c>
      <c r="F145" s="26">
        <f>Ft!C$3*EXP(Ft!C$38*($A145-Ft!C$2)^2)</f>
        <v>9.560053757491163</v>
      </c>
      <c r="G145" s="26">
        <f>Ft!D$3*EXP(Ft!D$38*($A145-Ft!D$2)^2)</f>
        <v>2.7806006449528944</v>
      </c>
      <c r="H145" s="26">
        <f>Ft!E$3*EXP(Ft!E$38*($A145-Ft!E$2)^2)</f>
        <v>5.3444590586270418E-3</v>
      </c>
      <c r="I145" s="26">
        <f>Ft!F$3*EXP(Ft!F$38*($A145-Ft!F$2)^2)</f>
        <v>9.4978598268584372E-149</v>
      </c>
      <c r="J145" s="26">
        <f>Ft!G$3*EXP(Ft!G$38*($A145-Ft!G$2)^2)</f>
        <v>0</v>
      </c>
    </row>
    <row r="146" spans="1:10">
      <c r="A146" s="19">
        <v>144</v>
      </c>
      <c r="B146" s="28">
        <v>18.041167608967839</v>
      </c>
      <c r="C146" s="27">
        <f ca="1">OFFSET($B146,1*(ROWS(C$2:C146)-1),0)</f>
        <v>47.167427282568724</v>
      </c>
      <c r="D146" s="26">
        <f>Ft!B$3*EXP(Ft!B$38*($A146-Ft!B$2)^2) +Ft!C$3*EXP(Ft!C$38*($A146-Ft!C$2)^2) + Ft!D$3*EXP(Ft!D$38*($A146-Ft!D$2)^2)+Ft!E$3*EXP(Ft!E$38*($A146-Ft!E$2)^2) +Ft!F$3*EXP(Ft!F$38*($A146-Ft!F$2)^2) + Ft!G$3*EXP(Ft!G$38*($A146-Ft!G$2)^2)</f>
        <v>12.376232304670216</v>
      </c>
      <c r="E146" s="26">
        <f>Ft!B$3*EXP(Ft!B$38*($A146-Ft!B$2)^2)</f>
        <v>1.6395646106744917E-5</v>
      </c>
      <c r="F146" s="26">
        <f>Ft!C$3*EXP(Ft!C$38*($A146-Ft!C$2)^2)</f>
        <v>9.5550889574265128</v>
      </c>
      <c r="G146" s="26">
        <f>Ft!D$3*EXP(Ft!D$38*($A146-Ft!D$2)^2)</f>
        <v>2.8156535825747246</v>
      </c>
      <c r="H146" s="26">
        <f>Ft!E$3*EXP(Ft!E$38*($A146-Ft!E$2)^2)</f>
        <v>5.4733690228703485E-3</v>
      </c>
      <c r="I146" s="26">
        <f>Ft!F$3*EXP(Ft!F$38*($A146-Ft!F$2)^2)</f>
        <v>2.0537206896742829E-148</v>
      </c>
      <c r="J146" s="26">
        <f>Ft!G$3*EXP(Ft!G$38*($A146-Ft!G$2)^2)</f>
        <v>0</v>
      </c>
    </row>
    <row r="147" spans="1:10">
      <c r="A147" s="19">
        <v>145</v>
      </c>
      <c r="B147" s="28">
        <v>18.227747084390387</v>
      </c>
      <c r="C147" s="27">
        <f ca="1">OFFSET($B147,1*(ROWS(C$2:C147)-1),0)</f>
        <v>47.417087667751957</v>
      </c>
      <c r="D147" s="26">
        <f>Ft!B$3*EXP(Ft!B$38*($A147-Ft!B$2)^2) +Ft!C$3*EXP(Ft!C$38*($A147-Ft!C$2)^2) + Ft!D$3*EXP(Ft!D$38*($A147-Ft!D$2)^2)+Ft!E$3*EXP(Ft!E$38*($A147-Ft!E$2)^2) +Ft!F$3*EXP(Ft!F$38*($A147-Ft!F$2)^2) + Ft!G$3*EXP(Ft!G$38*($A147-Ft!G$2)^2)</f>
        <v>12.40528758560742</v>
      </c>
      <c r="E147" s="26">
        <f>Ft!B$3*EXP(Ft!B$38*($A147-Ft!B$2)^2)</f>
        <v>1.2787751565646277E-5</v>
      </c>
      <c r="F147" s="26">
        <f>Ft!C$3*EXP(Ft!C$38*($A147-Ft!C$2)^2)</f>
        <v>9.5486424693393168</v>
      </c>
      <c r="G147" s="26">
        <f>Ft!D$3*EXP(Ft!D$38*($A147-Ft!D$2)^2)</f>
        <v>2.8510271388257502</v>
      </c>
      <c r="H147" s="26">
        <f>Ft!E$3*EXP(Ft!E$38*($A147-Ft!E$2)^2)</f>
        <v>5.6051896907891975E-3</v>
      </c>
      <c r="I147" s="26">
        <f>Ft!F$3*EXP(Ft!F$38*($A147-Ft!F$2)^2)</f>
        <v>4.4369015907997304E-148</v>
      </c>
      <c r="J147" s="26">
        <f>Ft!G$3*EXP(Ft!G$38*($A147-Ft!G$2)^2)</f>
        <v>0</v>
      </c>
    </row>
    <row r="148" spans="1:10">
      <c r="A148" s="19">
        <v>146</v>
      </c>
      <c r="B148" s="28">
        <v>18.406214207687611</v>
      </c>
      <c r="C148" s="27">
        <f ca="1">OFFSET($B148,1*(ROWS(C$2:C148)-1),0)</f>
        <v>47.575802466907845</v>
      </c>
      <c r="D148" s="26">
        <f>Ft!B$3*EXP(Ft!B$38*($A148-Ft!B$2)^2) +Ft!C$3*EXP(Ft!C$38*($A148-Ft!C$2)^2) + Ft!D$3*EXP(Ft!D$38*($A148-Ft!D$2)^2)+Ft!E$3*EXP(Ft!E$38*($A148-Ft!E$2)^2) +Ft!F$3*EXP(Ft!F$38*($A148-Ft!F$2)^2) + Ft!G$3*EXP(Ft!G$38*($A148-Ft!G$2)^2)</f>
        <v>12.433189540193828</v>
      </c>
      <c r="E148" s="26">
        <f>Ft!B$3*EXP(Ft!B$38*($A148-Ft!B$2)^2)</f>
        <v>9.9487614913937624E-6</v>
      </c>
      <c r="F148" s="26">
        <f>Ft!C$3*EXP(Ft!C$38*($A148-Ft!C$2)^2)</f>
        <v>9.5407172960043258</v>
      </c>
      <c r="G148" s="26">
        <f>Ft!D$3*EXP(Ft!D$38*($A148-Ft!D$2)^2)</f>
        <v>2.8867223137196345</v>
      </c>
      <c r="H148" s="26">
        <f>Ft!E$3*EXP(Ft!E$38*($A148-Ft!E$2)^2)</f>
        <v>5.7399817083776724E-3</v>
      </c>
      <c r="I148" s="26">
        <f>Ft!F$3*EXP(Ft!F$38*($A148-Ft!F$2)^2)</f>
        <v>9.5772540920874017E-148</v>
      </c>
      <c r="J148" s="26">
        <f>Ft!G$3*EXP(Ft!G$38*($A148-Ft!G$2)^2)</f>
        <v>0</v>
      </c>
    </row>
    <row r="149" spans="1:10">
      <c r="A149" s="19">
        <v>147</v>
      </c>
      <c r="B149" s="28">
        <v>18.57920047253242</v>
      </c>
      <c r="C149" s="27">
        <f ca="1">OFFSET($B149,1*(ROWS(C$2:C149)-1),0)</f>
        <v>47.727399033613892</v>
      </c>
      <c r="D149" s="26">
        <f>Ft!B$3*EXP(Ft!B$38*($A149-Ft!B$2)^2) +Ft!C$3*EXP(Ft!C$38*($A149-Ft!C$2)^2) + Ft!D$3*EXP(Ft!D$38*($A149-Ft!D$2)^2)+Ft!E$3*EXP(Ft!E$38*($A149-Ft!E$2)^2) +Ft!F$3*EXP(Ft!F$38*($A149-Ft!F$2)^2) + Ft!G$3*EXP(Ft!G$38*($A149-Ft!G$2)^2)</f>
        <v>12.45994273312764</v>
      </c>
      <c r="E149" s="26">
        <f>Ft!B$3*EXP(Ft!B$38*($A149-Ft!B$2)^2)</f>
        <v>7.7206350212353237E-6</v>
      </c>
      <c r="F149" s="26">
        <f>Ft!C$3*EXP(Ft!C$38*($A149-Ft!C$2)^2)</f>
        <v>9.5313171271141552</v>
      </c>
      <c r="G149" s="26">
        <f>Ft!D$3*EXP(Ft!D$38*($A149-Ft!D$2)^2)</f>
        <v>2.9227400785170286</v>
      </c>
      <c r="H149" s="26">
        <f>Ft!E$3*EXP(Ft!E$38*($A149-Ft!E$2)^2)</f>
        <v>5.8778068614340857E-3</v>
      </c>
      <c r="I149" s="26">
        <f>Ft!F$3*EXP(Ft!F$38*($A149-Ft!F$2)^2)</f>
        <v>2.0654991408531809E-147</v>
      </c>
      <c r="J149" s="26">
        <f>Ft!G$3*EXP(Ft!G$38*($A149-Ft!G$2)^2)</f>
        <v>0</v>
      </c>
    </row>
    <row r="150" spans="1:10">
      <c r="A150" s="19">
        <v>148</v>
      </c>
      <c r="B150" s="28">
        <v>18.771690158042844</v>
      </c>
      <c r="C150" s="27">
        <f ca="1">OFFSET($B150,1*(ROWS(C$2:C150)-1),0)</f>
        <v>47.947038208703447</v>
      </c>
      <c r="D150" s="26">
        <f>Ft!B$3*EXP(Ft!B$38*($A150-Ft!B$2)^2) +Ft!C$3*EXP(Ft!C$38*($A150-Ft!C$2)^2) + Ft!D$3*EXP(Ft!D$38*($A150-Ft!D$2)^2)+Ft!E$3*EXP(Ft!E$38*($A150-Ft!E$2)^2) +Ft!F$3*EXP(Ft!F$38*($A150-Ft!F$2)^2) + Ft!G$3*EXP(Ft!G$38*($A150-Ft!G$2)^2)</f>
        <v>12.4855524161999</v>
      </c>
      <c r="E150" s="26">
        <f>Ft!B$3*EXP(Ft!B$38*($A150-Ft!B$2)^2)</f>
        <v>5.9764900360395092E-6</v>
      </c>
      <c r="F150" s="26">
        <f>Ft!C$3*EXP(Ft!C$38*($A150-Ft!C$2)^2)</f>
        <v>9.5204463364164411</v>
      </c>
      <c r="G150" s="26">
        <f>Ft!D$3*EXP(Ft!D$38*($A150-Ft!D$2)^2)</f>
        <v>2.9590813751993159</v>
      </c>
      <c r="H150" s="26">
        <f>Ft!E$3*EXP(Ft!E$38*($A150-Ft!E$2)^2)</f>
        <v>6.0187280941073366E-3</v>
      </c>
      <c r="I150" s="26">
        <f>Ft!F$3*EXP(Ft!F$38*($A150-Ft!F$2)^2)</f>
        <v>4.4507358835413387E-147</v>
      </c>
      <c r="J150" s="26">
        <f>Ft!G$3*EXP(Ft!G$38*($A150-Ft!G$2)^2)</f>
        <v>0</v>
      </c>
    </row>
    <row r="151" spans="1:10">
      <c r="A151" s="19">
        <v>149</v>
      </c>
      <c r="B151" s="28">
        <v>18.958025828641865</v>
      </c>
      <c r="C151" s="27">
        <f ca="1">OFFSET($B151,1*(ROWS(C$2:C151)-1),0)</f>
        <v>48.10180977345297</v>
      </c>
      <c r="D151" s="26">
        <f>Ft!B$3*EXP(Ft!B$38*($A151-Ft!B$2)^2) +Ft!C$3*EXP(Ft!C$38*($A151-Ft!C$2)^2) + Ft!D$3*EXP(Ft!D$38*($A151-Ft!D$2)^2)+Ft!E$3*EXP(Ft!E$38*($A151-Ft!E$2)^2) +Ft!F$3*EXP(Ft!F$38*($A151-Ft!F$2)^2) + Ft!G$3*EXP(Ft!G$38*($A151-Ft!G$2)^2)</f>
        <v>12.510024518545988</v>
      </c>
      <c r="E151" s="26">
        <f>Ft!B$3*EXP(Ft!B$38*($A151-Ft!B$2)^2)</f>
        <v>4.6147539615433297E-6</v>
      </c>
      <c r="F151" s="26">
        <f>Ft!C$3*EXP(Ft!C$38*($A151-Ft!C$2)^2)</f>
        <v>9.5081099783223006</v>
      </c>
      <c r="G151" s="26">
        <f>Ft!D$3*EXP(Ft!D$38*($A151-Ft!D$2)^2)</f>
        <v>2.995747115942045</v>
      </c>
      <c r="H151" s="26">
        <f>Ft!E$3*EXP(Ft!E$38*($A151-Ft!E$2)^2)</f>
        <v>6.1628095276811115E-3</v>
      </c>
      <c r="I151" s="26">
        <f>Ft!F$3*EXP(Ft!F$38*($A151-Ft!F$2)^2)</f>
        <v>9.5821159744829141E-147</v>
      </c>
      <c r="J151" s="26">
        <f>Ft!G$3*EXP(Ft!G$38*($A151-Ft!G$2)^2)</f>
        <v>0</v>
      </c>
    </row>
    <row r="152" spans="1:10">
      <c r="A152" s="19">
        <v>150</v>
      </c>
      <c r="B152" s="28">
        <v>19.124989979269742</v>
      </c>
      <c r="C152" s="27">
        <f ca="1">OFFSET($B152,1*(ROWS(C$2:C152)-1),0)</f>
        <v>48.226219882416245</v>
      </c>
      <c r="D152" s="26">
        <f>Ft!B$3*EXP(Ft!B$38*($A152-Ft!B$2)^2) +Ft!C$3*EXP(Ft!C$38*($A152-Ft!C$2)^2) + Ft!D$3*EXP(Ft!D$38*($A152-Ft!D$2)^2)+Ft!E$3*EXP(Ft!E$38*($A152-Ft!E$2)^2) +Ft!F$3*EXP(Ft!F$38*($A152-Ft!F$2)^2) + Ft!G$3*EXP(Ft!G$38*($A152-Ft!G$2)^2)</f>
        <v>12.533365637406607</v>
      </c>
      <c r="E152" s="26">
        <f>Ft!B$3*EXP(Ft!B$38*($A152-Ft!B$2)^2)</f>
        <v>3.5543490675653202E-6</v>
      </c>
      <c r="F152" s="26">
        <f>Ft!C$3*EXP(Ft!C$38*($A152-Ft!C$2)^2)</f>
        <v>9.4943137839897709</v>
      </c>
      <c r="G152" s="26">
        <f>Ft!D$3*EXP(Ft!D$38*($A152-Ft!D$2)^2)</f>
        <v>3.032738182588171</v>
      </c>
      <c r="H152" s="26">
        <f>Ft!E$3*EXP(Ft!E$38*($A152-Ft!E$2)^2)</f>
        <v>6.3101164795978113E-3</v>
      </c>
      <c r="I152" s="26">
        <f>Ft!F$3*EXP(Ft!F$38*($A152-Ft!F$2)^2)</f>
        <v>2.061170026092211E-146</v>
      </c>
      <c r="J152" s="26">
        <f>Ft!G$3*EXP(Ft!G$38*($A152-Ft!G$2)^2)</f>
        <v>0</v>
      </c>
    </row>
    <row r="153" spans="1:10">
      <c r="A153" s="19">
        <v>151</v>
      </c>
      <c r="B153" s="28">
        <v>19.301110173817591</v>
      </c>
      <c r="C153" s="27">
        <f ca="1">OFFSET($B153,1*(ROWS(C$2:C153)-1),0)</f>
        <v>48.338221628167645</v>
      </c>
      <c r="D153" s="26">
        <f>Ft!B$3*EXP(Ft!B$38*($A153-Ft!B$2)^2) +Ft!C$3*EXP(Ft!C$38*($A153-Ft!C$2)^2) + Ft!D$3*EXP(Ft!D$38*($A153-Ft!D$2)^2)+Ft!E$3*EXP(Ft!E$38*($A153-Ft!E$2)^2) +Ft!F$3*EXP(Ft!F$38*($A153-Ft!F$2)^2) + Ft!G$3*EXP(Ft!G$38*($A153-Ft!G$2)^2)</f>
        <v>12.555583029233139</v>
      </c>
      <c r="E153" s="26">
        <f>Ft!B$3*EXP(Ft!B$38*($A153-Ft!B$2)^2)</f>
        <v>2.7307426721103271E-6</v>
      </c>
      <c r="F153" s="26">
        <f>Ft!C$3*EXP(Ft!C$38*($A153-Ft!C$2)^2)</f>
        <v>9.4790641568864764</v>
      </c>
      <c r="G153" s="26">
        <f>Ft!D$3*EXP(Ft!D$38*($A153-Ft!D$2)^2)</f>
        <v>3.0700554261212663</v>
      </c>
      <c r="H153" s="26">
        <f>Ft!E$3*EXP(Ft!E$38*($A153-Ft!E$2)^2)</f>
        <v>6.4607154827236567E-3</v>
      </c>
      <c r="I153" s="26">
        <f>Ft!F$3*EXP(Ft!F$38*($A153-Ft!F$2)^2)</f>
        <v>4.429849880674603E-146</v>
      </c>
      <c r="J153" s="26">
        <f>Ft!G$3*EXP(Ft!G$38*($A153-Ft!G$2)^2)</f>
        <v>0</v>
      </c>
    </row>
    <row r="154" spans="1:10">
      <c r="A154" s="19">
        <v>152</v>
      </c>
      <c r="B154" s="28">
        <v>19.510738182804175</v>
      </c>
      <c r="C154" s="27">
        <f ca="1">OFFSET($B154,1*(ROWS(C$2:C154)-1),0)</f>
        <v>48.305268424173534</v>
      </c>
      <c r="D154" s="26">
        <f>Ft!B$3*EXP(Ft!B$38*($A154-Ft!B$2)^2) +Ft!C$3*EXP(Ft!C$38*($A154-Ft!C$2)^2) + Ft!D$3*EXP(Ft!D$38*($A154-Ft!D$2)^2)+Ft!E$3*EXP(Ft!E$38*($A154-Ft!E$2)^2) +Ft!F$3*EXP(Ft!F$38*($A154-Ft!F$2)^2) + Ft!G$3*EXP(Ft!G$38*($A154-Ft!G$2)^2)</f>
        <v>12.576684600997709</v>
      </c>
      <c r="E154" s="26">
        <f>Ft!B$3*EXP(Ft!B$38*($A154-Ft!B$2)^2)</f>
        <v>2.0927177166550811E-6</v>
      </c>
      <c r="F154" s="26">
        <f>Ft!C$3*EXP(Ft!C$38*($A154-Ft!C$2)^2)</f>
        <v>9.4623681678363347</v>
      </c>
      <c r="G154" s="26">
        <f>Ft!D$3*EXP(Ft!D$38*($A154-Ft!D$2)^2)</f>
        <v>3.1076996661388021</v>
      </c>
      <c r="H154" s="26">
        <f>Ft!E$3*EXP(Ft!E$38*($A154-Ft!E$2)^2)</f>
        <v>6.6146743048567979E-3</v>
      </c>
      <c r="I154" s="26">
        <f>Ft!F$3*EXP(Ft!F$38*($A154-Ft!F$2)^2)</f>
        <v>9.512331905061594E-146</v>
      </c>
      <c r="J154" s="26">
        <f>Ft!G$3*EXP(Ft!G$38*($A154-Ft!G$2)^2)</f>
        <v>0</v>
      </c>
    </row>
    <row r="155" spans="1:10">
      <c r="A155" s="19">
        <v>153</v>
      </c>
      <c r="B155" s="28">
        <v>19.714770750985053</v>
      </c>
      <c r="C155" s="27">
        <f ca="1">OFFSET($B155,1*(ROWS(C$2:C155)-1),0)</f>
        <v>48.288242600902038</v>
      </c>
      <c r="D155" s="26">
        <f>Ft!B$3*EXP(Ft!B$38*($A155-Ft!B$2)^2) +Ft!C$3*EXP(Ft!C$38*($A155-Ft!C$2)^2) + Ft!D$3*EXP(Ft!D$38*($A155-Ft!D$2)^2)+Ft!E$3*EXP(Ft!E$38*($A155-Ft!E$2)^2) +Ft!F$3*EXP(Ft!F$38*($A155-Ft!F$2)^2) + Ft!G$3*EXP(Ft!G$38*($A155-Ft!G$2)^2)</f>
        <v>12.596678901590908</v>
      </c>
      <c r="E155" s="26">
        <f>Ft!B$3*EXP(Ft!B$38*($A155-Ft!B$2)^2)</f>
        <v>1.5997410874601218E-6</v>
      </c>
      <c r="F155" s="26">
        <f>Ft!C$3*EXP(Ft!C$38*($A155-Ft!C$2)^2)</f>
        <v>9.4442335495556744</v>
      </c>
      <c r="G155" s="26">
        <f>Ft!D$3*EXP(Ft!D$38*($A155-Ft!D$2)^2)</f>
        <v>3.1456716903256656</v>
      </c>
      <c r="H155" s="26">
        <f>Ft!E$3*EXP(Ft!E$38*($A155-Ft!E$2)^2)</f>
        <v>6.7720619684798252E-3</v>
      </c>
      <c r="I155" s="26">
        <f>Ft!F$3*EXP(Ft!F$38*($A155-Ft!F$2)^2)</f>
        <v>2.0408344516227281E-145</v>
      </c>
      <c r="J155" s="26">
        <f>Ft!G$3*EXP(Ft!G$38*($A155-Ft!G$2)^2)</f>
        <v>0</v>
      </c>
    </row>
    <row r="156" spans="1:10">
      <c r="A156" s="19">
        <v>154</v>
      </c>
      <c r="B156" s="28">
        <v>19.896422495919637</v>
      </c>
      <c r="C156" s="27">
        <f ca="1">OFFSET($B156,1*(ROWS(C$2:C156)-1),0)</f>
        <v>48.277677120078778</v>
      </c>
      <c r="D156" s="26">
        <f>Ft!B$3*EXP(Ft!B$38*($A156-Ft!B$2)^2) +Ft!C$3*EXP(Ft!C$38*($A156-Ft!C$2)^2) + Ft!D$3*EXP(Ft!D$38*($A156-Ft!D$2)^2)+Ft!E$3*EXP(Ft!E$38*($A156-Ft!E$2)^2) +Ft!F$3*EXP(Ft!F$38*($A156-Ft!F$2)^2) + Ft!G$3*EXP(Ft!G$38*($A156-Ft!G$2)^2)</f>
        <v>12.615575113209543</v>
      </c>
      <c r="E156" s="26">
        <f>Ft!B$3*EXP(Ft!B$38*($A156-Ft!B$2)^2)</f>
        <v>1.2198261007636194E-6</v>
      </c>
      <c r="F156" s="26">
        <f>Ft!C$3*EXP(Ft!C$38*($A156-Ft!C$2)^2)</f>
        <v>9.4246686906846513</v>
      </c>
      <c r="G156" s="26">
        <f>Ft!D$3*EXP(Ft!D$38*($A156-Ft!D$2)^2)</f>
        <v>3.1839722539280313</v>
      </c>
      <c r="H156" s="26">
        <f>Ft!E$3*EXP(Ft!E$38*($A156-Ft!E$2)^2)</f>
        <v>6.9329487707585017E-3</v>
      </c>
      <c r="I156" s="26">
        <f>Ft!F$3*EXP(Ft!F$38*($A156-Ft!F$2)^2)</f>
        <v>4.374731006335308E-145</v>
      </c>
      <c r="J156" s="26">
        <f>Ft!G$3*EXP(Ft!G$38*($A156-Ft!G$2)^2)</f>
        <v>0</v>
      </c>
    </row>
    <row r="157" spans="1:10">
      <c r="A157" s="19">
        <v>155</v>
      </c>
      <c r="B157" s="28">
        <v>20.083078953001973</v>
      </c>
      <c r="C157" s="27">
        <f ca="1">OFFSET($B157,1*(ROWS(C$2:C157)-1),0)</f>
        <v>48.289875596066395</v>
      </c>
      <c r="D157" s="26">
        <f>Ft!B$3*EXP(Ft!B$38*($A157-Ft!B$2)^2) +Ft!C$3*EXP(Ft!C$38*($A157-Ft!C$2)^2) + Ft!D$3*EXP(Ft!D$38*($A157-Ft!D$2)^2)+Ft!E$3*EXP(Ft!E$38*($A157-Ft!E$2)^2) +Ft!F$3*EXP(Ft!F$38*($A157-Ft!F$2)^2) + Ft!G$3*EXP(Ft!G$38*($A157-Ft!G$2)^2)</f>
        <v>12.633383042654007</v>
      </c>
      <c r="E157" s="26">
        <f>Ft!B$3*EXP(Ft!B$38*($A157-Ft!B$2)^2)</f>
        <v>9.27802030089577E-7</v>
      </c>
      <c r="F157" s="26">
        <f>Ft!C$3*EXP(Ft!C$38*($A157-Ft!C$2)^2)</f>
        <v>9.4036826293204534</v>
      </c>
      <c r="G157" s="26">
        <f>Ft!D$3*EXP(Ft!D$38*($A157-Ft!D$2)^2)</f>
        <v>3.222602079227733</v>
      </c>
      <c r="H157" s="26">
        <f>Ft!E$3*EXP(Ft!E$38*($A157-Ft!E$2)^2)</f>
        <v>7.0974063037880578E-3</v>
      </c>
      <c r="I157" s="26">
        <f>Ft!F$3*EXP(Ft!F$38*($A157-Ft!F$2)^2)</f>
        <v>9.3695282922872135E-145</v>
      </c>
      <c r="J157" s="26">
        <f>Ft!G$3*EXP(Ft!G$38*($A157-Ft!G$2)^2)</f>
        <v>0</v>
      </c>
    </row>
    <row r="158" spans="1:10">
      <c r="A158" s="19">
        <v>156</v>
      </c>
      <c r="B158" s="28">
        <v>20.285245962246563</v>
      </c>
      <c r="C158" s="27">
        <f ca="1">OFFSET($B158,1*(ROWS(C$2:C158)-1),0)</f>
        <v>48.272978543089778</v>
      </c>
      <c r="D158" s="26">
        <f>Ft!B$3*EXP(Ft!B$38*($A158-Ft!B$2)^2) +Ft!C$3*EXP(Ft!C$38*($A158-Ft!C$2)^2) + Ft!D$3*EXP(Ft!D$38*($A158-Ft!D$2)^2)+Ft!E$3*EXP(Ft!E$38*($A158-Ft!E$2)^2) +Ft!F$3*EXP(Ft!F$38*($A158-Ft!F$2)^2) + Ft!G$3*EXP(Ft!G$38*($A158-Ft!G$2)^2)</f>
        <v>12.650113112469294</v>
      </c>
      <c r="E158" s="26">
        <f>Ft!B$3*EXP(Ft!B$38*($A158-Ft!B$2)^2)</f>
        <v>7.0391770591405052E-7</v>
      </c>
      <c r="F158" s="26">
        <f>Ft!C$3*EXP(Ft!C$38*($A158-Ft!C$2)^2)</f>
        <v>9.381285046059217</v>
      </c>
      <c r="G158" s="26">
        <f>Ft!D$3*EXP(Ft!D$38*($A158-Ft!D$2)^2)</f>
        <v>3.2615618550172831</v>
      </c>
      <c r="H158" s="26">
        <f>Ft!E$3*EXP(Ft!E$38*($A158-Ft!E$2)^2)</f>
        <v>7.2655074750887496E-3</v>
      </c>
      <c r="I158" s="26">
        <f>Ft!F$3*EXP(Ft!F$38*($A158-Ft!F$2)^2)</f>
        <v>2.0049654588690626E-144</v>
      </c>
      <c r="J158" s="26">
        <f>Ft!G$3*EXP(Ft!G$38*($A158-Ft!G$2)^2)</f>
        <v>0</v>
      </c>
    </row>
    <row r="159" spans="1:10">
      <c r="A159" s="19">
        <v>157</v>
      </c>
      <c r="B159" s="28">
        <v>20.488708486909786</v>
      </c>
      <c r="C159" s="27">
        <f ca="1">OFFSET($B159,1*(ROWS(C$2:C159)-1),0)</f>
        <v>48.293325054205866</v>
      </c>
      <c r="D159" s="26">
        <f>Ft!B$3*EXP(Ft!B$38*($A159-Ft!B$2)^2) +Ft!C$3*EXP(Ft!C$38*($A159-Ft!C$2)^2) + Ft!D$3*EXP(Ft!D$38*($A159-Ft!D$2)^2)+Ft!E$3*EXP(Ft!E$38*($A159-Ft!E$2)^2) +Ft!F$3*EXP(Ft!F$38*($A159-Ft!F$2)^2) + Ft!G$3*EXP(Ft!G$38*($A159-Ft!G$2)^2)</f>
        <v>12.665776351876548</v>
      </c>
      <c r="E159" s="26">
        <f>Ft!B$3*EXP(Ft!B$38*($A159-Ft!B$2)^2)</f>
        <v>5.3271832257810864E-7</v>
      </c>
      <c r="F159" s="26">
        <f>Ft!C$3*EXP(Ft!C$38*($A159-Ft!C$2)^2)</f>
        <v>9.3574862565542034</v>
      </c>
      <c r="G159" s="26">
        <f>Ft!D$3*EXP(Ft!D$38*($A159-Ft!D$2)^2)</f>
        <v>3.3008522360756705</v>
      </c>
      <c r="H159" s="26">
        <f>Ft!E$3*EXP(Ft!E$38*($A159-Ft!E$2)^2)</f>
        <v>7.437326528352081E-3</v>
      </c>
      <c r="I159" s="26">
        <f>Ft!F$3*EXP(Ft!F$38*($A159-Ft!F$2)^2)</f>
        <v>4.2866582258273733E-144</v>
      </c>
      <c r="J159" s="26">
        <f>Ft!G$3*EXP(Ft!G$38*($A159-Ft!G$2)^2)</f>
        <v>0</v>
      </c>
    </row>
    <row r="160" spans="1:10">
      <c r="A160" s="19">
        <v>158</v>
      </c>
      <c r="B160" s="28">
        <v>20.67976577465339</v>
      </c>
      <c r="C160" s="27">
        <f ca="1">OFFSET($B160,1*(ROWS(C$2:C160)-1),0)</f>
        <v>48.264178407994535</v>
      </c>
      <c r="D160" s="26">
        <f>Ft!B$3*EXP(Ft!B$38*($A160-Ft!B$2)^2) +Ft!C$3*EXP(Ft!C$38*($A160-Ft!C$2)^2) + Ft!D$3*EXP(Ft!D$38*($A160-Ft!D$2)^2)+Ft!E$3*EXP(Ft!E$38*($A160-Ft!E$2)^2) +Ft!F$3*EXP(Ft!F$38*($A160-Ft!F$2)^2) + Ft!G$3*EXP(Ft!G$38*($A160-Ft!G$2)^2)</f>
        <v>12.680384387452644</v>
      </c>
      <c r="E160" s="26">
        <f>Ft!B$3*EXP(Ft!B$38*($A160-Ft!B$2)^2)</f>
        <v>4.0214488915377997E-7</v>
      </c>
      <c r="F160" s="26">
        <f>Ft!C$3*EXP(Ft!C$38*($A160-Ft!C$2)^2)</f>
        <v>9.332297203598225</v>
      </c>
      <c r="G160" s="26">
        <f>Ft!D$3*EXP(Ft!D$38*($A160-Ft!D$2)^2)</f>
        <v>3.3404738426450908</v>
      </c>
      <c r="H160" s="26">
        <f>Ft!E$3*EXP(Ft!E$38*($A160-Ft!E$2)^2)</f>
        <v>7.6129390644392864E-3</v>
      </c>
      <c r="I160" s="26">
        <f>Ft!F$3*EXP(Ft!F$38*($A160-Ft!F$2)^2)</f>
        <v>9.1570085098621223E-144</v>
      </c>
      <c r="J160" s="26">
        <f>Ft!G$3*EXP(Ft!G$38*($A160-Ft!G$2)^2)</f>
        <v>0</v>
      </c>
    </row>
    <row r="161" spans="1:10">
      <c r="A161" s="19">
        <v>159</v>
      </c>
      <c r="B161" s="28">
        <v>20.872649090115061</v>
      </c>
      <c r="C161" s="27">
        <f ca="1">OFFSET($B161,1*(ROWS(C$2:C161)-1),0)</f>
        <v>48.280126515757331</v>
      </c>
      <c r="D161" s="26">
        <f>Ft!B$3*EXP(Ft!B$38*($A161-Ft!B$2)^2) +Ft!C$3*EXP(Ft!C$38*($A161-Ft!C$2)^2) + Ft!D$3*EXP(Ft!D$38*($A161-Ft!D$2)^2)+Ft!E$3*EXP(Ft!E$38*($A161-Ft!E$2)^2) +Ft!F$3*EXP(Ft!F$38*($A161-Ft!F$2)^2) + Ft!G$3*EXP(Ft!G$38*($A161-Ft!G$2)^2)</f>
        <v>12.693949433524692</v>
      </c>
      <c r="E161" s="26">
        <f>Ft!B$3*EXP(Ft!B$38*($A161-Ft!B$2)^2)</f>
        <v>3.028144860300861E-7</v>
      </c>
      <c r="F161" s="26">
        <f>Ft!C$3*EXP(Ft!C$38*($A161-Ft!C$2)^2)</f>
        <v>9.3057294487388216</v>
      </c>
      <c r="G161" s="26">
        <f>Ft!D$3*EXP(Ft!D$38*($A161-Ft!D$2)^2)</f>
        <v>3.3804272599087497</v>
      </c>
      <c r="H161" s="26">
        <f>Ft!E$3*EXP(Ft!E$38*($A161-Ft!E$2)^2)</f>
        <v>7.7924220626333432E-3</v>
      </c>
      <c r="I161" s="26">
        <f>Ft!F$3*EXP(Ft!F$38*($A161-Ft!F$2)^2)</f>
        <v>1.9543897323438495E-143</v>
      </c>
      <c r="J161" s="26">
        <f>Ft!G$3*EXP(Ft!G$38*($A161-Ft!G$2)^2)</f>
        <v>0</v>
      </c>
    </row>
    <row r="162" spans="1:10">
      <c r="A162" s="19">
        <v>160</v>
      </c>
      <c r="B162" s="28">
        <v>21.070432870060131</v>
      </c>
      <c r="C162" s="27">
        <f ca="1">OFFSET($B162,1*(ROWS(C$2:C162)-1),0)</f>
        <v>48.289552414484945</v>
      </c>
      <c r="D162" s="26">
        <f>Ft!B$3*EXP(Ft!B$38*($A162-Ft!B$2)^2) +Ft!C$3*EXP(Ft!C$38*($A162-Ft!C$2)^2) + Ft!D$3*EXP(Ft!D$38*($A162-Ft!D$2)^2)+Ft!E$3*EXP(Ft!E$38*($A162-Ft!E$2)^2) +Ft!F$3*EXP(Ft!F$38*($A162-Ft!F$2)^2) + Ft!G$3*EXP(Ft!G$38*($A162-Ft!G$2)^2)</f>
        <v>12.706484282254056</v>
      </c>
      <c r="E162" s="26">
        <f>Ft!B$3*EXP(Ft!B$38*($A162-Ft!B$2)^2)</f>
        <v>2.2744684384246048E-7</v>
      </c>
      <c r="F162" s="26">
        <f>Ft!C$3*EXP(Ft!C$38*($A162-Ft!C$2)^2)</f>
        <v>9.277795163435183</v>
      </c>
      <c r="G162" s="26">
        <f>Ft!D$3*EXP(Ft!D$38*($A162-Ft!D$2)^2)</f>
        <v>3.4207130374698842</v>
      </c>
      <c r="H162" s="26">
        <f>Ft!E$3*EXP(Ft!E$38*($A162-Ft!E$2)^2)</f>
        <v>7.9758539021462377E-3</v>
      </c>
      <c r="I162" s="26">
        <f>Ft!F$3*EXP(Ft!F$38*($A162-Ft!F$2)^2)</f>
        <v>4.1676527126812069E-143</v>
      </c>
      <c r="J162" s="26">
        <f>Ft!G$3*EXP(Ft!G$38*($A162-Ft!G$2)^2)</f>
        <v>0</v>
      </c>
    </row>
    <row r="163" spans="1:10">
      <c r="A163" s="19">
        <v>161</v>
      </c>
      <c r="B163" s="28">
        <v>21.274646962691065</v>
      </c>
      <c r="C163" s="27">
        <f ca="1">OFFSET($B163,1*(ROWS(C$2:C163)-1),0)</f>
        <v>48.305956844259612</v>
      </c>
      <c r="D163" s="26">
        <f>Ft!B$3*EXP(Ft!B$38*($A163-Ft!B$2)^2) +Ft!C$3*EXP(Ft!C$38*($A163-Ft!C$2)^2) + Ft!D$3*EXP(Ft!D$38*($A163-Ft!D$2)^2)+Ft!E$3*EXP(Ft!E$38*($A163-Ft!E$2)^2) +Ft!F$3*EXP(Ft!F$38*($A163-Ft!F$2)^2) + Ft!G$3*EXP(Ft!G$38*($A163-Ft!G$2)^2)</f>
        <v>12.718002293391276</v>
      </c>
      <c r="E163" s="26">
        <f>Ft!B$3*EXP(Ft!B$38*($A163-Ft!B$2)^2)</f>
        <v>1.7040893277047707E-7</v>
      </c>
      <c r="F163" s="26">
        <f>Ft!C$3*EXP(Ft!C$38*($A163-Ft!C$2)^2)</f>
        <v>9.2485071197663018</v>
      </c>
      <c r="G163" s="26">
        <f>Ft!D$3*EXP(Ft!D$38*($A163-Ft!D$2)^2)</f>
        <v>3.4613316888321588</v>
      </c>
      <c r="H163" s="26">
        <f>Ft!E$3*EXP(Ft!E$38*($A163-Ft!E$2)^2)</f>
        <v>8.1633143838825088E-3</v>
      </c>
      <c r="I163" s="26">
        <f>Ft!F$3*EXP(Ft!F$38*($A163-Ft!F$2)^2)</f>
        <v>8.8796258713044114E-143</v>
      </c>
      <c r="J163" s="26">
        <f>Ft!G$3*EXP(Ft!G$38*($A163-Ft!G$2)^2)</f>
        <v>0</v>
      </c>
    </row>
    <row r="164" spans="1:10">
      <c r="A164" s="19">
        <v>162</v>
      </c>
      <c r="B164" s="28">
        <v>21.47195862469394</v>
      </c>
      <c r="C164" s="27">
        <f ca="1">OFFSET($B164,1*(ROWS(C$2:C164)-1),0)</f>
        <v>48.341075081633392</v>
      </c>
      <c r="D164" s="26">
        <f>Ft!B$3*EXP(Ft!B$38*($A164-Ft!B$2)^2) +Ft!C$3*EXP(Ft!C$38*($A164-Ft!C$2)^2) + Ft!D$3*EXP(Ft!D$38*($A164-Ft!D$2)^2)+Ft!E$3*EXP(Ft!E$38*($A164-Ft!E$2)^2) +Ft!F$3*EXP(Ft!F$38*($A164-Ft!F$2)^2) + Ft!G$3*EXP(Ft!G$38*($A164-Ft!G$2)^2)</f>
        <v>12.7285173836887</v>
      </c>
      <c r="E164" s="26">
        <f>Ft!B$3*EXP(Ft!B$38*($A164-Ft!B$2)^2)</f>
        <v>1.2735440542479814E-7</v>
      </c>
      <c r="F164" s="26">
        <f>Ft!C$3*EXP(Ft!C$38*($A164-Ft!C$2)^2)</f>
        <v>9.217878680700256</v>
      </c>
      <c r="G164" s="26">
        <f>Ft!D$3*EXP(Ft!D$38*($A164-Ft!D$2)^2)</f>
        <v>3.502283690881578</v>
      </c>
      <c r="H164" s="26">
        <f>Ft!E$3*EXP(Ft!E$38*($A164-Ft!E$2)^2)</f>
        <v>8.3548847524607672E-3</v>
      </c>
      <c r="I164" s="26">
        <f>Ft!F$3*EXP(Ft!F$38*($A164-Ft!F$2)^2)</f>
        <v>1.8902559284918722E-142</v>
      </c>
      <c r="J164" s="26">
        <f>Ft!G$3*EXP(Ft!G$38*($A164-Ft!G$2)^2)</f>
        <v>0</v>
      </c>
    </row>
    <row r="165" spans="1:10">
      <c r="A165" s="19">
        <v>163</v>
      </c>
      <c r="B165" s="28">
        <v>21.668753884764527</v>
      </c>
      <c r="C165" s="27">
        <f ca="1">OFFSET($B165,1*(ROWS(C$2:C165)-1),0)</f>
        <v>48.359415642141528</v>
      </c>
      <c r="D165" s="26">
        <f>Ft!B$3*EXP(Ft!B$38*($A165-Ft!B$2)^2) +Ft!C$3*EXP(Ft!C$38*($A165-Ft!C$2)^2) + Ft!D$3*EXP(Ft!D$38*($A165-Ft!D$2)^2)+Ft!E$3*EXP(Ft!E$38*($A165-Ft!E$2)^2) +Ft!F$3*EXP(Ft!F$38*($A165-Ft!F$2)^2) + Ft!G$3*EXP(Ft!G$38*($A165-Ft!G$2)^2)</f>
        <v>12.738044015962624</v>
      </c>
      <c r="E165" s="26">
        <f>Ft!B$3*EXP(Ft!B$38*($A165-Ft!B$2)^2)</f>
        <v>9.4939024022385448E-8</v>
      </c>
      <c r="F165" s="26">
        <f>Ft!C$3*EXP(Ft!C$38*($A165-Ft!C$2)^2)</f>
        <v>9.1859237899350372</v>
      </c>
      <c r="G165" s="26">
        <f>Ft!D$3*EXP(Ft!D$38*($A165-Ft!D$2)^2)</f>
        <v>3.5435694833700691</v>
      </c>
      <c r="H165" s="26">
        <f>Ft!E$3*EXP(Ft!E$38*($A165-Ft!E$2)^2)</f>
        <v>8.5506477184943298E-3</v>
      </c>
      <c r="I165" s="26">
        <f>Ft!F$3*EXP(Ft!F$38*($A165-Ft!F$2)^2)</f>
        <v>4.0204007494014567E-142</v>
      </c>
      <c r="J165" s="26">
        <f>Ft!G$3*EXP(Ft!G$38*($A165-Ft!G$2)^2)</f>
        <v>0</v>
      </c>
    </row>
    <row r="166" spans="1:10">
      <c r="A166" s="19">
        <v>164</v>
      </c>
      <c r="B166" s="28">
        <v>21.870875198535799</v>
      </c>
      <c r="C166" s="27">
        <f ca="1">OFFSET($B166,1*(ROWS(C$2:C166)-1),0)</f>
        <v>48.374165882144581</v>
      </c>
      <c r="D166" s="26">
        <f>Ft!B$3*EXP(Ft!B$38*($A166-Ft!B$2)^2) +Ft!C$3*EXP(Ft!C$38*($A166-Ft!C$2)^2) + Ft!D$3*EXP(Ft!D$38*($A166-Ft!D$2)^2)+Ft!E$3*EXP(Ft!E$38*($A166-Ft!E$2)^2) +Ft!F$3*EXP(Ft!F$38*($A166-Ft!F$2)^2) + Ft!G$3*EXP(Ft!G$38*($A166-Ft!G$2)^2)</f>
        <v>12.746597187800454</v>
      </c>
      <c r="E166" s="26">
        <f>Ft!B$3*EXP(Ft!B$38*($A166-Ft!B$2)^2)</f>
        <v>7.0596753084850808E-8</v>
      </c>
      <c r="F166" s="26">
        <f>Ft!C$3*EXP(Ft!C$38*($A166-Ft!C$2)^2)</f>
        <v>9.1526569613216822</v>
      </c>
      <c r="G166" s="26">
        <f>Ft!D$3*EXP(Ft!D$38*($A166-Ft!D$2)^2)</f>
        <v>3.5851894684008867</v>
      </c>
      <c r="H166" s="26">
        <f>Ft!E$3*EXP(Ft!E$38*($A166-Ft!E$2)^2)</f>
        <v>8.750687481132351E-3</v>
      </c>
      <c r="I166" s="26">
        <f>Ft!F$3*EXP(Ft!F$38*($A166-Ft!F$2)^2)</f>
        <v>8.5435994118643554E-142</v>
      </c>
      <c r="J166" s="26">
        <f>Ft!G$3*EXP(Ft!G$38*($A166-Ft!G$2)^2)</f>
        <v>0</v>
      </c>
    </row>
    <row r="167" spans="1:10">
      <c r="A167" s="19">
        <v>165</v>
      </c>
      <c r="B167" s="28">
        <v>22.046010970139406</v>
      </c>
      <c r="C167" s="27">
        <f ca="1">OFFSET($B167,1*(ROWS(C$2:C167)-1),0)</f>
        <v>48.359759389472401</v>
      </c>
      <c r="D167" s="26">
        <f>Ft!B$3*EXP(Ft!B$38*($A167-Ft!B$2)^2) +Ft!C$3*EXP(Ft!C$38*($A167-Ft!C$2)^2) + Ft!D$3*EXP(Ft!D$38*($A167-Ft!D$2)^2)+Ft!E$3*EXP(Ft!E$38*($A167-Ft!E$2)^2) +Ft!F$3*EXP(Ft!F$38*($A167-Ft!F$2)^2) + Ft!G$3*EXP(Ft!G$38*($A167-Ft!G$2)^2)</f>
        <v>12.754192419911988</v>
      </c>
      <c r="E167" s="26">
        <f>Ft!B$3*EXP(Ft!B$38*($A167-Ft!B$2)^2)</f>
        <v>5.2364126804658865E-8</v>
      </c>
      <c r="F167" s="26">
        <f>Ft!C$3*EXP(Ft!C$38*($A167-Ft!C$2)^2)</f>
        <v>9.1180932678809992</v>
      </c>
      <c r="G167" s="26">
        <f>Ft!D$3*EXP(Ft!D$38*($A167-Ft!D$2)^2)</f>
        <v>3.6271440099159986</v>
      </c>
      <c r="H167" s="26">
        <f>Ft!E$3*EXP(Ft!E$38*($A167-Ft!E$2)^2)</f>
        <v>8.9550897508625868E-3</v>
      </c>
      <c r="I167" s="26">
        <f>Ft!F$3*EXP(Ft!F$38*($A167-Ft!F$2)^2)</f>
        <v>1.8139913197092389E-141</v>
      </c>
      <c r="J167" s="26">
        <f>Ft!G$3*EXP(Ft!G$38*($A167-Ft!G$2)^2)</f>
        <v>0</v>
      </c>
    </row>
    <row r="168" spans="1:10">
      <c r="A168" s="19">
        <v>166</v>
      </c>
      <c r="B168" s="28">
        <v>22.244750409105109</v>
      </c>
      <c r="C168" s="27">
        <f ca="1">OFFSET($B168,1*(ROWS(C$2:C168)-1),0)</f>
        <v>48.372280859713925</v>
      </c>
      <c r="D168" s="26">
        <f>Ft!B$3*EXP(Ft!B$38*($A168-Ft!B$2)^2) +Ft!C$3*EXP(Ft!C$38*($A168-Ft!C$2)^2) + Ft!D$3*EXP(Ft!D$38*($A168-Ft!D$2)^2)+Ft!E$3*EXP(Ft!E$38*($A168-Ft!E$2)^2) +Ft!F$3*EXP(Ft!F$38*($A168-Ft!F$2)^2) + Ft!G$3*EXP(Ft!G$38*($A168-Ft!G$2)^2)</f>
        <v>12.760845744126547</v>
      </c>
      <c r="E168" s="26">
        <f>Ft!B$3*EXP(Ft!B$38*($A168-Ft!B$2)^2)</f>
        <v>3.8742904736032271E-8</v>
      </c>
      <c r="F168" s="26">
        <f>Ft!C$3*EXP(Ft!C$38*($A168-Ft!C$2)^2)</f>
        <v>9.08224833042547</v>
      </c>
      <c r="G168" s="26">
        <f>Ft!D$3*EXP(Ft!D$38*($A168-Ft!D$2)^2)</f>
        <v>3.6694334331855956</v>
      </c>
      <c r="H168" s="26">
        <f>Ft!E$3*EXP(Ft!E$38*($A168-Ft!E$2)^2)</f>
        <v>9.1639417725773113E-3</v>
      </c>
      <c r="I168" s="26">
        <f>Ft!F$3*EXP(Ft!F$38*($A168-Ft!F$2)^2)</f>
        <v>3.8481529683140811E-141</v>
      </c>
      <c r="J168" s="26">
        <f>Ft!G$3*EXP(Ft!G$38*($A168-Ft!G$2)^2)</f>
        <v>0</v>
      </c>
    </row>
    <row r="169" spans="1:10">
      <c r="A169" s="19">
        <v>167</v>
      </c>
      <c r="B169" s="28">
        <v>22.444256069080467</v>
      </c>
      <c r="C169" s="27">
        <f ca="1">OFFSET($B169,1*(ROWS(C$2:C169)-1),0)</f>
        <v>48.391775708381658</v>
      </c>
      <c r="D169" s="26">
        <f>Ft!B$3*EXP(Ft!B$38*($A169-Ft!B$2)^2) +Ft!C$3*EXP(Ft!C$38*($A169-Ft!C$2)^2) + Ft!D$3*EXP(Ft!D$38*($A169-Ft!D$2)^2)+Ft!E$3*EXP(Ft!E$38*($A169-Ft!E$2)^2) +Ft!F$3*EXP(Ft!F$38*($A169-Ft!F$2)^2) + Ft!G$3*EXP(Ft!G$38*($A169-Ft!G$2)^2)</f>
        <v>12.766573691040159</v>
      </c>
      <c r="E169" s="26">
        <f>Ft!B$3*EXP(Ft!B$38*($A169-Ft!B$2)^2)</f>
        <v>2.8592996143280363E-8</v>
      </c>
      <c r="F169" s="26">
        <f>Ft!C$3*EXP(Ft!C$38*($A169-Ft!C$2)^2)</f>
        <v>9.0451383057983641</v>
      </c>
      <c r="G169" s="26">
        <f>Ft!D$3*EXP(Ft!D$38*($A169-Ft!D$2)^2)</f>
        <v>3.7120580242998971</v>
      </c>
      <c r="H169" s="26">
        <f>Ft!E$3*EXP(Ft!E$38*($A169-Ft!E$2)^2)</f>
        <v>9.3773323489031446E-3</v>
      </c>
      <c r="I169" s="26">
        <f>Ft!F$3*EXP(Ft!F$38*($A169-Ft!F$2)^2)</f>
        <v>8.1562822402542606E-141</v>
      </c>
      <c r="J169" s="26">
        <f>Ft!G$3*EXP(Ft!G$38*($A169-Ft!G$2)^2)</f>
        <v>0</v>
      </c>
    </row>
    <row r="170" spans="1:10">
      <c r="A170" s="19">
        <v>168</v>
      </c>
      <c r="B170" s="28">
        <v>22.645533232781503</v>
      </c>
      <c r="C170" s="27">
        <f ca="1">OFFSET($B170,1*(ROWS(C$2:C170)-1),0)</f>
        <v>48.394815286262883</v>
      </c>
      <c r="D170" s="26">
        <f>Ft!B$3*EXP(Ft!B$38*($A170-Ft!B$2)^2) +Ft!C$3*EXP(Ft!C$38*($A170-Ft!C$2)^2) + Ft!D$3*EXP(Ft!D$38*($A170-Ft!D$2)^2)+Ft!E$3*EXP(Ft!E$38*($A170-Ft!E$2)^2) +Ft!F$3*EXP(Ft!F$38*($A170-Ft!F$2)^2) + Ft!G$3*EXP(Ft!G$38*($A170-Ft!G$2)^2)</f>
        <v>12.771393277318897</v>
      </c>
      <c r="E170" s="26">
        <f>Ft!B$3*EXP(Ft!B$38*($A170-Ft!B$2)^2)</f>
        <v>2.1049235491869512E-8</v>
      </c>
      <c r="F170" s="26">
        <f>Ft!C$3*EXP(Ft!C$38*($A170-Ft!C$2)^2)</f>
        <v>9.0067798747424739</v>
      </c>
      <c r="G170" s="26">
        <f>Ft!D$3*EXP(Ft!D$38*($A170-Ft!D$2)^2)</f>
        <v>3.7550180296633915</v>
      </c>
      <c r="H170" s="26">
        <f>Ft!E$3*EXP(Ft!E$38*($A170-Ft!E$2)^2)</f>
        <v>9.5953518637963992E-3</v>
      </c>
      <c r="I170" s="26">
        <f>Ft!F$3*EXP(Ft!F$38*($A170-Ft!F$2)^2)</f>
        <v>1.7272490380663745E-140</v>
      </c>
      <c r="J170" s="26">
        <f>Ft!G$3*EXP(Ft!G$38*($A170-Ft!G$2)^2)</f>
        <v>0</v>
      </c>
    </row>
    <row r="171" spans="1:10">
      <c r="A171" s="19">
        <v>169</v>
      </c>
      <c r="B171" s="28">
        <v>22.852752629772567</v>
      </c>
      <c r="C171" s="27">
        <f ca="1">OFFSET($B171,1*(ROWS(C$2:C171)-1),0)</f>
        <v>48.400337738302653</v>
      </c>
      <c r="D171" s="26">
        <f>Ft!B$3*EXP(Ft!B$38*($A171-Ft!B$2)^2) +Ft!C$3*EXP(Ft!C$38*($A171-Ft!C$2)^2) + Ft!D$3*EXP(Ft!D$38*($A171-Ft!D$2)^2)+Ft!E$3*EXP(Ft!E$38*($A171-Ft!E$2)^2) +Ft!F$3*EXP(Ft!F$38*($A171-Ft!F$2)^2) + Ft!G$3*EXP(Ft!G$38*($A171-Ft!G$2)^2)</f>
        <v>12.775321992666175</v>
      </c>
      <c r="E171" s="26">
        <f>Ft!B$3*EXP(Ft!B$38*($A171-Ft!B$2)^2)</f>
        <v>1.5456891638078759E-8</v>
      </c>
      <c r="F171" s="26">
        <f>Ft!C$3*EXP(Ft!C$38*($A171-Ft!C$2)^2)</f>
        <v>8.9671902294111909</v>
      </c>
      <c r="G171" s="26">
        <f>Ft!D$3*EXP(Ft!D$38*($A171-Ft!D$2)^2)</f>
        <v>3.7983136554916879</v>
      </c>
      <c r="H171" s="26">
        <f>Ft!E$3*EXP(Ft!E$38*($A171-Ft!E$2)^2)</f>
        <v>9.8180923064046677E-3</v>
      </c>
      <c r="I171" s="26">
        <f>Ft!F$3*EXP(Ft!F$38*($A171-Ft!F$2)^2)</f>
        <v>3.6546052077155998E-140</v>
      </c>
      <c r="J171" s="26">
        <f>Ft!G$3*EXP(Ft!G$38*($A171-Ft!G$2)^2)</f>
        <v>0</v>
      </c>
    </row>
    <row r="172" spans="1:10">
      <c r="A172" s="19">
        <v>170</v>
      </c>
      <c r="B172" s="28">
        <v>23.02990260638478</v>
      </c>
      <c r="C172" s="27">
        <f ca="1">OFFSET($B172,1*(ROWS(C$2:C172)-1),0)</f>
        <v>48.401883319571766</v>
      </c>
      <c r="D172" s="26">
        <f>Ft!B$3*EXP(Ft!B$38*($A172-Ft!B$2)^2) +Ft!C$3*EXP(Ft!C$38*($A172-Ft!C$2)^2) + Ft!D$3*EXP(Ft!D$38*($A172-Ft!D$2)^2)+Ft!E$3*EXP(Ft!E$38*($A172-Ft!E$2)^2) +Ft!F$3*EXP(Ft!F$38*($A172-Ft!F$2)^2) + Ft!G$3*EXP(Ft!G$38*($A172-Ft!G$2)^2)</f>
        <v>12.778377786463178</v>
      </c>
      <c r="E172" s="26">
        <f>Ft!B$3*EXP(Ft!B$38*($A172-Ft!B$2)^2)</f>
        <v>1.1321844137476244E-8</v>
      </c>
      <c r="F172" s="26">
        <f>Ft!C$3*EXP(Ft!C$38*($A172-Ft!C$2)^2)</f>
        <v>8.9263870605350082</v>
      </c>
      <c r="G172" s="26">
        <f>Ft!D$3*EXP(Ft!D$38*($A172-Ft!D$2)^2)</f>
        <v>3.8419450673111282</v>
      </c>
      <c r="H172" s="26">
        <f>Ft!E$3*EXP(Ft!E$38*($A172-Ft!E$2)^2)</f>
        <v>1.004564729519601E-2</v>
      </c>
      <c r="I172" s="26">
        <f>Ft!F$3*EXP(Ft!F$38*($A172-Ft!F$2)^2)</f>
        <v>7.7258945012851964E-140</v>
      </c>
      <c r="J172" s="26">
        <f>Ft!G$3*EXP(Ft!G$38*($A172-Ft!G$2)^2)</f>
        <v>0</v>
      </c>
    </row>
    <row r="173" spans="1:10">
      <c r="A173" s="19">
        <v>171</v>
      </c>
      <c r="B173" s="28">
        <v>23.211968217850483</v>
      </c>
      <c r="C173" s="27">
        <f ca="1">OFFSET($B173,1*(ROWS(C$2:C173)-1),0)</f>
        <v>48.422298806964363</v>
      </c>
      <c r="D173" s="26">
        <f>Ft!B$3*EXP(Ft!B$38*($A173-Ft!B$2)^2) +Ft!C$3*EXP(Ft!C$38*($A173-Ft!C$2)^2) + Ft!D$3*EXP(Ft!D$38*($A173-Ft!D$2)^2)+Ft!E$3*EXP(Ft!E$38*($A173-Ft!E$2)^2) +Ft!F$3*EXP(Ft!F$38*($A173-Ft!F$2)^2) + Ft!G$3*EXP(Ft!G$38*($A173-Ft!G$2)^2)</f>
        <v>12.780579054092749</v>
      </c>
      <c r="E173" s="26">
        <f>Ft!B$3*EXP(Ft!B$38*($A173-Ft!B$2)^2)</f>
        <v>8.2722062793184556E-9</v>
      </c>
      <c r="F173" s="26">
        <f>Ft!C$3*EXP(Ft!C$38*($A173-Ft!C$2)^2)</f>
        <v>8.8843885442568702</v>
      </c>
      <c r="G173" s="26">
        <f>Ft!D$3*EXP(Ft!D$38*($A173-Ft!D$2)^2)</f>
        <v>3.8859123894613163</v>
      </c>
      <c r="H173" s="26">
        <f>Ft!E$3*EXP(Ft!E$38*($A173-Ft!E$2)^2)</f>
        <v>1.0278112102356577E-2</v>
      </c>
      <c r="I173" s="26">
        <f>Ft!F$3*EXP(Ft!F$38*($A173-Ft!F$2)^2)</f>
        <v>1.6318486392260961E-139</v>
      </c>
      <c r="J173" s="26">
        <f>Ft!G$3*EXP(Ft!G$38*($A173-Ft!G$2)^2)</f>
        <v>0</v>
      </c>
    </row>
    <row r="174" spans="1:10">
      <c r="A174" s="19">
        <v>172</v>
      </c>
      <c r="B174" s="28">
        <v>23.408598188949128</v>
      </c>
      <c r="C174" s="27">
        <f ca="1">OFFSET($B174,1*(ROWS(C$2:C174)-1),0)</f>
        <v>48.426950072791385</v>
      </c>
      <c r="D174" s="26">
        <f>Ft!B$3*EXP(Ft!B$38*($A174-Ft!B$2)^2) +Ft!C$3*EXP(Ft!C$38*($A174-Ft!C$2)^2) + Ft!D$3*EXP(Ft!D$38*($A174-Ft!D$2)^2)+Ft!E$3*EXP(Ft!E$38*($A174-Ft!E$2)^2) +Ft!F$3*EXP(Ft!F$38*($A174-Ft!F$2)^2) + Ft!G$3*EXP(Ft!G$38*($A174-Ft!G$2)^2)</f>
        <v>12.781944622958113</v>
      </c>
      <c r="E174" s="26">
        <f>Ft!B$3*EXP(Ft!B$38*($A174-Ft!B$2)^2)</f>
        <v>6.0288532625280442E-9</v>
      </c>
      <c r="F174" s="26">
        <f>Ft!C$3*EXP(Ft!C$38*($A174-Ft!C$2)^2)</f>
        <v>8.8412133286500598</v>
      </c>
      <c r="G174" s="26">
        <f>Ft!D$3*EXP(Ft!D$38*($A174-Ft!D$2)^2)</f>
        <v>3.9302157046007404</v>
      </c>
      <c r="H174" s="26">
        <f>Ft!E$3*EXP(Ft!E$38*($A174-Ft!E$2)^2)</f>
        <v>1.0515583678457821E-2</v>
      </c>
      <c r="I174" s="26">
        <f>Ft!F$3*EXP(Ft!F$38*($A174-Ft!F$2)^2)</f>
        <v>3.4437670733164539E-139</v>
      </c>
      <c r="J174" s="26">
        <f>Ft!G$3*EXP(Ft!G$38*($A174-Ft!G$2)^2)</f>
        <v>0</v>
      </c>
    </row>
    <row r="175" spans="1:10">
      <c r="A175" s="19">
        <v>173</v>
      </c>
      <c r="B175" s="28">
        <v>23.604040543179281</v>
      </c>
      <c r="C175" s="27">
        <f ca="1">OFFSET($B175,1*(ROWS(C$2:C175)-1),0)</f>
        <v>48.435566412793861</v>
      </c>
      <c r="D175" s="26">
        <f>Ft!B$3*EXP(Ft!B$38*($A175-Ft!B$2)^2) +Ft!C$3*EXP(Ft!C$38*($A175-Ft!C$2)^2) + Ft!D$3*EXP(Ft!D$38*($A175-Ft!D$2)^2)+Ft!E$3*EXP(Ft!E$38*($A175-Ft!E$2)^2) +Ft!F$3*EXP(Ft!F$38*($A175-Ft!F$2)^2) + Ft!G$3*EXP(Ft!G$38*($A175-Ft!G$2)^2)</f>
        <v>12.782493738208485</v>
      </c>
      <c r="E175" s="26">
        <f>Ft!B$3*EXP(Ft!B$38*($A175-Ft!B$2)^2)</f>
        <v>4.3828564416474553E-9</v>
      </c>
      <c r="F175" s="26">
        <f>Ft!C$3*EXP(Ft!C$38*($A175-Ft!C$2)^2)</f>
        <v>8.7968805199325981</v>
      </c>
      <c r="G175" s="26">
        <f>Ft!D$3*EXP(Ft!D$38*($A175-Ft!D$2)^2)</f>
        <v>3.9748550532156357</v>
      </c>
      <c r="H175" s="26">
        <f>Ft!E$3*EXP(Ft!E$38*($A175-Ft!E$2)^2)</f>
        <v>1.0758160677393991E-2</v>
      </c>
      <c r="I175" s="26">
        <f>Ft!F$3*EXP(Ft!F$38*($A175-Ft!F$2)^2)</f>
        <v>7.2612344669660312E-139</v>
      </c>
      <c r="J175" s="26">
        <f>Ft!G$3*EXP(Ft!G$38*($A175-Ft!G$2)^2)</f>
        <v>0</v>
      </c>
    </row>
    <row r="176" spans="1:10">
      <c r="A176" s="19">
        <v>174</v>
      </c>
      <c r="B176" s="28">
        <v>23.812698239267917</v>
      </c>
      <c r="C176" s="27">
        <f ca="1">OFFSET($B176,1*(ROWS(C$2:C176)-1),0)</f>
        <v>48.452640616931717</v>
      </c>
      <c r="D176" s="26">
        <f>Ft!B$3*EXP(Ft!B$38*($A176-Ft!B$2)^2) +Ft!C$3*EXP(Ft!C$38*($A176-Ft!C$2)^2) + Ft!D$3*EXP(Ft!D$38*($A176-Ft!D$2)^2)+Ft!E$3*EXP(Ft!E$38*($A176-Ft!E$2)^2) +Ft!F$3*EXP(Ft!F$38*($A176-Ft!F$2)^2) + Ft!G$3*EXP(Ft!G$38*($A176-Ft!G$2)^2)</f>
        <v>12.782246048184545</v>
      </c>
      <c r="E176" s="26">
        <f>Ft!B$3*EXP(Ft!B$38*($A176-Ft!B$2)^2)</f>
        <v>3.1782565606094858E-9</v>
      </c>
      <c r="F176" s="26">
        <f>Ft!C$3*EXP(Ft!C$38*($A176-Ft!C$2)^2)</f>
        <v>8.7514096683924443</v>
      </c>
      <c r="G176" s="26">
        <f>Ft!D$3*EXP(Ft!D$38*($A176-Ft!D$2)^2)</f>
        <v>4.0198304331322552</v>
      </c>
      <c r="H176" s="26">
        <f>Ft!E$3*EXP(Ft!E$38*($A176-Ft!E$2)^2)</f>
        <v>1.1005943481591195E-2</v>
      </c>
      <c r="I176" s="26">
        <f>Ft!F$3*EXP(Ft!F$38*($A176-Ft!F$2)^2)</f>
        <v>1.529712963288552E-138</v>
      </c>
      <c r="J176" s="26">
        <f>Ft!G$3*EXP(Ft!G$38*($A176-Ft!G$2)^2)</f>
        <v>0</v>
      </c>
    </row>
    <row r="177" spans="1:10">
      <c r="A177" s="19">
        <v>175</v>
      </c>
      <c r="B177" s="28">
        <v>24.016438978127496</v>
      </c>
      <c r="C177" s="27">
        <f ca="1">OFFSET($B177,1*(ROWS(C$2:C177)-1),0)</f>
        <v>48.476703941441542</v>
      </c>
      <c r="D177" s="26">
        <f>Ft!B$3*EXP(Ft!B$38*($A177-Ft!B$2)^2) +Ft!C$3*EXP(Ft!C$38*($A177-Ft!C$2)^2) + Ft!D$3*EXP(Ft!D$38*($A177-Ft!D$2)^2)+Ft!E$3*EXP(Ft!E$38*($A177-Ft!E$2)^2) +Ft!F$3*EXP(Ft!F$38*($A177-Ft!F$2)^2) + Ft!G$3*EXP(Ft!G$38*($A177-Ft!G$2)^2)</f>
        <v>12.7812215895971</v>
      </c>
      <c r="E177" s="26">
        <f>Ft!B$3*EXP(Ft!B$38*($A177-Ft!B$2)^2)</f>
        <v>2.2989516241639722E-9</v>
      </c>
      <c r="F177" s="26">
        <f>Ft!C$3*EXP(Ft!C$38*($A177-Ft!C$2)^2)</f>
        <v>8.7048207540379394</v>
      </c>
      <c r="G177" s="26">
        <f>Ft!D$3*EXP(Ft!D$38*($A177-Ft!D$2)^2)</f>
        <v>4.0651417990327197</v>
      </c>
      <c r="H177" s="26">
        <f>Ft!E$3*EXP(Ft!E$38*($A177-Ft!E$2)^2)</f>
        <v>1.1259034227488345E-2</v>
      </c>
      <c r="I177" s="26">
        <f>Ft!F$3*EXP(Ft!F$38*($A177-Ft!F$2)^2)</f>
        <v>3.219824711113212E-138</v>
      </c>
      <c r="J177" s="26">
        <f>Ft!G$3*EXP(Ft!G$38*($A177-Ft!G$2)^2)</f>
        <v>0</v>
      </c>
    </row>
    <row r="178" spans="1:10">
      <c r="A178" s="19">
        <v>176</v>
      </c>
      <c r="B178" s="28">
        <v>24.24048730529779</v>
      </c>
      <c r="C178" s="27">
        <f ca="1">OFFSET($B178,1*(ROWS(C$2:C178)-1),0)</f>
        <v>48.469473069139269</v>
      </c>
      <c r="D178" s="26">
        <f>Ft!B$3*EXP(Ft!B$38*($A178-Ft!B$2)^2) +Ft!C$3*EXP(Ft!C$38*($A178-Ft!C$2)^2) + Ft!D$3*EXP(Ft!D$38*($A178-Ft!D$2)^2)+Ft!E$3*EXP(Ft!E$38*($A178-Ft!E$2)^2) +Ft!F$3*EXP(Ft!F$38*($A178-Ft!F$2)^2) + Ft!G$3*EXP(Ft!G$38*($A178-Ft!G$2)^2)</f>
        <v>12.779440772452922</v>
      </c>
      <c r="E178" s="26">
        <f>Ft!B$3*EXP(Ft!B$38*($A178-Ft!B$2)^2)</f>
        <v>1.6587459956270891E-9</v>
      </c>
      <c r="F178" s="26">
        <f>Ft!C$3*EXP(Ft!C$38*($A178-Ft!C$2)^2)</f>
        <v>8.6571341719882806</v>
      </c>
      <c r="G178" s="26">
        <f>Ft!D$3*EXP(Ft!D$38*($A178-Ft!D$2)^2)</f>
        <v>4.1107890619746046</v>
      </c>
      <c r="H178" s="26">
        <f>Ft!E$3*EXP(Ft!E$38*($A178-Ft!E$2)^2)</f>
        <v>1.1517536831291416E-2</v>
      </c>
      <c r="I178" s="26">
        <f>Ft!F$3*EXP(Ft!F$38*($A178-Ft!F$2)^2)</f>
        <v>6.7713818743249727E-138</v>
      </c>
      <c r="J178" s="26">
        <f>Ft!G$3*EXP(Ft!G$38*($A178-Ft!G$2)^2)</f>
        <v>0</v>
      </c>
    </row>
    <row r="179" spans="1:10">
      <c r="A179" s="19">
        <v>177</v>
      </c>
      <c r="B179" s="28">
        <v>24.464185792617684</v>
      </c>
      <c r="C179" s="27">
        <f ca="1">OFFSET($B179,1*(ROWS(C$2:C179)-1),0)</f>
        <v>48.4449965426343</v>
      </c>
      <c r="D179" s="26">
        <f>Ft!B$3*EXP(Ft!B$38*($A179-Ft!B$2)^2) +Ft!C$3*EXP(Ft!C$38*($A179-Ft!C$2)^2) + Ft!D$3*EXP(Ft!D$38*($A179-Ft!D$2)^2)+Ft!E$3*EXP(Ft!E$38*($A179-Ft!E$2)^2) +Ft!F$3*EXP(Ft!F$38*($A179-Ft!F$2)^2) + Ft!G$3*EXP(Ft!G$38*($A179-Ft!G$2)^2)</f>
        <v>12.776924364742145</v>
      </c>
      <c r="E179" s="26">
        <f>Ft!B$3*EXP(Ft!B$38*($A179-Ft!B$2)^2)</f>
        <v>1.1938207313647972E-9</v>
      </c>
      <c r="F179" s="26">
        <f>Ft!C$3*EXP(Ft!C$38*($A179-Ft!C$2)^2)</f>
        <v>8.6083707176188984</v>
      </c>
      <c r="G179" s="26">
        <f>Ft!D$3*EXP(Ft!D$38*($A179-Ft!D$2)^2)</f>
        <v>4.1567720889144253</v>
      </c>
      <c r="H179" s="26">
        <f>Ft!E$3*EXP(Ft!E$38*($A179-Ft!E$2)^2)</f>
        <v>1.1781557015001097E-2</v>
      </c>
      <c r="I179" s="26">
        <f>Ft!F$3*EXP(Ft!F$38*($A179-Ft!F$2)^2)</f>
        <v>1.422804334856659E-137</v>
      </c>
      <c r="J179" s="26">
        <f>Ft!G$3*EXP(Ft!G$38*($A179-Ft!G$2)^2)</f>
        <v>0</v>
      </c>
    </row>
    <row r="180" spans="1:10">
      <c r="A180" s="19">
        <v>178</v>
      </c>
      <c r="B180" s="28">
        <v>24.67964745736748</v>
      </c>
      <c r="C180" s="27">
        <f ca="1">OFFSET($B180,1*(ROWS(C$2:C180)-1),0)</f>
        <v>48.407827599763266</v>
      </c>
      <c r="D180" s="26">
        <f>Ft!B$3*EXP(Ft!B$38*($A180-Ft!B$2)^2) +Ft!C$3*EXP(Ft!C$38*($A180-Ft!C$2)^2) + Ft!D$3*EXP(Ft!D$38*($A180-Ft!D$2)^2)+Ft!E$3*EXP(Ft!E$38*($A180-Ft!E$2)^2) +Ft!F$3*EXP(Ft!F$38*($A180-Ft!F$2)^2) + Ft!G$3*EXP(Ft!G$38*($A180-Ft!G$2)^2)</f>
        <v>12.773693476901871</v>
      </c>
      <c r="E180" s="26">
        <f>Ft!B$3*EXP(Ft!B$38*($A180-Ft!B$2)^2)</f>
        <v>8.570526844077568E-10</v>
      </c>
      <c r="F180" s="26">
        <f>Ft!C$3*EXP(Ft!C$38*($A180-Ft!C$2)^2)</f>
        <v>8.5585515714769009</v>
      </c>
      <c r="G180" s="26">
        <f>Ft!D$3*EXP(Ft!D$38*($A180-Ft!D$2)^2)</f>
        <v>4.203090702235202</v>
      </c>
      <c r="H180" s="26">
        <f>Ft!E$3*EXP(Ft!E$38*($A180-Ft!E$2)^2)</f>
        <v>1.2051202332715165E-2</v>
      </c>
      <c r="I180" s="26">
        <f>Ft!F$3*EXP(Ft!F$38*($A180-Ft!F$2)^2)</f>
        <v>2.9870043024720686E-137</v>
      </c>
      <c r="J180" s="26">
        <f>Ft!G$3*EXP(Ft!G$38*($A180-Ft!G$2)^2)</f>
        <v>0</v>
      </c>
    </row>
    <row r="181" spans="1:10">
      <c r="A181" s="19">
        <v>179</v>
      </c>
      <c r="B181" s="28">
        <v>24.884306241262578</v>
      </c>
      <c r="C181" s="27">
        <f ca="1">OFFSET($B181,1*(ROWS(C$2:C181)-1),0)</f>
        <v>48.401364996853658</v>
      </c>
      <c r="D181" s="26">
        <f>Ft!B$3*EXP(Ft!B$38*($A181-Ft!B$2)^2) +Ft!C$3*EXP(Ft!C$38*($A181-Ft!C$2)^2) + Ft!D$3*EXP(Ft!D$38*($A181-Ft!D$2)^2)+Ft!E$3*EXP(Ft!E$38*($A181-Ft!E$2)^2) +Ft!F$3*EXP(Ft!F$38*($A181-Ft!F$2)^2) + Ft!G$3*EXP(Ft!G$38*($A181-Ft!G$2)^2)</f>
        <v>12.769769546071034</v>
      </c>
      <c r="E181" s="26">
        <f>Ft!B$3*EXP(Ft!B$38*($A181-Ft!B$2)^2)</f>
        <v>6.1374094381702829E-10</v>
      </c>
      <c r="F181" s="26">
        <f>Ft!C$3*EXP(Ft!C$38*($A181-Ft!C$2)^2)</f>
        <v>8.5076982839818331</v>
      </c>
      <c r="G181" s="26">
        <f>Ft!D$3*EXP(Ft!D$38*($A181-Ft!D$2)^2)</f>
        <v>4.2497446792782547</v>
      </c>
      <c r="H181" s="26">
        <f>Ft!E$3*EXP(Ft!E$38*($A181-Ft!E$2)^2)</f>
        <v>1.2326582197205687E-2</v>
      </c>
      <c r="I181" s="26">
        <f>Ft!F$3*EXP(Ft!F$38*($A181-Ft!F$2)^2)</f>
        <v>6.2654073484543018E-137</v>
      </c>
      <c r="J181" s="26">
        <f>Ft!G$3*EXP(Ft!G$38*($A181-Ft!G$2)^2)</f>
        <v>0</v>
      </c>
    </row>
    <row r="182" spans="1:10">
      <c r="A182" s="19">
        <v>180</v>
      </c>
      <c r="B182" s="28">
        <v>25.087396458903925</v>
      </c>
      <c r="C182" s="27">
        <f ca="1">OFFSET($B182,1*(ROWS(C$2:C182)-1),0)</f>
        <v>48.36602451640249</v>
      </c>
      <c r="D182" s="26">
        <f>Ft!B$3*EXP(Ft!B$38*($A182-Ft!B$2)^2) +Ft!C$3*EXP(Ft!C$38*($A182-Ft!C$2)^2) + Ft!D$3*EXP(Ft!D$38*($A182-Ft!D$2)^2)+Ft!E$3*EXP(Ft!E$38*($A182-Ft!E$2)^2) +Ft!F$3*EXP(Ft!F$38*($A182-Ft!F$2)^2) + Ft!G$3*EXP(Ft!G$38*($A182-Ft!G$2)^2)</f>
        <v>12.765174320151797</v>
      </c>
      <c r="E182" s="26">
        <f>Ft!B$3*EXP(Ft!B$38*($A182-Ft!B$2)^2)</f>
        <v>4.3840131522219128E-10</v>
      </c>
      <c r="F182" s="26">
        <f>Ft!C$3*EXP(Ft!C$38*($A182-Ft!C$2)^2)</f>
        <v>8.4558327599272189</v>
      </c>
      <c r="G182" s="26">
        <f>Ft!D$3*EXP(Ft!D$38*($A182-Ft!D$2)^2)</f>
        <v>4.2967337518794038</v>
      </c>
      <c r="H182" s="26">
        <f>Ft!E$3*EXP(Ft!E$38*($A182-Ft!E$2)^2)</f>
        <v>1.260780790677209E-2</v>
      </c>
      <c r="I182" s="26">
        <f>Ft!F$3*EXP(Ft!F$38*($A182-Ft!F$2)^2)</f>
        <v>1.3130630234173102E-136</v>
      </c>
      <c r="J182" s="26">
        <f>Ft!G$3*EXP(Ft!G$38*($A182-Ft!G$2)^2)</f>
        <v>0</v>
      </c>
    </row>
    <row r="183" spans="1:10">
      <c r="A183" s="19">
        <v>181</v>
      </c>
      <c r="B183" s="28">
        <v>25.29156542677552</v>
      </c>
      <c r="C183" s="27">
        <f ca="1">OFFSET($B183,1*(ROWS(C$2:C183)-1),0)</f>
        <v>48.346763123046742</v>
      </c>
      <c r="D183" s="26">
        <f>Ft!B$3*EXP(Ft!B$38*($A183-Ft!B$2)^2) +Ft!C$3*EXP(Ft!C$38*($A183-Ft!C$2)^2) + Ft!D$3*EXP(Ft!D$38*($A183-Ft!D$2)^2)+Ft!E$3*EXP(Ft!E$38*($A183-Ft!E$2)^2) +Ft!F$3*EXP(Ft!F$38*($A183-Ft!F$2)^2) + Ft!G$3*EXP(Ft!G$38*($A183-Ft!G$2)^2)</f>
        <v>12.759929841692921</v>
      </c>
      <c r="E183" s="26">
        <f>Ft!B$3*EXP(Ft!B$38*($A183-Ft!B$2)^2)</f>
        <v>3.1236888983495017E-10</v>
      </c>
      <c r="F183" s="26">
        <f>Ft!C$3*EXP(Ft!C$38*($A183-Ft!C$2)^2)</f>
        <v>8.4029772427984337</v>
      </c>
      <c r="G183" s="26">
        <f>Ft!D$3*EXP(Ft!D$38*($A183-Ft!D$2)^2)</f>
        <v>4.3440576059097493</v>
      </c>
      <c r="H183" s="26">
        <f>Ft!E$3*EXP(Ft!E$38*($A183-Ft!E$2)^2)</f>
        <v>1.2894992672370188E-2</v>
      </c>
      <c r="I183" s="26">
        <f>Ft!F$3*EXP(Ft!F$38*($A183-Ft!F$2)^2)</f>
        <v>2.7494424041045007E-136</v>
      </c>
      <c r="J183" s="26">
        <f>Ft!G$3*EXP(Ft!G$38*($A183-Ft!G$2)^2)</f>
        <v>0</v>
      </c>
    </row>
    <row r="184" spans="1:10">
      <c r="A184" s="19">
        <v>182</v>
      </c>
      <c r="B184" s="28">
        <v>25.513182195821116</v>
      </c>
      <c r="C184" s="27">
        <f ca="1">OFFSET($B184,1*(ROWS(C$2:C184)-1),0)</f>
        <v>48.335573358999739</v>
      </c>
      <c r="D184" s="26">
        <f>Ft!B$3*EXP(Ft!B$38*($A184-Ft!B$2)^2) +Ft!C$3*EXP(Ft!C$38*($A184-Ft!C$2)^2) + Ft!D$3*EXP(Ft!D$38*($A184-Ft!D$2)^2)+Ft!E$3*EXP(Ft!E$38*($A184-Ft!E$2)^2) +Ft!F$3*EXP(Ft!F$38*($A184-Ft!F$2)^2) + Ft!G$3*EXP(Ft!G$38*($A184-Ft!G$2)^2)</f>
        <v>12.754058431610773</v>
      </c>
      <c r="E184" s="26">
        <f>Ft!B$3*EXP(Ft!B$38*($A184-Ft!B$2)^2)</f>
        <v>2.2201017236867211E-10</v>
      </c>
      <c r="F184" s="26">
        <f>Ft!C$3*EXP(Ft!C$38*($A184-Ft!C$2)^2)</f>
        <v>8.34915429892256</v>
      </c>
      <c r="G184" s="26">
        <f>Ft!D$3*EXP(Ft!D$38*($A184-Ft!D$2)^2)</f>
        <v>4.3917158808211827</v>
      </c>
      <c r="H184" s="26">
        <f>Ft!E$3*EXP(Ft!E$38*($A184-Ft!E$2)^2)</f>
        <v>1.3188251645018165E-2</v>
      </c>
      <c r="I184" s="26">
        <f>Ft!F$3*EXP(Ft!F$38*($A184-Ft!F$2)^2)</f>
        <v>5.7521006509821322E-136</v>
      </c>
      <c r="J184" s="26">
        <f>Ft!G$3*EXP(Ft!G$38*($A184-Ft!G$2)^2)</f>
        <v>0</v>
      </c>
    </row>
    <row r="185" spans="1:10">
      <c r="A185" s="19">
        <v>183</v>
      </c>
      <c r="B185" s="28">
        <v>25.724492713317119</v>
      </c>
      <c r="C185" s="27">
        <f ca="1">OFFSET($B185,1*(ROWS(C$2:C185)-1),0)</f>
        <v>48.342509756216572</v>
      </c>
      <c r="D185" s="26">
        <f>Ft!B$3*EXP(Ft!B$38*($A185-Ft!B$2)^2) +Ft!C$3*EXP(Ft!C$38*($A185-Ft!C$2)^2) + Ft!D$3*EXP(Ft!D$38*($A185-Ft!D$2)^2)+Ft!E$3*EXP(Ft!E$38*($A185-Ft!E$2)^2) +Ft!F$3*EXP(Ft!F$38*($A185-Ft!F$2)^2) + Ft!G$3*EXP(Ft!G$38*($A185-Ft!G$2)^2)</f>
        <v>12.74758267276372</v>
      </c>
      <c r="E185" s="26">
        <f>Ft!B$3*EXP(Ft!B$38*($A185-Ft!B$2)^2)</f>
        <v>1.5739362869833104E-10</v>
      </c>
      <c r="F185" s="26">
        <f>Ft!C$3*EXP(Ft!C$38*($A185-Ft!C$2)^2)</f>
        <v>8.2943868014660289</v>
      </c>
      <c r="G185" s="26">
        <f>Ft!D$3*EXP(Ft!D$38*($A185-Ft!D$2)^2)</f>
        <v>4.4397081691968179</v>
      </c>
      <c r="H185" s="26">
        <f>Ft!E$3*EXP(Ft!E$38*($A185-Ft!E$2)^2)</f>
        <v>1.3487701943479334E-2</v>
      </c>
      <c r="I185" s="26">
        <f>Ft!F$3*EXP(Ft!F$38*($A185-Ft!F$2)^2)</f>
        <v>1.2023505949292919E-135</v>
      </c>
      <c r="J185" s="26">
        <f>Ft!G$3*EXP(Ft!G$38*($A185-Ft!G$2)^2)</f>
        <v>0</v>
      </c>
    </row>
    <row r="186" spans="1:10">
      <c r="A186" s="19">
        <v>184</v>
      </c>
      <c r="B186" s="28">
        <v>25.946852757409033</v>
      </c>
      <c r="C186" s="27">
        <f ca="1">OFFSET($B186,1*(ROWS(C$2:C186)-1),0)</f>
        <v>48.32330910097113</v>
      </c>
      <c r="D186" s="26">
        <f>Ft!B$3*EXP(Ft!B$38*($A186-Ft!B$2)^2) +Ft!C$3*EXP(Ft!C$38*($A186-Ft!C$2)^2) + Ft!D$3*EXP(Ft!D$38*($A186-Ft!D$2)^2)+Ft!E$3*EXP(Ft!E$38*($A186-Ft!E$2)^2) +Ft!F$3*EXP(Ft!F$38*($A186-Ft!F$2)^2) + Ft!G$3*EXP(Ft!G$38*($A186-Ft!G$2)^2)</f>
        <v>12.740525393395846</v>
      </c>
      <c r="E186" s="26">
        <f>Ft!B$3*EXP(Ft!B$38*($A186-Ft!B$2)^2)</f>
        <v>1.1130395496932977E-10</v>
      </c>
      <c r="F186" s="26">
        <f>Ft!C$3*EXP(Ft!C$38*($A186-Ft!C$2)^2)</f>
        <v>8.2386979142958197</v>
      </c>
      <c r="G186" s="26">
        <f>Ft!D$3*EXP(Ft!D$38*($A186-Ft!D$2)^2)</f>
        <v>4.4880340163064973</v>
      </c>
      <c r="H186" s="26">
        <f>Ft!E$3*EXP(Ft!E$38*($A186-Ft!E$2)^2)</f>
        <v>1.3793462682222637E-2</v>
      </c>
      <c r="I186" s="26">
        <f>Ft!F$3*EXP(Ft!F$38*($A186-Ft!F$2)^2)</f>
        <v>2.5110685220757103E-135</v>
      </c>
      <c r="J186" s="26">
        <f>Ft!G$3*EXP(Ft!G$38*($A186-Ft!G$2)^2)</f>
        <v>0</v>
      </c>
    </row>
    <row r="187" spans="1:10">
      <c r="A187" s="19">
        <v>185</v>
      </c>
      <c r="B187" s="28">
        <v>26.17278656989231</v>
      </c>
      <c r="C187" s="27">
        <f ca="1">OFFSET($B187,1*(ROWS(C$2:C187)-1),0)</f>
        <v>48.320407294650408</v>
      </c>
      <c r="D187" s="26">
        <f>Ft!B$3*EXP(Ft!B$38*($A187-Ft!B$2)^2) +Ft!C$3*EXP(Ft!C$38*($A187-Ft!C$2)^2) + Ft!D$3*EXP(Ft!D$38*($A187-Ft!D$2)^2)+Ft!E$3*EXP(Ft!E$38*($A187-Ft!E$2)^2) +Ft!F$3*EXP(Ft!F$38*($A187-Ft!F$2)^2) + Ft!G$3*EXP(Ft!G$38*($A187-Ft!G$2)^2)</f>
        <v>12.732909650465858</v>
      </c>
      <c r="E187" s="26">
        <f>Ft!B$3*EXP(Ft!B$38*($A187-Ft!B$2)^2)</f>
        <v>7.8513297703346019E-11</v>
      </c>
      <c r="F187" s="26">
        <f>Ft!C$3*EXP(Ft!C$38*($A187-Ft!C$2)^2)</f>
        <v>8.182111075720135</v>
      </c>
      <c r="G187" s="26">
        <f>Ft!D$3*EXP(Ft!D$38*($A187-Ft!D$2)^2)</f>
        <v>4.5366929196675496</v>
      </c>
      <c r="H187" s="26">
        <f>Ft!E$3*EXP(Ft!E$38*($A187-Ft!E$2)^2)</f>
        <v>1.4105654999660657E-2</v>
      </c>
      <c r="I187" s="26">
        <f>Ft!F$3*EXP(Ft!F$38*($A187-Ft!F$2)^2)</f>
        <v>5.2397286974651821E-135</v>
      </c>
      <c r="J187" s="26">
        <f>Ft!G$3*EXP(Ft!G$38*($A187-Ft!G$2)^2)</f>
        <v>0</v>
      </c>
    </row>
    <row r="188" spans="1:10">
      <c r="A188" s="19">
        <v>186</v>
      </c>
      <c r="B188" s="28">
        <v>26.388888023433736</v>
      </c>
      <c r="C188" s="27">
        <f ca="1">OFFSET($B188,1*(ROWS(C$2:C188)-1),0)</f>
        <v>48.28720799505669</v>
      </c>
      <c r="D188" s="26">
        <f>Ft!B$3*EXP(Ft!B$38*($A188-Ft!B$2)^2) +Ft!C$3*EXP(Ft!C$38*($A188-Ft!C$2)^2) + Ft!D$3*EXP(Ft!D$38*($A188-Ft!D$2)^2)+Ft!E$3*EXP(Ft!E$38*($A188-Ft!E$2)^2) +Ft!F$3*EXP(Ft!F$38*($A188-Ft!F$2)^2) + Ft!G$3*EXP(Ft!G$38*($A188-Ft!G$2)^2)</f>
        <v>12.724758712877302</v>
      </c>
      <c r="E188" s="26">
        <f>Ft!B$3*EXP(Ft!B$38*($A188-Ft!B$2)^2)</f>
        <v>5.5243987153152867E-11</v>
      </c>
      <c r="F188" s="26">
        <f>Ft!C$3*EXP(Ft!C$38*($A188-Ft!C$2)^2)</f>
        <v>8.1246499821244278</v>
      </c>
      <c r="G188" s="26">
        <f>Ft!D$3*EXP(Ft!D$38*($A188-Ft!D$2)^2)</f>
        <v>4.585684328610963</v>
      </c>
      <c r="H188" s="26">
        <f>Ft!E$3*EXP(Ft!E$38*($A188-Ft!E$2)^2)</f>
        <v>1.4424402086665799E-2</v>
      </c>
      <c r="I188" s="26">
        <f>Ft!F$3*EXP(Ft!F$38*($A188-Ft!F$2)^2)</f>
        <v>1.0924003557908821E-134</v>
      </c>
      <c r="J188" s="26">
        <f>Ft!G$3*EXP(Ft!G$38*($A188-Ft!G$2)^2)</f>
        <v>0</v>
      </c>
    </row>
    <row r="189" spans="1:10">
      <c r="A189" s="19">
        <v>187</v>
      </c>
      <c r="B189" s="28">
        <v>26.596628887817019</v>
      </c>
      <c r="C189" s="27">
        <f ca="1">OFFSET($B189,1*(ROWS(C$2:C189)-1),0)</f>
        <v>48.25630755941387</v>
      </c>
      <c r="D189" s="26">
        <f>Ft!B$3*EXP(Ft!B$38*($A189-Ft!B$2)^2) +Ft!C$3*EXP(Ft!C$38*($A189-Ft!C$2)^2) + Ft!D$3*EXP(Ft!D$38*($A189-Ft!D$2)^2)+Ft!E$3*EXP(Ft!E$38*($A189-Ft!E$2)^2) +Ft!F$3*EXP(Ft!F$38*($A189-Ft!F$2)^2) + Ft!G$3*EXP(Ft!G$38*($A189-Ft!G$2)^2)</f>
        <v>12.716096044626001</v>
      </c>
      <c r="E189" s="26">
        <f>Ft!B$3*EXP(Ft!B$38*($A189-Ft!B$2)^2)</f>
        <v>3.8773587572553736E-11</v>
      </c>
      <c r="F189" s="26">
        <f>Ft!C$3*EXP(Ft!C$38*($A189-Ft!C$2)^2)</f>
        <v>8.0663385715187044</v>
      </c>
      <c r="G189" s="26">
        <f>Ft!D$3*EXP(Ft!D$38*($A189-Ft!D$2)^2)</f>
        <v>4.6350076438531573</v>
      </c>
      <c r="H189" s="26">
        <f>Ft!E$3*EXP(Ft!E$38*($A189-Ft!E$2)^2)</f>
        <v>1.4749829215364392E-2</v>
      </c>
      <c r="I189" s="26">
        <f>Ft!F$3*EXP(Ft!F$38*($A189-Ft!F$2)^2)</f>
        <v>2.2755043005150134E-134</v>
      </c>
      <c r="J189" s="26">
        <f>Ft!G$3*EXP(Ft!G$38*($A189-Ft!G$2)^2)</f>
        <v>0</v>
      </c>
    </row>
    <row r="190" spans="1:10">
      <c r="A190" s="19">
        <v>188</v>
      </c>
      <c r="B190" s="28">
        <v>26.780087100169624</v>
      </c>
      <c r="C190" s="27">
        <f ca="1">OFFSET($B190,1*(ROWS(C$2:C190)-1),0)</f>
        <v>48.221646833844176</v>
      </c>
      <c r="D190" s="26">
        <f>Ft!B$3*EXP(Ft!B$38*($A190-Ft!B$2)^2) +Ft!C$3*EXP(Ft!C$38*($A190-Ft!C$2)^2) + Ft!D$3*EXP(Ft!D$38*($A190-Ft!D$2)^2)+Ft!E$3*EXP(Ft!E$38*($A190-Ft!E$2)^2) +Ft!F$3*EXP(Ft!F$38*($A190-Ft!F$2)^2) + Ft!G$3*EXP(Ft!G$38*($A190-Ft!G$2)^2)</f>
        <v>12.70694528788084</v>
      </c>
      <c r="E190" s="26">
        <f>Ft!B$3*EXP(Ft!B$38*($A190-Ft!B$2)^2)</f>
        <v>2.7145392873867802E-11</v>
      </c>
      <c r="F190" s="26">
        <f>Ft!C$3*EXP(Ft!C$38*($A190-Ft!C$2)^2)</f>
        <v>8.0072010070119806</v>
      </c>
      <c r="G190" s="26">
        <f>Ft!D$3*EXP(Ft!D$38*($A190-Ft!D$2)^2)</f>
        <v>4.6846622170735053</v>
      </c>
      <c r="H190" s="26">
        <f>Ft!E$3*EXP(Ft!E$38*($A190-Ft!E$2)^2)</f>
        <v>1.508206376820938E-2</v>
      </c>
      <c r="I190" s="26">
        <f>Ft!F$3*EXP(Ft!F$38*($A190-Ft!F$2)^2)</f>
        <v>4.7358319572141191E-134</v>
      </c>
      <c r="J190" s="26">
        <f>Ft!G$3*EXP(Ft!G$38*($A190-Ft!G$2)^2)</f>
        <v>0</v>
      </c>
    </row>
    <row r="191" spans="1:10">
      <c r="A191" s="19">
        <v>189</v>
      </c>
      <c r="B191" s="28">
        <v>26.987400062018907</v>
      </c>
      <c r="C191" s="27">
        <f ca="1">OFFSET($B191,1*(ROWS(C$2:C191)-1),0)</f>
        <v>48.156115602810814</v>
      </c>
      <c r="D191" s="26">
        <f>Ft!B$3*EXP(Ft!B$38*($A191-Ft!B$2)^2) +Ft!C$3*EXP(Ft!C$38*($A191-Ft!C$2)^2) + Ft!D$3*EXP(Ft!D$38*($A191-Ft!D$2)^2)+Ft!E$3*EXP(Ft!E$38*($A191-Ft!E$2)^2) +Ft!F$3*EXP(Ft!F$38*($A191-Ft!F$2)^2) + Ft!G$3*EXP(Ft!G$38*($A191-Ft!G$2)^2)</f>
        <v>12.697330246013875</v>
      </c>
      <c r="E191" s="26">
        <f>Ft!B$3*EXP(Ft!B$38*($A191-Ft!B$2)^2)</f>
        <v>1.8956818448959987E-11</v>
      </c>
      <c r="F191" s="26">
        <f>Ft!C$3*EXP(Ft!C$38*($A191-Ft!C$2)^2)</f>
        <v>7.9472616602297901</v>
      </c>
      <c r="G191" s="26">
        <f>Ft!D$3*EXP(Ft!D$38*($A191-Ft!D$2)^2)</f>
        <v>4.7346473504977986</v>
      </c>
      <c r="H191" s="26">
        <f>Ft!E$3*EXP(Ft!E$38*($A191-Ft!E$2)^2)</f>
        <v>1.542123526733084E-2</v>
      </c>
      <c r="I191" s="26">
        <f>Ft!F$3*EXP(Ft!F$38*($A191-Ft!F$2)^2)</f>
        <v>9.8477655916895933E-134</v>
      </c>
      <c r="J191" s="26">
        <f>Ft!G$3*EXP(Ft!G$38*($A191-Ft!G$2)^2)</f>
        <v>0</v>
      </c>
    </row>
    <row r="192" spans="1:10">
      <c r="A192" s="19">
        <v>190</v>
      </c>
      <c r="B192" s="28">
        <v>27.198130802772084</v>
      </c>
      <c r="C192" s="27">
        <f ca="1">OFFSET($B192,1*(ROWS(C$2:C192)-1),0)</f>
        <v>48.11100132036205</v>
      </c>
      <c r="D192" s="26">
        <f>Ft!B$3*EXP(Ft!B$38*($A192-Ft!B$2)^2) +Ft!C$3*EXP(Ft!C$38*($A192-Ft!C$2)^2) + Ft!D$3*EXP(Ft!D$38*($A192-Ft!D$2)^2)+Ft!E$3*EXP(Ft!E$38*($A192-Ft!E$2)^2) +Ft!F$3*EXP(Ft!F$38*($A192-Ft!F$2)^2) + Ft!G$3*EXP(Ft!G$38*($A192-Ft!G$2)^2)</f>
        <v>12.687274866595702</v>
      </c>
      <c r="E192" s="26">
        <f>Ft!B$3*EXP(Ft!B$38*($A192-Ft!B$2)^2)</f>
        <v>1.3205168410291702E-11</v>
      </c>
      <c r="F192" s="26">
        <f>Ft!C$3*EXP(Ft!C$38*($A192-Ft!C$2)^2)</f>
        <v>7.8865450946905238</v>
      </c>
      <c r="G192" s="26">
        <f>Ft!D$3*EXP(Ft!D$38*($A192-Ft!D$2)^2)</f>
        <v>4.784962296487806</v>
      </c>
      <c r="H192" s="26">
        <f>Ft!E$3*EXP(Ft!E$38*($A192-Ft!E$2)^2)</f>
        <v>1.5767475404165291E-2</v>
      </c>
      <c r="I192" s="26">
        <f>Ft!F$3*EXP(Ft!F$38*($A192-Ft!F$2)^2)</f>
        <v>2.0459825086952647E-133</v>
      </c>
      <c r="J192" s="26">
        <f>Ft!G$3*EXP(Ft!G$38*($A192-Ft!G$2)^2)</f>
        <v>0</v>
      </c>
    </row>
    <row r="193" spans="1:10">
      <c r="A193" s="19">
        <v>191</v>
      </c>
      <c r="B193" s="28">
        <v>27.41029673779974</v>
      </c>
      <c r="C193" s="27">
        <f ca="1">OFFSET($B193,1*(ROWS(C$2:C193)-1),0)</f>
        <v>48.069702528254226</v>
      </c>
      <c r="D193" s="26">
        <f>Ft!B$3*EXP(Ft!B$38*($A193-Ft!B$2)^2) +Ft!C$3*EXP(Ft!C$38*($A193-Ft!C$2)^2) + Ft!D$3*EXP(Ft!D$38*($A193-Ft!D$2)^2)+Ft!E$3*EXP(Ft!E$38*($A193-Ft!E$2)^2) +Ft!F$3*EXP(Ft!F$38*($A193-Ft!F$2)^2) + Ft!G$3*EXP(Ft!G$38*($A193-Ft!G$2)^2)</f>
        <v>12.676803224372012</v>
      </c>
      <c r="E193" s="26">
        <f>Ft!B$3*EXP(Ft!B$38*($A193-Ft!B$2)^2)</f>
        <v>9.1755395589189599E-12</v>
      </c>
      <c r="F193" s="26">
        <f>Ft!C$3*EXP(Ft!C$38*($A193-Ft!C$2)^2)</f>
        <v>7.8250760491563724</v>
      </c>
      <c r="G193" s="26">
        <f>Ft!D$3*EXP(Ft!D$38*($A193-Ft!D$2)^2)</f>
        <v>4.835606257137103</v>
      </c>
      <c r="H193" s="26">
        <f>Ft!E$3*EXP(Ft!E$38*($A193-Ft!E$2)^2)</f>
        <v>1.6120918069362656E-2</v>
      </c>
      <c r="I193" s="26">
        <f>Ft!F$3*EXP(Ft!F$38*($A193-Ft!F$2)^2)</f>
        <v>4.2470651796459537E-133</v>
      </c>
      <c r="J193" s="26">
        <f>Ft!G$3*EXP(Ft!G$38*($A193-Ft!G$2)^2)</f>
        <v>0</v>
      </c>
    </row>
    <row r="194" spans="1:10">
      <c r="A194" s="19">
        <v>192</v>
      </c>
      <c r="B194" s="28">
        <v>27.641328953002471</v>
      </c>
      <c r="C194" s="27">
        <f ca="1">OFFSET($B194,1*(ROWS(C$2:C194)-1),0)</f>
        <v>47.96400863924427</v>
      </c>
      <c r="D194" s="26">
        <f>Ft!B$3*EXP(Ft!B$38*($A194-Ft!B$2)^2) +Ft!C$3*EXP(Ft!C$38*($A194-Ft!C$2)^2) + Ft!D$3*EXP(Ft!D$38*($A194-Ft!D$2)^2)+Ft!E$3*EXP(Ft!E$38*($A194-Ft!E$2)^2) +Ft!F$3*EXP(Ft!F$38*($A194-Ft!F$2)^2) + Ft!G$3*EXP(Ft!G$38*($A194-Ft!G$2)^2)</f>
        <v>12.665939504237198</v>
      </c>
      <c r="E194" s="26">
        <f>Ft!B$3*EXP(Ft!B$38*($A194-Ft!B$2)^2)</f>
        <v>6.3595802771396145E-12</v>
      </c>
      <c r="F194" s="26">
        <f>Ft!C$3*EXP(Ft!C$38*($A194-Ft!C$2)^2)</f>
        <v>7.7628794209745129</v>
      </c>
      <c r="G194" s="26">
        <f>Ft!D$3*EXP(Ft!D$38*($A194-Ft!D$2)^2)</f>
        <v>4.8865783838733536</v>
      </c>
      <c r="H194" s="26">
        <f>Ft!E$3*EXP(Ft!E$38*($A194-Ft!E$2)^2)</f>
        <v>1.6481699382971587E-2</v>
      </c>
      <c r="I194" s="26">
        <f>Ft!F$3*EXP(Ft!F$38*($A194-Ft!F$2)^2)</f>
        <v>8.8084345397546217E-133</v>
      </c>
      <c r="J194" s="26">
        <f>Ft!G$3*EXP(Ft!G$38*($A194-Ft!G$2)^2)</f>
        <v>0</v>
      </c>
    </row>
    <row r="195" spans="1:10">
      <c r="A195" s="19">
        <v>193</v>
      </c>
      <c r="B195" s="28">
        <v>27.853985892147989</v>
      </c>
      <c r="C195" s="27">
        <f ca="1">OFFSET($B195,1*(ROWS(C$2:C195)-1),0)</f>
        <v>47.857055126556617</v>
      </c>
      <c r="D195" s="26">
        <f>Ft!B$3*EXP(Ft!B$38*($A195-Ft!B$2)^2) +Ft!C$3*EXP(Ft!C$38*($A195-Ft!C$2)^2) + Ft!D$3*EXP(Ft!D$38*($A195-Ft!D$2)^2)+Ft!E$3*EXP(Ft!E$38*($A195-Ft!E$2)^2) +Ft!F$3*EXP(Ft!F$38*($A195-Ft!F$2)^2) + Ft!G$3*EXP(Ft!G$38*($A195-Ft!G$2)^2)</f>
        <v>12.654707984220595</v>
      </c>
      <c r="E195" s="26">
        <f>Ft!B$3*EXP(Ft!B$38*($A195-Ft!B$2)^2)</f>
        <v>4.3967773101906065E-12</v>
      </c>
      <c r="F195" s="26">
        <f>Ft!C$3*EXP(Ft!C$38*($A195-Ft!C$2)^2)</f>
        <v>7.6999802494240983</v>
      </c>
      <c r="G195" s="26">
        <f>Ft!D$3*EXP(Ft!D$38*($A195-Ft!D$2)^2)</f>
        <v>4.9378777770671975</v>
      </c>
      <c r="H195" s="26">
        <f>Ft!E$3*EXP(Ft!E$38*($A195-Ft!E$2)^2)</f>
        <v>1.6849957724902279E-2</v>
      </c>
      <c r="I195" s="26">
        <f>Ft!F$3*EXP(Ft!F$38*($A195-Ft!F$2)^2)</f>
        <v>1.825287718874433E-132</v>
      </c>
      <c r="J195" s="26">
        <f>Ft!G$3*EXP(Ft!G$38*($A195-Ft!G$2)^2)</f>
        <v>0</v>
      </c>
    </row>
    <row r="196" spans="1:10">
      <c r="A196" s="19">
        <v>194</v>
      </c>
      <c r="B196" s="28">
        <v>28.066420625154336</v>
      </c>
      <c r="C196" s="27">
        <f ca="1">OFFSET($B196,1*(ROWS(C$2:C196)-1),0)</f>
        <v>47.677563043943167</v>
      </c>
      <c r="D196" s="26">
        <f>Ft!B$3*EXP(Ft!B$38*($A196-Ft!B$2)^2) +Ft!C$3*EXP(Ft!C$38*($A196-Ft!C$2)^2) + Ft!D$3*EXP(Ft!D$38*($A196-Ft!D$2)^2)+Ft!E$3*EXP(Ft!E$38*($A196-Ft!E$2)^2) +Ft!F$3*EXP(Ft!F$38*($A196-Ft!F$2)^2) + Ft!G$3*EXP(Ft!G$38*($A196-Ft!G$2)^2)</f>
        <v>12.64313301850108</v>
      </c>
      <c r="E196" s="26">
        <f>Ft!B$3*EXP(Ft!B$38*($A196-Ft!B$2)^2)</f>
        <v>3.0321428654298338E-12</v>
      </c>
      <c r="F196" s="26">
        <f>Ft!C$3*EXP(Ft!C$38*($A196-Ft!C$2)^2)</f>
        <v>7.6364036990844593</v>
      </c>
      <c r="G196" s="26">
        <f>Ft!D$3*EXP(Ft!D$38*($A196-Ft!D$2)^2)</f>
        <v>4.9895034856479237</v>
      </c>
      <c r="H196" s="26">
        <f>Ft!E$3*EXP(Ft!E$38*($A196-Ft!E$2)^2)</f>
        <v>1.72258337656668E-2</v>
      </c>
      <c r="I196" s="26">
        <f>Ft!F$3*EXP(Ft!F$38*($A196-Ft!F$2)^2)</f>
        <v>3.7790855870024257E-132</v>
      </c>
      <c r="J196" s="26">
        <f>Ft!G$3*EXP(Ft!G$38*($A196-Ft!G$2)^2)</f>
        <v>0</v>
      </c>
    </row>
    <row r="197" spans="1:10">
      <c r="A197" s="19">
        <v>195</v>
      </c>
      <c r="B197" s="28">
        <v>28.283016946908901</v>
      </c>
      <c r="C197" s="27">
        <f ca="1">OFFSET($B197,1*(ROWS(C$2:C197)-1),0)</f>
        <v>47.488682887182762</v>
      </c>
      <c r="D197" s="26">
        <f>Ft!B$3*EXP(Ft!B$38*($A197-Ft!B$2)^2) +Ft!C$3*EXP(Ft!C$38*($A197-Ft!C$2)^2) + Ft!D$3*EXP(Ft!D$38*($A197-Ft!D$2)^2)+Ft!E$3*EXP(Ft!E$38*($A197-Ft!E$2)^2) +Ft!F$3*EXP(Ft!F$38*($A197-Ft!F$2)^2) + Ft!G$3*EXP(Ft!G$38*($A197-Ft!G$2)^2)</f>
        <v>12.631239020465392</v>
      </c>
      <c r="E197" s="26">
        <f>Ft!B$3*EXP(Ft!B$38*($A197-Ft!B$2)^2)</f>
        <v>2.0858065384523607E-12</v>
      </c>
      <c r="F197" s="26">
        <f>Ft!C$3*EXP(Ft!C$38*($A197-Ft!C$2)^2)</f>
        <v>7.5721750432398078</v>
      </c>
      <c r="G197" s="26">
        <f>Ft!D$3*EXP(Ft!D$38*($A197-Ft!D$2)^2)</f>
        <v>5.0414545067261027</v>
      </c>
      <c r="H197" s="26">
        <f>Ft!E$3*EXP(Ft!E$38*($A197-Ft!E$2)^2)</f>
        <v>1.7609470497396428E-2</v>
      </c>
      <c r="I197" s="26">
        <f>Ft!F$3*EXP(Ft!F$38*($A197-Ft!F$2)^2)</f>
        <v>7.8174465258920237E-132</v>
      </c>
      <c r="J197" s="26">
        <f>Ft!G$3*EXP(Ft!G$38*($A197-Ft!G$2)^2)</f>
        <v>0</v>
      </c>
    </row>
    <row r="198" spans="1:10">
      <c r="A198" s="19">
        <v>196</v>
      </c>
      <c r="B198" s="28">
        <v>28.511654506547842</v>
      </c>
      <c r="C198" s="27">
        <f ca="1">OFFSET($B198,1*(ROWS(C$2:C198)-1),0)</f>
        <v>47.31430612842837</v>
      </c>
      <c r="D198" s="26">
        <f>Ft!B$3*EXP(Ft!B$38*($A198-Ft!B$2)^2) +Ft!C$3*EXP(Ft!C$38*($A198-Ft!C$2)^2) + Ft!D$3*EXP(Ft!D$38*($A198-Ft!D$2)^2)+Ft!E$3*EXP(Ft!E$38*($A198-Ft!E$2)^2) +Ft!F$3*EXP(Ft!F$38*($A198-Ft!F$2)^2) + Ft!G$3*EXP(Ft!G$38*($A198-Ft!G$2)^2)</f>
        <v>12.619050445825458</v>
      </c>
      <c r="E198" s="26">
        <f>Ft!B$3*EXP(Ft!B$38*($A198-Ft!B$2)^2)</f>
        <v>1.4312238447974302E-12</v>
      </c>
      <c r="F198" s="26">
        <f>Ft!C$3*EXP(Ft!C$38*($A198-Ft!C$2)^2)</f>
        <v>7.5073196473355566</v>
      </c>
      <c r="G198" s="26">
        <f>Ft!D$3*EXP(Ft!D$38*($A198-Ft!D$2)^2)</f>
        <v>5.0937297852233359</v>
      </c>
      <c r="H198" s="26">
        <f>Ft!E$3*EXP(Ft!E$38*($A198-Ft!E$2)^2)</f>
        <v>1.8001013265135417E-2</v>
      </c>
      <c r="I198" s="26">
        <f>Ft!F$3*EXP(Ft!F$38*($A198-Ft!F$2)^2)</f>
        <v>1.6157192754921421E-131</v>
      </c>
      <c r="J198" s="26">
        <f>Ft!G$3*EXP(Ft!G$38*($A198-Ft!G$2)^2)</f>
        <v>0</v>
      </c>
    </row>
    <row r="199" spans="1:10">
      <c r="A199" s="19">
        <v>197</v>
      </c>
      <c r="B199" s="28">
        <v>28.756223867808188</v>
      </c>
      <c r="C199" s="27">
        <f ca="1">OFFSET($B199,1*(ROWS(C$2:C199)-1),0)</f>
        <v>47.148857546451381</v>
      </c>
      <c r="D199" s="26">
        <f>Ft!B$3*EXP(Ft!B$38*($A199-Ft!B$2)^2) +Ft!C$3*EXP(Ft!C$38*($A199-Ft!C$2)^2) + Ft!D$3*EXP(Ft!D$38*($A199-Ft!D$2)^2)+Ft!E$3*EXP(Ft!E$38*($A199-Ft!E$2)^2) +Ft!F$3*EXP(Ft!F$38*($A199-Ft!F$2)^2) + Ft!G$3*EXP(Ft!G$38*($A199-Ft!G$2)^2)</f>
        <v>12.606591775809868</v>
      </c>
      <c r="E199" s="26">
        <f>Ft!B$3*EXP(Ft!B$38*($A199-Ft!B$2)^2)</f>
        <v>9.7960338233989418E-13</v>
      </c>
      <c r="F199" s="26">
        <f>Ft!C$3*EXP(Ft!C$38*($A199-Ft!C$2)^2)</f>
        <v>7.4418629525011779</v>
      </c>
      <c r="G199" s="26">
        <f>Ft!D$3*EXP(Ft!D$38*($A199-Ft!D$2)^2)</f>
        <v>5.1463282135092996</v>
      </c>
      <c r="H199" s="26">
        <f>Ft!E$3*EXP(Ft!E$38*($A199-Ft!E$2)^2)</f>
        <v>1.8400609798410867E-2</v>
      </c>
      <c r="I199" s="26">
        <f>Ft!F$3*EXP(Ft!F$38*($A199-Ft!F$2)^2)</f>
        <v>3.3364889321179537E-131</v>
      </c>
      <c r="J199" s="26">
        <f>Ft!G$3*EXP(Ft!G$38*($A199-Ft!G$2)^2)</f>
        <v>0</v>
      </c>
    </row>
    <row r="200" spans="1:10">
      <c r="A200" s="19">
        <v>198</v>
      </c>
      <c r="B200" s="28">
        <v>28.999358702288845</v>
      </c>
      <c r="C200" s="27">
        <f ca="1">OFFSET($B200,1*(ROWS(C$2:C200)-1),0)</f>
        <v>46.93345971747928</v>
      </c>
      <c r="D200" s="26">
        <f>Ft!B$3*EXP(Ft!B$38*($A200-Ft!B$2)^2) +Ft!C$3*EXP(Ft!C$38*($A200-Ft!C$2)^2) + Ft!D$3*EXP(Ft!D$38*($A200-Ft!D$2)^2)+Ft!E$3*EXP(Ft!E$38*($A200-Ft!E$2)^2) +Ft!F$3*EXP(Ft!F$38*($A200-Ft!F$2)^2) + Ft!G$3*EXP(Ft!G$38*($A200-Ft!G$2)^2)</f>
        <v>12.593887500444357</v>
      </c>
      <c r="E200" s="26">
        <f>Ft!B$3*EXP(Ft!B$38*($A200-Ft!B$2)^2)</f>
        <v>6.6880908365538763E-13</v>
      </c>
      <c r="F200" s="26">
        <f>Ft!C$3*EXP(Ft!C$38*($A200-Ft!C$2)^2)</f>
        <v>7.3758304591543533</v>
      </c>
      <c r="G200" s="26">
        <f>Ft!D$3*EXP(Ft!D$38*($A200-Ft!D$2)^2)</f>
        <v>5.1992486310462569</v>
      </c>
      <c r="H200" s="26">
        <f>Ft!E$3*EXP(Ft!E$38*($A200-Ft!E$2)^2)</f>
        <v>1.8808410243077844E-2</v>
      </c>
      <c r="I200" s="26">
        <f>Ft!F$3*EXP(Ft!F$38*($A200-Ft!F$2)^2)</f>
        <v>6.8839271611933683E-131</v>
      </c>
      <c r="J200" s="26">
        <f>Ft!G$3*EXP(Ft!G$38*($A200-Ft!G$2)^2)</f>
        <v>0</v>
      </c>
    </row>
    <row r="201" spans="1:10">
      <c r="A201" s="19">
        <v>199</v>
      </c>
      <c r="B201" s="28">
        <v>29.233908493545499</v>
      </c>
      <c r="C201" s="27">
        <f ca="1">OFFSET($B201,1*(ROWS(C$2:C201)-1),0)</f>
        <v>46.677944563617729</v>
      </c>
      <c r="D201" s="26">
        <f>Ft!B$3*EXP(Ft!B$38*($A201-Ft!B$2)^2) +Ft!C$3*EXP(Ft!C$38*($A201-Ft!C$2)^2) + Ft!D$3*EXP(Ft!D$38*($A201-Ft!D$2)^2)+Ft!E$3*EXP(Ft!E$38*($A201-Ft!E$2)^2) +Ft!F$3*EXP(Ft!F$38*($A201-Ft!F$2)^2) + Ft!G$3*EXP(Ft!G$38*($A201-Ft!G$2)^2)</f>
        <v>12.580962101936036</v>
      </c>
      <c r="E201" s="26">
        <f>Ft!B$3*EXP(Ft!B$38*($A201-Ft!B$2)^2)</f>
        <v>4.5547361529312371E-13</v>
      </c>
      <c r="F201" s="26">
        <f>Ft!C$3*EXP(Ft!C$38*($A201-Ft!C$2)^2)</f>
        <v>7.3092477107009444</v>
      </c>
      <c r="G201" s="26">
        <f>Ft!D$3*EXP(Ft!D$38*($A201-Ft!D$2)^2)</f>
        <v>5.2524898240411977</v>
      </c>
      <c r="H201" s="26">
        <f>Ft!E$3*EXP(Ft!E$38*($A201-Ft!E$2)^2)</f>
        <v>1.9224567193439037E-2</v>
      </c>
      <c r="I201" s="26">
        <f>Ft!F$3*EXP(Ft!F$38*($A201-Ft!F$2)^2)</f>
        <v>1.4190759497152191E-130</v>
      </c>
      <c r="J201" s="26">
        <f>Ft!G$3*EXP(Ft!G$38*($A201-Ft!G$2)^2)</f>
        <v>0</v>
      </c>
    </row>
    <row r="202" spans="1:10">
      <c r="A202" s="19">
        <v>200</v>
      </c>
      <c r="B202" s="28">
        <v>29.466522888956916</v>
      </c>
      <c r="C202" s="27">
        <f ca="1">OFFSET($B202,1*(ROWS(C$2:C202)-1),0)</f>
        <v>46.435639732551465</v>
      </c>
      <c r="D202" s="26">
        <f>Ft!B$3*EXP(Ft!B$38*($A202-Ft!B$2)^2) +Ft!C$3*EXP(Ft!C$38*($A202-Ft!C$2)^2) + Ft!D$3*EXP(Ft!D$38*($A202-Ft!D$2)^2)+Ft!E$3*EXP(Ft!E$38*($A202-Ft!E$2)^2) +Ft!F$3*EXP(Ft!F$38*($A202-Ft!F$2)^2) + Ft!G$3*EXP(Ft!G$38*($A202-Ft!G$2)^2)</f>
        <v>12.567840038175783</v>
      </c>
      <c r="E202" s="26">
        <f>Ft!B$3*EXP(Ft!B$38*($A202-Ft!B$2)^2)</f>
        <v>3.0940936863159052E-13</v>
      </c>
      <c r="F202" s="26">
        <f>Ft!C$3*EXP(Ft!C$38*($A202-Ft!C$2)^2)</f>
        <v>7.2421402773450652</v>
      </c>
      <c r="G202" s="26">
        <f>Ft!D$3*EXP(Ft!D$38*($A202-Ft!D$2)^2)</f>
        <v>5.3060505251057695</v>
      </c>
      <c r="H202" s="26">
        <f>Ft!E$3*EXP(Ft!E$38*($A202-Ft!E$2)^2)</f>
        <v>1.964923572463843E-2</v>
      </c>
      <c r="I202" s="26">
        <f>Ft!F$3*EXP(Ft!F$38*($A202-Ft!F$2)^2)</f>
        <v>2.9227913176239569E-130</v>
      </c>
      <c r="J202" s="26">
        <f>Ft!G$3*EXP(Ft!G$38*($A202-Ft!G$2)^2)</f>
        <v>0</v>
      </c>
    </row>
    <row r="203" spans="1:10">
      <c r="A203" s="19">
        <v>201</v>
      </c>
      <c r="B203" s="28">
        <v>29.683936743779981</v>
      </c>
      <c r="C203" s="27">
        <f ca="1">OFFSET($B203,1*(ROWS(C$2:C203)-1),0)</f>
        <v>46.156090619620954</v>
      </c>
      <c r="D203" s="26">
        <f>Ft!B$3*EXP(Ft!B$38*($A203-Ft!B$2)^2) +Ft!C$3*EXP(Ft!C$38*($A203-Ft!C$2)^2) + Ft!D$3*EXP(Ft!D$38*($A203-Ft!D$2)^2)+Ft!E$3*EXP(Ft!E$38*($A203-Ft!E$2)^2) +Ft!F$3*EXP(Ft!F$38*($A203-Ft!F$2)^2) + Ft!G$3*EXP(Ft!G$38*($A203-Ft!G$2)^2)</f>
        <v>12.554545726373044</v>
      </c>
      <c r="E203" s="26">
        <f>Ft!B$3*EXP(Ft!B$38*($A203-Ft!B$2)^2)</f>
        <v>2.0965869063227904E-13</v>
      </c>
      <c r="F203" s="26">
        <f>Ft!C$3*EXP(Ft!C$38*($A203-Ft!C$2)^2)</f>
        <v>7.1745337400233176</v>
      </c>
      <c r="G203" s="26">
        <f>Ft!D$3*EXP(Ft!D$38*($A203-Ft!D$2)^2)</f>
        <v>5.3599294129241901</v>
      </c>
      <c r="H203" s="26">
        <f>Ft!E$3*EXP(Ft!E$38*($A203-Ft!E$2)^2)</f>
        <v>2.0082573425327519E-2</v>
      </c>
      <c r="I203" s="26">
        <f>Ft!F$3*EXP(Ft!F$38*($A203-Ft!F$2)^2)</f>
        <v>6.0146834125171955E-130</v>
      </c>
      <c r="J203" s="26">
        <f>Ft!G$3*EXP(Ft!G$38*($A203-Ft!G$2)^2)</f>
        <v>0</v>
      </c>
    </row>
    <row r="204" spans="1:10">
      <c r="A204" s="19">
        <v>202</v>
      </c>
      <c r="B204" s="28">
        <v>29.900043858489028</v>
      </c>
      <c r="C204" s="27">
        <f ca="1">OFFSET($B204,1*(ROWS(C$2:C204)-1),0)</f>
        <v>45.838370172396765</v>
      </c>
      <c r="D204" s="26">
        <f>Ft!B$3*EXP(Ft!B$38*($A204-Ft!B$2)^2) +Ft!C$3*EXP(Ft!C$38*($A204-Ft!C$2)^2) + Ft!D$3*EXP(Ft!D$38*($A204-Ft!D$2)^2)+Ft!E$3*EXP(Ft!E$38*($A204-Ft!E$2)^2) +Ft!F$3*EXP(Ft!F$38*($A204-Ft!F$2)^2) + Ft!G$3*EXP(Ft!G$38*($A204-Ft!G$2)^2)</f>
        <v>12.541103526837015</v>
      </c>
      <c r="E204" s="26">
        <f>Ft!B$3*EXP(Ft!B$38*($A204-Ft!B$2)^2)</f>
        <v>1.4171031160114279E-13</v>
      </c>
      <c r="F204" s="26">
        <f>Ft!C$3*EXP(Ft!C$38*($A204-Ft!C$2)^2)</f>
        <v>7.1064536744769882</v>
      </c>
      <c r="G204" s="26">
        <f>Ft!D$3*EXP(Ft!D$38*($A204-Ft!D$2)^2)</f>
        <v>5.4141251119292813</v>
      </c>
      <c r="H204" s="26">
        <f>Ft!E$3*EXP(Ft!E$38*($A204-Ft!E$2)^2)</f>
        <v>2.0524740430603833E-2</v>
      </c>
      <c r="I204" s="26">
        <f>Ft!F$3*EXP(Ft!F$38*($A204-Ft!F$2)^2)</f>
        <v>1.236660623401399E-129</v>
      </c>
      <c r="J204" s="26">
        <f>Ft!G$3*EXP(Ft!G$38*($A204-Ft!G$2)^2)</f>
        <v>0</v>
      </c>
    </row>
    <row r="205" spans="1:10">
      <c r="A205" s="19">
        <v>203</v>
      </c>
      <c r="B205" s="28">
        <v>30.111746603634799</v>
      </c>
      <c r="C205" s="27">
        <f ca="1">OFFSET($B205,1*(ROWS(C$2:C205)-1),0)</f>
        <v>45.479591484384599</v>
      </c>
      <c r="D205" s="26">
        <f>Ft!B$3*EXP(Ft!B$38*($A205-Ft!B$2)^2) +Ft!C$3*EXP(Ft!C$38*($A205-Ft!C$2)^2) + Ft!D$3*EXP(Ft!D$38*($A205-Ft!D$2)^2)+Ft!E$3*EXP(Ft!E$38*($A205-Ft!E$2)^2) +Ft!F$3*EXP(Ft!F$38*($A205-Ft!F$2)^2) + Ft!G$3*EXP(Ft!G$38*($A205-Ft!G$2)^2)</f>
        <v>12.527537726917835</v>
      </c>
      <c r="E205" s="26">
        <f>Ft!B$3*EXP(Ft!B$38*($A205-Ft!B$2)^2)</f>
        <v>9.554307418150328E-14</v>
      </c>
      <c r="F205" s="26">
        <f>Ft!C$3*EXP(Ft!C$38*($A205-Ft!C$2)^2)</f>
        <v>7.0379256354757125</v>
      </c>
      <c r="G205" s="26">
        <f>Ft!D$3*EXP(Ft!D$38*($A205-Ft!D$2)^2)</f>
        <v>5.4686361919868069</v>
      </c>
      <c r="H205" s="26">
        <f>Ft!E$3*EXP(Ft!E$38*($A205-Ft!E$2)^2)</f>
        <v>2.0975899455219951E-2</v>
      </c>
      <c r="I205" s="26">
        <f>Ft!F$3*EXP(Ft!F$38*($A205-Ft!F$2)^2)</f>
        <v>2.5404525509511936E-129</v>
      </c>
      <c r="J205" s="26">
        <f>Ft!G$3*EXP(Ft!G$38*($A205-Ft!G$2)^2)</f>
        <v>0</v>
      </c>
    </row>
    <row r="206" spans="1:10">
      <c r="A206" s="19">
        <v>204</v>
      </c>
      <c r="B206" s="28">
        <v>30.344535046934908</v>
      </c>
      <c r="C206" s="27">
        <f ca="1">OFFSET($B206,1*(ROWS(C$2:C206)-1),0)</f>
        <v>45.075007713297225</v>
      </c>
      <c r="D206" s="26">
        <f>Ft!B$3*EXP(Ft!B$38*($A206-Ft!B$2)^2) +Ft!C$3*EXP(Ft!C$38*($A206-Ft!C$2)^2) + Ft!D$3*EXP(Ft!D$38*($A206-Ft!D$2)^2)+Ft!E$3*EXP(Ft!E$38*($A206-Ft!E$2)^2) +Ft!F$3*EXP(Ft!F$38*($A206-Ft!F$2)^2) + Ft!G$3*EXP(Ft!G$38*($A206-Ft!G$2)^2)</f>
        <v>12.513872525121231</v>
      </c>
      <c r="E206" s="26">
        <f>Ft!B$3*EXP(Ft!B$38*($A206-Ft!B$2)^2)</f>
        <v>6.425488389131151E-14</v>
      </c>
      <c r="F206" s="26">
        <f>Ft!C$3*EXP(Ft!C$38*($A206-Ft!C$2)^2)</f>
        <v>6.9689751412058323</v>
      </c>
      <c r="G206" s="26">
        <f>Ft!D$3*EXP(Ft!D$38*($A206-Ft!D$2)^2)</f>
        <v>5.5234611680882724</v>
      </c>
      <c r="H206" s="26">
        <f>Ft!E$3*EXP(Ft!E$38*($A206-Ft!E$2)^2)</f>
        <v>2.1436215827062496E-2</v>
      </c>
      <c r="I206" s="26">
        <f>Ft!F$3*EXP(Ft!F$38*($A206-Ft!F$2)^2)</f>
        <v>5.2142810808123555E-129</v>
      </c>
      <c r="J206" s="26">
        <f>Ft!G$3*EXP(Ft!G$38*($A206-Ft!G$2)^2)</f>
        <v>0</v>
      </c>
    </row>
    <row r="207" spans="1:10">
      <c r="A207" s="19">
        <v>205</v>
      </c>
      <c r="B207" s="28">
        <v>30.605404495897062</v>
      </c>
      <c r="C207" s="27">
        <f ca="1">OFFSET($B207,1*(ROWS(C$2:C207)-1),0)</f>
        <v>44.680738646947077</v>
      </c>
      <c r="D207" s="26">
        <f>Ft!B$3*EXP(Ft!B$38*($A207-Ft!B$2)^2) +Ft!C$3*EXP(Ft!C$38*($A207-Ft!C$2)^2) + Ft!D$3*EXP(Ft!D$38*($A207-Ft!D$2)^2)+Ft!E$3*EXP(Ft!E$38*($A207-Ft!E$2)^2) +Ft!F$3*EXP(Ft!F$38*($A207-Ft!F$2)^2) + Ft!G$3*EXP(Ft!G$38*($A207-Ft!G$2)^2)</f>
        <v>12.500132015409688</v>
      </c>
      <c r="E207" s="26">
        <f>Ft!B$3*EXP(Ft!B$38*($A207-Ft!B$2)^2)</f>
        <v>4.3104464047263981E-14</v>
      </c>
      <c r="F207" s="26">
        <f>Ft!C$3*EXP(Ft!C$38*($A207-Ft!C$2)^2)</f>
        <v>6.8996276578363869</v>
      </c>
      <c r="G207" s="26">
        <f>Ft!D$3*EXP(Ft!D$38*($A207-Ft!D$2)^2)</f>
        <v>5.578598500052359</v>
      </c>
      <c r="H207" s="26">
        <f>Ft!E$3*EXP(Ft!E$38*($A207-Ft!E$2)^2)</f>
        <v>2.1905857520899196E-2</v>
      </c>
      <c r="I207" s="26">
        <f>Ft!F$3*EXP(Ft!F$38*($A207-Ft!F$2)^2)</f>
        <v>1.0693025061361906E-128</v>
      </c>
      <c r="J207" s="26">
        <f>Ft!G$3*EXP(Ft!G$38*($A207-Ft!G$2)^2)</f>
        <v>0</v>
      </c>
    </row>
    <row r="208" spans="1:10">
      <c r="A208" s="19">
        <v>206</v>
      </c>
      <c r="B208" s="28">
        <v>30.843894465265123</v>
      </c>
      <c r="C208" s="27">
        <f ca="1">OFFSET($B208,1*(ROWS(C$2:C208)-1),0)</f>
        <v>44.27695556373726</v>
      </c>
      <c r="D208" s="26">
        <f>Ft!B$3*EXP(Ft!B$38*($A208-Ft!B$2)^2) +Ft!C$3*EXP(Ft!C$38*($A208-Ft!C$2)^2) + Ft!D$3*EXP(Ft!D$38*($A208-Ft!D$2)^2)+Ft!E$3*EXP(Ft!E$38*($A208-Ft!E$2)^2) +Ft!F$3*EXP(Ft!F$38*($A208-Ft!F$2)^2) + Ft!G$3*EXP(Ft!G$38*($A208-Ft!G$2)^2)</f>
        <v>12.486340171702889</v>
      </c>
      <c r="E208" s="26">
        <f>Ft!B$3*EXP(Ft!B$38*($A208-Ft!B$2)^2)</f>
        <v>2.8843471548260128E-14</v>
      </c>
      <c r="F208" s="26">
        <f>Ft!C$3*EXP(Ft!C$38*($A208-Ft!C$2)^2)</f>
        <v>6.8299085842753273</v>
      </c>
      <c r="G208" s="26">
        <f>Ft!D$3*EXP(Ft!D$38*($A208-Ft!D$2)^2)</f>
        <v>5.6340465922351406</v>
      </c>
      <c r="H208" s="26">
        <f>Ft!E$3*EXP(Ft!E$38*($A208-Ft!E$2)^2)</f>
        <v>2.2384995192393401E-2</v>
      </c>
      <c r="I208" s="26">
        <f>Ft!F$3*EXP(Ft!F$38*($A208-Ft!F$2)^2)</f>
        <v>2.1909351669020876E-128</v>
      </c>
      <c r="J208" s="26">
        <f>Ft!G$3*EXP(Ft!G$38*($A208-Ft!G$2)^2)</f>
        <v>0</v>
      </c>
    </row>
    <row r="209" spans="1:10">
      <c r="A209" s="19">
        <v>207</v>
      </c>
      <c r="B209" s="28">
        <v>31.065992115417941</v>
      </c>
      <c r="C209" s="27">
        <f ca="1">OFFSET($B209,1*(ROWS(C$2:C209)-1),0)</f>
        <v>43.86200492500052</v>
      </c>
      <c r="D209" s="26">
        <f>Ft!B$3*EXP(Ft!B$38*($A209-Ft!B$2)^2) +Ft!C$3*EXP(Ft!C$38*($A209-Ft!C$2)^2) + Ft!D$3*EXP(Ft!D$38*($A209-Ft!D$2)^2)+Ft!E$3*EXP(Ft!E$38*($A209-Ft!E$2)^2) +Ft!F$3*EXP(Ft!F$38*($A209-Ft!F$2)^2) + Ft!G$3*EXP(Ft!G$38*($A209-Ft!G$2)^2)</f>
        <v>12.472520832589924</v>
      </c>
      <c r="E209" s="26">
        <f>Ft!B$3*EXP(Ft!B$38*($A209-Ft!B$2)^2)</f>
        <v>1.9252271822969334E-14</v>
      </c>
      <c r="F209" s="26">
        <f>Ft!C$3*EXP(Ft!C$38*($A209-Ft!C$2)^2)</f>
        <v>6.7598432371282495</v>
      </c>
      <c r="G209" s="26">
        <f>Ft!D$3*EXP(Ft!D$38*($A209-Ft!D$2)^2)</f>
        <v>5.6898037932492702</v>
      </c>
      <c r="H209" s="26">
        <f>Ft!E$3*EXP(Ft!E$38*($A209-Ft!E$2)^2)</f>
        <v>2.2873802212383776E-2</v>
      </c>
      <c r="I209" s="26">
        <f>Ft!F$3*EXP(Ft!F$38*($A209-Ft!F$2)^2)</f>
        <v>4.4851943192214217E-128</v>
      </c>
      <c r="J209" s="26">
        <f>Ft!G$3*EXP(Ft!G$38*($A209-Ft!G$2)^2)</f>
        <v>0</v>
      </c>
    </row>
    <row r="210" spans="1:10">
      <c r="A210" s="19">
        <v>208</v>
      </c>
      <c r="B210" s="28">
        <v>31.294135625455283</v>
      </c>
      <c r="C210" s="27">
        <f ca="1">OFFSET($B210,1*(ROWS(C$2:C210)-1),0)</f>
        <v>43.44321437089738</v>
      </c>
      <c r="D210" s="26">
        <f>Ft!B$3*EXP(Ft!B$38*($A210-Ft!B$2)^2) +Ft!C$3*EXP(Ft!C$38*($A210-Ft!C$2)^2) + Ft!D$3*EXP(Ft!D$38*($A210-Ft!D$2)^2)+Ft!E$3*EXP(Ft!E$38*($A210-Ft!E$2)^2) +Ft!F$3*EXP(Ft!F$38*($A210-Ft!F$2)^2) + Ft!G$3*EXP(Ft!G$38*($A210-Ft!G$2)^2)</f>
        <v>12.458697686265284</v>
      </c>
      <c r="E210" s="26">
        <f>Ft!B$3*EXP(Ft!B$38*($A210-Ft!B$2)^2)</f>
        <v>1.2818157802285953E-14</v>
      </c>
      <c r="F210" s="26">
        <f>Ft!C$3*EXP(Ft!C$38*($A210-Ft!C$2)^2)</f>
        <v>6.6894568358715771</v>
      </c>
      <c r="G210" s="26">
        <f>Ft!D$3*EXP(Ft!D$38*($A210-Ft!D$2)^2)</f>
        <v>5.7458683956922645</v>
      </c>
      <c r="H210" s="26">
        <f>Ft!E$3*EXP(Ft!E$38*($A210-Ft!E$2)^2)</f>
        <v>2.3372454701428555E-2</v>
      </c>
      <c r="I210" s="26">
        <f>Ft!F$3*EXP(Ft!F$38*($A210-Ft!F$2)^2)</f>
        <v>9.1739379000239787E-128</v>
      </c>
      <c r="J210" s="26">
        <f>Ft!G$3*EXP(Ft!G$38*($A210-Ft!G$2)^2)</f>
        <v>0</v>
      </c>
    </row>
    <row r="211" spans="1:10">
      <c r="A211" s="19">
        <v>209</v>
      </c>
      <c r="B211" s="28">
        <v>31.52916244299908</v>
      </c>
      <c r="C211" s="27">
        <f ca="1">OFFSET($B211,1*(ROWS(C$2:C211)-1),0)</f>
        <v>42.97750070280938</v>
      </c>
      <c r="D211" s="26">
        <f>Ft!B$3*EXP(Ft!B$38*($A211-Ft!B$2)^2) +Ft!C$3*EXP(Ft!C$38*($A211-Ft!C$2)^2) + Ft!D$3*EXP(Ft!D$38*($A211-Ft!D$2)^2)+Ft!E$3*EXP(Ft!E$38*($A211-Ft!E$2)^2) +Ft!F$3*EXP(Ft!F$38*($A211-Ft!F$2)^2) + Ft!G$3*EXP(Ft!G$38*($A211-Ft!G$2)^2)</f>
        <v>12.444894255700483</v>
      </c>
      <c r="E211" s="26">
        <f>Ft!B$3*EXP(Ft!B$38*($A211-Ft!B$2)^2)</f>
        <v>8.5129173502809875E-15</v>
      </c>
      <c r="F211" s="26">
        <f>Ft!C$3*EXP(Ft!C$38*($A211-Ft!C$2)^2)</f>
        <v>6.6187744882517867</v>
      </c>
      <c r="G211" s="26">
        <f>Ft!D$3*EXP(Ft!D$38*($A211-Ft!D$2)^2)</f>
        <v>5.8022386358840752</v>
      </c>
      <c r="H211" s="26">
        <f>Ft!E$3*EXP(Ft!E$38*($A211-Ft!E$2)^2)</f>
        <v>2.3881131564611639E-2</v>
      </c>
      <c r="I211" s="26">
        <f>Ft!F$3*EXP(Ft!F$38*($A211-Ft!F$2)^2)</f>
        <v>1.8747921397620644E-127</v>
      </c>
      <c r="J211" s="26">
        <f>Ft!G$3*EXP(Ft!G$38*($A211-Ft!G$2)^2)</f>
        <v>0</v>
      </c>
    </row>
    <row r="212" spans="1:10">
      <c r="A212" s="19">
        <v>210</v>
      </c>
      <c r="B212" s="28">
        <v>31.781898328716949</v>
      </c>
      <c r="C212" s="27">
        <f ca="1">OFFSET($B212,1*(ROWS(C$2:C212)-1),0)</f>
        <v>42.53850859007494</v>
      </c>
      <c r="D212" s="26">
        <f>Ft!B$3*EXP(Ft!B$38*($A212-Ft!B$2)^2) +Ft!C$3*EXP(Ft!C$38*($A212-Ft!C$2)^2) + Ft!D$3*EXP(Ft!D$38*($A212-Ft!D$2)^2)+Ft!E$3*EXP(Ft!E$38*($A212-Ft!E$2)^2) +Ft!F$3*EXP(Ft!F$38*($A212-Ft!F$2)^2) + Ft!G$3*EXP(Ft!G$38*($A212-Ft!G$2)^2)</f>
        <v>12.431133884062611</v>
      </c>
      <c r="E212" s="26">
        <f>Ft!B$3*EXP(Ft!B$38*($A212-Ft!B$2)^2)</f>
        <v>5.6394973160412758E-15</v>
      </c>
      <c r="F212" s="26">
        <f>Ft!C$3*EXP(Ft!C$38*($A212-Ft!C$2)^2)</f>
        <v>6.5478211759218974</v>
      </c>
      <c r="G212" s="26">
        <f>Ft!D$3*EXP(Ft!D$38*($A212-Ft!D$2)^2)</f>
        <v>5.8589126936140996</v>
      </c>
      <c r="H212" s="26">
        <f>Ft!E$3*EXP(Ft!E$38*($A212-Ft!E$2)^2)</f>
        <v>2.4400014526609923E-2</v>
      </c>
      <c r="I212" s="26">
        <f>Ft!F$3*EXP(Ft!F$38*($A212-Ft!F$2)^2)</f>
        <v>3.8280116211267299E-127</v>
      </c>
      <c r="J212" s="26">
        <f>Ft!G$3*EXP(Ft!G$38*($A212-Ft!G$2)^2)</f>
        <v>0</v>
      </c>
    </row>
    <row r="213" spans="1:10">
      <c r="A213" s="19">
        <v>211</v>
      </c>
      <c r="B213" s="28">
        <v>32.020493814731623</v>
      </c>
      <c r="C213" s="27">
        <f ca="1">OFFSET($B213,1*(ROWS(C$2:C213)-1),0)</f>
        <v>42.08118861262011</v>
      </c>
      <c r="D213" s="26">
        <f>Ft!B$3*EXP(Ft!B$38*($A213-Ft!B$2)^2) +Ft!C$3*EXP(Ft!C$38*($A213-Ft!C$2)^2) + Ft!D$3*EXP(Ft!D$38*($A213-Ft!D$2)^2)+Ft!E$3*EXP(Ft!E$38*($A213-Ft!E$2)^2) +Ft!F$3*EXP(Ft!F$38*($A213-Ft!F$2)^2) + Ft!G$3*EXP(Ft!G$38*($A213-Ft!G$2)^2)</f>
        <v>12.417439720390878</v>
      </c>
      <c r="E213" s="26">
        <f>Ft!B$3*EXP(Ft!B$38*($A213-Ft!B$2)^2)</f>
        <v>3.7265894130963743E-15</v>
      </c>
      <c r="F213" s="26">
        <f>Ft!C$3*EXP(Ft!C$38*($A213-Ft!C$2)^2)</f>
        <v>6.476621740326082</v>
      </c>
      <c r="G213" s="26">
        <f>Ft!D$3*EXP(Ft!D$38*($A213-Ft!D$2)^2)</f>
        <v>5.9158886918977736</v>
      </c>
      <c r="H213" s="26">
        <f>Ft!E$3*EXP(Ft!E$38*($A213-Ft!E$2)^2)</f>
        <v>2.4929288167018854E-2</v>
      </c>
      <c r="I213" s="26">
        <f>Ft!F$3*EXP(Ft!F$38*($A213-Ft!F$2)^2)</f>
        <v>7.8093729989496506E-127</v>
      </c>
      <c r="J213" s="26">
        <f>Ft!G$3*EXP(Ft!G$38*($A213-Ft!G$2)^2)</f>
        <v>0</v>
      </c>
    </row>
    <row r="214" spans="1:10">
      <c r="A214" s="19">
        <v>212</v>
      </c>
      <c r="B214" s="28">
        <v>32.256779118562747</v>
      </c>
      <c r="C214" s="27">
        <f ca="1">OFFSET($B214,1*(ROWS(C$2:C214)-1),0)</f>
        <v>41.595778396664144</v>
      </c>
      <c r="D214" s="26">
        <f>Ft!B$3*EXP(Ft!B$38*($A214-Ft!B$2)^2) +Ft!C$3*EXP(Ft!C$38*($A214-Ft!C$2)^2) + Ft!D$3*EXP(Ft!D$38*($A214-Ft!D$2)^2)+Ft!E$3*EXP(Ft!E$38*($A214-Ft!E$2)^2) +Ft!F$3*EXP(Ft!F$38*($A214-Ft!F$2)^2) + Ft!G$3*EXP(Ft!G$38*($A214-Ft!G$2)^2)</f>
        <v>12.403834705541732</v>
      </c>
      <c r="E214" s="26">
        <f>Ft!B$3*EXP(Ft!B$38*($A214-Ft!B$2)^2)</f>
        <v>2.4563591796916805E-15</v>
      </c>
      <c r="F214" s="26">
        <f>Ft!C$3*EXP(Ft!C$38*($A214-Ft!C$2)^2)</f>
        <v>6.4052008688428694</v>
      </c>
      <c r="G214" s="26">
        <f>Ft!D$3*EXP(Ft!D$38*($A214-Ft!D$2)^2)</f>
        <v>5.9731646967429235</v>
      </c>
      <c r="H214" s="26">
        <f>Ft!E$3*EXP(Ft!E$38*($A214-Ft!E$2)^2)</f>
        <v>2.5469139955935399E-2</v>
      </c>
      <c r="I214" s="26">
        <f>Ft!F$3*EXP(Ft!F$38*($A214-Ft!F$2)^2)</f>
        <v>1.5917757384279754E-126</v>
      </c>
      <c r="J214" s="26">
        <f>Ft!G$3*EXP(Ft!G$38*($A214-Ft!G$2)^2)</f>
        <v>0</v>
      </c>
    </row>
    <row r="215" spans="1:10">
      <c r="A215" s="19">
        <v>213</v>
      </c>
      <c r="B215" s="28">
        <v>32.50201741983517</v>
      </c>
      <c r="C215" s="27">
        <f ca="1">OFFSET($B215,1*(ROWS(C$2:C215)-1),0)</f>
        <v>41.085308271360418</v>
      </c>
      <c r="D215" s="26">
        <f>Ft!B$3*EXP(Ft!B$38*($A215-Ft!B$2)^2) +Ft!C$3*EXP(Ft!C$38*($A215-Ft!C$2)^2) + Ft!D$3*EXP(Ft!D$38*($A215-Ft!D$2)^2)+Ft!E$3*EXP(Ft!E$38*($A215-Ft!E$2)^2) +Ft!F$3*EXP(Ft!F$38*($A215-Ft!F$2)^2) + Ft!G$3*EXP(Ft!G$38*($A215-Ft!G$2)^2)</f>
        <v>12.390341558412825</v>
      </c>
      <c r="E215" s="26">
        <f>Ft!B$3*EXP(Ft!B$38*($A215-Ft!B$2)^2)</f>
        <v>1.6150328913754196E-15</v>
      </c>
      <c r="F215" s="26">
        <f>Ft!C$3*EXP(Ft!C$38*($A215-Ft!C$2)^2)</f>
        <v>6.3335830811970055</v>
      </c>
      <c r="G215" s="26">
        <f>Ft!D$3*EXP(Ft!D$38*($A215-Ft!D$2)^2)</f>
        <v>6.030738716926022</v>
      </c>
      <c r="H215" s="26">
        <f>Ft!E$3*EXP(Ft!E$38*($A215-Ft!E$2)^2)</f>
        <v>2.6019760289795302E-2</v>
      </c>
      <c r="I215" s="26">
        <f>Ft!F$3*EXP(Ft!F$38*($A215-Ft!F$2)^2)</f>
        <v>3.2416818609788457E-126</v>
      </c>
      <c r="J215" s="26">
        <f>Ft!G$3*EXP(Ft!G$38*($A215-Ft!G$2)^2)</f>
        <v>0</v>
      </c>
    </row>
    <row r="216" spans="1:10">
      <c r="A216" s="19">
        <v>214</v>
      </c>
      <c r="B216" s="28">
        <v>32.740730746427261</v>
      </c>
      <c r="C216" s="27">
        <f ca="1">OFFSET($B216,1*(ROWS(C$2:C216)-1),0)</f>
        <v>40.572886352871137</v>
      </c>
      <c r="D216" s="26">
        <f>Ft!B$3*EXP(Ft!B$38*($A216-Ft!B$2)^2) +Ft!C$3*EXP(Ft!C$38*($A216-Ft!C$2)^2) + Ft!D$3*EXP(Ft!D$38*($A216-Ft!D$2)^2)+Ft!E$3*EXP(Ft!E$38*($A216-Ft!E$2)^2) +Ft!F$3*EXP(Ft!F$38*($A216-Ft!F$2)^2) + Ft!G$3*EXP(Ft!G$38*($A216-Ft!G$2)^2)</f>
        <v>12.376982762455635</v>
      </c>
      <c r="E216" s="26">
        <f>Ft!B$3*EXP(Ft!B$38*($A216-Ft!B$2)^2)</f>
        <v>1.0592050571120755E-15</v>
      </c>
      <c r="F216" s="26">
        <f>Ft!C$3*EXP(Ft!C$38*($A216-Ft!C$2)^2)</f>
        <v>6.2617927161496771</v>
      </c>
      <c r="G216" s="26">
        <f>Ft!D$3*EXP(Ft!D$38*($A216-Ft!D$2)^2)</f>
        <v>6.0886087037784948</v>
      </c>
      <c r="H216" s="26">
        <f>Ft!E$3*EXP(Ft!E$38*($A216-Ft!E$2)^2)</f>
        <v>2.6581342527463355E-2</v>
      </c>
      <c r="I216" s="26">
        <f>Ft!F$3*EXP(Ft!F$38*($A216-Ft!F$2)^2)</f>
        <v>6.5960159368139658E-126</v>
      </c>
      <c r="J216" s="26">
        <f>Ft!G$3*EXP(Ft!G$38*($A216-Ft!G$2)^2)</f>
        <v>0</v>
      </c>
    </row>
    <row r="217" spans="1:10">
      <c r="A217" s="19">
        <v>215</v>
      </c>
      <c r="B217" s="28">
        <v>32.984602537828778</v>
      </c>
      <c r="C217" s="27">
        <f ca="1">OFFSET($B217,1*(ROWS(C$2:C217)-1),0)</f>
        <v>40.07334535779637</v>
      </c>
      <c r="D217" s="26">
        <f>Ft!B$3*EXP(Ft!B$38*($A217-Ft!B$2)^2) +Ft!C$3*EXP(Ft!C$38*($A217-Ft!C$2)^2) + Ft!D$3*EXP(Ft!D$38*($A217-Ft!D$2)^2)+Ft!E$3*EXP(Ft!E$38*($A217-Ft!E$2)^2) +Ft!F$3*EXP(Ft!F$38*($A217-Ft!F$2)^2) + Ft!G$3*EXP(Ft!G$38*($A217-Ft!G$2)^2)</f>
        <v>12.363780552486176</v>
      </c>
      <c r="E217" s="26">
        <f>Ft!B$3*EXP(Ft!B$38*($A217-Ft!B$2)^2)</f>
        <v>6.9292765403202323E-16</v>
      </c>
      <c r="F217" s="26">
        <f>Ft!C$3*EXP(Ft!C$38*($A217-Ft!C$2)^2)</f>
        <v>6.1898539184763495</v>
      </c>
      <c r="G217" s="26">
        <f>Ft!D$3*EXP(Ft!D$38*($A217-Ft!D$2)^2)</f>
        <v>6.1467725509832514</v>
      </c>
      <c r="H217" s="26">
        <f>Ft!E$3*EXP(Ft!E$38*($A217-Ft!E$2)^2)</f>
        <v>2.7154083026573541E-2</v>
      </c>
      <c r="I217" s="26">
        <f>Ft!F$3*EXP(Ft!F$38*($A217-Ft!F$2)^2)</f>
        <v>1.3409599192033424E-125</v>
      </c>
      <c r="J217" s="26">
        <f>Ft!G$3*EXP(Ft!G$38*($A217-Ft!G$2)^2)</f>
        <v>0</v>
      </c>
    </row>
    <row r="218" spans="1:10">
      <c r="A218" s="19">
        <v>216</v>
      </c>
      <c r="B218" s="28">
        <v>33.230181546578848</v>
      </c>
      <c r="C218" s="27">
        <f ca="1">OFFSET($B218,1*(ROWS(C$2:C218)-1),0)</f>
        <v>39.567849215907785</v>
      </c>
      <c r="D218" s="26">
        <f>Ft!B$3*EXP(Ft!B$38*($A218-Ft!B$2)^2) +Ft!C$3*EXP(Ft!C$38*($A218-Ft!C$2)^2) + Ft!D$3*EXP(Ft!D$38*($A218-Ft!D$2)^2)+Ft!E$3*EXP(Ft!E$38*($A218-Ft!E$2)^2) +Ft!F$3*EXP(Ft!F$38*($A218-Ft!F$2)^2) + Ft!G$3*EXP(Ft!G$38*($A218-Ft!G$2)^2)</f>
        <v>12.350756901802757</v>
      </c>
      <c r="E218" s="26">
        <f>Ft!B$3*EXP(Ft!B$38*($A218-Ft!B$2)^2)</f>
        <v>4.5217330203608816E-16</v>
      </c>
      <c r="F218" s="26">
        <f>Ft!C$3*EXP(Ft!C$38*($A218-Ft!C$2)^2)</f>
        <v>6.1177906262410771</v>
      </c>
      <c r="G218" s="26">
        <f>Ft!D$3*EXP(Ft!D$38*($A218-Ft!D$2)^2)</f>
        <v>6.2052280943815621</v>
      </c>
      <c r="H218" s="26">
        <f>Ft!E$3*EXP(Ft!E$38*($A218-Ft!E$2)^2)</f>
        <v>2.7738181180117578E-2</v>
      </c>
      <c r="I218" s="26">
        <f>Ft!F$3*EXP(Ft!F$38*($A218-Ft!F$2)^2)</f>
        <v>2.7237841821672148E-125</v>
      </c>
      <c r="J218" s="26">
        <f>Ft!G$3*EXP(Ft!G$38*($A218-Ft!G$2)^2)</f>
        <v>0</v>
      </c>
    </row>
    <row r="219" spans="1:10">
      <c r="A219" s="19">
        <v>217</v>
      </c>
      <c r="B219" s="28">
        <v>33.463410101556804</v>
      </c>
      <c r="C219" s="27">
        <f ca="1">OFFSET($B219,1*(ROWS(C$2:C219)-1),0)</f>
        <v>39.089556002880272</v>
      </c>
      <c r="D219" s="26">
        <f>Ft!B$3*EXP(Ft!B$38*($A219-Ft!B$2)^2) +Ft!C$3*EXP(Ft!C$38*($A219-Ft!C$2)^2) + Ft!D$3*EXP(Ft!D$38*($A219-Ft!D$2)^2)+Ft!E$3*EXP(Ft!E$38*($A219-Ft!E$2)^2) +Ft!F$3*EXP(Ft!F$38*($A219-Ft!F$2)^2) + Ft!G$3*EXP(Ft!G$38*($A219-Ft!G$2)^2)</f>
        <v>12.337933509619486</v>
      </c>
      <c r="E219" s="26">
        <f>Ft!B$3*EXP(Ft!B$38*($A219-Ft!B$2)^2)</f>
        <v>2.9432768403773945E-16</v>
      </c>
      <c r="F219" s="26">
        <f>Ft!C$3*EXP(Ft!C$38*($A219-Ft!C$2)^2)</f>
        <v>6.0456265583757478</v>
      </c>
      <c r="G219" s="26">
        <f>Ft!D$3*EXP(Ft!D$38*($A219-Ft!D$2)^2)</f>
        <v>6.2639731117904596</v>
      </c>
      <c r="H219" s="26">
        <f>Ft!E$3*EXP(Ft!E$38*($A219-Ft!E$2)^2)</f>
        <v>2.8333839453278421E-2</v>
      </c>
      <c r="I219" s="26">
        <f>Ft!F$3*EXP(Ft!F$38*($A219-Ft!F$2)^2)</f>
        <v>5.5278008111141085E-125</v>
      </c>
      <c r="J219" s="26">
        <f>Ft!G$3*EXP(Ft!G$38*($A219-Ft!G$2)^2)</f>
        <v>0</v>
      </c>
    </row>
    <row r="220" spans="1:10">
      <c r="A220" s="19">
        <v>218</v>
      </c>
      <c r="B220" s="28">
        <v>33.722828164831469</v>
      </c>
      <c r="C220" s="27">
        <f ca="1">OFFSET($B220,1*(ROWS(C$2:C220)-1),0)</f>
        <v>38.691684827276561</v>
      </c>
      <c r="D220" s="26">
        <f>Ft!B$3*EXP(Ft!B$38*($A220-Ft!B$2)^2) +Ft!C$3*EXP(Ft!C$38*($A220-Ft!C$2)^2) + Ft!D$3*EXP(Ft!D$38*($A220-Ft!D$2)^2)+Ft!E$3*EXP(Ft!E$38*($A220-Ft!E$2)^2) +Ft!F$3*EXP(Ft!F$38*($A220-Ft!F$2)^2) + Ft!G$3*EXP(Ft!G$38*($A220-Ft!G$2)^2)</f>
        <v>12.325331788823544</v>
      </c>
      <c r="E220" s="26">
        <f>Ft!B$3*EXP(Ft!B$38*($A220-Ft!B$2)^2)</f>
        <v>1.9110255082448991E-16</v>
      </c>
      <c r="F220" s="26">
        <f>Ft!C$3*EXP(Ft!C$38*($A220-Ft!C$2)^2)</f>
        <v>5.9733852025722438</v>
      </c>
      <c r="G220" s="26">
        <f>Ft!D$3*EXP(Ft!D$38*($A220-Ft!D$2)^2)</f>
        <v>6.3230053228307934</v>
      </c>
      <c r="H220" s="26">
        <f>Ft!E$3*EXP(Ft!E$38*($A220-Ft!E$2)^2)</f>
        <v>2.894126342050695E-2</v>
      </c>
      <c r="I220" s="26">
        <f>Ft!F$3*EXP(Ft!F$38*($A220-Ft!F$2)^2)</f>
        <v>1.1208690375291219E-124</v>
      </c>
      <c r="J220" s="26">
        <f>Ft!G$3*EXP(Ft!G$38*($A220-Ft!G$2)^2)</f>
        <v>0</v>
      </c>
    </row>
    <row r="221" spans="1:10">
      <c r="A221" s="19">
        <v>219</v>
      </c>
      <c r="B221" s="28">
        <v>33.959485107395551</v>
      </c>
      <c r="C221" s="27">
        <f ca="1">OFFSET($B221,1*(ROWS(C$2:C221)-1),0)</f>
        <v>38.298910082573002</v>
      </c>
      <c r="D221" s="26">
        <f>Ft!B$3*EXP(Ft!B$38*($A221-Ft!B$2)^2) +Ft!C$3*EXP(Ft!C$38*($A221-Ft!C$2)^2) + Ft!D$3*EXP(Ft!D$38*($A221-Ft!D$2)^2)+Ft!E$3*EXP(Ft!E$38*($A221-Ft!E$2)^2) +Ft!F$3*EXP(Ft!F$38*($A221-Ft!F$2)^2) + Ft!G$3*EXP(Ft!G$38*($A221-Ft!G$2)^2)</f>
        <v>12.312972854064034</v>
      </c>
      <c r="E221" s="26">
        <f>Ft!B$3*EXP(Ft!B$38*($A221-Ft!B$2)^2)</f>
        <v>1.2376875692563751E-16</v>
      </c>
      <c r="F221" s="26">
        <f>Ft!C$3*EXP(Ft!C$38*($A221-Ft!C$2)^2)</f>
        <v>5.9010898034951129</v>
      </c>
      <c r="G221" s="26">
        <f>Ft!D$3*EXP(Ft!D$38*($A221-Ft!D$2)^2)</f>
        <v>6.3823223887660818</v>
      </c>
      <c r="H221" s="26">
        <f>Ft!E$3*EXP(Ft!E$38*($A221-Ft!E$2)^2)</f>
        <v>2.9560661802838218E-2</v>
      </c>
      <c r="I221" s="26">
        <f>Ft!F$3*EXP(Ft!F$38*($A221-Ft!F$2)^2)</f>
        <v>2.2708066390358891E-124</v>
      </c>
      <c r="J221" s="26">
        <f>Ft!G$3*EXP(Ft!G$38*($A221-Ft!G$2)^2)</f>
        <v>0</v>
      </c>
    </row>
    <row r="222" spans="1:10">
      <c r="A222" s="19">
        <v>220</v>
      </c>
      <c r="B222" s="28">
        <v>34.225237407233976</v>
      </c>
      <c r="C222" s="27">
        <f ca="1">OFFSET($B222,1*(ROWS(C$2:C222)-1),0)</f>
        <v>37.875318610909375</v>
      </c>
      <c r="D222" s="26">
        <f>Ft!B$3*EXP(Ft!B$38*($A222-Ft!B$2)^2) +Ft!C$3*EXP(Ft!C$38*($A222-Ft!C$2)^2) + Ft!D$3*EXP(Ft!D$38*($A222-Ft!D$2)^2)+Ft!E$3*EXP(Ft!E$38*($A222-Ft!E$2)^2) +Ft!F$3*EXP(Ft!F$38*($A222-Ft!F$2)^2) + Ft!G$3*EXP(Ft!G$38*($A222-Ft!G$2)^2)</f>
        <v>12.300877510179671</v>
      </c>
      <c r="E222" s="26">
        <f>Ft!B$3*EXP(Ft!B$38*($A222-Ft!B$2)^2)</f>
        <v>7.9958520275189312E-17</v>
      </c>
      <c r="F222" s="26">
        <f>Ft!C$3*EXP(Ft!C$38*($A222-Ft!C$2)^2)</f>
        <v>5.8287633513219106</v>
      </c>
      <c r="G222" s="26">
        <f>Ft!D$3*EXP(Ft!D$38*($A222-Ft!D$2)^2)</f>
        <v>6.4419219123523153</v>
      </c>
      <c r="H222" s="26">
        <f>Ft!E$3*EXP(Ft!E$38*($A222-Ft!E$2)^2)</f>
        <v>3.0192246505445414E-2</v>
      </c>
      <c r="I222" s="26">
        <f>Ft!F$3*EXP(Ft!F$38*($A222-Ft!F$2)^2)</f>
        <v>4.596510256105009E-124</v>
      </c>
      <c r="J222" s="26">
        <f>Ft!G$3*EXP(Ft!G$38*($A222-Ft!G$2)^2)</f>
        <v>0</v>
      </c>
    </row>
    <row r="223" spans="1:10">
      <c r="A223" s="19">
        <v>221</v>
      </c>
      <c r="B223" s="28">
        <v>34.514597642993493</v>
      </c>
      <c r="C223" s="27">
        <f ca="1">OFFSET($B223,1*(ROWS(C$2:C223)-1),0)</f>
        <v>37.433789607017843</v>
      </c>
      <c r="D223" s="26">
        <f>Ft!B$3*EXP(Ft!B$38*($A223-Ft!B$2)^2) +Ft!C$3*EXP(Ft!C$38*($A223-Ft!C$2)^2) + Ft!D$3*EXP(Ft!D$38*($A223-Ft!D$2)^2)+Ft!E$3*EXP(Ft!E$38*($A223-Ft!E$2)^2) +Ft!F$3*EXP(Ft!F$38*($A223-Ft!F$2)^2) + Ft!G$3*EXP(Ft!G$38*($A223-Ft!G$2)^2)</f>
        <v>12.289066240972165</v>
      </c>
      <c r="E223" s="26">
        <f>Ft!B$3*EXP(Ft!B$38*($A223-Ft!B$2)^2)</f>
        <v>5.1526143877998099E-17</v>
      </c>
      <c r="F223" s="26">
        <f>Ft!C$3*EXP(Ft!C$38*($A223-Ft!C$2)^2)</f>
        <v>5.7564285706178833</v>
      </c>
      <c r="G223" s="26">
        <f>Ft!D$3*EXP(Ft!D$38*($A223-Ft!D$2)^2)</f>
        <v>6.5018014376988527</v>
      </c>
      <c r="H223" s="26">
        <f>Ft!E$3*EXP(Ft!E$38*($A223-Ft!E$2)^2)</f>
        <v>3.0836232655427381E-2</v>
      </c>
      <c r="I223" s="26">
        <f>Ft!F$3*EXP(Ft!F$38*($A223-Ft!F$2)^2)</f>
        <v>9.2960640460035095E-124</v>
      </c>
      <c r="J223" s="26">
        <f>Ft!G$3*EXP(Ft!G$38*($A223-Ft!G$2)^2)</f>
        <v>0</v>
      </c>
    </row>
    <row r="224" spans="1:10">
      <c r="A224" s="19">
        <v>222</v>
      </c>
      <c r="B224" s="28">
        <v>34.815680286828268</v>
      </c>
      <c r="C224" s="27">
        <f ca="1">OFFSET($B224,1*(ROWS(C$2:C224)-1),0)</f>
        <v>36.952033647619999</v>
      </c>
      <c r="D224" s="26">
        <f>Ft!B$3*EXP(Ft!B$38*($A224-Ft!B$2)^2) +Ft!C$3*EXP(Ft!C$38*($A224-Ft!C$2)^2) + Ft!D$3*EXP(Ft!D$38*($A224-Ft!D$2)^2)+Ft!E$3*EXP(Ft!E$38*($A224-Ft!E$2)^2) +Ft!F$3*EXP(Ft!F$38*($A224-Ft!F$2)^2) + Ft!G$3*EXP(Ft!G$38*($A224-Ft!G$2)^2)</f>
        <v>12.277559198331657</v>
      </c>
      <c r="E224" s="26">
        <f>Ft!B$3*EXP(Ft!B$38*($A224-Ft!B$2)^2)</f>
        <v>3.3120715450991783E-17</v>
      </c>
      <c r="F224" s="26">
        <f>Ft!C$3*EXP(Ft!C$38*($A224-Ft!C$2)^2)</f>
        <v>5.6841079095512947</v>
      </c>
      <c r="G224" s="26">
        <f>Ft!D$3*EXP(Ft!D$38*($A224-Ft!D$2)^2)</f>
        <v>6.5619584501405344</v>
      </c>
      <c r="H224" s="26">
        <f>Ft!E$3*EXP(Ft!E$38*($A224-Ft!E$2)^2)</f>
        <v>3.1492838639827936E-2</v>
      </c>
      <c r="I224" s="26">
        <f>Ft!F$3*EXP(Ft!F$38*($A224-Ft!F$2)^2)</f>
        <v>1.8784203143542871E-123</v>
      </c>
      <c r="J224" s="26">
        <f>Ft!G$3*EXP(Ft!G$38*($A224-Ft!G$2)^2)</f>
        <v>0</v>
      </c>
    </row>
    <row r="225" spans="1:10">
      <c r="A225" s="19">
        <v>223</v>
      </c>
      <c r="B225" s="28">
        <v>35.094321346902177</v>
      </c>
      <c r="C225" s="27">
        <f ca="1">OFFSET($B225,1*(ROWS(C$2:C225)-1),0)</f>
        <v>36.457009445204164</v>
      </c>
      <c r="D225" s="26">
        <f>Ft!B$3*EXP(Ft!B$38*($A225-Ft!B$2)^2) +Ft!C$3*EXP(Ft!C$38*($A225-Ft!C$2)^2) + Ft!D$3*EXP(Ft!D$38*($A225-Ft!D$2)^2)+Ft!E$3*EXP(Ft!E$38*($A225-Ft!E$2)^2) +Ft!F$3*EXP(Ft!F$38*($A225-Ft!F$2)^2) + Ft!G$3*EXP(Ft!G$38*($A225-Ft!G$2)^2)</f>
        <v>12.266376191720253</v>
      </c>
      <c r="E225" s="26">
        <f>Ft!B$3*EXP(Ft!B$38*($A225-Ft!B$2)^2)</f>
        <v>2.1236402663687558E-17</v>
      </c>
      <c r="F225" s="26">
        <f>Ft!C$3*EXP(Ft!C$38*($A225-Ft!C$2)^2)</f>
        <v>5.6118235294551946</v>
      </c>
      <c r="G225" s="26">
        <f>Ft!D$3*EXP(Ft!D$38*($A225-Ft!D$2)^2)</f>
        <v>6.622390376121178</v>
      </c>
      <c r="H225" s="26">
        <f>Ft!E$3*EXP(Ft!E$38*($A225-Ft!E$2)^2)</f>
        <v>3.2162286143882272E-2</v>
      </c>
      <c r="I225" s="26">
        <f>Ft!F$3*EXP(Ft!F$38*($A225-Ft!F$2)^2)</f>
        <v>3.7923572382665843E-123</v>
      </c>
      <c r="J225" s="26">
        <f>Ft!G$3*EXP(Ft!G$38*($A225-Ft!G$2)^2)</f>
        <v>0</v>
      </c>
    </row>
    <row r="226" spans="1:10">
      <c r="A226" s="19">
        <v>224</v>
      </c>
      <c r="B226" s="28">
        <v>35.381788283027902</v>
      </c>
      <c r="C226" s="27">
        <f ca="1">OFFSET($B226,1*(ROWS(C$2:C226)-1),0)</f>
        <v>35.958586007026895</v>
      </c>
      <c r="D226" s="26">
        <f>Ft!B$3*EXP(Ft!B$38*($A226-Ft!B$2)^2) +Ft!C$3*EXP(Ft!C$38*($A226-Ft!C$2)^2) + Ft!D$3*EXP(Ft!D$38*($A226-Ft!D$2)^2)+Ft!E$3*EXP(Ft!E$38*($A226-Ft!E$2)^2) +Ft!F$3*EXP(Ft!F$38*($A226-Ft!F$2)^2) + Ft!G$3*EXP(Ft!G$38*($A226-Ft!G$2)^2)</f>
        <v>12.255536678019043</v>
      </c>
      <c r="E226" s="26">
        <f>Ft!B$3*EXP(Ft!B$38*($A226-Ft!B$2)^2)</f>
        <v>1.3582238975082963E-17</v>
      </c>
      <c r="F226" s="26">
        <f>Ft!C$3*EXP(Ft!C$38*($A226-Ft!C$2)^2)</f>
        <v>5.5395972947410002</v>
      </c>
      <c r="G226" s="26">
        <f>Ft!D$3*EXP(Ft!D$38*($A226-Ft!D$2)^2)</f>
        <v>6.6830945830885531</v>
      </c>
      <c r="H226" s="26">
        <f>Ft!E$3*EXP(Ft!E$38*($A226-Ft!E$2)^2)</f>
        <v>3.2844800189488349E-2</v>
      </c>
      <c r="I226" s="26">
        <f>Ft!F$3*EXP(Ft!F$38*($A226-Ft!F$2)^2)</f>
        <v>7.6497721714471803E-123</v>
      </c>
      <c r="J226" s="26">
        <f>Ft!G$3*EXP(Ft!G$38*($A226-Ft!G$2)^2)</f>
        <v>0</v>
      </c>
    </row>
    <row r="227" spans="1:10">
      <c r="A227" s="19">
        <v>225</v>
      </c>
      <c r="B227" s="28">
        <v>35.654763421029799</v>
      </c>
      <c r="C227" s="27">
        <f ca="1">OFFSET($B227,1*(ROWS(C$2:C227)-1),0)</f>
        <v>35.429958249440546</v>
      </c>
      <c r="D227" s="26">
        <f>Ft!B$3*EXP(Ft!B$38*($A227-Ft!B$2)^2) +Ft!C$3*EXP(Ft!C$38*($A227-Ft!C$2)^2) + Ft!D$3*EXP(Ft!D$38*($A227-Ft!D$2)^2)+Ft!E$3*EXP(Ft!E$38*($A227-Ft!E$2)^2) +Ft!F$3*EXP(Ft!F$38*($A227-Ft!F$2)^2) + Ft!G$3*EXP(Ft!G$38*($A227-Ft!G$2)^2)</f>
        <v>12.245059751743737</v>
      </c>
      <c r="E227" s="26">
        <f>Ft!B$3*EXP(Ft!B$38*($A227-Ft!B$2)^2)</f>
        <v>8.6650476985493353E-18</v>
      </c>
      <c r="F227" s="26">
        <f>Ft!C$3*EXP(Ft!C$38*($A227-Ft!C$2)^2)</f>
        <v>5.4674507631688325</v>
      </c>
      <c r="G227" s="26">
        <f>Ft!D$3*EXP(Ft!D$38*($A227-Ft!D$2)^2)</f>
        <v>6.7440683794010061</v>
      </c>
      <c r="H227" s="26">
        <f>Ft!E$3*EXP(Ft!E$38*($A227-Ft!E$2)^2)</f>
        <v>3.3540609173899165E-2</v>
      </c>
      <c r="I227" s="26">
        <f>Ft!F$3*EXP(Ft!F$38*($A227-Ft!F$2)^2)</f>
        <v>1.5417379281424843E-122</v>
      </c>
      <c r="J227" s="26">
        <f>Ft!G$3*EXP(Ft!G$38*($A227-Ft!G$2)^2)</f>
        <v>0</v>
      </c>
    </row>
    <row r="228" spans="1:10">
      <c r="A228" s="19">
        <v>226</v>
      </c>
      <c r="B228" s="28">
        <v>35.9312302595755</v>
      </c>
      <c r="C228" s="27">
        <f ca="1">OFFSET($B228,1*(ROWS(C$2:C228)-1),0)</f>
        <v>34.94002472427627</v>
      </c>
      <c r="D228" s="26">
        <f>Ft!B$3*EXP(Ft!B$38*($A228-Ft!B$2)^2) +Ft!C$3*EXP(Ft!C$38*($A228-Ft!C$2)^2) + Ft!D$3*EXP(Ft!D$38*($A228-Ft!D$2)^2)+Ft!E$3*EXP(Ft!E$38*($A228-Ft!E$2)^2) +Ft!F$3*EXP(Ft!F$38*($A228-Ft!F$2)^2) + Ft!G$3*EXP(Ft!G$38*($A228-Ft!G$2)^2)</f>
        <v>12.234964135633561</v>
      </c>
      <c r="E228" s="26">
        <f>Ft!B$3*EXP(Ft!B$38*($A228-Ft!B$2)^2)</f>
        <v>5.5141645535389603E-18</v>
      </c>
      <c r="F228" s="26">
        <f>Ft!C$3*EXP(Ft!C$38*($A228-Ft!C$2)^2)</f>
        <v>5.3954051764790698</v>
      </c>
      <c r="G228" s="26">
        <f>Ft!D$3*EXP(Ft!D$38*($A228-Ft!D$2)^2)</f>
        <v>6.805309014245859</v>
      </c>
      <c r="H228" s="26">
        <f>Ft!E$3*EXP(Ft!E$38*($A228-Ft!E$2)^2)</f>
        <v>3.4249944908632278E-2</v>
      </c>
      <c r="I228" s="26">
        <f>Ft!F$3*EXP(Ft!F$38*($A228-Ft!F$2)^2)</f>
        <v>3.104526759458449E-122</v>
      </c>
      <c r="J228" s="26">
        <f>Ft!G$3*EXP(Ft!G$38*($A228-Ft!G$2)^2)</f>
        <v>0</v>
      </c>
    </row>
    <row r="229" spans="1:10">
      <c r="A229" s="19">
        <v>227</v>
      </c>
      <c r="B229" s="28">
        <v>36.20870614768836</v>
      </c>
      <c r="C229" s="27">
        <f ca="1">OFFSET($B229,1*(ROWS(C$2:C229)-1),0)</f>
        <v>34.47027656864438</v>
      </c>
      <c r="D229" s="26">
        <f>Ft!B$3*EXP(Ft!B$38*($A229-Ft!B$2)^2) +Ft!C$3*EXP(Ft!C$38*($A229-Ft!C$2)^2) + Ft!D$3*EXP(Ft!D$38*($A229-Ft!D$2)^2)+Ft!E$3*EXP(Ft!E$38*($A229-Ft!E$2)^2) +Ft!F$3*EXP(Ft!F$38*($A229-Ft!F$2)^2) + Ft!G$3*EXP(Ft!G$38*($A229-Ft!G$2)^2)</f>
        <v>12.225268171617424</v>
      </c>
      <c r="E229" s="26">
        <f>Ft!B$3*EXP(Ft!B$38*($A229-Ft!B$2)^2)</f>
        <v>3.5002386885757324E-18</v>
      </c>
      <c r="F229" s="26">
        <f>Ft!C$3*EXP(Ft!C$38*($A229-Ft!C$2)^2)</f>
        <v>5.3234814513891573</v>
      </c>
      <c r="G229" s="26">
        <f>Ft!D$3*EXP(Ft!D$38*($A229-Ft!D$2)^2)</f>
        <v>6.866813677569672</v>
      </c>
      <c r="H229" s="26">
        <f>Ft!E$3*EXP(Ft!E$38*($A229-Ft!E$2)^2)</f>
        <v>3.4973042658593058E-2</v>
      </c>
      <c r="I229" s="26">
        <f>Ft!F$3*EXP(Ft!F$38*($A229-Ft!F$2)^2)</f>
        <v>6.2460154491013177E-122</v>
      </c>
      <c r="J229" s="26">
        <f>Ft!G$3*EXP(Ft!G$38*($A229-Ft!G$2)^2)</f>
        <v>0</v>
      </c>
    </row>
    <row r="230" spans="1:10">
      <c r="A230" s="19">
        <v>228</v>
      </c>
      <c r="B230" s="28">
        <v>36.494787646648575</v>
      </c>
      <c r="C230" s="27">
        <f ca="1">OFFSET($B230,1*(ROWS(C$2:C230)-1),0)</f>
        <v>34.034167147488688</v>
      </c>
      <c r="D230" s="26">
        <f>Ft!B$3*EXP(Ft!B$38*($A230-Ft!B$2)^2) +Ft!C$3*EXP(Ft!C$38*($A230-Ft!C$2)^2) + Ft!D$3*EXP(Ft!D$38*($A230-Ft!D$2)^2)+Ft!E$3*EXP(Ft!E$38*($A230-Ft!E$2)^2) +Ft!F$3*EXP(Ft!F$38*($A230-Ft!F$2)^2) + Ft!G$3*EXP(Ft!G$38*($A230-Ft!G$2)^2)</f>
        <v>12.215989812161222</v>
      </c>
      <c r="E230" s="26">
        <f>Ft!B$3*EXP(Ft!B$38*($A230-Ft!B$2)^2)</f>
        <v>2.216280746576888E-18</v>
      </c>
      <c r="F230" s="26">
        <f>Ft!C$3*EXP(Ft!C$38*($A230-Ft!C$2)^2)</f>
        <v>5.2517001709592579</v>
      </c>
      <c r="G230" s="26">
        <f>Ft!D$3*EXP(Ft!D$38*($A230-Ft!D$2)^2)</f>
        <v>6.9285795000205566</v>
      </c>
      <c r="H230" s="26">
        <f>Ft!E$3*EXP(Ft!E$38*($A230-Ft!E$2)^2)</f>
        <v>3.5710141181407654E-2</v>
      </c>
      <c r="I230" s="26">
        <f>Ft!F$3*EXP(Ft!F$38*($A230-Ft!F$2)^2)</f>
        <v>1.2555485073041395E-121</v>
      </c>
      <c r="J230" s="26">
        <f>Ft!G$3*EXP(Ft!G$38*($A230-Ft!G$2)^2)</f>
        <v>0</v>
      </c>
    </row>
    <row r="231" spans="1:10">
      <c r="A231" s="19">
        <v>229</v>
      </c>
      <c r="B231" s="28">
        <v>36.787111215541046</v>
      </c>
      <c r="C231" s="27">
        <f ca="1">OFFSET($B231,1*(ROWS(C$2:C231)-1),0)</f>
        <v>33.58880136099242</v>
      </c>
      <c r="D231" s="26">
        <f>Ft!B$3*EXP(Ft!B$38*($A231-Ft!B$2)^2) +Ft!C$3*EXP(Ft!C$38*($A231-Ft!C$2)^2) + Ft!D$3*EXP(Ft!D$38*($A231-Ft!D$2)^2)+Ft!E$3*EXP(Ft!E$38*($A231-Ft!E$2)^2) +Ft!F$3*EXP(Ft!F$38*($A231-Ft!F$2)^2) + Ft!G$3*EXP(Ft!G$38*($A231-Ft!G$2)^2)</f>
        <v>12.20714661199945</v>
      </c>
      <c r="E231" s="26">
        <f>Ft!B$3*EXP(Ft!B$38*($A231-Ft!B$2)^2)</f>
        <v>1.3997841147238332E-18</v>
      </c>
      <c r="F231" s="26">
        <f>Ft!C$3*EXP(Ft!C$38*($A231-Ft!C$2)^2)</f>
        <v>5.180081576329866</v>
      </c>
      <c r="G231" s="26">
        <f>Ft!D$3*EXP(Ft!D$38*($A231-Ft!D$2)^2)</f>
        <v>6.9906035529026234</v>
      </c>
      <c r="H231" s="26">
        <f>Ft!E$3*EXP(Ft!E$38*($A231-Ft!E$2)^2)</f>
        <v>3.6461482766961748E-2</v>
      </c>
      <c r="I231" s="26">
        <f>Ft!F$3*EXP(Ft!F$38*($A231-Ft!F$2)^2)</f>
        <v>2.5216611846345382E-121</v>
      </c>
      <c r="J231" s="26">
        <f>Ft!G$3*EXP(Ft!G$38*($A231-Ft!G$2)^2)</f>
        <v>0</v>
      </c>
    </row>
    <row r="232" spans="1:10">
      <c r="A232" s="19">
        <v>230</v>
      </c>
      <c r="B232" s="28">
        <v>37.062424050000743</v>
      </c>
      <c r="C232" s="27">
        <f ca="1">OFFSET($B232,1*(ROWS(C$2:C232)-1),0)</f>
        <v>33.120123772505281</v>
      </c>
      <c r="D232" s="26">
        <f>Ft!B$3*EXP(Ft!B$38*($A232-Ft!B$2)^2) +Ft!C$3*EXP(Ft!C$38*($A232-Ft!C$2)^2) + Ft!D$3*EXP(Ft!D$38*($A232-Ft!D$2)^2)+Ft!E$3*EXP(Ft!E$38*($A232-Ft!E$2)^2) +Ft!F$3*EXP(Ft!F$38*($A232-Ft!F$2)^2) + Ft!G$3*EXP(Ft!G$38*($A232-Ft!G$2)^2)</f>
        <v>12.198755720253939</v>
      </c>
      <c r="E232" s="26">
        <f>Ft!B$3*EXP(Ft!B$38*($A232-Ft!B$2)^2)</f>
        <v>8.8187396600640538E-19</v>
      </c>
      <c r="F232" s="26">
        <f>Ft!C$3*EXP(Ft!C$38*($A232-Ft!C$2)^2)</f>
        <v>5.1086455588341089</v>
      </c>
      <c r="G232" s="26">
        <f>Ft!D$3*EXP(Ft!D$38*($A232-Ft!D$2)^2)</f>
        <v>7.0528828481426888</v>
      </c>
      <c r="H232" s="26">
        <f>Ft!E$3*EXP(Ft!E$38*($A232-Ft!E$2)^2)</f>
        <v>3.722731327714085E-2</v>
      </c>
      <c r="I232" s="26">
        <f>Ft!F$3*EXP(Ft!F$38*($A232-Ft!F$2)^2)</f>
        <v>5.0601427226195514E-121</v>
      </c>
      <c r="J232" s="26">
        <f>Ft!G$3*EXP(Ft!G$38*($A232-Ft!G$2)^2)</f>
        <v>0</v>
      </c>
    </row>
    <row r="233" spans="1:10">
      <c r="A233" s="19">
        <v>231</v>
      </c>
      <c r="B233" s="28">
        <v>37.328147688365732</v>
      </c>
      <c r="C233" s="27">
        <f ca="1">OFFSET($B233,1*(ROWS(C$2:C233)-1),0)</f>
        <v>32.658346541734232</v>
      </c>
      <c r="D233" s="26">
        <f>Ft!B$3*EXP(Ft!B$38*($A233-Ft!B$2)^2) +Ft!C$3*EXP(Ft!C$38*($A233-Ft!C$2)^2) + Ft!D$3*EXP(Ft!D$38*($A233-Ft!D$2)^2)+Ft!E$3*EXP(Ft!E$38*($A233-Ft!E$2)^2) +Ft!F$3*EXP(Ft!F$38*($A233-Ft!F$2)^2) + Ft!G$3*EXP(Ft!G$38*($A233-Ft!G$2)^2)</f>
        <v>12.190833872942102</v>
      </c>
      <c r="E233" s="26">
        <f>Ft!B$3*EXP(Ft!B$38*($A233-Ft!B$2)^2)</f>
        <v>5.5419315490235732E-19</v>
      </c>
      <c r="F233" s="26">
        <f>Ft!C$3*EXP(Ft!C$38*($A233-Ft!C$2)^2)</f>
        <v>5.0374116524869521</v>
      </c>
      <c r="G233" s="26">
        <f>Ft!D$3*EXP(Ft!D$38*($A233-Ft!D$2)^2)</f>
        <v>7.1154143382693817</v>
      </c>
      <c r="H233" s="26">
        <f>Ft!E$3*EXP(Ft!E$38*($A233-Ft!E$2)^2)</f>
        <v>3.8007882185767644E-2</v>
      </c>
      <c r="I233" s="26">
        <f>Ft!F$3*EXP(Ft!F$38*($A233-Ft!F$2)^2)</f>
        <v>1.0145222933767037E-120</v>
      </c>
      <c r="J233" s="26">
        <f>Ft!G$3*EXP(Ft!G$38*($A233-Ft!G$2)^2)</f>
        <v>0</v>
      </c>
    </row>
    <row r="234" spans="1:10">
      <c r="A234" s="19">
        <v>232</v>
      </c>
      <c r="B234" s="28">
        <v>37.600718472417498</v>
      </c>
      <c r="C234" s="27">
        <f ca="1">OFFSET($B234,1*(ROWS(C$2:C234)-1),0)</f>
        <v>32.156624336797051</v>
      </c>
      <c r="D234" s="26">
        <f>Ft!B$3*EXP(Ft!B$38*($A234-Ft!B$2)^2) +Ft!C$3*EXP(Ft!C$38*($A234-Ft!C$2)^2) + Ft!D$3*EXP(Ft!D$38*($A234-Ft!D$2)^2)+Ft!E$3*EXP(Ft!E$38*($A234-Ft!E$2)^2) +Ft!F$3*EXP(Ft!F$38*($A234-Ft!F$2)^2) + Ft!G$3*EXP(Ft!G$38*($A234-Ft!G$2)^2)</f>
        <v>12.183397385876624</v>
      </c>
      <c r="E234" s="26">
        <f>Ft!B$3*EXP(Ft!B$38*($A234-Ft!B$2)^2)</f>
        <v>3.473961226625579E-19</v>
      </c>
      <c r="F234" s="26">
        <f>Ft!C$3*EXP(Ft!C$38*($A234-Ft!C$2)^2)</f>
        <v>4.9663990268531579</v>
      </c>
      <c r="G234" s="26">
        <f>Ft!D$3*EXP(Ft!D$38*($A234-Ft!D$2)^2)</f>
        <v>7.178194916404733</v>
      </c>
      <c r="H234" s="26">
        <f>Ft!E$3*EXP(Ft!E$38*($A234-Ft!E$2)^2)</f>
        <v>3.8803442618732906E-2</v>
      </c>
      <c r="I234" s="26">
        <f>Ft!F$3*EXP(Ft!F$38*($A234-Ft!F$2)^2)</f>
        <v>2.0322784810422693E-120</v>
      </c>
      <c r="J234" s="26">
        <f>Ft!G$3*EXP(Ft!G$38*($A234-Ft!G$2)^2)</f>
        <v>0</v>
      </c>
    </row>
    <row r="235" spans="1:10">
      <c r="A235" s="19">
        <v>233</v>
      </c>
      <c r="B235" s="28">
        <v>37.885111905793536</v>
      </c>
      <c r="C235" s="27">
        <f ca="1">OFFSET($B235,1*(ROWS(C$2:C235)-1),0)</f>
        <v>31.690635397729523</v>
      </c>
      <c r="D235" s="26">
        <f>Ft!B$3*EXP(Ft!B$38*($A235-Ft!B$2)^2) +Ft!C$3*EXP(Ft!C$38*($A235-Ft!C$2)^2) + Ft!D$3*EXP(Ft!D$38*($A235-Ft!D$2)^2)+Ft!E$3*EXP(Ft!E$38*($A235-Ft!E$2)^2) +Ft!F$3*EXP(Ft!F$38*($A235-Ft!F$2)^2) + Ft!G$3*EXP(Ft!G$38*($A235-Ft!G$2)^2)</f>
        <v>12.176462147958071</v>
      </c>
      <c r="E235" s="26">
        <f>Ft!B$3*EXP(Ft!B$38*($A235-Ft!B$2)^2)</f>
        <v>2.172190703705607E-19</v>
      </c>
      <c r="F235" s="26">
        <f>Ft!C$3*EXP(Ft!C$38*($A235-Ft!C$2)^2)</f>
        <v>4.8956264802953582</v>
      </c>
      <c r="G235" s="26">
        <f>Ft!D$3*EXP(Ft!D$38*($A235-Ft!D$2)^2)</f>
        <v>7.2412214162684005</v>
      </c>
      <c r="H235" s="26">
        <f>Ft!E$3*EXP(Ft!E$38*($A235-Ft!E$2)^2)</f>
        <v>3.9614251394313647E-2</v>
      </c>
      <c r="I235" s="26">
        <f>Ft!F$3*EXP(Ft!F$38*($A235-Ft!F$2)^2)</f>
        <v>4.0675007148279324E-120</v>
      </c>
      <c r="J235" s="26">
        <f>Ft!G$3*EXP(Ft!G$38*($A235-Ft!G$2)^2)</f>
        <v>0</v>
      </c>
    </row>
    <row r="236" spans="1:10">
      <c r="A236" s="19">
        <v>234</v>
      </c>
      <c r="B236" s="28">
        <v>38.162255768047714</v>
      </c>
      <c r="C236" s="27">
        <f ca="1">OFFSET($B236,1*(ROWS(C$2:C236)-1),0)</f>
        <v>31.209981851266406</v>
      </c>
      <c r="D236" s="26">
        <f>Ft!B$3*EXP(Ft!B$38*($A236-Ft!B$2)^2) +Ft!C$3*EXP(Ft!C$38*($A236-Ft!C$2)^2) + Ft!D$3*EXP(Ft!D$38*($A236-Ft!D$2)^2)+Ft!E$3*EXP(Ft!E$38*($A236-Ft!E$2)^2) +Ft!F$3*EXP(Ft!F$38*($A236-Ft!F$2)^2) + Ft!G$3*EXP(Ft!G$38*($A236-Ft!G$2)^2)</f>
        <v>12.170043614861477</v>
      </c>
      <c r="E236" s="26">
        <f>Ft!B$3*EXP(Ft!B$38*($A236-Ft!B$2)^2)</f>
        <v>1.3548153505574461E-19</v>
      </c>
      <c r="F236" s="26">
        <f>Ft!C$3*EXP(Ft!C$38*($A236-Ft!C$2)^2)</f>
        <v>4.8251124336031976</v>
      </c>
      <c r="G236" s="26">
        <f>Ft!D$3*EXP(Ft!D$38*($A236-Ft!D$2)^2)</f>
        <v>7.3044906121946021</v>
      </c>
      <c r="H236" s="26">
        <f>Ft!E$3*EXP(Ft!E$38*($A236-Ft!E$2)^2)</f>
        <v>4.0440569063675942E-2</v>
      </c>
      <c r="I236" s="26">
        <f>Ft!F$3*EXP(Ft!F$38*($A236-Ft!F$2)^2)</f>
        <v>8.1338255325186418E-120</v>
      </c>
      <c r="J236" s="26">
        <f>Ft!G$3*EXP(Ft!G$38*($A236-Ft!G$2)^2)</f>
        <v>0</v>
      </c>
    </row>
    <row r="237" spans="1:10">
      <c r="A237" s="19">
        <v>235</v>
      </c>
      <c r="B237" s="28">
        <v>38.435688106450186</v>
      </c>
      <c r="C237" s="27">
        <f ca="1">OFFSET($B237,1*(ROWS(C$2:C237)-1),0)</f>
        <v>30.705751763205797</v>
      </c>
      <c r="D237" s="26">
        <f>Ft!B$3*EXP(Ft!B$38*($A237-Ft!B$2)^2) +Ft!C$3*EXP(Ft!C$38*($A237-Ft!C$2)^2) + Ft!D$3*EXP(Ft!D$38*($A237-Ft!D$2)^2)+Ft!E$3*EXP(Ft!E$38*($A237-Ft!E$2)^2) +Ft!F$3*EXP(Ft!F$38*($A237-Ft!F$2)^2) + Ft!G$3*EXP(Ft!G$38*($A237-Ft!G$2)^2)</f>
        <v>12.164156803117518</v>
      </c>
      <c r="E237" s="26">
        <f>Ft!B$3*EXP(Ft!B$38*($A237-Ft!B$2)^2)</f>
        <v>8.4289104705078331E-20</v>
      </c>
      <c r="F237" s="26">
        <f>Ft!C$3*EXP(Ft!C$38*($A237-Ft!C$2)^2)</f>
        <v>4.7548749240040733</v>
      </c>
      <c r="G237" s="26">
        <f>Ft!D$3*EXP(Ft!D$38*($A237-Ft!D$2)^2)</f>
        <v>7.3679992191618888</v>
      </c>
      <c r="H237" s="26">
        <f>Ft!E$3*EXP(Ft!E$38*($A237-Ft!E$2)^2)</f>
        <v>4.1282659951555431E-2</v>
      </c>
      <c r="I237" s="26">
        <f>Ft!F$3*EXP(Ft!F$38*($A237-Ft!F$2)^2)</f>
        <v>1.6251178590724651E-119</v>
      </c>
      <c r="J237" s="26">
        <f>Ft!G$3*EXP(Ft!G$38*($A237-Ft!G$2)^2)</f>
        <v>0</v>
      </c>
    </row>
    <row r="238" spans="1:10">
      <c r="A238" s="19">
        <v>236</v>
      </c>
      <c r="B238" s="28">
        <v>38.724273346300777</v>
      </c>
      <c r="C238" s="27">
        <f ca="1">OFFSET($B238,1*(ROWS(C$2:C238)-1),0)</f>
        <v>30.214520604384973</v>
      </c>
      <c r="D238" s="26">
        <f>Ft!B$3*EXP(Ft!B$38*($A238-Ft!B$2)^2) +Ft!C$3*EXP(Ft!C$38*($A238-Ft!C$2)^2) + Ft!D$3*EXP(Ft!D$38*($A238-Ft!D$2)^2)+Ft!E$3*EXP(Ft!E$38*($A238-Ft!E$2)^2) +Ft!F$3*EXP(Ft!F$38*($A238-Ft!F$2)^2) + Ft!G$3*EXP(Ft!G$38*($A238-Ft!G$2)^2)</f>
        <v>12.158816284588573</v>
      </c>
      <c r="E238" s="26">
        <f>Ft!B$3*EXP(Ft!B$38*($A238-Ft!B$2)^2)</f>
        <v>5.2308461569557065E-20</v>
      </c>
      <c r="F238" s="26">
        <f>Ft!C$3*EXP(Ft!C$38*($A238-Ft!C$2)^2)</f>
        <v>4.684931599555596</v>
      </c>
      <c r="G238" s="26">
        <f>Ft!D$3*EXP(Ft!D$38*($A238-Ft!D$2)^2)</f>
        <v>7.4317438928358639</v>
      </c>
      <c r="H238" s="26">
        <f>Ft!E$3*EXP(Ft!E$38*($A238-Ft!E$2)^2)</f>
        <v>4.214079219711258E-2</v>
      </c>
      <c r="I238" s="26">
        <f>Ft!F$3*EXP(Ft!F$38*($A238-Ft!F$2)^2)</f>
        <v>3.2441256644260001E-119</v>
      </c>
      <c r="J238" s="26">
        <f>Ft!G$3*EXP(Ft!G$38*($A238-Ft!G$2)^2)</f>
        <v>0</v>
      </c>
    </row>
    <row r="239" spans="1:10">
      <c r="A239" s="19">
        <v>237</v>
      </c>
      <c r="B239" s="28">
        <v>39.008443976413616</v>
      </c>
      <c r="C239" s="27">
        <f ca="1">OFFSET($B239,1*(ROWS(C$2:C239)-1),0)</f>
        <v>29.760220705111607</v>
      </c>
      <c r="D239" s="26">
        <f>Ft!B$3*EXP(Ft!B$38*($A239-Ft!B$2)^2) +Ft!C$3*EXP(Ft!C$38*($A239-Ft!C$2)^2) + Ft!D$3*EXP(Ft!D$38*($A239-Ft!D$2)^2)+Ft!E$3*EXP(Ft!E$38*($A239-Ft!E$2)^2) +Ft!F$3*EXP(Ft!F$38*($A239-Ft!F$2)^2) + Ft!G$3*EXP(Ft!G$38*($A239-Ft!G$2)^2)</f>
        <v>12.154036181339309</v>
      </c>
      <c r="E239" s="26">
        <f>Ft!B$3*EXP(Ft!B$38*($A239-Ft!B$2)^2)</f>
        <v>3.2380356645487576E-20</v>
      </c>
      <c r="F239" s="26">
        <f>Ft!C$3*EXP(Ft!C$38*($A239-Ft!C$2)^2)</f>
        <v>4.6152997139194252</v>
      </c>
      <c r="G239" s="26">
        <f>Ft!D$3*EXP(Ft!D$38*($A239-Ft!D$2)^2)</f>
        <v>7.4957212296249276</v>
      </c>
      <c r="H239" s="26">
        <f>Ft!E$3*EXP(Ft!E$38*($A239-Ft!E$2)^2)</f>
        <v>4.3015237794955495E-2</v>
      </c>
      <c r="I239" s="26">
        <f>Ft!F$3*EXP(Ft!F$38*($A239-Ft!F$2)^2)</f>
        <v>6.4704318878075865E-119</v>
      </c>
      <c r="J239" s="26">
        <f>Ft!G$3*EXP(Ft!G$38*($A239-Ft!G$2)^2)</f>
        <v>0</v>
      </c>
    </row>
    <row r="240" spans="1:10">
      <c r="A240" s="19">
        <v>238</v>
      </c>
      <c r="B240" s="28">
        <v>39.291900589379082</v>
      </c>
      <c r="C240" s="27">
        <f ca="1">OFFSET($B240,1*(ROWS(C$2:C240)-1),0)</f>
        <v>29.313176042282464</v>
      </c>
      <c r="D240" s="26">
        <f>Ft!B$3*EXP(Ft!B$38*($A240-Ft!B$2)^2) +Ft!C$3*EXP(Ft!C$38*($A240-Ft!C$2)^2) + Ft!D$3*EXP(Ft!D$38*($A240-Ft!D$2)^2)+Ft!E$3*EXP(Ft!E$38*($A240-Ft!E$2)^2) +Ft!F$3*EXP(Ft!F$38*($A240-Ft!F$2)^2) + Ft!G$3*EXP(Ft!G$38*($A240-Ft!G$2)^2)</f>
        <v>12.149830160901312</v>
      </c>
      <c r="E240" s="26">
        <f>Ft!B$3*EXP(Ft!B$38*($A240-Ft!B$2)^2)</f>
        <v>1.9994036594388766E-20</v>
      </c>
      <c r="F240" s="26">
        <f>Ft!C$3*EXP(Ft!C$38*($A240-Ft!C$2)^2)</f>
        <v>4.5459961215158113</v>
      </c>
      <c r="G240" s="26">
        <f>Ft!D$3*EXP(Ft!D$38*($A240-Ft!D$2)^2)</f>
        <v>7.5599277667491727</v>
      </c>
      <c r="H240" s="26">
        <f>Ft!E$3*EXP(Ft!E$38*($A240-Ft!E$2)^2)</f>
        <v>4.3906272636326654E-2</v>
      </c>
      <c r="I240" s="26">
        <f>Ft!F$3*EXP(Ft!F$38*($A240-Ft!F$2)^2)</f>
        <v>1.2894118778649124E-118</v>
      </c>
      <c r="J240" s="26">
        <f>Ft!G$3*EXP(Ft!G$38*($A240-Ft!G$2)^2)</f>
        <v>0</v>
      </c>
    </row>
    <row r="241" spans="1:10">
      <c r="A241" s="19">
        <v>239</v>
      </c>
      <c r="B241" s="28">
        <v>39.544485799248832</v>
      </c>
      <c r="C241" s="27">
        <f ca="1">OFFSET($B241,1*(ROWS(C$2:C241)-1),0)</f>
        <v>28.836474228874977</v>
      </c>
      <c r="D241" s="26">
        <f>Ft!B$3*EXP(Ft!B$38*($A241-Ft!B$2)^2) +Ft!C$3*EXP(Ft!C$38*($A241-Ft!C$2)^2) + Ft!D$3*EXP(Ft!D$38*($A241-Ft!D$2)^2)+Ft!E$3*EXP(Ft!E$38*($A241-Ft!E$2)^2) +Ft!F$3*EXP(Ft!F$38*($A241-Ft!F$2)^2) + Ft!G$3*EXP(Ft!G$38*($A241-Ft!G$2)^2)</f>
        <v>12.146211431930654</v>
      </c>
      <c r="E241" s="26">
        <f>Ft!B$3*EXP(Ft!B$38*($A241-Ft!B$2)^2)</f>
        <v>1.2314832569433531E-20</v>
      </c>
      <c r="F241" s="26">
        <f>Ft!C$3*EXP(Ft!C$38*($A241-Ft!C$2)^2)</f>
        <v>4.4770372730576966</v>
      </c>
      <c r="G241" s="26">
        <f>Ft!D$3*EXP(Ft!D$38*($A241-Ft!D$2)^2)</f>
        <v>7.6243599823225106</v>
      </c>
      <c r="H241" s="26">
        <f>Ft!E$3*EXP(Ft!E$38*($A241-Ft!E$2)^2)</f>
        <v>4.4814176550447261E-2</v>
      </c>
      <c r="I241" s="26">
        <f>Ft!F$3*EXP(Ft!F$38*($A241-Ft!F$2)^2)</f>
        <v>2.5672777605583852E-118</v>
      </c>
      <c r="J241" s="26">
        <f>Ft!G$3*EXP(Ft!G$38*($A241-Ft!G$2)^2)</f>
        <v>0</v>
      </c>
    </row>
    <row r="242" spans="1:10">
      <c r="A242" s="19">
        <v>240</v>
      </c>
      <c r="B242" s="28">
        <v>39.770823437660511</v>
      </c>
      <c r="C242" s="27">
        <f ca="1">OFFSET($B242,1*(ROWS(C$2:C242)-1),0)</f>
        <v>28.39318765417832</v>
      </c>
      <c r="D242" s="26">
        <f>Ft!B$3*EXP(Ft!B$38*($A242-Ft!B$2)^2) +Ft!C$3*EXP(Ft!C$38*($A242-Ft!C$2)^2) + Ft!D$3*EXP(Ft!D$38*($A242-Ft!D$2)^2)+Ft!E$3*EXP(Ft!E$38*($A242-Ft!E$2)^2) +Ft!F$3*EXP(Ft!F$38*($A242-Ft!F$2)^2) + Ft!G$3*EXP(Ft!G$38*($A242-Ft!G$2)^2)</f>
        <v>12.143192740257039</v>
      </c>
      <c r="E242" s="26">
        <f>Ft!B$3*EXP(Ft!B$38*($A242-Ft!B$2)^2)</f>
        <v>7.5659891607686468E-21</v>
      </c>
      <c r="F242" s="26">
        <f>Ft!C$3*EXP(Ft!C$38*($A242-Ft!C$2)^2)</f>
        <v>4.4084392114628859</v>
      </c>
      <c r="G242" s="26">
        <f>Ft!D$3*EXP(Ft!D$38*($A242-Ft!D$2)^2)</f>
        <v>7.6890142954481391</v>
      </c>
      <c r="H242" s="26">
        <f>Ft!E$3*EXP(Ft!E$38*($A242-Ft!E$2)^2)</f>
        <v>4.5739233346013715E-2</v>
      </c>
      <c r="I242" s="26">
        <f>Ft!F$3*EXP(Ft!F$38*($A242-Ft!F$2)^2)</f>
        <v>5.107129217859234E-118</v>
      </c>
      <c r="J242" s="26">
        <f>Ft!G$3*EXP(Ft!G$38*($A242-Ft!G$2)^2)</f>
        <v>0</v>
      </c>
    </row>
    <row r="243" spans="1:10">
      <c r="A243" s="19">
        <v>241</v>
      </c>
      <c r="B243" s="28">
        <v>39.977000574541137</v>
      </c>
      <c r="C243" s="27">
        <f ca="1">OFFSET($B243,1*(ROWS(C$2:C243)-1),0)</f>
        <v>27.909408362453973</v>
      </c>
      <c r="D243" s="26">
        <f>Ft!B$3*EXP(Ft!B$38*($A243-Ft!B$2)^2) +Ft!C$3*EXP(Ft!C$38*($A243-Ft!C$2)^2) + Ft!D$3*EXP(Ft!D$38*($A243-Ft!D$2)^2)+Ft!E$3*EXP(Ft!E$38*($A243-Ft!E$2)^2) +Ft!F$3*EXP(Ft!F$38*($A243-Ft!F$2)^2) + Ft!G$3*EXP(Ft!G$38*($A243-Ft!G$2)^2)</f>
        <v>12.14078636532262</v>
      </c>
      <c r="E243" s="26">
        <f>Ft!B$3*EXP(Ft!B$38*($A243-Ft!B$2)^2)</f>
        <v>4.6367330403101115E-21</v>
      </c>
      <c r="F243" s="26">
        <f>Ft!C$3*EXP(Ft!C$38*($A243-Ft!C$2)^2)</f>
        <v>4.3402175681423794</v>
      </c>
      <c r="G243" s="26">
        <f>Ft!D$3*EXP(Ft!D$38*($A243-Ft!D$2)^2)</f>
        <v>7.7538870663273993</v>
      </c>
      <c r="H243" s="26">
        <f>Ft!E$3*EXP(Ft!E$38*($A243-Ft!E$2)^2)</f>
        <v>4.6681730852840483E-2</v>
      </c>
      <c r="I243" s="26">
        <f>Ft!F$3*EXP(Ft!F$38*($A243-Ft!F$2)^2)</f>
        <v>1.0150878495198825E-117</v>
      </c>
      <c r="J243" s="26">
        <f>Ft!G$3*EXP(Ft!G$38*($A243-Ft!G$2)^2)</f>
        <v>0</v>
      </c>
    </row>
    <row r="244" spans="1:10">
      <c r="A244" s="19">
        <v>242</v>
      </c>
      <c r="B244" s="28">
        <v>40.168874241063747</v>
      </c>
      <c r="C244" s="27">
        <f ca="1">OFFSET($B244,1*(ROWS(C$2:C244)-1),0)</f>
        <v>27.441482310751269</v>
      </c>
      <c r="D244" s="26">
        <f>Ft!B$3*EXP(Ft!B$38*($A244-Ft!B$2)^2) +Ft!C$3*EXP(Ft!C$38*($A244-Ft!C$2)^2) + Ft!D$3*EXP(Ft!D$38*($A244-Ft!D$2)^2)+Ft!E$3*EXP(Ft!E$38*($A244-Ft!E$2)^2) +Ft!F$3*EXP(Ft!F$38*($A244-Ft!F$2)^2) + Ft!G$3*EXP(Ft!G$38*($A244-Ft!G$2)^2)</f>
        <v>12.139004117008421</v>
      </c>
      <c r="E244" s="26">
        <f>Ft!B$3*EXP(Ft!B$38*($A244-Ft!B$2)^2)</f>
        <v>2.8344424506472579E-21</v>
      </c>
      <c r="F244" s="26">
        <f>Ft!C$3*EXP(Ft!C$38*($A244-Ft!C$2)^2)</f>
        <v>4.2723875596626053</v>
      </c>
      <c r="G244" s="26">
        <f>Ft!D$3*EXP(Ft!D$38*($A244-Ft!D$2)^2)</f>
        <v>7.8189745963821711</v>
      </c>
      <c r="H244" s="26">
        <f>Ft!E$3*EXP(Ft!E$38*($A244-Ft!E$2)^2)</f>
        <v>4.764196096364369E-2</v>
      </c>
      <c r="I244" s="26">
        <f>Ft!F$3*EXP(Ft!F$38*($A244-Ft!F$2)^2)</f>
        <v>2.0158267681348055E-117</v>
      </c>
      <c r="J244" s="26">
        <f>Ft!G$3*EXP(Ft!G$38*($A244-Ft!G$2)^2)</f>
        <v>0</v>
      </c>
    </row>
    <row r="245" spans="1:10">
      <c r="A245" s="19">
        <v>243</v>
      </c>
      <c r="B245" s="28">
        <v>40.318019688919719</v>
      </c>
      <c r="C245" s="27">
        <f ca="1">OFFSET($B245,1*(ROWS(C$2:C245)-1),0)</f>
        <v>27.011308933925108</v>
      </c>
      <c r="D245" s="26">
        <f>Ft!B$3*EXP(Ft!B$38*($A245-Ft!B$2)^2) +Ft!C$3*EXP(Ft!C$38*($A245-Ft!C$2)^2) + Ft!D$3*EXP(Ft!D$38*($A245-Ft!D$2)^2)+Ft!E$3*EXP(Ft!E$38*($A245-Ft!E$2)^2) +Ft!F$3*EXP(Ft!F$38*($A245-Ft!F$2)^2) + Ft!G$3*EXP(Ft!G$38*($A245-Ft!G$2)^2)</f>
        <v>12.137857332845714</v>
      </c>
      <c r="E245" s="26">
        <f>Ft!B$3*EXP(Ft!B$38*($A245-Ft!B$2)^2)</f>
        <v>1.7283526880674865E-21</v>
      </c>
      <c r="F245" s="26">
        <f>Ft!C$3*EXP(Ft!C$38*($A245-Ft!C$2)^2)</f>
        <v>4.20496398477892</v>
      </c>
      <c r="G245" s="26">
        <f>Ft!D$3*EXP(Ft!D$38*($A245-Ft!D$2)^2)</f>
        <v>7.8842731283908343</v>
      </c>
      <c r="H245" s="26">
        <f>Ft!E$3*EXP(Ft!E$38*($A245-Ft!E$2)^2)</f>
        <v>4.8620219675958781E-2</v>
      </c>
      <c r="I245" s="26">
        <f>Ft!F$3*EXP(Ft!F$38*($A245-Ft!F$2)^2)</f>
        <v>3.9996830900630606E-117</v>
      </c>
      <c r="J245" s="26">
        <f>Ft!G$3*EXP(Ft!G$38*($A245-Ft!G$2)^2)</f>
        <v>0</v>
      </c>
    </row>
    <row r="246" spans="1:10">
      <c r="A246" s="19">
        <v>244</v>
      </c>
      <c r="B246" s="28">
        <v>40.446895427419491</v>
      </c>
      <c r="C246" s="27">
        <f ca="1">OFFSET($B246,1*(ROWS(C$2:C246)-1),0)</f>
        <v>26.559207367792681</v>
      </c>
      <c r="D246" s="26">
        <f>Ft!B$3*EXP(Ft!B$38*($A246-Ft!B$2)^2) +Ft!C$3*EXP(Ft!C$38*($A246-Ft!C$2)^2) + Ft!D$3*EXP(Ft!D$38*($A246-Ft!D$2)^2)+Ft!E$3*EXP(Ft!E$38*($A246-Ft!E$2)^2) +Ft!F$3*EXP(Ft!F$38*($A246-Ft!F$2)^2) + Ft!G$3*EXP(Ft!G$38*($A246-Ft!G$2)^2)</f>
        <v>12.137356875609436</v>
      </c>
      <c r="E246" s="26">
        <f>Ft!B$3*EXP(Ft!B$38*($A246-Ft!B$2)^2)</f>
        <v>1.0512506306961115E-21</v>
      </c>
      <c r="F246" s="26">
        <f>Ft!C$3*EXP(Ft!C$38*($A246-Ft!C$2)^2)</f>
        <v>4.1379612218373429</v>
      </c>
      <c r="G246" s="26">
        <f>Ft!D$3*EXP(Ft!D$38*($A246-Ft!D$2)^2)</f>
        <v>7.9497788466379058</v>
      </c>
      <c r="H246" s="26">
        <f>Ft!E$3*EXP(Ft!E$38*($A246-Ft!E$2)^2)</f>
        <v>4.9616807134187105E-2</v>
      </c>
      <c r="I246" s="26">
        <f>Ft!F$3*EXP(Ft!F$38*($A246-Ft!F$2)^2)</f>
        <v>7.9290426039214658E-117</v>
      </c>
      <c r="J246" s="26">
        <f>Ft!G$3*EXP(Ft!G$38*($A246-Ft!G$2)^2)</f>
        <v>0</v>
      </c>
    </row>
    <row r="247" spans="1:10">
      <c r="A247" s="19">
        <v>245</v>
      </c>
      <c r="B247" s="28">
        <v>40.573178001857372</v>
      </c>
      <c r="C247" s="27">
        <f ca="1">OFFSET($B247,1*(ROWS(C$2:C247)-1),0)</f>
        <v>26.137393392759435</v>
      </c>
      <c r="D247" s="26">
        <f>Ft!B$3*EXP(Ft!B$38*($A247-Ft!B$2)^2) +Ft!C$3*EXP(Ft!C$38*($A247-Ft!C$2)^2) + Ft!D$3*EXP(Ft!D$38*($A247-Ft!D$2)^2)+Ft!E$3*EXP(Ft!E$38*($A247-Ft!E$2)^2) +Ft!F$3*EXP(Ft!F$38*($A247-Ft!F$2)^2) + Ft!G$3*EXP(Ft!G$38*($A247-Ft!G$2)^2)</f>
        <v>12.137513131290408</v>
      </c>
      <c r="E247" s="26">
        <f>Ft!B$3*EXP(Ft!B$38*($A247-Ft!B$2)^2)</f>
        <v>6.3780709124425525E-22</v>
      </c>
      <c r="F247" s="26">
        <f>Ft!C$3*EXP(Ft!C$38*($A247-Ft!C$2)^2)</f>
        <v>4.0713932265412245</v>
      </c>
      <c r="G247" s="26">
        <f>Ft!D$3*EXP(Ft!D$38*($A247-Ft!D$2)^2)</f>
        <v>8.0154878770774207</v>
      </c>
      <c r="H247" s="26">
        <f>Ft!E$3*EXP(Ft!E$38*($A247-Ft!E$2)^2)</f>
        <v>5.0632027671763037E-2</v>
      </c>
      <c r="I247" s="26">
        <f>Ft!F$3*EXP(Ft!F$38*($A247-Ft!F$2)^2)</f>
        <v>1.5705028047424894E-116</v>
      </c>
      <c r="J247" s="26">
        <f>Ft!G$3*EXP(Ft!G$38*($A247-Ft!G$2)^2)</f>
        <v>0</v>
      </c>
    </row>
    <row r="248" spans="1:10">
      <c r="A248" s="19">
        <v>246</v>
      </c>
      <c r="B248" s="28">
        <v>40.674191523788522</v>
      </c>
      <c r="C248" s="27">
        <f ca="1">OFFSET($B248,1*(ROWS(C$2:C248)-1),0)</f>
        <v>25.718337759072369</v>
      </c>
      <c r="D248" s="26">
        <f>Ft!B$3*EXP(Ft!B$38*($A248-Ft!B$2)^2) +Ft!C$3*EXP(Ft!C$38*($A248-Ft!C$2)^2) + Ft!D$3*EXP(Ft!D$38*($A248-Ft!D$2)^2)+Ft!E$3*EXP(Ft!E$38*($A248-Ft!E$2)^2) +Ft!F$3*EXP(Ft!F$38*($A248-Ft!F$2)^2) + Ft!G$3*EXP(Ft!G$38*($A248-Ft!G$2)^2)</f>
        <v>12.138336007442673</v>
      </c>
      <c r="E248" s="26">
        <f>Ft!B$3*EXP(Ft!B$38*($A248-Ft!B$2)^2)</f>
        <v>3.859949224597737E-22</v>
      </c>
      <c r="F248" s="26">
        <f>Ft!C$3*EXP(Ft!C$38*($A248-Ft!C$2)^2)</f>
        <v>4.0052735300791067</v>
      </c>
      <c r="G248" s="26">
        <f>Ft!D$3*EXP(Ft!D$38*($A248-Ft!D$2)^2)</f>
        <v>8.0813962875101275</v>
      </c>
      <c r="H248" s="26">
        <f>Ft!E$3*EXP(Ft!E$38*($A248-Ft!E$2)^2)</f>
        <v>5.1666189853437967E-2</v>
      </c>
      <c r="I248" s="26">
        <f>Ft!F$3*EXP(Ft!F$38*($A248-Ft!F$2)^2)</f>
        <v>3.1079890265416393E-116</v>
      </c>
      <c r="J248" s="26">
        <f>Ft!G$3*EXP(Ft!G$38*($A248-Ft!G$2)^2)</f>
        <v>0</v>
      </c>
    </row>
    <row r="249" spans="1:10">
      <c r="A249" s="19">
        <v>247</v>
      </c>
      <c r="B249" s="28">
        <v>40.749499380212313</v>
      </c>
      <c r="C249" s="27">
        <f ca="1">OFFSET($B249,1*(ROWS(C$2:C249)-1),0)</f>
        <v>25.256592003740337</v>
      </c>
      <c r="D249" s="26">
        <f>Ft!B$3*EXP(Ft!B$38*($A249-Ft!B$2)^2) +Ft!C$3*EXP(Ft!C$38*($A249-Ft!C$2)^2) + Ft!D$3*EXP(Ft!D$38*($A249-Ft!D$2)^2)+Ft!E$3*EXP(Ft!E$38*($A249-Ft!E$2)^2) +Ft!F$3*EXP(Ft!F$38*($A249-Ft!F$2)^2) + Ft!G$3*EXP(Ft!G$38*($A249-Ft!G$2)^2)</f>
        <v>12.139834931902035</v>
      </c>
      <c r="E249" s="26">
        <f>Ft!B$3*EXP(Ft!B$38*($A249-Ft!B$2)^2)</f>
        <v>2.3301453607682852E-22</v>
      </c>
      <c r="F249" s="26">
        <f>Ft!C$3*EXP(Ft!C$38*($A249-Ft!C$2)^2)</f>
        <v>3.9396152376097886</v>
      </c>
      <c r="G249" s="26">
        <f>Ft!D$3*EXP(Ft!D$38*($A249-Ft!D$2)^2)</f>
        <v>8.147500087774576</v>
      </c>
      <c r="H249" s="26">
        <f>Ft!E$3*EXP(Ft!E$38*($A249-Ft!E$2)^2)</f>
        <v>5.2719606517671276E-2</v>
      </c>
      <c r="I249" s="26">
        <f>Ft!F$3*EXP(Ft!F$38*($A249-Ft!F$2)^2)</f>
        <v>6.145299202036568E-116</v>
      </c>
      <c r="J249" s="26">
        <f>Ft!G$3*EXP(Ft!G$38*($A249-Ft!G$2)^2)</f>
        <v>0</v>
      </c>
    </row>
    <row r="250" spans="1:10">
      <c r="A250" s="19">
        <v>248</v>
      </c>
      <c r="B250" s="28">
        <v>40.823291326657966</v>
      </c>
      <c r="C250" s="27">
        <f ca="1">OFFSET($B250,1*(ROWS(C$2:C250)-1),0)</f>
        <v>24.847955631176518</v>
      </c>
      <c r="D250" s="26">
        <f>Ft!B$3*EXP(Ft!B$38*($A250-Ft!B$2)^2) +Ft!C$3*EXP(Ft!C$38*($A250-Ft!C$2)^2) + Ft!D$3*EXP(Ft!D$38*($A250-Ft!D$2)^2)+Ft!E$3*EXP(Ft!E$38*($A250-Ft!E$2)^2) +Ft!F$3*EXP(Ft!F$38*($A250-Ft!F$2)^2) + Ft!G$3*EXP(Ft!G$38*($A250-Ft!G$2)^2)</f>
        <v>12.142018851871493</v>
      </c>
      <c r="E250" s="26">
        <f>Ft!B$3*EXP(Ft!B$38*($A250-Ft!B$2)^2)</f>
        <v>1.4031161100041873E-22</v>
      </c>
      <c r="F250" s="26">
        <f>Ft!C$3*EXP(Ft!C$38*($A250-Ft!C$2)^2)</f>
        <v>3.874431027100226</v>
      </c>
      <c r="G250" s="26">
        <f>Ft!D$3*EXP(Ft!D$38*($A250-Ft!D$2)^2)</f>
        <v>8.2137952299521437</v>
      </c>
      <c r="H250" s="26">
        <f>Ft!E$3*EXP(Ft!E$38*($A250-Ft!E$2)^2)</f>
        <v>5.3792594819124212E-2</v>
      </c>
      <c r="I250" s="26">
        <f>Ft!F$3*EXP(Ft!F$38*($A250-Ft!F$2)^2)</f>
        <v>1.2140299028473182E-115</v>
      </c>
      <c r="J250" s="26">
        <f>Ft!G$3*EXP(Ft!G$38*($A250-Ft!G$2)^2)</f>
        <v>0</v>
      </c>
    </row>
    <row r="251" spans="1:10">
      <c r="A251" s="19">
        <v>249</v>
      </c>
      <c r="B251" s="28">
        <v>40.894697580466612</v>
      </c>
      <c r="C251" s="27">
        <f ca="1">OFFSET($B251,1*(ROWS(C$2:C251)-1),0)</f>
        <v>24.44826161878197</v>
      </c>
      <c r="D251" s="26">
        <f>Ft!B$3*EXP(Ft!B$38*($A251-Ft!B$2)^2) +Ft!C$3*EXP(Ft!C$38*($A251-Ft!C$2)^2) + Ft!D$3*EXP(Ft!D$38*($A251-Ft!D$2)^2)+Ft!E$3*EXP(Ft!E$38*($A251-Ft!E$2)^2) +Ft!F$3*EXP(Ft!F$38*($A251-Ft!F$2)^2) + Ft!G$3*EXP(Ft!G$38*($A251-Ft!G$2)^2)</f>
        <v>12.144896233368977</v>
      </c>
      <c r="E251" s="26">
        <f>Ft!B$3*EXP(Ft!B$38*($A251-Ft!B$2)^2)</f>
        <v>8.4277837211839306E-23</v>
      </c>
      <c r="F251" s="26">
        <f>Ft!C$3*EXP(Ft!C$38*($A251-Ft!C$2)^2)</f>
        <v>3.8097331485116337</v>
      </c>
      <c r="G251" s="26">
        <f>Ft!D$3*EXP(Ft!D$38*($A251-Ft!D$2)^2)</f>
        <v>8.280277608586097</v>
      </c>
      <c r="H251" s="26">
        <f>Ft!E$3*EXP(Ft!E$38*($A251-Ft!E$2)^2)</f>
        <v>5.4885476271247305E-2</v>
      </c>
      <c r="I251" s="26">
        <f>Ft!F$3*EXP(Ft!F$38*($A251-Ft!F$2)^2)</f>
        <v>2.3962853400112607E-115</v>
      </c>
      <c r="J251" s="26">
        <f>Ft!G$3*EXP(Ft!G$38*($A251-Ft!G$2)^2)</f>
        <v>0</v>
      </c>
    </row>
    <row r="252" spans="1:10">
      <c r="A252" s="19">
        <v>250</v>
      </c>
      <c r="B252" s="28">
        <v>40.951537460333725</v>
      </c>
      <c r="C252" s="27">
        <f ca="1">OFFSET($B252,1*(ROWS(C$2:C252)-1),0)</f>
        <v>24.055348679655111</v>
      </c>
      <c r="D252" s="26">
        <f>Ft!B$3*EXP(Ft!B$38*($A252-Ft!B$2)^2) +Ft!C$3*EXP(Ft!C$38*($A252-Ft!C$2)^2) + Ft!D$3*EXP(Ft!D$38*($A252-Ft!D$2)^2)+Ft!E$3*EXP(Ft!E$38*($A252-Ft!E$2)^2) +Ft!F$3*EXP(Ft!F$38*($A252-Ft!F$2)^2) + Ft!G$3*EXP(Ft!G$38*($A252-Ft!G$2)^2)</f>
        <v>12.14847506103248</v>
      </c>
      <c r="E252" s="26">
        <f>Ft!B$3*EXP(Ft!B$38*($A252-Ft!B$2)^2)</f>
        <v>5.0494296637634311E-23</v>
      </c>
      <c r="F252" s="26">
        <f>Ft!C$3*EXP(Ft!C$38*($A252-Ft!C$2)^2)</f>
        <v>3.7455334233288125</v>
      </c>
      <c r="G252" s="26">
        <f>Ft!D$3*EXP(Ft!D$38*($A252-Ft!D$2)^2)</f>
        <v>8.3469430609147111</v>
      </c>
      <c r="H252" s="26">
        <f>Ft!E$3*EXP(Ft!E$38*($A252-Ft!E$2)^2)</f>
        <v>5.5998576788956145E-2</v>
      </c>
      <c r="I252" s="26">
        <f>Ft!F$3*EXP(Ft!F$38*($A252-Ft!F$2)^2)</f>
        <v>4.7257470633933757E-115</v>
      </c>
      <c r="J252" s="26">
        <f>Ft!G$3*EXP(Ft!G$38*($A252-Ft!G$2)^2)</f>
        <v>0</v>
      </c>
    </row>
    <row r="253" spans="1:10">
      <c r="A253" s="19">
        <v>251</v>
      </c>
      <c r="B253" s="28">
        <v>41.004068250215226</v>
      </c>
      <c r="C253" s="27">
        <f ca="1">OFFSET($B253,1*(ROWS(C$2:C253)-1),0)</f>
        <v>23.67706939693764</v>
      </c>
      <c r="D253" s="26">
        <f>Ft!B$3*EXP(Ft!B$38*($A253-Ft!B$2)^2) +Ft!C$3*EXP(Ft!C$38*($A253-Ft!C$2)^2) + Ft!D$3*EXP(Ft!D$38*($A253-Ft!D$2)^2)+Ft!E$3*EXP(Ft!E$38*($A253-Ft!E$2)^2) +Ft!F$3*EXP(Ft!F$38*($A253-Ft!F$2)^2) + Ft!G$3*EXP(Ft!G$38*($A253-Ft!G$2)^2)</f>
        <v>12.152762838277377</v>
      </c>
      <c r="E253" s="26">
        <f>Ft!B$3*EXP(Ft!B$38*($A253-Ft!B$2)^2)</f>
        <v>3.0177304588277553E-23</v>
      </c>
      <c r="F253" s="26">
        <f>Ft!C$3*EXP(Ft!C$38*($A253-Ft!C$2)^2)</f>
        <v>3.6818432444274767</v>
      </c>
      <c r="G253" s="26">
        <f>Ft!D$3*EXP(Ft!D$38*($A253-Ft!D$2)^2)</f>
        <v>8.4137873671185144</v>
      </c>
      <c r="H253" s="26">
        <f>Ft!E$3*EXP(Ft!E$38*($A253-Ft!E$2)^2)</f>
        <v>5.7132226731386231E-2</v>
      </c>
      <c r="I253" s="26">
        <f>Ft!F$3*EXP(Ft!F$38*($A253-Ft!F$2)^2)</f>
        <v>9.3116192807966898E-115</v>
      </c>
      <c r="J253" s="26">
        <f>Ft!G$3*EXP(Ft!G$38*($A253-Ft!G$2)^2)</f>
        <v>0</v>
      </c>
    </row>
    <row r="254" spans="1:10">
      <c r="A254" s="19">
        <v>252</v>
      </c>
      <c r="B254" s="28">
        <v>41.067580417233387</v>
      </c>
      <c r="C254" s="27">
        <f ca="1">OFFSET($B254,1*(ROWS(C$2:C254)-1),0)</f>
        <v>23.314125247529432</v>
      </c>
      <c r="D254" s="26">
        <f>Ft!B$3*EXP(Ft!B$38*($A254-Ft!B$2)^2) +Ft!C$3*EXP(Ft!C$38*($A254-Ft!C$2)^2) + Ft!D$3*EXP(Ft!D$38*($A254-Ft!D$2)^2)+Ft!E$3*EXP(Ft!E$38*($A254-Ft!E$2)^2) +Ft!F$3*EXP(Ft!F$38*($A254-Ft!F$2)^2) + Ft!G$3*EXP(Ft!G$38*($A254-Ft!G$2)^2)</f>
        <v>12.157766587800499</v>
      </c>
      <c r="E254" s="26">
        <f>Ft!B$3*EXP(Ft!B$38*($A254-Ft!B$2)^2)</f>
        <v>1.7989858186912241E-23</v>
      </c>
      <c r="F254" s="26">
        <f>Ft!C$3*EXP(Ft!C$38*($A254-Ft!C$2)^2)</f>
        <v>3.618673576274051</v>
      </c>
      <c r="G254" s="26">
        <f>Ft!D$3*EXP(Ft!D$38*($A254-Ft!D$2)^2)</f>
        <v>8.4808062505817272</v>
      </c>
      <c r="H254" s="26">
        <f>Ft!E$3*EXP(Ft!E$38*($A254-Ft!E$2)^2)</f>
        <v>5.8286760944721176E-2</v>
      </c>
      <c r="I254" s="26">
        <f>Ft!F$3*EXP(Ft!F$38*($A254-Ft!F$2)^2)</f>
        <v>1.8331700117336872E-114</v>
      </c>
      <c r="J254" s="26">
        <f>Ft!G$3*EXP(Ft!G$38*($A254-Ft!G$2)^2)</f>
        <v>0</v>
      </c>
    </row>
    <row r="255" spans="1:10">
      <c r="A255" s="19">
        <v>253</v>
      </c>
      <c r="B255" s="28">
        <v>41.133574986018857</v>
      </c>
      <c r="C255" s="27">
        <f ca="1">OFFSET($B255,1*(ROWS(C$2:C255)-1),0)</f>
        <v>22.938932097123057</v>
      </c>
      <c r="D255" s="26">
        <f>Ft!B$3*EXP(Ft!B$38*($A255-Ft!B$2)^2) +Ft!C$3*EXP(Ft!C$38*($A255-Ft!C$2)^2) + Ft!D$3*EXP(Ft!D$38*($A255-Ft!D$2)^2)+Ft!E$3*EXP(Ft!E$38*($A255-Ft!E$2)^2) +Ft!F$3*EXP(Ft!F$38*($A255-Ft!F$2)^2) + Ft!G$3*EXP(Ft!G$38*($A255-Ft!G$2)^2)</f>
        <v>12.163492852425151</v>
      </c>
      <c r="E255" s="26">
        <f>Ft!B$3*EXP(Ft!B$38*($A255-Ft!B$2)^2)</f>
        <v>1.0697547105307821E-23</v>
      </c>
      <c r="F255" s="26">
        <f>Ft!C$3*EXP(Ft!C$38*($A255-Ft!C$2)^2)</f>
        <v>3.5560349554521515</v>
      </c>
      <c r="G255" s="26">
        <f>Ft!D$3*EXP(Ft!D$38*($A255-Ft!D$2)^2)</f>
        <v>8.547995378167915</v>
      </c>
      <c r="H255" s="26">
        <f>Ft!E$3*EXP(Ft!E$38*($A255-Ft!E$2)^2)</f>
        <v>5.9462518805084512E-2</v>
      </c>
      <c r="I255" s="26">
        <f>Ft!F$3*EXP(Ft!F$38*($A255-Ft!F$2)^2)</f>
        <v>3.6058119430306747E-114</v>
      </c>
      <c r="J255" s="26">
        <f>Ft!G$3*EXP(Ft!G$38*($A255-Ft!G$2)^2)</f>
        <v>0</v>
      </c>
    </row>
    <row r="256" spans="1:10">
      <c r="A256" s="19">
        <v>254</v>
      </c>
      <c r="B256" s="28">
        <v>41.200496818677607</v>
      </c>
      <c r="C256" s="27">
        <f ca="1">OFFSET($B256,1*(ROWS(C$2:C256)-1),0)</f>
        <v>22.534910423374157</v>
      </c>
      <c r="D256" s="26">
        <f>Ft!B$3*EXP(Ft!B$38*($A256-Ft!B$2)^2) +Ft!C$3*EXP(Ft!C$38*($A256-Ft!C$2)^2) + Ft!D$3*EXP(Ft!D$38*($A256-Ft!D$2)^2)+Ft!E$3*EXP(Ft!E$38*($A256-Ft!E$2)^2) +Ft!F$3*EXP(Ft!F$38*($A256-Ft!F$2)^2) + Ft!G$3*EXP(Ft!G$38*($A256-Ft!G$2)^2)</f>
        <v>12.16994769628111</v>
      </c>
      <c r="E256" s="26">
        <f>Ft!B$3*EXP(Ft!B$38*($A256-Ft!B$2)^2)</f>
        <v>6.3452662413595582E-24</v>
      </c>
      <c r="F256" s="26">
        <f>Ft!C$3*EXP(Ft!C$38*($A256-Ft!C$2)^2)</f>
        <v>3.4939374915097101</v>
      </c>
      <c r="G256" s="26">
        <f>Ft!D$3*EXP(Ft!D$38*($A256-Ft!D$2)^2)</f>
        <v>8.6153503605099093</v>
      </c>
      <c r="H256" s="26">
        <f>Ft!E$3*EXP(Ft!E$38*($A256-Ft!E$2)^2)</f>
        <v>6.0659844261489501E-2</v>
      </c>
      <c r="I256" s="26">
        <f>Ft!F$3*EXP(Ft!F$38*($A256-Ft!F$2)^2)</f>
        <v>7.0864087146971732E-114</v>
      </c>
      <c r="J256" s="26">
        <f>Ft!G$3*EXP(Ft!G$38*($A256-Ft!G$2)^2)</f>
        <v>0</v>
      </c>
    </row>
    <row r="257" spans="1:10">
      <c r="A257" s="19">
        <v>255</v>
      </c>
      <c r="B257" s="28">
        <v>41.269574845021225</v>
      </c>
      <c r="C257" s="27">
        <f ca="1">OFFSET($B257,1*(ROWS(C$2:C257)-1),0)</f>
        <v>22.153934795339836</v>
      </c>
      <c r="D257" s="26">
        <f>Ft!B$3*EXP(Ft!B$38*($A257-Ft!B$2)^2) +Ft!C$3*EXP(Ft!C$38*($A257-Ft!C$2)^2) + Ft!D$3*EXP(Ft!D$38*($A257-Ft!D$2)^2)+Ft!E$3*EXP(Ft!E$38*($A257-Ft!E$2)^2) +Ft!F$3*EXP(Ft!F$38*($A257-Ft!F$2)^2) + Ft!G$3*EXP(Ft!G$38*($A257-Ft!G$2)^2)</f>
        <v>12.177136706313341</v>
      </c>
      <c r="E257" s="26">
        <f>Ft!B$3*EXP(Ft!B$38*($A257-Ft!B$2)^2)</f>
        <v>3.7542627595418411E-24</v>
      </c>
      <c r="F257" s="26">
        <f>Ft!C$3*EXP(Ft!C$38*($A257-Ft!C$2)^2)</f>
        <v>3.4323908681204585</v>
      </c>
      <c r="G257" s="26">
        <f>Ft!D$3*EXP(Ft!D$38*($A257-Ft!D$2)^2)</f>
        <v>8.6828667523140464</v>
      </c>
      <c r="H257" s="26">
        <f>Ft!E$3*EXP(Ft!E$38*($A257-Ft!E$2)^2)</f>
        <v>6.1879085878836601E-2</v>
      </c>
      <c r="I257" s="26">
        <f>Ft!F$3*EXP(Ft!F$38*($A257-Ft!F$2)^2)</f>
        <v>1.391464454765479E-113</v>
      </c>
      <c r="J257" s="26">
        <f>Ft!G$3*EXP(Ft!G$38*($A257-Ft!G$2)^2)</f>
        <v>0</v>
      </c>
    </row>
    <row r="258" spans="1:10">
      <c r="A258" s="19">
        <v>256</v>
      </c>
      <c r="B258" s="28">
        <v>41.34079029367183</v>
      </c>
      <c r="C258" s="27">
        <f ca="1">OFFSET($B258,1*(ROWS(C$2:C258)-1),0)</f>
        <v>21.781066004622971</v>
      </c>
      <c r="D258" s="26">
        <f>Ft!B$3*EXP(Ft!B$38*($A258-Ft!B$2)^2) +Ft!C$3*EXP(Ft!C$38*($A258-Ft!C$2)^2) + Ft!D$3*EXP(Ft!D$38*($A258-Ft!D$2)^2)+Ft!E$3*EXP(Ft!E$38*($A258-Ft!E$2)^2) +Ft!F$3*EXP(Ft!F$38*($A258-Ft!F$2)^2) + Ft!G$3*EXP(Ft!G$38*($A258-Ft!G$2)^2)</f>
        <v>12.185064994112953</v>
      </c>
      <c r="E258" s="26">
        <f>Ft!B$3*EXP(Ft!B$38*($A258-Ft!B$2)^2)</f>
        <v>2.2156882557839005E-24</v>
      </c>
      <c r="F258" s="26">
        <f>Ft!C$3*EXP(Ft!C$38*($A258-Ft!C$2)^2)</f>
        <v>3.371404344553258</v>
      </c>
      <c r="G258" s="26">
        <f>Ft!D$3*EXP(Ft!D$38*($A258-Ft!D$2)^2)</f>
        <v>8.7505400526787405</v>
      </c>
      <c r="H258" s="26">
        <f>Ft!E$3*EXP(Ft!E$38*($A258-Ft!E$2)^2)</f>
        <v>6.3120596880952382E-2</v>
      </c>
      <c r="I258" s="26">
        <f>Ft!F$3*EXP(Ft!F$38*($A258-Ft!F$2)^2)</f>
        <v>2.7298628715301852E-113</v>
      </c>
      <c r="J258" s="26">
        <f>Ft!G$3*EXP(Ft!G$38*($A258-Ft!G$2)^2)</f>
        <v>0</v>
      </c>
    </row>
    <row r="259" spans="1:10">
      <c r="A259" s="19">
        <v>257</v>
      </c>
      <c r="B259" s="28">
        <v>41.425150136803694</v>
      </c>
      <c r="C259" s="27">
        <f ca="1">OFFSET($B259,1*(ROWS(C$2:C259)-1),0)</f>
        <v>21.404072852153035</v>
      </c>
      <c r="D259" s="26">
        <f>Ft!B$3*EXP(Ft!B$38*($A259-Ft!B$2)^2) +Ft!C$3*EXP(Ft!C$38*($A259-Ft!C$2)^2) + Ft!D$3*EXP(Ft!D$38*($A259-Ft!D$2)^2)+Ft!E$3*EXP(Ft!E$38*($A259-Ft!E$2)^2) +Ft!F$3*EXP(Ft!F$38*($A259-Ft!F$2)^2) + Ft!G$3*EXP(Ft!G$38*($A259-Ft!G$2)^2)</f>
        <v>12.193737198063637</v>
      </c>
      <c r="E259" s="26">
        <f>Ft!B$3*EXP(Ft!B$38*($A259-Ft!B$2)^2)</f>
        <v>1.3043730591272044E-24</v>
      </c>
      <c r="F259" s="26">
        <f>Ft!C$3*EXP(Ft!C$38*($A259-Ft!C$2)^2)</f>
        <v>3.3109867574425387</v>
      </c>
      <c r="G259" s="26">
        <f>Ft!D$3*EXP(Ft!D$38*($A259-Ft!D$2)^2)</f>
        <v>8.8183657054274391</v>
      </c>
      <c r="H259" s="26">
        <f>Ft!E$3*EXP(Ft!E$38*($A259-Ft!E$2)^2)</f>
        <v>6.4384735193659309E-2</v>
      </c>
      <c r="I259" s="26">
        <f>Ft!F$3*EXP(Ft!F$38*($A259-Ft!F$2)^2)</f>
        <v>5.3509678592243643E-113</v>
      </c>
      <c r="J259" s="26">
        <f>Ft!G$3*EXP(Ft!G$38*($A259-Ft!G$2)^2)</f>
        <v>0</v>
      </c>
    </row>
    <row r="260" spans="1:10">
      <c r="A260" s="19">
        <v>258</v>
      </c>
      <c r="B260" s="28">
        <v>41.525005033410423</v>
      </c>
      <c r="C260" s="27">
        <f ca="1">OFFSET($B260,1*(ROWS(C$2:C260)-1),0)</f>
        <v>21.013562463341771</v>
      </c>
      <c r="D260" s="26">
        <f>Ft!B$3*EXP(Ft!B$38*($A260-Ft!B$2)^2) +Ft!C$3*EXP(Ft!C$38*($A260-Ft!C$2)^2) + Ft!D$3*EXP(Ft!D$38*($A260-Ft!D$2)^2)+Ft!E$3*EXP(Ft!E$38*($A260-Ft!E$2)^2) +Ft!F$3*EXP(Ft!F$38*($A260-Ft!F$2)^2) + Ft!G$3*EXP(Ft!G$38*($A260-Ft!G$2)^2)</f>
        <v>12.203157485796764</v>
      </c>
      <c r="E260" s="26">
        <f>Ft!B$3*EXP(Ft!B$38*($A260-Ft!B$2)^2)</f>
        <v>7.6595659320791982E-25</v>
      </c>
      <c r="F260" s="26">
        <f>Ft!C$3*EXP(Ft!C$38*($A260-Ft!C$2)^2)</f>
        <v>3.2511465228529146</v>
      </c>
      <c r="G260" s="26">
        <f>Ft!D$3*EXP(Ft!D$38*($A260-Ft!D$2)^2)</f>
        <v>8.886339099455979</v>
      </c>
      <c r="H260" s="26">
        <f>Ft!E$3*EXP(Ft!E$38*($A260-Ft!E$2)^2)</f>
        <v>6.5671863487870422E-2</v>
      </c>
      <c r="I260" s="26">
        <f>Ft!F$3*EXP(Ft!F$38*($A260-Ft!F$2)^2)</f>
        <v>1.0479646866382958E-112</v>
      </c>
      <c r="J260" s="26">
        <f>Ft!G$3*EXP(Ft!G$38*($A260-Ft!G$2)^2)</f>
        <v>0</v>
      </c>
    </row>
    <row r="261" spans="1:10">
      <c r="A261" s="19">
        <v>259</v>
      </c>
      <c r="B261" s="28">
        <v>41.691572781039099</v>
      </c>
      <c r="C261" s="27">
        <f ca="1">OFFSET($B261,1*(ROWS(C$2:C261)-1),0)</f>
        <v>20.641151346705755</v>
      </c>
      <c r="D261" s="26">
        <f>Ft!B$3*EXP(Ft!B$38*($A261-Ft!B$2)^2) +Ft!C$3*EXP(Ft!C$38*($A261-Ft!C$2)^2) + Ft!D$3*EXP(Ft!D$38*($A261-Ft!D$2)^2)+Ft!E$3*EXP(Ft!E$38*($A261-Ft!E$2)^2) +Ft!F$3*EXP(Ft!F$38*($A261-Ft!F$2)^2) + Ft!G$3*EXP(Ft!G$38*($A261-Ft!G$2)^2)</f>
        <v>12.213329556947889</v>
      </c>
      <c r="E261" s="26">
        <f>Ft!B$3*EXP(Ft!B$38*($A261-Ft!B$2)^2)</f>
        <v>4.4865826410418298E-25</v>
      </c>
      <c r="F261" s="26">
        <f>Ft!C$3*EXP(Ft!C$38*($A261-Ft!C$2)^2)</f>
        <v>3.1918916386308274</v>
      </c>
      <c r="G261" s="26">
        <f>Ft!D$3*EXP(Ft!D$38*($A261-Ft!D$2)^2)</f>
        <v>8.9544555690943639</v>
      </c>
      <c r="H261" s="26">
        <f>Ft!E$3*EXP(Ft!E$38*($A261-Ft!E$2)^2)</f>
        <v>6.6982349222697052E-2</v>
      </c>
      <c r="I261" s="26">
        <f>Ft!F$3*EXP(Ft!F$38*($A261-Ft!F$2)^2)</f>
        <v>2.0506132062143198E-112</v>
      </c>
      <c r="J261" s="26">
        <f>Ft!G$3*EXP(Ft!G$38*($A261-Ft!G$2)^2)</f>
        <v>0</v>
      </c>
    </row>
    <row r="262" spans="1:10">
      <c r="A262" s="19">
        <v>260</v>
      </c>
      <c r="B262" s="28">
        <v>41.886978421684432</v>
      </c>
      <c r="C262" s="27">
        <f ca="1">OFFSET($B262,1*(ROWS(C$2:C262)-1),0)</f>
        <v>20.279577940908041</v>
      </c>
      <c r="D262" s="26">
        <f>Ft!B$3*EXP(Ft!B$38*($A262-Ft!B$2)^2) +Ft!C$3*EXP(Ft!C$38*($A262-Ft!C$2)^2) + Ft!D$3*EXP(Ft!D$38*($A262-Ft!D$2)^2)+Ft!E$3*EXP(Ft!E$38*($A262-Ft!E$2)^2) +Ft!F$3*EXP(Ft!F$38*($A262-Ft!F$2)^2) + Ft!G$3*EXP(Ft!G$38*($A262-Ft!G$2)^2)</f>
        <v>12.224256646207481</v>
      </c>
      <c r="E262" s="26">
        <f>Ft!B$3*EXP(Ft!B$38*($A262-Ft!B$2)^2)</f>
        <v>2.6214184921662131E-25</v>
      </c>
      <c r="F262" s="26">
        <f>Ft!C$3*EXP(Ft!C$38*($A262-Ft!C$2)^2)</f>
        <v>3.1332296870359193</v>
      </c>
      <c r="G262" s="26">
        <f>Ft!D$3*EXP(Ft!D$38*($A262-Ft!D$2)^2)</f>
        <v>9.0227103944829974</v>
      </c>
      <c r="H262" s="26">
        <f>Ft!E$3*EXP(Ft!E$38*($A262-Ft!E$2)^2)</f>
        <v>6.8316564688563897E-2</v>
      </c>
      <c r="I262" s="26">
        <f>Ft!F$3*EXP(Ft!F$38*($A262-Ft!F$2)^2)</f>
        <v>4.0090700708918058E-112</v>
      </c>
      <c r="J262" s="26">
        <f>Ft!G$3*EXP(Ft!G$38*($A262-Ft!G$2)^2)</f>
        <v>0</v>
      </c>
    </row>
    <row r="263" spans="1:10">
      <c r="A263" s="19">
        <v>261</v>
      </c>
      <c r="B263" s="28">
        <v>42.090254402968412</v>
      </c>
      <c r="C263" s="27">
        <f ca="1">OFFSET($B263,1*(ROWS(C$2:C263)-1),0)</f>
        <v>19.875594201563047</v>
      </c>
      <c r="D263" s="26">
        <f>Ft!B$3*EXP(Ft!B$38*($A263-Ft!B$2)^2) +Ft!C$3*EXP(Ft!C$38*($A263-Ft!C$2)^2) + Ft!D$3*EXP(Ft!D$38*($A263-Ft!D$2)^2)+Ft!E$3*EXP(Ft!E$38*($A263-Ft!E$2)^2) +Ft!F$3*EXP(Ft!F$38*($A263-Ft!F$2)^2) + Ft!G$3*EXP(Ft!G$38*($A263-Ft!G$2)^2)</f>
        <v>12.235941526658319</v>
      </c>
      <c r="E263" s="26">
        <f>Ft!B$3*EXP(Ft!B$38*($A263-Ft!B$2)^2)</f>
        <v>1.5277989948423653E-25</v>
      </c>
      <c r="F263" s="26">
        <f>Ft!C$3*EXP(Ft!C$38*($A263-Ft!C$2)^2)</f>
        <v>3.0751678376446341</v>
      </c>
      <c r="G263" s="26">
        <f>Ft!D$3*EXP(Ft!D$38*($A263-Ft!D$2)^2)</f>
        <v>9.0910988019633656</v>
      </c>
      <c r="H263" s="26">
        <f>Ft!E$3*EXP(Ft!E$38*($A263-Ft!E$2)^2)</f>
        <v>6.9674887050319115E-2</v>
      </c>
      <c r="I263" s="26">
        <f>Ft!F$3*EXP(Ft!F$38*($A263-Ft!F$2)^2)</f>
        <v>7.8311643674220542E-112</v>
      </c>
      <c r="J263" s="26">
        <f>Ft!G$3*EXP(Ft!G$38*($A263-Ft!G$2)^2)</f>
        <v>0</v>
      </c>
    </row>
    <row r="264" spans="1:10">
      <c r="A264" s="19">
        <v>262</v>
      </c>
      <c r="B264" s="28">
        <v>42.303395582887475</v>
      </c>
      <c r="C264" s="27">
        <f ca="1">OFFSET($B264,1*(ROWS(C$2:C264)-1),0)</f>
        <v>19.444158818929907</v>
      </c>
      <c r="D264" s="26">
        <f>Ft!B$3*EXP(Ft!B$38*($A264-Ft!B$2)^2) +Ft!C$3*EXP(Ft!C$38*($A264-Ft!C$2)^2) + Ft!D$3*EXP(Ft!D$38*($A264-Ft!D$2)^2)+Ft!E$3*EXP(Ft!E$38*($A264-Ft!E$2)^2) +Ft!F$3*EXP(Ft!F$38*($A264-Ft!F$2)^2) + Ft!G$3*EXP(Ft!G$38*($A264-Ft!G$2)^2)</f>
        <v>12.248386513391944</v>
      </c>
      <c r="E264" s="26">
        <f>Ft!B$3*EXP(Ft!B$38*($A264-Ft!B$2)^2)</f>
        <v>8.8818872421504952E-26</v>
      </c>
      <c r="F264" s="26">
        <f>Ft!C$3*EXP(Ft!C$38*($A264-Ft!C$2)^2)</f>
        <v>3.0177128505184148</v>
      </c>
      <c r="G264" s="26">
        <f>Ft!D$3*EXP(Ft!D$38*($A264-Ft!D$2)^2)</f>
        <v>9.159615964483196</v>
      </c>
      <c r="H264" s="26">
        <f>Ft!E$3*EXP(Ft!E$38*($A264-Ft!E$2)^2)</f>
        <v>7.1057698390332866E-2</v>
      </c>
      <c r="I264" s="26">
        <f>Ft!F$3*EXP(Ft!F$38*($A264-Ft!F$2)^2)</f>
        <v>1.5283816940568705E-111</v>
      </c>
      <c r="J264" s="26">
        <f>Ft!G$3*EXP(Ft!G$38*($A264-Ft!G$2)^2)</f>
        <v>0</v>
      </c>
    </row>
    <row r="265" spans="1:10">
      <c r="A265" s="19">
        <v>263</v>
      </c>
      <c r="B265" s="28">
        <v>42.515526577290501</v>
      </c>
      <c r="C265" s="27">
        <f ca="1">OFFSET($B265,1*(ROWS(C$2:C265)-1),0)</f>
        <v>19.0746168260753</v>
      </c>
      <c r="D265" s="26">
        <f>Ft!B$3*EXP(Ft!B$38*($A265-Ft!B$2)^2) +Ft!C$3*EXP(Ft!C$38*($A265-Ft!C$2)^2) + Ft!D$3*EXP(Ft!D$38*($A265-Ft!D$2)^2)+Ft!E$3*EXP(Ft!E$38*($A265-Ft!E$2)^2) +Ft!F$3*EXP(Ft!F$38*($A265-Ft!F$2)^2) + Ft!G$3*EXP(Ft!G$38*($A265-Ft!G$2)^2)</f>
        <v>12.261593467396356</v>
      </c>
      <c r="E265" s="26">
        <f>Ft!B$3*EXP(Ft!B$38*($A265-Ft!B$2)^2)</f>
        <v>5.1505483098371072E-26</v>
      </c>
      <c r="F265" s="26">
        <f>Ft!C$3*EXP(Ft!C$38*($A265-Ft!C$2)^2)</f>
        <v>2.9608710796286943</v>
      </c>
      <c r="G265" s="26">
        <f>Ft!D$3*EXP(Ft!D$38*($A265-Ft!D$2)^2)</f>
        <v>9.2282570020160897</v>
      </c>
      <c r="H265" s="26">
        <f>Ft!E$3*EXP(Ft!E$38*($A265-Ft!E$2)^2)</f>
        <v>7.246538575157245E-2</v>
      </c>
      <c r="I265" s="26">
        <f>Ft!F$3*EXP(Ft!F$38*($A265-Ft!F$2)^2)</f>
        <v>2.9803008781410219E-111</v>
      </c>
      <c r="J265" s="26">
        <f>Ft!G$3*EXP(Ft!G$38*($A265-Ft!G$2)^2)</f>
        <v>0</v>
      </c>
    </row>
    <row r="266" spans="1:10">
      <c r="A266" s="19">
        <v>264</v>
      </c>
      <c r="B266" s="28">
        <v>42.741564736196779</v>
      </c>
      <c r="C266" s="27">
        <f ca="1">OFFSET($B266,1*(ROWS(C$2:C266)-1),0)</f>
        <v>18.707452047603397</v>
      </c>
      <c r="D266" s="26">
        <f>Ft!B$3*EXP(Ft!B$38*($A266-Ft!B$2)^2) +Ft!C$3*EXP(Ft!C$38*($A266-Ft!C$2)^2) + Ft!D$3*EXP(Ft!D$38*($A266-Ft!D$2)^2)+Ft!E$3*EXP(Ft!E$38*($A266-Ft!E$2)^2) +Ft!F$3*EXP(Ft!F$38*($A266-Ft!F$2)^2) + Ft!G$3*EXP(Ft!G$38*($A266-Ft!G$2)^2)</f>
        <v>12.275563799707056</v>
      </c>
      <c r="E266" s="26">
        <f>Ft!B$3*EXP(Ft!B$38*($A266-Ft!B$2)^2)</f>
        <v>2.9792767596076019E-26</v>
      </c>
      <c r="F266" s="26">
        <f>Ft!C$3*EXP(Ft!C$38*($A266-Ft!C$2)^2)</f>
        <v>2.9046484765307681</v>
      </c>
      <c r="G266" s="26">
        <f>Ft!D$3*EXP(Ft!D$38*($A266-Ft!D$2)^2)</f>
        <v>9.2970169819956414</v>
      </c>
      <c r="H266" s="26">
        <f>Ft!E$3*EXP(Ft!E$38*($A266-Ft!E$2)^2)</f>
        <v>7.3898341180646726E-2</v>
      </c>
      <c r="I266" s="26">
        <f>Ft!F$3*EXP(Ft!F$38*($A266-Ft!F$2)^2)</f>
        <v>5.8064566716073705E-111</v>
      </c>
      <c r="J266" s="26">
        <f>Ft!G$3*EXP(Ft!G$38*($A266-Ft!G$2)^2)</f>
        <v>0</v>
      </c>
    </row>
    <row r="267" spans="1:10">
      <c r="A267" s="19">
        <v>265</v>
      </c>
      <c r="B267" s="28">
        <v>42.96386402221674</v>
      </c>
      <c r="C267" s="27">
        <f ca="1">OFFSET($B267,1*(ROWS(C$2:C267)-1),0)</f>
        <v>18.32138400004203</v>
      </c>
      <c r="D267" s="26">
        <f>Ft!B$3*EXP(Ft!B$38*($A267-Ft!B$2)^2) +Ft!C$3*EXP(Ft!C$38*($A267-Ft!C$2)^2) + Ft!D$3*EXP(Ft!D$38*($A267-Ft!D$2)^2)+Ft!E$3*EXP(Ft!E$38*($A267-Ft!E$2)^2) +Ft!F$3*EXP(Ft!F$38*($A267-Ft!F$2)^2) + Ft!G$3*EXP(Ft!G$38*($A267-Ft!G$2)^2)</f>
        <v>12.290298475813348</v>
      </c>
      <c r="E267" s="26">
        <f>Ft!B$3*EXP(Ft!B$38*($A267-Ft!B$2)^2)</f>
        <v>1.7190060565763697E-26</v>
      </c>
      <c r="F267" s="26">
        <f>Ft!C$3*EXP(Ft!C$38*($A267-Ft!C$2)^2)</f>
        <v>2.8490505942785083</v>
      </c>
      <c r="G267" s="26">
        <f>Ft!D$3*EXP(Ft!D$38*($A267-Ft!D$2)^2)</f>
        <v>9.3658909197640305</v>
      </c>
      <c r="H267" s="26">
        <f>Ft!E$3*EXP(Ft!E$38*($A267-Ft!E$2)^2)</f>
        <v>7.5356961770807293E-2</v>
      </c>
      <c r="I267" s="26">
        <f>Ft!F$3*EXP(Ft!F$38*($A267-Ft!F$2)^2)</f>
        <v>1.1302774521811085E-110</v>
      </c>
      <c r="J267" s="26">
        <f>Ft!G$3*EXP(Ft!G$38*($A267-Ft!G$2)^2)</f>
        <v>0</v>
      </c>
    </row>
    <row r="268" spans="1:10">
      <c r="A268" s="19">
        <v>266</v>
      </c>
      <c r="B268" s="28">
        <v>43.209688971873959</v>
      </c>
      <c r="C268" s="27">
        <f ca="1">OFFSET($B268,1*(ROWS(C$2:C268)-1),0)</f>
        <v>17.937824779081382</v>
      </c>
      <c r="D268" s="26">
        <f>Ft!B$3*EXP(Ft!B$38*($A268-Ft!B$2)^2) +Ft!C$3*EXP(Ft!C$38*($A268-Ft!C$2)^2) + Ft!D$3*EXP(Ft!D$38*($A268-Ft!D$2)^2)+Ft!E$3*EXP(Ft!E$38*($A268-Ft!E$2)^2) +Ft!F$3*EXP(Ft!F$38*($A268-Ft!F$2)^2) + Ft!G$3*EXP(Ft!G$38*($A268-Ft!G$2)^2)</f>
        <v>12.30579802031173</v>
      </c>
      <c r="E268" s="26">
        <f>Ft!B$3*EXP(Ft!B$38*($A268-Ft!B$2)^2)</f>
        <v>9.8935724639896569E-27</v>
      </c>
      <c r="F268" s="26">
        <f>Ft!C$3*EXP(Ft!C$38*($A268-Ft!C$2)^2)</f>
        <v>2.7940825915717498</v>
      </c>
      <c r="G268" s="26">
        <f>Ft!D$3*EXP(Ft!D$38*($A268-Ft!D$2)^2)</f>
        <v>9.4348737790350814</v>
      </c>
      <c r="H268" s="26">
        <f>Ft!E$3*EXP(Ft!E$38*($A268-Ft!E$2)^2)</f>
        <v>7.6841649704899179E-2</v>
      </c>
      <c r="I268" s="26">
        <f>Ft!F$3*EXP(Ft!F$38*($A268-Ft!F$2)^2)</f>
        <v>2.198273546773153E-110</v>
      </c>
      <c r="J268" s="26">
        <f>Ft!G$3*EXP(Ft!G$38*($A268-Ft!G$2)^2)</f>
        <v>0</v>
      </c>
    </row>
    <row r="269" spans="1:10">
      <c r="A269" s="19">
        <v>267</v>
      </c>
      <c r="B269" s="28">
        <v>43.423010279734143</v>
      </c>
      <c r="C269" s="27">
        <f ca="1">OFFSET($B269,1*(ROWS(C$2:C269)-1),0)</f>
        <v>17.564103574889884</v>
      </c>
      <c r="D269" s="26">
        <f>Ft!B$3*EXP(Ft!B$38*($A269-Ft!B$2)^2) +Ft!C$3*EXP(Ft!C$38*($A269-Ft!C$2)^2) + Ft!D$3*EXP(Ft!D$38*($A269-Ft!D$2)^2)+Ft!E$3*EXP(Ft!E$38*($A269-Ft!E$2)^2) +Ft!F$3*EXP(Ft!F$38*($A269-Ft!F$2)^2) + Ft!G$3*EXP(Ft!G$38*($A269-Ft!G$2)^2)</f>
        <v>12.322062521798154</v>
      </c>
      <c r="E269" s="26">
        <f>Ft!B$3*EXP(Ft!B$38*($A269-Ft!B$2)^2)</f>
        <v>5.6798654184211361E-27</v>
      </c>
      <c r="F269" s="26">
        <f>Ft!C$3*EXP(Ft!C$38*($A269-Ft!C$2)^2)</f>
        <v>2.7397492371281214</v>
      </c>
      <c r="G269" s="26">
        <f>Ft!D$3*EXP(Ft!D$38*($A269-Ft!D$2)^2)</f>
        <v>9.5039604723717854</v>
      </c>
      <c r="H269" s="26">
        <f>Ft!E$3*EXP(Ft!E$38*($A269-Ft!E$2)^2)</f>
        <v>7.8352812298247795E-2</v>
      </c>
      <c r="I269" s="26">
        <f>Ft!F$3*EXP(Ft!F$38*($A269-Ft!F$2)^2)</f>
        <v>4.2717044688273422E-110</v>
      </c>
      <c r="J269" s="26">
        <f>Ft!G$3*EXP(Ft!G$38*($A269-Ft!G$2)^2)</f>
        <v>0</v>
      </c>
    </row>
    <row r="270" spans="1:10">
      <c r="A270" s="19">
        <v>268</v>
      </c>
      <c r="B270" s="28">
        <v>43.648573448791581</v>
      </c>
      <c r="C270" s="27">
        <f ca="1">OFFSET($B270,1*(ROWS(C$2:C270)-1),0)</f>
        <v>17.184596176401811</v>
      </c>
      <c r="D270" s="26">
        <f>Ft!B$3*EXP(Ft!B$38*($A270-Ft!B$2)^2) +Ft!C$3*EXP(Ft!C$38*($A270-Ft!C$2)^2) + Ft!D$3*EXP(Ft!D$38*($A270-Ft!D$2)^2)+Ft!E$3*EXP(Ft!E$38*($A270-Ft!E$2)^2) +Ft!F$3*EXP(Ft!F$38*($A270-Ft!F$2)^2) + Ft!G$3*EXP(Ft!G$38*($A270-Ft!G$2)^2)</f>
        <v>12.339091637990734</v>
      </c>
      <c r="E270" s="26">
        <f>Ft!B$3*EXP(Ft!B$38*($A270-Ft!B$2)^2)</f>
        <v>3.2526109972059882E-27</v>
      </c>
      <c r="F270" s="26">
        <f>Ft!C$3*EXP(Ft!C$38*($A270-Ft!C$2)^2)</f>
        <v>2.6860549142709793</v>
      </c>
      <c r="G270" s="26">
        <f>Ft!D$3*EXP(Ft!D$38*($A270-Ft!D$2)^2)</f>
        <v>9.5731458616782792</v>
      </c>
      <c r="H270" s="26">
        <f>Ft!E$3*EXP(Ft!E$38*($A270-Ft!E$2)^2)</f>
        <v>7.9890862041474872E-2</v>
      </c>
      <c r="I270" s="26">
        <f>Ft!F$3*EXP(Ft!F$38*($A270-Ft!F$2)^2)</f>
        <v>8.2936071479678042E-110</v>
      </c>
      <c r="J270" s="26">
        <f>Ft!G$3*EXP(Ft!G$38*($A270-Ft!G$2)^2)</f>
        <v>0</v>
      </c>
    </row>
    <row r="271" spans="1:10">
      <c r="A271" s="19">
        <v>269</v>
      </c>
      <c r="B271" s="28">
        <v>43.865755115550968</v>
      </c>
      <c r="C271" s="27">
        <f ca="1">OFFSET($B271,1*(ROWS(C$2:C271)-1),0)</f>
        <v>16.801105309908081</v>
      </c>
      <c r="D271" s="26">
        <f>Ft!B$3*EXP(Ft!B$38*($A271-Ft!B$2)^2) +Ft!C$3*EXP(Ft!C$38*($A271-Ft!C$2)^2) + Ft!D$3*EXP(Ft!D$38*($A271-Ft!D$2)^2)+Ft!E$3*EXP(Ft!E$38*($A271-Ft!E$2)^2) +Ft!F$3*EXP(Ft!F$38*($A271-Ft!F$2)^2) + Ft!G$3*EXP(Ft!G$38*($A271-Ft!G$2)^2)</f>
        <v>12.356884601074489</v>
      </c>
      <c r="E271" s="26">
        <f>Ft!B$3*EXP(Ft!B$38*($A271-Ft!B$2)^2)</f>
        <v>1.8579558116567497E-27</v>
      </c>
      <c r="F271" s="26">
        <f>Ft!C$3*EXP(Ft!C$38*($A271-Ft!C$2)^2)</f>
        <v>2.6330036257250269</v>
      </c>
      <c r="G271" s="26">
        <f>Ft!D$3*EXP(Ft!D$38*($A271-Ft!D$2)^2)</f>
        <v>9.6424247587062304</v>
      </c>
      <c r="H271" s="26">
        <f>Ft!E$3*EXP(Ft!E$38*($A271-Ft!E$2)^2)</f>
        <v>8.145621664322987E-2</v>
      </c>
      <c r="I271" s="26">
        <f>Ft!F$3*EXP(Ft!F$38*($A271-Ft!F$2)^2)</f>
        <v>1.6088239249087651E-109</v>
      </c>
      <c r="J271" s="26">
        <f>Ft!G$3*EXP(Ft!G$38*($A271-Ft!G$2)^2)</f>
        <v>0</v>
      </c>
    </row>
    <row r="272" spans="1:10">
      <c r="A272" s="19">
        <v>270</v>
      </c>
      <c r="B272" s="28">
        <v>44.083119291530693</v>
      </c>
      <c r="C272" s="27">
        <f ca="1">OFFSET($B272,1*(ROWS(C$2:C272)-1),0)</f>
        <v>16.36265177355375</v>
      </c>
      <c r="D272" s="26">
        <f>Ft!B$3*EXP(Ft!B$38*($A272-Ft!B$2)^2) +Ft!C$3*EXP(Ft!C$38*($A272-Ft!C$2)^2) + Ft!D$3*EXP(Ft!D$38*($A272-Ft!D$2)^2)+Ft!E$3*EXP(Ft!E$38*($A272-Ft!E$2)^2) +Ft!F$3*EXP(Ft!F$38*($A272-Ft!F$2)^2) + Ft!G$3*EXP(Ft!G$38*($A272-Ft!G$2)^2)</f>
        <v>12.375440223259647</v>
      </c>
      <c r="E272" s="26">
        <f>Ft!B$3*EXP(Ft!B$38*($A272-Ft!B$2)^2)</f>
        <v>1.0586388063251328E-27</v>
      </c>
      <c r="F272" s="26">
        <f>Ft!C$3*EXP(Ft!C$38*($A272-Ft!C$2)^2)</f>
        <v>2.5805989986111815</v>
      </c>
      <c r="G272" s="26">
        <f>Ft!D$3*EXP(Ft!D$38*($A272-Ft!D$2)^2)</f>
        <v>9.7117919255756373</v>
      </c>
      <c r="H272" s="26">
        <f>Ft!E$3*EXP(Ft!E$38*($A272-Ft!E$2)^2)</f>
        <v>8.3049299072828209E-2</v>
      </c>
      <c r="I272" s="26">
        <f>Ft!F$3*EXP(Ft!F$38*($A272-Ft!F$2)^2)</f>
        <v>3.1181454369561271E-109</v>
      </c>
      <c r="J272" s="26">
        <f>Ft!G$3*EXP(Ft!G$38*($A272-Ft!G$2)^2)</f>
        <v>0</v>
      </c>
    </row>
    <row r="273" spans="1:10">
      <c r="A273" s="19">
        <v>271</v>
      </c>
      <c r="B273" s="28">
        <v>44.301098849589408</v>
      </c>
      <c r="C273" s="27">
        <f ca="1">OFFSET($B273,1*(ROWS(C$2:C273)-1),0)</f>
        <v>15.94761556496104</v>
      </c>
      <c r="D273" s="26">
        <f>Ft!B$3*EXP(Ft!B$38*($A273-Ft!B$2)^2) +Ft!C$3*EXP(Ft!C$38*($A273-Ft!C$2)^2) + Ft!D$3*EXP(Ft!D$38*($A273-Ft!D$2)^2)+Ft!E$3*EXP(Ft!E$38*($A273-Ft!E$2)^2) +Ft!F$3*EXP(Ft!F$38*($A273-Ft!F$2)^2) + Ft!G$3*EXP(Ft!G$38*($A273-Ft!G$2)^2)</f>
        <v>12.394756902544927</v>
      </c>
      <c r="E273" s="26">
        <f>Ft!B$3*EXP(Ft!B$38*($A273-Ft!B$2)^2)</f>
        <v>6.0168531629689292E-28</v>
      </c>
      <c r="F273" s="26">
        <f>Ft!C$3*EXP(Ft!C$38*($A273-Ft!C$2)^2)</f>
        <v>2.5288442896321435</v>
      </c>
      <c r="G273" s="26">
        <f>Ft!D$3*EXP(Ft!D$38*($A273-Ft!D$2)^2)</f>
        <v>9.7812420753099989</v>
      </c>
      <c r="H273" s="26">
        <f>Ft!E$3*EXP(Ft!E$38*($A273-Ft!E$2)^2)</f>
        <v>8.4670537602783758E-2</v>
      </c>
      <c r="I273" s="26">
        <f>Ft!F$3*EXP(Ft!F$38*($A273-Ft!F$2)^2)</f>
        <v>6.0381933414200385E-109</v>
      </c>
      <c r="J273" s="26">
        <f>Ft!G$3*EXP(Ft!G$38*($A273-Ft!G$2)^2)</f>
        <v>0</v>
      </c>
    </row>
    <row r="274" spans="1:10">
      <c r="A274" s="19">
        <v>272</v>
      </c>
      <c r="B274" s="28">
        <v>44.505324269654693</v>
      </c>
      <c r="C274" s="27">
        <f ca="1">OFFSET($B274,1*(ROWS(C$2:C274)-1),0)</f>
        <v>15.507058607605018</v>
      </c>
      <c r="D274" s="26">
        <f>Ft!B$3*EXP(Ft!B$38*($A274-Ft!B$2)^2) +Ft!C$3*EXP(Ft!C$38*($A274-Ft!C$2)^2) + Ft!D$3*EXP(Ft!D$38*($A274-Ft!D$2)^2)+Ft!E$3*EXP(Ft!E$38*($A274-Ft!E$2)^2) +Ft!F$3*EXP(Ft!F$38*($A274-Ft!F$2)^2) + Ft!G$3*EXP(Ft!G$38*($A274-Ft!G$2)^2)</f>
        <v>12.414832628677173</v>
      </c>
      <c r="E274" s="26">
        <f>Ft!B$3*EXP(Ft!B$38*($A274-Ft!B$2)^2)</f>
        <v>3.4111450759640219E-28</v>
      </c>
      <c r="F274" s="26">
        <f>Ft!C$3*EXP(Ft!C$38*($A274-Ft!C$2)^2)</f>
        <v>2.477742390440131</v>
      </c>
      <c r="G274" s="26">
        <f>Ft!D$3*EXP(Ft!D$38*($A274-Ft!D$2)^2)</f>
        <v>9.8507698723858166</v>
      </c>
      <c r="H274" s="26">
        <f>Ft!E$3*EXP(Ft!E$38*($A274-Ft!E$2)^2)</f>
        <v>8.6320365851226044E-2</v>
      </c>
      <c r="I274" s="26">
        <f>Ft!F$3*EXP(Ft!F$38*($A274-Ft!F$2)^2)</f>
        <v>1.1682625565466112E-108</v>
      </c>
      <c r="J274" s="26">
        <f>Ft!G$3*EXP(Ft!G$38*($A274-Ft!G$2)^2)</f>
        <v>0</v>
      </c>
    </row>
    <row r="275" spans="1:10">
      <c r="A275" s="19">
        <v>273</v>
      </c>
      <c r="B275" s="28">
        <v>44.705679309245738</v>
      </c>
      <c r="C275" s="27">
        <f ca="1">OFFSET($B275,1*(ROWS(C$2:C275)-1),0)</f>
        <v>15.097407080060833</v>
      </c>
      <c r="D275" s="26">
        <f>Ft!B$3*EXP(Ft!B$38*($A275-Ft!B$2)^2) +Ft!C$3*EXP(Ft!C$38*($A275-Ft!C$2)^2) + Ft!D$3*EXP(Ft!D$38*($A275-Ft!D$2)^2)+Ft!E$3*EXP(Ft!E$38*($A275-Ft!E$2)^2) +Ft!F$3*EXP(Ft!F$38*($A275-Ft!F$2)^2) + Ft!G$3*EXP(Ft!G$38*($A275-Ft!G$2)^2)</f>
        <v>12.435664989298797</v>
      </c>
      <c r="E275" s="26">
        <f>Ft!B$3*EXP(Ft!B$38*($A275-Ft!B$2)^2)</f>
        <v>1.9290351529720872E-28</v>
      </c>
      <c r="F275" s="26">
        <f>Ft!C$3*EXP(Ft!C$38*($A275-Ft!C$2)^2)</f>
        <v>2.427295833178194</v>
      </c>
      <c r="G275" s="26">
        <f>Ft!D$3*EXP(Ft!D$38*($A275-Ft!D$2)^2)</f>
        <v>9.9203699332964135</v>
      </c>
      <c r="H275" s="26">
        <f>Ft!E$3*EXP(Ft!E$38*($A275-Ft!E$2)^2)</f>
        <v>8.7999222824188636E-2</v>
      </c>
      <c r="I275" s="26">
        <f>Ft!F$3*EXP(Ft!F$38*($A275-Ft!F$2)^2)</f>
        <v>2.2583783180655555E-108</v>
      </c>
      <c r="J275" s="26">
        <f>Ft!G$3*EXP(Ft!G$38*($A275-Ft!G$2)^2)</f>
        <v>0</v>
      </c>
    </row>
    <row r="276" spans="1:10">
      <c r="A276" s="19">
        <v>274</v>
      </c>
      <c r="B276" s="28">
        <v>44.919079122290896</v>
      </c>
      <c r="C276" s="27">
        <f ca="1">OFFSET($B276,1*(ROWS(C$2:C276)-1),0)</f>
        <v>14.692284460500616</v>
      </c>
      <c r="D276" s="26">
        <f>Ft!B$3*EXP(Ft!B$38*($A276-Ft!B$2)^2) +Ft!C$3*EXP(Ft!C$38*($A276-Ft!C$2)^2) + Ft!D$3*EXP(Ft!D$38*($A276-Ft!D$2)^2)+Ft!E$3*EXP(Ft!E$38*($A276-Ft!E$2)^2) +Ft!F$3*EXP(Ft!F$38*($A276-Ft!F$2)^2) + Ft!G$3*EXP(Ft!G$38*($A276-Ft!G$2)^2)</f>
        <v>12.457251176274282</v>
      </c>
      <c r="E276" s="26">
        <f>Ft!B$3*EXP(Ft!B$38*($A276-Ft!B$2)^2)</f>
        <v>1.0881512559450181E-28</v>
      </c>
      <c r="F276" s="26">
        <f>Ft!C$3*EXP(Ft!C$38*($A276-Ft!C$2)^2)</f>
        <v>2.3775067961865175</v>
      </c>
      <c r="G276" s="26">
        <f>Ft!D$3*EXP(Ft!D$38*($A276-Ft!D$2)^2)</f>
        <v>9.9900368271300035</v>
      </c>
      <c r="H276" s="26">
        <f>Ft!E$3*EXP(Ft!E$38*($A276-Ft!E$2)^2)</f>
        <v>8.9707552957759451E-2</v>
      </c>
      <c r="I276" s="26">
        <f>Ft!F$3*EXP(Ft!F$38*($A276-Ft!F$2)^2)</f>
        <v>4.3619002450786534E-108</v>
      </c>
      <c r="J276" s="26">
        <f>Ft!G$3*EXP(Ft!G$38*($A276-Ft!G$2)^2)</f>
        <v>0</v>
      </c>
    </row>
    <row r="277" spans="1:10">
      <c r="A277" s="19">
        <v>275</v>
      </c>
      <c r="B277" s="28">
        <v>45.116650043154948</v>
      </c>
      <c r="C277" s="27">
        <f ca="1">OFFSET($B277,1*(ROWS(C$2:C277)-1),0)</f>
        <v>14.273863731271319</v>
      </c>
      <c r="D277" s="26">
        <f>Ft!B$3*EXP(Ft!B$38*($A277-Ft!B$2)^2) +Ft!C$3*EXP(Ft!C$38*($A277-Ft!C$2)^2) + Ft!D$3*EXP(Ft!D$38*($A277-Ft!D$2)^2)+Ft!E$3*EXP(Ft!E$38*($A277-Ft!E$2)^2) +Ft!F$3*EXP(Ft!F$38*($A277-Ft!F$2)^2) + Ft!G$3*EXP(Ft!G$38*($A277-Ft!G$2)^2)</f>
        <v>12.479587992187158</v>
      </c>
      <c r="E277" s="26">
        <f>Ft!B$3*EXP(Ft!B$38*($A277-Ft!B$2)^2)</f>
        <v>6.122764670948423E-29</v>
      </c>
      <c r="F277" s="26">
        <f>Ft!C$3*EXP(Ft!C$38*($A277-Ft!C$2)^2)</f>
        <v>2.3283771098651016</v>
      </c>
      <c r="G277" s="26">
        <f>Ft!D$3*EXP(Ft!D$38*($A277-Ft!D$2)^2)</f>
        <v>10.059765076161977</v>
      </c>
      <c r="H277" s="26">
        <f>Ft!E$3*EXP(Ft!E$38*($A277-Ft!E$2)^2)</f>
        <v>9.1445806160079177E-2</v>
      </c>
      <c r="I277" s="26">
        <f>Ft!F$3*EXP(Ft!F$38*($A277-Ft!F$2)^2)</f>
        <v>8.4173921048315332E-108</v>
      </c>
      <c r="J277" s="26">
        <f>Ft!G$3*EXP(Ft!G$38*($A277-Ft!G$2)^2)</f>
        <v>0</v>
      </c>
    </row>
    <row r="278" spans="1:10">
      <c r="A278" s="19">
        <v>276</v>
      </c>
      <c r="B278" s="28">
        <v>45.316940648405136</v>
      </c>
      <c r="C278" s="27">
        <f ca="1">OFFSET($B278,1*(ROWS(C$2:C278)-1),0)</f>
        <v>13.865480582505</v>
      </c>
      <c r="D278" s="26">
        <f>Ft!B$3*EXP(Ft!B$38*($A278-Ft!B$2)^2) +Ft!C$3*EXP(Ft!C$38*($A278-Ft!C$2)^2) + Ft!D$3*EXP(Ft!D$38*($A278-Ft!D$2)^2)+Ft!E$3*EXP(Ft!E$38*($A278-Ft!E$2)^2) +Ft!F$3*EXP(Ft!F$38*($A278-Ft!F$2)^2) + Ft!G$3*EXP(Ft!G$38*($A278-Ft!G$2)^2)</f>
        <v>12.502671856998752</v>
      </c>
      <c r="E278" s="26">
        <f>Ft!B$3*EXP(Ft!B$38*($A278-Ft!B$2)^2)</f>
        <v>3.4364896619328829E-29</v>
      </c>
      <c r="F278" s="26">
        <f>Ft!C$3*EXP(Ft!C$38*($A278-Ft!C$2)^2)</f>
        <v>2.2799082626842386</v>
      </c>
      <c r="G278" s="26">
        <f>Ft!D$3*EXP(Ft!D$38*($A278-Ft!D$2)^2)</f>
        <v>10.129549156461337</v>
      </c>
      <c r="H278" s="26">
        <f>Ft!E$3*EXP(Ft!E$38*($A278-Ft!E$2)^2)</f>
        <v>9.3214437853177928E-2</v>
      </c>
      <c r="I278" s="26">
        <f>Ft!F$3*EXP(Ft!F$38*($A278-Ft!F$2)^2)</f>
        <v>1.6229389479944499E-107</v>
      </c>
      <c r="J278" s="26">
        <f>Ft!G$3*EXP(Ft!G$38*($A278-Ft!G$2)^2)</f>
        <v>0</v>
      </c>
    </row>
    <row r="279" spans="1:10">
      <c r="A279" s="19">
        <v>277</v>
      </c>
      <c r="B279" s="28">
        <v>45.519996145658808</v>
      </c>
      <c r="C279" s="27">
        <f ca="1">OFFSET($B279,1*(ROWS(C$2:C279)-1),0)</f>
        <v>13.471934130958971</v>
      </c>
      <c r="D279" s="26">
        <f>Ft!B$3*EXP(Ft!B$38*($A279-Ft!B$2)^2) +Ft!C$3*EXP(Ft!C$38*($A279-Ft!C$2)^2) + Ft!D$3*EXP(Ft!D$38*($A279-Ft!D$2)^2)+Ft!E$3*EXP(Ft!E$38*($A279-Ft!E$2)^2) +Ft!F$3*EXP(Ft!F$38*($A279-Ft!F$2)^2) + Ft!G$3*EXP(Ft!G$38*($A279-Ft!G$2)^2)</f>
        <v>12.526498814860108</v>
      </c>
      <c r="E279" s="26">
        <f>Ft!B$3*EXP(Ft!B$38*($A279-Ft!B$2)^2)</f>
        <v>1.9239407357539189E-29</v>
      </c>
      <c r="F279" s="26">
        <f>Ft!C$3*EXP(Ft!C$38*($A279-Ft!C$2)^2)</f>
        <v>2.2321014073341994</v>
      </c>
      <c r="G279" s="26">
        <f>Ft!D$3*EXP(Ft!D$38*($A279-Ft!D$2)^2)</f>
        <v>10.199383498511274</v>
      </c>
      <c r="H279" s="26">
        <f>Ft!E$3*EXP(Ft!E$38*($A279-Ft!E$2)^2)</f>
        <v>9.5013909014635287E-2</v>
      </c>
      <c r="I279" s="26">
        <f>Ft!F$3*EXP(Ft!F$38*($A279-Ft!F$2)^2)</f>
        <v>3.1264364312509618E-107</v>
      </c>
      <c r="J279" s="26">
        <f>Ft!G$3*EXP(Ft!G$38*($A279-Ft!G$2)^2)</f>
        <v>0</v>
      </c>
    </row>
    <row r="280" spans="1:10">
      <c r="A280" s="19">
        <v>278</v>
      </c>
      <c r="B280" s="28">
        <v>45.727465960365095</v>
      </c>
      <c r="C280" s="27">
        <f ca="1">OFFSET($B280,1*(ROWS(C$2:C280)-1),0)</f>
        <v>13.053026659486818</v>
      </c>
      <c r="D280" s="26">
        <f>Ft!B$3*EXP(Ft!B$38*($A280-Ft!B$2)^2) +Ft!C$3*EXP(Ft!C$38*($A280-Ft!C$2)^2) + Ft!D$3*EXP(Ft!D$38*($A280-Ft!D$2)^2)+Ft!E$3*EXP(Ft!E$38*($A280-Ft!E$2)^2) +Ft!F$3*EXP(Ft!F$38*($A280-Ft!F$2)^2) + Ft!G$3*EXP(Ft!G$38*($A280-Ft!G$2)^2)</f>
        <v>12.551064541068376</v>
      </c>
      <c r="E280" s="26">
        <f>Ft!B$3*EXP(Ft!B$38*($A280-Ft!B$2)^2)</f>
        <v>1.0744284822527379E-29</v>
      </c>
      <c r="F280" s="26">
        <f>Ft!C$3*EXP(Ft!C$38*($A280-Ft!C$2)^2)</f>
        <v>2.18495736700558</v>
      </c>
      <c r="G280" s="26">
        <f>Ft!D$3*EXP(Ft!D$38*($A280-Ft!D$2)^2)</f>
        <v>10.26926248784374</v>
      </c>
      <c r="H280" s="26">
        <f>Ft!E$3*EXP(Ft!E$38*($A280-Ft!E$2)^2)</f>
        <v>9.6844686219055065E-2</v>
      </c>
      <c r="I280" s="26">
        <f>Ft!F$3*EXP(Ft!F$38*($A280-Ft!F$2)^2)</f>
        <v>6.0175515334325628E-107</v>
      </c>
      <c r="J280" s="26">
        <f>Ft!G$3*EXP(Ft!G$38*($A280-Ft!G$2)^2)</f>
        <v>0</v>
      </c>
    </row>
    <row r="281" spans="1:10">
      <c r="A281" s="19">
        <v>279</v>
      </c>
      <c r="B281" s="28">
        <v>45.911822018396492</v>
      </c>
      <c r="C281" s="27">
        <f ca="1">OFFSET($B281,1*(ROWS(C$2:C281)-1),0)</f>
        <v>12.626010003957106</v>
      </c>
      <c r="D281" s="26">
        <f>Ft!B$3*EXP(Ft!B$38*($A281-Ft!B$2)^2) +Ft!C$3*EXP(Ft!C$38*($A281-Ft!C$2)^2) + Ft!D$3*EXP(Ft!D$38*($A281-Ft!D$2)^2)+Ft!E$3*EXP(Ft!E$38*($A281-Ft!E$2)^2) +Ft!F$3*EXP(Ft!F$38*($A281-Ft!F$2)^2) + Ft!G$3*EXP(Ft!G$38*($A281-Ft!G$2)^2)</f>
        <v>12.576364349159183</v>
      </c>
      <c r="E281" s="26">
        <f>Ft!B$3*EXP(Ft!B$38*($A281-Ft!B$2)^2)</f>
        <v>5.9851151356222686E-30</v>
      </c>
      <c r="F281" s="26">
        <f>Ft!C$3*EXP(Ft!C$38*($A281-Ft!C$2)^2)</f>
        <v>2.1384766417917951</v>
      </c>
      <c r="G281" s="26">
        <f>Ft!D$3*EXP(Ft!D$38*($A281-Ft!D$2)^2)</f>
        <v>10.339180465688051</v>
      </c>
      <c r="H281" s="26">
        <f>Ft!E$3*EXP(Ft!E$38*($A281-Ft!E$2)^2)</f>
        <v>9.8707241679337518E-2</v>
      </c>
      <c r="I281" s="26">
        <f>Ft!F$3*EXP(Ft!F$38*($A281-Ft!F$2)^2)</f>
        <v>1.1572117351214033E-106</v>
      </c>
      <c r="J281" s="26">
        <f>Ft!G$3*EXP(Ft!G$38*($A281-Ft!G$2)^2)</f>
        <v>0</v>
      </c>
    </row>
    <row r="282" spans="1:10">
      <c r="A282" s="19">
        <v>280</v>
      </c>
      <c r="B282" s="28">
        <v>46.095295073247314</v>
      </c>
      <c r="C282" s="27">
        <f ca="1">OFFSET($B282,1*(ROWS(C$2:C282)-1),0)</f>
        <v>12.205130534359682</v>
      </c>
      <c r="D282" s="26">
        <f>Ft!B$3*EXP(Ft!B$38*($A282-Ft!B$2)^2) +Ft!C$3*EXP(Ft!C$38*($A282-Ft!C$2)^2) + Ft!D$3*EXP(Ft!D$38*($A282-Ft!D$2)^2)+Ft!E$3*EXP(Ft!E$38*($A282-Ft!E$2)^2) +Ft!F$3*EXP(Ft!F$38*($A282-Ft!F$2)^2) + Ft!G$3*EXP(Ft!G$38*($A282-Ft!G$2)^2)</f>
        <v>12.602393198126359</v>
      </c>
      <c r="E282" s="26">
        <f>Ft!B$3*EXP(Ft!B$38*($A282-Ft!B$2)^2)</f>
        <v>3.3256510662984262E-30</v>
      </c>
      <c r="F282" s="26">
        <f>Ft!C$3*EXP(Ft!C$38*($A282-Ft!C$2)^2)</f>
        <v>2.0926594152052536</v>
      </c>
      <c r="G282" s="26">
        <f>Ft!D$3*EXP(Ft!D$38*($A282-Ft!D$2)^2)</f>
        <v>10.409131729633364</v>
      </c>
      <c r="H282" s="26">
        <f>Ft!E$3*EXP(Ft!E$38*($A282-Ft!E$2)^2)</f>
        <v>0.1006020532877419</v>
      </c>
      <c r="I282" s="26">
        <f>Ft!F$3*EXP(Ft!F$38*($A282-Ft!F$2)^2)</f>
        <v>2.2234564909608208E-106</v>
      </c>
      <c r="J282" s="26">
        <f>Ft!G$3*EXP(Ft!G$38*($A282-Ft!G$2)^2)</f>
        <v>0</v>
      </c>
    </row>
    <row r="283" spans="1:10">
      <c r="A283" s="19">
        <v>281</v>
      </c>
      <c r="B283" s="28">
        <v>46.25660378396384</v>
      </c>
      <c r="C283" s="27">
        <f ca="1">OFFSET($B283,1*(ROWS(C$2:C283)-1),0)</f>
        <v>11.760402279798257</v>
      </c>
      <c r="D283" s="26">
        <f>Ft!B$3*EXP(Ft!B$38*($A283-Ft!B$2)^2) +Ft!C$3*EXP(Ft!C$38*($A283-Ft!C$2)^2) + Ft!D$3*EXP(Ft!D$38*($A283-Ft!D$2)^2)+Ft!E$3*EXP(Ft!E$38*($A283-Ft!E$2)^2) +Ft!F$3*EXP(Ft!F$38*($A283-Ft!F$2)^2) + Ft!G$3*EXP(Ft!G$38*($A283-Ft!G$2)^2)</f>
        <v>12.629145699760523</v>
      </c>
      <c r="E283" s="26">
        <f>Ft!B$3*EXP(Ft!B$38*($A283-Ft!B$2)^2)</f>
        <v>1.8432745437542393E-30</v>
      </c>
      <c r="F283" s="26">
        <f>Ft!C$3*EXP(Ft!C$38*($A283-Ft!C$2)^2)</f>
        <v>2.0475055607987915</v>
      </c>
      <c r="G283" s="26">
        <f>Ft!D$3*EXP(Ft!D$38*($A283-Ft!D$2)^2)</f>
        <v>10.479110534305011</v>
      </c>
      <c r="H283" s="26">
        <f>Ft!E$3*EXP(Ft!E$38*($A283-Ft!E$2)^2)</f>
        <v>0.10252960465672073</v>
      </c>
      <c r="I283" s="26">
        <f>Ft!F$3*EXP(Ft!F$38*($A283-Ft!F$2)^2)</f>
        <v>4.2684208964415817E-106</v>
      </c>
      <c r="J283" s="26">
        <f>Ft!G$3*EXP(Ft!G$38*($A283-Ft!G$2)^2)</f>
        <v>0</v>
      </c>
    </row>
    <row r="284" spans="1:10">
      <c r="A284" s="19">
        <v>282</v>
      </c>
      <c r="B284" s="28">
        <v>46.427428060986159</v>
      </c>
      <c r="C284" s="27">
        <f ca="1">OFFSET($B284,1*(ROWS(C$2:C284)-1),0)</f>
        <v>11.296225708633585</v>
      </c>
      <c r="D284" s="26">
        <f>Ft!B$3*EXP(Ft!B$38*($A284-Ft!B$2)^2) +Ft!C$3*EXP(Ft!C$38*($A284-Ft!C$2)^2) + Ft!D$3*EXP(Ft!D$38*($A284-Ft!D$2)^2)+Ft!E$3*EXP(Ft!E$38*($A284-Ft!E$2)^2) +Ft!F$3*EXP(Ft!F$38*($A284-Ft!F$2)^2) + Ft!G$3*EXP(Ft!G$38*($A284-Ft!G$2)^2)</f>
        <v>12.656616126098136</v>
      </c>
      <c r="E284" s="26">
        <f>Ft!B$3*EXP(Ft!B$38*($A284-Ft!B$2)^2)</f>
        <v>1.019090010940827E-30</v>
      </c>
      <c r="F284" s="26">
        <f>Ft!C$3*EXP(Ft!C$38*($A284-Ft!C$2)^2)</f>
        <v>2.003014648884033</v>
      </c>
      <c r="G284" s="26">
        <f>Ft!D$3*EXP(Ft!D$38*($A284-Ft!D$2)^2)</f>
        <v>10.549111092054586</v>
      </c>
      <c r="H284" s="26">
        <f>Ft!E$3*EXP(Ft!E$38*($A284-Ft!E$2)^2)</f>
        <v>0.1044903851595176</v>
      </c>
      <c r="I284" s="26">
        <f>Ft!F$3*EXP(Ft!F$38*($A284-Ft!F$2)^2)</f>
        <v>8.1870724703515401E-106</v>
      </c>
      <c r="J284" s="26">
        <f>Ft!G$3*EXP(Ft!G$38*($A284-Ft!G$2)^2)</f>
        <v>0</v>
      </c>
    </row>
    <row r="285" spans="1:10">
      <c r="A285" s="19">
        <v>283</v>
      </c>
      <c r="B285" s="28">
        <v>46.555420674615846</v>
      </c>
      <c r="C285" s="27">
        <f ca="1">OFFSET($B285,1*(ROWS(C$2:C285)-1),0)</f>
        <v>10.897232741333823</v>
      </c>
      <c r="D285" s="26">
        <f>Ft!B$3*EXP(Ft!B$38*($A285-Ft!B$2)^2) +Ft!C$3*EXP(Ft!C$38*($A285-Ft!C$2)^2) + Ft!D$3*EXP(Ft!D$38*($A285-Ft!D$2)^2)+Ft!E$3*EXP(Ft!E$38*($A285-Ft!E$2)^2) +Ft!F$3*EXP(Ft!F$38*($A285-Ft!F$2)^2) + Ft!G$3*EXP(Ft!G$38*($A285-Ft!G$2)^2)</f>
        <v>12.684798416972601</v>
      </c>
      <c r="E285" s="26">
        <f>Ft!B$3*EXP(Ft!B$38*($A285-Ft!B$2)^2)</f>
        <v>5.6201025237444109E-31</v>
      </c>
      <c r="F285" s="26">
        <f>Ft!C$3*EXP(Ft!C$38*($A285-Ft!C$2)^2)</f>
        <v>1.9591859533383926</v>
      </c>
      <c r="G285" s="26">
        <f>Ft!D$3*EXP(Ft!D$38*($A285-Ft!D$2)^2)</f>
        <v>10.619127573663697</v>
      </c>
      <c r="H285" s="26">
        <f>Ft!E$3*EXP(Ft!E$38*($A285-Ft!E$2)^2)</f>
        <v>0.10648488997051152</v>
      </c>
      <c r="I285" s="26">
        <f>Ft!F$3*EXP(Ft!F$38*($A285-Ft!F$2)^2)</f>
        <v>1.5689634534519605E-105</v>
      </c>
      <c r="J285" s="26">
        <f>Ft!G$3*EXP(Ft!G$38*($A285-Ft!G$2)^2)</f>
        <v>0</v>
      </c>
    </row>
    <row r="286" spans="1:10">
      <c r="A286" s="19">
        <v>284</v>
      </c>
      <c r="B286" s="28">
        <v>46.681655639424719</v>
      </c>
      <c r="C286" s="27">
        <f ca="1">OFFSET($B286,1*(ROWS(C$2:C286)-1),0)</f>
        <v>10.506295649836488</v>
      </c>
      <c r="D286" s="26">
        <f>Ft!B$3*EXP(Ft!B$38*($A286-Ft!B$2)^2) +Ft!C$3*EXP(Ft!C$38*($A286-Ft!C$2)^2) + Ft!D$3*EXP(Ft!D$38*($A286-Ft!D$2)^2)+Ft!E$3*EXP(Ft!E$38*($A286-Ft!E$2)^2) +Ft!F$3*EXP(Ft!F$38*($A286-Ft!F$2)^2) + Ft!G$3*EXP(Ft!G$38*($A286-Ft!G$2)^2)</f>
        <v>12.713686187659157</v>
      </c>
      <c r="E286" s="26">
        <f>Ft!B$3*EXP(Ft!B$38*($A286-Ft!B$2)^2)</f>
        <v>3.0916128652609763E-31</v>
      </c>
      <c r="F286" s="26">
        <f>Ft!C$3*EXP(Ft!C$38*($A286-Ft!C$2)^2)</f>
        <v>1.9160184584925299</v>
      </c>
      <c r="G286" s="26">
        <f>Ft!D$3*EXP(Ft!D$38*($A286-Ft!D$2)^2)</f>
        <v>10.689154109061329</v>
      </c>
      <c r="H286" s="26">
        <f>Ft!E$3*EXP(Ft!E$38*($A286-Ft!E$2)^2)</f>
        <v>0.10851362010529682</v>
      </c>
      <c r="I286" s="26">
        <f>Ft!F$3*EXP(Ft!F$38*($A286-Ft!F$2)^2)</f>
        <v>3.0041375638252863E-105</v>
      </c>
      <c r="J286" s="26">
        <f>Ft!G$3*EXP(Ft!G$38*($A286-Ft!G$2)^2)</f>
        <v>0</v>
      </c>
    </row>
    <row r="287" spans="1:10">
      <c r="A287" s="19">
        <v>285</v>
      </c>
      <c r="B287" s="28">
        <v>46.802011425425519</v>
      </c>
      <c r="C287" s="27">
        <f ca="1">OFFSET($B287,1*(ROWS(C$2:C287)-1),0)</f>
        <v>10.141444825596807</v>
      </c>
      <c r="D287" s="26">
        <f>Ft!B$3*EXP(Ft!B$38*($A287-Ft!B$2)^2) +Ft!C$3*EXP(Ft!C$38*($A287-Ft!C$2)^2) + Ft!D$3*EXP(Ft!D$38*($A287-Ft!D$2)^2)+Ft!E$3*EXP(Ft!E$38*($A287-Ft!E$2)^2) +Ft!F$3*EXP(Ft!F$38*($A287-Ft!F$2)^2) + Ft!G$3*EXP(Ft!G$38*($A287-Ft!G$2)^2)</f>
        <v>12.743272736605313</v>
      </c>
      <c r="E287" s="26">
        <f>Ft!B$3*EXP(Ft!B$38*($A287-Ft!B$2)^2)</f>
        <v>1.6964268897602615E-31</v>
      </c>
      <c r="F287" s="26">
        <f>Ft!C$3*EXP(Ft!C$38*($A287-Ft!C$2)^2)</f>
        <v>1.873510866090164</v>
      </c>
      <c r="G287" s="26">
        <f>Ft!D$3*EXP(Ft!D$38*($A287-Ft!D$2)^2)</f>
        <v>10.759184788054664</v>
      </c>
      <c r="H287" s="26">
        <f>Ft!E$3*EXP(Ft!E$38*($A287-Ft!E$2)^2)</f>
        <v>0.11057708246048323</v>
      </c>
      <c r="I287" s="26">
        <f>Ft!F$3*EXP(Ft!F$38*($A287-Ft!F$2)^2)</f>
        <v>5.7471111892392099E-105</v>
      </c>
      <c r="J287" s="26">
        <f>Ft!G$3*EXP(Ft!G$38*($A287-Ft!G$2)^2)</f>
        <v>0</v>
      </c>
    </row>
    <row r="288" spans="1:10">
      <c r="A288" s="19">
        <v>286</v>
      </c>
      <c r="B288" s="28">
        <v>46.931584327113484</v>
      </c>
      <c r="C288" s="27">
        <f ca="1">OFFSET($B288,1*(ROWS(C$2:C288)-1),0)</f>
        <v>9.7288480790247718</v>
      </c>
      <c r="D288" s="26">
        <f>Ft!B$3*EXP(Ft!B$38*($A288-Ft!B$2)^2) +Ft!C$3*EXP(Ft!C$38*($A288-Ft!C$2)^2) + Ft!D$3*EXP(Ft!D$38*($A288-Ft!D$2)^2)+Ft!E$3*EXP(Ft!E$38*($A288-Ft!E$2)^2) +Ft!F$3*EXP(Ft!F$38*($A288-Ft!F$2)^2) + Ft!G$3*EXP(Ft!G$38*($A288-Ft!G$2)^2)</f>
        <v>12.773551053238771</v>
      </c>
      <c r="E288" s="26">
        <f>Ft!B$3*EXP(Ft!B$38*($A288-Ft!B$2)^2)</f>
        <v>9.2852663020628337E-32</v>
      </c>
      <c r="F288" s="26">
        <f>Ft!C$3*EXP(Ft!C$38*($A288-Ft!C$2)^2)</f>
        <v>1.8316616023122354</v>
      </c>
      <c r="G288" s="26">
        <f>Ft!D$3*EXP(Ft!D$38*($A288-Ft!D$2)^2)</f>
        <v>10.82921366107333</v>
      </c>
      <c r="H288" s="26">
        <f>Ft!E$3*EXP(Ft!E$38*($A288-Ft!E$2)^2)</f>
        <v>0.11267578985320387</v>
      </c>
      <c r="I288" s="26">
        <f>Ft!F$3*EXP(Ft!F$38*($A288-Ft!F$2)^2)</f>
        <v>1.0985053558757737E-104</v>
      </c>
      <c r="J288" s="26">
        <f>Ft!G$3*EXP(Ft!G$38*($A288-Ft!G$2)^2)</f>
        <v>0</v>
      </c>
    </row>
    <row r="289" spans="1:10">
      <c r="A289" s="19">
        <v>287</v>
      </c>
      <c r="B289" s="28">
        <v>47.055527682790569</v>
      </c>
      <c r="C289" s="27">
        <f ca="1">OFFSET($B289,1*(ROWS(C$2:C289)-1),0)</f>
        <v>9.403741790189116</v>
      </c>
      <c r="D289" s="26">
        <f>Ft!B$3*EXP(Ft!B$38*($A289-Ft!B$2)^2) +Ft!C$3*EXP(Ft!C$38*($A289-Ft!C$2)^2) + Ft!D$3*EXP(Ft!D$38*($A289-Ft!D$2)^2)+Ft!E$3*EXP(Ft!E$38*($A289-Ft!E$2)^2) +Ft!F$3*EXP(Ft!F$38*($A289-Ft!F$2)^2) + Ft!G$3*EXP(Ft!G$38*($A289-Ft!G$2)^2)</f>
        <v>12.804513825844765</v>
      </c>
      <c r="E289" s="26">
        <f>Ft!B$3*EXP(Ft!B$38*($A289-Ft!B$2)^2)</f>
        <v>5.0694722970643537E-32</v>
      </c>
      <c r="F289" s="26">
        <f>Ft!C$3*EXP(Ft!C$38*($A289-Ft!C$2)^2)</f>
        <v>1.7904688248575304</v>
      </c>
      <c r="G289" s="26">
        <f>Ft!D$3*EXP(Ft!D$38*($A289-Ft!D$2)^2)</f>
        <v>10.89923473992692</v>
      </c>
      <c r="H289" s="26">
        <f>Ft!E$3*EXP(Ft!E$38*($A289-Ft!E$2)^2)</f>
        <v>0.11481026106031521</v>
      </c>
      <c r="I289" s="26">
        <f>Ft!F$3*EXP(Ft!F$38*($A289-Ft!F$2)^2)</f>
        <v>2.0978650771627578E-104</v>
      </c>
      <c r="J289" s="26">
        <f>Ft!G$3*EXP(Ft!G$38*($A289-Ft!G$2)^2)</f>
        <v>0</v>
      </c>
    </row>
    <row r="290" spans="1:10">
      <c r="A290" s="19">
        <v>288</v>
      </c>
      <c r="B290" s="28">
        <v>47.167427282568724</v>
      </c>
      <c r="C290" s="27">
        <f ca="1">OFFSET($B290,1*(ROWS(C$2:C290)-1),0)</f>
        <v>9.1299562006545898</v>
      </c>
      <c r="D290" s="26">
        <f>Ft!B$3*EXP(Ft!B$38*($A290-Ft!B$2)^2) +Ft!C$3*EXP(Ft!C$38*($A290-Ft!C$2)^2) + Ft!D$3*EXP(Ft!D$38*($A290-Ft!D$2)^2)+Ft!E$3*EXP(Ft!E$38*($A290-Ft!E$2)^2) +Ft!F$3*EXP(Ft!F$38*($A290-Ft!F$2)^2) + Ft!G$3*EXP(Ft!G$38*($A290-Ft!G$2)^2)</f>
        <v>12.836153449504968</v>
      </c>
      <c r="E290" s="26">
        <f>Ft!B$3*EXP(Ft!B$38*($A290-Ft!B$2)^2)</f>
        <v>2.7608341518829026E-32</v>
      </c>
      <c r="F290" s="26">
        <f>Ft!C$3*EXP(Ft!C$38*($A290-Ft!C$2)^2)</f>
        <v>1.7499304300719785</v>
      </c>
      <c r="G290" s="26">
        <f>Ft!D$3*EXP(Ft!D$38*($A290-Ft!D$2)^2)</f>
        <v>10.969241998575713</v>
      </c>
      <c r="H290" s="26">
        <f>Ft!E$3*EXP(Ft!E$38*($A290-Ft!E$2)^2)</f>
        <v>0.1169810208572765</v>
      </c>
      <c r="I290" s="26">
        <f>Ft!F$3*EXP(Ft!F$38*($A290-Ft!F$2)^2)</f>
        <v>4.0029090583981103E-104</v>
      </c>
      <c r="J290" s="26">
        <f>Ft!G$3*EXP(Ft!G$38*($A290-Ft!G$2)^2)</f>
        <v>0</v>
      </c>
    </row>
    <row r="291" spans="1:10">
      <c r="A291" s="19">
        <v>289</v>
      </c>
      <c r="B291" s="28">
        <v>47.297613390502192</v>
      </c>
      <c r="C291" s="27">
        <f ca="1">OFFSET($B291,1*(ROWS(C$2:C291)-1),0)</f>
        <v>8.8866553598045641</v>
      </c>
      <c r="D291" s="26">
        <f>Ft!B$3*EXP(Ft!B$38*($A291-Ft!B$2)^2) +Ft!C$3*EXP(Ft!C$38*($A291-Ft!C$2)^2) + Ft!D$3*EXP(Ft!D$38*($A291-Ft!D$2)^2)+Ft!E$3*EXP(Ft!E$38*($A291-Ft!E$2)^2) +Ft!F$3*EXP(Ft!F$38*($A291-Ft!F$2)^2) + Ft!G$3*EXP(Ft!G$38*($A291-Ft!G$2)^2)</f>
        <v>12.868462034090127</v>
      </c>
      <c r="E291" s="26">
        <f>Ft!B$3*EXP(Ft!B$38*($A291-Ft!B$2)^2)</f>
        <v>1.4997782712475072E-32</v>
      </c>
      <c r="F291" s="26">
        <f>Ft!C$3*EXP(Ft!C$38*($A291-Ft!C$2)^2)</f>
        <v>1.7100440601189741</v>
      </c>
      <c r="G291" s="26">
        <f>Ft!D$3*EXP(Ft!D$38*($A291-Ft!D$2)^2)</f>
        <v>11.039229373914459</v>
      </c>
      <c r="H291" s="26">
        <f>Ft!E$3*EXP(Ft!E$38*($A291-Ft!E$2)^2)</f>
        <v>0.11918860005669295</v>
      </c>
      <c r="I291" s="26">
        <f>Ft!F$3*EXP(Ft!F$38*($A291-Ft!F$2)^2)</f>
        <v>7.6312677097698511E-104</v>
      </c>
      <c r="J291" s="26">
        <f>Ft!G$3*EXP(Ft!G$38*($A291-Ft!G$2)^2)</f>
        <v>0</v>
      </c>
    </row>
    <row r="292" spans="1:10">
      <c r="A292" s="19">
        <v>290</v>
      </c>
      <c r="B292" s="28">
        <v>47.417087667751957</v>
      </c>
      <c r="C292" s="27">
        <f ca="1">OFFSET($B292,1*(ROWS(C$2:C292)-1),0)</f>
        <v>8.6865705767644101</v>
      </c>
      <c r="D292" s="26">
        <f>Ft!B$3*EXP(Ft!B$38*($A292-Ft!B$2)^2) +Ft!C$3*EXP(Ft!C$38*($A292-Ft!C$2)^2) + Ft!D$3*EXP(Ft!D$38*($A292-Ft!D$2)^2)+Ft!E$3*EXP(Ft!E$38*($A292-Ft!E$2)^2) +Ft!F$3*EXP(Ft!F$38*($A292-Ft!F$2)^2) + Ft!G$3*EXP(Ft!G$38*($A292-Ft!G$2)^2)</f>
        <v>12.901431412298814</v>
      </c>
      <c r="E292" s="26">
        <f>Ft!B$3*EXP(Ft!B$38*($A292-Ft!B$2)^2)</f>
        <v>8.1268635894477299E-33</v>
      </c>
      <c r="F292" s="26">
        <f>Ft!C$3*EXP(Ft!C$38*($A292-Ft!C$2)^2)</f>
        <v>1.6708071101831701</v>
      </c>
      <c r="G292" s="26">
        <f>Ft!D$3*EXP(Ft!D$38*($A292-Ft!D$2)^2)</f>
        <v>11.109190766569135</v>
      </c>
      <c r="H292" s="26">
        <f>Ft!E$3*EXP(Ft!E$38*($A292-Ft!E$2)^2)</f>
        <v>0.1214335355465094</v>
      </c>
      <c r="I292" s="26">
        <f>Ft!F$3*EXP(Ft!F$38*($A292-Ft!F$2)^2)</f>
        <v>1.4535850586915783E-103</v>
      </c>
      <c r="J292" s="26">
        <f>Ft!G$3*EXP(Ft!G$38*($A292-Ft!G$2)^2)</f>
        <v>0</v>
      </c>
    </row>
    <row r="293" spans="1:10">
      <c r="A293" s="19">
        <v>291</v>
      </c>
      <c r="B293" s="28">
        <v>47.5053881276543</v>
      </c>
      <c r="C293" s="27">
        <f ca="1">OFFSET($B293,1*(ROWS(C$2:C293)-1),0)</f>
        <v>8.4965434086334994</v>
      </c>
      <c r="D293" s="26">
        <f>Ft!B$3*EXP(Ft!B$38*($A293-Ft!B$2)^2) +Ft!C$3*EXP(Ft!C$38*($A293-Ft!C$2)^2) + Ft!D$3*EXP(Ft!D$38*($A293-Ft!D$2)^2)+Ft!E$3*EXP(Ft!E$38*($A293-Ft!E$2)^2) +Ft!F$3*EXP(Ft!F$38*($A293-Ft!F$2)^2) + Ft!G$3*EXP(Ft!G$38*($A293-Ft!G$2)^2)</f>
        <v>12.935053147734726</v>
      </c>
      <c r="E293" s="26">
        <f>Ft!B$3*EXP(Ft!B$38*($A293-Ft!B$2)^2)</f>
        <v>4.3926647315676626E-33</v>
      </c>
      <c r="F293" s="26">
        <f>Ft!C$3*EXP(Ft!C$38*($A293-Ft!C$2)^2)</f>
        <v>1.6322167357003683</v>
      </c>
      <c r="G293" s="26">
        <f>Ft!D$3*EXP(Ft!D$38*($A293-Ft!D$2)^2)</f>
        <v>11.17912004170652</v>
      </c>
      <c r="H293" s="26">
        <f>Ft!E$3*EXP(Ft!E$38*($A293-Ft!E$2)^2)</f>
        <v>0.12371637032783725</v>
      </c>
      <c r="I293" s="26">
        <f>Ft!F$3*EXP(Ft!F$38*($A293-Ft!F$2)^2)</f>
        <v>2.766349238094579E-103</v>
      </c>
      <c r="J293" s="26">
        <f>Ft!G$3*EXP(Ft!G$38*($A293-Ft!G$2)^2)</f>
        <v>0</v>
      </c>
    </row>
    <row r="294" spans="1:10">
      <c r="A294" s="19">
        <v>292</v>
      </c>
      <c r="B294" s="28">
        <v>47.575802466907845</v>
      </c>
      <c r="C294" s="27">
        <f ca="1">OFFSET($B294,1*(ROWS(C$2:C294)-1),0)</f>
        <v>8.3536964811592611</v>
      </c>
      <c r="D294" s="26">
        <f>Ft!B$3*EXP(Ft!B$38*($A294-Ft!B$2)^2) +Ft!C$3*EXP(Ft!C$38*($A294-Ft!C$2)^2) + Ft!D$3*EXP(Ft!D$38*($A294-Ft!D$2)^2)+Ft!E$3*EXP(Ft!E$38*($A294-Ft!E$2)^2) +Ft!F$3*EXP(Ft!F$38*($A294-Ft!F$2)^2) + Ft!G$3*EXP(Ft!G$38*($A294-Ft!G$2)^2)</f>
        <v>12.969318543015133</v>
      </c>
      <c r="E294" s="26">
        <f>Ft!B$3*EXP(Ft!B$38*($A294-Ft!B$2)^2)</f>
        <v>2.3683305569286287E-33</v>
      </c>
      <c r="F294" s="26">
        <f>Ft!C$3*EXP(Ft!C$38*($A294-Ft!C$2)^2)</f>
        <v>1.594269859606233</v>
      </c>
      <c r="G294" s="26">
        <f>Ft!D$3*EXP(Ft!D$38*($A294-Ft!D$2)^2)</f>
        <v>11.249011029856497</v>
      </c>
      <c r="H294" s="26">
        <f>Ft!E$3*EXP(Ft!E$38*($A294-Ft!E$2)^2)</f>
        <v>0.12603765355240329</v>
      </c>
      <c r="I294" s="26">
        <f>Ft!F$3*EXP(Ft!F$38*($A294-Ft!F$2)^2)</f>
        <v>5.2601285621370262E-103</v>
      </c>
      <c r="J294" s="26">
        <f>Ft!G$3*EXP(Ft!G$38*($A294-Ft!G$2)^2)</f>
        <v>0</v>
      </c>
    </row>
    <row r="295" spans="1:10">
      <c r="A295" s="19">
        <v>293</v>
      </c>
      <c r="B295" s="28">
        <v>47.659015172282437</v>
      </c>
      <c r="C295" s="27">
        <f ca="1">OFFSET($B295,1*(ROWS(C$2:C295)-1),0)</f>
        <v>8.2190457204678466</v>
      </c>
      <c r="D295" s="26">
        <f>Ft!B$3*EXP(Ft!B$38*($A295-Ft!B$2)^2) +Ft!C$3*EXP(Ft!C$38*($A295-Ft!C$2)^2) + Ft!D$3*EXP(Ft!D$38*($A295-Ft!D$2)^2)+Ft!E$3*EXP(Ft!E$38*($A295-Ft!E$2)^2) +Ft!F$3*EXP(Ft!F$38*($A295-Ft!F$2)^2) + Ft!G$3*EXP(Ft!G$38*($A295-Ft!G$2)^2)</f>
        <v>13.004218647903262</v>
      </c>
      <c r="E295" s="26">
        <f>Ft!B$3*EXP(Ft!B$38*($A295-Ft!B$2)^2)</f>
        <v>1.2736959088904801E-33</v>
      </c>
      <c r="F295" s="26">
        <f>Ft!C$3*EXP(Ft!C$38*($A295-Ft!C$2)^2)</f>
        <v>1.556963179596712</v>
      </c>
      <c r="G295" s="26">
        <f>Ft!D$3*EXP(Ft!D$38*($A295-Ft!D$2)^2)</f>
        <v>11.318857527746948</v>
      </c>
      <c r="H295" s="26">
        <f>Ft!E$3*EXP(Ft!E$38*($A295-Ft!E$2)^2)</f>
        <v>0.12839794055960102</v>
      </c>
      <c r="I295" s="26">
        <f>Ft!F$3*EXP(Ft!F$38*($A295-Ft!F$2)^2)</f>
        <v>9.9932903618481987E-103</v>
      </c>
      <c r="J295" s="26">
        <f>Ft!G$3*EXP(Ft!G$38*($A295-Ft!G$2)^2)</f>
        <v>0</v>
      </c>
    </row>
    <row r="296" spans="1:10">
      <c r="A296" s="19">
        <v>294</v>
      </c>
      <c r="B296" s="28">
        <v>47.727399033613892</v>
      </c>
      <c r="C296" s="27">
        <f ca="1">OFFSET($B296,1*(ROWS(C$2:C296)-1),0)</f>
        <v>8.1148999630058825</v>
      </c>
      <c r="D296" s="26">
        <f>Ft!B$3*EXP(Ft!B$38*($A296-Ft!B$2)^2) +Ft!C$3*EXP(Ft!C$38*($A296-Ft!C$2)^2) + Ft!D$3*EXP(Ft!D$38*($A296-Ft!D$2)^2)+Ft!E$3*EXP(Ft!E$38*($A296-Ft!E$2)^2) +Ft!F$3*EXP(Ft!F$38*($A296-Ft!F$2)^2) + Ft!G$3*EXP(Ft!G$38*($A296-Ft!G$2)^2)</f>
        <v>13.039744267457417</v>
      </c>
      <c r="E296" s="26">
        <f>Ft!B$3*EXP(Ft!B$38*($A296-Ft!B$2)^2)</f>
        <v>6.8327945663360824E-34</v>
      </c>
      <c r="F296" s="26">
        <f>Ft!C$3*EXP(Ft!C$38*($A296-Ft!C$2)^2)</f>
        <v>1.5202931753932198</v>
      </c>
      <c r="G296" s="26">
        <f>Ft!D$3*EXP(Ft!D$38*($A296-Ft!D$2)^2)</f>
        <v>11.388653299151063</v>
      </c>
      <c r="H296" s="26">
        <f>Ft!E$3*EXP(Ft!E$38*($A296-Ft!E$2)^2)</f>
        <v>0.13079779291313329</v>
      </c>
      <c r="I296" s="26">
        <f>Ft!F$3*EXP(Ft!F$38*($A296-Ft!F$2)^2)</f>
        <v>1.8968956879128336E-102</v>
      </c>
      <c r="J296" s="26">
        <f>Ft!G$3*EXP(Ft!G$38*($A296-Ft!G$2)^2)</f>
        <v>0</v>
      </c>
    </row>
    <row r="297" spans="1:10">
      <c r="A297" s="19">
        <v>295</v>
      </c>
      <c r="B297" s="28">
        <v>47.835509013016917</v>
      </c>
      <c r="C297" s="27">
        <f ca="1">OFFSET($B297,1*(ROWS(C$2:C297)-1),0)</f>
        <v>8.0080245946963373</v>
      </c>
      <c r="D297" s="26">
        <f>Ft!B$3*EXP(Ft!B$38*($A297-Ft!B$2)^2) +Ft!C$3*EXP(Ft!C$38*($A297-Ft!C$2)^2) + Ft!D$3*EXP(Ft!D$38*($A297-Ft!D$2)^2)+Ft!E$3*EXP(Ft!E$38*($A297-Ft!E$2)^2) +Ft!F$3*EXP(Ft!F$38*($A297-Ft!F$2)^2) + Ft!G$3*EXP(Ft!G$38*($A297-Ft!G$2)^2)</f>
        <v>13.075885970189983</v>
      </c>
      <c r="E297" s="26">
        <f>Ft!B$3*EXP(Ft!B$38*($A297-Ft!B$2)^2)</f>
        <v>3.6562858971726275E-34</v>
      </c>
      <c r="F297" s="26">
        <f>Ft!C$3*EXP(Ft!C$38*($A297-Ft!C$2)^2)</f>
        <v>1.484256116005759</v>
      </c>
      <c r="G297" s="26">
        <f>Ft!D$3*EXP(Ft!D$38*($A297-Ft!D$2)^2)</f>
        <v>11.458392075746998</v>
      </c>
      <c r="H297" s="26">
        <f>Ft!E$3*EXP(Ft!E$38*($A297-Ft!E$2)^2)</f>
        <v>0.13323777843722623</v>
      </c>
      <c r="I297" s="26">
        <f>Ft!F$3*EXP(Ft!F$38*($A297-Ft!F$2)^2)</f>
        <v>3.5975031900600477E-102</v>
      </c>
      <c r="J297" s="26">
        <f>Ft!G$3*EXP(Ft!G$38*($A297-Ft!G$2)^2)</f>
        <v>0</v>
      </c>
    </row>
    <row r="298" spans="1:10">
      <c r="A298" s="19">
        <v>296</v>
      </c>
      <c r="B298" s="28">
        <v>47.947038208703447</v>
      </c>
      <c r="C298" s="27">
        <f ca="1">OFFSET($B298,1*(ROWS(C$2:C298)-1),0)</f>
        <v>7.8875015152045478</v>
      </c>
      <c r="D298" s="26">
        <f>Ft!B$3*EXP(Ft!B$38*($A298-Ft!B$2)^2) +Ft!C$3*EXP(Ft!C$38*($A298-Ft!C$2)^2) + Ft!D$3*EXP(Ft!D$38*($A298-Ft!D$2)^2)+Ft!E$3*EXP(Ft!E$38*($A298-Ft!E$2)^2) +Ft!F$3*EXP(Ft!F$38*($A298-Ft!F$2)^2) + Ft!G$3*EXP(Ft!G$38*($A298-Ft!G$2)^2)</f>
        <v>13.112634096229414</v>
      </c>
      <c r="E298" s="26">
        <f>Ft!B$3*EXP(Ft!B$38*($A298-Ft!B$2)^2)</f>
        <v>1.9516013297098385E-34</v>
      </c>
      <c r="F298" s="26">
        <f>Ft!C$3*EXP(Ft!C$38*($A298-Ft!C$2)^2)</f>
        <v>1.4488480669873456</v>
      </c>
      <c r="G298" s="26">
        <f>Ft!D$3*EXP(Ft!D$38*($A298-Ft!D$2)^2)</f>
        <v>11.528067557989665</v>
      </c>
      <c r="H298" s="26">
        <f>Ft!E$3*EXP(Ft!E$38*($A298-Ft!E$2)^2)</f>
        <v>0.13571847125240377</v>
      </c>
      <c r="I298" s="26">
        <f>Ft!F$3*EXP(Ft!F$38*($A298-Ft!F$2)^2)</f>
        <v>6.816818354024006E-102</v>
      </c>
      <c r="J298" s="26">
        <f>Ft!G$3*EXP(Ft!G$38*($A298-Ft!G$2)^2)</f>
        <v>0</v>
      </c>
    </row>
    <row r="299" spans="1:10">
      <c r="A299" s="19">
        <v>297</v>
      </c>
      <c r="B299" s="28">
        <v>48.02881043605629</v>
      </c>
      <c r="C299" s="27">
        <f ca="1">OFFSET($B299,1*(ROWS(C$2:C299)-1),0)</f>
        <v>7.7665382062700701</v>
      </c>
      <c r="D299" s="26">
        <f>Ft!B$3*EXP(Ft!B$38*($A299-Ft!B$2)^2) +Ft!C$3*EXP(Ft!C$38*($A299-Ft!C$2)^2) + Ft!D$3*EXP(Ft!D$38*($A299-Ft!D$2)^2)+Ft!E$3*EXP(Ft!E$38*($A299-Ft!E$2)^2) +Ft!F$3*EXP(Ft!F$38*($A299-Ft!F$2)^2) + Ft!G$3*EXP(Ft!G$38*($A299-Ft!G$2)^2)</f>
        <v>13.149978765478625</v>
      </c>
      <c r="E299" s="26">
        <f>Ft!B$3*EXP(Ft!B$38*($A299-Ft!B$2)^2)</f>
        <v>1.0390853877683524E-34</v>
      </c>
      <c r="F299" s="26">
        <f>Ft!C$3*EXP(Ft!C$38*($A299-Ft!C$2)^2)</f>
        <v>1.4140648976732559</v>
      </c>
      <c r="G299" s="26">
        <f>Ft!D$3*EXP(Ft!D$38*($A299-Ft!D$2)^2)</f>
        <v>11.597673415994567</v>
      </c>
      <c r="H299" s="26">
        <f>Ft!E$3*EXP(Ft!E$38*($A299-Ft!E$2)^2)</f>
        <v>0.13824045181080122</v>
      </c>
      <c r="I299" s="26">
        <f>Ft!F$3*EXP(Ft!F$38*($A299-Ft!F$2)^2)</f>
        <v>1.2905803577719512E-101</v>
      </c>
      <c r="J299" s="26">
        <f>Ft!G$3*EXP(Ft!G$38*($A299-Ft!G$2)^2)</f>
        <v>0</v>
      </c>
    </row>
    <row r="300" spans="1:10">
      <c r="A300" s="19">
        <v>298</v>
      </c>
      <c r="B300" s="28">
        <v>48.10180977345297</v>
      </c>
      <c r="C300" s="27">
        <f ca="1">OFFSET($B300,1*(ROWS(C$2:C300)-1),0)</f>
        <v>7.5748915398404222</v>
      </c>
      <c r="D300" s="26">
        <f>Ft!B$3*EXP(Ft!B$38*($A300-Ft!B$2)^2) +Ft!C$3*EXP(Ft!C$38*($A300-Ft!C$2)^2) + Ft!D$3*EXP(Ft!D$38*($A300-Ft!D$2)^2)+Ft!E$3*EXP(Ft!E$38*($A300-Ft!E$2)^2) +Ft!F$3*EXP(Ft!F$38*($A300-Ft!F$2)^2) + Ft!G$3*EXP(Ft!G$38*($A300-Ft!G$2)^2)</f>
        <v>13.187909885763274</v>
      </c>
      <c r="E300" s="26">
        <f>Ft!B$3*EXP(Ft!B$38*($A300-Ft!B$2)^2)</f>
        <v>5.5184936095329877E-35</v>
      </c>
      <c r="F300" s="26">
        <f>Ft!C$3*EXP(Ft!C$38*($A300-Ft!C$2)^2)</f>
        <v>1.3799022883987888</v>
      </c>
      <c r="G300" s="26">
        <f>Ft!D$3*EXP(Ft!D$38*($A300-Ft!D$2)^2)</f>
        <v>11.667203290433477</v>
      </c>
      <c r="H300" s="26">
        <f>Ft!E$3*EXP(Ft!E$38*($A300-Ft!E$2)^2)</f>
        <v>0.14080430693100798</v>
      </c>
      <c r="I300" s="26">
        <f>Ft!F$3*EXP(Ft!F$38*($A300-Ft!F$2)^2)</f>
        <v>2.4412439265636525E-101</v>
      </c>
      <c r="J300" s="26">
        <f>Ft!G$3*EXP(Ft!G$38*($A300-Ft!G$2)^2)</f>
        <v>0</v>
      </c>
    </row>
    <row r="301" spans="1:10">
      <c r="A301" s="19">
        <v>299</v>
      </c>
      <c r="B301" s="28">
        <v>48.157371816330283</v>
      </c>
      <c r="C301" s="27">
        <f ca="1">OFFSET($B301,1*(ROWS(C$2:C301)-1),0)</f>
        <v>7.3814340263830331</v>
      </c>
      <c r="D301" s="26">
        <f>Ft!B$3*EXP(Ft!B$38*($A301-Ft!B$2)^2) +Ft!C$3*EXP(Ft!C$38*($A301-Ft!C$2)^2) + Ft!D$3*EXP(Ft!D$38*($A301-Ft!D$2)^2)+Ft!E$3*EXP(Ft!E$38*($A301-Ft!E$2)^2) +Ft!F$3*EXP(Ft!F$38*($A301-Ft!F$2)^2) + Ft!G$3*EXP(Ft!G$38*($A301-Ft!G$2)^2)</f>
        <v>13.226417160963647</v>
      </c>
      <c r="E301" s="26">
        <f>Ft!B$3*EXP(Ft!B$38*($A301-Ft!B$2)^2)</f>
        <v>2.9234725782573345E-35</v>
      </c>
      <c r="F301" s="26">
        <f>Ft!C$3*EXP(Ft!C$38*($A301-Ft!C$2)^2)</f>
        <v>1.3463557376893962</v>
      </c>
      <c r="G301" s="26">
        <f>Ft!D$3*EXP(Ft!D$38*($A301-Ft!D$2)^2)</f>
        <v>11.736650793441834</v>
      </c>
      <c r="H301" s="26">
        <f>Ft!E$3*EXP(Ft!E$38*($A301-Ft!E$2)^2)</f>
        <v>0.14341062983241626</v>
      </c>
      <c r="I301" s="26">
        <f>Ft!F$3*EXP(Ft!F$38*($A301-Ft!F$2)^2)</f>
        <v>4.6138141449228689E-101</v>
      </c>
      <c r="J301" s="26">
        <f>Ft!G$3*EXP(Ft!G$38*($A301-Ft!G$2)^2)</f>
        <v>0</v>
      </c>
    </row>
    <row r="302" spans="1:10">
      <c r="A302" s="19">
        <v>300</v>
      </c>
      <c r="B302" s="28">
        <v>48.226219882416245</v>
      </c>
      <c r="C302" s="27">
        <f ca="1">OFFSET($B302,1*(ROWS(C$2:C302)-1),0)</f>
        <v>7.1614522016893147</v>
      </c>
      <c r="D302" s="26">
        <f>Ft!B$3*EXP(Ft!B$38*($A302-Ft!B$2)^2) +Ft!C$3*EXP(Ft!C$38*($A302-Ft!C$2)^2) + Ft!D$3*EXP(Ft!D$38*($A302-Ft!D$2)^2)+Ft!E$3*EXP(Ft!E$38*($A302-Ft!E$2)^2) +Ft!F$3*EXP(Ft!F$38*($A302-Ft!F$2)^2) + Ft!G$3*EXP(Ft!G$38*($A302-Ft!G$2)^2)</f>
        <v>13.265490099123985</v>
      </c>
      <c r="E302" s="26">
        <f>Ft!B$3*EXP(Ft!B$38*($A302-Ft!B$2)^2)</f>
        <v>1.5448512882964056E-35</v>
      </c>
      <c r="F302" s="26">
        <f>Ft!C$3*EXP(Ft!C$38*($A302-Ft!C$2)^2)</f>
        <v>1.3134205694172338</v>
      </c>
      <c r="G302" s="26">
        <f>Ft!D$3*EXP(Ft!D$38*($A302-Ft!D$2)^2)</f>
        <v>11.806009509537684</v>
      </c>
      <c r="H302" s="26">
        <f>Ft!E$3*EXP(Ft!E$38*($A302-Ft!E$2)^2)</f>
        <v>0.14606002016906605</v>
      </c>
      <c r="I302" s="26">
        <f>Ft!F$3*EXP(Ft!F$38*($A302-Ft!F$2)^2)</f>
        <v>8.7122797466893667E-101</v>
      </c>
      <c r="J302" s="26">
        <f>Ft!G$3*EXP(Ft!G$38*($A302-Ft!G$2)^2)</f>
        <v>0</v>
      </c>
    </row>
    <row r="303" spans="1:10">
      <c r="A303" s="19">
        <v>301</v>
      </c>
      <c r="B303" s="28">
        <v>48.292257834274039</v>
      </c>
      <c r="C303" s="27">
        <f ca="1">OFFSET($B303,1*(ROWS(C$2:C303)-1),0)</f>
        <v>6.8944704357864453</v>
      </c>
      <c r="D303" s="26">
        <f>Ft!B$3*EXP(Ft!B$38*($A303-Ft!B$2)^2) +Ft!C$3*EXP(Ft!C$38*($A303-Ft!C$2)^2) + Ft!D$3*EXP(Ft!D$38*($A303-Ft!D$2)^2)+Ft!E$3*EXP(Ft!E$38*($A303-Ft!E$2)^2) +Ft!F$3*EXP(Ft!F$38*($A303-Ft!F$2)^2) + Ft!G$3*EXP(Ft!G$38*($A303-Ft!G$2)^2)</f>
        <v>13.305118020533312</v>
      </c>
      <c r="E303" s="26">
        <f>Ft!B$3*EXP(Ft!B$38*($A303-Ft!B$2)^2)</f>
        <v>8.1429826295228323E-36</v>
      </c>
      <c r="F303" s="26">
        <f>Ft!C$3*EXP(Ft!C$38*($A303-Ft!C$2)^2)</f>
        <v>1.2810919399183454</v>
      </c>
      <c r="G303" s="26">
        <f>Ft!D$3*EXP(Ft!D$38*($A303-Ft!D$2)^2)</f>
        <v>11.875272996552003</v>
      </c>
      <c r="H303" s="26">
        <f>Ft!E$3*EXP(Ft!E$38*($A303-Ft!E$2)^2)</f>
        <v>0.14875308406296353</v>
      </c>
      <c r="I303" s="26">
        <f>Ft!F$3*EXP(Ft!F$38*($A303-Ft!F$2)^2)</f>
        <v>1.6437142611720676E-100</v>
      </c>
      <c r="J303" s="26">
        <f>Ft!G$3*EXP(Ft!G$38*($A303-Ft!G$2)^2)</f>
        <v>0</v>
      </c>
    </row>
    <row r="304" spans="1:10">
      <c r="A304" s="19">
        <v>302</v>
      </c>
      <c r="B304" s="28">
        <v>48.338221628167645</v>
      </c>
      <c r="C304" s="27">
        <f ca="1">OFFSET($B304,1*(ROWS(C$2:C304)-1),0)</f>
        <v>6.6404165064416816</v>
      </c>
      <c r="D304" s="26">
        <f>Ft!B$3*EXP(Ft!B$38*($A304-Ft!B$2)^2) +Ft!C$3*EXP(Ft!C$38*($A304-Ft!C$2)^2) + Ft!D$3*EXP(Ft!D$38*($A304-Ft!D$2)^2)+Ft!E$3*EXP(Ft!E$38*($A304-Ft!E$2)^2) +Ft!F$3*EXP(Ft!F$38*($A304-Ft!F$2)^2) + Ft!G$3*EXP(Ft!G$38*($A304-Ft!G$2)^2)</f>
        <v>13.345290065771966</v>
      </c>
      <c r="E304" s="26">
        <f>Ft!B$3*EXP(Ft!B$38*($A304-Ft!B$2)^2)</f>
        <v>4.2814365430823977E-36</v>
      </c>
      <c r="F304" s="26">
        <f>Ft!C$3*EXP(Ft!C$38*($A304-Ft!C$2)^2)</f>
        <v>1.2493648450648795</v>
      </c>
      <c r="G304" s="26">
        <f>Ft!D$3*EXP(Ft!D$38*($A304-Ft!D$2)^2)</f>
        <v>11.944434786570223</v>
      </c>
      <c r="H304" s="26">
        <f>Ft!E$3*EXP(Ft!E$38*($A304-Ft!E$2)^2)</f>
        <v>0.15149043413686258</v>
      </c>
      <c r="I304" s="26">
        <f>Ft!F$3*EXP(Ft!F$38*($A304-Ft!F$2)^2)</f>
        <v>3.0984438474420687E-100</v>
      </c>
      <c r="J304" s="26">
        <f>Ft!G$3*EXP(Ft!G$38*($A304-Ft!G$2)^2)</f>
        <v>0</v>
      </c>
    </row>
    <row r="305" spans="1:10">
      <c r="A305" s="19">
        <v>303</v>
      </c>
      <c r="B305" s="28">
        <v>48.323014388127916</v>
      </c>
      <c r="C305" s="27">
        <f ca="1">OFFSET($B305,1*(ROWS(C$2:C305)-1),0)</f>
        <v>6.3676882512875181</v>
      </c>
      <c r="D305" s="26">
        <f>Ft!B$3*EXP(Ft!B$38*($A305-Ft!B$2)^2) +Ft!C$3*EXP(Ft!C$38*($A305-Ft!C$2)^2) + Ft!D$3*EXP(Ft!D$38*($A305-Ft!D$2)^2)+Ft!E$3*EXP(Ft!E$38*($A305-Ft!E$2)^2) +Ft!F$3*EXP(Ft!F$38*($A305-Ft!F$2)^2) + Ft!G$3*EXP(Ft!G$38*($A305-Ft!G$2)^2)</f>
        <v>13.385995203718224</v>
      </c>
      <c r="E305" s="26">
        <f>Ft!B$3*EXP(Ft!B$38*($A305-Ft!B$2)^2)</f>
        <v>2.2454567212846589E-36</v>
      </c>
      <c r="F305" s="26">
        <f>Ft!C$3*EXP(Ft!C$38*($A305-Ft!C$2)^2)</f>
        <v>1.2182341272869337</v>
      </c>
      <c r="G305" s="26">
        <f>Ft!D$3*EXP(Ft!D$38*($A305-Ft!D$2)^2)</f>
        <v>12.013488386884806</v>
      </c>
      <c r="H305" s="26">
        <f>Ft!E$3*EXP(Ft!E$38*($A305-Ft!E$2)^2)</f>
        <v>0.1542726895464841</v>
      </c>
      <c r="I305" s="26">
        <f>Ft!F$3*EXP(Ft!F$38*($A305-Ft!F$2)^2)</f>
        <v>5.8355760350964944E-100</v>
      </c>
      <c r="J305" s="26">
        <f>Ft!G$3*EXP(Ft!G$38*($A305-Ft!G$2)^2)</f>
        <v>0</v>
      </c>
    </row>
    <row r="306" spans="1:10">
      <c r="A306" s="19">
        <v>304</v>
      </c>
      <c r="B306" s="28">
        <v>48.305268424173534</v>
      </c>
      <c r="C306" s="27">
        <f ca="1">OFFSET($B306,1*(ROWS(C$2:C306)-1),0)</f>
        <v>6.0931337613878611</v>
      </c>
      <c r="D306" s="26">
        <f>Ft!B$3*EXP(Ft!B$38*($A306-Ft!B$2)^2) +Ft!C$3*EXP(Ft!C$38*($A306-Ft!C$2)^2) + Ft!D$3*EXP(Ft!D$38*($A306-Ft!D$2)^2)+Ft!E$3*EXP(Ft!E$38*($A306-Ft!E$2)^2) +Ft!F$3*EXP(Ft!F$38*($A306-Ft!F$2)^2) + Ft!G$3*EXP(Ft!G$38*($A306-Ft!G$2)^2)</f>
        <v>13.427222239509605</v>
      </c>
      <c r="E306" s="26">
        <f>Ft!B$3*EXP(Ft!B$38*($A306-Ft!B$2)^2)</f>
        <v>1.174705603781972E-36</v>
      </c>
      <c r="F306" s="26">
        <f>Ft!C$3*EXP(Ft!C$38*($A306-Ft!C$2)^2)</f>
        <v>1.1876944825387872</v>
      </c>
      <c r="G306" s="26">
        <f>Ft!D$3*EXP(Ft!D$38*($A306-Ft!D$2)^2)</f>
        <v>12.082427280958653</v>
      </c>
      <c r="H306" s="26">
        <f>Ft!E$3*EXP(Ft!E$38*($A306-Ft!E$2)^2)</f>
        <v>0.15710047601216615</v>
      </c>
      <c r="I306" s="26">
        <f>Ft!F$3*EXP(Ft!F$38*($A306-Ft!F$2)^2)</f>
        <v>1.0981119805173608E-99</v>
      </c>
      <c r="J306" s="26">
        <f>Ft!G$3*EXP(Ft!G$38*($A306-Ft!G$2)^2)</f>
        <v>0</v>
      </c>
    </row>
    <row r="307" spans="1:10">
      <c r="A307" s="19">
        <v>305</v>
      </c>
      <c r="B307" s="28">
        <v>48.284450351471776</v>
      </c>
      <c r="C307" s="27">
        <f ca="1">OFFSET($B307,1*(ROWS(C$2:C307)-1),0)</f>
        <v>5.7872068303655908</v>
      </c>
      <c r="D307" s="26">
        <f>Ft!B$3*EXP(Ft!B$38*($A307-Ft!B$2)^2) +Ft!C$3*EXP(Ft!C$38*($A307-Ft!C$2)^2) + Ft!D$3*EXP(Ft!D$38*($A307-Ft!D$2)^2)+Ft!E$3*EXP(Ft!E$38*($A307-Ft!E$2)^2) +Ft!F$3*EXP(Ft!F$38*($A307-Ft!F$2)^2) + Ft!G$3*EXP(Ft!G$38*($A307-Ft!G$2)^2)</f>
        <v>13.468959822453627</v>
      </c>
      <c r="E307" s="26">
        <f>Ft!B$3*EXP(Ft!B$38*($A307-Ft!B$2)^2)</f>
        <v>6.1300295248388901E-37</v>
      </c>
      <c r="F307" s="26">
        <f>Ft!C$3*EXP(Ft!C$38*($A307-Ft!C$2)^2)</f>
        <v>1.1577404672044997</v>
      </c>
      <c r="G307" s="26">
        <f>Ft!D$3*EXP(Ft!D$38*($A307-Ft!D$2)^2)</f>
        <v>12.15124492939921</v>
      </c>
      <c r="H307" s="26">
        <f>Ft!E$3*EXP(Ft!E$38*($A307-Ft!E$2)^2)</f>
        <v>0.15997442584991672</v>
      </c>
      <c r="I307" s="26">
        <f>Ft!F$3*EXP(Ft!F$38*($A307-Ft!F$2)^2)</f>
        <v>2.0645828854767727E-99</v>
      </c>
      <c r="J307" s="26">
        <f>Ft!G$3*EXP(Ft!G$38*($A307-Ft!G$2)^2)</f>
        <v>0</v>
      </c>
    </row>
    <row r="308" spans="1:10">
      <c r="A308" s="19">
        <v>306</v>
      </c>
      <c r="B308" s="28">
        <v>48.288242600902038</v>
      </c>
      <c r="C308" s="27">
        <f ca="1">OFFSET($B308,1*(ROWS(C$2:C308)-1),0)</f>
        <v>5.4743202600646157</v>
      </c>
      <c r="D308" s="26">
        <f>Ft!B$3*EXP(Ft!B$38*($A308-Ft!B$2)^2) +Ft!C$3*EXP(Ft!C$38*($A308-Ft!C$2)^2) + Ft!D$3*EXP(Ft!D$38*($A308-Ft!D$2)^2)+Ft!E$3*EXP(Ft!E$38*($A308-Ft!E$2)^2) +Ft!F$3*EXP(Ft!F$38*($A308-Ft!F$2)^2) + Ft!G$3*EXP(Ft!G$38*($A308-Ft!G$2)^2)</f>
        <v>13.511196453882913</v>
      </c>
      <c r="E308" s="26">
        <f>Ft!B$3*EXP(Ft!B$38*($A308-Ft!B$2)^2)</f>
        <v>3.1908417527009349E-37</v>
      </c>
      <c r="F308" s="26">
        <f>Ft!C$3*EXP(Ft!C$38*($A308-Ft!C$2)^2)</f>
        <v>1.1283665049380172</v>
      </c>
      <c r="G308" s="26">
        <f>Ft!D$3*EXP(Ft!D$38*($A308-Ft!D$2)^2)</f>
        <v>12.219934770943036</v>
      </c>
      <c r="H308" s="26">
        <f>Ft!E$3*EXP(Ft!E$38*($A308-Ft!E$2)^2)</f>
        <v>0.16289517800186129</v>
      </c>
      <c r="I308" s="26">
        <f>Ft!F$3*EXP(Ft!F$38*($A308-Ft!F$2)^2)</f>
        <v>3.8782947425891493E-99</v>
      </c>
      <c r="J308" s="26">
        <f>Ft!G$3*EXP(Ft!G$38*($A308-Ft!G$2)^2)</f>
        <v>0</v>
      </c>
    </row>
    <row r="309" spans="1:10">
      <c r="A309" s="19">
        <v>307</v>
      </c>
      <c r="B309" s="28">
        <v>48.279102920564469</v>
      </c>
      <c r="C309" s="27">
        <f ca="1">OFFSET($B309,1*(ROWS(C$2:C309)-1),0)</f>
        <v>5.0960320213044952</v>
      </c>
      <c r="D309" s="26">
        <f>Ft!B$3*EXP(Ft!B$38*($A309-Ft!B$2)^2) +Ft!C$3*EXP(Ft!C$38*($A309-Ft!C$2)^2) + Ft!D$3*EXP(Ft!D$38*($A309-Ft!D$2)^2)+Ft!E$3*EXP(Ft!E$38*($A309-Ft!E$2)^2) +Ft!F$3*EXP(Ft!F$38*($A309-Ft!F$2)^2) + Ft!G$3*EXP(Ft!G$38*($A309-Ft!G$2)^2)</f>
        <v>13.553920494949875</v>
      </c>
      <c r="E309" s="26">
        <f>Ft!B$3*EXP(Ft!B$38*($A309-Ft!B$2)^2)</f>
        <v>1.6567506146616149E-37</v>
      </c>
      <c r="F309" s="26">
        <f>Ft!C$3*EXP(Ft!C$38*($A309-Ft!C$2)^2)</f>
        <v>1.0995668934331264</v>
      </c>
      <c r="G309" s="26">
        <f>Ft!D$3*EXP(Ft!D$38*($A309-Ft!D$2)^2)</f>
        <v>12.288490223450689</v>
      </c>
      <c r="H309" s="26">
        <f>Ft!E$3*EXP(Ft!E$38*($A309-Ft!E$2)^2)</f>
        <v>0.16586337806606039</v>
      </c>
      <c r="I309" s="26">
        <f>Ft!F$3*EXP(Ft!F$38*($A309-Ft!F$2)^2)</f>
        <v>7.2790063052141007E-99</v>
      </c>
      <c r="J309" s="26">
        <f>Ft!G$3*EXP(Ft!G$38*($A309-Ft!G$2)^2)</f>
        <v>0</v>
      </c>
    </row>
    <row r="310" spans="1:10">
      <c r="A310" s="19">
        <v>308</v>
      </c>
      <c r="B310" s="28">
        <v>48.277677120078778</v>
      </c>
      <c r="C310" s="27">
        <f ca="1">OFFSET($B310,1*(ROWS(C$2:C310)-1),0)</f>
        <v>4.755012261594743</v>
      </c>
      <c r="D310" s="26">
        <f>Ft!B$3*EXP(Ft!B$38*($A310-Ft!B$2)^2) +Ft!C$3*EXP(Ft!C$38*($A310-Ft!C$2)^2) + Ft!D$3*EXP(Ft!D$38*($A310-Ft!D$2)^2)+Ft!E$3*EXP(Ft!E$38*($A310-Ft!E$2)^2) +Ft!F$3*EXP(Ft!F$38*($A310-Ft!F$2)^2) + Ft!G$3*EXP(Ft!G$38*($A310-Ft!G$2)^2)</f>
        <v>13.597120174356169</v>
      </c>
      <c r="E310" s="26">
        <f>Ft!B$3*EXP(Ft!B$38*($A310-Ft!B$2)^2)</f>
        <v>8.5806105052494397E-38</v>
      </c>
      <c r="F310" s="26">
        <f>Ft!C$3*EXP(Ft!C$38*($A310-Ft!C$2)^2)</f>
        <v>1.0713358111188123</v>
      </c>
      <c r="G310" s="26">
        <f>Ft!D$3*EXP(Ft!D$38*($A310-Ft!D$2)^2)</f>
        <v>12.356904684911674</v>
      </c>
      <c r="H310" s="26">
        <f>Ft!E$3*EXP(Ft!E$38*($A310-Ft!E$2)^2)</f>
        <v>0.16887967832568301</v>
      </c>
      <c r="I310" s="26">
        <f>Ft!F$3*EXP(Ft!F$38*($A310-Ft!F$2)^2)</f>
        <v>1.3649796450770832E-98</v>
      </c>
      <c r="J310" s="26">
        <f>Ft!G$3*EXP(Ft!G$38*($A310-Ft!G$2)^2)</f>
        <v>0</v>
      </c>
    </row>
    <row r="311" spans="1:10">
      <c r="A311" s="19">
        <v>309</v>
      </c>
      <c r="B311" s="28">
        <v>48.272871020068692</v>
      </c>
      <c r="C311" s="27">
        <f ca="1">OFFSET($B311,1*(ROWS(C$2:C311)-1),0)</f>
        <v>4.4290079885812474</v>
      </c>
      <c r="D311" s="26">
        <f>Ft!B$3*EXP(Ft!B$38*($A311-Ft!B$2)^2) +Ft!C$3*EXP(Ft!C$38*($A311-Ft!C$2)^2) + Ft!D$3*EXP(Ft!D$38*($A311-Ft!D$2)^2)+Ft!E$3*EXP(Ft!E$38*($A311-Ft!E$2)^2) +Ft!F$3*EXP(Ft!F$38*($A311-Ft!F$2)^2) + Ft!G$3*EXP(Ft!G$38*($A311-Ft!G$2)^2)</f>
        <v>13.640783596012581</v>
      </c>
      <c r="E311" s="26">
        <f>Ft!B$3*EXP(Ft!B$38*($A311-Ft!B$2)^2)</f>
        <v>4.432904868243937E-38</v>
      </c>
      <c r="F311" s="26">
        <f>Ft!C$3*EXP(Ft!C$38*($A311-Ft!C$2)^2)</f>
        <v>1.043667323775725</v>
      </c>
      <c r="G311" s="26">
        <f>Ft!D$3*EXP(Ft!D$38*($A311-Ft!D$2)^2)</f>
        <v>12.425171534459338</v>
      </c>
      <c r="H311" s="26">
        <f>Ft!E$3*EXP(Ft!E$38*($A311-Ft!E$2)^2)</f>
        <v>0.17194473777751643</v>
      </c>
      <c r="I311" s="26">
        <f>Ft!F$3*EXP(Ft!F$38*($A311-Ft!F$2)^2)</f>
        <v>2.5574258470144144E-98</v>
      </c>
      <c r="J311" s="26">
        <f>Ft!G$3*EXP(Ft!G$38*($A311-Ft!G$2)^2)</f>
        <v>0</v>
      </c>
    </row>
    <row r="312" spans="1:10">
      <c r="A312" s="19">
        <v>310</v>
      </c>
      <c r="B312" s="28">
        <v>48.289875596066395</v>
      </c>
      <c r="C312" s="27">
        <f ca="1">OFFSET($B312,1*(ROWS(C$2:C312)-1),0)</f>
        <v>4.143488832414107</v>
      </c>
      <c r="D312" s="26">
        <f>Ft!B$3*EXP(Ft!B$38*($A312-Ft!B$2)^2) +Ft!C$3*EXP(Ft!C$38*($A312-Ft!C$2)^2) + Ft!D$3*EXP(Ft!D$38*($A312-Ft!D$2)^2)+Ft!E$3*EXP(Ft!E$38*($A312-Ft!E$2)^2) +Ft!F$3*EXP(Ft!F$38*($A312-Ft!F$2)^2) + Ft!G$3*EXP(Ft!G$38*($A312-Ft!G$2)^2)</f>
        <v>13.684898746624894</v>
      </c>
      <c r="E312" s="26">
        <f>Ft!B$3*EXP(Ft!B$38*($A312-Ft!B$2)^2)</f>
        <v>2.2843771533305722E-38</v>
      </c>
      <c r="F312" s="26">
        <f>Ft!C$3*EXP(Ft!C$38*($A312-Ft!C$2)^2)</f>
        <v>1.0165553910696954</v>
      </c>
      <c r="G312" s="26">
        <f>Ft!D$3*EXP(Ft!D$38*($A312-Ft!D$2)^2)</f>
        <v>12.493284133395402</v>
      </c>
      <c r="H312" s="26">
        <f>Ft!E$3*EXP(Ft!E$38*($A312-Ft!E$2)^2)</f>
        <v>0.17505922215979589</v>
      </c>
      <c r="I312" s="26">
        <f>Ft!F$3*EXP(Ft!F$38*($A312-Ft!F$2)^2)</f>
        <v>4.7874331270755125E-98</v>
      </c>
      <c r="J312" s="26">
        <f>Ft!G$3*EXP(Ft!G$38*($A312-Ft!G$2)^2)</f>
        <v>0</v>
      </c>
    </row>
    <row r="313" spans="1:10">
      <c r="A313" s="19">
        <v>311</v>
      </c>
      <c r="B313" s="28">
        <v>48.27411620300731</v>
      </c>
      <c r="C313" s="27">
        <f ca="1">OFFSET($B313,1*(ROWS(C$2:C313)-1),0)</f>
        <v>3.7753173940984937</v>
      </c>
      <c r="D313" s="26">
        <f>Ft!B$3*EXP(Ft!B$38*($A313-Ft!B$2)^2) +Ft!C$3*EXP(Ft!C$38*($A313-Ft!C$2)^2) + Ft!D$3*EXP(Ft!D$38*($A313-Ft!D$2)^2)+Ft!E$3*EXP(Ft!E$38*($A313-Ft!E$2)^2) +Ft!F$3*EXP(Ft!F$38*($A313-Ft!F$2)^2) + Ft!G$3*EXP(Ft!G$38*($A313-Ft!G$2)^2)</f>
        <v>13.729453503201759</v>
      </c>
      <c r="E313" s="26">
        <f>Ft!B$3*EXP(Ft!B$38*($A313-Ft!B$2)^2)</f>
        <v>1.1742386713447297E-38</v>
      </c>
      <c r="F313" s="26">
        <f>Ft!C$3*EXP(Ft!C$38*($A313-Ft!C$2)^2)</f>
        <v>0.98999387299840713</v>
      </c>
      <c r="G313" s="26">
        <f>Ft!D$3*EXP(Ft!D$38*($A313-Ft!D$2)^2)</f>
        <v>12.561235826224019</v>
      </c>
      <c r="H313" s="26">
        <f>Ft!E$3*EXP(Ft!E$38*($A313-Ft!E$2)^2)</f>
        <v>0.17822380397933235</v>
      </c>
      <c r="I313" s="26">
        <f>Ft!F$3*EXP(Ft!F$38*($A313-Ft!F$2)^2)</f>
        <v>8.954166930108319E-98</v>
      </c>
      <c r="J313" s="26">
        <f>Ft!G$3*EXP(Ft!G$38*($A313-Ft!G$2)^2)</f>
        <v>0</v>
      </c>
    </row>
    <row r="314" spans="1:10">
      <c r="A314" s="19">
        <v>312</v>
      </c>
      <c r="B314" s="28">
        <v>48.272978543089778</v>
      </c>
      <c r="C314" s="27">
        <f ca="1">OFFSET($B314,1*(ROWS(C$2:C314)-1),0)</f>
        <v>3.4020476343703194</v>
      </c>
      <c r="D314" s="26">
        <f>Ft!B$3*EXP(Ft!B$38*($A314-Ft!B$2)^2) +Ft!C$3*EXP(Ft!C$38*($A314-Ft!C$2)^2) + Ft!D$3*EXP(Ft!D$38*($A314-Ft!D$2)^2)+Ft!E$3*EXP(Ft!E$38*($A314-Ft!E$2)^2) +Ft!F$3*EXP(Ft!F$38*($A314-Ft!F$2)^2) + Ft!G$3*EXP(Ft!G$38*($A314-Ft!G$2)^2)</f>
        <v>13.774435640480554</v>
      </c>
      <c r="E314" s="26">
        <f>Ft!B$3*EXP(Ft!B$38*($A314-Ft!B$2)^2)</f>
        <v>6.0207989338984134E-39</v>
      </c>
      <c r="F314" s="26">
        <f>Ft!C$3*EXP(Ft!C$38*($A314-Ft!C$2)^2)</f>
        <v>0.96397653624754254</v>
      </c>
      <c r="G314" s="26">
        <f>Ft!D$3*EXP(Ft!D$38*($A314-Ft!D$2)^2)</f>
        <v>12.629019941695088</v>
      </c>
      <c r="H314" s="26">
        <f>Ft!E$3*EXP(Ft!E$38*($A314-Ft!E$2)^2)</f>
        <v>0.18143916253792422</v>
      </c>
      <c r="I314" s="26">
        <f>Ft!F$3*EXP(Ft!F$38*($A314-Ft!F$2)^2)</f>
        <v>1.6732870423964641E-97</v>
      </c>
      <c r="J314" s="26">
        <f>Ft!G$3*EXP(Ft!G$38*($A314-Ft!G$2)^2)</f>
        <v>0</v>
      </c>
    </row>
    <row r="315" spans="1:10">
      <c r="A315" s="19">
        <v>313</v>
      </c>
      <c r="B315" s="28">
        <v>48.285653082453535</v>
      </c>
      <c r="C315" s="27">
        <f ca="1">OFFSET($B315,1*(ROWS(C$2:C315)-1),0)</f>
        <v>3.101959773675361</v>
      </c>
      <c r="D315" s="26">
        <f>Ft!B$3*EXP(Ft!B$38*($A315-Ft!B$2)^2) +Ft!C$3*EXP(Ft!C$38*($A315-Ft!C$2)^2) + Ft!D$3*EXP(Ft!D$38*($A315-Ft!D$2)^2)+Ft!E$3*EXP(Ft!E$38*($A315-Ft!E$2)^2) +Ft!F$3*EXP(Ft!F$38*($A315-Ft!F$2)^2) + Ft!G$3*EXP(Ft!G$38*($A315-Ft!G$2)^2)</f>
        <v>13.819832838267549</v>
      </c>
      <c r="E315" s="26">
        <f>Ft!B$3*EXP(Ft!B$38*($A315-Ft!B$2)^2)</f>
        <v>3.0793641073851164E-39</v>
      </c>
      <c r="F315" s="26">
        <f>Ft!C$3*EXP(Ft!C$38*($A315-Ft!C$2)^2)</f>
        <v>0.93849706045289105</v>
      </c>
      <c r="G315" s="26">
        <f>Ft!D$3*EXP(Ft!D$38*($A315-Ft!D$2)^2)</f>
        <v>12.696629793856628</v>
      </c>
      <c r="H315" s="26">
        <f>Ft!E$3*EXP(Ft!E$38*($A315-Ft!E$2)^2)</f>
        <v>0.18470598395803015</v>
      </c>
      <c r="I315" s="26">
        <f>Ft!F$3*EXP(Ft!F$38*($A315-Ft!F$2)^2)</f>
        <v>3.1241976750396899E-97</v>
      </c>
      <c r="J315" s="26">
        <f>Ft!G$3*EXP(Ft!G$38*($A315-Ft!G$2)^2)</f>
        <v>0</v>
      </c>
    </row>
    <row r="316" spans="1:10">
      <c r="A316" s="19">
        <v>314</v>
      </c>
      <c r="B316" s="28">
        <v>48.293325054205866</v>
      </c>
      <c r="C316" s="27">
        <f ca="1">OFFSET($B316,1*(ROWS(C$2:C316)-1),0)</f>
        <v>2.8482086619251277</v>
      </c>
      <c r="D316" s="26">
        <f>Ft!B$3*EXP(Ft!B$38*($A316-Ft!B$2)^2) +Ft!C$3*EXP(Ft!C$38*($A316-Ft!C$2)^2) + Ft!D$3*EXP(Ft!D$38*($A316-Ft!D$2)^2)+Ft!E$3*EXP(Ft!E$38*($A316-Ft!E$2)^2) +Ft!F$3*EXP(Ft!F$38*($A316-Ft!F$2)^2) + Ft!G$3*EXP(Ft!G$38*($A316-Ft!G$2)^2)</f>
        <v>13.865632688688805</v>
      </c>
      <c r="E316" s="26">
        <f>Ft!B$3*EXP(Ft!B$38*($A316-Ft!B$2)^2)</f>
        <v>1.5710034432535455E-39</v>
      </c>
      <c r="F316" s="26">
        <f>Ft!C$3*EXP(Ft!C$38*($A316-Ft!C$2)^2)</f>
        <v>0.91354904436513285</v>
      </c>
      <c r="G316" s="26">
        <f>Ft!D$3*EXP(Ft!D$38*($A316-Ft!D$2)^2)</f>
        <v>12.764058683115984</v>
      </c>
      <c r="H316" s="26">
        <f>Ft!E$3*EXP(Ft!E$38*($A316-Ft!E$2)^2)</f>
        <v>0.18802496120768813</v>
      </c>
      <c r="I316" s="26">
        <f>Ft!F$3*EXP(Ft!F$38*($A316-Ft!F$2)^2)</f>
        <v>5.8281317018487161E-97</v>
      </c>
      <c r="J316" s="26">
        <f>Ft!G$3*EXP(Ft!G$38*($A316-Ft!G$2)^2)</f>
        <v>0</v>
      </c>
    </row>
    <row r="317" spans="1:10">
      <c r="A317" s="19">
        <v>315</v>
      </c>
      <c r="B317" s="28">
        <v>48.272801797548652</v>
      </c>
      <c r="C317" s="27">
        <f ca="1">OFFSET($B317,1*(ROWS(C$2:C317)-1),0)</f>
        <v>2.5800705780271471</v>
      </c>
      <c r="D317" s="26">
        <f>Ft!B$3*EXP(Ft!B$38*($A317-Ft!B$2)^2) +Ft!C$3*EXP(Ft!C$38*($A317-Ft!C$2)^2) + Ft!D$3*EXP(Ft!D$38*($A317-Ft!D$2)^2)+Ft!E$3*EXP(Ft!E$38*($A317-Ft!E$2)^2) +Ft!F$3*EXP(Ft!F$38*($A317-Ft!F$2)^2) + Ft!G$3*EXP(Ft!G$38*($A317-Ft!G$2)^2)</f>
        <v>13.911822703348472</v>
      </c>
      <c r="E317" s="26">
        <f>Ft!B$3*EXP(Ft!B$38*($A317-Ft!B$2)^2)</f>
        <v>7.9947042904035007E-40</v>
      </c>
      <c r="F317" s="26">
        <f>Ft!C$3*EXP(Ft!C$38*($A317-Ft!C$2)^2)</f>
        <v>0.8891260119141664</v>
      </c>
      <c r="G317" s="26">
        <f>Ft!D$3*EXP(Ft!D$38*($A317-Ft!D$2)^2)</f>
        <v>12.831299897309647</v>
      </c>
      <c r="H317" s="26">
        <f>Ft!E$3*EXP(Ft!E$38*($A317-Ft!E$2)^2)</f>
        <v>0.19139679412465793</v>
      </c>
      <c r="I317" s="26">
        <f>Ft!F$3*EXP(Ft!F$38*($A317-Ft!F$2)^2)</f>
        <v>1.0862830551342713E-96</v>
      </c>
      <c r="J317" s="26">
        <f>Ft!G$3*EXP(Ft!G$38*($A317-Ft!G$2)^2)</f>
        <v>0</v>
      </c>
    </row>
    <row r="318" spans="1:10">
      <c r="A318" s="19">
        <v>316</v>
      </c>
      <c r="B318" s="28">
        <v>48.264178407994535</v>
      </c>
      <c r="C318" s="27">
        <f ca="1">OFFSET($B318,1*(ROWS(C$2:C318)-1),0)</f>
        <v>2.3264812278350746</v>
      </c>
      <c r="D318" s="26">
        <f>Ft!B$3*EXP(Ft!B$38*($A318-Ft!B$2)^2) +Ft!C$3*EXP(Ft!C$38*($A318-Ft!C$2)^2) + Ft!D$3*EXP(Ft!D$38*($A318-Ft!D$2)^2)+Ft!E$3*EXP(Ft!E$38*($A318-Ft!E$2)^2) +Ft!F$3*EXP(Ft!F$38*($A318-Ft!F$2)^2) + Ft!G$3*EXP(Ft!G$38*($A318-Ft!G$2)^2)</f>
        <v>13.958390320391299</v>
      </c>
      <c r="E318" s="26">
        <f>Ft!B$3*EXP(Ft!B$38*($A318-Ft!B$2)^2)</f>
        <v>4.0582317707796958E-40</v>
      </c>
      <c r="F318" s="26">
        <f>Ft!C$3*EXP(Ft!C$38*($A318-Ft!C$2)^2)</f>
        <v>0.86522141817006404</v>
      </c>
      <c r="G318" s="26">
        <f>Ft!D$3*EXP(Ft!D$38*($A318-Ft!D$2)^2)</f>
        <v>12.898346712781464</v>
      </c>
      <c r="H318" s="26">
        <f>Ft!E$3*EXP(Ft!E$38*($A318-Ft!E$2)^2)</f>
        <v>0.1948221894397702</v>
      </c>
      <c r="I318" s="26">
        <f>Ft!F$3*EXP(Ft!F$38*($A318-Ft!F$2)^2)</f>
        <v>2.0229234478047787E-96</v>
      </c>
      <c r="J318" s="26">
        <f>Ft!G$3*EXP(Ft!G$38*($A318-Ft!G$2)^2)</f>
        <v>0</v>
      </c>
    </row>
    <row r="319" spans="1:10">
      <c r="A319" s="19">
        <v>317</v>
      </c>
      <c r="B319" s="28">
        <v>48.279542851968529</v>
      </c>
      <c r="C319" s="27">
        <f ca="1">OFFSET($B319,1*(ROWS(C$2:C319)-1),0)</f>
        <v>2.0727790975968219</v>
      </c>
      <c r="D319" s="26">
        <f>Ft!B$3*EXP(Ft!B$38*($A319-Ft!B$2)^2) +Ft!C$3*EXP(Ft!C$38*($A319-Ft!C$2)^2) + Ft!D$3*EXP(Ft!D$38*($A319-Ft!D$2)^2)+Ft!E$3*EXP(Ft!E$38*($A319-Ft!E$2)^2) +Ft!F$3*EXP(Ft!F$38*($A319-Ft!F$2)^2) + Ft!G$3*EXP(Ft!G$38*($A319-Ft!G$2)^2)</f>
        <v>14.005322911466385</v>
      </c>
      <c r="E319" s="26">
        <f>Ft!B$3*EXP(Ft!B$38*($A319-Ft!B$2)^2)</f>
        <v>2.0548515986834944E-40</v>
      </c>
      <c r="F319" s="26">
        <f>Ft!C$3*EXP(Ft!C$38*($A319-Ft!C$2)^2)</f>
        <v>0.84182865519791972</v>
      </c>
      <c r="G319" s="26">
        <f>Ft!D$3*EXP(Ft!D$38*($A319-Ft!D$2)^2)</f>
        <v>12.965192395469</v>
      </c>
      <c r="H319" s="26">
        <f>Ft!E$3*EXP(Ft!E$38*($A319-Ft!E$2)^2)</f>
        <v>0.19830186079946382</v>
      </c>
      <c r="I319" s="26">
        <f>Ft!F$3*EXP(Ft!F$38*($A319-Ft!F$2)^2)</f>
        <v>3.7639052921609253E-96</v>
      </c>
      <c r="J319" s="26">
        <f>Ft!G$3*EXP(Ft!G$38*($A319-Ft!G$2)^2)</f>
        <v>0</v>
      </c>
    </row>
    <row r="320" spans="1:10">
      <c r="A320" s="19">
        <v>318</v>
      </c>
      <c r="B320" s="28">
        <v>48.280126515757331</v>
      </c>
      <c r="C320" s="27">
        <f ca="1">OFFSET($B320,1*(ROWS(C$2:C320)-1),0)</f>
        <v>1.8788834231988858</v>
      </c>
      <c r="D320" s="26">
        <f>Ft!B$3*EXP(Ft!B$38*($A320-Ft!B$2)^2) +Ft!C$3*EXP(Ft!C$38*($A320-Ft!C$2)^2) + Ft!D$3*EXP(Ft!D$38*($A320-Ft!D$2)^2)+Ft!E$3*EXP(Ft!E$38*($A320-Ft!E$2)^2) +Ft!F$3*EXP(Ft!F$38*($A320-Ft!F$2)^2) + Ft!G$3*EXP(Ft!G$38*($A320-Ft!G$2)^2)</f>
        <v>14.052607788589329</v>
      </c>
      <c r="E320" s="26">
        <f>Ft!B$3*EXP(Ft!B$38*($A320-Ft!B$2)^2)</f>
        <v>1.0378468055009022E-40</v>
      </c>
      <c r="F320" s="26">
        <f>Ft!C$3*EXP(Ft!C$38*($A320-Ft!C$2)^2)</f>
        <v>0.81894105780403526</v>
      </c>
      <c r="G320" s="26">
        <f>Ft!D$3*EXP(Ft!D$38*($A320-Ft!D$2)^2)</f>
        <v>13.031830201997805</v>
      </c>
      <c r="H320" s="26">
        <f>Ft!E$3*EXP(Ft!E$38*($A320-Ft!E$2)^2)</f>
        <v>0.20183652878748837</v>
      </c>
      <c r="I320" s="26">
        <f>Ft!F$3*EXP(Ft!F$38*($A320-Ft!F$2)^2)</f>
        <v>6.9971425443580103E-96</v>
      </c>
      <c r="J320" s="26">
        <f>Ft!G$3*EXP(Ft!G$38*($A320-Ft!G$2)^2)</f>
        <v>0</v>
      </c>
    </row>
    <row r="321" spans="1:10">
      <c r="A321" s="19">
        <v>319</v>
      </c>
      <c r="B321" s="28">
        <v>48.278774277689308</v>
      </c>
      <c r="C321" s="27">
        <f ca="1">OFFSET($B321,1*(ROWS(C$2:C321)-1),0)</f>
        <v>1.6822352364906692</v>
      </c>
      <c r="D321" s="26">
        <f>Ft!B$3*EXP(Ft!B$38*($A321-Ft!B$2)^2) +Ft!C$3*EXP(Ft!C$38*($A321-Ft!C$2)^2) + Ft!D$3*EXP(Ft!D$38*($A321-Ft!D$2)^2)+Ft!E$3*EXP(Ft!E$38*($A321-Ft!E$2)^2) +Ft!F$3*EXP(Ft!F$38*($A321-Ft!F$2)^2) + Ft!G$3*EXP(Ft!G$38*($A321-Ft!G$2)^2)</f>
        <v>14.100232210900225</v>
      </c>
      <c r="E321" s="26">
        <f>Ft!B$3*EXP(Ft!B$38*($A321-Ft!B$2)^2)</f>
        <v>5.2287179721739499E-41</v>
      </c>
      <c r="F321" s="26">
        <f>Ft!C$3*EXP(Ft!C$38*($A321-Ft!C$2)^2)</f>
        <v>0.79655190917108354</v>
      </c>
      <c r="G321" s="26">
        <f>Ft!D$3*EXP(Ft!D$38*($A321-Ft!D$2)^2)</f>
        <v>13.098253380783385</v>
      </c>
      <c r="H321" s="26">
        <f>Ft!E$3*EXP(Ft!E$38*($A321-Ft!E$2)^2)</f>
        <v>0.2054269209457564</v>
      </c>
      <c r="I321" s="26">
        <f>Ft!F$3*EXP(Ft!F$38*($A321-Ft!F$2)^2)</f>
        <v>1.2996474262317134E-95</v>
      </c>
      <c r="J321" s="26">
        <f>Ft!G$3*EXP(Ft!G$38*($A321-Ft!G$2)^2)</f>
        <v>0</v>
      </c>
    </row>
    <row r="322" spans="1:10">
      <c r="A322" s="19">
        <v>320</v>
      </c>
      <c r="B322" s="28">
        <v>48.289552414484945</v>
      </c>
      <c r="C322" s="27">
        <f ca="1">OFFSET($B322,1*(ROWS(C$2:C322)-1),0)</f>
        <v>1.507841347211837</v>
      </c>
      <c r="D322" s="26">
        <f>Ft!B$3*EXP(Ft!B$38*($A322-Ft!B$2)^2) +Ft!C$3*EXP(Ft!C$38*($A322-Ft!C$2)^2) + Ft!D$3*EXP(Ft!D$38*($A322-Ft!D$2)^2)+Ft!E$3*EXP(Ft!E$38*($A322-Ft!E$2)^2) +Ft!F$3*EXP(Ft!F$38*($A322-Ft!F$2)^2) + Ft!G$3*EXP(Ft!G$38*($A322-Ft!G$2)^2)</f>
        <v>14.148183391314976</v>
      </c>
      <c r="E322" s="26">
        <f>Ft!B$3*EXP(Ft!B$38*($A322-Ft!B$2)^2)</f>
        <v>2.6276429746153821E-41</v>
      </c>
      <c r="F322" s="26">
        <f>Ft!C$3*EXP(Ft!C$38*($A322-Ft!C$2)^2)</f>
        <v>0.77465444638006564</v>
      </c>
      <c r="G322" s="26">
        <f>Ft!D$3*EXP(Ft!D$38*($A322-Ft!D$2)^2)</f>
        <v>13.164455173140588</v>
      </c>
      <c r="H322" s="26">
        <f>Ft!E$3*EXP(Ft!E$38*($A322-Ft!E$2)^2)</f>
        <v>0.20907377179432232</v>
      </c>
      <c r="I322" s="26">
        <f>Ft!F$3*EXP(Ft!F$38*($A322-Ft!F$2)^2)</f>
        <v>2.4118660051060575E-95</v>
      </c>
      <c r="J322" s="26">
        <f>Ft!G$3*EXP(Ft!G$38*($A322-Ft!G$2)^2)</f>
        <v>0</v>
      </c>
    </row>
    <row r="323" spans="1:10">
      <c r="A323" s="19">
        <v>321</v>
      </c>
      <c r="B323" s="28">
        <v>48.297014071910382</v>
      </c>
      <c r="C323" s="27">
        <f ca="1">OFFSET($B323,1*(ROWS(C$2:C323)-1),0)</f>
        <v>1.3393127867776968</v>
      </c>
      <c r="D323" s="26">
        <f>Ft!B$3*EXP(Ft!B$38*($A323-Ft!B$2)^2) +Ft!C$3*EXP(Ft!C$38*($A323-Ft!C$2)^2) + Ft!D$3*EXP(Ft!D$38*($A323-Ft!D$2)^2)+Ft!E$3*EXP(Ft!E$38*($A323-Ft!E$2)^2) +Ft!F$3*EXP(Ft!F$38*($A323-Ft!F$2)^2) + Ft!G$3*EXP(Ft!G$38*($A323-Ft!G$2)^2)</f>
        <v>14.196448503067737</v>
      </c>
      <c r="E323" s="26">
        <f>Ft!B$3*EXP(Ft!B$38*($A323-Ft!B$2)^2)</f>
        <v>1.3171846741852531E-41</v>
      </c>
      <c r="F323" s="26">
        <f>Ft!C$3*EXP(Ft!C$38*($A323-Ft!C$2)^2)</f>
        <v>0.75324186581706465</v>
      </c>
      <c r="G323" s="26">
        <f>Ft!D$3*EXP(Ft!D$38*($A323-Ft!D$2)^2)</f>
        <v>13.2304288144002</v>
      </c>
      <c r="H323" s="26">
        <f>Ft!E$3*EXP(Ft!E$38*($A323-Ft!E$2)^2)</f>
        <v>0.21277782285047109</v>
      </c>
      <c r="I323" s="26">
        <f>Ft!F$3*EXP(Ft!F$38*($A323-Ft!F$2)^2)</f>
        <v>4.472018555675835E-95</v>
      </c>
      <c r="J323" s="26">
        <f>Ft!G$3*EXP(Ft!G$38*($A323-Ft!G$2)^2)</f>
        <v>0</v>
      </c>
    </row>
    <row r="324" spans="1:10">
      <c r="A324" s="19">
        <v>322</v>
      </c>
      <c r="B324" s="28">
        <v>48.305956844259612</v>
      </c>
      <c r="C324" s="27">
        <f ca="1">OFFSET($B324,1*(ROWS(C$2:C324)-1),0)</f>
        <v>1.1909848262066873</v>
      </c>
      <c r="D324" s="26">
        <f>Ft!B$3*EXP(Ft!B$38*($A324-Ft!B$2)^2) +Ft!C$3*EXP(Ft!C$38*($A324-Ft!C$2)^2) + Ft!D$3*EXP(Ft!D$38*($A324-Ft!D$2)^2)+Ft!E$3*EXP(Ft!E$38*($A324-Ft!E$2)^2) +Ft!F$3*EXP(Ft!F$38*($A324-Ft!F$2)^2) + Ft!G$3*EXP(Ft!G$38*($A324-Ft!G$2)^2)</f>
        <v>14.245014686142323</v>
      </c>
      <c r="E324" s="26">
        <f>Ft!B$3*EXP(Ft!B$38*($A324-Ft!B$2)^2)</f>
        <v>6.5862188262956595E-42</v>
      </c>
      <c r="F324" s="26">
        <f>Ft!C$3*EXP(Ft!C$38*($A324-Ft!C$2)^2)</f>
        <v>0.73230732846296587</v>
      </c>
      <c r="G324" s="26">
        <f>Ft!D$3*EXP(Ft!D$38*($A324-Ft!D$2)^2)</f>
        <v>13.296167535032463</v>
      </c>
      <c r="H324" s="26">
        <f>Ft!E$3*EXP(Ft!E$38*($A324-Ft!E$2)^2)</f>
        <v>0.21653982264689445</v>
      </c>
      <c r="I324" s="26">
        <f>Ft!F$3*EXP(Ft!F$38*($A324-Ft!F$2)^2)</f>
        <v>8.2847005026714299E-95</v>
      </c>
      <c r="J324" s="26">
        <f>Ft!G$3*EXP(Ft!G$38*($A324-Ft!G$2)^2)</f>
        <v>0</v>
      </c>
    </row>
    <row r="325" spans="1:10">
      <c r="A325" s="19">
        <v>323</v>
      </c>
      <c r="B325" s="28">
        <v>48.327434500597178</v>
      </c>
      <c r="C325" s="27">
        <f ca="1">OFFSET($B325,1*(ROWS(C$2:C325)-1),0)</f>
        <v>1.0262170257561252</v>
      </c>
      <c r="D325" s="26">
        <f>Ft!B$3*EXP(Ft!B$38*($A325-Ft!B$2)^2) +Ft!C$3*EXP(Ft!C$38*($A325-Ft!C$2)^2) + Ft!D$3*EXP(Ft!D$38*($A325-Ft!D$2)^2)+Ft!E$3*EXP(Ft!E$38*($A325-Ft!E$2)^2) +Ft!F$3*EXP(Ft!F$38*($A325-Ft!F$2)^2) + Ft!G$3*EXP(Ft!G$38*($A325-Ft!G$2)^2)</f>
        <v>14.29386905359075</v>
      </c>
      <c r="E325" s="26">
        <f>Ft!B$3*EXP(Ft!B$38*($A325-Ft!B$2)^2)</f>
        <v>3.2849957895690947E-42</v>
      </c>
      <c r="F325" s="26">
        <f>Ft!C$3*EXP(Ft!C$38*($A325-Ft!C$2)^2)</f>
        <v>0.71184396506450553</v>
      </c>
      <c r="G325" s="26">
        <f>Ft!D$3*EXP(Ft!D$38*($A325-Ft!D$2)^2)</f>
        <v>13.36166456177731</v>
      </c>
      <c r="H325" s="26">
        <f>Ft!E$3*EXP(Ft!E$38*($A325-Ft!E$2)^2)</f>
        <v>0.22036052674893575</v>
      </c>
      <c r="I325" s="26">
        <f>Ft!F$3*EXP(Ft!F$38*($A325-Ft!F$2)^2)</f>
        <v>1.5334613156789139E-94</v>
      </c>
      <c r="J325" s="26">
        <f>Ft!G$3*EXP(Ft!G$38*($A325-Ft!G$2)^2)</f>
        <v>0</v>
      </c>
    </row>
    <row r="326" spans="1:10">
      <c r="A326" s="19">
        <v>324</v>
      </c>
      <c r="B326" s="28">
        <v>48.341075081633392</v>
      </c>
      <c r="C326" s="27">
        <f ca="1">OFFSET($B326,1*(ROWS(C$2:C326)-1),0)</f>
        <v>0.92084087289555328</v>
      </c>
      <c r="D326" s="26">
        <f>Ft!B$3*EXP(Ft!B$38*($A326-Ft!B$2)^2) +Ft!C$3*EXP(Ft!C$38*($A326-Ft!C$2)^2) + Ft!D$3*EXP(Ft!D$38*($A326-Ft!D$2)^2)+Ft!E$3*EXP(Ft!E$38*($A326-Ft!E$2)^2) +Ft!F$3*EXP(Ft!F$38*($A326-Ft!F$2)^2) + Ft!G$3*EXP(Ft!G$38*($A326-Ft!G$2)^2)</f>
        <v>14.342998697737059</v>
      </c>
      <c r="E326" s="26">
        <f>Ft!B$3*EXP(Ft!B$38*($A326-Ft!B$2)^2)</f>
        <v>1.6343409130968498E-42</v>
      </c>
      <c r="F326" s="26">
        <f>Ft!C$3*EXP(Ft!C$38*($A326-Ft!C$2)^2)</f>
        <v>0.69184488118516541</v>
      </c>
      <c r="G326" s="26">
        <f>Ft!D$3*EXP(Ft!D$38*($A326-Ft!D$2)^2)</f>
        <v>13.426913118781011</v>
      </c>
      <c r="H326" s="26">
        <f>Ft!E$3*EXP(Ft!E$38*($A326-Ft!E$2)^2)</f>
        <v>0.22424069777088226</v>
      </c>
      <c r="I326" s="26">
        <f>Ft!F$3*EXP(Ft!F$38*($A326-Ft!F$2)^2)</f>
        <v>2.8359046952632655E-94</v>
      </c>
      <c r="J326" s="26">
        <f>Ft!G$3*EXP(Ft!G$38*($A326-Ft!G$2)^2)</f>
        <v>0</v>
      </c>
    </row>
    <row r="327" spans="1:10">
      <c r="A327" s="19">
        <v>325</v>
      </c>
      <c r="B327" s="28">
        <v>48.361065034668258</v>
      </c>
      <c r="C327" s="27">
        <f ca="1">OFFSET($B327,1*(ROWS(C$2:C327)-1),0)</f>
        <v>0.81692990215560712</v>
      </c>
      <c r="D327" s="26">
        <f>Ft!B$3*EXP(Ft!B$38*($A327-Ft!B$2)^2) +Ft!C$3*EXP(Ft!C$38*($A327-Ft!C$2)^2) + Ft!D$3*EXP(Ft!D$38*($A327-Ft!D$2)^2)+Ft!E$3*EXP(Ft!E$38*($A327-Ft!E$2)^2) +Ft!F$3*EXP(Ft!F$38*($A327-Ft!F$2)^2) + Ft!G$3*EXP(Ft!G$38*($A327-Ft!G$2)^2)</f>
        <v>14.392390696264915</v>
      </c>
      <c r="E327" s="26">
        <f>Ft!B$3*EXP(Ft!B$38*($A327-Ft!B$2)^2)</f>
        <v>8.1107247342723558E-43</v>
      </c>
      <c r="F327" s="26">
        <f>Ft!C$3*EXP(Ft!C$38*($A327-Ft!C$2)^2)</f>
        <v>0.67230316213461361</v>
      </c>
      <c r="G327" s="26">
        <f>Ft!D$3*EXP(Ft!D$38*($A327-Ft!D$2)^2)</f>
        <v>13.491906428739016</v>
      </c>
      <c r="H327" s="26">
        <f>Ft!E$3*EXP(Ft!E$38*($A327-Ft!E$2)^2)</f>
        <v>0.22818110539128642</v>
      </c>
      <c r="I327" s="26">
        <f>Ft!F$3*EXP(Ft!F$38*($A327-Ft!F$2)^2)</f>
        <v>5.2400234940294413E-94</v>
      </c>
      <c r="J327" s="26">
        <f>Ft!G$3*EXP(Ft!G$38*($A327-Ft!G$2)^2)</f>
        <v>0</v>
      </c>
    </row>
    <row r="328" spans="1:10">
      <c r="A328" s="19">
        <v>326</v>
      </c>
      <c r="B328" s="28">
        <v>48.359415642141528</v>
      </c>
      <c r="C328" s="27">
        <f ca="1">OFFSET($B328,1*(ROWS(C$2:C328)-1),0)</f>
        <v>0.71387491394747826</v>
      </c>
      <c r="D328" s="26">
        <f>Ft!B$3*EXP(Ft!B$38*($A328-Ft!B$2)^2) +Ft!C$3*EXP(Ft!C$38*($A328-Ft!C$2)^2) + Ft!D$3*EXP(Ft!D$38*($A328-Ft!D$2)^2)+Ft!E$3*EXP(Ft!E$38*($A328-Ft!E$2)^2) +Ft!F$3*EXP(Ft!F$38*($A328-Ft!F$2)^2) + Ft!G$3*EXP(Ft!G$38*($A328-Ft!G$2)^2)</f>
        <v>14.442032118187536</v>
      </c>
      <c r="E328" s="26">
        <f>Ft!B$3*EXP(Ft!B$38*($A328-Ft!B$2)^2)</f>
        <v>4.0150027418391277E-43</v>
      </c>
      <c r="F328" s="26">
        <f>Ft!C$3*EXP(Ft!C$38*($A328-Ft!C$2)^2)</f>
        <v>0.65321187777555123</v>
      </c>
      <c r="G328" s="26">
        <f>Ft!D$3*EXP(Ft!D$38*($A328-Ft!D$2)^2)</f>
        <v>13.556637714044692</v>
      </c>
      <c r="H328" s="26">
        <f>Ft!E$3*EXP(Ft!E$38*($A328-Ft!E$2)^2)</f>
        <v>0.23218252636729356</v>
      </c>
      <c r="I328" s="26">
        <f>Ft!F$3*EXP(Ft!F$38*($A328-Ft!F$2)^2)</f>
        <v>9.6738117567761916E-94</v>
      </c>
      <c r="J328" s="26">
        <f>Ft!G$3*EXP(Ft!G$38*($A328-Ft!G$2)^2)</f>
        <v>0</v>
      </c>
    </row>
    <row r="329" spans="1:10">
      <c r="A329" s="19">
        <v>327</v>
      </c>
      <c r="B329" s="28">
        <v>48.353530610988201</v>
      </c>
      <c r="C329" s="27">
        <f ca="1">OFFSET($B329,1*(ROWS(C$2:C329)-1),0)</f>
        <v>0.65368201983238805</v>
      </c>
      <c r="D329" s="26">
        <f>Ft!B$3*EXP(Ft!B$38*($A329-Ft!B$2)^2) +Ft!C$3*EXP(Ft!C$38*($A329-Ft!C$2)^2) + Ft!D$3*EXP(Ft!D$38*($A329-Ft!D$2)^2)+Ft!E$3*EXP(Ft!E$38*($A329-Ft!E$2)^2) +Ft!F$3*EXP(Ft!F$38*($A329-Ft!F$2)^2) + Ft!G$3*EXP(Ft!G$38*($A329-Ft!G$2)^2)</f>
        <v>14.491910029698676</v>
      </c>
      <c r="E329" s="26">
        <f>Ft!B$3*EXP(Ft!B$38*($A329-Ft!B$2)^2)</f>
        <v>1.9825365569450622E-43</v>
      </c>
      <c r="F329" s="26">
        <f>Ft!C$3*EXP(Ft!C$38*($A329-Ft!C$2)^2)</f>
        <v>0.63456408720699009</v>
      </c>
      <c r="G329" s="26">
        <f>Ft!D$3*EXP(Ft!D$38*($A329-Ft!D$2)^2)</f>
        <v>13.621100197943729</v>
      </c>
      <c r="H329" s="26">
        <f>Ft!E$3*EXP(Ft!E$38*($A329-Ft!E$2)^2)</f>
        <v>0.23624574454795688</v>
      </c>
      <c r="I329" s="26">
        <f>Ft!F$3*EXP(Ft!F$38*($A329-Ft!F$2)^2)</f>
        <v>1.7843696411221734E-93</v>
      </c>
      <c r="J329" s="26">
        <f>Ft!G$3*EXP(Ft!G$38*($A329-Ft!G$2)^2)</f>
        <v>0</v>
      </c>
    </row>
    <row r="330" spans="1:10">
      <c r="A330" s="19">
        <v>328</v>
      </c>
      <c r="B330" s="28">
        <v>48.374165882144581</v>
      </c>
      <c r="C330" s="27">
        <f ca="1">OFFSET($B330,1*(ROWS(C$2:C330)-1),0)</f>
        <v>0.57161239652640461</v>
      </c>
      <c r="D330" s="26">
        <f>Ft!B$3*EXP(Ft!B$38*($A330-Ft!B$2)^2) +Ft!C$3*EXP(Ft!C$38*($A330-Ft!C$2)^2) + Ft!D$3*EXP(Ft!D$38*($A330-Ft!D$2)^2)+Ft!E$3*EXP(Ft!E$38*($A330-Ft!E$2)^2) +Ft!F$3*EXP(Ft!F$38*($A330-Ft!F$2)^2) + Ft!G$3*EXP(Ft!G$38*($A330-Ft!G$2)^2)</f>
        <v>14.542011499903571</v>
      </c>
      <c r="E330" s="26">
        <f>Ft!B$3*EXP(Ft!B$38*($A330-Ft!B$2)^2)</f>
        <v>9.7648535991745949E-44</v>
      </c>
      <c r="F330" s="26">
        <f>Ft!C$3*EXP(Ft!C$38*($A330-Ft!C$2)^2)</f>
        <v>0.61635284332314744</v>
      </c>
      <c r="G330" s="26">
        <f>Ft!D$3*EXP(Ft!D$38*($A330-Ft!D$2)^2)</f>
        <v>13.685287105693906</v>
      </c>
      <c r="H330" s="26">
        <f>Ft!E$3*EXP(Ft!E$38*($A330-Ft!E$2)^2)</f>
        <v>0.24037155088651774</v>
      </c>
      <c r="I330" s="26">
        <f>Ft!F$3*EXP(Ft!F$38*($A330-Ft!F$2)^2)</f>
        <v>3.2884770445000832E-93</v>
      </c>
      <c r="J330" s="26">
        <f>Ft!G$3*EXP(Ft!G$38*($A330-Ft!G$2)^2)</f>
        <v>0</v>
      </c>
    </row>
    <row r="331" spans="1:10">
      <c r="A331" s="19">
        <v>329</v>
      </c>
      <c r="B331" s="28">
        <v>48.363922962596178</v>
      </c>
      <c r="C331" s="27">
        <f ca="1">OFFSET($B331,1*(ROWS(C$2:C331)-1),0)</f>
        <v>0.47012508433968492</v>
      </c>
      <c r="D331" s="26">
        <f>Ft!B$3*EXP(Ft!B$38*($A331-Ft!B$2)^2) +Ft!C$3*EXP(Ft!C$38*($A331-Ft!C$2)^2) + Ft!D$3*EXP(Ft!D$38*($A331-Ft!D$2)^2)+Ft!E$3*EXP(Ft!E$38*($A331-Ft!E$2)^2) +Ft!F$3*EXP(Ft!F$38*($A331-Ft!F$2)^2) + Ft!G$3*EXP(Ft!G$38*($A331-Ft!G$2)^2)</f>
        <v>14.592323606428923</v>
      </c>
      <c r="E331" s="26">
        <f>Ft!B$3*EXP(Ft!B$38*($A331-Ft!B$2)^2)</f>
        <v>4.7975492624834194E-44</v>
      </c>
      <c r="F331" s="26">
        <f>Ft!C$3*EXP(Ft!C$38*($A331-Ft!C$2)^2)</f>
        <v>0.59857119724729957</v>
      </c>
      <c r="G331" s="26">
        <f>Ft!D$3*EXP(Ft!D$38*($A331-Ft!D$2)^2)</f>
        <v>13.749191665729992</v>
      </c>
      <c r="H331" s="26">
        <f>Ft!E$3*EXP(Ft!E$38*($A331-Ft!E$2)^2)</f>
        <v>0.24456074345163284</v>
      </c>
      <c r="I331" s="26">
        <f>Ft!F$3*EXP(Ft!F$38*($A331-Ft!F$2)^2)</f>
        <v>6.0551875457887732E-93</v>
      </c>
      <c r="J331" s="26">
        <f>Ft!G$3*EXP(Ft!G$38*($A331-Ft!G$2)^2)</f>
        <v>0</v>
      </c>
    </row>
    <row r="332" spans="1:10">
      <c r="A332" s="19">
        <v>330</v>
      </c>
      <c r="B332" s="28">
        <v>48.359759389472401</v>
      </c>
      <c r="C332" s="27">
        <f ca="1">OFFSET($B332,1*(ROWS(C$2:C332)-1),0)</f>
        <v>0.3984439894373395</v>
      </c>
      <c r="D332" s="26">
        <f>Ft!B$3*EXP(Ft!B$38*($A332-Ft!B$2)^2) +Ft!C$3*EXP(Ft!C$38*($A332-Ft!C$2)^2) + Ft!D$3*EXP(Ft!D$38*($A332-Ft!D$2)^2)+Ft!E$3*EXP(Ft!E$38*($A332-Ft!E$2)^2) +Ft!F$3*EXP(Ft!F$38*($A332-Ft!F$2)^2) + Ft!G$3*EXP(Ft!G$38*($A332-Ft!G$2)^2)</f>
        <v>14.642833440911078</v>
      </c>
      <c r="E332" s="26">
        <f>Ft!B$3*EXP(Ft!B$38*($A332-Ft!B$2)^2)</f>
        <v>2.3511607523340201E-44</v>
      </c>
      <c r="F332" s="26">
        <f>Ft!C$3*EXP(Ft!C$38*($A332-Ft!C$2)^2)</f>
        <v>0.58121220264008644</v>
      </c>
      <c r="G332" s="26">
        <f>Ft!D$3*EXP(Ft!D$38*($A332-Ft!D$2)^2)</f>
        <v>13.812807110833468</v>
      </c>
      <c r="H332" s="26">
        <f>Ft!E$3*EXP(Ft!E$38*($A332-Ft!E$2)^2)</f>
        <v>0.24881412743752376</v>
      </c>
      <c r="I332" s="26">
        <f>Ft!F$3*EXP(Ft!F$38*($A332-Ft!F$2)^2)</f>
        <v>1.1139948391152055E-92</v>
      </c>
      <c r="J332" s="26">
        <f>Ft!G$3*EXP(Ft!G$38*($A332-Ft!G$2)^2)</f>
        <v>0</v>
      </c>
    </row>
    <row r="333" spans="1:10">
      <c r="A333" s="19">
        <v>331</v>
      </c>
      <c r="B333" s="28">
        <v>48.361458504501542</v>
      </c>
      <c r="C333" s="27">
        <f ca="1">OFFSET($B333,1*(ROWS(C$2:C333)-1),0)</f>
        <v>0.32828284781126627</v>
      </c>
      <c r="D333" s="26">
        <f>Ft!B$3*EXP(Ft!B$38*($A333-Ft!B$2)^2) +Ft!C$3*EXP(Ft!C$38*($A333-Ft!C$2)^2) + Ft!D$3*EXP(Ft!D$38*($A333-Ft!D$2)^2)+Ft!E$3*EXP(Ft!E$38*($A333-Ft!E$2)^2) +Ft!F$3*EXP(Ft!F$38*($A333-Ft!F$2)^2) + Ft!G$3*EXP(Ft!G$38*($A333-Ft!G$2)^2)</f>
        <v>14.693528114361751</v>
      </c>
      <c r="E333" s="26">
        <f>Ft!B$3*EXP(Ft!B$38*($A333-Ft!B$2)^2)</f>
        <v>1.1493554997730305E-44</v>
      </c>
      <c r="F333" s="26">
        <f>Ft!C$3*EXP(Ft!C$38*($A333-Ft!C$2)^2)</f>
        <v>0.56426891988191552</v>
      </c>
      <c r="G333" s="26">
        <f>Ft!D$3*EXP(Ft!D$38*($A333-Ft!D$2)^2)</f>
        <v>13.876126679306804</v>
      </c>
      <c r="H333" s="26">
        <f>Ft!E$3*EXP(Ft!E$38*($A333-Ft!E$2)^2)</f>
        <v>0.25313251517303298</v>
      </c>
      <c r="I333" s="26">
        <f>Ft!F$3*EXP(Ft!F$38*($A333-Ft!F$2)^2)</f>
        <v>2.047677480846864E-92</v>
      </c>
      <c r="J333" s="26">
        <f>Ft!G$3*EXP(Ft!G$38*($A333-Ft!G$2)^2)</f>
        <v>0</v>
      </c>
    </row>
    <row r="334" spans="1:10">
      <c r="A334" s="19">
        <v>332</v>
      </c>
      <c r="B334" s="28">
        <v>48.372280859713925</v>
      </c>
      <c r="C334" s="27">
        <f ca="1">OFFSET($B334,1*(ROWS(C$2:C334)-1),0)</f>
        <v>0.28441712144260123</v>
      </c>
      <c r="D334" s="26">
        <f>Ft!B$3*EXP(Ft!B$38*($A334-Ft!B$2)^2) +Ft!C$3*EXP(Ft!C$38*($A334-Ft!C$2)^2) + Ft!D$3*EXP(Ft!D$38*($A334-Ft!D$2)^2)+Ft!E$3*EXP(Ft!E$38*($A334-Ft!E$2)^2) +Ft!F$3*EXP(Ft!F$38*($A334-Ft!F$2)^2) + Ft!G$3*EXP(Ft!G$38*($A334-Ft!G$2)^2)</f>
        <v>14.744394762410847</v>
      </c>
      <c r="E334" s="26">
        <f>Ft!B$3*EXP(Ft!B$38*($A334-Ft!B$2)^2)</f>
        <v>5.6044836600360227E-45</v>
      </c>
      <c r="F334" s="26">
        <f>Ft!C$3*EXP(Ft!C$38*($A334-Ft!C$2)^2)</f>
        <v>0.54773442012924678</v>
      </c>
      <c r="G334" s="26">
        <f>Ft!D$3*EXP(Ft!D$38*($A334-Ft!D$2)^2)</f>
        <v>13.939143616152041</v>
      </c>
      <c r="H334" s="26">
        <f>Ft!E$3*EXP(Ft!E$38*($A334-Ft!E$2)^2)</f>
        <v>0.25751672612955906</v>
      </c>
      <c r="I334" s="26">
        <f>Ft!F$3*EXP(Ft!F$38*($A334-Ft!F$2)^2)</f>
        <v>3.7606483466991686E-92</v>
      </c>
      <c r="J334" s="26">
        <f>Ft!G$3*EXP(Ft!G$38*($A334-Ft!G$2)^2)</f>
        <v>0</v>
      </c>
    </row>
    <row r="335" spans="1:10">
      <c r="A335" s="19">
        <v>333</v>
      </c>
      <c r="B335" s="28">
        <v>48.384795199355153</v>
      </c>
      <c r="C335" s="27">
        <f ca="1">OFFSET($B335,1*(ROWS(C$2:C335)-1),0)</f>
        <v>0.26003628025463854</v>
      </c>
      <c r="D335" s="26">
        <f>Ft!B$3*EXP(Ft!B$38*($A335-Ft!B$2)^2) +Ft!C$3*EXP(Ft!C$38*($A335-Ft!C$2)^2) + Ft!D$3*EXP(Ft!D$38*($A335-Ft!D$2)^2)+Ft!E$3*EXP(Ft!E$38*($A335-Ft!E$2)^2) +Ft!F$3*EXP(Ft!F$38*($A335-Ft!F$2)^2) + Ft!G$3*EXP(Ft!G$38*($A335-Ft!G$2)^2)</f>
        <v>14.795420550425897</v>
      </c>
      <c r="E335" s="26">
        <f>Ft!B$3*EXP(Ft!B$38*($A335-Ft!B$2)^2)</f>
        <v>2.7260009980773588E-45</v>
      </c>
      <c r="F335" s="26">
        <f>Ft!C$3*EXP(Ft!C$38*($A335-Ft!C$2)^2)</f>
        <v>0.53160178924469592</v>
      </c>
      <c r="G335" s="26">
        <f>Ft!D$3*EXP(Ft!D$38*($A335-Ft!D$2)^2)</f>
        <v>14.001851174253344</v>
      </c>
      <c r="H335" s="26">
        <f>Ft!E$3*EXP(Ft!E$38*($A335-Ft!E$2)^2)</f>
        <v>0.26196758692785593</v>
      </c>
      <c r="I335" s="26">
        <f>Ft!F$3*EXP(Ft!F$38*($A335-Ft!F$2)^2)</f>
        <v>6.9005974174225791E-92</v>
      </c>
      <c r="J335" s="26">
        <f>Ft!G$3*EXP(Ft!G$38*($A335-Ft!G$2)^2)</f>
        <v>0</v>
      </c>
    </row>
    <row r="336" spans="1:10">
      <c r="A336" s="19">
        <v>334</v>
      </c>
      <c r="B336" s="28">
        <v>48.391775708381658</v>
      </c>
      <c r="C336" s="27">
        <f ca="1">OFFSET($B336,1*(ROWS(C$2:C336)-1),0)</f>
        <v>0.24947691697451546</v>
      </c>
      <c r="D336" s="26">
        <f>Ft!B$3*EXP(Ft!B$38*($A336-Ft!B$2)^2) +Ft!C$3*EXP(Ft!C$38*($A336-Ft!C$2)^2) + Ft!D$3*EXP(Ft!D$38*($A336-Ft!D$2)^2)+Ft!E$3*EXP(Ft!E$38*($A336-Ft!E$2)^2) +Ft!F$3*EXP(Ft!F$38*($A336-Ft!F$2)^2) + Ft!G$3*EXP(Ft!G$38*($A336-Ft!G$2)^2)</f>
        <v>14.846592678507987</v>
      </c>
      <c r="E336" s="26">
        <f>Ft!B$3*EXP(Ft!B$38*($A336-Ft!B$2)^2)</f>
        <v>1.3225910755859843E-45</v>
      </c>
      <c r="F336" s="26">
        <f>Ft!C$3*EXP(Ft!C$38*($A336-Ft!C$2)^2)</f>
        <v>0.51586413160101885</v>
      </c>
      <c r="G336" s="26">
        <f>Ft!D$3*EXP(Ft!D$38*($A336-Ft!D$2)^2)</f>
        <v>14.064242615563298</v>
      </c>
      <c r="H336" s="26">
        <f>Ft!E$3*EXP(Ft!E$38*($A336-Ft!E$2)^2)</f>
        <v>0.26648593134367055</v>
      </c>
      <c r="I336" s="26">
        <f>Ft!F$3*EXP(Ft!F$38*($A336-Ft!F$2)^2)</f>
        <v>1.2651250442306026E-91</v>
      </c>
      <c r="J336" s="26">
        <f>Ft!G$3*EXP(Ft!G$38*($A336-Ft!G$2)^2)</f>
        <v>0</v>
      </c>
    </row>
    <row r="337" spans="1:10">
      <c r="A337" s="19">
        <v>335</v>
      </c>
      <c r="B337" s="28">
        <v>48.381282435059489</v>
      </c>
      <c r="C337" s="27">
        <f ca="1">OFFSET($B337,1*(ROWS(C$2:C337)-1),0)</f>
        <v>0.25037827357076026</v>
      </c>
      <c r="D337" s="26">
        <f>Ft!B$3*EXP(Ft!B$38*($A337-Ft!B$2)^2) +Ft!C$3*EXP(Ft!C$38*($A337-Ft!C$2)^2) + Ft!D$3*EXP(Ft!D$38*($A337-Ft!D$2)^2)+Ft!E$3*EXP(Ft!E$38*($A337-Ft!E$2)^2) +Ft!F$3*EXP(Ft!F$38*($A337-Ft!F$2)^2) + Ft!G$3*EXP(Ft!G$38*($A337-Ft!G$2)^2)</f>
        <v>14.897898386363991</v>
      </c>
      <c r="E337" s="26">
        <f>Ft!B$3*EXP(Ft!B$38*($A337-Ft!B$2)^2)</f>
        <v>6.4008012097948413E-46</v>
      </c>
      <c r="F337" s="26">
        <f>Ft!C$3*EXP(Ft!C$38*($A337-Ft!C$2)^2)</f>
        <v>0.50051457375917918</v>
      </c>
      <c r="G337" s="26">
        <f>Ft!D$3*EXP(Ft!D$38*($A337-Ft!D$2)^2)</f>
        <v>14.126311212292611</v>
      </c>
      <c r="H337" s="26">
        <f>Ft!E$3*EXP(Ft!E$38*($A337-Ft!E$2)^2)</f>
        <v>0.27107260031220021</v>
      </c>
      <c r="I337" s="26">
        <f>Ft!F$3*EXP(Ft!F$38*($A337-Ft!F$2)^2)</f>
        <v>2.3174107128344977E-91</v>
      </c>
      <c r="J337" s="26">
        <f>Ft!G$3*EXP(Ft!G$38*($A337-Ft!G$2)^2)</f>
        <v>0</v>
      </c>
    </row>
    <row r="338" spans="1:10">
      <c r="A338" s="19">
        <v>336</v>
      </c>
      <c r="B338" s="28">
        <v>48.394815286262883</v>
      </c>
      <c r="C338" s="27">
        <f ca="1">OFFSET($B338,1*(ROWS(C$2:C338)-1),0)</f>
        <v>0.22501574242667743</v>
      </c>
      <c r="D338" s="26">
        <f>Ft!B$3*EXP(Ft!B$38*($A338-Ft!B$2)^2) +Ft!C$3*EXP(Ft!C$38*($A338-Ft!C$2)^2) + Ft!D$3*EXP(Ft!D$38*($A338-Ft!D$2)^2)+Ft!E$3*EXP(Ft!E$38*($A338-Ft!E$2)^2) +Ft!F$3*EXP(Ft!F$38*($A338-Ft!F$2)^2) + Ft!G$3*EXP(Ft!G$38*($A338-Ft!G$2)^2)</f>
        <v>14.94932495805514</v>
      </c>
      <c r="E338" s="26">
        <f>Ft!B$3*EXP(Ft!B$38*($A338-Ft!B$2)^2)</f>
        <v>3.0899557866516525E-46</v>
      </c>
      <c r="F338" s="26">
        <f>Ft!C$3*EXP(Ft!C$38*($A338-Ft!C$2)^2)</f>
        <v>0.48554626802082779</v>
      </c>
      <c r="G338" s="26">
        <f>Ft!D$3*EXP(Ft!D$38*($A338-Ft!D$2)^2)</f>
        <v>14.188050248102964</v>
      </c>
      <c r="H338" s="26">
        <f>Ft!E$3*EXP(Ft!E$38*($A338-Ft!E$2)^2)</f>
        <v>0.27572844193134755</v>
      </c>
      <c r="I338" s="26">
        <f>Ft!F$3*EXP(Ft!F$38*($A338-Ft!F$2)^2)</f>
        <v>4.2412645541743813E-91</v>
      </c>
      <c r="J338" s="26">
        <f>Ft!G$3*EXP(Ft!G$38*($A338-Ft!G$2)^2)</f>
        <v>0</v>
      </c>
    </row>
    <row r="339" spans="1:10">
      <c r="A339" s="19">
        <v>337</v>
      </c>
      <c r="B339" s="28">
        <v>48.405775431905823</v>
      </c>
      <c r="C339" s="27">
        <f ca="1">OFFSET($B339,1*(ROWS(C$2:C339)-1),0)</f>
        <v>0.21234658109906945</v>
      </c>
      <c r="D339" s="26">
        <f>Ft!B$3*EXP(Ft!B$38*($A339-Ft!B$2)^2) +Ft!C$3*EXP(Ft!C$38*($A339-Ft!C$2)^2) + Ft!D$3*EXP(Ft!D$38*($A339-Ft!D$2)^2)+Ft!E$3*EXP(Ft!E$38*($A339-Ft!E$2)^2) +Ft!F$3*EXP(Ft!F$38*($A339-Ft!F$2)^2) + Ft!G$3*EXP(Ft!G$38*($A339-Ft!G$2)^2)</f>
        <v>15.000859726622124</v>
      </c>
      <c r="E339" s="26">
        <f>Ft!B$3*EXP(Ft!B$38*($A339-Ft!B$2)^2)</f>
        <v>1.4879192593660612E-46</v>
      </c>
      <c r="F339" s="26">
        <f>Ft!C$3*EXP(Ft!C$38*($A339-Ft!C$2)^2)</f>
        <v>0.47095239585565196</v>
      </c>
      <c r="G339" s="26">
        <f>Ft!D$3*EXP(Ft!D$38*($A339-Ft!D$2)^2)</f>
        <v>14.24945301930272</v>
      </c>
      <c r="H339" s="26">
        <f>Ft!E$3*EXP(Ft!E$38*($A339-Ft!E$2)^2)</f>
        <v>0.28045431146375116</v>
      </c>
      <c r="I339" s="26">
        <f>Ft!F$3*EXP(Ft!F$38*($A339-Ft!F$2)^2)</f>
        <v>7.7555126601735937E-91</v>
      </c>
      <c r="J339" s="26">
        <f>Ft!G$3*EXP(Ft!G$38*($A339-Ft!G$2)^2)</f>
        <v>0</v>
      </c>
    </row>
    <row r="340" spans="1:10">
      <c r="A340" s="19">
        <v>338</v>
      </c>
      <c r="B340" s="28">
        <v>48.400337738302653</v>
      </c>
      <c r="C340" s="27">
        <f ca="1">OFFSET($B340,1*(ROWS(C$2:C340)-1),0)</f>
        <v>0</v>
      </c>
      <c r="D340" s="26">
        <f>Ft!B$3*EXP(Ft!B$38*($A340-Ft!B$2)^2) +Ft!C$3*EXP(Ft!C$38*($A340-Ft!C$2)^2) + Ft!D$3*EXP(Ft!D$38*($A340-Ft!D$2)^2)+Ft!E$3*EXP(Ft!E$38*($A340-Ft!E$2)^2) +Ft!F$3*EXP(Ft!F$38*($A340-Ft!F$2)^2) + Ft!G$3*EXP(Ft!G$38*($A340-Ft!G$2)^2)</f>
        <v>15.052490078586912</v>
      </c>
      <c r="E340" s="26">
        <f>Ft!B$3*EXP(Ft!B$38*($A340-Ft!B$2)^2)</f>
        <v>7.1468660004077236E-47</v>
      </c>
      <c r="F340" s="26">
        <f>Ft!C$3*EXP(Ft!C$38*($A340-Ft!C$2)^2)</f>
        <v>0.45672617120416231</v>
      </c>
      <c r="G340" s="26">
        <f>Ft!D$3*EXP(Ft!D$38*($A340-Ft!D$2)^2)</f>
        <v>14.310512836045181</v>
      </c>
      <c r="H340" s="26">
        <f>Ft!E$3*EXP(Ft!E$38*($A340-Ft!E$2)^2)</f>
        <v>0.28525107133757005</v>
      </c>
      <c r="I340" s="26">
        <f>Ft!F$3*EXP(Ft!F$38*($A340-Ft!F$2)^2)</f>
        <v>1.416930193312528E-90</v>
      </c>
      <c r="J340" s="26">
        <f>Ft!G$3*EXP(Ft!G$38*($A340-Ft!G$2)^2)</f>
        <v>0</v>
      </c>
    </row>
    <row r="341" spans="1:10">
      <c r="A341" s="19">
        <v>339</v>
      </c>
      <c r="B341" s="28">
        <v>48.385986351267064</v>
      </c>
      <c r="C341" s="27">
        <f ca="1">OFFSET($B341,1*(ROWS(C$2:C341)-1),0)</f>
        <v>0</v>
      </c>
      <c r="D341" s="26">
        <f>Ft!B$3*EXP(Ft!B$38*($A341-Ft!B$2)^2) +Ft!C$3*EXP(Ft!C$38*($A341-Ft!C$2)^2) + Ft!D$3*EXP(Ft!D$38*($A341-Ft!D$2)^2)+Ft!E$3*EXP(Ft!E$38*($A341-Ft!E$2)^2) +Ft!F$3*EXP(Ft!F$38*($A341-Ft!F$2)^2) + Ft!G$3*EXP(Ft!G$38*($A341-Ft!G$2)^2)</f>
        <v>15.104203458331716</v>
      </c>
      <c r="E341" s="26">
        <f>Ft!B$3*EXP(Ft!B$38*($A341-Ft!B$2)^2)</f>
        <v>3.424215491816198E-47</v>
      </c>
      <c r="F341" s="26">
        <f>Ft!C$3*EXP(Ft!C$38*($A341-Ft!C$2)^2)</f>
        <v>0.44286084365661771</v>
      </c>
      <c r="G341" s="26">
        <f>Ft!D$3*EXP(Ft!D$38*($A341-Ft!D$2)^2)</f>
        <v>14.371223023529096</v>
      </c>
      <c r="H341" s="26">
        <f>Ft!E$3*EXP(Ft!E$38*($A341-Ft!E$2)^2)</f>
        <v>0.29011959114600272</v>
      </c>
      <c r="I341" s="26">
        <f>Ft!F$3*EXP(Ft!F$38*($A341-Ft!F$2)^2)</f>
        <v>2.5864804126801482E-90</v>
      </c>
      <c r="J341" s="26">
        <f>Ft!G$3*EXP(Ft!G$38*($A341-Ft!G$2)^2)</f>
        <v>0</v>
      </c>
    </row>
    <row r="342" spans="1:10">
      <c r="A342" s="19">
        <v>340</v>
      </c>
      <c r="B342" s="28">
        <v>48.401883319571766</v>
      </c>
      <c r="C342" s="27">
        <f ca="1">OFFSET($B342,1*(ROWS(C$2:C342)-1),0)</f>
        <v>0</v>
      </c>
      <c r="D342" s="26">
        <f>Ft!B$3*EXP(Ft!B$38*($A342-Ft!B$2)^2) +Ft!C$3*EXP(Ft!C$38*($A342-Ft!C$2)^2) + Ft!D$3*EXP(Ft!D$38*($A342-Ft!D$2)^2)+Ft!E$3*EXP(Ft!E$38*($A342-Ft!E$2)^2) +Ft!F$3*EXP(Ft!F$38*($A342-Ft!F$2)^2) + Ft!G$3*EXP(Ft!G$38*($A342-Ft!G$2)^2)</f>
        <v>15.155987372355552</v>
      </c>
      <c r="E342" s="26">
        <f>Ft!B$3*EXP(Ft!B$38*($A342-Ft!B$2)^2)</f>
        <v>1.6364988721138626E-47</v>
      </c>
      <c r="F342" s="26">
        <f>Ft!C$3*EXP(Ft!C$38*($A342-Ft!C$2)^2)</f>
        <v>0.42934970150888452</v>
      </c>
      <c r="G342" s="26">
        <f>Ft!D$3*EXP(Ft!D$38*($A342-Ft!D$2)^2)</f>
        <v>14.431576923201151</v>
      </c>
      <c r="H342" s="26">
        <f>Ft!E$3*EXP(Ft!E$38*($A342-Ft!E$2)^2)</f>
        <v>0.29506074764551637</v>
      </c>
      <c r="I342" s="26">
        <f>Ft!F$3*EXP(Ft!F$38*($A342-Ft!F$2)^2)</f>
        <v>4.7172916585149025E-90</v>
      </c>
      <c r="J342" s="26">
        <f>Ft!G$3*EXP(Ft!G$38*($A342-Ft!G$2)^2)</f>
        <v>0</v>
      </c>
    </row>
    <row r="343" spans="1:10">
      <c r="A343" s="19">
        <v>341</v>
      </c>
      <c r="B343" s="28">
        <v>48.410934404255556</v>
      </c>
      <c r="C343" s="27">
        <f ca="1">OFFSET($B343,1*(ROWS(C$2:C343)-1),0)</f>
        <v>0</v>
      </c>
      <c r="D343" s="26">
        <f>Ft!B$3*EXP(Ft!B$38*($A343-Ft!B$2)^2) +Ft!C$3*EXP(Ft!C$38*($A343-Ft!C$2)^2) + Ft!D$3*EXP(Ft!D$38*($A343-Ft!D$2)^2)+Ft!E$3*EXP(Ft!E$38*($A343-Ft!E$2)^2) +Ft!F$3*EXP(Ft!F$38*($A343-Ft!F$2)^2) + Ft!G$3*EXP(Ft!G$38*($A343-Ft!G$2)^2)</f>
        <v>15.207829393409027</v>
      </c>
      <c r="E343" s="26">
        <f>Ft!B$3*EXP(Ft!B$38*($A343-Ft!B$2)^2)</f>
        <v>7.8015250457171593E-48</v>
      </c>
      <c r="F343" s="26">
        <f>Ft!C$3*EXP(Ft!C$38*($A343-Ft!C$2)^2)</f>
        <v>0.4161860746961446</v>
      </c>
      <c r="G343" s="26">
        <f>Ft!D$3*EXP(Ft!D$38*($A343-Ft!D$2)^2)</f>
        <v>14.491567893960116</v>
      </c>
      <c r="H343" s="26">
        <f>Ft!E$3*EXP(Ft!E$38*($A343-Ft!E$2)^2)</f>
        <v>0.30007542475276572</v>
      </c>
      <c r="I343" s="26">
        <f>Ft!F$3*EXP(Ft!F$38*($A343-Ft!F$2)^2)</f>
        <v>8.5960524844210893E-90</v>
      </c>
      <c r="J343" s="26">
        <f>Ft!G$3*EXP(Ft!G$38*($A343-Ft!G$2)^2)</f>
        <v>0</v>
      </c>
    </row>
    <row r="344" spans="1:10">
      <c r="A344" s="19">
        <v>342</v>
      </c>
      <c r="B344" s="28">
        <v>48.422298806964363</v>
      </c>
      <c r="C344" s="27">
        <f ca="1">OFFSET($B344,1*(ROWS(C$2:C344)-1),0)</f>
        <v>0</v>
      </c>
      <c r="D344" s="26">
        <f>Ft!B$3*EXP(Ft!B$38*($A344-Ft!B$2)^2) +Ft!C$3*EXP(Ft!C$38*($A344-Ft!C$2)^2) + Ft!D$3*EXP(Ft!D$38*($A344-Ft!D$2)^2)+Ft!E$3*EXP(Ft!E$38*($A344-Ft!E$2)^2) +Ft!F$3*EXP(Ft!F$38*($A344-Ft!F$2)^2) + Ft!G$3*EXP(Ft!G$38*($A344-Ft!G$2)^2)</f>
        <v>15.259717164507993</v>
      </c>
      <c r="E344" s="26">
        <f>Ft!B$3*EXP(Ft!B$38*($A344-Ft!B$2)^2)</f>
        <v>3.7098169231622082E-48</v>
      </c>
      <c r="F344" s="26">
        <f>Ft!C$3*EXP(Ft!C$38*($A344-Ft!C$2)^2)</f>
        <v>0.40336333760546583</v>
      </c>
      <c r="G344" s="26">
        <f>Ft!D$3*EXP(Ft!D$38*($A344-Ft!D$2)^2)</f>
        <v>14.551189313362347</v>
      </c>
      <c r="H344" s="26">
        <f>Ft!E$3*EXP(Ft!E$38*($A344-Ft!E$2)^2)</f>
        <v>0.30516451354018115</v>
      </c>
      <c r="I344" s="26">
        <f>Ft!F$3*EXP(Ft!F$38*($A344-Ft!F$2)^2)</f>
        <v>1.5650498814438574E-89</v>
      </c>
      <c r="J344" s="26">
        <f>Ft!G$3*EXP(Ft!G$38*($A344-Ft!G$2)^2)</f>
        <v>0</v>
      </c>
    </row>
    <row r="345" spans="1:10">
      <c r="A345" s="19">
        <v>343</v>
      </c>
      <c r="B345" s="28">
        <v>48.422806331468422</v>
      </c>
      <c r="C345" s="27">
        <f ca="1">OFFSET($B345,1*(ROWS(C$2:C345)-1),0)</f>
        <v>0</v>
      </c>
      <c r="D345" s="26">
        <f>Ft!B$3*EXP(Ft!B$38*($A345-Ft!B$2)^2) +Ft!C$3*EXP(Ft!C$38*($A345-Ft!C$2)^2) + Ft!D$3*EXP(Ft!D$38*($A345-Ft!D$2)^2)+Ft!E$3*EXP(Ft!E$38*($A345-Ft!E$2)^2) +Ft!F$3*EXP(Ft!F$38*($A345-Ft!F$2)^2) + Ft!G$3*EXP(Ft!G$38*($A345-Ft!G$2)^2)</f>
        <v>15.311638402826906</v>
      </c>
      <c r="E345" s="26">
        <f>Ft!B$3*EXP(Ft!B$38*($A345-Ft!B$2)^2)</f>
        <v>1.7596837485571974E-48</v>
      </c>
      <c r="F345" s="26">
        <f>Ft!C$3*EXP(Ft!C$38*($A345-Ft!C$2)^2)</f>
        <v>0.39087491176834793</v>
      </c>
      <c r="G345" s="26">
        <f>Ft!D$3*EXP(Ft!D$38*($A345-Ft!D$2)^2)</f>
        <v>14.610434578828357</v>
      </c>
      <c r="H345" s="26">
        <f>Ft!E$3*EXP(Ft!E$38*($A345-Ft!E$2)^2)</f>
        <v>0.31032891223020143</v>
      </c>
      <c r="I345" s="26">
        <f>Ft!F$3*EXP(Ft!F$38*($A345-Ft!F$2)^2)</f>
        <v>2.8469517379257101E-89</v>
      </c>
      <c r="J345" s="26">
        <f>Ft!G$3*EXP(Ft!G$38*($A345-Ft!G$2)^2)</f>
        <v>0</v>
      </c>
    </row>
    <row r="346" spans="1:10">
      <c r="A346" s="19">
        <v>344</v>
      </c>
      <c r="B346" s="28">
        <v>48.426950072791385</v>
      </c>
      <c r="C346" s="27">
        <f ca="1">OFFSET($B346,1*(ROWS(C$2:C346)-1),0)</f>
        <v>0</v>
      </c>
      <c r="D346" s="26">
        <f>Ft!B$3*EXP(Ft!B$38*($A346-Ft!B$2)^2) +Ft!C$3*EXP(Ft!C$38*($A346-Ft!C$2)^2) + Ft!D$3*EXP(Ft!D$38*($A346-Ft!D$2)^2)+Ft!E$3*EXP(Ft!E$38*($A346-Ft!E$2)^2) +Ft!F$3*EXP(Ft!F$38*($A346-Ft!F$2)^2) + Ft!G$3*EXP(Ft!G$38*($A346-Ft!G$2)^2)</f>
        <v>15.363580903472727</v>
      </c>
      <c r="E346" s="26">
        <f>Ft!B$3*EXP(Ft!B$38*($A346-Ft!B$2)^2)</f>
        <v>8.3257993924823162E-49</v>
      </c>
      <c r="F346" s="26">
        <f>Ft!C$3*EXP(Ft!C$38*($A346-Ft!C$2)^2)</f>
        <v>0.37871426843445</v>
      </c>
      <c r="G346" s="26">
        <f>Ft!D$3*EXP(Ft!D$38*($A346-Ft!D$2)^2)</f>
        <v>14.669297108850145</v>
      </c>
      <c r="H346" s="26">
        <f>Ft!E$3*EXP(Ft!E$38*($A346-Ft!E$2)^2)</f>
        <v>0.315569526188132</v>
      </c>
      <c r="I346" s="26">
        <f>Ft!F$3*EXP(Ft!F$38*($A346-Ft!F$2)^2)</f>
        <v>5.1743383212789991E-89</v>
      </c>
      <c r="J346" s="26">
        <f>Ft!G$3*EXP(Ft!G$38*($A346-Ft!G$2)^2)</f>
        <v>0</v>
      </c>
    </row>
    <row r="347" spans="1:10">
      <c r="A347" s="19">
        <v>345</v>
      </c>
      <c r="B347" s="28">
        <v>48.410894037725512</v>
      </c>
      <c r="C347" s="27">
        <f ca="1">OFFSET($B347,1*(ROWS(C$2:C347)-1),0)</f>
        <v>0</v>
      </c>
      <c r="D347" s="26">
        <f>Ft!B$3*EXP(Ft!B$38*($A347-Ft!B$2)^2) +Ft!C$3*EXP(Ft!C$38*($A347-Ft!C$2)^2) + Ft!D$3*EXP(Ft!D$38*($A347-Ft!D$2)^2)+Ft!E$3*EXP(Ft!E$38*($A347-Ft!E$2)^2) +Ft!F$3*EXP(Ft!F$38*($A347-Ft!F$2)^2) + Ft!G$3*EXP(Ft!G$38*($A347-Ft!G$2)^2)</f>
        <v>15.41553254314038</v>
      </c>
      <c r="E347" s="26">
        <f>Ft!B$3*EXP(Ft!B$38*($A347-Ft!B$2)^2)</f>
        <v>3.9294017661348331E-49</v>
      </c>
      <c r="F347" s="26">
        <f>Ft!C$3*EXP(Ft!C$38*($A347-Ft!C$2)^2)</f>
        <v>0.36687493102780161</v>
      </c>
      <c r="G347" s="26">
        <f>Ft!D$3*EXP(Ft!D$38*($A347-Ft!D$2)^2)</f>
        <v>14.727770344198973</v>
      </c>
      <c r="H347" s="26">
        <f>Ft!E$3*EXP(Ft!E$38*($A347-Ft!E$2)^2)</f>
        <v>0.32088726791360528</v>
      </c>
      <c r="I347" s="26">
        <f>Ft!F$3*EXP(Ft!F$38*($A347-Ft!F$2)^2)</f>
        <v>9.3962017543573276E-89</v>
      </c>
      <c r="J347" s="26">
        <f>Ft!G$3*EXP(Ft!G$38*($A347-Ft!G$2)^2)</f>
        <v>0</v>
      </c>
    </row>
    <row r="348" spans="1:10">
      <c r="A348" s="19">
        <v>346</v>
      </c>
      <c r="B348" s="28">
        <v>48.435566412793861</v>
      </c>
      <c r="C348" s="27">
        <f ca="1">OFFSET($B348,1*(ROWS(C$2:C348)-1),0)</f>
        <v>0</v>
      </c>
      <c r="D348" s="26">
        <f>Ft!B$3*EXP(Ft!B$38*($A348-Ft!B$2)^2) +Ft!C$3*EXP(Ft!C$38*($A348-Ft!C$2)^2) + Ft!D$3*EXP(Ft!D$38*($A348-Ft!D$2)^2)+Ft!E$3*EXP(Ft!E$38*($A348-Ft!E$2)^2) +Ft!F$3*EXP(Ft!F$38*($A348-Ft!F$2)^2) + Ft!G$3*EXP(Ft!G$38*($A348-Ft!G$2)^2)</f>
        <v>15.467481283650788</v>
      </c>
      <c r="E348" s="26">
        <f>Ft!B$3*EXP(Ft!B$38*($A348-Ft!B$2)^2)</f>
        <v>1.8498482528798088E-49</v>
      </c>
      <c r="F348" s="26">
        <f>Ft!C$3*EXP(Ft!C$38*($A348-Ft!C$2)^2)</f>
        <v>0.35535047748687637</v>
      </c>
      <c r="G348" s="26">
        <f>Ft!D$3*EXP(Ft!D$38*($A348-Ft!D$2)^2)</f>
        <v>14.785847749133289</v>
      </c>
      <c r="H348" s="26">
        <f>Ft!E$3*EXP(Ft!E$38*($A348-Ft!E$2)^2)</f>
        <v>0.32628305703062294</v>
      </c>
      <c r="I348" s="26">
        <f>Ft!F$3*EXP(Ft!F$38*($A348-Ft!F$2)^2)</f>
        <v>1.7047968754227878E-88</v>
      </c>
      <c r="J348" s="26">
        <f>Ft!G$3*EXP(Ft!G$38*($A348-Ft!G$2)^2)</f>
        <v>0</v>
      </c>
    </row>
    <row r="349" spans="1:10">
      <c r="A349" s="19">
        <v>347</v>
      </c>
      <c r="B349" s="28">
        <v>48.450051106279886</v>
      </c>
      <c r="C349" s="27">
        <f ca="1">OFFSET($B349,1*(ROWS(C$2:C349)-1),0)</f>
        <v>0</v>
      </c>
      <c r="D349" s="26">
        <f>Ft!B$3*EXP(Ft!B$38*($A349-Ft!B$2)^2) +Ft!C$3*EXP(Ft!C$38*($A349-Ft!C$2)^2) + Ft!D$3*EXP(Ft!D$38*($A349-Ft!D$2)^2)+Ft!E$3*EXP(Ft!E$38*($A349-Ft!E$2)^2) +Ft!F$3*EXP(Ft!F$38*($A349-Ft!F$2)^2) + Ft!G$3*EXP(Ft!G$38*($A349-Ft!G$2)^2)</f>
        <v>15.519415175372631</v>
      </c>
      <c r="E349" s="26">
        <f>Ft!B$3*EXP(Ft!B$38*($A349-Ft!B$2)^2)</f>
        <v>8.6867024497259038E-50</v>
      </c>
      <c r="F349" s="26">
        <f>Ft!C$3*EXP(Ft!C$38*($A349-Ft!C$2)^2)</f>
        <v>0.34413454248999548</v>
      </c>
      <c r="G349" s="26">
        <f>Ft!D$3*EXP(Ft!D$38*($A349-Ft!D$2)^2)</f>
        <v>14.84352281260648</v>
      </c>
      <c r="H349" s="26">
        <f>Ft!E$3*EXP(Ft!E$38*($A349-Ft!E$2)^2)</f>
        <v>0.33175782027615591</v>
      </c>
      <c r="I349" s="26">
        <f>Ft!F$3*EXP(Ft!F$38*($A349-Ft!F$2)^2)</f>
        <v>3.0904074606697397E-88</v>
      </c>
      <c r="J349" s="26">
        <f>Ft!G$3*EXP(Ft!G$38*($A349-Ft!G$2)^2)</f>
        <v>0</v>
      </c>
    </row>
    <row r="350" spans="1:10">
      <c r="A350" s="19">
        <v>348</v>
      </c>
      <c r="B350" s="28">
        <v>48.452640616931717</v>
      </c>
      <c r="C350" s="27">
        <f ca="1">OFFSET($B350,1*(ROWS(C$2:C350)-1),0)</f>
        <v>0</v>
      </c>
      <c r="D350" s="26">
        <f>Ft!B$3*EXP(Ft!B$38*($A350-Ft!B$2)^2) +Ft!C$3*EXP(Ft!C$38*($A350-Ft!C$2)^2) + Ft!D$3*EXP(Ft!D$38*($A350-Ft!D$2)^2)+Ft!E$3*EXP(Ft!E$38*($A350-Ft!E$2)^2) +Ft!F$3*EXP(Ft!F$38*($A350-Ft!F$2)^2) + Ft!G$3*EXP(Ft!G$38*($A350-Ft!G$2)^2)</f>
        <v>15.571322360529045</v>
      </c>
      <c r="E350" s="26">
        <f>Ft!B$3*EXP(Ft!B$38*($A350-Ft!B$2)^2)</f>
        <v>4.0689557016395767E-50</v>
      </c>
      <c r="F350" s="26">
        <f>Ft!C$3*EXP(Ft!C$38*($A350-Ft!C$2)^2)</f>
        <v>0.33322081956760374</v>
      </c>
      <c r="G350" s="26">
        <f>Ft!D$3*EXP(Ft!D$38*($A350-Ft!D$2)^2)</f>
        <v>14.900789049474159</v>
      </c>
      <c r="H350" s="26">
        <f>Ft!E$3*EXP(Ft!E$38*($A350-Ft!E$2)^2)</f>
        <v>0.33731249148728243</v>
      </c>
      <c r="I350" s="26">
        <f>Ft!F$3*EXP(Ft!F$38*($A350-Ft!F$2)^2)</f>
        <v>5.5973394045050746E-88</v>
      </c>
      <c r="J350" s="26">
        <f>Ft!G$3*EXP(Ft!G$38*($A350-Ft!G$2)^2)</f>
        <v>0</v>
      </c>
    </row>
    <row r="351" spans="1:10">
      <c r="A351" s="19">
        <v>349</v>
      </c>
      <c r="B351" s="28">
        <v>48.462693638557425</v>
      </c>
      <c r="C351" s="27">
        <f ca="1">OFFSET($B351,1*(ROWS(C$2:C351)-1),0)</f>
        <v>0</v>
      </c>
      <c r="D351" s="26">
        <f>Ft!B$3*EXP(Ft!B$38*($A351-Ft!B$2)^2) +Ft!C$3*EXP(Ft!C$38*($A351-Ft!C$2)^2) + Ft!D$3*EXP(Ft!D$38*($A351-Ft!D$2)^2)+Ft!E$3*EXP(Ft!E$38*($A351-Ft!E$2)^2) +Ft!F$3*EXP(Ft!F$38*($A351-Ft!F$2)^2) + Ft!G$3*EXP(Ft!G$38*($A351-Ft!G$2)^2)</f>
        <v>15.623191076390537</v>
      </c>
      <c r="E351" s="26">
        <f>Ft!B$3*EXP(Ft!B$38*($A351-Ft!B$2)^2)</f>
        <v>1.9011664954635385E-50</v>
      </c>
      <c r="F351" s="26">
        <f>Ft!C$3*EXP(Ft!C$38*($A351-Ft!C$2)^2)</f>
        <v>0.32260306310303161</v>
      </c>
      <c r="G351" s="26">
        <f>Ft!D$3*EXP(Ft!D$38*($A351-Ft!D$2)^2)</f>
        <v>14.957640001700664</v>
      </c>
      <c r="H351" s="26">
        <f>Ft!E$3*EXP(Ft!E$38*($A351-Ft!E$2)^2)</f>
        <v>0.34294801158684068</v>
      </c>
      <c r="I351" s="26">
        <f>Ft!F$3*EXP(Ft!F$38*($A351-Ft!F$2)^2)</f>
        <v>1.0129087801227099E-87</v>
      </c>
      <c r="J351" s="26">
        <f>Ft!G$3*EXP(Ft!G$38*($A351-Ft!G$2)^2)</f>
        <v>0</v>
      </c>
    </row>
    <row r="352" spans="1:10">
      <c r="A352" s="19">
        <v>350</v>
      </c>
      <c r="B352" s="28">
        <v>48.476703941441542</v>
      </c>
      <c r="C352" s="27">
        <f ca="1">OFFSET($B352,1*(ROWS(C$2:C352)-1),0)</f>
        <v>0</v>
      </c>
      <c r="D352" s="26">
        <f>Ft!B$3*EXP(Ft!B$38*($A352-Ft!B$2)^2) +Ft!C$3*EXP(Ft!C$38*($A352-Ft!C$2)^2) + Ft!D$3*EXP(Ft!D$38*($A352-Ft!D$2)^2)+Ft!E$3*EXP(Ft!E$38*($A352-Ft!E$2)^2) +Ft!F$3*EXP(Ft!F$38*($A352-Ft!F$2)^2) + Ft!G$3*EXP(Ft!G$38*($A352-Ft!G$2)^2)</f>
        <v>15.675009658355465</v>
      </c>
      <c r="E352" s="26">
        <f>Ft!B$3*EXP(Ft!B$38*($A352-Ft!B$2)^2)</f>
        <v>8.8606690660272291E-51</v>
      </c>
      <c r="F352" s="26">
        <f>Ft!C$3*EXP(Ft!C$38*($A352-Ft!C$2)^2)</f>
        <v>0.31227509022342659</v>
      </c>
      <c r="G352" s="26">
        <f>Ft!D$3*EXP(Ft!D$38*($A352-Ft!D$2)^2)</f>
        <v>15.014069239564462</v>
      </c>
      <c r="H352" s="26">
        <f>Ft!E$3*EXP(Ft!E$38*($A352-Ft!E$2)^2)</f>
        <v>0.3486653285675767</v>
      </c>
      <c r="I352" s="26">
        <f>Ft!F$3*EXP(Ft!F$38*($A352-Ft!F$2)^2)</f>
        <v>1.8313941600766222E-87</v>
      </c>
      <c r="J352" s="26">
        <f>Ft!G$3*EXP(Ft!G$38*($A352-Ft!G$2)^2)</f>
        <v>0</v>
      </c>
    </row>
    <row r="353" spans="1:10">
      <c r="A353" s="19">
        <v>351</v>
      </c>
      <c r="B353" s="28">
        <v>48.46853756695694</v>
      </c>
      <c r="C353" s="27">
        <f ca="1">OFFSET($B353,1*(ROWS(C$2:C353)-1),0)</f>
        <v>0</v>
      </c>
      <c r="D353" s="26">
        <f>Ft!B$3*EXP(Ft!B$38*($A353-Ft!B$2)^2) +Ft!C$3*EXP(Ft!C$38*($A353-Ft!C$2)^2) + Ft!D$3*EXP(Ft!D$38*($A353-Ft!D$2)^2)+Ft!E$3*EXP(Ft!E$38*($A353-Ft!E$2)^2) +Ft!F$3*EXP(Ft!F$38*($A353-Ft!F$2)^2) + Ft!G$3*EXP(Ft!G$38*($A353-Ft!G$2)^2)</f>
        <v>15.726766542919512</v>
      </c>
      <c r="E353" s="26">
        <f>Ft!B$3*EXP(Ft!B$38*($A353-Ft!B$2)^2)</f>
        <v>4.1192870375048523E-51</v>
      </c>
      <c r="F353" s="26">
        <f>Ft!C$3*EXP(Ft!C$38*($A353-Ft!C$2)^2)</f>
        <v>0.30223078258260405</v>
      </c>
      <c r="G353" s="26">
        <f>Ft!D$3*EXP(Ft!D$38*($A353-Ft!D$2)^2)</f>
        <v>15.070070362862145</v>
      </c>
      <c r="H353" s="26">
        <f>Ft!E$3*EXP(Ft!E$38*($A353-Ft!E$2)^2)</f>
        <v>0.35446539747476147</v>
      </c>
      <c r="I353" s="26">
        <f>Ft!F$3*EXP(Ft!F$38*($A353-Ft!F$2)^2)</f>
        <v>3.3083855075295947E-87</v>
      </c>
      <c r="J353" s="26">
        <f>Ft!G$3*EXP(Ft!G$38*($A353-Ft!G$2)^2)</f>
        <v>0</v>
      </c>
    </row>
    <row r="354" spans="1:10">
      <c r="A354" s="19">
        <v>352</v>
      </c>
      <c r="B354" s="28">
        <v>48.469473069139269</v>
      </c>
      <c r="C354" s="27">
        <f ca="1">OFFSET($B354,1*(ROWS(C$2:C354)-1),0)</f>
        <v>0</v>
      </c>
      <c r="D354" s="26">
        <f>Ft!B$3*EXP(Ft!B$38*($A354-Ft!B$2)^2) +Ft!C$3*EXP(Ft!C$38*($A354-Ft!C$2)^2) + Ft!D$3*EXP(Ft!D$38*($A354-Ft!D$2)^2)+Ft!E$3*EXP(Ft!E$38*($A354-Ft!E$2)^2) +Ft!F$3*EXP(Ft!F$38*($A354-Ft!F$2)^2) + Ft!G$3*EXP(Ft!G$38*($A354-Ft!G$2)^2)</f>
        <v>15.778450270535581</v>
      </c>
      <c r="E354" s="26">
        <f>Ft!B$3*EXP(Ft!B$38*($A354-Ft!B$2)^2)</f>
        <v>1.9102348681489505E-51</v>
      </c>
      <c r="F354" s="26">
        <f>Ft!C$3*EXP(Ft!C$38*($A354-Ft!C$2)^2)</f>
        <v>0.29246408803762269</v>
      </c>
      <c r="G354" s="26">
        <f>Ft!D$3*EXP(Ft!D$38*($A354-Ft!D$2)^2)</f>
        <v>15.125637002110699</v>
      </c>
      <c r="H354" s="26">
        <f>Ft!E$3*EXP(Ft!E$38*($A354-Ft!E$2)^2)</f>
        <v>0.36034918038725977</v>
      </c>
      <c r="I354" s="26">
        <f>Ft!F$3*EXP(Ft!F$38*($A354-Ft!F$2)^2)</f>
        <v>5.9713591105188491E-87</v>
      </c>
      <c r="J354" s="26">
        <f>Ft!G$3*EXP(Ft!G$38*($A354-Ft!G$2)^2)</f>
        <v>0</v>
      </c>
    </row>
    <row r="355" spans="1:10">
      <c r="A355" s="19">
        <v>353</v>
      </c>
      <c r="B355" s="28">
        <v>48.464350837322087</v>
      </c>
      <c r="C355" s="27">
        <f ca="1">OFFSET($B355,1*(ROWS(C$2:C355)-1),0)</f>
        <v>0</v>
      </c>
      <c r="D355" s="26">
        <f>Ft!B$3*EXP(Ft!B$38*($A355-Ft!B$2)^2) +Ft!C$3*EXP(Ft!C$38*($A355-Ft!C$2)^2) + Ft!D$3*EXP(Ft!D$38*($A355-Ft!D$2)^2)+Ft!E$3*EXP(Ft!E$38*($A355-Ft!E$2)^2) +Ft!F$3*EXP(Ft!F$38*($A355-Ft!F$2)^2) + Ft!G$3*EXP(Ft!G$38*($A355-Ft!G$2)^2)</f>
        <v>15.830049488365729</v>
      </c>
      <c r="E355" s="26">
        <f>Ft!B$3*EXP(Ft!B$38*($A355-Ft!B$2)^2)</f>
        <v>8.8361006708047584E-52</v>
      </c>
      <c r="F355" s="26">
        <f>Ft!C$3*EXP(Ft!C$38*($A355-Ft!C$2)^2)</f>
        <v>0.28296902222094972</v>
      </c>
      <c r="G355" s="26">
        <f>Ft!D$3*EXP(Ft!D$38*($A355-Ft!D$2)^2)</f>
        <v>15.180762819747752</v>
      </c>
      <c r="H355" s="26">
        <f>Ft!E$3*EXP(Ft!E$38*($A355-Ft!E$2)^2)</f>
        <v>0.36631764639702685</v>
      </c>
      <c r="I355" s="26">
        <f>Ft!F$3*EXP(Ft!F$38*($A355-Ft!F$2)^2)</f>
        <v>1.0768446769780633E-86</v>
      </c>
      <c r="J355" s="26">
        <f>Ft!G$3*EXP(Ft!G$38*($A355-Ft!G$2)^2)</f>
        <v>0</v>
      </c>
    </row>
    <row r="356" spans="1:10">
      <c r="A356" s="19">
        <v>354</v>
      </c>
      <c r="B356" s="28">
        <v>48.4449965426343</v>
      </c>
      <c r="C356" s="27">
        <f ca="1">OFFSET($B356,1*(ROWS(C$2:C356)-1),0)</f>
        <v>0</v>
      </c>
      <c r="D356" s="26">
        <f>Ft!B$3*EXP(Ft!B$38*($A356-Ft!B$2)^2) +Ft!C$3*EXP(Ft!C$38*($A356-Ft!C$2)^2) + Ft!D$3*EXP(Ft!D$38*($A356-Ft!D$2)^2)+Ft!E$3*EXP(Ft!E$38*($A356-Ft!E$2)^2) +Ft!F$3*EXP(Ft!F$38*($A356-Ft!F$2)^2) + Ft!G$3*EXP(Ft!G$38*($A356-Ft!G$2)^2)</f>
        <v>15.881552952926601</v>
      </c>
      <c r="E356" s="26">
        <f>Ft!B$3*EXP(Ft!B$38*($A356-Ft!B$2)^2)</f>
        <v>4.077028210122961E-52</v>
      </c>
      <c r="F356" s="26">
        <f>Ft!C$3*EXP(Ft!C$38*($A356-Ft!C$2)^2)</f>
        <v>0.27373967001013283</v>
      </c>
      <c r="G356" s="26">
        <f>Ft!D$3*EXP(Ft!D$38*($A356-Ft!D$2)^2)</f>
        <v>15.235441511329457</v>
      </c>
      <c r="H356" s="26">
        <f>Ft!E$3*EXP(Ft!E$38*($A356-Ft!E$2)^2)</f>
        <v>0.37237177158701129</v>
      </c>
      <c r="I356" s="26">
        <f>Ft!F$3*EXP(Ft!F$38*($A356-Ft!F$2)^2)</f>
        <v>1.9402412642864733E-86</v>
      </c>
      <c r="J356" s="26">
        <f>Ft!G$3*EXP(Ft!G$38*($A356-Ft!G$2)^2)</f>
        <v>0</v>
      </c>
    </row>
    <row r="357" spans="1:10">
      <c r="A357" s="19">
        <v>355</v>
      </c>
      <c r="B357" s="28">
        <v>48.429167722512091</v>
      </c>
      <c r="C357" s="27">
        <f ca="1">OFFSET($B357,1*(ROWS(C$2:C357)-1),0)</f>
        <v>0</v>
      </c>
      <c r="D357" s="26">
        <f>Ft!B$3*EXP(Ft!B$38*($A357-Ft!B$2)^2) +Ft!C$3*EXP(Ft!C$38*($A357-Ft!C$2)^2) + Ft!D$3*EXP(Ft!D$38*($A357-Ft!D$2)^2)+Ft!E$3*EXP(Ft!E$38*($A357-Ft!E$2)^2) +Ft!F$3*EXP(Ft!F$38*($A357-Ft!F$2)^2) + Ft!G$3*EXP(Ft!G$38*($A357-Ft!G$2)^2)</f>
        <v>15.932949532630097</v>
      </c>
      <c r="E357" s="26">
        <f>Ft!B$3*EXP(Ft!B$38*($A357-Ft!B$2)^2)</f>
        <v>1.8764454860500953E-52</v>
      </c>
      <c r="F357" s="26">
        <f>Ft!C$3*EXP(Ft!C$38*($A357-Ft!C$2)^2)</f>
        <v>0.26477018689693932</v>
      </c>
      <c r="G357" s="26">
        <f>Ft!D$3*EXP(Ft!D$38*($A357-Ft!D$2)^2)</f>
        <v>15.289666806725716</v>
      </c>
      <c r="H357" s="26">
        <f>Ft!E$3*EXP(Ft!E$38*($A357-Ft!E$2)^2)</f>
        <v>0.37851253900744203</v>
      </c>
      <c r="I357" s="26">
        <f>Ft!F$3*EXP(Ft!F$38*($A357-Ft!F$2)^2)</f>
        <v>3.492860198428463E-86</v>
      </c>
      <c r="J357" s="26">
        <f>Ft!G$3*EXP(Ft!G$38*($A357-Ft!G$2)^2)</f>
        <v>0</v>
      </c>
    </row>
    <row r="358" spans="1:10">
      <c r="A358" s="19">
        <v>356</v>
      </c>
      <c r="B358" s="28">
        <v>48.407827599763266</v>
      </c>
      <c r="C358" s="27">
        <f ca="1">OFFSET($B358,1*(ROWS(C$2:C358)-1),0)</f>
        <v>0</v>
      </c>
      <c r="D358" s="26">
        <f>Ft!B$3*EXP(Ft!B$38*($A358-Ft!B$2)^2) +Ft!C$3*EXP(Ft!C$38*($A358-Ft!C$2)^2) + Ft!D$3*EXP(Ft!D$38*($A358-Ft!D$2)^2)+Ft!E$3*EXP(Ft!E$38*($A358-Ft!E$2)^2) +Ft!F$3*EXP(Ft!F$38*($A358-Ft!F$2)^2) + Ft!G$3*EXP(Ft!G$38*($A358-Ft!G$2)^2)</f>
        <v>15.984228210220879</v>
      </c>
      <c r="E358" s="26">
        <f>Ft!B$3*EXP(Ft!B$38*($A358-Ft!B$2)^2)</f>
        <v>8.6146445286339239E-53</v>
      </c>
      <c r="F358" s="26">
        <f>Ft!C$3*EXP(Ft!C$38*($A358-Ft!C$2)^2)</f>
        <v>0.25605480025797467</v>
      </c>
      <c r="G358" s="26">
        <f>Ft!D$3*EXP(Ft!D$38*($A358-Ft!D$2)^2)</f>
        <v>15.343432471312425</v>
      </c>
      <c r="H358" s="26">
        <f>Ft!E$3*EXP(Ft!E$38*($A358-Ft!E$2)^2)</f>
        <v>0.3847409386504787</v>
      </c>
      <c r="I358" s="26">
        <f>Ft!F$3*EXP(Ft!F$38*($A358-Ft!F$2)^2)</f>
        <v>6.2824561420244397E-86</v>
      </c>
      <c r="J358" s="26">
        <f>Ft!G$3*EXP(Ft!G$38*($A358-Ft!G$2)^2)</f>
        <v>0</v>
      </c>
    </row>
    <row r="359" spans="1:10">
      <c r="A359" s="19">
        <v>357</v>
      </c>
      <c r="B359" s="28">
        <v>48.400304749261238</v>
      </c>
      <c r="C359" s="27">
        <f ca="1">OFFSET($B359,1*(ROWS(C$2:C359)-1),0)</f>
        <v>0</v>
      </c>
      <c r="D359" s="26">
        <f>Ft!B$3*EXP(Ft!B$38*($A359-Ft!B$2)^2) +Ft!C$3*EXP(Ft!C$38*($A359-Ft!C$2)^2) + Ft!D$3*EXP(Ft!D$38*($A359-Ft!D$2)^2)+Ft!E$3*EXP(Ft!E$38*($A359-Ft!E$2)^2) +Ft!F$3*EXP(Ft!F$38*($A359-Ft!F$2)^2) + Ft!G$3*EXP(Ft!G$38*($A359-Ft!G$2)^2)</f>
        <v>16.035378085112455</v>
      </c>
      <c r="E359" s="26">
        <f>Ft!B$3*EXP(Ft!B$38*($A359-Ft!B$2)^2)</f>
        <v>3.9450085196215964E-53</v>
      </c>
      <c r="F359" s="26">
        <f>Ft!C$3*EXP(Ft!C$38*($A359-Ft!C$2)^2)</f>
        <v>0.24758781052882417</v>
      </c>
      <c r="G359" s="26">
        <f>Ft!D$3*EXP(Ft!D$38*($A359-Ft!D$2)^2)</f>
        <v>15.396732307160429</v>
      </c>
      <c r="H359" s="26">
        <f>Ft!E$3*EXP(Ft!E$38*($A359-Ft!E$2)^2)</f>
        <v>0.39105796742320437</v>
      </c>
      <c r="I359" s="26">
        <f>Ft!F$3*EXP(Ft!F$38*($A359-Ft!F$2)^2)</f>
        <v>1.1290171084441003E-85</v>
      </c>
      <c r="J359" s="26">
        <f>Ft!G$3*EXP(Ft!G$38*($A359-Ft!G$2)^2)</f>
        <v>0</v>
      </c>
    </row>
    <row r="360" spans="1:10">
      <c r="A360" s="19">
        <v>358</v>
      </c>
      <c r="B360" s="28">
        <v>48.401364996853658</v>
      </c>
      <c r="C360" s="27">
        <f ca="1">OFFSET($B360,1*(ROWS(C$2:C360)-1),0)</f>
        <v>0</v>
      </c>
      <c r="D360" s="26">
        <f>Ft!B$3*EXP(Ft!B$38*($A360-Ft!B$2)^2) +Ft!C$3*EXP(Ft!C$38*($A360-Ft!C$2)^2) + Ft!D$3*EXP(Ft!D$38*($A360-Ft!D$2)^2)+Ft!E$3*EXP(Ft!E$38*($A360-Ft!E$2)^2) +Ft!F$3*EXP(Ft!F$38*($A360-Ft!F$2)^2) + Ft!G$3*EXP(Ft!G$38*($A360-Ft!G$2)^2)</f>
        <v>16.086388375623592</v>
      </c>
      <c r="E360" s="26">
        <f>Ft!B$3*EXP(Ft!B$38*($A360-Ft!B$2)^2)</f>
        <v>1.8020535961464881E-53</v>
      </c>
      <c r="F360" s="26">
        <f>Ft!C$3*EXP(Ft!C$38*($A360-Ft!C$2)^2)</f>
        <v>0.23936359228380549</v>
      </c>
      <c r="G360" s="26">
        <f>Ft!D$3*EXP(Ft!D$38*($A360-Ft!D$2)^2)</f>
        <v>15.449560154220849</v>
      </c>
      <c r="H360" s="26">
        <f>Ft!E$3*EXP(Ft!E$38*($A360-Ft!E$2)^2)</f>
        <v>0.39746462911893621</v>
      </c>
      <c r="I360" s="26">
        <f>Ft!F$3*EXP(Ft!F$38*($A360-Ft!F$2)^2)</f>
        <v>2.027189630498379E-85</v>
      </c>
      <c r="J360" s="26">
        <f>Ft!G$3*EXP(Ft!G$38*($A360-Ft!G$2)^2)</f>
        <v>0</v>
      </c>
    </row>
    <row r="361" spans="1:10">
      <c r="A361" s="19">
        <v>359</v>
      </c>
      <c r="B361" s="28">
        <v>48.379848653955577</v>
      </c>
      <c r="C361" s="27">
        <f ca="1">OFFSET($B361,1*(ROWS(C$2:C361)-1),0)</f>
        <v>0</v>
      </c>
      <c r="D361" s="26">
        <f>Ft!B$3*EXP(Ft!B$38*($A361-Ft!B$2)^2) +Ft!C$3*EXP(Ft!C$38*($A361-Ft!C$2)^2) + Ft!D$3*EXP(Ft!D$38*($A361-Ft!D$2)^2)+Ft!E$3*EXP(Ft!E$38*($A361-Ft!E$2)^2) +Ft!F$3*EXP(Ft!F$38*($A361-Ft!F$2)^2) + Ft!G$3*EXP(Ft!G$38*($A361-Ft!G$2)^2)</f>
        <v>16.137248421116787</v>
      </c>
      <c r="E361" s="26">
        <f>Ft!B$3*EXP(Ft!B$38*($A361-Ft!B$2)^2)</f>
        <v>8.2110110339395345E-54</v>
      </c>
      <c r="F361" s="26">
        <f>Ft!C$3*EXP(Ft!C$38*($A361-Ft!C$2)^2)</f>
        <v>0.23137659522344511</v>
      </c>
      <c r="G361" s="26">
        <f>Ft!D$3*EXP(Ft!D$38*($A361-Ft!D$2)^2)</f>
        <v>15.501909891506505</v>
      </c>
      <c r="H361" s="26">
        <f>Ft!E$3*EXP(Ft!E$38*($A361-Ft!E$2)^2)</f>
        <v>0.40396193438683581</v>
      </c>
      <c r="I361" s="26">
        <f>Ft!F$3*EXP(Ft!F$38*($A361-Ft!F$2)^2)</f>
        <v>3.6367297102494112E-85</v>
      </c>
      <c r="J361" s="26">
        <f>Ft!G$3*EXP(Ft!G$38*($A361-Ft!G$2)^2)</f>
        <v>0</v>
      </c>
    </row>
    <row r="362" spans="1:10">
      <c r="A362" s="19">
        <v>360</v>
      </c>
      <c r="B362" s="28">
        <v>48.36602451640249</v>
      </c>
      <c r="C362" s="27">
        <f ca="1">OFFSET($B362,1*(ROWS(C$2:C362)-1),0)</f>
        <v>0</v>
      </c>
      <c r="D362" s="26">
        <f>Ft!B$3*EXP(Ft!B$38*($A362-Ft!B$2)^2) +Ft!C$3*EXP(Ft!C$38*($A362-Ft!C$2)^2) + Ft!D$3*EXP(Ft!D$38*($A362-Ft!D$2)^2)+Ft!E$3*EXP(Ft!E$38*($A362-Ft!E$2)^2) +Ft!F$3*EXP(Ft!F$38*($A362-Ft!F$2)^2) + Ft!G$3*EXP(Ft!G$38*($A362-Ft!G$2)^2)</f>
        <v>16.187947684040694</v>
      </c>
      <c r="E362" s="26">
        <f>Ft!B$3*EXP(Ft!B$38*($A362-Ft!B$2)^2)</f>
        <v>3.7319407680256366E-54</v>
      </c>
      <c r="F362" s="26">
        <f>Ft!C$3*EXP(Ft!C$38*($A362-Ft!C$2)^2)</f>
        <v>0.22362134507182826</v>
      </c>
      <c r="G362" s="26">
        <f>Ft!D$3*EXP(Ft!D$38*($A362-Ft!D$2)^2)</f>
        <v>15.553775438269071</v>
      </c>
      <c r="H362" s="26">
        <f>Ft!E$3*EXP(Ft!E$38*($A362-Ft!E$2)^2)</f>
        <v>0.41055090069979616</v>
      </c>
      <c r="I362" s="26">
        <f>Ft!F$3*EXP(Ft!F$38*($A362-Ft!F$2)^2)</f>
        <v>6.5185420059876542E-85</v>
      </c>
      <c r="J362" s="26">
        <f>Ft!G$3*EXP(Ft!G$38*($A362-Ft!G$2)^2)</f>
        <v>0</v>
      </c>
    </row>
    <row r="363" spans="1:10">
      <c r="A363" s="19">
        <v>361</v>
      </c>
      <c r="B363" s="28">
        <v>48.354268138202769</v>
      </c>
      <c r="C363" s="27">
        <f ca="1">OFFSET($B363,1*(ROWS(C$2:C363)-1),0)</f>
        <v>0</v>
      </c>
      <c r="D363" s="26">
        <f>Ft!B$3*EXP(Ft!B$38*($A363-Ft!B$2)^2) +Ft!C$3*EXP(Ft!C$38*($A363-Ft!C$2)^2) + Ft!D$3*EXP(Ft!D$38*($A363-Ft!D$2)^2)+Ft!E$3*EXP(Ft!E$38*($A363-Ft!E$2)^2) +Ft!F$3*EXP(Ft!F$38*($A363-Ft!F$2)^2) + Ft!G$3*EXP(Ft!G$38*($A363-Ft!G$2)^2)</f>
        <v>16.238475751878266</v>
      </c>
      <c r="E363" s="26">
        <f>Ft!B$3*EXP(Ft!B$38*($A363-Ft!B$2)^2)</f>
        <v>1.69192856529706E-54</v>
      </c>
      <c r="F363" s="26">
        <f>Ft!C$3*EXP(Ft!C$38*($A363-Ft!C$2)^2)</f>
        <v>0.2160924443859889</v>
      </c>
      <c r="G363" s="26">
        <f>Ft!D$3*EXP(Ft!D$38*($A363-Ft!D$2)^2)</f>
        <v>15.605150755171694</v>
      </c>
      <c r="H363" s="26">
        <f>Ft!E$3*EXP(Ft!E$38*($A363-Ft!E$2)^2)</f>
        <v>0.41723255232058354</v>
      </c>
      <c r="I363" s="26">
        <f>Ft!F$3*EXP(Ft!F$38*($A363-Ft!F$2)^2)</f>
        <v>1.1673812348494434E-84</v>
      </c>
      <c r="J363" s="26">
        <f>Ft!G$3*EXP(Ft!G$38*($A363-Ft!G$2)^2)</f>
        <v>0</v>
      </c>
    </row>
    <row r="364" spans="1:10">
      <c r="A364" s="19">
        <v>362</v>
      </c>
      <c r="B364" s="28">
        <v>48.346763123046742</v>
      </c>
      <c r="C364" s="27">
        <f ca="1">OFFSET($B364,1*(ROWS(C$2:C364)-1),0)</f>
        <v>0</v>
      </c>
      <c r="D364" s="26">
        <f>Ft!B$3*EXP(Ft!B$38*($A364-Ft!B$2)^2) +Ft!C$3*EXP(Ft!C$38*($A364-Ft!C$2)^2) + Ft!D$3*EXP(Ft!D$38*($A364-Ft!D$2)^2)+Ft!E$3*EXP(Ft!E$38*($A364-Ft!E$2)^2) +Ft!F$3*EXP(Ft!F$38*($A364-Ft!F$2)^2) + Ft!G$3*EXP(Ft!G$38*($A364-Ft!G$2)^2)</f>
        <v>16.28882233900249</v>
      </c>
      <c r="E364" s="26">
        <f>Ft!B$3*EXP(Ft!B$38*($A364-Ft!B$2)^2)</f>
        <v>7.6513572061626769E-55</v>
      </c>
      <c r="F364" s="26">
        <f>Ft!C$3*EXP(Ft!C$38*($A364-Ft!C$2)^2)</f>
        <v>0.20878457327953584</v>
      </c>
      <c r="G364" s="26">
        <f>Ft!D$3*EXP(Ft!D$38*($A364-Ft!D$2)^2)</f>
        <v>15.656029845456739</v>
      </c>
      <c r="H364" s="26">
        <f>Ft!E$3*EXP(Ft!E$38*($A364-Ft!E$2)^2)</f>
        <v>0.42400792026621481</v>
      </c>
      <c r="I364" s="26">
        <f>Ft!F$3*EXP(Ft!F$38*($A364-Ft!F$2)^2)</f>
        <v>2.0888042518383943E-84</v>
      </c>
      <c r="J364" s="26">
        <f>Ft!G$3*EXP(Ft!G$38*($A364-Ft!G$2)^2)</f>
        <v>0</v>
      </c>
    </row>
    <row r="365" spans="1:10">
      <c r="A365" s="19">
        <v>363</v>
      </c>
      <c r="B365" s="28">
        <v>48.337620508657835</v>
      </c>
      <c r="C365" s="27">
        <f ca="1">OFFSET($B365,1*(ROWS(C$2:C365)-1),0)</f>
        <v>0</v>
      </c>
      <c r="D365" s="26">
        <f>Ft!B$3*EXP(Ft!B$38*($A365-Ft!B$2)^2) +Ft!C$3*EXP(Ft!C$38*($A365-Ft!C$2)^2) + Ft!D$3*EXP(Ft!D$38*($A365-Ft!D$2)^2)+Ft!E$3*EXP(Ft!E$38*($A365-Ft!E$2)^2) +Ft!F$3*EXP(Ft!F$38*($A365-Ft!F$2)^2) + Ft!G$3*EXP(Ft!G$38*($A365-Ft!G$2)^2)</f>
        <v>16.338977288441594</v>
      </c>
      <c r="E365" s="26">
        <f>Ft!B$3*EXP(Ft!B$38*($A365-Ft!B$2)^2)</f>
        <v>3.45147002989021E-55</v>
      </c>
      <c r="F365" s="26">
        <f>Ft!C$3*EXP(Ft!C$38*($A365-Ft!C$2)^2)</f>
        <v>0.20169249006272538</v>
      </c>
      <c r="G365" s="26">
        <f>Ft!D$3*EXP(Ft!D$38*($A365-Ft!D$2)^2)</f>
        <v>15.70640675610832</v>
      </c>
      <c r="H365" s="26">
        <f>Ft!E$3*EXP(Ft!E$38*($A365-Ft!E$2)^2)</f>
        <v>0.43087804227054627</v>
      </c>
      <c r="I365" s="26">
        <f>Ft!F$3*EXP(Ft!F$38*($A365-Ft!F$2)^2)</f>
        <v>3.7342687751076278E-84</v>
      </c>
      <c r="J365" s="26">
        <f>Ft!G$3*EXP(Ft!G$38*($A365-Ft!G$2)^2)</f>
        <v>0</v>
      </c>
    </row>
    <row r="366" spans="1:10">
      <c r="A366" s="19">
        <v>364</v>
      </c>
      <c r="B366" s="28">
        <v>48.335573358999739</v>
      </c>
      <c r="C366" s="27">
        <f ca="1">OFFSET($B366,1*(ROWS(C$2:C366)-1),0)</f>
        <v>0</v>
      </c>
      <c r="D366" s="26">
        <f>Ft!B$3*EXP(Ft!B$38*($A366-Ft!B$2)^2) +Ft!C$3*EXP(Ft!C$38*($A366-Ft!C$2)^2) + Ft!D$3*EXP(Ft!D$38*($A366-Ft!D$2)^2)+Ft!E$3*EXP(Ft!E$38*($A366-Ft!E$2)^2) +Ft!F$3*EXP(Ft!F$38*($A366-Ft!F$2)^2) + Ft!G$3*EXP(Ft!G$38*($A366-Ft!G$2)^2)</f>
        <v>16.388930573555619</v>
      </c>
      <c r="E366" s="26">
        <f>Ft!B$3*EXP(Ft!B$38*($A366-Ft!B$2)^2)</f>
        <v>1.5530266555196324E-55</v>
      </c>
      <c r="F366" s="26">
        <f>Ft!C$3*EXP(Ft!C$38*($A366-Ft!C$2)^2)</f>
        <v>0.19481103180120454</v>
      </c>
      <c r="G366" s="26">
        <f>Ft!D$3*EXP(Ft!D$38*($A366-Ft!D$2)^2)</f>
        <v>15.756275579009358</v>
      </c>
      <c r="H366" s="26">
        <f>Ft!E$3*EXP(Ft!E$38*($A366-Ft!E$2)^2)</f>
        <v>0.43784396274505633</v>
      </c>
      <c r="I366" s="26">
        <f>Ft!F$3*EXP(Ft!F$38*($A366-Ft!F$2)^2)</f>
        <v>6.6701591922396848E-84</v>
      </c>
      <c r="J366" s="26">
        <f>Ft!G$3*EXP(Ft!G$38*($A366-Ft!G$2)^2)</f>
        <v>0</v>
      </c>
    </row>
    <row r="367" spans="1:10">
      <c r="A367" s="19">
        <v>365</v>
      </c>
      <c r="B367" s="28">
        <v>48.341415236859348</v>
      </c>
      <c r="C367" s="27">
        <f ca="1">OFFSET($B367,1*(ROWS(C$2:C367)-1),0)</f>
        <v>0</v>
      </c>
      <c r="D367" s="26">
        <f>Ft!B$3*EXP(Ft!B$38*($A367-Ft!B$2)^2) +Ft!C$3*EXP(Ft!C$38*($A367-Ft!C$2)^2) + Ft!D$3*EXP(Ft!D$38*($A367-Ft!D$2)^2)+Ft!E$3*EXP(Ft!E$38*($A367-Ft!E$2)^2) +Ft!F$3*EXP(Ft!F$38*($A367-Ft!F$2)^2) + Ft!G$3*EXP(Ft!G$38*($A367-Ft!G$2)^2)</f>
        <v>16.438672299626276</v>
      </c>
      <c r="E367" s="26">
        <f>Ft!B$3*EXP(Ft!B$38*($A367-Ft!B$2)^2)</f>
        <v>6.9704832390962166E-56</v>
      </c>
      <c r="F367" s="26">
        <f>Ft!C$3*EXP(Ft!C$38*($A367-Ft!C$2)^2)</f>
        <v>0.18813511479566611</v>
      </c>
      <c r="G367" s="26">
        <f>Ft!D$3*EXP(Ft!D$38*($A367-Ft!D$2)^2)</f>
        <v>15.805630452092814</v>
      </c>
      <c r="H367" s="26">
        <f>Ft!E$3*EXP(Ft!E$38*($A367-Ft!E$2)^2)</f>
        <v>0.44490673273779768</v>
      </c>
      <c r="I367" s="26">
        <f>Ft!F$3*EXP(Ft!F$38*($A367-Ft!F$2)^2)</f>
        <v>1.1903909606883887E-83</v>
      </c>
      <c r="J367" s="26">
        <f>Ft!G$3*EXP(Ft!G$38*($A367-Ft!G$2)^2)</f>
        <v>0</v>
      </c>
    </row>
    <row r="368" spans="1:10">
      <c r="A368" s="19">
        <v>366</v>
      </c>
      <c r="B368" s="28">
        <v>48.342509756216572</v>
      </c>
      <c r="C368" s="27">
        <f ca="1">OFFSET($B368,1*(ROWS(C$2:C368)-1),0)</f>
        <v>0</v>
      </c>
      <c r="D368" s="26">
        <f>Ft!B$3*EXP(Ft!B$38*($A368-Ft!B$2)^2) +Ft!C$3*EXP(Ft!C$38*($A368-Ft!C$2)^2) + Ft!D$3*EXP(Ft!D$38*($A368-Ft!D$2)^2)+Ft!E$3*EXP(Ft!E$38*($A368-Ft!E$2)^2) +Ft!F$3*EXP(Ft!F$38*($A368-Ft!F$2)^2) + Ft!G$3*EXP(Ft!G$38*($A368-Ft!G$2)^2)</f>
        <v>16.488192705361939</v>
      </c>
      <c r="E368" s="26">
        <f>Ft!B$3*EXP(Ft!B$38*($A368-Ft!B$2)^2)</f>
        <v>3.1207288714337947E-56</v>
      </c>
      <c r="F368" s="26">
        <f>Ft!C$3*EXP(Ft!C$38*($A368-Ft!C$2)^2)</f>
        <v>0.18165973498465954</v>
      </c>
      <c r="G368" s="26">
        <f>Ft!D$3*EXP(Ft!D$38*($A368-Ft!D$2)^2)</f>
        <v>15.854465560486782</v>
      </c>
      <c r="H368" s="26">
        <f>Ft!E$3*EXP(Ft!E$38*($A368-Ft!E$2)^2)</f>
        <v>0.4520674098905012</v>
      </c>
      <c r="I368" s="26">
        <f>Ft!F$3*EXP(Ft!F$38*($A368-Ft!F$2)^2)</f>
        <v>2.1225886477181727E-83</v>
      </c>
      <c r="J368" s="26">
        <f>Ft!G$3*EXP(Ft!G$38*($A368-Ft!G$2)^2)</f>
        <v>0</v>
      </c>
    </row>
    <row r="369" spans="1:10">
      <c r="A369" s="19">
        <v>367</v>
      </c>
      <c r="B369" s="28">
        <v>48.332330066268213</v>
      </c>
      <c r="C369" s="27">
        <f ca="1">OFFSET($B369,1*(ROWS(C$2:C369)-1),0)</f>
        <v>0</v>
      </c>
      <c r="D369" s="26">
        <f>Ft!B$3*EXP(Ft!B$38*($A369-Ft!B$2)^2) +Ft!C$3*EXP(Ft!C$38*($A369-Ft!C$2)^2) + Ft!D$3*EXP(Ft!D$38*($A369-Ft!D$2)^2)+Ft!E$3*EXP(Ft!E$38*($A369-Ft!E$2)^2) +Ft!F$3*EXP(Ft!F$38*($A369-Ft!F$2)^2) + Ft!G$3*EXP(Ft!G$38*($A369-Ft!G$2)^2)</f>
        <v>16.53748216431978</v>
      </c>
      <c r="E369" s="26">
        <f>Ft!B$3*EXP(Ft!B$38*($A369-Ft!B$2)^2)</f>
        <v>1.3936649075096604E-56</v>
      </c>
      <c r="F369" s="26">
        <f>Ft!C$3*EXP(Ft!C$38*($A369-Ft!C$2)^2)</f>
        <v>0.17537996827281155</v>
      </c>
      <c r="G369" s="26">
        <f>Ft!D$3*EXP(Ft!D$38*($A369-Ft!D$2)^2)</f>
        <v>15.902775137653162</v>
      </c>
      <c r="H369" s="26">
        <f>Ft!E$3*EXP(Ft!E$38*($A369-Ft!E$2)^2)</f>
        <v>0.45932705839380744</v>
      </c>
      <c r="I369" s="26">
        <f>Ft!F$3*EXP(Ft!F$38*($A369-Ft!F$2)^2)</f>
        <v>3.7815064840627009E-83</v>
      </c>
      <c r="J369" s="26">
        <f>Ft!G$3*EXP(Ft!G$38*($A369-Ft!G$2)^2)</f>
        <v>0</v>
      </c>
    </row>
    <row r="370" spans="1:10">
      <c r="A370" s="19">
        <v>368</v>
      </c>
      <c r="B370" s="28">
        <v>48.32330910097113</v>
      </c>
      <c r="C370" s="27">
        <f ca="1">OFFSET($B370,1*(ROWS(C$2:C370)-1),0)</f>
        <v>0</v>
      </c>
      <c r="D370" s="26">
        <f>Ft!B$3*EXP(Ft!B$38*($A370-Ft!B$2)^2) +Ft!C$3*EXP(Ft!C$38*($A370-Ft!C$2)^2) + Ft!D$3*EXP(Ft!D$38*($A370-Ft!D$2)^2)+Ft!E$3*EXP(Ft!E$38*($A370-Ft!E$2)^2) +Ft!F$3*EXP(Ft!F$38*($A370-Ft!F$2)^2) + Ft!G$3*EXP(Ft!G$38*($A370-Ft!G$2)^2)</f>
        <v>16.58653118624688</v>
      </c>
      <c r="E370" s="26">
        <f>Ft!B$3*EXP(Ft!B$38*($A370-Ft!B$2)^2)</f>
        <v>6.2082595408292781E-57</v>
      </c>
      <c r="F370" s="26">
        <f>Ft!C$3*EXP(Ft!C$38*($A370-Ft!C$2)^2)</f>
        <v>0.16929097078671154</v>
      </c>
      <c r="G370" s="26">
        <f>Ft!D$3*EXP(Ft!D$38*($A370-Ft!D$2)^2)</f>
        <v>15.95055346651956</v>
      </c>
      <c r="H370" s="26">
        <f>Ft!E$3*EXP(Ft!E$38*($A370-Ft!E$2)^2)</f>
        <v>0.46668674894060974</v>
      </c>
      <c r="I370" s="26">
        <f>Ft!F$3*EXP(Ft!F$38*($A370-Ft!F$2)^2)</f>
        <v>6.7311095235998619E-83</v>
      </c>
      <c r="J370" s="26">
        <f>Ft!G$3*EXP(Ft!G$38*($A370-Ft!G$2)^2)</f>
        <v>0</v>
      </c>
    </row>
    <row r="371" spans="1:10">
      <c r="A371" s="19">
        <v>369</v>
      </c>
      <c r="B371" s="28">
        <v>48.326443150586897</v>
      </c>
      <c r="C371" s="27">
        <f ca="1">OFFSET($B371,1*(ROWS(C$2:C371)-1),0)</f>
        <v>0</v>
      </c>
      <c r="D371" s="26">
        <f>Ft!B$3*EXP(Ft!B$38*($A371-Ft!B$2)^2) +Ft!C$3*EXP(Ft!C$38*($A371-Ft!C$2)^2) + Ft!D$3*EXP(Ft!D$38*($A371-Ft!D$2)^2)+Ft!E$3*EXP(Ft!E$38*($A371-Ft!E$2)^2) +Ft!F$3*EXP(Ft!F$38*($A371-Ft!F$2)^2) + Ft!G$3*EXP(Ft!G$38*($A371-Ft!G$2)^2)</f>
        <v>16.635330418342335</v>
      </c>
      <c r="E371" s="26">
        <f>Ft!B$3*EXP(Ft!B$38*($A371-Ft!B$2)^2)</f>
        <v>2.7586114775209526E-57</v>
      </c>
      <c r="F371" s="26">
        <f>Ft!C$3*EXP(Ft!C$38*($A371-Ft!C$2)^2)</f>
        <v>0.16338797906071612</v>
      </c>
      <c r="G371" s="26">
        <f>Ft!D$3*EXP(Ft!D$38*($A371-Ft!D$2)^2)</f>
        <v>15.997794880604136</v>
      </c>
      <c r="H371" s="26">
        <f>Ft!E$3*EXP(Ft!E$38*($A371-Ft!E$2)^2)</f>
        <v>0.47414755867748382</v>
      </c>
      <c r="I371" s="26">
        <f>Ft!F$3*EXP(Ft!F$38*($A371-Ft!F$2)^2)</f>
        <v>1.1971022865132063E-82</v>
      </c>
      <c r="J371" s="26">
        <f>Ft!G$3*EXP(Ft!G$38*($A371-Ft!G$2)^2)</f>
        <v>0</v>
      </c>
    </row>
    <row r="372" spans="1:10">
      <c r="A372" s="19">
        <v>370</v>
      </c>
      <c r="B372" s="28">
        <v>48.320407294650408</v>
      </c>
      <c r="C372" s="27">
        <f ca="1">OFFSET($B372,1*(ROWS(C$2:C372)-1),0)</f>
        <v>0</v>
      </c>
      <c r="D372" s="26">
        <f>Ft!B$3*EXP(Ft!B$38*($A372-Ft!B$2)^2) +Ft!C$3*EXP(Ft!C$38*($A372-Ft!C$2)^2) + Ft!D$3*EXP(Ft!D$38*($A372-Ft!D$2)^2)+Ft!E$3*EXP(Ft!E$38*($A372-Ft!E$2)^2) +Ft!F$3*EXP(Ft!F$38*($A372-Ft!F$2)^2) + Ft!G$3*EXP(Ft!G$38*($A372-Ft!G$2)^2)</f>
        <v>16.683870646442191</v>
      </c>
      <c r="E372" s="26">
        <f>Ft!B$3*EXP(Ft!B$38*($A372-Ft!B$2)^2)</f>
        <v>1.222701337233858E-57</v>
      </c>
      <c r="F372" s="26">
        <f>Ft!C$3*EXP(Ft!C$38*($A372-Ft!C$2)^2)</f>
        <v>0.15766631015492566</v>
      </c>
      <c r="G372" s="26">
        <f>Ft!D$3*EXP(Ft!D$38*($A372-Ft!D$2)^2)</f>
        <v>16.04449376513308</v>
      </c>
      <c r="H372" s="26">
        <f>Ft!E$3*EXP(Ft!E$38*($A372-Ft!E$2)^2)</f>
        <v>0.48171057115418575</v>
      </c>
      <c r="I372" s="26">
        <f>Ft!F$3*EXP(Ft!F$38*($A372-Ft!F$2)^2)</f>
        <v>2.1271526591309278E-82</v>
      </c>
      <c r="J372" s="26">
        <f>Ft!G$3*EXP(Ft!G$38*($A372-Ft!G$2)^2)</f>
        <v>0</v>
      </c>
    </row>
    <row r="373" spans="1:10">
      <c r="A373" s="19">
        <v>371</v>
      </c>
      <c r="B373" s="28">
        <v>48.301589266440459</v>
      </c>
      <c r="C373" s="27">
        <f ca="1">OFFSET($B373,1*(ROWS(C$2:C373)-1),0)</f>
        <v>0</v>
      </c>
      <c r="D373" s="26">
        <f>Ft!B$3*EXP(Ft!B$38*($A373-Ft!B$2)^2) +Ft!C$3*EXP(Ft!C$38*($A373-Ft!C$2)^2) + Ft!D$3*EXP(Ft!D$38*($A373-Ft!D$2)^2)+Ft!E$3*EXP(Ft!E$38*($A373-Ft!E$2)^2) +Ft!F$3*EXP(Ft!F$38*($A373-Ft!F$2)^2) + Ft!G$3*EXP(Ft!G$38*($A373-Ft!G$2)^2)</f>
        <v>16.732142796129185</v>
      </c>
      <c r="E373" s="26">
        <f>Ft!B$3*EXP(Ft!B$38*($A373-Ft!B$2)^2)</f>
        <v>5.405792977394439E-58</v>
      </c>
      <c r="F373" s="26">
        <f>Ft!C$3*EXP(Ft!C$38*($A373-Ft!C$2)^2)</f>
        <v>0.15212136170757964</v>
      </c>
      <c r="G373" s="26">
        <f>Ft!D$3*EXP(Ft!D$38*($A373-Ft!D$2)^2)</f>
        <v>16.090644558150409</v>
      </c>
      <c r="H373" s="26">
        <f>Ft!E$3*EXP(Ft!E$38*($A373-Ft!E$2)^2)</f>
        <v>0.48937687627119919</v>
      </c>
      <c r="I373" s="26">
        <f>Ft!F$3*EXP(Ft!F$38*($A373-Ft!F$2)^2)</f>
        <v>3.7764944702643546E-82</v>
      </c>
      <c r="J373" s="26">
        <f>Ft!G$3*EXP(Ft!G$38*($A373-Ft!G$2)^2)</f>
        <v>0</v>
      </c>
    </row>
    <row r="374" spans="1:10">
      <c r="A374" s="19">
        <v>372</v>
      </c>
      <c r="B374" s="28">
        <v>48.28720799505669</v>
      </c>
      <c r="C374" s="27">
        <f ca="1">OFFSET($B374,1*(ROWS(C$2:C374)-1),0)</f>
        <v>0</v>
      </c>
      <c r="D374" s="26">
        <f>Ft!B$3*EXP(Ft!B$38*($A374-Ft!B$2)^2) +Ft!C$3*EXP(Ft!C$38*($A374-Ft!C$2)^2) + Ft!D$3*EXP(Ft!D$38*($A374-Ft!D$2)^2)+Ft!E$3*EXP(Ft!E$38*($A374-Ft!E$2)^2) +Ft!F$3*EXP(Ft!F$38*($A374-Ft!F$2)^2) + Ft!G$3*EXP(Ft!G$38*($A374-Ft!G$2)^2)</f>
        <v>16.780137933769186</v>
      </c>
      <c r="E374" s="26">
        <f>Ft!B$3*EXP(Ft!B$38*($A374-Ft!B$2)^2)</f>
        <v>2.384007440535886E-58</v>
      </c>
      <c r="F374" s="26">
        <f>Ft!C$3*EXP(Ft!C$38*($A374-Ft!C$2)^2)</f>
        <v>0.14674861192410787</v>
      </c>
      <c r="G374" s="26">
        <f>Ft!D$3*EXP(Ft!D$38*($A374-Ft!D$2)^2)</f>
        <v>16.136241751619771</v>
      </c>
      <c r="H374" s="26">
        <f>Ft!E$3*EXP(Ft!E$38*($A374-Ft!E$2)^2)</f>
        <v>0.49714757022531003</v>
      </c>
      <c r="I374" s="26">
        <f>Ft!F$3*EXP(Ft!F$38*($A374-Ft!F$2)^2)</f>
        <v>6.6988745175496027E-82</v>
      </c>
      <c r="J374" s="26">
        <f>Ft!G$3*EXP(Ft!G$38*($A374-Ft!G$2)^2)</f>
        <v>0</v>
      </c>
    </row>
    <row r="375" spans="1:10">
      <c r="A375" s="19">
        <v>373</v>
      </c>
      <c r="B375" s="28">
        <v>48.262675832741877</v>
      </c>
      <c r="C375" s="27">
        <f ca="1">OFFSET($B375,1*(ROWS(C$2:C375)-1),0)</f>
        <v>0</v>
      </c>
      <c r="D375" s="26">
        <f>Ft!B$3*EXP(Ft!B$38*($A375-Ft!B$2)^2) +Ft!C$3*EXP(Ft!C$38*($A375-Ft!C$2)^2) + Ft!D$3*EXP(Ft!D$38*($A375-Ft!D$2)^2)+Ft!E$3*EXP(Ft!E$38*($A375-Ft!E$2)^2) +Ft!F$3*EXP(Ft!F$38*($A375-Ft!F$2)^2) + Ft!G$3*EXP(Ft!G$38*($A375-Ft!G$2)^2)</f>
        <v>16.82784726747624</v>
      </c>
      <c r="E375" s="26">
        <f>Ft!B$3*EXP(Ft!B$38*($A375-Ft!B$2)^2)</f>
        <v>1.0487331050525856E-58</v>
      </c>
      <c r="F375" s="26">
        <f>Ft!C$3*EXP(Ft!C$38*($A375-Ft!C$2)^2)</f>
        <v>0.14154361950506814</v>
      </c>
      <c r="G375" s="26">
        <f>Ft!D$3*EXP(Ft!D$38*($A375-Ft!D$2)^2)</f>
        <v>16.181279892517981</v>
      </c>
      <c r="H375" s="26">
        <f>Ft!E$3*EXP(Ft!E$38*($A375-Ft!E$2)^2)</f>
        <v>0.50502375545318989</v>
      </c>
      <c r="I375" s="26">
        <f>Ft!F$3*EXP(Ft!F$38*($A375-Ft!F$2)^2)</f>
        <v>1.1872375602625867E-81</v>
      </c>
      <c r="J375" s="26">
        <f>Ft!G$3*EXP(Ft!G$38*($A375-Ft!G$2)^2)</f>
        <v>0</v>
      </c>
    </row>
    <row r="376" spans="1:10">
      <c r="A376" s="19">
        <v>374</v>
      </c>
      <c r="B376" s="28">
        <v>48.25630755941387</v>
      </c>
      <c r="C376" s="27">
        <f ca="1">OFFSET($B376,1*(ROWS(C$2:C376)-1),0)</f>
        <v>0</v>
      </c>
      <c r="D376" s="26">
        <f>Ft!B$3*EXP(Ft!B$38*($A376-Ft!B$2)^2) +Ft!C$3*EXP(Ft!C$38*($A376-Ft!C$2)^2) + Ft!D$3*EXP(Ft!D$38*($A376-Ft!D$2)^2)+Ft!E$3*EXP(Ft!E$38*($A376-Ft!E$2)^2) +Ft!F$3*EXP(Ft!F$38*($A376-Ft!F$2)^2) + Ft!G$3*EXP(Ft!G$38*($A376-Ft!G$2)^2)</f>
        <v>16.875262148008076</v>
      </c>
      <c r="E376" s="26">
        <f>Ft!B$3*EXP(Ft!B$38*($A376-Ft!B$2)^2)</f>
        <v>4.601840083476506E-59</v>
      </c>
      <c r="F376" s="26">
        <f>Ft!C$3*EXP(Ft!C$38*($A376-Ft!C$2)^2)</f>
        <v>0.13650202351518295</v>
      </c>
      <c r="G376" s="26">
        <f>Ft!D$3*EXP(Ft!D$38*($A376-Ft!D$2)^2)</f>
        <v>16.225753583919925</v>
      </c>
      <c r="H376" s="26">
        <f>Ft!E$3*EXP(Ft!E$38*($A376-Ft!E$2)^2)</f>
        <v>0.51300654057296735</v>
      </c>
      <c r="I376" s="26">
        <f>Ft!F$3*EXP(Ft!F$38*($A376-Ft!F$2)^2)</f>
        <v>2.1023073483535957E-81</v>
      </c>
      <c r="J376" s="26">
        <f>Ft!G$3*EXP(Ft!G$38*($A376-Ft!G$2)^2)</f>
        <v>0</v>
      </c>
    </row>
    <row r="377" spans="1:10">
      <c r="A377" s="19">
        <v>375</v>
      </c>
      <c r="B377" s="28">
        <v>48.235405729576314</v>
      </c>
      <c r="C377" s="27">
        <f ca="1">OFFSET($B377,1*(ROWS(C$2:C377)-1),0)</f>
        <v>0</v>
      </c>
      <c r="D377" s="26">
        <f>Ft!B$3*EXP(Ft!B$38*($A377-Ft!B$2)^2) +Ft!C$3*EXP(Ft!C$38*($A377-Ft!C$2)^2) + Ft!D$3*EXP(Ft!D$38*($A377-Ft!D$2)^2)+Ft!E$3*EXP(Ft!E$38*($A377-Ft!E$2)^2) +Ft!F$3*EXP(Ft!F$38*($A377-Ft!F$2)^2) + Ft!G$3*EXP(Ft!G$38*($A377-Ft!G$2)^2)</f>
        <v>16.922374069594049</v>
      </c>
      <c r="E377" s="26">
        <f>Ft!B$3*EXP(Ft!B$38*($A377-Ft!B$2)^2)</f>
        <v>2.0142215677280055E-59</v>
      </c>
      <c r="F377" s="26">
        <f>Ft!C$3*EXP(Ft!C$38*($A377-Ft!C$2)^2)</f>
        <v>0.13161954319567726</v>
      </c>
      <c r="G377" s="26">
        <f>Ft!D$3*EXP(Ft!D$38*($A377-Ft!D$2)^2)</f>
        <v>16.269657486074603</v>
      </c>
      <c r="H377" s="26">
        <f>Ft!E$3*EXP(Ft!E$38*($A377-Ft!E$2)^2)</f>
        <v>0.52109704032376947</v>
      </c>
      <c r="I377" s="26">
        <f>Ft!F$3*EXP(Ft!F$38*($A377-Ft!F$2)^2)</f>
        <v>3.7194402316314724E-81</v>
      </c>
      <c r="J377" s="26">
        <f>Ft!G$3*EXP(Ft!G$38*($A377-Ft!G$2)^2)</f>
        <v>0</v>
      </c>
    </row>
    <row r="378" spans="1:10">
      <c r="A378" s="19">
        <v>376</v>
      </c>
      <c r="B378" s="28">
        <v>48.221646833844176</v>
      </c>
      <c r="C378" s="27">
        <f ca="1">OFFSET($B378,1*(ROWS(C$2:C378)-1),0)</f>
        <v>0</v>
      </c>
      <c r="D378" s="26">
        <f>Ft!B$3*EXP(Ft!B$38*($A378-Ft!B$2)^2) +Ft!C$3*EXP(Ft!C$38*($A378-Ft!C$2)^2) + Ft!D$3*EXP(Ft!D$38*($A378-Ft!D$2)^2)+Ft!E$3*EXP(Ft!E$38*($A378-Ft!E$2)^2) +Ft!F$3*EXP(Ft!F$38*($A378-Ft!F$2)^2) + Ft!G$3*EXP(Ft!G$38*($A378-Ft!G$2)^2)</f>
        <v>16.969174670697278</v>
      </c>
      <c r="E378" s="26">
        <f>Ft!B$3*EXP(Ft!B$38*($A378-Ft!B$2)^2)</f>
        <v>8.7941148975707282E-60</v>
      </c>
      <c r="F378" s="26">
        <f>Ft!C$3*EXP(Ft!C$38*($A378-Ft!C$2)^2)</f>
        <v>0.12689197772209929</v>
      </c>
      <c r="G378" s="26">
        <f>Ft!D$3*EXP(Ft!D$38*($A378-Ft!D$2)^2)</f>
        <v>16.312986317471964</v>
      </c>
      <c r="H378" s="26">
        <f>Ft!E$3*EXP(Ft!E$38*($A378-Ft!E$2)^2)</f>
        <v>0.52929637550321385</v>
      </c>
      <c r="I378" s="26">
        <f>Ft!F$3*EXP(Ft!F$38*($A378-Ft!F$2)^2)</f>
        <v>6.574788030192844E-81</v>
      </c>
      <c r="J378" s="26">
        <f>Ft!G$3*EXP(Ft!G$38*($A378-Ft!G$2)^2)</f>
        <v>0</v>
      </c>
    </row>
    <row r="379" spans="1:10">
      <c r="A379" s="19">
        <v>377</v>
      </c>
      <c r="B379" s="28">
        <v>48.183278628614829</v>
      </c>
      <c r="C379" s="27">
        <f ca="1">OFFSET($B379,1*(ROWS(C$2:C379)-1),0)</f>
        <v>0</v>
      </c>
      <c r="D379" s="26">
        <f>Ft!B$3*EXP(Ft!B$38*($A379-Ft!B$2)^2) +Ft!C$3*EXP(Ft!C$38*($A379-Ft!C$2)^2) + Ft!D$3*EXP(Ft!D$38*($A379-Ft!D$2)^2)+Ft!E$3*EXP(Ft!E$38*($A379-Ft!E$2)^2) +Ft!F$3*EXP(Ft!F$38*($A379-Ft!F$2)^2) + Ft!G$3*EXP(Ft!G$38*($A379-Ft!G$2)^2)</f>
        <v>17.015655734712865</v>
      </c>
      <c r="E379" s="26">
        <f>Ft!B$3*EXP(Ft!B$38*($A379-Ft!B$2)^2)</f>
        <v>3.8298891415178801E-60</v>
      </c>
      <c r="F379" s="26">
        <f>Ft!C$3*EXP(Ft!C$38*($A379-Ft!C$2)^2)</f>
        <v>0.12231520590978719</v>
      </c>
      <c r="G379" s="26">
        <f>Ft!D$3*EXP(Ft!D$38*($A379-Ft!D$2)^2)</f>
        <v>16.355734855900248</v>
      </c>
      <c r="H379" s="26">
        <f>Ft!E$3*EXP(Ft!E$38*($A379-Ft!E$2)^2)</f>
        <v>0.53760567290283057</v>
      </c>
      <c r="I379" s="26">
        <f>Ft!F$3*EXP(Ft!F$38*($A379-Ft!F$2)^2)</f>
        <v>1.1612045336761014E-80</v>
      </c>
      <c r="J379" s="26">
        <f>Ft!G$3*EXP(Ft!G$38*($A379-Ft!G$2)^2)</f>
        <v>0</v>
      </c>
    </row>
    <row r="380" spans="1:10">
      <c r="A380" s="19">
        <v>378</v>
      </c>
      <c r="B380" s="28">
        <v>48.156115602810814</v>
      </c>
      <c r="C380" s="27">
        <f ca="1">OFFSET($B380,1*(ROWS(C$2:C380)-1),0)</f>
        <v>0</v>
      </c>
      <c r="D380" s="26">
        <f>Ft!B$3*EXP(Ft!B$38*($A380-Ft!B$2)^2) +Ft!C$3*EXP(Ft!C$38*($A380-Ft!C$2)^2) + Ft!D$3*EXP(Ft!D$38*($A380-Ft!D$2)^2)+Ft!E$3*EXP(Ft!E$38*($A380-Ft!E$2)^2) +Ft!F$3*EXP(Ft!F$38*($A380-Ft!F$2)^2) + Ft!G$3*EXP(Ft!G$38*($A380-Ft!G$2)^2)</f>
        <v>17.061809190604055</v>
      </c>
      <c r="E380" s="26">
        <f>Ft!B$3*EXP(Ft!B$38*($A380-Ft!B$2)^2)</f>
        <v>1.6637552739454437E-60</v>
      </c>
      <c r="F380" s="26">
        <f>Ft!C$3*EXP(Ft!C$38*($A380-Ft!C$2)^2)</f>
        <v>0.11788518586912543</v>
      </c>
      <c r="G380" s="26">
        <f>Ft!D$3*EXP(Ft!D$38*($A380-Ft!D$2)^2)</f>
        <v>16.397897939493536</v>
      </c>
      <c r="H380" s="26">
        <f>Ft!E$3*EXP(Ft!E$38*($A380-Ft!E$2)^2)</f>
        <v>0.54602606524139696</v>
      </c>
      <c r="I380" s="26">
        <f>Ft!F$3*EXP(Ft!F$38*($A380-Ft!F$2)^2)</f>
        <v>2.0490779748366753E-80</v>
      </c>
      <c r="J380" s="26">
        <f>Ft!G$3*EXP(Ft!G$38*($A380-Ft!G$2)^2)</f>
        <v>0</v>
      </c>
    </row>
    <row r="381" spans="1:10">
      <c r="A381" s="19">
        <v>379</v>
      </c>
      <c r="B381" s="28">
        <v>48.141573038451753</v>
      </c>
      <c r="C381" s="27">
        <f ca="1">OFFSET($B381,1*(ROWS(C$2:C381)-1),0)</f>
        <v>0</v>
      </c>
      <c r="D381" s="26">
        <f>Ft!B$3*EXP(Ft!B$38*($A381-Ft!B$2)^2) +Ft!C$3*EXP(Ft!C$38*($A381-Ft!C$2)^2) + Ft!D$3*EXP(Ft!D$38*($A381-Ft!D$2)^2)+Ft!E$3*EXP(Ft!E$38*($A381-Ft!E$2)^2) +Ft!F$3*EXP(Ft!F$38*($A381-Ft!F$2)^2) + Ft!G$3*EXP(Ft!G$38*($A381-Ft!G$2)^2)</f>
        <v>17.107627113478095</v>
      </c>
      <c r="E381" s="26">
        <f>Ft!B$3*EXP(Ft!B$38*($A381-Ft!B$2)^2)</f>
        <v>7.2094454694421488E-61</v>
      </c>
      <c r="F381" s="26">
        <f>Ft!C$3*EXP(Ft!C$38*($A381-Ft!C$2)^2)</f>
        <v>0.11359795461270779</v>
      </c>
      <c r="G381" s="26">
        <f>Ft!D$3*EXP(Ft!D$38*($A381-Ft!D$2)^2)</f>
        <v>16.439470467769222</v>
      </c>
      <c r="H381" s="26">
        <f>Ft!E$3*EXP(Ft!E$38*($A381-Ft!E$2)^2)</f>
        <v>0.55455869109616707</v>
      </c>
      <c r="I381" s="26">
        <f>Ft!F$3*EXP(Ft!F$38*($A381-Ft!F$2)^2)</f>
        <v>3.6126928793178999E-80</v>
      </c>
      <c r="J381" s="26">
        <f>Ft!G$3*EXP(Ft!G$38*($A381-Ft!G$2)^2)</f>
        <v>0</v>
      </c>
    </row>
    <row r="382" spans="1:10">
      <c r="A382" s="19">
        <v>380</v>
      </c>
      <c r="B382" s="28">
        <v>48.11100132036205</v>
      </c>
      <c r="C382" s="27">
        <f ca="1">OFFSET($B382,1*(ROWS(C$2:C382)-1),0)</f>
        <v>0</v>
      </c>
      <c r="D382" s="26">
        <f>Ft!B$3*EXP(Ft!B$38*($A382-Ft!B$2)^2) +Ft!C$3*EXP(Ft!C$38*($A382-Ft!C$2)^2) + Ft!D$3*EXP(Ft!D$38*($A382-Ft!D$2)^2)+Ft!E$3*EXP(Ft!E$38*($A382-Ft!E$2)^2) +Ft!F$3*EXP(Ft!F$38*($A382-Ft!F$2)^2) + Ft!G$3*EXP(Ft!G$38*($A382-Ft!G$2)^2)</f>
        <v>17.153101725103603</v>
      </c>
      <c r="E382" s="26">
        <f>Ft!B$3*EXP(Ft!B$38*($A382-Ft!B$2)^2)</f>
        <v>3.1161865703989582E-61</v>
      </c>
      <c r="F382" s="26">
        <f>Ft!C$3*EXP(Ft!C$38*($A382-Ft!C$2)^2)</f>
        <v>0.10944962761650293</v>
      </c>
      <c r="G382" s="26">
        <f>Ft!D$3*EXP(Ft!D$38*($A382-Ft!D$2)^2)</f>
        <v>16.480447402655123</v>
      </c>
      <c r="H382" s="26">
        <f>Ft!E$3*EXP(Ft!E$38*($A382-Ft!E$2)^2)</f>
        <v>0.56320469483197599</v>
      </c>
      <c r="I382" s="26">
        <f>Ft!F$3*EXP(Ft!F$38*($A382-Ft!F$2)^2)</f>
        <v>6.3639446895584469E-80</v>
      </c>
      <c r="J382" s="26">
        <f>Ft!G$3*EXP(Ft!G$38*($A382-Ft!G$2)^2)</f>
        <v>0</v>
      </c>
    </row>
    <row r="383" spans="1:10">
      <c r="A383" s="19">
        <v>381</v>
      </c>
      <c r="B383" s="28">
        <v>48.089665797792236</v>
      </c>
      <c r="C383" s="27">
        <f ca="1">OFFSET($B383,1*(ROWS(C$2:C383)-1),0)</f>
        <v>0</v>
      </c>
      <c r="D383" s="26">
        <f>Ft!B$3*EXP(Ft!B$38*($A383-Ft!B$2)^2) +Ft!C$3*EXP(Ft!C$38*($A383-Ft!C$2)^2) + Ft!D$3*EXP(Ft!D$38*($A383-Ft!D$2)^2)+Ft!E$3*EXP(Ft!E$38*($A383-Ft!E$2)^2) +Ft!F$3*EXP(Ft!F$38*($A383-Ft!F$2)^2) + Ft!G$3*EXP(Ft!G$38*($A383-Ft!G$2)^2)</f>
        <v>17.198225394371168</v>
      </c>
      <c r="E383" s="26">
        <f>Ft!B$3*EXP(Ft!B$38*($A383-Ft!B$2)^2)</f>
        <v>1.3435511843301097E-61</v>
      </c>
      <c r="F383" s="26">
        <f>Ft!C$3*EXP(Ft!C$38*($A383-Ft!C$2)^2)</f>
        <v>0.10543639833708876</v>
      </c>
      <c r="G383" s="26">
        <f>Ft!D$3*EXP(Ft!D$38*($A383-Ft!D$2)^2)</f>
        <v>16.520823769505878</v>
      </c>
      <c r="H383" s="26">
        <f>Ft!E$3*EXP(Ft!E$38*($A383-Ft!E$2)^2)</f>
        <v>0.57196522652819959</v>
      </c>
      <c r="I383" s="26">
        <f>Ft!F$3*EXP(Ft!F$38*($A383-Ft!F$2)^2)</f>
        <v>1.1200684010997423E-79</v>
      </c>
      <c r="J383" s="26">
        <f>Ft!G$3*EXP(Ft!G$38*($A383-Ft!G$2)^2)</f>
        <v>0</v>
      </c>
    </row>
    <row r="384" spans="1:10">
      <c r="A384" s="19">
        <v>382</v>
      </c>
      <c r="B384" s="28">
        <v>48.069702528254226</v>
      </c>
      <c r="C384" s="27">
        <f ca="1">OFFSET($B384,1*(ROWS(C$2:C384)-1),0)</f>
        <v>0</v>
      </c>
      <c r="D384" s="26">
        <f>Ft!B$3*EXP(Ft!B$38*($A384-Ft!B$2)^2) +Ft!C$3*EXP(Ft!C$38*($A384-Ft!C$2)^2) + Ft!D$3*EXP(Ft!D$38*($A384-Ft!D$2)^2)+Ft!E$3*EXP(Ft!E$38*($A384-Ft!E$2)^2) +Ft!F$3*EXP(Ft!F$38*($A384-Ft!F$2)^2) + Ft!G$3*EXP(Ft!G$38*($A384-Ft!G$2)^2)</f>
        <v>17.242990637699023</v>
      </c>
      <c r="E384" s="26">
        <f>Ft!B$3*EXP(Ft!B$38*($A384-Ft!B$2)^2)</f>
        <v>5.7782210862614004E-62</v>
      </c>
      <c r="F384" s="26">
        <f>Ft!C$3*EXP(Ft!C$38*($A384-Ft!C$2)^2)</f>
        <v>0.10155453768699656</v>
      </c>
      <c r="G384" s="26">
        <f>Ft!D$3*EXP(Ft!D$38*($A384-Ft!D$2)^2)</f>
        <v>16.560594658108467</v>
      </c>
      <c r="H384" s="26">
        <f>Ft!E$3*EXP(Ft!E$38*($A384-Ft!E$2)^2)</f>
        <v>0.5808414419035588</v>
      </c>
      <c r="I384" s="26">
        <f>Ft!F$3*EXP(Ft!F$38*($A384-Ft!F$2)^2)</f>
        <v>1.9696338053803942E-79</v>
      </c>
      <c r="J384" s="26">
        <f>Ft!G$3*EXP(Ft!G$38*($A384-Ft!G$2)^2)</f>
        <v>0</v>
      </c>
    </row>
    <row r="385" spans="1:10">
      <c r="A385" s="19">
        <v>383</v>
      </c>
      <c r="B385" s="28">
        <v>48.029981557008512</v>
      </c>
      <c r="C385" s="27">
        <f ca="1">OFFSET($B385,1*(ROWS(C$2:C385)-1),0)</f>
        <v>0</v>
      </c>
      <c r="D385" s="26">
        <f>Ft!B$3*EXP(Ft!B$38*($A385-Ft!B$2)^2) +Ft!C$3*EXP(Ft!C$38*($A385-Ft!C$2)^2) + Ft!D$3*EXP(Ft!D$38*($A385-Ft!D$2)^2)+Ft!E$3*EXP(Ft!E$38*($A385-Ft!E$2)^2) +Ft!F$3*EXP(Ft!F$38*($A385-Ft!F$2)^2) + Ft!G$3*EXP(Ft!G$38*($A385-Ft!G$2)^2)</f>
        <v>17.287390119385368</v>
      </c>
      <c r="E385" s="26">
        <f>Ft!B$3*EXP(Ft!B$38*($A385-Ft!B$2)^2)</f>
        <v>2.4788101608712047E-62</v>
      </c>
      <c r="F385" s="26">
        <f>Ft!C$3*EXP(Ft!C$38*($A385-Ft!C$2)^2)</f>
        <v>9.7800393470172567E-2</v>
      </c>
      <c r="G385" s="26">
        <f>Ft!D$3*EXP(Ft!D$38*($A385-Ft!D$2)^2)</f>
        <v>16.599755223676453</v>
      </c>
      <c r="H385" s="26">
        <f>Ft!E$3*EXP(Ft!E$38*($A385-Ft!E$2)^2)</f>
        <v>0.58983450223873946</v>
      </c>
      <c r="I385" s="26">
        <f>Ft!F$3*EXP(Ft!F$38*($A385-Ft!F$2)^2)</f>
        <v>3.460582676048085E-79</v>
      </c>
      <c r="J385" s="26">
        <f>Ft!G$3*EXP(Ft!G$38*($A385-Ft!G$2)^2)</f>
        <v>0</v>
      </c>
    </row>
    <row r="386" spans="1:10">
      <c r="A386" s="19">
        <v>384</v>
      </c>
      <c r="B386" s="28">
        <v>47.96400863924427</v>
      </c>
      <c r="C386" s="27">
        <f ca="1">OFFSET($B386,1*(ROWS(C$2:C386)-1),0)</f>
        <v>0</v>
      </c>
      <c r="D386" s="26">
        <f>Ft!B$3*EXP(Ft!B$38*($A386-Ft!B$2)^2) +Ft!C$3*EXP(Ft!C$38*($A386-Ft!C$2)^2) + Ft!D$3*EXP(Ft!D$38*($A386-Ft!D$2)^2)+Ft!E$3*EXP(Ft!E$38*($A386-Ft!E$2)^2) +Ft!F$3*EXP(Ft!F$38*($A386-Ft!F$2)^2) + Ft!G$3*EXP(Ft!G$38*($A386-Ft!G$2)^2)</f>
        <v>17.331416651909056</v>
      </c>
      <c r="E386" s="26">
        <f>Ft!B$3*EXP(Ft!B$38*($A386-Ft!B$2)^2)</f>
        <v>1.0607219470361475E-62</v>
      </c>
      <c r="F386" s="26">
        <f>Ft!C$3*EXP(Ft!C$38*($A386-Ft!C$2)^2)</f>
        <v>9.4170389779537941E-2</v>
      </c>
      <c r="G386" s="26">
        <f>Ft!D$3*EXP(Ft!D$38*($A386-Ft!D$2)^2)</f>
        <v>16.638300687832693</v>
      </c>
      <c r="H386" s="26">
        <f>Ft!E$3*EXP(Ft!E$38*($A386-Ft!E$2)^2)</f>
        <v>0.59894557429682227</v>
      </c>
      <c r="I386" s="26">
        <f>Ft!F$3*EXP(Ft!F$38*($A386-Ft!F$2)^2)</f>
        <v>6.074852878127199E-79</v>
      </c>
      <c r="J386" s="26">
        <f>Ft!G$3*EXP(Ft!G$38*($A386-Ft!G$2)^2)</f>
        <v>0</v>
      </c>
    </row>
    <row r="387" spans="1:10">
      <c r="A387" s="19">
        <v>385</v>
      </c>
      <c r="B387" s="28">
        <v>47.906205968730461</v>
      </c>
      <c r="C387" s="27">
        <f ca="1">OFFSET($B387,1*(ROWS(C$2:C387)-1),0)</f>
        <v>0</v>
      </c>
      <c r="D387" s="26">
        <f>Ft!B$3*EXP(Ft!B$38*($A387-Ft!B$2)^2) +Ft!C$3*EXP(Ft!C$38*($A387-Ft!C$2)^2) + Ft!D$3*EXP(Ft!D$38*($A387-Ft!D$2)^2)+Ft!E$3*EXP(Ft!E$38*($A387-Ft!E$2)^2) +Ft!F$3*EXP(Ft!F$38*($A387-Ft!F$2)^2) + Ft!G$3*EXP(Ft!G$38*($A387-Ft!G$2)^2)</f>
        <v>17.375063196180385</v>
      </c>
      <c r="E387" s="26">
        <f>Ft!B$3*EXP(Ft!B$38*($A387-Ft!B$2)^2)</f>
        <v>4.5276100584201158E-63</v>
      </c>
      <c r="F387" s="26">
        <f>Ft!C$3*EXP(Ft!C$38*($A387-Ft!C$2)^2)</f>
        <v>9.0661026358592717E-2</v>
      </c>
      <c r="G387" s="26">
        <f>Ft!D$3*EXP(Ft!D$38*($A387-Ft!D$2)^2)</f>
        <v>16.676226339580293</v>
      </c>
      <c r="H387" s="26">
        <f>Ft!E$3*EXP(Ft!E$38*($A387-Ft!E$2)^2)</f>
        <v>0.60817583024149802</v>
      </c>
      <c r="I387" s="26">
        <f>Ft!F$3*EXP(Ft!F$38*($A387-Ft!F$2)^2)</f>
        <v>1.0654794927636391E-78</v>
      </c>
      <c r="J387" s="26">
        <f>Ft!G$3*EXP(Ft!G$38*($A387-Ft!G$2)^2)</f>
        <v>0</v>
      </c>
    </row>
    <row r="388" spans="1:10">
      <c r="A388" s="19">
        <v>386</v>
      </c>
      <c r="B388" s="28">
        <v>47.857055126556617</v>
      </c>
      <c r="C388" s="27">
        <f ca="1">OFFSET($B388,1*(ROWS(C$2:C388)-1),0)</f>
        <v>0</v>
      </c>
      <c r="D388" s="26">
        <f>Ft!B$3*EXP(Ft!B$38*($A388-Ft!B$2)^2) +Ft!C$3*EXP(Ft!C$38*($A388-Ft!C$2)^2) + Ft!D$3*EXP(Ft!D$38*($A388-Ft!D$2)^2)+Ft!E$3*EXP(Ft!E$38*($A388-Ft!E$2)^2) +Ft!F$3*EXP(Ft!F$38*($A388-Ft!F$2)^2) + Ft!G$3*EXP(Ft!G$38*($A388-Ft!G$2)^2)</f>
        <v>17.418322861743505</v>
      </c>
      <c r="E388" s="26">
        <f>Ft!B$3*EXP(Ft!B$38*($A388-Ft!B$2)^2)</f>
        <v>1.9277275386382989E-63</v>
      </c>
      <c r="F388" s="26">
        <f>Ft!C$3*EXP(Ft!C$38*($A388-Ft!C$2)^2)</f>
        <v>8.7268877928977653E-2</v>
      </c>
      <c r="G388" s="26">
        <f>Ft!D$3*EXP(Ft!D$38*($A388-Ft!D$2)^2)</f>
        <v>16.713527536261473</v>
      </c>
      <c r="H388" s="26">
        <f>Ft!E$3*EXP(Ft!E$38*($A388-Ft!E$2)^2)</f>
        <v>0.61752644755305308</v>
      </c>
      <c r="I388" s="26">
        <f>Ft!F$3*EXP(Ft!F$38*($A388-Ft!F$2)^2)</f>
        <v>1.8671414551360105E-78</v>
      </c>
      <c r="J388" s="26">
        <f>Ft!G$3*EXP(Ft!G$38*($A388-Ft!G$2)^2)</f>
        <v>0</v>
      </c>
    </row>
    <row r="389" spans="1:10">
      <c r="A389" s="19">
        <v>387</v>
      </c>
      <c r="B389" s="28">
        <v>47.785835090555395</v>
      </c>
      <c r="C389" s="27">
        <f ca="1">OFFSET($B389,1*(ROWS(C$2:C389)-1),0)</f>
        <v>0</v>
      </c>
      <c r="D389" s="26">
        <f>Ft!B$3*EXP(Ft!B$38*($A389-Ft!B$2)^2) +Ft!C$3*EXP(Ft!C$38*($A389-Ft!C$2)^2) + Ft!D$3*EXP(Ft!D$38*($A389-Ft!D$2)^2)+Ft!E$3*EXP(Ft!E$38*($A389-Ft!E$2)^2) +Ft!F$3*EXP(Ft!F$38*($A389-Ft!F$2)^2) + Ft!G$3*EXP(Ft!G$38*($A389-Ft!G$2)^2)</f>
        <v>17.461188906932087</v>
      </c>
      <c r="E389" s="26">
        <f>Ft!B$3*EXP(Ft!B$38*($A389-Ft!B$2)^2)</f>
        <v>8.1871257544640134E-64</v>
      </c>
      <c r="F389" s="26">
        <f>Ft!C$3*EXP(Ft!C$38*($A389-Ft!C$2)^2)</f>
        <v>8.3990593485871817E-2</v>
      </c>
      <c r="G389" s="26">
        <f>Ft!D$3*EXP(Ft!D$38*($A389-Ft!D$2)^2)</f>
        <v>16.750199704504105</v>
      </c>
      <c r="H389" s="26">
        <f>Ft!E$3*EXP(Ft!E$38*($A389-Ft!E$2)^2)</f>
        <v>0.62699860894211079</v>
      </c>
      <c r="I389" s="26">
        <f>Ft!F$3*EXP(Ft!F$38*($A389-Ft!F$2)^2)</f>
        <v>3.2691296391364661E-78</v>
      </c>
      <c r="J389" s="26">
        <f>Ft!G$3*EXP(Ft!G$38*($A389-Ft!G$2)^2)</f>
        <v>0</v>
      </c>
    </row>
    <row r="390" spans="1:10">
      <c r="A390" s="19">
        <v>388</v>
      </c>
      <c r="B390" s="28">
        <v>47.677563043943167</v>
      </c>
      <c r="C390" s="27">
        <f ca="1">OFFSET($B390,1*(ROWS(C$2:C390)-1),0)</f>
        <v>0</v>
      </c>
      <c r="D390" s="26">
        <f>Ft!B$3*EXP(Ft!B$38*($A390-Ft!B$2)^2) +Ft!C$3*EXP(Ft!C$38*($A390-Ft!C$2)^2) + Ft!D$3*EXP(Ft!D$38*($A390-Ft!D$2)^2)+Ft!E$3*EXP(Ft!E$38*($A390-Ft!E$2)^2) +Ft!F$3*EXP(Ft!F$38*($A390-Ft!F$2)^2) + Ft!G$3*EXP(Ft!G$38*($A390-Ft!G$2)^2)</f>
        <v>17.503654738979773</v>
      </c>
      <c r="E390" s="26">
        <f>Ft!B$3*EXP(Ft!B$38*($A390-Ft!B$2)^2)</f>
        <v>3.4683781777738013E-64</v>
      </c>
      <c r="F390" s="26">
        <f>Ft!C$3*EXP(Ft!C$38*($A390-Ft!C$2)^2)</f>
        <v>8.0822895563069777E-2</v>
      </c>
      <c r="G390" s="26">
        <f>Ft!D$3*EXP(Ft!D$38*($A390-Ft!D$2)^2)</f>
        <v>16.786238341155592</v>
      </c>
      <c r="H390" s="26">
        <f>Ft!E$3*EXP(Ft!E$38*($A390-Ft!E$2)^2)</f>
        <v>0.63659350226111133</v>
      </c>
      <c r="I390" s="26">
        <f>Ft!F$3*EXP(Ft!F$38*($A390-Ft!F$2)^2)</f>
        <v>5.7188652047570067E-78</v>
      </c>
      <c r="J390" s="26">
        <f>Ft!G$3*EXP(Ft!G$38*($A390-Ft!G$2)^2)</f>
        <v>0</v>
      </c>
    </row>
    <row r="391" spans="1:10">
      <c r="A391" s="19">
        <v>389</v>
      </c>
      <c r="B391" s="28">
        <v>47.585430478980726</v>
      </c>
      <c r="C391" s="27">
        <f ca="1">OFFSET($B391,1*(ROWS(C$2:C391)-1),0)</f>
        <v>0</v>
      </c>
      <c r="D391" s="26">
        <f>Ft!B$3*EXP(Ft!B$38*($A391-Ft!B$2)^2) +Ft!C$3*EXP(Ft!C$38*($A391-Ft!C$2)^2) + Ft!D$3*EXP(Ft!D$38*($A391-Ft!D$2)^2)+Ft!E$3*EXP(Ft!E$38*($A391-Ft!E$2)^2) +Ft!F$3*EXP(Ft!F$38*($A391-Ft!F$2)^2) + Ft!G$3*EXP(Ft!G$38*($A391-Ft!G$2)^2)</f>
        <v>17.545713914086974</v>
      </c>
      <c r="E391" s="26">
        <f>Ft!B$3*EXP(Ft!B$38*($A391-Ft!B$2)^2)</f>
        <v>1.4656511163762501E-64</v>
      </c>
      <c r="F391" s="26">
        <f>Ft!C$3*EXP(Ft!C$38*($A391-Ft!C$2)^2)</f>
        <v>7.7762579469545637E-2</v>
      </c>
      <c r="G391" s="26">
        <f>Ft!D$3*EXP(Ft!D$38*($A391-Ft!D$2)^2)</f>
        <v>16.821639014203917</v>
      </c>
      <c r="H391" s="26">
        <f>Ft!E$3*EXP(Ft!E$38*($A391-Ft!E$2)^2)</f>
        <v>0.6463123204135125</v>
      </c>
      <c r="I391" s="26">
        <f>Ft!F$3*EXP(Ft!F$38*($A391-Ft!F$2)^2)</f>
        <v>9.9956346257429022E-78</v>
      </c>
      <c r="J391" s="26">
        <f>Ft!G$3*EXP(Ft!G$38*($A391-Ft!G$2)^2)</f>
        <v>0</v>
      </c>
    </row>
    <row r="392" spans="1:10">
      <c r="A392" s="19">
        <v>390</v>
      </c>
      <c r="B392" s="28">
        <v>47.488682887182762</v>
      </c>
      <c r="C392" s="27">
        <f ca="1">OFFSET($B392,1*(ROWS(C$2:C392)-1),0)</f>
        <v>0</v>
      </c>
      <c r="D392" s="26">
        <f>Ft!B$3*EXP(Ft!B$38*($A392-Ft!B$2)^2) +Ft!C$3*EXP(Ft!C$38*($A392-Ft!C$2)^2) + Ft!D$3*EXP(Ft!D$38*($A392-Ft!D$2)^2)+Ft!E$3*EXP(Ft!E$38*($A392-Ft!E$2)^2) +Ft!F$3*EXP(Ft!F$38*($A392-Ft!F$2)^2) + Ft!G$3*EXP(Ft!G$38*($A392-Ft!G$2)^2)</f>
        <v>17.587360137445508</v>
      </c>
      <c r="E392" s="26">
        <f>Ft!B$3*EXP(Ft!B$38*($A392-Ft!B$2)^2)</f>
        <v>6.1779435458355986E-65</v>
      </c>
      <c r="F392" s="26">
        <f>Ft!C$3*EXP(Ft!C$38*($A392-Ft!C$2)^2)</f>
        <v>7.4806512499271324E-2</v>
      </c>
      <c r="G392" s="26">
        <f>Ft!D$3*EXP(Ft!D$38*($A392-Ft!D$2)^2)</f>
        <v>16.856397363685534</v>
      </c>
      <c r="H392" s="26">
        <f>Ft!E$3*EXP(Ft!E$38*($A392-Ft!E$2)^2)</f>
        <v>0.65615626126069992</v>
      </c>
      <c r="I392" s="26">
        <f>Ft!F$3*EXP(Ft!F$38*($A392-Ft!F$2)^2)</f>
        <v>1.7455555767283274E-77</v>
      </c>
      <c r="J392" s="26">
        <f>Ft!G$3*EXP(Ft!G$38*($A392-Ft!G$2)^2)</f>
        <v>0</v>
      </c>
    </row>
    <row r="393" spans="1:10">
      <c r="A393" s="19">
        <v>391</v>
      </c>
      <c r="B393" s="28">
        <v>47.377772451248944</v>
      </c>
      <c r="C393" s="27">
        <f ca="1">OFFSET($B393,1*(ROWS(C$2:C393)-1),0)</f>
        <v>0</v>
      </c>
      <c r="D393" s="26">
        <f>Ft!B$3*EXP(Ft!B$38*($A393-Ft!B$2)^2) +Ft!C$3*EXP(Ft!C$38*($A393-Ft!C$2)^2) + Ft!D$3*EXP(Ft!D$38*($A393-Ft!D$2)^2)+Ft!E$3*EXP(Ft!E$38*($A393-Ft!E$2)^2) +Ft!F$3*EXP(Ft!F$38*($A393-Ft!F$2)^2) + Ft!G$3*EXP(Ft!G$38*($A393-Ft!G$2)^2)</f>
        <v>17.628587263222446</v>
      </c>
      <c r="E393" s="26">
        <f>Ft!B$3*EXP(Ft!B$38*($A393-Ft!B$2)^2)</f>
        <v>2.597565107266722E-65</v>
      </c>
      <c r="F393" s="26">
        <f>Ft!C$3*EXP(Ft!C$38*($A393-Ft!C$2)^2)</f>
        <v>7.1951633116023483E-2</v>
      </c>
      <c r="G393" s="26">
        <f>Ft!D$3*EXP(Ft!D$38*($A393-Ft!D$2)^2)</f>
        <v>16.890509102579838</v>
      </c>
      <c r="H393" s="26">
        <f>Ft!E$3*EXP(Ft!E$38*($A393-Ft!E$2)^2)</f>
        <v>0.66612652752658674</v>
      </c>
      <c r="I393" s="26">
        <f>Ft!F$3*EXP(Ft!F$38*($A393-Ft!F$2)^2)</f>
        <v>3.0456485327625873E-77</v>
      </c>
      <c r="J393" s="26">
        <f>Ft!G$3*EXP(Ft!G$38*($A393-Ft!G$2)^2)</f>
        <v>0</v>
      </c>
    </row>
    <row r="394" spans="1:10">
      <c r="A394" s="19">
        <v>392</v>
      </c>
      <c r="B394" s="28">
        <v>47.31430612842837</v>
      </c>
      <c r="C394" s="27">
        <f ca="1">OFFSET($B394,1*(ROWS(C$2:C394)-1),0)</f>
        <v>0</v>
      </c>
      <c r="D394" s="26">
        <f>Ft!B$3*EXP(Ft!B$38*($A394-Ft!B$2)^2) +Ft!C$3*EXP(Ft!C$38*($A394-Ft!C$2)^2) + Ft!D$3*EXP(Ft!D$38*($A394-Ft!D$2)^2)+Ft!E$3*EXP(Ft!E$38*($A394-Ft!E$2)^2) +Ft!F$3*EXP(Ft!F$38*($A394-Ft!F$2)^2) + Ft!G$3*EXP(Ft!G$38*($A394-Ft!G$2)^2)</f>
        <v>17.66938929450475</v>
      </c>
      <c r="E394" s="26">
        <f>Ft!B$3*EXP(Ft!B$38*($A394-Ft!B$2)^2)</f>
        <v>1.0894269698937758E-65</v>
      </c>
      <c r="F394" s="26">
        <f>Ft!C$3*EXP(Ft!C$38*($A394-Ft!C$2)^2)</f>
        <v>6.9194950114868758E-2</v>
      </c>
      <c r="G394" s="26">
        <f>Ft!D$3*EXP(Ft!D$38*($A394-Ft!D$2)^2)</f>
        <v>16.923970017689989</v>
      </c>
      <c r="H394" s="26">
        <f>Ft!E$3*EXP(Ft!E$38*($A394-Ft!E$2)^2)</f>
        <v>0.67622432669989263</v>
      </c>
      <c r="I394" s="26">
        <f>Ft!F$3*EXP(Ft!F$38*($A394-Ft!F$2)^2)</f>
        <v>5.3094395846428198E-77</v>
      </c>
      <c r="J394" s="26">
        <f>Ft!G$3*EXP(Ft!G$38*($A394-Ft!G$2)^2)</f>
        <v>0</v>
      </c>
    </row>
    <row r="395" spans="1:10">
      <c r="A395" s="19">
        <v>393</v>
      </c>
      <c r="B395" s="28">
        <v>47.231074745728478</v>
      </c>
      <c r="C395" s="27">
        <f ca="1">OFFSET($B395,1*(ROWS(C$2:C395)-1),0)</f>
        <v>0</v>
      </c>
      <c r="D395" s="26">
        <f>Ft!B$3*EXP(Ft!B$38*($A395-Ft!B$2)^2) +Ft!C$3*EXP(Ft!C$38*($A395-Ft!C$2)^2) + Ft!D$3*EXP(Ft!D$38*($A395-Ft!D$2)^2)+Ft!E$3*EXP(Ft!E$38*($A395-Ft!E$2)^2) +Ft!F$3*EXP(Ft!F$38*($A395-Ft!F$2)^2) + Ft!G$3*EXP(Ft!G$38*($A395-Ft!G$2)^2)</f>
        <v>17.709760383205889</v>
      </c>
      <c r="E395" s="26">
        <f>Ft!B$3*EXP(Ft!B$38*($A395-Ft!B$2)^2)</f>
        <v>4.5576290782902512E-66</v>
      </c>
      <c r="F395" s="26">
        <f>Ft!C$3*EXP(Ft!C$38*($A395-Ft!C$2)^2)</f>
        <v>6.6533541761983062E-2</v>
      </c>
      <c r="G395" s="26">
        <f>Ft!D$3*EXP(Ft!D$38*($A395-Ft!D$2)^2)</f>
        <v>16.95677597050982</v>
      </c>
      <c r="H395" s="26">
        <f>Ft!E$3*EXP(Ft!E$38*($A395-Ft!E$2)^2)</f>
        <v>0.6864508709340843</v>
      </c>
      <c r="I395" s="26">
        <f>Ft!F$3*EXP(Ft!F$38*($A395-Ft!F$2)^2)</f>
        <v>9.247841503124012E-77</v>
      </c>
      <c r="J395" s="26">
        <f>Ft!G$3*EXP(Ft!G$38*($A395-Ft!G$2)^2)</f>
        <v>0</v>
      </c>
    </row>
    <row r="396" spans="1:10">
      <c r="A396" s="19">
        <v>394</v>
      </c>
      <c r="B396" s="28">
        <v>47.148857546451381</v>
      </c>
      <c r="C396" s="27">
        <f ca="1">OFFSET($B396,1*(ROWS(C$2:C396)-1),0)</f>
        <v>0</v>
      </c>
      <c r="D396" s="26">
        <f>Ft!B$3*EXP(Ft!B$38*($A396-Ft!B$2)^2) +Ft!C$3*EXP(Ft!C$38*($A396-Ft!C$2)^2) + Ft!D$3*EXP(Ft!D$38*($A396-Ft!D$2)^2)+Ft!E$3*EXP(Ft!E$38*($A396-Ft!E$2)^2) +Ft!F$3*EXP(Ft!F$38*($A396-Ft!F$2)^2) + Ft!G$3*EXP(Ft!G$38*($A396-Ft!G$2)^2)</f>
        <v>17.749694829935958</v>
      </c>
      <c r="E396" s="26">
        <f>Ft!B$3*EXP(Ft!B$38*($A396-Ft!B$2)^2)</f>
        <v>1.9019058153145537E-66</v>
      </c>
      <c r="F396" s="26">
        <f>Ft!C$3*EXP(Ft!C$38*($A396-Ft!C$2)^2)</f>
        <v>6.3964554914416452E-2</v>
      </c>
      <c r="G396" s="26">
        <f>Ft!D$3*EXP(Ft!D$38*($A396-Ft!D$2)^2)</f>
        <v>16.988922898076577</v>
      </c>
      <c r="H396" s="26">
        <f>Ft!E$3*EXP(Ft!E$38*($A396-Ft!E$2)^2)</f>
        <v>0.69680737694496442</v>
      </c>
      <c r="I396" s="26">
        <f>Ft!F$3*EXP(Ft!F$38*($A396-Ft!F$2)^2)</f>
        <v>1.6093661695427854E-76</v>
      </c>
      <c r="J396" s="26">
        <f>Ft!G$3*EXP(Ft!G$38*($A396-Ft!G$2)^2)</f>
        <v>0</v>
      </c>
    </row>
    <row r="397" spans="1:10">
      <c r="A397" s="19">
        <v>395</v>
      </c>
      <c r="B397" s="28">
        <v>47.038645042506715</v>
      </c>
      <c r="C397" s="27">
        <f ca="1">OFFSET($B397,1*(ROWS(C$2:C397)-1),0)</f>
        <v>0</v>
      </c>
      <c r="D397" s="26">
        <f>Ft!B$3*EXP(Ft!B$38*($A397-Ft!B$2)^2) +Ft!C$3*EXP(Ft!C$38*($A397-Ft!C$2)^2) + Ft!D$3*EXP(Ft!D$38*($A397-Ft!D$2)^2)+Ft!E$3*EXP(Ft!E$38*($A397-Ft!E$2)^2) +Ft!F$3*EXP(Ft!F$38*($A397-Ft!F$2)^2) + Ft!G$3*EXP(Ft!G$38*($A397-Ft!G$2)^2)</f>
        <v>17.789187083836534</v>
      </c>
      <c r="E397" s="26">
        <f>Ft!B$3*EXP(Ft!B$38*($A397-Ft!B$2)^2)</f>
        <v>7.9167733117865143E-67</v>
      </c>
      <c r="F397" s="26">
        <f>Ft!C$3*EXP(Ft!C$38*($A397-Ft!C$2)^2)</f>
        <v>6.1485204121378589E-2</v>
      </c>
      <c r="G397" s="26">
        <f>Ft!D$3*EXP(Ft!D$38*($A397-Ft!D$2)^2)</f>
        <v>17.020406813809259</v>
      </c>
      <c r="H397" s="26">
        <f>Ft!E$3*EXP(Ft!E$38*($A397-Ft!E$2)^2)</f>
        <v>0.70729506590589752</v>
      </c>
      <c r="I397" s="26">
        <f>Ft!F$3*EXP(Ft!F$38*($A397-Ft!F$2)^2)</f>
        <v>2.7982863448470999E-76</v>
      </c>
      <c r="J397" s="26">
        <f>Ft!G$3*EXP(Ft!G$38*($A397-Ft!G$2)^2)</f>
        <v>0</v>
      </c>
    </row>
    <row r="398" spans="1:10">
      <c r="A398" s="19">
        <v>396</v>
      </c>
      <c r="B398" s="28">
        <v>46.93345971747928</v>
      </c>
      <c r="C398" s="27">
        <f ca="1">OFFSET($B398,1*(ROWS(C$2:C398)-1),0)</f>
        <v>0</v>
      </c>
      <c r="D398" s="26">
        <f>Ft!B$3*EXP(Ft!B$38*($A398-Ft!B$2)^2) +Ft!C$3*EXP(Ft!C$38*($A398-Ft!C$2)^2) + Ft!D$3*EXP(Ft!D$38*($A398-Ft!D$2)^2)+Ft!E$3*EXP(Ft!E$38*($A398-Ft!E$2)^2) +Ft!F$3*EXP(Ft!F$38*($A398-Ft!F$2)^2) + Ft!G$3*EXP(Ft!G$38*($A398-Ft!G$2)^2)</f>
        <v>17.828231742381508</v>
      </c>
      <c r="E398" s="26">
        <f>Ft!B$3*EXP(Ft!B$38*($A398-Ft!B$2)^2)</f>
        <v>3.2871277823648193E-67</v>
      </c>
      <c r="F398" s="26">
        <f>Ft!C$3*EXP(Ft!C$38*($A398-Ft!C$2)^2)</f>
        <v>5.9092770708575534E-2</v>
      </c>
      <c r="G398" s="26">
        <f>Ft!D$3*EXP(Ft!D$38*($A398-Ft!D$2)^2)</f>
        <v>17.051223808332281</v>
      </c>
      <c r="H398" s="26">
        <f>Ft!E$3*EXP(Ft!E$38*($A398-Ft!E$2)^2)</f>
        <v>0.71791516334065386</v>
      </c>
      <c r="I398" s="26">
        <f>Ft!F$3*EXP(Ft!F$38*($A398-Ft!F$2)^2)</f>
        <v>4.8612978848179961E-76</v>
      </c>
      <c r="J398" s="26">
        <f>Ft!G$3*EXP(Ft!G$38*($A398-Ft!G$2)^2)</f>
        <v>0</v>
      </c>
    </row>
    <row r="399" spans="1:10">
      <c r="A399" s="19">
        <v>397</v>
      </c>
      <c r="B399" s="28">
        <v>46.804791210408155</v>
      </c>
      <c r="C399" s="27">
        <f ca="1">OFFSET($B399,1*(ROWS(C$2:C399)-1),0)</f>
        <v>0</v>
      </c>
      <c r="D399" s="26">
        <f>Ft!B$3*EXP(Ft!B$38*($A399-Ft!B$2)^2) +Ft!C$3*EXP(Ft!C$38*($A399-Ft!C$2)^2) + Ft!D$3*EXP(Ft!D$38*($A399-Ft!D$2)^2)+Ft!E$3*EXP(Ft!E$38*($A399-Ft!E$2)^2) +Ft!F$3*EXP(Ft!F$38*($A399-Ft!F$2)^2) + Ft!G$3*EXP(Ft!G$38*($A399-Ft!G$2)^2)</f>
        <v>17.866823551145252</v>
      </c>
      <c r="E399" s="26">
        <f>Ft!B$3*EXP(Ft!B$38*($A399-Ft!B$2)^2)</f>
        <v>1.3614263080060426E-67</v>
      </c>
      <c r="F399" s="26">
        <f>Ft!C$3*EXP(Ft!C$38*($A399-Ft!C$2)^2)</f>
        <v>5.678460184709077E-2</v>
      </c>
      <c r="G399" s="26">
        <f>Ft!D$3*EXP(Ft!D$38*($A399-Ft!D$2)^2)</f>
        <v>17.081370050284296</v>
      </c>
      <c r="H399" s="26">
        <f>Ft!E$3*EXP(Ft!E$38*($A399-Ft!E$2)^2)</f>
        <v>0.728668899013866</v>
      </c>
      <c r="I399" s="26">
        <f>Ft!F$3*EXP(Ft!F$38*($A399-Ft!F$2)^2)</f>
        <v>8.4379143053235539E-76</v>
      </c>
      <c r="J399" s="26">
        <f>Ft!G$3*EXP(Ft!G$38*($A399-Ft!G$2)^2)</f>
        <v>0</v>
      </c>
    </row>
    <row r="400" spans="1:10">
      <c r="A400" s="19">
        <v>398</v>
      </c>
      <c r="B400" s="28">
        <v>46.677944563617729</v>
      </c>
      <c r="C400" s="27">
        <f ca="1">OFFSET($B400,1*(ROWS(C$2:C400)-1),0)</f>
        <v>0</v>
      </c>
      <c r="D400" s="26">
        <f>Ft!B$3*EXP(Ft!B$38*($A400-Ft!B$2)^2) +Ft!C$3*EXP(Ft!C$38*($A400-Ft!C$2)^2) + Ft!D$3*EXP(Ft!D$38*($A400-Ft!D$2)^2)+Ft!E$3*EXP(Ft!E$38*($A400-Ft!E$2)^2) +Ft!F$3*EXP(Ft!F$38*($A400-Ft!F$2)^2) + Ft!G$3*EXP(Ft!G$38*($A400-Ft!G$2)^2)</f>
        <v>17.904957403539161</v>
      </c>
      <c r="E400" s="26">
        <f>Ft!B$3*EXP(Ft!B$38*($A400-Ft!B$2)^2)</f>
        <v>5.6244604129556187E-68</v>
      </c>
      <c r="F400" s="26">
        <f>Ft!C$3*EXP(Ft!C$38*($A400-Ft!C$2)^2)</f>
        <v>5.4558109608260269E-2</v>
      </c>
      <c r="G400" s="26">
        <f>Ft!D$3*EXP(Ft!D$38*($A400-Ft!D$2)^2)</f>
        <v>17.110841787111823</v>
      </c>
      <c r="H400" s="26">
        <f>Ft!E$3*EXP(Ft!E$38*($A400-Ft!E$2)^2)</f>
        <v>0.73955750681907872</v>
      </c>
      <c r="I400" s="26">
        <f>Ft!F$3*EXP(Ft!F$38*($A400-Ft!F$2)^2)</f>
        <v>1.4633249660203957E-75</v>
      </c>
      <c r="J400" s="26">
        <f>Ft!G$3*EXP(Ft!G$38*($A400-Ft!G$2)^2)</f>
        <v>0</v>
      </c>
    </row>
    <row r="401" spans="1:10">
      <c r="A401" s="19">
        <v>399</v>
      </c>
      <c r="B401" s="28">
        <v>46.553084159282491</v>
      </c>
      <c r="C401" s="27">
        <f ca="1">OFFSET($B401,1*(ROWS(C$2:C401)-1),0)</f>
        <v>0</v>
      </c>
      <c r="D401" s="26">
        <f>Ft!B$3*EXP(Ft!B$38*($A401-Ft!B$2)^2) +Ft!C$3*EXP(Ft!C$38*($A401-Ft!C$2)^2) + Ft!D$3*EXP(Ft!D$38*($A401-Ft!D$2)^2)+Ft!E$3*EXP(Ft!E$38*($A401-Ft!E$2)^2) +Ft!F$3*EXP(Ft!F$38*($A401-Ft!F$2)^2) + Ft!G$3*EXP(Ft!G$38*($A401-Ft!G$2)^2)</f>
        <v>17.942628340517938</v>
      </c>
      <c r="E401" s="26">
        <f>Ft!B$3*EXP(Ft!B$38*($A401-Ft!B$2)^2)</f>
        <v>2.3178043008680371E-68</v>
      </c>
      <c r="F401" s="26">
        <f>Ft!C$3*EXP(Ft!C$38*($A401-Ft!C$2)^2)</f>
        <v>5.2410770005950208E-2</v>
      </c>
      <c r="G401" s="26">
        <f>Ft!D$3*EXP(Ft!D$38*($A401-Ft!D$2)^2)</f>
        <v>17.139635345847605</v>
      </c>
      <c r="H401" s="26">
        <f>Ft!E$3*EXP(Ft!E$38*($A401-Ft!E$2)^2)</f>
        <v>0.75058222466438329</v>
      </c>
      <c r="I401" s="26">
        <f>Ft!F$3*EXP(Ft!F$38*($A401-Ft!F$2)^2)</f>
        <v>2.5355328963191353E-75</v>
      </c>
      <c r="J401" s="26">
        <f>Ft!G$3*EXP(Ft!G$38*($A401-Ft!G$2)^2)</f>
        <v>0</v>
      </c>
    </row>
    <row r="402" spans="1:10">
      <c r="A402" s="19">
        <v>400</v>
      </c>
      <c r="B402" s="28">
        <v>46.435639732551465</v>
      </c>
      <c r="C402" s="27">
        <f ca="1">OFFSET($B402,1*(ROWS(C$2:C402)-1),0)</f>
        <v>0</v>
      </c>
      <c r="D402" s="26">
        <f>Ft!B$3*EXP(Ft!B$38*($A402-Ft!B$2)^2) +Ft!C$3*EXP(Ft!C$38*($A402-Ft!C$2)^2) + Ft!D$3*EXP(Ft!D$38*($A402-Ft!D$2)^2)+Ft!E$3*EXP(Ft!E$38*($A402-Ft!E$2)^2) +Ft!F$3*EXP(Ft!F$38*($A402-Ft!F$2)^2) + Ft!G$3*EXP(Ft!G$38*($A402-Ft!G$2)^2)</f>
        <v>17.979831550256524</v>
      </c>
      <c r="E402" s="26">
        <f>Ft!B$3*EXP(Ft!B$38*($A402-Ft!B$2)^2)</f>
        <v>9.5275632064208624E-69</v>
      </c>
      <c r="F402" s="26">
        <f>Ft!C$3*EXP(Ft!C$38*($A402-Ft!C$2)^2)</f>
        <v>5.034012202760537E-2</v>
      </c>
      <c r="G402" s="26">
        <f>Ft!D$3*EXP(Ft!D$38*($A402-Ft!D$2)^2)</f>
        <v>17.167747133873291</v>
      </c>
      <c r="H402" s="26">
        <f>Ft!E$3*EXP(Ft!E$38*($A402-Ft!E$2)^2)</f>
        <v>0.76174429435562641</v>
      </c>
      <c r="I402" s="26">
        <f>Ft!F$3*EXP(Ft!F$38*($A402-Ft!F$2)^2)</f>
        <v>4.3895551745586372E-75</v>
      </c>
      <c r="J402" s="26">
        <f>Ft!G$3*EXP(Ft!G$38*($A402-Ft!G$2)^2)</f>
        <v>0</v>
      </c>
    </row>
    <row r="403" spans="1:10">
      <c r="A403" s="19">
        <v>401</v>
      </c>
      <c r="B403" s="28">
        <v>46.30065837376074</v>
      </c>
      <c r="C403" s="27">
        <f ca="1">OFFSET($B403,1*(ROWS(C$2:C403)-1),0)</f>
        <v>0</v>
      </c>
      <c r="D403" s="26">
        <f>Ft!B$3*EXP(Ft!B$38*($A403-Ft!B$2)^2) +Ft!C$3*EXP(Ft!C$38*($A403-Ft!C$2)^2) + Ft!D$3*EXP(Ft!D$38*($A403-Ft!D$2)^2)+Ft!E$3*EXP(Ft!E$38*($A403-Ft!E$2)^2) +Ft!F$3*EXP(Ft!F$38*($A403-Ft!F$2)^2) + Ft!G$3*EXP(Ft!G$38*($A403-Ft!G$2)^2)</f>
        <v>18.016562367798979</v>
      </c>
      <c r="E403" s="26">
        <f>Ft!B$3*EXP(Ft!B$38*($A403-Ft!B$2)^2)</f>
        <v>3.9065742847861784E-69</v>
      </c>
      <c r="F403" s="26">
        <f>Ft!C$3*EXP(Ft!C$38*($A403-Ft!C$2)^2)</f>
        <v>4.8343766655394013E-2</v>
      </c>
      <c r="G403" s="26">
        <f>Ft!D$3*EXP(Ft!D$38*($A403-Ft!D$2)^2)</f>
        <v>17.195173639666411</v>
      </c>
      <c r="H403" s="26">
        <f>Ft!E$3*EXP(Ft!E$38*($A403-Ft!E$2)^2)</f>
        <v>0.77304496147717705</v>
      </c>
      <c r="I403" s="26">
        <f>Ft!F$3*EXP(Ft!F$38*($A403-Ft!F$2)^2)</f>
        <v>7.5926708029450675E-75</v>
      </c>
      <c r="J403" s="26">
        <f>Ft!G$3*EXP(Ft!G$38*($A403-Ft!G$2)^2)</f>
        <v>0</v>
      </c>
    </row>
    <row r="404" spans="1:10">
      <c r="A404" s="19">
        <v>402</v>
      </c>
      <c r="B404" s="28">
        <v>46.156090619620954</v>
      </c>
      <c r="C404" s="27">
        <f ca="1">OFFSET($B404,1*(ROWS(C$2:C404)-1),0)</f>
        <v>0</v>
      </c>
      <c r="D404" s="26">
        <f>Ft!B$3*EXP(Ft!B$38*($A404-Ft!B$2)^2) +Ft!C$3*EXP(Ft!C$38*($A404-Ft!C$2)^2) + Ft!D$3*EXP(Ft!D$38*($A404-Ft!D$2)^2)+Ft!E$3*EXP(Ft!E$38*($A404-Ft!E$2)^2) +Ft!F$3*EXP(Ft!F$38*($A404-Ft!F$2)^2) + Ft!G$3*EXP(Ft!G$38*($A404-Ft!G$2)^2)</f>
        <v>18.052816274680247</v>
      </c>
      <c r="E404" s="26">
        <f>Ft!B$3*EXP(Ft!B$38*($A404-Ft!B$2)^2)</f>
        <v>1.5977893039967124E-69</v>
      </c>
      <c r="F404" s="26">
        <f>Ft!C$3*EXP(Ft!C$38*($A404-Ft!C$2)^2)</f>
        <v>4.6419365878733118E-2</v>
      </c>
      <c r="G404" s="26">
        <f>Ft!D$3*EXP(Ft!D$38*($A404-Ft!D$2)^2)</f>
        <v>17.221911433531268</v>
      </c>
      <c r="H404" s="26">
        <f>Ft!E$3*EXP(Ft!E$38*($A404-Ft!E$2)^2)</f>
        <v>0.78448547527024592</v>
      </c>
      <c r="I404" s="26">
        <f>Ft!F$3*EXP(Ft!F$38*($A404-Ft!F$2)^2)</f>
        <v>1.312173987846597E-74</v>
      </c>
      <c r="J404" s="26">
        <f>Ft!G$3*EXP(Ft!G$38*($A404-Ft!G$2)^2)</f>
        <v>0</v>
      </c>
    </row>
    <row r="405" spans="1:10">
      <c r="A405" s="19">
        <v>403</v>
      </c>
      <c r="B405" s="28">
        <v>46.003354120414258</v>
      </c>
      <c r="C405" s="27">
        <f ca="1">OFFSET($B405,1*(ROWS(C$2:C405)-1),0)</f>
        <v>0</v>
      </c>
      <c r="D405" s="26">
        <f>Ft!B$3*EXP(Ft!B$38*($A405-Ft!B$2)^2) +Ft!C$3*EXP(Ft!C$38*($A405-Ft!C$2)^2) + Ft!D$3*EXP(Ft!D$38*($A405-Ft!D$2)^2)+Ft!E$3*EXP(Ft!E$38*($A405-Ft!E$2)^2) +Ft!F$3*EXP(Ft!F$38*($A405-Ft!F$2)^2) + Ft!G$3*EXP(Ft!G$38*($A405-Ft!G$2)^2)</f>
        <v>18.088588898521788</v>
      </c>
      <c r="E405" s="26">
        <f>Ft!B$3*EXP(Ft!B$38*($A405-Ft!B$2)^2)</f>
        <v>6.5185665890650835E-70</v>
      </c>
      <c r="F405" s="26">
        <f>Ft!C$3*EXP(Ft!C$38*($A405-Ft!C$2)^2)</f>
        <v>4.4564641699437704E-2</v>
      </c>
      <c r="G405" s="26">
        <f>Ft!D$3*EXP(Ft!D$38*($A405-Ft!D$2)^2)</f>
        <v>17.247957168313608</v>
      </c>
      <c r="H405" s="26">
        <f>Ft!E$3*EXP(Ft!E$38*($A405-Ft!E$2)^2)</f>
        <v>0.79606708850874341</v>
      </c>
      <c r="I405" s="26">
        <f>Ft!F$3*EXP(Ft!F$38*($A405-Ft!F$2)^2)</f>
        <v>2.2657452246904029E-74</v>
      </c>
      <c r="J405" s="26">
        <f>Ft!G$3*EXP(Ft!G$38*($A405-Ft!G$2)^2)</f>
        <v>0</v>
      </c>
    </row>
    <row r="406" spans="1:10">
      <c r="A406" s="19">
        <v>404</v>
      </c>
      <c r="B406" s="28">
        <v>45.838370172396765</v>
      </c>
      <c r="C406" s="27">
        <f ca="1">OFFSET($B406,1*(ROWS(C$2:C406)-1),0)</f>
        <v>0</v>
      </c>
      <c r="D406" s="26">
        <f>Ft!B$3*EXP(Ft!B$38*($A406-Ft!B$2)^2) +Ft!C$3*EXP(Ft!C$38*($A406-Ft!C$2)^2) + Ft!D$3*EXP(Ft!D$38*($A406-Ft!D$2)^2)+Ft!E$3*EXP(Ft!E$38*($A406-Ft!E$2)^2) +Ft!F$3*EXP(Ft!F$38*($A406-Ft!F$2)^2) + Ft!G$3*EXP(Ft!G$38*($A406-Ft!G$2)^2)</f>
        <v>18.123876012602246</v>
      </c>
      <c r="E406" s="26">
        <f>Ft!B$3*EXP(Ft!B$38*($A406-Ft!B$2)^2)</f>
        <v>2.6527350599887096E-70</v>
      </c>
      <c r="F406" s="26">
        <f>Ft!C$3*EXP(Ft!C$38*($A406-Ft!C$2)^2)</f>
        <v>4.2777375130695253E-2</v>
      </c>
      <c r="G406" s="26">
        <f>Ft!D$3*EXP(Ft!D$38*($A406-Ft!D$2)^2)</f>
        <v>17.273307580098884</v>
      </c>
      <c r="H406" s="26">
        <f>Ft!E$3*EXP(Ft!E$38*($A406-Ft!E$2)^2)</f>
        <v>0.80779105737266932</v>
      </c>
      <c r="I406" s="26">
        <f>Ft!F$3*EXP(Ft!F$38*($A406-Ft!F$2)^2)</f>
        <v>3.9088906196228448E-74</v>
      </c>
      <c r="J406" s="26">
        <f>Ft!G$3*EXP(Ft!G$38*($A406-Ft!G$2)^2)</f>
        <v>0</v>
      </c>
    </row>
    <row r="407" spans="1:10">
      <c r="A407" s="19">
        <v>405</v>
      </c>
      <c r="B407" s="28">
        <v>45.658676830323657</v>
      </c>
      <c r="C407" s="27">
        <f ca="1">OFFSET($B407,1*(ROWS(C$2:C407)-1),0)</f>
        <v>0</v>
      </c>
      <c r="D407" s="26">
        <f>Ft!B$3*EXP(Ft!B$38*($A407-Ft!B$2)^2) +Ft!C$3*EXP(Ft!C$38*($A407-Ft!C$2)^2) + Ft!D$3*EXP(Ft!D$38*($A407-Ft!D$2)^2)+Ft!E$3*EXP(Ft!E$38*($A407-Ft!E$2)^2) +Ft!F$3*EXP(Ft!F$38*($A407-Ft!F$2)^2) + Ft!G$3*EXP(Ft!G$38*($A407-Ft!G$2)^2)</f>
        <v>18.158673535403874</v>
      </c>
      <c r="E407" s="26">
        <f>Ft!B$3*EXP(Ft!B$38*($A407-Ft!B$2)^2)</f>
        <v>1.0768242380783015E-70</v>
      </c>
      <c r="F407" s="26">
        <f>Ft!C$3*EXP(Ft!C$38*($A407-Ft!C$2)^2)</f>
        <v>4.1055405191025927E-2</v>
      </c>
      <c r="G407" s="26">
        <f>Ft!D$3*EXP(Ft!D$38*($A407-Ft!D$2)^2)</f>
        <v>17.297959488893827</v>
      </c>
      <c r="H407" s="26">
        <f>Ft!E$3*EXP(Ft!E$38*($A407-Ft!E$2)^2)</f>
        <v>0.81965864131901967</v>
      </c>
      <c r="I407" s="26">
        <f>Ft!F$3*EXP(Ft!F$38*($A407-Ft!F$2)^2)</f>
        <v>6.7378099683519763E-74</v>
      </c>
      <c r="J407" s="26">
        <f>Ft!G$3*EXP(Ft!G$38*($A407-Ft!G$2)^2)</f>
        <v>0</v>
      </c>
    </row>
    <row r="408" spans="1:10">
      <c r="A408" s="19">
        <v>406</v>
      </c>
      <c r="B408" s="28">
        <v>45.479591484384599</v>
      </c>
      <c r="C408" s="27">
        <f ca="1">OFFSET($B408,1*(ROWS(C$2:C408)-1),0)</f>
        <v>0</v>
      </c>
      <c r="D408" s="26">
        <f>Ft!B$3*EXP(Ft!B$38*($A408-Ft!B$2)^2) +Ft!C$3*EXP(Ft!C$38*($A408-Ft!C$2)^2) + Ft!D$3*EXP(Ft!D$38*($A408-Ft!D$2)^2)+Ft!E$3*EXP(Ft!E$38*($A408-Ft!E$2)^2) +Ft!F$3*EXP(Ft!F$38*($A408-Ft!F$2)^2) + Ft!G$3*EXP(Ft!G$38*($A408-Ft!G$2)^2)</f>
        <v>18.192977530135767</v>
      </c>
      <c r="E408" s="26">
        <f>Ft!B$3*EXP(Ft!B$38*($A408-Ft!B$2)^2)</f>
        <v>4.3601852540656394E-71</v>
      </c>
      <c r="F408" s="26">
        <f>Ft!C$3*EXP(Ft!C$38*($A408-Ft!C$2)^2)</f>
        <v>3.9396627894348044E-2</v>
      </c>
      <c r="G408" s="26">
        <f>Ft!D$3*EXP(Ft!D$38*($A408-Ft!D$2)^2)</f>
        <v>17.321909799291209</v>
      </c>
      <c r="H408" s="26">
        <f>Ft!E$3*EXP(Ft!E$38*($A408-Ft!E$2)^2)</f>
        <v>0.83167110295021041</v>
      </c>
      <c r="I408" s="26">
        <f>Ft!F$3*EXP(Ft!F$38*($A408-Ft!F$2)^2)</f>
        <v>1.1603975245132987E-73</v>
      </c>
      <c r="J408" s="26">
        <f>Ft!G$3*EXP(Ft!G$38*($A408-Ft!G$2)^2)</f>
        <v>0</v>
      </c>
    </row>
    <row r="409" spans="1:10">
      <c r="A409" s="19">
        <v>407</v>
      </c>
      <c r="B409" s="28">
        <v>45.278029500784385</v>
      </c>
      <c r="C409" s="27">
        <f ca="1">OFFSET($B409,1*(ROWS(C$2:C409)-1),0)</f>
        <v>0</v>
      </c>
      <c r="D409" s="26">
        <f>Ft!B$3*EXP(Ft!B$38*($A409-Ft!B$2)^2) +Ft!C$3*EXP(Ft!C$38*($A409-Ft!C$2)^2) + Ft!D$3*EXP(Ft!D$38*($A409-Ft!D$2)^2)+Ft!E$3*EXP(Ft!E$38*($A409-Ft!E$2)^2) +Ft!F$3*EXP(Ft!F$38*($A409-Ft!F$2)^2) + Ft!G$3*EXP(Ft!G$38*($A409-Ft!G$2)^2)</f>
        <v>18.226784204234779</v>
      </c>
      <c r="E409" s="26">
        <f>Ft!B$3*EXP(Ft!B$38*($A409-Ft!B$2)^2)</f>
        <v>1.7610603348009716E-71</v>
      </c>
      <c r="F409" s="26">
        <f>Ft!C$3*EXP(Ft!C$38*($A409-Ft!C$2)^2)</f>
        <v>3.7798995237227767E-2</v>
      </c>
      <c r="G409" s="26">
        <f>Ft!D$3*EXP(Ft!D$38*($A409-Ft!D$2)^2)</f>
        <v>17.345155501117553</v>
      </c>
      <c r="H409" s="26">
        <f>Ft!E$3*EXP(Ft!E$38*($A409-Ft!E$2)^2)</f>
        <v>0.84382970787999934</v>
      </c>
      <c r="I409" s="26">
        <f>Ft!F$3*EXP(Ft!F$38*($A409-Ft!F$2)^2)</f>
        <v>1.9967220995178566E-73</v>
      </c>
      <c r="J409" s="26">
        <f>Ft!G$3*EXP(Ft!G$38*($A409-Ft!G$2)^2)</f>
        <v>0</v>
      </c>
    </row>
    <row r="410" spans="1:10">
      <c r="A410" s="19">
        <v>408</v>
      </c>
      <c r="B410" s="28">
        <v>45.075007713297225</v>
      </c>
      <c r="C410" s="27">
        <f ca="1">OFFSET($B410,1*(ROWS(C$2:C410)-1),0)</f>
        <v>0</v>
      </c>
      <c r="D410" s="26">
        <f>Ft!B$3*EXP(Ft!B$38*($A410-Ft!B$2)^2) +Ft!C$3*EXP(Ft!C$38*($A410-Ft!C$2)^2) + Ft!D$3*EXP(Ft!D$38*($A410-Ft!D$2)^2)+Ft!E$3*EXP(Ft!E$38*($A410-Ft!E$2)^2) +Ft!F$3*EXP(Ft!F$38*($A410-Ft!F$2)^2) + Ft!G$3*EXP(Ft!G$38*($A410-Ft!G$2)^2)</f>
        <v>18.260089908844872</v>
      </c>
      <c r="E410" s="26">
        <f>Ft!B$3*EXP(Ft!B$38*($A410-Ft!B$2)^2)</f>
        <v>7.0950049552451733E-72</v>
      </c>
      <c r="F410" s="26">
        <f>Ft!C$3*EXP(Ft!C$38*($A410-Ft!C$2)^2)</f>
        <v>3.62605141843515E-2</v>
      </c>
      <c r="G410" s="26">
        <f>Ft!D$3*EXP(Ft!D$38*($A410-Ft!D$2)^2)</f>
        <v>17.367693670063613</v>
      </c>
      <c r="H410" s="26">
        <f>Ft!E$3*EXP(Ft!E$38*($A410-Ft!E$2)^2)</f>
        <v>0.85613572459690568</v>
      </c>
      <c r="I410" s="26">
        <f>Ft!F$3*EXP(Ft!F$38*($A410-Ft!F$2)^2)</f>
        <v>3.4328217343593618E-73</v>
      </c>
      <c r="J410" s="26">
        <f>Ft!G$3*EXP(Ft!G$38*($A410-Ft!G$2)^2)</f>
        <v>0</v>
      </c>
    </row>
    <row r="411" spans="1:10">
      <c r="A411" s="19">
        <v>409</v>
      </c>
      <c r="B411" s="28">
        <v>44.875342131723016</v>
      </c>
      <c r="C411" s="27">
        <f ca="1">OFFSET($B411,1*(ROWS(C$2:C411)-1),0)</f>
        <v>0</v>
      </c>
      <c r="D411" s="26">
        <f>Ft!B$3*EXP(Ft!B$38*($A411-Ft!B$2)^2) +Ft!C$3*EXP(Ft!C$38*($A411-Ft!C$2)^2) + Ft!D$3*EXP(Ft!D$38*($A411-Ft!D$2)^2)+Ft!E$3*EXP(Ft!E$38*($A411-Ft!E$2)^2) +Ft!F$3*EXP(Ft!F$38*($A411-Ft!F$2)^2) + Ft!G$3*EXP(Ft!G$38*($A411-Ft!G$2)^2)</f>
        <v>18.292891138275788</v>
      </c>
      <c r="E411" s="26">
        <f>Ft!B$3*EXP(Ft!B$38*($A411-Ft!B$2)^2)</f>
        <v>2.8512831334372973E-72</v>
      </c>
      <c r="F411" s="26">
        <f>Ft!C$3*EXP(Ft!C$38*($A411-Ft!C$2)^2)</f>
        <v>3.4779245653219347E-2</v>
      </c>
      <c r="G411" s="26">
        <f>Ft!D$3*EXP(Ft!D$38*($A411-Ft!D$2)^2)</f>
        <v>17.389521468297453</v>
      </c>
      <c r="H411" s="26">
        <f>Ft!E$3*EXP(Ft!E$38*($A411-Ft!E$2)^2)</f>
        <v>0.86859042432511768</v>
      </c>
      <c r="I411" s="26">
        <f>Ft!F$3*EXP(Ft!F$38*($A411-Ft!F$2)^2)</f>
        <v>5.8966815339892442E-73</v>
      </c>
      <c r="J411" s="26">
        <f>Ft!G$3*EXP(Ft!G$38*($A411-Ft!G$2)^2)</f>
        <v>0</v>
      </c>
    </row>
    <row r="412" spans="1:10">
      <c r="A412" s="19">
        <v>410</v>
      </c>
      <c r="B412" s="28">
        <v>44.680738646947077</v>
      </c>
      <c r="C412" s="27">
        <f ca="1">OFFSET($B412,1*(ROWS(C$2:C412)-1),0)</f>
        <v>0</v>
      </c>
      <c r="D412" s="26">
        <f>Ft!B$3*EXP(Ft!B$38*($A412-Ft!B$2)^2) +Ft!C$3*EXP(Ft!C$38*($A412-Ft!C$2)^2) + Ft!D$3*EXP(Ft!D$38*($A412-Ft!D$2)^2)+Ft!E$3*EXP(Ft!E$38*($A412-Ft!E$2)^2) +Ft!F$3*EXP(Ft!F$38*($A412-Ft!F$2)^2) + Ft!G$3*EXP(Ft!G$38*($A412-Ft!G$2)^2)</f>
        <v>18.325184529441817</v>
      </c>
      <c r="E412" s="26">
        <f>Ft!B$3*EXP(Ft!B$38*($A412-Ft!B$2)^2)</f>
        <v>1.1429761313928843E-72</v>
      </c>
      <c r="F412" s="26">
        <f>Ft!C$3*EXP(Ft!C$38*($A412-Ft!C$2)^2)</f>
        <v>3.3353303499018896E-2</v>
      </c>
      <c r="G412" s="26">
        <f>Ft!D$3*EXP(Ft!D$38*($A412-Ft!D$2)^2)</f>
        <v>17.410636145059918</v>
      </c>
      <c r="H412" s="26">
        <f>Ft!E$3*EXP(Ft!E$38*($A412-Ft!E$2)^2)</f>
        <v>0.88119508088287934</v>
      </c>
      <c r="I412" s="26">
        <f>Ft!F$3*EXP(Ft!F$38*($A412-Ft!F$2)^2)</f>
        <v>1.0120148625209782E-72</v>
      </c>
      <c r="J412" s="26">
        <f>Ft!G$3*EXP(Ft!G$38*($A412-Ft!G$2)^2)</f>
        <v>0</v>
      </c>
    </row>
    <row r="413" spans="1:10">
      <c r="A413" s="19">
        <v>411</v>
      </c>
      <c r="B413" s="28">
        <v>44.466848984453975</v>
      </c>
      <c r="C413" s="27">
        <f ca="1">OFFSET($B413,1*(ROWS(C$2:C413)-1),0)</f>
        <v>0</v>
      </c>
      <c r="D413" s="26">
        <f>Ft!B$3*EXP(Ft!B$38*($A413-Ft!B$2)^2) +Ft!C$3*EXP(Ft!C$38*($A413-Ft!C$2)^2) + Ft!D$3*EXP(Ft!D$38*($A413-Ft!D$2)^2)+Ft!E$3*EXP(Ft!E$38*($A413-Ft!E$2)^2) +Ft!F$3*EXP(Ft!F$38*($A413-Ft!F$2)^2) + Ft!G$3*EXP(Ft!G$38*($A413-Ft!G$2)^2)</f>
        <v>18.356966861281304</v>
      </c>
      <c r="E413" s="26">
        <f>Ft!B$3*EXP(Ft!B$38*($A413-Ft!B$2)^2)</f>
        <v>4.5702836137487961E-73</v>
      </c>
      <c r="F413" s="26">
        <f>Ft!C$3*EXP(Ft!C$38*($A413-Ft!C$2)^2)</f>
        <v>3.1980853500598837E-2</v>
      </c>
      <c r="G413" s="26">
        <f>Ft!D$3*EXP(Ft!D$38*($A413-Ft!D$2)^2)</f>
        <v>17.431035037242353</v>
      </c>
      <c r="H413" s="26">
        <f>Ft!E$3*EXP(Ft!E$38*($A413-Ft!E$2)^2)</f>
        <v>0.89395097053835249</v>
      </c>
      <c r="I413" s="26">
        <f>Ft!F$3*EXP(Ft!F$38*($A413-Ft!F$2)^2)</f>
        <v>1.7353572860221539E-72</v>
      </c>
      <c r="J413" s="26">
        <f>Ft!G$3*EXP(Ft!G$38*($A413-Ft!G$2)^2)</f>
        <v>0</v>
      </c>
    </row>
    <row r="414" spans="1:10">
      <c r="A414" s="19">
        <v>412</v>
      </c>
      <c r="B414" s="28">
        <v>44.27695556373726</v>
      </c>
      <c r="C414" s="27">
        <f ca="1">OFFSET($B414,1*(ROWS(C$2:C414)-1),0)</f>
        <v>0</v>
      </c>
      <c r="D414" s="26">
        <f>Ft!B$3*EXP(Ft!B$38*($A414-Ft!B$2)^2) +Ft!C$3*EXP(Ft!C$38*($A414-Ft!C$2)^2) + Ft!D$3*EXP(Ft!D$38*($A414-Ft!D$2)^2)+Ft!E$3*EXP(Ft!E$38*($A414-Ft!E$2)^2) +Ft!F$3*EXP(Ft!F$38*($A414-Ft!F$2)^2) + Ft!G$3*EXP(Ft!G$38*($A414-Ft!G$2)^2)</f>
        <v>18.388235054157743</v>
      </c>
      <c r="E414" s="26">
        <f>Ft!B$3*EXP(Ft!B$38*($A414-Ft!B$2)^2)</f>
        <v>1.8228809905313977E-73</v>
      </c>
      <c r="F414" s="26">
        <f>Ft!C$3*EXP(Ft!C$38*($A414-Ft!C$2)^2)</f>
        <v>3.0660112348423692E-2</v>
      </c>
      <c r="G414" s="26">
        <f>Ft!D$3*EXP(Ft!D$38*($A414-Ft!D$2)^2)</f>
        <v>17.450715569946368</v>
      </c>
      <c r="H414" s="26">
        <f>Ft!E$3*EXP(Ft!E$38*($A414-Ft!E$2)^2)</f>
        <v>0.90685937186294874</v>
      </c>
      <c r="I414" s="26">
        <f>Ft!F$3*EXP(Ft!F$38*($A414-Ft!F$2)^2)</f>
        <v>2.9731287185108395E-72</v>
      </c>
      <c r="J414" s="26">
        <f>Ft!G$3*EXP(Ft!G$38*($A414-Ft!G$2)^2)</f>
        <v>0</v>
      </c>
    </row>
    <row r="415" spans="1:10">
      <c r="A415" s="19">
        <v>413</v>
      </c>
      <c r="B415" s="28">
        <v>44.070798178816602</v>
      </c>
      <c r="C415" s="27">
        <f ca="1">OFFSET($B415,1*(ROWS(C$2:C415)-1),0)</f>
        <v>0</v>
      </c>
      <c r="D415" s="26">
        <f>Ft!B$3*EXP(Ft!B$38*($A415-Ft!B$2)^2) +Ft!C$3*EXP(Ft!C$38*($A415-Ft!C$2)^2) + Ft!D$3*EXP(Ft!D$38*($A415-Ft!D$2)^2)+Ft!E$3*EXP(Ft!E$38*($A415-Ft!E$2)^2) +Ft!F$3*EXP(Ft!F$38*($A415-Ft!F$2)^2) + Ft!G$3*EXP(Ft!G$38*($A415-Ft!G$2)^2)</f>
        <v>18.418986169242988</v>
      </c>
      <c r="E415" s="26">
        <f>Ft!B$3*EXP(Ft!B$38*($A415-Ft!B$2)^2)</f>
        <v>7.25241512137161E-74</v>
      </c>
      <c r="F415" s="26">
        <f>Ft!C$3*EXP(Ft!C$38*($A415-Ft!C$2)^2)</f>
        <v>2.9389346635352746E-2</v>
      </c>
      <c r="G415" s="26">
        <f>Ft!D$3*EXP(Ft!D$38*($A415-Ft!D$2)^2)</f>
        <v>17.469675257025514</v>
      </c>
      <c r="H415" s="26">
        <f>Ft!E$3*EXP(Ft!E$38*($A415-Ft!E$2)^2)</f>
        <v>0.91992156558212113</v>
      </c>
      <c r="I415" s="26">
        <f>Ft!F$3*EXP(Ft!F$38*($A415-Ft!F$2)^2)</f>
        <v>5.0893382462634174E-72</v>
      </c>
      <c r="J415" s="26">
        <f>Ft!G$3*EXP(Ft!G$38*($A415-Ft!G$2)^2)</f>
        <v>0</v>
      </c>
    </row>
    <row r="416" spans="1:10">
      <c r="A416" s="19">
        <v>414</v>
      </c>
      <c r="B416" s="28">
        <v>43.86200492500052</v>
      </c>
      <c r="C416" s="27">
        <f ca="1">OFFSET($B416,1*(ROWS(C$2:C416)-1),0)</f>
        <v>0</v>
      </c>
      <c r="D416" s="26">
        <f>Ft!B$3*EXP(Ft!B$38*($A416-Ft!B$2)^2) +Ft!C$3*EXP(Ft!C$38*($A416-Ft!C$2)^2) + Ft!D$3*EXP(Ft!D$38*($A416-Ft!D$2)^2)+Ft!E$3*EXP(Ft!E$38*($A416-Ft!E$2)^2) +Ft!F$3*EXP(Ft!F$38*($A416-Ft!F$2)^2) + Ft!G$3*EXP(Ft!G$38*($A416-Ft!G$2)^2)</f>
        <v>18.44921740788336</v>
      </c>
      <c r="E416" s="26">
        <f>Ft!B$3*EXP(Ft!B$38*($A416-Ft!B$2)^2)</f>
        <v>2.878168181166678E-74</v>
      </c>
      <c r="F416" s="26">
        <f>Ft!C$3*EXP(Ft!C$38*($A416-Ft!C$2)^2)</f>
        <v>2.8166871851048131E-2</v>
      </c>
      <c r="G416" s="26">
        <f>Ft!D$3*EXP(Ft!D$38*($A416-Ft!D$2)^2)</f>
        <v>17.487911701608692</v>
      </c>
      <c r="H416" s="26">
        <f>Ft!E$3*EXP(Ft!E$38*($A416-Ft!E$2)^2)</f>
        <v>0.933138834423619</v>
      </c>
      <c r="I416" s="26">
        <f>Ft!F$3*EXP(Ft!F$38*($A416-Ft!F$2)^2)</f>
        <v>8.7042571944004878E-72</v>
      </c>
      <c r="J416" s="26">
        <f>Ft!G$3*EXP(Ft!G$38*($A416-Ft!G$2)^2)</f>
        <v>0</v>
      </c>
    </row>
    <row r="417" spans="1:10">
      <c r="A417" s="19">
        <v>415</v>
      </c>
      <c r="B417" s="28">
        <v>43.660674992872345</v>
      </c>
      <c r="C417" s="27">
        <f ca="1">OFFSET($B417,1*(ROWS(C$2:C417)-1),0)</f>
        <v>0</v>
      </c>
      <c r="D417" s="26">
        <f>Ft!B$3*EXP(Ft!B$38*($A417-Ft!B$2)^2) +Ft!C$3*EXP(Ft!C$38*($A417-Ft!C$2)^2) + Ft!D$3*EXP(Ft!D$38*($A417-Ft!D$2)^2)+Ft!E$3*EXP(Ft!E$38*($A417-Ft!E$2)^2) +Ft!F$3*EXP(Ft!F$38*($A417-Ft!F$2)^2) + Ft!G$3*EXP(Ft!G$38*($A417-Ft!G$2)^2)</f>
        <v>18.478926110949121</v>
      </c>
      <c r="E417" s="26">
        <f>Ft!B$3*EXP(Ft!B$38*($A417-Ft!B$2)^2)</f>
        <v>1.1393544548388126E-74</v>
      </c>
      <c r="F417" s="26">
        <f>Ft!C$3*EXP(Ft!C$38*($A417-Ft!C$2)^2)</f>
        <v>2.6991051380780832E-2</v>
      </c>
      <c r="G417" s="26">
        <f>Ft!D$3*EXP(Ft!D$38*($A417-Ft!D$2)^2)</f>
        <v>17.50542259660515</v>
      </c>
      <c r="H417" s="26">
        <f>Ft!E$3*EXP(Ft!E$38*($A417-Ft!E$2)^2)</f>
        <v>0.94651246296319169</v>
      </c>
      <c r="I417" s="26">
        <f>Ft!F$3*EXP(Ft!F$38*($A417-Ft!F$2)^2)</f>
        <v>1.4873901801722562E-71</v>
      </c>
      <c r="J417" s="26">
        <f>Ft!G$3*EXP(Ft!G$38*($A417-Ft!G$2)^2)</f>
        <v>0</v>
      </c>
    </row>
    <row r="418" spans="1:10">
      <c r="A418" s="19">
        <v>416</v>
      </c>
      <c r="B418" s="28">
        <v>43.44321437089738</v>
      </c>
      <c r="C418" s="27">
        <f ca="1">OFFSET($B418,1*(ROWS(C$2:C418)-1),0)</f>
        <v>0</v>
      </c>
      <c r="D418" s="26">
        <f>Ft!B$3*EXP(Ft!B$38*($A418-Ft!B$2)^2) +Ft!C$3*EXP(Ft!C$38*($A418-Ft!C$2)^2) + Ft!D$3*EXP(Ft!D$38*($A418-Ft!D$2)^2)+Ft!E$3*EXP(Ft!E$38*($A418-Ft!E$2)^2) +Ft!F$3*EXP(Ft!F$38*($A418-Ft!F$2)^2) + Ft!G$3*EXP(Ft!G$38*($A418-Ft!G$2)^2)</f>
        <v>18.508109758168015</v>
      </c>
      <c r="E418" s="26">
        <f>Ft!B$3*EXP(Ft!B$38*($A418-Ft!B$2)^2)</f>
        <v>4.4989453328916354E-75</v>
      </c>
      <c r="F418" s="26">
        <f>Ft!C$3*EXP(Ft!C$38*($A418-Ft!C$2)^2)</f>
        <v>2.586029550936586E-2</v>
      </c>
      <c r="G418" s="26">
        <f>Ft!D$3*EXP(Ft!D$38*($A418-Ft!D$2)^2)</f>
        <v>17.522205725190904</v>
      </c>
      <c r="H418" s="26">
        <f>Ft!E$3*EXP(Ft!E$38*($A418-Ft!E$2)^2)</f>
        <v>0.96004373746774785</v>
      </c>
      <c r="I418" s="26">
        <f>Ft!F$3*EXP(Ft!F$38*($A418-Ft!F$2)^2)</f>
        <v>2.539457215000187E-71</v>
      </c>
      <c r="J418" s="26">
        <f>Ft!G$3*EXP(Ft!G$38*($A418-Ft!G$2)^2)</f>
        <v>0</v>
      </c>
    </row>
    <row r="419" spans="1:10">
      <c r="A419" s="19">
        <v>417</v>
      </c>
      <c r="B419" s="28">
        <v>43.196116780807188</v>
      </c>
      <c r="C419" s="27">
        <f ca="1">OFFSET($B419,1*(ROWS(C$2:C419)-1),0)</f>
        <v>0</v>
      </c>
      <c r="D419" s="26">
        <f>Ft!B$3*EXP(Ft!B$38*($A419-Ft!B$2)^2) +Ft!C$3*EXP(Ft!C$38*($A419-Ft!C$2)^2) + Ft!D$3*EXP(Ft!D$38*($A419-Ft!D$2)^2)+Ft!E$3*EXP(Ft!E$38*($A419-Ft!E$2)^2) +Ft!F$3*EXP(Ft!F$38*($A419-Ft!F$2)^2) + Ft!G$3*EXP(Ft!G$38*($A419-Ft!G$2)^2)</f>
        <v>18.53676596744334</v>
      </c>
      <c r="E419" s="26">
        <f>Ft!B$3*EXP(Ft!B$38*($A419-Ft!B$2)^2)</f>
        <v>1.7720327804060514E-75</v>
      </c>
      <c r="F419" s="26">
        <f>Ft!C$3*EXP(Ft!C$38*($A419-Ft!C$2)^2)</f>
        <v>2.4773060430923036E-2</v>
      </c>
      <c r="G419" s="26">
        <f>Ft!D$3*EXP(Ft!D$38*($A419-Ft!D$2)^2)</f>
        <v>17.538258961276458</v>
      </c>
      <c r="H419" s="26">
        <f>Ft!E$3*EXP(Ft!E$38*($A419-Ft!E$2)^2)</f>
        <v>0.97373394573595906</v>
      </c>
      <c r="I419" s="26">
        <f>Ft!F$3*EXP(Ft!F$38*($A419-Ft!F$2)^2)</f>
        <v>4.3319126014882556E-71</v>
      </c>
      <c r="J419" s="26">
        <f>Ft!G$3*EXP(Ft!G$38*($A419-Ft!G$2)^2)</f>
        <v>0</v>
      </c>
    </row>
    <row r="420" spans="1:10">
      <c r="A420" s="19">
        <v>418</v>
      </c>
      <c r="B420" s="28">
        <v>42.97750070280938</v>
      </c>
      <c r="C420" s="27">
        <f ca="1">OFFSET($B420,1*(ROWS(C$2:C420)-1),0)</f>
        <v>0</v>
      </c>
      <c r="D420" s="26">
        <f>Ft!B$3*EXP(Ft!B$38*($A420-Ft!B$2)^2) +Ft!C$3*EXP(Ft!C$38*($A420-Ft!C$2)^2) + Ft!D$3*EXP(Ft!D$38*($A420-Ft!D$2)^2)+Ft!E$3*EXP(Ft!E$38*($A420-Ft!E$2)^2) +Ft!F$3*EXP(Ft!F$38*($A420-Ft!F$2)^2) + Ft!G$3*EXP(Ft!G$38*($A420-Ft!G$2)^2)</f>
        <v>18.564892494157121</v>
      </c>
      <c r="E420" s="26">
        <f>Ft!B$3*EXP(Ft!B$38*($A420-Ft!B$2)^2)</f>
        <v>6.9621273204832418E-76</v>
      </c>
      <c r="F420" s="26">
        <f>Ft!C$3*EXP(Ft!C$38*($A420-Ft!C$2)^2)</f>
        <v>2.3727847265123975E-2</v>
      </c>
      <c r="G420" s="26">
        <f>Ft!D$3*EXP(Ft!D$38*($A420-Ft!D$2)^2)</f>
        <v>17.553580269955688</v>
      </c>
      <c r="H420" s="26">
        <f>Ft!E$3*EXP(Ft!E$38*($A420-Ft!E$2)^2)</f>
        <v>0.98758437693630918</v>
      </c>
      <c r="I420" s="26">
        <f>Ft!F$3*EXP(Ft!F$38*($A420-Ft!F$2)^2)</f>
        <v>7.383142779462092E-71</v>
      </c>
      <c r="J420" s="26">
        <f>Ft!G$3*EXP(Ft!G$38*($A420-Ft!G$2)^2)</f>
        <v>0</v>
      </c>
    </row>
    <row r="421" spans="1:10">
      <c r="A421" s="19">
        <v>419</v>
      </c>
      <c r="B421" s="28">
        <v>42.762796550388629</v>
      </c>
      <c r="C421" s="27">
        <f ca="1">OFFSET($B421,1*(ROWS(C$2:C421)-1),0)</f>
        <v>0</v>
      </c>
      <c r="D421" s="26">
        <f>Ft!B$3*EXP(Ft!B$38*($A421-Ft!B$2)^2) +Ft!C$3*EXP(Ft!C$38*($A421-Ft!C$2)^2) + Ft!D$3*EXP(Ft!D$38*($A421-Ft!D$2)^2)+Ft!E$3*EXP(Ft!E$38*($A421-Ft!E$2)^2) +Ft!F$3*EXP(Ft!F$38*($A421-Ft!F$2)^2) + Ft!G$3*EXP(Ft!G$38*($A421-Ft!G$2)^2)</f>
        <v>18.592487230458865</v>
      </c>
      <c r="E421" s="26">
        <f>Ft!B$3*EXP(Ft!B$38*($A421-Ft!B$2)^2)</f>
        <v>2.7284835834534018E-76</v>
      </c>
      <c r="F421" s="26">
        <f>Ft!C$3*EXP(Ft!C$38*($A421-Ft!C$2)^2)</f>
        <v>2.2723201080551286E-2</v>
      </c>
      <c r="G421" s="26">
        <f>Ft!D$3*EXP(Ft!D$38*($A421-Ft!D$2)^2)</f>
        <v>17.568167707935725</v>
      </c>
      <c r="H421" s="26">
        <f>Ft!E$3*EXP(Ft!E$38*($A421-Ft!E$2)^2)</f>
        <v>1.0015963214425885</v>
      </c>
      <c r="I421" s="26">
        <f>Ft!F$3*EXP(Ft!F$38*($A421-Ft!F$2)^2)</f>
        <v>1.2572615783776852E-70</v>
      </c>
      <c r="J421" s="26">
        <f>Ft!G$3*EXP(Ft!G$38*($A421-Ft!G$2)^2)</f>
        <v>0</v>
      </c>
    </row>
    <row r="422" spans="1:10">
      <c r="A422" s="19">
        <v>420</v>
      </c>
      <c r="B422" s="28">
        <v>42.53850859007494</v>
      </c>
      <c r="C422" s="27">
        <f ca="1">OFFSET($B422,1*(ROWS(C$2:C422)-1),0)</f>
        <v>0</v>
      </c>
      <c r="D422" s="26">
        <f>Ft!B$3*EXP(Ft!B$38*($A422-Ft!B$2)^2) +Ft!C$3*EXP(Ft!C$38*($A422-Ft!C$2)^2) + Ft!D$3*EXP(Ft!D$38*($A422-Ft!D$2)^2)+Ft!E$3*EXP(Ft!E$38*($A422-Ft!E$2)^2) +Ft!F$3*EXP(Ft!F$38*($A422-Ft!F$2)^2) + Ft!G$3*EXP(Ft!G$38*($A422-Ft!G$2)^2)</f>
        <v>18.619548204540337</v>
      </c>
      <c r="E422" s="26">
        <f>Ft!B$3*EXP(Ft!B$38*($A422-Ft!B$2)^2)</f>
        <v>1.0666204429737283E-76</v>
      </c>
      <c r="F422" s="26">
        <f>Ft!C$3*EXP(Ft!C$38*($A422-Ft!C$2)^2)</f>
        <v>2.1757709925762744E-2</v>
      </c>
      <c r="G422" s="26">
        <f>Ft!D$3*EXP(Ft!D$38*($A422-Ft!D$2)^2)</f>
        <v>17.582019423947749</v>
      </c>
      <c r="H422" s="26">
        <f>Ft!E$3*EXP(Ft!E$38*($A422-Ft!E$2)^2)</f>
        <v>1.0157710706668279</v>
      </c>
      <c r="I422" s="26">
        <f>Ft!F$3*EXP(Ft!F$38*($A422-Ft!F$2)^2)</f>
        <v>2.1391085124205296E-70</v>
      </c>
      <c r="J422" s="26">
        <f>Ft!G$3*EXP(Ft!G$38*($A422-Ft!G$2)^2)</f>
        <v>0</v>
      </c>
    </row>
    <row r="423" spans="1:10">
      <c r="A423" s="19">
        <v>421</v>
      </c>
      <c r="B423" s="28">
        <v>42.303654382793951</v>
      </c>
      <c r="C423" s="27">
        <f ca="1">OFFSET($B423,1*(ROWS(C$2:C423)-1),0)</f>
        <v>0</v>
      </c>
      <c r="D423" s="26">
        <f>Ft!B$3*EXP(Ft!B$38*($A423-Ft!B$2)^2) +Ft!C$3*EXP(Ft!C$38*($A423-Ft!C$2)^2) + Ft!D$3*EXP(Ft!D$38*($A423-Ft!D$2)^2)+Ft!E$3*EXP(Ft!E$38*($A423-Ft!E$2)^2) +Ft!F$3*EXP(Ft!F$38*($A423-Ft!F$2)^2) + Ft!G$3*EXP(Ft!G$38*($A423-Ft!G$2)^2)</f>
        <v>18.646073579896829</v>
      </c>
      <c r="E423" s="26">
        <f>Ft!B$3*EXP(Ft!B$38*($A423-Ft!B$2)^2)</f>
        <v>4.159179227785833E-77</v>
      </c>
      <c r="F423" s="26">
        <f>Ft!C$3*EXP(Ft!C$38*($A423-Ft!C$2)^2)</f>
        <v>2.0830003868619221E-2</v>
      </c>
      <c r="G423" s="26">
        <f>Ft!D$3*EXP(Ft!D$38*($A423-Ft!D$2)^2)</f>
        <v>17.595133659138536</v>
      </c>
      <c r="H423" s="26">
        <f>Ft!E$3*EXP(Ft!E$38*($A423-Ft!E$2)^2)</f>
        <v>1.0301099168896759</v>
      </c>
      <c r="I423" s="26">
        <f>Ft!F$3*EXP(Ft!F$38*($A423-Ft!F$2)^2)</f>
        <v>3.6363257687642863E-70</v>
      </c>
      <c r="J423" s="26">
        <f>Ft!G$3*EXP(Ft!G$38*($A423-Ft!G$2)^2)</f>
        <v>0</v>
      </c>
    </row>
    <row r="424" spans="1:10">
      <c r="A424" s="19">
        <v>422</v>
      </c>
      <c r="B424" s="28">
        <v>42.08118861262011</v>
      </c>
      <c r="C424" s="27">
        <f ca="1">OFFSET($B424,1*(ROWS(C$2:C424)-1),0)</f>
        <v>0</v>
      </c>
      <c r="D424" s="26">
        <f>Ft!B$3*EXP(Ft!B$38*($A424-Ft!B$2)^2) +Ft!C$3*EXP(Ft!C$38*($A424-Ft!C$2)^2) + Ft!D$3*EXP(Ft!D$38*($A424-Ft!D$2)^2)+Ft!E$3*EXP(Ft!E$38*($A424-Ft!E$2)^2) +Ft!F$3*EXP(Ft!F$38*($A424-Ft!F$2)^2) + Ft!G$3*EXP(Ft!G$38*($A424-Ft!G$2)^2)</f>
        <v>18.672061654575316</v>
      </c>
      <c r="E424" s="26">
        <f>Ft!B$3*EXP(Ft!B$38*($A424-Ft!B$2)^2)</f>
        <v>1.6177616719654303E-77</v>
      </c>
      <c r="F424" s="26">
        <f>Ft!C$3*EXP(Ft!C$38*($A424-Ft!C$2)^2)</f>
        <v>1.9938754044403519E-2</v>
      </c>
      <c r="G424" s="26">
        <f>Ft!D$3*EXP(Ft!D$38*($A424-Ft!D$2)^2)</f>
        <v>17.607508747442697</v>
      </c>
      <c r="H424" s="26">
        <f>Ft!E$3*EXP(Ft!E$38*($A424-Ft!E$2)^2)</f>
        <v>1.0446141530882163</v>
      </c>
      <c r="I424" s="26">
        <f>Ft!F$3*EXP(Ft!F$38*($A424-Ft!F$2)^2)</f>
        <v>6.1761174552608298E-70</v>
      </c>
      <c r="J424" s="26">
        <f>Ft!G$3*EXP(Ft!G$38*($A424-Ft!G$2)^2)</f>
        <v>0</v>
      </c>
    </row>
    <row r="425" spans="1:10">
      <c r="A425" s="19">
        <v>423</v>
      </c>
      <c r="B425" s="28">
        <v>41.834642713088328</v>
      </c>
      <c r="C425" s="27">
        <f ca="1">OFFSET($B425,1*(ROWS(C$2:C425)-1),0)</f>
        <v>0</v>
      </c>
      <c r="D425" s="26">
        <f>Ft!B$3*EXP(Ft!B$38*($A425-Ft!B$2)^2) +Ft!C$3*EXP(Ft!C$38*($A425-Ft!C$2)^2) + Ft!D$3*EXP(Ft!D$38*($A425-Ft!D$2)^2)+Ft!E$3*EXP(Ft!E$38*($A425-Ft!E$2)^2) +Ft!F$3*EXP(Ft!F$38*($A425-Ft!F$2)^2) + Ft!G$3*EXP(Ft!G$38*($A425-Ft!G$2)^2)</f>
        <v>18.69751086040986</v>
      </c>
      <c r="E425" s="26">
        <f>Ft!B$3*EXP(Ft!B$38*($A425-Ft!B$2)^2)</f>
        <v>6.2766891729073463E-78</v>
      </c>
      <c r="F425" s="26">
        <f>Ft!C$3*EXP(Ft!C$38*($A425-Ft!C$2)^2)</f>
        <v>1.9082671713225023E-2</v>
      </c>
      <c r="G425" s="26">
        <f>Ft!D$3*EXP(Ft!D$38*($A425-Ft!D$2)^2)</f>
        <v>17.619143115935408</v>
      </c>
      <c r="H425" s="26">
        <f>Ft!E$3*EXP(Ft!E$38*($A425-Ft!E$2)^2)</f>
        <v>1.0592850727612286</v>
      </c>
      <c r="I425" s="26">
        <f>Ft!F$3*EXP(Ft!F$38*($A425-Ft!F$2)^2)</f>
        <v>1.0480719676043316E-69</v>
      </c>
      <c r="J425" s="26">
        <f>Ft!G$3*EXP(Ft!G$38*($A425-Ft!G$2)^2)</f>
        <v>0</v>
      </c>
    </row>
    <row r="426" spans="1:10">
      <c r="A426" s="19">
        <v>424</v>
      </c>
      <c r="B426" s="28">
        <v>41.595778396664144</v>
      </c>
      <c r="C426" s="27">
        <f ca="1">OFFSET($B426,1*(ROWS(C$2:C426)-1),0)</f>
        <v>0</v>
      </c>
      <c r="D426" s="26">
        <f>Ft!B$3*EXP(Ft!B$38*($A426-Ft!B$2)^2) +Ft!C$3*EXP(Ft!C$38*($A426-Ft!C$2)^2) + Ft!D$3*EXP(Ft!D$38*($A426-Ft!D$2)^2)+Ft!E$3*EXP(Ft!E$38*($A426-Ft!E$2)^2) +Ft!F$3*EXP(Ft!F$38*($A426-Ft!F$2)^2) + Ft!G$3*EXP(Ft!G$38*($A426-Ft!G$2)^2)</f>
        <v>18.722419762244705</v>
      </c>
      <c r="E426" s="26">
        <f>Ft!B$3*EXP(Ft!B$38*($A426-Ft!B$2)^2)</f>
        <v>2.4291586365315565E-78</v>
      </c>
      <c r="F426" s="26">
        <f>Ft!C$3*EXP(Ft!C$38*($A426-Ft!C$2)^2)</f>
        <v>1.8260507327174335E-2</v>
      </c>
      <c r="G426" s="26">
        <f>Ft!D$3*EXP(Ft!D$38*($A426-Ft!D$2)^2)</f>
        <v>17.63003528516564</v>
      </c>
      <c r="H426" s="26">
        <f>Ft!E$3*EXP(Ft!E$38*($A426-Ft!E$2)^2)</f>
        <v>1.0741239697518912</v>
      </c>
      <c r="I426" s="26">
        <f>Ft!F$3*EXP(Ft!F$38*($A426-Ft!F$2)^2)</f>
        <v>1.7770083120699974E-69</v>
      </c>
      <c r="J426" s="26">
        <f>Ft!G$3*EXP(Ft!G$38*($A426-Ft!G$2)^2)</f>
        <v>0</v>
      </c>
    </row>
    <row r="427" spans="1:10">
      <c r="A427" s="19">
        <v>425</v>
      </c>
      <c r="B427" s="28">
        <v>41.33812012309636</v>
      </c>
      <c r="C427" s="27">
        <f ca="1">OFFSET($B427,1*(ROWS(C$2:C427)-1),0)</f>
        <v>0</v>
      </c>
      <c r="D427" s="26">
        <f>Ft!B$3*EXP(Ft!B$38*($A427-Ft!B$2)^2) +Ft!C$3*EXP(Ft!C$38*($A427-Ft!C$2)^2) + Ft!D$3*EXP(Ft!D$38*($A427-Ft!D$2)^2)+Ft!E$3*EXP(Ft!E$38*($A427-Ft!E$2)^2) +Ft!F$3*EXP(Ft!F$38*($A427-Ft!F$2)^2) + Ft!G$3*EXP(Ft!G$38*($A427-Ft!G$2)^2)</f>
        <v>18.746787057145276</v>
      </c>
      <c r="E427" s="26">
        <f>Ft!B$3*EXP(Ft!B$38*($A427-Ft!B$2)^2)</f>
        <v>9.3775698219373672E-79</v>
      </c>
      <c r="F427" s="26">
        <f>Ft!C$3*EXP(Ft!C$38*($A427-Ft!C$2)^2)</f>
        <v>1.7471049607661656E-2</v>
      </c>
      <c r="G427" s="26">
        <f>Ft!D$3*EXP(Ft!D$38*($A427-Ft!D$2)^2)</f>
        <v>17.640183869469688</v>
      </c>
      <c r="H427" s="26">
        <f>Ft!E$3*EXP(Ft!E$38*($A427-Ft!E$2)^2)</f>
        <v>1.0891321380679297</v>
      </c>
      <c r="I427" s="26">
        <f>Ft!F$3*EXP(Ft!F$38*($A427-Ft!F$2)^2)</f>
        <v>3.0103057541298579E-69</v>
      </c>
      <c r="J427" s="26">
        <f>Ft!G$3*EXP(Ft!G$38*($A427-Ft!G$2)^2)</f>
        <v>0</v>
      </c>
    </row>
    <row r="428" spans="1:10">
      <c r="A428" s="19">
        <v>426</v>
      </c>
      <c r="B428" s="28">
        <v>41.085308271360418</v>
      </c>
      <c r="C428" s="27">
        <f ca="1">OFFSET($B428,1*(ROWS(C$2:C428)-1),0)</f>
        <v>0</v>
      </c>
      <c r="D428" s="26">
        <f>Ft!B$3*EXP(Ft!B$38*($A428-Ft!B$2)^2) +Ft!C$3*EXP(Ft!C$38*($A428-Ft!C$2)^2) + Ft!D$3*EXP(Ft!D$38*($A428-Ft!D$2)^2)+Ft!E$3*EXP(Ft!E$38*($A428-Ft!E$2)^2) +Ft!F$3*EXP(Ft!F$38*($A428-Ft!F$2)^2) + Ft!G$3*EXP(Ft!G$38*($A428-Ft!G$2)^2)</f>
        <v>18.770611573597531</v>
      </c>
      <c r="E428" s="26">
        <f>Ft!B$3*EXP(Ft!B$38*($A428-Ft!B$2)^2)</f>
        <v>3.6110533906603084E-79</v>
      </c>
      <c r="F428" s="26">
        <f>Ft!C$3*EXP(Ft!C$38*($A428-Ft!C$2)^2)</f>
        <v>1.6713124633343797E-2</v>
      </c>
      <c r="G428" s="26">
        <f>Ft!D$3*EXP(Ft!D$38*($A428-Ft!D$2)^2)</f>
        <v>17.64958757726497</v>
      </c>
      <c r="H428" s="26">
        <f>Ft!E$3*EXP(Ft!E$38*($A428-Ft!E$2)^2)</f>
        <v>1.104310871699216</v>
      </c>
      <c r="I428" s="26">
        <f>Ft!F$3*EXP(Ft!F$38*($A428-Ft!F$2)^2)</f>
        <v>5.0951216045476621E-69</v>
      </c>
      <c r="J428" s="26">
        <f>Ft!G$3*EXP(Ft!G$38*($A428-Ft!G$2)^2)</f>
        <v>0</v>
      </c>
    </row>
    <row r="429" spans="1:10">
      <c r="A429" s="19">
        <v>427</v>
      </c>
      <c r="B429" s="28">
        <v>40.836381466522994</v>
      </c>
      <c r="C429" s="27">
        <f ca="1">OFFSET($B429,1*(ROWS(C$2:C429)-1),0)</f>
        <v>0</v>
      </c>
      <c r="D429" s="26">
        <f>Ft!B$3*EXP(Ft!B$38*($A429-Ft!B$2)^2) +Ft!C$3*EXP(Ft!C$38*($A429-Ft!C$2)^2) + Ft!D$3*EXP(Ft!D$38*($A429-Ft!D$2)^2)+Ft!E$3*EXP(Ft!E$38*($A429-Ft!E$2)^2) +Ft!F$3*EXP(Ft!F$38*($A429-Ft!F$2)^2) + Ft!G$3*EXP(Ft!G$38*($A429-Ft!G$2)^2)</f>
        <v>18.793892270695796</v>
      </c>
      <c r="E429" s="26">
        <f>Ft!B$3*EXP(Ft!B$38*($A429-Ft!B$2)^2)</f>
        <v>1.3870326590844909E-79</v>
      </c>
      <c r="F429" s="26">
        <f>Ft!C$3*EXP(Ft!C$38*($A429-Ft!C$2)^2)</f>
        <v>1.5985594939015319E-2</v>
      </c>
      <c r="G429" s="26">
        <f>Ft!D$3*EXP(Ft!D$38*($A429-Ft!D$2)^2)</f>
        <v>17.658245211323969</v>
      </c>
      <c r="H429" s="26">
        <f>Ft!E$3*EXP(Ft!E$38*($A429-Ft!E$2)^2)</f>
        <v>1.1196614644328131</v>
      </c>
      <c r="I429" s="26">
        <f>Ft!F$3*EXP(Ft!F$38*($A429-Ft!F$2)^2)</f>
        <v>8.6163095716074958E-69</v>
      </c>
      <c r="J429" s="26">
        <f>Ft!G$3*EXP(Ft!G$38*($A429-Ft!G$2)^2)</f>
        <v>0</v>
      </c>
    </row>
    <row r="430" spans="1:10">
      <c r="A430" s="19">
        <v>428</v>
      </c>
      <c r="B430" s="28">
        <v>40.572886352871137</v>
      </c>
      <c r="C430" s="27">
        <f ca="1">OFFSET($B430,1*(ROWS(C$2:C430)-1),0)</f>
        <v>0</v>
      </c>
      <c r="D430" s="26">
        <f>Ft!B$3*EXP(Ft!B$38*($A430-Ft!B$2)^2) +Ft!C$3*EXP(Ft!C$38*($A430-Ft!C$2)^2) + Ft!D$3*EXP(Ft!D$38*($A430-Ft!D$2)^2)+Ft!E$3*EXP(Ft!E$38*($A430-Ft!E$2)^2) +Ft!F$3*EXP(Ft!F$38*($A430-Ft!F$2)^2) + Ft!G$3*EXP(Ft!G$38*($A430-Ft!G$2)^2)</f>
        <v>18.816628237319595</v>
      </c>
      <c r="E430" s="26">
        <f>Ft!B$3*EXP(Ft!B$38*($A430-Ft!B$2)^2)</f>
        <v>5.3143314652884017E-80</v>
      </c>
      <c r="F430" s="26">
        <f>Ft!C$3*EXP(Ft!C$38*($A430-Ft!C$2)^2)</f>
        <v>1.5287358625811697E-2</v>
      </c>
      <c r="G430" s="26">
        <f>Ft!D$3*EXP(Ft!D$38*($A430-Ft!D$2)^2)</f>
        <v>17.666155669028299</v>
      </c>
      <c r="H430" s="26">
        <f>Ft!E$3*EXP(Ft!E$38*($A430-Ft!E$2)^2)</f>
        <v>1.1351852096654822</v>
      </c>
      <c r="I430" s="26">
        <f>Ft!F$3*EXP(Ft!F$38*($A430-Ft!F$2)^2)</f>
        <v>1.4558305547661502E-68</v>
      </c>
      <c r="J430" s="26">
        <f>Ft!G$3*EXP(Ft!G$38*($A430-Ft!G$2)^2)</f>
        <v>0</v>
      </c>
    </row>
    <row r="431" spans="1:10">
      <c r="A431" s="19">
        <v>429</v>
      </c>
      <c r="B431" s="28">
        <v>40.316399101854586</v>
      </c>
      <c r="C431" s="27">
        <f ca="1">OFFSET($B431,1*(ROWS(C$2:C431)-1),0)</f>
        <v>0</v>
      </c>
      <c r="D431" s="26">
        <f>Ft!B$3*EXP(Ft!B$38*($A431-Ft!B$2)^2) +Ft!C$3*EXP(Ft!C$38*($A431-Ft!C$2)^2) + Ft!D$3*EXP(Ft!D$38*($A431-Ft!D$2)^2)+Ft!E$3*EXP(Ft!E$38*($A431-Ft!E$2)^2) +Ft!F$3*EXP(Ft!F$38*($A431-Ft!F$2)^2) + Ft!G$3*EXP(Ft!G$38*($A431-Ft!G$2)^2)</f>
        <v>18.838818691299412</v>
      </c>
      <c r="E431" s="26">
        <f>Ft!B$3*EXP(Ft!B$38*($A431-Ft!B$2)^2)</f>
        <v>2.0310460230642748E-80</v>
      </c>
      <c r="F431" s="26">
        <f>Ft!C$3*EXP(Ft!C$38*($A431-Ft!C$2)^2)</f>
        <v>1.4617348483045719E-2</v>
      </c>
      <c r="G431" s="26">
        <f>Ft!D$3*EXP(Ft!D$38*($A431-Ft!D$2)^2)</f>
        <v>17.673317942602722</v>
      </c>
      <c r="H431" s="26">
        <f>Ft!E$3*EXP(Ft!E$38*($A431-Ft!E$2)^2)</f>
        <v>1.1508834002136437</v>
      </c>
      <c r="I431" s="26">
        <f>Ft!F$3*EXP(Ft!F$38*($A431-Ft!F$2)^2)</f>
        <v>2.4576676979711798E-68</v>
      </c>
      <c r="J431" s="26">
        <f>Ft!G$3*EXP(Ft!G$38*($A431-Ft!G$2)^2)</f>
        <v>0</v>
      </c>
    </row>
    <row r="432" spans="1:10">
      <c r="A432" s="19">
        <v>430</v>
      </c>
      <c r="B432" s="28">
        <v>40.07334535779637</v>
      </c>
      <c r="C432" s="27">
        <f ca="1">OFFSET($B432,1*(ROWS(C$2:C432)-1),0)</f>
        <v>0</v>
      </c>
      <c r="D432" s="26">
        <f>Ft!B$3*EXP(Ft!B$38*($A432-Ft!B$2)^2) +Ft!C$3*EXP(Ft!C$38*($A432-Ft!C$2)^2) + Ft!D$3*EXP(Ft!D$38*($A432-Ft!D$2)^2)+Ft!E$3*EXP(Ft!E$38*($A432-Ft!E$2)^2) +Ft!F$3*EXP(Ft!F$38*($A432-Ft!F$2)^2) + Ft!G$3*EXP(Ft!G$38*($A432-Ft!G$2)^2)</f>
        <v>18.860462978571903</v>
      </c>
      <c r="E432" s="26">
        <f>Ft!B$3*EXP(Ft!B$38*($A432-Ft!B$2)^2)</f>
        <v>7.7428360698896621E-81</v>
      </c>
      <c r="F432" s="26">
        <f>Ft!C$3*EXP(Ft!C$38*($A432-Ft!C$2)^2)</f>
        <v>1.3974531121971185E-2</v>
      </c>
      <c r="G432" s="26">
        <f>Ft!D$3*EXP(Ft!D$38*($A432-Ft!D$2)^2)</f>
        <v>17.679731119329126</v>
      </c>
      <c r="H432" s="26">
        <f>Ft!E$3*EXP(Ft!E$38*($A432-Ft!E$2)^2)</f>
        <v>1.1667573281208068</v>
      </c>
      <c r="I432" s="26">
        <f>Ft!F$3*EXP(Ft!F$38*($A432-Ft!F$2)^2)</f>
        <v>4.145322162071373E-68</v>
      </c>
      <c r="J432" s="26">
        <f>Ft!G$3*EXP(Ft!G$38*($A432-Ft!G$2)^2)</f>
        <v>0</v>
      </c>
    </row>
    <row r="433" spans="1:10">
      <c r="A433" s="19">
        <v>431</v>
      </c>
      <c r="B433" s="28">
        <v>39.82757339990502</v>
      </c>
      <c r="C433" s="27">
        <f ca="1">OFFSET($B433,1*(ROWS(C$2:C433)-1),0)</f>
        <v>0</v>
      </c>
      <c r="D433" s="26">
        <f>Ft!B$3*EXP(Ft!B$38*($A433-Ft!B$2)^2) +Ft!C$3*EXP(Ft!C$38*($A433-Ft!C$2)^2) + Ft!D$3*EXP(Ft!D$38*($A433-Ft!D$2)^2)+Ft!E$3*EXP(Ft!E$38*($A433-Ft!E$2)^2) +Ft!F$3*EXP(Ft!F$38*($A433-Ft!F$2)^2) + Ft!G$3*EXP(Ft!G$38*($A433-Ft!G$2)^2)</f>
        <v>18.881560572324602</v>
      </c>
      <c r="E433" s="26">
        <f>Ft!B$3*EXP(Ft!B$38*($A433-Ft!B$2)^2)</f>
        <v>2.9443507096715743E-81</v>
      </c>
      <c r="F433" s="26">
        <f>Ft!C$3*EXP(Ft!C$38*($A433-Ft!C$2)^2)</f>
        <v>1.3357906121743304E-2</v>
      </c>
      <c r="G433" s="26">
        <f>Ft!D$3*EXP(Ft!D$38*($A433-Ft!D$2)^2)</f>
        <v>17.685394381740387</v>
      </c>
      <c r="H433" s="26">
        <f>Ft!E$3*EXP(Ft!E$38*($A433-Ft!E$2)^2)</f>
        <v>1.1828082844624699</v>
      </c>
      <c r="I433" s="26">
        <f>Ft!F$3*EXP(Ft!F$38*($A433-Ft!F$2)^2)</f>
        <v>6.985801009195895E-68</v>
      </c>
      <c r="J433" s="26">
        <f>Ft!G$3*EXP(Ft!G$38*($A433-Ft!G$2)^2)</f>
        <v>0</v>
      </c>
    </row>
    <row r="434" spans="1:10">
      <c r="A434" s="19">
        <v>432</v>
      </c>
      <c r="B434" s="28">
        <v>39.567849215907785</v>
      </c>
      <c r="C434" s="27">
        <f ca="1">OFFSET($B434,1*(ROWS(C$2:C434)-1),0)</f>
        <v>0</v>
      </c>
      <c r="D434" s="26">
        <f>Ft!B$3*EXP(Ft!B$38*($A434-Ft!B$2)^2) +Ft!C$3*EXP(Ft!C$38*($A434-Ft!C$2)^2) + Ft!D$3*EXP(Ft!D$38*($A434-Ft!D$2)^2)+Ft!E$3*EXP(Ft!E$38*($A434-Ft!E$2)^2) +Ft!F$3*EXP(Ft!F$38*($A434-Ft!F$2)^2) + Ft!G$3*EXP(Ft!G$38*($A434-Ft!G$2)^2)</f>
        <v>18.902111072130346</v>
      </c>
      <c r="E434" s="26">
        <f>Ft!B$3*EXP(Ft!B$38*($A434-Ft!B$2)^2)</f>
        <v>1.1168328694092443E-81</v>
      </c>
      <c r="F434" s="26">
        <f>Ft!C$3*EXP(Ft!C$38*($A434-Ft!C$2)^2)</f>
        <v>1.2766505187819728E-2</v>
      </c>
      <c r="G434" s="26">
        <f>Ft!D$3*EXP(Ft!D$38*($A434-Ft!D$2)^2)</f>
        <v>17.690307007794026</v>
      </c>
      <c r="H434" s="26">
        <f>Ft!E$3*EXP(Ft!E$38*($A434-Ft!E$2)^2)</f>
        <v>1.1990375591485007</v>
      </c>
      <c r="I434" s="26">
        <f>Ft!F$3*EXP(Ft!F$38*($A434-Ft!F$2)^2)</f>
        <v>1.1762426654472001E-67</v>
      </c>
      <c r="J434" s="26">
        <f>Ft!G$3*EXP(Ft!G$38*($A434-Ft!G$2)^2)</f>
        <v>0</v>
      </c>
    </row>
    <row r="435" spans="1:10">
      <c r="A435" s="19">
        <v>433</v>
      </c>
      <c r="B435" s="28">
        <v>39.303557491944673</v>
      </c>
      <c r="C435" s="27">
        <f ca="1">OFFSET($B435,1*(ROWS(C$2:C435)-1),0)</f>
        <v>0</v>
      </c>
      <c r="D435" s="26">
        <f>Ft!B$3*EXP(Ft!B$38*($A435-Ft!B$2)^2) +Ft!C$3*EXP(Ft!C$38*($A435-Ft!C$2)^2) + Ft!D$3*EXP(Ft!D$38*($A435-Ft!D$2)^2)+Ft!E$3*EXP(Ft!E$38*($A435-Ft!E$2)^2) +Ft!F$3*EXP(Ft!F$38*($A435-Ft!F$2)^2) + Ft!G$3*EXP(Ft!G$38*($A435-Ft!G$2)^2)</f>
        <v>18.922114203071658</v>
      </c>
      <c r="E435" s="26">
        <f>Ft!B$3*EXP(Ft!B$38*($A435-Ft!B$2)^2)</f>
        <v>4.2256741989594843E-82</v>
      </c>
      <c r="F435" s="26">
        <f>Ft!C$3*EXP(Ft!C$38*($A435-Ft!C$2)^2)</f>
        <v>1.2199391323022656E-2</v>
      </c>
      <c r="G435" s="26">
        <f>Ft!D$3*EXP(Ft!D$38*($A435-Ft!D$2)^2)</f>
        <v>17.694468371025636</v>
      </c>
      <c r="H435" s="26">
        <f>Ft!E$3*EXP(Ft!E$38*($A435-Ft!E$2)^2)</f>
        <v>1.2154464407229988</v>
      </c>
      <c r="I435" s="26">
        <f>Ft!F$3*EXP(Ft!F$38*($A435-Ft!F$2)^2)</f>
        <v>1.978793347402952E-67</v>
      </c>
      <c r="J435" s="26">
        <f>Ft!G$3*EXP(Ft!G$38*($A435-Ft!G$2)^2)</f>
        <v>0</v>
      </c>
    </row>
    <row r="436" spans="1:10">
      <c r="A436" s="19">
        <v>434</v>
      </c>
      <c r="B436" s="28">
        <v>39.089556002880272</v>
      </c>
      <c r="C436" s="27">
        <f ca="1">OFFSET($B436,1*(ROWS(C$2:C436)-1),0)</f>
        <v>0</v>
      </c>
      <c r="D436" s="26">
        <f>Ft!B$3*EXP(Ft!B$38*($A436-Ft!B$2)^2) +Ft!C$3*EXP(Ft!C$38*($A436-Ft!C$2)^2) + Ft!D$3*EXP(Ft!D$38*($A436-Ft!D$2)^2)+Ft!E$3*EXP(Ft!E$38*($A436-Ft!E$2)^2) +Ft!F$3*EXP(Ft!F$38*($A436-Ft!F$2)^2) + Ft!G$3*EXP(Ft!G$38*($A436-Ft!G$2)^2)</f>
        <v>18.941569814855136</v>
      </c>
      <c r="E436" s="26">
        <f>Ft!B$3*EXP(Ft!B$38*($A436-Ft!B$2)^2)</f>
        <v>1.5948248957623499E-82</v>
      </c>
      <c r="F436" s="26">
        <f>Ft!C$3*EXP(Ft!C$38*($A436-Ft!C$2)^2)</f>
        <v>1.1655658011459076E-2</v>
      </c>
      <c r="G436" s="26">
        <f>Ft!D$3*EXP(Ft!D$38*($A436-Ft!D$2)^2)</f>
        <v>17.697877940682023</v>
      </c>
      <c r="H436" s="26">
        <f>Ft!E$3*EXP(Ft!E$38*($A436-Ft!E$2)^2)</f>
        <v>1.2320362161616534</v>
      </c>
      <c r="I436" s="26">
        <f>Ft!F$3*EXP(Ft!F$38*($A436-Ft!F$2)^2)</f>
        <v>3.3260345047789927E-67</v>
      </c>
      <c r="J436" s="26">
        <f>Ft!G$3*EXP(Ft!G$38*($A436-Ft!G$2)^2)</f>
        <v>0</v>
      </c>
    </row>
    <row r="437" spans="1:10">
      <c r="A437" s="19">
        <v>435</v>
      </c>
      <c r="B437" s="28">
        <v>38.899292042612444</v>
      </c>
      <c r="C437" s="27">
        <f ca="1">OFFSET($B437,1*(ROWS(C$2:C437)-1),0)</f>
        <v>0</v>
      </c>
      <c r="D437" s="26">
        <f>Ft!B$3*EXP(Ft!B$38*($A437-Ft!B$2)^2) +Ft!C$3*EXP(Ft!C$38*($A437-Ft!C$2)^2) + Ft!D$3*EXP(Ft!D$38*($A437-Ft!D$2)^2)+Ft!E$3*EXP(Ft!E$38*($A437-Ft!E$2)^2) +Ft!F$3*EXP(Ft!F$38*($A437-Ft!F$2)^2) + Ft!G$3*EXP(Ft!G$38*($A437-Ft!G$2)^2)</f>
        <v>18.960477880916123</v>
      </c>
      <c r="E437" s="26">
        <f>Ft!B$3*EXP(Ft!B$38*($A437-Ft!B$2)^2)</f>
        <v>6.0039791791493401E-83</v>
      </c>
      <c r="F437" s="26">
        <f>Ft!C$3*EXP(Ft!C$38*($A437-Ft!C$2)^2)</f>
        <v>1.1134428415473985E-2</v>
      </c>
      <c r="G437" s="26">
        <f>Ft!D$3*EXP(Ft!D$38*($A437-Ft!D$2)^2)</f>
        <v>17.700535281834043</v>
      </c>
      <c r="H437" s="26">
        <f>Ft!E$3*EXP(Ft!E$38*($A437-Ft!E$2)^2)</f>
        <v>1.2488081706666068</v>
      </c>
      <c r="I437" s="26">
        <f>Ft!F$3*EXP(Ft!F$38*($A437-Ft!F$2)^2)</f>
        <v>5.5856774651019426E-67</v>
      </c>
      <c r="J437" s="26">
        <f>Ft!G$3*EXP(Ft!G$38*($A437-Ft!G$2)^2)</f>
        <v>0</v>
      </c>
    </row>
    <row r="438" spans="1:10">
      <c r="A438" s="19">
        <v>436</v>
      </c>
      <c r="B438" s="28">
        <v>38.691684827276561</v>
      </c>
      <c r="C438" s="27">
        <f ca="1">OFFSET($B438,1*(ROWS(C$2:C438)-1),0)</f>
        <v>0</v>
      </c>
      <c r="D438" s="26">
        <f>Ft!B$3*EXP(Ft!B$38*($A438-Ft!B$2)^2) +Ft!C$3*EXP(Ft!C$38*($A438-Ft!C$2)^2) + Ft!D$3*EXP(Ft!D$38*($A438-Ft!D$2)^2)+Ft!E$3*EXP(Ft!E$38*($A438-Ft!E$2)^2) +Ft!F$3*EXP(Ft!F$38*($A438-Ft!F$2)^2) + Ft!G$3*EXP(Ft!G$38*($A438-Ft!G$2)^2)</f>
        <v>18.97883849751366</v>
      </c>
      <c r="E438" s="26">
        <f>Ft!B$3*EXP(Ft!B$38*($A438-Ft!B$2)^2)</f>
        <v>2.2546260611150278E-83</v>
      </c>
      <c r="F438" s="26">
        <f>Ft!C$3*EXP(Ft!C$38*($A438-Ft!C$2)^2)</f>
        <v>1.0634854585789501E-2</v>
      </c>
      <c r="G438" s="26">
        <f>Ft!D$3*EXP(Ft!D$38*($A438-Ft!D$2)^2)</f>
        <v>17.702440055469044</v>
      </c>
      <c r="H438" s="26">
        <f>Ft!E$3*EXP(Ft!E$38*($A438-Ft!E$2)^2)</f>
        <v>1.265763587458828</v>
      </c>
      <c r="I438" s="26">
        <f>Ft!F$3*EXP(Ft!F$38*($A438-Ft!F$2)^2)</f>
        <v>9.3723339380837731E-67</v>
      </c>
      <c r="J438" s="26">
        <f>Ft!G$3*EXP(Ft!G$38*($A438-Ft!G$2)^2)</f>
        <v>0</v>
      </c>
    </row>
    <row r="439" spans="1:10">
      <c r="A439" s="19">
        <v>437</v>
      </c>
      <c r="B439" s="28">
        <v>38.484925513796242</v>
      </c>
      <c r="C439" s="27">
        <f ca="1">OFFSET($B439,1*(ROWS(C$2:C439)-1),0)</f>
        <v>0</v>
      </c>
      <c r="D439" s="26">
        <f>Ft!B$3*EXP(Ft!B$38*($A439-Ft!B$2)^2) +Ft!C$3*EXP(Ft!C$38*($A439-Ft!C$2)^2) + Ft!D$3*EXP(Ft!D$38*($A439-Ft!D$2)^2)+Ft!E$3*EXP(Ft!E$38*($A439-Ft!E$2)^2) +Ft!F$3*EXP(Ft!F$38*($A439-Ft!F$2)^2) + Ft!G$3*EXP(Ft!G$38*($A439-Ft!G$2)^2)</f>
        <v>18.996651882815936</v>
      </c>
      <c r="E439" s="26">
        <f>Ft!B$3*EXP(Ft!B$38*($A439-Ft!B$2)^2)</f>
        <v>8.4453770173150305E-84</v>
      </c>
      <c r="F439" s="26">
        <f>Ft!C$3*EXP(Ft!C$38*($A439-Ft!C$2)^2)</f>
        <v>1.0156116684962397E-2</v>
      </c>
      <c r="G439" s="26">
        <f>Ft!D$3*EXP(Ft!D$38*($A439-Ft!D$2)^2)</f>
        <v>17.703592018562965</v>
      </c>
      <c r="H439" s="26">
        <f>Ft!E$3*EXP(Ft!E$38*($A439-Ft!E$2)^2)</f>
        <v>1.282903747568011</v>
      </c>
      <c r="I439" s="26">
        <f>Ft!F$3*EXP(Ft!F$38*($A439-Ft!F$2)^2)</f>
        <v>1.5712397201564397E-66</v>
      </c>
      <c r="J439" s="26">
        <f>Ft!G$3*EXP(Ft!G$38*($A439-Ft!G$2)^2)</f>
        <v>0</v>
      </c>
    </row>
    <row r="440" spans="1:10">
      <c r="A440" s="19">
        <v>438</v>
      </c>
      <c r="B440" s="28">
        <v>38.298910082573002</v>
      </c>
      <c r="C440" s="27">
        <f ca="1">OFFSET($B440,1*(ROWS(C$2:C440)-1),0)</f>
        <v>0</v>
      </c>
      <c r="D440" s="26">
        <f>Ft!B$3*EXP(Ft!B$38*($A440-Ft!B$2)^2) +Ft!C$3*EXP(Ft!C$38*($A440-Ft!C$2)^2) + Ft!D$3*EXP(Ft!D$38*($A440-Ft!D$2)^2)+Ft!E$3*EXP(Ft!E$38*($A440-Ft!E$2)^2) +Ft!F$3*EXP(Ft!F$38*($A440-Ft!F$2)^2) + Ft!G$3*EXP(Ft!G$38*($A440-Ft!G$2)^2)</f>
        <v>19.013918375976278</v>
      </c>
      <c r="E440" s="26">
        <f>Ft!B$3*EXP(Ft!B$38*($A440-Ft!B$2)^2)</f>
        <v>3.1555330676145594E-84</v>
      </c>
      <c r="F440" s="26">
        <f>Ft!C$3*EXP(Ft!C$38*($A440-Ft!C$2)^2)</f>
        <v>9.6974222242720565E-3</v>
      </c>
      <c r="G440" s="26">
        <f>Ft!D$3*EXP(Ft!D$38*($A440-Ft!D$2)^2)</f>
        <v>17.703991024132002</v>
      </c>
      <c r="H440" s="26">
        <f>Ft!E$3*EXP(Ft!E$38*($A440-Ft!E$2)^2)</f>
        <v>1.3002299296200048</v>
      </c>
      <c r="I440" s="26">
        <f>Ft!F$3*EXP(Ft!F$38*($A440-Ft!F$2)^2)</f>
        <v>2.6318427674508757E-66</v>
      </c>
      <c r="J440" s="26">
        <f>Ft!G$3*EXP(Ft!G$38*($A440-Ft!G$2)^2)</f>
        <v>0</v>
      </c>
    </row>
    <row r="441" spans="1:10">
      <c r="A441" s="19">
        <v>439</v>
      </c>
      <c r="B441" s="28">
        <v>38.085836049303254</v>
      </c>
      <c r="C441" s="27">
        <f ca="1">OFFSET($B441,1*(ROWS(C$2:C441)-1),0)</f>
        <v>0</v>
      </c>
      <c r="D441" s="26">
        <f>Ft!B$3*EXP(Ft!B$38*($A441-Ft!B$2)^2) +Ft!C$3*EXP(Ft!C$38*($A441-Ft!C$2)^2) + Ft!D$3*EXP(Ft!D$38*($A441-Ft!D$2)^2)+Ft!E$3*EXP(Ft!E$38*($A441-Ft!E$2)^2) +Ft!F$3*EXP(Ft!F$38*($A441-Ft!F$2)^2) + Ft!G$3*EXP(Ft!G$38*($A441-Ft!G$2)^2)</f>
        <v>19.030638436199808</v>
      </c>
      <c r="E441" s="26">
        <f>Ft!B$3*EXP(Ft!B$38*($A441-Ft!B$2)^2)</f>
        <v>1.1760765846259142E-84</v>
      </c>
      <c r="F441" s="26">
        <f>Ft!C$3*EXP(Ft!C$38*($A441-Ft!C$2)^2)</f>
        <v>9.2580053141319788E-3</v>
      </c>
      <c r="G441" s="26">
        <f>Ft!D$3*EXP(Ft!D$38*($A441-Ft!D$2)^2)</f>
        <v>17.703637021263884</v>
      </c>
      <c r="H441" s="26">
        <f>Ft!E$3*EXP(Ft!E$38*($A441-Ft!E$2)^2)</f>
        <v>1.3177434096217941</v>
      </c>
      <c r="I441" s="26">
        <f>Ft!F$3*EXP(Ft!F$38*($A441-Ft!F$2)^2)</f>
        <v>4.4045366288608678E-66</v>
      </c>
      <c r="J441" s="26">
        <f>Ft!G$3*EXP(Ft!G$38*($A441-Ft!G$2)^2)</f>
        <v>0</v>
      </c>
    </row>
    <row r="442" spans="1:10">
      <c r="A442" s="19">
        <v>440</v>
      </c>
      <c r="B442" s="28">
        <v>37.875318610909375</v>
      </c>
      <c r="C442" s="27">
        <f ca="1">OFFSET($B442,1*(ROWS(C$2:C442)-1),0)</f>
        <v>0</v>
      </c>
      <c r="D442" s="26">
        <f>Ft!B$3*EXP(Ft!B$38*($A442-Ft!B$2)^2) +Ft!C$3*EXP(Ft!C$38*($A442-Ft!C$2)^2) + Ft!D$3*EXP(Ft!D$38*($A442-Ft!D$2)^2)+Ft!E$3*EXP(Ft!E$38*($A442-Ft!E$2)^2) +Ft!F$3*EXP(Ft!F$38*($A442-Ft!F$2)^2) + Ft!G$3*EXP(Ft!G$38*($A442-Ft!G$2)^2)</f>
        <v>19.046812641800805</v>
      </c>
      <c r="E442" s="26">
        <f>Ft!B$3*EXP(Ft!B$38*($A442-Ft!B$2)^2)</f>
        <v>4.3722767684651262E-85</v>
      </c>
      <c r="F442" s="26">
        <f>Ft!C$3*EXP(Ft!C$38*($A442-Ft!C$2)^2)</f>
        <v>8.8371259280989566E-3</v>
      </c>
      <c r="G442" s="26">
        <f>Ft!D$3*EXP(Ft!D$38*($A442-Ft!D$2)^2)</f>
        <v>17.702530055128669</v>
      </c>
      <c r="H442" s="26">
        <f>Ft!E$3*EXP(Ft!E$38*($A442-Ft!E$2)^2)</f>
        <v>1.3354454607440371</v>
      </c>
      <c r="I442" s="26">
        <f>Ft!F$3*EXP(Ft!F$38*($A442-Ft!F$2)^2)</f>
        <v>7.3648398514862022E-66</v>
      </c>
      <c r="J442" s="26">
        <f>Ft!G$3*EXP(Ft!G$38*($A442-Ft!G$2)^2)</f>
        <v>0</v>
      </c>
    </row>
    <row r="443" spans="1:10">
      <c r="A443" s="19">
        <v>441</v>
      </c>
      <c r="B443" s="28">
        <v>37.654357924567137</v>
      </c>
      <c r="C443" s="27">
        <f ca="1">OFFSET($B443,1*(ROWS(C$2:C443)-1),0)</f>
        <v>0</v>
      </c>
      <c r="D443" s="26">
        <f>Ft!B$3*EXP(Ft!B$38*($A443-Ft!B$2)^2) +Ft!C$3*EXP(Ft!C$38*($A443-Ft!C$2)^2) + Ft!D$3*EXP(Ft!D$38*($A443-Ft!D$2)^2)+Ft!E$3*EXP(Ft!E$38*($A443-Ft!E$2)^2) +Ft!F$3*EXP(Ft!F$38*($A443-Ft!F$2)^2) + Ft!G$3*EXP(Ft!G$38*($A443-Ft!G$2)^2)</f>
        <v>19.062441689250882</v>
      </c>
      <c r="E443" s="26">
        <f>Ft!B$3*EXP(Ft!B$38*($A443-Ft!B$2)^2)</f>
        <v>1.6213951196311183E-85</v>
      </c>
      <c r="F443" s="26">
        <f>Ft!C$3*EXP(Ft!C$38*($A443-Ft!C$2)^2)</f>
        <v>8.434069180536706E-3</v>
      </c>
      <c r="G443" s="26">
        <f>Ft!D$3*EXP(Ft!D$38*($A443-Ft!D$2)^2)</f>
        <v>17.700670266969169</v>
      </c>
      <c r="H443" s="26">
        <f>Ft!E$3*EXP(Ft!E$38*($A443-Ft!E$2)^2)</f>
        <v>1.3533373531011752</v>
      </c>
      <c r="I443" s="26">
        <f>Ft!F$3*EXP(Ft!F$38*($A443-Ft!F$2)^2)</f>
        <v>1.2304081086357693E-65</v>
      </c>
      <c r="J443" s="26">
        <f>Ft!G$3*EXP(Ft!G$38*($A443-Ft!G$2)^2)</f>
        <v>0</v>
      </c>
    </row>
    <row r="444" spans="1:10">
      <c r="A444" s="19">
        <v>442</v>
      </c>
      <c r="B444" s="28">
        <v>37.433789607017843</v>
      </c>
      <c r="C444" s="27">
        <f ca="1">OFFSET($B444,1*(ROWS(C$2:C444)-1),0)</f>
        <v>0</v>
      </c>
      <c r="D444" s="26">
        <f>Ft!B$3*EXP(Ft!B$38*($A444-Ft!B$2)^2) +Ft!C$3*EXP(Ft!C$38*($A444-Ft!C$2)^2) + Ft!D$3*EXP(Ft!D$38*($A444-Ft!D$2)^2)+Ft!E$3*EXP(Ft!E$38*($A444-Ft!E$2)^2) +Ft!F$3*EXP(Ft!F$38*($A444-Ft!F$2)^2) + Ft!G$3*EXP(Ft!G$38*($A444-Ft!G$2)^2)</f>
        <v>19.077526392218008</v>
      </c>
      <c r="E444" s="26">
        <f>Ft!B$3*EXP(Ft!B$38*($A444-Ft!B$2)^2)</f>
        <v>5.9976242222785134E-86</v>
      </c>
      <c r="F444" s="26">
        <f>Ft!C$3*EXP(Ft!C$38*($A444-Ft!C$2)^2)</f>
        <v>8.0481446179732664E-3</v>
      </c>
      <c r="G444" s="26">
        <f>Ft!D$3*EXP(Ft!D$38*($A444-Ft!D$2)^2)</f>
        <v>17.698057894070899</v>
      </c>
      <c r="H444" s="26">
        <f>Ft!E$3*EXP(Ft!E$38*($A444-Ft!E$2)^2)</f>
        <v>1.3714203535291341</v>
      </c>
      <c r="I444" s="26">
        <f>Ft!F$3*EXP(Ft!F$38*($A444-Ft!F$2)^2)</f>
        <v>2.053798616816416E-65</v>
      </c>
      <c r="J444" s="26">
        <f>Ft!G$3*EXP(Ft!G$38*($A444-Ft!G$2)^2)</f>
        <v>0</v>
      </c>
    </row>
    <row r="445" spans="1:10">
      <c r="A445" s="19">
        <v>443</v>
      </c>
      <c r="B445" s="28">
        <v>37.208061937231861</v>
      </c>
      <c r="C445" s="27">
        <f ca="1">OFFSET($B445,1*(ROWS(C$2:C445)-1),0)</f>
        <v>0</v>
      </c>
      <c r="D445" s="26">
        <f>Ft!B$3*EXP(Ft!B$38*($A445-Ft!B$2)^2) +Ft!C$3*EXP(Ft!C$38*($A445-Ft!C$2)^2) + Ft!D$3*EXP(Ft!D$38*($A445-Ft!D$2)^2)+Ft!E$3*EXP(Ft!E$38*($A445-Ft!E$2)^2) +Ft!F$3*EXP(Ft!F$38*($A445-Ft!F$2)^2) + Ft!G$3*EXP(Ft!G$38*($A445-Ft!G$2)^2)</f>
        <v>19.092067680596411</v>
      </c>
      <c r="E445" s="26">
        <f>Ft!B$3*EXP(Ft!B$38*($A445-Ft!B$2)^2)</f>
        <v>2.2129867636951065E-86</v>
      </c>
      <c r="F445" s="26">
        <f>Ft!C$3*EXP(Ft!C$38*($A445-Ft!C$2)^2)</f>
        <v>7.6786855241754593E-3</v>
      </c>
      <c r="G445" s="26">
        <f>Ft!D$3*EXP(Ft!D$38*($A445-Ft!D$2)^2)</f>
        <v>17.694693269711614</v>
      </c>
      <c r="H445" s="26">
        <f>Ft!E$3*EXP(Ft!E$38*($A445-Ft!E$2)^2)</f>
        <v>1.3896957253606212</v>
      </c>
      <c r="I445" s="26">
        <f>Ft!F$3*EXP(Ft!F$38*($A445-Ft!F$2)^2)</f>
        <v>3.4252267335283335E-65</v>
      </c>
      <c r="J445" s="26">
        <f>Ft!G$3*EXP(Ft!G$38*($A445-Ft!G$2)^2)</f>
        <v>0</v>
      </c>
    </row>
    <row r="446" spans="1:10">
      <c r="A446" s="19">
        <v>444</v>
      </c>
      <c r="B446" s="28">
        <v>36.952033647619999</v>
      </c>
      <c r="C446" s="27">
        <f ca="1">OFFSET($B446,1*(ROWS(C$2:C446)-1),0)</f>
        <v>0</v>
      </c>
      <c r="D446" s="26">
        <f>Ft!B$3*EXP(Ft!B$38*($A446-Ft!B$2)^2) +Ft!C$3*EXP(Ft!C$38*($A446-Ft!C$2)^2) + Ft!D$3*EXP(Ft!D$38*($A446-Ft!D$2)^2)+Ft!E$3*EXP(Ft!E$38*($A446-Ft!E$2)^2) +Ft!F$3*EXP(Ft!F$38*($A446-Ft!F$2)^2) + Ft!G$3*EXP(Ft!G$38*($A446-Ft!G$2)^2)</f>
        <v>19.106066599527459</v>
      </c>
      <c r="E446" s="26">
        <f>Ft!B$3*EXP(Ft!B$38*($A446-Ft!B$2)^2)</f>
        <v>8.1449337294832593E-87</v>
      </c>
      <c r="F446" s="26">
        <f>Ft!C$3*EXP(Ft!C$38*($A446-Ft!C$2)^2)</f>
        <v>7.3250482389476523E-3</v>
      </c>
      <c r="G446" s="26">
        <f>Ft!D$3*EXP(Ft!D$38*($A446-Ft!D$2)^2)</f>
        <v>17.690576823090463</v>
      </c>
      <c r="H446" s="26">
        <f>Ft!E$3*EXP(Ft!E$38*($A446-Ft!E$2)^2)</f>
        <v>1.4081647281980483</v>
      </c>
      <c r="I446" s="26">
        <f>Ft!F$3*EXP(Ft!F$38*($A446-Ft!F$2)^2)</f>
        <v>5.7074693561151116E-65</v>
      </c>
      <c r="J446" s="26">
        <f>Ft!G$3*EXP(Ft!G$38*($A446-Ft!G$2)^2)</f>
        <v>0</v>
      </c>
    </row>
    <row r="447" spans="1:10">
      <c r="A447" s="19">
        <v>445</v>
      </c>
      <c r="B447" s="28">
        <v>36.70489862613266</v>
      </c>
      <c r="C447" s="27">
        <f ca="1">OFFSET($B447,1*(ROWS(C$2:C447)-1),0)</f>
        <v>0</v>
      </c>
      <c r="D447" s="26">
        <f>Ft!B$3*EXP(Ft!B$38*($A447-Ft!B$2)^2) +Ft!C$3*EXP(Ft!C$38*($A447-Ft!C$2)^2) + Ft!D$3*EXP(Ft!D$38*($A447-Ft!D$2)^2)+Ft!E$3*EXP(Ft!E$38*($A447-Ft!E$2)^2) +Ft!F$3*EXP(Ft!F$38*($A447-Ft!F$2)^2) + Ft!G$3*EXP(Ft!G$38*($A447-Ft!G$2)^2)</f>
        <v>19.119524308411457</v>
      </c>
      <c r="E447" s="26">
        <f>Ft!B$3*EXP(Ft!B$38*($A447-Ft!B$2)^2)</f>
        <v>2.9902360154751833E-87</v>
      </c>
      <c r="F447" s="26">
        <f>Ft!C$3*EXP(Ft!C$38*($A447-Ft!C$2)^2)</f>
        <v>6.986611490647724E-3</v>
      </c>
      <c r="G447" s="26">
        <f>Ft!D$3*EXP(Ft!D$38*($A447-Ft!D$2)^2)</f>
        <v>17.685709079236727</v>
      </c>
      <c r="H447" s="26">
        <f>Ft!E$3*EXP(Ft!E$38*($A447-Ft!E$2)^2)</f>
        <v>1.4268286176840845</v>
      </c>
      <c r="I447" s="26">
        <f>Ft!F$3*EXP(Ft!F$38*($A447-Ft!F$2)^2)</f>
        <v>9.5021229881940186E-65</v>
      </c>
      <c r="J447" s="26">
        <f>Ft!G$3*EXP(Ft!G$38*($A447-Ft!G$2)^2)</f>
        <v>0</v>
      </c>
    </row>
    <row r="448" spans="1:10">
      <c r="A448" s="19">
        <v>446</v>
      </c>
      <c r="B448" s="28">
        <v>36.457009445204164</v>
      </c>
      <c r="C448" s="27">
        <f ca="1">OFFSET($B448,1*(ROWS(C$2:C448)-1),0)</f>
        <v>0</v>
      </c>
      <c r="D448" s="26">
        <f>Ft!B$3*EXP(Ft!B$38*($A448-Ft!B$2)^2) +Ft!C$3*EXP(Ft!C$38*($A448-Ft!C$2)^2) + Ft!D$3*EXP(Ft!D$38*($A448-Ft!D$2)^2)+Ft!E$3*EXP(Ft!E$38*($A448-Ft!E$2)^2) +Ft!F$3*EXP(Ft!F$38*($A448-Ft!F$2)^2) + Ft!G$3*EXP(Ft!G$38*($A448-Ft!G$2)^2)</f>
        <v>19.132442079910479</v>
      </c>
      <c r="E448" s="26">
        <f>Ft!B$3*EXP(Ft!B$38*($A448-Ft!B$2)^2)</f>
        <v>1.0950464840342374E-87</v>
      </c>
      <c r="F448" s="26">
        <f>Ft!C$3*EXP(Ft!C$38*($A448-Ft!C$2)^2)</f>
        <v>6.6627757423982879E-3</v>
      </c>
      <c r="G448" s="26">
        <f>Ft!D$3*EXP(Ft!D$38*($A448-Ft!D$2)^2)</f>
        <v>17.680090658898216</v>
      </c>
      <c r="H448" s="26">
        <f>Ft!E$3*EXP(Ft!E$38*($A448-Ft!E$2)^2)</f>
        <v>1.4456886452698638</v>
      </c>
      <c r="I448" s="26">
        <f>Ft!F$3*EXP(Ft!F$38*($A448-Ft!F$2)^2)</f>
        <v>1.5805946283405663E-64</v>
      </c>
      <c r="J448" s="26">
        <f>Ft!G$3*EXP(Ft!G$38*($A448-Ft!G$2)^2)</f>
        <v>0</v>
      </c>
    </row>
    <row r="449" spans="1:10">
      <c r="A449" s="19">
        <v>447</v>
      </c>
      <c r="B449" s="28">
        <v>36.209644163614371</v>
      </c>
      <c r="C449" s="27">
        <f ca="1">OFFSET($B449,1*(ROWS(C$2:C449)-1),0)</f>
        <v>0</v>
      </c>
      <c r="D449" s="26">
        <f>Ft!B$3*EXP(Ft!B$38*($A449-Ft!B$2)^2) +Ft!C$3*EXP(Ft!C$38*($A449-Ft!C$2)^2) + Ft!D$3*EXP(Ft!D$38*($A449-Ft!D$2)^2)+Ft!E$3*EXP(Ft!E$38*($A449-Ft!E$2)^2) +Ft!F$3*EXP(Ft!F$38*($A449-Ft!F$2)^2) + Ft!G$3*EXP(Ft!G$38*($A449-Ft!G$2)^2)</f>
        <v>19.144821298942169</v>
      </c>
      <c r="E449" s="26">
        <f>Ft!B$3*EXP(Ft!B$38*($A449-Ft!B$2)^2)</f>
        <v>4.0000812827684579E-88</v>
      </c>
      <c r="F449" s="26">
        <f>Ft!C$3*EXP(Ft!C$38*($A449-Ft!C$2)^2)</f>
        <v>6.3529625519581391E-3</v>
      </c>
      <c r="G449" s="26">
        <f>Ft!D$3*EXP(Ft!D$38*($A449-Ft!D$2)^2)</f>
        <v>17.673722278409347</v>
      </c>
      <c r="H449" s="26">
        <f>Ft!E$3*EXP(Ft!E$38*($A449-Ft!E$2)^2)</f>
        <v>1.4647460579808655</v>
      </c>
      <c r="I449" s="26">
        <f>Ft!F$3*EXP(Ft!F$38*($A449-Ft!F$2)^2)</f>
        <v>2.626897646872333E-64</v>
      </c>
      <c r="J449" s="26">
        <f>Ft!G$3*EXP(Ft!G$38*($A449-Ft!G$2)^2)</f>
        <v>0</v>
      </c>
    </row>
    <row r="450" spans="1:10">
      <c r="A450" s="19">
        <v>448</v>
      </c>
      <c r="B450" s="28">
        <v>35.958586007026895</v>
      </c>
      <c r="C450" s="27">
        <f ca="1">OFFSET($B450,1*(ROWS(C$2:C450)-1),0)</f>
        <v>0</v>
      </c>
      <c r="D450" s="26">
        <f>Ft!B$3*EXP(Ft!B$38*($A450-Ft!B$2)^2) +Ft!C$3*EXP(Ft!C$38*($A450-Ft!C$2)^2) + Ft!D$3*EXP(Ft!D$38*($A450-Ft!D$2)^2)+Ft!E$3*EXP(Ft!E$38*($A450-Ft!E$2)^2) +Ft!F$3*EXP(Ft!F$38*($A450-Ft!F$2)^2) + Ft!G$3*EXP(Ft!G$38*($A450-Ft!G$2)^2)</f>
        <v>19.1566634616646</v>
      </c>
      <c r="E450" s="26">
        <f>Ft!B$3*EXP(Ft!B$38*($A450-Ft!B$2)^2)</f>
        <v>1.4575190907430876E-88</v>
      </c>
      <c r="F450" s="26">
        <f>Ft!C$3*EXP(Ft!C$38*($A450-Ft!C$2)^2)</f>
        <v>6.0566139452056843E-3</v>
      </c>
      <c r="G450" s="26">
        <f>Ft!D$3*EXP(Ft!D$38*($A450-Ft!D$2)^2)</f>
        <v>17.666604749538912</v>
      </c>
      <c r="H450" s="26">
        <f>Ft!E$3*EXP(Ft!E$38*($A450-Ft!E$2)^2)</f>
        <v>1.484002098180482</v>
      </c>
      <c r="I450" s="26">
        <f>Ft!F$3*EXP(Ft!F$38*($A450-Ft!F$2)^2)</f>
        <v>4.3620294842840755E-64</v>
      </c>
      <c r="J450" s="26">
        <f>Ft!G$3*EXP(Ft!G$38*($A450-Ft!G$2)^2)</f>
        <v>0</v>
      </c>
    </row>
    <row r="451" spans="1:10">
      <c r="A451" s="19">
        <v>449</v>
      </c>
      <c r="B451" s="28">
        <v>35.688521595447867</v>
      </c>
      <c r="C451" s="27">
        <f ca="1">OFFSET($B451,1*(ROWS(C$2:C451)-1),0)</f>
        <v>0</v>
      </c>
      <c r="D451" s="26">
        <f>Ft!B$3*EXP(Ft!B$38*($A451-Ft!B$2)^2) +Ft!C$3*EXP(Ft!C$38*($A451-Ft!C$2)^2) + Ft!D$3*EXP(Ft!D$38*($A451-Ft!D$2)^2)+Ft!E$3*EXP(Ft!E$38*($A451-Ft!E$2)^2) +Ft!F$3*EXP(Ft!F$38*($A451-Ft!F$2)^2) + Ft!G$3*EXP(Ft!G$38*($A451-Ft!G$2)^2)</f>
        <v>19.167970174452115</v>
      </c>
      <c r="E451" s="26">
        <f>Ft!B$3*EXP(Ft!B$38*($A451-Ft!B$2)^2)</f>
        <v>5.2974743382387938E-89</v>
      </c>
      <c r="F451" s="26">
        <f>Ft!C$3*EXP(Ft!C$38*($A451-Ft!C$2)^2)</f>
        <v>5.7731918031741093E-3</v>
      </c>
      <c r="G451" s="26">
        <f>Ft!D$3*EXP(Ft!D$38*($A451-Ft!D$2)^2)</f>
        <v>17.65873897931764</v>
      </c>
      <c r="H451" s="26">
        <f>Ft!E$3*EXP(Ft!E$38*($A451-Ft!E$2)^2)</f>
        <v>1.503458003331299</v>
      </c>
      <c r="I451" s="26">
        <f>Ft!F$3*EXP(Ft!F$38*($A451-Ft!F$2)^2)</f>
        <v>7.2369710870734768E-64</v>
      </c>
      <c r="J451" s="26">
        <f>Ft!G$3*EXP(Ft!G$38*($A451-Ft!G$2)^2)</f>
        <v>0</v>
      </c>
    </row>
    <row r="452" spans="1:10">
      <c r="A452" s="19">
        <v>450</v>
      </c>
      <c r="B452" s="28">
        <v>35.429958249440546</v>
      </c>
      <c r="C452" s="27">
        <f ca="1">OFFSET($B452,1*(ROWS(C$2:C452)-1),0)</f>
        <v>0</v>
      </c>
      <c r="D452" s="26">
        <f>Ft!B$3*EXP(Ft!B$38*($A452-Ft!B$2)^2) +Ft!C$3*EXP(Ft!C$38*($A452-Ft!C$2)^2) + Ft!D$3*EXP(Ft!D$38*($A452-Ft!D$2)^2)+Ft!E$3*EXP(Ft!E$38*($A452-Ft!E$2)^2) +Ft!F$3*EXP(Ft!F$38*($A452-Ft!F$2)^2) + Ft!G$3*EXP(Ft!G$38*($A452-Ft!G$2)^2)</f>
        <v>19.178743152862214</v>
      </c>
      <c r="E452" s="26">
        <f>Ft!B$3*EXP(Ft!B$38*($A452-Ft!B$2)^2)</f>
        <v>1.920581076711712E-89</v>
      </c>
      <c r="F452" s="26">
        <f>Ft!C$3*EXP(Ft!C$38*($A452-Ft!C$2)^2)</f>
        <v>5.5021772625662886E-3</v>
      </c>
      <c r="G452" s="26">
        <f>Ft!D$3*EXP(Ft!D$38*($A452-Ft!D$2)^2)</f>
        <v>17.65012596984554</v>
      </c>
      <c r="H452" s="26">
        <f>Ft!E$3*EXP(Ft!E$38*($A452-Ft!E$2)^2)</f>
        <v>1.5231150057541079</v>
      </c>
      <c r="I452" s="26">
        <f>Ft!F$3*EXP(Ft!F$38*($A452-Ft!F$2)^2)</f>
        <v>1.1996315354070449E-63</v>
      </c>
      <c r="J452" s="26">
        <f>Ft!G$3*EXP(Ft!G$38*($A452-Ft!G$2)^2)</f>
        <v>0</v>
      </c>
    </row>
    <row r="453" spans="1:10">
      <c r="A453" s="19">
        <v>451</v>
      </c>
      <c r="B453" s="28">
        <v>35.182773487685211</v>
      </c>
      <c r="C453" s="27">
        <f ca="1">OFFSET($B453,1*(ROWS(C$2:C453)-1),0)</f>
        <v>0</v>
      </c>
      <c r="D453" s="26">
        <f>Ft!B$3*EXP(Ft!B$38*($A453-Ft!B$2)^2) +Ft!C$3*EXP(Ft!C$38*($A453-Ft!C$2)^2) + Ft!D$3*EXP(Ft!D$38*($A453-Ft!D$2)^2)+Ft!E$3*EXP(Ft!E$38*($A453-Ft!E$2)^2) +Ft!F$3*EXP(Ft!F$38*($A453-Ft!F$2)^2) + Ft!G$3*EXP(Ft!G$38*($A453-Ft!G$2)^2)</f>
        <v>19.188984220593465</v>
      </c>
      <c r="E453" s="26">
        <f>Ft!B$3*EXP(Ft!B$38*($A453-Ft!B$2)^2)</f>
        <v>6.9455333914229171E-90</v>
      </c>
      <c r="F453" s="26">
        <f>Ft!C$3*EXP(Ft!C$38*($A453-Ft!C$2)^2)</f>
        <v>5.2430701296664901E-3</v>
      </c>
      <c r="G453" s="26">
        <f>Ft!D$3*EXP(Ft!D$38*($A453-Ft!D$2)^2)</f>
        <v>17.640766818079129</v>
      </c>
      <c r="H453" s="26">
        <f>Ft!E$3*EXP(Ft!E$38*($A453-Ft!E$2)^2)</f>
        <v>1.5429743323846707</v>
      </c>
      <c r="I453" s="26">
        <f>Ft!F$3*EXP(Ft!F$38*($A453-Ft!F$2)^2)</f>
        <v>1.9868345589456179E-63</v>
      </c>
      <c r="J453" s="26">
        <f>Ft!G$3*EXP(Ft!G$38*($A453-Ft!G$2)^2)</f>
        <v>0</v>
      </c>
    </row>
    <row r="454" spans="1:10">
      <c r="A454" s="19">
        <v>452</v>
      </c>
      <c r="B454" s="28">
        <v>34.94002472427627</v>
      </c>
      <c r="C454" s="27">
        <f ca="1">OFFSET($B454,1*(ROWS(C$2:C454)-1),0)</f>
        <v>0</v>
      </c>
      <c r="D454" s="26">
        <f>Ft!B$3*EXP(Ft!B$38*($A454-Ft!B$2)^2) +Ft!C$3*EXP(Ft!C$38*($A454-Ft!C$2)^2) + Ft!D$3*EXP(Ft!D$38*($A454-Ft!D$2)^2)+Ft!E$3*EXP(Ft!E$38*($A454-Ft!E$2)^2) +Ft!F$3*EXP(Ft!F$38*($A454-Ft!F$2)^2) + Ft!G$3*EXP(Ft!G$38*($A454-Ft!G$2)^2)</f>
        <v>19.198695308434402</v>
      </c>
      <c r="E454" s="26">
        <f>Ft!B$3*EXP(Ft!B$38*($A454-Ft!B$2)^2)</f>
        <v>2.505461513137457E-90</v>
      </c>
      <c r="F454" s="26">
        <f>Ft!C$3*EXP(Ft!C$38*($A454-Ft!C$2)^2)</f>
        <v>4.995388307555736E-3</v>
      </c>
      <c r="G454" s="26">
        <f>Ft!D$3*EXP(Ft!D$38*($A454-Ft!D$2)^2)</f>
        <v>17.630662715598586</v>
      </c>
      <c r="H454" s="26">
        <f>Ft!E$3*EXP(Ft!E$38*($A454-Ft!E$2)^2)</f>
        <v>1.5630372045282608</v>
      </c>
      <c r="I454" s="26">
        <f>Ft!F$3*EXP(Ft!F$38*($A454-Ft!F$2)^2)</f>
        <v>3.2877465648466812E-63</v>
      </c>
      <c r="J454" s="26">
        <f>Ft!G$3*EXP(Ft!G$38*($A454-Ft!G$2)^2)</f>
        <v>0</v>
      </c>
    </row>
    <row r="455" spans="1:10">
      <c r="A455" s="19">
        <v>453</v>
      </c>
      <c r="B455" s="28">
        <v>34.690500171997058</v>
      </c>
      <c r="C455" s="27">
        <f ca="1">OFFSET($B455,1*(ROWS(C$2:C455)-1),0)</f>
        <v>0</v>
      </c>
      <c r="D455" s="26">
        <f>Ft!B$3*EXP(Ft!B$38*($A455-Ft!B$2)^2) +Ft!C$3*EXP(Ft!C$38*($A455-Ft!C$2)^2) + Ft!D$3*EXP(Ft!D$38*($A455-Ft!D$2)^2)+Ft!E$3*EXP(Ft!E$38*($A455-Ft!E$2)^2) +Ft!F$3*EXP(Ft!F$38*($A455-Ft!F$2)^2) + Ft!G$3*EXP(Ft!G$38*($A455-Ft!G$2)^2)</f>
        <v>19.207878453203438</v>
      </c>
      <c r="E455" s="26">
        <f>Ft!B$3*EXP(Ft!B$38*($A455-Ft!B$2)^2)</f>
        <v>9.0152763168539309E-91</v>
      </c>
      <c r="F455" s="26">
        <f>Ft!C$3*EXP(Ft!C$38*($A455-Ft!C$2)^2)</f>
        <v>4.7586672365276363E-3</v>
      </c>
      <c r="G455" s="26">
        <f>Ft!D$3*EXP(Ft!D$38*($A455-Ft!D$2)^2)</f>
        <v>17.619814948354911</v>
      </c>
      <c r="H455" s="26">
        <f>Ft!E$3*EXP(Ft!E$38*($A455-Ft!E$2)^2)</f>
        <v>1.5833048376120016</v>
      </c>
      <c r="I455" s="26">
        <f>Ft!F$3*EXP(Ft!F$38*($A455-Ft!F$2)^2)</f>
        <v>5.4357284819426122E-63</v>
      </c>
      <c r="J455" s="26">
        <f>Ft!G$3*EXP(Ft!G$38*($A455-Ft!G$2)^2)</f>
        <v>0</v>
      </c>
    </row>
    <row r="456" spans="1:10">
      <c r="A456" s="19">
        <v>454</v>
      </c>
      <c r="B456" s="28">
        <v>34.47027656864438</v>
      </c>
      <c r="C456" s="27">
        <f ca="1">OFFSET($B456,1*(ROWS(C$2:C456)-1),0)</f>
        <v>0</v>
      </c>
      <c r="D456" s="26">
        <f>Ft!B$3*EXP(Ft!B$38*($A456-Ft!B$2)^2) +Ft!C$3*EXP(Ft!C$38*($A456-Ft!C$2)^2) + Ft!D$3*EXP(Ft!D$38*($A456-Ft!D$2)^2)+Ft!E$3*EXP(Ft!E$38*($A456-Ft!E$2)^2) +Ft!F$3*EXP(Ft!F$38*($A456-Ft!F$2)^2) + Ft!G$3*EXP(Ft!G$38*($A456-Ft!G$2)^2)</f>
        <v>19.216535796679779</v>
      </c>
      <c r="E456" s="26">
        <f>Ft!B$3*EXP(Ft!B$38*($A456-Ft!B$2)^2)</f>
        <v>3.235783998281222E-91</v>
      </c>
      <c r="F456" s="26">
        <f>Ft!C$3*EXP(Ft!C$38*($A456-Ft!C$2)^2)</f>
        <v>4.532459347592617E-3</v>
      </c>
      <c r="G456" s="26">
        <f>Ft!D$3*EXP(Ft!D$38*($A456-Ft!D$2)^2)</f>
        <v>17.608224896397154</v>
      </c>
      <c r="H456" s="26">
        <f>Ft!E$3*EXP(Ft!E$38*($A456-Ft!E$2)^2)</f>
        <v>1.6037784409350309</v>
      </c>
      <c r="I456" s="26">
        <f>Ft!F$3*EXP(Ft!F$38*($A456-Ft!F$2)^2)</f>
        <v>8.9792481411657211E-63</v>
      </c>
      <c r="J456" s="26">
        <f>Ft!G$3*EXP(Ft!G$38*($A456-Ft!G$2)^2)</f>
        <v>0</v>
      </c>
    </row>
    <row r="457" spans="1:10">
      <c r="A457" s="19">
        <v>455</v>
      </c>
      <c r="B457" s="28">
        <v>34.25250340844039</v>
      </c>
      <c r="C457" s="27">
        <f ca="1">OFFSET($B457,1*(ROWS(C$2:C457)-1),0)</f>
        <v>0</v>
      </c>
      <c r="D457" s="26">
        <f>Ft!B$3*EXP(Ft!B$38*($A457-Ft!B$2)^2) +Ft!C$3*EXP(Ft!C$38*($A457-Ft!C$2)^2) + Ft!D$3*EXP(Ft!D$38*($A457-Ft!D$2)^2)+Ft!E$3*EXP(Ft!E$38*($A457-Ft!E$2)^2) +Ft!F$3*EXP(Ft!F$38*($A457-Ft!F$2)^2) + Ft!G$3*EXP(Ft!G$38*($A457-Ft!G$2)^2)</f>
        <v>19.224669584525284</v>
      </c>
      <c r="E457" s="26">
        <f>Ft!B$3*EXP(Ft!B$38*($A457-Ft!B$2)^2)</f>
        <v>1.1584817000436713E-91</v>
      </c>
      <c r="F457" s="26">
        <f>Ft!C$3*EXP(Ft!C$38*($A457-Ft!C$2)^2)</f>
        <v>4.3163335289496483E-3</v>
      </c>
      <c r="G457" s="26">
        <f>Ft!D$3*EXP(Ft!D$38*($A457-Ft!D$2)^2)</f>
        <v>17.595894033579814</v>
      </c>
      <c r="H457" s="26">
        <f>Ft!E$3*EXP(Ft!E$38*($A457-Ft!E$2)^2)</f>
        <v>1.6244592174165176</v>
      </c>
      <c r="I457" s="26">
        <f>Ft!F$3*EXP(Ft!F$38*($A457-Ft!F$2)^2)</f>
        <v>1.4819890235452435E-62</v>
      </c>
      <c r="J457" s="26">
        <f>Ft!G$3*EXP(Ft!G$38*($A457-Ft!G$2)^2)</f>
        <v>0</v>
      </c>
    </row>
    <row r="458" spans="1:10">
      <c r="A458" s="19">
        <v>456</v>
      </c>
      <c r="B458" s="28">
        <v>34.034167147488688</v>
      </c>
      <c r="C458" s="27">
        <f ca="1">OFFSET($B458,1*(ROWS(C$2:C458)-1),0)</f>
        <v>0</v>
      </c>
      <c r="D458" s="26">
        <f>Ft!B$3*EXP(Ft!B$38*($A458-Ft!B$2)^2) +Ft!C$3*EXP(Ft!C$38*($A458-Ft!C$2)^2) + Ft!D$3*EXP(Ft!D$38*($A458-Ft!D$2)^2)+Ft!E$3*EXP(Ft!E$38*($A458-Ft!E$2)^2) +Ft!F$3*EXP(Ft!F$38*($A458-Ft!F$2)^2) + Ft!G$3*EXP(Ft!G$38*($A458-Ft!G$2)^2)</f>
        <v>19.23228216519729</v>
      </c>
      <c r="E458" s="26">
        <f>Ft!B$3*EXP(Ft!B$38*($A458-Ft!B$2)^2)</f>
        <v>4.1372142026099935E-92</v>
      </c>
      <c r="F458" s="26">
        <f>Ft!C$3*EXP(Ft!C$38*($A458-Ft!C$2)^2)</f>
        <v>4.1098746052966664E-3</v>
      </c>
      <c r="G458" s="26">
        <f>Ft!D$3*EXP(Ft!D$38*($A458-Ft!D$2)^2)</f>
        <v>17.582823927250452</v>
      </c>
      <c r="H458" s="26">
        <f>Ft!E$3*EXP(Ft!E$38*($A458-Ft!E$2)^2)</f>
        <v>1.6453483633415398</v>
      </c>
      <c r="I458" s="26">
        <f>Ft!F$3*EXP(Ft!F$38*($A458-Ft!F$2)^2)</f>
        <v>2.4438401528143654E-62</v>
      </c>
      <c r="J458" s="26">
        <f>Ft!G$3*EXP(Ft!G$38*($A458-Ft!G$2)^2)</f>
        <v>0</v>
      </c>
    </row>
    <row r="459" spans="1:10">
      <c r="A459" s="19">
        <v>457</v>
      </c>
      <c r="B459" s="28">
        <v>33.811817205031531</v>
      </c>
      <c r="C459" s="27">
        <f ca="1">OFFSET($B459,1*(ROWS(C$2:C459)-1),0)</f>
        <v>0</v>
      </c>
      <c r="D459" s="26">
        <f>Ft!B$3*EXP(Ft!B$38*($A459-Ft!B$2)^2) +Ft!C$3*EXP(Ft!C$38*($A459-Ft!C$2)^2) + Ft!D$3*EXP(Ft!D$38*($A459-Ft!D$2)^2)+Ft!E$3*EXP(Ft!E$38*($A459-Ft!E$2)^2) +Ft!F$3*EXP(Ft!F$38*($A459-Ft!F$2)^2) + Ft!G$3*EXP(Ft!G$38*($A459-Ft!G$2)^2)</f>
        <v>19.239375988852412</v>
      </c>
      <c r="E459" s="26">
        <f>Ft!B$3*EXP(Ft!B$38*($A459-Ft!B$2)^2)</f>
        <v>1.4737913734895721E-92</v>
      </c>
      <c r="F459" s="26">
        <f>Ft!C$3*EXP(Ft!C$38*($A459-Ft!C$2)^2)</f>
        <v>3.9126828298432894E-3</v>
      </c>
      <c r="G459" s="26">
        <f>Ft!D$3*EXP(Ft!D$38*($A459-Ft!D$2)^2)</f>
        <v>17.569016237917687</v>
      </c>
      <c r="H459" s="26">
        <f>Ft!E$3*EXP(Ft!E$38*($A459-Ft!E$2)^2)</f>
        <v>1.6664470681048837</v>
      </c>
      <c r="I459" s="26">
        <f>Ft!F$3*EXP(Ft!F$38*($A459-Ft!F$2)^2)</f>
        <v>4.0264601071773488E-62</v>
      </c>
      <c r="J459" s="26">
        <f>Ft!G$3*EXP(Ft!G$38*($A459-Ft!G$2)^2)</f>
        <v>0</v>
      </c>
    </row>
    <row r="460" spans="1:10">
      <c r="A460" s="19">
        <v>458</v>
      </c>
      <c r="B460" s="28">
        <v>33.58880136099242</v>
      </c>
      <c r="C460" s="27">
        <f ca="1">OFFSET($B460,1*(ROWS(C$2:C460)-1),0)</f>
        <v>0</v>
      </c>
      <c r="D460" s="26">
        <f>Ft!B$3*EXP(Ft!B$38*($A460-Ft!B$2)^2) +Ft!C$3*EXP(Ft!C$38*($A460-Ft!C$2)^2) + Ft!D$3*EXP(Ft!D$38*($A460-Ft!D$2)^2)+Ft!E$3*EXP(Ft!E$38*($A460-Ft!E$2)^2) +Ft!F$3*EXP(Ft!F$38*($A460-Ft!F$2)^2) + Ft!G$3*EXP(Ft!G$38*($A460-Ft!G$2)^2)</f>
        <v>19.245953606241226</v>
      </c>
      <c r="E460" s="26">
        <f>Ft!B$3*EXP(Ft!B$38*($A460-Ft!B$2)^2)</f>
        <v>5.2368868150791421E-93</v>
      </c>
      <c r="F460" s="26">
        <f>Ft!C$3*EXP(Ft!C$38*($A460-Ft!C$2)^2)</f>
        <v>3.7243733888824306E-3</v>
      </c>
      <c r="G460" s="26">
        <f>Ft!D$3*EXP(Ft!D$38*($A460-Ft!D$2)^2)</f>
        <v>17.554472718899586</v>
      </c>
      <c r="H460" s="26">
        <f>Ft!E$3*EXP(Ft!E$38*($A460-Ft!E$2)^2)</f>
        <v>1.6877565139527582</v>
      </c>
      <c r="I460" s="26">
        <f>Ft!F$3*EXP(Ft!F$38*($A460-Ft!F$2)^2)</f>
        <v>6.6282182565521852E-62</v>
      </c>
      <c r="J460" s="26">
        <f>Ft!G$3*EXP(Ft!G$38*($A460-Ft!G$2)^2)</f>
        <v>0</v>
      </c>
    </row>
    <row r="461" spans="1:10">
      <c r="A461" s="19">
        <v>459</v>
      </c>
      <c r="B461" s="28">
        <v>33.350483856996789</v>
      </c>
      <c r="C461" s="27">
        <f ca="1">OFFSET($B461,1*(ROWS(C$2:C461)-1),0)</f>
        <v>0</v>
      </c>
      <c r="D461" s="26">
        <f>Ft!B$3*EXP(Ft!B$38*($A461-Ft!B$2)^2) +Ft!C$3*EXP(Ft!C$38*($A461-Ft!C$2)^2) + Ft!D$3*EXP(Ft!D$38*($A461-Ft!D$2)^2)+Ft!E$3*EXP(Ft!E$38*($A461-Ft!E$2)^2) +Ft!F$3*EXP(Ft!F$38*($A461-Ft!F$2)^2) + Ft!G$3*EXP(Ft!G$38*($A461-Ft!G$2)^2)</f>
        <v>19.252017667593837</v>
      </c>
      <c r="E461" s="26">
        <f>Ft!B$3*EXP(Ft!B$38*($A461-Ft!B$2)^2)</f>
        <v>1.8561776506060392E-93</v>
      </c>
      <c r="F461" s="26">
        <f>Ft!C$3*EXP(Ft!C$38*($A461-Ft!C$2)^2)</f>
        <v>3.544575918770998E-3</v>
      </c>
      <c r="G461" s="26">
        <f>Ft!D$3*EXP(Ft!D$38*($A461-Ft!D$2)^2)</f>
        <v>17.539195215952599</v>
      </c>
      <c r="H461" s="26">
        <f>Ft!E$3*EXP(Ft!E$38*($A461-Ft!E$2)^2)</f>
        <v>1.7092778757224687</v>
      </c>
      <c r="I461" s="26">
        <f>Ft!F$3*EXP(Ft!F$38*($A461-Ft!F$2)^2)</f>
        <v>1.0901669109533745E-61</v>
      </c>
      <c r="J461" s="26">
        <f>Ft!G$3*EXP(Ft!G$38*($A461-Ft!G$2)^2)</f>
        <v>0</v>
      </c>
    </row>
    <row r="462" spans="1:10">
      <c r="A462" s="19">
        <v>460</v>
      </c>
      <c r="B462" s="28">
        <v>33.120123772505281</v>
      </c>
      <c r="C462" s="27">
        <f ca="1">OFFSET($B462,1*(ROWS(C$2:C462)-1),0)</f>
        <v>0</v>
      </c>
      <c r="D462" s="26">
        <f>Ft!B$3*EXP(Ft!B$38*($A462-Ft!B$2)^2) +Ft!C$3*EXP(Ft!C$38*($A462-Ft!C$2)^2) + Ft!D$3*EXP(Ft!D$38*($A462-Ft!D$2)^2)+Ft!E$3*EXP(Ft!E$38*($A462-Ft!E$2)^2) +Ft!F$3*EXP(Ft!F$38*($A462-Ft!F$2)^2) + Ft!G$3*EXP(Ft!G$38*($A462-Ft!G$2)^2)</f>
        <v>19.257570921496434</v>
      </c>
      <c r="E462" s="26">
        <f>Ft!B$3*EXP(Ft!B$38*($A462-Ft!B$2)^2)</f>
        <v>6.5625868666245114E-94</v>
      </c>
      <c r="F462" s="26">
        <f>Ft!C$3*EXP(Ft!C$38*($A462-Ft!C$2)^2)</f>
        <v>3.3729340351637735E-3</v>
      </c>
      <c r="G462" s="26">
        <f>Ft!D$3*EXP(Ft!D$38*($A462-Ft!D$2)^2)</f>
        <v>17.523185666881183</v>
      </c>
      <c r="H462" s="26">
        <f>Ft!E$3*EXP(Ft!E$38*($A462-Ft!E$2)^2)</f>
        <v>1.7310123205800891</v>
      </c>
      <c r="I462" s="26">
        <f>Ft!F$3*EXP(Ft!F$38*($A462-Ft!F$2)^2)</f>
        <v>1.7914800945259716E-61</v>
      </c>
      <c r="J462" s="26">
        <f>Ft!G$3*EXP(Ft!G$38*($A462-Ft!G$2)^2)</f>
        <v>0</v>
      </c>
    </row>
    <row r="463" spans="1:10">
      <c r="A463" s="19">
        <v>461</v>
      </c>
      <c r="B463" s="28">
        <v>32.89215925409377</v>
      </c>
      <c r="C463" s="27">
        <f ca="1">OFFSET($B463,1*(ROWS(C$2:C463)-1),0)</f>
        <v>0</v>
      </c>
      <c r="D463" s="26">
        <f>Ft!B$3*EXP(Ft!B$38*($A463-Ft!B$2)^2) +Ft!C$3*EXP(Ft!C$38*($A463-Ft!C$2)^2) + Ft!D$3*EXP(Ft!D$38*($A463-Ft!D$2)^2)+Ft!E$3*EXP(Ft!E$38*($A463-Ft!E$2)^2) +Ft!F$3*EXP(Ft!F$38*($A463-Ft!F$2)^2) + Ft!G$3*EXP(Ft!G$38*($A463-Ft!G$2)^2)</f>
        <v>19.262616213758605</v>
      </c>
      <c r="E463" s="26">
        <f>Ft!B$3*EXP(Ft!B$38*($A463-Ft!B$2)^2)</f>
        <v>2.3144071646517265E-94</v>
      </c>
      <c r="F463" s="26">
        <f>Ft!C$3*EXP(Ft!C$38*($A463-Ft!C$2)^2)</f>
        <v>3.2091048743391349E-3</v>
      </c>
      <c r="G463" s="26">
        <f>Ft!D$3*EXP(Ft!D$38*($A463-Ft!D$2)^2)</f>
        <v>17.50644610112813</v>
      </c>
      <c r="H463" s="26">
        <f>Ft!E$3*EXP(Ft!E$38*($A463-Ft!E$2)^2)</f>
        <v>1.7529610077561359</v>
      </c>
      <c r="I463" s="26">
        <f>Ft!F$3*EXP(Ft!F$38*($A463-Ft!F$2)^2)</f>
        <v>2.9413978687375664E-61</v>
      </c>
      <c r="J463" s="26">
        <f>Ft!G$3*EXP(Ft!G$38*($A463-Ft!G$2)^2)</f>
        <v>0</v>
      </c>
    </row>
    <row r="464" spans="1:10">
      <c r="A464" s="19">
        <v>462</v>
      </c>
      <c r="B464" s="28">
        <v>32.658346541734232</v>
      </c>
      <c r="C464" s="27">
        <f ca="1">OFFSET($B464,1*(ROWS(C$2:C464)-1),0)</f>
        <v>0</v>
      </c>
      <c r="D464" s="26">
        <f>Ft!B$3*EXP(Ft!B$38*($A464-Ft!B$2)^2) +Ft!C$3*EXP(Ft!C$38*($A464-Ft!C$2)^2) + Ft!D$3*EXP(Ft!D$38*($A464-Ft!D$2)^2)+Ft!E$3*EXP(Ft!E$38*($A464-Ft!E$2)^2) +Ft!F$3*EXP(Ft!F$38*($A464-Ft!F$2)^2) + Ft!G$3*EXP(Ft!G$38*($A464-Ft!G$2)^2)</f>
        <v>19.267156486271585</v>
      </c>
      <c r="E464" s="26">
        <f>Ft!B$3*EXP(Ft!B$38*($A464-Ft!B$2)^2)</f>
        <v>8.1416726960834518E-95</v>
      </c>
      <c r="F464" s="26">
        <f>Ft!C$3*EXP(Ft!C$38*($A464-Ft!C$2)^2)</f>
        <v>3.0527586464502046E-3</v>
      </c>
      <c r="G464" s="26">
        <f>Ft!D$3*EXP(Ft!D$38*($A464-Ft!D$2)^2)</f>
        <v>17.488978639345827</v>
      </c>
      <c r="H464" s="26">
        <f>Ft!E$3*EXP(Ft!E$38*($A464-Ft!E$2)^2)</f>
        <v>1.7751250882793064</v>
      </c>
      <c r="I464" s="26">
        <f>Ft!F$3*EXP(Ft!F$38*($A464-Ft!F$2)^2)</f>
        <v>4.8252337328313796E-61</v>
      </c>
      <c r="J464" s="26">
        <f>Ft!G$3*EXP(Ft!G$38*($A464-Ft!G$2)^2)</f>
        <v>0</v>
      </c>
    </row>
    <row r="465" spans="1:10">
      <c r="A465" s="19">
        <v>463</v>
      </c>
      <c r="B465" s="28">
        <v>32.396229456150479</v>
      </c>
      <c r="C465" s="27">
        <f ca="1">OFFSET($B465,1*(ROWS(C$2:C465)-1),0)</f>
        <v>0</v>
      </c>
      <c r="D465" s="26">
        <f>Ft!B$3*EXP(Ft!B$38*($A465-Ft!B$2)^2) +Ft!C$3*EXP(Ft!C$38*($A465-Ft!C$2)^2) + Ft!D$3*EXP(Ft!D$38*($A465-Ft!D$2)^2)+Ft!E$3*EXP(Ft!E$38*($A465-Ft!E$2)^2) +Ft!F$3*EXP(Ft!F$38*($A465-Ft!F$2)^2) + Ft!G$3*EXP(Ft!G$38*($A465-Ft!G$2)^2)</f>
        <v>19.271194775857328</v>
      </c>
      <c r="E465" s="26">
        <f>Ft!B$3*EXP(Ft!B$38*($A465-Ft!B$2)^2)</f>
        <v>2.8569108452914596E-95</v>
      </c>
      <c r="F465" s="26">
        <f>Ft!C$3*EXP(Ft!C$38*($A465-Ft!C$2)^2)</f>
        <v>2.9035782005303297E-3</v>
      </c>
      <c r="G465" s="26">
        <f>Ft!D$3*EXP(Ft!D$38*($A465-Ft!D$2)^2)</f>
        <v>17.470785492948508</v>
      </c>
      <c r="H465" s="26">
        <f>Ft!E$3*EXP(Ft!E$38*($A465-Ft!E$2)^2)</f>
        <v>1.7975057047082901</v>
      </c>
      <c r="I465" s="26">
        <f>Ft!F$3*EXP(Ft!F$38*($A465-Ft!F$2)^2)</f>
        <v>7.9087114875926582E-61</v>
      </c>
      <c r="J465" s="26">
        <f>Ft!G$3*EXP(Ft!G$38*($A465-Ft!G$2)^2)</f>
        <v>0</v>
      </c>
    </row>
    <row r="466" spans="1:10">
      <c r="A466" s="19">
        <v>464</v>
      </c>
      <c r="B466" s="28">
        <v>32.156624336797051</v>
      </c>
      <c r="C466" s="27">
        <f ca="1">OFFSET($B466,1*(ROWS(C$2:C466)-1),0)</f>
        <v>0</v>
      </c>
      <c r="D466" s="26">
        <f>Ft!B$3*EXP(Ft!B$38*($A466-Ft!B$2)^2) +Ft!C$3*EXP(Ft!C$38*($A466-Ft!C$2)^2) + Ft!D$3*EXP(Ft!D$38*($A466-Ft!D$2)^2)+Ft!E$3*EXP(Ft!E$38*($A466-Ft!E$2)^2) +Ft!F$3*EXP(Ft!F$38*($A466-Ft!F$2)^2) + Ft!G$3*EXP(Ft!G$38*($A466-Ft!G$2)^2)</f>
        <v>19.274734213108442</v>
      </c>
      <c r="E466" s="26">
        <f>Ft!B$3*EXP(Ft!B$38*($A466-Ft!B$2)^2)</f>
        <v>9.999744653694061E-96</v>
      </c>
      <c r="F466" s="26">
        <f>Ft!C$3*EXP(Ft!C$38*($A466-Ft!C$2)^2)</f>
        <v>2.7612586010777392E-3</v>
      </c>
      <c r="G466" s="26">
        <f>Ft!D$3*EXP(Ft!D$38*($A466-Ft!D$2)^2)</f>
        <v>17.451868963645669</v>
      </c>
      <c r="H466" s="26">
        <f>Ft!E$3*EXP(Ft!E$38*($A466-Ft!E$2)^2)</f>
        <v>1.8201039908616967</v>
      </c>
      <c r="I466" s="26">
        <f>Ft!F$3*EXP(Ft!F$38*($A466-Ft!F$2)^2)</f>
        <v>1.2951375808757897E-60</v>
      </c>
      <c r="J466" s="26">
        <f>Ft!G$3*EXP(Ft!G$38*($A466-Ft!G$2)^2)</f>
        <v>0</v>
      </c>
    </row>
    <row r="467" spans="1:10">
      <c r="A467" s="19">
        <v>465</v>
      </c>
      <c r="B467" s="28">
        <v>31.924118133598313</v>
      </c>
      <c r="C467" s="27">
        <f ca="1">OFFSET($B467,1*(ROWS(C$2:C467)-1),0)</f>
        <v>0</v>
      </c>
      <c r="D467" s="26">
        <f>Ft!B$3*EXP(Ft!B$38*($A467-Ft!B$2)^2) +Ft!C$3*EXP(Ft!C$38*($A467-Ft!C$2)^2) + Ft!D$3*EXP(Ft!D$38*($A467-Ft!D$2)^2)+Ft!E$3*EXP(Ft!E$38*($A467-Ft!E$2)^2) +Ft!F$3*EXP(Ft!F$38*($A467-Ft!F$2)^2) + Ft!G$3*EXP(Ft!G$38*($A467-Ft!G$2)^2)</f>
        <v>19.2777780212189</v>
      </c>
      <c r="E467" s="26">
        <f>Ft!B$3*EXP(Ft!B$38*($A467-Ft!B$2)^2)</f>
        <v>3.4913252320463323E-96</v>
      </c>
      <c r="F467" s="26">
        <f>Ft!C$3*EXP(Ft!C$38*($A467-Ft!C$2)^2)</f>
        <v>2.6255067160403552E-3</v>
      </c>
      <c r="G467" s="26">
        <f>Ft!D$3*EXP(Ft!D$38*($A467-Ft!D$2)^2)</f>
        <v>17.432231442956727</v>
      </c>
      <c r="H467" s="26">
        <f>Ft!E$3*EXP(Ft!E$38*($A467-Ft!E$2)^2)</f>
        <v>1.8429210715461317</v>
      </c>
      <c r="I467" s="26">
        <f>Ft!F$3*EXP(Ft!F$38*($A467-Ft!F$2)^2)</f>
        <v>2.1190874220827197E-60</v>
      </c>
      <c r="J467" s="26">
        <f>Ft!G$3*EXP(Ft!G$38*($A467-Ft!G$2)^2)</f>
        <v>0</v>
      </c>
    </row>
    <row r="468" spans="1:10">
      <c r="A468" s="19">
        <v>466</v>
      </c>
      <c r="B468" s="28">
        <v>31.690635397729523</v>
      </c>
      <c r="C468" s="27">
        <f ca="1">OFFSET($B468,1*(ROWS(C$2:C468)-1),0)</f>
        <v>0</v>
      </c>
      <c r="D468" s="26">
        <f>Ft!B$3*EXP(Ft!B$38*($A468-Ft!B$2)^2) +Ft!C$3*EXP(Ft!C$38*($A468-Ft!C$2)^2) + Ft!D$3*EXP(Ft!D$38*($A468-Ft!D$2)^2)+Ft!E$3*EXP(Ft!E$38*($A468-Ft!E$2)^2) +Ft!F$3*EXP(Ft!F$38*($A468-Ft!F$2)^2) + Ft!G$3*EXP(Ft!G$38*($A468-Ft!G$2)^2)</f>
        <v>19.28032951480564</v>
      </c>
      <c r="E468" s="26">
        <f>Ft!B$3*EXP(Ft!B$38*($A468-Ft!B$2)^2)</f>
        <v>1.2159084541539975E-96</v>
      </c>
      <c r="F468" s="26">
        <f>Ft!C$3*EXP(Ft!C$38*($A468-Ft!C$2)^2)</f>
        <v>2.4960408160184478E-3</v>
      </c>
      <c r="G468" s="26">
        <f>Ft!D$3*EXP(Ft!D$38*($A468-Ft!D$2)^2)</f>
        <v>17.411875411707161</v>
      </c>
      <c r="H468" s="26">
        <f>Ft!E$3*EXP(Ft!E$38*($A468-Ft!E$2)^2)</f>
        <v>1.8659580622824596</v>
      </c>
      <c r="I468" s="26">
        <f>Ft!F$3*EXP(Ft!F$38*($A468-Ft!F$2)^2)</f>
        <v>3.4642134016463507E-60</v>
      </c>
      <c r="J468" s="26">
        <f>Ft!G$3*EXP(Ft!G$38*($A468-Ft!G$2)^2)</f>
        <v>0</v>
      </c>
    </row>
    <row r="469" spans="1:10">
      <c r="A469" s="19">
        <v>467</v>
      </c>
      <c r="B469" s="28">
        <v>31.438113041835493</v>
      </c>
      <c r="C469" s="27">
        <f ca="1">OFFSET($B469,1*(ROWS(C$2:C469)-1),0)</f>
        <v>0</v>
      </c>
      <c r="D469" s="26">
        <f>Ft!B$3*EXP(Ft!B$38*($A469-Ft!B$2)^2) +Ft!C$3*EXP(Ft!C$38*($A469-Ft!C$2)^2) + Ft!D$3*EXP(Ft!D$38*($A469-Ft!D$2)^2)+Ft!E$3*EXP(Ft!E$38*($A469-Ft!E$2)^2) +Ft!F$3*EXP(Ft!F$38*($A469-Ft!F$2)^2) + Ft!G$3*EXP(Ft!G$38*($A469-Ft!G$2)^2)</f>
        <v>19.282392098720958</v>
      </c>
      <c r="E469" s="26">
        <f>Ft!B$3*EXP(Ft!B$38*($A469-Ft!B$2)^2)</f>
        <v>4.2239680377757286E-97</v>
      </c>
      <c r="F469" s="26">
        <f>Ft!C$3*EXP(Ft!C$38*($A469-Ft!C$2)^2)</f>
        <v>2.3725901844997722E-3</v>
      </c>
      <c r="G469" s="26">
        <f>Ft!D$3*EXP(Ft!D$38*($A469-Ft!D$2)^2)</f>
        <v>17.390803439506179</v>
      </c>
      <c r="H469" s="26">
        <f>Ft!E$3*EXP(Ft!E$38*($A469-Ft!E$2)^2)</f>
        <v>1.8892160690302804</v>
      </c>
      <c r="I469" s="26">
        <f>Ft!F$3*EXP(Ft!F$38*($A469-Ft!F$2)^2)</f>
        <v>5.6582638702790295E-60</v>
      </c>
      <c r="J469" s="26">
        <f>Ft!G$3*EXP(Ft!G$38*($A469-Ft!G$2)^2)</f>
        <v>0</v>
      </c>
    </row>
    <row r="470" spans="1:10">
      <c r="A470" s="19">
        <v>468</v>
      </c>
      <c r="B470" s="28">
        <v>31.209981851266406</v>
      </c>
      <c r="C470" s="27">
        <f ca="1">OFFSET($B470,1*(ROWS(C$2:C470)-1),0)</f>
        <v>0</v>
      </c>
      <c r="D470" s="26">
        <f>Ft!B$3*EXP(Ft!B$38*($A470-Ft!B$2)^2) +Ft!C$3*EXP(Ft!C$38*($A470-Ft!C$2)^2) + Ft!D$3*EXP(Ft!D$38*($A470-Ft!D$2)^2)+Ft!E$3*EXP(Ft!E$38*($A470-Ft!E$2)^2) +Ft!F$3*EXP(Ft!F$38*($A470-Ft!F$2)^2) + Ft!G$3*EXP(Ft!G$38*($A470-Ft!G$2)^2)</f>
        <v>19.283969266855753</v>
      </c>
      <c r="E470" s="26">
        <f>Ft!B$3*EXP(Ft!B$38*($A470-Ft!B$2)^2)</f>
        <v>1.4636914726297548E-97</v>
      </c>
      <c r="F470" s="26">
        <f>Ft!C$3*EXP(Ft!C$38*($A470-Ft!C$2)^2)</f>
        <v>2.2548947389392894E-3</v>
      </c>
      <c r="G470" s="26">
        <f>Ft!D$3*EXP(Ft!D$38*($A470-Ft!D$2)^2)</f>
        <v>17.369018184206148</v>
      </c>
      <c r="H470" s="26">
        <f>Ft!E$3*EXP(Ft!E$38*($A470-Ft!E$2)^2)</f>
        <v>1.9126961879106641</v>
      </c>
      <c r="I470" s="26">
        <f>Ft!F$3*EXP(Ft!F$38*($A470-Ft!F$2)^2)</f>
        <v>9.2338869114495994E-60</v>
      </c>
      <c r="J470" s="26">
        <f>Ft!G$3*EXP(Ft!G$38*($A470-Ft!G$2)^2)</f>
        <v>0</v>
      </c>
    </row>
    <row r="471" spans="1:10">
      <c r="A471" s="19">
        <v>469</v>
      </c>
      <c r="B471" s="28">
        <v>30.969096438613008</v>
      </c>
      <c r="C471" s="27">
        <f ca="1">OFFSET($B471,1*(ROWS(C$2:C471)-1),0)</f>
        <v>0</v>
      </c>
      <c r="D471" s="26">
        <f>Ft!B$3*EXP(Ft!B$38*($A471-Ft!B$2)^2) +Ft!C$3*EXP(Ft!C$38*($A471-Ft!C$2)^2) + Ft!D$3*EXP(Ft!D$38*($A471-Ft!D$2)^2)+Ft!E$3*EXP(Ft!E$38*($A471-Ft!E$2)^2) +Ft!F$3*EXP(Ft!F$38*($A471-Ft!F$2)^2) + Ft!G$3*EXP(Ft!G$38*($A471-Ft!G$2)^2)</f>
        <v>19.285064600933556</v>
      </c>
      <c r="E471" s="26">
        <f>Ft!B$3*EXP(Ft!B$38*($A471-Ft!B$2)^2)</f>
        <v>5.0592674261336139E-98</v>
      </c>
      <c r="F471" s="26">
        <f>Ft!C$3*EXP(Ft!C$38*($A471-Ft!C$2)^2)</f>
        <v>2.1427046624932521E-3</v>
      </c>
      <c r="G471" s="26">
        <f>Ft!D$3*EXP(Ft!D$38*($A471-Ft!D$2)^2)</f>
        <v>17.346522391343882</v>
      </c>
      <c r="H471" s="26">
        <f>Ft!E$3*EXP(Ft!E$38*($A471-Ft!E$2)^2)</f>
        <v>1.9363995049271816</v>
      </c>
      <c r="I471" s="26">
        <f>Ft!F$3*EXP(Ft!F$38*($A471-Ft!F$2)^2)</f>
        <v>1.5055968641994822E-59</v>
      </c>
      <c r="J471" s="26">
        <f>Ft!G$3*EXP(Ft!G$38*($A471-Ft!G$2)^2)</f>
        <v>0</v>
      </c>
    </row>
    <row r="472" spans="1:10">
      <c r="A472" s="19">
        <v>470</v>
      </c>
      <c r="B472" s="28">
        <v>30.705751763205797</v>
      </c>
      <c r="C472" s="27">
        <f ca="1">OFFSET($B472,1*(ROWS(C$2:C472)-1),0)</f>
        <v>0</v>
      </c>
      <c r="D472" s="26">
        <f>Ft!B$3*EXP(Ft!B$38*($A472-Ft!B$2)^2) +Ft!C$3*EXP(Ft!C$38*($A472-Ft!C$2)^2) + Ft!D$3*EXP(Ft!D$38*($A472-Ft!D$2)^2)+Ft!E$3*EXP(Ft!E$38*($A472-Ft!E$2)^2) +Ft!F$3*EXP(Ft!F$38*($A472-Ft!F$2)^2) + Ft!G$3*EXP(Ft!G$38*($A472-Ft!G$2)^2)</f>
        <v>19.285681769295497</v>
      </c>
      <c r="E472" s="26">
        <f>Ft!B$3*EXP(Ft!B$38*($A472-Ft!B$2)^2)</f>
        <v>1.7443551188001261E-98</v>
      </c>
      <c r="F472" s="26">
        <f>Ft!C$3*EXP(Ft!C$38*($A472-Ft!C$2)^2)</f>
        <v>2.0357800462156113E-3</v>
      </c>
      <c r="G472" s="26">
        <f>Ft!D$3*EXP(Ft!D$38*($A472-Ft!D$2)^2)</f>
        <v>17.323318893564018</v>
      </c>
      <c r="H472" s="26">
        <f>Ft!E$3*EXP(Ft!E$38*($A472-Ft!E$2)^2)</f>
        <v>1.9603270956852628</v>
      </c>
      <c r="I472" s="26">
        <f>Ft!F$3*EXP(Ft!F$38*($A472-Ft!F$2)^2)</f>
        <v>2.4527633443333225E-59</v>
      </c>
      <c r="J472" s="26">
        <f>Ft!G$3*EXP(Ft!G$38*($A472-Ft!G$2)^2)</f>
        <v>0</v>
      </c>
    </row>
    <row r="473" spans="1:10">
      <c r="A473" s="19">
        <v>471</v>
      </c>
      <c r="B473" s="28">
        <v>30.455340905564583</v>
      </c>
      <c r="C473" s="27">
        <f ca="1">OFFSET($B473,1*(ROWS(C$2:C473)-1),0)</f>
        <v>0</v>
      </c>
      <c r="D473" s="26">
        <f>Ft!B$3*EXP(Ft!B$38*($A473-Ft!B$2)^2) +Ft!C$3*EXP(Ft!C$38*($A473-Ft!C$2)^2) + Ft!D$3*EXP(Ft!D$38*($A473-Ft!D$2)^2)+Ft!E$3*EXP(Ft!E$38*($A473-Ft!E$2)^2) +Ft!F$3*EXP(Ft!F$38*($A473-Ft!F$2)^2) + Ft!G$3*EXP(Ft!G$38*($A473-Ft!G$2)^2)</f>
        <v>19.285824525676023</v>
      </c>
      <c r="E473" s="26">
        <f>Ft!B$3*EXP(Ft!B$38*($A473-Ft!B$2)^2)</f>
        <v>5.9991724470699122E-99</v>
      </c>
      <c r="F473" s="26">
        <f>Ft!C$3*EXP(Ft!C$38*($A473-Ft!C$2)^2)</f>
        <v>1.9338905415230267E-3</v>
      </c>
      <c r="G473" s="26">
        <f>Ft!D$3*EXP(Ft!D$38*($A473-Ft!D$2)^2)</f>
        <v>17.299410610024573</v>
      </c>
      <c r="H473" s="26">
        <f>Ft!E$3*EXP(Ft!E$38*($A473-Ft!E$2)^2)</f>
        <v>1.9844800251099277</v>
      </c>
      <c r="I473" s="26">
        <f>Ft!F$3*EXP(Ft!F$38*($A473-Ft!F$2)^2)</f>
        <v>3.9923204033780135E-59</v>
      </c>
      <c r="J473" s="26">
        <f>Ft!G$3*EXP(Ft!G$38*($A473-Ft!G$2)^2)</f>
        <v>0</v>
      </c>
    </row>
    <row r="474" spans="1:10">
      <c r="A474" s="19">
        <v>472</v>
      </c>
      <c r="B474" s="28">
        <v>30.214520604384973</v>
      </c>
      <c r="C474" s="27">
        <f ca="1">OFFSET($B474,1*(ROWS(C$2:C474)-1),0)</f>
        <v>0</v>
      </c>
      <c r="D474" s="26">
        <f>Ft!B$3*EXP(Ft!B$38*($A474-Ft!B$2)^2) +Ft!C$3*EXP(Ft!C$38*($A474-Ft!C$2)^2) + Ft!D$3*EXP(Ft!D$38*($A474-Ft!D$2)^2)+Ft!E$3*EXP(Ft!E$38*($A474-Ft!E$2)^2) +Ft!F$3*EXP(Ft!F$38*($A474-Ft!F$2)^2) + Ft!G$3*EXP(Ft!G$38*($A474-Ft!G$2)^2)</f>
        <v>19.2854967079696</v>
      </c>
      <c r="E474" s="26">
        <f>Ft!B$3*EXP(Ft!B$38*($A474-Ft!B$2)^2)</f>
        <v>2.0580549305734929E-99</v>
      </c>
      <c r="F474" s="26">
        <f>Ft!C$3*EXP(Ft!C$38*($A474-Ft!C$2)^2)</f>
        <v>1.8368150227335549E-3</v>
      </c>
      <c r="G474" s="26">
        <f>Ft!D$3*EXP(Ft!D$38*($A474-Ft!D$2)^2)</f>
        <v>17.274800545784938</v>
      </c>
      <c r="H474" s="26">
        <f>Ft!E$3*EXP(Ft!E$38*($A474-Ft!E$2)^2)</f>
        <v>2.0088593471619283</v>
      </c>
      <c r="I474" s="26">
        <f>Ft!F$3*EXP(Ft!F$38*($A474-Ft!F$2)^2)</f>
        <v>6.4925891978348724E-59</v>
      </c>
      <c r="J474" s="26">
        <f>Ft!G$3*EXP(Ft!G$38*($A474-Ft!G$2)^2)</f>
        <v>0</v>
      </c>
    </row>
    <row r="475" spans="1:10">
      <c r="A475" s="19">
        <v>473</v>
      </c>
      <c r="B475" s="28">
        <v>29.979612671787663</v>
      </c>
      <c r="C475" s="27">
        <f ca="1">OFFSET($B475,1*(ROWS(C$2:C475)-1),0)</f>
        <v>0</v>
      </c>
      <c r="D475" s="26">
        <f>Ft!B$3*EXP(Ft!B$38*($A475-Ft!B$2)^2) +Ft!C$3*EXP(Ft!C$38*($A475-Ft!C$2)^2) + Ft!D$3*EXP(Ft!D$38*($A475-Ft!D$2)^2)+Ft!E$3*EXP(Ft!E$38*($A475-Ft!E$2)^2) +Ft!F$3*EXP(Ft!F$38*($A475-Ft!F$2)^2) + Ft!G$3*EXP(Ft!G$38*($A475-Ft!G$2)^2)</f>
        <v>19.284702236988238</v>
      </c>
      <c r="E475" s="26">
        <f>Ft!B$3*EXP(Ft!B$38*($A475-Ft!B$2)^2)</f>
        <v>7.0425794071095133E-100</v>
      </c>
      <c r="F475" s="26">
        <f>Ft!C$3*EXP(Ft!C$38*($A475-Ft!C$2)^2)</f>
        <v>1.7443412594830858E-3</v>
      </c>
      <c r="G475" s="26">
        <f>Ft!D$3*EXP(Ft!D$38*($A475-Ft!D$2)^2)</f>
        <v>17.249491791176414</v>
      </c>
      <c r="H475" s="26">
        <f>Ft!E$3*EXP(Ft!E$38*($A475-Ft!E$2)^2)</f>
        <v>2.0334661045523408</v>
      </c>
      <c r="I475" s="26">
        <f>Ft!F$3*EXP(Ft!F$38*($A475-Ft!F$2)^2)</f>
        <v>1.0549533532215045E-58</v>
      </c>
      <c r="J475" s="26">
        <f>Ft!G$3*EXP(Ft!G$38*($A475-Ft!G$2)^2)</f>
        <v>0</v>
      </c>
    </row>
    <row r="476" spans="1:10">
      <c r="A476" s="19">
        <v>474</v>
      </c>
      <c r="B476" s="28">
        <v>29.760220705111607</v>
      </c>
      <c r="C476" s="27">
        <f ca="1">OFFSET($B476,1*(ROWS(C$2:C476)-1),0)</f>
        <v>0</v>
      </c>
      <c r="D476" s="26">
        <f>Ft!B$3*EXP(Ft!B$38*($A476-Ft!B$2)^2) +Ft!C$3*EXP(Ft!C$38*($A476-Ft!C$2)^2) + Ft!D$3*EXP(Ft!D$38*($A476-Ft!D$2)^2)+Ft!E$3*EXP(Ft!E$38*($A476-Ft!E$2)^2) +Ft!F$3*EXP(Ft!F$38*($A476-Ft!F$2)^2) + Ft!G$3*EXP(Ft!G$38*($A476-Ft!G$2)^2)</f>
        <v>19.283445115210011</v>
      </c>
      <c r="E476" s="26">
        <f>Ft!B$3*EXP(Ft!B$38*($A476-Ft!B$2)^2)</f>
        <v>2.4038962336660578E-100</v>
      </c>
      <c r="F476" s="26">
        <f>Ft!C$3*EXP(Ft!C$38*($A476-Ft!C$2)^2)</f>
        <v>1.6562655988229579E-3</v>
      </c>
      <c r="G476" s="26">
        <f>Ft!D$3*EXP(Ft!D$38*($A476-Ft!D$2)^2)</f>
        <v>17.22348752115553</v>
      </c>
      <c r="H476" s="26">
        <f>Ft!E$3*EXP(Ft!E$38*($A476-Ft!E$2)^2)</f>
        <v>2.0583013284556606</v>
      </c>
      <c r="I476" s="26">
        <f>Ft!F$3*EXP(Ft!F$38*($A476-Ft!F$2)^2)</f>
        <v>1.7126609059144435E-58</v>
      </c>
      <c r="J476" s="26">
        <f>Ft!G$3*EXP(Ft!G$38*($A476-Ft!G$2)^2)</f>
        <v>0</v>
      </c>
    </row>
    <row r="477" spans="1:10">
      <c r="A477" s="19">
        <v>475</v>
      </c>
      <c r="B477" s="28">
        <v>29.5375809242679</v>
      </c>
      <c r="C477" s="27">
        <f ca="1">OFFSET($B477,1*(ROWS(C$2:C477)-1),0)</f>
        <v>0</v>
      </c>
      <c r="D477" s="26">
        <f>Ft!B$3*EXP(Ft!B$38*($A477-Ft!B$2)^2) +Ft!C$3*EXP(Ft!C$38*($A477-Ft!C$2)^2) + Ft!D$3*EXP(Ft!D$38*($A477-Ft!D$2)^2)+Ft!E$3*EXP(Ft!E$38*($A477-Ft!E$2)^2) +Ft!F$3*EXP(Ft!F$38*($A477-Ft!F$2)^2) + Ft!G$3*EXP(Ft!G$38*($A477-Ft!G$2)^2)</f>
        <v>19.281729425518538</v>
      </c>
      <c r="E477" s="26">
        <f>Ft!B$3*EXP(Ft!B$38*($A477-Ft!B$2)^2)</f>
        <v>8.1848147774200244E-101</v>
      </c>
      <c r="F477" s="26">
        <f>Ft!C$3*EXP(Ft!C$38*($A477-Ft!C$2)^2)</f>
        <v>1.5723926568017121E-3</v>
      </c>
      <c r="G477" s="26">
        <f>Ft!D$3*EXP(Ft!D$38*($A477-Ft!D$2)^2)</f>
        <v>17.196790994640317</v>
      </c>
      <c r="H477" s="26">
        <f>Ft!E$3*EXP(Ft!E$38*($A477-Ft!E$2)^2)</f>
        <v>2.0833660382214201</v>
      </c>
      <c r="I477" s="26">
        <f>Ft!F$3*EXP(Ft!F$38*($A477-Ft!F$2)^2)</f>
        <v>2.7780004220935304E-58</v>
      </c>
      <c r="J477" s="26">
        <f>Ft!G$3*EXP(Ft!G$38*($A477-Ft!G$2)^2)</f>
        <v>0</v>
      </c>
    </row>
    <row r="478" spans="1:10">
      <c r="A478" s="19">
        <v>476</v>
      </c>
      <c r="B478" s="28">
        <v>29.313176042282464</v>
      </c>
      <c r="C478" s="27">
        <f ca="1">OFFSET($B478,1*(ROWS(C$2:C478)-1),0)</f>
        <v>0</v>
      </c>
      <c r="D478" s="26">
        <f>Ft!B$3*EXP(Ft!B$38*($A478-Ft!B$2)^2) +Ft!C$3*EXP(Ft!C$38*($A478-Ft!C$2)^2) + Ft!D$3*EXP(Ft!D$38*($A478-Ft!D$2)^2)+Ft!E$3*EXP(Ft!E$38*($A478-Ft!E$2)^2) +Ft!F$3*EXP(Ft!F$38*($A478-Ft!F$2)^2) + Ft!G$3*EXP(Ft!G$38*($A478-Ft!G$2)^2)</f>
        <v>19.279559329933427</v>
      </c>
      <c r="E478" s="26">
        <f>Ft!B$3*EXP(Ft!B$38*($A478-Ft!B$2)^2)</f>
        <v>2.7797847542080407E-101</v>
      </c>
      <c r="F478" s="26">
        <f>Ft!C$3*EXP(Ft!C$38*($A478-Ft!C$2)^2)</f>
        <v>1.4925350193338226E-3</v>
      </c>
      <c r="G478" s="26">
        <f>Ft!D$3*EXP(Ft!D$38*($A478-Ft!D$2)^2)</f>
        <v>17.169405553829691</v>
      </c>
      <c r="H478" s="26">
        <f>Ft!E$3*EXP(Ft!E$38*($A478-Ft!E$2)^2)</f>
        <v>2.108661241084401</v>
      </c>
      <c r="I478" s="26">
        <f>Ft!F$3*EXP(Ft!F$38*($A478-Ft!F$2)^2)</f>
        <v>4.5021092114522624E-58</v>
      </c>
      <c r="J478" s="26">
        <f>Ft!G$3*EXP(Ft!G$38*($A478-Ft!G$2)^2)</f>
        <v>0</v>
      </c>
    </row>
    <row r="479" spans="1:10">
      <c r="A479" s="19">
        <v>477</v>
      </c>
      <c r="B479" s="28">
        <v>29.077566771031883</v>
      </c>
      <c r="C479" s="27">
        <f ca="1">OFFSET($B479,1*(ROWS(C$2:C479)-1),0)</f>
        <v>0</v>
      </c>
      <c r="D479" s="26">
        <f>Ft!B$3*EXP(Ft!B$38*($A479-Ft!B$2)^2) +Ft!C$3*EXP(Ft!C$38*($A479-Ft!C$2)^2) + Ft!D$3*EXP(Ft!D$38*($A479-Ft!D$2)^2)+Ft!E$3*EXP(Ft!E$38*($A479-Ft!E$2)^2) +Ft!F$3*EXP(Ft!F$38*($A479-Ft!F$2)^2) + Ft!G$3*EXP(Ft!G$38*($A479-Ft!G$2)^2)</f>
        <v>19.276939068331842</v>
      </c>
      <c r="E479" s="26">
        <f>Ft!B$3*EXP(Ft!B$38*($A479-Ft!B$2)^2)</f>
        <v>9.417218688785986E-102</v>
      </c>
      <c r="F479" s="26">
        <f>Ft!C$3*EXP(Ft!C$38*($A479-Ft!C$2)^2)</f>
        <v>1.4165129521583623E-3</v>
      </c>
      <c r="G479" s="26">
        <f>Ft!D$3*EXP(Ft!D$38*($A479-Ft!D$2)^2)</f>
        <v>17.141334623506221</v>
      </c>
      <c r="H479" s="26">
        <f>Ft!E$3*EXP(Ft!E$38*($A479-Ft!E$2)^2)</f>
        <v>2.1341879318734631</v>
      </c>
      <c r="I479" s="26">
        <f>Ft!F$3*EXP(Ft!F$38*($A479-Ft!F$2)^2)</f>
        <v>7.2899162632990718E-58</v>
      </c>
      <c r="J479" s="26">
        <f>Ft!G$3*EXP(Ft!G$38*($A479-Ft!G$2)^2)</f>
        <v>0</v>
      </c>
    </row>
    <row r="480" spans="1:10">
      <c r="A480" s="19">
        <v>478</v>
      </c>
      <c r="B480" s="28">
        <v>28.836474228874977</v>
      </c>
      <c r="C480" s="27">
        <f ca="1">OFFSET($B480,1*(ROWS(C$2:C480)-1),0)</f>
        <v>0</v>
      </c>
      <c r="D480" s="26">
        <f>Ft!B$3*EXP(Ft!B$38*($A480-Ft!B$2)^2) +Ft!C$3*EXP(Ft!C$38*($A480-Ft!C$2)^2) + Ft!D$3*EXP(Ft!D$38*($A480-Ft!D$2)^2)+Ft!E$3*EXP(Ft!E$38*($A480-Ft!E$2)^2) +Ft!F$3*EXP(Ft!F$38*($A480-Ft!F$2)^2) + Ft!G$3*EXP(Ft!G$38*($A480-Ft!G$2)^2)</f>
        <v>19.27387295716116</v>
      </c>
      <c r="E480" s="26">
        <f>Ft!B$3*EXP(Ft!B$38*($A480-Ft!B$2)^2)</f>
        <v>3.1823161083808461E-102</v>
      </c>
      <c r="F480" s="26">
        <f>Ft!C$3*EXP(Ft!C$38*($A480-Ft!C$2)^2)</f>
        <v>1.3441541196908345E-3</v>
      </c>
      <c r="G480" s="26">
        <f>Ft!D$3*EXP(Ft!D$38*($A480-Ft!D$2)^2)</f>
        <v>17.11258171032242</v>
      </c>
      <c r="H480" s="26">
        <f>Ft!E$3*EXP(Ft!E$38*($A480-Ft!E$2)^2)</f>
        <v>2.1599470927190487</v>
      </c>
      <c r="I480" s="26">
        <f>Ft!F$3*EXP(Ft!F$38*($A480-Ft!F$2)^2)</f>
        <v>1.1793748143590646E-57</v>
      </c>
      <c r="J480" s="26">
        <f>Ft!G$3*EXP(Ft!G$38*($A480-Ft!G$2)^2)</f>
        <v>0</v>
      </c>
    </row>
    <row r="481" spans="1:10">
      <c r="A481" s="19">
        <v>479</v>
      </c>
      <c r="B481" s="28">
        <v>28.613358477937624</v>
      </c>
      <c r="C481" s="27">
        <f ca="1">OFFSET($B481,1*(ROWS(C$2:C481)-1),0)</f>
        <v>0</v>
      </c>
      <c r="D481" s="26">
        <f>Ft!B$3*EXP(Ft!B$38*($A481-Ft!B$2)^2) +Ft!C$3*EXP(Ft!C$38*($A481-Ft!C$2)^2) + Ft!D$3*EXP(Ft!D$38*($A481-Ft!D$2)^2)+Ft!E$3*EXP(Ft!E$38*($A481-Ft!E$2)^2) +Ft!F$3*EXP(Ft!F$38*($A481-Ft!F$2)^2) + Ft!G$3*EXP(Ft!G$38*($A481-Ft!G$2)^2)</f>
        <v>19.270365388142775</v>
      </c>
      <c r="E481" s="26">
        <f>Ft!B$3*EXP(Ft!B$38*($A481-Ft!B$2)^2)</f>
        <v>1.072687334084273E-102</v>
      </c>
      <c r="F481" s="26">
        <f>Ft!C$3*EXP(Ft!C$38*($A481-Ft!C$2)^2)</f>
        <v>1.2752933125719837E-3</v>
      </c>
      <c r="G481" s="26">
        <f>Ft!D$3*EXP(Ft!D$38*($A481-Ft!D$2)^2)</f>
        <v>17.0831504020708</v>
      </c>
      <c r="H481" s="26">
        <f>Ft!E$3*EXP(Ft!E$38*($A481-Ft!E$2)^2)</f>
        <v>2.1859396927594035</v>
      </c>
      <c r="I481" s="26">
        <f>Ft!F$3*EXP(Ft!F$38*($A481-Ft!F$2)^2)</f>
        <v>1.9063557733548856E-57</v>
      </c>
      <c r="J481" s="26">
        <f>Ft!G$3*EXP(Ft!G$38*($A481-Ft!G$2)^2)</f>
        <v>0</v>
      </c>
    </row>
    <row r="482" spans="1:10">
      <c r="A482" s="19">
        <v>480</v>
      </c>
      <c r="B482" s="28">
        <v>28.39318765417832</v>
      </c>
      <c r="C482" s="27">
        <f ca="1">OFFSET($B482,1*(ROWS(C$2:C482)-1),0)</f>
        <v>0</v>
      </c>
      <c r="D482" s="26">
        <f>Ft!B$3*EXP(Ft!B$38*($A482-Ft!B$2)^2) +Ft!C$3*EXP(Ft!C$38*($A482-Ft!C$2)^2) + Ft!D$3*EXP(Ft!D$38*($A482-Ft!D$2)^2)+Ft!E$3*EXP(Ft!E$38*($A482-Ft!E$2)^2) +Ft!F$3*EXP(Ft!F$38*($A482-Ft!F$2)^2) + Ft!G$3*EXP(Ft!G$38*($A482-Ft!G$2)^2)</f>
        <v>19.266420826967178</v>
      </c>
      <c r="E482" s="26">
        <f>Ft!B$3*EXP(Ft!B$38*($A482-Ft!B$2)^2)</f>
        <v>3.6067177930955799E-103</v>
      </c>
      <c r="F482" s="26">
        <f>Ft!C$3*EXP(Ft!C$38*($A482-Ft!C$2)^2)</f>
        <v>1.209772183718175E-3</v>
      </c>
      <c r="G482" s="26">
        <f>Ft!D$3*EXP(Ft!D$38*($A482-Ft!D$2)^2)</f>
        <v>17.053044366937897</v>
      </c>
      <c r="H482" s="26">
        <f>Ft!E$3*EXP(Ft!E$38*($A482-Ft!E$2)^2)</f>
        <v>2.2121666878455652</v>
      </c>
      <c r="I482" s="26">
        <f>Ft!F$3*EXP(Ft!F$38*($A482-Ft!F$2)^2)</f>
        <v>3.0787814011810559E-57</v>
      </c>
      <c r="J482" s="26">
        <f>Ft!G$3*EXP(Ft!G$38*($A482-Ft!G$2)^2)</f>
        <v>0</v>
      </c>
    </row>
    <row r="483" spans="1:10">
      <c r="A483" s="19">
        <v>481</v>
      </c>
      <c r="B483" s="28">
        <v>28.143618296872773</v>
      </c>
      <c r="C483" s="27">
        <f ca="1">OFFSET($B483,1*(ROWS(C$2:C483)-1),0)</f>
        <v>0</v>
      </c>
      <c r="D483" s="26">
        <f>Ft!B$3*EXP(Ft!B$38*($A483-Ft!B$2)^2) +Ft!C$3*EXP(Ft!C$38*($A483-Ft!C$2)^2) + Ft!D$3*EXP(Ft!D$38*($A483-Ft!D$2)^2)+Ft!E$3*EXP(Ft!E$38*($A483-Ft!E$2)^2) +Ft!F$3*EXP(Ft!F$38*($A483-Ft!F$2)^2) + Ft!G$3*EXP(Ft!G$38*($A483-Ft!G$2)^2)</f>
        <v>19.262043811980298</v>
      </c>
      <c r="E483" s="26">
        <f>Ft!B$3*EXP(Ft!B$38*($A483-Ft!B$2)^2)</f>
        <v>1.2096517171303023E-103</v>
      </c>
      <c r="F483" s="26">
        <f>Ft!C$3*EXP(Ft!C$38*($A483-Ft!C$2)^2)</f>
        <v>1.1474389926788436E-3</v>
      </c>
      <c r="G483" s="26">
        <f>Ft!D$3*EXP(Ft!D$38*($A483-Ft!D$2)^2)</f>
        <v>17.022267352742464</v>
      </c>
      <c r="H483" s="26">
        <f>Ft!E$3*EXP(Ft!E$38*($A483-Ft!E$2)^2)</f>
        <v>2.2386290202451558</v>
      </c>
      <c r="I483" s="26">
        <f>Ft!F$3*EXP(Ft!F$38*($A483-Ft!F$2)^2)</f>
        <v>4.9679423804853539E-57</v>
      </c>
      <c r="J483" s="26">
        <f>Ft!G$3*EXP(Ft!G$38*($A483-Ft!G$2)^2)</f>
        <v>0</v>
      </c>
    </row>
    <row r="484" spans="1:10">
      <c r="A484" s="19">
        <v>482</v>
      </c>
      <c r="B484" s="28">
        <v>27.909408362453973</v>
      </c>
      <c r="C484" s="27">
        <f ca="1">OFFSET($B484,1*(ROWS(C$2:C484)-1),0)</f>
        <v>0</v>
      </c>
      <c r="D484" s="26">
        <f>Ft!B$3*EXP(Ft!B$38*($A484-Ft!B$2)^2) +Ft!C$3*EXP(Ft!C$38*($A484-Ft!C$2)^2) + Ft!D$3*EXP(Ft!D$38*($A484-Ft!D$2)^2)+Ft!E$3*EXP(Ft!E$38*($A484-Ft!E$2)^2) +Ft!F$3*EXP(Ft!F$38*($A484-Ft!F$2)^2) + Ft!G$3*EXP(Ft!G$38*($A484-Ft!G$2)^2)</f>
        <v>19.257238952861236</v>
      </c>
      <c r="E484" s="26">
        <f>Ft!B$3*EXP(Ft!B$38*($A484-Ft!B$2)^2)</f>
        <v>4.0468555645892996E-104</v>
      </c>
      <c r="F484" s="26">
        <f>Ft!C$3*EXP(Ft!C$38*($A484-Ft!C$2)^2)</f>
        <v>1.0881483581076997E-3</v>
      </c>
      <c r="G484" s="26">
        <f>Ft!D$3*EXP(Ft!D$38*($A484-Ft!D$2)^2)</f>
        <v>16.990823186158082</v>
      </c>
      <c r="H484" s="26">
        <f>Ft!E$3*EXP(Ft!E$38*($A484-Ft!E$2)^2)</f>
        <v>2.2653276183450477</v>
      </c>
      <c r="I484" s="26">
        <f>Ft!F$3*EXP(Ft!F$38*($A484-Ft!F$2)^2)</f>
        <v>8.0093457421149988E-57</v>
      </c>
      <c r="J484" s="26">
        <f>Ft!G$3*EXP(Ft!G$38*($A484-Ft!G$2)^2)</f>
        <v>0</v>
      </c>
    </row>
    <row r="485" spans="1:10">
      <c r="A485" s="19">
        <v>483</v>
      </c>
      <c r="B485" s="28">
        <v>27.667745373429455</v>
      </c>
      <c r="C485" s="27">
        <f ca="1">OFFSET($B485,1*(ROWS(C$2:C485)-1),0)</f>
        <v>0</v>
      </c>
      <c r="D485" s="26">
        <f>Ft!B$3*EXP(Ft!B$38*($A485-Ft!B$2)^2) +Ft!C$3*EXP(Ft!C$38*($A485-Ft!C$2)^2) + Ft!D$3*EXP(Ft!D$38*($A485-Ft!D$2)^2)+Ft!E$3*EXP(Ft!E$38*($A485-Ft!E$2)^2) +Ft!F$3*EXP(Ft!F$38*($A485-Ft!F$2)^2) + Ft!G$3*EXP(Ft!G$38*($A485-Ft!G$2)^2)</f>
        <v>19.252010929291526</v>
      </c>
      <c r="E485" s="26">
        <f>Ft!B$3*EXP(Ft!B$38*($A485-Ft!B$2)^2)</f>
        <v>1.3504678097762258E-104</v>
      </c>
      <c r="F485" s="26">
        <f>Ft!C$3*EXP(Ft!C$38*($A485-Ft!C$2)^2)</f>
        <v>1.0317610181556699E-3</v>
      </c>
      <c r="G485" s="26">
        <f>Ft!D$3*EXP(Ft!D$38*($A485-Ft!D$2)^2)</f>
        <v>16.958715771920435</v>
      </c>
      <c r="H485" s="26">
        <f>Ft!E$3*EXP(Ft!E$38*($A485-Ft!E$2)^2)</f>
        <v>2.292263396352936</v>
      </c>
      <c r="I485" s="26">
        <f>Ft!F$3*EXP(Ft!F$38*($A485-Ft!F$2)^2)</f>
        <v>1.2901503606984499E-56</v>
      </c>
      <c r="J485" s="26">
        <f>Ft!G$3*EXP(Ft!G$38*($A485-Ft!G$2)^2)</f>
        <v>0</v>
      </c>
    </row>
    <row r="486" spans="1:10">
      <c r="A486" s="19">
        <v>484</v>
      </c>
      <c r="B486" s="28">
        <v>27.441482310751269</v>
      </c>
      <c r="C486" s="27">
        <f ca="1">OFFSET($B486,1*(ROWS(C$2:C486)-1),0)</f>
        <v>0</v>
      </c>
      <c r="D486" s="26">
        <f>Ft!B$3*EXP(Ft!B$38*($A486-Ft!B$2)^2) +Ft!C$3*EXP(Ft!C$38*($A486-Ft!C$2)^2) + Ft!D$3*EXP(Ft!D$38*($A486-Ft!D$2)^2)+Ft!E$3*EXP(Ft!E$38*($A486-Ft!E$2)^2) +Ft!F$3*EXP(Ft!F$38*($A486-Ft!F$2)^2) + Ft!G$3*EXP(Ft!G$38*($A486-Ft!G$2)^2)</f>
        <v>19.246364489615836</v>
      </c>
      <c r="E486" s="26">
        <f>Ft!B$3*EXP(Ft!B$38*($A486-Ft!B$2)^2)</f>
        <v>4.49531307166426E-105</v>
      </c>
      <c r="F486" s="26">
        <f>Ft!C$3*EXP(Ft!C$38*($A486-Ft!C$2)^2)</f>
        <v>9.7814359859506469E-4</v>
      </c>
      <c r="G486" s="26">
        <f>Ft!D$3*EXP(Ft!D$38*($A486-Ft!D$2)^2)</f>
        <v>16.925949092019369</v>
      </c>
      <c r="H486" s="26">
        <f>Ft!E$3*EXP(Ft!E$38*($A486-Ft!E$2)^2)</f>
        <v>2.3194372539978723</v>
      </c>
      <c r="I486" s="26">
        <f>Ft!F$3*EXP(Ft!F$38*($A486-Ft!F$2)^2)</f>
        <v>2.0763779599824076E-56</v>
      </c>
      <c r="J486" s="26">
        <f>Ft!G$3*EXP(Ft!G$38*($A486-Ft!G$2)^2)</f>
        <v>0</v>
      </c>
    </row>
    <row r="487" spans="1:10">
      <c r="A487" s="19">
        <v>485</v>
      </c>
      <c r="B487" s="28">
        <v>27.22226342683922</v>
      </c>
      <c r="C487" s="27">
        <f ca="1">OFFSET($B487,1*(ROWS(C$2:C487)-1),0)</f>
        <v>0</v>
      </c>
      <c r="D487" s="26">
        <f>Ft!B$3*EXP(Ft!B$38*($A487-Ft!B$2)^2) +Ft!C$3*EXP(Ft!C$38*($A487-Ft!C$2)^2) + Ft!D$3*EXP(Ft!D$38*($A487-Ft!D$2)^2)+Ft!E$3*EXP(Ft!E$38*($A487-Ft!E$2)^2) +Ft!F$3*EXP(Ft!F$38*($A487-Ft!F$2)^2) + Ft!G$3*EXP(Ft!G$38*($A487-Ft!G$2)^2)</f>
        <v>19.240304449494438</v>
      </c>
      <c r="E487" s="26">
        <f>Ft!B$3*EXP(Ft!B$38*($A487-Ft!B$2)^2)</f>
        <v>1.4926047652822913E-105</v>
      </c>
      <c r="F487" s="26">
        <f>Ft!C$3*EXP(Ft!C$38*($A487-Ft!C$2)^2)</f>
        <v>9.2716838848607092E-4</v>
      </c>
      <c r="G487" s="26">
        <f>Ft!D$3*EXP(Ft!D$38*($A487-Ft!D$2)^2)</f>
        <v>16.892527204876135</v>
      </c>
      <c r="H487" s="26">
        <f>Ft!E$3*EXP(Ft!E$38*($A487-Ft!E$2)^2)</f>
        <v>2.3468500762298175</v>
      </c>
      <c r="I487" s="26">
        <f>Ft!F$3*EXP(Ft!F$38*($A487-Ft!F$2)^2)</f>
        <v>3.3388375416012828E-56</v>
      </c>
      <c r="J487" s="26">
        <f>Ft!G$3*EXP(Ft!G$38*($A487-Ft!G$2)^2)</f>
        <v>0</v>
      </c>
    </row>
    <row r="488" spans="1:10">
      <c r="A488" s="19">
        <v>486</v>
      </c>
      <c r="B488" s="28">
        <v>27.011308933925108</v>
      </c>
      <c r="C488" s="27">
        <f ca="1">OFFSET($B488,1*(ROWS(C$2:C488)-1),0)</f>
        <v>0</v>
      </c>
      <c r="D488" s="26">
        <f>Ft!B$3*EXP(Ft!B$38*($A488-Ft!B$2)^2) +Ft!C$3*EXP(Ft!C$38*($A488-Ft!C$2)^2) + Ft!D$3*EXP(Ft!D$38*($A488-Ft!D$2)^2)+Ft!E$3*EXP(Ft!E$38*($A488-Ft!E$2)^2) +Ft!F$3*EXP(Ft!F$38*($A488-Ft!F$2)^2) + Ft!G$3*EXP(Ft!G$38*($A488-Ft!G$2)^2)</f>
        <v>19.233835690547359</v>
      </c>
      <c r="E488" s="26">
        <f>Ft!B$3*EXP(Ft!B$38*($A488-Ft!B$2)^2)</f>
        <v>4.9435494039169234E-106</v>
      </c>
      <c r="F488" s="26">
        <f>Ft!C$3*EXP(Ft!C$38*($A488-Ft!C$2)^2)</f>
        <v>8.7871312319847501E-4</v>
      </c>
      <c r="G488" s="26">
        <f>Ft!D$3*EXP(Ft!D$38*($A488-Ft!D$2)^2)</f>
        <v>16.8584542445059</v>
      </c>
      <c r="H488" s="26">
        <f>Ft!E$3*EXP(Ft!E$38*($A488-Ft!E$2)^2)</f>
        <v>2.3745027329182582</v>
      </c>
      <c r="I488" s="26">
        <f>Ft!F$3*EXP(Ft!F$38*($A488-Ft!F$2)^2)</f>
        <v>5.3642246952306063E-56</v>
      </c>
      <c r="J488" s="26">
        <f>Ft!G$3*EXP(Ft!G$38*($A488-Ft!G$2)^2)</f>
        <v>0</v>
      </c>
    </row>
    <row r="489" spans="1:10">
      <c r="A489" s="19">
        <v>487</v>
      </c>
      <c r="B489" s="28">
        <v>26.783011835798305</v>
      </c>
      <c r="C489" s="27">
        <f ca="1">OFFSET($B489,1*(ROWS(C$2:C489)-1),0)</f>
        <v>0</v>
      </c>
      <c r="D489" s="26">
        <f>Ft!B$3*EXP(Ft!B$38*($A489-Ft!B$2)^2) +Ft!C$3*EXP(Ft!C$38*($A489-Ft!C$2)^2) + Ft!D$3*EXP(Ft!D$38*($A489-Ft!D$2)^2)+Ft!E$3*EXP(Ft!E$38*($A489-Ft!E$2)^2) +Ft!F$3*EXP(Ft!F$38*($A489-Ft!F$2)^2) + Ft!G$3*EXP(Ft!G$38*($A489-Ft!G$2)^2)</f>
        <v>19.226963158990415</v>
      </c>
      <c r="E489" s="26">
        <f>Ft!B$3*EXP(Ft!B$38*($A489-Ft!B$2)^2)</f>
        <v>1.6332102908621214E-106</v>
      </c>
      <c r="F489" s="26">
        <f>Ft!C$3*EXP(Ft!C$38*($A489-Ft!C$2)^2)</f>
        <v>8.3266077460342257E-4</v>
      </c>
      <c r="G489" s="26">
        <f>Ft!D$3*EXP(Ft!D$38*($A489-Ft!D$2)^2)</f>
        <v>16.823734419665868</v>
      </c>
      <c r="H489" s="26">
        <f>Ft!E$3*EXP(Ft!E$38*($A489-Ft!E$2)^2)</f>
        <v>2.4023960785499461</v>
      </c>
      <c r="I489" s="26">
        <f>Ft!F$3*EXP(Ft!F$38*($A489-Ft!F$2)^2)</f>
        <v>8.6107589113281733E-56</v>
      </c>
      <c r="J489" s="26">
        <f>Ft!G$3*EXP(Ft!G$38*($A489-Ft!G$2)^2)</f>
        <v>0</v>
      </c>
    </row>
    <row r="490" spans="1:10">
      <c r="A490" s="19">
        <v>488</v>
      </c>
      <c r="B490" s="28">
        <v>26.559207367792681</v>
      </c>
      <c r="C490" s="27">
        <f ca="1">OFFSET($B490,1*(ROWS(C$2:C490)-1),0)</f>
        <v>0</v>
      </c>
      <c r="D490" s="26">
        <f>Ft!B$3*EXP(Ft!B$38*($A490-Ft!B$2)^2) +Ft!C$3*EXP(Ft!C$38*($A490-Ft!C$2)^2) + Ft!D$3*EXP(Ft!D$38*($A490-Ft!D$2)^2)+Ft!E$3*EXP(Ft!E$38*($A490-Ft!E$2)^2) +Ft!F$3*EXP(Ft!F$38*($A490-Ft!F$2)^2) + Ft!G$3*EXP(Ft!G$38*($A490-Ft!G$2)^2)</f>
        <v>19.219691864263282</v>
      </c>
      <c r="E490" s="26">
        <f>Ft!B$3*EXP(Ft!B$38*($A490-Ft!B$2)^2)</f>
        <v>5.3821340586950013E-107</v>
      </c>
      <c r="F490" s="26">
        <f>Ft!C$3*EXP(Ft!C$38*($A490-Ft!C$2)^2)</f>
        <v>7.8889934825207716E-4</v>
      </c>
      <c r="G490" s="26">
        <f>Ft!D$3*EXP(Ft!D$38*($A490-Ft!D$2)^2)</f>
        <v>16.788372012989221</v>
      </c>
      <c r="H490" s="26">
        <f>Ft!E$3*EXP(Ft!E$38*($A490-Ft!E$2)^2)</f>
        <v>2.4305309519258089</v>
      </c>
      <c r="I490" s="26">
        <f>Ft!F$3*EXP(Ft!F$38*($A490-Ft!F$2)^2)</f>
        <v>1.3810159480878102E-55</v>
      </c>
      <c r="J490" s="26">
        <f>Ft!G$3*EXP(Ft!G$38*($A490-Ft!G$2)^2)</f>
        <v>0</v>
      </c>
    </row>
    <row r="491" spans="1:10">
      <c r="A491" s="19">
        <v>489</v>
      </c>
      <c r="B491" s="28">
        <v>26.342338108256939</v>
      </c>
      <c r="C491" s="27">
        <f ca="1">OFFSET($B491,1*(ROWS(C$2:C491)-1),0)</f>
        <v>0</v>
      </c>
      <c r="D491" s="26">
        <f>Ft!B$3*EXP(Ft!B$38*($A491-Ft!B$2)^2) +Ft!C$3*EXP(Ft!C$38*($A491-Ft!C$2)^2) + Ft!D$3*EXP(Ft!D$38*($A491-Ft!D$2)^2)+Ft!E$3*EXP(Ft!E$38*($A491-Ft!E$2)^2) +Ft!F$3*EXP(Ft!F$38*($A491-Ft!F$2)^2) + Ft!G$3*EXP(Ft!G$38*($A491-Ft!G$2)^2)</f>
        <v>19.212026877649556</v>
      </c>
      <c r="E491" s="26">
        <f>Ft!B$3*EXP(Ft!B$38*($A491-Ft!B$2)^2)</f>
        <v>1.7691965689651054E-107</v>
      </c>
      <c r="F491" s="26">
        <f>Ft!C$3*EXP(Ft!C$38*($A491-Ft!C$2)^2)</f>
        <v>7.4732168736019687E-4</v>
      </c>
      <c r="G491" s="26">
        <f>Ft!D$3*EXP(Ft!D$38*($A491-Ft!D$2)^2)</f>
        <v>16.7523713801051</v>
      </c>
      <c r="H491" s="26">
        <f>Ft!E$3*EXP(Ft!E$38*($A491-Ft!E$2)^2)</f>
        <v>2.4589081758570952</v>
      </c>
      <c r="I491" s="26">
        <f>Ft!F$3*EXP(Ft!F$38*($A491-Ft!F$2)^2)</f>
        <v>2.2129864431704802E-55</v>
      </c>
      <c r="J491" s="26">
        <f>Ft!G$3*EXP(Ft!G$38*($A491-Ft!G$2)^2)</f>
        <v>0</v>
      </c>
    </row>
    <row r="492" spans="1:10">
      <c r="A492" s="19">
        <v>490</v>
      </c>
      <c r="B492" s="28">
        <v>26.137393392759435</v>
      </c>
      <c r="C492" s="27">
        <f ca="1">OFFSET($B492,1*(ROWS(C$2:C492)-1),0)</f>
        <v>0</v>
      </c>
      <c r="D492" s="26">
        <f>Ft!B$3*EXP(Ft!B$38*($A492-Ft!B$2)^2) +Ft!C$3*EXP(Ft!C$38*($A492-Ft!C$2)^2) + Ft!D$3*EXP(Ft!D$38*($A492-Ft!D$2)^2)+Ft!E$3*EXP(Ft!E$38*($A492-Ft!E$2)^2) +Ft!F$3*EXP(Ft!F$38*($A492-Ft!F$2)^2) + Ft!G$3*EXP(Ft!G$38*($A492-Ft!G$2)^2)</f>
        <v>19.20397333088918</v>
      </c>
      <c r="E492" s="26">
        <f>Ft!B$3*EXP(Ft!B$38*($A492-Ft!B$2)^2)</f>
        <v>5.8010530907274933E-108</v>
      </c>
      <c r="F492" s="26">
        <f>Ft!C$3*EXP(Ft!C$38*($A492-Ft!C$2)^2)</f>
        <v>7.0782528341987582E-4</v>
      </c>
      <c r="G492" s="26">
        <f>Ft!D$3*EXP(Ft!D$38*($A492-Ft!D$2)^2)</f>
        <v>16.715736948744958</v>
      </c>
      <c r="H492" s="26">
        <f>Ft!E$3*EXP(Ft!E$38*($A492-Ft!E$2)^2)</f>
        <v>2.4875285568608025</v>
      </c>
      <c r="I492" s="26">
        <f>Ft!F$3*EXP(Ft!F$38*($A492-Ft!F$2)^2)</f>
        <v>3.5430853027151E-55</v>
      </c>
      <c r="J492" s="26">
        <f>Ft!G$3*EXP(Ft!G$38*($A492-Ft!G$2)^2)</f>
        <v>0</v>
      </c>
    </row>
    <row r="493" spans="1:10">
      <c r="A493" s="19">
        <v>491</v>
      </c>
      <c r="B493" s="28">
        <v>25.937864119667552</v>
      </c>
      <c r="C493" s="27">
        <f ca="1">OFFSET($B493,1*(ROWS(C$2:C493)-1),0)</f>
        <v>0</v>
      </c>
      <c r="D493" s="26">
        <f>Ft!B$3*EXP(Ft!B$38*($A493-Ft!B$2)^2) +Ft!C$3*EXP(Ft!C$38*($A493-Ft!C$2)^2) + Ft!D$3*EXP(Ft!D$38*($A493-Ft!D$2)^2)+Ft!E$3*EXP(Ft!E$38*($A493-Ft!E$2)^2) +Ft!F$3*EXP(Ft!F$38*($A493-Ft!F$2)^2) + Ft!G$3*EXP(Ft!G$38*($A493-Ft!G$2)^2)</f>
        <v>19.195536414783163</v>
      </c>
      <c r="E493" s="26">
        <f>Ft!B$3*EXP(Ft!B$38*($A493-Ft!B$2)^2)</f>
        <v>1.8973470044020738E-108</v>
      </c>
      <c r="F493" s="26">
        <f>Ft!C$3*EXP(Ft!C$38*($A493-Ft!C$2)^2)</f>
        <v>6.7031209326212204E-4</v>
      </c>
      <c r="G493" s="26">
        <f>Ft!D$3*EXP(Ft!D$38*($A493-Ft!D$2)^2)</f>
        <v>16.67847321783545</v>
      </c>
      <c r="H493" s="26">
        <f>Ft!E$3*EXP(Ft!E$38*($A493-Ft!E$2)^2)</f>
        <v>2.5163928848544495</v>
      </c>
      <c r="I493" s="26">
        <f>Ft!F$3*EXP(Ft!F$38*($A493-Ft!F$2)^2)</f>
        <v>5.6677052806914584E-55</v>
      </c>
      <c r="J493" s="26">
        <f>Ft!G$3*EXP(Ft!G$38*($A493-Ft!G$2)^2)</f>
        <v>0</v>
      </c>
    </row>
    <row r="494" spans="1:10">
      <c r="A494" s="19">
        <v>492</v>
      </c>
      <c r="B494" s="28">
        <v>25.718337759072369</v>
      </c>
      <c r="C494" s="27">
        <f ca="1">OFFSET($B494,1*(ROWS(C$2:C494)-1),0)</f>
        <v>0</v>
      </c>
      <c r="D494" s="26">
        <f>Ft!B$3*EXP(Ft!B$38*($A494-Ft!B$2)^2) +Ft!C$3*EXP(Ft!C$38*($A494-Ft!C$2)^2) + Ft!D$3*EXP(Ft!D$38*($A494-Ft!D$2)^2)+Ft!E$3*EXP(Ft!E$38*($A494-Ft!E$2)^2) +Ft!F$3*EXP(Ft!F$38*($A494-Ft!F$2)^2) + Ft!G$3*EXP(Ft!G$38*($A494-Ft!G$2)^2)</f>
        <v>19.186721377790832</v>
      </c>
      <c r="E494" s="26">
        <f>Ft!B$3*EXP(Ft!B$38*($A494-Ft!B$2)^2)</f>
        <v>6.1900743578901144E-109</v>
      </c>
      <c r="F494" s="26">
        <f>Ft!C$3*EXP(Ft!C$38*($A494-Ft!C$2)^2)</f>
        <v>6.3468836239632812E-4</v>
      </c>
      <c r="G494" s="26">
        <f>Ft!D$3*EXP(Ft!D$38*($A494-Ft!D$2)^2)</f>
        <v>16.640584756578193</v>
      </c>
      <c r="H494" s="26">
        <f>Ft!E$3*EXP(Ft!E$38*($A494-Ft!E$2)^2)</f>
        <v>2.5455019328502448</v>
      </c>
      <c r="I494" s="26">
        <f>Ft!F$3*EXP(Ft!F$38*($A494-Ft!F$2)^2)</f>
        <v>9.0584878242829989E-55</v>
      </c>
      <c r="J494" s="26">
        <f>Ft!G$3*EXP(Ft!G$38*($A494-Ft!G$2)^2)</f>
        <v>0</v>
      </c>
    </row>
    <row r="495" spans="1:10">
      <c r="A495" s="19">
        <v>493</v>
      </c>
      <c r="B495" s="28">
        <v>25.497497043015329</v>
      </c>
      <c r="C495" s="27">
        <f ca="1">OFFSET($B495,1*(ROWS(C$2:C495)-1),0)</f>
        <v>0</v>
      </c>
      <c r="D495" s="26">
        <f>Ft!B$3*EXP(Ft!B$38*($A495-Ft!B$2)^2) +Ft!C$3*EXP(Ft!C$38*($A495-Ft!C$2)^2) + Ft!D$3*EXP(Ft!D$38*($A495-Ft!D$2)^2)+Ft!E$3*EXP(Ft!E$38*($A495-Ft!E$2)^2) +Ft!F$3*EXP(Ft!F$38*($A495-Ft!F$2)^2) + Ft!G$3*EXP(Ft!G$38*($A495-Ft!G$2)^2)</f>
        <v>19.17753352461979</v>
      </c>
      <c r="E495" s="26">
        <f>Ft!B$3*EXP(Ft!B$38*($A495-Ft!B$2)^2)</f>
        <v>2.0144390896649316E-109</v>
      </c>
      <c r="F495" s="26">
        <f>Ft!C$3*EXP(Ft!C$38*($A495-Ft!C$2)^2)</f>
        <v>6.0086445445528026E-4</v>
      </c>
      <c r="G495" s="26">
        <f>Ft!D$3*EXP(Ft!D$38*($A495-Ft!D$2)^2)</f>
        <v>16.602076203516614</v>
      </c>
      <c r="H495" s="26">
        <f>Ft!E$3*EXP(Ft!E$38*($A495-Ft!E$2)^2)</f>
        <v>2.5748564566487202</v>
      </c>
      <c r="I495" s="26">
        <f>Ft!F$3*EXP(Ft!F$38*($A495-Ft!F$2)^2)</f>
        <v>1.4465283390160307E-54</v>
      </c>
      <c r="J495" s="26">
        <f>Ft!G$3*EXP(Ft!G$38*($A495-Ft!G$2)^2)</f>
        <v>0</v>
      </c>
    </row>
    <row r="496" spans="1:10">
      <c r="A496" s="19">
        <v>494</v>
      </c>
      <c r="B496" s="28">
        <v>25.256592003740337</v>
      </c>
      <c r="C496" s="27">
        <f ca="1">OFFSET($B496,1*(ROWS(C$2:C496)-1),0)</f>
        <v>0</v>
      </c>
      <c r="D496" s="26">
        <f>Ft!B$3*EXP(Ft!B$38*($A496-Ft!B$2)^2) +Ft!C$3*EXP(Ft!C$38*($A496-Ft!C$2)^2) + Ft!D$3*EXP(Ft!D$38*($A496-Ft!D$2)^2)+Ft!E$3*EXP(Ft!E$38*($A496-Ft!E$2)^2) +Ft!F$3*EXP(Ft!F$38*($A496-Ft!F$2)^2) + Ft!G$3*EXP(Ft!G$38*($A496-Ft!G$2)^2)</f>
        <v>19.16797821480862</v>
      </c>
      <c r="E496" s="26">
        <f>Ft!B$3*EXP(Ft!B$38*($A496-Ft!B$2)^2)</f>
        <v>6.5391543512409649E-110</v>
      </c>
      <c r="F496" s="26">
        <f>Ft!C$3*EXP(Ft!C$38*($A496-Ft!C$2)^2)</f>
        <v>5.6875468657689829E-4</v>
      </c>
      <c r="G496" s="26">
        <f>Ft!D$3*EXP(Ft!D$38*($A496-Ft!D$2)^2)</f>
        <v>16.562952265590166</v>
      </c>
      <c r="H496" s="26">
        <f>Ft!E$3*EXP(Ft!E$38*($A496-Ft!E$2)^2)</f>
        <v>2.6044571945318773</v>
      </c>
      <c r="I496" s="26">
        <f>Ft!F$3*EXP(Ft!F$38*($A496-Ft!F$2)^2)</f>
        <v>2.307921235925553E-54</v>
      </c>
      <c r="J496" s="26">
        <f>Ft!G$3*EXP(Ft!G$38*($A496-Ft!G$2)^2)</f>
        <v>0</v>
      </c>
    </row>
    <row r="497" spans="1:10">
      <c r="A497" s="19">
        <v>495</v>
      </c>
      <c r="B497" s="28">
        <v>25.044495565789305</v>
      </c>
      <c r="C497" s="27">
        <f ca="1">OFFSET($B497,1*(ROWS(C$2:C497)-1),0)</f>
        <v>0</v>
      </c>
      <c r="D497" s="26">
        <f>Ft!B$3*EXP(Ft!B$38*($A497-Ft!B$2)^2) +Ft!C$3*EXP(Ft!C$38*($A497-Ft!C$2)^2) + Ft!D$3*EXP(Ft!D$38*($A497-Ft!D$2)^2)+Ft!E$3*EXP(Ft!E$38*($A497-Ft!E$2)^2) +Ft!F$3*EXP(Ft!F$38*($A497-Ft!F$2)^2) + Ft!G$3*EXP(Ft!G$38*($A497-Ft!G$2)^2)</f>
        <v>19.158060861302673</v>
      </c>
      <c r="E497" s="26">
        <f>Ft!B$3*EXP(Ft!B$38*($A497-Ft!B$2)^2)</f>
        <v>2.1173770975578057E-110</v>
      </c>
      <c r="F497" s="26">
        <f>Ft!C$3*EXP(Ft!C$38*($A497-Ft!C$2)^2)</f>
        <v>5.3827717055662404E-4</v>
      </c>
      <c r="G497" s="26">
        <f>Ft!D$3*EXP(Ft!D$38*($A497-Ft!D$2)^2)</f>
        <v>16.523217717176205</v>
      </c>
      <c r="H497" s="26">
        <f>Ft!E$3*EXP(Ft!E$38*($A497-Ft!E$2)^2)</f>
        <v>2.6343048669559135</v>
      </c>
      <c r="I497" s="26">
        <f>Ft!F$3*EXP(Ft!F$38*($A497-Ft!F$2)^2)</f>
        <v>3.6790680058312983E-54</v>
      </c>
      <c r="J497" s="26">
        <f>Ft!G$3*EXP(Ft!G$38*($A497-Ft!G$2)^2)</f>
        <v>0</v>
      </c>
    </row>
    <row r="498" spans="1:10">
      <c r="A498" s="19">
        <v>496</v>
      </c>
      <c r="B498" s="28">
        <v>24.847955631176518</v>
      </c>
      <c r="C498" s="27">
        <f ca="1">OFFSET($B498,1*(ROWS(C$2:C498)-1),0)</f>
        <v>0</v>
      </c>
      <c r="D498" s="26">
        <f>Ft!B$3*EXP(Ft!B$38*($A498-Ft!B$2)^2) +Ft!C$3*EXP(Ft!C$38*($A498-Ft!C$2)^2) + Ft!D$3*EXP(Ft!D$38*($A498-Ft!D$2)^2)+Ft!E$3*EXP(Ft!E$38*($A498-Ft!E$2)^2) +Ft!F$3*EXP(Ft!F$38*($A498-Ft!F$2)^2) + Ft!G$3*EXP(Ft!G$38*($A498-Ft!G$2)^2)</f>
        <v>19.147786929022946</v>
      </c>
      <c r="E498" s="26">
        <f>Ft!B$3*EXP(Ft!B$38*($A498-Ft!B$2)^2)</f>
        <v>6.8388646421429514E-111</v>
      </c>
      <c r="F498" s="26">
        <f>Ft!C$3*EXP(Ft!C$38*($A498-Ft!C$2)^2)</f>
        <v>5.0935365960708189E-4</v>
      </c>
      <c r="G498" s="26">
        <f>Ft!D$3*EXP(Ft!D$38*($A498-Ft!D$2)^2)</f>
        <v>16.482877399119754</v>
      </c>
      <c r="H498" s="26">
        <f>Ft!E$3*EXP(Ft!E$38*($A498-Ft!E$2)^2)</f>
        <v>2.6644001762435869</v>
      </c>
      <c r="I498" s="26">
        <f>Ft!F$3*EXP(Ft!F$38*($A498-Ft!F$2)^2)</f>
        <v>5.8597278152306317E-54</v>
      </c>
      <c r="J498" s="26">
        <f>Ft!G$3*EXP(Ft!G$38*($A498-Ft!G$2)^2)</f>
        <v>0</v>
      </c>
    </row>
    <row r="499" spans="1:10">
      <c r="A499" s="19">
        <v>497</v>
      </c>
      <c r="B499" s="28">
        <v>24.658854468236001</v>
      </c>
      <c r="C499" s="27">
        <f ca="1">OFFSET($B499,1*(ROWS(C$2:C499)-1),0)</f>
        <v>0</v>
      </c>
      <c r="D499" s="26">
        <f>Ft!B$3*EXP(Ft!B$38*($A499-Ft!B$2)^2) +Ft!C$3*EXP(Ft!C$38*($A499-Ft!C$2)^2) + Ft!D$3*EXP(Ft!D$38*($A499-Ft!D$2)^2)+Ft!E$3*EXP(Ft!E$38*($A499-Ft!E$2)^2) +Ft!F$3*EXP(Ft!F$38*($A499-Ft!F$2)^2) + Ft!G$3*EXP(Ft!G$38*($A499-Ft!G$2)^2)</f>
        <v>19.137161933428313</v>
      </c>
      <c r="E499" s="26">
        <f>Ft!B$3*EXP(Ft!B$38*($A499-Ft!B$2)^2)</f>
        <v>2.2033271149583943E-111</v>
      </c>
      <c r="F499" s="26">
        <f>Ft!C$3*EXP(Ft!C$38*($A499-Ft!C$2)^2)</f>
        <v>4.8190940056439875E-4</v>
      </c>
      <c r="G499" s="26">
        <f>Ft!D$3*EXP(Ft!D$38*($A499-Ft!D$2)^2)</f>
        <v>16.441936217751465</v>
      </c>
      <c r="H499" s="26">
        <f>Ft!E$3*EXP(Ft!E$38*($A499-Ft!E$2)^2)</f>
        <v>2.6947438062762825</v>
      </c>
      <c r="I499" s="26">
        <f>Ft!F$3*EXP(Ft!F$38*($A499-Ft!F$2)^2)</f>
        <v>9.3248073224621867E-54</v>
      </c>
      <c r="J499" s="26">
        <f>Ft!G$3*EXP(Ft!G$38*($A499-Ft!G$2)^2)</f>
        <v>0</v>
      </c>
    </row>
    <row r="500" spans="1:10">
      <c r="A500" s="19">
        <v>498</v>
      </c>
      <c r="B500" s="28">
        <v>24.44826161878197</v>
      </c>
      <c r="C500" s="27">
        <f ca="1">OFFSET($B500,1*(ROWS(C$2:C500)-1),0)</f>
        <v>0</v>
      </c>
      <c r="D500" s="26">
        <f>Ft!B$3*EXP(Ft!B$38*($A500-Ft!B$2)^2) +Ft!C$3*EXP(Ft!C$38*($A500-Ft!C$2)^2) + Ft!D$3*EXP(Ft!D$38*($A500-Ft!D$2)^2)+Ft!E$3*EXP(Ft!E$38*($A500-Ft!E$2)^2) +Ft!F$3*EXP(Ft!F$38*($A500-Ft!F$2)^2) + Ft!G$3*EXP(Ft!G$38*($A500-Ft!G$2)^2)</f>
        <v>19.126191439071281</v>
      </c>
      <c r="E500" s="26">
        <f>Ft!B$3*EXP(Ft!B$38*($A500-Ft!B$2)^2)</f>
        <v>7.0808129867828611E-112</v>
      </c>
      <c r="F500" s="26">
        <f>Ft!C$3*EXP(Ft!C$38*($A500-Ft!C$2)^2)</f>
        <v>4.5587299138344329E-4</v>
      </c>
      <c r="G500" s="26">
        <f>Ft!D$3*EXP(Ft!D$38*($A500-Ft!D$2)^2)</f>
        <v>16.40039914389406</v>
      </c>
      <c r="H500" s="26">
        <f>Ft!E$3*EXP(Ft!E$38*($A500-Ft!E$2)^2)</f>
        <v>2.7253364221858365</v>
      </c>
      <c r="I500" s="26">
        <f>Ft!F$3*EXP(Ft!F$38*($A500-Ft!F$2)^2)</f>
        <v>1.4826037203393839E-53</v>
      </c>
      <c r="J500" s="26">
        <f>Ft!G$3*EXP(Ft!G$38*($A500-Ft!G$2)^2)</f>
        <v>0</v>
      </c>
    </row>
    <row r="501" spans="1:10">
      <c r="A501" s="19">
        <v>499</v>
      </c>
      <c r="B501" s="28">
        <v>24.241459549638705</v>
      </c>
      <c r="C501" s="27">
        <f ca="1">OFFSET($B501,1*(ROWS(C$2:C501)-1),0)</f>
        <v>0</v>
      </c>
      <c r="D501" s="26">
        <f>Ft!B$3*EXP(Ft!B$38*($A501-Ft!B$2)^2) +Ft!C$3*EXP(Ft!C$38*($A501-Ft!C$2)^2) + Ft!D$3*EXP(Ft!D$38*($A501-Ft!D$2)^2)+Ft!E$3*EXP(Ft!E$38*($A501-Ft!E$2)^2) +Ft!F$3*EXP(Ft!F$38*($A501-Ft!F$2)^2) + Ft!G$3*EXP(Ft!G$38*($A501-Ft!G$2)^2)</f>
        <v>19.114881058147478</v>
      </c>
      <c r="E501" s="26">
        <f>Ft!B$3*EXP(Ft!B$38*($A501-Ft!B$2)^2)</f>
        <v>2.269846264573048E-112</v>
      </c>
      <c r="F501" s="26">
        <f>Ft!C$3*EXP(Ft!C$38*($A501-Ft!C$2)^2)</f>
        <v>4.3117624376707182E-4</v>
      </c>
      <c r="G501" s="26">
        <f>Ft!D$3*EXP(Ft!D$38*($A501-Ft!D$2)^2)</f>
        <v>16.358271211857513</v>
      </c>
      <c r="H501" s="26">
        <f>Ft!E$3*EXP(Ft!E$38*($A501-Ft!E$2)^2)</f>
        <v>2.7561786700461952</v>
      </c>
      <c r="I501" s="26">
        <f>Ft!F$3*EXP(Ft!F$38*($A501-Ft!F$2)^2)</f>
        <v>2.3552287812167641E-53</v>
      </c>
      <c r="J501" s="26">
        <f>Ft!G$3*EXP(Ft!G$38*($A501-Ft!G$2)^2)</f>
        <v>0</v>
      </c>
    </row>
    <row r="502" spans="1:10">
      <c r="A502" s="19">
        <v>500</v>
      </c>
      <c r="B502" s="28">
        <v>24.055348679655111</v>
      </c>
      <c r="C502" s="27">
        <f ca="1">OFFSET($B502,1*(ROWS(C$2:C502)-1),0)</f>
        <v>0</v>
      </c>
      <c r="D502" s="26">
        <f>Ft!B$3*EXP(Ft!B$38*($A502-Ft!B$2)^2) +Ft!C$3*EXP(Ft!C$38*($A502-Ft!C$2)^2) + Ft!D$3*EXP(Ft!D$38*($A502-Ft!D$2)^2)+Ft!E$3*EXP(Ft!E$38*($A502-Ft!E$2)^2) +Ft!F$3*EXP(Ft!F$38*($A502-Ft!F$2)^2) + Ft!G$3*EXP(Ft!G$38*($A502-Ft!G$2)^2)</f>
        <v>19.103236449038985</v>
      </c>
      <c r="E502" s="26">
        <f>Ft!B$3*EXP(Ft!B$38*($A502-Ft!B$2)^2)</f>
        <v>7.258032979647435E-113</v>
      </c>
      <c r="F502" s="26">
        <f>Ft!C$3*EXP(Ft!C$38*($A502-Ft!C$2)^2)</f>
        <v>4.0775405077738753E-4</v>
      </c>
      <c r="G502" s="26">
        <f>Ft!D$3*EXP(Ft!D$38*($A502-Ft!D$2)^2)</f>
        <v>16.315557518423255</v>
      </c>
      <c r="H502" s="26">
        <f>Ft!E$3*EXP(Ft!E$38*($A502-Ft!E$2)^2)</f>
        <v>2.7872711765649547</v>
      </c>
      <c r="I502" s="26">
        <f>Ft!F$3*EXP(Ft!F$38*($A502-Ft!F$2)^2)</f>
        <v>3.7382118474083131E-53</v>
      </c>
      <c r="J502" s="26">
        <f>Ft!G$3*EXP(Ft!G$38*($A502-Ft!G$2)^2)</f>
        <v>0</v>
      </c>
    </row>
    <row r="503" spans="1:10">
      <c r="A503" s="19">
        <v>501</v>
      </c>
      <c r="B503" s="28">
        <v>23.866724375032248</v>
      </c>
      <c r="C503" s="27">
        <f ca="1">OFFSET($B503,1*(ROWS(C$2:C503)-1),0)</f>
        <v>0</v>
      </c>
      <c r="D503" s="26">
        <f>Ft!B$3*EXP(Ft!B$38*($A503-Ft!B$2)^2) +Ft!C$3*EXP(Ft!C$38*($A503-Ft!C$2)^2) + Ft!D$3*EXP(Ft!D$38*($A503-Ft!D$2)^2)+Ft!E$3*EXP(Ft!E$38*($A503-Ft!E$2)^2) +Ft!F$3*EXP(Ft!F$38*($A503-Ft!F$2)^2) + Ft!G$3*EXP(Ft!G$38*($A503-Ft!G$2)^2)</f>
        <v>19.09126331485184</v>
      </c>
      <c r="E503" s="26">
        <f>Ft!B$3*EXP(Ft!B$38*($A503-Ft!B$2)^2)</f>
        <v>2.3149979194001956E-113</v>
      </c>
      <c r="F503" s="26">
        <f>Ft!C$3*EXP(Ft!C$38*($A503-Ft!C$2)^2)</f>
        <v>3.8554425927994938E-4</v>
      </c>
      <c r="G503" s="26">
        <f>Ft!D$3*EXP(Ft!D$38*($A503-Ft!D$2)^2)</f>
        <v>16.272263221817699</v>
      </c>
      <c r="H503" s="26">
        <f>Ft!E$3*EXP(Ft!E$38*($A503-Ft!E$2)^2)</f>
        <v>2.8186145487748617</v>
      </c>
      <c r="I503" s="26">
        <f>Ft!F$3*EXP(Ft!F$38*($A503-Ft!F$2)^2)</f>
        <v>5.9281272136798257E-53</v>
      </c>
      <c r="J503" s="26">
        <f>Ft!G$3*EXP(Ft!G$38*($A503-Ft!G$2)^2)</f>
        <v>0</v>
      </c>
    </row>
    <row r="504" spans="1:10">
      <c r="A504" s="19">
        <v>502</v>
      </c>
      <c r="B504" s="28">
        <v>23.67706939693764</v>
      </c>
      <c r="C504" s="27">
        <f ca="1">OFFSET($B504,1*(ROWS(C$2:C504)-1),0)</f>
        <v>0</v>
      </c>
      <c r="D504" s="26">
        <f>Ft!B$3*EXP(Ft!B$38*($A504-Ft!B$2)^2) +Ft!C$3*EXP(Ft!C$38*($A504-Ft!C$2)^2) + Ft!D$3*EXP(Ft!D$38*($A504-Ft!D$2)^2)+Ft!E$3*EXP(Ft!E$38*($A504-Ft!E$2)^2) +Ft!F$3*EXP(Ft!F$38*($A504-Ft!F$2)^2) + Ft!G$3*EXP(Ft!G$38*($A504-Ft!G$2)^2)</f>
        <v>19.078967401947818</v>
      </c>
      <c r="E504" s="26">
        <f>Ft!B$3*EXP(Ft!B$38*($A504-Ft!B$2)^2)</f>
        <v>7.3653170607731799E-114</v>
      </c>
      <c r="F504" s="26">
        <f>Ft!C$3*EXP(Ft!C$38*($A504-Ft!C$2)^2)</f>
        <v>3.6448754707480335E-4</v>
      </c>
      <c r="G504" s="26">
        <f>Ft!D$3*EXP(Ft!D$38*($A504-Ft!D$2)^2)</f>
        <v>16.228393540675413</v>
      </c>
      <c r="H504" s="26">
        <f>Ft!E$3*EXP(Ft!E$38*($A504-Ft!E$2)^2)</f>
        <v>2.8502093737253307</v>
      </c>
      <c r="I504" s="26">
        <f>Ft!F$3*EXP(Ft!F$38*($A504-Ft!F$2)^2)</f>
        <v>9.392774919691514E-53</v>
      </c>
      <c r="J504" s="26">
        <f>Ft!G$3*EXP(Ft!G$38*($A504-Ft!G$2)^2)</f>
        <v>0</v>
      </c>
    </row>
    <row r="505" spans="1:10">
      <c r="A505" s="19">
        <v>503</v>
      </c>
      <c r="B505" s="28">
        <v>23.495709081296127</v>
      </c>
      <c r="C505" s="27">
        <f ca="1">OFFSET($B505,1*(ROWS(C$2:C505)-1),0)</f>
        <v>0</v>
      </c>
      <c r="D505" s="26">
        <f>Ft!B$3*EXP(Ft!B$38*($A505-Ft!B$2)^2) +Ft!C$3*EXP(Ft!C$38*($A505-Ft!C$2)^2) + Ft!D$3*EXP(Ft!D$38*($A505-Ft!D$2)^2)+Ft!E$3*EXP(Ft!E$38*($A505-Ft!E$2)^2) +Ft!F$3*EXP(Ft!F$38*($A505-Ft!F$2)^2) + Ft!G$3*EXP(Ft!G$38*($A505-Ft!G$2)^2)</f>
        <v>19.066354498470737</v>
      </c>
      <c r="E505" s="26">
        <f>Ft!B$3*EXP(Ft!B$38*($A505-Ft!B$2)^2)</f>
        <v>2.3374453360931581E-114</v>
      </c>
      <c r="F505" s="26">
        <f>Ft!C$3*EXP(Ft!C$38*($A505-Ft!C$2)^2)</f>
        <v>3.445273045711983E-4</v>
      </c>
      <c r="G505" s="26">
        <f>Ft!D$3*EXP(Ft!D$38*($A505-Ft!D$2)^2)</f>
        <v>16.183953752992117</v>
      </c>
      <c r="H505" s="26">
        <f>Ft!E$3*EXP(Ft!E$38*($A505-Ft!E$2)^2)</f>
        <v>2.882056218174049</v>
      </c>
      <c r="I505" s="26">
        <f>Ft!F$3*EXP(Ft!F$38*($A505-Ft!F$2)^2)</f>
        <v>1.4869388599399394E-52</v>
      </c>
      <c r="J505" s="26">
        <f>Ft!G$3*EXP(Ft!G$38*($A505-Ft!G$2)^2)</f>
        <v>0</v>
      </c>
    </row>
    <row r="506" spans="1:10">
      <c r="A506" s="19">
        <v>504</v>
      </c>
      <c r="B506" s="28">
        <v>23.314125247529432</v>
      </c>
      <c r="C506" s="27">
        <f ca="1">OFFSET($B506,1*(ROWS(C$2:C506)-1),0)</f>
        <v>0</v>
      </c>
      <c r="D506" s="26">
        <f>Ft!B$3*EXP(Ft!B$38*($A506-Ft!B$2)^2) +Ft!C$3*EXP(Ft!C$38*($A506-Ft!C$2)^2) + Ft!D$3*EXP(Ft!D$38*($A506-Ft!D$2)^2)+Ft!E$3*EXP(Ft!E$38*($A506-Ft!E$2)^2) +Ft!F$3*EXP(Ft!F$38*($A506-Ft!F$2)^2) + Ft!G$3*EXP(Ft!G$38*($A506-Ft!G$2)^2)</f>
        <v>19.053430432867554</v>
      </c>
      <c r="E506" s="26">
        <f>Ft!B$3*EXP(Ft!B$38*($A506-Ft!B$2)^2)</f>
        <v>7.3994706780581584E-115</v>
      </c>
      <c r="F506" s="26">
        <f>Ft!C$3*EXP(Ft!C$38*($A506-Ft!C$2)^2)</f>
        <v>3.2560952086579714E-4</v>
      </c>
      <c r="G506" s="26">
        <f>Ft!D$3*EXP(Ft!D$38*($A506-Ft!D$2)^2)</f>
        <v>16.138949195067951</v>
      </c>
      <c r="H506" s="26">
        <f>Ft!E$3*EXP(Ft!E$38*($A506-Ft!E$2)^2)</f>
        <v>2.9141556282787371</v>
      </c>
      <c r="I506" s="26">
        <f>Ft!F$3*EXP(Ft!F$38*($A506-Ft!F$2)^2)</f>
        <v>2.3518796977203847E-52</v>
      </c>
      <c r="J506" s="26">
        <f>Ft!G$3*EXP(Ft!G$38*($A506-Ft!G$2)^2)</f>
        <v>0</v>
      </c>
    </row>
    <row r="507" spans="1:10">
      <c r="A507" s="19">
        <v>505</v>
      </c>
      <c r="B507" s="28">
        <v>23.128000829466288</v>
      </c>
      <c r="C507" s="27">
        <f ca="1">OFFSET($B507,1*(ROWS(C$2:C507)-1),0)</f>
        <v>0</v>
      </c>
      <c r="D507" s="26">
        <f>Ft!B$3*EXP(Ft!B$38*($A507-Ft!B$2)^2) +Ft!C$3*EXP(Ft!C$38*($A507-Ft!C$2)^2) + Ft!D$3*EXP(Ft!D$38*($A507-Ft!D$2)^2)+Ft!E$3*EXP(Ft!E$38*($A507-Ft!E$2)^2) +Ft!F$3*EXP(Ft!F$38*($A507-Ft!F$2)^2) + Ft!G$3*EXP(Ft!G$38*($A507-Ft!G$2)^2)</f>
        <v>19.040201072404404</v>
      </c>
      <c r="E507" s="26">
        <f>Ft!B$3*EXP(Ft!B$38*($A507-Ft!B$2)^2)</f>
        <v>2.3365173921483808E-115</v>
      </c>
      <c r="F507" s="26">
        <f>Ft!C$3*EXP(Ft!C$38*($A507-Ft!C$2)^2)</f>
        <v>3.0768267408721458E-4</v>
      </c>
      <c r="G507" s="26">
        <f>Ft!D$3*EXP(Ft!D$38*($A507-Ft!D$2)^2)</f>
        <v>16.093385260441192</v>
      </c>
      <c r="H507" s="26">
        <f>Ft!E$3*EXP(Ft!E$38*($A507-Ft!E$2)^2)</f>
        <v>2.9465081292891244</v>
      </c>
      <c r="I507" s="26">
        <f>Ft!F$3*EXP(Ft!F$38*($A507-Ft!F$2)^2)</f>
        <v>3.7167203899196606E-52</v>
      </c>
      <c r="J507" s="26">
        <f>Ft!G$3*EXP(Ft!G$38*($A507-Ft!G$2)^2)</f>
        <v>0</v>
      </c>
    </row>
    <row r="508" spans="1:10">
      <c r="A508" s="19">
        <v>506</v>
      </c>
      <c r="B508" s="28">
        <v>22.938932097123057</v>
      </c>
      <c r="C508" s="27">
        <f ca="1">OFFSET($B508,1*(ROWS(C$2:C508)-1),0)</f>
        <v>0</v>
      </c>
      <c r="D508" s="26">
        <f>Ft!B$3*EXP(Ft!B$38*($A508-Ft!B$2)^2) +Ft!C$3*EXP(Ft!C$38*($A508-Ft!C$2)^2) + Ft!D$3*EXP(Ft!D$38*($A508-Ft!D$2)^2)+Ft!E$3*EXP(Ft!E$38*($A508-Ft!E$2)^2) +Ft!F$3*EXP(Ft!F$38*($A508-Ft!F$2)^2) + Ft!G$3*EXP(Ft!G$38*($A508-Ft!G$2)^2)</f>
        <v>19.026672321677836</v>
      </c>
      <c r="E508" s="26">
        <f>Ft!B$3*EXP(Ft!B$38*($A508-Ft!B$2)^2)</f>
        <v>7.3594702975351386E-116</v>
      </c>
      <c r="F508" s="26">
        <f>Ft!C$3*EXP(Ft!C$38*($A508-Ft!C$2)^2)</f>
        <v>2.906976258726743E-4</v>
      </c>
      <c r="G508" s="26">
        <f>Ft!D$3*EXP(Ft!D$38*($A508-Ft!D$2)^2)</f>
        <v>16.047267398812746</v>
      </c>
      <c r="H508" s="26">
        <f>Ft!E$3*EXP(Ft!E$38*($A508-Ft!E$2)^2)</f>
        <v>2.9791142252392171</v>
      </c>
      <c r="I508" s="26">
        <f>Ft!F$3*EXP(Ft!F$38*($A508-Ft!F$2)^2)</f>
        <v>5.8685049163645821E-52</v>
      </c>
      <c r="J508" s="26">
        <f>Ft!G$3*EXP(Ft!G$38*($A508-Ft!G$2)^2)</f>
        <v>0</v>
      </c>
    </row>
    <row r="509" spans="1:10">
      <c r="A509" s="19">
        <v>507</v>
      </c>
      <c r="B509" s="28">
        <v>22.727380727212164</v>
      </c>
      <c r="C509" s="27">
        <f ca="1">OFFSET($B509,1*(ROWS(C$2:C509)-1),0)</f>
        <v>0</v>
      </c>
      <c r="D509" s="26">
        <f>Ft!B$3*EXP(Ft!B$38*($A509-Ft!B$2)^2) +Ft!C$3*EXP(Ft!C$38*($A509-Ft!C$2)^2) + Ft!D$3*EXP(Ft!D$38*($A509-Ft!D$2)^2)+Ft!E$3*EXP(Ft!E$38*($A509-Ft!E$2)^2) +Ft!F$3*EXP(Ft!F$38*($A509-Ft!F$2)^2) + Ft!G$3*EXP(Ft!G$38*($A509-Ft!G$2)^2)</f>
        <v>19.012850121121545</v>
      </c>
      <c r="E509" s="26">
        <f>Ft!B$3*EXP(Ft!B$38*($A509-Ft!B$2)^2)</f>
        <v>2.3122419162069243E-116</v>
      </c>
      <c r="F509" s="26">
        <f>Ft!C$3*EXP(Ft!C$38*($A509-Ft!C$2)^2)</f>
        <v>2.7460751984557908E-4</v>
      </c>
      <c r="G509" s="26">
        <f>Ft!D$3*EXP(Ft!D$38*($A509-Ft!D$2)^2)</f>
        <v>16.000601114961771</v>
      </c>
      <c r="H509" s="26">
        <f>Ft!E$3*EXP(Ft!E$38*($A509-Ft!E$2)^2)</f>
        <v>3.0119743986399303</v>
      </c>
      <c r="I509" s="26">
        <f>Ft!F$3*EXP(Ft!F$38*($A509-Ft!F$2)^2)</f>
        <v>9.2580143746038151E-52</v>
      </c>
      <c r="J509" s="26">
        <f>Ft!G$3*EXP(Ft!G$38*($A509-Ft!G$2)^2)</f>
        <v>0</v>
      </c>
    </row>
    <row r="510" spans="1:10">
      <c r="A510" s="19">
        <v>508</v>
      </c>
      <c r="B510" s="28">
        <v>22.534910423374157</v>
      </c>
      <c r="C510" s="27">
        <f ca="1">OFFSET($B510,1*(ROWS(C$2:C510)-1),0)</f>
        <v>0</v>
      </c>
      <c r="D510" s="26">
        <f>Ft!B$3*EXP(Ft!B$38*($A510-Ft!B$2)^2) +Ft!C$3*EXP(Ft!C$38*($A510-Ft!C$2)^2) + Ft!D$3*EXP(Ft!D$38*($A510-Ft!D$2)^2)+Ft!E$3*EXP(Ft!E$38*($A510-Ft!E$2)^2) +Ft!F$3*EXP(Ft!F$38*($A510-Ft!F$2)^2) + Ft!G$3*EXP(Ft!G$38*($A510-Ft!G$2)^2)</f>
        <v>18.998740445508744</v>
      </c>
      <c r="E510" s="26">
        <f>Ft!B$3*EXP(Ft!B$38*($A510-Ft!B$2)^2)</f>
        <v>7.2465143561572406E-117</v>
      </c>
      <c r="F510" s="26">
        <f>Ft!C$3*EXP(Ft!C$38*($A510-Ft!C$2)^2)</f>
        <v>2.5936768396577024E-4</v>
      </c>
      <c r="G510" s="26">
        <f>Ft!D$3*EXP(Ft!D$38*($A510-Ft!D$2)^2)</f>
        <v>15.953391967652648</v>
      </c>
      <c r="H510" s="26">
        <f>Ft!E$3*EXP(Ft!E$38*($A510-Ft!E$2)^2)</f>
        <v>3.0450891101721318</v>
      </c>
      <c r="I510" s="26">
        <f>Ft!F$3*EXP(Ft!F$38*($A510-Ft!F$2)^2)</f>
        <v>1.4592544428620788E-51</v>
      </c>
      <c r="J510" s="26">
        <f>Ft!G$3*EXP(Ft!G$38*($A510-Ft!G$2)^2)</f>
        <v>0</v>
      </c>
    </row>
    <row r="511" spans="1:10">
      <c r="A511" s="19">
        <v>509</v>
      </c>
      <c r="B511" s="28">
        <v>22.350434129686079</v>
      </c>
      <c r="C511" s="27">
        <f ca="1">OFFSET($B511,1*(ROWS(C$2:C511)-1),0)</f>
        <v>0</v>
      </c>
      <c r="D511" s="26">
        <f>Ft!B$3*EXP(Ft!B$38*($A511-Ft!B$2)^2) +Ft!C$3*EXP(Ft!C$38*($A511-Ft!C$2)^2) + Ft!D$3*EXP(Ft!D$38*($A511-Ft!D$2)^2)+Ft!E$3*EXP(Ft!E$38*($A511-Ft!E$2)^2) +Ft!F$3*EXP(Ft!F$38*($A511-Ft!F$2)^2) + Ft!G$3*EXP(Ft!G$38*($A511-Ft!G$2)^2)</f>
        <v>18.984349302450486</v>
      </c>
      <c r="E511" s="26">
        <f>Ft!B$3*EXP(Ft!B$38*($A511-Ft!B$2)^2)</f>
        <v>2.2653443017400918E-117</v>
      </c>
      <c r="F511" s="26">
        <f>Ft!C$3*EXP(Ft!C$38*($A511-Ft!C$2)^2)</f>
        <v>2.4493553662721684E-4</v>
      </c>
      <c r="G511" s="26">
        <f>Ft!D$3*EXP(Ft!D$38*($A511-Ft!D$2)^2)</f>
        <v>15.905645568533656</v>
      </c>
      <c r="H511" s="26">
        <f>Ft!E$3*EXP(Ft!E$38*($A511-Ft!E$2)^2)</f>
        <v>3.0784587983802036</v>
      </c>
      <c r="I511" s="26">
        <f>Ft!F$3*EXP(Ft!F$38*($A511-Ft!F$2)^2)</f>
        <v>2.298089789663884E-51</v>
      </c>
      <c r="J511" s="26">
        <f>Ft!G$3*EXP(Ft!G$38*($A511-Ft!G$2)^2)</f>
        <v>0</v>
      </c>
    </row>
    <row r="512" spans="1:10">
      <c r="A512" s="19">
        <v>510</v>
      </c>
      <c r="B512" s="28">
        <v>22.153934795339836</v>
      </c>
      <c r="C512" s="27">
        <f ca="1">OFFSET($B512,1*(ROWS(C$2:C512)-1),0)</f>
        <v>0</v>
      </c>
      <c r="D512" s="26">
        <f>Ft!B$3*EXP(Ft!B$38*($A512-Ft!B$2)^2) +Ft!C$3*EXP(Ft!C$38*($A512-Ft!C$2)^2) + Ft!D$3*EXP(Ft!D$38*($A512-Ft!D$2)^2)+Ft!E$3*EXP(Ft!E$38*($A512-Ft!E$2)^2) +Ft!F$3*EXP(Ft!F$38*($A512-Ft!F$2)^2) + Ft!G$3*EXP(Ft!G$38*($A512-Ft!G$2)^2)</f>
        <v>18.969682730890192</v>
      </c>
      <c r="E512" s="26">
        <f>Ft!B$3*EXP(Ft!B$38*($A512-Ft!B$2)^2)</f>
        <v>7.0639636178077629E-118</v>
      </c>
      <c r="F512" s="26">
        <f>Ft!C$3*EXP(Ft!C$38*($A512-Ft!C$2)^2)</f>
        <v>2.3127049638084718E-4</v>
      </c>
      <c r="G512" s="26">
        <f>Ft!D$3*EXP(Ft!D$38*($A512-Ft!D$2)^2)</f>
        <v>15.857367581027651</v>
      </c>
      <c r="H512" s="26">
        <f>Ft!E$3*EXP(Ft!E$38*($A512-Ft!E$2)^2)</f>
        <v>3.11208387936616</v>
      </c>
      <c r="I512" s="26">
        <f>Ft!F$3*EXP(Ft!F$38*($A512-Ft!F$2)^2)</f>
        <v>3.6159778176158224E-51</v>
      </c>
      <c r="J512" s="26">
        <f>Ft!G$3*EXP(Ft!G$38*($A512-Ft!G$2)^2)</f>
        <v>0</v>
      </c>
    </row>
    <row r="513" spans="1:10">
      <c r="A513" s="19">
        <v>511</v>
      </c>
      <c r="B513" s="28">
        <v>21.955634800836208</v>
      </c>
      <c r="C513" s="27">
        <f ca="1">OFFSET($B513,1*(ROWS(C$2:C513)-1),0)</f>
        <v>0</v>
      </c>
      <c r="D513" s="26">
        <f>Ft!B$3*EXP(Ft!B$38*($A513-Ft!B$2)^2) +Ft!C$3*EXP(Ft!C$38*($A513-Ft!C$2)^2) + Ft!D$3*EXP(Ft!D$38*($A513-Ft!D$2)^2)+Ft!E$3*EXP(Ft!E$38*($A513-Ft!E$2)^2) +Ft!F$3*EXP(Ft!F$38*($A513-Ft!F$2)^2) + Ft!G$3*EXP(Ft!G$38*($A513-Ft!G$2)^2)</f>
        <v>18.954746799594613</v>
      </c>
      <c r="E513" s="26">
        <f>Ft!B$3*EXP(Ft!B$38*($A513-Ft!B$2)^2)</f>
        <v>2.1972115004858642E-118</v>
      </c>
      <c r="F513" s="26">
        <f>Ft!C$3*EXP(Ft!C$38*($A513-Ft!C$2)^2)</f>
        <v>2.1833389516316823E-4</v>
      </c>
      <c r="G513" s="26">
        <f>Ft!D$3*EXP(Ft!D$38*($A513-Ft!D$2)^2)</f>
        <v>15.808563719215043</v>
      </c>
      <c r="H513" s="26">
        <f>Ft!E$3*EXP(Ft!E$38*($A513-Ft!E$2)^2)</f>
        <v>3.1459647464844083</v>
      </c>
      <c r="I513" s="26">
        <f>Ft!F$3*EXP(Ft!F$38*($A513-Ft!F$2)^2)</f>
        <v>5.6846969501046499E-51</v>
      </c>
      <c r="J513" s="26">
        <f>Ft!G$3*EXP(Ft!G$38*($A513-Ft!G$2)^2)</f>
        <v>0</v>
      </c>
    </row>
    <row r="514" spans="1:10">
      <c r="A514" s="19">
        <v>512</v>
      </c>
      <c r="B514" s="28">
        <v>21.781066004622971</v>
      </c>
      <c r="C514" s="27">
        <f ca="1">OFFSET($B514,1*(ROWS(C$2:C514)-1),0)</f>
        <v>0</v>
      </c>
      <c r="D514" s="26">
        <f>Ft!B$3*EXP(Ft!B$38*($A514-Ft!B$2)^2) +Ft!C$3*EXP(Ft!C$38*($A514-Ft!C$2)^2) + Ft!D$3*EXP(Ft!D$38*($A514-Ft!D$2)^2)+Ft!E$3*EXP(Ft!E$38*($A514-Ft!E$2)^2) +Ft!F$3*EXP(Ft!F$38*($A514-Ft!F$2)^2) + Ft!G$3*EXP(Ft!G$38*($A514-Ft!G$2)^2)</f>
        <v>18.939547605641515</v>
      </c>
      <c r="E514" s="26">
        <f>Ft!B$3*EXP(Ft!B$38*($A514-Ft!B$2)^2)</f>
        <v>6.8171750744479631E-119</v>
      </c>
      <c r="F514" s="26">
        <f>Ft!C$3*EXP(Ft!C$38*($A514-Ft!C$2)^2)</f>
        <v>2.0608889491425164E-4</v>
      </c>
      <c r="G514" s="26">
        <f>Ft!D$3*EXP(Ft!D$38*($A514-Ft!D$2)^2)</f>
        <v>15.759239746709373</v>
      </c>
      <c r="H514" s="26">
        <f>Ft!E$3*EXP(Ft!E$38*($A514-Ft!E$2)^2)</f>
        <v>3.180101770037226</v>
      </c>
      <c r="I514" s="26">
        <f>Ft!F$3*EXP(Ft!F$38*($A514-Ft!F$2)^2)</f>
        <v>8.9291819537839414E-51</v>
      </c>
      <c r="J514" s="26">
        <f>Ft!G$3*EXP(Ft!G$38*($A514-Ft!G$2)^2)</f>
        <v>0</v>
      </c>
    </row>
    <row r="515" spans="1:10">
      <c r="A515" s="19">
        <v>513</v>
      </c>
      <c r="B515" s="28">
        <v>21.587180426556785</v>
      </c>
      <c r="C515" s="27">
        <f ca="1">OFFSET($B515,1*(ROWS(C$2:C515)-1),0)</f>
        <v>0</v>
      </c>
      <c r="D515" s="26">
        <f>Ft!B$3*EXP(Ft!B$38*($A515-Ft!B$2)^2) +Ft!C$3*EXP(Ft!C$38*($A515-Ft!C$2)^2) + Ft!D$3*EXP(Ft!D$38*($A515-Ft!D$2)^2)+Ft!E$3*EXP(Ft!E$38*($A515-Ft!E$2)^2) +Ft!F$3*EXP(Ft!F$38*($A515-Ft!F$2)^2) + Ft!G$3*EXP(Ft!G$38*($A515-Ft!G$2)^2)</f>
        <v>18.92409127290432</v>
      </c>
      <c r="E515" s="26">
        <f>Ft!B$3*EXP(Ft!B$38*($A515-Ft!B$2)^2)</f>
        <v>2.1098238895034879E-119</v>
      </c>
      <c r="F515" s="26">
        <f>Ft!C$3*EXP(Ft!C$38*($A515-Ft!C$2)^2)</f>
        <v>1.9450040747156239E-4</v>
      </c>
      <c r="G515" s="26">
        <f>Ft!D$3*EXP(Ft!D$38*($A515-Ft!D$2)^2)</f>
        <v>15.709401475525823</v>
      </c>
      <c r="H515" s="26">
        <f>Ft!E$3*EXP(Ft!E$38*($A515-Ft!E$2)^2)</f>
        <v>3.2144952969710237</v>
      </c>
      <c r="I515" s="26">
        <f>Ft!F$3*EXP(Ft!F$38*($A515-Ft!F$2)^2)</f>
        <v>1.4013248505631434E-50</v>
      </c>
      <c r="J515" s="26">
        <f>Ft!G$3*EXP(Ft!G$38*($A515-Ft!G$2)^2)</f>
        <v>0</v>
      </c>
    </row>
    <row r="516" spans="1:10">
      <c r="A516" s="19">
        <v>514</v>
      </c>
      <c r="B516" s="28">
        <v>21.404072852153035</v>
      </c>
      <c r="C516" s="27">
        <f ca="1">OFFSET($B516,1*(ROWS(C$2:C516)-1),0)</f>
        <v>0</v>
      </c>
      <c r="D516" s="26">
        <f>Ft!B$3*EXP(Ft!B$38*($A516-Ft!B$2)^2) +Ft!C$3*EXP(Ft!C$38*($A516-Ft!C$2)^2) + Ft!D$3*EXP(Ft!D$38*($A516-Ft!D$2)^2)+Ft!E$3*EXP(Ft!E$38*($A516-Ft!E$2)^2) +Ft!F$3*EXP(Ft!F$38*($A516-Ft!F$2)^2) + Ft!G$3*EXP(Ft!G$38*($A516-Ft!G$2)^2)</f>
        <v>18.908383950534045</v>
      </c>
      <c r="E516" s="26">
        <f>Ft!B$3*EXP(Ft!B$38*($A516-Ft!B$2)^2)</f>
        <v>6.5132408469232057E-120</v>
      </c>
      <c r="F516" s="26">
        <f>Ft!C$3*EXP(Ft!C$38*($A516-Ft!C$2)^2)</f>
        <v>1.8353501762899044E-4</v>
      </c>
      <c r="G516" s="26">
        <f>Ft!D$3*EXP(Ft!D$38*($A516-Ft!D$2)^2)</f>
        <v>15.659054764942953</v>
      </c>
      <c r="H516" s="26">
        <f>Ft!E$3*EXP(Ft!E$38*($A516-Ft!E$2)^2)</f>
        <v>3.2491456505734631</v>
      </c>
      <c r="I516" s="26">
        <f>Ft!F$3*EXP(Ft!F$38*($A516-Ft!F$2)^2)</f>
        <v>2.1972970365363581E-50</v>
      </c>
      <c r="J516" s="26">
        <f>Ft!G$3*EXP(Ft!G$38*($A516-Ft!G$2)^2)</f>
        <v>0</v>
      </c>
    </row>
    <row r="517" spans="1:10">
      <c r="A517" s="19">
        <v>515</v>
      </c>
      <c r="B517" s="28">
        <v>21.213368624845543</v>
      </c>
      <c r="C517" s="27">
        <f ca="1">OFFSET($B517,1*(ROWS(C$2:C517)-1),0)</f>
        <v>0</v>
      </c>
      <c r="D517" s="26">
        <f>Ft!B$3*EXP(Ft!B$38*($A517-Ft!B$2)^2) +Ft!C$3*EXP(Ft!C$38*($A517-Ft!C$2)^2) + Ft!D$3*EXP(Ft!D$38*($A517-Ft!D$2)^2)+Ft!E$3*EXP(Ft!E$38*($A517-Ft!E$2)^2) +Ft!F$3*EXP(Ft!F$38*($A517-Ft!F$2)^2) + Ft!G$3*EXP(Ft!G$38*($A517-Ft!G$2)^2)</f>
        <v>18.892431811438737</v>
      </c>
      <c r="E517" s="26">
        <f>Ft!B$3*EXP(Ft!B$38*($A517-Ft!B$2)^2)</f>
        <v>2.0056596818854494E-120</v>
      </c>
      <c r="F517" s="26">
        <f>Ft!C$3*EXP(Ft!C$38*($A517-Ft!C$2)^2)</f>
        <v>1.731609092532898E-4</v>
      </c>
      <c r="G517" s="26">
        <f>Ft!D$3*EXP(Ft!D$38*($A517-Ft!D$2)^2)</f>
        <v>15.60820552035797</v>
      </c>
      <c r="H517" s="26">
        <f>Ft!E$3*EXP(Ft!E$38*($A517-Ft!E$2)^2)</f>
        <v>3.2840531301715141</v>
      </c>
      <c r="I517" s="26">
        <f>Ft!F$3*EXP(Ft!F$38*($A517-Ft!F$2)^2)</f>
        <v>3.4424014163053142E-50</v>
      </c>
      <c r="J517" s="26">
        <f>Ft!G$3*EXP(Ft!G$38*($A517-Ft!G$2)^2)</f>
        <v>0</v>
      </c>
    </row>
    <row r="518" spans="1:10">
      <c r="A518" s="19">
        <v>516</v>
      </c>
      <c r="B518" s="28">
        <v>21.013562463341771</v>
      </c>
      <c r="C518" s="27">
        <f ca="1">OFFSET($B518,1*(ROWS(C$2:C518)-1),0)</f>
        <v>0</v>
      </c>
      <c r="D518" s="26">
        <f>Ft!B$3*EXP(Ft!B$38*($A518-Ft!B$2)^2) +Ft!C$3*EXP(Ft!C$38*($A518-Ft!C$2)^2) + Ft!D$3*EXP(Ft!D$38*($A518-Ft!D$2)^2)+Ft!E$3*EXP(Ft!E$38*($A518-Ft!E$2)^2) +Ft!F$3*EXP(Ft!F$38*($A518-Ft!F$2)^2) + Ft!G$3*EXP(Ft!G$38*($A518-Ft!G$2)^2)</f>
        <v>18.876241050760722</v>
      </c>
      <c r="E518" s="26">
        <f>Ft!B$3*EXP(Ft!B$38*($A518-Ft!B$2)^2)</f>
        <v>6.1606498403248575E-121</v>
      </c>
      <c r="F518" s="26">
        <f>Ft!C$3*EXP(Ft!C$38*($A518-Ft!C$2)^2)</f>
        <v>1.6334779435295512E-4</v>
      </c>
      <c r="G518" s="26">
        <f>Ft!D$3*EXP(Ft!D$38*($A518-Ft!D$2)^2)</f>
        <v>15.556859692135854</v>
      </c>
      <c r="H518" s="26">
        <f>Ft!E$3*EXP(Ft!E$38*($A518-Ft!E$2)^2)</f>
        <v>3.3192180108305154</v>
      </c>
      <c r="I518" s="26">
        <f>Ft!F$3*EXP(Ft!F$38*($A518-Ft!F$2)^2)</f>
        <v>5.3883655269417546E-50</v>
      </c>
      <c r="J518" s="26">
        <f>Ft!G$3*EXP(Ft!G$38*($A518-Ft!G$2)^2)</f>
        <v>0</v>
      </c>
    </row>
    <row r="519" spans="1:10">
      <c r="A519" s="19">
        <v>517</v>
      </c>
      <c r="B519" s="28">
        <v>20.815758547748771</v>
      </c>
      <c r="C519" s="27">
        <f ca="1">OFFSET($B519,1*(ROWS(C$2:C519)-1),0)</f>
        <v>0</v>
      </c>
      <c r="D519" s="26">
        <f>Ft!B$3*EXP(Ft!B$38*($A519-Ft!B$2)^2) +Ft!C$3*EXP(Ft!C$38*($A519-Ft!C$2)^2) + Ft!D$3*EXP(Ft!D$38*($A519-Ft!D$2)^2)+Ft!E$3*EXP(Ft!E$38*($A519-Ft!E$2)^2) +Ft!F$3*EXP(Ft!F$38*($A519-Ft!F$2)^2) + Ft!G$3*EXP(Ft!G$38*($A519-Ft!G$2)^2)</f>
        <v>18.859817884351973</v>
      </c>
      <c r="E519" s="26">
        <f>Ft!B$3*EXP(Ft!B$38*($A519-Ft!B$2)^2)</f>
        <v>1.8875783171432764E-121</v>
      </c>
      <c r="F519" s="26">
        <f>Ft!C$3*EXP(Ft!C$38*($A519-Ft!C$2)^2)</f>
        <v>1.5406684499735362E-4</v>
      </c>
      <c r="G519" s="26">
        <f>Ft!D$3*EXP(Ft!D$38*($A519-Ft!D$2)^2)</f>
        <v>15.50502327445265</v>
      </c>
      <c r="H519" s="26">
        <f>Ft!E$3*EXP(Ft!E$38*($A519-Ft!E$2)^2)</f>
        <v>3.3546405430543245</v>
      </c>
      <c r="I519" s="26">
        <f>Ft!F$3*EXP(Ft!F$38*($A519-Ft!F$2)^2)</f>
        <v>8.4270463323431233E-50</v>
      </c>
      <c r="J519" s="26">
        <f>Ft!G$3*EXP(Ft!G$38*($A519-Ft!G$2)^2)</f>
        <v>0</v>
      </c>
    </row>
    <row r="520" spans="1:10">
      <c r="A520" s="19">
        <v>518</v>
      </c>
      <c r="B520" s="28">
        <v>20.641151346705755</v>
      </c>
      <c r="C520" s="27">
        <f ca="1">OFFSET($B520,1*(ROWS(C$2:C520)-1),0)</f>
        <v>0</v>
      </c>
      <c r="D520" s="26">
        <f>Ft!B$3*EXP(Ft!B$38*($A520-Ft!B$2)^2) +Ft!C$3*EXP(Ft!C$38*($A520-Ft!C$2)^2) + Ft!D$3*EXP(Ft!D$38*($A520-Ft!D$2)^2)+Ft!E$3*EXP(Ft!E$38*($A520-Ft!E$2)^2) +Ft!F$3*EXP(Ft!F$38*($A520-Ft!F$2)^2) + Ft!G$3*EXP(Ft!G$38*($A520-Ft!G$2)^2)</f>
        <v>18.843168547247853</v>
      </c>
      <c r="E520" s="26">
        <f>Ft!B$3*EXP(Ft!B$38*($A520-Ft!B$2)^2)</f>
        <v>5.7688946622037786E-122</v>
      </c>
      <c r="F520" s="26">
        <f>Ft!C$3*EXP(Ft!C$38*($A520-Ft!C$2)^2)</f>
        <v>1.452906279866874E-4</v>
      </c>
      <c r="G520" s="26">
        <f>Ft!D$3*EXP(Ft!D$38*($A520-Ft!D$2)^2)</f>
        <v>15.452702304133245</v>
      </c>
      <c r="H520" s="26">
        <f>Ft!E$3*EXP(Ft!E$38*($A520-Ft!E$2)^2)</f>
        <v>3.3903209524866207</v>
      </c>
      <c r="I520" s="26">
        <f>Ft!F$3*EXP(Ft!F$38*($A520-Ft!F$2)^2)</f>
        <v>1.316789970069249E-49</v>
      </c>
      <c r="J520" s="26">
        <f>Ft!G$3*EXP(Ft!G$38*($A520-Ft!G$2)^2)</f>
        <v>0</v>
      </c>
    </row>
    <row r="521" spans="1:10">
      <c r="A521" s="19">
        <v>519</v>
      </c>
      <c r="B521" s="28">
        <v>20.466362429682363</v>
      </c>
      <c r="C521" s="27">
        <f ca="1">OFFSET($B521,1*(ROWS(C$2:C521)-1),0)</f>
        <v>0</v>
      </c>
      <c r="D521" s="26">
        <f>Ft!B$3*EXP(Ft!B$38*($A521-Ft!B$2)^2) +Ft!C$3*EXP(Ft!C$38*($A521-Ft!C$2)^2) + Ft!D$3*EXP(Ft!D$38*($A521-Ft!D$2)^2)+Ft!E$3*EXP(Ft!E$38*($A521-Ft!E$2)^2) +Ft!F$3*EXP(Ft!F$38*($A521-Ft!F$2)^2) + Ft!G$3*EXP(Ft!G$38*($A521-Ft!G$2)^2)</f>
        <v>18.826299292139545</v>
      </c>
      <c r="E521" s="26">
        <f>Ft!B$3*EXP(Ft!B$38*($A521-Ft!B$2)^2)</f>
        <v>1.7586904781635401E-122</v>
      </c>
      <c r="F521" s="26">
        <f>Ft!C$3*EXP(Ft!C$38*($A521-Ft!C$2)^2)</f>
        <v>1.3699304217607727E-4</v>
      </c>
      <c r="G521" s="26">
        <f>Ft!D$3*EXP(Ft!D$38*($A521-Ft!D$2)^2)</f>
        <v>15.399902859483923</v>
      </c>
      <c r="H521" s="26">
        <f>Ft!E$3*EXP(Ft!E$38*($A521-Ft!E$2)^2)</f>
        <v>3.4262594396134456</v>
      </c>
      <c r="I521" s="26">
        <f>Ft!F$3*EXP(Ft!F$38*($A521-Ft!F$2)^2)</f>
        <v>2.0557979730627086E-49</v>
      </c>
      <c r="J521" s="26">
        <f>Ft!G$3*EXP(Ft!G$38*($A521-Ft!G$2)^2)</f>
        <v>0</v>
      </c>
    </row>
    <row r="522" spans="1:10">
      <c r="A522" s="19">
        <v>520</v>
      </c>
      <c r="B522" s="28">
        <v>20.279577940908041</v>
      </c>
      <c r="C522" s="27">
        <f ca="1">OFFSET($B522,1*(ROWS(C$2:C522)-1),0)</f>
        <v>0</v>
      </c>
      <c r="D522" s="26">
        <f>Ft!B$3*EXP(Ft!B$38*($A522-Ft!B$2)^2) +Ft!C$3*EXP(Ft!C$38*($A522-Ft!C$2)^2) + Ft!D$3*EXP(Ft!D$38*($A522-Ft!D$2)^2)+Ft!E$3*EXP(Ft!E$38*($A522-Ft!E$2)^2) +Ft!F$3*EXP(Ft!F$38*($A522-Ft!F$2)^2) + Ft!G$3*EXP(Ft!G$38*($A522-Ft!G$2)^2)</f>
        <v>18.809216387845463</v>
      </c>
      <c r="E522" s="26">
        <f>Ft!B$3*EXP(Ft!B$38*($A522-Ft!B$2)^2)</f>
        <v>5.3480491478758483E-123</v>
      </c>
      <c r="F522" s="26">
        <f>Ft!C$3*EXP(Ft!C$38*($A522-Ft!C$2)^2)</f>
        <v>1.2914925835974823E-4</v>
      </c>
      <c r="G522" s="26">
        <f>Ft!D$3*EXP(Ft!D$38*($A522-Ft!D$2)^2)</f>
        <v>15.346631059120044</v>
      </c>
      <c r="H522" s="26">
        <f>Ft!E$3*EXP(Ft!E$38*($A522-Ft!E$2)^2)</f>
        <v>3.462456179467059</v>
      </c>
      <c r="I522" s="26">
        <f>Ft!F$3*EXP(Ft!F$38*($A522-Ft!F$2)^2)</f>
        <v>3.2067651311860786E-49</v>
      </c>
      <c r="J522" s="26">
        <f>Ft!G$3*EXP(Ft!G$38*($A522-Ft!G$2)^2)</f>
        <v>0</v>
      </c>
    </row>
    <row r="523" spans="1:10">
      <c r="A523" s="19">
        <v>521</v>
      </c>
      <c r="B523" s="28">
        <v>20.087938151546609</v>
      </c>
      <c r="C523" s="27">
        <f ca="1">OFFSET($B523,1*(ROWS(C$2:C523)-1),0)</f>
        <v>0</v>
      </c>
      <c r="D523" s="26">
        <f>Ft!B$3*EXP(Ft!B$38*($A523-Ft!B$2)^2) +Ft!C$3*EXP(Ft!C$38*($A523-Ft!C$2)^2) + Ft!D$3*EXP(Ft!D$38*($A523-Ft!D$2)^2)+Ft!E$3*EXP(Ft!E$38*($A523-Ft!E$2)^2) +Ft!F$3*EXP(Ft!F$38*($A523-Ft!F$2)^2) + Ft!G$3*EXP(Ft!G$38*($A523-Ft!G$2)^2)</f>
        <v>18.791926117781937</v>
      </c>
      <c r="E523" s="26">
        <f>Ft!B$3*EXP(Ft!B$38*($A523-Ft!B$2)^2)</f>
        <v>1.622222950728853E-123</v>
      </c>
      <c r="F523" s="26">
        <f>Ft!C$3*EXP(Ft!C$38*($A523-Ft!C$2)^2)</f>
        <v>1.2173566162393123E-4</v>
      </c>
      <c r="G523" s="26">
        <f>Ft!D$3*EXP(Ft!D$38*($A523-Ft!D$2)^2)</f>
        <v>15.292893060789133</v>
      </c>
      <c r="H523" s="26">
        <f>Ft!E$3*EXP(Ft!E$38*($A523-Ft!E$2)^2)</f>
        <v>3.4989113213311787</v>
      </c>
      <c r="I523" s="26">
        <f>Ft!F$3*EXP(Ft!F$38*($A523-Ft!F$2)^2)</f>
        <v>4.9977746196781405E-49</v>
      </c>
      <c r="J523" s="26">
        <f>Ft!G$3*EXP(Ft!G$38*($A523-Ft!G$2)^2)</f>
        <v>0</v>
      </c>
    </row>
    <row r="524" spans="1:10">
      <c r="A524" s="19">
        <v>522</v>
      </c>
      <c r="B524" s="28">
        <v>19.875594201563047</v>
      </c>
      <c r="C524" s="27">
        <f ca="1">OFFSET($B524,1*(ROWS(C$2:C524)-1),0)</f>
        <v>0</v>
      </c>
      <c r="D524" s="26">
        <f>Ft!B$3*EXP(Ft!B$38*($A524-Ft!B$2)^2) +Ft!C$3*EXP(Ft!C$38*($A524-Ft!C$2)^2) + Ft!D$3*EXP(Ft!D$38*($A524-Ft!D$2)^2)+Ft!E$3*EXP(Ft!E$38*($A524-Ft!E$2)^2) +Ft!F$3*EXP(Ft!F$38*($A524-Ft!F$2)^2) + Ft!G$3*EXP(Ft!G$38*($A524-Ft!G$2)^2)</f>
        <v>18.774434778433491</v>
      </c>
      <c r="E524" s="26">
        <f>Ft!B$3*EXP(Ft!B$38*($A524-Ft!B$2)^2)</f>
        <v>4.9083425838197037E-124</v>
      </c>
      <c r="F524" s="26">
        <f>Ft!C$3*EXP(Ft!C$38*($A524-Ft!C$2)^2)</f>
        <v>1.1472979607970876E-4</v>
      </c>
      <c r="G524" s="26">
        <f>Ft!D$3*EXP(Ft!D$38*($A524-Ft!D$2)^2)</f>
        <v>15.23869506018972</v>
      </c>
      <c r="H524" s="26">
        <f>Ft!E$3*EXP(Ft!E$38*($A524-Ft!E$2)^2)</f>
        <v>3.5356249884476925</v>
      </c>
      <c r="I524" s="26">
        <f>Ft!F$3*EXP(Ft!F$38*($A524-Ft!F$2)^2)</f>
        <v>7.782318078380545E-49</v>
      </c>
      <c r="J524" s="26">
        <f>Ft!G$3*EXP(Ft!G$38*($A524-Ft!G$2)^2)</f>
        <v>0</v>
      </c>
    </row>
    <row r="525" spans="1:10">
      <c r="A525" s="19">
        <v>523</v>
      </c>
      <c r="B525" s="28">
        <v>19.656844071669298</v>
      </c>
      <c r="C525" s="27">
        <f ca="1">OFFSET($B525,1*(ROWS(C$2:C525)-1),0)</f>
        <v>0</v>
      </c>
      <c r="D525" s="26">
        <f>Ft!B$3*EXP(Ft!B$38*($A525-Ft!B$2)^2) +Ft!C$3*EXP(Ft!C$38*($A525-Ft!C$2)^2) + Ft!D$3*EXP(Ft!D$38*($A525-Ft!D$2)^2)+Ft!E$3*EXP(Ft!E$38*($A525-Ft!E$2)^2) +Ft!F$3*EXP(Ft!F$38*($A525-Ft!F$2)^2) + Ft!G$3*EXP(Ft!G$38*($A525-Ft!G$2)^2)</f>
        <v>18.756748677823026</v>
      </c>
      <c r="E525" s="26">
        <f>Ft!B$3*EXP(Ft!B$38*($A525-Ft!B$2)^2)</f>
        <v>1.4813864478375505E-124</v>
      </c>
      <c r="F525" s="26">
        <f>Ft!C$3*EXP(Ft!C$38*($A525-Ft!C$2)^2)</f>
        <v>1.081103118895893E-4</v>
      </c>
      <c r="G525" s="26">
        <f>Ft!D$3*EXP(Ft!D$38*($A525-Ft!D$2)^2)</f>
        <v>15.184043289786221</v>
      </c>
      <c r="H525" s="26">
        <f>Ft!E$3*EXP(Ft!E$38*($A525-Ft!E$2)^2)</f>
        <v>3.5725972777249142</v>
      </c>
      <c r="I525" s="26">
        <f>Ft!F$3*EXP(Ft!F$38*($A525-Ft!F$2)^2)</f>
        <v>1.210776777900451E-48</v>
      </c>
      <c r="J525" s="26">
        <f>Ft!G$3*EXP(Ft!G$38*($A525-Ft!G$2)^2)</f>
        <v>0</v>
      </c>
    </row>
    <row r="526" spans="1:10">
      <c r="A526" s="19">
        <v>524</v>
      </c>
      <c r="B526" s="28">
        <v>19.444158818929907</v>
      </c>
      <c r="C526" s="27">
        <f ca="1">OFFSET($B526,1*(ROWS(C$2:C526)-1),0)</f>
        <v>0</v>
      </c>
      <c r="D526" s="26">
        <f>Ft!B$3*EXP(Ft!B$38*($A526-Ft!B$2)^2) +Ft!C$3*EXP(Ft!C$38*($A526-Ft!C$2)^2) + Ft!D$3*EXP(Ft!D$38*($A526-Ft!D$2)^2)+Ft!E$3*EXP(Ft!E$38*($A526-Ft!E$2)^2) +Ft!F$3*EXP(Ft!F$38*($A526-Ft!F$2)^2) + Ft!G$3*EXP(Ft!G$38*($A526-Ft!G$2)^2)</f>
        <v>18.738874133982161</v>
      </c>
      <c r="E526" s="26">
        <f>Ft!B$3*EXP(Ft!B$38*($A526-Ft!B$2)^2)</f>
        <v>4.4597554153554196E-125</v>
      </c>
      <c r="F526" s="26">
        <f>Ft!C$3*EXP(Ft!C$38*($A526-Ft!C$2)^2)</f>
        <v>1.0185691450411132E-4</v>
      </c>
      <c r="G526" s="26">
        <f>Ft!D$3*EXP(Ft!D$38*($A526-Ft!D$2)^2)</f>
        <v>15.128944017620197</v>
      </c>
      <c r="H526" s="26">
        <f>Ft!E$3*EXP(Ft!E$38*($A526-Ft!E$2)^2)</f>
        <v>3.6098282594474602</v>
      </c>
      <c r="I526" s="26">
        <f>Ft!F$3*EXP(Ft!F$38*($A526-Ft!F$2)^2)</f>
        <v>1.8820969192101168E-48</v>
      </c>
      <c r="J526" s="26">
        <f>Ft!G$3*EXP(Ft!G$38*($A526-Ft!G$2)^2)</f>
        <v>0</v>
      </c>
    </row>
    <row r="527" spans="1:10">
      <c r="A527" s="19">
        <v>525</v>
      </c>
      <c r="B527" s="28">
        <v>19.251929411520791</v>
      </c>
      <c r="C527" s="27">
        <f ca="1">OFFSET($B527,1*(ROWS(C$2:C527)-1),0)</f>
        <v>0</v>
      </c>
      <c r="D527" s="26">
        <f>Ft!B$3*EXP(Ft!B$38*($A527-Ft!B$2)^2) +Ft!C$3*EXP(Ft!C$38*($A527-Ft!C$2)^2) + Ft!D$3*EXP(Ft!D$38*($A527-Ft!D$2)^2)+Ft!E$3*EXP(Ft!E$38*($A527-Ft!E$2)^2) +Ft!F$3*EXP(Ft!F$38*($A527-Ft!F$2)^2) + Ft!G$3*EXP(Ft!G$38*($A527-Ft!G$2)^2)</f>
        <v>18.720817473422176</v>
      </c>
      <c r="E527" s="26">
        <f>Ft!B$3*EXP(Ft!B$38*($A527-Ft!B$2)^2)</f>
        <v>1.3392538081469421E-125</v>
      </c>
      <c r="F527" s="26">
        <f>Ft!C$3*EXP(Ft!C$38*($A527-Ft!C$2)^2)</f>
        <v>9.5950316027262317E-5</v>
      </c>
      <c r="G527" s="26">
        <f>Ft!D$3*EXP(Ft!D$38*($A527-Ft!D$2)^2)</f>
        <v>15.073403546118316</v>
      </c>
      <c r="H527" s="26">
        <f>Ft!E$3*EXP(Ft!E$38*($A527-Ft!E$2)^2)</f>
        <v>3.647317976987833</v>
      </c>
      <c r="I527" s="26">
        <f>Ft!F$3*EXP(Ft!F$38*($A527-Ft!F$2)^2)</f>
        <v>2.923093318689107E-48</v>
      </c>
      <c r="J527" s="26">
        <f>Ft!G$3*EXP(Ft!G$38*($A527-Ft!G$2)^2)</f>
        <v>0</v>
      </c>
    </row>
    <row r="528" spans="1:10">
      <c r="A528" s="19">
        <v>526</v>
      </c>
      <c r="B528" s="28">
        <v>19.0746168260753</v>
      </c>
      <c r="C528" s="27">
        <f ca="1">OFFSET($B528,1*(ROWS(C$2:C528)-1),0)</f>
        <v>0</v>
      </c>
      <c r="D528" s="26">
        <f>Ft!B$3*EXP(Ft!B$38*($A528-Ft!B$2)^2) +Ft!C$3*EXP(Ft!C$38*($A528-Ft!C$2)^2) + Ft!D$3*EXP(Ft!D$38*($A528-Ft!D$2)^2)+Ft!E$3*EXP(Ft!E$38*($A528-Ft!E$2)^2) +Ft!F$3*EXP(Ft!F$38*($A528-Ft!F$2)^2) + Ft!G$3*EXP(Ft!G$38*($A528-Ft!G$2)^2)</f>
        <v>18.702585029605682</v>
      </c>
      <c r="E528" s="26">
        <f>Ft!B$3*EXP(Ft!B$38*($A528-Ft!B$2)^2)</f>
        <v>4.0116581009627836E-126</v>
      </c>
      <c r="F528" s="26">
        <f>Ft!C$3*EXP(Ft!C$38*($A528-Ft!C$2)^2)</f>
        <v>9.0372188631922021E-5</v>
      </c>
      <c r="G528" s="26">
        <f>Ft!D$3*EXP(Ft!D$38*($A528-Ft!D$2)^2)</f>
        <v>15.017428210897261</v>
      </c>
      <c r="H528" s="26">
        <f>Ft!E$3*EXP(Ft!E$38*($A528-Ft!E$2)^2)</f>
        <v>3.68506644651979</v>
      </c>
      <c r="I528" s="26">
        <f>Ft!F$3*EXP(Ft!F$38*($A528-Ft!F$2)^2)</f>
        <v>4.5359282082585861E-48</v>
      </c>
      <c r="J528" s="26">
        <f>Ft!G$3*EXP(Ft!G$38*($A528-Ft!G$2)^2)</f>
        <v>0</v>
      </c>
    </row>
    <row r="529" spans="1:10">
      <c r="A529" s="19">
        <v>527</v>
      </c>
      <c r="B529" s="28">
        <v>18.878787364281266</v>
      </c>
      <c r="C529" s="27">
        <f ca="1">OFFSET($B529,1*(ROWS(C$2:C529)-1),0)</f>
        <v>0</v>
      </c>
      <c r="D529" s="26">
        <f>Ft!B$3*EXP(Ft!B$38*($A529-Ft!B$2)^2) +Ft!C$3*EXP(Ft!C$38*($A529-Ft!C$2)^2) + Ft!D$3*EXP(Ft!D$38*($A529-Ft!D$2)^2)+Ft!E$3*EXP(Ft!E$38*($A529-Ft!E$2)^2) +Ft!F$3*EXP(Ft!F$38*($A529-Ft!F$2)^2) + Ft!G$3*EXP(Ft!G$38*($A529-Ft!G$2)^2)</f>
        <v>18.684183141419538</v>
      </c>
      <c r="E529" s="26">
        <f>Ft!B$3*EXP(Ft!B$38*($A529-Ft!B$2)^2)</f>
        <v>1.1986547463338296E-126</v>
      </c>
      <c r="F529" s="26">
        <f>Ft!C$3*EXP(Ft!C$38*($A529-Ft!C$2)^2)</f>
        <v>8.5105119948926082E-5</v>
      </c>
      <c r="G529" s="26">
        <f>Ft!D$3*EXP(Ft!D$38*($A529-Ft!D$2)^2)</f>
        <v>14.961024379566027</v>
      </c>
      <c r="H529" s="26">
        <f>Ft!E$3*EXP(Ft!E$38*($A529-Ft!E$2)^2)</f>
        <v>3.7230736567335638</v>
      </c>
      <c r="I529" s="26">
        <f>Ft!F$3*EXP(Ft!F$38*($A529-Ft!F$2)^2)</f>
        <v>7.0325440250557595E-48</v>
      </c>
      <c r="J529" s="26">
        <f>Ft!G$3*EXP(Ft!G$38*($A529-Ft!G$2)^2)</f>
        <v>0</v>
      </c>
    </row>
    <row r="530" spans="1:10">
      <c r="A530" s="19">
        <v>528</v>
      </c>
      <c r="B530" s="28">
        <v>18.707452047603397</v>
      </c>
      <c r="C530" s="27">
        <f ca="1">OFFSET($B530,1*(ROWS(C$2:C530)-1),0)</f>
        <v>0</v>
      </c>
      <c r="D530" s="26">
        <f>Ft!B$3*EXP(Ft!B$38*($A530-Ft!B$2)^2) +Ft!C$3*EXP(Ft!C$38*($A530-Ft!C$2)^2) + Ft!D$3*EXP(Ft!D$38*($A530-Ft!D$2)^2)+Ft!E$3*EXP(Ft!E$38*($A530-Ft!E$2)^2) +Ft!F$3*EXP(Ft!F$38*($A530-Ft!F$2)^2) + Ft!G$3*EXP(Ft!G$38*($A530-Ft!G$2)^2)</f>
        <v>18.665618151649184</v>
      </c>
      <c r="E530" s="26">
        <f>Ft!B$3*EXP(Ft!B$38*($A530-Ft!B$2)^2)</f>
        <v>3.5725102246122498E-127</v>
      </c>
      <c r="F530" s="26">
        <f>Ft!C$3*EXP(Ft!C$38*($A530-Ft!C$2)^2)</f>
        <v>8.0132570355693269E-5</v>
      </c>
      <c r="G530" s="26">
        <f>Ft!D$3*EXP(Ft!D$38*($A530-Ft!D$2)^2)</f>
        <v>14.904198450525792</v>
      </c>
      <c r="H530" s="26">
        <f>Ft!E$3*EXP(Ft!E$38*($A530-Ft!E$2)^2)</f>
        <v>3.7613395685530375</v>
      </c>
      <c r="I530" s="26">
        <f>Ft!F$3*EXP(Ft!F$38*($A530-Ft!F$2)^2)</f>
        <v>1.0893853797994417E-47</v>
      </c>
      <c r="J530" s="26">
        <f>Ft!G$3*EXP(Ft!G$38*($A530-Ft!G$2)^2)</f>
        <v>0</v>
      </c>
    </row>
    <row r="531" spans="1:10">
      <c r="A531" s="19">
        <v>529</v>
      </c>
      <c r="B531" s="28">
        <v>18.521116622105041</v>
      </c>
      <c r="C531" s="27">
        <f ca="1">OFFSET($B531,1*(ROWS(C$2:C531)-1),0)</f>
        <v>0</v>
      </c>
      <c r="D531" s="26">
        <f>Ft!B$3*EXP(Ft!B$38*($A531-Ft!B$2)^2) +Ft!C$3*EXP(Ft!C$38*($A531-Ft!C$2)^2) + Ft!D$3*EXP(Ft!D$38*($A531-Ft!D$2)^2)+Ft!E$3*EXP(Ft!E$38*($A531-Ft!E$2)^2) +Ft!F$3*EXP(Ft!F$38*($A531-Ft!F$2)^2) + Ft!G$3*EXP(Ft!G$38*($A531-Ft!G$2)^2)</f>
        <v>18.6468964054548</v>
      </c>
      <c r="E531" s="26">
        <f>Ft!B$3*EXP(Ft!B$38*($A531-Ft!B$2)^2)</f>
        <v>1.0620917261566422E-127</v>
      </c>
      <c r="F531" s="26">
        <f>Ft!C$3*EXP(Ft!C$38*($A531-Ft!C$2)^2)</f>
        <v>7.5438832092643586E-5</v>
      </c>
      <c r="G531" s="26">
        <f>Ft!D$3*EXP(Ft!D$38*($A531-Ft!D$2)^2)</f>
        <v>14.846956851767768</v>
      </c>
      <c r="H531" s="26">
        <f>Ft!E$3*EXP(Ft!E$38*($A531-Ft!E$2)^2)</f>
        <v>3.7998641148549384</v>
      </c>
      <c r="I531" s="26">
        <f>Ft!F$3*EXP(Ft!F$38*($A531-Ft!F$2)^2)</f>
        <v>1.6860615354345295E-47</v>
      </c>
      <c r="J531" s="26">
        <f>Ft!G$3*EXP(Ft!G$38*($A531-Ft!G$2)^2)</f>
        <v>0</v>
      </c>
    </row>
    <row r="532" spans="1:10">
      <c r="A532" s="19">
        <v>530</v>
      </c>
      <c r="B532" s="28">
        <v>18.32138400004203</v>
      </c>
      <c r="C532" s="27">
        <f ca="1">OFFSET($B532,1*(ROWS(C$2:C532)-1),0)</f>
        <v>0</v>
      </c>
      <c r="D532" s="26">
        <f>Ft!B$3*EXP(Ft!B$38*($A532-Ft!B$2)^2) +Ft!C$3*EXP(Ft!C$38*($A532-Ft!C$2)^2) + Ft!D$3*EXP(Ft!D$38*($A532-Ft!D$2)^2)+Ft!E$3*EXP(Ft!E$38*($A532-Ft!E$2)^2) +Ft!F$3*EXP(Ft!F$38*($A532-Ft!F$2)^2) + Ft!G$3*EXP(Ft!G$38*($A532-Ft!G$2)^2)</f>
        <v>18.62802424884956</v>
      </c>
      <c r="E532" s="26">
        <f>Ft!B$3*EXP(Ft!B$38*($A532-Ft!B$2)^2)</f>
        <v>3.1496314984476802E-128</v>
      </c>
      <c r="F532" s="26">
        <f>Ft!C$3*EXP(Ft!C$38*($A532-Ft!C$2)^2)</f>
        <v>7.1008990137890997E-5</v>
      </c>
      <c r="G532" s="26">
        <f>Ft!D$3*EXP(Ft!D$38*($A532-Ft!D$2)^2)</f>
        <v>14.789306039669292</v>
      </c>
      <c r="H532" s="26">
        <f>Ft!E$3*EXP(Ft!E$38*($A532-Ft!E$2)^2)</f>
        <v>3.8386472001901293</v>
      </c>
      <c r="I532" s="26">
        <f>Ft!F$3*EXP(Ft!F$38*($A532-Ft!F$2)^2)</f>
        <v>2.6072825297873148E-47</v>
      </c>
      <c r="J532" s="26">
        <f>Ft!G$3*EXP(Ft!G$38*($A532-Ft!G$2)^2)</f>
        <v>0</v>
      </c>
    </row>
    <row r="533" spans="1:10">
      <c r="A533" s="19">
        <v>531</v>
      </c>
      <c r="B533" s="28">
        <v>18.122879585992337</v>
      </c>
      <c r="C533" s="27">
        <f ca="1">OFFSET($B533,1*(ROWS(C$2:C533)-1),0)</f>
        <v>0</v>
      </c>
      <c r="D533" s="26">
        <f>Ft!B$3*EXP(Ft!B$38*($A533-Ft!B$2)^2) +Ft!C$3*EXP(Ft!C$38*($A533-Ft!C$2)^2) + Ft!D$3*EXP(Ft!D$38*($A533-Ft!D$2)^2)+Ft!E$3*EXP(Ft!E$38*($A533-Ft!E$2)^2) +Ft!F$3*EXP(Ft!F$38*($A533-Ft!F$2)^2) + Ft!G$3*EXP(Ft!G$38*($A533-Ft!G$2)^2)</f>
        <v>18.609008027180369</v>
      </c>
      <c r="E533" s="26">
        <f>Ft!B$3*EXP(Ft!B$38*($A533-Ft!B$2)^2)</f>
        <v>9.3167971227183165E-129</v>
      </c>
      <c r="F533" s="26">
        <f>Ft!C$3*EXP(Ft!C$38*($A533-Ft!C$2)^2)</f>
        <v>6.6828884772887054E-5</v>
      </c>
      <c r="G533" s="26">
        <f>Ft!D$3*EXP(Ft!D$38*($A533-Ft!D$2)^2)</f>
        <v>14.731252497788498</v>
      </c>
      <c r="H533" s="26">
        <f>Ft!E$3*EXP(Ft!E$38*($A533-Ft!E$2)^2)</f>
        <v>3.8776887005070981</v>
      </c>
      <c r="I533" s="26">
        <f>Ft!F$3*EXP(Ft!F$38*($A533-Ft!F$2)^2)</f>
        <v>4.0283348536262545E-47</v>
      </c>
      <c r="J533" s="26">
        <f>Ft!G$3*EXP(Ft!G$38*($A533-Ft!G$2)^2)</f>
        <v>0</v>
      </c>
    </row>
    <row r="534" spans="1:10">
      <c r="A534" s="19">
        <v>532</v>
      </c>
      <c r="B534" s="28">
        <v>17.937824779081382</v>
      </c>
      <c r="C534" s="27">
        <f ca="1">OFFSET($B534,1*(ROWS(C$2:C534)-1),0)</f>
        <v>0</v>
      </c>
      <c r="D534" s="26">
        <f>Ft!B$3*EXP(Ft!B$38*($A534-Ft!B$2)^2) +Ft!C$3*EXP(Ft!C$38*($A534-Ft!C$2)^2) + Ft!D$3*EXP(Ft!D$38*($A534-Ft!D$2)^2)+Ft!E$3*EXP(Ft!E$38*($A534-Ft!E$2)^2) +Ft!F$3*EXP(Ft!F$38*($A534-Ft!F$2)^2) + Ft!G$3*EXP(Ft!G$38*($A534-Ft!G$2)^2)</f>
        <v>18.589854083611353</v>
      </c>
      <c r="E534" s="26">
        <f>Ft!B$3*EXP(Ft!B$38*($A534-Ft!B$2)^2)</f>
        <v>2.7490504274450777E-129</v>
      </c>
      <c r="F534" s="26">
        <f>Ft!C$3*EXP(Ft!C$38*($A534-Ft!C$2)^2)</f>
        <v>6.2885075773851473E-5</v>
      </c>
      <c r="G534" s="26">
        <f>Ft!D$3*EXP(Ft!D$38*($A534-Ft!D$2)^2)</f>
        <v>14.672802735657879</v>
      </c>
      <c r="H534" s="26">
        <f>Ft!E$3*EXP(Ft!E$38*($A534-Ft!E$2)^2)</f>
        <v>3.9169884628777005</v>
      </c>
      <c r="I534" s="26">
        <f>Ft!F$3*EXP(Ft!F$38*($A534-Ft!F$2)^2)</f>
        <v>6.2185027207625456E-47</v>
      </c>
      <c r="J534" s="26">
        <f>Ft!G$3*EXP(Ft!G$38*($A534-Ft!G$2)^2)</f>
        <v>0</v>
      </c>
    </row>
    <row r="535" spans="1:10">
      <c r="A535" s="19">
        <v>533</v>
      </c>
      <c r="B535" s="28">
        <v>17.746935522827329</v>
      </c>
      <c r="C535" s="27">
        <f ca="1">OFFSET($B535,1*(ROWS(C$2:C535)-1),0)</f>
        <v>0</v>
      </c>
      <c r="D535" s="26">
        <f>Ft!B$3*EXP(Ft!B$38*($A535-Ft!B$2)^2) +Ft!C$3*EXP(Ft!C$38*($A535-Ft!C$2)^2) + Ft!D$3*EXP(Ft!D$38*($A535-Ft!D$2)^2)+Ft!E$3*EXP(Ft!E$38*($A535-Ft!E$2)^2) +Ft!F$3*EXP(Ft!F$38*($A535-Ft!F$2)^2) + Ft!G$3*EXP(Ft!G$38*($A535-Ft!G$2)^2)</f>
        <v>18.570568757610463</v>
      </c>
      <c r="E535" s="26">
        <f>Ft!B$3*EXP(Ft!B$38*($A535-Ft!B$2)^2)</f>
        <v>8.0911070732090395E-130</v>
      </c>
      <c r="F535" s="26">
        <f>Ft!C$3*EXP(Ft!C$38*($A535-Ft!C$2)^2)</f>
        <v>5.9164808165925448E-5</v>
      </c>
      <c r="G535" s="26">
        <f>Ft!D$3*EXP(Ft!D$38*($A535-Ft!D$2)^2)</f>
        <v>14.613963287577036</v>
      </c>
      <c r="H535" s="26">
        <f>Ft!E$3*EXP(Ft!E$38*($A535-Ft!E$2)^2)</f>
        <v>3.9565463052252614</v>
      </c>
      <c r="I535" s="26">
        <f>Ft!F$3*EXP(Ft!F$38*($A535-Ft!F$2)^2)</f>
        <v>9.5911103749742125E-47</v>
      </c>
      <c r="J535" s="26">
        <f>Ft!G$3*EXP(Ft!G$38*($A535-Ft!G$2)^2)</f>
        <v>0</v>
      </c>
    </row>
    <row r="536" spans="1:10">
      <c r="A536" s="19">
        <v>534</v>
      </c>
      <c r="B536" s="28">
        <v>17.564103574889884</v>
      </c>
      <c r="C536" s="27">
        <f ca="1">OFFSET($B536,1*(ROWS(C$2:C536)-1),0)</f>
        <v>0</v>
      </c>
      <c r="D536" s="26">
        <f>Ft!B$3*EXP(Ft!B$38*($A536-Ft!B$2)^2) +Ft!C$3*EXP(Ft!C$38*($A536-Ft!C$2)^2) + Ft!D$3*EXP(Ft!D$38*($A536-Ft!D$2)^2)+Ft!E$3*EXP(Ft!E$38*($A536-Ft!E$2)^2) +Ft!F$3*EXP(Ft!F$38*($A536-Ft!F$2)^2) + Ft!G$3*EXP(Ft!G$38*($A536-Ft!G$2)^2)</f>
        <v>18.551158383439528</v>
      </c>
      <c r="E536" s="26">
        <f>Ft!B$3*EXP(Ft!B$38*($A536-Ft!B$2)^2)</f>
        <v>2.3754306979282992E-130</v>
      </c>
      <c r="F536" s="26">
        <f>Ft!C$3*EXP(Ft!C$38*($A536-Ft!C$2)^2)</f>
        <v>5.5655979479045426E-5</v>
      </c>
      <c r="G536" s="26">
        <f>Ft!D$3*EXP(Ft!D$38*($A536-Ft!D$2)^2)</f>
        <v>14.55474071140495</v>
      </c>
      <c r="H536" s="26">
        <f>Ft!E$3*EXP(Ft!E$38*($A536-Ft!E$2)^2)</f>
        <v>3.9963620160551012</v>
      </c>
      <c r="I536" s="26">
        <f>Ft!F$3*EXP(Ft!F$38*($A536-Ft!F$2)^2)</f>
        <v>1.4780010568237153E-46</v>
      </c>
      <c r="J536" s="26">
        <f>Ft!G$3*EXP(Ft!G$38*($A536-Ft!G$2)^2)</f>
        <v>0</v>
      </c>
    </row>
    <row r="537" spans="1:10">
      <c r="A537" s="19">
        <v>535</v>
      </c>
      <c r="B537" s="28">
        <v>17.375260140419243</v>
      </c>
      <c r="C537" s="27">
        <f ca="1">OFFSET($B537,1*(ROWS(C$2:C537)-1),0)</f>
        <v>0</v>
      </c>
      <c r="D537" s="26">
        <f>Ft!B$3*EXP(Ft!B$38*($A537-Ft!B$2)^2) +Ft!C$3*EXP(Ft!C$38*($A537-Ft!C$2)^2) + Ft!D$3*EXP(Ft!D$38*($A537-Ft!D$2)^2)+Ft!E$3*EXP(Ft!E$38*($A537-Ft!E$2)^2) +Ft!F$3*EXP(Ft!F$38*($A537-Ft!F$2)^2) + Ft!G$3*EXP(Ft!G$38*($A537-Ft!G$2)^2)</f>
        <v>18.53162928864807</v>
      </c>
      <c r="E537" s="26">
        <f>Ft!B$3*EXP(Ft!B$38*($A537-Ft!B$2)^2)</f>
        <v>6.9564225619269026E-131</v>
      </c>
      <c r="F537" s="26">
        <f>Ft!C$3*EXP(Ft!C$38*($A537-Ft!C$2)^2)</f>
        <v>5.2347108446542801E-5</v>
      </c>
      <c r="G537" s="26">
        <f>Ft!D$3*EXP(Ft!D$38*($A537-Ft!D$2)^2)</f>
        <v>14.495141587352046</v>
      </c>
      <c r="H537" s="26">
        <f>Ft!E$3*EXP(Ft!E$38*($A537-Ft!E$2)^2)</f>
        <v>4.036435354187577</v>
      </c>
      <c r="I537" s="26">
        <f>Ft!F$3*EXP(Ft!F$38*($A537-Ft!F$2)^2)</f>
        <v>2.2756391448295216E-46</v>
      </c>
      <c r="J537" s="26">
        <f>Ft!G$3*EXP(Ft!G$38*($A537-Ft!G$2)^2)</f>
        <v>0</v>
      </c>
    </row>
    <row r="538" spans="1:10">
      <c r="A538" s="19">
        <v>536</v>
      </c>
      <c r="B538" s="28">
        <v>17.184596176401811</v>
      </c>
      <c r="C538" s="27">
        <f ca="1">OFFSET($B538,1*(ROWS(C$2:C538)-1),0)</f>
        <v>0</v>
      </c>
      <c r="D538" s="26">
        <f>Ft!B$3*EXP(Ft!B$38*($A538-Ft!B$2)^2) +Ft!C$3*EXP(Ft!C$38*($A538-Ft!C$2)^2) + Ft!D$3*EXP(Ft!D$38*($A538-Ft!D$2)^2)+Ft!E$3*EXP(Ft!E$38*($A538-Ft!E$2)^2) +Ft!F$3*EXP(Ft!F$38*($A538-Ft!F$2)^2) + Ft!G$3*EXP(Ft!G$38*($A538-Ft!G$2)^2)</f>
        <v>18.511987792571215</v>
      </c>
      <c r="E538" s="26">
        <f>Ft!B$3*EXP(Ft!B$38*($A538-Ft!B$2)^2)</f>
        <v>2.0320702585660122E-131</v>
      </c>
      <c r="F538" s="26">
        <f>Ft!C$3*EXP(Ft!C$38*($A538-Ft!C$2)^2)</f>
        <v>4.9227305089439214E-5</v>
      </c>
      <c r="G538" s="26">
        <f>Ft!D$3*EXP(Ft!D$38*($A538-Ft!D$2)^2)</f>
        <v>14.435172516772411</v>
      </c>
      <c r="H538" s="26">
        <f>Ft!E$3*EXP(Ft!E$38*($A538-Ft!E$2)^2)</f>
        <v>4.0767660484937149</v>
      </c>
      <c r="I538" s="26">
        <f>Ft!F$3*EXP(Ft!F$38*($A538-Ft!F$2)^2)</f>
        <v>3.5006995794523658E-46</v>
      </c>
      <c r="J538" s="26">
        <f>Ft!G$3*EXP(Ft!G$38*($A538-Ft!G$2)^2)</f>
        <v>0</v>
      </c>
    </row>
    <row r="539" spans="1:10">
      <c r="A539" s="19">
        <v>537</v>
      </c>
      <c r="B539" s="28">
        <v>16.981995412033939</v>
      </c>
      <c r="C539" s="27">
        <f ca="1">OFFSET($B539,1*(ROWS(C$2:C539)-1),0)</f>
        <v>0</v>
      </c>
      <c r="D539" s="26">
        <f>Ft!B$3*EXP(Ft!B$38*($A539-Ft!B$2)^2) +Ft!C$3*EXP(Ft!C$38*($A539-Ft!C$2)^2) + Ft!D$3*EXP(Ft!D$38*($A539-Ft!D$2)^2)+Ft!E$3*EXP(Ft!E$38*($A539-Ft!E$2)^2) +Ft!F$3*EXP(Ft!F$38*($A539-Ft!F$2)^2) + Ft!G$3*EXP(Ft!G$38*($A539-Ft!G$2)^2)</f>
        <v>18.492240204832086</v>
      </c>
      <c r="E539" s="26">
        <f>Ft!B$3*EXP(Ft!B$38*($A539-Ft!B$2)^2)</f>
        <v>5.9210763108917537E-132</v>
      </c>
      <c r="F539" s="26">
        <f>Ft!C$3*EXP(Ft!C$38*($A539-Ft!C$2)^2)</f>
        <v>4.6286242131321819E-5</v>
      </c>
      <c r="G539" s="26">
        <f>Ft!D$3*EXP(Ft!D$38*($A539-Ft!D$2)^2)</f>
        <v>14.374840120956426</v>
      </c>
      <c r="H539" s="26">
        <f>Ft!E$3*EXP(Ft!E$38*($A539-Ft!E$2)^2)</f>
        <v>4.1173537976335295</v>
      </c>
      <c r="I539" s="26">
        <f>Ft!F$3*EXP(Ft!F$38*($A539-Ft!F$2)^2)</f>
        <v>5.3805798946492681E-46</v>
      </c>
      <c r="J539" s="26">
        <f>Ft!G$3*EXP(Ft!G$38*($A539-Ft!G$2)^2)</f>
        <v>0</v>
      </c>
    </row>
    <row r="540" spans="1:10">
      <c r="A540" s="19">
        <v>538</v>
      </c>
      <c r="B540" s="28">
        <v>16.801105309908081</v>
      </c>
      <c r="C540" s="27">
        <f ca="1">OFFSET($B540,1*(ROWS(C$2:C540)-1),0)</f>
        <v>0</v>
      </c>
      <c r="D540" s="26">
        <f>Ft!B$3*EXP(Ft!B$38*($A540-Ft!B$2)^2) +Ft!C$3*EXP(Ft!C$38*($A540-Ft!C$2)^2) + Ft!D$3*EXP(Ft!D$38*($A540-Ft!D$2)^2)+Ft!E$3*EXP(Ft!E$38*($A540-Ft!E$2)^2) +Ft!F$3*EXP(Ft!F$38*($A540-Ft!F$2)^2) + Ft!G$3*EXP(Ft!G$38*($A540-Ft!G$2)^2)</f>
        <v>18.472392823848924</v>
      </c>
      <c r="E540" s="26">
        <f>Ft!B$3*EXP(Ft!B$38*($A540-Ft!B$2)^2)</f>
        <v>1.7209639430832876E-132</v>
      </c>
      <c r="F540" s="26">
        <f>Ft!C$3*EXP(Ft!C$38*($A540-Ft!C$2)^2)</f>
        <v>4.3514127690552641E-5</v>
      </c>
      <c r="G540" s="26">
        <f>Ft!D$3*EXP(Ft!D$38*($A540-Ft!D$2)^2)</f>
        <v>14.314151039924145</v>
      </c>
      <c r="H540" s="26">
        <f>Ft!E$3*EXP(Ft!E$38*($A540-Ft!E$2)^2)</f>
        <v>4.1581982697970892</v>
      </c>
      <c r="I540" s="26">
        <f>Ft!F$3*EXP(Ft!F$38*($A540-Ft!F$2)^2)</f>
        <v>8.2627787143371336E-46</v>
      </c>
      <c r="J540" s="26">
        <f>Ft!G$3*EXP(Ft!G$38*($A540-Ft!G$2)^2)</f>
        <v>0</v>
      </c>
    </row>
    <row r="541" spans="1:10">
      <c r="A541" s="19">
        <v>539</v>
      </c>
      <c r="B541" s="28">
        <v>16.574851454633745</v>
      </c>
      <c r="C541" s="27">
        <f ca="1">OFFSET($B541,1*(ROWS(C$2:C541)-1),0)</f>
        <v>0</v>
      </c>
      <c r="D541" s="26">
        <f>Ft!B$3*EXP(Ft!B$38*($A541-Ft!B$2)^2) +Ft!C$3*EXP(Ft!C$38*($A541-Ft!C$2)^2) + Ft!D$3*EXP(Ft!D$38*($A541-Ft!D$2)^2)+Ft!E$3*EXP(Ft!E$38*($A541-Ft!E$2)^2) +Ft!F$3*EXP(Ft!F$38*($A541-Ft!F$2)^2) + Ft!G$3*EXP(Ft!G$38*($A541-Ft!G$2)^2)</f>
        <v>18.452451935347355</v>
      </c>
      <c r="E541" s="26">
        <f>Ft!B$3*EXP(Ft!B$38*($A541-Ft!B$2)^2)</f>
        <v>4.9894429179675434E-133</v>
      </c>
      <c r="F541" s="26">
        <f>Ft!C$3*EXP(Ft!C$38*($A541-Ft!C$2)^2)</f>
        <v>4.0901679198385888E-5</v>
      </c>
      <c r="G541" s="26">
        <f>Ft!D$3*EXP(Ft!D$38*($A541-Ft!D$2)^2)</f>
        <v>14.253111931219715</v>
      </c>
      <c r="H541" s="26">
        <f>Ft!E$3*EXP(Ft!E$38*($A541-Ft!E$2)^2)</f>
        <v>4.1992991024484416</v>
      </c>
      <c r="I541" s="26">
        <f>Ft!F$3*EXP(Ft!F$38*($A541-Ft!F$2)^2)</f>
        <v>1.2677860102150272E-45</v>
      </c>
      <c r="J541" s="26">
        <f>Ft!G$3*EXP(Ft!G$38*($A541-Ft!G$2)^2)</f>
        <v>0</v>
      </c>
    </row>
    <row r="542" spans="1:10">
      <c r="A542" s="19">
        <v>540</v>
      </c>
      <c r="B542" s="28">
        <v>16.36265177355375</v>
      </c>
      <c r="C542" s="27">
        <f ca="1">OFFSET($B542,1*(ROWS(C$2:C542)-1),0)</f>
        <v>0</v>
      </c>
      <c r="D542" s="26">
        <f>Ft!B$3*EXP(Ft!B$38*($A542-Ft!B$2)^2) +Ft!C$3*EXP(Ft!C$38*($A542-Ft!C$2)^2) + Ft!D$3*EXP(Ft!D$38*($A542-Ft!D$2)^2)+Ft!E$3*EXP(Ft!E$38*($A542-Ft!E$2)^2) +Ft!F$3*EXP(Ft!F$38*($A542-Ft!F$2)^2) + Ft!G$3*EXP(Ft!G$38*($A542-Ft!G$2)^2)</f>
        <v>18.432423810878078</v>
      </c>
      <c r="E542" s="26">
        <f>Ft!B$3*EXP(Ft!B$38*($A542-Ft!B$2)^2)</f>
        <v>1.4429175634731632E-133</v>
      </c>
      <c r="F542" s="26">
        <f>Ft!C$3*EXP(Ft!C$38*($A542-Ft!C$2)^2)</f>
        <v>3.8440098493343064E-5</v>
      </c>
      <c r="G542" s="26">
        <f>Ft!D$3*EXP(Ft!D$38*($A542-Ft!D$2)^2)</f>
        <v>14.191729468707138</v>
      </c>
      <c r="H542" s="26">
        <f>Ft!E$3*EXP(Ft!E$38*($A542-Ft!E$2)^2)</f>
        <v>4.240655902072449</v>
      </c>
      <c r="I542" s="26">
        <f>Ft!F$3*EXP(Ft!F$38*($A542-Ft!F$2)^2)</f>
        <v>1.943518073325127E-45</v>
      </c>
      <c r="J542" s="26">
        <f>Ft!G$3*EXP(Ft!G$38*($A542-Ft!G$2)^2)</f>
        <v>0</v>
      </c>
    </row>
    <row r="543" spans="1:10">
      <c r="A543" s="19">
        <v>541</v>
      </c>
      <c r="B543" s="28">
        <v>16.143782761275816</v>
      </c>
      <c r="C543" s="27">
        <f ca="1">OFFSET($B543,1*(ROWS(C$2:C543)-1),0)</f>
        <v>0</v>
      </c>
      <c r="D543" s="26">
        <f>Ft!B$3*EXP(Ft!B$38*($A543-Ft!B$2)^2) +Ft!C$3*EXP(Ft!C$38*($A543-Ft!C$2)^2) + Ft!D$3*EXP(Ft!D$38*($A543-Ft!D$2)^2)+Ft!E$3*EXP(Ft!E$38*($A543-Ft!E$2)^2) +Ft!F$3*EXP(Ft!F$38*($A543-Ft!F$2)^2) + Ft!G$3*EXP(Ft!G$38*($A543-Ft!G$2)^2)</f>
        <v>18.412314706340368</v>
      </c>
      <c r="E543" s="26">
        <f>Ft!B$3*EXP(Ft!B$38*($A543-Ft!B$2)^2)</f>
        <v>4.1623649448048804E-134</v>
      </c>
      <c r="F543" s="26">
        <f>Ft!C$3*EXP(Ft!C$38*($A543-Ft!C$2)^2)</f>
        <v>3.6121048043925116E-5</v>
      </c>
      <c r="G543" s="26">
        <f>Ft!D$3*EXP(Ft!D$38*($A543-Ft!D$2)^2)</f>
        <v>14.130010341367676</v>
      </c>
      <c r="H543" s="26">
        <f>Ft!E$3*EXP(Ft!E$38*($A543-Ft!E$2)^2)</f>
        <v>4.282268243924646</v>
      </c>
      <c r="I543" s="26">
        <f>Ft!F$3*EXP(Ft!F$38*($A543-Ft!F$2)^2)</f>
        <v>2.976829820485814E-45</v>
      </c>
      <c r="J543" s="26">
        <f>Ft!G$3*EXP(Ft!G$38*($A543-Ft!G$2)^2)</f>
        <v>0</v>
      </c>
    </row>
    <row r="544" spans="1:10">
      <c r="A544" s="19">
        <v>542</v>
      </c>
      <c r="B544" s="28">
        <v>15.94761556496104</v>
      </c>
      <c r="C544" s="27">
        <f ca="1">OFFSET($B544,1*(ROWS(C$2:C544)-1),0)</f>
        <v>0</v>
      </c>
      <c r="D544" s="26">
        <f>Ft!B$3*EXP(Ft!B$38*($A544-Ft!B$2)^2) +Ft!C$3*EXP(Ft!C$38*($A544-Ft!C$2)^2) + Ft!D$3*EXP(Ft!D$38*($A544-Ft!D$2)^2)+Ft!E$3*EXP(Ft!E$38*($A544-Ft!E$2)^2) +Ft!F$3*EXP(Ft!F$38*($A544-Ft!F$2)^2) + Ft!G$3*EXP(Ft!G$38*($A544-Ft!G$2)^2)</f>
        <v>18.392130860511667</v>
      </c>
      <c r="E544" s="26">
        <f>Ft!B$3*EXP(Ft!B$38*($A544-Ft!B$2)^2)</f>
        <v>1.1976997669041063E-134</v>
      </c>
      <c r="F544" s="26">
        <f>Ft!C$3*EXP(Ft!C$38*($A544-Ft!C$2)^2)</f>
        <v>3.3936628253422554E-5</v>
      </c>
      <c r="G544" s="26">
        <f>Ft!D$3*EXP(Ft!D$38*($A544-Ft!D$2)^2)</f>
        <v>14.067961252099229</v>
      </c>
      <c r="H544" s="26">
        <f>Ft!E$3*EXP(Ft!E$38*($A544-Ft!E$2)^2)</f>
        <v>4.3241356717841839</v>
      </c>
      <c r="I544" s="26">
        <f>Ft!F$3*EXP(Ft!F$38*($A544-Ft!F$2)^2)</f>
        <v>4.5555647838913882E-45</v>
      </c>
      <c r="J544" s="26">
        <f>Ft!G$3*EXP(Ft!G$38*($A544-Ft!G$2)^2)</f>
        <v>0</v>
      </c>
    </row>
    <row r="545" spans="1:10">
      <c r="A545" s="19">
        <v>543</v>
      </c>
      <c r="B545" s="28">
        <v>15.732220448871317</v>
      </c>
      <c r="C545" s="27">
        <f ca="1">OFFSET($B545,1*(ROWS(C$2:C545)-1),0)</f>
        <v>0</v>
      </c>
      <c r="D545" s="26">
        <f>Ft!B$3*EXP(Ft!B$38*($A545-Ft!B$2)^2) +Ft!C$3*EXP(Ft!C$38*($A545-Ft!C$2)^2) + Ft!D$3*EXP(Ft!D$38*($A545-Ft!D$2)^2)+Ft!E$3*EXP(Ft!E$38*($A545-Ft!E$2)^2) +Ft!F$3*EXP(Ft!F$38*($A545-Ft!F$2)^2) + Ft!G$3*EXP(Ft!G$38*($A545-Ft!G$2)^2)</f>
        <v>18.371878493583658</v>
      </c>
      <c r="E545" s="26">
        <f>Ft!B$3*EXP(Ft!B$38*($A545-Ft!B$2)^2)</f>
        <v>3.4376760539289849E-135</v>
      </c>
      <c r="F545" s="26">
        <f>Ft!C$3*EXP(Ft!C$38*($A545-Ft!C$2)^2)</f>
        <v>3.1879355802222901E-5</v>
      </c>
      <c r="G545" s="26">
        <f>Ft!D$3*EXP(Ft!D$38*($A545-Ft!D$2)^2)</f>
        <v>14.005588916517905</v>
      </c>
      <c r="H545" s="26">
        <f>Ft!E$3*EXP(Ft!E$38*($A545-Ft!E$2)^2)</f>
        <v>4.3662576977099521</v>
      </c>
      <c r="I545" s="26">
        <f>Ft!F$3*EXP(Ft!F$38*($A545-Ft!F$2)^2)</f>
        <v>6.9655151630201228E-45</v>
      </c>
      <c r="J545" s="26">
        <f>Ft!G$3*EXP(Ft!G$38*($A545-Ft!G$2)^2)</f>
        <v>0</v>
      </c>
    </row>
    <row r="546" spans="1:10">
      <c r="A546" s="19">
        <v>544</v>
      </c>
      <c r="B546" s="28">
        <v>15.507058607605018</v>
      </c>
      <c r="C546" s="27">
        <f ca="1">OFFSET($B546,1*(ROWS(C$2:C546)-1),0)</f>
        <v>0</v>
      </c>
      <c r="D546" s="26">
        <f>Ft!B$3*EXP(Ft!B$38*($A546-Ft!B$2)^2) +Ft!C$3*EXP(Ft!C$38*($A546-Ft!C$2)^2) + Ft!D$3*EXP(Ft!D$38*($A546-Ft!D$2)^2)+Ft!E$3*EXP(Ft!E$38*($A546-Ft!E$2)^2) +Ft!F$3*EXP(Ft!F$38*($A546-Ft!F$2)^2) + Ft!G$3*EXP(Ft!G$38*($A546-Ft!G$2)^2)</f>
        <v>18.351563805705123</v>
      </c>
      <c r="E546" s="26">
        <f>Ft!B$3*EXP(Ft!B$38*($A546-Ft!B$2)^2)</f>
        <v>9.8421755504034671E-136</v>
      </c>
      <c r="F546" s="26">
        <f>Ft!C$3*EXP(Ft!C$38*($A546-Ft!C$2)^2)</f>
        <v>2.9942142984608869E-5</v>
      </c>
      <c r="G546" s="26">
        <f>Ft!D$3*EXP(Ft!D$38*($A546-Ft!D$2)^2)</f>
        <v>13.942900061762185</v>
      </c>
      <c r="H546" s="26">
        <f>Ft!E$3*EXP(Ft!E$38*($A546-Ft!E$2)^2)</f>
        <v>4.4086338017999536</v>
      </c>
      <c r="I546" s="26">
        <f>Ft!F$3*EXP(Ft!F$38*($A546-Ft!F$2)^2)</f>
        <v>1.064111293338737E-44</v>
      </c>
      <c r="J546" s="26">
        <f>Ft!G$3*EXP(Ft!G$38*($A546-Ft!G$2)^2)</f>
        <v>0</v>
      </c>
    </row>
    <row r="547" spans="1:10">
      <c r="A547" s="19">
        <v>545</v>
      </c>
      <c r="B547" s="28">
        <v>15.302537486369317</v>
      </c>
      <c r="C547" s="27">
        <f ca="1">OFFSET($B547,1*(ROWS(C$2:C547)-1),0)</f>
        <v>0</v>
      </c>
      <c r="D547" s="26">
        <f>Ft!B$3*EXP(Ft!B$38*($A547-Ft!B$2)^2) +Ft!C$3*EXP(Ft!C$38*($A547-Ft!C$2)^2) + Ft!D$3*EXP(Ft!D$38*($A547-Ft!D$2)^2)+Ft!E$3*EXP(Ft!E$38*($A547-Ft!E$2)^2) +Ft!F$3*EXP(Ft!F$38*($A547-Ft!F$2)^2) + Ft!G$3*EXP(Ft!G$38*($A547-Ft!G$2)^2)</f>
        <v>18.331192975531906</v>
      </c>
      <c r="E547" s="26">
        <f>Ft!B$3*EXP(Ft!B$38*($A547-Ft!B$2)^2)</f>
        <v>2.81077731231279E-136</v>
      </c>
      <c r="F547" s="26">
        <f>Ft!C$3*EXP(Ft!C$38*($A547-Ft!C$2)^2)</f>
        <v>2.8118277998586703E-5</v>
      </c>
      <c r="G547" s="26">
        <f>Ft!D$3*EXP(Ft!D$38*($A547-Ft!D$2)^2)</f>
        <v>13.879901425299868</v>
      </c>
      <c r="H547" s="26">
        <f>Ft!E$3*EXP(Ft!E$38*($A547-Ft!E$2)^2)</f>
        <v>4.4512634319540387</v>
      </c>
      <c r="I547" s="26">
        <f>Ft!F$3*EXP(Ft!F$38*($A547-Ft!F$2)^2)</f>
        <v>1.6242155281845198E-44</v>
      </c>
      <c r="J547" s="26">
        <f>Ft!G$3*EXP(Ft!G$38*($A547-Ft!G$2)^2)</f>
        <v>0</v>
      </c>
    </row>
    <row r="548" spans="1:10">
      <c r="A548" s="19">
        <v>546</v>
      </c>
      <c r="B548" s="28">
        <v>15.097407080060833</v>
      </c>
      <c r="C548" s="27">
        <f ca="1">OFFSET($B548,1*(ROWS(C$2:C548)-1),0)</f>
        <v>0</v>
      </c>
      <c r="D548" s="26">
        <f>Ft!B$3*EXP(Ft!B$38*($A548-Ft!B$2)^2) +Ft!C$3*EXP(Ft!C$38*($A548-Ft!C$2)^2) + Ft!D$3*EXP(Ft!D$38*($A548-Ft!D$2)^2)+Ft!E$3*EXP(Ft!E$38*($A548-Ft!E$2)^2) +Ft!F$3*EXP(Ft!F$38*($A548-Ft!F$2)^2) + Ft!G$3*EXP(Ft!G$38*($A548-Ft!G$2)^2)</f>
        <v>18.310772158784381</v>
      </c>
      <c r="E548" s="26">
        <f>Ft!B$3*EXP(Ft!B$38*($A548-Ft!B$2)^2)</f>
        <v>8.0070206012246803E-137</v>
      </c>
      <c r="F548" s="26">
        <f>Ft!C$3*EXP(Ft!C$38*($A548-Ft!C$2)^2)</f>
        <v>2.6401406148792194E-5</v>
      </c>
      <c r="G548" s="26">
        <f>Ft!D$3*EXP(Ft!D$38*($A548-Ft!D$2)^2)</f>
        <v>13.816599753738188</v>
      </c>
      <c r="H548" s="26">
        <f>Ft!E$3*EXP(Ft!E$38*($A548-Ft!E$2)^2)</f>
        <v>4.4941460036400427</v>
      </c>
      <c r="I548" s="26">
        <f>Ft!F$3*EXP(Ft!F$38*($A548-Ft!F$2)^2)</f>
        <v>2.4769831915770014E-44</v>
      </c>
      <c r="J548" s="26">
        <f>Ft!G$3*EXP(Ft!G$38*($A548-Ft!G$2)^2)</f>
        <v>0</v>
      </c>
    </row>
    <row r="549" spans="1:10">
      <c r="A549" s="19">
        <v>547</v>
      </c>
      <c r="B549" s="28">
        <v>14.895119862740387</v>
      </c>
      <c r="C549" s="27">
        <f ca="1">OFFSET($B549,1*(ROWS(C$2:C549)-1),0)</f>
        <v>0</v>
      </c>
      <c r="D549" s="26">
        <f>Ft!B$3*EXP(Ft!B$38*($A549-Ft!B$2)^2) +Ft!C$3*EXP(Ft!C$38*($A549-Ft!C$2)^2) + Ft!D$3*EXP(Ft!D$38*($A549-Ft!D$2)^2)+Ft!E$3*EXP(Ft!E$38*($A549-Ft!E$2)^2) +Ft!F$3*EXP(Ft!F$38*($A549-Ft!F$2)^2) + Ft!G$3*EXP(Ft!G$38*($A549-Ft!G$2)^2)</f>
        <v>18.290307486812672</v>
      </c>
      <c r="E549" s="26">
        <f>Ft!B$3*EXP(Ft!B$38*($A549-Ft!B$2)^2)</f>
        <v>2.2752264434968187E-137</v>
      </c>
      <c r="F549" s="26">
        <f>Ft!C$3*EXP(Ft!C$38*($A549-Ft!C$2)^2)</f>
        <v>2.4785511923982142E-5</v>
      </c>
      <c r="G549" s="26">
        <f>Ft!D$3*EXP(Ft!D$38*($A549-Ft!D$2)^2)</f>
        <v>13.753001801637298</v>
      </c>
      <c r="H549" s="26">
        <f>Ft!E$3*EXP(Ft!E$38*($A549-Ft!E$2)^2)</f>
        <v>4.5372808996634495</v>
      </c>
      <c r="I549" s="26">
        <f>Ft!F$3*EXP(Ft!F$38*($A549-Ft!F$2)^2)</f>
        <v>3.7742030072721597E-44</v>
      </c>
      <c r="J549" s="26">
        <f>Ft!G$3*EXP(Ft!G$38*($A549-Ft!G$2)^2)</f>
        <v>0</v>
      </c>
    </row>
    <row r="550" spans="1:10">
      <c r="A550" s="19">
        <v>548</v>
      </c>
      <c r="B550" s="28">
        <v>14.692284460500616</v>
      </c>
      <c r="C550" s="27">
        <f ca="1">OFFSET($B550,1*(ROWS(C$2:C550)-1),0)</f>
        <v>0</v>
      </c>
      <c r="D550" s="26">
        <f>Ft!B$3*EXP(Ft!B$38*($A550-Ft!B$2)^2) +Ft!C$3*EXP(Ft!C$38*($A550-Ft!C$2)^2) + Ft!D$3*EXP(Ft!D$38*($A550-Ft!D$2)^2)+Ft!E$3*EXP(Ft!E$38*($A550-Ft!E$2)^2) +Ft!F$3*EXP(Ft!F$38*($A550-Ft!F$2)^2) + Ft!G$3*EXP(Ft!G$38*($A550-Ft!G$2)^2)</f>
        <v>18.269805065170033</v>
      </c>
      <c r="E550" s="26">
        <f>Ft!B$3*EXP(Ft!B$38*($A550-Ft!B$2)^2)</f>
        <v>6.4489273062623315E-138</v>
      </c>
      <c r="F550" s="26">
        <f>Ft!C$3*EXP(Ft!C$38*($A550-Ft!C$2)^2)</f>
        <v>2.3264901912038E-5</v>
      </c>
      <c r="G550" s="26">
        <f>Ft!D$3*EXP(Ft!D$38*($A550-Ft!D$2)^2)</f>
        <v>13.689114330327481</v>
      </c>
      <c r="H550" s="26">
        <f>Ft!E$3*EXP(Ft!E$38*($A550-Ft!E$2)^2)</f>
        <v>4.5806674699406384</v>
      </c>
      <c r="I550" s="26">
        <f>Ft!F$3*EXP(Ft!F$38*($A550-Ft!F$2)^2)</f>
        <v>5.7457966081188102E-44</v>
      </c>
      <c r="J550" s="26">
        <f>Ft!G$3*EXP(Ft!G$38*($A550-Ft!G$2)^2)</f>
        <v>0</v>
      </c>
    </row>
    <row r="551" spans="1:10">
      <c r="A551" s="19">
        <v>549</v>
      </c>
      <c r="B551" s="28">
        <v>14.487567166338692</v>
      </c>
      <c r="C551" s="27">
        <f ca="1">OFFSET($B551,1*(ROWS(C$2:C551)-1),0)</f>
        <v>0</v>
      </c>
      <c r="D551" s="26">
        <f>Ft!B$3*EXP(Ft!B$38*($A551-Ft!B$2)^2) +Ft!C$3*EXP(Ft!C$38*($A551-Ft!C$2)^2) + Ft!D$3*EXP(Ft!D$38*($A551-Ft!D$2)^2)+Ft!E$3*EXP(Ft!E$38*($A551-Ft!E$2)^2) +Ft!F$3*EXP(Ft!F$38*($A551-Ft!F$2)^2) + Ft!G$3*EXP(Ft!G$38*($A551-Ft!G$2)^2)</f>
        <v>18.249270972194669</v>
      </c>
      <c r="E551" s="26">
        <f>Ft!B$3*EXP(Ft!B$38*($A551-Ft!B$2)^2)</f>
        <v>1.8233057878755982E-138</v>
      </c>
      <c r="F551" s="26">
        <f>Ft!C$3*EXP(Ft!C$38*($A551-Ft!C$2)^2)</f>
        <v>2.1834188516788444E-5</v>
      </c>
      <c r="G551" s="26">
        <f>Ft!D$3*EXP(Ft!D$38*($A551-Ft!D$2)^2)</f>
        <v>13.624944106730338</v>
      </c>
      <c r="H551" s="26">
        <f>Ft!E$3*EXP(Ft!E$38*($A551-Ft!E$2)^2)</f>
        <v>4.6243050312758136</v>
      </c>
      <c r="I551" s="26">
        <f>Ft!F$3*EXP(Ft!F$38*($A551-Ft!F$2)^2)</f>
        <v>8.7397304092889299E-44</v>
      </c>
      <c r="J551" s="26">
        <f>Ft!G$3*EXP(Ft!G$38*($A551-Ft!G$2)^2)</f>
        <v>0</v>
      </c>
    </row>
    <row r="552" spans="1:10">
      <c r="A552" s="19">
        <v>550</v>
      </c>
      <c r="B552" s="28">
        <v>14.273863731271319</v>
      </c>
      <c r="C552" s="27">
        <f ca="1">OFFSET($B552,1*(ROWS(C$2:C552)-1),0)</f>
        <v>0</v>
      </c>
      <c r="D552" s="26">
        <f>Ft!B$3*EXP(Ft!B$38*($A552-Ft!B$2)^2) +Ft!C$3*EXP(Ft!C$38*($A552-Ft!C$2)^2) + Ft!D$3*EXP(Ft!D$38*($A552-Ft!D$2)^2)+Ft!E$3*EXP(Ft!E$38*($A552-Ft!E$2)^2) +Ft!F$3*EXP(Ft!F$38*($A552-Ft!F$2)^2) + Ft!G$3*EXP(Ft!G$38*($A552-Ft!G$2)^2)</f>
        <v>18.228711257600356</v>
      </c>
      <c r="E552" s="26">
        <f>Ft!B$3*EXP(Ft!B$38*($A552-Ft!B$2)^2)</f>
        <v>5.1421023162629845E-139</v>
      </c>
      <c r="F552" s="26">
        <f>Ft!C$3*EXP(Ft!C$38*($A552-Ft!C$2)^2)</f>
        <v>2.0488274442291139E-5</v>
      </c>
      <c r="G552" s="26">
        <f>Ft!D$3*EXP(Ft!D$38*($A552-Ft!D$2)^2)</f>
        <v>13.560497902184233</v>
      </c>
      <c r="H552" s="26">
        <f>Ft!E$3*EXP(Ft!E$38*($A552-Ft!E$2)^2)</f>
        <v>4.6681928671416797</v>
      </c>
      <c r="I552" s="26">
        <f>Ft!F$3*EXP(Ft!F$38*($A552-Ft!F$2)^2)</f>
        <v>1.3282157308858609E-43</v>
      </c>
      <c r="J552" s="26">
        <f>Ft!G$3*EXP(Ft!G$38*($A552-Ft!G$2)^2)</f>
        <v>0</v>
      </c>
    </row>
    <row r="553" spans="1:10">
      <c r="A553" s="19">
        <v>551</v>
      </c>
      <c r="B553" s="28">
        <v>14.065492114766272</v>
      </c>
      <c r="C553" s="27">
        <f ca="1">OFFSET($B553,1*(ROWS(C$2:C553)-1),0)</f>
        <v>0</v>
      </c>
      <c r="D553" s="26">
        <f>Ft!B$3*EXP(Ft!B$38*($A553-Ft!B$2)^2) +Ft!C$3*EXP(Ft!C$38*($A553-Ft!C$2)^2) + Ft!D$3*EXP(Ft!D$38*($A553-Ft!D$2)^2)+Ft!E$3*EXP(Ft!E$38*($A553-Ft!E$2)^2) +Ft!F$3*EXP(Ft!F$38*($A553-Ft!F$2)^2) + Ft!G$3*EXP(Ft!G$38*($A553-Ft!G$2)^2)</f>
        <v>18.208131941076175</v>
      </c>
      <c r="E553" s="26">
        <f>Ft!B$3*EXP(Ft!B$38*($A553-Ft!B$2)^2)</f>
        <v>1.4465421450572697E-139</v>
      </c>
      <c r="F553" s="26">
        <f>Ft!C$3*EXP(Ft!C$38*($A553-Ft!C$2)^2)</f>
        <v>1.9222337911513407E-5</v>
      </c>
      <c r="G553" s="26">
        <f>Ft!D$3*EXP(Ft!D$38*($A553-Ft!D$2)^2)</f>
        <v>13.495782491274289</v>
      </c>
      <c r="H553" s="26">
        <f>Ft!E$3*EXP(Ft!E$38*($A553-Ft!E$2)^2)</f>
        <v>4.7123302274639727</v>
      </c>
      <c r="I553" s="26">
        <f>Ft!F$3*EXP(Ft!F$38*($A553-Ft!F$2)^2)</f>
        <v>2.0167961249964441E-43</v>
      </c>
      <c r="J553" s="26">
        <f>Ft!G$3*EXP(Ft!G$38*($A553-Ft!G$2)^2)</f>
        <v>0</v>
      </c>
    </row>
    <row r="554" spans="1:10">
      <c r="A554" s="19">
        <v>552</v>
      </c>
      <c r="B554" s="28">
        <v>13.865480582505</v>
      </c>
      <c r="C554" s="27">
        <f ca="1">OFFSET($B554,1*(ROWS(C$2:C554)-1),0)</f>
        <v>0</v>
      </c>
      <c r="D554" s="26">
        <f>Ft!B$3*EXP(Ft!B$38*($A554-Ft!B$2)^2) +Ft!C$3*EXP(Ft!C$38*($A554-Ft!C$2)^2) + Ft!D$3*EXP(Ft!D$38*($A554-Ft!D$2)^2)+Ft!E$3*EXP(Ft!E$38*($A554-Ft!E$2)^2) +Ft!F$3*EXP(Ft!F$38*($A554-Ft!F$2)^2) + Ft!G$3*EXP(Ft!G$38*($A554-Ft!G$2)^2)</f>
        <v>18.187539010895694</v>
      </c>
      <c r="E554" s="26">
        <f>Ft!B$3*EXP(Ft!B$38*($A554-Ft!B$2)^2)</f>
        <v>4.0591083397879416E-140</v>
      </c>
      <c r="F554" s="26">
        <f>Ft!C$3*EXP(Ft!C$38*($A554-Ft!C$2)^2)</f>
        <v>1.8031818587605297E-5</v>
      </c>
      <c r="G554" s="26">
        <f>Ft!D$3*EXP(Ft!D$38*($A554-Ft!D$2)^2)</f>
        <v>13.430804650667206</v>
      </c>
      <c r="H554" s="26">
        <f>Ft!E$3*EXP(Ft!E$38*($A554-Ft!E$2)^2)</f>
        <v>4.7567163284099019</v>
      </c>
      <c r="I554" s="26">
        <f>Ft!F$3*EXP(Ft!F$38*($A554-Ft!F$2)^2)</f>
        <v>3.0596952506352798E-43</v>
      </c>
      <c r="J554" s="26">
        <f>Ft!G$3*EXP(Ft!G$38*($A554-Ft!G$2)^2)</f>
        <v>0</v>
      </c>
    </row>
    <row r="555" spans="1:10">
      <c r="A555" s="19">
        <v>553</v>
      </c>
      <c r="B555" s="28">
        <v>13.65613041188368</v>
      </c>
      <c r="C555" s="27">
        <f ca="1">OFFSET($B555,1*(ROWS(C$2:C555)-1),0)</f>
        <v>0</v>
      </c>
      <c r="D555" s="26">
        <f>Ft!B$3*EXP(Ft!B$38*($A555-Ft!B$2)^2) +Ft!C$3*EXP(Ft!C$38*($A555-Ft!C$2)^2) + Ft!D$3*EXP(Ft!D$38*($A555-Ft!D$2)^2)+Ft!E$3*EXP(Ft!E$38*($A555-Ft!E$2)^2) +Ft!F$3*EXP(Ft!F$38*($A555-Ft!F$2)^2) + Ft!G$3*EXP(Ft!G$38*($A555-Ft!G$2)^2)</f>
        <v>18.166938422535935</v>
      </c>
      <c r="E555" s="26">
        <f>Ft!B$3*EXP(Ft!B$38*($A555-Ft!B$2)^2)</f>
        <v>1.1361596692901234E-140</v>
      </c>
      <c r="F555" s="26">
        <f>Ft!C$3*EXP(Ft!C$38*($A555-Ft!C$2)^2)</f>
        <v>1.6912404167177746E-5</v>
      </c>
      <c r="G555" s="26">
        <f>Ft!D$3*EXP(Ft!D$38*($A555-Ft!D$2)^2)</f>
        <v>13.365571157951166</v>
      </c>
      <c r="H555" s="26">
        <f>Ft!E$3*EXP(Ft!E$38*($A555-Ft!E$2)^2)</f>
        <v>4.801350352180604</v>
      </c>
      <c r="I555" s="26">
        <f>Ft!F$3*EXP(Ft!F$38*($A555-Ft!F$2)^2)</f>
        <v>4.6378547379301239E-43</v>
      </c>
      <c r="J555" s="26">
        <f>Ft!G$3*EXP(Ft!G$38*($A555-Ft!G$2)^2)</f>
        <v>0</v>
      </c>
    </row>
    <row r="556" spans="1:10">
      <c r="A556" s="19">
        <v>554</v>
      </c>
      <c r="B556" s="28">
        <v>13.471934130958971</v>
      </c>
      <c r="C556" s="27">
        <f ca="1">OFFSET($B556,1*(ROWS(C$2:C556)-1),0)</f>
        <v>0</v>
      </c>
      <c r="D556" s="26">
        <f>Ft!B$3*EXP(Ft!B$38*($A556-Ft!B$2)^2) +Ft!C$3*EXP(Ft!C$38*($A556-Ft!C$2)^2) + Ft!D$3*EXP(Ft!D$38*($A556-Ft!D$2)^2)+Ft!E$3*EXP(Ft!E$38*($A556-Ft!E$2)^2) +Ft!F$3*EXP(Ft!F$38*($A556-Ft!F$2)^2) + Ft!G$3*EXP(Ft!G$38*($A556-Ft!G$2)^2)</f>
        <v>18.14633609730641</v>
      </c>
      <c r="E556" s="26">
        <f>Ft!B$3*EXP(Ft!B$38*($A556-Ft!B$2)^2)</f>
        <v>3.1721759556543246E-141</v>
      </c>
      <c r="F556" s="26">
        <f>Ft!C$3*EXP(Ft!C$38*($A556-Ft!C$2)^2)</f>
        <v>1.5860017616177181E-5</v>
      </c>
      <c r="G556" s="26">
        <f>Ft!D$3*EXP(Ft!D$38*($A556-Ft!D$2)^2)</f>
        <v>13.300088790481109</v>
      </c>
      <c r="H556" s="26">
        <f>Ft!E$3*EXP(Ft!E$38*($A556-Ft!E$2)^2)</f>
        <v>4.8462314468076872</v>
      </c>
      <c r="I556" s="26">
        <f>Ft!F$3*EXP(Ft!F$38*($A556-Ft!F$2)^2)</f>
        <v>7.0239094974260767E-43</v>
      </c>
      <c r="J556" s="26">
        <f>Ft!G$3*EXP(Ft!G$38*($A556-Ft!G$2)^2)</f>
        <v>0</v>
      </c>
    </row>
    <row r="557" spans="1:10">
      <c r="A557" s="19">
        <v>555</v>
      </c>
      <c r="B557" s="28">
        <v>13.266881052640798</v>
      </c>
      <c r="C557" s="27">
        <f ca="1">OFFSET($B557,1*(ROWS(C$2:C557)-1),0)</f>
        <v>0</v>
      </c>
      <c r="D557" s="26">
        <f>Ft!B$3*EXP(Ft!B$38*($A557-Ft!B$2)^2) +Ft!C$3*EXP(Ft!C$38*($A557-Ft!C$2)^2) + Ft!D$3*EXP(Ft!D$38*($A557-Ft!D$2)^2)+Ft!E$3*EXP(Ft!E$38*($A557-Ft!E$2)^2) +Ft!F$3*EXP(Ft!F$38*($A557-Ft!F$2)^2) + Ft!G$3*EXP(Ft!G$38*($A557-Ft!G$2)^2)</f>
        <v>18.125737920988598</v>
      </c>
      <c r="E557" s="26">
        <f>Ft!B$3*EXP(Ft!B$38*($A557-Ft!B$2)^2)</f>
        <v>8.8345481730195559E-142</v>
      </c>
      <c r="F557" s="26">
        <f>Ft!C$3*EXP(Ft!C$38*($A557-Ft!C$2)^2)</f>
        <v>1.4870805020090302E-5</v>
      </c>
      <c r="G557" s="26">
        <f>Ft!D$3*EXP(Ft!D$38*($A557-Ft!D$2)^2)</f>
        <v>13.234364324229638</v>
      </c>
      <c r="H557" s="26">
        <f>Ft!E$3*EXP(Ft!E$38*($A557-Ft!E$2)^2)</f>
        <v>4.8913587259539426</v>
      </c>
      <c r="I557" s="26">
        <f>Ft!F$3*EXP(Ft!F$38*($A557-Ft!F$2)^2)</f>
        <v>1.0628291755205837E-42</v>
      </c>
      <c r="J557" s="26">
        <f>Ft!G$3*EXP(Ft!G$38*($A557-Ft!G$2)^2)</f>
        <v>0</v>
      </c>
    </row>
    <row r="558" spans="1:10">
      <c r="A558" s="19">
        <v>556</v>
      </c>
      <c r="B558" s="28">
        <v>13.053026659486818</v>
      </c>
      <c r="C558" s="27">
        <f ca="1">OFFSET($B558,1*(ROWS(C$2:C558)-1),0)</f>
        <v>0</v>
      </c>
      <c r="D558" s="26">
        <f>Ft!B$3*EXP(Ft!B$38*($A558-Ft!B$2)^2) +Ft!C$3*EXP(Ft!C$38*($A558-Ft!C$2)^2) + Ft!D$3*EXP(Ft!D$38*($A558-Ft!D$2)^2)+Ft!E$3*EXP(Ft!E$38*($A558-Ft!E$2)^2) +Ft!F$3*EXP(Ft!F$38*($A558-Ft!F$2)^2) + Ft!G$3*EXP(Ft!G$38*($A558-Ft!G$2)^2)</f>
        <v>18.105149742486148</v>
      </c>
      <c r="E558" s="26">
        <f>Ft!B$3*EXP(Ft!B$38*($A558-Ft!B$2)^2)</f>
        <v>2.4542601267504321E-142</v>
      </c>
      <c r="F558" s="26">
        <f>Ft!C$3*EXP(Ft!C$38*($A558-Ft!C$2)^2)</f>
        <v>1.3941124021317514E-5</v>
      </c>
      <c r="G558" s="26">
        <f>Ft!D$3*EXP(Ft!D$38*($A558-Ft!D$2)^2)</f>
        <v>13.168404532643832</v>
      </c>
      <c r="H558" s="26">
        <f>Ft!E$3*EXP(Ft!E$38*($A558-Ft!E$2)^2)</f>
        <v>4.9367312687182974</v>
      </c>
      <c r="I558" s="26">
        <f>Ft!F$3*EXP(Ft!F$38*($A558-Ft!F$2)^2)</f>
        <v>1.6068333007190416E-42</v>
      </c>
      <c r="J558" s="26">
        <f>Ft!G$3*EXP(Ft!G$38*($A558-Ft!G$2)^2)</f>
        <v>0</v>
      </c>
    </row>
    <row r="559" spans="1:10">
      <c r="A559" s="19">
        <v>557</v>
      </c>
      <c r="B559" s="28">
        <v>12.843160599564413</v>
      </c>
      <c r="C559" s="27">
        <f ca="1">OFFSET($B559,1*(ROWS(C$2:C559)-1),0)</f>
        <v>0</v>
      </c>
      <c r="D559" s="26">
        <f>Ft!B$3*EXP(Ft!B$38*($A559-Ft!B$2)^2) +Ft!C$3*EXP(Ft!C$38*($A559-Ft!C$2)^2) + Ft!D$3*EXP(Ft!D$38*($A559-Ft!D$2)^2)+Ft!E$3*EXP(Ft!E$38*($A559-Ft!E$2)^2) +Ft!F$3*EXP(Ft!F$38*($A559-Ft!F$2)^2) + Ft!G$3*EXP(Ft!G$38*($A559-Ft!G$2)^2)</f>
        <v>18.084577372486144</v>
      </c>
      <c r="E559" s="26">
        <f>Ft!B$3*EXP(Ft!B$38*($A559-Ft!B$2)^2)</f>
        <v>6.8008941313926195E-143</v>
      </c>
      <c r="F559" s="26">
        <f>Ft!C$3*EXP(Ft!C$38*($A559-Ft!C$2)^2)</f>
        <v>1.3067532817623022E-5</v>
      </c>
      <c r="G559" s="26">
        <f>Ft!D$3*EXP(Ft!D$38*($A559-Ft!D$2)^2)</f>
        <v>13.102216185508201</v>
      </c>
      <c r="H559" s="26">
        <f>Ft!E$3*EXP(Ft!E$38*($A559-Ft!E$2)^2)</f>
        <v>4.9823481194451258</v>
      </c>
      <c r="I559" s="26">
        <f>Ft!F$3*EXP(Ft!F$38*($A559-Ft!F$2)^2)</f>
        <v>2.427174356971472E-42</v>
      </c>
      <c r="J559" s="26">
        <f>Ft!G$3*EXP(Ft!G$38*($A559-Ft!G$2)^2)</f>
        <v>0</v>
      </c>
    </row>
    <row r="560" spans="1:10">
      <c r="A560" s="19">
        <v>558</v>
      </c>
      <c r="B560" s="28">
        <v>12.626010003957106</v>
      </c>
      <c r="C560" s="27">
        <f ca="1">OFFSET($B560,1*(ROWS(C$2:C560)-1),0)</f>
        <v>0</v>
      </c>
      <c r="D560" s="26">
        <f>Ft!B$3*EXP(Ft!B$38*($A560-Ft!B$2)^2) +Ft!C$3*EXP(Ft!C$38*($A560-Ft!C$2)^2) + Ft!D$3*EXP(Ft!D$38*($A560-Ft!D$2)^2)+Ft!E$3*EXP(Ft!E$38*($A560-Ft!E$2)^2) +Ft!F$3*EXP(Ft!F$38*($A560-Ft!F$2)^2) + Ft!G$3*EXP(Ft!G$38*($A560-Ft!G$2)^2)</f>
        <v>18.064026582131739</v>
      </c>
      <c r="E560" s="26">
        <f>Ft!B$3*EXP(Ft!B$38*($A560-Ft!B$2)^2)</f>
        <v>1.879838808246381E-143</v>
      </c>
      <c r="F560" s="26">
        <f>Ft!C$3*EXP(Ft!C$38*($A560-Ft!C$2)^2)</f>
        <v>1.2246779696604167E-5</v>
      </c>
      <c r="G560" s="26">
        <f>Ft!D$3*EXP(Ft!D$38*($A560-Ft!D$2)^2)</f>
        <v>13.03580604781409</v>
      </c>
      <c r="H560" s="26">
        <f>Ft!E$3*EXP(Ft!E$38*($A560-Ft!E$2)^2)</f>
        <v>5.028208287537951</v>
      </c>
      <c r="I560" s="26">
        <f>Ft!F$3*EXP(Ft!F$38*($A560-Ft!F$2)^2)</f>
        <v>3.6631434162548702E-42</v>
      </c>
      <c r="J560" s="26">
        <f>Ft!G$3*EXP(Ft!G$38*($A560-Ft!G$2)^2)</f>
        <v>0</v>
      </c>
    </row>
    <row r="561" spans="1:10">
      <c r="A561" s="19">
        <v>559</v>
      </c>
      <c r="B561" s="28">
        <v>12.418321979640069</v>
      </c>
      <c r="C561" s="27">
        <f ca="1">OFFSET($B561,1*(ROWS(C$2:C561)-1),0)</f>
        <v>0</v>
      </c>
      <c r="D561" s="26">
        <f>Ft!B$3*EXP(Ft!B$38*($A561-Ft!B$2)^2) +Ft!C$3*EXP(Ft!C$38*($A561-Ft!C$2)^2) + Ft!D$3*EXP(Ft!D$38*($A561-Ft!D$2)^2)+Ft!E$3*EXP(Ft!E$38*($A561-Ft!E$2)^2) +Ft!F$3*EXP(Ft!F$38*($A561-Ft!F$2)^2) + Ft!G$3*EXP(Ft!G$38*($A561-Ft!G$2)^2)</f>
        <v>18.043503101706456</v>
      </c>
      <c r="E561" s="26">
        <f>Ft!B$3*EXP(Ft!B$38*($A561-Ft!B$2)^2)</f>
        <v>5.1830378714933326E-144</v>
      </c>
      <c r="F561" s="26">
        <f>Ft!C$3*EXP(Ft!C$38*($A561-Ft!C$2)^2)</f>
        <v>1.1475793082121832E-5</v>
      </c>
      <c r="G561" s="26">
        <f>Ft!D$3*EXP(Ft!D$38*($A561-Ft!D$2)^2)</f>
        <v>12.969180878635724</v>
      </c>
      <c r="H561" s="26">
        <f>Ft!E$3*EXP(Ft!E$38*($A561-Ft!E$2)^2)</f>
        <v>5.0743107472776483</v>
      </c>
      <c r="I561" s="26">
        <f>Ft!F$3*EXP(Ft!F$38*($A561-Ft!F$2)^2)</f>
        <v>5.5236946728858537E-42</v>
      </c>
      <c r="J561" s="26">
        <f>Ft!G$3*EXP(Ft!G$38*($A561-Ft!G$2)^2)</f>
        <v>0</v>
      </c>
    </row>
    <row r="562" spans="1:10">
      <c r="A562" s="19">
        <v>560</v>
      </c>
      <c r="B562" s="28">
        <v>12.205130534359682</v>
      </c>
      <c r="C562" s="27">
        <f ca="1">OFFSET($B562,1*(ROWS(C$2:C562)-1),0)</f>
        <v>0</v>
      </c>
      <c r="D562" s="26">
        <f>Ft!B$3*EXP(Ft!B$38*($A562-Ft!B$2)^2) +Ft!C$3*EXP(Ft!C$38*($A562-Ft!C$2)^2) + Ft!D$3*EXP(Ft!D$38*($A562-Ft!D$2)^2)+Ft!E$3*EXP(Ft!E$38*($A562-Ft!E$2)^2) +Ft!F$3*EXP(Ft!F$38*($A562-Ft!F$2)^2) + Ft!G$3*EXP(Ft!G$38*($A562-Ft!G$2)^2)</f>
        <v>18.023012619330515</v>
      </c>
      <c r="E562" s="26">
        <f>Ft!B$3*EXP(Ft!B$38*($A562-Ft!B$2)^2)</f>
        <v>1.4254675240875335E-144</v>
      </c>
      <c r="F562" s="26">
        <f>Ft!C$3*EXP(Ft!C$38*($A562-Ft!C$2)^2)</f>
        <v>1.0751672069600544E-5</v>
      </c>
      <c r="G562" s="26">
        <f>Ft!D$3*EXP(Ft!D$38*($A562-Ft!D$2)^2)</f>
        <v>12.902347430013208</v>
      </c>
      <c r="H562" s="26">
        <f>Ft!E$3*EXP(Ft!E$38*($A562-Ft!E$2)^2)</f>
        <v>5.1206544376452356</v>
      </c>
      <c r="I562" s="26">
        <f>Ft!F$3*EXP(Ft!F$38*($A562-Ft!F$2)^2)</f>
        <v>8.3220094087110014E-42</v>
      </c>
      <c r="J562" s="26">
        <f>Ft!G$3*EXP(Ft!G$38*($A562-Ft!G$2)^2)</f>
        <v>0</v>
      </c>
    </row>
    <row r="563" spans="1:10">
      <c r="A563" s="19">
        <v>561</v>
      </c>
      <c r="B563" s="28">
        <v>11.985323135762115</v>
      </c>
      <c r="C563" s="27">
        <f ca="1">OFFSET($B563,1*(ROWS(C$2:C563)-1),0)</f>
        <v>0</v>
      </c>
      <c r="D563" s="26">
        <f>Ft!B$3*EXP(Ft!B$38*($A563-Ft!B$2)^2) +Ft!C$3*EXP(Ft!C$38*($A563-Ft!C$2)^2) + Ft!D$3*EXP(Ft!D$38*($A563-Ft!D$2)^2)+Ft!E$3*EXP(Ft!E$38*($A563-Ft!E$2)^2) +Ft!F$3*EXP(Ft!F$38*($A563-Ft!F$2)^2) + Ft!G$3*EXP(Ft!G$38*($A563-Ft!G$2)^2)</f>
        <v>18.002560779669423</v>
      </c>
      <c r="E563" s="26">
        <f>Ft!B$3*EXP(Ft!B$38*($A563-Ft!B$2)^2)</f>
        <v>3.9105644402051993E-145</v>
      </c>
      <c r="F563" s="26">
        <f>Ft!C$3*EXP(Ft!C$38*($A563-Ft!C$2)^2)</f>
        <v>1.0071677428040527E-5</v>
      </c>
      <c r="G563" s="26">
        <f>Ft!D$3*EXP(Ft!D$38*($A563-Ft!D$2)^2)</f>
        <v>12.835312445842696</v>
      </c>
      <c r="H563" s="26">
        <f>Ft!E$3*EXP(Ft!E$38*($A563-Ft!E$2)^2)</f>
        <v>5.1672382621492972</v>
      </c>
      <c r="I563" s="26">
        <f>Ft!F$3*EXP(Ft!F$38*($A563-Ft!F$2)^2)</f>
        <v>1.2527070911868057E-41</v>
      </c>
      <c r="J563" s="26">
        <f>Ft!G$3*EXP(Ft!G$38*($A563-Ft!G$2)^2)</f>
        <v>0</v>
      </c>
    </row>
    <row r="564" spans="1:10">
      <c r="A564" s="19">
        <v>562</v>
      </c>
      <c r="B564" s="28">
        <v>11.760402279798257</v>
      </c>
      <c r="C564" s="27">
        <f ca="1">OFFSET($B564,1*(ROWS(C$2:C564)-1),0)</f>
        <v>0</v>
      </c>
      <c r="D564" s="26">
        <f>Ft!B$3*EXP(Ft!B$38*($A564-Ft!B$2)^2) +Ft!C$3*EXP(Ft!C$38*($A564-Ft!C$2)^2) + Ft!D$3*EXP(Ft!D$38*($A564-Ft!D$2)^2)+Ft!E$3*EXP(Ft!E$38*($A564-Ft!E$2)^2) +Ft!F$3*EXP(Ft!F$38*($A564-Ft!F$2)^2) + Ft!G$3*EXP(Ft!G$38*($A564-Ft!G$2)^2)</f>
        <v>17.982153182655185</v>
      </c>
      <c r="E564" s="26">
        <f>Ft!B$3*EXP(Ft!B$38*($A564-Ft!B$2)^2)</f>
        <v>1.0701157114295224E-145</v>
      </c>
      <c r="F564" s="26">
        <f>Ft!C$3*EXP(Ft!C$38*($A564-Ft!C$2)^2)</f>
        <v>9.4332230474852389E-6</v>
      </c>
      <c r="G564" s="26">
        <f>Ft!D$3*EXP(Ft!D$38*($A564-Ft!D$2)^2)</f>
        <v>12.768082660773974</v>
      </c>
      <c r="H564" s="26">
        <f>Ft!E$3*EXP(Ft!E$38*($A564-Ft!E$2)^2)</f>
        <v>5.2140610886581653</v>
      </c>
      <c r="I564" s="26">
        <f>Ft!F$3*EXP(Ft!F$38*($A564-Ft!F$2)^2)</f>
        <v>1.8840553815910503E-41</v>
      </c>
      <c r="J564" s="26">
        <f>Ft!G$3*EXP(Ft!G$38*($A564-Ft!G$2)^2)</f>
        <v>0</v>
      </c>
    </row>
    <row r="565" spans="1:10">
      <c r="A565" s="19">
        <v>563</v>
      </c>
      <c r="B565" s="28">
        <v>11.520651256705605</v>
      </c>
      <c r="C565" s="27">
        <f ca="1">OFFSET($B565,1*(ROWS(C$2:C565)-1),0)</f>
        <v>0</v>
      </c>
      <c r="D565" s="26">
        <f>Ft!B$3*EXP(Ft!B$38*($A565-Ft!B$2)^2) +Ft!C$3*EXP(Ft!C$38*($A565-Ft!C$2)^2) + Ft!D$3*EXP(Ft!D$38*($A565-Ft!D$2)^2)+Ft!E$3*EXP(Ft!E$38*($A565-Ft!E$2)^2) +Ft!F$3*EXP(Ft!F$38*($A565-Ft!F$2)^2) + Ft!G$3*EXP(Ft!G$38*($A565-Ft!G$2)^2)</f>
        <v>17.961795382220437</v>
      </c>
      <c r="E565" s="26">
        <f>Ft!B$3*EXP(Ft!B$38*($A565-Ft!B$2)^2)</f>
        <v>2.9209976543230881E-146</v>
      </c>
      <c r="F565" s="26">
        <f>Ft!C$3*EXP(Ft!C$38*($A565-Ft!C$2)^2)</f>
        <v>8.8338678115587669E-6</v>
      </c>
      <c r="G565" s="26">
        <f>Ft!D$3*EXP(Ft!D$38*($A565-Ft!D$2)^2)</f>
        <v>12.700664799115726</v>
      </c>
      <c r="H565" s="26">
        <f>Ft!E$3*EXP(Ft!E$38*($A565-Ft!E$2)^2)</f>
        <v>5.2611217492369002</v>
      </c>
      <c r="I565" s="26">
        <f>Ft!F$3*EXP(Ft!F$38*($A565-Ft!F$2)^2)</f>
        <v>2.8311350665789331E-41</v>
      </c>
      <c r="J565" s="26">
        <f>Ft!G$3*EXP(Ft!G$38*($A565-Ft!G$2)^2)</f>
        <v>0</v>
      </c>
    </row>
    <row r="566" spans="1:10">
      <c r="A566" s="19">
        <v>564</v>
      </c>
      <c r="B566" s="28">
        <v>11.296225708633585</v>
      </c>
      <c r="C566" s="27">
        <f ca="1">OFFSET($B566,1*(ROWS(C$2:C566)-1),0)</f>
        <v>0</v>
      </c>
      <c r="D566" s="26">
        <f>Ft!B$3*EXP(Ft!B$38*($A566-Ft!B$2)^2) +Ft!C$3*EXP(Ft!C$38*($A566-Ft!C$2)^2) + Ft!D$3*EXP(Ft!D$38*($A566-Ft!D$2)^2)+Ft!E$3*EXP(Ft!E$38*($A566-Ft!E$2)^2) +Ft!F$3*EXP(Ft!F$38*($A566-Ft!F$2)^2) + Ft!G$3*EXP(Ft!G$38*($A566-Ft!G$2)^2)</f>
        <v>17.941492885045733</v>
      </c>
      <c r="E566" s="26">
        <f>Ft!B$3*EXP(Ft!B$38*($A566-Ft!B$2)^2)</f>
        <v>7.9531807050896063E-147</v>
      </c>
      <c r="F566" s="26">
        <f>Ft!C$3*EXP(Ft!C$38*($A566-Ft!C$2)^2)</f>
        <v>8.2713078755272583E-6</v>
      </c>
      <c r="G566" s="26">
        <f>Ft!D$3*EXP(Ft!D$38*($A566-Ft!D$2)^2)</f>
        <v>12.633065573748686</v>
      </c>
      <c r="H566" s="26">
        <f>Ft!E$3*EXP(Ft!E$38*($A566-Ft!E$2)^2)</f>
        <v>5.3084190399891709</v>
      </c>
      <c r="I566" s="26">
        <f>Ft!F$3*EXP(Ft!F$38*($A566-Ft!F$2)^2)</f>
        <v>4.250600693854402E-41</v>
      </c>
      <c r="J566" s="26">
        <f>Ft!G$3*EXP(Ft!G$38*($A566-Ft!G$2)^2)</f>
        <v>0</v>
      </c>
    </row>
    <row r="567" spans="1:10">
      <c r="A567" s="19">
        <v>565</v>
      </c>
      <c r="B567" s="28">
        <v>11.090565052095286</v>
      </c>
      <c r="C567" s="27">
        <f ca="1">OFFSET($B567,1*(ROWS(C$2:C567)-1),0)</f>
        <v>0</v>
      </c>
      <c r="D567" s="26">
        <f>Ft!B$3*EXP(Ft!B$38*($A567-Ft!B$2)^2) +Ft!C$3*EXP(Ft!C$38*($A567-Ft!C$2)^2) + Ft!D$3*EXP(Ft!D$38*($A567-Ft!D$2)^2)+Ft!E$3*EXP(Ft!E$38*($A567-Ft!E$2)^2) +Ft!F$3*EXP(Ft!F$38*($A567-Ft!F$2)^2) + Ft!G$3*EXP(Ft!G$38*($A567-Ft!G$2)^2)</f>
        <v>17.921251149320369</v>
      </c>
      <c r="E567" s="26">
        <f>Ft!B$3*EXP(Ft!B$38*($A567-Ft!B$2)^2)</f>
        <v>2.1600294202400419E-147</v>
      </c>
      <c r="F567" s="26">
        <f>Ft!C$3*EXP(Ft!C$38*($A567-Ft!C$2)^2)</f>
        <v>7.7433693311493413E-6</v>
      </c>
      <c r="G567" s="26">
        <f>Ft!D$3*EXP(Ft!D$38*($A567-Ft!D$2)^2)</f>
        <v>12.565291685046942</v>
      </c>
      <c r="H567" s="26">
        <f>Ft!E$3*EXP(Ft!E$38*($A567-Ft!E$2)^2)</f>
        <v>5.3559517209040965</v>
      </c>
      <c r="I567" s="26">
        <f>Ft!F$3*EXP(Ft!F$38*($A567-Ft!F$2)^2)</f>
        <v>6.3762131118144928E-41</v>
      </c>
      <c r="J567" s="26">
        <f>Ft!G$3*EXP(Ft!G$38*($A567-Ft!G$2)^2)</f>
        <v>0</v>
      </c>
    </row>
    <row r="568" spans="1:10">
      <c r="A568" s="19">
        <v>566</v>
      </c>
      <c r="B568" s="28">
        <v>10.897232741333823</v>
      </c>
      <c r="C568" s="27">
        <f ca="1">OFFSET($B568,1*(ROWS(C$2:C568)-1),0)</f>
        <v>0</v>
      </c>
      <c r="D568" s="26">
        <f>Ft!B$3*EXP(Ft!B$38*($A568-Ft!B$2)^2) +Ft!C$3*EXP(Ft!C$38*($A568-Ft!C$2)^2) + Ft!D$3*EXP(Ft!D$38*($A568-Ft!D$2)^2)+Ft!E$3*EXP(Ft!E$38*($A568-Ft!E$2)^2) +Ft!F$3*EXP(Ft!F$38*($A568-Ft!F$2)^2) + Ft!G$3*EXP(Ft!G$38*($A568-Ft!G$2)^2)</f>
        <v>17.901075583517002</v>
      </c>
      <c r="E568" s="26">
        <f>Ft!B$3*EXP(Ft!B$38*($A568-Ft!B$2)^2)</f>
        <v>5.8517755065063759E-148</v>
      </c>
      <c r="F568" s="26">
        <f>Ft!C$3*EXP(Ft!C$38*($A568-Ft!C$2)^2)</f>
        <v>7.2480012403618221E-6</v>
      </c>
      <c r="G568" s="26">
        <f>Ft!D$3*EXP(Ft!D$38*($A568-Ft!D$2)^2)</f>
        <v>12.497349819807608</v>
      </c>
      <c r="H568" s="26">
        <f>Ft!E$3*EXP(Ft!E$38*($A568-Ft!E$2)^2)</f>
        <v>5.403718515708154</v>
      </c>
      <c r="I568" s="26">
        <f>Ft!F$3*EXP(Ft!F$38*($A568-Ft!F$2)^2)</f>
        <v>9.5564839501674179E-41</v>
      </c>
      <c r="J568" s="26">
        <f>Ft!G$3*EXP(Ft!G$38*($A568-Ft!G$2)^2)</f>
        <v>0</v>
      </c>
    </row>
    <row r="569" spans="1:10">
      <c r="A569" s="19">
        <v>567</v>
      </c>
      <c r="B569" s="28">
        <v>10.690995393109802</v>
      </c>
      <c r="C569" s="27">
        <f ca="1">OFFSET($B569,1*(ROWS(C$2:C569)-1),0)</f>
        <v>0</v>
      </c>
      <c r="D569" s="26">
        <f>Ft!B$3*EXP(Ft!B$38*($A569-Ft!B$2)^2) +Ft!C$3*EXP(Ft!C$38*($A569-Ft!C$2)^2) + Ft!D$3*EXP(Ft!D$38*($A569-Ft!D$2)^2)+Ft!E$3*EXP(Ft!E$38*($A569-Ft!E$2)^2) +Ft!F$3*EXP(Ft!F$38*($A569-Ft!F$2)^2) + Ft!G$3*EXP(Ft!G$38*($A569-Ft!G$2)^2)</f>
        <v>17.880971545180298</v>
      </c>
      <c r="E569" s="26">
        <f>Ft!B$3*EXP(Ft!B$38*($A569-Ft!B$2)^2)</f>
        <v>1.5813384154556241E-148</v>
      </c>
      <c r="F569" s="26">
        <f>Ft!C$3*EXP(Ft!C$38*($A569-Ft!C$2)^2)</f>
        <v>6.7832690206006791E-6</v>
      </c>
      <c r="G569" s="26">
        <f>Ft!D$3*EXP(Ft!D$38*($A569-Ft!D$2)^2)</f>
        <v>12.429246650189093</v>
      </c>
      <c r="H569" s="26">
        <f>Ft!E$3*EXP(Ft!E$38*($A569-Ft!E$2)^2)</f>
        <v>5.4517181117221858</v>
      </c>
      <c r="I569" s="26">
        <f>Ft!F$3*EXP(Ft!F$38*($A569-Ft!F$2)^2)</f>
        <v>1.4310547217127695E-40</v>
      </c>
      <c r="J569" s="26">
        <f>Ft!G$3*EXP(Ft!G$38*($A569-Ft!G$2)^2)</f>
        <v>0</v>
      </c>
    </row>
    <row r="570" spans="1:10">
      <c r="A570" s="19">
        <v>568</v>
      </c>
      <c r="B570" s="28">
        <v>10.506295649836488</v>
      </c>
      <c r="C570" s="27">
        <f ca="1">OFFSET($B570,1*(ROWS(C$2:C570)-1),0)</f>
        <v>0</v>
      </c>
      <c r="D570" s="26">
        <f>Ft!B$3*EXP(Ft!B$38*($A570-Ft!B$2)^2) +Ft!C$3*EXP(Ft!C$38*($A570-Ft!C$2)^2) + Ft!D$3*EXP(Ft!D$38*($A570-Ft!D$2)^2)+Ft!E$3*EXP(Ft!E$38*($A570-Ft!E$2)^2) +Ft!F$3*EXP(Ft!F$38*($A570-Ft!F$2)^2) + Ft!G$3*EXP(Ft!G$38*($A570-Ft!G$2)^2)</f>
        <v>17.860944339729997</v>
      </c>
      <c r="E570" s="26">
        <f>Ft!B$3*EXP(Ft!B$38*($A570-Ft!B$2)^2)</f>
        <v>4.2625664283813523E-149</v>
      </c>
      <c r="F570" s="26">
        <f>Ft!C$3*EXP(Ft!C$38*($A570-Ft!C$2)^2)</f>
        <v>6.3473481652838851E-6</v>
      </c>
      <c r="G570" s="26">
        <f>Ft!D$3*EXP(Ft!D$38*($A570-Ft!D$2)^2)</f>
        <v>12.360988832658188</v>
      </c>
      <c r="H570" s="26">
        <f>Ft!E$3*EXP(Ft!E$38*($A570-Ft!E$2)^2)</f>
        <v>5.4999491597236414</v>
      </c>
      <c r="I570" s="26">
        <f>Ft!F$3*EXP(Ft!F$38*($A570-Ft!F$2)^2)</f>
        <v>2.1411009422912216E-40</v>
      </c>
      <c r="J570" s="26">
        <f>Ft!G$3*EXP(Ft!G$38*($A570-Ft!G$2)^2)</f>
        <v>0</v>
      </c>
    </row>
    <row r="571" spans="1:10">
      <c r="A571" s="19">
        <v>569</v>
      </c>
      <c r="B571" s="28">
        <v>10.311858366974519</v>
      </c>
      <c r="C571" s="27">
        <f ca="1">OFFSET($B571,1*(ROWS(C$2:C571)-1),0)</f>
        <v>0</v>
      </c>
      <c r="D571" s="26">
        <f>Ft!B$3*EXP(Ft!B$38*($A571-Ft!B$2)^2) +Ft!C$3*EXP(Ft!C$38*($A571-Ft!C$2)^2) + Ft!D$3*EXP(Ft!D$38*($A571-Ft!D$2)^2)+Ft!E$3*EXP(Ft!E$38*($A571-Ft!E$2)^2) +Ft!F$3*EXP(Ft!F$38*($A571-Ft!F$2)^2) + Ft!G$3*EXP(Ft!G$38*($A571-Ft!G$2)^2)</f>
        <v>17.840999219278565</v>
      </c>
      <c r="E571" s="26">
        <f>Ft!B$3*EXP(Ft!B$38*($A571-Ft!B$2)^2)</f>
        <v>1.146110979828781E-149</v>
      </c>
      <c r="F571" s="26">
        <f>Ft!C$3*EXP(Ft!C$38*($A571-Ft!C$2)^2)</f>
        <v>5.9385182836817789E-6</v>
      </c>
      <c r="G571" s="26">
        <f>Ft!D$3*EXP(Ft!D$38*($A571-Ft!D$2)^2)</f>
        <v>12.292583006946222</v>
      </c>
      <c r="H571" s="26">
        <f>Ft!E$3*EXP(Ft!E$38*($A571-Ft!E$2)^2)</f>
        <v>5.548410273814059</v>
      </c>
      <c r="I571" s="26">
        <f>Ft!F$3*EXP(Ft!F$38*($A571-Ft!F$2)^2)</f>
        <v>3.2006695617235501E-40</v>
      </c>
      <c r="J571" s="26">
        <f>Ft!G$3*EXP(Ft!G$38*($A571-Ft!G$2)^2)</f>
        <v>0</v>
      </c>
    </row>
    <row r="572" spans="1:10">
      <c r="A572" s="19">
        <v>570</v>
      </c>
      <c r="B572" s="28">
        <v>10.141444825596807</v>
      </c>
      <c r="C572" s="27">
        <f ca="1">OFFSET($B572,1*(ROWS(C$2:C572)-1),0)</f>
        <v>0</v>
      </c>
      <c r="D572" s="26">
        <f>Ft!B$3*EXP(Ft!B$38*($A572-Ft!B$2)^2) +Ft!C$3*EXP(Ft!C$38*($A572-Ft!C$2)^2) + Ft!D$3*EXP(Ft!D$38*($A572-Ft!D$2)^2)+Ft!E$3*EXP(Ft!E$38*($A572-Ft!E$2)^2) +Ft!F$3*EXP(Ft!F$38*($A572-Ft!F$2)^2) + Ft!G$3*EXP(Ft!G$38*($A572-Ft!G$2)^2)</f>
        <v>17.821141381463811</v>
      </c>
      <c r="E572" s="26">
        <f>Ft!B$3*EXP(Ft!B$38*($A572-Ft!B$2)^2)</f>
        <v>3.0739115040739444E-150</v>
      </c>
      <c r="F572" s="26">
        <f>Ft!C$3*EXP(Ft!C$38*($A572-Ft!C$2)^2)</f>
        <v>5.5551574450755607E-6</v>
      </c>
      <c r="G572" s="26">
        <f>Ft!D$3*EXP(Ft!D$38*($A572-Ft!D$2)^2)</f>
        <v>12.224035795014428</v>
      </c>
      <c r="H572" s="26">
        <f>Ft!E$3*EXP(Ft!E$38*($A572-Ft!E$2)^2)</f>
        <v>5.5971000312919355</v>
      </c>
      <c r="I572" s="26">
        <f>Ft!F$3*EXP(Ft!F$38*($A572-Ft!F$2)^2)</f>
        <v>4.7804340634131448E-40</v>
      </c>
      <c r="J572" s="26">
        <f>Ft!G$3*EXP(Ft!G$38*($A572-Ft!G$2)^2)</f>
        <v>0</v>
      </c>
    </row>
    <row r="573" spans="1:10">
      <c r="A573" s="19">
        <v>571</v>
      </c>
      <c r="B573" s="28">
        <v>9.9262992402260011</v>
      </c>
      <c r="C573" s="27">
        <f ca="1">OFFSET($B573,1*(ROWS(C$2:C573)-1),0)</f>
        <v>0</v>
      </c>
      <c r="D573" s="26">
        <f>Ft!B$3*EXP(Ft!B$38*($A573-Ft!B$2)^2) +Ft!C$3*EXP(Ft!C$38*($A573-Ft!C$2)^2) + Ft!D$3*EXP(Ft!D$38*($A573-Ft!D$2)^2)+Ft!E$3*EXP(Ft!E$38*($A573-Ft!E$2)^2) +Ft!F$3*EXP(Ft!F$38*($A573-Ft!F$2)^2) + Ft!G$3*EXP(Ft!G$38*($A573-Ft!G$2)^2)</f>
        <v>17.801375968296647</v>
      </c>
      <c r="E573" s="26">
        <f>Ft!B$3*EXP(Ft!B$38*($A573-Ft!B$2)^2)</f>
        <v>8.2236614229155194E-151</v>
      </c>
      <c r="F573" s="26">
        <f>Ft!C$3*EXP(Ft!C$38*($A573-Ft!C$2)^2)</f>
        <v>5.1957368127524424E-6</v>
      </c>
      <c r="G573" s="26">
        <f>Ft!D$3*EXP(Ft!D$38*($A573-Ft!D$2)^2)</f>
        <v>12.155353800028838</v>
      </c>
      <c r="H573" s="26">
        <f>Ft!E$3*EXP(Ft!E$38*($A573-Ft!E$2)^2)</f>
        <v>5.6460169725309965</v>
      </c>
      <c r="I573" s="26">
        <f>Ft!F$3*EXP(Ft!F$38*($A573-Ft!F$2)^2)</f>
        <v>7.133729218686199E-40</v>
      </c>
      <c r="J573" s="26">
        <f>Ft!G$3*EXP(Ft!G$38*($A573-Ft!G$2)^2)</f>
        <v>0</v>
      </c>
    </row>
    <row r="574" spans="1:10">
      <c r="A574" s="19">
        <v>572</v>
      </c>
      <c r="B574" s="28">
        <v>9.7288480790247718</v>
      </c>
      <c r="C574" s="27">
        <f ca="1">OFFSET($B574,1*(ROWS(C$2:C574)-1),0)</f>
        <v>0</v>
      </c>
      <c r="D574" s="26">
        <f>Ft!B$3*EXP(Ft!B$38*($A574-Ft!B$2)^2) +Ft!C$3*EXP(Ft!C$38*($A574-Ft!C$2)^2) + Ft!D$3*EXP(Ft!D$38*($A574-Ft!D$2)^2)+Ft!E$3*EXP(Ft!E$38*($A574-Ft!E$2)^2) +Ft!F$3*EXP(Ft!F$38*($A574-Ft!F$2)^2) + Ft!G$3*EXP(Ft!G$38*($A574-Ft!G$2)^2)</f>
        <v>17.781708065024354</v>
      </c>
      <c r="E574" s="26">
        <f>Ft!B$3*EXP(Ft!B$38*($A574-Ft!B$2)^2)</f>
        <v>2.1945640329074114E-151</v>
      </c>
      <c r="F574" s="26">
        <f>Ft!C$3*EXP(Ft!C$38*($A574-Ft!C$2)^2)</f>
        <v>4.8588155540114369E-6</v>
      </c>
      <c r="G574" s="26">
        <f>Ft!D$3*EXP(Ft!D$38*($A574-Ft!D$2)^2)</f>
        <v>12.086543605344813</v>
      </c>
      <c r="H574" s="26">
        <f>Ft!E$3*EXP(Ft!E$38*($A574-Ft!E$2)^2)</f>
        <v>5.6951596008639855</v>
      </c>
      <c r="I574" s="26">
        <f>Ft!F$3*EXP(Ft!F$38*($A574-Ft!F$2)^2)</f>
        <v>1.063625409704922E-39</v>
      </c>
      <c r="J574" s="26">
        <f>Ft!G$3*EXP(Ft!G$38*($A574-Ft!G$2)^2)</f>
        <v>0</v>
      </c>
    </row>
    <row r="575" spans="1:10">
      <c r="A575" s="19">
        <v>573</v>
      </c>
      <c r="B575" s="28">
        <v>9.559401010266356</v>
      </c>
      <c r="C575" s="27">
        <f ca="1">OFFSET($B575,1*(ROWS(C$2:C575)-1),0)</f>
        <v>0</v>
      </c>
      <c r="D575" s="26">
        <f>Ft!B$3*EXP(Ft!B$38*($A575-Ft!B$2)^2) +Ft!C$3*EXP(Ft!C$38*($A575-Ft!C$2)^2) + Ft!D$3*EXP(Ft!D$38*($A575-Ft!D$2)^2)+Ft!E$3*EXP(Ft!E$38*($A575-Ft!E$2)^2) +Ft!F$3*EXP(Ft!F$38*($A575-Ft!F$2)^2) + Ft!G$3*EXP(Ft!G$38*($A575-Ft!G$2)^2)</f>
        <v>17.762142699009523</v>
      </c>
      <c r="E575" s="26">
        <f>Ft!B$3*EXP(Ft!B$38*($A575-Ft!B$2)^2)</f>
        <v>5.8417163683482088E-152</v>
      </c>
      <c r="F575" s="26">
        <f>Ft!C$3*EXP(Ft!C$38*($A575-Ft!C$2)^2)</f>
        <v>4.5430360129543073E-6</v>
      </c>
      <c r="G575" s="26">
        <f>Ft!D$3*EXP(Ft!D$38*($A575-Ft!D$2)^2)</f>
        <v>12.017611773501493</v>
      </c>
      <c r="H575" s="26">
        <f>Ft!E$3*EXP(Ft!E$38*($A575-Ft!E$2)^2)</f>
        <v>5.7445263824720172</v>
      </c>
      <c r="I575" s="26">
        <f>Ft!F$3*EXP(Ft!F$38*($A575-Ft!F$2)^2)</f>
        <v>1.5844684027213495E-39</v>
      </c>
      <c r="J575" s="26">
        <f>Ft!G$3*EXP(Ft!G$38*($A575-Ft!G$2)^2)</f>
        <v>0</v>
      </c>
    </row>
    <row r="576" spans="1:10">
      <c r="A576" s="19">
        <v>574</v>
      </c>
      <c r="B576" s="28">
        <v>9.403741790189116</v>
      </c>
      <c r="C576" s="27">
        <f ca="1">OFFSET($B576,1*(ROWS(C$2:C576)-1),0)</f>
        <v>0</v>
      </c>
      <c r="D576" s="26">
        <f>Ft!B$3*EXP(Ft!B$38*($A576-Ft!B$2)^2) +Ft!C$3*EXP(Ft!C$38*($A576-Ft!C$2)^2) + Ft!D$3*EXP(Ft!D$38*($A576-Ft!D$2)^2)+Ft!E$3*EXP(Ft!E$38*($A576-Ft!E$2)^2) +Ft!F$3*EXP(Ft!F$38*($A576-Ft!F$2)^2) + Ft!G$3*EXP(Ft!G$38*($A576-Ft!G$2)^2)</f>
        <v>17.74268483862501</v>
      </c>
      <c r="E576" s="26">
        <f>Ft!B$3*EXP(Ft!B$38*($A576-Ft!B$2)^2)</f>
        <v>1.5511073325061944E-152</v>
      </c>
      <c r="F576" s="26">
        <f>Ft!C$3*EXP(Ft!C$38*($A576-Ft!C$2)^2)</f>
        <v>4.2471191334143383E-6</v>
      </c>
      <c r="G576" s="26">
        <f>Ft!D$3*EXP(Ft!D$38*($A576-Ft!D$2)^2)</f>
        <v>11.948564845226302</v>
      </c>
      <c r="H576" s="26">
        <f>Ft!E$3*EXP(Ft!E$38*($A576-Ft!E$2)^2)</f>
        <v>5.7941157462795765</v>
      </c>
      <c r="I576" s="26">
        <f>Ft!F$3*EXP(Ft!F$38*($A576-Ft!F$2)^2)</f>
        <v>2.3583119814608462E-39</v>
      </c>
      <c r="J576" s="26">
        <f>Ft!G$3*EXP(Ft!G$38*($A576-Ft!G$2)^2)</f>
        <v>0</v>
      </c>
    </row>
    <row r="577" spans="1:10">
      <c r="A577" s="19">
        <v>575</v>
      </c>
      <c r="B577" s="28">
        <v>9.2574082293790525</v>
      </c>
      <c r="C577" s="27">
        <f ca="1">OFFSET($B577,1*(ROWS(C$2:C577)-1),0)</f>
        <v>0</v>
      </c>
      <c r="D577" s="26">
        <f>Ft!B$3*EXP(Ft!B$38*($A577-Ft!B$2)^2) +Ft!C$3*EXP(Ft!C$38*($A577-Ft!C$2)^2) + Ft!D$3*EXP(Ft!D$38*($A577-Ft!D$2)^2)+Ft!E$3*EXP(Ft!E$38*($A577-Ft!E$2)^2) +Ft!F$3*EXP(Ft!F$38*($A577-Ft!F$2)^2) + Ft!G$3*EXP(Ft!G$38*($A577-Ft!G$2)^2)</f>
        <v>17.723339392165123</v>
      </c>
      <c r="E577" s="26">
        <f>Ft!B$3*EXP(Ft!B$38*($A577-Ft!B$2)^2)</f>
        <v>4.1082078585595598E-153</v>
      </c>
      <c r="F577" s="26">
        <f>Ft!C$3*EXP(Ft!C$38*($A577-Ft!C$2)^2)</f>
        <v>3.9698601199319723E-6</v>
      </c>
      <c r="G577" s="26">
        <f>Ft!D$3*EXP(Ft!D$38*($A577-Ft!D$2)^2)</f>
        <v>11.879409338449753</v>
      </c>
      <c r="H577" s="26">
        <f>Ft!E$3*EXP(Ft!E$38*($A577-Ft!E$2)^2)</f>
        <v>5.8439260838552487</v>
      </c>
      <c r="I577" s="26">
        <f>Ft!F$3*EXP(Ft!F$38*($A577-Ft!F$2)^2)</f>
        <v>3.5070481405375458E-39</v>
      </c>
      <c r="J577" s="26">
        <f>Ft!G$3*EXP(Ft!G$38*($A577-Ft!G$2)^2)</f>
        <v>0</v>
      </c>
    </row>
    <row r="578" spans="1:10">
      <c r="A578" s="19">
        <v>576</v>
      </c>
      <c r="B578" s="28">
        <v>9.1299562006545898</v>
      </c>
      <c r="C578" s="27">
        <f ca="1">OFFSET($B578,1*(ROWS(C$2:C578)-1),0)</f>
        <v>0</v>
      </c>
      <c r="D578" s="26">
        <f>Ft!B$3*EXP(Ft!B$38*($A578-Ft!B$2)^2) +Ft!C$3*EXP(Ft!C$38*($A578-Ft!C$2)^2) + Ft!D$3*EXP(Ft!D$38*($A578-Ft!D$2)^2)+Ft!E$3*EXP(Ft!E$38*($A578-Ft!E$2)^2) +Ft!F$3*EXP(Ft!F$38*($A578-Ft!F$2)^2) + Ft!G$3*EXP(Ft!G$38*($A578-Ft!G$2)^2)</f>
        <v>17.70411120677327</v>
      </c>
      <c r="E578" s="26">
        <f>Ft!B$3*EXP(Ft!B$38*($A578-Ft!B$2)^2)</f>
        <v>1.0853558248165529E-153</v>
      </c>
      <c r="F578" s="26">
        <f>Ft!C$3*EXP(Ft!C$38*($A578-Ft!C$2)^2)</f>
        <v>3.7101243252200523E-6</v>
      </c>
      <c r="G578" s="26">
        <f>Ft!D$3*EXP(Ft!D$38*($A578-Ft!D$2)^2)</f>
        <v>11.810151747330726</v>
      </c>
      <c r="H578" s="26">
        <f>Ft!E$3*EXP(Ft!E$38*($A578-Ft!E$2)^2)</f>
        <v>5.8939557493182164</v>
      </c>
      <c r="I578" s="26">
        <f>Ft!F$3*EXP(Ft!F$38*($A578-Ft!F$2)^2)</f>
        <v>5.2108070591061656E-39</v>
      </c>
      <c r="J578" s="26">
        <f>Ft!G$3*EXP(Ft!G$38*($A578-Ft!G$2)^2)</f>
        <v>0</v>
      </c>
    </row>
    <row r="579" spans="1:10">
      <c r="A579" s="19">
        <v>577</v>
      </c>
      <c r="B579" s="28">
        <v>8.9989691182289562</v>
      </c>
      <c r="C579" s="27">
        <f ca="1">OFFSET($B579,1*(ROWS(C$2:C579)-1),0)</f>
        <v>0</v>
      </c>
      <c r="D579" s="26">
        <f>Ft!B$3*EXP(Ft!B$38*($A579-Ft!B$2)^2) +Ft!C$3*EXP(Ft!C$38*($A579-Ft!C$2)^2) + Ft!D$3*EXP(Ft!D$38*($A579-Ft!D$2)^2)+Ft!E$3*EXP(Ft!E$38*($A579-Ft!E$2)^2) +Ft!F$3*EXP(Ft!F$38*($A579-Ft!F$2)^2) + Ft!G$3*EXP(Ft!G$38*($A579-Ft!G$2)^2)</f>
        <v>17.685005067386392</v>
      </c>
      <c r="E579" s="26">
        <f>Ft!B$3*EXP(Ft!B$38*($A579-Ft!B$2)^2)</f>
        <v>2.8602305950571124E-154</v>
      </c>
      <c r="F579" s="26">
        <f>Ft!C$3*EXP(Ft!C$38*($A579-Ft!C$2)^2)</f>
        <v>3.46684335307579E-6</v>
      </c>
      <c r="G579" s="26">
        <f>Ft!D$3*EXP(Ft!D$38*($A579-Ft!D$2)^2)</f>
        <v>11.740798541292399</v>
      </c>
      <c r="H579" s="26">
        <f>Ft!E$3*EXP(Ft!E$38*($A579-Ft!E$2)^2)</f>
        <v>5.9442030592506407</v>
      </c>
      <c r="I579" s="26">
        <f>Ft!F$3*EXP(Ft!F$38*($A579-Ft!F$2)^2)</f>
        <v>7.7355474368588268E-39</v>
      </c>
      <c r="J579" s="26">
        <f>Ft!G$3*EXP(Ft!G$38*($A579-Ft!G$2)^2)</f>
        <v>0</v>
      </c>
    </row>
    <row r="580" spans="1:10">
      <c r="A580" s="19">
        <v>578</v>
      </c>
      <c r="B580" s="28">
        <v>8.8866553598045641</v>
      </c>
      <c r="C580" s="27">
        <f ca="1">OFFSET($B580,1*(ROWS(C$2:C580)-1),0)</f>
        <v>0</v>
      </c>
      <c r="D580" s="26">
        <f>Ft!B$3*EXP(Ft!B$38*($A580-Ft!B$2)^2) +Ft!C$3*EXP(Ft!C$38*($A580-Ft!C$2)^2) + Ft!D$3*EXP(Ft!D$38*($A580-Ft!D$2)^2)+Ft!E$3*EXP(Ft!E$38*($A580-Ft!E$2)^2) +Ft!F$3*EXP(Ft!F$38*($A580-Ft!F$2)^2) + Ft!G$3*EXP(Ft!G$38*($A580-Ft!G$2)^2)</f>
        <v>17.666025695696348</v>
      </c>
      <c r="E580" s="26">
        <f>Ft!B$3*EXP(Ft!B$38*($A580-Ft!B$2)^2)</f>
        <v>7.5186371902610118E-155</v>
      </c>
      <c r="F580" s="26">
        <f>Ft!C$3*EXP(Ft!C$38*($A580-Ft!C$2)^2)</f>
        <v>3.2390113661893214E-6</v>
      </c>
      <c r="G580" s="26">
        <f>Ft!D$3*EXP(Ft!D$38*($A580-Ft!D$2)^2)</f>
        <v>11.671356164069032</v>
      </c>
      <c r="H580" s="26">
        <f>Ft!E$3*EXP(Ft!E$38*($A580-Ft!E$2)^2)</f>
        <v>5.994666292615948</v>
      </c>
      <c r="I580" s="26">
        <f>Ft!F$3*EXP(Ft!F$38*($A580-Ft!F$2)^2)</f>
        <v>1.147360541337745E-38</v>
      </c>
      <c r="J580" s="26">
        <f>Ft!G$3*EXP(Ft!G$38*($A580-Ft!G$2)^2)</f>
        <v>0</v>
      </c>
    </row>
    <row r="581" spans="1:10">
      <c r="A581" s="19">
        <v>579</v>
      </c>
      <c r="B581" s="28">
        <v>8.784516293154951</v>
      </c>
      <c r="C581" s="27">
        <f ca="1">OFFSET($B581,1*(ROWS(C$2:C581)-1),0)</f>
        <v>0</v>
      </c>
      <c r="D581" s="26">
        <f>Ft!B$3*EXP(Ft!B$38*($A581-Ft!B$2)^2) +Ft!C$3*EXP(Ft!C$38*($A581-Ft!C$2)^2) + Ft!D$3*EXP(Ft!D$38*($A581-Ft!D$2)^2)+Ft!E$3*EXP(Ft!E$38*($A581-Ft!E$2)^2) +Ft!F$3*EXP(Ft!F$38*($A581-Ft!F$2)^2) + Ft!G$3*EXP(Ft!G$38*($A581-Ft!G$2)^2)</f>
        <v>17.647177749128474</v>
      </c>
      <c r="E581" s="26">
        <f>Ft!B$3*EXP(Ft!B$38*($A581-Ft!B$2)^2)</f>
        <v>1.9714527986850492E-155</v>
      </c>
      <c r="F581" s="26">
        <f>Ft!C$3*EXP(Ft!C$38*($A581-Ft!C$2)^2)</f>
        <v>3.025681588773105E-6</v>
      </c>
      <c r="G581" s="26">
        <f>Ft!D$3*EXP(Ft!D$38*($A581-Ft!D$2)^2)</f>
        <v>11.601831032763764</v>
      </c>
      <c r="H581" s="26">
        <f>Ft!E$3*EXP(Ft!E$38*($A581-Ft!E$2)^2)</f>
        <v>6.0453436906831204</v>
      </c>
      <c r="I581" s="26">
        <f>Ft!F$3*EXP(Ft!F$38*($A581-Ft!F$2)^2)</f>
        <v>1.7003235183633672E-38</v>
      </c>
      <c r="J581" s="26">
        <f>Ft!G$3*EXP(Ft!G$38*($A581-Ft!G$2)^2)</f>
        <v>0</v>
      </c>
    </row>
    <row r="582" spans="1:10">
      <c r="A582" s="19">
        <v>580</v>
      </c>
      <c r="B582" s="28">
        <v>8.6865705767644101</v>
      </c>
      <c r="C582" s="27">
        <f ca="1">OFFSET($B582,1*(ROWS(C$2:C582)-1),0)</f>
        <v>0</v>
      </c>
      <c r="D582" s="26">
        <f>Ft!B$3*EXP(Ft!B$38*($A582-Ft!B$2)^2) +Ft!C$3*EXP(Ft!C$38*($A582-Ft!C$2)^2) + Ft!D$3*EXP(Ft!D$38*($A582-Ft!D$2)^2)+Ft!E$3*EXP(Ft!E$38*($A582-Ft!E$2)^2) +Ft!F$3*EXP(Ft!F$38*($A582-Ft!F$2)^2) + Ft!G$3*EXP(Ft!G$38*($A582-Ft!G$2)^2)</f>
        <v>17.628465819837686</v>
      </c>
      <c r="E582" s="26">
        <f>Ft!B$3*EXP(Ft!B$38*($A582-Ft!B$2)^2)</f>
        <v>5.1563550351951549E-156</v>
      </c>
      <c r="F582" s="26">
        <f>Ft!C$3*EXP(Ft!C$38*($A582-Ft!C$2)^2)</f>
        <v>2.8259629943910979E-6</v>
      </c>
      <c r="G582" s="26">
        <f>Ft!D$3*EXP(Ft!D$38*($A582-Ft!D$2)^2)</f>
        <v>11.532229536917631</v>
      </c>
      <c r="H582" s="26">
        <f>Ft!E$3*EXP(Ft!E$38*($A582-Ft!E$2)^2)</f>
        <v>6.0962334569570622</v>
      </c>
      <c r="I582" s="26">
        <f>Ft!F$3*EXP(Ft!F$38*($A582-Ft!F$2)^2)</f>
        <v>2.5175958220263063E-38</v>
      </c>
      <c r="J582" s="26">
        <f>Ft!G$3*EXP(Ft!G$38*($A582-Ft!G$2)^2)</f>
        <v>0</v>
      </c>
    </row>
    <row r="583" spans="1:10">
      <c r="A583" s="19">
        <v>581</v>
      </c>
      <c r="B583" s="28">
        <v>8.5902295417403707</v>
      </c>
      <c r="C583" s="27">
        <f ca="1">OFFSET($B583,1*(ROWS(C$2:C583)-1),0)</f>
        <v>0</v>
      </c>
      <c r="D583" s="26">
        <f>Ft!B$3*EXP(Ft!B$38*($A583-Ft!B$2)^2) +Ft!C$3*EXP(Ft!C$38*($A583-Ft!C$2)^2) + Ft!D$3*EXP(Ft!D$38*($A583-Ft!D$2)^2)+Ft!E$3*EXP(Ft!E$38*($A583-Ft!E$2)^2) +Ft!F$3*EXP(Ft!F$38*($A583-Ft!F$2)^2) + Ft!G$3*EXP(Ft!G$38*($A583-Ft!G$2)^2)</f>
        <v>17.609894433722175</v>
      </c>
      <c r="E583" s="26">
        <f>Ft!B$3*EXP(Ft!B$38*($A583-Ft!B$2)^2)</f>
        <v>1.3452667738507625E-156</v>
      </c>
      <c r="F583" s="26">
        <f>Ft!C$3*EXP(Ft!C$38*($A583-Ft!C$2)^2)</f>
        <v>2.6390171698036132E-6</v>
      </c>
      <c r="G583" s="26">
        <f>Ft!D$3*EXP(Ft!D$38*($A583-Ft!D$2)^2)</f>
        <v>11.462558037589933</v>
      </c>
      <c r="H583" s="26">
        <f>Ft!E$3*EXP(Ft!E$38*($A583-Ft!E$2)^2)</f>
        <v>6.1473337571150743</v>
      </c>
      <c r="I583" s="26">
        <f>Ft!F$3*EXP(Ft!F$38*($A583-Ft!F$2)^2)</f>
        <v>3.7244594645559078E-38</v>
      </c>
      <c r="J583" s="26">
        <f>Ft!G$3*EXP(Ft!G$38*($A583-Ft!G$2)^2)</f>
        <v>0</v>
      </c>
    </row>
    <row r="584" spans="1:10">
      <c r="A584" s="19">
        <v>582</v>
      </c>
      <c r="B584" s="28">
        <v>8.4965434086334994</v>
      </c>
      <c r="C584" s="27">
        <f ca="1">OFFSET($B584,1*(ROWS(C$2:C584)-1),0)</f>
        <v>0</v>
      </c>
      <c r="D584" s="26">
        <f>Ft!B$3*EXP(Ft!B$38*($A584-Ft!B$2)^2) +Ft!C$3*EXP(Ft!C$38*($A584-Ft!C$2)^2) + Ft!D$3*EXP(Ft!D$38*($A584-Ft!D$2)^2)+Ft!E$3*EXP(Ft!E$38*($A584-Ft!E$2)^2) +Ft!F$3*EXP(Ft!F$38*($A584-Ft!F$2)^2) + Ft!G$3*EXP(Ft!G$38*($A584-Ft!G$2)^2)</f>
        <v>17.59146804945502</v>
      </c>
      <c r="E584" s="26">
        <f>Ft!B$3*EXP(Ft!B$38*($A584-Ft!B$2)^2)</f>
        <v>3.5009281144912116E-157</v>
      </c>
      <c r="F584" s="26">
        <f>Ft!C$3*EXP(Ft!C$38*($A584-Ft!C$2)^2)</f>
        <v>2.4640553460625998E-6</v>
      </c>
      <c r="G584" s="26">
        <f>Ft!D$3*EXP(Ft!D$38*($A584-Ft!D$2)^2)</f>
        <v>11.392822866450135</v>
      </c>
      <c r="H584" s="26">
        <f>Ft!E$3*EXP(Ft!E$38*($A584-Ft!E$2)^2)</f>
        <v>6.1986427189495386</v>
      </c>
      <c r="I584" s="26">
        <f>Ft!F$3*EXP(Ft!F$38*($A584-Ft!F$2)^2)</f>
        <v>5.5050756351904504E-38</v>
      </c>
      <c r="J584" s="26">
        <f>Ft!G$3*EXP(Ft!G$38*($A584-Ft!G$2)^2)</f>
        <v>0</v>
      </c>
    </row>
    <row r="585" spans="1:10">
      <c r="A585" s="19">
        <v>583</v>
      </c>
      <c r="B585" s="28">
        <v>8.4295193519494944</v>
      </c>
      <c r="C585" s="27">
        <f ca="1">OFFSET($B585,1*(ROWS(C$2:C585)-1),0)</f>
        <v>0</v>
      </c>
      <c r="D585" s="26">
        <f>Ft!B$3*EXP(Ft!B$38*($A585-Ft!B$2)^2) +Ft!C$3*EXP(Ft!C$38*($A585-Ft!C$2)^2) + Ft!D$3*EXP(Ft!D$38*($A585-Ft!D$2)^2)+Ft!E$3*EXP(Ft!E$38*($A585-Ft!E$2)^2) +Ft!F$3*EXP(Ft!F$38*($A585-Ft!F$2)^2) + Ft!G$3*EXP(Ft!G$38*($A585-Ft!G$2)^2)</f>
        <v>17.573191057533943</v>
      </c>
      <c r="E585" s="26">
        <f>Ft!B$3*EXP(Ft!B$38*($A585-Ft!B$2)^2)</f>
        <v>9.0879754474154029E-158</v>
      </c>
      <c r="F585" s="26">
        <f>Ft!C$3*EXP(Ft!C$38*($A585-Ft!C$2)^2)</f>
        <v>2.3003355884943324E-6</v>
      </c>
      <c r="G585" s="26">
        <f>Ft!D$3*EXP(Ft!D$38*($A585-Ft!D$2)^2)</f>
        <v>11.323030324881499</v>
      </c>
      <c r="H585" s="26">
        <f>Ft!E$3*EXP(Ft!E$38*($A585-Ft!E$2)^2)</f>
        <v>6.250158432316856</v>
      </c>
      <c r="I585" s="26">
        <f>Ft!F$3*EXP(Ft!F$38*($A585-Ft!F$2)^2)</f>
        <v>8.129917226302735E-38</v>
      </c>
      <c r="J585" s="26">
        <f>Ft!G$3*EXP(Ft!G$38*($A585-Ft!G$2)^2)</f>
        <v>0</v>
      </c>
    </row>
    <row r="586" spans="1:10">
      <c r="A586" s="19">
        <v>584</v>
      </c>
      <c r="B586" s="28">
        <v>8.3536964811592611</v>
      </c>
      <c r="C586" s="27">
        <f ca="1">OFFSET($B586,1*(ROWS(C$2:C586)-1),0)</f>
        <v>0</v>
      </c>
      <c r="D586" s="26">
        <f>Ft!B$3*EXP(Ft!B$38*($A586-Ft!B$2)^2) +Ft!C$3*EXP(Ft!C$38*($A586-Ft!C$2)^2) + Ft!D$3*EXP(Ft!D$38*($A586-Ft!D$2)^2)+Ft!E$3*EXP(Ft!E$38*($A586-Ft!E$2)^2) +Ft!F$3*EXP(Ft!F$38*($A586-Ft!F$2)^2) + Ft!G$3*EXP(Ft!G$38*($A586-Ft!G$2)^2)</f>
        <v>17.555067779349365</v>
      </c>
      <c r="E586" s="26">
        <f>Ft!B$3*EXP(Ft!B$38*($A586-Ft!B$2)^2)</f>
        <v>2.3532077549809809E-158</v>
      </c>
      <c r="F586" s="26">
        <f>Ft!C$3*EXP(Ft!C$38*($A586-Ft!C$2)^2)</f>
        <v>2.1471601375918974E-6</v>
      </c>
      <c r="G586" s="26">
        <f>Ft!D$3*EXP(Ft!D$38*($A586-Ft!D$2)^2)</f>
        <v>11.253186683096523</v>
      </c>
      <c r="H586" s="26">
        <f>Ft!E$3*EXP(Ft!E$38*($A586-Ft!E$2)^2)</f>
        <v>6.3018789490927052</v>
      </c>
      <c r="I586" s="26">
        <f>Ft!F$3*EXP(Ft!F$38*($A586-Ft!F$2)^2)</f>
        <v>1.1995870067524629E-37</v>
      </c>
      <c r="J586" s="26">
        <f>Ft!G$3*EXP(Ft!G$38*($A586-Ft!G$2)^2)</f>
        <v>0</v>
      </c>
    </row>
    <row r="587" spans="1:10">
      <c r="A587" s="19">
        <v>585</v>
      </c>
      <c r="B587" s="28">
        <v>8.2800983005761282</v>
      </c>
      <c r="C587" s="27">
        <f ca="1">OFFSET($B587,1*(ROWS(C$2:C587)-1),0)</f>
        <v>0</v>
      </c>
      <c r="D587" s="26">
        <f>Ft!B$3*EXP(Ft!B$38*($A587-Ft!B$2)^2) +Ft!C$3*EXP(Ft!C$38*($A587-Ft!C$2)^2) + Ft!D$3*EXP(Ft!D$38*($A587-Ft!D$2)^2)+Ft!E$3*EXP(Ft!E$38*($A587-Ft!E$2)^2) +Ft!F$3*EXP(Ft!F$38*($A587-Ft!F$2)^2) + Ft!G$3*EXP(Ft!G$38*($A587-Ft!G$2)^2)</f>
        <v>17.537102466271023</v>
      </c>
      <c r="E587" s="26">
        <f>Ft!B$3*EXP(Ft!B$38*($A587-Ft!B$2)^2)</f>
        <v>6.078026244540199E-159</v>
      </c>
      <c r="F587" s="26">
        <f>Ft!C$3*EXP(Ft!C$38*($A587-Ft!C$2)^2)</f>
        <v>2.0038728932094211E-6</v>
      </c>
      <c r="G587" s="26">
        <f>Ft!D$3*EXP(Ft!D$38*($A587-Ft!D$2)^2)</f>
        <v>11.183298179264431</v>
      </c>
      <c r="H587" s="26">
        <f>Ft!E$3*EXP(Ft!E$38*($A587-Ft!E$2)^2)</f>
        <v>6.3538022831336969</v>
      </c>
      <c r="I587" s="26">
        <f>Ft!F$3*EXP(Ft!F$38*($A587-Ft!F$2)^2)</f>
        <v>1.7684801020031166E-37</v>
      </c>
      <c r="J587" s="26">
        <f>Ft!G$3*EXP(Ft!G$38*($A587-Ft!G$2)^2)</f>
        <v>0</v>
      </c>
    </row>
    <row r="588" spans="1:10">
      <c r="A588" s="19">
        <v>586</v>
      </c>
      <c r="B588" s="28">
        <v>8.2190457204678466</v>
      </c>
      <c r="C588" s="27">
        <f ca="1">OFFSET($B588,1*(ROWS(C$2:C588)-1),0)</f>
        <v>0</v>
      </c>
      <c r="D588" s="26">
        <f>Ft!B$3*EXP(Ft!B$38*($A588-Ft!B$2)^2) +Ft!C$3*EXP(Ft!C$38*($A588-Ft!C$2)^2) + Ft!D$3*EXP(Ft!D$38*($A588-Ft!D$2)^2)+Ft!E$3*EXP(Ft!E$38*($A588-Ft!E$2)^2) +Ft!F$3*EXP(Ft!F$38*($A588-Ft!F$2)^2) + Ft!G$3*EXP(Ft!G$38*($A588-Ft!G$2)^2)</f>
        <v>17.519299298753303</v>
      </c>
      <c r="E588" s="26">
        <f>Ft!B$3*EXP(Ft!B$38*($A588-Ft!B$2)^2)</f>
        <v>1.5659361328911554E-159</v>
      </c>
      <c r="F588" s="26">
        <f>Ft!C$3*EXP(Ft!C$38*($A588-Ft!C$2)^2)</f>
        <v>1.869857034804412E-6</v>
      </c>
      <c r="G588" s="26">
        <f>Ft!D$3*EXP(Ft!D$38*($A588-Ft!D$2)^2)</f>
        <v>11.113371018650804</v>
      </c>
      <c r="H588" s="26">
        <f>Ft!E$3*EXP(Ft!E$38*($A588-Ft!E$2)^2)</f>
        <v>6.4059264102454652</v>
      </c>
      <c r="I588" s="26">
        <f>Ft!F$3*EXP(Ft!F$38*($A588-Ft!F$2)^2)</f>
        <v>2.6049020519312382E-37</v>
      </c>
      <c r="J588" s="26">
        <f>Ft!G$3*EXP(Ft!G$38*($A588-Ft!G$2)^2)</f>
        <v>0</v>
      </c>
    </row>
    <row r="589" spans="1:10">
      <c r="A589" s="19">
        <v>587</v>
      </c>
      <c r="B589" s="28">
        <v>8.1612512533558288</v>
      </c>
      <c r="C589" s="27">
        <f ca="1">OFFSET($B589,1*(ROWS(C$2:C589)-1),0)</f>
        <v>0</v>
      </c>
      <c r="D589" s="26">
        <f>Ft!B$3*EXP(Ft!B$38*($A589-Ft!B$2)^2) +Ft!C$3*EXP(Ft!C$38*($A589-Ft!C$2)^2) + Ft!D$3*EXP(Ft!D$38*($A589-Ft!D$2)^2)+Ft!E$3*EXP(Ft!E$38*($A589-Ft!E$2)^2) +Ft!F$3*EXP(Ft!F$38*($A589-Ft!F$2)^2) + Ft!G$3*EXP(Ft!G$38*($A589-Ft!G$2)^2)</f>
        <v>17.501662385459522</v>
      </c>
      <c r="E589" s="26">
        <f>Ft!B$3*EXP(Ft!B$38*($A589-Ft!B$2)^2)</f>
        <v>4.0243402628989888E-160</v>
      </c>
      <c r="F589" s="26">
        <f>Ft!C$3*EXP(Ft!C$38*($A589-Ft!C$2)^2)</f>
        <v>1.7445327708138342E-6</v>
      </c>
      <c r="G589" s="26">
        <f>Ft!D$3*EXP(Ft!D$38*($A589-Ft!D$2)^2)</f>
        <v>11.043411372769491</v>
      </c>
      <c r="H589" s="26">
        <f>Ft!E$3*EXP(Ft!E$38*($A589-Ft!E$2)^2)</f>
        <v>6.4582492681572594</v>
      </c>
      <c r="I589" s="26">
        <f>Ft!F$3*EXP(Ft!F$38*($A589-Ft!F$2)^2)</f>
        <v>3.8335877925247789E-37</v>
      </c>
      <c r="J589" s="26">
        <f>Ft!G$3*EXP(Ft!G$38*($A589-Ft!G$2)^2)</f>
        <v>0</v>
      </c>
    </row>
    <row r="590" spans="1:10">
      <c r="A590" s="19">
        <v>588</v>
      </c>
      <c r="B590" s="28">
        <v>8.1148999630058825</v>
      </c>
      <c r="C590" s="27">
        <f ca="1">OFFSET($B590,1*(ROWS(C$2:C590)-1),0)</f>
        <v>0</v>
      </c>
      <c r="D590" s="26">
        <f>Ft!B$3*EXP(Ft!B$38*($A590-Ft!B$2)^2) +Ft!C$3*EXP(Ft!C$38*($A590-Ft!C$2)^2) + Ft!D$3*EXP(Ft!D$38*($A590-Ft!D$2)^2)+Ft!E$3*EXP(Ft!E$38*($A590-Ft!E$2)^2) +Ft!F$3*EXP(Ft!F$38*($A590-Ft!F$2)^2) + Ft!G$3*EXP(Ft!G$38*($A590-Ft!G$2)^2)</f>
        <v>17.484195762405328</v>
      </c>
      <c r="E590" s="26">
        <f>Ft!B$3*EXP(Ft!B$38*($A590-Ft!B$2)^2)</f>
        <v>1.0316313144792135E-160</v>
      </c>
      <c r="F590" s="26">
        <f>Ft!C$3*EXP(Ft!C$38*($A590-Ft!C$2)^2)</f>
        <v>1.6273552105747953E-6</v>
      </c>
      <c r="G590" s="26">
        <f>Ft!D$3*EXP(Ft!D$38*($A590-Ft!D$2)^2)</f>
        <v>10.973425378546997</v>
      </c>
      <c r="H590" s="26">
        <f>Ft!E$3*EXP(Ft!E$38*($A590-Ft!E$2)^2)</f>
        <v>6.5107687565031203</v>
      </c>
      <c r="I590" s="26">
        <f>Ft!F$3*EXP(Ft!F$38*($A590-Ft!F$2)^2)</f>
        <v>5.6369245842839646E-37</v>
      </c>
      <c r="J590" s="26">
        <f>Ft!G$3*EXP(Ft!G$38*($A590-Ft!G$2)^2)</f>
        <v>0</v>
      </c>
    </row>
    <row r="591" spans="1:10">
      <c r="A591" s="19">
        <v>589</v>
      </c>
      <c r="B591" s="28">
        <v>8.0651485048971665</v>
      </c>
      <c r="C591" s="27">
        <f ca="1">OFFSET($B591,1*(ROWS(C$2:C591)-1),0)</f>
        <v>0</v>
      </c>
      <c r="D591" s="26">
        <f>Ft!B$3*EXP(Ft!B$38*($A591-Ft!B$2)^2) +Ft!C$3*EXP(Ft!C$38*($A591-Ft!C$2)^2) + Ft!D$3*EXP(Ft!D$38*($A591-Ft!D$2)^2)+Ft!E$3*EXP(Ft!E$38*($A591-Ft!E$2)^2) +Ft!F$3*EXP(Ft!F$38*($A591-Ft!F$2)^2) + Ft!G$3*EXP(Ft!G$38*($A591-Ft!G$2)^2)</f>
        <v>17.466903392121438</v>
      </c>
      <c r="E591" s="26">
        <f>Ft!B$3*EXP(Ft!B$38*($A591-Ft!B$2)^2)</f>
        <v>2.6379314959783418E-161</v>
      </c>
      <c r="F591" s="26">
        <f>Ft!C$3*EXP(Ft!C$38*($A591-Ft!C$2)^2)</f>
        <v>1.5178123525120143E-6</v>
      </c>
      <c r="G591" s="26">
        <f>Ft!D$3*EXP(Ft!D$38*($A591-Ft!D$2)^2)</f>
        <v>10.903419137499425</v>
      </c>
      <c r="H591" s="26">
        <f>Ft!E$3*EXP(Ft!E$38*($A591-Ft!E$2)^2)</f>
        <v>6.5634827368096627</v>
      </c>
      <c r="I591" s="26">
        <f>Ft!F$3*EXP(Ft!F$38*($A591-Ft!F$2)^2)</f>
        <v>8.2813631785791851E-37</v>
      </c>
      <c r="J591" s="26">
        <f>Ft!G$3*EXP(Ft!G$38*($A591-Ft!G$2)^2)</f>
        <v>0</v>
      </c>
    </row>
    <row r="592" spans="1:10">
      <c r="A592" s="19">
        <v>590</v>
      </c>
      <c r="B592" s="28">
        <v>8.0080245946963373</v>
      </c>
      <c r="C592" s="27">
        <f ca="1">OFFSET($B592,1*(ROWS(C$2:C592)-1),0)</f>
        <v>0</v>
      </c>
      <c r="D592" s="26">
        <f>Ft!B$3*EXP(Ft!B$38*($A592-Ft!B$2)^2) +Ft!C$3*EXP(Ft!C$38*($A592-Ft!C$2)^2) + Ft!D$3*EXP(Ft!D$38*($A592-Ft!D$2)^2)+Ft!E$3*EXP(Ft!E$38*($A592-Ft!E$2)^2) +Ft!F$3*EXP(Ft!F$38*($A592-Ft!F$2)^2) + Ft!G$3*EXP(Ft!G$38*($A592-Ft!G$2)^2)</f>
        <v>17.449789162835852</v>
      </c>
      <c r="E592" s="26">
        <f>Ft!B$3*EXP(Ft!B$38*($A592-Ft!B$2)^2)</f>
        <v>6.7283981738511756E-162</v>
      </c>
      <c r="F592" s="26">
        <f>Ft!C$3*EXP(Ft!C$38*($A592-Ft!C$2)^2)</f>
        <v>1.4154231826123435E-6</v>
      </c>
      <c r="G592" s="26">
        <f>Ft!D$3*EXP(Ft!D$38*($A592-Ft!D$2)^2)</f>
        <v>10.833398714922122</v>
      </c>
      <c r="H592" s="26">
        <f>Ft!E$3*EXP(Ft!E$38*($A592-Ft!E$2)^2)</f>
        <v>6.616389032490547</v>
      </c>
      <c r="I592" s="26">
        <f>Ft!F$3*EXP(Ft!F$38*($A592-Ft!F$2)^2)</f>
        <v>1.2155819229285931E-36</v>
      </c>
      <c r="J592" s="26">
        <f>Ft!G$3*EXP(Ft!G$38*($A592-Ft!G$2)^2)</f>
        <v>0</v>
      </c>
    </row>
    <row r="593" spans="1:10">
      <c r="A593" s="19">
        <v>591</v>
      </c>
      <c r="B593" s="28">
        <v>7.9545107522137641</v>
      </c>
      <c r="C593" s="27">
        <f ca="1">OFFSET($B593,1*(ROWS(C$2:C593)-1),0)</f>
        <v>0</v>
      </c>
      <c r="D593" s="26">
        <f>Ft!B$3*EXP(Ft!B$38*($A593-Ft!B$2)^2) +Ft!C$3*EXP(Ft!C$38*($A593-Ft!C$2)^2) + Ft!D$3*EXP(Ft!D$38*($A593-Ft!D$2)^2)+Ft!E$3*EXP(Ft!E$38*($A593-Ft!E$2)^2) +Ft!F$3*EXP(Ft!F$38*($A593-Ft!F$2)^2) + Ft!G$3*EXP(Ft!G$38*($A593-Ft!G$2)^2)</f>
        <v>17.432856887675726</v>
      </c>
      <c r="E593" s="26">
        <f>Ft!B$3*EXP(Ft!B$38*($A593-Ft!B$2)^2)</f>
        <v>1.7118630956479746E-162</v>
      </c>
      <c r="F593" s="26">
        <f>Ft!C$3*EXP(Ft!C$38*($A593-Ft!C$2)^2)</f>
        <v>1.3197358774918829E-6</v>
      </c>
      <c r="G593" s="26">
        <f>Ft!D$3*EXP(Ft!D$38*($A593-Ft!D$2)^2)</f>
        <v>10.763370139092167</v>
      </c>
      <c r="H593" s="26">
        <f>Ft!E$3*EXP(Ft!E$38*($A593-Ft!E$2)^2)</f>
        <v>6.6694854288476826</v>
      </c>
      <c r="I593" s="26">
        <f>Ft!F$3*EXP(Ft!F$38*($A593-Ft!F$2)^2)</f>
        <v>1.7827458349480388E-36</v>
      </c>
      <c r="J593" s="26">
        <f>Ft!G$3*EXP(Ft!G$38*($A593-Ft!G$2)^2)</f>
        <v>0</v>
      </c>
    </row>
    <row r="594" spans="1:10">
      <c r="A594" s="19">
        <v>592</v>
      </c>
      <c r="B594" s="28">
        <v>7.8875015152045478</v>
      </c>
      <c r="C594" s="27">
        <f ca="1">OFFSET($B594,1*(ROWS(C$2:C594)-1),0)</f>
        <v>0</v>
      </c>
      <c r="D594" s="26">
        <f>Ft!B$3*EXP(Ft!B$38*($A594-Ft!B$2)^2) +Ft!C$3*EXP(Ft!C$38*($A594-Ft!C$2)^2) + Ft!D$3*EXP(Ft!D$38*($A594-Ft!D$2)^2)+Ft!E$3*EXP(Ft!E$38*($A594-Ft!E$2)^2) +Ft!F$3*EXP(Ft!F$38*($A594-Ft!F$2)^2) + Ft!G$3*EXP(Ft!G$38*($A594-Ft!G$2)^2)</f>
        <v>17.416110303889116</v>
      </c>
      <c r="E594" s="26">
        <f>Ft!B$3*EXP(Ft!B$38*($A594-Ft!B$2)^2)</f>
        <v>4.3444574587933511E-163</v>
      </c>
      <c r="F594" s="26">
        <f>Ft!C$3*EXP(Ft!C$38*($A594-Ft!C$2)^2)</f>
        <v>1.2303261066342142E-6</v>
      </c>
      <c r="G594" s="26">
        <f>Ft!D$3*EXP(Ft!D$38*($A594-Ft!D$2)^2)</f>
        <v>10.69333940048379</v>
      </c>
      <c r="H594" s="26">
        <f>Ft!E$3*EXP(Ft!E$38*($A594-Ft!E$2)^2)</f>
        <v>6.7227696730792195</v>
      </c>
      <c r="I594" s="26">
        <f>Ft!F$3*EXP(Ft!F$38*($A594-Ft!F$2)^2)</f>
        <v>2.6122661534888558E-36</v>
      </c>
      <c r="J594" s="26">
        <f>Ft!G$3*EXP(Ft!G$38*($A594-Ft!G$2)^2)</f>
        <v>0</v>
      </c>
    </row>
    <row r="595" spans="1:10">
      <c r="A595" s="19">
        <v>593</v>
      </c>
      <c r="B595" s="28">
        <v>7.8168425378049164</v>
      </c>
      <c r="C595" s="27">
        <f ca="1">OFFSET($B595,1*(ROWS(C$2:C595)-1),0)</f>
        <v>0</v>
      </c>
      <c r="D595" s="26">
        <f>Ft!B$3*EXP(Ft!B$38*($A595-Ft!B$2)^2) +Ft!C$3*EXP(Ft!C$38*($A595-Ft!C$2)^2) + Ft!D$3*EXP(Ft!D$38*($A595-Ft!D$2)^2)+Ft!E$3*EXP(Ft!E$38*($A595-Ft!E$2)^2) +Ft!F$3*EXP(Ft!F$38*($A595-Ft!F$2)^2) + Ft!G$3*EXP(Ft!G$38*($A595-Ft!G$2)^2)</f>
        <v>17.399553072086711</v>
      </c>
      <c r="E595" s="26">
        <f>Ft!B$3*EXP(Ft!B$38*($A595-Ft!B$2)^2)</f>
        <v>1.0997937379868154E-163</v>
      </c>
      <c r="F595" s="26">
        <f>Ft!C$3*EXP(Ft!C$38*($A595-Ft!C$2)^2)</f>
        <v>1.1467954286393378E-6</v>
      </c>
      <c r="G595" s="26">
        <f>Ft!D$3*EXP(Ft!D$38*($A595-Ft!D$2)^2)</f>
        <v>10.623312450996888</v>
      </c>
      <c r="H595" s="26">
        <f>Ft!E$3*EXP(Ft!E$38*($A595-Ft!E$2)^2)</f>
        <v>6.7762394742943934</v>
      </c>
      <c r="I595" s="26">
        <f>Ft!F$3*EXP(Ft!F$38*($A595-Ft!F$2)^2)</f>
        <v>3.8244431698523582E-36</v>
      </c>
      <c r="J595" s="26">
        <f>Ft!G$3*EXP(Ft!G$38*($A595-Ft!G$2)^2)</f>
        <v>0</v>
      </c>
    </row>
    <row r="596" spans="1:10">
      <c r="A596" s="19">
        <v>594</v>
      </c>
      <c r="B596" s="28">
        <v>7.7665382062700701</v>
      </c>
      <c r="C596" s="27">
        <f ca="1">OFFSET($B596,1*(ROWS(C$2:C596)-1),0)</f>
        <v>0</v>
      </c>
      <c r="D596" s="26">
        <f>Ft!B$3*EXP(Ft!B$38*($A596-Ft!B$2)^2) +Ft!C$3*EXP(Ft!C$38*($A596-Ft!C$2)^2) + Ft!D$3*EXP(Ft!D$38*($A596-Ft!D$2)^2)+Ft!E$3*EXP(Ft!E$38*($A596-Ft!E$2)^2) +Ft!F$3*EXP(Ft!F$38*($A596-Ft!F$2)^2) + Ft!G$3*EXP(Ft!G$38*($A596-Ft!G$2)^2)</f>
        <v>17.383188775503729</v>
      </c>
      <c r="E596" s="26">
        <f>Ft!B$3*EXP(Ft!B$38*($A596-Ft!B$2)^2)</f>
        <v>2.7771293633104728E-164</v>
      </c>
      <c r="F596" s="26">
        <f>Ft!C$3*EXP(Ft!C$38*($A596-Ft!C$2)^2)</f>
        <v>1.0687697765726134E-6</v>
      </c>
      <c r="G596" s="26">
        <f>Ft!D$3*EXP(Ft!D$38*($A596-Ft!D$2)^2)</f>
        <v>10.553295203198704</v>
      </c>
      <c r="H596" s="26">
        <f>Ft!E$3*EXP(Ft!E$38*($A596-Ft!E$2)^2)</f>
        <v>6.8298925035352474</v>
      </c>
      <c r="I596" s="26">
        <f>Ft!F$3*EXP(Ft!F$38*($A596-Ft!F$2)^2)</f>
        <v>5.5942490357526991E-36</v>
      </c>
      <c r="J596" s="26">
        <f>Ft!G$3*EXP(Ft!G$38*($A596-Ft!G$2)^2)</f>
        <v>0</v>
      </c>
    </row>
    <row r="597" spans="1:10">
      <c r="A597" s="19">
        <v>595</v>
      </c>
      <c r="B597" s="28">
        <v>7.6742653588554788</v>
      </c>
      <c r="C597" s="27">
        <f ca="1">OFFSET($B597,1*(ROWS(C$2:C597)-1),0)</f>
        <v>0</v>
      </c>
      <c r="D597" s="26">
        <f>Ft!B$3*EXP(Ft!B$38*($A597-Ft!B$2)^2) +Ft!C$3*EXP(Ft!C$38*($A597-Ft!C$2)^2) + Ft!D$3*EXP(Ft!D$38*($A597-Ft!D$2)^2)+Ft!E$3*EXP(Ft!E$38*($A597-Ft!E$2)^2) +Ft!F$3*EXP(Ft!F$38*($A597-Ft!F$2)^2) + Ft!G$3*EXP(Ft!G$38*($A597-Ft!G$2)^2)</f>
        <v>17.36702091928213</v>
      </c>
      <c r="E597" s="26">
        <f>Ft!B$3*EXP(Ft!B$38*($A597-Ft!B$2)^2)</f>
        <v>6.9950391965330647E-165</v>
      </c>
      <c r="F597" s="26">
        <f>Ft!C$3*EXP(Ft!C$38*($A597-Ft!C$2)^2)</f>
        <v>9.9589802774168514E-7</v>
      </c>
      <c r="G597" s="26">
        <f>Ft!D$3*EXP(Ft!D$38*($A597-Ft!D$2)^2)</f>
        <v>10.483293529578782</v>
      </c>
      <c r="H597" s="26">
        <f>Ft!E$3*EXP(Ft!E$38*($A597-Ft!E$2)^2)</f>
        <v>6.8837263938053201</v>
      </c>
      <c r="I597" s="26">
        <f>Ft!F$3*EXP(Ft!F$38*($A597-Ft!F$2)^2)</f>
        <v>8.1759490240464596E-36</v>
      </c>
      <c r="J597" s="26">
        <f>Ft!G$3*EXP(Ft!G$38*($A597-Ft!G$2)^2)</f>
        <v>0</v>
      </c>
    </row>
    <row r="598" spans="1:10">
      <c r="A598" s="19">
        <v>596</v>
      </c>
      <c r="B598" s="28">
        <v>7.5748915398404222</v>
      </c>
      <c r="C598" s="27">
        <f ca="1">OFFSET($B598,1*(ROWS(C$2:C598)-1),0)</f>
        <v>0</v>
      </c>
      <c r="D598" s="26">
        <f>Ft!B$3*EXP(Ft!B$38*($A598-Ft!B$2)^2) +Ft!C$3*EXP(Ft!C$38*($A598-Ft!C$2)^2) + Ft!D$3*EXP(Ft!D$38*($A598-Ft!D$2)^2)+Ft!E$3*EXP(Ft!E$38*($A598-Ft!E$2)^2) +Ft!F$3*EXP(Ft!F$38*($A598-Ft!F$2)^2) + Ft!G$3*EXP(Ft!G$38*($A598-Ft!G$2)^2)</f>
        <v>17.351052929773292</v>
      </c>
      <c r="E598" s="26">
        <f>Ft!B$3*EXP(Ft!B$38*($A598-Ft!B$2)^2)</f>
        <v>1.7574920476928144E-165</v>
      </c>
      <c r="F598" s="26">
        <f>Ft!C$3*EXP(Ft!C$38*($A598-Ft!C$2)^2)</f>
        <v>9.2785065345753721E-7</v>
      </c>
      <c r="G598" s="26">
        <f>Ft!D$3*EXP(Ft!D$38*($A598-Ft!D$2)^2)</f>
        <v>10.413313261817335</v>
      </c>
      <c r="H598" s="26">
        <f>Ft!E$3*EXP(Ft!E$38*($A598-Ft!E$2)^2)</f>
        <v>6.9377387401053054</v>
      </c>
      <c r="I598" s="26">
        <f>Ft!F$3*EXP(Ft!F$38*($A598-Ft!F$2)^2)</f>
        <v>1.1938708538886724E-35</v>
      </c>
      <c r="J598" s="26">
        <f>Ft!G$3*EXP(Ft!G$38*($A598-Ft!G$2)^2)</f>
        <v>0</v>
      </c>
    </row>
    <row r="599" spans="1:10">
      <c r="A599" s="19">
        <v>597</v>
      </c>
      <c r="B599" s="28">
        <v>7.4745945140886363</v>
      </c>
      <c r="C599" s="27">
        <f ca="1">OFFSET($B599,1*(ROWS(C$2:C599)-1),0)</f>
        <v>0</v>
      </c>
      <c r="D599" s="26">
        <f>Ft!B$3*EXP(Ft!B$38*($A599-Ft!B$2)^2) +Ft!C$3*EXP(Ft!C$38*($A599-Ft!C$2)^2) + Ft!D$3*EXP(Ft!D$38*($A599-Ft!D$2)^2)+Ft!E$3*EXP(Ft!E$38*($A599-Ft!E$2)^2) +Ft!F$3*EXP(Ft!F$38*($A599-Ft!F$2)^2) + Ft!G$3*EXP(Ft!G$38*($A599-Ft!G$2)^2)</f>
        <v>17.335288153861306</v>
      </c>
      <c r="E599" s="26">
        <f>Ft!B$3*EXP(Ft!B$38*($A599-Ft!B$2)^2)</f>
        <v>4.4045927438677349E-166</v>
      </c>
      <c r="F599" s="26">
        <f>Ft!C$3*EXP(Ft!C$38*($A599-Ft!C$2)^2)</f>
        <v>8.6431844455378338E-7</v>
      </c>
      <c r="G599" s="26">
        <f>Ft!D$3*EXP(Ft!D$38*($A599-Ft!D$2)^2)</f>
        <v>10.343360190067086</v>
      </c>
      <c r="H599" s="26">
        <f>Ft!E$3*EXP(Ft!E$38*($A599-Ft!E$2)^2)</f>
        <v>6.9919270994757765</v>
      </c>
      <c r="I599" s="26">
        <f>Ft!F$3*EXP(Ft!F$38*($A599-Ft!F$2)^2)</f>
        <v>1.7418041466582947E-35</v>
      </c>
      <c r="J599" s="26">
        <f>Ft!G$3*EXP(Ft!G$38*($A599-Ft!G$2)^2)</f>
        <v>0</v>
      </c>
    </row>
    <row r="600" spans="1:10">
      <c r="A600" s="19">
        <v>598</v>
      </c>
      <c r="B600" s="28">
        <v>7.3814340263830331</v>
      </c>
      <c r="C600" s="27">
        <f ca="1">OFFSET($B600,1*(ROWS(C$2:C600)-1),0)</f>
        <v>0</v>
      </c>
      <c r="D600" s="26">
        <f>Ft!B$3*EXP(Ft!B$38*($A600-Ft!B$2)^2) +Ft!C$3*EXP(Ft!C$38*($A600-Ft!C$2)^2) + Ft!D$3*EXP(Ft!D$38*($A600-Ft!D$2)^2)+Ft!E$3*EXP(Ft!E$38*($A600-Ft!E$2)^2) +Ft!F$3*EXP(Ft!F$38*($A600-Ft!F$2)^2) + Ft!G$3*EXP(Ft!G$38*($A600-Ft!G$2)^2)</f>
        <v>17.319729858306996</v>
      </c>
      <c r="E600" s="26">
        <f>Ft!B$3*EXP(Ft!B$38*($A600-Ft!B$2)^2)</f>
        <v>1.1011014222311667E-166</v>
      </c>
      <c r="F600" s="26">
        <f>Ft!C$3*EXP(Ft!C$38*($A600-Ft!C$2)^2)</f>
        <v>8.0501130864654942E-7</v>
      </c>
      <c r="G600" s="26">
        <f>Ft!D$3*EXP(Ft!D$38*($A600-Ft!D$2)^2)</f>
        <v>10.273440062248707</v>
      </c>
      <c r="H600" s="26">
        <f>Ft!E$3*EXP(Ft!E$38*($A600-Ft!E$2)^2)</f>
        <v>7.0462889910469801</v>
      </c>
      <c r="I600" s="26">
        <f>Ft!F$3*EXP(Ft!F$38*($A600-Ft!F$2)^2)</f>
        <v>2.5390080971290354E-35</v>
      </c>
      <c r="J600" s="26">
        <f>Ft!G$3*EXP(Ft!G$38*($A600-Ft!G$2)^2)</f>
        <v>0</v>
      </c>
    </row>
    <row r="601" spans="1:10">
      <c r="A601" s="19">
        <v>599</v>
      </c>
      <c r="B601" s="28">
        <v>7.2840261294065556</v>
      </c>
      <c r="C601" s="27">
        <f ca="1">OFFSET($B601,1*(ROWS(C$2:C601)-1),0)</f>
        <v>0</v>
      </c>
      <c r="D601" s="26">
        <f>Ft!B$3*EXP(Ft!B$38*($A601-Ft!B$2)^2) +Ft!C$3*EXP(Ft!C$38*($A601-Ft!C$2)^2) + Ft!D$3*EXP(Ft!D$38*($A601-Ft!D$2)^2)+Ft!E$3*EXP(Ft!E$38*($A601-Ft!E$2)^2) +Ft!F$3*EXP(Ft!F$38*($A601-Ft!F$2)^2) + Ft!G$3*EXP(Ft!G$38*($A601-Ft!G$2)^2)</f>
        <v>17.304381229112785</v>
      </c>
      <c r="E601" s="26">
        <f>Ft!B$3*EXP(Ft!B$38*($A601-Ft!B$2)^2)</f>
        <v>2.7457314763260021E-167</v>
      </c>
      <c r="F601" s="26">
        <f>Ft!C$3*EXP(Ft!C$38*($A601-Ft!C$2)^2)</f>
        <v>7.4965713531613635E-7</v>
      </c>
      <c r="G601" s="26">
        <f>Ft!D$3*EXP(Ft!D$38*($A601-Ft!D$2)^2)</f>
        <v>10.203558583359879</v>
      </c>
      <c r="H601" s="26">
        <f>Ft!E$3*EXP(Ft!E$38*($A601-Ft!E$2)^2)</f>
        <v>7.1008218960957734</v>
      </c>
      <c r="I601" s="26">
        <f>Ft!F$3*EXP(Ft!F$38*($A601-Ft!F$2)^2)</f>
        <v>3.6978700663849559E-35</v>
      </c>
      <c r="J601" s="26">
        <f>Ft!G$3*EXP(Ft!G$38*($A601-Ft!G$2)^2)</f>
        <v>0</v>
      </c>
    </row>
    <row r="602" spans="1:10">
      <c r="A602" s="19">
        <v>600</v>
      </c>
      <c r="B602" s="28">
        <v>7.1614522016893147</v>
      </c>
      <c r="C602" s="27">
        <f ca="1">OFFSET($B602,1*(ROWS(C$2:C602)-1),0)</f>
        <v>0</v>
      </c>
      <c r="D602" s="26">
        <f>Ft!B$3*EXP(Ft!B$38*($A602-Ft!B$2)^2) +Ft!C$3*EXP(Ft!C$38*($A602-Ft!C$2)^2) + Ft!D$3*EXP(Ft!D$38*($A602-Ft!D$2)^2)+Ft!E$3*EXP(Ft!E$38*($A602-Ft!E$2)^2) +Ft!F$3*EXP(Ft!F$38*($A602-Ft!F$2)^2) + Ft!G$3*EXP(Ft!G$38*($A602-Ft!G$2)^2)</f>
        <v>17.289245370908645</v>
      </c>
      <c r="E602" s="26">
        <f>Ft!B$3*EXP(Ft!B$38*($A602-Ft!B$2)^2)</f>
        <v>6.8296425688627602E-168</v>
      </c>
      <c r="F602" s="26">
        <f>Ft!C$3*EXP(Ft!C$38*($A602-Ft!C$2)^2)</f>
        <v>6.9800072558156902E-7</v>
      </c>
      <c r="G602" s="26">
        <f>Ft!D$3*EXP(Ft!D$38*($A602-Ft!D$2)^2)</f>
        <v>10.133721414798181</v>
      </c>
      <c r="H602" s="26">
        <f>Ft!E$3*EXP(Ft!E$38*($A602-Ft!E$2)^2)</f>
        <v>7.1555232581097368</v>
      </c>
      <c r="I602" s="26">
        <f>Ft!F$3*EXP(Ft!F$38*($A602-Ft!F$2)^2)</f>
        <v>5.3809877553807457E-35</v>
      </c>
      <c r="J602" s="26">
        <f>Ft!G$3*EXP(Ft!G$38*($A602-Ft!G$2)^2)</f>
        <v>0</v>
      </c>
    </row>
    <row r="603" spans="1:10">
      <c r="A603" s="19">
        <v>601</v>
      </c>
      <c r="B603" s="28">
        <v>7.0326555559465476</v>
      </c>
      <c r="C603" s="27">
        <f ca="1">OFFSET($B603,1*(ROWS(C$2:C603)-1),0)</f>
        <v>0</v>
      </c>
      <c r="D603" s="26">
        <f>Ft!B$3*EXP(Ft!B$38*($A603-Ft!B$2)^2) +Ft!C$3*EXP(Ft!C$38*($A603-Ft!C$2)^2) + Ft!D$3*EXP(Ft!D$38*($A603-Ft!D$2)^2)+Ft!E$3*EXP(Ft!E$38*($A603-Ft!E$2)^2) +Ft!F$3*EXP(Ft!F$38*($A603-Ft!F$2)^2) + Ft!G$3*EXP(Ft!G$38*($A603-Ft!G$2)^2)</f>
        <v>17.274325306359028</v>
      </c>
      <c r="E603" s="26">
        <f>Ft!B$3*EXP(Ft!B$38*($A603-Ft!B$2)^2)</f>
        <v>1.6945214181478698E-168</v>
      </c>
      <c r="F603" s="26">
        <f>Ft!C$3*EXP(Ft!C$38*($A603-Ft!C$2)^2)</f>
        <v>6.4980278222022967E-7</v>
      </c>
      <c r="G603" s="26">
        <f>Ft!D$3*EXP(Ft!D$38*($A603-Ft!D$2)^2)</f>
        <v>10.063934173697739</v>
      </c>
      <c r="H603" s="26">
        <f>Ft!E$3*EXP(Ft!E$38*($A603-Ft!E$2)^2)</f>
        <v>7.2103904828585064</v>
      </c>
      <c r="I603" s="26">
        <f>Ft!F$3*EXP(Ft!F$38*($A603-Ft!F$2)^2)</f>
        <v>7.8233931591169213E-35</v>
      </c>
      <c r="J603" s="26">
        <f>Ft!G$3*EXP(Ft!G$38*($A603-Ft!G$2)^2)</f>
        <v>0</v>
      </c>
    </row>
    <row r="604" spans="1:10">
      <c r="A604" s="19">
        <v>602</v>
      </c>
      <c r="B604" s="28">
        <v>6.8944704357864453</v>
      </c>
      <c r="C604" s="27">
        <f ca="1">OFFSET($B604,1*(ROWS(C$2:C604)-1),0)</f>
        <v>0</v>
      </c>
      <c r="D604" s="26">
        <f>Ft!B$3*EXP(Ft!B$38*($A604-Ft!B$2)^2) +Ft!C$3*EXP(Ft!C$38*($A604-Ft!C$2)^2) + Ft!D$3*EXP(Ft!D$38*($A604-Ft!D$2)^2)+Ft!E$3*EXP(Ft!E$38*($A604-Ft!E$2)^2) +Ft!F$3*EXP(Ft!F$38*($A604-Ft!F$2)^2) + Ft!G$3*EXP(Ft!G$38*($A604-Ft!G$2)^2)</f>
        <v>17.259623975591143</v>
      </c>
      <c r="E604" s="26">
        <f>Ft!B$3*EXP(Ft!B$38*($A604-Ft!B$2)^2)</f>
        <v>4.1937769067864772E-169</v>
      </c>
      <c r="F604" s="26">
        <f>Ft!C$3*EXP(Ft!C$38*($A604-Ft!C$2)^2)</f>
        <v>6.0483895765783288E-7</v>
      </c>
      <c r="G604" s="26">
        <f>Ft!D$3*EXP(Ft!D$38*($A604-Ft!D$2)^2)</f>
        <v>9.9942024322798275</v>
      </c>
      <c r="H604" s="26">
        <f>Ft!E$3*EXP(Ft!E$38*($A604-Ft!E$2)^2)</f>
        <v>7.2654209384723583</v>
      </c>
      <c r="I604" s="26">
        <f>Ft!F$3*EXP(Ft!F$38*($A604-Ft!F$2)^2)</f>
        <v>1.1364520165222271E-34</v>
      </c>
      <c r="J604" s="26">
        <f>Ft!G$3*EXP(Ft!G$38*($A604-Ft!G$2)^2)</f>
        <v>0</v>
      </c>
    </row>
    <row r="605" spans="1:10">
      <c r="A605" s="19">
        <v>603</v>
      </c>
      <c r="B605" s="28">
        <v>6.7547443818273223</v>
      </c>
      <c r="C605" s="27">
        <f ca="1">OFFSET($B605,1*(ROWS(C$2:C605)-1),0)</f>
        <v>0</v>
      </c>
      <c r="D605" s="26">
        <f>Ft!B$3*EXP(Ft!B$38*($A605-Ft!B$2)^2) +Ft!C$3*EXP(Ft!C$38*($A605-Ft!C$2)^2) + Ft!D$3*EXP(Ft!D$38*($A605-Ft!D$2)^2)+Ft!E$3*EXP(Ft!E$38*($A605-Ft!E$2)^2) +Ft!F$3*EXP(Ft!F$38*($A605-Ft!F$2)^2) + Ft!G$3*EXP(Ft!G$38*($A605-Ft!G$2)^2)</f>
        <v>17.245144235644489</v>
      </c>
      <c r="E605" s="26">
        <f>Ft!B$3*EXP(Ft!B$38*($A605-Ft!B$2)^2)</f>
        <v>1.0353156036124791E-169</v>
      </c>
      <c r="F605" s="26">
        <f>Ft!C$3*EXP(Ft!C$38*($A605-Ft!C$2)^2)</f>
        <v>5.6289895631883449E-7</v>
      </c>
      <c r="G605" s="26">
        <f>Ft!D$3*EXP(Ft!D$38*($A605-Ft!D$2)^2)</f>
        <v>9.9245317172174232</v>
      </c>
      <c r="H605" s="26">
        <f>Ft!E$3*EXP(Ft!E$38*($A605-Ft!E$2)^2)</f>
        <v>7.3206119555281077</v>
      </c>
      <c r="I605" s="26">
        <f>Ft!F$3*EXP(Ft!F$38*($A605-Ft!F$2)^2)</f>
        <v>1.6494146464679093E-34</v>
      </c>
      <c r="J605" s="26">
        <f>Ft!G$3*EXP(Ft!G$38*($A605-Ft!G$2)^2)</f>
        <v>0</v>
      </c>
    </row>
    <row r="606" spans="1:10">
      <c r="A606" s="19">
        <v>604</v>
      </c>
      <c r="B606" s="28">
        <v>6.6404165064416816</v>
      </c>
      <c r="C606" s="27">
        <f ca="1">OFFSET($B606,1*(ROWS(C$2:C606)-1),0)</f>
        <v>0</v>
      </c>
      <c r="D606" s="26">
        <f>Ft!B$3*EXP(Ft!B$38*($A606-Ft!B$2)^2) +Ft!C$3*EXP(Ft!C$38*($A606-Ft!C$2)^2) + Ft!D$3*EXP(Ft!D$38*($A606-Ft!D$2)^2)+Ft!E$3*EXP(Ft!E$38*($A606-Ft!E$2)^2) +Ft!F$3*EXP(Ft!F$38*($A606-Ft!F$2)^2) + Ft!G$3*EXP(Ft!G$38*($A606-Ft!G$2)^2)</f>
        <v>17.230888859941835</v>
      </c>
      <c r="E606" s="26">
        <f>Ft!B$3*EXP(Ft!B$38*($A606-Ft!B$2)^2)</f>
        <v>2.5494668493781772E-170</v>
      </c>
      <c r="F606" s="26">
        <f>Ft!C$3*EXP(Ft!C$38*($A606-Ft!C$2)^2)</f>
        <v>5.2378568848476133E-7</v>
      </c>
      <c r="G606" s="26">
        <f>Ft!D$3*EXP(Ft!D$38*($A606-Ft!D$2)^2)</f>
        <v>9.8549275090138231</v>
      </c>
      <c r="H606" s="26">
        <f>Ft!E$3*EXP(Ft!E$38*($A606-Ft!E$2)^2)</f>
        <v>7.3759608271423245</v>
      </c>
      <c r="I606" s="26">
        <f>Ft!F$3*EXP(Ft!F$38*($A606-Ft!F$2)^2)</f>
        <v>2.3918359284584756E-34</v>
      </c>
      <c r="J606" s="26">
        <f>Ft!G$3*EXP(Ft!G$38*($A606-Ft!G$2)^2)</f>
        <v>0</v>
      </c>
    </row>
    <row r="607" spans="1:10">
      <c r="A607" s="19">
        <v>605</v>
      </c>
      <c r="B607" s="28">
        <v>6.5128525609574979</v>
      </c>
      <c r="C607" s="27">
        <f ca="1">OFFSET($B607,1*(ROWS(C$2:C607)-1),0)</f>
        <v>0</v>
      </c>
      <c r="D607" s="26">
        <f>Ft!B$3*EXP(Ft!B$38*($A607-Ft!B$2)^2) +Ft!C$3*EXP(Ft!C$38*($A607-Ft!C$2)^2) + Ft!D$3*EXP(Ft!D$38*($A607-Ft!D$2)^2)+Ft!E$3*EXP(Ft!E$38*($A607-Ft!E$2)^2) +Ft!F$3*EXP(Ft!F$38*($A607-Ft!F$2)^2) + Ft!G$3*EXP(Ft!G$38*($A607-Ft!G$2)^2)</f>
        <v>17.216860537781752</v>
      </c>
      <c r="E607" s="26">
        <f>Ft!B$3*EXP(Ft!B$38*($A607-Ft!B$2)^2)</f>
        <v>6.2623185176175773E-171</v>
      </c>
      <c r="F607" s="26">
        <f>Ft!C$3*EXP(Ft!C$38*($A607-Ft!C$2)^2)</f>
        <v>4.8731447285790542E-7</v>
      </c>
      <c r="G607" s="26">
        <f>Ft!D$3*EXP(Ft!D$38*($A607-Ft!D$2)^2)</f>
        <v>9.7853952413953422</v>
      </c>
      <c r="H607" s="26">
        <f>Ft!E$3*EXP(Ft!E$38*($A607-Ft!E$2)^2)</f>
        <v>7.4314648090719375</v>
      </c>
      <c r="I607" s="26">
        <f>Ft!F$3*EXP(Ft!F$38*($A607-Ft!F$2)^2)</f>
        <v>3.465418737577636E-34</v>
      </c>
      <c r="J607" s="26">
        <f>Ft!G$3*EXP(Ft!G$38*($A607-Ft!G$2)^2)</f>
        <v>0</v>
      </c>
    </row>
    <row r="608" spans="1:10">
      <c r="A608" s="19">
        <v>606</v>
      </c>
      <c r="B608" s="28">
        <v>6.3676882512875181</v>
      </c>
      <c r="C608" s="27">
        <f ca="1">OFFSET($B608,1*(ROWS(C$2:C608)-1),0)</f>
        <v>0</v>
      </c>
      <c r="D608" s="26">
        <f>Ft!B$3*EXP(Ft!B$38*($A608-Ft!B$2)^2) +Ft!C$3*EXP(Ft!C$38*($A608-Ft!C$2)^2) + Ft!D$3*EXP(Ft!D$38*($A608-Ft!D$2)^2)+Ft!E$3*EXP(Ft!E$38*($A608-Ft!E$2)^2) +Ft!F$3*EXP(Ft!F$38*($A608-Ft!F$2)^2) + Ft!G$3*EXP(Ft!G$38*($A608-Ft!G$2)^2)</f>
        <v>17.203061873852707</v>
      </c>
      <c r="E608" s="26">
        <f>Ft!B$3*EXP(Ft!B$38*($A608-Ft!B$2)^2)</f>
        <v>1.534370044999759E-171</v>
      </c>
      <c r="F608" s="26">
        <f>Ft!C$3*EXP(Ft!C$38*($A608-Ft!C$2)^2)</f>
        <v>4.533122851708673E-7</v>
      </c>
      <c r="G608" s="26">
        <f>Ft!D$3*EXP(Ft!D$38*($A608-Ft!D$2)^2)</f>
        <v>9.7159403007181808</v>
      </c>
      <c r="H608" s="26">
        <f>Ft!E$3*EXP(Ft!E$38*($A608-Ft!E$2)^2)</f>
        <v>7.487121119822242</v>
      </c>
      <c r="I608" s="26">
        <f>Ft!F$3*EXP(Ft!F$38*($A608-Ft!F$2)^2)</f>
        <v>5.0165234741943948E-34</v>
      </c>
      <c r="J608" s="26">
        <f>Ft!G$3*EXP(Ft!G$38*($A608-Ft!G$2)^2)</f>
        <v>0</v>
      </c>
    </row>
    <row r="609" spans="1:10">
      <c r="A609" s="19">
        <v>607</v>
      </c>
      <c r="B609" s="28">
        <v>6.2447411566117239</v>
      </c>
      <c r="C609" s="27">
        <f ca="1">OFFSET($B609,1*(ROWS(C$2:C609)-1),0)</f>
        <v>0</v>
      </c>
      <c r="D609" s="26">
        <f>Ft!B$3*EXP(Ft!B$38*($A609-Ft!B$2)^2) +Ft!C$3*EXP(Ft!C$38*($A609-Ft!C$2)^2) + Ft!D$3*EXP(Ft!D$38*($A609-Ft!D$2)^2)+Ft!E$3*EXP(Ft!E$38*($A609-Ft!E$2)^2) +Ft!F$3*EXP(Ft!F$38*($A609-Ft!F$2)^2) + Ft!G$3*EXP(Ft!G$38*($A609-Ft!G$2)^2)</f>
        <v>17.189495387768893</v>
      </c>
      <c r="E609" s="26">
        <f>Ft!B$3*EXP(Ft!B$38*($A609-Ft!B$2)^2)</f>
        <v>3.7500256963562676E-172</v>
      </c>
      <c r="F609" s="26">
        <f>Ft!C$3*EXP(Ft!C$38*($A609-Ft!C$2)^2)</f>
        <v>4.216170503186101E-7</v>
      </c>
      <c r="G609" s="26">
        <f>Ft!D$3*EXP(Ft!D$38*($A609-Ft!D$2)^2)</f>
        <v>9.6465680253895059</v>
      </c>
      <c r="H609" s="26">
        <f>Ft!E$3*EXP(Ft!E$38*($A609-Ft!E$2)^2)</f>
        <v>7.5429269407623387</v>
      </c>
      <c r="I609" s="26">
        <f>Ft!F$3*EXP(Ft!F$38*($A609-Ft!F$2)^2)</f>
        <v>7.2555906720806388E-34</v>
      </c>
      <c r="J609" s="26">
        <f>Ft!G$3*EXP(Ft!G$38*($A609-Ft!G$2)^2)</f>
        <v>0</v>
      </c>
    </row>
    <row r="610" spans="1:10">
      <c r="A610" s="19">
        <v>608</v>
      </c>
      <c r="B610" s="28">
        <v>6.0931337613878611</v>
      </c>
      <c r="C610" s="27">
        <f ca="1">OFFSET($B610,1*(ROWS(C$2:C610)-1),0)</f>
        <v>0</v>
      </c>
      <c r="D610" s="26">
        <f>Ft!B$3*EXP(Ft!B$38*($A610-Ft!B$2)^2) +Ft!C$3*EXP(Ft!C$38*($A610-Ft!C$2)^2) + Ft!D$3*EXP(Ft!D$38*($A610-Ft!D$2)^2)+Ft!E$3*EXP(Ft!E$38*($A610-Ft!E$2)^2) +Ft!F$3*EXP(Ft!F$38*($A610-Ft!F$2)^2) + Ft!G$3*EXP(Ft!G$38*($A610-Ft!G$2)^2)</f>
        <v>17.176163513627827</v>
      </c>
      <c r="E610" s="26">
        <f>Ft!B$3*EXP(Ft!B$38*($A610-Ft!B$2)^2)</f>
        <v>9.1421333171487687E-173</v>
      </c>
      <c r="F610" s="26">
        <f>Ft!C$3*EXP(Ft!C$38*($A610-Ft!C$2)^2)</f>
        <v>3.9207697561960316E-7</v>
      </c>
      <c r="G610" s="26">
        <f>Ft!D$3*EXP(Ft!D$38*($A610-Ft!D$2)^2)</f>
        <v>9.5772837053027953</v>
      </c>
      <c r="H610" s="26">
        <f>Ft!E$3*EXP(Ft!E$38*($A610-Ft!E$2)^2)</f>
        <v>7.5988794162480549</v>
      </c>
      <c r="I610" s="26">
        <f>Ft!F$3*EXP(Ft!F$38*($A610-Ft!F$2)^2)</f>
        <v>1.0484929007529825E-33</v>
      </c>
      <c r="J610" s="26">
        <f>Ft!G$3*EXP(Ft!G$38*($A610-Ft!G$2)^2)</f>
        <v>0</v>
      </c>
    </row>
    <row r="611" spans="1:10">
      <c r="A611" s="19">
        <v>609</v>
      </c>
      <c r="B611" s="28">
        <v>5.9406593309744835</v>
      </c>
      <c r="C611" s="27">
        <f ca="1">OFFSET($B611,1*(ROWS(C$2:C611)-1),0)</f>
        <v>0</v>
      </c>
      <c r="D611" s="26">
        <f>Ft!B$3*EXP(Ft!B$38*($A611-Ft!B$2)^2) +Ft!C$3*EXP(Ft!C$38*($A611-Ft!C$2)^2) + Ft!D$3*EXP(Ft!D$38*($A611-Ft!D$2)^2)+Ft!E$3*EXP(Ft!E$38*($A611-Ft!E$2)^2) +Ft!F$3*EXP(Ft!F$38*($A611-Ft!F$2)^2) + Ft!G$3*EXP(Ft!G$38*($A611-Ft!G$2)^2)</f>
        <v>17.163068599589739</v>
      </c>
      <c r="E611" s="26">
        <f>Ft!B$3*EXP(Ft!B$38*($A611-Ft!B$2)^2)</f>
        <v>2.2231564734296951E-173</v>
      </c>
      <c r="F611" s="26">
        <f>Ft!C$3*EXP(Ft!C$38*($A611-Ft!C$2)^2)</f>
        <v>3.6454992293621281E-7</v>
      </c>
      <c r="G611" s="26">
        <f>Ft!D$3*EXP(Ft!D$38*($A611-Ft!D$2)^2)</f>
        <v>9.508092581287455</v>
      </c>
      <c r="H611" s="26">
        <f>Ft!E$3*EXP(Ft!E$38*($A611-Ft!E$2)^2)</f>
        <v>7.6549756537523619</v>
      </c>
      <c r="I611" s="26">
        <f>Ft!F$3*EXP(Ft!F$38*($A611-Ft!F$2)^2)</f>
        <v>1.5138436035806E-33</v>
      </c>
      <c r="J611" s="26">
        <f>Ft!G$3*EXP(Ft!G$38*($A611-Ft!G$2)^2)</f>
        <v>0</v>
      </c>
    </row>
    <row r="612" spans="1:10">
      <c r="A612" s="19">
        <v>610</v>
      </c>
      <c r="B612" s="28">
        <v>5.7872068303655908</v>
      </c>
      <c r="C612" s="27">
        <f ca="1">OFFSET($B612,1*(ROWS(C$2:C612)-1),0)</f>
        <v>0</v>
      </c>
      <c r="D612" s="26">
        <f>Ft!B$3*EXP(Ft!B$38*($A612-Ft!B$2)^2) +Ft!C$3*EXP(Ft!C$38*($A612-Ft!C$2)^2) + Ft!D$3*EXP(Ft!D$38*($A612-Ft!D$2)^2)+Ft!E$3*EXP(Ft!E$38*($A612-Ft!E$2)^2) +Ft!F$3*EXP(Ft!F$38*($A612-Ft!F$2)^2) + Ft!G$3*EXP(Ft!G$38*($A612-Ft!G$2)^2)</f>
        <v>17.150212907478945</v>
      </c>
      <c r="E612" s="26">
        <f>Ft!B$3*EXP(Ft!B$38*($A612-Ft!B$2)^2)</f>
        <v>5.3926431919949015E-174</v>
      </c>
      <c r="F612" s="26">
        <f>Ft!C$3*EXP(Ft!C$38*($A612-Ft!C$2)^2)</f>
        <v>3.3890281750228413E-7</v>
      </c>
      <c r="G612" s="26">
        <f>Ft!D$3*EXP(Ft!D$38*($A612-Ft!D$2)^2)</f>
        <v>9.4389998445728054</v>
      </c>
      <c r="H612" s="26">
        <f>Ft!E$3*EXP(Ft!E$38*($A612-Ft!E$2)^2)</f>
        <v>7.7112127240033219</v>
      </c>
      <c r="I612" s="26">
        <f>Ft!F$3*EXP(Ft!F$38*($A612-Ft!F$2)^2)</f>
        <v>2.1838324831005998E-33</v>
      </c>
      <c r="J612" s="26">
        <f>Ft!G$3*EXP(Ft!G$38*($A612-Ft!G$2)^2)</f>
        <v>0</v>
      </c>
    </row>
    <row r="613" spans="1:10">
      <c r="A613" s="19">
        <v>611</v>
      </c>
      <c r="B613" s="28">
        <v>5.6327332079277994</v>
      </c>
      <c r="C613" s="27">
        <f ca="1">OFFSET($B613,1*(ROWS(C$2:C613)-1),0)</f>
        <v>0</v>
      </c>
      <c r="D613" s="26">
        <f>Ft!B$3*EXP(Ft!B$38*($A613-Ft!B$2)^2) +Ft!C$3*EXP(Ft!C$38*($A613-Ft!C$2)^2) + Ft!D$3*EXP(Ft!D$38*($A613-Ft!D$2)^2)+Ft!E$3*EXP(Ft!E$38*($A613-Ft!E$2)^2) +Ft!F$3*EXP(Ft!F$38*($A613-Ft!F$2)^2) + Ft!G$3*EXP(Ft!G$38*($A613-Ft!G$2)^2)</f>
        <v>17.1375986124071</v>
      </c>
      <c r="E613" s="26">
        <f>Ft!B$3*EXP(Ft!B$38*($A613-Ft!B$2)^2)</f>
        <v>1.3047956944531654E-174</v>
      </c>
      <c r="F613" s="26">
        <f>Ft!C$3*EXP(Ft!C$38*($A613-Ft!C$2)^2)</f>
        <v>3.1501109141794459E-7</v>
      </c>
      <c r="G613" s="26">
        <f>Ft!D$3*EXP(Ft!D$38*($A613-Ft!D$2)^2)</f>
        <v>9.3700106362664179</v>
      </c>
      <c r="H613" s="26">
        <f>Ft!E$3*EXP(Ft!E$38*($A613-Ft!E$2)^2)</f>
        <v>7.7675876611295918</v>
      </c>
      <c r="I613" s="26">
        <f>Ft!F$3*EXP(Ft!F$38*($A613-Ft!F$2)^2)</f>
        <v>3.147606463244716E-33</v>
      </c>
      <c r="J613" s="26">
        <f>Ft!G$3*EXP(Ft!G$38*($A613-Ft!G$2)^2)</f>
        <v>0</v>
      </c>
    </row>
    <row r="614" spans="1:10">
      <c r="A614" s="19">
        <v>612</v>
      </c>
      <c r="B614" s="28">
        <v>5.4743202600646157</v>
      </c>
      <c r="C614" s="27">
        <f ca="1">OFFSET($B614,1*(ROWS(C$2:C614)-1),0)</f>
        <v>0</v>
      </c>
      <c r="D614" s="26">
        <f>Ft!B$3*EXP(Ft!B$38*($A614-Ft!B$2)^2) +Ft!C$3*EXP(Ft!C$38*($A614-Ft!C$2)^2) + Ft!D$3*EXP(Ft!D$38*($A614-Ft!D$2)^2)+Ft!E$3*EXP(Ft!E$38*($A614-Ft!E$2)^2) +Ft!F$3*EXP(Ft!F$38*($A614-Ft!F$2)^2) + Ft!G$3*EXP(Ft!G$38*($A614-Ft!G$2)^2)</f>
        <v>17.125227802418525</v>
      </c>
      <c r="E614" s="26">
        <f>Ft!B$3*EXP(Ft!B$38*($A614-Ft!B$2)^2)</f>
        <v>3.1491439877827562E-175</v>
      </c>
      <c r="F614" s="26">
        <f>Ft!C$3*EXP(Ft!C$38*($A614-Ft!C$2)^2)</f>
        <v>2.9275815987834376E-7</v>
      </c>
      <c r="G614" s="26">
        <f>Ft!D$3*EXP(Ft!D$38*($A614-Ft!D$2)^2)</f>
        <v>9.3011300468468647</v>
      </c>
      <c r="H614" s="26">
        <f>Ft!E$3*EXP(Ft!E$38*($A614-Ft!E$2)^2)</f>
        <v>7.8240974628135014</v>
      </c>
      <c r="I614" s="26">
        <f>Ft!F$3*EXP(Ft!F$38*($A614-Ft!F$2)^2)</f>
        <v>4.5327767624024296E-33</v>
      </c>
      <c r="J614" s="26">
        <f>Ft!G$3*EXP(Ft!G$38*($A614-Ft!G$2)^2)</f>
        <v>0</v>
      </c>
    </row>
    <row r="615" spans="1:10">
      <c r="A615" s="19">
        <v>613</v>
      </c>
      <c r="B615" s="28">
        <v>5.2866069425089677</v>
      </c>
      <c r="C615" s="27">
        <f ca="1">OFFSET($B615,1*(ROWS(C$2:C615)-1),0)</f>
        <v>0</v>
      </c>
      <c r="D615" s="26">
        <f>Ft!B$3*EXP(Ft!B$38*($A615-Ft!B$2)^2) +Ft!C$3*EXP(Ft!C$38*($A615-Ft!C$2)^2) + Ft!D$3*EXP(Ft!D$38*($A615-Ft!D$2)^2)+Ft!E$3*EXP(Ft!E$38*($A615-Ft!E$2)^2) +Ft!F$3*EXP(Ft!F$38*($A615-Ft!F$2)^2) + Ft!G$3*EXP(Ft!G$38*($A615-Ft!G$2)^2)</f>
        <v>17.113102478157565</v>
      </c>
      <c r="E615" s="26">
        <f>Ft!B$3*EXP(Ft!B$38*($A615-Ft!B$2)^2)</f>
        <v>7.5814398861485086E-176</v>
      </c>
      <c r="F615" s="26">
        <f>Ft!C$3*EXP(Ft!C$38*($A615-Ft!C$2)^2)</f>
        <v>2.7203492830458761E-7</v>
      </c>
      <c r="G615" s="26">
        <f>Ft!D$3*EXP(Ft!D$38*($A615-Ft!D$2)^2)</f>
        <v>9.2323631156708892</v>
      </c>
      <c r="H615" s="26">
        <f>Ft!E$3*EXP(Ft!E$38*($A615-Ft!E$2)^2)</f>
        <v>7.8807390904517476</v>
      </c>
      <c r="I615" s="26">
        <f>Ft!F$3*EXP(Ft!F$38*($A615-Ft!F$2)^2)</f>
        <v>6.5218533421785525E-33</v>
      </c>
      <c r="J615" s="26">
        <f>Ft!G$3*EXP(Ft!G$38*($A615-Ft!G$2)^2)</f>
        <v>0</v>
      </c>
    </row>
    <row r="616" spans="1:10">
      <c r="A616" s="19">
        <v>614</v>
      </c>
      <c r="B616" s="28">
        <v>5.0960320213044952</v>
      </c>
      <c r="C616" s="27">
        <f ca="1">OFFSET($B616,1*(ROWS(C$2:C616)-1),0)</f>
        <v>0</v>
      </c>
      <c r="D616" s="26">
        <f>Ft!B$3*EXP(Ft!B$38*($A616-Ft!B$2)^2) +Ft!C$3*EXP(Ft!C$38*($A616-Ft!C$2)^2) + Ft!D$3*EXP(Ft!D$38*($A616-Ft!D$2)^2)+Ft!E$3*EXP(Ft!E$38*($A616-Ft!E$2)^2) +Ft!F$3*EXP(Ft!F$38*($A616-Ft!F$2)^2) + Ft!G$3*EXP(Ft!G$38*($A616-Ft!G$2)^2)</f>
        <v>17.101224552558037</v>
      </c>
      <c r="E616" s="26">
        <f>Ft!B$3*EXP(Ft!B$38*($A616-Ft!B$2)^2)</f>
        <v>1.8206230946370759E-176</v>
      </c>
      <c r="F616" s="26">
        <f>Ft!C$3*EXP(Ft!C$38*($A616-Ft!C$2)^2)</f>
        <v>2.5273932864164993E-7</v>
      </c>
      <c r="G616" s="26">
        <f>Ft!D$3*EXP(Ft!D$38*($A616-Ft!D$2)^2)</f>
        <v>9.1637148304950085</v>
      </c>
      <c r="H616" s="26">
        <f>Ft!E$3*EXP(Ft!E$38*($A616-Ft!E$2)^2)</f>
        <v>7.9375094693236985</v>
      </c>
      <c r="I616" s="26">
        <f>Ft!F$3*EXP(Ft!F$38*($A616-Ft!F$2)^2)</f>
        <v>9.3756313341328212E-33</v>
      </c>
      <c r="J616" s="26">
        <f>Ft!G$3*EXP(Ft!G$38*($A616-Ft!G$2)^2)</f>
        <v>0</v>
      </c>
    </row>
    <row r="617" spans="1:10">
      <c r="A617" s="19">
        <v>615</v>
      </c>
      <c r="B617" s="28">
        <v>4.9274658633630679</v>
      </c>
      <c r="C617" s="27">
        <f ca="1">OFFSET($B617,1*(ROWS(C$2:C617)-1),0)</f>
        <v>0</v>
      </c>
      <c r="D617" s="26">
        <f>Ft!B$3*EXP(Ft!B$38*($A617-Ft!B$2)^2) +Ft!C$3*EXP(Ft!C$38*($A617-Ft!C$2)^2) + Ft!D$3*EXP(Ft!D$38*($A617-Ft!D$2)^2)+Ft!E$3*EXP(Ft!E$38*($A617-Ft!E$2)^2) +Ft!F$3*EXP(Ft!F$38*($A617-Ft!F$2)^2) + Ft!G$3*EXP(Ft!G$38*($A617-Ft!G$2)^2)</f>
        <v>17.089595850554836</v>
      </c>
      <c r="E617" s="26">
        <f>Ft!B$3*EXP(Ft!B$38*($A617-Ft!B$2)^2)</f>
        <v>4.3611153458738794E-177</v>
      </c>
      <c r="F617" s="26">
        <f>Ft!C$3*EXP(Ft!C$38*($A617-Ft!C$2)^2)</f>
        <v>2.3477588317994946E-7</v>
      </c>
      <c r="G617" s="26">
        <f>Ft!D$3*EXP(Ft!D$38*($A617-Ft!D$2)^2)</f>
        <v>9.0951901270115965</v>
      </c>
      <c r="H617" s="26">
        <f>Ft!E$3*EXP(Ft!E$38*($A617-Ft!E$2)^2)</f>
        <v>7.9944054887673541</v>
      </c>
      <c r="I617" s="26">
        <f>Ft!F$3*EXP(Ft!F$38*($A617-Ft!F$2)^2)</f>
        <v>1.346644031389414E-32</v>
      </c>
      <c r="J617" s="26">
        <f>Ft!G$3*EXP(Ft!G$38*($A617-Ft!G$2)^2)</f>
        <v>0</v>
      </c>
    </row>
    <row r="618" spans="1:10">
      <c r="A618" s="19">
        <v>616</v>
      </c>
      <c r="B618" s="28">
        <v>4.755012261594743</v>
      </c>
      <c r="C618" s="27">
        <f ca="1">OFFSET($B618,1*(ROWS(C$2:C618)-1),0)</f>
        <v>0</v>
      </c>
      <c r="D618" s="26">
        <f>Ft!B$3*EXP(Ft!B$38*($A618-Ft!B$2)^2) +Ft!C$3*EXP(Ft!C$38*($A618-Ft!C$2)^2) + Ft!D$3*EXP(Ft!D$38*($A618-Ft!D$2)^2)+Ft!E$3*EXP(Ft!E$38*($A618-Ft!E$2)^2) +Ft!F$3*EXP(Ft!F$38*($A618-Ft!F$2)^2) + Ft!G$3*EXP(Ft!G$38*($A618-Ft!G$2)^2)</f>
        <v>17.078218108817666</v>
      </c>
      <c r="E618" s="26">
        <f>Ft!B$3*EXP(Ft!B$38*($A618-Ft!B$2)^2)</f>
        <v>1.042039719803936E-177</v>
      </c>
      <c r="F618" s="26">
        <f>Ft!C$3*EXP(Ft!C$38*($A618-Ft!C$2)^2)</f>
        <v>2.1805529434455941E-7</v>
      </c>
      <c r="G618" s="26">
        <f>Ft!D$3*EXP(Ft!D$38*($A618-Ft!D$2)^2)</f>
        <v>9.0267938883994159</v>
      </c>
      <c r="H618" s="26">
        <f>Ft!E$3*EXP(Ft!E$38*($A618-Ft!E$2)^2)</f>
        <v>8.0514240023629569</v>
      </c>
      <c r="I618" s="26">
        <f>Ft!F$3*EXP(Ft!F$38*($A618-Ft!F$2)^2)</f>
        <v>1.9325373433501988E-32</v>
      </c>
      <c r="J618" s="26">
        <f>Ft!G$3*EXP(Ft!G$38*($A618-Ft!G$2)^2)</f>
        <v>0</v>
      </c>
    </row>
    <row r="619" spans="1:10">
      <c r="A619" s="19">
        <v>617</v>
      </c>
      <c r="B619" s="28">
        <v>4.5881281908282858</v>
      </c>
      <c r="C619" s="27">
        <f ca="1">OFFSET($B619,1*(ROWS(C$2:C619)-1),0)</f>
        <v>0</v>
      </c>
      <c r="D619" s="26">
        <f>Ft!B$3*EXP(Ft!B$38*($A619-Ft!B$2)^2) +Ft!C$3*EXP(Ft!C$38*($A619-Ft!C$2)^2) + Ft!D$3*EXP(Ft!D$38*($A619-Ft!D$2)^2)+Ft!E$3*EXP(Ft!E$38*($A619-Ft!E$2)^2) +Ft!F$3*EXP(Ft!F$38*($A619-Ft!F$2)^2) + Ft!G$3*EXP(Ft!G$38*($A619-Ft!G$2)^2)</f>
        <v>17.067092975506998</v>
      </c>
      <c r="E619" s="26">
        <f>Ft!B$3*EXP(Ft!B$38*($A619-Ft!B$2)^2)</f>
        <v>2.4835914021943721E-178</v>
      </c>
      <c r="F619" s="26">
        <f>Ft!C$3*EXP(Ft!C$38*($A619-Ft!C$2)^2)</f>
        <v>2.0249405897905601E-7</v>
      </c>
      <c r="G619" s="26">
        <f>Ft!D$3*EXP(Ft!D$38*($A619-Ft!D$2)^2)</f>
        <v>8.9585309448886452</v>
      </c>
      <c r="H619" s="26">
        <f>Ft!E$3*EXP(Ft!E$38*($A619-Ft!E$2)^2)</f>
        <v>8.1085618281242944</v>
      </c>
      <c r="I619" s="26">
        <f>Ft!F$3*EXP(Ft!F$38*($A619-Ft!F$2)^2)</f>
        <v>2.7709314022421066E-32</v>
      </c>
      <c r="J619" s="26">
        <f>Ft!G$3*EXP(Ft!G$38*($A619-Ft!G$2)^2)</f>
        <v>0</v>
      </c>
    </row>
    <row r="620" spans="1:10">
      <c r="A620" s="19">
        <v>618</v>
      </c>
      <c r="B620" s="28">
        <v>4.4290079885812474</v>
      </c>
      <c r="C620" s="27">
        <f ca="1">OFFSET($B620,1*(ROWS(C$2:C620)-1),0)</f>
        <v>0</v>
      </c>
      <c r="D620" s="26">
        <f>Ft!B$3*EXP(Ft!B$38*($A620-Ft!B$2)^2) +Ft!C$3*EXP(Ft!C$38*($A620-Ft!C$2)^2) + Ft!D$3*EXP(Ft!D$38*($A620-Ft!D$2)^2)+Ft!E$3*EXP(Ft!E$38*($A620-Ft!E$2)^2) +Ft!F$3*EXP(Ft!F$38*($A620-Ft!F$2)^2) + Ft!G$3*EXP(Ft!G$38*($A620-Ft!G$2)^2)</f>
        <v>17.056222010052167</v>
      </c>
      <c r="E620" s="26">
        <f>Ft!B$3*EXP(Ft!B$38*($A620-Ft!B$2)^2)</f>
        <v>5.9045281327883581E-179</v>
      </c>
      <c r="F620" s="26">
        <f>Ft!C$3*EXP(Ft!C$38*($A620-Ft!C$2)^2)</f>
        <v>1.8801410572989381E-7</v>
      </c>
      <c r="G620" s="26">
        <f>Ft!D$3*EXP(Ft!D$38*($A620-Ft!D$2)^2)</f>
        <v>8.8904060733403796</v>
      </c>
      <c r="H620" s="26">
        <f>Ft!E$3*EXP(Ft!E$38*($A620-Ft!E$2)^2)</f>
        <v>8.1658157486976819</v>
      </c>
      <c r="I620" s="26">
        <f>Ft!F$3*EXP(Ft!F$38*($A620-Ft!F$2)^2)</f>
        <v>3.9695972821111348E-32</v>
      </c>
      <c r="J620" s="26">
        <f>Ft!G$3*EXP(Ft!G$38*($A620-Ft!G$2)^2)</f>
        <v>0</v>
      </c>
    </row>
    <row r="621" spans="1:10">
      <c r="A621" s="19">
        <v>619</v>
      </c>
      <c r="B621" s="28">
        <v>4.3181798164096676</v>
      </c>
      <c r="C621" s="27">
        <f ca="1">OFFSET($B621,1*(ROWS(C$2:C621)-1),0)</f>
        <v>0</v>
      </c>
      <c r="D621" s="26">
        <f>Ft!B$3*EXP(Ft!B$38*($A621-Ft!B$2)^2) +Ft!C$3*EXP(Ft!C$38*($A621-Ft!C$2)^2) + Ft!D$3*EXP(Ft!D$38*($A621-Ft!D$2)^2)+Ft!E$3*EXP(Ft!E$38*($A621-Ft!E$2)^2) +Ft!F$3*EXP(Ft!F$38*($A621-Ft!F$2)^2) + Ft!G$3*EXP(Ft!G$38*($A621-Ft!G$2)^2)</f>
        <v>17.045606682951711</v>
      </c>
      <c r="E621" s="26">
        <f>Ft!B$3*EXP(Ft!B$38*($A621-Ft!B$2)^2)</f>
        <v>1.4002301310881728E-179</v>
      </c>
      <c r="F621" s="26">
        <f>Ft!C$3*EXP(Ft!C$38*($A621-Ft!C$2)^2)</f>
        <v>1.7454245421215111E-7</v>
      </c>
      <c r="G621" s="26">
        <f>Ft!D$3*EXP(Ft!D$38*($A621-Ft!D$2)^2)</f>
        <v>8.8224239968406035</v>
      </c>
      <c r="H621" s="26">
        <f>Ft!E$3*EXP(Ft!E$38*($A621-Ft!E$2)^2)</f>
        <v>8.2231825115686537</v>
      </c>
      <c r="I621" s="26">
        <f>Ft!F$3*EXP(Ft!F$38*($A621-Ft!F$2)^2)</f>
        <v>5.6818520404896949E-32</v>
      </c>
      <c r="J621" s="26">
        <f>Ft!G$3*EXP(Ft!G$38*($A621-Ft!G$2)^2)</f>
        <v>0</v>
      </c>
    </row>
    <row r="622" spans="1:10">
      <c r="A622" s="19">
        <v>620</v>
      </c>
      <c r="B622" s="28">
        <v>4.143488832414107</v>
      </c>
      <c r="C622" s="27">
        <f ca="1">OFFSET($B622,1*(ROWS(C$2:C622)-1),0)</f>
        <v>0</v>
      </c>
      <c r="D622" s="26">
        <f>Ft!B$3*EXP(Ft!B$38*($A622-Ft!B$2)^2) +Ft!C$3*EXP(Ft!C$38*($A622-Ft!C$2)^2) + Ft!D$3*EXP(Ft!D$38*($A622-Ft!D$2)^2)+Ft!E$3*EXP(Ft!E$38*($A622-Ft!E$2)^2) +Ft!F$3*EXP(Ft!F$38*($A622-Ft!F$2)^2) + Ft!G$3*EXP(Ft!G$38*($A622-Ft!G$2)^2)</f>
        <v>17.035248375595902</v>
      </c>
      <c r="E622" s="26">
        <f>Ft!B$3*EXP(Ft!B$38*($A622-Ft!B$2)^2)</f>
        <v>3.3122477649840448E-180</v>
      </c>
      <c r="F622" s="26">
        <f>Ft!C$3*EXP(Ft!C$38*($A622-Ft!C$2)^2)</f>
        <v>1.6201089470868422E-7</v>
      </c>
      <c r="G622" s="26">
        <f>Ft!D$3*EXP(Ft!D$38*($A622-Ft!D$2)^2)</f>
        <v>8.7545893843086358</v>
      </c>
      <c r="H622" s="26">
        <f>Ft!E$3*EXP(Ft!E$38*($A622-Ft!E$2)^2)</f>
        <v>8.280658829276371</v>
      </c>
      <c r="I622" s="26">
        <f>Ft!F$3*EXP(Ft!F$38*($A622-Ft!F$2)^2)</f>
        <v>8.1256139732306089E-32</v>
      </c>
      <c r="J622" s="26">
        <f>Ft!G$3*EXP(Ft!G$38*($A622-Ft!G$2)^2)</f>
        <v>0</v>
      </c>
    </row>
    <row r="623" spans="1:10">
      <c r="A623" s="19">
        <v>621</v>
      </c>
      <c r="B623" s="28">
        <v>3.9669537145566665</v>
      </c>
      <c r="C623" s="27">
        <f ca="1">OFFSET($B623,1*(ROWS(C$2:C623)-1),0)</f>
        <v>0</v>
      </c>
      <c r="D623" s="26">
        <f>Ft!B$3*EXP(Ft!B$38*($A623-Ft!B$2)^2) +Ft!C$3*EXP(Ft!C$38*($A623-Ft!C$2)^2) + Ft!D$3*EXP(Ft!D$38*($A623-Ft!D$2)^2)+Ft!E$3*EXP(Ft!E$38*($A623-Ft!E$2)^2) +Ft!F$3*EXP(Ft!F$38*($A623-Ft!F$2)^2) + Ft!G$3*EXP(Ft!G$38*($A623-Ft!G$2)^2)</f>
        <v>17.025148380111499</v>
      </c>
      <c r="E623" s="26">
        <f>Ft!B$3*EXP(Ft!B$38*($A623-Ft!B$2)^2)</f>
        <v>7.8154751540312426E-181</v>
      </c>
      <c r="F623" s="26">
        <f>Ft!C$3*EXP(Ft!C$38*($A623-Ft!C$2)^2)</f>
        <v>1.5035568722234925E-7</v>
      </c>
      <c r="G623" s="26">
        <f>Ft!D$3*EXP(Ft!D$38*($A623-Ft!D$2)^2)</f>
        <v>8.6869068501200548</v>
      </c>
      <c r="H623" s="26">
        <f>Ft!E$3*EXP(Ft!E$38*($A623-Ft!E$2)^2)</f>
        <v>8.3382413796357575</v>
      </c>
      <c r="I623" s="26">
        <f>Ft!F$3*EXP(Ft!F$38*($A623-Ft!F$2)^2)</f>
        <v>1.1610348285523377E-31</v>
      </c>
      <c r="J623" s="26">
        <f>Ft!G$3*EXP(Ft!G$38*($A623-Ft!G$2)^2)</f>
        <v>0</v>
      </c>
    </row>
    <row r="624" spans="1:10">
      <c r="A624" s="19">
        <v>622</v>
      </c>
      <c r="B624" s="28">
        <v>3.7753173940984937</v>
      </c>
      <c r="C624" s="27">
        <f ca="1">OFFSET($B624,1*(ROWS(C$2:C624)-1),0)</f>
        <v>0</v>
      </c>
      <c r="D624" s="26">
        <f>Ft!B$3*EXP(Ft!B$38*($A624-Ft!B$2)^2) +Ft!C$3*EXP(Ft!C$38*($A624-Ft!C$2)^2) + Ft!D$3*EXP(Ft!D$38*($A624-Ft!D$2)^2)+Ft!E$3*EXP(Ft!E$38*($A624-Ft!E$2)^2) +Ft!F$3*EXP(Ft!F$38*($A624-Ft!F$2)^2) + Ft!G$3*EXP(Ft!G$38*($A624-Ft!G$2)^2)</f>
        <v>17.015307899228667</v>
      </c>
      <c r="E624" s="26">
        <f>Ft!B$3*EXP(Ft!B$38*($A624-Ft!B$2)^2)</f>
        <v>1.8394887326928237E-181</v>
      </c>
      <c r="F624" s="26">
        <f>Ft!C$3*EXP(Ft!C$38*($A624-Ft!C$2)^2)</f>
        <v>1.3951727876513526E-7</v>
      </c>
      <c r="G624" s="26">
        <f>Ft!D$3*EXP(Ft!D$38*($A624-Ft!D$2)^2)</f>
        <v>8.6193809537440345</v>
      </c>
      <c r="H624" s="26">
        <f>Ft!E$3*EXP(Ft!E$38*($A624-Ft!E$2)^2)</f>
        <v>8.3959268059673526</v>
      </c>
      <c r="I624" s="26">
        <f>Ft!F$3*EXP(Ft!F$38*($A624-Ft!F$2)^2)</f>
        <v>1.6575136166315136E-31</v>
      </c>
      <c r="J624" s="26">
        <f>Ft!G$3*EXP(Ft!G$38*($A624-Ft!G$2)^2)</f>
        <v>0</v>
      </c>
    </row>
    <row r="625" spans="1:10">
      <c r="A625" s="19">
        <v>623</v>
      </c>
      <c r="B625" s="28">
        <v>3.5875802247308002</v>
      </c>
      <c r="C625" s="27">
        <f ca="1">OFFSET($B625,1*(ROWS(C$2:C625)-1),0)</f>
        <v>0</v>
      </c>
      <c r="D625" s="26">
        <f>Ft!B$3*EXP(Ft!B$38*($A625-Ft!B$2)^2) +Ft!C$3*EXP(Ft!C$38*($A625-Ft!C$2)^2) + Ft!D$3*EXP(Ft!D$38*($A625-Ft!D$2)^2)+Ft!E$3*EXP(Ft!E$38*($A625-Ft!E$2)^2) +Ft!F$3*EXP(Ft!F$38*($A625-Ft!F$2)^2) + Ft!G$3*EXP(Ft!G$38*($A625-Ft!G$2)^2)</f>
        <v>17.005728046170091</v>
      </c>
      <c r="E625" s="26">
        <f>Ft!B$3*EXP(Ft!B$38*($A625-Ft!B$2)^2)</f>
        <v>4.3186504264108959E-182</v>
      </c>
      <c r="F625" s="26">
        <f>Ft!C$3*EXP(Ft!C$38*($A625-Ft!C$2)^2)</f>
        <v>1.2944003782897691E-7</v>
      </c>
      <c r="G625" s="26">
        <f>Ft!D$3*EXP(Ft!D$38*($A625-Ft!D$2)^2)</f>
        <v>8.5520161993951351</v>
      </c>
      <c r="H625" s="26">
        <f>Ft!E$3*EXP(Ft!E$38*($A625-Ft!E$2)^2)</f>
        <v>8.4537117173349188</v>
      </c>
      <c r="I625" s="26">
        <f>Ft!F$3*EXP(Ft!F$38*($A625-Ft!F$2)^2)</f>
        <v>2.3642410701311157E-31</v>
      </c>
      <c r="J625" s="26">
        <f>Ft!G$3*EXP(Ft!G$38*($A625-Ft!G$2)^2)</f>
        <v>0</v>
      </c>
    </row>
    <row r="626" spans="1:10">
      <c r="A626" s="19">
        <v>624</v>
      </c>
      <c r="B626" s="28">
        <v>3.4020476343703194</v>
      </c>
      <c r="C626" s="27">
        <f ca="1">OFFSET($B626,1*(ROWS(C$2:C626)-1),0)</f>
        <v>0</v>
      </c>
      <c r="D626" s="26">
        <f>Ft!B$3*EXP(Ft!B$38*($A626-Ft!B$2)^2) +Ft!C$3*EXP(Ft!C$38*($A626-Ft!C$2)^2) + Ft!D$3*EXP(Ft!D$38*($A626-Ft!D$2)^2)+Ft!E$3*EXP(Ft!E$38*($A626-Ft!E$2)^2) +Ft!F$3*EXP(Ft!F$38*($A626-Ft!F$2)^2) + Ft!G$3*EXP(Ft!G$38*($A626-Ft!G$2)^2)</f>
        <v>16.996409844562272</v>
      </c>
      <c r="E626" s="26">
        <f>Ft!B$3*EXP(Ft!B$38*($A626-Ft!B$2)^2)</f>
        <v>1.0113655240540513E-182</v>
      </c>
      <c r="F626" s="26">
        <f>Ft!C$3*EXP(Ft!C$38*($A626-Ft!C$2)^2)</f>
        <v>1.200720050408621E-7</v>
      </c>
      <c r="G626" s="26">
        <f>Ft!D$3*EXP(Ft!D$38*($A626-Ft!D$2)^2)</f>
        <v>8.4848170356995016</v>
      </c>
      <c r="H626" s="26">
        <f>Ft!E$3*EXP(Ft!E$38*($A626-Ft!E$2)^2)</f>
        <v>8.5115926887907651</v>
      </c>
      <c r="I626" s="26">
        <f>Ft!F$3*EXP(Ft!F$38*($A626-Ft!F$2)^2)</f>
        <v>3.3693738839696752E-31</v>
      </c>
      <c r="J626" s="26">
        <f>Ft!G$3*EXP(Ft!G$38*($A626-Ft!G$2)^2)</f>
        <v>0</v>
      </c>
    </row>
    <row r="627" spans="1:10">
      <c r="A627" s="19">
        <v>625</v>
      </c>
      <c r="B627" s="28">
        <v>3.2390138165130224</v>
      </c>
      <c r="C627" s="27">
        <f ca="1">OFFSET($B627,1*(ROWS(C$2:C627)-1),0)</f>
        <v>0</v>
      </c>
      <c r="D627" s="26">
        <f>Ft!B$3*EXP(Ft!B$38*($A627-Ft!B$2)^2) +Ft!C$3*EXP(Ft!C$38*($A627-Ft!C$2)^2) + Ft!D$3*EXP(Ft!D$38*($A627-Ft!D$2)^2)+Ft!E$3*EXP(Ft!E$38*($A627-Ft!E$2)^2) +Ft!F$3*EXP(Ft!F$38*($A627-Ft!F$2)^2) + Ft!G$3*EXP(Ft!G$38*($A627-Ft!G$2)^2)</f>
        <v>16.987354228368904</v>
      </c>
      <c r="E627" s="26">
        <f>Ft!B$3*EXP(Ft!B$38*($A627-Ft!B$2)^2)</f>
        <v>2.3625304402490372E-183</v>
      </c>
      <c r="F627" s="26">
        <f>Ft!C$3*EXP(Ft!C$38*($A627-Ft!C$2)^2)</f>
        <v>1.1136465905966988E-7</v>
      </c>
      <c r="G627" s="26">
        <f>Ft!D$3*EXP(Ft!D$38*($A627-Ft!D$2)^2)</f>
        <v>8.4177878553754049</v>
      </c>
      <c r="H627" s="26">
        <f>Ft!E$3*EXP(Ft!E$38*($A627-Ft!E$2)^2)</f>
        <v>8.5695662616288395</v>
      </c>
      <c r="I627" s="26">
        <f>Ft!F$3*EXP(Ft!F$38*($A627-Ft!F$2)^2)</f>
        <v>4.7976597963442141E-31</v>
      </c>
      <c r="J627" s="26">
        <f>Ft!G$3*EXP(Ft!G$38*($A627-Ft!G$2)^2)</f>
        <v>0</v>
      </c>
    </row>
    <row r="628" spans="1:10">
      <c r="A628" s="19">
        <v>626</v>
      </c>
      <c r="B628" s="28">
        <v>3.101959773675361</v>
      </c>
      <c r="C628" s="27">
        <f ca="1">OFFSET($B628,1*(ROWS(C$2:C628)-1),0)</f>
        <v>0</v>
      </c>
      <c r="D628" s="26">
        <f>Ft!B$3*EXP(Ft!B$38*($A628-Ft!B$2)^2) +Ft!C$3*EXP(Ft!C$38*($A628-Ft!C$2)^2) + Ft!D$3*EXP(Ft!D$38*($A628-Ft!D$2)^2)+Ft!E$3*EXP(Ft!E$38*($A628-Ft!E$2)^2) +Ft!F$3*EXP(Ft!F$38*($A628-Ft!F$2)^2) + Ft!G$3*EXP(Ft!G$38*($A628-Ft!G$2)^2)</f>
        <v>16.978562041846402</v>
      </c>
      <c r="E628" s="26">
        <f>Ft!B$3*EXP(Ft!B$38*($A628-Ft!B$2)^2)</f>
        <v>5.5049813875230938E-184</v>
      </c>
      <c r="F628" s="26">
        <f>Ft!C$3*EXP(Ft!C$38*($A628-Ft!C$2)^2)</f>
        <v>1.0327269682423166E-7</v>
      </c>
      <c r="G628" s="26">
        <f>Ft!D$3*EXP(Ft!D$38*($A628-Ft!D$2)^2)</f>
        <v>8.3509329949281739</v>
      </c>
      <c r="H628" s="26">
        <f>Ft!E$3*EXP(Ft!E$38*($A628-Ft!E$2)^2)</f>
        <v>8.6276289436455311</v>
      </c>
      <c r="I628" s="26">
        <f>Ft!F$3*EXP(Ft!F$38*($A628-Ft!F$2)^2)</f>
        <v>6.8254688294514381E-31</v>
      </c>
      <c r="J628" s="26">
        <f>Ft!G$3*EXP(Ft!G$38*($A628-Ft!G$2)^2)</f>
        <v>0</v>
      </c>
    </row>
    <row r="629" spans="1:10">
      <c r="A629" s="19">
        <v>627</v>
      </c>
      <c r="B629" s="28">
        <v>2.9736966570876007</v>
      </c>
      <c r="C629" s="27">
        <f ca="1">OFFSET($B629,1*(ROWS(C$2:C629)-1),0)</f>
        <v>0</v>
      </c>
      <c r="D629" s="26">
        <f>Ft!B$3*EXP(Ft!B$38*($A629-Ft!B$2)^2) +Ft!C$3*EXP(Ft!C$38*($A629-Ft!C$2)^2) + Ft!D$3*EXP(Ft!D$38*($A629-Ft!D$2)^2)+Ft!E$3*EXP(Ft!E$38*($A629-Ft!E$2)^2) +Ft!F$3*EXP(Ft!F$38*($A629-Ft!F$2)^2) + Ft!G$3*EXP(Ft!G$38*($A629-Ft!G$2)^2)</f>
        <v>16.970034039521451</v>
      </c>
      <c r="E629" s="26">
        <f>Ft!B$3*EXP(Ft!B$38*($A629-Ft!B$2)^2)</f>
        <v>1.2795093715985407E-184</v>
      </c>
      <c r="F629" s="26">
        <f>Ft!C$3*EXP(Ft!C$38*($A629-Ft!C$2)^2)</f>
        <v>9.5753827311443155E-8</v>
      </c>
      <c r="G629" s="26">
        <f>Ft!D$3*EXP(Ft!D$38*($A629-Ft!D$2)^2)</f>
        <v>8.2842567343594009</v>
      </c>
      <c r="H629" s="26">
        <f>Ft!E$3*EXP(Ft!E$38*($A629-Ft!E$2)^2)</f>
        <v>8.685777209408224</v>
      </c>
      <c r="I629" s="26">
        <f>Ft!F$3*EXP(Ft!F$38*($A629-Ft!F$2)^2)</f>
        <v>9.7019341371659221E-31</v>
      </c>
      <c r="J629" s="26">
        <f>Ft!G$3*EXP(Ft!G$38*($A629-Ft!G$2)^2)</f>
        <v>0</v>
      </c>
    </row>
    <row r="630" spans="1:10">
      <c r="A630" s="19">
        <v>628</v>
      </c>
      <c r="B630" s="28">
        <v>2.8482086619251277</v>
      </c>
      <c r="C630" s="27">
        <f ca="1">OFFSET($B630,1*(ROWS(C$2:C630)-1),0)</f>
        <v>0</v>
      </c>
      <c r="D630" s="26">
        <f>Ft!B$3*EXP(Ft!B$38*($A630-Ft!B$2)^2) +Ft!C$3*EXP(Ft!C$38*($A630-Ft!C$2)^2) + Ft!D$3*EXP(Ft!D$38*($A630-Ft!D$2)^2)+Ft!E$3*EXP(Ft!E$38*($A630-Ft!E$2)^2) +Ft!F$3*EXP(Ft!F$38*($A630-Ft!F$2)^2) + Ft!G$3*EXP(Ft!G$38*($A630-Ft!G$2)^2)</f>
        <v>16.961770886190617</v>
      </c>
      <c r="E630" s="26">
        <f>Ft!B$3*EXP(Ft!B$38*($A630-Ft!B$2)^2)</f>
        <v>2.9664720554293562E-185</v>
      </c>
      <c r="F630" s="26">
        <f>Ft!C$3*EXP(Ft!C$38*($A630-Ft!C$2)^2)</f>
        <v>8.876857801001898E-8</v>
      </c>
      <c r="G630" s="26">
        <f>Ft!D$3*EXP(Ft!D$38*($A630-Ft!D$2)^2)</f>
        <v>8.2177632968904462</v>
      </c>
      <c r="H630" s="26">
        <f>Ft!E$3*EXP(Ft!E$38*($A630-Ft!E$2)^2)</f>
        <v>8.7440075005315929</v>
      </c>
      <c r="I630" s="26">
        <f>Ft!F$3*EXP(Ft!F$38*($A630-Ft!F$2)^2)</f>
        <v>1.3778658990802673E-30</v>
      </c>
      <c r="J630" s="26">
        <f>Ft!G$3*EXP(Ft!G$38*($A630-Ft!G$2)^2)</f>
        <v>0</v>
      </c>
    </row>
    <row r="631" spans="1:10">
      <c r="A631" s="19">
        <v>629</v>
      </c>
      <c r="B631" s="28">
        <v>2.7183566970514903</v>
      </c>
      <c r="C631" s="27">
        <f ca="1">OFFSET($B631,1*(ROWS(C$2:C631)-1),0)</f>
        <v>0</v>
      </c>
      <c r="D631" s="26">
        <f>Ft!B$3*EXP(Ft!B$38*($A631-Ft!B$2)^2) +Ft!C$3*EXP(Ft!C$38*($A631-Ft!C$2)^2) + Ft!D$3*EXP(Ft!D$38*($A631-Ft!D$2)^2)+Ft!E$3*EXP(Ft!E$38*($A631-Ft!E$2)^2) +Ft!F$3*EXP(Ft!F$38*($A631-Ft!F$2)^2) + Ft!G$3*EXP(Ft!G$38*($A631-Ft!G$2)^2)</f>
        <v>16.953773156941867</v>
      </c>
      <c r="E631" s="26">
        <f>Ft!B$3*EXP(Ft!B$38*($A631-Ft!B$2)^2)</f>
        <v>6.8603492601235071E-186</v>
      </c>
      <c r="F631" s="26">
        <f>Ft!C$3*EXP(Ft!C$38*($A631-Ft!C$2)^2)</f>
        <v>8.2280113359837641E-8</v>
      </c>
      <c r="G631" s="26">
        <f>Ft!D$3*EXP(Ft!D$38*($A631-Ft!D$2)^2)</f>
        <v>8.1514568487001551</v>
      </c>
      <c r="H631" s="26">
        <f>Ft!E$3*EXP(Ft!E$38*($A631-Ft!E$2)^2)</f>
        <v>8.802316225961599</v>
      </c>
      <c r="I631" s="26">
        <f>Ft!F$3*EXP(Ft!F$38*($A631-Ft!F$2)^2)</f>
        <v>1.95514232388255E-30</v>
      </c>
      <c r="J631" s="26">
        <f>Ft!G$3*EXP(Ft!G$38*($A631-Ft!G$2)^2)</f>
        <v>0</v>
      </c>
    </row>
    <row r="632" spans="1:10">
      <c r="A632" s="19">
        <v>630</v>
      </c>
      <c r="B632" s="28">
        <v>2.5800705780271471</v>
      </c>
      <c r="C632" s="27">
        <f ca="1">OFFSET($B632,1*(ROWS(C$2:C632)-1),0)</f>
        <v>0</v>
      </c>
      <c r="D632" s="26">
        <f>Ft!B$3*EXP(Ft!B$38*($A632-Ft!B$2)^2) +Ft!C$3*EXP(Ft!C$38*($A632-Ft!C$2)^2) + Ft!D$3*EXP(Ft!D$38*($A632-Ft!D$2)^2)+Ft!E$3*EXP(Ft!E$38*($A632-Ft!E$2)^2) +Ft!F$3*EXP(Ft!F$38*($A632-Ft!F$2)^2) + Ft!G$3*EXP(Ft!G$38*($A632-Ft!G$2)^2)</f>
        <v>16.946041337198043</v>
      </c>
      <c r="E632" s="26">
        <f>Ft!B$3*EXP(Ft!B$38*($A632-Ft!B$2)^2)</f>
        <v>1.5825643016002548E-186</v>
      </c>
      <c r="F632" s="26">
        <f>Ft!C$3*EXP(Ft!C$38*($A632-Ft!C$2)^2)</f>
        <v>7.6254064448821712E-8</v>
      </c>
      <c r="G632" s="26">
        <f>Ft!D$3*EXP(Ft!D$38*($A632-Ft!D$2)^2)</f>
        <v>8.0853414986767529</v>
      </c>
      <c r="H632" s="26">
        <f>Ft!E$3*EXP(Ft!E$38*($A632-Ft!E$2)^2)</f>
        <v>8.8606997622672257</v>
      </c>
      <c r="I632" s="26">
        <f>Ft!F$3*EXP(Ft!F$38*($A632-Ft!F$2)^2)</f>
        <v>2.7718683396671838E-30</v>
      </c>
      <c r="J632" s="26">
        <f>Ft!G$3*EXP(Ft!G$38*($A632-Ft!G$2)^2)</f>
        <v>0</v>
      </c>
    </row>
    <row r="633" spans="1:10">
      <c r="A633" s="19">
        <v>631</v>
      </c>
      <c r="B633" s="28">
        <v>2.4473867449485454</v>
      </c>
      <c r="C633" s="27">
        <f ca="1">OFFSET($B633,1*(ROWS(C$2:C633)-1),0)</f>
        <v>0</v>
      </c>
      <c r="D633" s="26">
        <f>Ft!B$3*EXP(Ft!B$38*($A633-Ft!B$2)^2) +Ft!C$3*EXP(Ft!C$38*($A633-Ft!C$2)^2) + Ft!D$3*EXP(Ft!D$38*($A633-Ft!D$2)^2)+Ft!E$3*EXP(Ft!E$38*($A633-Ft!E$2)^2) +Ft!F$3*EXP(Ft!F$38*($A633-Ft!F$2)^2) + Ft!G$3*EXP(Ft!G$38*($A633-Ft!G$2)^2)</f>
        <v>16.938575822782166</v>
      </c>
      <c r="E633" s="26">
        <f>Ft!B$3*EXP(Ft!B$38*($A633-Ft!B$2)^2)</f>
        <v>3.6415449740730282E-187</v>
      </c>
      <c r="F633" s="26">
        <f>Ft!C$3*EXP(Ft!C$38*($A633-Ft!C$2)^2)</f>
        <v>7.0658369299109196E-8</v>
      </c>
      <c r="G633" s="26">
        <f>Ft!D$3*EXP(Ft!D$38*($A633-Ft!D$2)^2)</f>
        <v>8.0194212981838895</v>
      </c>
      <c r="H633" s="26">
        <f>Ft!E$3*EXP(Ft!E$38*($A633-Ft!E$2)^2)</f>
        <v>8.9191544539399068</v>
      </c>
      <c r="I633" s="26">
        <f>Ft!F$3*EXP(Ft!F$38*($A633-Ft!F$2)^2)</f>
        <v>3.9263554575368019E-30</v>
      </c>
      <c r="J633" s="26">
        <f>Ft!G$3*EXP(Ft!G$38*($A633-Ft!G$2)^2)</f>
        <v>0</v>
      </c>
    </row>
    <row r="634" spans="1:10">
      <c r="A634" s="19">
        <v>632</v>
      </c>
      <c r="B634" s="28">
        <v>2.3264812278350746</v>
      </c>
      <c r="C634" s="27">
        <f ca="1">OFFSET($B634,1*(ROWS(C$2:C634)-1),0)</f>
        <v>0</v>
      </c>
      <c r="D634" s="26">
        <f>Ft!B$3*EXP(Ft!B$38*($A634-Ft!B$2)^2) +Ft!C$3*EXP(Ft!C$38*($A634-Ft!C$2)^2) + Ft!D$3*EXP(Ft!D$38*($A634-Ft!D$2)^2)+Ft!E$3*EXP(Ft!E$38*($A634-Ft!E$2)^2) +Ft!F$3*EXP(Ft!F$38*($A634-Ft!F$2)^2) + Ft!G$3*EXP(Ft!G$38*($A634-Ft!G$2)^2)</f>
        <v>16.931376920004531</v>
      </c>
      <c r="E634" s="26">
        <f>Ft!B$3*EXP(Ft!B$38*($A634-Ft!B$2)^2)</f>
        <v>8.3583232907677448E-188</v>
      </c>
      <c r="F634" s="26">
        <f>Ft!C$3*EXP(Ft!C$38*($A634-Ft!C$2)^2)</f>
        <v>6.5463123111967358E-8</v>
      </c>
      <c r="G634" s="26">
        <f>Ft!D$3*EXP(Ft!D$38*($A634-Ft!D$2)^2)</f>
        <v>7.9537002408407469</v>
      </c>
      <c r="H634" s="26">
        <f>Ft!E$3*EXP(Ft!E$38*($A634-Ft!E$2)^2)</f>
        <v>8.9776766137006607</v>
      </c>
      <c r="I634" s="26">
        <f>Ft!F$3*EXP(Ft!F$38*($A634-Ft!F$2)^2)</f>
        <v>5.556859624857407E-30</v>
      </c>
      <c r="J634" s="26">
        <f>Ft!G$3*EXP(Ft!G$38*($A634-Ft!G$2)^2)</f>
        <v>0</v>
      </c>
    </row>
    <row r="635" spans="1:10">
      <c r="A635" s="19">
        <v>633</v>
      </c>
      <c r="B635" s="28">
        <v>2.1945864624536</v>
      </c>
      <c r="C635" s="27">
        <f ca="1">OFFSET($B635,1*(ROWS(C$2:C635)-1),0)</f>
        <v>0</v>
      </c>
      <c r="D635" s="26">
        <f>Ft!B$3*EXP(Ft!B$38*($A635-Ft!B$2)^2) +Ft!C$3*EXP(Ft!C$38*($A635-Ft!C$2)^2) + Ft!D$3*EXP(Ft!D$38*($A635-Ft!D$2)^2)+Ft!E$3*EXP(Ft!E$38*($A635-Ft!E$2)^2) +Ft!F$3*EXP(Ft!F$38*($A635-Ft!F$2)^2) + Ft!G$3*EXP(Ft!G$38*($A635-Ft!G$2)^2)</f>
        <v>16.924444845771493</v>
      </c>
      <c r="E635" s="26">
        <f>Ft!B$3*EXP(Ft!B$38*($A635-Ft!B$2)^2)</f>
        <v>1.9136469896346491E-188</v>
      </c>
      <c r="F635" s="26">
        <f>Ft!C$3*EXP(Ft!C$38*($A635-Ft!C$2)^2)</f>
        <v>6.0640437876604723E-8</v>
      </c>
      <c r="G635" s="26">
        <f>Ft!D$3*EXP(Ft!D$38*($A635-Ft!D$2)^2)</f>
        <v>7.8881822623161657</v>
      </c>
      <c r="H635" s="26">
        <f>Ft!E$3*EXP(Ft!E$38*($A635-Ft!E$2)^2)</f>
        <v>9.036262522814889</v>
      </c>
      <c r="I635" s="26">
        <f>Ft!F$3*EXP(Ft!F$38*($A635-Ft!F$2)^2)</f>
        <v>7.8576382909027641E-30</v>
      </c>
      <c r="J635" s="26">
        <f>Ft!G$3*EXP(Ft!G$38*($A635-Ft!G$2)^2)</f>
        <v>0</v>
      </c>
    </row>
    <row r="636" spans="1:10">
      <c r="A636" s="19">
        <v>634</v>
      </c>
      <c r="B636" s="28">
        <v>2.0727790975968219</v>
      </c>
      <c r="C636" s="27">
        <f ca="1">OFFSET($B636,1*(ROWS(C$2:C636)-1),0)</f>
        <v>0</v>
      </c>
      <c r="D636" s="26">
        <f>Ft!B$3*EXP(Ft!B$38*($A636-Ft!B$2)^2) +Ft!C$3*EXP(Ft!C$38*($A636-Ft!C$2)^2) + Ft!D$3*EXP(Ft!D$38*($A636-Ft!D$2)^2)+Ft!E$3*EXP(Ft!E$38*($A636-Ft!E$2)^2) +Ft!F$3*EXP(Ft!F$38*($A636-Ft!F$2)^2) + Ft!G$3*EXP(Ft!G$38*($A636-Ft!G$2)^2)</f>
        <v>16.917779727715885</v>
      </c>
      <c r="E636" s="26">
        <f>Ft!B$3*EXP(Ft!B$38*($A636-Ft!B$2)^2)</f>
        <v>4.3703242710835978E-189</v>
      </c>
      <c r="F636" s="26">
        <f>Ft!C$3*EXP(Ft!C$38*($A636-Ft!C$2)^2)</f>
        <v>5.6164310781823367E-8</v>
      </c>
      <c r="G636" s="26">
        <f>Ft!D$3*EXP(Ft!D$38*($A636-Ft!D$2)^2)</f>
        <v>7.8228712401367293</v>
      </c>
      <c r="H636" s="26">
        <f>Ft!E$3*EXP(Ft!E$38*($A636-Ft!E$2)^2)</f>
        <v>9.0949084314148454</v>
      </c>
      <c r="I636" s="26">
        <f>Ft!F$3*EXP(Ft!F$38*($A636-Ft!F$2)^2)</f>
        <v>1.1101391937606284E-29</v>
      </c>
      <c r="J636" s="26">
        <f>Ft!G$3*EXP(Ft!G$38*($A636-Ft!G$2)^2)</f>
        <v>0</v>
      </c>
    </row>
    <row r="637" spans="1:10">
      <c r="A637" s="19">
        <v>635</v>
      </c>
      <c r="B637" s="28">
        <v>1.9758015536086759</v>
      </c>
      <c r="C637" s="27">
        <f ca="1">OFFSET($B637,1*(ROWS(C$2:C637)-1),0)</f>
        <v>0</v>
      </c>
      <c r="D637" s="26">
        <f>Ft!B$3*EXP(Ft!B$38*($A637-Ft!B$2)^2) +Ft!C$3*EXP(Ft!C$38*($A637-Ft!C$2)^2) + Ft!D$3*EXP(Ft!D$38*($A637-Ft!D$2)^2)+Ft!E$3*EXP(Ft!E$38*($A637-Ft!E$2)^2) +Ft!F$3*EXP(Ft!F$38*($A637-Ft!F$2)^2) + Ft!G$3*EXP(Ft!G$38*($A637-Ft!G$2)^2)</f>
        <v>16.911381604349007</v>
      </c>
      <c r="E637" s="26">
        <f>Ft!B$3*EXP(Ft!B$38*($A637-Ft!B$2)^2)</f>
        <v>9.9557658046746661E-190</v>
      </c>
      <c r="F637" s="26">
        <f>Ft!C$3*EXP(Ft!C$38*($A637-Ft!C$2)^2)</f>
        <v>5.2010500901454564E-8</v>
      </c>
      <c r="G637" s="26">
        <f>Ft!D$3*EXP(Ft!D$38*($A637-Ft!D$2)^2)</f>
        <v>7.75777099350874</v>
      </c>
      <c r="H637" s="26">
        <f>Ft!E$3*EXP(Ft!E$38*($A637-Ft!E$2)^2)</f>
        <v>9.1536105588297669</v>
      </c>
      <c r="I637" s="26">
        <f>Ft!F$3*EXP(Ft!F$38*($A637-Ft!F$2)^2)</f>
        <v>1.5670600316506223E-29</v>
      </c>
      <c r="J637" s="26">
        <f>Ft!G$3*EXP(Ft!G$38*($A637-Ft!G$2)^2)</f>
        <v>0</v>
      </c>
    </row>
    <row r="638" spans="1:10">
      <c r="A638" s="19">
        <v>636</v>
      </c>
      <c r="B638" s="28">
        <v>1.8788834231988858</v>
      </c>
      <c r="C638" s="27">
        <f ca="1">OFFSET($B638,1*(ROWS(C$2:C638)-1),0)</f>
        <v>0</v>
      </c>
      <c r="D638" s="26">
        <f>Ft!B$3*EXP(Ft!B$38*($A638-Ft!B$2)^2) +Ft!C$3*EXP(Ft!C$38*($A638-Ft!C$2)^2) + Ft!D$3*EXP(Ft!D$38*($A638-Ft!D$2)^2)+Ft!E$3*EXP(Ft!E$38*($A638-Ft!E$2)^2) +Ft!F$3*EXP(Ft!F$38*($A638-Ft!F$2)^2) + Ft!G$3*EXP(Ft!G$38*($A638-Ft!G$2)^2)</f>
        <v>16.905250425234012</v>
      </c>
      <c r="E638" s="26">
        <f>Ft!B$3*EXP(Ft!B$38*($A638-Ft!B$2)^2)</f>
        <v>2.2622721851857124E-190</v>
      </c>
      <c r="F638" s="26">
        <f>Ft!C$3*EXP(Ft!C$38*($A638-Ft!C$2)^2)</f>
        <v>4.815641365478055E-8</v>
      </c>
      <c r="G638" s="26">
        <f>Ft!D$3*EXP(Ft!D$38*($A638-Ft!D$2)^2)</f>
        <v>7.6928852831540153</v>
      </c>
      <c r="H638" s="26">
        <f>Ft!E$3*EXP(Ft!E$38*($A638-Ft!E$2)^2)</f>
        <v>9.2123650939235837</v>
      </c>
      <c r="I638" s="26">
        <f>Ft!F$3*EXP(Ft!F$38*($A638-Ft!F$2)^2)</f>
        <v>2.2101239332535286E-29</v>
      </c>
      <c r="J638" s="26">
        <f>Ft!G$3*EXP(Ft!G$38*($A638-Ft!G$2)^2)</f>
        <v>0</v>
      </c>
    </row>
    <row r="639" spans="1:10">
      <c r="A639" s="19">
        <v>637</v>
      </c>
      <c r="B639" s="28">
        <v>1.7777287492533844</v>
      </c>
      <c r="C639" s="27">
        <f ca="1">OFFSET($B639,1*(ROWS(C$2:C639)-1),0)</f>
        <v>0</v>
      </c>
      <c r="D639" s="26">
        <f>Ft!B$3*EXP(Ft!B$38*($A639-Ft!B$2)^2) +Ft!C$3*EXP(Ft!C$38*($A639-Ft!C$2)^2) + Ft!D$3*EXP(Ft!D$38*($A639-Ft!D$2)^2)+Ft!E$3*EXP(Ft!E$38*($A639-Ft!E$2)^2) +Ft!F$3*EXP(Ft!F$38*($A639-Ft!F$2)^2) + Ft!G$3*EXP(Ft!G$38*($A639-Ft!G$2)^2)</f>
        <v>16.899386051180713</v>
      </c>
      <c r="E639" s="26">
        <f>Ft!B$3*EXP(Ft!B$38*($A639-Ft!B$2)^2)</f>
        <v>5.1277189559901081E-191</v>
      </c>
      <c r="F639" s="26">
        <f>Ft!C$3*EXP(Ft!C$38*($A639-Ft!C$2)^2)</f>
        <v>4.458099257178773E-8</v>
      </c>
      <c r="G639" s="26">
        <f>Ft!D$3*EXP(Ft!D$38*($A639-Ft!D$2)^2)</f>
        <v>7.6282178111594305</v>
      </c>
      <c r="H639" s="26">
        <f>Ft!E$3*EXP(Ft!E$38*($A639-Ft!E$2)^2)</f>
        <v>9.2711681954402909</v>
      </c>
      <c r="I639" s="26">
        <f>Ft!F$3*EXP(Ft!F$38*($A639-Ft!F$2)^2)</f>
        <v>3.1143715011862983E-29</v>
      </c>
      <c r="J639" s="26">
        <f>Ft!G$3*EXP(Ft!G$38*($A639-Ft!G$2)^2)</f>
        <v>0</v>
      </c>
    </row>
    <row r="640" spans="1:10">
      <c r="A640" s="19">
        <v>638</v>
      </c>
      <c r="B640" s="28">
        <v>1.6822352364906692</v>
      </c>
      <c r="C640" s="27">
        <f ca="1">OFFSET($B640,1*(ROWS(C$2:C640)-1),0)</f>
        <v>0</v>
      </c>
      <c r="D640" s="26">
        <f>Ft!B$3*EXP(Ft!B$38*($A640-Ft!B$2)^2) +Ft!C$3*EXP(Ft!C$38*($A640-Ft!C$2)^2) + Ft!D$3*EXP(Ft!D$38*($A640-Ft!D$2)^2)+Ft!E$3*EXP(Ft!E$38*($A640-Ft!E$2)^2) +Ft!F$3*EXP(Ft!F$38*($A640-Ft!F$2)^2) + Ft!G$3*EXP(Ft!G$38*($A640-Ft!G$2)^2)</f>
        <v>16.893788254461594</v>
      </c>
      <c r="E640" s="26">
        <f>Ft!B$3*EXP(Ft!B$38*($A640-Ft!B$2)^2)</f>
        <v>1.1593451415454694E-191</v>
      </c>
      <c r="F640" s="26">
        <f>Ft!C$3*EXP(Ft!C$38*($A640-Ft!C$2)^2)</f>
        <v>4.1264617920180939E-8</v>
      </c>
      <c r="G640" s="26">
        <f>Ft!D$3*EXP(Ft!D$38*($A640-Ft!D$2)^2)</f>
        <v>7.563772220840141</v>
      </c>
      <c r="H640" s="26">
        <f>Ft!E$3*EXP(Ft!E$38*($A640-Ft!E$2)^2)</f>
        <v>9.3300159923568344</v>
      </c>
      <c r="I640" s="26">
        <f>Ft!F$3*EXP(Ft!F$38*($A640-Ft!F$2)^2)</f>
        <v>4.384771852282264E-29</v>
      </c>
      <c r="J640" s="26">
        <f>Ft!G$3*EXP(Ft!G$38*($A640-Ft!G$2)^2)</f>
        <v>0</v>
      </c>
    </row>
    <row r="641" spans="1:10">
      <c r="A641" s="19">
        <v>639</v>
      </c>
      <c r="B641" s="28">
        <v>1.5869665795214871</v>
      </c>
      <c r="C641" s="27">
        <f ca="1">OFFSET($B641,1*(ROWS(C$2:C641)-1),0)</f>
        <v>0</v>
      </c>
      <c r="D641" s="26">
        <f>Ft!B$3*EXP(Ft!B$38*($A641-Ft!B$2)^2) +Ft!C$3*EXP(Ft!C$38*($A641-Ft!C$2)^2) + Ft!D$3*EXP(Ft!D$38*($A641-Ft!D$2)^2)+Ft!E$3*EXP(Ft!E$38*($A641-Ft!E$2)^2) +Ft!F$3*EXP(Ft!F$38*($A641-Ft!F$2)^2) + Ft!G$3*EXP(Ft!G$38*($A641-Ft!G$2)^2)</f>
        <v>16.888456719049007</v>
      </c>
      <c r="E641" s="26">
        <f>Ft!B$3*EXP(Ft!B$38*($A641-Ft!B$2)^2)</f>
        <v>2.6146312822654765E-192</v>
      </c>
      <c r="F641" s="26">
        <f>Ft!C$3*EXP(Ft!C$38*($A641-Ft!C$2)^2)</f>
        <v>3.8189011776702014E-8</v>
      </c>
      <c r="G641" s="26">
        <f>Ft!D$3*EXP(Ft!D$38*($A641-Ft!D$2)^2)</f>
        <v>7.4995520966163856</v>
      </c>
      <c r="H641" s="26">
        <f>Ft!E$3*EXP(Ft!E$38*($A641-Ft!E$2)^2)</f>
        <v>9.3889045842436083</v>
      </c>
      <c r="I641" s="26">
        <f>Ft!F$3*EXP(Ft!F$38*($A641-Ft!F$2)^2)</f>
        <v>6.1680286336910799E-29</v>
      </c>
      <c r="J641" s="26">
        <f>Ft!G$3*EXP(Ft!G$38*($A641-Ft!G$2)^2)</f>
        <v>0</v>
      </c>
    </row>
    <row r="642" spans="1:10">
      <c r="A642" s="19">
        <v>640</v>
      </c>
      <c r="B642" s="28">
        <v>1.507841347211837</v>
      </c>
      <c r="C642" s="27">
        <f ca="1">OFFSET($B642,1*(ROWS(C$2:C642)-1),0)</f>
        <v>0</v>
      </c>
      <c r="D642" s="26">
        <f>Ft!B$3*EXP(Ft!B$38*($A642-Ft!B$2)^2) +Ft!C$3*EXP(Ft!C$38*($A642-Ft!C$2)^2) + Ft!D$3*EXP(Ft!D$38*($A642-Ft!D$2)^2)+Ft!E$3*EXP(Ft!E$38*($A642-Ft!E$2)^2) +Ft!F$3*EXP(Ft!F$38*($A642-Ft!F$2)^2) + Ft!G$3*EXP(Ft!G$38*($A642-Ft!G$2)^2)</f>
        <v>16.88339104087337</v>
      </c>
      <c r="E642" s="26">
        <f>Ft!B$3*EXP(Ft!B$38*($A642-Ft!B$2)^2)</f>
        <v>5.8818958961580532E-193</v>
      </c>
      <c r="F642" s="26">
        <f>Ft!C$3*EXP(Ft!C$38*($A642-Ft!C$2)^2)</f>
        <v>3.5337149149510055E-8</v>
      </c>
      <c r="G642" s="26">
        <f>Ft!D$3*EXP(Ft!D$38*($A642-Ft!D$2)^2)</f>
        <v>7.4355609639038152</v>
      </c>
      <c r="H642" s="26">
        <f>Ft!E$3*EXP(Ft!E$38*($A642-Ft!E$2)^2)</f>
        <v>9.4478300416324057</v>
      </c>
      <c r="I642" s="26">
        <f>Ft!F$3*EXP(Ft!F$38*($A642-Ft!F$2)^2)</f>
        <v>8.6689910911855858E-29</v>
      </c>
      <c r="J642" s="26">
        <f>Ft!G$3*EXP(Ft!G$38*($A642-Ft!G$2)^2)</f>
        <v>0</v>
      </c>
    </row>
    <row r="643" spans="1:10">
      <c r="A643" s="19">
        <v>641</v>
      </c>
      <c r="B643" s="28">
        <v>1.4133689314930962</v>
      </c>
      <c r="C643" s="27">
        <f ca="1">OFFSET($B643,1*(ROWS(C$2:C643)-1),0)</f>
        <v>0</v>
      </c>
      <c r="D643" s="26">
        <f>Ft!B$3*EXP(Ft!B$38*($A643-Ft!B$2)^2) +Ft!C$3*EXP(Ft!C$38*($A643-Ft!C$2)^2) + Ft!D$3*EXP(Ft!D$38*($A643-Ft!D$2)^2)+Ft!E$3*EXP(Ft!E$38*($A643-Ft!E$2)^2) +Ft!F$3*EXP(Ft!F$38*($A643-Ft!F$2)^2) + Ft!G$3*EXP(Ft!G$38*($A643-Ft!G$2)^2)</f>
        <v>16.878590728102335</v>
      </c>
      <c r="E643" s="26">
        <f>Ft!B$3*EXP(Ft!B$38*($A643-Ft!B$2)^2)</f>
        <v>1.3198767800005077E-193</v>
      </c>
      <c r="F643" s="26">
        <f>Ft!C$3*EXP(Ft!C$38*($A643-Ft!C$2)^2)</f>
        <v>3.2693174781270563E-8</v>
      </c>
      <c r="G643" s="26">
        <f>Ft!D$3*EXP(Ft!D$38*($A643-Ft!D$2)^2)</f>
        <v>7.3718022890172223</v>
      </c>
      <c r="H643" s="26">
        <f>Ft!E$3*EXP(Ft!E$38*($A643-Ft!E$2)^2)</f>
        <v>9.5067884063919372</v>
      </c>
      <c r="I643" s="26">
        <f>Ft!F$3*EXP(Ft!F$38*($A643-Ft!F$2)^2)</f>
        <v>1.2173445831401756E-28</v>
      </c>
      <c r="J643" s="26">
        <f>Ft!G$3*EXP(Ft!G$38*($A643-Ft!G$2)^2)</f>
        <v>0</v>
      </c>
    </row>
    <row r="644" spans="1:10">
      <c r="A644" s="19">
        <v>642</v>
      </c>
      <c r="B644" s="28">
        <v>1.3393127867776968</v>
      </c>
      <c r="C644" s="27">
        <f ca="1">OFFSET($B644,1*(ROWS(C$2:C644)-1),0)</f>
        <v>0</v>
      </c>
      <c r="D644" s="26">
        <f>Ft!B$3*EXP(Ft!B$38*($A644-Ft!B$2)^2) +Ft!C$3*EXP(Ft!C$38*($A644-Ft!C$2)^2) + Ft!D$3*EXP(Ft!D$38*($A644-Ft!D$2)^2)+Ft!E$3*EXP(Ft!E$38*($A644-Ft!E$2)^2) +Ft!F$3*EXP(Ft!F$38*($A644-Ft!F$2)^2) + Ft!G$3*EXP(Ft!G$38*($A644-Ft!G$2)^2)</f>
        <v>16.874055201440697</v>
      </c>
      <c r="E644" s="26">
        <f>Ft!B$3*EXP(Ft!B$38*($A644-Ft!B$2)^2)</f>
        <v>2.9543273683005474E-194</v>
      </c>
      <c r="F644" s="26">
        <f>Ft!C$3*EXP(Ft!C$38*($A644-Ft!C$2)^2)</f>
        <v>3.0242325284226764E-8</v>
      </c>
      <c r="G644" s="26">
        <f>Ft!D$3*EXP(Ft!D$38*($A644-Ft!D$2)^2)</f>
        <v>7.3082794790876342</v>
      </c>
      <c r="H644" s="26">
        <f>Ft!E$3*EXP(Ft!E$38*($A644-Ft!E$2)^2)</f>
        <v>9.5657756921107389</v>
      </c>
      <c r="I644" s="26">
        <f>Ft!F$3*EXP(Ft!F$38*($A644-Ft!F$2)^2)</f>
        <v>1.7079741523930527E-28</v>
      </c>
      <c r="J644" s="26">
        <f>Ft!G$3*EXP(Ft!G$38*($A644-Ft!G$2)^2)</f>
        <v>0</v>
      </c>
    </row>
    <row r="645" spans="1:10">
      <c r="A645" s="19">
        <v>643</v>
      </c>
      <c r="B645" s="28">
        <v>1.2595208532060838</v>
      </c>
      <c r="C645" s="27">
        <f ca="1">OFFSET($B645,1*(ROWS(C$2:C645)-1),0)</f>
        <v>0</v>
      </c>
      <c r="D645" s="26">
        <f>Ft!B$3*EXP(Ft!B$38*($A645-Ft!B$2)^2) +Ft!C$3*EXP(Ft!C$38*($A645-Ft!C$2)^2) + Ft!D$3*EXP(Ft!D$38*($A645-Ft!D$2)^2)+Ft!E$3*EXP(Ft!E$38*($A645-Ft!E$2)^2) +Ft!F$3*EXP(Ft!F$38*($A645-Ft!F$2)^2) + Ft!G$3*EXP(Ft!G$38*($A645-Ft!G$2)^2)</f>
        <v>16.869783794451024</v>
      </c>
      <c r="E645" s="26">
        <f>Ft!B$3*EXP(Ft!B$38*($A645-Ft!B$2)^2)</f>
        <v>6.5961879380193469E-195</v>
      </c>
      <c r="F645" s="26">
        <f>Ft!C$3*EXP(Ft!C$38*($A645-Ft!C$2)^2)</f>
        <v>2.7970856278960014E-8</v>
      </c>
      <c r="G645" s="26">
        <f>Ft!D$3*EXP(Ft!D$38*($A645-Ft!D$2)^2)</f>
        <v>7.244995881992625</v>
      </c>
      <c r="H645" s="26">
        <f>Ft!E$3*EXP(Ft!E$38*($A645-Ft!E$2)^2)</f>
        <v>9.6247878844875441</v>
      </c>
      <c r="I645" s="26">
        <f>Ft!F$3*EXP(Ft!F$38*($A645-Ft!F$2)^2)</f>
        <v>2.3942630095811034E-28</v>
      </c>
      <c r="J645" s="26">
        <f>Ft!G$3*EXP(Ft!G$38*($A645-Ft!G$2)^2)</f>
        <v>0</v>
      </c>
    </row>
    <row r="646" spans="1:10">
      <c r="A646" s="19">
        <v>644</v>
      </c>
      <c r="B646" s="28">
        <v>1.1909848262066873</v>
      </c>
      <c r="C646" s="27">
        <f ca="1">OFFSET($B646,1*(ROWS(C$2:C646)-1),0)</f>
        <v>0</v>
      </c>
      <c r="D646" s="26">
        <f>Ft!B$3*EXP(Ft!B$38*($A646-Ft!B$2)^2) +Ft!C$3*EXP(Ft!C$38*($A646-Ft!C$2)^2) + Ft!D$3*EXP(Ft!D$38*($A646-Ft!D$2)^2)+Ft!E$3*EXP(Ft!E$38*($A646-Ft!E$2)^2) +Ft!F$3*EXP(Ft!F$38*($A646-Ft!F$2)^2) + Ft!G$3*EXP(Ft!G$38*($A646-Ft!G$2)^2)</f>
        <v>16.865775753894781</v>
      </c>
      <c r="E646" s="26">
        <f>Ft!B$3*EXP(Ft!B$38*($A646-Ft!B$2)^2)</f>
        <v>1.4690500711331867E-195</v>
      </c>
      <c r="F646" s="26">
        <f>Ft!C$3*EXP(Ft!C$38*($A646-Ft!C$2)^2)</f>
        <v>2.5865974227849795E-8</v>
      </c>
      <c r="G646" s="26">
        <f>Ft!D$3*EXP(Ft!D$38*($A646-Ft!D$2)^2)</f>
        <v>7.1819547862997792</v>
      </c>
      <c r="H646" s="26">
        <f>Ft!E$3*EXP(Ft!E$38*($A646-Ft!E$2)^2)</f>
        <v>9.683820941729028</v>
      </c>
      <c r="I646" s="26">
        <f>Ft!F$3*EXP(Ft!F$38*($A646-Ft!F$2)^2)</f>
        <v>3.3533988669568682E-28</v>
      </c>
      <c r="J646" s="26">
        <f>Ft!G$3*EXP(Ft!G$38*($A646-Ft!G$2)^2)</f>
        <v>0</v>
      </c>
    </row>
    <row r="647" spans="1:10">
      <c r="A647" s="19">
        <v>645</v>
      </c>
      <c r="B647" s="28">
        <v>1.1037407196766083</v>
      </c>
      <c r="C647" s="27">
        <f ca="1">OFFSET($B647,1*(ROWS(C$2:C647)-1),0)</f>
        <v>0</v>
      </c>
      <c r="D647" s="26">
        <f>Ft!B$3*EXP(Ft!B$38*($A647-Ft!B$2)^2) +Ft!C$3*EXP(Ft!C$38*($A647-Ft!C$2)^2) + Ft!D$3*EXP(Ft!D$38*($A647-Ft!D$2)^2)+Ft!E$3*EXP(Ft!E$38*($A647-Ft!E$2)^2) +Ft!F$3*EXP(Ft!F$38*($A647-Ft!F$2)^2) + Ft!G$3*EXP(Ft!G$38*($A647-Ft!G$2)^2)</f>
        <v>16.862030240093876</v>
      </c>
      <c r="E647" s="26">
        <f>Ft!B$3*EXP(Ft!B$38*($A647-Ft!B$2)^2)</f>
        <v>3.2635430824998398E-196</v>
      </c>
      <c r="F647" s="26">
        <f>Ft!C$3*EXP(Ft!C$38*($A647-Ft!C$2)^2)</f>
        <v>2.391577267246626E-8</v>
      </c>
      <c r="G647" s="26">
        <f>Ft!D$3*EXP(Ft!D$38*($A647-Ft!D$2)^2)</f>
        <v>7.1191594212232072</v>
      </c>
      <c r="H647" s="26">
        <f>Ft!E$3*EXP(Ft!E$38*($A647-Ft!E$2)^2)</f>
        <v>9.7428707949548965</v>
      </c>
      <c r="I647" s="26">
        <f>Ft!F$3*EXP(Ft!F$38*($A647-Ft!F$2)^2)</f>
        <v>4.6926846028101465E-28</v>
      </c>
      <c r="J647" s="26">
        <f>Ft!G$3*EXP(Ft!G$38*($A647-Ft!G$2)^2)</f>
        <v>0</v>
      </c>
    </row>
    <row r="648" spans="1:10">
      <c r="A648" s="19">
        <v>646</v>
      </c>
      <c r="B648" s="28">
        <v>1.0262170257561252</v>
      </c>
      <c r="C648" s="27">
        <f ca="1">OFFSET($B648,1*(ROWS(C$2:C648)-1),0)</f>
        <v>0</v>
      </c>
      <c r="D648" s="26">
        <f>Ft!B$3*EXP(Ft!B$38*($A648-Ft!B$2)^2) +Ft!C$3*EXP(Ft!C$38*($A648-Ft!C$2)^2) + Ft!D$3*EXP(Ft!D$38*($A648-Ft!D$2)^2)+Ft!E$3*EXP(Ft!E$38*($A648-Ft!E$2)^2) +Ft!F$3*EXP(Ft!F$38*($A648-Ft!F$2)^2) + Ft!G$3*EXP(Ft!G$38*($A648-Ft!G$2)^2)</f>
        <v>16.85854632731246</v>
      </c>
      <c r="E648" s="26">
        <f>Ft!B$3*EXP(Ft!B$38*($A648-Ft!B$2)^2)</f>
        <v>7.2318810817581069E-197</v>
      </c>
      <c r="F648" s="26">
        <f>Ft!C$3*EXP(Ft!C$38*($A648-Ft!C$2)^2)</f>
        <v>2.2109172601337632E-8</v>
      </c>
      <c r="G648" s="26">
        <f>Ft!D$3*EXP(Ft!D$38*($A648-Ft!D$2)^2)</f>
        <v>7.0566129565929954</v>
      </c>
      <c r="H648" s="26">
        <f>Ft!E$3*EXP(Ft!E$38*($A648-Ft!E$2)^2)</f>
        <v>9.8019333486102909</v>
      </c>
      <c r="I648" s="26">
        <f>Ft!F$3*EXP(Ft!F$38*($A648-Ft!F$2)^2)</f>
        <v>6.5611552535726604E-28</v>
      </c>
      <c r="J648" s="26">
        <f>Ft!G$3*EXP(Ft!G$38*($A648-Ft!G$2)^2)</f>
        <v>0</v>
      </c>
    </row>
    <row r="649" spans="1:10">
      <c r="A649" s="19">
        <v>647</v>
      </c>
      <c r="B649" s="28">
        <v>0.96992607456090241</v>
      </c>
      <c r="C649" s="27">
        <f ca="1">OFFSET($B649,1*(ROWS(C$2:C649)-1),0)</f>
        <v>0</v>
      </c>
      <c r="D649" s="26">
        <f>Ft!B$3*EXP(Ft!B$38*($A649-Ft!B$2)^2) +Ft!C$3*EXP(Ft!C$38*($A649-Ft!C$2)^2) + Ft!D$3*EXP(Ft!D$38*($A649-Ft!D$2)^2)+Ft!E$3*EXP(Ft!E$38*($A649-Ft!E$2)^2) +Ft!F$3*EXP(Ft!F$38*($A649-Ft!F$2)^2) + Ft!G$3*EXP(Ft!G$38*($A649-Ft!G$2)^2)</f>
        <v>16.855323004158819</v>
      </c>
      <c r="E649" s="26">
        <f>Ft!B$3*EXP(Ft!B$38*($A649-Ft!B$2)^2)</f>
        <v>1.5985358342189934E-197</v>
      </c>
      <c r="F649" s="26">
        <f>Ft!C$3*EXP(Ft!C$38*($A649-Ft!C$2)^2)</f>
        <v>2.0435866690778717E-8</v>
      </c>
      <c r="G649" s="26">
        <f>Ft!D$3*EXP(Ft!D$38*($A649-Ft!D$2)^2)</f>
        <v>6.9943185028375092</v>
      </c>
      <c r="H649" s="26">
        <f>Ft!E$3*EXP(Ft!E$38*($A649-Ft!E$2)^2)</f>
        <v>9.8610044808854447</v>
      </c>
      <c r="I649" s="26">
        <f>Ft!F$3*EXP(Ft!F$38*($A649-Ft!F$2)^2)</f>
        <v>9.1656244406256467E-28</v>
      </c>
      <c r="J649" s="26">
        <f>Ft!G$3*EXP(Ft!G$38*($A649-Ft!G$2)^2)</f>
        <v>0</v>
      </c>
    </row>
    <row r="650" spans="1:10">
      <c r="A650" s="19">
        <v>648</v>
      </c>
      <c r="B650" s="28">
        <v>0.92084087289555328</v>
      </c>
      <c r="C650" s="27">
        <f ca="1">OFFSET($B650,1*(ROWS(C$2:C650)-1),0)</f>
        <v>0</v>
      </c>
      <c r="D650" s="26">
        <f>Ft!B$3*EXP(Ft!B$38*($A650-Ft!B$2)^2) +Ft!C$3*EXP(Ft!C$38*($A650-Ft!C$2)^2) + Ft!D$3*EXP(Ft!D$38*($A650-Ft!D$2)^2)+Ft!E$3*EXP(Ft!E$38*($A650-Ft!E$2)^2) +Ft!F$3*EXP(Ft!F$38*($A650-Ft!F$2)^2) + Ft!G$3*EXP(Ft!G$38*($A650-Ft!G$2)^2)</f>
        <v>16.852359174007244</v>
      </c>
      <c r="E650" s="26">
        <f>Ft!B$3*EXP(Ft!B$38*($A650-Ft!B$2)^2)</f>
        <v>3.5245416783323295E-198</v>
      </c>
      <c r="F650" s="26">
        <f>Ft!C$3*EXP(Ft!C$38*($A650-Ft!C$2)^2)</f>
        <v>1.8886267176791122E-8</v>
      </c>
      <c r="G650" s="26">
        <f>Ft!D$3*EXP(Ft!D$38*($A650-Ft!D$2)^2)</f>
        <v>6.9322791109784152</v>
      </c>
      <c r="H650" s="26">
        <f>Ft!E$3*EXP(Ft!E$38*($A650-Ft!E$2)^2)</f>
        <v>9.9200800441425621</v>
      </c>
      <c r="I650" s="26">
        <f>Ft!F$3*EXP(Ft!F$38*($A650-Ft!F$2)^2)</f>
        <v>1.2792829077272157E-27</v>
      </c>
      <c r="J650" s="26">
        <f>Ft!G$3*EXP(Ft!G$38*($A650-Ft!G$2)^2)</f>
        <v>0</v>
      </c>
    </row>
    <row r="651" spans="1:10">
      <c r="A651" s="19">
        <v>649</v>
      </c>
      <c r="B651" s="28">
        <v>0.86322741717907547</v>
      </c>
      <c r="C651" s="27">
        <f ca="1">OFFSET($B651,1*(ROWS(C$2:C651)-1),0)</f>
        <v>0</v>
      </c>
      <c r="D651" s="26">
        <f>Ft!B$3*EXP(Ft!B$38*($A651-Ft!B$2)^2) +Ft!C$3*EXP(Ft!C$38*($A651-Ft!C$2)^2) + Ft!D$3*EXP(Ft!D$38*($A651-Ft!D$2)^2)+Ft!E$3*EXP(Ft!E$38*($A651-Ft!E$2)^2) +Ft!F$3*EXP(Ft!F$38*($A651-Ft!F$2)^2) + Ft!G$3*EXP(Ft!G$38*($A651-Ft!G$2)^2)</f>
        <v>16.849653655439674</v>
      </c>
      <c r="E651" s="26">
        <f>Ft!B$3*EXP(Ft!B$38*($A651-Ft!B$2)^2)</f>
        <v>7.751613296946964E-199</v>
      </c>
      <c r="F651" s="26">
        <f>Ft!C$3*EXP(Ft!C$38*($A651-Ft!C$2)^2)</f>
        <v>1.7451457130512152E-8</v>
      </c>
      <c r="G651" s="26">
        <f>Ft!D$3*EXP(Ft!D$38*($A651-Ft!D$2)^2)</f>
        <v>6.8704977726383376</v>
      </c>
      <c r="H651" s="26">
        <f>Ft!E$3*EXP(Ft!E$38*($A651-Ft!E$2)^2)</f>
        <v>9.9791558653498793</v>
      </c>
      <c r="I651" s="26">
        <f>Ft!F$3*EXP(Ft!F$38*($A651-Ft!F$2)^2)</f>
        <v>1.7839962292834589E-27</v>
      </c>
      <c r="J651" s="26">
        <f>Ft!G$3*EXP(Ft!G$38*($A651-Ft!G$2)^2)</f>
        <v>0</v>
      </c>
    </row>
    <row r="652" spans="1:10">
      <c r="A652" s="19">
        <v>650</v>
      </c>
      <c r="B652" s="28">
        <v>0.81692990215560712</v>
      </c>
      <c r="C652" s="27">
        <f ca="1">OFFSET($B652,1*(ROWS(C$2:C652)-1),0)</f>
        <v>0</v>
      </c>
      <c r="D652" s="26">
        <f>Ft!B$3*EXP(Ft!B$38*($A652-Ft!B$2)^2) +Ft!C$3*EXP(Ft!C$38*($A652-Ft!C$2)^2) + Ft!D$3*EXP(Ft!D$38*($A652-Ft!D$2)^2)+Ft!E$3*EXP(Ft!E$38*($A652-Ft!E$2)^2) +Ft!F$3*EXP(Ft!F$38*($A652-Ft!F$2)^2) + Ft!G$3*EXP(Ft!G$38*($A652-Ft!G$2)^2)</f>
        <v>16.847205182706965</v>
      </c>
      <c r="E652" s="26">
        <f>Ft!B$3*EXP(Ft!B$38*($A652-Ft!B$2)^2)</f>
        <v>1.7005551530748752E-199</v>
      </c>
      <c r="F652" s="26">
        <f>Ft!C$3*EXP(Ft!C$38*($A652-Ft!C$2)^2)</f>
        <v>1.6123144923327254E-8</v>
      </c>
      <c r="G652" s="26">
        <f>Ft!D$3*EXP(Ft!D$38*($A652-Ft!D$2)^2)</f>
        <v>6.8089774200610043</v>
      </c>
      <c r="H652" s="26">
        <f>Ft!E$3*EXP(Ft!E$38*($A652-Ft!E$2)^2)</f>
        <v>10.038227746522818</v>
      </c>
      <c r="I652" s="26">
        <f>Ft!F$3*EXP(Ft!F$38*($A652-Ft!F$2)^2)</f>
        <v>2.4856733854863662E-27</v>
      </c>
      <c r="J652" s="26">
        <f>Ft!G$3*EXP(Ft!G$38*($A652-Ft!G$2)^2)</f>
        <v>0</v>
      </c>
    </row>
    <row r="653" spans="1:10">
      <c r="A653" s="19">
        <v>651</v>
      </c>
      <c r="B653" s="28">
        <v>0.76086235114340184</v>
      </c>
      <c r="C653" s="27">
        <f ca="1">OFFSET($B653,1*(ROWS(C$2:C653)-1),0)</f>
        <v>0</v>
      </c>
      <c r="D653" s="26">
        <f>Ft!B$3*EXP(Ft!B$38*($A653-Ft!B$2)^2) +Ft!C$3*EXP(Ft!C$38*($A653-Ft!C$2)^2) + Ft!D$3*EXP(Ft!D$38*($A653-Ft!D$2)^2)+Ft!E$3*EXP(Ft!E$38*($A653-Ft!E$2)^2) +Ft!F$3*EXP(Ft!F$38*($A653-Ft!F$2)^2) + Ft!G$3*EXP(Ft!G$38*($A653-Ft!G$2)^2)</f>
        <v>16.845012406209673</v>
      </c>
      <c r="E653" s="26">
        <f>Ft!B$3*EXP(Ft!B$38*($A653-Ft!B$2)^2)</f>
        <v>3.7213328661902071E-200</v>
      </c>
      <c r="F653" s="26">
        <f>Ft!C$3*EXP(Ft!C$38*($A653-Ft!C$2)^2)</f>
        <v>1.4893621680627693E-8</v>
      </c>
      <c r="G653" s="26">
        <f>Ft!D$3*EXP(Ft!D$38*($A653-Ft!D$2)^2)</f>
        <v>6.7477209261438151</v>
      </c>
      <c r="H653" s="26">
        <f>Ft!E$3*EXP(Ft!E$38*($A653-Ft!E$2)^2)</f>
        <v>10.097291465172237</v>
      </c>
      <c r="I653" s="26">
        <f>Ft!F$3*EXP(Ft!F$38*($A653-Ft!F$2)^2)</f>
        <v>3.4603257767815713E-27</v>
      </c>
      <c r="J653" s="26">
        <f>Ft!G$3*EXP(Ft!G$38*($A653-Ft!G$2)^2)</f>
        <v>0</v>
      </c>
    </row>
    <row r="654" spans="1:10">
      <c r="A654" s="19">
        <v>652</v>
      </c>
      <c r="B654" s="28">
        <v>0.71387491394747826</v>
      </c>
      <c r="C654" s="27">
        <f ca="1">OFFSET($B654,1*(ROWS(C$2:C654)-1),0)</f>
        <v>0</v>
      </c>
      <c r="D654" s="26">
        <f>Ft!B$3*EXP(Ft!B$38*($A654-Ft!B$2)^2) +Ft!C$3*EXP(Ft!C$38*($A654-Ft!C$2)^2) + Ft!D$3*EXP(Ft!D$38*($A654-Ft!D$2)^2)+Ft!E$3*EXP(Ft!E$38*($A654-Ft!E$2)^2) +Ft!F$3*EXP(Ft!F$38*($A654-Ft!F$2)^2) + Ft!G$3*EXP(Ft!G$38*($A654-Ft!G$2)^2)</f>
        <v>16.843073892998046</v>
      </c>
      <c r="E654" s="26">
        <f>Ft!B$3*EXP(Ft!B$38*($A654-Ft!B$2)^2)</f>
        <v>8.122981977160065E-201</v>
      </c>
      <c r="F654" s="26">
        <f>Ft!C$3*EXP(Ft!C$38*($A654-Ft!C$2)^2)</f>
        <v>1.3755721535324111E-8</v>
      </c>
      <c r="G654" s="26">
        <f>Ft!D$3*EXP(Ft!D$38*($A654-Ft!D$2)^2)</f>
        <v>6.6867311044826439</v>
      </c>
      <c r="H654" s="26">
        <f>Ft!E$3*EXP(Ft!E$38*($A654-Ft!E$2)^2)</f>
        <v>10.156342774759681</v>
      </c>
      <c r="I654" s="26">
        <f>Ft!F$3*EXP(Ft!F$38*($A654-Ft!F$2)^2)</f>
        <v>4.8129650615414532E-27</v>
      </c>
      <c r="J654" s="26">
        <f>Ft!G$3*EXP(Ft!G$38*($A654-Ft!G$2)^2)</f>
        <v>0</v>
      </c>
    </row>
    <row r="655" spans="1:10">
      <c r="A655" s="19">
        <v>653</v>
      </c>
      <c r="B655" s="28">
        <v>0.6760270864867266</v>
      </c>
      <c r="C655" s="27">
        <f ca="1">OFFSET($B655,1*(ROWS(C$2:C655)-1),0)</f>
        <v>0</v>
      </c>
      <c r="D655" s="26">
        <f>Ft!B$3*EXP(Ft!B$38*($A655-Ft!B$2)^2) +Ft!C$3*EXP(Ft!C$38*($A655-Ft!C$2)^2) + Ft!D$3*EXP(Ft!D$38*($A655-Ft!D$2)^2)+Ft!E$3*EXP(Ft!E$38*($A655-Ft!E$2)^2) +Ft!F$3*EXP(Ft!F$38*($A655-Ft!F$2)^2) + Ft!G$3*EXP(Ft!G$38*($A655-Ft!G$2)^2)</f>
        <v>16.841388127291232</v>
      </c>
      <c r="E655" s="26">
        <f>Ft!B$3*EXP(Ft!B$38*($A655-Ft!B$2)^2)</f>
        <v>1.7686489268389508E-201</v>
      </c>
      <c r="F655" s="26">
        <f>Ft!C$3*EXP(Ft!C$38*($A655-Ft!C$2)^2)</f>
        <v>1.2702784503661772E-8</v>
      </c>
      <c r="G655" s="26">
        <f>Ft!D$3*EXP(Ft!D$38*($A655-Ft!D$2)^2)</f>
        <v>6.6260107094288312</v>
      </c>
      <c r="H655" s="26">
        <f>Ft!E$3*EXP(Ft!E$38*($A655-Ft!E$2)^2)</f>
        <v>10.215377405159614</v>
      </c>
      <c r="I655" s="26">
        <f>Ft!F$3*EXP(Ft!F$38*($A655-Ft!F$2)^2)</f>
        <v>6.6885384132379899E-27</v>
      </c>
      <c r="J655" s="26">
        <f>Ft!G$3*EXP(Ft!G$38*($A655-Ft!G$2)^2)</f>
        <v>0</v>
      </c>
    </row>
    <row r="656" spans="1:10">
      <c r="A656" s="19">
        <v>654</v>
      </c>
      <c r="B656" s="28">
        <v>0.65368201983238805</v>
      </c>
      <c r="C656" s="27">
        <f ca="1">OFFSET($B656,1*(ROWS(C$2:C656)-1),0)</f>
        <v>0</v>
      </c>
      <c r="D656" s="26">
        <f>Ft!B$3*EXP(Ft!B$38*($A656-Ft!B$2)^2) +Ft!C$3*EXP(Ft!C$38*($A656-Ft!C$2)^2) + Ft!D$3*EXP(Ft!D$38*($A656-Ft!D$2)^2)+Ft!E$3*EXP(Ft!E$38*($A656-Ft!E$2)^2) +Ft!F$3*EXP(Ft!F$38*($A656-Ft!F$2)^2) + Ft!G$3*EXP(Ft!G$38*($A656-Ft!G$2)^2)</f>
        <v>16.839953511015317</v>
      </c>
      <c r="E656" s="26">
        <f>Ft!B$3*EXP(Ft!B$38*($A656-Ft!B$2)^2)</f>
        <v>3.8412887501373067E-202</v>
      </c>
      <c r="F656" s="26">
        <f>Ft!C$3*EXP(Ft!C$38*($A656-Ft!C$2)^2)</f>
        <v>1.1728621816657595E-8</v>
      </c>
      <c r="G656" s="26">
        <f>Ft!D$3*EXP(Ft!D$38*($A656-Ft!D$2)^2)</f>
        <v>6.5655624361581797</v>
      </c>
      <c r="H656" s="26">
        <f>Ft!E$3*EXP(Ft!E$38*($A656-Ft!E$2)^2)</f>
        <v>10.274391063128514</v>
      </c>
      <c r="I656" s="26">
        <f>Ft!F$3*EXP(Ft!F$38*($A656-Ft!F$2)^2)</f>
        <v>9.2869378181324328E-27</v>
      </c>
      <c r="J656" s="26">
        <f>Ft!G$3*EXP(Ft!G$38*($A656-Ft!G$2)^2)</f>
        <v>0</v>
      </c>
    </row>
    <row r="657" spans="1:10">
      <c r="A657" s="19">
        <v>655</v>
      </c>
      <c r="B657" s="28">
        <v>0.61723162089671746</v>
      </c>
      <c r="C657" s="27">
        <f ca="1">OFFSET($B657,1*(ROWS(C$2:C657)-1),0)</f>
        <v>0</v>
      </c>
      <c r="D657" s="26">
        <f>Ft!B$3*EXP(Ft!B$38*($A657-Ft!B$2)^2) +Ft!C$3*EXP(Ft!C$38*($A657-Ft!C$2)^2) + Ft!D$3*EXP(Ft!D$38*($A657-Ft!D$2)^2)+Ft!E$3*EXP(Ft!E$38*($A657-Ft!E$2)^2) +Ft!F$3*EXP(Ft!F$38*($A657-Ft!F$2)^2) + Ft!G$3*EXP(Ft!G$38*($A657-Ft!G$2)^2)</f>
        <v>16.838768364360199</v>
      </c>
      <c r="E657" s="26">
        <f>Ft!B$3*EXP(Ft!B$38*($A657-Ft!B$2)^2)</f>
        <v>8.3218799799670389E-203</v>
      </c>
      <c r="F657" s="26">
        <f>Ft!C$3*EXP(Ft!C$38*($A657-Ft!C$2)^2)</f>
        <v>1.082748355063447E-8</v>
      </c>
      <c r="G657" s="26">
        <f>Ft!D$3*EXP(Ft!D$38*($A657-Ft!D$2)^2)</f>
        <v>6.5053889207518578</v>
      </c>
      <c r="H657" s="26">
        <f>Ft!E$3*EXP(Ft!E$38*($A657-Ft!E$2)^2)</f>
        <v>10.333379432780855</v>
      </c>
      <c r="I657" s="26">
        <f>Ft!F$3*EXP(Ft!F$38*($A657-Ft!F$2)^2)</f>
        <v>1.288358257119467E-26</v>
      </c>
      <c r="J657" s="26">
        <f>Ft!G$3*EXP(Ft!G$38*($A657-Ft!G$2)^2)</f>
        <v>0</v>
      </c>
    </row>
    <row r="658" spans="1:10">
      <c r="A658" s="19">
        <v>656</v>
      </c>
      <c r="B658" s="28">
        <v>0.57161239652640461</v>
      </c>
      <c r="C658" s="27">
        <f ca="1">OFFSET($B658,1*(ROWS(C$2:C658)-1),0)</f>
        <v>0</v>
      </c>
      <c r="D658" s="26">
        <f>Ft!B$3*EXP(Ft!B$38*($A658-Ft!B$2)^2) +Ft!C$3*EXP(Ft!C$38*($A658-Ft!C$2)^2) + Ft!D$3*EXP(Ft!D$38*($A658-Ft!D$2)^2)+Ft!E$3*EXP(Ft!E$38*($A658-Ft!E$2)^2) +Ft!F$3*EXP(Ft!F$38*($A658-Ft!F$2)^2) + Ft!G$3*EXP(Ft!G$38*($A658-Ft!G$2)^2)</f>
        <v>16.837830926354968</v>
      </c>
      <c r="E658" s="26">
        <f>Ft!B$3*EXP(Ft!B$38*($A658-Ft!B$2)^2)</f>
        <v>1.7983537126873932E-203</v>
      </c>
      <c r="F658" s="26">
        <f>Ft!C$3*EXP(Ft!C$38*($A658-Ft!C$2)^2)</f>
        <v>9.9940284098920172E-9</v>
      </c>
      <c r="G658" s="26">
        <f>Ft!D$3*EXP(Ft!D$38*($A658-Ft!D$2)^2)</f>
        <v>6.4454927402890885</v>
      </c>
      <c r="H658" s="26">
        <f>Ft!E$3*EXP(Ft!E$38*($A658-Ft!E$2)^2)</f>
        <v>10.392338176071851</v>
      </c>
      <c r="I658" s="26">
        <f>Ft!F$3*EXP(Ft!F$38*($A658-Ft!F$2)^2)</f>
        <v>1.7857618808291161E-26</v>
      </c>
      <c r="J658" s="26">
        <f>Ft!G$3*EXP(Ft!G$38*($A658-Ft!G$2)^2)</f>
        <v>0</v>
      </c>
    </row>
    <row r="659" spans="1:10">
      <c r="A659" s="19">
        <v>657</v>
      </c>
      <c r="B659" s="28">
        <v>0.52125471955611147</v>
      </c>
      <c r="C659" s="27">
        <f ca="1">OFFSET($B659,1*(ROWS(C$2:C659)-1),0)</f>
        <v>0</v>
      </c>
      <c r="D659" s="26">
        <f>Ft!B$3*EXP(Ft!B$38*($A659-Ft!B$2)^2) +Ft!C$3*EXP(Ft!C$38*($A659-Ft!C$2)^2) + Ft!D$3*EXP(Ft!D$38*($A659-Ft!D$2)^2)+Ft!E$3*EXP(Ft!E$38*($A659-Ft!E$2)^2) +Ft!F$3*EXP(Ft!F$38*($A659-Ft!F$2)^2) + Ft!G$3*EXP(Ft!G$38*($A659-Ft!G$2)^2)</f>
        <v>16.837139355461659</v>
      </c>
      <c r="E659" s="26">
        <f>Ft!B$3*EXP(Ft!B$38*($A659-Ft!B$2)^2)</f>
        <v>3.8764836617747583E-204</v>
      </c>
      <c r="F659" s="26">
        <f>Ft!C$3*EXP(Ft!C$38*($A659-Ft!C$2)^2)</f>
        <v>9.2232955235623034E-9</v>
      </c>
      <c r="G659" s="26">
        <f>Ft!D$3*EXP(Ft!D$38*($A659-Ft!D$2)^2)</f>
        <v>6.3858764129514611</v>
      </c>
      <c r="H659" s="26">
        <f>Ft!E$3*EXP(Ft!E$38*($A659-Ft!E$2)^2)</f>
        <v>10.451262933286904</v>
      </c>
      <c r="I659" s="26">
        <f>Ft!F$3*EXP(Ft!F$38*($A659-Ft!F$2)^2)</f>
        <v>2.4730519912001208E-26</v>
      </c>
      <c r="J659" s="26">
        <f>Ft!G$3*EXP(Ft!G$38*($A659-Ft!G$2)^2)</f>
        <v>0</v>
      </c>
    </row>
    <row r="660" spans="1:10">
      <c r="A660" s="19">
        <v>658</v>
      </c>
      <c r="B660" s="28">
        <v>0.47012508433968492</v>
      </c>
      <c r="C660" s="27">
        <f ca="1">OFFSET($B660,1*(ROWS(C$2:C660)-1),0)</f>
        <v>0</v>
      </c>
      <c r="D660" s="26">
        <f>Ft!B$3*EXP(Ft!B$38*($A660-Ft!B$2)^2) +Ft!C$3*EXP(Ft!C$38*($A660-Ft!C$2)^2) + Ft!D$3*EXP(Ft!D$38*($A660-Ft!D$2)^2)+Ft!E$3*EXP(Ft!E$38*($A660-Ft!E$2)^2) +Ft!F$3*EXP(Ft!F$38*($A660-Ft!F$2)^2) + Ft!G$3*EXP(Ft!G$38*($A660-Ft!G$2)^2)</f>
        <v>16.83669173018718</v>
      </c>
      <c r="E660" s="26">
        <f>Ft!B$3*EXP(Ft!B$38*($A660-Ft!B$2)^2)</f>
        <v>8.3350838687738376E-205</v>
      </c>
      <c r="F660" s="26">
        <f>Ft!C$3*EXP(Ft!C$38*($A660-Ft!C$2)^2)</f>
        <v>8.5106781271805668E-9</v>
      </c>
      <c r="G660" s="26">
        <f>Ft!D$3*EXP(Ft!D$38*($A660-Ft!D$2)^2)</f>
        <v>6.3265423981387672</v>
      </c>
      <c r="H660" s="26">
        <f>Ft!E$3*EXP(Ft!E$38*($A660-Ft!E$2)^2)</f>
        <v>10.510149323537734</v>
      </c>
      <c r="I660" s="26">
        <f>Ft!F$3*EXP(Ft!F$38*($A660-Ft!F$2)^2)</f>
        <v>3.4218876046970518E-26</v>
      </c>
      <c r="J660" s="26">
        <f>Ft!G$3*EXP(Ft!G$38*($A660-Ft!G$2)^2)</f>
        <v>0</v>
      </c>
    </row>
    <row r="661" spans="1:10">
      <c r="A661" s="19">
        <v>659</v>
      </c>
      <c r="B661" s="28">
        <v>0.43544348804294941</v>
      </c>
      <c r="C661" s="27">
        <f ca="1">OFFSET($B661,1*(ROWS(C$2:C661)-1),0)</f>
        <v>0</v>
      </c>
      <c r="D661" s="26">
        <f>Ft!B$3*EXP(Ft!B$38*($A661-Ft!B$2)^2) +Ft!C$3*EXP(Ft!C$38*($A661-Ft!C$2)^2) + Ft!D$3*EXP(Ft!D$38*($A661-Ft!D$2)^2)+Ft!E$3*EXP(Ft!E$38*($A661-Ft!E$2)^2) +Ft!F$3*EXP(Ft!F$38*($A661-Ft!F$2)^2) + Ft!G$3*EXP(Ft!G$38*($A661-Ft!G$2)^2)</f>
        <v>16.836486049713173</v>
      </c>
      <c r="E661" s="26">
        <f>Ft!B$3*EXP(Ft!B$38*($A661-Ft!B$2)^2)</f>
        <v>1.7876856933241209E-205</v>
      </c>
      <c r="F661" s="26">
        <f>Ft!C$3*EXP(Ft!C$38*($A661-Ft!C$2)^2)</f>
        <v>7.8518990074878215E-9</v>
      </c>
      <c r="G661" s="26">
        <f>Ft!D$3*EXP(Ft!D$38*($A661-Ft!D$2)^2)</f>
        <v>6.2674930965962048</v>
      </c>
      <c r="H661" s="26">
        <f>Ft!E$3*EXP(Ft!E$38*($A661-Ft!E$2)^2)</f>
        <v>10.568992945265069</v>
      </c>
      <c r="I661" s="26">
        <f>Ft!F$3*EXP(Ft!F$38*($A661-Ft!F$2)^2)</f>
        <v>4.7306523126576347E-26</v>
      </c>
      <c r="J661" s="26">
        <f>Ft!G$3*EXP(Ft!G$38*($A661-Ft!G$2)^2)</f>
        <v>0</v>
      </c>
    </row>
    <row r="662" spans="1:10">
      <c r="A662" s="19">
        <v>660</v>
      </c>
      <c r="B662" s="28">
        <v>0.3984439894373395</v>
      </c>
      <c r="C662" s="27">
        <f ca="1">OFFSET($B662,1*(ROWS(C$2:C662)-1),0)</f>
        <v>0</v>
      </c>
      <c r="D662" s="26">
        <f>Ft!B$3*EXP(Ft!B$38*($A662-Ft!B$2)^2) +Ft!C$3*EXP(Ft!C$38*($A662-Ft!C$2)^2) + Ft!D$3*EXP(Ft!D$38*($A662-Ft!D$2)^2)+Ft!E$3*EXP(Ft!E$38*($A662-Ft!E$2)^2) +Ft!F$3*EXP(Ft!F$38*($A662-Ft!F$2)^2) + Ft!G$3*EXP(Ft!G$38*($A662-Ft!G$2)^2)</f>
        <v>16.83652023454367</v>
      </c>
      <c r="E662" s="26">
        <f>Ft!B$3*EXP(Ft!B$38*($A662-Ft!B$2)^2)</f>
        <v>3.8245604456169844E-206</v>
      </c>
      <c r="F662" s="26">
        <f>Ft!C$3*EXP(Ft!C$38*($A662-Ft!C$2)^2)</f>
        <v>7.2429875964968555E-9</v>
      </c>
      <c r="G662" s="26">
        <f>Ft!D$3*EXP(Ft!D$38*($A662-Ft!D$2)^2)</f>
        <v>6.2087308505528176</v>
      </c>
      <c r="H662" s="26">
        <f>Ft!E$3*EXP(Ft!E$38*($A662-Ft!E$2)^2)</f>
        <v>10.627789376747865</v>
      </c>
      <c r="I662" s="26">
        <f>Ft!F$3*EXP(Ft!F$38*($A662-Ft!F$2)^2)</f>
        <v>6.534300679213089E-26</v>
      </c>
      <c r="J662" s="26">
        <f>Ft!G$3*EXP(Ft!G$38*($A662-Ft!G$2)^2)</f>
        <v>0</v>
      </c>
    </row>
    <row r="663" spans="1:10">
      <c r="A663" s="19">
        <v>661</v>
      </c>
      <c r="B663" s="28">
        <v>0.36236894567224454</v>
      </c>
      <c r="C663" s="27">
        <f ca="1">OFFSET($B663,1*(ROWS(C$2:C663)-1),0)</f>
        <v>0</v>
      </c>
      <c r="D663" s="26">
        <f>Ft!B$3*EXP(Ft!B$38*($A663-Ft!B$2)^2) +Ft!C$3*EXP(Ft!C$38*($A663-Ft!C$2)^2) + Ft!D$3*EXP(Ft!D$38*($A663-Ft!D$2)^2)+Ft!E$3*EXP(Ft!E$38*($A663-Ft!E$2)^2) +Ft!F$3*EXP(Ft!F$38*($A663-Ft!F$2)^2) + Ft!G$3*EXP(Ft!G$38*($A663-Ft!G$2)^2)</f>
        <v>16.836792127170241</v>
      </c>
      <c r="E663" s="26">
        <f>Ft!B$3*EXP(Ft!B$38*($A663-Ft!B$2)^2)</f>
        <v>8.1617082806570147E-207</v>
      </c>
      <c r="F663" s="26">
        <f>Ft!C$3*EXP(Ft!C$38*($A663-Ft!C$2)^2)</f>
        <v>6.6802586079268327E-9</v>
      </c>
      <c r="G663" s="26">
        <f>Ft!D$3*EXP(Ft!D$38*($A663-Ft!D$2)^2)</f>
        <v>6.1502579438710372</v>
      </c>
      <c r="H663" s="26">
        <f>Ft!E$3*EXP(Ft!E$38*($A663-Ft!E$2)^2)</f>
        <v>10.686534176618947</v>
      </c>
      <c r="I663" s="26">
        <f>Ft!F$3*EXP(Ft!F$38*($A663-Ft!F$2)^2)</f>
        <v>9.0177874602436411E-26</v>
      </c>
      <c r="J663" s="26">
        <f>Ft!G$3*EXP(Ft!G$38*($A663-Ft!G$2)^2)</f>
        <v>0</v>
      </c>
    </row>
    <row r="664" spans="1:10">
      <c r="A664" s="19">
        <v>662</v>
      </c>
      <c r="B664" s="28">
        <v>0.32828284781126627</v>
      </c>
      <c r="C664" s="27">
        <f ca="1">OFFSET($B664,1*(ROWS(C$2:C664)-1),0)</f>
        <v>0</v>
      </c>
      <c r="D664" s="26">
        <f>Ft!B$3*EXP(Ft!B$38*($A664-Ft!B$2)^2) +Ft!C$3*EXP(Ft!C$38*($A664-Ft!C$2)^2) + Ft!D$3*EXP(Ft!D$38*($A664-Ft!D$2)^2)+Ft!E$3*EXP(Ft!E$38*($A664-Ft!E$2)^2) +Ft!F$3*EXP(Ft!F$38*($A664-Ft!F$2)^2) + Ft!G$3*EXP(Ft!G$38*($A664-Ft!G$2)^2)</f>
        <v>16.837299492754514</v>
      </c>
      <c r="E664" s="26">
        <f>Ft!B$3*EXP(Ft!B$38*($A664-Ft!B$2)^2)</f>
        <v>1.7373598505339163E-207</v>
      </c>
      <c r="F664" s="26">
        <f>Ft!C$3*EXP(Ft!C$38*($A664-Ft!C$2)^2)</f>
        <v>6.160292115765327E-9</v>
      </c>
      <c r="G664" s="26">
        <f>Ft!D$3*EXP(Ft!D$38*($A664-Ft!D$2)^2)</f>
        <v>6.0920766022071673</v>
      </c>
      <c r="H664" s="26">
        <f>Ft!E$3*EXP(Ft!E$38*($A664-Ft!E$2)^2)</f>
        <v>10.745222884387054</v>
      </c>
      <c r="I664" s="26">
        <f>Ft!F$3*EXP(Ft!F$38*($A664-Ft!F$2)^2)</f>
        <v>1.2434366703095278E-25</v>
      </c>
      <c r="J664" s="26">
        <f>Ft!G$3*EXP(Ft!G$38*($A664-Ft!G$2)^2)</f>
        <v>0</v>
      </c>
    </row>
    <row r="665" spans="1:10">
      <c r="A665" s="19">
        <v>663</v>
      </c>
      <c r="B665" s="28">
        <v>0.29925656398742717</v>
      </c>
      <c r="C665" s="27">
        <f ca="1">OFFSET($B665,1*(ROWS(C$2:C665)-1),0)</f>
        <v>0</v>
      </c>
      <c r="D665" s="26">
        <f>Ft!B$3*EXP(Ft!B$38*($A665-Ft!B$2)^2) +Ft!C$3*EXP(Ft!C$38*($A665-Ft!C$2)^2) + Ft!D$3*EXP(Ft!D$38*($A665-Ft!D$2)^2)+Ft!E$3*EXP(Ft!E$38*($A665-Ft!E$2)^2) +Ft!F$3*EXP(Ft!F$38*($A665-Ft!F$2)^2) + Ft!G$3*EXP(Ft!G$38*($A665-Ft!G$2)^2)</f>
        <v>16.838040019827755</v>
      </c>
      <c r="E665" s="26">
        <f>Ft!B$3*EXP(Ft!B$38*($A665-Ft!B$2)^2)</f>
        <v>3.6889916157779598E-208</v>
      </c>
      <c r="F665" s="26">
        <f>Ft!C$3*EXP(Ft!C$38*($A665-Ft!C$2)^2)</f>
        <v>5.6799149809748952E-9</v>
      </c>
      <c r="G665" s="26">
        <f>Ft!D$3*EXP(Ft!D$38*($A665-Ft!D$2)^2)</f>
        <v>6.0341889931827053</v>
      </c>
      <c r="H665" s="26">
        <f>Ft!E$3*EXP(Ft!E$38*($A665-Ft!E$2)^2)</f>
        <v>10.803851020965134</v>
      </c>
      <c r="I665" s="26">
        <f>Ft!F$3*EXP(Ft!F$38*($A665-Ft!F$2)^2)</f>
        <v>1.7130504067275651E-25</v>
      </c>
      <c r="J665" s="26">
        <f>Ft!G$3*EXP(Ft!G$38*($A665-Ft!G$2)^2)</f>
        <v>0</v>
      </c>
    </row>
    <row r="666" spans="1:10">
      <c r="A666" s="19">
        <v>664</v>
      </c>
      <c r="B666" s="28">
        <v>0.28441712144260123</v>
      </c>
      <c r="C666" s="27">
        <f ca="1">OFFSET($B666,1*(ROWS(C$2:C666)-1),0)</f>
        <v>0</v>
      </c>
      <c r="D666" s="26">
        <f>Ft!B$3*EXP(Ft!B$38*($A666-Ft!B$2)^2) +Ft!C$3*EXP(Ft!C$38*($A666-Ft!C$2)^2) + Ft!D$3*EXP(Ft!D$38*($A666-Ft!D$2)^2)+Ft!E$3*EXP(Ft!E$38*($A666-Ft!E$2)^2) +Ft!F$3*EXP(Ft!F$38*($A666-Ft!F$2)^2) + Ft!G$3*EXP(Ft!G$38*($A666-Ft!G$2)^2)</f>
        <v>16.839011321007373</v>
      </c>
      <c r="E666" s="26">
        <f>Ft!B$3*EXP(Ft!B$38*($A666-Ft!B$2)^2)</f>
        <v>7.8133041332195599E-209</v>
      </c>
      <c r="F666" s="26">
        <f>Ft!C$3*EXP(Ft!C$38*($A666-Ft!C$2)^2)</f>
        <v>5.2361835382473073E-9</v>
      </c>
      <c r="G666" s="26">
        <f>Ft!D$3*EXP(Ft!D$38*($A666-Ft!D$2)^2)</f>
        <v>5.9765972265662963</v>
      </c>
      <c r="H666" s="26">
        <f>Ft!E$3*EXP(Ft!E$38*($A666-Ft!E$2)^2)</f>
        <v>10.862414089204892</v>
      </c>
      <c r="I666" s="26">
        <f>Ft!F$3*EXP(Ft!F$38*($A666-Ft!F$2)^2)</f>
        <v>2.3579761555029888E-25</v>
      </c>
      <c r="J666" s="26">
        <f>Ft!G$3*EXP(Ft!G$38*($A666-Ft!G$2)^2)</f>
        <v>0</v>
      </c>
    </row>
    <row r="667" spans="1:10">
      <c r="A667" s="19">
        <v>665</v>
      </c>
      <c r="B667" s="28">
        <v>0.28617152582125982</v>
      </c>
      <c r="C667" s="27">
        <f ca="1">OFFSET($B667,1*(ROWS(C$2:C667)-1),0)</f>
        <v>0</v>
      </c>
      <c r="D667" s="26">
        <f>Ft!B$3*EXP(Ft!B$38*($A667-Ft!B$2)^2) +Ft!C$3*EXP(Ft!C$38*($A667-Ft!C$2)^2) + Ft!D$3*EXP(Ft!D$38*($A667-Ft!D$2)^2)+Ft!E$3*EXP(Ft!E$38*($A667-Ft!E$2)^2) +Ft!F$3*EXP(Ft!F$38*($A667-Ft!F$2)^2) + Ft!G$3*EXP(Ft!G$38*($A667-Ft!G$2)^2)</f>
        <v>16.840210933730045</v>
      </c>
      <c r="E667" s="26">
        <f>Ft!B$3*EXP(Ft!B$38*($A667-Ft!B$2)^2)</f>
        <v>1.6507106952187424E-209</v>
      </c>
      <c r="F667" s="26">
        <f>Ft!C$3*EXP(Ft!C$38*($A667-Ft!C$2)^2)</f>
        <v>4.8263674602419429E-9</v>
      </c>
      <c r="G667" s="26">
        <f>Ft!D$3*EXP(Ft!D$38*($A667-Ft!D$2)^2)</f>
        <v>5.9193033544662343</v>
      </c>
      <c r="H667" s="26">
        <f>Ft!E$3*EXP(Ft!E$38*($A667-Ft!E$2)^2)</f>
        <v>10.920907574437443</v>
      </c>
      <c r="I667" s="26">
        <f>Ft!F$3*EXP(Ft!F$38*($A667-Ft!F$2)^2)</f>
        <v>3.2428844281271116E-25</v>
      </c>
      <c r="J667" s="26">
        <f>Ft!G$3*EXP(Ft!G$38*($A667-Ft!G$2)^2)</f>
        <v>0</v>
      </c>
    </row>
    <row r="668" spans="1:10">
      <c r="A668" s="19">
        <v>666</v>
      </c>
      <c r="B668" s="28">
        <v>0.26003628025463854</v>
      </c>
      <c r="C668" s="27">
        <f ca="1">OFFSET($B668,1*(ROWS(C$2:C668)-1),0)</f>
        <v>0</v>
      </c>
      <c r="D668" s="26">
        <f>Ft!B$3*EXP(Ft!B$38*($A668-Ft!B$2)^2) +Ft!C$3*EXP(Ft!C$38*($A668-Ft!C$2)^2) + Ft!D$3*EXP(Ft!D$38*($A668-Ft!D$2)^2)+Ft!E$3*EXP(Ft!E$38*($A668-Ft!E$2)^2) +Ft!F$3*EXP(Ft!F$38*($A668-Ft!F$2)^2) + Ft!G$3*EXP(Ft!G$38*($A668-Ft!G$2)^2)</f>
        <v>16.841636321001296</v>
      </c>
      <c r="E668" s="26">
        <f>Ft!B$3*EXP(Ft!B$38*($A668-Ft!B$2)^2)</f>
        <v>3.4786951759684051E-210</v>
      </c>
      <c r="F668" s="26">
        <f>Ft!C$3*EXP(Ft!C$38*($A668-Ft!C$2)^2)</f>
        <v>4.4479347219462384E-9</v>
      </c>
      <c r="G668" s="26">
        <f>Ft!D$3*EXP(Ft!D$38*($A668-Ft!D$2)^2)</f>
        <v>5.8623093715333194</v>
      </c>
      <c r="H668" s="26">
        <f>Ft!E$3*EXP(Ft!E$38*($A668-Ft!E$2)^2)</f>
        <v>10.979326945020043</v>
      </c>
      <c r="I668" s="26">
        <f>Ft!F$3*EXP(Ft!F$38*($A668-Ft!F$2)^2)</f>
        <v>4.4560117668215547E-25</v>
      </c>
      <c r="J668" s="26">
        <f>Ft!G$3*EXP(Ft!G$38*($A668-Ft!G$2)^2)</f>
        <v>0</v>
      </c>
    </row>
    <row r="669" spans="1:10">
      <c r="A669" s="19">
        <v>667</v>
      </c>
      <c r="B669" s="28">
        <v>0.24079801664422007</v>
      </c>
      <c r="C669" s="27">
        <f ca="1">OFFSET($B669,1*(ROWS(C$2:C669)-1),0)</f>
        <v>0</v>
      </c>
      <c r="D669" s="26">
        <f>Ft!B$3*EXP(Ft!B$38*($A669-Ft!B$2)^2) +Ft!C$3*EXP(Ft!C$38*($A669-Ft!C$2)^2) + Ft!D$3*EXP(Ft!D$38*($A669-Ft!D$2)^2)+Ft!E$3*EXP(Ft!E$38*($A669-Ft!E$2)^2) +Ft!F$3*EXP(Ft!F$38*($A669-Ft!F$2)^2) + Ft!G$3*EXP(Ft!G$38*($A669-Ft!G$2)^2)</f>
        <v>16.843284872161249</v>
      </c>
      <c r="E669" s="26">
        <f>Ft!B$3*EXP(Ft!B$38*($A669-Ft!B$2)^2)</f>
        <v>7.3125855328487816E-211</v>
      </c>
      <c r="F669" s="26">
        <f>Ft!C$3*EXP(Ft!C$38*($A669-Ft!C$2)^2)</f>
        <v>4.098537592684771E-9</v>
      </c>
      <c r="G669" s="26">
        <f>Ft!D$3*EXP(Ft!D$38*($A669-Ft!D$2)^2)</f>
        <v>5.8056172151739407</v>
      </c>
      <c r="H669" s="26">
        <f>Ft!E$3*EXP(Ft!E$38*($A669-Ft!E$2)^2)</f>
        <v>11.037667652888771</v>
      </c>
      <c r="I669" s="26">
        <f>Ft!F$3*EXP(Ft!F$38*($A669-Ft!F$2)^2)</f>
        <v>6.1176409204469908E-25</v>
      </c>
      <c r="J669" s="26">
        <f>Ft!G$3*EXP(Ft!G$38*($A669-Ft!G$2)^2)</f>
        <v>0</v>
      </c>
    </row>
    <row r="670" spans="1:10">
      <c r="A670" s="19">
        <v>668</v>
      </c>
      <c r="B670" s="28">
        <v>0.24947691697451546</v>
      </c>
      <c r="C670" s="27">
        <f ca="1">OFFSET($B670,1*(ROWS(C$2:C670)-1),0)</f>
        <v>0</v>
      </c>
      <c r="D670" s="26">
        <f>Ft!B$3*EXP(Ft!B$38*($A670-Ft!B$2)^2) +Ft!C$3*EXP(Ft!C$38*($A670-Ft!C$2)^2) + Ft!D$3*EXP(Ft!D$38*($A670-Ft!D$2)^2)+Ft!E$3*EXP(Ft!E$38*($A670-Ft!E$2)^2) +Ft!F$3*EXP(Ft!F$38*($A670-Ft!F$2)^2) + Ft!G$3*EXP(Ft!G$38*($A670-Ft!G$2)^2)</f>
        <v>16.845153903666326</v>
      </c>
      <c r="E670" s="26">
        <f>Ft!B$3*EXP(Ft!B$38*($A670-Ft!B$2)^2)</f>
        <v>1.5333267668117727E-211</v>
      </c>
      <c r="F670" s="26">
        <f>Ft!C$3*EXP(Ft!C$38*($A670-Ft!C$2)^2)</f>
        <v>3.7759995878958174E-9</v>
      </c>
      <c r="G670" s="26">
        <f>Ft!D$3*EXP(Ft!D$38*($A670-Ft!D$2)^2)</f>
        <v>5.7492287657732257</v>
      </c>
      <c r="H670" s="26">
        <f>Ft!E$3*EXP(Ft!E$38*($A670-Ft!E$2)^2)</f>
        <v>11.095925134117101</v>
      </c>
      <c r="I670" s="26">
        <f>Ft!F$3*EXP(Ft!F$38*($A670-Ft!F$2)^2)</f>
        <v>8.3915933627303311E-25</v>
      </c>
      <c r="J670" s="26">
        <f>Ft!G$3*EXP(Ft!G$38*($A670-Ft!G$2)^2)</f>
        <v>0</v>
      </c>
    </row>
    <row r="671" spans="1:10">
      <c r="A671" s="19">
        <v>669</v>
      </c>
      <c r="B671" s="28">
        <v>0.26454134276579566</v>
      </c>
      <c r="C671" s="27">
        <f ca="1">OFFSET($B671,1*(ROWS(C$2:C671)-1),0)</f>
        <v>0</v>
      </c>
      <c r="D671" s="26">
        <f>Ft!B$3*EXP(Ft!B$38*($A671-Ft!B$2)^2) +Ft!C$3*EXP(Ft!C$38*($A671-Ft!C$2)^2) + Ft!D$3*EXP(Ft!D$38*($A671-Ft!D$2)^2)+Ft!E$3*EXP(Ft!E$38*($A671-Ft!E$2)^2) +Ft!F$3*EXP(Ft!F$38*($A671-Ft!F$2)^2) + Ft!G$3*EXP(Ft!G$38*($A671-Ft!G$2)^2)</f>
        <v>16.847240659886683</v>
      </c>
      <c r="E671" s="26">
        <f>Ft!B$3*EXP(Ft!B$38*($A671-Ft!B$2)^2)</f>
        <v>3.2070641674558833E-212</v>
      </c>
      <c r="F671" s="26">
        <f>Ft!C$3*EXP(Ft!C$38*($A671-Ft!C$2)^2)</f>
        <v>3.4783033171096376E-9</v>
      </c>
      <c r="G671" s="26">
        <f>Ft!D$3*EXP(Ft!D$38*($A671-Ft!D$2)^2)</f>
        <v>5.6931458469281058</v>
      </c>
      <c r="H671" s="26">
        <f>Ft!E$3*EXP(Ft!E$38*($A671-Ft!E$2)^2)</f>
        <v>11.154094809480274</v>
      </c>
      <c r="I671" s="26">
        <f>Ft!F$3*EXP(Ft!F$38*($A671-Ft!F$2)^2)</f>
        <v>1.150079003749179E-24</v>
      </c>
      <c r="J671" s="26">
        <f>Ft!G$3*EXP(Ft!G$38*($A671-Ft!G$2)^2)</f>
        <v>0</v>
      </c>
    </row>
    <row r="672" spans="1:10">
      <c r="A672" s="19">
        <v>670</v>
      </c>
      <c r="B672" s="28">
        <v>0.25037827357076026</v>
      </c>
      <c r="C672" s="27">
        <f ca="1">OFFSET($B672,1*(ROWS(C$2:C672)-1),0)</f>
        <v>0</v>
      </c>
      <c r="D672" s="26">
        <f>Ft!B$3*EXP(Ft!B$38*($A672-Ft!B$2)^2) +Ft!C$3*EXP(Ft!C$38*($A672-Ft!C$2)^2) + Ft!D$3*EXP(Ft!D$38*($A672-Ft!D$2)^2)+Ft!E$3*EXP(Ft!E$38*($A672-Ft!E$2)^2) +Ft!F$3*EXP(Ft!F$38*($A672-Ft!F$2)^2) + Ft!G$3*EXP(Ft!G$38*($A672-Ft!G$2)^2)</f>
        <v>16.849542313919084</v>
      </c>
      <c r="E672" s="26">
        <f>Ft!B$3*EXP(Ft!B$38*($A672-Ft!B$2)^2)</f>
        <v>6.6909803739851429E-213</v>
      </c>
      <c r="F672" s="26">
        <f>Ft!C$3*EXP(Ft!C$38*($A672-Ft!C$2)^2)</f>
        <v>3.2035791686142641E-9</v>
      </c>
      <c r="G672" s="26">
        <f>Ft!D$3*EXP(Ft!D$38*($A672-Ft!D$2)^2)</f>
        <v>5.6373702256901321</v>
      </c>
      <c r="H672" s="26">
        <f>Ft!E$3*EXP(Ft!E$38*($A672-Ft!E$2)^2)</f>
        <v>11.212172085025372</v>
      </c>
      <c r="I672" s="26">
        <f>Ft!F$3*EXP(Ft!F$38*($A672-Ft!F$2)^2)</f>
        <v>1.574830127252328E-24</v>
      </c>
      <c r="J672" s="26">
        <f>Ft!G$3*EXP(Ft!G$38*($A672-Ft!G$2)^2)</f>
        <v>0</v>
      </c>
    </row>
    <row r="673" spans="1:10">
      <c r="A673" s="19">
        <v>671</v>
      </c>
      <c r="B673" s="28">
        <v>0.23455165235830577</v>
      </c>
      <c r="C673" s="27">
        <f ca="1">OFFSET($B673,1*(ROWS(C$2:C673)-1),0)</f>
        <v>0</v>
      </c>
      <c r="D673" s="26">
        <f>Ft!B$3*EXP(Ft!B$38*($A673-Ft!B$2)^2) +Ft!C$3*EXP(Ft!C$38*($A673-Ft!C$2)^2) + Ft!D$3*EXP(Ft!D$38*($A673-Ft!D$2)^2)+Ft!E$3*EXP(Ft!E$38*($A673-Ft!E$2)^2) +Ft!F$3*EXP(Ft!F$38*($A673-Ft!F$2)^2) + Ft!G$3*EXP(Ft!G$38*($A673-Ft!G$2)^2)</f>
        <v>16.852055968415009</v>
      </c>
      <c r="E673" s="26">
        <f>Ft!B$3*EXP(Ft!B$38*($A673-Ft!B$2)^2)</f>
        <v>1.3924545761030551E-213</v>
      </c>
      <c r="F673" s="26">
        <f>Ft!C$3*EXP(Ft!C$38*($A673-Ft!C$2)^2)</f>
        <v>2.9500947750998502E-9</v>
      </c>
      <c r="G673" s="26">
        <f>Ft!D$3*EXP(Ft!D$38*($A673-Ft!D$2)^2)</f>
        <v>5.581903612817908</v>
      </c>
      <c r="H673" s="26">
        <f>Ft!E$3*EXP(Ft!E$38*($A673-Ft!E$2)^2)</f>
        <v>11.270152352647006</v>
      </c>
      <c r="I673" s="26">
        <f>Ft!F$3*EXP(Ft!F$38*($A673-Ft!F$2)^2)</f>
        <v>2.1545796295633499E-24</v>
      </c>
      <c r="J673" s="26">
        <f>Ft!G$3*EXP(Ft!G$38*($A673-Ft!G$2)^2)</f>
        <v>0</v>
      </c>
    </row>
    <row r="674" spans="1:10">
      <c r="A674" s="19">
        <v>672</v>
      </c>
      <c r="B674" s="28">
        <v>0.22501574242667743</v>
      </c>
      <c r="C674" s="27">
        <f ca="1">OFFSET($B674,1*(ROWS(C$2:C674)-1),0)</f>
        <v>0</v>
      </c>
      <c r="D674" s="26">
        <f>Ft!B$3*EXP(Ft!B$38*($A674-Ft!B$2)^2) +Ft!C$3*EXP(Ft!C$38*($A674-Ft!C$2)^2) + Ft!D$3*EXP(Ft!D$38*($A674-Ft!D$2)^2)+Ft!E$3*EXP(Ft!E$38*($A674-Ft!E$2)^2) +Ft!F$3*EXP(Ft!F$38*($A674-Ft!F$2)^2) + Ft!G$3*EXP(Ft!G$38*($A674-Ft!G$2)^2)</f>
        <v>16.854778656423743</v>
      </c>
      <c r="E674" s="26">
        <f>Ft!B$3*EXP(Ft!B$38*($A674-Ft!B$2)^2)</f>
        <v>2.8905566930948072E-214</v>
      </c>
      <c r="F674" s="26">
        <f>Ft!C$3*EXP(Ft!C$38*($A674-Ft!C$2)^2)</f>
        <v>2.7162452081446111E-9</v>
      </c>
      <c r="G674" s="26">
        <f>Ft!D$3*EXP(Ft!D$38*($A674-Ft!D$2)^2)</f>
        <v>5.5267476630389609</v>
      </c>
      <c r="H674" s="26">
        <f>Ft!E$3*EXP(Ft!E$38*($A674-Ft!E$2)^2)</f>
        <v>11.328030990668537</v>
      </c>
      <c r="I674" s="26">
        <f>Ft!F$3*EXP(Ft!F$38*($A674-Ft!F$2)^2)</f>
        <v>2.9451958510710572E-24</v>
      </c>
      <c r="J674" s="26">
        <f>Ft!G$3*EXP(Ft!G$38*($A674-Ft!G$2)^2)</f>
        <v>0</v>
      </c>
    </row>
    <row r="675" spans="1:10">
      <c r="A675" s="19">
        <v>673</v>
      </c>
      <c r="B675" s="28">
        <v>0.20981136314281912</v>
      </c>
      <c r="C675" s="27">
        <f ca="1">OFFSET($B675,1*(ROWS(C$2:C675)-1),0)</f>
        <v>0</v>
      </c>
      <c r="D675" s="26">
        <f>Ft!B$3*EXP(Ft!B$38*($A675-Ft!B$2)^2) +Ft!C$3*EXP(Ft!C$38*($A675-Ft!C$2)^2) + Ft!D$3*EXP(Ft!D$38*($A675-Ft!D$2)^2)+Ft!E$3*EXP(Ft!E$38*($A675-Ft!E$2)^2) +Ft!F$3*EXP(Ft!F$38*($A675-Ft!F$2)^2) + Ft!G$3*EXP(Ft!G$38*($A675-Ft!G$2)^2)</f>
        <v>16.857707342250134</v>
      </c>
      <c r="E675" s="26">
        <f>Ft!B$3*EXP(Ft!B$38*($A675-Ft!B$2)^2)</f>
        <v>5.9853716306049533E-215</v>
      </c>
      <c r="F675" s="26">
        <f>Ft!C$3*EXP(Ft!C$38*($A675-Ft!C$2)^2)</f>
        <v>2.5005438527579721E-9</v>
      </c>
      <c r="G675" s="26">
        <f>Ft!D$3*EXP(Ft!D$38*($A675-Ft!D$2)^2)</f>
        <v>5.4719039753208865</v>
      </c>
      <c r="H675" s="26">
        <f>Ft!E$3*EXP(Ft!E$38*($A675-Ft!E$2)^2)</f>
        <v>11.385803364428703</v>
      </c>
      <c r="I675" s="26">
        <f>Ft!F$3*EXP(Ft!F$38*($A675-Ft!F$2)^2)</f>
        <v>4.0224310273990742E-24</v>
      </c>
      <c r="J675" s="26">
        <f>Ft!G$3*EXP(Ft!G$38*($A675-Ft!G$2)^2)</f>
        <v>0</v>
      </c>
    </row>
    <row r="676" spans="1:10">
      <c r="A676" s="19">
        <v>674</v>
      </c>
      <c r="B676" s="28">
        <v>0.21234658109906945</v>
      </c>
      <c r="C676" s="27">
        <f ca="1">OFFSET($B676,1*(ROWS(C$2:C676)-1),0)</f>
        <v>0</v>
      </c>
      <c r="D676" s="26">
        <f>Ft!B$3*EXP(Ft!B$38*($A676-Ft!B$2)^2) +Ft!C$3*EXP(Ft!C$38*($A676-Ft!C$2)^2) + Ft!D$3*EXP(Ft!D$38*($A676-Ft!D$2)^2)+Ft!E$3*EXP(Ft!E$38*($A676-Ft!E$2)^2) +Ft!F$3*EXP(Ft!F$38*($A676-Ft!F$2)^2) + Ft!G$3*EXP(Ft!G$38*($A676-Ft!G$2)^2)</f>
        <v>16.860838922326863</v>
      </c>
      <c r="E676" s="26">
        <f>Ft!B$3*EXP(Ft!B$38*($A676-Ft!B$2)^2)</f>
        <v>1.2362603034073924E-215</v>
      </c>
      <c r="F676" s="26">
        <f>Ft!C$3*EXP(Ft!C$38*($A676-Ft!C$2)^2)</f>
        <v>2.301613916342903E-9</v>
      </c>
      <c r="G676" s="26">
        <f>Ft!D$3*EXP(Ft!D$38*($A676-Ft!D$2)^2)</f>
        <v>5.4173740931516523</v>
      </c>
      <c r="H676" s="26">
        <f>Ft!E$3*EXP(Ft!E$38*($A676-Ft!E$2)^2)</f>
        <v>11.443464826873596</v>
      </c>
      <c r="I676" s="26">
        <f>Ft!F$3*EXP(Ft!F$38*($A676-Ft!F$2)^2)</f>
        <v>5.4889064307792839E-24</v>
      </c>
      <c r="J676" s="26">
        <f>Ft!G$3*EXP(Ft!G$38*($A676-Ft!G$2)^2)</f>
        <v>0</v>
      </c>
    </row>
    <row r="677" spans="1:10">
      <c r="A677" s="19">
        <v>675</v>
      </c>
      <c r="B677" s="28">
        <v>0.2046228575224518</v>
      </c>
      <c r="C677" s="27">
        <f ca="1">OFFSET($B677,1*(ROWS(C$2:C677)-1),0)</f>
        <v>0</v>
      </c>
      <c r="D677" s="26">
        <f>Ft!B$3*EXP(Ft!B$38*($A677-Ft!B$2)^2) +Ft!C$3*EXP(Ft!C$38*($A677-Ft!C$2)^2) + Ft!D$3*EXP(Ft!D$38*($A677-Ft!D$2)^2)+Ft!E$3*EXP(Ft!E$38*($A677-Ft!E$2)^2) +Ft!F$3*EXP(Ft!F$38*($A677-Ft!F$2)^2) + Ft!G$3*EXP(Ft!G$38*($A677-Ft!G$2)^2)</f>
        <v>16.86417022610086</v>
      </c>
      <c r="E677" s="26">
        <f>Ft!B$3*EXP(Ft!B$38*($A677-Ft!B$2)^2)</f>
        <v>2.5470525289910731E-216</v>
      </c>
      <c r="F677" s="26">
        <f>Ft!C$3*EXP(Ft!C$38*($A677-Ft!C$2)^2)</f>
        <v>2.1181805293907123E-9</v>
      </c>
      <c r="G677" s="26">
        <f>Ft!D$3*EXP(Ft!D$38*($A677-Ft!D$2)^2)</f>
        <v>5.3631595048288236</v>
      </c>
      <c r="H677" s="26">
        <f>Ft!E$3*EXP(Ft!E$38*($A677-Ft!E$2)^2)</f>
        <v>11.501010719153856</v>
      </c>
      <c r="I677" s="26">
        <f>Ft!F$3*EXP(Ft!F$38*($A677-Ft!F$2)^2)</f>
        <v>7.4835186334451867E-24</v>
      </c>
      <c r="J677" s="26">
        <f>Ft!G$3*EXP(Ft!G$38*($A677-Ft!G$2)^2)</f>
        <v>0</v>
      </c>
    </row>
    <row r="678" spans="1:10">
      <c r="A678" s="19"/>
      <c r="B678" s="28"/>
      <c r="C678" s="27"/>
      <c r="D678" s="26"/>
      <c r="E678" s="26"/>
      <c r="F678" s="26"/>
      <c r="G678" s="26"/>
      <c r="H678" s="26"/>
      <c r="I678" s="26"/>
    </row>
    <row r="679" spans="1:10">
      <c r="A679" s="21"/>
      <c r="B679" s="21"/>
      <c r="D679" s="26"/>
      <c r="E679" s="26"/>
      <c r="F679" s="26"/>
      <c r="G679" s="26"/>
      <c r="H679" s="26"/>
      <c r="I679" s="26"/>
    </row>
    <row r="680" spans="1:10">
      <c r="A680" s="21"/>
      <c r="B680" s="21"/>
      <c r="D680" s="26"/>
      <c r="E680" s="26"/>
      <c r="F680" s="26"/>
      <c r="G680" s="26"/>
      <c r="H680" s="26"/>
      <c r="I680" s="26"/>
    </row>
    <row r="681" spans="1:10">
      <c r="A681" s="21"/>
      <c r="B681" s="21"/>
      <c r="D681" s="26"/>
      <c r="E681" s="26"/>
      <c r="F681" s="26"/>
      <c r="G681" s="26"/>
      <c r="H681" s="26"/>
      <c r="I681" s="26"/>
    </row>
    <row r="682" spans="1:10">
      <c r="A682" s="21"/>
      <c r="B682" s="21"/>
      <c r="D682" s="26"/>
      <c r="E682" s="26"/>
      <c r="F682" s="26"/>
      <c r="G682" s="26"/>
      <c r="H682" s="26"/>
      <c r="I682" s="26"/>
    </row>
    <row r="683" spans="1:10">
      <c r="A683" s="21"/>
      <c r="B683" s="21"/>
      <c r="D683" s="26"/>
      <c r="E683" s="26"/>
      <c r="F683" s="26"/>
      <c r="G683" s="26"/>
      <c r="H683" s="26"/>
      <c r="I683" s="26"/>
    </row>
    <row r="684" spans="1:10">
      <c r="A684" s="21"/>
      <c r="B684" s="21"/>
      <c r="D684" s="26"/>
      <c r="E684" s="26"/>
      <c r="F684" s="26"/>
      <c r="G684" s="26"/>
      <c r="H684" s="26"/>
      <c r="I684" s="26"/>
    </row>
    <row r="685" spans="1:10">
      <c r="A685" s="21"/>
      <c r="B685" s="21"/>
      <c r="D685" s="26"/>
      <c r="E685" s="26"/>
      <c r="F685" s="26"/>
      <c r="G685" s="26"/>
      <c r="H685" s="26"/>
      <c r="I685" s="26"/>
    </row>
    <row r="686" spans="1:10">
      <c r="A686" s="21"/>
      <c r="B686" s="21"/>
      <c r="D686" s="26"/>
      <c r="E686" s="26"/>
      <c r="F686" s="26"/>
      <c r="G686" s="26"/>
      <c r="H686" s="26"/>
      <c r="I686" s="26"/>
    </row>
    <row r="687" spans="1:10">
      <c r="A687" s="21"/>
      <c r="B687" s="21"/>
      <c r="D687" s="26"/>
      <c r="E687" s="26"/>
      <c r="F687" s="26"/>
      <c r="G687" s="26"/>
      <c r="H687" s="26"/>
      <c r="I687" s="26"/>
    </row>
    <row r="688" spans="1:10">
      <c r="A688" s="21"/>
      <c r="B688" s="21"/>
      <c r="D688" s="26"/>
      <c r="E688" s="26"/>
      <c r="F688" s="26"/>
      <c r="G688" s="26"/>
      <c r="H688" s="26"/>
      <c r="I688" s="26"/>
    </row>
    <row r="689" spans="1:9">
      <c r="A689" s="21"/>
      <c r="B689" s="21"/>
      <c r="D689" s="26"/>
      <c r="E689" s="26"/>
      <c r="F689" s="26"/>
      <c r="G689" s="26"/>
      <c r="H689" s="26"/>
      <c r="I689" s="26"/>
    </row>
    <row r="690" spans="1:9">
      <c r="A690" s="21"/>
      <c r="B690" s="21"/>
      <c r="D690" s="26"/>
      <c r="E690" s="26"/>
      <c r="F690" s="26"/>
      <c r="G690" s="26"/>
      <c r="H690" s="26"/>
      <c r="I690" s="26"/>
    </row>
    <row r="691" spans="1:9">
      <c r="A691" s="21"/>
      <c r="B691" s="21"/>
      <c r="D691" s="26"/>
      <c r="E691" s="26"/>
      <c r="F691" s="26"/>
      <c r="G691" s="26"/>
      <c r="H691" s="26"/>
      <c r="I691" s="26"/>
    </row>
    <row r="692" spans="1:9">
      <c r="A692" s="21"/>
      <c r="B692" s="21"/>
      <c r="D692" s="26"/>
      <c r="E692" s="26"/>
      <c r="F692" s="26"/>
      <c r="G692" s="26"/>
      <c r="H692" s="26"/>
      <c r="I692" s="26"/>
    </row>
    <row r="693" spans="1:9">
      <c r="A693" s="21"/>
      <c r="B693" s="21"/>
      <c r="D693" s="26"/>
      <c r="E693" s="26"/>
      <c r="F693" s="26"/>
      <c r="G693" s="26"/>
      <c r="H693" s="26"/>
      <c r="I693" s="26"/>
    </row>
    <row r="694" spans="1:9">
      <c r="A694" s="21"/>
      <c r="B694" s="21"/>
      <c r="D694" s="26"/>
      <c r="E694" s="26"/>
      <c r="F694" s="26"/>
      <c r="G694" s="26"/>
      <c r="H694" s="26"/>
      <c r="I694" s="26"/>
    </row>
    <row r="695" spans="1:9">
      <c r="A695" s="21"/>
      <c r="B695" s="21"/>
      <c r="D695" s="26"/>
      <c r="E695" s="26"/>
      <c r="F695" s="26"/>
      <c r="G695" s="26"/>
      <c r="H695" s="26"/>
      <c r="I695" s="26"/>
    </row>
    <row r="696" spans="1:9">
      <c r="A696" s="21"/>
      <c r="B696" s="21"/>
      <c r="D696" s="26"/>
      <c r="E696" s="26"/>
      <c r="F696" s="26"/>
      <c r="G696" s="26"/>
      <c r="H696" s="26"/>
      <c r="I696" s="26"/>
    </row>
    <row r="697" spans="1:9">
      <c r="A697" s="21"/>
      <c r="B697" s="21"/>
      <c r="D697" s="26"/>
      <c r="E697" s="26"/>
      <c r="F697" s="26"/>
      <c r="G697" s="26"/>
      <c r="H697" s="26"/>
      <c r="I697" s="26"/>
    </row>
    <row r="698" spans="1:9">
      <c r="A698" s="21"/>
      <c r="B698" s="21"/>
      <c r="D698" s="26"/>
      <c r="E698" s="26"/>
      <c r="F698" s="26"/>
      <c r="G698" s="26"/>
      <c r="H698" s="26"/>
      <c r="I698" s="26"/>
    </row>
    <row r="699" spans="1:9">
      <c r="A699" s="21"/>
      <c r="B699" s="21"/>
      <c r="D699" s="26"/>
      <c r="E699" s="26"/>
      <c r="F699" s="26"/>
      <c r="G699" s="26"/>
      <c r="H699" s="26"/>
      <c r="I699" s="26"/>
    </row>
    <row r="700" spans="1:9">
      <c r="A700" s="21"/>
      <c r="B700" s="21"/>
      <c r="D700" s="26"/>
      <c r="E700" s="26"/>
      <c r="F700" s="26"/>
      <c r="G700" s="26"/>
      <c r="H700" s="26"/>
      <c r="I700" s="26"/>
    </row>
    <row r="701" spans="1:9">
      <c r="A701" s="21"/>
      <c r="B701" s="21"/>
      <c r="D701" s="26"/>
      <c r="E701" s="26"/>
      <c r="F701" s="26"/>
      <c r="G701" s="26"/>
      <c r="H701" s="26"/>
      <c r="I701" s="26"/>
    </row>
    <row r="702" spans="1:9">
      <c r="A702" s="21"/>
      <c r="B702" s="21"/>
      <c r="D702" s="26"/>
      <c r="E702" s="26"/>
      <c r="F702" s="26"/>
      <c r="G702" s="26"/>
      <c r="H702" s="26"/>
      <c r="I702" s="26"/>
    </row>
    <row r="703" spans="1:9">
      <c r="A703" s="21"/>
      <c r="B703" s="21"/>
      <c r="D703" s="26"/>
      <c r="E703" s="26"/>
      <c r="F703" s="26"/>
      <c r="G703" s="26"/>
      <c r="H703" s="26"/>
      <c r="I703" s="26"/>
    </row>
    <row r="704" spans="1:9">
      <c r="A704" s="21"/>
      <c r="B704" s="21"/>
      <c r="D704" s="26"/>
      <c r="E704" s="26"/>
      <c r="F704" s="26"/>
      <c r="G704" s="26"/>
      <c r="H704" s="26"/>
      <c r="I704" s="26"/>
    </row>
    <row r="705" spans="1:9">
      <c r="A705" s="21"/>
      <c r="B705" s="21"/>
      <c r="D705" s="26"/>
      <c r="E705" s="26"/>
      <c r="F705" s="26"/>
      <c r="G705" s="26"/>
      <c r="H705" s="26"/>
      <c r="I705" s="26"/>
    </row>
    <row r="706" spans="1:9">
      <c r="A706" s="21"/>
      <c r="B706" s="21"/>
      <c r="D706" s="26"/>
      <c r="E706" s="26"/>
      <c r="F706" s="26"/>
      <c r="G706" s="26"/>
      <c r="H706" s="26"/>
      <c r="I706" s="26"/>
    </row>
    <row r="707" spans="1:9">
      <c r="A707" s="21"/>
      <c r="B707" s="21"/>
      <c r="D707" s="26"/>
      <c r="E707" s="26"/>
      <c r="F707" s="26"/>
      <c r="G707" s="26"/>
      <c r="H707" s="26"/>
      <c r="I707" s="26"/>
    </row>
    <row r="708" spans="1:9">
      <c r="A708" s="21"/>
      <c r="B708" s="21"/>
      <c r="D708" s="26"/>
      <c r="E708" s="26"/>
      <c r="F708" s="26"/>
      <c r="G708" s="26"/>
      <c r="H708" s="26"/>
      <c r="I708" s="26"/>
    </row>
    <row r="709" spans="1:9">
      <c r="A709" s="21"/>
      <c r="B709" s="21"/>
      <c r="D709" s="26"/>
      <c r="E709" s="26"/>
      <c r="F709" s="26"/>
      <c r="G709" s="26"/>
      <c r="H709" s="26"/>
      <c r="I709" s="26"/>
    </row>
    <row r="710" spans="1:9">
      <c r="A710" s="21"/>
      <c r="B710" s="21"/>
      <c r="D710" s="26"/>
      <c r="E710" s="26"/>
      <c r="F710" s="26"/>
      <c r="G710" s="26"/>
      <c r="H710" s="26"/>
      <c r="I710" s="26"/>
    </row>
    <row r="711" spans="1:9">
      <c r="A711" s="21"/>
      <c r="B711" s="21"/>
      <c r="D711" s="26"/>
      <c r="E711" s="26"/>
      <c r="F711" s="26"/>
      <c r="G711" s="26"/>
      <c r="H711" s="26"/>
      <c r="I711" s="26"/>
    </row>
    <row r="712" spans="1:9">
      <c r="A712" s="21"/>
      <c r="B712" s="21"/>
      <c r="D712" s="26"/>
      <c r="E712" s="26"/>
      <c r="F712" s="26"/>
      <c r="G712" s="26"/>
      <c r="H712" s="26"/>
      <c r="I712" s="26"/>
    </row>
    <row r="713" spans="1:9">
      <c r="A713" s="21"/>
      <c r="B713" s="21"/>
      <c r="D713" s="26"/>
      <c r="E713" s="26"/>
      <c r="F713" s="26"/>
      <c r="G713" s="26"/>
      <c r="H713" s="26"/>
      <c r="I713" s="26"/>
    </row>
    <row r="714" spans="1:9">
      <c r="A714" s="21"/>
      <c r="B714" s="21"/>
      <c r="D714" s="26"/>
      <c r="E714" s="26"/>
      <c r="F714" s="26"/>
      <c r="G714" s="26"/>
      <c r="H714" s="26"/>
      <c r="I714" s="26"/>
    </row>
    <row r="715" spans="1:9">
      <c r="A715" s="21"/>
      <c r="B715" s="21"/>
      <c r="D715" s="26"/>
      <c r="E715" s="26"/>
      <c r="F715" s="26"/>
      <c r="G715" s="26"/>
      <c r="H715" s="26"/>
      <c r="I715" s="26"/>
    </row>
    <row r="716" spans="1:9">
      <c r="A716" s="21"/>
      <c r="B716" s="21"/>
      <c r="D716" s="26"/>
      <c r="E716" s="26"/>
      <c r="F716" s="26"/>
      <c r="G716" s="26"/>
      <c r="H716" s="26"/>
      <c r="I716" s="26"/>
    </row>
    <row r="717" spans="1:9">
      <c r="A717" s="21"/>
      <c r="B717" s="21"/>
      <c r="D717" s="26"/>
      <c r="E717" s="26"/>
      <c r="F717" s="26"/>
      <c r="G717" s="26"/>
      <c r="H717" s="26"/>
      <c r="I717" s="26"/>
    </row>
    <row r="718" spans="1:9">
      <c r="A718" s="21"/>
      <c r="B718" s="21"/>
      <c r="D718" s="26"/>
      <c r="E718" s="26"/>
      <c r="F718" s="26"/>
      <c r="G718" s="26"/>
      <c r="H718" s="26"/>
      <c r="I718" s="26"/>
    </row>
    <row r="719" spans="1:9">
      <c r="A719" s="21"/>
      <c r="B719" s="21"/>
      <c r="D719" s="26"/>
      <c r="E719" s="26"/>
      <c r="F719" s="26"/>
      <c r="G719" s="26"/>
      <c r="H719" s="26"/>
      <c r="I719" s="26"/>
    </row>
    <row r="720" spans="1:9">
      <c r="A720" s="21"/>
      <c r="B720" s="21"/>
      <c r="D720" s="26"/>
      <c r="E720" s="26"/>
      <c r="F720" s="26"/>
      <c r="G720" s="26"/>
      <c r="H720" s="26"/>
      <c r="I720" s="26"/>
    </row>
    <row r="721" spans="1:9">
      <c r="A721" s="21"/>
      <c r="B721" s="21"/>
      <c r="D721" s="26"/>
      <c r="E721" s="26"/>
      <c r="F721" s="26"/>
      <c r="G721" s="26"/>
      <c r="H721" s="26"/>
      <c r="I721" s="26"/>
    </row>
    <row r="722" spans="1:9">
      <c r="A722" s="21"/>
      <c r="B722" s="21"/>
      <c r="D722" s="26"/>
      <c r="E722" s="26"/>
      <c r="F722" s="26"/>
      <c r="G722" s="26"/>
      <c r="H722" s="26"/>
      <c r="I722" s="26"/>
    </row>
    <row r="723" spans="1:9">
      <c r="A723" s="21"/>
      <c r="B723" s="21"/>
      <c r="D723" s="26"/>
      <c r="E723" s="26"/>
      <c r="F723" s="26"/>
      <c r="G723" s="26"/>
      <c r="H723" s="26"/>
      <c r="I723" s="26"/>
    </row>
    <row r="724" spans="1:9">
      <c r="A724" s="21"/>
      <c r="B724" s="21"/>
      <c r="D724" s="26"/>
      <c r="E724" s="26"/>
      <c r="F724" s="26"/>
      <c r="G724" s="26"/>
      <c r="H724" s="26"/>
      <c r="I724" s="26"/>
    </row>
    <row r="725" spans="1:9">
      <c r="A725" s="21"/>
      <c r="B725" s="21"/>
      <c r="D725" s="26"/>
      <c r="E725" s="26"/>
      <c r="F725" s="26"/>
      <c r="G725" s="26"/>
      <c r="H725" s="26"/>
      <c r="I725" s="26"/>
    </row>
    <row r="726" spans="1:9">
      <c r="A726" s="21"/>
      <c r="B726" s="21"/>
      <c r="D726" s="26"/>
      <c r="E726" s="26"/>
      <c r="F726" s="26"/>
      <c r="G726" s="26"/>
      <c r="H726" s="26"/>
      <c r="I726" s="26"/>
    </row>
    <row r="727" spans="1:9">
      <c r="A727" s="21"/>
      <c r="B727" s="21"/>
      <c r="D727" s="26"/>
      <c r="E727" s="26"/>
      <c r="F727" s="26"/>
      <c r="G727" s="26"/>
      <c r="H727" s="26"/>
      <c r="I727" s="26"/>
    </row>
    <row r="728" spans="1:9">
      <c r="A728" s="21"/>
      <c r="B728" s="21"/>
      <c r="D728" s="26"/>
      <c r="E728" s="26"/>
      <c r="F728" s="26"/>
      <c r="G728" s="26"/>
      <c r="H728" s="26"/>
      <c r="I728" s="26"/>
    </row>
    <row r="729" spans="1:9">
      <c r="A729" s="21"/>
      <c r="B729" s="21"/>
      <c r="D729" s="26"/>
      <c r="E729" s="26"/>
      <c r="F729" s="26"/>
      <c r="G729" s="26"/>
      <c r="H729" s="26"/>
      <c r="I729" s="26"/>
    </row>
    <row r="730" spans="1:9">
      <c r="A730" s="21"/>
      <c r="B730" s="21"/>
      <c r="D730" s="26"/>
      <c r="E730" s="26"/>
      <c r="F730" s="26"/>
      <c r="G730" s="26"/>
      <c r="H730" s="26"/>
      <c r="I730" s="26"/>
    </row>
    <row r="731" spans="1:9">
      <c r="A731" s="21"/>
      <c r="B731" s="21"/>
      <c r="D731" s="26"/>
      <c r="E731" s="26"/>
      <c r="F731" s="26"/>
      <c r="G731" s="26"/>
      <c r="H731" s="26"/>
      <c r="I731" s="26"/>
    </row>
    <row r="732" spans="1:9">
      <c r="A732" s="21"/>
      <c r="B732" s="21"/>
      <c r="D732" s="26"/>
      <c r="E732" s="26"/>
      <c r="F732" s="26"/>
      <c r="G732" s="26"/>
      <c r="H732" s="26"/>
      <c r="I732" s="26"/>
    </row>
    <row r="733" spans="1:9">
      <c r="A733" s="21"/>
      <c r="B733" s="21"/>
      <c r="D733" s="26"/>
      <c r="E733" s="26"/>
      <c r="F733" s="26"/>
      <c r="G733" s="26"/>
      <c r="H733" s="26"/>
      <c r="I733" s="26"/>
    </row>
    <row r="734" spans="1:9">
      <c r="A734" s="21"/>
      <c r="B734" s="21"/>
      <c r="D734" s="26"/>
      <c r="E734" s="26"/>
      <c r="F734" s="26"/>
      <c r="G734" s="26"/>
      <c r="H734" s="26"/>
      <c r="I734" s="26"/>
    </row>
    <row r="735" spans="1:9">
      <c r="A735" s="21"/>
      <c r="B735" s="21"/>
      <c r="D735" s="26"/>
      <c r="E735" s="26"/>
      <c r="F735" s="26"/>
      <c r="G735" s="26"/>
      <c r="H735" s="26"/>
      <c r="I735" s="26"/>
    </row>
    <row r="736" spans="1:9">
      <c r="A736" s="21"/>
      <c r="B736" s="21"/>
      <c r="D736" s="26"/>
      <c r="E736" s="26"/>
      <c r="F736" s="26"/>
      <c r="G736" s="26"/>
      <c r="H736" s="26"/>
      <c r="I736" s="26"/>
    </row>
    <row r="737" spans="1:9">
      <c r="A737" s="21"/>
      <c r="B737" s="21"/>
      <c r="D737" s="26"/>
      <c r="E737" s="26"/>
      <c r="F737" s="26"/>
      <c r="G737" s="26"/>
      <c r="H737" s="26"/>
      <c r="I737" s="26"/>
    </row>
    <row r="738" spans="1:9">
      <c r="A738" s="21"/>
      <c r="B738" s="21"/>
      <c r="D738" s="26"/>
      <c r="E738" s="26"/>
      <c r="F738" s="26"/>
      <c r="G738" s="26"/>
      <c r="H738" s="26"/>
      <c r="I738" s="26"/>
    </row>
    <row r="739" spans="1:9">
      <c r="A739" s="21"/>
      <c r="B739" s="21"/>
      <c r="D739" s="26"/>
      <c r="E739" s="26"/>
      <c r="F739" s="26"/>
      <c r="G739" s="26"/>
      <c r="H739" s="26"/>
      <c r="I739" s="26"/>
    </row>
    <row r="740" spans="1:9">
      <c r="A740" s="21"/>
      <c r="B740" s="21"/>
      <c r="D740" s="26"/>
      <c r="E740" s="26"/>
      <c r="F740" s="26"/>
      <c r="G740" s="26"/>
      <c r="H740" s="26"/>
      <c r="I740" s="26"/>
    </row>
    <row r="741" spans="1:9">
      <c r="A741" s="21"/>
      <c r="B741" s="21"/>
      <c r="D741" s="26"/>
      <c r="E741" s="26"/>
      <c r="F741" s="26"/>
      <c r="G741" s="26"/>
      <c r="H741" s="26"/>
      <c r="I741" s="26"/>
    </row>
    <row r="742" spans="1:9">
      <c r="A742" s="21"/>
      <c r="B742" s="21"/>
      <c r="D742" s="26"/>
      <c r="E742" s="26"/>
      <c r="F742" s="26"/>
      <c r="G742" s="26"/>
      <c r="H742" s="26"/>
      <c r="I742" s="26"/>
    </row>
    <row r="743" spans="1:9">
      <c r="A743" s="21"/>
      <c r="B743" s="21"/>
      <c r="D743" s="26"/>
      <c r="E743" s="26"/>
      <c r="F743" s="26"/>
      <c r="G743" s="26"/>
      <c r="H743" s="26"/>
      <c r="I743" s="26"/>
    </row>
    <row r="744" spans="1:9">
      <c r="A744" s="21"/>
      <c r="B744" s="21"/>
      <c r="D744" s="26"/>
      <c r="E744" s="26"/>
      <c r="F744" s="26"/>
      <c r="G744" s="26"/>
      <c r="H744" s="26"/>
      <c r="I744" s="26"/>
    </row>
    <row r="745" spans="1:9">
      <c r="A745" s="21"/>
      <c r="B745" s="21"/>
      <c r="D745" s="26"/>
      <c r="E745" s="26"/>
      <c r="F745" s="26"/>
      <c r="G745" s="26"/>
      <c r="H745" s="26"/>
      <c r="I745" s="26"/>
    </row>
    <row r="746" spans="1:9">
      <c r="A746" s="21"/>
      <c r="B746" s="21"/>
      <c r="D746" s="26"/>
      <c r="E746" s="26"/>
      <c r="F746" s="26"/>
      <c r="G746" s="26"/>
      <c r="H746" s="26"/>
      <c r="I746" s="26"/>
    </row>
    <row r="747" spans="1:9">
      <c r="A747" s="21"/>
      <c r="B747" s="21"/>
      <c r="D747" s="26"/>
      <c r="E747" s="26"/>
      <c r="F747" s="26"/>
      <c r="G747" s="26"/>
      <c r="H747" s="26"/>
      <c r="I747" s="26"/>
    </row>
    <row r="748" spans="1:9">
      <c r="A748" s="21"/>
      <c r="B748" s="21"/>
      <c r="D748" s="26"/>
      <c r="E748" s="26"/>
      <c r="F748" s="26"/>
      <c r="G748" s="26"/>
      <c r="H748" s="26"/>
      <c r="I748" s="26"/>
    </row>
    <row r="749" spans="1:9">
      <c r="A749" s="21"/>
      <c r="B749" s="21"/>
      <c r="D749" s="26"/>
      <c r="E749" s="26"/>
      <c r="F749" s="26"/>
      <c r="G749" s="26"/>
      <c r="H749" s="26"/>
      <c r="I749" s="26"/>
    </row>
    <row r="750" spans="1:9">
      <c r="A750" s="21"/>
      <c r="B750" s="21"/>
      <c r="D750" s="26"/>
      <c r="E750" s="26"/>
      <c r="F750" s="26"/>
      <c r="G750" s="26"/>
      <c r="H750" s="26"/>
      <c r="I750" s="26"/>
    </row>
    <row r="751" spans="1:9">
      <c r="A751" s="21"/>
      <c r="B751" s="21"/>
      <c r="D751" s="26"/>
      <c r="E751" s="26"/>
      <c r="F751" s="26"/>
      <c r="G751" s="26"/>
      <c r="H751" s="26"/>
      <c r="I751" s="26"/>
    </row>
    <row r="752" spans="1:9">
      <c r="A752" s="21"/>
      <c r="B752" s="21"/>
      <c r="D752" s="26"/>
      <c r="E752" s="26"/>
      <c r="F752" s="26"/>
      <c r="G752" s="26"/>
      <c r="H752" s="26"/>
      <c r="I752" s="26"/>
    </row>
    <row r="753" spans="1:9">
      <c r="A753" s="21"/>
      <c r="B753" s="21"/>
      <c r="D753" s="26"/>
      <c r="E753" s="26"/>
      <c r="F753" s="26"/>
      <c r="G753" s="26"/>
      <c r="H753" s="26"/>
      <c r="I753" s="26"/>
    </row>
    <row r="754" spans="1:9">
      <c r="A754" s="21"/>
      <c r="B754" s="21"/>
      <c r="D754" s="26"/>
      <c r="E754" s="26"/>
      <c r="F754" s="26"/>
      <c r="G754" s="26"/>
      <c r="H754" s="26"/>
      <c r="I754" s="26"/>
    </row>
    <row r="755" spans="1:9">
      <c r="A755" s="21"/>
      <c r="B755" s="21"/>
      <c r="D755" s="26"/>
      <c r="E755" s="26"/>
      <c r="F755" s="26"/>
      <c r="G755" s="26"/>
      <c r="H755" s="26"/>
      <c r="I755" s="26"/>
    </row>
    <row r="756" spans="1:9">
      <c r="A756" s="21"/>
      <c r="B756" s="21"/>
      <c r="D756" s="26"/>
      <c r="E756" s="26"/>
      <c r="F756" s="26"/>
      <c r="G756" s="26"/>
      <c r="H756" s="26"/>
      <c r="I756" s="26"/>
    </row>
    <row r="757" spans="1:9">
      <c r="A757" s="21"/>
      <c r="B757" s="21"/>
      <c r="D757" s="26"/>
      <c r="E757" s="26"/>
      <c r="F757" s="26"/>
      <c r="G757" s="26"/>
      <c r="H757" s="26"/>
      <c r="I757" s="26"/>
    </row>
    <row r="758" spans="1:9">
      <c r="A758" s="21"/>
      <c r="B758" s="21"/>
      <c r="D758" s="26"/>
      <c r="E758" s="26"/>
      <c r="F758" s="26"/>
      <c r="G758" s="26"/>
      <c r="H758" s="26"/>
      <c r="I758" s="26"/>
    </row>
    <row r="759" spans="1:9">
      <c r="A759" s="21"/>
      <c r="B759" s="21"/>
      <c r="D759" s="26"/>
      <c r="E759" s="26"/>
      <c r="F759" s="26"/>
      <c r="G759" s="26"/>
      <c r="H759" s="26"/>
      <c r="I759" s="26"/>
    </row>
    <row r="760" spans="1:9">
      <c r="A760" s="21"/>
      <c r="B760" s="21"/>
      <c r="D760" s="26"/>
      <c r="E760" s="26"/>
      <c r="F760" s="26"/>
      <c r="G760" s="26"/>
      <c r="H760" s="26"/>
      <c r="I760" s="26"/>
    </row>
    <row r="761" spans="1:9">
      <c r="A761" s="21"/>
      <c r="B761" s="21"/>
      <c r="D761" s="26"/>
      <c r="E761" s="26"/>
      <c r="F761" s="26"/>
      <c r="G761" s="26"/>
      <c r="H761" s="26"/>
      <c r="I761" s="26"/>
    </row>
    <row r="762" spans="1:9">
      <c r="A762" s="21"/>
      <c r="B762" s="21"/>
      <c r="D762" s="26"/>
      <c r="E762" s="26"/>
      <c r="F762" s="26"/>
      <c r="G762" s="26"/>
      <c r="H762" s="26"/>
      <c r="I762" s="26"/>
    </row>
    <row r="763" spans="1:9">
      <c r="A763" s="21"/>
      <c r="B763" s="21"/>
      <c r="D763" s="26"/>
      <c r="E763" s="26"/>
      <c r="F763" s="26"/>
      <c r="G763" s="26"/>
      <c r="H763" s="26"/>
      <c r="I763" s="26"/>
    </row>
    <row r="764" spans="1:9">
      <c r="A764" s="21"/>
      <c r="B764" s="21"/>
      <c r="D764" s="26"/>
      <c r="E764" s="26"/>
      <c r="F764" s="26"/>
      <c r="G764" s="26"/>
      <c r="H764" s="26"/>
      <c r="I764" s="26"/>
    </row>
    <row r="765" spans="1:9">
      <c r="A765" s="21"/>
      <c r="B765" s="21"/>
      <c r="D765" s="26"/>
      <c r="E765" s="26"/>
      <c r="F765" s="26"/>
      <c r="G765" s="26"/>
      <c r="H765" s="26"/>
      <c r="I765" s="26"/>
    </row>
    <row r="766" spans="1:9">
      <c r="A766" s="21"/>
      <c r="B766" s="21"/>
      <c r="D766" s="26"/>
      <c r="E766" s="26"/>
      <c r="F766" s="26"/>
      <c r="G766" s="26"/>
      <c r="H766" s="26"/>
      <c r="I766" s="26"/>
    </row>
    <row r="767" spans="1:9">
      <c r="A767" s="21"/>
      <c r="B767" s="21"/>
      <c r="D767" s="26"/>
      <c r="E767" s="26"/>
      <c r="F767" s="26"/>
      <c r="G767" s="26"/>
      <c r="H767" s="26"/>
      <c r="I767" s="26"/>
    </row>
    <row r="768" spans="1:9">
      <c r="A768" s="21"/>
      <c r="B768" s="21"/>
      <c r="D768" s="26"/>
      <c r="E768" s="26"/>
      <c r="F768" s="26"/>
      <c r="G768" s="26"/>
      <c r="H768" s="26"/>
      <c r="I768" s="26"/>
    </row>
    <row r="769" spans="1:9">
      <c r="A769" s="21"/>
      <c r="B769" s="21"/>
      <c r="D769" s="26"/>
      <c r="E769" s="26"/>
      <c r="F769" s="26"/>
      <c r="G769" s="26"/>
      <c r="H769" s="26"/>
      <c r="I769" s="26"/>
    </row>
    <row r="770" spans="1:9">
      <c r="A770" s="21"/>
      <c r="B770" s="21"/>
      <c r="D770" s="26"/>
      <c r="E770" s="26"/>
      <c r="F770" s="26"/>
      <c r="G770" s="26"/>
      <c r="H770" s="26"/>
      <c r="I770" s="26"/>
    </row>
    <row r="771" spans="1:9">
      <c r="A771" s="21"/>
      <c r="B771" s="21"/>
      <c r="D771" s="26"/>
      <c r="E771" s="26"/>
      <c r="F771" s="26"/>
      <c r="G771" s="26"/>
      <c r="H771" s="26"/>
      <c r="I771" s="26"/>
    </row>
    <row r="772" spans="1:9">
      <c r="A772" s="21"/>
      <c r="B772" s="21"/>
      <c r="D772" s="26"/>
      <c r="E772" s="26"/>
      <c r="F772" s="26"/>
      <c r="G772" s="26"/>
      <c r="H772" s="26"/>
      <c r="I772" s="26"/>
    </row>
    <row r="773" spans="1:9">
      <c r="A773" s="21"/>
      <c r="B773" s="21"/>
      <c r="D773" s="26"/>
      <c r="E773" s="26"/>
      <c r="F773" s="26"/>
      <c r="G773" s="26"/>
      <c r="H773" s="26"/>
      <c r="I773" s="26"/>
    </row>
    <row r="774" spans="1:9">
      <c r="A774" s="21"/>
      <c r="B774" s="21"/>
      <c r="D774" s="26"/>
      <c r="E774" s="26"/>
      <c r="F774" s="26"/>
      <c r="G774" s="26"/>
      <c r="H774" s="26"/>
      <c r="I774" s="26"/>
    </row>
    <row r="775" spans="1:9">
      <c r="A775" s="21"/>
      <c r="B775" s="21"/>
      <c r="D775" s="26"/>
      <c r="E775" s="26"/>
      <c r="F775" s="26"/>
      <c r="G775" s="26"/>
      <c r="H775" s="26"/>
      <c r="I775" s="26"/>
    </row>
    <row r="776" spans="1:9">
      <c r="A776" s="21"/>
      <c r="B776" s="21"/>
      <c r="D776" s="26"/>
      <c r="E776" s="26"/>
      <c r="F776" s="26"/>
      <c r="G776" s="26"/>
      <c r="H776" s="26"/>
      <c r="I776" s="26"/>
    </row>
    <row r="777" spans="1:9">
      <c r="A777" s="21"/>
      <c r="B777" s="21"/>
      <c r="D777" s="26"/>
      <c r="E777" s="26"/>
      <c r="F777" s="26"/>
      <c r="G777" s="26"/>
      <c r="H777" s="26"/>
      <c r="I777" s="26"/>
    </row>
    <row r="778" spans="1:9">
      <c r="A778" s="21"/>
      <c r="B778" s="21"/>
      <c r="D778" s="26"/>
      <c r="E778" s="26"/>
      <c r="F778" s="26"/>
      <c r="G778" s="26"/>
      <c r="H778" s="26"/>
      <c r="I778" s="26"/>
    </row>
    <row r="779" spans="1:9">
      <c r="A779" s="21"/>
      <c r="B779" s="21"/>
      <c r="D779" s="26"/>
      <c r="E779" s="26"/>
      <c r="F779" s="26"/>
      <c r="G779" s="26"/>
      <c r="H779" s="26"/>
      <c r="I779" s="26"/>
    </row>
    <row r="780" spans="1:9">
      <c r="A780" s="21"/>
      <c r="B780" s="21"/>
      <c r="D780" s="26"/>
      <c r="E780" s="26"/>
      <c r="F780" s="26"/>
      <c r="G780" s="26"/>
      <c r="H780" s="26"/>
      <c r="I780" s="26"/>
    </row>
    <row r="781" spans="1:9">
      <c r="A781" s="21"/>
      <c r="B781" s="21"/>
      <c r="D781" s="26"/>
      <c r="E781" s="26"/>
      <c r="F781" s="26"/>
      <c r="G781" s="26"/>
      <c r="H781" s="26"/>
      <c r="I781" s="26"/>
    </row>
    <row r="782" spans="1:9">
      <c r="A782" s="21"/>
      <c r="B782" s="21"/>
      <c r="D782" s="26"/>
      <c r="E782" s="26"/>
      <c r="F782" s="26"/>
      <c r="G782" s="26"/>
      <c r="H782" s="26"/>
      <c r="I782" s="26"/>
    </row>
    <row r="783" spans="1:9">
      <c r="A783" s="21"/>
      <c r="B783" s="21"/>
      <c r="D783" s="26"/>
      <c r="E783" s="26"/>
      <c r="F783" s="26"/>
      <c r="G783" s="26"/>
      <c r="H783" s="26"/>
      <c r="I783" s="26"/>
    </row>
    <row r="784" spans="1:9">
      <c r="A784" s="21"/>
      <c r="B784" s="21"/>
      <c r="D784" s="26"/>
      <c r="E784" s="26"/>
      <c r="F784" s="26"/>
      <c r="G784" s="26"/>
      <c r="H784" s="26"/>
      <c r="I784" s="26"/>
    </row>
    <row r="785" spans="1:9">
      <c r="A785" s="21"/>
      <c r="B785" s="21"/>
      <c r="D785" s="26"/>
      <c r="E785" s="26"/>
      <c r="F785" s="26"/>
      <c r="G785" s="26"/>
      <c r="H785" s="26"/>
      <c r="I785" s="26"/>
    </row>
    <row r="786" spans="1:9">
      <c r="A786" s="21"/>
      <c r="B786" s="21"/>
      <c r="D786" s="26"/>
      <c r="E786" s="26"/>
      <c r="F786" s="26"/>
      <c r="G786" s="26"/>
      <c r="H786" s="26"/>
      <c r="I786" s="26"/>
    </row>
    <row r="787" spans="1:9">
      <c r="A787" s="21"/>
      <c r="B787" s="21"/>
      <c r="D787" s="26"/>
      <c r="E787" s="26"/>
      <c r="F787" s="26"/>
      <c r="G787" s="26"/>
      <c r="H787" s="26"/>
      <c r="I787" s="26"/>
    </row>
    <row r="788" spans="1:9">
      <c r="A788" s="21"/>
      <c r="B788" s="21"/>
      <c r="D788" s="26"/>
      <c r="E788" s="26"/>
      <c r="F788" s="26"/>
      <c r="G788" s="26"/>
      <c r="H788" s="26"/>
      <c r="I788" s="26"/>
    </row>
    <row r="789" spans="1:9">
      <c r="A789" s="21"/>
      <c r="B789" s="21"/>
      <c r="D789" s="26"/>
      <c r="E789" s="26"/>
      <c r="F789" s="26"/>
      <c r="G789" s="26"/>
      <c r="H789" s="26"/>
      <c r="I789" s="26"/>
    </row>
    <row r="790" spans="1:9">
      <c r="A790" s="21"/>
      <c r="B790" s="21"/>
      <c r="D790" s="26"/>
      <c r="E790" s="26"/>
      <c r="F790" s="26"/>
      <c r="G790" s="26"/>
      <c r="H790" s="26"/>
      <c r="I790" s="26"/>
    </row>
    <row r="791" spans="1:9">
      <c r="A791" s="21"/>
      <c r="B791" s="21"/>
      <c r="D791" s="26"/>
      <c r="E791" s="26"/>
      <c r="F791" s="26"/>
      <c r="G791" s="26"/>
      <c r="H791" s="26"/>
      <c r="I791" s="26"/>
    </row>
    <row r="792" spans="1:9">
      <c r="A792" s="21"/>
      <c r="B792" s="21"/>
      <c r="D792" s="26"/>
      <c r="E792" s="26"/>
      <c r="F792" s="26"/>
      <c r="G792" s="26"/>
      <c r="H792" s="26"/>
      <c r="I792" s="26"/>
    </row>
    <row r="793" spans="1:9">
      <c r="A793" s="21"/>
      <c r="B793" s="21"/>
      <c r="D793" s="26"/>
      <c r="E793" s="26"/>
      <c r="F793" s="26"/>
      <c r="G793" s="26"/>
      <c r="H793" s="26"/>
      <c r="I793" s="26"/>
    </row>
    <row r="794" spans="1:9">
      <c r="A794" s="21"/>
      <c r="B794" s="21"/>
      <c r="D794" s="26"/>
      <c r="E794" s="26"/>
      <c r="F794" s="26"/>
      <c r="G794" s="26"/>
      <c r="H794" s="26"/>
      <c r="I794" s="26"/>
    </row>
    <row r="795" spans="1:9">
      <c r="A795" s="21"/>
      <c r="B795" s="21"/>
      <c r="D795" s="26"/>
      <c r="E795" s="26"/>
      <c r="F795" s="26"/>
      <c r="G795" s="26"/>
      <c r="H795" s="26"/>
      <c r="I795" s="26"/>
    </row>
    <row r="796" spans="1:9">
      <c r="A796" s="21"/>
      <c r="B796" s="21"/>
      <c r="D796" s="26"/>
      <c r="E796" s="26"/>
      <c r="F796" s="26"/>
      <c r="G796" s="26"/>
      <c r="H796" s="26"/>
      <c r="I796" s="26"/>
    </row>
    <row r="797" spans="1:9">
      <c r="A797" s="21"/>
      <c r="B797" s="21"/>
      <c r="D797" s="26"/>
      <c r="E797" s="26"/>
      <c r="F797" s="26"/>
      <c r="G797" s="26"/>
      <c r="H797" s="26"/>
      <c r="I797" s="26"/>
    </row>
    <row r="798" spans="1:9">
      <c r="A798" s="21"/>
      <c r="B798" s="21"/>
      <c r="D798" s="26"/>
      <c r="E798" s="26"/>
      <c r="F798" s="26"/>
      <c r="G798" s="26"/>
      <c r="H798" s="26"/>
      <c r="I798" s="26"/>
    </row>
    <row r="799" spans="1:9">
      <c r="A799" s="21"/>
      <c r="B799" s="21"/>
      <c r="D799" s="26"/>
      <c r="E799" s="26"/>
      <c r="F799" s="26"/>
      <c r="G799" s="26"/>
      <c r="H799" s="26"/>
      <c r="I799" s="26"/>
    </row>
    <row r="800" spans="1:9">
      <c r="A800" s="21"/>
      <c r="B800" s="21"/>
      <c r="D800" s="26"/>
      <c r="E800" s="26"/>
      <c r="F800" s="26"/>
      <c r="G800" s="26"/>
      <c r="H800" s="26"/>
      <c r="I800" s="26"/>
    </row>
    <row r="801" spans="1:9">
      <c r="A801" s="21"/>
      <c r="B801" s="21"/>
      <c r="D801" s="26"/>
      <c r="E801" s="26"/>
      <c r="F801" s="26"/>
      <c r="G801" s="26"/>
      <c r="H801" s="26"/>
      <c r="I801" s="26"/>
    </row>
    <row r="802" spans="1:9">
      <c r="A802" s="21"/>
      <c r="B802" s="21"/>
      <c r="D802" s="26"/>
      <c r="E802" s="26"/>
      <c r="F802" s="26"/>
      <c r="G802" s="26"/>
      <c r="H802" s="26"/>
      <c r="I802" s="26"/>
    </row>
    <row r="803" spans="1:9">
      <c r="A803" s="21"/>
      <c r="B803" s="21"/>
      <c r="D803" s="26"/>
      <c r="E803" s="26"/>
      <c r="F803" s="26"/>
      <c r="G803" s="26"/>
      <c r="H803" s="26"/>
      <c r="I803" s="26"/>
    </row>
    <row r="804" spans="1:9">
      <c r="A804" s="21"/>
      <c r="B804" s="21"/>
      <c r="D804" s="26"/>
      <c r="E804" s="26"/>
      <c r="F804" s="26"/>
      <c r="G804" s="26"/>
      <c r="H804" s="26"/>
      <c r="I804" s="26"/>
    </row>
    <row r="805" spans="1:9">
      <c r="A805" s="21"/>
      <c r="B805" s="21"/>
      <c r="D805" s="26"/>
      <c r="E805" s="26"/>
      <c r="F805" s="26"/>
      <c r="G805" s="26"/>
      <c r="H805" s="26"/>
      <c r="I805" s="26"/>
    </row>
    <row r="806" spans="1:9">
      <c r="A806" s="21"/>
      <c r="B806" s="21"/>
      <c r="D806" s="26"/>
      <c r="E806" s="26"/>
      <c r="F806" s="26"/>
      <c r="G806" s="26"/>
      <c r="H806" s="26"/>
      <c r="I806" s="26"/>
    </row>
    <row r="807" spans="1:9">
      <c r="A807" s="21"/>
      <c r="B807" s="21"/>
      <c r="D807" s="26"/>
      <c r="E807" s="26"/>
      <c r="F807" s="26"/>
      <c r="G807" s="26"/>
      <c r="H807" s="26"/>
      <c r="I807" s="26"/>
    </row>
    <row r="808" spans="1:9">
      <c r="A808" s="21"/>
      <c r="B808" s="21"/>
      <c r="D808" s="26"/>
      <c r="E808" s="26"/>
      <c r="F808" s="26"/>
      <c r="G808" s="26"/>
      <c r="H808" s="26"/>
      <c r="I808" s="26"/>
    </row>
    <row r="809" spans="1:9">
      <c r="A809" s="21"/>
      <c r="B809" s="21"/>
      <c r="D809" s="26"/>
      <c r="E809" s="26"/>
      <c r="F809" s="26"/>
      <c r="G809" s="26"/>
      <c r="H809" s="26"/>
      <c r="I809" s="26"/>
    </row>
    <row r="810" spans="1:9">
      <c r="A810" s="21"/>
      <c r="B810" s="21"/>
      <c r="D810" s="26"/>
      <c r="E810" s="26"/>
      <c r="F810" s="26"/>
      <c r="G810" s="26"/>
      <c r="H810" s="26"/>
      <c r="I810" s="26"/>
    </row>
    <row r="811" spans="1:9">
      <c r="A811" s="21"/>
      <c r="B811" s="21"/>
      <c r="D811" s="26"/>
      <c r="E811" s="26"/>
      <c r="F811" s="26"/>
      <c r="G811" s="26"/>
      <c r="H811" s="26"/>
      <c r="I811" s="26"/>
    </row>
    <row r="812" spans="1:9">
      <c r="A812" s="21"/>
      <c r="B812" s="21"/>
      <c r="D812" s="26"/>
      <c r="E812" s="26"/>
      <c r="F812" s="26"/>
      <c r="G812" s="26"/>
      <c r="H812" s="26"/>
      <c r="I812" s="26"/>
    </row>
    <row r="813" spans="1:9">
      <c r="A813" s="21"/>
      <c r="B813" s="21"/>
      <c r="D813" s="26"/>
      <c r="E813" s="26"/>
      <c r="F813" s="26"/>
      <c r="G813" s="26"/>
      <c r="H813" s="26"/>
      <c r="I813" s="26"/>
    </row>
    <row r="814" spans="1:9">
      <c r="A814" s="21"/>
      <c r="B814" s="21"/>
      <c r="D814" s="26"/>
      <c r="E814" s="26"/>
      <c r="F814" s="26"/>
      <c r="G814" s="26"/>
      <c r="H814" s="26"/>
      <c r="I814" s="26"/>
    </row>
    <row r="815" spans="1:9">
      <c r="A815" s="21"/>
      <c r="B815" s="21"/>
      <c r="D815" s="26"/>
      <c r="E815" s="26"/>
      <c r="F815" s="26"/>
      <c r="G815" s="26"/>
      <c r="H815" s="26"/>
      <c r="I815" s="26"/>
    </row>
    <row r="816" spans="1:9">
      <c r="A816" s="21"/>
      <c r="B816" s="21"/>
      <c r="D816" s="26"/>
      <c r="E816" s="26"/>
      <c r="F816" s="26"/>
      <c r="G816" s="26"/>
      <c r="H816" s="26"/>
      <c r="I816" s="26"/>
    </row>
    <row r="817" spans="1:9">
      <c r="A817" s="21"/>
      <c r="B817" s="21"/>
      <c r="D817" s="26"/>
      <c r="E817" s="26"/>
      <c r="F817" s="26"/>
      <c r="G817" s="26"/>
      <c r="H817" s="26"/>
      <c r="I817" s="26"/>
    </row>
    <row r="818" spans="1:9">
      <c r="A818" s="21"/>
      <c r="B818" s="21"/>
      <c r="D818" s="26"/>
      <c r="E818" s="26"/>
      <c r="F818" s="26"/>
      <c r="G818" s="26"/>
      <c r="H818" s="26"/>
      <c r="I818" s="26"/>
    </row>
    <row r="819" spans="1:9">
      <c r="A819" s="21"/>
      <c r="B819" s="21"/>
      <c r="D819" s="26"/>
      <c r="E819" s="26"/>
      <c r="F819" s="26"/>
      <c r="G819" s="26"/>
      <c r="H819" s="26"/>
      <c r="I819" s="26"/>
    </row>
    <row r="820" spans="1:9">
      <c r="A820" s="21"/>
      <c r="B820" s="21"/>
      <c r="D820" s="26"/>
      <c r="E820" s="26"/>
      <c r="F820" s="26"/>
      <c r="G820" s="26"/>
      <c r="H820" s="26"/>
      <c r="I820" s="26"/>
    </row>
    <row r="821" spans="1:9">
      <c r="A821" s="21"/>
      <c r="B821" s="21"/>
      <c r="D821" s="26"/>
      <c r="E821" s="26"/>
      <c r="F821" s="26"/>
      <c r="G821" s="26"/>
      <c r="H821" s="26"/>
      <c r="I821" s="26"/>
    </row>
    <row r="822" spans="1:9">
      <c r="A822" s="21"/>
      <c r="B822" s="21"/>
      <c r="D822" s="26"/>
      <c r="E822" s="26"/>
      <c r="F822" s="26"/>
      <c r="G822" s="26"/>
      <c r="H822" s="26"/>
      <c r="I822" s="26"/>
    </row>
    <row r="823" spans="1:9">
      <c r="A823" s="21"/>
      <c r="B823" s="21"/>
      <c r="D823" s="26"/>
      <c r="E823" s="26"/>
      <c r="F823" s="26"/>
      <c r="G823" s="26"/>
      <c r="H823" s="26"/>
      <c r="I823" s="26"/>
    </row>
    <row r="824" spans="1:9">
      <c r="A824" s="21"/>
      <c r="B824" s="21"/>
      <c r="D824" s="26"/>
      <c r="E824" s="26"/>
      <c r="F824" s="26"/>
      <c r="G824" s="26"/>
      <c r="H824" s="26"/>
      <c r="I824" s="26"/>
    </row>
    <row r="825" spans="1:9">
      <c r="A825" s="21"/>
      <c r="B825" s="21"/>
      <c r="D825" s="26"/>
      <c r="E825" s="26"/>
      <c r="F825" s="26"/>
      <c r="G825" s="26"/>
      <c r="H825" s="26"/>
      <c r="I825" s="26"/>
    </row>
    <row r="826" spans="1:9">
      <c r="A826" s="21"/>
      <c r="B826" s="21"/>
      <c r="D826" s="26"/>
      <c r="E826" s="26"/>
      <c r="F826" s="26"/>
      <c r="G826" s="26"/>
      <c r="H826" s="26"/>
      <c r="I826" s="26"/>
    </row>
    <row r="827" spans="1:9">
      <c r="A827" s="21"/>
      <c r="B827" s="21"/>
      <c r="D827" s="26"/>
      <c r="E827" s="26"/>
      <c r="F827" s="26"/>
      <c r="G827" s="26"/>
      <c r="H827" s="26"/>
      <c r="I827" s="26"/>
    </row>
    <row r="828" spans="1:9">
      <c r="A828" s="21"/>
      <c r="B828" s="21"/>
      <c r="D828" s="26"/>
      <c r="E828" s="26"/>
      <c r="F828" s="26"/>
      <c r="G828" s="26"/>
      <c r="H828" s="26"/>
      <c r="I828" s="26"/>
    </row>
    <row r="829" spans="1:9">
      <c r="A829" s="21"/>
      <c r="B829" s="21"/>
      <c r="D829" s="26"/>
      <c r="E829" s="26"/>
      <c r="F829" s="26"/>
      <c r="G829" s="26"/>
      <c r="H829" s="26"/>
      <c r="I829" s="26"/>
    </row>
    <row r="830" spans="1:9">
      <c r="A830" s="21"/>
      <c r="B830" s="21"/>
      <c r="D830" s="26"/>
      <c r="E830" s="26"/>
      <c r="F830" s="26"/>
      <c r="G830" s="26"/>
      <c r="H830" s="26"/>
      <c r="I830" s="26"/>
    </row>
    <row r="831" spans="1:9">
      <c r="A831" s="21"/>
      <c r="B831" s="21"/>
      <c r="D831" s="26"/>
      <c r="E831" s="26"/>
      <c r="F831" s="26"/>
      <c r="G831" s="26"/>
      <c r="H831" s="26"/>
      <c r="I831" s="26"/>
    </row>
    <row r="832" spans="1:9">
      <c r="A832" s="21"/>
      <c r="B832" s="21"/>
      <c r="D832" s="26"/>
      <c r="E832" s="26"/>
      <c r="F832" s="26"/>
      <c r="G832" s="26"/>
      <c r="H832" s="26"/>
      <c r="I832" s="26"/>
    </row>
    <row r="833" spans="1:9">
      <c r="A833" s="21"/>
      <c r="B833" s="21"/>
      <c r="D833" s="26"/>
      <c r="E833" s="26"/>
      <c r="F833" s="26"/>
      <c r="G833" s="26"/>
      <c r="H833" s="26"/>
      <c r="I833" s="26"/>
    </row>
    <row r="834" spans="1:9">
      <c r="A834" s="21"/>
      <c r="B834" s="21"/>
      <c r="D834" s="26"/>
      <c r="E834" s="26"/>
      <c r="F834" s="26"/>
      <c r="G834" s="26"/>
      <c r="H834" s="26"/>
      <c r="I834" s="26"/>
    </row>
    <row r="835" spans="1:9">
      <c r="A835" s="21"/>
      <c r="B835" s="21"/>
      <c r="D835" s="26"/>
      <c r="E835" s="26"/>
      <c r="F835" s="26"/>
      <c r="G835" s="26"/>
      <c r="H835" s="26"/>
      <c r="I835" s="26"/>
    </row>
    <row r="836" spans="1:9">
      <c r="A836" s="21"/>
      <c r="B836" s="21"/>
      <c r="D836" s="26"/>
      <c r="E836" s="26"/>
      <c r="F836" s="26"/>
      <c r="G836" s="26"/>
      <c r="H836" s="26"/>
      <c r="I836" s="26"/>
    </row>
    <row r="837" spans="1:9">
      <c r="A837" s="21"/>
      <c r="B837" s="21"/>
      <c r="D837" s="26"/>
      <c r="E837" s="26"/>
      <c r="F837" s="26"/>
      <c r="G837" s="26"/>
      <c r="H837" s="26"/>
      <c r="I837" s="26"/>
    </row>
    <row r="838" spans="1:9">
      <c r="A838" s="21"/>
      <c r="B838" s="21"/>
      <c r="D838" s="26"/>
      <c r="E838" s="26"/>
      <c r="F838" s="26"/>
      <c r="G838" s="26"/>
      <c r="H838" s="26"/>
      <c r="I838" s="26"/>
    </row>
    <row r="839" spans="1:9">
      <c r="A839" s="21"/>
      <c r="B839" s="21"/>
      <c r="D839" s="26"/>
      <c r="E839" s="26"/>
      <c r="F839" s="26"/>
      <c r="G839" s="26"/>
      <c r="H839" s="26"/>
      <c r="I839" s="26"/>
    </row>
    <row r="840" spans="1:9">
      <c r="A840" s="21"/>
      <c r="B840" s="21"/>
      <c r="D840" s="26"/>
      <c r="E840" s="26"/>
      <c r="F840" s="26"/>
      <c r="G840" s="26"/>
      <c r="H840" s="26"/>
      <c r="I840" s="26"/>
    </row>
    <row r="841" spans="1:9">
      <c r="A841" s="21"/>
      <c r="B841" s="21"/>
      <c r="D841" s="26"/>
      <c r="E841" s="26"/>
      <c r="F841" s="26"/>
      <c r="G841" s="26"/>
      <c r="H841" s="26"/>
      <c r="I841" s="26"/>
    </row>
    <row r="842" spans="1:9">
      <c r="A842" s="21"/>
      <c r="B842" s="21"/>
      <c r="D842" s="26"/>
      <c r="E842" s="26"/>
      <c r="F842" s="26"/>
      <c r="G842" s="26"/>
      <c r="H842" s="26"/>
      <c r="I842" s="26"/>
    </row>
    <row r="843" spans="1:9">
      <c r="A843" s="21"/>
      <c r="B843" s="21"/>
      <c r="D843" s="26"/>
      <c r="E843" s="26"/>
      <c r="F843" s="26"/>
      <c r="G843" s="26"/>
      <c r="H843" s="26"/>
      <c r="I843" s="26"/>
    </row>
    <row r="844" spans="1:9">
      <c r="A844" s="21"/>
      <c r="B844" s="21"/>
      <c r="D844" s="26"/>
      <c r="E844" s="26"/>
      <c r="F844" s="26"/>
      <c r="G844" s="26"/>
      <c r="H844" s="26"/>
      <c r="I844" s="26"/>
    </row>
    <row r="845" spans="1:9">
      <c r="A845" s="21"/>
      <c r="B845" s="21"/>
      <c r="D845" s="26"/>
      <c r="E845" s="26"/>
      <c r="F845" s="26"/>
      <c r="G845" s="26"/>
      <c r="H845" s="26"/>
      <c r="I845" s="26"/>
    </row>
    <row r="846" spans="1:9">
      <c r="A846" s="21"/>
      <c r="B846" s="21"/>
      <c r="D846" s="26"/>
      <c r="E846" s="26"/>
      <c r="F846" s="26"/>
      <c r="G846" s="26"/>
      <c r="H846" s="26"/>
      <c r="I846" s="26"/>
    </row>
    <row r="847" spans="1:9">
      <c r="A847" s="21"/>
      <c r="B847" s="21"/>
      <c r="D847" s="26"/>
      <c r="E847" s="26"/>
      <c r="F847" s="26"/>
      <c r="G847" s="26"/>
      <c r="H847" s="26"/>
      <c r="I847" s="26"/>
    </row>
    <row r="848" spans="1:9">
      <c r="A848" s="21"/>
      <c r="B848" s="21"/>
      <c r="D848" s="26"/>
      <c r="E848" s="26"/>
      <c r="F848" s="26"/>
      <c r="G848" s="26"/>
      <c r="H848" s="26"/>
      <c r="I848" s="26"/>
    </row>
    <row r="849" spans="1:9">
      <c r="A849" s="21"/>
      <c r="B849" s="21"/>
      <c r="D849" s="26"/>
      <c r="E849" s="26"/>
      <c r="F849" s="26"/>
      <c r="G849" s="26"/>
      <c r="H849" s="26"/>
      <c r="I849" s="26"/>
    </row>
    <row r="850" spans="1:9">
      <c r="A850" s="21"/>
      <c r="B850" s="21"/>
      <c r="D850" s="26"/>
      <c r="E850" s="26"/>
      <c r="F850" s="26"/>
      <c r="G850" s="26"/>
      <c r="H850" s="26"/>
      <c r="I850" s="26"/>
    </row>
    <row r="851" spans="1:9">
      <c r="A851" s="21"/>
      <c r="B851" s="21"/>
      <c r="D851" s="26"/>
      <c r="E851" s="26"/>
      <c r="F851" s="26"/>
      <c r="G851" s="26"/>
      <c r="H851" s="26"/>
      <c r="I851" s="26"/>
    </row>
    <row r="852" spans="1:9">
      <c r="A852" s="21"/>
      <c r="B852" s="21"/>
      <c r="D852" s="26"/>
      <c r="E852" s="26"/>
      <c r="F852" s="26"/>
      <c r="G852" s="26"/>
      <c r="H852" s="26"/>
      <c r="I852" s="26"/>
    </row>
    <row r="853" spans="1:9">
      <c r="A853" s="21"/>
      <c r="B853" s="21"/>
      <c r="D853" s="26"/>
      <c r="E853" s="26"/>
      <c r="F853" s="26"/>
      <c r="G853" s="26"/>
      <c r="H853" s="26"/>
      <c r="I853" s="26"/>
    </row>
    <row r="854" spans="1:9">
      <c r="A854" s="21"/>
      <c r="B854" s="21"/>
      <c r="D854" s="26"/>
      <c r="E854" s="26"/>
      <c r="F854" s="26"/>
      <c r="G854" s="26"/>
      <c r="H854" s="26"/>
      <c r="I854" s="26"/>
    </row>
    <row r="855" spans="1:9">
      <c r="A855" s="21"/>
      <c r="B855" s="21"/>
      <c r="D855" s="26"/>
      <c r="E855" s="26"/>
      <c r="F855" s="26"/>
      <c r="G855" s="26"/>
      <c r="H855" s="26"/>
      <c r="I855" s="26"/>
    </row>
    <row r="856" spans="1:9">
      <c r="A856" s="21"/>
      <c r="B856" s="21"/>
      <c r="D856" s="26"/>
      <c r="E856" s="26"/>
      <c r="F856" s="26"/>
      <c r="G856" s="26"/>
      <c r="H856" s="26"/>
      <c r="I856" s="26"/>
    </row>
    <row r="857" spans="1:9">
      <c r="A857" s="21"/>
      <c r="B857" s="21"/>
      <c r="D857" s="26"/>
      <c r="E857" s="26"/>
      <c r="F857" s="26"/>
      <c r="G857" s="26"/>
      <c r="H857" s="26"/>
      <c r="I857" s="26"/>
    </row>
    <row r="858" spans="1:9">
      <c r="A858" s="21"/>
      <c r="B858" s="21"/>
      <c r="D858" s="26"/>
      <c r="E858" s="26"/>
      <c r="F858" s="26"/>
      <c r="G858" s="26"/>
      <c r="H858" s="26"/>
      <c r="I858" s="26"/>
    </row>
    <row r="859" spans="1:9">
      <c r="A859" s="21"/>
      <c r="B859" s="21"/>
      <c r="D859" s="26"/>
      <c r="E859" s="26"/>
      <c r="F859" s="26"/>
      <c r="G859" s="26"/>
      <c r="H859" s="26"/>
      <c r="I859" s="26"/>
    </row>
    <row r="860" spans="1:9">
      <c r="A860" s="21"/>
      <c r="B860" s="21"/>
      <c r="D860" s="26"/>
      <c r="E860" s="26"/>
      <c r="F860" s="26"/>
      <c r="G860" s="26"/>
      <c r="H860" s="26"/>
      <c r="I860" s="26"/>
    </row>
    <row r="861" spans="1:9">
      <c r="A861" s="21"/>
      <c r="B861" s="21"/>
      <c r="D861" s="26"/>
      <c r="E861" s="26"/>
      <c r="F861" s="26"/>
      <c r="G861" s="26"/>
      <c r="H861" s="26"/>
      <c r="I861" s="26"/>
    </row>
    <row r="862" spans="1:9">
      <c r="A862" s="21"/>
      <c r="B862" s="21"/>
      <c r="D862" s="26"/>
      <c r="E862" s="26"/>
      <c r="F862" s="26"/>
      <c r="G862" s="26"/>
      <c r="H862" s="26"/>
      <c r="I862" s="26"/>
    </row>
    <row r="863" spans="1:9">
      <c r="A863" s="21"/>
      <c r="B863" s="21"/>
      <c r="D863" s="26"/>
      <c r="E863" s="26"/>
      <c r="F863" s="26"/>
      <c r="G863" s="26"/>
      <c r="H863" s="26"/>
      <c r="I863" s="26"/>
    </row>
    <row r="864" spans="1:9">
      <c r="A864" s="21"/>
      <c r="B864" s="21"/>
      <c r="D864" s="26"/>
      <c r="E864" s="26"/>
      <c r="F864" s="26"/>
      <c r="G864" s="26"/>
      <c r="H864" s="26"/>
      <c r="I864" s="26"/>
    </row>
    <row r="865" spans="1:9">
      <c r="A865" s="21"/>
      <c r="B865" s="21"/>
      <c r="D865" s="26"/>
      <c r="E865" s="26"/>
      <c r="F865" s="26"/>
      <c r="G865" s="26"/>
      <c r="H865" s="26"/>
      <c r="I865" s="26"/>
    </row>
    <row r="866" spans="1:9">
      <c r="A866" s="21"/>
      <c r="B866" s="21"/>
      <c r="D866" s="26"/>
      <c r="E866" s="26"/>
      <c r="F866" s="26"/>
      <c r="G866" s="26"/>
      <c r="H866" s="26"/>
      <c r="I866" s="26"/>
    </row>
    <row r="867" spans="1:9">
      <c r="A867" s="21"/>
      <c r="B867" s="21"/>
      <c r="D867" s="26"/>
      <c r="E867" s="26"/>
      <c r="F867" s="26"/>
      <c r="G867" s="26"/>
      <c r="H867" s="26"/>
      <c r="I867" s="26"/>
    </row>
    <row r="868" spans="1:9">
      <c r="A868" s="21"/>
      <c r="B868" s="21"/>
      <c r="D868" s="26"/>
      <c r="E868" s="26"/>
      <c r="F868" s="26"/>
      <c r="G868" s="26"/>
      <c r="H868" s="26"/>
      <c r="I868" s="26"/>
    </row>
    <row r="869" spans="1:9">
      <c r="A869" s="21"/>
      <c r="B869" s="21"/>
      <c r="D869" s="26"/>
      <c r="E869" s="26"/>
      <c r="F869" s="26"/>
      <c r="G869" s="26"/>
      <c r="H869" s="26"/>
      <c r="I869" s="26"/>
    </row>
    <row r="870" spans="1:9">
      <c r="A870" s="21"/>
      <c r="B870" s="21"/>
      <c r="D870" s="26"/>
      <c r="E870" s="26"/>
      <c r="F870" s="26"/>
      <c r="G870" s="26"/>
      <c r="H870" s="26"/>
      <c r="I870" s="26"/>
    </row>
    <row r="871" spans="1:9">
      <c r="A871" s="21"/>
      <c r="B871" s="21"/>
      <c r="D871" s="26"/>
      <c r="E871" s="26"/>
      <c r="F871" s="26"/>
      <c r="G871" s="26"/>
      <c r="H871" s="26"/>
      <c r="I871" s="26"/>
    </row>
    <row r="872" spans="1:9">
      <c r="A872" s="21"/>
      <c r="B872" s="21"/>
      <c r="D872" s="26"/>
      <c r="E872" s="26"/>
      <c r="F872" s="26"/>
      <c r="G872" s="26"/>
      <c r="H872" s="26"/>
      <c r="I872" s="26"/>
    </row>
    <row r="873" spans="1:9">
      <c r="A873" s="21"/>
      <c r="B873" s="21"/>
      <c r="D873" s="26"/>
      <c r="E873" s="26"/>
      <c r="F873" s="26"/>
      <c r="G873" s="26"/>
      <c r="H873" s="26"/>
      <c r="I873" s="26"/>
    </row>
    <row r="874" spans="1:9">
      <c r="A874" s="21"/>
      <c r="B874" s="21"/>
      <c r="D874" s="26"/>
      <c r="E874" s="26"/>
      <c r="F874" s="26"/>
      <c r="G874" s="26"/>
      <c r="H874" s="26"/>
      <c r="I874" s="26"/>
    </row>
    <row r="875" spans="1:9">
      <c r="A875" s="21"/>
      <c r="B875" s="21"/>
      <c r="D875" s="26"/>
      <c r="E875" s="26"/>
      <c r="F875" s="26"/>
      <c r="G875" s="26"/>
      <c r="H875" s="26"/>
      <c r="I875" s="26"/>
    </row>
    <row r="876" spans="1:9">
      <c r="A876" s="21"/>
      <c r="B876" s="21"/>
      <c r="D876" s="26"/>
      <c r="E876" s="26"/>
      <c r="F876" s="26"/>
      <c r="G876" s="26"/>
      <c r="H876" s="26"/>
      <c r="I876" s="26"/>
    </row>
    <row r="877" spans="1:9">
      <c r="A877" s="21"/>
      <c r="B877" s="21"/>
      <c r="D877" s="26"/>
      <c r="E877" s="26"/>
      <c r="F877" s="26"/>
      <c r="G877" s="26"/>
      <c r="H877" s="26"/>
      <c r="I877" s="26"/>
    </row>
    <row r="878" spans="1:9">
      <c r="A878" s="21"/>
      <c r="B878" s="21"/>
      <c r="D878" s="26"/>
      <c r="E878" s="26"/>
      <c r="F878" s="26"/>
      <c r="G878" s="26"/>
      <c r="H878" s="26"/>
      <c r="I878" s="26"/>
    </row>
    <row r="879" spans="1:9">
      <c r="A879" s="21"/>
      <c r="B879" s="21"/>
      <c r="D879" s="26"/>
      <c r="E879" s="26"/>
      <c r="F879" s="26"/>
      <c r="G879" s="26"/>
      <c r="H879" s="26"/>
      <c r="I879" s="26"/>
    </row>
    <row r="880" spans="1:9">
      <c r="A880" s="21"/>
      <c r="B880" s="21"/>
      <c r="D880" s="26"/>
      <c r="E880" s="26"/>
      <c r="F880" s="26"/>
      <c r="G880" s="26"/>
      <c r="H880" s="26"/>
      <c r="I880" s="26"/>
    </row>
    <row r="881" spans="1:9">
      <c r="A881" s="21"/>
      <c r="B881" s="21"/>
      <c r="D881" s="26"/>
      <c r="E881" s="26"/>
      <c r="F881" s="26"/>
      <c r="G881" s="26"/>
      <c r="H881" s="26"/>
      <c r="I881" s="26"/>
    </row>
    <row r="882" spans="1:9">
      <c r="A882" s="21"/>
      <c r="B882" s="21"/>
      <c r="D882" s="26"/>
      <c r="E882" s="26"/>
      <c r="F882" s="26"/>
      <c r="G882" s="26"/>
      <c r="H882" s="26"/>
      <c r="I882" s="26"/>
    </row>
    <row r="883" spans="1:9">
      <c r="A883" s="21"/>
      <c r="B883" s="21"/>
      <c r="D883" s="26"/>
      <c r="E883" s="26"/>
      <c r="F883" s="26"/>
      <c r="G883" s="26"/>
      <c r="H883" s="26"/>
      <c r="I883" s="26"/>
    </row>
    <row r="884" spans="1:9">
      <c r="A884" s="21"/>
      <c r="B884" s="21"/>
      <c r="D884" s="26"/>
      <c r="E884" s="26"/>
      <c r="F884" s="26"/>
      <c r="G884" s="26"/>
      <c r="H884" s="26"/>
      <c r="I884" s="26"/>
    </row>
    <row r="885" spans="1:9">
      <c r="A885" s="21"/>
      <c r="B885" s="21"/>
      <c r="D885" s="26"/>
      <c r="E885" s="26"/>
      <c r="F885" s="26"/>
      <c r="G885" s="26"/>
      <c r="H885" s="26"/>
      <c r="I885" s="26"/>
    </row>
    <row r="886" spans="1:9">
      <c r="A886" s="21"/>
      <c r="B886" s="21"/>
      <c r="D886" s="26"/>
      <c r="E886" s="26"/>
      <c r="F886" s="26"/>
      <c r="G886" s="26"/>
      <c r="H886" s="26"/>
      <c r="I886" s="26"/>
    </row>
    <row r="887" spans="1:9">
      <c r="A887" s="21"/>
      <c r="B887" s="21"/>
      <c r="D887" s="26"/>
      <c r="E887" s="26"/>
      <c r="F887" s="26"/>
      <c r="G887" s="26"/>
      <c r="H887" s="26"/>
      <c r="I887" s="26"/>
    </row>
    <row r="888" spans="1:9">
      <c r="A888" s="21"/>
      <c r="B888" s="21"/>
      <c r="D888" s="26"/>
      <c r="E888" s="26"/>
      <c r="F888" s="26"/>
      <c r="G888" s="26"/>
      <c r="H888" s="26"/>
      <c r="I888" s="26"/>
    </row>
    <row r="889" spans="1:9">
      <c r="A889" s="21"/>
      <c r="B889" s="21"/>
      <c r="D889" s="26"/>
      <c r="E889" s="26"/>
      <c r="F889" s="26"/>
      <c r="G889" s="26"/>
      <c r="H889" s="26"/>
      <c r="I889" s="26"/>
    </row>
    <row r="890" spans="1:9">
      <c r="A890" s="21"/>
      <c r="B890" s="21"/>
      <c r="D890" s="26"/>
      <c r="E890" s="26"/>
      <c r="F890" s="26"/>
      <c r="G890" s="26"/>
      <c r="H890" s="26"/>
      <c r="I890" s="26"/>
    </row>
    <row r="891" spans="1:9">
      <c r="A891" s="21"/>
      <c r="B891" s="21"/>
      <c r="D891" s="26"/>
      <c r="E891" s="26"/>
      <c r="F891" s="26"/>
      <c r="G891" s="26"/>
      <c r="H891" s="26"/>
      <c r="I891" s="26"/>
    </row>
    <row r="892" spans="1:9">
      <c r="A892" s="21"/>
      <c r="B892" s="21"/>
      <c r="D892" s="26"/>
      <c r="E892" s="26"/>
      <c r="F892" s="26"/>
      <c r="G892" s="26"/>
      <c r="H892" s="26"/>
      <c r="I892" s="26"/>
    </row>
    <row r="893" spans="1:9">
      <c r="A893" s="21"/>
      <c r="B893" s="21"/>
      <c r="D893" s="26"/>
      <c r="E893" s="26"/>
      <c r="F893" s="26"/>
      <c r="G893" s="26"/>
      <c r="H893" s="26"/>
      <c r="I893" s="26"/>
    </row>
    <row r="894" spans="1:9">
      <c r="A894" s="21"/>
      <c r="B894" s="21"/>
      <c r="D894" s="26"/>
      <c r="E894" s="26"/>
      <c r="F894" s="26"/>
      <c r="G894" s="26"/>
      <c r="H894" s="26"/>
      <c r="I894" s="26"/>
    </row>
    <row r="895" spans="1:9">
      <c r="A895" s="21"/>
      <c r="B895" s="21"/>
      <c r="D895" s="26"/>
      <c r="E895" s="26"/>
      <c r="F895" s="26"/>
      <c r="G895" s="26"/>
      <c r="H895" s="26"/>
      <c r="I895" s="26"/>
    </row>
    <row r="896" spans="1:9">
      <c r="A896" s="21"/>
      <c r="B896" s="21"/>
      <c r="D896" s="26"/>
      <c r="E896" s="26"/>
      <c r="F896" s="26"/>
      <c r="G896" s="26"/>
      <c r="H896" s="26"/>
      <c r="I896" s="26"/>
    </row>
    <row r="897" spans="1:9">
      <c r="A897" s="21"/>
      <c r="B897" s="21"/>
      <c r="D897" s="26"/>
      <c r="E897" s="26"/>
      <c r="F897" s="26"/>
      <c r="G897" s="26"/>
      <c r="H897" s="26"/>
      <c r="I897" s="26"/>
    </row>
    <row r="898" spans="1:9">
      <c r="A898" s="21"/>
      <c r="B898" s="21"/>
      <c r="D898" s="26"/>
      <c r="E898" s="26"/>
      <c r="F898" s="26"/>
      <c r="G898" s="26"/>
      <c r="H898" s="26"/>
      <c r="I898" s="26"/>
    </row>
    <row r="899" spans="1:9">
      <c r="A899" s="21"/>
      <c r="B899" s="21"/>
      <c r="D899" s="26"/>
      <c r="E899" s="26"/>
      <c r="F899" s="26"/>
      <c r="G899" s="26"/>
      <c r="H899" s="26"/>
      <c r="I899" s="26"/>
    </row>
    <row r="900" spans="1:9">
      <c r="A900" s="21"/>
      <c r="B900" s="21"/>
      <c r="D900" s="26"/>
      <c r="E900" s="26"/>
      <c r="F900" s="26"/>
      <c r="G900" s="26"/>
      <c r="H900" s="26"/>
      <c r="I900" s="26"/>
    </row>
    <row r="901" spans="1:9">
      <c r="A901" s="21"/>
      <c r="B901" s="21"/>
      <c r="D901" s="26"/>
      <c r="E901" s="26"/>
      <c r="F901" s="26"/>
      <c r="G901" s="26"/>
      <c r="H901" s="26"/>
      <c r="I901" s="26"/>
    </row>
    <row r="902" spans="1:9">
      <c r="A902" s="21"/>
      <c r="B902" s="21"/>
      <c r="D902" s="26"/>
      <c r="E902" s="26"/>
      <c r="F902" s="26"/>
      <c r="G902" s="26"/>
      <c r="H902" s="26"/>
      <c r="I902" s="26"/>
    </row>
    <row r="903" spans="1:9">
      <c r="A903" s="21"/>
      <c r="B903" s="21"/>
      <c r="D903" s="26"/>
      <c r="E903" s="26"/>
      <c r="F903" s="26"/>
      <c r="G903" s="26"/>
      <c r="H903" s="26"/>
      <c r="I903" s="26"/>
    </row>
    <row r="904" spans="1:9">
      <c r="A904" s="21"/>
      <c r="B904" s="21"/>
      <c r="D904" s="26"/>
      <c r="E904" s="26"/>
      <c r="F904" s="26"/>
      <c r="G904" s="26"/>
      <c r="H904" s="26"/>
      <c r="I904" s="26"/>
    </row>
    <row r="905" spans="1:9">
      <c r="A905" s="21"/>
      <c r="B905" s="21"/>
      <c r="D905" s="26"/>
      <c r="E905" s="26"/>
      <c r="F905" s="26"/>
      <c r="G905" s="26"/>
      <c r="H905" s="26"/>
      <c r="I905" s="26"/>
    </row>
    <row r="906" spans="1:9">
      <c r="A906" s="21"/>
      <c r="B906" s="21"/>
      <c r="D906" s="26"/>
      <c r="E906" s="26"/>
      <c r="F906" s="26"/>
      <c r="G906" s="26"/>
      <c r="H906" s="26"/>
      <c r="I906" s="26"/>
    </row>
    <row r="907" spans="1:9">
      <c r="A907" s="21"/>
      <c r="B907" s="21"/>
      <c r="D907" s="26"/>
      <c r="E907" s="26"/>
      <c r="F907" s="26"/>
      <c r="G907" s="26"/>
      <c r="H907" s="26"/>
      <c r="I907" s="26"/>
    </row>
    <row r="908" spans="1:9">
      <c r="A908" s="21"/>
      <c r="B908" s="21"/>
      <c r="D908" s="26"/>
      <c r="E908" s="26"/>
      <c r="F908" s="26"/>
      <c r="G908" s="26"/>
      <c r="H908" s="26"/>
      <c r="I908" s="26"/>
    </row>
    <row r="909" spans="1:9">
      <c r="A909" s="21"/>
      <c r="B909" s="21"/>
      <c r="D909" s="26"/>
      <c r="E909" s="26"/>
      <c r="F909" s="26"/>
      <c r="G909" s="26"/>
      <c r="H909" s="26"/>
      <c r="I909" s="26"/>
    </row>
    <row r="910" spans="1:9">
      <c r="A910" s="21"/>
      <c r="B910" s="21"/>
      <c r="D910" s="26"/>
      <c r="E910" s="26"/>
      <c r="F910" s="26"/>
      <c r="G910" s="26"/>
      <c r="H910" s="26"/>
      <c r="I910" s="26"/>
    </row>
    <row r="911" spans="1:9">
      <c r="A911" s="21"/>
      <c r="B911" s="21"/>
      <c r="D911" s="26"/>
      <c r="E911" s="26"/>
      <c r="F911" s="26"/>
      <c r="G911" s="26"/>
      <c r="H911" s="26"/>
      <c r="I911" s="26"/>
    </row>
    <row r="912" spans="1:9">
      <c r="A912" s="21"/>
      <c r="B912" s="21"/>
      <c r="D912" s="26"/>
      <c r="E912" s="26"/>
      <c r="F912" s="26"/>
      <c r="G912" s="26"/>
      <c r="H912" s="26"/>
      <c r="I912" s="26"/>
    </row>
    <row r="913" spans="1:9">
      <c r="A913" s="21"/>
      <c r="B913" s="21"/>
      <c r="D913" s="26"/>
      <c r="E913" s="26"/>
      <c r="F913" s="26"/>
      <c r="G913" s="26"/>
      <c r="H913" s="26"/>
      <c r="I913" s="26"/>
    </row>
    <row r="914" spans="1:9">
      <c r="A914" s="21"/>
      <c r="B914" s="21"/>
      <c r="D914" s="26"/>
      <c r="E914" s="26"/>
      <c r="F914" s="26"/>
      <c r="G914" s="26"/>
      <c r="H914" s="26"/>
      <c r="I914" s="26"/>
    </row>
    <row r="915" spans="1:9">
      <c r="A915" s="21"/>
      <c r="B915" s="21"/>
      <c r="D915" s="26"/>
      <c r="E915" s="26"/>
      <c r="F915" s="26"/>
      <c r="G915" s="26"/>
      <c r="H915" s="26"/>
      <c r="I915" s="26"/>
    </row>
    <row r="916" spans="1:9">
      <c r="A916" s="21"/>
      <c r="B916" s="21"/>
      <c r="D916" s="26"/>
      <c r="E916" s="26"/>
      <c r="F916" s="26"/>
      <c r="G916" s="26"/>
      <c r="H916" s="26"/>
      <c r="I916" s="26"/>
    </row>
    <row r="917" spans="1:9">
      <c r="A917" s="21"/>
      <c r="B917" s="21"/>
      <c r="D917" s="26"/>
      <c r="E917" s="26"/>
      <c r="F917" s="26"/>
      <c r="G917" s="26"/>
      <c r="H917" s="26"/>
      <c r="I917" s="26"/>
    </row>
    <row r="918" spans="1:9">
      <c r="A918" s="21"/>
      <c r="B918" s="21"/>
      <c r="D918" s="26"/>
      <c r="E918" s="26"/>
      <c r="F918" s="26"/>
      <c r="G918" s="26"/>
      <c r="H918" s="26"/>
      <c r="I918" s="26"/>
    </row>
    <row r="919" spans="1:9">
      <c r="A919" s="21"/>
      <c r="B919" s="21"/>
      <c r="D919" s="26"/>
      <c r="E919" s="26"/>
      <c r="F919" s="26"/>
      <c r="G919" s="26"/>
      <c r="H919" s="26"/>
      <c r="I919" s="26"/>
    </row>
    <row r="920" spans="1:9">
      <c r="A920" s="21"/>
      <c r="B920" s="21"/>
      <c r="D920" s="26"/>
      <c r="E920" s="26"/>
      <c r="F920" s="26"/>
      <c r="G920" s="26"/>
      <c r="H920" s="26"/>
      <c r="I920" s="26"/>
    </row>
    <row r="921" spans="1:9">
      <c r="A921" s="21"/>
      <c r="B921" s="21"/>
      <c r="D921" s="26"/>
      <c r="E921" s="26"/>
      <c r="F921" s="26"/>
      <c r="G921" s="26"/>
      <c r="H921" s="26"/>
      <c r="I921" s="26"/>
    </row>
    <row r="922" spans="1:9">
      <c r="A922" s="21"/>
      <c r="B922" s="21"/>
      <c r="D922" s="26"/>
      <c r="E922" s="26"/>
      <c r="F922" s="26"/>
      <c r="G922" s="26"/>
      <c r="H922" s="26"/>
      <c r="I922" s="26"/>
    </row>
    <row r="923" spans="1:9">
      <c r="A923" s="21"/>
      <c r="B923" s="21"/>
      <c r="D923" s="26"/>
      <c r="E923" s="26"/>
      <c r="F923" s="26"/>
      <c r="G923" s="26"/>
      <c r="H923" s="26"/>
      <c r="I923" s="26"/>
    </row>
    <row r="924" spans="1:9">
      <c r="A924" s="21"/>
      <c r="B924" s="21"/>
      <c r="D924" s="26"/>
      <c r="E924" s="26"/>
      <c r="F924" s="26"/>
      <c r="G924" s="26"/>
      <c r="H924" s="26"/>
      <c r="I924" s="26"/>
    </row>
    <row r="925" spans="1:9">
      <c r="A925" s="21"/>
      <c r="B925" s="21"/>
      <c r="D925" s="26"/>
      <c r="E925" s="26"/>
      <c r="F925" s="26"/>
      <c r="G925" s="26"/>
      <c r="H925" s="26"/>
      <c r="I925" s="26"/>
    </row>
    <row r="926" spans="1:9">
      <c r="A926" s="21"/>
      <c r="B926" s="21"/>
      <c r="D926" s="26"/>
      <c r="E926" s="26"/>
      <c r="F926" s="26"/>
      <c r="G926" s="26"/>
      <c r="H926" s="26"/>
      <c r="I926" s="26"/>
    </row>
    <row r="927" spans="1:9">
      <c r="A927" s="21"/>
      <c r="B927" s="21"/>
      <c r="D927" s="26"/>
      <c r="E927" s="26"/>
      <c r="F927" s="26"/>
      <c r="G927" s="26"/>
      <c r="H927" s="26"/>
      <c r="I927" s="26"/>
    </row>
    <row r="928" spans="1:9">
      <c r="A928" s="21"/>
      <c r="B928" s="21"/>
      <c r="D928" s="26"/>
      <c r="E928" s="26"/>
      <c r="F928" s="26"/>
      <c r="G928" s="26"/>
      <c r="H928" s="26"/>
      <c r="I928" s="26"/>
    </row>
    <row r="929" spans="1:9">
      <c r="A929" s="21"/>
      <c r="B929" s="21"/>
      <c r="D929" s="26"/>
      <c r="E929" s="26"/>
      <c r="F929" s="26"/>
      <c r="G929" s="26"/>
      <c r="H929" s="26"/>
      <c r="I929" s="26"/>
    </row>
    <row r="930" spans="1:9">
      <c r="A930" s="21"/>
      <c r="B930" s="21"/>
      <c r="D930" s="26"/>
      <c r="E930" s="26"/>
      <c r="F930" s="26"/>
      <c r="G930" s="26"/>
      <c r="H930" s="26"/>
      <c r="I930" s="26"/>
    </row>
    <row r="931" spans="1:9">
      <c r="A931" s="21"/>
      <c r="B931" s="21"/>
      <c r="D931" s="26"/>
      <c r="E931" s="26"/>
      <c r="F931" s="26"/>
      <c r="G931" s="26"/>
      <c r="H931" s="26"/>
      <c r="I931" s="26"/>
    </row>
    <row r="932" spans="1:9">
      <c r="A932" s="21"/>
      <c r="B932" s="21"/>
      <c r="D932" s="26"/>
      <c r="E932" s="26"/>
      <c r="F932" s="26"/>
      <c r="G932" s="26"/>
      <c r="H932" s="26"/>
      <c r="I932" s="26"/>
    </row>
    <row r="933" spans="1:9">
      <c r="A933" s="21"/>
      <c r="B933" s="21"/>
      <c r="D933" s="26"/>
      <c r="E933" s="26"/>
      <c r="F933" s="26"/>
      <c r="G933" s="26"/>
      <c r="H933" s="26"/>
      <c r="I933" s="26"/>
    </row>
    <row r="934" spans="1:9">
      <c r="A934" s="21"/>
      <c r="B934" s="21"/>
      <c r="D934" s="26"/>
      <c r="E934" s="26"/>
      <c r="F934" s="26"/>
      <c r="G934" s="26"/>
      <c r="H934" s="26"/>
      <c r="I934" s="26"/>
    </row>
    <row r="935" spans="1:9">
      <c r="A935" s="21"/>
      <c r="B935" s="21"/>
      <c r="D935" s="26"/>
      <c r="E935" s="26"/>
      <c r="F935" s="26"/>
      <c r="G935" s="26"/>
      <c r="H935" s="26"/>
      <c r="I935" s="26"/>
    </row>
    <row r="936" spans="1:9">
      <c r="A936" s="21"/>
      <c r="B936" s="21"/>
      <c r="D936" s="26"/>
      <c r="E936" s="26"/>
      <c r="F936" s="26"/>
      <c r="G936" s="26"/>
      <c r="H936" s="26"/>
      <c r="I936" s="26"/>
    </row>
    <row r="937" spans="1:9">
      <c r="A937" s="21"/>
      <c r="B937" s="21"/>
      <c r="D937" s="26"/>
      <c r="E937" s="26"/>
      <c r="F937" s="26"/>
      <c r="G937" s="26"/>
      <c r="H937" s="26"/>
      <c r="I937" s="26"/>
    </row>
    <row r="938" spans="1:9">
      <c r="A938" s="21"/>
      <c r="B938" s="21"/>
      <c r="D938" s="26"/>
      <c r="E938" s="26"/>
      <c r="F938" s="26"/>
      <c r="G938" s="26"/>
      <c r="H938" s="26"/>
      <c r="I938" s="26"/>
    </row>
    <row r="939" spans="1:9">
      <c r="A939" s="21"/>
      <c r="B939" s="21"/>
      <c r="D939" s="26"/>
      <c r="E939" s="26"/>
      <c r="F939" s="26"/>
      <c r="G939" s="26"/>
      <c r="H939" s="26"/>
      <c r="I939" s="26"/>
    </row>
    <row r="940" spans="1:9">
      <c r="A940" s="21"/>
      <c r="B940" s="21"/>
      <c r="D940" s="26"/>
      <c r="E940" s="26"/>
      <c r="F940" s="26"/>
      <c r="G940" s="26"/>
      <c r="H940" s="26"/>
      <c r="I940" s="26"/>
    </row>
    <row r="941" spans="1:9">
      <c r="A941" s="21"/>
      <c r="B941" s="21"/>
      <c r="D941" s="26"/>
      <c r="E941" s="26"/>
      <c r="F941" s="26"/>
      <c r="G941" s="26"/>
      <c r="H941" s="26"/>
      <c r="I941" s="26"/>
    </row>
    <row r="942" spans="1:9">
      <c r="A942" s="21"/>
      <c r="B942" s="21"/>
      <c r="D942" s="26"/>
      <c r="E942" s="26"/>
      <c r="F942" s="26"/>
      <c r="G942" s="26"/>
      <c r="H942" s="26"/>
      <c r="I942" s="26"/>
    </row>
    <row r="943" spans="1:9">
      <c r="A943" s="21"/>
      <c r="B943" s="21"/>
      <c r="D943" s="26"/>
      <c r="E943" s="26"/>
      <c r="F943" s="26"/>
      <c r="G943" s="26"/>
      <c r="H943" s="26"/>
      <c r="I943" s="26"/>
    </row>
    <row r="944" spans="1:9">
      <c r="A944" s="21"/>
      <c r="B944" s="21"/>
      <c r="D944" s="26"/>
      <c r="E944" s="26"/>
      <c r="F944" s="26"/>
      <c r="G944" s="26"/>
      <c r="H944" s="26"/>
      <c r="I944" s="26"/>
    </row>
    <row r="945" spans="1:9">
      <c r="A945" s="21"/>
      <c r="B945" s="21"/>
      <c r="D945" s="26"/>
      <c r="E945" s="26"/>
      <c r="F945" s="26"/>
      <c r="G945" s="26"/>
      <c r="H945" s="26"/>
      <c r="I945" s="26"/>
    </row>
    <row r="946" spans="1:9">
      <c r="A946" s="21"/>
      <c r="B946" s="21"/>
      <c r="D946" s="26"/>
      <c r="E946" s="26"/>
      <c r="F946" s="26"/>
      <c r="G946" s="26"/>
      <c r="H946" s="26"/>
      <c r="I946" s="26"/>
    </row>
    <row r="947" spans="1:9">
      <c r="A947" s="21"/>
      <c r="B947" s="21"/>
      <c r="D947" s="26"/>
      <c r="E947" s="26"/>
      <c r="F947" s="26"/>
      <c r="G947" s="26"/>
      <c r="H947" s="26"/>
      <c r="I947" s="26"/>
    </row>
    <row r="948" spans="1:9">
      <c r="A948" s="21"/>
      <c r="B948" s="21"/>
      <c r="D948" s="26"/>
      <c r="E948" s="26"/>
      <c r="F948" s="26"/>
      <c r="G948" s="26"/>
      <c r="H948" s="26"/>
      <c r="I948" s="26"/>
    </row>
    <row r="949" spans="1:9">
      <c r="A949" s="21"/>
      <c r="B949" s="21"/>
      <c r="D949" s="26"/>
      <c r="E949" s="26"/>
      <c r="F949" s="26"/>
      <c r="G949" s="26"/>
      <c r="H949" s="26"/>
      <c r="I949" s="26"/>
    </row>
    <row r="950" spans="1:9">
      <c r="A950" s="21"/>
      <c r="B950" s="21"/>
      <c r="D950" s="26"/>
      <c r="E950" s="26"/>
      <c r="F950" s="26"/>
      <c r="G950" s="26"/>
      <c r="H950" s="26"/>
      <c r="I950" s="26"/>
    </row>
    <row r="951" spans="1:9">
      <c r="A951" s="21"/>
      <c r="B951" s="21"/>
      <c r="D951" s="26"/>
      <c r="E951" s="26"/>
      <c r="F951" s="26"/>
      <c r="G951" s="26"/>
      <c r="H951" s="26"/>
      <c r="I951" s="26"/>
    </row>
    <row r="952" spans="1:9">
      <c r="A952" s="21"/>
      <c r="B952" s="21"/>
      <c r="D952" s="26"/>
      <c r="E952" s="26"/>
      <c r="F952" s="26"/>
      <c r="G952" s="26"/>
      <c r="H952" s="26"/>
      <c r="I952" s="26"/>
    </row>
    <row r="953" spans="1:9">
      <c r="A953" s="21"/>
      <c r="B953" s="21"/>
      <c r="D953" s="26"/>
      <c r="E953" s="26"/>
      <c r="F953" s="26"/>
      <c r="G953" s="26"/>
      <c r="H953" s="26"/>
      <c r="I953" s="26"/>
    </row>
    <row r="954" spans="1:9">
      <c r="A954" s="21"/>
      <c r="B954" s="21"/>
      <c r="D954" s="26"/>
      <c r="E954" s="26"/>
      <c r="F954" s="26"/>
      <c r="G954" s="26"/>
      <c r="H954" s="26"/>
      <c r="I954" s="26"/>
    </row>
    <row r="955" spans="1:9">
      <c r="A955" s="21"/>
      <c r="B955" s="21"/>
      <c r="D955" s="26"/>
      <c r="E955" s="26"/>
      <c r="F955" s="26"/>
      <c r="G955" s="26"/>
      <c r="H955" s="26"/>
      <c r="I955" s="26"/>
    </row>
    <row r="956" spans="1:9">
      <c r="A956" s="21"/>
      <c r="B956" s="21"/>
      <c r="D956" s="26"/>
      <c r="E956" s="26"/>
      <c r="F956" s="26"/>
      <c r="G956" s="26"/>
      <c r="H956" s="26"/>
      <c r="I956" s="26"/>
    </row>
    <row r="957" spans="1:9">
      <c r="A957" s="21"/>
      <c r="B957" s="21"/>
      <c r="D957" s="26"/>
      <c r="E957" s="26"/>
      <c r="F957" s="26"/>
      <c r="G957" s="26"/>
      <c r="H957" s="26"/>
      <c r="I957" s="26"/>
    </row>
    <row r="958" spans="1:9">
      <c r="A958" s="21"/>
      <c r="B958" s="21"/>
      <c r="D958" s="26"/>
      <c r="E958" s="26"/>
      <c r="F958" s="26"/>
      <c r="G958" s="26"/>
      <c r="H958" s="26"/>
      <c r="I958" s="26"/>
    </row>
    <row r="959" spans="1:9">
      <c r="A959" s="21"/>
      <c r="B959" s="21"/>
      <c r="D959" s="26"/>
      <c r="E959" s="26"/>
      <c r="F959" s="26"/>
      <c r="G959" s="26"/>
      <c r="H959" s="26"/>
      <c r="I959" s="26"/>
    </row>
    <row r="960" spans="1:9">
      <c r="A960" s="21"/>
      <c r="B960" s="21"/>
      <c r="D960" s="26"/>
      <c r="E960" s="26"/>
      <c r="F960" s="26"/>
      <c r="G960" s="26"/>
      <c r="H960" s="26"/>
      <c r="I960" s="26"/>
    </row>
    <row r="961" spans="1:9">
      <c r="A961" s="21"/>
      <c r="B961" s="21"/>
      <c r="D961" s="26"/>
      <c r="E961" s="26"/>
      <c r="F961" s="26"/>
      <c r="G961" s="26"/>
      <c r="H961" s="26"/>
      <c r="I961" s="26"/>
    </row>
    <row r="962" spans="1:9">
      <c r="A962" s="21"/>
      <c r="B962" s="21"/>
      <c r="D962" s="26"/>
      <c r="E962" s="26"/>
      <c r="F962" s="26"/>
      <c r="G962" s="26"/>
      <c r="H962" s="26"/>
      <c r="I962" s="26"/>
    </row>
    <row r="963" spans="1:9">
      <c r="A963" s="21"/>
      <c r="B963" s="21"/>
      <c r="D963" s="26"/>
      <c r="E963" s="26"/>
      <c r="F963" s="26"/>
      <c r="G963" s="26"/>
      <c r="H963" s="26"/>
      <c r="I963" s="26"/>
    </row>
    <row r="964" spans="1:9">
      <c r="A964" s="21"/>
      <c r="B964" s="21"/>
      <c r="D964" s="26"/>
      <c r="E964" s="26"/>
      <c r="F964" s="26"/>
      <c r="G964" s="26"/>
      <c r="H964" s="26"/>
      <c r="I964" s="26"/>
    </row>
    <row r="965" spans="1:9">
      <c r="A965" s="21"/>
      <c r="B965" s="21"/>
      <c r="D965" s="26"/>
      <c r="E965" s="26"/>
      <c r="F965" s="26"/>
      <c r="G965" s="26"/>
      <c r="H965" s="26"/>
      <c r="I965" s="26"/>
    </row>
    <row r="966" spans="1:9">
      <c r="A966" s="21"/>
      <c r="B966" s="21"/>
      <c r="D966" s="26"/>
      <c r="E966" s="26"/>
      <c r="F966" s="26"/>
      <c r="G966" s="26"/>
      <c r="H966" s="26"/>
      <c r="I966" s="26"/>
    </row>
    <row r="967" spans="1:9">
      <c r="A967" s="21"/>
      <c r="B967" s="21"/>
      <c r="D967" s="26"/>
      <c r="E967" s="26"/>
      <c r="F967" s="26"/>
      <c r="G967" s="26"/>
      <c r="H967" s="26"/>
      <c r="I967" s="26"/>
    </row>
    <row r="968" spans="1:9">
      <c r="A968" s="21"/>
      <c r="B968" s="21"/>
      <c r="D968" s="26"/>
      <c r="E968" s="26"/>
      <c r="F968" s="26"/>
      <c r="G968" s="26"/>
      <c r="H968" s="26"/>
      <c r="I968" s="26"/>
    </row>
    <row r="969" spans="1:9">
      <c r="A969" s="21"/>
      <c r="B969" s="21"/>
      <c r="D969" s="26"/>
      <c r="E969" s="26"/>
      <c r="F969" s="26"/>
      <c r="G969" s="26"/>
      <c r="H969" s="26"/>
      <c r="I969" s="26"/>
    </row>
    <row r="970" spans="1:9">
      <c r="A970" s="21"/>
      <c r="B970" s="21"/>
      <c r="D970" s="26"/>
      <c r="E970" s="26"/>
      <c r="F970" s="26"/>
      <c r="G970" s="26"/>
      <c r="H970" s="26"/>
      <c r="I970" s="26"/>
    </row>
    <row r="971" spans="1:9">
      <c r="A971" s="21"/>
      <c r="B971" s="21"/>
      <c r="D971" s="26"/>
      <c r="E971" s="26"/>
      <c r="F971" s="26"/>
      <c r="G971" s="26"/>
      <c r="H971" s="26"/>
      <c r="I971" s="26"/>
    </row>
    <row r="972" spans="1:9">
      <c r="A972" s="21"/>
      <c r="B972" s="21"/>
      <c r="D972" s="26"/>
      <c r="E972" s="26"/>
      <c r="F972" s="26"/>
      <c r="G972" s="26"/>
      <c r="H972" s="26"/>
      <c r="I972" s="26"/>
    </row>
    <row r="973" spans="1:9">
      <c r="A973" s="21"/>
      <c r="B973" s="21"/>
      <c r="D973" s="26"/>
      <c r="E973" s="26"/>
      <c r="F973" s="26"/>
      <c r="G973" s="26"/>
      <c r="H973" s="26"/>
      <c r="I973" s="26"/>
    </row>
    <row r="974" spans="1:9">
      <c r="A974" s="21"/>
      <c r="B974" s="21"/>
      <c r="D974" s="26"/>
      <c r="E974" s="26"/>
      <c r="F974" s="26"/>
      <c r="G974" s="26"/>
      <c r="H974" s="26"/>
      <c r="I974" s="26"/>
    </row>
    <row r="975" spans="1:9">
      <c r="A975" s="21"/>
      <c r="B975" s="21"/>
      <c r="D975" s="26"/>
      <c r="E975" s="26"/>
      <c r="F975" s="26"/>
      <c r="G975" s="26"/>
      <c r="H975" s="26"/>
      <c r="I975" s="26"/>
    </row>
    <row r="976" spans="1:9">
      <c r="A976" s="21"/>
      <c r="B976" s="21"/>
      <c r="D976" s="26"/>
      <c r="E976" s="26"/>
      <c r="F976" s="26"/>
      <c r="G976" s="26"/>
      <c r="H976" s="26"/>
      <c r="I976" s="26"/>
    </row>
    <row r="977" spans="1:9">
      <c r="A977" s="21"/>
      <c r="B977" s="21"/>
      <c r="D977" s="26"/>
      <c r="E977" s="26"/>
      <c r="F977" s="26"/>
      <c r="G977" s="26"/>
      <c r="H977" s="26"/>
      <c r="I977" s="26"/>
    </row>
    <row r="978" spans="1:9">
      <c r="A978" s="21"/>
      <c r="B978" s="21"/>
      <c r="D978" s="26"/>
      <c r="E978" s="26"/>
      <c r="F978" s="26"/>
      <c r="G978" s="26"/>
      <c r="H978" s="26"/>
      <c r="I978" s="26"/>
    </row>
    <row r="979" spans="1:9">
      <c r="A979" s="21"/>
      <c r="B979" s="21"/>
      <c r="D979" s="26"/>
      <c r="E979" s="26"/>
      <c r="F979" s="26"/>
      <c r="G979" s="26"/>
      <c r="H979" s="26"/>
      <c r="I979" s="26"/>
    </row>
    <row r="980" spans="1:9">
      <c r="A980" s="21"/>
      <c r="B980" s="21"/>
      <c r="D980" s="26"/>
      <c r="E980" s="26"/>
      <c r="F980" s="26"/>
      <c r="G980" s="26"/>
      <c r="H980" s="26"/>
      <c r="I980" s="26"/>
    </row>
    <row r="981" spans="1:9">
      <c r="A981" s="21"/>
      <c r="B981" s="21"/>
      <c r="D981" s="26"/>
      <c r="E981" s="26"/>
      <c r="F981" s="26"/>
      <c r="G981" s="26"/>
      <c r="H981" s="26"/>
      <c r="I981" s="26"/>
    </row>
    <row r="982" spans="1:9">
      <c r="A982" s="21"/>
      <c r="B982" s="21"/>
      <c r="D982" s="26"/>
      <c r="E982" s="26"/>
      <c r="F982" s="26"/>
      <c r="G982" s="26"/>
      <c r="H982" s="26"/>
      <c r="I982" s="26"/>
    </row>
    <row r="983" spans="1:9">
      <c r="A983" s="21"/>
      <c r="B983" s="21"/>
      <c r="D983" s="26"/>
      <c r="E983" s="26"/>
      <c r="F983" s="26"/>
      <c r="G983" s="26"/>
      <c r="H983" s="26"/>
      <c r="I983" s="26"/>
    </row>
    <row r="984" spans="1:9">
      <c r="A984" s="21"/>
      <c r="B984" s="21"/>
      <c r="D984" s="26"/>
      <c r="E984" s="26"/>
      <c r="F984" s="26"/>
      <c r="G984" s="26"/>
      <c r="H984" s="26"/>
      <c r="I984" s="26"/>
    </row>
    <row r="985" spans="1:9">
      <c r="A985" s="21"/>
      <c r="B985" s="21"/>
      <c r="D985" s="26"/>
      <c r="E985" s="26"/>
      <c r="F985" s="26"/>
      <c r="G985" s="26"/>
      <c r="H985" s="26"/>
      <c r="I985" s="26"/>
    </row>
    <row r="986" spans="1:9">
      <c r="A986" s="21"/>
      <c r="B986" s="21"/>
      <c r="D986" s="26"/>
      <c r="E986" s="26"/>
      <c r="F986" s="26"/>
      <c r="G986" s="26"/>
      <c r="H986" s="26"/>
      <c r="I986" s="26"/>
    </row>
    <row r="987" spans="1:9">
      <c r="A987" s="21"/>
      <c r="B987" s="21"/>
      <c r="D987" s="26"/>
      <c r="E987" s="26"/>
      <c r="F987" s="26"/>
      <c r="G987" s="26"/>
      <c r="H987" s="26"/>
      <c r="I987" s="26"/>
    </row>
    <row r="988" spans="1:9">
      <c r="A988" s="21"/>
      <c r="B988" s="21"/>
      <c r="D988" s="26"/>
      <c r="E988" s="26"/>
      <c r="F988" s="26"/>
      <c r="G988" s="26"/>
      <c r="H988" s="26"/>
      <c r="I988" s="26"/>
    </row>
    <row r="989" spans="1:9">
      <c r="A989" s="21"/>
      <c r="B989" s="21"/>
      <c r="D989" s="26"/>
      <c r="E989" s="26"/>
      <c r="F989" s="26"/>
      <c r="G989" s="26"/>
      <c r="H989" s="26"/>
      <c r="I989" s="26"/>
    </row>
    <row r="990" spans="1:9">
      <c r="A990" s="21"/>
      <c r="B990" s="21"/>
      <c r="D990" s="26"/>
      <c r="E990" s="26"/>
      <c r="F990" s="26"/>
      <c r="G990" s="26"/>
      <c r="H990" s="26"/>
      <c r="I990" s="26"/>
    </row>
    <row r="991" spans="1:9">
      <c r="A991" s="21"/>
      <c r="B991" s="21"/>
      <c r="D991" s="26"/>
      <c r="E991" s="26"/>
      <c r="F991" s="26"/>
      <c r="G991" s="26"/>
      <c r="H991" s="26"/>
      <c r="I991" s="26"/>
    </row>
    <row r="992" spans="1:9">
      <c r="A992" s="21"/>
      <c r="B992" s="21"/>
      <c r="D992" s="26"/>
      <c r="E992" s="26"/>
      <c r="F992" s="26"/>
      <c r="G992" s="26"/>
      <c r="H992" s="26"/>
      <c r="I992" s="26"/>
    </row>
    <row r="993" spans="1:9">
      <c r="A993" s="21"/>
      <c r="B993" s="21"/>
      <c r="D993" s="26"/>
      <c r="E993" s="26"/>
      <c r="F993" s="26"/>
      <c r="G993" s="26"/>
      <c r="H993" s="26"/>
      <c r="I993" s="26"/>
    </row>
    <row r="994" spans="1:9">
      <c r="A994" s="21"/>
      <c r="B994" s="21"/>
      <c r="D994" s="26"/>
      <c r="E994" s="26"/>
      <c r="F994" s="26"/>
      <c r="G994" s="26"/>
      <c r="H994" s="26"/>
      <c r="I994" s="26"/>
    </row>
    <row r="995" spans="1:9">
      <c r="A995" s="21"/>
      <c r="B995" s="21"/>
      <c r="D995" s="26"/>
      <c r="E995" s="26"/>
      <c r="F995" s="26"/>
      <c r="G995" s="26"/>
      <c r="H995" s="26"/>
      <c r="I995" s="26"/>
    </row>
    <row r="996" spans="1:9">
      <c r="A996" s="21"/>
      <c r="B996" s="21"/>
      <c r="D996" s="26"/>
      <c r="E996" s="26"/>
      <c r="F996" s="26"/>
      <c r="G996" s="26"/>
      <c r="H996" s="26"/>
      <c r="I996" s="26"/>
    </row>
    <row r="997" spans="1:9">
      <c r="A997" s="21"/>
      <c r="B997" s="21"/>
      <c r="D997" s="26"/>
      <c r="E997" s="26"/>
      <c r="F997" s="26"/>
      <c r="G997" s="26"/>
      <c r="H997" s="26"/>
      <c r="I997" s="26"/>
    </row>
    <row r="998" spans="1:9">
      <c r="A998" s="21"/>
      <c r="B998" s="21"/>
      <c r="D998" s="26"/>
      <c r="E998" s="26"/>
      <c r="F998" s="26"/>
      <c r="G998" s="26"/>
      <c r="H998" s="26"/>
      <c r="I998" s="26"/>
    </row>
    <row r="999" spans="1:9">
      <c r="A999" s="21"/>
      <c r="B999" s="21"/>
      <c r="D999" s="26"/>
      <c r="E999" s="26"/>
      <c r="F999" s="26"/>
      <c r="G999" s="26"/>
      <c r="H999" s="26"/>
      <c r="I999" s="26"/>
    </row>
    <row r="1000" spans="1:9">
      <c r="A1000" s="21"/>
      <c r="B1000" s="21"/>
      <c r="D1000" s="26"/>
      <c r="E1000" s="26"/>
      <c r="F1000" s="26"/>
      <c r="G1000" s="26"/>
      <c r="H1000" s="26"/>
      <c r="I1000" s="26"/>
    </row>
    <row r="1001" spans="1:9">
      <c r="A1001" s="21"/>
      <c r="B1001" s="21"/>
      <c r="D1001" s="26"/>
      <c r="E1001" s="26"/>
      <c r="F1001" s="26"/>
      <c r="G1001" s="26"/>
      <c r="H1001" s="26"/>
      <c r="I1001" s="26"/>
    </row>
    <row r="1002" spans="1:9">
      <c r="A1002" s="21"/>
      <c r="B1002" s="21"/>
      <c r="D1002" s="26"/>
      <c r="E1002" s="26"/>
      <c r="F1002" s="26"/>
      <c r="G1002" s="26"/>
      <c r="H1002" s="26"/>
      <c r="I1002" s="26"/>
    </row>
    <row r="1003" spans="1:9">
      <c r="A1003" s="21"/>
      <c r="B1003" s="21"/>
      <c r="D1003" s="26"/>
      <c r="E1003" s="26"/>
      <c r="F1003" s="26"/>
      <c r="G1003" s="26"/>
      <c r="H1003" s="26"/>
      <c r="I1003" s="26"/>
    </row>
    <row r="1004" spans="1:9">
      <c r="A1004" s="21"/>
      <c r="B1004" s="21"/>
      <c r="D1004" s="26"/>
      <c r="E1004" s="26"/>
      <c r="F1004" s="26"/>
      <c r="G1004" s="26"/>
      <c r="H1004" s="26"/>
      <c r="I1004" s="26"/>
    </row>
    <row r="1005" spans="1:9">
      <c r="A1005" s="21"/>
      <c r="B1005" s="21"/>
      <c r="D1005" s="26"/>
      <c r="E1005" s="26"/>
      <c r="F1005" s="26"/>
      <c r="G1005" s="26"/>
      <c r="H1005" s="26"/>
      <c r="I1005" s="26"/>
    </row>
    <row r="1006" spans="1:9">
      <c r="A1006" s="21"/>
      <c r="B1006" s="21"/>
      <c r="D1006" s="26"/>
      <c r="E1006" s="26"/>
      <c r="F1006" s="26"/>
      <c r="G1006" s="26"/>
      <c r="H1006" s="26"/>
      <c r="I1006" s="26"/>
    </row>
    <row r="1007" spans="1:9">
      <c r="A1007" s="21"/>
      <c r="B1007" s="21"/>
      <c r="D1007" s="26"/>
      <c r="E1007" s="26"/>
      <c r="F1007" s="26"/>
      <c r="G1007" s="26"/>
      <c r="H1007" s="26"/>
      <c r="I1007" s="26"/>
    </row>
    <row r="1008" spans="1:9">
      <c r="A1008" s="21"/>
      <c r="B1008" s="21"/>
      <c r="D1008" s="26"/>
      <c r="E1008" s="26"/>
      <c r="F1008" s="26"/>
      <c r="G1008" s="26"/>
      <c r="H1008" s="26"/>
      <c r="I1008" s="26"/>
    </row>
    <row r="1009" spans="1:9">
      <c r="A1009" s="21"/>
      <c r="B1009" s="21"/>
      <c r="D1009" s="26"/>
      <c r="E1009" s="26"/>
      <c r="F1009" s="26"/>
      <c r="G1009" s="26"/>
      <c r="H1009" s="26"/>
      <c r="I1009" s="26"/>
    </row>
    <row r="1010" spans="1:9">
      <c r="A1010" s="21"/>
      <c r="B1010" s="21"/>
      <c r="D1010" s="26"/>
      <c r="E1010" s="26"/>
      <c r="F1010" s="26"/>
      <c r="G1010" s="26"/>
      <c r="H1010" s="26"/>
      <c r="I1010" s="26"/>
    </row>
    <row r="1011" spans="1:9">
      <c r="A1011" s="21"/>
      <c r="B1011" s="21"/>
      <c r="D1011" s="26"/>
      <c r="E1011" s="26"/>
      <c r="F1011" s="26"/>
      <c r="G1011" s="26"/>
      <c r="H1011" s="26"/>
      <c r="I1011" s="26"/>
    </row>
    <row r="1012" spans="1:9">
      <c r="A1012" s="21"/>
      <c r="B1012" s="21"/>
      <c r="D1012" s="26"/>
      <c r="E1012" s="26"/>
      <c r="F1012" s="26"/>
      <c r="G1012" s="26"/>
      <c r="H1012" s="26"/>
      <c r="I1012" s="26"/>
    </row>
    <row r="1013" spans="1:9">
      <c r="A1013" s="21"/>
      <c r="B1013" s="21"/>
      <c r="D1013" s="26"/>
      <c r="E1013" s="26"/>
      <c r="F1013" s="26"/>
      <c r="G1013" s="26"/>
      <c r="H1013" s="26"/>
      <c r="I1013" s="26"/>
    </row>
    <row r="1014" spans="1:9">
      <c r="A1014" s="21"/>
      <c r="B1014" s="21"/>
      <c r="D1014" s="26"/>
      <c r="E1014" s="26"/>
      <c r="F1014" s="26"/>
      <c r="G1014" s="26"/>
      <c r="H1014" s="26"/>
      <c r="I1014" s="26"/>
    </row>
    <row r="1015" spans="1:9">
      <c r="A1015" s="21"/>
      <c r="B1015" s="21"/>
      <c r="D1015" s="26"/>
      <c r="E1015" s="26"/>
      <c r="F1015" s="26"/>
      <c r="G1015" s="26"/>
      <c r="H1015" s="26"/>
      <c r="I1015" s="26"/>
    </row>
    <row r="1016" spans="1:9">
      <c r="A1016" s="21"/>
      <c r="B1016" s="21"/>
      <c r="D1016" s="26"/>
      <c r="E1016" s="26"/>
      <c r="F1016" s="26"/>
      <c r="G1016" s="26"/>
      <c r="H1016" s="26"/>
      <c r="I1016" s="26"/>
    </row>
    <row r="1017" spans="1:9">
      <c r="A1017" s="21"/>
      <c r="B1017" s="21"/>
      <c r="D1017" s="26"/>
      <c r="E1017" s="26"/>
      <c r="F1017" s="26"/>
      <c r="G1017" s="26"/>
      <c r="H1017" s="26"/>
      <c r="I1017" s="26"/>
    </row>
    <row r="1018" spans="1:9">
      <c r="A1018" s="21"/>
      <c r="B1018" s="21"/>
      <c r="D1018" s="26"/>
      <c r="E1018" s="26"/>
      <c r="F1018" s="26"/>
      <c r="G1018" s="26"/>
      <c r="H1018" s="26"/>
      <c r="I1018" s="26"/>
    </row>
    <row r="1019" spans="1:9">
      <c r="A1019" s="21"/>
      <c r="B1019" s="21"/>
      <c r="D1019" s="26"/>
      <c r="E1019" s="26"/>
      <c r="F1019" s="26"/>
      <c r="G1019" s="26"/>
      <c r="H1019" s="26"/>
      <c r="I1019" s="26"/>
    </row>
    <row r="1020" spans="1:9">
      <c r="A1020" s="21"/>
      <c r="B1020" s="21"/>
      <c r="D1020" s="26"/>
      <c r="E1020" s="26"/>
      <c r="F1020" s="26"/>
      <c r="G1020" s="26"/>
      <c r="H1020" s="26"/>
      <c r="I1020" s="26"/>
    </row>
    <row r="1021" spans="1:9">
      <c r="A1021" s="21"/>
      <c r="B1021" s="21"/>
      <c r="D1021" s="26"/>
      <c r="E1021" s="26"/>
      <c r="F1021" s="26"/>
      <c r="G1021" s="26"/>
      <c r="H1021" s="26"/>
      <c r="I1021" s="26"/>
    </row>
    <row r="1022" spans="1:9">
      <c r="A1022" s="21"/>
      <c r="B1022" s="21"/>
      <c r="D1022" s="26"/>
      <c r="E1022" s="26"/>
      <c r="F1022" s="26"/>
      <c r="G1022" s="26"/>
      <c r="H1022" s="26"/>
      <c r="I1022" s="26"/>
    </row>
    <row r="1023" spans="1:9">
      <c r="A1023" s="21"/>
      <c r="B1023" s="21"/>
      <c r="D1023" s="26"/>
      <c r="E1023" s="26"/>
      <c r="F1023" s="26"/>
      <c r="G1023" s="26"/>
      <c r="H1023" s="26"/>
      <c r="I1023" s="26"/>
    </row>
    <row r="1024" spans="1:9">
      <c r="A1024" s="21"/>
      <c r="B1024" s="21"/>
      <c r="D1024" s="26"/>
      <c r="E1024" s="26"/>
      <c r="F1024" s="26"/>
      <c r="G1024" s="26"/>
      <c r="H1024" s="26"/>
      <c r="I1024" s="26"/>
    </row>
    <row r="1025" spans="1:9">
      <c r="A1025" s="21"/>
      <c r="B1025" s="21"/>
      <c r="D1025" s="26"/>
      <c r="E1025" s="26"/>
      <c r="F1025" s="26"/>
      <c r="G1025" s="26"/>
      <c r="H1025" s="26"/>
      <c r="I1025" s="26"/>
    </row>
    <row r="1026" spans="1:9">
      <c r="A1026" s="21"/>
      <c r="B1026" s="21"/>
      <c r="D1026" s="26"/>
      <c r="E1026" s="26"/>
      <c r="F1026" s="26"/>
      <c r="G1026" s="26"/>
      <c r="H1026" s="26"/>
      <c r="I1026" s="26"/>
    </row>
    <row r="1027" spans="1:9">
      <c r="A1027" s="21"/>
      <c r="B1027" s="21"/>
      <c r="D1027" s="26"/>
      <c r="E1027" s="26"/>
      <c r="F1027" s="26"/>
      <c r="G1027" s="26"/>
      <c r="H1027" s="26"/>
      <c r="I1027" s="26"/>
    </row>
    <row r="1028" spans="1:9">
      <c r="A1028" s="21"/>
      <c r="B1028" s="21"/>
      <c r="D1028" s="26"/>
      <c r="E1028" s="26"/>
      <c r="F1028" s="26"/>
      <c r="G1028" s="26"/>
      <c r="H1028" s="26"/>
      <c r="I1028" s="26"/>
    </row>
    <row r="1029" spans="1:9">
      <c r="A1029" s="21"/>
      <c r="B1029" s="21"/>
      <c r="D1029" s="26"/>
      <c r="E1029" s="26"/>
      <c r="F1029" s="26"/>
      <c r="G1029" s="26"/>
      <c r="H1029" s="26"/>
      <c r="I1029" s="26"/>
    </row>
    <row r="1030" spans="1:9">
      <c r="A1030" s="21"/>
      <c r="B1030" s="21"/>
      <c r="D1030" s="26"/>
      <c r="E1030" s="26"/>
      <c r="F1030" s="26"/>
      <c r="G1030" s="26"/>
      <c r="H1030" s="26"/>
      <c r="I1030" s="26"/>
    </row>
    <row r="1031" spans="1:9">
      <c r="A1031" s="21"/>
      <c r="B1031" s="21"/>
      <c r="D1031" s="26"/>
      <c r="E1031" s="26"/>
      <c r="F1031" s="26"/>
      <c r="G1031" s="26"/>
      <c r="H1031" s="26"/>
      <c r="I1031" s="26"/>
    </row>
    <row r="1032" spans="1:9">
      <c r="A1032" s="21"/>
      <c r="B1032" s="21"/>
      <c r="D1032" s="26"/>
      <c r="E1032" s="26"/>
      <c r="F1032" s="26"/>
      <c r="G1032" s="26"/>
      <c r="H1032" s="26"/>
      <c r="I1032" s="26"/>
    </row>
    <row r="1033" spans="1:9">
      <c r="A1033" s="21"/>
      <c r="B1033" s="21"/>
      <c r="D1033" s="26"/>
      <c r="E1033" s="26"/>
      <c r="F1033" s="26"/>
      <c r="G1033" s="26"/>
      <c r="H1033" s="26"/>
      <c r="I1033" s="26"/>
    </row>
    <row r="1034" spans="1:9">
      <c r="A1034" s="21"/>
      <c r="B1034" s="21"/>
      <c r="D1034" s="26"/>
      <c r="E1034" s="26"/>
      <c r="F1034" s="26"/>
      <c r="G1034" s="26"/>
      <c r="H1034" s="26"/>
      <c r="I1034" s="26"/>
    </row>
    <row r="1035" spans="1:9">
      <c r="A1035" s="21"/>
      <c r="B1035" s="21"/>
      <c r="D1035" s="26"/>
      <c r="E1035" s="26"/>
      <c r="F1035" s="26"/>
      <c r="G1035" s="26"/>
      <c r="H1035" s="26"/>
      <c r="I1035" s="26"/>
    </row>
    <row r="1036" spans="1:9">
      <c r="A1036" s="21"/>
      <c r="B1036" s="21"/>
      <c r="D1036" s="26"/>
      <c r="E1036" s="26"/>
      <c r="F1036" s="26"/>
      <c r="G1036" s="26"/>
      <c r="H1036" s="26"/>
      <c r="I1036" s="26"/>
    </row>
    <row r="1037" spans="1:9">
      <c r="A1037" s="21"/>
      <c r="B1037" s="21"/>
      <c r="D1037" s="26"/>
      <c r="E1037" s="26"/>
      <c r="F1037" s="26"/>
      <c r="G1037" s="26"/>
      <c r="H1037" s="26"/>
      <c r="I1037" s="26"/>
    </row>
    <row r="1038" spans="1:9">
      <c r="A1038" s="21"/>
      <c r="B1038" s="21"/>
      <c r="D1038" s="26"/>
      <c r="E1038" s="26"/>
      <c r="F1038" s="26"/>
      <c r="G1038" s="26"/>
      <c r="H1038" s="26"/>
      <c r="I1038" s="26"/>
    </row>
    <row r="1039" spans="1:9">
      <c r="A1039" s="21"/>
      <c r="B1039" s="21"/>
      <c r="D1039" s="26"/>
      <c r="E1039" s="26"/>
      <c r="F1039" s="26"/>
      <c r="G1039" s="26"/>
      <c r="H1039" s="26"/>
      <c r="I1039" s="26"/>
    </row>
    <row r="1040" spans="1:9">
      <c r="A1040" s="21"/>
      <c r="B1040" s="21"/>
      <c r="D1040" s="26"/>
      <c r="E1040" s="26"/>
      <c r="F1040" s="26"/>
      <c r="G1040" s="26"/>
      <c r="H1040" s="26"/>
      <c r="I1040" s="26"/>
    </row>
    <row r="1041" spans="1:9">
      <c r="A1041" s="21"/>
      <c r="B1041" s="21"/>
      <c r="D1041" s="26"/>
      <c r="E1041" s="26"/>
      <c r="F1041" s="26"/>
      <c r="G1041" s="26"/>
      <c r="H1041" s="26"/>
      <c r="I1041" s="26"/>
    </row>
    <row r="1042" spans="1:9">
      <c r="A1042" s="21"/>
      <c r="B1042" s="21"/>
      <c r="D1042" s="26"/>
      <c r="E1042" s="26"/>
      <c r="F1042" s="26"/>
      <c r="G1042" s="26"/>
      <c r="H1042" s="26"/>
      <c r="I1042" s="26"/>
    </row>
    <row r="1043" spans="1:9">
      <c r="A1043" s="21"/>
      <c r="B1043" s="21"/>
      <c r="D1043" s="26"/>
      <c r="E1043" s="26"/>
      <c r="F1043" s="26"/>
      <c r="G1043" s="26"/>
      <c r="H1043" s="26"/>
      <c r="I1043" s="26"/>
    </row>
    <row r="1044" spans="1:9">
      <c r="A1044" s="21"/>
      <c r="B1044" s="21"/>
      <c r="D1044" s="26"/>
      <c r="E1044" s="26"/>
      <c r="F1044" s="26"/>
      <c r="G1044" s="26"/>
      <c r="H1044" s="26"/>
      <c r="I1044" s="26"/>
    </row>
    <row r="1045" spans="1:9">
      <c r="A1045" s="21"/>
      <c r="B1045" s="21"/>
      <c r="D1045" s="26"/>
      <c r="E1045" s="26"/>
      <c r="F1045" s="26"/>
      <c r="G1045" s="26"/>
      <c r="H1045" s="26"/>
      <c r="I1045" s="26"/>
    </row>
    <row r="1046" spans="1:9">
      <c r="A1046" s="21"/>
      <c r="B1046" s="21"/>
      <c r="D1046" s="26"/>
      <c r="E1046" s="26"/>
      <c r="F1046" s="26"/>
      <c r="G1046" s="26"/>
      <c r="H1046" s="26"/>
      <c r="I1046" s="26"/>
    </row>
    <row r="1047" spans="1:9">
      <c r="A1047" s="21"/>
      <c r="B1047" s="21"/>
      <c r="D1047" s="26"/>
      <c r="E1047" s="26"/>
      <c r="F1047" s="26"/>
      <c r="G1047" s="26"/>
      <c r="H1047" s="26"/>
      <c r="I1047" s="26"/>
    </row>
    <row r="1048" spans="1:9">
      <c r="A1048" s="21"/>
      <c r="B1048" s="21"/>
      <c r="D1048" s="26"/>
      <c r="E1048" s="26"/>
      <c r="F1048" s="26"/>
      <c r="G1048" s="26"/>
      <c r="H1048" s="26"/>
      <c r="I1048" s="26"/>
    </row>
    <row r="1049" spans="1:9">
      <c r="A1049" s="21"/>
      <c r="B1049" s="21"/>
      <c r="D1049" s="26"/>
      <c r="E1049" s="26"/>
      <c r="F1049" s="26"/>
      <c r="G1049" s="26"/>
      <c r="H1049" s="26"/>
      <c r="I1049" s="26"/>
    </row>
    <row r="1050" spans="1:9">
      <c r="A1050" s="21"/>
      <c r="B1050" s="21"/>
      <c r="D1050" s="26"/>
      <c r="E1050" s="26"/>
      <c r="F1050" s="26"/>
      <c r="G1050" s="26"/>
      <c r="H1050" s="26"/>
      <c r="I1050" s="26"/>
    </row>
    <row r="1051" spans="1:9">
      <c r="A1051" s="21"/>
      <c r="B1051" s="21"/>
      <c r="D1051" s="26"/>
      <c r="E1051" s="26"/>
      <c r="F1051" s="26"/>
      <c r="G1051" s="26"/>
      <c r="H1051" s="26"/>
      <c r="I1051" s="26"/>
    </row>
    <row r="1052" spans="1:9">
      <c r="A1052" s="21"/>
      <c r="B1052" s="21"/>
      <c r="D1052" s="26"/>
      <c r="E1052" s="26"/>
      <c r="F1052" s="26"/>
      <c r="G1052" s="26"/>
      <c r="H1052" s="26"/>
      <c r="I1052" s="26"/>
    </row>
    <row r="1053" spans="1:9">
      <c r="A1053" s="21"/>
      <c r="B1053" s="21"/>
      <c r="D1053" s="26"/>
      <c r="E1053" s="26"/>
      <c r="F1053" s="26"/>
      <c r="G1053" s="26"/>
      <c r="H1053" s="26"/>
      <c r="I1053" s="26"/>
    </row>
    <row r="1054" spans="1:9">
      <c r="A1054" s="21"/>
      <c r="B1054" s="21"/>
      <c r="D1054" s="26"/>
      <c r="E1054" s="26"/>
      <c r="F1054" s="26"/>
      <c r="G1054" s="26"/>
      <c r="H1054" s="26"/>
      <c r="I1054" s="26"/>
    </row>
    <row r="1055" spans="1:9">
      <c r="A1055" s="21"/>
      <c r="B1055" s="21"/>
      <c r="D1055" s="26"/>
      <c r="E1055" s="26"/>
      <c r="F1055" s="26"/>
      <c r="G1055" s="26"/>
      <c r="H1055" s="26"/>
      <c r="I1055" s="26"/>
    </row>
    <row r="1056" spans="1:9">
      <c r="A1056" s="21"/>
      <c r="B1056" s="21"/>
      <c r="D1056" s="26"/>
      <c r="E1056" s="26"/>
      <c r="F1056" s="26"/>
      <c r="G1056" s="26"/>
      <c r="H1056" s="26"/>
      <c r="I1056" s="26"/>
    </row>
    <row r="1057" spans="1:9">
      <c r="A1057" s="21"/>
      <c r="B1057" s="21"/>
      <c r="D1057" s="26"/>
      <c r="E1057" s="26"/>
      <c r="F1057" s="26"/>
      <c r="G1057" s="26"/>
      <c r="H1057" s="26"/>
      <c r="I1057" s="26"/>
    </row>
    <row r="1058" spans="1:9">
      <c r="A1058" s="21"/>
      <c r="B1058" s="21"/>
      <c r="D1058" s="26"/>
      <c r="E1058" s="26"/>
      <c r="F1058" s="26"/>
      <c r="G1058" s="26"/>
      <c r="H1058" s="26"/>
      <c r="I1058" s="26"/>
    </row>
    <row r="1059" spans="1:9">
      <c r="A1059" s="21"/>
      <c r="B1059" s="21"/>
      <c r="D1059" s="26"/>
      <c r="E1059" s="26"/>
      <c r="F1059" s="26"/>
      <c r="G1059" s="26"/>
      <c r="H1059" s="26"/>
      <c r="I1059" s="26"/>
    </row>
    <row r="1060" spans="1:9">
      <c r="A1060" s="21"/>
      <c r="B1060" s="21"/>
      <c r="D1060" s="26"/>
      <c r="E1060" s="26"/>
      <c r="F1060" s="26"/>
      <c r="G1060" s="26"/>
      <c r="H1060" s="26"/>
      <c r="I1060" s="26"/>
    </row>
    <row r="1061" spans="1:9">
      <c r="A1061" s="21"/>
      <c r="B1061" s="21"/>
      <c r="D1061" s="26"/>
      <c r="E1061" s="26"/>
      <c r="F1061" s="26"/>
      <c r="G1061" s="26"/>
      <c r="H1061" s="26"/>
      <c r="I1061" s="26"/>
    </row>
    <row r="1062" spans="1:9">
      <c r="A1062" s="21"/>
      <c r="B1062" s="21"/>
      <c r="D1062" s="26"/>
      <c r="E1062" s="26"/>
      <c r="F1062" s="26"/>
      <c r="G1062" s="26"/>
      <c r="H1062" s="26"/>
      <c r="I1062" s="26"/>
    </row>
    <row r="1063" spans="1:9">
      <c r="A1063" s="21"/>
      <c r="B1063" s="21"/>
      <c r="D1063" s="26"/>
      <c r="E1063" s="26"/>
      <c r="F1063" s="26"/>
      <c r="G1063" s="26"/>
      <c r="H1063" s="26"/>
      <c r="I1063" s="26"/>
    </row>
    <row r="1064" spans="1:9">
      <c r="A1064" s="21"/>
      <c r="B1064" s="21"/>
      <c r="D1064" s="26"/>
      <c r="E1064" s="26"/>
      <c r="F1064" s="26"/>
      <c r="G1064" s="26"/>
      <c r="H1064" s="26"/>
      <c r="I1064" s="26"/>
    </row>
    <row r="1065" spans="1:9">
      <c r="A1065" s="21"/>
      <c r="B1065" s="21"/>
      <c r="D1065" s="26"/>
      <c r="E1065" s="26"/>
      <c r="F1065" s="26"/>
      <c r="G1065" s="26"/>
      <c r="H1065" s="26"/>
      <c r="I1065" s="26"/>
    </row>
    <row r="1066" spans="1:9">
      <c r="A1066" s="21"/>
      <c r="B1066" s="21"/>
      <c r="D1066" s="26"/>
      <c r="E1066" s="26"/>
      <c r="F1066" s="26"/>
      <c r="G1066" s="26"/>
      <c r="H1066" s="26"/>
      <c r="I1066" s="26"/>
    </row>
    <row r="1067" spans="1:9">
      <c r="A1067" s="21"/>
      <c r="B1067" s="21"/>
      <c r="D1067" s="26"/>
      <c r="E1067" s="26"/>
      <c r="F1067" s="26"/>
      <c r="G1067" s="26"/>
      <c r="H1067" s="26"/>
      <c r="I1067" s="26"/>
    </row>
    <row r="1068" spans="1:9">
      <c r="A1068" s="21"/>
      <c r="B1068" s="21"/>
      <c r="D1068" s="26"/>
      <c r="E1068" s="26"/>
      <c r="F1068" s="26"/>
      <c r="G1068" s="26"/>
      <c r="H1068" s="26"/>
      <c r="I1068" s="26"/>
    </row>
    <row r="1069" spans="1:9">
      <c r="A1069" s="21"/>
      <c r="B1069" s="21"/>
      <c r="D1069" s="26"/>
      <c r="E1069" s="26"/>
      <c r="F1069" s="26"/>
      <c r="G1069" s="26"/>
      <c r="H1069" s="26"/>
      <c r="I1069" s="26"/>
    </row>
    <row r="1070" spans="1:9">
      <c r="A1070" s="21"/>
      <c r="B1070" s="21"/>
      <c r="D1070" s="26"/>
      <c r="E1070" s="26"/>
      <c r="F1070" s="26"/>
      <c r="G1070" s="26"/>
      <c r="H1070" s="26"/>
      <c r="I1070" s="26"/>
    </row>
    <row r="1071" spans="1:9">
      <c r="A1071" s="21"/>
      <c r="B1071" s="21"/>
      <c r="D1071" s="26"/>
      <c r="E1071" s="26"/>
      <c r="F1071" s="26"/>
      <c r="G1071" s="26"/>
      <c r="H1071" s="26"/>
      <c r="I1071" s="26"/>
    </row>
    <row r="1072" spans="1:9">
      <c r="A1072" s="21"/>
      <c r="B1072" s="21"/>
      <c r="D1072" s="26"/>
      <c r="E1072" s="26"/>
      <c r="F1072" s="26"/>
      <c r="G1072" s="26"/>
      <c r="H1072" s="26"/>
      <c r="I1072" s="26"/>
    </row>
    <row r="1073" spans="1:9">
      <c r="A1073" s="21"/>
      <c r="B1073" s="21"/>
      <c r="D1073" s="26"/>
      <c r="E1073" s="26"/>
      <c r="F1073" s="26"/>
      <c r="G1073" s="26"/>
      <c r="H1073" s="26"/>
      <c r="I1073" s="26"/>
    </row>
    <row r="1074" spans="1:9">
      <c r="A1074" s="21"/>
      <c r="B1074" s="21"/>
      <c r="D1074" s="26"/>
      <c r="E1074" s="26"/>
      <c r="F1074" s="26"/>
      <c r="G1074" s="26"/>
      <c r="H1074" s="26"/>
      <c r="I1074" s="26"/>
    </row>
    <row r="1075" spans="1:9">
      <c r="A1075" s="21"/>
      <c r="B1075" s="21"/>
      <c r="D1075" s="26"/>
      <c r="E1075" s="26"/>
      <c r="F1075" s="26"/>
      <c r="G1075" s="26"/>
      <c r="H1075" s="26"/>
      <c r="I1075" s="26"/>
    </row>
    <row r="1076" spans="1:9">
      <c r="A1076" s="21"/>
      <c r="B1076" s="21"/>
      <c r="D1076" s="26"/>
      <c r="E1076" s="26"/>
      <c r="F1076" s="26"/>
      <c r="G1076" s="26"/>
      <c r="H1076" s="26"/>
      <c r="I1076" s="26"/>
    </row>
    <row r="1077" spans="1:9">
      <c r="A1077" s="21"/>
      <c r="B1077" s="21"/>
      <c r="D1077" s="26"/>
      <c r="E1077" s="26"/>
      <c r="F1077" s="26"/>
      <c r="G1077" s="26"/>
      <c r="H1077" s="26"/>
      <c r="I1077" s="26"/>
    </row>
    <row r="1078" spans="1:9">
      <c r="A1078" s="21"/>
      <c r="B1078" s="21"/>
      <c r="D1078" s="26"/>
      <c r="E1078" s="26"/>
      <c r="F1078" s="26"/>
      <c r="G1078" s="26"/>
      <c r="H1078" s="26"/>
      <c r="I1078" s="26"/>
    </row>
    <row r="1079" spans="1:9">
      <c r="A1079" s="21"/>
      <c r="B1079" s="21"/>
      <c r="D1079" s="26"/>
      <c r="E1079" s="26"/>
      <c r="F1079" s="26"/>
      <c r="G1079" s="26"/>
      <c r="H1079" s="26"/>
      <c r="I1079" s="26"/>
    </row>
    <row r="1080" spans="1:9">
      <c r="A1080" s="21"/>
      <c r="B1080" s="21"/>
      <c r="D1080" s="26"/>
      <c r="E1080" s="26"/>
      <c r="F1080" s="26"/>
      <c r="G1080" s="26"/>
      <c r="H1080" s="26"/>
      <c r="I1080" s="26"/>
    </row>
    <row r="1081" spans="1:9">
      <c r="A1081" s="21"/>
      <c r="B1081" s="21"/>
      <c r="D1081" s="26"/>
      <c r="E1081" s="26"/>
      <c r="F1081" s="26"/>
      <c r="G1081" s="26"/>
      <c r="H1081" s="26"/>
      <c r="I1081" s="26"/>
    </row>
    <row r="1082" spans="1:9">
      <c r="A1082" s="21"/>
      <c r="B1082" s="21"/>
      <c r="D1082" s="26"/>
      <c r="E1082" s="26"/>
      <c r="F1082" s="26"/>
      <c r="G1082" s="26"/>
      <c r="H1082" s="26"/>
      <c r="I1082" s="26"/>
    </row>
    <row r="1083" spans="1:9">
      <c r="A1083" s="21"/>
      <c r="B1083" s="21"/>
      <c r="D1083" s="26"/>
      <c r="E1083" s="26"/>
      <c r="F1083" s="26"/>
      <c r="G1083" s="26"/>
      <c r="H1083" s="26"/>
      <c r="I1083" s="26"/>
    </row>
    <row r="1084" spans="1:9">
      <c r="A1084" s="21"/>
      <c r="B1084" s="21"/>
      <c r="D1084" s="26"/>
      <c r="E1084" s="26"/>
      <c r="F1084" s="26"/>
      <c r="G1084" s="26"/>
      <c r="H1084" s="26"/>
      <c r="I1084" s="26"/>
    </row>
    <row r="1085" spans="1:9">
      <c r="A1085" s="21"/>
      <c r="B1085" s="21"/>
      <c r="D1085" s="26"/>
      <c r="E1085" s="26"/>
      <c r="F1085" s="26"/>
      <c r="G1085" s="26"/>
      <c r="H1085" s="26"/>
      <c r="I1085" s="26"/>
    </row>
    <row r="1086" spans="1:9">
      <c r="A1086" s="21"/>
      <c r="B1086" s="21"/>
      <c r="D1086" s="26"/>
      <c r="E1086" s="26"/>
      <c r="F1086" s="26"/>
      <c r="G1086" s="26"/>
      <c r="H1086" s="26"/>
      <c r="I1086" s="26"/>
    </row>
    <row r="1087" spans="1:9">
      <c r="A1087" s="21"/>
      <c r="B1087" s="21"/>
      <c r="D1087" s="26"/>
      <c r="E1087" s="26"/>
      <c r="F1087" s="26"/>
      <c r="G1087" s="26"/>
      <c r="H1087" s="26"/>
      <c r="I1087" s="26"/>
    </row>
    <row r="1088" spans="1:9">
      <c r="A1088" s="21"/>
      <c r="B1088" s="21"/>
      <c r="D1088" s="26"/>
      <c r="E1088" s="26"/>
      <c r="F1088" s="26"/>
      <c r="G1088" s="26"/>
      <c r="H1088" s="26"/>
      <c r="I1088" s="26"/>
    </row>
    <row r="1089" spans="1:9">
      <c r="A1089" s="21"/>
      <c r="B1089" s="21"/>
      <c r="D1089" s="26"/>
      <c r="E1089" s="26"/>
      <c r="F1089" s="26"/>
      <c r="G1089" s="26"/>
      <c r="H1089" s="26"/>
      <c r="I1089" s="26"/>
    </row>
    <row r="1090" spans="1:9">
      <c r="A1090" s="21"/>
      <c r="B1090" s="21"/>
      <c r="D1090" s="26"/>
      <c r="E1090" s="26"/>
      <c r="F1090" s="26"/>
      <c r="G1090" s="26"/>
      <c r="H1090" s="26"/>
      <c r="I1090" s="26"/>
    </row>
    <row r="1091" spans="1:9">
      <c r="A1091" s="21"/>
      <c r="B1091" s="21"/>
      <c r="D1091" s="26"/>
      <c r="E1091" s="26"/>
      <c r="F1091" s="26"/>
      <c r="G1091" s="26"/>
      <c r="H1091" s="26"/>
      <c r="I1091" s="26"/>
    </row>
    <row r="1092" spans="1:9">
      <c r="A1092" s="21"/>
      <c r="B1092" s="21"/>
      <c r="D1092" s="26"/>
      <c r="E1092" s="26"/>
      <c r="F1092" s="26"/>
      <c r="G1092" s="26"/>
      <c r="H1092" s="26"/>
      <c r="I1092" s="26"/>
    </row>
    <row r="1093" spans="1:9">
      <c r="A1093" s="21"/>
      <c r="B1093" s="21"/>
      <c r="D1093" s="26"/>
      <c r="E1093" s="26"/>
      <c r="F1093" s="26"/>
      <c r="G1093" s="26"/>
      <c r="H1093" s="26"/>
      <c r="I1093" s="26"/>
    </row>
    <row r="1094" spans="1:9">
      <c r="A1094" s="21"/>
      <c r="B1094" s="21"/>
      <c r="D1094" s="26"/>
      <c r="E1094" s="26"/>
      <c r="F1094" s="26"/>
      <c r="G1094" s="26"/>
      <c r="H1094" s="26"/>
      <c r="I1094" s="26"/>
    </row>
    <row r="1095" spans="1:9">
      <c r="A1095" s="21"/>
      <c r="B1095" s="21"/>
      <c r="D1095" s="26"/>
      <c r="E1095" s="26"/>
      <c r="F1095" s="26"/>
      <c r="G1095" s="26"/>
      <c r="H1095" s="26"/>
      <c r="I1095" s="26"/>
    </row>
    <row r="1096" spans="1:9">
      <c r="A1096" s="21"/>
      <c r="B1096" s="21"/>
      <c r="D1096" s="26"/>
      <c r="E1096" s="26"/>
      <c r="F1096" s="26"/>
      <c r="G1096" s="26"/>
      <c r="H1096" s="26"/>
      <c r="I1096" s="26"/>
    </row>
    <row r="1097" spans="1:9">
      <c r="A1097" s="21"/>
      <c r="B1097" s="21"/>
      <c r="D1097" s="26"/>
      <c r="E1097" s="26"/>
      <c r="F1097" s="26"/>
      <c r="G1097" s="26"/>
      <c r="H1097" s="26"/>
      <c r="I1097" s="26"/>
    </row>
    <row r="1098" spans="1:9">
      <c r="A1098" s="21"/>
      <c r="B1098" s="21"/>
      <c r="D1098" s="26"/>
      <c r="E1098" s="26"/>
      <c r="F1098" s="26"/>
      <c r="G1098" s="26"/>
      <c r="H1098" s="26"/>
      <c r="I1098" s="26"/>
    </row>
    <row r="1099" spans="1:9">
      <c r="A1099" s="21"/>
      <c r="B1099" s="21"/>
      <c r="D1099" s="26"/>
      <c r="E1099" s="26"/>
      <c r="F1099" s="26"/>
      <c r="G1099" s="26"/>
      <c r="H1099" s="26"/>
      <c r="I1099" s="26"/>
    </row>
    <row r="1100" spans="1:9">
      <c r="A1100" s="21"/>
      <c r="B1100" s="21"/>
      <c r="D1100" s="26"/>
      <c r="E1100" s="26"/>
      <c r="F1100" s="26"/>
      <c r="G1100" s="26"/>
      <c r="H1100" s="26"/>
      <c r="I1100" s="26"/>
    </row>
    <row r="1101" spans="1:9">
      <c r="A1101" s="21"/>
      <c r="B1101" s="21"/>
      <c r="D1101" s="26"/>
      <c r="E1101" s="26"/>
      <c r="F1101" s="26"/>
      <c r="G1101" s="26"/>
      <c r="H1101" s="26"/>
      <c r="I1101" s="26"/>
    </row>
    <row r="1102" spans="1:9">
      <c r="A1102" s="21"/>
      <c r="B1102" s="21"/>
      <c r="D1102" s="26"/>
      <c r="E1102" s="26"/>
      <c r="F1102" s="26"/>
      <c r="G1102" s="26"/>
      <c r="H1102" s="26"/>
      <c r="I1102" s="26"/>
    </row>
    <row r="1103" spans="1:9">
      <c r="A1103" s="21"/>
      <c r="B1103" s="21"/>
      <c r="D1103" s="26"/>
      <c r="E1103" s="26"/>
      <c r="F1103" s="26"/>
      <c r="G1103" s="26"/>
      <c r="H1103" s="26"/>
      <c r="I1103" s="26"/>
    </row>
    <row r="1104" spans="1:9">
      <c r="A1104" s="21"/>
      <c r="B1104" s="21"/>
      <c r="D1104" s="26"/>
      <c r="E1104" s="26"/>
      <c r="F1104" s="26"/>
      <c r="G1104" s="26"/>
      <c r="H1104" s="26"/>
      <c r="I1104" s="26"/>
    </row>
    <row r="1105" spans="1:9">
      <c r="A1105" s="21"/>
      <c r="B1105" s="21"/>
      <c r="D1105" s="26"/>
      <c r="E1105" s="26"/>
      <c r="F1105" s="26"/>
      <c r="G1105" s="26"/>
      <c r="H1105" s="26"/>
      <c r="I1105" s="26"/>
    </row>
    <row r="1106" spans="1:9">
      <c r="A1106" s="21"/>
      <c r="B1106" s="21"/>
      <c r="D1106" s="26"/>
      <c r="E1106" s="26"/>
      <c r="F1106" s="26"/>
      <c r="G1106" s="26"/>
      <c r="H1106" s="26"/>
      <c r="I1106" s="26"/>
    </row>
    <row r="1107" spans="1:9">
      <c r="A1107" s="21"/>
      <c r="B1107" s="21"/>
      <c r="D1107" s="26"/>
      <c r="E1107" s="26"/>
      <c r="F1107" s="26"/>
      <c r="G1107" s="26"/>
      <c r="H1107" s="26"/>
      <c r="I1107" s="26"/>
    </row>
    <row r="1108" spans="1:9">
      <c r="A1108" s="21"/>
      <c r="B1108" s="21"/>
      <c r="D1108" s="26"/>
      <c r="E1108" s="26"/>
      <c r="F1108" s="26"/>
      <c r="G1108" s="26"/>
      <c r="H1108" s="26"/>
      <c r="I1108" s="26"/>
    </row>
    <row r="1109" spans="1:9">
      <c r="A1109" s="21"/>
      <c r="B1109" s="21"/>
      <c r="D1109" s="26"/>
      <c r="E1109" s="26"/>
      <c r="F1109" s="26"/>
      <c r="G1109" s="26"/>
      <c r="H1109" s="26"/>
      <c r="I1109" s="26"/>
    </row>
    <row r="1110" spans="1:9">
      <c r="A1110" s="21"/>
      <c r="B1110" s="21"/>
      <c r="D1110" s="26"/>
      <c r="E1110" s="26"/>
      <c r="F1110" s="26"/>
      <c r="G1110" s="26"/>
      <c r="H1110" s="26"/>
      <c r="I1110" s="26"/>
    </row>
    <row r="1111" spans="1:9">
      <c r="A1111" s="21"/>
      <c r="B1111" s="21"/>
      <c r="D1111" s="26"/>
      <c r="E1111" s="26"/>
      <c r="F1111" s="26"/>
      <c r="G1111" s="26"/>
      <c r="H1111" s="26"/>
      <c r="I1111" s="26"/>
    </row>
    <row r="1112" spans="1:9">
      <c r="A1112" s="21"/>
      <c r="B1112" s="21"/>
      <c r="D1112" s="26"/>
      <c r="E1112" s="26"/>
      <c r="F1112" s="26"/>
      <c r="G1112" s="26"/>
      <c r="H1112" s="26"/>
      <c r="I1112" s="26"/>
    </row>
    <row r="1113" spans="1:9">
      <c r="A1113" s="21"/>
      <c r="B1113" s="21"/>
      <c r="D1113" s="26"/>
      <c r="E1113" s="26"/>
      <c r="F1113" s="26"/>
      <c r="G1113" s="26"/>
      <c r="H1113" s="26"/>
      <c r="I1113" s="26"/>
    </row>
    <row r="1114" spans="1:9">
      <c r="A1114" s="21"/>
      <c r="B1114" s="21"/>
      <c r="D1114" s="26"/>
      <c r="E1114" s="26"/>
      <c r="F1114" s="26"/>
      <c r="G1114" s="26"/>
      <c r="H1114" s="26"/>
      <c r="I1114" s="26"/>
    </row>
    <row r="1115" spans="1:9">
      <c r="A1115" s="21"/>
      <c r="B1115" s="21"/>
      <c r="D1115" s="26"/>
      <c r="E1115" s="26"/>
      <c r="F1115" s="26"/>
      <c r="G1115" s="26"/>
      <c r="H1115" s="26"/>
      <c r="I1115" s="26"/>
    </row>
    <row r="1116" spans="1:9">
      <c r="A1116" s="21"/>
      <c r="B1116" s="21"/>
      <c r="D1116" s="26"/>
      <c r="E1116" s="26"/>
      <c r="F1116" s="26"/>
      <c r="G1116" s="26"/>
      <c r="H1116" s="26"/>
      <c r="I1116" s="26"/>
    </row>
    <row r="1117" spans="1:9">
      <c r="A1117" s="21"/>
      <c r="B1117" s="21"/>
      <c r="D1117" s="26"/>
      <c r="E1117" s="26"/>
      <c r="F1117" s="26"/>
      <c r="G1117" s="26"/>
      <c r="H1117" s="26"/>
      <c r="I1117" s="26"/>
    </row>
    <row r="1118" spans="1:9">
      <c r="A1118" s="21"/>
      <c r="B1118" s="21"/>
      <c r="D1118" s="26"/>
      <c r="E1118" s="26"/>
      <c r="F1118" s="26"/>
      <c r="G1118" s="26"/>
      <c r="H1118" s="26"/>
      <c r="I1118" s="26"/>
    </row>
    <row r="1119" spans="1:9">
      <c r="A1119" s="21"/>
      <c r="B1119" s="21"/>
      <c r="D1119" s="26"/>
      <c r="E1119" s="26"/>
      <c r="F1119" s="26"/>
      <c r="G1119" s="26"/>
      <c r="H1119" s="26"/>
      <c r="I1119" s="26"/>
    </row>
    <row r="1120" spans="1:9">
      <c r="A1120" s="21"/>
      <c r="B1120" s="21"/>
      <c r="D1120" s="26"/>
      <c r="E1120" s="26"/>
      <c r="F1120" s="26"/>
      <c r="G1120" s="26"/>
      <c r="H1120" s="26"/>
      <c r="I1120" s="26"/>
    </row>
    <row r="1121" spans="1:9">
      <c r="A1121" s="21"/>
      <c r="B1121" s="21"/>
      <c r="D1121" s="26"/>
      <c r="E1121" s="26"/>
      <c r="F1121" s="26"/>
      <c r="G1121" s="26"/>
      <c r="H1121" s="26"/>
      <c r="I1121" s="26"/>
    </row>
    <row r="1122" spans="1:9">
      <c r="A1122" s="21"/>
      <c r="B1122" s="21"/>
      <c r="D1122" s="26"/>
      <c r="E1122" s="26"/>
      <c r="F1122" s="26"/>
      <c r="G1122" s="26"/>
      <c r="H1122" s="26"/>
      <c r="I1122" s="26"/>
    </row>
    <row r="1123" spans="1:9">
      <c r="A1123" s="21"/>
      <c r="B1123" s="21"/>
      <c r="D1123" s="26"/>
      <c r="E1123" s="26"/>
      <c r="F1123" s="26"/>
      <c r="G1123" s="26"/>
      <c r="H1123" s="26"/>
      <c r="I1123" s="26"/>
    </row>
    <row r="1124" spans="1:9">
      <c r="A1124" s="21"/>
      <c r="B1124" s="21"/>
      <c r="D1124" s="26"/>
      <c r="E1124" s="26"/>
      <c r="F1124" s="26"/>
      <c r="G1124" s="26"/>
      <c r="H1124" s="26"/>
      <c r="I1124" s="26"/>
    </row>
    <row r="1125" spans="1:9">
      <c r="A1125" s="21"/>
      <c r="B1125" s="21"/>
      <c r="D1125" s="26"/>
      <c r="E1125" s="26"/>
      <c r="F1125" s="26"/>
      <c r="G1125" s="26"/>
      <c r="H1125" s="26"/>
      <c r="I1125" s="26"/>
    </row>
    <row r="1126" spans="1:9">
      <c r="A1126" s="21"/>
      <c r="B1126" s="21"/>
      <c r="D1126" s="26"/>
      <c r="E1126" s="26"/>
      <c r="F1126" s="26"/>
      <c r="G1126" s="26"/>
      <c r="H1126" s="26"/>
      <c r="I1126" s="26"/>
    </row>
    <row r="1127" spans="1:9">
      <c r="A1127" s="21"/>
      <c r="B1127" s="21"/>
      <c r="D1127" s="26"/>
      <c r="E1127" s="26"/>
      <c r="F1127" s="26"/>
      <c r="G1127" s="26"/>
      <c r="H1127" s="26"/>
      <c r="I1127" s="26"/>
    </row>
    <row r="1128" spans="1:9">
      <c r="A1128" s="21"/>
      <c r="B1128" s="21"/>
      <c r="D1128" s="26"/>
      <c r="E1128" s="26"/>
      <c r="F1128" s="26"/>
      <c r="G1128" s="26"/>
      <c r="H1128" s="26"/>
      <c r="I1128" s="26"/>
    </row>
    <row r="1129" spans="1:9">
      <c r="A1129" s="21"/>
      <c r="B1129" s="21"/>
      <c r="D1129" s="26"/>
      <c r="E1129" s="26"/>
      <c r="F1129" s="26"/>
      <c r="G1129" s="26"/>
      <c r="H1129" s="26"/>
      <c r="I1129" s="26"/>
    </row>
    <row r="1130" spans="1:9">
      <c r="A1130" s="21"/>
      <c r="B1130" s="21"/>
      <c r="D1130" s="26"/>
      <c r="E1130" s="26"/>
      <c r="F1130" s="26"/>
      <c r="G1130" s="26"/>
      <c r="H1130" s="26"/>
      <c r="I1130" s="26"/>
    </row>
    <row r="1131" spans="1:9">
      <c r="A1131" s="21"/>
      <c r="B1131" s="21"/>
      <c r="D1131" s="26"/>
      <c r="E1131" s="26"/>
      <c r="F1131" s="26"/>
      <c r="G1131" s="26"/>
      <c r="H1131" s="26"/>
      <c r="I1131" s="26"/>
    </row>
    <row r="1132" spans="1:9">
      <c r="A1132" s="21"/>
      <c r="B1132" s="21"/>
      <c r="D1132" s="26"/>
      <c r="E1132" s="26"/>
      <c r="F1132" s="26"/>
      <c r="G1132" s="26"/>
      <c r="H1132" s="26"/>
      <c r="I1132" s="26"/>
    </row>
    <row r="1133" spans="1:9">
      <c r="A1133" s="21"/>
      <c r="B1133" s="21"/>
      <c r="D1133" s="26"/>
      <c r="E1133" s="26"/>
      <c r="F1133" s="26"/>
      <c r="G1133" s="26"/>
      <c r="H1133" s="26"/>
      <c r="I1133" s="26"/>
    </row>
    <row r="1134" spans="1:9">
      <c r="A1134" s="21"/>
      <c r="B1134" s="21"/>
      <c r="D1134" s="26"/>
      <c r="E1134" s="26"/>
      <c r="F1134" s="26"/>
      <c r="G1134" s="26"/>
      <c r="H1134" s="26"/>
      <c r="I1134" s="26"/>
    </row>
    <row r="1135" spans="1:9">
      <c r="A1135" s="21"/>
      <c r="B1135" s="21"/>
      <c r="D1135" s="26"/>
      <c r="E1135" s="26"/>
      <c r="F1135" s="26"/>
      <c r="G1135" s="26"/>
      <c r="H1135" s="26"/>
      <c r="I1135" s="26"/>
    </row>
    <row r="1136" spans="1:9">
      <c r="A1136" s="21"/>
      <c r="B1136" s="21"/>
      <c r="D1136" s="26"/>
      <c r="E1136" s="26"/>
      <c r="F1136" s="26"/>
      <c r="G1136" s="26"/>
      <c r="H1136" s="26"/>
      <c r="I1136" s="26"/>
    </row>
    <row r="1137" spans="1:9">
      <c r="A1137" s="21"/>
      <c r="B1137" s="21"/>
      <c r="D1137" s="26"/>
      <c r="E1137" s="26"/>
      <c r="F1137" s="26"/>
      <c r="G1137" s="26"/>
      <c r="H1137" s="26"/>
      <c r="I1137" s="26"/>
    </row>
    <row r="1138" spans="1:9">
      <c r="A1138" s="21"/>
      <c r="B1138" s="21"/>
      <c r="D1138" s="26"/>
      <c r="E1138" s="26"/>
      <c r="F1138" s="26"/>
      <c r="G1138" s="26"/>
      <c r="H1138" s="26"/>
      <c r="I1138" s="26"/>
    </row>
    <row r="1139" spans="1:9">
      <c r="A1139" s="21"/>
      <c r="B1139" s="21"/>
      <c r="D1139" s="26"/>
      <c r="E1139" s="26"/>
      <c r="F1139" s="26"/>
      <c r="G1139" s="26"/>
      <c r="H1139" s="26"/>
      <c r="I1139" s="26"/>
    </row>
    <row r="1140" spans="1:9">
      <c r="A1140" s="21"/>
      <c r="B1140" s="21"/>
      <c r="D1140" s="26"/>
      <c r="E1140" s="26"/>
      <c r="F1140" s="26"/>
      <c r="G1140" s="26"/>
      <c r="H1140" s="26"/>
      <c r="I1140" s="26"/>
    </row>
    <row r="1141" spans="1:9">
      <c r="A1141" s="21"/>
      <c r="B1141" s="21"/>
      <c r="D1141" s="26"/>
      <c r="E1141" s="26"/>
      <c r="F1141" s="26"/>
      <c r="G1141" s="26"/>
      <c r="H1141" s="26"/>
      <c r="I1141" s="26"/>
    </row>
    <row r="1142" spans="1:9">
      <c r="A1142" s="21"/>
      <c r="B1142" s="21"/>
      <c r="D1142" s="26"/>
      <c r="E1142" s="26"/>
      <c r="F1142" s="26"/>
      <c r="G1142" s="26"/>
      <c r="H1142" s="26"/>
      <c r="I1142" s="26"/>
    </row>
    <row r="1143" spans="1:9">
      <c r="A1143" s="21"/>
      <c r="B1143" s="21"/>
      <c r="D1143" s="26"/>
      <c r="E1143" s="26"/>
      <c r="F1143" s="26"/>
      <c r="G1143" s="26"/>
      <c r="H1143" s="26"/>
      <c r="I1143" s="26"/>
    </row>
    <row r="1144" spans="1:9">
      <c r="A1144" s="21"/>
      <c r="B1144" s="21"/>
      <c r="D1144" s="26"/>
      <c r="E1144" s="26"/>
      <c r="F1144" s="26"/>
      <c r="G1144" s="26"/>
      <c r="H1144" s="26"/>
      <c r="I1144" s="26"/>
    </row>
    <row r="1145" spans="1:9">
      <c r="A1145" s="21"/>
      <c r="B1145" s="21"/>
      <c r="D1145" s="26"/>
      <c r="E1145" s="26"/>
      <c r="F1145" s="26"/>
      <c r="G1145" s="26"/>
      <c r="H1145" s="26"/>
      <c r="I1145" s="26"/>
    </row>
    <row r="1146" spans="1:9">
      <c r="A1146" s="21"/>
      <c r="B1146" s="21"/>
      <c r="D1146" s="26"/>
      <c r="E1146" s="26"/>
      <c r="F1146" s="26"/>
      <c r="G1146" s="26"/>
      <c r="H1146" s="26"/>
      <c r="I1146" s="26"/>
    </row>
    <row r="1147" spans="1:9">
      <c r="A1147" s="21"/>
      <c r="B1147" s="21"/>
      <c r="D1147" s="26"/>
      <c r="E1147" s="26"/>
      <c r="F1147" s="26"/>
      <c r="G1147" s="26"/>
      <c r="H1147" s="26"/>
      <c r="I1147" s="26"/>
    </row>
    <row r="1148" spans="1:9">
      <c r="A1148" s="21"/>
      <c r="B1148" s="21"/>
      <c r="D1148" s="26"/>
      <c r="E1148" s="26"/>
      <c r="F1148" s="26"/>
      <c r="G1148" s="26"/>
      <c r="H1148" s="26"/>
      <c r="I1148" s="26"/>
    </row>
    <row r="1149" spans="1:9">
      <c r="A1149" s="21"/>
      <c r="B1149" s="21"/>
      <c r="D1149" s="26"/>
      <c r="E1149" s="26"/>
      <c r="F1149" s="26"/>
      <c r="G1149" s="26"/>
      <c r="H1149" s="26"/>
      <c r="I1149" s="26"/>
    </row>
    <row r="1150" spans="1:9">
      <c r="A1150" s="21"/>
      <c r="B1150" s="21"/>
      <c r="D1150" s="26"/>
      <c r="E1150" s="26"/>
      <c r="F1150" s="26"/>
      <c r="G1150" s="26"/>
      <c r="H1150" s="26"/>
      <c r="I1150" s="26"/>
    </row>
    <row r="1151" spans="1:9">
      <c r="A1151" s="21"/>
      <c r="B1151" s="21"/>
      <c r="D1151" s="26"/>
      <c r="E1151" s="26"/>
      <c r="F1151" s="26"/>
      <c r="G1151" s="26"/>
      <c r="H1151" s="26"/>
      <c r="I1151" s="26"/>
    </row>
    <row r="1152" spans="1:9">
      <c r="A1152" s="21"/>
      <c r="B1152" s="21"/>
      <c r="D1152" s="26"/>
      <c r="E1152" s="26"/>
      <c r="F1152" s="26"/>
      <c r="G1152" s="26"/>
      <c r="H1152" s="26"/>
      <c r="I1152" s="26"/>
    </row>
    <row r="1153" spans="1:9">
      <c r="A1153" s="21"/>
      <c r="B1153" s="21"/>
      <c r="D1153" s="26"/>
      <c r="E1153" s="26"/>
      <c r="F1153" s="26"/>
      <c r="G1153" s="26"/>
      <c r="H1153" s="26"/>
      <c r="I1153" s="26"/>
    </row>
    <row r="1154" spans="1:9">
      <c r="A1154" s="21"/>
      <c r="B1154" s="21"/>
      <c r="D1154" s="26"/>
      <c r="E1154" s="26"/>
      <c r="F1154" s="26"/>
      <c r="G1154" s="26"/>
      <c r="H1154" s="26"/>
      <c r="I1154" s="26"/>
    </row>
    <row r="1155" spans="1:9">
      <c r="A1155" s="21"/>
      <c r="B1155" s="21"/>
      <c r="D1155" s="26"/>
      <c r="E1155" s="26"/>
      <c r="F1155" s="26"/>
      <c r="G1155" s="26"/>
      <c r="H1155" s="26"/>
      <c r="I1155" s="26"/>
    </row>
    <row r="1156" spans="1:9">
      <c r="A1156" s="21"/>
      <c r="B1156" s="21"/>
      <c r="D1156" s="26"/>
      <c r="E1156" s="26"/>
      <c r="F1156" s="26"/>
      <c r="G1156" s="26"/>
      <c r="H1156" s="26"/>
      <c r="I1156" s="26"/>
    </row>
    <row r="1157" spans="1:9">
      <c r="A1157" s="24"/>
      <c r="B1157" s="21"/>
      <c r="D1157" s="26"/>
      <c r="E1157" s="26"/>
      <c r="F1157" s="26"/>
      <c r="G1157" s="26"/>
      <c r="H1157" s="26"/>
      <c r="I1157" s="26"/>
    </row>
    <row r="1158" spans="1:9">
      <c r="A1158" s="21"/>
      <c r="B1158" s="21"/>
      <c r="D1158" s="26"/>
      <c r="E1158" s="26"/>
      <c r="F1158" s="26"/>
      <c r="G1158" s="26"/>
      <c r="H1158" s="26"/>
      <c r="I1158" s="26"/>
    </row>
    <row r="1159" spans="1:9">
      <c r="A1159" s="21"/>
      <c r="B1159" s="21"/>
      <c r="D1159" s="26"/>
      <c r="E1159" s="26"/>
      <c r="F1159" s="26"/>
      <c r="G1159" s="26"/>
      <c r="H1159" s="26"/>
      <c r="I1159" s="26"/>
    </row>
    <row r="1160" spans="1:9">
      <c r="A1160" s="21"/>
      <c r="B1160" s="21"/>
      <c r="D1160" s="26"/>
      <c r="E1160" s="26"/>
      <c r="F1160" s="26"/>
      <c r="G1160" s="26"/>
      <c r="H1160" s="26"/>
      <c r="I1160" s="26"/>
    </row>
    <row r="1161" spans="1:9">
      <c r="A1161" s="21"/>
      <c r="B1161" s="21"/>
      <c r="D1161" s="26"/>
      <c r="E1161" s="26"/>
      <c r="F1161" s="26"/>
      <c r="G1161" s="26"/>
      <c r="H1161" s="26"/>
      <c r="I1161" s="26"/>
    </row>
    <row r="1162" spans="1:9">
      <c r="A1162" s="21"/>
      <c r="B1162" s="21"/>
      <c r="D1162" s="26"/>
      <c r="E1162" s="26"/>
      <c r="F1162" s="26"/>
      <c r="G1162" s="26"/>
      <c r="H1162" s="26"/>
      <c r="I1162" s="26"/>
    </row>
    <row r="1163" spans="1:9">
      <c r="A1163" s="21"/>
      <c r="B1163" s="21"/>
      <c r="D1163" s="26"/>
      <c r="E1163" s="26"/>
      <c r="F1163" s="26"/>
      <c r="G1163" s="26"/>
      <c r="H1163" s="26"/>
      <c r="I1163" s="26"/>
    </row>
    <row r="1164" spans="1:9">
      <c r="A1164" s="21"/>
      <c r="B1164" s="21"/>
      <c r="D1164" s="26"/>
      <c r="E1164" s="26"/>
      <c r="F1164" s="26"/>
      <c r="G1164" s="26"/>
      <c r="H1164" s="26"/>
      <c r="I1164" s="26"/>
    </row>
    <row r="1165" spans="1:9">
      <c r="A1165" s="21"/>
      <c r="B1165" s="21"/>
      <c r="D1165" s="26"/>
      <c r="E1165" s="26"/>
      <c r="F1165" s="26"/>
      <c r="G1165" s="26"/>
      <c r="H1165" s="26"/>
      <c r="I1165" s="26"/>
    </row>
    <row r="1166" spans="1:9">
      <c r="A1166" s="21"/>
      <c r="B1166" s="21"/>
      <c r="D1166" s="26"/>
      <c r="E1166" s="26"/>
      <c r="F1166" s="26"/>
      <c r="G1166" s="26"/>
      <c r="H1166" s="26"/>
      <c r="I1166" s="26"/>
    </row>
    <row r="1167" spans="1:9">
      <c r="A1167" s="21"/>
      <c r="B1167" s="21"/>
      <c r="D1167" s="26"/>
      <c r="E1167" s="26"/>
      <c r="F1167" s="26"/>
      <c r="G1167" s="26"/>
      <c r="H1167" s="26"/>
      <c r="I1167" s="26"/>
    </row>
    <row r="1168" spans="1:9">
      <c r="A1168" s="21"/>
      <c r="B1168" s="21"/>
      <c r="D1168" s="26"/>
      <c r="E1168" s="26"/>
      <c r="F1168" s="26"/>
      <c r="G1168" s="26"/>
      <c r="H1168" s="26"/>
      <c r="I1168" s="26"/>
    </row>
    <row r="1169" spans="1:9">
      <c r="A1169" s="21"/>
      <c r="B1169" s="21"/>
      <c r="D1169" s="26"/>
      <c r="E1169" s="26"/>
      <c r="F1169" s="26"/>
      <c r="G1169" s="26"/>
      <c r="H1169" s="26"/>
      <c r="I1169" s="26"/>
    </row>
    <row r="1170" spans="1:9">
      <c r="A1170" s="21"/>
      <c r="B1170" s="21"/>
      <c r="D1170" s="26"/>
      <c r="E1170" s="26"/>
      <c r="F1170" s="26"/>
      <c r="G1170" s="26"/>
      <c r="H1170" s="26"/>
      <c r="I1170" s="26"/>
    </row>
    <row r="1171" spans="1:9">
      <c r="A1171" s="21"/>
      <c r="B1171" s="21"/>
      <c r="D1171" s="26"/>
      <c r="E1171" s="26"/>
      <c r="F1171" s="26"/>
      <c r="G1171" s="26"/>
      <c r="H1171" s="26"/>
      <c r="I1171" s="26"/>
    </row>
    <row r="1172" spans="1:9">
      <c r="A1172" s="21"/>
      <c r="B1172" s="21"/>
      <c r="D1172" s="26"/>
      <c r="E1172" s="26"/>
      <c r="F1172" s="26"/>
      <c r="G1172" s="26"/>
      <c r="H1172" s="26"/>
      <c r="I1172" s="26"/>
    </row>
    <row r="1173" spans="1:9">
      <c r="A1173" s="21"/>
      <c r="B1173" s="21"/>
      <c r="D1173" s="26"/>
      <c r="E1173" s="26"/>
      <c r="F1173" s="26"/>
      <c r="G1173" s="26"/>
      <c r="H1173" s="26"/>
      <c r="I1173" s="26"/>
    </row>
    <row r="1174" spans="1:9">
      <c r="A1174" s="21"/>
      <c r="B1174" s="21"/>
      <c r="D1174" s="26"/>
      <c r="E1174" s="26"/>
      <c r="F1174" s="26"/>
      <c r="G1174" s="26"/>
      <c r="H1174" s="26"/>
      <c r="I1174" s="26"/>
    </row>
    <row r="1175" spans="1:9">
      <c r="A1175" s="21"/>
      <c r="B1175" s="21"/>
      <c r="D1175" s="26"/>
      <c r="E1175" s="26"/>
      <c r="F1175" s="26"/>
      <c r="G1175" s="26"/>
      <c r="H1175" s="26"/>
      <c r="I1175" s="26"/>
    </row>
    <row r="1176" spans="1:9">
      <c r="A1176" s="21"/>
      <c r="B1176" s="21"/>
      <c r="D1176" s="26"/>
      <c r="E1176" s="26"/>
      <c r="F1176" s="26"/>
      <c r="G1176" s="26"/>
      <c r="H1176" s="26"/>
      <c r="I1176" s="26"/>
    </row>
    <row r="1177" spans="1:9">
      <c r="A1177" s="21"/>
      <c r="B1177" s="21"/>
      <c r="D1177" s="26"/>
      <c r="E1177" s="26"/>
      <c r="F1177" s="26"/>
      <c r="G1177" s="26"/>
      <c r="H1177" s="26"/>
      <c r="I1177" s="26"/>
    </row>
    <row r="1178" spans="1:9">
      <c r="A1178" s="21"/>
      <c r="B1178" s="21"/>
      <c r="D1178" s="26"/>
      <c r="E1178" s="26"/>
      <c r="F1178" s="26"/>
      <c r="G1178" s="26"/>
      <c r="H1178" s="26"/>
      <c r="I1178" s="26"/>
    </row>
    <row r="1179" spans="1:9">
      <c r="A1179" s="21"/>
      <c r="B1179" s="21"/>
      <c r="D1179" s="26"/>
      <c r="E1179" s="26"/>
      <c r="F1179" s="26"/>
      <c r="G1179" s="26"/>
      <c r="H1179" s="26"/>
      <c r="I1179" s="26"/>
    </row>
    <row r="1180" spans="1:9">
      <c r="A1180" s="21"/>
      <c r="B1180" s="21"/>
      <c r="D1180" s="26"/>
      <c r="E1180" s="26"/>
      <c r="F1180" s="26"/>
      <c r="G1180" s="26"/>
      <c r="H1180" s="26"/>
      <c r="I1180" s="26"/>
    </row>
    <row r="1181" spans="1:9">
      <c r="A1181" s="21"/>
      <c r="B1181" s="21"/>
      <c r="D1181" s="26"/>
      <c r="E1181" s="26"/>
      <c r="F1181" s="26"/>
      <c r="G1181" s="26"/>
      <c r="H1181" s="26"/>
      <c r="I1181" s="26"/>
    </row>
    <row r="1182" spans="1:9">
      <c r="A1182" s="21"/>
      <c r="B1182" s="21"/>
      <c r="D1182" s="26"/>
      <c r="E1182" s="26"/>
      <c r="F1182" s="26"/>
      <c r="G1182" s="26"/>
      <c r="H1182" s="26"/>
      <c r="I1182" s="26"/>
    </row>
    <row r="1183" spans="1:9">
      <c r="A1183" s="21"/>
      <c r="B1183" s="21"/>
      <c r="D1183" s="26"/>
      <c r="E1183" s="26"/>
      <c r="F1183" s="26"/>
      <c r="G1183" s="26"/>
      <c r="H1183" s="26"/>
      <c r="I1183" s="26"/>
    </row>
    <row r="1184" spans="1:9">
      <c r="A1184" s="21"/>
      <c r="B1184" s="21"/>
      <c r="D1184" s="26"/>
      <c r="E1184" s="26"/>
      <c r="F1184" s="26"/>
      <c r="G1184" s="26"/>
      <c r="H1184" s="26"/>
      <c r="I1184" s="26"/>
    </row>
    <row r="1185" spans="1:9">
      <c r="A1185" s="21"/>
      <c r="B1185" s="21"/>
      <c r="D1185" s="26"/>
      <c r="E1185" s="26"/>
      <c r="F1185" s="26"/>
      <c r="G1185" s="26"/>
      <c r="H1185" s="26"/>
      <c r="I1185" s="26"/>
    </row>
    <row r="1186" spans="1:9">
      <c r="A1186" s="21"/>
      <c r="B1186" s="21"/>
      <c r="D1186" s="26"/>
      <c r="E1186" s="26"/>
      <c r="F1186" s="26"/>
      <c r="G1186" s="26"/>
      <c r="H1186" s="26"/>
      <c r="I1186" s="26"/>
    </row>
    <row r="1187" spans="1:9">
      <c r="A1187" s="21"/>
      <c r="B1187" s="21"/>
      <c r="D1187" s="26"/>
      <c r="E1187" s="26"/>
      <c r="F1187" s="26"/>
      <c r="G1187" s="26"/>
      <c r="H1187" s="26"/>
      <c r="I1187" s="26"/>
    </row>
    <row r="1188" spans="1:9">
      <c r="A1188" s="21"/>
      <c r="B1188" s="21"/>
      <c r="D1188" s="26"/>
      <c r="E1188" s="26"/>
      <c r="F1188" s="26"/>
      <c r="G1188" s="26"/>
      <c r="H1188" s="26"/>
      <c r="I1188" s="26"/>
    </row>
    <row r="1189" spans="1:9">
      <c r="A1189" s="21"/>
      <c r="B1189" s="21"/>
      <c r="D1189" s="26"/>
      <c r="E1189" s="26"/>
      <c r="F1189" s="26"/>
      <c r="G1189" s="26"/>
      <c r="H1189" s="26"/>
      <c r="I1189" s="26"/>
    </row>
    <row r="1190" spans="1:9">
      <c r="A1190" s="21"/>
      <c r="B1190" s="21"/>
      <c r="D1190" s="26"/>
      <c r="E1190" s="26"/>
      <c r="F1190" s="26"/>
      <c r="G1190" s="26"/>
      <c r="H1190" s="26"/>
      <c r="I1190" s="26"/>
    </row>
    <row r="1191" spans="1:9">
      <c r="A1191" s="21"/>
      <c r="B1191" s="21"/>
      <c r="D1191" s="26"/>
      <c r="E1191" s="26"/>
      <c r="F1191" s="26"/>
      <c r="G1191" s="26"/>
      <c r="H1191" s="26"/>
      <c r="I1191" s="26"/>
    </row>
    <row r="1192" spans="1:9">
      <c r="A1192" s="21"/>
      <c r="B1192" s="21"/>
      <c r="D1192" s="26"/>
      <c r="E1192" s="26"/>
      <c r="F1192" s="26"/>
      <c r="G1192" s="26"/>
      <c r="H1192" s="26"/>
      <c r="I1192" s="26"/>
    </row>
    <row r="1193" spans="1:9">
      <c r="A1193" s="21"/>
      <c r="B1193" s="21"/>
      <c r="D1193" s="26"/>
      <c r="E1193" s="26"/>
      <c r="F1193" s="26"/>
      <c r="G1193" s="26"/>
      <c r="H1193" s="26"/>
      <c r="I1193" s="26"/>
    </row>
    <row r="1194" spans="1:9">
      <c r="A1194" s="21"/>
      <c r="B1194" s="21"/>
      <c r="D1194" s="26"/>
      <c r="E1194" s="26"/>
      <c r="F1194" s="26"/>
      <c r="G1194" s="26"/>
      <c r="H1194" s="26"/>
      <c r="I1194" s="26"/>
    </row>
    <row r="1195" spans="1:9">
      <c r="A1195" s="21"/>
      <c r="B1195" s="21"/>
      <c r="D1195" s="26"/>
      <c r="E1195" s="26"/>
      <c r="F1195" s="26"/>
      <c r="G1195" s="26"/>
      <c r="H1195" s="26"/>
      <c r="I1195" s="26"/>
    </row>
    <row r="1196" spans="1:9">
      <c r="A1196" s="21"/>
      <c r="B1196" s="21"/>
      <c r="D1196" s="26"/>
      <c r="E1196" s="26"/>
      <c r="F1196" s="26"/>
      <c r="G1196" s="26"/>
      <c r="H1196" s="26"/>
      <c r="I1196" s="26"/>
    </row>
    <row r="1197" spans="1:9">
      <c r="A1197" s="21"/>
      <c r="B1197" s="21"/>
      <c r="D1197" s="26"/>
      <c r="E1197" s="26"/>
      <c r="F1197" s="26"/>
      <c r="G1197" s="26"/>
      <c r="H1197" s="26"/>
      <c r="I1197" s="26"/>
    </row>
    <row r="1198" spans="1:9">
      <c r="A1198" s="21"/>
      <c r="B1198" s="21"/>
      <c r="D1198" s="26"/>
      <c r="E1198" s="26"/>
      <c r="F1198" s="26"/>
      <c r="G1198" s="26"/>
      <c r="H1198" s="26"/>
      <c r="I1198" s="26"/>
    </row>
    <row r="1199" spans="1:9">
      <c r="A1199" s="21"/>
      <c r="B1199" s="21"/>
      <c r="D1199" s="26"/>
      <c r="E1199" s="26"/>
      <c r="F1199" s="26"/>
      <c r="G1199" s="26"/>
      <c r="H1199" s="26"/>
      <c r="I1199" s="26"/>
    </row>
    <row r="1200" spans="1:9">
      <c r="A1200" s="21"/>
      <c r="B1200" s="21"/>
      <c r="D1200" s="26"/>
      <c r="E1200" s="26"/>
      <c r="F1200" s="26"/>
      <c r="G1200" s="26"/>
      <c r="H1200" s="26"/>
      <c r="I1200" s="26"/>
    </row>
    <row r="1201" spans="1:9">
      <c r="A1201" s="21"/>
      <c r="B1201" s="21"/>
      <c r="D1201" s="26"/>
      <c r="E1201" s="26"/>
      <c r="F1201" s="26"/>
      <c r="G1201" s="26"/>
      <c r="H1201" s="26"/>
      <c r="I1201" s="26"/>
    </row>
    <row r="1202" spans="1:9">
      <c r="A1202" s="21"/>
      <c r="B1202" s="21"/>
      <c r="D1202" s="26"/>
      <c r="E1202" s="26"/>
      <c r="F1202" s="26"/>
      <c r="G1202" s="26"/>
      <c r="H1202" s="26"/>
      <c r="I1202" s="26"/>
    </row>
    <row r="1203" spans="1:9">
      <c r="A1203" s="21"/>
      <c r="B1203" s="21"/>
      <c r="D1203" s="26"/>
      <c r="E1203" s="26"/>
      <c r="F1203" s="26"/>
      <c r="G1203" s="26"/>
      <c r="H1203" s="26"/>
      <c r="I1203" s="26"/>
    </row>
    <row r="1204" spans="1:9">
      <c r="A1204" s="21"/>
      <c r="B1204" s="21"/>
      <c r="D1204" s="26"/>
      <c r="E1204" s="26"/>
      <c r="F1204" s="26"/>
      <c r="G1204" s="26"/>
      <c r="H1204" s="26"/>
      <c r="I1204" s="26"/>
    </row>
    <row r="1205" spans="1:9">
      <c r="A1205" s="21"/>
      <c r="B1205" s="21"/>
      <c r="D1205" s="26"/>
      <c r="E1205" s="26"/>
      <c r="F1205" s="26"/>
      <c r="G1205" s="26"/>
      <c r="H1205" s="26"/>
      <c r="I1205" s="26"/>
    </row>
    <row r="1206" spans="1:9">
      <c r="A1206" s="21"/>
      <c r="B1206" s="21"/>
      <c r="D1206" s="26"/>
      <c r="E1206" s="26"/>
      <c r="F1206" s="26"/>
      <c r="G1206" s="26"/>
      <c r="H1206" s="26"/>
      <c r="I1206" s="26"/>
    </row>
    <row r="1207" spans="1:9">
      <c r="A1207" s="21"/>
      <c r="B1207" s="21"/>
      <c r="D1207" s="26"/>
      <c r="E1207" s="26"/>
      <c r="F1207" s="26"/>
      <c r="G1207" s="26"/>
      <c r="H1207" s="26"/>
      <c r="I1207" s="26"/>
    </row>
    <row r="1208" spans="1:9">
      <c r="A1208" s="21"/>
      <c r="B1208" s="21"/>
      <c r="D1208" s="26"/>
      <c r="E1208" s="26"/>
      <c r="F1208" s="26"/>
      <c r="G1208" s="26"/>
      <c r="H1208" s="26"/>
      <c r="I1208" s="26"/>
    </row>
    <row r="1209" spans="1:9">
      <c r="A1209" s="21"/>
      <c r="B1209" s="21"/>
      <c r="D1209" s="26"/>
      <c r="E1209" s="26"/>
      <c r="F1209" s="26"/>
      <c r="G1209" s="26"/>
      <c r="H1209" s="26"/>
      <c r="I1209" s="26"/>
    </row>
    <row r="1210" spans="1:9">
      <c r="A1210" s="21"/>
      <c r="B1210" s="21"/>
      <c r="D1210" s="26"/>
      <c r="E1210" s="26"/>
      <c r="F1210" s="26"/>
      <c r="G1210" s="26"/>
      <c r="H1210" s="26"/>
      <c r="I1210" s="26"/>
    </row>
    <row r="1211" spans="1:9">
      <c r="A1211" s="21"/>
      <c r="B1211" s="21"/>
      <c r="D1211" s="26"/>
      <c r="E1211" s="26"/>
      <c r="F1211" s="26"/>
      <c r="G1211" s="26"/>
      <c r="H1211" s="26"/>
      <c r="I1211" s="26"/>
    </row>
    <row r="1212" spans="1:9">
      <c r="A1212" s="21"/>
      <c r="B1212" s="21"/>
      <c r="D1212" s="26"/>
      <c r="E1212" s="26"/>
      <c r="F1212" s="26"/>
      <c r="G1212" s="26"/>
      <c r="H1212" s="26"/>
      <c r="I1212" s="26"/>
    </row>
    <row r="1213" spans="1:9">
      <c r="A1213" s="21"/>
      <c r="B1213" s="21"/>
      <c r="D1213" s="26"/>
      <c r="E1213" s="26"/>
      <c r="F1213" s="26"/>
      <c r="G1213" s="26"/>
      <c r="H1213" s="26"/>
      <c r="I1213" s="26"/>
    </row>
    <row r="1214" spans="1:9">
      <c r="A1214" s="21"/>
      <c r="B1214" s="21"/>
      <c r="D1214" s="26"/>
      <c r="E1214" s="26"/>
      <c r="F1214" s="26"/>
      <c r="G1214" s="26"/>
      <c r="H1214" s="26"/>
      <c r="I1214" s="26"/>
    </row>
    <row r="1215" spans="1:9">
      <c r="A1215" s="21"/>
      <c r="B1215" s="21"/>
      <c r="D1215" s="26"/>
      <c r="E1215" s="26"/>
      <c r="F1215" s="26"/>
      <c r="G1215" s="26"/>
      <c r="H1215" s="26"/>
      <c r="I1215" s="26"/>
    </row>
    <row r="1216" spans="1:9">
      <c r="A1216" s="21"/>
      <c r="B1216" s="21"/>
      <c r="D1216" s="26"/>
      <c r="E1216" s="26"/>
      <c r="F1216" s="26"/>
      <c r="G1216" s="26"/>
      <c r="H1216" s="26"/>
      <c r="I1216" s="26"/>
    </row>
    <row r="1217" spans="1:9">
      <c r="A1217" s="21"/>
      <c r="B1217" s="21"/>
      <c r="D1217" s="26"/>
      <c r="E1217" s="26"/>
      <c r="F1217" s="26"/>
      <c r="G1217" s="26"/>
      <c r="H1217" s="26"/>
      <c r="I1217" s="26"/>
    </row>
    <row r="1218" spans="1:9">
      <c r="A1218" s="21"/>
      <c r="B1218" s="21"/>
      <c r="D1218" s="26"/>
      <c r="E1218" s="26"/>
      <c r="F1218" s="26"/>
      <c r="G1218" s="26"/>
      <c r="H1218" s="26"/>
      <c r="I1218" s="26"/>
    </row>
    <row r="1219" spans="1:9">
      <c r="A1219" s="21"/>
      <c r="B1219" s="21"/>
      <c r="D1219" s="26"/>
      <c r="E1219" s="26"/>
      <c r="F1219" s="26"/>
      <c r="G1219" s="26"/>
      <c r="H1219" s="26"/>
      <c r="I1219" s="26"/>
    </row>
    <row r="1220" spans="1:9">
      <c r="A1220" s="21"/>
      <c r="B1220" s="21"/>
      <c r="D1220" s="26"/>
      <c r="E1220" s="26"/>
      <c r="F1220" s="26"/>
      <c r="G1220" s="26"/>
      <c r="H1220" s="26"/>
      <c r="I1220" s="26"/>
    </row>
    <row r="1221" spans="1:9">
      <c r="A1221" s="21"/>
      <c r="B1221" s="21"/>
      <c r="D1221" s="26"/>
      <c r="E1221" s="26"/>
      <c r="F1221" s="26"/>
      <c r="G1221" s="26"/>
      <c r="H1221" s="26"/>
      <c r="I1221" s="26"/>
    </row>
    <row r="1222" spans="1:9">
      <c r="A1222" s="21"/>
      <c r="B1222" s="21"/>
      <c r="D1222" s="26"/>
      <c r="E1222" s="26"/>
      <c r="F1222" s="26"/>
      <c r="G1222" s="26"/>
      <c r="H1222" s="26"/>
      <c r="I1222" s="26"/>
    </row>
    <row r="1223" spans="1:9">
      <c r="A1223" s="21"/>
      <c r="B1223" s="21"/>
      <c r="D1223" s="26"/>
      <c r="E1223" s="26"/>
      <c r="F1223" s="26"/>
      <c r="G1223" s="26"/>
      <c r="H1223" s="26"/>
      <c r="I1223" s="26"/>
    </row>
    <row r="1224" spans="1:9">
      <c r="A1224" s="21"/>
      <c r="B1224" s="21"/>
      <c r="D1224" s="26"/>
      <c r="E1224" s="26"/>
      <c r="F1224" s="26"/>
      <c r="G1224" s="26"/>
      <c r="H1224" s="26"/>
      <c r="I1224" s="26"/>
    </row>
    <row r="1225" spans="1:9">
      <c r="A1225" s="21"/>
      <c r="B1225" s="21"/>
      <c r="D1225" s="26"/>
      <c r="E1225" s="26"/>
      <c r="F1225" s="26"/>
      <c r="G1225" s="26"/>
      <c r="H1225" s="26"/>
      <c r="I1225" s="26"/>
    </row>
    <row r="1226" spans="1:9">
      <c r="A1226" s="21"/>
      <c r="B1226" s="21"/>
      <c r="D1226" s="26"/>
      <c r="E1226" s="26"/>
      <c r="F1226" s="26"/>
      <c r="G1226" s="26"/>
      <c r="H1226" s="26"/>
      <c r="I1226" s="26"/>
    </row>
    <row r="1227" spans="1:9">
      <c r="A1227" s="21"/>
      <c r="B1227" s="21"/>
      <c r="D1227" s="26"/>
      <c r="E1227" s="26"/>
      <c r="F1227" s="26"/>
      <c r="G1227" s="26"/>
      <c r="H1227" s="26"/>
      <c r="I1227" s="26"/>
    </row>
    <row r="1228" spans="1:9">
      <c r="A1228" s="21"/>
      <c r="B1228" s="21"/>
      <c r="D1228" s="26"/>
      <c r="E1228" s="26"/>
      <c r="F1228" s="26"/>
      <c r="G1228" s="26"/>
      <c r="H1228" s="26"/>
      <c r="I1228" s="26"/>
    </row>
    <row r="1229" spans="1:9">
      <c r="A1229" s="21"/>
      <c r="B1229" s="21"/>
      <c r="D1229" s="26"/>
      <c r="E1229" s="26"/>
      <c r="F1229" s="26"/>
      <c r="G1229" s="26"/>
      <c r="H1229" s="26"/>
      <c r="I1229" s="26"/>
    </row>
    <row r="1230" spans="1:9">
      <c r="A1230" s="21"/>
      <c r="B1230" s="21"/>
      <c r="D1230" s="26"/>
      <c r="E1230" s="26"/>
      <c r="F1230" s="26"/>
      <c r="G1230" s="26"/>
      <c r="H1230" s="26"/>
      <c r="I1230" s="26"/>
    </row>
    <row r="1231" spans="1:9">
      <c r="A1231" s="21"/>
      <c r="B1231" s="21"/>
      <c r="D1231" s="26"/>
      <c r="E1231" s="26"/>
      <c r="F1231" s="26"/>
      <c r="G1231" s="26"/>
      <c r="H1231" s="26"/>
      <c r="I1231" s="26"/>
    </row>
    <row r="1232" spans="1:9">
      <c r="A1232" s="21"/>
      <c r="B1232" s="21"/>
      <c r="D1232" s="26"/>
      <c r="E1232" s="26"/>
      <c r="F1232" s="26"/>
      <c r="G1232" s="26"/>
      <c r="H1232" s="26"/>
      <c r="I1232" s="26"/>
    </row>
    <row r="1233" spans="1:9">
      <c r="A1233" s="21"/>
      <c r="B1233" s="21"/>
      <c r="D1233" s="26"/>
      <c r="E1233" s="26"/>
      <c r="F1233" s="26"/>
      <c r="G1233" s="26"/>
      <c r="H1233" s="26"/>
      <c r="I1233" s="26"/>
    </row>
    <row r="1234" spans="1:9">
      <c r="A1234" s="21"/>
      <c r="B1234" s="21"/>
      <c r="D1234" s="26"/>
      <c r="E1234" s="26"/>
      <c r="F1234" s="26"/>
      <c r="G1234" s="26"/>
      <c r="H1234" s="26"/>
      <c r="I1234" s="26"/>
    </row>
    <row r="1235" spans="1:9">
      <c r="A1235" s="21"/>
      <c r="B1235" s="21"/>
      <c r="D1235" s="26"/>
      <c r="E1235" s="26"/>
      <c r="F1235" s="26"/>
      <c r="G1235" s="26"/>
      <c r="H1235" s="26"/>
      <c r="I1235" s="26"/>
    </row>
    <row r="1236" spans="1:9">
      <c r="A1236" s="21"/>
      <c r="B1236" s="21"/>
      <c r="D1236" s="26"/>
      <c r="E1236" s="26"/>
      <c r="F1236" s="26"/>
      <c r="G1236" s="26"/>
      <c r="H1236" s="26"/>
      <c r="I1236" s="26"/>
    </row>
    <row r="1237" spans="1:9">
      <c r="A1237" s="21"/>
      <c r="B1237" s="21"/>
      <c r="D1237" s="26"/>
      <c r="E1237" s="26"/>
      <c r="F1237" s="26"/>
      <c r="G1237" s="26"/>
      <c r="H1237" s="26"/>
      <c r="I1237" s="26"/>
    </row>
    <row r="1238" spans="1:9">
      <c r="A1238" s="21"/>
      <c r="B1238" s="21"/>
      <c r="D1238" s="26"/>
      <c r="E1238" s="26"/>
      <c r="F1238" s="26"/>
      <c r="G1238" s="26"/>
      <c r="H1238" s="26"/>
      <c r="I1238" s="26"/>
    </row>
    <row r="1239" spans="1:9">
      <c r="A1239" s="21"/>
      <c r="B1239" s="21"/>
      <c r="D1239" s="26"/>
      <c r="E1239" s="26"/>
      <c r="F1239" s="26"/>
      <c r="G1239" s="26"/>
      <c r="H1239" s="26"/>
      <c r="I1239" s="26"/>
    </row>
    <row r="1240" spans="1:9">
      <c r="A1240" s="21"/>
      <c r="B1240" s="21"/>
      <c r="D1240" s="26"/>
      <c r="E1240" s="26"/>
      <c r="F1240" s="26"/>
      <c r="G1240" s="26"/>
      <c r="H1240" s="26"/>
      <c r="I1240" s="26"/>
    </row>
    <row r="1241" spans="1:9">
      <c r="A1241" s="21"/>
      <c r="B1241" s="21"/>
      <c r="D1241" s="26"/>
      <c r="E1241" s="26"/>
      <c r="F1241" s="26"/>
      <c r="G1241" s="26"/>
      <c r="H1241" s="26"/>
      <c r="I1241" s="26"/>
    </row>
    <row r="1242" spans="1:9">
      <c r="A1242" s="21"/>
      <c r="B1242" s="21"/>
      <c r="D1242" s="26"/>
      <c r="E1242" s="26"/>
      <c r="F1242" s="26"/>
      <c r="G1242" s="26"/>
      <c r="H1242" s="26"/>
      <c r="I1242" s="26"/>
    </row>
    <row r="1243" spans="1:9">
      <c r="A1243" s="21"/>
      <c r="B1243" s="21"/>
      <c r="D1243" s="26"/>
      <c r="E1243" s="26"/>
      <c r="F1243" s="26"/>
      <c r="G1243" s="26"/>
      <c r="H1243" s="26"/>
      <c r="I1243" s="26"/>
    </row>
    <row r="1244" spans="1:9">
      <c r="A1244" s="21"/>
      <c r="B1244" s="21"/>
      <c r="D1244" s="26"/>
      <c r="E1244" s="26"/>
      <c r="F1244" s="26"/>
      <c r="G1244" s="26"/>
      <c r="H1244" s="26"/>
      <c r="I1244" s="26"/>
    </row>
    <row r="1245" spans="1:9">
      <c r="A1245" s="21"/>
      <c r="B1245" s="21"/>
      <c r="D1245" s="26"/>
      <c r="E1245" s="26"/>
      <c r="F1245" s="26"/>
      <c r="G1245" s="26"/>
      <c r="H1245" s="26"/>
      <c r="I1245" s="26"/>
    </row>
    <row r="1246" spans="1:9">
      <c r="A1246" s="21"/>
      <c r="B1246" s="21"/>
      <c r="D1246" s="26"/>
      <c r="E1246" s="26"/>
      <c r="F1246" s="26"/>
      <c r="G1246" s="26"/>
      <c r="H1246" s="26"/>
      <c r="I1246" s="26"/>
    </row>
    <row r="1247" spans="1:9">
      <c r="A1247" s="21"/>
      <c r="B1247" s="21"/>
      <c r="D1247" s="26"/>
      <c r="E1247" s="26"/>
      <c r="F1247" s="26"/>
      <c r="G1247" s="26"/>
      <c r="H1247" s="26"/>
      <c r="I1247" s="26"/>
    </row>
    <row r="1248" spans="1:9">
      <c r="A1248" s="21"/>
      <c r="B1248" s="21"/>
      <c r="D1248" s="26"/>
      <c r="E1248" s="26"/>
      <c r="F1248" s="26"/>
      <c r="G1248" s="26"/>
      <c r="H1248" s="26"/>
      <c r="I1248" s="26"/>
    </row>
    <row r="1249" spans="1:9">
      <c r="A1249" s="21"/>
      <c r="B1249" s="21"/>
      <c r="D1249" s="26"/>
      <c r="E1249" s="26"/>
      <c r="F1249" s="26"/>
      <c r="G1249" s="26"/>
      <c r="H1249" s="26"/>
      <c r="I1249" s="26"/>
    </row>
    <row r="1250" spans="1:9">
      <c r="A1250" s="21"/>
      <c r="B1250" s="21"/>
      <c r="D1250" s="26"/>
      <c r="E1250" s="26"/>
      <c r="F1250" s="26"/>
      <c r="G1250" s="26"/>
      <c r="H1250" s="26"/>
      <c r="I1250" s="26"/>
    </row>
    <row r="1251" spans="1:9">
      <c r="A1251" s="21"/>
      <c r="B1251" s="21"/>
      <c r="D1251" s="26"/>
      <c r="E1251" s="26"/>
      <c r="F1251" s="26"/>
      <c r="G1251" s="26"/>
      <c r="H1251" s="26"/>
      <c r="I1251" s="26"/>
    </row>
    <row r="1252" spans="1:9">
      <c r="A1252" s="21"/>
      <c r="B1252" s="21"/>
      <c r="D1252" s="26"/>
      <c r="E1252" s="26"/>
      <c r="F1252" s="26"/>
      <c r="G1252" s="26"/>
      <c r="H1252" s="26"/>
      <c r="I1252" s="26"/>
    </row>
    <row r="1253" spans="1:9">
      <c r="A1253" s="21"/>
      <c r="B1253" s="21"/>
      <c r="D1253" s="26"/>
      <c r="E1253" s="26"/>
      <c r="F1253" s="26"/>
      <c r="G1253" s="26"/>
      <c r="H1253" s="26"/>
      <c r="I1253" s="26"/>
    </row>
    <row r="1254" spans="1:9">
      <c r="A1254" s="21"/>
      <c r="B1254" s="21"/>
      <c r="D1254" s="26"/>
      <c r="E1254" s="26"/>
      <c r="F1254" s="26"/>
      <c r="G1254" s="26"/>
      <c r="H1254" s="26"/>
      <c r="I1254" s="26"/>
    </row>
    <row r="1255" spans="1:9">
      <c r="A1255" s="21"/>
      <c r="B1255" s="21"/>
      <c r="D1255" s="26"/>
      <c r="E1255" s="26"/>
      <c r="F1255" s="26"/>
      <c r="G1255" s="26"/>
      <c r="H1255" s="26"/>
      <c r="I1255" s="26"/>
    </row>
    <row r="1256" spans="1:9">
      <c r="A1256" s="21"/>
      <c r="B1256" s="21"/>
      <c r="D1256" s="26"/>
      <c r="E1256" s="26"/>
      <c r="F1256" s="26"/>
      <c r="G1256" s="26"/>
      <c r="H1256" s="26"/>
      <c r="I1256" s="26"/>
    </row>
    <row r="1257" spans="1:9">
      <c r="A1257" s="21"/>
      <c r="B1257" s="21"/>
      <c r="D1257" s="26"/>
      <c r="E1257" s="26"/>
      <c r="F1257" s="26"/>
      <c r="G1257" s="26"/>
      <c r="H1257" s="26"/>
      <c r="I1257" s="26"/>
    </row>
    <row r="1258" spans="1:9">
      <c r="A1258" s="21"/>
      <c r="B1258" s="21"/>
      <c r="D1258" s="26"/>
      <c r="E1258" s="26"/>
      <c r="F1258" s="26"/>
      <c r="G1258" s="26"/>
      <c r="H1258" s="26"/>
      <c r="I1258" s="26"/>
    </row>
    <row r="1259" spans="1:9">
      <c r="A1259" s="21"/>
      <c r="B1259" s="21"/>
      <c r="D1259" s="26"/>
      <c r="E1259" s="26"/>
      <c r="F1259" s="26"/>
      <c r="G1259" s="26"/>
      <c r="H1259" s="26"/>
      <c r="I1259" s="26"/>
    </row>
    <row r="1260" spans="1:9">
      <c r="A1260" s="21"/>
      <c r="B1260" s="21"/>
      <c r="D1260" s="26"/>
      <c r="E1260" s="26"/>
      <c r="F1260" s="26"/>
      <c r="G1260" s="26"/>
      <c r="H1260" s="26"/>
      <c r="I1260" s="26"/>
    </row>
    <row r="1261" spans="1:9">
      <c r="A1261" s="21"/>
      <c r="B1261" s="21"/>
      <c r="D1261" s="26"/>
      <c r="E1261" s="26"/>
      <c r="F1261" s="26"/>
      <c r="G1261" s="26"/>
      <c r="H1261" s="26"/>
      <c r="I1261" s="26"/>
    </row>
    <row r="1262" spans="1:9">
      <c r="A1262" s="21"/>
      <c r="B1262" s="21"/>
      <c r="D1262" s="26"/>
      <c r="E1262" s="26"/>
      <c r="F1262" s="26"/>
      <c r="G1262" s="26"/>
      <c r="H1262" s="26"/>
      <c r="I1262" s="26"/>
    </row>
    <row r="1263" spans="1:9">
      <c r="A1263" s="21"/>
      <c r="B1263" s="21"/>
      <c r="D1263" s="26"/>
      <c r="E1263" s="26"/>
      <c r="F1263" s="26"/>
      <c r="G1263" s="26"/>
      <c r="H1263" s="26"/>
      <c r="I1263" s="26"/>
    </row>
    <row r="1264" spans="1:9">
      <c r="A1264" s="21"/>
      <c r="B1264" s="21"/>
      <c r="D1264" s="26"/>
      <c r="E1264" s="26"/>
      <c r="F1264" s="26"/>
      <c r="G1264" s="26"/>
      <c r="H1264" s="26"/>
      <c r="I1264" s="26"/>
    </row>
    <row r="1265" spans="1:9">
      <c r="A1265" s="21"/>
      <c r="B1265" s="21"/>
      <c r="D1265" s="26"/>
      <c r="E1265" s="26"/>
      <c r="F1265" s="26"/>
      <c r="G1265" s="26"/>
      <c r="H1265" s="26"/>
      <c r="I1265" s="26"/>
    </row>
    <row r="1266" spans="1:9">
      <c r="A1266" s="21"/>
      <c r="B1266" s="21"/>
      <c r="D1266" s="26"/>
      <c r="E1266" s="26"/>
      <c r="F1266" s="26"/>
      <c r="G1266" s="26"/>
      <c r="H1266" s="26"/>
      <c r="I1266" s="26"/>
    </row>
    <row r="1267" spans="1:9">
      <c r="A1267" s="21"/>
      <c r="B1267" s="21"/>
      <c r="D1267" s="26"/>
      <c r="E1267" s="26"/>
      <c r="F1267" s="26"/>
      <c r="G1267" s="26"/>
      <c r="H1267" s="26"/>
      <c r="I1267" s="26"/>
    </row>
    <row r="1268" spans="1:9">
      <c r="A1268" s="21"/>
      <c r="B1268" s="21"/>
      <c r="D1268" s="26"/>
      <c r="E1268" s="26"/>
      <c r="F1268" s="26"/>
      <c r="G1268" s="26"/>
      <c r="H1268" s="26"/>
      <c r="I1268" s="26"/>
    </row>
    <row r="1269" spans="1:9">
      <c r="A1269" s="21"/>
      <c r="B1269" s="21"/>
      <c r="D1269" s="26"/>
      <c r="E1269" s="26"/>
      <c r="F1269" s="26"/>
      <c r="G1269" s="26"/>
      <c r="H1269" s="26"/>
      <c r="I1269" s="26"/>
    </row>
    <row r="1270" spans="1:9">
      <c r="A1270" s="21"/>
      <c r="B1270" s="21"/>
      <c r="D1270" s="26"/>
      <c r="E1270" s="26"/>
      <c r="F1270" s="26"/>
      <c r="G1270" s="26"/>
      <c r="H1270" s="26"/>
      <c r="I1270" s="26"/>
    </row>
    <row r="1271" spans="1:9">
      <c r="A1271" s="21"/>
      <c r="B1271" s="21"/>
      <c r="D1271" s="26"/>
      <c r="E1271" s="26"/>
      <c r="F1271" s="26"/>
      <c r="G1271" s="26"/>
      <c r="H1271" s="26"/>
      <c r="I1271" s="26"/>
    </row>
    <row r="1272" spans="1:9">
      <c r="A1272" s="21"/>
      <c r="B1272" s="21"/>
      <c r="D1272" s="26"/>
      <c r="E1272" s="26"/>
      <c r="F1272" s="26"/>
      <c r="G1272" s="26"/>
      <c r="H1272" s="26"/>
      <c r="I1272" s="26"/>
    </row>
    <row r="1273" spans="1:9">
      <c r="A1273" s="21"/>
      <c r="B1273" s="21"/>
      <c r="D1273" s="26"/>
      <c r="E1273" s="26"/>
      <c r="F1273" s="26"/>
      <c r="G1273" s="26"/>
      <c r="H1273" s="26"/>
      <c r="I1273" s="26"/>
    </row>
    <row r="1274" spans="1:9">
      <c r="A1274" s="21"/>
      <c r="B1274" s="21"/>
      <c r="D1274" s="26"/>
      <c r="E1274" s="26"/>
      <c r="F1274" s="26"/>
      <c r="G1274" s="26"/>
      <c r="H1274" s="26"/>
      <c r="I1274" s="26"/>
    </row>
    <row r="1275" spans="1:9">
      <c r="A1275" s="21"/>
      <c r="B1275" s="21"/>
      <c r="D1275" s="26"/>
      <c r="E1275" s="26"/>
      <c r="F1275" s="26"/>
      <c r="G1275" s="26"/>
      <c r="H1275" s="26"/>
      <c r="I1275" s="26"/>
    </row>
    <row r="1276" spans="1:9">
      <c r="A1276" s="21"/>
      <c r="B1276" s="21"/>
      <c r="D1276" s="26"/>
      <c r="E1276" s="26"/>
      <c r="F1276" s="26"/>
      <c r="G1276" s="26"/>
      <c r="H1276" s="26"/>
      <c r="I1276" s="26"/>
    </row>
    <row r="1277" spans="1:9">
      <c r="A1277" s="21"/>
      <c r="B1277" s="21"/>
      <c r="D1277" s="26"/>
      <c r="E1277" s="26"/>
      <c r="F1277" s="26"/>
      <c r="G1277" s="26"/>
      <c r="H1277" s="26"/>
      <c r="I1277" s="26"/>
    </row>
    <row r="1278" spans="1:9">
      <c r="A1278" s="21"/>
      <c r="B1278" s="21"/>
      <c r="D1278" s="26"/>
      <c r="E1278" s="26"/>
      <c r="F1278" s="26"/>
      <c r="G1278" s="26"/>
      <c r="H1278" s="26"/>
      <c r="I1278" s="26"/>
    </row>
    <row r="1279" spans="1:9">
      <c r="A1279" s="21"/>
      <c r="B1279" s="21"/>
      <c r="D1279" s="26"/>
      <c r="E1279" s="26"/>
      <c r="F1279" s="26"/>
      <c r="G1279" s="26"/>
      <c r="H1279" s="26"/>
      <c r="I1279" s="26"/>
    </row>
    <row r="1280" spans="1:9">
      <c r="A1280" s="21"/>
      <c r="B1280" s="21"/>
      <c r="D1280" s="26"/>
      <c r="E1280" s="26"/>
      <c r="F1280" s="26"/>
      <c r="G1280" s="26"/>
      <c r="H1280" s="26"/>
      <c r="I1280" s="26"/>
    </row>
    <row r="1281" spans="1:9">
      <c r="A1281" s="21"/>
      <c r="B1281" s="21"/>
      <c r="D1281" s="26"/>
      <c r="E1281" s="26"/>
      <c r="F1281" s="26"/>
      <c r="G1281" s="26"/>
      <c r="H1281" s="26"/>
      <c r="I1281" s="26"/>
    </row>
    <row r="1282" spans="1:9">
      <c r="A1282" s="21"/>
      <c r="B1282" s="21"/>
      <c r="D1282" s="26"/>
      <c r="E1282" s="26"/>
      <c r="F1282" s="26"/>
      <c r="G1282" s="26"/>
      <c r="H1282" s="26"/>
      <c r="I1282" s="26"/>
    </row>
    <row r="1283" spans="1:9">
      <c r="A1283" s="21"/>
      <c r="B1283" s="21"/>
      <c r="D1283" s="26"/>
      <c r="E1283" s="26"/>
      <c r="F1283" s="26"/>
      <c r="G1283" s="26"/>
      <c r="H1283" s="26"/>
      <c r="I1283" s="26"/>
    </row>
    <row r="1284" spans="1:9">
      <c r="A1284" s="21"/>
      <c r="B1284" s="21"/>
      <c r="D1284" s="26"/>
      <c r="E1284" s="26"/>
      <c r="F1284" s="26"/>
      <c r="G1284" s="26"/>
      <c r="H1284" s="26"/>
      <c r="I1284" s="26"/>
    </row>
    <row r="1285" spans="1:9">
      <c r="A1285" s="21"/>
      <c r="B1285" s="21"/>
      <c r="D1285" s="26"/>
      <c r="E1285" s="26"/>
      <c r="F1285" s="26"/>
      <c r="G1285" s="26"/>
      <c r="H1285" s="26"/>
      <c r="I1285" s="26"/>
    </row>
    <row r="1286" spans="1:9">
      <c r="A1286" s="21"/>
      <c r="B1286" s="21"/>
      <c r="D1286" s="26"/>
      <c r="E1286" s="26"/>
      <c r="F1286" s="26"/>
      <c r="G1286" s="26"/>
      <c r="H1286" s="26"/>
      <c r="I1286" s="26"/>
    </row>
    <row r="1287" spans="1:9">
      <c r="A1287" s="21"/>
      <c r="B1287" s="21"/>
      <c r="D1287" s="26"/>
      <c r="E1287" s="26"/>
      <c r="F1287" s="26"/>
      <c r="G1287" s="26"/>
      <c r="H1287" s="26"/>
      <c r="I1287" s="26"/>
    </row>
    <row r="1288" spans="1:9">
      <c r="A1288" s="21"/>
      <c r="B1288" s="21"/>
      <c r="D1288" s="26"/>
      <c r="E1288" s="26"/>
      <c r="F1288" s="26"/>
      <c r="G1288" s="26"/>
      <c r="H1288" s="26"/>
      <c r="I1288" s="26"/>
    </row>
    <row r="1289" spans="1:9">
      <c r="A1289" s="21"/>
      <c r="B1289" s="21"/>
      <c r="D1289" s="26"/>
      <c r="E1289" s="26"/>
      <c r="F1289" s="26"/>
      <c r="G1289" s="26"/>
      <c r="H1289" s="26"/>
      <c r="I1289" s="26"/>
    </row>
    <row r="1290" spans="1:9">
      <c r="A1290" s="21"/>
      <c r="B1290" s="21"/>
      <c r="D1290" s="26"/>
      <c r="E1290" s="26"/>
      <c r="F1290" s="26"/>
      <c r="G1290" s="26"/>
      <c r="H1290" s="26"/>
      <c r="I1290" s="26"/>
    </row>
    <row r="1291" spans="1:9">
      <c r="A1291" s="21"/>
      <c r="B1291" s="21"/>
      <c r="D1291" s="26"/>
      <c r="E1291" s="26"/>
      <c r="F1291" s="26"/>
      <c r="G1291" s="26"/>
      <c r="H1291" s="26"/>
      <c r="I1291" s="26"/>
    </row>
    <row r="1292" spans="1:9">
      <c r="A1292" s="22"/>
      <c r="B1292" s="21"/>
      <c r="D1292" s="26"/>
      <c r="E1292" s="26"/>
      <c r="F1292" s="26"/>
      <c r="G1292" s="26"/>
      <c r="H1292" s="26"/>
      <c r="I1292" s="26"/>
    </row>
    <row r="1293" spans="1:9">
      <c r="A1293" s="21"/>
      <c r="B1293" s="21"/>
      <c r="D1293" s="26"/>
      <c r="E1293" s="26"/>
      <c r="F1293" s="26"/>
      <c r="G1293" s="26"/>
      <c r="H1293" s="26"/>
      <c r="I1293" s="26"/>
    </row>
    <row r="1294" spans="1:9">
      <c r="A1294" s="21"/>
      <c r="B1294" s="21"/>
      <c r="D1294" s="26"/>
      <c r="E1294" s="26"/>
      <c r="F1294" s="26"/>
      <c r="G1294" s="26"/>
      <c r="H1294" s="26"/>
      <c r="I1294" s="26"/>
    </row>
    <row r="1295" spans="1:9">
      <c r="A1295" s="21"/>
      <c r="B1295" s="21"/>
      <c r="D1295" s="26"/>
      <c r="E1295" s="26"/>
      <c r="F1295" s="26"/>
      <c r="G1295" s="26"/>
      <c r="H1295" s="26"/>
      <c r="I1295" s="26"/>
    </row>
    <row r="1296" spans="1:9">
      <c r="A1296" s="21"/>
      <c r="B1296" s="21"/>
      <c r="D1296" s="26"/>
      <c r="E1296" s="26"/>
      <c r="F1296" s="26"/>
      <c r="G1296" s="26"/>
      <c r="H1296" s="26"/>
      <c r="I1296" s="26"/>
    </row>
    <row r="1297" spans="1:9">
      <c r="A1297" s="21"/>
      <c r="B1297" s="21"/>
      <c r="D1297" s="26"/>
      <c r="E1297" s="26"/>
      <c r="F1297" s="26"/>
      <c r="G1297" s="26"/>
      <c r="H1297" s="26"/>
      <c r="I1297" s="26"/>
    </row>
    <row r="1298" spans="1:9">
      <c r="A1298" s="21"/>
      <c r="B1298" s="21"/>
      <c r="D1298" s="26"/>
      <c r="E1298" s="26"/>
      <c r="F1298" s="26"/>
      <c r="G1298" s="26"/>
      <c r="H1298" s="26"/>
      <c r="I1298" s="26"/>
    </row>
    <row r="1299" spans="1:9">
      <c r="A1299" s="21"/>
      <c r="B1299" s="21"/>
      <c r="D1299" s="26"/>
      <c r="E1299" s="26"/>
      <c r="F1299" s="26"/>
      <c r="G1299" s="26"/>
      <c r="H1299" s="26"/>
      <c r="I1299" s="26"/>
    </row>
    <row r="1300" spans="1:9">
      <c r="A1300" s="21"/>
      <c r="B1300" s="21"/>
      <c r="D1300" s="26"/>
      <c r="E1300" s="26"/>
      <c r="F1300" s="26"/>
      <c r="G1300" s="26"/>
      <c r="H1300" s="26"/>
      <c r="I1300" s="26"/>
    </row>
    <row r="1301" spans="1:9">
      <c r="A1301" s="21"/>
      <c r="B1301" s="21"/>
      <c r="D1301" s="26"/>
      <c r="E1301" s="26"/>
      <c r="F1301" s="26"/>
      <c r="G1301" s="26"/>
      <c r="H1301" s="26"/>
      <c r="I1301" s="26"/>
    </row>
    <row r="1302" spans="1:9">
      <c r="A1302" s="21"/>
      <c r="B1302" s="21"/>
      <c r="D1302" s="26"/>
      <c r="E1302" s="26"/>
      <c r="F1302" s="26"/>
      <c r="G1302" s="26"/>
      <c r="H1302" s="26"/>
      <c r="I1302" s="26"/>
    </row>
    <row r="1303" spans="1:9">
      <c r="A1303" s="21"/>
      <c r="B1303" s="21"/>
      <c r="D1303" s="26"/>
      <c r="E1303" s="26"/>
      <c r="F1303" s="26"/>
      <c r="G1303" s="26"/>
      <c r="H1303" s="26"/>
      <c r="I1303" s="26"/>
    </row>
    <row r="1304" spans="1:9">
      <c r="A1304" s="24"/>
      <c r="B1304" s="21"/>
      <c r="D1304" s="26"/>
      <c r="E1304" s="26"/>
      <c r="F1304" s="26"/>
      <c r="G1304" s="26"/>
      <c r="H1304" s="26"/>
      <c r="I1304" s="26"/>
    </row>
    <row r="1305" spans="1:9">
      <c r="A1305" s="21"/>
      <c r="B1305" s="21"/>
      <c r="D1305" s="26"/>
      <c r="E1305" s="26"/>
      <c r="F1305" s="26"/>
      <c r="G1305" s="26"/>
      <c r="H1305" s="26"/>
      <c r="I1305" s="26"/>
    </row>
    <row r="1306" spans="1:9">
      <c r="A1306" s="21"/>
      <c r="B1306" s="21"/>
      <c r="D1306" s="26"/>
      <c r="E1306" s="26"/>
      <c r="F1306" s="26"/>
      <c r="G1306" s="26"/>
      <c r="H1306" s="26"/>
      <c r="I1306" s="26"/>
    </row>
    <row r="1307" spans="1:9">
      <c r="A1307" s="21"/>
      <c r="B1307" s="21"/>
      <c r="D1307" s="26"/>
      <c r="E1307" s="26"/>
      <c r="F1307" s="26"/>
      <c r="G1307" s="26"/>
      <c r="H1307" s="26"/>
      <c r="I1307" s="26"/>
    </row>
    <row r="1308" spans="1:9">
      <c r="A1308" s="21"/>
      <c r="B1308" s="21"/>
      <c r="D1308" s="26"/>
      <c r="E1308" s="26"/>
      <c r="F1308" s="26"/>
      <c r="G1308" s="26"/>
      <c r="H1308" s="26"/>
      <c r="I1308" s="26"/>
    </row>
    <row r="1309" spans="1:9">
      <c r="A1309" s="21"/>
      <c r="B1309" s="21"/>
      <c r="D1309" s="26"/>
      <c r="E1309" s="26"/>
      <c r="F1309" s="26"/>
      <c r="G1309" s="26"/>
      <c r="H1309" s="26"/>
      <c r="I1309" s="26"/>
    </row>
    <row r="1310" spans="1:9">
      <c r="A1310" s="21"/>
      <c r="B1310" s="21"/>
      <c r="D1310" s="26"/>
      <c r="E1310" s="26"/>
      <c r="F1310" s="26"/>
      <c r="G1310" s="26"/>
      <c r="H1310" s="26"/>
      <c r="I1310" s="26"/>
    </row>
    <row r="1311" spans="1:9">
      <c r="A1311" s="21"/>
      <c r="B1311" s="21"/>
      <c r="D1311" s="26"/>
      <c r="E1311" s="26"/>
      <c r="F1311" s="26"/>
      <c r="G1311" s="26"/>
      <c r="H1311" s="26"/>
      <c r="I1311" s="26"/>
    </row>
    <row r="1312" spans="1:9">
      <c r="A1312" s="21"/>
      <c r="B1312" s="21"/>
      <c r="D1312" s="26"/>
      <c r="E1312" s="26"/>
      <c r="F1312" s="26"/>
      <c r="G1312" s="26"/>
      <c r="H1312" s="26"/>
      <c r="I1312" s="26"/>
    </row>
    <row r="1313" spans="1:9">
      <c r="A1313" s="21"/>
      <c r="B1313" s="21"/>
      <c r="D1313" s="26"/>
      <c r="E1313" s="26"/>
      <c r="F1313" s="26"/>
      <c r="G1313" s="26"/>
      <c r="H1313" s="26"/>
      <c r="I1313" s="26"/>
    </row>
    <row r="1314" spans="1:9">
      <c r="A1314" s="21"/>
      <c r="B1314" s="21"/>
      <c r="D1314" s="26"/>
      <c r="E1314" s="26"/>
      <c r="F1314" s="26"/>
      <c r="G1314" s="26"/>
      <c r="H1314" s="26"/>
      <c r="I1314" s="26"/>
    </row>
    <row r="1315" spans="1:9">
      <c r="A1315" s="21"/>
      <c r="B1315" s="21"/>
      <c r="D1315" s="26"/>
      <c r="E1315" s="26"/>
      <c r="F1315" s="26"/>
      <c r="G1315" s="26"/>
      <c r="H1315" s="26"/>
      <c r="I1315" s="26"/>
    </row>
    <row r="1316" spans="1:9">
      <c r="A1316" s="21"/>
      <c r="B1316" s="21"/>
      <c r="D1316" s="26"/>
      <c r="E1316" s="26"/>
      <c r="F1316" s="26"/>
      <c r="G1316" s="26"/>
      <c r="H1316" s="26"/>
      <c r="I1316" s="26"/>
    </row>
    <row r="1317" spans="1:9">
      <c r="A1317" s="21"/>
      <c r="B1317" s="21"/>
      <c r="D1317" s="26"/>
      <c r="E1317" s="26"/>
      <c r="F1317" s="26"/>
      <c r="G1317" s="26"/>
      <c r="H1317" s="26"/>
      <c r="I1317" s="26"/>
    </row>
    <row r="1318" spans="1:9">
      <c r="A1318" s="21"/>
      <c r="B1318" s="21"/>
      <c r="D1318" s="26"/>
      <c r="E1318" s="26"/>
      <c r="F1318" s="26"/>
      <c r="G1318" s="26"/>
      <c r="H1318" s="26"/>
      <c r="I1318" s="26"/>
    </row>
    <row r="1319" spans="1:9">
      <c r="A1319" s="21"/>
      <c r="B1319" s="21"/>
      <c r="D1319" s="26"/>
      <c r="E1319" s="26"/>
      <c r="F1319" s="26"/>
      <c r="G1319" s="26"/>
      <c r="H1319" s="26"/>
      <c r="I1319" s="26"/>
    </row>
    <row r="1320" spans="1:9">
      <c r="A1320" s="21"/>
      <c r="B1320" s="21"/>
      <c r="D1320" s="26"/>
      <c r="E1320" s="26"/>
      <c r="F1320" s="26"/>
      <c r="G1320" s="26"/>
      <c r="H1320" s="26"/>
      <c r="I1320" s="26"/>
    </row>
    <row r="1321" spans="1:9">
      <c r="A1321" s="21"/>
      <c r="B1321" s="21"/>
      <c r="D1321" s="26"/>
      <c r="E1321" s="26"/>
      <c r="F1321" s="26"/>
      <c r="G1321" s="26"/>
      <c r="H1321" s="26"/>
      <c r="I1321" s="26"/>
    </row>
    <row r="1322" spans="1:9">
      <c r="A1322" s="21"/>
      <c r="B1322" s="21"/>
      <c r="D1322" s="26"/>
      <c r="E1322" s="26"/>
      <c r="F1322" s="26"/>
      <c r="G1322" s="26"/>
      <c r="H1322" s="26"/>
      <c r="I1322" s="26"/>
    </row>
    <row r="1323" spans="1:9">
      <c r="A1323" s="21"/>
      <c r="B1323" s="21"/>
      <c r="D1323" s="26"/>
      <c r="E1323" s="26"/>
      <c r="F1323" s="26"/>
      <c r="G1323" s="26"/>
      <c r="H1323" s="26"/>
      <c r="I1323" s="26"/>
    </row>
    <row r="1324" spans="1:9">
      <c r="A1324" s="21"/>
      <c r="B1324" s="21"/>
      <c r="D1324" s="26"/>
      <c r="E1324" s="26"/>
      <c r="F1324" s="26"/>
      <c r="G1324" s="26"/>
      <c r="H1324" s="26"/>
      <c r="I1324" s="26"/>
    </row>
    <row r="1325" spans="1:9">
      <c r="A1325" s="21"/>
      <c r="B1325" s="21"/>
      <c r="D1325" s="26"/>
      <c r="E1325" s="26"/>
      <c r="F1325" s="26"/>
      <c r="G1325" s="26"/>
      <c r="H1325" s="26"/>
      <c r="I1325" s="26"/>
    </row>
    <row r="1326" spans="1:9">
      <c r="A1326" s="21"/>
      <c r="B1326" s="21"/>
      <c r="D1326" s="26"/>
      <c r="E1326" s="26"/>
      <c r="F1326" s="26"/>
      <c r="G1326" s="26"/>
      <c r="H1326" s="26"/>
      <c r="I1326" s="26"/>
    </row>
    <row r="1327" spans="1:9">
      <c r="A1327" s="21"/>
      <c r="B1327" s="21"/>
      <c r="D1327" s="26"/>
      <c r="E1327" s="26"/>
      <c r="F1327" s="26"/>
      <c r="G1327" s="26"/>
      <c r="H1327" s="26"/>
      <c r="I1327" s="26"/>
    </row>
    <row r="1328" spans="1:9">
      <c r="A1328" s="21"/>
      <c r="B1328" s="21"/>
      <c r="D1328" s="26"/>
      <c r="E1328" s="26"/>
      <c r="F1328" s="26"/>
      <c r="G1328" s="26"/>
      <c r="H1328" s="26"/>
      <c r="I1328" s="26"/>
    </row>
    <row r="1329" spans="1:9">
      <c r="A1329" s="21"/>
      <c r="B1329" s="21"/>
      <c r="D1329" s="26"/>
      <c r="E1329" s="26"/>
      <c r="F1329" s="26"/>
      <c r="G1329" s="26"/>
      <c r="H1329" s="26"/>
      <c r="I1329" s="26"/>
    </row>
    <row r="1330" spans="1:9">
      <c r="A1330" s="21"/>
      <c r="B1330" s="21"/>
      <c r="D1330" s="26"/>
      <c r="E1330" s="26"/>
      <c r="F1330" s="26"/>
      <c r="G1330" s="26"/>
      <c r="H1330" s="26"/>
      <c r="I1330" s="26"/>
    </row>
    <row r="1331" spans="1:9">
      <c r="A1331" s="21"/>
      <c r="B1331" s="21"/>
      <c r="D1331" s="26"/>
      <c r="E1331" s="26"/>
      <c r="F1331" s="26"/>
      <c r="G1331" s="26"/>
      <c r="H1331" s="26"/>
      <c r="I1331" s="26"/>
    </row>
    <row r="1332" spans="1:9">
      <c r="A1332" s="21"/>
      <c r="B1332" s="21"/>
      <c r="D1332" s="26"/>
      <c r="E1332" s="26"/>
      <c r="F1332" s="26"/>
      <c r="G1332" s="26"/>
      <c r="H1332" s="26"/>
      <c r="I1332" s="26"/>
    </row>
    <row r="1333" spans="1:9">
      <c r="A1333" s="21"/>
      <c r="B1333" s="21"/>
      <c r="D1333" s="26"/>
      <c r="E1333" s="26"/>
      <c r="F1333" s="26"/>
      <c r="G1333" s="26"/>
      <c r="H1333" s="26"/>
      <c r="I1333" s="26"/>
    </row>
    <row r="1334" spans="1:9">
      <c r="A1334" s="21"/>
      <c r="B1334" s="21"/>
      <c r="D1334" s="26"/>
      <c r="E1334" s="26"/>
      <c r="F1334" s="26"/>
      <c r="G1334" s="26"/>
      <c r="H1334" s="26"/>
      <c r="I1334" s="26"/>
    </row>
    <row r="1335" spans="1:9">
      <c r="A1335" s="21"/>
      <c r="B1335" s="21"/>
      <c r="D1335" s="26"/>
      <c r="E1335" s="26"/>
      <c r="F1335" s="26"/>
      <c r="G1335" s="26"/>
      <c r="H1335" s="26"/>
      <c r="I1335" s="26"/>
    </row>
    <row r="1336" spans="1:9">
      <c r="A1336" s="21"/>
      <c r="B1336" s="21"/>
      <c r="D1336" s="26"/>
      <c r="E1336" s="26"/>
      <c r="F1336" s="26"/>
      <c r="G1336" s="26"/>
      <c r="H1336" s="26"/>
      <c r="I1336" s="26"/>
    </row>
    <row r="1337" spans="1:9">
      <c r="A1337" s="21"/>
      <c r="B1337" s="21"/>
      <c r="D1337" s="26"/>
      <c r="E1337" s="26"/>
      <c r="F1337" s="26"/>
      <c r="G1337" s="26"/>
      <c r="H1337" s="26"/>
      <c r="I1337" s="26"/>
    </row>
    <row r="1338" spans="1:9">
      <c r="A1338" s="21"/>
      <c r="B1338" s="21"/>
      <c r="D1338" s="26"/>
      <c r="E1338" s="26"/>
      <c r="F1338" s="26"/>
      <c r="G1338" s="26"/>
      <c r="H1338" s="26"/>
      <c r="I1338" s="26"/>
    </row>
    <row r="1339" spans="1:9">
      <c r="A1339" s="21"/>
      <c r="B1339" s="21"/>
      <c r="D1339" s="26"/>
      <c r="E1339" s="26"/>
      <c r="F1339" s="26"/>
      <c r="G1339" s="26"/>
      <c r="H1339" s="26"/>
      <c r="I1339" s="26"/>
    </row>
    <row r="1340" spans="1:9">
      <c r="A1340" s="21"/>
      <c r="B1340" s="21"/>
      <c r="D1340" s="26"/>
      <c r="E1340" s="26"/>
      <c r="F1340" s="26"/>
      <c r="G1340" s="26"/>
      <c r="H1340" s="26"/>
      <c r="I1340" s="26"/>
    </row>
    <row r="1341" spans="1:9">
      <c r="A1341" s="21"/>
      <c r="B1341" s="21"/>
      <c r="D1341" s="26"/>
      <c r="E1341" s="26"/>
      <c r="F1341" s="26"/>
      <c r="G1341" s="26"/>
      <c r="H1341" s="26"/>
      <c r="I1341" s="26"/>
    </row>
    <row r="1342" spans="1:9">
      <c r="A1342" s="21"/>
      <c r="B1342" s="21"/>
      <c r="D1342" s="26"/>
      <c r="E1342" s="26"/>
      <c r="F1342" s="26"/>
      <c r="G1342" s="26"/>
      <c r="H1342" s="26"/>
      <c r="I1342" s="26"/>
    </row>
    <row r="1343" spans="1:9">
      <c r="A1343" s="21"/>
      <c r="B1343" s="21"/>
      <c r="D1343" s="26"/>
      <c r="E1343" s="26"/>
      <c r="F1343" s="26"/>
      <c r="G1343" s="26"/>
      <c r="H1343" s="26"/>
      <c r="I1343" s="26"/>
    </row>
    <row r="1344" spans="1:9">
      <c r="A1344" s="21"/>
      <c r="B1344" s="21"/>
      <c r="D1344" s="26"/>
      <c r="E1344" s="26"/>
      <c r="F1344" s="26"/>
      <c r="G1344" s="26"/>
      <c r="H1344" s="26"/>
      <c r="I1344" s="26"/>
    </row>
    <row r="1345" spans="1:9">
      <c r="A1345" s="21"/>
      <c r="B1345" s="21"/>
      <c r="D1345" s="26"/>
      <c r="E1345" s="26"/>
      <c r="F1345" s="26"/>
      <c r="G1345" s="26"/>
      <c r="H1345" s="26"/>
      <c r="I1345" s="26"/>
    </row>
    <row r="1346" spans="1:9">
      <c r="A1346" s="21"/>
      <c r="B1346" s="21"/>
      <c r="D1346" s="26"/>
      <c r="E1346" s="26"/>
      <c r="F1346" s="26"/>
      <c r="G1346" s="26"/>
      <c r="H1346" s="26"/>
      <c r="I1346" s="26"/>
    </row>
    <row r="1347" spans="1:9">
      <c r="A1347" s="21"/>
      <c r="B1347" s="21"/>
      <c r="D1347" s="26"/>
      <c r="E1347" s="26"/>
      <c r="F1347" s="26"/>
      <c r="G1347" s="26"/>
      <c r="H1347" s="26"/>
      <c r="I1347" s="26"/>
    </row>
    <row r="1348" spans="1:9">
      <c r="A1348" s="21"/>
      <c r="B1348" s="21"/>
      <c r="D1348" s="26"/>
      <c r="E1348" s="26"/>
      <c r="F1348" s="26"/>
      <c r="G1348" s="26"/>
      <c r="H1348" s="26"/>
      <c r="I1348" s="26"/>
    </row>
    <row r="1349" spans="1:9">
      <c r="A1349" s="21"/>
      <c r="B1349" s="21"/>
      <c r="D1349" s="26"/>
      <c r="E1349" s="26"/>
      <c r="F1349" s="26"/>
      <c r="G1349" s="26"/>
      <c r="H1349" s="26"/>
      <c r="I1349" s="26"/>
    </row>
    <row r="1350" spans="1:9">
      <c r="A1350" s="21"/>
      <c r="B1350" s="21"/>
      <c r="D1350" s="26"/>
      <c r="E1350" s="26"/>
      <c r="F1350" s="26"/>
      <c r="G1350" s="26"/>
      <c r="H1350" s="26"/>
      <c r="I1350" s="26"/>
    </row>
    <row r="1351" spans="1:9">
      <c r="A1351" s="21"/>
      <c r="B1351" s="21"/>
      <c r="D1351" s="26"/>
      <c r="E1351" s="26"/>
      <c r="F1351" s="26"/>
      <c r="G1351" s="26"/>
      <c r="H1351" s="26"/>
      <c r="I1351" s="26"/>
    </row>
    <row r="1352" spans="1:9">
      <c r="A1352" s="21"/>
      <c r="B1352" s="21"/>
      <c r="D1352" s="26"/>
      <c r="E1352" s="26"/>
      <c r="F1352" s="26"/>
      <c r="G1352" s="26"/>
      <c r="H1352" s="26"/>
      <c r="I1352" s="26"/>
    </row>
    <row r="1353" spans="1:9">
      <c r="A1353" s="21"/>
      <c r="B1353" s="21"/>
      <c r="D1353" s="26"/>
      <c r="E1353" s="26"/>
      <c r="F1353" s="26"/>
      <c r="G1353" s="26"/>
      <c r="H1353" s="26"/>
      <c r="I135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D28"/>
  <sheetViews>
    <sheetView workbookViewId="0">
      <selection activeCell="C30" sqref="C30"/>
    </sheetView>
  </sheetViews>
  <sheetFormatPr defaultRowHeight="12.75"/>
  <sheetData>
    <row r="1" spans="1:4" ht="30">
      <c r="A1" s="39" t="s">
        <v>50</v>
      </c>
      <c r="B1" s="39" t="s">
        <v>51</v>
      </c>
      <c r="C1" s="39" t="s">
        <v>52</v>
      </c>
      <c r="D1" s="39" t="s">
        <v>53</v>
      </c>
    </row>
    <row r="2" spans="1:4">
      <c r="A2">
        <v>325</v>
      </c>
      <c r="B2">
        <v>402</v>
      </c>
      <c r="C2">
        <v>0</v>
      </c>
      <c r="D2">
        <v>402</v>
      </c>
    </row>
    <row r="3" spans="1:4">
      <c r="A3">
        <v>326</v>
      </c>
      <c r="B3">
        <v>748</v>
      </c>
      <c r="C3">
        <v>1</v>
      </c>
      <c r="D3">
        <v>2995</v>
      </c>
    </row>
    <row r="4" spans="1:4">
      <c r="A4">
        <v>328</v>
      </c>
      <c r="B4">
        <v>58</v>
      </c>
      <c r="C4">
        <v>3</v>
      </c>
      <c r="D4">
        <v>6799</v>
      </c>
    </row>
    <row r="5" spans="1:4">
      <c r="A5">
        <v>329</v>
      </c>
      <c r="B5">
        <v>455.57799999999997</v>
      </c>
      <c r="C5">
        <v>4</v>
      </c>
      <c r="D5">
        <v>9443.5779999999995</v>
      </c>
    </row>
    <row r="6" spans="1:4">
      <c r="A6">
        <v>330</v>
      </c>
      <c r="B6">
        <v>817</v>
      </c>
      <c r="C6">
        <v>5</v>
      </c>
      <c r="D6">
        <v>12052</v>
      </c>
    </row>
    <row r="7" spans="1:4">
      <c r="A7">
        <v>332</v>
      </c>
      <c r="B7">
        <v>116</v>
      </c>
      <c r="C7">
        <v>7</v>
      </c>
      <c r="D7">
        <v>15845</v>
      </c>
    </row>
    <row r="8" spans="1:4">
      <c r="A8">
        <v>333</v>
      </c>
      <c r="B8">
        <v>496</v>
      </c>
      <c r="C8">
        <v>8</v>
      </c>
      <c r="D8">
        <v>18472</v>
      </c>
    </row>
    <row r="9" spans="1:4">
      <c r="A9">
        <v>334</v>
      </c>
      <c r="B9">
        <v>841.62</v>
      </c>
      <c r="C9">
        <v>9</v>
      </c>
      <c r="D9">
        <v>21064.62</v>
      </c>
    </row>
    <row r="10" spans="1:4">
      <c r="A10">
        <v>336</v>
      </c>
      <c r="B10">
        <v>136</v>
      </c>
      <c r="C10">
        <v>11</v>
      </c>
      <c r="D10">
        <v>24853</v>
      </c>
    </row>
    <row r="11" spans="1:4">
      <c r="A11">
        <v>337</v>
      </c>
      <c r="B11">
        <v>511</v>
      </c>
      <c r="C11">
        <v>12</v>
      </c>
      <c r="D11">
        <v>27475</v>
      </c>
    </row>
    <row r="12" spans="1:4">
      <c r="A12">
        <v>338</v>
      </c>
      <c r="B12">
        <v>916</v>
      </c>
      <c r="C12">
        <v>13</v>
      </c>
      <c r="D12">
        <v>30127</v>
      </c>
    </row>
    <row r="13" spans="1:4">
      <c r="A13">
        <v>341</v>
      </c>
      <c r="B13">
        <v>503.53300000000002</v>
      </c>
      <c r="C13">
        <v>16</v>
      </c>
      <c r="D13">
        <v>36455.533000000003</v>
      </c>
    </row>
    <row r="14" spans="1:4">
      <c r="A14">
        <v>353</v>
      </c>
      <c r="B14">
        <v>637.80899999999997</v>
      </c>
      <c r="C14">
        <v>28</v>
      </c>
      <c r="D14">
        <v>63553.809000000001</v>
      </c>
    </row>
    <row r="15" spans="1:4">
      <c r="A15">
        <v>368</v>
      </c>
      <c r="B15">
        <v>414.81599999999997</v>
      </c>
      <c r="C15">
        <v>43</v>
      </c>
      <c r="D15">
        <v>97035.816000000006</v>
      </c>
    </row>
    <row r="16" spans="1:4">
      <c r="A16">
        <v>372</v>
      </c>
      <c r="B16">
        <v>457.976</v>
      </c>
      <c r="C16">
        <v>47</v>
      </c>
      <c r="D16">
        <v>106066.976</v>
      </c>
    </row>
    <row r="17" spans="1:4">
      <c r="A17">
        <v>388</v>
      </c>
      <c r="B17">
        <v>604.24</v>
      </c>
      <c r="C17">
        <v>63</v>
      </c>
      <c r="D17">
        <v>142165.24</v>
      </c>
    </row>
    <row r="18" spans="1:4">
      <c r="A18">
        <v>396</v>
      </c>
      <c r="B18">
        <v>721.73099999999999</v>
      </c>
      <c r="C18">
        <v>71</v>
      </c>
      <c r="D18">
        <v>160258.731</v>
      </c>
    </row>
    <row r="19" spans="1:4">
      <c r="A19">
        <v>407</v>
      </c>
      <c r="B19">
        <v>539.5</v>
      </c>
      <c r="C19">
        <v>82</v>
      </c>
      <c r="D19">
        <v>184793.5</v>
      </c>
    </row>
    <row r="20" spans="1:4">
      <c r="A20">
        <v>415</v>
      </c>
      <c r="B20">
        <v>652.19600000000003</v>
      </c>
      <c r="C20">
        <v>90</v>
      </c>
      <c r="D20">
        <v>202882.196</v>
      </c>
    </row>
    <row r="21" spans="1:4">
      <c r="A21">
        <v>426</v>
      </c>
      <c r="B21">
        <v>410.02</v>
      </c>
      <c r="C21">
        <v>101</v>
      </c>
      <c r="D21">
        <v>227357.02</v>
      </c>
    </row>
    <row r="22" spans="1:4">
      <c r="A22">
        <v>438</v>
      </c>
      <c r="B22">
        <v>671.37800000000004</v>
      </c>
      <c r="C22">
        <v>113</v>
      </c>
      <c r="D22">
        <v>254582.378</v>
      </c>
    </row>
    <row r="23" spans="1:4">
      <c r="A23">
        <v>453</v>
      </c>
      <c r="B23">
        <v>575.46699999999998</v>
      </c>
      <c r="C23">
        <v>128</v>
      </c>
      <c r="D23">
        <v>288191.467</v>
      </c>
    </row>
    <row r="24" spans="1:4">
      <c r="A24">
        <v>465</v>
      </c>
      <c r="B24">
        <v>714.53800000000001</v>
      </c>
      <c r="C24">
        <v>140</v>
      </c>
      <c r="D24">
        <v>315294.538</v>
      </c>
    </row>
    <row r="25" spans="1:4">
      <c r="A25">
        <v>476</v>
      </c>
      <c r="B25">
        <v>635.41099999999994</v>
      </c>
      <c r="C25">
        <v>151</v>
      </c>
      <c r="D25">
        <v>339932.41100000002</v>
      </c>
    </row>
    <row r="26" spans="1:4">
      <c r="A26">
        <v>491</v>
      </c>
      <c r="B26">
        <v>599.44399999999996</v>
      </c>
      <c r="C26">
        <v>166</v>
      </c>
      <c r="D26">
        <v>373601.44400000002</v>
      </c>
    </row>
    <row r="27" spans="1:4">
      <c r="A27">
        <v>502</v>
      </c>
      <c r="B27">
        <v>435.99099999999999</v>
      </c>
      <c r="C27">
        <v>177</v>
      </c>
      <c r="D27">
        <v>398154.99099999998</v>
      </c>
    </row>
    <row r="28" spans="1:4">
      <c r="A28">
        <v>506</v>
      </c>
      <c r="B28">
        <v>477.15800000000002</v>
      </c>
      <c r="C28">
        <v>181</v>
      </c>
      <c r="D28">
        <v>407184.158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Info</vt:lpstr>
      <vt:lpstr>Ft</vt:lpstr>
      <vt:lpstr>Vars</vt:lpstr>
      <vt:lpstr>Data</vt:lpstr>
      <vt:lpstr>Shirley</vt:lpstr>
      <vt:lpstr>Sheet1</vt:lpstr>
      <vt:lpstr>Sheet2</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2012-11-29T20:36:05Z</dcterms:modified>
</cp:coreProperties>
</file>