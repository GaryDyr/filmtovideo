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0" yWindow="135" windowWidth="9690" windowHeight="6480" activeTab="1"/>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 name="Sheet2" sheetId="11" r:id="rId9"/>
  </sheets>
  <definedNames>
    <definedName name="Error">Ft!$B$19</definedName>
    <definedName name="_xlnm.Print_Area" localSheetId="1">Ft!$A$1:$K$32</definedName>
    <definedName name="solver_adj" localSheetId="1" hidden="1">Ft!$B$2:$B$4,Ft!$C$2:$C$4,Ft!$D$2:$D$4,Ft!$E$2:$E$4,Ft!$F$2:$F$4,Ft!$G$2:$G$4</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2</definedName>
    <definedName name="solver_rel2" localSheetId="1" hidden="1">2</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G5" i="2"/>
  <c r="F5"/>
  <c r="E5"/>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C5"/>
  <c r="D40"/>
  <c r="F39"/>
  <c r="G39"/>
  <c r="H5"/>
  <c r="I5"/>
  <c r="I9" s="1"/>
  <c r="J5"/>
  <c r="J39" s="1"/>
  <c r="K5"/>
  <c r="K39" s="1"/>
  <c r="F7"/>
  <c r="G7"/>
  <c r="H7"/>
  <c r="I7"/>
  <c r="J7"/>
  <c r="K7"/>
  <c r="B17"/>
  <c r="B20"/>
  <c r="B37"/>
  <c r="C37"/>
  <c r="D37"/>
  <c r="E37"/>
  <c r="F37"/>
  <c r="G37"/>
  <c r="H37"/>
  <c r="I37"/>
  <c r="J37"/>
  <c r="K37"/>
  <c r="B38"/>
  <c r="C38"/>
  <c r="D38"/>
  <c r="E38"/>
  <c r="F38"/>
  <c r="G38"/>
  <c r="H38"/>
  <c r="I38"/>
  <c r="J38"/>
  <c r="N6" i="4" s="1"/>
  <c r="K38" i="2"/>
  <c r="E40"/>
  <c r="F40"/>
  <c r="B3" i="3"/>
  <c r="N3" i="4"/>
  <c r="G9" i="2"/>
  <c r="N12" i="4" l="1"/>
  <c r="N7"/>
  <c r="I40" i="2"/>
  <c r="N28" i="4"/>
  <c r="J9" i="2"/>
  <c r="M20" i="4"/>
  <c r="M2"/>
  <c r="I39" i="2"/>
  <c r="N22" i="4"/>
  <c r="N23"/>
  <c r="N17"/>
  <c r="N19"/>
  <c r="N13"/>
  <c r="N20"/>
  <c r="N2"/>
  <c r="N15"/>
  <c r="N25"/>
  <c r="N9"/>
  <c r="N27"/>
  <c r="N11"/>
  <c r="N21"/>
  <c r="N5"/>
  <c r="N24"/>
  <c r="N16"/>
  <c r="N8"/>
  <c r="N14"/>
  <c r="N4"/>
  <c r="N10"/>
  <c r="N26"/>
  <c r="N18"/>
  <c r="J40" i="2"/>
  <c r="J10" i="4"/>
  <c r="J3"/>
  <c r="J5"/>
  <c r="J7"/>
  <c r="J12"/>
  <c r="J25"/>
  <c r="J28"/>
  <c r="J26"/>
  <c r="D39" i="2"/>
  <c r="H28" i="4" s="1"/>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26" i="4" s="1"/>
  <c r="H5"/>
  <c r="D9" i="2"/>
  <c r="E15" i="4"/>
  <c r="M24"/>
  <c r="M17"/>
  <c r="M28"/>
  <c r="M16"/>
  <c r="M15"/>
  <c r="O19"/>
  <c r="O8"/>
  <c r="O14"/>
  <c r="O20"/>
  <c r="O18"/>
  <c r="O10"/>
  <c r="O5"/>
  <c r="O21"/>
  <c r="O7"/>
  <c r="O12"/>
  <c r="L11"/>
  <c r="L17"/>
  <c r="L13"/>
  <c r="L28"/>
  <c r="L5"/>
  <c r="L7"/>
  <c r="L4"/>
  <c r="L3"/>
  <c r="M6"/>
  <c r="M26"/>
  <c r="K40" i="2"/>
  <c r="M10" i="4"/>
  <c r="M13"/>
  <c r="M27"/>
  <c r="O4"/>
  <c r="K9" i="2"/>
  <c r="O11" i="4"/>
  <c r="O25"/>
  <c r="M22"/>
  <c r="H39" i="2"/>
  <c r="H40"/>
  <c r="H9"/>
  <c r="J14" i="4"/>
  <c r="J16"/>
  <c r="J11"/>
  <c r="J15"/>
  <c r="J13"/>
  <c r="M8"/>
  <c r="M18"/>
  <c r="M11"/>
  <c r="O9"/>
  <c r="E9" i="2"/>
  <c r="M25" i="4"/>
  <c r="M9"/>
  <c r="M23"/>
  <c r="M7"/>
  <c r="M12"/>
  <c r="M14"/>
  <c r="J27"/>
  <c r="F9" i="2"/>
  <c r="J17" i="4"/>
  <c r="J24"/>
  <c r="J8"/>
  <c r="J22"/>
  <c r="J6"/>
  <c r="M21"/>
  <c r="M5"/>
  <c r="M19"/>
  <c r="M3"/>
  <c r="M4"/>
  <c r="J19"/>
  <c r="J21"/>
  <c r="J23"/>
  <c r="J9"/>
  <c r="J20"/>
  <c r="J4"/>
  <c r="J18"/>
  <c r="J2"/>
  <c r="E39" i="2"/>
  <c r="I23" i="4" s="1"/>
  <c r="B40" i="2"/>
  <c r="C9"/>
  <c r="C39"/>
  <c r="C40"/>
  <c r="B9"/>
  <c r="E14" i="4"/>
  <c r="E12"/>
  <c r="E24"/>
  <c r="E21"/>
  <c r="E5"/>
  <c r="E7"/>
  <c r="E20"/>
  <c r="E22"/>
  <c r="E26"/>
  <c r="E25"/>
  <c r="E9"/>
  <c r="E11"/>
  <c r="E4"/>
  <c r="E6"/>
  <c r="E16"/>
  <c r="E10"/>
  <c r="E17"/>
  <c r="E2"/>
  <c r="E27"/>
  <c r="E19"/>
  <c r="E3"/>
  <c r="E28"/>
  <c r="E8"/>
  <c r="E18"/>
  <c r="E13"/>
  <c r="E23"/>
  <c r="K4" l="1"/>
  <c r="K23"/>
  <c r="K3"/>
  <c r="K16"/>
  <c r="K21"/>
  <c r="K10"/>
  <c r="K17"/>
  <c r="K19"/>
  <c r="K2"/>
  <c r="K14"/>
  <c r="K5"/>
  <c r="K7"/>
  <c r="K12"/>
  <c r="K22"/>
  <c r="I19"/>
  <c r="I20"/>
  <c r="I4"/>
  <c r="I18"/>
  <c r="I5"/>
  <c r="K24"/>
  <c r="K9"/>
  <c r="K11"/>
  <c r="K18"/>
  <c r="K15"/>
  <c r="K25"/>
  <c r="K20"/>
  <c r="K13"/>
  <c r="K6"/>
  <c r="K8"/>
  <c r="H21"/>
  <c r="H25"/>
  <c r="K27"/>
  <c r="K28"/>
  <c r="I25"/>
  <c r="I26"/>
  <c r="H2"/>
  <c r="H11"/>
  <c r="H12"/>
  <c r="H7"/>
  <c r="H24"/>
  <c r="H15"/>
  <c r="H27"/>
  <c r="H4"/>
  <c r="H14"/>
  <c r="H6"/>
  <c r="H10"/>
  <c r="H3"/>
  <c r="H19"/>
  <c r="H18"/>
  <c r="H20"/>
  <c r="H26"/>
  <c r="H13"/>
  <c r="H16"/>
  <c r="H23"/>
  <c r="H22"/>
  <c r="H9"/>
  <c r="H8"/>
  <c r="H17"/>
  <c r="O24"/>
  <c r="O2"/>
  <c r="O27"/>
  <c r="I10"/>
  <c r="I12"/>
  <c r="I8"/>
  <c r="I13"/>
  <c r="L15"/>
  <c r="L12"/>
  <c r="L18"/>
  <c r="L25"/>
  <c r="L23"/>
  <c r="L26"/>
  <c r="L21"/>
  <c r="L14"/>
  <c r="O13"/>
  <c r="O26"/>
  <c r="O3"/>
  <c r="O17"/>
  <c r="I9"/>
  <c r="I27"/>
  <c r="I28"/>
  <c r="I3"/>
  <c r="I6"/>
  <c r="I7"/>
  <c r="I15"/>
  <c r="L22"/>
  <c r="L6"/>
  <c r="L27"/>
  <c r="L8"/>
  <c r="L24"/>
  <c r="I17"/>
  <c r="I24"/>
  <c r="I22"/>
  <c r="I21"/>
  <c r="I16"/>
  <c r="L10"/>
  <c r="L2"/>
  <c r="L20"/>
  <c r="L19"/>
  <c r="L9"/>
  <c r="L16"/>
  <c r="O6"/>
  <c r="O15"/>
  <c r="O28"/>
  <c r="O22"/>
  <c r="O16"/>
  <c r="O23"/>
  <c r="I11"/>
  <c r="I2"/>
  <c r="I14"/>
  <c r="F13"/>
  <c r="G24"/>
  <c r="F15"/>
  <c r="F18"/>
  <c r="F8"/>
  <c r="F10"/>
  <c r="G10"/>
  <c r="F17"/>
  <c r="F9"/>
  <c r="F3"/>
  <c r="F2"/>
  <c r="F27"/>
  <c r="F21"/>
  <c r="F28"/>
  <c r="F22"/>
  <c r="F20"/>
  <c r="F25"/>
  <c r="G22"/>
  <c r="F11"/>
  <c r="F12"/>
  <c r="F6"/>
  <c r="F19"/>
  <c r="F23"/>
  <c r="F16"/>
  <c r="F4"/>
  <c r="F5"/>
  <c r="F26"/>
  <c r="F24"/>
  <c r="F14"/>
  <c r="F7"/>
  <c r="G17"/>
  <c r="B16" i="2"/>
  <c r="G11" i="4"/>
  <c r="G27"/>
  <c r="G23"/>
  <c r="G8"/>
  <c r="G14"/>
  <c r="G20"/>
  <c r="G18"/>
  <c r="G13"/>
  <c r="G7"/>
  <c r="G26"/>
  <c r="G9"/>
  <c r="G25"/>
  <c r="G3"/>
  <c r="G19"/>
  <c r="G6"/>
  <c r="G12"/>
  <c r="G16"/>
  <c r="G28"/>
  <c r="G21"/>
  <c r="G4"/>
  <c r="G2"/>
  <c r="G5"/>
  <c r="G15"/>
  <c r="C24" l="1"/>
  <c r="D24" s="1"/>
  <c r="C14"/>
  <c r="D14" s="1"/>
  <c r="C26"/>
  <c r="D26" s="1"/>
  <c r="C5"/>
  <c r="D5" s="1"/>
  <c r="C16"/>
  <c r="D16" s="1"/>
  <c r="C23"/>
  <c r="D23" s="1"/>
  <c r="C19"/>
  <c r="D19" s="1"/>
  <c r="C6"/>
  <c r="D6" s="1"/>
  <c r="C12"/>
  <c r="D12" s="1"/>
  <c r="C11"/>
  <c r="D11" s="1"/>
  <c r="C22"/>
  <c r="D22" s="1"/>
  <c r="C21"/>
  <c r="D21" s="1"/>
  <c r="C2"/>
  <c r="C3"/>
  <c r="D3" s="1"/>
  <c r="C9"/>
  <c r="D9" s="1"/>
  <c r="C8"/>
  <c r="D8" s="1"/>
  <c r="C7"/>
  <c r="D7" s="1"/>
  <c r="C4"/>
  <c r="D4" s="1"/>
  <c r="C25"/>
  <c r="D25" s="1"/>
  <c r="C20"/>
  <c r="D20" s="1"/>
  <c r="C28"/>
  <c r="D28" s="1"/>
  <c r="C27"/>
  <c r="D27" s="1"/>
  <c r="C17"/>
  <c r="D17" s="1"/>
  <c r="C10"/>
  <c r="D10" s="1"/>
  <c r="C18"/>
  <c r="D18" s="1"/>
  <c r="C15"/>
  <c r="D15" s="1"/>
  <c r="C13"/>
  <c r="D13" s="1"/>
  <c r="D2" l="1"/>
  <c r="B24" i="2"/>
  <c r="B19"/>
  <c r="B22" l="1"/>
  <c r="A50"/>
</calcChain>
</file>

<file path=xl/sharedStrings.xml><?xml version="1.0" encoding="utf-8"?>
<sst xmlns="http://schemas.openxmlformats.org/spreadsheetml/2006/main" count="56" uniqueCount="54">
  <si>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</si>
  <si>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</si>
  <si>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</si>
  <si>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</si>
  <si>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</si>
  <si>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</si>
  <si>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</si>
  <si>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</si>
  <si>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</si>
  <si>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</si>
  <si>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</si>
  <si>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</si>
  <si>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</si>
  <si>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</si>
  <si>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</si>
  <si>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</si>
  <si>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</si>
  <si>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</si>
  <si>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</si>
  <si>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</si>
  <si>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</si>
  <si>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</si>
  <si>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</si>
  <si>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</si>
  <si>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</si>
  <si>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</si>
  <si>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</si>
  <si>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</si>
  <si>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</si>
  <si>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</si>
  <si>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</si>
  <si>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</si>
  <si>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</si>
  <si>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</si>
  <si>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</si>
  <si>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</si>
  <si>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</si>
  <si>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</si>
  <si>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</si>
  <si>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</si>
  <si>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</si>
  <si>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</si>
  <si>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</si>
  <si>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</si>
  <si>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</si>
  <si>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</si>
  <si>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</si>
  <si>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</si>
  <si>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</si>
  <si>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</si>
  <si>
    <t>Orig. F Index</t>
  </si>
  <si>
    <t>Obs F Row</t>
  </si>
  <si>
    <t>Relative F Row</t>
  </si>
  <si>
    <t>Runnig Obs Row</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</si>
</sst>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7">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
      <b/>
      <sz val="11"/>
      <color theme="1"/>
      <name val="Calibri"/>
      <family val="2"/>
      <scheme val="minor"/>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1">
    <xf numFmtId="0" fontId="0" fillId="0" borderId="0" xfId="0"/>
    <xf numFmtId="2" fontId="0" fillId="0" borderId="0" xfId="0" applyNumberFormat="1"/>
    <xf numFmtId="0" fontId="0" fillId="0" borderId="0" xfId="0" applyAlignment="1">
      <alignment horizontal="center"/>
    </xf>
    <xf numFmtId="1" fontId="0" fillId="0" borderId="0" xfId="0" applyNumberFormat="1"/>
    <xf numFmtId="1" fontId="8" fillId="0" borderId="0" xfId="0" applyNumberFormat="1" applyFont="1" applyAlignment="1">
      <alignment horizontal="center"/>
    </xf>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xf numFmtId="0" fontId="16" fillId="0" borderId="0" xfId="0" applyFont="1" applyAlignment="1">
      <alignment wrapText="1"/>
    </xf>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513E-2"/>
          <c:y val="3.9215686274509803E-2"/>
          <c:w val="0.7578125"/>
          <c:h val="0.87114845938375662"/>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General</c:formatCode>
                <c:ptCount val="699"/>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Data!$B$2:$B$700</c:f>
              <c:numCache>
                <c:formatCode>General</c:formatCode>
                <c:ptCount val="699"/>
                <c:pt idx="0">
                  <c:v>402</c:v>
                </c:pt>
                <c:pt idx="1">
                  <c:v>2995</c:v>
                </c:pt>
                <c:pt idx="2">
                  <c:v>6799</c:v>
                </c:pt>
                <c:pt idx="3">
                  <c:v>9443.5779999999995</c:v>
                </c:pt>
                <c:pt idx="4">
                  <c:v>12052</c:v>
                </c:pt>
                <c:pt idx="5">
                  <c:v>15845</c:v>
                </c:pt>
                <c:pt idx="6">
                  <c:v>18472</c:v>
                </c:pt>
                <c:pt idx="7">
                  <c:v>21064.62</c:v>
                </c:pt>
                <c:pt idx="8">
                  <c:v>24853</c:v>
                </c:pt>
                <c:pt idx="9">
                  <c:v>27475</c:v>
                </c:pt>
                <c:pt idx="10">
                  <c:v>30127</c:v>
                </c:pt>
                <c:pt idx="11">
                  <c:v>36455.533000000003</c:v>
                </c:pt>
                <c:pt idx="12">
                  <c:v>63553.809000000001</c:v>
                </c:pt>
                <c:pt idx="13">
                  <c:v>97035.816000000006</c:v>
                </c:pt>
                <c:pt idx="14">
                  <c:v>106066.976</c:v>
                </c:pt>
                <c:pt idx="15">
                  <c:v>142165.24</c:v>
                </c:pt>
                <c:pt idx="16">
                  <c:v>160258.731</c:v>
                </c:pt>
                <c:pt idx="17">
                  <c:v>184793.5</c:v>
                </c:pt>
                <c:pt idx="18">
                  <c:v>202882.196</c:v>
                </c:pt>
                <c:pt idx="19">
                  <c:v>227357.02</c:v>
                </c:pt>
                <c:pt idx="20">
                  <c:v>254582.378</c:v>
                </c:pt>
                <c:pt idx="21">
                  <c:v>288191.467</c:v>
                </c:pt>
                <c:pt idx="22">
                  <c:v>315294.538</c:v>
                </c:pt>
                <c:pt idx="23">
                  <c:v>339932.41100000002</c:v>
                </c:pt>
                <c:pt idx="24">
                  <c:v>373601.44400000002</c:v>
                </c:pt>
                <c:pt idx="25">
                  <c:v>398154.99099999998</c:v>
                </c:pt>
                <c:pt idx="26">
                  <c:v>407184.158</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General</c:formatCode>
                <c:ptCount val="699"/>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Data!$C$2:$C$700</c:f>
              <c:numCache>
                <c:formatCode>0.0000</c:formatCode>
                <c:ptCount val="699"/>
                <c:pt idx="0">
                  <c:v>586.51447588414885</c:v>
                </c:pt>
                <c:pt idx="1">
                  <c:v>2792.8216999253636</c:v>
                </c:pt>
                <c:pt idx="2">
                  <c:v>7227.9428974949697</c:v>
                </c:pt>
                <c:pt idx="3">
                  <c:v>9455.5011075091606</c:v>
                </c:pt>
                <c:pt idx="4">
                  <c:v>11688.915490516898</c:v>
                </c:pt>
                <c:pt idx="5">
                  <c:v>16170.997937350548</c:v>
                </c:pt>
                <c:pt idx="6">
                  <c:v>18418.559021189467</c:v>
                </c:pt>
                <c:pt idx="7">
                  <c:v>20669.76428011898</c:v>
                </c:pt>
                <c:pt idx="8">
                  <c:v>25181.135480811645</c:v>
                </c:pt>
                <c:pt idx="9">
                  <c:v>27440.374476880534</c:v>
                </c:pt>
                <c:pt idx="10">
                  <c:v>29701.404972269134</c:v>
                </c:pt>
                <c:pt idx="11">
                  <c:v>36491.353159146413</c:v>
                </c:pt>
                <c:pt idx="12">
                  <c:v>63619.239254536893</c:v>
                </c:pt>
                <c:pt idx="13">
                  <c:v>97249.744166174336</c:v>
                </c:pt>
                <c:pt idx="14">
                  <c:v>106182.6947187913</c:v>
                </c:pt>
                <c:pt idx="15">
                  <c:v>141984.32503619854</c:v>
                </c:pt>
                <c:pt idx="16">
                  <c:v>159988.58655758397</c:v>
                </c:pt>
                <c:pt idx="17">
                  <c:v>184836.44344928834</c:v>
                </c:pt>
                <c:pt idx="18">
                  <c:v>202914.50178706631</c:v>
                </c:pt>
                <c:pt idx="19">
                  <c:v>227687.34681996127</c:v>
                </c:pt>
                <c:pt idx="20">
                  <c:v>254555.88808211399</c:v>
                </c:pt>
                <c:pt idx="21">
                  <c:v>288061.26586569782</c:v>
                </c:pt>
                <c:pt idx="22">
                  <c:v>315031.01419286081</c:v>
                </c:pt>
                <c:pt idx="23">
                  <c:v>339971.67051315261</c:v>
                </c:pt>
                <c:pt idx="24">
                  <c:v>373998.40295078803</c:v>
                </c:pt>
                <c:pt idx="25">
                  <c:v>398299.87799783231</c:v>
                </c:pt>
                <c:pt idx="26">
                  <c:v>406822.44021892408</c:v>
                </c:pt>
              </c:numCache>
            </c:numRef>
          </c:yVal>
        </c:ser>
        <c:axId val="63125376"/>
        <c:axId val="63126912"/>
      </c:scatterChart>
      <c:valAx>
        <c:axId val="63125376"/>
        <c:scaling>
          <c:orientation val="minMax"/>
        </c:scaling>
        <c:axPos val="b"/>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3126912"/>
        <c:crosses val="autoZero"/>
        <c:crossBetween val="midCat"/>
      </c:valAx>
      <c:valAx>
        <c:axId val="63126912"/>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3125376"/>
        <c:crosses val="autoZero"/>
        <c:crossBetween val="midCat"/>
      </c:valAx>
      <c:spPr>
        <a:noFill/>
        <a:ln w="12700">
          <a:solidFill>
            <a:srgbClr val="808080"/>
          </a:solidFill>
          <a:prstDash val="solid"/>
        </a:ln>
      </c:spPr>
    </c:plotArea>
    <c:legend>
      <c:legendPos val="r"/>
      <c:layout>
        <c:manualLayout>
          <c:xMode val="edge"/>
          <c:yMode val="edge"/>
          <c:x val="0.818359375"/>
          <c:y val="2.240896358543432E-2"/>
          <c:w val="0.173828125"/>
          <c:h val="0.43137372534315743"/>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11" r="0.75000000000000211"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199"/>
          <c:y val="3.6158192090395481E-2"/>
        </c:manualLayout>
      </c:layout>
      <c:spPr>
        <a:noFill/>
        <a:ln w="25400">
          <a:noFill/>
        </a:ln>
      </c:spPr>
    </c:title>
    <c:plotArea>
      <c:layout>
        <c:manualLayout>
          <c:layoutTarget val="inner"/>
          <c:xMode val="edge"/>
          <c:yMode val="edge"/>
          <c:x val="0.10306790761806255"/>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Data!$B$2:$B$1001</c:f>
              <c:numCache>
                <c:formatCode>General</c:formatCode>
                <c:ptCount val="1000"/>
                <c:pt idx="0">
                  <c:v>402</c:v>
                </c:pt>
                <c:pt idx="1">
                  <c:v>2995</c:v>
                </c:pt>
                <c:pt idx="2">
                  <c:v>6799</c:v>
                </c:pt>
                <c:pt idx="3">
                  <c:v>9443.5779999999995</c:v>
                </c:pt>
                <c:pt idx="4">
                  <c:v>12052</c:v>
                </c:pt>
                <c:pt idx="5">
                  <c:v>15845</c:v>
                </c:pt>
                <c:pt idx="6">
                  <c:v>18472</c:v>
                </c:pt>
                <c:pt idx="7">
                  <c:v>21064.62</c:v>
                </c:pt>
                <c:pt idx="8">
                  <c:v>24853</c:v>
                </c:pt>
                <c:pt idx="9">
                  <c:v>27475</c:v>
                </c:pt>
                <c:pt idx="10">
                  <c:v>30127</c:v>
                </c:pt>
                <c:pt idx="11">
                  <c:v>36455.533000000003</c:v>
                </c:pt>
                <c:pt idx="12">
                  <c:v>63553.809000000001</c:v>
                </c:pt>
                <c:pt idx="13">
                  <c:v>97035.816000000006</c:v>
                </c:pt>
                <c:pt idx="14">
                  <c:v>106066.976</c:v>
                </c:pt>
                <c:pt idx="15">
                  <c:v>142165.24</c:v>
                </c:pt>
                <c:pt idx="16">
                  <c:v>160258.731</c:v>
                </c:pt>
                <c:pt idx="17">
                  <c:v>184793.5</c:v>
                </c:pt>
                <c:pt idx="18">
                  <c:v>202882.196</c:v>
                </c:pt>
                <c:pt idx="19">
                  <c:v>227357.02</c:v>
                </c:pt>
                <c:pt idx="20">
                  <c:v>254582.378</c:v>
                </c:pt>
                <c:pt idx="21">
                  <c:v>288191.467</c:v>
                </c:pt>
                <c:pt idx="22">
                  <c:v>315294.538</c:v>
                </c:pt>
                <c:pt idx="23">
                  <c:v>339932.41100000002</c:v>
                </c:pt>
                <c:pt idx="24">
                  <c:v>373601.44400000002</c:v>
                </c:pt>
                <c:pt idx="25">
                  <c:v>398154.99099999998</c:v>
                </c:pt>
                <c:pt idx="26">
                  <c:v>407184.158</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Data!$E$2:$E$1001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Data!$F$2:$F$1001</c:f>
              <c:numCache>
                <c:formatCode>0</c:formatCode>
                <c:ptCount val="1000"/>
                <c:pt idx="0">
                  <c:v>-115449.19281674223</c:v>
                </c:pt>
                <c:pt idx="1">
                  <c:v>-115450.5928746787</c:v>
                </c:pt>
                <c:pt idx="2">
                  <c:v>-115453.39144044742</c:v>
                </c:pt>
                <c:pt idx="3">
                  <c:v>-115454.78994824128</c:v>
                </c:pt>
                <c:pt idx="4">
                  <c:v>-115456.18793928254</c:v>
                </c:pt>
                <c:pt idx="5">
                  <c:v>-115458.98237103056</c:v>
                </c:pt>
                <c:pt idx="6">
                  <c:v>-115460.37881169899</c:v>
                </c:pt>
                <c:pt idx="7">
                  <c:v>-115461.77473553814</c:v>
                </c:pt>
                <c:pt idx="8">
                  <c:v>-115464.565032652</c:v>
                </c:pt>
                <c:pt idx="9">
                  <c:v>-115465.95940588842</c:v>
                </c:pt>
                <c:pt idx="10">
                  <c:v>-115467.353262219</c:v>
                </c:pt>
                <c:pt idx="11">
                  <c:v>-115471.53172958439</c:v>
                </c:pt>
                <c:pt idx="12">
                  <c:v>-115488.19906548638</c:v>
                </c:pt>
                <c:pt idx="13">
                  <c:v>-115508.92849630017</c:v>
                </c:pt>
                <c:pt idx="14">
                  <c:v>-115514.43668232638</c:v>
                </c:pt>
                <c:pt idx="15">
                  <c:v>-115536.38660298198</c:v>
                </c:pt>
                <c:pt idx="16">
                  <c:v>-115547.31185237403</c:v>
                </c:pt>
                <c:pt idx="17">
                  <c:v>-115562.27993499655</c:v>
                </c:pt>
                <c:pt idx="18">
                  <c:v>-115573.12642936841</c:v>
                </c:pt>
                <c:pt idx="19">
                  <c:v>-115587.98618681582</c:v>
                </c:pt>
                <c:pt idx="20">
                  <c:v>-115604.12526630524</c:v>
                </c:pt>
                <c:pt idx="21">
                  <c:v>-115624.1940544564</c:v>
                </c:pt>
                <c:pt idx="22">
                  <c:v>-115640.16499731252</c:v>
                </c:pt>
                <c:pt idx="23">
                  <c:v>-115654.73933791525</c:v>
                </c:pt>
                <c:pt idx="24">
                  <c:v>-115674.51213199476</c:v>
                </c:pt>
                <c:pt idx="25">
                  <c:v>-115688.93785743775</c:v>
                </c:pt>
                <c:pt idx="26">
                  <c:v>-115694.16797801675</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Data!$G$2:$G$1001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Data!$H$2:$H$1001</c:f>
              <c:numCache>
                <c:formatCode>0</c:formatCode>
                <c:ptCount val="1000"/>
                <c:pt idx="0">
                  <c:v>19388.667634301324</c:v>
                </c:pt>
                <c:pt idx="1">
                  <c:v>19944.241010723501</c:v>
                </c:pt>
                <c:pt idx="2">
                  <c:v>21096.150792634751</c:v>
                </c:pt>
                <c:pt idx="3">
                  <c:v>21692.988238692949</c:v>
                </c:pt>
                <c:pt idx="4">
                  <c:v>22304.084982881112</c:v>
                </c:pt>
                <c:pt idx="5">
                  <c:v>23570.081482970731</c:v>
                </c:pt>
                <c:pt idx="6">
                  <c:v>24225.498709831038</c:v>
                </c:pt>
                <c:pt idx="7">
                  <c:v>24896.210039294307</c:v>
                </c:pt>
                <c:pt idx="8">
                  <c:v>26284.570043448122</c:v>
                </c:pt>
                <c:pt idx="9">
                  <c:v>27002.750418969492</c:v>
                </c:pt>
                <c:pt idx="10">
                  <c:v>27737.288136548497</c:v>
                </c:pt>
                <c:pt idx="11">
                  <c:v>30041.748707064591</c:v>
                </c:pt>
                <c:pt idx="12">
                  <c:v>40904.247981092893</c:v>
                </c:pt>
                <c:pt idx="13">
                  <c:v>58744.704871054717</c:v>
                </c:pt>
                <c:pt idx="14">
                  <c:v>64408.901916635994</c:v>
                </c:pt>
                <c:pt idx="15">
                  <c:v>91342.706637059397</c:v>
                </c:pt>
                <c:pt idx="16">
                  <c:v>107554.71419163045</c:v>
                </c:pt>
                <c:pt idx="17">
                  <c:v>132999.60443791383</c:v>
                </c:pt>
                <c:pt idx="18">
                  <c:v>153827.59997257803</c:v>
                </c:pt>
                <c:pt idx="19">
                  <c:v>185596.221978071</c:v>
                </c:pt>
                <c:pt idx="20">
                  <c:v>224109.57432285234</c:v>
                </c:pt>
                <c:pt idx="21">
                  <c:v>276994.29151881428</c:v>
                </c:pt>
                <c:pt idx="22">
                  <c:v>321955.75519543519</c:v>
                </c:pt>
                <c:pt idx="23">
                  <c:v>364090.98379326181</c:v>
                </c:pt>
                <c:pt idx="24">
                  <c:v>420800.85172441305</c:v>
                </c:pt>
                <c:pt idx="25">
                  <c:v>460116.01648347324</c:v>
                </c:pt>
                <c:pt idx="26">
                  <c:v>473629.99126423907</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Data!$I$2:$I$1001</c:f>
              <c:numCache>
                <c:formatCode>0</c:formatCode>
                <c:ptCount val="1000"/>
                <c:pt idx="0">
                  <c:v>36835.236735250037</c:v>
                </c:pt>
                <c:pt idx="1">
                  <c:v>37130.815728379872</c:v>
                </c:pt>
                <c:pt idx="2">
                  <c:v>37660.90040273482</c:v>
                </c:pt>
                <c:pt idx="3">
                  <c:v>37894.473951486558</c:v>
                </c:pt>
                <c:pt idx="4">
                  <c:v>38106.505043969111</c:v>
                </c:pt>
                <c:pt idx="5">
                  <c:v>38464.469817716657</c:v>
                </c:pt>
                <c:pt idx="6">
                  <c:v>38609.763882967447</c:v>
                </c:pt>
                <c:pt idx="7">
                  <c:v>38732.238164218812</c:v>
                </c:pt>
                <c:pt idx="8">
                  <c:v>38907.887203654391</c:v>
                </c:pt>
                <c:pt idx="9">
                  <c:v>38960.745172686715</c:v>
                </c:pt>
                <c:pt idx="10">
                  <c:v>38990.150731455658</c:v>
                </c:pt>
                <c:pt idx="11">
                  <c:v>38937.333738059766</c:v>
                </c:pt>
                <c:pt idx="12">
                  <c:v>36680.576218580391</c:v>
                </c:pt>
                <c:pt idx="13">
                  <c:v>30128.6227726898</c:v>
                </c:pt>
                <c:pt idx="14">
                  <c:v>27940.668341014138</c:v>
                </c:pt>
                <c:pt idx="15">
                  <c:v>18765.290438124794</c:v>
                </c:pt>
                <c:pt idx="16">
                  <c:v>14513.348237195036</c:v>
                </c:pt>
                <c:pt idx="17">
                  <c:v>9571.0831233011668</c:v>
                </c:pt>
                <c:pt idx="18">
                  <c:v>6753.9439044956098</c:v>
                </c:pt>
                <c:pt idx="19">
                  <c:v>3926.4852517035865</c:v>
                </c:pt>
                <c:pt idx="20">
                  <c:v>1999.3454325670252</c:v>
                </c:pt>
                <c:pt idx="21">
                  <c:v>761.11165242017569</c:v>
                </c:pt>
                <c:pt idx="22">
                  <c:v>318.75819890071574</c:v>
                </c:pt>
                <c:pt idx="23">
                  <c:v>132.99550487718091</c:v>
                </c:pt>
                <c:pt idx="24">
                  <c:v>35.899436592389122</c:v>
                </c:pt>
                <c:pt idx="25">
                  <c:v>12.605101614274345</c:v>
                </c:pt>
                <c:pt idx="26">
                  <c:v>8.4605812054835177</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Data!$J$2:$J$1001</c:f>
              <c:numCache>
                <c:formatCode>0</c:formatCode>
                <c:ptCount val="1000"/>
                <c:pt idx="0">
                  <c:v>59811.802923075018</c:v>
                </c:pt>
                <c:pt idx="1">
                  <c:v>61168.357835500683</c:v>
                </c:pt>
                <c:pt idx="2">
                  <c:v>63924.283142572815</c:v>
                </c:pt>
                <c:pt idx="3">
                  <c:v>65322.828865570926</c:v>
                </c:pt>
                <c:pt idx="4">
                  <c:v>66734.513402949204</c:v>
                </c:pt>
                <c:pt idx="5">
                  <c:v>69595.429007693732</c:v>
                </c:pt>
                <c:pt idx="6">
                  <c:v>71043.675240089971</c:v>
                </c:pt>
                <c:pt idx="7">
                  <c:v>72503.090812144001</c:v>
                </c:pt>
                <c:pt idx="8">
                  <c:v>75453.243266361125</c:v>
                </c:pt>
                <c:pt idx="9">
                  <c:v>76942.838291112756</c:v>
                </c:pt>
                <c:pt idx="10">
                  <c:v>78441.319366483978</c:v>
                </c:pt>
                <c:pt idx="11">
                  <c:v>82983.802443606444</c:v>
                </c:pt>
                <c:pt idx="12">
                  <c:v>101522.61412034999</c:v>
                </c:pt>
                <c:pt idx="13">
                  <c:v>123885.34501872999</c:v>
                </c:pt>
                <c:pt idx="14">
                  <c:v>129347.56114346755</c:v>
                </c:pt>
                <c:pt idx="15">
                  <c:v>147412.71456399633</c:v>
                </c:pt>
                <c:pt idx="16">
                  <c:v>153467.83598113252</c:v>
                </c:pt>
                <c:pt idx="17">
                  <c:v>157828.03582306989</c:v>
                </c:pt>
                <c:pt idx="18">
                  <c:v>157906.08433936108</c:v>
                </c:pt>
                <c:pt idx="19">
                  <c:v>153752.62577700251</c:v>
                </c:pt>
                <c:pt idx="20">
                  <c:v>144051.09359299988</c:v>
                </c:pt>
                <c:pt idx="21">
                  <c:v>125930.05674891979</c:v>
                </c:pt>
                <c:pt idx="22">
                  <c:v>108396.66579583741</c:v>
                </c:pt>
                <c:pt idx="23">
                  <c:v>91402.430552928869</c:v>
                </c:pt>
                <c:pt idx="24">
                  <c:v>68836.163921777363</c:v>
                </c:pt>
                <c:pt idx="25">
                  <c:v>53860.19427018259</c:v>
                </c:pt>
                <c:pt idx="26">
                  <c:v>48878.156351496276</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General</c:formatCode>
                <c:ptCount val="1000"/>
                <c:pt idx="0">
                  <c:v>0</c:v>
                </c:pt>
                <c:pt idx="1">
                  <c:v>1</c:v>
                </c:pt>
                <c:pt idx="2">
                  <c:v>3</c:v>
                </c:pt>
                <c:pt idx="3">
                  <c:v>4</c:v>
                </c:pt>
                <c:pt idx="4">
                  <c:v>5</c:v>
                </c:pt>
                <c:pt idx="5">
                  <c:v>7</c:v>
                </c:pt>
                <c:pt idx="6">
                  <c:v>8</c:v>
                </c:pt>
                <c:pt idx="7">
                  <c:v>9</c:v>
                </c:pt>
                <c:pt idx="8">
                  <c:v>11</c:v>
                </c:pt>
                <c:pt idx="9">
                  <c:v>12</c:v>
                </c:pt>
                <c:pt idx="10">
                  <c:v>13</c:v>
                </c:pt>
                <c:pt idx="11">
                  <c:v>16</c:v>
                </c:pt>
                <c:pt idx="12">
                  <c:v>28</c:v>
                </c:pt>
                <c:pt idx="13">
                  <c:v>43</c:v>
                </c:pt>
                <c:pt idx="14">
                  <c:v>47</c:v>
                </c:pt>
                <c:pt idx="15">
                  <c:v>63</c:v>
                </c:pt>
                <c:pt idx="16">
                  <c:v>71</c:v>
                </c:pt>
                <c:pt idx="17">
                  <c:v>82</c:v>
                </c:pt>
                <c:pt idx="18">
                  <c:v>90</c:v>
                </c:pt>
                <c:pt idx="19">
                  <c:v>101</c:v>
                </c:pt>
                <c:pt idx="20">
                  <c:v>113</c:v>
                </c:pt>
                <c:pt idx="21">
                  <c:v>128</c:v>
                </c:pt>
                <c:pt idx="22">
                  <c:v>140</c:v>
                </c:pt>
                <c:pt idx="23">
                  <c:v>151</c:v>
                </c:pt>
                <c:pt idx="24">
                  <c:v>166</c:v>
                </c:pt>
                <c:pt idx="25">
                  <c:v>177</c:v>
                </c:pt>
                <c:pt idx="26">
                  <c:v>181</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yVal>
          <c:smooth val="1"/>
        </c:ser>
        <c:axId val="189137280"/>
        <c:axId val="189139200"/>
      </c:scatterChart>
      <c:valAx>
        <c:axId val="189137280"/>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9139200"/>
        <c:crosses val="autoZero"/>
        <c:crossBetween val="midCat"/>
      </c:valAx>
      <c:valAx>
        <c:axId val="189139200"/>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9137280"/>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13"/>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342"/>
          <c:h val="0.76779661016949685"/>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188689408"/>
        <c:axId val="188740736"/>
      </c:scatterChart>
      <c:valAx>
        <c:axId val="188689408"/>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8740736"/>
        <c:crosses val="autoZero"/>
        <c:crossBetween val="midCat"/>
      </c:valAx>
      <c:valAx>
        <c:axId val="188740736"/>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8689408"/>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15"/>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400050</xdr:colOff>
      <xdr:row>11</xdr:row>
      <xdr:rowOff>9524</xdr:rowOff>
    </xdr:from>
    <xdr:ext cx="1700402" cy="1247775"/>
    <xdr:sp macro="" textlink="">
      <xdr:nvSpPr>
        <xdr:cNvPr id="3" name="TextBox 2"/>
        <xdr:cNvSpPr txBox="1"/>
      </xdr:nvSpPr>
      <xdr:spPr>
        <a:xfrm>
          <a:off x="7286625" y="1685924"/>
          <a:ext cx="1700402"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K33"/>
  <sheetViews>
    <sheetView workbookViewId="0">
      <selection activeCell="A33" sqref="A33"/>
    </sheetView>
  </sheetViews>
  <sheetFormatPr defaultRowHeight="12.75"/>
  <sheetData>
    <row r="6" spans="11:11">
      <c r="K6" s="34"/>
    </row>
    <row r="8" spans="11:11">
      <c r="K8" s="34"/>
    </row>
    <row r="32" spans="1:1">
      <c r="A32" s="36" t="s">
        <v>48</v>
      </c>
    </row>
    <row r="33" spans="1:1">
      <c r="A33" s="37" t="s">
        <v>47</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54"/>
  <sheetViews>
    <sheetView tabSelected="1" workbookViewId="0">
      <selection activeCell="O23" sqref="O23"/>
    </sheetView>
  </sheetViews>
  <sheetFormatPr defaultRowHeight="12.75"/>
  <cols>
    <col min="1" max="1" width="11.85546875" customWidth="1"/>
    <col min="2" max="2" width="13.5703125" customWidth="1"/>
    <col min="3" max="3" width="11.7109375" customWidth="1"/>
    <col min="4" max="4" width="15" customWidth="1"/>
    <col min="5" max="5" width="12.140625" customWidth="1"/>
    <col min="6" max="6" width="16" customWidth="1"/>
    <col min="7" max="7" width="12.85546875" customWidth="1"/>
  </cols>
  <sheetData>
    <row r="1" spans="1:14">
      <c r="A1" s="21" t="s">
        <v>0</v>
      </c>
      <c r="B1" s="21">
        <v>1</v>
      </c>
      <c r="C1" s="21">
        <v>2</v>
      </c>
      <c r="D1" s="21">
        <v>3</v>
      </c>
      <c r="E1" s="21">
        <v>4</v>
      </c>
      <c r="F1" s="21">
        <v>5</v>
      </c>
      <c r="G1" s="21">
        <v>6</v>
      </c>
      <c r="H1" s="21">
        <v>7</v>
      </c>
      <c r="I1" s="21">
        <v>8</v>
      </c>
      <c r="J1" s="21">
        <v>9</v>
      </c>
      <c r="K1" s="21">
        <v>10</v>
      </c>
    </row>
    <row r="2" spans="1:14" s="8" customFormat="1">
      <c r="A2" s="38" t="s">
        <v>49</v>
      </c>
      <c r="B2" s="18">
        <v>2623.9827143202024</v>
      </c>
      <c r="C2" s="18">
        <v>187.85433403212744</v>
      </c>
      <c r="D2" s="18">
        <v>240.47079379067904</v>
      </c>
      <c r="E2" s="18">
        <v>13.750860860744169</v>
      </c>
      <c r="F2" s="18">
        <v>86.236252399930379</v>
      </c>
      <c r="G2" s="18">
        <v>779.7695952249419</v>
      </c>
      <c r="H2" s="15">
        <v>500</v>
      </c>
      <c r="I2" s="15">
        <v>500</v>
      </c>
      <c r="J2" s="15">
        <v>500</v>
      </c>
      <c r="K2" s="15">
        <v>500</v>
      </c>
    </row>
    <row r="3" spans="1:14" s="8" customFormat="1">
      <c r="A3" s="8" t="s">
        <v>2</v>
      </c>
      <c r="B3" s="6">
        <v>-117301.09170261309</v>
      </c>
      <c r="C3" s="6">
        <v>37431.534737636743</v>
      </c>
      <c r="D3" s="6">
        <v>583251.25846931536</v>
      </c>
      <c r="E3" s="6">
        <v>38996.780679296324</v>
      </c>
      <c r="F3" s="6">
        <v>158198.91676009889</v>
      </c>
      <c r="G3" s="6">
        <v>399999.66159639397</v>
      </c>
      <c r="H3" s="16">
        <v>0</v>
      </c>
      <c r="I3" s="16">
        <v>0</v>
      </c>
      <c r="J3" s="16">
        <v>0</v>
      </c>
      <c r="K3" s="16">
        <v>0</v>
      </c>
    </row>
    <row r="4" spans="1:14" s="8" customFormat="1">
      <c r="A4" s="8" t="s">
        <v>3</v>
      </c>
      <c r="B4" s="19">
        <v>-34635.430539332381</v>
      </c>
      <c r="C4" s="19">
        <v>0.20611898062902351</v>
      </c>
      <c r="D4" s="19">
        <v>217.02751435739282</v>
      </c>
      <c r="E4" s="19">
        <v>95.883318153921408</v>
      </c>
      <c r="F4" s="19">
        <v>145.59761543677425</v>
      </c>
      <c r="G4" s="19">
        <v>8.6750099486093362</v>
      </c>
      <c r="H4" s="17">
        <v>1.5</v>
      </c>
      <c r="I4" s="17">
        <v>1.5</v>
      </c>
      <c r="J4" s="17">
        <v>1.5</v>
      </c>
      <c r="K4" s="17">
        <v>1.5</v>
      </c>
    </row>
    <row r="5" spans="1:14" s="8" customFormat="1">
      <c r="A5" s="8" t="s">
        <v>4</v>
      </c>
      <c r="B5" s="17">
        <f>B4</f>
        <v>-34635.430539332381</v>
      </c>
      <c r="C5" s="17">
        <f>C4</f>
        <v>0.20611898062902351</v>
      </c>
      <c r="D5" s="17">
        <v>400</v>
      </c>
      <c r="E5" s="17">
        <f>E4</f>
        <v>95.883318153921408</v>
      </c>
      <c r="F5" s="19">
        <f>F4</f>
        <v>145.59761543677425</v>
      </c>
      <c r="G5" s="19">
        <f>G4</f>
        <v>8.6750099486093362</v>
      </c>
      <c r="H5" s="17">
        <f t="shared" ref="D5:K5" si="0">H4</f>
        <v>1.5</v>
      </c>
      <c r="I5" s="17">
        <f t="shared" si="0"/>
        <v>1.5</v>
      </c>
      <c r="J5" s="17">
        <f t="shared" si="0"/>
        <v>1.5</v>
      </c>
      <c r="K5" s="17">
        <f t="shared" si="0"/>
        <v>1.5</v>
      </c>
    </row>
    <row r="6" spans="1:14" s="8" customFormat="1">
      <c r="A6" s="8" t="s">
        <v>5</v>
      </c>
      <c r="B6" s="19">
        <v>1</v>
      </c>
      <c r="C6" s="19">
        <v>1</v>
      </c>
      <c r="D6" s="19">
        <v>1</v>
      </c>
      <c r="E6" s="19">
        <v>1</v>
      </c>
      <c r="F6" s="19">
        <v>1</v>
      </c>
      <c r="G6" s="19">
        <v>1</v>
      </c>
      <c r="H6" s="17">
        <v>0.5</v>
      </c>
      <c r="I6" s="17">
        <v>0.5</v>
      </c>
      <c r="J6" s="17">
        <v>0.5</v>
      </c>
      <c r="K6" s="17">
        <v>0.5</v>
      </c>
    </row>
    <row r="7" spans="1:14" s="8" customFormat="1">
      <c r="A7" s="8" t="s">
        <v>6</v>
      </c>
      <c r="B7" s="19">
        <v>1</v>
      </c>
      <c r="C7" s="19">
        <v>1</v>
      </c>
      <c r="D7" s="19">
        <v>1</v>
      </c>
      <c r="E7" s="19">
        <v>1</v>
      </c>
      <c r="F7" s="17">
        <f t="shared" ref="F7:K7" si="1">F6</f>
        <v>1</v>
      </c>
      <c r="G7" s="17">
        <f t="shared" si="1"/>
        <v>1</v>
      </c>
      <c r="H7" s="17">
        <f t="shared" si="1"/>
        <v>0.5</v>
      </c>
      <c r="I7" s="17">
        <f t="shared" si="1"/>
        <v>0.5</v>
      </c>
      <c r="J7" s="17">
        <f t="shared" si="1"/>
        <v>0.5</v>
      </c>
      <c r="K7" s="17">
        <f t="shared" si="1"/>
        <v>0.5</v>
      </c>
    </row>
    <row r="8" spans="1:14" s="8" customFormat="1" ht="3" customHeight="1">
      <c r="B8" s="9"/>
      <c r="C8" s="9"/>
    </row>
    <row r="9" spans="1:14" s="8" customFormat="1">
      <c r="A9" s="8" t="s">
        <v>7</v>
      </c>
      <c r="B9" s="10">
        <f>(B4*(1.064467*B6+1.5*(1-B6))+B5*(1.064467*B7+1.5*(1-B7)))*B3/2</f>
        <v>4324688653.3114214</v>
      </c>
      <c r="C9" s="10">
        <f>(C4*(1.064467*C6+1.5*(1-C6))+C5*(1.064467*C7+1.5*(1-C7)))*C3/2</f>
        <v>8212.7352379945642</v>
      </c>
      <c r="D9" s="10">
        <f>(D4*(1.064467*D6+1.5*(1-D6))+D5*(1.064467*D7+1.5*(1-D7)))*D3/2</f>
        <v>191541295.97020358</v>
      </c>
      <c r="E9" s="10">
        <f t="shared" ref="E9:K9" si="2">(E4*(1.064467*E6+1.5*(1-E6))+E5*(1.064467*E7+1.5*(1-E7)))*E3/2</f>
        <v>3980191.914218545</v>
      </c>
      <c r="F9" s="10">
        <f t="shared" si="2"/>
        <v>24518278.278644003</v>
      </c>
      <c r="G9" s="10">
        <f t="shared" si="2"/>
        <v>3693701.6010790365</v>
      </c>
      <c r="H9" s="10">
        <f t="shared" si="2"/>
        <v>0</v>
      </c>
      <c r="I9" s="10">
        <f t="shared" si="2"/>
        <v>0</v>
      </c>
      <c r="J9" s="10">
        <f t="shared" si="2"/>
        <v>0</v>
      </c>
      <c r="K9" s="10">
        <f t="shared" si="2"/>
        <v>0</v>
      </c>
      <c r="M9"/>
      <c r="N9"/>
    </row>
    <row r="10" spans="1:14" s="8" customFormat="1" ht="9" customHeight="1">
      <c r="B10" s="10"/>
      <c r="C10" s="10"/>
      <c r="D10" s="10"/>
      <c r="E10" s="10"/>
      <c r="F10" s="10"/>
      <c r="G10" s="10"/>
      <c r="H10" s="10"/>
      <c r="I10" s="10"/>
      <c r="J10" s="10"/>
      <c r="K10" s="10"/>
      <c r="M10"/>
      <c r="N10"/>
    </row>
    <row r="11" spans="1:14" s="8" customFormat="1" ht="18" customHeight="1">
      <c r="B11" s="10"/>
      <c r="C11" s="10"/>
      <c r="D11" s="10"/>
      <c r="E11" s="10"/>
      <c r="F11" s="10"/>
      <c r="G11" s="10"/>
      <c r="H11" s="10"/>
      <c r="I11" s="10"/>
      <c r="J11" s="10"/>
      <c r="K11" s="10"/>
      <c r="M11"/>
      <c r="N11"/>
    </row>
    <row r="12" spans="1:14" s="8" customFormat="1">
      <c r="A12" s="9" t="s">
        <v>8</v>
      </c>
      <c r="B12" s="12">
        <v>0</v>
      </c>
      <c r="C12" s="10"/>
      <c r="D12" s="10"/>
      <c r="E12" s="10"/>
      <c r="F12" s="10"/>
      <c r="G12" s="10"/>
      <c r="H12" s="10"/>
      <c r="I12" s="10"/>
      <c r="J12"/>
      <c r="K12"/>
      <c r="M12"/>
      <c r="N12"/>
    </row>
    <row r="13" spans="1:14" s="8" customFormat="1">
      <c r="A13" s="9" t="s">
        <v>9</v>
      </c>
      <c r="B13" s="12">
        <v>0</v>
      </c>
      <c r="C13" s="10"/>
      <c r="D13" s="10"/>
      <c r="E13" s="10"/>
      <c r="F13" s="10"/>
      <c r="G13" s="10"/>
      <c r="H13" s="10"/>
      <c r="I13" s="10"/>
      <c r="J13"/>
      <c r="K13"/>
      <c r="M13"/>
      <c r="N13"/>
    </row>
    <row r="14" spans="1:14" s="8" customFormat="1">
      <c r="A14" s="9" t="s">
        <v>10</v>
      </c>
      <c r="B14" s="12">
        <v>0</v>
      </c>
      <c r="C14" s="10"/>
      <c r="D14" s="10"/>
      <c r="E14" s="10"/>
      <c r="F14" s="10"/>
      <c r="G14" s="10"/>
      <c r="H14" s="10"/>
      <c r="I14" s="10"/>
      <c r="J14" s="10"/>
      <c r="K14" s="10"/>
      <c r="M14"/>
      <c r="N14"/>
    </row>
    <row r="15" spans="1:14" s="8" customFormat="1">
      <c r="A15" s="9"/>
      <c r="B15" s="12"/>
      <c r="C15" s="10"/>
      <c r="D15" s="10"/>
      <c r="E15" s="10"/>
      <c r="F15" s="10"/>
      <c r="G15" s="10"/>
      <c r="H15" s="10"/>
      <c r="I15" s="10"/>
      <c r="J15" s="10"/>
      <c r="K15" s="10"/>
      <c r="M15"/>
      <c r="N15"/>
    </row>
    <row r="16" spans="1:14" s="8" customFormat="1">
      <c r="A16" s="8" t="s">
        <v>11</v>
      </c>
      <c r="B16" s="10">
        <f>SUM(B9:K9)+(B12+B13)*(MAX(Data!A:A)-MIN(Data!A:A))/2</f>
        <v>4548430333.8108044</v>
      </c>
      <c r="C16" s="10"/>
      <c r="D16" s="10"/>
      <c r="E16" s="10"/>
      <c r="F16" s="10"/>
      <c r="G16" s="10"/>
      <c r="H16" s="10"/>
      <c r="I16" s="10"/>
      <c r="J16" s="10"/>
      <c r="K16" s="10"/>
      <c r="M16"/>
      <c r="N16"/>
    </row>
    <row r="17" spans="1:18" s="8" customFormat="1">
      <c r="A17" s="8" t="s">
        <v>12</v>
      </c>
      <c r="B17" s="10">
        <f>SUM(Data!B:B)*ABS(Data!A2-Data!A3)</f>
        <v>3767038.4059999995</v>
      </c>
      <c r="C17" s="10"/>
      <c r="D17" s="10"/>
      <c r="E17" s="10"/>
      <c r="F17" s="10"/>
      <c r="G17" s="10"/>
      <c r="H17" s="10"/>
      <c r="I17" s="10"/>
      <c r="J17" s="10"/>
      <c r="K17" s="10"/>
      <c r="M17"/>
      <c r="N17"/>
    </row>
    <row r="18" spans="1:18" s="8" customFormat="1">
      <c r="B18" s="9"/>
      <c r="C18" s="9"/>
      <c r="M18"/>
      <c r="N18"/>
    </row>
    <row r="19" spans="1:18" s="8" customFormat="1">
      <c r="A19" t="s">
        <v>13</v>
      </c>
      <c r="B19" s="5">
        <f>SUM(Data!D:D)</f>
        <v>1626411.4698971866</v>
      </c>
      <c r="C19" s="9"/>
    </row>
    <row r="20" spans="1:18" s="8" customFormat="1">
      <c r="A20" s="8" t="s">
        <v>14</v>
      </c>
      <c r="B20" s="10">
        <f>COUNT(Data!A:A)</f>
        <v>27</v>
      </c>
      <c r="C20" s="9"/>
      <c r="M20" s="11"/>
    </row>
    <row r="21" spans="1:18" s="8" customFormat="1">
      <c r="A21"/>
      <c r="B21"/>
      <c r="C21" s="9"/>
    </row>
    <row r="22" spans="1:18" s="8" customFormat="1">
      <c r="A22" s="8" t="s">
        <v>15</v>
      </c>
      <c r="B22" s="32">
        <f>SQRT(B19/B20)</f>
        <v>245.4332126018073</v>
      </c>
      <c r="C22" s="9"/>
    </row>
    <row r="23" spans="1:18" s="8" customFormat="1">
      <c r="B23" s="9"/>
      <c r="C23" s="9"/>
    </row>
    <row r="24" spans="1:18" s="8" customFormat="1">
      <c r="A24" s="33" t="s">
        <v>46</v>
      </c>
      <c r="B24" s="35">
        <f>CORREL(Data!B2:B678,Data!C2:C678)</f>
        <v>0.99999838556444298</v>
      </c>
      <c r="C24" s="9"/>
    </row>
    <row r="25" spans="1:18" s="8" customFormat="1">
      <c r="B25" s="9"/>
      <c r="C25" s="9"/>
    </row>
    <row r="26" spans="1:18" s="8" customFormat="1">
      <c r="B26" s="9"/>
      <c r="C26" s="9"/>
      <c r="M26" s="18"/>
      <c r="N26" s="18"/>
      <c r="O26" s="18"/>
      <c r="P26" s="18"/>
      <c r="Q26" s="18"/>
      <c r="R26" s="18"/>
    </row>
    <row r="27" spans="1:18" s="8" customFormat="1">
      <c r="B27" s="9"/>
      <c r="C27" s="9"/>
      <c r="M27" s="6"/>
      <c r="N27" s="6"/>
      <c r="O27" s="6"/>
      <c r="P27" s="6"/>
      <c r="Q27" s="6"/>
      <c r="R27" s="6"/>
    </row>
    <row r="28" spans="1:18" s="8" customFormat="1">
      <c r="B28" s="9"/>
      <c r="C28" s="9"/>
      <c r="M28" s="19"/>
      <c r="N28" s="19"/>
      <c r="O28" s="19"/>
      <c r="P28" s="19"/>
      <c r="Q28" s="19"/>
      <c r="R28" s="19"/>
    </row>
    <row r="29" spans="1:18" s="8" customFormat="1">
      <c r="B29" s="9"/>
      <c r="C29" s="9"/>
    </row>
    <row r="30" spans="1:18" s="8" customFormat="1">
      <c r="B30" s="9"/>
      <c r="C30" s="9"/>
    </row>
    <row r="31" spans="1:18" s="8" customFormat="1">
      <c r="B31" s="9"/>
      <c r="C31" s="9"/>
    </row>
    <row r="32" spans="1:18" s="8" customFormat="1">
      <c r="B32" s="9"/>
      <c r="C32" s="9"/>
    </row>
    <row r="33" spans="1:11" s="8" customFormat="1">
      <c r="B33" s="9"/>
      <c r="C33" s="9"/>
    </row>
    <row r="34" spans="1:11" s="8" customFormat="1">
      <c r="B34" s="9"/>
      <c r="C34" s="9"/>
    </row>
    <row r="35" spans="1:11" s="8" customFormat="1">
      <c r="A35" s="8" t="s">
        <v>41</v>
      </c>
      <c r="B35" s="9"/>
      <c r="C35" s="9"/>
    </row>
    <row r="36" spans="1:11" s="8" customFormat="1">
      <c r="B36" s="9"/>
      <c r="C36" s="9"/>
    </row>
    <row r="37" spans="1:11">
      <c r="A37" t="s">
        <v>16</v>
      </c>
      <c r="B37" s="7">
        <f t="shared" ref="B37:K37" si="3">4/(B4^2)</f>
        <v>3.3344085449207113E-9</v>
      </c>
      <c r="C37" s="7">
        <f t="shared" si="3"/>
        <v>94.150801043775488</v>
      </c>
      <c r="D37" s="7">
        <f t="shared" si="3"/>
        <v>8.4923991562769379E-5</v>
      </c>
      <c r="E37" s="7">
        <f t="shared" si="3"/>
        <v>4.3508477032971633E-4</v>
      </c>
      <c r="F37" s="7">
        <f t="shared" si="3"/>
        <v>1.8869112195727593E-4</v>
      </c>
      <c r="G37" s="7">
        <f t="shared" si="3"/>
        <v>5.3152051099246492E-2</v>
      </c>
      <c r="H37" s="7">
        <f t="shared" si="3"/>
        <v>1.7777777777777777</v>
      </c>
      <c r="I37" s="7">
        <f t="shared" si="3"/>
        <v>1.7777777777777777</v>
      </c>
      <c r="J37" s="7">
        <f t="shared" si="3"/>
        <v>1.7777777777777777</v>
      </c>
      <c r="K37" s="7">
        <f t="shared" si="3"/>
        <v>1.7777777777777777</v>
      </c>
    </row>
    <row r="38" spans="1:11">
      <c r="A38" t="s">
        <v>17</v>
      </c>
      <c r="B38" s="7">
        <f t="shared" ref="B38:K38" si="4">-2.77258872/(B4^2)</f>
        <v>-2.3112358798796943E-9</v>
      </c>
      <c r="C38" s="7">
        <f t="shared" si="4"/>
        <v>-65.260362238234038</v>
      </c>
      <c r="D38" s="7">
        <f t="shared" si="4"/>
        <v>-5.8864825266077383E-5</v>
      </c>
      <c r="E38" s="7">
        <f t="shared" si="4"/>
        <v>-3.0157778161499053E-4</v>
      </c>
      <c r="F38" s="7">
        <f t="shared" si="4"/>
        <v>-1.3079071907572189E-4</v>
      </c>
      <c r="G38" s="7">
        <f t="shared" si="4"/>
        <v>-3.6842194330658599E-2</v>
      </c>
      <c r="H38" s="7">
        <f t="shared" si="4"/>
        <v>-1.2322616533333333</v>
      </c>
      <c r="I38" s="7">
        <f t="shared" si="4"/>
        <v>-1.2322616533333333</v>
      </c>
      <c r="J38" s="7">
        <f t="shared" si="4"/>
        <v>-1.2322616533333333</v>
      </c>
      <c r="K38" s="7">
        <f t="shared" si="4"/>
        <v>-1.2322616533333333</v>
      </c>
    </row>
    <row r="39" spans="1:11">
      <c r="A39" t="s">
        <v>18</v>
      </c>
      <c r="B39" s="7">
        <f t="shared" ref="B39:K39" si="5">4/(B5^2)</f>
        <v>3.3344085449207113E-9</v>
      </c>
      <c r="C39" s="7">
        <f t="shared" si="5"/>
        <v>94.150801043775488</v>
      </c>
      <c r="D39" s="7">
        <f t="shared" si="5"/>
        <v>2.5000000000000001E-5</v>
      </c>
      <c r="E39" s="7">
        <f t="shared" si="5"/>
        <v>4.3508477032971633E-4</v>
      </c>
      <c r="F39" s="7">
        <f t="shared" si="5"/>
        <v>1.8869112195727593E-4</v>
      </c>
      <c r="G39" s="7">
        <f t="shared" si="5"/>
        <v>5.3152051099246492E-2</v>
      </c>
      <c r="H39" s="7">
        <f t="shared" si="5"/>
        <v>1.7777777777777777</v>
      </c>
      <c r="I39" s="7">
        <f t="shared" si="5"/>
        <v>1.7777777777777777</v>
      </c>
      <c r="J39" s="7">
        <f t="shared" si="5"/>
        <v>1.7777777777777777</v>
      </c>
      <c r="K39" s="7">
        <f t="shared" si="5"/>
        <v>1.7777777777777777</v>
      </c>
    </row>
    <row r="40" spans="1:11">
      <c r="A40" t="s">
        <v>19</v>
      </c>
      <c r="B40" s="7">
        <f t="shared" ref="B40:K40" si="6">-2.77258872/(B5^2)</f>
        <v>-2.3112358798796943E-9</v>
      </c>
      <c r="C40" s="7">
        <f t="shared" si="6"/>
        <v>-65.260362238234038</v>
      </c>
      <c r="D40" s="7">
        <f t="shared" si="6"/>
        <v>-1.73286795E-5</v>
      </c>
      <c r="E40" s="7">
        <f t="shared" si="6"/>
        <v>-3.0157778161499053E-4</v>
      </c>
      <c r="F40" s="7">
        <f t="shared" si="6"/>
        <v>-1.3079071907572189E-4</v>
      </c>
      <c r="G40" s="7">
        <f t="shared" si="6"/>
        <v>-3.6842194330658599E-2</v>
      </c>
      <c r="H40" s="7">
        <f t="shared" si="6"/>
        <v>-1.2322616533333333</v>
      </c>
      <c r="I40" s="7">
        <f t="shared" si="6"/>
        <v>-1.2322616533333333</v>
      </c>
      <c r="J40" s="7">
        <f t="shared" si="6"/>
        <v>-1.2322616533333333</v>
      </c>
      <c r="K40" s="7">
        <f t="shared" si="6"/>
        <v>-1.2322616533333333</v>
      </c>
    </row>
    <row r="42" spans="1:11">
      <c r="A42" s="5"/>
    </row>
    <row r="44" spans="1:11">
      <c r="A44" t="s">
        <v>20</v>
      </c>
    </row>
    <row r="45" spans="1:11">
      <c r="A45" t="b">
        <v>1</v>
      </c>
    </row>
    <row r="48" spans="1:11">
      <c r="A48" t="s">
        <v>21</v>
      </c>
    </row>
    <row r="50" spans="1:1">
      <c r="A50" s="5">
        <f>MIN($B$19)</f>
        <v>1626411.4698971866</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3"/>
  <sheetViews>
    <sheetView workbookViewId="0">
      <selection activeCell="A13" sqref="A13"/>
    </sheetView>
  </sheetViews>
  <sheetFormatPr defaultRowHeight="12.75"/>
  <cols>
    <col min="1" max="1" width="12.85546875" customWidth="1"/>
  </cols>
  <sheetData>
    <row r="1" spans="1:2">
      <c r="A1" t="s">
        <v>22</v>
      </c>
    </row>
    <row r="3" spans="1:2">
      <c r="A3" t="s">
        <v>23</v>
      </c>
      <c r="B3" s="1">
        <f>MIN(Data!A:A)</f>
        <v>0</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01"/>
  <sheetViews>
    <sheetView workbookViewId="0">
      <selection activeCell="C35" sqref="C35"/>
    </sheetView>
  </sheetViews>
  <sheetFormatPr defaultRowHeight="12.75"/>
  <cols>
    <col min="1" max="1" width="9.140625" style="20"/>
    <col min="2" max="2" width="10.5703125" style="29" bestFit="1" customWidth="1"/>
    <col min="3" max="3" width="19.42578125" style="7" customWidth="1"/>
    <col min="4" max="4" width="25.5703125" style="3" customWidth="1"/>
    <col min="5" max="5" width="11" style="3" customWidth="1"/>
    <col min="6" max="17" width="9.140625" style="3"/>
    <col min="18" max="18" width="11.85546875" customWidth="1"/>
  </cols>
  <sheetData>
    <row r="1" spans="1:20" s="2" customFormat="1" ht="14.25">
      <c r="A1" s="39" t="s">
        <v>49</v>
      </c>
      <c r="B1" s="29" t="s">
        <v>40</v>
      </c>
      <c r="C1" s="30" t="s">
        <v>24</v>
      </c>
      <c r="D1" s="4" t="s">
        <v>25</v>
      </c>
      <c r="E1" s="13" t="s">
        <v>26</v>
      </c>
      <c r="F1" s="14" t="s">
        <v>27</v>
      </c>
      <c r="G1" s="14" t="s">
        <v>28</v>
      </c>
      <c r="H1" s="14" t="s">
        <v>29</v>
      </c>
      <c r="I1" s="14" t="s">
        <v>30</v>
      </c>
      <c r="J1" s="14" t="s">
        <v>31</v>
      </c>
      <c r="K1" s="14" t="s">
        <v>32</v>
      </c>
      <c r="L1" s="14" t="s">
        <v>33</v>
      </c>
      <c r="M1" s="14" t="s">
        <v>34</v>
      </c>
      <c r="N1" s="14" t="s">
        <v>35</v>
      </c>
      <c r="O1" s="14" t="s">
        <v>36</v>
      </c>
      <c r="P1"/>
      <c r="Q1"/>
      <c r="R1"/>
      <c r="T1"/>
    </row>
    <row r="2" spans="1:20">
      <c r="A2">
        <v>0</v>
      </c>
      <c r="B2">
        <v>402</v>
      </c>
      <c r="C2" s="7">
        <f>SUM(E2:K2)</f>
        <v>586.51447588414885</v>
      </c>
      <c r="D2" s="3">
        <f t="shared" ref="D2:D65" si="0">(C2-B2)^2</f>
        <v>34045.591810802151</v>
      </c>
      <c r="E2" s="3">
        <f>Ft!$B$12+Ft!$B$14*(Data!A2-Vars!$B$3)</f>
        <v>0</v>
      </c>
      <c r="F2" s="3">
        <f>IF(($A2-Ft!B$2)&lt;0,Ft!B$3*((1-Ft!B$6)/(1+Ft!B$37*($A2-Ft!B$2)^2)+Ft!B$6*EXP(Ft!B$38*($A2-Ft!B$2)^2)),Ft!B$3*((1-Ft!B$7)/(1+Ft!B$39*($A2-Ft!B$2)^2)+Ft!B$7*EXP(Ft!B$40*($A2-Ft!B$2)^2)))</f>
        <v>-115449.19281674223</v>
      </c>
      <c r="G2" s="3">
        <f>IF(($A2-Ft!C$2)&lt;0,Ft!C$3*((1-Ft!C$6)/(1+Ft!C$37*($A2-Ft!C$2)^2)+Ft!C$6*EXP(Ft!C$38*($A2-Ft!C$2)^2)),Ft!C$3*((1-Ft!C$7)/(1+Ft!C$39*($A2-Ft!C$2)^2)+Ft!C$7*EXP(Ft!C$40*($A2-Ft!C$2)^2)))</f>
        <v>0</v>
      </c>
      <c r="H2" s="3">
        <f>IF(($A2-Ft!D$2)&lt;0,Ft!D$3*((1-Ft!D$6)/(1+Ft!D$37*($A2-Ft!D$2)^2)+Ft!D$6*EXP(Ft!D$38*($A2-Ft!D$2)^2)),Ft!D$3*((1-Ft!D$7)/(1+Ft!D$39*($A2-Ft!D$2)^2)+Ft!D$7*EXP(Ft!D$40*($A2-Ft!D$2)^2)))</f>
        <v>19388.667634301324</v>
      </c>
      <c r="I2" s="3">
        <f>IF(($A2-Ft!E$2)&lt;0,Ft!E$3*((1-Ft!E$6)/(1+Ft!E$37*($A2-Ft!E$2)^2)+Ft!E$6*EXP(Ft!E$38*($A2-Ft!E$2)^2)),Ft!E$3*((1-Ft!E$7)/(1+Ft!E$39*($A2-Ft!E$2)^2)+Ft!E$7*EXP(Ft!E$40*($A2-Ft!E$2)^2)))</f>
        <v>36835.236735250037</v>
      </c>
      <c r="J2" s="3">
        <f>IF(($A2-Ft!F$2)&lt;0,Ft!F$3*((1-Ft!F$6)/(1+Ft!F$37*($A2-Ft!F$2)^2)+Ft!F$6*EXP(Ft!F$38*($A2-Ft!F$2)^2)),Ft!F$3*((1-Ft!F$7)/(1+Ft!F$39*($A2-Ft!F$2)^2)+Ft!F$7*EXP(Ft!F$40*($A2-Ft!F$2)^2)))</f>
        <v>59811.802923075018</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v>1</v>
      </c>
      <c r="B3">
        <v>2995</v>
      </c>
      <c r="C3" s="7">
        <f t="shared" ref="C3:C66" si="1">SUM(E3:K3)</f>
        <v>2792.8216999253636</v>
      </c>
      <c r="D3" s="3">
        <f t="shared" si="0"/>
        <v>40876.065021069706</v>
      </c>
      <c r="E3" s="3">
        <f>Ft!$B$12+Ft!$B$14*(Data!A3-Vars!$B$3)</f>
        <v>0</v>
      </c>
      <c r="F3" s="3">
        <f>IF(($A3-Ft!B$2)&lt;0,Ft!B$3*((1-Ft!B$6)/(1+Ft!B$37*($A3-Ft!B$2)^2)+Ft!B$6*EXP(Ft!B$38*($A3-Ft!B$2)^2)),Ft!B$3*((1-Ft!B$7)/(1+Ft!B$39*($A3-Ft!B$2)^2)+Ft!B$7*EXP(Ft!B$40*($A3-Ft!B$2)^2)))</f>
        <v>-115450.5928746787</v>
      </c>
      <c r="G3" s="3">
        <f>IF(($A3-Ft!C$2)&lt;0,Ft!C$3*((1-Ft!C$6)/(1+Ft!C$37*($A3-Ft!C$2)^2)+Ft!C$6*EXP(Ft!C$38*($A3-Ft!C$2)^2)),Ft!C$3*((1-Ft!C$7)/(1+Ft!C$39*($A3-Ft!C$2)^2)+Ft!C$7*EXP(Ft!C$40*($A3-Ft!C$2)^2)))</f>
        <v>0</v>
      </c>
      <c r="H3" s="3">
        <f>IF(($A3-Ft!D$2)&lt;0,Ft!D$3*((1-Ft!D$6)/(1+Ft!D$37*($A3-Ft!D$2)^2)+Ft!D$6*EXP(Ft!D$38*($A3-Ft!D$2)^2)),Ft!D$3*((1-Ft!D$7)/(1+Ft!D$39*($A3-Ft!D$2)^2)+Ft!D$7*EXP(Ft!D$40*($A3-Ft!D$2)^2)))</f>
        <v>19944.241010723501</v>
      </c>
      <c r="I3" s="3">
        <f>IF(($A3-Ft!E$2)&lt;0,Ft!E$3*((1-Ft!E$6)/(1+Ft!E$37*($A3-Ft!E$2)^2)+Ft!E$6*EXP(Ft!E$38*($A3-Ft!E$2)^2)),Ft!E$3*((1-Ft!E$7)/(1+Ft!E$39*($A3-Ft!E$2)^2)+Ft!E$7*EXP(Ft!E$40*($A3-Ft!E$2)^2)))</f>
        <v>37130.815728379872</v>
      </c>
      <c r="J3" s="3">
        <f>IF(($A3-Ft!F$2)&lt;0,Ft!F$3*((1-Ft!F$6)/(1+Ft!F$37*($A3-Ft!F$2)^2)+Ft!F$6*EXP(Ft!F$38*($A3-Ft!F$2)^2)),Ft!F$3*((1-Ft!F$7)/(1+Ft!F$39*($A3-Ft!F$2)^2)+Ft!F$7*EXP(Ft!F$40*($A3-Ft!F$2)^2)))</f>
        <v>61168.357835500683</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v>3</v>
      </c>
      <c r="B4">
        <v>6799</v>
      </c>
      <c r="C4" s="7">
        <f t="shared" si="1"/>
        <v>7227.9428974949697</v>
      </c>
      <c r="D4" s="3">
        <f t="shared" si="0"/>
        <v>183992.00931138004</v>
      </c>
      <c r="E4" s="3">
        <f>Ft!$B$12+Ft!$B$14*(Data!A4-Vars!$B$3)</f>
        <v>0</v>
      </c>
      <c r="F4" s="3">
        <f>IF(($A4-Ft!B$2)&lt;0,Ft!B$3*((1-Ft!B$6)/(1+Ft!B$37*($A4-Ft!B$2)^2)+Ft!B$6*EXP(Ft!B$38*($A4-Ft!B$2)^2)),Ft!B$3*((1-Ft!B$7)/(1+Ft!B$39*($A4-Ft!B$2)^2)+Ft!B$7*EXP(Ft!B$40*($A4-Ft!B$2)^2)))</f>
        <v>-115453.39144044742</v>
      </c>
      <c r="G4" s="3">
        <f>IF(($A4-Ft!C$2)&lt;0,Ft!C$3*((1-Ft!C$6)/(1+Ft!C$37*($A4-Ft!C$2)^2)+Ft!C$6*EXP(Ft!C$38*($A4-Ft!C$2)^2)),Ft!C$3*((1-Ft!C$7)/(1+Ft!C$39*($A4-Ft!C$2)^2)+Ft!C$7*EXP(Ft!C$40*($A4-Ft!C$2)^2)))</f>
        <v>0</v>
      </c>
      <c r="H4" s="3">
        <f>IF(($A4-Ft!D$2)&lt;0,Ft!D$3*((1-Ft!D$6)/(1+Ft!D$37*($A4-Ft!D$2)^2)+Ft!D$6*EXP(Ft!D$38*($A4-Ft!D$2)^2)),Ft!D$3*((1-Ft!D$7)/(1+Ft!D$39*($A4-Ft!D$2)^2)+Ft!D$7*EXP(Ft!D$40*($A4-Ft!D$2)^2)))</f>
        <v>21096.150792634751</v>
      </c>
      <c r="I4" s="3">
        <f>IF(($A4-Ft!E$2)&lt;0,Ft!E$3*((1-Ft!E$6)/(1+Ft!E$37*($A4-Ft!E$2)^2)+Ft!E$6*EXP(Ft!E$38*($A4-Ft!E$2)^2)),Ft!E$3*((1-Ft!E$7)/(1+Ft!E$39*($A4-Ft!E$2)^2)+Ft!E$7*EXP(Ft!E$40*($A4-Ft!E$2)^2)))</f>
        <v>37660.90040273482</v>
      </c>
      <c r="J4" s="3">
        <f>IF(($A4-Ft!F$2)&lt;0,Ft!F$3*((1-Ft!F$6)/(1+Ft!F$37*($A4-Ft!F$2)^2)+Ft!F$6*EXP(Ft!F$38*($A4-Ft!F$2)^2)),Ft!F$3*((1-Ft!F$7)/(1+Ft!F$39*($A4-Ft!F$2)^2)+Ft!F$7*EXP(Ft!F$40*($A4-Ft!F$2)^2)))</f>
        <v>63924.283142572815</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v>4</v>
      </c>
      <c r="B5">
        <v>9443.5779999999995</v>
      </c>
      <c r="C5" s="7">
        <f t="shared" si="1"/>
        <v>9455.5011075091606</v>
      </c>
      <c r="D5" s="3">
        <f t="shared" si="0"/>
        <v>142.16049267501447</v>
      </c>
      <c r="E5" s="3">
        <f>Ft!$B$12+Ft!$B$14*(Data!A5-Vars!$B$3)</f>
        <v>0</v>
      </c>
      <c r="F5" s="3">
        <f>IF(($A5-Ft!B$2)&lt;0,Ft!B$3*((1-Ft!B$6)/(1+Ft!B$37*($A5-Ft!B$2)^2)+Ft!B$6*EXP(Ft!B$38*($A5-Ft!B$2)^2)),Ft!B$3*((1-Ft!B$7)/(1+Ft!B$39*($A5-Ft!B$2)^2)+Ft!B$7*EXP(Ft!B$40*($A5-Ft!B$2)^2)))</f>
        <v>-115454.78994824128</v>
      </c>
      <c r="G5" s="3">
        <f>IF(($A5-Ft!C$2)&lt;0,Ft!C$3*((1-Ft!C$6)/(1+Ft!C$37*($A5-Ft!C$2)^2)+Ft!C$6*EXP(Ft!C$38*($A5-Ft!C$2)^2)),Ft!C$3*((1-Ft!C$7)/(1+Ft!C$39*($A5-Ft!C$2)^2)+Ft!C$7*EXP(Ft!C$40*($A5-Ft!C$2)^2)))</f>
        <v>0</v>
      </c>
      <c r="H5" s="3">
        <f>IF(($A5-Ft!D$2)&lt;0,Ft!D$3*((1-Ft!D$6)/(1+Ft!D$37*($A5-Ft!D$2)^2)+Ft!D$6*EXP(Ft!D$38*($A5-Ft!D$2)^2)),Ft!D$3*((1-Ft!D$7)/(1+Ft!D$39*($A5-Ft!D$2)^2)+Ft!D$7*EXP(Ft!D$40*($A5-Ft!D$2)^2)))</f>
        <v>21692.988238692949</v>
      </c>
      <c r="I5" s="3">
        <f>IF(($A5-Ft!E$2)&lt;0,Ft!E$3*((1-Ft!E$6)/(1+Ft!E$37*($A5-Ft!E$2)^2)+Ft!E$6*EXP(Ft!E$38*($A5-Ft!E$2)^2)),Ft!E$3*((1-Ft!E$7)/(1+Ft!E$39*($A5-Ft!E$2)^2)+Ft!E$7*EXP(Ft!E$40*($A5-Ft!E$2)^2)))</f>
        <v>37894.473951486558</v>
      </c>
      <c r="J5" s="3">
        <f>IF(($A5-Ft!F$2)&lt;0,Ft!F$3*((1-Ft!F$6)/(1+Ft!F$37*($A5-Ft!F$2)^2)+Ft!F$6*EXP(Ft!F$38*($A5-Ft!F$2)^2)),Ft!F$3*((1-Ft!F$7)/(1+Ft!F$39*($A5-Ft!F$2)^2)+Ft!F$7*EXP(Ft!F$40*($A5-Ft!F$2)^2)))</f>
        <v>65322.828865570926</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v>5</v>
      </c>
      <c r="B6">
        <v>12052</v>
      </c>
      <c r="C6" s="7">
        <f t="shared" si="1"/>
        <v>11688.915490516898</v>
      </c>
      <c r="D6" s="3">
        <f t="shared" si="0"/>
        <v>131830.36102658478</v>
      </c>
      <c r="E6" s="3">
        <f>Ft!$B$12+Ft!$B$14*(Data!A6-Vars!$B$3)</f>
        <v>0</v>
      </c>
      <c r="F6" s="3">
        <f>IF(($A6-Ft!B$2)&lt;0,Ft!B$3*((1-Ft!B$6)/(1+Ft!B$37*($A6-Ft!B$2)^2)+Ft!B$6*EXP(Ft!B$38*($A6-Ft!B$2)^2)),Ft!B$3*((1-Ft!B$7)/(1+Ft!B$39*($A6-Ft!B$2)^2)+Ft!B$7*EXP(Ft!B$40*($A6-Ft!B$2)^2)))</f>
        <v>-115456.18793928254</v>
      </c>
      <c r="G6" s="3">
        <f>IF(($A6-Ft!C$2)&lt;0,Ft!C$3*((1-Ft!C$6)/(1+Ft!C$37*($A6-Ft!C$2)^2)+Ft!C$6*EXP(Ft!C$38*($A6-Ft!C$2)^2)),Ft!C$3*((1-Ft!C$7)/(1+Ft!C$39*($A6-Ft!C$2)^2)+Ft!C$7*EXP(Ft!C$40*($A6-Ft!C$2)^2)))</f>
        <v>0</v>
      </c>
      <c r="H6" s="3">
        <f>IF(($A6-Ft!D$2)&lt;0,Ft!D$3*((1-Ft!D$6)/(1+Ft!D$37*($A6-Ft!D$2)^2)+Ft!D$6*EXP(Ft!D$38*($A6-Ft!D$2)^2)),Ft!D$3*((1-Ft!D$7)/(1+Ft!D$39*($A6-Ft!D$2)^2)+Ft!D$7*EXP(Ft!D$40*($A6-Ft!D$2)^2)))</f>
        <v>22304.084982881112</v>
      </c>
      <c r="I6" s="3">
        <f>IF(($A6-Ft!E$2)&lt;0,Ft!E$3*((1-Ft!E$6)/(1+Ft!E$37*($A6-Ft!E$2)^2)+Ft!E$6*EXP(Ft!E$38*($A6-Ft!E$2)^2)),Ft!E$3*((1-Ft!E$7)/(1+Ft!E$39*($A6-Ft!E$2)^2)+Ft!E$7*EXP(Ft!E$40*($A6-Ft!E$2)^2)))</f>
        <v>38106.505043969111</v>
      </c>
      <c r="J6" s="3">
        <f>IF(($A6-Ft!F$2)&lt;0,Ft!F$3*((1-Ft!F$6)/(1+Ft!F$37*($A6-Ft!F$2)^2)+Ft!F$6*EXP(Ft!F$38*($A6-Ft!F$2)^2)),Ft!F$3*((1-Ft!F$7)/(1+Ft!F$39*($A6-Ft!F$2)^2)+Ft!F$7*EXP(Ft!F$40*($A6-Ft!F$2)^2)))</f>
        <v>66734.513402949204</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v>7</v>
      </c>
      <c r="B7">
        <v>15845</v>
      </c>
      <c r="C7" s="7">
        <f t="shared" si="1"/>
        <v>16170.997937350548</v>
      </c>
      <c r="D7" s="3">
        <f t="shared" si="0"/>
        <v>106274.65515681212</v>
      </c>
      <c r="E7" s="3">
        <f>Ft!$B$12+Ft!$B$14*(Data!A7-Vars!$B$3)</f>
        <v>0</v>
      </c>
      <c r="F7" s="3">
        <f>IF(($A7-Ft!B$2)&lt;0,Ft!B$3*((1-Ft!B$6)/(1+Ft!B$37*($A7-Ft!B$2)^2)+Ft!B$6*EXP(Ft!B$38*($A7-Ft!B$2)^2)),Ft!B$3*((1-Ft!B$7)/(1+Ft!B$39*($A7-Ft!B$2)^2)+Ft!B$7*EXP(Ft!B$40*($A7-Ft!B$2)^2)))</f>
        <v>-115458.98237103056</v>
      </c>
      <c r="G7" s="3">
        <f>IF(($A7-Ft!C$2)&lt;0,Ft!C$3*((1-Ft!C$6)/(1+Ft!C$37*($A7-Ft!C$2)^2)+Ft!C$6*EXP(Ft!C$38*($A7-Ft!C$2)^2)),Ft!C$3*((1-Ft!C$7)/(1+Ft!C$39*($A7-Ft!C$2)^2)+Ft!C$7*EXP(Ft!C$40*($A7-Ft!C$2)^2)))</f>
        <v>0</v>
      </c>
      <c r="H7" s="3">
        <f>IF(($A7-Ft!D$2)&lt;0,Ft!D$3*((1-Ft!D$6)/(1+Ft!D$37*($A7-Ft!D$2)^2)+Ft!D$6*EXP(Ft!D$38*($A7-Ft!D$2)^2)),Ft!D$3*((1-Ft!D$7)/(1+Ft!D$39*($A7-Ft!D$2)^2)+Ft!D$7*EXP(Ft!D$40*($A7-Ft!D$2)^2)))</f>
        <v>23570.081482970731</v>
      </c>
      <c r="I7" s="3">
        <f>IF(($A7-Ft!E$2)&lt;0,Ft!E$3*((1-Ft!E$6)/(1+Ft!E$37*($A7-Ft!E$2)^2)+Ft!E$6*EXP(Ft!E$38*($A7-Ft!E$2)^2)),Ft!E$3*((1-Ft!E$7)/(1+Ft!E$39*($A7-Ft!E$2)^2)+Ft!E$7*EXP(Ft!E$40*($A7-Ft!E$2)^2)))</f>
        <v>38464.469817716657</v>
      </c>
      <c r="J7" s="3">
        <f>IF(($A7-Ft!F$2)&lt;0,Ft!F$3*((1-Ft!F$6)/(1+Ft!F$37*($A7-Ft!F$2)^2)+Ft!F$6*EXP(Ft!F$38*($A7-Ft!F$2)^2)),Ft!F$3*((1-Ft!F$7)/(1+Ft!F$39*($A7-Ft!F$2)^2)+Ft!F$7*EXP(Ft!F$40*($A7-Ft!F$2)^2)))</f>
        <v>69595.429007693732</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v>8</v>
      </c>
      <c r="B8">
        <v>18472</v>
      </c>
      <c r="C8" s="7">
        <f t="shared" si="1"/>
        <v>18418.559021189467</v>
      </c>
      <c r="D8" s="3">
        <f t="shared" si="0"/>
        <v>2855.9382162278503</v>
      </c>
      <c r="E8" s="3">
        <f>Ft!$B$12+Ft!$B$14*(Data!A8-Vars!$B$3)</f>
        <v>0</v>
      </c>
      <c r="F8" s="3">
        <f>IF(($A8-Ft!B$2)&lt;0,Ft!B$3*((1-Ft!B$6)/(1+Ft!B$37*($A8-Ft!B$2)^2)+Ft!B$6*EXP(Ft!B$38*($A8-Ft!B$2)^2)),Ft!B$3*((1-Ft!B$7)/(1+Ft!B$39*($A8-Ft!B$2)^2)+Ft!B$7*EXP(Ft!B$40*($A8-Ft!B$2)^2)))</f>
        <v>-115460.37881169899</v>
      </c>
      <c r="G8" s="3">
        <f>IF(($A8-Ft!C$2)&lt;0,Ft!C$3*((1-Ft!C$6)/(1+Ft!C$37*($A8-Ft!C$2)^2)+Ft!C$6*EXP(Ft!C$38*($A8-Ft!C$2)^2)),Ft!C$3*((1-Ft!C$7)/(1+Ft!C$39*($A8-Ft!C$2)^2)+Ft!C$7*EXP(Ft!C$40*($A8-Ft!C$2)^2)))</f>
        <v>0</v>
      </c>
      <c r="H8" s="3">
        <f>IF(($A8-Ft!D$2)&lt;0,Ft!D$3*((1-Ft!D$6)/(1+Ft!D$37*($A8-Ft!D$2)^2)+Ft!D$6*EXP(Ft!D$38*($A8-Ft!D$2)^2)),Ft!D$3*((1-Ft!D$7)/(1+Ft!D$39*($A8-Ft!D$2)^2)+Ft!D$7*EXP(Ft!D$40*($A8-Ft!D$2)^2)))</f>
        <v>24225.498709831038</v>
      </c>
      <c r="I8" s="3">
        <f>IF(($A8-Ft!E$2)&lt;0,Ft!E$3*((1-Ft!E$6)/(1+Ft!E$37*($A8-Ft!E$2)^2)+Ft!E$6*EXP(Ft!E$38*($A8-Ft!E$2)^2)),Ft!E$3*((1-Ft!E$7)/(1+Ft!E$39*($A8-Ft!E$2)^2)+Ft!E$7*EXP(Ft!E$40*($A8-Ft!E$2)^2)))</f>
        <v>38609.763882967447</v>
      </c>
      <c r="J8" s="3">
        <f>IF(($A8-Ft!F$2)&lt;0,Ft!F$3*((1-Ft!F$6)/(1+Ft!F$37*($A8-Ft!F$2)^2)+Ft!F$6*EXP(Ft!F$38*($A8-Ft!F$2)^2)),Ft!F$3*((1-Ft!F$7)/(1+Ft!F$39*($A8-Ft!F$2)^2)+Ft!F$7*EXP(Ft!F$40*($A8-Ft!F$2)^2)))</f>
        <v>71043.675240089971</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v>9</v>
      </c>
      <c r="B9">
        <v>21064.62</v>
      </c>
      <c r="C9" s="7">
        <f t="shared" si="1"/>
        <v>20669.76428011898</v>
      </c>
      <c r="D9" s="3">
        <f t="shared" si="0"/>
        <v>155911.0395227581</v>
      </c>
      <c r="E9" s="3">
        <f>Ft!$B$12+Ft!$B$14*(Data!A9-Vars!$B$3)</f>
        <v>0</v>
      </c>
      <c r="F9" s="3">
        <f>IF(($A9-Ft!B$2)&lt;0,Ft!B$3*((1-Ft!B$6)/(1+Ft!B$37*($A9-Ft!B$2)^2)+Ft!B$6*EXP(Ft!B$38*($A9-Ft!B$2)^2)),Ft!B$3*((1-Ft!B$7)/(1+Ft!B$39*($A9-Ft!B$2)^2)+Ft!B$7*EXP(Ft!B$40*($A9-Ft!B$2)^2)))</f>
        <v>-115461.77473553814</v>
      </c>
      <c r="G9" s="3">
        <f>IF(($A9-Ft!C$2)&lt;0,Ft!C$3*((1-Ft!C$6)/(1+Ft!C$37*($A9-Ft!C$2)^2)+Ft!C$6*EXP(Ft!C$38*($A9-Ft!C$2)^2)),Ft!C$3*((1-Ft!C$7)/(1+Ft!C$39*($A9-Ft!C$2)^2)+Ft!C$7*EXP(Ft!C$40*($A9-Ft!C$2)^2)))</f>
        <v>0</v>
      </c>
      <c r="H9" s="3">
        <f>IF(($A9-Ft!D$2)&lt;0,Ft!D$3*((1-Ft!D$6)/(1+Ft!D$37*($A9-Ft!D$2)^2)+Ft!D$6*EXP(Ft!D$38*($A9-Ft!D$2)^2)),Ft!D$3*((1-Ft!D$7)/(1+Ft!D$39*($A9-Ft!D$2)^2)+Ft!D$7*EXP(Ft!D$40*($A9-Ft!D$2)^2)))</f>
        <v>24896.210039294307</v>
      </c>
      <c r="I9" s="3">
        <f>IF(($A9-Ft!E$2)&lt;0,Ft!E$3*((1-Ft!E$6)/(1+Ft!E$37*($A9-Ft!E$2)^2)+Ft!E$6*EXP(Ft!E$38*($A9-Ft!E$2)^2)),Ft!E$3*((1-Ft!E$7)/(1+Ft!E$39*($A9-Ft!E$2)^2)+Ft!E$7*EXP(Ft!E$40*($A9-Ft!E$2)^2)))</f>
        <v>38732.238164218812</v>
      </c>
      <c r="J9" s="3">
        <f>IF(($A9-Ft!F$2)&lt;0,Ft!F$3*((1-Ft!F$6)/(1+Ft!F$37*($A9-Ft!F$2)^2)+Ft!F$6*EXP(Ft!F$38*($A9-Ft!F$2)^2)),Ft!F$3*((1-Ft!F$7)/(1+Ft!F$39*($A9-Ft!F$2)^2)+Ft!F$7*EXP(Ft!F$40*($A9-Ft!F$2)^2)))</f>
        <v>72503.090812144001</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v>11</v>
      </c>
      <c r="B10">
        <v>24853</v>
      </c>
      <c r="C10" s="7">
        <f t="shared" si="1"/>
        <v>25181.135480811645</v>
      </c>
      <c r="D10" s="3">
        <f t="shared" si="0"/>
        <v>107672.89376748932</v>
      </c>
      <c r="E10" s="3">
        <f>Ft!$B$12+Ft!$B$14*(Data!A10-Vars!$B$3)</f>
        <v>0</v>
      </c>
      <c r="F10" s="3">
        <f>IF(($A10-Ft!B$2)&lt;0,Ft!B$3*((1-Ft!B$6)/(1+Ft!B$37*($A10-Ft!B$2)^2)+Ft!B$6*EXP(Ft!B$38*($A10-Ft!B$2)^2)),Ft!B$3*((1-Ft!B$7)/(1+Ft!B$39*($A10-Ft!B$2)^2)+Ft!B$7*EXP(Ft!B$40*($A10-Ft!B$2)^2)))</f>
        <v>-115464.565032652</v>
      </c>
      <c r="G10" s="3">
        <f>IF(($A10-Ft!C$2)&lt;0,Ft!C$3*((1-Ft!C$6)/(1+Ft!C$37*($A10-Ft!C$2)^2)+Ft!C$6*EXP(Ft!C$38*($A10-Ft!C$2)^2)),Ft!C$3*((1-Ft!C$7)/(1+Ft!C$39*($A10-Ft!C$2)^2)+Ft!C$7*EXP(Ft!C$40*($A10-Ft!C$2)^2)))</f>
        <v>0</v>
      </c>
      <c r="H10" s="3">
        <f>IF(($A10-Ft!D$2)&lt;0,Ft!D$3*((1-Ft!D$6)/(1+Ft!D$37*($A10-Ft!D$2)^2)+Ft!D$6*EXP(Ft!D$38*($A10-Ft!D$2)^2)),Ft!D$3*((1-Ft!D$7)/(1+Ft!D$39*($A10-Ft!D$2)^2)+Ft!D$7*EXP(Ft!D$40*($A10-Ft!D$2)^2)))</f>
        <v>26284.570043448122</v>
      </c>
      <c r="I10" s="3">
        <f>IF(($A10-Ft!E$2)&lt;0,Ft!E$3*((1-Ft!E$6)/(1+Ft!E$37*($A10-Ft!E$2)^2)+Ft!E$6*EXP(Ft!E$38*($A10-Ft!E$2)^2)),Ft!E$3*((1-Ft!E$7)/(1+Ft!E$39*($A10-Ft!E$2)^2)+Ft!E$7*EXP(Ft!E$40*($A10-Ft!E$2)^2)))</f>
        <v>38907.887203654391</v>
      </c>
      <c r="J10" s="3">
        <f>IF(($A10-Ft!F$2)&lt;0,Ft!F$3*((1-Ft!F$6)/(1+Ft!F$37*($A10-Ft!F$2)^2)+Ft!F$6*EXP(Ft!F$38*($A10-Ft!F$2)^2)),Ft!F$3*((1-Ft!F$7)/(1+Ft!F$39*($A10-Ft!F$2)^2)+Ft!F$7*EXP(Ft!F$40*($A10-Ft!F$2)^2)))</f>
        <v>75453.243266361125</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v>12</v>
      </c>
      <c r="B11">
        <v>27475</v>
      </c>
      <c r="C11" s="7">
        <f t="shared" si="1"/>
        <v>27440.374476880534</v>
      </c>
      <c r="D11" s="3">
        <f t="shared" si="0"/>
        <v>1198.9268512967008</v>
      </c>
      <c r="E11" s="3">
        <f>Ft!$B$12+Ft!$B$14*(Data!A11-Vars!$B$3)</f>
        <v>0</v>
      </c>
      <c r="F11" s="3">
        <f>IF(($A11-Ft!B$2)&lt;0,Ft!B$3*((1-Ft!B$6)/(1+Ft!B$37*($A11-Ft!B$2)^2)+Ft!B$6*EXP(Ft!B$38*($A11-Ft!B$2)^2)),Ft!B$3*((1-Ft!B$7)/(1+Ft!B$39*($A11-Ft!B$2)^2)+Ft!B$7*EXP(Ft!B$40*($A11-Ft!B$2)^2)))</f>
        <v>-115465.95940588842</v>
      </c>
      <c r="G11" s="3">
        <f>IF(($A11-Ft!C$2)&lt;0,Ft!C$3*((1-Ft!C$6)/(1+Ft!C$37*($A11-Ft!C$2)^2)+Ft!C$6*EXP(Ft!C$38*($A11-Ft!C$2)^2)),Ft!C$3*((1-Ft!C$7)/(1+Ft!C$39*($A11-Ft!C$2)^2)+Ft!C$7*EXP(Ft!C$40*($A11-Ft!C$2)^2)))</f>
        <v>0</v>
      </c>
      <c r="H11" s="3">
        <f>IF(($A11-Ft!D$2)&lt;0,Ft!D$3*((1-Ft!D$6)/(1+Ft!D$37*($A11-Ft!D$2)^2)+Ft!D$6*EXP(Ft!D$38*($A11-Ft!D$2)^2)),Ft!D$3*((1-Ft!D$7)/(1+Ft!D$39*($A11-Ft!D$2)^2)+Ft!D$7*EXP(Ft!D$40*($A11-Ft!D$2)^2)))</f>
        <v>27002.750418969492</v>
      </c>
      <c r="I11" s="3">
        <f>IF(($A11-Ft!E$2)&lt;0,Ft!E$3*((1-Ft!E$6)/(1+Ft!E$37*($A11-Ft!E$2)^2)+Ft!E$6*EXP(Ft!E$38*($A11-Ft!E$2)^2)),Ft!E$3*((1-Ft!E$7)/(1+Ft!E$39*($A11-Ft!E$2)^2)+Ft!E$7*EXP(Ft!E$40*($A11-Ft!E$2)^2)))</f>
        <v>38960.745172686715</v>
      </c>
      <c r="J11" s="3">
        <f>IF(($A11-Ft!F$2)&lt;0,Ft!F$3*((1-Ft!F$6)/(1+Ft!F$37*($A11-Ft!F$2)^2)+Ft!F$6*EXP(Ft!F$38*($A11-Ft!F$2)^2)),Ft!F$3*((1-Ft!F$7)/(1+Ft!F$39*($A11-Ft!F$2)^2)+Ft!F$7*EXP(Ft!F$40*($A11-Ft!F$2)^2)))</f>
        <v>76942.838291112756</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v>13</v>
      </c>
      <c r="B12">
        <v>30127</v>
      </c>
      <c r="C12" s="7">
        <f t="shared" si="1"/>
        <v>29701.404972269134</v>
      </c>
      <c r="D12" s="3">
        <f t="shared" si="0"/>
        <v>181131.12762923635</v>
      </c>
      <c r="E12" s="3">
        <f>Ft!$B$12+Ft!$B$14*(Data!A12-Vars!$B$3)</f>
        <v>0</v>
      </c>
      <c r="F12" s="3">
        <f>IF(($A12-Ft!B$2)&lt;0,Ft!B$3*((1-Ft!B$6)/(1+Ft!B$37*($A12-Ft!B$2)^2)+Ft!B$6*EXP(Ft!B$38*($A12-Ft!B$2)^2)),Ft!B$3*((1-Ft!B$7)/(1+Ft!B$39*($A12-Ft!B$2)^2)+Ft!B$7*EXP(Ft!B$40*($A12-Ft!B$2)^2)))</f>
        <v>-115467.353262219</v>
      </c>
      <c r="G12" s="3">
        <f>IF(($A12-Ft!C$2)&lt;0,Ft!C$3*((1-Ft!C$6)/(1+Ft!C$37*($A12-Ft!C$2)^2)+Ft!C$6*EXP(Ft!C$38*($A12-Ft!C$2)^2)),Ft!C$3*((1-Ft!C$7)/(1+Ft!C$39*($A12-Ft!C$2)^2)+Ft!C$7*EXP(Ft!C$40*($A12-Ft!C$2)^2)))</f>
        <v>0</v>
      </c>
      <c r="H12" s="3">
        <f>IF(($A12-Ft!D$2)&lt;0,Ft!D$3*((1-Ft!D$6)/(1+Ft!D$37*($A12-Ft!D$2)^2)+Ft!D$6*EXP(Ft!D$38*($A12-Ft!D$2)^2)),Ft!D$3*((1-Ft!D$7)/(1+Ft!D$39*($A12-Ft!D$2)^2)+Ft!D$7*EXP(Ft!D$40*($A12-Ft!D$2)^2)))</f>
        <v>27737.288136548497</v>
      </c>
      <c r="I12" s="3">
        <f>IF(($A12-Ft!E$2)&lt;0,Ft!E$3*((1-Ft!E$6)/(1+Ft!E$37*($A12-Ft!E$2)^2)+Ft!E$6*EXP(Ft!E$38*($A12-Ft!E$2)^2)),Ft!E$3*((1-Ft!E$7)/(1+Ft!E$39*($A12-Ft!E$2)^2)+Ft!E$7*EXP(Ft!E$40*($A12-Ft!E$2)^2)))</f>
        <v>38990.150731455658</v>
      </c>
      <c r="J12" s="3">
        <f>IF(($A12-Ft!F$2)&lt;0,Ft!F$3*((1-Ft!F$6)/(1+Ft!F$37*($A12-Ft!F$2)^2)+Ft!F$6*EXP(Ft!F$38*($A12-Ft!F$2)^2)),Ft!F$3*((1-Ft!F$7)/(1+Ft!F$39*($A12-Ft!F$2)^2)+Ft!F$7*EXP(Ft!F$40*($A12-Ft!F$2)^2)))</f>
        <v>78441.319366483978</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v>16</v>
      </c>
      <c r="B13">
        <v>36455.533000000003</v>
      </c>
      <c r="C13" s="7">
        <f t="shared" si="1"/>
        <v>36491.353159146413</v>
      </c>
      <c r="D13" s="3">
        <f t="shared" si="0"/>
        <v>1283.0838012740987</v>
      </c>
      <c r="E13" s="3">
        <f>Ft!$B$12+Ft!$B$14*(Data!A13-Vars!$B$3)</f>
        <v>0</v>
      </c>
      <c r="F13" s="3">
        <f>IF(($A13-Ft!B$2)&lt;0,Ft!B$3*((1-Ft!B$6)/(1+Ft!B$37*($A13-Ft!B$2)^2)+Ft!B$6*EXP(Ft!B$38*($A13-Ft!B$2)^2)),Ft!B$3*((1-Ft!B$7)/(1+Ft!B$39*($A13-Ft!B$2)^2)+Ft!B$7*EXP(Ft!B$40*($A13-Ft!B$2)^2)))</f>
        <v>-115471.53172958439</v>
      </c>
      <c r="G13" s="3">
        <f>IF(($A13-Ft!C$2)&lt;0,Ft!C$3*((1-Ft!C$6)/(1+Ft!C$37*($A13-Ft!C$2)^2)+Ft!C$6*EXP(Ft!C$38*($A13-Ft!C$2)^2)),Ft!C$3*((1-Ft!C$7)/(1+Ft!C$39*($A13-Ft!C$2)^2)+Ft!C$7*EXP(Ft!C$40*($A13-Ft!C$2)^2)))</f>
        <v>0</v>
      </c>
      <c r="H13" s="3">
        <f>IF(($A13-Ft!D$2)&lt;0,Ft!D$3*((1-Ft!D$6)/(1+Ft!D$37*($A13-Ft!D$2)^2)+Ft!D$6*EXP(Ft!D$38*($A13-Ft!D$2)^2)),Ft!D$3*((1-Ft!D$7)/(1+Ft!D$39*($A13-Ft!D$2)^2)+Ft!D$7*EXP(Ft!D$40*($A13-Ft!D$2)^2)))</f>
        <v>30041.748707064591</v>
      </c>
      <c r="I13" s="3">
        <f>IF(($A13-Ft!E$2)&lt;0,Ft!E$3*((1-Ft!E$6)/(1+Ft!E$37*($A13-Ft!E$2)^2)+Ft!E$6*EXP(Ft!E$38*($A13-Ft!E$2)^2)),Ft!E$3*((1-Ft!E$7)/(1+Ft!E$39*($A13-Ft!E$2)^2)+Ft!E$7*EXP(Ft!E$40*($A13-Ft!E$2)^2)))</f>
        <v>38937.333738059766</v>
      </c>
      <c r="J13" s="3">
        <f>IF(($A13-Ft!F$2)&lt;0,Ft!F$3*((1-Ft!F$6)/(1+Ft!F$37*($A13-Ft!F$2)^2)+Ft!F$6*EXP(Ft!F$38*($A13-Ft!F$2)^2)),Ft!F$3*((1-Ft!F$7)/(1+Ft!F$39*($A13-Ft!F$2)^2)+Ft!F$7*EXP(Ft!F$40*($A13-Ft!F$2)^2)))</f>
        <v>82983.802443606444</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v>28</v>
      </c>
      <c r="B14">
        <v>63553.809000000001</v>
      </c>
      <c r="C14" s="7">
        <f t="shared" si="1"/>
        <v>63619.239254536893</v>
      </c>
      <c r="D14" s="3">
        <f t="shared" si="0"/>
        <v>4281.1182087624602</v>
      </c>
      <c r="E14" s="3">
        <f>Ft!$B$12+Ft!$B$14*(Data!A14-Vars!$B$3)</f>
        <v>0</v>
      </c>
      <c r="F14" s="3">
        <f>IF(($A14-Ft!B$2)&lt;0,Ft!B$3*((1-Ft!B$6)/(1+Ft!B$37*($A14-Ft!B$2)^2)+Ft!B$6*EXP(Ft!B$38*($A14-Ft!B$2)^2)),Ft!B$3*((1-Ft!B$7)/(1+Ft!B$39*($A14-Ft!B$2)^2)+Ft!B$7*EXP(Ft!B$40*($A14-Ft!B$2)^2)))</f>
        <v>-115488.19906548638</v>
      </c>
      <c r="G14" s="3">
        <f>IF(($A14-Ft!C$2)&lt;0,Ft!C$3*((1-Ft!C$6)/(1+Ft!C$37*($A14-Ft!C$2)^2)+Ft!C$6*EXP(Ft!C$38*($A14-Ft!C$2)^2)),Ft!C$3*((1-Ft!C$7)/(1+Ft!C$39*($A14-Ft!C$2)^2)+Ft!C$7*EXP(Ft!C$40*($A14-Ft!C$2)^2)))</f>
        <v>0</v>
      </c>
      <c r="H14" s="3">
        <f>IF(($A14-Ft!D$2)&lt;0,Ft!D$3*((1-Ft!D$6)/(1+Ft!D$37*($A14-Ft!D$2)^2)+Ft!D$6*EXP(Ft!D$38*($A14-Ft!D$2)^2)),Ft!D$3*((1-Ft!D$7)/(1+Ft!D$39*($A14-Ft!D$2)^2)+Ft!D$7*EXP(Ft!D$40*($A14-Ft!D$2)^2)))</f>
        <v>40904.247981092893</v>
      </c>
      <c r="I14" s="3">
        <f>IF(($A14-Ft!E$2)&lt;0,Ft!E$3*((1-Ft!E$6)/(1+Ft!E$37*($A14-Ft!E$2)^2)+Ft!E$6*EXP(Ft!E$38*($A14-Ft!E$2)^2)),Ft!E$3*((1-Ft!E$7)/(1+Ft!E$39*($A14-Ft!E$2)^2)+Ft!E$7*EXP(Ft!E$40*($A14-Ft!E$2)^2)))</f>
        <v>36680.576218580391</v>
      </c>
      <c r="J14" s="3">
        <f>IF(($A14-Ft!F$2)&lt;0,Ft!F$3*((1-Ft!F$6)/(1+Ft!F$37*($A14-Ft!F$2)^2)+Ft!F$6*EXP(Ft!F$38*($A14-Ft!F$2)^2)),Ft!F$3*((1-Ft!F$7)/(1+Ft!F$39*($A14-Ft!F$2)^2)+Ft!F$7*EXP(Ft!F$40*($A14-Ft!F$2)^2)))</f>
        <v>101522.61412034999</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v>43</v>
      </c>
      <c r="B15">
        <v>97035.816000000006</v>
      </c>
      <c r="C15" s="7">
        <f t="shared" si="1"/>
        <v>97249.744166174336</v>
      </c>
      <c r="D15" s="3">
        <f t="shared" si="0"/>
        <v>45765.260282711672</v>
      </c>
      <c r="E15" s="3">
        <f>Ft!$B$12+Ft!$B$14*(Data!A15-Vars!$B$3)</f>
        <v>0</v>
      </c>
      <c r="F15" s="3">
        <f>IF(($A15-Ft!B$2)&lt;0,Ft!B$3*((1-Ft!B$6)/(1+Ft!B$37*($A15-Ft!B$2)^2)+Ft!B$6*EXP(Ft!B$38*($A15-Ft!B$2)^2)),Ft!B$3*((1-Ft!B$7)/(1+Ft!B$39*($A15-Ft!B$2)^2)+Ft!B$7*EXP(Ft!B$40*($A15-Ft!B$2)^2)))</f>
        <v>-115508.92849630017</v>
      </c>
      <c r="G15" s="3">
        <f>IF(($A15-Ft!C$2)&lt;0,Ft!C$3*((1-Ft!C$6)/(1+Ft!C$37*($A15-Ft!C$2)^2)+Ft!C$6*EXP(Ft!C$38*($A15-Ft!C$2)^2)),Ft!C$3*((1-Ft!C$7)/(1+Ft!C$39*($A15-Ft!C$2)^2)+Ft!C$7*EXP(Ft!C$40*($A15-Ft!C$2)^2)))</f>
        <v>0</v>
      </c>
      <c r="H15" s="3">
        <f>IF(($A15-Ft!D$2)&lt;0,Ft!D$3*((1-Ft!D$6)/(1+Ft!D$37*($A15-Ft!D$2)^2)+Ft!D$6*EXP(Ft!D$38*($A15-Ft!D$2)^2)),Ft!D$3*((1-Ft!D$7)/(1+Ft!D$39*($A15-Ft!D$2)^2)+Ft!D$7*EXP(Ft!D$40*($A15-Ft!D$2)^2)))</f>
        <v>58744.704871054717</v>
      </c>
      <c r="I15" s="3">
        <f>IF(($A15-Ft!E$2)&lt;0,Ft!E$3*((1-Ft!E$6)/(1+Ft!E$37*($A15-Ft!E$2)^2)+Ft!E$6*EXP(Ft!E$38*($A15-Ft!E$2)^2)),Ft!E$3*((1-Ft!E$7)/(1+Ft!E$39*($A15-Ft!E$2)^2)+Ft!E$7*EXP(Ft!E$40*($A15-Ft!E$2)^2)))</f>
        <v>30128.6227726898</v>
      </c>
      <c r="J15" s="3">
        <f>IF(($A15-Ft!F$2)&lt;0,Ft!F$3*((1-Ft!F$6)/(1+Ft!F$37*($A15-Ft!F$2)^2)+Ft!F$6*EXP(Ft!F$38*($A15-Ft!F$2)^2)),Ft!F$3*((1-Ft!F$7)/(1+Ft!F$39*($A15-Ft!F$2)^2)+Ft!F$7*EXP(Ft!F$40*($A15-Ft!F$2)^2)))</f>
        <v>123885.34501872999</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v>47</v>
      </c>
      <c r="B16">
        <v>106066.976</v>
      </c>
      <c r="C16" s="7">
        <f t="shared" si="1"/>
        <v>106182.6947187913</v>
      </c>
      <c r="D16" s="3">
        <f t="shared" si="0"/>
        <v>13390.821878701765</v>
      </c>
      <c r="E16" s="3">
        <f>Ft!$B$12+Ft!$B$14*(Data!A16-Vars!$B$3)</f>
        <v>0</v>
      </c>
      <c r="F16" s="3">
        <f>IF(($A16-Ft!B$2)&lt;0,Ft!B$3*((1-Ft!B$6)/(1+Ft!B$37*($A16-Ft!B$2)^2)+Ft!B$6*EXP(Ft!B$38*($A16-Ft!B$2)^2)),Ft!B$3*((1-Ft!B$7)/(1+Ft!B$39*($A16-Ft!B$2)^2)+Ft!B$7*EXP(Ft!B$40*($A16-Ft!B$2)^2)))</f>
        <v>-115514.43668232638</v>
      </c>
      <c r="G16" s="3">
        <f>IF(($A16-Ft!C$2)&lt;0,Ft!C$3*((1-Ft!C$6)/(1+Ft!C$37*($A16-Ft!C$2)^2)+Ft!C$6*EXP(Ft!C$38*($A16-Ft!C$2)^2)),Ft!C$3*((1-Ft!C$7)/(1+Ft!C$39*($A16-Ft!C$2)^2)+Ft!C$7*EXP(Ft!C$40*($A16-Ft!C$2)^2)))</f>
        <v>0</v>
      </c>
      <c r="H16" s="3">
        <f>IF(($A16-Ft!D$2)&lt;0,Ft!D$3*((1-Ft!D$6)/(1+Ft!D$37*($A16-Ft!D$2)^2)+Ft!D$6*EXP(Ft!D$38*($A16-Ft!D$2)^2)),Ft!D$3*((1-Ft!D$7)/(1+Ft!D$39*($A16-Ft!D$2)^2)+Ft!D$7*EXP(Ft!D$40*($A16-Ft!D$2)^2)))</f>
        <v>64408.901916635994</v>
      </c>
      <c r="I16" s="3">
        <f>IF(($A16-Ft!E$2)&lt;0,Ft!E$3*((1-Ft!E$6)/(1+Ft!E$37*($A16-Ft!E$2)^2)+Ft!E$6*EXP(Ft!E$38*($A16-Ft!E$2)^2)),Ft!E$3*((1-Ft!E$7)/(1+Ft!E$39*($A16-Ft!E$2)^2)+Ft!E$7*EXP(Ft!E$40*($A16-Ft!E$2)^2)))</f>
        <v>27940.668341014138</v>
      </c>
      <c r="J16" s="3">
        <f>IF(($A16-Ft!F$2)&lt;0,Ft!F$3*((1-Ft!F$6)/(1+Ft!F$37*($A16-Ft!F$2)^2)+Ft!F$6*EXP(Ft!F$38*($A16-Ft!F$2)^2)),Ft!F$3*((1-Ft!F$7)/(1+Ft!F$39*($A16-Ft!F$2)^2)+Ft!F$7*EXP(Ft!F$40*($A16-Ft!F$2)^2)))</f>
        <v>129347.56114346755</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v>63</v>
      </c>
      <c r="B17">
        <v>142165.24</v>
      </c>
      <c r="C17" s="7">
        <f t="shared" si="1"/>
        <v>141984.32503619854</v>
      </c>
      <c r="D17" s="3">
        <f t="shared" si="0"/>
        <v>32730.224127279831</v>
      </c>
      <c r="E17" s="3">
        <f>Ft!$B$12+Ft!$B$14*(Data!A17-Vars!$B$3)</f>
        <v>0</v>
      </c>
      <c r="F17" s="3">
        <f>IF(($A17-Ft!B$2)&lt;0,Ft!B$3*((1-Ft!B$6)/(1+Ft!B$37*($A17-Ft!B$2)^2)+Ft!B$6*EXP(Ft!B$38*($A17-Ft!B$2)^2)),Ft!B$3*((1-Ft!B$7)/(1+Ft!B$39*($A17-Ft!B$2)^2)+Ft!B$7*EXP(Ft!B$40*($A17-Ft!B$2)^2)))</f>
        <v>-115536.38660298198</v>
      </c>
      <c r="G17" s="3">
        <f>IF(($A17-Ft!C$2)&lt;0,Ft!C$3*((1-Ft!C$6)/(1+Ft!C$37*($A17-Ft!C$2)^2)+Ft!C$6*EXP(Ft!C$38*($A17-Ft!C$2)^2)),Ft!C$3*((1-Ft!C$7)/(1+Ft!C$39*($A17-Ft!C$2)^2)+Ft!C$7*EXP(Ft!C$40*($A17-Ft!C$2)^2)))</f>
        <v>0</v>
      </c>
      <c r="H17" s="3">
        <f>IF(($A17-Ft!D$2)&lt;0,Ft!D$3*((1-Ft!D$6)/(1+Ft!D$37*($A17-Ft!D$2)^2)+Ft!D$6*EXP(Ft!D$38*($A17-Ft!D$2)^2)),Ft!D$3*((1-Ft!D$7)/(1+Ft!D$39*($A17-Ft!D$2)^2)+Ft!D$7*EXP(Ft!D$40*($A17-Ft!D$2)^2)))</f>
        <v>91342.706637059397</v>
      </c>
      <c r="I17" s="3">
        <f>IF(($A17-Ft!E$2)&lt;0,Ft!E$3*((1-Ft!E$6)/(1+Ft!E$37*($A17-Ft!E$2)^2)+Ft!E$6*EXP(Ft!E$38*($A17-Ft!E$2)^2)),Ft!E$3*((1-Ft!E$7)/(1+Ft!E$39*($A17-Ft!E$2)^2)+Ft!E$7*EXP(Ft!E$40*($A17-Ft!E$2)^2)))</f>
        <v>18765.290438124794</v>
      </c>
      <c r="J17" s="3">
        <f>IF(($A17-Ft!F$2)&lt;0,Ft!F$3*((1-Ft!F$6)/(1+Ft!F$37*($A17-Ft!F$2)^2)+Ft!F$6*EXP(Ft!F$38*($A17-Ft!F$2)^2)),Ft!F$3*((1-Ft!F$7)/(1+Ft!F$39*($A17-Ft!F$2)^2)+Ft!F$7*EXP(Ft!F$40*($A17-Ft!F$2)^2)))</f>
        <v>147412.71456399633</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v>71</v>
      </c>
      <c r="B18">
        <v>160258.731</v>
      </c>
      <c r="C18" s="7">
        <f t="shared" si="1"/>
        <v>159988.58655758397</v>
      </c>
      <c r="D18" s="3">
        <f t="shared" si="0"/>
        <v>72978.01976826723</v>
      </c>
      <c r="E18" s="3">
        <f>Ft!$B$12+Ft!$B$14*(Data!A18-Vars!$B$3)</f>
        <v>0</v>
      </c>
      <c r="F18" s="3">
        <f>IF(($A18-Ft!B$2)&lt;0,Ft!B$3*((1-Ft!B$6)/(1+Ft!B$37*($A18-Ft!B$2)^2)+Ft!B$6*EXP(Ft!B$38*($A18-Ft!B$2)^2)),Ft!B$3*((1-Ft!B$7)/(1+Ft!B$39*($A18-Ft!B$2)^2)+Ft!B$7*EXP(Ft!B$40*($A18-Ft!B$2)^2)))</f>
        <v>-115547.31185237403</v>
      </c>
      <c r="G18" s="3">
        <f>IF(($A18-Ft!C$2)&lt;0,Ft!C$3*((1-Ft!C$6)/(1+Ft!C$37*($A18-Ft!C$2)^2)+Ft!C$6*EXP(Ft!C$38*($A18-Ft!C$2)^2)),Ft!C$3*((1-Ft!C$7)/(1+Ft!C$39*($A18-Ft!C$2)^2)+Ft!C$7*EXP(Ft!C$40*($A18-Ft!C$2)^2)))</f>
        <v>0</v>
      </c>
      <c r="H18" s="3">
        <f>IF(($A18-Ft!D$2)&lt;0,Ft!D$3*((1-Ft!D$6)/(1+Ft!D$37*($A18-Ft!D$2)^2)+Ft!D$6*EXP(Ft!D$38*($A18-Ft!D$2)^2)),Ft!D$3*((1-Ft!D$7)/(1+Ft!D$39*($A18-Ft!D$2)^2)+Ft!D$7*EXP(Ft!D$40*($A18-Ft!D$2)^2)))</f>
        <v>107554.71419163045</v>
      </c>
      <c r="I18" s="3">
        <f>IF(($A18-Ft!E$2)&lt;0,Ft!E$3*((1-Ft!E$6)/(1+Ft!E$37*($A18-Ft!E$2)^2)+Ft!E$6*EXP(Ft!E$38*($A18-Ft!E$2)^2)),Ft!E$3*((1-Ft!E$7)/(1+Ft!E$39*($A18-Ft!E$2)^2)+Ft!E$7*EXP(Ft!E$40*($A18-Ft!E$2)^2)))</f>
        <v>14513.348237195036</v>
      </c>
      <c r="J18" s="3">
        <f>IF(($A18-Ft!F$2)&lt;0,Ft!F$3*((1-Ft!F$6)/(1+Ft!F$37*($A18-Ft!F$2)^2)+Ft!F$6*EXP(Ft!F$38*($A18-Ft!F$2)^2)),Ft!F$3*((1-Ft!F$7)/(1+Ft!F$39*($A18-Ft!F$2)^2)+Ft!F$7*EXP(Ft!F$40*($A18-Ft!F$2)^2)))</f>
        <v>153467.83598113252</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v>82</v>
      </c>
      <c r="B19">
        <v>184793.5</v>
      </c>
      <c r="C19" s="7">
        <f t="shared" si="1"/>
        <v>184836.44344928834</v>
      </c>
      <c r="D19" s="3">
        <f t="shared" si="0"/>
        <v>1844.1398367806337</v>
      </c>
      <c r="E19" s="3">
        <f>Ft!$B$12+Ft!$B$14*(Data!A19-Vars!$B$3)</f>
        <v>0</v>
      </c>
      <c r="F19" s="3">
        <f>IF(($A19-Ft!B$2)&lt;0,Ft!B$3*((1-Ft!B$6)/(1+Ft!B$37*($A19-Ft!B$2)^2)+Ft!B$6*EXP(Ft!B$38*($A19-Ft!B$2)^2)),Ft!B$3*((1-Ft!B$7)/(1+Ft!B$39*($A19-Ft!B$2)^2)+Ft!B$7*EXP(Ft!B$40*($A19-Ft!B$2)^2)))</f>
        <v>-115562.27993499655</v>
      </c>
      <c r="G19" s="3">
        <f>IF(($A19-Ft!C$2)&lt;0,Ft!C$3*((1-Ft!C$6)/(1+Ft!C$37*($A19-Ft!C$2)^2)+Ft!C$6*EXP(Ft!C$38*($A19-Ft!C$2)^2)),Ft!C$3*((1-Ft!C$7)/(1+Ft!C$39*($A19-Ft!C$2)^2)+Ft!C$7*EXP(Ft!C$40*($A19-Ft!C$2)^2)))</f>
        <v>0</v>
      </c>
      <c r="H19" s="3">
        <f>IF(($A19-Ft!D$2)&lt;0,Ft!D$3*((1-Ft!D$6)/(1+Ft!D$37*($A19-Ft!D$2)^2)+Ft!D$6*EXP(Ft!D$38*($A19-Ft!D$2)^2)),Ft!D$3*((1-Ft!D$7)/(1+Ft!D$39*($A19-Ft!D$2)^2)+Ft!D$7*EXP(Ft!D$40*($A19-Ft!D$2)^2)))</f>
        <v>132999.60443791383</v>
      </c>
      <c r="I19" s="3">
        <f>IF(($A19-Ft!E$2)&lt;0,Ft!E$3*((1-Ft!E$6)/(1+Ft!E$37*($A19-Ft!E$2)^2)+Ft!E$6*EXP(Ft!E$38*($A19-Ft!E$2)^2)),Ft!E$3*((1-Ft!E$7)/(1+Ft!E$39*($A19-Ft!E$2)^2)+Ft!E$7*EXP(Ft!E$40*($A19-Ft!E$2)^2)))</f>
        <v>9571.0831233011668</v>
      </c>
      <c r="J19" s="3">
        <f>IF(($A19-Ft!F$2)&lt;0,Ft!F$3*((1-Ft!F$6)/(1+Ft!F$37*($A19-Ft!F$2)^2)+Ft!F$6*EXP(Ft!F$38*($A19-Ft!F$2)^2)),Ft!F$3*((1-Ft!F$7)/(1+Ft!F$39*($A19-Ft!F$2)^2)+Ft!F$7*EXP(Ft!F$40*($A19-Ft!F$2)^2)))</f>
        <v>157828.03582306989</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v>90</v>
      </c>
      <c r="B20">
        <v>202882.196</v>
      </c>
      <c r="C20" s="7">
        <f t="shared" si="1"/>
        <v>202914.50178706631</v>
      </c>
      <c r="D20" s="3">
        <f t="shared" si="0"/>
        <v>1043.6638779742705</v>
      </c>
      <c r="E20" s="3">
        <f>Ft!$B$12+Ft!$B$14*(Data!A20-Vars!$B$3)</f>
        <v>0</v>
      </c>
      <c r="F20" s="3">
        <f>IF(($A20-Ft!B$2)&lt;0,Ft!B$3*((1-Ft!B$6)/(1+Ft!B$37*($A20-Ft!B$2)^2)+Ft!B$6*EXP(Ft!B$38*($A20-Ft!B$2)^2)),Ft!B$3*((1-Ft!B$7)/(1+Ft!B$39*($A20-Ft!B$2)^2)+Ft!B$7*EXP(Ft!B$40*($A20-Ft!B$2)^2)))</f>
        <v>-115573.12642936841</v>
      </c>
      <c r="G20" s="3">
        <f>IF(($A20-Ft!C$2)&lt;0,Ft!C$3*((1-Ft!C$6)/(1+Ft!C$37*($A20-Ft!C$2)^2)+Ft!C$6*EXP(Ft!C$38*($A20-Ft!C$2)^2)),Ft!C$3*((1-Ft!C$7)/(1+Ft!C$39*($A20-Ft!C$2)^2)+Ft!C$7*EXP(Ft!C$40*($A20-Ft!C$2)^2)))</f>
        <v>0</v>
      </c>
      <c r="H20" s="3">
        <f>IF(($A20-Ft!D$2)&lt;0,Ft!D$3*((1-Ft!D$6)/(1+Ft!D$37*($A20-Ft!D$2)^2)+Ft!D$6*EXP(Ft!D$38*($A20-Ft!D$2)^2)),Ft!D$3*((1-Ft!D$7)/(1+Ft!D$39*($A20-Ft!D$2)^2)+Ft!D$7*EXP(Ft!D$40*($A20-Ft!D$2)^2)))</f>
        <v>153827.59997257803</v>
      </c>
      <c r="I20" s="3">
        <f>IF(($A20-Ft!E$2)&lt;0,Ft!E$3*((1-Ft!E$6)/(1+Ft!E$37*($A20-Ft!E$2)^2)+Ft!E$6*EXP(Ft!E$38*($A20-Ft!E$2)^2)),Ft!E$3*((1-Ft!E$7)/(1+Ft!E$39*($A20-Ft!E$2)^2)+Ft!E$7*EXP(Ft!E$40*($A20-Ft!E$2)^2)))</f>
        <v>6753.9439044956098</v>
      </c>
      <c r="J20" s="3">
        <f>IF(($A20-Ft!F$2)&lt;0,Ft!F$3*((1-Ft!F$6)/(1+Ft!F$37*($A20-Ft!F$2)^2)+Ft!F$6*EXP(Ft!F$38*($A20-Ft!F$2)^2)),Ft!F$3*((1-Ft!F$7)/(1+Ft!F$39*($A20-Ft!F$2)^2)+Ft!F$7*EXP(Ft!F$40*($A20-Ft!F$2)^2)))</f>
        <v>157906.08433936108</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v>101</v>
      </c>
      <c r="B21">
        <v>227357.02</v>
      </c>
      <c r="C21" s="7">
        <f t="shared" si="1"/>
        <v>227687.34681996127</v>
      </c>
      <c r="D21" s="3">
        <f t="shared" si="0"/>
        <v>109115.80798573149</v>
      </c>
      <c r="E21" s="3">
        <f>Ft!$B$12+Ft!$B$14*(Data!A21-Vars!$B$3)</f>
        <v>0</v>
      </c>
      <c r="F21" s="3">
        <f>IF(($A21-Ft!B$2)&lt;0,Ft!B$3*((1-Ft!B$6)/(1+Ft!B$37*($A21-Ft!B$2)^2)+Ft!B$6*EXP(Ft!B$38*($A21-Ft!B$2)^2)),Ft!B$3*((1-Ft!B$7)/(1+Ft!B$39*($A21-Ft!B$2)^2)+Ft!B$7*EXP(Ft!B$40*($A21-Ft!B$2)^2)))</f>
        <v>-115587.98618681582</v>
      </c>
      <c r="G21" s="3">
        <f>IF(($A21-Ft!C$2)&lt;0,Ft!C$3*((1-Ft!C$6)/(1+Ft!C$37*($A21-Ft!C$2)^2)+Ft!C$6*EXP(Ft!C$38*($A21-Ft!C$2)^2)),Ft!C$3*((1-Ft!C$7)/(1+Ft!C$39*($A21-Ft!C$2)^2)+Ft!C$7*EXP(Ft!C$40*($A21-Ft!C$2)^2)))</f>
        <v>0</v>
      </c>
      <c r="H21" s="3">
        <f>IF(($A21-Ft!D$2)&lt;0,Ft!D$3*((1-Ft!D$6)/(1+Ft!D$37*($A21-Ft!D$2)^2)+Ft!D$6*EXP(Ft!D$38*($A21-Ft!D$2)^2)),Ft!D$3*((1-Ft!D$7)/(1+Ft!D$39*($A21-Ft!D$2)^2)+Ft!D$7*EXP(Ft!D$40*($A21-Ft!D$2)^2)))</f>
        <v>185596.221978071</v>
      </c>
      <c r="I21" s="3">
        <f>IF(($A21-Ft!E$2)&lt;0,Ft!E$3*((1-Ft!E$6)/(1+Ft!E$37*($A21-Ft!E$2)^2)+Ft!E$6*EXP(Ft!E$38*($A21-Ft!E$2)^2)),Ft!E$3*((1-Ft!E$7)/(1+Ft!E$39*($A21-Ft!E$2)^2)+Ft!E$7*EXP(Ft!E$40*($A21-Ft!E$2)^2)))</f>
        <v>3926.4852517035865</v>
      </c>
      <c r="J21" s="3">
        <f>IF(($A21-Ft!F$2)&lt;0,Ft!F$3*((1-Ft!F$6)/(1+Ft!F$37*($A21-Ft!F$2)^2)+Ft!F$6*EXP(Ft!F$38*($A21-Ft!F$2)^2)),Ft!F$3*((1-Ft!F$7)/(1+Ft!F$39*($A21-Ft!F$2)^2)+Ft!F$7*EXP(Ft!F$40*($A21-Ft!F$2)^2)))</f>
        <v>153752.62577700251</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v>113</v>
      </c>
      <c r="B22">
        <v>254582.378</v>
      </c>
      <c r="C22" s="7">
        <f t="shared" si="1"/>
        <v>254555.88808211399</v>
      </c>
      <c r="D22" s="3">
        <f t="shared" si="0"/>
        <v>701.71574960738712</v>
      </c>
      <c r="E22" s="3">
        <f>Ft!$B$12+Ft!$B$14*(Data!A22-Vars!$B$3)</f>
        <v>0</v>
      </c>
      <c r="F22" s="3">
        <f>IF(($A22-Ft!B$2)&lt;0,Ft!B$3*((1-Ft!B$6)/(1+Ft!B$37*($A22-Ft!B$2)^2)+Ft!B$6*EXP(Ft!B$38*($A22-Ft!B$2)^2)),Ft!B$3*((1-Ft!B$7)/(1+Ft!B$39*($A22-Ft!B$2)^2)+Ft!B$7*EXP(Ft!B$40*($A22-Ft!B$2)^2)))</f>
        <v>-115604.12526630524</v>
      </c>
      <c r="G22" s="3">
        <f>IF(($A22-Ft!C$2)&lt;0,Ft!C$3*((1-Ft!C$6)/(1+Ft!C$37*($A22-Ft!C$2)^2)+Ft!C$6*EXP(Ft!C$38*($A22-Ft!C$2)^2)),Ft!C$3*((1-Ft!C$7)/(1+Ft!C$39*($A22-Ft!C$2)^2)+Ft!C$7*EXP(Ft!C$40*($A22-Ft!C$2)^2)))</f>
        <v>0</v>
      </c>
      <c r="H22" s="3">
        <f>IF(($A22-Ft!D$2)&lt;0,Ft!D$3*((1-Ft!D$6)/(1+Ft!D$37*($A22-Ft!D$2)^2)+Ft!D$6*EXP(Ft!D$38*($A22-Ft!D$2)^2)),Ft!D$3*((1-Ft!D$7)/(1+Ft!D$39*($A22-Ft!D$2)^2)+Ft!D$7*EXP(Ft!D$40*($A22-Ft!D$2)^2)))</f>
        <v>224109.57432285234</v>
      </c>
      <c r="I22" s="3">
        <f>IF(($A22-Ft!E$2)&lt;0,Ft!E$3*((1-Ft!E$6)/(1+Ft!E$37*($A22-Ft!E$2)^2)+Ft!E$6*EXP(Ft!E$38*($A22-Ft!E$2)^2)),Ft!E$3*((1-Ft!E$7)/(1+Ft!E$39*($A22-Ft!E$2)^2)+Ft!E$7*EXP(Ft!E$40*($A22-Ft!E$2)^2)))</f>
        <v>1999.3454325670252</v>
      </c>
      <c r="J22" s="3">
        <f>IF(($A22-Ft!F$2)&lt;0,Ft!F$3*((1-Ft!F$6)/(1+Ft!F$37*($A22-Ft!F$2)^2)+Ft!F$6*EXP(Ft!F$38*($A22-Ft!F$2)^2)),Ft!F$3*((1-Ft!F$7)/(1+Ft!F$39*($A22-Ft!F$2)^2)+Ft!F$7*EXP(Ft!F$40*($A22-Ft!F$2)^2)))</f>
        <v>144051.09359299988</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v>128</v>
      </c>
      <c r="B23">
        <v>288191.467</v>
      </c>
      <c r="C23" s="7">
        <f t="shared" si="1"/>
        <v>288061.26586569782</v>
      </c>
      <c r="D23" s="3">
        <f t="shared" si="0"/>
        <v>16952.335373576323</v>
      </c>
      <c r="E23" s="3">
        <f>Ft!$B$12+Ft!$B$14*(Data!A23-Vars!$B$3)</f>
        <v>0</v>
      </c>
      <c r="F23" s="3">
        <f>IF(($A23-Ft!B$2)&lt;0,Ft!B$3*((1-Ft!B$6)/(1+Ft!B$37*($A23-Ft!B$2)^2)+Ft!B$6*EXP(Ft!B$38*($A23-Ft!B$2)^2)),Ft!B$3*((1-Ft!B$7)/(1+Ft!B$39*($A23-Ft!B$2)^2)+Ft!B$7*EXP(Ft!B$40*($A23-Ft!B$2)^2)))</f>
        <v>-115624.1940544564</v>
      </c>
      <c r="G23" s="3">
        <f>IF(($A23-Ft!C$2)&lt;0,Ft!C$3*((1-Ft!C$6)/(1+Ft!C$37*($A23-Ft!C$2)^2)+Ft!C$6*EXP(Ft!C$38*($A23-Ft!C$2)^2)),Ft!C$3*((1-Ft!C$7)/(1+Ft!C$39*($A23-Ft!C$2)^2)+Ft!C$7*EXP(Ft!C$40*($A23-Ft!C$2)^2)))</f>
        <v>0</v>
      </c>
      <c r="H23" s="3">
        <f>IF(($A23-Ft!D$2)&lt;0,Ft!D$3*((1-Ft!D$6)/(1+Ft!D$37*($A23-Ft!D$2)^2)+Ft!D$6*EXP(Ft!D$38*($A23-Ft!D$2)^2)),Ft!D$3*((1-Ft!D$7)/(1+Ft!D$39*($A23-Ft!D$2)^2)+Ft!D$7*EXP(Ft!D$40*($A23-Ft!D$2)^2)))</f>
        <v>276994.29151881428</v>
      </c>
      <c r="I23" s="3">
        <f>IF(($A23-Ft!E$2)&lt;0,Ft!E$3*((1-Ft!E$6)/(1+Ft!E$37*($A23-Ft!E$2)^2)+Ft!E$6*EXP(Ft!E$38*($A23-Ft!E$2)^2)),Ft!E$3*((1-Ft!E$7)/(1+Ft!E$39*($A23-Ft!E$2)^2)+Ft!E$7*EXP(Ft!E$40*($A23-Ft!E$2)^2)))</f>
        <v>761.11165242017569</v>
      </c>
      <c r="J23" s="3">
        <f>IF(($A23-Ft!F$2)&lt;0,Ft!F$3*((1-Ft!F$6)/(1+Ft!F$37*($A23-Ft!F$2)^2)+Ft!F$6*EXP(Ft!F$38*($A23-Ft!F$2)^2)),Ft!F$3*((1-Ft!F$7)/(1+Ft!F$39*($A23-Ft!F$2)^2)+Ft!F$7*EXP(Ft!F$40*($A23-Ft!F$2)^2)))</f>
        <v>125930.05674891979</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v>140</v>
      </c>
      <c r="B24">
        <v>315294.538</v>
      </c>
      <c r="C24" s="7">
        <f t="shared" si="1"/>
        <v>315031.01419286081</v>
      </c>
      <c r="D24" s="3">
        <f t="shared" si="0"/>
        <v>69444.796929135176</v>
      </c>
      <c r="E24" s="3">
        <f>Ft!$B$12+Ft!$B$14*(Data!A24-Vars!$B$3)</f>
        <v>0</v>
      </c>
      <c r="F24" s="3">
        <f>IF(($A24-Ft!B$2)&lt;0,Ft!B$3*((1-Ft!B$6)/(1+Ft!B$37*($A24-Ft!B$2)^2)+Ft!B$6*EXP(Ft!B$38*($A24-Ft!B$2)^2)),Ft!B$3*((1-Ft!B$7)/(1+Ft!B$39*($A24-Ft!B$2)^2)+Ft!B$7*EXP(Ft!B$40*($A24-Ft!B$2)^2)))</f>
        <v>-115640.16499731252</v>
      </c>
      <c r="G24" s="3">
        <f>IF(($A24-Ft!C$2)&lt;0,Ft!C$3*((1-Ft!C$6)/(1+Ft!C$37*($A24-Ft!C$2)^2)+Ft!C$6*EXP(Ft!C$38*($A24-Ft!C$2)^2)),Ft!C$3*((1-Ft!C$7)/(1+Ft!C$39*($A24-Ft!C$2)^2)+Ft!C$7*EXP(Ft!C$40*($A24-Ft!C$2)^2)))</f>
        <v>0</v>
      </c>
      <c r="H24" s="3">
        <f>IF(($A24-Ft!D$2)&lt;0,Ft!D$3*((1-Ft!D$6)/(1+Ft!D$37*($A24-Ft!D$2)^2)+Ft!D$6*EXP(Ft!D$38*($A24-Ft!D$2)^2)),Ft!D$3*((1-Ft!D$7)/(1+Ft!D$39*($A24-Ft!D$2)^2)+Ft!D$7*EXP(Ft!D$40*($A24-Ft!D$2)^2)))</f>
        <v>321955.75519543519</v>
      </c>
      <c r="I24" s="3">
        <f>IF(($A24-Ft!E$2)&lt;0,Ft!E$3*((1-Ft!E$6)/(1+Ft!E$37*($A24-Ft!E$2)^2)+Ft!E$6*EXP(Ft!E$38*($A24-Ft!E$2)^2)),Ft!E$3*((1-Ft!E$7)/(1+Ft!E$39*($A24-Ft!E$2)^2)+Ft!E$7*EXP(Ft!E$40*($A24-Ft!E$2)^2)))</f>
        <v>318.75819890071574</v>
      </c>
      <c r="J24" s="3">
        <f>IF(($A24-Ft!F$2)&lt;0,Ft!F$3*((1-Ft!F$6)/(1+Ft!F$37*($A24-Ft!F$2)^2)+Ft!F$6*EXP(Ft!F$38*($A24-Ft!F$2)^2)),Ft!F$3*((1-Ft!F$7)/(1+Ft!F$39*($A24-Ft!F$2)^2)+Ft!F$7*EXP(Ft!F$40*($A24-Ft!F$2)^2)))</f>
        <v>108396.66579583741</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v>151</v>
      </c>
      <c r="B25">
        <v>339932.41100000002</v>
      </c>
      <c r="C25" s="7">
        <f t="shared" si="1"/>
        <v>339971.67051315261</v>
      </c>
      <c r="D25" s="3">
        <f t="shared" si="0"/>
        <v>1541.3093729782793</v>
      </c>
      <c r="E25" s="3">
        <f>Ft!$B$12+Ft!$B$14*(Data!A25-Vars!$B$3)</f>
        <v>0</v>
      </c>
      <c r="F25" s="3">
        <f>IF(($A25-Ft!B$2)&lt;0,Ft!B$3*((1-Ft!B$6)/(1+Ft!B$37*($A25-Ft!B$2)^2)+Ft!B$6*EXP(Ft!B$38*($A25-Ft!B$2)^2)),Ft!B$3*((1-Ft!B$7)/(1+Ft!B$39*($A25-Ft!B$2)^2)+Ft!B$7*EXP(Ft!B$40*($A25-Ft!B$2)^2)))</f>
        <v>-115654.73933791525</v>
      </c>
      <c r="G25" s="3">
        <f>IF(($A25-Ft!C$2)&lt;0,Ft!C$3*((1-Ft!C$6)/(1+Ft!C$37*($A25-Ft!C$2)^2)+Ft!C$6*EXP(Ft!C$38*($A25-Ft!C$2)^2)),Ft!C$3*((1-Ft!C$7)/(1+Ft!C$39*($A25-Ft!C$2)^2)+Ft!C$7*EXP(Ft!C$40*($A25-Ft!C$2)^2)))</f>
        <v>0</v>
      </c>
      <c r="H25" s="3">
        <f>IF(($A25-Ft!D$2)&lt;0,Ft!D$3*((1-Ft!D$6)/(1+Ft!D$37*($A25-Ft!D$2)^2)+Ft!D$6*EXP(Ft!D$38*($A25-Ft!D$2)^2)),Ft!D$3*((1-Ft!D$7)/(1+Ft!D$39*($A25-Ft!D$2)^2)+Ft!D$7*EXP(Ft!D$40*($A25-Ft!D$2)^2)))</f>
        <v>364090.98379326181</v>
      </c>
      <c r="I25" s="3">
        <f>IF(($A25-Ft!E$2)&lt;0,Ft!E$3*((1-Ft!E$6)/(1+Ft!E$37*($A25-Ft!E$2)^2)+Ft!E$6*EXP(Ft!E$38*($A25-Ft!E$2)^2)),Ft!E$3*((1-Ft!E$7)/(1+Ft!E$39*($A25-Ft!E$2)^2)+Ft!E$7*EXP(Ft!E$40*($A25-Ft!E$2)^2)))</f>
        <v>132.99550487718091</v>
      </c>
      <c r="J25" s="3">
        <f>IF(($A25-Ft!F$2)&lt;0,Ft!F$3*((1-Ft!F$6)/(1+Ft!F$37*($A25-Ft!F$2)^2)+Ft!F$6*EXP(Ft!F$38*($A25-Ft!F$2)^2)),Ft!F$3*((1-Ft!F$7)/(1+Ft!F$39*($A25-Ft!F$2)^2)+Ft!F$7*EXP(Ft!F$40*($A25-Ft!F$2)^2)))</f>
        <v>91402.430552928869</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v>166</v>
      </c>
      <c r="B26">
        <v>373601.44400000002</v>
      </c>
      <c r="C26" s="7">
        <f t="shared" si="1"/>
        <v>373998.40295078803</v>
      </c>
      <c r="D26" s="3">
        <f t="shared" si="0"/>
        <v>157576.40861072211</v>
      </c>
      <c r="E26" s="3">
        <f>Ft!$B$12+Ft!$B$14*(Data!A26-Vars!$B$3)</f>
        <v>0</v>
      </c>
      <c r="F26" s="3">
        <f>IF(($A26-Ft!B$2)&lt;0,Ft!B$3*((1-Ft!B$6)/(1+Ft!B$37*($A26-Ft!B$2)^2)+Ft!B$6*EXP(Ft!B$38*($A26-Ft!B$2)^2)),Ft!B$3*((1-Ft!B$7)/(1+Ft!B$39*($A26-Ft!B$2)^2)+Ft!B$7*EXP(Ft!B$40*($A26-Ft!B$2)^2)))</f>
        <v>-115674.51213199476</v>
      </c>
      <c r="G26" s="3">
        <f>IF(($A26-Ft!C$2)&lt;0,Ft!C$3*((1-Ft!C$6)/(1+Ft!C$37*($A26-Ft!C$2)^2)+Ft!C$6*EXP(Ft!C$38*($A26-Ft!C$2)^2)),Ft!C$3*((1-Ft!C$7)/(1+Ft!C$39*($A26-Ft!C$2)^2)+Ft!C$7*EXP(Ft!C$40*($A26-Ft!C$2)^2)))</f>
        <v>0</v>
      </c>
      <c r="H26" s="3">
        <f>IF(($A26-Ft!D$2)&lt;0,Ft!D$3*((1-Ft!D$6)/(1+Ft!D$37*($A26-Ft!D$2)^2)+Ft!D$6*EXP(Ft!D$38*($A26-Ft!D$2)^2)),Ft!D$3*((1-Ft!D$7)/(1+Ft!D$39*($A26-Ft!D$2)^2)+Ft!D$7*EXP(Ft!D$40*($A26-Ft!D$2)^2)))</f>
        <v>420800.85172441305</v>
      </c>
      <c r="I26" s="3">
        <f>IF(($A26-Ft!E$2)&lt;0,Ft!E$3*((1-Ft!E$6)/(1+Ft!E$37*($A26-Ft!E$2)^2)+Ft!E$6*EXP(Ft!E$38*($A26-Ft!E$2)^2)),Ft!E$3*((1-Ft!E$7)/(1+Ft!E$39*($A26-Ft!E$2)^2)+Ft!E$7*EXP(Ft!E$40*($A26-Ft!E$2)^2)))</f>
        <v>35.899436592389122</v>
      </c>
      <c r="J26" s="3">
        <f>IF(($A26-Ft!F$2)&lt;0,Ft!F$3*((1-Ft!F$6)/(1+Ft!F$37*($A26-Ft!F$2)^2)+Ft!F$6*EXP(Ft!F$38*($A26-Ft!F$2)^2)),Ft!F$3*((1-Ft!F$7)/(1+Ft!F$39*($A26-Ft!F$2)^2)+Ft!F$7*EXP(Ft!F$40*($A26-Ft!F$2)^2)))</f>
        <v>68836.163921777363</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v>177</v>
      </c>
      <c r="B27">
        <v>398154.99099999998</v>
      </c>
      <c r="C27" s="7">
        <f t="shared" si="1"/>
        <v>398299.87799783231</v>
      </c>
      <c r="D27" s="3">
        <f t="shared" si="0"/>
        <v>20992.242140866932</v>
      </c>
      <c r="E27" s="3">
        <f>Ft!$B$12+Ft!$B$14*(Data!A27-Vars!$B$3)</f>
        <v>0</v>
      </c>
      <c r="F27" s="3">
        <f>IF(($A27-Ft!B$2)&lt;0,Ft!B$3*((1-Ft!B$6)/(1+Ft!B$37*($A27-Ft!B$2)^2)+Ft!B$6*EXP(Ft!B$38*($A27-Ft!B$2)^2)),Ft!B$3*((1-Ft!B$7)/(1+Ft!B$39*($A27-Ft!B$2)^2)+Ft!B$7*EXP(Ft!B$40*($A27-Ft!B$2)^2)))</f>
        <v>-115688.93785743775</v>
      </c>
      <c r="G27" s="3">
        <f>IF(($A27-Ft!C$2)&lt;0,Ft!C$3*((1-Ft!C$6)/(1+Ft!C$37*($A27-Ft!C$2)^2)+Ft!C$6*EXP(Ft!C$38*($A27-Ft!C$2)^2)),Ft!C$3*((1-Ft!C$7)/(1+Ft!C$39*($A27-Ft!C$2)^2)+Ft!C$7*EXP(Ft!C$40*($A27-Ft!C$2)^2)))</f>
        <v>0</v>
      </c>
      <c r="H27" s="3">
        <f>IF(($A27-Ft!D$2)&lt;0,Ft!D$3*((1-Ft!D$6)/(1+Ft!D$37*($A27-Ft!D$2)^2)+Ft!D$6*EXP(Ft!D$38*($A27-Ft!D$2)^2)),Ft!D$3*((1-Ft!D$7)/(1+Ft!D$39*($A27-Ft!D$2)^2)+Ft!D$7*EXP(Ft!D$40*($A27-Ft!D$2)^2)))</f>
        <v>460116.01648347324</v>
      </c>
      <c r="I27" s="3">
        <f>IF(($A27-Ft!E$2)&lt;0,Ft!E$3*((1-Ft!E$6)/(1+Ft!E$37*($A27-Ft!E$2)^2)+Ft!E$6*EXP(Ft!E$38*($A27-Ft!E$2)^2)),Ft!E$3*((1-Ft!E$7)/(1+Ft!E$39*($A27-Ft!E$2)^2)+Ft!E$7*EXP(Ft!E$40*($A27-Ft!E$2)^2)))</f>
        <v>12.605101614274345</v>
      </c>
      <c r="J27" s="3">
        <f>IF(($A27-Ft!F$2)&lt;0,Ft!F$3*((1-Ft!F$6)/(1+Ft!F$37*($A27-Ft!F$2)^2)+Ft!F$6*EXP(Ft!F$38*($A27-Ft!F$2)^2)),Ft!F$3*((1-Ft!F$7)/(1+Ft!F$39*($A27-Ft!F$2)^2)+Ft!F$7*EXP(Ft!F$40*($A27-Ft!F$2)^2)))</f>
        <v>53860.19427018259</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v>181</v>
      </c>
      <c r="B28">
        <v>407184.158</v>
      </c>
      <c r="C28" s="7">
        <f t="shared" si="1"/>
        <v>406822.44021892408</v>
      </c>
      <c r="D28" s="3">
        <f t="shared" si="0"/>
        <v>130839.75314648481</v>
      </c>
      <c r="E28" s="3">
        <f>Ft!$B$12+Ft!$B$14*(Data!A28-Vars!$B$3)</f>
        <v>0</v>
      </c>
      <c r="F28" s="3">
        <f>IF(($A28-Ft!B$2)&lt;0,Ft!B$3*((1-Ft!B$6)/(1+Ft!B$37*($A28-Ft!B$2)^2)+Ft!B$6*EXP(Ft!B$38*($A28-Ft!B$2)^2)),Ft!B$3*((1-Ft!B$7)/(1+Ft!B$39*($A28-Ft!B$2)^2)+Ft!B$7*EXP(Ft!B$40*($A28-Ft!B$2)^2)))</f>
        <v>-115694.16797801675</v>
      </c>
      <c r="G28" s="3">
        <f>IF(($A28-Ft!C$2)&lt;0,Ft!C$3*((1-Ft!C$6)/(1+Ft!C$37*($A28-Ft!C$2)^2)+Ft!C$6*EXP(Ft!C$38*($A28-Ft!C$2)^2)),Ft!C$3*((1-Ft!C$7)/(1+Ft!C$39*($A28-Ft!C$2)^2)+Ft!C$7*EXP(Ft!C$40*($A28-Ft!C$2)^2)))</f>
        <v>0</v>
      </c>
      <c r="H28" s="3">
        <f>IF(($A28-Ft!D$2)&lt;0,Ft!D$3*((1-Ft!D$6)/(1+Ft!D$37*($A28-Ft!D$2)^2)+Ft!D$6*EXP(Ft!D$38*($A28-Ft!D$2)^2)),Ft!D$3*((1-Ft!D$7)/(1+Ft!D$39*($A28-Ft!D$2)^2)+Ft!D$7*EXP(Ft!D$40*($A28-Ft!D$2)^2)))</f>
        <v>473629.99126423907</v>
      </c>
      <c r="I28" s="3">
        <f>IF(($A28-Ft!E$2)&lt;0,Ft!E$3*((1-Ft!E$6)/(1+Ft!E$37*($A28-Ft!E$2)^2)+Ft!E$6*EXP(Ft!E$38*($A28-Ft!E$2)^2)),Ft!E$3*((1-Ft!E$7)/(1+Ft!E$39*($A28-Ft!E$2)^2)+Ft!E$7*EXP(Ft!E$40*($A28-Ft!E$2)^2)))</f>
        <v>8.4605812054835177</v>
      </c>
      <c r="J28" s="3">
        <f>IF(($A28-Ft!F$2)&lt;0,Ft!F$3*((1-Ft!F$6)/(1+Ft!F$37*($A28-Ft!F$2)^2)+Ft!F$6*EXP(Ft!F$38*($A28-Ft!F$2)^2)),Ft!F$3*((1-Ft!F$7)/(1+Ft!F$39*($A28-Ft!F$2)^2)+Ft!F$7*EXP(Ft!F$40*($A28-Ft!F$2)^2)))</f>
        <v>48878.156351496276</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P29"/>
      <c r="Q29"/>
    </row>
    <row r="30" spans="1:17">
      <c r="P30"/>
      <c r="Q30"/>
    </row>
    <row r="31" spans="1:17">
      <c r="P31"/>
      <c r="Q31"/>
    </row>
    <row r="32" spans="1: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row r="193" spans="16:17">
      <c r="P193"/>
      <c r="Q193"/>
    </row>
    <row r="194" spans="16:17">
      <c r="P194"/>
      <c r="Q194"/>
    </row>
    <row r="195" spans="16:17">
      <c r="P195"/>
      <c r="Q195"/>
    </row>
    <row r="196" spans="16:17">
      <c r="P196"/>
      <c r="Q196"/>
    </row>
    <row r="197" spans="16:17">
      <c r="P197"/>
      <c r="Q197"/>
    </row>
    <row r="198" spans="16:17">
      <c r="P198"/>
      <c r="Q198"/>
    </row>
    <row r="199" spans="16:17">
      <c r="P199"/>
      <c r="Q199"/>
    </row>
    <row r="200" spans="16:17">
      <c r="P200"/>
      <c r="Q200"/>
    </row>
    <row r="201" spans="16:17">
      <c r="P201"/>
      <c r="Q201"/>
    </row>
    <row r="202" spans="16:17">
      <c r="P202"/>
      <c r="Q202"/>
    </row>
    <row r="203" spans="16:17">
      <c r="P203"/>
      <c r="Q203"/>
    </row>
    <row r="204" spans="16:17">
      <c r="P204"/>
      <c r="Q204"/>
    </row>
    <row r="205" spans="16:17">
      <c r="P205"/>
      <c r="Q205"/>
    </row>
    <row r="206" spans="16:17">
      <c r="P206"/>
      <c r="Q206"/>
    </row>
    <row r="207" spans="16:17">
      <c r="P207"/>
      <c r="Q207"/>
    </row>
    <row r="208" spans="16:17">
      <c r="P208"/>
      <c r="Q208"/>
    </row>
    <row r="209" spans="16:17">
      <c r="P209"/>
      <c r="Q209"/>
    </row>
    <row r="210" spans="16:17">
      <c r="P210"/>
      <c r="Q210"/>
    </row>
    <row r="211" spans="16:17">
      <c r="P211"/>
      <c r="Q211"/>
    </row>
    <row r="212" spans="16:17">
      <c r="P212"/>
      <c r="Q212"/>
    </row>
    <row r="213" spans="16:17">
      <c r="P213"/>
      <c r="Q213"/>
    </row>
    <row r="214" spans="16:17">
      <c r="P214"/>
      <c r="Q214"/>
    </row>
    <row r="215" spans="16:17">
      <c r="P215"/>
      <c r="Q215"/>
    </row>
    <row r="216" spans="16:17">
      <c r="P216"/>
      <c r="Q216"/>
    </row>
    <row r="217" spans="16:17">
      <c r="P217"/>
      <c r="Q217"/>
    </row>
    <row r="218" spans="16:17">
      <c r="P218"/>
      <c r="Q218"/>
    </row>
    <row r="219" spans="16:17">
      <c r="P219"/>
      <c r="Q219"/>
    </row>
    <row r="220" spans="16:17">
      <c r="P220"/>
      <c r="Q220"/>
    </row>
    <row r="221" spans="16:17">
      <c r="P221"/>
      <c r="Q221"/>
    </row>
    <row r="222" spans="16:17">
      <c r="P222"/>
      <c r="Q222"/>
    </row>
    <row r="223" spans="16:17">
      <c r="P223"/>
      <c r="Q223"/>
    </row>
    <row r="224" spans="16:17">
      <c r="P224"/>
      <c r="Q224"/>
    </row>
    <row r="225" spans="16:17">
      <c r="P225"/>
      <c r="Q225"/>
    </row>
    <row r="226" spans="16:17">
      <c r="P226"/>
      <c r="Q226"/>
    </row>
    <row r="227" spans="16:17">
      <c r="P227"/>
      <c r="Q227"/>
    </row>
    <row r="228" spans="16:17">
      <c r="P228"/>
      <c r="Q228"/>
    </row>
    <row r="229" spans="16:17">
      <c r="P229"/>
      <c r="Q229"/>
    </row>
    <row r="230" spans="16:17">
      <c r="P230"/>
      <c r="Q230"/>
    </row>
    <row r="231" spans="16:17">
      <c r="P231"/>
      <c r="Q231"/>
    </row>
    <row r="232" spans="16:17">
      <c r="P232"/>
      <c r="Q232"/>
    </row>
    <row r="233" spans="16:17">
      <c r="P233"/>
      <c r="Q233"/>
    </row>
    <row r="234" spans="16:17">
      <c r="P234"/>
      <c r="Q234"/>
    </row>
    <row r="235" spans="16:17">
      <c r="P235"/>
      <c r="Q235"/>
    </row>
    <row r="236" spans="16:17">
      <c r="P236"/>
      <c r="Q236"/>
    </row>
    <row r="237" spans="16:17">
      <c r="P237"/>
      <c r="Q237"/>
    </row>
    <row r="238" spans="16:17">
      <c r="P238"/>
      <c r="Q238"/>
    </row>
    <row r="239" spans="16:17">
      <c r="P239"/>
      <c r="Q239"/>
    </row>
    <row r="240" spans="16:17">
      <c r="P240"/>
      <c r="Q240"/>
    </row>
    <row r="241" spans="16:17">
      <c r="P241"/>
      <c r="Q241"/>
    </row>
    <row r="242" spans="16:17">
      <c r="P242"/>
      <c r="Q242"/>
    </row>
    <row r="243" spans="16:17">
      <c r="P243"/>
      <c r="Q243"/>
    </row>
    <row r="244" spans="16:17">
      <c r="P244"/>
      <c r="Q244"/>
    </row>
    <row r="245" spans="16:17">
      <c r="P245"/>
      <c r="Q245"/>
    </row>
    <row r="246" spans="16:17">
      <c r="P246"/>
      <c r="Q246"/>
    </row>
    <row r="247" spans="16:17">
      <c r="P247"/>
      <c r="Q247"/>
    </row>
    <row r="248" spans="16:17">
      <c r="P248"/>
      <c r="Q248"/>
    </row>
    <row r="249" spans="16:17">
      <c r="P249"/>
      <c r="Q249"/>
    </row>
    <row r="250" spans="16:17">
      <c r="P250"/>
      <c r="Q250"/>
    </row>
    <row r="251" spans="16:17">
      <c r="P251"/>
      <c r="Q251"/>
    </row>
    <row r="252" spans="16:17">
      <c r="P252"/>
      <c r="Q252"/>
    </row>
    <row r="253" spans="16:17">
      <c r="P253"/>
      <c r="Q253"/>
    </row>
    <row r="254" spans="16:17">
      <c r="P254"/>
      <c r="Q254"/>
    </row>
    <row r="255" spans="16:17">
      <c r="P255"/>
      <c r="Q255"/>
    </row>
    <row r="256" spans="16:17">
      <c r="P256"/>
      <c r="Q256"/>
    </row>
    <row r="257" spans="16:17">
      <c r="P257"/>
      <c r="Q257"/>
    </row>
    <row r="258" spans="16:17">
      <c r="P258"/>
      <c r="Q258"/>
    </row>
    <row r="259" spans="16:17">
      <c r="P259"/>
      <c r="Q259"/>
    </row>
    <row r="260" spans="16:17">
      <c r="P260"/>
      <c r="Q260"/>
    </row>
    <row r="261" spans="16:17">
      <c r="P261"/>
      <c r="Q261"/>
    </row>
    <row r="262" spans="16:17">
      <c r="P262"/>
      <c r="Q262"/>
    </row>
    <row r="263" spans="16:17">
      <c r="P263"/>
      <c r="Q263"/>
    </row>
    <row r="264" spans="16:17">
      <c r="P264"/>
      <c r="Q264"/>
    </row>
    <row r="265" spans="16:17">
      <c r="P265"/>
      <c r="Q265"/>
    </row>
    <row r="266" spans="16:17">
      <c r="P266"/>
      <c r="Q266"/>
    </row>
    <row r="267" spans="16:17">
      <c r="P267"/>
      <c r="Q267"/>
    </row>
    <row r="268" spans="16:17">
      <c r="P268"/>
      <c r="Q268"/>
    </row>
    <row r="269" spans="16:17">
      <c r="P269"/>
      <c r="Q269"/>
    </row>
    <row r="270" spans="16:17">
      <c r="P270"/>
      <c r="Q270"/>
    </row>
    <row r="271" spans="16:17">
      <c r="P271"/>
      <c r="Q271"/>
    </row>
    <row r="272" spans="16:17">
      <c r="P272"/>
      <c r="Q272"/>
    </row>
    <row r="273" spans="16:17">
      <c r="P273"/>
      <c r="Q273"/>
    </row>
    <row r="274" spans="16:17">
      <c r="P274"/>
      <c r="Q274"/>
    </row>
    <row r="275" spans="16:17">
      <c r="P275"/>
      <c r="Q275"/>
    </row>
    <row r="276" spans="16:17">
      <c r="P276"/>
      <c r="Q276"/>
    </row>
    <row r="277" spans="16:17">
      <c r="P277"/>
      <c r="Q277"/>
    </row>
    <row r="278" spans="16:17">
      <c r="P278"/>
      <c r="Q278"/>
    </row>
    <row r="279" spans="16:17">
      <c r="P279"/>
      <c r="Q279"/>
    </row>
    <row r="280" spans="16:17">
      <c r="P280"/>
      <c r="Q280"/>
    </row>
    <row r="281" spans="16:17">
      <c r="P281"/>
      <c r="Q281"/>
    </row>
    <row r="282" spans="16:17">
      <c r="P282"/>
      <c r="Q282"/>
    </row>
    <row r="283" spans="16:17">
      <c r="P283"/>
      <c r="Q283"/>
    </row>
    <row r="284" spans="16:17">
      <c r="P284"/>
      <c r="Q284"/>
    </row>
    <row r="285" spans="16:17">
      <c r="P285"/>
      <c r="Q285"/>
    </row>
    <row r="286" spans="16:17">
      <c r="P286"/>
      <c r="Q286"/>
    </row>
    <row r="287" spans="16:17">
      <c r="P287"/>
      <c r="Q287"/>
    </row>
    <row r="288" spans="16:17">
      <c r="P288"/>
      <c r="Q288"/>
    </row>
    <row r="289" spans="16:17">
      <c r="P289"/>
      <c r="Q289"/>
    </row>
    <row r="290" spans="16:17">
      <c r="P290"/>
      <c r="Q290"/>
    </row>
    <row r="291" spans="16:17">
      <c r="P291"/>
      <c r="Q291"/>
    </row>
    <row r="292" spans="16:17">
      <c r="P292"/>
      <c r="Q292"/>
    </row>
    <row r="293" spans="16:17">
      <c r="P293"/>
      <c r="Q293"/>
    </row>
    <row r="294" spans="16:17">
      <c r="P294"/>
      <c r="Q294"/>
    </row>
    <row r="295" spans="16:17">
      <c r="P295"/>
      <c r="Q295"/>
    </row>
    <row r="296" spans="16:17">
      <c r="P296"/>
      <c r="Q296"/>
    </row>
    <row r="297" spans="16:17">
      <c r="P297"/>
      <c r="Q297"/>
    </row>
    <row r="298" spans="16:17">
      <c r="P298"/>
      <c r="Q298"/>
    </row>
    <row r="299" spans="16:17">
      <c r="P299"/>
      <c r="Q299"/>
    </row>
    <row r="300" spans="16:17">
      <c r="P300"/>
      <c r="Q300"/>
    </row>
    <row r="301" spans="16:17">
      <c r="P301"/>
      <c r="Q301"/>
    </row>
    <row r="302" spans="16:17">
      <c r="P302"/>
      <c r="Q302"/>
    </row>
    <row r="303" spans="16:17">
      <c r="P303"/>
      <c r="Q303"/>
    </row>
    <row r="304" spans="16:17">
      <c r="P304"/>
      <c r="Q304"/>
    </row>
    <row r="305" spans="16:17">
      <c r="P305"/>
      <c r="Q305"/>
    </row>
    <row r="306" spans="16:17">
      <c r="P306"/>
      <c r="Q306"/>
    </row>
    <row r="307" spans="16:17">
      <c r="P307"/>
      <c r="Q307"/>
    </row>
    <row r="308" spans="16:17">
      <c r="P308"/>
      <c r="Q308"/>
    </row>
    <row r="309" spans="16:17">
      <c r="P309"/>
      <c r="Q309"/>
    </row>
    <row r="310" spans="16:17">
      <c r="P310"/>
      <c r="Q310"/>
    </row>
    <row r="311" spans="16:17">
      <c r="P311"/>
      <c r="Q311"/>
    </row>
    <row r="312" spans="16:17">
      <c r="P312"/>
      <c r="Q312"/>
    </row>
    <row r="313" spans="16:17">
      <c r="P313"/>
      <c r="Q313"/>
    </row>
    <row r="314" spans="16:17">
      <c r="P314"/>
      <c r="Q314"/>
    </row>
    <row r="315" spans="16:17">
      <c r="P315"/>
      <c r="Q315"/>
    </row>
    <row r="316" spans="16:17">
      <c r="P316"/>
      <c r="Q316"/>
    </row>
    <row r="317" spans="16:17">
      <c r="P317"/>
      <c r="Q317"/>
    </row>
    <row r="318" spans="16:17">
      <c r="P318"/>
      <c r="Q318"/>
    </row>
    <row r="319" spans="16:17">
      <c r="P319"/>
      <c r="Q319"/>
    </row>
    <row r="320" spans="16:17">
      <c r="P320"/>
      <c r="Q320"/>
    </row>
    <row r="321" spans="16:17">
      <c r="P321"/>
      <c r="Q321"/>
    </row>
    <row r="322" spans="16:17">
      <c r="P322"/>
      <c r="Q322"/>
    </row>
    <row r="323" spans="16:17">
      <c r="P323"/>
      <c r="Q323"/>
    </row>
    <row r="324" spans="16:17">
      <c r="P324"/>
      <c r="Q324"/>
    </row>
    <row r="325" spans="16:17">
      <c r="P325"/>
      <c r="Q325"/>
    </row>
    <row r="326" spans="16:17">
      <c r="P326"/>
      <c r="Q326"/>
    </row>
    <row r="327" spans="16:17">
      <c r="P327"/>
      <c r="Q327"/>
    </row>
    <row r="328" spans="16:17">
      <c r="P328"/>
      <c r="Q328"/>
    </row>
    <row r="329" spans="16:17">
      <c r="P329"/>
      <c r="Q329"/>
    </row>
    <row r="330" spans="16:17">
      <c r="P330"/>
      <c r="Q330"/>
    </row>
    <row r="331" spans="16:17">
      <c r="P331"/>
      <c r="Q331"/>
    </row>
    <row r="332" spans="16:17">
      <c r="P332"/>
      <c r="Q332"/>
    </row>
    <row r="333" spans="16:17">
      <c r="P333"/>
      <c r="Q333"/>
    </row>
    <row r="334" spans="16:17">
      <c r="P334"/>
      <c r="Q334"/>
    </row>
    <row r="335" spans="16:17">
      <c r="P335"/>
      <c r="Q335"/>
    </row>
    <row r="336" spans="16:17">
      <c r="P336"/>
      <c r="Q336"/>
    </row>
    <row r="337" spans="16:17">
      <c r="P337"/>
      <c r="Q337"/>
    </row>
    <row r="338" spans="16:17">
      <c r="P338"/>
      <c r="Q338"/>
    </row>
    <row r="339" spans="16:17">
      <c r="P339"/>
      <c r="Q339"/>
    </row>
    <row r="340" spans="16:17">
      <c r="P340"/>
      <c r="Q340"/>
    </row>
    <row r="341" spans="16:17">
      <c r="P341"/>
      <c r="Q341"/>
    </row>
    <row r="342" spans="16:17">
      <c r="P342"/>
      <c r="Q342"/>
    </row>
    <row r="343" spans="16:17">
      <c r="P343"/>
      <c r="Q343"/>
    </row>
    <row r="344" spans="16:17">
      <c r="P344"/>
      <c r="Q344"/>
    </row>
    <row r="345" spans="16:17">
      <c r="P345"/>
      <c r="Q345"/>
    </row>
    <row r="346" spans="16:17">
      <c r="P346"/>
      <c r="Q346"/>
    </row>
    <row r="347" spans="16:17">
      <c r="P347"/>
      <c r="Q347"/>
    </row>
    <row r="348" spans="16:17">
      <c r="P348"/>
      <c r="Q348"/>
    </row>
    <row r="349" spans="16:17">
      <c r="P349"/>
      <c r="Q349"/>
    </row>
    <row r="350" spans="16:17">
      <c r="P350"/>
      <c r="Q350"/>
    </row>
    <row r="351" spans="16:17">
      <c r="P351"/>
      <c r="Q351"/>
    </row>
    <row r="352" spans="16:17">
      <c r="P352"/>
      <c r="Q352"/>
    </row>
    <row r="353" spans="16:17">
      <c r="P353"/>
      <c r="Q353"/>
    </row>
    <row r="354" spans="16:17">
      <c r="P354"/>
      <c r="Q354"/>
    </row>
    <row r="355" spans="16:17">
      <c r="P355"/>
      <c r="Q355"/>
    </row>
    <row r="356" spans="16:17">
      <c r="P356"/>
      <c r="Q356"/>
    </row>
    <row r="357" spans="16:17">
      <c r="P357"/>
      <c r="Q357"/>
    </row>
    <row r="358" spans="16:17">
      <c r="P358"/>
      <c r="Q358"/>
    </row>
    <row r="359" spans="16:17">
      <c r="P359"/>
      <c r="Q359"/>
    </row>
    <row r="360" spans="16:17">
      <c r="P360"/>
      <c r="Q360"/>
    </row>
    <row r="361" spans="16:17">
      <c r="P361"/>
      <c r="Q361"/>
    </row>
    <row r="362" spans="16:17">
      <c r="P362"/>
      <c r="Q362"/>
    </row>
    <row r="363" spans="16:17">
      <c r="P363"/>
      <c r="Q363"/>
    </row>
    <row r="364" spans="16:17">
      <c r="P364"/>
      <c r="Q364"/>
    </row>
    <row r="365" spans="16:17">
      <c r="P365"/>
      <c r="Q365"/>
    </row>
    <row r="366" spans="16:17">
      <c r="P366"/>
      <c r="Q366"/>
    </row>
    <row r="367" spans="16:17">
      <c r="P367"/>
      <c r="Q367"/>
    </row>
    <row r="368" spans="16:17">
      <c r="P368"/>
      <c r="Q368"/>
    </row>
    <row r="369" spans="16:17">
      <c r="P369"/>
      <c r="Q369"/>
    </row>
    <row r="370" spans="16:17">
      <c r="P370"/>
      <c r="Q370"/>
    </row>
    <row r="371" spans="16:17">
      <c r="P371"/>
      <c r="Q371"/>
    </row>
    <row r="372" spans="16:17">
      <c r="P372"/>
      <c r="Q372"/>
    </row>
    <row r="373" spans="16:17">
      <c r="P373"/>
      <c r="Q373"/>
    </row>
    <row r="374" spans="16:17">
      <c r="P374"/>
      <c r="Q374"/>
    </row>
    <row r="375" spans="16:17">
      <c r="P375"/>
      <c r="Q375"/>
    </row>
    <row r="376" spans="16:17">
      <c r="P376"/>
      <c r="Q376"/>
    </row>
    <row r="377" spans="16:17">
      <c r="P377"/>
      <c r="Q377"/>
    </row>
    <row r="378" spans="16:17">
      <c r="P378"/>
      <c r="Q378"/>
    </row>
    <row r="379" spans="16:17">
      <c r="P379"/>
      <c r="Q379"/>
    </row>
    <row r="380" spans="16:17">
      <c r="P380"/>
      <c r="Q380"/>
    </row>
    <row r="381" spans="16:17">
      <c r="P381"/>
      <c r="Q381"/>
    </row>
    <row r="382" spans="16:17">
      <c r="P382"/>
      <c r="Q382"/>
    </row>
    <row r="383" spans="16:17">
      <c r="P383"/>
      <c r="Q383"/>
    </row>
    <row r="384" spans="16:17">
      <c r="P384"/>
      <c r="Q384"/>
    </row>
    <row r="385" spans="16:17">
      <c r="P385"/>
      <c r="Q385"/>
    </row>
    <row r="386" spans="16:17">
      <c r="P386"/>
      <c r="Q386"/>
    </row>
    <row r="387" spans="16:17">
      <c r="P387"/>
      <c r="Q387"/>
    </row>
    <row r="388" spans="16:17">
      <c r="P388"/>
      <c r="Q388"/>
    </row>
    <row r="389" spans="16:17">
      <c r="P389"/>
      <c r="Q389"/>
    </row>
    <row r="390" spans="16:17">
      <c r="P390"/>
      <c r="Q390"/>
    </row>
    <row r="391" spans="16:17">
      <c r="P391"/>
      <c r="Q391"/>
    </row>
    <row r="392" spans="16:17">
      <c r="P392"/>
      <c r="Q392"/>
    </row>
    <row r="393" spans="16:17">
      <c r="P393"/>
      <c r="Q393"/>
    </row>
    <row r="394" spans="16:17">
      <c r="P394"/>
      <c r="Q394"/>
    </row>
    <row r="395" spans="16:17">
      <c r="P395"/>
      <c r="Q395"/>
    </row>
    <row r="396" spans="16:17">
      <c r="P396"/>
      <c r="Q396"/>
    </row>
    <row r="397" spans="16:17">
      <c r="P397"/>
      <c r="Q397"/>
    </row>
    <row r="398" spans="16:17">
      <c r="P398"/>
      <c r="Q398"/>
    </row>
    <row r="399" spans="16:17">
      <c r="P399"/>
      <c r="Q399"/>
    </row>
    <row r="400" spans="16:17">
      <c r="P400"/>
      <c r="Q400"/>
    </row>
    <row r="401" spans="16:17">
      <c r="P401"/>
      <c r="Q401"/>
    </row>
    <row r="402" spans="16:17">
      <c r="P402"/>
      <c r="Q402"/>
    </row>
    <row r="403" spans="16:17">
      <c r="P403"/>
      <c r="Q403"/>
    </row>
    <row r="404" spans="16:17">
      <c r="P404"/>
      <c r="Q404"/>
    </row>
    <row r="405" spans="16:17">
      <c r="P405"/>
      <c r="Q405"/>
    </row>
    <row r="406" spans="16:17">
      <c r="P406"/>
      <c r="Q406"/>
    </row>
    <row r="407" spans="16:17">
      <c r="P407"/>
      <c r="Q407"/>
    </row>
    <row r="408" spans="16:17">
      <c r="P408"/>
      <c r="Q408"/>
    </row>
    <row r="409" spans="16:17">
      <c r="P409"/>
      <c r="Q409"/>
    </row>
    <row r="410" spans="16:17">
      <c r="P410"/>
      <c r="Q410"/>
    </row>
    <row r="411" spans="16:17">
      <c r="P411"/>
      <c r="Q411"/>
    </row>
    <row r="412" spans="16:17">
      <c r="P412"/>
      <c r="Q412"/>
    </row>
    <row r="413" spans="16:17">
      <c r="P413"/>
      <c r="Q413"/>
    </row>
    <row r="414" spans="16:17">
      <c r="P414"/>
      <c r="Q414"/>
    </row>
    <row r="415" spans="16:17">
      <c r="P415"/>
      <c r="Q415"/>
    </row>
    <row r="416" spans="16:17">
      <c r="P416"/>
      <c r="Q416"/>
    </row>
    <row r="417" spans="16:17">
      <c r="P417"/>
      <c r="Q417"/>
    </row>
    <row r="418" spans="16:17">
      <c r="P418"/>
      <c r="Q418"/>
    </row>
    <row r="419" spans="16:17">
      <c r="P419"/>
      <c r="Q419"/>
    </row>
    <row r="420" spans="16:17">
      <c r="P420"/>
      <c r="Q420"/>
    </row>
    <row r="421" spans="16:17">
      <c r="P421"/>
      <c r="Q421"/>
    </row>
    <row r="422" spans="16:17">
      <c r="P422"/>
      <c r="Q422"/>
    </row>
    <row r="423" spans="16:17">
      <c r="P423"/>
      <c r="Q423"/>
    </row>
    <row r="424" spans="16:17">
      <c r="P424"/>
      <c r="Q424"/>
    </row>
    <row r="425" spans="16:17">
      <c r="P425"/>
      <c r="Q425"/>
    </row>
    <row r="426" spans="16:17">
      <c r="P426"/>
      <c r="Q426"/>
    </row>
    <row r="427" spans="16:17">
      <c r="P427"/>
      <c r="Q427"/>
    </row>
    <row r="428" spans="16:17">
      <c r="P428"/>
      <c r="Q428"/>
    </row>
    <row r="429" spans="16:17">
      <c r="P429"/>
      <c r="Q429"/>
    </row>
    <row r="430" spans="16:17">
      <c r="P430"/>
      <c r="Q430"/>
    </row>
    <row r="431" spans="16:17">
      <c r="P431"/>
      <c r="Q431"/>
    </row>
    <row r="432" spans="16:17">
      <c r="P432"/>
      <c r="Q432"/>
    </row>
    <row r="433" spans="16:17">
      <c r="P433"/>
      <c r="Q433"/>
    </row>
    <row r="434" spans="16:17">
      <c r="P434"/>
      <c r="Q434"/>
    </row>
    <row r="435" spans="16:17">
      <c r="P435"/>
      <c r="Q435"/>
    </row>
    <row r="436" spans="16:17">
      <c r="P436"/>
      <c r="Q436"/>
    </row>
    <row r="437" spans="16:17">
      <c r="P437"/>
      <c r="Q437"/>
    </row>
    <row r="438" spans="16:17">
      <c r="P438"/>
      <c r="Q438"/>
    </row>
    <row r="439" spans="16:17">
      <c r="P439"/>
      <c r="Q439"/>
    </row>
    <row r="440" spans="16:17">
      <c r="P440"/>
      <c r="Q440"/>
    </row>
    <row r="441" spans="16:17">
      <c r="P441"/>
      <c r="Q441"/>
    </row>
    <row r="442" spans="16:17">
      <c r="P442"/>
      <c r="Q442"/>
    </row>
    <row r="443" spans="16:17">
      <c r="P443"/>
      <c r="Q443"/>
    </row>
    <row r="444" spans="16:17">
      <c r="P444"/>
      <c r="Q444"/>
    </row>
    <row r="445" spans="16:17">
      <c r="P445"/>
      <c r="Q445"/>
    </row>
    <row r="446" spans="16:17">
      <c r="P446"/>
      <c r="Q446"/>
    </row>
    <row r="447" spans="16:17">
      <c r="P447"/>
      <c r="Q447"/>
    </row>
    <row r="448" spans="16:17">
      <c r="P448"/>
      <c r="Q448"/>
    </row>
    <row r="449" spans="16:17">
      <c r="P449"/>
      <c r="Q449"/>
    </row>
    <row r="450" spans="16:17">
      <c r="P450"/>
      <c r="Q450"/>
    </row>
    <row r="451" spans="16:17">
      <c r="P451"/>
      <c r="Q451"/>
    </row>
    <row r="452" spans="16:17">
      <c r="P452"/>
      <c r="Q452"/>
    </row>
    <row r="453" spans="16:17">
      <c r="P453"/>
      <c r="Q453"/>
    </row>
    <row r="454" spans="16:17">
      <c r="P454"/>
      <c r="Q454"/>
    </row>
    <row r="455" spans="16:17">
      <c r="P455"/>
      <c r="Q455"/>
    </row>
    <row r="456" spans="16:17">
      <c r="P456"/>
      <c r="Q456"/>
    </row>
    <row r="457" spans="16:17">
      <c r="P457"/>
      <c r="Q457"/>
    </row>
    <row r="458" spans="16:17">
      <c r="P458"/>
      <c r="Q458"/>
    </row>
    <row r="459" spans="16:17">
      <c r="P459"/>
      <c r="Q459"/>
    </row>
    <row r="460" spans="16:17">
      <c r="P460"/>
      <c r="Q460"/>
    </row>
    <row r="461" spans="16:17">
      <c r="P461"/>
      <c r="Q461"/>
    </row>
    <row r="462" spans="16:17">
      <c r="P462"/>
      <c r="Q462"/>
    </row>
    <row r="463" spans="16:17">
      <c r="P463"/>
      <c r="Q463"/>
    </row>
    <row r="464" spans="16:17">
      <c r="P464"/>
      <c r="Q464"/>
    </row>
    <row r="465" spans="16:17">
      <c r="P465"/>
      <c r="Q465"/>
    </row>
    <row r="466" spans="16:17">
      <c r="P466"/>
      <c r="Q466"/>
    </row>
    <row r="467" spans="16:17">
      <c r="P467"/>
      <c r="Q467"/>
    </row>
    <row r="468" spans="16:17">
      <c r="P468"/>
      <c r="Q468"/>
    </row>
    <row r="469" spans="16:17">
      <c r="P469"/>
      <c r="Q469"/>
    </row>
    <row r="470" spans="16:17">
      <c r="P470"/>
      <c r="Q470"/>
    </row>
    <row r="471" spans="16:17">
      <c r="P471"/>
      <c r="Q471"/>
    </row>
    <row r="472" spans="16:17">
      <c r="P472"/>
      <c r="Q472"/>
    </row>
    <row r="473" spans="16:17">
      <c r="P473"/>
      <c r="Q473"/>
    </row>
    <row r="474" spans="16:17">
      <c r="P474"/>
      <c r="Q474"/>
    </row>
    <row r="475" spans="16:17">
      <c r="P475"/>
      <c r="Q475"/>
    </row>
    <row r="476" spans="16:17">
      <c r="P476"/>
      <c r="Q476"/>
    </row>
    <row r="477" spans="16:17">
      <c r="P477"/>
      <c r="Q477"/>
    </row>
    <row r="478" spans="16:17">
      <c r="P478"/>
      <c r="Q478"/>
    </row>
    <row r="479" spans="16:17">
      <c r="P479"/>
      <c r="Q479"/>
    </row>
    <row r="480" spans="16:17">
      <c r="P480"/>
      <c r="Q480"/>
    </row>
    <row r="481" spans="16:17">
      <c r="P481"/>
      <c r="Q481"/>
    </row>
    <row r="482" spans="16:17">
      <c r="P482"/>
      <c r="Q482"/>
    </row>
    <row r="483" spans="16:17">
      <c r="P483"/>
      <c r="Q483"/>
    </row>
    <row r="484" spans="16:17">
      <c r="P484"/>
      <c r="Q484"/>
    </row>
    <row r="485" spans="16:17">
      <c r="P485"/>
      <c r="Q485"/>
    </row>
    <row r="486" spans="16:17">
      <c r="P486"/>
      <c r="Q486"/>
    </row>
    <row r="487" spans="16:17">
      <c r="P487"/>
      <c r="Q487"/>
    </row>
    <row r="488" spans="16:17">
      <c r="P488"/>
      <c r="Q488"/>
    </row>
    <row r="489" spans="16:17">
      <c r="P489"/>
      <c r="Q489"/>
    </row>
    <row r="490" spans="16:17">
      <c r="P490"/>
      <c r="Q490"/>
    </row>
    <row r="491" spans="16:17">
      <c r="P491"/>
      <c r="Q491"/>
    </row>
    <row r="492" spans="16:17">
      <c r="P492"/>
      <c r="Q492"/>
    </row>
    <row r="493" spans="16:17">
      <c r="P493"/>
      <c r="Q493"/>
    </row>
    <row r="494" spans="16:17">
      <c r="P494"/>
      <c r="Q494"/>
    </row>
    <row r="495" spans="16:17">
      <c r="P495"/>
      <c r="Q495"/>
    </row>
    <row r="496" spans="16:17">
      <c r="P496"/>
      <c r="Q496"/>
    </row>
    <row r="497" spans="16:17">
      <c r="P497"/>
      <c r="Q497"/>
    </row>
    <row r="498" spans="16:17">
      <c r="P498"/>
      <c r="Q498"/>
    </row>
    <row r="499" spans="16:17">
      <c r="P499"/>
      <c r="Q499"/>
    </row>
    <row r="500" spans="16:17">
      <c r="P500"/>
      <c r="Q500"/>
    </row>
    <row r="501" spans="16:17">
      <c r="P501"/>
      <c r="Q501"/>
    </row>
    <row r="502" spans="16:17">
      <c r="P502"/>
      <c r="Q502"/>
    </row>
    <row r="503" spans="16:17">
      <c r="P503"/>
      <c r="Q503"/>
    </row>
    <row r="504" spans="16:17">
      <c r="P504"/>
      <c r="Q504"/>
    </row>
    <row r="505" spans="16:17">
      <c r="P505"/>
      <c r="Q505"/>
    </row>
    <row r="506" spans="16:17">
      <c r="P506"/>
      <c r="Q506"/>
    </row>
    <row r="507" spans="16:17">
      <c r="P507"/>
      <c r="Q507"/>
    </row>
    <row r="508" spans="16:17">
      <c r="P508"/>
      <c r="Q508"/>
    </row>
    <row r="509" spans="16:17">
      <c r="P509"/>
      <c r="Q509"/>
    </row>
    <row r="510" spans="16:17">
      <c r="P510"/>
      <c r="Q510"/>
    </row>
    <row r="511" spans="16:17">
      <c r="P511"/>
      <c r="Q511"/>
    </row>
    <row r="512" spans="16:17">
      <c r="P512"/>
      <c r="Q512"/>
    </row>
    <row r="513" spans="16:17">
      <c r="P513"/>
      <c r="Q513"/>
    </row>
    <row r="514" spans="16:17">
      <c r="P514"/>
      <c r="Q514"/>
    </row>
    <row r="515" spans="16:17">
      <c r="P515"/>
      <c r="Q515"/>
    </row>
    <row r="516" spans="16:17">
      <c r="P516"/>
      <c r="Q516"/>
    </row>
    <row r="517" spans="16:17">
      <c r="P517"/>
      <c r="Q517"/>
    </row>
    <row r="518" spans="16:17">
      <c r="P518"/>
      <c r="Q518"/>
    </row>
    <row r="519" spans="16:17">
      <c r="P519"/>
      <c r="Q519"/>
    </row>
    <row r="520" spans="16:17">
      <c r="P520"/>
      <c r="Q520"/>
    </row>
    <row r="521" spans="16:17">
      <c r="P521"/>
      <c r="Q521"/>
    </row>
    <row r="522" spans="16:17">
      <c r="P522"/>
      <c r="Q522"/>
    </row>
    <row r="523" spans="16:17">
      <c r="P523"/>
      <c r="Q523"/>
    </row>
    <row r="524" spans="16:17">
      <c r="P524"/>
      <c r="Q524"/>
    </row>
    <row r="525" spans="16:17">
      <c r="P525"/>
      <c r="Q525"/>
    </row>
    <row r="526" spans="16:17">
      <c r="P526"/>
      <c r="Q526"/>
    </row>
    <row r="527" spans="16:17">
      <c r="P527"/>
      <c r="Q527"/>
    </row>
    <row r="528" spans="16:17">
      <c r="P528"/>
      <c r="Q528"/>
    </row>
    <row r="529" spans="16:17">
      <c r="P529"/>
      <c r="Q529"/>
    </row>
    <row r="530" spans="16:17">
      <c r="P530"/>
      <c r="Q530"/>
    </row>
    <row r="531" spans="16:17">
      <c r="P531"/>
      <c r="Q531"/>
    </row>
    <row r="532" spans="16:17">
      <c r="P532"/>
      <c r="Q532"/>
    </row>
    <row r="533" spans="16:17">
      <c r="P533"/>
      <c r="Q533"/>
    </row>
    <row r="534" spans="16:17">
      <c r="P534"/>
      <c r="Q534"/>
    </row>
    <row r="535" spans="16:17">
      <c r="P535"/>
      <c r="Q535"/>
    </row>
    <row r="536" spans="16:17">
      <c r="P536"/>
      <c r="Q536"/>
    </row>
    <row r="537" spans="16:17">
      <c r="P537"/>
      <c r="Q537"/>
    </row>
    <row r="538" spans="16:17">
      <c r="P538"/>
      <c r="Q538"/>
    </row>
    <row r="539" spans="16:17">
      <c r="P539"/>
      <c r="Q539"/>
    </row>
    <row r="540" spans="16:17">
      <c r="P540"/>
      <c r="Q540"/>
    </row>
    <row r="541" spans="16:17">
      <c r="P541"/>
      <c r="Q541"/>
    </row>
    <row r="542" spans="16:17">
      <c r="P542"/>
      <c r="Q542"/>
    </row>
    <row r="543" spans="16:17">
      <c r="P543"/>
      <c r="Q543"/>
    </row>
    <row r="544" spans="16:17">
      <c r="P544"/>
      <c r="Q544"/>
    </row>
    <row r="545" spans="16:17">
      <c r="P545"/>
      <c r="Q545"/>
    </row>
    <row r="546" spans="16:17">
      <c r="P546"/>
      <c r="Q546"/>
    </row>
    <row r="547" spans="16:17">
      <c r="P547"/>
      <c r="Q547"/>
    </row>
    <row r="548" spans="16:17">
      <c r="P548"/>
      <c r="Q548"/>
    </row>
    <row r="549" spans="16:17">
      <c r="P549"/>
      <c r="Q549"/>
    </row>
    <row r="550" spans="16:17">
      <c r="P550"/>
      <c r="Q550"/>
    </row>
    <row r="551" spans="16:17">
      <c r="P551"/>
      <c r="Q551"/>
    </row>
    <row r="552" spans="16:17">
      <c r="P552"/>
      <c r="Q552"/>
    </row>
    <row r="553" spans="16:17">
      <c r="P553"/>
      <c r="Q553"/>
    </row>
    <row r="554" spans="16:17">
      <c r="P554"/>
      <c r="Q554"/>
    </row>
    <row r="555" spans="16:17">
      <c r="P555"/>
      <c r="Q555"/>
    </row>
    <row r="556" spans="16:17">
      <c r="P556"/>
      <c r="Q556"/>
    </row>
    <row r="557" spans="16:17">
      <c r="P557"/>
      <c r="Q557"/>
    </row>
    <row r="558" spans="16:17">
      <c r="P558"/>
      <c r="Q558"/>
    </row>
    <row r="559" spans="16:17">
      <c r="P559"/>
      <c r="Q559"/>
    </row>
    <row r="560" spans="16:17">
      <c r="P560"/>
      <c r="Q560"/>
    </row>
    <row r="561" spans="16:17">
      <c r="P561"/>
      <c r="Q561"/>
    </row>
    <row r="562" spans="16:17">
      <c r="P562"/>
      <c r="Q562"/>
    </row>
    <row r="563" spans="16:17">
      <c r="P563"/>
      <c r="Q563"/>
    </row>
    <row r="564" spans="16:17">
      <c r="P564"/>
      <c r="Q564"/>
    </row>
    <row r="565" spans="16:17">
      <c r="P565"/>
      <c r="Q565"/>
    </row>
    <row r="566" spans="16:17">
      <c r="P566"/>
      <c r="Q566"/>
    </row>
    <row r="567" spans="16:17">
      <c r="P567"/>
      <c r="Q567"/>
    </row>
    <row r="568" spans="16:17">
      <c r="P568"/>
      <c r="Q568"/>
    </row>
    <row r="569" spans="16:17">
      <c r="P569"/>
      <c r="Q569"/>
    </row>
    <row r="570" spans="16:17">
      <c r="P570"/>
      <c r="Q570"/>
    </row>
    <row r="571" spans="16:17">
      <c r="P571"/>
      <c r="Q571"/>
    </row>
    <row r="572" spans="16:17">
      <c r="P572"/>
      <c r="Q572"/>
    </row>
    <row r="573" spans="16:17">
      <c r="P573"/>
      <c r="Q573"/>
    </row>
    <row r="574" spans="16:17">
      <c r="P574"/>
      <c r="Q574"/>
    </row>
    <row r="575" spans="16:17">
      <c r="P575"/>
      <c r="Q575"/>
    </row>
    <row r="576" spans="16:17">
      <c r="P576"/>
      <c r="Q576"/>
    </row>
    <row r="577" spans="16:17">
      <c r="P577"/>
      <c r="Q577"/>
    </row>
    <row r="578" spans="16:17">
      <c r="P578"/>
      <c r="Q578"/>
    </row>
    <row r="579" spans="16:17">
      <c r="P579"/>
      <c r="Q579"/>
    </row>
    <row r="580" spans="16:17">
      <c r="P580"/>
      <c r="Q580"/>
    </row>
    <row r="581" spans="16:17">
      <c r="P581"/>
      <c r="Q581"/>
    </row>
    <row r="582" spans="16:17">
      <c r="P582"/>
      <c r="Q582"/>
    </row>
    <row r="583" spans="16:17">
      <c r="P583"/>
      <c r="Q583"/>
    </row>
    <row r="584" spans="16:17">
      <c r="P584"/>
      <c r="Q584"/>
    </row>
    <row r="585" spans="16:17">
      <c r="P585"/>
      <c r="Q585"/>
    </row>
    <row r="586" spans="16:17">
      <c r="P586"/>
      <c r="Q586"/>
    </row>
    <row r="587" spans="16:17">
      <c r="P587"/>
      <c r="Q587"/>
    </row>
    <row r="588" spans="16:17">
      <c r="P588"/>
      <c r="Q588"/>
    </row>
    <row r="589" spans="16:17">
      <c r="P589"/>
      <c r="Q589"/>
    </row>
    <row r="590" spans="16:17">
      <c r="P590"/>
      <c r="Q590"/>
    </row>
    <row r="591" spans="16:17">
      <c r="P591"/>
      <c r="Q591"/>
    </row>
    <row r="592" spans="16:17">
      <c r="P592"/>
      <c r="Q592"/>
    </row>
    <row r="593" spans="16:17">
      <c r="P593"/>
      <c r="Q593"/>
    </row>
    <row r="594" spans="16:17">
      <c r="P594"/>
      <c r="Q594"/>
    </row>
    <row r="595" spans="16:17">
      <c r="P595"/>
      <c r="Q595"/>
    </row>
    <row r="596" spans="16:17">
      <c r="P596"/>
      <c r="Q596"/>
    </row>
    <row r="597" spans="16:17">
      <c r="P597"/>
      <c r="Q597"/>
    </row>
    <row r="598" spans="16:17">
      <c r="P598"/>
      <c r="Q598"/>
    </row>
    <row r="599" spans="16:17">
      <c r="P599"/>
      <c r="Q599"/>
    </row>
    <row r="600" spans="16:17">
      <c r="P600"/>
      <c r="Q600"/>
    </row>
    <row r="601" spans="16:17">
      <c r="P601"/>
      <c r="Q601"/>
    </row>
    <row r="602" spans="16:17">
      <c r="P602"/>
      <c r="Q602"/>
    </row>
    <row r="603" spans="16:17">
      <c r="P603"/>
      <c r="Q603"/>
    </row>
    <row r="604" spans="16:17">
      <c r="P604"/>
      <c r="Q604"/>
    </row>
    <row r="605" spans="16:17">
      <c r="P605"/>
      <c r="Q605"/>
    </row>
    <row r="606" spans="16:17">
      <c r="P606"/>
      <c r="Q606"/>
    </row>
    <row r="607" spans="16:17">
      <c r="P607"/>
      <c r="Q607"/>
    </row>
    <row r="608" spans="16:17">
      <c r="P608"/>
      <c r="Q608"/>
    </row>
    <row r="609" spans="16:17">
      <c r="P609"/>
      <c r="Q609"/>
    </row>
    <row r="610" spans="16:17">
      <c r="P610"/>
      <c r="Q610"/>
    </row>
    <row r="611" spans="16:17">
      <c r="P611"/>
      <c r="Q611"/>
    </row>
    <row r="612" spans="16:17">
      <c r="P612"/>
      <c r="Q612"/>
    </row>
    <row r="613" spans="16:17">
      <c r="P613"/>
      <c r="Q613"/>
    </row>
    <row r="614" spans="16:17">
      <c r="P614"/>
      <c r="Q614"/>
    </row>
    <row r="615" spans="16:17">
      <c r="P615"/>
      <c r="Q615"/>
    </row>
    <row r="616" spans="16:17">
      <c r="P616"/>
      <c r="Q616"/>
    </row>
    <row r="617" spans="16:17">
      <c r="P617"/>
      <c r="Q617"/>
    </row>
    <row r="618" spans="16:17">
      <c r="P618"/>
      <c r="Q618"/>
    </row>
    <row r="619" spans="16:17">
      <c r="P619"/>
      <c r="Q619"/>
    </row>
    <row r="620" spans="16:17">
      <c r="P620"/>
      <c r="Q620"/>
    </row>
    <row r="621" spans="16:17">
      <c r="P621"/>
      <c r="Q621"/>
    </row>
    <row r="622" spans="16:17">
      <c r="P622"/>
      <c r="Q622"/>
    </row>
    <row r="623" spans="16:17">
      <c r="P623"/>
      <c r="Q623"/>
    </row>
    <row r="624" spans="16:17">
      <c r="P624"/>
      <c r="Q624"/>
    </row>
    <row r="625" spans="16:17">
      <c r="P625"/>
      <c r="Q625"/>
    </row>
    <row r="626" spans="16:17">
      <c r="P626"/>
      <c r="Q626"/>
    </row>
    <row r="627" spans="16:17">
      <c r="P627"/>
      <c r="Q627"/>
    </row>
    <row r="628" spans="16:17">
      <c r="P628"/>
      <c r="Q628"/>
    </row>
    <row r="629" spans="16:17">
      <c r="P629"/>
      <c r="Q629"/>
    </row>
    <row r="630" spans="16:17">
      <c r="P630"/>
      <c r="Q630"/>
    </row>
    <row r="631" spans="16:17">
      <c r="P631"/>
      <c r="Q631"/>
    </row>
    <row r="632" spans="16:17">
      <c r="P632"/>
      <c r="Q632"/>
    </row>
    <row r="633" spans="16:17">
      <c r="P633"/>
      <c r="Q633"/>
    </row>
    <row r="634" spans="16:17">
      <c r="P634"/>
      <c r="Q634"/>
    </row>
    <row r="635" spans="16:17">
      <c r="P635"/>
      <c r="Q635"/>
    </row>
    <row r="636" spans="16:17">
      <c r="P636"/>
      <c r="Q636"/>
    </row>
    <row r="637" spans="16:17">
      <c r="P637"/>
      <c r="Q637"/>
    </row>
    <row r="638" spans="16:17">
      <c r="P638"/>
      <c r="Q638"/>
    </row>
    <row r="639" spans="16:17">
      <c r="P639"/>
      <c r="Q639"/>
    </row>
    <row r="640" spans="16:17">
      <c r="P640"/>
      <c r="Q640"/>
    </row>
    <row r="641" spans="16:17">
      <c r="P641"/>
      <c r="Q641"/>
    </row>
    <row r="642" spans="16:17">
      <c r="P642"/>
      <c r="Q642"/>
    </row>
    <row r="643" spans="16:17">
      <c r="P643"/>
      <c r="Q643"/>
    </row>
    <row r="644" spans="16:17">
      <c r="P644"/>
      <c r="Q644"/>
    </row>
    <row r="645" spans="16:17">
      <c r="P645"/>
      <c r="Q645"/>
    </row>
    <row r="646" spans="16:17">
      <c r="P646"/>
      <c r="Q646"/>
    </row>
    <row r="647" spans="16:17">
      <c r="P647"/>
      <c r="Q647"/>
    </row>
    <row r="648" spans="16:17">
      <c r="P648"/>
      <c r="Q648"/>
    </row>
    <row r="649" spans="16:17">
      <c r="P649"/>
      <c r="Q649"/>
    </row>
    <row r="650" spans="16:17">
      <c r="P650"/>
      <c r="Q650"/>
    </row>
    <row r="651" spans="16:17">
      <c r="P651"/>
      <c r="Q651"/>
    </row>
    <row r="652" spans="16:17">
      <c r="P652"/>
      <c r="Q652"/>
    </row>
    <row r="653" spans="16:17">
      <c r="P653"/>
      <c r="Q653"/>
    </row>
    <row r="654" spans="16:17">
      <c r="P654"/>
      <c r="Q654"/>
    </row>
    <row r="655" spans="16:17">
      <c r="P655"/>
      <c r="Q655"/>
    </row>
    <row r="656" spans="16:17">
      <c r="P656"/>
      <c r="Q656"/>
    </row>
    <row r="657" spans="16:17">
      <c r="P657"/>
      <c r="Q657"/>
    </row>
    <row r="658" spans="16:17">
      <c r="P658"/>
      <c r="Q658"/>
    </row>
    <row r="659" spans="16:17">
      <c r="P659"/>
      <c r="Q659"/>
    </row>
    <row r="660" spans="16:17">
      <c r="P660"/>
      <c r="Q660"/>
    </row>
    <row r="661" spans="16:17">
      <c r="P661"/>
      <c r="Q661"/>
    </row>
    <row r="662" spans="16:17">
      <c r="P662"/>
      <c r="Q662"/>
    </row>
    <row r="663" spans="16:17">
      <c r="P663"/>
      <c r="Q663"/>
    </row>
    <row r="664" spans="16:17">
      <c r="P664"/>
      <c r="Q664"/>
    </row>
    <row r="665" spans="16:17">
      <c r="P665"/>
      <c r="Q665"/>
    </row>
    <row r="666" spans="16:17">
      <c r="P666"/>
      <c r="Q666"/>
    </row>
    <row r="667" spans="16:17">
      <c r="P667"/>
      <c r="Q667"/>
    </row>
    <row r="668" spans="16:17">
      <c r="P668"/>
      <c r="Q668"/>
    </row>
    <row r="669" spans="16:17">
      <c r="P669"/>
      <c r="Q669"/>
    </row>
    <row r="670" spans="16:17">
      <c r="P670"/>
      <c r="Q670"/>
    </row>
    <row r="671" spans="16:17">
      <c r="P671"/>
      <c r="Q671"/>
    </row>
    <row r="672" spans="16:17">
      <c r="P672"/>
      <c r="Q672"/>
    </row>
    <row r="673" spans="16:17">
      <c r="P673"/>
      <c r="Q673"/>
    </row>
    <row r="674" spans="16:17">
      <c r="P674"/>
      <c r="Q674"/>
    </row>
    <row r="675" spans="16:17">
      <c r="P675"/>
      <c r="Q675"/>
    </row>
    <row r="676" spans="16:17">
      <c r="P676"/>
      <c r="Q676"/>
    </row>
    <row r="677" spans="16:17">
      <c r="P677"/>
      <c r="Q677"/>
    </row>
    <row r="678" spans="16:17">
      <c r="P678"/>
      <c r="Q678"/>
    </row>
    <row r="679" spans="16:17">
      <c r="P679"/>
      <c r="Q679"/>
    </row>
    <row r="680" spans="16:17">
      <c r="P680"/>
      <c r="Q680"/>
    </row>
    <row r="681" spans="16:17">
      <c r="P681"/>
      <c r="Q681"/>
    </row>
    <row r="682" spans="16:17">
      <c r="P682"/>
      <c r="Q682"/>
    </row>
    <row r="683" spans="16:17">
      <c r="P683"/>
      <c r="Q683"/>
    </row>
    <row r="684" spans="16:17">
      <c r="P684"/>
      <c r="Q684"/>
    </row>
    <row r="685" spans="16:17">
      <c r="P685"/>
      <c r="Q685"/>
    </row>
    <row r="686" spans="16:17">
      <c r="P686"/>
      <c r="Q686"/>
    </row>
    <row r="687" spans="16:17">
      <c r="P687"/>
      <c r="Q687"/>
    </row>
    <row r="688" spans="16:17">
      <c r="P688"/>
      <c r="Q688"/>
    </row>
    <row r="689" spans="4:17">
      <c r="P689"/>
      <c r="Q689"/>
    </row>
    <row r="690" spans="4:17">
      <c r="P690"/>
      <c r="Q690"/>
    </row>
    <row r="691" spans="4:17">
      <c r="P691"/>
      <c r="Q691"/>
    </row>
    <row r="692" spans="4:17">
      <c r="P692"/>
      <c r="Q692"/>
    </row>
    <row r="693" spans="4:17">
      <c r="P693"/>
      <c r="Q693"/>
    </row>
    <row r="694" spans="4:17">
      <c r="P694"/>
      <c r="Q694"/>
    </row>
    <row r="695" spans="4:17">
      <c r="P695"/>
      <c r="Q695"/>
    </row>
    <row r="696" spans="4:17">
      <c r="P696"/>
      <c r="Q696"/>
    </row>
    <row r="697" spans="4:17">
      <c r="P697"/>
      <c r="Q697"/>
    </row>
    <row r="698" spans="4:17">
      <c r="P698"/>
      <c r="Q698"/>
    </row>
    <row r="699" spans="4:17">
      <c r="P699"/>
      <c r="Q699"/>
    </row>
    <row r="700" spans="4:17">
      <c r="P700"/>
      <c r="Q700"/>
    </row>
    <row r="701" spans="4:17">
      <c r="P701"/>
      <c r="Q701"/>
    </row>
    <row r="702" spans="4:17">
      <c r="P702"/>
      <c r="Q702"/>
    </row>
    <row r="703" spans="4:17">
      <c r="D703"/>
      <c r="E703"/>
      <c r="F703"/>
      <c r="G703"/>
      <c r="H703"/>
      <c r="I703"/>
      <c r="J703"/>
      <c r="K703"/>
      <c r="L703"/>
      <c r="M703"/>
      <c r="N703"/>
      <c r="O703"/>
      <c r="P703"/>
      <c r="Q703"/>
    </row>
    <row r="704" spans="4:17">
      <c r="D704"/>
      <c r="E704"/>
      <c r="F704"/>
      <c r="G704"/>
      <c r="H704"/>
      <c r="I704"/>
      <c r="J704"/>
      <c r="K704"/>
      <c r="L704"/>
      <c r="M704"/>
      <c r="N704"/>
      <c r="O704"/>
      <c r="P704"/>
      <c r="Q704"/>
    </row>
    <row r="705" spans="4:17">
      <c r="D705"/>
      <c r="E705"/>
      <c r="F705"/>
      <c r="G705"/>
      <c r="H705"/>
      <c r="I705"/>
      <c r="J705"/>
      <c r="K705"/>
      <c r="L705"/>
      <c r="M705"/>
      <c r="N705"/>
      <c r="O705"/>
      <c r="P705"/>
      <c r="Q705"/>
    </row>
    <row r="706" spans="4:17">
      <c r="D706"/>
      <c r="E706"/>
      <c r="F706"/>
      <c r="G706"/>
      <c r="H706"/>
      <c r="I706"/>
      <c r="J706"/>
      <c r="K706"/>
      <c r="L706"/>
      <c r="M706"/>
      <c r="N706"/>
      <c r="O706"/>
      <c r="P706"/>
      <c r="Q706"/>
    </row>
    <row r="707" spans="4:17">
      <c r="D707"/>
      <c r="E707"/>
      <c r="F707"/>
      <c r="G707"/>
      <c r="H707"/>
      <c r="I707"/>
      <c r="J707"/>
      <c r="K707"/>
      <c r="L707"/>
      <c r="M707"/>
      <c r="N707"/>
      <c r="O707"/>
      <c r="P707"/>
      <c r="Q707"/>
    </row>
    <row r="708" spans="4:17">
      <c r="D708"/>
      <c r="E708"/>
      <c r="F708"/>
      <c r="G708"/>
      <c r="H708"/>
      <c r="I708"/>
      <c r="J708"/>
      <c r="K708"/>
      <c r="L708"/>
      <c r="M708"/>
      <c r="N708"/>
      <c r="O708"/>
      <c r="P708"/>
      <c r="Q708"/>
    </row>
    <row r="709" spans="4:17">
      <c r="D709"/>
      <c r="E709"/>
      <c r="F709"/>
      <c r="G709"/>
      <c r="H709"/>
      <c r="I709"/>
      <c r="J709"/>
      <c r="K709"/>
      <c r="L709"/>
      <c r="M709"/>
      <c r="N709"/>
      <c r="O709"/>
      <c r="P709"/>
      <c r="Q709"/>
    </row>
    <row r="710" spans="4:17">
      <c r="D710"/>
      <c r="E710"/>
      <c r="F710"/>
      <c r="G710"/>
      <c r="H710"/>
      <c r="I710"/>
      <c r="J710"/>
      <c r="K710"/>
      <c r="L710"/>
      <c r="M710"/>
      <c r="N710"/>
      <c r="O710"/>
      <c r="P710"/>
      <c r="Q710"/>
    </row>
    <row r="711" spans="4:17">
      <c r="D711"/>
      <c r="E711"/>
      <c r="F711"/>
      <c r="G711"/>
      <c r="H711"/>
      <c r="I711"/>
      <c r="J711"/>
      <c r="K711"/>
      <c r="L711"/>
      <c r="M711"/>
      <c r="N711"/>
      <c r="O711"/>
      <c r="P711"/>
      <c r="Q711"/>
    </row>
    <row r="712" spans="4:17">
      <c r="D712"/>
      <c r="E712"/>
      <c r="F712"/>
      <c r="G712"/>
      <c r="H712"/>
      <c r="I712"/>
      <c r="J712"/>
      <c r="K712"/>
      <c r="L712"/>
      <c r="M712"/>
      <c r="N712"/>
      <c r="O712"/>
      <c r="P712"/>
      <c r="Q712"/>
    </row>
    <row r="713" spans="4:17">
      <c r="D713"/>
      <c r="E713"/>
      <c r="F713"/>
      <c r="G713"/>
      <c r="H713"/>
      <c r="I713"/>
      <c r="J713"/>
      <c r="K713"/>
      <c r="L713"/>
      <c r="M713"/>
      <c r="N713"/>
      <c r="O713"/>
      <c r="P713"/>
      <c r="Q713"/>
    </row>
    <row r="714" spans="4:17">
      <c r="D714"/>
      <c r="E714"/>
      <c r="F714"/>
      <c r="G714"/>
      <c r="H714"/>
      <c r="I714"/>
      <c r="J714"/>
      <c r="K714"/>
      <c r="L714"/>
      <c r="M714"/>
      <c r="N714"/>
      <c r="O714"/>
      <c r="P714"/>
      <c r="Q714"/>
    </row>
    <row r="715" spans="4:17">
      <c r="D715"/>
      <c r="E715"/>
      <c r="F715"/>
      <c r="G715"/>
      <c r="H715"/>
      <c r="I715"/>
      <c r="J715"/>
      <c r="K715"/>
      <c r="L715"/>
      <c r="M715"/>
      <c r="N715"/>
      <c r="O715"/>
      <c r="P715"/>
      <c r="Q715"/>
    </row>
    <row r="716" spans="4:17">
      <c r="D716"/>
      <c r="E716"/>
      <c r="F716"/>
      <c r="G716"/>
      <c r="H716"/>
      <c r="I716"/>
      <c r="J716"/>
      <c r="K716"/>
      <c r="L716"/>
      <c r="M716"/>
      <c r="N716"/>
      <c r="O716"/>
      <c r="P716"/>
      <c r="Q716"/>
    </row>
    <row r="717" spans="4:17">
      <c r="D717"/>
      <c r="E717"/>
      <c r="F717"/>
      <c r="G717"/>
      <c r="H717"/>
      <c r="I717"/>
      <c r="J717"/>
      <c r="K717"/>
      <c r="L717"/>
      <c r="M717"/>
      <c r="N717"/>
      <c r="O717"/>
      <c r="P717"/>
      <c r="Q717"/>
    </row>
    <row r="718" spans="4:17">
      <c r="D718"/>
      <c r="E718"/>
      <c r="F718"/>
      <c r="G718"/>
      <c r="H718"/>
      <c r="I718"/>
      <c r="J718"/>
      <c r="K718"/>
      <c r="L718"/>
      <c r="M718"/>
      <c r="N718"/>
      <c r="O718"/>
      <c r="P718"/>
      <c r="Q718"/>
    </row>
    <row r="719" spans="4:17">
      <c r="D719"/>
      <c r="E719"/>
      <c r="F719"/>
      <c r="G719"/>
      <c r="H719"/>
      <c r="I719"/>
      <c r="J719"/>
      <c r="K719"/>
      <c r="L719"/>
      <c r="M719"/>
      <c r="N719"/>
      <c r="O719"/>
      <c r="P719"/>
      <c r="Q719"/>
    </row>
    <row r="720" spans="4:17">
      <c r="D720"/>
      <c r="E720"/>
      <c r="F720"/>
      <c r="G720"/>
      <c r="H720"/>
      <c r="I720"/>
      <c r="J720"/>
      <c r="K720"/>
      <c r="L720"/>
      <c r="M720"/>
      <c r="N720"/>
      <c r="O720"/>
      <c r="P720"/>
      <c r="Q720"/>
    </row>
    <row r="721" spans="4:17">
      <c r="D721"/>
      <c r="E721"/>
      <c r="F721"/>
      <c r="G721"/>
      <c r="H721"/>
      <c r="I721"/>
      <c r="J721"/>
      <c r="K721"/>
      <c r="L721"/>
      <c r="M721"/>
      <c r="N721"/>
      <c r="O721"/>
      <c r="P721"/>
      <c r="Q721"/>
    </row>
    <row r="722" spans="4:17">
      <c r="D722"/>
      <c r="E722"/>
      <c r="F722"/>
      <c r="G722"/>
      <c r="H722"/>
      <c r="I722"/>
      <c r="J722"/>
      <c r="K722"/>
      <c r="L722"/>
      <c r="M722"/>
      <c r="N722"/>
      <c r="O722"/>
      <c r="P722"/>
      <c r="Q722"/>
    </row>
    <row r="723" spans="4:17">
      <c r="D723"/>
      <c r="E723"/>
      <c r="F723"/>
      <c r="G723"/>
      <c r="H723"/>
      <c r="I723"/>
      <c r="J723"/>
      <c r="K723"/>
      <c r="L723"/>
      <c r="M723"/>
      <c r="N723"/>
      <c r="O723"/>
      <c r="P723"/>
      <c r="Q723"/>
    </row>
    <row r="724" spans="4:17">
      <c r="D724"/>
      <c r="E724"/>
      <c r="F724"/>
      <c r="G724"/>
      <c r="H724"/>
      <c r="I724"/>
      <c r="J724"/>
      <c r="K724"/>
      <c r="L724"/>
      <c r="M724"/>
      <c r="N724"/>
      <c r="O724"/>
      <c r="P724"/>
      <c r="Q724"/>
    </row>
    <row r="725" spans="4:17">
      <c r="D725"/>
      <c r="E725"/>
      <c r="F725"/>
      <c r="G725"/>
      <c r="H725"/>
      <c r="I725"/>
      <c r="J725"/>
      <c r="K725"/>
      <c r="L725"/>
      <c r="M725"/>
      <c r="N725"/>
      <c r="O725"/>
      <c r="P725"/>
      <c r="Q725"/>
    </row>
    <row r="726" spans="4:17">
      <c r="D726"/>
      <c r="E726"/>
      <c r="F726"/>
      <c r="G726"/>
      <c r="H726"/>
      <c r="I726"/>
      <c r="J726"/>
      <c r="K726"/>
      <c r="L726"/>
      <c r="M726"/>
      <c r="N726"/>
      <c r="O726"/>
      <c r="P726"/>
      <c r="Q726"/>
    </row>
    <row r="727" spans="4:17">
      <c r="D727"/>
      <c r="E727"/>
      <c r="F727"/>
      <c r="G727"/>
      <c r="H727"/>
      <c r="I727"/>
      <c r="J727"/>
      <c r="K727"/>
      <c r="L727"/>
      <c r="M727"/>
      <c r="N727"/>
      <c r="O727"/>
      <c r="P727"/>
      <c r="Q727"/>
    </row>
    <row r="728" spans="4:17">
      <c r="D728"/>
      <c r="E728"/>
      <c r="F728"/>
      <c r="G728"/>
      <c r="H728"/>
      <c r="I728"/>
      <c r="J728"/>
      <c r="K728"/>
      <c r="L728"/>
      <c r="M728"/>
      <c r="N728"/>
      <c r="O728"/>
      <c r="P728"/>
      <c r="Q728"/>
    </row>
    <row r="729" spans="4:17">
      <c r="D729"/>
      <c r="E729"/>
      <c r="F729"/>
      <c r="G729"/>
      <c r="H729"/>
      <c r="I729"/>
      <c r="J729"/>
      <c r="K729"/>
      <c r="L729"/>
      <c r="M729"/>
      <c r="N729"/>
      <c r="O729"/>
      <c r="P729"/>
      <c r="Q729"/>
    </row>
    <row r="730" spans="4:17">
      <c r="D730"/>
      <c r="E730"/>
      <c r="F730"/>
      <c r="G730"/>
      <c r="H730"/>
      <c r="I730"/>
      <c r="J730"/>
      <c r="K730"/>
      <c r="L730"/>
      <c r="M730"/>
      <c r="N730"/>
      <c r="O730"/>
      <c r="P730"/>
      <c r="Q730"/>
    </row>
    <row r="731" spans="4:17">
      <c r="D731"/>
      <c r="E731"/>
      <c r="F731"/>
      <c r="G731"/>
      <c r="H731"/>
      <c r="I731"/>
      <c r="J731"/>
      <c r="K731"/>
      <c r="L731"/>
      <c r="M731"/>
      <c r="N731"/>
      <c r="O731"/>
      <c r="P731"/>
      <c r="Q731"/>
    </row>
    <row r="732" spans="4:17">
      <c r="D732"/>
      <c r="E732"/>
      <c r="F732"/>
      <c r="G732"/>
      <c r="H732"/>
      <c r="I732"/>
      <c r="J732"/>
      <c r="K732"/>
      <c r="L732"/>
      <c r="M732"/>
      <c r="N732"/>
      <c r="O732"/>
      <c r="P732"/>
      <c r="Q732"/>
    </row>
    <row r="733" spans="4:17">
      <c r="D733"/>
      <c r="E733"/>
      <c r="F733"/>
      <c r="G733"/>
      <c r="H733"/>
      <c r="I733"/>
      <c r="J733"/>
      <c r="K733"/>
      <c r="L733"/>
      <c r="M733"/>
      <c r="N733"/>
      <c r="O733"/>
      <c r="P733"/>
      <c r="Q733"/>
    </row>
    <row r="734" spans="4:17">
      <c r="D734"/>
      <c r="E734"/>
      <c r="F734"/>
      <c r="G734"/>
      <c r="H734"/>
      <c r="I734"/>
      <c r="J734"/>
      <c r="K734"/>
      <c r="L734"/>
      <c r="M734"/>
      <c r="N734"/>
      <c r="O734"/>
      <c r="P734"/>
      <c r="Q734"/>
    </row>
    <row r="735" spans="4:17">
      <c r="D735"/>
      <c r="E735"/>
      <c r="F735"/>
      <c r="G735"/>
      <c r="H735"/>
      <c r="I735"/>
      <c r="J735"/>
      <c r="K735"/>
      <c r="L735"/>
      <c r="M735"/>
      <c r="N735"/>
      <c r="O735"/>
      <c r="P735"/>
      <c r="Q735"/>
    </row>
    <row r="736" spans="4:17">
      <c r="D736"/>
      <c r="E736"/>
      <c r="F736"/>
      <c r="G736"/>
      <c r="H736"/>
      <c r="I736"/>
      <c r="J736"/>
      <c r="K736"/>
      <c r="L736"/>
      <c r="M736"/>
      <c r="N736"/>
      <c r="O736"/>
      <c r="P736"/>
      <c r="Q736"/>
    </row>
    <row r="737" spans="4:17">
      <c r="D737"/>
      <c r="E737"/>
      <c r="F737"/>
      <c r="G737"/>
      <c r="H737"/>
      <c r="I737"/>
      <c r="J737"/>
      <c r="K737"/>
      <c r="L737"/>
      <c r="M737"/>
      <c r="N737"/>
      <c r="O737"/>
      <c r="P737"/>
      <c r="Q737"/>
    </row>
    <row r="738" spans="4:17">
      <c r="D738"/>
      <c r="E738"/>
      <c r="F738"/>
      <c r="G738"/>
      <c r="H738"/>
      <c r="I738"/>
      <c r="J738"/>
      <c r="K738"/>
      <c r="L738"/>
      <c r="M738"/>
      <c r="N738"/>
      <c r="O738"/>
      <c r="P738"/>
      <c r="Q738"/>
    </row>
    <row r="739" spans="4:17">
      <c r="D739"/>
      <c r="E739"/>
      <c r="F739"/>
      <c r="G739"/>
      <c r="H739"/>
      <c r="I739"/>
      <c r="J739"/>
      <c r="K739"/>
      <c r="L739"/>
      <c r="M739"/>
      <c r="N739"/>
      <c r="O739"/>
      <c r="P739"/>
      <c r="Q739"/>
    </row>
    <row r="740" spans="4:17">
      <c r="D740"/>
      <c r="E740"/>
      <c r="F740"/>
      <c r="G740"/>
      <c r="H740"/>
      <c r="I740"/>
      <c r="J740"/>
      <c r="K740"/>
      <c r="L740"/>
      <c r="M740"/>
      <c r="N740"/>
      <c r="O740"/>
      <c r="P740"/>
      <c r="Q740"/>
    </row>
    <row r="741" spans="4:17">
      <c r="D741"/>
      <c r="E741"/>
      <c r="F741"/>
      <c r="G741"/>
      <c r="H741"/>
      <c r="I741"/>
      <c r="J741"/>
      <c r="K741"/>
      <c r="L741"/>
      <c r="M741"/>
      <c r="N741"/>
      <c r="O741"/>
      <c r="P741"/>
      <c r="Q741"/>
    </row>
    <row r="742" spans="4:17">
      <c r="D742"/>
      <c r="E742"/>
      <c r="F742"/>
      <c r="G742"/>
      <c r="H742"/>
      <c r="I742"/>
      <c r="J742"/>
      <c r="K742"/>
      <c r="L742"/>
      <c r="M742"/>
      <c r="N742"/>
      <c r="O742"/>
      <c r="P742"/>
      <c r="Q742"/>
    </row>
    <row r="743" spans="4:17">
      <c r="D743"/>
      <c r="E743"/>
      <c r="F743"/>
      <c r="G743"/>
      <c r="H743"/>
      <c r="I743"/>
      <c r="J743"/>
      <c r="K743"/>
      <c r="L743"/>
      <c r="M743"/>
      <c r="N743"/>
      <c r="O743"/>
      <c r="P743"/>
      <c r="Q743"/>
    </row>
    <row r="744" spans="4:17">
      <c r="D744"/>
      <c r="E744"/>
      <c r="F744"/>
      <c r="G744"/>
      <c r="H744"/>
      <c r="I744"/>
      <c r="J744"/>
      <c r="K744"/>
      <c r="L744"/>
      <c r="M744"/>
      <c r="N744"/>
      <c r="O744"/>
      <c r="P744"/>
      <c r="Q744"/>
    </row>
    <row r="745" spans="4:17">
      <c r="D745"/>
      <c r="E745"/>
      <c r="F745"/>
      <c r="G745"/>
      <c r="H745"/>
      <c r="I745"/>
      <c r="J745"/>
      <c r="K745"/>
      <c r="L745"/>
      <c r="M745"/>
      <c r="N745"/>
      <c r="O745"/>
      <c r="P745"/>
      <c r="Q745"/>
    </row>
    <row r="746" spans="4:17">
      <c r="D746"/>
      <c r="E746"/>
      <c r="F746"/>
      <c r="G746"/>
      <c r="H746"/>
      <c r="I746"/>
      <c r="J746"/>
      <c r="K746"/>
      <c r="L746"/>
      <c r="M746"/>
      <c r="N746"/>
      <c r="O746"/>
      <c r="P746"/>
      <c r="Q746"/>
    </row>
    <row r="747" spans="4:17">
      <c r="D747"/>
      <c r="E747"/>
      <c r="F747"/>
      <c r="G747"/>
      <c r="H747"/>
      <c r="I747"/>
      <c r="J747"/>
      <c r="K747"/>
      <c r="L747"/>
      <c r="M747"/>
      <c r="N747"/>
      <c r="O747"/>
      <c r="P747"/>
      <c r="Q747"/>
    </row>
    <row r="748" spans="4:17">
      <c r="D748"/>
      <c r="E748"/>
      <c r="F748"/>
      <c r="G748"/>
      <c r="H748"/>
      <c r="I748"/>
      <c r="J748"/>
      <c r="K748"/>
      <c r="L748"/>
      <c r="M748"/>
      <c r="N748"/>
      <c r="O748"/>
      <c r="P748"/>
      <c r="Q748"/>
    </row>
    <row r="749" spans="4:17">
      <c r="D749"/>
      <c r="E749"/>
      <c r="F749"/>
      <c r="G749"/>
      <c r="H749"/>
      <c r="I749"/>
      <c r="J749"/>
      <c r="K749"/>
      <c r="L749"/>
      <c r="M749"/>
      <c r="N749"/>
      <c r="O749"/>
      <c r="P749"/>
      <c r="Q749"/>
    </row>
    <row r="750" spans="4:17">
      <c r="D750"/>
      <c r="E750"/>
      <c r="F750"/>
      <c r="G750"/>
      <c r="H750"/>
      <c r="I750"/>
      <c r="J750"/>
      <c r="K750"/>
      <c r="L750"/>
      <c r="M750"/>
      <c r="N750"/>
      <c r="O750"/>
      <c r="P750"/>
      <c r="Q750"/>
    </row>
    <row r="751" spans="4:17">
      <c r="D751"/>
      <c r="E751"/>
      <c r="F751"/>
      <c r="G751"/>
      <c r="H751"/>
      <c r="I751"/>
      <c r="J751"/>
      <c r="K751"/>
      <c r="L751"/>
      <c r="M751"/>
      <c r="N751"/>
      <c r="O751"/>
      <c r="P751"/>
      <c r="Q751"/>
    </row>
    <row r="752" spans="4:17">
      <c r="D752"/>
      <c r="E752"/>
      <c r="F752"/>
      <c r="G752"/>
      <c r="H752"/>
      <c r="I752"/>
      <c r="J752"/>
      <c r="K752"/>
      <c r="L752"/>
      <c r="M752"/>
      <c r="N752"/>
      <c r="O752"/>
      <c r="P752"/>
      <c r="Q752"/>
    </row>
    <row r="753" spans="4:17">
      <c r="D753"/>
      <c r="E753"/>
      <c r="F753"/>
      <c r="G753"/>
      <c r="H753"/>
      <c r="I753"/>
      <c r="J753"/>
      <c r="K753"/>
      <c r="L753"/>
      <c r="M753"/>
      <c r="N753"/>
      <c r="O753"/>
      <c r="P753"/>
      <c r="Q753"/>
    </row>
    <row r="754" spans="4:17">
      <c r="D754"/>
      <c r="E754"/>
      <c r="F754"/>
      <c r="G754"/>
      <c r="H754"/>
      <c r="I754"/>
      <c r="J754"/>
      <c r="K754"/>
      <c r="L754"/>
      <c r="M754"/>
      <c r="N754"/>
      <c r="O754"/>
      <c r="P754"/>
      <c r="Q754"/>
    </row>
    <row r="755" spans="4:17">
      <c r="D755"/>
      <c r="E755"/>
      <c r="F755"/>
      <c r="G755"/>
      <c r="H755"/>
      <c r="I755"/>
      <c r="J755"/>
      <c r="K755"/>
      <c r="L755"/>
      <c r="M755"/>
      <c r="N755"/>
      <c r="O755"/>
      <c r="P755"/>
      <c r="Q755"/>
    </row>
    <row r="756" spans="4:17">
      <c r="D756"/>
      <c r="E756"/>
      <c r="F756"/>
      <c r="G756"/>
      <c r="H756"/>
      <c r="I756"/>
      <c r="J756"/>
      <c r="K756"/>
      <c r="L756"/>
      <c r="M756"/>
      <c r="N756"/>
      <c r="O756"/>
      <c r="P756"/>
      <c r="Q756"/>
    </row>
    <row r="757" spans="4:17">
      <c r="D757"/>
      <c r="E757"/>
      <c r="F757"/>
      <c r="G757"/>
      <c r="H757"/>
      <c r="I757"/>
      <c r="J757"/>
      <c r="K757"/>
      <c r="L757"/>
      <c r="M757"/>
      <c r="N757"/>
      <c r="O757"/>
      <c r="P757"/>
      <c r="Q757"/>
    </row>
    <row r="758" spans="4:17">
      <c r="D758"/>
      <c r="E758"/>
      <c r="F758"/>
      <c r="G758"/>
      <c r="H758"/>
      <c r="I758"/>
      <c r="J758"/>
      <c r="K758"/>
      <c r="L758"/>
      <c r="M758"/>
      <c r="N758"/>
      <c r="O758"/>
      <c r="P758"/>
      <c r="Q758"/>
    </row>
    <row r="759" spans="4:17">
      <c r="D759"/>
      <c r="E759"/>
      <c r="F759"/>
      <c r="G759"/>
      <c r="H759"/>
      <c r="I759"/>
      <c r="J759"/>
      <c r="K759"/>
      <c r="L759"/>
      <c r="M759"/>
      <c r="N759"/>
      <c r="O759"/>
      <c r="P759"/>
      <c r="Q759"/>
    </row>
    <row r="760" spans="4:17">
      <c r="D760"/>
      <c r="E760"/>
      <c r="F760"/>
      <c r="G760"/>
      <c r="H760"/>
      <c r="I760"/>
      <c r="J760"/>
      <c r="K760"/>
      <c r="L760"/>
      <c r="M760"/>
      <c r="N760"/>
      <c r="O760"/>
      <c r="P760"/>
      <c r="Q760"/>
    </row>
    <row r="761" spans="4:17">
      <c r="D761"/>
      <c r="E761"/>
      <c r="F761"/>
      <c r="G761"/>
      <c r="H761"/>
      <c r="I761"/>
      <c r="J761"/>
      <c r="K761"/>
      <c r="L761"/>
      <c r="M761"/>
      <c r="N761"/>
      <c r="O761"/>
      <c r="P761"/>
      <c r="Q761"/>
    </row>
    <row r="762" spans="4:17">
      <c r="D762"/>
      <c r="E762"/>
      <c r="F762"/>
      <c r="G762"/>
      <c r="H762"/>
      <c r="I762"/>
      <c r="J762"/>
      <c r="K762"/>
      <c r="L762"/>
      <c r="M762"/>
      <c r="N762"/>
      <c r="O762"/>
      <c r="P762"/>
      <c r="Q762"/>
    </row>
    <row r="763" spans="4:17">
      <c r="D763"/>
      <c r="E763"/>
      <c r="F763"/>
      <c r="G763"/>
      <c r="H763"/>
      <c r="I763"/>
      <c r="J763"/>
      <c r="K763"/>
      <c r="L763"/>
      <c r="M763"/>
      <c r="N763"/>
      <c r="O763"/>
      <c r="P763"/>
      <c r="Q763"/>
    </row>
    <row r="764" spans="4:17">
      <c r="D764"/>
      <c r="E764"/>
      <c r="F764"/>
      <c r="G764"/>
      <c r="H764"/>
      <c r="I764"/>
      <c r="J764"/>
      <c r="K764"/>
      <c r="L764"/>
      <c r="M764"/>
      <c r="N764"/>
      <c r="O764"/>
      <c r="P764"/>
      <c r="Q764"/>
    </row>
    <row r="765" spans="4:17">
      <c r="D765"/>
      <c r="E765"/>
      <c r="F765"/>
      <c r="G765"/>
      <c r="H765"/>
      <c r="I765"/>
      <c r="J765"/>
      <c r="K765"/>
      <c r="L765"/>
      <c r="M765"/>
      <c r="N765"/>
      <c r="O765"/>
      <c r="P765"/>
      <c r="Q765"/>
    </row>
    <row r="766" spans="4:17">
      <c r="D766"/>
      <c r="E766"/>
      <c r="F766"/>
      <c r="G766"/>
      <c r="H766"/>
      <c r="I766"/>
      <c r="J766"/>
      <c r="K766"/>
      <c r="L766"/>
      <c r="M766"/>
      <c r="N766"/>
      <c r="O766"/>
      <c r="P766"/>
      <c r="Q766"/>
    </row>
    <row r="767" spans="4:17">
      <c r="D767"/>
      <c r="E767"/>
      <c r="F767"/>
      <c r="G767"/>
      <c r="H767"/>
      <c r="I767"/>
      <c r="J767"/>
      <c r="K767"/>
      <c r="L767"/>
      <c r="M767"/>
      <c r="N767"/>
      <c r="O767"/>
      <c r="P767"/>
      <c r="Q767"/>
    </row>
    <row r="768" spans="4:17">
      <c r="D768"/>
      <c r="E768"/>
      <c r="F768"/>
      <c r="G768"/>
      <c r="H768"/>
      <c r="I768"/>
      <c r="J768"/>
      <c r="K768"/>
      <c r="L768"/>
      <c r="M768"/>
      <c r="N768"/>
      <c r="O768"/>
      <c r="P768"/>
      <c r="Q768"/>
    </row>
    <row r="769" spans="4:17">
      <c r="D769"/>
      <c r="E769"/>
      <c r="F769"/>
      <c r="G769"/>
      <c r="H769"/>
      <c r="I769"/>
      <c r="J769"/>
      <c r="K769"/>
      <c r="L769"/>
      <c r="M769"/>
      <c r="N769"/>
      <c r="O769"/>
      <c r="P769"/>
      <c r="Q769"/>
    </row>
    <row r="770" spans="4:17">
      <c r="D770"/>
      <c r="E770"/>
      <c r="F770"/>
      <c r="G770"/>
      <c r="H770"/>
      <c r="I770"/>
      <c r="J770"/>
      <c r="K770"/>
      <c r="L770"/>
      <c r="M770"/>
      <c r="N770"/>
      <c r="O770"/>
      <c r="P770"/>
      <c r="Q770"/>
    </row>
    <row r="771" spans="4:17">
      <c r="D771"/>
      <c r="E771"/>
      <c r="F771"/>
      <c r="G771"/>
      <c r="H771"/>
      <c r="I771"/>
      <c r="J771"/>
      <c r="K771"/>
      <c r="L771"/>
      <c r="M771"/>
      <c r="N771"/>
      <c r="O771"/>
      <c r="P771"/>
      <c r="Q771"/>
    </row>
    <row r="772" spans="4:17">
      <c r="D772"/>
      <c r="E772"/>
      <c r="F772"/>
      <c r="G772"/>
      <c r="H772"/>
      <c r="I772"/>
      <c r="J772"/>
      <c r="K772"/>
      <c r="L772"/>
      <c r="M772"/>
      <c r="N772"/>
      <c r="O772"/>
      <c r="P772"/>
      <c r="Q772"/>
    </row>
    <row r="773" spans="4:17">
      <c r="D773"/>
      <c r="E773"/>
      <c r="F773"/>
      <c r="G773"/>
      <c r="H773"/>
      <c r="I773"/>
      <c r="J773"/>
      <c r="K773"/>
      <c r="L773"/>
      <c r="M773"/>
      <c r="N773"/>
      <c r="O773"/>
      <c r="P773"/>
      <c r="Q773"/>
    </row>
    <row r="774" spans="4:17">
      <c r="D774"/>
      <c r="E774"/>
      <c r="F774"/>
      <c r="G774"/>
      <c r="H774"/>
      <c r="I774"/>
      <c r="J774"/>
      <c r="K774"/>
      <c r="L774"/>
      <c r="M774"/>
      <c r="N774"/>
      <c r="O774"/>
      <c r="P774"/>
      <c r="Q774"/>
    </row>
    <row r="775" spans="4:17">
      <c r="D775"/>
      <c r="E775"/>
      <c r="F775"/>
      <c r="G775"/>
      <c r="H775"/>
      <c r="I775"/>
      <c r="J775"/>
      <c r="K775"/>
      <c r="L775"/>
      <c r="M775"/>
      <c r="N775"/>
      <c r="O775"/>
      <c r="P775"/>
      <c r="Q775"/>
    </row>
    <row r="776" spans="4:17">
      <c r="D776"/>
      <c r="E776"/>
      <c r="F776"/>
      <c r="G776"/>
      <c r="H776"/>
      <c r="I776"/>
      <c r="J776"/>
      <c r="K776"/>
      <c r="L776"/>
      <c r="M776"/>
      <c r="N776"/>
      <c r="O776"/>
      <c r="P776"/>
      <c r="Q776"/>
    </row>
    <row r="777" spans="4:17">
      <c r="D777"/>
      <c r="E777"/>
      <c r="F777"/>
      <c r="G777"/>
      <c r="H777"/>
      <c r="I777"/>
      <c r="J777"/>
      <c r="K777"/>
      <c r="L777"/>
      <c r="M777"/>
      <c r="N777"/>
      <c r="O777"/>
      <c r="P777"/>
      <c r="Q777"/>
    </row>
    <row r="778" spans="4:17">
      <c r="D778"/>
      <c r="E778"/>
      <c r="F778"/>
      <c r="G778"/>
      <c r="H778"/>
      <c r="I778"/>
      <c r="J778"/>
      <c r="K778"/>
      <c r="L778"/>
      <c r="M778"/>
      <c r="N778"/>
      <c r="O778"/>
      <c r="P778"/>
      <c r="Q778"/>
    </row>
    <row r="779" spans="4:17">
      <c r="D779"/>
      <c r="E779"/>
      <c r="F779"/>
      <c r="G779"/>
      <c r="H779"/>
      <c r="I779"/>
      <c r="J779"/>
      <c r="K779"/>
      <c r="L779"/>
      <c r="M779"/>
      <c r="N779"/>
      <c r="O779"/>
      <c r="P779"/>
      <c r="Q779"/>
    </row>
    <row r="780" spans="4:17">
      <c r="D780"/>
      <c r="E780"/>
      <c r="F780"/>
      <c r="G780"/>
      <c r="H780"/>
      <c r="I780"/>
      <c r="J780"/>
      <c r="K780"/>
      <c r="L780"/>
      <c r="M780"/>
      <c r="N780"/>
      <c r="O780"/>
      <c r="P780"/>
      <c r="Q780"/>
    </row>
    <row r="781" spans="4:17">
      <c r="D781"/>
      <c r="E781"/>
      <c r="F781"/>
      <c r="G781"/>
      <c r="H781"/>
      <c r="I781"/>
      <c r="J781"/>
      <c r="K781"/>
      <c r="L781"/>
      <c r="M781"/>
      <c r="N781"/>
      <c r="O781"/>
      <c r="P781"/>
      <c r="Q781"/>
    </row>
    <row r="782" spans="4:17">
      <c r="D782"/>
      <c r="E782"/>
      <c r="F782"/>
      <c r="G782"/>
      <c r="H782"/>
      <c r="I782"/>
      <c r="J782"/>
      <c r="K782"/>
      <c r="L782"/>
      <c r="M782"/>
      <c r="N782"/>
      <c r="O782"/>
      <c r="P782"/>
      <c r="Q782"/>
    </row>
    <row r="783" spans="4:17">
      <c r="D783"/>
      <c r="E783"/>
      <c r="F783"/>
      <c r="G783"/>
      <c r="H783"/>
      <c r="I783"/>
      <c r="J783"/>
      <c r="K783"/>
      <c r="L783"/>
      <c r="M783"/>
      <c r="N783"/>
      <c r="O783"/>
      <c r="P783"/>
      <c r="Q783"/>
    </row>
    <row r="784" spans="4:17">
      <c r="D784"/>
      <c r="E784"/>
      <c r="F784"/>
      <c r="G784"/>
      <c r="H784"/>
      <c r="I784"/>
      <c r="J784"/>
      <c r="K784"/>
      <c r="L784"/>
      <c r="M784"/>
      <c r="N784"/>
      <c r="O784"/>
      <c r="P784"/>
      <c r="Q784"/>
    </row>
    <row r="785" spans="4:17">
      <c r="D785"/>
      <c r="E785"/>
      <c r="F785"/>
      <c r="G785"/>
      <c r="H785"/>
      <c r="I785"/>
      <c r="J785"/>
      <c r="K785"/>
      <c r="L785"/>
      <c r="M785"/>
      <c r="N785"/>
      <c r="O785"/>
      <c r="P785"/>
      <c r="Q785"/>
    </row>
    <row r="786" spans="4:17">
      <c r="D786"/>
      <c r="E786"/>
      <c r="F786"/>
      <c r="G786"/>
      <c r="H786"/>
      <c r="I786"/>
      <c r="J786"/>
      <c r="K786"/>
      <c r="L786"/>
      <c r="M786"/>
      <c r="N786"/>
      <c r="O786"/>
      <c r="P786"/>
      <c r="Q786"/>
    </row>
    <row r="787" spans="4:17">
      <c r="D787"/>
      <c r="E787"/>
      <c r="F787"/>
      <c r="G787"/>
      <c r="H787"/>
      <c r="I787"/>
      <c r="J787"/>
      <c r="K787"/>
      <c r="L787"/>
      <c r="M787"/>
      <c r="N787"/>
      <c r="O787"/>
      <c r="P787"/>
      <c r="Q787"/>
    </row>
    <row r="788" spans="4:17">
      <c r="D788"/>
      <c r="E788"/>
      <c r="F788"/>
      <c r="G788"/>
      <c r="H788"/>
      <c r="I788"/>
      <c r="J788"/>
      <c r="K788"/>
      <c r="L788"/>
      <c r="M788"/>
      <c r="N788"/>
      <c r="O788"/>
      <c r="P788"/>
      <c r="Q788"/>
    </row>
    <row r="789" spans="4:17">
      <c r="D789"/>
      <c r="E789"/>
      <c r="F789"/>
      <c r="G789"/>
      <c r="H789"/>
      <c r="I789"/>
      <c r="J789"/>
      <c r="K789"/>
      <c r="L789"/>
      <c r="M789"/>
      <c r="N789"/>
      <c r="O789"/>
      <c r="P789"/>
      <c r="Q789"/>
    </row>
    <row r="790" spans="4:17">
      <c r="D790"/>
      <c r="E790"/>
      <c r="F790"/>
      <c r="G790"/>
      <c r="H790"/>
      <c r="I790"/>
      <c r="J790"/>
      <c r="K790"/>
      <c r="L790"/>
      <c r="M790"/>
      <c r="N790"/>
      <c r="O790"/>
      <c r="P790"/>
      <c r="Q790"/>
    </row>
    <row r="791" spans="4:17">
      <c r="D791"/>
      <c r="E791"/>
      <c r="F791"/>
      <c r="G791"/>
      <c r="H791"/>
      <c r="I791"/>
      <c r="J791"/>
      <c r="K791"/>
      <c r="L791"/>
      <c r="M791"/>
      <c r="N791"/>
      <c r="O791"/>
      <c r="P791"/>
      <c r="Q791"/>
    </row>
    <row r="792" spans="4:17">
      <c r="D792"/>
      <c r="E792"/>
      <c r="F792"/>
      <c r="G792"/>
      <c r="H792"/>
      <c r="I792"/>
      <c r="J792"/>
      <c r="K792"/>
      <c r="L792"/>
      <c r="M792"/>
      <c r="N792"/>
      <c r="O792"/>
      <c r="P792"/>
      <c r="Q792"/>
    </row>
    <row r="793" spans="4:17">
      <c r="D793"/>
      <c r="E793"/>
      <c r="F793"/>
      <c r="G793"/>
      <c r="H793"/>
      <c r="I793"/>
      <c r="J793"/>
      <c r="K793"/>
      <c r="L793"/>
      <c r="M793"/>
      <c r="N793"/>
      <c r="O793"/>
      <c r="P793"/>
      <c r="Q793"/>
    </row>
    <row r="794" spans="4:17">
      <c r="D794"/>
      <c r="E794"/>
      <c r="F794"/>
      <c r="G794"/>
      <c r="H794"/>
      <c r="I794"/>
      <c r="J794"/>
      <c r="K794"/>
      <c r="L794"/>
      <c r="M794"/>
      <c r="N794"/>
      <c r="O794"/>
      <c r="P794"/>
      <c r="Q794"/>
    </row>
    <row r="795" spans="4:17">
      <c r="D795"/>
      <c r="E795"/>
      <c r="F795"/>
      <c r="G795"/>
      <c r="H795"/>
      <c r="I795"/>
      <c r="J795"/>
      <c r="K795"/>
      <c r="L795"/>
      <c r="M795"/>
      <c r="N795"/>
      <c r="O795"/>
      <c r="P795"/>
      <c r="Q795"/>
    </row>
    <row r="796" spans="4:17">
      <c r="D796"/>
      <c r="E796"/>
      <c r="F796"/>
      <c r="G796"/>
      <c r="H796"/>
      <c r="I796"/>
      <c r="J796"/>
      <c r="K796"/>
      <c r="L796"/>
      <c r="M796"/>
      <c r="N796"/>
      <c r="O796"/>
      <c r="P796"/>
      <c r="Q796"/>
    </row>
    <row r="797" spans="4:17">
      <c r="D797"/>
      <c r="E797"/>
      <c r="F797"/>
      <c r="G797"/>
      <c r="H797"/>
      <c r="I797"/>
      <c r="J797"/>
      <c r="K797"/>
      <c r="L797"/>
      <c r="M797"/>
      <c r="N797"/>
      <c r="O797"/>
      <c r="P797"/>
      <c r="Q797"/>
    </row>
    <row r="798" spans="4:17">
      <c r="D798"/>
      <c r="E798"/>
      <c r="F798"/>
      <c r="G798"/>
      <c r="H798"/>
      <c r="I798"/>
      <c r="J798"/>
      <c r="K798"/>
      <c r="L798"/>
      <c r="M798"/>
      <c r="N798"/>
      <c r="O798"/>
      <c r="P798"/>
      <c r="Q798"/>
    </row>
    <row r="799" spans="4:17">
      <c r="D799"/>
      <c r="E799"/>
      <c r="F799"/>
      <c r="G799"/>
      <c r="H799"/>
      <c r="I799"/>
      <c r="J799"/>
      <c r="K799"/>
      <c r="L799"/>
      <c r="M799"/>
      <c r="N799"/>
      <c r="O799"/>
      <c r="P799"/>
      <c r="Q799"/>
    </row>
    <row r="800" spans="4:17">
      <c r="D800"/>
      <c r="E800"/>
      <c r="F800"/>
      <c r="G800"/>
      <c r="H800"/>
      <c r="I800"/>
      <c r="J800"/>
      <c r="K800"/>
      <c r="L800"/>
      <c r="M800"/>
      <c r="N800"/>
      <c r="O800"/>
      <c r="P800"/>
      <c r="Q800"/>
    </row>
    <row r="801" spans="4:17">
      <c r="D801"/>
      <c r="E801"/>
      <c r="F801"/>
      <c r="G801"/>
      <c r="H801"/>
      <c r="I801"/>
      <c r="J801"/>
      <c r="K801"/>
      <c r="L801"/>
      <c r="M801"/>
      <c r="N801"/>
      <c r="O801"/>
      <c r="P801"/>
      <c r="Q801"/>
    </row>
    <row r="802" spans="4:17">
      <c r="D802"/>
      <c r="E802"/>
      <c r="F802"/>
      <c r="G802"/>
      <c r="H802"/>
      <c r="I802"/>
      <c r="J802"/>
      <c r="K802"/>
      <c r="L802"/>
      <c r="M802"/>
      <c r="N802"/>
      <c r="O802"/>
      <c r="P802"/>
      <c r="Q802"/>
    </row>
    <row r="803" spans="4:17">
      <c r="D803"/>
      <c r="E803"/>
      <c r="F803"/>
      <c r="G803"/>
      <c r="H803"/>
      <c r="I803"/>
      <c r="J803"/>
      <c r="K803"/>
      <c r="L803"/>
      <c r="M803"/>
      <c r="N803"/>
      <c r="O803"/>
      <c r="P803"/>
      <c r="Q803"/>
    </row>
    <row r="804" spans="4:17">
      <c r="D804"/>
      <c r="E804"/>
      <c r="F804"/>
      <c r="G804"/>
      <c r="H804"/>
      <c r="I804"/>
      <c r="J804"/>
      <c r="K804"/>
      <c r="L804"/>
      <c r="M804"/>
      <c r="N804"/>
      <c r="O804"/>
      <c r="P804"/>
      <c r="Q804"/>
    </row>
    <row r="805" spans="4:17">
      <c r="D805"/>
      <c r="E805"/>
      <c r="F805"/>
      <c r="G805"/>
      <c r="H805"/>
      <c r="I805"/>
      <c r="J805"/>
      <c r="K805"/>
      <c r="L805"/>
      <c r="M805"/>
      <c r="N805"/>
      <c r="O805"/>
      <c r="P805"/>
      <c r="Q805"/>
    </row>
    <row r="806" spans="4:17">
      <c r="D806"/>
      <c r="E806"/>
      <c r="F806"/>
      <c r="G806"/>
      <c r="H806"/>
      <c r="I806"/>
      <c r="J806"/>
      <c r="K806"/>
      <c r="L806"/>
      <c r="M806"/>
      <c r="N806"/>
      <c r="O806"/>
      <c r="P806"/>
      <c r="Q806"/>
    </row>
    <row r="807" spans="4:17">
      <c r="D807"/>
      <c r="E807"/>
      <c r="F807"/>
      <c r="G807"/>
      <c r="H807"/>
      <c r="I807"/>
      <c r="J807"/>
      <c r="K807"/>
      <c r="L807"/>
      <c r="M807"/>
      <c r="N807"/>
      <c r="O807"/>
      <c r="P807"/>
      <c r="Q807"/>
    </row>
    <row r="808" spans="4:17">
      <c r="D808"/>
      <c r="E808"/>
      <c r="F808"/>
      <c r="G808"/>
      <c r="H808"/>
      <c r="I808"/>
      <c r="J808"/>
      <c r="K808"/>
      <c r="L808"/>
      <c r="M808"/>
      <c r="N808"/>
      <c r="O808"/>
      <c r="P808"/>
      <c r="Q808"/>
    </row>
    <row r="809" spans="4:17">
      <c r="D809"/>
      <c r="E809"/>
      <c r="F809"/>
      <c r="G809"/>
      <c r="H809"/>
      <c r="I809"/>
      <c r="J809"/>
      <c r="K809"/>
      <c r="L809"/>
      <c r="M809"/>
      <c r="N809"/>
      <c r="O809"/>
      <c r="P809"/>
      <c r="Q809"/>
    </row>
    <row r="810" spans="4:17">
      <c r="D810"/>
      <c r="E810"/>
      <c r="F810"/>
      <c r="G810"/>
      <c r="H810"/>
      <c r="I810"/>
      <c r="J810"/>
      <c r="K810"/>
      <c r="L810"/>
      <c r="M810"/>
      <c r="N810"/>
      <c r="O810"/>
      <c r="P810"/>
      <c r="Q810"/>
    </row>
    <row r="811" spans="4:17">
      <c r="D811"/>
      <c r="E811"/>
      <c r="F811"/>
      <c r="G811"/>
      <c r="H811"/>
      <c r="I811"/>
      <c r="J811"/>
      <c r="K811"/>
      <c r="L811"/>
      <c r="M811"/>
      <c r="N811"/>
      <c r="O811"/>
      <c r="P811"/>
      <c r="Q811"/>
    </row>
    <row r="812" spans="4:17">
      <c r="D812"/>
      <c r="E812"/>
      <c r="F812"/>
      <c r="G812"/>
      <c r="H812"/>
      <c r="I812"/>
      <c r="J812"/>
      <c r="K812"/>
      <c r="L812"/>
      <c r="M812"/>
      <c r="N812"/>
      <c r="O812"/>
      <c r="P812"/>
      <c r="Q812"/>
    </row>
    <row r="813" spans="4:17">
      <c r="D813"/>
      <c r="E813"/>
      <c r="F813"/>
      <c r="G813"/>
      <c r="H813"/>
      <c r="I813"/>
      <c r="J813"/>
      <c r="K813"/>
      <c r="L813"/>
      <c r="M813"/>
      <c r="N813"/>
      <c r="O813"/>
      <c r="P813"/>
      <c r="Q813"/>
    </row>
    <row r="814" spans="4:17">
      <c r="D814"/>
      <c r="E814"/>
      <c r="F814"/>
      <c r="G814"/>
      <c r="H814"/>
      <c r="I814"/>
      <c r="J814"/>
      <c r="K814"/>
      <c r="L814"/>
      <c r="M814"/>
      <c r="N814"/>
      <c r="O814"/>
      <c r="P814"/>
      <c r="Q814"/>
    </row>
    <row r="815" spans="4:17">
      <c r="D815"/>
      <c r="E815"/>
      <c r="F815"/>
      <c r="G815"/>
      <c r="H815"/>
      <c r="I815"/>
      <c r="J815"/>
      <c r="K815"/>
      <c r="L815"/>
      <c r="M815"/>
      <c r="N815"/>
      <c r="O815"/>
      <c r="P815"/>
      <c r="Q815"/>
    </row>
    <row r="816" spans="4:17">
      <c r="D816"/>
      <c r="E816"/>
      <c r="F816"/>
      <c r="G816"/>
      <c r="H816"/>
      <c r="I816"/>
      <c r="J816"/>
      <c r="K816"/>
      <c r="L816"/>
      <c r="M816"/>
      <c r="N816"/>
      <c r="O816"/>
      <c r="P816"/>
      <c r="Q816"/>
    </row>
    <row r="817" spans="4:17">
      <c r="D817"/>
      <c r="E817"/>
      <c r="F817"/>
      <c r="G817"/>
      <c r="H817"/>
      <c r="I817"/>
      <c r="J817"/>
      <c r="K817"/>
      <c r="L817"/>
      <c r="M817"/>
      <c r="N817"/>
      <c r="O817"/>
      <c r="P817"/>
      <c r="Q817"/>
    </row>
    <row r="818" spans="4:17">
      <c r="D818"/>
      <c r="E818"/>
      <c r="F818"/>
      <c r="G818"/>
      <c r="H818"/>
      <c r="I818"/>
      <c r="J818"/>
      <c r="K818"/>
      <c r="L818"/>
      <c r="M818"/>
      <c r="N818"/>
      <c r="O818"/>
      <c r="P818"/>
      <c r="Q818"/>
    </row>
    <row r="819" spans="4:17">
      <c r="D819"/>
      <c r="E819"/>
      <c r="F819"/>
      <c r="G819"/>
      <c r="H819"/>
      <c r="I819"/>
      <c r="J819"/>
      <c r="K819"/>
      <c r="L819"/>
      <c r="M819"/>
      <c r="N819"/>
      <c r="O819"/>
      <c r="P819"/>
      <c r="Q819"/>
    </row>
    <row r="820" spans="4:17">
      <c r="D820"/>
      <c r="E820"/>
      <c r="F820"/>
      <c r="G820"/>
      <c r="H820"/>
      <c r="I820"/>
      <c r="J820"/>
      <c r="K820"/>
      <c r="L820"/>
      <c r="M820"/>
      <c r="N820"/>
      <c r="O820"/>
      <c r="P820"/>
      <c r="Q820"/>
    </row>
    <row r="821" spans="4:17">
      <c r="D821"/>
      <c r="E821"/>
      <c r="F821"/>
      <c r="G821"/>
      <c r="H821"/>
      <c r="I821"/>
      <c r="J821"/>
      <c r="K821"/>
      <c r="L821"/>
      <c r="M821"/>
      <c r="N821"/>
      <c r="O821"/>
      <c r="P821"/>
      <c r="Q821"/>
    </row>
    <row r="822" spans="4:17">
      <c r="D822"/>
      <c r="E822"/>
      <c r="F822"/>
      <c r="G822"/>
      <c r="H822"/>
      <c r="I822"/>
      <c r="J822"/>
      <c r="K822"/>
      <c r="L822"/>
      <c r="M822"/>
      <c r="N822"/>
      <c r="O822"/>
      <c r="P822"/>
      <c r="Q822"/>
    </row>
    <row r="823" spans="4:17">
      <c r="D823"/>
      <c r="E823"/>
      <c r="F823"/>
      <c r="G823"/>
      <c r="H823"/>
      <c r="I823"/>
      <c r="J823"/>
      <c r="K823"/>
      <c r="L823"/>
      <c r="M823"/>
      <c r="N823"/>
      <c r="O823"/>
      <c r="P823"/>
      <c r="Q823"/>
    </row>
    <row r="824" spans="4:17">
      <c r="D824"/>
      <c r="E824"/>
      <c r="F824"/>
      <c r="G824"/>
      <c r="H824"/>
      <c r="I824"/>
      <c r="J824"/>
      <c r="K824"/>
      <c r="L824"/>
      <c r="M824"/>
      <c r="N824"/>
      <c r="O824"/>
      <c r="P824"/>
      <c r="Q824"/>
    </row>
    <row r="825" spans="4:17">
      <c r="D825"/>
      <c r="E825"/>
      <c r="F825"/>
      <c r="G825"/>
      <c r="H825"/>
      <c r="I825"/>
      <c r="J825"/>
      <c r="K825"/>
      <c r="L825"/>
      <c r="M825"/>
      <c r="N825"/>
      <c r="O825"/>
      <c r="P825"/>
      <c r="Q825"/>
    </row>
    <row r="826" spans="4:17">
      <c r="D826"/>
      <c r="E826"/>
      <c r="F826"/>
      <c r="G826"/>
      <c r="H826"/>
      <c r="I826"/>
      <c r="J826"/>
      <c r="K826"/>
      <c r="L826"/>
      <c r="M826"/>
      <c r="N826"/>
      <c r="O826"/>
      <c r="P826"/>
      <c r="Q826"/>
    </row>
    <row r="827" spans="4:17">
      <c r="D827"/>
      <c r="E827"/>
      <c r="F827"/>
      <c r="G827"/>
      <c r="H827"/>
      <c r="I827"/>
      <c r="J827"/>
      <c r="K827"/>
      <c r="L827"/>
      <c r="M827"/>
      <c r="N827"/>
      <c r="O827"/>
      <c r="P827"/>
      <c r="Q827"/>
    </row>
    <row r="828" spans="4:17">
      <c r="D828"/>
      <c r="E828"/>
      <c r="F828"/>
      <c r="G828"/>
      <c r="H828"/>
      <c r="I828"/>
      <c r="J828"/>
      <c r="K828"/>
      <c r="L828"/>
      <c r="M828"/>
      <c r="N828"/>
      <c r="O828"/>
      <c r="P828"/>
      <c r="Q828"/>
    </row>
    <row r="829" spans="4:17">
      <c r="D829"/>
      <c r="E829"/>
      <c r="F829"/>
      <c r="G829"/>
      <c r="H829"/>
      <c r="I829"/>
      <c r="J829"/>
      <c r="K829"/>
      <c r="L829"/>
      <c r="M829"/>
      <c r="N829"/>
      <c r="O829"/>
      <c r="P829"/>
      <c r="Q829"/>
    </row>
    <row r="830" spans="4:17">
      <c r="D830"/>
      <c r="E830"/>
      <c r="F830"/>
      <c r="G830"/>
      <c r="H830"/>
      <c r="I830"/>
      <c r="J830"/>
      <c r="K830"/>
      <c r="L830"/>
      <c r="M830"/>
      <c r="N830"/>
      <c r="O830"/>
      <c r="P830"/>
      <c r="Q830"/>
    </row>
    <row r="831" spans="4:17">
      <c r="D831"/>
      <c r="E831"/>
      <c r="F831"/>
      <c r="G831"/>
      <c r="H831"/>
      <c r="I831"/>
      <c r="J831"/>
      <c r="K831"/>
      <c r="L831"/>
      <c r="M831"/>
      <c r="N831"/>
      <c r="O831"/>
      <c r="P831"/>
      <c r="Q831"/>
    </row>
    <row r="832" spans="4:17">
      <c r="D832"/>
      <c r="E832"/>
      <c r="F832"/>
      <c r="G832"/>
      <c r="H832"/>
      <c r="I832"/>
      <c r="J832"/>
      <c r="K832"/>
      <c r="L832"/>
      <c r="M832"/>
      <c r="N832"/>
      <c r="O832"/>
      <c r="P832"/>
      <c r="Q832"/>
    </row>
    <row r="833" spans="4:17">
      <c r="D833"/>
      <c r="E833"/>
      <c r="F833"/>
      <c r="G833"/>
      <c r="H833"/>
      <c r="I833"/>
      <c r="J833"/>
      <c r="K833"/>
      <c r="L833"/>
      <c r="M833"/>
      <c r="N833"/>
      <c r="O833"/>
      <c r="P833"/>
      <c r="Q833"/>
    </row>
    <row r="834" spans="4:17">
      <c r="D834"/>
      <c r="E834"/>
      <c r="F834"/>
      <c r="G834"/>
      <c r="H834"/>
      <c r="I834"/>
      <c r="J834"/>
      <c r="K834"/>
      <c r="L834"/>
      <c r="M834"/>
      <c r="N834"/>
      <c r="O834"/>
      <c r="P834"/>
      <c r="Q834"/>
    </row>
    <row r="835" spans="4:17">
      <c r="D835"/>
      <c r="E835"/>
      <c r="F835"/>
      <c r="G835"/>
      <c r="H835"/>
      <c r="I835"/>
      <c r="J835"/>
      <c r="K835"/>
      <c r="L835"/>
      <c r="M835"/>
      <c r="N835"/>
      <c r="O835"/>
      <c r="P835"/>
      <c r="Q835"/>
    </row>
    <row r="836" spans="4:17">
      <c r="D836"/>
      <c r="E836"/>
      <c r="F836"/>
      <c r="G836"/>
      <c r="H836"/>
      <c r="I836"/>
      <c r="J836"/>
      <c r="K836"/>
      <c r="L836"/>
      <c r="M836"/>
      <c r="N836"/>
      <c r="O836"/>
      <c r="P836"/>
      <c r="Q836"/>
    </row>
    <row r="837" spans="4:17">
      <c r="D837"/>
      <c r="E837"/>
      <c r="F837"/>
      <c r="G837"/>
      <c r="H837"/>
      <c r="I837"/>
      <c r="J837"/>
      <c r="K837"/>
      <c r="L837"/>
      <c r="M837"/>
      <c r="N837"/>
      <c r="O837"/>
      <c r="P837"/>
      <c r="Q837"/>
    </row>
    <row r="838" spans="4:17">
      <c r="D838"/>
      <c r="E838"/>
      <c r="F838"/>
      <c r="G838"/>
      <c r="H838"/>
      <c r="I838"/>
      <c r="J838"/>
      <c r="K838"/>
      <c r="L838"/>
      <c r="M838"/>
      <c r="N838"/>
      <c r="O838"/>
      <c r="P838"/>
      <c r="Q838"/>
    </row>
    <row r="839" spans="4:17">
      <c r="D839"/>
      <c r="E839"/>
      <c r="F839"/>
      <c r="G839"/>
      <c r="H839"/>
      <c r="I839"/>
      <c r="J839"/>
      <c r="K839"/>
      <c r="L839"/>
      <c r="M839"/>
      <c r="N839"/>
      <c r="O839"/>
      <c r="P839"/>
      <c r="Q839"/>
    </row>
    <row r="840" spans="4:17">
      <c r="D840"/>
      <c r="E840"/>
      <c r="F840"/>
      <c r="G840"/>
      <c r="H840"/>
      <c r="I840"/>
      <c r="J840"/>
      <c r="K840"/>
      <c r="L840"/>
      <c r="M840"/>
      <c r="N840"/>
      <c r="O840"/>
      <c r="P840"/>
      <c r="Q840"/>
    </row>
    <row r="841" spans="4:17">
      <c r="D841"/>
      <c r="E841"/>
      <c r="F841"/>
      <c r="G841"/>
      <c r="H841"/>
      <c r="I841"/>
      <c r="J841"/>
      <c r="K841"/>
      <c r="L841"/>
      <c r="M841"/>
      <c r="N841"/>
      <c r="O841"/>
      <c r="P841"/>
      <c r="Q841"/>
    </row>
    <row r="842" spans="4:17">
      <c r="D842"/>
      <c r="E842"/>
      <c r="F842"/>
      <c r="G842"/>
      <c r="H842"/>
      <c r="I842"/>
      <c r="J842"/>
      <c r="K842"/>
      <c r="L842"/>
      <c r="M842"/>
      <c r="N842"/>
      <c r="O842"/>
      <c r="P842"/>
      <c r="Q842"/>
    </row>
    <row r="843" spans="4:17">
      <c r="D843"/>
      <c r="E843"/>
      <c r="F843"/>
      <c r="G843"/>
      <c r="H843"/>
      <c r="I843"/>
      <c r="J843"/>
      <c r="K843"/>
      <c r="L843"/>
      <c r="M843"/>
      <c r="N843"/>
      <c r="O843"/>
      <c r="P843"/>
      <c r="Q843"/>
    </row>
    <row r="844" spans="4:17">
      <c r="D844"/>
      <c r="E844"/>
      <c r="F844"/>
      <c r="G844"/>
      <c r="H844"/>
      <c r="I844"/>
      <c r="J844"/>
      <c r="K844"/>
      <c r="L844"/>
      <c r="M844"/>
      <c r="N844"/>
      <c r="O844"/>
      <c r="P844"/>
      <c r="Q844"/>
    </row>
    <row r="845" spans="4:17">
      <c r="D845"/>
      <c r="E845"/>
      <c r="F845"/>
      <c r="G845"/>
      <c r="H845"/>
      <c r="I845"/>
      <c r="J845"/>
      <c r="K845"/>
      <c r="L845"/>
      <c r="M845"/>
      <c r="N845"/>
      <c r="O845"/>
      <c r="P845"/>
      <c r="Q845"/>
    </row>
    <row r="846" spans="4:17">
      <c r="D846"/>
      <c r="E846"/>
      <c r="F846"/>
      <c r="G846"/>
      <c r="H846"/>
      <c r="I846"/>
      <c r="J846"/>
      <c r="K846"/>
      <c r="L846"/>
      <c r="M846"/>
      <c r="N846"/>
      <c r="O846"/>
      <c r="P846"/>
      <c r="Q846"/>
    </row>
    <row r="847" spans="4:17">
      <c r="D847"/>
      <c r="E847"/>
      <c r="F847"/>
      <c r="G847"/>
      <c r="H847"/>
      <c r="I847"/>
      <c r="J847"/>
      <c r="K847"/>
      <c r="L847"/>
      <c r="M847"/>
      <c r="N847"/>
      <c r="O847"/>
      <c r="P847"/>
      <c r="Q847"/>
    </row>
    <row r="848" spans="4:17">
      <c r="D848"/>
      <c r="E848"/>
      <c r="F848"/>
      <c r="G848"/>
      <c r="H848"/>
      <c r="I848"/>
      <c r="J848"/>
      <c r="K848"/>
      <c r="L848"/>
      <c r="M848"/>
      <c r="N848"/>
      <c r="O848"/>
      <c r="P848"/>
      <c r="Q848"/>
    </row>
    <row r="849" spans="4:17">
      <c r="D849"/>
      <c r="E849"/>
      <c r="F849"/>
      <c r="G849"/>
      <c r="H849"/>
      <c r="I849"/>
      <c r="J849"/>
      <c r="K849"/>
      <c r="L849"/>
      <c r="M849"/>
      <c r="N849"/>
      <c r="O849"/>
      <c r="P849"/>
      <c r="Q849"/>
    </row>
    <row r="850" spans="4:17">
      <c r="D850"/>
      <c r="E850"/>
      <c r="F850"/>
      <c r="G850"/>
      <c r="H850"/>
      <c r="I850"/>
      <c r="J850"/>
      <c r="K850"/>
      <c r="L850"/>
      <c r="M850"/>
      <c r="N850"/>
      <c r="O850"/>
      <c r="P850"/>
      <c r="Q850"/>
    </row>
    <row r="851" spans="4:17">
      <c r="D851"/>
      <c r="E851"/>
      <c r="F851"/>
      <c r="G851"/>
      <c r="H851"/>
      <c r="I851"/>
      <c r="J851"/>
      <c r="K851"/>
      <c r="L851"/>
      <c r="M851"/>
      <c r="N851"/>
      <c r="O851"/>
      <c r="P851"/>
      <c r="Q851"/>
    </row>
    <row r="852" spans="4:17">
      <c r="D852"/>
      <c r="E852"/>
      <c r="F852"/>
      <c r="G852"/>
      <c r="H852"/>
      <c r="I852"/>
      <c r="J852"/>
      <c r="K852"/>
      <c r="L852"/>
      <c r="M852"/>
      <c r="N852"/>
      <c r="O852"/>
      <c r="P852"/>
      <c r="Q852"/>
    </row>
    <row r="853" spans="4:17">
      <c r="D853"/>
      <c r="E853"/>
      <c r="F853"/>
      <c r="G853"/>
      <c r="H853"/>
      <c r="I853"/>
      <c r="J853"/>
      <c r="K853"/>
      <c r="L853"/>
      <c r="M853"/>
      <c r="N853"/>
      <c r="O853"/>
      <c r="P853"/>
      <c r="Q853"/>
    </row>
    <row r="854" spans="4:17">
      <c r="D854"/>
      <c r="E854"/>
      <c r="F854"/>
      <c r="G854"/>
      <c r="H854"/>
      <c r="I854"/>
      <c r="J854"/>
      <c r="K854"/>
      <c r="L854"/>
      <c r="M854"/>
      <c r="N854"/>
      <c r="O854"/>
      <c r="P854"/>
      <c r="Q854"/>
    </row>
    <row r="855" spans="4:17">
      <c r="D855"/>
      <c r="E855"/>
      <c r="F855"/>
      <c r="G855"/>
      <c r="H855"/>
      <c r="I855"/>
      <c r="J855"/>
      <c r="K855"/>
      <c r="L855"/>
      <c r="M855"/>
      <c r="N855"/>
      <c r="O855"/>
      <c r="P855"/>
      <c r="Q855"/>
    </row>
    <row r="856" spans="4:17">
      <c r="D856"/>
      <c r="E856"/>
      <c r="F856"/>
      <c r="G856"/>
      <c r="H856"/>
      <c r="I856"/>
      <c r="J856"/>
      <c r="K856"/>
      <c r="L856"/>
      <c r="M856"/>
      <c r="N856"/>
      <c r="O856"/>
      <c r="P856"/>
      <c r="Q856"/>
    </row>
    <row r="857" spans="4:17">
      <c r="D857"/>
      <c r="E857"/>
      <c r="F857"/>
      <c r="G857"/>
      <c r="H857"/>
      <c r="I857"/>
      <c r="J857"/>
      <c r="K857"/>
      <c r="L857"/>
      <c r="M857"/>
      <c r="N857"/>
      <c r="O857"/>
      <c r="P857"/>
      <c r="Q857"/>
    </row>
    <row r="858" spans="4:17">
      <c r="D858"/>
      <c r="E858"/>
      <c r="F858"/>
      <c r="G858"/>
      <c r="H858"/>
      <c r="I858"/>
      <c r="J858"/>
      <c r="K858"/>
      <c r="L858"/>
      <c r="M858"/>
      <c r="N858"/>
      <c r="O858"/>
      <c r="P858"/>
      <c r="Q858"/>
    </row>
    <row r="859" spans="4:17">
      <c r="D859"/>
      <c r="E859"/>
      <c r="F859"/>
      <c r="G859"/>
      <c r="H859"/>
      <c r="I859"/>
      <c r="J859"/>
      <c r="K859"/>
      <c r="L859"/>
      <c r="M859"/>
      <c r="N859"/>
      <c r="O859"/>
      <c r="P859"/>
      <c r="Q859"/>
    </row>
    <row r="860" spans="4:17">
      <c r="D860"/>
      <c r="E860"/>
      <c r="F860"/>
      <c r="G860"/>
      <c r="H860"/>
      <c r="I860"/>
      <c r="J860"/>
      <c r="K860"/>
      <c r="L860"/>
      <c r="M860"/>
      <c r="N860"/>
      <c r="O860"/>
      <c r="P860"/>
      <c r="Q860"/>
    </row>
    <row r="861" spans="4:17">
      <c r="D861"/>
      <c r="E861"/>
      <c r="F861"/>
      <c r="G861"/>
      <c r="H861"/>
      <c r="I861"/>
      <c r="J861"/>
      <c r="K861"/>
      <c r="L861"/>
      <c r="M861"/>
      <c r="N861"/>
      <c r="O861"/>
      <c r="P861"/>
      <c r="Q861"/>
    </row>
    <row r="862" spans="4:17">
      <c r="D862"/>
      <c r="E862"/>
      <c r="F862"/>
      <c r="G862"/>
      <c r="H862"/>
      <c r="I862"/>
      <c r="J862"/>
      <c r="K862"/>
      <c r="L862"/>
      <c r="M862"/>
      <c r="N862"/>
      <c r="O862"/>
      <c r="P862"/>
      <c r="Q862"/>
    </row>
    <row r="863" spans="4:17">
      <c r="D863"/>
      <c r="E863"/>
      <c r="F863"/>
      <c r="G863"/>
      <c r="H863"/>
      <c r="I863"/>
      <c r="J863"/>
      <c r="K863"/>
      <c r="L863"/>
      <c r="M863"/>
      <c r="N863"/>
      <c r="O863"/>
      <c r="P863"/>
      <c r="Q863"/>
    </row>
    <row r="864" spans="4:17">
      <c r="D864"/>
      <c r="E864"/>
      <c r="F864"/>
      <c r="G864"/>
      <c r="H864"/>
      <c r="I864"/>
      <c r="J864"/>
      <c r="K864"/>
      <c r="L864"/>
      <c r="M864"/>
      <c r="N864"/>
      <c r="O864"/>
      <c r="P864"/>
      <c r="Q864"/>
    </row>
    <row r="865" spans="4:17">
      <c r="D865"/>
      <c r="E865"/>
      <c r="F865"/>
      <c r="G865"/>
      <c r="H865"/>
      <c r="I865"/>
      <c r="J865"/>
      <c r="K865"/>
      <c r="L865"/>
      <c r="M865"/>
      <c r="N865"/>
      <c r="O865"/>
      <c r="P865"/>
      <c r="Q865"/>
    </row>
    <row r="866" spans="4:17">
      <c r="D866"/>
      <c r="E866"/>
      <c r="F866"/>
      <c r="G866"/>
      <c r="H866"/>
      <c r="I866"/>
      <c r="J866"/>
      <c r="K866"/>
      <c r="L866"/>
      <c r="M866"/>
      <c r="N866"/>
      <c r="O866"/>
      <c r="P866"/>
      <c r="Q866"/>
    </row>
    <row r="867" spans="4:17">
      <c r="D867"/>
      <c r="E867"/>
      <c r="F867"/>
      <c r="G867"/>
      <c r="H867"/>
      <c r="I867"/>
      <c r="J867"/>
      <c r="K867"/>
      <c r="L867"/>
      <c r="M867"/>
      <c r="N867"/>
      <c r="O867"/>
      <c r="P867"/>
      <c r="Q867"/>
    </row>
    <row r="868" spans="4:17">
      <c r="D868"/>
      <c r="E868"/>
      <c r="F868"/>
      <c r="G868"/>
      <c r="H868"/>
      <c r="I868"/>
      <c r="J868"/>
      <c r="K868"/>
      <c r="L868"/>
      <c r="M868"/>
      <c r="N868"/>
      <c r="O868"/>
      <c r="P868"/>
      <c r="Q868"/>
    </row>
    <row r="869" spans="4:17">
      <c r="D869"/>
      <c r="E869"/>
      <c r="F869"/>
      <c r="G869"/>
      <c r="H869"/>
      <c r="I869"/>
      <c r="J869"/>
      <c r="K869"/>
      <c r="L869"/>
      <c r="M869"/>
      <c r="N869"/>
      <c r="O869"/>
      <c r="P869"/>
      <c r="Q869"/>
    </row>
    <row r="870" spans="4:17">
      <c r="D870"/>
      <c r="E870"/>
      <c r="F870"/>
      <c r="G870"/>
      <c r="H870"/>
      <c r="I870"/>
      <c r="J870"/>
      <c r="K870"/>
      <c r="L870"/>
      <c r="M870"/>
      <c r="N870"/>
      <c r="O870"/>
      <c r="P870"/>
      <c r="Q870"/>
    </row>
    <row r="871" spans="4:17">
      <c r="D871"/>
      <c r="E871"/>
      <c r="F871"/>
      <c r="G871"/>
      <c r="H871"/>
      <c r="I871"/>
      <c r="J871"/>
      <c r="K871"/>
      <c r="L871"/>
      <c r="M871"/>
      <c r="N871"/>
      <c r="O871"/>
      <c r="P871"/>
      <c r="Q871"/>
    </row>
    <row r="872" spans="4:17">
      <c r="D872"/>
      <c r="E872"/>
      <c r="F872"/>
      <c r="G872"/>
      <c r="H872"/>
      <c r="I872"/>
      <c r="J872"/>
      <c r="K872"/>
      <c r="L872"/>
      <c r="M872"/>
      <c r="N872"/>
      <c r="O872"/>
      <c r="P872"/>
      <c r="Q872"/>
    </row>
    <row r="873" spans="4:17">
      <c r="D873"/>
      <c r="E873"/>
      <c r="F873"/>
      <c r="G873"/>
      <c r="H873"/>
      <c r="I873"/>
      <c r="J873"/>
      <c r="K873"/>
      <c r="L873"/>
      <c r="M873"/>
      <c r="N873"/>
      <c r="O873"/>
      <c r="P873"/>
      <c r="Q873"/>
    </row>
    <row r="874" spans="4:17">
      <c r="D874"/>
      <c r="E874"/>
      <c r="F874"/>
      <c r="G874"/>
      <c r="H874"/>
      <c r="I874"/>
      <c r="J874"/>
      <c r="K874"/>
      <c r="L874"/>
      <c r="M874"/>
      <c r="N874"/>
      <c r="O874"/>
      <c r="P874"/>
      <c r="Q874"/>
    </row>
    <row r="875" spans="4:17">
      <c r="D875"/>
      <c r="E875"/>
      <c r="F875"/>
      <c r="G875"/>
      <c r="H875"/>
      <c r="I875"/>
      <c r="J875"/>
      <c r="K875"/>
      <c r="L875"/>
      <c r="M875"/>
      <c r="N875"/>
      <c r="O875"/>
      <c r="P875"/>
      <c r="Q875"/>
    </row>
    <row r="876" spans="4:17">
      <c r="D876"/>
      <c r="E876"/>
      <c r="F876"/>
      <c r="G876"/>
      <c r="H876"/>
      <c r="I876"/>
      <c r="J876"/>
      <c r="K876"/>
      <c r="L876"/>
      <c r="M876"/>
      <c r="N876"/>
      <c r="O876"/>
      <c r="P876"/>
      <c r="Q876"/>
    </row>
    <row r="877" spans="4:17">
      <c r="D877"/>
      <c r="E877"/>
      <c r="F877"/>
      <c r="G877"/>
      <c r="H877"/>
      <c r="I877"/>
      <c r="J877"/>
      <c r="K877"/>
      <c r="L877"/>
      <c r="M877"/>
      <c r="N877"/>
      <c r="O877"/>
      <c r="P877"/>
      <c r="Q877"/>
    </row>
    <row r="878" spans="4:17">
      <c r="D878"/>
      <c r="E878"/>
      <c r="F878"/>
      <c r="G878"/>
      <c r="H878"/>
      <c r="I878"/>
      <c r="J878"/>
      <c r="K878"/>
      <c r="L878"/>
      <c r="M878"/>
      <c r="N878"/>
      <c r="O878"/>
      <c r="P878"/>
      <c r="Q878"/>
    </row>
    <row r="879" spans="4:17">
      <c r="D879"/>
      <c r="E879"/>
      <c r="F879"/>
      <c r="G879"/>
      <c r="H879"/>
      <c r="I879"/>
      <c r="J879"/>
      <c r="K879"/>
      <c r="L879"/>
      <c r="M879"/>
      <c r="N879"/>
      <c r="O879"/>
      <c r="P879"/>
      <c r="Q879"/>
    </row>
    <row r="880" spans="4:17">
      <c r="D880"/>
      <c r="E880"/>
      <c r="F880"/>
      <c r="G880"/>
      <c r="H880"/>
      <c r="I880"/>
      <c r="J880"/>
      <c r="K880"/>
      <c r="L880"/>
      <c r="M880"/>
      <c r="N880"/>
      <c r="O880"/>
      <c r="P880"/>
      <c r="Q880"/>
    </row>
    <row r="881" spans="4:17">
      <c r="D881"/>
      <c r="E881"/>
      <c r="F881"/>
      <c r="G881"/>
      <c r="H881"/>
      <c r="I881"/>
      <c r="J881"/>
      <c r="K881"/>
      <c r="L881"/>
      <c r="M881"/>
      <c r="N881"/>
      <c r="O881"/>
      <c r="P881"/>
      <c r="Q881"/>
    </row>
    <row r="882" spans="4:17">
      <c r="D882"/>
      <c r="E882"/>
      <c r="F882"/>
      <c r="G882"/>
      <c r="H882"/>
      <c r="I882"/>
      <c r="J882"/>
      <c r="K882"/>
      <c r="L882"/>
      <c r="M882"/>
      <c r="N882"/>
      <c r="O882"/>
      <c r="P882"/>
      <c r="Q882"/>
    </row>
    <row r="883" spans="4:17">
      <c r="D883"/>
      <c r="E883"/>
      <c r="F883"/>
      <c r="G883"/>
      <c r="H883"/>
      <c r="I883"/>
      <c r="J883"/>
      <c r="K883"/>
      <c r="L883"/>
      <c r="M883"/>
      <c r="N883"/>
      <c r="O883"/>
      <c r="P883"/>
      <c r="Q883"/>
    </row>
    <row r="884" spans="4:17">
      <c r="D884"/>
      <c r="E884"/>
      <c r="F884"/>
      <c r="G884"/>
      <c r="H884"/>
      <c r="I884"/>
      <c r="J884"/>
      <c r="K884"/>
      <c r="L884"/>
      <c r="M884"/>
      <c r="N884"/>
      <c r="O884"/>
      <c r="P884"/>
      <c r="Q884"/>
    </row>
    <row r="885" spans="4:17">
      <c r="D885"/>
      <c r="E885"/>
      <c r="F885"/>
      <c r="G885"/>
      <c r="H885"/>
      <c r="I885"/>
      <c r="J885"/>
      <c r="K885"/>
      <c r="L885"/>
      <c r="M885"/>
      <c r="N885"/>
      <c r="O885"/>
      <c r="P885"/>
      <c r="Q885"/>
    </row>
    <row r="886" spans="4:17">
      <c r="D886"/>
      <c r="E886"/>
      <c r="F886"/>
      <c r="G886"/>
      <c r="H886"/>
      <c r="I886"/>
      <c r="J886"/>
      <c r="K886"/>
      <c r="L886"/>
      <c r="M886"/>
      <c r="N886"/>
      <c r="O886"/>
      <c r="P886"/>
      <c r="Q886"/>
    </row>
    <row r="887" spans="4:17">
      <c r="D887"/>
      <c r="E887"/>
      <c r="F887"/>
      <c r="G887"/>
      <c r="H887"/>
      <c r="I887"/>
      <c r="J887"/>
      <c r="K887"/>
      <c r="L887"/>
      <c r="M887"/>
      <c r="N887"/>
      <c r="O887"/>
      <c r="P887"/>
      <c r="Q887"/>
    </row>
    <row r="888" spans="4:17">
      <c r="D888"/>
      <c r="E888"/>
      <c r="F888"/>
      <c r="G888"/>
      <c r="H888"/>
      <c r="I888"/>
      <c r="J888"/>
      <c r="K888"/>
      <c r="L888"/>
      <c r="M888"/>
      <c r="N888"/>
      <c r="O888"/>
      <c r="P888"/>
      <c r="Q888"/>
    </row>
    <row r="889" spans="4:17">
      <c r="D889"/>
      <c r="E889"/>
      <c r="F889"/>
      <c r="G889"/>
      <c r="H889"/>
      <c r="I889"/>
      <c r="J889"/>
      <c r="K889"/>
      <c r="L889"/>
      <c r="M889"/>
      <c r="N889"/>
      <c r="O889"/>
      <c r="P889"/>
      <c r="Q889"/>
    </row>
    <row r="890" spans="4:17">
      <c r="D890"/>
      <c r="E890"/>
      <c r="F890"/>
      <c r="G890"/>
      <c r="H890"/>
      <c r="I890"/>
      <c r="J890"/>
      <c r="K890"/>
      <c r="L890"/>
      <c r="M890"/>
      <c r="N890"/>
      <c r="O890"/>
      <c r="P890"/>
      <c r="Q890"/>
    </row>
    <row r="891" spans="4:17">
      <c r="D891"/>
      <c r="E891"/>
      <c r="F891"/>
      <c r="G891"/>
      <c r="H891"/>
      <c r="I891"/>
      <c r="J891"/>
      <c r="K891"/>
      <c r="L891"/>
      <c r="M891"/>
      <c r="N891"/>
      <c r="O891"/>
      <c r="P891"/>
      <c r="Q891"/>
    </row>
    <row r="892" spans="4:17">
      <c r="D892"/>
      <c r="E892"/>
      <c r="F892"/>
      <c r="G892"/>
      <c r="H892"/>
      <c r="I892"/>
      <c r="J892"/>
      <c r="K892"/>
      <c r="L892"/>
      <c r="M892"/>
      <c r="N892"/>
      <c r="O892"/>
      <c r="P892"/>
      <c r="Q892"/>
    </row>
    <row r="893" spans="4:17">
      <c r="D893"/>
      <c r="E893"/>
      <c r="F893"/>
      <c r="G893"/>
      <c r="H893"/>
      <c r="I893"/>
      <c r="J893"/>
      <c r="K893"/>
      <c r="L893"/>
      <c r="M893"/>
      <c r="N893"/>
      <c r="O893"/>
      <c r="P893"/>
      <c r="Q893"/>
    </row>
    <row r="894" spans="4:17">
      <c r="D894"/>
      <c r="E894"/>
      <c r="F894"/>
      <c r="G894"/>
      <c r="H894"/>
      <c r="I894"/>
      <c r="J894"/>
      <c r="K894"/>
      <c r="L894"/>
      <c r="M894"/>
      <c r="N894"/>
      <c r="O894"/>
      <c r="P894"/>
      <c r="Q894"/>
    </row>
    <row r="895" spans="4:17">
      <c r="D895"/>
      <c r="E895"/>
      <c r="F895"/>
      <c r="G895"/>
      <c r="H895"/>
      <c r="I895"/>
      <c r="J895"/>
      <c r="K895"/>
      <c r="L895"/>
      <c r="M895"/>
      <c r="N895"/>
      <c r="O895"/>
      <c r="P895"/>
      <c r="Q895"/>
    </row>
    <row r="896" spans="4:17">
      <c r="D896"/>
      <c r="E896"/>
      <c r="F896"/>
      <c r="G896"/>
      <c r="H896"/>
      <c r="I896"/>
      <c r="J896"/>
      <c r="K896"/>
      <c r="L896"/>
      <c r="M896"/>
      <c r="N896"/>
      <c r="O896"/>
      <c r="P896"/>
      <c r="Q896"/>
    </row>
    <row r="897" spans="4:17">
      <c r="D897"/>
      <c r="E897"/>
      <c r="F897"/>
      <c r="G897"/>
      <c r="H897"/>
      <c r="I897"/>
      <c r="J897"/>
      <c r="K897"/>
      <c r="L897"/>
      <c r="M897"/>
      <c r="N897"/>
      <c r="O897"/>
      <c r="P897"/>
      <c r="Q897"/>
    </row>
    <row r="898" spans="4:17">
      <c r="D898"/>
      <c r="E898"/>
      <c r="F898"/>
      <c r="G898"/>
      <c r="H898"/>
      <c r="I898"/>
      <c r="J898"/>
      <c r="K898"/>
      <c r="L898"/>
      <c r="M898"/>
      <c r="N898"/>
      <c r="O898"/>
      <c r="P898"/>
      <c r="Q898"/>
    </row>
    <row r="899" spans="4:17">
      <c r="D899"/>
      <c r="E899"/>
      <c r="F899"/>
      <c r="G899"/>
      <c r="H899"/>
      <c r="I899"/>
      <c r="J899"/>
      <c r="K899"/>
      <c r="L899"/>
      <c r="M899"/>
      <c r="N899"/>
      <c r="O899"/>
      <c r="P899"/>
      <c r="Q899"/>
    </row>
    <row r="900" spans="4:17">
      <c r="D900"/>
      <c r="E900"/>
      <c r="F900"/>
      <c r="G900"/>
      <c r="H900"/>
      <c r="I900"/>
      <c r="J900"/>
      <c r="K900"/>
      <c r="L900"/>
      <c r="M900"/>
      <c r="N900"/>
      <c r="O900"/>
      <c r="P900"/>
      <c r="Q900"/>
    </row>
    <row r="901" spans="4:17">
      <c r="D901"/>
      <c r="E901"/>
      <c r="F901"/>
      <c r="G901"/>
      <c r="H901"/>
      <c r="I901"/>
      <c r="J901"/>
      <c r="K901"/>
      <c r="L901"/>
      <c r="M901"/>
      <c r="N901"/>
      <c r="O901"/>
      <c r="P901"/>
      <c r="Q901"/>
    </row>
    <row r="902" spans="4:17">
      <c r="D902"/>
      <c r="E902"/>
      <c r="F902"/>
      <c r="G902"/>
      <c r="H902"/>
      <c r="I902"/>
      <c r="J902"/>
      <c r="K902"/>
      <c r="L902"/>
      <c r="M902"/>
      <c r="N902"/>
      <c r="O902"/>
      <c r="P902"/>
      <c r="Q902"/>
    </row>
    <row r="903" spans="4:17">
      <c r="D903"/>
      <c r="E903"/>
      <c r="F903"/>
      <c r="G903"/>
      <c r="H903"/>
      <c r="I903"/>
      <c r="J903"/>
      <c r="K903"/>
      <c r="L903"/>
      <c r="M903"/>
      <c r="N903"/>
      <c r="O903"/>
      <c r="P903"/>
      <c r="Q903"/>
    </row>
    <row r="904" spans="4:17">
      <c r="D904"/>
      <c r="E904"/>
      <c r="F904"/>
      <c r="G904"/>
      <c r="H904"/>
      <c r="I904"/>
      <c r="J904"/>
      <c r="K904"/>
      <c r="L904"/>
      <c r="M904"/>
      <c r="N904"/>
      <c r="O904"/>
      <c r="P904"/>
      <c r="Q904"/>
    </row>
    <row r="905" spans="4:17">
      <c r="D905"/>
      <c r="E905"/>
      <c r="F905"/>
      <c r="G905"/>
      <c r="H905"/>
      <c r="I905"/>
      <c r="J905"/>
      <c r="K905"/>
      <c r="L905"/>
      <c r="M905"/>
      <c r="N905"/>
      <c r="O905"/>
      <c r="P905"/>
      <c r="Q905"/>
    </row>
    <row r="906" spans="4:17">
      <c r="D906"/>
      <c r="E906"/>
      <c r="F906"/>
      <c r="G906"/>
      <c r="H906"/>
      <c r="I906"/>
      <c r="J906"/>
      <c r="K906"/>
      <c r="L906"/>
      <c r="M906"/>
      <c r="N906"/>
      <c r="O906"/>
      <c r="P906"/>
      <c r="Q906"/>
    </row>
    <row r="907" spans="4:17">
      <c r="D907"/>
      <c r="E907"/>
      <c r="F907"/>
      <c r="G907"/>
      <c r="H907"/>
      <c r="I907"/>
      <c r="J907"/>
      <c r="K907"/>
      <c r="L907"/>
      <c r="M907"/>
      <c r="N907"/>
      <c r="O907"/>
      <c r="P907"/>
      <c r="Q907"/>
    </row>
    <row r="908" spans="4:17">
      <c r="D908"/>
      <c r="E908"/>
      <c r="F908"/>
      <c r="G908"/>
      <c r="H908"/>
      <c r="I908"/>
      <c r="J908"/>
      <c r="K908"/>
      <c r="L908"/>
      <c r="M908"/>
      <c r="N908"/>
      <c r="O908"/>
      <c r="P908"/>
      <c r="Q908"/>
    </row>
    <row r="909" spans="4:17">
      <c r="D909"/>
      <c r="E909"/>
      <c r="F909"/>
      <c r="G909"/>
      <c r="H909"/>
      <c r="I909"/>
      <c r="J909"/>
      <c r="K909"/>
      <c r="L909"/>
      <c r="M909"/>
      <c r="N909"/>
      <c r="O909"/>
      <c r="P909"/>
      <c r="Q909"/>
    </row>
    <row r="910" spans="4:17">
      <c r="D910"/>
      <c r="E910"/>
      <c r="F910"/>
      <c r="G910"/>
      <c r="H910"/>
      <c r="I910"/>
      <c r="J910"/>
      <c r="K910"/>
      <c r="L910"/>
      <c r="M910"/>
      <c r="N910"/>
      <c r="O910"/>
      <c r="P910"/>
      <c r="Q910"/>
    </row>
    <row r="911" spans="4:17">
      <c r="D911"/>
      <c r="E911"/>
      <c r="F911"/>
      <c r="G911"/>
      <c r="H911"/>
      <c r="I911"/>
      <c r="J911"/>
      <c r="K911"/>
      <c r="L911"/>
      <c r="M911"/>
      <c r="N911"/>
      <c r="O911"/>
      <c r="P911"/>
      <c r="Q911"/>
    </row>
    <row r="912" spans="4:17">
      <c r="D912"/>
      <c r="E912"/>
      <c r="F912"/>
      <c r="G912"/>
      <c r="H912"/>
      <c r="I912"/>
      <c r="J912"/>
      <c r="K912"/>
      <c r="L912"/>
      <c r="M912"/>
      <c r="N912"/>
      <c r="O912"/>
      <c r="P912"/>
      <c r="Q912"/>
    </row>
    <row r="913" spans="4:17">
      <c r="D913"/>
      <c r="E913"/>
      <c r="F913"/>
      <c r="G913"/>
      <c r="H913"/>
      <c r="I913"/>
      <c r="J913"/>
      <c r="K913"/>
      <c r="L913"/>
      <c r="M913"/>
      <c r="N913"/>
      <c r="O913"/>
      <c r="P913"/>
      <c r="Q913"/>
    </row>
    <row r="914" spans="4:17">
      <c r="D914"/>
      <c r="E914"/>
      <c r="F914"/>
      <c r="G914"/>
      <c r="H914"/>
      <c r="I914"/>
      <c r="J914"/>
      <c r="K914"/>
      <c r="L914"/>
      <c r="M914"/>
      <c r="N914"/>
      <c r="O914"/>
      <c r="P914"/>
      <c r="Q914"/>
    </row>
    <row r="915" spans="4:17">
      <c r="D915"/>
      <c r="E915"/>
      <c r="F915"/>
      <c r="G915"/>
      <c r="H915"/>
      <c r="I915"/>
      <c r="J915"/>
      <c r="K915"/>
      <c r="L915"/>
      <c r="M915"/>
      <c r="N915"/>
      <c r="O915"/>
      <c r="P915"/>
      <c r="Q915"/>
    </row>
    <row r="916" spans="4:17">
      <c r="D916"/>
      <c r="E916"/>
      <c r="F916"/>
      <c r="G916"/>
      <c r="H916"/>
      <c r="I916"/>
      <c r="J916"/>
      <c r="K916"/>
      <c r="L916"/>
      <c r="M916"/>
      <c r="N916"/>
      <c r="O916"/>
      <c r="P916"/>
      <c r="Q916"/>
    </row>
    <row r="917" spans="4:17">
      <c r="D917"/>
      <c r="E917"/>
      <c r="F917"/>
      <c r="G917"/>
      <c r="H917"/>
      <c r="I917"/>
      <c r="J917"/>
      <c r="K917"/>
      <c r="L917"/>
      <c r="M917"/>
      <c r="N917"/>
      <c r="O917"/>
      <c r="P917"/>
      <c r="Q917"/>
    </row>
    <row r="918" spans="4:17">
      <c r="D918"/>
      <c r="E918"/>
      <c r="F918"/>
      <c r="G918"/>
      <c r="H918"/>
      <c r="I918"/>
      <c r="J918"/>
      <c r="K918"/>
      <c r="L918"/>
      <c r="M918"/>
      <c r="N918"/>
      <c r="O918"/>
      <c r="P918"/>
      <c r="Q918"/>
    </row>
    <row r="919" spans="4:17">
      <c r="D919"/>
      <c r="E919"/>
      <c r="F919"/>
      <c r="G919"/>
      <c r="H919"/>
      <c r="I919"/>
      <c r="J919"/>
      <c r="K919"/>
      <c r="L919"/>
      <c r="M919"/>
      <c r="N919"/>
      <c r="O919"/>
      <c r="P919"/>
      <c r="Q919"/>
    </row>
    <row r="920" spans="4:17">
      <c r="D920"/>
      <c r="E920"/>
      <c r="F920"/>
      <c r="G920"/>
      <c r="H920"/>
      <c r="I920"/>
      <c r="J920"/>
      <c r="K920"/>
      <c r="L920"/>
      <c r="M920"/>
      <c r="N920"/>
      <c r="O920"/>
      <c r="P920"/>
      <c r="Q920"/>
    </row>
    <row r="921" spans="4:17">
      <c r="D921"/>
      <c r="E921"/>
      <c r="F921"/>
      <c r="G921"/>
      <c r="H921"/>
      <c r="I921"/>
      <c r="J921"/>
      <c r="K921"/>
      <c r="L921"/>
      <c r="M921"/>
      <c r="N921"/>
      <c r="O921"/>
      <c r="P921"/>
      <c r="Q921"/>
    </row>
    <row r="922" spans="4:17">
      <c r="D922"/>
      <c r="E922"/>
      <c r="F922"/>
      <c r="G922"/>
      <c r="H922"/>
      <c r="I922"/>
      <c r="J922"/>
      <c r="K922"/>
      <c r="L922"/>
      <c r="M922"/>
      <c r="N922"/>
      <c r="O922"/>
      <c r="P922"/>
      <c r="Q922"/>
    </row>
    <row r="923" spans="4:17">
      <c r="D923"/>
      <c r="E923"/>
      <c r="F923"/>
      <c r="G923"/>
      <c r="H923"/>
      <c r="I923"/>
      <c r="J923"/>
      <c r="K923"/>
      <c r="L923"/>
      <c r="M923"/>
      <c r="N923"/>
      <c r="O923"/>
      <c r="P923"/>
      <c r="Q923"/>
    </row>
    <row r="924" spans="4:17">
      <c r="D924"/>
      <c r="E924"/>
      <c r="F924"/>
      <c r="G924"/>
      <c r="H924"/>
      <c r="I924"/>
      <c r="J924"/>
      <c r="K924"/>
      <c r="L924"/>
      <c r="M924"/>
      <c r="N924"/>
      <c r="O924"/>
      <c r="P924"/>
      <c r="Q924"/>
    </row>
    <row r="925" spans="4:17">
      <c r="D925"/>
      <c r="E925"/>
      <c r="F925"/>
      <c r="G925"/>
      <c r="H925"/>
      <c r="I925"/>
      <c r="J925"/>
      <c r="K925"/>
      <c r="L925"/>
      <c r="M925"/>
      <c r="N925"/>
      <c r="O925"/>
      <c r="P925"/>
      <c r="Q925"/>
    </row>
    <row r="926" spans="4:17">
      <c r="D926"/>
      <c r="E926"/>
      <c r="F926"/>
      <c r="G926"/>
      <c r="H926"/>
      <c r="I926"/>
      <c r="J926"/>
      <c r="K926"/>
      <c r="L926"/>
      <c r="M926"/>
      <c r="N926"/>
      <c r="O926"/>
      <c r="P926"/>
      <c r="Q926"/>
    </row>
    <row r="927" spans="4:17">
      <c r="D927"/>
      <c r="E927"/>
      <c r="F927"/>
      <c r="G927"/>
      <c r="H927"/>
      <c r="I927"/>
      <c r="J927"/>
      <c r="K927"/>
      <c r="L927"/>
      <c r="M927"/>
      <c r="N927"/>
      <c r="O927"/>
      <c r="P927"/>
      <c r="Q927"/>
    </row>
    <row r="928" spans="4:17">
      <c r="D928"/>
      <c r="E928"/>
      <c r="F928"/>
      <c r="G928"/>
      <c r="H928"/>
      <c r="I928"/>
      <c r="J928"/>
      <c r="K928"/>
      <c r="L928"/>
      <c r="M928"/>
      <c r="N928"/>
      <c r="O928"/>
      <c r="P928"/>
      <c r="Q928"/>
    </row>
    <row r="929" spans="4:17">
      <c r="D929"/>
      <c r="E929"/>
      <c r="F929"/>
      <c r="G929"/>
      <c r="H929"/>
      <c r="I929"/>
      <c r="J929"/>
      <c r="K929"/>
      <c r="L929"/>
      <c r="M929"/>
      <c r="N929"/>
      <c r="O929"/>
      <c r="P929"/>
      <c r="Q929"/>
    </row>
    <row r="930" spans="4:17">
      <c r="D930"/>
      <c r="E930"/>
      <c r="F930"/>
      <c r="G930"/>
      <c r="H930"/>
      <c r="I930"/>
      <c r="J930"/>
      <c r="K930"/>
      <c r="L930"/>
      <c r="M930"/>
      <c r="N930"/>
      <c r="O930"/>
      <c r="P930"/>
      <c r="Q930"/>
    </row>
    <row r="931" spans="4:17">
      <c r="D931"/>
      <c r="E931"/>
      <c r="F931"/>
      <c r="G931"/>
      <c r="H931"/>
      <c r="I931"/>
      <c r="J931"/>
      <c r="K931"/>
      <c r="L931"/>
      <c r="M931"/>
      <c r="N931"/>
      <c r="O931"/>
      <c r="P931"/>
      <c r="Q931"/>
    </row>
    <row r="932" spans="4:17">
      <c r="D932"/>
      <c r="E932"/>
      <c r="F932"/>
      <c r="G932"/>
      <c r="H932"/>
      <c r="I932"/>
      <c r="J932"/>
      <c r="K932"/>
      <c r="L932"/>
      <c r="M932"/>
      <c r="N932"/>
      <c r="O932"/>
      <c r="P932"/>
      <c r="Q932"/>
    </row>
    <row r="933" spans="4:17">
      <c r="D933"/>
      <c r="E933"/>
      <c r="F933"/>
      <c r="G933"/>
      <c r="H933"/>
      <c r="I933"/>
      <c r="J933"/>
      <c r="K933"/>
      <c r="L933"/>
      <c r="M933"/>
      <c r="N933"/>
      <c r="O933"/>
      <c r="P933"/>
      <c r="Q933"/>
    </row>
    <row r="934" spans="4:17">
      <c r="D934"/>
      <c r="E934"/>
      <c r="F934"/>
      <c r="G934"/>
      <c r="H934"/>
      <c r="I934"/>
      <c r="J934"/>
      <c r="K934"/>
      <c r="L934"/>
      <c r="M934"/>
      <c r="N934"/>
      <c r="O934"/>
      <c r="P934"/>
      <c r="Q934"/>
    </row>
    <row r="935" spans="4:17">
      <c r="D935"/>
      <c r="E935"/>
      <c r="F935"/>
      <c r="G935"/>
      <c r="H935"/>
      <c r="I935"/>
      <c r="J935"/>
      <c r="K935"/>
      <c r="L935"/>
      <c r="M935"/>
      <c r="N935"/>
      <c r="O935"/>
      <c r="P935"/>
      <c r="Q935"/>
    </row>
    <row r="936" spans="4:17">
      <c r="D936"/>
      <c r="E936"/>
      <c r="F936"/>
      <c r="G936"/>
      <c r="H936"/>
      <c r="I936"/>
      <c r="J936"/>
      <c r="K936"/>
      <c r="L936"/>
      <c r="M936"/>
      <c r="N936"/>
      <c r="O936"/>
      <c r="P936"/>
      <c r="Q936"/>
    </row>
    <row r="937" spans="4:17">
      <c r="D937"/>
      <c r="E937"/>
      <c r="F937"/>
      <c r="G937"/>
      <c r="H937"/>
      <c r="I937"/>
      <c r="J937"/>
      <c r="K937"/>
      <c r="L937"/>
      <c r="M937"/>
      <c r="N937"/>
      <c r="O937"/>
      <c r="P937"/>
      <c r="Q937"/>
    </row>
    <row r="938" spans="4:17">
      <c r="D938"/>
      <c r="E938"/>
      <c r="F938"/>
      <c r="G938"/>
      <c r="H938"/>
      <c r="I938"/>
      <c r="J938"/>
      <c r="K938"/>
      <c r="L938"/>
      <c r="M938"/>
      <c r="N938"/>
      <c r="O938"/>
      <c r="P938"/>
      <c r="Q938"/>
    </row>
    <row r="939" spans="4:17">
      <c r="D939"/>
      <c r="E939"/>
      <c r="F939"/>
      <c r="G939"/>
      <c r="H939"/>
      <c r="I939"/>
      <c r="J939"/>
      <c r="K939"/>
      <c r="L939"/>
      <c r="M939"/>
      <c r="N939"/>
      <c r="O939"/>
      <c r="P939"/>
      <c r="Q939"/>
    </row>
    <row r="940" spans="4:17">
      <c r="D940"/>
      <c r="E940"/>
      <c r="F940"/>
      <c r="G940"/>
      <c r="H940"/>
      <c r="I940"/>
      <c r="J940"/>
      <c r="K940"/>
      <c r="L940"/>
      <c r="M940"/>
      <c r="N940"/>
      <c r="O940"/>
      <c r="P940"/>
      <c r="Q940"/>
    </row>
    <row r="941" spans="4:17">
      <c r="D941"/>
      <c r="E941"/>
      <c r="F941"/>
      <c r="G941"/>
      <c r="H941"/>
      <c r="I941"/>
      <c r="J941"/>
      <c r="K941"/>
      <c r="L941"/>
      <c r="M941"/>
      <c r="N941"/>
      <c r="O941"/>
      <c r="P941"/>
      <c r="Q941"/>
    </row>
    <row r="942" spans="4:17">
      <c r="D942"/>
      <c r="E942"/>
      <c r="F942"/>
      <c r="G942"/>
      <c r="H942"/>
      <c r="I942"/>
      <c r="J942"/>
      <c r="K942"/>
      <c r="L942"/>
      <c r="M942"/>
      <c r="N942"/>
      <c r="O942"/>
      <c r="P942"/>
      <c r="Q942"/>
    </row>
    <row r="943" spans="4:17">
      <c r="D943"/>
      <c r="E943"/>
      <c r="F943"/>
      <c r="G943"/>
      <c r="H943"/>
      <c r="I943"/>
      <c r="J943"/>
      <c r="K943"/>
      <c r="L943"/>
      <c r="M943"/>
      <c r="N943"/>
      <c r="O943"/>
      <c r="P943"/>
      <c r="Q943"/>
    </row>
    <row r="944" spans="4:17">
      <c r="D944"/>
      <c r="E944"/>
      <c r="F944"/>
      <c r="G944"/>
      <c r="H944"/>
      <c r="I944"/>
      <c r="J944"/>
      <c r="K944"/>
      <c r="L944"/>
      <c r="M944"/>
      <c r="N944"/>
      <c r="O944"/>
      <c r="P944"/>
      <c r="Q944"/>
    </row>
    <row r="945" spans="4:17">
      <c r="D945"/>
      <c r="E945"/>
      <c r="F945"/>
      <c r="G945"/>
      <c r="H945"/>
      <c r="I945"/>
      <c r="J945"/>
      <c r="K945"/>
      <c r="L945"/>
      <c r="M945"/>
      <c r="N945"/>
      <c r="O945"/>
      <c r="P945"/>
      <c r="Q945"/>
    </row>
    <row r="946" spans="4:17">
      <c r="D946"/>
      <c r="E946"/>
      <c r="F946"/>
      <c r="G946"/>
      <c r="H946"/>
      <c r="I946"/>
      <c r="J946"/>
      <c r="K946"/>
      <c r="L946"/>
      <c r="M946"/>
      <c r="N946"/>
      <c r="O946"/>
      <c r="P946"/>
      <c r="Q946"/>
    </row>
    <row r="947" spans="4:17">
      <c r="D947"/>
      <c r="E947"/>
      <c r="F947"/>
      <c r="G947"/>
      <c r="H947"/>
      <c r="I947"/>
      <c r="J947"/>
      <c r="K947"/>
      <c r="L947"/>
      <c r="M947"/>
      <c r="N947"/>
      <c r="O947"/>
      <c r="P947"/>
      <c r="Q947"/>
    </row>
    <row r="948" spans="4:17">
      <c r="D948"/>
      <c r="E948"/>
      <c r="F948"/>
      <c r="G948"/>
      <c r="H948"/>
      <c r="I948"/>
      <c r="J948"/>
      <c r="K948"/>
      <c r="L948"/>
      <c r="M948"/>
      <c r="N948"/>
      <c r="O948"/>
      <c r="P948"/>
      <c r="Q948"/>
    </row>
    <row r="949" spans="4:17">
      <c r="D949"/>
      <c r="E949"/>
      <c r="F949"/>
      <c r="G949"/>
      <c r="H949"/>
      <c r="I949"/>
      <c r="J949"/>
      <c r="K949"/>
      <c r="L949"/>
      <c r="M949"/>
      <c r="N949"/>
      <c r="O949"/>
      <c r="P949"/>
      <c r="Q949"/>
    </row>
    <row r="950" spans="4:17">
      <c r="D950"/>
      <c r="E950"/>
      <c r="F950"/>
      <c r="G950"/>
      <c r="H950"/>
      <c r="I950"/>
      <c r="J950"/>
      <c r="K950"/>
      <c r="L950"/>
      <c r="M950"/>
      <c r="N950"/>
      <c r="O950"/>
      <c r="P950"/>
      <c r="Q950"/>
    </row>
    <row r="951" spans="4:17">
      <c r="D951"/>
      <c r="E951"/>
      <c r="F951"/>
      <c r="G951"/>
      <c r="H951"/>
      <c r="I951"/>
      <c r="J951"/>
      <c r="K951"/>
      <c r="L951"/>
      <c r="M951"/>
      <c r="N951"/>
      <c r="O951"/>
      <c r="P951"/>
      <c r="Q951"/>
    </row>
    <row r="952" spans="4:17">
      <c r="D952"/>
      <c r="E952"/>
      <c r="F952"/>
      <c r="G952"/>
      <c r="H952"/>
      <c r="I952"/>
      <c r="J952"/>
      <c r="K952"/>
      <c r="L952"/>
      <c r="M952"/>
      <c r="N952"/>
      <c r="O952"/>
      <c r="P952"/>
      <c r="Q952"/>
    </row>
    <row r="953" spans="4:17">
      <c r="D953"/>
      <c r="E953"/>
      <c r="F953"/>
      <c r="G953"/>
      <c r="H953"/>
      <c r="I953"/>
      <c r="J953"/>
      <c r="K953"/>
      <c r="L953"/>
      <c r="M953"/>
      <c r="N953"/>
      <c r="O953"/>
      <c r="P953"/>
      <c r="Q953"/>
    </row>
    <row r="954" spans="4:17">
      <c r="D954"/>
      <c r="E954"/>
      <c r="F954"/>
      <c r="G954"/>
      <c r="H954"/>
      <c r="I954"/>
      <c r="J954"/>
      <c r="K954"/>
      <c r="L954"/>
      <c r="M954"/>
      <c r="N954"/>
      <c r="O954"/>
      <c r="P954"/>
      <c r="Q954"/>
    </row>
    <row r="955" spans="4:17">
      <c r="D955"/>
      <c r="E955"/>
      <c r="F955"/>
      <c r="G955"/>
      <c r="H955"/>
      <c r="I955"/>
      <c r="J955"/>
      <c r="K955"/>
      <c r="L955"/>
      <c r="M955"/>
      <c r="N955"/>
      <c r="O955"/>
      <c r="P955"/>
      <c r="Q955"/>
    </row>
    <row r="956" spans="4:17">
      <c r="D956"/>
      <c r="E956"/>
      <c r="F956"/>
      <c r="G956"/>
      <c r="H956"/>
      <c r="I956"/>
      <c r="J956"/>
      <c r="K956"/>
      <c r="L956"/>
      <c r="M956"/>
      <c r="N956"/>
      <c r="O956"/>
      <c r="P956"/>
      <c r="Q956"/>
    </row>
    <row r="957" spans="4:17">
      <c r="D957"/>
      <c r="E957"/>
      <c r="F957"/>
      <c r="G957"/>
      <c r="H957"/>
      <c r="I957"/>
      <c r="J957"/>
      <c r="K957"/>
      <c r="L957"/>
      <c r="M957"/>
      <c r="N957"/>
      <c r="O957"/>
      <c r="P957"/>
      <c r="Q957"/>
    </row>
    <row r="958" spans="4:17">
      <c r="D958"/>
      <c r="E958"/>
      <c r="F958"/>
      <c r="G958"/>
      <c r="H958"/>
      <c r="I958"/>
      <c r="J958"/>
      <c r="K958"/>
      <c r="L958"/>
      <c r="M958"/>
      <c r="N958"/>
      <c r="O958"/>
      <c r="P958"/>
      <c r="Q958"/>
    </row>
    <row r="959" spans="4:17">
      <c r="D959"/>
      <c r="E959"/>
      <c r="F959"/>
      <c r="G959"/>
      <c r="H959"/>
      <c r="I959"/>
      <c r="J959"/>
      <c r="K959"/>
      <c r="L959"/>
      <c r="M959"/>
      <c r="N959"/>
      <c r="O959"/>
      <c r="P959"/>
      <c r="Q959"/>
    </row>
    <row r="960" spans="4:17">
      <c r="D960"/>
      <c r="E960"/>
      <c r="F960"/>
      <c r="G960"/>
      <c r="H960"/>
      <c r="I960"/>
      <c r="J960"/>
      <c r="K960"/>
      <c r="L960"/>
      <c r="M960"/>
      <c r="N960"/>
      <c r="O960"/>
      <c r="P960"/>
      <c r="Q960"/>
    </row>
    <row r="961" spans="4:17">
      <c r="D961"/>
      <c r="E961"/>
      <c r="F961"/>
      <c r="G961"/>
      <c r="H961"/>
      <c r="I961"/>
      <c r="J961"/>
      <c r="K961"/>
      <c r="L961"/>
      <c r="M961"/>
      <c r="N961"/>
      <c r="O961"/>
      <c r="P961"/>
      <c r="Q961"/>
    </row>
    <row r="962" spans="4:17">
      <c r="D962"/>
      <c r="E962"/>
      <c r="F962"/>
      <c r="G962"/>
      <c r="H962"/>
      <c r="I962"/>
      <c r="J962"/>
      <c r="K962"/>
      <c r="L962"/>
      <c r="M962"/>
      <c r="N962"/>
      <c r="O962"/>
      <c r="P962"/>
      <c r="Q962"/>
    </row>
    <row r="963" spans="4:17">
      <c r="D963"/>
      <c r="E963"/>
      <c r="F963"/>
      <c r="G963"/>
      <c r="H963"/>
      <c r="I963"/>
      <c r="J963"/>
      <c r="K963"/>
      <c r="L963"/>
      <c r="M963"/>
      <c r="N963"/>
      <c r="O963"/>
      <c r="P963"/>
      <c r="Q963"/>
    </row>
    <row r="964" spans="4:17">
      <c r="D964"/>
      <c r="E964"/>
      <c r="F964"/>
      <c r="G964"/>
      <c r="H964"/>
      <c r="I964"/>
      <c r="J964"/>
      <c r="K964"/>
      <c r="L964"/>
      <c r="M964"/>
      <c r="N964"/>
      <c r="O964"/>
      <c r="P964"/>
      <c r="Q964"/>
    </row>
    <row r="965" spans="4:17">
      <c r="D965"/>
      <c r="E965"/>
      <c r="F965"/>
      <c r="G965"/>
      <c r="H965"/>
      <c r="I965"/>
      <c r="J965"/>
      <c r="K965"/>
      <c r="L965"/>
      <c r="M965"/>
      <c r="N965"/>
      <c r="O965"/>
      <c r="P965"/>
      <c r="Q965"/>
    </row>
    <row r="966" spans="4:17">
      <c r="D966"/>
      <c r="E966"/>
      <c r="F966"/>
      <c r="G966"/>
      <c r="H966"/>
      <c r="I966"/>
      <c r="J966"/>
      <c r="K966"/>
      <c r="L966"/>
      <c r="M966"/>
      <c r="N966"/>
      <c r="O966"/>
      <c r="P966"/>
      <c r="Q966"/>
    </row>
    <row r="967" spans="4:17">
      <c r="D967"/>
      <c r="E967"/>
      <c r="F967"/>
      <c r="G967"/>
      <c r="H967"/>
      <c r="I967"/>
      <c r="J967"/>
      <c r="K967"/>
      <c r="L967"/>
      <c r="M967"/>
      <c r="N967"/>
      <c r="O967"/>
      <c r="P967"/>
      <c r="Q967"/>
    </row>
    <row r="968" spans="4:17">
      <c r="D968"/>
      <c r="E968"/>
      <c r="F968"/>
      <c r="G968"/>
      <c r="H968"/>
      <c r="I968"/>
      <c r="J968"/>
      <c r="K968"/>
      <c r="L968"/>
      <c r="M968"/>
      <c r="N968"/>
      <c r="O968"/>
      <c r="P968"/>
      <c r="Q968"/>
    </row>
    <row r="969" spans="4:17">
      <c r="D969"/>
      <c r="E969"/>
      <c r="F969"/>
      <c r="G969"/>
      <c r="H969"/>
      <c r="I969"/>
      <c r="J969"/>
      <c r="K969"/>
      <c r="L969"/>
      <c r="M969"/>
      <c r="N969"/>
      <c r="O969"/>
      <c r="P969"/>
      <c r="Q969"/>
    </row>
    <row r="970" spans="4:17">
      <c r="D970"/>
      <c r="E970"/>
      <c r="F970"/>
      <c r="G970"/>
      <c r="H970"/>
      <c r="I970"/>
      <c r="J970"/>
      <c r="K970"/>
      <c r="L970"/>
      <c r="M970"/>
      <c r="N970"/>
      <c r="O970"/>
      <c r="P970"/>
      <c r="Q970"/>
    </row>
    <row r="971" spans="4:17">
      <c r="D971"/>
      <c r="E971"/>
      <c r="F971"/>
      <c r="G971"/>
      <c r="H971"/>
      <c r="I971"/>
      <c r="J971"/>
      <c r="K971"/>
      <c r="L971"/>
      <c r="M971"/>
      <c r="N971"/>
      <c r="O971"/>
      <c r="P971"/>
      <c r="Q971"/>
    </row>
    <row r="972" spans="4:17">
      <c r="D972"/>
      <c r="E972"/>
      <c r="F972"/>
      <c r="G972"/>
      <c r="H972"/>
      <c r="I972"/>
      <c r="J972"/>
      <c r="K972"/>
      <c r="L972"/>
      <c r="M972"/>
      <c r="N972"/>
      <c r="O972"/>
      <c r="P972"/>
      <c r="Q972"/>
    </row>
    <row r="973" spans="4:17">
      <c r="D973"/>
      <c r="E973"/>
      <c r="F973"/>
      <c r="G973"/>
      <c r="H973"/>
      <c r="I973"/>
      <c r="J973"/>
      <c r="K973"/>
      <c r="L973"/>
      <c r="M973"/>
      <c r="N973"/>
      <c r="O973"/>
      <c r="P973"/>
      <c r="Q973"/>
    </row>
    <row r="974" spans="4:17">
      <c r="D974"/>
      <c r="E974"/>
      <c r="F974"/>
      <c r="G974"/>
      <c r="H974"/>
      <c r="I974"/>
      <c r="J974"/>
      <c r="K974"/>
      <c r="L974"/>
      <c r="M974"/>
      <c r="N974"/>
      <c r="O974"/>
      <c r="P974"/>
      <c r="Q974"/>
    </row>
    <row r="975" spans="4:17">
      <c r="D975"/>
      <c r="E975"/>
      <c r="F975"/>
      <c r="G975"/>
      <c r="H975"/>
      <c r="I975"/>
      <c r="J975"/>
      <c r="K975"/>
      <c r="L975"/>
      <c r="M975"/>
      <c r="N975"/>
      <c r="O975"/>
      <c r="P975"/>
      <c r="Q975"/>
    </row>
    <row r="976" spans="4:17">
      <c r="D976"/>
      <c r="E976"/>
      <c r="F976"/>
      <c r="G976"/>
      <c r="H976"/>
      <c r="I976"/>
      <c r="J976"/>
      <c r="K976"/>
      <c r="L976"/>
      <c r="M976"/>
      <c r="N976"/>
      <c r="O976"/>
      <c r="P976"/>
      <c r="Q976"/>
    </row>
    <row r="977" spans="4:17">
      <c r="D977"/>
      <c r="E977"/>
      <c r="F977"/>
      <c r="G977"/>
      <c r="H977"/>
      <c r="I977"/>
      <c r="J977"/>
      <c r="K977"/>
      <c r="L977"/>
      <c r="M977"/>
      <c r="N977"/>
      <c r="O977"/>
      <c r="P977"/>
      <c r="Q977"/>
    </row>
    <row r="978" spans="4:17">
      <c r="D978"/>
      <c r="E978"/>
      <c r="F978"/>
      <c r="G978"/>
      <c r="H978"/>
      <c r="I978"/>
      <c r="J978"/>
      <c r="K978"/>
      <c r="L978"/>
      <c r="M978"/>
      <c r="N978"/>
      <c r="O978"/>
      <c r="P978"/>
      <c r="Q978"/>
    </row>
    <row r="979" spans="4:17">
      <c r="D979"/>
      <c r="E979"/>
      <c r="F979"/>
      <c r="G979"/>
      <c r="H979"/>
      <c r="I979"/>
      <c r="J979"/>
      <c r="K979"/>
      <c r="L979"/>
      <c r="M979"/>
      <c r="N979"/>
      <c r="O979"/>
      <c r="P979"/>
      <c r="Q979"/>
    </row>
    <row r="980" spans="4:17">
      <c r="D980"/>
      <c r="E980"/>
      <c r="F980"/>
      <c r="G980"/>
      <c r="H980"/>
      <c r="I980"/>
      <c r="J980"/>
      <c r="K980"/>
      <c r="L980"/>
      <c r="M980"/>
      <c r="N980"/>
      <c r="O980"/>
      <c r="P980"/>
      <c r="Q980"/>
    </row>
    <row r="981" spans="4:17">
      <c r="D981"/>
      <c r="E981"/>
      <c r="F981"/>
      <c r="G981"/>
      <c r="H981"/>
      <c r="I981"/>
      <c r="J981"/>
      <c r="K981"/>
      <c r="L981"/>
      <c r="M981"/>
      <c r="N981"/>
      <c r="O981"/>
      <c r="P981"/>
      <c r="Q981"/>
    </row>
    <row r="982" spans="4:17">
      <c r="D982"/>
      <c r="E982"/>
      <c r="F982"/>
      <c r="G982"/>
      <c r="H982"/>
      <c r="I982"/>
      <c r="J982"/>
      <c r="K982"/>
      <c r="L982"/>
      <c r="M982"/>
      <c r="N982"/>
      <c r="O982"/>
      <c r="P982"/>
      <c r="Q982"/>
    </row>
    <row r="983" spans="4:17">
      <c r="D983"/>
      <c r="E983"/>
      <c r="F983"/>
      <c r="G983"/>
      <c r="H983"/>
      <c r="I983"/>
      <c r="J983"/>
      <c r="K983"/>
      <c r="L983"/>
      <c r="M983"/>
      <c r="N983"/>
      <c r="O983"/>
      <c r="P983"/>
      <c r="Q983"/>
    </row>
    <row r="984" spans="4:17">
      <c r="D984"/>
      <c r="E984"/>
      <c r="F984"/>
      <c r="G984"/>
      <c r="H984"/>
      <c r="I984"/>
      <c r="J984"/>
      <c r="K984"/>
      <c r="L984"/>
      <c r="M984"/>
      <c r="N984"/>
      <c r="O984"/>
      <c r="P984"/>
      <c r="Q984"/>
    </row>
    <row r="985" spans="4:17">
      <c r="D985"/>
      <c r="E985"/>
      <c r="F985"/>
      <c r="G985"/>
      <c r="H985"/>
      <c r="I985"/>
      <c r="J985"/>
      <c r="K985"/>
      <c r="L985"/>
      <c r="M985"/>
      <c r="N985"/>
      <c r="O985"/>
      <c r="P985"/>
      <c r="Q985"/>
    </row>
    <row r="986" spans="4:17">
      <c r="D986"/>
      <c r="E986"/>
      <c r="F986"/>
      <c r="G986"/>
      <c r="H986"/>
      <c r="I986"/>
      <c r="J986"/>
      <c r="K986"/>
      <c r="L986"/>
      <c r="M986"/>
      <c r="N986"/>
      <c r="O986"/>
      <c r="P986"/>
      <c r="Q986"/>
    </row>
    <row r="987" spans="4:17">
      <c r="D987"/>
      <c r="E987"/>
      <c r="F987"/>
      <c r="G987"/>
      <c r="H987"/>
      <c r="I987"/>
      <c r="J987"/>
      <c r="K987"/>
      <c r="L987"/>
      <c r="M987"/>
      <c r="N987"/>
      <c r="O987"/>
      <c r="P987"/>
      <c r="Q987"/>
    </row>
    <row r="988" spans="4:17">
      <c r="D988"/>
      <c r="E988"/>
      <c r="F988"/>
      <c r="G988"/>
      <c r="H988"/>
      <c r="I988"/>
      <c r="J988"/>
      <c r="K988"/>
      <c r="L988"/>
      <c r="M988"/>
      <c r="N988"/>
      <c r="O988"/>
      <c r="P988"/>
      <c r="Q988"/>
    </row>
    <row r="989" spans="4:17">
      <c r="D989"/>
      <c r="E989"/>
      <c r="F989"/>
      <c r="G989"/>
      <c r="H989"/>
      <c r="I989"/>
      <c r="J989"/>
      <c r="K989"/>
      <c r="L989"/>
      <c r="M989"/>
      <c r="N989"/>
      <c r="O989"/>
      <c r="P989"/>
      <c r="Q989"/>
    </row>
    <row r="990" spans="4:17">
      <c r="D990"/>
      <c r="E990"/>
      <c r="F990"/>
      <c r="G990"/>
      <c r="H990"/>
      <c r="I990"/>
      <c r="J990"/>
      <c r="K990"/>
      <c r="L990"/>
      <c r="M990"/>
      <c r="N990"/>
      <c r="O990"/>
      <c r="P990"/>
      <c r="Q990"/>
    </row>
    <row r="991" spans="4:17">
      <c r="D991"/>
      <c r="E991"/>
      <c r="F991"/>
      <c r="G991"/>
      <c r="H991"/>
      <c r="I991"/>
      <c r="J991"/>
      <c r="K991"/>
      <c r="L991"/>
      <c r="M991"/>
      <c r="N991"/>
      <c r="O991"/>
      <c r="P991"/>
      <c r="Q991"/>
    </row>
    <row r="992" spans="4:17">
      <c r="D992"/>
      <c r="E992"/>
      <c r="F992"/>
      <c r="G992"/>
      <c r="H992"/>
      <c r="I992"/>
      <c r="J992"/>
      <c r="K992"/>
      <c r="L992"/>
      <c r="M992"/>
      <c r="N992"/>
      <c r="O992"/>
      <c r="P992"/>
      <c r="Q992"/>
    </row>
    <row r="993" spans="4:17">
      <c r="D993"/>
      <c r="E993"/>
      <c r="F993"/>
      <c r="G993"/>
      <c r="H993"/>
      <c r="I993"/>
      <c r="J993"/>
      <c r="K993"/>
      <c r="L993"/>
      <c r="M993"/>
      <c r="N993"/>
      <c r="O993"/>
      <c r="P993"/>
      <c r="Q993"/>
    </row>
    <row r="994" spans="4:17">
      <c r="D994"/>
      <c r="E994"/>
      <c r="F994"/>
      <c r="G994"/>
      <c r="H994"/>
      <c r="I994"/>
      <c r="J994"/>
      <c r="K994"/>
      <c r="L994"/>
      <c r="M994"/>
      <c r="N994"/>
      <c r="O994"/>
      <c r="P994"/>
      <c r="Q994"/>
    </row>
    <row r="995" spans="4:17">
      <c r="D995"/>
      <c r="E995"/>
      <c r="F995"/>
      <c r="G995"/>
      <c r="H995"/>
      <c r="I995"/>
      <c r="J995"/>
      <c r="K995"/>
      <c r="L995"/>
      <c r="M995"/>
      <c r="N995"/>
      <c r="O995"/>
      <c r="P995"/>
      <c r="Q995"/>
    </row>
    <row r="996" spans="4:17">
      <c r="D996"/>
      <c r="E996"/>
      <c r="F996"/>
      <c r="G996"/>
      <c r="H996"/>
      <c r="I996"/>
      <c r="J996"/>
      <c r="K996"/>
      <c r="L996"/>
      <c r="M996"/>
      <c r="N996"/>
      <c r="O996"/>
      <c r="P996"/>
      <c r="Q996"/>
    </row>
    <row r="997" spans="4:17">
      <c r="D997"/>
      <c r="E997"/>
      <c r="F997"/>
      <c r="G997"/>
      <c r="H997"/>
      <c r="I997"/>
      <c r="J997"/>
      <c r="K997"/>
      <c r="L997"/>
      <c r="M997"/>
      <c r="N997"/>
      <c r="O997"/>
      <c r="P997"/>
      <c r="Q997"/>
    </row>
    <row r="998" spans="4:17">
      <c r="D998"/>
      <c r="E998"/>
      <c r="F998"/>
      <c r="G998"/>
      <c r="H998"/>
      <c r="I998"/>
      <c r="J998"/>
      <c r="K998"/>
      <c r="L998"/>
      <c r="M998"/>
      <c r="N998"/>
      <c r="O998"/>
      <c r="P998"/>
      <c r="Q998"/>
    </row>
    <row r="999" spans="4:17">
      <c r="D999"/>
      <c r="E999"/>
      <c r="F999"/>
      <c r="G999"/>
      <c r="H999"/>
      <c r="I999"/>
      <c r="J999"/>
      <c r="K999"/>
      <c r="L999"/>
      <c r="M999"/>
      <c r="N999"/>
      <c r="O999"/>
      <c r="P999"/>
      <c r="Q999"/>
    </row>
    <row r="1000" spans="4:17">
      <c r="D1000"/>
      <c r="E1000"/>
      <c r="F1000"/>
      <c r="G1000"/>
      <c r="H1000"/>
      <c r="I1000"/>
      <c r="J1000"/>
      <c r="K1000"/>
      <c r="L1000"/>
      <c r="M1000"/>
      <c r="N1000"/>
      <c r="O1000"/>
      <c r="P1000"/>
      <c r="Q1000"/>
    </row>
    <row r="1001" spans="4:17">
      <c r="D1001"/>
      <c r="E1001"/>
      <c r="F1001"/>
      <c r="G1001"/>
      <c r="H1001"/>
      <c r="I1001"/>
      <c r="J1001"/>
      <c r="K1001"/>
      <c r="L1001"/>
      <c r="M1001"/>
      <c r="N1001"/>
      <c r="O1001"/>
      <c r="P1001"/>
      <c r="Q1001"/>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4" t="s">
        <v>42</v>
      </c>
      <c r="D1" s="14"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1" workbookViewId="0">
      <selection activeCell="G3" sqref="G3"/>
    </sheetView>
  </sheetViews>
  <sheetFormatPr defaultRowHeight="12.75"/>
  <cols>
    <col min="4" max="4" width="19.5703125" bestFit="1" customWidth="1"/>
    <col min="5" max="5" width="1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4" t="s">
        <v>43</v>
      </c>
      <c r="B1" s="26" t="s">
        <v>44</v>
      </c>
      <c r="D1" s="31" t="s">
        <v>45</v>
      </c>
    </row>
    <row r="2" spans="1:10">
      <c r="A2" s="20">
        <v>0</v>
      </c>
      <c r="B2" s="29">
        <v>0.9473817611813331</v>
      </c>
      <c r="C2" s="28">
        <f ca="1">OFFSET($B2,1*(ROWS(C$2:C2)-1),0)</f>
        <v>0.9473817611813331</v>
      </c>
      <c r="D2" s="27">
        <f>Ft!B$3*EXP(Ft!B$38*($A2-Ft!B$2)^2) +Ft!C$3*EXP(Ft!C$38*($A2-Ft!C$2)^2) + Ft!D$3*EXP(Ft!D$38*($A2-Ft!D$2)^2)+Ft!E$3*EXP(Ft!E$38*($A2-Ft!E$2)^2) +Ft!F$3*EXP(Ft!F$38*($A2-Ft!F$2)^2) + Ft!G$3*EXP(Ft!G$38*($A2-Ft!G$2)^2)</f>
        <v>586.51447588414885</v>
      </c>
      <c r="E2" s="27">
        <f>Ft!B$3*EXP(Ft!B$38*($A2-Ft!B$2)^2)</f>
        <v>-115449.19281674223</v>
      </c>
      <c r="F2" s="27">
        <f>Ft!C$3*EXP(Ft!C$38*($A2-Ft!C$2)^2)</f>
        <v>0</v>
      </c>
      <c r="G2" s="27">
        <f>Ft!D$3*EXP(Ft!D$38*($A2-Ft!D$2)^2)</f>
        <v>19388.667634301324</v>
      </c>
      <c r="H2" s="27">
        <f>Ft!E$3*EXP(Ft!E$38*($A2-Ft!E$2)^2)</f>
        <v>36835.236735250037</v>
      </c>
      <c r="I2" s="27">
        <f>Ft!F$3*EXP(Ft!F$38*($A2-Ft!F$2)^2)</f>
        <v>59811.802923075018</v>
      </c>
      <c r="J2" s="27">
        <f>Ft!G$3*EXP(Ft!G$38*($A2-Ft!G$2)^2)</f>
        <v>0</v>
      </c>
    </row>
    <row r="3" spans="1:10">
      <c r="A3" s="20">
        <v>1</v>
      </c>
      <c r="B3" s="29">
        <v>0.96170225908088014</v>
      </c>
      <c r="C3" s="28">
        <f ca="1">OFFSET($B3,1*(ROWS(C$2:C3)-1),0)</f>
        <v>0.97179617465477008</v>
      </c>
      <c r="D3" s="27">
        <f>Ft!B$3*EXP(Ft!B$38*($A3-Ft!B$2)^2) +Ft!C$3*EXP(Ft!C$38*($A3-Ft!C$2)^2) + Ft!D$3*EXP(Ft!D$38*($A3-Ft!D$2)^2)+Ft!E$3*EXP(Ft!E$38*($A3-Ft!E$2)^2) +Ft!F$3*EXP(Ft!F$38*($A3-Ft!F$2)^2) + Ft!G$3*EXP(Ft!G$38*($A3-Ft!G$2)^2)</f>
        <v>2792.8216999253636</v>
      </c>
      <c r="E3" s="27">
        <f>Ft!B$3*EXP(Ft!B$38*($A3-Ft!B$2)^2)</f>
        <v>-115450.5928746787</v>
      </c>
      <c r="F3" s="27">
        <f>Ft!C$3*EXP(Ft!C$38*($A3-Ft!C$2)^2)</f>
        <v>0</v>
      </c>
      <c r="G3" s="27">
        <f>Ft!D$3*EXP(Ft!D$38*($A3-Ft!D$2)^2)</f>
        <v>19944.241010723501</v>
      </c>
      <c r="H3" s="27">
        <f>Ft!E$3*EXP(Ft!E$38*($A3-Ft!E$2)^2)</f>
        <v>37130.815728379872</v>
      </c>
      <c r="I3" s="27">
        <f>Ft!F$3*EXP(Ft!F$38*($A3-Ft!F$2)^2)</f>
        <v>61168.357835500683</v>
      </c>
      <c r="J3" s="27">
        <f>Ft!G$3*EXP(Ft!G$38*($A3-Ft!G$2)^2)</f>
        <v>0</v>
      </c>
    </row>
    <row r="4" spans="1:10">
      <c r="A4" s="20">
        <v>2</v>
      </c>
      <c r="B4" s="29">
        <v>0.97179617465477008</v>
      </c>
      <c r="C4" s="28">
        <f ca="1">OFFSET($B4,1*(ROWS(C$2:C4)-1),0)</f>
        <v>0.99194486307237639</v>
      </c>
      <c r="D4" s="27">
        <f>Ft!B$3*EXP(Ft!B$38*($A4-Ft!B$2)^2) +Ft!C$3*EXP(Ft!C$38*($A4-Ft!C$2)^2) + Ft!D$3*EXP(Ft!D$38*($A4-Ft!D$2)^2)+Ft!E$3*EXP(Ft!E$38*($A4-Ft!E$2)^2) +Ft!F$3*EXP(Ft!F$38*($A4-Ft!F$2)^2) + Ft!G$3*EXP(Ft!G$38*($A4-Ft!G$2)^2)</f>
        <v>5006.8431689078643</v>
      </c>
      <c r="E4" s="27">
        <f>Ft!B$3*EXP(Ft!B$38*($A4-Ft!B$2)^2)</f>
        <v>-115451.99241592016</v>
      </c>
      <c r="F4" s="27">
        <f>Ft!C$3*EXP(Ft!C$38*($A4-Ft!C$2)^2)</f>
        <v>0</v>
      </c>
      <c r="G4" s="27">
        <f>Ft!D$3*EXP(Ft!D$38*($A4-Ft!D$2)^2)</f>
        <v>20513.318919341982</v>
      </c>
      <c r="H4" s="27">
        <f>Ft!E$3*EXP(Ft!E$38*($A4-Ft!E$2)^2)</f>
        <v>37406.19799018732</v>
      </c>
      <c r="I4" s="27">
        <f>Ft!F$3*EXP(Ft!F$38*($A4-Ft!F$2)^2)</f>
        <v>62539.318675298724</v>
      </c>
      <c r="J4" s="27">
        <f>Ft!G$3*EXP(Ft!G$38*($A4-Ft!G$2)^2)</f>
        <v>0</v>
      </c>
    </row>
    <row r="5" spans="1:10">
      <c r="A5" s="20">
        <v>3</v>
      </c>
      <c r="B5" s="29">
        <v>0.9763906471486905</v>
      </c>
      <c r="C5" s="28">
        <f ca="1">OFFSET($B5,1*(ROWS(C$2:C5)-1),0)</f>
        <v>0.99958649406190148</v>
      </c>
      <c r="D5" s="27">
        <f>Ft!B$3*EXP(Ft!B$38*($A5-Ft!B$2)^2) +Ft!C$3*EXP(Ft!C$38*($A5-Ft!C$2)^2) + Ft!D$3*EXP(Ft!D$38*($A5-Ft!D$2)^2)+Ft!E$3*EXP(Ft!E$38*($A5-Ft!E$2)^2) +Ft!F$3*EXP(Ft!F$38*($A5-Ft!F$2)^2) + Ft!G$3*EXP(Ft!G$38*($A5-Ft!G$2)^2)</f>
        <v>7227.9428974949697</v>
      </c>
      <c r="E5" s="27">
        <f>Ft!B$3*EXP(Ft!B$38*($A5-Ft!B$2)^2)</f>
        <v>-115453.39144044742</v>
      </c>
      <c r="F5" s="27">
        <f>Ft!C$3*EXP(Ft!C$38*($A5-Ft!C$2)^2)</f>
        <v>0</v>
      </c>
      <c r="G5" s="27">
        <f>Ft!D$3*EXP(Ft!D$38*($A5-Ft!D$2)^2)</f>
        <v>21096.150792634751</v>
      </c>
      <c r="H5" s="27">
        <f>Ft!E$3*EXP(Ft!E$38*($A5-Ft!E$2)^2)</f>
        <v>37660.90040273482</v>
      </c>
      <c r="I5" s="27">
        <f>Ft!F$3*EXP(Ft!F$38*($A5-Ft!F$2)^2)</f>
        <v>63924.283142572815</v>
      </c>
      <c r="J5" s="27">
        <f>Ft!G$3*EXP(Ft!G$38*($A5-Ft!G$2)^2)</f>
        <v>0</v>
      </c>
    </row>
    <row r="6" spans="1:10">
      <c r="A6" s="20">
        <v>4</v>
      </c>
      <c r="B6" s="29">
        <v>0.99194486307237639</v>
      </c>
      <c r="C6" s="28">
        <f ca="1">OFFSET($B6,1*(ROWS(C$2:C6)-1),0)</f>
        <v>1.0143720987520624</v>
      </c>
      <c r="D6" s="27">
        <f>Ft!B$3*EXP(Ft!B$38*($A6-Ft!B$2)^2) +Ft!C$3*EXP(Ft!C$38*($A6-Ft!C$2)^2) + Ft!D$3*EXP(Ft!D$38*($A6-Ft!D$2)^2)+Ft!E$3*EXP(Ft!E$38*($A6-Ft!E$2)^2) +Ft!F$3*EXP(Ft!F$38*($A6-Ft!F$2)^2) + Ft!G$3*EXP(Ft!G$38*($A6-Ft!G$2)^2)</f>
        <v>9455.5011075091606</v>
      </c>
      <c r="E6" s="27">
        <f>Ft!B$3*EXP(Ft!B$38*($A6-Ft!B$2)^2)</f>
        <v>-115454.78994824128</v>
      </c>
      <c r="F6" s="27">
        <f>Ft!C$3*EXP(Ft!C$38*($A6-Ft!C$2)^2)</f>
        <v>0</v>
      </c>
      <c r="G6" s="27">
        <f>Ft!D$3*EXP(Ft!D$38*($A6-Ft!D$2)^2)</f>
        <v>21692.988238692949</v>
      </c>
      <c r="H6" s="27">
        <f>Ft!E$3*EXP(Ft!E$38*($A6-Ft!E$2)^2)</f>
        <v>37894.473951486558</v>
      </c>
      <c r="I6" s="27">
        <f>Ft!F$3*EXP(Ft!F$38*($A6-Ft!F$2)^2)</f>
        <v>65322.828865570926</v>
      </c>
      <c r="J6" s="27">
        <f>Ft!G$3*EXP(Ft!G$38*($A6-Ft!G$2)^2)</f>
        <v>0</v>
      </c>
    </row>
    <row r="7" spans="1:10">
      <c r="A7" s="20">
        <v>5</v>
      </c>
      <c r="B7" s="29">
        <v>0.99712947285610198</v>
      </c>
      <c r="C7" s="28">
        <f ca="1">OFFSET($B7,1*(ROWS(C$2:C7)-1),0)</f>
        <v>1.0260371374365036</v>
      </c>
      <c r="D7" s="27">
        <f>Ft!B$3*EXP(Ft!B$38*($A7-Ft!B$2)^2) +Ft!C$3*EXP(Ft!C$38*($A7-Ft!C$2)^2) + Ft!D$3*EXP(Ft!D$38*($A7-Ft!D$2)^2)+Ft!E$3*EXP(Ft!E$38*($A7-Ft!E$2)^2) +Ft!F$3*EXP(Ft!F$38*($A7-Ft!F$2)^2) + Ft!G$3*EXP(Ft!G$38*($A7-Ft!G$2)^2)</f>
        <v>11688.915490516898</v>
      </c>
      <c r="E7" s="27">
        <f>Ft!B$3*EXP(Ft!B$38*($A7-Ft!B$2)^2)</f>
        <v>-115456.18793928254</v>
      </c>
      <c r="F7" s="27">
        <f>Ft!C$3*EXP(Ft!C$38*($A7-Ft!C$2)^2)</f>
        <v>0</v>
      </c>
      <c r="G7" s="27">
        <f>Ft!D$3*EXP(Ft!D$38*($A7-Ft!D$2)^2)</f>
        <v>22304.084982881112</v>
      </c>
      <c r="H7" s="27">
        <f>Ft!E$3*EXP(Ft!E$38*($A7-Ft!E$2)^2)</f>
        <v>38106.505043969111</v>
      </c>
      <c r="I7" s="27">
        <f>Ft!F$3*EXP(Ft!F$38*($A7-Ft!F$2)^2)</f>
        <v>66734.513402949204</v>
      </c>
      <c r="J7" s="27">
        <f>Ft!G$3*EXP(Ft!G$38*($A7-Ft!G$2)^2)</f>
        <v>0</v>
      </c>
    </row>
    <row r="8" spans="1:10">
      <c r="A8" s="20">
        <v>6</v>
      </c>
      <c r="B8" s="29">
        <v>0.99958649406190148</v>
      </c>
      <c r="C8" s="28">
        <f ca="1">OFFSET($B8,1*(ROWS(C$2:C8)-1),0)</f>
        <v>1.0375608214797012</v>
      </c>
      <c r="D8" s="27">
        <f>Ft!B$3*EXP(Ft!B$38*($A8-Ft!B$2)^2) +Ft!C$3*EXP(Ft!C$38*($A8-Ft!C$2)^2) + Ft!D$3*EXP(Ft!D$38*($A8-Ft!D$2)^2)+Ft!E$3*EXP(Ft!E$38*($A8-Ft!E$2)^2) +Ft!F$3*EXP(Ft!F$38*($A8-Ft!F$2)^2) + Ft!G$3*EXP(Ft!G$38*($A8-Ft!G$2)^2)</f>
        <v>13927.602395539579</v>
      </c>
      <c r="E8" s="27">
        <f>Ft!B$3*EXP(Ft!B$38*($A8-Ft!B$2)^2)</f>
        <v>-115457.58541355202</v>
      </c>
      <c r="F8" s="27">
        <f>Ft!C$3*EXP(Ft!C$38*($A8-Ft!C$2)^2)</f>
        <v>0</v>
      </c>
      <c r="G8" s="27">
        <f>Ft!D$3*EXP(Ft!D$38*($A8-Ft!D$2)^2)</f>
        <v>22929.696806579625</v>
      </c>
      <c r="H8" s="27">
        <f>Ft!E$3*EXP(Ft!E$38*($A8-Ft!E$2)^2)</f>
        <v>38296.616729895701</v>
      </c>
      <c r="I8" s="27">
        <f>Ft!F$3*EXP(Ft!F$38*($A8-Ft!F$2)^2)</f>
        <v>68158.874272616275</v>
      </c>
      <c r="J8" s="27">
        <f>Ft!G$3*EXP(Ft!G$38*($A8-Ft!G$2)^2)</f>
        <v>0</v>
      </c>
    </row>
    <row r="9" spans="1:10">
      <c r="A9" s="20">
        <v>7</v>
      </c>
      <c r="B9" s="29">
        <v>1.0002786351847135</v>
      </c>
      <c r="C9" s="28">
        <f ca="1">OFFSET($B9,1*(ROWS(C$2:C9)-1),0)</f>
        <v>1.0630038880129291</v>
      </c>
      <c r="D9" s="27">
        <f>Ft!B$3*EXP(Ft!B$38*($A9-Ft!B$2)^2) +Ft!C$3*EXP(Ft!C$38*($A9-Ft!C$2)^2) + Ft!D$3*EXP(Ft!D$38*($A9-Ft!D$2)^2)+Ft!E$3*EXP(Ft!E$38*($A9-Ft!E$2)^2) +Ft!F$3*EXP(Ft!F$38*($A9-Ft!F$2)^2) + Ft!G$3*EXP(Ft!G$38*($A9-Ft!G$2)^2)</f>
        <v>16170.997937350548</v>
      </c>
      <c r="E9" s="27">
        <f>Ft!B$3*EXP(Ft!B$38*($A9-Ft!B$2)^2)</f>
        <v>-115458.98237103056</v>
      </c>
      <c r="F9" s="27">
        <f>Ft!C$3*EXP(Ft!C$38*($A9-Ft!C$2)^2)</f>
        <v>0</v>
      </c>
      <c r="G9" s="27">
        <f>Ft!D$3*EXP(Ft!D$38*($A9-Ft!D$2)^2)</f>
        <v>23570.081482970731</v>
      </c>
      <c r="H9" s="27">
        <f>Ft!E$3*EXP(Ft!E$38*($A9-Ft!E$2)^2)</f>
        <v>38464.469817716657</v>
      </c>
      <c r="I9" s="27">
        <f>Ft!F$3*EXP(Ft!F$38*($A9-Ft!F$2)^2)</f>
        <v>69595.429007693732</v>
      </c>
      <c r="J9" s="27">
        <f>Ft!G$3*EXP(Ft!G$38*($A9-Ft!G$2)^2)</f>
        <v>0</v>
      </c>
    </row>
    <row r="10" spans="1:10">
      <c r="A10" s="20">
        <v>8</v>
      </c>
      <c r="B10" s="29">
        <v>1.0143720987520624</v>
      </c>
      <c r="C10" s="28">
        <f ca="1">OFFSET($B10,1*(ROWS(C$2:C10)-1),0)</f>
        <v>1.0919651284577583</v>
      </c>
      <c r="D10" s="27">
        <f>Ft!B$3*EXP(Ft!B$38*($A10-Ft!B$2)^2) +Ft!C$3*EXP(Ft!C$38*($A10-Ft!C$2)^2) + Ft!D$3*EXP(Ft!D$38*($A10-Ft!D$2)^2)+Ft!E$3*EXP(Ft!E$38*($A10-Ft!E$2)^2) +Ft!F$3*EXP(Ft!F$38*($A10-Ft!F$2)^2) + Ft!G$3*EXP(Ft!G$38*($A10-Ft!G$2)^2)</f>
        <v>18418.559021189467</v>
      </c>
      <c r="E10" s="27">
        <f>Ft!B$3*EXP(Ft!B$38*($A10-Ft!B$2)^2)</f>
        <v>-115460.37881169899</v>
      </c>
      <c r="F10" s="27">
        <f>Ft!C$3*EXP(Ft!C$38*($A10-Ft!C$2)^2)</f>
        <v>0</v>
      </c>
      <c r="G10" s="27">
        <f>Ft!D$3*EXP(Ft!D$38*($A10-Ft!D$2)^2)</f>
        <v>24225.498709831038</v>
      </c>
      <c r="H10" s="27">
        <f>Ft!E$3*EXP(Ft!E$38*($A10-Ft!E$2)^2)</f>
        <v>38609.763882967447</v>
      </c>
      <c r="I10" s="27">
        <f>Ft!F$3*EXP(Ft!F$38*($A10-Ft!F$2)^2)</f>
        <v>71043.675240089971</v>
      </c>
      <c r="J10" s="27">
        <f>Ft!G$3*EXP(Ft!G$38*($A10-Ft!G$2)^2)</f>
        <v>0</v>
      </c>
    </row>
    <row r="11" spans="1:10">
      <c r="A11" s="20">
        <v>9</v>
      </c>
      <c r="B11" s="29">
        <v>1.0154577826339448</v>
      </c>
      <c r="C11" s="28">
        <f ca="1">OFFSET($B11,1*(ROWS(C$2:C11)-1),0)</f>
        <v>1.135284763524453</v>
      </c>
      <c r="D11" s="27">
        <f>Ft!B$3*EXP(Ft!B$38*($A11-Ft!B$2)^2) +Ft!C$3*EXP(Ft!C$38*($A11-Ft!C$2)^2) + Ft!D$3*EXP(Ft!D$38*($A11-Ft!D$2)^2)+Ft!E$3*EXP(Ft!E$38*($A11-Ft!E$2)^2) +Ft!F$3*EXP(Ft!F$38*($A11-Ft!F$2)^2) + Ft!G$3*EXP(Ft!G$38*($A11-Ft!G$2)^2)</f>
        <v>20669.76428011898</v>
      </c>
      <c r="E11" s="27">
        <f>Ft!B$3*EXP(Ft!B$38*($A11-Ft!B$2)^2)</f>
        <v>-115461.77473553814</v>
      </c>
      <c r="F11" s="27">
        <f>Ft!C$3*EXP(Ft!C$38*($A11-Ft!C$2)^2)</f>
        <v>0</v>
      </c>
      <c r="G11" s="27">
        <f>Ft!D$3*EXP(Ft!D$38*($A11-Ft!D$2)^2)</f>
        <v>24896.210039294307</v>
      </c>
      <c r="H11" s="27">
        <f>Ft!E$3*EXP(Ft!E$38*($A11-Ft!E$2)^2)</f>
        <v>38732.238164218812</v>
      </c>
      <c r="I11" s="27">
        <f>Ft!F$3*EXP(Ft!F$38*($A11-Ft!F$2)^2)</f>
        <v>72503.090812144001</v>
      </c>
      <c r="J11" s="27">
        <f>Ft!G$3*EXP(Ft!G$38*($A11-Ft!G$2)^2)</f>
        <v>0</v>
      </c>
    </row>
    <row r="12" spans="1:10">
      <c r="A12" s="20">
        <v>10</v>
      </c>
      <c r="B12" s="29">
        <v>1.0260371374365036</v>
      </c>
      <c r="C12" s="28">
        <f ca="1">OFFSET($B12,1*(ROWS(C$2:C12)-1),0)</f>
        <v>1.1756650453954194</v>
      </c>
      <c r="D12" s="27">
        <f>Ft!B$3*EXP(Ft!B$38*($A12-Ft!B$2)^2) +Ft!C$3*EXP(Ft!C$38*($A12-Ft!C$2)^2) + Ft!D$3*EXP(Ft!D$38*($A12-Ft!D$2)^2)+Ft!E$3*EXP(Ft!E$38*($A12-Ft!E$2)^2) +Ft!F$3*EXP(Ft!F$38*($A12-Ft!F$2)^2) + Ft!G$3*EXP(Ft!G$38*($A12-Ft!G$2)^2)</f>
        <v>22924.114921664695</v>
      </c>
      <c r="E12" s="27">
        <f>Ft!B$3*EXP(Ft!B$38*($A12-Ft!B$2)^2)</f>
        <v>-115463.17014252885</v>
      </c>
      <c r="F12" s="27">
        <f>Ft!C$3*EXP(Ft!C$38*($A12-Ft!C$2)^2)</f>
        <v>0</v>
      </c>
      <c r="G12" s="27">
        <f>Ft!D$3*EXP(Ft!D$38*($A12-Ft!D$2)^2)</f>
        <v>25582.478804550461</v>
      </c>
      <c r="H12" s="27">
        <f>Ft!E$3*EXP(Ft!E$38*($A12-Ft!E$2)^2)</f>
        <v>38831.672342889033</v>
      </c>
      <c r="I12" s="27">
        <f>Ft!F$3*EXP(Ft!F$38*($A12-Ft!F$2)^2)</f>
        <v>73973.133916754043</v>
      </c>
      <c r="J12" s="27">
        <f>Ft!G$3*EXP(Ft!G$38*($A12-Ft!G$2)^2)</f>
        <v>0</v>
      </c>
    </row>
    <row r="13" spans="1:10">
      <c r="A13" s="20">
        <v>11</v>
      </c>
      <c r="B13" s="29">
        <v>1.0286450660695436</v>
      </c>
      <c r="C13" s="28">
        <f ca="1">OFFSET($B13,1*(ROWS(C$2:C13)-1),0)</f>
        <v>1.2476498507832048</v>
      </c>
      <c r="D13" s="27">
        <f>Ft!B$3*EXP(Ft!B$38*($A13-Ft!B$2)^2) +Ft!C$3*EXP(Ft!C$38*($A13-Ft!C$2)^2) + Ft!D$3*EXP(Ft!D$38*($A13-Ft!D$2)^2)+Ft!E$3*EXP(Ft!E$38*($A13-Ft!E$2)^2) +Ft!F$3*EXP(Ft!F$38*($A13-Ft!F$2)^2) + Ft!G$3*EXP(Ft!G$38*($A13-Ft!G$2)^2)</f>
        <v>25181.135480811645</v>
      </c>
      <c r="E13" s="27">
        <f>Ft!B$3*EXP(Ft!B$38*($A13-Ft!B$2)^2)</f>
        <v>-115464.565032652</v>
      </c>
      <c r="F13" s="27">
        <f>Ft!C$3*EXP(Ft!C$38*($A13-Ft!C$2)^2)</f>
        <v>0</v>
      </c>
      <c r="G13" s="27">
        <f>Ft!D$3*EXP(Ft!D$38*($A13-Ft!D$2)^2)</f>
        <v>26284.570043448122</v>
      </c>
      <c r="H13" s="27">
        <f>Ft!E$3*EXP(Ft!E$38*($A13-Ft!E$2)^2)</f>
        <v>38907.887203654391</v>
      </c>
      <c r="I13" s="27">
        <f>Ft!F$3*EXP(Ft!F$38*($A13-Ft!F$2)^2)</f>
        <v>75453.243266361125</v>
      </c>
      <c r="J13" s="27">
        <f>Ft!G$3*EXP(Ft!G$38*($A13-Ft!G$2)^2)</f>
        <v>0</v>
      </c>
    </row>
    <row r="14" spans="1:10">
      <c r="A14" s="20">
        <v>12</v>
      </c>
      <c r="B14" s="29">
        <v>1.0375608214797012</v>
      </c>
      <c r="C14" s="28">
        <f ca="1">OFFSET($B14,1*(ROWS(C$2:C14)-1),0)</f>
        <v>1.3300808917291249</v>
      </c>
      <c r="D14" s="27">
        <f>Ft!B$3*EXP(Ft!B$38*($A14-Ft!B$2)^2) +Ft!C$3*EXP(Ft!C$38*($A14-Ft!C$2)^2) + Ft!D$3*EXP(Ft!D$38*($A14-Ft!D$2)^2)+Ft!E$3*EXP(Ft!E$38*($A14-Ft!E$2)^2) +Ft!F$3*EXP(Ft!F$38*($A14-Ft!F$2)^2) + Ft!G$3*EXP(Ft!G$38*($A14-Ft!G$2)^2)</f>
        <v>27440.374476880534</v>
      </c>
      <c r="E14" s="27">
        <f>Ft!B$3*EXP(Ft!B$38*($A14-Ft!B$2)^2)</f>
        <v>-115465.95940588842</v>
      </c>
      <c r="F14" s="27">
        <f>Ft!C$3*EXP(Ft!C$38*($A14-Ft!C$2)^2)</f>
        <v>0</v>
      </c>
      <c r="G14" s="27">
        <f>Ft!D$3*EXP(Ft!D$38*($A14-Ft!D$2)^2)</f>
        <v>27002.750418969492</v>
      </c>
      <c r="H14" s="27">
        <f>Ft!E$3*EXP(Ft!E$38*($A14-Ft!E$2)^2)</f>
        <v>38960.745172686715</v>
      </c>
      <c r="I14" s="27">
        <f>Ft!F$3*EXP(Ft!F$38*($A14-Ft!F$2)^2)</f>
        <v>76942.838291112756</v>
      </c>
      <c r="J14" s="27">
        <f>Ft!G$3*EXP(Ft!G$38*($A14-Ft!G$2)^2)</f>
        <v>0</v>
      </c>
    </row>
    <row r="15" spans="1:10">
      <c r="A15" s="20">
        <v>13</v>
      </c>
      <c r="B15" s="29">
        <v>1.051216892362163</v>
      </c>
      <c r="C15" s="28">
        <f ca="1">OFFSET($B15,1*(ROWS(C$2:C15)-1),0)</f>
        <v>1.4050154910238746</v>
      </c>
      <c r="D15" s="27">
        <f>Ft!B$3*EXP(Ft!B$38*($A15-Ft!B$2)^2) +Ft!C$3*EXP(Ft!C$38*($A15-Ft!C$2)^2) + Ft!D$3*EXP(Ft!D$38*($A15-Ft!D$2)^2)+Ft!E$3*EXP(Ft!E$38*($A15-Ft!E$2)^2) +Ft!F$3*EXP(Ft!F$38*($A15-Ft!F$2)^2) + Ft!G$3*EXP(Ft!G$38*($A15-Ft!G$2)^2)</f>
        <v>29701.404972269134</v>
      </c>
      <c r="E15" s="27">
        <f>Ft!B$3*EXP(Ft!B$38*($A15-Ft!B$2)^2)</f>
        <v>-115467.353262219</v>
      </c>
      <c r="F15" s="27">
        <f>Ft!C$3*EXP(Ft!C$38*($A15-Ft!C$2)^2)</f>
        <v>0</v>
      </c>
      <c r="G15" s="27">
        <f>Ft!D$3*EXP(Ft!D$38*($A15-Ft!D$2)^2)</f>
        <v>27737.288136548497</v>
      </c>
      <c r="H15" s="27">
        <f>Ft!E$3*EXP(Ft!E$38*($A15-Ft!E$2)^2)</f>
        <v>38990.150731455658</v>
      </c>
      <c r="I15" s="27">
        <f>Ft!F$3*EXP(Ft!F$38*($A15-Ft!F$2)^2)</f>
        <v>78441.319366483978</v>
      </c>
      <c r="J15" s="27">
        <f>Ft!G$3*EXP(Ft!G$38*($A15-Ft!G$2)^2)</f>
        <v>0</v>
      </c>
    </row>
    <row r="16" spans="1:10">
      <c r="A16" s="20">
        <v>14</v>
      </c>
      <c r="B16" s="29">
        <v>1.0630038880129291</v>
      </c>
      <c r="C16" s="28">
        <f ca="1">OFFSET($B16,1*(ROWS(C$2:C16)-1),0)</f>
        <v>1.4492486361786519</v>
      </c>
      <c r="D16" s="27">
        <f>Ft!B$3*EXP(Ft!B$38*($A16-Ft!B$2)^2) +Ft!C$3*EXP(Ft!C$38*($A16-Ft!C$2)^2) + Ft!D$3*EXP(Ft!D$38*($A16-Ft!D$2)^2)+Ft!E$3*EXP(Ft!E$38*($A16-Ft!E$2)^2) +Ft!F$3*EXP(Ft!F$38*($A16-Ft!F$2)^2) + Ft!G$3*EXP(Ft!G$38*($A16-Ft!G$2)^2)</f>
        <v>31963.825031517947</v>
      </c>
      <c r="E16" s="27">
        <f>Ft!B$3*EXP(Ft!B$38*($A16-Ft!B$2)^2)</f>
        <v>-115468.74660162459</v>
      </c>
      <c r="F16" s="27">
        <f>Ft!C$3*EXP(Ft!C$38*($A16-Ft!C$2)^2)</f>
        <v>0</v>
      </c>
      <c r="G16" s="27">
        <f>Ft!D$3*EXP(Ft!D$38*($A16-Ft!D$2)^2)</f>
        <v>28488.4528582046</v>
      </c>
      <c r="H16" s="27">
        <f>Ft!E$3*EXP(Ft!E$38*($A16-Ft!E$2)^2)</f>
        <v>38996.050704353402</v>
      </c>
      <c r="I16" s="27">
        <f>Ft!F$3*EXP(Ft!F$38*($A16-Ft!F$2)^2)</f>
        <v>79948.06807058453</v>
      </c>
      <c r="J16" s="27">
        <f>Ft!G$3*EXP(Ft!G$38*($A16-Ft!G$2)^2)</f>
        <v>0</v>
      </c>
    </row>
    <row r="17" spans="1:10">
      <c r="A17" s="20">
        <v>15</v>
      </c>
      <c r="B17" s="29">
        <v>1.0760280179390236</v>
      </c>
      <c r="C17" s="28">
        <f ca="1">OFFSET($B17,1*(ROWS(C$2:C17)-1),0)</f>
        <v>1.5368713877024049</v>
      </c>
      <c r="D17" s="27">
        <f>Ft!B$3*EXP(Ft!B$38*($A17-Ft!B$2)^2) +Ft!C$3*EXP(Ft!C$38*($A17-Ft!C$2)^2) + Ft!D$3*EXP(Ft!D$38*($A17-Ft!D$2)^2)+Ft!E$3*EXP(Ft!E$38*($A17-Ft!E$2)^2) +Ft!F$3*EXP(Ft!F$38*($A17-Ft!F$2)^2) + Ft!G$3*EXP(Ft!G$38*($A17-Ft!G$2)^2)</f>
        <v>34227.258079640596</v>
      </c>
      <c r="E17" s="27">
        <f>Ft!B$3*EXP(Ft!B$38*($A17-Ft!B$2)^2)</f>
        <v>-115470.1394240861</v>
      </c>
      <c r="F17" s="27">
        <f>Ft!C$3*EXP(Ft!C$38*($A17-Ft!C$2)^2)</f>
        <v>0</v>
      </c>
      <c r="G17" s="27">
        <f>Ft!D$3*EXP(Ft!D$38*($A17-Ft!D$2)^2)</f>
        <v>29256.515613466854</v>
      </c>
      <c r="H17" s="27">
        <f>Ft!E$3*EXP(Ft!E$38*($A17-Ft!E$2)^2)</f>
        <v>38978.434418929435</v>
      </c>
      <c r="I17" s="27">
        <f>Ft!F$3*EXP(Ft!F$38*($A17-Ft!F$2)^2)</f>
        <v>81462.447471330408</v>
      </c>
      <c r="J17" s="27">
        <f>Ft!G$3*EXP(Ft!G$38*($A17-Ft!G$2)^2)</f>
        <v>0</v>
      </c>
    </row>
    <row r="18" spans="1:10">
      <c r="A18" s="20">
        <v>16</v>
      </c>
      <c r="B18" s="29">
        <v>1.0919651284577583</v>
      </c>
      <c r="C18" s="28">
        <f ca="1">OFFSET($B18,1*(ROWS(C$2:C18)-1),0)</f>
        <v>1.6308469684382203</v>
      </c>
      <c r="D18" s="27">
        <f>Ft!B$3*EXP(Ft!B$38*($A18-Ft!B$2)^2) +Ft!C$3*EXP(Ft!C$38*($A18-Ft!C$2)^2) + Ft!D$3*EXP(Ft!D$38*($A18-Ft!D$2)^2)+Ft!E$3*EXP(Ft!E$38*($A18-Ft!E$2)^2) +Ft!F$3*EXP(Ft!F$38*($A18-Ft!F$2)^2) + Ft!G$3*EXP(Ft!G$38*($A18-Ft!G$2)^2)</f>
        <v>36491.353159146413</v>
      </c>
      <c r="E18" s="27">
        <f>Ft!B$3*EXP(Ft!B$38*($A18-Ft!B$2)^2)</f>
        <v>-115471.53172958439</v>
      </c>
      <c r="F18" s="27">
        <f>Ft!C$3*EXP(Ft!C$38*($A18-Ft!C$2)^2)</f>
        <v>0</v>
      </c>
      <c r="G18" s="27">
        <f>Ft!D$3*EXP(Ft!D$38*($A18-Ft!D$2)^2)</f>
        <v>30041.748707064591</v>
      </c>
      <c r="H18" s="27">
        <f>Ft!E$3*EXP(Ft!E$38*($A18-Ft!E$2)^2)</f>
        <v>38937.333738059766</v>
      </c>
      <c r="I18" s="27">
        <f>Ft!F$3*EXP(Ft!F$38*($A18-Ft!F$2)^2)</f>
        <v>82983.802443606444</v>
      </c>
      <c r="J18" s="27">
        <f>Ft!G$3*EXP(Ft!G$38*($A18-Ft!G$2)^2)</f>
        <v>0</v>
      </c>
    </row>
    <row r="19" spans="1:10">
      <c r="A19" s="20">
        <v>17</v>
      </c>
      <c r="B19" s="29">
        <v>1.1207934707887262</v>
      </c>
      <c r="C19" s="28">
        <f ca="1">OFFSET($B19,1*(ROWS(C$2:C19)-1),0)</f>
        <v>1.8202667496568665</v>
      </c>
      <c r="D19" s="27">
        <f>Ft!B$3*EXP(Ft!B$38*($A19-Ft!B$2)^2) +Ft!C$3*EXP(Ft!C$38*($A19-Ft!C$2)^2) + Ft!D$3*EXP(Ft!D$38*($A19-Ft!D$2)^2)+Ft!E$3*EXP(Ft!E$38*($A19-Ft!E$2)^2) +Ft!F$3*EXP(Ft!F$38*($A19-Ft!F$2)^2) + Ft!G$3*EXP(Ft!G$38*($A19-Ft!G$2)^2)</f>
        <v>38755.785085670759</v>
      </c>
      <c r="E19" s="27">
        <f>Ft!B$3*EXP(Ft!B$38*($A19-Ft!B$2)^2)</f>
        <v>-115472.92351810038</v>
      </c>
      <c r="F19" s="27">
        <f>Ft!C$3*EXP(Ft!C$38*($A19-Ft!C$2)^2)</f>
        <v>0</v>
      </c>
      <c r="G19" s="27">
        <f>Ft!D$3*EXP(Ft!D$38*($A19-Ft!D$2)^2)</f>
        <v>30844.425623363357</v>
      </c>
      <c r="H19" s="27">
        <f>Ft!E$3*EXP(Ft!E$38*($A19-Ft!E$2)^2)</f>
        <v>38872.822963914667</v>
      </c>
      <c r="I19" s="27">
        <f>Ft!F$3*EXP(Ft!F$38*($A19-Ft!F$2)^2)</f>
        <v>84511.460016493118</v>
      </c>
      <c r="J19" s="27">
        <f>Ft!G$3*EXP(Ft!G$38*($A19-Ft!G$2)^2)</f>
        <v>0</v>
      </c>
    </row>
    <row r="20" spans="1:10">
      <c r="A20" s="20">
        <v>18</v>
      </c>
      <c r="B20" s="29">
        <v>1.135284763524453</v>
      </c>
      <c r="C20" s="28">
        <f ca="1">OFFSET($B20,1*(ROWS(C$2:C20)-1),0)</f>
        <v>2.0200351726556391</v>
      </c>
      <c r="D20" s="27">
        <f>Ft!B$3*EXP(Ft!B$38*($A20-Ft!B$2)^2) +Ft!C$3*EXP(Ft!C$38*($A20-Ft!C$2)^2) + Ft!D$3*EXP(Ft!D$38*($A20-Ft!D$2)^2)+Ft!E$3*EXP(Ft!E$38*($A20-Ft!E$2)^2) +Ft!F$3*EXP(Ft!F$38*($A20-Ft!F$2)^2) + Ft!G$3*EXP(Ft!G$38*($A20-Ft!G$2)^2)</f>
        <v>41020.254502619682</v>
      </c>
      <c r="E20" s="27">
        <f>Ft!B$3*EXP(Ft!B$38*($A20-Ft!B$2)^2)</f>
        <v>-115474.31478961495</v>
      </c>
      <c r="F20" s="27">
        <f>Ft!C$3*EXP(Ft!C$38*($A20-Ft!C$2)^2)</f>
        <v>0</v>
      </c>
      <c r="G20" s="27">
        <f>Ft!D$3*EXP(Ft!D$38*($A20-Ft!D$2)^2)</f>
        <v>31664.820927526591</v>
      </c>
      <c r="H20" s="27">
        <f>Ft!E$3*EXP(Ft!E$38*($A20-Ft!E$2)^2)</f>
        <v>38785.018614130131</v>
      </c>
      <c r="I20" s="27">
        <f>Ft!F$3*EXP(Ft!F$38*($A20-Ft!F$2)^2)</f>
        <v>86044.729750577913</v>
      </c>
      <c r="J20" s="27">
        <f>Ft!G$3*EXP(Ft!G$38*($A20-Ft!G$2)^2)</f>
        <v>0</v>
      </c>
    </row>
    <row r="21" spans="1:10">
      <c r="A21" s="20">
        <v>19</v>
      </c>
      <c r="B21" s="29">
        <v>1.1549577488627278</v>
      </c>
      <c r="C21" s="28">
        <f ca="1">OFFSET($B21,1*(ROWS(C$2:C21)-1),0)</f>
        <v>2.2068991824084492</v>
      </c>
      <c r="D21" s="27">
        <f>Ft!B$3*EXP(Ft!B$38*($A21-Ft!B$2)^2) +Ft!C$3*EXP(Ft!C$38*($A21-Ft!C$2)^2) + Ft!D$3*EXP(Ft!D$38*($A21-Ft!D$2)^2)+Ft!E$3*EXP(Ft!E$38*($A21-Ft!E$2)^2) +Ft!F$3*EXP(Ft!F$38*($A21-Ft!F$2)^2) + Ft!G$3*EXP(Ft!G$38*($A21-Ft!G$2)^2)</f>
        <v>43284.487835718275</v>
      </c>
      <c r="E21" s="27">
        <f>Ft!B$3*EXP(Ft!B$38*($A21-Ft!B$2)^2)</f>
        <v>-115475.70554410901</v>
      </c>
      <c r="F21" s="27">
        <f>Ft!C$3*EXP(Ft!C$38*($A21-Ft!C$2)^2)</f>
        <v>0</v>
      </c>
      <c r="G21" s="27">
        <f>Ft!D$3*EXP(Ft!D$38*($A21-Ft!D$2)^2)</f>
        <v>32503.210163386051</v>
      </c>
      <c r="H21" s="27">
        <f>Ft!E$3*EXP(Ft!E$38*($A21-Ft!E$2)^2)</f>
        <v>38674.079071126907</v>
      </c>
      <c r="I21" s="27">
        <f>Ft!F$3*EXP(Ft!F$38*($A21-Ft!F$2)^2)</f>
        <v>87582.904145314315</v>
      </c>
      <c r="J21" s="27">
        <f>Ft!G$3*EXP(Ft!G$38*($A21-Ft!G$2)^2)</f>
        <v>0</v>
      </c>
    </row>
    <row r="22" spans="1:10">
      <c r="A22" s="20">
        <v>20</v>
      </c>
      <c r="B22" s="29">
        <v>1.1756650453954194</v>
      </c>
      <c r="C22" s="28">
        <f ca="1">OFFSET($B22,1*(ROWS(C$2:C22)-1),0)</f>
        <v>2.371052613505924</v>
      </c>
      <c r="D22" s="27">
        <f>Ft!B$3*EXP(Ft!B$38*($A22-Ft!B$2)^2) +Ft!C$3*EXP(Ft!C$38*($A22-Ft!C$2)^2) + Ft!D$3*EXP(Ft!D$38*($A22-Ft!D$2)^2)+Ft!E$3*EXP(Ft!E$38*($A22-Ft!E$2)^2) +Ft!F$3*EXP(Ft!F$38*($A22-Ft!F$2)^2) + Ft!G$3*EXP(Ft!G$38*($A22-Ft!G$2)^2)</f>
        <v>45548.237148834516</v>
      </c>
      <c r="E22" s="27">
        <f>Ft!B$3*EXP(Ft!B$38*($A22-Ft!B$2)^2)</f>
        <v>-115477.09578156349</v>
      </c>
      <c r="F22" s="27">
        <f>Ft!C$3*EXP(Ft!C$38*($A22-Ft!C$2)^2)</f>
        <v>0</v>
      </c>
      <c r="G22" s="27">
        <f>Ft!D$3*EXP(Ft!D$38*($A22-Ft!D$2)^2)</f>
        <v>33359.869748006167</v>
      </c>
      <c r="H22" s="27">
        <f>Ft!E$3*EXP(Ft!E$38*($A22-Ft!E$2)^2)</f>
        <v>38540.204106054232</v>
      </c>
      <c r="I22" s="27">
        <f>Ft!F$3*EXP(Ft!F$38*($A22-Ft!F$2)^2)</f>
        <v>89125.259076337607</v>
      </c>
      <c r="J22" s="27">
        <f>Ft!G$3*EXP(Ft!G$38*($A22-Ft!G$2)^2)</f>
        <v>0</v>
      </c>
    </row>
    <row r="23" spans="1:10">
      <c r="A23" s="20">
        <v>21</v>
      </c>
      <c r="B23" s="29">
        <v>1.2189107232988192</v>
      </c>
      <c r="C23" s="28">
        <f ca="1">OFFSET($B23,1*(ROWS(C$2:C23)-1),0)</f>
        <v>2.4958820834738162</v>
      </c>
      <c r="D23" s="27">
        <f>Ft!B$3*EXP(Ft!B$38*($A23-Ft!B$2)^2) +Ft!C$3*EXP(Ft!C$38*($A23-Ft!C$2)^2) + Ft!D$3*EXP(Ft!D$38*($A23-Ft!D$2)^2)+Ft!E$3*EXP(Ft!E$38*($A23-Ft!E$2)^2) +Ft!F$3*EXP(Ft!F$38*($A23-Ft!F$2)^2) + Ft!G$3*EXP(Ft!G$38*($A23-Ft!G$2)^2)</f>
        <v>47811.279902919428</v>
      </c>
      <c r="E23" s="27">
        <f>Ft!B$3*EXP(Ft!B$38*($A23-Ft!B$2)^2)</f>
        <v>-115478.48550195931</v>
      </c>
      <c r="F23" s="27">
        <f>Ft!C$3*EXP(Ft!C$38*($A23-Ft!C$2)^2)</f>
        <v>0</v>
      </c>
      <c r="G23" s="27">
        <f>Ft!D$3*EXP(Ft!D$38*($A23-Ft!D$2)^2)</f>
        <v>34235.076862929673</v>
      </c>
      <c r="H23" s="27">
        <f>Ft!E$3*EXP(Ft!E$38*($A23-Ft!E$2)^2)</f>
        <v>38383.634279361358</v>
      </c>
      <c r="I23" s="27">
        <f>Ft!F$3*EXP(Ft!F$38*($A23-Ft!F$2)^2)</f>
        <v>90671.054262587699</v>
      </c>
      <c r="J23" s="27">
        <f>Ft!G$3*EXP(Ft!G$38*($A23-Ft!G$2)^2)</f>
        <v>0</v>
      </c>
    </row>
    <row r="24" spans="1:10">
      <c r="A24" s="20">
        <v>22</v>
      </c>
      <c r="B24" s="29">
        <v>1.2476498507832048</v>
      </c>
      <c r="C24" s="28">
        <f ca="1">OFFSET($B24,1*(ROWS(C$2:C24)-1),0)</f>
        <v>2.5921188377053568</v>
      </c>
      <c r="D24" s="27">
        <f>Ft!B$3*EXP(Ft!B$38*($A24-Ft!B$2)^2) +Ft!C$3*EXP(Ft!C$38*($A24-Ft!C$2)^2) + Ft!D$3*EXP(Ft!D$38*($A24-Ft!D$2)^2)+Ft!E$3*EXP(Ft!E$38*($A24-Ft!E$2)^2) +Ft!F$3*EXP(Ft!F$38*($A24-Ft!F$2)^2) + Ft!G$3*EXP(Ft!G$38*($A24-Ft!G$2)^2)</f>
        <v>50073.418620364158</v>
      </c>
      <c r="E24" s="27">
        <f>Ft!B$3*EXP(Ft!B$38*($A24-Ft!B$2)^2)</f>
        <v>-115479.8747052774</v>
      </c>
      <c r="F24" s="27">
        <f>Ft!C$3*EXP(Ft!C$38*($A24-Ft!C$2)^2)</f>
        <v>0</v>
      </c>
      <c r="G24" s="27">
        <f>Ft!D$3*EXP(Ft!D$38*($A24-Ft!D$2)^2)</f>
        <v>35129.109342094627</v>
      </c>
      <c r="H24" s="27">
        <f>Ft!E$3*EXP(Ft!E$38*($A24-Ft!E$2)^2)</f>
        <v>38204.650220514231</v>
      </c>
      <c r="I24" s="27">
        <f>Ft!F$3*EXP(Ft!F$38*($A24-Ft!F$2)^2)</f>
        <v>92219.533763032698</v>
      </c>
      <c r="J24" s="27">
        <f>Ft!G$3*EXP(Ft!G$38*($A24-Ft!G$2)^2)</f>
        <v>0</v>
      </c>
    </row>
    <row r="25" spans="1:10">
      <c r="A25" s="20">
        <v>23</v>
      </c>
      <c r="B25" s="29">
        <v>1.2893384630175149</v>
      </c>
      <c r="C25" s="28">
        <f ca="1">OFFSET($B25,1*(ROWS(C$2:C25)-1),0)</f>
        <v>2.7603583577131872</v>
      </c>
      <c r="D25" s="27">
        <f>Ft!B$3*EXP(Ft!B$38*($A25-Ft!B$2)^2) +Ft!C$3*EXP(Ft!C$38*($A25-Ft!C$2)^2) + Ft!D$3*EXP(Ft!D$38*($A25-Ft!D$2)^2)+Ft!E$3*EXP(Ft!E$38*($A25-Ft!E$2)^2) +Ft!F$3*EXP(Ft!F$38*($A25-Ft!F$2)^2) + Ft!G$3*EXP(Ft!G$38*($A25-Ft!G$2)^2)</f>
        <v>52334.48045752092</v>
      </c>
      <c r="E25" s="27">
        <f>Ft!B$3*EXP(Ft!B$38*($A25-Ft!B$2)^2)</f>
        <v>-115481.26339149868</v>
      </c>
      <c r="F25" s="27">
        <f>Ft!C$3*EXP(Ft!C$38*($A25-Ft!C$2)^2)</f>
        <v>0</v>
      </c>
      <c r="G25" s="27">
        <f>Ft!D$3*EXP(Ft!D$38*($A25-Ft!D$2)^2)</f>
        <v>36042.245556415299</v>
      </c>
      <c r="H25" s="27">
        <f>Ft!E$3*EXP(Ft!E$38*($A25-Ft!E$2)^2)</f>
        <v>38003.57178987607</v>
      </c>
      <c r="I25" s="27">
        <f>Ft!F$3*EXP(Ft!F$38*($A25-Ft!F$2)^2)</f>
        <v>93769.926502728238</v>
      </c>
      <c r="J25" s="27">
        <f>Ft!G$3*EXP(Ft!G$38*($A25-Ft!G$2)^2)</f>
        <v>0</v>
      </c>
    </row>
    <row r="26" spans="1:10">
      <c r="A26" s="20">
        <v>24</v>
      </c>
      <c r="B26" s="29">
        <v>1.3300808917291249</v>
      </c>
      <c r="C26" s="28">
        <f ca="1">OFFSET($B26,1*(ROWS(C$2:C26)-1),0)</f>
        <v>2.9508699050124108</v>
      </c>
      <c r="D26" s="27">
        <f>Ft!B$3*EXP(Ft!B$38*($A26-Ft!B$2)^2) +Ft!C$3*EXP(Ft!C$38*($A26-Ft!C$2)^2) + Ft!D$3*EXP(Ft!D$38*($A26-Ft!D$2)^2)+Ft!E$3*EXP(Ft!E$38*($A26-Ft!E$2)^2) +Ft!F$3*EXP(Ft!F$38*($A26-Ft!F$2)^2) + Ft!G$3*EXP(Ft!G$38*($A26-Ft!G$2)^2)</f>
        <v>54594.316688561594</v>
      </c>
      <c r="E26" s="27">
        <f>Ft!B$3*EXP(Ft!B$38*($A26-Ft!B$2)^2)</f>
        <v>-115482.65156060411</v>
      </c>
      <c r="F26" s="27">
        <f>Ft!C$3*EXP(Ft!C$38*($A26-Ft!C$2)^2)</f>
        <v>0</v>
      </c>
      <c r="G26" s="27">
        <f>Ft!D$3*EXP(Ft!D$38*($A26-Ft!D$2)^2)</f>
        <v>36974.764295021923</v>
      </c>
      <c r="H26" s="27">
        <f>Ft!E$3*EXP(Ft!E$38*($A26-Ft!E$2)^2)</f>
        <v>37780.757126255427</v>
      </c>
      <c r="I26" s="27">
        <f>Ft!F$3*EXP(Ft!F$38*($A26-Ft!F$2)^2)</f>
        <v>95321.446827888358</v>
      </c>
      <c r="J26" s="27">
        <f>Ft!G$3*EXP(Ft!G$38*($A26-Ft!G$2)^2)</f>
        <v>0</v>
      </c>
    </row>
    <row r="27" spans="1:10">
      <c r="A27" s="20">
        <v>25</v>
      </c>
      <c r="B27" s="29">
        <v>1.361703555709596</v>
      </c>
      <c r="C27" s="28">
        <f ca="1">OFFSET($B27,1*(ROWS(C$2:C27)-1),0)</f>
        <v>3.1501615817441859</v>
      </c>
      <c r="D27" s="27">
        <f>Ft!B$3*EXP(Ft!B$38*($A27-Ft!B$2)^2) +Ft!C$3*EXP(Ft!C$38*($A27-Ft!C$2)^2) + Ft!D$3*EXP(Ft!D$38*($A27-Ft!D$2)^2)+Ft!E$3*EXP(Ft!E$38*($A27-Ft!E$2)^2) +Ft!F$3*EXP(Ft!F$38*($A27-Ft!F$2)^2) + Ft!G$3*EXP(Ft!G$38*($A27-Ft!G$2)^2)</f>
        <v>56852.80210425907</v>
      </c>
      <c r="E27" s="27">
        <f>Ft!B$3*EXP(Ft!B$38*($A27-Ft!B$2)^2)</f>
        <v>-115484.03921257463</v>
      </c>
      <c r="F27" s="27">
        <f>Ft!C$3*EXP(Ft!C$38*($A27-Ft!C$2)^2)</f>
        <v>0</v>
      </c>
      <c r="G27" s="27">
        <f>Ft!D$3*EXP(Ft!D$38*($A27-Ft!D$2)^2)</f>
        <v>37926.944643156996</v>
      </c>
      <c r="H27" s="27">
        <f>Ft!E$3*EXP(Ft!E$38*($A27-Ft!E$2)^2)</f>
        <v>37536.601584091157</v>
      </c>
      <c r="I27" s="27">
        <f>Ft!F$3*EXP(Ft!F$38*($A27-Ft!F$2)^2)</f>
        <v>96873.295089585547</v>
      </c>
      <c r="J27" s="27">
        <f>Ft!G$3*EXP(Ft!G$38*($A27-Ft!G$2)^2)</f>
        <v>0</v>
      </c>
    </row>
    <row r="28" spans="1:10">
      <c r="A28" s="20">
        <v>26</v>
      </c>
      <c r="B28" s="29">
        <v>1.4050154910238746</v>
      </c>
      <c r="C28" s="28">
        <f ca="1">OFFSET($B28,1*(ROWS(C$2:C28)-1),0)</f>
        <v>3.3243625965870365</v>
      </c>
      <c r="D28" s="27">
        <f>Ft!B$3*EXP(Ft!B$38*($A28-Ft!B$2)^2) +Ft!C$3*EXP(Ft!C$38*($A28-Ft!C$2)^2) + Ft!D$3*EXP(Ft!D$38*($A28-Ft!D$2)^2)+Ft!E$3*EXP(Ft!E$38*($A28-Ft!E$2)^2) +Ft!F$3*EXP(Ft!F$38*($A28-Ft!F$2)^2) + Ft!G$3*EXP(Ft!G$38*($A28-Ft!G$2)^2)</f>
        <v>59109.834329663419</v>
      </c>
      <c r="E28" s="27">
        <f>Ft!B$3*EXP(Ft!B$38*($A28-Ft!B$2)^2)</f>
        <v>-115485.4263473912</v>
      </c>
      <c r="F28" s="27">
        <f>Ft!C$3*EXP(Ft!C$38*($A28-Ft!C$2)^2)</f>
        <v>0</v>
      </c>
      <c r="G28" s="27">
        <f>Ft!D$3*EXP(Ft!D$38*($A28-Ft!D$2)^2)</f>
        <v>38899.065856728768</v>
      </c>
      <c r="H28" s="27">
        <f>Ft!E$3*EXP(Ft!E$38*($A28-Ft!E$2)^2)</f>
        <v>37271.536564688715</v>
      </c>
      <c r="I28" s="27">
        <f>Ft!F$3*EXP(Ft!F$38*($A28-Ft!F$2)^2)</f>
        <v>98424.658255637129</v>
      </c>
      <c r="J28" s="27">
        <f>Ft!G$3*EXP(Ft!G$38*($A28-Ft!G$2)^2)</f>
        <v>0</v>
      </c>
    </row>
    <row r="29" spans="1:10">
      <c r="A29" s="20">
        <v>27</v>
      </c>
      <c r="B29" s="29">
        <v>1.4238662720605078</v>
      </c>
      <c r="C29" s="28">
        <f ca="1">OFFSET($B29,1*(ROWS(C$2:C29)-1),0)</f>
        <v>3.5637574580262026</v>
      </c>
      <c r="D29" s="27">
        <f>Ft!B$3*EXP(Ft!B$38*($A29-Ft!B$2)^2) +Ft!C$3*EXP(Ft!C$38*($A29-Ft!C$2)^2) + Ft!D$3*EXP(Ft!D$38*($A29-Ft!D$2)^2)+Ft!E$3*EXP(Ft!E$38*($A29-Ft!E$2)^2) +Ft!F$3*EXP(Ft!F$38*($A29-Ft!F$2)^2) + Ft!G$3*EXP(Ft!G$38*($A29-Ft!G$2)^2)</f>
        <v>61365.3330650102</v>
      </c>
      <c r="E29" s="27">
        <f>Ft!B$3*EXP(Ft!B$38*($A29-Ft!B$2)^2)</f>
        <v>-115486.8129650348</v>
      </c>
      <c r="F29" s="27">
        <f>Ft!C$3*EXP(Ft!C$38*($A29-Ft!C$2)^2)</f>
        <v>0</v>
      </c>
      <c r="G29" s="27">
        <f>Ft!D$3*EXP(Ft!D$38*($A29-Ft!D$2)^2)</f>
        <v>39891.407233524937</v>
      </c>
      <c r="H29" s="27">
        <f>Ft!E$3*EXP(Ft!E$38*($A29-Ft!E$2)^2)</f>
        <v>36986.028246343238</v>
      </c>
      <c r="I29" s="27">
        <f>Ft!F$3*EXP(Ft!F$38*($A29-Ft!F$2)^2)</f>
        <v>99974.710550176824</v>
      </c>
      <c r="J29" s="27">
        <f>Ft!G$3*EXP(Ft!G$38*($A29-Ft!G$2)^2)</f>
        <v>0</v>
      </c>
    </row>
    <row r="30" spans="1:10">
      <c r="A30" s="20">
        <v>28</v>
      </c>
      <c r="B30" s="29">
        <v>1.4492486361786519</v>
      </c>
      <c r="C30" s="28">
        <f ca="1">OFFSET($B30,1*(ROWS(C$2:C30)-1),0)</f>
        <v>3.8172766562090885</v>
      </c>
      <c r="D30" s="27">
        <f>Ft!B$3*EXP(Ft!B$38*($A30-Ft!B$2)^2) +Ft!C$3*EXP(Ft!C$38*($A30-Ft!C$2)^2) + Ft!D$3*EXP(Ft!D$38*($A30-Ft!D$2)^2)+Ft!E$3*EXP(Ft!E$38*($A30-Ft!E$2)^2) +Ft!F$3*EXP(Ft!F$38*($A30-Ft!F$2)^2) + Ft!G$3*EXP(Ft!G$38*($A30-Ft!G$2)^2)</f>
        <v>63619.239254536893</v>
      </c>
      <c r="E30" s="27">
        <f>Ft!B$3*EXP(Ft!B$38*($A30-Ft!B$2)^2)</f>
        <v>-115488.19906548638</v>
      </c>
      <c r="F30" s="27">
        <f>Ft!C$3*EXP(Ft!C$38*($A30-Ft!C$2)^2)</f>
        <v>0</v>
      </c>
      <c r="G30" s="27">
        <f>Ft!D$3*EXP(Ft!D$38*($A30-Ft!D$2)^2)</f>
        <v>40904.247981092893</v>
      </c>
      <c r="H30" s="27">
        <f>Ft!E$3*EXP(Ft!E$38*($A30-Ft!E$2)^2)</f>
        <v>36680.576218580391</v>
      </c>
      <c r="I30" s="27">
        <f>Ft!F$3*EXP(Ft!F$38*($A30-Ft!F$2)^2)</f>
        <v>101522.61412034999</v>
      </c>
      <c r="J30" s="27">
        <f>Ft!G$3*EXP(Ft!G$38*($A30-Ft!G$2)^2)</f>
        <v>0</v>
      </c>
    </row>
    <row r="31" spans="1:10">
      <c r="A31" s="20">
        <v>29</v>
      </c>
      <c r="B31" s="29">
        <v>1.4828855934443652</v>
      </c>
      <c r="C31" s="28">
        <f ca="1">OFFSET($B31,1*(ROWS(C$2:C31)-1),0)</f>
        <v>4.0635912179145635</v>
      </c>
      <c r="D31" s="27">
        <f>Ft!B$3*EXP(Ft!B$38*($A31-Ft!B$2)^2) +Ft!C$3*EXP(Ft!C$38*($A31-Ft!C$2)^2) + Ft!D$3*EXP(Ft!D$38*($A31-Ft!D$2)^2)+Ft!E$3*EXP(Ft!E$38*($A31-Ft!E$2)^2) +Ft!F$3*EXP(Ft!F$38*($A31-Ft!F$2)^2) + Ft!G$3*EXP(Ft!G$38*($A31-Ft!G$2)^2)</f>
        <v>65871.514188194938</v>
      </c>
      <c r="E31" s="27">
        <f>Ft!B$3*EXP(Ft!B$38*($A31-Ft!B$2)^2)</f>
        <v>-115489.58464872693</v>
      </c>
      <c r="F31" s="27">
        <f>Ft!C$3*EXP(Ft!C$38*($A31-Ft!C$2)^2)</f>
        <v>0</v>
      </c>
      <c r="G31" s="27">
        <f>Ft!D$3*EXP(Ft!D$38*($A31-Ft!D$2)^2)</f>
        <v>41937.867081295371</v>
      </c>
      <c r="H31" s="27">
        <f>Ft!E$3*EXP(Ft!E$38*($A31-Ft!E$2)^2)</f>
        <v>36355.71202611379</v>
      </c>
      <c r="I31" s="27">
        <f>Ft!F$3*EXP(Ft!F$38*($A31-Ft!F$2)^2)</f>
        <v>103067.51972951271</v>
      </c>
      <c r="J31" s="27">
        <f>Ft!G$3*EXP(Ft!G$38*($A31-Ft!G$2)^2)</f>
        <v>0</v>
      </c>
    </row>
    <row r="32" spans="1:10">
      <c r="A32" s="20">
        <v>30</v>
      </c>
      <c r="B32" s="29">
        <v>1.5368713877024049</v>
      </c>
      <c r="C32" s="28">
        <f ca="1">OFFSET($B32,1*(ROWS(C$2:C32)-1),0)</f>
        <v>4.2823507860106531</v>
      </c>
      <c r="D32" s="27">
        <f>Ft!B$3*EXP(Ft!B$38*($A32-Ft!B$2)^2) +Ft!C$3*EXP(Ft!C$38*($A32-Ft!C$2)^2) + Ft!D$3*EXP(Ft!D$38*($A32-Ft!D$2)^2)+Ft!E$3*EXP(Ft!E$38*($A32-Ft!E$2)^2) +Ft!F$3*EXP(Ft!F$38*($A32-Ft!F$2)^2) + Ft!G$3*EXP(Ft!G$38*($A32-Ft!G$2)^2)</f>
        <v>68122.138541528286</v>
      </c>
      <c r="E32" s="27">
        <f>Ft!B$3*EXP(Ft!B$38*($A32-Ft!B$2)^2)</f>
        <v>-115490.96971473742</v>
      </c>
      <c r="F32" s="27">
        <f>Ft!C$3*EXP(Ft!C$38*($A32-Ft!C$2)^2)</f>
        <v>0</v>
      </c>
      <c r="G32" s="27">
        <f>Ft!D$3*EXP(Ft!D$38*($A32-Ft!D$2)^2)</f>
        <v>42992.543151553793</v>
      </c>
      <c r="H32" s="27">
        <f>Ft!E$3*EXP(Ft!E$38*($A32-Ft!E$2)^2)</f>
        <v>36011.99762845604</v>
      </c>
      <c r="I32" s="27">
        <f>Ft!F$3*EXP(Ft!F$38*($A32-Ft!F$2)^2)</f>
        <v>104608.56747625588</v>
      </c>
      <c r="J32" s="27">
        <f>Ft!G$3*EXP(Ft!G$38*($A32-Ft!G$2)^2)</f>
        <v>0</v>
      </c>
    </row>
    <row r="33" spans="1:10">
      <c r="A33" s="20">
        <v>31</v>
      </c>
      <c r="B33" s="29">
        <v>1.5834185676403081</v>
      </c>
      <c r="C33" s="28">
        <f ca="1">OFFSET($B33,1*(ROWS(C$2:C33)-1),0)</f>
        <v>4.5695920522557572</v>
      </c>
      <c r="D33" s="27">
        <f>Ft!B$3*EXP(Ft!B$38*($A33-Ft!B$2)^2) +Ft!C$3*EXP(Ft!C$38*($A33-Ft!C$2)^2) + Ft!D$3*EXP(Ft!D$38*($A33-Ft!D$2)^2)+Ft!E$3*EXP(Ft!E$38*($A33-Ft!E$2)^2) +Ft!F$3*EXP(Ft!F$38*($A33-Ft!F$2)^2) + Ft!G$3*EXP(Ft!G$38*($A33-Ft!G$2)^2)</f>
        <v>70371.111359240211</v>
      </c>
      <c r="E33" s="27">
        <f>Ft!B$3*EXP(Ft!B$38*($A33-Ft!B$2)^2)</f>
        <v>-115492.35426349886</v>
      </c>
      <c r="F33" s="27">
        <f>Ft!C$3*EXP(Ft!C$38*($A33-Ft!C$2)^2)</f>
        <v>0</v>
      </c>
      <c r="G33" s="27">
        <f>Ft!D$3*EXP(Ft!D$38*($A33-Ft!D$2)^2)</f>
        <v>44068.554302794269</v>
      </c>
      <c r="H33" s="27">
        <f>Ft!E$3*EXP(Ft!E$38*($A33-Ft!E$2)^2)</f>
        <v>35650.023781427706</v>
      </c>
      <c r="I33" s="27">
        <f>Ft!F$3*EXP(Ft!F$38*($A33-Ft!F$2)^2)</f>
        <v>106144.88753851708</v>
      </c>
      <c r="J33" s="27">
        <f>Ft!G$3*EXP(Ft!G$38*($A33-Ft!G$2)^2)</f>
        <v>0</v>
      </c>
    </row>
    <row r="34" spans="1:10">
      <c r="A34" s="20">
        <v>32</v>
      </c>
      <c r="B34" s="29">
        <v>1.6308469684382203</v>
      </c>
      <c r="C34" s="28">
        <f ca="1">OFFSET($B34,1*(ROWS(C$2:C34)-1),0)</f>
        <v>4.7505049174518774</v>
      </c>
      <c r="D34" s="27">
        <f>Ft!B$3*EXP(Ft!B$38*($A34-Ft!B$2)^2) +Ft!C$3*EXP(Ft!C$38*($A34-Ft!C$2)^2) + Ft!D$3*EXP(Ft!D$38*($A34-Ft!D$2)^2)+Ft!E$3*EXP(Ft!E$38*($A34-Ft!E$2)^2) +Ft!F$3*EXP(Ft!F$38*($A34-Ft!F$2)^2) + Ft!G$3*EXP(Ft!G$38*($A34-Ft!G$2)^2)</f>
        <v>72618.448988191158</v>
      </c>
      <c r="E34" s="27">
        <f>Ft!B$3*EXP(Ft!B$38*($A34-Ft!B$2)^2)</f>
        <v>-115493.73829499223</v>
      </c>
      <c r="F34" s="27">
        <f>Ft!C$3*EXP(Ft!C$38*($A34-Ft!C$2)^2)</f>
        <v>0</v>
      </c>
      <c r="G34" s="27">
        <f>Ft!D$3*EXP(Ft!D$38*($A34-Ft!D$2)^2)</f>
        <v>45166.177994114718</v>
      </c>
      <c r="H34" s="27">
        <f>Ft!E$3*EXP(Ft!E$38*($A34-Ft!E$2)^2)</f>
        <v>35270.408347083052</v>
      </c>
      <c r="I34" s="27">
        <f>Ft!F$3*EXP(Ft!F$38*($A34-Ft!F$2)^2)</f>
        <v>107675.60094198563</v>
      </c>
      <c r="J34" s="27">
        <f>Ft!G$3*EXP(Ft!G$38*($A34-Ft!G$2)^2)</f>
        <v>0</v>
      </c>
    </row>
    <row r="35" spans="1:10">
      <c r="A35" s="20">
        <v>33</v>
      </c>
      <c r="B35" s="29">
        <v>1.6962694846097008</v>
      </c>
      <c r="C35" s="28">
        <f ca="1">OFFSET($B35,1*(ROWS(C$2:C35)-1),0)</f>
        <v>4.9867759017905087</v>
      </c>
      <c r="D35" s="27">
        <f>Ft!B$3*EXP(Ft!B$38*($A35-Ft!B$2)^2) +Ft!C$3*EXP(Ft!C$38*($A35-Ft!C$2)^2) + Ft!D$3*EXP(Ft!D$38*($A35-Ft!D$2)^2)+Ft!E$3*EXP(Ft!E$38*($A35-Ft!E$2)^2) +Ft!F$3*EXP(Ft!F$38*($A35-Ft!F$2)^2) + Ft!G$3*EXP(Ft!G$38*($A35-Ft!G$2)^2)</f>
        <v>74864.183965757707</v>
      </c>
      <c r="E35" s="27">
        <f>Ft!B$3*EXP(Ft!B$38*($A35-Ft!B$2)^2)</f>
        <v>-115495.12180919856</v>
      </c>
      <c r="F35" s="27">
        <f>Ft!C$3*EXP(Ft!C$38*($A35-Ft!C$2)^2)</f>
        <v>0</v>
      </c>
      <c r="G35" s="27">
        <f>Ft!D$3*EXP(Ft!D$38*($A35-Ft!D$2)^2)</f>
        <v>46285.690884194359</v>
      </c>
      <c r="H35" s="27">
        <f>Ft!E$3*EXP(Ft!E$38*($A35-Ft!E$2)^2)</f>
        <v>34873.794538812639</v>
      </c>
      <c r="I35" s="27">
        <f>Ft!F$3*EXP(Ft!F$38*($A35-Ft!F$2)^2)</f>
        <v>109199.82035194928</v>
      </c>
      <c r="J35" s="27">
        <f>Ft!G$3*EXP(Ft!G$38*($A35-Ft!G$2)^2)</f>
        <v>0</v>
      </c>
    </row>
    <row r="36" spans="1:10">
      <c r="A36" s="20">
        <v>34</v>
      </c>
      <c r="B36" s="29">
        <v>1.8202667496568665</v>
      </c>
      <c r="C36" s="28">
        <f ca="1">OFFSET($B36,1*(ROWS(C$2:C36)-1),0)</f>
        <v>5.2369768814498627</v>
      </c>
      <c r="D36" s="27">
        <f>Ft!B$3*EXP(Ft!B$38*($A36-Ft!B$2)^2) +Ft!C$3*EXP(Ft!C$38*($A36-Ft!C$2)^2) + Ft!D$3*EXP(Ft!D$38*($A36-Ft!D$2)^2)+Ft!E$3*EXP(Ft!E$38*($A36-Ft!E$2)^2) +Ft!F$3*EXP(Ft!F$38*($A36-Ft!F$2)^2) + Ft!G$3*EXP(Ft!G$38*($A36-Ft!G$2)^2)</f>
        <v>77108.363869635592</v>
      </c>
      <c r="E36" s="27">
        <f>Ft!B$3*EXP(Ft!B$38*($A36-Ft!B$2)^2)</f>
        <v>-115496.50480609885</v>
      </c>
      <c r="F36" s="27">
        <f>Ft!C$3*EXP(Ft!C$38*($A36-Ft!C$2)^2)</f>
        <v>0</v>
      </c>
      <c r="G36" s="27">
        <f>Ft!D$3*EXP(Ft!D$38*($A36-Ft!D$2)^2)</f>
        <v>47427.368679470448</v>
      </c>
      <c r="H36" s="27">
        <f>Ft!E$3*EXP(Ft!E$38*($A36-Ft!E$2)^2)</f>
        <v>34460.849108588714</v>
      </c>
      <c r="I36" s="27">
        <f>Ft!F$3*EXP(Ft!F$38*($A36-Ft!F$2)^2)</f>
        <v>110716.65088767529</v>
      </c>
      <c r="J36" s="27">
        <f>Ft!G$3*EXP(Ft!G$38*($A36-Ft!G$2)^2)</f>
        <v>0</v>
      </c>
    </row>
    <row r="37" spans="1:10">
      <c r="A37" s="20">
        <v>35</v>
      </c>
      <c r="B37" s="29">
        <v>1.9172634496794103</v>
      </c>
      <c r="C37" s="28">
        <f ca="1">OFFSET($B37,1*(ROWS(C$2:C37)-1),0)</f>
        <v>5.5561225587664183</v>
      </c>
      <c r="D37" s="27">
        <f>Ft!B$3*EXP(Ft!B$38*($A37-Ft!B$2)^2) +Ft!C$3*EXP(Ft!C$38*($A37-Ft!C$2)^2) + Ft!D$3*EXP(Ft!D$38*($A37-Ft!D$2)^2)+Ft!E$3*EXP(Ft!E$38*($A37-Ft!E$2)^2) +Ft!F$3*EXP(Ft!F$38*($A37-Ft!F$2)^2) + Ft!G$3*EXP(Ft!G$38*($A37-Ft!G$2)^2)</f>
        <v>79351.050135290454</v>
      </c>
      <c r="E37" s="27">
        <f>Ft!B$3*EXP(Ft!B$38*($A37-Ft!B$2)^2)</f>
        <v>-115497.88728567411</v>
      </c>
      <c r="F37" s="27">
        <f>Ft!C$3*EXP(Ft!C$38*($A37-Ft!C$2)^2)</f>
        <v>0</v>
      </c>
      <c r="G37" s="27">
        <f>Ft!D$3*EXP(Ft!D$38*($A37-Ft!D$2)^2)</f>
        <v>48591.485979110301</v>
      </c>
      <c r="H37" s="27">
        <f>Ft!E$3*EXP(Ft!E$38*($A37-Ft!E$2)^2)</f>
        <v>34032.260483490398</v>
      </c>
      <c r="I37" s="27">
        <f>Ft!F$3*EXP(Ft!F$38*($A37-Ft!F$2)^2)</f>
        <v>112225.19095836386</v>
      </c>
      <c r="J37" s="27">
        <f>Ft!G$3*EXP(Ft!G$38*($A37-Ft!G$2)^2)</f>
        <v>0</v>
      </c>
    </row>
    <row r="38" spans="1:10">
      <c r="A38" s="20">
        <v>36</v>
      </c>
      <c r="B38" s="29">
        <v>2.0200351726556391</v>
      </c>
      <c r="C38" s="28">
        <f ca="1">OFFSET($B38,1*(ROWS(C$2:C38)-1),0)</f>
        <v>5.8714795976146945</v>
      </c>
      <c r="D38" s="27">
        <f>Ft!B$3*EXP(Ft!B$38*($A38-Ft!B$2)^2) +Ft!C$3*EXP(Ft!C$38*($A38-Ft!C$2)^2) + Ft!D$3*EXP(Ft!D$38*($A38-Ft!D$2)^2)+Ft!E$3*EXP(Ft!E$38*($A38-Ft!E$2)^2) +Ft!F$3*EXP(Ft!F$38*($A38-Ft!F$2)^2) + Ft!G$3*EXP(Ft!G$38*($A38-Ft!G$2)^2)</f>
        <v>81592.316847343143</v>
      </c>
      <c r="E38" s="27">
        <f>Ft!B$3*EXP(Ft!B$38*($A38-Ft!B$2)^2)</f>
        <v>-115499.26924790539</v>
      </c>
      <c r="F38" s="27">
        <f>Ft!C$3*EXP(Ft!C$38*($A38-Ft!C$2)^2)</f>
        <v>0</v>
      </c>
      <c r="G38" s="27">
        <f>Ft!D$3*EXP(Ft!D$38*($A38-Ft!D$2)^2)</f>
        <v>49778.316116810056</v>
      </c>
      <c r="H38" s="27">
        <f>Ft!E$3*EXP(Ft!E$38*($A38-Ft!E$2)^2)</f>
        <v>33588.736858780328</v>
      </c>
      <c r="I38" s="27">
        <f>Ft!F$3*EXP(Ft!F$38*($A38-Ft!F$2)^2)</f>
        <v>113724.53311965815</v>
      </c>
      <c r="J38" s="27">
        <f>Ft!G$3*EXP(Ft!G$38*($A38-Ft!G$2)^2)</f>
        <v>0</v>
      </c>
    </row>
    <row r="39" spans="1:10">
      <c r="A39" s="20">
        <v>37</v>
      </c>
      <c r="B39" s="29">
        <v>2.1161167334557831</v>
      </c>
      <c r="C39" s="28">
        <f ca="1">OFFSET($B39,1*(ROWS(C$2:C39)-1),0)</f>
        <v>6.178612119866159</v>
      </c>
      <c r="D39" s="27">
        <f>Ft!B$3*EXP(Ft!B$38*($A39-Ft!B$2)^2) +Ft!C$3*EXP(Ft!C$38*($A39-Ft!C$2)^2) + Ft!D$3*EXP(Ft!D$38*($A39-Ft!D$2)^2)+Ft!E$3*EXP(Ft!E$38*($A39-Ft!E$2)^2) +Ft!F$3*EXP(Ft!F$38*($A39-Ft!F$2)^2) + Ft!G$3*EXP(Ft!G$38*($A39-Ft!G$2)^2)</f>
        <v>83832.24951122723</v>
      </c>
      <c r="E39" s="27">
        <f>Ft!B$3*EXP(Ft!B$38*($A39-Ft!B$2)^2)</f>
        <v>-115500.65069277369</v>
      </c>
      <c r="F39" s="27">
        <f>Ft!C$3*EXP(Ft!C$38*($A39-Ft!C$2)^2)</f>
        <v>0</v>
      </c>
      <c r="G39" s="27">
        <f>Ft!D$3*EXP(Ft!D$38*($A39-Ft!D$2)^2)</f>
        <v>50988.130999454872</v>
      </c>
      <c r="H39" s="27">
        <f>Ft!E$3*EXP(Ft!E$38*($A39-Ft!E$2)^2)</f>
        <v>33131.004254902575</v>
      </c>
      <c r="I39" s="27">
        <f>Ft!F$3*EXP(Ft!F$38*($A39-Ft!F$2)^2)</f>
        <v>115213.76494964348</v>
      </c>
      <c r="J39" s="27">
        <f>Ft!G$3*EXP(Ft!G$38*($A39-Ft!G$2)^2)</f>
        <v>0</v>
      </c>
    </row>
    <row r="40" spans="1:10">
      <c r="A40" s="20">
        <v>38</v>
      </c>
      <c r="B40" s="29">
        <v>2.2068991824084492</v>
      </c>
      <c r="C40" s="28">
        <f ca="1">OFFSET($B40,1*(ROWS(C$2:C40)-1),0)</f>
        <v>6.4864274404777689</v>
      </c>
      <c r="D40" s="27">
        <f>Ft!B$3*EXP(Ft!B$38*($A40-Ft!B$2)^2) +Ft!C$3*EXP(Ft!C$38*($A40-Ft!C$2)^2) + Ft!D$3*EXP(Ft!D$38*($A40-Ft!D$2)^2)+Ft!E$3*EXP(Ft!E$38*($A40-Ft!E$2)^2) +Ft!F$3*EXP(Ft!F$38*($A40-Ft!F$2)^2) + Ft!G$3*EXP(Ft!G$38*($A40-Ft!G$2)^2)</f>
        <v>86070.943811469653</v>
      </c>
      <c r="E40" s="27">
        <f>Ft!B$3*EXP(Ft!B$38*($A40-Ft!B$2)^2)</f>
        <v>-115502.0316202601</v>
      </c>
      <c r="F40" s="27">
        <f>Ft!C$3*EXP(Ft!C$38*($A40-Ft!C$2)^2)</f>
        <v>0</v>
      </c>
      <c r="G40" s="27">
        <f>Ft!D$3*EXP(Ft!D$38*($A40-Ft!D$2)^2)</f>
        <v>52221.200942678952</v>
      </c>
      <c r="H40" s="27">
        <f>Ft!E$3*EXP(Ft!E$38*($A40-Ft!E$2)^2)</f>
        <v>32659.8045458337</v>
      </c>
      <c r="I40" s="27">
        <f>Ft!F$3*EXP(Ft!F$38*($A40-Ft!F$2)^2)</f>
        <v>116691.9699432171</v>
      </c>
      <c r="J40" s="27">
        <f>Ft!G$3*EXP(Ft!G$38*($A40-Ft!G$2)^2)</f>
        <v>0</v>
      </c>
    </row>
    <row r="41" spans="1:10">
      <c r="A41" s="20">
        <v>39</v>
      </c>
      <c r="B41" s="29">
        <v>2.2952077843763732</v>
      </c>
      <c r="C41" s="28">
        <f ca="1">OFFSET($B41,1*(ROWS(C$2:C41)-1),0)</f>
        <v>6.7686960378715071</v>
      </c>
      <c r="D41" s="27">
        <f>Ft!B$3*EXP(Ft!B$38*($A41-Ft!B$2)^2) +Ft!C$3*EXP(Ft!C$38*($A41-Ft!C$2)^2) + Ft!D$3*EXP(Ft!D$38*($A41-Ft!D$2)^2)+Ft!E$3*EXP(Ft!E$38*($A41-Ft!E$2)^2) +Ft!F$3*EXP(Ft!F$38*($A41-Ft!F$2)^2) + Ft!G$3*EXP(Ft!G$38*($A41-Ft!G$2)^2)</f>
        <v>88308.504362927604</v>
      </c>
      <c r="E41" s="27">
        <f>Ft!B$3*EXP(Ft!B$38*($A41-Ft!B$2)^2)</f>
        <v>-115503.41203034561</v>
      </c>
      <c r="F41" s="27">
        <f>Ft!C$3*EXP(Ft!C$38*($A41-Ft!C$2)^2)</f>
        <v>0</v>
      </c>
      <c r="G41" s="27">
        <f>Ft!D$3*EXP(Ft!D$38*($A41-Ft!D$2)^2)</f>
        <v>53477.794503367382</v>
      </c>
      <c r="H41" s="27">
        <f>Ft!E$3*EXP(Ft!E$38*($A41-Ft!E$2)^2)</f>
        <v>32175.893466244332</v>
      </c>
      <c r="I41" s="27">
        <f>Ft!F$3*EXP(Ft!F$38*($A41-Ft!F$2)^2)</f>
        <v>118158.22842366151</v>
      </c>
      <c r="J41" s="27">
        <f>Ft!G$3*EXP(Ft!G$38*($A41-Ft!G$2)^2)</f>
        <v>0</v>
      </c>
    </row>
    <row r="42" spans="1:10">
      <c r="A42" s="20">
        <v>40</v>
      </c>
      <c r="B42" s="29">
        <v>2.371052613505924</v>
      </c>
      <c r="C42" s="28">
        <f ca="1">OFFSET($B42,1*(ROWS(C$2:C42)-1),0)</f>
        <v>7.0641778348127104</v>
      </c>
      <c r="D42" s="27">
        <f>Ft!B$3*EXP(Ft!B$38*($A42-Ft!B$2)^2) +Ft!C$3*EXP(Ft!C$38*($A42-Ft!C$2)^2) + Ft!D$3*EXP(Ft!D$38*($A42-Ft!D$2)^2)+Ft!E$3*EXP(Ft!E$38*($A42-Ft!E$2)^2) +Ft!F$3*EXP(Ft!F$38*($A42-Ft!F$2)^2) + Ft!G$3*EXP(Ft!G$38*($A42-Ft!G$2)^2)</f>
        <v>90545.043461257897</v>
      </c>
      <c r="E42" s="27">
        <f>Ft!B$3*EXP(Ft!B$38*($A42-Ft!B$2)^2)</f>
        <v>-115504.79192301132</v>
      </c>
      <c r="F42" s="27">
        <f>Ft!C$3*EXP(Ft!C$38*($A42-Ft!C$2)^2)</f>
        <v>0</v>
      </c>
      <c r="G42" s="27">
        <f>Ft!D$3*EXP(Ft!D$38*($A42-Ft!D$2)^2)</f>
        <v>54758.178309144838</v>
      </c>
      <c r="H42" s="27">
        <f>Ft!E$3*EXP(Ft!E$38*($A42-Ft!E$2)^2)</f>
        <v>31680.03860491774</v>
      </c>
      <c r="I42" s="27">
        <f>Ft!F$3*EXP(Ft!F$38*($A42-Ft!F$2)^2)</f>
        <v>119611.61847020664</v>
      </c>
      <c r="J42" s="27">
        <f>Ft!G$3*EXP(Ft!G$38*($A42-Ft!G$2)^2)</f>
        <v>0</v>
      </c>
    </row>
    <row r="43" spans="1:10">
      <c r="A43" s="20">
        <v>41</v>
      </c>
      <c r="B43" s="29">
        <v>2.4336054109384122</v>
      </c>
      <c r="C43" s="28">
        <f ca="1">OFFSET($B43,1*(ROWS(C$2:C43)-1),0)</f>
        <v>7.3964267172944176</v>
      </c>
      <c r="D43" s="27">
        <f>Ft!B$3*EXP(Ft!B$38*($A43-Ft!B$2)^2) +Ft!C$3*EXP(Ft!C$38*($A43-Ft!C$2)^2) + Ft!D$3*EXP(Ft!D$38*($A43-Ft!D$2)^2)+Ft!E$3*EXP(Ft!E$38*($A43-Ft!E$2)^2) +Ft!F$3*EXP(Ft!F$38*($A43-Ft!F$2)^2) + Ft!G$3*EXP(Ft!G$38*($A43-Ft!G$2)^2)</f>
        <v>92780.67983881048</v>
      </c>
      <c r="E43" s="27">
        <f>Ft!B$3*EXP(Ft!B$38*($A43-Ft!B$2)^2)</f>
        <v>-115506.17129823826</v>
      </c>
      <c r="F43" s="27">
        <f>Ft!C$3*EXP(Ft!C$38*($A43-Ft!C$2)^2)</f>
        <v>0</v>
      </c>
      <c r="G43" s="27">
        <f>Ft!D$3*EXP(Ft!D$38*($A43-Ft!D$2)^2)</f>
        <v>56062.616884900657</v>
      </c>
      <c r="H43" s="27">
        <f>Ft!E$3*EXP(Ft!E$38*($A43-Ft!E$2)^2)</f>
        <v>31173.017391826281</v>
      </c>
      <c r="I43" s="27">
        <f>Ft!F$3*EXP(Ft!F$38*($A43-Ft!F$2)^2)</f>
        <v>121051.2168603218</v>
      </c>
      <c r="J43" s="27">
        <f>Ft!G$3*EXP(Ft!G$38*($A43-Ft!G$2)^2)</f>
        <v>0</v>
      </c>
    </row>
    <row r="44" spans="1:10">
      <c r="A44" s="20">
        <v>42</v>
      </c>
      <c r="B44" s="29">
        <v>2.4958820834738162</v>
      </c>
      <c r="C44" s="28">
        <f ca="1">OFFSET($B44,1*(ROWS(C$2:C44)-1),0)</f>
        <v>7.7141521591006494</v>
      </c>
      <c r="D44" s="27">
        <f>Ft!B$3*EXP(Ft!B$38*($A44-Ft!B$2)^2) +Ft!C$3*EXP(Ft!C$38*($A44-Ft!C$2)^2) + Ft!D$3*EXP(Ft!D$38*($A44-Ft!D$2)^2)+Ft!E$3*EXP(Ft!E$38*($A44-Ft!E$2)^2) +Ft!F$3*EXP(Ft!F$38*($A44-Ft!F$2)^2) + Ft!G$3*EXP(Ft!G$38*($A44-Ft!G$2)^2)</f>
        <v>95015.537432014215</v>
      </c>
      <c r="E44" s="27">
        <f>Ft!B$3*EXP(Ft!B$38*($A44-Ft!B$2)^2)</f>
        <v>-115507.55015600752</v>
      </c>
      <c r="F44" s="27">
        <f>Ft!C$3*EXP(Ft!C$38*($A44-Ft!C$2)^2)</f>
        <v>0</v>
      </c>
      <c r="G44" s="27">
        <f>Ft!D$3*EXP(Ft!D$38*($A44-Ft!D$2)^2)</f>
        <v>57391.37247640235</v>
      </c>
      <c r="H44" s="27">
        <f>Ft!E$3*EXP(Ft!E$38*($A44-Ft!E$2)^2)</f>
        <v>30655.615086185324</v>
      </c>
      <c r="I44" s="27">
        <f>Ft!F$3*EXP(Ft!F$38*($A44-Ft!F$2)^2)</f>
        <v>122476.10002543406</v>
      </c>
      <c r="J44" s="27">
        <f>Ft!G$3*EXP(Ft!G$38*($A44-Ft!G$2)^2)</f>
        <v>0</v>
      </c>
    </row>
    <row r="45" spans="1:10">
      <c r="A45" s="20">
        <v>43</v>
      </c>
      <c r="B45" s="29">
        <v>2.5252779718411205</v>
      </c>
      <c r="C45" s="28">
        <f ca="1">OFFSET($B45,1*(ROWS(C$2:C45)-1),0)</f>
        <v>7.992637002132966</v>
      </c>
      <c r="D45" s="27">
        <f>Ft!B$3*EXP(Ft!B$38*($A45-Ft!B$2)^2) +Ft!C$3*EXP(Ft!C$38*($A45-Ft!C$2)^2) + Ft!D$3*EXP(Ft!D$38*($A45-Ft!D$2)^2)+Ft!E$3*EXP(Ft!E$38*($A45-Ft!E$2)^2) +Ft!F$3*EXP(Ft!F$38*($A45-Ft!F$2)^2) + Ft!G$3*EXP(Ft!G$38*($A45-Ft!G$2)^2)</f>
        <v>97249.744166174336</v>
      </c>
      <c r="E45" s="27">
        <f>Ft!B$3*EXP(Ft!B$38*($A45-Ft!B$2)^2)</f>
        <v>-115508.92849630017</v>
      </c>
      <c r="F45" s="27">
        <f>Ft!C$3*EXP(Ft!C$38*($A45-Ft!C$2)^2)</f>
        <v>0</v>
      </c>
      <c r="G45" s="27">
        <f>Ft!D$3*EXP(Ft!D$38*($A45-Ft!D$2)^2)</f>
        <v>58744.704871054717</v>
      </c>
      <c r="H45" s="27">
        <f>Ft!E$3*EXP(Ft!E$38*($A45-Ft!E$2)^2)</f>
        <v>30128.6227726898</v>
      </c>
      <c r="I45" s="27">
        <f>Ft!F$3*EXP(Ft!F$38*($A45-Ft!F$2)^2)</f>
        <v>123885.34501872999</v>
      </c>
      <c r="J45" s="27">
        <f>Ft!G$3*EXP(Ft!G$38*($A45-Ft!G$2)^2)</f>
        <v>0</v>
      </c>
    </row>
    <row r="46" spans="1:10">
      <c r="A46" s="20">
        <v>44</v>
      </c>
      <c r="B46" s="29">
        <v>2.5921188377053568</v>
      </c>
      <c r="C46" s="28">
        <f ca="1">OFFSET($B46,1*(ROWS(C$2:C46)-1),0)</f>
        <v>8.2469018850756015</v>
      </c>
      <c r="D46" s="27">
        <f>Ft!B$3*EXP(Ft!B$38*($A46-Ft!B$2)^2) +Ft!C$3*EXP(Ft!C$38*($A46-Ft!C$2)^2) + Ft!D$3*EXP(Ft!D$38*($A46-Ft!D$2)^2)+Ft!E$3*EXP(Ft!E$38*($A46-Ft!E$2)^2) +Ft!F$3*EXP(Ft!F$38*($A46-Ft!F$2)^2) + Ft!G$3*EXP(Ft!G$38*($A46-Ft!G$2)^2)</f>
        <v>99483.430763415643</v>
      </c>
      <c r="E46" s="27">
        <f>Ft!B$3*EXP(Ft!B$38*($A46-Ft!B$2)^2)</f>
        <v>-115510.30631909729</v>
      </c>
      <c r="F46" s="27">
        <f>Ft!C$3*EXP(Ft!C$38*($A46-Ft!C$2)^2)</f>
        <v>0</v>
      </c>
      <c r="G46" s="27">
        <f>Ft!D$3*EXP(Ft!D$38*($A46-Ft!D$2)^2)</f>
        <v>60122.87121586375</v>
      </c>
      <c r="H46" s="27">
        <f>Ft!E$3*EXP(Ft!E$38*($A46-Ft!E$2)^2)</f>
        <v>29592.835372991078</v>
      </c>
      <c r="I46" s="27">
        <f>Ft!F$3*EXP(Ft!F$38*($A46-Ft!F$2)^2)</f>
        <v>125278.03049365811</v>
      </c>
      <c r="J46" s="27">
        <f>Ft!G$3*EXP(Ft!G$38*($A46-Ft!G$2)^2)</f>
        <v>0</v>
      </c>
    </row>
    <row r="47" spans="1:10">
      <c r="A47" s="20">
        <v>45</v>
      </c>
      <c r="B47" s="29">
        <v>2.6680189673701591</v>
      </c>
      <c r="C47" s="28">
        <f ca="1">OFFSET($B47,1*(ROWS(C$2:C47)-1),0)</f>
        <v>8.5076102389976427</v>
      </c>
      <c r="D47" s="27">
        <f>Ft!B$3*EXP(Ft!B$38*($A47-Ft!B$2)^2) +Ft!C$3*EXP(Ft!C$38*($A47-Ft!C$2)^2) + Ft!D$3*EXP(Ft!D$38*($A47-Ft!D$2)^2)+Ft!E$3*EXP(Ft!E$38*($A47-Ft!E$2)^2) +Ft!F$3*EXP(Ft!F$38*($A47-Ft!F$2)^2) + Ft!G$3*EXP(Ft!G$38*($A47-Ft!G$2)^2)</f>
        <v>101716.72957929711</v>
      </c>
      <c r="E47" s="27">
        <f>Ft!B$3*EXP(Ft!B$38*($A47-Ft!B$2)^2)</f>
        <v>-115511.68362437996</v>
      </c>
      <c r="F47" s="27">
        <f>Ft!C$3*EXP(Ft!C$38*($A47-Ft!C$2)^2)</f>
        <v>0</v>
      </c>
      <c r="G47" s="27">
        <f>Ft!D$3*EXP(Ft!D$38*($A47-Ft!D$2)^2)</f>
        <v>61526.125832669954</v>
      </c>
      <c r="H47" s="27">
        <f>Ft!E$3*EXP(Ft!E$38*($A47-Ft!E$2)^2)</f>
        <v>29049.04967929309</v>
      </c>
      <c r="I47" s="27">
        <f>Ft!F$3*EXP(Ft!F$38*($A47-Ft!F$2)^2)</f>
        <v>126653.23769171404</v>
      </c>
      <c r="J47" s="27">
        <f>Ft!G$3*EXP(Ft!G$38*($A47-Ft!G$2)^2)</f>
        <v>0</v>
      </c>
    </row>
    <row r="48" spans="1:10">
      <c r="A48" s="20">
        <v>46</v>
      </c>
      <c r="B48" s="29">
        <v>2.7603583577131872</v>
      </c>
      <c r="C48" s="28">
        <f ca="1">OFFSET($B48,1*(ROWS(C$2:C48)-1),0)</f>
        <v>8.7885767445847591</v>
      </c>
      <c r="D48" s="27">
        <f>Ft!B$3*EXP(Ft!B$38*($A48-Ft!B$2)^2) +Ft!C$3*EXP(Ft!C$38*($A48-Ft!C$2)^2) + Ft!D$3*EXP(Ft!D$38*($A48-Ft!D$2)^2)+Ft!E$3*EXP(Ft!E$38*($A48-Ft!E$2)^2) +Ft!F$3*EXP(Ft!F$38*($A48-Ft!F$2)^2) + Ft!G$3*EXP(Ft!G$38*($A48-Ft!G$2)^2)</f>
        <v>103949.77347338278</v>
      </c>
      <c r="E48" s="27">
        <f>Ft!B$3*EXP(Ft!B$38*($A48-Ft!B$2)^2)</f>
        <v>-115513.06041212929</v>
      </c>
      <c r="F48" s="27">
        <f>Ft!C$3*EXP(Ft!C$38*($A48-Ft!C$2)^2)</f>
        <v>0</v>
      </c>
      <c r="G48" s="27">
        <f>Ft!D$3*EXP(Ft!D$38*($A48-Ft!D$2)^2)</f>
        <v>62954.720030718228</v>
      </c>
      <c r="H48" s="27">
        <f>Ft!E$3*EXP(Ft!E$38*($A48-Ft!E$2)^2)</f>
        <v>28498.062416737936</v>
      </c>
      <c r="I48" s="27">
        <f>Ft!F$3*EXP(Ft!F$38*($A48-Ft!F$2)^2)</f>
        <v>128010.0514380559</v>
      </c>
      <c r="J48" s="27">
        <f>Ft!G$3*EXP(Ft!G$38*($A48-Ft!G$2)^2)</f>
        <v>0</v>
      </c>
    </row>
    <row r="49" spans="1:10">
      <c r="A49" s="20">
        <v>47</v>
      </c>
      <c r="B49" s="29">
        <v>2.8621251566917181</v>
      </c>
      <c r="C49" s="28">
        <f ca="1">OFFSET($B49,1*(ROWS(C$2:C49)-1),0)</f>
        <v>9.1133830614483031</v>
      </c>
      <c r="D49" s="27">
        <f>Ft!B$3*EXP(Ft!B$38*($A49-Ft!B$2)^2) +Ft!C$3*EXP(Ft!C$38*($A49-Ft!C$2)^2) + Ft!D$3*EXP(Ft!D$38*($A49-Ft!D$2)^2)+Ft!E$3*EXP(Ft!E$38*($A49-Ft!E$2)^2) +Ft!F$3*EXP(Ft!F$38*($A49-Ft!F$2)^2) + Ft!G$3*EXP(Ft!G$38*($A49-Ft!G$2)^2)</f>
        <v>106182.6947187913</v>
      </c>
      <c r="E49" s="27">
        <f>Ft!B$3*EXP(Ft!B$38*($A49-Ft!B$2)^2)</f>
        <v>-115514.43668232638</v>
      </c>
      <c r="F49" s="27">
        <f>Ft!C$3*EXP(Ft!C$38*($A49-Ft!C$2)^2)</f>
        <v>0</v>
      </c>
      <c r="G49" s="27">
        <f>Ft!D$3*EXP(Ft!D$38*($A49-Ft!D$2)^2)</f>
        <v>64408.901916635994</v>
      </c>
      <c r="H49" s="27">
        <f>Ft!E$3*EXP(Ft!E$38*($A49-Ft!E$2)^2)</f>
        <v>27940.668341014138</v>
      </c>
      <c r="I49" s="27">
        <f>Ft!F$3*EXP(Ft!F$38*($A49-Ft!F$2)^2)</f>
        <v>129347.56114346755</v>
      </c>
      <c r="J49" s="27">
        <f>Ft!G$3*EXP(Ft!G$38*($A49-Ft!G$2)^2)</f>
        <v>0</v>
      </c>
    </row>
    <row r="50" spans="1:10">
      <c r="A50" s="20">
        <v>48</v>
      </c>
      <c r="B50" s="29">
        <v>2.9508699050124108</v>
      </c>
      <c r="C50" s="28">
        <f ca="1">OFFSET($B50,1*(ROWS(C$2:C50)-1),0)</f>
        <v>9.4320488532431455</v>
      </c>
      <c r="D50" s="27">
        <f>Ft!B$3*EXP(Ft!B$38*($A50-Ft!B$2)^2) +Ft!C$3*EXP(Ft!C$38*($A50-Ft!C$2)^2) + Ft!D$3*EXP(Ft!D$38*($A50-Ft!D$2)^2)+Ft!E$3*EXP(Ft!E$38*($A50-Ft!E$2)^2) +Ft!F$3*EXP(Ft!F$38*($A50-Ft!F$2)^2) + Ft!G$3*EXP(Ft!G$38*($A50-Ft!G$2)^2)</f>
        <v>108415.62395545813</v>
      </c>
      <c r="E50" s="27">
        <f>Ft!B$3*EXP(Ft!B$38*($A50-Ft!B$2)^2)</f>
        <v>-115515.81243495233</v>
      </c>
      <c r="F50" s="27">
        <f>Ft!C$3*EXP(Ft!C$38*($A50-Ft!C$2)^2)</f>
        <v>0</v>
      </c>
      <c r="G50" s="27">
        <f>Ft!D$3*EXP(Ft!D$38*($A50-Ft!D$2)^2)</f>
        <v>65888.916201894855</v>
      </c>
      <c r="H50" s="27">
        <f>Ft!E$3*EXP(Ft!E$38*($A50-Ft!E$2)^2)</f>
        <v>27377.658377357307</v>
      </c>
      <c r="I50" s="27">
        <f>Ft!F$3*EXP(Ft!F$38*($A50-Ft!F$2)^2)</f>
        <v>130664.86181115829</v>
      </c>
      <c r="J50" s="27">
        <f>Ft!G$3*EXP(Ft!G$38*($A50-Ft!G$2)^2)</f>
        <v>0</v>
      </c>
    </row>
    <row r="51" spans="1:10">
      <c r="A51" s="20">
        <v>49</v>
      </c>
      <c r="B51" s="29">
        <v>3.0509638103258112</v>
      </c>
      <c r="C51" s="28">
        <f ca="1">OFFSET($B51,1*(ROWS(C$2:C51)-1),0)</f>
        <v>9.7876246534981419</v>
      </c>
      <c r="D51" s="27">
        <f>Ft!B$3*EXP(Ft!B$38*($A51-Ft!B$2)^2) +Ft!C$3*EXP(Ft!C$38*($A51-Ft!C$2)^2) + Ft!D$3*EXP(Ft!D$38*($A51-Ft!D$2)^2)+Ft!E$3*EXP(Ft!E$38*($A51-Ft!E$2)^2) +Ft!F$3*EXP(Ft!F$38*($A51-Ft!F$2)^2) + Ft!G$3*EXP(Ft!G$38*($A51-Ft!G$2)^2)</f>
        <v>110648.6891915337</v>
      </c>
      <c r="E51" s="27">
        <f>Ft!B$3*EXP(Ft!B$38*($A51-Ft!B$2)^2)</f>
        <v>-115517.18766998827</v>
      </c>
      <c r="F51" s="27">
        <f>Ft!C$3*EXP(Ft!C$38*($A51-Ft!C$2)^2)</f>
        <v>0</v>
      </c>
      <c r="G51" s="27">
        <f>Ft!D$3*EXP(Ft!D$38*($A51-Ft!D$2)^2)</f>
        <v>67395.004007834679</v>
      </c>
      <c r="H51" s="27">
        <f>Ft!E$3*EXP(Ft!E$38*($A51-Ft!E$2)^2)</f>
        <v>26809.817806824725</v>
      </c>
      <c r="I51" s="27">
        <f>Ft!F$3*EXP(Ft!F$38*($A51-Ft!F$2)^2)</f>
        <v>131961.05504686257</v>
      </c>
      <c r="J51" s="27">
        <f>Ft!G$3*EXP(Ft!G$38*($A51-Ft!G$2)^2)</f>
        <v>0</v>
      </c>
    </row>
    <row r="52" spans="1:10">
      <c r="A52" s="20">
        <v>50</v>
      </c>
      <c r="B52" s="29">
        <v>3.1501615817441859</v>
      </c>
      <c r="C52" s="28">
        <f ca="1">OFFSET($B52,1*(ROWS(C$2:C52)-1),0)</f>
        <v>10.099000759053354</v>
      </c>
      <c r="D52" s="27">
        <f>Ft!B$3*EXP(Ft!B$38*($A52-Ft!B$2)^2) +Ft!C$3*EXP(Ft!C$38*($A52-Ft!C$2)^2) + Ft!D$3*EXP(Ft!D$38*($A52-Ft!D$2)^2)+Ft!E$3*EXP(Ft!E$38*($A52-Ft!E$2)^2) +Ft!F$3*EXP(Ft!F$38*($A52-Ft!F$2)^2) + Ft!G$3*EXP(Ft!G$38*($A52-Ft!G$2)^2)</f>
        <v>112882.01485701429</v>
      </c>
      <c r="E52" s="27">
        <f>Ft!B$3*EXP(Ft!B$38*($A52-Ft!B$2)^2)</f>
        <v>-115518.56238741532</v>
      </c>
      <c r="F52" s="27">
        <f>Ft!C$3*EXP(Ft!C$38*($A52-Ft!C$2)^2)</f>
        <v>0</v>
      </c>
      <c r="G52" s="27">
        <f>Ft!D$3*EXP(Ft!D$38*($A52-Ft!D$2)^2)</f>
        <v>68927.402668333365</v>
      </c>
      <c r="H52" s="27">
        <f>Ft!E$3*EXP(Ft!E$38*($A52-Ft!E$2)^2)</f>
        <v>26237.92450541466</v>
      </c>
      <c r="I52" s="27">
        <f>Ft!F$3*EXP(Ft!F$38*($A52-Ft!F$2)^2)</f>
        <v>133235.25007068159</v>
      </c>
      <c r="J52" s="27">
        <f>Ft!G$3*EXP(Ft!G$38*($A52-Ft!G$2)^2)</f>
        <v>0</v>
      </c>
    </row>
    <row r="53" spans="1:10">
      <c r="A53" s="20">
        <v>51</v>
      </c>
      <c r="B53" s="29">
        <v>3.227246970057422</v>
      </c>
      <c r="C53" s="28">
        <f ca="1">OFFSET($B53,1*(ROWS(C$2:C53)-1),0)</f>
        <v>10.439505247681268</v>
      </c>
      <c r="D53" s="27">
        <f>Ft!B$3*EXP(Ft!B$38*($A53-Ft!B$2)^2) +Ft!C$3*EXP(Ft!C$38*($A53-Ft!C$2)^2) + Ft!D$3*EXP(Ft!D$38*($A53-Ft!D$2)^2)+Ft!E$3*EXP(Ft!E$38*($A53-Ft!E$2)^2) +Ft!F$3*EXP(Ft!F$38*($A53-Ft!F$2)^2) + Ft!G$3*EXP(Ft!G$38*($A53-Ft!G$2)^2)</f>
        <v>115115.72091335236</v>
      </c>
      <c r="E53" s="27">
        <f>Ft!B$3*EXP(Ft!B$38*($A53-Ft!B$2)^2)</f>
        <v>-115519.93658721462</v>
      </c>
      <c r="F53" s="27">
        <f>Ft!C$3*EXP(Ft!C$38*($A53-Ft!C$2)^2)</f>
        <v>0</v>
      </c>
      <c r="G53" s="27">
        <f>Ft!D$3*EXP(Ft!D$38*($A53-Ft!D$2)^2)</f>
        <v>70486.345530209146</v>
      </c>
      <c r="H53" s="27">
        <f>Ft!E$3*EXP(Ft!E$38*($A53-Ft!E$2)^2)</f>
        <v>25662.747241269804</v>
      </c>
      <c r="I53" s="27">
        <f>Ft!F$3*EXP(Ft!F$38*($A53-Ft!F$2)^2)</f>
        <v>134486.56472908802</v>
      </c>
      <c r="J53" s="27">
        <f>Ft!G$3*EXP(Ft!G$38*($A53-Ft!G$2)^2)</f>
        <v>0</v>
      </c>
    </row>
    <row r="54" spans="1:10">
      <c r="A54" s="20">
        <v>52</v>
      </c>
      <c r="B54" s="29">
        <v>3.3243625965870365</v>
      </c>
      <c r="C54" s="28">
        <f ca="1">OFFSET($B54,1*(ROWS(C$2:C54)-1),0)</f>
        <v>10.802473385059983</v>
      </c>
      <c r="D54" s="27">
        <f>Ft!B$3*EXP(Ft!B$38*($A54-Ft!B$2)^2) +Ft!C$3*EXP(Ft!C$38*($A54-Ft!C$2)^2) + Ft!D$3*EXP(Ft!D$38*($A54-Ft!D$2)^2)+Ft!E$3*EXP(Ft!E$38*($A54-Ft!E$2)^2) +Ft!F$3*EXP(Ft!F$38*($A54-Ft!F$2)^2) + Ft!G$3*EXP(Ft!G$38*($A54-Ft!G$2)^2)</f>
        <v>117349.9220224341</v>
      </c>
      <c r="E54" s="27">
        <f>Ft!B$3*EXP(Ft!B$38*($A54-Ft!B$2)^2)</f>
        <v>-115521.31026936728</v>
      </c>
      <c r="F54" s="27">
        <f>Ft!C$3*EXP(Ft!C$38*($A54-Ft!C$2)^2)</f>
        <v>0</v>
      </c>
      <c r="G54" s="27">
        <f>Ft!D$3*EXP(Ft!D$38*($A54-Ft!D$2)^2)</f>
        <v>72072.061751446134</v>
      </c>
      <c r="H54" s="27">
        <f>Ft!E$3*EXP(Ft!E$38*($A54-Ft!E$2)^2)</f>
        <v>25085.044034854782</v>
      </c>
      <c r="I54" s="27">
        <f>Ft!F$3*EXP(Ft!F$38*($A54-Ft!F$2)^2)</f>
        <v>135714.12650550046</v>
      </c>
      <c r="J54" s="27">
        <f>Ft!G$3*EXP(Ft!G$38*($A54-Ft!G$2)^2)</f>
        <v>0</v>
      </c>
    </row>
    <row r="55" spans="1:10">
      <c r="A55" s="20">
        <v>53</v>
      </c>
      <c r="B55" s="29">
        <v>3.43401787253012</v>
      </c>
      <c r="C55" s="28">
        <f ca="1">OFFSET($B55,1*(ROWS(C$2:C55)-1),0)</f>
        <v>11.163340480703027</v>
      </c>
      <c r="D55" s="27">
        <f>Ft!B$3*EXP(Ft!B$38*($A55-Ft!B$2)^2) +Ft!C$3*EXP(Ft!C$38*($A55-Ft!C$2)^2) + Ft!D$3*EXP(Ft!D$38*($A55-Ft!D$2)^2)+Ft!E$3*EXP(Ft!E$38*($A55-Ft!E$2)^2) +Ft!F$3*EXP(Ft!F$38*($A55-Ft!F$2)^2) + Ft!G$3*EXP(Ft!G$38*($A55-Ft!G$2)^2)</f>
        <v>119584.72677793456</v>
      </c>
      <c r="E55" s="27">
        <f>Ft!B$3*EXP(Ft!B$38*($A55-Ft!B$2)^2)</f>
        <v>-115522.68343385447</v>
      </c>
      <c r="F55" s="27">
        <f>Ft!C$3*EXP(Ft!C$38*($A55-Ft!C$2)^2)</f>
        <v>0</v>
      </c>
      <c r="G55" s="27">
        <f>Ft!D$3*EXP(Ft!D$38*($A55-Ft!D$2)^2)</f>
        <v>73684.776097337221</v>
      </c>
      <c r="H55" s="27">
        <f>Ft!E$3*EXP(Ft!E$38*($A55-Ft!E$2)^2)</f>
        <v>24505.560586631786</v>
      </c>
      <c r="I55" s="27">
        <f>Ft!F$3*EXP(Ft!F$38*($A55-Ft!F$2)^2)</f>
        <v>136917.07352782003</v>
      </c>
      <c r="J55" s="27">
        <f>Ft!G$3*EXP(Ft!G$38*($A55-Ft!G$2)^2)</f>
        <v>0</v>
      </c>
    </row>
    <row r="56" spans="1:10">
      <c r="A56" s="20">
        <v>54</v>
      </c>
      <c r="B56" s="29">
        <v>3.5637574580262026</v>
      </c>
      <c r="C56" s="28">
        <f ca="1">OFFSET($B56,1*(ROWS(C$2:C56)-1),0)</f>
        <v>11.52182957950356</v>
      </c>
      <c r="D56" s="27">
        <f>Ft!B$3*EXP(Ft!B$38*($A56-Ft!B$2)^2) +Ft!C$3*EXP(Ft!C$38*($A56-Ft!C$2)^2) + Ft!D$3*EXP(Ft!D$38*($A56-Ft!D$2)^2)+Ft!E$3*EXP(Ft!E$38*($A56-Ft!E$2)^2) +Ft!F$3*EXP(Ft!F$38*($A56-Ft!F$2)^2) + Ft!G$3*EXP(Ft!G$38*($A56-Ft!G$2)^2)</f>
        <v>121820.23700167873</v>
      </c>
      <c r="E56" s="27">
        <f>Ft!B$3*EXP(Ft!B$38*($A56-Ft!B$2)^2)</f>
        <v>-115524.05608065733</v>
      </c>
      <c r="F56" s="27">
        <f>Ft!C$3*EXP(Ft!C$38*($A56-Ft!C$2)^2)</f>
        <v>0</v>
      </c>
      <c r="G56" s="27">
        <f>Ft!D$3*EXP(Ft!D$38*($A56-Ft!D$2)^2)</f>
        <v>75324.708734644286</v>
      </c>
      <c r="H56" s="27">
        <f>Ft!E$3*EXP(Ft!E$38*($A56-Ft!E$2)^2)</f>
        <v>23925.028776379077</v>
      </c>
      <c r="I56" s="27">
        <f>Ft!F$3*EXP(Ft!F$38*($A56-Ft!F$2)^2)</f>
        <v>138094.5555713127</v>
      </c>
      <c r="J56" s="27">
        <f>Ft!G$3*EXP(Ft!G$38*($A56-Ft!G$2)^2)</f>
        <v>0</v>
      </c>
    </row>
    <row r="57" spans="1:10">
      <c r="A57" s="20">
        <v>55</v>
      </c>
      <c r="B57" s="29">
        <v>3.6903880591168274</v>
      </c>
      <c r="C57" s="28">
        <f ca="1">OFFSET($B57,1*(ROWS(C$2:C57)-1),0)</f>
        <v>11.896485039986999</v>
      </c>
      <c r="D57" s="27">
        <f>Ft!B$3*EXP(Ft!B$38*($A57-Ft!B$2)^2) +Ft!C$3*EXP(Ft!C$38*($A57-Ft!C$2)^2) + Ft!D$3*EXP(Ft!D$38*($A57-Ft!D$2)^2)+Ft!E$3*EXP(Ft!E$38*($A57-Ft!E$2)^2) +Ft!F$3*EXP(Ft!F$38*($A57-Ft!F$2)^2) + Ft!G$3*EXP(Ft!G$38*($A57-Ft!G$2)^2)</f>
        <v>124056.54710723867</v>
      </c>
      <c r="E57" s="27">
        <f>Ft!B$3*EXP(Ft!B$38*($A57-Ft!B$2)^2)</f>
        <v>-115525.42820975704</v>
      </c>
      <c r="F57" s="27">
        <f>Ft!C$3*EXP(Ft!C$38*($A57-Ft!C$2)^2)</f>
        <v>0</v>
      </c>
      <c r="G57" s="27">
        <f>Ft!D$3*EXP(Ft!D$38*($A57-Ft!D$2)^2)</f>
        <v>76992.075023876067</v>
      </c>
      <c r="H57" s="27">
        <f>Ft!E$3*EXP(Ft!E$38*($A57-Ft!E$2)^2)</f>
        <v>23344.165237905971</v>
      </c>
      <c r="I57" s="27">
        <f>Ft!F$3*EXP(Ft!F$38*($A57-Ft!F$2)^2)</f>
        <v>139245.73505521368</v>
      </c>
      <c r="J57" s="27">
        <f>Ft!G$3*EXP(Ft!G$38*($A57-Ft!G$2)^2)</f>
        <v>0</v>
      </c>
    </row>
    <row r="58" spans="1:10">
      <c r="A58" s="20">
        <v>56</v>
      </c>
      <c r="B58" s="29">
        <v>3.8172766562090885</v>
      </c>
      <c r="C58" s="28">
        <f ca="1">OFFSET($B58,1*(ROWS(C$2:C58)-1),0)</f>
        <v>12.230686157111478</v>
      </c>
      <c r="D58" s="27">
        <f>Ft!B$3*EXP(Ft!B$38*($A58-Ft!B$2)^2) +Ft!C$3*EXP(Ft!C$38*($A58-Ft!C$2)^2) + Ft!D$3*EXP(Ft!D$38*($A58-Ft!D$2)^2)+Ft!E$3*EXP(Ft!E$38*($A58-Ft!E$2)^2) +Ft!F$3*EXP(Ft!F$38*($A58-Ft!F$2)^2) + Ft!G$3*EXP(Ft!G$38*($A58-Ft!G$2)^2)</f>
        <v>126293.74353260343</v>
      </c>
      <c r="E58" s="27">
        <f>Ft!B$3*EXP(Ft!B$38*($A58-Ft!B$2)^2)</f>
        <v>-115526.79982113474</v>
      </c>
      <c r="F58" s="27">
        <f>Ft!C$3*EXP(Ft!C$38*($A58-Ft!C$2)^2)</f>
        <v>0</v>
      </c>
      <c r="G58" s="27">
        <f>Ft!D$3*EXP(Ft!D$38*($A58-Ft!D$2)^2)</f>
        <v>78687.085309791946</v>
      </c>
      <c r="H58" s="27">
        <f>Ft!E$3*EXP(Ft!E$38*($A58-Ft!E$2)^2)</f>
        <v>22763.670012518112</v>
      </c>
      <c r="I58" s="27">
        <f>Ft!F$3*EXP(Ft!F$38*($A58-Ft!F$2)^2)</f>
        <v>140369.78803142812</v>
      </c>
      <c r="J58" s="27">
        <f>Ft!G$3*EXP(Ft!G$38*($A58-Ft!G$2)^2)</f>
        <v>0</v>
      </c>
    </row>
    <row r="59" spans="1:10">
      <c r="A59" s="20">
        <v>57</v>
      </c>
      <c r="B59" s="29">
        <v>3.9466178352534484</v>
      </c>
      <c r="C59" s="28">
        <f ca="1">OFFSET($B59,1*(ROWS(C$2:C59)-1),0)</f>
        <v>12.610685455559974</v>
      </c>
      <c r="D59" s="27">
        <f>Ft!B$3*EXP(Ft!B$38*($A59-Ft!B$2)^2) +Ft!C$3*EXP(Ft!C$38*($A59-Ft!C$2)^2) + Ft!D$3*EXP(Ft!D$38*($A59-Ft!D$2)^2)+Ft!E$3*EXP(Ft!E$38*($A59-Ft!E$2)^2) +Ft!F$3*EXP(Ft!F$38*($A59-Ft!F$2)^2) + Ft!G$3*EXP(Ft!G$38*($A59-Ft!G$2)^2)</f>
        <v>128531.90424335015</v>
      </c>
      <c r="E59" s="27">
        <f>Ft!B$3*EXP(Ft!B$38*($A59-Ft!B$2)^2)</f>
        <v>-115528.1709147716</v>
      </c>
      <c r="F59" s="27">
        <f>Ft!C$3*EXP(Ft!C$38*($A59-Ft!C$2)^2)</f>
        <v>0</v>
      </c>
      <c r="G59" s="27">
        <f>Ft!D$3*EXP(Ft!D$38*($A59-Ft!D$2)^2)</f>
        <v>80409.944710240175</v>
      </c>
      <c r="H59" s="27">
        <f>Ft!E$3*EXP(Ft!E$38*($A59-Ft!E$2)^2)</f>
        <v>22184.225284179869</v>
      </c>
      <c r="I59" s="27">
        <f>Ft!F$3*EXP(Ft!F$38*($A59-Ft!F$2)^2)</f>
        <v>141465.90516370171</v>
      </c>
      <c r="J59" s="27">
        <f>Ft!G$3*EXP(Ft!G$38*($A59-Ft!G$2)^2)</f>
        <v>0</v>
      </c>
    </row>
    <row r="60" spans="1:10">
      <c r="A60" s="20">
        <v>58</v>
      </c>
      <c r="B60" s="29">
        <v>4.0635912179145635</v>
      </c>
      <c r="C60" s="28">
        <f ca="1">OFFSET($B60,1*(ROWS(C$2:C60)-1),0)</f>
        <v>12.96845858955993</v>
      </c>
      <c r="D60" s="27">
        <f>Ft!B$3*EXP(Ft!B$38*($A60-Ft!B$2)^2) +Ft!C$3*EXP(Ft!C$38*($A60-Ft!C$2)^2) + Ft!D$3*EXP(Ft!D$38*($A60-Ft!D$2)^2)+Ft!E$3*EXP(Ft!E$38*($A60-Ft!E$2)^2) +Ft!F$3*EXP(Ft!F$38*($A60-Ft!F$2)^2) + Ft!G$3*EXP(Ft!G$38*($A60-Ft!G$2)^2)</f>
        <v>130771.09830734567</v>
      </c>
      <c r="E60" s="27">
        <f>Ft!B$3*EXP(Ft!B$38*($A60-Ft!B$2)^2)</f>
        <v>-115529.54149064883</v>
      </c>
      <c r="F60" s="27">
        <f>Ft!C$3*EXP(Ft!C$38*($A60-Ft!C$2)^2)</f>
        <v>0</v>
      </c>
      <c r="G60" s="27">
        <f>Ft!D$3*EXP(Ft!D$38*($A60-Ft!D$2)^2)</f>
        <v>82160.85290344563</v>
      </c>
      <c r="H60" s="27">
        <f>Ft!E$3*EXP(Ft!E$38*($A60-Ft!E$2)^2)</f>
        <v>21606.494198909633</v>
      </c>
      <c r="I60" s="27">
        <f>Ft!F$3*EXP(Ft!F$38*($A60-Ft!F$2)^2)</f>
        <v>142533.29269563925</v>
      </c>
      <c r="J60" s="27">
        <f>Ft!G$3*EXP(Ft!G$38*($A60-Ft!G$2)^2)</f>
        <v>0</v>
      </c>
    </row>
    <row r="61" spans="1:10">
      <c r="A61" s="20">
        <v>59</v>
      </c>
      <c r="B61" s="29">
        <v>4.1554433538397859</v>
      </c>
      <c r="C61" s="28">
        <f ca="1">OFFSET($B61,1*(ROWS(C$2:C61)-1),0)</f>
        <v>13.328736845980472</v>
      </c>
      <c r="D61" s="27">
        <f>Ft!B$3*EXP(Ft!B$38*($A61-Ft!B$2)^2) +Ft!C$3*EXP(Ft!C$38*($A61-Ft!C$2)^2) + Ft!D$3*EXP(Ft!D$38*($A61-Ft!D$2)^2)+Ft!E$3*EXP(Ft!E$38*($A61-Ft!E$2)^2) +Ft!F$3*EXP(Ft!F$38*($A61-Ft!F$2)^2) + Ft!G$3*EXP(Ft!G$38*($A61-Ft!G$2)^2)</f>
        <v>133011.38554160306</v>
      </c>
      <c r="E61" s="27">
        <f>Ft!B$3*EXP(Ft!B$38*($A61-Ft!B$2)^2)</f>
        <v>-115530.91154874759</v>
      </c>
      <c r="F61" s="27">
        <f>Ft!C$3*EXP(Ft!C$38*($A61-Ft!C$2)^2)</f>
        <v>0</v>
      </c>
      <c r="G61" s="27">
        <f>Ft!D$3*EXP(Ft!D$38*($A61-Ft!D$2)^2)</f>
        <v>83940.003913863911</v>
      </c>
      <c r="H61" s="27">
        <f>Ft!E$3*EXP(Ft!E$38*($A61-Ft!E$2)^2)</f>
        <v>21031.119770530491</v>
      </c>
      <c r="I61" s="27">
        <f>Ft!F$3*EXP(Ft!F$38*($A61-Ft!F$2)^2)</f>
        <v>143571.17340595624</v>
      </c>
      <c r="J61" s="27">
        <f>Ft!G$3*EXP(Ft!G$38*($A61-Ft!G$2)^2)</f>
        <v>0</v>
      </c>
    </row>
    <row r="62" spans="1:10">
      <c r="A62" s="20">
        <v>60</v>
      </c>
      <c r="B62" s="29">
        <v>4.2823507860106531</v>
      </c>
      <c r="C62" s="28">
        <f ca="1">OFFSET($B62,1*(ROWS(C$2:C62)-1),0)</f>
        <v>13.6951030192362</v>
      </c>
      <c r="D62" s="27">
        <f>Ft!B$3*EXP(Ft!B$38*($A62-Ft!B$2)^2) +Ft!C$3*EXP(Ft!C$38*($A62-Ft!C$2)^2) + Ft!D$3*EXP(Ft!D$38*($A62-Ft!D$2)^2)+Ft!E$3*EXP(Ft!E$38*($A62-Ft!E$2)^2) +Ft!F$3*EXP(Ft!F$38*($A62-Ft!F$2)^2) + Ft!G$3*EXP(Ft!G$38*($A62-Ft!G$2)^2)</f>
        <v>135252.81623151957</v>
      </c>
      <c r="E62" s="27">
        <f>Ft!B$3*EXP(Ft!B$38*($A62-Ft!B$2)^2)</f>
        <v>-115532.28108904907</v>
      </c>
      <c r="F62" s="27">
        <f>Ft!C$3*EXP(Ft!C$38*($A62-Ft!C$2)^2)</f>
        <v>0</v>
      </c>
      <c r="G62" s="27">
        <f>Ft!D$3*EXP(Ft!D$38*($A62-Ft!D$2)^2)</f>
        <v>85747.585896724151</v>
      </c>
      <c r="H62" s="27">
        <f>Ft!E$3*EXP(Ft!E$38*($A62-Ft!E$2)^2)</f>
        <v>20458.723874485597</v>
      </c>
      <c r="I62" s="27">
        <f>Ft!F$3*EXP(Ft!F$38*($A62-Ft!F$2)^2)</f>
        <v>144578.78754935888</v>
      </c>
      <c r="J62" s="27">
        <f>Ft!G$3*EXP(Ft!G$38*($A62-Ft!G$2)^2)</f>
        <v>0</v>
      </c>
    </row>
    <row r="63" spans="1:10">
      <c r="A63" s="20">
        <v>61</v>
      </c>
      <c r="B63" s="29">
        <v>4.4353012911035989</v>
      </c>
      <c r="C63" s="28">
        <f ca="1">OFFSET($B63,1*(ROWS(C$2:C63)-1),0)</f>
        <v>14.046353878849629</v>
      </c>
      <c r="D63" s="27">
        <f>Ft!B$3*EXP(Ft!B$38*($A63-Ft!B$2)^2) +Ft!C$3*EXP(Ft!C$38*($A63-Ft!C$2)^2) + Ft!D$3*EXP(Ft!D$38*($A63-Ft!D$2)^2)+Ft!E$3*EXP(Ft!E$38*($A63-Ft!E$2)^2) +Ft!F$3*EXP(Ft!F$38*($A63-Ft!F$2)^2) + Ft!G$3*EXP(Ft!G$38*($A63-Ft!G$2)^2)</f>
        <v>137495.43092232989</v>
      </c>
      <c r="E63" s="27">
        <f>Ft!B$3*EXP(Ft!B$38*($A63-Ft!B$2)^2)</f>
        <v>-115533.6501115345</v>
      </c>
      <c r="F63" s="27">
        <f>Ft!C$3*EXP(Ft!C$38*($A63-Ft!C$2)^2)</f>
        <v>0</v>
      </c>
      <c r="G63" s="27">
        <f>Ft!D$3*EXP(Ft!D$38*($A63-Ft!D$2)^2)</f>
        <v>87583.780921385085</v>
      </c>
      <c r="H63" s="27">
        <f>Ft!E$3*EXP(Ft!E$38*($A63-Ft!E$2)^2)</f>
        <v>19889.906331016871</v>
      </c>
      <c r="I63" s="27">
        <f>Ft!F$3*EXP(Ft!F$38*($A63-Ft!F$2)^2)</f>
        <v>145555.39378146245</v>
      </c>
      <c r="J63" s="27">
        <f>Ft!G$3*EXP(Ft!G$38*($A63-Ft!G$2)^2)</f>
        <v>0</v>
      </c>
    </row>
    <row r="64" spans="1:10">
      <c r="A64" s="20">
        <v>62</v>
      </c>
      <c r="B64" s="29">
        <v>4.5695920522557572</v>
      </c>
      <c r="C64" s="28">
        <f ca="1">OFFSET($B64,1*(ROWS(C$2:C64)-1),0)</f>
        <v>14.387525308725145</v>
      </c>
      <c r="D64" s="27">
        <f>Ft!B$3*EXP(Ft!B$38*($A64-Ft!B$2)^2) +Ft!C$3*EXP(Ft!C$38*($A64-Ft!C$2)^2) + Ft!D$3*EXP(Ft!D$38*($A64-Ft!D$2)^2)+Ft!E$3*EXP(Ft!E$38*($A64-Ft!E$2)^2) +Ft!F$3*EXP(Ft!F$38*($A64-Ft!F$2)^2) + Ft!G$3*EXP(Ft!G$38*($A64-Ft!G$2)^2)</f>
        <v>139739.2602822234</v>
      </c>
      <c r="E64" s="27">
        <f>Ft!B$3*EXP(Ft!B$38*($A64-Ft!B$2)^2)</f>
        <v>-115535.01861618506</v>
      </c>
      <c r="F64" s="27">
        <f>Ft!C$3*EXP(Ft!C$38*($A64-Ft!C$2)^2)</f>
        <v>0</v>
      </c>
      <c r="G64" s="27">
        <f>Ft!D$3*EXP(Ft!D$38*($A64-Ft!D$2)^2)</f>
        <v>89448.764753633732</v>
      </c>
      <c r="H64" s="27">
        <f>Ft!E$3*EXP(Ft!E$38*($A64-Ft!E$2)^2)</f>
        <v>19325.244078599484</v>
      </c>
      <c r="I64" s="27">
        <f>Ft!F$3*EXP(Ft!F$38*($A64-Ft!F$2)^2)</f>
        <v>146500.27006617523</v>
      </c>
      <c r="J64" s="27">
        <f>Ft!G$3*EXP(Ft!G$38*($A64-Ft!G$2)^2)</f>
        <v>0</v>
      </c>
    </row>
    <row r="65" spans="1:10">
      <c r="A65" s="20">
        <v>63</v>
      </c>
      <c r="B65" s="29">
        <v>4.6582821590243952</v>
      </c>
      <c r="C65" s="28">
        <f ca="1">OFFSET($B65,1*(ROWS(C$2:C65)-1),0)</f>
        <v>14.777167821591888</v>
      </c>
      <c r="D65" s="27">
        <f>Ft!B$3*EXP(Ft!B$38*($A65-Ft!B$2)^2) +Ft!C$3*EXP(Ft!C$38*($A65-Ft!C$2)^2) + Ft!D$3*EXP(Ft!D$38*($A65-Ft!D$2)^2)+Ft!E$3*EXP(Ft!E$38*($A65-Ft!E$2)^2) +Ft!F$3*EXP(Ft!F$38*($A65-Ft!F$2)^2) + Ft!G$3*EXP(Ft!G$38*($A65-Ft!G$2)^2)</f>
        <v>141984.32503619854</v>
      </c>
      <c r="E65" s="27">
        <f>Ft!B$3*EXP(Ft!B$38*($A65-Ft!B$2)^2)</f>
        <v>-115536.38660298198</v>
      </c>
      <c r="F65" s="27">
        <f>Ft!C$3*EXP(Ft!C$38*($A65-Ft!C$2)^2)</f>
        <v>0</v>
      </c>
      <c r="G65" s="27">
        <f>Ft!D$3*EXP(Ft!D$38*($A65-Ft!D$2)^2)</f>
        <v>91342.706637059397</v>
      </c>
      <c r="H65" s="27">
        <f>Ft!E$3*EXP(Ft!E$38*($A65-Ft!E$2)^2)</f>
        <v>18765.290438124794</v>
      </c>
      <c r="I65" s="27">
        <f>Ft!F$3*EXP(Ft!F$38*($A65-Ft!F$2)^2)</f>
        <v>147412.71456399633</v>
      </c>
      <c r="J65" s="27">
        <f>Ft!G$3*EXP(Ft!G$38*($A65-Ft!G$2)^2)</f>
        <v>0</v>
      </c>
    </row>
    <row r="66" spans="1:10">
      <c r="A66" s="20">
        <v>64</v>
      </c>
      <c r="B66" s="29">
        <v>4.7505049174518774</v>
      </c>
      <c r="C66" s="28">
        <f ca="1">OFFSET($B66,1*(ROWS(C$2:C66)-1),0)</f>
        <v>15.149173782330706</v>
      </c>
      <c r="D66" s="27">
        <f>Ft!B$3*EXP(Ft!B$38*($A66-Ft!B$2)^2) +Ft!C$3*EXP(Ft!C$38*($A66-Ft!C$2)^2) + Ft!D$3*EXP(Ft!D$38*($A66-Ft!D$2)^2)+Ft!E$3*EXP(Ft!E$38*($A66-Ft!E$2)^2) +Ft!F$3*EXP(Ft!F$38*($A66-Ft!F$2)^2) + Ft!G$3*EXP(Ft!G$38*($A66-Ft!G$2)^2)</f>
        <v>144230.63596936554</v>
      </c>
      <c r="E66" s="27">
        <f>Ft!B$3*EXP(Ft!B$38*($A66-Ft!B$2)^2)</f>
        <v>-115537.75407190647</v>
      </c>
      <c r="F66" s="27">
        <f>Ft!C$3*EXP(Ft!C$38*($A66-Ft!C$2)^2)</f>
        <v>0</v>
      </c>
      <c r="G66" s="27">
        <f>Ft!D$3*EXP(Ft!D$38*($A66-Ft!D$2)^2)</f>
        <v>93265.76907363892</v>
      </c>
      <c r="H66" s="27">
        <f>Ft!E$3*EXP(Ft!E$38*($A66-Ft!E$2)^2)</f>
        <v>18210.574467933417</v>
      </c>
      <c r="I66" s="27">
        <f>Ft!F$3*EXP(Ft!F$38*($A66-Ft!F$2)^2)</f>
        <v>148292.04649969967</v>
      </c>
      <c r="J66" s="27">
        <f>Ft!G$3*EXP(Ft!G$38*($A66-Ft!G$2)^2)</f>
        <v>0</v>
      </c>
    </row>
    <row r="67" spans="1:10">
      <c r="A67" s="20">
        <v>65</v>
      </c>
      <c r="B67" s="29">
        <v>4.8679723122635323</v>
      </c>
      <c r="C67" s="28">
        <f ca="1">OFFSET($B67,1*(ROWS(C$2:C67)-1),0)</f>
        <v>15.483601489081508</v>
      </c>
      <c r="D67" s="27">
        <f>Ft!B$3*EXP(Ft!B$38*($A67-Ft!B$2)^2) +Ft!C$3*EXP(Ft!C$38*($A67-Ft!C$2)^2) + Ft!D$3*EXP(Ft!D$38*($A67-Ft!D$2)^2)+Ft!E$3*EXP(Ft!E$38*($A67-Ft!E$2)^2) +Ft!F$3*EXP(Ft!F$38*($A67-Ft!F$2)^2) + Ft!G$3*EXP(Ft!G$38*($A67-Ft!G$2)^2)</f>
        <v>146478.19399805792</v>
      </c>
      <c r="E67" s="27">
        <f>Ft!B$3*EXP(Ft!B$38*($A67-Ft!B$2)^2)</f>
        <v>-115539.12102293975</v>
      </c>
      <c r="F67" s="27">
        <f>Ft!C$3*EXP(Ft!C$38*($A67-Ft!C$2)^2)</f>
        <v>0</v>
      </c>
      <c r="G67" s="27">
        <f>Ft!D$3*EXP(Ft!D$38*($A67-Ft!D$2)^2)</f>
        <v>95218.107603673212</v>
      </c>
      <c r="H67" s="27">
        <f>Ft!E$3*EXP(Ft!E$38*($A67-Ft!E$2)^2)</f>
        <v>17661.60040941933</v>
      </c>
      <c r="I67" s="27">
        <f>Ft!F$3*EXP(Ft!F$38*($A67-Ft!F$2)^2)</f>
        <v>149137.60700790514</v>
      </c>
      <c r="J67" s="27">
        <f>Ft!G$3*EXP(Ft!G$38*($A67-Ft!G$2)^2)</f>
        <v>0</v>
      </c>
    </row>
    <row r="68" spans="1:10">
      <c r="A68" s="20">
        <v>66</v>
      </c>
      <c r="B68" s="29">
        <v>4.9867759017905087</v>
      </c>
      <c r="C68" s="28">
        <f ca="1">OFFSET($B68,1*(ROWS(C$2:C68)-1),0)</f>
        <v>15.816000534660589</v>
      </c>
      <c r="D68" s="27">
        <f>Ft!B$3*EXP(Ft!B$38*($A68-Ft!B$2)^2) +Ft!C$3*EXP(Ft!C$38*($A68-Ft!C$2)^2) + Ft!D$3*EXP(Ft!D$38*($A68-Ft!D$2)^2)+Ft!E$3*EXP(Ft!E$38*($A68-Ft!E$2)^2) +Ft!F$3*EXP(Ft!F$38*($A68-Ft!F$2)^2) + Ft!G$3*EXP(Ft!G$38*($A68-Ft!G$2)^2)</f>
        <v>148726.9903067803</v>
      </c>
      <c r="E68" s="27">
        <f>Ft!B$3*EXP(Ft!B$38*($A68-Ft!B$2)^2)</f>
        <v>-115540.48745606309</v>
      </c>
      <c r="F68" s="27">
        <f>Ft!C$3*EXP(Ft!C$38*($A68-Ft!C$2)^2)</f>
        <v>0</v>
      </c>
      <c r="G68" s="27">
        <f>Ft!D$3*EXP(Ft!D$38*($A68-Ft!D$2)^2)</f>
        <v>97199.870585218552</v>
      </c>
      <c r="H68" s="27">
        <f>Ft!E$3*EXP(Ft!E$38*($A68-Ft!E$2)^2)</f>
        <v>17118.84722255728</v>
      </c>
      <c r="I68" s="27">
        <f>Ft!F$3*EXP(Ft!F$38*($A68-Ft!F$2)^2)</f>
        <v>149948.75995506754</v>
      </c>
      <c r="J68" s="27">
        <f>Ft!G$3*EXP(Ft!G$38*($A68-Ft!G$2)^2)</f>
        <v>0</v>
      </c>
    </row>
    <row r="69" spans="1:10">
      <c r="A69" s="20">
        <v>67</v>
      </c>
      <c r="B69" s="29">
        <v>5.0832946642760248</v>
      </c>
      <c r="C69" s="28">
        <f ca="1">OFFSET($B69,1*(ROWS(C$2:C69)-1),0)</f>
        <v>16.179396027476258</v>
      </c>
      <c r="D69" s="27">
        <f>Ft!B$3*EXP(Ft!B$38*($A69-Ft!B$2)^2) +Ft!C$3*EXP(Ft!C$38*($A69-Ft!C$2)^2) + Ft!D$3*EXP(Ft!D$38*($A69-Ft!D$2)^2)+Ft!E$3*EXP(Ft!E$38*($A69-Ft!E$2)^2) +Ft!F$3*EXP(Ft!F$38*($A69-Ft!F$2)^2) + Ft!G$3*EXP(Ft!G$38*($A69-Ft!G$2)^2)</f>
        <v>150977.00654870208</v>
      </c>
      <c r="E69" s="27">
        <f>Ft!B$3*EXP(Ft!B$38*($A69-Ft!B$2)^2)</f>
        <v>-115541.8533712577</v>
      </c>
      <c r="F69" s="27">
        <f>Ft!C$3*EXP(Ft!C$38*($A69-Ft!C$2)^2)</f>
        <v>0</v>
      </c>
      <c r="G69" s="27">
        <f>Ft!D$3*EXP(Ft!D$38*($A69-Ft!D$2)^2)</f>
        <v>99211.198973159</v>
      </c>
      <c r="H69" s="27">
        <f>Ft!E$3*EXP(Ft!E$38*($A69-Ft!E$2)^2)</f>
        <v>16582.768210350951</v>
      </c>
      <c r="I69" s="27">
        <f>Ft!F$3*EXP(Ft!F$38*($A69-Ft!F$2)^2)</f>
        <v>150724.89273644984</v>
      </c>
      <c r="J69" s="27">
        <f>Ft!G$3*EXP(Ft!G$38*($A69-Ft!G$2)^2)</f>
        <v>0</v>
      </c>
    </row>
    <row r="70" spans="1:10">
      <c r="A70" s="20">
        <v>68</v>
      </c>
      <c r="B70" s="29">
        <v>5.2369768814498627</v>
      </c>
      <c r="C70" s="28">
        <f ca="1">OFFSET($B70,1*(ROWS(C$2:C70)-1),0)</f>
        <v>16.527629289316621</v>
      </c>
      <c r="D70" s="27">
        <f>Ft!B$3*EXP(Ft!B$38*($A70-Ft!B$2)^2) +Ft!C$3*EXP(Ft!C$38*($A70-Ft!C$2)^2) + Ft!D$3*EXP(Ft!D$38*($A70-Ft!D$2)^2)+Ft!E$3*EXP(Ft!E$38*($A70-Ft!E$2)^2) +Ft!F$3*EXP(Ft!F$38*($A70-Ft!F$2)^2) + Ft!G$3*EXP(Ft!G$38*($A70-Ft!G$2)^2)</f>
        <v>153228.2151071089</v>
      </c>
      <c r="E70" s="27">
        <f>Ft!B$3*EXP(Ft!B$38*($A70-Ft!B$2)^2)</f>
        <v>-115543.21876850484</v>
      </c>
      <c r="F70" s="27">
        <f>Ft!C$3*EXP(Ft!C$38*($A70-Ft!C$2)^2)</f>
        <v>0</v>
      </c>
      <c r="G70" s="27">
        <f>Ft!D$3*EXP(Ft!D$38*($A70-Ft!D$2)^2)</f>
        <v>101252.22609807043</v>
      </c>
      <c r="H70" s="27">
        <f>Ft!E$3*EXP(Ft!E$38*($A70-Ft!E$2)^2)</f>
        <v>16053.790730859713</v>
      </c>
      <c r="I70" s="27">
        <f>Ft!F$3*EXP(Ft!F$38*($A70-Ft!F$2)^2)</f>
        <v>151465.41704668361</v>
      </c>
      <c r="J70" s="27">
        <f>Ft!G$3*EXP(Ft!G$38*($A70-Ft!G$2)^2)</f>
        <v>0</v>
      </c>
    </row>
    <row r="71" spans="1:10">
      <c r="A71" s="20">
        <v>69</v>
      </c>
      <c r="B71" s="29">
        <v>5.4029527669019899</v>
      </c>
      <c r="C71" s="28">
        <f ca="1">OFFSET($B71,1*(ROWS(C$2:C71)-1),0)</f>
        <v>16.904902499082766</v>
      </c>
      <c r="D71" s="27">
        <f>Ft!B$3*EXP(Ft!B$38*($A71-Ft!B$2)^2) +Ft!C$3*EXP(Ft!C$38*($A71-Ft!C$2)^2) + Ft!D$3*EXP(Ft!D$38*($A71-Ft!D$2)^2)+Ft!E$3*EXP(Ft!E$38*($A71-Ft!E$2)^2) +Ft!F$3*EXP(Ft!F$38*($A71-Ft!F$2)^2) + Ft!G$3*EXP(Ft!G$38*($A71-Ft!G$2)^2)</f>
        <v>155480.57941494352</v>
      </c>
      <c r="E71" s="27">
        <f>Ft!B$3*EXP(Ft!B$38*($A71-Ft!B$2)^2)</f>
        <v>-115544.58364778575</v>
      </c>
      <c r="F71" s="27">
        <f>Ft!C$3*EXP(Ft!C$38*($A71-Ft!C$2)^2)</f>
        <v>0</v>
      </c>
      <c r="G71" s="27">
        <f>Ft!D$3*EXP(Ft!D$38*($A71-Ft!D$2)^2)</f>
        <v>103323.0774450298</v>
      </c>
      <c r="H71" s="27">
        <f>Ft!E$3*EXP(Ft!E$38*($A71-Ft!E$2)^2)</f>
        <v>15532.315995138837</v>
      </c>
      <c r="I71" s="27">
        <f>Ft!F$3*EXP(Ft!F$38*($A71-Ft!F$2)^2)</f>
        <v>152169.76962256062</v>
      </c>
      <c r="J71" s="27">
        <f>Ft!G$3*EXP(Ft!G$38*($A71-Ft!G$2)^2)</f>
        <v>0</v>
      </c>
    </row>
    <row r="72" spans="1:10">
      <c r="A72" s="20">
        <v>70</v>
      </c>
      <c r="B72" s="29">
        <v>5.5561225587664183</v>
      </c>
      <c r="C72" s="28">
        <f ca="1">OFFSET($B72,1*(ROWS(C$2:C72)-1),0)</f>
        <v>17.267720281426762</v>
      </c>
      <c r="D72" s="27">
        <f>Ft!B$3*EXP(Ft!B$38*($A72-Ft!B$2)^2) +Ft!C$3*EXP(Ft!C$38*($A72-Ft!C$2)^2) + Ft!D$3*EXP(Ft!D$38*($A72-Ft!D$2)^2)+Ft!E$3*EXP(Ft!E$38*($A72-Ft!E$2)^2) +Ft!F$3*EXP(Ft!F$38*($A72-Ft!F$2)^2) + Ft!G$3*EXP(Ft!G$38*($A72-Ft!G$2)^2)</f>
        <v>157734.05432931063</v>
      </c>
      <c r="E72" s="27">
        <f>Ft!B$3*EXP(Ft!B$38*($A72-Ft!B$2)^2)</f>
        <v>-115545.94800908174</v>
      </c>
      <c r="F72" s="27">
        <f>Ft!C$3*EXP(Ft!C$38*($A72-Ft!C$2)^2)</f>
        <v>0</v>
      </c>
      <c r="G72" s="27">
        <f>Ft!D$3*EXP(Ft!D$38*($A72-Ft!D$2)^2)</f>
        <v>105423.87043252563</v>
      </c>
      <c r="H72" s="27">
        <f>Ft!E$3*EXP(Ft!E$38*($A72-Ft!E$2)^2)</f>
        <v>15018.718949122787</v>
      </c>
      <c r="I72" s="27">
        <f>Ft!F$3*EXP(Ft!F$38*($A72-Ft!F$2)^2)</f>
        <v>152837.41295674397</v>
      </c>
      <c r="J72" s="27">
        <f>Ft!G$3*EXP(Ft!G$38*($A72-Ft!G$2)^2)</f>
        <v>0</v>
      </c>
    </row>
    <row r="73" spans="1:10">
      <c r="A73" s="20">
        <v>71</v>
      </c>
      <c r="B73" s="29">
        <v>5.7081216887532094</v>
      </c>
      <c r="C73" s="28">
        <f ca="1">OFFSET($B73,1*(ROWS(C$2:C73)-1),0)</f>
        <v>17.665299644178816</v>
      </c>
      <c r="D73" s="27">
        <f>Ft!B$3*EXP(Ft!B$38*($A73-Ft!B$2)^2) +Ft!C$3*EXP(Ft!C$38*($A73-Ft!C$2)^2) + Ft!D$3*EXP(Ft!D$38*($A73-Ft!D$2)^2)+Ft!E$3*EXP(Ft!E$38*($A73-Ft!E$2)^2) +Ft!F$3*EXP(Ft!F$38*($A73-Ft!F$2)^2) + Ft!G$3*EXP(Ft!G$38*($A73-Ft!G$2)^2)</f>
        <v>159988.58655758397</v>
      </c>
      <c r="E73" s="27">
        <f>Ft!B$3*EXP(Ft!B$38*($A73-Ft!B$2)^2)</f>
        <v>-115547.31185237403</v>
      </c>
      <c r="F73" s="27">
        <f>Ft!C$3*EXP(Ft!C$38*($A73-Ft!C$2)^2)</f>
        <v>0</v>
      </c>
      <c r="G73" s="27">
        <f>Ft!D$3*EXP(Ft!D$38*($A73-Ft!D$2)^2)</f>
        <v>107554.71419163045</v>
      </c>
      <c r="H73" s="27">
        <f>Ft!E$3*EXP(Ft!E$38*($A73-Ft!E$2)^2)</f>
        <v>14513.348237195036</v>
      </c>
      <c r="I73" s="27">
        <f>Ft!F$3*EXP(Ft!F$38*($A73-Ft!F$2)^2)</f>
        <v>153467.83598113252</v>
      </c>
      <c r="J73" s="27">
        <f>Ft!G$3*EXP(Ft!G$38*($A73-Ft!G$2)^2)</f>
        <v>0</v>
      </c>
    </row>
    <row r="74" spans="1:10">
      <c r="A74" s="20">
        <v>72</v>
      </c>
      <c r="B74" s="29">
        <v>5.8714795976146945</v>
      </c>
      <c r="C74" s="28">
        <f ca="1">OFFSET($B74,1*(ROWS(C$2:C74)-1),0)</f>
        <v>18.041167608967839</v>
      </c>
      <c r="D74" s="27">
        <f>Ft!B$3*EXP(Ft!B$38*($A74-Ft!B$2)^2) +Ft!C$3*EXP(Ft!C$38*($A74-Ft!C$2)^2) + Ft!D$3*EXP(Ft!D$38*($A74-Ft!D$2)^2)+Ft!E$3*EXP(Ft!E$38*($A74-Ft!E$2)^2) +Ft!F$3*EXP(Ft!F$38*($A74-Ft!F$2)^2) + Ft!G$3*EXP(Ft!G$38*($A74-Ft!G$2)^2)</f>
        <v>162244.11513153845</v>
      </c>
      <c r="E74" s="27">
        <f>Ft!B$3*EXP(Ft!B$38*($A74-Ft!B$2)^2)</f>
        <v>-115548.67517764392</v>
      </c>
      <c r="F74" s="27">
        <f>Ft!C$3*EXP(Ft!C$38*($A74-Ft!C$2)^2)</f>
        <v>0</v>
      </c>
      <c r="G74" s="27">
        <f>Ft!D$3*EXP(Ft!D$38*($A74-Ft!D$2)^2)</f>
        <v>109715.70934559754</v>
      </c>
      <c r="H74" s="27">
        <f>Ft!E$3*EXP(Ft!E$38*($A74-Ft!E$2)^2)</f>
        <v>14016.526244921375</v>
      </c>
      <c r="I74" s="27">
        <f>Ft!F$3*EXP(Ft!F$38*($A74-Ft!F$2)^2)</f>
        <v>154060.55471866345</v>
      </c>
      <c r="J74" s="27">
        <f>Ft!G$3*EXP(Ft!G$38*($A74-Ft!G$2)^2)</f>
        <v>0</v>
      </c>
    </row>
    <row r="75" spans="1:10">
      <c r="A75" s="20">
        <v>73</v>
      </c>
      <c r="B75" s="29">
        <v>6.0299192346290624</v>
      </c>
      <c r="C75" s="28">
        <f ca="1">OFFSET($B75,1*(ROWS(C$2:C75)-1),0)</f>
        <v>18.406214207687611</v>
      </c>
      <c r="D75" s="27">
        <f>Ft!B$3*EXP(Ft!B$38*($A75-Ft!B$2)^2) +Ft!C$3*EXP(Ft!C$38*($A75-Ft!C$2)^2) + Ft!D$3*EXP(Ft!D$38*($A75-Ft!D$2)^2)+Ft!E$3*EXP(Ft!E$38*($A75-Ft!E$2)^2) +Ft!F$3*EXP(Ft!F$38*($A75-Ft!F$2)^2) + Ft!G$3*EXP(Ft!G$38*($A75-Ft!G$2)^2)</f>
        <v>164500.57192574206</v>
      </c>
      <c r="E75" s="27">
        <f>Ft!B$3*EXP(Ft!B$38*($A75-Ft!B$2)^2)</f>
        <v>-115550.03798487269</v>
      </c>
      <c r="F75" s="27">
        <f>Ft!C$3*EXP(Ft!C$38*($A75-Ft!C$2)^2)</f>
        <v>0</v>
      </c>
      <c r="G75" s="27">
        <f>Ft!D$3*EXP(Ft!D$38*($A75-Ft!D$2)^2)</f>
        <v>111906.94779004779</v>
      </c>
      <c r="H75" s="27">
        <f>Ft!E$3*EXP(Ft!E$38*($A75-Ft!E$2)^2)</f>
        <v>13528.549218177843</v>
      </c>
      <c r="I75" s="27">
        <f>Ft!F$3*EXP(Ft!F$38*($A75-Ft!F$2)^2)</f>
        <v>154615.11290238911</v>
      </c>
      <c r="J75" s="27">
        <f>Ft!G$3*EXP(Ft!G$38*($A75-Ft!G$2)^2)</f>
        <v>0</v>
      </c>
    </row>
    <row r="76" spans="1:10">
      <c r="A76" s="20">
        <v>74</v>
      </c>
      <c r="B76" s="29">
        <v>6.178612119866159</v>
      </c>
      <c r="C76" s="28">
        <f ca="1">OFFSET($B76,1*(ROWS(C$2:C76)-1),0)</f>
        <v>18.771690158042844</v>
      </c>
      <c r="D76" s="27">
        <f>Ft!B$3*EXP(Ft!B$38*($A76-Ft!B$2)^2) +Ft!C$3*EXP(Ft!C$38*($A76-Ft!C$2)^2) + Ft!D$3*EXP(Ft!D$38*($A76-Ft!D$2)^2)+Ft!E$3*EXP(Ft!E$38*($A76-Ft!E$2)^2) +Ft!F$3*EXP(Ft!F$38*($A76-Ft!F$2)^2) + Ft!G$3*EXP(Ft!G$38*($A76-Ft!G$2)^2)</f>
        <v>166757.88221627442</v>
      </c>
      <c r="E76" s="27">
        <f>Ft!B$3*EXP(Ft!B$38*($A76-Ft!B$2)^2)</f>
        <v>-115551.40027404165</v>
      </c>
      <c r="F76" s="27">
        <f>Ft!C$3*EXP(Ft!C$38*($A76-Ft!C$2)^2)</f>
        <v>0</v>
      </c>
      <c r="G76" s="27">
        <f>Ft!D$3*EXP(Ft!D$38*($A76-Ft!D$2)^2)</f>
        <v>114128.51247391601</v>
      </c>
      <c r="H76" s="27">
        <f>Ft!E$3*EXP(Ft!E$38*($A76-Ft!E$2)^2)</f>
        <v>13049.687455679848</v>
      </c>
      <c r="I76" s="27">
        <f>Ft!F$3*EXP(Ft!F$38*($A76-Ft!F$2)^2)</f>
        <v>155131.08256072021</v>
      </c>
      <c r="J76" s="27">
        <f>Ft!G$3*EXP(Ft!G$38*($A76-Ft!G$2)^2)</f>
        <v>0</v>
      </c>
    </row>
    <row r="77" spans="1:10">
      <c r="A77" s="20">
        <v>75</v>
      </c>
      <c r="B77" s="29">
        <v>6.3337201953216038</v>
      </c>
      <c r="C77" s="28">
        <f ca="1">OFFSET($B77,1*(ROWS(C$2:C77)-1),0)</f>
        <v>19.124989979269742</v>
      </c>
      <c r="D77" s="27">
        <f>Ft!B$3*EXP(Ft!B$38*($A77-Ft!B$2)^2) +Ft!C$3*EXP(Ft!C$38*($A77-Ft!C$2)^2) + Ft!D$3*EXP(Ft!D$38*($A77-Ft!D$2)^2)+Ft!E$3*EXP(Ft!E$38*($A77-Ft!E$2)^2) +Ft!F$3*EXP(Ft!F$38*($A77-Ft!F$2)^2) + Ft!G$3*EXP(Ft!G$38*($A77-Ft!G$2)^2)</f>
        <v>169015.96527569598</v>
      </c>
      <c r="E77" s="27">
        <f>Ft!B$3*EXP(Ft!B$38*($A77-Ft!B$2)^2)</f>
        <v>-115552.76204513205</v>
      </c>
      <c r="F77" s="27">
        <f>Ft!C$3*EXP(Ft!C$38*($A77-Ft!C$2)^2)</f>
        <v>0</v>
      </c>
      <c r="G77" s="27">
        <f>Ft!D$3*EXP(Ft!D$38*($A77-Ft!D$2)^2)</f>
        <v>116380.47718132751</v>
      </c>
      <c r="H77" s="27">
        <f>Ft!E$3*EXP(Ft!E$38*($A77-Ft!E$2)^2)</f>
        <v>12580.185571716303</v>
      </c>
      <c r="I77" s="27">
        <f>Ft!F$3*EXP(Ft!F$38*($A77-Ft!F$2)^2)</f>
        <v>155608.06456778423</v>
      </c>
      <c r="J77" s="27">
        <f>Ft!G$3*EXP(Ft!G$38*($A77-Ft!G$2)^2)</f>
        <v>0</v>
      </c>
    </row>
    <row r="78" spans="1:10">
      <c r="A78" s="20">
        <v>76</v>
      </c>
      <c r="B78" s="29">
        <v>6.4864274404777689</v>
      </c>
      <c r="C78" s="28">
        <f ca="1">OFFSET($B78,1*(ROWS(C$2:C78)-1),0)</f>
        <v>19.510738182804175</v>
      </c>
      <c r="D78" s="27">
        <f>Ft!B$3*EXP(Ft!B$38*($A78-Ft!B$2)^2) +Ft!C$3*EXP(Ft!C$38*($A78-Ft!C$2)^2) + Ft!D$3*EXP(Ft!D$38*($A78-Ft!D$2)^2)+Ft!E$3*EXP(Ft!E$38*($A78-Ft!E$2)^2) +Ft!F$3*EXP(Ft!F$38*($A78-Ft!F$2)^2) + Ft!G$3*EXP(Ft!G$38*($A78-Ft!G$2)^2)</f>
        <v>171274.73500007467</v>
      </c>
      <c r="E78" s="27">
        <f>Ft!B$3*EXP(Ft!B$38*($A78-Ft!B$2)^2)</f>
        <v>-115554.12329812524</v>
      </c>
      <c r="F78" s="27">
        <f>Ft!C$3*EXP(Ft!C$38*($A78-Ft!C$2)^2)</f>
        <v>0</v>
      </c>
      <c r="G78" s="27">
        <f>Ft!D$3*EXP(Ft!D$38*($A78-Ft!D$2)^2)</f>
        <v>118662.90631457955</v>
      </c>
      <c r="H78" s="27">
        <f>Ft!E$3*EXP(Ft!E$38*($A78-Ft!E$2)^2)</f>
        <v>12120.262825711703</v>
      </c>
      <c r="I78" s="27">
        <f>Ft!F$3*EXP(Ft!F$38*($A78-Ft!F$2)^2)</f>
        <v>156045.68915790867</v>
      </c>
      <c r="J78" s="27">
        <f>Ft!G$3*EXP(Ft!G$38*($A78-Ft!G$2)^2)</f>
        <v>0</v>
      </c>
    </row>
    <row r="79" spans="1:10">
      <c r="A79" s="20">
        <v>77</v>
      </c>
      <c r="B79" s="29">
        <v>6.6234343387646391</v>
      </c>
      <c r="C79" s="28">
        <f ca="1">OFFSET($B79,1*(ROWS(C$2:C79)-1),0)</f>
        <v>19.896422495919637</v>
      </c>
      <c r="D79" s="27">
        <f>Ft!B$3*EXP(Ft!B$38*($A79-Ft!B$2)^2) +Ft!C$3*EXP(Ft!C$38*($A79-Ft!C$2)^2) + Ft!D$3*EXP(Ft!D$38*($A79-Ft!D$2)^2)+Ft!E$3*EXP(Ft!E$38*($A79-Ft!E$2)^2) +Ft!F$3*EXP(Ft!F$38*($A79-Ft!F$2)^2) + Ft!G$3*EXP(Ft!G$38*($A79-Ft!G$2)^2)</f>
        <v>173534.10056378358</v>
      </c>
      <c r="E79" s="27">
        <f>Ft!B$3*EXP(Ft!B$38*($A79-Ft!B$2)^2)</f>
        <v>-115555.4840330025</v>
      </c>
      <c r="F79" s="27">
        <f>Ft!C$3*EXP(Ft!C$38*($A79-Ft!C$2)^2)</f>
        <v>0</v>
      </c>
      <c r="G79" s="27">
        <f>Ft!D$3*EXP(Ft!D$38*($A79-Ft!D$2)^2)</f>
        <v>120975.85467840428</v>
      </c>
      <c r="H79" s="27">
        <f>Ft!E$3*EXP(Ft!E$38*($A79-Ft!E$2)^2)</f>
        <v>11670.113515080773</v>
      </c>
      <c r="I79" s="27">
        <f>Ft!F$3*EXP(Ft!F$38*($A79-Ft!F$2)^2)</f>
        <v>156443.61640330101</v>
      </c>
      <c r="J79" s="27">
        <f>Ft!G$3*EXP(Ft!G$38*($A79-Ft!G$2)^2)</f>
        <v>0</v>
      </c>
    </row>
    <row r="80" spans="1:10">
      <c r="A80" s="20">
        <v>78</v>
      </c>
      <c r="B80" s="29">
        <v>6.7686960378715071</v>
      </c>
      <c r="C80" s="28">
        <f ca="1">OFFSET($B80,1*(ROWS(C$2:C80)-1),0)</f>
        <v>20.285245962246563</v>
      </c>
      <c r="D80" s="27">
        <f>Ft!B$3*EXP(Ft!B$38*($A80-Ft!B$2)^2) +Ft!C$3*EXP(Ft!C$38*($A80-Ft!C$2)^2) + Ft!D$3*EXP(Ft!D$38*($A80-Ft!D$2)^2)+Ft!E$3*EXP(Ft!E$38*($A80-Ft!E$2)^2) +Ft!F$3*EXP(Ft!F$38*($A80-Ft!F$2)^2) + Ft!G$3*EXP(Ft!G$38*($A80-Ft!G$2)^2)</f>
        <v>175793.96709771213</v>
      </c>
      <c r="E80" s="27">
        <f>Ft!B$3*EXP(Ft!B$38*($A80-Ft!B$2)^2)</f>
        <v>-115556.84424974519</v>
      </c>
      <c r="F80" s="27">
        <f>Ft!C$3*EXP(Ft!C$38*($A80-Ft!C$2)^2)</f>
        <v>0</v>
      </c>
      <c r="G80" s="27">
        <f>Ft!D$3*EXP(Ft!D$38*($A80-Ft!D$2)^2)</f>
        <v>123319.36726569217</v>
      </c>
      <c r="H80" s="27">
        <f>Ft!E$3*EXP(Ft!E$38*($A80-Ft!E$2)^2)</f>
        <v>11229.907427704124</v>
      </c>
      <c r="I80" s="27">
        <f>Ft!F$3*EXP(Ft!F$38*($A80-Ft!F$2)^2)</f>
        <v>156801.53665406103</v>
      </c>
      <c r="J80" s="27">
        <f>Ft!G$3*EXP(Ft!G$38*($A80-Ft!G$2)^2)</f>
        <v>0</v>
      </c>
    </row>
    <row r="81" spans="1:10">
      <c r="A81" s="20">
        <v>79</v>
      </c>
      <c r="B81" s="29">
        <v>6.9018393749587688</v>
      </c>
      <c r="C81" s="28">
        <f ca="1">OFFSET($B81,1*(ROWS(C$2:C81)-1),0)</f>
        <v>20.67976577465339</v>
      </c>
      <c r="D81" s="27">
        <f>Ft!B$3*EXP(Ft!B$38*($A81-Ft!B$2)^2) +Ft!C$3*EXP(Ft!C$38*($A81-Ft!C$2)^2) + Ft!D$3*EXP(Ft!D$38*($A81-Ft!D$2)^2)+Ft!E$3*EXP(Ft!E$38*($A81-Ft!E$2)^2) +Ft!F$3*EXP(Ft!F$38*($A81-Ft!F$2)^2) + Ft!G$3*EXP(Ft!G$38*($A81-Ft!G$2)^2)</f>
        <v>178054.23638649145</v>
      </c>
      <c r="E81" s="27">
        <f>Ft!B$3*EXP(Ft!B$38*($A81-Ft!B$2)^2)</f>
        <v>-115558.20394833459</v>
      </c>
      <c r="F81" s="27">
        <f>Ft!C$3*EXP(Ft!C$38*($A81-Ft!C$2)^2)</f>
        <v>0</v>
      </c>
      <c r="G81" s="27">
        <f>Ft!D$3*EXP(Ft!D$38*($A81-Ft!D$2)^2)</f>
        <v>125693.47904485783</v>
      </c>
      <c r="H81" s="27">
        <f>Ft!E$3*EXP(Ft!E$38*($A81-Ft!E$2)^2)</f>
        <v>10799.790350239502</v>
      </c>
      <c r="I81" s="27">
        <f>Ft!F$3*EXP(Ft!F$38*($A81-Ft!F$2)^2)</f>
        <v>157119.1709397287</v>
      </c>
      <c r="J81" s="27">
        <f>Ft!G$3*EXP(Ft!G$38*($A81-Ft!G$2)^2)</f>
        <v>0</v>
      </c>
    </row>
    <row r="82" spans="1:10">
      <c r="A82" s="20">
        <v>80</v>
      </c>
      <c r="B82" s="29">
        <v>7.0641778348127104</v>
      </c>
      <c r="C82" s="28">
        <f ca="1">OFFSET($B82,1*(ROWS(C$2:C82)-1),0)</f>
        <v>21.070432870060131</v>
      </c>
      <c r="D82" s="27">
        <f>Ft!B$3*EXP(Ft!B$38*($A82-Ft!B$2)^2) +Ft!C$3*EXP(Ft!C$38*($A82-Ft!C$2)^2) + Ft!D$3*EXP(Ft!D$38*($A82-Ft!D$2)^2)+Ft!E$3*EXP(Ft!E$38*($A82-Ft!E$2)^2) +Ft!F$3*EXP(Ft!F$38*($A82-Ft!F$2)^2) + Ft!G$3*EXP(Ft!G$38*($A82-Ft!G$2)^2)</f>
        <v>180314.8075803094</v>
      </c>
      <c r="E82" s="27">
        <f>Ft!B$3*EXP(Ft!B$38*($A82-Ft!B$2)^2)</f>
        <v>-115559.56312875207</v>
      </c>
      <c r="F82" s="27">
        <f>Ft!C$3*EXP(Ft!C$38*($A82-Ft!C$2)^2)</f>
        <v>0</v>
      </c>
      <c r="G82" s="27">
        <f>Ft!D$3*EXP(Ft!D$38*($A82-Ft!D$2)^2)</f>
        <v>128098.21474903115</v>
      </c>
      <c r="H82" s="27">
        <f>Ft!E$3*EXP(Ft!E$38*($A82-Ft!E$2)^2)</f>
        <v>10379.884628391574</v>
      </c>
      <c r="I82" s="27">
        <f>Ft!F$3*EXP(Ft!F$38*($A82-Ft!F$2)^2)</f>
        <v>157396.27133163874</v>
      </c>
      <c r="J82" s="27">
        <f>Ft!G$3*EXP(Ft!G$38*($A82-Ft!G$2)^2)</f>
        <v>0</v>
      </c>
    </row>
    <row r="83" spans="1:10">
      <c r="A83" s="20">
        <v>81</v>
      </c>
      <c r="B83" s="29">
        <v>7.2316837788396811</v>
      </c>
      <c r="C83" s="28">
        <f ca="1">OFFSET($B83,1*(ROWS(C$2:C83)-1),0)</f>
        <v>21.47195862469394</v>
      </c>
      <c r="D83" s="27">
        <f>Ft!B$3*EXP(Ft!B$38*($A83-Ft!B$2)^2) +Ft!C$3*EXP(Ft!C$38*($A83-Ft!C$2)^2) + Ft!D$3*EXP(Ft!D$38*($A83-Ft!D$2)^2)+Ft!E$3*EXP(Ft!E$38*($A83-Ft!E$2)^2) +Ft!F$3*EXP(Ft!F$38*($A83-Ft!F$2)^2) + Ft!G$3*EXP(Ft!G$38*($A83-Ft!G$2)^2)</f>
        <v>182575.57791689687</v>
      </c>
      <c r="E83" s="27">
        <f>Ft!B$3*EXP(Ft!B$38*($A83-Ft!B$2)^2)</f>
        <v>-115560.92179097893</v>
      </c>
      <c r="F83" s="27">
        <f>Ft!C$3*EXP(Ft!C$38*($A83-Ft!C$2)^2)</f>
        <v>0</v>
      </c>
      <c r="G83" s="27">
        <f>Ft!D$3*EXP(Ft!D$38*($A83-Ft!D$2)^2)</f>
        <v>130533.5886672604</v>
      </c>
      <c r="H83" s="27">
        <f>Ft!E$3*EXP(Ft!E$38*($A83-Ft!E$2)^2)</f>
        <v>9970.2897751930232</v>
      </c>
      <c r="I83" s="27">
        <f>Ft!F$3*EXP(Ft!F$38*($A83-Ft!F$2)^2)</f>
        <v>157632.62126542238</v>
      </c>
      <c r="J83" s="27">
        <f>Ft!G$3*EXP(Ft!G$38*($A83-Ft!G$2)^2)</f>
        <v>0</v>
      </c>
    </row>
    <row r="84" spans="1:10">
      <c r="A84" s="20">
        <v>82</v>
      </c>
      <c r="B84" s="29">
        <v>7.3964267172944176</v>
      </c>
      <c r="C84" s="28">
        <f ca="1">OFFSET($B84,1*(ROWS(C$2:C84)-1),0)</f>
        <v>21.870875198535799</v>
      </c>
      <c r="D84" s="27">
        <f>Ft!B$3*EXP(Ft!B$38*($A84-Ft!B$2)^2) +Ft!C$3*EXP(Ft!C$38*($A84-Ft!C$2)^2) + Ft!D$3*EXP(Ft!D$38*($A84-Ft!D$2)^2)+Ft!E$3*EXP(Ft!E$38*($A84-Ft!E$2)^2) +Ft!F$3*EXP(Ft!F$38*($A84-Ft!F$2)^2) + Ft!G$3*EXP(Ft!G$38*($A84-Ft!G$2)^2)</f>
        <v>184836.44344928834</v>
      </c>
      <c r="E84" s="27">
        <f>Ft!B$3*EXP(Ft!B$38*($A84-Ft!B$2)^2)</f>
        <v>-115562.27993499655</v>
      </c>
      <c r="F84" s="27">
        <f>Ft!C$3*EXP(Ft!C$38*($A84-Ft!C$2)^2)</f>
        <v>0</v>
      </c>
      <c r="G84" s="27">
        <f>Ft!D$3*EXP(Ft!D$38*($A84-Ft!D$2)^2)</f>
        <v>132999.60443791383</v>
      </c>
      <c r="H84" s="27">
        <f>Ft!E$3*EXP(Ft!E$38*($A84-Ft!E$2)^2)</f>
        <v>9571.0831233011668</v>
      </c>
      <c r="I84" s="27">
        <f>Ft!F$3*EXP(Ft!F$38*($A84-Ft!F$2)^2)</f>
        <v>157828.03582306989</v>
      </c>
      <c r="J84" s="27">
        <f>Ft!G$3*EXP(Ft!G$38*($A84-Ft!G$2)^2)</f>
        <v>0</v>
      </c>
    </row>
    <row r="85" spans="1:10">
      <c r="A85" s="20">
        <v>83</v>
      </c>
      <c r="B85" s="29">
        <v>7.5441696910785652</v>
      </c>
      <c r="C85" s="28">
        <f ca="1">OFFSET($B85,1*(ROWS(C$2:C85)-1),0)</f>
        <v>22.244750409105109</v>
      </c>
      <c r="D85" s="27">
        <f>Ft!B$3*EXP(Ft!B$38*($A85-Ft!B$2)^2) +Ft!C$3*EXP(Ft!C$38*($A85-Ft!C$2)^2) + Ft!D$3*EXP(Ft!D$38*($A85-Ft!D$2)^2)+Ft!E$3*EXP(Ft!E$38*($A85-Ft!E$2)^2) +Ft!F$3*EXP(Ft!F$38*($A85-Ft!F$2)^2) + Ft!G$3*EXP(Ft!G$38*($A85-Ft!G$2)^2)</f>
        <v>187097.29977500916</v>
      </c>
      <c r="E85" s="27">
        <f>Ft!B$3*EXP(Ft!B$38*($A85-Ft!B$2)^2)</f>
        <v>-115563.63756078627</v>
      </c>
      <c r="F85" s="27">
        <f>Ft!C$3*EXP(Ft!C$38*($A85-Ft!C$2)^2)</f>
        <v>0</v>
      </c>
      <c r="G85" s="27">
        <f>Ft!D$3*EXP(Ft!D$38*($A85-Ft!D$2)^2)</f>
        <v>135496.25484447007</v>
      </c>
      <c r="H85" s="27">
        <f>Ft!E$3*EXP(Ft!E$38*($A85-Ft!E$2)^2)</f>
        <v>9182.3205172862999</v>
      </c>
      <c r="I85" s="27">
        <f>Ft!F$3*EXP(Ft!F$38*($A85-Ft!F$2)^2)</f>
        <v>157982.36197403906</v>
      </c>
      <c r="J85" s="27">
        <f>Ft!G$3*EXP(Ft!G$38*($A85-Ft!G$2)^2)</f>
        <v>0</v>
      </c>
    </row>
    <row r="86" spans="1:10">
      <c r="A86" s="20">
        <v>84</v>
      </c>
      <c r="B86" s="29">
        <v>7.7141521591006494</v>
      </c>
      <c r="C86" s="28">
        <f ca="1">OFFSET($B86,1*(ROWS(C$2:C86)-1),0)</f>
        <v>22.645533232781503</v>
      </c>
      <c r="D86" s="27">
        <f>Ft!B$3*EXP(Ft!B$38*($A86-Ft!B$2)^2) +Ft!C$3*EXP(Ft!C$38*($A86-Ft!C$2)^2) + Ft!D$3*EXP(Ft!D$38*($A86-Ft!D$2)^2)+Ft!E$3*EXP(Ft!E$38*($A86-Ft!E$2)^2) +Ft!F$3*EXP(Ft!F$38*($A86-Ft!F$2)^2) + Ft!G$3*EXP(Ft!G$38*($A86-Ft!G$2)^2)</f>
        <v>189358.04276240818</v>
      </c>
      <c r="E86" s="27">
        <f>Ft!B$3*EXP(Ft!B$38*($A86-Ft!B$2)^2)</f>
        <v>-115564.99466832945</v>
      </c>
      <c r="F86" s="27">
        <f>Ft!C$3*EXP(Ft!C$38*($A86-Ft!C$2)^2)</f>
        <v>0</v>
      </c>
      <c r="G86" s="27">
        <f>Ft!D$3*EXP(Ft!D$38*($A86-Ft!D$2)^2)</f>
        <v>138023.52161388786</v>
      </c>
      <c r="H86" s="27">
        <f>Ft!E$3*EXP(Ft!E$38*($A86-Ft!E$2)^2)</f>
        <v>8804.0370418801558</v>
      </c>
      <c r="I86" s="27">
        <f>Ft!F$3*EXP(Ft!F$38*($A86-Ft!F$2)^2)</f>
        <v>158095.47877496961</v>
      </c>
      <c r="J86" s="27">
        <f>Ft!G$3*EXP(Ft!G$38*($A86-Ft!G$2)^2)</f>
        <v>0</v>
      </c>
    </row>
    <row r="87" spans="1:10">
      <c r="A87" s="20">
        <v>85</v>
      </c>
      <c r="B87" s="29">
        <v>7.8827262081648257</v>
      </c>
      <c r="C87" s="28">
        <f ca="1">OFFSET($B87,1*(ROWS(C$2:C87)-1),0)</f>
        <v>23.02990260638478</v>
      </c>
      <c r="D87" s="27">
        <f>Ft!B$3*EXP(Ft!B$38*($A87-Ft!B$2)^2) +Ft!C$3*EXP(Ft!C$38*($A87-Ft!C$2)^2) + Ft!D$3*EXP(Ft!D$38*($A87-Ft!D$2)^2)+Ft!E$3*EXP(Ft!E$38*($A87-Ft!E$2)^2) +Ft!F$3*EXP(Ft!F$38*($A87-Ft!F$2)^2) + Ft!G$3*EXP(Ft!G$38*($A87-Ft!G$2)^2)</f>
        <v>191618.56926994334</v>
      </c>
      <c r="E87" s="27">
        <f>Ft!B$3*EXP(Ft!B$38*($A87-Ft!B$2)^2)</f>
        <v>-115566.35125760749</v>
      </c>
      <c r="F87" s="27">
        <f>Ft!C$3*EXP(Ft!C$38*($A87-Ft!C$2)^2)</f>
        <v>0</v>
      </c>
      <c r="G87" s="27">
        <f>Ft!D$3*EXP(Ft!D$38*($A87-Ft!D$2)^2)</f>
        <v>140581.3752177475</v>
      </c>
      <c r="H87" s="27">
        <f>Ft!E$3*EXP(Ft!E$38*($A87-Ft!E$2)^2)</f>
        <v>8436.2477821643533</v>
      </c>
      <c r="I87" s="27">
        <f>Ft!F$3*EXP(Ft!F$38*($A87-Ft!F$2)^2)</f>
        <v>158167.29752763899</v>
      </c>
      <c r="J87" s="27">
        <f>Ft!G$3*EXP(Ft!G$38*($A87-Ft!G$2)^2)</f>
        <v>0</v>
      </c>
    </row>
    <row r="88" spans="1:10">
      <c r="A88" s="20">
        <v>86</v>
      </c>
      <c r="B88" s="29">
        <v>7.992637002132966</v>
      </c>
      <c r="C88" s="28">
        <f ca="1">OFFSET($B88,1*(ROWS(C$2:C88)-1),0)</f>
        <v>23.408598188949128</v>
      </c>
      <c r="D88" s="27">
        <f>Ft!B$3*EXP(Ft!B$38*($A88-Ft!B$2)^2) +Ft!C$3*EXP(Ft!C$38*($A88-Ft!C$2)^2) + Ft!D$3*EXP(Ft!D$38*($A88-Ft!D$2)^2)+Ft!E$3*EXP(Ft!E$38*($A88-Ft!E$2)^2) +Ft!F$3*EXP(Ft!F$38*($A88-Ft!F$2)^2) + Ft!G$3*EXP(Ft!G$38*($A88-Ft!G$2)^2)</f>
        <v>193878.77785433573</v>
      </c>
      <c r="E88" s="27">
        <f>Ft!B$3*EXP(Ft!B$38*($A88-Ft!B$2)^2)</f>
        <v>-115567.70732860171</v>
      </c>
      <c r="F88" s="27">
        <f>Ft!C$3*EXP(Ft!C$38*($A88-Ft!C$2)^2)</f>
        <v>0</v>
      </c>
      <c r="G88" s="27">
        <f>Ft!D$3*EXP(Ft!D$38*($A88-Ft!D$2)^2)</f>
        <v>143169.77467635833</v>
      </c>
      <c r="H88" s="27">
        <f>Ft!E$3*EXP(Ft!E$38*($A88-Ft!E$2)^2)</f>
        <v>8078.9486117088336</v>
      </c>
      <c r="I88" s="27">
        <f>Ft!F$3*EXP(Ft!F$38*($A88-Ft!F$2)^2)</f>
        <v>158197.76189487029</v>
      </c>
      <c r="J88" s="27">
        <f>Ft!G$3*EXP(Ft!G$38*($A88-Ft!G$2)^2)</f>
        <v>0</v>
      </c>
    </row>
    <row r="89" spans="1:10">
      <c r="A89" s="20">
        <v>87</v>
      </c>
      <c r="B89" s="29">
        <v>8.1120957961436204</v>
      </c>
      <c r="C89" s="28">
        <f ca="1">OFFSET($B89,1*(ROWS(C$2:C89)-1),0)</f>
        <v>23.812698239267917</v>
      </c>
      <c r="D89" s="27">
        <f>Ft!B$3*EXP(Ft!B$38*($A89-Ft!B$2)^2) +Ft!C$3*EXP(Ft!C$38*($A89-Ft!C$2)^2) + Ft!D$3*EXP(Ft!D$38*($A89-Ft!D$2)^2)+Ft!E$3*EXP(Ft!E$38*($A89-Ft!E$2)^2) +Ft!F$3*EXP(Ft!F$38*($A89-Ft!F$2)^2) + Ft!G$3*EXP(Ft!G$38*($A89-Ft!G$2)^2)</f>
        <v>196138.56946363157</v>
      </c>
      <c r="E89" s="27">
        <f>Ft!B$3*EXP(Ft!B$38*($A89-Ft!B$2)^2)</f>
        <v>-115569.06288129353</v>
      </c>
      <c r="F89" s="27">
        <f>Ft!C$3*EXP(Ft!C$38*($A89-Ft!C$2)^2)</f>
        <v>0</v>
      </c>
      <c r="G89" s="27">
        <f>Ft!D$3*EXP(Ft!D$38*($A89-Ft!D$2)^2)</f>
        <v>145788.66736602652</v>
      </c>
      <c r="H89" s="27">
        <f>Ft!E$3*EXP(Ft!E$38*($A89-Ft!E$2)^2)</f>
        <v>7732.117004717903</v>
      </c>
      <c r="I89" s="27">
        <f>Ft!F$3*EXP(Ft!F$38*($A89-Ft!F$2)^2)</f>
        <v>158186.84797418068</v>
      </c>
      <c r="J89" s="27">
        <f>Ft!G$3*EXP(Ft!G$38*($A89-Ft!G$2)^2)</f>
        <v>0</v>
      </c>
    </row>
    <row r="90" spans="1:10">
      <c r="A90" s="20">
        <v>88</v>
      </c>
      <c r="B90" s="29">
        <v>8.2469018850756015</v>
      </c>
      <c r="C90" s="28">
        <f ca="1">OFFSET($B90,1*(ROWS(C$2:C90)-1),0)</f>
        <v>24.24048730529779</v>
      </c>
      <c r="D90" s="27">
        <f>Ft!B$3*EXP(Ft!B$38*($A90-Ft!B$2)^2) +Ft!C$3*EXP(Ft!C$38*($A90-Ft!C$2)^2) + Ft!D$3*EXP(Ft!D$38*($A90-Ft!D$2)^2)+Ft!E$3*EXP(Ft!E$38*($A90-Ft!E$2)^2) +Ft!F$3*EXP(Ft!F$38*($A90-Ft!F$2)^2) + Ft!G$3*EXP(Ft!G$38*($A90-Ft!G$2)^2)</f>
        <v>198397.84811135672</v>
      </c>
      <c r="E90" s="27">
        <f>Ft!B$3*EXP(Ft!B$38*($A90-Ft!B$2)^2)</f>
        <v>-115570.41791566431</v>
      </c>
      <c r="F90" s="27">
        <f>Ft!C$3*EXP(Ft!C$38*($A90-Ft!C$2)^2)</f>
        <v>0</v>
      </c>
      <c r="G90" s="27">
        <f>Ft!D$3*EXP(Ft!D$38*($A90-Ft!D$2)^2)</f>
        <v>148437.98882967982</v>
      </c>
      <c r="H90" s="27">
        <f>Ft!E$3*EXP(Ft!E$38*($A90-Ft!E$2)^2)</f>
        <v>7395.7128683058336</v>
      </c>
      <c r="I90" s="27">
        <f>Ft!F$3*EXP(Ft!F$38*($A90-Ft!F$2)^2)</f>
        <v>158134.56432903538</v>
      </c>
      <c r="J90" s="27">
        <f>Ft!G$3*EXP(Ft!G$38*($A90-Ft!G$2)^2)</f>
        <v>0</v>
      </c>
    </row>
    <row r="91" spans="1:10">
      <c r="A91" s="20">
        <v>89</v>
      </c>
      <c r="B91" s="29">
        <v>8.3738897956557139</v>
      </c>
      <c r="C91" s="28">
        <f ca="1">OFFSET($B91,1*(ROWS(C$2:C91)-1),0)</f>
        <v>24.67964745736748</v>
      </c>
      <c r="D91" s="27">
        <f>Ft!B$3*EXP(Ft!B$38*($A91-Ft!B$2)^2) +Ft!C$3*EXP(Ft!C$38*($A91-Ft!C$2)^2) + Ft!D$3*EXP(Ft!D$38*($A91-Ft!D$2)^2)+Ft!E$3*EXP(Ft!E$38*($A91-Ft!E$2)^2) +Ft!F$3*EXP(Ft!F$38*($A91-Ft!F$2)^2) + Ft!G$3*EXP(Ft!G$38*($A91-Ft!G$2)^2)</f>
        <v>200656.52152810356</v>
      </c>
      <c r="E91" s="27">
        <f>Ft!B$3*EXP(Ft!B$38*($A91-Ft!B$2)^2)</f>
        <v>-115571.77243169547</v>
      </c>
      <c r="F91" s="27">
        <f>Ft!C$3*EXP(Ft!C$38*($A91-Ft!C$2)^2)</f>
        <v>0</v>
      </c>
      <c r="G91" s="27">
        <f>Ft!D$3*EXP(Ft!D$38*($A91-Ft!D$2)^2)</f>
        <v>151117.66259104523</v>
      </c>
      <c r="H91" s="27">
        <f>Ft!E$3*EXP(Ft!E$38*($A91-Ft!E$2)^2)</f>
        <v>7069.6793911039604</v>
      </c>
      <c r="I91" s="27">
        <f>Ft!F$3*EXP(Ft!F$38*($A91-Ft!F$2)^2)</f>
        <v>158040.95197764985</v>
      </c>
      <c r="J91" s="27">
        <f>Ft!G$3*EXP(Ft!G$38*($A91-Ft!G$2)^2)</f>
        <v>0</v>
      </c>
    </row>
    <row r="92" spans="1:10">
      <c r="A92" s="20">
        <v>90</v>
      </c>
      <c r="B92" s="29">
        <v>8.5076102389976427</v>
      </c>
      <c r="C92" s="28">
        <f ca="1">OFFSET($B92,1*(ROWS(C$2:C92)-1),0)</f>
        <v>25.087396458903925</v>
      </c>
      <c r="D92" s="27">
        <f>Ft!B$3*EXP(Ft!B$38*($A92-Ft!B$2)^2) +Ft!C$3*EXP(Ft!C$38*($A92-Ft!C$2)^2) + Ft!D$3*EXP(Ft!D$38*($A92-Ft!D$2)^2)+Ft!E$3*EXP(Ft!E$38*($A92-Ft!E$2)^2) +Ft!F$3*EXP(Ft!F$38*($A92-Ft!F$2)^2) + Ft!G$3*EXP(Ft!G$38*($A92-Ft!G$2)^2)</f>
        <v>202914.50178706631</v>
      </c>
      <c r="E92" s="27">
        <f>Ft!B$3*EXP(Ft!B$38*($A92-Ft!B$2)^2)</f>
        <v>-115573.12642936841</v>
      </c>
      <c r="F92" s="27">
        <f>Ft!C$3*EXP(Ft!C$38*($A92-Ft!C$2)^2)</f>
        <v>0</v>
      </c>
      <c r="G92" s="27">
        <f>Ft!D$3*EXP(Ft!D$38*($A92-Ft!D$2)^2)</f>
        <v>153827.59997257803</v>
      </c>
      <c r="H92" s="27">
        <f>Ft!E$3*EXP(Ft!E$38*($A92-Ft!E$2)^2)</f>
        <v>6753.9439044956098</v>
      </c>
      <c r="I92" s="27">
        <f>Ft!F$3*EXP(Ft!F$38*($A92-Ft!F$2)^2)</f>
        <v>157906.08433936108</v>
      </c>
      <c r="J92" s="27">
        <f>Ft!G$3*EXP(Ft!G$38*($A92-Ft!G$2)^2)</f>
        <v>0</v>
      </c>
    </row>
    <row r="93" spans="1:10">
      <c r="A93" s="20">
        <v>91</v>
      </c>
      <c r="B93" s="29">
        <v>8.6344773123532832</v>
      </c>
      <c r="C93" s="28">
        <f ca="1">OFFSET($B93,1*(ROWS(C$2:C93)-1),0)</f>
        <v>25.513182195821116</v>
      </c>
      <c r="D93" s="27">
        <f>Ft!B$3*EXP(Ft!B$38*($A93-Ft!B$2)^2) +Ft!C$3*EXP(Ft!C$38*($A93-Ft!C$2)^2) + Ft!D$3*EXP(Ft!D$38*($A93-Ft!D$2)^2)+Ft!E$3*EXP(Ft!E$38*($A93-Ft!E$2)^2) +Ft!F$3*EXP(Ft!F$38*($A93-Ft!F$2)^2) + Ft!G$3*EXP(Ft!G$38*($A93-Ft!G$2)^2)</f>
        <v>205171.70590022334</v>
      </c>
      <c r="E93" s="27">
        <f>Ft!B$3*EXP(Ft!B$38*($A93-Ft!B$2)^2)</f>
        <v>-115574.47990866452</v>
      </c>
      <c r="F93" s="27">
        <f>Ft!C$3*EXP(Ft!C$38*($A93-Ft!C$2)^2)</f>
        <v>0</v>
      </c>
      <c r="G93" s="27">
        <f>Ft!D$3*EXP(Ft!D$38*($A93-Ft!D$2)^2)</f>
        <v>156567.69991733905</v>
      </c>
      <c r="H93" s="27">
        <f>Ft!E$3*EXP(Ft!E$38*($A93-Ft!E$2)^2)</f>
        <v>6448.4187528831844</v>
      </c>
      <c r="I93" s="27">
        <f>Ft!F$3*EXP(Ft!F$38*($A93-Ft!F$2)^2)</f>
        <v>157730.06713866562</v>
      </c>
      <c r="J93" s="27">
        <f>Ft!G$3*EXP(Ft!G$38*($A93-Ft!G$2)^2)</f>
        <v>0</v>
      </c>
    </row>
    <row r="94" spans="1:10">
      <c r="A94" s="20">
        <v>92</v>
      </c>
      <c r="B94" s="29">
        <v>8.7885767445847591</v>
      </c>
      <c r="C94" s="28">
        <f ca="1">OFFSET($B94,1*(ROWS(C$2:C94)-1),0)</f>
        <v>25.946852757409033</v>
      </c>
      <c r="D94" s="27">
        <f>Ft!B$3*EXP(Ft!B$38*($A94-Ft!B$2)^2) +Ft!C$3*EXP(Ft!C$38*($A94-Ft!C$2)^2) + Ft!D$3*EXP(Ft!D$38*($A94-Ft!D$2)^2)+Ft!E$3*EXP(Ft!E$38*($A94-Ft!E$2)^2) +Ft!F$3*EXP(Ft!F$38*($A94-Ft!F$2)^2) + Ft!G$3*EXP(Ft!G$38*($A94-Ft!G$2)^2)</f>
        <v>207428.0563820661</v>
      </c>
      <c r="E94" s="27">
        <f>Ft!B$3*EXP(Ft!B$38*($A94-Ft!B$2)^2)</f>
        <v>-115575.83286956525</v>
      </c>
      <c r="F94" s="27">
        <f>Ft!C$3*EXP(Ft!C$38*($A94-Ft!C$2)^2)</f>
        <v>0</v>
      </c>
      <c r="G94" s="27">
        <f>Ft!D$3*EXP(Ft!D$38*($A94-Ft!D$2)^2)</f>
        <v>159337.84881501921</v>
      </c>
      <c r="H94" s="27">
        <f>Ft!E$3*EXP(Ft!E$38*($A94-Ft!E$2)^2)</f>
        <v>6153.0021695118221</v>
      </c>
      <c r="I94" s="27">
        <f>Ft!F$3*EXP(Ft!F$38*($A94-Ft!F$2)^2)</f>
        <v>157513.03826710032</v>
      </c>
      <c r="J94" s="27">
        <f>Ft!G$3*EXP(Ft!G$38*($A94-Ft!G$2)^2)</f>
        <v>0</v>
      </c>
    </row>
    <row r="95" spans="1:10">
      <c r="A95" s="20">
        <v>93</v>
      </c>
      <c r="B95" s="29">
        <v>8.9464760474274385</v>
      </c>
      <c r="C95" s="28">
        <f ca="1">OFFSET($B95,1*(ROWS(C$2:C95)-1),0)</f>
        <v>26.388888023433736</v>
      </c>
      <c r="D95" s="27">
        <f>Ft!B$3*EXP(Ft!B$38*($A95-Ft!B$2)^2) +Ft!C$3*EXP(Ft!C$38*($A95-Ft!C$2)^2) + Ft!D$3*EXP(Ft!D$38*($A95-Ft!D$2)^2)+Ft!E$3*EXP(Ft!E$38*($A95-Ft!E$2)^2) +Ft!F$3*EXP(Ft!F$38*($A95-Ft!F$2)^2) + Ft!G$3*EXP(Ft!G$38*($A95-Ft!G$2)^2)</f>
        <v>209683.48177798089</v>
      </c>
      <c r="E95" s="27">
        <f>Ft!B$3*EXP(Ft!B$38*($A95-Ft!B$2)^2)</f>
        <v>-115577.18531205198</v>
      </c>
      <c r="F95" s="27">
        <f>Ft!C$3*EXP(Ft!C$38*($A95-Ft!C$2)^2)</f>
        <v>0</v>
      </c>
      <c r="G95" s="27">
        <f>Ft!D$3*EXP(Ft!D$38*($A95-Ft!D$2)^2)</f>
        <v>162137.92033230935</v>
      </c>
      <c r="H95" s="27">
        <f>Ft!E$3*EXP(Ft!E$38*($A95-Ft!E$2)^2)</f>
        <v>5867.5791545053016</v>
      </c>
      <c r="I95" s="27">
        <f>Ft!F$3*EXP(Ft!F$38*($A95-Ft!F$2)^2)</f>
        <v>157255.16760321823</v>
      </c>
      <c r="J95" s="27">
        <f>Ft!G$3*EXP(Ft!G$38*($A95-Ft!G$2)^2)</f>
        <v>0</v>
      </c>
    </row>
    <row r="96" spans="1:10">
      <c r="A96" s="20">
        <v>94</v>
      </c>
      <c r="B96" s="29">
        <v>9.1133830614483031</v>
      </c>
      <c r="C96" s="28">
        <f ca="1">OFFSET($B96,1*(ROWS(C$2:C96)-1),0)</f>
        <v>26.780087100169624</v>
      </c>
      <c r="D96" s="27">
        <f>Ft!B$3*EXP(Ft!B$38*($A96-Ft!B$2)^2) +Ft!C$3*EXP(Ft!C$38*($A96-Ft!C$2)^2) + Ft!D$3*EXP(Ft!D$38*($A96-Ft!D$2)^2)+Ft!E$3*EXP(Ft!E$38*($A96-Ft!E$2)^2) +Ft!F$3*EXP(Ft!F$38*($A96-Ft!F$2)^2) + Ft!G$3*EXP(Ft!G$38*($A96-Ft!G$2)^2)</f>
        <v>211937.91715460713</v>
      </c>
      <c r="E96" s="27">
        <f>Ft!B$3*EXP(Ft!B$38*($A96-Ft!B$2)^2)</f>
        <v>-115578.53723610616</v>
      </c>
      <c r="F96" s="27">
        <f>Ft!C$3*EXP(Ft!C$38*($A96-Ft!C$2)^2)</f>
        <v>0</v>
      </c>
      <c r="G96" s="27">
        <f>Ft!D$3*EXP(Ft!D$38*($A96-Ft!D$2)^2)</f>
        <v>164967.77524781335</v>
      </c>
      <c r="H96" s="27">
        <f>Ft!E$3*EXP(Ft!E$38*($A96-Ft!E$2)^2)</f>
        <v>5592.0223519110623</v>
      </c>
      <c r="I96" s="27">
        <f>Ft!F$3*EXP(Ft!F$38*($A96-Ft!F$2)^2)</f>
        <v>156956.65679098887</v>
      </c>
      <c r="J96" s="27">
        <f>Ft!G$3*EXP(Ft!G$38*($A96-Ft!G$2)^2)</f>
        <v>0</v>
      </c>
    </row>
    <row r="97" spans="1:10">
      <c r="A97" s="20">
        <v>95</v>
      </c>
      <c r="B97" s="29">
        <v>9.2632725513311698</v>
      </c>
      <c r="C97" s="28">
        <f ca="1">OFFSET($B97,1*(ROWS(C$2:C97)-1),0)</f>
        <v>27.198130802772084</v>
      </c>
      <c r="D97" s="27">
        <f>Ft!B$3*EXP(Ft!B$38*($A97-Ft!B$2)^2) +Ft!C$3*EXP(Ft!C$38*($A97-Ft!C$2)^2) + Ft!D$3*EXP(Ft!D$38*($A97-Ft!D$2)^2)+Ft!E$3*EXP(Ft!E$38*($A97-Ft!E$2)^2) +Ft!F$3*EXP(Ft!F$38*($A97-Ft!F$2)^2) + Ft!G$3*EXP(Ft!G$38*($A97-Ft!G$2)^2)</f>
        <v>214191.30454972168</v>
      </c>
      <c r="E97" s="27">
        <f>Ft!B$3*EXP(Ft!B$38*($A97-Ft!B$2)^2)</f>
        <v>-115579.88864170926</v>
      </c>
      <c r="F97" s="27">
        <f>Ft!C$3*EXP(Ft!C$38*($A97-Ft!C$2)^2)</f>
        <v>0</v>
      </c>
      <c r="G97" s="27">
        <f>Ft!D$3*EXP(Ft!D$38*($A97-Ft!D$2)^2)</f>
        <v>167827.26129170301</v>
      </c>
      <c r="H97" s="27">
        <f>Ft!E$3*EXP(Ft!E$38*($A97-Ft!E$2)^2)</f>
        <v>5326.1929227009805</v>
      </c>
      <c r="I97" s="27">
        <f>Ft!F$3*EXP(Ft!F$38*($A97-Ft!F$2)^2)</f>
        <v>156617.73897702695</v>
      </c>
      <c r="J97" s="27">
        <f>Ft!G$3*EXP(Ft!G$38*($A97-Ft!G$2)^2)</f>
        <v>0</v>
      </c>
    </row>
    <row r="98" spans="1:10">
      <c r="A98" s="20">
        <v>96</v>
      </c>
      <c r="B98" s="29">
        <v>9.4320488532431455</v>
      </c>
      <c r="C98" s="28">
        <f ca="1">OFFSET($B98,1*(ROWS(C$2:C98)-1),0)</f>
        <v>27.641328953002471</v>
      </c>
      <c r="D98" s="27">
        <f>Ft!B$3*EXP(Ft!B$38*($A98-Ft!B$2)^2) +Ft!C$3*EXP(Ft!C$38*($A98-Ft!C$2)^2) + Ft!D$3*EXP(Ft!D$38*($A98-Ft!D$2)^2)+Ft!E$3*EXP(Ft!E$38*($A98-Ft!E$2)^2) +Ft!F$3*EXP(Ft!F$38*($A98-Ft!F$2)^2) + Ft!G$3*EXP(Ft!G$38*($A98-Ft!G$2)^2)</f>
        <v>216443.59337943135</v>
      </c>
      <c r="E98" s="27">
        <f>Ft!B$3*EXP(Ft!B$38*($A98-Ft!B$2)^2)</f>
        <v>-115581.23952884266</v>
      </c>
      <c r="F98" s="27">
        <f>Ft!C$3*EXP(Ft!C$38*($A98-Ft!C$2)^2)</f>
        <v>0</v>
      </c>
      <c r="G98" s="27">
        <f>Ft!D$3*EXP(Ft!D$38*($A98-Ft!D$2)^2)</f>
        <v>170716.21299031237</v>
      </c>
      <c r="H98" s="27">
        <f>Ft!E$3*EXP(Ft!E$38*($A98-Ft!E$2)^2)</f>
        <v>5069.9414108320143</v>
      </c>
      <c r="I98" s="27">
        <f>Ft!F$3*EXP(Ft!F$38*($A98-Ft!F$2)^2)</f>
        <v>156238.67850712963</v>
      </c>
      <c r="J98" s="27">
        <f>Ft!G$3*EXP(Ft!G$38*($A98-Ft!G$2)^2)</f>
        <v>0</v>
      </c>
    </row>
    <row r="99" spans="1:10">
      <c r="A99" s="20">
        <v>97</v>
      </c>
      <c r="B99" s="29">
        <v>9.6051338966068158</v>
      </c>
      <c r="C99" s="28">
        <f ca="1">OFFSET($B99,1*(ROWS(C$2:C99)-1),0)</f>
        <v>28.066420625154336</v>
      </c>
      <c r="D99" s="27">
        <f>Ft!B$3*EXP(Ft!B$38*($A99-Ft!B$2)^2) +Ft!C$3*EXP(Ft!C$38*($A99-Ft!C$2)^2) + Ft!D$3*EXP(Ft!D$38*($A99-Ft!D$2)^2)+Ft!E$3*EXP(Ft!E$38*($A99-Ft!E$2)^2) +Ft!F$3*EXP(Ft!F$38*($A99-Ft!F$2)^2) + Ft!G$3*EXP(Ft!G$38*($A99-Ft!G$2)^2)</f>
        <v>218694.74080068865</v>
      </c>
      <c r="E99" s="27">
        <f>Ft!B$3*EXP(Ft!B$38*($A99-Ft!B$2)^2)</f>
        <v>-115582.58989748787</v>
      </c>
      <c r="F99" s="27">
        <f>Ft!C$3*EXP(Ft!C$38*($A99-Ft!C$2)^2)</f>
        <v>0</v>
      </c>
      <c r="G99" s="27">
        <f>Ft!D$3*EXP(Ft!D$38*($A99-Ft!D$2)^2)</f>
        <v>173634.45151586714</v>
      </c>
      <c r="H99" s="27">
        <f>Ft!E$3*EXP(Ft!E$38*($A99-Ft!E$2)^2)</f>
        <v>4823.1085996344545</v>
      </c>
      <c r="I99" s="27">
        <f>Ft!F$3*EXP(Ft!F$38*($A99-Ft!F$2)^2)</f>
        <v>155819.77058267492</v>
      </c>
      <c r="J99" s="27">
        <f>Ft!G$3*EXP(Ft!G$38*($A99-Ft!G$2)^2)</f>
        <v>0</v>
      </c>
    </row>
    <row r="100" spans="1:10">
      <c r="A100" s="20">
        <v>98</v>
      </c>
      <c r="B100" s="29">
        <v>9.7876246534981419</v>
      </c>
      <c r="C100" s="28">
        <f ca="1">OFFSET($B100,1*(ROWS(C$2:C100)-1),0)</f>
        <v>28.511654506547842</v>
      </c>
      <c r="D100" s="27">
        <f>Ft!B$3*EXP(Ft!B$38*($A100-Ft!B$2)^2) +Ft!C$3*EXP(Ft!C$38*($A100-Ft!C$2)^2) + Ft!D$3*EXP(Ft!D$38*($A100-Ft!D$2)^2)+Ft!E$3*EXP(Ft!E$38*($A100-Ft!E$2)^2) +Ft!F$3*EXP(Ft!F$38*($A100-Ft!F$2)^2) + Ft!G$3*EXP(Ft!G$38*($A100-Ft!G$2)^2)</f>
        <v>220944.71202739188</v>
      </c>
      <c r="E100" s="27">
        <f>Ft!B$3*EXP(Ft!B$38*($A100-Ft!B$2)^2)</f>
        <v>-115583.93974762633</v>
      </c>
      <c r="F100" s="27">
        <f>Ft!C$3*EXP(Ft!C$38*($A100-Ft!C$2)^2)</f>
        <v>0</v>
      </c>
      <c r="G100" s="27">
        <f>Ft!D$3*EXP(Ft!D$38*($A100-Ft!D$2)^2)</f>
        <v>176581.78454154759</v>
      </c>
      <c r="H100" s="27">
        <f>Ft!E$3*EXP(Ft!E$38*($A100-Ft!E$2)^2)</f>
        <v>4585.5263559644745</v>
      </c>
      <c r="I100" s="27">
        <f>Ft!F$3*EXP(Ft!F$38*($A100-Ft!F$2)^2)</f>
        <v>155361.34087750613</v>
      </c>
      <c r="J100" s="27">
        <f>Ft!G$3*EXP(Ft!G$38*($A100-Ft!G$2)^2)</f>
        <v>0</v>
      </c>
    </row>
    <row r="101" spans="1:10">
      <c r="A101" s="20">
        <v>99</v>
      </c>
      <c r="B101" s="29">
        <v>9.942575092701702</v>
      </c>
      <c r="C101" s="28">
        <f ca="1">OFFSET($B101,1*(ROWS(C$2:C101)-1),0)</f>
        <v>28.999358702288845</v>
      </c>
      <c r="D101" s="27">
        <f>Ft!B$3*EXP(Ft!B$38*($A101-Ft!B$2)^2) +Ft!C$3*EXP(Ft!C$38*($A101-Ft!C$2)^2) + Ft!D$3*EXP(Ft!D$38*($A101-Ft!D$2)^2)+Ft!E$3*EXP(Ft!E$38*($A101-Ft!E$2)^2) +Ft!F$3*EXP(Ft!F$38*($A101-Ft!F$2)^2) + Ft!G$3*EXP(Ft!G$38*($A101-Ft!G$2)^2)</f>
        <v>223193.48059856729</v>
      </c>
      <c r="E101" s="27">
        <f>Ft!B$3*EXP(Ft!B$38*($A101-Ft!B$2)^2)</f>
        <v>-115585.28907923948</v>
      </c>
      <c r="F101" s="27">
        <f>Ft!C$3*EXP(Ft!C$38*($A101-Ft!C$2)^2)</f>
        <v>0</v>
      </c>
      <c r="G101" s="27">
        <f>Ft!D$3*EXP(Ft!D$38*($A101-Ft!D$2)^2)</f>
        <v>179558.0061020772</v>
      </c>
      <c r="H101" s="27">
        <f>Ft!E$3*EXP(Ft!E$38*($A101-Ft!E$2)^2)</f>
        <v>4357.0184597305679</v>
      </c>
      <c r="I101" s="27">
        <f>Ft!F$3*EXP(Ft!F$38*($A101-Ft!F$2)^2)</f>
        <v>154863.74511599902</v>
      </c>
      <c r="J101" s="27">
        <f>Ft!G$3*EXP(Ft!G$38*($A101-Ft!G$2)^2)</f>
        <v>0</v>
      </c>
    </row>
    <row r="102" spans="1:10">
      <c r="A102" s="20">
        <v>100</v>
      </c>
      <c r="B102" s="29">
        <v>10.099000759053354</v>
      </c>
      <c r="C102" s="28">
        <f ca="1">OFFSET($B102,1*(ROWS(C$2:C102)-1),0)</f>
        <v>29.466522888956916</v>
      </c>
      <c r="D102" s="27">
        <f>Ft!B$3*EXP(Ft!B$38*($A102-Ft!B$2)^2) +Ft!C$3*EXP(Ft!C$38*($A102-Ft!C$2)^2) + Ft!D$3*EXP(Ft!D$38*($A102-Ft!D$2)^2)+Ft!E$3*EXP(Ft!E$38*($A102-Ft!E$2)^2) +Ft!F$3*EXP(Ft!F$38*($A102-Ft!F$2)^2) + Ft!G$3*EXP(Ft!G$38*($A102-Ft!G$2)^2)</f>
        <v>225441.02859738027</v>
      </c>
      <c r="E102" s="27">
        <f>Ft!B$3*EXP(Ft!B$38*($A102-Ft!B$2)^2)</f>
        <v>-115586.63789230882</v>
      </c>
      <c r="F102" s="27">
        <f>Ft!C$3*EXP(Ft!C$38*($A102-Ft!C$2)^2)</f>
        <v>0</v>
      </c>
      <c r="G102" s="27">
        <f>Ft!D$3*EXP(Ft!D$38*($A102-Ft!D$2)^2)</f>
        <v>182562.89646003346</v>
      </c>
      <c r="H102" s="27">
        <f>Ft!E$3*EXP(Ft!E$38*($A102-Ft!E$2)^2)</f>
        <v>4137.4014165793078</v>
      </c>
      <c r="I102" s="27">
        <f>Ft!F$3*EXP(Ft!F$38*($A102-Ft!F$2)^2)</f>
        <v>154327.36861307634</v>
      </c>
      <c r="J102" s="27">
        <f>Ft!G$3*EXP(Ft!G$38*($A102-Ft!G$2)^2)</f>
        <v>0</v>
      </c>
    </row>
    <row r="103" spans="1:10">
      <c r="A103" s="20">
        <v>101</v>
      </c>
      <c r="B103" s="29">
        <v>10.273225602924725</v>
      </c>
      <c r="C103" s="28">
        <f ca="1">OFFSET($B103,1*(ROWS(C$2:C103)-1),0)</f>
        <v>29.900043858489028</v>
      </c>
      <c r="D103" s="27">
        <f>Ft!B$3*EXP(Ft!B$38*($A103-Ft!B$2)^2) +Ft!C$3*EXP(Ft!C$38*($A103-Ft!C$2)^2) + Ft!D$3*EXP(Ft!D$38*($A103-Ft!D$2)^2)+Ft!E$3*EXP(Ft!E$38*($A103-Ft!E$2)^2) +Ft!F$3*EXP(Ft!F$38*($A103-Ft!F$2)^2) + Ft!G$3*EXP(Ft!G$38*($A103-Ft!G$2)^2)</f>
        <v>227687.34681996127</v>
      </c>
      <c r="E103" s="27">
        <f>Ft!B$3*EXP(Ft!B$38*($A103-Ft!B$2)^2)</f>
        <v>-115587.98618681582</v>
      </c>
      <c r="F103" s="27">
        <f>Ft!C$3*EXP(Ft!C$38*($A103-Ft!C$2)^2)</f>
        <v>0</v>
      </c>
      <c r="G103" s="27">
        <f>Ft!D$3*EXP(Ft!D$38*($A103-Ft!D$2)^2)</f>
        <v>185596.221978071</v>
      </c>
      <c r="H103" s="27">
        <f>Ft!E$3*EXP(Ft!E$38*($A103-Ft!E$2)^2)</f>
        <v>3926.4852517035865</v>
      </c>
      <c r="I103" s="27">
        <f>Ft!F$3*EXP(Ft!F$38*($A103-Ft!F$2)^2)</f>
        <v>153752.62577700251</v>
      </c>
      <c r="J103" s="27">
        <f>Ft!G$3*EXP(Ft!G$38*($A103-Ft!G$2)^2)</f>
        <v>0</v>
      </c>
    </row>
    <row r="104" spans="1:10">
      <c r="A104" s="20">
        <v>102</v>
      </c>
      <c r="B104" s="29">
        <v>10.439505247681268</v>
      </c>
      <c r="C104" s="28">
        <f ca="1">OFFSET($B104,1*(ROWS(C$2:C104)-1),0)</f>
        <v>30.344535046934908</v>
      </c>
      <c r="D104" s="27">
        <f>Ft!B$3*EXP(Ft!B$38*($A104-Ft!B$2)^2) +Ft!C$3*EXP(Ft!C$38*($A104-Ft!C$2)^2) + Ft!D$3*EXP(Ft!D$38*($A104-Ft!D$2)^2)+Ft!E$3*EXP(Ft!E$38*($A104-Ft!E$2)^2) +Ft!F$3*EXP(Ft!F$38*($A104-Ft!F$2)^2) + Ft!G$3*EXP(Ft!G$38*($A104-Ft!G$2)^2)</f>
        <v>229932.43489327887</v>
      </c>
      <c r="E104" s="27">
        <f>Ft!B$3*EXP(Ft!B$38*($A104-Ft!B$2)^2)</f>
        <v>-115589.33396274196</v>
      </c>
      <c r="F104" s="27">
        <f>Ft!C$3*EXP(Ft!C$38*($A104-Ft!C$2)^2)</f>
        <v>0</v>
      </c>
      <c r="G104" s="27">
        <f>Ft!D$3*EXP(Ft!D$38*($A104-Ft!D$2)^2)</f>
        <v>188657.73499724909</v>
      </c>
      <c r="H104" s="27">
        <f>Ft!E$3*EXP(Ft!E$38*($A104-Ft!E$2)^2)</f>
        <v>3724.0742829150254</v>
      </c>
      <c r="I104" s="27">
        <f>Ft!F$3*EXP(Ft!F$38*($A104-Ft!F$2)^2)</f>
        <v>153139.95957585672</v>
      </c>
      <c r="J104" s="27">
        <f>Ft!G$3*EXP(Ft!G$38*($A104-Ft!G$2)^2)</f>
        <v>0</v>
      </c>
    </row>
    <row r="105" spans="1:10">
      <c r="A105" s="20">
        <v>103</v>
      </c>
      <c r="B105" s="29">
        <v>10.619584116897244</v>
      </c>
      <c r="C105" s="28">
        <f ca="1">OFFSET($B105,1*(ROWS(C$2:C105)-1),0)</f>
        <v>30.843894465265123</v>
      </c>
      <c r="D105" s="27">
        <f>Ft!B$3*EXP(Ft!B$38*($A105-Ft!B$2)^2) +Ft!C$3*EXP(Ft!C$38*($A105-Ft!C$2)^2) + Ft!D$3*EXP(Ft!D$38*($A105-Ft!D$2)^2)+Ft!E$3*EXP(Ft!E$38*($A105-Ft!E$2)^2) +Ft!F$3*EXP(Ft!F$38*($A105-Ft!F$2)^2) + Ft!G$3*EXP(Ft!G$38*($A105-Ft!G$2)^2)</f>
        <v>232176.30134152932</v>
      </c>
      <c r="E105" s="27">
        <f>Ft!B$3*EXP(Ft!B$38*($A105-Ft!B$2)^2)</f>
        <v>-115590.68122006876</v>
      </c>
      <c r="F105" s="27">
        <f>Ft!C$3*EXP(Ft!C$38*($A105-Ft!C$2)^2)</f>
        <v>0</v>
      </c>
      <c r="G105" s="27">
        <f>Ft!D$3*EXP(Ft!D$38*($A105-Ft!D$2)^2)</f>
        <v>191747.17372165175</v>
      </c>
      <c r="H105" s="27">
        <f>Ft!E$3*EXP(Ft!E$38*($A105-Ft!E$2)^2)</f>
        <v>3529.967871300657</v>
      </c>
      <c r="I105" s="27">
        <f>Ft!F$3*EXP(Ft!F$38*($A105-Ft!F$2)^2)</f>
        <v>152489.84096864567</v>
      </c>
      <c r="J105" s="27">
        <f>Ft!G$3*EXP(Ft!G$38*($A105-Ft!G$2)^2)</f>
        <v>0</v>
      </c>
    </row>
    <row r="106" spans="1:10">
      <c r="A106" s="20">
        <v>104</v>
      </c>
      <c r="B106" s="29">
        <v>10.802473385059983</v>
      </c>
      <c r="C106" s="28">
        <f ca="1">OFFSET($B106,1*(ROWS(C$2:C106)-1),0)</f>
        <v>31.294135625455283</v>
      </c>
      <c r="D106" s="27">
        <f>Ft!B$3*EXP(Ft!B$38*($A106-Ft!B$2)^2) +Ft!C$3*EXP(Ft!C$38*($A106-Ft!C$2)^2) + Ft!D$3*EXP(Ft!D$38*($A106-Ft!D$2)^2)+Ft!E$3*EXP(Ft!E$38*($A106-Ft!E$2)^2) +Ft!F$3*EXP(Ft!F$38*($A106-Ft!F$2)^2) + Ft!G$3*EXP(Ft!G$38*($A106-Ft!G$2)^2)</f>
        <v>234418.9636007495</v>
      </c>
      <c r="E106" s="27">
        <f>Ft!B$3*EXP(Ft!B$38*($A106-Ft!B$2)^2)</f>
        <v>-115592.02795877767</v>
      </c>
      <c r="F106" s="27">
        <f>Ft!C$3*EXP(Ft!C$38*($A106-Ft!C$2)^2)</f>
        <v>0</v>
      </c>
      <c r="G106" s="27">
        <f>Ft!D$3*EXP(Ft!D$38*($A106-Ft!D$2)^2)</f>
        <v>194864.26210948746</v>
      </c>
      <c r="H106" s="27">
        <f>Ft!E$3*EXP(Ft!E$38*($A106-Ft!E$2)^2)</f>
        <v>3343.9611479611722</v>
      </c>
      <c r="I106" s="27">
        <f>Ft!F$3*EXP(Ft!F$38*($A106-Ft!F$2)^2)</f>
        <v>151802.76830207853</v>
      </c>
      <c r="J106" s="27">
        <f>Ft!G$3*EXP(Ft!G$38*($A106-Ft!G$2)^2)</f>
        <v>0</v>
      </c>
    </row>
    <row r="107" spans="1:10">
      <c r="A107" s="20">
        <v>105</v>
      </c>
      <c r="B107" s="29">
        <v>10.969696392148194</v>
      </c>
      <c r="C107" s="28">
        <f ca="1">OFFSET($B107,1*(ROWS(C$2:C107)-1),0)</f>
        <v>31.781898328716949</v>
      </c>
      <c r="D107" s="27">
        <f>Ft!B$3*EXP(Ft!B$38*($A107-Ft!B$2)^2) +Ft!C$3*EXP(Ft!C$38*($A107-Ft!C$2)^2) + Ft!D$3*EXP(Ft!D$38*($A107-Ft!D$2)^2)+Ft!E$3*EXP(Ft!E$38*($A107-Ft!E$2)^2) +Ft!F$3*EXP(Ft!F$38*($A107-Ft!F$2)^2) + Ft!G$3*EXP(Ft!G$38*($A107-Ft!G$2)^2)</f>
        <v>236660.44798159142</v>
      </c>
      <c r="E107" s="27">
        <f>Ft!B$3*EXP(Ft!B$38*($A107-Ft!B$2)^2)</f>
        <v>-115593.37417885025</v>
      </c>
      <c r="F107" s="27">
        <f>Ft!C$3*EXP(Ft!C$38*($A107-Ft!C$2)^2)</f>
        <v>0</v>
      </c>
      <c r="G107" s="27">
        <f>Ft!D$3*EXP(Ft!D$38*($A107-Ft!D$2)^2)</f>
        <v>198008.70977085241</v>
      </c>
      <c r="H107" s="27">
        <f>Ft!E$3*EXP(Ft!E$38*($A107-Ft!E$2)^2)</f>
        <v>3165.8457155034303</v>
      </c>
      <c r="I107" s="27">
        <f>Ft!F$3*EXP(Ft!F$38*($A107-Ft!F$2)^2)</f>
        <v>151079.26667408584</v>
      </c>
      <c r="J107" s="27">
        <f>Ft!G$3*EXP(Ft!G$38*($A107-Ft!G$2)^2)</f>
        <v>0</v>
      </c>
    </row>
    <row r="108" spans="1:10">
      <c r="A108" s="20">
        <v>106</v>
      </c>
      <c r="B108" s="29">
        <v>11.163340480703027</v>
      </c>
      <c r="C108" s="28">
        <f ca="1">OFFSET($B108,1*(ROWS(C$2:C108)-1),0)</f>
        <v>32.256779118562747</v>
      </c>
      <c r="D108" s="27">
        <f>Ft!B$3*EXP(Ft!B$38*($A108-Ft!B$2)^2) +Ft!C$3*EXP(Ft!C$38*($A108-Ft!C$2)^2) + Ft!D$3*EXP(Ft!D$38*($A108-Ft!D$2)^2)+Ft!E$3*EXP(Ft!E$38*($A108-Ft!E$2)^2) +Ft!F$3*EXP(Ft!F$38*($A108-Ft!F$2)^2) + Ft!G$3*EXP(Ft!G$38*($A108-Ft!G$2)^2)</f>
        <v>238900.78958042394</v>
      </c>
      <c r="E108" s="27">
        <f>Ft!B$3*EXP(Ft!B$38*($A108-Ft!B$2)^2)</f>
        <v>-115594.71988026798</v>
      </c>
      <c r="F108" s="27">
        <f>Ft!C$3*EXP(Ft!C$38*($A108-Ft!C$2)^2)</f>
        <v>0</v>
      </c>
      <c r="G108" s="27">
        <f>Ft!D$3*EXP(Ft!D$38*($A108-Ft!D$2)^2)</f>
        <v>201180.21187233963</v>
      </c>
      <c r="H108" s="27">
        <f>Ft!E$3*EXP(Ft!E$38*($A108-Ft!E$2)^2)</f>
        <v>2995.4103231323884</v>
      </c>
      <c r="I108" s="27">
        <f>Ft!F$3*EXP(Ft!F$38*($A108-Ft!F$2)^2)</f>
        <v>150319.88726521991</v>
      </c>
      <c r="J108" s="27">
        <f>Ft!G$3*EXP(Ft!G$38*($A108-Ft!G$2)^2)</f>
        <v>0</v>
      </c>
    </row>
    <row r="109" spans="1:10">
      <c r="A109" s="20">
        <v>107</v>
      </c>
      <c r="B109" s="29">
        <v>11.332259808034649</v>
      </c>
      <c r="C109" s="28">
        <f ca="1">OFFSET($B109,1*(ROWS(C$2:C109)-1),0)</f>
        <v>32.740730746427261</v>
      </c>
      <c r="D109" s="27">
        <f>Ft!B$3*EXP(Ft!B$38*($A109-Ft!B$2)^2) +Ft!C$3*EXP(Ft!C$38*($A109-Ft!C$2)^2) + Ft!D$3*EXP(Ft!D$38*($A109-Ft!D$2)^2)+Ft!E$3*EXP(Ft!E$38*($A109-Ft!E$2)^2) +Ft!F$3*EXP(Ft!F$38*($A109-Ft!F$2)^2) + Ft!G$3*EXP(Ft!G$38*($A109-Ft!G$2)^2)</f>
        <v>241140.03213914513</v>
      </c>
      <c r="E109" s="27">
        <f>Ft!B$3*EXP(Ft!B$38*($A109-Ft!B$2)^2)</f>
        <v>-115596.06506301239</v>
      </c>
      <c r="F109" s="27">
        <f>Ft!C$3*EXP(Ft!C$38*($A109-Ft!C$2)^2)</f>
        <v>0</v>
      </c>
      <c r="G109" s="27">
        <f>Ft!D$3*EXP(Ft!D$38*($A109-Ft!D$2)^2)</f>
        <v>204378.44904867333</v>
      </c>
      <c r="H109" s="27">
        <f>Ft!E$3*EXP(Ft!E$38*($A109-Ft!E$2)^2)</f>
        <v>2832.4415143565552</v>
      </c>
      <c r="I109" s="27">
        <f>Ft!F$3*EXP(Ft!F$38*($A109-Ft!F$2)^2)</f>
        <v>149525.20663912763</v>
      </c>
      <c r="J109" s="27">
        <f>Ft!G$3*EXP(Ft!G$38*($A109-Ft!G$2)^2)</f>
        <v>0</v>
      </c>
    </row>
    <row r="110" spans="1:10">
      <c r="A110" s="20">
        <v>108</v>
      </c>
      <c r="B110" s="29">
        <v>11.52182957950356</v>
      </c>
      <c r="C110" s="28">
        <f ca="1">OFFSET($B110,1*(ROWS(C$2:C110)-1),0)</f>
        <v>33.230181546578848</v>
      </c>
      <c r="D110" s="27">
        <f>Ft!B$3*EXP(Ft!B$38*($A110-Ft!B$2)^2) +Ft!C$3*EXP(Ft!C$38*($A110-Ft!C$2)^2) + Ft!D$3*EXP(Ft!D$38*($A110-Ft!D$2)^2)+Ft!E$3*EXP(Ft!E$38*($A110-Ft!E$2)^2) +Ft!F$3*EXP(Ft!F$38*($A110-Ft!F$2)^2) + Ft!G$3*EXP(Ft!G$38*($A110-Ft!G$2)^2)</f>
        <v>243378.22785430399</v>
      </c>
      <c r="E110" s="27">
        <f>Ft!B$3*EXP(Ft!B$38*($A110-Ft!B$2)^2)</f>
        <v>-115597.40972706502</v>
      </c>
      <c r="F110" s="27">
        <f>Ft!C$3*EXP(Ft!C$38*($A110-Ft!C$2)^2)</f>
        <v>0</v>
      </c>
      <c r="G110" s="27">
        <f>Ft!D$3*EXP(Ft!D$38*($A110-Ft!D$2)^2)</f>
        <v>207603.08732154401</v>
      </c>
      <c r="H110" s="27">
        <f>Ft!E$3*EXP(Ft!E$38*($A110-Ft!E$2)^2)</f>
        <v>2676.7242464857268</v>
      </c>
      <c r="I110" s="27">
        <f>Ft!F$3*EXP(Ft!F$38*($A110-Ft!F$2)^2)</f>
        <v>148695.82601333928</v>
      </c>
      <c r="J110" s="27">
        <f>Ft!G$3*EXP(Ft!G$38*($A110-Ft!G$2)^2)</f>
        <v>0</v>
      </c>
    </row>
    <row r="111" spans="1:10">
      <c r="A111" s="20">
        <v>109</v>
      </c>
      <c r="B111" s="29">
        <v>11.712910322262445</v>
      </c>
      <c r="C111" s="28">
        <f ca="1">OFFSET($B111,1*(ROWS(C$2:C111)-1),0)</f>
        <v>33.722828164831469</v>
      </c>
      <c r="D111" s="27">
        <f>Ft!B$3*EXP(Ft!B$38*($A111-Ft!B$2)^2) +Ft!C$3*EXP(Ft!C$38*($A111-Ft!C$2)^2) + Ft!D$3*EXP(Ft!D$38*($A111-Ft!D$2)^2)+Ft!E$3*EXP(Ft!E$38*($A111-Ft!E$2)^2) +Ft!F$3*EXP(Ft!F$38*($A111-Ft!F$2)^2) + Ft!G$3*EXP(Ft!G$38*($A111-Ft!G$2)^2)</f>
        <v>245615.43713633268</v>
      </c>
      <c r="E111" s="27">
        <f>Ft!B$3*EXP(Ft!B$38*($A111-Ft!B$2)^2)</f>
        <v>-115598.75387240738</v>
      </c>
      <c r="F111" s="27">
        <f>Ft!C$3*EXP(Ft!C$38*($A111-Ft!C$2)^2)</f>
        <v>0</v>
      </c>
      <c r="G111" s="27">
        <f>Ft!D$3*EXP(Ft!D$38*($A111-Ft!D$2)^2)</f>
        <v>210853.77802581844</v>
      </c>
      <c r="H111" s="27">
        <f>Ft!E$3*EXP(Ft!E$38*($A111-Ft!E$2)^2)</f>
        <v>2528.0424812595497</v>
      </c>
      <c r="I111" s="27">
        <f>Ft!F$3*EXP(Ft!F$38*($A111-Ft!F$2)^2)</f>
        <v>147832.37050166208</v>
      </c>
      <c r="J111" s="27">
        <f>Ft!G$3*EXP(Ft!G$38*($A111-Ft!G$2)^2)</f>
        <v>0</v>
      </c>
    </row>
    <row r="112" spans="1:10">
      <c r="A112" s="20">
        <v>110</v>
      </c>
      <c r="B112" s="29">
        <v>11.896485039986999</v>
      </c>
      <c r="C112" s="28">
        <f ca="1">OFFSET($B112,1*(ROWS(C$2:C112)-1),0)</f>
        <v>34.225237407233976</v>
      </c>
      <c r="D112" s="27">
        <f>Ft!B$3*EXP(Ft!B$38*($A112-Ft!B$2)^2) +Ft!C$3*EXP(Ft!C$38*($A112-Ft!C$2)^2) + Ft!D$3*EXP(Ft!D$38*($A112-Ft!D$2)^2)+Ft!E$3*EXP(Ft!E$38*($A112-Ft!E$2)^2) +Ft!F$3*EXP(Ft!F$38*($A112-Ft!F$2)^2) + Ft!G$3*EXP(Ft!G$38*($A112-Ft!G$2)^2)</f>
        <v>247851.72831988783</v>
      </c>
      <c r="E112" s="27">
        <f>Ft!B$3*EXP(Ft!B$38*($A112-Ft!B$2)^2)</f>
        <v>-115600.09749902104</v>
      </c>
      <c r="F112" s="27">
        <f>Ft!C$3*EXP(Ft!C$38*($A112-Ft!C$2)^2)</f>
        <v>0</v>
      </c>
      <c r="G112" s="27">
        <f>Ft!D$3*EXP(Ft!D$38*($A112-Ft!D$2)^2)</f>
        <v>214130.1577432933</v>
      </c>
      <c r="H112" s="27">
        <f>Ft!E$3*EXP(Ft!E$38*($A112-Ft!E$2)^2)</f>
        <v>2386.1797460996791</v>
      </c>
      <c r="I112" s="27">
        <f>Ft!F$3*EXP(Ft!F$38*($A112-Ft!F$2)^2)</f>
        <v>146935.48832951588</v>
      </c>
      <c r="J112" s="27">
        <f>Ft!G$3*EXP(Ft!G$38*($A112-Ft!G$2)^2)</f>
        <v>0</v>
      </c>
    </row>
    <row r="113" spans="1:10">
      <c r="A113" s="20">
        <v>111</v>
      </c>
      <c r="B113" s="29">
        <v>12.052797268720155</v>
      </c>
      <c r="C113" s="28">
        <f ca="1">OFFSET($B113,1*(ROWS(C$2:C113)-1),0)</f>
        <v>34.815680286828268</v>
      </c>
      <c r="D113" s="27">
        <f>Ft!B$3*EXP(Ft!B$38*($A113-Ft!B$2)^2) +Ft!C$3*EXP(Ft!C$38*($A113-Ft!C$2)^2) + Ft!D$3*EXP(Ft!D$38*($A113-Ft!D$2)^2)+Ft!E$3*EXP(Ft!E$38*($A113-Ft!E$2)^2) +Ft!F$3*EXP(Ft!F$38*($A113-Ft!F$2)^2) + Ft!G$3*EXP(Ft!G$38*($A113-Ft!G$2)^2)</f>
        <v>250087.17732648627</v>
      </c>
      <c r="E113" s="27">
        <f>Ft!B$3*EXP(Ft!B$38*($A113-Ft!B$2)^2)</f>
        <v>-115601.44060688754</v>
      </c>
      <c r="F113" s="27">
        <f>Ft!C$3*EXP(Ft!C$38*($A113-Ft!C$2)^2)</f>
        <v>0</v>
      </c>
      <c r="G113" s="27">
        <f>Ft!D$3*EXP(Ft!D$38*($A113-Ft!D$2)^2)</f>
        <v>217431.84824415963</v>
      </c>
      <c r="H113" s="27">
        <f>Ft!E$3*EXP(Ft!E$38*($A113-Ft!E$2)^2)</f>
        <v>2250.9196656265667</v>
      </c>
      <c r="I113" s="27">
        <f>Ft!F$3*EXP(Ft!F$38*($A113-Ft!F$2)^2)</f>
        <v>146005.85002358761</v>
      </c>
      <c r="J113" s="27">
        <f>Ft!G$3*EXP(Ft!G$38*($A113-Ft!G$2)^2)</f>
        <v>0</v>
      </c>
    </row>
    <row r="114" spans="1:10">
      <c r="A114" s="20">
        <v>112</v>
      </c>
      <c r="B114" s="29">
        <v>12.230686157111478</v>
      </c>
      <c r="C114" s="28">
        <f ca="1">OFFSET($B114,1*(ROWS(C$2:C114)-1),0)</f>
        <v>35.381788283027902</v>
      </c>
      <c r="D114" s="27">
        <f>Ft!B$3*EXP(Ft!B$38*($A114-Ft!B$2)^2) +Ft!C$3*EXP(Ft!C$38*($A114-Ft!C$2)^2) + Ft!D$3*EXP(Ft!D$38*($A114-Ft!D$2)^2)+Ft!E$3*EXP(Ft!E$38*($A114-Ft!E$2)^2) +Ft!F$3*EXP(Ft!F$38*($A114-Ft!F$2)^2) + Ft!G$3*EXP(Ft!G$38*($A114-Ft!G$2)^2)</f>
        <v>252321.86728079611</v>
      </c>
      <c r="E114" s="27">
        <f>Ft!B$3*EXP(Ft!B$38*($A114-Ft!B$2)^2)</f>
        <v>-115602.78319598841</v>
      </c>
      <c r="F114" s="27">
        <f>Ft!C$3*EXP(Ft!C$38*($A114-Ft!C$2)^2)</f>
        <v>0</v>
      </c>
      <c r="G114" s="27">
        <f>Ft!D$3*EXP(Ft!D$38*($A114-Ft!D$2)^2)</f>
        <v>220758.45643633907</v>
      </c>
      <c r="H114" s="27">
        <f>Ft!E$3*EXP(Ft!E$38*($A114-Ft!E$2)^2)</f>
        <v>2122.0464632237026</v>
      </c>
      <c r="I114" s="27">
        <f>Ft!F$3*EXP(Ft!F$38*($A114-Ft!F$2)^2)</f>
        <v>145044.14757722174</v>
      </c>
      <c r="J114" s="27">
        <f>Ft!G$3*EXP(Ft!G$38*($A114-Ft!G$2)^2)</f>
        <v>0</v>
      </c>
    </row>
    <row r="115" spans="1:10">
      <c r="A115" s="20">
        <v>113</v>
      </c>
      <c r="B115" s="29">
        <v>12.409584681204421</v>
      </c>
      <c r="C115" s="28">
        <f ca="1">OFFSET($B115,1*(ROWS(C$2:C115)-1),0)</f>
        <v>35.9312302595755</v>
      </c>
      <c r="D115" s="27">
        <f>Ft!B$3*EXP(Ft!B$38*($A115-Ft!B$2)^2) +Ft!C$3*EXP(Ft!C$38*($A115-Ft!C$2)^2) + Ft!D$3*EXP(Ft!D$38*($A115-Ft!D$2)^2)+Ft!E$3*EXP(Ft!E$38*($A115-Ft!E$2)^2) +Ft!F$3*EXP(Ft!F$38*($A115-Ft!F$2)^2) + Ft!G$3*EXP(Ft!G$38*($A115-Ft!G$2)^2)</f>
        <v>254555.88808211399</v>
      </c>
      <c r="E115" s="27">
        <f>Ft!B$3*EXP(Ft!B$38*($A115-Ft!B$2)^2)</f>
        <v>-115604.12526630524</v>
      </c>
      <c r="F115" s="27">
        <f>Ft!C$3*EXP(Ft!C$38*($A115-Ft!C$2)^2)</f>
        <v>0</v>
      </c>
      <c r="G115" s="27">
        <f>Ft!D$3*EXP(Ft!D$38*($A115-Ft!D$2)^2)</f>
        <v>224109.57432285234</v>
      </c>
      <c r="H115" s="27">
        <f>Ft!E$3*EXP(Ft!E$38*($A115-Ft!E$2)^2)</f>
        <v>1999.3454325670252</v>
      </c>
      <c r="I115" s="27">
        <f>Ft!F$3*EXP(Ft!F$38*($A115-Ft!F$2)^2)</f>
        <v>144051.09359299988</v>
      </c>
      <c r="J115" s="27">
        <f>Ft!G$3*EXP(Ft!G$38*($A115-Ft!G$2)^2)</f>
        <v>0</v>
      </c>
    </row>
    <row r="116" spans="1:10">
      <c r="A116" s="20">
        <v>114</v>
      </c>
      <c r="B116" s="29">
        <v>12.610685455559974</v>
      </c>
      <c r="C116" s="28">
        <f ca="1">OFFSET($B116,1*(ROWS(C$2:C116)-1),0)</f>
        <v>36.494787646648575</v>
      </c>
      <c r="D116" s="27">
        <f>Ft!B$3*EXP(Ft!B$38*($A116-Ft!B$2)^2) +Ft!C$3*EXP(Ft!C$38*($A116-Ft!C$2)^2) + Ft!D$3*EXP(Ft!D$38*($A116-Ft!D$2)^2)+Ft!E$3*EXP(Ft!E$38*($A116-Ft!E$2)^2) +Ft!F$3*EXP(Ft!F$38*($A116-Ft!F$2)^2) + Ft!G$3*EXP(Ft!G$38*($A116-Ft!G$2)^2)</f>
        <v>256789.3359327114</v>
      </c>
      <c r="E116" s="27">
        <f>Ft!B$3*EXP(Ft!B$38*($A116-Ft!B$2)^2)</f>
        <v>-115605.46681781962</v>
      </c>
      <c r="F116" s="27">
        <f>Ft!C$3*EXP(Ft!C$38*($A116-Ft!C$2)^2)</f>
        <v>0</v>
      </c>
      <c r="G116" s="27">
        <f>Ft!D$3*EXP(Ft!D$38*($A116-Ft!D$2)^2)</f>
        <v>227484.77896737194</v>
      </c>
      <c r="H116" s="27">
        <f>Ft!E$3*EXP(Ft!E$38*($A116-Ft!E$2)^2)</f>
        <v>1882.6033791650352</v>
      </c>
      <c r="I116" s="27">
        <f>Ft!F$3*EXP(Ft!F$38*($A116-Ft!F$2)^2)</f>
        <v>143027.42040399404</v>
      </c>
      <c r="J116" s="27">
        <f>Ft!G$3*EXP(Ft!G$38*($A116-Ft!G$2)^2)</f>
        <v>0</v>
      </c>
    </row>
    <row r="117" spans="1:10">
      <c r="A117" s="20">
        <v>115</v>
      </c>
      <c r="B117" s="29">
        <v>12.778784954560876</v>
      </c>
      <c r="C117" s="28">
        <f ca="1">OFFSET($B117,1*(ROWS(C$2:C117)-1),0)</f>
        <v>37.062424050000743</v>
      </c>
      <c r="D117" s="27">
        <f>Ft!B$3*EXP(Ft!B$38*($A117-Ft!B$2)^2) +Ft!C$3*EXP(Ft!C$38*($A117-Ft!C$2)^2) + Ft!D$3*EXP(Ft!D$38*($A117-Ft!D$2)^2)+Ft!E$3*EXP(Ft!E$38*($A117-Ft!E$2)^2) +Ft!F$3*EXP(Ft!F$38*($A117-Ft!F$2)^2) + Ft!G$3*EXP(Ft!G$38*($A117-Ft!G$2)^2)</f>
        <v>259022.31282488204</v>
      </c>
      <c r="E117" s="27">
        <f>Ft!B$3*EXP(Ft!B$38*($A117-Ft!B$2)^2)</f>
        <v>-115606.80785051307</v>
      </c>
      <c r="F117" s="27">
        <f>Ft!C$3*EXP(Ft!C$38*($A117-Ft!C$2)^2)</f>
        <v>0</v>
      </c>
      <c r="G117" s="27">
        <f>Ft!D$3*EXP(Ft!D$38*($A117-Ft!D$2)^2)</f>
        <v>230883.63246811042</v>
      </c>
      <c r="H117" s="27">
        <f>Ft!E$3*EXP(Ft!E$38*($A117-Ft!E$2)^2)</f>
        <v>1771.6090320753374</v>
      </c>
      <c r="I117" s="27">
        <f>Ft!F$3*EXP(Ft!F$38*($A117-Ft!F$2)^2)</f>
        <v>141973.87917520935</v>
      </c>
      <c r="J117" s="27">
        <f>Ft!G$3*EXP(Ft!G$38*($A117-Ft!G$2)^2)</f>
        <v>0</v>
      </c>
    </row>
    <row r="118" spans="1:10">
      <c r="A118" s="20">
        <v>116</v>
      </c>
      <c r="B118" s="29">
        <v>12.96845858955993</v>
      </c>
      <c r="C118" s="28">
        <f ca="1">OFFSET($B118,1*(ROWS(C$2:C118)-1),0)</f>
        <v>37.600718472417498</v>
      </c>
      <c r="D118" s="27">
        <f>Ft!B$3*EXP(Ft!B$38*($A118-Ft!B$2)^2) +Ft!C$3*EXP(Ft!C$38*($A118-Ft!C$2)^2) + Ft!D$3*EXP(Ft!D$38*($A118-Ft!D$2)^2)+Ft!E$3*EXP(Ft!E$38*($A118-Ft!E$2)^2) +Ft!F$3*EXP(Ft!F$38*($A118-Ft!F$2)^2) + Ft!G$3*EXP(Ft!G$38*($A118-Ft!G$2)^2)</f>
        <v>261254.92598865286</v>
      </c>
      <c r="E118" s="27">
        <f>Ft!B$3*EXP(Ft!B$38*($A118-Ft!B$2)^2)</f>
        <v>-115608.14836436721</v>
      </c>
      <c r="F118" s="27">
        <f>Ft!C$3*EXP(Ft!C$38*($A118-Ft!C$2)^2)</f>
        <v>0</v>
      </c>
      <c r="G118" s="27">
        <f>Ft!D$3*EXP(Ft!D$38*($A118-Ft!D$2)^2)</f>
        <v>234305.68194018822</v>
      </c>
      <c r="H118" s="27">
        <f>Ft!E$3*EXP(Ft!E$38*($A118-Ft!E$2)^2)</f>
        <v>1666.1534260760691</v>
      </c>
      <c r="I118" s="27">
        <f>Ft!F$3*EXP(Ft!F$38*($A118-Ft!F$2)^2)</f>
        <v>140891.23898675578</v>
      </c>
      <c r="J118" s="27">
        <f>Ft!G$3*EXP(Ft!G$38*($A118-Ft!G$2)^2)</f>
        <v>0</v>
      </c>
    </row>
    <row r="119" spans="1:10">
      <c r="A119" s="20">
        <v>117</v>
      </c>
      <c r="B119" s="29">
        <v>13.160353711689652</v>
      </c>
      <c r="C119" s="28">
        <f ca="1">OFFSET($B119,1*(ROWS(C$2:C119)-1),0)</f>
        <v>38.162255768047714</v>
      </c>
      <c r="D119" s="27">
        <f>Ft!B$3*EXP(Ft!B$38*($A119-Ft!B$2)^2) +Ft!C$3*EXP(Ft!C$38*($A119-Ft!C$2)^2) + Ft!D$3*EXP(Ft!D$38*($A119-Ft!D$2)^2)+Ft!E$3*EXP(Ft!E$38*($A119-Ft!E$2)^2) +Ft!F$3*EXP(Ft!F$38*($A119-Ft!F$2)^2) + Ft!G$3*EXP(Ft!G$38*($A119-Ft!G$2)^2)</f>
        <v>263487.28730224725</v>
      </c>
      <c r="E119" s="27">
        <f>Ft!B$3*EXP(Ft!B$38*($A119-Ft!B$2)^2)</f>
        <v>-115609.48835936363</v>
      </c>
      <c r="F119" s="27">
        <f>Ft!C$3*EXP(Ft!C$38*($A119-Ft!C$2)^2)</f>
        <v>0</v>
      </c>
      <c r="G119" s="27">
        <f>Ft!D$3*EXP(Ft!D$38*($A119-Ft!D$2)^2)</f>
        <v>237750.45950662252</v>
      </c>
      <c r="H119" s="27">
        <f>Ft!E$3*EXP(Ft!E$38*($A119-Ft!E$2)^2)</f>
        <v>1566.0302546754306</v>
      </c>
      <c r="I119" s="27">
        <f>Ft!F$3*EXP(Ft!F$38*($A119-Ft!F$2)^2)</f>
        <v>139780.28590031294</v>
      </c>
      <c r="J119" s="27">
        <f>Ft!G$3*EXP(Ft!G$38*($A119-Ft!G$2)^2)</f>
        <v>0</v>
      </c>
    </row>
    <row r="120" spans="1:10">
      <c r="A120" s="20">
        <v>118</v>
      </c>
      <c r="B120" s="29">
        <v>13.328736845980472</v>
      </c>
      <c r="C120" s="28">
        <f ca="1">OFFSET($B120,1*(ROWS(C$2:C120)-1),0)</f>
        <v>38.724273346300777</v>
      </c>
      <c r="D120" s="27">
        <f>Ft!B$3*EXP(Ft!B$38*($A120-Ft!B$2)^2) +Ft!C$3*EXP(Ft!C$38*($A120-Ft!C$2)^2) + Ft!D$3*EXP(Ft!D$38*($A120-Ft!D$2)^2)+Ft!E$3*EXP(Ft!E$38*($A120-Ft!E$2)^2) +Ft!F$3*EXP(Ft!F$38*($A120-Ft!F$2)^2) + Ft!G$3*EXP(Ft!G$38*($A120-Ft!G$2)^2)</f>
        <v>265719.51266749651</v>
      </c>
      <c r="E120" s="27">
        <f>Ft!B$3*EXP(Ft!B$38*($A120-Ft!B$2)^2)</f>
        <v>-115610.82783548393</v>
      </c>
      <c r="F120" s="27">
        <f>Ft!C$3*EXP(Ft!C$38*($A120-Ft!C$2)^2)</f>
        <v>0</v>
      </c>
      <c r="G120" s="27">
        <f>Ft!D$3*EXP(Ft!D$38*($A120-Ft!D$2)^2)</f>
        <v>241217.48229807094</v>
      </c>
      <c r="H120" s="27">
        <f>Ft!E$3*EXP(Ft!E$38*($A120-Ft!E$2)^2)</f>
        <v>1471.0361944394617</v>
      </c>
      <c r="I120" s="27">
        <f>Ft!F$3*EXP(Ft!F$38*($A120-Ft!F$2)^2)</f>
        <v>138641.82201047003</v>
      </c>
      <c r="J120" s="27">
        <f>Ft!G$3*EXP(Ft!G$38*($A120-Ft!G$2)^2)</f>
        <v>0</v>
      </c>
    </row>
    <row r="121" spans="1:10">
      <c r="A121" s="20">
        <v>119</v>
      </c>
      <c r="B121" s="29">
        <v>13.499949574380963</v>
      </c>
      <c r="C121" s="28">
        <f ca="1">OFFSET($B121,1*(ROWS(C$2:C121)-1),0)</f>
        <v>39.291900589379082</v>
      </c>
      <c r="D121" s="27">
        <f>Ft!B$3*EXP(Ft!B$38*($A121-Ft!B$2)^2) +Ft!C$3*EXP(Ft!C$38*($A121-Ft!C$2)^2) + Ft!D$3*EXP(Ft!D$38*($A121-Ft!D$2)^2)+Ft!E$3*EXP(Ft!E$38*($A121-Ft!E$2)^2) +Ft!F$3*EXP(Ft!F$38*($A121-Ft!F$2)^2) + Ft!G$3*EXP(Ft!G$38*($A121-Ft!G$2)^2)</f>
        <v>267951.72135249735</v>
      </c>
      <c r="E121" s="27">
        <f>Ft!B$3*EXP(Ft!B$38*($A121-Ft!B$2)^2)</f>
        <v>-115612.16679270972</v>
      </c>
      <c r="F121" s="27">
        <f>Ft!C$3*EXP(Ft!C$38*($A121-Ft!C$2)^2)</f>
        <v>0</v>
      </c>
      <c r="G121" s="27">
        <f>Ft!D$3*EXP(Ft!D$38*($A121-Ft!D$2)^2)</f>
        <v>244706.25246146091</v>
      </c>
      <c r="H121" s="27">
        <f>Ft!E$3*EXP(Ft!E$38*($A121-Ft!E$2)^2)</f>
        <v>1380.9712012071607</v>
      </c>
      <c r="I121" s="27">
        <f>Ft!F$3*EXP(Ft!F$38*($A121-Ft!F$2)^2)</f>
        <v>137476.664482539</v>
      </c>
      <c r="J121" s="27">
        <f>Ft!G$3*EXP(Ft!G$38*($A121-Ft!G$2)^2)</f>
        <v>0</v>
      </c>
    </row>
    <row r="122" spans="1:10">
      <c r="A122" s="20">
        <v>120</v>
      </c>
      <c r="B122" s="29">
        <v>13.6951030192362</v>
      </c>
      <c r="C122" s="28">
        <f ca="1">OFFSET($B122,1*(ROWS(C$2:C122)-1),0)</f>
        <v>39.770823437660511</v>
      </c>
      <c r="D122" s="27">
        <f>Ft!B$3*EXP(Ft!B$38*($A122-Ft!B$2)^2) +Ft!C$3*EXP(Ft!C$38*($A122-Ft!C$2)^2) + Ft!D$3*EXP(Ft!D$38*($A122-Ft!D$2)^2)+Ft!E$3*EXP(Ft!E$38*($A122-Ft!E$2)^2) +Ft!F$3*EXP(Ft!F$38*($A122-Ft!F$2)^2) + Ft!G$3*EXP(Ft!G$38*($A122-Ft!G$2)^2)</f>
        <v>270184.03530390124</v>
      </c>
      <c r="E122" s="27">
        <f>Ft!B$3*EXP(Ft!B$38*($A122-Ft!B$2)^2)</f>
        <v>-115613.50523102256</v>
      </c>
      <c r="F122" s="27">
        <f>Ft!C$3*EXP(Ft!C$38*($A122-Ft!C$2)^2)</f>
        <v>0</v>
      </c>
      <c r="G122" s="27">
        <f>Ft!D$3*EXP(Ft!D$38*($A122-Ft!D$2)^2)</f>
        <v>248216.25717762925</v>
      </c>
      <c r="H122" s="27">
        <f>Ft!E$3*EXP(Ft!E$38*($A122-Ft!E$2)^2)</f>
        <v>1295.6387788430407</v>
      </c>
      <c r="I122" s="27">
        <f>Ft!F$3*EXP(Ft!F$38*($A122-Ft!F$2)^2)</f>
        <v>136285.64457845152</v>
      </c>
      <c r="J122" s="27">
        <f>Ft!G$3*EXP(Ft!G$38*($A122-Ft!G$2)^2)</f>
        <v>0</v>
      </c>
    </row>
    <row r="123" spans="1:10">
      <c r="A123" s="20">
        <v>121</v>
      </c>
      <c r="B123" s="29">
        <v>13.866163896867732</v>
      </c>
      <c r="C123" s="28">
        <f ca="1">OFFSET($B123,1*(ROWS(C$2:C123)-1),0)</f>
        <v>40.168874241063747</v>
      </c>
      <c r="D123" s="27">
        <f>Ft!B$3*EXP(Ft!B$38*($A123-Ft!B$2)^2) +Ft!C$3*EXP(Ft!C$38*($A123-Ft!C$2)^2) + Ft!D$3*EXP(Ft!D$38*($A123-Ft!D$2)^2)+Ft!E$3*EXP(Ft!E$38*($A123-Ft!E$2)^2) +Ft!F$3*EXP(Ft!F$38*($A123-Ft!F$2)^2) + Ft!G$3*EXP(Ft!G$38*($A123-Ft!G$2)^2)</f>
        <v>272416.57843129523</v>
      </c>
      <c r="E123" s="27">
        <f>Ft!B$3*EXP(Ft!B$38*($A123-Ft!B$2)^2)</f>
        <v>-115614.84315040414</v>
      </c>
      <c r="F123" s="27">
        <f>Ft!C$3*EXP(Ft!C$38*($A123-Ft!C$2)^2)</f>
        <v>0</v>
      </c>
      <c r="G123" s="27">
        <f>Ft!D$3*EXP(Ft!D$38*($A123-Ft!D$2)^2)</f>
        <v>251746.96868809019</v>
      </c>
      <c r="H123" s="27">
        <f>Ft!E$3*EXP(Ft!E$38*($A123-Ft!E$2)^2)</f>
        <v>1214.8462212502968</v>
      </c>
      <c r="I123" s="27">
        <f>Ft!F$3*EXP(Ft!F$38*($A123-Ft!F$2)^2)</f>
        <v>135069.6066723589</v>
      </c>
      <c r="J123" s="27">
        <f>Ft!G$3*EXP(Ft!G$38*($A123-Ft!G$2)^2)</f>
        <v>0</v>
      </c>
    </row>
    <row r="124" spans="1:10">
      <c r="A124" s="20">
        <v>122</v>
      </c>
      <c r="B124" s="29">
        <v>14.046353878849629</v>
      </c>
      <c r="C124" s="28">
        <f ca="1">OFFSET($B124,1*(ROWS(C$2:C124)-1),0)</f>
        <v>40.446895427419491</v>
      </c>
      <c r="D124" s="27">
        <f>Ft!B$3*EXP(Ft!B$38*($A124-Ft!B$2)^2) +Ft!C$3*EXP(Ft!C$38*($A124-Ft!C$2)^2) + Ft!D$3*EXP(Ft!D$38*($A124-Ft!D$2)^2)+Ft!E$3*EXP(Ft!E$38*($A124-Ft!E$2)^2) +Ft!F$3*EXP(Ft!F$38*($A124-Ft!F$2)^2) + Ft!G$3*EXP(Ft!G$38*($A124-Ft!G$2)^2)</f>
        <v>274649.47586620157</v>
      </c>
      <c r="E124" s="27">
        <f>Ft!B$3*EXP(Ft!B$38*($A124-Ft!B$2)^2)</f>
        <v>-115616.18055083604</v>
      </c>
      <c r="F124" s="27">
        <f>Ft!C$3*EXP(Ft!C$38*($A124-Ft!C$2)^2)</f>
        <v>0</v>
      </c>
      <c r="G124" s="27">
        <f>Ft!D$3*EXP(Ft!D$38*($A124-Ft!D$2)^2)</f>
        <v>255297.84433104526</v>
      </c>
      <c r="H124" s="27">
        <f>Ft!E$3*EXP(Ft!E$38*($A124-Ft!E$2)^2)</f>
        <v>1138.4048284330649</v>
      </c>
      <c r="I124" s="27">
        <f>Ft!F$3*EXP(Ft!F$38*($A124-Ft!F$2)^2)</f>
        <v>133829.4072575593</v>
      </c>
      <c r="J124" s="27">
        <f>Ft!G$3*EXP(Ft!G$38*($A124-Ft!G$2)^2)</f>
        <v>0</v>
      </c>
    </row>
    <row r="125" spans="1:10">
      <c r="A125" s="20">
        <v>123</v>
      </c>
      <c r="B125" s="29">
        <v>14.210347087207793</v>
      </c>
      <c r="C125" s="28">
        <f ca="1">OFFSET($B125,1*(ROWS(C$2:C125)-1),0)</f>
        <v>40.674191523788522</v>
      </c>
      <c r="D125" s="27">
        <f>Ft!B$3*EXP(Ft!B$38*($A125-Ft!B$2)^2) +Ft!C$3*EXP(Ft!C$38*($A125-Ft!C$2)^2) + Ft!D$3*EXP(Ft!D$38*($A125-Ft!D$2)^2)+Ft!E$3*EXP(Ft!E$38*($A125-Ft!E$2)^2) +Ft!F$3*EXP(Ft!F$38*($A125-Ft!F$2)^2) + Ft!G$3*EXP(Ft!G$38*($A125-Ft!G$2)^2)</f>
        <v>276882.85319827544</v>
      </c>
      <c r="E125" s="27">
        <f>Ft!B$3*EXP(Ft!B$38*($A125-Ft!B$2)^2)</f>
        <v>-115617.51743229991</v>
      </c>
      <c r="F125" s="27">
        <f>Ft!C$3*EXP(Ft!C$38*($A125-Ft!C$2)^2)</f>
        <v>0</v>
      </c>
      <c r="G125" s="27">
        <f>Ft!D$3*EXP(Ft!D$38*($A125-Ft!D$2)^2)</f>
        <v>258868.32658674204</v>
      </c>
      <c r="H125" s="27">
        <f>Ft!E$3*EXP(Ft!E$38*($A125-Ft!E$2)^2)</f>
        <v>1066.1300974538274</v>
      </c>
      <c r="I125" s="27">
        <f>Ft!F$3*EXP(Ft!F$38*($A125-Ft!F$2)^2)</f>
        <v>132565.91394637947</v>
      </c>
      <c r="J125" s="27">
        <f>Ft!G$3*EXP(Ft!G$38*($A125-Ft!G$2)^2)</f>
        <v>0</v>
      </c>
    </row>
    <row r="126" spans="1:10">
      <c r="A126" s="20">
        <v>124</v>
      </c>
      <c r="B126" s="29">
        <v>14.387525308725145</v>
      </c>
      <c r="C126" s="28">
        <f ca="1">OFFSET($B126,1*(ROWS(C$2:C126)-1),0)</f>
        <v>40.823291326657966</v>
      </c>
      <c r="D126" s="27">
        <f>Ft!B$3*EXP(Ft!B$38*($A126-Ft!B$2)^2) +Ft!C$3*EXP(Ft!C$38*($A126-Ft!C$2)^2) + Ft!D$3*EXP(Ft!D$38*($A126-Ft!D$2)^2)+Ft!E$3*EXP(Ft!E$38*($A126-Ft!E$2)^2) +Ft!F$3*EXP(Ft!F$38*($A126-Ft!F$2)^2) + Ft!G$3*EXP(Ft!G$38*($A126-Ft!G$2)^2)</f>
        <v>279116.83569132211</v>
      </c>
      <c r="E126" s="27">
        <f>Ft!B$3*EXP(Ft!B$38*($A126-Ft!B$2)^2)</f>
        <v>-115618.85379477739</v>
      </c>
      <c r="F126" s="27">
        <f>Ft!C$3*EXP(Ft!C$38*($A126-Ft!C$2)^2)</f>
        <v>0</v>
      </c>
      <c r="G126" s="27">
        <f>Ft!D$3*EXP(Ft!D$38*($A126-Ft!D$2)^2)</f>
        <v>262457.84313228214</v>
      </c>
      <c r="H126" s="27">
        <f>Ft!E$3*EXP(Ft!E$38*($A126-Ft!E$2)^2)</f>
        <v>997.84188918213408</v>
      </c>
      <c r="I126" s="27">
        <f>Ft!F$3*EXP(Ft!F$38*($A126-Ft!F$2)^2)</f>
        <v>131280.00446463519</v>
      </c>
      <c r="J126" s="27">
        <f>Ft!G$3*EXP(Ft!G$38*($A126-Ft!G$2)^2)</f>
        <v>0</v>
      </c>
    </row>
    <row r="127" spans="1:10">
      <c r="A127" s="20">
        <v>125</v>
      </c>
      <c r="B127" s="29">
        <v>14.574217688715834</v>
      </c>
      <c r="C127" s="28">
        <f ca="1">OFFSET($B127,1*(ROWS(C$2:C127)-1),0)</f>
        <v>40.951537460333725</v>
      </c>
      <c r="D127" s="27">
        <f>Ft!B$3*EXP(Ft!B$38*($A127-Ft!B$2)^2) +Ft!C$3*EXP(Ft!C$38*($A127-Ft!C$2)^2) + Ft!D$3*EXP(Ft!D$38*($A127-Ft!D$2)^2)+Ft!E$3*EXP(Ft!E$38*($A127-Ft!E$2)^2) +Ft!F$3*EXP(Ft!F$38*($A127-Ft!F$2)^2) + Ft!G$3*EXP(Ft!G$38*($A127-Ft!G$2)^2)</f>
        <v>281351.54748178762</v>
      </c>
      <c r="E127" s="27">
        <f>Ft!B$3*EXP(Ft!B$38*($A127-Ft!B$2)^2)</f>
        <v>-115620.18963825011</v>
      </c>
      <c r="F127" s="27">
        <f>Ft!C$3*EXP(Ft!C$38*($A127-Ft!C$2)^2)</f>
        <v>0</v>
      </c>
      <c r="G127" s="27">
        <f>Ft!D$3*EXP(Ft!D$38*($A127-Ft!D$2)^2)</f>
        <v>266065.80690597289</v>
      </c>
      <c r="H127" s="27">
        <f>Ft!E$3*EXP(Ft!E$38*($A127-Ft!E$2)^2)</f>
        <v>933.36457177357613</v>
      </c>
      <c r="I127" s="27">
        <f>Ft!F$3*EXP(Ft!F$38*($A127-Ft!F$2)^2)</f>
        <v>129972.56564229127</v>
      </c>
      <c r="J127" s="27">
        <f>Ft!G$3*EXP(Ft!G$38*($A127-Ft!G$2)^2)</f>
        <v>0</v>
      </c>
    </row>
    <row r="128" spans="1:10">
      <c r="A128" s="20">
        <v>126</v>
      </c>
      <c r="B128" s="29">
        <v>14.777167821591888</v>
      </c>
      <c r="C128" s="28">
        <f ca="1">OFFSET($B128,1*(ROWS(C$2:C128)-1),0)</f>
        <v>41.067580417233387</v>
      </c>
      <c r="D128" s="27">
        <f>Ft!B$3*EXP(Ft!B$38*($A128-Ft!B$2)^2) +Ft!C$3*EXP(Ft!C$38*($A128-Ft!C$2)^2) + Ft!D$3*EXP(Ft!D$38*($A128-Ft!D$2)^2)+Ft!E$3*EXP(Ft!E$38*($A128-Ft!E$2)^2) +Ft!F$3*EXP(Ft!F$38*($A128-Ft!F$2)^2) + Ft!G$3*EXP(Ft!G$38*($A128-Ft!G$2)^2)</f>
        <v>283587.11076239764</v>
      </c>
      <c r="E128" s="27">
        <f>Ft!B$3*EXP(Ft!B$38*($A128-Ft!B$2)^2)</f>
        <v>-115621.52496269977</v>
      </c>
      <c r="F128" s="27">
        <f>Ft!C$3*EXP(Ft!C$38*($A128-Ft!C$2)^2)</f>
        <v>0</v>
      </c>
      <c r="G128" s="27">
        <f>Ft!D$3*EXP(Ft!D$38*($A128-Ft!D$2)^2)</f>
        <v>269691.61618131044</v>
      </c>
      <c r="H128" s="27">
        <f>Ft!E$3*EXP(Ft!E$38*($A128-Ft!E$2)^2)</f>
        <v>872.52714185367802</v>
      </c>
      <c r="I128" s="27">
        <f>Ft!F$3*EXP(Ft!F$38*($A128-Ft!F$2)^2)</f>
        <v>128644.49240193328</v>
      </c>
      <c r="J128" s="27">
        <f>Ft!G$3*EXP(Ft!G$38*($A128-Ft!G$2)^2)</f>
        <v>0</v>
      </c>
    </row>
    <row r="129" spans="1:10">
      <c r="A129" s="20">
        <v>127</v>
      </c>
      <c r="B129" s="29">
        <v>14.961044230915292</v>
      </c>
      <c r="C129" s="28">
        <f ca="1">OFFSET($B129,1*(ROWS(C$2:C129)-1),0)</f>
        <v>41.200496818677607</v>
      </c>
      <c r="D129" s="27">
        <f>Ft!B$3*EXP(Ft!B$38*($A129-Ft!B$2)^2) +Ft!C$3*EXP(Ft!C$38*($A129-Ft!C$2)^2) + Ft!D$3*EXP(Ft!D$38*($A129-Ft!D$2)^2)+Ft!E$3*EXP(Ft!E$38*($A129-Ft!E$2)^2) +Ft!F$3*EXP(Ft!F$38*($A129-Ft!F$2)^2) + Ft!G$3*EXP(Ft!G$38*($A129-Ft!G$2)^2)</f>
        <v>285823.64495362859</v>
      </c>
      <c r="E129" s="27">
        <f>Ft!B$3*EXP(Ft!B$38*($A129-Ft!B$2)^2)</f>
        <v>-115622.85976810796</v>
      </c>
      <c r="F129" s="27">
        <f>Ft!C$3*EXP(Ft!C$38*($A129-Ft!C$2)^2)</f>
        <v>0</v>
      </c>
      <c r="G129" s="27">
        <f>Ft!D$3*EXP(Ft!D$38*($A129-Ft!D$2)^2)</f>
        <v>273334.65465067537</v>
      </c>
      <c r="H129" s="27">
        <f>Ft!E$3*EXP(Ft!E$38*($A129-Ft!E$2)^2)</f>
        <v>815.16332441025793</v>
      </c>
      <c r="I129" s="27">
        <f>Ft!F$3*EXP(Ft!F$38*($A129-Ft!F$2)^2)</f>
        <v>127296.68674665088</v>
      </c>
      <c r="J129" s="27">
        <f>Ft!G$3*EXP(Ft!G$38*($A129-Ft!G$2)^2)</f>
        <v>0</v>
      </c>
    </row>
    <row r="130" spans="1:10">
      <c r="A130" s="20">
        <v>128</v>
      </c>
      <c r="B130" s="29">
        <v>15.149173782330706</v>
      </c>
      <c r="C130" s="28">
        <f ca="1">OFFSET($B130,1*(ROWS(C$2:C130)-1),0)</f>
        <v>41.34079029367183</v>
      </c>
      <c r="D130" s="27">
        <f>Ft!B$3*EXP(Ft!B$38*($A130-Ft!B$2)^2) +Ft!C$3*EXP(Ft!C$38*($A130-Ft!C$2)^2) + Ft!D$3*EXP(Ft!D$38*($A130-Ft!D$2)^2)+Ft!E$3*EXP(Ft!E$38*($A130-Ft!E$2)^2) +Ft!F$3*EXP(Ft!F$38*($A130-Ft!F$2)^2) + Ft!G$3*EXP(Ft!G$38*($A130-Ft!G$2)^2)</f>
        <v>288061.26586569782</v>
      </c>
      <c r="E130" s="27">
        <f>Ft!B$3*EXP(Ft!B$38*($A130-Ft!B$2)^2)</f>
        <v>-115624.1940544564</v>
      </c>
      <c r="F130" s="27">
        <f>Ft!C$3*EXP(Ft!C$38*($A130-Ft!C$2)^2)</f>
        <v>0</v>
      </c>
      <c r="G130" s="27">
        <f>Ft!D$3*EXP(Ft!D$38*($A130-Ft!D$2)^2)</f>
        <v>276994.29151881428</v>
      </c>
      <c r="H130" s="27">
        <f>Ft!E$3*EXP(Ft!E$38*($A130-Ft!E$2)^2)</f>
        <v>761.11165242017569</v>
      </c>
      <c r="I130" s="27">
        <f>Ft!F$3*EXP(Ft!F$38*($A130-Ft!F$2)^2)</f>
        <v>125930.05674891979</v>
      </c>
      <c r="J130" s="27">
        <f>Ft!G$3*EXP(Ft!G$38*($A130-Ft!G$2)^2)</f>
        <v>0</v>
      </c>
    </row>
    <row r="131" spans="1:10">
      <c r="A131" s="20">
        <v>129</v>
      </c>
      <c r="B131" s="29">
        <v>15.321722432805302</v>
      </c>
      <c r="C131" s="28">
        <f ca="1">OFFSET($B131,1*(ROWS(C$2:C131)-1),0)</f>
        <v>41.525005033410423</v>
      </c>
      <c r="D131" s="27">
        <f>Ft!B$3*EXP(Ft!B$38*($A131-Ft!B$2)^2) +Ft!C$3*EXP(Ft!C$38*($A131-Ft!C$2)^2) + Ft!D$3*EXP(Ft!D$38*($A131-Ft!D$2)^2)+Ft!E$3*EXP(Ft!E$38*($A131-Ft!E$2)^2) +Ft!F$3*EXP(Ft!F$38*($A131-Ft!F$2)^2) + Ft!G$3*EXP(Ft!G$38*($A131-Ft!G$2)^2)</f>
        <v>290300.08485375054</v>
      </c>
      <c r="E131" s="27">
        <f>Ft!B$3*EXP(Ft!B$38*($A131-Ft!B$2)^2)</f>
        <v>-115625.52782172675</v>
      </c>
      <c r="F131" s="27">
        <f>Ft!C$3*EXP(Ft!C$38*($A131-Ft!C$2)^2)</f>
        <v>0</v>
      </c>
      <c r="G131" s="27">
        <f>Ft!D$3*EXP(Ft!D$38*($A131-Ft!D$2)^2)</f>
        <v>280669.88160617492</v>
      </c>
      <c r="H131" s="27">
        <f>Ft!E$3*EXP(Ft!E$38*($A131-Ft!E$2)^2)</f>
        <v>710.2155272525265</v>
      </c>
      <c r="I131" s="27">
        <f>Ft!F$3*EXP(Ft!F$38*($A131-Ft!F$2)^2)</f>
        <v>124545.5155420498</v>
      </c>
      <c r="J131" s="27">
        <f>Ft!G$3*EXP(Ft!G$38*($A131-Ft!G$2)^2)</f>
        <v>0</v>
      </c>
    </row>
    <row r="132" spans="1:10">
      <c r="A132" s="20">
        <v>130</v>
      </c>
      <c r="B132" s="29">
        <v>15.483601489081508</v>
      </c>
      <c r="C132" s="28">
        <f ca="1">OFFSET($B132,1*(ROWS(C$2:C132)-1),0)</f>
        <v>41.886978421684432</v>
      </c>
      <c r="D132" s="27">
        <f>Ft!B$3*EXP(Ft!B$38*($A132-Ft!B$2)^2) +Ft!C$3*EXP(Ft!C$38*($A132-Ft!C$2)^2) + Ft!D$3*EXP(Ft!D$38*($A132-Ft!D$2)^2)+Ft!E$3*EXP(Ft!E$38*($A132-Ft!E$2)^2) +Ft!F$3*EXP(Ft!F$38*($A132-Ft!F$2)^2) + Ft!G$3*EXP(Ft!G$38*($A132-Ft!G$2)^2)</f>
        <v>292540.20796890033</v>
      </c>
      <c r="E132" s="27">
        <f>Ft!B$3*EXP(Ft!B$38*($A132-Ft!B$2)^2)</f>
        <v>-115626.86106990068</v>
      </c>
      <c r="F132" s="27">
        <f>Ft!C$3*EXP(Ft!C$38*($A132-Ft!C$2)^2)</f>
        <v>0</v>
      </c>
      <c r="G132" s="27">
        <f>Ft!D$3*EXP(Ft!D$38*($A132-Ft!D$2)^2)</f>
        <v>284360.765462154</v>
      </c>
      <c r="H132" s="27">
        <f>Ft!E$3*EXP(Ft!E$38*($A132-Ft!E$2)^2)</f>
        <v>662.32326090055767</v>
      </c>
      <c r="I132" s="27">
        <f>Ft!F$3*EXP(Ft!F$38*($A132-Ft!F$2)^2)</f>
        <v>123143.98031574646</v>
      </c>
      <c r="J132" s="27">
        <f>Ft!G$3*EXP(Ft!G$38*($A132-Ft!G$2)^2)</f>
        <v>0</v>
      </c>
    </row>
    <row r="133" spans="1:10">
      <c r="A133" s="20">
        <v>131</v>
      </c>
      <c r="B133" s="29">
        <v>15.643859764964049</v>
      </c>
      <c r="C133" s="28">
        <f ca="1">OFFSET($B133,1*(ROWS(C$2:C133)-1),0)</f>
        <v>42.303395582887475</v>
      </c>
      <c r="D133" s="27">
        <f>Ft!B$3*EXP(Ft!B$38*($A133-Ft!B$2)^2) +Ft!C$3*EXP(Ft!C$38*($A133-Ft!C$2)^2) + Ft!D$3*EXP(Ft!D$38*($A133-Ft!D$2)^2)+Ft!E$3*EXP(Ft!E$38*($A133-Ft!E$2)^2) +Ft!F$3*EXP(Ft!F$38*($A133-Ft!F$2)^2) + Ft!G$3*EXP(Ft!G$38*($A133-Ft!G$2)^2)</f>
        <v>294781.73510775866</v>
      </c>
      <c r="E133" s="27">
        <f>Ft!B$3*EXP(Ft!B$38*($A133-Ft!B$2)^2)</f>
        <v>-115628.19379895991</v>
      </c>
      <c r="F133" s="27">
        <f>Ft!C$3*EXP(Ft!C$38*($A133-Ft!C$2)^2)</f>
        <v>0</v>
      </c>
      <c r="G133" s="27">
        <f>Ft!D$3*EXP(Ft!D$38*($A133-Ft!D$2)^2)</f>
        <v>288066.26948830974</v>
      </c>
      <c r="H133" s="27">
        <f>Ft!E$3*EXP(Ft!E$38*($A133-Ft!E$2)^2)</f>
        <v>617.28810109924632</v>
      </c>
      <c r="I133" s="27">
        <f>Ft!F$3*EXP(Ft!F$38*($A133-Ft!F$2)^2)</f>
        <v>121726.37131730957</v>
      </c>
      <c r="J133" s="27">
        <f>Ft!G$3*EXP(Ft!G$38*($A133-Ft!G$2)^2)</f>
        <v>0</v>
      </c>
    </row>
    <row r="134" spans="1:10">
      <c r="A134" s="20">
        <v>132</v>
      </c>
      <c r="B134" s="29">
        <v>15.816000534660589</v>
      </c>
      <c r="C134" s="28">
        <f ca="1">OFFSET($B134,1*(ROWS(C$2:C134)-1),0)</f>
        <v>42.741564736196779</v>
      </c>
      <c r="D134" s="27">
        <f>Ft!B$3*EXP(Ft!B$38*($A134-Ft!B$2)^2) +Ft!C$3*EXP(Ft!C$38*($A134-Ft!C$2)^2) + Ft!D$3*EXP(Ft!D$38*($A134-Ft!D$2)^2)+Ft!E$3*EXP(Ft!E$38*($A134-Ft!E$2)^2) +Ft!F$3*EXP(Ft!F$38*($A134-Ft!F$2)^2) + Ft!G$3*EXP(Ft!G$38*($A134-Ft!G$2)^2)</f>
        <v>297024.75916304864</v>
      </c>
      <c r="E134" s="27">
        <f>Ft!B$3*EXP(Ft!B$38*($A134-Ft!B$2)^2)</f>
        <v>-115629.5260088861</v>
      </c>
      <c r="F134" s="27">
        <f>Ft!C$3*EXP(Ft!C$38*($A134-Ft!C$2)^2)</f>
        <v>0</v>
      </c>
      <c r="G134" s="27">
        <f>Ft!D$3*EXP(Ft!D$38*($A134-Ft!D$2)^2)</f>
        <v>291785.70607158449</v>
      </c>
      <c r="H134" s="27">
        <f>Ft!E$3*EXP(Ft!E$38*($A134-Ft!E$2)^2)</f>
        <v>574.96824038487864</v>
      </c>
      <c r="I134" s="27">
        <f>Ft!F$3*EXP(Ft!F$38*($A134-Ft!F$2)^2)</f>
        <v>120293.6108599654</v>
      </c>
      <c r="J134" s="27">
        <f>Ft!G$3*EXP(Ft!G$38*($A134-Ft!G$2)^2)</f>
        <v>0</v>
      </c>
    </row>
    <row r="135" spans="1:10">
      <c r="A135" s="20">
        <v>133</v>
      </c>
      <c r="B135" s="29">
        <v>15.998081767926834</v>
      </c>
      <c r="C135" s="28">
        <f ca="1">OFFSET($B135,1*(ROWS(C$2:C135)-1),0)</f>
        <v>43.209688971873959</v>
      </c>
      <c r="D135" s="27">
        <f>Ft!B$3*EXP(Ft!B$38*($A135-Ft!B$2)^2) +Ft!C$3*EXP(Ft!C$38*($A135-Ft!C$2)^2) + Ft!D$3*EXP(Ft!D$38*($A135-Ft!D$2)^2)+Ft!E$3*EXP(Ft!E$38*($A135-Ft!E$2)^2) +Ft!F$3*EXP(Ft!F$38*($A135-Ft!F$2)^2) + Ft!G$3*EXP(Ft!G$38*($A135-Ft!G$2)^2)</f>
        <v>299269.36517785944</v>
      </c>
      <c r="E135" s="27">
        <f>Ft!B$3*EXP(Ft!B$38*($A135-Ft!B$2)^2)</f>
        <v>-115630.85769966096</v>
      </c>
      <c r="F135" s="27">
        <f>Ft!C$3*EXP(Ft!C$38*($A135-Ft!C$2)^2)</f>
        <v>0</v>
      </c>
      <c r="G135" s="27">
        <f>Ft!D$3*EXP(Ft!D$38*($A135-Ft!D$2)^2)</f>
        <v>295518.37372757372</v>
      </c>
      <c r="H135" s="27">
        <f>Ft!E$3*EXP(Ft!E$38*($A135-Ft!E$2)^2)</f>
        <v>535.22681014751811</v>
      </c>
      <c r="I135" s="27">
        <f>Ft!F$3*EXP(Ft!F$38*($A135-Ft!F$2)^2)</f>
        <v>118846.62233979917</v>
      </c>
      <c r="J135" s="27">
        <f>Ft!G$3*EXP(Ft!G$38*($A135-Ft!G$2)^2)</f>
        <v>0</v>
      </c>
    </row>
    <row r="136" spans="1:10">
      <c r="A136" s="20">
        <v>134</v>
      </c>
      <c r="B136" s="29">
        <v>16.179396027476258</v>
      </c>
      <c r="C136" s="28">
        <f ca="1">OFFSET($B136,1*(ROWS(C$2:C136)-1),0)</f>
        <v>43.648573448791581</v>
      </c>
      <c r="D136" s="27">
        <f>Ft!B$3*EXP(Ft!B$38*($A136-Ft!B$2)^2) +Ft!C$3*EXP(Ft!C$38*($A136-Ft!C$2)^2) + Ft!D$3*EXP(Ft!D$38*($A136-Ft!D$2)^2)+Ft!E$3*EXP(Ft!E$38*($A136-Ft!E$2)^2) +Ft!F$3*EXP(Ft!F$38*($A136-Ft!F$2)^2) + Ft!G$3*EXP(Ft!G$38*($A136-Ft!G$2)^2)</f>
        <v>301515.62950604421</v>
      </c>
      <c r="E136" s="27">
        <f>Ft!B$3*EXP(Ft!B$38*($A136-Ft!B$2)^2)</f>
        <v>-115632.18887126623</v>
      </c>
      <c r="F136" s="27">
        <f>Ft!C$3*EXP(Ft!C$38*($A136-Ft!C$2)^2)</f>
        <v>0</v>
      </c>
      <c r="G136" s="27">
        <f>Ft!D$3*EXP(Ft!D$38*($A136-Ft!D$2)^2)</f>
        <v>299263.55725387047</v>
      </c>
      <c r="H136" s="27">
        <f>Ft!E$3*EXP(Ft!E$38*($A136-Ft!E$2)^2)</f>
        <v>497.93186071725756</v>
      </c>
      <c r="I136" s="27">
        <f>Ft!F$3*EXP(Ft!F$38*($A136-Ft!F$2)^2)</f>
        <v>117386.32926272271</v>
      </c>
      <c r="J136" s="27">
        <f>Ft!G$3*EXP(Ft!G$38*($A136-Ft!G$2)^2)</f>
        <v>0</v>
      </c>
    </row>
    <row r="137" spans="1:10">
      <c r="A137" s="20">
        <v>135</v>
      </c>
      <c r="B137" s="29">
        <v>16.3579838798656</v>
      </c>
      <c r="C137" s="28">
        <f ca="1">OFFSET($B137,1*(ROWS(C$2:C137)-1),0)</f>
        <v>44.083119291530693</v>
      </c>
      <c r="D137" s="27">
        <f>Ft!B$3*EXP(Ft!B$38*($A137-Ft!B$2)^2) +Ft!C$3*EXP(Ft!C$38*($A137-Ft!C$2)^2) + Ft!D$3*EXP(Ft!D$38*($A137-Ft!D$2)^2)+Ft!E$3*EXP(Ft!E$38*($A137-Ft!E$2)^2) +Ft!F$3*EXP(Ft!F$38*($A137-Ft!F$2)^2) + Ft!G$3*EXP(Ft!G$38*($A137-Ft!G$2)^2)</f>
        <v>303763.61898121075</v>
      </c>
      <c r="E137" s="27">
        <f>Ft!B$3*EXP(Ft!B$38*($A137-Ft!B$2)^2)</f>
        <v>-115633.5195236836</v>
      </c>
      <c r="F137" s="27">
        <f>Ft!C$3*EXP(Ft!C$38*($A137-Ft!C$2)^2)</f>
        <v>0</v>
      </c>
      <c r="G137" s="27">
        <f>Ft!D$3*EXP(Ft!D$38*($A137-Ft!D$2)^2)</f>
        <v>303020.52789350663</v>
      </c>
      <c r="H137" s="27">
        <f>Ft!E$3*EXP(Ft!E$38*($A137-Ft!E$2)^2)</f>
        <v>462.95632851098327</v>
      </c>
      <c r="I137" s="27">
        <f>Ft!F$3*EXP(Ft!F$38*($A137-Ft!F$2)^2)</f>
        <v>115913.65428287676</v>
      </c>
      <c r="J137" s="27">
        <f>Ft!G$3*EXP(Ft!G$38*($A137-Ft!G$2)^2)</f>
        <v>0</v>
      </c>
    </row>
    <row r="138" spans="1:10">
      <c r="A138" s="20">
        <v>136</v>
      </c>
      <c r="B138" s="29">
        <v>16.527629289316621</v>
      </c>
      <c r="C138" s="28">
        <f ca="1">OFFSET($B138,1*(ROWS(C$2:C138)-1),0)</f>
        <v>44.505324269654693</v>
      </c>
      <c r="D138" s="27">
        <f>Ft!B$3*EXP(Ft!B$38*($A138-Ft!B$2)^2) +Ft!C$3*EXP(Ft!C$38*($A138-Ft!C$2)^2) + Ft!D$3*EXP(Ft!D$38*($A138-Ft!D$2)^2)+Ft!E$3*EXP(Ft!E$38*($A138-Ft!E$2)^2) +Ft!F$3*EXP(Ft!F$38*($A138-Ft!F$2)^2) + Ft!G$3*EXP(Ft!G$38*($A138-Ft!G$2)^2)</f>
        <v>306013.39009668742</v>
      </c>
      <c r="E138" s="27">
        <f>Ft!B$3*EXP(Ft!B$38*($A138-Ft!B$2)^2)</f>
        <v>-115634.84965689477</v>
      </c>
      <c r="F138" s="27">
        <f>Ft!C$3*EXP(Ft!C$38*($A138-Ft!C$2)^2)</f>
        <v>0</v>
      </c>
      <c r="G138" s="27">
        <f>Ft!D$3*EXP(Ft!D$38*($A138-Ft!D$2)^2)</f>
        <v>306788.54350850376</v>
      </c>
      <c r="H138" s="27">
        <f>Ft!E$3*EXP(Ft!E$38*($A138-Ft!E$2)^2)</f>
        <v>430.17799124842907</v>
      </c>
      <c r="I138" s="27">
        <f>Ft!F$3*EXP(Ft!F$38*($A138-Ft!F$2)^2)</f>
        <v>114429.51825383</v>
      </c>
      <c r="J138" s="27">
        <f>Ft!G$3*EXP(Ft!G$38*($A138-Ft!G$2)^2)</f>
        <v>0</v>
      </c>
    </row>
    <row r="139" spans="1:10">
      <c r="A139" s="20">
        <v>137</v>
      </c>
      <c r="B139" s="29">
        <v>16.712178988837252</v>
      </c>
      <c r="C139" s="28">
        <f ca="1">OFFSET($B139,1*(ROWS(C$2:C139)-1),0)</f>
        <v>44.919079122290896</v>
      </c>
      <c r="D139" s="27">
        <f>Ft!B$3*EXP(Ft!B$38*($A139-Ft!B$2)^2) +Ft!C$3*EXP(Ft!C$38*($A139-Ft!C$2)^2) + Ft!D$3*EXP(Ft!D$38*($A139-Ft!D$2)^2)+Ft!E$3*EXP(Ft!E$38*($A139-Ft!E$2)^2) +Ft!F$3*EXP(Ft!F$38*($A139-Ft!F$2)^2) + Ft!G$3*EXP(Ft!G$38*($A139-Ft!G$2)^2)</f>
        <v>308264.98819877935</v>
      </c>
      <c r="E139" s="27">
        <f>Ft!B$3*EXP(Ft!B$38*($A139-Ft!B$2)^2)</f>
        <v>-115636.17927088153</v>
      </c>
      <c r="F139" s="27">
        <f>Ft!C$3*EXP(Ft!C$38*($A139-Ft!C$2)^2)</f>
        <v>0</v>
      </c>
      <c r="G139" s="27">
        <f>Ft!D$3*EXP(Ft!D$38*($A139-Ft!D$2)^2)</f>
        <v>310566.84876353858</v>
      </c>
      <c r="H139" s="27">
        <f>Ft!E$3*EXP(Ft!E$38*($A139-Ft!E$2)^2)</f>
        <v>399.47941222486946</v>
      </c>
      <c r="I139" s="27">
        <f>Ft!F$3*EXP(Ft!F$38*($A139-Ft!F$2)^2)</f>
        <v>112934.83929389741</v>
      </c>
      <c r="J139" s="27">
        <f>Ft!G$3*EXP(Ft!G$38*($A139-Ft!G$2)^2)</f>
        <v>0</v>
      </c>
    </row>
    <row r="140" spans="1:10">
      <c r="A140" s="20">
        <v>138</v>
      </c>
      <c r="B140" s="29">
        <v>16.904902499082766</v>
      </c>
      <c r="C140" s="28">
        <f ca="1">OFFSET($B140,1*(ROWS(C$2:C140)-1),0)</f>
        <v>45.316940648405136</v>
      </c>
      <c r="D140" s="27">
        <f>Ft!B$3*EXP(Ft!B$38*($A140-Ft!B$2)^2) +Ft!C$3*EXP(Ft!C$38*($A140-Ft!C$2)^2) + Ft!D$3*EXP(Ft!D$38*($A140-Ft!D$2)^2)+Ft!E$3*EXP(Ft!E$38*($A140-Ft!E$2)^2) +Ft!F$3*EXP(Ft!F$38*($A140-Ft!F$2)^2) + Ft!G$3*EXP(Ft!G$38*($A140-Ft!G$2)^2)</f>
        <v>310518.44669555494</v>
      </c>
      <c r="E140" s="27">
        <f>Ft!B$3*EXP(Ft!B$38*($A140-Ft!B$2)^2)</f>
        <v>-115637.50836562557</v>
      </c>
      <c r="F140" s="27">
        <f>Ft!C$3*EXP(Ft!C$38*($A140-Ft!C$2)^2)</f>
        <v>0</v>
      </c>
      <c r="G140" s="27">
        <f>Ft!D$3*EXP(Ft!D$38*($A140-Ft!D$2)^2)</f>
        <v>314354.6753197193</v>
      </c>
      <c r="H140" s="27">
        <f>Ft!E$3*EXP(Ft!E$38*($A140-Ft!E$2)^2)</f>
        <v>370.74787460329037</v>
      </c>
      <c r="I140" s="27">
        <f>Ft!F$3*EXP(Ft!F$38*($A140-Ft!F$2)^2)</f>
        <v>111430.53186685791</v>
      </c>
      <c r="J140" s="27">
        <f>Ft!G$3*EXP(Ft!G$38*($A140-Ft!G$2)^2)</f>
        <v>0</v>
      </c>
    </row>
    <row r="141" spans="1:10">
      <c r="A141" s="20">
        <v>139</v>
      </c>
      <c r="B141" s="29">
        <v>17.080868993172373</v>
      </c>
      <c r="C141" s="28">
        <f ca="1">OFFSET($B141,1*(ROWS(C$2:C141)-1),0)</f>
        <v>45.727465960365095</v>
      </c>
      <c r="D141" s="27">
        <f>Ft!B$3*EXP(Ft!B$38*($A141-Ft!B$2)^2) +Ft!C$3*EXP(Ft!C$38*($A141-Ft!C$2)^2) + Ft!D$3*EXP(Ft!D$38*($A141-Ft!D$2)^2)+Ft!E$3*EXP(Ft!E$38*($A141-Ft!E$2)^2) +Ft!F$3*EXP(Ft!F$38*($A141-Ft!F$2)^2) + Ft!G$3*EXP(Ft!G$38*($A141-Ft!G$2)^2)</f>
        <v>312773.78628332046</v>
      </c>
      <c r="E141" s="27">
        <f>Ft!B$3*EXP(Ft!B$38*($A141-Ft!B$2)^2)</f>
        <v>-115638.83694110866</v>
      </c>
      <c r="F141" s="27">
        <f>Ft!C$3*EXP(Ft!C$38*($A141-Ft!C$2)^2)</f>
        <v>0</v>
      </c>
      <c r="G141" s="27">
        <f>Ft!D$3*EXP(Ft!D$38*($A141-Ft!D$2)^2)</f>
        <v>318151.24203846004</v>
      </c>
      <c r="H141" s="27">
        <f>Ft!E$3*EXP(Ft!E$38*($A141-Ft!E$2)^2)</f>
        <v>343.87530666159438</v>
      </c>
      <c r="I141" s="27">
        <f>Ft!F$3*EXP(Ft!F$38*($A141-Ft!F$2)^2)</f>
        <v>109917.5058793075</v>
      </c>
      <c r="J141" s="27">
        <f>Ft!G$3*EXP(Ft!G$38*($A141-Ft!G$2)^2)</f>
        <v>0</v>
      </c>
    </row>
    <row r="142" spans="1:10">
      <c r="A142" s="20">
        <v>140</v>
      </c>
      <c r="B142" s="29">
        <v>17.267720281426762</v>
      </c>
      <c r="C142" s="28">
        <f ca="1">OFFSET($B142,1*(ROWS(C$2:C142)-1),0)</f>
        <v>46.095295073247314</v>
      </c>
      <c r="D142" s="27">
        <f>Ft!B$3*EXP(Ft!B$38*($A142-Ft!B$2)^2) +Ft!C$3*EXP(Ft!C$38*($A142-Ft!C$2)^2) + Ft!D$3*EXP(Ft!D$38*($A142-Ft!D$2)^2)+Ft!E$3*EXP(Ft!E$38*($A142-Ft!E$2)^2) +Ft!F$3*EXP(Ft!F$38*($A142-Ft!F$2)^2) + Ft!G$3*EXP(Ft!G$38*($A142-Ft!G$2)^2)</f>
        <v>315031.01419286081</v>
      </c>
      <c r="E142" s="27">
        <f>Ft!B$3*EXP(Ft!B$38*($A142-Ft!B$2)^2)</f>
        <v>-115640.16499731252</v>
      </c>
      <c r="F142" s="27">
        <f>Ft!C$3*EXP(Ft!C$38*($A142-Ft!C$2)^2)</f>
        <v>0</v>
      </c>
      <c r="G142" s="27">
        <f>Ft!D$3*EXP(Ft!D$38*($A142-Ft!D$2)^2)</f>
        <v>321955.75519543519</v>
      </c>
      <c r="H142" s="27">
        <f>Ft!E$3*EXP(Ft!E$38*($A142-Ft!E$2)^2)</f>
        <v>318.75819890071574</v>
      </c>
      <c r="I142" s="27">
        <f>Ft!F$3*EXP(Ft!F$38*($A142-Ft!F$2)^2)</f>
        <v>108396.66579583741</v>
      </c>
      <c r="J142" s="27">
        <f>Ft!G$3*EXP(Ft!G$38*($A142-Ft!G$2)^2)</f>
        <v>0</v>
      </c>
    </row>
    <row r="143" spans="1:10">
      <c r="A143" s="20">
        <v>141</v>
      </c>
      <c r="B143" s="29">
        <v>17.471769508058856</v>
      </c>
      <c r="C143" s="28">
        <f ca="1">OFFSET($B143,1*(ROWS(C$2:C143)-1),0)</f>
        <v>46.427428060986159</v>
      </c>
      <c r="D143" s="27">
        <f>Ft!B$3*EXP(Ft!B$38*($A143-Ft!B$2)^2) +Ft!C$3*EXP(Ft!C$38*($A143-Ft!C$2)^2) + Ft!D$3*EXP(Ft!D$38*($A143-Ft!D$2)^2)+Ft!E$3*EXP(Ft!E$38*($A143-Ft!E$2)^2) +Ft!F$3*EXP(Ft!F$38*($A143-Ft!F$2)^2) + Ft!G$3*EXP(Ft!G$38*($A143-Ft!G$2)^2)</f>
        <v>317290.12345742946</v>
      </c>
      <c r="E143" s="27">
        <f>Ft!B$3*EXP(Ft!B$38*($A143-Ft!B$2)^2)</f>
        <v>-115641.49253421894</v>
      </c>
      <c r="F143" s="27">
        <f>Ft!C$3*EXP(Ft!C$38*($A143-Ft!C$2)^2)</f>
        <v>0</v>
      </c>
      <c r="G143" s="27">
        <f>Ft!D$3*EXP(Ft!D$38*($A143-Ft!D$2)^2)</f>
        <v>325767.40870458138</v>
      </c>
      <c r="H143" s="27">
        <f>Ft!E$3*EXP(Ft!E$38*($A143-Ft!E$2)^2)</f>
        <v>295.29751388772667</v>
      </c>
      <c r="I143" s="27">
        <f>Ft!F$3*EXP(Ft!F$38*($A143-Ft!F$2)^2)</f>
        <v>106868.90977317927</v>
      </c>
      <c r="J143" s="27">
        <f>Ft!G$3*EXP(Ft!G$38*($A143-Ft!G$2)^2)</f>
        <v>0</v>
      </c>
    </row>
    <row r="144" spans="1:10">
      <c r="A144" s="20">
        <v>142</v>
      </c>
      <c r="B144" s="29">
        <v>17.665299644178816</v>
      </c>
      <c r="C144" s="28">
        <f ca="1">OFFSET($B144,1*(ROWS(C$2:C144)-1),0)</f>
        <v>46.681655639424719</v>
      </c>
      <c r="D144" s="27">
        <f>Ft!B$3*EXP(Ft!B$38*($A144-Ft!B$2)^2) +Ft!C$3*EXP(Ft!C$38*($A144-Ft!C$2)^2) + Ft!D$3*EXP(Ft!D$38*($A144-Ft!D$2)^2)+Ft!E$3*EXP(Ft!E$38*($A144-Ft!E$2)^2) +Ft!F$3*EXP(Ft!F$38*($A144-Ft!F$2)^2) + Ft!G$3*EXP(Ft!G$38*($A144-Ft!G$2)^2)</f>
        <v>319551.09220438532</v>
      </c>
      <c r="E144" s="27">
        <f>Ft!B$3*EXP(Ft!B$38*($A144-Ft!B$2)^2)</f>
        <v>-115642.81955180968</v>
      </c>
      <c r="F144" s="27">
        <f>Ft!C$3*EXP(Ft!C$38*($A144-Ft!C$2)^2)</f>
        <v>0</v>
      </c>
      <c r="G144" s="27">
        <f>Ft!D$3*EXP(Ft!D$38*($A144-Ft!D$2)^2)</f>
        <v>329585.38435211184</v>
      </c>
      <c r="H144" s="27">
        <f>Ft!E$3*EXP(Ft!E$38*($A144-Ft!E$2)^2)</f>
        <v>273.39858967446901</v>
      </c>
      <c r="I144" s="27">
        <f>Ft!F$3*EXP(Ft!F$38*($A144-Ft!F$2)^2)</f>
        <v>105335.12881440867</v>
      </c>
      <c r="J144" s="27">
        <f>Ft!G$3*EXP(Ft!G$38*($A144-Ft!G$2)^2)</f>
        <v>0</v>
      </c>
    </row>
    <row r="145" spans="1:10">
      <c r="A145" s="20">
        <v>143</v>
      </c>
      <c r="B145" s="29">
        <v>17.854093999957456</v>
      </c>
      <c r="C145" s="28">
        <f ca="1">OFFSET($B145,1*(ROWS(C$2:C145)-1),0)</f>
        <v>46.931584327113484</v>
      </c>
      <c r="D145" s="27">
        <f>Ft!B$3*EXP(Ft!B$38*($A145-Ft!B$2)^2) +Ft!C$3*EXP(Ft!C$38*($A145-Ft!C$2)^2) + Ft!D$3*EXP(Ft!D$38*($A145-Ft!D$2)^2)+Ft!E$3*EXP(Ft!E$38*($A145-Ft!E$2)^2) +Ft!F$3*EXP(Ft!F$38*($A145-Ft!F$2)^2) + Ft!G$3*EXP(Ft!G$38*($A145-Ft!G$2)^2)</f>
        <v>321813.88297227403</v>
      </c>
      <c r="E145" s="27">
        <f>Ft!B$3*EXP(Ft!B$38*($A145-Ft!B$2)^2)</f>
        <v>-115644.1460500665</v>
      </c>
      <c r="F145" s="27">
        <f>Ft!C$3*EXP(Ft!C$38*($A145-Ft!C$2)^2)</f>
        <v>0</v>
      </c>
      <c r="G145" s="27">
        <f>Ft!D$3*EXP(Ft!D$38*($A145-Ft!D$2)^2)</f>
        <v>333408.85204049543</v>
      </c>
      <c r="H145" s="27">
        <f>Ft!E$3*EXP(Ft!E$38*($A145-Ft!E$2)^2)</f>
        <v>252.9710375971957</v>
      </c>
      <c r="I145" s="27">
        <f>Ft!F$3*EXP(Ft!F$38*($A145-Ft!F$2)^2)</f>
        <v>103796.20594424791</v>
      </c>
      <c r="J145" s="27">
        <f>Ft!G$3*EXP(Ft!G$38*($A145-Ft!G$2)^2)</f>
        <v>0</v>
      </c>
    </row>
    <row r="146" spans="1:10">
      <c r="A146" s="20">
        <v>144</v>
      </c>
      <c r="B146" s="29">
        <v>18.041167608967839</v>
      </c>
      <c r="C146" s="28">
        <f ca="1">OFFSET($B146,1*(ROWS(C$2:C146)-1),0)</f>
        <v>47.167427282568724</v>
      </c>
      <c r="D146" s="27">
        <f>Ft!B$3*EXP(Ft!B$38*($A146-Ft!B$2)^2) +Ft!C$3*EXP(Ft!C$38*($A146-Ft!C$2)^2) + Ft!D$3*EXP(Ft!D$38*($A146-Ft!D$2)^2)+Ft!E$3*EXP(Ft!E$38*($A146-Ft!E$2)^2) +Ft!F$3*EXP(Ft!F$38*($A146-Ft!F$2)^2) + Ft!G$3*EXP(Ft!G$38*($A146-Ft!G$2)^2)</f>
        <v>324078.44205505581</v>
      </c>
      <c r="E146" s="27">
        <f>Ft!B$3*EXP(Ft!B$38*($A146-Ft!B$2)^2)</f>
        <v>-115645.4720289712</v>
      </c>
      <c r="F146" s="27">
        <f>Ft!C$3*EXP(Ft!C$38*($A146-Ft!C$2)^2)</f>
        <v>0</v>
      </c>
      <c r="G146" s="27">
        <f>Ft!D$3*EXP(Ft!D$38*($A146-Ft!D$2)^2)</f>
        <v>337236.97004234523</v>
      </c>
      <c r="H146" s="27">
        <f>Ft!E$3*EXP(Ft!E$38*($A146-Ft!E$2)^2)</f>
        <v>233.92863522651714</v>
      </c>
      <c r="I146" s="27">
        <f>Ft!F$3*EXP(Ft!F$38*($A146-Ft!F$2)^2)</f>
        <v>102253.01540645525</v>
      </c>
      <c r="J146" s="27">
        <f>Ft!G$3*EXP(Ft!G$38*($A146-Ft!G$2)^2)</f>
        <v>0</v>
      </c>
    </row>
    <row r="147" spans="1:10">
      <c r="A147" s="20">
        <v>145</v>
      </c>
      <c r="B147" s="29">
        <v>18.227747084390387</v>
      </c>
      <c r="C147" s="28">
        <f ca="1">OFFSET($B147,1*(ROWS(C$2:C147)-1),0)</f>
        <v>47.417087667751957</v>
      </c>
      <c r="D147" s="27">
        <f>Ft!B$3*EXP(Ft!B$38*($A147-Ft!B$2)^2) +Ft!C$3*EXP(Ft!C$38*($A147-Ft!C$2)^2) + Ft!D$3*EXP(Ft!D$38*($A147-Ft!D$2)^2)+Ft!E$3*EXP(Ft!E$38*($A147-Ft!E$2)^2) +Ft!F$3*EXP(Ft!F$38*($A147-Ft!F$2)^2) + Ft!G$3*EXP(Ft!G$38*($A147-Ft!G$2)^2)</f>
        <v>326344.69887508033</v>
      </c>
      <c r="E147" s="27">
        <f>Ft!B$3*EXP(Ft!B$38*($A147-Ft!B$2)^2)</f>
        <v>-115646.79748850554</v>
      </c>
      <c r="F147" s="27">
        <f>Ft!C$3*EXP(Ft!C$38*($A147-Ft!C$2)^2)</f>
        <v>0</v>
      </c>
      <c r="G147" s="27">
        <f>Ft!D$3*EXP(Ft!D$38*($A147-Ft!D$2)^2)</f>
        <v>341068.88526415196</v>
      </c>
      <c r="H147" s="27">
        <f>Ft!E$3*EXP(Ft!E$38*($A147-Ft!E$2)^2)</f>
        <v>216.18921519980461</v>
      </c>
      <c r="I147" s="27">
        <f>Ft!F$3*EXP(Ft!F$38*($A147-Ft!F$2)^2)</f>
        <v>100706.42188423408</v>
      </c>
      <c r="J147" s="27">
        <f>Ft!G$3*EXP(Ft!G$38*($A147-Ft!G$2)^2)</f>
        <v>0</v>
      </c>
    </row>
    <row r="148" spans="1:10">
      <c r="A148" s="20">
        <v>146</v>
      </c>
      <c r="B148" s="29">
        <v>18.406214207687611</v>
      </c>
      <c r="C148" s="28">
        <f ca="1">OFFSET($B148,1*(ROWS(C$2:C148)-1),0)</f>
        <v>47.575802466907845</v>
      </c>
      <c r="D148" s="27">
        <f>Ft!B$3*EXP(Ft!B$38*($A148-Ft!B$2)^2) +Ft!C$3*EXP(Ft!C$38*($A148-Ft!C$2)^2) + Ft!D$3*EXP(Ft!D$38*($A148-Ft!D$2)^2)+Ft!E$3*EXP(Ft!E$38*($A148-Ft!E$2)^2) +Ft!F$3*EXP(Ft!F$38*($A148-Ft!F$2)^2) + Ft!G$3*EXP(Ft!G$38*($A148-Ft!G$2)^2)</f>
        <v>328612.56538630906</v>
      </c>
      <c r="E148" s="27">
        <f>Ft!B$3*EXP(Ft!B$38*($A148-Ft!B$2)^2)</f>
        <v>-115648.12242865133</v>
      </c>
      <c r="F148" s="27">
        <f>Ft!C$3*EXP(Ft!C$38*($A148-Ft!C$2)^2)</f>
        <v>0</v>
      </c>
      <c r="G148" s="27">
        <f>Ft!D$3*EXP(Ft!D$38*($A148-Ft!D$2)^2)</f>
        <v>344903.73351979023</v>
      </c>
      <c r="H148" s="27">
        <f>Ft!E$3*EXP(Ft!E$38*($A148-Ft!E$2)^2)</f>
        <v>199.67455063045469</v>
      </c>
      <c r="I148" s="27">
        <f>Ft!F$3*EXP(Ft!F$38*($A148-Ft!F$2)^2)</f>
        <v>99157.279744539672</v>
      </c>
      <c r="J148" s="27">
        <f>Ft!G$3*EXP(Ft!G$38*($A148-Ft!G$2)^2)</f>
        <v>0</v>
      </c>
    </row>
    <row r="149" spans="1:10">
      <c r="A149" s="20">
        <v>147</v>
      </c>
      <c r="B149" s="29">
        <v>18.57920047253242</v>
      </c>
      <c r="C149" s="28">
        <f ca="1">OFFSET($B149,1*(ROWS(C$2:C149)-1),0)</f>
        <v>47.727399033613892</v>
      </c>
      <c r="D149" s="27">
        <f>Ft!B$3*EXP(Ft!B$38*($A149-Ft!B$2)^2) +Ft!C$3*EXP(Ft!C$38*($A149-Ft!C$2)^2) + Ft!D$3*EXP(Ft!D$38*($A149-Ft!D$2)^2)+Ft!E$3*EXP(Ft!E$38*($A149-Ft!E$2)^2) +Ft!F$3*EXP(Ft!F$38*($A149-Ft!F$2)^2) + Ft!G$3*EXP(Ft!G$38*($A149-Ft!G$2)^2)</f>
        <v>330881.93550918042</v>
      </c>
      <c r="E149" s="27">
        <f>Ft!B$3*EXP(Ft!B$38*($A149-Ft!B$2)^2)</f>
        <v>-115649.44684939038</v>
      </c>
      <c r="F149" s="27">
        <f>Ft!C$3*EXP(Ft!C$38*($A149-Ft!C$2)^2)</f>
        <v>0</v>
      </c>
      <c r="G149" s="27">
        <f>Ft!D$3*EXP(Ft!D$38*($A149-Ft!D$2)^2)</f>
        <v>348740.63981371466</v>
      </c>
      <c r="H149" s="27">
        <f>Ft!E$3*EXP(Ft!E$38*($A149-Ft!E$2)^2)</f>
        <v>184.31023775024033</v>
      </c>
      <c r="I149" s="27">
        <f>Ft!F$3*EXP(Ft!F$38*($A149-Ft!F$2)^2)</f>
        <v>97606.43230710589</v>
      </c>
      <c r="J149" s="27">
        <f>Ft!G$3*EXP(Ft!G$38*($A149-Ft!G$2)^2)</f>
        <v>0</v>
      </c>
    </row>
    <row r="150" spans="1:10">
      <c r="A150" s="20">
        <v>148</v>
      </c>
      <c r="B150" s="29">
        <v>18.771690158042844</v>
      </c>
      <c r="C150" s="28">
        <f ca="1">OFFSET($B150,1*(ROWS(C$2:C150)-1),0)</f>
        <v>47.947038208703447</v>
      </c>
      <c r="D150" s="27">
        <f>Ft!B$3*EXP(Ft!B$38*($A150-Ft!B$2)^2) +Ft!C$3*EXP(Ft!C$38*($A150-Ft!C$2)^2) + Ft!D$3*EXP(Ft!D$38*($A150-Ft!D$2)^2)+Ft!E$3*EXP(Ft!E$38*($A150-Ft!E$2)^2) +Ft!F$3*EXP(Ft!F$38*($A150-Ft!F$2)^2) + Ft!G$3*EXP(Ft!G$38*($A150-Ft!G$2)^2)</f>
        <v>333152.68459840771</v>
      </c>
      <c r="E150" s="27">
        <f>Ft!B$3*EXP(Ft!B$38*($A150-Ft!B$2)^2)</f>
        <v>-115650.77075070447</v>
      </c>
      <c r="F150" s="27">
        <f>Ft!C$3*EXP(Ft!C$38*($A150-Ft!C$2)^2)</f>
        <v>0</v>
      </c>
      <c r="G150" s="27">
        <f>Ft!D$3*EXP(Ft!D$38*($A150-Ft!D$2)^2)</f>
        <v>352578.7186337543</v>
      </c>
      <c r="H150" s="27">
        <f>Ft!E$3*EXP(Ft!E$38*($A150-Ft!E$2)^2)</f>
        <v>170.02557640264868</v>
      </c>
      <c r="I150" s="27">
        <f>Ft!F$3*EXP(Ft!F$38*($A150-Ft!F$2)^2)</f>
        <v>96054.71113895523</v>
      </c>
      <c r="J150" s="27">
        <f>Ft!G$3*EXP(Ft!G$38*($A150-Ft!G$2)^2)</f>
        <v>0</v>
      </c>
    </row>
    <row r="151" spans="1:10">
      <c r="A151" s="20">
        <v>149</v>
      </c>
      <c r="B151" s="29">
        <v>18.958025828641865</v>
      </c>
      <c r="C151" s="28">
        <f ca="1">OFFSET($B151,1*(ROWS(C$2:C151)-1),0)</f>
        <v>48.10180977345297</v>
      </c>
      <c r="D151" s="27">
        <f>Ft!B$3*EXP(Ft!B$38*($A151-Ft!B$2)^2) +Ft!C$3*EXP(Ft!C$38*($A151-Ft!C$2)^2) + Ft!D$3*EXP(Ft!D$38*($A151-Ft!D$2)^2)+Ft!E$3*EXP(Ft!E$38*($A151-Ft!E$2)^2) +Ft!F$3*EXP(Ft!F$38*($A151-Ft!F$2)^2) + Ft!G$3*EXP(Ft!G$38*($A151-Ft!G$2)^2)</f>
        <v>335424.66894489806</v>
      </c>
      <c r="E151" s="27">
        <f>Ft!B$3*EXP(Ft!B$38*($A151-Ft!B$2)^2)</f>
        <v>-115652.09413257544</v>
      </c>
      <c r="F151" s="27">
        <f>Ft!C$3*EXP(Ft!C$38*($A151-Ft!C$2)^2)</f>
        <v>0</v>
      </c>
      <c r="G151" s="27">
        <f>Ft!D$3*EXP(Ft!D$38*($A151-Ft!D$2)^2)</f>
        <v>356417.07425340702</v>
      </c>
      <c r="H151" s="27">
        <f>Ft!E$3*EXP(Ft!E$38*($A151-Ft!E$2)^2)</f>
        <v>156.75344896679619</v>
      </c>
      <c r="I151" s="27">
        <f>Ft!F$3*EXP(Ft!F$38*($A151-Ft!F$2)^2)</f>
        <v>94502.935375099667</v>
      </c>
      <c r="J151" s="27">
        <f>Ft!G$3*EXP(Ft!G$38*($A151-Ft!G$2)^2)</f>
        <v>0</v>
      </c>
    </row>
    <row r="152" spans="1:10">
      <c r="A152" s="20">
        <v>150</v>
      </c>
      <c r="B152" s="29">
        <v>19.124989979269742</v>
      </c>
      <c r="C152" s="28">
        <f ca="1">OFFSET($B152,1*(ROWS(C$2:C152)-1),0)</f>
        <v>48.226219882416245</v>
      </c>
      <c r="D152" s="27">
        <f>Ft!B$3*EXP(Ft!B$38*($A152-Ft!B$2)^2) +Ft!C$3*EXP(Ft!C$38*($A152-Ft!C$2)^2) + Ft!D$3*EXP(Ft!D$38*($A152-Ft!D$2)^2)+Ft!E$3*EXP(Ft!E$38*($A152-Ft!E$2)^2) +Ft!F$3*EXP(Ft!F$38*($A152-Ft!F$2)^2) + Ft!G$3*EXP(Ft!G$38*($A152-Ft!G$2)^2)</f>
        <v>337697.72531287104</v>
      </c>
      <c r="E152" s="27">
        <f>Ft!B$3*EXP(Ft!B$38*($A152-Ft!B$2)^2)</f>
        <v>-115653.41699498508</v>
      </c>
      <c r="F152" s="27">
        <f>Ft!C$3*EXP(Ft!C$38*($A152-Ft!C$2)^2)</f>
        <v>0</v>
      </c>
      <c r="G152" s="27">
        <f>Ft!D$3*EXP(Ft!D$38*($A152-Ft!D$2)^2)</f>
        <v>360254.8010435233</v>
      </c>
      <c r="H152" s="27">
        <f>Ft!E$3*EXP(Ft!E$38*($A152-Ft!E$2)^2)</f>
        <v>144.43019825346838</v>
      </c>
      <c r="I152" s="27">
        <f>Ft!F$3*EXP(Ft!F$38*($A152-Ft!F$2)^2)</f>
        <v>92951.911066079367</v>
      </c>
      <c r="J152" s="27">
        <f>Ft!G$3*EXP(Ft!G$38*($A152-Ft!G$2)^2)</f>
        <v>0</v>
      </c>
    </row>
    <row r="153" spans="1:10">
      <c r="A153" s="20">
        <v>151</v>
      </c>
      <c r="B153" s="29">
        <v>19.301110173817591</v>
      </c>
      <c r="C153" s="28">
        <f ca="1">OFFSET($B153,1*(ROWS(C$2:C153)-1),0)</f>
        <v>48.338221628167645</v>
      </c>
      <c r="D153" s="27">
        <f>Ft!B$3*EXP(Ft!B$38*($A153-Ft!B$2)^2) +Ft!C$3*EXP(Ft!C$38*($A153-Ft!C$2)^2) + Ft!D$3*EXP(Ft!D$38*($A153-Ft!D$2)^2)+Ft!E$3*EXP(Ft!E$38*($A153-Ft!E$2)^2) +Ft!F$3*EXP(Ft!F$38*($A153-Ft!F$2)^2) + Ft!G$3*EXP(Ft!G$38*($A153-Ft!G$2)^2)</f>
        <v>339971.67051315261</v>
      </c>
      <c r="E153" s="27">
        <f>Ft!B$3*EXP(Ft!B$38*($A153-Ft!B$2)^2)</f>
        <v>-115654.73933791525</v>
      </c>
      <c r="F153" s="27">
        <f>Ft!C$3*EXP(Ft!C$38*($A153-Ft!C$2)^2)</f>
        <v>0</v>
      </c>
      <c r="G153" s="27">
        <f>Ft!D$3*EXP(Ft!D$38*($A153-Ft!D$2)^2)</f>
        <v>364090.98379326181</v>
      </c>
      <c r="H153" s="27">
        <f>Ft!E$3*EXP(Ft!E$38*($A153-Ft!E$2)^2)</f>
        <v>132.99550487718091</v>
      </c>
      <c r="I153" s="27">
        <f>Ft!F$3*EXP(Ft!F$38*($A153-Ft!F$2)^2)</f>
        <v>91402.430552928869</v>
      </c>
      <c r="J153" s="27">
        <f>Ft!G$3*EXP(Ft!G$38*($A153-Ft!G$2)^2)</f>
        <v>0</v>
      </c>
    </row>
    <row r="154" spans="1:10">
      <c r="A154" s="20">
        <v>152</v>
      </c>
      <c r="B154" s="29">
        <v>19.510738182804175</v>
      </c>
      <c r="C154" s="28">
        <f ca="1">OFFSET($B154,1*(ROWS(C$2:C154)-1),0)</f>
        <v>48.305268424173534</v>
      </c>
      <c r="D154" s="27">
        <f>Ft!B$3*EXP(Ft!B$38*($A154-Ft!B$2)^2) +Ft!C$3*EXP(Ft!C$38*($A154-Ft!C$2)^2) + Ft!D$3*EXP(Ft!D$38*($A154-Ft!D$2)^2)+Ft!E$3*EXP(Ft!E$38*($A154-Ft!E$2)^2) +Ft!F$3*EXP(Ft!F$38*($A154-Ft!F$2)^2) + Ft!G$3*EXP(Ft!G$38*($A154-Ft!G$2)^2)</f>
        <v>342246.3010135137</v>
      </c>
      <c r="E154" s="27">
        <f>Ft!B$3*EXP(Ft!B$38*($A154-Ft!B$2)^2)</f>
        <v>-115656.06116134778</v>
      </c>
      <c r="F154" s="27">
        <f>Ft!C$3*EXP(Ft!C$38*($A154-Ft!C$2)^2)</f>
        <v>0</v>
      </c>
      <c r="G154" s="27">
        <f>Ft!D$3*EXP(Ft!D$38*($A154-Ft!D$2)^2)</f>
        <v>367924.69804019033</v>
      </c>
      <c r="H154" s="27">
        <f>Ft!E$3*EXP(Ft!E$38*($A154-Ft!E$2)^2)</f>
        <v>122.39226457110669</v>
      </c>
      <c r="I154" s="27">
        <f>Ft!F$3*EXP(Ft!F$38*($A154-Ft!F$2)^2)</f>
        <v>89855.271870100056</v>
      </c>
      <c r="J154" s="27">
        <f>Ft!G$3*EXP(Ft!G$38*($A154-Ft!G$2)^2)</f>
        <v>0</v>
      </c>
    </row>
    <row r="155" spans="1:10">
      <c r="A155" s="20">
        <v>153</v>
      </c>
      <c r="B155" s="29">
        <v>19.714770750985053</v>
      </c>
      <c r="C155" s="28">
        <f ca="1">OFFSET($B155,1*(ROWS(C$2:C155)-1),0)</f>
        <v>48.288242600902038</v>
      </c>
      <c r="D155" s="27">
        <f>Ft!B$3*EXP(Ft!B$38*($A155-Ft!B$2)^2) +Ft!C$3*EXP(Ft!C$38*($A155-Ft!C$2)^2) + Ft!D$3*EXP(Ft!D$38*($A155-Ft!D$2)^2)+Ft!E$3*EXP(Ft!E$38*($A155-Ft!E$2)^2) +Ft!F$3*EXP(Ft!F$38*($A155-Ft!F$2)^2) + Ft!G$3*EXP(Ft!G$38*($A155-Ft!G$2)^2)</f>
        <v>344521.39258681861</v>
      </c>
      <c r="E155" s="27">
        <f>Ft!B$3*EXP(Ft!B$38*($A155-Ft!B$2)^2)</f>
        <v>-115657.3824652645</v>
      </c>
      <c r="F155" s="27">
        <f>Ft!C$3*EXP(Ft!C$38*($A155-Ft!C$2)^2)</f>
        <v>0</v>
      </c>
      <c r="G155" s="27">
        <f>Ft!D$3*EXP(Ft!D$38*($A155-Ft!D$2)^2)</f>
        <v>371755.01040939515</v>
      </c>
      <c r="H155" s="27">
        <f>Ft!E$3*EXP(Ft!E$38*($A155-Ft!E$2)^2)</f>
        <v>112.5664658753844</v>
      </c>
      <c r="I155" s="27">
        <f>Ft!F$3*EXP(Ft!F$38*($A155-Ft!F$2)^2)</f>
        <v>88311.19817681257</v>
      </c>
      <c r="J155" s="27">
        <f>Ft!G$3*EXP(Ft!G$38*($A155-Ft!G$2)^2)</f>
        <v>0</v>
      </c>
    </row>
    <row r="156" spans="1:10">
      <c r="A156" s="20">
        <v>154</v>
      </c>
      <c r="B156" s="29">
        <v>19.896422495919637</v>
      </c>
      <c r="C156" s="28">
        <f ca="1">OFFSET($B156,1*(ROWS(C$2:C156)-1),0)</f>
        <v>48.277677120078778</v>
      </c>
      <c r="D156" s="27">
        <f>Ft!B$3*EXP(Ft!B$38*($A156-Ft!B$2)^2) +Ft!C$3*EXP(Ft!C$38*($A156-Ft!C$2)^2) + Ft!D$3*EXP(Ft!D$38*($A156-Ft!D$2)^2)+Ft!E$3*EXP(Ft!E$38*($A156-Ft!E$2)^2) +Ft!F$3*EXP(Ft!F$38*($A156-Ft!F$2)^2) + Ft!G$3*EXP(Ft!G$38*($A156-Ft!G$2)^2)</f>
        <v>346796.69999764441</v>
      </c>
      <c r="E156" s="27">
        <f>Ft!B$3*EXP(Ft!B$38*($A156-Ft!B$2)^2)</f>
        <v>-115658.70324964727</v>
      </c>
      <c r="F156" s="27">
        <f>Ft!C$3*EXP(Ft!C$38*($A156-Ft!C$2)^2)</f>
        <v>0</v>
      </c>
      <c r="G156" s="27">
        <f>Ft!D$3*EXP(Ft!D$38*($A156-Ft!D$2)^2)</f>
        <v>375580.97896145552</v>
      </c>
      <c r="H156" s="27">
        <f>Ft!E$3*EXP(Ft!E$38*($A156-Ft!E$2)^2)</f>
        <v>103.46706859386056</v>
      </c>
      <c r="I156" s="27">
        <f>Ft!F$3*EXP(Ft!F$38*($A156-Ft!F$2)^2)</f>
        <v>86770.957217242278</v>
      </c>
      <c r="J156" s="27">
        <f>Ft!G$3*EXP(Ft!G$38*($A156-Ft!G$2)^2)</f>
        <v>0</v>
      </c>
    </row>
    <row r="157" spans="1:10">
      <c r="A157" s="20">
        <v>155</v>
      </c>
      <c r="B157" s="29">
        <v>20.083078953001973</v>
      </c>
      <c r="C157" s="28">
        <f ca="1">OFFSET($B157,1*(ROWS(C$2:C157)-1),0)</f>
        <v>48.289875596066395</v>
      </c>
      <c r="D157" s="27">
        <f>Ft!B$3*EXP(Ft!B$38*($A157-Ft!B$2)^2) +Ft!C$3*EXP(Ft!C$38*($A157-Ft!C$2)^2) + Ft!D$3*EXP(Ft!D$38*($A157-Ft!D$2)^2)+Ft!E$3*EXP(Ft!E$38*($A157-Ft!E$2)^2) +Ft!F$3*EXP(Ft!F$38*($A157-Ft!F$2)^2) + Ft!G$3*EXP(Ft!G$38*($A157-Ft!G$2)^2)</f>
        <v>349071.95672792912</v>
      </c>
      <c r="E157" s="27">
        <f>Ft!B$3*EXP(Ft!B$38*($A157-Ft!B$2)^2)</f>
        <v>-115660.02351447793</v>
      </c>
      <c r="F157" s="27">
        <f>Ft!C$3*EXP(Ft!C$38*($A157-Ft!C$2)^2)</f>
        <v>0</v>
      </c>
      <c r="G157" s="27">
        <f>Ft!D$3*EXP(Ft!D$38*($A157-Ft!D$2)^2)</f>
        <v>379401.65354912728</v>
      </c>
      <c r="H157" s="27">
        <f>Ft!E$3*EXP(Ft!E$38*($A157-Ft!E$2)^2)</f>
        <v>95.045883379825099</v>
      </c>
      <c r="I157" s="27">
        <f>Ft!F$3*EXP(Ft!F$38*($A157-Ft!F$2)^2)</f>
        <v>85235.280809899967</v>
      </c>
      <c r="J157" s="27">
        <f>Ft!G$3*EXP(Ft!G$38*($A157-Ft!G$2)^2)</f>
        <v>0</v>
      </c>
    </row>
    <row r="158" spans="1:10">
      <c r="A158" s="20">
        <v>156</v>
      </c>
      <c r="B158" s="29">
        <v>20.285245962246563</v>
      </c>
      <c r="C158" s="28">
        <f ca="1">OFFSET($B158,1*(ROWS(C$2:C158)-1),0)</f>
        <v>48.272978543089778</v>
      </c>
      <c r="D158" s="27">
        <f>Ft!B$3*EXP(Ft!B$38*($A158-Ft!B$2)^2) +Ft!C$3*EXP(Ft!C$38*($A158-Ft!C$2)^2) + Ft!D$3*EXP(Ft!D$38*($A158-Ft!D$2)^2)+Ft!E$3*EXP(Ft!E$38*($A158-Ft!E$2)^2) +Ft!F$3*EXP(Ft!F$38*($A158-Ft!F$2)^2) + Ft!G$3*EXP(Ft!G$38*($A158-Ft!G$2)^2)</f>
        <v>351346.87474210723</v>
      </c>
      <c r="E158" s="27">
        <f>Ft!B$3*EXP(Ft!B$38*($A158-Ft!B$2)^2)</f>
        <v>-115661.34325973837</v>
      </c>
      <c r="F158" s="27">
        <f>Ft!C$3*EXP(Ft!C$38*($A158-Ft!C$2)^2)</f>
        <v>0</v>
      </c>
      <c r="G158" s="27">
        <f>Ft!D$3*EXP(Ft!D$38*($A158-Ft!D$2)^2)</f>
        <v>383216.07618257514</v>
      </c>
      <c r="H158" s="27">
        <f>Ft!E$3*EXP(Ft!E$38*($A158-Ft!E$2)^2)</f>
        <v>87.257452777899502</v>
      </c>
      <c r="I158" s="27">
        <f>Ft!F$3*EXP(Ft!F$38*($A158-Ft!F$2)^2)</f>
        <v>83704.884366492581</v>
      </c>
      <c r="J158" s="27">
        <f>Ft!G$3*EXP(Ft!G$38*($A158-Ft!G$2)^2)</f>
        <v>0</v>
      </c>
    </row>
    <row r="159" spans="1:10">
      <c r="A159" s="20">
        <v>157</v>
      </c>
      <c r="B159" s="29">
        <v>20.488708486909786</v>
      </c>
      <c r="C159" s="28">
        <f ca="1">OFFSET($B159,1*(ROWS(C$2:C159)-1),0)</f>
        <v>48.293325054205866</v>
      </c>
      <c r="D159" s="27">
        <f>Ft!B$3*EXP(Ft!B$38*($A159-Ft!B$2)^2) +Ft!C$3*EXP(Ft!C$38*($A159-Ft!C$2)^2) + Ft!D$3*EXP(Ft!D$38*($A159-Ft!D$2)^2)+Ft!E$3*EXP(Ft!E$38*($A159-Ft!E$2)^2) +Ft!F$3*EXP(Ft!F$38*($A159-Ft!F$2)^2) + Ft!G$3*EXP(Ft!G$38*($A159-Ft!G$2)^2)</f>
        <v>353621.14429208974</v>
      </c>
      <c r="E159" s="27">
        <f>Ft!B$3*EXP(Ft!B$38*($A159-Ft!B$2)^2)</f>
        <v>-115662.66248541043</v>
      </c>
      <c r="F159" s="27">
        <f>Ft!C$3*EXP(Ft!C$38*($A159-Ft!C$2)^2)</f>
        <v>0</v>
      </c>
      <c r="G159" s="27">
        <f>Ft!D$3*EXP(Ft!D$38*($A159-Ft!D$2)^2)</f>
        <v>387023.28140298167</v>
      </c>
      <c r="H159" s="27">
        <f>Ft!E$3*EXP(Ft!E$38*($A159-Ft!E$2)^2)</f>
        <v>80.058934016994044</v>
      </c>
      <c r="I159" s="27">
        <f>Ft!F$3*EXP(Ft!F$38*($A159-Ft!F$2)^2)</f>
        <v>82180.466440501521</v>
      </c>
      <c r="J159" s="27">
        <f>Ft!G$3*EXP(Ft!G$38*($A159-Ft!G$2)^2)</f>
        <v>0</v>
      </c>
    </row>
    <row r="160" spans="1:10">
      <c r="A160" s="20">
        <v>158</v>
      </c>
      <c r="B160" s="29">
        <v>20.67976577465339</v>
      </c>
      <c r="C160" s="28">
        <f ca="1">OFFSET($B160,1*(ROWS(C$2:C160)-1),0)</f>
        <v>48.264178407994535</v>
      </c>
      <c r="D160" s="27">
        <f>Ft!B$3*EXP(Ft!B$38*($A160-Ft!B$2)^2) +Ft!C$3*EXP(Ft!C$38*($A160-Ft!C$2)^2) + Ft!D$3*EXP(Ft!D$38*($A160-Ft!D$2)^2)+Ft!E$3*EXP(Ft!E$38*($A160-Ft!E$2)^2) +Ft!F$3*EXP(Ft!F$38*($A160-Ft!F$2)^2) + Ft!G$3*EXP(Ft!G$38*($A160-Ft!G$2)^2)</f>
        <v>355894.43376234802</v>
      </c>
      <c r="E160" s="27">
        <f>Ft!B$3*EXP(Ft!B$38*($A160-Ft!B$2)^2)</f>
        <v>-115663.98119147602</v>
      </c>
      <c r="F160" s="27">
        <f>Ft!C$3*EXP(Ft!C$38*($A160-Ft!C$2)^2)</f>
        <v>0</v>
      </c>
      <c r="G160" s="27">
        <f>Ft!D$3*EXP(Ft!D$38*($A160-Ft!D$2)^2)</f>
        <v>390822.29666435195</v>
      </c>
      <c r="H160" s="27">
        <f>Ft!E$3*EXP(Ft!E$38*($A160-Ft!E$2)^2)</f>
        <v>73.409983818254503</v>
      </c>
      <c r="I160" s="27">
        <f>Ft!F$3*EXP(Ft!F$38*($A160-Ft!F$2)^2)</f>
        <v>80662.708305653796</v>
      </c>
      <c r="J160" s="27">
        <f>Ft!G$3*EXP(Ft!G$38*($A160-Ft!G$2)^2)</f>
        <v>0</v>
      </c>
    </row>
    <row r="161" spans="1:10">
      <c r="A161" s="20">
        <v>159</v>
      </c>
      <c r="B161" s="29">
        <v>20.872649090115061</v>
      </c>
      <c r="C161" s="28">
        <f ca="1">OFFSET($B161,1*(ROWS(C$2:C161)-1),0)</f>
        <v>48.280126515757331</v>
      </c>
      <c r="D161" s="27">
        <f>Ft!B$3*EXP(Ft!B$38*($A161-Ft!B$2)^2) +Ft!C$3*EXP(Ft!C$38*($A161-Ft!C$2)^2) + Ft!D$3*EXP(Ft!D$38*($A161-Ft!D$2)^2)+Ft!E$3*EXP(Ft!E$38*($A161-Ft!E$2)^2) +Ft!F$3*EXP(Ft!F$38*($A161-Ft!F$2)^2) + Ft!G$3*EXP(Ft!G$38*($A161-Ft!G$2)^2)</f>
        <v>358166.3895552677</v>
      </c>
      <c r="E161" s="27">
        <f>Ft!B$3*EXP(Ft!B$38*($A161-Ft!B$2)^2)</f>
        <v>-115665.29937791701</v>
      </c>
      <c r="F161" s="27">
        <f>Ft!C$3*EXP(Ft!C$38*($A161-Ft!C$2)^2)</f>
        <v>0</v>
      </c>
      <c r="G161" s="27">
        <f>Ft!D$3*EXP(Ft!D$38*($A161-Ft!D$2)^2)</f>
        <v>394612.14272332715</v>
      </c>
      <c r="H161" s="27">
        <f>Ft!E$3*EXP(Ft!E$38*($A161-Ft!E$2)^2)</f>
        <v>67.272645452222349</v>
      </c>
      <c r="I161" s="27">
        <f>Ft!F$3*EXP(Ft!F$38*($A161-Ft!F$2)^2)</f>
        <v>79152.273564405332</v>
      </c>
      <c r="J161" s="27">
        <f>Ft!G$3*EXP(Ft!G$38*($A161-Ft!G$2)^2)</f>
        <v>0</v>
      </c>
    </row>
    <row r="162" spans="1:10">
      <c r="A162" s="20">
        <v>160</v>
      </c>
      <c r="B162" s="29">
        <v>21.070432870060131</v>
      </c>
      <c r="C162" s="28">
        <f ca="1">OFFSET($B162,1*(ROWS(C$2:C162)-1),0)</f>
        <v>48.289552414484945</v>
      </c>
      <c r="D162" s="27">
        <f>Ft!B$3*EXP(Ft!B$38*($A162-Ft!B$2)^2) +Ft!C$3*EXP(Ft!C$38*($A162-Ft!C$2)^2) + Ft!D$3*EXP(Ft!D$38*($A162-Ft!D$2)^2)+Ft!E$3*EXP(Ft!E$38*($A162-Ft!E$2)^2) +Ft!F$3*EXP(Ft!F$38*($A162-Ft!F$2)^2) + Ft!G$3*EXP(Ft!G$38*($A162-Ft!G$2)^2)</f>
        <v>360436.63601684198</v>
      </c>
      <c r="E162" s="27">
        <f>Ft!B$3*EXP(Ft!B$38*($A162-Ft!B$2)^2)</f>
        <v>-115666.61704471527</v>
      </c>
      <c r="F162" s="27">
        <f>Ft!C$3*EXP(Ft!C$38*($A162-Ft!C$2)^2)</f>
        <v>0</v>
      </c>
      <c r="G162" s="27">
        <f>Ft!D$3*EXP(Ft!D$38*($A162-Ft!D$2)^2)</f>
        <v>398391.83403680811</v>
      </c>
      <c r="H162" s="27">
        <f>Ft!E$3*EXP(Ft!E$38*($A162-Ft!E$2)^2)</f>
        <v>61.611238251088999</v>
      </c>
      <c r="I162" s="27">
        <f>Ft!F$3*EXP(Ft!F$38*($A162-Ft!F$2)^2)</f>
        <v>77649.80778649803</v>
      </c>
      <c r="J162" s="27">
        <f>Ft!G$3*EXP(Ft!G$38*($A162-Ft!G$2)^2)</f>
        <v>0</v>
      </c>
    </row>
    <row r="163" spans="1:10">
      <c r="A163" s="20">
        <v>161</v>
      </c>
      <c r="B163" s="29">
        <v>21.274646962691065</v>
      </c>
      <c r="C163" s="28">
        <f ca="1">OFFSET($B163,1*(ROWS(C$2:C163)-1),0)</f>
        <v>48.305956844259612</v>
      </c>
      <c r="D163" s="27">
        <f>Ft!B$3*EXP(Ft!B$38*($A163-Ft!B$2)^2) +Ft!C$3*EXP(Ft!C$38*($A163-Ft!C$2)^2) + Ft!D$3*EXP(Ft!D$38*($A163-Ft!D$2)^2)+Ft!E$3*EXP(Ft!E$38*($A163-Ft!E$2)^2) +Ft!F$3*EXP(Ft!F$38*($A163-Ft!F$2)^2) + Ft!G$3*EXP(Ft!G$38*($A163-Ft!G$2)^2)</f>
        <v>362704.77540268446</v>
      </c>
      <c r="E163" s="27">
        <f>Ft!B$3*EXP(Ft!B$38*($A163-Ft!B$2)^2)</f>
        <v>-115667.93419185272</v>
      </c>
      <c r="F163" s="27">
        <f>Ft!C$3*EXP(Ft!C$38*($A163-Ft!C$2)^2)</f>
        <v>0</v>
      </c>
      <c r="G163" s="27">
        <f>Ft!D$3*EXP(Ft!D$38*($A163-Ft!D$2)^2)</f>
        <v>402160.37916718458</v>
      </c>
      <c r="H163" s="27">
        <f>Ft!E$3*EXP(Ft!E$38*($A163-Ft!E$2)^2)</f>
        <v>56.392249754963792</v>
      </c>
      <c r="I163" s="27">
        <f>Ft!F$3*EXP(Ft!F$38*($A163-Ft!F$2)^2)</f>
        <v>76155.938177597578</v>
      </c>
      <c r="J163" s="27">
        <f>Ft!G$3*EXP(Ft!G$38*($A163-Ft!G$2)^2)</f>
        <v>0</v>
      </c>
    </row>
    <row r="164" spans="1:10">
      <c r="A164" s="20">
        <v>162</v>
      </c>
      <c r="B164" s="29">
        <v>21.47195862469394</v>
      </c>
      <c r="C164" s="28">
        <f ca="1">OFFSET($B164,1*(ROWS(C$2:C164)-1),0)</f>
        <v>48.341075081633392</v>
      </c>
      <c r="D164" s="27">
        <f>Ft!B$3*EXP(Ft!B$38*($A164-Ft!B$2)^2) +Ft!C$3*EXP(Ft!C$38*($A164-Ft!C$2)^2) + Ft!D$3*EXP(Ft!D$38*($A164-Ft!D$2)^2)+Ft!E$3*EXP(Ft!E$38*($A164-Ft!E$2)^2) +Ft!F$3*EXP(Ft!F$38*($A164-Ft!F$2)^2) + Ft!G$3*EXP(Ft!G$38*($A164-Ft!G$2)^2)</f>
        <v>364970.3878842534</v>
      </c>
      <c r="E164" s="27">
        <f>Ft!B$3*EXP(Ft!B$38*($A164-Ft!B$2)^2)</f>
        <v>-115669.25081931127</v>
      </c>
      <c r="F164" s="27">
        <f>Ft!C$3*EXP(Ft!C$38*($A164-Ft!C$2)^2)</f>
        <v>0</v>
      </c>
      <c r="G164" s="27">
        <f>Ft!D$3*EXP(Ft!D$38*($A164-Ft!D$2)^2)</f>
        <v>405916.78119495563</v>
      </c>
      <c r="H164" s="27">
        <f>Ft!E$3*EXP(Ft!E$38*($A164-Ft!E$2)^2)</f>
        <v>51.584230645529004</v>
      </c>
      <c r="I164" s="27">
        <f>Ft!F$3*EXP(Ft!F$38*($A164-Ft!F$2)^2)</f>
        <v>74671.273277963599</v>
      </c>
      <c r="J164" s="27">
        <f>Ft!G$3*EXP(Ft!G$38*($A164-Ft!G$2)^2)</f>
        <v>0</v>
      </c>
    </row>
    <row r="165" spans="1:10">
      <c r="A165" s="20">
        <v>163</v>
      </c>
      <c r="B165" s="29">
        <v>21.668753884764527</v>
      </c>
      <c r="C165" s="28">
        <f ca="1">OFFSET($B165,1*(ROWS(C$2:C165)-1),0)</f>
        <v>48.359415642141528</v>
      </c>
      <c r="D165" s="27">
        <f>Ft!B$3*EXP(Ft!B$38*($A165-Ft!B$2)^2) +Ft!C$3*EXP(Ft!C$38*($A165-Ft!C$2)^2) + Ft!D$3*EXP(Ft!D$38*($A165-Ft!D$2)^2)+Ft!E$3*EXP(Ft!E$38*($A165-Ft!E$2)^2) +Ft!F$3*EXP(Ft!F$38*($A165-Ft!F$2)^2) + Ft!G$3*EXP(Ft!G$38*($A165-Ft!G$2)^2)</f>
        <v>367233.03159509343</v>
      </c>
      <c r="E165" s="27">
        <f>Ft!B$3*EXP(Ft!B$38*($A165-Ft!B$2)^2)</f>
        <v>-115670.56692707282</v>
      </c>
      <c r="F165" s="27">
        <f>Ft!C$3*EXP(Ft!C$38*($A165-Ft!C$2)^2)</f>
        <v>0</v>
      </c>
      <c r="G165" s="27">
        <f>Ft!D$3*EXP(Ft!D$38*($A165-Ft!D$2)^2)</f>
        <v>409660.03813851945</v>
      </c>
      <c r="H165" s="27">
        <f>Ft!E$3*EXP(Ft!E$38*($A165-Ft!E$2)^2)</f>
        <v>47.157692596336318</v>
      </c>
      <c r="I165" s="27">
        <f>Ft!F$3*EXP(Ft!F$38*($A165-Ft!F$2)^2)</f>
        <v>73196.402691050476</v>
      </c>
      <c r="J165" s="27">
        <f>Ft!G$3*EXP(Ft!G$38*($A165-Ft!G$2)^2)</f>
        <v>0</v>
      </c>
    </row>
    <row r="166" spans="1:10">
      <c r="A166" s="20">
        <v>164</v>
      </c>
      <c r="B166" s="29">
        <v>21.870875198535799</v>
      </c>
      <c r="C166" s="28">
        <f ca="1">OFFSET($B166,1*(ROWS(C$2:C166)-1),0)</f>
        <v>48.374165882144581</v>
      </c>
      <c r="D166" s="27">
        <f>Ft!B$3*EXP(Ft!B$38*($A166-Ft!B$2)^2) +Ft!C$3*EXP(Ft!C$38*($A166-Ft!C$2)^2) + Ft!D$3*EXP(Ft!D$38*($A166-Ft!D$2)^2)+Ft!E$3*EXP(Ft!E$38*($A166-Ft!E$2)^2) +Ft!F$3*EXP(Ft!F$38*($A166-Ft!F$2)^2) + Ft!G$3*EXP(Ft!G$38*($A166-Ft!G$2)^2)</f>
        <v>369492.24271681457</v>
      </c>
      <c r="E166" s="27">
        <f>Ft!B$3*EXP(Ft!B$38*($A166-Ft!B$2)^2)</f>
        <v>-115671.88251511932</v>
      </c>
      <c r="F166" s="27">
        <f>Ft!C$3*EXP(Ft!C$38*($A166-Ft!C$2)^2)</f>
        <v>0</v>
      </c>
      <c r="G166" s="27">
        <f>Ft!D$3*EXP(Ft!D$38*($A166-Ft!D$2)^2)</f>
        <v>413389.14338090265</v>
      </c>
      <c r="H166" s="27">
        <f>Ft!E$3*EXP(Ft!E$38*($A166-Ft!E$2)^2)</f>
        <v>43.085009146309346</v>
      </c>
      <c r="I166" s="27">
        <f>Ft!F$3*EXP(Ft!F$38*($A166-Ft!F$2)^2)</f>
        <v>71731.896841884925</v>
      </c>
      <c r="J166" s="27">
        <f>Ft!G$3*EXP(Ft!G$38*($A166-Ft!G$2)^2)</f>
        <v>0</v>
      </c>
    </row>
    <row r="167" spans="1:10">
      <c r="A167" s="20">
        <v>165</v>
      </c>
      <c r="B167" s="29">
        <v>22.046010970139406</v>
      </c>
      <c r="C167" s="28">
        <f ca="1">OFFSET($B167,1*(ROWS(C$2:C167)-1),0)</f>
        <v>48.359759389472401</v>
      </c>
      <c r="D167" s="27">
        <f>Ft!B$3*EXP(Ft!B$38*($A167-Ft!B$2)^2) +Ft!C$3*EXP(Ft!C$38*($A167-Ft!C$2)^2) + Ft!D$3*EXP(Ft!D$38*($A167-Ft!D$2)^2)+Ft!E$3*EXP(Ft!E$38*($A167-Ft!E$2)^2) +Ft!F$3*EXP(Ft!F$38*($A167-Ft!F$2)^2) + Ft!G$3*EXP(Ft!G$38*($A167-Ft!G$2)^2)</f>
        <v>371747.53560445481</v>
      </c>
      <c r="E167" s="27">
        <f>Ft!B$3*EXP(Ft!B$38*($A167-Ft!B$2)^2)</f>
        <v>-115673.19758343264</v>
      </c>
      <c r="F167" s="27">
        <f>Ft!C$3*EXP(Ft!C$38*($A167-Ft!C$2)^2)</f>
        <v>0</v>
      </c>
      <c r="G167" s="27">
        <f>Ft!D$3*EXP(Ft!D$38*($A167-Ft!D$2)^2)</f>
        <v>417103.08610319055</v>
      </c>
      <c r="H167" s="27">
        <f>Ft!E$3*EXP(Ft!E$38*($A167-Ft!E$2)^2)</f>
        <v>39.340319681760377</v>
      </c>
      <c r="I167" s="27">
        <f>Ft!F$3*EXP(Ft!F$38*($A167-Ft!F$2)^2)</f>
        <v>70278.306765015208</v>
      </c>
      <c r="J167" s="27">
        <f>Ft!G$3*EXP(Ft!G$38*($A167-Ft!G$2)^2)</f>
        <v>0</v>
      </c>
    </row>
    <row r="168" spans="1:10">
      <c r="A168" s="20">
        <v>166</v>
      </c>
      <c r="B168" s="29">
        <v>22.244750409105109</v>
      </c>
      <c r="C168" s="28">
        <f ca="1">OFFSET($B168,1*(ROWS(C$2:C168)-1),0)</f>
        <v>48.372280859713925</v>
      </c>
      <c r="D168" s="27">
        <f>Ft!B$3*EXP(Ft!B$38*($A168-Ft!B$2)^2) +Ft!C$3*EXP(Ft!C$38*($A168-Ft!C$2)^2) + Ft!D$3*EXP(Ft!D$38*($A168-Ft!D$2)^2)+Ft!E$3*EXP(Ft!E$38*($A168-Ft!E$2)^2) +Ft!F$3*EXP(Ft!F$38*($A168-Ft!F$2)^2) + Ft!G$3*EXP(Ft!G$38*($A168-Ft!G$2)^2)</f>
        <v>373998.40295078803</v>
      </c>
      <c r="E168" s="27">
        <f>Ft!B$3*EXP(Ft!B$38*($A168-Ft!B$2)^2)</f>
        <v>-115674.51213199476</v>
      </c>
      <c r="F168" s="27">
        <f>Ft!C$3*EXP(Ft!C$38*($A168-Ft!C$2)^2)</f>
        <v>0</v>
      </c>
      <c r="G168" s="27">
        <f>Ft!D$3*EXP(Ft!D$38*($A168-Ft!D$2)^2)</f>
        <v>420800.85172441305</v>
      </c>
      <c r="H168" s="27">
        <f>Ft!E$3*EXP(Ft!E$38*($A168-Ft!E$2)^2)</f>
        <v>35.899436592389122</v>
      </c>
      <c r="I168" s="27">
        <f>Ft!F$3*EXP(Ft!F$38*($A168-Ft!F$2)^2)</f>
        <v>68836.163921777363</v>
      </c>
      <c r="J168" s="27">
        <f>Ft!G$3*EXP(Ft!G$38*($A168-Ft!G$2)^2)</f>
        <v>0</v>
      </c>
    </row>
    <row r="169" spans="1:10">
      <c r="A169" s="20">
        <v>167</v>
      </c>
      <c r="B169" s="29">
        <v>22.444256069080467</v>
      </c>
      <c r="C169" s="28">
        <f ca="1">OFFSET($B169,1*(ROWS(C$2:C169)-1),0)</f>
        <v>48.391775708381658</v>
      </c>
      <c r="D169" s="27">
        <f>Ft!B$3*EXP(Ft!B$38*($A169-Ft!B$2)^2) +Ft!C$3*EXP(Ft!C$38*($A169-Ft!C$2)^2) + Ft!D$3*EXP(Ft!D$38*($A169-Ft!D$2)^2)+Ft!E$3*EXP(Ft!E$38*($A169-Ft!E$2)^2) +Ft!F$3*EXP(Ft!F$38*($A169-Ft!F$2)^2) + Ft!G$3*EXP(Ft!G$38*($A169-Ft!G$2)^2)</f>
        <v>376244.31598906987</v>
      </c>
      <c r="E169" s="27">
        <f>Ft!B$3*EXP(Ft!B$38*($A169-Ft!B$2)^2)</f>
        <v>-115675.8261607876</v>
      </c>
      <c r="F169" s="27">
        <f>Ft!C$3*EXP(Ft!C$38*($A169-Ft!C$2)^2)</f>
        <v>0</v>
      </c>
      <c r="G169" s="27">
        <f>Ft!D$3*EXP(Ft!D$38*($A169-Ft!D$2)^2)</f>
        <v>424481.42234763317</v>
      </c>
      <c r="H169" s="27">
        <f>Ft!E$3*EXP(Ft!E$38*($A169-Ft!E$2)^2)</f>
        <v>32.739755648290455</v>
      </c>
      <c r="I169" s="27">
        <f>Ft!F$3*EXP(Ft!F$38*($A169-Ft!F$2)^2)</f>
        <v>67405.98004657602</v>
      </c>
      <c r="J169" s="27">
        <f>Ft!G$3*EXP(Ft!G$38*($A169-Ft!G$2)^2)</f>
        <v>0</v>
      </c>
    </row>
    <row r="170" spans="1:10">
      <c r="A170" s="20">
        <v>168</v>
      </c>
      <c r="B170" s="29">
        <v>22.645533232781503</v>
      </c>
      <c r="C170" s="28">
        <f ca="1">OFFSET($B170,1*(ROWS(C$2:C170)-1),0)</f>
        <v>48.394815286262883</v>
      </c>
      <c r="D170" s="27">
        <f>Ft!B$3*EXP(Ft!B$38*($A170-Ft!B$2)^2) +Ft!C$3*EXP(Ft!C$38*($A170-Ft!C$2)^2) + Ft!D$3*EXP(Ft!D$38*($A170-Ft!D$2)^2)+Ft!E$3*EXP(Ft!E$38*($A170-Ft!E$2)^2) +Ft!F$3*EXP(Ft!F$38*($A170-Ft!F$2)^2) + Ft!G$3*EXP(Ft!G$38*($A170-Ft!G$2)^2)</f>
        <v>378484.7247336412</v>
      </c>
      <c r="E170" s="27">
        <f>Ft!B$3*EXP(Ft!B$38*($A170-Ft!B$2)^2)</f>
        <v>-115677.13966979312</v>
      </c>
      <c r="F170" s="27">
        <f>Ft!C$3*EXP(Ft!C$38*($A170-Ft!C$2)^2)</f>
        <v>0</v>
      </c>
      <c r="G170" s="27">
        <f>Ft!D$3*EXP(Ft!D$38*($A170-Ft!D$2)^2)</f>
        <v>428143.77721197612</v>
      </c>
      <c r="H170" s="27">
        <f>Ft!E$3*EXP(Ft!E$38*($A170-Ft!E$2)^2)</f>
        <v>29.840169627934941</v>
      </c>
      <c r="I170" s="27">
        <f>Ft!F$3*EXP(Ft!F$38*($A170-Ft!F$2)^2)</f>
        <v>65988.247021830306</v>
      </c>
      <c r="J170" s="27">
        <f>Ft!G$3*EXP(Ft!G$38*($A170-Ft!G$2)^2)</f>
        <v>0</v>
      </c>
    </row>
    <row r="171" spans="1:10">
      <c r="A171" s="20">
        <v>169</v>
      </c>
      <c r="B171" s="29">
        <v>22.852752629772567</v>
      </c>
      <c r="C171" s="28">
        <f ca="1">OFFSET($B171,1*(ROWS(C$2:C171)-1),0)</f>
        <v>48.400337738302653</v>
      </c>
      <c r="D171" s="27">
        <f>Ft!B$3*EXP(Ft!B$38*($A171-Ft!B$2)^2) +Ft!C$3*EXP(Ft!C$38*($A171-Ft!C$2)^2) + Ft!D$3*EXP(Ft!D$38*($A171-Ft!D$2)^2)+Ft!E$3*EXP(Ft!E$38*($A171-Ft!E$2)^2) +Ft!F$3*EXP(Ft!F$38*($A171-Ft!F$2)^2) + Ft!G$3*EXP(Ft!G$38*($A171-Ft!G$2)^2)</f>
        <v>380719.05825774197</v>
      </c>
      <c r="E171" s="27">
        <f>Ft!B$3*EXP(Ft!B$38*($A171-Ft!B$2)^2)</f>
        <v>-115678.45265899325</v>
      </c>
      <c r="F171" s="27">
        <f>Ft!C$3*EXP(Ft!C$38*($A171-Ft!C$2)^2)</f>
        <v>0</v>
      </c>
      <c r="G171" s="27">
        <f>Ft!D$3*EXP(Ft!D$38*($A171-Ft!D$2)^2)</f>
        <v>431786.89315033267</v>
      </c>
      <c r="H171" s="27">
        <f>Ft!E$3*EXP(Ft!E$38*($A171-Ft!E$2)^2)</f>
        <v>27.180985211363815</v>
      </c>
      <c r="I171" s="27">
        <f>Ft!F$3*EXP(Ft!F$38*($A171-Ft!F$2)^2)</f>
        <v>64583.436781191209</v>
      </c>
      <c r="J171" s="27">
        <f>Ft!G$3*EXP(Ft!G$38*($A171-Ft!G$2)^2)</f>
        <v>0</v>
      </c>
    </row>
    <row r="172" spans="1:10">
      <c r="A172" s="20">
        <v>170</v>
      </c>
      <c r="B172" s="29">
        <v>23.02990260638478</v>
      </c>
      <c r="C172" s="28">
        <f ca="1">OFFSET($B172,1*(ROWS(C$2:C172)-1),0)</f>
        <v>48.401883319571766</v>
      </c>
      <c r="D172" s="27">
        <f>Ft!B$3*EXP(Ft!B$38*($A172-Ft!B$2)^2) +Ft!C$3*EXP(Ft!C$38*($A172-Ft!C$2)^2) + Ft!D$3*EXP(Ft!D$38*($A172-Ft!D$2)^2)+Ft!E$3*EXP(Ft!E$38*($A172-Ft!E$2)^2) +Ft!F$3*EXP(Ft!F$38*($A172-Ft!F$2)^2) + Ft!G$3*EXP(Ft!G$38*($A172-Ft!G$2)^2)</f>
        <v>382946.7250078225</v>
      </c>
      <c r="E172" s="27">
        <f>Ft!B$3*EXP(Ft!B$38*($A172-Ft!B$2)^2)</f>
        <v>-115679.76512836998</v>
      </c>
      <c r="F172" s="27">
        <f>Ft!C$3*EXP(Ft!C$38*($A172-Ft!C$2)^2)</f>
        <v>0</v>
      </c>
      <c r="G172" s="27">
        <f>Ft!D$3*EXP(Ft!D$38*($A172-Ft!D$2)^2)</f>
        <v>435409.74505246081</v>
      </c>
      <c r="H172" s="27">
        <f>Ft!E$3*EXP(Ft!E$38*($A172-Ft!E$2)^2)</f>
        <v>24.743843138430339</v>
      </c>
      <c r="I172" s="27">
        <f>Ft!F$3*EXP(Ft!F$38*($A172-Ft!F$2)^2)</f>
        <v>63192.001240593199</v>
      </c>
      <c r="J172" s="27">
        <f>Ft!G$3*EXP(Ft!G$38*($A172-Ft!G$2)^2)</f>
        <v>0</v>
      </c>
    </row>
    <row r="173" spans="1:10">
      <c r="A173" s="20">
        <v>171</v>
      </c>
      <c r="B173" s="29">
        <v>23.211968217850483</v>
      </c>
      <c r="C173" s="28">
        <f ca="1">OFFSET($B173,1*(ROWS(C$2:C173)-1),0)</f>
        <v>48.422298806964363</v>
      </c>
      <c r="D173" s="27">
        <f>Ft!B$3*EXP(Ft!B$38*($A173-Ft!B$2)^2) +Ft!C$3*EXP(Ft!C$38*($A173-Ft!C$2)^2) + Ft!D$3*EXP(Ft!D$38*($A173-Ft!D$2)^2)+Ft!E$3*EXP(Ft!E$38*($A173-Ft!E$2)^2) +Ft!F$3*EXP(Ft!F$38*($A173-Ft!F$2)^2) + Ft!G$3*EXP(Ft!G$38*($A173-Ft!G$2)^2)</f>
        <v>385167.11315357848</v>
      </c>
      <c r="E173" s="27">
        <f>Ft!B$3*EXP(Ft!B$38*($A173-Ft!B$2)^2)</f>
        <v>-115681.07707790527</v>
      </c>
      <c r="F173" s="27">
        <f>Ft!C$3*EXP(Ft!C$38*($A173-Ft!C$2)^2)</f>
        <v>0</v>
      </c>
      <c r="G173" s="27">
        <f>Ft!D$3*EXP(Ft!D$38*($A173-Ft!D$2)^2)</f>
        <v>439011.30633320304</v>
      </c>
      <c r="H173" s="27">
        <f>Ft!E$3*EXP(Ft!E$38*($A173-Ft!E$2)^2)</f>
        <v>22.511641618774984</v>
      </c>
      <c r="I173" s="27">
        <f>Ft!F$3*EXP(Ft!F$38*($A173-Ft!F$2)^2)</f>
        <v>61814.372256661853</v>
      </c>
      <c r="J173" s="27">
        <f>Ft!G$3*EXP(Ft!G$38*($A173-Ft!G$2)^2)</f>
        <v>0</v>
      </c>
    </row>
    <row r="174" spans="1:10">
      <c r="A174" s="20">
        <v>172</v>
      </c>
      <c r="B174" s="29">
        <v>23.408598188949128</v>
      </c>
      <c r="C174" s="28">
        <f ca="1">OFFSET($B174,1*(ROWS(C$2:C174)-1),0)</f>
        <v>48.426950072791385</v>
      </c>
      <c r="D174" s="27">
        <f>Ft!B$3*EXP(Ft!B$38*($A174-Ft!B$2)^2) +Ft!C$3*EXP(Ft!C$38*($A174-Ft!C$2)^2) + Ft!D$3*EXP(Ft!D$38*($A174-Ft!D$2)^2)+Ft!E$3*EXP(Ft!E$38*($A174-Ft!E$2)^2) +Ft!F$3*EXP(Ft!F$38*($A174-Ft!F$2)^2) + Ft!G$3*EXP(Ft!G$38*($A174-Ft!G$2)^2)</f>
        <v>387379.59097287967</v>
      </c>
      <c r="E174" s="27">
        <f>Ft!B$3*EXP(Ft!B$38*($A174-Ft!B$2)^2)</f>
        <v>-115682.38850758107</v>
      </c>
      <c r="F174" s="27">
        <f>Ft!C$3*EXP(Ft!C$38*($A174-Ft!C$2)^2)</f>
        <v>0</v>
      </c>
      <c r="G174" s="27">
        <f>Ft!D$3*EXP(Ft!D$38*($A174-Ft!D$2)^2)</f>
        <v>442590.54940553277</v>
      </c>
      <c r="H174" s="27">
        <f>Ft!E$3*EXP(Ft!E$38*($A174-Ft!E$2)^2)</f>
        <v>20.468462968305463</v>
      </c>
      <c r="I174" s="27">
        <f>Ft!F$3*EXP(Ft!F$38*($A174-Ft!F$2)^2)</f>
        <v>60450.961611959683</v>
      </c>
      <c r="J174" s="27">
        <f>Ft!G$3*EXP(Ft!G$38*($A174-Ft!G$2)^2)</f>
        <v>0</v>
      </c>
    </row>
    <row r="175" spans="1:10">
      <c r="A175" s="20">
        <v>173</v>
      </c>
      <c r="B175" s="29">
        <v>23.604040543179281</v>
      </c>
      <c r="C175" s="28">
        <f ca="1">OFFSET($B175,1*(ROWS(C$2:C175)-1),0)</f>
        <v>48.435566412793861</v>
      </c>
      <c r="D175" s="27">
        <f>Ft!B$3*EXP(Ft!B$38*($A175-Ft!B$2)^2) +Ft!C$3*EXP(Ft!C$38*($A175-Ft!C$2)^2) + Ft!D$3*EXP(Ft!D$38*($A175-Ft!D$2)^2)+Ft!E$3*EXP(Ft!E$38*($A175-Ft!E$2)^2) +Ft!F$3*EXP(Ft!F$38*($A175-Ft!F$2)^2) + Ft!G$3*EXP(Ft!G$38*($A175-Ft!G$2)^2)</f>
        <v>389583.50727070443</v>
      </c>
      <c r="E175" s="27">
        <f>Ft!B$3*EXP(Ft!B$38*($A175-Ft!B$2)^2)</f>
        <v>-115683.69941737941</v>
      </c>
      <c r="F175" s="27">
        <f>Ft!C$3*EXP(Ft!C$38*($A175-Ft!C$2)^2)</f>
        <v>0</v>
      </c>
      <c r="G175" s="27">
        <f>Ft!D$3*EXP(Ft!D$38*($A175-Ft!D$2)^2)</f>
        <v>446146.44615813263</v>
      </c>
      <c r="H175" s="27">
        <f>Ft!E$3*EXP(Ft!E$38*($A175-Ft!E$2)^2)</f>
        <v>18.599503436211528</v>
      </c>
      <c r="I175" s="27">
        <f>Ft!F$3*EXP(Ft!F$38*($A175-Ft!F$2)^2)</f>
        <v>59102.16102651503</v>
      </c>
      <c r="J175" s="27">
        <f>Ft!G$3*EXP(Ft!G$38*($A175-Ft!G$2)^2)</f>
        <v>0</v>
      </c>
    </row>
    <row r="176" spans="1:10">
      <c r="A176" s="20">
        <v>174</v>
      </c>
      <c r="B176" s="29">
        <v>23.812698239267917</v>
      </c>
      <c r="C176" s="28">
        <f ca="1">OFFSET($B176,1*(ROWS(C$2:C176)-1),0)</f>
        <v>48.452640616931717</v>
      </c>
      <c r="D176" s="27">
        <f>Ft!B$3*EXP(Ft!B$38*($A176-Ft!B$2)^2) +Ft!C$3*EXP(Ft!C$38*($A176-Ft!C$2)^2) + Ft!D$3*EXP(Ft!D$38*($A176-Ft!D$2)^2)+Ft!E$3*EXP(Ft!E$38*($A176-Ft!E$2)^2) +Ft!F$3*EXP(Ft!F$38*($A176-Ft!F$2)^2) + Ft!G$3*EXP(Ft!G$38*($A176-Ft!G$2)^2)</f>
        <v>391778.19183114282</v>
      </c>
      <c r="E176" s="27">
        <f>Ft!B$3*EXP(Ft!B$38*($A176-Ft!B$2)^2)</f>
        <v>-115685.00980728223</v>
      </c>
      <c r="F176" s="27">
        <f>Ft!C$3*EXP(Ft!C$38*($A176-Ft!C$2)^2)</f>
        <v>0</v>
      </c>
      <c r="G176" s="27">
        <f>Ft!D$3*EXP(Ft!D$38*($A176-Ft!D$2)^2)</f>
        <v>449677.96843720507</v>
      </c>
      <c r="H176" s="27">
        <f>Ft!E$3*EXP(Ft!E$38*($A176-Ft!E$2)^2)</f>
        <v>16.891006176932727</v>
      </c>
      <c r="I176" s="27">
        <f>Ft!F$3*EXP(Ft!F$38*($A176-Ft!F$2)^2)</f>
        <v>57768.342195043064</v>
      </c>
      <c r="J176" s="27">
        <f>Ft!G$3*EXP(Ft!G$38*($A176-Ft!G$2)^2)</f>
        <v>0</v>
      </c>
    </row>
    <row r="177" spans="1:10">
      <c r="A177" s="20">
        <v>175</v>
      </c>
      <c r="B177" s="29">
        <v>24.016438978127496</v>
      </c>
      <c r="C177" s="28">
        <f ca="1">OFFSET($B177,1*(ROWS(C$2:C177)-1),0)</f>
        <v>48.476703941441542</v>
      </c>
      <c r="D177" s="27">
        <f>Ft!B$3*EXP(Ft!B$38*($A177-Ft!B$2)^2) +Ft!C$3*EXP(Ft!C$38*($A177-Ft!C$2)^2) + Ft!D$3*EXP(Ft!D$38*($A177-Ft!D$2)^2)+Ft!E$3*EXP(Ft!E$38*($A177-Ft!E$2)^2) +Ft!F$3*EXP(Ft!F$38*($A177-Ft!F$2)^2) + Ft!G$3*EXP(Ft!G$38*($A177-Ft!G$2)^2)</f>
        <v>393962.95590148325</v>
      </c>
      <c r="E177" s="27">
        <f>Ft!B$3*EXP(Ft!B$38*($A177-Ft!B$2)^2)</f>
        <v>-115686.31967727156</v>
      </c>
      <c r="F177" s="27">
        <f>Ft!C$3*EXP(Ft!C$38*($A177-Ft!C$2)^2)</f>
        <v>0</v>
      </c>
      <c r="G177" s="27">
        <f>Ft!D$3*EXP(Ft!D$38*($A177-Ft!D$2)^2)</f>
        <v>453184.08853220713</v>
      </c>
      <c r="H177" s="27">
        <f>Ft!E$3*EXP(Ft!E$38*($A177-Ft!E$2)^2)</f>
        <v>15.330197312961996</v>
      </c>
      <c r="I177" s="27">
        <f>Ft!F$3*EXP(Ft!F$38*($A177-Ft!F$2)^2)</f>
        <v>56449.856849234711</v>
      </c>
      <c r="J177" s="27">
        <f>Ft!G$3*EXP(Ft!G$38*($A177-Ft!G$2)^2)</f>
        <v>0</v>
      </c>
    </row>
    <row r="178" spans="1:10">
      <c r="A178" s="20">
        <v>176</v>
      </c>
      <c r="B178" s="29">
        <v>24.24048730529779</v>
      </c>
      <c r="C178" s="28">
        <f ca="1">OFFSET($B178,1*(ROWS(C$2:C178)-1),0)</f>
        <v>48.469473069139269</v>
      </c>
      <c r="D178" s="27">
        <f>Ft!B$3*EXP(Ft!B$38*($A178-Ft!B$2)^2) +Ft!C$3*EXP(Ft!C$38*($A178-Ft!C$2)^2) + Ft!D$3*EXP(Ft!D$38*($A178-Ft!D$2)^2)+Ft!E$3*EXP(Ft!E$38*($A178-Ft!E$2)^2) +Ft!F$3*EXP(Ft!F$38*($A178-Ft!F$2)^2) + Ft!G$3*EXP(Ft!G$38*($A178-Ft!G$2)^2)</f>
        <v>396137.09270735178</v>
      </c>
      <c r="E178" s="27">
        <f>Ft!B$3*EXP(Ft!B$38*($A178-Ft!B$2)^2)</f>
        <v>-115687.6290273294</v>
      </c>
      <c r="F178" s="27">
        <f>Ft!C$3*EXP(Ft!C$38*($A178-Ft!C$2)^2)</f>
        <v>0</v>
      </c>
      <c r="G178" s="27">
        <f>Ft!D$3*EXP(Ft!D$38*($A178-Ft!D$2)^2)</f>
        <v>456663.7796651969</v>
      </c>
      <c r="H178" s="27">
        <f>Ft!E$3*EXP(Ft!E$38*($A178-Ft!E$2)^2)</f>
        <v>13.905225026855238</v>
      </c>
      <c r="I178" s="27">
        <f>Ft!F$3*EXP(Ft!F$38*($A178-Ft!F$2)^2)</f>
        <v>55147.03684445742</v>
      </c>
      <c r="J178" s="27">
        <f>Ft!G$3*EXP(Ft!G$38*($A178-Ft!G$2)^2)</f>
        <v>0</v>
      </c>
    </row>
    <row r="179" spans="1:10">
      <c r="A179" s="20">
        <v>177</v>
      </c>
      <c r="B179" s="29">
        <v>24.464185792617684</v>
      </c>
      <c r="C179" s="28">
        <f ca="1">OFFSET($B179,1*(ROWS(C$2:C179)-1),0)</f>
        <v>48.4449965426343</v>
      </c>
      <c r="D179" s="27">
        <f>Ft!B$3*EXP(Ft!B$38*($A179-Ft!B$2)^2) +Ft!C$3*EXP(Ft!C$38*($A179-Ft!C$2)^2) + Ft!D$3*EXP(Ft!D$38*($A179-Ft!D$2)^2)+Ft!E$3*EXP(Ft!E$38*($A179-Ft!E$2)^2) +Ft!F$3*EXP(Ft!F$38*($A179-Ft!F$2)^2) + Ft!G$3*EXP(Ft!G$38*($A179-Ft!G$2)^2)</f>
        <v>398299.87799783231</v>
      </c>
      <c r="E179" s="27">
        <f>Ft!B$3*EXP(Ft!B$38*($A179-Ft!B$2)^2)</f>
        <v>-115688.93785743775</v>
      </c>
      <c r="F179" s="27">
        <f>Ft!C$3*EXP(Ft!C$38*($A179-Ft!C$2)^2)</f>
        <v>0</v>
      </c>
      <c r="G179" s="27">
        <f>Ft!D$3*EXP(Ft!D$38*($A179-Ft!D$2)^2)</f>
        <v>460116.01648347324</v>
      </c>
      <c r="H179" s="27">
        <f>Ft!E$3*EXP(Ft!E$38*($A179-Ft!E$2)^2)</f>
        <v>12.605101614274345</v>
      </c>
      <c r="I179" s="27">
        <f>Ft!F$3*EXP(Ft!F$38*($A179-Ft!F$2)^2)</f>
        <v>53860.19427018259</v>
      </c>
      <c r="J179" s="27">
        <f>Ft!G$3*EXP(Ft!G$38*($A179-Ft!G$2)^2)</f>
        <v>0</v>
      </c>
    </row>
    <row r="180" spans="1:10">
      <c r="A180" s="20">
        <v>178</v>
      </c>
      <c r="B180" s="29">
        <v>24.67964745736748</v>
      </c>
      <c r="C180" s="28">
        <f ca="1">OFFSET($B180,1*(ROWS(C$2:C180)-1),0)</f>
        <v>48.407827599763266</v>
      </c>
      <c r="D180" s="27">
        <f>Ft!B$3*EXP(Ft!B$38*($A180-Ft!B$2)^2) +Ft!C$3*EXP(Ft!C$38*($A180-Ft!C$2)^2) + Ft!D$3*EXP(Ft!D$38*($A180-Ft!D$2)^2)+Ft!E$3*EXP(Ft!E$38*($A180-Ft!E$2)^2) +Ft!F$3*EXP(Ft!F$38*($A180-Ft!F$2)^2) + Ft!G$3*EXP(Ft!G$38*($A180-Ft!G$2)^2)</f>
        <v>400450.57061945734</v>
      </c>
      <c r="E180" s="27">
        <f>Ft!B$3*EXP(Ft!B$38*($A180-Ft!B$2)^2)</f>
        <v>-115690.24616757863</v>
      </c>
      <c r="F180" s="27">
        <f>Ft!C$3*EXP(Ft!C$38*($A180-Ft!C$2)^2)</f>
        <v>0</v>
      </c>
      <c r="G180" s="27">
        <f>Ft!D$3*EXP(Ft!D$38*($A180-Ft!D$2)^2)</f>
        <v>463539.77555518493</v>
      </c>
      <c r="H180" s="27">
        <f>Ft!E$3*EXP(Ft!E$38*($A180-Ft!E$2)^2)</f>
        <v>11.419648424261784</v>
      </c>
      <c r="I180" s="27">
        <f>Ft!F$3*EXP(Ft!F$38*($A180-Ft!F$2)^2)</f>
        <v>52589.621583426793</v>
      </c>
      <c r="J180" s="27">
        <f>Ft!G$3*EXP(Ft!G$38*($A180-Ft!G$2)^2)</f>
        <v>0</v>
      </c>
    </row>
    <row r="181" spans="1:10">
      <c r="A181" s="20">
        <v>179</v>
      </c>
      <c r="B181" s="29">
        <v>24.884306241262578</v>
      </c>
      <c r="C181" s="28">
        <f ca="1">OFFSET($B181,1*(ROWS(C$2:C181)-1),0)</f>
        <v>48.401364996853658</v>
      </c>
      <c r="D181" s="27">
        <f>Ft!B$3*EXP(Ft!B$38*($A181-Ft!B$2)^2) +Ft!C$3*EXP(Ft!C$38*($A181-Ft!C$2)^2) + Ft!D$3*EXP(Ft!D$38*($A181-Ft!D$2)^2)+Ft!E$3*EXP(Ft!E$38*($A181-Ft!E$2)^2) +Ft!F$3*EXP(Ft!F$38*($A181-Ft!F$2)^2) + Ft!G$3*EXP(Ft!G$38*($A181-Ft!G$2)^2)</f>
        <v>402588.41311792383</v>
      </c>
      <c r="E181" s="27">
        <f>Ft!B$3*EXP(Ft!B$38*($A181-Ft!B$2)^2)</f>
        <v>-115691.55395773407</v>
      </c>
      <c r="F181" s="27">
        <f>Ft!C$3*EXP(Ft!C$38*($A181-Ft!C$2)^2)</f>
        <v>0</v>
      </c>
      <c r="G181" s="27">
        <f>Ft!D$3*EXP(Ft!D$38*($A181-Ft!D$2)^2)</f>
        <v>466934.03586758079</v>
      </c>
      <c r="H181" s="27">
        <f>Ft!E$3*EXP(Ft!E$38*($A181-Ft!E$2)^2)</f>
        <v>10.339443608174667</v>
      </c>
      <c r="I181" s="27">
        <f>Ft!F$3*EXP(Ft!F$38*($A181-Ft!F$2)^2)</f>
        <v>51335.591764468911</v>
      </c>
      <c r="J181" s="27">
        <f>Ft!G$3*EXP(Ft!G$38*($A181-Ft!G$2)^2)</f>
        <v>0</v>
      </c>
    </row>
    <row r="182" spans="1:10">
      <c r="A182" s="20">
        <v>180</v>
      </c>
      <c r="B182" s="29">
        <v>25.087396458903925</v>
      </c>
      <c r="C182" s="28">
        <f ca="1">OFFSET($B182,1*(ROWS(C$2:C182)-1),0)</f>
        <v>48.36602451640249</v>
      </c>
      <c r="D182" s="27">
        <f>Ft!B$3*EXP(Ft!B$38*($A182-Ft!B$2)^2) +Ft!C$3*EXP(Ft!C$38*($A182-Ft!C$2)^2) + Ft!D$3*EXP(Ft!D$38*($A182-Ft!D$2)^2)+Ft!E$3*EXP(Ft!E$38*($A182-Ft!E$2)^2) +Ft!F$3*EXP(Ft!F$38*($A182-Ft!F$2)^2) + Ft!G$3*EXP(Ft!G$38*($A182-Ft!G$2)^2)</f>
        <v>404712.63236635824</v>
      </c>
      <c r="E182" s="27">
        <f>Ft!B$3*EXP(Ft!B$38*($A182-Ft!B$2)^2)</f>
        <v>-115692.86122788608</v>
      </c>
      <c r="F182" s="27">
        <f>Ft!C$3*EXP(Ft!C$38*($A182-Ft!C$2)^2)</f>
        <v>0</v>
      </c>
      <c r="G182" s="27">
        <f>Ft!D$3*EXP(Ft!D$38*($A182-Ft!D$2)^2)</f>
        <v>470297.77932756784</v>
      </c>
      <c r="H182" s="27">
        <f>Ft!E$3*EXP(Ft!E$38*($A182-Ft!E$2)^2)</f>
        <v>9.3557725947409835</v>
      </c>
      <c r="I182" s="27">
        <f>Ft!F$3*EXP(Ft!F$38*($A182-Ft!F$2)^2)</f>
        <v>50098.358494081789</v>
      </c>
      <c r="J182" s="27">
        <f>Ft!G$3*EXP(Ft!G$38*($A182-Ft!G$2)^2)</f>
        <v>0</v>
      </c>
    </row>
    <row r="183" spans="1:10">
      <c r="A183" s="20">
        <v>181</v>
      </c>
      <c r="B183" s="29">
        <v>25.29156542677552</v>
      </c>
      <c r="C183" s="28">
        <f ca="1">OFFSET($B183,1*(ROWS(C$2:C183)-1),0)</f>
        <v>48.346763123046742</v>
      </c>
      <c r="D183" s="27">
        <f>Ft!B$3*EXP(Ft!B$38*($A183-Ft!B$2)^2) +Ft!C$3*EXP(Ft!C$38*($A183-Ft!C$2)^2) + Ft!D$3*EXP(Ft!D$38*($A183-Ft!D$2)^2)+Ft!E$3*EXP(Ft!E$38*($A183-Ft!E$2)^2) +Ft!F$3*EXP(Ft!F$38*($A183-Ft!F$2)^2) + Ft!G$3*EXP(Ft!G$38*($A183-Ft!G$2)^2)</f>
        <v>406822.44021892408</v>
      </c>
      <c r="E183" s="27">
        <f>Ft!B$3*EXP(Ft!B$38*($A183-Ft!B$2)^2)</f>
        <v>-115694.16797801675</v>
      </c>
      <c r="F183" s="27">
        <f>Ft!C$3*EXP(Ft!C$38*($A183-Ft!C$2)^2)</f>
        <v>0</v>
      </c>
      <c r="G183" s="27">
        <f>Ft!D$3*EXP(Ft!D$38*($A183-Ft!D$2)^2)</f>
        <v>473629.99126423907</v>
      </c>
      <c r="H183" s="27">
        <f>Ft!E$3*EXP(Ft!E$38*($A183-Ft!E$2)^2)</f>
        <v>8.4605812054835177</v>
      </c>
      <c r="I183" s="27">
        <f>Ft!F$3*EXP(Ft!F$38*($A183-Ft!F$2)^2)</f>
        <v>48878.156351496276</v>
      </c>
      <c r="J183" s="27">
        <f>Ft!G$3*EXP(Ft!G$38*($A183-Ft!G$2)^2)</f>
        <v>0</v>
      </c>
    </row>
    <row r="184" spans="1:10">
      <c r="A184" s="20">
        <v>182</v>
      </c>
      <c r="B184" s="29">
        <v>25.513182195821116</v>
      </c>
      <c r="C184" s="28">
        <f ca="1">OFFSET($B184,1*(ROWS(C$2:C184)-1),0)</f>
        <v>48.335573358999739</v>
      </c>
      <c r="D184" s="27">
        <f>Ft!B$3*EXP(Ft!B$38*($A184-Ft!B$2)^2) +Ft!C$3*EXP(Ft!C$38*($A184-Ft!C$2)^2) + Ft!D$3*EXP(Ft!D$38*($A184-Ft!D$2)^2)+Ft!E$3*EXP(Ft!E$38*($A184-Ft!E$2)^2) +Ft!F$3*EXP(Ft!F$38*($A184-Ft!F$2)^2) + Ft!G$3*EXP(Ft!G$38*($A184-Ft!G$2)^2)</f>
        <v>408917.03418853995</v>
      </c>
      <c r="E184" s="27">
        <f>Ft!B$3*EXP(Ft!B$38*($A184-Ft!B$2)^2)</f>
        <v>-115695.47420810806</v>
      </c>
      <c r="F184" s="27">
        <f>Ft!C$3*EXP(Ft!C$38*($A184-Ft!C$2)^2)</f>
        <v>0</v>
      </c>
      <c r="G184" s="27">
        <f>Ft!D$3*EXP(Ft!D$38*($A184-Ft!D$2)^2)</f>
        <v>476929.66093302931</v>
      </c>
      <c r="H184" s="27">
        <f>Ft!E$3*EXP(Ft!E$38*($A184-Ft!E$2)^2)</f>
        <v>7.6464313222379703</v>
      </c>
      <c r="I184" s="27">
        <f>Ft!F$3*EXP(Ft!F$38*($A184-Ft!F$2)^2)</f>
        <v>47675.201032296514</v>
      </c>
      <c r="J184" s="27">
        <f>Ft!G$3*EXP(Ft!G$38*($A184-Ft!G$2)^2)</f>
        <v>0</v>
      </c>
    </row>
    <row r="185" spans="1:10">
      <c r="A185" s="20">
        <v>183</v>
      </c>
      <c r="B185" s="29">
        <v>25.724492713317119</v>
      </c>
      <c r="C185" s="28">
        <f ca="1">OFFSET($B185,1*(ROWS(C$2:C185)-1),0)</f>
        <v>48.342509756216572</v>
      </c>
      <c r="D185" s="27">
        <f>Ft!B$3*EXP(Ft!B$38*($A185-Ft!B$2)^2) +Ft!C$3*EXP(Ft!C$38*($A185-Ft!C$2)^2) + Ft!D$3*EXP(Ft!D$38*($A185-Ft!D$2)^2)+Ft!E$3*EXP(Ft!E$38*($A185-Ft!E$2)^2) +Ft!F$3*EXP(Ft!F$38*($A185-Ft!F$2)^2) + Ft!G$3*EXP(Ft!G$38*($A185-Ft!G$2)^2)</f>
        <v>410995.59814745723</v>
      </c>
      <c r="E185" s="27">
        <f>Ft!B$3*EXP(Ft!B$38*($A185-Ft!B$2)^2)</f>
        <v>-115696.7799181421</v>
      </c>
      <c r="F185" s="27">
        <f>Ft!C$3*EXP(Ft!C$38*($A185-Ft!C$2)^2)</f>
        <v>0</v>
      </c>
      <c r="G185" s="27">
        <f>Ft!D$3*EXP(Ft!D$38*($A185-Ft!D$2)^2)</f>
        <v>480195.78202115453</v>
      </c>
      <c r="H185" s="27">
        <f>Ft!E$3*EXP(Ft!E$38*($A185-Ft!E$2)^2)</f>
        <v>6.9064590166139581</v>
      </c>
      <c r="I185" s="27">
        <f>Ft!F$3*EXP(Ft!F$38*($A185-Ft!F$2)^2)</f>
        <v>46489.689585428219</v>
      </c>
      <c r="J185" s="27">
        <f>Ft!G$3*EXP(Ft!G$38*($A185-Ft!G$2)^2)</f>
        <v>0</v>
      </c>
    </row>
    <row r="186" spans="1:10">
      <c r="A186" s="20">
        <v>184</v>
      </c>
      <c r="B186" s="29">
        <v>25.946852757409033</v>
      </c>
      <c r="C186" s="28">
        <f ca="1">OFFSET($B186,1*(ROWS(C$2:C186)-1),0)</f>
        <v>48.32330910097113</v>
      </c>
      <c r="D186" s="27">
        <f>Ft!B$3*EXP(Ft!B$38*($A186-Ft!B$2)^2) +Ft!C$3*EXP(Ft!C$38*($A186-Ft!C$2)^2) + Ft!D$3*EXP(Ft!D$38*($A186-Ft!D$2)^2)+Ft!E$3*EXP(Ft!E$38*($A186-Ft!E$2)^2) +Ft!F$3*EXP(Ft!F$38*($A186-Ft!F$2)^2) + Ft!G$3*EXP(Ft!G$38*($A186-Ft!G$2)^2)</f>
        <v>413057.30304941989</v>
      </c>
      <c r="E186" s="27">
        <f>Ft!B$3*EXP(Ft!B$38*($A186-Ft!B$2)^2)</f>
        <v>-115698.08510810093</v>
      </c>
      <c r="F186" s="27">
        <f>Ft!C$3*EXP(Ft!C$38*($A186-Ft!C$2)^2)</f>
        <v>0</v>
      </c>
      <c r="G186" s="27">
        <f>Ft!D$3*EXP(Ft!D$38*($A186-Ft!D$2)^2)</f>
        <v>483427.35315398348</v>
      </c>
      <c r="H186" s="27">
        <f>Ft!E$3*EXP(Ft!E$38*($A186-Ft!E$2)^2)</f>
        <v>6.234335049963744</v>
      </c>
      <c r="I186" s="27">
        <f>Ft!F$3*EXP(Ft!F$38*($A186-Ft!F$2)^2)</f>
        <v>45321.80066848734</v>
      </c>
      <c r="J186" s="27">
        <f>Ft!G$3*EXP(Ft!G$38*($A186-Ft!G$2)^2)</f>
        <v>0</v>
      </c>
    </row>
    <row r="187" spans="1:10">
      <c r="A187" s="20">
        <v>185</v>
      </c>
      <c r="B187" s="29">
        <v>26.17278656989231</v>
      </c>
      <c r="C187" s="28">
        <f ca="1">OFFSET($B187,1*(ROWS(C$2:C187)-1),0)</f>
        <v>48.320407294650408</v>
      </c>
      <c r="D187" s="27">
        <f>Ft!B$3*EXP(Ft!B$38*($A187-Ft!B$2)^2) +Ft!C$3*EXP(Ft!C$38*($A187-Ft!C$2)^2) + Ft!D$3*EXP(Ft!D$38*($A187-Ft!D$2)^2)+Ft!E$3*EXP(Ft!E$38*($A187-Ft!E$2)^2) +Ft!F$3*EXP(Ft!F$38*($A187-Ft!F$2)^2) + Ft!G$3*EXP(Ft!G$38*($A187-Ft!G$2)^2)</f>
        <v>415101.30767211999</v>
      </c>
      <c r="E187" s="27">
        <f>Ft!B$3*EXP(Ft!B$38*($A187-Ft!B$2)^2)</f>
        <v>-115699.3897779666</v>
      </c>
      <c r="F187" s="27">
        <f>Ft!C$3*EXP(Ft!C$38*($A187-Ft!C$2)^2)</f>
        <v>4.6014704024657267E-227</v>
      </c>
      <c r="G187" s="27">
        <f>Ft!D$3*EXP(Ft!D$38*($A187-Ft!D$2)^2)</f>
        <v>486623.37840199133</v>
      </c>
      <c r="H187" s="27">
        <f>Ft!E$3*EXP(Ft!E$38*($A187-Ft!E$2)^2)</f>
        <v>5.6242276516806804</v>
      </c>
      <c r="I187" s="27">
        <f>Ft!F$3*EXP(Ft!F$38*($A187-Ft!F$2)^2)</f>
        <v>44171.694820443583</v>
      </c>
      <c r="J187" s="27">
        <f>Ft!G$3*EXP(Ft!G$38*($A187-Ft!G$2)^2)</f>
        <v>0</v>
      </c>
    </row>
    <row r="188" spans="1:10">
      <c r="A188" s="20">
        <v>186</v>
      </c>
      <c r="B188" s="29">
        <v>26.388888023433736</v>
      </c>
      <c r="C188" s="28">
        <f ca="1">OFFSET($B188,1*(ROWS(C$2:C188)-1),0)</f>
        <v>48.28720799505669</v>
      </c>
      <c r="D188" s="27">
        <f>Ft!B$3*EXP(Ft!B$38*($A188-Ft!B$2)^2) +Ft!C$3*EXP(Ft!C$38*($A188-Ft!C$2)^2) + Ft!D$3*EXP(Ft!D$38*($A188-Ft!D$2)^2)+Ft!E$3*EXP(Ft!E$38*($A188-Ft!E$2)^2) +Ft!F$3*EXP(Ft!F$38*($A188-Ft!F$2)^2) + Ft!G$3*EXP(Ft!G$38*($A188-Ft!G$2)^2)</f>
        <v>417126.75937864301</v>
      </c>
      <c r="E188" s="27">
        <f>Ft!B$3*EXP(Ft!B$38*($A188-Ft!B$2)^2)</f>
        <v>-115700.69392772119</v>
      </c>
      <c r="F188" s="27">
        <f>Ft!C$3*EXP(Ft!C$38*($A188-Ft!C$2)^2)</f>
        <v>1.3091223839667407E-93</v>
      </c>
      <c r="G188" s="27">
        <f>Ft!D$3*EXP(Ft!D$38*($A188-Ft!D$2)^2)</f>
        <v>489782.8677879381</v>
      </c>
      <c r="H188" s="27">
        <f>Ft!E$3*EXP(Ft!E$38*($A188-Ft!E$2)^2)</f>
        <v>5.0707674834014176</v>
      </c>
      <c r="I188" s="27">
        <f>Ft!F$3*EXP(Ft!F$38*($A188-Ft!F$2)^2)</f>
        <v>43039.514750942704</v>
      </c>
      <c r="J188" s="27">
        <f>Ft!G$3*EXP(Ft!G$38*($A188-Ft!G$2)^2)</f>
        <v>0</v>
      </c>
    </row>
    <row r="189" spans="1:10">
      <c r="A189" s="20">
        <v>187</v>
      </c>
      <c r="B189" s="29">
        <v>26.596628887817019</v>
      </c>
      <c r="C189" s="28">
        <f ca="1">OFFSET($B189,1*(ROWS(C$2:C189)-1),0)</f>
        <v>48.25630755941387</v>
      </c>
      <c r="D189" s="27">
        <f>Ft!B$3*EXP(Ft!B$38*($A189-Ft!B$2)^2) +Ft!C$3*EXP(Ft!C$38*($A189-Ft!C$2)^2) + Ft!D$3*EXP(Ft!D$38*($A189-Ft!D$2)^2)+Ft!E$3*EXP(Ft!E$38*($A189-Ft!E$2)^2) +Ft!F$3*EXP(Ft!F$38*($A189-Ft!F$2)^2) + Ft!G$3*EXP(Ft!G$38*($A189-Ft!G$2)^2)</f>
        <v>419132.79489658913</v>
      </c>
      <c r="E189" s="27">
        <f>Ft!B$3*EXP(Ft!B$38*($A189-Ft!B$2)^2)</f>
        <v>-115701.9975573468</v>
      </c>
      <c r="F189" s="27">
        <f>Ft!C$3*EXP(Ft!C$38*($A189-Ft!C$2)^2)</f>
        <v>7.7025309192524736E-17</v>
      </c>
      <c r="G189" s="27">
        <f>Ft!D$3*EXP(Ft!D$38*($A189-Ft!D$2)^2)</f>
        <v>492904.837793916</v>
      </c>
      <c r="H189" s="27">
        <f>Ft!E$3*EXP(Ft!E$38*($A189-Ft!E$2)^2)</f>
        <v>4.5690146968849374</v>
      </c>
      <c r="I189" s="27">
        <f>Ft!F$3*EXP(Ft!F$38*($A189-Ft!F$2)^2)</f>
        <v>41925.385645323076</v>
      </c>
      <c r="J189" s="27">
        <f>Ft!G$3*EXP(Ft!G$38*($A189-Ft!G$2)^2)</f>
        <v>0</v>
      </c>
    </row>
    <row r="190" spans="1:10">
      <c r="A190" s="20">
        <v>188</v>
      </c>
      <c r="B190" s="29">
        <v>26.780087100169624</v>
      </c>
      <c r="C190" s="28">
        <f ca="1">OFFSET($B190,1*(ROWS(C$2:C190)-1),0)</f>
        <v>48.221646833844176</v>
      </c>
      <c r="D190" s="27">
        <f>Ft!B$3*EXP(Ft!B$38*($A190-Ft!B$2)^2) +Ft!C$3*EXP(Ft!C$38*($A190-Ft!C$2)^2) + Ft!D$3*EXP(Ft!D$38*($A190-Ft!D$2)^2)+Ft!E$3*EXP(Ft!E$38*($A190-Ft!E$2)^2) +Ft!F$3*EXP(Ft!F$38*($A190-Ft!F$2)^2) + Ft!G$3*EXP(Ft!G$38*($A190-Ft!G$2)^2)</f>
        <v>430491.05813493521</v>
      </c>
      <c r="E190" s="27">
        <f>Ft!B$3*EXP(Ft!B$38*($A190-Ft!B$2)^2)</f>
        <v>-115703.30066682548</v>
      </c>
      <c r="F190" s="27">
        <f>Ft!C$3*EXP(Ft!C$38*($A190-Ft!C$2)^2)</f>
        <v>9372.5170213882739</v>
      </c>
      <c r="G190" s="27">
        <f>Ft!D$3*EXP(Ft!D$38*($A190-Ft!D$2)^2)</f>
        <v>495988.31186790345</v>
      </c>
      <c r="H190" s="27">
        <f>Ft!E$3*EXP(Ft!E$38*($A190-Ft!E$2)^2)</f>
        <v>4.1144279939443607</v>
      </c>
      <c r="I190" s="27">
        <f>Ft!F$3*EXP(Ft!F$38*($A190-Ft!F$2)^2)</f>
        <v>40829.415484475023</v>
      </c>
      <c r="J190" s="27">
        <f>Ft!G$3*EXP(Ft!G$38*($A190-Ft!G$2)^2)</f>
        <v>0</v>
      </c>
    </row>
    <row r="191" spans="1:10">
      <c r="A191" s="20">
        <v>189</v>
      </c>
      <c r="B191" s="29">
        <v>26.987400062018907</v>
      </c>
      <c r="C191" s="28">
        <f ca="1">OFFSET($B191,1*(ROWS(C$2:C191)-1),0)</f>
        <v>48.156115602810814</v>
      </c>
      <c r="D191" s="27">
        <f>Ft!B$3*EXP(Ft!B$38*($A191-Ft!B$2)^2) +Ft!C$3*EXP(Ft!C$38*($A191-Ft!C$2)^2) + Ft!D$3*EXP(Ft!D$38*($A191-Ft!D$2)^2)+Ft!E$3*EXP(Ft!E$38*($A191-Ft!E$2)^2) +Ft!F$3*EXP(Ft!F$38*($A191-Ft!F$2)^2) + Ft!G$3*EXP(Ft!G$38*($A191-Ft!G$2)^2)</f>
        <v>423083.11588759132</v>
      </c>
      <c r="E191" s="27">
        <f>Ft!B$3*EXP(Ft!B$38*($A191-Ft!B$2)^2)</f>
        <v>-115704.60325613937</v>
      </c>
      <c r="F191" s="27">
        <f>Ft!C$3*EXP(Ft!C$38*($A191-Ft!C$2)^2)</f>
        <v>2.3585691362952569E-33</v>
      </c>
      <c r="G191" s="27">
        <f>Ft!D$3*EXP(Ft!D$38*($A191-Ft!D$2)^2)</f>
        <v>499032.32092946541</v>
      </c>
      <c r="H191" s="27">
        <f>Ft!E$3*EXP(Ft!E$38*($A191-Ft!E$2)^2)</f>
        <v>3.7028355977710103</v>
      </c>
      <c r="I191" s="27">
        <f>Ft!F$3*EXP(Ft!F$38*($A191-Ft!F$2)^2)</f>
        <v>39751.695378667515</v>
      </c>
      <c r="J191" s="27">
        <f>Ft!G$3*EXP(Ft!G$38*($A191-Ft!G$2)^2)</f>
        <v>0</v>
      </c>
    </row>
    <row r="192" spans="1:10">
      <c r="A192" s="20">
        <v>190</v>
      </c>
      <c r="B192" s="29">
        <v>27.198130802772084</v>
      </c>
      <c r="C192" s="28">
        <f ca="1">OFFSET($B192,1*(ROWS(C$2:C192)-1),0)</f>
        <v>48.11100132036205</v>
      </c>
      <c r="D192" s="27">
        <f>Ft!B$3*EXP(Ft!B$38*($A192-Ft!B$2)^2) +Ft!C$3*EXP(Ft!C$38*($A192-Ft!C$2)^2) + Ft!D$3*EXP(Ft!D$38*($A192-Ft!D$2)^2)+Ft!E$3*EXP(Ft!E$38*($A192-Ft!E$2)^2) +Ft!F$3*EXP(Ft!F$38*($A192-Ft!F$2)^2) + Ft!G$3*EXP(Ft!G$38*($A192-Ft!G$2)^2)</f>
        <v>425025.62887147395</v>
      </c>
      <c r="E192" s="27">
        <f>Ft!B$3*EXP(Ft!B$38*($A192-Ft!B$2)^2)</f>
        <v>-115705.90532527053</v>
      </c>
      <c r="F192" s="27">
        <f>Ft!C$3*EXP(Ft!C$38*($A192-Ft!C$2)^2)</f>
        <v>1.2274691063613788E-126</v>
      </c>
      <c r="G192" s="27">
        <f>Ft!D$3*EXP(Ft!D$38*($A192-Ft!D$2)^2)</f>
        <v>502035.90387423482</v>
      </c>
      <c r="H192" s="27">
        <f>Ft!E$3*EXP(Ft!E$38*($A192-Ft!E$2)^2)</f>
        <v>3.3304080462737127</v>
      </c>
      <c r="I192" s="27">
        <f>Ft!F$3*EXP(Ft!F$38*($A192-Ft!F$2)^2)</f>
        <v>38692.299914463416</v>
      </c>
      <c r="J192" s="27">
        <f>Ft!G$3*EXP(Ft!G$38*($A192-Ft!G$2)^2)</f>
        <v>0</v>
      </c>
    </row>
    <row r="193" spans="1:10">
      <c r="A193" s="20">
        <v>191</v>
      </c>
      <c r="B193" s="29">
        <v>27.41029673779974</v>
      </c>
      <c r="C193" s="28">
        <f ca="1">OFFSET($B193,1*(ROWS(C$2:C193)-1),0)</f>
        <v>48.069702528254226</v>
      </c>
      <c r="D193" s="27">
        <f>Ft!B$3*EXP(Ft!B$38*($A193-Ft!B$2)^2) +Ft!C$3*EXP(Ft!C$38*($A193-Ft!C$2)^2) + Ft!D$3*EXP(Ft!D$38*($A193-Ft!D$2)^2)+Ft!E$3*EXP(Ft!E$38*($A193-Ft!E$2)^2) +Ft!F$3*EXP(Ft!F$38*($A193-Ft!F$2)^2) + Ft!G$3*EXP(Ft!G$38*($A193-Ft!G$2)^2)</f>
        <v>426945.18234917411</v>
      </c>
      <c r="E193" s="27">
        <f>Ft!B$3*EXP(Ft!B$38*($A193-Ft!B$2)^2)</f>
        <v>-115707.20687420109</v>
      </c>
      <c r="F193" s="27">
        <f>Ft!C$3*EXP(Ft!C$38*($A193-Ft!C$2)^2)</f>
        <v>1.321119538127891E-276</v>
      </c>
      <c r="G193" s="27">
        <f>Ft!D$3*EXP(Ft!D$38*($A193-Ft!D$2)^2)</f>
        <v>504998.10807681142</v>
      </c>
      <c r="H193" s="27">
        <f>Ft!E$3*EXP(Ft!E$38*($A193-Ft!E$2)^2)</f>
        <v>2.9936327196229122</v>
      </c>
      <c r="I193" s="27">
        <f>Ft!F$3*EXP(Ft!F$38*($A193-Ft!F$2)^2)</f>
        <v>37651.28751384416</v>
      </c>
      <c r="J193" s="27">
        <f>Ft!G$3*EXP(Ft!G$38*($A193-Ft!G$2)^2)</f>
        <v>0</v>
      </c>
    </row>
    <row r="194" spans="1:10">
      <c r="A194" s="20">
        <v>192</v>
      </c>
      <c r="B194" s="29">
        <v>27.641328953002471</v>
      </c>
      <c r="C194" s="28">
        <f ca="1">OFFSET($B194,1*(ROWS(C$2:C194)-1),0)</f>
        <v>47.96400863924427</v>
      </c>
      <c r="D194" s="27">
        <f>Ft!B$3*EXP(Ft!B$38*($A194-Ft!B$2)^2) +Ft!C$3*EXP(Ft!C$38*($A194-Ft!C$2)^2) + Ft!D$3*EXP(Ft!D$38*($A194-Ft!D$2)^2)+Ft!E$3*EXP(Ft!E$38*($A194-Ft!E$2)^2) +Ft!F$3*EXP(Ft!F$38*($A194-Ft!F$2)^2) + Ft!G$3*EXP(Ft!G$38*($A194-Ft!G$2)^2)</f>
        <v>428840.87208347913</v>
      </c>
      <c r="E194" s="27">
        <f>Ft!B$3*EXP(Ft!B$38*($A194-Ft!B$2)^2)</f>
        <v>-115708.50790291316</v>
      </c>
      <c r="F194" s="27">
        <f>Ft!C$3*EXP(Ft!C$38*($A194-Ft!C$2)^2)</f>
        <v>0</v>
      </c>
      <c r="G194" s="27">
        <f>Ft!D$3*EXP(Ft!D$38*($A194-Ft!D$2)^2)</f>
        <v>507917.98989171075</v>
      </c>
      <c r="H194" s="27">
        <f>Ft!E$3*EXP(Ft!E$38*($A194-Ft!E$2)^2)</f>
        <v>2.6892900160010189</v>
      </c>
      <c r="I194" s="27">
        <f>Ft!F$3*EXP(Ft!F$38*($A194-Ft!F$2)^2)</f>
        <v>36628.700804665488</v>
      </c>
      <c r="J194" s="27">
        <f>Ft!G$3*EXP(Ft!G$38*($A194-Ft!G$2)^2)</f>
        <v>0</v>
      </c>
    </row>
    <row r="195" spans="1:10">
      <c r="A195" s="20">
        <v>193</v>
      </c>
      <c r="B195" s="29">
        <v>27.853985892147989</v>
      </c>
      <c r="C195" s="28">
        <f ca="1">OFFSET($B195,1*(ROWS(C$2:C195)-1),0)</f>
        <v>47.857055126556617</v>
      </c>
      <c r="D195" s="27">
        <f>Ft!B$3*EXP(Ft!B$38*($A195-Ft!B$2)^2) +Ft!C$3*EXP(Ft!C$38*($A195-Ft!C$2)^2) + Ft!D$3*EXP(Ft!D$38*($A195-Ft!D$2)^2)+Ft!E$3*EXP(Ft!E$38*($A195-Ft!E$2)^2) +Ft!F$3*EXP(Ft!F$38*($A195-Ft!F$2)^2) + Ft!G$3*EXP(Ft!G$38*($A195-Ft!G$2)^2)</f>
        <v>430711.7881732696</v>
      </c>
      <c r="E195" s="27">
        <f>Ft!B$3*EXP(Ft!B$38*($A195-Ft!B$2)^2)</f>
        <v>-115709.80841138886</v>
      </c>
      <c r="F195" s="27">
        <f>Ft!C$3*EXP(Ft!C$38*($A195-Ft!C$2)^2)</f>
        <v>0</v>
      </c>
      <c r="G195" s="27">
        <f>Ft!D$3*EXP(Ft!D$38*($A195-Ft!D$2)^2)</f>
        <v>510794.61515199783</v>
      </c>
      <c r="H195" s="27">
        <f>Ft!E$3*EXP(Ft!E$38*($A195-Ft!E$2)^2)</f>
        <v>2.4144310915852887</v>
      </c>
      <c r="I195" s="27">
        <f>Ft!F$3*EXP(Ft!F$38*($A195-Ft!F$2)^2)</f>
        <v>35624.567001569027</v>
      </c>
      <c r="J195" s="27">
        <f>Ft!G$3*EXP(Ft!G$38*($A195-Ft!G$2)^2)</f>
        <v>0</v>
      </c>
    </row>
    <row r="196" spans="1:10">
      <c r="A196" s="20">
        <v>194</v>
      </c>
      <c r="B196" s="29">
        <v>28.066420625154336</v>
      </c>
      <c r="C196" s="28">
        <f ca="1">OFFSET($B196,1*(ROWS(C$2:C196)-1),0)</f>
        <v>47.677563043943167</v>
      </c>
      <c r="D196" s="27">
        <f>Ft!B$3*EXP(Ft!B$38*($A196-Ft!B$2)^2) +Ft!C$3*EXP(Ft!C$38*($A196-Ft!C$2)^2) + Ft!D$3*EXP(Ft!D$38*($A196-Ft!D$2)^2)+Ft!E$3*EXP(Ft!E$38*($A196-Ft!E$2)^2) +Ft!F$3*EXP(Ft!F$38*($A196-Ft!F$2)^2) + Ft!G$3*EXP(Ft!G$38*($A196-Ft!G$2)^2)</f>
        <v>432557.01591918862</v>
      </c>
      <c r="E196" s="27">
        <f>Ft!B$3*EXP(Ft!B$38*($A196-Ft!B$2)^2)</f>
        <v>-115711.10839961033</v>
      </c>
      <c r="F196" s="27">
        <f>Ft!C$3*EXP(Ft!C$38*($A196-Ft!C$2)^2)</f>
        <v>0</v>
      </c>
      <c r="G196" s="27">
        <f>Ft!D$3*EXP(Ft!D$38*($A196-Ft!D$2)^2)</f>
        <v>513627.05966523744</v>
      </c>
      <c r="H196" s="27">
        <f>Ft!E$3*EXP(Ft!E$38*($A196-Ft!E$2)^2)</f>
        <v>2.1663570829945229</v>
      </c>
      <c r="I196" s="27">
        <f>Ft!F$3*EXP(Ft!F$38*($A196-Ft!F$2)^2)</f>
        <v>34638.898296478525</v>
      </c>
      <c r="J196" s="27">
        <f>Ft!G$3*EXP(Ft!G$38*($A196-Ft!G$2)^2)</f>
        <v>0</v>
      </c>
    </row>
    <row r="197" spans="1:10">
      <c r="A197" s="20">
        <v>195</v>
      </c>
      <c r="B197" s="29">
        <v>28.283016946908901</v>
      </c>
      <c r="C197" s="28">
        <f ca="1">OFFSET($B197,1*(ROWS(C$2:C197)-1),0)</f>
        <v>47.488682887182762</v>
      </c>
      <c r="D197" s="27">
        <f>Ft!B$3*EXP(Ft!B$38*($A197-Ft!B$2)^2) +Ft!C$3*EXP(Ft!C$38*($A197-Ft!C$2)^2) + Ft!D$3*EXP(Ft!D$38*($A197-Ft!D$2)^2)+Ft!E$3*EXP(Ft!E$38*($A197-Ft!E$2)^2) +Ft!F$3*EXP(Ft!F$38*($A197-Ft!F$2)^2) + Ft!G$3*EXP(Ft!G$38*($A197-Ft!G$2)^2)</f>
        <v>434375.63669638516</v>
      </c>
      <c r="E197" s="27">
        <f>Ft!B$3*EXP(Ft!B$38*($A197-Ft!B$2)^2)</f>
        <v>-115712.4078675597</v>
      </c>
      <c r="F197" s="27">
        <f>Ft!C$3*EXP(Ft!C$38*($A197-Ft!C$2)^2)</f>
        <v>0</v>
      </c>
      <c r="G197" s="27">
        <f>Ft!D$3*EXP(Ft!D$38*($A197-Ft!D$2)^2)</f>
        <v>516414.40970639559</v>
      </c>
      <c r="H197" s="27">
        <f>Ft!E$3*EXP(Ft!E$38*($A197-Ft!E$2)^2)</f>
        <v>1.9425997327871463</v>
      </c>
      <c r="I197" s="27">
        <f>Ft!F$3*EXP(Ft!F$38*($A197-Ft!F$2)^2)</f>
        <v>33671.692257816518</v>
      </c>
      <c r="J197" s="27">
        <f>Ft!G$3*EXP(Ft!G$38*($A197-Ft!G$2)^2)</f>
        <v>0</v>
      </c>
    </row>
    <row r="198" spans="1:10">
      <c r="A198" s="20">
        <v>196</v>
      </c>
      <c r="B198" s="29">
        <v>28.511654506547842</v>
      </c>
      <c r="C198" s="28">
        <f ca="1">OFFSET($B198,1*(ROWS(C$2:C198)-1),0)</f>
        <v>47.31430612842837</v>
      </c>
      <c r="D198" s="27">
        <f>Ft!B$3*EXP(Ft!B$38*($A198-Ft!B$2)^2) +Ft!C$3*EXP(Ft!C$38*($A198-Ft!C$2)^2) + Ft!D$3*EXP(Ft!D$38*($A198-Ft!D$2)^2)+Ft!E$3*EXP(Ft!E$38*($A198-Ft!E$2)^2) +Ft!F$3*EXP(Ft!F$38*($A198-Ft!F$2)^2) + Ft!G$3*EXP(Ft!G$38*($A198-Ft!G$2)^2)</f>
        <v>436166.7288330305</v>
      </c>
      <c r="E198" s="27">
        <f>Ft!B$3*EXP(Ft!B$38*($A198-Ft!B$2)^2)</f>
        <v>-115713.70681521911</v>
      </c>
      <c r="F198" s="27">
        <f>Ft!C$3*EXP(Ft!C$38*($A198-Ft!C$2)^2)</f>
        <v>0</v>
      </c>
      <c r="G198" s="27">
        <f>Ft!D$3*EXP(Ft!D$38*($A198-Ft!D$2)^2)</f>
        <v>519155.76250732428</v>
      </c>
      <c r="H198" s="27">
        <f>Ft!E$3*EXP(Ft!E$38*($A198-Ft!E$2)^2)</f>
        <v>1.740903341077924</v>
      </c>
      <c r="I198" s="27">
        <f>Ft!F$3*EXP(Ft!F$38*($A198-Ft!F$2)^2)</f>
        <v>32722.932237584224</v>
      </c>
      <c r="J198" s="27">
        <f>Ft!G$3*EXP(Ft!G$38*($A198-Ft!G$2)^2)</f>
        <v>0</v>
      </c>
    </row>
    <row r="199" spans="1:10">
      <c r="A199" s="20">
        <v>197</v>
      </c>
      <c r="B199" s="29">
        <v>28.756223867808188</v>
      </c>
      <c r="C199" s="28">
        <f ca="1">OFFSET($B199,1*(ROWS(C$2:C199)-1),0)</f>
        <v>47.148857546451381</v>
      </c>
      <c r="D199" s="27">
        <f>Ft!B$3*EXP(Ft!B$38*($A199-Ft!B$2)^2) +Ft!C$3*EXP(Ft!C$38*($A199-Ft!C$2)^2) + Ft!D$3*EXP(Ft!D$38*($A199-Ft!D$2)^2)+Ft!E$3*EXP(Ft!E$38*($A199-Ft!E$2)^2) +Ft!F$3*EXP(Ft!F$38*($A199-Ft!F$2)^2) + Ft!G$3*EXP(Ft!G$38*($A199-Ft!G$2)^2)</f>
        <v>437929.36849332141</v>
      </c>
      <c r="E199" s="27">
        <f>Ft!B$3*EXP(Ft!B$38*($A199-Ft!B$2)^2)</f>
        <v>-115715.00524257071</v>
      </c>
      <c r="F199" s="27">
        <f>Ft!C$3*EXP(Ft!C$38*($A199-Ft!C$2)^2)</f>
        <v>0</v>
      </c>
      <c r="G199" s="27">
        <f>Ft!D$3*EXP(Ft!D$38*($A199-Ft!D$2)^2)</f>
        <v>521850.22674246557</v>
      </c>
      <c r="H199" s="27">
        <f>Ft!E$3*EXP(Ft!E$38*($A199-Ft!E$2)^2)</f>
        <v>1.5592079689188085</v>
      </c>
      <c r="I199" s="27">
        <f>Ft!F$3*EXP(Ft!F$38*($A199-Ft!F$2)^2)</f>
        <v>31792.587785457599</v>
      </c>
      <c r="J199" s="27">
        <f>Ft!G$3*EXP(Ft!G$38*($A199-Ft!G$2)^2)</f>
        <v>0</v>
      </c>
    </row>
    <row r="200" spans="1:10">
      <c r="A200" s="20">
        <v>198</v>
      </c>
      <c r="B200" s="29">
        <v>28.999358702288845</v>
      </c>
      <c r="C200" s="28">
        <f ca="1">OFFSET($B200,1*(ROWS(C$2:C200)-1),0)</f>
        <v>46.93345971747928</v>
      </c>
      <c r="D200" s="27">
        <f>Ft!B$3*EXP(Ft!B$38*($A200-Ft!B$2)^2) +Ft!C$3*EXP(Ft!C$38*($A200-Ft!C$2)^2) + Ft!D$3*EXP(Ft!D$38*($A200-Ft!D$2)^2)+Ft!E$3*EXP(Ft!E$38*($A200-Ft!E$2)^2) +Ft!F$3*EXP(Ft!F$38*($A200-Ft!F$2)^2) + Ft!G$3*EXP(Ft!G$38*($A200-Ft!G$2)^2)</f>
        <v>439662.63056369656</v>
      </c>
      <c r="E200" s="27">
        <f>Ft!B$3*EXP(Ft!B$38*($A200-Ft!B$2)^2)</f>
        <v>-115716.30314959667</v>
      </c>
      <c r="F200" s="27">
        <f>Ft!C$3*EXP(Ft!C$38*($A200-Ft!C$2)^2)</f>
        <v>0</v>
      </c>
      <c r="G200" s="27">
        <f>Ft!D$3*EXP(Ft!D$38*($A200-Ft!D$2)^2)</f>
        <v>524496.92301040865</v>
      </c>
      <c r="H200" s="27">
        <f>Ft!E$3*EXP(Ft!E$38*($A200-Ft!E$2)^2)</f>
        <v>1.3956338217422004</v>
      </c>
      <c r="I200" s="27">
        <f>Ft!F$3*EXP(Ft!F$38*($A200-Ft!F$2)^2)</f>
        <v>30880.615069062878</v>
      </c>
      <c r="J200" s="27">
        <f>Ft!G$3*EXP(Ft!G$38*($A200-Ft!G$2)^2)</f>
        <v>0</v>
      </c>
    </row>
    <row r="201" spans="1:10">
      <c r="A201" s="20">
        <v>199</v>
      </c>
      <c r="B201" s="29">
        <v>29.233908493545499</v>
      </c>
      <c r="C201" s="28">
        <f ca="1">OFFSET($B201,1*(ROWS(C$2:C201)-1),0)</f>
        <v>46.677944563617729</v>
      </c>
      <c r="D201" s="27">
        <f>Ft!B$3*EXP(Ft!B$38*($A201-Ft!B$2)^2) +Ft!C$3*EXP(Ft!C$38*($A201-Ft!C$2)^2) + Ft!D$3*EXP(Ft!D$38*($A201-Ft!D$2)^2)+Ft!E$3*EXP(Ft!E$38*($A201-Ft!E$2)^2) +Ft!F$3*EXP(Ft!F$38*($A201-Ft!F$2)^2) + Ft!G$3*EXP(Ft!G$38*($A201-Ft!G$2)^2)</f>
        <v>441365.58954101091</v>
      </c>
      <c r="E201" s="27">
        <f>Ft!B$3*EXP(Ft!B$38*($A201-Ft!B$2)^2)</f>
        <v>-115717.60053627915</v>
      </c>
      <c r="F201" s="27">
        <f>Ft!C$3*EXP(Ft!C$38*($A201-Ft!C$2)^2)</f>
        <v>0</v>
      </c>
      <c r="G201" s="27">
        <f>Ft!D$3*EXP(Ft!D$38*($A201-Ft!D$2)^2)</f>
        <v>527094.98431093874</v>
      </c>
      <c r="H201" s="27">
        <f>Ft!E$3*EXP(Ft!E$38*($A201-Ft!E$2)^2)</f>
        <v>1.2484667438717236</v>
      </c>
      <c r="I201" s="27">
        <f>Ft!F$3*EXP(Ft!F$38*($A201-Ft!F$2)^2)</f>
        <v>29986.957299607453</v>
      </c>
      <c r="J201" s="27">
        <f>Ft!G$3*EXP(Ft!G$38*($A201-Ft!G$2)^2)</f>
        <v>0</v>
      </c>
    </row>
    <row r="202" spans="1:10">
      <c r="A202" s="20">
        <v>200</v>
      </c>
      <c r="B202" s="29">
        <v>29.466522888956916</v>
      </c>
      <c r="C202" s="28">
        <f ca="1">OFFSET($B202,1*(ROWS(C$2:C202)-1),0)</f>
        <v>46.435639732551465</v>
      </c>
      <c r="D202" s="27">
        <f>Ft!B$3*EXP(Ft!B$38*($A202-Ft!B$2)^2) +Ft!C$3*EXP(Ft!C$38*($A202-Ft!C$2)^2) + Ft!D$3*EXP(Ft!D$38*($A202-Ft!D$2)^2)+Ft!E$3*EXP(Ft!E$38*($A202-Ft!E$2)^2) +Ft!F$3*EXP(Ft!F$38*($A202-Ft!F$2)^2) + Ft!G$3*EXP(Ft!G$38*($A202-Ft!G$2)^2)</f>
        <v>443037.32042142807</v>
      </c>
      <c r="E202" s="27">
        <f>Ft!B$3*EXP(Ft!B$38*($A202-Ft!B$2)^2)</f>
        <v>-115718.89740260031</v>
      </c>
      <c r="F202" s="27">
        <f>Ft!C$3*EXP(Ft!C$38*($A202-Ft!C$2)^2)</f>
        <v>0</v>
      </c>
      <c r="G202" s="27">
        <f>Ft!D$3*EXP(Ft!D$38*($A202-Ft!D$2)^2)</f>
        <v>529643.55651721498</v>
      </c>
      <c r="H202" s="27">
        <f>Ft!E$3*EXP(Ft!E$38*($A202-Ft!E$2)^2)</f>
        <v>1.1161447578461863</v>
      </c>
      <c r="I202" s="27">
        <f>Ft!F$3*EXP(Ft!F$38*($A202-Ft!F$2)^2)</f>
        <v>29111.54516205558</v>
      </c>
      <c r="J202" s="27">
        <f>Ft!G$3*EXP(Ft!G$38*($A202-Ft!G$2)^2)</f>
        <v>0</v>
      </c>
    </row>
    <row r="203" spans="1:10">
      <c r="A203" s="20">
        <v>201</v>
      </c>
      <c r="B203" s="29">
        <v>29.683936743779981</v>
      </c>
      <c r="C203" s="28">
        <f ca="1">OFFSET($B203,1*(ROWS(C$2:C203)-1),0)</f>
        <v>46.156090619620954</v>
      </c>
      <c r="D203" s="27">
        <f>Ft!B$3*EXP(Ft!B$38*($A203-Ft!B$2)^2) +Ft!C$3*EXP(Ft!C$38*($A203-Ft!C$2)^2) + Ft!D$3*EXP(Ft!D$38*($A203-Ft!D$2)^2)+Ft!E$3*EXP(Ft!E$38*($A203-Ft!E$2)^2) +Ft!F$3*EXP(Ft!F$38*($A203-Ft!F$2)^2) + Ft!G$3*EXP(Ft!G$38*($A203-Ft!G$2)^2)</f>
        <v>444676.89958881529</v>
      </c>
      <c r="E203" s="27">
        <f>Ft!B$3*EXP(Ft!B$38*($A203-Ft!B$2)^2)</f>
        <v>-115720.19374854233</v>
      </c>
      <c r="F203" s="27">
        <f>Ft!C$3*EXP(Ft!C$38*($A203-Ft!C$2)^2)</f>
        <v>0</v>
      </c>
      <c r="G203" s="27">
        <f>Ft!D$3*EXP(Ft!D$38*($A203-Ft!D$2)^2)</f>
        <v>532141.79884271929</v>
      </c>
      <c r="H203" s="27">
        <f>Ft!E$3*EXP(Ft!E$38*($A203-Ft!E$2)^2)</f>
        <v>0.99724558505977479</v>
      </c>
      <c r="I203" s="27">
        <f>Ft!F$3*EXP(Ft!F$38*($A203-Ft!F$2)^2)</f>
        <v>28254.297249053263</v>
      </c>
      <c r="J203" s="27">
        <f>Ft!G$3*EXP(Ft!G$38*($A203-Ft!G$2)^2)</f>
        <v>0</v>
      </c>
    </row>
    <row r="204" spans="1:10">
      <c r="A204" s="20">
        <v>202</v>
      </c>
      <c r="B204" s="29">
        <v>29.900043858489028</v>
      </c>
      <c r="C204" s="28">
        <f ca="1">OFFSET($B204,1*(ROWS(C$2:C204)-1),0)</f>
        <v>45.838370172396765</v>
      </c>
      <c r="D204" s="27">
        <f>Ft!B$3*EXP(Ft!B$38*($A204-Ft!B$2)^2) +Ft!C$3*EXP(Ft!C$38*($A204-Ft!C$2)^2) + Ft!D$3*EXP(Ft!D$38*($A204-Ft!D$2)^2)+Ft!E$3*EXP(Ft!E$38*($A204-Ft!E$2)^2) +Ft!F$3*EXP(Ft!F$38*($A204-Ft!F$2)^2) + Ft!G$3*EXP(Ft!G$38*($A204-Ft!G$2)^2)</f>
        <v>446283.40570144227</v>
      </c>
      <c r="E204" s="27">
        <f>Ft!B$3*EXP(Ft!B$38*($A204-Ft!B$2)^2)</f>
        <v>-115721.48957408741</v>
      </c>
      <c r="F204" s="27">
        <f>Ft!C$3*EXP(Ft!C$38*($A204-Ft!C$2)^2)</f>
        <v>0</v>
      </c>
      <c r="G204" s="27">
        <f>Ft!D$3*EXP(Ft!D$38*($A204-Ft!D$2)^2)</f>
        <v>534588.88430261973</v>
      </c>
      <c r="H204" s="27">
        <f>Ft!E$3*EXP(Ft!E$38*($A204-Ft!E$2)^2)</f>
        <v>0.89047508697935518</v>
      </c>
      <c r="I204" s="27">
        <f>Ft!F$3*EXP(Ft!F$38*($A204-Ft!F$2)^2)</f>
        <v>27415.120497822983</v>
      </c>
      <c r="J204" s="27">
        <f>Ft!G$3*EXP(Ft!G$38*($A204-Ft!G$2)^2)</f>
        <v>0</v>
      </c>
    </row>
    <row r="205" spans="1:10">
      <c r="A205" s="20">
        <v>203</v>
      </c>
      <c r="B205" s="29">
        <v>30.111746603634799</v>
      </c>
      <c r="C205" s="28">
        <f ca="1">OFFSET($B205,1*(ROWS(C$2:C205)-1),0)</f>
        <v>45.479591484384599</v>
      </c>
      <c r="D205" s="27">
        <f>Ft!B$3*EXP(Ft!B$38*($A205-Ft!B$2)^2) +Ft!C$3*EXP(Ft!C$38*($A205-Ft!C$2)^2) + Ft!D$3*EXP(Ft!D$38*($A205-Ft!D$2)^2)+Ft!E$3*EXP(Ft!E$38*($A205-Ft!E$2)^2) +Ft!F$3*EXP(Ft!F$38*($A205-Ft!F$2)^2) + Ft!G$3*EXP(Ft!G$38*($A205-Ft!G$2)^2)</f>
        <v>447855.92057581071</v>
      </c>
      <c r="E205" s="27">
        <f>Ft!B$3*EXP(Ft!B$38*($A205-Ft!B$2)^2)</f>
        <v>-115722.78487921774</v>
      </c>
      <c r="F205" s="27">
        <f>Ft!C$3*EXP(Ft!C$38*($A205-Ft!C$2)^2)</f>
        <v>0</v>
      </c>
      <c r="G205" s="27">
        <f>Ft!D$3*EXP(Ft!D$38*($A205-Ft!D$2)^2)</f>
        <v>536984.00016919349</v>
      </c>
      <c r="H205" s="27">
        <f>Ft!E$3*EXP(Ft!E$38*($A205-Ft!E$2)^2)</f>
        <v>0.79465656894408332</v>
      </c>
      <c r="I205" s="27">
        <f>Ft!F$3*EXP(Ft!F$38*($A205-Ft!F$2)^2)</f>
        <v>26593.910629265996</v>
      </c>
      <c r="J205" s="27">
        <f>Ft!G$3*EXP(Ft!G$38*($A205-Ft!G$2)^2)</f>
        <v>0</v>
      </c>
    </row>
    <row r="206" spans="1:10">
      <c r="A206" s="20">
        <v>204</v>
      </c>
      <c r="B206" s="29">
        <v>30.344535046934908</v>
      </c>
      <c r="C206" s="28">
        <f ca="1">OFFSET($B206,1*(ROWS(C$2:C206)-1),0)</f>
        <v>45.075007713297225</v>
      </c>
      <c r="D206" s="27">
        <f>Ft!B$3*EXP(Ft!B$38*($A206-Ft!B$2)^2) +Ft!C$3*EXP(Ft!C$38*($A206-Ft!C$2)^2) + Ft!D$3*EXP(Ft!D$38*($A206-Ft!D$2)^2)+Ft!E$3*EXP(Ft!E$38*($A206-Ft!E$2)^2) +Ft!F$3*EXP(Ft!F$38*($A206-Ft!F$2)^2) + Ft!G$3*EXP(Ft!G$38*($A206-Ft!G$2)^2)</f>
        <v>449393.53006646561</v>
      </c>
      <c r="E206" s="27">
        <f>Ft!B$3*EXP(Ft!B$38*($A206-Ft!B$2)^2)</f>
        <v>-115724.07966391552</v>
      </c>
      <c r="F206" s="27">
        <f>Ft!C$3*EXP(Ft!C$38*($A206-Ft!C$2)^2)</f>
        <v>0</v>
      </c>
      <c r="G206" s="27">
        <f>Ft!D$3*EXP(Ft!D$38*($A206-Ft!D$2)^2)</f>
        <v>539326.34842096129</v>
      </c>
      <c r="H206" s="27">
        <f>Ft!E$3*EXP(Ft!E$38*($A206-Ft!E$2)^2)</f>
        <v>0.70872089127053972</v>
      </c>
      <c r="I206" s="27">
        <f>Ft!F$3*EXP(Ft!F$38*($A206-Ft!F$2)^2)</f>
        <v>25790.552588528524</v>
      </c>
      <c r="J206" s="27">
        <f>Ft!G$3*EXP(Ft!G$38*($A206-Ft!G$2)^2)</f>
        <v>0</v>
      </c>
    </row>
    <row r="207" spans="1:10">
      <c r="A207" s="20">
        <v>205</v>
      </c>
      <c r="B207" s="29">
        <v>30.605404495897062</v>
      </c>
      <c r="C207" s="28">
        <f ca="1">OFFSET($B207,1*(ROWS(C$2:C207)-1),0)</f>
        <v>44.680738646947077</v>
      </c>
      <c r="D207" s="27">
        <f>Ft!B$3*EXP(Ft!B$38*($A207-Ft!B$2)^2) +Ft!C$3*EXP(Ft!C$38*($A207-Ft!C$2)^2) + Ft!D$3*EXP(Ft!D$38*($A207-Ft!D$2)^2)+Ft!E$3*EXP(Ft!E$38*($A207-Ft!E$2)^2) +Ft!F$3*EXP(Ft!F$38*($A207-Ft!F$2)^2) + Ft!G$3*EXP(Ft!G$38*($A207-Ft!G$2)^2)</f>
        <v>450895.32494066271</v>
      </c>
      <c r="E207" s="27">
        <f>Ft!B$3*EXP(Ft!B$38*($A207-Ft!B$2)^2)</f>
        <v>-115725.37392816292</v>
      </c>
      <c r="F207" s="27">
        <f>Ft!C$3*EXP(Ft!C$38*($A207-Ft!C$2)^2)</f>
        <v>0</v>
      </c>
      <c r="G207" s="27">
        <f>Ft!D$3*EXP(Ft!D$38*($A207-Ft!D$2)^2)</f>
        <v>541615.14618518308</v>
      </c>
      <c r="H207" s="27">
        <f>Ft!E$3*EXP(Ft!E$38*($A207-Ft!E$2)^2)</f>
        <v>0.63169733506733683</v>
      </c>
      <c r="I207" s="27">
        <f>Ft!F$3*EXP(Ft!F$38*($A207-Ft!F$2)^2)</f>
        <v>25004.920986307465</v>
      </c>
      <c r="J207" s="27">
        <f>Ft!G$3*EXP(Ft!G$38*($A207-Ft!G$2)^2)</f>
        <v>0</v>
      </c>
    </row>
    <row r="208" spans="1:10">
      <c r="A208" s="20">
        <v>206</v>
      </c>
      <c r="B208" s="29">
        <v>30.843894465265123</v>
      </c>
      <c r="C208" s="28">
        <f ca="1">OFFSET($B208,1*(ROWS(C$2:C208)-1),0)</f>
        <v>44.27695556373726</v>
      </c>
      <c r="D208" s="27">
        <f>Ft!B$3*EXP(Ft!B$38*($A208-Ft!B$2)^2) +Ft!C$3*EXP(Ft!C$38*($A208-Ft!C$2)^2) + Ft!D$3*EXP(Ft!D$38*($A208-Ft!D$2)^2)+Ft!E$3*EXP(Ft!E$38*($A208-Ft!E$2)^2) +Ft!F$3*EXP(Ft!F$38*($A208-Ft!F$2)^2) + Ft!G$3*EXP(Ft!G$38*($A208-Ft!G$2)^2)</f>
        <v>452360.40174679807</v>
      </c>
      <c r="E208" s="27">
        <f>Ft!B$3*EXP(Ft!B$38*($A208-Ft!B$2)^2)</f>
        <v>-115726.66767194222</v>
      </c>
      <c r="F208" s="27">
        <f>Ft!C$3*EXP(Ft!C$38*($A208-Ft!C$2)^2)</f>
        <v>0</v>
      </c>
      <c r="G208" s="27">
        <f>Ft!D$3*EXP(Ft!D$38*($A208-Ft!D$2)^2)</f>
        <v>543849.62617337622</v>
      </c>
      <c r="H208" s="27">
        <f>Ft!E$3*EXP(Ft!E$38*($A208-Ft!E$2)^2)</f>
        <v>0.56270517279657029</v>
      </c>
      <c r="I208" s="27">
        <f>Ft!F$3*EXP(Ft!F$38*($A208-Ft!F$2)^2)</f>
        <v>24236.880540191229</v>
      </c>
      <c r="J208" s="27">
        <f>Ft!G$3*EXP(Ft!G$38*($A208-Ft!G$2)^2)</f>
        <v>0</v>
      </c>
    </row>
    <row r="209" spans="1:10">
      <c r="A209" s="20">
        <v>207</v>
      </c>
      <c r="B209" s="29">
        <v>31.065992115417941</v>
      </c>
      <c r="C209" s="28">
        <f ca="1">OFFSET($B209,1*(ROWS(C$2:C209)-1),0)</f>
        <v>43.86200492500052</v>
      </c>
      <c r="D209" s="27">
        <f>Ft!B$3*EXP(Ft!B$38*($A209-Ft!B$2)^2) +Ft!C$3*EXP(Ft!C$38*($A209-Ft!C$2)^2) + Ft!D$3*EXP(Ft!D$38*($A209-Ft!D$2)^2)+Ft!E$3*EXP(Ft!E$38*($A209-Ft!E$2)^2) +Ft!F$3*EXP(Ft!F$38*($A209-Ft!F$2)^2) + Ft!G$3*EXP(Ft!G$38*($A209-Ft!G$2)^2)</f>
        <v>453787.8636755271</v>
      </c>
      <c r="E209" s="27">
        <f>Ft!B$3*EXP(Ft!B$38*($A209-Ft!B$2)^2)</f>
        <v>-115727.96089523559</v>
      </c>
      <c r="F209" s="27">
        <f>Ft!C$3*EXP(Ft!C$38*($A209-Ft!C$2)^2)</f>
        <v>0</v>
      </c>
      <c r="G209" s="27">
        <f>Ft!D$3*EXP(Ft!D$38*($A209-Ft!D$2)^2)</f>
        <v>546029.03710951353</v>
      </c>
      <c r="H209" s="27">
        <f>Ft!E$3*EXP(Ft!E$38*($A209-Ft!E$2)^2)</f>
        <v>0.50094589619749574</v>
      </c>
      <c r="I209" s="27">
        <f>Ft!F$3*EXP(Ft!F$38*($A209-Ft!F$2)^2)</f>
        <v>23486.286515352975</v>
      </c>
      <c r="J209" s="27">
        <f>Ft!G$3*EXP(Ft!G$38*($A209-Ft!G$2)^2)</f>
        <v>0</v>
      </c>
    </row>
    <row r="210" spans="1:10">
      <c r="A210" s="20">
        <v>208</v>
      </c>
      <c r="B210" s="29">
        <v>31.294135625455283</v>
      </c>
      <c r="C210" s="28">
        <f ca="1">OFFSET($B210,1*(ROWS(C$2:C210)-1),0)</f>
        <v>43.44321437089738</v>
      </c>
      <c r="D210" s="27">
        <f>Ft!B$3*EXP(Ft!B$38*($A210-Ft!B$2)^2) +Ft!C$3*EXP(Ft!C$38*($A210-Ft!C$2)^2) + Ft!D$3*EXP(Ft!D$38*($A210-Ft!D$2)^2)+Ft!E$3*EXP(Ft!E$38*($A210-Ft!E$2)^2) +Ft!F$3*EXP(Ft!F$38*($A210-Ft!F$2)^2) + Ft!G$3*EXP(Ft!G$38*($A210-Ft!G$2)^2)</f>
        <v>455176.82141253515</v>
      </c>
      <c r="E210" s="27">
        <f>Ft!B$3*EXP(Ft!B$38*($A210-Ft!B$2)^2)</f>
        <v>-115729.25359802529</v>
      </c>
      <c r="F210" s="27">
        <f>Ft!C$3*EXP(Ft!C$38*($A210-Ft!C$2)^2)</f>
        <v>0</v>
      </c>
      <c r="G210" s="27">
        <f>Ft!D$3*EXP(Ft!D$38*($A210-Ft!D$2)^2)</f>
        <v>548152.64415056887</v>
      </c>
      <c r="H210" s="27">
        <f>Ft!E$3*EXP(Ft!E$38*($A210-Ft!E$2)^2)</f>
        <v>0.44569605670283413</v>
      </c>
      <c r="I210" s="27">
        <f>Ft!F$3*EXP(Ft!F$38*($A210-Ft!F$2)^2)</f>
        <v>22752.985163934878</v>
      </c>
      <c r="J210" s="27">
        <f>Ft!G$3*EXP(Ft!G$38*($A210-Ft!G$2)^2)</f>
        <v>0</v>
      </c>
    </row>
    <row r="211" spans="1:10">
      <c r="A211" s="20">
        <v>209</v>
      </c>
      <c r="B211" s="29">
        <v>31.52916244299908</v>
      </c>
      <c r="C211" s="28">
        <f ca="1">OFFSET($B211,1*(ROWS(C$2:C211)-1),0)</f>
        <v>42.97750070280938</v>
      </c>
      <c r="D211" s="27">
        <f>Ft!B$3*EXP(Ft!B$38*($A211-Ft!B$2)^2) +Ft!C$3*EXP(Ft!C$38*($A211-Ft!C$2)^2) + Ft!D$3*EXP(Ft!D$38*($A211-Ft!D$2)^2)+Ft!E$3*EXP(Ft!E$38*($A211-Ft!E$2)^2) +Ft!F$3*EXP(Ft!F$38*($A211-Ft!F$2)^2) + Ft!G$3*EXP(Ft!G$38*($A211-Ft!G$2)^2)</f>
        <v>456526.39398194954</v>
      </c>
      <c r="E211" s="27">
        <f>Ft!B$3*EXP(Ft!B$38*($A211-Ft!B$2)^2)</f>
        <v>-115730.54578029353</v>
      </c>
      <c r="F211" s="27">
        <f>Ft!C$3*EXP(Ft!C$38*($A211-Ft!C$2)^2)</f>
        <v>0</v>
      </c>
      <c r="G211" s="27">
        <f>Ft!D$3*EXP(Ft!D$38*($A211-Ft!D$2)^2)</f>
        <v>550219.72929908219</v>
      </c>
      <c r="H211" s="27">
        <f>Ft!E$3*EXP(Ft!E$38*($A211-Ft!E$2)^2)</f>
        <v>0.39630067592440343</v>
      </c>
      <c r="I211" s="27">
        <f>Ft!F$3*EXP(Ft!F$38*($A211-Ft!F$2)^2)</f>
        <v>22036.814162484927</v>
      </c>
      <c r="J211" s="27">
        <f>Ft!G$3*EXP(Ft!G$38*($A211-Ft!G$2)^2)</f>
        <v>0</v>
      </c>
    </row>
    <row r="212" spans="1:10">
      <c r="A212" s="20">
        <v>210</v>
      </c>
      <c r="B212" s="29">
        <v>31.781898328716949</v>
      </c>
      <c r="C212" s="28">
        <f ca="1">OFFSET($B212,1*(ROWS(C$2:C212)-1),0)</f>
        <v>42.53850859007494</v>
      </c>
      <c r="D212" s="27">
        <f>Ft!B$3*EXP(Ft!B$38*($A212-Ft!B$2)^2) +Ft!C$3*EXP(Ft!C$38*($A212-Ft!C$2)^2) + Ft!D$3*EXP(Ft!D$38*($A212-Ft!D$2)^2)+Ft!E$3*EXP(Ft!E$38*($A212-Ft!E$2)^2) +Ft!F$3*EXP(Ft!F$38*($A212-Ft!F$2)^2) + Ft!G$3*EXP(Ft!G$38*($A212-Ft!G$2)^2)</f>
        <v>457835.70957941189</v>
      </c>
      <c r="E212" s="27">
        <f>Ft!B$3*EXP(Ft!B$38*($A212-Ft!B$2)^2)</f>
        <v>-115731.83744202256</v>
      </c>
      <c r="F212" s="27">
        <f>Ft!C$3*EXP(Ft!C$38*($A212-Ft!C$2)^2)</f>
        <v>0</v>
      </c>
      <c r="G212" s="27">
        <f>Ft!D$3*EXP(Ft!D$38*($A212-Ft!D$2)^2)</f>
        <v>552229.59180741746</v>
      </c>
      <c r="H212" s="27">
        <f>Ft!E$3*EXP(Ft!E$38*($A212-Ft!E$2)^2)</f>
        <v>0.35216718615701259</v>
      </c>
      <c r="I212" s="27">
        <f>Ft!F$3*EXP(Ft!F$38*($A212-Ft!F$2)^2)</f>
        <v>21337.603046830867</v>
      </c>
      <c r="J212" s="27">
        <f>Ft!G$3*EXP(Ft!G$38*($A212-Ft!G$2)^2)</f>
        <v>0</v>
      </c>
    </row>
    <row r="213" spans="1:10">
      <c r="A213" s="20">
        <v>211</v>
      </c>
      <c r="B213" s="29">
        <v>32.020493814731623</v>
      </c>
      <c r="C213" s="28">
        <f ca="1">OFFSET($B213,1*(ROWS(C$2:C213)-1),0)</f>
        <v>42.08118861262011</v>
      </c>
      <c r="D213" s="27">
        <f>Ft!B$3*EXP(Ft!B$38*($A213-Ft!B$2)^2) +Ft!C$3*EXP(Ft!C$38*($A213-Ft!C$2)^2) + Ft!D$3*EXP(Ft!D$38*($A213-Ft!D$2)^2)+Ft!E$3*EXP(Ft!E$38*($A213-Ft!E$2)^2) +Ft!F$3*EXP(Ft!F$38*($A213-Ft!F$2)^2) + Ft!G$3*EXP(Ft!G$38*($A213-Ft!G$2)^2)</f>
        <v>459103.90639386536</v>
      </c>
      <c r="E213" s="27">
        <f>Ft!B$3*EXP(Ft!B$38*($A213-Ft!B$2)^2)</f>
        <v>-115733.12858319462</v>
      </c>
      <c r="F213" s="27">
        <f>Ft!C$3*EXP(Ft!C$38*($A213-Ft!C$2)^2)</f>
        <v>0</v>
      </c>
      <c r="G213" s="27">
        <f>Ft!D$3*EXP(Ft!D$38*($A213-Ft!D$2)^2)</f>
        <v>554181.5485733971</v>
      </c>
      <c r="H213" s="27">
        <f>Ft!E$3*EXP(Ft!E$38*($A213-Ft!E$2)^2)</f>
        <v>0.31275986314389903</v>
      </c>
      <c r="I213" s="27">
        <f>Ft!F$3*EXP(Ft!F$38*($A213-Ft!F$2)^2)</f>
        <v>20655.173643799713</v>
      </c>
      <c r="J213" s="27">
        <f>Ft!G$3*EXP(Ft!G$38*($A213-Ft!G$2)^2)</f>
        <v>0</v>
      </c>
    </row>
    <row r="214" spans="1:10">
      <c r="A214" s="20">
        <v>212</v>
      </c>
      <c r="B214" s="29">
        <v>32.256779118562747</v>
      </c>
      <c r="C214" s="28">
        <f ca="1">OFFSET($B214,1*(ROWS(C$2:C214)-1),0)</f>
        <v>41.595778396664144</v>
      </c>
      <c r="D214" s="27">
        <f>Ft!B$3*EXP(Ft!B$38*($A214-Ft!B$2)^2) +Ft!C$3*EXP(Ft!C$38*($A214-Ft!C$2)^2) + Ft!D$3*EXP(Ft!D$38*($A214-Ft!D$2)^2)+Ft!E$3*EXP(Ft!E$38*($A214-Ft!E$2)^2) +Ft!F$3*EXP(Ft!F$38*($A214-Ft!F$2)^2) + Ft!G$3*EXP(Ft!G$38*($A214-Ft!G$2)^2)</f>
        <v>460330.13341713825</v>
      </c>
      <c r="E214" s="27">
        <f>Ft!B$3*EXP(Ft!B$38*($A214-Ft!B$2)^2)</f>
        <v>-115734.41920379199</v>
      </c>
      <c r="F214" s="27">
        <f>Ft!C$3*EXP(Ft!C$38*($A214-Ft!C$2)^2)</f>
        <v>0</v>
      </c>
      <c r="G214" s="27">
        <f>Ft!D$3*EXP(Ft!D$38*($A214-Ft!D$2)^2)</f>
        <v>556074.93452699936</v>
      </c>
      <c r="H214" s="27">
        <f>Ft!E$3*EXP(Ft!E$38*($A214-Ft!E$2)^2)</f>
        <v>0.27759471556018434</v>
      </c>
      <c r="I214" s="27">
        <f>Ft!F$3*EXP(Ft!F$38*($A214-Ft!F$2)^2)</f>
        <v>19989.340499215366</v>
      </c>
      <c r="J214" s="27">
        <f>Ft!G$3*EXP(Ft!G$38*($A214-Ft!G$2)^2)</f>
        <v>0</v>
      </c>
    </row>
    <row r="215" spans="1:10">
      <c r="A215" s="20">
        <v>213</v>
      </c>
      <c r="B215" s="29">
        <v>32.50201741983517</v>
      </c>
      <c r="C215" s="28">
        <f ca="1">OFFSET($B215,1*(ROWS(C$2:C215)-1),0)</f>
        <v>41.085308271360418</v>
      </c>
      <c r="D215" s="27">
        <f>Ft!B$3*EXP(Ft!B$38*($A215-Ft!B$2)^2) +Ft!C$3*EXP(Ft!C$38*($A215-Ft!C$2)^2) + Ft!D$3*EXP(Ft!D$38*($A215-Ft!D$2)^2)+Ft!E$3*EXP(Ft!E$38*($A215-Ft!E$2)^2) +Ft!F$3*EXP(Ft!F$38*($A215-Ft!F$2)^2) + Ft!G$3*EXP(Ft!G$38*($A215-Ft!G$2)^2)</f>
        <v>461513.55124044587</v>
      </c>
      <c r="E215" s="27">
        <f>Ft!B$3*EXP(Ft!B$38*($A215-Ft!B$2)^2)</f>
        <v>-115735.7093037969</v>
      </c>
      <c r="F215" s="27">
        <f>Ft!C$3*EXP(Ft!C$38*($A215-Ft!C$2)^2)</f>
        <v>0</v>
      </c>
      <c r="G215" s="27">
        <f>Ft!D$3*EXP(Ft!D$38*($A215-Ft!D$2)^2)</f>
        <v>557909.10300781333</v>
      </c>
      <c r="H215" s="27">
        <f>Ft!E$3*EXP(Ft!E$38*($A215-Ft!E$2)^2)</f>
        <v>0.24623479780043619</v>
      </c>
      <c r="I215" s="27">
        <f>Ft!F$3*EXP(Ft!F$38*($A215-Ft!F$2)^2)</f>
        <v>19339.911301631582</v>
      </c>
      <c r="J215" s="27">
        <f>Ft!G$3*EXP(Ft!G$38*($A215-Ft!G$2)^2)</f>
        <v>0</v>
      </c>
    </row>
    <row r="216" spans="1:10">
      <c r="A216" s="20">
        <v>214</v>
      </c>
      <c r="B216" s="29">
        <v>32.740730746427261</v>
      </c>
      <c r="C216" s="28">
        <f ca="1">OFFSET($B216,1*(ROWS(C$2:C216)-1),0)</f>
        <v>40.572886352871137</v>
      </c>
      <c r="D216" s="27">
        <f>Ft!B$3*EXP(Ft!B$38*($A216-Ft!B$2)^2) +Ft!C$3*EXP(Ft!C$38*($A216-Ft!C$2)^2) + Ft!D$3*EXP(Ft!D$38*($A216-Ft!D$2)^2)+Ft!E$3*EXP(Ft!E$38*($A216-Ft!E$2)^2) +Ft!F$3*EXP(Ft!F$38*($A216-Ft!F$2)^2) + Ft!G$3*EXP(Ft!G$38*($A216-Ft!G$2)^2)</f>
        <v>462653.33283695678</v>
      </c>
      <c r="E216" s="27">
        <f>Ft!B$3*EXP(Ft!B$38*($A216-Ft!B$2)^2)</f>
        <v>-115736.99888319166</v>
      </c>
      <c r="F216" s="27">
        <f>Ft!C$3*EXP(Ft!C$38*($A216-Ft!C$2)^2)</f>
        <v>0</v>
      </c>
      <c r="G216" s="27">
        <f>Ft!D$3*EXP(Ft!D$38*($A216-Ft!D$2)^2)</f>
        <v>559683.42613295116</v>
      </c>
      <c r="H216" s="27">
        <f>Ft!E$3*EXP(Ft!E$38*($A216-Ft!E$2)^2)</f>
        <v>0.21828591470102998</v>
      </c>
      <c r="I216" s="27">
        <f>Ft!F$3*EXP(Ft!F$38*($A216-Ft!F$2)^2)</f>
        <v>18706.687301282604</v>
      </c>
      <c r="J216" s="27">
        <f>Ft!G$3*EXP(Ft!G$38*($A216-Ft!G$2)^2)</f>
        <v>0</v>
      </c>
    </row>
    <row r="217" spans="1:10">
      <c r="A217" s="20">
        <v>215</v>
      </c>
      <c r="B217" s="29">
        <v>32.984602537828778</v>
      </c>
      <c r="C217" s="28">
        <f ca="1">OFFSET($B217,1*(ROWS(C$2:C217)-1),0)</f>
        <v>40.07334535779637</v>
      </c>
      <c r="D217" s="27">
        <f>Ft!B$3*EXP(Ft!B$38*($A217-Ft!B$2)^2) +Ft!C$3*EXP(Ft!C$38*($A217-Ft!C$2)^2) + Ft!D$3*EXP(Ft!D$38*($A217-Ft!D$2)^2)+Ft!E$3*EXP(Ft!E$38*($A217-Ft!E$2)^2) +Ft!F$3*EXP(Ft!F$38*($A217-Ft!F$2)^2) + Ft!G$3*EXP(Ft!G$38*($A217-Ft!G$2)^2)</f>
        <v>463748.66432961362</v>
      </c>
      <c r="E217" s="27">
        <f>Ft!B$3*EXP(Ft!B$38*($A217-Ft!B$2)^2)</f>
        <v>-115738.28794195852</v>
      </c>
      <c r="F217" s="27">
        <f>Ft!C$3*EXP(Ft!C$38*($A217-Ft!C$2)^2)</f>
        <v>0</v>
      </c>
      <c r="G217" s="27">
        <f>Ft!D$3*EXP(Ft!D$38*($A217-Ft!D$2)^2)</f>
        <v>561397.29515512462</v>
      </c>
      <c r="H217" s="27">
        <f>Ft!E$3*EXP(Ft!E$38*($A217-Ft!E$2)^2)</f>
        <v>0.19339268878639593</v>
      </c>
      <c r="I217" s="27">
        <f>Ft!F$3*EXP(Ft!F$38*($A217-Ft!F$2)^2)</f>
        <v>18089.463723758756</v>
      </c>
      <c r="J217" s="27">
        <f>Ft!G$3*EXP(Ft!G$38*($A217-Ft!G$2)^2)</f>
        <v>0</v>
      </c>
    </row>
    <row r="218" spans="1:10">
      <c r="A218" s="20">
        <v>216</v>
      </c>
      <c r="B218" s="29">
        <v>33.230181546578848</v>
      </c>
      <c r="C218" s="28">
        <f ca="1">OFFSET($B218,1*(ROWS(C$2:C218)-1),0)</f>
        <v>39.567849215907785</v>
      </c>
      <c r="D218" s="27">
        <f>Ft!B$3*EXP(Ft!B$38*($A218-Ft!B$2)^2) +Ft!C$3*EXP(Ft!C$38*($A218-Ft!C$2)^2) + Ft!D$3*EXP(Ft!D$38*($A218-Ft!D$2)^2)+Ft!E$3*EXP(Ft!E$38*($A218-Ft!E$2)^2) +Ft!F$3*EXP(Ft!F$38*($A218-Ft!F$2)^2) + Ft!G$3*EXP(Ft!G$38*($A218-Ft!G$2)^2)</f>
        <v>464798.74574342289</v>
      </c>
      <c r="E218" s="27">
        <f>Ft!B$3*EXP(Ft!B$38*($A218-Ft!B$2)^2)</f>
        <v>-115739.57648007976</v>
      </c>
      <c r="F218" s="27">
        <f>Ft!C$3*EXP(Ft!C$38*($A218-Ft!C$2)^2)</f>
        <v>0</v>
      </c>
      <c r="G218" s="27">
        <f>Ft!D$3*EXP(Ft!D$38*($A218-Ft!D$2)^2)</f>
        <v>563050.12081060023</v>
      </c>
      <c r="H218" s="27">
        <f>Ft!E$3*EXP(Ft!E$38*($A218-Ft!E$2)^2)</f>
        <v>0.17123496250029704</v>
      </c>
      <c r="I218" s="27">
        <f>Ft!F$3*EXP(Ft!F$38*($A218-Ft!F$2)^2)</f>
        <v>17488.030177939956</v>
      </c>
      <c r="J218" s="27">
        <f>Ft!G$3*EXP(Ft!G$38*($A218-Ft!G$2)^2)</f>
        <v>0</v>
      </c>
    </row>
    <row r="219" spans="1:10">
      <c r="A219" s="20">
        <v>217</v>
      </c>
      <c r="B219" s="29">
        <v>33.463410101556804</v>
      </c>
      <c r="C219" s="28">
        <f ca="1">OFFSET($B219,1*(ROWS(C$2:C219)-1),0)</f>
        <v>39.089556002880272</v>
      </c>
      <c r="D219" s="27">
        <f>Ft!B$3*EXP(Ft!B$38*($A219-Ft!B$2)^2) +Ft!C$3*EXP(Ft!C$38*($A219-Ft!C$2)^2) + Ft!D$3*EXP(Ft!D$38*($A219-Ft!D$2)^2)+Ft!E$3*EXP(Ft!E$38*($A219-Ft!E$2)^2) +Ft!F$3*EXP(Ft!F$38*($A219-Ft!F$2)^2) + Ft!G$3*EXP(Ft!G$38*($A219-Ft!G$2)^2)</f>
        <v>465802.79174147319</v>
      </c>
      <c r="E219" s="27">
        <f>Ft!B$3*EXP(Ft!B$38*($A219-Ft!B$2)^2)</f>
        <v>-115740.8644975377</v>
      </c>
      <c r="F219" s="27">
        <f>Ft!C$3*EXP(Ft!C$38*($A219-Ft!C$2)^2)</f>
        <v>0</v>
      </c>
      <c r="G219" s="27">
        <f>Ft!D$3*EXP(Ft!D$38*($A219-Ft!D$2)^2)</f>
        <v>564641.33365675563</v>
      </c>
      <c r="H219" s="27">
        <f>Ft!E$3*EXP(Ft!E$38*($A219-Ft!E$2)^2)</f>
        <v>0.15152450966896444</v>
      </c>
      <c r="I219" s="27">
        <f>Ft!F$3*EXP(Ft!F$38*($A219-Ft!F$2)^2)</f>
        <v>16902.171057745662</v>
      </c>
      <c r="J219" s="27">
        <f>Ft!G$3*EXP(Ft!G$38*($A219-Ft!G$2)^2)</f>
        <v>0</v>
      </c>
    </row>
    <row r="220" spans="1:10">
      <c r="A220" s="20">
        <v>218</v>
      </c>
      <c r="B220" s="29">
        <v>33.722828164831469</v>
      </c>
      <c r="C220" s="28">
        <f ca="1">OFFSET($B220,1*(ROWS(C$2:C220)-1),0)</f>
        <v>38.691684827276561</v>
      </c>
      <c r="D220" s="27">
        <f>Ft!B$3*EXP(Ft!B$38*($A220-Ft!B$2)^2) +Ft!C$3*EXP(Ft!C$38*($A220-Ft!C$2)^2) + Ft!D$3*EXP(Ft!D$38*($A220-Ft!D$2)^2)+Ft!E$3*EXP(Ft!E$38*($A220-Ft!E$2)^2) +Ft!F$3*EXP(Ft!F$38*($A220-Ft!F$2)^2) + Ft!G$3*EXP(Ft!G$38*($A220-Ft!G$2)^2)</f>
        <v>466760.03234396718</v>
      </c>
      <c r="E220" s="27">
        <f>Ft!B$3*EXP(Ft!B$38*($A220-Ft!B$2)^2)</f>
        <v>-115742.1519943146</v>
      </c>
      <c r="F220" s="27">
        <f>Ft!C$3*EXP(Ft!C$38*($A220-Ft!C$2)^2)</f>
        <v>0</v>
      </c>
      <c r="G220" s="27">
        <f>Ft!D$3*EXP(Ft!D$38*($A220-Ft!D$2)^2)</f>
        <v>566170.38439896447</v>
      </c>
      <c r="H220" s="27">
        <f>Ft!E$3*EXP(Ft!E$38*($A220-Ft!E$2)^2)</f>
        <v>0.13400203214303574</v>
      </c>
      <c r="I220" s="27">
        <f>Ft!F$3*EXP(Ft!F$38*($A220-Ft!F$2)^2)</f>
        <v>16331.665937285146</v>
      </c>
      <c r="J220" s="27">
        <f>Ft!G$3*EXP(Ft!G$38*($A220-Ft!G$2)^2)</f>
        <v>0</v>
      </c>
    </row>
    <row r="221" spans="1:10">
      <c r="A221" s="20">
        <v>219</v>
      </c>
      <c r="B221" s="29">
        <v>33.959485107395551</v>
      </c>
      <c r="C221" s="28">
        <f ca="1">OFFSET($B221,1*(ROWS(C$2:C221)-1),0)</f>
        <v>38.298910082573002</v>
      </c>
      <c r="D221" s="27">
        <f>Ft!B$3*EXP(Ft!B$38*($A221-Ft!B$2)^2) +Ft!C$3*EXP(Ft!C$38*($A221-Ft!C$2)^2) + Ft!D$3*EXP(Ft!D$38*($A221-Ft!D$2)^2)+Ft!E$3*EXP(Ft!E$38*($A221-Ft!E$2)^2) +Ft!F$3*EXP(Ft!F$38*($A221-Ft!F$2)^2) + Ft!G$3*EXP(Ft!G$38*($A221-Ft!G$2)^2)</f>
        <v>467669.71362959401</v>
      </c>
      <c r="E221" s="27">
        <f>Ft!B$3*EXP(Ft!B$38*($A221-Ft!B$2)^2)</f>
        <v>-115743.43897039279</v>
      </c>
      <c r="F221" s="27">
        <f>Ft!C$3*EXP(Ft!C$38*($A221-Ft!C$2)^2)</f>
        <v>0</v>
      </c>
      <c r="G221" s="27">
        <f>Ft!D$3*EXP(Ft!D$38*($A221-Ft!D$2)^2)</f>
        <v>567636.7442065496</v>
      </c>
      <c r="H221" s="27">
        <f>Ft!E$3*EXP(Ft!E$38*($A221-Ft!E$2)^2)</f>
        <v>0.11843441918073051</v>
      </c>
      <c r="I221" s="27">
        <f>Ft!F$3*EXP(Ft!F$38*($A221-Ft!F$2)^2)</f>
        <v>15776.289959018077</v>
      </c>
      <c r="J221" s="27">
        <f>Ft!G$3*EXP(Ft!G$38*($A221-Ft!G$2)^2)</f>
        <v>0</v>
      </c>
    </row>
    <row r="222" spans="1:10">
      <c r="A222" s="20">
        <v>220</v>
      </c>
      <c r="B222" s="29">
        <v>34.225237407233976</v>
      </c>
      <c r="C222" s="28">
        <f ca="1">OFFSET($B222,1*(ROWS(C$2:C222)-1),0)</f>
        <v>37.875318610909375</v>
      </c>
      <c r="D222" s="27">
        <f>Ft!B$3*EXP(Ft!B$38*($A222-Ft!B$2)^2) +Ft!C$3*EXP(Ft!C$38*($A222-Ft!C$2)^2) + Ft!D$3*EXP(Ft!D$38*($A222-Ft!D$2)^2)+Ft!E$3*EXP(Ft!E$38*($A222-Ft!E$2)^2) +Ft!F$3*EXP(Ft!F$38*($A222-Ft!F$2)^2) + Ft!G$3*EXP(Ft!G$38*($A222-Ft!G$2)^2)</f>
        <v>468531.09841860319</v>
      </c>
      <c r="E222" s="27">
        <f>Ft!B$3*EXP(Ft!B$38*($A222-Ft!B$2)^2)</f>
        <v>-115744.72542575457</v>
      </c>
      <c r="F222" s="27">
        <f>Ft!C$3*EXP(Ft!C$38*($A222-Ft!C$2)^2)</f>
        <v>0</v>
      </c>
      <c r="G222" s="27">
        <f>Ft!D$3*EXP(Ft!D$38*($A222-Ft!D$2)^2)</f>
        <v>569039.90501754847</v>
      </c>
      <c r="H222" s="27">
        <f>Ft!E$3*EXP(Ft!E$38*($A222-Ft!E$2)^2)</f>
        <v>0.10461224866703928</v>
      </c>
      <c r="I222" s="27">
        <f>Ft!F$3*EXP(Ft!F$38*($A222-Ft!F$2)^2)</f>
        <v>15235.814214560627</v>
      </c>
      <c r="J222" s="27">
        <f>Ft!G$3*EXP(Ft!G$38*($A222-Ft!G$2)^2)</f>
        <v>0</v>
      </c>
    </row>
    <row r="223" spans="1:10">
      <c r="A223" s="20">
        <v>221</v>
      </c>
      <c r="B223" s="29">
        <v>34.514597642993493</v>
      </c>
      <c r="C223" s="28">
        <f ca="1">OFFSET($B223,1*(ROWS(C$2:C223)-1),0)</f>
        <v>37.433789607017843</v>
      </c>
      <c r="D223" s="27">
        <f>Ft!B$3*EXP(Ft!B$38*($A223-Ft!B$2)^2) +Ft!C$3*EXP(Ft!C$38*($A223-Ft!C$2)^2) + Ft!D$3*EXP(Ft!D$38*($A223-Ft!D$2)^2)+Ft!E$3*EXP(Ft!E$38*($A223-Ft!E$2)^2) +Ft!F$3*EXP(Ft!F$38*($A223-Ft!F$2)^2) + Ft!G$3*EXP(Ft!G$38*($A223-Ft!G$2)^2)</f>
        <v>469343.46693697158</v>
      </c>
      <c r="E223" s="27">
        <f>Ft!B$3*EXP(Ft!B$38*($A223-Ft!B$2)^2)</f>
        <v>-115746.01136038228</v>
      </c>
      <c r="F223" s="27">
        <f>Ft!C$3*EXP(Ft!C$38*($A223-Ft!C$2)^2)</f>
        <v>0</v>
      </c>
      <c r="G223" s="27">
        <f>Ft!D$3*EXP(Ft!D$38*($A223-Ft!D$2)^2)</f>
        <v>570379.37983204518</v>
      </c>
      <c r="H223" s="27">
        <f>Ft!E$3*EXP(Ft!E$38*($A223-Ft!E$2)^2)</f>
        <v>9.2347510714581499E-2</v>
      </c>
      <c r="I223" s="27">
        <f>Ft!F$3*EXP(Ft!F$38*($A223-Ft!F$2)^2)</f>
        <v>14710.006117797966</v>
      </c>
      <c r="J223" s="27">
        <f>Ft!G$3*EXP(Ft!G$38*($A223-Ft!G$2)^2)</f>
        <v>0</v>
      </c>
    </row>
    <row r="224" spans="1:10">
      <c r="A224" s="20">
        <v>222</v>
      </c>
      <c r="B224" s="29">
        <v>34.815680286828268</v>
      </c>
      <c r="C224" s="28">
        <f ca="1">OFFSET($B224,1*(ROWS(C$2:C224)-1),0)</f>
        <v>36.952033647619999</v>
      </c>
      <c r="D224" s="27">
        <f>Ft!B$3*EXP(Ft!B$38*($A224-Ft!B$2)^2) +Ft!C$3*EXP(Ft!C$38*($A224-Ft!C$2)^2) + Ft!D$3*EXP(Ft!D$38*($A224-Ft!D$2)^2)+Ft!E$3*EXP(Ft!E$38*($A224-Ft!E$2)^2) +Ft!F$3*EXP(Ft!F$38*($A224-Ft!F$2)^2) + Ft!G$3*EXP(Ft!G$38*($A224-Ft!G$2)^2)</f>
        <v>470106.11746110005</v>
      </c>
      <c r="E224" s="27">
        <f>Ft!B$3*EXP(Ft!B$38*($A224-Ft!B$2)^2)</f>
        <v>-115747.29677425823</v>
      </c>
      <c r="F224" s="27">
        <f>Ft!C$3*EXP(Ft!C$38*($A224-Ft!C$2)^2)</f>
        <v>0</v>
      </c>
      <c r="G224" s="27">
        <f>Ft!D$3*EXP(Ft!D$38*($A224-Ft!D$2)^2)</f>
        <v>571654.70299383346</v>
      </c>
      <c r="H224" s="27">
        <f>Ft!E$3*EXP(Ft!E$38*($A224-Ft!E$2)^2)</f>
        <v>8.147153556322749E-2</v>
      </c>
      <c r="I224" s="27">
        <f>Ft!F$3*EXP(Ft!F$38*($A224-Ft!F$2)^2)</f>
        <v>14198.629769989311</v>
      </c>
      <c r="J224" s="27">
        <f>Ft!G$3*EXP(Ft!G$38*($A224-Ft!G$2)^2)</f>
        <v>0</v>
      </c>
    </row>
    <row r="225" spans="1:10">
      <c r="A225" s="20">
        <v>223</v>
      </c>
      <c r="B225" s="29">
        <v>35.094321346902177</v>
      </c>
      <c r="C225" s="28">
        <f ca="1">OFFSET($B225,1*(ROWS(C$2:C225)-1),0)</f>
        <v>36.457009445204164</v>
      </c>
      <c r="D225" s="27">
        <f>Ft!B$3*EXP(Ft!B$38*($A225-Ft!B$2)^2) +Ft!C$3*EXP(Ft!C$38*($A225-Ft!C$2)^2) + Ft!D$3*EXP(Ft!D$38*($A225-Ft!D$2)^2)+Ft!E$3*EXP(Ft!E$38*($A225-Ft!E$2)^2) +Ft!F$3*EXP(Ft!F$38*($A225-Ft!F$2)^2) + Ft!G$3*EXP(Ft!G$38*($A225-Ft!G$2)^2)</f>
        <v>470818.36694250134</v>
      </c>
      <c r="E225" s="27">
        <f>Ft!B$3*EXP(Ft!B$38*($A225-Ft!B$2)^2)</f>
        <v>-115748.58166736474</v>
      </c>
      <c r="F225" s="27">
        <f>Ft!C$3*EXP(Ft!C$38*($A225-Ft!C$2)^2)</f>
        <v>0</v>
      </c>
      <c r="G225" s="27">
        <f>Ft!D$3*EXP(Ft!D$38*($A225-Ft!D$2)^2)</f>
        <v>572865.43046018016</v>
      </c>
      <c r="H225" s="27">
        <f>Ft!E$3*EXP(Ft!E$38*($A225-Ft!E$2)^2)</f>
        <v>7.1833108989743474E-2</v>
      </c>
      <c r="I225" s="27">
        <f>Ft!F$3*EXP(Ft!F$38*($A225-Ft!F$2)^2)</f>
        <v>13701.446316576903</v>
      </c>
      <c r="J225" s="27">
        <f>Ft!G$3*EXP(Ft!G$38*($A225-Ft!G$2)^2)</f>
        <v>0</v>
      </c>
    </row>
    <row r="226" spans="1:10">
      <c r="A226" s="20">
        <v>224</v>
      </c>
      <c r="B226" s="29">
        <v>35.381788283027902</v>
      </c>
      <c r="C226" s="28">
        <f ca="1">OFFSET($B226,1*(ROWS(C$2:C226)-1),0)</f>
        <v>35.958586007026895</v>
      </c>
      <c r="D226" s="27">
        <f>Ft!B$3*EXP(Ft!B$38*($A226-Ft!B$2)^2) +Ft!C$3*EXP(Ft!C$38*($A226-Ft!C$2)^2) + Ft!D$3*EXP(Ft!D$38*($A226-Ft!D$2)^2)+Ft!E$3*EXP(Ft!E$38*($A226-Ft!E$2)^2) +Ft!F$3*EXP(Ft!F$38*($A226-Ft!F$2)^2) + Ft!G$3*EXP(Ft!G$38*($A226-Ft!G$2)^2)</f>
        <v>471479.55161198357</v>
      </c>
      <c r="E226" s="27">
        <f>Ft!B$3*EXP(Ft!B$38*($A226-Ft!B$2)^2)</f>
        <v>-115749.86603968416</v>
      </c>
      <c r="F226" s="27">
        <f>Ft!C$3*EXP(Ft!C$38*($A226-Ft!C$2)^2)</f>
        <v>0</v>
      </c>
      <c r="G226" s="27">
        <f>Ft!D$3*EXP(Ft!D$38*($A226-Ft!D$2)^2)</f>
        <v>574011.14005947311</v>
      </c>
      <c r="H226" s="27">
        <f>Ft!E$3*EXP(Ft!E$38*($A226-Ft!E$2)^2)</f>
        <v>6.329675965804793E-2</v>
      </c>
      <c r="I226" s="27">
        <f>Ft!F$3*EXP(Ft!F$38*($A226-Ft!F$2)^2)</f>
        <v>13218.214295434922</v>
      </c>
      <c r="J226" s="27">
        <f>Ft!G$3*EXP(Ft!G$38*($A226-Ft!G$2)^2)</f>
        <v>0</v>
      </c>
    </row>
    <row r="227" spans="1:10">
      <c r="A227" s="20">
        <v>225</v>
      </c>
      <c r="B227" s="29">
        <v>35.654763421029799</v>
      </c>
      <c r="C227" s="28">
        <f ca="1">OFFSET($B227,1*(ROWS(C$2:C227)-1),0)</f>
        <v>35.429958249440546</v>
      </c>
      <c r="D227" s="27">
        <f>Ft!B$3*EXP(Ft!B$38*($A227-Ft!B$2)^2) +Ft!C$3*EXP(Ft!C$38*($A227-Ft!C$2)^2) + Ft!D$3*EXP(Ft!D$38*($A227-Ft!D$2)^2)+Ft!E$3*EXP(Ft!E$38*($A227-Ft!E$2)^2) +Ft!F$3*EXP(Ft!F$38*($A227-Ft!F$2)^2) + Ft!G$3*EXP(Ft!G$38*($A227-Ft!G$2)^2)</f>
        <v>472089.02756286634</v>
      </c>
      <c r="E227" s="27">
        <f>Ft!B$3*EXP(Ft!B$38*($A227-Ft!B$2)^2)</f>
        <v>-115751.14989119886</v>
      </c>
      <c r="F227" s="27">
        <f>Ft!C$3*EXP(Ft!C$38*($A227-Ft!C$2)^2)</f>
        <v>0</v>
      </c>
      <c r="G227" s="27">
        <f>Ft!D$3*EXP(Ft!D$38*($A227-Ft!D$2)^2)</f>
        <v>575091.43173654203</v>
      </c>
      <c r="H227" s="27">
        <f>Ft!E$3*EXP(Ft!E$38*($A227-Ft!E$2)^2)</f>
        <v>5.5741203987643206E-2</v>
      </c>
      <c r="I227" s="27">
        <f>Ft!F$3*EXP(Ft!F$38*($A227-Ft!F$2)^2)</f>
        <v>12748.689976319118</v>
      </c>
      <c r="J227" s="27">
        <f>Ft!G$3*EXP(Ft!G$38*($A227-Ft!G$2)^2)</f>
        <v>0</v>
      </c>
    </row>
    <row r="228" spans="1:10">
      <c r="A228" s="20">
        <v>226</v>
      </c>
      <c r="B228" s="29">
        <v>35.9312302595755</v>
      </c>
      <c r="C228" s="28">
        <f ca="1">OFFSET($B228,1*(ROWS(C$2:C228)-1),0)</f>
        <v>34.94002472427627</v>
      </c>
      <c r="D228" s="27">
        <f>Ft!B$3*EXP(Ft!B$38*($A228-Ft!B$2)^2) +Ft!C$3*EXP(Ft!C$38*($A228-Ft!C$2)^2) + Ft!D$3*EXP(Ft!D$38*($A228-Ft!D$2)^2)+Ft!E$3*EXP(Ft!E$38*($A228-Ft!E$2)^2) +Ft!F$3*EXP(Ft!F$38*($A228-Ft!F$2)^2) + Ft!G$3*EXP(Ft!G$38*($A228-Ft!G$2)^2)</f>
        <v>472646.17131279968</v>
      </c>
      <c r="E228" s="27">
        <f>Ft!B$3*EXP(Ft!B$38*($A228-Ft!B$2)^2)</f>
        <v>-115752.43322189117</v>
      </c>
      <c r="F228" s="27">
        <f>Ft!C$3*EXP(Ft!C$38*($A228-Ft!C$2)^2)</f>
        <v>0</v>
      </c>
      <c r="G228" s="27">
        <f>Ft!D$3*EXP(Ft!D$38*($A228-Ft!D$2)^2)</f>
        <v>576105.92778545374</v>
      </c>
      <c r="H228" s="27">
        <f>Ft!E$3*EXP(Ft!E$38*($A228-Ft!E$2)^2)</f>
        <v>4.905793519511116E-2</v>
      </c>
      <c r="I228" s="27">
        <f>Ft!F$3*EXP(Ft!F$38*($A228-Ft!F$2)^2)</f>
        <v>12292.627691301946</v>
      </c>
      <c r="J228" s="27">
        <f>Ft!G$3*EXP(Ft!G$38*($A228-Ft!G$2)^2)</f>
        <v>0</v>
      </c>
    </row>
    <row r="229" spans="1:10">
      <c r="A229" s="20">
        <v>227</v>
      </c>
      <c r="B229" s="29">
        <v>36.20870614768836</v>
      </c>
      <c r="C229" s="28">
        <f ca="1">OFFSET($B229,1*(ROWS(C$2:C229)-1),0)</f>
        <v>34.47027656864438</v>
      </c>
      <c r="D229" s="27">
        <f>Ft!B$3*EXP(Ft!B$38*($A229-Ft!B$2)^2) +Ft!C$3*EXP(Ft!C$38*($A229-Ft!C$2)^2) + Ft!D$3*EXP(Ft!D$38*($A229-Ft!D$2)^2)+Ft!E$3*EXP(Ft!E$38*($A229-Ft!E$2)^2) +Ft!F$3*EXP(Ft!F$38*($A229-Ft!F$2)^2) + Ft!G$3*EXP(Ft!G$38*($A229-Ft!G$2)^2)</f>
        <v>473150.38034379529</v>
      </c>
      <c r="E229" s="27">
        <f>Ft!B$3*EXP(Ft!B$38*($A229-Ft!B$2)^2)</f>
        <v>-115753.71603174345</v>
      </c>
      <c r="F229" s="27">
        <f>Ft!C$3*EXP(Ft!C$38*($A229-Ft!C$2)^2)</f>
        <v>0</v>
      </c>
      <c r="G229" s="27">
        <f>Ft!D$3*EXP(Ft!D$38*($A229-Ft!D$2)^2)</f>
        <v>577054.27306959266</v>
      </c>
      <c r="H229" s="27">
        <f>Ft!E$3*EXP(Ft!E$38*($A229-Ft!E$2)^2)</f>
        <v>4.3149944173913074E-2</v>
      </c>
      <c r="I229" s="27">
        <f>Ft!F$3*EXP(Ft!F$38*($A229-Ft!F$2)^2)</f>
        <v>11849.780156001894</v>
      </c>
      <c r="J229" s="27">
        <f>Ft!G$3*EXP(Ft!G$38*($A229-Ft!G$2)^2)</f>
        <v>0</v>
      </c>
    </row>
    <row r="230" spans="1:10">
      <c r="A230" s="20">
        <v>228</v>
      </c>
      <c r="B230" s="29">
        <v>36.494787646648575</v>
      </c>
      <c r="C230" s="28">
        <f ca="1">OFFSET($B230,1*(ROWS(C$2:C230)-1),0)</f>
        <v>34.034167147488688</v>
      </c>
      <c r="D230" s="27">
        <f>Ft!B$3*EXP(Ft!B$38*($A230-Ft!B$2)^2) +Ft!C$3*EXP(Ft!C$38*($A230-Ft!C$2)^2) + Ft!D$3*EXP(Ft!D$38*($A230-Ft!D$2)^2)+Ft!E$3*EXP(Ft!E$38*($A230-Ft!E$2)^2) +Ft!F$3*EXP(Ft!F$38*($A230-Ft!F$2)^2) + Ft!G$3*EXP(Ft!G$38*($A230-Ft!G$2)^2)</f>
        <v>473601.0736201072</v>
      </c>
      <c r="E230" s="27">
        <f>Ft!B$3*EXP(Ft!B$38*($A230-Ft!B$2)^2)</f>
        <v>-115754.99832073809</v>
      </c>
      <c r="F230" s="27">
        <f>Ft!C$3*EXP(Ft!C$38*($A230-Ft!C$2)^2)</f>
        <v>0</v>
      </c>
      <c r="G230" s="27">
        <f>Ft!D$3*EXP(Ft!D$38*($A230-Ft!D$2)^2)</f>
        <v>577936.13522884564</v>
      </c>
      <c r="H230" s="27">
        <f>Ft!E$3*EXP(Ft!E$38*($A230-Ft!E$2)^2)</f>
        <v>3.7930560823940883E-2</v>
      </c>
      <c r="I230" s="27">
        <f>Ft!F$3*EXP(Ft!F$38*($A230-Ft!F$2)^2)</f>
        <v>11419.898781438837</v>
      </c>
      <c r="J230" s="27">
        <f>Ft!G$3*EXP(Ft!G$38*($A230-Ft!G$2)^2)</f>
        <v>0</v>
      </c>
    </row>
    <row r="231" spans="1:10">
      <c r="A231" s="20">
        <v>229</v>
      </c>
      <c r="B231" s="29">
        <v>36.787111215541046</v>
      </c>
      <c r="C231" s="28">
        <f ca="1">OFFSET($B231,1*(ROWS(C$2:C231)-1),0)</f>
        <v>33.58880136099242</v>
      </c>
      <c r="D231" s="27">
        <f>Ft!B$3*EXP(Ft!B$38*($A231-Ft!B$2)^2) +Ft!C$3*EXP(Ft!C$38*($A231-Ft!C$2)^2) + Ft!D$3*EXP(Ft!D$38*($A231-Ft!D$2)^2)+Ft!E$3*EXP(Ft!E$38*($A231-Ft!E$2)^2) +Ft!F$3*EXP(Ft!F$38*($A231-Ft!F$2)^2) + Ft!G$3*EXP(Ft!G$38*($A231-Ft!G$2)^2)</f>
        <v>473997.69208364154</v>
      </c>
      <c r="E231" s="27">
        <f>Ft!B$3*EXP(Ft!B$38*($A231-Ft!B$2)^2)</f>
        <v>-115756.28008885743</v>
      </c>
      <c r="F231" s="27">
        <f>Ft!C$3*EXP(Ft!C$38*($A231-Ft!C$2)^2)</f>
        <v>0</v>
      </c>
      <c r="G231" s="27">
        <f>Ft!D$3*EXP(Ft!D$38*($A231-Ft!D$2)^2)</f>
        <v>578751.20487372333</v>
      </c>
      <c r="H231" s="27">
        <f>Ft!E$3*EXP(Ft!E$38*($A231-Ft!E$2)^2)</f>
        <v>3.3322405327128622E-2</v>
      </c>
      <c r="I231" s="27">
        <f>Ft!F$3*EXP(Ft!F$38*($A231-Ft!F$2)^2)</f>
        <v>11002.733976370286</v>
      </c>
      <c r="J231" s="27">
        <f>Ft!G$3*EXP(Ft!G$38*($A231-Ft!G$2)^2)</f>
        <v>0</v>
      </c>
    </row>
    <row r="232" spans="1:10">
      <c r="A232" s="20">
        <v>230</v>
      </c>
      <c r="B232" s="29">
        <v>37.062424050000743</v>
      </c>
      <c r="C232" s="28">
        <f ca="1">OFFSET($B232,1*(ROWS(C$2:C232)-1),0)</f>
        <v>33.120123772505281</v>
      </c>
      <c r="D232" s="27">
        <f>Ft!B$3*EXP(Ft!B$38*($A232-Ft!B$2)^2) +Ft!C$3*EXP(Ft!C$38*($A232-Ft!C$2)^2) + Ft!D$3*EXP(Ft!D$38*($A232-Ft!D$2)^2)+Ft!E$3*EXP(Ft!E$38*($A232-Ft!E$2)^2) +Ft!F$3*EXP(Ft!F$38*($A232-Ft!F$2)^2) + Ft!G$3*EXP(Ft!G$38*($A232-Ft!G$2)^2)</f>
        <v>474339.69912659971</v>
      </c>
      <c r="E232" s="27">
        <f>Ft!B$3*EXP(Ft!B$38*($A232-Ft!B$2)^2)</f>
        <v>-115757.56133608389</v>
      </c>
      <c r="F232" s="27">
        <f>Ft!C$3*EXP(Ft!C$38*($A232-Ft!C$2)^2)</f>
        <v>0</v>
      </c>
      <c r="G232" s="27">
        <f>Ft!D$3*EXP(Ft!D$38*($A232-Ft!D$2)^2)</f>
        <v>579499.19576625829</v>
      </c>
      <c r="H232" s="27">
        <f>Ft!E$3*EXP(Ft!E$38*($A232-Ft!E$2)^2)</f>
        <v>2.9256439691771833E-2</v>
      </c>
      <c r="I232" s="27">
        <f>Ft!F$3*EXP(Ft!F$38*($A232-Ft!F$2)^2)</f>
        <v>10598.035439985624</v>
      </c>
      <c r="J232" s="27">
        <f>Ft!G$3*EXP(Ft!G$38*($A232-Ft!G$2)^2)</f>
        <v>0</v>
      </c>
    </row>
    <row r="233" spans="1:10">
      <c r="A233" s="20">
        <v>231</v>
      </c>
      <c r="B233" s="29">
        <v>37.328147688365732</v>
      </c>
      <c r="C233" s="28">
        <f ca="1">OFFSET($B233,1*(ROWS(C$2:C233)-1),0)</f>
        <v>32.658346541734232</v>
      </c>
      <c r="D233" s="27">
        <f>Ft!B$3*EXP(Ft!B$38*($A233-Ft!B$2)^2) +Ft!C$3*EXP(Ft!C$38*($A233-Ft!C$2)^2) + Ft!D$3*EXP(Ft!D$38*($A233-Ft!D$2)^2)+Ft!E$3*EXP(Ft!E$38*($A233-Ft!E$2)^2) +Ft!F$3*EXP(Ft!F$38*($A233-Ft!F$2)^2) + Ft!G$3*EXP(Ft!G$38*($A233-Ft!G$2)^2)</f>
        <v>474626.58104110084</v>
      </c>
      <c r="E233" s="27">
        <f>Ft!B$3*EXP(Ft!B$38*($A233-Ft!B$2)^2)</f>
        <v>-115758.84206239984</v>
      </c>
      <c r="F233" s="27">
        <f>Ft!C$3*EXP(Ft!C$38*($A233-Ft!C$2)^2)</f>
        <v>0</v>
      </c>
      <c r="G233" s="27">
        <f>Ft!D$3*EXP(Ft!D$38*($A233-Ft!D$2)^2)</f>
        <v>580179.84498753282</v>
      </c>
      <c r="H233" s="27">
        <f>Ft!E$3*EXP(Ft!E$38*($A233-Ft!E$2)^2)</f>
        <v>2.5671110658867888E-2</v>
      </c>
      <c r="I233" s="27">
        <f>Ft!F$3*EXP(Ft!F$38*($A233-Ft!F$2)^2)</f>
        <v>10205.552444857172</v>
      </c>
      <c r="J233" s="27">
        <f>Ft!G$3*EXP(Ft!G$38*($A233-Ft!G$2)^2)</f>
        <v>0</v>
      </c>
    </row>
    <row r="234" spans="1:10">
      <c r="A234" s="20">
        <v>232</v>
      </c>
      <c r="B234" s="29">
        <v>37.600718472417498</v>
      </c>
      <c r="C234" s="28">
        <f ca="1">OFFSET($B234,1*(ROWS(C$2:C234)-1),0)</f>
        <v>32.156624336797051</v>
      </c>
      <c r="D234" s="27">
        <f>Ft!B$3*EXP(Ft!B$38*($A234-Ft!B$2)^2) +Ft!C$3*EXP(Ft!C$38*($A234-Ft!C$2)^2) + Ft!D$3*EXP(Ft!D$38*($A234-Ft!D$2)^2)+Ft!E$3*EXP(Ft!E$38*($A234-Ft!E$2)^2) +Ft!F$3*EXP(Ft!F$38*($A234-Ft!F$2)^2) + Ft!G$3*EXP(Ft!G$38*($A234-Ft!G$2)^2)</f>
        <v>474857.84744555375</v>
      </c>
      <c r="E234" s="27">
        <f>Ft!B$3*EXP(Ft!B$38*($A234-Ft!B$2)^2)</f>
        <v>-115760.12226778768</v>
      </c>
      <c r="F234" s="27">
        <f>Ft!C$3*EXP(Ft!C$38*($A234-Ft!C$2)^2)</f>
        <v>0</v>
      </c>
      <c r="G234" s="27">
        <f>Ft!D$3*EXP(Ft!D$38*($A234-Ft!D$2)^2)</f>
        <v>580792.9130916975</v>
      </c>
      <c r="H234" s="27">
        <f>Ft!E$3*EXP(Ft!E$38*($A234-Ft!E$2)^2)</f>
        <v>2.2511575781543412E-2</v>
      </c>
      <c r="I234" s="27">
        <f>Ft!F$3*EXP(Ft!F$38*($A234-Ft!F$2)^2)</f>
        <v>9825.0341100681508</v>
      </c>
      <c r="J234" s="27">
        <f>Ft!G$3*EXP(Ft!G$38*($A234-Ft!G$2)^2)</f>
        <v>0</v>
      </c>
    </row>
    <row r="235" spans="1:10">
      <c r="A235" s="20">
        <v>233</v>
      </c>
      <c r="B235" s="29">
        <v>37.885111905793536</v>
      </c>
      <c r="C235" s="28">
        <f ca="1">OFFSET($B235,1*(ROWS(C$2:C235)-1),0)</f>
        <v>31.690635397729523</v>
      </c>
      <c r="D235" s="27">
        <f>Ft!B$3*EXP(Ft!B$38*($A235-Ft!B$2)^2) +Ft!C$3*EXP(Ft!C$38*($A235-Ft!C$2)^2) + Ft!D$3*EXP(Ft!D$38*($A235-Ft!D$2)^2)+Ft!E$3*EXP(Ft!E$38*($A235-Ft!E$2)^2) +Ft!F$3*EXP(Ft!F$38*($A235-Ft!F$2)^2) + Ft!G$3*EXP(Ft!G$38*($A235-Ft!G$2)^2)</f>
        <v>475033.03168759082</v>
      </c>
      <c r="E235" s="27">
        <f>Ft!B$3*EXP(Ft!B$38*($A235-Ft!B$2)^2)</f>
        <v>-115761.4019522298</v>
      </c>
      <c r="F235" s="27">
        <f>Ft!C$3*EXP(Ft!C$38*($A235-Ft!C$2)^2)</f>
        <v>0</v>
      </c>
      <c r="G235" s="27">
        <f>Ft!D$3*EXP(Ft!D$38*($A235-Ft!D$2)^2)</f>
        <v>581338.18424635718</v>
      </c>
      <c r="H235" s="27">
        <f>Ft!E$3*EXP(Ft!E$38*($A235-Ft!E$2)^2)</f>
        <v>1.9729005156265605E-2</v>
      </c>
      <c r="I235" s="27">
        <f>Ft!F$3*EXP(Ft!F$38*($A235-Ft!F$2)^2)</f>
        <v>9456.2296644582329</v>
      </c>
      <c r="J235" s="27">
        <f>Ft!G$3*EXP(Ft!G$38*($A235-Ft!G$2)^2)</f>
        <v>0</v>
      </c>
    </row>
    <row r="236" spans="1:10">
      <c r="A236" s="20">
        <v>234</v>
      </c>
      <c r="B236" s="29">
        <v>38.162255768047714</v>
      </c>
      <c r="C236" s="28">
        <f ca="1">OFFSET($B236,1*(ROWS(C$2:C236)-1),0)</f>
        <v>31.209981851266406</v>
      </c>
      <c r="D236" s="27">
        <f>Ft!B$3*EXP(Ft!B$38*($A236-Ft!B$2)^2) +Ft!C$3*EXP(Ft!C$38*($A236-Ft!C$2)^2) + Ft!D$3*EXP(Ft!D$38*($A236-Ft!D$2)^2)+Ft!E$3*EXP(Ft!E$38*($A236-Ft!E$2)^2) +Ft!F$3*EXP(Ft!F$38*($A236-Ft!F$2)^2) + Ft!G$3*EXP(Ft!G$38*($A236-Ft!G$2)^2)</f>
        <v>475151.69122339581</v>
      </c>
      <c r="E236" s="27">
        <f>Ft!B$3*EXP(Ft!B$38*($A236-Ft!B$2)^2)</f>
        <v>-115762.68111570863</v>
      </c>
      <c r="F236" s="27">
        <f>Ft!C$3*EXP(Ft!C$38*($A236-Ft!C$2)^2)</f>
        <v>0</v>
      </c>
      <c r="G236" s="27">
        <f>Ft!D$3*EXP(Ft!D$38*($A236-Ft!D$2)^2)</f>
        <v>581815.46635920543</v>
      </c>
      <c r="H236" s="27">
        <f>Ft!E$3*EXP(Ft!E$38*($A236-Ft!E$2)^2)</f>
        <v>1.7279951904723829E-2</v>
      </c>
      <c r="I236" s="27">
        <f>Ft!F$3*EXP(Ft!F$38*($A236-Ft!F$2)^2)</f>
        <v>9098.8886999471815</v>
      </c>
      <c r="J236" s="27">
        <f>Ft!G$3*EXP(Ft!G$38*($A236-Ft!G$2)^2)</f>
        <v>0</v>
      </c>
    </row>
    <row r="237" spans="1:10">
      <c r="A237" s="20">
        <v>235</v>
      </c>
      <c r="B237" s="29">
        <v>38.435688106450186</v>
      </c>
      <c r="C237" s="28">
        <f ca="1">OFFSET($B237,1*(ROWS(C$2:C237)-1),0)</f>
        <v>30.705751763205797</v>
      </c>
      <c r="D237" s="27">
        <f>Ft!B$3*EXP(Ft!B$38*($A237-Ft!B$2)^2) +Ft!C$3*EXP(Ft!C$38*($A237-Ft!C$2)^2) + Ft!D$3*EXP(Ft!D$38*($A237-Ft!D$2)^2)+Ft!E$3*EXP(Ft!E$38*($A237-Ft!E$2)^2) +Ft!F$3*EXP(Ft!F$38*($A237-Ft!F$2)^2) + Ft!G$3*EXP(Ft!G$38*($A237-Ft!G$2)^2)</f>
        <v>475213.40797330131</v>
      </c>
      <c r="E237" s="27">
        <f>Ft!B$3*EXP(Ft!B$38*($A237-Ft!B$2)^2)</f>
        <v>-115763.95975820659</v>
      </c>
      <c r="F237" s="27">
        <f>Ft!C$3*EXP(Ft!C$38*($A237-Ft!C$2)^2)</f>
        <v>0</v>
      </c>
      <c r="G237" s="27">
        <f>Ft!D$3*EXP(Ft!D$38*($A237-Ft!D$2)^2)</f>
        <v>582224.59119080624</v>
      </c>
      <c r="H237" s="27">
        <f>Ft!E$3*EXP(Ft!E$38*($A237-Ft!E$2)^2)</f>
        <v>1.5125785080680488E-2</v>
      </c>
      <c r="I237" s="27">
        <f>Ft!F$3*EXP(Ft!F$38*($A237-Ft!F$2)^2)</f>
        <v>8752.7614149165856</v>
      </c>
      <c r="J237" s="27">
        <f>Ft!G$3*EXP(Ft!G$38*($A237-Ft!G$2)^2)</f>
        <v>0</v>
      </c>
    </row>
    <row r="238" spans="1:10">
      <c r="A238" s="20">
        <v>236</v>
      </c>
      <c r="B238" s="29">
        <v>38.724273346300777</v>
      </c>
      <c r="C238" s="28">
        <f ca="1">OFFSET($B238,1*(ROWS(C$2:C238)-1),0)</f>
        <v>30.214520604384973</v>
      </c>
      <c r="D238" s="27">
        <f>Ft!B$3*EXP(Ft!B$38*($A238-Ft!B$2)^2) +Ft!C$3*EXP(Ft!C$38*($A238-Ft!C$2)^2) + Ft!D$3*EXP(Ft!D$38*($A238-Ft!D$2)^2)+Ft!E$3*EXP(Ft!E$38*($A238-Ft!E$2)^2) +Ft!F$3*EXP(Ft!F$38*($A238-Ft!F$2)^2) + Ft!G$3*EXP(Ft!G$38*($A238-Ft!G$2)^2)</f>
        <v>475217.78865355055</v>
      </c>
      <c r="E238" s="27">
        <f>Ft!B$3*EXP(Ft!B$38*($A238-Ft!B$2)^2)</f>
        <v>-115765.23787970608</v>
      </c>
      <c r="F238" s="27">
        <f>Ft!C$3*EXP(Ft!C$38*($A238-Ft!C$2)^2)</f>
        <v>0</v>
      </c>
      <c r="G238" s="27">
        <f>Ft!D$3*EXP(Ft!D$38*($A238-Ft!D$2)^2)</f>
        <v>582565.4144534294</v>
      </c>
      <c r="H238" s="27">
        <f>Ft!E$3*EXP(Ft!E$38*($A238-Ft!E$2)^2)</f>
        <v>1.3232179209280359E-2</v>
      </c>
      <c r="I238" s="27">
        <f>Ft!F$3*EXP(Ft!F$38*($A238-Ft!F$2)^2)</f>
        <v>8417.5988476479943</v>
      </c>
      <c r="J238" s="27">
        <f>Ft!G$3*EXP(Ft!G$38*($A238-Ft!G$2)^2)</f>
        <v>0</v>
      </c>
    </row>
    <row r="239" spans="1:10">
      <c r="A239" s="20">
        <v>237</v>
      </c>
      <c r="B239" s="29">
        <v>39.008443976413616</v>
      </c>
      <c r="C239" s="28">
        <f ca="1">OFFSET($B239,1*(ROWS(C$2:C239)-1),0)</f>
        <v>29.760220705111607</v>
      </c>
      <c r="D239" s="27">
        <f>Ft!B$3*EXP(Ft!B$38*($A239-Ft!B$2)^2) +Ft!C$3*EXP(Ft!C$38*($A239-Ft!C$2)^2) + Ft!D$3*EXP(Ft!D$38*($A239-Ft!D$2)^2)+Ft!E$3*EXP(Ft!E$38*($A239-Ft!E$2)^2) +Ft!F$3*EXP(Ft!F$38*($A239-Ft!F$2)^2) + Ft!G$3*EXP(Ft!G$38*($A239-Ft!G$2)^2)</f>
        <v>475164.46508415753</v>
      </c>
      <c r="E239" s="27">
        <f>Ft!B$3*EXP(Ft!B$38*($A239-Ft!B$2)^2)</f>
        <v>-115766.51548018956</v>
      </c>
      <c r="F239" s="27">
        <f>Ft!C$3*EXP(Ft!C$38*($A239-Ft!C$2)^2)</f>
        <v>0</v>
      </c>
      <c r="G239" s="27">
        <f>Ft!D$3*EXP(Ft!D$38*($A239-Ft!D$2)^2)</f>
        <v>582837.81589585799</v>
      </c>
      <c r="H239" s="27">
        <f>Ft!E$3*EXP(Ft!E$38*($A239-Ft!E$2)^2)</f>
        <v>1.1568655159788018E-2</v>
      </c>
      <c r="I239" s="27">
        <f>Ft!F$3*EXP(Ft!F$38*($A239-Ft!F$2)^2)</f>
        <v>8093.1530998340058</v>
      </c>
      <c r="J239" s="27">
        <f>Ft!G$3*EXP(Ft!G$38*($A239-Ft!G$2)^2)</f>
        <v>0</v>
      </c>
    </row>
    <row r="240" spans="1:10">
      <c r="A240" s="20">
        <v>238</v>
      </c>
      <c r="B240" s="29">
        <v>39.291900589379082</v>
      </c>
      <c r="C240" s="28">
        <f ca="1">OFFSET($B240,1*(ROWS(C$2:C240)-1),0)</f>
        <v>29.313176042282464</v>
      </c>
      <c r="D240" s="27">
        <f>Ft!B$3*EXP(Ft!B$38*($A240-Ft!B$2)^2) +Ft!C$3*EXP(Ft!C$38*($A240-Ft!C$2)^2) + Ft!D$3*EXP(Ft!D$38*($A240-Ft!D$2)^2)+Ft!E$3*EXP(Ft!E$38*($A240-Ft!E$2)^2) +Ft!F$3*EXP(Ft!F$38*($A240-Ft!F$2)^2) + Ft!G$3*EXP(Ft!G$38*($A240-Ft!G$2)^2)</f>
        <v>475053.09447282198</v>
      </c>
      <c r="E240" s="27">
        <f>Ft!B$3*EXP(Ft!B$38*($A240-Ft!B$2)^2)</f>
        <v>-115767.79255963943</v>
      </c>
      <c r="F240" s="27">
        <f>Ft!C$3*EXP(Ft!C$38*($A240-Ft!C$2)^2)</f>
        <v>0</v>
      </c>
      <c r="G240" s="27">
        <f>Ft!D$3*EXP(Ft!D$38*($A240-Ft!D$2)^2)</f>
        <v>583041.6993740981</v>
      </c>
      <c r="H240" s="27">
        <f>Ft!E$3*EXP(Ft!E$38*($A240-Ft!E$2)^2)</f>
        <v>1.0108167508889437E-2</v>
      </c>
      <c r="I240" s="27">
        <f>Ft!F$3*EXP(Ft!F$38*($A240-Ft!F$2)^2)</f>
        <v>7779.1775501958273</v>
      </c>
      <c r="J240" s="27">
        <f>Ft!G$3*EXP(Ft!G$38*($A240-Ft!G$2)^2)</f>
        <v>0</v>
      </c>
    </row>
    <row r="241" spans="1:10">
      <c r="A241" s="20">
        <v>239</v>
      </c>
      <c r="B241" s="29">
        <v>39.544485799248832</v>
      </c>
      <c r="C241" s="28">
        <f ca="1">OFFSET($B241,1*(ROWS(C$2:C241)-1),0)</f>
        <v>28.836474228874977</v>
      </c>
      <c r="D241" s="27">
        <f>Ft!B$3*EXP(Ft!B$38*($A241-Ft!B$2)^2) +Ft!C$3*EXP(Ft!C$38*($A241-Ft!C$2)^2) + Ft!D$3*EXP(Ft!D$38*($A241-Ft!D$2)^2)+Ft!E$3*EXP(Ft!E$38*($A241-Ft!E$2)^2) +Ft!F$3*EXP(Ft!F$38*($A241-Ft!F$2)^2) + Ft!G$3*EXP(Ft!G$38*($A241-Ft!G$2)^2)</f>
        <v>474883.35967488674</v>
      </c>
      <c r="E241" s="27">
        <f>Ft!B$3*EXP(Ft!B$38*($A241-Ft!B$2)^2)</f>
        <v>-115769.06911803818</v>
      </c>
      <c r="F241" s="27">
        <f>Ft!C$3*EXP(Ft!C$38*($A241-Ft!C$2)^2)</f>
        <v>0</v>
      </c>
      <c r="G241" s="27">
        <f>Ft!D$3*EXP(Ft!D$38*($A241-Ft!D$2)^2)</f>
        <v>583176.99290793354</v>
      </c>
      <c r="H241" s="27">
        <f>Ft!E$3*EXP(Ft!E$38*($A241-Ft!E$2)^2)</f>
        <v>8.8267339728802241E-3</v>
      </c>
      <c r="I241" s="27">
        <f>Ft!F$3*EXP(Ft!F$38*($A241-Ft!F$2)^2)</f>
        <v>7475.4270582574054</v>
      </c>
      <c r="J241" s="27">
        <f>Ft!G$3*EXP(Ft!G$38*($A241-Ft!G$2)^2)</f>
        <v>0</v>
      </c>
    </row>
    <row r="242" spans="1:10">
      <c r="A242" s="20">
        <v>240</v>
      </c>
      <c r="B242" s="29">
        <v>39.770823437660511</v>
      </c>
      <c r="C242" s="28">
        <f ca="1">OFFSET($B242,1*(ROWS(C$2:C242)-1),0)</f>
        <v>28.39318765417832</v>
      </c>
      <c r="D242" s="27">
        <f>Ft!B$3*EXP(Ft!B$38*($A242-Ft!B$2)^2) +Ft!C$3*EXP(Ft!C$38*($A242-Ft!C$2)^2) + Ft!D$3*EXP(Ft!D$38*($A242-Ft!D$2)^2)+Ft!E$3*EXP(Ft!E$38*($A242-Ft!E$2)^2) +Ft!F$3*EXP(Ft!F$38*($A242-Ft!F$2)^2) + Ft!G$3*EXP(Ft!G$38*($A242-Ft!G$2)^2)</f>
        <v>474654.96942935488</v>
      </c>
      <c r="E242" s="27">
        <f>Ft!B$3*EXP(Ft!B$38*($A242-Ft!B$2)^2)</f>
        <v>-115770.34515536825</v>
      </c>
      <c r="F242" s="27">
        <f>Ft!C$3*EXP(Ft!C$38*($A242-Ft!C$2)^2)</f>
        <v>0</v>
      </c>
      <c r="G242" s="27">
        <f>Ft!D$3*EXP(Ft!D$38*($A242-Ft!D$2)^2)</f>
        <v>583243.64872327831</v>
      </c>
      <c r="H242" s="27">
        <f>Ft!E$3*EXP(Ft!E$38*($A242-Ft!E$2)^2)</f>
        <v>7.7031028754912644E-3</v>
      </c>
      <c r="I242" s="27">
        <f>Ft!F$3*EXP(Ft!F$38*($A242-Ft!F$2)^2)</f>
        <v>7181.6581583419347</v>
      </c>
      <c r="J242" s="27">
        <f>Ft!G$3*EXP(Ft!G$38*($A242-Ft!G$2)^2)</f>
        <v>0</v>
      </c>
    </row>
    <row r="243" spans="1:10">
      <c r="A243" s="20">
        <v>241</v>
      </c>
      <c r="B243" s="29">
        <v>39.977000574541137</v>
      </c>
      <c r="C243" s="28">
        <f ca="1">OFFSET($B243,1*(ROWS(C$2:C243)-1),0)</f>
        <v>27.909408362453973</v>
      </c>
      <c r="D243" s="27">
        <f>Ft!B$3*EXP(Ft!B$38*($A243-Ft!B$2)^2) +Ft!C$3*EXP(Ft!C$38*($A243-Ft!C$2)^2) + Ft!D$3*EXP(Ft!D$38*($A243-Ft!D$2)^2)+Ft!E$3*EXP(Ft!E$38*($A243-Ft!E$2)^2) +Ft!F$3*EXP(Ft!F$38*($A243-Ft!F$2)^2) + Ft!G$3*EXP(Ft!G$38*($A243-Ft!G$2)^2)</f>
        <v>474367.65857100586</v>
      </c>
      <c r="E243" s="27">
        <f>Ft!B$3*EXP(Ft!B$38*($A243-Ft!B$2)^2)</f>
        <v>-115771.62067161208</v>
      </c>
      <c r="F243" s="27">
        <f>Ft!C$3*EXP(Ft!C$38*($A243-Ft!C$2)^2)</f>
        <v>0</v>
      </c>
      <c r="G243" s="27">
        <f>Ft!D$3*EXP(Ft!D$38*($A243-Ft!D$2)^2)</f>
        <v>583241.64328029135</v>
      </c>
      <c r="H243" s="27">
        <f>Ft!E$3*EXP(Ft!E$38*($A243-Ft!E$2)^2)</f>
        <v>6.7184549759144035E-3</v>
      </c>
      <c r="I243" s="27">
        <f>Ft!F$3*EXP(Ft!F$38*($A243-Ft!F$2)^2)</f>
        <v>6897.6292438716246</v>
      </c>
      <c r="J243" s="27">
        <f>Ft!G$3*EXP(Ft!G$38*($A243-Ft!G$2)^2)</f>
        <v>0</v>
      </c>
    </row>
    <row r="244" spans="1:10">
      <c r="A244" s="20">
        <v>242</v>
      </c>
      <c r="B244" s="29">
        <v>40.168874241063747</v>
      </c>
      <c r="C244" s="28">
        <f ca="1">OFFSET($B244,1*(ROWS(C$2:C244)-1),0)</f>
        <v>27.441482310751269</v>
      </c>
      <c r="D244" s="27">
        <f>Ft!B$3*EXP(Ft!B$38*($A244-Ft!B$2)^2) +Ft!C$3*EXP(Ft!C$38*($A244-Ft!C$2)^2) + Ft!D$3*EXP(Ft!D$38*($A244-Ft!D$2)^2)+Ft!E$3*EXP(Ft!E$38*($A244-Ft!E$2)^2) +Ft!F$3*EXP(Ft!F$38*($A244-Ft!F$2)^2) + Ft!G$3*EXP(Ft!G$38*($A244-Ft!G$2)^2)</f>
        <v>474021.18821868085</v>
      </c>
      <c r="E244" s="27">
        <f>Ft!B$3*EXP(Ft!B$38*($A244-Ft!B$2)^2)</f>
        <v>-115772.89566675216</v>
      </c>
      <c r="F244" s="27">
        <f>Ft!C$3*EXP(Ft!C$38*($A244-Ft!C$2)^2)</f>
        <v>0</v>
      </c>
      <c r="G244" s="27">
        <f>Ft!D$3*EXP(Ft!D$38*($A244-Ft!D$2)^2)</f>
        <v>583170.9772872309</v>
      </c>
      <c r="H244" s="27">
        <f>Ft!E$3*EXP(Ft!E$38*($A244-Ft!E$2)^2)</f>
        <v>5.8561363108233901E-3</v>
      </c>
      <c r="I244" s="27">
        <f>Ft!F$3*EXP(Ft!F$38*($A244-Ft!F$2)^2)</f>
        <v>6623.1007420657415</v>
      </c>
      <c r="J244" s="27">
        <f>Ft!G$3*EXP(Ft!G$38*($A244-Ft!G$2)^2)</f>
        <v>0</v>
      </c>
    </row>
    <row r="245" spans="1:10">
      <c r="A245" s="20">
        <v>243</v>
      </c>
      <c r="B245" s="29">
        <v>40.318019688919719</v>
      </c>
      <c r="C245" s="28">
        <f ca="1">OFFSET($B245,1*(ROWS(C$2:C245)-1),0)</f>
        <v>27.011308933925108</v>
      </c>
      <c r="D245" s="27">
        <f>Ft!B$3*EXP(Ft!B$38*($A245-Ft!B$2)^2) +Ft!C$3*EXP(Ft!C$38*($A245-Ft!C$2)^2) + Ft!D$3*EXP(Ft!D$38*($A245-Ft!D$2)^2)+Ft!E$3*EXP(Ft!E$38*($A245-Ft!E$2)^2) +Ft!F$3*EXP(Ft!F$38*($A245-Ft!F$2)^2) + Ft!G$3*EXP(Ft!G$38*($A245-Ft!G$2)^2)</f>
        <v>473615.34593983227</v>
      </c>
      <c r="E245" s="27">
        <f>Ft!B$3*EXP(Ft!B$38*($A245-Ft!B$2)^2)</f>
        <v>-115774.17014077095</v>
      </c>
      <c r="F245" s="27">
        <f>Ft!C$3*EXP(Ft!C$38*($A245-Ft!C$2)^2)</f>
        <v>0</v>
      </c>
      <c r="G245" s="27">
        <f>Ft!D$3*EXP(Ft!D$38*($A245-Ft!D$2)^2)</f>
        <v>583031.67570003867</v>
      </c>
      <c r="H245" s="27">
        <f>Ft!E$3*EXP(Ft!E$38*($A245-Ft!E$2)^2)</f>
        <v>5.1014190067825097E-3</v>
      </c>
      <c r="I245" s="27">
        <f>Ft!F$3*EXP(Ft!F$38*($A245-Ft!F$2)^2)</f>
        <v>6357.8352791455509</v>
      </c>
      <c r="J245" s="27">
        <f>Ft!G$3*EXP(Ft!G$38*($A245-Ft!G$2)^2)</f>
        <v>0</v>
      </c>
    </row>
    <row r="246" spans="1:10">
      <c r="A246" s="20">
        <v>244</v>
      </c>
      <c r="B246" s="29">
        <v>40.446895427419491</v>
      </c>
      <c r="C246" s="28">
        <f ca="1">OFFSET($B246,1*(ROWS(C$2:C246)-1),0)</f>
        <v>26.559207367792681</v>
      </c>
      <c r="D246" s="27">
        <f>Ft!B$3*EXP(Ft!B$38*($A246-Ft!B$2)^2) +Ft!C$3*EXP(Ft!C$38*($A246-Ft!C$2)^2) + Ft!D$3*EXP(Ft!D$38*($A246-Ft!D$2)^2)+Ft!E$3*EXP(Ft!E$38*($A246-Ft!E$2)^2) +Ft!F$3*EXP(Ft!F$38*($A246-Ft!F$2)^2) + Ft!G$3*EXP(Ft!G$38*($A246-Ft!G$2)^2)</f>
        <v>473149.94589145476</v>
      </c>
      <c r="E246" s="27">
        <f>Ft!B$3*EXP(Ft!B$38*($A246-Ft!B$2)^2)</f>
        <v>-115775.44409365092</v>
      </c>
      <c r="F246" s="27">
        <f>Ft!C$3*EXP(Ft!C$38*($A246-Ft!C$2)^2)</f>
        <v>0</v>
      </c>
      <c r="G246" s="27">
        <f>Ft!D$3*EXP(Ft!D$38*($A246-Ft!D$2)^2)</f>
        <v>582823.7877076508</v>
      </c>
      <c r="H246" s="27">
        <f>Ft!E$3*EXP(Ft!E$38*($A246-Ft!E$2)^2)</f>
        <v>4.4412872972475117E-3</v>
      </c>
      <c r="I246" s="27">
        <f>Ft!F$3*EXP(Ft!F$38*($A246-Ft!F$2)^2)</f>
        <v>6101.597836167527</v>
      </c>
      <c r="J246" s="27">
        <f>Ft!G$3*EXP(Ft!G$38*($A246-Ft!G$2)^2)</f>
        <v>0</v>
      </c>
    </row>
    <row r="247" spans="1:10">
      <c r="A247" s="20">
        <v>245</v>
      </c>
      <c r="B247" s="29">
        <v>40.573178001857372</v>
      </c>
      <c r="C247" s="28">
        <f ca="1">OFFSET($B247,1*(ROWS(C$2:C247)-1),0)</f>
        <v>26.137393392759435</v>
      </c>
      <c r="D247" s="27">
        <f>Ft!B$3*EXP(Ft!B$38*($A247-Ft!B$2)^2) +Ft!C$3*EXP(Ft!C$38*($A247-Ft!C$2)^2) + Ft!D$3*EXP(Ft!D$38*($A247-Ft!D$2)^2)+Ft!E$3*EXP(Ft!E$38*($A247-Ft!E$2)^2) +Ft!F$3*EXP(Ft!F$38*($A247-Ft!F$2)^2) + Ft!G$3*EXP(Ft!G$38*($A247-Ft!G$2)^2)</f>
        <v>472624.82893754047</v>
      </c>
      <c r="E247" s="27">
        <f>Ft!B$3*EXP(Ft!B$38*($A247-Ft!B$2)^2)</f>
        <v>-115776.7175253746</v>
      </c>
      <c r="F247" s="27">
        <f>Ft!C$3*EXP(Ft!C$38*($A247-Ft!C$2)^2)</f>
        <v>0</v>
      </c>
      <c r="G247" s="27">
        <f>Ft!D$3*EXP(Ft!D$38*($A247-Ft!D$2)^2)</f>
        <v>582547.3867030507</v>
      </c>
      <c r="H247" s="27">
        <f>Ft!E$3*EXP(Ft!E$38*($A247-Ft!E$2)^2)</f>
        <v>3.8642462331381524E-3</v>
      </c>
      <c r="I247" s="27">
        <f>Ft!F$3*EXP(Ft!F$38*($A247-Ft!F$2)^2)</f>
        <v>5854.1558956181252</v>
      </c>
      <c r="J247" s="27">
        <f>Ft!G$3*EXP(Ft!G$38*($A247-Ft!G$2)^2)</f>
        <v>0</v>
      </c>
    </row>
    <row r="248" spans="1:10">
      <c r="A248" s="20">
        <v>246</v>
      </c>
      <c r="B248" s="29">
        <v>40.674191523788522</v>
      </c>
      <c r="C248" s="28">
        <f ca="1">OFFSET($B248,1*(ROWS(C$2:C248)-1),0)</f>
        <v>25.718337759072369</v>
      </c>
      <c r="D248" s="27">
        <f>Ft!B$3*EXP(Ft!B$38*($A248-Ft!B$2)^2) +Ft!C$3*EXP(Ft!C$38*($A248-Ft!C$2)^2) + Ft!D$3*EXP(Ft!D$38*($A248-Ft!D$2)^2)+Ft!E$3*EXP(Ft!E$38*($A248-Ft!E$2)^2) +Ft!F$3*EXP(Ft!F$38*($A248-Ft!F$2)^2) + Ft!G$3*EXP(Ft!G$38*($A248-Ft!G$2)^2)</f>
        <v>472039.86274322745</v>
      </c>
      <c r="E248" s="27">
        <f>Ft!B$3*EXP(Ft!B$38*($A248-Ft!B$2)^2)</f>
        <v>-115777.99043592442</v>
      </c>
      <c r="F248" s="27">
        <f>Ft!C$3*EXP(Ft!C$38*($A248-Ft!C$2)^2)</f>
        <v>0</v>
      </c>
      <c r="G248" s="27">
        <f>Ft!D$3*EXP(Ft!D$38*($A248-Ft!D$2)^2)</f>
        <v>582202.57024008641</v>
      </c>
      <c r="H248" s="27">
        <f>Ft!E$3*EXP(Ft!E$38*($A248-Ft!E$2)^2)</f>
        <v>3.3601508093619998E-3</v>
      </c>
      <c r="I248" s="27">
        <f>Ft!F$3*EXP(Ft!F$38*($A248-Ft!F$2)^2)</f>
        <v>5615.2795789147167</v>
      </c>
      <c r="J248" s="27">
        <f>Ft!G$3*EXP(Ft!G$38*($A248-Ft!G$2)^2)</f>
        <v>0</v>
      </c>
    </row>
    <row r="249" spans="1:10">
      <c r="A249" s="20">
        <v>247</v>
      </c>
      <c r="B249" s="29">
        <v>40.749499380212313</v>
      </c>
      <c r="C249" s="28">
        <f ca="1">OFFSET($B249,1*(ROWS(C$2:C249)-1),0)</f>
        <v>25.256592003740337</v>
      </c>
      <c r="D249" s="27">
        <f>Ft!B$3*EXP(Ft!B$38*($A249-Ft!B$2)^2) +Ft!C$3*EXP(Ft!C$38*($A249-Ft!C$2)^2) + Ft!D$3*EXP(Ft!D$38*($A249-Ft!D$2)^2)+Ft!E$3*EXP(Ft!E$38*($A249-Ft!E$2)^2) +Ft!F$3*EXP(Ft!F$38*($A249-Ft!F$2)^2) + Ft!G$3*EXP(Ft!G$38*($A249-Ft!G$2)^2)</f>
        <v>471394.94184582564</v>
      </c>
      <c r="E249" s="27">
        <f>Ft!B$3*EXP(Ft!B$38*($A249-Ft!B$2)^2)</f>
        <v>-115779.26282528295</v>
      </c>
      <c r="F249" s="27">
        <f>Ft!C$3*EXP(Ft!C$38*($A249-Ft!C$2)^2)</f>
        <v>0</v>
      </c>
      <c r="G249" s="27">
        <f>Ft!D$3*EXP(Ft!D$38*($A249-Ft!D$2)^2)</f>
        <v>581789.45997608732</v>
      </c>
      <c r="H249" s="27">
        <f>Ft!E$3*EXP(Ft!E$38*($A249-Ft!E$2)^2)</f>
        <v>2.9200534432562682E-3</v>
      </c>
      <c r="I249" s="27">
        <f>Ft!F$3*EXP(Ft!F$38*($A249-Ft!F$2)^2)</f>
        <v>5384.7417749678061</v>
      </c>
      <c r="J249" s="27">
        <f>Ft!G$3*EXP(Ft!G$38*($A249-Ft!G$2)^2)</f>
        <v>0</v>
      </c>
    </row>
    <row r="250" spans="1:10">
      <c r="A250" s="20">
        <v>248</v>
      </c>
      <c r="B250" s="29">
        <v>40.823291326657966</v>
      </c>
      <c r="C250" s="28">
        <f ca="1">OFFSET($B250,1*(ROWS(C$2:C250)-1),0)</f>
        <v>24.847955631176518</v>
      </c>
      <c r="D250" s="27">
        <f>Ft!B$3*EXP(Ft!B$38*($A250-Ft!B$2)^2) +Ft!C$3*EXP(Ft!C$38*($A250-Ft!C$2)^2) + Ft!D$3*EXP(Ft!D$38*($A250-Ft!D$2)^2)+Ft!E$3*EXP(Ft!E$38*($A250-Ft!E$2)^2) +Ft!F$3*EXP(Ft!F$38*($A250-Ft!F$2)^2) + Ft!G$3*EXP(Ft!G$38*($A250-Ft!G$2)^2)</f>
        <v>470689.98770293401</v>
      </c>
      <c r="E250" s="27">
        <f>Ft!B$3*EXP(Ft!B$38*($A250-Ft!B$2)^2)</f>
        <v>-115780.53469343265</v>
      </c>
      <c r="F250" s="27">
        <f>Ft!C$3*EXP(Ft!C$38*($A250-Ft!C$2)^2)</f>
        <v>0</v>
      </c>
      <c r="G250" s="27">
        <f>Ft!D$3*EXP(Ft!D$38*($A250-Ft!D$2)^2)</f>
        <v>581308.20160032937</v>
      </c>
      <c r="H250" s="27">
        <f>Ft!E$3*EXP(Ft!E$38*($A250-Ft!E$2)^2)</f>
        <v>2.5360679361672855E-3</v>
      </c>
      <c r="I250" s="27">
        <f>Ft!F$3*EXP(Ft!F$38*($A250-Ft!F$2)^2)</f>
        <v>5162.3182599693491</v>
      </c>
      <c r="J250" s="27">
        <f>Ft!G$3*EXP(Ft!G$38*($A250-Ft!G$2)^2)</f>
        <v>0</v>
      </c>
    </row>
    <row r="251" spans="1:10">
      <c r="A251" s="20">
        <v>249</v>
      </c>
      <c r="B251" s="29">
        <v>40.894697580466612</v>
      </c>
      <c r="C251" s="28">
        <f ca="1">OFFSET($B251,1*(ROWS(C$2:C251)-1),0)</f>
        <v>24.44826161878197</v>
      </c>
      <c r="D251" s="27">
        <f>Ft!B$3*EXP(Ft!B$38*($A251-Ft!B$2)^2) +Ft!C$3*EXP(Ft!C$38*($A251-Ft!C$2)^2) + Ft!D$3*EXP(Ft!D$38*($A251-Ft!D$2)^2)+Ft!E$3*EXP(Ft!E$38*($A251-Ft!E$2)^2) +Ft!F$3*EXP(Ft!F$38*($A251-Ft!F$2)^2) + Ft!G$3*EXP(Ft!G$38*($A251-Ft!G$2)^2)</f>
        <v>469924.94871787936</v>
      </c>
      <c r="E251" s="27">
        <f>Ft!B$3*EXP(Ft!B$38*($A251-Ft!B$2)^2)</f>
        <v>-115781.80604035607</v>
      </c>
      <c r="F251" s="27">
        <f>Ft!C$3*EXP(Ft!C$38*($A251-Ft!C$2)^2)</f>
        <v>0</v>
      </c>
      <c r="G251" s="27">
        <f>Ft!D$3*EXP(Ft!D$38*($A251-Ft!D$2)^2)</f>
        <v>580758.96474840608</v>
      </c>
      <c r="H251" s="27">
        <f>Ft!E$3*EXP(Ft!E$38*($A251-Ft!E$2)^2)</f>
        <v>2.2012482276908985E-3</v>
      </c>
      <c r="I251" s="27">
        <f>Ft!F$3*EXP(Ft!F$38*($A251-Ft!F$2)^2)</f>
        <v>4947.7878085810635</v>
      </c>
      <c r="J251" s="27">
        <f>Ft!G$3*EXP(Ft!G$38*($A251-Ft!G$2)^2)</f>
        <v>0</v>
      </c>
    </row>
    <row r="252" spans="1:10">
      <c r="A252" s="20">
        <v>250</v>
      </c>
      <c r="B252" s="29">
        <v>40.951537460333725</v>
      </c>
      <c r="C252" s="28">
        <f ca="1">OFFSET($B252,1*(ROWS(C$2:C252)-1),0)</f>
        <v>24.055348679655111</v>
      </c>
      <c r="D252" s="27">
        <f>Ft!B$3*EXP(Ft!B$38*($A252-Ft!B$2)^2) +Ft!C$3*EXP(Ft!C$38*($A252-Ft!C$2)^2) + Ft!D$3*EXP(Ft!D$38*($A252-Ft!D$2)^2)+Ft!E$3*EXP(Ft!E$38*($A252-Ft!E$2)^2) +Ft!F$3*EXP(Ft!F$38*($A252-Ft!F$2)^2) + Ft!G$3*EXP(Ft!G$38*($A252-Ft!G$2)^2)</f>
        <v>469099.80024272593</v>
      </c>
      <c r="E252" s="27">
        <f>Ft!B$3*EXP(Ft!B$38*($A252-Ft!B$2)^2)</f>
        <v>-115783.0768660357</v>
      </c>
      <c r="F252" s="27">
        <f>Ft!C$3*EXP(Ft!C$38*($A252-Ft!C$2)^2)</f>
        <v>0</v>
      </c>
      <c r="G252" s="27">
        <f>Ft!D$3*EXP(Ft!D$38*($A252-Ft!D$2)^2)</f>
        <v>580141.94290257629</v>
      </c>
      <c r="H252" s="27">
        <f>Ft!E$3*EXP(Ft!E$38*($A252-Ft!E$2)^2)</f>
        <v>1.9094804147569196E-3</v>
      </c>
      <c r="I252" s="27">
        <f>Ft!F$3*EXP(Ft!F$38*($A252-Ft!F$2)^2)</f>
        <v>4740.9322967048874</v>
      </c>
      <c r="J252" s="27">
        <f>Ft!G$3*EXP(Ft!G$38*($A252-Ft!G$2)^2)</f>
        <v>0</v>
      </c>
    </row>
    <row r="253" spans="1:10">
      <c r="A253" s="20">
        <v>251</v>
      </c>
      <c r="B253" s="29">
        <v>41.004068250215226</v>
      </c>
      <c r="C253" s="28">
        <f ca="1">OFFSET($B253,1*(ROWS(C$2:C253)-1),0)</f>
        <v>23.67706939693764</v>
      </c>
      <c r="D253" s="27">
        <f>Ft!B$3*EXP(Ft!B$38*($A253-Ft!B$2)^2) +Ft!C$3*EXP(Ft!C$38*($A253-Ft!C$2)^2) + Ft!D$3*EXP(Ft!D$38*($A253-Ft!D$2)^2)+Ft!E$3*EXP(Ft!E$38*($A253-Ft!E$2)^2) +Ft!F$3*EXP(Ft!F$38*($A253-Ft!F$2)^2) + Ft!G$3*EXP(Ft!G$38*($A253-Ft!G$2)^2)</f>
        <v>468214.54455912864</v>
      </c>
      <c r="E253" s="27">
        <f>Ft!B$3*EXP(Ft!B$38*($A253-Ft!B$2)^2)</f>
        <v>-115784.34717045409</v>
      </c>
      <c r="F253" s="27">
        <f>Ft!C$3*EXP(Ft!C$38*($A253-Ft!C$2)^2)</f>
        <v>0</v>
      </c>
      <c r="G253" s="27">
        <f>Ft!D$3*EXP(Ft!D$38*($A253-Ft!D$2)^2)</f>
        <v>579457.35327817069</v>
      </c>
      <c r="H253" s="27">
        <f>Ft!E$3*EXP(Ft!E$38*($A253-Ft!E$2)^2)</f>
        <v>1.6553866559752687E-3</v>
      </c>
      <c r="I253" s="27">
        <f>Ft!F$3*EXP(Ft!F$38*($A253-Ft!F$2)^2)</f>
        <v>4541.5367960254025</v>
      </c>
      <c r="J253" s="27">
        <f>Ft!G$3*EXP(Ft!G$38*($A253-Ft!G$2)^2)</f>
        <v>0</v>
      </c>
    </row>
    <row r="254" spans="1:10">
      <c r="A254" s="20">
        <v>252</v>
      </c>
      <c r="B254" s="29">
        <v>41.067580417233387</v>
      </c>
      <c r="C254" s="28">
        <f ca="1">OFFSET($B254,1*(ROWS(C$2:C254)-1),0)</f>
        <v>23.314125247529432</v>
      </c>
      <c r="D254" s="27">
        <f>Ft!B$3*EXP(Ft!B$38*($A254-Ft!B$2)^2) +Ft!C$3*EXP(Ft!C$38*($A254-Ft!C$2)^2) + Ft!D$3*EXP(Ft!D$38*($A254-Ft!D$2)^2)+Ft!E$3*EXP(Ft!E$38*($A254-Ft!E$2)^2) +Ft!F$3*EXP(Ft!F$38*($A254-Ft!F$2)^2) + Ft!G$3*EXP(Ft!G$38*($A254-Ft!G$2)^2)</f>
        <v>467269.21083731734</v>
      </c>
      <c r="E254" s="27">
        <f>Ft!B$3*EXP(Ft!B$38*($A254-Ft!B$2)^2)</f>
        <v>-115785.61695359378</v>
      </c>
      <c r="F254" s="27">
        <f>Ft!C$3*EXP(Ft!C$38*($A254-Ft!C$2)^2)</f>
        <v>0</v>
      </c>
      <c r="G254" s="27">
        <f>Ft!D$3*EXP(Ft!D$38*($A254-Ft!D$2)^2)</f>
        <v>578705.43669615057</v>
      </c>
      <c r="H254" s="27">
        <f>Ft!E$3*EXP(Ft!E$38*($A254-Ft!E$2)^2)</f>
        <v>1.4342397166153583E-3</v>
      </c>
      <c r="I254" s="27">
        <f>Ft!F$3*EXP(Ft!F$38*($A254-Ft!F$2)^2)</f>
        <v>4349.3896605208174</v>
      </c>
      <c r="J254" s="27">
        <f>Ft!G$3*EXP(Ft!G$38*($A254-Ft!G$2)^2)</f>
        <v>0</v>
      </c>
    </row>
    <row r="255" spans="1:10">
      <c r="A255" s="20">
        <v>253</v>
      </c>
      <c r="B255" s="29">
        <v>41.133574986018857</v>
      </c>
      <c r="C255" s="28">
        <f ca="1">OFFSET($B255,1*(ROWS(C$2:C255)-1),0)</f>
        <v>22.938932097123057</v>
      </c>
      <c r="D255" s="27">
        <f>Ft!B$3*EXP(Ft!B$38*($A255-Ft!B$2)^2) +Ft!C$3*EXP(Ft!C$38*($A255-Ft!C$2)^2) + Ft!D$3*EXP(Ft!D$38*($A255-Ft!D$2)^2)+Ft!E$3*EXP(Ft!E$38*($A255-Ft!E$2)^2) +Ft!F$3*EXP(Ft!F$38*($A255-Ft!F$2)^2) + Ft!G$3*EXP(Ft!G$38*($A255-Ft!G$2)^2)</f>
        <v>466263.85507351835</v>
      </c>
      <c r="E255" s="27">
        <f>Ft!B$3*EXP(Ft!B$38*($A255-Ft!B$2)^2)</f>
        <v>-115786.88621543732</v>
      </c>
      <c r="F255" s="27">
        <f>Ft!C$3*EXP(Ft!C$38*($A255-Ft!C$2)^2)</f>
        <v>0</v>
      </c>
      <c r="G255" s="27">
        <f>Ft!D$3*EXP(Ft!D$38*($A255-Ft!D$2)^2)</f>
        <v>577886.45744192321</v>
      </c>
      <c r="H255" s="27">
        <f>Ft!E$3*EXP(Ft!E$38*($A255-Ft!E$2)^2)</f>
        <v>1.2418870323280512E-3</v>
      </c>
      <c r="I255" s="27">
        <f>Ft!F$3*EXP(Ft!F$38*($A255-Ft!F$2)^2)</f>
        <v>4164.2826051453885</v>
      </c>
      <c r="J255" s="27">
        <f>Ft!G$3*EXP(Ft!G$38*($A255-Ft!G$2)^2)</f>
        <v>0</v>
      </c>
    </row>
    <row r="256" spans="1:10">
      <c r="A256" s="20">
        <v>254</v>
      </c>
      <c r="B256" s="29">
        <v>41.200496818677607</v>
      </c>
      <c r="C256" s="28">
        <f ca="1">OFFSET($B256,1*(ROWS(C$2:C256)-1),0)</f>
        <v>22.534910423374157</v>
      </c>
      <c r="D256" s="27">
        <f>Ft!B$3*EXP(Ft!B$38*($A256-Ft!B$2)^2) +Ft!C$3*EXP(Ft!C$38*($A256-Ft!C$2)^2) + Ft!D$3*EXP(Ft!D$38*($A256-Ft!D$2)^2)+Ft!E$3*EXP(Ft!E$38*($A256-Ft!E$2)^2) +Ft!F$3*EXP(Ft!F$38*($A256-Ft!F$2)^2) + Ft!G$3*EXP(Ft!G$38*($A256-Ft!G$2)^2)</f>
        <v>465198.56000613741</v>
      </c>
      <c r="E256" s="27">
        <f>Ft!B$3*EXP(Ft!B$38*($A256-Ft!B$2)^2)</f>
        <v>-115788.15495596723</v>
      </c>
      <c r="F256" s="27">
        <f>Ft!C$3*EXP(Ft!C$38*($A256-Ft!C$2)^2)</f>
        <v>0</v>
      </c>
      <c r="G256" s="27">
        <f>Ft!D$3*EXP(Ft!D$38*($A256-Ft!D$2)^2)</f>
        <v>577000.70311052969</v>
      </c>
      <c r="H256" s="27">
        <f>Ft!E$3*EXP(Ft!E$38*($A256-Ft!E$2)^2)</f>
        <v>1.0746832812376225E-3</v>
      </c>
      <c r="I256" s="27">
        <f>Ft!F$3*EXP(Ft!F$38*($A256-Ft!F$2)^2)</f>
        <v>3986.0107768916673</v>
      </c>
      <c r="J256" s="27">
        <f>Ft!G$3*EXP(Ft!G$38*($A256-Ft!G$2)^2)</f>
        <v>0</v>
      </c>
    </row>
    <row r="257" spans="1:10">
      <c r="A257" s="20">
        <v>255</v>
      </c>
      <c r="B257" s="29">
        <v>41.269574845021225</v>
      </c>
      <c r="C257" s="28">
        <f ca="1">OFFSET($B257,1*(ROWS(C$2:C257)-1),0)</f>
        <v>22.153934795339836</v>
      </c>
      <c r="D257" s="27">
        <f>Ft!B$3*EXP(Ft!B$38*($A257-Ft!B$2)^2) +Ft!C$3*EXP(Ft!C$38*($A257-Ft!C$2)^2) + Ft!D$3*EXP(Ft!D$38*($A257-Ft!D$2)^2)+Ft!E$3*EXP(Ft!E$38*($A257-Ft!E$2)^2) +Ft!F$3*EXP(Ft!F$38*($A257-Ft!F$2)^2) + Ft!G$3*EXP(Ft!G$38*($A257-Ft!G$2)^2)</f>
        <v>464073.43501104321</v>
      </c>
      <c r="E257" s="27">
        <f>Ft!B$3*EXP(Ft!B$38*($A257-Ft!B$2)^2)</f>
        <v>-115789.42317516608</v>
      </c>
      <c r="F257" s="27">
        <f>Ft!C$3*EXP(Ft!C$38*($A257-Ft!C$2)^2)</f>
        <v>0</v>
      </c>
      <c r="G257" s="27">
        <f>Ft!D$3*EXP(Ft!D$38*($A257-Ft!D$2)^2)</f>
        <v>576048.48443833296</v>
      </c>
      <c r="H257" s="27">
        <f>Ft!E$3*EXP(Ft!E$38*($A257-Ft!E$2)^2)</f>
        <v>9.294305552541059E-4</v>
      </c>
      <c r="I257" s="27">
        <f>Ft!F$3*EXP(Ft!F$38*($A257-Ft!F$2)^2)</f>
        <v>3814.3728184457577</v>
      </c>
      <c r="J257" s="27">
        <f>Ft!G$3*EXP(Ft!G$38*($A257-Ft!G$2)^2)</f>
        <v>0</v>
      </c>
    </row>
    <row r="258" spans="1:10">
      <c r="A258" s="20">
        <v>256</v>
      </c>
      <c r="B258" s="29">
        <v>41.34079029367183</v>
      </c>
      <c r="C258" s="28">
        <f ca="1">OFFSET($B258,1*(ROWS(C$2:C258)-1),0)</f>
        <v>21.781066004622971</v>
      </c>
      <c r="D258" s="27">
        <f>Ft!B$3*EXP(Ft!B$38*($A258-Ft!B$2)^2) +Ft!C$3*EXP(Ft!C$38*($A258-Ft!C$2)^2) + Ft!D$3*EXP(Ft!D$38*($A258-Ft!D$2)^2)+Ft!E$3*EXP(Ft!E$38*($A258-Ft!E$2)^2) +Ft!F$3*EXP(Ft!F$38*($A258-Ft!F$2)^2) + Ft!G$3*EXP(Ft!G$38*($A258-Ft!G$2)^2)</f>
        <v>462888.61597630446</v>
      </c>
      <c r="E258" s="27">
        <f>Ft!B$3*EXP(Ft!B$38*($A258-Ft!B$2)^2)</f>
        <v>-115790.69087301646</v>
      </c>
      <c r="F258" s="27">
        <f>Ft!C$3*EXP(Ft!C$38*($A258-Ft!C$2)^2)</f>
        <v>0</v>
      </c>
      <c r="G258" s="27">
        <f>Ft!D$3*EXP(Ft!D$38*($A258-Ft!D$2)^2)</f>
        <v>575030.13512134249</v>
      </c>
      <c r="H258" s="27">
        <f>Ft!E$3*EXP(Ft!E$38*($A258-Ft!E$2)^2)</f>
        <v>8.0332531324558444E-4</v>
      </c>
      <c r="I258" s="27">
        <f>Ft!F$3*EXP(Ft!F$38*($A258-Ft!F$2)^2)</f>
        <v>3649.1709246531191</v>
      </c>
      <c r="J258" s="27">
        <f>Ft!G$3*EXP(Ft!G$38*($A258-Ft!G$2)^2)</f>
        <v>0</v>
      </c>
    </row>
    <row r="259" spans="1:10">
      <c r="A259" s="20">
        <v>257</v>
      </c>
      <c r="B259" s="29">
        <v>41.425150136803694</v>
      </c>
      <c r="C259" s="28">
        <f ca="1">OFFSET($B259,1*(ROWS(C$2:C259)-1),0)</f>
        <v>21.404072852153035</v>
      </c>
      <c r="D259" s="27">
        <f>Ft!B$3*EXP(Ft!B$38*($A259-Ft!B$2)^2) +Ft!C$3*EXP(Ft!C$38*($A259-Ft!C$2)^2) + Ft!D$3*EXP(Ft!D$38*($A259-Ft!D$2)^2)+Ft!E$3*EXP(Ft!E$38*($A259-Ft!E$2)^2) +Ft!F$3*EXP(Ft!F$38*($A259-Ft!F$2)^2) + Ft!G$3*EXP(Ft!G$38*($A259-Ft!G$2)^2)</f>
        <v>461644.26515675243</v>
      </c>
      <c r="E259" s="27">
        <f>Ft!B$3*EXP(Ft!B$38*($A259-Ft!B$2)^2)</f>
        <v>-115791.95804950091</v>
      </c>
      <c r="F259" s="27">
        <f>Ft!C$3*EXP(Ft!C$38*($A259-Ft!C$2)^2)</f>
        <v>0</v>
      </c>
      <c r="G259" s="27">
        <f>Ft!D$3*EXP(Ft!D$38*($A259-Ft!D$2)^2)</f>
        <v>573946.01162032608</v>
      </c>
      <c r="H259" s="27">
        <f>Ft!E$3*EXP(Ft!E$38*($A259-Ft!E$2)^2)</f>
        <v>6.9391138186331524E-4</v>
      </c>
      <c r="I259" s="27">
        <f>Ft!F$3*EXP(Ft!F$38*($A259-Ft!F$2)^2)</f>
        <v>3490.210892015868</v>
      </c>
      <c r="J259" s="27">
        <f>Ft!G$3*EXP(Ft!G$38*($A259-Ft!G$2)^2)</f>
        <v>0</v>
      </c>
    </row>
    <row r="260" spans="1:10">
      <c r="A260" s="20">
        <v>258</v>
      </c>
      <c r="B260" s="29">
        <v>41.525005033410423</v>
      </c>
      <c r="C260" s="28">
        <f ca="1">OFFSET($B260,1*(ROWS(C$2:C260)-1),0)</f>
        <v>21.013562463341771</v>
      </c>
      <c r="D260" s="27">
        <f>Ft!B$3*EXP(Ft!B$38*($A260-Ft!B$2)^2) +Ft!C$3*EXP(Ft!C$38*($A260-Ft!C$2)^2) + Ft!D$3*EXP(Ft!D$38*($A260-Ft!D$2)^2)+Ft!E$3*EXP(Ft!E$38*($A260-Ft!E$2)^2) +Ft!F$3*EXP(Ft!F$38*($A260-Ft!F$2)^2) + Ft!G$3*EXP(Ft!G$38*($A260-Ft!G$2)^2)</f>
        <v>460340.57100874814</v>
      </c>
      <c r="E260" s="27">
        <f>Ft!B$3*EXP(Ft!B$38*($A260-Ft!B$2)^2)</f>
        <v>-115793.22470460205</v>
      </c>
      <c r="F260" s="27">
        <f>Ft!C$3*EXP(Ft!C$38*($A260-Ft!C$2)^2)</f>
        <v>0</v>
      </c>
      <c r="G260" s="27">
        <f>Ft!D$3*EXP(Ft!D$38*($A260-Ft!D$2)^2)</f>
        <v>572796.49295286613</v>
      </c>
      <c r="H260" s="27">
        <f>Ft!E$3*EXP(Ft!E$38*($A260-Ft!E$2)^2)</f>
        <v>5.9903834507064261E-4</v>
      </c>
      <c r="I260" s="27">
        <f>Ft!F$3*EXP(Ft!F$38*($A260-Ft!F$2)^2)</f>
        <v>3337.3021614457293</v>
      </c>
      <c r="J260" s="27">
        <f>Ft!G$3*EXP(Ft!G$38*($A260-Ft!G$2)^2)</f>
        <v>0</v>
      </c>
    </row>
    <row r="261" spans="1:10">
      <c r="A261" s="20">
        <v>259</v>
      </c>
      <c r="B261" s="29">
        <v>41.691572781039099</v>
      </c>
      <c r="C261" s="28">
        <f ca="1">OFFSET($B261,1*(ROWS(C$2:C261)-1),0)</f>
        <v>20.641151346705755</v>
      </c>
      <c r="D261" s="27">
        <f>Ft!B$3*EXP(Ft!B$38*($A261-Ft!B$2)^2) +Ft!C$3*EXP(Ft!C$38*($A261-Ft!C$2)^2) + Ft!D$3*EXP(Ft!D$38*($A261-Ft!D$2)^2)+Ft!E$3*EXP(Ft!E$38*($A261-Ft!E$2)^2) +Ft!F$3*EXP(Ft!F$38*($A261-Ft!F$2)^2) + Ft!G$3*EXP(Ft!G$38*($A261-Ft!G$2)^2)</f>
        <v>458977.74800555361</v>
      </c>
      <c r="E261" s="27">
        <f>Ft!B$3*EXP(Ft!B$38*($A261-Ft!B$2)^2)</f>
        <v>-115794.49083830242</v>
      </c>
      <c r="F261" s="27">
        <f>Ft!C$3*EXP(Ft!C$38*($A261-Ft!C$2)^2)</f>
        <v>0</v>
      </c>
      <c r="G261" s="27">
        <f>Ft!D$3*EXP(Ft!D$38*($A261-Ft!D$2)^2)</f>
        <v>571581.98047253233</v>
      </c>
      <c r="H261" s="27">
        <f>Ft!E$3*EXP(Ft!E$38*($A261-Ft!E$2)^2)</f>
        <v>5.1682473147360004E-4</v>
      </c>
      <c r="I261" s="27">
        <f>Ft!F$3*EXP(Ft!F$38*($A261-Ft!F$2)^2)</f>
        <v>3190.2578544990024</v>
      </c>
      <c r="J261" s="27">
        <f>Ft!G$3*EXP(Ft!G$38*($A261-Ft!G$2)^2)</f>
        <v>0</v>
      </c>
    </row>
    <row r="262" spans="1:10">
      <c r="A262" s="20">
        <v>260</v>
      </c>
      <c r="B262" s="29">
        <v>41.886978421684432</v>
      </c>
      <c r="C262" s="28">
        <f ca="1">OFFSET($B262,1*(ROWS(C$2:C262)-1),0)</f>
        <v>20.279577940908041</v>
      </c>
      <c r="D262" s="27">
        <f>Ft!B$3*EXP(Ft!B$38*($A262-Ft!B$2)^2) +Ft!C$3*EXP(Ft!C$38*($A262-Ft!C$2)^2) + Ft!D$3*EXP(Ft!D$38*($A262-Ft!D$2)^2)+Ft!E$3*EXP(Ft!E$38*($A262-Ft!E$2)^2) +Ft!F$3*EXP(Ft!F$38*($A262-Ft!F$2)^2) + Ft!G$3*EXP(Ft!G$38*($A262-Ft!G$2)^2)</f>
        <v>457556.03643371142</v>
      </c>
      <c r="E262" s="27">
        <f>Ft!B$3*EXP(Ft!B$38*($A262-Ft!B$2)^2)</f>
        <v>-115795.75645058462</v>
      </c>
      <c r="F262" s="27">
        <f>Ft!C$3*EXP(Ft!C$38*($A262-Ft!C$2)^2)</f>
        <v>0</v>
      </c>
      <c r="G262" s="27">
        <f>Ft!D$3*EXP(Ft!D$38*($A262-Ft!D$2)^2)</f>
        <v>570302.89763534872</v>
      </c>
      <c r="H262" s="27">
        <f>Ft!E$3*EXP(Ft!E$38*($A262-Ft!E$2)^2)</f>
        <v>4.4562547001990516E-4</v>
      </c>
      <c r="I262" s="27">
        <f>Ft!F$3*EXP(Ft!F$38*($A262-Ft!F$2)^2)</f>
        <v>3048.8948033218644</v>
      </c>
      <c r="J262" s="27">
        <f>Ft!G$3*EXP(Ft!G$38*($A262-Ft!G$2)^2)</f>
        <v>0</v>
      </c>
    </row>
    <row r="263" spans="1:10">
      <c r="A263" s="20">
        <v>261</v>
      </c>
      <c r="B263" s="29">
        <v>42.090254402968412</v>
      </c>
      <c r="C263" s="28">
        <f ca="1">OFFSET($B263,1*(ROWS(C$2:C263)-1),0)</f>
        <v>19.875594201563047</v>
      </c>
      <c r="D263" s="27">
        <f>Ft!B$3*EXP(Ft!B$38*($A263-Ft!B$2)^2) +Ft!C$3*EXP(Ft!C$38*($A263-Ft!C$2)^2) + Ft!D$3*EXP(Ft!D$38*($A263-Ft!D$2)^2)+Ft!E$3*EXP(Ft!E$38*($A263-Ft!E$2)^2) +Ft!F$3*EXP(Ft!F$38*($A263-Ft!F$2)^2) + Ft!G$3*EXP(Ft!G$38*($A263-Ft!G$2)^2)</f>
        <v>456075.70217085507</v>
      </c>
      <c r="E263" s="27">
        <f>Ft!B$3*EXP(Ft!B$38*($A263-Ft!B$2)^2)</f>
        <v>-115797.02154143128</v>
      </c>
      <c r="F263" s="27">
        <f>Ft!C$3*EXP(Ft!C$38*($A263-Ft!C$2)^2)</f>
        <v>0</v>
      </c>
      <c r="G263" s="27">
        <f>Ft!D$3*EXP(Ft!D$38*($A263-Ft!D$2)^2)</f>
        <v>568959.68975374766</v>
      </c>
      <c r="H263" s="27">
        <f>Ft!E$3*EXP(Ft!E$38*($A263-Ft!E$2)^2)</f>
        <v>3.8400314010731025E-4</v>
      </c>
      <c r="I263" s="27">
        <f>Ft!F$3*EXP(Ft!F$38*($A263-Ft!F$2)^2)</f>
        <v>2913.0335745355701</v>
      </c>
      <c r="J263" s="27">
        <f>Ft!G$3*EXP(Ft!G$38*($A263-Ft!G$2)^2)</f>
        <v>0</v>
      </c>
    </row>
    <row r="264" spans="1:10">
      <c r="A264" s="20">
        <v>262</v>
      </c>
      <c r="B264" s="29">
        <v>42.303395582887475</v>
      </c>
      <c r="C264" s="28">
        <f ca="1">OFFSET($B264,1*(ROWS(C$2:C264)-1),0)</f>
        <v>19.444158818929907</v>
      </c>
      <c r="D264" s="27">
        <f>Ft!B$3*EXP(Ft!B$38*($A264-Ft!B$2)^2) +Ft!C$3*EXP(Ft!C$38*($A264-Ft!C$2)^2) + Ft!D$3*EXP(Ft!D$38*($A264-Ft!D$2)^2)+Ft!E$3*EXP(Ft!E$38*($A264-Ft!E$2)^2) +Ft!F$3*EXP(Ft!F$38*($A264-Ft!F$2)^2) + Ft!G$3*EXP(Ft!G$38*($A264-Ft!G$2)^2)</f>
        <v>454537.03644537763</v>
      </c>
      <c r="E264" s="27">
        <f>Ft!B$3*EXP(Ft!B$38*($A264-Ft!B$2)^2)</f>
        <v>-115798.28611082499</v>
      </c>
      <c r="F264" s="27">
        <f>Ft!C$3*EXP(Ft!C$38*($A264-Ft!C$2)^2)</f>
        <v>0</v>
      </c>
      <c r="G264" s="27">
        <f>Ft!D$3*EXP(Ft!D$38*($A264-Ft!D$2)^2)</f>
        <v>567552.82373820816</v>
      </c>
      <c r="H264" s="27">
        <f>Ft!E$3*EXP(Ft!E$38*($A264-Ft!E$2)^2)</f>
        <v>3.3070259215979699E-4</v>
      </c>
      <c r="I264" s="27">
        <f>Ft!F$3*EXP(Ft!F$38*($A264-Ft!F$2)^2)</f>
        <v>2782.4984872918899</v>
      </c>
      <c r="J264" s="27">
        <f>Ft!G$3*EXP(Ft!G$38*($A264-Ft!G$2)^2)</f>
        <v>0</v>
      </c>
    </row>
    <row r="265" spans="1:10">
      <c r="A265" s="20">
        <v>263</v>
      </c>
      <c r="B265" s="29">
        <v>42.515526577290501</v>
      </c>
      <c r="C265" s="28">
        <f ca="1">OFFSET($B265,1*(ROWS(C$2:C265)-1),0)</f>
        <v>19.0746168260753</v>
      </c>
      <c r="D265" s="27">
        <f>Ft!B$3*EXP(Ft!B$38*($A265-Ft!B$2)^2) +Ft!C$3*EXP(Ft!C$38*($A265-Ft!C$2)^2) + Ft!D$3*EXP(Ft!D$38*($A265-Ft!D$2)^2)+Ft!E$3*EXP(Ft!E$38*($A265-Ft!E$2)^2) +Ft!F$3*EXP(Ft!F$38*($A265-Ft!F$2)^2) + Ft!G$3*EXP(Ft!G$38*($A265-Ft!G$2)^2)</f>
        <v>452940.35557840089</v>
      </c>
      <c r="E265" s="27">
        <f>Ft!B$3*EXP(Ft!B$38*($A265-Ft!B$2)^2)</f>
        <v>-115799.55015874837</v>
      </c>
      <c r="F265" s="27">
        <f>Ft!C$3*EXP(Ft!C$38*($A265-Ft!C$2)^2)</f>
        <v>0</v>
      </c>
      <c r="G265" s="27">
        <f>Ft!D$3*EXP(Ft!D$38*($A265-Ft!D$2)^2)</f>
        <v>566082.78782679141</v>
      </c>
      <c r="H265" s="27">
        <f>Ft!E$3*EXP(Ft!E$38*($A265-Ft!E$2)^2)</f>
        <v>2.8462855978597526E-4</v>
      </c>
      <c r="I265" s="27">
        <f>Ft!F$3*EXP(Ft!F$38*($A265-Ft!F$2)^2)</f>
        <v>2657.1176257293778</v>
      </c>
      <c r="J265" s="27">
        <f>Ft!G$3*EXP(Ft!G$38*($A265-Ft!G$2)^2)</f>
        <v>0</v>
      </c>
    </row>
    <row r="266" spans="1:10">
      <c r="A266" s="20">
        <v>264</v>
      </c>
      <c r="B266" s="29">
        <v>42.741564736196779</v>
      </c>
      <c r="C266" s="28">
        <f ca="1">OFFSET($B266,1*(ROWS(C$2:C266)-1),0)</f>
        <v>18.707452047603397</v>
      </c>
      <c r="D266" s="27">
        <f>Ft!B$3*EXP(Ft!B$38*($A266-Ft!B$2)^2) +Ft!C$3*EXP(Ft!C$38*($A266-Ft!C$2)^2) + Ft!D$3*EXP(Ft!D$38*($A266-Ft!D$2)^2)+Ft!E$3*EXP(Ft!E$38*($A266-Ft!E$2)^2) +Ft!F$3*EXP(Ft!F$38*($A266-Ft!F$2)^2) + Ft!G$3*EXP(Ft!G$38*($A266-Ft!G$2)^2)</f>
        <v>451286.00070849207</v>
      </c>
      <c r="E266" s="27">
        <f>Ft!B$3*EXP(Ft!B$38*($A266-Ft!B$2)^2)</f>
        <v>-115800.81368518404</v>
      </c>
      <c r="F266" s="27">
        <f>Ft!C$3*EXP(Ft!C$38*($A266-Ft!C$2)^2)</f>
        <v>0</v>
      </c>
      <c r="G266" s="27">
        <f>Ft!D$3*EXP(Ft!D$38*($A266-Ft!D$2)^2)</f>
        <v>564550.0913027894</v>
      </c>
      <c r="H266" s="27">
        <f>Ft!E$3*EXP(Ft!E$38*($A266-Ft!E$2)^2)</f>
        <v>2.4482592518286104E-4</v>
      </c>
      <c r="I266" s="27">
        <f>Ft!F$3*EXP(Ft!F$38*($A266-Ft!F$2)^2)</f>
        <v>2536.7228460608021</v>
      </c>
      <c r="J266" s="27">
        <f>Ft!G$3*EXP(Ft!G$38*($A266-Ft!G$2)^2)</f>
        <v>0</v>
      </c>
    </row>
    <row r="267" spans="1:10">
      <c r="A267" s="20">
        <v>265</v>
      </c>
      <c r="B267" s="29">
        <v>42.96386402221674</v>
      </c>
      <c r="C267" s="28">
        <f ca="1">OFFSET($B267,1*(ROWS(C$2:C267)-1),0)</f>
        <v>18.32138400004203</v>
      </c>
      <c r="D267" s="27">
        <f>Ft!B$3*EXP(Ft!B$38*($A267-Ft!B$2)^2) +Ft!C$3*EXP(Ft!C$38*($A267-Ft!C$2)^2) + Ft!D$3*EXP(Ft!D$38*($A267-Ft!D$2)^2)+Ft!E$3*EXP(Ft!E$38*($A267-Ft!E$2)^2) +Ft!F$3*EXP(Ft!F$38*($A267-Ft!F$2)^2) + Ft!G$3*EXP(Ft!G$38*($A267-Ft!G$2)^2)</f>
        <v>449574.33749958826</v>
      </c>
      <c r="E267" s="27">
        <f>Ft!B$3*EXP(Ft!B$38*($A267-Ft!B$2)^2)</f>
        <v>-115802.07669011463</v>
      </c>
      <c r="F267" s="27">
        <f>Ft!C$3*EXP(Ft!C$38*($A267-Ft!C$2)^2)</f>
        <v>0</v>
      </c>
      <c r="G267" s="27">
        <f>Ft!D$3*EXP(Ft!D$38*($A267-Ft!D$2)^2)</f>
        <v>562955.26420071907</v>
      </c>
      <c r="H267" s="27">
        <f>Ft!E$3*EXP(Ft!E$38*($A267-Ft!E$2)^2)</f>
        <v>2.1046233590764287E-4</v>
      </c>
      <c r="I267" s="27">
        <f>Ft!F$3*EXP(Ft!F$38*($A267-Ft!F$2)^2)</f>
        <v>2421.149778521487</v>
      </c>
      <c r="J267" s="27">
        <f>Ft!G$3*EXP(Ft!G$38*($A267-Ft!G$2)^2)</f>
        <v>0</v>
      </c>
    </row>
    <row r="268" spans="1:10">
      <c r="A268" s="20">
        <v>266</v>
      </c>
      <c r="B268" s="29">
        <v>43.209688971873959</v>
      </c>
      <c r="C268" s="28">
        <f ca="1">OFFSET($B268,1*(ROWS(C$2:C268)-1),0)</f>
        <v>17.937824779081382</v>
      </c>
      <c r="D268" s="27">
        <f>Ft!B$3*EXP(Ft!B$38*($A268-Ft!B$2)^2) +Ft!C$3*EXP(Ft!C$38*($A268-Ft!C$2)^2) + Ft!D$3*EXP(Ft!D$38*($A268-Ft!D$2)^2)+Ft!E$3*EXP(Ft!E$38*($A268-Ft!E$2)^2) +Ft!F$3*EXP(Ft!F$38*($A268-Ft!F$2)^2) + Ft!G$3*EXP(Ft!G$38*($A268-Ft!G$2)^2)</f>
        <v>447805.75583259307</v>
      </c>
      <c r="E268" s="27">
        <f>Ft!B$3*EXP(Ft!B$38*($A268-Ft!B$2)^2)</f>
        <v>-115803.33917352275</v>
      </c>
      <c r="F268" s="27">
        <f>Ft!C$3*EXP(Ft!C$38*($A268-Ft!C$2)^2)</f>
        <v>0</v>
      </c>
      <c r="G268" s="27">
        <f>Ft!D$3*EXP(Ft!D$38*($A268-Ft!D$2)^2)</f>
        <v>561298.85700089589</v>
      </c>
      <c r="H268" s="27">
        <f>Ft!E$3*EXP(Ft!E$38*($A268-Ft!E$2)^2)</f>
        <v>1.8081290389254683E-4</v>
      </c>
      <c r="I268" s="27">
        <f>Ft!F$3*EXP(Ft!F$38*($A268-Ft!F$2)^2)</f>
        <v>2310.2378244070428</v>
      </c>
      <c r="J268" s="27">
        <f>Ft!G$3*EXP(Ft!G$38*($A268-Ft!G$2)^2)</f>
        <v>0</v>
      </c>
    </row>
    <row r="269" spans="1:10">
      <c r="A269" s="20">
        <v>267</v>
      </c>
      <c r="B269" s="29">
        <v>43.423010279734143</v>
      </c>
      <c r="C269" s="28">
        <f ca="1">OFFSET($B269,1*(ROWS(C$2:C269)-1),0)</f>
        <v>17.564103574889884</v>
      </c>
      <c r="D269" s="27">
        <f>Ft!B$3*EXP(Ft!B$38*($A269-Ft!B$2)^2) +Ft!C$3*EXP(Ft!C$38*($A269-Ft!C$2)^2) + Ft!D$3*EXP(Ft!D$38*($A269-Ft!D$2)^2)+Ft!E$3*EXP(Ft!E$38*($A269-Ft!E$2)^2) +Ft!F$3*EXP(Ft!F$38*($A269-Ft!F$2)^2) + Ft!G$3*EXP(Ft!G$38*($A269-Ft!G$2)^2)</f>
        <v>445980.66948111862</v>
      </c>
      <c r="E269" s="27">
        <f>Ft!B$3*EXP(Ft!B$38*($A269-Ft!B$2)^2)</f>
        <v>-115804.60113539109</v>
      </c>
      <c r="F269" s="27">
        <f>Ft!C$3*EXP(Ft!C$38*($A269-Ft!C$2)^2)</f>
        <v>0</v>
      </c>
      <c r="G269" s="27">
        <f>Ft!D$3*EXP(Ft!D$38*($A269-Ft!D$2)^2)</f>
        <v>559581.44031283539</v>
      </c>
      <c r="H269" s="27">
        <f>Ft!E$3*EXP(Ft!E$38*($A269-Ft!E$2)^2)</f>
        <v>1.5524674697391967E-4</v>
      </c>
      <c r="I269" s="27">
        <f>Ft!F$3*EXP(Ft!F$38*($A269-Ft!F$2)^2)</f>
        <v>2203.8301484275703</v>
      </c>
      <c r="J269" s="27">
        <f>Ft!G$3*EXP(Ft!G$38*($A269-Ft!G$2)^2)</f>
        <v>0</v>
      </c>
    </row>
    <row r="270" spans="1:10">
      <c r="A270" s="20">
        <v>268</v>
      </c>
      <c r="B270" s="29">
        <v>43.648573448791581</v>
      </c>
      <c r="C270" s="28">
        <f ca="1">OFFSET($B270,1*(ROWS(C$2:C270)-1),0)</f>
        <v>17.184596176401811</v>
      </c>
      <c r="D270" s="27">
        <f>Ft!B$3*EXP(Ft!B$38*($A270-Ft!B$2)^2) +Ft!C$3*EXP(Ft!C$38*($A270-Ft!C$2)^2) + Ft!D$3*EXP(Ft!D$38*($A270-Ft!D$2)^2)+Ft!E$3*EXP(Ft!E$38*($A270-Ft!E$2)^2) +Ft!F$3*EXP(Ft!F$38*($A270-Ft!F$2)^2) + Ft!G$3*EXP(Ft!G$38*($A270-Ft!G$2)^2)</f>
        <v>444099.51577185397</v>
      </c>
      <c r="E270" s="27">
        <f>Ft!B$3*EXP(Ft!B$38*($A270-Ft!B$2)^2)</f>
        <v>-115805.86257570225</v>
      </c>
      <c r="F270" s="27">
        <f>Ft!C$3*EXP(Ft!C$38*($A270-Ft!C$2)^2)</f>
        <v>0</v>
      </c>
      <c r="G270" s="27">
        <f>Ft!D$3*EXP(Ft!D$38*($A270-Ft!D$2)^2)</f>
        <v>557803.60454773775</v>
      </c>
      <c r="H270" s="27">
        <f>Ft!E$3*EXP(Ft!E$38*($A270-Ft!E$2)^2)</f>
        <v>1.3321515956631551E-4</v>
      </c>
      <c r="I270" s="27">
        <f>Ft!F$3*EXP(Ft!F$38*($A270-Ft!F$2)^2)</f>
        <v>2101.7736666033366</v>
      </c>
      <c r="J270" s="27">
        <f>Ft!G$3*EXP(Ft!G$38*($A270-Ft!G$2)^2)</f>
        <v>0</v>
      </c>
    </row>
    <row r="271" spans="1:10">
      <c r="A271" s="20">
        <v>269</v>
      </c>
      <c r="B271" s="29">
        <v>43.865755115550968</v>
      </c>
      <c r="C271" s="28">
        <f ca="1">OFFSET($B271,1*(ROWS(C$2:C271)-1),0)</f>
        <v>16.801105309908081</v>
      </c>
      <c r="D271" s="27">
        <f>Ft!B$3*EXP(Ft!B$38*($A271-Ft!B$2)^2) +Ft!C$3*EXP(Ft!C$38*($A271-Ft!C$2)^2) + Ft!D$3*EXP(Ft!D$38*($A271-Ft!D$2)^2)+Ft!E$3*EXP(Ft!E$38*($A271-Ft!E$2)^2) +Ft!F$3*EXP(Ft!F$38*($A271-Ft!F$2)^2) + Ft!G$3*EXP(Ft!G$38*($A271-Ft!G$2)^2)</f>
        <v>442162.75523004314</v>
      </c>
      <c r="E271" s="27">
        <f>Ft!B$3*EXP(Ft!B$38*($A271-Ft!B$2)^2)</f>
        <v>-115807.12349443893</v>
      </c>
      <c r="F271" s="27">
        <f>Ft!C$3*EXP(Ft!C$38*($A271-Ft!C$2)^2)</f>
        <v>0</v>
      </c>
      <c r="G271" s="27">
        <f>Ft!D$3*EXP(Ft!D$38*($A271-Ft!D$2)^2)</f>
        <v>555965.95958031609</v>
      </c>
      <c r="H271" s="27">
        <f>Ft!E$3*EXP(Ft!E$38*($A271-Ft!E$2)^2)</f>
        <v>1.1424122272835854E-4</v>
      </c>
      <c r="I271" s="27">
        <f>Ft!F$3*EXP(Ft!F$38*($A271-Ft!F$2)^2)</f>
        <v>2003.9190299247857</v>
      </c>
      <c r="J271" s="27">
        <f>Ft!G$3*EXP(Ft!G$38*($A271-Ft!G$2)^2)</f>
        <v>0</v>
      </c>
    </row>
    <row r="272" spans="1:10">
      <c r="A272" s="20">
        <v>270</v>
      </c>
      <c r="B272" s="29">
        <v>44.083119291530693</v>
      </c>
      <c r="C272" s="28">
        <f ca="1">OFFSET($B272,1*(ROWS(C$2:C272)-1),0)</f>
        <v>16.36265177355375</v>
      </c>
      <c r="D272" s="27">
        <f>Ft!B$3*EXP(Ft!B$38*($A272-Ft!B$2)^2) +Ft!C$3*EXP(Ft!C$38*($A272-Ft!C$2)^2) + Ft!D$3*EXP(Ft!D$38*($A272-Ft!D$2)^2)+Ft!E$3*EXP(Ft!E$38*($A272-Ft!E$2)^2) +Ft!F$3*EXP(Ft!F$38*($A272-Ft!F$2)^2) + Ft!G$3*EXP(Ft!G$38*($A272-Ft!G$2)^2)</f>
        <v>440170.87121056678</v>
      </c>
      <c r="E272" s="27">
        <f>Ft!B$3*EXP(Ft!B$38*($A272-Ft!B$2)^2)</f>
        <v>-115808.38389158377</v>
      </c>
      <c r="F272" s="27">
        <f>Ft!C$3*EXP(Ft!C$38*($A272-Ft!C$2)^2)</f>
        <v>0</v>
      </c>
      <c r="G272" s="27">
        <f>Ft!D$3*EXP(Ft!D$38*($A272-Ft!D$2)^2)</f>
        <v>554069.13440024294</v>
      </c>
      <c r="H272" s="27">
        <f>Ft!E$3*EXP(Ft!E$38*($A272-Ft!E$2)^2)</f>
        <v>9.7910685006143662E-5</v>
      </c>
      <c r="I272" s="27">
        <f>Ft!F$3*EXP(Ft!F$38*($A272-Ft!F$2)^2)</f>
        <v>1910.1206039968968</v>
      </c>
      <c r="J272" s="27">
        <f>Ft!G$3*EXP(Ft!G$38*($A272-Ft!G$2)^2)</f>
        <v>0</v>
      </c>
    </row>
    <row r="273" spans="1:10">
      <c r="A273" s="20">
        <v>271</v>
      </c>
      <c r="B273" s="29">
        <v>44.301098849589408</v>
      </c>
      <c r="C273" s="28">
        <f ca="1">OFFSET($B273,1*(ROWS(C$2:C273)-1),0)</f>
        <v>15.94761556496104</v>
      </c>
      <c r="D273" s="27">
        <f>Ft!B$3*EXP(Ft!B$38*($A273-Ft!B$2)^2) +Ft!C$3*EXP(Ft!C$38*($A273-Ft!C$2)^2) + Ft!D$3*EXP(Ft!D$38*($A273-Ft!D$2)^2)+Ft!E$3*EXP(Ft!E$38*($A273-Ft!E$2)^2) +Ft!F$3*EXP(Ft!F$38*($A273-Ft!F$2)^2) + Ft!G$3*EXP(Ft!G$38*($A273-Ft!G$2)^2)</f>
        <v>438124.36951512028</v>
      </c>
      <c r="E273" s="27">
        <f>Ft!B$3*EXP(Ft!B$38*($A273-Ft!B$2)^2)</f>
        <v>-115809.64376711943</v>
      </c>
      <c r="F273" s="27">
        <f>Ft!C$3*EXP(Ft!C$38*($A273-Ft!C$2)^2)</f>
        <v>0</v>
      </c>
      <c r="G273" s="27">
        <f>Ft!D$3*EXP(Ft!D$38*($A273-Ft!D$2)^2)</f>
        <v>552113.77675349067</v>
      </c>
      <c r="H273" s="27">
        <f>Ft!E$3*EXP(Ft!E$38*($A273-Ft!E$2)^2)</f>
        <v>8.3863964345114837E-5</v>
      </c>
      <c r="I273" s="27">
        <f>Ft!F$3*EXP(Ft!F$38*($A273-Ft!F$2)^2)</f>
        <v>1820.236444885104</v>
      </c>
      <c r="J273" s="27">
        <f>Ft!G$3*EXP(Ft!G$38*($A273-Ft!G$2)^2)</f>
        <v>0</v>
      </c>
    </row>
    <row r="274" spans="1:10">
      <c r="A274" s="20">
        <v>272</v>
      </c>
      <c r="B274" s="29">
        <v>44.505324269654693</v>
      </c>
      <c r="C274" s="28">
        <f ca="1">OFFSET($B274,1*(ROWS(C$2:C274)-1),0)</f>
        <v>15.507058607605018</v>
      </c>
      <c r="D274" s="27">
        <f>Ft!B$3*EXP(Ft!B$38*($A274-Ft!B$2)^2) +Ft!C$3*EXP(Ft!C$38*($A274-Ft!C$2)^2) + Ft!D$3*EXP(Ft!D$38*($A274-Ft!D$2)^2)+Ft!E$3*EXP(Ft!E$38*($A274-Ft!E$2)^2) +Ft!F$3*EXP(Ft!F$38*($A274-Ft!F$2)^2) + Ft!G$3*EXP(Ft!G$38*($A274-Ft!G$2)^2)</f>
        <v>436023.77799599105</v>
      </c>
      <c r="E274" s="27">
        <f>Ft!B$3*EXP(Ft!B$38*($A274-Ft!B$2)^2)</f>
        <v>-115810.90312102862</v>
      </c>
      <c r="F274" s="27">
        <f>Ft!C$3*EXP(Ft!C$38*($A274-Ft!C$2)^2)</f>
        <v>0</v>
      </c>
      <c r="G274" s="27">
        <f>Ft!D$3*EXP(Ft!D$38*($A274-Ft!D$2)^2)</f>
        <v>550100.552773854</v>
      </c>
      <c r="H274" s="27">
        <f>Ft!E$3*EXP(Ft!E$38*($A274-Ft!E$2)^2)</f>
        <v>7.1789138253874373E-5</v>
      </c>
      <c r="I274" s="27">
        <f>Ft!F$3*EXP(Ft!F$38*($A274-Ft!F$2)^2)</f>
        <v>1734.1282713765595</v>
      </c>
      <c r="J274" s="27">
        <f>Ft!G$3*EXP(Ft!G$38*($A274-Ft!G$2)^2)</f>
        <v>0</v>
      </c>
    </row>
    <row r="275" spans="1:10">
      <c r="A275" s="20">
        <v>273</v>
      </c>
      <c r="B275" s="29">
        <v>44.705679309245738</v>
      </c>
      <c r="C275" s="28">
        <f ca="1">OFFSET($B275,1*(ROWS(C$2:C275)-1),0)</f>
        <v>15.097407080060833</v>
      </c>
      <c r="D275" s="27">
        <f>Ft!B$3*EXP(Ft!B$38*($A275-Ft!B$2)^2) +Ft!C$3*EXP(Ft!C$38*($A275-Ft!C$2)^2) + Ft!D$3*EXP(Ft!D$38*($A275-Ft!D$2)^2)+Ft!E$3*EXP(Ft!E$38*($A275-Ft!E$2)^2) +Ft!F$3*EXP(Ft!F$38*($A275-Ft!F$2)^2) + Ft!G$3*EXP(Ft!G$38*($A275-Ft!G$2)^2)</f>
        <v>433869.6461469357</v>
      </c>
      <c r="E275" s="27">
        <f>Ft!B$3*EXP(Ft!B$38*($A275-Ft!B$2)^2)</f>
        <v>-115812.16195329399</v>
      </c>
      <c r="F275" s="27">
        <f>Ft!C$3*EXP(Ft!C$38*($A275-Ft!C$2)^2)</f>
        <v>0</v>
      </c>
      <c r="G275" s="27">
        <f>Ft!D$3*EXP(Ft!D$38*($A275-Ft!D$2)^2)</f>
        <v>548030.14660494693</v>
      </c>
      <c r="H275" s="27">
        <f>Ft!E$3*EXP(Ft!E$38*($A275-Ft!E$2)^2)</f>
        <v>6.1415804484375242E-5</v>
      </c>
      <c r="I275" s="27">
        <f>Ft!F$3*EXP(Ft!F$38*($A275-Ft!F$2)^2)</f>
        <v>1651.6614338670149</v>
      </c>
      <c r="J275" s="27">
        <f>Ft!G$3*EXP(Ft!G$38*($A275-Ft!G$2)^2)</f>
        <v>0</v>
      </c>
    </row>
    <row r="276" spans="1:10">
      <c r="A276" s="20">
        <v>274</v>
      </c>
      <c r="B276" s="29">
        <v>44.919079122290896</v>
      </c>
      <c r="C276" s="28">
        <f ca="1">OFFSET($B276,1*(ROWS(C$2:C276)-1),0)</f>
        <v>14.692284460500616</v>
      </c>
      <c r="D276" s="27">
        <f>Ft!B$3*EXP(Ft!B$38*($A276-Ft!B$2)^2) +Ft!C$3*EXP(Ft!C$38*($A276-Ft!C$2)^2) + Ft!D$3*EXP(Ft!D$38*($A276-Ft!D$2)^2)+Ft!E$3*EXP(Ft!E$38*($A276-Ft!E$2)^2) +Ft!F$3*EXP(Ft!F$38*($A276-Ft!F$2)^2) + Ft!G$3*EXP(Ft!G$38*($A276-Ft!G$2)^2)</f>
        <v>431662.54468166572</v>
      </c>
      <c r="E276" s="27">
        <f>Ft!B$3*EXP(Ft!B$38*($A276-Ft!B$2)^2)</f>
        <v>-115813.42026389828</v>
      </c>
      <c r="F276" s="27">
        <f>Ft!C$3*EXP(Ft!C$38*($A276-Ft!C$2)^2)</f>
        <v>0</v>
      </c>
      <c r="G276" s="27">
        <f>Ft!D$3*EXP(Ft!D$38*($A276-Ft!D$2)^2)</f>
        <v>545903.2600129745</v>
      </c>
      <c r="H276" s="27">
        <f>Ft!E$3*EXP(Ft!E$38*($A276-Ft!E$2)^2)</f>
        <v>5.250970794495605E-5</v>
      </c>
      <c r="I276" s="27">
        <f>Ft!F$3*EXP(Ft!F$38*($A276-Ft!F$2)^2)</f>
        <v>1572.7048800797747</v>
      </c>
      <c r="J276" s="27">
        <f>Ft!G$3*EXP(Ft!G$38*($A276-Ft!G$2)^2)</f>
        <v>0</v>
      </c>
    </row>
    <row r="277" spans="1:10">
      <c r="A277" s="20">
        <v>275</v>
      </c>
      <c r="B277" s="29">
        <v>45.116650043154948</v>
      </c>
      <c r="C277" s="28">
        <f ca="1">OFFSET($B277,1*(ROWS(C$2:C277)-1),0)</f>
        <v>14.273863731271319</v>
      </c>
      <c r="D277" s="27">
        <f>Ft!B$3*EXP(Ft!B$38*($A277-Ft!B$2)^2) +Ft!C$3*EXP(Ft!C$38*($A277-Ft!C$2)^2) + Ft!D$3*EXP(Ft!D$38*($A277-Ft!D$2)^2)+Ft!E$3*EXP(Ft!E$38*($A277-Ft!E$2)^2) +Ft!F$3*EXP(Ft!F$38*($A277-Ft!F$2)^2) + Ft!G$3*EXP(Ft!G$38*($A277-Ft!G$2)^2)</f>
        <v>429403.06510044954</v>
      </c>
      <c r="E277" s="27">
        <f>Ft!B$3*EXP(Ft!B$38*($A277-Ft!B$2)^2)</f>
        <v>-115814.67805282415</v>
      </c>
      <c r="F277" s="27">
        <f>Ft!C$3*EXP(Ft!C$38*($A277-Ft!C$2)^2)</f>
        <v>0</v>
      </c>
      <c r="G277" s="27">
        <f>Ft!D$3*EXP(Ft!D$38*($A277-Ft!D$2)^2)</f>
        <v>543720.61199058662</v>
      </c>
      <c r="H277" s="27">
        <f>Ft!E$3*EXP(Ft!E$38*($A277-Ft!E$2)^2)</f>
        <v>4.4868041551297875E-5</v>
      </c>
      <c r="I277" s="27">
        <f>Ft!F$3*EXP(Ft!F$38*($A277-Ft!F$2)^2)</f>
        <v>1497.1311178190283</v>
      </c>
      <c r="J277" s="27">
        <f>Ft!G$3*EXP(Ft!G$38*($A277-Ft!G$2)^2)</f>
        <v>0</v>
      </c>
    </row>
    <row r="278" spans="1:10">
      <c r="A278" s="20">
        <v>276</v>
      </c>
      <c r="B278" s="29">
        <v>45.316940648405136</v>
      </c>
      <c r="C278" s="28">
        <f ca="1">OFFSET($B278,1*(ROWS(C$2:C278)-1),0)</f>
        <v>13.865480582505</v>
      </c>
      <c r="D278" s="27">
        <f>Ft!B$3*EXP(Ft!B$38*($A278-Ft!B$2)^2) +Ft!C$3*EXP(Ft!C$38*($A278-Ft!C$2)^2) + Ft!D$3*EXP(Ft!D$38*($A278-Ft!D$2)^2)+Ft!E$3*EXP(Ft!E$38*($A278-Ft!E$2)^2) +Ft!F$3*EXP(Ft!F$38*($A278-Ft!F$2)^2) + Ft!G$3*EXP(Ft!G$38*($A278-Ft!G$2)^2)</f>
        <v>427091.81924534147</v>
      </c>
      <c r="E278" s="27">
        <f>Ft!B$3*EXP(Ft!B$38*($A278-Ft!B$2)^2)</f>
        <v>-115815.93532005431</v>
      </c>
      <c r="F278" s="27">
        <f>Ft!C$3*EXP(Ft!C$38*($A278-Ft!C$2)^2)</f>
        <v>0</v>
      </c>
      <c r="G278" s="27">
        <f>Ft!D$3*EXP(Ft!D$38*($A278-Ft!D$2)^2)</f>
        <v>541482.93835212477</v>
      </c>
      <c r="H278" s="27">
        <f>Ft!E$3*EXP(Ft!E$38*($A278-Ft!E$2)^2)</f>
        <v>3.8315339395633452E-5</v>
      </c>
      <c r="I278" s="27">
        <f>Ft!F$3*EXP(Ft!F$38*($A278-Ft!F$2)^2)</f>
        <v>1424.8161749556482</v>
      </c>
      <c r="J278" s="27">
        <f>Ft!G$3*EXP(Ft!G$38*($A278-Ft!G$2)^2)</f>
        <v>0</v>
      </c>
    </row>
    <row r="279" spans="1:10">
      <c r="A279" s="20">
        <v>277</v>
      </c>
      <c r="B279" s="29">
        <v>45.519996145658808</v>
      </c>
      <c r="C279" s="28">
        <f ca="1">OFFSET($B279,1*(ROWS(C$2:C279)-1),0)</f>
        <v>13.471934130958971</v>
      </c>
      <c r="D279" s="27">
        <f>Ft!B$3*EXP(Ft!B$38*($A279-Ft!B$2)^2) +Ft!C$3*EXP(Ft!C$38*($A279-Ft!C$2)^2) + Ft!D$3*EXP(Ft!D$38*($A279-Ft!D$2)^2)+Ft!E$3*EXP(Ft!E$38*($A279-Ft!E$2)^2) +Ft!F$3*EXP(Ft!F$38*($A279-Ft!F$2)^2) + Ft!G$3*EXP(Ft!G$38*($A279-Ft!G$2)^2)</f>
        <v>424729.43884455122</v>
      </c>
      <c r="E279" s="27">
        <f>Ft!B$3*EXP(Ft!B$38*($A279-Ft!B$2)^2)</f>
        <v>-115817.19206557146</v>
      </c>
      <c r="F279" s="27">
        <f>Ft!C$3*EXP(Ft!C$38*($A279-Ft!C$2)^2)</f>
        <v>0</v>
      </c>
      <c r="G279" s="27">
        <f>Ft!D$3*EXP(Ft!D$38*($A279-Ft!D$2)^2)</f>
        <v>539190.99132058374</v>
      </c>
      <c r="H279" s="27">
        <f>Ft!E$3*EXP(Ft!E$38*($A279-Ft!E$2)^2)</f>
        <v>3.2699890112154556E-5</v>
      </c>
      <c r="I279" s="27">
        <f>Ft!F$3*EXP(Ft!F$38*($A279-Ft!F$2)^2)</f>
        <v>1355.6395568389989</v>
      </c>
      <c r="J279" s="27">
        <f>Ft!G$3*EXP(Ft!G$38*($A279-Ft!G$2)^2)</f>
        <v>0</v>
      </c>
    </row>
    <row r="280" spans="1:10">
      <c r="A280" s="20">
        <v>278</v>
      </c>
      <c r="B280" s="29">
        <v>45.727465960365095</v>
      </c>
      <c r="C280" s="28">
        <f ca="1">OFFSET($B280,1*(ROWS(C$2:C280)-1),0)</f>
        <v>13.053026659486818</v>
      </c>
      <c r="D280" s="27">
        <f>Ft!B$3*EXP(Ft!B$38*($A280-Ft!B$2)^2) +Ft!C$3*EXP(Ft!C$38*($A280-Ft!C$2)^2) + Ft!D$3*EXP(Ft!D$38*($A280-Ft!D$2)^2)+Ft!E$3*EXP(Ft!E$38*($A280-Ft!E$2)^2) +Ft!F$3*EXP(Ft!F$38*($A280-Ft!F$2)^2) + Ft!G$3*EXP(Ft!G$38*($A280-Ft!G$2)^2)</f>
        <v>422316.57504646416</v>
      </c>
      <c r="E280" s="27">
        <f>Ft!B$3*EXP(Ft!B$38*($A280-Ft!B$2)^2)</f>
        <v>-115818.44828935838</v>
      </c>
      <c r="F280" s="27">
        <f>Ft!C$3*EXP(Ft!C$38*($A280-Ft!C$2)^2)</f>
        <v>0</v>
      </c>
      <c r="G280" s="27">
        <f>Ft!D$3*EXP(Ft!D$38*($A280-Ft!D$2)^2)</f>
        <v>536845.53910660837</v>
      </c>
      <c r="H280" s="27">
        <f>Ft!E$3*EXP(Ft!E$38*($A280-Ft!E$2)^2)</f>
        <v>2.7890606759257207E-5</v>
      </c>
      <c r="I280" s="27">
        <f>Ft!F$3*EXP(Ft!F$38*($A280-Ft!F$2)^2)</f>
        <v>1289.4842013236187</v>
      </c>
      <c r="J280" s="27">
        <f>Ft!G$3*EXP(Ft!G$38*($A280-Ft!G$2)^2)</f>
        <v>0</v>
      </c>
    </row>
    <row r="281" spans="1:10">
      <c r="A281" s="20">
        <v>279</v>
      </c>
      <c r="B281" s="29">
        <v>45.911822018396492</v>
      </c>
      <c r="C281" s="28">
        <f ca="1">OFFSET($B281,1*(ROWS(C$2:C281)-1),0)</f>
        <v>12.626010003957106</v>
      </c>
      <c r="D281" s="27">
        <f>Ft!B$3*EXP(Ft!B$38*($A281-Ft!B$2)^2) +Ft!C$3*EXP(Ft!C$38*($A281-Ft!C$2)^2) + Ft!D$3*EXP(Ft!D$38*($A281-Ft!D$2)^2)+Ft!E$3*EXP(Ft!E$38*($A281-Ft!E$2)^2) +Ft!F$3*EXP(Ft!F$38*($A281-Ft!F$2)^2) + Ft!G$3*EXP(Ft!G$38*($A281-Ft!G$2)^2)</f>
        <v>419853.89794383053</v>
      </c>
      <c r="E281" s="27">
        <f>Ft!B$3*EXP(Ft!B$38*($A281-Ft!B$2)^2)</f>
        <v>-115819.70399139772</v>
      </c>
      <c r="F281" s="27">
        <f>Ft!C$3*EXP(Ft!C$38*($A281-Ft!C$2)^2)</f>
        <v>0</v>
      </c>
      <c r="G281" s="27">
        <f>Ft!D$3*EXP(Ft!D$38*($A281-Ft!D$2)^2)</f>
        <v>534447.36547985917</v>
      </c>
      <c r="H281" s="27">
        <f>Ft!E$3*EXP(Ft!E$38*($A281-Ft!E$2)^2)</f>
        <v>2.3774297037858699E-5</v>
      </c>
      <c r="I281" s="27">
        <f>Ft!F$3*EXP(Ft!F$38*($A281-Ft!F$2)^2)</f>
        <v>1226.2364315948464</v>
      </c>
      <c r="J281" s="27">
        <f>Ft!G$3*EXP(Ft!G$38*($A281-Ft!G$2)^2)</f>
        <v>0</v>
      </c>
    </row>
    <row r="282" spans="1:10">
      <c r="A282" s="20">
        <v>280</v>
      </c>
      <c r="B282" s="29">
        <v>46.095295073247314</v>
      </c>
      <c r="C282" s="28">
        <f ca="1">OFFSET($B282,1*(ROWS(C$2:C282)-1),0)</f>
        <v>12.205130534359682</v>
      </c>
      <c r="D282" s="27">
        <f>Ft!B$3*EXP(Ft!B$38*($A282-Ft!B$2)^2) +Ft!C$3*EXP(Ft!C$38*($A282-Ft!C$2)^2) + Ft!D$3*EXP(Ft!D$38*($A282-Ft!D$2)^2)+Ft!E$3*EXP(Ft!E$38*($A282-Ft!E$2)^2) +Ft!F$3*EXP(Ft!F$38*($A282-Ft!F$2)^2) + Ft!G$3*EXP(Ft!G$38*($A282-Ft!G$2)^2)</f>
        <v>417342.0960886312</v>
      </c>
      <c r="E282" s="27">
        <f>Ft!B$3*EXP(Ft!B$38*($A282-Ft!B$2)^2)</f>
        <v>-115820.95917167226</v>
      </c>
      <c r="F282" s="27">
        <f>Ft!C$3*EXP(Ft!C$38*($A282-Ft!C$2)^2)</f>
        <v>0</v>
      </c>
      <c r="G282" s="27">
        <f>Ft!D$3*EXP(Ft!D$38*($A282-Ft!D$2)^2)</f>
        <v>531997.26933307771</v>
      </c>
      <c r="H282" s="27">
        <f>Ft!E$3*EXP(Ft!E$38*($A282-Ft!E$2)^2)</f>
        <v>2.0253284319454222E-5</v>
      </c>
      <c r="I282" s="27">
        <f>Ft!F$3*EXP(Ft!F$38*($A282-Ft!F$2)^2)</f>
        <v>1165.7859069724168</v>
      </c>
      <c r="J282" s="27">
        <f>Ft!G$3*EXP(Ft!G$38*($A282-Ft!G$2)^2)</f>
        <v>0</v>
      </c>
    </row>
    <row r="283" spans="1:10">
      <c r="A283" s="20">
        <v>281</v>
      </c>
      <c r="B283" s="29">
        <v>46.25660378396384</v>
      </c>
      <c r="C283" s="28">
        <f ca="1">OFFSET($B283,1*(ROWS(C$2:C283)-1),0)</f>
        <v>11.760402279798257</v>
      </c>
      <c r="D283" s="27">
        <f>Ft!B$3*EXP(Ft!B$38*($A283-Ft!B$2)^2) +Ft!C$3*EXP(Ft!C$38*($A283-Ft!C$2)^2) + Ft!D$3*EXP(Ft!D$38*($A283-Ft!D$2)^2)+Ft!E$3*EXP(Ft!E$38*($A283-Ft!E$2)^2) +Ft!F$3*EXP(Ft!F$38*($A283-Ft!F$2)^2) + Ft!G$3*EXP(Ft!G$38*($A283-Ft!G$2)^2)</f>
        <v>414781.87599813746</v>
      </c>
      <c r="E283" s="27">
        <f>Ft!B$3*EXP(Ft!B$38*($A283-Ft!B$2)^2)</f>
        <v>-115822.21383016474</v>
      </c>
      <c r="F283" s="27">
        <f>Ft!C$3*EXP(Ft!C$38*($A283-Ft!C$2)^2)</f>
        <v>0</v>
      </c>
      <c r="G283" s="27">
        <f>Ft!D$3*EXP(Ft!D$38*($A283-Ft!D$2)^2)</f>
        <v>529496.06423919287</v>
      </c>
      <c r="H283" s="27">
        <f>Ft!E$3*EXP(Ft!E$38*($A283-Ft!E$2)^2)</f>
        <v>1.7243335857937775E-5</v>
      </c>
      <c r="I283" s="27">
        <f>Ft!F$3*EXP(Ft!F$38*($A283-Ft!F$2)^2)</f>
        <v>1108.0255718659953</v>
      </c>
      <c r="J283" s="27">
        <f>Ft!G$3*EXP(Ft!G$38*($A283-Ft!G$2)^2)</f>
        <v>0</v>
      </c>
    </row>
    <row r="284" spans="1:10">
      <c r="A284" s="20">
        <v>282</v>
      </c>
      <c r="B284" s="29">
        <v>46.427428060986159</v>
      </c>
      <c r="C284" s="28">
        <f ca="1">OFFSET($B284,1*(ROWS(C$2:C284)-1),0)</f>
        <v>11.296225708633585</v>
      </c>
      <c r="D284" s="27">
        <f>Ft!B$3*EXP(Ft!B$38*($A284-Ft!B$2)^2) +Ft!C$3*EXP(Ft!C$38*($A284-Ft!C$2)^2) + Ft!D$3*EXP(Ft!D$38*($A284-Ft!D$2)^2)+Ft!E$3*EXP(Ft!E$38*($A284-Ft!E$2)^2) +Ft!F$3*EXP(Ft!F$38*($A284-Ft!F$2)^2) + Ft!G$3*EXP(Ft!G$38*($A284-Ft!G$2)^2)</f>
        <v>412173.96165267529</v>
      </c>
      <c r="E284" s="27">
        <f>Ft!B$3*EXP(Ft!B$38*($A284-Ft!B$2)^2)</f>
        <v>-115823.46796685789</v>
      </c>
      <c r="F284" s="27">
        <f>Ft!C$3*EXP(Ft!C$38*($A284-Ft!C$2)^2)</f>
        <v>0</v>
      </c>
      <c r="G284" s="27">
        <f>Ft!D$3*EXP(Ft!D$38*($A284-Ft!D$2)^2)</f>
        <v>526944.57800180989</v>
      </c>
      <c r="H284" s="27">
        <f>Ft!E$3*EXP(Ft!E$38*($A284-Ft!E$2)^2)</f>
        <v>1.467185978655429E-5</v>
      </c>
      <c r="I284" s="27">
        <f>Ft!F$3*EXP(Ft!F$38*($A284-Ft!F$2)^2)</f>
        <v>1052.851603051404</v>
      </c>
      <c r="J284" s="27">
        <f>Ft!G$3*EXP(Ft!G$38*($A284-Ft!G$2)^2)</f>
        <v>0</v>
      </c>
    </row>
    <row r="285" spans="1:10">
      <c r="A285" s="20">
        <v>283</v>
      </c>
      <c r="B285" s="29">
        <v>46.555420674615846</v>
      </c>
      <c r="C285" s="28">
        <f ca="1">OFFSET($B285,1*(ROWS(C$2:C285)-1),0)</f>
        <v>10.897232741333823</v>
      </c>
      <c r="D285" s="27">
        <f>Ft!B$3*EXP(Ft!B$38*($A285-Ft!B$2)^2) +Ft!C$3*EXP(Ft!C$38*($A285-Ft!C$2)^2) + Ft!D$3*EXP(Ft!D$38*($A285-Ft!D$2)^2)+Ft!E$3*EXP(Ft!E$38*($A285-Ft!E$2)^2) +Ft!F$3*EXP(Ft!F$38*($A285-Ft!F$2)^2) + Ft!G$3*EXP(Ft!G$38*($A285-Ft!G$2)^2)</f>
        <v>409519.09398560371</v>
      </c>
      <c r="E285" s="27">
        <f>Ft!B$3*EXP(Ft!B$38*($A285-Ft!B$2)^2)</f>
        <v>-115824.72158173448</v>
      </c>
      <c r="F285" s="27">
        <f>Ft!C$3*EXP(Ft!C$38*($A285-Ft!C$2)^2)</f>
        <v>0</v>
      </c>
      <c r="G285" s="27">
        <f>Ft!D$3*EXP(Ft!D$38*($A285-Ft!D$2)^2)</f>
        <v>524343.65219943086</v>
      </c>
      <c r="H285" s="27">
        <f>Ft!E$3*EXP(Ft!E$38*($A285-Ft!E$2)^2)</f>
        <v>1.2476337128596826E-5</v>
      </c>
      <c r="I285" s="27">
        <f>Ft!F$3*EXP(Ft!F$38*($A285-Ft!F$2)^2)</f>
        <v>1000.1633554309693</v>
      </c>
      <c r="J285" s="27">
        <f>Ft!G$3*EXP(Ft!G$38*($A285-Ft!G$2)^2)</f>
        <v>0</v>
      </c>
    </row>
    <row r="286" spans="1:10">
      <c r="A286" s="20">
        <v>284</v>
      </c>
      <c r="B286" s="29">
        <v>46.681655639424719</v>
      </c>
      <c r="C286" s="28">
        <f ca="1">OFFSET($B286,1*(ROWS(C$2:C286)-1),0)</f>
        <v>10.506295649836488</v>
      </c>
      <c r="D286" s="27">
        <f>Ft!B$3*EXP(Ft!B$38*($A286-Ft!B$2)^2) +Ft!C$3*EXP(Ft!C$38*($A286-Ft!C$2)^2) + Ft!D$3*EXP(Ft!D$38*($A286-Ft!D$2)^2)+Ft!E$3*EXP(Ft!E$38*($A286-Ft!E$2)^2) +Ft!F$3*EXP(Ft!F$38*($A286-Ft!F$2)^2) + Ft!G$3*EXP(Ft!G$38*($A286-Ft!G$2)^2)</f>
        <v>406818.0303660169</v>
      </c>
      <c r="E286" s="27">
        <f>Ft!B$3*EXP(Ft!B$38*($A286-Ft!B$2)^2)</f>
        <v>-115825.97467477727</v>
      </c>
      <c r="F286" s="27">
        <f>Ft!C$3*EXP(Ft!C$38*($A286-Ft!C$2)^2)</f>
        <v>0</v>
      </c>
      <c r="G286" s="27">
        <f>Ft!D$3*EXP(Ft!D$38*($A286-Ft!D$2)^2)</f>
        <v>521694.14172375517</v>
      </c>
      <c r="H286" s="27">
        <f>Ft!E$3*EXP(Ft!E$38*($A286-Ft!E$2)^2)</f>
        <v>1.0602959143101708E-5</v>
      </c>
      <c r="I286" s="27">
        <f>Ft!F$3*EXP(Ft!F$38*($A286-Ft!F$2)^2)</f>
        <v>949.86330643607164</v>
      </c>
      <c r="J286" s="27">
        <f>Ft!G$3*EXP(Ft!G$38*($A286-Ft!G$2)^2)</f>
        <v>0</v>
      </c>
    </row>
    <row r="287" spans="1:10">
      <c r="A287" s="20">
        <v>285</v>
      </c>
      <c r="B287" s="29">
        <v>46.802011425425519</v>
      </c>
      <c r="C287" s="28">
        <f ca="1">OFFSET($B287,1*(ROWS(C$2:C287)-1),0)</f>
        <v>10.141444825596807</v>
      </c>
      <c r="D287" s="27">
        <f>Ft!B$3*EXP(Ft!B$38*($A287-Ft!B$2)^2) +Ft!C$3*EXP(Ft!C$38*($A287-Ft!C$2)^2) + Ft!D$3*EXP(Ft!D$38*($A287-Ft!D$2)^2)+Ft!E$3*EXP(Ft!E$38*($A287-Ft!E$2)^2) +Ft!F$3*EXP(Ft!F$38*($A287-Ft!F$2)^2) + Ft!G$3*EXP(Ft!G$38*($A287-Ft!G$2)^2)</f>
        <v>404071.54407467647</v>
      </c>
      <c r="E287" s="27">
        <f>Ft!B$3*EXP(Ft!B$38*($A287-Ft!B$2)^2)</f>
        <v>-115827.22724596901</v>
      </c>
      <c r="F287" s="27">
        <f>Ft!C$3*EXP(Ft!C$38*($A287-Ft!C$2)^2)</f>
        <v>0</v>
      </c>
      <c r="G287" s="27">
        <f>Ft!D$3*EXP(Ft!D$38*($A287-Ft!D$2)^2)</f>
        <v>518996.91431241547</v>
      </c>
      <c r="H287" s="27">
        <f>Ft!E$3*EXP(Ft!E$38*($A287-Ft!E$2)^2)</f>
        <v>9.0054439436016332E-6</v>
      </c>
      <c r="I287" s="27">
        <f>Ft!F$3*EXP(Ft!F$38*($A287-Ft!F$2)^2)</f>
        <v>901.85699922455149</v>
      </c>
      <c r="J287" s="27">
        <f>Ft!G$3*EXP(Ft!G$38*($A287-Ft!G$2)^2)</f>
        <v>0</v>
      </c>
    </row>
    <row r="288" spans="1:10">
      <c r="A288" s="20">
        <v>286</v>
      </c>
      <c r="B288" s="29">
        <v>46.931584327113484</v>
      </c>
      <c r="C288" s="28">
        <f ca="1">OFFSET($B288,1*(ROWS(C$2:C288)-1),0)</f>
        <v>9.7288480790247718</v>
      </c>
      <c r="D288" s="27">
        <f>Ft!B$3*EXP(Ft!B$38*($A288-Ft!B$2)^2) +Ft!C$3*EXP(Ft!C$38*($A288-Ft!C$2)^2) + Ft!D$3*EXP(Ft!D$38*($A288-Ft!D$2)^2)+Ft!E$3*EXP(Ft!E$38*($A288-Ft!E$2)^2) +Ft!F$3*EXP(Ft!F$38*($A288-Ft!F$2)^2) + Ft!G$3*EXP(Ft!G$38*($A288-Ft!G$2)^2)</f>
        <v>401280.42377367668</v>
      </c>
      <c r="E288" s="27">
        <f>Ft!B$3*EXP(Ft!B$38*($A288-Ft!B$2)^2)</f>
        <v>-115828.47929529252</v>
      </c>
      <c r="F288" s="27">
        <f>Ft!C$3*EXP(Ft!C$38*($A288-Ft!C$2)^2)</f>
        <v>0</v>
      </c>
      <c r="G288" s="27">
        <f>Ft!D$3*EXP(Ft!D$38*($A288-Ft!D$2)^2)</f>
        <v>516252.85007650504</v>
      </c>
      <c r="H288" s="27">
        <f>Ft!E$3*EXP(Ft!E$38*($A288-Ft!E$2)^2)</f>
        <v>7.6440095216630855E-6</v>
      </c>
      <c r="I288" s="27">
        <f>Ft!F$3*EXP(Ft!F$38*($A288-Ft!F$2)^2)</f>
        <v>856.05298482013836</v>
      </c>
      <c r="J288" s="27">
        <f>Ft!G$3*EXP(Ft!G$38*($A288-Ft!G$2)^2)</f>
        <v>0</v>
      </c>
    </row>
    <row r="289" spans="1:10">
      <c r="A289" s="20">
        <v>287</v>
      </c>
      <c r="B289" s="29">
        <v>47.055527682790569</v>
      </c>
      <c r="C289" s="28">
        <f ca="1">OFFSET($B289,1*(ROWS(C$2:C289)-1),0)</f>
        <v>9.403741790189116</v>
      </c>
      <c r="D289" s="27">
        <f>Ft!B$3*EXP(Ft!B$38*($A289-Ft!B$2)^2) +Ft!C$3*EXP(Ft!C$38*($A289-Ft!C$2)^2) + Ft!D$3*EXP(Ft!D$38*($A289-Ft!D$2)^2)+Ft!E$3*EXP(Ft!E$38*($A289-Ft!E$2)^2) +Ft!F$3*EXP(Ft!F$38*($A289-Ft!F$2)^2) + Ft!G$3*EXP(Ft!G$38*($A289-Ft!G$2)^2)</f>
        <v>398445.47297034581</v>
      </c>
      <c r="E289" s="27">
        <f>Ft!B$3*EXP(Ft!B$38*($A289-Ft!B$2)^2)</f>
        <v>-115829.73082273055</v>
      </c>
      <c r="F289" s="27">
        <f>Ft!C$3*EXP(Ft!C$38*($A289-Ft!C$2)^2)</f>
        <v>0</v>
      </c>
      <c r="G289" s="27">
        <f>Ft!D$3*EXP(Ft!D$38*($A289-Ft!D$2)^2)</f>
        <v>513462.84102325625</v>
      </c>
      <c r="H289" s="27">
        <f>Ft!E$3*EXP(Ft!E$38*($A289-Ft!E$2)^2)</f>
        <v>6.4844831246578538E-6</v>
      </c>
      <c r="I289" s="27">
        <f>Ft!F$3*EXP(Ft!F$38*($A289-Ft!F$2)^2)</f>
        <v>812.3627633355959</v>
      </c>
      <c r="J289" s="27">
        <f>Ft!G$3*EXP(Ft!G$38*($A289-Ft!G$2)^2)</f>
        <v>0</v>
      </c>
    </row>
    <row r="290" spans="1:10">
      <c r="A290" s="20">
        <v>288</v>
      </c>
      <c r="B290" s="29">
        <v>47.167427282568724</v>
      </c>
      <c r="C290" s="28">
        <f ca="1">OFFSET($B290,1*(ROWS(C$2:C290)-1),0)</f>
        <v>9.1299562006545898</v>
      </c>
      <c r="D290" s="27">
        <f>Ft!B$3*EXP(Ft!B$38*($A290-Ft!B$2)^2) +Ft!C$3*EXP(Ft!C$38*($A290-Ft!C$2)^2) + Ft!D$3*EXP(Ft!D$38*($A290-Ft!D$2)^2)+Ft!E$3*EXP(Ft!E$38*($A290-Ft!E$2)^2) +Ft!F$3*EXP(Ft!F$38*($A290-Ft!F$2)^2) + Ft!G$3*EXP(Ft!G$38*($A290-Ft!G$2)^2)</f>
        <v>395567.50947587792</v>
      </c>
      <c r="E290" s="27">
        <f>Ft!B$3*EXP(Ft!B$38*($A290-Ft!B$2)^2)</f>
        <v>-115830.9818282659</v>
      </c>
      <c r="F290" s="27">
        <f>Ft!C$3*EXP(Ft!C$38*($A290-Ft!C$2)^2)</f>
        <v>0</v>
      </c>
      <c r="G290" s="27">
        <f>Ft!D$3*EXP(Ft!D$38*($A290-Ft!D$2)^2)</f>
        <v>510627.79057423049</v>
      </c>
      <c r="H290" s="27">
        <f>Ft!E$3*EXP(Ft!E$38*($A290-Ft!E$2)^2)</f>
        <v>5.4975294212143834E-6</v>
      </c>
      <c r="I290" s="27">
        <f>Ft!F$3*EXP(Ft!F$38*($A290-Ft!F$2)^2)</f>
        <v>770.70072441576008</v>
      </c>
      <c r="J290" s="27">
        <f>Ft!G$3*EXP(Ft!G$38*($A290-Ft!G$2)^2)</f>
        <v>0</v>
      </c>
    </row>
    <row r="291" spans="1:10">
      <c r="A291" s="20">
        <v>289</v>
      </c>
      <c r="B291" s="29">
        <v>47.297613390502192</v>
      </c>
      <c r="C291" s="28">
        <f ca="1">OFFSET($B291,1*(ROWS(C$2:C291)-1),0)</f>
        <v>8.8866553598045641</v>
      </c>
      <c r="D291" s="27">
        <f>Ft!B$3*EXP(Ft!B$38*($A291-Ft!B$2)^2) +Ft!C$3*EXP(Ft!C$38*($A291-Ft!C$2)^2) + Ft!D$3*EXP(Ft!D$38*($A291-Ft!D$2)^2)+Ft!E$3*EXP(Ft!E$38*($A291-Ft!E$2)^2) +Ft!F$3*EXP(Ft!F$38*($A291-Ft!F$2)^2) + Ft!G$3*EXP(Ft!G$38*($A291-Ft!G$2)^2)</f>
        <v>392647.3648591917</v>
      </c>
      <c r="E291" s="27">
        <f>Ft!B$3*EXP(Ft!B$38*($A291-Ft!B$2)^2)</f>
        <v>-115832.23231188135</v>
      </c>
      <c r="F291" s="27">
        <f>Ft!C$3*EXP(Ft!C$38*($A291-Ft!C$2)^2)</f>
        <v>0</v>
      </c>
      <c r="G291" s="27">
        <f>Ft!D$3*EXP(Ft!D$38*($A291-Ft!D$2)^2)</f>
        <v>507748.61307938391</v>
      </c>
      <c r="H291" s="27">
        <f>Ft!E$3*EXP(Ft!E$38*($A291-Ft!E$2)^2)</f>
        <v>4.6579820758182224E-6</v>
      </c>
      <c r="I291" s="27">
        <f>Ft!F$3*EXP(Ft!F$38*($A291-Ft!F$2)^2)</f>
        <v>730.98408703113012</v>
      </c>
      <c r="J291" s="27">
        <f>Ft!G$3*EXP(Ft!G$38*($A291-Ft!G$2)^2)</f>
        <v>0</v>
      </c>
    </row>
    <row r="292" spans="1:10">
      <c r="A292" s="20">
        <v>290</v>
      </c>
      <c r="B292" s="29">
        <v>47.417087667751957</v>
      </c>
      <c r="C292" s="28">
        <f ca="1">OFFSET($B292,1*(ROWS(C$2:C292)-1),0)</f>
        <v>8.6865705767644101</v>
      </c>
      <c r="D292" s="27">
        <f>Ft!B$3*EXP(Ft!B$38*($A292-Ft!B$2)^2) +Ft!C$3*EXP(Ft!C$38*($A292-Ft!C$2)^2) + Ft!D$3*EXP(Ft!D$38*($A292-Ft!D$2)^2)+Ft!E$3*EXP(Ft!E$38*($A292-Ft!E$2)^2) +Ft!F$3*EXP(Ft!F$38*($A292-Ft!F$2)^2) + Ft!G$3*EXP(Ft!G$38*($A292-Ft!G$2)^2)</f>
        <v>389685.88389650435</v>
      </c>
      <c r="E292" s="27">
        <f>Ft!B$3*EXP(Ft!B$38*($A292-Ft!B$2)^2)</f>
        <v>-115833.48227355973</v>
      </c>
      <c r="F292" s="27">
        <f>Ft!C$3*EXP(Ft!C$38*($A292-Ft!C$2)^2)</f>
        <v>0</v>
      </c>
      <c r="G292" s="27">
        <f>Ft!D$3*EXP(Ft!D$38*($A292-Ft!D$2)^2)</f>
        <v>504826.23332737258</v>
      </c>
      <c r="H292" s="27">
        <f>Ft!E$3*EXP(Ft!E$38*($A292-Ft!E$2)^2)</f>
        <v>3.9442652797746036E-6</v>
      </c>
      <c r="I292" s="27">
        <f>Ft!F$3*EXP(Ft!F$38*($A292-Ft!F$2)^2)</f>
        <v>693.13283874720264</v>
      </c>
      <c r="J292" s="27">
        <f>Ft!G$3*EXP(Ft!G$38*($A292-Ft!G$2)^2)</f>
        <v>0</v>
      </c>
    </row>
    <row r="293" spans="1:10">
      <c r="A293" s="20">
        <v>291</v>
      </c>
      <c r="B293" s="29">
        <v>47.5053881276543</v>
      </c>
      <c r="C293" s="28">
        <f ca="1">OFFSET($B293,1*(ROWS(C$2:C293)-1),0)</f>
        <v>8.4965434086334994</v>
      </c>
      <c r="D293" s="27">
        <f>Ft!B$3*EXP(Ft!B$38*($A293-Ft!B$2)^2) +Ft!C$3*EXP(Ft!C$38*($A293-Ft!C$2)^2) + Ft!D$3*EXP(Ft!D$38*($A293-Ft!D$2)^2)+Ft!E$3*EXP(Ft!E$38*($A293-Ft!E$2)^2) +Ft!F$3*EXP(Ft!F$38*($A293-Ft!F$2)^2) + Ft!G$3*EXP(Ft!G$38*($A293-Ft!G$2)^2)</f>
        <v>386683.92401710624</v>
      </c>
      <c r="E293" s="27">
        <f>Ft!B$3*EXP(Ft!B$38*($A293-Ft!B$2)^2)</f>
        <v>-115834.73171328385</v>
      </c>
      <c r="F293" s="27">
        <f>Ft!C$3*EXP(Ft!C$38*($A293-Ft!C$2)^2)</f>
        <v>0</v>
      </c>
      <c r="G293" s="27">
        <f>Ft!D$3*EXP(Ft!D$38*($A293-Ft!D$2)^2)</f>
        <v>501861.58605246292</v>
      </c>
      <c r="H293" s="27">
        <f>Ft!E$3*EXP(Ft!E$38*($A293-Ft!E$2)^2)</f>
        <v>3.3378934792900033E-6</v>
      </c>
      <c r="I293" s="27">
        <f>Ft!F$3*EXP(Ft!F$38*($A293-Ft!F$2)^2)</f>
        <v>657.06967458924657</v>
      </c>
      <c r="J293" s="27">
        <f>Ft!G$3*EXP(Ft!G$38*($A293-Ft!G$2)^2)</f>
        <v>0</v>
      </c>
    </row>
    <row r="294" spans="1:10">
      <c r="A294" s="20">
        <v>292</v>
      </c>
      <c r="B294" s="29">
        <v>47.575802466907845</v>
      </c>
      <c r="C294" s="28">
        <f ca="1">OFFSET($B294,1*(ROWS(C$2:C294)-1),0)</f>
        <v>8.3536964811592611</v>
      </c>
      <c r="D294" s="27">
        <f>Ft!B$3*EXP(Ft!B$38*($A294-Ft!B$2)^2) +Ft!C$3*EXP(Ft!C$38*($A294-Ft!C$2)^2) + Ft!D$3*EXP(Ft!D$38*($A294-Ft!D$2)^2)+Ft!E$3*EXP(Ft!E$38*($A294-Ft!E$2)^2) +Ft!F$3*EXP(Ft!F$38*($A294-Ft!F$2)^2) + Ft!G$3*EXP(Ft!G$38*($A294-Ft!G$2)^2)</f>
        <v>383642.35474581795</v>
      </c>
      <c r="E294" s="27">
        <f>Ft!B$3*EXP(Ft!B$38*($A294-Ft!B$2)^2)</f>
        <v>-115835.98063103652</v>
      </c>
      <c r="F294" s="27">
        <f>Ft!C$3*EXP(Ft!C$38*($A294-Ft!C$2)^2)</f>
        <v>0</v>
      </c>
      <c r="G294" s="27">
        <f>Ft!D$3*EXP(Ft!D$38*($A294-Ft!D$2)^2)</f>
        <v>498855.61543841468</v>
      </c>
      <c r="H294" s="27">
        <f>Ft!E$3*EXP(Ft!E$38*($A294-Ft!E$2)^2)</f>
        <v>2.8230390295662008E-6</v>
      </c>
      <c r="I294" s="27">
        <f>Ft!F$3*EXP(Ft!F$38*($A294-Ft!F$2)^2)</f>
        <v>622.71993561679346</v>
      </c>
      <c r="J294" s="27">
        <f>Ft!G$3*EXP(Ft!G$38*($A294-Ft!G$2)^2)</f>
        <v>0</v>
      </c>
    </row>
    <row r="295" spans="1:10">
      <c r="A295" s="20">
        <v>293</v>
      </c>
      <c r="B295" s="29">
        <v>47.659015172282437</v>
      </c>
      <c r="C295" s="28">
        <f ca="1">OFFSET($B295,1*(ROWS(C$2:C295)-1),0)</f>
        <v>8.2190457204678466</v>
      </c>
      <c r="D295" s="27">
        <f>Ft!B$3*EXP(Ft!B$38*($A295-Ft!B$2)^2) +Ft!C$3*EXP(Ft!C$38*($A295-Ft!C$2)^2) + Ft!D$3*EXP(Ft!D$38*($A295-Ft!D$2)^2)+Ft!E$3*EXP(Ft!E$38*($A295-Ft!E$2)^2) +Ft!F$3*EXP(Ft!F$38*($A295-Ft!F$2)^2) + Ft!G$3*EXP(Ft!G$38*($A295-Ft!G$2)^2)</f>
        <v>380562.05714260432</v>
      </c>
      <c r="E295" s="27">
        <f>Ft!B$3*EXP(Ft!B$38*($A295-Ft!B$2)^2)</f>
        <v>-115837.22902680055</v>
      </c>
      <c r="F295" s="27">
        <f>Ft!C$3*EXP(Ft!C$38*($A295-Ft!C$2)^2)</f>
        <v>0</v>
      </c>
      <c r="G295" s="27">
        <f>Ft!D$3*EXP(Ft!D$38*($A295-Ft!D$2)^2)</f>
        <v>495809.27461970196</v>
      </c>
      <c r="H295" s="27">
        <f>Ft!E$3*EXP(Ft!E$38*($A295-Ft!E$2)^2)</f>
        <v>2.386158810397394E-6</v>
      </c>
      <c r="I295" s="27">
        <f>Ft!F$3*EXP(Ft!F$38*($A295-Ft!F$2)^2)</f>
        <v>590.01154731675149</v>
      </c>
      <c r="J295" s="27">
        <f>Ft!G$3*EXP(Ft!G$38*($A295-Ft!G$2)^2)</f>
        <v>0</v>
      </c>
    </row>
    <row r="296" spans="1:10">
      <c r="A296" s="20">
        <v>294</v>
      </c>
      <c r="B296" s="29">
        <v>47.727399033613892</v>
      </c>
      <c r="C296" s="28">
        <f ca="1">OFFSET($B296,1*(ROWS(C$2:C296)-1),0)</f>
        <v>8.1148999630058825</v>
      </c>
      <c r="D296" s="27">
        <f>Ft!B$3*EXP(Ft!B$38*($A296-Ft!B$2)^2) +Ft!C$3*EXP(Ft!C$38*($A296-Ft!C$2)^2) + Ft!D$3*EXP(Ft!D$38*($A296-Ft!D$2)^2)+Ft!E$3*EXP(Ft!E$38*($A296-Ft!E$2)^2) +Ft!F$3*EXP(Ft!F$38*($A296-Ft!F$2)^2) + Ft!G$3*EXP(Ft!G$38*($A296-Ft!G$2)^2)</f>
        <v>377443.92323981569</v>
      </c>
      <c r="E296" s="27">
        <f>Ft!B$3*EXP(Ft!B$38*($A296-Ft!B$2)^2)</f>
        <v>-115838.4769005588</v>
      </c>
      <c r="F296" s="27">
        <f>Ft!C$3*EXP(Ft!C$38*($A296-Ft!C$2)^2)</f>
        <v>0</v>
      </c>
      <c r="G296" s="27">
        <f>Ft!D$3*EXP(Ft!D$38*($A296-Ft!D$2)^2)</f>
        <v>492723.52518044016</v>
      </c>
      <c r="H296" s="27">
        <f>Ft!E$3*EXP(Ft!E$38*($A296-Ft!E$2)^2)</f>
        <v>2.0156719850473144E-6</v>
      </c>
      <c r="I296" s="27">
        <f>Ft!F$3*EXP(Ft!F$38*($A296-Ft!F$2)^2)</f>
        <v>558.87495791868173</v>
      </c>
      <c r="J296" s="27">
        <f>Ft!G$3*EXP(Ft!G$38*($A296-Ft!G$2)^2)</f>
        <v>0</v>
      </c>
    </row>
    <row r="297" spans="1:10">
      <c r="A297" s="20">
        <v>295</v>
      </c>
      <c r="B297" s="29">
        <v>47.835509013016917</v>
      </c>
      <c r="C297" s="28">
        <f ca="1">OFFSET($B297,1*(ROWS(C$2:C297)-1),0)</f>
        <v>8.0080245946963373</v>
      </c>
      <c r="D297" s="27">
        <f>Ft!B$3*EXP(Ft!B$38*($A297-Ft!B$2)^2) +Ft!C$3*EXP(Ft!C$38*($A297-Ft!C$2)^2) + Ft!D$3*EXP(Ft!D$38*($A297-Ft!D$2)^2)+Ft!E$3*EXP(Ft!E$38*($A297-Ft!E$2)^2) +Ft!F$3*EXP(Ft!F$38*($A297-Ft!F$2)^2) + Ft!G$3*EXP(Ft!G$38*($A297-Ft!G$2)^2)</f>
        <v>374288.85547752288</v>
      </c>
      <c r="E297" s="27">
        <f>Ft!B$3*EXP(Ft!B$38*($A297-Ft!B$2)^2)</f>
        <v>-115839.72425229411</v>
      </c>
      <c r="F297" s="27">
        <f>Ft!C$3*EXP(Ft!C$38*($A297-Ft!C$2)^2)</f>
        <v>0</v>
      </c>
      <c r="G297" s="27">
        <f>Ft!D$3*EXP(Ft!D$38*($A297-Ft!D$2)^2)</f>
        <v>489599.33665138471</v>
      </c>
      <c r="H297" s="27">
        <f>Ft!E$3*EXP(Ft!E$38*($A297-Ft!E$2)^2)</f>
        <v>1.7016820890249219E-6</v>
      </c>
      <c r="I297" s="27">
        <f>Ft!F$3*EXP(Ft!F$38*($A297-Ft!F$2)^2)</f>
        <v>529.24307673055716</v>
      </c>
      <c r="J297" s="27">
        <f>Ft!G$3*EXP(Ft!G$38*($A297-Ft!G$2)^2)</f>
        <v>0</v>
      </c>
    </row>
    <row r="298" spans="1:10">
      <c r="A298" s="20">
        <v>296</v>
      </c>
      <c r="B298" s="29">
        <v>47.947038208703447</v>
      </c>
      <c r="C298" s="28">
        <f ca="1">OFFSET($B298,1*(ROWS(C$2:C298)-1),0)</f>
        <v>7.8875015152045478</v>
      </c>
      <c r="D298" s="27">
        <f>Ft!B$3*EXP(Ft!B$38*($A298-Ft!B$2)^2) +Ft!C$3*EXP(Ft!C$38*($A298-Ft!C$2)^2) + Ft!D$3*EXP(Ft!D$38*($A298-Ft!D$2)^2)+Ft!E$3*EXP(Ft!E$38*($A298-Ft!E$2)^2) +Ft!F$3*EXP(Ft!F$38*($A298-Ft!F$2)^2) + Ft!G$3*EXP(Ft!G$38*($A298-Ft!G$2)^2)</f>
        <v>371097.76613740274</v>
      </c>
      <c r="E298" s="27">
        <f>Ft!B$3*EXP(Ft!B$38*($A298-Ft!B$2)^2)</f>
        <v>-115840.97108198929</v>
      </c>
      <c r="F298" s="27">
        <f>Ft!C$3*EXP(Ft!C$38*($A298-Ft!C$2)^2)</f>
        <v>0</v>
      </c>
      <c r="G298" s="27">
        <f>Ft!D$3*EXP(Ft!D$38*($A298-Ft!D$2)^2)</f>
        <v>486437.68600536819</v>
      </c>
      <c r="H298" s="27">
        <f>Ft!E$3*EXP(Ft!E$38*($A298-Ft!E$2)^2)</f>
        <v>1.4357375155305619E-6</v>
      </c>
      <c r="I298" s="27">
        <f>Ft!F$3*EXP(Ft!F$38*($A298-Ft!F$2)^2)</f>
        <v>501.05121258811539</v>
      </c>
      <c r="J298" s="27">
        <f>Ft!G$3*EXP(Ft!G$38*($A298-Ft!G$2)^2)</f>
        <v>0</v>
      </c>
    </row>
    <row r="299" spans="1:10">
      <c r="A299" s="20">
        <v>297</v>
      </c>
      <c r="B299" s="29">
        <v>48.02881043605629</v>
      </c>
      <c r="C299" s="28">
        <f ca="1">OFFSET($B299,1*(ROWS(C$2:C299)-1),0)</f>
        <v>7.7665382062700701</v>
      </c>
      <c r="D299" s="27">
        <f>Ft!B$3*EXP(Ft!B$38*($A299-Ft!B$2)^2) +Ft!C$3*EXP(Ft!C$38*($A299-Ft!C$2)^2) + Ft!D$3*EXP(Ft!D$38*($A299-Ft!D$2)^2)+Ft!E$3*EXP(Ft!E$38*($A299-Ft!E$2)^2) +Ft!F$3*EXP(Ft!F$38*($A299-Ft!F$2)^2) + Ft!G$3*EXP(Ft!G$38*($A299-Ft!G$2)^2)</f>
        <v>367871.57677562966</v>
      </c>
      <c r="E299" s="27">
        <f>Ft!B$3*EXP(Ft!B$38*($A299-Ft!B$2)^2)</f>
        <v>-115842.21738962726</v>
      </c>
      <c r="F299" s="27">
        <f>Ft!C$3*EXP(Ft!C$38*($A299-Ft!C$2)^2)</f>
        <v>0</v>
      </c>
      <c r="G299" s="27">
        <f>Ft!D$3*EXP(Ft!D$38*($A299-Ft!D$2)^2)</f>
        <v>483239.55715154047</v>
      </c>
      <c r="H299" s="27">
        <f>Ft!E$3*EXP(Ft!E$38*($A299-Ft!E$2)^2)</f>
        <v>1.2106252346687363E-6</v>
      </c>
      <c r="I299" s="27">
        <f>Ft!F$3*EXP(Ft!F$38*($A299-Ft!F$2)^2)</f>
        <v>474.23701250580882</v>
      </c>
      <c r="J299" s="27">
        <f>Ft!G$3*EXP(Ft!G$38*($A299-Ft!G$2)^2)</f>
        <v>0</v>
      </c>
    </row>
    <row r="300" spans="1:10">
      <c r="A300" s="20">
        <v>298</v>
      </c>
      <c r="B300" s="29">
        <v>48.10180977345297</v>
      </c>
      <c r="C300" s="28">
        <f ca="1">OFFSET($B300,1*(ROWS(C$2:C300)-1),0)</f>
        <v>7.5748915398404222</v>
      </c>
      <c r="D300" s="27">
        <f>Ft!B$3*EXP(Ft!B$38*($A300-Ft!B$2)^2) +Ft!C$3*EXP(Ft!C$38*($A300-Ft!C$2)^2) + Ft!D$3*EXP(Ft!D$38*($A300-Ft!D$2)^2)+Ft!E$3*EXP(Ft!E$38*($A300-Ft!E$2)^2) +Ft!F$3*EXP(Ft!F$38*($A300-Ft!F$2)^2) + Ft!G$3*EXP(Ft!G$38*($A300-Ft!G$2)^2)</f>
        <v>364611.21765521739</v>
      </c>
      <c r="E300" s="27">
        <f>Ft!B$3*EXP(Ft!B$38*($A300-Ft!B$2)^2)</f>
        <v>-115843.46317519083</v>
      </c>
      <c r="F300" s="27">
        <f>Ft!C$3*EXP(Ft!C$38*($A300-Ft!C$2)^2)</f>
        <v>0</v>
      </c>
      <c r="G300" s="27">
        <f>Ft!D$3*EXP(Ft!D$38*($A300-Ft!D$2)^2)</f>
        <v>480005.94042877568</v>
      </c>
      <c r="H300" s="27">
        <f>Ft!E$3*EXP(Ft!E$38*($A300-Ft!E$2)^2)</f>
        <v>1.0201932571938524E-6</v>
      </c>
      <c r="I300" s="27">
        <f>Ft!F$3*EXP(Ft!F$38*($A300-Ft!F$2)^2)</f>
        <v>448.74040061235752</v>
      </c>
      <c r="J300" s="27">
        <f>Ft!G$3*EXP(Ft!G$38*($A300-Ft!G$2)^2)</f>
        <v>0</v>
      </c>
    </row>
    <row r="301" spans="1:10">
      <c r="A301" s="20">
        <v>299</v>
      </c>
      <c r="B301" s="29">
        <v>48.157371816330283</v>
      </c>
      <c r="C301" s="28">
        <f ca="1">OFFSET($B301,1*(ROWS(C$2:C301)-1),0)</f>
        <v>7.3814340263830331</v>
      </c>
      <c r="D301" s="27">
        <f>Ft!B$3*EXP(Ft!B$38*($A301-Ft!B$2)^2) +Ft!C$3*EXP(Ft!C$38*($A301-Ft!C$2)^2) + Ft!D$3*EXP(Ft!D$38*($A301-Ft!D$2)^2)+Ft!E$3*EXP(Ft!E$38*($A301-Ft!E$2)^2) +Ft!F$3*EXP(Ft!F$38*($A301-Ft!F$2)^2) + Ft!G$3*EXP(Ft!G$38*($A301-Ft!G$2)^2)</f>
        <v>361317.62717825297</v>
      </c>
      <c r="E301" s="27">
        <f>Ft!B$3*EXP(Ft!B$38*($A301-Ft!B$2)^2)</f>
        <v>-115844.70843866286</v>
      </c>
      <c r="F301" s="27">
        <f>Ft!C$3*EXP(Ft!C$38*($A301-Ft!C$2)^2)</f>
        <v>0</v>
      </c>
      <c r="G301" s="27">
        <f>Ft!D$3*EXP(Ft!D$38*($A301-Ft!D$2)^2)</f>
        <v>476737.83209860767</v>
      </c>
      <c r="H301" s="27">
        <f>Ft!E$3*EXP(Ft!E$38*($A301-Ft!E$2)^2)</f>
        <v>8.5919794223330063E-7</v>
      </c>
      <c r="I301" s="27">
        <f>Ft!F$3*EXP(Ft!F$38*($A301-Ft!F$2)^2)</f>
        <v>424.50351744898313</v>
      </c>
      <c r="J301" s="27">
        <f>Ft!G$3*EXP(Ft!G$38*($A301-Ft!G$2)^2)</f>
        <v>0</v>
      </c>
    </row>
    <row r="302" spans="1:10">
      <c r="A302" s="20">
        <v>300</v>
      </c>
      <c r="B302" s="29">
        <v>48.226219882416245</v>
      </c>
      <c r="C302" s="28">
        <f ca="1">OFFSET($B302,1*(ROWS(C$2:C302)-1),0)</f>
        <v>7.1614522016893147</v>
      </c>
      <c r="D302" s="27">
        <f>Ft!B$3*EXP(Ft!B$38*($A302-Ft!B$2)^2) +Ft!C$3*EXP(Ft!C$38*($A302-Ft!C$2)^2) + Ft!D$3*EXP(Ft!D$38*($A302-Ft!D$2)^2)+Ft!E$3*EXP(Ft!E$38*($A302-Ft!E$2)^2) +Ft!F$3*EXP(Ft!F$38*($A302-Ft!F$2)^2) + Ft!G$3*EXP(Ft!G$38*($A302-Ft!G$2)^2)</f>
        <v>357991.7513184548</v>
      </c>
      <c r="E302" s="27">
        <f>Ft!B$3*EXP(Ft!B$38*($A302-Ft!B$2)^2)</f>
        <v>-115845.95318002626</v>
      </c>
      <c r="F302" s="27">
        <f>Ft!C$3*EXP(Ft!C$38*($A302-Ft!C$2)^2)</f>
        <v>0</v>
      </c>
      <c r="G302" s="27">
        <f>Ft!D$3*EXP(Ft!D$38*($A302-Ft!D$2)^2)</f>
        <v>473436.23383805429</v>
      </c>
      <c r="H302" s="27">
        <f>Ft!E$3*EXP(Ft!E$38*($A302-Ft!E$2)^2)</f>
        <v>7.2317276243887561E-7</v>
      </c>
      <c r="I302" s="27">
        <f>Ft!F$3*EXP(Ft!F$38*($A302-Ft!F$2)^2)</f>
        <v>401.47065970358364</v>
      </c>
      <c r="J302" s="27">
        <f>Ft!G$3*EXP(Ft!G$38*($A302-Ft!G$2)^2)</f>
        <v>0</v>
      </c>
    </row>
    <row r="303" spans="1:10">
      <c r="A303" s="20">
        <v>301</v>
      </c>
      <c r="B303" s="29">
        <v>48.292257834274039</v>
      </c>
      <c r="C303" s="28">
        <f ca="1">OFFSET($B303,1*(ROWS(C$2:C303)-1),0)</f>
        <v>6.8944704357864453</v>
      </c>
      <c r="D303" s="27">
        <f>Ft!B$3*EXP(Ft!B$38*($A303-Ft!B$2)^2) +Ft!C$3*EXP(Ft!C$38*($A303-Ft!C$2)^2) + Ft!D$3*EXP(Ft!D$38*($A303-Ft!D$2)^2)+Ft!E$3*EXP(Ft!E$38*($A303-Ft!E$2)^2) +Ft!F$3*EXP(Ft!F$38*($A303-Ft!F$2)^2) + Ft!G$3*EXP(Ft!G$38*($A303-Ft!G$2)^2)</f>
        <v>354634.54305448261</v>
      </c>
      <c r="E303" s="27">
        <f>Ft!B$3*EXP(Ft!B$38*($A303-Ft!B$2)^2)</f>
        <v>-115847.1973992639</v>
      </c>
      <c r="F303" s="27">
        <f>Ft!C$3*EXP(Ft!C$38*($A303-Ft!C$2)^2)</f>
        <v>0</v>
      </c>
      <c r="G303" s="27">
        <f>Ft!D$3*EXP(Ft!D$38*($A303-Ft!D$2)^2)</f>
        <v>470102.15223268879</v>
      </c>
      <c r="H303" s="27">
        <f>Ft!E$3*EXP(Ft!E$38*($A303-Ft!E$2)^2)</f>
        <v>6.0831558847238188E-7</v>
      </c>
      <c r="I303" s="27">
        <f>Ft!F$3*EXP(Ft!F$38*($A303-Ft!F$2)^2)</f>
        <v>379.58822044941383</v>
      </c>
      <c r="J303" s="27">
        <f>Ft!G$3*EXP(Ft!G$38*($A303-Ft!G$2)^2)</f>
        <v>0</v>
      </c>
    </row>
    <row r="304" spans="1:10">
      <c r="A304" s="20">
        <v>302</v>
      </c>
      <c r="B304" s="29">
        <v>48.338221628167645</v>
      </c>
      <c r="C304" s="28">
        <f ca="1">OFFSET($B304,1*(ROWS(C$2:C304)-1),0)</f>
        <v>6.6404165064416816</v>
      </c>
      <c r="D304" s="27">
        <f>Ft!B$3*EXP(Ft!B$38*($A304-Ft!B$2)^2) +Ft!C$3*EXP(Ft!C$38*($A304-Ft!C$2)^2) + Ft!D$3*EXP(Ft!D$38*($A304-Ft!D$2)^2)+Ft!E$3*EXP(Ft!E$38*($A304-Ft!E$2)^2) +Ft!F$3*EXP(Ft!F$38*($A304-Ft!F$2)^2) + Ft!G$3*EXP(Ft!G$38*($A304-Ft!G$2)^2)</f>
        <v>351246.96180441714</v>
      </c>
      <c r="E304" s="27">
        <f>Ft!B$3*EXP(Ft!B$38*($A304-Ft!B$2)^2)</f>
        <v>-115848.44109635867</v>
      </c>
      <c r="F304" s="27">
        <f>Ft!C$3*EXP(Ft!C$38*($A304-Ft!C$2)^2)</f>
        <v>0</v>
      </c>
      <c r="G304" s="27">
        <f>Ft!D$3*EXP(Ft!D$38*($A304-Ft!D$2)^2)</f>
        <v>466736.59827031213</v>
      </c>
      <c r="H304" s="27">
        <f>Ft!E$3*EXP(Ft!E$38*($A304-Ft!E$2)^2)</f>
        <v>5.1139194568987783E-7</v>
      </c>
      <c r="I304" s="27">
        <f>Ft!F$3*EXP(Ft!F$38*($A304-Ft!F$2)^2)</f>
        <v>358.80462995224218</v>
      </c>
      <c r="J304" s="27">
        <f>Ft!G$3*EXP(Ft!G$38*($A304-Ft!G$2)^2)</f>
        <v>0</v>
      </c>
    </row>
    <row r="305" spans="1:10">
      <c r="A305" s="20">
        <v>303</v>
      </c>
      <c r="B305" s="29">
        <v>48.323014388127916</v>
      </c>
      <c r="C305" s="28">
        <f ca="1">OFFSET($B305,1*(ROWS(C$2:C305)-1),0)</f>
        <v>6.3676882512875181</v>
      </c>
      <c r="D305" s="27">
        <f>Ft!B$3*EXP(Ft!B$38*($A305-Ft!B$2)^2) +Ft!C$3*EXP(Ft!C$38*($A305-Ft!C$2)^2) + Ft!D$3*EXP(Ft!D$38*($A305-Ft!D$2)^2)+Ft!E$3*EXP(Ft!E$38*($A305-Ft!E$2)^2) +Ft!F$3*EXP(Ft!F$38*($A305-Ft!F$2)^2) + Ft!G$3*EXP(Ft!G$38*($A305-Ft!G$2)^2)</f>
        <v>347829.97286182141</v>
      </c>
      <c r="E305" s="27">
        <f>Ft!B$3*EXP(Ft!B$38*($A305-Ft!B$2)^2)</f>
        <v>-115849.68427129346</v>
      </c>
      <c r="F305" s="27">
        <f>Ft!C$3*EXP(Ft!C$38*($A305-Ft!C$2)^2)</f>
        <v>0</v>
      </c>
      <c r="G305" s="27">
        <f>Ft!D$3*EXP(Ft!D$38*($A305-Ft!D$2)^2)</f>
        <v>463340.58683557977</v>
      </c>
      <c r="H305" s="27">
        <f>Ft!E$3*EXP(Ft!E$38*($A305-Ft!E$2)^2)</f>
        <v>4.2965203645696428E-7</v>
      </c>
      <c r="I305" s="27">
        <f>Ft!F$3*EXP(Ft!F$38*($A305-Ft!F$2)^2)</f>
        <v>339.07029710546601</v>
      </c>
      <c r="J305" s="27">
        <f>Ft!G$3*EXP(Ft!G$38*($A305-Ft!G$2)^2)</f>
        <v>0</v>
      </c>
    </row>
    <row r="306" spans="1:10">
      <c r="A306" s="20">
        <v>304</v>
      </c>
      <c r="B306" s="29">
        <v>48.305268424173534</v>
      </c>
      <c r="C306" s="28">
        <f ca="1">OFFSET($B306,1*(ROWS(C$2:C306)-1),0)</f>
        <v>6.0931337613878611</v>
      </c>
      <c r="D306" s="27">
        <f>Ft!B$3*EXP(Ft!B$38*($A306-Ft!B$2)^2) +Ft!C$3*EXP(Ft!C$38*($A306-Ft!C$2)^2) + Ft!D$3*EXP(Ft!D$38*($A306-Ft!D$2)^2)+Ft!E$3*EXP(Ft!E$38*($A306-Ft!E$2)^2) +Ft!F$3*EXP(Ft!F$38*($A306-Ft!F$2)^2) + Ft!G$3*EXP(Ft!G$38*($A306-Ft!G$2)^2)</f>
        <v>344384.54683378903</v>
      </c>
      <c r="E306" s="27">
        <f>Ft!B$3*EXP(Ft!B$38*($A306-Ft!B$2)^2)</f>
        <v>-115850.92692405118</v>
      </c>
      <c r="F306" s="27">
        <f>Ft!C$3*EXP(Ft!C$38*($A306-Ft!C$2)^2)</f>
        <v>0</v>
      </c>
      <c r="G306" s="27">
        <f>Ft!D$3*EXP(Ft!D$38*($A306-Ft!D$2)^2)</f>
        <v>459915.13620593114</v>
      </c>
      <c r="H306" s="27">
        <f>Ft!E$3*EXP(Ft!E$38*($A306-Ft!E$2)^2)</f>
        <v>3.6075961797049985E-7</v>
      </c>
      <c r="I306" s="27">
        <f>Ft!F$3*EXP(Ft!F$38*($A306-Ft!F$2)^2)</f>
        <v>320.33755154833909</v>
      </c>
      <c r="J306" s="27">
        <f>Ft!G$3*EXP(Ft!G$38*($A306-Ft!G$2)^2)</f>
        <v>0</v>
      </c>
    </row>
    <row r="307" spans="1:10">
      <c r="A307" s="20">
        <v>305</v>
      </c>
      <c r="B307" s="29">
        <v>48.284450351471776</v>
      </c>
      <c r="C307" s="28">
        <f ca="1">OFFSET($B307,1*(ROWS(C$2:C307)-1),0)</f>
        <v>5.7872068303655908</v>
      </c>
      <c r="D307" s="27">
        <f>Ft!B$3*EXP(Ft!B$38*($A307-Ft!B$2)^2) +Ft!C$3*EXP(Ft!C$38*($A307-Ft!C$2)^2) + Ft!D$3*EXP(Ft!D$38*($A307-Ft!D$2)^2)+Ft!E$3*EXP(Ft!E$38*($A307-Ft!E$2)^2) +Ft!F$3*EXP(Ft!F$38*($A307-Ft!F$2)^2) + Ft!G$3*EXP(Ft!G$38*($A307-Ft!G$2)^2)</f>
        <v>340911.65908137365</v>
      </c>
      <c r="E307" s="27">
        <f>Ft!B$3*EXP(Ft!B$38*($A307-Ft!B$2)^2)</f>
        <v>-115852.16905461474</v>
      </c>
      <c r="F307" s="27">
        <f>Ft!C$3*EXP(Ft!C$38*($A307-Ft!C$2)^2)</f>
        <v>0</v>
      </c>
      <c r="G307" s="27">
        <f>Ft!D$3*EXP(Ft!D$38*($A307-Ft!D$2)^2)</f>
        <v>456461.26754916745</v>
      </c>
      <c r="H307" s="27">
        <f>Ft!E$3*EXP(Ft!E$38*($A307-Ft!E$2)^2)</f>
        <v>3.0273108329664764E-7</v>
      </c>
      <c r="I307" s="27">
        <f>Ft!F$3*EXP(Ft!F$38*($A307-Ft!F$2)^2)</f>
        <v>302.56058651821104</v>
      </c>
      <c r="J307" s="27">
        <f>Ft!G$3*EXP(Ft!G$38*($A307-Ft!G$2)^2)</f>
        <v>0</v>
      </c>
    </row>
    <row r="308" spans="1:10">
      <c r="A308" s="20">
        <v>306</v>
      </c>
      <c r="B308" s="29">
        <v>48.288242600902038</v>
      </c>
      <c r="C308" s="28">
        <f ca="1">OFFSET($B308,1*(ROWS(C$2:C308)-1),0)</f>
        <v>5.4743202600646157</v>
      </c>
      <c r="D308" s="27">
        <f>Ft!B$3*EXP(Ft!B$38*($A308-Ft!B$2)^2) +Ft!C$3*EXP(Ft!C$38*($A308-Ft!C$2)^2) + Ft!D$3*EXP(Ft!D$38*($A308-Ft!D$2)^2)+Ft!E$3*EXP(Ft!E$38*($A308-Ft!E$2)^2) +Ft!F$3*EXP(Ft!F$38*($A308-Ft!F$2)^2) + Ft!G$3*EXP(Ft!G$38*($A308-Ft!G$2)^2)</f>
        <v>337412.28916278982</v>
      </c>
      <c r="E308" s="27">
        <f>Ft!B$3*EXP(Ft!B$38*($A308-Ft!B$2)^2)</f>
        <v>-115853.41066296704</v>
      </c>
      <c r="F308" s="27">
        <f>Ft!C$3*EXP(Ft!C$38*($A308-Ft!C$2)^2)</f>
        <v>0</v>
      </c>
      <c r="G308" s="27">
        <f>Ft!D$3*EXP(Ft!D$38*($A308-Ft!D$2)^2)</f>
        <v>452980.00442301942</v>
      </c>
      <c r="H308" s="27">
        <f>Ft!E$3*EXP(Ft!E$38*($A308-Ft!E$2)^2)</f>
        <v>2.5388331741721016E-7</v>
      </c>
      <c r="I308" s="27">
        <f>Ft!F$3*EXP(Ft!F$38*($A308-Ft!F$2)^2)</f>
        <v>285.69540248360062</v>
      </c>
      <c r="J308" s="27">
        <f>Ft!G$3*EXP(Ft!G$38*($A308-Ft!G$2)^2)</f>
        <v>0</v>
      </c>
    </row>
    <row r="309" spans="1:10">
      <c r="A309" s="20">
        <v>307</v>
      </c>
      <c r="B309" s="29">
        <v>48.279102920564469</v>
      </c>
      <c r="C309" s="28">
        <f ca="1">OFFSET($B309,1*(ROWS(C$2:C309)-1),0)</f>
        <v>5.0960320213044952</v>
      </c>
      <c r="D309" s="27">
        <f>Ft!B$3*EXP(Ft!B$38*($A309-Ft!B$2)^2) +Ft!C$3*EXP(Ft!C$38*($A309-Ft!C$2)^2) + Ft!D$3*EXP(Ft!D$38*($A309-Ft!D$2)^2)+Ft!E$3*EXP(Ft!E$38*($A309-Ft!E$2)^2) +Ft!F$3*EXP(Ft!F$38*($A309-Ft!F$2)^2) + Ft!G$3*EXP(Ft!G$38*($A309-Ft!G$2)^2)</f>
        <v>333887.42027976451</v>
      </c>
      <c r="E309" s="27">
        <f>Ft!B$3*EXP(Ft!B$38*($A309-Ft!B$2)^2)</f>
        <v>-115854.65174909105</v>
      </c>
      <c r="F309" s="27">
        <f>Ft!C$3*EXP(Ft!C$38*($A309-Ft!C$2)^2)</f>
        <v>0</v>
      </c>
      <c r="G309" s="27">
        <f>Ft!D$3*EXP(Ft!D$38*($A309-Ft!D$2)^2)</f>
        <v>449472.37227704184</v>
      </c>
      <c r="H309" s="27">
        <f>Ft!E$3*EXP(Ft!E$38*($A309-Ft!E$2)^2)</f>
        <v>2.1278909467392613E-7</v>
      </c>
      <c r="I309" s="27">
        <f>Ft!F$3*EXP(Ft!F$38*($A309-Ft!F$2)^2)</f>
        <v>269.69975160094128</v>
      </c>
      <c r="J309" s="27">
        <f>Ft!G$3*EXP(Ft!G$38*($A309-Ft!G$2)^2)</f>
        <v>0</v>
      </c>
    </row>
    <row r="310" spans="1:10">
      <c r="A310" s="20">
        <v>308</v>
      </c>
      <c r="B310" s="29">
        <v>48.277677120078778</v>
      </c>
      <c r="C310" s="28">
        <f ca="1">OFFSET($B310,1*(ROWS(C$2:C310)-1),0)</f>
        <v>4.755012261594743</v>
      </c>
      <c r="D310" s="27">
        <f>Ft!B$3*EXP(Ft!B$38*($A310-Ft!B$2)^2) +Ft!C$3*EXP(Ft!C$38*($A310-Ft!C$2)^2) + Ft!D$3*EXP(Ft!D$38*($A310-Ft!D$2)^2)+Ft!E$3*EXP(Ft!E$38*($A310-Ft!E$2)^2) +Ft!F$3*EXP(Ft!F$38*($A310-Ft!F$2)^2) + Ft!G$3*EXP(Ft!G$38*($A310-Ft!G$2)^2)</f>
        <v>330338.03872741212</v>
      </c>
      <c r="E310" s="27">
        <f>Ft!B$3*EXP(Ft!B$38*($A310-Ft!B$2)^2)</f>
        <v>-115855.89231296965</v>
      </c>
      <c r="F310" s="27">
        <f>Ft!C$3*EXP(Ft!C$38*($A310-Ft!C$2)^2)</f>
        <v>0</v>
      </c>
      <c r="G310" s="27">
        <f>Ft!D$3*EXP(Ft!D$38*($A310-Ft!D$2)^2)</f>
        <v>445939.39795716957</v>
      </c>
      <c r="H310" s="27">
        <f>Ft!E$3*EXP(Ft!E$38*($A310-Ft!E$2)^2)</f>
        <v>1.78238952863839E-7</v>
      </c>
      <c r="I310" s="27">
        <f>Ft!F$3*EXP(Ft!F$38*($A310-Ft!F$2)^2)</f>
        <v>254.53308303400627</v>
      </c>
      <c r="J310" s="27">
        <f>Ft!G$3*EXP(Ft!G$38*($A310-Ft!G$2)^2)</f>
        <v>0</v>
      </c>
    </row>
    <row r="311" spans="1:10">
      <c r="A311" s="20">
        <v>309</v>
      </c>
      <c r="B311" s="29">
        <v>48.272871020068692</v>
      </c>
      <c r="C311" s="28">
        <f ca="1">OFFSET($B311,1*(ROWS(C$2:C311)-1),0)</f>
        <v>4.4290079885812474</v>
      </c>
      <c r="D311" s="27">
        <f>Ft!B$3*EXP(Ft!B$38*($A311-Ft!B$2)^2) +Ft!C$3*EXP(Ft!C$38*($A311-Ft!C$2)^2) + Ft!D$3*EXP(Ft!D$38*($A311-Ft!D$2)^2)+Ft!E$3*EXP(Ft!E$38*($A311-Ft!E$2)^2) +Ft!F$3*EXP(Ft!F$38*($A311-Ft!F$2)^2) + Ft!G$3*EXP(Ft!G$38*($A311-Ft!G$2)^2)</f>
        <v>326765.1333479954</v>
      </c>
      <c r="E311" s="27">
        <f>Ft!B$3*EXP(Ft!B$38*($A311-Ft!B$2)^2)</f>
        <v>-115857.13235458582</v>
      </c>
      <c r="F311" s="27">
        <f>Ft!C$3*EXP(Ft!C$38*($A311-Ft!C$2)^2)</f>
        <v>0</v>
      </c>
      <c r="G311" s="27">
        <f>Ft!D$3*EXP(Ft!D$38*($A311-Ft!D$2)^2)</f>
        <v>442382.1092132607</v>
      </c>
      <c r="H311" s="27">
        <f>Ft!E$3*EXP(Ft!E$38*($A311-Ft!E$2)^2)</f>
        <v>1.4920862565898037E-7</v>
      </c>
      <c r="I311" s="27">
        <f>Ft!F$3*EXP(Ft!F$38*($A311-Ft!F$2)^2)</f>
        <v>240.15648917131094</v>
      </c>
      <c r="J311" s="27">
        <f>Ft!G$3*EXP(Ft!G$38*($A311-Ft!G$2)^2)</f>
        <v>0</v>
      </c>
    </row>
    <row r="312" spans="1:10">
      <c r="A312" s="20">
        <v>310</v>
      </c>
      <c r="B312" s="29">
        <v>48.289875596066395</v>
      </c>
      <c r="C312" s="28">
        <f ca="1">OFFSET($B312,1*(ROWS(C$2:C312)-1),0)</f>
        <v>4.143488832414107</v>
      </c>
      <c r="D312" s="27">
        <f>Ft!B$3*EXP(Ft!B$38*($A312-Ft!B$2)^2) +Ft!C$3*EXP(Ft!C$38*($A312-Ft!C$2)^2) + Ft!D$3*EXP(Ft!D$38*($A312-Ft!D$2)^2)+Ft!E$3*EXP(Ft!E$38*($A312-Ft!E$2)^2) +Ft!F$3*EXP(Ft!F$38*($A312-Ft!F$2)^2) + Ft!G$3*EXP(Ft!G$38*($A312-Ft!G$2)^2)</f>
        <v>323169.69498892815</v>
      </c>
      <c r="E312" s="27">
        <f>Ft!B$3*EXP(Ft!B$38*($A312-Ft!B$2)^2)</f>
        <v>-115858.37187392246</v>
      </c>
      <c r="F312" s="27">
        <f>Ft!C$3*EXP(Ft!C$38*($A312-Ft!C$2)^2)</f>
        <v>0</v>
      </c>
      <c r="G312" s="27">
        <f>Ft!D$3*EXP(Ft!D$38*($A312-Ft!D$2)^2)</f>
        <v>438801.53420995252</v>
      </c>
      <c r="H312" s="27">
        <f>Ft!E$3*EXP(Ft!E$38*($A312-Ft!E$2)^2)</f>
        <v>1.2483124188630056E-7</v>
      </c>
      <c r="I312" s="27">
        <f>Ft!F$3*EXP(Ft!F$38*($A312-Ft!F$2)^2)</f>
        <v>226.5326527732328</v>
      </c>
      <c r="J312" s="27">
        <f>Ft!G$3*EXP(Ft!G$38*($A312-Ft!G$2)^2)</f>
        <v>0</v>
      </c>
    </row>
    <row r="313" spans="1:10">
      <c r="A313" s="20">
        <v>311</v>
      </c>
      <c r="B313" s="29">
        <v>48.27411620300731</v>
      </c>
      <c r="C313" s="28">
        <f ca="1">OFFSET($B313,1*(ROWS(C$2:C313)-1),0)</f>
        <v>3.7753173940984937</v>
      </c>
      <c r="D313" s="27">
        <f>Ft!B$3*EXP(Ft!B$38*($A313-Ft!B$2)^2) +Ft!C$3*EXP(Ft!C$38*($A313-Ft!C$2)^2) + Ft!D$3*EXP(Ft!D$38*($A313-Ft!D$2)^2)+Ft!E$3*EXP(Ft!E$38*($A313-Ft!E$2)^2) +Ft!F$3*EXP(Ft!F$38*($A313-Ft!F$2)^2) + Ft!G$3*EXP(Ft!G$38*($A313-Ft!G$2)^2)</f>
        <v>319552.71596536651</v>
      </c>
      <c r="E313" s="27">
        <f>Ft!B$3*EXP(Ft!B$38*($A313-Ft!B$2)^2)</f>
        <v>-115859.61087096257</v>
      </c>
      <c r="F313" s="27">
        <f>Ft!C$3*EXP(Ft!C$38*($A313-Ft!C$2)^2)</f>
        <v>0</v>
      </c>
      <c r="G313" s="27">
        <f>Ft!D$3*EXP(Ft!D$38*($A313-Ft!D$2)^2)</f>
        <v>435198.70104114758</v>
      </c>
      <c r="H313" s="27">
        <f>Ft!E$3*EXP(Ft!E$38*($A313-Ft!E$2)^2)</f>
        <v>1.0437361003771842E-7</v>
      </c>
      <c r="I313" s="27">
        <f>Ft!F$3*EXP(Ft!F$38*($A313-Ft!F$2)^2)</f>
        <v>213.62579507713784</v>
      </c>
      <c r="J313" s="27">
        <f>Ft!G$3*EXP(Ft!G$38*($A313-Ft!G$2)^2)</f>
        <v>0</v>
      </c>
    </row>
    <row r="314" spans="1:10">
      <c r="A314" s="20">
        <v>312</v>
      </c>
      <c r="B314" s="29">
        <v>48.272978543089778</v>
      </c>
      <c r="C314" s="28">
        <f ca="1">OFFSET($B314,1*(ROWS(C$2:C314)-1),0)</f>
        <v>3.4020476343703194</v>
      </c>
      <c r="D314" s="27">
        <f>Ft!B$3*EXP(Ft!B$38*($A314-Ft!B$2)^2) +Ft!C$3*EXP(Ft!C$38*($A314-Ft!C$2)^2) + Ft!D$3*EXP(Ft!D$38*($A314-Ft!D$2)^2)+Ft!E$3*EXP(Ft!E$38*($A314-Ft!E$2)^2) +Ft!F$3*EXP(Ft!F$38*($A314-Ft!F$2)^2) + Ft!G$3*EXP(Ft!G$38*($A314-Ft!G$2)^2)</f>
        <v>315915.18952772557</v>
      </c>
      <c r="E314" s="27">
        <f>Ft!B$3*EXP(Ft!B$38*($A314-Ft!B$2)^2)</f>
        <v>-115860.84934568909</v>
      </c>
      <c r="F314" s="27">
        <f>Ft!C$3*EXP(Ft!C$38*($A314-Ft!C$2)^2)</f>
        <v>0</v>
      </c>
      <c r="G314" s="27">
        <f>Ft!D$3*EXP(Ft!D$38*($A314-Ft!D$2)^2)</f>
        <v>431574.63724844193</v>
      </c>
      <c r="H314" s="27">
        <f>Ft!E$3*EXP(Ft!E$38*($A314-Ft!E$2)^2)</f>
        <v>8.7216001398747968E-8</v>
      </c>
      <c r="I314" s="27">
        <f>Ft!F$3*EXP(Ft!F$38*($A314-Ft!F$2)^2)</f>
        <v>201.40162488552048</v>
      </c>
      <c r="J314" s="27">
        <f>Ft!G$3*EXP(Ft!G$38*($A314-Ft!G$2)^2)</f>
        <v>0</v>
      </c>
    </row>
    <row r="315" spans="1:10">
      <c r="A315" s="20">
        <v>313</v>
      </c>
      <c r="B315" s="29">
        <v>48.285653082453535</v>
      </c>
      <c r="C315" s="28">
        <f ca="1">OFFSET($B315,1*(ROWS(C$2:C315)-1),0)</f>
        <v>3.101959773675361</v>
      </c>
      <c r="D315" s="27">
        <f>Ft!B$3*EXP(Ft!B$38*($A315-Ft!B$2)^2) +Ft!C$3*EXP(Ft!C$38*($A315-Ft!C$2)^2) + Ft!D$3*EXP(Ft!D$38*($A315-Ft!D$2)^2)+Ft!E$3*EXP(Ft!E$38*($A315-Ft!E$2)^2) +Ft!F$3*EXP(Ft!F$38*($A315-Ft!F$2)^2) + Ft!G$3*EXP(Ft!G$38*($A315-Ft!G$2)^2)</f>
        <v>312258.10933444969</v>
      </c>
      <c r="E315" s="27">
        <f>Ft!B$3*EXP(Ft!B$38*($A315-Ft!B$2)^2)</f>
        <v>-115862.08729808498</v>
      </c>
      <c r="F315" s="27">
        <f>Ft!C$3*EXP(Ft!C$38*($A315-Ft!C$2)^2)</f>
        <v>0</v>
      </c>
      <c r="G315" s="27">
        <f>Ft!D$3*EXP(Ft!D$38*($A315-Ft!D$2)^2)</f>
        <v>427930.36934380286</v>
      </c>
      <c r="H315" s="27">
        <f>Ft!E$3*EXP(Ft!E$38*($A315-Ft!E$2)^2)</f>
        <v>7.2834927323579903E-8</v>
      </c>
      <c r="I315" s="27">
        <f>Ft!F$3*EXP(Ft!F$38*($A315-Ft!F$2)^2)</f>
        <v>189.82728865899213</v>
      </c>
      <c r="J315" s="27">
        <f>Ft!G$3*EXP(Ft!G$38*($A315-Ft!G$2)^2)</f>
        <v>0</v>
      </c>
    </row>
    <row r="316" spans="1:10">
      <c r="A316" s="20">
        <v>314</v>
      </c>
      <c r="B316" s="29">
        <v>48.293325054205866</v>
      </c>
      <c r="C316" s="28">
        <f ca="1">OFFSET($B316,1*(ROWS(C$2:C316)-1),0)</f>
        <v>2.8482086619251277</v>
      </c>
      <c r="D316" s="27">
        <f>Ft!B$3*EXP(Ft!B$38*($A316-Ft!B$2)^2) +Ft!C$3*EXP(Ft!C$38*($A316-Ft!C$2)^2) + Ft!D$3*EXP(Ft!D$38*($A316-Ft!D$2)^2)+Ft!E$3*EXP(Ft!E$38*($A316-Ft!E$2)^2) +Ft!F$3*EXP(Ft!F$38*($A316-Ft!F$2)^2) + Ft!G$3*EXP(Ft!G$38*($A316-Ft!G$2)^2)</f>
        <v>308582.46893035772</v>
      </c>
      <c r="E316" s="27">
        <f>Ft!B$3*EXP(Ft!B$38*($A316-Ft!B$2)^2)</f>
        <v>-115863.32472813323</v>
      </c>
      <c r="F316" s="27">
        <f>Ft!C$3*EXP(Ft!C$38*($A316-Ft!C$2)^2)</f>
        <v>0</v>
      </c>
      <c r="G316" s="27">
        <f>Ft!D$3*EXP(Ft!D$38*($A316-Ft!D$2)^2)</f>
        <v>424266.92233679723</v>
      </c>
      <c r="H316" s="27">
        <f>Ft!E$3*EXP(Ft!E$38*($A316-Ft!E$2)^2)</f>
        <v>6.078847713667517E-8</v>
      </c>
      <c r="I316" s="27">
        <f>Ft!F$3*EXP(Ft!F$38*($A316-Ft!F$2)^2)</f>
        <v>178.87132163292523</v>
      </c>
      <c r="J316" s="27">
        <f>Ft!G$3*EXP(Ft!G$38*($A316-Ft!G$2)^2)</f>
        <v>0</v>
      </c>
    </row>
    <row r="317" spans="1:10">
      <c r="A317" s="20">
        <v>315</v>
      </c>
      <c r="B317" s="29">
        <v>48.272801797548652</v>
      </c>
      <c r="C317" s="28">
        <f ca="1">OFFSET($B317,1*(ROWS(C$2:C317)-1),0)</f>
        <v>2.5800705780271471</v>
      </c>
      <c r="D317" s="27">
        <f>Ft!B$3*EXP(Ft!B$38*($A317-Ft!B$2)^2) +Ft!C$3*EXP(Ft!C$38*($A317-Ft!C$2)^2) + Ft!D$3*EXP(Ft!D$38*($A317-Ft!D$2)^2)+Ft!E$3*EXP(Ft!E$38*($A317-Ft!E$2)^2) +Ft!F$3*EXP(Ft!F$38*($A317-Ft!F$2)^2) + Ft!G$3*EXP(Ft!G$38*($A317-Ft!G$2)^2)</f>
        <v>304889.2612308723</v>
      </c>
      <c r="E317" s="27">
        <f>Ft!B$3*EXP(Ft!B$38*($A317-Ft!B$2)^2)</f>
        <v>-115864.56163581682</v>
      </c>
      <c r="F317" s="27">
        <f>Ft!C$3*EXP(Ft!C$38*($A317-Ft!C$2)^2)</f>
        <v>0</v>
      </c>
      <c r="G317" s="27">
        <f>Ft!D$3*EXP(Ft!D$38*($A317-Ft!D$2)^2)</f>
        <v>420585.31926666474</v>
      </c>
      <c r="H317" s="27">
        <f>Ft!E$3*EXP(Ft!E$38*($A317-Ft!E$2)^2)</f>
        <v>5.0703844383344466E-8</v>
      </c>
      <c r="I317" s="27">
        <f>Ft!F$3*EXP(Ft!F$38*($A317-Ft!F$2)^2)</f>
        <v>168.50359997367377</v>
      </c>
      <c r="J317" s="27">
        <f>Ft!G$3*EXP(Ft!G$38*($A317-Ft!G$2)^2)</f>
        <v>0</v>
      </c>
    </row>
    <row r="318" spans="1:10">
      <c r="A318" s="20">
        <v>316</v>
      </c>
      <c r="B318" s="29">
        <v>48.264178407994535</v>
      </c>
      <c r="C318" s="28">
        <f ca="1">OFFSET($B318,1*(ROWS(C$2:C318)-1),0)</f>
        <v>2.3264812278350746</v>
      </c>
      <c r="D318" s="27">
        <f>Ft!B$3*EXP(Ft!B$38*($A318-Ft!B$2)^2) +Ft!C$3*EXP(Ft!C$38*($A318-Ft!C$2)^2) + Ft!D$3*EXP(Ft!D$38*($A318-Ft!D$2)^2)+Ft!E$3*EXP(Ft!E$38*($A318-Ft!E$2)^2) +Ft!F$3*EXP(Ft!F$38*($A318-Ft!F$2)^2) + Ft!G$3*EXP(Ft!G$38*($A318-Ft!G$2)^2)</f>
        <v>301179.47801243461</v>
      </c>
      <c r="E318" s="27">
        <f>Ft!B$3*EXP(Ft!B$38*($A318-Ft!B$2)^2)</f>
        <v>-115865.7980211187</v>
      </c>
      <c r="F318" s="27">
        <f>Ft!C$3*EXP(Ft!C$38*($A318-Ft!C$2)^2)</f>
        <v>0</v>
      </c>
      <c r="G318" s="27">
        <f>Ft!D$3*EXP(Ft!D$38*($A318-Ft!D$2)^2)</f>
        <v>416886.58073952352</v>
      </c>
      <c r="H318" s="27">
        <f>Ft!E$3*EXP(Ft!E$38*($A318-Ft!E$2)^2)</f>
        <v>4.2266721973364686E-8</v>
      </c>
      <c r="I318" s="27">
        <f>Ft!F$3*EXP(Ft!F$38*($A318-Ft!F$2)^2)</f>
        <v>158.69529398752047</v>
      </c>
      <c r="J318" s="27">
        <f>Ft!G$3*EXP(Ft!G$38*($A318-Ft!G$2)^2)</f>
        <v>0</v>
      </c>
    </row>
    <row r="319" spans="1:10">
      <c r="A319" s="20">
        <v>317</v>
      </c>
      <c r="B319" s="29">
        <v>48.279542851968529</v>
      </c>
      <c r="C319" s="28">
        <f ca="1">OFFSET($B319,1*(ROWS(C$2:C319)-1),0)</f>
        <v>2.0727790975968219</v>
      </c>
      <c r="D319" s="27">
        <f>Ft!B$3*EXP(Ft!B$38*($A319-Ft!B$2)^2) +Ft!C$3*EXP(Ft!C$38*($A319-Ft!C$2)^2) + Ft!D$3*EXP(Ft!D$38*($A319-Ft!D$2)^2)+Ft!E$3*EXP(Ft!E$38*($A319-Ft!E$2)^2) +Ft!F$3*EXP(Ft!F$38*($A319-Ft!F$2)^2) + Ft!G$3*EXP(Ft!G$38*($A319-Ft!G$2)^2)</f>
        <v>297454.10940939782</v>
      </c>
      <c r="E319" s="27">
        <f>Ft!B$3*EXP(Ft!B$38*($A319-Ft!B$2)^2)</f>
        <v>-115867.03388402192</v>
      </c>
      <c r="F319" s="27">
        <f>Ft!C$3*EXP(Ft!C$38*($A319-Ft!C$2)^2)</f>
        <v>0</v>
      </c>
      <c r="G319" s="27">
        <f>Ft!D$3*EXP(Ft!D$38*($A319-Ft!D$2)^2)</f>
        <v>413171.72447099164</v>
      </c>
      <c r="H319" s="27">
        <f>Ft!E$3*EXP(Ft!E$38*($A319-Ft!E$2)^2)</f>
        <v>3.5212292286118589E-8</v>
      </c>
      <c r="I319" s="27">
        <f>Ft!F$3*EXP(Ft!F$38*($A319-Ft!F$2)^2)</f>
        <v>149.41882239287935</v>
      </c>
      <c r="J319" s="27">
        <f>Ft!G$3*EXP(Ft!G$38*($A319-Ft!G$2)^2)</f>
        <v>0</v>
      </c>
    </row>
    <row r="320" spans="1:10">
      <c r="A320" s="20">
        <v>318</v>
      </c>
      <c r="B320" s="29">
        <v>48.280126515757331</v>
      </c>
      <c r="C320" s="28">
        <f ca="1">OFFSET($B320,1*(ROWS(C$2:C320)-1),0)</f>
        <v>1.8788834231988858</v>
      </c>
      <c r="D320" s="27">
        <f>Ft!B$3*EXP(Ft!B$38*($A320-Ft!B$2)^2) +Ft!C$3*EXP(Ft!C$38*($A320-Ft!C$2)^2) + Ft!D$3*EXP(Ft!D$38*($A320-Ft!D$2)^2)+Ft!E$3*EXP(Ft!E$38*($A320-Ft!E$2)^2) +Ft!F$3*EXP(Ft!F$38*($A320-Ft!F$2)^2) + Ft!G$3*EXP(Ft!G$38*($A320-Ft!G$2)^2)</f>
        <v>293714.14341768052</v>
      </c>
      <c r="E320" s="27">
        <f>Ft!B$3*EXP(Ft!B$38*($A320-Ft!B$2)^2)</f>
        <v>-115868.26922450947</v>
      </c>
      <c r="F320" s="27">
        <f>Ft!C$3*EXP(Ft!C$38*($A320-Ft!C$2)^2)</f>
        <v>0</v>
      </c>
      <c r="G320" s="27">
        <f>Ft!D$3*EXP(Ft!D$38*($A320-Ft!D$2)^2)</f>
        <v>409441.76483449689</v>
      </c>
      <c r="H320" s="27">
        <f>Ft!E$3*EXP(Ft!E$38*($A320-Ft!E$2)^2)</f>
        <v>2.9317577511646307E-8</v>
      </c>
      <c r="I320" s="27">
        <f>Ft!F$3*EXP(Ft!F$38*($A320-Ft!F$2)^2)</f>
        <v>140.64780766378422</v>
      </c>
      <c r="J320" s="27">
        <f>Ft!G$3*EXP(Ft!G$38*($A320-Ft!G$2)^2)</f>
        <v>0</v>
      </c>
    </row>
    <row r="321" spans="1:10">
      <c r="A321" s="20">
        <v>319</v>
      </c>
      <c r="B321" s="29">
        <v>48.278774277689308</v>
      </c>
      <c r="C321" s="28">
        <f ca="1">OFFSET($B321,1*(ROWS(C$2:C321)-1),0)</f>
        <v>1.6822352364906692</v>
      </c>
      <c r="D321" s="27">
        <f>Ft!B$3*EXP(Ft!B$38*($A321-Ft!B$2)^2) +Ft!C$3*EXP(Ft!C$38*($A321-Ft!C$2)^2) + Ft!D$3*EXP(Ft!D$38*($A321-Ft!D$2)^2)+Ft!E$3*EXP(Ft!E$38*($A321-Ft!E$2)^2) +Ft!F$3*EXP(Ft!F$38*($A321-Ft!F$2)^2) + Ft!G$3*EXP(Ft!G$38*($A321-Ft!G$2)^2)</f>
        <v>289960.56540545443</v>
      </c>
      <c r="E321" s="27">
        <f>Ft!B$3*EXP(Ft!B$38*($A321-Ft!B$2)^2)</f>
        <v>-115869.50404256432</v>
      </c>
      <c r="F321" s="27">
        <f>Ft!C$3*EXP(Ft!C$38*($A321-Ft!C$2)^2)</f>
        <v>0</v>
      </c>
      <c r="G321" s="27">
        <f>Ft!D$3*EXP(Ft!D$38*($A321-Ft!D$2)^2)</f>
        <v>405697.71241554403</v>
      </c>
      <c r="H321" s="27">
        <f>Ft!E$3*EXP(Ft!E$38*($A321-Ft!E$2)^2)</f>
        <v>2.43949492411317E-8</v>
      </c>
      <c r="I321" s="27">
        <f>Ft!F$3*EXP(Ft!F$38*($A321-Ft!F$2)^2)</f>
        <v>132.35703245031928</v>
      </c>
      <c r="J321" s="27">
        <f>Ft!G$3*EXP(Ft!G$38*($A321-Ft!G$2)^2)</f>
        <v>0</v>
      </c>
    </row>
    <row r="322" spans="1:10">
      <c r="A322" s="20">
        <v>320</v>
      </c>
      <c r="B322" s="29">
        <v>48.289552414484945</v>
      </c>
      <c r="C322" s="28">
        <f ca="1">OFFSET($B322,1*(ROWS(C$2:C322)-1),0)</f>
        <v>1.507841347211837</v>
      </c>
      <c r="D322" s="27">
        <f>Ft!B$3*EXP(Ft!B$38*($A322-Ft!B$2)^2) +Ft!C$3*EXP(Ft!C$38*($A322-Ft!C$2)^2) + Ft!D$3*EXP(Ft!D$38*($A322-Ft!D$2)^2)+Ft!E$3*EXP(Ft!E$38*($A322-Ft!E$2)^2) +Ft!F$3*EXP(Ft!F$38*($A322-Ft!F$2)^2) + Ft!G$3*EXP(Ft!G$38*($A322-Ft!G$2)^2)</f>
        <v>286194.35763112875</v>
      </c>
      <c r="E322" s="27">
        <f>Ft!B$3*EXP(Ft!B$38*($A322-Ft!B$2)^2)</f>
        <v>-115870.73833816953</v>
      </c>
      <c r="F322" s="27">
        <f>Ft!C$3*EXP(Ft!C$38*($A322-Ft!C$2)^2)</f>
        <v>0</v>
      </c>
      <c r="G322" s="27">
        <f>Ft!D$3*EXP(Ft!D$38*($A322-Ft!D$2)^2)</f>
        <v>401940.57357219857</v>
      </c>
      <c r="H322" s="27">
        <f>Ft!E$3*EXP(Ft!E$38*($A322-Ft!E$2)^2)</f>
        <v>2.0286625333283574E-8</v>
      </c>
      <c r="I322" s="27">
        <f>Ft!F$3*EXP(Ft!F$38*($A322-Ft!F$2)^2)</f>
        <v>124.52239707940812</v>
      </c>
      <c r="J322" s="27">
        <f>Ft!G$3*EXP(Ft!G$38*($A322-Ft!G$2)^2)</f>
        <v>0</v>
      </c>
    </row>
    <row r="323" spans="1:10">
      <c r="A323" s="20">
        <v>321</v>
      </c>
      <c r="B323" s="29">
        <v>48.297014071910382</v>
      </c>
      <c r="C323" s="28">
        <f ca="1">OFFSET($B323,1*(ROWS(C$2:C323)-1),0)</f>
        <v>1.3393127867776968</v>
      </c>
      <c r="D323" s="27">
        <f>Ft!B$3*EXP(Ft!B$38*($A323-Ft!B$2)^2) +Ft!C$3*EXP(Ft!C$38*($A323-Ft!C$2)^2) + Ft!D$3*EXP(Ft!D$38*($A323-Ft!D$2)^2)+Ft!E$3*EXP(Ft!E$38*($A323-Ft!E$2)^2) +Ft!F$3*EXP(Ft!F$38*($A323-Ft!F$2)^2) + Ft!G$3*EXP(Ft!G$38*($A323-Ft!G$2)^2)</f>
        <v>282416.49876888777</v>
      </c>
      <c r="E323" s="27">
        <f>Ft!B$3*EXP(Ft!B$38*($A323-Ft!B$2)^2)</f>
        <v>-115871.9721113081</v>
      </c>
      <c r="F323" s="27">
        <f>Ft!C$3*EXP(Ft!C$38*($A323-Ft!C$2)^2)</f>
        <v>0</v>
      </c>
      <c r="G323" s="27">
        <f>Ft!D$3*EXP(Ft!D$38*($A323-Ft!D$2)^2)</f>
        <v>398171.35000204179</v>
      </c>
      <c r="H323" s="27">
        <f>Ft!E$3*EXP(Ft!E$38*($A323-Ft!E$2)^2)</f>
        <v>1.6860007013282538E-8</v>
      </c>
      <c r="I323" s="27">
        <f>Ft!F$3*EXP(Ft!F$38*($A323-Ft!F$2)^2)</f>
        <v>117.12087813725952</v>
      </c>
      <c r="J323" s="27">
        <f>Ft!G$3*EXP(Ft!G$38*($A323-Ft!G$2)^2)</f>
        <v>0</v>
      </c>
    </row>
    <row r="324" spans="1:10">
      <c r="A324" s="20">
        <v>322</v>
      </c>
      <c r="B324" s="29">
        <v>48.305956844259612</v>
      </c>
      <c r="C324" s="28">
        <f ca="1">OFFSET($B324,1*(ROWS(C$2:C324)-1),0)</f>
        <v>1.1909848262066873</v>
      </c>
      <c r="D324" s="27">
        <f>Ft!B$3*EXP(Ft!B$38*($A324-Ft!B$2)^2) +Ft!C$3*EXP(Ft!C$38*($A324-Ft!C$2)^2) + Ft!D$3*EXP(Ft!D$38*($A324-Ft!D$2)^2)+Ft!E$3*EXP(Ft!E$38*($A324-Ft!E$2)^2) +Ft!F$3*EXP(Ft!F$38*($A324-Ft!F$2)^2) + Ft!G$3*EXP(Ft!G$38*($A324-Ft!G$2)^2)</f>
        <v>278627.96344202349</v>
      </c>
      <c r="E324" s="27">
        <f>Ft!B$3*EXP(Ft!B$38*($A324-Ft!B$2)^2)</f>
        <v>-115873.20536196308</v>
      </c>
      <c r="F324" s="27">
        <f>Ft!C$3*EXP(Ft!C$38*($A324-Ft!C$2)^2)</f>
        <v>0</v>
      </c>
      <c r="G324" s="27">
        <f>Ft!D$3*EXP(Ft!D$38*($A324-Ft!D$2)^2)</f>
        <v>394391.03831583977</v>
      </c>
      <c r="H324" s="27">
        <f>Ft!E$3*EXP(Ft!E$38*($A324-Ft!E$2)^2)</f>
        <v>1.4003730567057613E-8</v>
      </c>
      <c r="I324" s="27">
        <f>Ft!F$3*EXP(Ft!F$38*($A324-Ft!F$2)^2)</f>
        <v>110.13048813276677</v>
      </c>
      <c r="J324" s="27">
        <f>Ft!G$3*EXP(Ft!G$38*($A324-Ft!G$2)^2)</f>
        <v>0</v>
      </c>
    </row>
    <row r="325" spans="1:10">
      <c r="A325" s="20">
        <v>323</v>
      </c>
      <c r="B325" s="29">
        <v>48.327434500597178</v>
      </c>
      <c r="C325" s="28">
        <f ca="1">OFFSET($B325,1*(ROWS(C$2:C325)-1),0)</f>
        <v>1.0262170257561252</v>
      </c>
      <c r="D325" s="27">
        <f>Ft!B$3*EXP(Ft!B$38*($A325-Ft!B$2)^2) +Ft!C$3*EXP(Ft!C$38*($A325-Ft!C$2)^2) + Ft!D$3*EXP(Ft!D$38*($A325-Ft!D$2)^2)+Ft!E$3*EXP(Ft!E$38*($A325-Ft!E$2)^2) +Ft!F$3*EXP(Ft!F$38*($A325-Ft!F$2)^2) + Ft!G$3*EXP(Ft!G$38*($A325-Ft!G$2)^2)</f>
        <v>274829.72176430019</v>
      </c>
      <c r="E325" s="27">
        <f>Ft!B$3*EXP(Ft!B$38*($A325-Ft!B$2)^2)</f>
        <v>-115874.43809011749</v>
      </c>
      <c r="F325" s="27">
        <f>Ft!C$3*EXP(Ft!C$38*($A325-Ft!C$2)^2)</f>
        <v>0</v>
      </c>
      <c r="G325" s="27">
        <f>Ft!D$3*EXP(Ft!D$38*($A325-Ft!D$2)^2)</f>
        <v>390600.62961816677</v>
      </c>
      <c r="H325" s="27">
        <f>Ft!E$3*EXP(Ft!E$38*($A325-Ft!E$2)^2)</f>
        <v>1.162432636014413E-8</v>
      </c>
      <c r="I325" s="27">
        <f>Ft!F$3*EXP(Ft!F$38*($A325-Ft!F$2)^2)</f>
        <v>103.53023623928144</v>
      </c>
      <c r="J325" s="27">
        <f>Ft!G$3*EXP(Ft!G$38*($A325-Ft!G$2)^2)</f>
        <v>0</v>
      </c>
    </row>
    <row r="326" spans="1:10">
      <c r="A326" s="20">
        <v>324</v>
      </c>
      <c r="B326" s="29">
        <v>48.341075081633392</v>
      </c>
      <c r="C326" s="28">
        <f ca="1">OFFSET($B326,1*(ROWS(C$2:C326)-1),0)</f>
        <v>0.92084087289555328</v>
      </c>
      <c r="D326" s="27">
        <f>Ft!B$3*EXP(Ft!B$38*($A326-Ft!B$2)^2) +Ft!C$3*EXP(Ft!C$38*($A326-Ft!C$2)^2) + Ft!D$3*EXP(Ft!D$38*($A326-Ft!D$2)^2)+Ft!E$3*EXP(Ft!E$38*($A326-Ft!E$2)^2) +Ft!F$3*EXP(Ft!F$38*($A326-Ft!F$2)^2) + Ft!G$3*EXP(Ft!G$38*($A326-Ft!G$2)^2)</f>
        <v>271022.73888957559</v>
      </c>
      <c r="E326" s="27">
        <f>Ft!B$3*EXP(Ft!B$38*($A326-Ft!B$2)^2)</f>
        <v>-115875.67029575437</v>
      </c>
      <c r="F326" s="27">
        <f>Ft!C$3*EXP(Ft!C$38*($A326-Ft!C$2)^2)</f>
        <v>0</v>
      </c>
      <c r="G326" s="27">
        <f>Ft!D$3*EXP(Ft!D$38*($A326-Ft!D$2)^2)</f>
        <v>386801.10909520986</v>
      </c>
      <c r="H326" s="27">
        <f>Ft!E$3*EXP(Ft!E$38*($A326-Ft!E$2)^2)</f>
        <v>9.6433936572243536E-9</v>
      </c>
      <c r="I326" s="27">
        <f>Ft!F$3*EXP(Ft!F$38*($A326-Ft!F$2)^2)</f>
        <v>97.300090110424321</v>
      </c>
      <c r="J326" s="27">
        <f>Ft!G$3*EXP(Ft!G$38*($A326-Ft!G$2)^2)</f>
        <v>0</v>
      </c>
    </row>
    <row r="327" spans="1:10">
      <c r="A327" s="20">
        <v>325</v>
      </c>
      <c r="B327" s="29">
        <v>48.361065034668258</v>
      </c>
      <c r="C327" s="28">
        <f ca="1">OFFSET($B327,1*(ROWS(C$2:C327)-1),0)</f>
        <v>0.81692990215560712</v>
      </c>
      <c r="D327" s="27">
        <f>Ft!B$3*EXP(Ft!B$38*($A327-Ft!B$2)^2) +Ft!C$3*EXP(Ft!C$38*($A327-Ft!C$2)^2) + Ft!D$3*EXP(Ft!D$38*($A327-Ft!D$2)^2)+Ft!E$3*EXP(Ft!E$38*($A327-Ft!E$2)^2) +Ft!F$3*EXP(Ft!F$38*($A327-Ft!F$2)^2) + Ft!G$3*EXP(Ft!G$38*($A327-Ft!G$2)^2)</f>
        <v>267207.97456989385</v>
      </c>
      <c r="E327" s="27">
        <f>Ft!B$3*EXP(Ft!B$38*($A327-Ft!B$2)^2)</f>
        <v>-115876.90197885681</v>
      </c>
      <c r="F327" s="27">
        <f>Ft!C$3*EXP(Ft!C$38*($A327-Ft!C$2)^2)</f>
        <v>0</v>
      </c>
      <c r="G327" s="27">
        <f>Ft!D$3*EXP(Ft!D$38*($A327-Ft!D$2)^2)</f>
        <v>382993.45560997876</v>
      </c>
      <c r="H327" s="27">
        <f>Ft!E$3*EXP(Ft!E$38*($A327-Ft!E$2)^2)</f>
        <v>7.9952132093109699E-9</v>
      </c>
      <c r="I327" s="27">
        <f>Ft!F$3*EXP(Ft!F$38*($A327-Ft!F$2)^2)</f>
        <v>91.42093876393858</v>
      </c>
      <c r="J327" s="27">
        <f>Ft!G$3*EXP(Ft!G$38*($A327-Ft!G$2)^2)</f>
        <v>0</v>
      </c>
    </row>
    <row r="328" spans="1:10">
      <c r="A328" s="20">
        <v>326</v>
      </c>
      <c r="B328" s="29">
        <v>48.359415642141528</v>
      </c>
      <c r="C328" s="28">
        <f ca="1">OFFSET($B328,1*(ROWS(C$2:C328)-1),0)</f>
        <v>0.71387491394747826</v>
      </c>
      <c r="D328" s="27">
        <f>Ft!B$3*EXP(Ft!B$38*($A328-Ft!B$2)^2) +Ft!C$3*EXP(Ft!C$38*($A328-Ft!C$2)^2) + Ft!D$3*EXP(Ft!D$38*($A328-Ft!D$2)^2)+Ft!E$3*EXP(Ft!E$38*($A328-Ft!E$2)^2) +Ft!F$3*EXP(Ft!F$38*($A328-Ft!F$2)^2) + Ft!G$3*EXP(Ft!G$38*($A328-Ft!G$2)^2)</f>
        <v>263386.38272225694</v>
      </c>
      <c r="E328" s="27">
        <f>Ft!B$3*EXP(Ft!B$38*($A328-Ft!B$2)^2)</f>
        <v>-115878.13313940782</v>
      </c>
      <c r="F328" s="27">
        <f>Ft!C$3*EXP(Ft!C$38*($A328-Ft!C$2)^2)</f>
        <v>0</v>
      </c>
      <c r="G328" s="27">
        <f>Ft!D$3*EXP(Ft!D$38*($A328-Ft!D$2)^2)</f>
        <v>379178.64130513207</v>
      </c>
      <c r="H328" s="27">
        <f>Ft!E$3*EXP(Ft!E$38*($A328-Ft!E$2)^2)</f>
        <v>6.6247311250965118E-9</v>
      </c>
      <c r="I328" s="27">
        <f>Ft!F$3*EXP(Ft!F$38*($A328-Ft!F$2)^2)</f>
        <v>85.874556526062591</v>
      </c>
      <c r="J328" s="27">
        <f>Ft!G$3*EXP(Ft!G$38*($A328-Ft!G$2)^2)</f>
        <v>0</v>
      </c>
    </row>
    <row r="329" spans="1:10">
      <c r="A329" s="20">
        <v>327</v>
      </c>
      <c r="B329" s="29">
        <v>48.353530610988201</v>
      </c>
      <c r="C329" s="28">
        <f ca="1">OFFSET($B329,1*(ROWS(C$2:C329)-1),0)</f>
        <v>0.65368201983238805</v>
      </c>
      <c r="D329" s="27">
        <f>Ft!B$3*EXP(Ft!B$38*($A329-Ft!B$2)^2) +Ft!C$3*EXP(Ft!C$38*($A329-Ft!C$2)^2) + Ft!D$3*EXP(Ft!D$38*($A329-Ft!D$2)^2)+Ft!E$3*EXP(Ft!E$38*($A329-Ft!E$2)^2) +Ft!F$3*EXP(Ft!F$38*($A329-Ft!F$2)^2) + Ft!G$3*EXP(Ft!G$38*($A329-Ft!G$2)^2)</f>
        <v>259558.91100426961</v>
      </c>
      <c r="E329" s="27">
        <f>Ft!B$3*EXP(Ft!B$38*($A329-Ft!B$2)^2)</f>
        <v>-115879.36377739049</v>
      </c>
      <c r="F329" s="27">
        <f>Ft!C$3*EXP(Ft!C$38*($A329-Ft!C$2)^2)</f>
        <v>0</v>
      </c>
      <c r="G329" s="27">
        <f>Ft!D$3*EXP(Ft!D$38*($A329-Ft!D$2)^2)</f>
        <v>375357.63121362717</v>
      </c>
      <c r="H329" s="27">
        <f>Ft!E$3*EXP(Ft!E$38*($A329-Ft!E$2)^2)</f>
        <v>5.4858574233184137E-9</v>
      </c>
      <c r="I329" s="27">
        <f>Ft!F$3*EXP(Ft!F$38*($A329-Ft!F$2)^2)</f>
        <v>80.643568027463502</v>
      </c>
      <c r="J329" s="27">
        <f>Ft!G$3*EXP(Ft!G$38*($A329-Ft!G$2)^2)</f>
        <v>0</v>
      </c>
    </row>
    <row r="330" spans="1:10">
      <c r="A330" s="20">
        <v>328</v>
      </c>
      <c r="B330" s="29">
        <v>48.374165882144581</v>
      </c>
      <c r="C330" s="28">
        <f ca="1">OFFSET($B330,1*(ROWS(C$2:C330)-1),0)</f>
        <v>0.57161239652640461</v>
      </c>
      <c r="D330" s="27">
        <f>Ft!B$3*EXP(Ft!B$38*($A330-Ft!B$2)^2) +Ft!C$3*EXP(Ft!C$38*($A330-Ft!C$2)^2) + Ft!D$3*EXP(Ft!D$38*($A330-Ft!D$2)^2)+Ft!E$3*EXP(Ft!E$38*($A330-Ft!E$2)^2) +Ft!F$3*EXP(Ft!F$38*($A330-Ft!F$2)^2) + Ft!G$3*EXP(Ft!G$38*($A330-Ft!G$2)^2)</f>
        <v>255726.50039884553</v>
      </c>
      <c r="E330" s="27">
        <f>Ft!B$3*EXP(Ft!B$38*($A330-Ft!B$2)^2)</f>
        <v>-115880.5938927879</v>
      </c>
      <c r="F330" s="27">
        <f>Ft!C$3*EXP(Ft!C$38*($A330-Ft!C$2)^2)</f>
        <v>0</v>
      </c>
      <c r="G330" s="27">
        <f>Ft!D$3*EXP(Ft!D$38*($A330-Ft!D$2)^2)</f>
        <v>371531.38287738845</v>
      </c>
      <c r="H330" s="27">
        <f>Ft!E$3*EXP(Ft!E$38*($A330-Ft!E$2)^2)</f>
        <v>4.540031109124825E-9</v>
      </c>
      <c r="I330" s="27">
        <f>Ft!F$3*EXP(Ft!F$38*($A330-Ft!F$2)^2)</f>
        <v>75.711414240446345</v>
      </c>
      <c r="J330" s="27">
        <f>Ft!G$3*EXP(Ft!G$38*($A330-Ft!G$2)^2)</f>
        <v>0</v>
      </c>
    </row>
    <row r="331" spans="1:10">
      <c r="A331" s="20">
        <v>329</v>
      </c>
      <c r="B331" s="29">
        <v>48.363922962596178</v>
      </c>
      <c r="C331" s="28">
        <f ca="1">OFFSET($B331,1*(ROWS(C$2:C331)-1),0)</f>
        <v>0.47012508433968492</v>
      </c>
      <c r="D331" s="27">
        <f>Ft!B$3*EXP(Ft!B$38*($A331-Ft!B$2)^2) +Ft!C$3*EXP(Ft!C$38*($A331-Ft!C$2)^2) + Ft!D$3*EXP(Ft!D$38*($A331-Ft!D$2)^2)+Ft!E$3*EXP(Ft!E$38*($A331-Ft!E$2)^2) +Ft!F$3*EXP(Ft!F$38*($A331-Ft!F$2)^2) + Ft!G$3*EXP(Ft!G$38*($A331-Ft!G$2)^2)</f>
        <v>251890.08480814949</v>
      </c>
      <c r="E331" s="27">
        <f>Ft!B$3*EXP(Ft!B$38*($A331-Ft!B$2)^2)</f>
        <v>-115881.82348558313</v>
      </c>
      <c r="F331" s="27">
        <f>Ft!C$3*EXP(Ft!C$38*($A331-Ft!C$2)^2)</f>
        <v>0</v>
      </c>
      <c r="G331" s="27">
        <f>Ft!D$3*EXP(Ft!D$38*($A331-Ft!D$2)^2)</f>
        <v>367700.84597418294</v>
      </c>
      <c r="H331" s="27">
        <f>Ft!E$3*EXP(Ft!E$38*($A331-Ft!E$2)^2)</f>
        <v>3.7550108322523558E-9</v>
      </c>
      <c r="I331" s="27">
        <f>Ft!F$3*EXP(Ft!F$38*($A331-Ft!F$2)^2)</f>
        <v>71.062319545932866</v>
      </c>
      <c r="J331" s="27">
        <f>Ft!G$3*EXP(Ft!G$38*($A331-Ft!G$2)^2)</f>
        <v>0</v>
      </c>
    </row>
    <row r="332" spans="1:10">
      <c r="A332" s="20">
        <v>330</v>
      </c>
      <c r="B332" s="29">
        <v>48.359759389472401</v>
      </c>
      <c r="C332" s="28">
        <f ca="1">OFFSET($B332,1*(ROWS(C$2:C332)-1),0)</f>
        <v>0.3984439894373395</v>
      </c>
      <c r="D332" s="27">
        <f>Ft!B$3*EXP(Ft!B$38*($A332-Ft!B$2)^2) +Ft!C$3*EXP(Ft!C$38*($A332-Ft!C$2)^2) + Ft!D$3*EXP(Ft!D$38*($A332-Ft!D$2)^2)+Ft!E$3*EXP(Ft!E$38*($A332-Ft!E$2)^2) +Ft!F$3*EXP(Ft!F$38*($A332-Ft!F$2)^2) + Ft!G$3*EXP(Ft!G$38*($A332-Ft!G$2)^2)</f>
        <v>248050.59065694464</v>
      </c>
      <c r="E332" s="27">
        <f>Ft!B$3*EXP(Ft!B$38*($A332-Ft!B$2)^2)</f>
        <v>-115883.05255575925</v>
      </c>
      <c r="F332" s="27">
        <f>Ft!C$3*EXP(Ft!C$38*($A332-Ft!C$2)^2)</f>
        <v>0</v>
      </c>
      <c r="G332" s="27">
        <f>Ft!D$3*EXP(Ft!D$38*($A332-Ft!D$2)^2)</f>
        <v>363866.96195288323</v>
      </c>
      <c r="H332" s="27">
        <f>Ft!E$3*EXP(Ft!E$38*($A332-Ft!E$2)^2)</f>
        <v>3.1038563433393843E-9</v>
      </c>
      <c r="I332" s="27">
        <f>Ft!F$3*EXP(Ft!F$38*($A332-Ft!F$2)^2)</f>
        <v>66.681259817570776</v>
      </c>
      <c r="J332" s="27">
        <f>Ft!G$3*EXP(Ft!G$38*($A332-Ft!G$2)^2)</f>
        <v>0</v>
      </c>
    </row>
    <row r="333" spans="1:10">
      <c r="A333" s="20">
        <v>331</v>
      </c>
      <c r="B333" s="29">
        <v>48.361458504501542</v>
      </c>
      <c r="C333" s="28">
        <f ca="1">OFFSET($B333,1*(ROWS(C$2:C333)-1),0)</f>
        <v>0.32828284781126627</v>
      </c>
      <c r="D333" s="27">
        <f>Ft!B$3*EXP(Ft!B$38*($A333-Ft!B$2)^2) +Ft!C$3*EXP(Ft!C$38*($A333-Ft!C$2)^2) + Ft!D$3*EXP(Ft!D$38*($A333-Ft!D$2)^2)+Ft!E$3*EXP(Ft!E$38*($A333-Ft!E$2)^2) +Ft!F$3*EXP(Ft!F$38*($A333-Ft!F$2)^2) + Ft!G$3*EXP(Ft!G$38*($A333-Ft!G$2)^2)</f>
        <v>244208.93650549982</v>
      </c>
      <c r="E333" s="27">
        <f>Ft!B$3*EXP(Ft!B$38*($A333-Ft!B$2)^2)</f>
        <v>-115884.28110329935</v>
      </c>
      <c r="F333" s="27">
        <f>Ft!C$3*EXP(Ft!C$38*($A333-Ft!C$2)^2)</f>
        <v>0</v>
      </c>
      <c r="G333" s="27">
        <f>Ft!D$3*EXP(Ft!D$38*($A333-Ft!D$2)^2)</f>
        <v>360030.66367728729</v>
      </c>
      <c r="H333" s="27">
        <f>Ft!E$3*EXP(Ft!E$38*($A333-Ft!E$2)^2)</f>
        <v>2.5640712177062557E-9</v>
      </c>
      <c r="I333" s="27">
        <f>Ft!F$3*EXP(Ft!F$38*($A333-Ft!F$2)^2)</f>
        <v>62.553931509305272</v>
      </c>
      <c r="J333" s="27">
        <f>Ft!G$3*EXP(Ft!G$38*($A333-Ft!G$2)^2)</f>
        <v>0</v>
      </c>
    </row>
    <row r="334" spans="1:10">
      <c r="A334" s="20">
        <v>332</v>
      </c>
      <c r="B334" s="29">
        <v>48.372280859713925</v>
      </c>
      <c r="C334" s="28">
        <f ca="1">OFFSET($B334,1*(ROWS(C$2:C334)-1),0)</f>
        <v>0.28441712144260123</v>
      </c>
      <c r="D334" s="27">
        <f>Ft!B$3*EXP(Ft!B$38*($A334-Ft!B$2)^2) +Ft!C$3*EXP(Ft!C$38*($A334-Ft!C$2)^2) + Ft!D$3*EXP(Ft!D$38*($A334-Ft!D$2)^2)+Ft!E$3*EXP(Ft!E$38*($A334-Ft!E$2)^2) +Ft!F$3*EXP(Ft!F$38*($A334-Ft!F$2)^2) + Ft!G$3*EXP(Ft!G$38*($A334-Ft!G$2)^2)</f>
        <v>240366.03267220577</v>
      </c>
      <c r="E334" s="27">
        <f>Ft!B$3*EXP(Ft!B$38*($A334-Ft!B$2)^2)</f>
        <v>-115885.50912818655</v>
      </c>
      <c r="F334" s="27">
        <f>Ft!C$3*EXP(Ft!C$38*($A334-Ft!C$2)^2)</f>
        <v>0</v>
      </c>
      <c r="G334" s="27">
        <f>Ft!D$3*EXP(Ft!D$38*($A334-Ft!D$2)^2)</f>
        <v>356192.8750786584</v>
      </c>
      <c r="H334" s="27">
        <f>Ft!E$3*EXP(Ft!E$38*($A334-Ft!E$2)^2)</f>
        <v>2.1168817933080815E-9</v>
      </c>
      <c r="I334" s="27">
        <f>Ft!F$3*EXP(Ft!F$38*($A334-Ft!F$2)^2)</f>
        <v>58.666721731801282</v>
      </c>
      <c r="J334" s="27">
        <f>Ft!G$3*EXP(Ft!G$38*($A334-Ft!G$2)^2)</f>
        <v>0</v>
      </c>
    </row>
    <row r="335" spans="1:10">
      <c r="A335" s="20">
        <v>333</v>
      </c>
      <c r="B335" s="29">
        <v>48.384795199355153</v>
      </c>
      <c r="C335" s="28">
        <f ca="1">OFFSET($B335,1*(ROWS(C$2:C335)-1),0)</f>
        <v>0.26003628025463854</v>
      </c>
      <c r="D335" s="27">
        <f>Ft!B$3*EXP(Ft!B$38*($A335-Ft!B$2)^2) +Ft!C$3*EXP(Ft!C$38*($A335-Ft!C$2)^2) + Ft!D$3*EXP(Ft!D$38*($A335-Ft!D$2)^2)+Ft!E$3*EXP(Ft!E$38*($A335-Ft!E$2)^2) +Ft!F$3*EXP(Ft!F$38*($A335-Ft!F$2)^2) + Ft!G$3*EXP(Ft!G$38*($A335-Ft!G$2)^2)</f>
        <v>236522.78086603788</v>
      </c>
      <c r="E335" s="27">
        <f>Ft!B$3*EXP(Ft!B$38*($A335-Ft!B$2)^2)</f>
        <v>-115886.73663040395</v>
      </c>
      <c r="F335" s="27">
        <f>Ft!C$3*EXP(Ft!C$38*($A335-Ft!C$2)^2)</f>
        <v>0</v>
      </c>
      <c r="G335" s="27">
        <f>Ft!D$3*EXP(Ft!D$38*($A335-Ft!D$2)^2)</f>
        <v>352354.51081713784</v>
      </c>
      <c r="H335" s="27">
        <f>Ft!E$3*EXP(Ft!E$38*($A335-Ft!E$2)^2)</f>
        <v>1.7466310830525529E-9</v>
      </c>
      <c r="I335" s="27">
        <f>Ft!F$3*EXP(Ft!F$38*($A335-Ft!F$2)^2)</f>
        <v>55.006679302248052</v>
      </c>
      <c r="J335" s="27">
        <f>Ft!G$3*EXP(Ft!G$38*($A335-Ft!G$2)^2)</f>
        <v>0</v>
      </c>
    </row>
    <row r="336" spans="1:10">
      <c r="A336" s="20">
        <v>334</v>
      </c>
      <c r="B336" s="29">
        <v>48.391775708381658</v>
      </c>
      <c r="C336" s="28">
        <f ca="1">OFFSET($B336,1*(ROWS(C$2:C336)-1),0)</f>
        <v>0.24947691697451546</v>
      </c>
      <c r="D336" s="27">
        <f>Ft!B$3*EXP(Ft!B$38*($A336-Ft!B$2)^2) +Ft!C$3*EXP(Ft!C$38*($A336-Ft!C$2)^2) + Ft!D$3*EXP(Ft!D$38*($A336-Ft!D$2)^2)+Ft!E$3*EXP(Ft!E$38*($A336-Ft!E$2)^2) +Ft!F$3*EXP(Ft!F$38*($A336-Ft!F$2)^2) + Ft!G$3*EXP(Ft!G$38*($A336-Ft!G$2)^2)</f>
        <v>232680.0738289927</v>
      </c>
      <c r="E336" s="27">
        <f>Ft!B$3*EXP(Ft!B$38*($A336-Ft!B$2)^2)</f>
        <v>-115887.96360993468</v>
      </c>
      <c r="F336" s="27">
        <f>Ft!C$3*EXP(Ft!C$38*($A336-Ft!C$2)^2)</f>
        <v>0</v>
      </c>
      <c r="G336" s="27">
        <f>Ft!D$3*EXP(Ft!D$38*($A336-Ft!D$2)^2)</f>
        <v>348516.47595217463</v>
      </c>
      <c r="H336" s="27">
        <f>Ft!E$3*EXP(Ft!E$38*($A336-Ft!E$2)^2)</f>
        <v>1.4402696673514601E-9</v>
      </c>
      <c r="I336" s="27">
        <f>Ft!F$3*EXP(Ft!F$38*($A336-Ft!F$2)^2)</f>
        <v>51.561486751309197</v>
      </c>
      <c r="J336" s="27">
        <f>Ft!G$3*EXP(Ft!G$38*($A336-Ft!G$2)^2)</f>
        <v>0</v>
      </c>
    </row>
    <row r="337" spans="1:10">
      <c r="A337" s="20">
        <v>335</v>
      </c>
      <c r="B337" s="29">
        <v>48.381282435059489</v>
      </c>
      <c r="C337" s="28">
        <f ca="1">OFFSET($B337,1*(ROWS(C$2:C337)-1),0)</f>
        <v>0.25037827357076026</v>
      </c>
      <c r="D337" s="27">
        <f>Ft!B$3*EXP(Ft!B$38*($A337-Ft!B$2)^2) +Ft!C$3*EXP(Ft!C$38*($A337-Ft!C$2)^2) + Ft!D$3*EXP(Ft!D$38*($A337-Ft!D$2)^2)+Ft!E$3*EXP(Ft!E$38*($A337-Ft!E$2)^2) +Ft!F$3*EXP(Ft!F$38*($A337-Ft!F$2)^2) + Ft!G$3*EXP(Ft!G$38*($A337-Ft!G$2)^2)</f>
        <v>228838.79498861745</v>
      </c>
      <c r="E337" s="27">
        <f>Ft!B$3*EXP(Ft!B$38*($A337-Ft!B$2)^2)</f>
        <v>-115889.19006676183</v>
      </c>
      <c r="F337" s="27">
        <f>Ft!C$3*EXP(Ft!C$38*($A337-Ft!C$2)^2)</f>
        <v>0</v>
      </c>
      <c r="G337" s="27">
        <f>Ft!D$3*EXP(Ft!D$38*($A337-Ft!D$2)^2)</f>
        <v>344679.6656221078</v>
      </c>
      <c r="H337" s="27">
        <f>Ft!E$3*EXP(Ft!E$38*($A337-Ft!E$2)^2)</f>
        <v>1.1869283331793212E-9</v>
      </c>
      <c r="I337" s="27">
        <f>Ft!F$3*EXP(Ft!F$38*($A337-Ft!F$2)^2)</f>
        <v>48.319433270290993</v>
      </c>
      <c r="J337" s="27">
        <f>Ft!G$3*EXP(Ft!G$38*($A337-Ft!G$2)^2)</f>
        <v>0</v>
      </c>
    </row>
    <row r="338" spans="1:10">
      <c r="A338" s="20">
        <v>336</v>
      </c>
      <c r="B338" s="29">
        <v>48.394815286262883</v>
      </c>
      <c r="C338" s="28">
        <f ca="1">OFFSET($B338,1*(ROWS(C$2:C338)-1),0)</f>
        <v>0.22501574242667743</v>
      </c>
      <c r="D338" s="27">
        <f>Ft!B$3*EXP(Ft!B$38*($A338-Ft!B$2)^2) +Ft!C$3*EXP(Ft!C$38*($A338-Ft!C$2)^2) + Ft!D$3*EXP(Ft!D$38*($A338-Ft!D$2)^2)+Ft!E$3*EXP(Ft!E$38*($A338-Ft!E$2)^2) +Ft!F$3*EXP(Ft!F$38*($A338-Ft!F$2)^2) + Ft!G$3*EXP(Ft!G$38*($A338-Ft!G$2)^2)</f>
        <v>224999.81812074155</v>
      </c>
      <c r="E338" s="27">
        <f>Ft!B$3*EXP(Ft!B$38*($A338-Ft!B$2)^2)</f>
        <v>-115890.41600086857</v>
      </c>
      <c r="F338" s="27">
        <f>Ft!C$3*EXP(Ft!C$38*($A338-Ft!C$2)^2)</f>
        <v>0</v>
      </c>
      <c r="G338" s="27">
        <f>Ft!D$3*EXP(Ft!D$38*($A338-Ft!D$2)^2)</f>
        <v>340844.96473302814</v>
      </c>
      <c r="H338" s="27">
        <f>Ft!E$3*EXP(Ft!E$38*($A338-Ft!E$2)^2)</f>
        <v>9.775595718993463E-10</v>
      </c>
      <c r="I338" s="27">
        <f>Ft!F$3*EXP(Ft!F$38*($A338-Ft!F$2)^2)</f>
        <v>45.269388580986202</v>
      </c>
      <c r="J338" s="27">
        <f>Ft!G$3*EXP(Ft!G$38*($A338-Ft!G$2)^2)</f>
        <v>0</v>
      </c>
    </row>
    <row r="339" spans="1:10">
      <c r="A339" s="20">
        <v>337</v>
      </c>
      <c r="B339" s="29">
        <v>48.405775431905823</v>
      </c>
      <c r="C339" s="28">
        <f ca="1">OFFSET($B339,1*(ROWS(C$2:C339)-1),0)</f>
        <v>0.21234658109906945</v>
      </c>
      <c r="D339" s="27">
        <f>Ft!B$3*EXP(Ft!B$38*($A339-Ft!B$2)^2) +Ft!C$3*EXP(Ft!C$38*($A339-Ft!C$2)^2) + Ft!D$3*EXP(Ft!D$38*($A339-Ft!D$2)^2)+Ft!E$3*EXP(Ft!E$38*($A339-Ft!E$2)^2) +Ft!F$3*EXP(Ft!F$38*($A339-Ft!F$2)^2) + Ft!G$3*EXP(Ft!G$38*($A339-Ft!G$2)^2)</f>
        <v>221164.00702250909</v>
      </c>
      <c r="E339" s="27">
        <f>Ft!B$3*EXP(Ft!B$38*($A339-Ft!B$2)^2)</f>
        <v>-115891.64141223799</v>
      </c>
      <c r="F339" s="27">
        <f>Ft!C$3*EXP(Ft!C$38*($A339-Ft!C$2)^2)</f>
        <v>0</v>
      </c>
      <c r="G339" s="27">
        <f>Ft!D$3*EXP(Ft!D$38*($A339-Ft!D$2)^2)</f>
        <v>337013.24765703618</v>
      </c>
      <c r="H339" s="27">
        <f>Ft!E$3*EXP(Ft!E$38*($A339-Ft!E$2)^2)</f>
        <v>8.0463704045818648E-10</v>
      </c>
      <c r="I339" s="27">
        <f>Ft!F$3*EXP(Ft!F$38*($A339-Ft!F$2)^2)</f>
        <v>42.400777710114824</v>
      </c>
      <c r="J339" s="27">
        <f>Ft!G$3*EXP(Ft!G$38*($A339-Ft!G$2)^2)</f>
        <v>0</v>
      </c>
    </row>
    <row r="340" spans="1:10">
      <c r="A340" s="20">
        <v>338</v>
      </c>
      <c r="B340" s="29">
        <v>48.400337738302653</v>
      </c>
      <c r="C340" s="28">
        <f ca="1">OFFSET($B340,1*(ROWS(C$2:C340)-1),0)</f>
        <v>0</v>
      </c>
      <c r="D340" s="27">
        <f>Ft!B$3*EXP(Ft!B$38*($A340-Ft!B$2)^2) +Ft!C$3*EXP(Ft!C$38*($A340-Ft!C$2)^2) + Ft!D$3*EXP(Ft!D$38*($A340-Ft!D$2)^2)+Ft!E$3*EXP(Ft!E$38*($A340-Ft!E$2)^2) +Ft!F$3*EXP(Ft!F$38*($A340-Ft!F$2)^2) + Ft!G$3*EXP(Ft!G$38*($A340-Ft!G$2)^2)</f>
        <v>217332.21519580213</v>
      </c>
      <c r="E340" s="27">
        <f>Ft!B$3*EXP(Ft!B$38*($A340-Ft!B$2)^2)</f>
        <v>-115892.86630085329</v>
      </c>
      <c r="F340" s="27">
        <f>Ft!C$3*EXP(Ft!C$38*($A340-Ft!C$2)^2)</f>
        <v>0</v>
      </c>
      <c r="G340" s="27">
        <f>Ft!D$3*EXP(Ft!D$38*($A340-Ft!D$2)^2)</f>
        <v>333185.37794000492</v>
      </c>
      <c r="H340" s="27">
        <f>Ft!E$3*EXP(Ft!E$38*($A340-Ft!E$2)^2)</f>
        <v>6.6190378133624167E-10</v>
      </c>
      <c r="I340" s="27">
        <f>Ft!F$3*EXP(Ft!F$38*($A340-Ft!F$2)^2)</f>
        <v>39.703556649811929</v>
      </c>
      <c r="J340" s="27">
        <f>Ft!G$3*EXP(Ft!G$38*($A340-Ft!G$2)^2)</f>
        <v>0</v>
      </c>
    </row>
    <row r="341" spans="1:10">
      <c r="A341" s="20">
        <v>339</v>
      </c>
      <c r="B341" s="29">
        <v>48.385986351267064</v>
      </c>
      <c r="C341" s="28">
        <f ca="1">OFFSET($B341,1*(ROWS(C$2:C341)-1),0)</f>
        <v>0</v>
      </c>
      <c r="D341" s="27">
        <f>Ft!B$3*EXP(Ft!B$38*($A341-Ft!B$2)^2) +Ft!C$3*EXP(Ft!C$38*($A341-Ft!C$2)^2) + Ft!D$3*EXP(Ft!D$38*($A341-Ft!D$2)^2)+Ft!E$3*EXP(Ft!E$38*($A341-Ft!E$2)^2) +Ft!F$3*EXP(Ft!F$38*($A341-Ft!F$2)^2) + Ft!G$3*EXP(Ft!G$38*($A341-Ft!G$2)^2)</f>
        <v>213505.28554113614</v>
      </c>
      <c r="E341" s="27">
        <f>Ft!B$3*EXP(Ft!B$38*($A341-Ft!B$2)^2)</f>
        <v>-115894.09066669758</v>
      </c>
      <c r="F341" s="27">
        <f>Ft!C$3*EXP(Ft!C$38*($A341-Ft!C$2)^2)</f>
        <v>0</v>
      </c>
      <c r="G341" s="27">
        <f>Ft!D$3*EXP(Ft!D$38*($A341-Ft!D$2)^2)</f>
        <v>329362.20801894797</v>
      </c>
      <c r="H341" s="27">
        <f>Ft!E$3*EXP(Ft!E$38*($A341-Ft!E$2)^2)</f>
        <v>5.4416143047604789E-10</v>
      </c>
      <c r="I341" s="27">
        <f>Ft!F$3*EXP(Ft!F$38*($A341-Ft!F$2)^2)</f>
        <v>37.168188885211343</v>
      </c>
      <c r="J341" s="27">
        <f>Ft!G$3*EXP(Ft!G$38*($A341-Ft!G$2)^2)</f>
        <v>0</v>
      </c>
    </row>
    <row r="342" spans="1:10">
      <c r="A342" s="20">
        <v>340</v>
      </c>
      <c r="B342" s="29">
        <v>48.401883319571766</v>
      </c>
      <c r="C342" s="28">
        <f ca="1">OFFSET($B342,1*(ROWS(C$2:C342)-1),0)</f>
        <v>0</v>
      </c>
      <c r="D342" s="27">
        <f>Ft!B$3*EXP(Ft!B$38*($A342-Ft!B$2)^2) +Ft!C$3*EXP(Ft!C$38*($A342-Ft!C$2)^2) + Ft!D$3*EXP(Ft!D$38*($A342-Ft!D$2)^2)+Ft!E$3*EXP(Ft!E$38*($A342-Ft!E$2)^2) +Ft!F$3*EXP(Ft!F$38*($A342-Ft!F$2)^2) + Ft!G$3*EXP(Ft!G$38*($A342-Ft!G$2)^2)</f>
        <v>209684.0500620981</v>
      </c>
      <c r="E342" s="27">
        <f>Ft!B$3*EXP(Ft!B$38*($A342-Ft!B$2)^2)</f>
        <v>-115895.31450975403</v>
      </c>
      <c r="F342" s="27">
        <f>Ft!C$3*EXP(Ft!C$38*($A342-Ft!C$2)^2)</f>
        <v>0</v>
      </c>
      <c r="G342" s="27">
        <f>Ft!D$3*EXP(Ft!D$38*($A342-Ft!D$2)^2)</f>
        <v>325544.57894908183</v>
      </c>
      <c r="H342" s="27">
        <f>Ft!E$3*EXP(Ft!E$38*($A342-Ft!E$2)^2)</f>
        <v>4.4709385747151089E-10</v>
      </c>
      <c r="I342" s="27">
        <f>Ft!F$3*EXP(Ft!F$38*($A342-Ft!F$2)^2)</f>
        <v>34.785622769836706</v>
      </c>
      <c r="J342" s="27">
        <f>Ft!G$3*EXP(Ft!G$38*($A342-Ft!G$2)^2)</f>
        <v>0</v>
      </c>
    </row>
    <row r="343" spans="1:10">
      <c r="A343" s="20">
        <v>341</v>
      </c>
      <c r="B343" s="29">
        <v>48.410934404255556</v>
      </c>
      <c r="C343" s="28">
        <f ca="1">OFFSET($B343,1*(ROWS(C$2:C343)-1),0)</f>
        <v>0</v>
      </c>
      <c r="D343" s="27">
        <f>Ft!B$3*EXP(Ft!B$38*($A343-Ft!B$2)^2) +Ft!C$3*EXP(Ft!C$38*($A343-Ft!C$2)^2) + Ft!D$3*EXP(Ft!D$38*($A343-Ft!D$2)^2)+Ft!E$3*EXP(Ft!E$38*($A343-Ft!E$2)^2) +Ft!F$3*EXP(Ft!F$38*($A343-Ft!F$2)^2) + Ft!G$3*EXP(Ft!G$38*($A343-Ft!G$2)^2)</f>
        <v>205869.32958038931</v>
      </c>
      <c r="E343" s="27">
        <f>Ft!B$3*EXP(Ft!B$38*($A343-Ft!B$2)^2)</f>
        <v>-115896.53783000579</v>
      </c>
      <c r="F343" s="27">
        <f>Ft!C$3*EXP(Ft!C$38*($A343-Ft!C$2)^2)</f>
        <v>0</v>
      </c>
      <c r="G343" s="27">
        <f>Ft!D$3*EXP(Ft!D$38*($A343-Ft!D$2)^2)</f>
        <v>321733.32014066551</v>
      </c>
      <c r="H343" s="27">
        <f>Ft!E$3*EXP(Ft!E$38*($A343-Ft!E$2)^2)</f>
        <v>3.6711971122556886E-10</v>
      </c>
      <c r="I343" s="27">
        <f>Ft!F$3*EXP(Ft!F$38*($A343-Ft!F$2)^2)</f>
        <v>32.547269729233285</v>
      </c>
      <c r="J343" s="27">
        <f>Ft!G$3*EXP(Ft!G$38*($A343-Ft!G$2)^2)</f>
        <v>0</v>
      </c>
    </row>
    <row r="344" spans="1:10">
      <c r="A344" s="20">
        <v>342</v>
      </c>
      <c r="B344" s="29">
        <v>48.422298806964363</v>
      </c>
      <c r="C344" s="28">
        <f ca="1">OFFSET($B344,1*(ROWS(C$2:C344)-1),0)</f>
        <v>0</v>
      </c>
      <c r="D344" s="27">
        <f>Ft!B$3*EXP(Ft!B$38*($A344-Ft!B$2)^2) +Ft!C$3*EXP(Ft!C$38*($A344-Ft!C$2)^2) + Ft!D$3*EXP(Ft!D$38*($A344-Ft!D$2)^2)+Ft!E$3*EXP(Ft!E$38*($A344-Ft!E$2)^2) +Ft!F$3*EXP(Ft!F$38*($A344-Ft!F$2)^2) + Ft!G$3*EXP(Ft!G$38*($A344-Ft!G$2)^2)</f>
        <v>202061.93346152653</v>
      </c>
      <c r="E344" s="27">
        <f>Ft!B$3*EXP(Ft!B$38*($A344-Ft!B$2)^2)</f>
        <v>-115897.76062743606</v>
      </c>
      <c r="F344" s="27">
        <f>Ft!C$3*EXP(Ft!C$38*($A344-Ft!C$2)^2)</f>
        <v>0</v>
      </c>
      <c r="G344" s="27">
        <f>Ft!D$3*EXP(Ft!D$38*($A344-Ft!D$2)^2)</f>
        <v>317929.24910568923</v>
      </c>
      <c r="H344" s="27">
        <f>Ft!E$3*EXP(Ft!E$38*($A344-Ft!E$2)^2)</f>
        <v>3.012692149618493E-10</v>
      </c>
      <c r="I344" s="27">
        <f>Ft!F$3*EXP(Ft!F$38*($A344-Ft!F$2)^2)</f>
        <v>30.444983273052607</v>
      </c>
      <c r="J344" s="27">
        <f>Ft!G$3*EXP(Ft!G$38*($A344-Ft!G$2)^2)</f>
        <v>0</v>
      </c>
    </row>
    <row r="345" spans="1:10">
      <c r="A345" s="20">
        <v>343</v>
      </c>
      <c r="B345" s="29">
        <v>48.422806331468422</v>
      </c>
      <c r="C345" s="28">
        <f ca="1">OFFSET($B345,1*(ROWS(C$2:C345)-1),0)</f>
        <v>0</v>
      </c>
      <c r="D345" s="27">
        <f>Ft!B$3*EXP(Ft!B$38*($A345-Ft!B$2)^2) +Ft!C$3*EXP(Ft!C$38*($A345-Ft!C$2)^2) + Ft!D$3*EXP(Ft!D$38*($A345-Ft!D$2)^2)+Ft!E$3*EXP(Ft!E$38*($A345-Ft!E$2)^2) +Ft!F$3*EXP(Ft!F$38*($A345-Ft!F$2)^2) + Ft!G$3*EXP(Ft!G$38*($A345-Ft!G$2)^2)</f>
        <v>198262.65935124367</v>
      </c>
      <c r="E345" s="27">
        <f>Ft!B$3*EXP(Ft!B$38*($A345-Ft!B$2)^2)</f>
        <v>-115898.982902028</v>
      </c>
      <c r="F345" s="27">
        <f>Ft!C$3*EXP(Ft!C$38*($A345-Ft!C$2)^2)</f>
        <v>0</v>
      </c>
      <c r="G345" s="27">
        <f>Ft!D$3*EXP(Ft!D$38*($A345-Ft!D$2)^2)</f>
        <v>314133.17121447582</v>
      </c>
      <c r="H345" s="27">
        <f>Ft!E$3*EXP(Ft!E$38*($A345-Ft!E$2)^2)</f>
        <v>2.4708129071713777E-10</v>
      </c>
      <c r="I345" s="27">
        <f>Ft!F$3*EXP(Ft!F$38*($A345-Ft!F$2)^2)</f>
        <v>28.471038795638236</v>
      </c>
      <c r="J345" s="27">
        <f>Ft!G$3*EXP(Ft!G$38*($A345-Ft!G$2)^2)</f>
        <v>0</v>
      </c>
    </row>
    <row r="346" spans="1:10">
      <c r="A346" s="20">
        <v>344</v>
      </c>
      <c r="B346" s="29">
        <v>48.426950072791385</v>
      </c>
      <c r="C346" s="28">
        <f ca="1">OFFSET($B346,1*(ROWS(C$2:C346)-1),0)</f>
        <v>0</v>
      </c>
      <c r="D346" s="27">
        <f>Ft!B$3*EXP(Ft!B$38*($A346-Ft!B$2)^2) +Ft!C$3*EXP(Ft!C$38*($A346-Ft!C$2)^2) + Ft!D$3*EXP(Ft!D$38*($A346-Ft!D$2)^2)+Ft!E$3*EXP(Ft!E$38*($A346-Ft!E$2)^2) +Ft!F$3*EXP(Ft!F$38*($A346-Ft!F$2)^2) + Ft!G$3*EXP(Ft!G$38*($A346-Ft!G$2)^2)</f>
        <v>194472.29292263059</v>
      </c>
      <c r="E346" s="27">
        <f>Ft!B$3*EXP(Ft!B$38*($A346-Ft!B$2)^2)</f>
        <v>-115900.20465376481</v>
      </c>
      <c r="F346" s="27">
        <f>Ft!C$3*EXP(Ft!C$38*($A346-Ft!C$2)^2)</f>
        <v>0</v>
      </c>
      <c r="G346" s="27">
        <f>Ft!D$3*EXP(Ft!D$38*($A346-Ft!D$2)^2)</f>
        <v>310345.87946225016</v>
      </c>
      <c r="H346" s="27">
        <f>Ft!E$3*EXP(Ft!E$38*($A346-Ft!E$2)^2)</f>
        <v>2.0251771555765942E-10</v>
      </c>
      <c r="I346" s="27">
        <f>Ft!F$3*EXP(Ft!F$38*($A346-Ft!F$2)^2)</f>
        <v>26.618114145043123</v>
      </c>
      <c r="J346" s="27">
        <f>Ft!G$3*EXP(Ft!G$38*($A346-Ft!G$2)^2)</f>
        <v>0</v>
      </c>
    </row>
    <row r="347" spans="1:10">
      <c r="A347" s="20">
        <v>345</v>
      </c>
      <c r="B347" s="29">
        <v>48.410894037725512</v>
      </c>
      <c r="C347" s="28">
        <f ca="1">OFFSET($B347,1*(ROWS(C$2:C347)-1),0)</f>
        <v>0</v>
      </c>
      <c r="D347" s="27">
        <f>Ft!B$3*EXP(Ft!B$38*($A347-Ft!B$2)^2) +Ft!C$3*EXP(Ft!C$38*($A347-Ft!C$2)^2) + Ft!D$3*EXP(Ft!D$38*($A347-Ft!D$2)^2)+Ft!E$3*EXP(Ft!E$38*($A347-Ft!E$2)^2) +Ft!F$3*EXP(Ft!F$38*($A347-Ft!F$2)^2) + Ft!G$3*EXP(Ft!G$38*($A347-Ft!G$2)^2)</f>
        <v>190691.60763403389</v>
      </c>
      <c r="E347" s="27">
        <f>Ft!B$3*EXP(Ft!B$38*($A347-Ft!B$2)^2)</f>
        <v>-115901.42588262967</v>
      </c>
      <c r="F347" s="27">
        <f>Ft!C$3*EXP(Ft!C$38*($A347-Ft!C$2)^2)</f>
        <v>0</v>
      </c>
      <c r="G347" s="27">
        <f>Ft!D$3*EXP(Ft!D$38*($A347-Ft!D$2)^2)</f>
        <v>306568.15424572304</v>
      </c>
      <c r="H347" s="27">
        <f>Ft!E$3*EXP(Ft!E$38*($A347-Ft!E$2)^2)</f>
        <v>1.6589153706852554E-10</v>
      </c>
      <c r="I347" s="27">
        <f>Ft!F$3*EXP(Ft!F$38*($A347-Ft!F$2)^2)</f>
        <v>24.879270940343108</v>
      </c>
      <c r="J347" s="27">
        <f>Ft!G$3*EXP(Ft!G$38*($A347-Ft!G$2)^2)</f>
        <v>0</v>
      </c>
    </row>
    <row r="348" spans="1:10">
      <c r="A348" s="20">
        <v>346</v>
      </c>
      <c r="B348" s="29">
        <v>48.435566412793861</v>
      </c>
      <c r="C348" s="28">
        <f ca="1">OFFSET($B348,1*(ROWS(C$2:C348)-1),0)</f>
        <v>0</v>
      </c>
      <c r="D348" s="27">
        <f>Ft!B$3*EXP(Ft!B$38*($A348-Ft!B$2)^2) +Ft!C$3*EXP(Ft!C$38*($A348-Ft!C$2)^2) + Ft!D$3*EXP(Ft!D$38*($A348-Ft!D$2)^2)+Ft!E$3*EXP(Ft!E$38*($A348-Ft!E$2)^2) +Ft!F$3*EXP(Ft!F$38*($A348-Ft!F$2)^2) + Ft!G$3*EXP(Ft!G$38*($A348-Ft!G$2)^2)</f>
        <v>186921.36449773674</v>
      </c>
      <c r="E348" s="27">
        <f>Ft!B$3*EXP(Ft!B$38*($A348-Ft!B$2)^2)</f>
        <v>-115902.64658860578</v>
      </c>
      <c r="F348" s="27">
        <f>Ft!C$3*EXP(Ft!C$38*($A348-Ft!C$2)^2)</f>
        <v>0</v>
      </c>
      <c r="G348" s="27">
        <f>Ft!D$3*EXP(Ft!D$38*($A348-Ft!D$2)^2)</f>
        <v>302800.76314972527</v>
      </c>
      <c r="H348" s="27">
        <f>Ft!E$3*EXP(Ft!E$38*($A348-Ft!E$2)^2)</f>
        <v>1.3580741891004531E-10</v>
      </c>
      <c r="I348" s="27">
        <f>Ft!F$3*EXP(Ft!F$38*($A348-Ft!F$2)^2)</f>
        <v>23.247936617089735</v>
      </c>
      <c r="J348" s="27">
        <f>Ft!G$3*EXP(Ft!G$38*($A348-Ft!G$2)^2)</f>
        <v>0</v>
      </c>
    </row>
    <row r="349" spans="1:10">
      <c r="A349" s="20">
        <v>347</v>
      </c>
      <c r="B349" s="29">
        <v>48.450051106279886</v>
      </c>
      <c r="C349" s="28">
        <f ca="1">OFFSET($B349,1*(ROWS(C$2:C349)-1),0)</f>
        <v>0</v>
      </c>
      <c r="D349" s="27">
        <f>Ft!B$3*EXP(Ft!B$38*($A349-Ft!B$2)^2) +Ft!C$3*EXP(Ft!C$38*($A349-Ft!C$2)^2) + Ft!D$3*EXP(Ft!D$38*($A349-Ft!D$2)^2)+Ft!E$3*EXP(Ft!E$38*($A349-Ft!E$2)^2) +Ft!F$3*EXP(Ft!F$38*($A349-Ft!F$2)^2) + Ft!G$3*EXP(Ft!G$38*($A349-Ft!G$2)^2)</f>
        <v>183162.31185942653</v>
      </c>
      <c r="E349" s="27">
        <f>Ft!B$3*EXP(Ft!B$38*($A349-Ft!B$2)^2)</f>
        <v>-115903.86677167634</v>
      </c>
      <c r="F349" s="27">
        <f>Ft!C$3*EXP(Ft!C$38*($A349-Ft!C$2)^2)</f>
        <v>0</v>
      </c>
      <c r="G349" s="27">
        <f>Ft!D$3*EXP(Ft!D$38*($A349-Ft!D$2)^2)</f>
        <v>299044.46074392198</v>
      </c>
      <c r="H349" s="27">
        <f>Ft!E$3*EXP(Ft!E$38*($A349-Ft!E$2)^2)</f>
        <v>1.1111196097032899E-10</v>
      </c>
      <c r="I349" s="27">
        <f>Ft!F$3*EXP(Ft!F$38*($A349-Ft!F$2)^2)</f>
        <v>21.717887180764347</v>
      </c>
      <c r="J349" s="27">
        <f>Ft!G$3*EXP(Ft!G$38*($A349-Ft!G$2)^2)</f>
        <v>0</v>
      </c>
    </row>
    <row r="350" spans="1:10">
      <c r="A350" s="20">
        <v>348</v>
      </c>
      <c r="B350" s="29">
        <v>48.452640616931717</v>
      </c>
      <c r="C350" s="28">
        <f ca="1">OFFSET($B350,1*(ROWS(C$2:C350)-1),0)</f>
        <v>0</v>
      </c>
      <c r="D350" s="27">
        <f>Ft!B$3*EXP(Ft!B$38*($A350-Ft!B$2)^2) +Ft!C$3*EXP(Ft!C$38*($A350-Ft!C$2)^2) + Ft!D$3*EXP(Ft!D$38*($A350-Ft!D$2)^2)+Ft!E$3*EXP(Ft!E$38*($A350-Ft!E$2)^2) +Ft!F$3*EXP(Ft!F$38*($A350-Ft!F$2)^2) + Ft!G$3*EXP(Ft!G$38*($A350-Ft!G$2)^2)</f>
        <v>179415.18518845082</v>
      </c>
      <c r="E350" s="27">
        <f>Ft!B$3*EXP(Ft!B$38*($A350-Ft!B$2)^2)</f>
        <v>-115905.0864318246</v>
      </c>
      <c r="F350" s="27">
        <f>Ft!C$3*EXP(Ft!C$38*($A350-Ft!C$2)^2)</f>
        <v>0</v>
      </c>
      <c r="G350" s="27">
        <f>Ft!D$3*EXP(Ft!D$38*($A350-Ft!D$2)^2)</f>
        <v>295299.98838962719</v>
      </c>
      <c r="H350" s="27">
        <f>Ft!E$3*EXP(Ft!E$38*($A350-Ft!E$2)^2)</f>
        <v>9.0852353546285402E-11</v>
      </c>
      <c r="I350" s="27">
        <f>Ft!F$3*EXP(Ft!F$38*($A350-Ft!F$2)^2)</f>
        <v>20.283230648155541</v>
      </c>
      <c r="J350" s="27">
        <f>Ft!G$3*EXP(Ft!G$38*($A350-Ft!G$2)^2)</f>
        <v>0</v>
      </c>
    </row>
    <row r="351" spans="1:10">
      <c r="A351" s="20">
        <v>349</v>
      </c>
      <c r="B351" s="29">
        <v>48.462693638557425</v>
      </c>
      <c r="C351" s="28">
        <f ca="1">OFFSET($B351,1*(ROWS(C$2:C351)-1),0)</f>
        <v>0</v>
      </c>
      <c r="D351" s="27">
        <f>Ft!B$3*EXP(Ft!B$38*($A351-Ft!B$2)^2) +Ft!C$3*EXP(Ft!C$38*($A351-Ft!C$2)^2) + Ft!D$3*EXP(Ft!D$38*($A351-Ft!D$2)^2)+Ft!E$3*EXP(Ft!E$38*($A351-Ft!E$2)^2) +Ft!F$3*EXP(Ft!F$38*($A351-Ft!F$2)^2) + Ft!G$3*EXP(Ft!G$38*($A351-Ft!G$2)^2)</f>
        <v>175680.70687885181</v>
      </c>
      <c r="E351" s="27">
        <f>Ft!B$3*EXP(Ft!B$38*($A351-Ft!B$2)^2)</f>
        <v>-115906.30556903375</v>
      </c>
      <c r="F351" s="27">
        <f>Ft!C$3*EXP(Ft!C$38*($A351-Ft!C$2)^2)</f>
        <v>0</v>
      </c>
      <c r="G351" s="27">
        <f>Ft!D$3*EXP(Ft!D$38*($A351-Ft!D$2)^2)</f>
        <v>291568.0740567288</v>
      </c>
      <c r="H351" s="27">
        <f>Ft!E$3*EXP(Ft!E$38*($A351-Ft!E$2)^2)</f>
        <v>7.4241990127747052E-11</v>
      </c>
      <c r="I351" s="27">
        <f>Ft!F$3*EXP(Ft!F$38*($A351-Ft!F$2)^2)</f>
        <v>18.938391156678705</v>
      </c>
      <c r="J351" s="27">
        <f>Ft!G$3*EXP(Ft!G$38*($A351-Ft!G$2)^2)</f>
        <v>0</v>
      </c>
    </row>
    <row r="352" spans="1:10">
      <c r="A352" s="20">
        <v>350</v>
      </c>
      <c r="B352" s="29">
        <v>48.476703941441542</v>
      </c>
      <c r="C352" s="28">
        <f ca="1">OFFSET($B352,1*(ROWS(C$2:C352)-1),0)</f>
        <v>0</v>
      </c>
      <c r="D352" s="27">
        <f>Ft!B$3*EXP(Ft!B$38*($A352-Ft!B$2)^2) +Ft!C$3*EXP(Ft!C$38*($A352-Ft!C$2)^2) + Ft!D$3*EXP(Ft!D$38*($A352-Ft!D$2)^2)+Ft!E$3*EXP(Ft!E$38*($A352-Ft!E$2)^2) +Ft!F$3*EXP(Ft!F$38*($A352-Ft!F$2)^2) + Ft!G$3*EXP(Ft!G$38*($A352-Ft!G$2)^2)</f>
        <v>171959.5860611636</v>
      </c>
      <c r="E352" s="27">
        <f>Ft!B$3*EXP(Ft!B$38*($A352-Ft!B$2)^2)</f>
        <v>-115907.52418328702</v>
      </c>
      <c r="F352" s="27">
        <f>Ft!C$3*EXP(Ft!C$38*($A352-Ft!C$2)^2)</f>
        <v>0</v>
      </c>
      <c r="G352" s="27">
        <f>Ft!D$3*EXP(Ft!D$38*($A352-Ft!D$2)^2)</f>
        <v>287849.43215072877</v>
      </c>
      <c r="H352" s="27">
        <f>Ft!E$3*EXP(Ft!E$38*($A352-Ft!E$2)^2)</f>
        <v>6.0631886446376325E-11</v>
      </c>
      <c r="I352" s="27">
        <f>Ft!F$3*EXP(Ft!F$38*($A352-Ft!F$2)^2)</f>
        <v>17.67809372178646</v>
      </c>
      <c r="J352" s="27">
        <f>Ft!G$3*EXP(Ft!G$38*($A352-Ft!G$2)^2)</f>
        <v>0</v>
      </c>
    </row>
    <row r="353" spans="1:10">
      <c r="A353" s="20">
        <v>351</v>
      </c>
      <c r="B353" s="29">
        <v>48.46853756695694</v>
      </c>
      <c r="C353" s="28">
        <f ca="1">OFFSET($B353,1*(ROWS(C$2:C353)-1),0)</f>
        <v>0</v>
      </c>
      <c r="D353" s="27">
        <f>Ft!B$3*EXP(Ft!B$38*($A353-Ft!B$2)^2) +Ft!C$3*EXP(Ft!C$38*($A353-Ft!C$2)^2) + Ft!D$3*EXP(Ft!D$38*($A353-Ft!D$2)^2)+Ft!E$3*EXP(Ft!E$38*($A353-Ft!E$2)^2) +Ft!F$3*EXP(Ft!F$38*($A353-Ft!F$2)^2) + Ft!G$3*EXP(Ft!G$38*($A353-Ft!G$2)^2)</f>
        <v>168252.51842494705</v>
      </c>
      <c r="E353" s="27">
        <f>Ft!B$3*EXP(Ft!B$38*($A353-Ft!B$2)^2)</f>
        <v>-115908.74227456766</v>
      </c>
      <c r="F353" s="27">
        <f>Ft!C$3*EXP(Ft!C$38*($A353-Ft!C$2)^2)</f>
        <v>0</v>
      </c>
      <c r="G353" s="27">
        <f>Ft!D$3*EXP(Ft!D$38*($A353-Ft!D$2)^2)</f>
        <v>284144.76334989187</v>
      </c>
      <c r="H353" s="27">
        <f>Ft!E$3*EXP(Ft!E$38*($A353-Ft!E$2)^2)</f>
        <v>4.9486941019958989E-11</v>
      </c>
      <c r="I353" s="27">
        <f>Ft!F$3*EXP(Ft!F$38*($A353-Ft!F$2)^2)</f>
        <v>16.497349622780582</v>
      </c>
      <c r="J353" s="27">
        <f>Ft!G$3*EXP(Ft!G$38*($A353-Ft!G$2)^2)</f>
        <v>0</v>
      </c>
    </row>
    <row r="354" spans="1:10">
      <c r="A354" s="20">
        <v>352</v>
      </c>
      <c r="B354" s="29">
        <v>48.469473069139269</v>
      </c>
      <c r="C354" s="28">
        <f ca="1">OFFSET($B354,1*(ROWS(C$2:C354)-1),0)</f>
        <v>0</v>
      </c>
      <c r="D354" s="27">
        <f>Ft!B$3*EXP(Ft!B$38*($A354-Ft!B$2)^2) +Ft!C$3*EXP(Ft!C$38*($A354-Ft!C$2)^2) + Ft!D$3*EXP(Ft!D$38*($A354-Ft!D$2)^2)+Ft!E$3*EXP(Ft!E$38*($A354-Ft!E$2)^2) +Ft!F$3*EXP(Ft!F$38*($A354-Ft!F$2)^2) + Ft!G$3*EXP(Ft!G$38*($A354-Ft!G$2)^2)</f>
        <v>164560.18605202908</v>
      </c>
      <c r="E354" s="27">
        <f>Ft!B$3*EXP(Ft!B$38*($A354-Ft!B$2)^2)</f>
        <v>-115909.95984285889</v>
      </c>
      <c r="F354" s="27">
        <f>Ft!C$3*EXP(Ft!C$38*($A354-Ft!C$2)^2)</f>
        <v>0</v>
      </c>
      <c r="G354" s="27">
        <f>Ft!D$3*EXP(Ft!D$38*($A354-Ft!D$2)^2)</f>
        <v>280454.75445249042</v>
      </c>
      <c r="H354" s="27">
        <f>Ft!E$3*EXP(Ft!E$38*($A354-Ft!E$2)^2)</f>
        <v>4.0366230016784128E-11</v>
      </c>
      <c r="I354" s="27">
        <f>Ft!F$3*EXP(Ft!F$38*($A354-Ft!F$2)^2)</f>
        <v>15.391442397527291</v>
      </c>
      <c r="J354" s="27">
        <f>Ft!G$3*EXP(Ft!G$38*($A354-Ft!G$2)^2)</f>
        <v>0</v>
      </c>
    </row>
    <row r="355" spans="1:10">
      <c r="A355" s="20">
        <v>353</v>
      </c>
      <c r="B355" s="29">
        <v>48.464350837322087</v>
      </c>
      <c r="C355" s="28">
        <f ca="1">OFFSET($B355,1*(ROWS(C$2:C355)-1),0)</f>
        <v>0</v>
      </c>
      <c r="D355" s="27">
        <f>Ft!B$3*EXP(Ft!B$38*($A355-Ft!B$2)^2) +Ft!C$3*EXP(Ft!C$38*($A355-Ft!C$2)^2) + Ft!D$3*EXP(Ft!D$38*($A355-Ft!D$2)^2)+Ft!E$3*EXP(Ft!E$38*($A355-Ft!E$2)^2) +Ft!F$3*EXP(Ft!F$38*($A355-Ft!F$2)^2) + Ft!G$3*EXP(Ft!G$38*($A355-Ft!G$2)^2)</f>
        <v>160883.25726040584</v>
      </c>
      <c r="E355" s="27">
        <f>Ft!B$3*EXP(Ft!B$38*($A355-Ft!B$2)^2)</f>
        <v>-115911.17688814399</v>
      </c>
      <c r="F355" s="27">
        <f>Ft!C$3*EXP(Ft!C$38*($A355-Ft!C$2)^2)</f>
        <v>0</v>
      </c>
      <c r="G355" s="27">
        <f>Ft!D$3*EXP(Ft!D$38*($A355-Ft!D$2)^2)</f>
        <v>276780.07823412301</v>
      </c>
      <c r="H355" s="27">
        <f>Ft!E$3*EXP(Ft!E$38*($A355-Ft!E$2)^2)</f>
        <v>3.290666158067364E-11</v>
      </c>
      <c r="I355" s="27">
        <f>Ft!F$3*EXP(Ft!F$38*($A355-Ft!F$2)^2)</f>
        <v>14.355914426796177</v>
      </c>
      <c r="J355" s="27">
        <f>Ft!G$3*EXP(Ft!G$38*($A355-Ft!G$2)^2)</f>
        <v>0</v>
      </c>
    </row>
    <row r="356" spans="1:10">
      <c r="A356" s="20">
        <v>354</v>
      </c>
      <c r="B356" s="29">
        <v>48.4449965426343</v>
      </c>
      <c r="C356" s="28">
        <f ca="1">OFFSET($B356,1*(ROWS(C$2:C356)-1),0)</f>
        <v>0</v>
      </c>
      <c r="D356" s="27">
        <f>Ft!B$3*EXP(Ft!B$38*($A356-Ft!B$2)^2) +Ft!C$3*EXP(Ft!C$38*($A356-Ft!C$2)^2) + Ft!D$3*EXP(Ft!D$38*($A356-Ft!D$2)^2)+Ft!E$3*EXP(Ft!E$38*($A356-Ft!E$2)^2) +Ft!F$3*EXP(Ft!F$38*($A356-Ft!F$2)^2) + Ft!G$3*EXP(Ft!G$38*($A356-Ft!G$2)^2)</f>
        <v>157222.38645876088</v>
      </c>
      <c r="E356" s="27">
        <f>Ft!B$3*EXP(Ft!B$38*($A356-Ft!B$2)^2)</f>
        <v>-115912.39341040619</v>
      </c>
      <c r="F356" s="27">
        <f>Ft!C$3*EXP(Ft!C$38*($A356-Ft!C$2)^2)</f>
        <v>0</v>
      </c>
      <c r="G356" s="27">
        <f>Ft!D$3*EXP(Ft!D$38*($A356-Ft!D$2)^2)</f>
        <v>273121.39331507788</v>
      </c>
      <c r="H356" s="27">
        <f>Ft!E$3*EXP(Ft!E$38*($A356-Ft!E$2)^2)</f>
        <v>2.6809425771030995E-11</v>
      </c>
      <c r="I356" s="27">
        <f>Ft!F$3*EXP(Ft!F$38*($A356-Ft!F$2)^2)</f>
        <v>13.386554089183832</v>
      </c>
      <c r="J356" s="27">
        <f>Ft!G$3*EXP(Ft!G$38*($A356-Ft!G$2)^2)</f>
        <v>0</v>
      </c>
    </row>
    <row r="357" spans="1:10">
      <c r="A357" s="20">
        <v>355</v>
      </c>
      <c r="B357" s="29">
        <v>48.429167722512091</v>
      </c>
      <c r="C357" s="28">
        <f ca="1">OFFSET($B357,1*(ROWS(C$2:C357)-1),0)</f>
        <v>0</v>
      </c>
      <c r="D357" s="27">
        <f>Ft!B$3*EXP(Ft!B$38*($A357-Ft!B$2)^2) +Ft!C$3*EXP(Ft!C$38*($A357-Ft!C$2)^2) + Ft!D$3*EXP(Ft!D$38*($A357-Ft!D$2)^2)+Ft!E$3*EXP(Ft!E$38*($A357-Ft!E$2)^2) +Ft!F$3*EXP(Ft!F$38*($A357-Ft!F$2)^2) + Ft!G$3*EXP(Ft!G$38*($A357-Ft!G$2)^2)</f>
        <v>153578.2140115425</v>
      </c>
      <c r="E357" s="27">
        <f>Ft!B$3*EXP(Ft!B$38*($A357-Ft!B$2)^2)</f>
        <v>-115913.60940962879</v>
      </c>
      <c r="F357" s="27">
        <f>Ft!C$3*EXP(Ft!C$38*($A357-Ft!C$2)^2)</f>
        <v>0</v>
      </c>
      <c r="G357" s="27">
        <f>Ft!D$3*EXP(Ft!D$38*($A357-Ft!D$2)^2)</f>
        <v>269479.34403770341</v>
      </c>
      <c r="H357" s="27">
        <f>Ft!E$3*EXP(Ft!E$38*($A357-Ft!E$2)^2)</f>
        <v>2.1828769347851104E-11</v>
      </c>
      <c r="I357" s="27">
        <f>Ft!F$3*EXP(Ft!F$38*($A357-Ft!F$2)^2)</f>
        <v>12.479383467849475</v>
      </c>
      <c r="J357" s="27">
        <f>Ft!G$3*EXP(Ft!G$38*($A357-Ft!G$2)^2)</f>
        <v>0</v>
      </c>
    </row>
    <row r="358" spans="1:10">
      <c r="A358" s="20">
        <v>356</v>
      </c>
      <c r="B358" s="29">
        <v>48.407827599763266</v>
      </c>
      <c r="C358" s="28">
        <f ca="1">OFFSET($B358,1*(ROWS(C$2:C358)-1),0)</f>
        <v>0</v>
      </c>
      <c r="D358" s="27">
        <f>Ft!B$3*EXP(Ft!B$38*($A358-Ft!B$2)^2) +Ft!C$3*EXP(Ft!C$38*($A358-Ft!C$2)^2) + Ft!D$3*EXP(Ft!D$38*($A358-Ft!D$2)^2)+Ft!E$3*EXP(Ft!E$38*($A358-Ft!E$2)^2) +Ft!F$3*EXP(Ft!F$38*($A358-Ft!F$2)^2) + Ft!G$3*EXP(Ft!G$38*($A358-Ft!G$2)^2)</f>
        <v>149951.36611453677</v>
      </c>
      <c r="E358" s="27">
        <f>Ft!B$3*EXP(Ft!B$38*($A358-Ft!B$2)^2)</f>
        <v>-115914.82488579501</v>
      </c>
      <c r="F358" s="27">
        <f>Ft!C$3*EXP(Ft!C$38*($A358-Ft!C$2)^2)</f>
        <v>0</v>
      </c>
      <c r="G358" s="27">
        <f>Ft!D$3*EXP(Ft!D$38*($A358-Ft!D$2)^2)</f>
        <v>265854.56035374117</v>
      </c>
      <c r="H358" s="27">
        <f>Ft!E$3*EXP(Ft!E$38*($A358-Ft!E$2)^2)</f>
        <v>1.7762702612568319E-11</v>
      </c>
      <c r="I358" s="27">
        <f>Ft!F$3*EXP(Ft!F$38*($A358-Ft!F$2)^2)</f>
        <v>11.630646590574123</v>
      </c>
      <c r="J358" s="27">
        <f>Ft!G$3*EXP(Ft!G$38*($A358-Ft!G$2)^2)</f>
        <v>0</v>
      </c>
    </row>
    <row r="359" spans="1:10">
      <c r="A359" s="20">
        <v>357</v>
      </c>
      <c r="B359" s="29">
        <v>48.400304749261238</v>
      </c>
      <c r="C359" s="28">
        <f ca="1">OFFSET($B359,1*(ROWS(C$2:C359)-1),0)</f>
        <v>0</v>
      </c>
      <c r="D359" s="27">
        <f>Ft!B$3*EXP(Ft!B$38*($A359-Ft!B$2)^2) +Ft!C$3*EXP(Ft!C$38*($A359-Ft!C$2)^2) + Ft!D$3*EXP(Ft!D$38*($A359-Ft!D$2)^2)+Ft!E$3*EXP(Ft!E$38*($A359-Ft!E$2)^2) +Ft!F$3*EXP(Ft!F$38*($A359-Ft!F$2)^2) + Ft!G$3*EXP(Ft!G$38*($A359-Ft!G$2)^2)</f>
        <v>146342.45468086458</v>
      </c>
      <c r="E359" s="27">
        <f>Ft!B$3*EXP(Ft!B$38*($A359-Ft!B$2)^2)</f>
        <v>-115916.03983888816</v>
      </c>
      <c r="F359" s="27">
        <f>Ft!C$3*EXP(Ft!C$38*($A359-Ft!C$2)^2)</f>
        <v>0</v>
      </c>
      <c r="G359" s="27">
        <f>Ft!D$3*EXP(Ft!D$38*($A359-Ft!D$2)^2)</f>
        <v>262247.65772156778</v>
      </c>
      <c r="H359" s="27">
        <f>Ft!E$3*EXP(Ft!E$38*($A359-Ft!E$2)^2)</f>
        <v>1.4445310803920754E-11</v>
      </c>
      <c r="I359" s="27">
        <f>Ft!F$3*EXP(Ft!F$38*($A359-Ft!F$2)^2)</f>
        <v>10.836798184957054</v>
      </c>
      <c r="J359" s="27">
        <f>Ft!G$3*EXP(Ft!G$38*($A359-Ft!G$2)^2)</f>
        <v>0</v>
      </c>
    </row>
    <row r="360" spans="1:10">
      <c r="A360" s="20">
        <v>358</v>
      </c>
      <c r="B360" s="29">
        <v>48.401364996853658</v>
      </c>
      <c r="C360" s="28">
        <f ca="1">OFFSET($B360,1*(ROWS(C$2:C360)-1),0)</f>
        <v>0</v>
      </c>
      <c r="D360" s="27">
        <f>Ft!B$3*EXP(Ft!B$38*($A360-Ft!B$2)^2) +Ft!C$3*EXP(Ft!C$38*($A360-Ft!C$2)^2) + Ft!D$3*EXP(Ft!D$38*($A360-Ft!D$2)^2)+Ft!E$3*EXP(Ft!E$38*($A360-Ft!E$2)^2) +Ft!F$3*EXP(Ft!F$38*($A360-Ft!F$2)^2) + Ft!G$3*EXP(Ft!G$38*($A360-Ft!G$2)^2)</f>
        <v>142752.07723732648</v>
      </c>
      <c r="E360" s="27">
        <f>Ft!B$3*EXP(Ft!B$38*($A360-Ft!B$2)^2)</f>
        <v>-115917.25426889153</v>
      </c>
      <c r="F360" s="27">
        <f>Ft!C$3*EXP(Ft!C$38*($A360-Ft!C$2)^2)</f>
        <v>0</v>
      </c>
      <c r="G360" s="27">
        <f>Ft!D$3*EXP(Ft!D$38*($A360-Ft!D$2)^2)</f>
        <v>258659.23701328711</v>
      </c>
      <c r="H360" s="27">
        <f>Ft!E$3*EXP(Ft!E$38*($A360-Ft!E$2)^2)</f>
        <v>1.1740397171227748E-11</v>
      </c>
      <c r="I360" s="27">
        <f>Ft!F$3*EXP(Ft!F$38*($A360-Ft!F$2)^2)</f>
        <v>10.09449293088409</v>
      </c>
      <c r="J360" s="27">
        <f>Ft!G$3*EXP(Ft!G$38*($A360-Ft!G$2)^2)</f>
        <v>0</v>
      </c>
    </row>
    <row r="361" spans="1:10">
      <c r="A361" s="20">
        <v>359</v>
      </c>
      <c r="B361" s="29">
        <v>48.379848653955577</v>
      </c>
      <c r="C361" s="28">
        <f ca="1">OFFSET($B361,1*(ROWS(C$2:C361)-1),0)</f>
        <v>0</v>
      </c>
      <c r="D361" s="27">
        <f>Ft!B$3*EXP(Ft!B$38*($A361-Ft!B$2)^2) +Ft!C$3*EXP(Ft!C$38*($A361-Ft!C$2)^2) + Ft!D$3*EXP(Ft!D$38*($A361-Ft!D$2)^2)+Ft!E$3*EXP(Ft!E$38*($A361-Ft!E$2)^2) +Ft!F$3*EXP(Ft!F$38*($A361-Ft!F$2)^2) + Ft!G$3*EXP(Ft!G$38*($A361-Ft!G$2)^2)</f>
        <v>139180.81683100821</v>
      </c>
      <c r="E361" s="27">
        <f>Ft!B$3*EXP(Ft!B$38*($A361-Ft!B$2)^2)</f>
        <v>-115918.4681757884</v>
      </c>
      <c r="F361" s="27">
        <f>Ft!C$3*EXP(Ft!C$38*($A361-Ft!C$2)^2)</f>
        <v>0</v>
      </c>
      <c r="G361" s="27">
        <f>Ft!D$3*EXP(Ft!D$38*($A361-Ft!D$2)^2)</f>
        <v>255089.88443160389</v>
      </c>
      <c r="H361" s="27">
        <f>Ft!E$3*EXP(Ft!E$38*($A361-Ft!E$2)^2)</f>
        <v>9.5362305156820167E-12</v>
      </c>
      <c r="I361" s="27">
        <f>Ft!F$3*EXP(Ft!F$38*($A361-Ft!F$2)^2)</f>
        <v>9.4005751927348253</v>
      </c>
      <c r="J361" s="27">
        <f>Ft!G$3*EXP(Ft!G$38*($A361-Ft!G$2)^2)</f>
        <v>0</v>
      </c>
    </row>
    <row r="362" spans="1:10">
      <c r="A362" s="20">
        <v>360</v>
      </c>
      <c r="B362" s="29">
        <v>48.36602451640249</v>
      </c>
      <c r="C362" s="28">
        <f ca="1">OFFSET($B362,1*(ROWS(C$2:C362)-1),0)</f>
        <v>0</v>
      </c>
      <c r="D362" s="27">
        <f>Ft!B$3*EXP(Ft!B$38*($A362-Ft!B$2)^2) +Ft!C$3*EXP(Ft!C$38*($A362-Ft!C$2)^2) + Ft!D$3*EXP(Ft!D$38*($A362-Ft!D$2)^2)+Ft!E$3*EXP(Ft!E$38*($A362-Ft!E$2)^2) +Ft!F$3*EXP(Ft!F$38*($A362-Ft!F$2)^2) + Ft!G$3*EXP(Ft!G$38*($A362-Ft!G$2)^2)</f>
        <v>135629.24194605774</v>
      </c>
      <c r="E362" s="27">
        <f>Ft!B$3*EXP(Ft!B$38*($A362-Ft!B$2)^2)</f>
        <v>-115919.68155956206</v>
      </c>
      <c r="F362" s="27">
        <f>Ft!C$3*EXP(Ft!C$38*($A362-Ft!C$2)^2)</f>
        <v>0</v>
      </c>
      <c r="G362" s="27">
        <f>Ft!D$3*EXP(Ft!D$38*($A362-Ft!D$2)^2)</f>
        <v>251540.17143640562</v>
      </c>
      <c r="H362" s="27">
        <f>Ft!E$3*EXP(Ft!E$38*($A362-Ft!E$2)^2)</f>
        <v>7.7412081448138539E-12</v>
      </c>
      <c r="I362" s="27">
        <f>Ft!F$3*EXP(Ft!F$38*($A362-Ft!F$2)^2)</f>
        <v>8.7520692141428267</v>
      </c>
      <c r="J362" s="27">
        <f>Ft!G$3*EXP(Ft!G$38*($A362-Ft!G$2)^2)</f>
        <v>0</v>
      </c>
    </row>
    <row r="363" spans="1:10">
      <c r="A363" s="20">
        <v>361</v>
      </c>
      <c r="B363" s="29">
        <v>48.354268138202769</v>
      </c>
      <c r="C363" s="28">
        <f ca="1">OFFSET($B363,1*(ROWS(C$2:C363)-1),0)</f>
        <v>0</v>
      </c>
      <c r="D363" s="27">
        <f>Ft!B$3*EXP(Ft!B$38*($A363-Ft!B$2)^2) +Ft!C$3*EXP(Ft!C$38*($A363-Ft!C$2)^2) + Ft!D$3*EXP(Ft!D$38*($A363-Ft!D$2)^2)+Ft!E$3*EXP(Ft!E$38*($A363-Ft!E$2)^2) +Ft!F$3*EXP(Ft!F$38*($A363-Ft!F$2)^2) + Ft!G$3*EXP(Ft!G$38*($A363-Ft!G$2)^2)</f>
        <v>132097.90643053345</v>
      </c>
      <c r="E363" s="27">
        <f>Ft!B$3*EXP(Ft!B$38*($A363-Ft!B$2)^2)</f>
        <v>-115920.89442019584</v>
      </c>
      <c r="F363" s="27">
        <f>Ft!C$3*EXP(Ft!C$38*($A363-Ft!C$2)^2)</f>
        <v>0</v>
      </c>
      <c r="G363" s="27">
        <f>Ft!D$3*EXP(Ft!D$38*($A363-Ft!D$2)^2)</f>
        <v>248010.65468097079</v>
      </c>
      <c r="H363" s="27">
        <f>Ft!E$3*EXP(Ft!E$38*($A363-Ft!E$2)^2)</f>
        <v>6.2802770400508791E-12</v>
      </c>
      <c r="I363" s="27">
        <f>Ft!F$3*EXP(Ft!F$38*($A363-Ft!F$2)^2)</f>
        <v>8.1461697584803492</v>
      </c>
      <c r="J363" s="27">
        <f>Ft!G$3*EXP(Ft!G$38*($A363-Ft!G$2)^2)</f>
        <v>0</v>
      </c>
    </row>
    <row r="364" spans="1:10">
      <c r="A364" s="20">
        <v>362</v>
      </c>
      <c r="B364" s="29">
        <v>48.346763123046742</v>
      </c>
      <c r="C364" s="28">
        <f ca="1">OFFSET($B364,1*(ROWS(C$2:C364)-1),0)</f>
        <v>0</v>
      </c>
      <c r="D364" s="27">
        <f>Ft!B$3*EXP(Ft!B$38*($A364-Ft!B$2)^2) +Ft!C$3*EXP(Ft!C$38*($A364-Ft!C$2)^2) + Ft!D$3*EXP(Ft!D$38*($A364-Ft!D$2)^2)+Ft!E$3*EXP(Ft!E$38*($A364-Ft!E$2)^2) +Ft!F$3*EXP(Ft!F$38*($A364-Ft!F$2)^2) + Ft!G$3*EXP(Ft!G$38*($A364-Ft!G$2)^2)</f>
        <v>128587.34943322114</v>
      </c>
      <c r="E364" s="27">
        <f>Ft!B$3*EXP(Ft!B$38*($A364-Ft!B$2)^2)</f>
        <v>-115922.10675767303</v>
      </c>
      <c r="F364" s="27">
        <f>Ft!C$3*EXP(Ft!C$38*($A364-Ft!C$2)^2)</f>
        <v>0</v>
      </c>
      <c r="G364" s="27">
        <f>Ft!D$3*EXP(Ft!D$38*($A364-Ft!D$2)^2)</f>
        <v>244501.87595771556</v>
      </c>
      <c r="H364" s="27">
        <f>Ft!E$3*EXP(Ft!E$38*($A364-Ft!E$2)^2)</f>
        <v>5.0919826138510789E-12</v>
      </c>
      <c r="I364" s="27">
        <f>Ft!F$3*EXP(Ft!F$38*($A364-Ft!F$2)^2)</f>
        <v>7.5802331786064245</v>
      </c>
      <c r="J364" s="27">
        <f>Ft!G$3*EXP(Ft!G$38*($A364-Ft!G$2)^2)</f>
        <v>0</v>
      </c>
    </row>
    <row r="365" spans="1:10">
      <c r="A365" s="20">
        <v>363</v>
      </c>
      <c r="B365" s="29">
        <v>48.337620508657835</v>
      </c>
      <c r="C365" s="28">
        <f ca="1">OFFSET($B365,1*(ROWS(C$2:C365)-1),0)</f>
        <v>0</v>
      </c>
      <c r="D365" s="27">
        <f>Ft!B$3*EXP(Ft!B$38*($A365-Ft!B$2)^2) +Ft!C$3*EXP(Ft!C$38*($A365-Ft!C$2)^2) + Ft!D$3*EXP(Ft!D$38*($A365-Ft!D$2)^2)+Ft!E$3*EXP(Ft!E$38*($A365-Ft!E$2)^2) +Ft!F$3*EXP(Ft!F$38*($A365-Ft!F$2)^2) + Ft!G$3*EXP(Ft!G$38*($A365-Ft!G$2)^2)</f>
        <v>125098.09535030652</v>
      </c>
      <c r="E365" s="27">
        <f>Ft!B$3*EXP(Ft!B$38*($A365-Ft!B$2)^2)</f>
        <v>-115923.31857197697</v>
      </c>
      <c r="F365" s="27">
        <f>Ft!C$3*EXP(Ft!C$38*($A365-Ft!C$2)^2)</f>
        <v>0</v>
      </c>
      <c r="G365" s="27">
        <f>Ft!D$3*EXP(Ft!D$38*($A365-Ft!D$2)^2)</f>
        <v>241014.3621533837</v>
      </c>
      <c r="H365" s="27">
        <f>Ft!E$3*EXP(Ft!E$38*($A365-Ft!E$2)^2)</f>
        <v>4.1260365903225185E-12</v>
      </c>
      <c r="I365" s="27">
        <f>Ft!F$3*EXP(Ft!F$38*($A365-Ft!F$2)^2)</f>
        <v>7.0517688997914911</v>
      </c>
      <c r="J365" s="27">
        <f>Ft!G$3*EXP(Ft!G$38*($A365-Ft!G$2)^2)</f>
        <v>0</v>
      </c>
    </row>
    <row r="366" spans="1:10">
      <c r="A366" s="20">
        <v>364</v>
      </c>
      <c r="B366" s="29">
        <v>48.335573358999739</v>
      </c>
      <c r="C366" s="28">
        <f ca="1">OFFSET($B366,1*(ROWS(C$2:C366)-1),0)</f>
        <v>0</v>
      </c>
      <c r="D366" s="27">
        <f>Ft!B$3*EXP(Ft!B$38*($A366-Ft!B$2)^2) +Ft!C$3*EXP(Ft!C$38*($A366-Ft!C$2)^2) + Ft!D$3*EXP(Ft!D$38*($A366-Ft!D$2)^2)+Ft!E$3*EXP(Ft!E$38*($A366-Ft!E$2)^2) +Ft!F$3*EXP(Ft!F$38*($A366-Ft!F$2)^2) + Ft!G$3*EXP(Ft!G$38*($A366-Ft!G$2)^2)</f>
        <v>121630.65378178914</v>
      </c>
      <c r="E366" s="27">
        <f>Ft!B$3*EXP(Ft!B$38*($A366-Ft!B$2)^2)</f>
        <v>-115924.52986309098</v>
      </c>
      <c r="F366" s="27">
        <f>Ft!C$3*EXP(Ft!C$38*($A366-Ft!C$2)^2)</f>
        <v>0</v>
      </c>
      <c r="G366" s="27">
        <f>Ft!D$3*EXP(Ft!D$38*($A366-Ft!D$2)^2)</f>
        <v>237548.62521358</v>
      </c>
      <c r="H366" s="27">
        <f>Ft!E$3*EXP(Ft!E$38*($A366-Ft!E$2)^2)</f>
        <v>3.3413140034707892E-12</v>
      </c>
      <c r="I366" s="27">
        <f>Ft!F$3*EXP(Ft!F$38*($A366-Ft!F$2)^2)</f>
        <v>6.5584313001141537</v>
      </c>
      <c r="J366" s="27">
        <f>Ft!G$3*EXP(Ft!G$38*($A366-Ft!G$2)^2)</f>
        <v>0</v>
      </c>
    </row>
    <row r="367" spans="1:10">
      <c r="A367" s="20">
        <v>365</v>
      </c>
      <c r="B367" s="29">
        <v>48.341415236859348</v>
      </c>
      <c r="C367" s="28">
        <f ca="1">OFFSET($B367,1*(ROWS(C$2:C367)-1),0)</f>
        <v>0</v>
      </c>
      <c r="D367" s="27">
        <f>Ft!B$3*EXP(Ft!B$38*($A367-Ft!B$2)^2) +Ft!C$3*EXP(Ft!C$38*($A367-Ft!C$2)^2) + Ft!D$3*EXP(Ft!D$38*($A367-Ft!D$2)^2)+Ft!E$3*EXP(Ft!E$38*($A367-Ft!E$2)^2) +Ft!F$3*EXP(Ft!F$38*($A367-Ft!F$2)^2) + Ft!G$3*EXP(Ft!G$38*($A367-Ft!G$2)^2)</f>
        <v>118185.51949751274</v>
      </c>
      <c r="E367" s="27">
        <f>Ft!B$3*EXP(Ft!B$38*($A367-Ft!B$2)^2)</f>
        <v>-115925.74063099839</v>
      </c>
      <c r="F367" s="27">
        <f>Ft!C$3*EXP(Ft!C$38*($A367-Ft!C$2)^2)</f>
        <v>0</v>
      </c>
      <c r="G367" s="27">
        <f>Ft!D$3*EXP(Ft!D$38*($A367-Ft!D$2)^2)</f>
        <v>234105.16211653812</v>
      </c>
      <c r="H367" s="27">
        <f>Ft!E$3*EXP(Ft!E$38*($A367-Ft!E$2)^2)</f>
        <v>2.7042046764361972E-12</v>
      </c>
      <c r="I367" s="27">
        <f>Ft!F$3*EXP(Ft!F$38*($A367-Ft!F$2)^2)</f>
        <v>6.0980119730124267</v>
      </c>
      <c r="J367" s="27">
        <f>Ft!G$3*EXP(Ft!G$38*($A367-Ft!G$2)^2)</f>
        <v>0</v>
      </c>
    </row>
    <row r="368" spans="1:10">
      <c r="A368" s="20">
        <v>366</v>
      </c>
      <c r="B368" s="29">
        <v>48.342509756216572</v>
      </c>
      <c r="C368" s="28">
        <f ca="1">OFFSET($B368,1*(ROWS(C$2:C368)-1),0)</f>
        <v>0</v>
      </c>
      <c r="D368" s="27">
        <f>Ft!B$3*EXP(Ft!B$38*($A368-Ft!B$2)^2) +Ft!C$3*EXP(Ft!C$38*($A368-Ft!C$2)^2) + Ft!D$3*EXP(Ft!D$38*($A368-Ft!D$2)^2)+Ft!E$3*EXP(Ft!E$38*($A368-Ft!E$2)^2) +Ft!F$3*EXP(Ft!F$38*($A368-Ft!F$2)^2) + Ft!G$3*EXP(Ft!G$38*($A368-Ft!G$2)^2)</f>
        <v>114763.17241268548</v>
      </c>
      <c r="E368" s="27">
        <f>Ft!B$3*EXP(Ft!B$38*($A368-Ft!B$2)^2)</f>
        <v>-115926.95087568255</v>
      </c>
      <c r="F368" s="27">
        <f>Ft!C$3*EXP(Ft!C$38*($A368-Ft!C$2)^2)</f>
        <v>0</v>
      </c>
      <c r="G368" s="27">
        <f>Ft!D$3*EXP(Ft!D$38*($A368-Ft!D$2)^2)</f>
        <v>230684.45485601097</v>
      </c>
      <c r="H368" s="27">
        <f>Ft!E$3*EXP(Ft!E$38*($A368-Ft!E$2)^2)</f>
        <v>2.1872573319519306E-12</v>
      </c>
      <c r="I368" s="27">
        <f>Ft!F$3*EXP(Ft!F$38*($A368-Ft!F$2)^2)</f>
        <v>5.668432357062251</v>
      </c>
      <c r="J368" s="27">
        <f>Ft!G$3*EXP(Ft!G$38*($A368-Ft!G$2)^2)</f>
        <v>0</v>
      </c>
    </row>
    <row r="369" spans="1:10">
      <c r="A369" s="20">
        <v>367</v>
      </c>
      <c r="B369" s="29">
        <v>48.332330066268213</v>
      </c>
      <c r="C369" s="28">
        <f ca="1">OFFSET($B369,1*(ROWS(C$2:C369)-1),0)</f>
        <v>0</v>
      </c>
      <c r="D369" s="27">
        <f>Ft!B$3*EXP(Ft!B$38*($A369-Ft!B$2)^2) +Ft!C$3*EXP(Ft!C$38*($A369-Ft!C$2)^2) + Ft!D$3*EXP(Ft!D$38*($A369-Ft!D$2)^2)+Ft!E$3*EXP(Ft!E$38*($A369-Ft!E$2)^2) +Ft!F$3*EXP(Ft!F$38*($A369-Ft!F$2)^2) + Ft!G$3*EXP(Ft!G$38*($A369-Ft!G$2)^2)</f>
        <v>111364.07757275547</v>
      </c>
      <c r="E369" s="27">
        <f>Ft!B$3*EXP(Ft!B$38*($A369-Ft!B$2)^2)</f>
        <v>-115928.16059712681</v>
      </c>
      <c r="F369" s="27">
        <f>Ft!C$3*EXP(Ft!C$38*($A369-Ft!C$2)^2)</f>
        <v>0</v>
      </c>
      <c r="G369" s="27">
        <f>Ft!D$3*EXP(Ft!D$38*($A369-Ft!D$2)^2)</f>
        <v>227286.97043316383</v>
      </c>
      <c r="H369" s="27">
        <f>Ft!E$3*EXP(Ft!E$38*($A369-Ft!E$2)^2)</f>
        <v>1.7680651152587794E-12</v>
      </c>
      <c r="I369" s="27">
        <f>Ft!F$3*EXP(Ft!F$38*($A369-Ft!F$2)^2)</f>
        <v>5.2677367184507728</v>
      </c>
      <c r="J369" s="27">
        <f>Ft!G$3*EXP(Ft!G$38*($A369-Ft!G$2)^2)</f>
        <v>0</v>
      </c>
    </row>
    <row r="370" spans="1:10">
      <c r="A370" s="20">
        <v>368</v>
      </c>
      <c r="B370" s="29">
        <v>48.32330910097113</v>
      </c>
      <c r="C370" s="28">
        <f ca="1">OFFSET($B370,1*(ROWS(C$2:C370)-1),0)</f>
        <v>0</v>
      </c>
      <c r="D370" s="27">
        <f>Ft!B$3*EXP(Ft!B$38*($A370-Ft!B$2)^2) +Ft!C$3*EXP(Ft!C$38*($A370-Ft!C$2)^2) + Ft!D$3*EXP(Ft!D$38*($A370-Ft!D$2)^2)+Ft!E$3*EXP(Ft!E$38*($A370-Ft!E$2)^2) +Ft!F$3*EXP(Ft!F$38*($A370-Ft!F$2)^2) + Ft!G$3*EXP(Ft!G$38*($A370-Ft!G$2)^2)</f>
        <v>107988.68514750295</v>
      </c>
      <c r="E370" s="27">
        <f>Ft!B$3*EXP(Ft!B$38*($A370-Ft!B$2)^2)</f>
        <v>-115929.3697953145</v>
      </c>
      <c r="F370" s="27">
        <f>Ft!C$3*EXP(Ft!C$38*($A370-Ft!C$2)^2)</f>
        <v>0</v>
      </c>
      <c r="G370" s="27">
        <f>Ft!D$3*EXP(Ft!D$38*($A370-Ft!D$2)^2)</f>
        <v>223913.16085734544</v>
      </c>
      <c r="H370" s="27">
        <f>Ft!E$3*EXP(Ft!E$38*($A370-Ft!E$2)^2)</f>
        <v>1.4283501431922332E-12</v>
      </c>
      <c r="I370" s="27">
        <f>Ft!F$3*EXP(Ft!F$38*($A370-Ft!F$2)^2)</f>
        <v>4.8940854720069566</v>
      </c>
      <c r="J370" s="27">
        <f>Ft!G$3*EXP(Ft!G$38*($A370-Ft!G$2)^2)</f>
        <v>0</v>
      </c>
    </row>
    <row r="371" spans="1:10">
      <c r="A371" s="20">
        <v>369</v>
      </c>
      <c r="B371" s="29">
        <v>48.326443150586897</v>
      </c>
      <c r="C371" s="28">
        <f ca="1">OFFSET($B371,1*(ROWS(C$2:C371)-1),0)</f>
        <v>0</v>
      </c>
      <c r="D371" s="27">
        <f>Ft!B$3*EXP(Ft!B$38*($A371-Ft!B$2)^2) +Ft!C$3*EXP(Ft!C$38*($A371-Ft!C$2)^2) + Ft!D$3*EXP(Ft!D$38*($A371-Ft!D$2)^2)+Ft!E$3*EXP(Ft!E$38*($A371-Ft!E$2)^2) +Ft!F$3*EXP(Ft!F$38*($A371-Ft!F$2)^2) + Ft!G$3*EXP(Ft!G$38*($A371-Ft!G$2)^2)</f>
        <v>104637.43043420468</v>
      </c>
      <c r="E371" s="27">
        <f>Ft!B$3*EXP(Ft!B$38*($A371-Ft!B$2)^2)</f>
        <v>-115930.57847022904</v>
      </c>
      <c r="F371" s="27">
        <f>Ft!C$3*EXP(Ft!C$38*($A371-Ft!C$2)^2)</f>
        <v>0</v>
      </c>
      <c r="G371" s="27">
        <f>Ft!D$3*EXP(Ft!D$38*($A371-Ft!D$2)^2)</f>
        <v>220563.46315560667</v>
      </c>
      <c r="H371" s="27">
        <f>Ft!E$3*EXP(Ft!E$38*($A371-Ft!E$2)^2)</f>
        <v>1.1532120262897305E-12</v>
      </c>
      <c r="I371" s="27">
        <f>Ft!F$3*EXP(Ft!F$38*($A371-Ft!F$2)^2)</f>
        <v>4.5457488270483681</v>
      </c>
      <c r="J371" s="27">
        <f>Ft!G$3*EXP(Ft!G$38*($A371-Ft!G$2)^2)</f>
        <v>0</v>
      </c>
    </row>
    <row r="372" spans="1:10">
      <c r="A372" s="20">
        <v>370</v>
      </c>
      <c r="B372" s="29">
        <v>48.320407294650408</v>
      </c>
      <c r="C372" s="28">
        <f ca="1">OFFSET($B372,1*(ROWS(C$2:C372)-1),0)</f>
        <v>0</v>
      </c>
      <c r="D372" s="27">
        <f>Ft!B$3*EXP(Ft!B$38*($A372-Ft!B$2)^2) +Ft!C$3*EXP(Ft!C$38*($A372-Ft!C$2)^2) + Ft!D$3*EXP(Ft!D$38*($A372-Ft!D$2)^2)+Ft!E$3*EXP(Ft!E$38*($A372-Ft!E$2)^2) +Ft!F$3*EXP(Ft!F$38*($A372-Ft!F$2)^2) + Ft!G$3*EXP(Ft!G$38*($A372-Ft!G$2)^2)</f>
        <v>101310.73386972299</v>
      </c>
      <c r="E372" s="27">
        <f>Ft!B$3*EXP(Ft!B$38*($A372-Ft!B$2)^2)</f>
        <v>-115931.78662185374</v>
      </c>
      <c r="F372" s="27">
        <f>Ft!C$3*EXP(Ft!C$38*($A372-Ft!C$2)^2)</f>
        <v>0</v>
      </c>
      <c r="G372" s="27">
        <f>Ft!D$3*EXP(Ft!D$38*($A372-Ft!D$2)^2)</f>
        <v>217238.29939083202</v>
      </c>
      <c r="H372" s="27">
        <f>Ft!E$3*EXP(Ft!E$38*($A372-Ft!E$2)^2)</f>
        <v>9.3051139484800374E-13</v>
      </c>
      <c r="I372" s="27">
        <f>Ft!F$3*EXP(Ft!F$38*($A372-Ft!F$2)^2)</f>
        <v>4.2211007446998261</v>
      </c>
      <c r="J372" s="27">
        <f>Ft!G$3*EXP(Ft!G$38*($A372-Ft!G$2)^2)</f>
        <v>0</v>
      </c>
    </row>
    <row r="373" spans="1:10">
      <c r="A373" s="20">
        <v>371</v>
      </c>
      <c r="B373" s="29">
        <v>48.301589266440459</v>
      </c>
      <c r="C373" s="28">
        <f ca="1">OFFSET($B373,1*(ROWS(C$2:C373)-1),0)</f>
        <v>0</v>
      </c>
      <c r="D373" s="27">
        <f>Ft!B$3*EXP(Ft!B$38*($A373-Ft!B$2)^2) +Ft!C$3*EXP(Ft!C$38*($A373-Ft!C$2)^2) + Ft!D$3*EXP(Ft!D$38*($A373-Ft!D$2)^2)+Ft!E$3*EXP(Ft!E$38*($A373-Ft!E$2)^2) +Ft!F$3*EXP(Ft!F$38*($A373-Ft!F$2)^2) + Ft!G$3*EXP(Ft!G$38*($A373-Ft!G$2)^2)</f>
        <v>98009.001051363724</v>
      </c>
      <c r="E373" s="27">
        <f>Ft!B$3*EXP(Ft!B$38*($A373-Ft!B$2)^2)</f>
        <v>-115932.99425017201</v>
      </c>
      <c r="F373" s="27">
        <f>Ft!C$3*EXP(Ft!C$38*($A373-Ft!C$2)^2)</f>
        <v>0</v>
      </c>
      <c r="G373" s="27">
        <f>Ft!D$3*EXP(Ft!D$38*($A373-Ft!D$2)^2)</f>
        <v>213938.076688342</v>
      </c>
      <c r="H373" s="27">
        <f>Ft!E$3*EXP(Ft!E$38*($A373-Ft!E$2)^2)</f>
        <v>7.5036450414821194E-13</v>
      </c>
      <c r="I373" s="27">
        <f>Ft!F$3*EXP(Ft!F$38*($A373-Ft!F$2)^2)</f>
        <v>3.9186131937339734</v>
      </c>
      <c r="J373" s="27">
        <f>Ft!G$3*EXP(Ft!G$38*($A373-Ft!G$2)^2)</f>
        <v>0</v>
      </c>
    </row>
    <row r="374" spans="1:10">
      <c r="A374" s="20">
        <v>372</v>
      </c>
      <c r="B374" s="29">
        <v>48.28720799505669</v>
      </c>
      <c r="C374" s="28">
        <f ca="1">OFFSET($B374,1*(ROWS(C$2:C374)-1),0)</f>
        <v>0</v>
      </c>
      <c r="D374" s="27">
        <f>Ft!B$3*EXP(Ft!B$38*($A374-Ft!B$2)^2) +Ft!C$3*EXP(Ft!C$38*($A374-Ft!C$2)^2) + Ft!D$3*EXP(Ft!D$38*($A374-Ft!D$2)^2)+Ft!E$3*EXP(Ft!E$38*($A374-Ft!E$2)^2) +Ft!F$3*EXP(Ft!F$38*($A374-Ft!F$2)^2) + Ft!G$3*EXP(Ft!G$38*($A374-Ft!G$2)^2)</f>
        <v>94732.622766347864</v>
      </c>
      <c r="E374" s="27">
        <f>Ft!B$3*EXP(Ft!B$38*($A374-Ft!B$2)^2)</f>
        <v>-115934.20135516721</v>
      </c>
      <c r="F374" s="27">
        <f>Ft!C$3*EXP(Ft!C$38*($A374-Ft!C$2)^2)</f>
        <v>0</v>
      </c>
      <c r="G374" s="27">
        <f>Ft!D$3*EXP(Ft!D$38*($A374-Ft!D$2)^2)</f>
        <v>210663.1872708227</v>
      </c>
      <c r="H374" s="27">
        <f>Ft!E$3*EXP(Ft!E$38*($A374-Ft!E$2)^2)</f>
        <v>6.0472917337104996E-13</v>
      </c>
      <c r="I374" s="27">
        <f>Ft!F$3*EXP(Ft!F$38*($A374-Ft!F$2)^2)</f>
        <v>3.6368506923773047</v>
      </c>
      <c r="J374" s="27">
        <f>Ft!G$3*EXP(Ft!G$38*($A374-Ft!G$2)^2)</f>
        <v>0</v>
      </c>
    </row>
    <row r="375" spans="1:10">
      <c r="A375" s="20">
        <v>373</v>
      </c>
      <c r="B375" s="29">
        <v>48.262675832741877</v>
      </c>
      <c r="C375" s="28">
        <f ca="1">OFFSET($B375,1*(ROWS(C$2:C375)-1),0)</f>
        <v>0</v>
      </c>
      <c r="D375" s="27">
        <f>Ft!B$3*EXP(Ft!B$38*($A375-Ft!B$2)^2) +Ft!C$3*EXP(Ft!C$38*($A375-Ft!C$2)^2) + Ft!D$3*EXP(Ft!D$38*($A375-Ft!D$2)^2)+Ft!E$3*EXP(Ft!E$38*($A375-Ft!E$2)^2) +Ft!F$3*EXP(Ft!F$38*($A375-Ft!F$2)^2) + Ft!G$3*EXP(Ft!G$38*($A375-Ft!G$2)^2)</f>
        <v>91481.975029732261</v>
      </c>
      <c r="E375" s="27">
        <f>Ft!B$3*EXP(Ft!B$38*($A375-Ft!B$2)^2)</f>
        <v>-115935.40793682277</v>
      </c>
      <c r="F375" s="27">
        <f>Ft!C$3*EXP(Ft!C$38*($A375-Ft!C$2)^2)</f>
        <v>0</v>
      </c>
      <c r="G375" s="27">
        <f>Ft!D$3*EXP(Ft!D$38*($A375-Ft!D$2)^2)</f>
        <v>207414.00850143112</v>
      </c>
      <c r="H375" s="27">
        <f>Ft!E$3*EXP(Ft!E$38*($A375-Ft!E$2)^2)</f>
        <v>4.8706577297684703E-13</v>
      </c>
      <c r="I375" s="27">
        <f>Ft!F$3*EXP(Ft!F$38*($A375-Ft!F$2)^2)</f>
        <v>3.3744651239160168</v>
      </c>
      <c r="J375" s="27">
        <f>Ft!G$3*EXP(Ft!G$38*($A375-Ft!G$2)^2)</f>
        <v>0</v>
      </c>
    </row>
    <row r="376" spans="1:10">
      <c r="A376" s="20">
        <v>374</v>
      </c>
      <c r="B376" s="29">
        <v>48.25630755941387</v>
      </c>
      <c r="C376" s="28">
        <f ca="1">OFFSET($B376,1*(ROWS(C$2:C376)-1),0)</f>
        <v>0</v>
      </c>
      <c r="D376" s="27">
        <f>Ft!B$3*EXP(Ft!B$38*($A376-Ft!B$2)^2) +Ft!C$3*EXP(Ft!C$38*($A376-Ft!C$2)^2) + Ft!D$3*EXP(Ft!D$38*($A376-Ft!D$2)^2)+Ft!E$3*EXP(Ft!E$38*($A376-Ft!E$2)^2) +Ft!F$3*EXP(Ft!F$38*($A376-Ft!F$2)^2) + Ft!G$3*EXP(Ft!G$38*($A376-Ft!G$2)^2)</f>
        <v>88257.419130615017</v>
      </c>
      <c r="E376" s="27">
        <f>Ft!B$3*EXP(Ft!B$38*($A376-Ft!B$2)^2)</f>
        <v>-115936.61399512205</v>
      </c>
      <c r="F376" s="27">
        <f>Ft!C$3*EXP(Ft!C$38*($A376-Ft!C$2)^2)</f>
        <v>0</v>
      </c>
      <c r="G376" s="27">
        <f>Ft!D$3*EXP(Ft!D$38*($A376-Ft!D$2)^2)</f>
        <v>204190.90293492275</v>
      </c>
      <c r="H376" s="27">
        <f>Ft!E$3*EXP(Ft!E$38*($A376-Ft!E$2)^2)</f>
        <v>3.9205983826319307E-13</v>
      </c>
      <c r="I376" s="27">
        <f>Ft!F$3*EXP(Ft!F$38*($A376-Ft!F$2)^2)</f>
        <v>3.1301908143226185</v>
      </c>
      <c r="J376" s="27">
        <f>Ft!G$3*EXP(Ft!G$38*($A376-Ft!G$2)^2)</f>
        <v>0</v>
      </c>
    </row>
    <row r="377" spans="1:10">
      <c r="A377" s="20">
        <v>375</v>
      </c>
      <c r="B377" s="29">
        <v>48.235405729576314</v>
      </c>
      <c r="C377" s="28">
        <f ca="1">OFFSET($B377,1*(ROWS(C$2:C377)-1),0)</f>
        <v>0</v>
      </c>
      <c r="D377" s="27">
        <f>Ft!B$3*EXP(Ft!B$38*($A377-Ft!B$2)^2) +Ft!C$3*EXP(Ft!C$38*($A377-Ft!C$2)^2) + Ft!D$3*EXP(Ft!D$38*($A377-Ft!D$2)^2)+Ft!E$3*EXP(Ft!E$38*($A377-Ft!E$2)^2) +Ft!F$3*EXP(Ft!F$38*($A377-Ft!F$2)^2) + Ft!G$3*EXP(Ft!G$38*($A377-Ft!G$2)^2)</f>
        <v>85059.301686454142</v>
      </c>
      <c r="E377" s="27">
        <f>Ft!B$3*EXP(Ft!B$38*($A377-Ft!B$2)^2)</f>
        <v>-115937.81953004849</v>
      </c>
      <c r="F377" s="27">
        <f>Ft!C$3*EXP(Ft!C$38*($A377-Ft!C$2)^2)</f>
        <v>0</v>
      </c>
      <c r="G377" s="27">
        <f>Ft!D$3*EXP(Ft!D$38*($A377-Ft!D$2)^2)</f>
        <v>200994.21837664212</v>
      </c>
      <c r="H377" s="27">
        <f>Ft!E$3*EXP(Ft!E$38*($A377-Ft!E$2)^2)</f>
        <v>3.1539525390920078E-13</v>
      </c>
      <c r="I377" s="27">
        <f>Ft!F$3*EXP(Ft!F$38*($A377-Ft!F$2)^2)</f>
        <v>2.9028398605080685</v>
      </c>
      <c r="J377" s="27">
        <f>Ft!G$3*EXP(Ft!G$38*($A377-Ft!G$2)^2)</f>
        <v>0</v>
      </c>
    </row>
    <row r="378" spans="1:10">
      <c r="A378" s="20">
        <v>376</v>
      </c>
      <c r="B378" s="29">
        <v>48.221646833844176</v>
      </c>
      <c r="C378" s="28">
        <f ca="1">OFFSET($B378,1*(ROWS(C$2:C378)-1),0)</f>
        <v>0</v>
      </c>
      <c r="D378" s="27">
        <f>Ft!B$3*EXP(Ft!B$38*($A378-Ft!B$2)^2) +Ft!C$3*EXP(Ft!C$38*($A378-Ft!C$2)^2) + Ft!D$3*EXP(Ft!D$38*($A378-Ft!D$2)^2)+Ft!E$3*EXP(Ft!E$38*($A378-Ft!E$2)^2) +Ft!F$3*EXP(Ft!F$38*($A378-Ft!F$2)^2) + Ft!G$3*EXP(Ft!G$38*($A378-Ft!G$2)^2)</f>
        <v>81887.954705327153</v>
      </c>
      <c r="E378" s="27">
        <f>Ft!B$3*EXP(Ft!B$38*($A378-Ft!B$2)^2)</f>
        <v>-115939.02454158549</v>
      </c>
      <c r="F378" s="27">
        <f>Ft!C$3*EXP(Ft!C$38*($A378-Ft!C$2)^2)</f>
        <v>0</v>
      </c>
      <c r="G378" s="27">
        <f>Ft!D$3*EXP(Ft!D$38*($A378-Ft!D$2)^2)</f>
        <v>197824.28794921446</v>
      </c>
      <c r="H378" s="27">
        <f>Ft!E$3*EXP(Ft!E$38*($A378-Ft!E$2)^2)</f>
        <v>2.535689100996936E-13</v>
      </c>
      <c r="I378" s="27">
        <f>Ft!F$3*EXP(Ft!F$38*($A378-Ft!F$2)^2)</f>
        <v>2.6912976981821526</v>
      </c>
      <c r="J378" s="27">
        <f>Ft!G$3*EXP(Ft!G$38*($A378-Ft!G$2)^2)</f>
        <v>0</v>
      </c>
    </row>
    <row r="379" spans="1:10">
      <c r="A379" s="20">
        <v>377</v>
      </c>
      <c r="B379" s="29">
        <v>48.183278628614829</v>
      </c>
      <c r="C379" s="28">
        <f ca="1">OFFSET($B379,1*(ROWS(C$2:C379)-1),0)</f>
        <v>0</v>
      </c>
      <c r="D379" s="27">
        <f>Ft!B$3*EXP(Ft!B$38*($A379-Ft!B$2)^2) +Ft!C$3*EXP(Ft!C$38*($A379-Ft!C$2)^2) + Ft!D$3*EXP(Ft!D$38*($A379-Ft!D$2)^2)+Ft!E$3*EXP(Ft!E$38*($A379-Ft!E$2)^2) +Ft!F$3*EXP(Ft!F$38*($A379-Ft!F$2)^2) + Ft!G$3*EXP(Ft!G$38*($A379-Ft!G$2)^2)</f>
        <v>78743.695655953517</v>
      </c>
      <c r="E379" s="27">
        <f>Ft!B$3*EXP(Ft!B$38*($A379-Ft!B$2)^2)</f>
        <v>-115940.22902971644</v>
      </c>
      <c r="F379" s="27">
        <f>Ft!C$3*EXP(Ft!C$38*($A379-Ft!C$2)^2)</f>
        <v>0</v>
      </c>
      <c r="G379" s="27">
        <f>Ft!D$3*EXP(Ft!D$38*($A379-Ft!D$2)^2)</f>
        <v>194681.43016677129</v>
      </c>
      <c r="H379" s="27">
        <f>Ft!E$3*EXP(Ft!E$38*($A379-Ft!E$2)^2)</f>
        <v>2.0373934565194707E-13</v>
      </c>
      <c r="I379" s="27">
        <f>Ft!F$3*EXP(Ft!F$38*($A379-Ft!F$2)^2)</f>
        <v>2.4945188986789826</v>
      </c>
      <c r="J379" s="27">
        <f>Ft!G$3*EXP(Ft!G$38*($A379-Ft!G$2)^2)</f>
        <v>0</v>
      </c>
    </row>
    <row r="380" spans="1:10">
      <c r="A380" s="20">
        <v>378</v>
      </c>
      <c r="B380" s="29">
        <v>48.156115602810814</v>
      </c>
      <c r="C380" s="28">
        <f ca="1">OFFSET($B380,1*(ROWS(C$2:C380)-1),0)</f>
        <v>0</v>
      </c>
      <c r="D380" s="27">
        <f>Ft!B$3*EXP(Ft!B$38*($A380-Ft!B$2)^2) +Ft!C$3*EXP(Ft!C$38*($A380-Ft!C$2)^2) + Ft!D$3*EXP(Ft!D$38*($A380-Ft!D$2)^2)+Ft!E$3*EXP(Ft!E$38*($A380-Ft!E$2)^2) +Ft!F$3*EXP(Ft!F$38*($A380-Ft!F$2)^2) + Ft!G$3*EXP(Ft!G$38*($A380-Ft!G$2)^2)</f>
        <v>75626.827545300068</v>
      </c>
      <c r="E380" s="27">
        <f>Ft!B$3*EXP(Ft!B$38*($A380-Ft!B$2)^2)</f>
        <v>-115941.4329944248</v>
      </c>
      <c r="F380" s="27">
        <f>Ft!C$3*EXP(Ft!C$38*($A380-Ft!C$2)^2)</f>
        <v>0</v>
      </c>
      <c r="G380" s="27">
        <f>Ft!D$3*EXP(Ft!D$38*($A380-Ft!D$2)^2)</f>
        <v>191565.9490165404</v>
      </c>
      <c r="H380" s="27">
        <f>Ft!E$3*EXP(Ft!E$38*($A380-Ft!E$2)^2)</f>
        <v>1.636032259643921E-13</v>
      </c>
      <c r="I380" s="27">
        <f>Ft!F$3*EXP(Ft!F$38*($A380-Ft!F$2)^2)</f>
        <v>2.3115231844719197</v>
      </c>
      <c r="J380" s="27">
        <f>Ft!G$3*EXP(Ft!G$38*($A380-Ft!G$2)^2)</f>
        <v>0</v>
      </c>
    </row>
    <row r="381" spans="1:10">
      <c r="A381" s="20">
        <v>379</v>
      </c>
      <c r="B381" s="29">
        <v>48.141573038451753</v>
      </c>
      <c r="C381" s="28">
        <f ca="1">OFFSET($B381,1*(ROWS(C$2:C381)-1),0)</f>
        <v>0</v>
      </c>
      <c r="D381" s="27">
        <f>Ft!B$3*EXP(Ft!B$38*($A381-Ft!B$2)^2) +Ft!C$3*EXP(Ft!C$38*($A381-Ft!C$2)^2) + Ft!D$3*EXP(Ft!D$38*($A381-Ft!D$2)^2)+Ft!E$3*EXP(Ft!E$38*($A381-Ft!E$2)^2) +Ft!F$3*EXP(Ft!F$38*($A381-Ft!F$2)^2) + Ft!G$3*EXP(Ft!G$38*($A381-Ft!G$2)^2)</f>
        <v>72537.639003586766</v>
      </c>
      <c r="E381" s="27">
        <f>Ft!B$3*EXP(Ft!B$38*($A381-Ft!B$2)^2)</f>
        <v>-115942.636435694</v>
      </c>
      <c r="F381" s="27">
        <f>Ft!C$3*EXP(Ft!C$38*($A381-Ft!C$2)^2)</f>
        <v>0</v>
      </c>
      <c r="G381" s="27">
        <f>Ft!D$3*EXP(Ft!D$38*($A381-Ft!D$2)^2)</f>
        <v>188478.1340476273</v>
      </c>
      <c r="H381" s="27">
        <f>Ft!E$3*EXP(Ft!E$38*($A381-Ft!E$2)^2)</f>
        <v>1.3129460221289678E-13</v>
      </c>
      <c r="I381" s="27">
        <f>Ft!F$3*EXP(Ft!F$38*($A381-Ft!F$2)^2)</f>
        <v>2.1413916534642699</v>
      </c>
      <c r="J381" s="27">
        <f>Ft!G$3*EXP(Ft!G$38*($A381-Ft!G$2)^2)</f>
        <v>0</v>
      </c>
    </row>
    <row r="382" spans="1:10">
      <c r="A382" s="20">
        <v>380</v>
      </c>
      <c r="B382" s="29">
        <v>48.11100132036205</v>
      </c>
      <c r="C382" s="28">
        <f ca="1">OFFSET($B382,1*(ROWS(C$2:C382)-1),0)</f>
        <v>0</v>
      </c>
      <c r="D382" s="27">
        <f>Ft!B$3*EXP(Ft!B$38*($A382-Ft!B$2)^2) +Ft!C$3*EXP(Ft!C$38*($A382-Ft!C$2)^2) + Ft!D$3*EXP(Ft!D$38*($A382-Ft!D$2)^2)+Ft!E$3*EXP(Ft!E$38*($A382-Ft!E$2)^2) +Ft!F$3*EXP(Ft!F$38*($A382-Ft!F$2)^2) + Ft!G$3*EXP(Ft!G$38*($A382-Ft!G$2)^2)</f>
        <v>69476.404376505423</v>
      </c>
      <c r="E382" s="27">
        <f>Ft!B$3*EXP(Ft!B$38*($A382-Ft!B$2)^2)</f>
        <v>-115943.83935350747</v>
      </c>
      <c r="F382" s="27">
        <f>Ft!C$3*EXP(Ft!C$38*($A382-Ft!C$2)^2)</f>
        <v>0</v>
      </c>
      <c r="G382" s="27">
        <f>Ft!D$3*EXP(Ft!D$38*($A382-Ft!D$2)^2)</f>
        <v>185418.2604668104</v>
      </c>
      <c r="H382" s="27">
        <f>Ft!E$3*EXP(Ft!E$38*($A382-Ft!E$2)^2)</f>
        <v>1.0530280343600129E-13</v>
      </c>
      <c r="I382" s="27">
        <f>Ft!F$3*EXP(Ft!F$38*($A382-Ft!F$2)^2)</f>
        <v>1.9832632024977623</v>
      </c>
      <c r="J382" s="27">
        <f>Ft!G$3*EXP(Ft!G$38*($A382-Ft!G$2)^2)</f>
        <v>0</v>
      </c>
    </row>
    <row r="383" spans="1:10">
      <c r="A383" s="20">
        <v>381</v>
      </c>
      <c r="B383" s="29">
        <v>48.089665797792236</v>
      </c>
      <c r="C383" s="28">
        <f ca="1">OFFSET($B383,1*(ROWS(C$2:C383)-1),0)</f>
        <v>0</v>
      </c>
      <c r="D383" s="27">
        <f>Ft!B$3*EXP(Ft!B$38*($A383-Ft!B$2)^2) +Ft!C$3*EXP(Ft!C$38*($A383-Ft!C$2)^2) + Ft!D$3*EXP(Ft!D$38*($A383-Ft!D$2)^2)+Ft!E$3*EXP(Ft!E$38*($A383-Ft!E$2)^2) +Ft!F$3*EXP(Ft!F$38*($A383-Ft!F$2)^2) + Ft!G$3*EXP(Ft!G$38*($A383-Ft!G$2)^2)</f>
        <v>66443.383824464443</v>
      </c>
      <c r="E383" s="27">
        <f>Ft!B$3*EXP(Ft!B$38*($A383-Ft!B$2)^2)</f>
        <v>-115945.04174784868</v>
      </c>
      <c r="F383" s="27">
        <f>Ft!C$3*EXP(Ft!C$38*($A383-Ft!C$2)^2)</f>
        <v>0</v>
      </c>
      <c r="G383" s="27">
        <f>Ft!D$3*EXP(Ft!D$38*($A383-Ft!D$2)^2)</f>
        <v>182386.58924117225</v>
      </c>
      <c r="H383" s="27">
        <f>Ft!E$3*EXP(Ft!E$38*($A383-Ft!E$2)^2)</f>
        <v>8.4405558507570583E-14</v>
      </c>
      <c r="I383" s="27">
        <f>Ft!F$3*EXP(Ft!F$38*($A383-Ft!F$2)^2)</f>
        <v>1.8363311408693503</v>
      </c>
      <c r="J383" s="27">
        <f>Ft!G$3*EXP(Ft!G$38*($A383-Ft!G$2)^2)</f>
        <v>0</v>
      </c>
    </row>
    <row r="384" spans="1:10">
      <c r="A384" s="20">
        <v>382</v>
      </c>
      <c r="B384" s="29">
        <v>48.069702528254226</v>
      </c>
      <c r="C384" s="28">
        <f ca="1">OFFSET($B384,1*(ROWS(C$2:C384)-1),0)</f>
        <v>0</v>
      </c>
      <c r="D384" s="27">
        <f>Ft!B$3*EXP(Ft!B$38*($A384-Ft!B$2)^2) +Ft!C$3*EXP(Ft!C$38*($A384-Ft!C$2)^2) + Ft!D$3*EXP(Ft!D$38*($A384-Ft!D$2)^2)+Ft!E$3*EXP(Ft!E$38*($A384-Ft!E$2)^2) +Ft!F$3*EXP(Ft!F$38*($A384-Ft!F$2)^2) + Ft!G$3*EXP(Ft!G$38*($A384-Ft!G$2)^2)</f>
        <v>63438.823428667158</v>
      </c>
      <c r="E384" s="27">
        <f>Ft!B$3*EXP(Ft!B$38*($A384-Ft!B$2)^2)</f>
        <v>-115946.24361870105</v>
      </c>
      <c r="F384" s="27">
        <f>Ft!C$3*EXP(Ft!C$38*($A384-Ft!C$2)^2)</f>
        <v>0</v>
      </c>
      <c r="G384" s="27">
        <f>Ft!D$3*EXP(Ft!D$38*($A384-Ft!D$2)^2)</f>
        <v>179383.36720738321</v>
      </c>
      <c r="H384" s="27">
        <f>Ft!E$3*EXP(Ft!E$38*($A384-Ft!E$2)^2)</f>
        <v>6.7614558303583478E-14</v>
      </c>
      <c r="I384" s="27">
        <f>Ft!F$3*EXP(Ft!F$38*($A384-Ft!F$2)^2)</f>
        <v>1.699839984988792</v>
      </c>
      <c r="J384" s="27">
        <f>Ft!G$3*EXP(Ft!G$38*($A384-Ft!G$2)^2)</f>
        <v>0</v>
      </c>
    </row>
    <row r="385" spans="1:10">
      <c r="A385" s="20">
        <v>383</v>
      </c>
      <c r="B385" s="29">
        <v>48.029981557008512</v>
      </c>
      <c r="C385" s="28">
        <f ca="1">OFFSET($B385,1*(ROWS(C$2:C385)-1),0)</f>
        <v>0</v>
      </c>
      <c r="D385" s="27">
        <f>Ft!B$3*EXP(Ft!B$38*($A385-Ft!B$2)^2) +Ft!C$3*EXP(Ft!C$38*($A385-Ft!C$2)^2) + Ft!D$3*EXP(Ft!D$38*($A385-Ft!D$2)^2)+Ft!E$3*EXP(Ft!E$38*($A385-Ft!E$2)^2) +Ft!F$3*EXP(Ft!F$38*($A385-Ft!F$2)^2) + Ft!G$3*EXP(Ft!G$38*($A385-Ft!G$2)^2)</f>
        <v>60462.955303832059</v>
      </c>
      <c r="E385" s="27">
        <f>Ft!B$3*EXP(Ft!B$38*($A385-Ft!B$2)^2)</f>
        <v>-115947.44496604806</v>
      </c>
      <c r="F385" s="27">
        <f>Ft!C$3*EXP(Ft!C$38*($A385-Ft!C$2)^2)</f>
        <v>0</v>
      </c>
      <c r="G385" s="27">
        <f>Ft!D$3*EXP(Ft!D$38*($A385-Ft!D$2)^2)</f>
        <v>176408.82718745447</v>
      </c>
      <c r="H385" s="27">
        <f>Ft!E$3*EXP(Ft!E$38*($A385-Ft!E$2)^2)</f>
        <v>5.4131172677761089E-14</v>
      </c>
      <c r="I385" s="27">
        <f>Ft!F$3*EXP(Ft!F$38*($A385-Ft!F$2)^2)</f>
        <v>1.5730824256438329</v>
      </c>
      <c r="J385" s="27">
        <f>Ft!G$3*EXP(Ft!G$38*($A385-Ft!G$2)^2)</f>
        <v>0</v>
      </c>
    </row>
    <row r="386" spans="1:10">
      <c r="A386" s="20">
        <v>384</v>
      </c>
      <c r="B386" s="29">
        <v>47.96400863924427</v>
      </c>
      <c r="C386" s="28">
        <f ca="1">OFFSET($B386,1*(ROWS(C$2:C386)-1),0)</f>
        <v>0</v>
      </c>
      <c r="D386" s="27">
        <f>Ft!B$3*EXP(Ft!B$38*($A386-Ft!B$2)^2) +Ft!C$3*EXP(Ft!C$38*($A386-Ft!C$2)^2) + Ft!D$3*EXP(Ft!D$38*($A386-Ft!D$2)^2)+Ft!E$3*EXP(Ft!E$38*($A386-Ft!E$2)^2) +Ft!F$3*EXP(Ft!F$38*($A386-Ft!F$2)^2) + Ft!G$3*EXP(Ft!G$38*($A386-Ft!G$2)^2)</f>
        <v>57515.997717358645</v>
      </c>
      <c r="E386" s="27">
        <f>Ft!B$3*EXP(Ft!B$38*($A386-Ft!B$2)^2)</f>
        <v>-115948.64578987319</v>
      </c>
      <c r="F386" s="27">
        <f>Ft!C$3*EXP(Ft!C$38*($A386-Ft!C$2)^2)</f>
        <v>0</v>
      </c>
      <c r="G386" s="27">
        <f>Ft!D$3*EXP(Ft!D$38*($A386-Ft!D$2)^2)</f>
        <v>173463.18811077217</v>
      </c>
      <c r="H386" s="27">
        <f>Ft!E$3*EXP(Ft!E$38*($A386-Ft!E$2)^2)</f>
        <v>4.3310451256901151E-14</v>
      </c>
      <c r="I386" s="27">
        <f>Ft!F$3*EXP(Ft!F$38*($A386-Ft!F$2)^2)</f>
        <v>1.4553964596667972</v>
      </c>
      <c r="J386" s="27">
        <f>Ft!G$3*EXP(Ft!G$38*($A386-Ft!G$2)^2)</f>
        <v>0</v>
      </c>
    </row>
    <row r="387" spans="1:10">
      <c r="A387" s="20">
        <v>385</v>
      </c>
      <c r="B387" s="29">
        <v>47.906205968730461</v>
      </c>
      <c r="C387" s="28">
        <f ca="1">OFFSET($B387,1*(ROWS(C$2:C387)-1),0)</f>
        <v>0</v>
      </c>
      <c r="D387" s="27">
        <f>Ft!B$3*EXP(Ft!B$38*($A387-Ft!B$2)^2) +Ft!C$3*EXP(Ft!C$38*($A387-Ft!C$2)^2) + Ft!D$3*EXP(Ft!D$38*($A387-Ft!D$2)^2)+Ft!E$3*EXP(Ft!E$38*($A387-Ft!E$2)^2) +Ft!F$3*EXP(Ft!F$38*($A387-Ft!F$2)^2) + Ft!G$3*EXP(Ft!G$38*($A387-Ft!G$2)^2)</f>
        <v>54598.155214742692</v>
      </c>
      <c r="E387" s="27">
        <f>Ft!B$3*EXP(Ft!B$38*($A387-Ft!B$2)^2)</f>
        <v>-115949.8460901599</v>
      </c>
      <c r="F387" s="27">
        <f>Ft!C$3*EXP(Ft!C$38*($A387-Ft!C$2)^2)</f>
        <v>0</v>
      </c>
      <c r="G387" s="27">
        <f>Ft!D$3*EXP(Ft!D$38*($A387-Ft!D$2)^2)</f>
        <v>170546.65514222448</v>
      </c>
      <c r="H387" s="27">
        <f>Ft!E$3*EXP(Ft!E$38*($A387-Ft!E$2)^2)</f>
        <v>3.4631877348535796E-14</v>
      </c>
      <c r="I387" s="27">
        <f>Ft!F$3*EXP(Ft!F$38*($A387-Ft!F$2)^2)</f>
        <v>1.3461626781155858</v>
      </c>
      <c r="J387" s="27">
        <f>Ft!G$3*EXP(Ft!G$38*($A387-Ft!G$2)^2)</f>
        <v>0</v>
      </c>
    </row>
    <row r="388" spans="1:10">
      <c r="A388" s="20">
        <v>386</v>
      </c>
      <c r="B388" s="29">
        <v>47.857055126556617</v>
      </c>
      <c r="C388" s="28">
        <f ca="1">OFFSET($B388,1*(ROWS(C$2:C388)-1),0)</f>
        <v>0</v>
      </c>
      <c r="D388" s="27">
        <f>Ft!B$3*EXP(Ft!B$38*($A388-Ft!B$2)^2) +Ft!C$3*EXP(Ft!C$38*($A388-Ft!C$2)^2) + Ft!D$3*EXP(Ft!D$38*($A388-Ft!D$2)^2)+Ft!E$3*EXP(Ft!E$38*($A388-Ft!E$2)^2) +Ft!F$3*EXP(Ft!F$38*($A388-Ft!F$2)^2) + Ft!G$3*EXP(Ft!G$38*($A388-Ft!G$2)^2)</f>
        <v>51709.618751042763</v>
      </c>
      <c r="E388" s="27">
        <f>Ft!B$3*EXP(Ft!B$38*($A388-Ft!B$2)^2)</f>
        <v>-115951.0458668917</v>
      </c>
      <c r="F388" s="27">
        <f>Ft!C$3*EXP(Ft!C$38*($A388-Ft!C$2)^2)</f>
        <v>0</v>
      </c>
      <c r="G388" s="27">
        <f>Ft!D$3*EXP(Ft!D$38*($A388-Ft!D$2)^2)</f>
        <v>167659.41981623106</v>
      </c>
      <c r="H388" s="27">
        <f>Ft!E$3*EXP(Ft!E$38*($A388-Ft!E$2)^2)</f>
        <v>2.7675623485373362E-14</v>
      </c>
      <c r="I388" s="27">
        <f>Ft!F$3*EXP(Ft!F$38*($A388-Ft!F$2)^2)</f>
        <v>1.2448017033935324</v>
      </c>
      <c r="J388" s="27">
        <f>Ft!G$3*EXP(Ft!G$38*($A388-Ft!G$2)^2)</f>
        <v>0</v>
      </c>
    </row>
    <row r="389" spans="1:10">
      <c r="A389" s="20">
        <v>387</v>
      </c>
      <c r="B389" s="29">
        <v>47.785835090555395</v>
      </c>
      <c r="C389" s="28">
        <f ca="1">OFFSET($B389,1*(ROWS(C$2:C389)-1),0)</f>
        <v>0</v>
      </c>
      <c r="D389" s="27">
        <f>Ft!B$3*EXP(Ft!B$38*($A389-Ft!B$2)^2) +Ft!C$3*EXP(Ft!C$38*($A389-Ft!C$2)^2) + Ft!D$3*EXP(Ft!D$38*($A389-Ft!D$2)^2)+Ft!E$3*EXP(Ft!E$38*($A389-Ft!E$2)^2) +Ft!F$3*EXP(Ft!F$38*($A389-Ft!F$2)^2) + Ft!G$3*EXP(Ft!G$38*($A389-Ft!G$2)^2)</f>
        <v>48850.565828197825</v>
      </c>
      <c r="E389" s="27">
        <f>Ft!B$3*EXP(Ft!B$38*($A389-Ft!B$2)^2)</f>
        <v>-115952.24512005206</v>
      </c>
      <c r="F389" s="27">
        <f>Ft!C$3*EXP(Ft!C$38*($A389-Ft!C$2)^2)</f>
        <v>0</v>
      </c>
      <c r="G389" s="27">
        <f>Ft!D$3*EXP(Ft!D$38*($A389-Ft!D$2)^2)</f>
        <v>164801.66017648185</v>
      </c>
      <c r="H389" s="27">
        <f>Ft!E$3*EXP(Ft!E$38*($A389-Ft!E$2)^2)</f>
        <v>2.2103286109553491E-14</v>
      </c>
      <c r="I389" s="27">
        <f>Ft!F$3*EXP(Ft!F$38*($A389-Ft!F$2)^2)</f>
        <v>1.1507717680360066</v>
      </c>
      <c r="J389" s="27">
        <f>Ft!G$3*EXP(Ft!G$38*($A389-Ft!G$2)^2)</f>
        <v>0</v>
      </c>
    </row>
    <row r="390" spans="1:10">
      <c r="A390" s="20">
        <v>388</v>
      </c>
      <c r="B390" s="29">
        <v>47.677563043943167</v>
      </c>
      <c r="C390" s="28">
        <f ca="1">OFFSET($B390,1*(ROWS(C$2:C390)-1),0)</f>
        <v>0</v>
      </c>
      <c r="D390" s="27">
        <f>Ft!B$3*EXP(Ft!B$38*($A390-Ft!B$2)^2) +Ft!C$3*EXP(Ft!C$38*($A390-Ft!C$2)^2) + Ft!D$3*EXP(Ft!D$38*($A390-Ft!D$2)^2)+Ft!E$3*EXP(Ft!E$38*($A390-Ft!E$2)^2) +Ft!F$3*EXP(Ft!F$38*($A390-Ft!F$2)^2) + Ft!G$3*EXP(Ft!G$38*($A390-Ft!G$2)^2)</f>
        <v>46021.160637995272</v>
      </c>
      <c r="E390" s="27">
        <f>Ft!B$3*EXP(Ft!B$38*($A390-Ft!B$2)^2)</f>
        <v>-115953.44384962445</v>
      </c>
      <c r="F390" s="27">
        <f>Ft!C$3*EXP(Ft!C$38*($A390-Ft!C$2)^2)</f>
        <v>0</v>
      </c>
      <c r="G390" s="27">
        <f>Ft!D$3*EXP(Ft!D$38*($A390-Ft!D$2)^2)</f>
        <v>161973.54092119154</v>
      </c>
      <c r="H390" s="27">
        <f>Ft!E$3*EXP(Ft!E$38*($A390-Ft!E$2)^2)</f>
        <v>1.7642264541112563E-14</v>
      </c>
      <c r="I390" s="27">
        <f>Ft!F$3*EXP(Ft!F$38*($A390-Ft!F$2)^2)</f>
        <v>1.0635664281869111</v>
      </c>
      <c r="J390" s="27">
        <f>Ft!G$3*EXP(Ft!G$38*($A390-Ft!G$2)^2)</f>
        <v>0</v>
      </c>
    </row>
    <row r="391" spans="1:10">
      <c r="A391" s="20">
        <v>389</v>
      </c>
      <c r="B391" s="29">
        <v>47.585430478980726</v>
      </c>
      <c r="C391" s="28">
        <f ca="1">OFFSET($B391,1*(ROWS(C$2:C391)-1),0)</f>
        <v>0</v>
      </c>
      <c r="D391" s="27">
        <f>Ft!B$3*EXP(Ft!B$38*($A391-Ft!B$2)^2) +Ft!C$3*EXP(Ft!C$38*($A391-Ft!C$2)^2) + Ft!D$3*EXP(Ft!D$38*($A391-Ft!D$2)^2)+Ft!E$3*EXP(Ft!E$38*($A391-Ft!E$2)^2) +Ft!F$3*EXP(Ft!F$38*($A391-Ft!F$2)^2) + Ft!G$3*EXP(Ft!G$38*($A391-Ft!G$2)^2)</f>
        <v>43221.554210487899</v>
      </c>
      <c r="E391" s="27">
        <f>Ft!B$3*EXP(Ft!B$38*($A391-Ft!B$2)^2)</f>
        <v>-115954.64205559243</v>
      </c>
      <c r="F391" s="27">
        <f>Ft!C$3*EXP(Ft!C$38*($A391-Ft!C$2)^2)</f>
        <v>0</v>
      </c>
      <c r="G391" s="27">
        <f>Ft!D$3*EXP(Ft!D$38*($A391-Ft!D$2)^2)</f>
        <v>159175.21355367525</v>
      </c>
      <c r="H391" s="27">
        <f>Ft!E$3*EXP(Ft!E$38*($A391-Ft!E$2)^2)</f>
        <v>1.4073103037026495E-14</v>
      </c>
      <c r="I391" s="27">
        <f>Ft!F$3*EXP(Ft!F$38*($A391-Ft!F$2)^2)</f>
        <v>0.98271240507564228</v>
      </c>
      <c r="J391" s="27">
        <f>Ft!G$3*EXP(Ft!G$38*($A391-Ft!G$2)^2)</f>
        <v>0</v>
      </c>
    </row>
    <row r="392" spans="1:10">
      <c r="A392" s="20">
        <v>390</v>
      </c>
      <c r="B392" s="29">
        <v>47.488682887182762</v>
      </c>
      <c r="C392" s="28">
        <f ca="1">OFFSET($B392,1*(ROWS(C$2:C392)-1),0)</f>
        <v>0</v>
      </c>
      <c r="D392" s="27">
        <f>Ft!B$3*EXP(Ft!B$38*($A392-Ft!B$2)^2) +Ft!C$3*EXP(Ft!C$38*($A392-Ft!C$2)^2) + Ft!D$3*EXP(Ft!D$38*($A392-Ft!D$2)^2)+Ft!E$3*EXP(Ft!E$38*($A392-Ft!E$2)^2) +Ft!F$3*EXP(Ft!F$38*($A392-Ft!F$2)^2) + Ft!G$3*EXP(Ft!G$38*($A392-Ft!G$2)^2)</f>
        <v>40451.88456765694</v>
      </c>
      <c r="E392" s="27">
        <f>Ft!B$3*EXP(Ft!B$38*($A392-Ft!B$2)^2)</f>
        <v>-115955.83973793947</v>
      </c>
      <c r="F392" s="27">
        <f>Ft!C$3*EXP(Ft!C$38*($A392-Ft!C$2)^2)</f>
        <v>0</v>
      </c>
      <c r="G392" s="27">
        <f>Ft!D$3*EXP(Ft!D$38*($A392-Ft!D$2)^2)</f>
        <v>156406.81653804833</v>
      </c>
      <c r="H392" s="27">
        <f>Ft!E$3*EXP(Ft!E$38*($A392-Ft!E$2)^2)</f>
        <v>1.1219240497377895E-14</v>
      </c>
      <c r="I392" s="27">
        <f>Ft!F$3*EXP(Ft!F$38*($A392-Ft!F$2)^2)</f>
        <v>0.90776754808399107</v>
      </c>
      <c r="J392" s="27">
        <f>Ft!G$3*EXP(Ft!G$38*($A392-Ft!G$2)^2)</f>
        <v>0</v>
      </c>
    </row>
    <row r="393" spans="1:10">
      <c r="A393" s="20">
        <v>391</v>
      </c>
      <c r="B393" s="29">
        <v>47.377772451248944</v>
      </c>
      <c r="C393" s="28">
        <f ca="1">OFFSET($B393,1*(ROWS(C$2:C393)-1),0)</f>
        <v>0</v>
      </c>
      <c r="D393" s="27">
        <f>Ft!B$3*EXP(Ft!B$38*($A393-Ft!B$2)^2) +Ft!C$3*EXP(Ft!C$38*($A393-Ft!C$2)^2) + Ft!D$3*EXP(Ft!D$38*($A393-Ft!D$2)^2)+Ft!E$3*EXP(Ft!E$38*($A393-Ft!E$2)^2) +Ft!F$3*EXP(Ft!F$38*($A393-Ft!F$2)^2) + Ft!G$3*EXP(Ft!G$38*($A393-Ft!G$2)^2)</f>
        <v>37712.276882117927</v>
      </c>
      <c r="E393" s="27">
        <f>Ft!B$3*EXP(Ft!B$38*($A393-Ft!B$2)^2)</f>
        <v>-115957.03689664914</v>
      </c>
      <c r="F393" s="27">
        <f>Ft!C$3*EXP(Ft!C$38*($A393-Ft!C$2)^2)</f>
        <v>0</v>
      </c>
      <c r="G393" s="27">
        <f>Ft!D$3*EXP(Ft!D$38*($A393-Ft!D$2)^2)</f>
        <v>153668.4754598538</v>
      </c>
      <c r="H393" s="27">
        <f>Ft!E$3*EXP(Ft!E$38*($A393-Ft!E$2)^2)</f>
        <v>8.9387152136092062E-15</v>
      </c>
      <c r="I393" s="27">
        <f>Ft!F$3*EXP(Ft!F$38*($A393-Ft!F$2)^2)</f>
        <v>0.83831891326347707</v>
      </c>
      <c r="J393" s="27">
        <f>Ft!G$3*EXP(Ft!G$38*($A393-Ft!G$2)^2)</f>
        <v>0</v>
      </c>
    </row>
    <row r="394" spans="1:10">
      <c r="A394" s="20">
        <v>392</v>
      </c>
      <c r="B394" s="29">
        <v>47.31430612842837</v>
      </c>
      <c r="C394" s="28">
        <f ca="1">OFFSET($B394,1*(ROWS(C$2:C394)-1),0)</f>
        <v>0</v>
      </c>
      <c r="D394" s="27">
        <f>Ft!B$3*EXP(Ft!B$38*($A394-Ft!B$2)^2) +Ft!C$3*EXP(Ft!C$38*($A394-Ft!C$2)^2) + Ft!D$3*EXP(Ft!D$38*($A394-Ft!D$2)^2)+Ft!E$3*EXP(Ft!E$38*($A394-Ft!E$2)^2) +Ft!F$3*EXP(Ft!F$38*($A394-Ft!F$2)^2) + Ft!G$3*EXP(Ft!G$38*($A394-Ft!G$2)^2)</f>
        <v>35002.843640666681</v>
      </c>
      <c r="E394" s="27">
        <f>Ft!B$3*EXP(Ft!B$38*($A394-Ft!B$2)^2)</f>
        <v>-115958.2335317049</v>
      </c>
      <c r="F394" s="27">
        <f>Ft!C$3*EXP(Ft!C$38*($A394-Ft!C$2)^2)</f>
        <v>0</v>
      </c>
      <c r="G394" s="27">
        <f>Ft!D$3*EXP(Ft!D$38*($A394-Ft!D$2)^2)</f>
        <v>150960.30319142016</v>
      </c>
      <c r="H394" s="27">
        <f>Ft!E$3*EXP(Ft!E$38*($A394-Ft!E$2)^2)</f>
        <v>7.1174560978748144E-15</v>
      </c>
      <c r="I394" s="27">
        <f>Ft!F$3*EXP(Ft!F$38*($A394-Ft!F$2)^2)</f>
        <v>0.7739809514262711</v>
      </c>
      <c r="J394" s="27">
        <f>Ft!G$3*EXP(Ft!G$38*($A394-Ft!G$2)^2)</f>
        <v>0</v>
      </c>
    </row>
    <row r="395" spans="1:10">
      <c r="A395" s="20">
        <v>393</v>
      </c>
      <c r="B395" s="29">
        <v>47.231074745728478</v>
      </c>
      <c r="C395" s="28">
        <f ca="1">OFFSET($B395,1*(ROWS(C$2:C395)-1),0)</f>
        <v>0</v>
      </c>
      <c r="D395" s="27">
        <f>Ft!B$3*EXP(Ft!B$38*($A395-Ft!B$2)^2) +Ft!C$3*EXP(Ft!C$38*($A395-Ft!C$2)^2) + Ft!D$3*EXP(Ft!D$38*($A395-Ft!D$2)^2)+Ft!E$3*EXP(Ft!E$38*($A395-Ft!E$2)^2) +Ft!F$3*EXP(Ft!F$38*($A395-Ft!F$2)^2) + Ft!G$3*EXP(Ft!G$38*($A395-Ft!G$2)^2)</f>
        <v>32323.684812460448</v>
      </c>
      <c r="E395" s="27">
        <f>Ft!B$3*EXP(Ft!B$38*($A395-Ft!B$2)^2)</f>
        <v>-115959.42964309032</v>
      </c>
      <c r="F395" s="27">
        <f>Ft!C$3*EXP(Ft!C$38*($A395-Ft!C$2)^2)</f>
        <v>0</v>
      </c>
      <c r="G395" s="27">
        <f>Ft!D$3*EXP(Ft!D$38*($A395-Ft!D$2)^2)</f>
        <v>148282.40006175058</v>
      </c>
      <c r="H395" s="27">
        <f>Ft!E$3*EXP(Ft!E$38*($A395-Ft!E$2)^2)</f>
        <v>5.6638604703507248E-15</v>
      </c>
      <c r="I395" s="27">
        <f>Ft!F$3*EXP(Ft!F$38*($A395-Ft!F$2)^2)</f>
        <v>0.71439380018747534</v>
      </c>
      <c r="J395" s="27">
        <f>Ft!G$3*EXP(Ft!G$38*($A395-Ft!G$2)^2)</f>
        <v>0</v>
      </c>
    </row>
    <row r="396" spans="1:10">
      <c r="A396" s="20">
        <v>394</v>
      </c>
      <c r="B396" s="29">
        <v>47.148857546451381</v>
      </c>
      <c r="C396" s="28">
        <f ca="1">OFFSET($B396,1*(ROWS(C$2:C396)-1),0)</f>
        <v>0</v>
      </c>
      <c r="D396" s="27">
        <f>Ft!B$3*EXP(Ft!B$38*($A396-Ft!B$2)^2) +Ft!C$3*EXP(Ft!C$38*($A396-Ft!C$2)^2) + Ft!D$3*EXP(Ft!D$38*($A396-Ft!D$2)^2)+Ft!E$3*EXP(Ft!E$38*($A396-Ft!E$2)^2) +Ft!F$3*EXP(Ft!F$38*($A396-Ft!F$2)^2) + Ft!G$3*EXP(Ft!G$38*($A396-Ft!G$2)^2)</f>
        <v>29674.888021632058</v>
      </c>
      <c r="E396" s="27">
        <f>Ft!B$3*EXP(Ft!B$38*($A396-Ft!B$2)^2)</f>
        <v>-115960.62523078894</v>
      </c>
      <c r="F396" s="27">
        <f>Ft!C$3*EXP(Ft!C$38*($A396-Ft!C$2)^2)</f>
        <v>0</v>
      </c>
      <c r="G396" s="27">
        <f>Ft!D$3*EXP(Ft!D$38*($A396-Ft!D$2)^2)</f>
        <v>145634.85403074641</v>
      </c>
      <c r="H396" s="27">
        <f>Ft!E$3*EXP(Ft!E$38*($A396-Ft!E$2)^2)</f>
        <v>4.5044144991087585E-15</v>
      </c>
      <c r="I396" s="27">
        <f>Ft!F$3*EXP(Ft!F$38*($A396-Ft!F$2)^2)</f>
        <v>0.65922167458293734</v>
      </c>
      <c r="J396" s="27">
        <f>Ft!G$3*EXP(Ft!G$38*($A396-Ft!G$2)^2)</f>
        <v>0</v>
      </c>
    </row>
    <row r="397" spans="1:10">
      <c r="A397" s="20">
        <v>395</v>
      </c>
      <c r="B397" s="29">
        <v>47.038645042506715</v>
      </c>
      <c r="C397" s="28">
        <f ca="1">OFFSET($B397,1*(ROWS(C$2:C397)-1),0)</f>
        <v>0</v>
      </c>
      <c r="D397" s="27">
        <f>Ft!B$3*EXP(Ft!B$38*($A397-Ft!B$2)^2) +Ft!C$3*EXP(Ft!C$38*($A397-Ft!C$2)^2) + Ft!D$3*EXP(Ft!D$38*($A397-Ft!D$2)^2)+Ft!E$3*EXP(Ft!E$38*($A397-Ft!E$2)^2) +Ft!F$3*EXP(Ft!F$38*($A397-Ft!F$2)^2) + Ft!G$3*EXP(Ft!G$38*($A397-Ft!G$2)^2)</f>
        <v>27056.528724132448</v>
      </c>
      <c r="E397" s="27">
        <f>Ft!B$3*EXP(Ft!B$38*($A397-Ft!B$2)^2)</f>
        <v>-115961.82029478429</v>
      </c>
      <c r="F397" s="27">
        <f>Ft!C$3*EXP(Ft!C$38*($A397-Ft!C$2)^2)</f>
        <v>0</v>
      </c>
      <c r="G397" s="27">
        <f>Ft!D$3*EXP(Ft!D$38*($A397-Ft!D$2)^2)</f>
        <v>143017.74086756562</v>
      </c>
      <c r="H397" s="27">
        <f>Ft!E$3*EXP(Ft!E$38*($A397-Ft!E$2)^2)</f>
        <v>3.5801580742115214E-15</v>
      </c>
      <c r="I397" s="27">
        <f>Ft!F$3*EXP(Ft!F$38*($A397-Ft!F$2)^2)</f>
        <v>0.60815135112530228</v>
      </c>
      <c r="J397" s="27">
        <f>Ft!G$3*EXP(Ft!G$38*($A397-Ft!G$2)^2)</f>
        <v>0</v>
      </c>
    </row>
    <row r="398" spans="1:10">
      <c r="A398" s="20">
        <v>396</v>
      </c>
      <c r="B398" s="29">
        <v>46.93345971747928</v>
      </c>
      <c r="C398" s="28">
        <f ca="1">OFFSET($B398,1*(ROWS(C$2:C398)-1),0)</f>
        <v>0</v>
      </c>
      <c r="D398" s="27">
        <f>Ft!B$3*EXP(Ft!B$38*($A398-Ft!B$2)^2) +Ft!C$3*EXP(Ft!C$38*($A398-Ft!C$2)^2) + Ft!D$3*EXP(Ft!D$38*($A398-Ft!D$2)^2)+Ft!E$3*EXP(Ft!E$38*($A398-Ft!E$2)^2) +Ft!F$3*EXP(Ft!F$38*($A398-Ft!F$2)^2) + Ft!G$3*EXP(Ft!G$38*($A398-Ft!G$2)^2)</f>
        <v>24468.670388599243</v>
      </c>
      <c r="E398" s="27">
        <f>Ft!B$3*EXP(Ft!B$38*($A398-Ft!B$2)^2)</f>
        <v>-115963.01483505996</v>
      </c>
      <c r="F398" s="27">
        <f>Ft!C$3*EXP(Ft!C$38*($A398-Ft!C$2)^2)</f>
        <v>0</v>
      </c>
      <c r="G398" s="27">
        <f>Ft!D$3*EXP(Ft!D$38*($A398-Ft!D$2)^2)</f>
        <v>140431.12433291881</v>
      </c>
      <c r="H398" s="27">
        <f>Ft!E$3*EXP(Ft!E$38*($A398-Ft!E$2)^2)</f>
        <v>2.8438331339758918E-15</v>
      </c>
      <c r="I398" s="27">
        <f>Ft!F$3*EXP(Ft!F$38*($A398-Ft!F$2)^2)</f>
        <v>0.56089074039136333</v>
      </c>
      <c r="J398" s="27">
        <f>Ft!G$3*EXP(Ft!G$38*($A398-Ft!G$2)^2)</f>
        <v>0</v>
      </c>
    </row>
    <row r="399" spans="1:10">
      <c r="A399" s="20">
        <v>397</v>
      </c>
      <c r="B399" s="29">
        <v>46.804791210408155</v>
      </c>
      <c r="C399" s="28">
        <f ca="1">OFFSET($B399,1*(ROWS(C$2:C399)-1),0)</f>
        <v>0</v>
      </c>
      <c r="D399" s="27">
        <f>Ft!B$3*EXP(Ft!B$38*($A399-Ft!B$2)^2) +Ft!C$3*EXP(Ft!C$38*($A399-Ft!C$2)^2) + Ft!D$3*EXP(Ft!D$38*($A399-Ft!D$2)^2)+Ft!E$3*EXP(Ft!E$38*($A399-Ft!E$2)^2) +Ft!F$3*EXP(Ft!F$38*($A399-Ft!F$2)^2) + Ft!G$3*EXP(Ft!G$38*($A399-Ft!G$2)^2)</f>
        <v>21911.364681047988</v>
      </c>
      <c r="E399" s="27">
        <f>Ft!B$3*EXP(Ft!B$38*($A399-Ft!B$2)^2)</f>
        <v>-115964.20885159948</v>
      </c>
      <c r="F399" s="27">
        <f>Ft!C$3*EXP(Ft!C$38*($A399-Ft!C$2)^2)</f>
        <v>0</v>
      </c>
      <c r="G399" s="27">
        <f>Ft!D$3*EXP(Ft!D$38*($A399-Ft!D$2)^2)</f>
        <v>137875.05636510401</v>
      </c>
      <c r="H399" s="27">
        <f>Ft!E$3*EXP(Ft!E$38*($A399-Ft!E$2)^2)</f>
        <v>2.2575847894840422E-15</v>
      </c>
      <c r="I399" s="27">
        <f>Ft!F$3*EXP(Ft!F$38*($A399-Ft!F$2)^2)</f>
        <v>0.51716754345640936</v>
      </c>
      <c r="J399" s="27">
        <f>Ft!G$3*EXP(Ft!G$38*($A399-Ft!G$2)^2)</f>
        <v>0</v>
      </c>
    </row>
    <row r="400" spans="1:10">
      <c r="A400" s="20">
        <v>398</v>
      </c>
      <c r="B400" s="29">
        <v>46.677944563617729</v>
      </c>
      <c r="C400" s="28">
        <f ca="1">OFFSET($B400,1*(ROWS(C$2:C400)-1),0)</f>
        <v>0</v>
      </c>
      <c r="D400" s="27">
        <f>Ft!B$3*EXP(Ft!B$38*($A400-Ft!B$2)^2) +Ft!C$3*EXP(Ft!C$38*($A400-Ft!C$2)^2) + Ft!D$3*EXP(Ft!D$38*($A400-Ft!D$2)^2)+Ft!E$3*EXP(Ft!E$38*($A400-Ft!E$2)^2) +Ft!F$3*EXP(Ft!F$38*($A400-Ft!F$2)^2) + Ft!G$3*EXP(Ft!G$38*($A400-Ft!G$2)^2)</f>
        <v>19384.651653184941</v>
      </c>
      <c r="E400" s="27">
        <f>Ft!B$3*EXP(Ft!B$38*($A400-Ft!B$2)^2)</f>
        <v>-115965.40234438641</v>
      </c>
      <c r="F400" s="27">
        <f>Ft!C$3*EXP(Ft!C$38*($A400-Ft!C$2)^2)</f>
        <v>0</v>
      </c>
      <c r="G400" s="27">
        <f>Ft!D$3*EXP(Ft!D$38*($A400-Ft!D$2)^2)</f>
        <v>135349.57726958365</v>
      </c>
      <c r="H400" s="27">
        <f>Ft!E$3*EXP(Ft!E$38*($A400-Ft!E$2)^2)</f>
        <v>1.7911092783097114E-15</v>
      </c>
      <c r="I400" s="27">
        <f>Ft!F$3*EXP(Ft!F$38*($A400-Ft!F$2)^2)</f>
        <v>0.47672798770609454</v>
      </c>
      <c r="J400" s="27">
        <f>Ft!G$3*EXP(Ft!G$38*($A400-Ft!G$2)^2)</f>
        <v>0</v>
      </c>
    </row>
    <row r="401" spans="1:10">
      <c r="A401" s="20">
        <v>399</v>
      </c>
      <c r="B401" s="29">
        <v>46.553084159282491</v>
      </c>
      <c r="C401" s="28">
        <f ca="1">OFFSET($B401,1*(ROWS(C$2:C401)-1),0)</f>
        <v>0</v>
      </c>
      <c r="D401" s="27">
        <f>Ft!B$3*EXP(Ft!B$38*($A401-Ft!B$2)^2) +Ft!C$3*EXP(Ft!C$38*($A401-Ft!C$2)^2) + Ft!D$3*EXP(Ft!D$38*($A401-Ft!D$2)^2)+Ft!E$3*EXP(Ft!E$38*($A401-Ft!E$2)^2) +Ft!F$3*EXP(Ft!F$38*($A401-Ft!F$2)^2) + Ft!G$3*EXP(Ft!G$38*($A401-Ft!G$2)^2)</f>
        <v>16888.559934140249</v>
      </c>
      <c r="E401" s="27">
        <f>Ft!B$3*EXP(Ft!B$38*($A401-Ft!B$2)^2)</f>
        <v>-115966.59531340437</v>
      </c>
      <c r="F401" s="27">
        <f>Ft!C$3*EXP(Ft!C$38*($A401-Ft!C$2)^2)</f>
        <v>0</v>
      </c>
      <c r="G401" s="27">
        <f>Ft!D$3*EXP(Ft!D$38*($A401-Ft!D$2)^2)</f>
        <v>132854.71591190685</v>
      </c>
      <c r="H401" s="27">
        <f>Ft!E$3*EXP(Ft!E$38*($A401-Ft!E$2)^2)</f>
        <v>1.4201628565463355E-15</v>
      </c>
      <c r="I401" s="27">
        <f>Ft!F$3*EXP(Ft!F$38*($A401-Ft!F$2)^2)</f>
        <v>0.43933563776345985</v>
      </c>
      <c r="J401" s="27">
        <f>Ft!G$3*EXP(Ft!G$38*($A401-Ft!G$2)^2)</f>
        <v>0</v>
      </c>
    </row>
    <row r="402" spans="1:10">
      <c r="A402" s="20">
        <v>400</v>
      </c>
      <c r="B402" s="29">
        <v>46.435639732551465</v>
      </c>
      <c r="C402" s="28">
        <f ca="1">OFFSET($B402,1*(ROWS(C$2:C402)-1),0)</f>
        <v>0</v>
      </c>
      <c r="D402" s="27">
        <f>Ft!B$3*EXP(Ft!B$38*($A402-Ft!B$2)^2) +Ft!C$3*EXP(Ft!C$38*($A402-Ft!C$2)^2) + Ft!D$3*EXP(Ft!D$38*($A402-Ft!D$2)^2)+Ft!E$3*EXP(Ft!E$38*($A402-Ft!E$2)^2) +Ft!F$3*EXP(Ft!F$38*($A402-Ft!F$2)^2) + Ft!G$3*EXP(Ft!G$38*($A402-Ft!G$2)^2)</f>
        <v>14423.10692542084</v>
      </c>
      <c r="E402" s="27">
        <f>Ft!B$3*EXP(Ft!B$38*($A402-Ft!B$2)^2)</f>
        <v>-115967.7877586369</v>
      </c>
      <c r="F402" s="27">
        <f>Ft!C$3*EXP(Ft!C$38*($A402-Ft!C$2)^2)</f>
        <v>0</v>
      </c>
      <c r="G402" s="27">
        <f>Ft!D$3*EXP(Ft!D$38*($A402-Ft!D$2)^2)</f>
        <v>130390.48991378027</v>
      </c>
      <c r="H402" s="27">
        <f>Ft!E$3*EXP(Ft!E$38*($A402-Ft!E$2)^2)</f>
        <v>1.1253620582801555E-15</v>
      </c>
      <c r="I402" s="27">
        <f>Ft!F$3*EXP(Ft!F$38*($A402-Ft!F$2)^2)</f>
        <v>0.40477027746841882</v>
      </c>
      <c r="J402" s="27">
        <f>Ft!G$3*EXP(Ft!G$38*($A402-Ft!G$2)^2)</f>
        <v>0</v>
      </c>
    </row>
    <row r="403" spans="1:10">
      <c r="A403" s="20">
        <v>401</v>
      </c>
      <c r="B403" s="29">
        <v>46.30065837376074</v>
      </c>
      <c r="C403" s="28">
        <f ca="1">OFFSET($B403,1*(ROWS(C$2:C403)-1),0)</f>
        <v>0</v>
      </c>
      <c r="D403" s="27">
        <f>Ft!B$3*EXP(Ft!B$38*($A403-Ft!B$2)^2) +Ft!C$3*EXP(Ft!C$38*($A403-Ft!C$2)^2) + Ft!D$3*EXP(Ft!D$38*($A403-Ft!D$2)^2)+Ft!E$3*EXP(Ft!E$38*($A403-Ft!E$2)^2) +Ft!F$3*EXP(Ft!F$38*($A403-Ft!F$2)^2) + Ft!G$3*EXP(Ft!G$38*($A403-Ft!G$2)^2)</f>
        <v>11988.298998885588</v>
      </c>
      <c r="E403" s="27">
        <f>Ft!B$3*EXP(Ft!B$38*($A403-Ft!B$2)^2)</f>
        <v>-115968.97968006761</v>
      </c>
      <c r="F403" s="27">
        <f>Ft!C$3*EXP(Ft!C$38*($A403-Ft!C$2)^2)</f>
        <v>0</v>
      </c>
      <c r="G403" s="27">
        <f>Ft!D$3*EXP(Ft!D$38*($A403-Ft!D$2)^2)</f>
        <v>127956.90585209416</v>
      </c>
      <c r="H403" s="27">
        <f>Ft!E$3*EXP(Ft!E$38*($A403-Ft!E$2)^2)</f>
        <v>8.9121900809558041E-16</v>
      </c>
      <c r="I403" s="27">
        <f>Ft!F$3*EXP(Ft!F$38*($A403-Ft!F$2)^2)</f>
        <v>0.37282685903920193</v>
      </c>
      <c r="J403" s="27">
        <f>Ft!G$3*EXP(Ft!G$38*($A403-Ft!G$2)^2)</f>
        <v>0</v>
      </c>
    </row>
    <row r="404" spans="1:10">
      <c r="A404" s="20">
        <v>402</v>
      </c>
      <c r="B404" s="29">
        <v>46.156090619620954</v>
      </c>
      <c r="C404" s="28">
        <f ca="1">OFFSET($B404,1*(ROWS(C$2:C404)-1),0)</f>
        <v>0</v>
      </c>
      <c r="D404" s="27">
        <f>Ft!B$3*EXP(Ft!B$38*($A404-Ft!B$2)^2) +Ft!C$3*EXP(Ft!C$38*($A404-Ft!C$2)^2) + Ft!D$3*EXP(Ft!D$38*($A404-Ft!D$2)^2)+Ft!E$3*EXP(Ft!E$38*($A404-Ft!E$2)^2) +Ft!F$3*EXP(Ft!F$38*($A404-Ft!F$2)^2) + Ft!G$3*EXP(Ft!G$38*($A404-Ft!G$2)^2)</f>
        <v>9584.1316975440259</v>
      </c>
      <c r="E404" s="27">
        <f>Ft!B$3*EXP(Ft!B$38*($A404-Ft!B$2)^2)</f>
        <v>-115970.17107768008</v>
      </c>
      <c r="F404" s="27">
        <f>Ft!C$3*EXP(Ft!C$38*($A404-Ft!C$2)^2)</f>
        <v>0</v>
      </c>
      <c r="G404" s="27">
        <f>Ft!D$3*EXP(Ft!D$38*($A404-Ft!D$2)^2)</f>
        <v>125553.95946070837</v>
      </c>
      <c r="H404" s="27">
        <f>Ft!E$3*EXP(Ft!E$38*($A404-Ft!E$2)^2)</f>
        <v>7.0536623287794548E-16</v>
      </c>
      <c r="I404" s="27">
        <f>Ft!F$3*EXP(Ft!F$38*($A404-Ft!F$2)^2)</f>
        <v>0.34331451573027294</v>
      </c>
      <c r="J404" s="27">
        <f>Ft!G$3*EXP(Ft!G$38*($A404-Ft!G$2)^2)</f>
        <v>0</v>
      </c>
    </row>
    <row r="405" spans="1:10">
      <c r="A405" s="20">
        <v>403</v>
      </c>
      <c r="B405" s="29">
        <v>46.003354120414258</v>
      </c>
      <c r="C405" s="28">
        <f ca="1">OFFSET($B405,1*(ROWS(C$2:C405)-1),0)</f>
        <v>0</v>
      </c>
      <c r="D405" s="27">
        <f>Ft!B$3*EXP(Ft!B$38*($A405-Ft!B$2)^2) +Ft!C$3*EXP(Ft!C$38*($A405-Ft!C$2)^2) + Ft!D$3*EXP(Ft!D$38*($A405-Ft!D$2)^2)+Ft!E$3*EXP(Ft!E$38*($A405-Ft!E$2)^2) +Ft!F$3*EXP(Ft!F$38*($A405-Ft!F$2)^2) + Ft!G$3*EXP(Ft!G$38*($A405-Ft!G$2)^2)</f>
        <v>7210.5899389834794</v>
      </c>
      <c r="E405" s="27">
        <f>Ft!B$3*EXP(Ft!B$38*($A405-Ft!B$2)^2)</f>
        <v>-115971.36195145795</v>
      </c>
      <c r="F405" s="27">
        <f>Ft!C$3*EXP(Ft!C$38*($A405-Ft!C$2)^2)</f>
        <v>0</v>
      </c>
      <c r="G405" s="27">
        <f>Ft!D$3*EXP(Ft!D$38*($A405-Ft!D$2)^2)</f>
        <v>123181.63583480695</v>
      </c>
      <c r="H405" s="27">
        <f>Ft!E$3*EXP(Ft!E$38*($A405-Ft!E$2)^2)</f>
        <v>5.5793414807602438E-16</v>
      </c>
      <c r="I405" s="27">
        <f>Ft!F$3*EXP(Ft!F$38*($A405-Ft!F$2)^2)</f>
        <v>0.31605563447907864</v>
      </c>
      <c r="J405" s="27">
        <f>Ft!G$3*EXP(Ft!G$38*($A405-Ft!G$2)^2)</f>
        <v>0</v>
      </c>
    </row>
    <row r="406" spans="1:10">
      <c r="A406" s="20">
        <v>404</v>
      </c>
      <c r="B406" s="29">
        <v>45.838370172396765</v>
      </c>
      <c r="C406" s="28">
        <f ca="1">OFFSET($B406,1*(ROWS(C$2:C406)-1),0)</f>
        <v>0</v>
      </c>
      <c r="D406" s="27">
        <f>Ft!B$3*EXP(Ft!B$38*($A406-Ft!B$2)^2) +Ft!C$3*EXP(Ft!C$38*($A406-Ft!C$2)^2) + Ft!D$3*EXP(Ft!D$38*($A406-Ft!D$2)^2)+Ft!E$3*EXP(Ft!E$38*($A406-Ft!E$2)^2) +Ft!F$3*EXP(Ft!F$38*($A406-Ft!F$2)^2) + Ft!G$3*EXP(Ft!G$38*($A406-Ft!G$2)^2)</f>
        <v>4867.6482212302162</v>
      </c>
      <c r="E406" s="27">
        <f>Ft!B$3*EXP(Ft!B$38*($A406-Ft!B$2)^2)</f>
        <v>-115972.5523013848</v>
      </c>
      <c r="F406" s="27">
        <f>Ft!C$3*EXP(Ft!C$38*($A406-Ft!C$2)^2)</f>
        <v>0</v>
      </c>
      <c r="G406" s="27">
        <f>Ft!D$3*EXP(Ft!D$38*($A406-Ft!D$2)^2)</f>
        <v>120839.90963762981</v>
      </c>
      <c r="H406" s="27">
        <f>Ft!E$3*EXP(Ft!E$38*($A406-Ft!E$2)^2)</f>
        <v>4.410514695703309E-16</v>
      </c>
      <c r="I406" s="27">
        <f>Ft!F$3*EXP(Ft!F$38*($A406-Ft!F$2)^2)</f>
        <v>0.29088498520491701</v>
      </c>
      <c r="J406" s="27">
        <f>Ft!G$3*EXP(Ft!G$38*($A406-Ft!G$2)^2)</f>
        <v>0</v>
      </c>
    </row>
    <row r="407" spans="1:10">
      <c r="A407" s="20">
        <v>405</v>
      </c>
      <c r="B407" s="29">
        <v>45.658676830323657</v>
      </c>
      <c r="C407" s="28">
        <f ca="1">OFFSET($B407,1*(ROWS(C$2:C407)-1),0)</f>
        <v>0</v>
      </c>
      <c r="D407" s="27">
        <f>Ft!B$3*EXP(Ft!B$38*($A407-Ft!B$2)^2) +Ft!C$3*EXP(Ft!C$38*($A407-Ft!C$2)^2) + Ft!D$3*EXP(Ft!D$38*($A407-Ft!D$2)^2)+Ft!E$3*EXP(Ft!E$38*($A407-Ft!E$2)^2) +Ft!F$3*EXP(Ft!F$38*($A407-Ft!F$2)^2) + Ft!G$3*EXP(Ft!G$38*($A407-Ft!G$2)^2)</f>
        <v>2555.2708308520305</v>
      </c>
      <c r="E407" s="27">
        <f>Ft!B$3*EXP(Ft!B$38*($A407-Ft!B$2)^2)</f>
        <v>-115973.74212744423</v>
      </c>
      <c r="F407" s="27">
        <f>Ft!C$3*EXP(Ft!C$38*($A407-Ft!C$2)^2)</f>
        <v>0</v>
      </c>
      <c r="G407" s="27">
        <f>Ft!D$3*EXP(Ft!D$38*($A407-Ft!D$2)^2)</f>
        <v>118528.74530939267</v>
      </c>
      <c r="H407" s="27">
        <f>Ft!E$3*EXP(Ft!E$38*($A407-Ft!E$2)^2)</f>
        <v>3.4844453449895861E-16</v>
      </c>
      <c r="I407" s="27">
        <f>Ft!F$3*EXP(Ft!F$38*($A407-Ft!F$2)^2)</f>
        <v>0.26764890358737825</v>
      </c>
      <c r="J407" s="27">
        <f>Ft!G$3*EXP(Ft!G$38*($A407-Ft!G$2)^2)</f>
        <v>0</v>
      </c>
    </row>
    <row r="408" spans="1:10">
      <c r="A408" s="20">
        <v>406</v>
      </c>
      <c r="B408" s="29">
        <v>45.479591484384599</v>
      </c>
      <c r="C408" s="28">
        <f ca="1">OFFSET($B408,1*(ROWS(C$2:C408)-1),0)</f>
        <v>0</v>
      </c>
      <c r="D408" s="27">
        <f>Ft!B$3*EXP(Ft!B$38*($A408-Ft!B$2)^2) +Ft!C$3*EXP(Ft!C$38*($A408-Ft!C$2)^2) + Ft!D$3*EXP(Ft!D$38*($A408-Ft!D$2)^2)+Ft!E$3*EXP(Ft!E$38*($A408-Ft!E$2)^2) +Ft!F$3*EXP(Ft!F$38*($A408-Ft!F$2)^2) + Ft!G$3*EXP(Ft!G$38*($A408-Ft!G$2)^2)</f>
        <v>273.41205311167244</v>
      </c>
      <c r="E408" s="27">
        <f>Ft!B$3*EXP(Ft!B$38*($A408-Ft!B$2)^2)</f>
        <v>-115974.93142961993</v>
      </c>
      <c r="F408" s="27">
        <f>Ft!C$3*EXP(Ft!C$38*($A408-Ft!C$2)^2)</f>
        <v>0</v>
      </c>
      <c r="G408" s="27">
        <f>Ft!D$3*EXP(Ft!D$38*($A408-Ft!D$2)^2)</f>
        <v>116248.09727820729</v>
      </c>
      <c r="H408" s="27">
        <f>Ft!E$3*EXP(Ft!E$38*($A408-Ft!E$2)^2)</f>
        <v>2.7511615489332404E-16</v>
      </c>
      <c r="I408" s="27">
        <f>Ft!F$3*EXP(Ft!F$38*($A408-Ft!F$2)^2)</f>
        <v>0.24620452430930467</v>
      </c>
      <c r="J408" s="27">
        <f>Ft!G$3*EXP(Ft!G$38*($A408-Ft!G$2)^2)</f>
        <v>0</v>
      </c>
    </row>
    <row r="409" spans="1:10">
      <c r="A409" s="20">
        <v>407</v>
      </c>
      <c r="B409" s="29">
        <v>45.278029500784385</v>
      </c>
      <c r="C409" s="28">
        <f ca="1">OFFSET($B409,1*(ROWS(C$2:C409)-1),0)</f>
        <v>0</v>
      </c>
      <c r="D409" s="27">
        <f>Ft!B$3*EXP(Ft!B$38*($A409-Ft!B$2)^2) +Ft!C$3*EXP(Ft!C$38*($A409-Ft!C$2)^2) + Ft!D$3*EXP(Ft!D$38*($A409-Ft!D$2)^2)+Ft!E$3*EXP(Ft!E$38*($A409-Ft!E$2)^2) +Ft!F$3*EXP(Ft!F$38*($A409-Ft!F$2)^2) + Ft!G$3*EXP(Ft!G$38*($A409-Ft!G$2)^2)</f>
        <v>-1977.9836160166765</v>
      </c>
      <c r="E409" s="27">
        <f>Ft!B$3*EXP(Ft!B$38*($A409-Ft!B$2)^2)</f>
        <v>-115976.12020789548</v>
      </c>
      <c r="F409" s="27">
        <f>Ft!C$3*EXP(Ft!C$38*($A409-Ft!C$2)^2)</f>
        <v>0</v>
      </c>
      <c r="G409" s="27">
        <f>Ft!D$3*EXP(Ft!D$38*($A409-Ft!D$2)^2)</f>
        <v>113997.9101728169</v>
      </c>
      <c r="H409" s="27">
        <f>Ft!E$3*EXP(Ft!E$38*($A409-Ft!E$2)^2)</f>
        <v>2.1708838216291026E-16</v>
      </c>
      <c r="I409" s="27">
        <f>Ft!F$3*EXP(Ft!F$38*($A409-Ft!F$2)^2)</f>
        <v>0.22641906190029551</v>
      </c>
      <c r="J409" s="27">
        <f>Ft!G$3*EXP(Ft!G$38*($A409-Ft!G$2)^2)</f>
        <v>0</v>
      </c>
    </row>
    <row r="410" spans="1:10">
      <c r="A410" s="20">
        <v>408</v>
      </c>
      <c r="B410" s="29">
        <v>45.075007713297225</v>
      </c>
      <c r="C410" s="28">
        <f ca="1">OFFSET($B410,1*(ROWS(C$2:C410)-1),0)</f>
        <v>0</v>
      </c>
      <c r="D410" s="27">
        <f>Ft!B$3*EXP(Ft!B$38*($A410-Ft!B$2)^2) +Ft!C$3*EXP(Ft!C$38*($A410-Ft!C$2)^2) + Ft!D$3*EXP(Ft!D$38*($A410-Ft!D$2)^2)+Ft!E$3*EXP(Ft!E$38*($A410-Ft!E$2)^2) +Ft!F$3*EXP(Ft!F$38*($A410-Ft!F$2)^2) + Ft!G$3*EXP(Ft!G$38*($A410-Ft!G$2)^2)</f>
        <v>-4198.981256155148</v>
      </c>
      <c r="E410" s="27">
        <f>Ft!B$3*EXP(Ft!B$38*($A410-Ft!B$2)^2)</f>
        <v>-115977.30846225451</v>
      </c>
      <c r="F410" s="27">
        <f>Ft!C$3*EXP(Ft!C$38*($A410-Ft!C$2)^2)</f>
        <v>0</v>
      </c>
      <c r="G410" s="27">
        <f>Ft!D$3*EXP(Ft!D$38*($A410-Ft!D$2)^2)</f>
        <v>111778.1190369629</v>
      </c>
      <c r="H410" s="27">
        <f>Ft!E$3*EXP(Ft!E$38*($A410-Ft!E$2)^2)</f>
        <v>1.7119659558433833E-16</v>
      </c>
      <c r="I410" s="27">
        <f>Ft!F$3*EXP(Ft!F$38*($A410-Ft!F$2)^2)</f>
        <v>0.20816913646157478</v>
      </c>
      <c r="J410" s="27">
        <f>Ft!G$3*EXP(Ft!G$38*($A410-Ft!G$2)^2)</f>
        <v>0</v>
      </c>
    </row>
    <row r="411" spans="1:10">
      <c r="A411" s="20">
        <v>409</v>
      </c>
      <c r="B411" s="29">
        <v>44.875342131723016</v>
      </c>
      <c r="C411" s="28">
        <f ca="1">OFFSET($B411,1*(ROWS(C$2:C411)-1),0)</f>
        <v>0</v>
      </c>
      <c r="D411" s="27">
        <f>Ft!B$3*EXP(Ft!B$38*($A411-Ft!B$2)^2) +Ft!C$3*EXP(Ft!C$38*($A411-Ft!C$2)^2) + Ft!D$3*EXP(Ft!D$38*($A411-Ft!D$2)^2)+Ft!E$3*EXP(Ft!E$38*($A411-Ft!E$2)^2) +Ft!F$3*EXP(Ft!F$38*($A411-Ft!F$2)^2) + Ft!G$3*EXP(Ft!G$38*($A411-Ft!G$2)^2)</f>
        <v>-6389.655307337327</v>
      </c>
      <c r="E411" s="27">
        <f>Ft!B$3*EXP(Ft!B$38*($A411-Ft!B$2)^2)</f>
        <v>-115978.49619268073</v>
      </c>
      <c r="F411" s="27">
        <f>Ft!C$3*EXP(Ft!C$38*($A411-Ft!C$2)^2)</f>
        <v>0</v>
      </c>
      <c r="G411" s="27">
        <f>Ft!D$3*EXP(Ft!D$38*($A411-Ft!D$2)^2)</f>
        <v>109588.64954520171</v>
      </c>
      <c r="H411" s="27">
        <f>Ft!E$3*EXP(Ft!E$38*($A411-Ft!E$2)^2)</f>
        <v>1.3492478007885575E-16</v>
      </c>
      <c r="I411" s="27">
        <f>Ft!F$3*EXP(Ft!F$38*($A411-Ft!F$2)^2)</f>
        <v>0.19134014169172031</v>
      </c>
      <c r="J411" s="27">
        <f>Ft!G$3*EXP(Ft!G$38*($A411-Ft!G$2)^2)</f>
        <v>0</v>
      </c>
    </row>
    <row r="412" spans="1:10">
      <c r="A412" s="20">
        <v>410</v>
      </c>
      <c r="B412" s="29">
        <v>44.680738646947077</v>
      </c>
      <c r="C412" s="28">
        <f ca="1">OFFSET($B412,1*(ROWS(C$2:C412)-1),0)</f>
        <v>0</v>
      </c>
      <c r="D412" s="27">
        <f>Ft!B$3*EXP(Ft!B$38*($A412-Ft!B$2)^2) +Ft!C$3*EXP(Ft!C$38*($A412-Ft!C$2)^2) + Ft!D$3*EXP(Ft!D$38*($A412-Ft!D$2)^2)+Ft!E$3*EXP(Ft!E$38*($A412-Ft!E$2)^2) +Ft!F$3*EXP(Ft!F$38*($A412-Ft!F$2)^2) + Ft!G$3*EXP(Ft!G$38*($A412-Ft!G$2)^2)</f>
        <v>-8550.0893535122777</v>
      </c>
      <c r="E412" s="27">
        <f>Ft!B$3*EXP(Ft!B$38*($A412-Ft!B$2)^2)</f>
        <v>-115979.68339915773</v>
      </c>
      <c r="F412" s="27">
        <f>Ft!C$3*EXP(Ft!C$38*($A412-Ft!C$2)^2)</f>
        <v>0</v>
      </c>
      <c r="G412" s="27">
        <f>Ft!D$3*EXP(Ft!D$38*($A412-Ft!D$2)^2)</f>
        <v>107429.41821999269</v>
      </c>
      <c r="H412" s="27">
        <f>Ft!E$3*EXP(Ft!E$38*($A412-Ft!E$2)^2)</f>
        <v>1.0627383835600124E-16</v>
      </c>
      <c r="I412" s="27">
        <f>Ft!F$3*EXP(Ft!F$38*($A412-Ft!F$2)^2)</f>
        <v>0.17582565276549739</v>
      </c>
      <c r="J412" s="27">
        <f>Ft!G$3*EXP(Ft!G$38*($A412-Ft!G$2)^2)</f>
        <v>0</v>
      </c>
    </row>
    <row r="413" spans="1:10">
      <c r="A413" s="20">
        <v>411</v>
      </c>
      <c r="B413" s="29">
        <v>44.466848984453975</v>
      </c>
      <c r="C413" s="28">
        <f ca="1">OFFSET($B413,1*(ROWS(C$2:C413)-1),0)</f>
        <v>0</v>
      </c>
      <c r="D413" s="27">
        <f>Ft!B$3*EXP(Ft!B$38*($A413-Ft!B$2)^2) +Ft!C$3*EXP(Ft!C$38*($A413-Ft!C$2)^2) + Ft!D$3*EXP(Ft!D$38*($A413-Ft!D$2)^2)+Ft!E$3*EXP(Ft!E$38*($A413-Ft!E$2)^2) +Ft!F$3*EXP(Ft!F$38*($A413-Ft!F$2)^2) + Ft!G$3*EXP(Ft!G$38*($A413-Ft!G$2)^2)</f>
        <v>-10680.375904916958</v>
      </c>
      <c r="E413" s="27">
        <f>Ft!B$3*EXP(Ft!B$38*($A413-Ft!B$2)^2)</f>
        <v>-115980.8700816692</v>
      </c>
      <c r="F413" s="27">
        <f>Ft!C$3*EXP(Ft!C$38*($A413-Ft!C$2)^2)</f>
        <v>0</v>
      </c>
      <c r="G413" s="27">
        <f>Ft!D$3*EXP(Ft!D$38*($A413-Ft!D$2)^2)</f>
        <v>105300.3326498805</v>
      </c>
      <c r="H413" s="27">
        <f>Ft!E$3*EXP(Ft!E$38*($A413-Ft!E$2)^2)</f>
        <v>8.3656379871229241E-17</v>
      </c>
      <c r="I413" s="27">
        <f>Ft!F$3*EXP(Ft!F$38*($A413-Ft!F$2)^2)</f>
        <v>0.1615268717450549</v>
      </c>
      <c r="J413" s="27">
        <f>Ft!G$3*EXP(Ft!G$38*($A413-Ft!G$2)^2)</f>
        <v>0</v>
      </c>
    </row>
    <row r="414" spans="1:10">
      <c r="A414" s="20">
        <v>412</v>
      </c>
      <c r="B414" s="29">
        <v>44.27695556373726</v>
      </c>
      <c r="C414" s="28">
        <f ca="1">OFFSET($B414,1*(ROWS(C$2:C414)-1),0)</f>
        <v>0</v>
      </c>
      <c r="D414" s="27">
        <f>Ft!B$3*EXP(Ft!B$38*($A414-Ft!B$2)^2) +Ft!C$3*EXP(Ft!C$38*($A414-Ft!C$2)^2) + Ft!D$3*EXP(Ft!D$38*($A414-Ft!D$2)^2)+Ft!E$3*EXP(Ft!E$38*($A414-Ft!E$2)^2) +Ft!F$3*EXP(Ft!F$38*($A414-Ft!F$2)^2) + Ft!G$3*EXP(Ft!G$38*($A414-Ft!G$2)^2)</f>
        <v>-12780.616179492226</v>
      </c>
      <c r="E414" s="27">
        <f>Ft!B$3*EXP(Ft!B$38*($A414-Ft!B$2)^2)</f>
        <v>-115982.05624019883</v>
      </c>
      <c r="F414" s="27">
        <f>Ft!C$3*EXP(Ft!C$38*($A414-Ft!C$2)^2)</f>
        <v>0</v>
      </c>
      <c r="G414" s="27">
        <f>Ft!D$3*EXP(Ft!D$38*($A414-Ft!D$2)^2)</f>
        <v>103201.29170859828</v>
      </c>
      <c r="H414" s="27">
        <f>Ft!E$3*EXP(Ft!E$38*($A414-Ft!E$2)^2)</f>
        <v>6.5812716998813551E-17</v>
      </c>
      <c r="I414" s="27">
        <f>Ft!F$3*EXP(Ft!F$38*($A414-Ft!F$2)^2)</f>
        <v>0.14835210832414258</v>
      </c>
      <c r="J414" s="27">
        <f>Ft!G$3*EXP(Ft!G$38*($A414-Ft!G$2)^2)</f>
        <v>0</v>
      </c>
    </row>
    <row r="415" spans="1:10">
      <c r="A415" s="20">
        <v>413</v>
      </c>
      <c r="B415" s="29">
        <v>44.070798178816602</v>
      </c>
      <c r="C415" s="28">
        <f ca="1">OFFSET($B415,1*(ROWS(C$2:C415)-1),0)</f>
        <v>0</v>
      </c>
      <c r="D415" s="27">
        <f>Ft!B$3*EXP(Ft!B$38*($A415-Ft!B$2)^2) +Ft!C$3*EXP(Ft!C$38*($A415-Ft!C$2)^2) + Ft!D$3*EXP(Ft!D$38*($A415-Ft!D$2)^2)+Ft!E$3*EXP(Ft!E$38*($A415-Ft!E$2)^2) +Ft!F$3*EXP(Ft!F$38*($A415-Ft!F$2)^2) + Ft!G$3*EXP(Ft!G$38*($A415-Ft!G$2)^2)</f>
        <v>-14850.919883517005</v>
      </c>
      <c r="E415" s="27">
        <f>Ft!B$3*EXP(Ft!B$38*($A415-Ft!B$2)^2)</f>
        <v>-115983.24187473023</v>
      </c>
      <c r="F415" s="27">
        <f>Ft!C$3*EXP(Ft!C$38*($A415-Ft!C$2)^2)</f>
        <v>0</v>
      </c>
      <c r="G415" s="27">
        <f>Ft!D$3*EXP(Ft!D$38*($A415-Ft!D$2)^2)</f>
        <v>101132.1857749194</v>
      </c>
      <c r="H415" s="27">
        <f>Ft!E$3*EXP(Ft!E$38*($A415-Ft!E$2)^2)</f>
        <v>5.1743836598759477E-17</v>
      </c>
      <c r="I415" s="27">
        <f>Ft!F$3*EXP(Ft!F$38*($A415-Ft!F$2)^2)</f>
        <v>0.13621629382203587</v>
      </c>
      <c r="J415" s="27">
        <f>Ft!G$3*EXP(Ft!G$38*($A415-Ft!G$2)^2)</f>
        <v>0</v>
      </c>
    </row>
    <row r="416" spans="1:10">
      <c r="A416" s="20">
        <v>414</v>
      </c>
      <c r="B416" s="29">
        <v>43.86200492500052</v>
      </c>
      <c r="C416" s="28">
        <f ca="1">OFFSET($B416,1*(ROWS(C$2:C416)-1),0)</f>
        <v>0</v>
      </c>
      <c r="D416" s="27">
        <f>Ft!B$3*EXP(Ft!B$38*($A416-Ft!B$2)^2) +Ft!C$3*EXP(Ft!C$38*($A416-Ft!C$2)^2) + Ft!D$3*EXP(Ft!D$38*($A416-Ft!D$2)^2)+Ft!E$3*EXP(Ft!E$38*($A416-Ft!E$2)^2) +Ft!F$3*EXP(Ft!F$38*($A416-Ft!F$2)^2) + Ft!G$3*EXP(Ft!G$38*($A416-Ft!G$2)^2)</f>
        <v>-16891.404991630396</v>
      </c>
      <c r="E416" s="27">
        <f>Ft!B$3*EXP(Ft!B$38*($A416-Ft!B$2)^2)</f>
        <v>-115984.42698524713</v>
      </c>
      <c r="F416" s="27">
        <f>Ft!C$3*EXP(Ft!C$38*($A416-Ft!C$2)^2)</f>
        <v>0</v>
      </c>
      <c r="G416" s="27">
        <f>Ft!D$3*EXP(Ft!D$38*($A416-Ft!D$2)^2)</f>
        <v>99092.896953090283</v>
      </c>
      <c r="H416" s="27">
        <f>Ft!E$3*EXP(Ft!E$38*($A416-Ft!E$2)^2)</f>
        <v>4.0657950793464806E-17</v>
      </c>
      <c r="I416" s="27">
        <f>Ft!F$3*EXP(Ft!F$38*($A416-Ft!F$2)^2)</f>
        <v>0.12504052645464581</v>
      </c>
      <c r="J416" s="27">
        <f>Ft!G$3*EXP(Ft!G$38*($A416-Ft!G$2)^2)</f>
        <v>0</v>
      </c>
    </row>
    <row r="417" spans="1:10">
      <c r="A417" s="20">
        <v>415</v>
      </c>
      <c r="B417" s="29">
        <v>43.660674992872345</v>
      </c>
      <c r="C417" s="28">
        <f ca="1">OFFSET($B417,1*(ROWS(C$2:C417)-1),0)</f>
        <v>0</v>
      </c>
      <c r="D417" s="27">
        <f>Ft!B$3*EXP(Ft!B$38*($A417-Ft!B$2)^2) +Ft!C$3*EXP(Ft!C$38*($A417-Ft!C$2)^2) + Ft!D$3*EXP(Ft!D$38*($A417-Ft!D$2)^2)+Ft!E$3*EXP(Ft!E$38*($A417-Ft!E$2)^2) +Ft!F$3*EXP(Ft!F$38*($A417-Ft!F$2)^2) + Ft!G$3*EXP(Ft!G$38*($A417-Ft!G$2)^2)</f>
        <v>-18902.197526409469</v>
      </c>
      <c r="E417" s="27">
        <f>Ft!B$3*EXP(Ft!B$38*($A417-Ft!B$2)^2)</f>
        <v>-115985.61157173323</v>
      </c>
      <c r="F417" s="27">
        <f>Ft!C$3*EXP(Ft!C$38*($A417-Ft!C$2)^2)</f>
        <v>0</v>
      </c>
      <c r="G417" s="27">
        <f>Ft!D$3*EXP(Ft!D$38*($A417-Ft!D$2)^2)</f>
        <v>97083.299293677745</v>
      </c>
      <c r="H417" s="27">
        <f>Ft!E$3*EXP(Ft!E$38*($A417-Ft!E$2)^2)</f>
        <v>3.1927903190157991E-17</v>
      </c>
      <c r="I417" s="27">
        <f>Ft!F$3*EXP(Ft!F$38*($A417-Ft!F$2)^2)</f>
        <v>0.11475164601602712</v>
      </c>
      <c r="J417" s="27">
        <f>Ft!G$3*EXP(Ft!G$38*($A417-Ft!G$2)^2)</f>
        <v>0</v>
      </c>
    </row>
    <row r="418" spans="1:10">
      <c r="A418" s="20">
        <v>416</v>
      </c>
      <c r="B418" s="29">
        <v>43.44321437089738</v>
      </c>
      <c r="C418" s="28">
        <f ca="1">OFFSET($B418,1*(ROWS(C$2:C418)-1),0)</f>
        <v>0</v>
      </c>
      <c r="D418" s="27">
        <f>Ft!B$3*EXP(Ft!B$38*($A418-Ft!B$2)^2) +Ft!C$3*EXP(Ft!C$38*($A418-Ft!C$2)^2) + Ft!D$3*EXP(Ft!D$38*($A418-Ft!D$2)^2)+Ft!E$3*EXP(Ft!E$38*($A418-Ft!E$2)^2) +Ft!F$3*EXP(Ft!F$38*($A418-Ft!F$2)^2) + Ft!G$3*EXP(Ft!G$38*($A418-Ft!G$2)^2)</f>
        <v>-20883.431337667429</v>
      </c>
      <c r="E418" s="27">
        <f>Ft!B$3*EXP(Ft!B$38*($A418-Ft!B$2)^2)</f>
        <v>-115986.79563417219</v>
      </c>
      <c r="F418" s="27">
        <f>Ft!C$3*EXP(Ft!C$38*($A418-Ft!C$2)^2)</f>
        <v>0</v>
      </c>
      <c r="G418" s="27">
        <f>Ft!D$3*EXP(Ft!D$38*($A418-Ft!D$2)^2)</f>
        <v>95103.259014668554</v>
      </c>
      <c r="H418" s="27">
        <f>Ft!E$3*EXP(Ft!E$38*($A418-Ft!E$2)^2)</f>
        <v>2.5057247506877702E-17</v>
      </c>
      <c r="I418" s="27">
        <f>Ft!F$3*EXP(Ft!F$38*($A418-Ft!F$2)^2)</f>
        <v>0.10528183620435128</v>
      </c>
      <c r="J418" s="27">
        <f>Ft!G$3*EXP(Ft!G$38*($A418-Ft!G$2)^2)</f>
        <v>0</v>
      </c>
    </row>
    <row r="419" spans="1:10">
      <c r="A419" s="20">
        <v>417</v>
      </c>
      <c r="B419" s="29">
        <v>43.196116780807188</v>
      </c>
      <c r="C419" s="28">
        <f ca="1">OFFSET($B419,1*(ROWS(C$2:C419)-1),0)</f>
        <v>0</v>
      </c>
      <c r="D419" s="27">
        <f>Ft!B$3*EXP(Ft!B$38*($A419-Ft!B$2)^2) +Ft!C$3*EXP(Ft!C$38*($A419-Ft!C$2)^2) + Ft!D$3*EXP(Ft!D$38*($A419-Ft!D$2)^2)+Ft!E$3*EXP(Ft!E$38*($A419-Ft!E$2)^2) +Ft!F$3*EXP(Ft!F$38*($A419-Ft!F$2)^2) + Ft!G$3*EXP(Ft!G$38*($A419-Ft!G$2)^2)</f>
        <v>-22835.247881633328</v>
      </c>
      <c r="E419" s="27">
        <f>Ft!B$3*EXP(Ft!B$38*($A419-Ft!B$2)^2)</f>
        <v>-115987.97917254773</v>
      </c>
      <c r="F419" s="27">
        <f>Ft!C$3*EXP(Ft!C$38*($A419-Ft!C$2)^2)</f>
        <v>0</v>
      </c>
      <c r="G419" s="27">
        <f>Ft!D$3*EXP(Ft!D$38*($A419-Ft!D$2)^2)</f>
        <v>93152.634722661474</v>
      </c>
      <c r="H419" s="27">
        <f>Ft!E$3*EXP(Ft!E$38*($A419-Ft!E$2)^2)</f>
        <v>1.9653250086831809E-17</v>
      </c>
      <c r="I419" s="27">
        <f>Ft!F$3*EXP(Ft!F$38*($A419-Ft!F$2)^2)</f>
        <v>9.656825292257705E-2</v>
      </c>
      <c r="J419" s="27">
        <f>Ft!G$3*EXP(Ft!G$38*($A419-Ft!G$2)^2)</f>
        <v>0</v>
      </c>
    </row>
    <row r="420" spans="1:10">
      <c r="A420" s="20">
        <v>418</v>
      </c>
      <c r="B420" s="29">
        <v>42.97750070280938</v>
      </c>
      <c r="C420" s="28">
        <f ca="1">OFFSET($B420,1*(ROWS(C$2:C420)-1),0)</f>
        <v>0</v>
      </c>
      <c r="D420" s="27">
        <f>Ft!B$3*EXP(Ft!B$38*($A420-Ft!B$2)^2) +Ft!C$3*EXP(Ft!C$38*($A420-Ft!C$2)^2) + Ft!D$3*EXP(Ft!D$38*($A420-Ft!D$2)^2)+Ft!E$3*EXP(Ft!E$38*($A420-Ft!E$2)^2) +Ft!F$3*EXP(Ft!F$38*($A420-Ft!F$2)^2) + Ft!G$3*EXP(Ft!G$38*($A420-Ft!G$2)^2)</f>
        <v>-24757.796000171333</v>
      </c>
      <c r="E420" s="27">
        <f>Ft!B$3*EXP(Ft!B$38*($A420-Ft!B$2)^2)</f>
        <v>-115989.16218684356</v>
      </c>
      <c r="F420" s="27">
        <f>Ft!C$3*EXP(Ft!C$38*($A420-Ft!C$2)^2)</f>
        <v>0</v>
      </c>
      <c r="G420" s="27">
        <f>Ft!D$3*EXP(Ft!D$38*($A420-Ft!D$2)^2)</f>
        <v>91231.277633995254</v>
      </c>
      <c r="H420" s="27">
        <f>Ft!E$3*EXP(Ft!E$38*($A420-Ft!E$2)^2)</f>
        <v>1.5405416741536059E-17</v>
      </c>
      <c r="I420" s="27">
        <f>Ft!F$3*EXP(Ft!F$38*($A420-Ft!F$2)^2)</f>
        <v>8.8552676975646824E-2</v>
      </c>
      <c r="J420" s="27">
        <f>Ft!G$3*EXP(Ft!G$38*($A420-Ft!G$2)^2)</f>
        <v>0</v>
      </c>
    </row>
    <row r="421" spans="1:10">
      <c r="A421" s="20">
        <v>419</v>
      </c>
      <c r="B421" s="29">
        <v>42.762796550388629</v>
      </c>
      <c r="C421" s="28">
        <f ca="1">OFFSET($B421,1*(ROWS(C$2:C421)-1),0)</f>
        <v>0</v>
      </c>
      <c r="D421" s="27">
        <f>Ft!B$3*EXP(Ft!B$38*($A421-Ft!B$2)^2) +Ft!C$3*EXP(Ft!C$38*($A421-Ft!C$2)^2) + Ft!D$3*EXP(Ft!D$38*($A421-Ft!D$2)^2)+Ft!E$3*EXP(Ft!E$38*($A421-Ft!E$2)^2) +Ft!F$3*EXP(Ft!F$38*($A421-Ft!F$2)^2) + Ft!G$3*EXP(Ft!G$38*($A421-Ft!G$2)^2)</f>
        <v>-26651.231700194603</v>
      </c>
      <c r="E421" s="27">
        <f>Ft!B$3*EXP(Ft!B$38*($A421-Ft!B$2)^2)</f>
        <v>-115990.34467704341</v>
      </c>
      <c r="F421" s="27">
        <f>Ft!C$3*EXP(Ft!C$38*($A421-Ft!C$2)^2)</f>
        <v>0</v>
      </c>
      <c r="G421" s="27">
        <f>Ft!D$3*EXP(Ft!D$38*($A421-Ft!D$2)^2)</f>
        <v>89339.031795659132</v>
      </c>
      <c r="H421" s="27">
        <f>Ft!E$3*EXP(Ft!E$38*($A421-Ft!E$2)^2)</f>
        <v>1.206842441195416E-17</v>
      </c>
      <c r="I421" s="27">
        <f>Ft!F$3*EXP(Ft!F$38*($A421-Ft!F$2)^2)</f>
        <v>8.1181189673279017E-2</v>
      </c>
      <c r="J421" s="27">
        <f>Ft!G$3*EXP(Ft!G$38*($A421-Ft!G$2)^2)</f>
        <v>0</v>
      </c>
    </row>
    <row r="422" spans="1:10">
      <c r="A422" s="20">
        <v>420</v>
      </c>
      <c r="B422" s="29">
        <v>42.53850859007494</v>
      </c>
      <c r="C422" s="28">
        <f ca="1">OFFSET($B422,1*(ROWS(C$2:C422)-1),0)</f>
        <v>0</v>
      </c>
      <c r="D422" s="27">
        <f>Ft!B$3*EXP(Ft!B$38*($A422-Ft!B$2)^2) +Ft!C$3*EXP(Ft!C$38*($A422-Ft!C$2)^2) + Ft!D$3*EXP(Ft!D$38*($A422-Ft!D$2)^2)+Ft!E$3*EXP(Ft!E$38*($A422-Ft!E$2)^2) +Ft!F$3*EXP(Ft!F$38*($A422-Ft!F$2)^2) + Ft!G$3*EXP(Ft!G$38*($A422-Ft!G$2)^2)</f>
        <v>-28515.717933424854</v>
      </c>
      <c r="E422" s="27">
        <f>Ft!B$3*EXP(Ft!B$38*($A422-Ft!B$2)^2)</f>
        <v>-115991.52664313099</v>
      </c>
      <c r="F422" s="27">
        <f>Ft!C$3*EXP(Ft!C$38*($A422-Ft!C$2)^2)</f>
        <v>0</v>
      </c>
      <c r="G422" s="27">
        <f>Ft!D$3*EXP(Ft!D$38*($A422-Ft!D$2)^2)</f>
        <v>87475.734305836202</v>
      </c>
      <c r="H422" s="27">
        <f>Ft!E$3*EXP(Ft!E$38*($A422-Ft!E$2)^2)</f>
        <v>9.4485627359639828E-18</v>
      </c>
      <c r="I422" s="27">
        <f>Ft!F$3*EXP(Ft!F$38*($A422-Ft!F$2)^2)</f>
        <v>7.4403869930463676E-2</v>
      </c>
      <c r="J422" s="27">
        <f>Ft!G$3*EXP(Ft!G$38*($A422-Ft!G$2)^2)</f>
        <v>0</v>
      </c>
    </row>
    <row r="423" spans="1:10">
      <c r="A423" s="20">
        <v>421</v>
      </c>
      <c r="B423" s="29">
        <v>42.303654382793951</v>
      </c>
      <c r="C423" s="28">
        <f ca="1">OFFSET($B423,1*(ROWS(C$2:C423)-1),0)</f>
        <v>0</v>
      </c>
      <c r="D423" s="27">
        <f>Ft!B$3*EXP(Ft!B$38*($A423-Ft!B$2)^2) +Ft!C$3*EXP(Ft!C$38*($A423-Ft!C$2)^2) + Ft!D$3*EXP(Ft!D$38*($A423-Ft!D$2)^2)+Ft!E$3*EXP(Ft!E$38*($A423-Ft!E$2)^2) +Ft!F$3*EXP(Ft!F$38*($A423-Ft!F$2)^2) + Ft!G$3*EXP(Ft!G$38*($A423-Ft!G$2)^2)</f>
        <v>-30351.424376645555</v>
      </c>
      <c r="E423" s="27">
        <f>Ft!B$3*EXP(Ft!B$38*($A423-Ft!B$2)^2)</f>
        <v>-115992.70808509002</v>
      </c>
      <c r="F423" s="27">
        <f>Ft!C$3*EXP(Ft!C$38*($A423-Ft!C$2)^2)</f>
        <v>0</v>
      </c>
      <c r="G423" s="27">
        <f>Ft!D$3*EXP(Ft!D$38*($A423-Ft!D$2)^2)</f>
        <v>85641.215533932933</v>
      </c>
      <c r="H423" s="27">
        <f>Ft!E$3*EXP(Ft!E$38*($A423-Ft!E$2)^2)</f>
        <v>7.3929706189484783E-18</v>
      </c>
      <c r="I423" s="27">
        <f>Ft!F$3*EXP(Ft!F$38*($A423-Ft!F$2)^2)</f>
        <v>6.8174511536733429E-2</v>
      </c>
      <c r="J423" s="27">
        <f>Ft!G$3*EXP(Ft!G$38*($A423-Ft!G$2)^2)</f>
        <v>0</v>
      </c>
    </row>
    <row r="424" spans="1:10">
      <c r="A424" s="20">
        <v>422</v>
      </c>
      <c r="B424" s="29">
        <v>42.08118861262011</v>
      </c>
      <c r="C424" s="28">
        <f ca="1">OFFSET($B424,1*(ROWS(C$2:C424)-1),0)</f>
        <v>0</v>
      </c>
      <c r="D424" s="27">
        <f>Ft!B$3*EXP(Ft!B$38*($A424-Ft!B$2)^2) +Ft!C$3*EXP(Ft!C$38*($A424-Ft!C$2)^2) + Ft!D$3*EXP(Ft!D$38*($A424-Ft!D$2)^2)+Ft!E$3*EXP(Ft!E$38*($A424-Ft!E$2)^2) +Ft!F$3*EXP(Ft!F$38*($A424-Ft!F$2)^2) + Ft!G$3*EXP(Ft!G$38*($A424-Ft!G$2)^2)</f>
        <v>-32158.527212593504</v>
      </c>
      <c r="E424" s="27">
        <f>Ft!B$3*EXP(Ft!B$38*($A424-Ft!B$2)^2)</f>
        <v>-115993.88900290427</v>
      </c>
      <c r="F424" s="27">
        <f>Ft!C$3*EXP(Ft!C$38*($A424-Ft!C$2)^2)</f>
        <v>0</v>
      </c>
      <c r="G424" s="27">
        <f>Ft!D$3*EXP(Ft!D$38*($A424-Ft!D$2)^2)</f>
        <v>83835.299339951423</v>
      </c>
      <c r="H424" s="27">
        <f>Ft!E$3*EXP(Ft!E$38*($A424-Ft!E$2)^2)</f>
        <v>5.7810970789566804E-18</v>
      </c>
      <c r="I424" s="27">
        <f>Ft!F$3*EXP(Ft!F$38*($A424-Ft!F$2)^2)</f>
        <v>6.2450359340378209E-2</v>
      </c>
      <c r="J424" s="27">
        <f>Ft!G$3*EXP(Ft!G$38*($A424-Ft!G$2)^2)</f>
        <v>0</v>
      </c>
    </row>
    <row r="425" spans="1:10">
      <c r="A425" s="20">
        <v>423</v>
      </c>
      <c r="B425" s="29">
        <v>41.834642713088328</v>
      </c>
      <c r="C425" s="28">
        <f ca="1">OFFSET($B425,1*(ROWS(C$2:C425)-1),0)</f>
        <v>0</v>
      </c>
      <c r="D425" s="27">
        <f>Ft!B$3*EXP(Ft!B$38*($A425-Ft!B$2)^2) +Ft!C$3*EXP(Ft!C$38*($A425-Ft!C$2)^2) + Ft!D$3*EXP(Ft!D$38*($A425-Ft!D$2)^2)+Ft!E$3*EXP(Ft!E$38*($A425-Ft!E$2)^2) +Ft!F$3*EXP(Ft!F$38*($A425-Ft!F$2)^2) + Ft!G$3*EXP(Ft!G$38*($A425-Ft!G$2)^2)</f>
        <v>-33937.208911628877</v>
      </c>
      <c r="E425" s="27">
        <f>Ft!B$3*EXP(Ft!B$38*($A425-Ft!B$2)^2)</f>
        <v>-115995.06939655746</v>
      </c>
      <c r="F425" s="27">
        <f>Ft!C$3*EXP(Ft!C$38*($A425-Ft!C$2)^2)</f>
        <v>0</v>
      </c>
      <c r="G425" s="27">
        <f>Ft!D$3*EXP(Ft!D$38*($A425-Ft!D$2)^2)</f>
        <v>82057.803293065415</v>
      </c>
      <c r="H425" s="27">
        <f>Ft!E$3*EXP(Ft!E$38*($A425-Ft!E$2)^2)</f>
        <v>4.517931035235909E-18</v>
      </c>
      <c r="I425" s="27">
        <f>Ft!F$3*EXP(Ft!F$38*($A425-Ft!F$2)^2)</f>
        <v>5.7191863165121058E-2</v>
      </c>
      <c r="J425" s="27">
        <f>Ft!G$3*EXP(Ft!G$38*($A425-Ft!G$2)^2)</f>
        <v>0</v>
      </c>
    </row>
    <row r="426" spans="1:10">
      <c r="A426" s="20">
        <v>424</v>
      </c>
      <c r="B426" s="29">
        <v>41.595778396664144</v>
      </c>
      <c r="C426" s="28">
        <f ca="1">OFFSET($B426,1*(ROWS(C$2:C426)-1),0)</f>
        <v>0</v>
      </c>
      <c r="D426" s="27">
        <f>Ft!B$3*EXP(Ft!B$38*($A426-Ft!B$2)^2) +Ft!C$3*EXP(Ft!C$38*($A426-Ft!C$2)^2) + Ft!D$3*EXP(Ft!D$38*($A426-Ft!D$2)^2)+Ft!E$3*EXP(Ft!E$38*($A426-Ft!E$2)^2) +Ft!F$3*EXP(Ft!F$38*($A426-Ft!F$2)^2) + Ft!G$3*EXP(Ft!G$38*($A426-Ft!G$2)^2)</f>
        <v>-35687.658014321845</v>
      </c>
      <c r="E426" s="27">
        <f>Ft!B$3*EXP(Ft!B$38*($A426-Ft!B$2)^2)</f>
        <v>-115996.24926603337</v>
      </c>
      <c r="F426" s="27">
        <f>Ft!C$3*EXP(Ft!C$38*($A426-Ft!C$2)^2)</f>
        <v>0</v>
      </c>
      <c r="G426" s="27">
        <f>Ft!D$3*EXP(Ft!D$38*($A426-Ft!D$2)^2)</f>
        <v>80308.538889263174</v>
      </c>
      <c r="H426" s="27">
        <f>Ft!E$3*EXP(Ft!E$38*($A426-Ft!E$2)^2)</f>
        <v>3.5286370115792851E-18</v>
      </c>
      <c r="I426" s="27">
        <f>Ft!F$3*EXP(Ft!F$38*($A426-Ft!F$2)^2)</f>
        <v>5.2362448344533179E-2</v>
      </c>
      <c r="J426" s="27">
        <f>Ft!G$3*EXP(Ft!G$38*($A426-Ft!G$2)^2)</f>
        <v>0</v>
      </c>
    </row>
    <row r="427" spans="1:10">
      <c r="A427" s="20">
        <v>425</v>
      </c>
      <c r="B427" s="29">
        <v>41.33812012309636</v>
      </c>
      <c r="C427" s="28">
        <f ca="1">OFFSET($B427,1*(ROWS(C$2:C427)-1),0)</f>
        <v>0</v>
      </c>
      <c r="D427" s="27">
        <f>Ft!B$3*EXP(Ft!B$38*($A427-Ft!B$2)^2) +Ft!C$3*EXP(Ft!C$38*($A427-Ft!C$2)^2) + Ft!D$3*EXP(Ft!D$38*($A427-Ft!D$2)^2)+Ft!E$3*EXP(Ft!E$38*($A427-Ft!E$2)^2) +Ft!F$3*EXP(Ft!F$38*($A427-Ft!F$2)^2) + Ft!G$3*EXP(Ft!G$38*($A427-Ft!G$2)^2)</f>
        <v>-37410.068915088093</v>
      </c>
      <c r="E427" s="27">
        <f>Ft!B$3*EXP(Ft!B$38*($A427-Ft!B$2)^2)</f>
        <v>-115997.42861131573</v>
      </c>
      <c r="F427" s="27">
        <f>Ft!C$3*EXP(Ft!C$38*($A427-Ft!C$2)^2)</f>
        <v>0</v>
      </c>
      <c r="G427" s="27">
        <f>Ft!D$3*EXP(Ft!D$38*($A427-Ft!D$2)^2)</f>
        <v>78587.311767925814</v>
      </c>
      <c r="H427" s="27">
        <f>Ft!E$3*EXP(Ft!E$38*($A427-Ft!E$2)^2)</f>
        <v>2.7543075068108608E-18</v>
      </c>
      <c r="I427" s="27">
        <f>Ft!F$3*EXP(Ft!F$38*($A427-Ft!F$2)^2)</f>
        <v>4.792830182379116E-2</v>
      </c>
      <c r="J427" s="27">
        <f>Ft!G$3*EXP(Ft!G$38*($A427-Ft!G$2)^2)</f>
        <v>0</v>
      </c>
    </row>
    <row r="428" spans="1:10">
      <c r="A428" s="20">
        <v>426</v>
      </c>
      <c r="B428" s="29">
        <v>41.085308271360418</v>
      </c>
      <c r="C428" s="28">
        <f ca="1">OFFSET($B428,1*(ROWS(C$2:C428)-1),0)</f>
        <v>0</v>
      </c>
      <c r="D428" s="27">
        <f>Ft!B$3*EXP(Ft!B$38*($A428-Ft!B$2)^2) +Ft!C$3*EXP(Ft!C$38*($A428-Ft!C$2)^2) + Ft!D$3*EXP(Ft!D$38*($A428-Ft!D$2)^2)+Ft!E$3*EXP(Ft!E$38*($A428-Ft!E$2)^2) +Ft!F$3*EXP(Ft!F$38*($A428-Ft!F$2)^2) + Ft!G$3*EXP(Ft!G$38*($A428-Ft!G$2)^2)</f>
        <v>-39104.64164700429</v>
      </c>
      <c r="E428" s="27">
        <f>Ft!B$3*EXP(Ft!B$38*($A428-Ft!B$2)^2)</f>
        <v>-115998.60743238832</v>
      </c>
      <c r="F428" s="27">
        <f>Ft!C$3*EXP(Ft!C$38*($A428-Ft!C$2)^2)</f>
        <v>0</v>
      </c>
      <c r="G428" s="27">
        <f>Ft!D$3*EXP(Ft!D$38*($A428-Ft!D$2)^2)</f>
        <v>76893.921927211195</v>
      </c>
      <c r="H428" s="27">
        <f>Ft!E$3*EXP(Ft!E$38*($A428-Ft!E$2)^2)</f>
        <v>2.1486017213351372E-18</v>
      </c>
      <c r="I428" s="27">
        <f>Ft!F$3*EXP(Ft!F$38*($A428-Ft!F$2)^2)</f>
        <v>4.3858172839406885E-2</v>
      </c>
      <c r="J428" s="27">
        <f>Ft!G$3*EXP(Ft!G$38*($A428-Ft!G$2)^2)</f>
        <v>0</v>
      </c>
    </row>
    <row r="429" spans="1:10">
      <c r="A429" s="20">
        <v>427</v>
      </c>
      <c r="B429" s="29">
        <v>40.836381466522994</v>
      </c>
      <c r="C429" s="28">
        <f ca="1">OFFSET($B429,1*(ROWS(C$2:C429)-1),0)</f>
        <v>0</v>
      </c>
      <c r="D429" s="27">
        <f>Ft!B$3*EXP(Ft!B$38*($A429-Ft!B$2)^2) +Ft!C$3*EXP(Ft!C$38*($A429-Ft!C$2)^2) + Ft!D$3*EXP(Ft!D$38*($A429-Ft!D$2)^2)+Ft!E$3*EXP(Ft!E$38*($A429-Ft!E$2)^2) +Ft!F$3*EXP(Ft!F$38*($A429-Ft!F$2)^2) + Ft!G$3*EXP(Ft!G$38*($A429-Ft!G$2)^2)</f>
        <v>-40771.581667928338</v>
      </c>
      <c r="E429" s="27">
        <f>Ft!B$3*EXP(Ft!B$38*($A429-Ft!B$2)^2)</f>
        <v>-115999.78572923492</v>
      </c>
      <c r="F429" s="27">
        <f>Ft!C$3*EXP(Ft!C$38*($A429-Ft!C$2)^2)</f>
        <v>0</v>
      </c>
      <c r="G429" s="27">
        <f>Ft!D$3*EXP(Ft!D$38*($A429-Ft!D$2)^2)</f>
        <v>75228.163938119338</v>
      </c>
      <c r="H429" s="27">
        <f>Ft!E$3*EXP(Ft!E$38*($A429-Ft!E$2)^2)</f>
        <v>1.675087376351453E-18</v>
      </c>
      <c r="I429" s="27">
        <f>Ft!F$3*EXP(Ft!F$38*($A429-Ft!F$2)^2)</f>
        <v>4.0123187245432221E-2</v>
      </c>
      <c r="J429" s="27">
        <f>Ft!G$3*EXP(Ft!G$38*($A429-Ft!G$2)^2)</f>
        <v>0</v>
      </c>
    </row>
    <row r="430" spans="1:10">
      <c r="A430" s="20">
        <v>428</v>
      </c>
      <c r="B430" s="29">
        <v>40.572886352871137</v>
      </c>
      <c r="C430" s="28">
        <f ca="1">OFFSET($B430,1*(ROWS(C$2:C430)-1),0)</f>
        <v>0</v>
      </c>
      <c r="D430" s="27">
        <f>Ft!B$3*EXP(Ft!B$38*($A430-Ft!B$2)^2) +Ft!C$3*EXP(Ft!C$38*($A430-Ft!C$2)^2) + Ft!D$3*EXP(Ft!D$38*($A430-Ft!D$2)^2)+Ft!E$3*EXP(Ft!E$38*($A430-Ft!E$2)^2) +Ft!F$3*EXP(Ft!F$38*($A430-Ft!F$2)^2) + Ft!G$3*EXP(Ft!G$38*($A430-Ft!G$2)^2)</f>
        <v>-42411.099648047166</v>
      </c>
      <c r="E430" s="27">
        <f>Ft!B$3*EXP(Ft!B$38*($A430-Ft!B$2)^2)</f>
        <v>-116000.9635018393</v>
      </c>
      <c r="F430" s="27">
        <f>Ft!C$3*EXP(Ft!C$38*($A430-Ft!C$2)^2)</f>
        <v>0</v>
      </c>
      <c r="G430" s="27">
        <f>Ft!D$3*EXP(Ft!D$38*($A430-Ft!D$2)^2)</f>
        <v>73589.827157117528</v>
      </c>
      <c r="H430" s="27">
        <f>Ft!E$3*EXP(Ft!E$38*($A430-Ft!E$2)^2)</f>
        <v>1.3051398944596997E-18</v>
      </c>
      <c r="I430" s="27">
        <f>Ft!F$3*EXP(Ft!F$38*($A430-Ft!F$2)^2)</f>
        <v>3.6696674609489568E-2</v>
      </c>
      <c r="J430" s="27">
        <f>Ft!G$3*EXP(Ft!G$38*($A430-Ft!G$2)^2)</f>
        <v>0</v>
      </c>
    </row>
    <row r="431" spans="1:10">
      <c r="A431" s="20">
        <v>429</v>
      </c>
      <c r="B431" s="29">
        <v>40.316399101854586</v>
      </c>
      <c r="C431" s="28">
        <f ca="1">OFFSET($B431,1*(ROWS(C$2:C431)-1),0)</f>
        <v>0</v>
      </c>
      <c r="D431" s="27">
        <f>Ft!B$3*EXP(Ft!B$38*($A431-Ft!B$2)^2) +Ft!C$3*EXP(Ft!C$38*($A431-Ft!C$2)^2) + Ft!D$3*EXP(Ft!D$38*($A431-Ft!D$2)^2)+Ft!E$3*EXP(Ft!E$38*($A431-Ft!E$2)^2) +Ft!F$3*EXP(Ft!F$38*($A431-Ft!F$2)^2) + Ft!G$3*EXP(Ft!G$38*($A431-Ft!G$2)^2)</f>
        <v>-44023.411258970387</v>
      </c>
      <c r="E431" s="27">
        <f>Ft!B$3*EXP(Ft!B$38*($A431-Ft!B$2)^2)</f>
        <v>-116002.14075018527</v>
      </c>
      <c r="F431" s="27">
        <f>Ft!C$3*EXP(Ft!C$38*($A431-Ft!C$2)^2)</f>
        <v>0</v>
      </c>
      <c r="G431" s="27">
        <f>Ft!D$3*EXP(Ft!D$38*($A431-Ft!D$2)^2)</f>
        <v>71978.695937207624</v>
      </c>
      <c r="H431" s="27">
        <f>Ft!E$3*EXP(Ft!E$38*($A431-Ft!E$2)^2)</f>
        <v>1.0162831316644403E-18</v>
      </c>
      <c r="I431" s="27">
        <f>Ft!F$3*EXP(Ft!F$38*($A431-Ft!F$2)^2)</f>
        <v>3.3554007253939137E-2</v>
      </c>
      <c r="J431" s="27">
        <f>Ft!G$3*EXP(Ft!G$38*($A431-Ft!G$2)^2)</f>
        <v>0</v>
      </c>
    </row>
    <row r="432" spans="1:10">
      <c r="A432" s="20">
        <v>430</v>
      </c>
      <c r="B432" s="29">
        <v>40.07334535779637</v>
      </c>
      <c r="C432" s="28">
        <f ca="1">OFFSET($B432,1*(ROWS(C$2:C432)-1),0)</f>
        <v>0</v>
      </c>
      <c r="D432" s="27">
        <f>Ft!B$3*EXP(Ft!B$38*($A432-Ft!B$2)^2) +Ft!C$3*EXP(Ft!C$38*($A432-Ft!C$2)^2) + Ft!D$3*EXP(Ft!D$38*($A432-Ft!D$2)^2)+Ft!E$3*EXP(Ft!E$38*($A432-Ft!E$2)^2) +Ft!F$3*EXP(Ft!F$38*($A432-Ft!F$2)^2) + Ft!G$3*EXP(Ft!G$38*($A432-Ft!G$2)^2)</f>
        <v>-45608.736964484233</v>
      </c>
      <c r="E432" s="27">
        <f>Ft!B$3*EXP(Ft!B$38*($A432-Ft!B$2)^2)</f>
        <v>-116003.3174742566</v>
      </c>
      <c r="F432" s="27">
        <f>Ft!C$3*EXP(Ft!C$38*($A432-Ft!C$2)^2)</f>
        <v>0</v>
      </c>
      <c r="G432" s="27">
        <f>Ft!D$3*EXP(Ft!D$38*($A432-Ft!D$2)^2)</f>
        <v>70394.549837321902</v>
      </c>
      <c r="H432" s="27">
        <f>Ft!E$3*EXP(Ft!E$38*($A432-Ft!E$2)^2)</f>
        <v>7.9087968876968199E-19</v>
      </c>
      <c r="I432" s="27">
        <f>Ft!F$3*EXP(Ft!F$38*($A432-Ft!F$2)^2)</f>
        <v>3.0672450466698229E-2</v>
      </c>
      <c r="J432" s="27">
        <f>Ft!G$3*EXP(Ft!G$38*($A432-Ft!G$2)^2)</f>
        <v>0</v>
      </c>
    </row>
    <row r="433" spans="1:10">
      <c r="A433" s="20">
        <v>431</v>
      </c>
      <c r="B433" s="29">
        <v>39.82757339990502</v>
      </c>
      <c r="C433" s="28">
        <f ca="1">OFFSET($B433,1*(ROWS(C$2:C433)-1),0)</f>
        <v>0</v>
      </c>
      <c r="D433" s="27">
        <f>Ft!B$3*EXP(Ft!B$38*($A433-Ft!B$2)^2) +Ft!C$3*EXP(Ft!C$38*($A433-Ft!C$2)^2) + Ft!D$3*EXP(Ft!D$38*($A433-Ft!D$2)^2)+Ft!E$3*EXP(Ft!E$38*($A433-Ft!E$2)^2) +Ft!F$3*EXP(Ft!F$38*($A433-Ft!F$2)^2) + Ft!G$3*EXP(Ft!G$38*($A433-Ft!G$2)^2)</f>
        <v>-47167.301813076243</v>
      </c>
      <c r="E433" s="27">
        <f>Ft!B$3*EXP(Ft!B$38*($A433-Ft!B$2)^2)</f>
        <v>-116004.4936740371</v>
      </c>
      <c r="F433" s="27">
        <f>Ft!C$3*EXP(Ft!C$38*($A433-Ft!C$2)^2)</f>
        <v>0</v>
      </c>
      <c r="G433" s="27">
        <f>Ft!D$3*EXP(Ft!D$38*($A433-Ft!D$2)^2)</f>
        <v>68837.163829937708</v>
      </c>
      <c r="H433" s="27">
        <f>Ft!E$3*EXP(Ft!E$38*($A433-Ft!E$2)^2)</f>
        <v>6.1509780906508441E-19</v>
      </c>
      <c r="I433" s="27">
        <f>Ft!F$3*EXP(Ft!F$38*($A433-Ft!F$2)^2)</f>
        <v>2.8031023152785956E-2</v>
      </c>
      <c r="J433" s="27">
        <f>Ft!G$3*EXP(Ft!G$38*($A433-Ft!G$2)^2)</f>
        <v>0</v>
      </c>
    </row>
    <row r="434" spans="1:10">
      <c r="A434" s="20">
        <v>432</v>
      </c>
      <c r="B434" s="29">
        <v>39.567849215907785</v>
      </c>
      <c r="C434" s="28">
        <f ca="1">OFFSET($B434,1*(ROWS(C$2:C434)-1),0)</f>
        <v>0</v>
      </c>
      <c r="D434" s="27">
        <f>Ft!B$3*EXP(Ft!B$38*($A434-Ft!B$2)^2) +Ft!C$3*EXP(Ft!C$38*($A434-Ft!C$2)^2) + Ft!D$3*EXP(Ft!D$38*($A434-Ft!D$2)^2)+Ft!E$3*EXP(Ft!E$38*($A434-Ft!E$2)^2) +Ft!F$3*EXP(Ft!F$38*($A434-Ft!F$2)^2) + Ft!G$3*EXP(Ft!G$38*($A434-Ft!G$2)^2)</f>
        <v>-48699.335232337638</v>
      </c>
      <c r="E434" s="27">
        <f>Ft!B$3*EXP(Ft!B$38*($A434-Ft!B$2)^2)</f>
        <v>-116005.66934951062</v>
      </c>
      <c r="F434" s="27">
        <f>Ft!C$3*EXP(Ft!C$38*($A434-Ft!C$2)^2)</f>
        <v>0</v>
      </c>
      <c r="G434" s="27">
        <f>Ft!D$3*EXP(Ft!D$38*($A434-Ft!D$2)^2)</f>
        <v>67306.308506804737</v>
      </c>
      <c r="H434" s="27">
        <f>Ft!E$3*EXP(Ft!E$38*($A434-Ft!E$2)^2)</f>
        <v>4.7809696950243509E-19</v>
      </c>
      <c r="I434" s="27">
        <f>Ft!F$3*EXP(Ft!F$38*($A434-Ft!F$2)^2)</f>
        <v>2.5610368241714535E-2</v>
      </c>
      <c r="J434" s="27">
        <f>Ft!G$3*EXP(Ft!G$38*($A434-Ft!G$2)^2)</f>
        <v>0</v>
      </c>
    </row>
    <row r="435" spans="1:10">
      <c r="A435" s="20">
        <v>433</v>
      </c>
      <c r="B435" s="29">
        <v>39.303557491944673</v>
      </c>
      <c r="C435" s="28">
        <f ca="1">OFFSET($B435,1*(ROWS(C$2:C435)-1),0)</f>
        <v>0</v>
      </c>
      <c r="D435" s="27">
        <f>Ft!B$3*EXP(Ft!B$38*($A435-Ft!B$2)^2) +Ft!C$3*EXP(Ft!C$38*($A435-Ft!C$2)^2) + Ft!D$3*EXP(Ft!D$38*($A435-Ft!D$2)^2)+Ft!E$3*EXP(Ft!E$38*($A435-Ft!E$2)^2) +Ft!F$3*EXP(Ft!F$38*($A435-Ft!F$2)^2) + Ft!G$3*EXP(Ft!G$38*($A435-Ft!G$2)^2)</f>
        <v>-50205.070825345872</v>
      </c>
      <c r="E435" s="27">
        <f>Ft!B$3*EXP(Ft!B$38*($A435-Ft!B$2)^2)</f>
        <v>-116006.8445006609</v>
      </c>
      <c r="F435" s="27">
        <f>Ft!C$3*EXP(Ft!C$38*($A435-Ft!C$2)^2)</f>
        <v>0</v>
      </c>
      <c r="G435" s="27">
        <f>Ft!D$3*EXP(Ft!D$38*($A435-Ft!D$2)^2)</f>
        <v>65801.750282682813</v>
      </c>
      <c r="H435" s="27">
        <f>Ft!E$3*EXP(Ft!E$38*($A435-Ft!E$2)^2)</f>
        <v>3.7138627895354127E-19</v>
      </c>
      <c r="I435" s="27">
        <f>Ft!F$3*EXP(Ft!F$38*($A435-Ft!F$2)^2)</f>
        <v>2.3392632207495382E-2</v>
      </c>
      <c r="J435" s="27">
        <f>Ft!G$3*EXP(Ft!G$38*($A435-Ft!G$2)^2)</f>
        <v>0</v>
      </c>
    </row>
    <row r="436" spans="1:10">
      <c r="A436" s="20">
        <v>434</v>
      </c>
      <c r="B436" s="29">
        <v>39.089556002880272</v>
      </c>
      <c r="C436" s="28">
        <f ca="1">OFFSET($B436,1*(ROWS(C$2:C436)-1),0)</f>
        <v>0</v>
      </c>
      <c r="D436" s="27">
        <f>Ft!B$3*EXP(Ft!B$38*($A436-Ft!B$2)^2) +Ft!C$3*EXP(Ft!C$38*($A436-Ft!C$2)^2) + Ft!D$3*EXP(Ft!D$38*($A436-Ft!D$2)^2)+Ft!E$3*EXP(Ft!E$38*($A436-Ft!E$2)^2) +Ft!F$3*EXP(Ft!F$38*($A436-Ft!F$2)^2) + Ft!G$3*EXP(Ft!G$38*($A436-Ft!G$2)^2)</f>
        <v>-51684.746169126985</v>
      </c>
      <c r="E436" s="27">
        <f>Ft!B$3*EXP(Ft!B$38*($A436-Ft!B$2)^2)</f>
        <v>-116008.01912747184</v>
      </c>
      <c r="F436" s="27">
        <f>Ft!C$3*EXP(Ft!C$38*($A436-Ft!C$2)^2)</f>
        <v>0</v>
      </c>
      <c r="G436" s="27">
        <f>Ft!D$3*EXP(Ft!D$38*($A436-Ft!D$2)^2)</f>
        <v>64323.251596991759</v>
      </c>
      <c r="H436" s="27">
        <f>Ft!E$3*EXP(Ft!E$38*($A436-Ft!E$2)^2)</f>
        <v>2.8831933722878131E-19</v>
      </c>
      <c r="I436" s="27">
        <f>Ft!F$3*EXP(Ft!F$38*($A436-Ft!F$2)^2)</f>
        <v>2.1361353097380516E-2</v>
      </c>
      <c r="J436" s="27">
        <f>Ft!G$3*EXP(Ft!G$38*($A436-Ft!G$2)^2)</f>
        <v>0</v>
      </c>
    </row>
    <row r="437" spans="1:10">
      <c r="A437" s="20">
        <v>435</v>
      </c>
      <c r="B437" s="29">
        <v>38.899292042612444</v>
      </c>
      <c r="C437" s="28">
        <f ca="1">OFFSET($B437,1*(ROWS(C$2:C437)-1),0)</f>
        <v>0</v>
      </c>
      <c r="D437" s="27">
        <f>Ft!B$3*EXP(Ft!B$38*($A437-Ft!B$2)^2) +Ft!C$3*EXP(Ft!C$38*($A437-Ft!C$2)^2) + Ft!D$3*EXP(Ft!D$38*($A437-Ft!D$2)^2)+Ft!E$3*EXP(Ft!E$38*($A437-Ft!E$2)^2) +Ft!F$3*EXP(Ft!F$38*($A437-Ft!F$2)^2) + Ft!G$3*EXP(Ft!G$38*($A437-Ft!G$2)^2)</f>
        <v>-53138.602615291435</v>
      </c>
      <c r="E437" s="27">
        <f>Ft!B$3*EXP(Ft!B$38*($A437-Ft!B$2)^2)</f>
        <v>-116009.19322992722</v>
      </c>
      <c r="F437" s="27">
        <f>Ft!C$3*EXP(Ft!C$38*($A437-Ft!C$2)^2)</f>
        <v>0</v>
      </c>
      <c r="G437" s="27">
        <f>Ft!D$3*EXP(Ft!D$38*($A437-Ft!D$2)^2)</f>
        <v>62870.571113279279</v>
      </c>
      <c r="H437" s="27">
        <f>Ft!E$3*EXP(Ft!E$38*($A437-Ft!E$2)^2)</f>
        <v>2.2369678393080622E-19</v>
      </c>
      <c r="I437" s="27">
        <f>Ft!F$3*EXP(Ft!F$38*($A437-Ft!F$2)^2)</f>
        <v>1.9501356502637564E-2</v>
      </c>
      <c r="J437" s="27">
        <f>Ft!G$3*EXP(Ft!G$38*($A437-Ft!G$2)^2)</f>
        <v>0</v>
      </c>
    </row>
    <row r="438" spans="1:10">
      <c r="A438" s="20">
        <v>436</v>
      </c>
      <c r="B438" s="29">
        <v>38.691684827276561</v>
      </c>
      <c r="C438" s="28">
        <f ca="1">OFFSET($B438,1*(ROWS(C$2:C438)-1),0)</f>
        <v>0</v>
      </c>
      <c r="D438" s="27">
        <f>Ft!B$3*EXP(Ft!B$38*($A438-Ft!B$2)^2) +Ft!C$3*EXP(Ft!C$38*($A438-Ft!C$2)^2) + Ft!D$3*EXP(Ft!D$38*($A438-Ft!D$2)^2)+Ft!E$3*EXP(Ft!E$38*($A438-Ft!E$2)^2) +Ft!F$3*EXP(Ft!F$38*($A438-Ft!F$2)^2) + Ft!G$3*EXP(Ft!G$38*($A438-Ft!G$2)^2)</f>
        <v>-54566.885092936012</v>
      </c>
      <c r="E438" s="27">
        <f>Ft!B$3*EXP(Ft!B$38*($A438-Ft!B$2)^2)</f>
        <v>-116010.36680801089</v>
      </c>
      <c r="F438" s="27">
        <f>Ft!C$3*EXP(Ft!C$38*($A438-Ft!C$2)^2)</f>
        <v>0</v>
      </c>
      <c r="G438" s="27">
        <f>Ft!D$3*EXP(Ft!D$38*($A438-Ft!D$2)^2)</f>
        <v>61443.463916415938</v>
      </c>
      <c r="H438" s="27">
        <f>Ft!E$3*EXP(Ft!E$38*($A438-Ft!E$2)^2)</f>
        <v>1.7345377755862852E-19</v>
      </c>
      <c r="I438" s="27">
        <f>Ft!F$3*EXP(Ft!F$38*($A438-Ft!F$2)^2)</f>
        <v>1.7798658939755973E-2</v>
      </c>
      <c r="J438" s="27">
        <f>Ft!G$3*EXP(Ft!G$38*($A438-Ft!G$2)^2)</f>
        <v>0</v>
      </c>
    </row>
    <row r="439" spans="1:10">
      <c r="A439" s="20">
        <v>437</v>
      </c>
      <c r="B439" s="29">
        <v>38.484925513796242</v>
      </c>
      <c r="C439" s="28">
        <f ca="1">OFFSET($B439,1*(ROWS(C$2:C439)-1),0)</f>
        <v>0</v>
      </c>
      <c r="D439" s="27">
        <f>Ft!B$3*EXP(Ft!B$38*($A439-Ft!B$2)^2) +Ft!C$3*EXP(Ft!C$38*($A439-Ft!C$2)^2) + Ft!D$3*EXP(Ft!D$38*($A439-Ft!D$2)^2)+Ft!E$3*EXP(Ft!E$38*($A439-Ft!E$2)^2) +Ft!F$3*EXP(Ft!F$38*($A439-Ft!F$2)^2) + Ft!G$3*EXP(Ft!G$38*($A439-Ft!G$2)^2)</f>
        <v>-55969.841913897726</v>
      </c>
      <c r="E439" s="27">
        <f>Ft!B$3*EXP(Ft!B$38*($A439-Ft!B$2)^2)</f>
        <v>-116011.53986170671</v>
      </c>
      <c r="F439" s="27">
        <f>Ft!C$3*EXP(Ft!C$38*($A439-Ft!C$2)^2)</f>
        <v>0</v>
      </c>
      <c r="G439" s="27">
        <f>Ft!D$3*EXP(Ft!D$38*($A439-Ft!D$2)^2)</f>
        <v>60041.681707430842</v>
      </c>
      <c r="H439" s="27">
        <f>Ft!E$3*EXP(Ft!E$38*($A439-Ft!E$2)^2)</f>
        <v>1.3441441233895061E-19</v>
      </c>
      <c r="I439" s="27">
        <f>Ft!F$3*EXP(Ft!F$38*($A439-Ft!F$2)^2)</f>
        <v>1.6240378143603827E-2</v>
      </c>
      <c r="J439" s="27">
        <f>Ft!G$3*EXP(Ft!G$38*($A439-Ft!G$2)^2)</f>
        <v>0</v>
      </c>
    </row>
    <row r="440" spans="1:10">
      <c r="A440" s="20">
        <v>438</v>
      </c>
      <c r="B440" s="29">
        <v>38.298910082573002</v>
      </c>
      <c r="C440" s="28">
        <f ca="1">OFFSET($B440,1*(ROWS(C$2:C440)-1),0)</f>
        <v>0</v>
      </c>
      <c r="D440" s="27">
        <f>Ft!B$3*EXP(Ft!B$38*($A440-Ft!B$2)^2) +Ft!C$3*EXP(Ft!C$38*($A440-Ft!C$2)^2) + Ft!D$3*EXP(Ft!D$38*($A440-Ft!D$2)^2)+Ft!E$3*EXP(Ft!E$38*($A440-Ft!E$2)^2) +Ft!F$3*EXP(Ft!F$38*($A440-Ft!F$2)^2) + Ft!G$3*EXP(Ft!G$38*($A440-Ft!G$2)^2)</f>
        <v>-57347.724580443464</v>
      </c>
      <c r="E440" s="27">
        <f>Ft!B$3*EXP(Ft!B$38*($A440-Ft!B$2)^2)</f>
        <v>-116012.71239099852</v>
      </c>
      <c r="F440" s="27">
        <f>Ft!C$3*EXP(Ft!C$38*($A440-Ft!C$2)^2)</f>
        <v>0</v>
      </c>
      <c r="G440" s="27">
        <f>Ft!D$3*EXP(Ft!D$38*($A440-Ft!D$2)^2)</f>
        <v>58664.972995905257</v>
      </c>
      <c r="H440" s="27">
        <f>Ft!E$3*EXP(Ft!E$38*($A440-Ft!E$2)^2)</f>
        <v>1.0409885810192073E-19</v>
      </c>
      <c r="I440" s="27">
        <f>Ft!F$3*EXP(Ft!F$38*($A440-Ft!F$2)^2)</f>
        <v>1.4814649805300744E-2</v>
      </c>
      <c r="J440" s="27">
        <f>Ft!G$3*EXP(Ft!G$38*($A440-Ft!G$2)^2)</f>
        <v>0</v>
      </c>
    </row>
    <row r="441" spans="1:10">
      <c r="A441" s="20">
        <v>439</v>
      </c>
      <c r="B441" s="29">
        <v>38.085836049303254</v>
      </c>
      <c r="C441" s="28">
        <f ca="1">OFFSET($B441,1*(ROWS(C$2:C441)-1),0)</f>
        <v>0</v>
      </c>
      <c r="D441" s="27">
        <f>Ft!B$3*EXP(Ft!B$38*($A441-Ft!B$2)^2) +Ft!C$3*EXP(Ft!C$38*($A441-Ft!C$2)^2) + Ft!D$3*EXP(Ft!D$38*($A441-Ft!D$2)^2)+Ft!E$3*EXP(Ft!E$38*($A441-Ft!E$2)^2) +Ft!F$3*EXP(Ft!F$38*($A441-Ft!F$2)^2) + Ft!G$3*EXP(Ft!G$38*($A441-Ft!G$2)^2)</f>
        <v>-58700.787595474831</v>
      </c>
      <c r="E441" s="27">
        <f>Ft!B$3*EXP(Ft!B$38*($A441-Ft!B$2)^2)</f>
        <v>-116013.88439587021</v>
      </c>
      <c r="F441" s="27">
        <f>Ft!C$3*EXP(Ft!C$38*($A441-Ft!C$2)^2)</f>
        <v>0</v>
      </c>
      <c r="G441" s="27">
        <f>Ft!D$3*EXP(Ft!D$38*($A441-Ft!D$2)^2)</f>
        <v>57313.083289845061</v>
      </c>
      <c r="H441" s="27">
        <f>Ft!E$3*EXP(Ft!E$38*($A441-Ft!E$2)^2)</f>
        <v>8.0572000439416889E-20</v>
      </c>
      <c r="I441" s="27">
        <f>Ft!F$3*EXP(Ft!F$38*($A441-Ft!F$2)^2)</f>
        <v>1.3510550317030131E-2</v>
      </c>
      <c r="J441" s="27">
        <f>Ft!G$3*EXP(Ft!G$38*($A441-Ft!G$2)^2)</f>
        <v>0</v>
      </c>
    </row>
    <row r="442" spans="1:10">
      <c r="A442" s="20">
        <v>440</v>
      </c>
      <c r="B442" s="29">
        <v>37.875318610909375</v>
      </c>
      <c r="C442" s="28">
        <f ca="1">OFFSET($B442,1*(ROWS(C$2:C442)-1),0)</f>
        <v>0</v>
      </c>
      <c r="D442" s="27">
        <f>Ft!B$3*EXP(Ft!B$38*($A442-Ft!B$2)^2) +Ft!C$3*EXP(Ft!C$38*($A442-Ft!C$2)^2) + Ft!D$3*EXP(Ft!D$38*($A442-Ft!D$2)^2)+Ft!E$3*EXP(Ft!E$38*($A442-Ft!E$2)^2) +Ft!F$3*EXP(Ft!F$38*($A442-Ft!F$2)^2) + Ft!G$3*EXP(Ft!G$38*($A442-Ft!G$2)^2)</f>
        <v>-60029.288275323182</v>
      </c>
      <c r="E442" s="27">
        <f>Ft!B$3*EXP(Ft!B$38*($A442-Ft!B$2)^2)</f>
        <v>-116015.05587630559</v>
      </c>
      <c r="F442" s="27">
        <f>Ft!C$3*EXP(Ft!C$38*($A442-Ft!C$2)^2)</f>
        <v>0</v>
      </c>
      <c r="G442" s="27">
        <f>Ft!D$3*EXP(Ft!D$38*($A442-Ft!D$2)^2)</f>
        <v>55985.755282957296</v>
      </c>
      <c r="H442" s="27">
        <f>Ft!E$3*EXP(Ft!E$38*($A442-Ft!E$2)^2)</f>
        <v>6.2324726322056012E-20</v>
      </c>
      <c r="I442" s="27">
        <f>Ft!F$3*EXP(Ft!F$38*($A442-Ft!F$2)^2)</f>
        <v>1.2318025113775966E-2</v>
      </c>
      <c r="J442" s="27">
        <f>Ft!G$3*EXP(Ft!G$38*($A442-Ft!G$2)^2)</f>
        <v>0</v>
      </c>
    </row>
    <row r="443" spans="1:10">
      <c r="A443" s="20">
        <v>441</v>
      </c>
      <c r="B443" s="29">
        <v>37.654357924567137</v>
      </c>
      <c r="C443" s="28">
        <f ca="1">OFFSET($B443,1*(ROWS(C$2:C443)-1),0)</f>
        <v>0</v>
      </c>
      <c r="D443" s="27">
        <f>Ft!B$3*EXP(Ft!B$38*($A443-Ft!B$2)^2) +Ft!C$3*EXP(Ft!C$38*($A443-Ft!C$2)^2) + Ft!D$3*EXP(Ft!D$38*($A443-Ft!D$2)^2)+Ft!E$3*EXP(Ft!E$38*($A443-Ft!E$2)^2) +Ft!F$3*EXP(Ft!F$38*($A443-Ft!F$2)^2) + Ft!G$3*EXP(Ft!G$38*($A443-Ft!G$2)^2)</f>
        <v>-61333.486565207342</v>
      </c>
      <c r="E443" s="27">
        <f>Ft!B$3*EXP(Ft!B$38*($A443-Ft!B$2)^2)</f>
        <v>-116016.22683228858</v>
      </c>
      <c r="F443" s="27">
        <f>Ft!C$3*EXP(Ft!C$38*($A443-Ft!C$2)^2)</f>
        <v>0</v>
      </c>
      <c r="G443" s="27">
        <f>Ft!D$3*EXP(Ft!D$38*($A443-Ft!D$2)^2)</f>
        <v>54682.729039259008</v>
      </c>
      <c r="H443" s="27">
        <f>Ft!E$3*EXP(Ft!E$38*($A443-Ft!E$2)^2)</f>
        <v>4.8180873207562532E-20</v>
      </c>
      <c r="I443" s="27">
        <f>Ft!F$3*EXP(Ft!F$38*($A443-Ft!F$2)^2)</f>
        <v>1.1227822228121827E-2</v>
      </c>
      <c r="J443" s="27">
        <f>Ft!G$3*EXP(Ft!G$38*($A443-Ft!G$2)^2)</f>
        <v>0</v>
      </c>
    </row>
    <row r="444" spans="1:10">
      <c r="A444" s="20">
        <v>442</v>
      </c>
      <c r="B444" s="29">
        <v>37.433789607017843</v>
      </c>
      <c r="C444" s="28">
        <f ca="1">OFFSET($B444,1*(ROWS(C$2:C444)-1),0)</f>
        <v>0</v>
      </c>
      <c r="D444" s="27">
        <f>Ft!B$3*EXP(Ft!B$38*($A444-Ft!B$2)^2) +Ft!C$3*EXP(Ft!C$38*($A444-Ft!C$2)^2) + Ft!D$3*EXP(Ft!D$38*($A444-Ft!D$2)^2)+Ft!E$3*EXP(Ft!E$38*($A444-Ft!E$2)^2) +Ft!F$3*EXP(Ft!F$38*($A444-Ft!F$2)^2) + Ft!G$3*EXP(Ft!G$38*($A444-Ft!G$2)^2)</f>
        <v>-62613.644857420433</v>
      </c>
      <c r="E444" s="27">
        <f>Ft!B$3*EXP(Ft!B$38*($A444-Ft!B$2)^2)</f>
        <v>-116017.39726380304</v>
      </c>
      <c r="F444" s="27">
        <f>Ft!C$3*EXP(Ft!C$38*($A444-Ft!C$2)^2)</f>
        <v>0</v>
      </c>
      <c r="G444" s="27">
        <f>Ft!D$3*EXP(Ft!D$38*($A444-Ft!D$2)^2)</f>
        <v>53403.742174951905</v>
      </c>
      <c r="H444" s="27">
        <f>Ft!E$3*EXP(Ft!E$38*($A444-Ft!E$2)^2)</f>
        <v>3.7224339983278791E-20</v>
      </c>
      <c r="I444" s="27">
        <f>Ft!F$3*EXP(Ft!F$38*($A444-Ft!F$2)^2)</f>
        <v>1.023143069887192E-2</v>
      </c>
      <c r="J444" s="27">
        <f>Ft!G$3*EXP(Ft!G$38*($A444-Ft!G$2)^2)</f>
        <v>0</v>
      </c>
    </row>
    <row r="445" spans="1:10">
      <c r="A445" s="20">
        <v>443</v>
      </c>
      <c r="B445" s="29">
        <v>37.208061937231861</v>
      </c>
      <c r="C445" s="28">
        <f ca="1">OFFSET($B445,1*(ROWS(C$2:C445)-1),0)</f>
        <v>0</v>
      </c>
      <c r="D445" s="27">
        <f>Ft!B$3*EXP(Ft!B$38*($A445-Ft!B$2)^2) +Ft!C$3*EXP(Ft!C$38*($A445-Ft!C$2)^2) + Ft!D$3*EXP(Ft!D$38*($A445-Ft!D$2)^2)+Ft!E$3*EXP(Ft!E$38*($A445-Ft!E$2)^2) +Ft!F$3*EXP(Ft!F$38*($A445-Ft!F$2)^2) + Ft!G$3*EXP(Ft!G$38*($A445-Ft!G$2)^2)</f>
        <v>-63870.027812311208</v>
      </c>
      <c r="E445" s="27">
        <f>Ft!B$3*EXP(Ft!B$38*($A445-Ft!B$2)^2)</f>
        <v>-116018.56717083287</v>
      </c>
      <c r="F445" s="27">
        <f>Ft!C$3*EXP(Ft!C$38*($A445-Ft!C$2)^2)</f>
        <v>0</v>
      </c>
      <c r="G445" s="27">
        <f>Ft!D$3*EXP(Ft!D$38*($A445-Ft!D$2)^2)</f>
        <v>52148.530037498167</v>
      </c>
      <c r="H445" s="27">
        <f>Ft!E$3*EXP(Ft!E$38*($A445-Ft!E$2)^2)</f>
        <v>2.8742027356349357E-20</v>
      </c>
      <c r="I445" s="27">
        <f>Ft!F$3*EXP(Ft!F$38*($A445-Ft!F$2)^2)</f>
        <v>9.3210234974286689E-3</v>
      </c>
      <c r="J445" s="27">
        <f>Ft!G$3*EXP(Ft!G$38*($A445-Ft!G$2)^2)</f>
        <v>0</v>
      </c>
    </row>
    <row r="446" spans="1:10">
      <c r="A446" s="20">
        <v>444</v>
      </c>
      <c r="B446" s="29">
        <v>36.952033647619999</v>
      </c>
      <c r="C446" s="28">
        <f ca="1">OFFSET($B446,1*(ROWS(C$2:C446)-1),0)</f>
        <v>0</v>
      </c>
      <c r="D446" s="27">
        <f>Ft!B$3*EXP(Ft!B$38*($A446-Ft!B$2)^2) +Ft!C$3*EXP(Ft!C$38*($A446-Ft!C$2)^2) + Ft!D$3*EXP(Ft!D$38*($A446-Ft!D$2)^2)+Ft!E$3*EXP(Ft!E$38*($A446-Ft!E$2)^2) +Ft!F$3*EXP(Ft!F$38*($A446-Ft!F$2)^2) + Ft!G$3*EXP(Ft!G$38*($A446-Ft!G$2)^2)</f>
        <v>-65102.902182119084</v>
      </c>
      <c r="E446" s="27">
        <f>Ft!B$3*EXP(Ft!B$38*($A446-Ft!B$2)^2)</f>
        <v>-116019.73655336196</v>
      </c>
      <c r="F446" s="27">
        <f>Ft!C$3*EXP(Ft!C$38*($A446-Ft!C$2)^2)</f>
        <v>0</v>
      </c>
      <c r="G446" s="27">
        <f>Ft!D$3*EXP(Ft!D$38*($A446-Ft!D$2)^2)</f>
        <v>50916.825881838216</v>
      </c>
      <c r="H446" s="27">
        <f>Ft!E$3*EXP(Ft!E$38*($A446-Ft!E$2)^2)</f>
        <v>2.2179198284105796E-20</v>
      </c>
      <c r="I446" s="27">
        <f>Ft!F$3*EXP(Ft!F$38*($A446-Ft!F$2)^2)</f>
        <v>8.4894046576619291E-3</v>
      </c>
      <c r="J446" s="27">
        <f>Ft!G$3*EXP(Ft!G$38*($A446-Ft!G$2)^2)</f>
        <v>0</v>
      </c>
    </row>
    <row r="447" spans="1:10">
      <c r="A447" s="20">
        <v>445</v>
      </c>
      <c r="B447" s="29">
        <v>36.70489862613266</v>
      </c>
      <c r="C447" s="28">
        <f ca="1">OFFSET($B447,1*(ROWS(C$2:C447)-1),0)</f>
        <v>0</v>
      </c>
      <c r="D447" s="27">
        <f>Ft!B$3*EXP(Ft!B$38*($A447-Ft!B$2)^2) +Ft!C$3*EXP(Ft!C$38*($A447-Ft!C$2)^2) + Ft!D$3*EXP(Ft!D$38*($A447-Ft!D$2)^2)+Ft!E$3*EXP(Ft!E$38*($A447-Ft!E$2)^2) +Ft!F$3*EXP(Ft!F$38*($A447-Ft!F$2)^2) + Ft!G$3*EXP(Ft!G$38*($A447-Ft!G$2)^2)</f>
        <v>-66312.53663771975</v>
      </c>
      <c r="E447" s="27">
        <f>Ft!B$3*EXP(Ft!B$38*($A447-Ft!B$2)^2)</f>
        <v>-116020.9054113742</v>
      </c>
      <c r="F447" s="27">
        <f>Ft!C$3*EXP(Ft!C$38*($A447-Ft!C$2)^2)</f>
        <v>0</v>
      </c>
      <c r="G447" s="27">
        <f>Ft!D$3*EXP(Ft!D$38*($A447-Ft!D$2)^2)</f>
        <v>49708.361043694131</v>
      </c>
      <c r="H447" s="27">
        <f>Ft!E$3*EXP(Ft!E$38*($A447-Ft!E$2)^2)</f>
        <v>1.7104577123761491E-20</v>
      </c>
      <c r="I447" s="27">
        <f>Ft!F$3*EXP(Ft!F$38*($A447-Ft!F$2)^2)</f>
        <v>7.7299603155032868E-3</v>
      </c>
      <c r="J447" s="27">
        <f>Ft!G$3*EXP(Ft!G$38*($A447-Ft!G$2)^2)</f>
        <v>0</v>
      </c>
    </row>
    <row r="448" spans="1:10">
      <c r="A448" s="20">
        <v>446</v>
      </c>
      <c r="B448" s="29">
        <v>36.457009445204164</v>
      </c>
      <c r="C448" s="28">
        <f ca="1">OFFSET($B448,1*(ROWS(C$2:C448)-1),0)</f>
        <v>0</v>
      </c>
      <c r="D448" s="27">
        <f>Ft!B$3*EXP(Ft!B$38*($A448-Ft!B$2)^2) +Ft!C$3*EXP(Ft!C$38*($A448-Ft!C$2)^2) + Ft!D$3*EXP(Ft!D$38*($A448-Ft!D$2)^2)+Ft!E$3*EXP(Ft!E$38*($A448-Ft!E$2)^2) +Ft!F$3*EXP(Ft!F$38*($A448-Ft!F$2)^2) + Ft!G$3*EXP(Ft!G$38*($A448-Ft!G$2)^2)</f>
        <v>-67499.201598334039</v>
      </c>
      <c r="E448" s="27">
        <f>Ft!B$3*EXP(Ft!B$38*($A448-Ft!B$2)^2)</f>
        <v>-116022.07374485354</v>
      </c>
      <c r="F448" s="27">
        <f>Ft!C$3*EXP(Ft!C$38*($A448-Ft!C$2)^2)</f>
        <v>0</v>
      </c>
      <c r="G448" s="27">
        <f>Ft!D$3*EXP(Ft!D$38*($A448-Ft!D$2)^2)</f>
        <v>48522.865109906103</v>
      </c>
      <c r="H448" s="27">
        <f>Ft!E$3*EXP(Ft!E$38*($A448-Ft!E$2)^2)</f>
        <v>1.3183080149992758E-20</v>
      </c>
      <c r="I448" s="27">
        <f>Ft!F$3*EXP(Ft!F$38*($A448-Ft!F$2)^2)</f>
        <v>7.036613383767004E-3</v>
      </c>
      <c r="J448" s="27">
        <f>Ft!G$3*EXP(Ft!G$38*($A448-Ft!G$2)^2)</f>
        <v>0</v>
      </c>
    </row>
    <row r="449" spans="1:10">
      <c r="A449" s="20">
        <v>447</v>
      </c>
      <c r="B449" s="29">
        <v>36.209644163614371</v>
      </c>
      <c r="C449" s="28">
        <f ca="1">OFFSET($B449,1*(ROWS(C$2:C449)-1),0)</f>
        <v>0</v>
      </c>
      <c r="D449" s="27">
        <f>Ft!B$3*EXP(Ft!B$38*($A449-Ft!B$2)^2) +Ft!C$3*EXP(Ft!C$38*($A449-Ft!C$2)^2) + Ft!D$3*EXP(Ft!D$38*($A449-Ft!D$2)^2)+Ft!E$3*EXP(Ft!E$38*($A449-Ft!E$2)^2) +Ft!F$3*EXP(Ft!F$38*($A449-Ft!F$2)^2) + Ft!G$3*EXP(Ft!G$38*($A449-Ft!G$2)^2)</f>
        <v>-68663.169064248985</v>
      </c>
      <c r="E449" s="27">
        <f>Ft!B$3*EXP(Ft!B$38*($A449-Ft!B$2)^2)</f>
        <v>-116023.24155378385</v>
      </c>
      <c r="F449" s="27">
        <f>Ft!C$3*EXP(Ft!C$38*($A449-Ft!C$2)^2)</f>
        <v>0</v>
      </c>
      <c r="G449" s="27">
        <f>Ft!D$3*EXP(Ft!D$38*($A449-Ft!D$2)^2)</f>
        <v>47360.066085753257</v>
      </c>
      <c r="H449" s="27">
        <f>Ft!E$3*EXP(Ft!E$38*($A449-Ft!E$2)^2)</f>
        <v>1.0154522266920546E-20</v>
      </c>
      <c r="I449" s="27">
        <f>Ft!F$3*EXP(Ft!F$38*($A449-Ft!F$2)^2)</f>
        <v>6.4037816057996152E-3</v>
      </c>
      <c r="J449" s="27">
        <f>Ft!G$3*EXP(Ft!G$38*($A449-Ft!G$2)^2)</f>
        <v>0</v>
      </c>
    </row>
    <row r="450" spans="1:10">
      <c r="A450" s="20">
        <v>448</v>
      </c>
      <c r="B450" s="29">
        <v>35.958586007026895</v>
      </c>
      <c r="C450" s="28">
        <f ca="1">OFFSET($B450,1*(ROWS(C$2:C450)-1),0)</f>
        <v>0</v>
      </c>
      <c r="D450" s="27">
        <f>Ft!B$3*EXP(Ft!B$38*($A450-Ft!B$2)^2) +Ft!C$3*EXP(Ft!C$38*($A450-Ft!C$2)^2) + Ft!D$3*EXP(Ft!D$38*($A450-Ft!D$2)^2)+Ft!E$3*EXP(Ft!E$38*($A450-Ft!E$2)^2) +Ft!F$3*EXP(Ft!F$38*($A450-Ft!F$2)^2) + Ft!G$3*EXP(Ft!G$38*($A450-Ft!G$2)^2)</f>
        <v>-69804.712452596665</v>
      </c>
      <c r="E450" s="27">
        <f>Ft!B$3*EXP(Ft!B$38*($A450-Ft!B$2)^2)</f>
        <v>-116024.40883814909</v>
      </c>
      <c r="F450" s="27">
        <f>Ft!C$3*EXP(Ft!C$38*($A450-Ft!C$2)^2)</f>
        <v>0</v>
      </c>
      <c r="G450" s="27">
        <f>Ft!D$3*EXP(Ft!D$38*($A450-Ft!D$2)^2)</f>
        <v>46219.690559213668</v>
      </c>
      <c r="H450" s="27">
        <f>Ft!E$3*EXP(Ft!E$38*($A450-Ft!E$2)^2)</f>
        <v>7.817000736716855E-21</v>
      </c>
      <c r="I450" s="27">
        <f>Ft!F$3*EXP(Ft!F$38*($A450-Ft!F$2)^2)</f>
        <v>5.826338748559234E-3</v>
      </c>
      <c r="J450" s="27">
        <f>Ft!G$3*EXP(Ft!G$38*($A450-Ft!G$2)^2)</f>
        <v>0</v>
      </c>
    </row>
    <row r="451" spans="1:10">
      <c r="A451" s="20">
        <v>449</v>
      </c>
      <c r="B451" s="29">
        <v>35.688521595447867</v>
      </c>
      <c r="C451" s="28">
        <f ca="1">OFFSET($B451,1*(ROWS(C$2:C451)-1),0)</f>
        <v>0</v>
      </c>
      <c r="D451" s="27">
        <f>Ft!B$3*EXP(Ft!B$38*($A451-Ft!B$2)^2) +Ft!C$3*EXP(Ft!C$38*($A451-Ft!C$2)^2) + Ft!D$3*EXP(Ft!D$38*($A451-Ft!D$2)^2)+Ft!E$3*EXP(Ft!E$38*($A451-Ft!E$2)^2) +Ft!F$3*EXP(Ft!F$38*($A451-Ft!F$2)^2) + Ft!G$3*EXP(Ft!G$38*($A451-Ft!G$2)^2)</f>
        <v>-70924.106436232774</v>
      </c>
      <c r="E451" s="27">
        <f>Ft!B$3*EXP(Ft!B$38*($A451-Ft!B$2)^2)</f>
        <v>-116025.57559793316</v>
      </c>
      <c r="F451" s="27">
        <f>Ft!C$3*EXP(Ft!C$38*($A451-Ft!C$2)^2)</f>
        <v>0</v>
      </c>
      <c r="G451" s="27">
        <f>Ft!D$3*EXP(Ft!D$38*($A451-Ft!D$2)^2)</f>
        <v>45101.46386212168</v>
      </c>
      <c r="H451" s="27">
        <f>Ft!E$3*EXP(Ft!E$38*($A451-Ft!E$2)^2)</f>
        <v>6.0139368355064261E-21</v>
      </c>
      <c r="I451" s="27">
        <f>Ft!F$3*EXP(Ft!F$38*($A451-Ft!F$2)^2)</f>
        <v>5.2995787116819687E-3</v>
      </c>
      <c r="J451" s="27">
        <f>Ft!G$3*EXP(Ft!G$38*($A451-Ft!G$2)^2)</f>
        <v>0</v>
      </c>
    </row>
    <row r="452" spans="1:10">
      <c r="A452" s="20">
        <v>450</v>
      </c>
      <c r="B452" s="29">
        <v>35.429958249440546</v>
      </c>
      <c r="C452" s="28">
        <f ca="1">OFFSET($B452,1*(ROWS(C$2:C452)-1),0)</f>
        <v>0</v>
      </c>
      <c r="D452" s="27">
        <f>Ft!B$3*EXP(Ft!B$38*($A452-Ft!B$2)^2) +Ft!C$3*EXP(Ft!C$38*($A452-Ft!C$2)^2) + Ft!D$3*EXP(Ft!D$38*($A452-Ft!D$2)^2)+Ft!E$3*EXP(Ft!E$38*($A452-Ft!E$2)^2) +Ft!F$3*EXP(Ft!F$38*($A452-Ft!F$2)^2) + Ft!G$3*EXP(Ft!G$38*($A452-Ft!G$2)^2)</f>
        <v>-72021.626785752698</v>
      </c>
      <c r="E452" s="27">
        <f>Ft!B$3*EXP(Ft!B$38*($A452-Ft!B$2)^2)</f>
        <v>-116026.74183312</v>
      </c>
      <c r="F452" s="27">
        <f>Ft!C$3*EXP(Ft!C$38*($A452-Ft!C$2)^2)</f>
        <v>0</v>
      </c>
      <c r="G452" s="27">
        <f>Ft!D$3*EXP(Ft!D$38*($A452-Ft!D$2)^2)</f>
        <v>44005.110228184967</v>
      </c>
      <c r="H452" s="27">
        <f>Ft!E$3*EXP(Ft!E$38*($A452-Ft!E$2)^2)</f>
        <v>4.6239765692700712E-21</v>
      </c>
      <c r="I452" s="27">
        <f>Ft!F$3*EXP(Ft!F$38*($A452-Ft!F$2)^2)</f>
        <v>4.8191823440638772E-3</v>
      </c>
      <c r="J452" s="27">
        <f>Ft!G$3*EXP(Ft!G$38*($A452-Ft!G$2)^2)</f>
        <v>0</v>
      </c>
    </row>
    <row r="453" spans="1:10">
      <c r="A453" s="20">
        <v>451</v>
      </c>
      <c r="B453" s="29">
        <v>35.182773487685211</v>
      </c>
      <c r="C453" s="28">
        <f ca="1">OFFSET($B453,1*(ROWS(C$2:C453)-1),0)</f>
        <v>0</v>
      </c>
      <c r="D453" s="27">
        <f>Ft!B$3*EXP(Ft!B$38*($A453-Ft!B$2)^2) +Ft!C$3*EXP(Ft!C$38*($A453-Ft!C$2)^2) + Ft!D$3*EXP(Ft!D$38*($A453-Ft!D$2)^2)+Ft!E$3*EXP(Ft!E$38*($A453-Ft!E$2)^2) +Ft!F$3*EXP(Ft!F$38*($A453-Ft!F$2)^2) + Ft!G$3*EXP(Ft!G$38*($A453-Ft!G$2)^2)</f>
        <v>-73097.550214680799</v>
      </c>
      <c r="E453" s="27">
        <f>Ft!B$3*EXP(Ft!B$38*($A453-Ft!B$2)^2)</f>
        <v>-116027.90754369358</v>
      </c>
      <c r="F453" s="27">
        <f>Ft!C$3*EXP(Ft!C$38*($A453-Ft!C$2)^2)</f>
        <v>0</v>
      </c>
      <c r="G453" s="27">
        <f>Ft!D$3*EXP(Ft!D$38*($A453-Ft!D$2)^2)</f>
        <v>42930.352947825995</v>
      </c>
      <c r="H453" s="27">
        <f>Ft!E$3*EXP(Ft!E$38*($A453-Ft!E$2)^2)</f>
        <v>3.5531246205026084E-21</v>
      </c>
      <c r="I453" s="27">
        <f>Ft!F$3*EXP(Ft!F$38*($A453-Ft!F$2)^2)</f>
        <v>4.3811867735285143E-3</v>
      </c>
      <c r="J453" s="27">
        <f>Ft!G$3*EXP(Ft!G$38*($A453-Ft!G$2)^2)</f>
        <v>0</v>
      </c>
    </row>
    <row r="454" spans="1:10">
      <c r="A454" s="20">
        <v>452</v>
      </c>
      <c r="B454" s="29">
        <v>34.94002472427627</v>
      </c>
      <c r="C454" s="28">
        <f ca="1">OFFSET($B454,1*(ROWS(C$2:C454)-1),0)</f>
        <v>0</v>
      </c>
      <c r="D454" s="27">
        <f>Ft!B$3*EXP(Ft!B$38*($A454-Ft!B$2)^2) +Ft!C$3*EXP(Ft!C$38*($A454-Ft!C$2)^2) + Ft!D$3*EXP(Ft!D$38*($A454-Ft!D$2)^2)+Ft!E$3*EXP(Ft!E$38*($A454-Ft!E$2)^2) +Ft!F$3*EXP(Ft!F$38*($A454-Ft!F$2)^2) + Ft!G$3*EXP(Ft!G$38*($A454-Ft!G$2)^2)</f>
        <v>-74152.154227863546</v>
      </c>
      <c r="E454" s="27">
        <f>Ft!B$3*EXP(Ft!B$38*($A454-Ft!B$2)^2)</f>
        <v>-116029.07272963785</v>
      </c>
      <c r="F454" s="27">
        <f>Ft!C$3*EXP(Ft!C$38*($A454-Ft!C$2)^2)</f>
        <v>0</v>
      </c>
      <c r="G454" s="27">
        <f>Ft!D$3*EXP(Ft!D$38*($A454-Ft!D$2)^2)</f>
        <v>41876.914519817234</v>
      </c>
      <c r="H454" s="27">
        <f>Ft!E$3*EXP(Ft!E$38*($A454-Ft!E$2)^2)</f>
        <v>2.728621570848348E-21</v>
      </c>
      <c r="I454" s="27">
        <f>Ft!F$3*EXP(Ft!F$38*($A454-Ft!F$2)^2)</f>
        <v>3.9819570683136876E-3</v>
      </c>
      <c r="J454" s="27">
        <f>Ft!G$3*EXP(Ft!G$38*($A454-Ft!G$2)^2)</f>
        <v>0</v>
      </c>
    </row>
    <row r="455" spans="1:10">
      <c r="A455" s="20">
        <v>453</v>
      </c>
      <c r="B455" s="29">
        <v>34.690500171997058</v>
      </c>
      <c r="C455" s="28">
        <f ca="1">OFFSET($B455,1*(ROWS(C$2:C455)-1),0)</f>
        <v>0</v>
      </c>
      <c r="D455" s="27">
        <f>Ft!B$3*EXP(Ft!B$38*($A455-Ft!B$2)^2) +Ft!C$3*EXP(Ft!C$38*($A455-Ft!C$2)^2) + Ft!D$3*EXP(Ft!D$38*($A455-Ft!D$2)^2)+Ft!E$3*EXP(Ft!E$38*($A455-Ft!E$2)^2) +Ft!F$3*EXP(Ft!F$38*($A455-Ft!F$2)^2) + Ft!G$3*EXP(Ft!G$38*($A455-Ft!G$2)^2)</f>
        <v>-75185.716973094735</v>
      </c>
      <c r="E455" s="27">
        <f>Ft!B$3*EXP(Ft!B$38*($A455-Ft!B$2)^2)</f>
        <v>-116030.23739093675</v>
      </c>
      <c r="F455" s="27">
        <f>Ft!C$3*EXP(Ft!C$38*($A455-Ft!C$2)^2)</f>
        <v>0</v>
      </c>
      <c r="G455" s="27">
        <f>Ft!D$3*EXP(Ft!D$38*($A455-Ft!D$2)^2)</f>
        <v>40844.516799681958</v>
      </c>
      <c r="H455" s="27">
        <f>Ft!E$3*EXP(Ft!E$38*($A455-Ft!E$2)^2)</f>
        <v>2.0941810676248051E-21</v>
      </c>
      <c r="I455" s="27">
        <f>Ft!F$3*EXP(Ft!F$38*($A455-Ft!F$2)^2)</f>
        <v>3.6181600614464339E-3</v>
      </c>
      <c r="J455" s="27">
        <f>Ft!G$3*EXP(Ft!G$38*($A455-Ft!G$2)^2)</f>
        <v>0</v>
      </c>
    </row>
    <row r="456" spans="1:10">
      <c r="A456" s="20">
        <v>454</v>
      </c>
      <c r="B456" s="29">
        <v>34.47027656864438</v>
      </c>
      <c r="C456" s="28">
        <f ca="1">OFFSET($B456,1*(ROWS(C$2:C456)-1),0)</f>
        <v>0</v>
      </c>
      <c r="D456" s="27">
        <f>Ft!B$3*EXP(Ft!B$38*($A456-Ft!B$2)^2) +Ft!C$3*EXP(Ft!C$38*($A456-Ft!C$2)^2) + Ft!D$3*EXP(Ft!D$38*($A456-Ft!D$2)^2)+Ft!E$3*EXP(Ft!E$38*($A456-Ft!E$2)^2) +Ft!F$3*EXP(Ft!F$38*($A456-Ft!F$2)^2) + Ft!G$3*EXP(Ft!G$38*($A456-Ft!G$2)^2)</f>
        <v>-76198.517095997813</v>
      </c>
      <c r="E456" s="27">
        <f>Ft!B$3*EXP(Ft!B$38*($A456-Ft!B$2)^2)</f>
        <v>-116031.40152757424</v>
      </c>
      <c r="F456" s="27">
        <f>Ft!C$3*EXP(Ft!C$38*($A456-Ft!C$2)^2)</f>
        <v>0</v>
      </c>
      <c r="G456" s="27">
        <f>Ft!D$3*EXP(Ft!D$38*($A456-Ft!D$2)^2)</f>
        <v>39832.881144836254</v>
      </c>
      <c r="H456" s="27">
        <f>Ft!E$3*EXP(Ft!E$38*($A456-Ft!E$2)^2)</f>
        <v>1.6062872157756594E-21</v>
      </c>
      <c r="I456" s="27">
        <f>Ft!F$3*EXP(Ft!F$38*($A456-Ft!F$2)^2)</f>
        <v>3.286740180629417E-3</v>
      </c>
      <c r="J456" s="27">
        <f>Ft!G$3*EXP(Ft!G$38*($A456-Ft!G$2)^2)</f>
        <v>0</v>
      </c>
    </row>
    <row r="457" spans="1:10">
      <c r="A457" s="20">
        <v>455</v>
      </c>
      <c r="B457" s="29">
        <v>34.25250340844039</v>
      </c>
      <c r="C457" s="28">
        <f ca="1">OFFSET($B457,1*(ROWS(C$2:C457)-1),0)</f>
        <v>0</v>
      </c>
      <c r="D457" s="27">
        <f>Ft!B$3*EXP(Ft!B$38*($A457-Ft!B$2)^2) +Ft!C$3*EXP(Ft!C$38*($A457-Ft!C$2)^2) + Ft!D$3*EXP(Ft!D$38*($A457-Ft!D$2)^2)+Ft!E$3*EXP(Ft!E$38*($A457-Ft!E$2)^2) +Ft!F$3*EXP(Ft!F$38*($A457-Ft!F$2)^2) + Ft!G$3*EXP(Ft!G$38*($A457-Ft!G$2)^2)</f>
        <v>-77190.833598186378</v>
      </c>
      <c r="E457" s="27">
        <f>Ft!B$3*EXP(Ft!B$38*($A457-Ft!B$2)^2)</f>
        <v>-116032.56513953432</v>
      </c>
      <c r="F457" s="27">
        <f>Ft!C$3*EXP(Ft!C$38*($A457-Ft!C$2)^2)</f>
        <v>0</v>
      </c>
      <c r="G457" s="27">
        <f>Ft!D$3*EXP(Ft!D$38*($A457-Ft!D$2)^2)</f>
        <v>38841.728556450806</v>
      </c>
      <c r="H457" s="27">
        <f>Ft!E$3*EXP(Ft!E$38*($A457-Ft!E$2)^2)</f>
        <v>1.2313180037940517E-21</v>
      </c>
      <c r="I457" s="27">
        <f>Ft!F$3*EXP(Ft!F$38*($A457-Ft!F$2)^2)</f>
        <v>2.9848971370811336E-3</v>
      </c>
      <c r="J457" s="27">
        <f>Ft!G$3*EXP(Ft!G$38*($A457-Ft!G$2)^2)</f>
        <v>0</v>
      </c>
    </row>
    <row r="458" spans="1:10">
      <c r="A458" s="20">
        <v>456</v>
      </c>
      <c r="B458" s="29">
        <v>34.034167147488688</v>
      </c>
      <c r="C458" s="28">
        <f ca="1">OFFSET($B458,1*(ROWS(C$2:C458)-1),0)</f>
        <v>0</v>
      </c>
      <c r="D458" s="27">
        <f>Ft!B$3*EXP(Ft!B$38*($A458-Ft!B$2)^2) +Ft!C$3*EXP(Ft!C$38*($A458-Ft!C$2)^2) + Ft!D$3*EXP(Ft!D$38*($A458-Ft!D$2)^2)+Ft!E$3*EXP(Ft!E$38*($A458-Ft!E$2)^2) +Ft!F$3*EXP(Ft!F$38*($A458-Ft!F$2)^2) + Ft!G$3*EXP(Ft!G$38*($A458-Ft!G$2)^2)</f>
        <v>-78162.945698721058</v>
      </c>
      <c r="E458" s="27">
        <f>Ft!B$3*EXP(Ft!B$38*($A458-Ft!B$2)^2)</f>
        <v>-116033.72822680096</v>
      </c>
      <c r="F458" s="27">
        <f>Ft!C$3*EXP(Ft!C$38*($A458-Ft!C$2)^2)</f>
        <v>0</v>
      </c>
      <c r="G458" s="27">
        <f>Ft!D$3*EXP(Ft!D$38*($A458-Ft!D$2)^2)</f>
        <v>37870.779818014562</v>
      </c>
      <c r="H458" s="27">
        <f>Ft!E$3*EXP(Ft!E$38*($A458-Ft!E$2)^2)</f>
        <v>9.433118913046142E-22</v>
      </c>
      <c r="I458" s="27">
        <f>Ft!F$3*EXP(Ft!F$38*($A458-Ft!F$2)^2)</f>
        <v>2.7100653368970088E-3</v>
      </c>
      <c r="J458" s="27">
        <f>Ft!G$3*EXP(Ft!G$38*($A458-Ft!G$2)^2)</f>
        <v>0</v>
      </c>
    </row>
    <row r="459" spans="1:10">
      <c r="A459" s="20">
        <v>457</v>
      </c>
      <c r="B459" s="29">
        <v>33.811817205031531</v>
      </c>
      <c r="C459" s="28">
        <f ca="1">OFFSET($B459,1*(ROWS(C$2:C459)-1),0)</f>
        <v>0</v>
      </c>
      <c r="D459" s="27">
        <f>Ft!B$3*EXP(Ft!B$38*($A459-Ft!B$2)^2) +Ft!C$3*EXP(Ft!C$38*($A459-Ft!C$2)^2) + Ft!D$3*EXP(Ft!D$38*($A459-Ft!D$2)^2)+Ft!E$3*EXP(Ft!E$38*($A459-Ft!E$2)^2) +Ft!F$3*EXP(Ft!F$38*($A459-Ft!F$2)^2) + Ft!G$3*EXP(Ft!G$38*($A459-Ft!G$2)^2)</f>
        <v>-79115.13269887818</v>
      </c>
      <c r="E459" s="27">
        <f>Ft!B$3*EXP(Ft!B$38*($A459-Ft!B$2)^2)</f>
        <v>-116034.89078935816</v>
      </c>
      <c r="F459" s="27">
        <f>Ft!C$3*EXP(Ft!C$38*($A459-Ft!C$2)^2)</f>
        <v>0</v>
      </c>
      <c r="G459" s="27">
        <f>Ft!D$3*EXP(Ft!D$38*($A459-Ft!D$2)^2)</f>
        <v>36919.755630585081</v>
      </c>
      <c r="H459" s="27">
        <f>Ft!E$3*EXP(Ft!E$38*($A459-Ft!E$2)^2)</f>
        <v>7.2223485162350893E-22</v>
      </c>
      <c r="I459" s="27">
        <f>Ft!F$3*EXP(Ft!F$38*($A459-Ft!F$2)^2)</f>
        <v>2.4598948879714713E-3</v>
      </c>
      <c r="J459" s="27">
        <f>Ft!G$3*EXP(Ft!G$38*($A459-Ft!G$2)^2)</f>
        <v>0</v>
      </c>
    </row>
    <row r="460" spans="1:10">
      <c r="A460" s="20">
        <v>458</v>
      </c>
      <c r="B460" s="29">
        <v>33.58880136099242</v>
      </c>
      <c r="C460" s="28">
        <f ca="1">OFFSET($B460,1*(ROWS(C$2:C460)-1),0)</f>
        <v>0</v>
      </c>
      <c r="D460" s="27">
        <f>Ft!B$3*EXP(Ft!B$38*($A460-Ft!B$2)^2) +Ft!C$3*EXP(Ft!C$38*($A460-Ft!C$2)^2) + Ft!D$3*EXP(Ft!D$38*($A460-Ft!D$2)^2)+Ft!E$3*EXP(Ft!E$38*($A460-Ft!E$2)^2) +Ft!F$3*EXP(Ft!F$38*($A460-Ft!F$2)^2) + Ft!G$3*EXP(Ft!G$38*($A460-Ft!G$2)^2)</f>
        <v>-80047.673850241932</v>
      </c>
      <c r="E460" s="27">
        <f>Ft!B$3*EXP(Ft!B$38*($A460-Ft!B$2)^2)</f>
        <v>-116036.05282718988</v>
      </c>
      <c r="F460" s="27">
        <f>Ft!C$3*EXP(Ft!C$38*($A460-Ft!C$2)^2)</f>
        <v>0</v>
      </c>
      <c r="G460" s="27">
        <f>Ft!D$3*EXP(Ft!D$38*($A460-Ft!D$2)^2)</f>
        <v>35988.376744713867</v>
      </c>
      <c r="H460" s="27">
        <f>Ft!E$3*EXP(Ft!E$38*($A460-Ft!E$2)^2)</f>
        <v>5.5263657825672969E-22</v>
      </c>
      <c r="I460" s="27">
        <f>Ft!F$3*EXP(Ft!F$38*($A460-Ft!F$2)^2)</f>
        <v>2.2322340843789691E-3</v>
      </c>
      <c r="J460" s="27">
        <f>Ft!G$3*EXP(Ft!G$38*($A460-Ft!G$2)^2)</f>
        <v>0</v>
      </c>
    </row>
    <row r="461" spans="1:10">
      <c r="A461" s="20">
        <v>459</v>
      </c>
      <c r="B461" s="29">
        <v>33.350483856996789</v>
      </c>
      <c r="C461" s="28">
        <f ca="1">OFFSET($B461,1*(ROWS(C$2:C461)-1),0)</f>
        <v>0</v>
      </c>
      <c r="D461" s="27">
        <f>Ft!B$3*EXP(Ft!B$38*($A461-Ft!B$2)^2) +Ft!C$3*EXP(Ft!C$38*($A461-Ft!C$2)^2) + Ft!D$3*EXP(Ft!D$38*($A461-Ft!D$2)^2)+Ft!E$3*EXP(Ft!E$38*($A461-Ft!E$2)^2) +Ft!F$3*EXP(Ft!F$38*($A461-Ft!F$2)^2) + Ft!G$3*EXP(Ft!G$38*($A461-Ft!G$2)^2)</f>
        <v>-80960.848226129296</v>
      </c>
      <c r="E461" s="27">
        <f>Ft!B$3*EXP(Ft!B$38*($A461-Ft!B$2)^2)</f>
        <v>-116037.21434028016</v>
      </c>
      <c r="F461" s="27">
        <f>Ft!C$3*EXP(Ft!C$38*($A461-Ft!C$2)^2)</f>
        <v>0</v>
      </c>
      <c r="G461" s="27">
        <f>Ft!D$3*EXP(Ft!D$38*($A461-Ft!D$2)^2)</f>
        <v>35076.364089037612</v>
      </c>
      <c r="H461" s="27">
        <f>Ft!E$3*EXP(Ft!E$38*($A461-Ft!E$2)^2)</f>
        <v>4.2260912006505077E-22</v>
      </c>
      <c r="I461" s="27">
        <f>Ft!F$3*EXP(Ft!F$38*($A461-Ft!F$2)^2)</f>
        <v>2.0251132583926305E-3</v>
      </c>
      <c r="J461" s="27">
        <f>Ft!G$3*EXP(Ft!G$38*($A461-Ft!G$2)^2)</f>
        <v>0</v>
      </c>
    </row>
    <row r="462" spans="1:10">
      <c r="A462" s="20">
        <v>460</v>
      </c>
      <c r="B462" s="29">
        <v>33.120123772505281</v>
      </c>
      <c r="C462" s="28">
        <f ca="1">OFFSET($B462,1*(ROWS(C$2:C462)-1),0)</f>
        <v>0</v>
      </c>
      <c r="D462" s="27">
        <f>Ft!B$3*EXP(Ft!B$38*($A462-Ft!B$2)^2) +Ft!C$3*EXP(Ft!C$38*($A462-Ft!C$2)^2) + Ft!D$3*EXP(Ft!D$38*($A462-Ft!D$2)^2)+Ft!E$3*EXP(Ft!E$38*($A462-Ft!E$2)^2) +Ft!F$3*EXP(Ft!F$38*($A462-Ft!F$2)^2) + Ft!G$3*EXP(Ft!G$38*($A462-Ft!G$2)^2)</f>
        <v>-81854.934596353356</v>
      </c>
      <c r="E462" s="27">
        <f>Ft!B$3*EXP(Ft!B$38*($A462-Ft!B$2)^2)</f>
        <v>-116038.37532861299</v>
      </c>
      <c r="F462" s="27">
        <f>Ft!C$3*EXP(Ft!C$38*($A462-Ft!C$2)^2)</f>
        <v>0</v>
      </c>
      <c r="G462" s="27">
        <f>Ft!D$3*EXP(Ft!D$38*($A462-Ft!D$2)^2)</f>
        <v>34183.438895529733</v>
      </c>
      <c r="H462" s="27">
        <f>Ft!E$3*EXP(Ft!E$38*($A462-Ft!E$2)^2)</f>
        <v>3.2298039110196536E-22</v>
      </c>
      <c r="I462" s="27">
        <f>Ft!F$3*EXP(Ft!F$38*($A462-Ft!F$2)^2)</f>
        <v>1.8367298980560981E-3</v>
      </c>
      <c r="J462" s="27">
        <f>Ft!G$3*EXP(Ft!G$38*($A462-Ft!G$2)^2)</f>
        <v>0</v>
      </c>
    </row>
    <row r="463" spans="1:10">
      <c r="A463" s="20">
        <v>461</v>
      </c>
      <c r="B463" s="29">
        <v>32.89215925409377</v>
      </c>
      <c r="C463" s="28">
        <f ca="1">OFFSET($B463,1*(ROWS(C$2:C463)-1),0)</f>
        <v>0</v>
      </c>
      <c r="D463" s="27">
        <f>Ft!B$3*EXP(Ft!B$38*($A463-Ft!B$2)^2) +Ft!C$3*EXP(Ft!C$38*($A463-Ft!C$2)^2) + Ft!D$3*EXP(Ft!D$38*($A463-Ft!D$2)^2)+Ft!E$3*EXP(Ft!E$38*($A463-Ft!E$2)^2) +Ft!F$3*EXP(Ft!F$38*($A463-Ft!F$2)^2) + Ft!G$3*EXP(Ft!G$38*($A463-Ft!G$2)^2)</f>
        <v>-82730.21130532898</v>
      </c>
      <c r="E463" s="27">
        <f>Ft!B$3*EXP(Ft!B$38*($A463-Ft!B$2)^2)</f>
        <v>-116039.53579217239</v>
      </c>
      <c r="F463" s="27">
        <f>Ft!C$3*EXP(Ft!C$38*($A463-Ft!C$2)^2)</f>
        <v>0</v>
      </c>
      <c r="G463" s="27">
        <f>Ft!D$3*EXP(Ft!D$38*($A463-Ft!D$2)^2)</f>
        <v>33309.322821408488</v>
      </c>
      <c r="H463" s="27">
        <f>Ft!E$3*EXP(Ft!E$38*($A463-Ft!E$2)^2)</f>
        <v>2.4668997444938218E-22</v>
      </c>
      <c r="I463" s="27">
        <f>Ft!F$3*EXP(Ft!F$38*($A463-Ft!F$2)^2)</f>
        <v>1.6654349354507764E-3</v>
      </c>
      <c r="J463" s="27">
        <f>Ft!G$3*EXP(Ft!G$38*($A463-Ft!G$2)^2)</f>
        <v>0</v>
      </c>
    </row>
    <row r="464" spans="1:10">
      <c r="A464" s="20">
        <v>462</v>
      </c>
      <c r="B464" s="29">
        <v>32.658346541734232</v>
      </c>
      <c r="C464" s="28">
        <f ca="1">OFFSET($B464,1*(ROWS(C$2:C464)-1),0)</f>
        <v>0</v>
      </c>
      <c r="D464" s="27">
        <f>Ft!B$3*EXP(Ft!B$38*($A464-Ft!B$2)^2) +Ft!C$3*EXP(Ft!C$38*($A464-Ft!C$2)^2) + Ft!D$3*EXP(Ft!D$38*($A464-Ft!D$2)^2)+Ft!E$3*EXP(Ft!E$38*($A464-Ft!E$2)^2) +Ft!F$3*EXP(Ft!F$38*($A464-Ft!F$2)^2) + Ft!G$3*EXP(Ft!G$38*($A464-Ft!G$2)^2)</f>
        <v>-83586.956153520136</v>
      </c>
      <c r="E464" s="27">
        <f>Ft!B$3*EXP(Ft!B$38*($A464-Ft!B$2)^2)</f>
        <v>-116040.69573094239</v>
      </c>
      <c r="F464" s="27">
        <f>Ft!C$3*EXP(Ft!C$38*($A464-Ft!C$2)^2)</f>
        <v>0</v>
      </c>
      <c r="G464" s="27">
        <f>Ft!D$3*EXP(Ft!D$38*($A464-Ft!D$2)^2)</f>
        <v>32453.738067702143</v>
      </c>
      <c r="H464" s="27">
        <f>Ft!E$3*EXP(Ft!E$38*($A464-Ft!E$2)^2)</f>
        <v>1.8830632024694786E-22</v>
      </c>
      <c r="I464" s="27">
        <f>Ft!F$3*EXP(Ft!F$38*($A464-Ft!F$2)^2)</f>
        <v>1.5097201175475286E-3</v>
      </c>
      <c r="J464" s="27">
        <f>Ft!G$3*EXP(Ft!G$38*($A464-Ft!G$2)^2)</f>
        <v>0</v>
      </c>
    </row>
    <row r="465" spans="1:10">
      <c r="A465" s="20">
        <v>463</v>
      </c>
      <c r="B465" s="29">
        <v>32.396229456150479</v>
      </c>
      <c r="C465" s="28">
        <f ca="1">OFFSET($B465,1*(ROWS(C$2:C465)-1),0)</f>
        <v>0</v>
      </c>
      <c r="D465" s="27">
        <f>Ft!B$3*EXP(Ft!B$38*($A465-Ft!B$2)^2) +Ft!C$3*EXP(Ft!C$38*($A465-Ft!C$2)^2) + Ft!D$3*EXP(Ft!D$38*($A465-Ft!D$2)^2)+Ft!E$3*EXP(Ft!E$38*($A465-Ft!E$2)^2) +Ft!F$3*EXP(Ft!F$38*($A465-Ft!F$2)^2) + Ft!G$3*EXP(Ft!G$38*($A465-Ft!G$2)^2)</f>
        <v>-84425.446282227582</v>
      </c>
      <c r="E465" s="27">
        <f>Ft!B$3*EXP(Ft!B$38*($A465-Ft!B$2)^2)</f>
        <v>-116041.85514490701</v>
      </c>
      <c r="F465" s="27">
        <f>Ft!C$3*EXP(Ft!C$38*($A465-Ft!C$2)^2)</f>
        <v>0</v>
      </c>
      <c r="G465" s="27">
        <f>Ft!D$3*EXP(Ft!D$38*($A465-Ft!D$2)^2)</f>
        <v>31616.407494473053</v>
      </c>
      <c r="H465" s="27">
        <f>Ft!E$3*EXP(Ft!E$38*($A465-Ft!E$2)^2)</f>
        <v>1.4365354456180514E-22</v>
      </c>
      <c r="I465" s="27">
        <f>Ft!F$3*EXP(Ft!F$38*($A465-Ft!F$2)^2)</f>
        <v>1.3682063778287399E-3</v>
      </c>
      <c r="J465" s="27">
        <f>Ft!G$3*EXP(Ft!G$38*($A465-Ft!G$2)^2)</f>
        <v>0</v>
      </c>
    </row>
    <row r="466" spans="1:10">
      <c r="A466" s="20">
        <v>464</v>
      </c>
      <c r="B466" s="29">
        <v>32.156624336797051</v>
      </c>
      <c r="C466" s="28">
        <f ca="1">OFFSET($B466,1*(ROWS(C$2:C466)-1),0)</f>
        <v>0</v>
      </c>
      <c r="D466" s="27">
        <f>Ft!B$3*EXP(Ft!B$38*($A466-Ft!B$2)^2) +Ft!C$3*EXP(Ft!C$38*($A466-Ft!C$2)^2) + Ft!D$3*EXP(Ft!D$38*($A466-Ft!D$2)^2)+Ft!E$3*EXP(Ft!E$38*($A466-Ft!E$2)^2) +Ft!F$3*EXP(Ft!F$38*($A466-Ft!F$2)^2) + Ft!G$3*EXP(Ft!G$38*($A466-Ft!G$2)^2)</f>
        <v>-85245.958061711252</v>
      </c>
      <c r="E466" s="27">
        <f>Ft!B$3*EXP(Ft!B$38*($A466-Ft!B$2)^2)</f>
        <v>-116043.01403405028</v>
      </c>
      <c r="F466" s="27">
        <f>Ft!C$3*EXP(Ft!C$38*($A466-Ft!C$2)^2)</f>
        <v>0</v>
      </c>
      <c r="G466" s="27">
        <f>Ft!D$3*EXP(Ft!D$38*($A466-Ft!D$2)^2)</f>
        <v>30797.054732705899</v>
      </c>
      <c r="H466" s="27">
        <f>Ft!E$3*EXP(Ft!E$38*($A466-Ft!E$2)^2)</f>
        <v>1.0952313054223308E-22</v>
      </c>
      <c r="I466" s="27">
        <f>Ft!F$3*EXP(Ft!F$38*($A466-Ft!F$2)^2)</f>
        <v>1.239633132740361E-3</v>
      </c>
      <c r="J466" s="27">
        <f>Ft!G$3*EXP(Ft!G$38*($A466-Ft!G$2)^2)</f>
        <v>0</v>
      </c>
    </row>
    <row r="467" spans="1:10">
      <c r="A467" s="20">
        <v>465</v>
      </c>
      <c r="B467" s="29">
        <v>31.924118133598313</v>
      </c>
      <c r="C467" s="28">
        <f ca="1">OFFSET($B467,1*(ROWS(C$2:C467)-1),0)</f>
        <v>0</v>
      </c>
      <c r="D467" s="27">
        <f>Ft!B$3*EXP(Ft!B$38*($A467-Ft!B$2)^2) +Ft!C$3*EXP(Ft!C$38*($A467-Ft!C$2)^2) + Ft!D$3*EXP(Ft!D$38*($A467-Ft!D$2)^2)+Ft!E$3*EXP(Ft!E$38*($A467-Ft!E$2)^2) +Ft!F$3*EXP(Ft!F$38*($A467-Ft!F$2)^2) + Ft!G$3*EXP(Ft!G$38*($A467-Ft!G$2)^2)</f>
        <v>-86048.766982639892</v>
      </c>
      <c r="E467" s="27">
        <f>Ft!B$3*EXP(Ft!B$38*($A467-Ft!B$2)^2)</f>
        <v>-116044.17239835627</v>
      </c>
      <c r="F467" s="27">
        <f>Ft!C$3*EXP(Ft!C$38*($A467-Ft!C$2)^2)</f>
        <v>0</v>
      </c>
      <c r="G467" s="27">
        <f>Ft!D$3*EXP(Ft!D$38*($A467-Ft!D$2)^2)</f>
        <v>29995.404292867941</v>
      </c>
      <c r="H467" s="27">
        <f>Ft!E$3*EXP(Ft!E$38*($A467-Ft!E$2)^2)</f>
        <v>8.3451357223209995E-23</v>
      </c>
      <c r="I467" s="27">
        <f>Ft!F$3*EXP(Ft!F$38*($A467-Ft!F$2)^2)</f>
        <v>1.1228484325115694E-3</v>
      </c>
      <c r="J467" s="27">
        <f>Ft!G$3*EXP(Ft!G$38*($A467-Ft!G$2)^2)</f>
        <v>0</v>
      </c>
    </row>
    <row r="468" spans="1:10">
      <c r="A468" s="20">
        <v>466</v>
      </c>
      <c r="B468" s="29">
        <v>31.690635397729523</v>
      </c>
      <c r="C468" s="28">
        <f ca="1">OFFSET($B468,1*(ROWS(C$2:C468)-1),0)</f>
        <v>0</v>
      </c>
      <c r="D468" s="27">
        <f>Ft!B$3*EXP(Ft!B$38*($A468-Ft!B$2)^2) +Ft!C$3*EXP(Ft!C$38*($A468-Ft!C$2)^2) + Ft!D$3*EXP(Ft!D$38*($A468-Ft!D$2)^2)+Ft!E$3*EXP(Ft!E$38*($A468-Ft!E$2)^2) +Ft!F$3*EXP(Ft!F$38*($A468-Ft!F$2)^2) + Ft!G$3*EXP(Ft!G$38*($A468-Ft!G$2)^2)</f>
        <v>-86834.147550857946</v>
      </c>
      <c r="E468" s="27">
        <f>Ft!B$3*EXP(Ft!B$38*($A468-Ft!B$2)^2)</f>
        <v>-116045.33023780902</v>
      </c>
      <c r="F468" s="27">
        <f>Ft!C$3*EXP(Ft!C$38*($A468-Ft!C$2)^2)</f>
        <v>0</v>
      </c>
      <c r="G468" s="27">
        <f>Ft!D$3*EXP(Ft!D$38*($A468-Ft!D$2)^2)</f>
        <v>29211.181670151174</v>
      </c>
      <c r="H468" s="27">
        <f>Ft!E$3*EXP(Ft!E$38*($A468-Ft!E$2)^2)</f>
        <v>6.3547579413444157E-23</v>
      </c>
      <c r="I468" s="27">
        <f>Ft!F$3*EXP(Ft!F$38*($A468-Ft!F$2)^2)</f>
        <v>1.0167999009854979E-3</v>
      </c>
      <c r="J468" s="27">
        <f>Ft!G$3*EXP(Ft!G$38*($A468-Ft!G$2)^2)</f>
        <v>0</v>
      </c>
    </row>
    <row r="469" spans="1:10">
      <c r="A469" s="20">
        <v>467</v>
      </c>
      <c r="B469" s="29">
        <v>31.438113041835493</v>
      </c>
      <c r="C469" s="28">
        <f ca="1">OFFSET($B469,1*(ROWS(C$2:C469)-1),0)</f>
        <v>0</v>
      </c>
      <c r="D469" s="27">
        <f>Ft!B$3*EXP(Ft!B$38*($A469-Ft!B$2)^2) +Ft!C$3*EXP(Ft!C$38*($A469-Ft!C$2)^2) + Ft!D$3*EXP(Ft!D$38*($A469-Ft!D$2)^2)+Ft!E$3*EXP(Ft!E$38*($A469-Ft!E$2)^2) +Ft!F$3*EXP(Ft!F$38*($A469-Ft!F$2)^2) + Ft!G$3*EXP(Ft!G$38*($A469-Ft!G$2)^2)</f>
        <v>-87602.373185456934</v>
      </c>
      <c r="E469" s="27">
        <f>Ft!B$3*EXP(Ft!B$38*($A469-Ft!B$2)^2)</f>
        <v>-116046.48755239257</v>
      </c>
      <c r="F469" s="27">
        <f>Ft!C$3*EXP(Ft!C$38*($A469-Ft!C$2)^2)</f>
        <v>0</v>
      </c>
      <c r="G469" s="27">
        <f>Ft!D$3*EXP(Ft!D$38*($A469-Ft!D$2)^2)</f>
        <v>28444.113446409236</v>
      </c>
      <c r="H469" s="27">
        <f>Ft!E$3*EXP(Ft!E$38*($A469-Ft!E$2)^2)</f>
        <v>4.836182415727783E-23</v>
      </c>
      <c r="I469" s="27">
        <f>Ft!F$3*EXP(Ft!F$38*($A469-Ft!F$2)^2)</f>
        <v>9.2052640386212936E-4</v>
      </c>
      <c r="J469" s="27">
        <f>Ft!G$3*EXP(Ft!G$38*($A469-Ft!G$2)^2)</f>
        <v>0</v>
      </c>
    </row>
    <row r="470" spans="1:10">
      <c r="A470" s="20">
        <v>468</v>
      </c>
      <c r="B470" s="29">
        <v>31.209981851266406</v>
      </c>
      <c r="C470" s="28">
        <f ca="1">OFFSET($B470,1*(ROWS(C$2:C470)-1),0)</f>
        <v>0</v>
      </c>
      <c r="D470" s="27">
        <f>Ft!B$3*EXP(Ft!B$38*($A470-Ft!B$2)^2) +Ft!C$3*EXP(Ft!C$38*($A470-Ft!C$2)^2) + Ft!D$3*EXP(Ft!D$38*($A470-Ft!D$2)^2)+Ft!E$3*EXP(Ft!E$38*($A470-Ft!E$2)^2) +Ft!F$3*EXP(Ft!F$38*($A470-Ft!F$2)^2) + Ft!G$3*EXP(Ft!G$38*($A470-Ft!G$2)^2)</f>
        <v>-88353.716120136625</v>
      </c>
      <c r="E470" s="27">
        <f>Ft!B$3*EXP(Ft!B$38*($A470-Ft!B$2)^2)</f>
        <v>-116047.64434209102</v>
      </c>
      <c r="F470" s="27">
        <f>Ft!C$3*EXP(Ft!C$38*($A470-Ft!C$2)^2)</f>
        <v>0</v>
      </c>
      <c r="G470" s="27">
        <f>Ft!D$3*EXP(Ft!D$38*($A470-Ft!D$2)^2)</f>
        <v>27693.927388803997</v>
      </c>
      <c r="H470" s="27">
        <f>Ft!E$3*EXP(Ft!E$38*($A470-Ft!E$2)^2)</f>
        <v>3.6782766278176165E-23</v>
      </c>
      <c r="I470" s="27">
        <f>Ft!F$3*EXP(Ft!F$38*($A470-Ft!F$2)^2)</f>
        <v>8.3315038918590838E-4</v>
      </c>
      <c r="J470" s="27">
        <f>Ft!G$3*EXP(Ft!G$38*($A470-Ft!G$2)^2)</f>
        <v>0</v>
      </c>
    </row>
    <row r="471" spans="1:10">
      <c r="A471" s="20">
        <v>469</v>
      </c>
      <c r="B471" s="29">
        <v>30.969096438613008</v>
      </c>
      <c r="C471" s="28">
        <f ca="1">OFFSET($B471,1*(ROWS(C$2:C471)-1),0)</f>
        <v>0</v>
      </c>
      <c r="D471" s="27">
        <f>Ft!B$3*EXP(Ft!B$38*($A471-Ft!B$2)^2) +Ft!C$3*EXP(Ft!C$38*($A471-Ft!C$2)^2) + Ft!D$3*EXP(Ft!D$38*($A471-Ft!D$2)^2)+Ft!E$3*EXP(Ft!E$38*($A471-Ft!E$2)^2) +Ft!F$3*EXP(Ft!F$38*($A471-Ft!F$2)^2) + Ft!G$3*EXP(Ft!G$38*($A471-Ft!G$2)^2)</f>
        <v>-89088.447307838738</v>
      </c>
      <c r="E471" s="27">
        <f>Ft!B$3*EXP(Ft!B$38*($A471-Ft!B$2)^2)</f>
        <v>-116048.80060688843</v>
      </c>
      <c r="F471" s="27">
        <f>Ft!C$3*EXP(Ft!C$38*($A471-Ft!C$2)^2)</f>
        <v>0</v>
      </c>
      <c r="G471" s="27">
        <f>Ft!D$3*EXP(Ft!D$38*($A471-Ft!D$2)^2)</f>
        <v>26960.352545178852</v>
      </c>
      <c r="H471" s="27">
        <f>Ft!E$3*EXP(Ft!E$38*($A471-Ft!E$2)^2)</f>
        <v>2.7959162255873818E-23</v>
      </c>
      <c r="I471" s="27">
        <f>Ft!F$3*EXP(Ft!F$38*($A471-Ft!F$2)^2)</f>
        <v>7.5387084803646008E-4</v>
      </c>
      <c r="J471" s="27">
        <f>Ft!G$3*EXP(Ft!G$38*($A471-Ft!G$2)^2)</f>
        <v>0</v>
      </c>
    </row>
    <row r="472" spans="1:10">
      <c r="A472" s="20">
        <v>470</v>
      </c>
      <c r="B472" s="29">
        <v>30.705751763205797</v>
      </c>
      <c r="C472" s="28">
        <f ca="1">OFFSET($B472,1*(ROWS(C$2:C472)-1),0)</f>
        <v>0</v>
      </c>
      <c r="D472" s="27">
        <f>Ft!B$3*EXP(Ft!B$38*($A472-Ft!B$2)^2) +Ft!C$3*EXP(Ft!C$38*($A472-Ft!C$2)^2) + Ft!D$3*EXP(Ft!D$38*($A472-Ft!D$2)^2)+Ft!E$3*EXP(Ft!E$38*($A472-Ft!E$2)^2) +Ft!F$3*EXP(Ft!F$38*($A472-Ft!F$2)^2) + Ft!G$3*EXP(Ft!G$38*($A472-Ft!G$2)^2)</f>
        <v>-89806.836328633319</v>
      </c>
      <c r="E472" s="27">
        <f>Ft!B$3*EXP(Ft!B$38*($A472-Ft!B$2)^2)</f>
        <v>-116049.95634676887</v>
      </c>
      <c r="F472" s="27">
        <f>Ft!C$3*EXP(Ft!C$38*($A472-Ft!C$2)^2)</f>
        <v>0</v>
      </c>
      <c r="G472" s="27">
        <f>Ft!D$3*EXP(Ft!D$38*($A472-Ft!D$2)^2)</f>
        <v>26243.119336178701</v>
      </c>
      <c r="H472" s="27">
        <f>Ft!E$3*EXP(Ft!E$38*($A472-Ft!E$2)^2)</f>
        <v>2.1239386801504979E-23</v>
      </c>
      <c r="I472" s="27">
        <f>Ft!F$3*EXP(Ft!F$38*($A472-Ft!F$2)^2)</f>
        <v>6.8195684722057218E-4</v>
      </c>
      <c r="J472" s="27">
        <f>Ft!G$3*EXP(Ft!G$38*($A472-Ft!G$2)^2)</f>
        <v>0</v>
      </c>
    </row>
    <row r="473" spans="1:10">
      <c r="A473" s="20">
        <v>471</v>
      </c>
      <c r="B473" s="29">
        <v>30.455340905564583</v>
      </c>
      <c r="C473" s="28">
        <f ca="1">OFFSET($B473,1*(ROWS(C$2:C473)-1),0)</f>
        <v>0</v>
      </c>
      <c r="D473" s="27">
        <f>Ft!B$3*EXP(Ft!B$38*($A473-Ft!B$2)^2) +Ft!C$3*EXP(Ft!C$38*($A473-Ft!C$2)^2) + Ft!D$3*EXP(Ft!D$38*($A473-Ft!D$2)^2)+Ft!E$3*EXP(Ft!E$38*($A473-Ft!E$2)^2) +Ft!F$3*EXP(Ft!F$38*($A473-Ft!F$2)^2) + Ft!G$3*EXP(Ft!G$38*($A473-Ft!G$2)^2)</f>
        <v>-90509.151300837184</v>
      </c>
      <c r="E473" s="27">
        <f>Ft!B$3*EXP(Ft!B$38*($A473-Ft!B$2)^2)</f>
        <v>-116051.11156171643</v>
      </c>
      <c r="F473" s="27">
        <f>Ft!C$3*EXP(Ft!C$38*($A473-Ft!C$2)^2)</f>
        <v>0</v>
      </c>
      <c r="G473" s="27">
        <f>Ft!D$3*EXP(Ft!D$38*($A473-Ft!D$2)^2)</f>
        <v>25541.959644137656</v>
      </c>
      <c r="H473" s="27">
        <f>Ft!E$3*EXP(Ft!E$38*($A473-Ft!E$2)^2)</f>
        <v>1.6124930324302319E-23</v>
      </c>
      <c r="I473" s="27">
        <f>Ft!F$3*EXP(Ft!F$38*($A473-Ft!F$2)^2)</f>
        <v>6.1674158933602158E-4</v>
      </c>
      <c r="J473" s="27">
        <f>Ft!G$3*EXP(Ft!G$38*($A473-Ft!G$2)^2)</f>
        <v>0</v>
      </c>
    </row>
    <row r="474" spans="1:10">
      <c r="A474" s="20">
        <v>472</v>
      </c>
      <c r="B474" s="29">
        <v>30.214520604384973</v>
      </c>
      <c r="C474" s="28">
        <f ca="1">OFFSET($B474,1*(ROWS(C$2:C474)-1),0)</f>
        <v>0</v>
      </c>
      <c r="D474" s="27">
        <f>Ft!B$3*EXP(Ft!B$38*($A474-Ft!B$2)^2) +Ft!C$3*EXP(Ft!C$38*($A474-Ft!C$2)^2) + Ft!D$3*EXP(Ft!D$38*($A474-Ft!D$2)^2)+Ft!E$3*EXP(Ft!E$38*($A474-Ft!E$2)^2) +Ft!F$3*EXP(Ft!F$38*($A474-Ft!F$2)^2) + Ft!G$3*EXP(Ft!G$38*($A474-Ft!G$2)^2)</f>
        <v>-91195.658795339812</v>
      </c>
      <c r="E474" s="27">
        <f>Ft!B$3*EXP(Ft!B$38*($A474-Ft!B$2)^2)</f>
        <v>-116052.26625171521</v>
      </c>
      <c r="F474" s="27">
        <f>Ft!C$3*EXP(Ft!C$38*($A474-Ft!C$2)^2)</f>
        <v>0</v>
      </c>
      <c r="G474" s="27">
        <f>Ft!D$3*EXP(Ft!D$38*($A474-Ft!D$2)^2)</f>
        <v>24856.606898758433</v>
      </c>
      <c r="H474" s="27">
        <f>Ft!E$3*EXP(Ft!E$38*($A474-Ft!E$2)^2)</f>
        <v>1.2234656262121833E-23</v>
      </c>
      <c r="I474" s="27">
        <f>Ft!F$3*EXP(Ft!F$38*($A474-Ft!F$2)^2)</f>
        <v>5.5761695889998972E-4</v>
      </c>
      <c r="J474" s="27">
        <f>Ft!G$3*EXP(Ft!G$38*($A474-Ft!G$2)^2)</f>
        <v>0</v>
      </c>
    </row>
    <row r="475" spans="1:10">
      <c r="A475" s="20">
        <v>473</v>
      </c>
      <c r="B475" s="29">
        <v>29.979612671787663</v>
      </c>
      <c r="C475" s="28">
        <f ca="1">OFFSET($B475,1*(ROWS(C$2:C475)-1),0)</f>
        <v>0</v>
      </c>
      <c r="D475" s="27">
        <f>Ft!B$3*EXP(Ft!B$38*($A475-Ft!B$2)^2) +Ft!C$3*EXP(Ft!C$38*($A475-Ft!C$2)^2) + Ft!D$3*EXP(Ft!D$38*($A475-Ft!D$2)^2)+Ft!E$3*EXP(Ft!E$38*($A475-Ft!E$2)^2) +Ft!F$3*EXP(Ft!F$38*($A475-Ft!F$2)^2) + Ft!G$3*EXP(Ft!G$38*($A475-Ft!G$2)^2)</f>
        <v>-91866.623753111577</v>
      </c>
      <c r="E475" s="27">
        <f>Ft!B$3*EXP(Ft!B$38*($A475-Ft!B$2)^2)</f>
        <v>-116053.42041674932</v>
      </c>
      <c r="F475" s="27">
        <f>Ft!C$3*EXP(Ft!C$38*($A475-Ft!C$2)^2)</f>
        <v>0</v>
      </c>
      <c r="G475" s="27">
        <f>Ft!D$3*EXP(Ft!D$38*($A475-Ft!D$2)^2)</f>
        <v>24186.796159609214</v>
      </c>
      <c r="H475" s="27">
        <f>Ft!E$3*EXP(Ft!E$38*($A475-Ft!E$2)^2)</f>
        <v>9.2773459253095481E-24</v>
      </c>
      <c r="I475" s="27">
        <f>Ft!F$3*EXP(Ft!F$38*($A475-Ft!F$2)^2)</f>
        <v>5.0402851632310017E-4</v>
      </c>
      <c r="J475" s="27">
        <f>Ft!G$3*EXP(Ft!G$38*($A475-Ft!G$2)^2)</f>
        <v>0</v>
      </c>
    </row>
    <row r="476" spans="1:10">
      <c r="A476" s="20">
        <v>474</v>
      </c>
      <c r="B476" s="29">
        <v>29.760220705111607</v>
      </c>
      <c r="C476" s="28">
        <f ca="1">OFFSET($B476,1*(ROWS(C$2:C476)-1),0)</f>
        <v>0</v>
      </c>
      <c r="D476" s="27">
        <f>Ft!B$3*EXP(Ft!B$38*($A476-Ft!B$2)^2) +Ft!C$3*EXP(Ft!C$38*($A476-Ft!C$2)^2) + Ft!D$3*EXP(Ft!D$38*($A476-Ft!D$2)^2)+Ft!E$3*EXP(Ft!E$38*($A476-Ft!E$2)^2) +Ft!F$3*EXP(Ft!F$38*($A476-Ft!F$2)^2) + Ft!G$3*EXP(Ft!G$38*($A476-Ft!G$2)^2)</f>
        <v>-92522.309405866836</v>
      </c>
      <c r="E476" s="27">
        <f>Ft!B$3*EXP(Ft!B$38*($A476-Ft!B$2)^2)</f>
        <v>-116054.57405680286</v>
      </c>
      <c r="F476" s="27">
        <f>Ft!C$3*EXP(Ft!C$38*($A476-Ft!C$2)^2)</f>
        <v>0</v>
      </c>
      <c r="G476" s="27">
        <f>Ft!D$3*EXP(Ft!D$38*($A476-Ft!D$2)^2)</f>
        <v>23532.264195465112</v>
      </c>
      <c r="H476" s="27">
        <f>Ft!E$3*EXP(Ft!E$38*($A476-Ft!E$2)^2)</f>
        <v>7.0306225318125882E-24</v>
      </c>
      <c r="I476" s="27">
        <f>Ft!F$3*EXP(Ft!F$38*($A476-Ft!F$2)^2)</f>
        <v>4.5547090437994406E-4</v>
      </c>
      <c r="J476" s="27">
        <f>Ft!G$3*EXP(Ft!G$38*($A476-Ft!G$2)^2)</f>
        <v>0</v>
      </c>
    </row>
    <row r="477" spans="1:10">
      <c r="A477" s="20">
        <v>475</v>
      </c>
      <c r="B477" s="29">
        <v>29.5375809242679</v>
      </c>
      <c r="C477" s="28">
        <f ca="1">OFFSET($B477,1*(ROWS(C$2:C477)-1),0)</f>
        <v>0</v>
      </c>
      <c r="D477" s="27">
        <f>Ft!B$3*EXP(Ft!B$38*($A477-Ft!B$2)^2) +Ft!C$3*EXP(Ft!C$38*($A477-Ft!C$2)^2) + Ft!D$3*EXP(Ft!D$38*($A477-Ft!D$2)^2)+Ft!E$3*EXP(Ft!E$38*($A477-Ft!E$2)^2) +Ft!F$3*EXP(Ft!F$38*($A477-Ft!F$2)^2) + Ft!G$3*EXP(Ft!G$38*($A477-Ft!G$2)^2)</f>
        <v>-93162.97719985235</v>
      </c>
      <c r="E477" s="27">
        <f>Ft!B$3*EXP(Ft!B$38*($A477-Ft!B$2)^2)</f>
        <v>-116055.72717185994</v>
      </c>
      <c r="F477" s="27">
        <f>Ft!C$3*EXP(Ft!C$38*($A477-Ft!C$2)^2)</f>
        <v>0</v>
      </c>
      <c r="G477" s="27">
        <f>Ft!D$3*EXP(Ft!D$38*($A477-Ft!D$2)^2)</f>
        <v>22892.749560523946</v>
      </c>
      <c r="H477" s="27">
        <f>Ft!E$3*EXP(Ft!E$38*($A477-Ft!E$2)^2)</f>
        <v>5.3247824110039023E-24</v>
      </c>
      <c r="I477" s="27">
        <f>Ft!F$3*EXP(Ft!F$38*($A477-Ft!F$2)^2)</f>
        <v>4.1148363449284035E-4</v>
      </c>
      <c r="J477" s="27">
        <f>Ft!G$3*EXP(Ft!G$38*($A477-Ft!G$2)^2)</f>
        <v>0</v>
      </c>
    </row>
    <row r="478" spans="1:10">
      <c r="A478" s="20">
        <v>476</v>
      </c>
      <c r="B478" s="29">
        <v>29.313176042282464</v>
      </c>
      <c r="C478" s="28">
        <f ca="1">OFFSET($B478,1*(ROWS(C$2:C478)-1),0)</f>
        <v>0</v>
      </c>
      <c r="D478" s="27">
        <f>Ft!B$3*EXP(Ft!B$38*($A478-Ft!B$2)^2) +Ft!C$3*EXP(Ft!C$38*($A478-Ft!C$2)^2) + Ft!D$3*EXP(Ft!D$38*($A478-Ft!D$2)^2)+Ft!E$3*EXP(Ft!E$38*($A478-Ft!E$2)^2) +Ft!F$3*EXP(Ft!F$38*($A478-Ft!F$2)^2) + Ft!G$3*EXP(Ft!G$38*($A478-Ft!G$2)^2)</f>
        <v>-93788.88672273008</v>
      </c>
      <c r="E478" s="27">
        <f>Ft!B$3*EXP(Ft!B$38*($A478-Ft!B$2)^2)</f>
        <v>-116056.87976190468</v>
      </c>
      <c r="F478" s="27">
        <f>Ft!C$3*EXP(Ft!C$38*($A478-Ft!C$2)^2)</f>
        <v>0</v>
      </c>
      <c r="G478" s="27">
        <f>Ft!D$3*EXP(Ft!D$38*($A478-Ft!D$2)^2)</f>
        <v>22267.992667527371</v>
      </c>
      <c r="H478" s="27">
        <f>Ft!E$3*EXP(Ft!E$38*($A478-Ft!E$2)^2)</f>
        <v>4.0303986307629232E-24</v>
      </c>
      <c r="I478" s="27">
        <f>Ft!F$3*EXP(Ft!F$38*($A478-Ft!F$2)^2)</f>
        <v>3.7164722262077551E-4</v>
      </c>
      <c r="J478" s="27">
        <f>Ft!G$3*EXP(Ft!G$38*($A478-Ft!G$2)^2)</f>
        <v>0</v>
      </c>
    </row>
    <row r="479" spans="1:10">
      <c r="A479" s="20">
        <v>477</v>
      </c>
      <c r="B479" s="29">
        <v>29.077566771031883</v>
      </c>
      <c r="C479" s="28">
        <f ca="1">OFFSET($B479,1*(ROWS(C$2:C479)-1),0)</f>
        <v>0</v>
      </c>
      <c r="D479" s="27">
        <f>Ft!B$3*EXP(Ft!B$38*($A479-Ft!B$2)^2) +Ft!C$3*EXP(Ft!C$38*($A479-Ft!C$2)^2) + Ft!D$3*EXP(Ft!D$38*($A479-Ft!D$2)^2)+Ft!E$3*EXP(Ft!E$38*($A479-Ft!E$2)^2) +Ft!F$3*EXP(Ft!F$38*($A479-Ft!F$2)^2) + Ft!G$3*EXP(Ft!G$38*($A479-Ft!G$2)^2)</f>
        <v>-94400.295633521542</v>
      </c>
      <c r="E479" s="27">
        <f>Ft!B$3*EXP(Ft!B$38*($A479-Ft!B$2)^2)</f>
        <v>-116058.03182692123</v>
      </c>
      <c r="F479" s="27">
        <f>Ft!C$3*EXP(Ft!C$38*($A479-Ft!C$2)^2)</f>
        <v>0</v>
      </c>
      <c r="G479" s="27">
        <f>Ft!D$3*EXP(Ft!D$38*($A479-Ft!D$2)^2)</f>
        <v>21657.735857820036</v>
      </c>
      <c r="H479" s="27">
        <f>Ft!E$3*EXP(Ft!E$38*($A479-Ft!E$2)^2)</f>
        <v>3.0488228619990288E-24</v>
      </c>
      <c r="I479" s="27">
        <f>Ft!F$3*EXP(Ft!F$38*($A479-Ft!F$2)^2)</f>
        <v>3.3557964684314217E-4</v>
      </c>
      <c r="J479" s="27">
        <f>Ft!G$3*EXP(Ft!G$38*($A479-Ft!G$2)^2)</f>
        <v>0</v>
      </c>
    </row>
    <row r="480" spans="1:10">
      <c r="A480" s="20">
        <v>478</v>
      </c>
      <c r="B480" s="29">
        <v>28.836474228874977</v>
      </c>
      <c r="C480" s="28">
        <f ca="1">OFFSET($B480,1*(ROWS(C$2:C480)-1),0)</f>
        <v>0</v>
      </c>
      <c r="D480" s="27">
        <f>Ft!B$3*EXP(Ft!B$38*($A480-Ft!B$2)^2) +Ft!C$3*EXP(Ft!C$38*($A480-Ft!C$2)^2) + Ft!D$3*EXP(Ft!D$38*($A480-Ft!D$2)^2)+Ft!E$3*EXP(Ft!E$38*($A480-Ft!E$2)^2) +Ft!F$3*EXP(Ft!F$38*($A480-Ft!F$2)^2) + Ft!G$3*EXP(Ft!G$38*($A480-Ft!G$2)^2)</f>
        <v>-94997.459595579174</v>
      </c>
      <c r="E480" s="27">
        <f>Ft!B$3*EXP(Ft!B$38*($A480-Ft!B$2)^2)</f>
        <v>-116059.1833668937</v>
      </c>
      <c r="F480" s="27">
        <f>Ft!C$3*EXP(Ft!C$38*($A480-Ft!C$2)^2)</f>
        <v>0</v>
      </c>
      <c r="G480" s="27">
        <f>Ft!D$3*EXP(Ft!D$38*($A480-Ft!D$2)^2)</f>
        <v>21061.723468381428</v>
      </c>
      <c r="H480" s="27">
        <f>Ft!E$3*EXP(Ft!E$38*($A480-Ft!E$2)^2)</f>
        <v>2.3049124567794264E-24</v>
      </c>
      <c r="I480" s="27">
        <f>Ft!F$3*EXP(Ft!F$38*($A480-Ft!F$2)^2)</f>
        <v>3.0293310085963197E-4</v>
      </c>
      <c r="J480" s="27">
        <f>Ft!G$3*EXP(Ft!G$38*($A480-Ft!G$2)^2)</f>
        <v>0</v>
      </c>
    </row>
    <row r="481" spans="1:10">
      <c r="A481" s="20">
        <v>479</v>
      </c>
      <c r="B481" s="29">
        <v>28.613358477937624</v>
      </c>
      <c r="C481" s="28">
        <f ca="1">OFFSET($B481,1*(ROWS(C$2:C481)-1),0)</f>
        <v>0</v>
      </c>
      <c r="D481" s="27">
        <f>Ft!B$3*EXP(Ft!B$38*($A481-Ft!B$2)^2) +Ft!C$3*EXP(Ft!C$38*($A481-Ft!C$2)^2) + Ft!D$3*EXP(Ft!D$38*($A481-Ft!D$2)^2)+Ft!E$3*EXP(Ft!E$38*($A481-Ft!E$2)^2) +Ft!F$3*EXP(Ft!F$38*($A481-Ft!F$2)^2) + Ft!G$3*EXP(Ft!G$38*($A481-Ft!G$2)^2)</f>
        <v>-95580.632212549302</v>
      </c>
      <c r="E481" s="27">
        <f>Ft!B$3*EXP(Ft!B$38*($A481-Ft!B$2)^2)</f>
        <v>-116060.33438180627</v>
      </c>
      <c r="F481" s="27">
        <f>Ft!C$3*EXP(Ft!C$38*($A481-Ft!C$2)^2)</f>
        <v>0</v>
      </c>
      <c r="G481" s="27">
        <f>Ft!D$3*EXP(Ft!D$38*($A481-Ft!D$2)^2)</f>
        <v>20479.701895865954</v>
      </c>
      <c r="H481" s="27">
        <f>Ft!E$3*EXP(Ft!E$38*($A481-Ft!E$2)^2)</f>
        <v>1.741464920308806E-24</v>
      </c>
      <c r="I481" s="27">
        <f>Ft!F$3*EXP(Ft!F$38*($A481-Ft!F$2)^2)</f>
        <v>2.7339101960488992E-4</v>
      </c>
      <c r="J481" s="27">
        <f>Ft!G$3*EXP(Ft!G$38*($A481-Ft!G$2)^2)</f>
        <v>0</v>
      </c>
    </row>
    <row r="482" spans="1:10">
      <c r="A482" s="20">
        <v>480</v>
      </c>
      <c r="B482" s="29">
        <v>28.39318765417832</v>
      </c>
      <c r="C482" s="28">
        <f ca="1">OFFSET($B482,1*(ROWS(C$2:C482)-1),0)</f>
        <v>0</v>
      </c>
      <c r="D482" s="27">
        <f>Ft!B$3*EXP(Ft!B$38*($A482-Ft!B$2)^2) +Ft!C$3*EXP(Ft!C$38*($A482-Ft!C$2)^2) + Ft!D$3*EXP(Ft!D$38*($A482-Ft!D$2)^2)+Ft!E$3*EXP(Ft!E$38*($A482-Ft!E$2)^2) +Ft!F$3*EXP(Ft!F$38*($A482-Ft!F$2)^2) + Ft!G$3*EXP(Ft!G$38*($A482-Ft!G$2)^2)</f>
        <v>-96150.064967288665</v>
      </c>
      <c r="E482" s="27">
        <f>Ft!B$3*EXP(Ft!B$38*($A482-Ft!B$2)^2)</f>
        <v>-116061.48487164309</v>
      </c>
      <c r="F482" s="27">
        <f>Ft!C$3*EXP(Ft!C$38*($A482-Ft!C$2)^2)</f>
        <v>0</v>
      </c>
      <c r="G482" s="27">
        <f>Ft!D$3*EXP(Ft!D$38*($A482-Ft!D$2)^2)</f>
        <v>19911.419657689068</v>
      </c>
      <c r="H482" s="27">
        <f>Ft!E$3*EXP(Ft!E$38*($A482-Ft!E$2)^2)</f>
        <v>1.3149616252736702E-24</v>
      </c>
      <c r="I482" s="27">
        <f>Ft!F$3*EXP(Ft!F$38*($A482-Ft!F$2)^2)</f>
        <v>2.4666535500970536E-4</v>
      </c>
      <c r="J482" s="27">
        <f>Ft!G$3*EXP(Ft!G$38*($A482-Ft!G$2)^2)</f>
        <v>0</v>
      </c>
    </row>
    <row r="483" spans="1:10">
      <c r="A483" s="20">
        <v>481</v>
      </c>
      <c r="B483" s="29">
        <v>28.143618296872773</v>
      </c>
      <c r="C483" s="28">
        <f ca="1">OFFSET($B483,1*(ROWS(C$2:C483)-1),0)</f>
        <v>0</v>
      </c>
      <c r="D483" s="27">
        <f>Ft!B$3*EXP(Ft!B$38*($A483-Ft!B$2)^2) +Ft!C$3*EXP(Ft!C$38*($A483-Ft!C$2)^2) + Ft!D$3*EXP(Ft!D$38*($A483-Ft!D$2)^2)+Ft!E$3*EXP(Ft!E$38*($A483-Ft!E$2)^2) +Ft!F$3*EXP(Ft!F$38*($A483-Ft!F$2)^2) + Ft!G$3*EXP(Ft!G$38*($A483-Ft!G$2)^2)</f>
        <v>-96706.007163696428</v>
      </c>
      <c r="E483" s="27">
        <f>Ft!B$3*EXP(Ft!B$38*($A483-Ft!B$2)^2)</f>
        <v>-116062.63483638827</v>
      </c>
      <c r="F483" s="27">
        <f>Ft!C$3*EXP(Ft!C$38*($A483-Ft!C$2)^2)</f>
        <v>0</v>
      </c>
      <c r="G483" s="27">
        <f>Ft!D$3*EXP(Ft!D$38*($A483-Ft!D$2)^2)</f>
        <v>19356.627450197764</v>
      </c>
      <c r="H483" s="27">
        <f>Ft!E$3*EXP(Ft!E$38*($A483-Ft!E$2)^2)</f>
        <v>9.9231482612442382E-25</v>
      </c>
      <c r="I483" s="27">
        <f>Ft!F$3*EXP(Ft!F$38*($A483-Ft!F$2)^2)</f>
        <v>2.2249408163951069E-4</v>
      </c>
      <c r="J483" s="27">
        <f>Ft!G$3*EXP(Ft!G$38*($A483-Ft!G$2)^2)</f>
        <v>0</v>
      </c>
    </row>
    <row r="484" spans="1:10">
      <c r="A484" s="20">
        <v>482</v>
      </c>
      <c r="B484" s="29">
        <v>27.909408362453973</v>
      </c>
      <c r="C484" s="28">
        <f ca="1">OFFSET($B484,1*(ROWS(C$2:C484)-1),0)</f>
        <v>0</v>
      </c>
      <c r="D484" s="27">
        <f>Ft!B$3*EXP(Ft!B$38*($A484-Ft!B$2)^2) +Ft!C$3*EXP(Ft!C$38*($A484-Ft!C$2)^2) + Ft!D$3*EXP(Ft!D$38*($A484-Ft!D$2)^2)+Ft!E$3*EXP(Ft!E$38*($A484-Ft!E$2)^2) +Ft!F$3*EXP(Ft!F$38*($A484-Ft!F$2)^2) + Ft!G$3*EXP(Ft!G$38*($A484-Ft!G$2)^2)</f>
        <v>-97248.705871421262</v>
      </c>
      <c r="E484" s="27">
        <f>Ft!B$3*EXP(Ft!B$38*($A484-Ft!B$2)^2)</f>
        <v>-116063.78427602601</v>
      </c>
      <c r="F484" s="27">
        <f>Ft!C$3*EXP(Ft!C$38*($A484-Ft!C$2)^2)</f>
        <v>0</v>
      </c>
      <c r="G484" s="27">
        <f>Ft!D$3*EXP(Ft!D$38*($A484-Ft!D$2)^2)</f>
        <v>18815.078203965837</v>
      </c>
      <c r="H484" s="27">
        <f>Ft!E$3*EXP(Ft!E$38*($A484-Ft!E$2)^2)</f>
        <v>7.4838303554505009E-25</v>
      </c>
      <c r="I484" s="27">
        <f>Ft!F$3*EXP(Ft!F$38*($A484-Ft!F$2)^2)</f>
        <v>2.0063891351499675E-4</v>
      </c>
      <c r="J484" s="27">
        <f>Ft!G$3*EXP(Ft!G$38*($A484-Ft!G$2)^2)</f>
        <v>0</v>
      </c>
    </row>
    <row r="485" spans="1:10">
      <c r="A485" s="20">
        <v>483</v>
      </c>
      <c r="B485" s="29">
        <v>27.667745373429455</v>
      </c>
      <c r="C485" s="28">
        <f ca="1">OFFSET($B485,1*(ROWS(C$2:C485)-1),0)</f>
        <v>0</v>
      </c>
      <c r="D485" s="27">
        <f>Ft!B$3*EXP(Ft!B$38*($A485-Ft!B$2)^2) +Ft!C$3*EXP(Ft!C$38*($A485-Ft!C$2)^2) + Ft!D$3*EXP(Ft!D$38*($A485-Ft!D$2)^2)+Ft!E$3*EXP(Ft!E$38*($A485-Ft!E$2)^2) +Ft!F$3*EXP(Ft!F$38*($A485-Ft!F$2)^2) + Ft!G$3*EXP(Ft!G$38*($A485-Ft!G$2)^2)</f>
        <v>-97778.405873402371</v>
      </c>
      <c r="E485" s="27">
        <f>Ft!B$3*EXP(Ft!B$38*($A485-Ft!B$2)^2)</f>
        <v>-116064.9331905405</v>
      </c>
      <c r="F485" s="27">
        <f>Ft!C$3*EXP(Ft!C$38*($A485-Ft!C$2)^2)</f>
        <v>0</v>
      </c>
      <c r="G485" s="27">
        <f>Ft!D$3*EXP(Ft!D$38*($A485-Ft!D$2)^2)</f>
        <v>18286.527136254917</v>
      </c>
      <c r="H485" s="27">
        <f>Ft!E$3*EXP(Ft!E$38*($A485-Ft!E$2)^2)</f>
        <v>5.6407446644197589E-25</v>
      </c>
      <c r="I485" s="27">
        <f>Ft!F$3*EXP(Ft!F$38*($A485-Ft!F$2)^2)</f>
        <v>1.8088321487735661E-4</v>
      </c>
      <c r="J485" s="27">
        <f>Ft!G$3*EXP(Ft!G$38*($A485-Ft!G$2)^2)</f>
        <v>0</v>
      </c>
    </row>
    <row r="486" spans="1:10">
      <c r="A486" s="20">
        <v>484</v>
      </c>
      <c r="B486" s="29">
        <v>27.441482310751269</v>
      </c>
      <c r="C486" s="28">
        <f ca="1">OFFSET($B486,1*(ROWS(C$2:C486)-1),0)</f>
        <v>0</v>
      </c>
      <c r="D486" s="27">
        <f>Ft!B$3*EXP(Ft!B$38*($A486-Ft!B$2)^2) +Ft!C$3*EXP(Ft!C$38*($A486-Ft!C$2)^2) + Ft!D$3*EXP(Ft!D$38*($A486-Ft!D$2)^2)+Ft!E$3*EXP(Ft!E$38*($A486-Ft!E$2)^2) +Ft!F$3*EXP(Ft!F$38*($A486-Ft!F$2)^2) + Ft!G$3*EXP(Ft!G$38*($A486-Ft!G$2)^2)</f>
        <v>-98295.349616201944</v>
      </c>
      <c r="E486" s="27">
        <f>Ft!B$3*EXP(Ft!B$38*($A486-Ft!B$2)^2)</f>
        <v>-116066.08157991587</v>
      </c>
      <c r="F486" s="27">
        <f>Ft!C$3*EXP(Ft!C$38*($A486-Ft!C$2)^2)</f>
        <v>0</v>
      </c>
      <c r="G486" s="27">
        <f>Ft!D$3*EXP(Ft!D$38*($A486-Ft!D$2)^2)</f>
        <v>17770.73180068385</v>
      </c>
      <c r="H486" s="27">
        <f>Ft!E$3*EXP(Ft!E$38*($A486-Ft!E$2)^2)</f>
        <v>4.249002641884279E-25</v>
      </c>
      <c r="I486" s="27">
        <f>Ft!F$3*EXP(Ft!F$38*($A486-Ft!F$2)^2)</f>
        <v>1.6303008901023962E-4</v>
      </c>
      <c r="J486" s="27">
        <f>Ft!G$3*EXP(Ft!G$38*($A486-Ft!G$2)^2)</f>
        <v>0</v>
      </c>
    </row>
    <row r="487" spans="1:10">
      <c r="A487" s="20">
        <v>485</v>
      </c>
      <c r="B487" s="29">
        <v>27.22226342683922</v>
      </c>
      <c r="C487" s="28">
        <f ca="1">OFFSET($B487,1*(ROWS(C$2:C487)-1),0)</f>
        <v>0</v>
      </c>
      <c r="D487" s="27">
        <f>Ft!B$3*EXP(Ft!B$38*($A487-Ft!B$2)^2) +Ft!C$3*EXP(Ft!C$38*($A487-Ft!C$2)^2) + Ft!D$3*EXP(Ft!D$38*($A487-Ft!D$2)^2)+Ft!E$3*EXP(Ft!E$38*($A487-Ft!E$2)^2) +Ft!F$3*EXP(Ft!F$38*($A487-Ft!F$2)^2) + Ft!G$3*EXP(Ft!G$38*($A487-Ft!G$2)^2)</f>
        <v>-98799.77716308579</v>
      </c>
      <c r="E487" s="27">
        <f>Ft!B$3*EXP(Ft!B$38*($A487-Ft!B$2)^2)</f>
        <v>-116067.22944413638</v>
      </c>
      <c r="F487" s="27">
        <f>Ft!C$3*EXP(Ft!C$38*($A487-Ft!C$2)^2)</f>
        <v>0</v>
      </c>
      <c r="G487" s="27">
        <f>Ft!D$3*EXP(Ft!D$38*($A487-Ft!D$2)^2)</f>
        <v>17267.452134149968</v>
      </c>
      <c r="H487" s="27">
        <f>Ft!E$3*EXP(Ft!E$38*($A487-Ft!E$2)^2)</f>
        <v>3.1987154928681743E-25</v>
      </c>
      <c r="I487" s="27">
        <f>Ft!F$3*EXP(Ft!F$38*($A487-Ft!F$2)^2)</f>
        <v>1.469006304793151E-4</v>
      </c>
      <c r="J487" s="27">
        <f>Ft!G$3*EXP(Ft!G$38*($A487-Ft!G$2)^2)</f>
        <v>0</v>
      </c>
    </row>
    <row r="488" spans="1:10">
      <c r="A488" s="20">
        <v>486</v>
      </c>
      <c r="B488" s="29">
        <v>27.011308933925108</v>
      </c>
      <c r="C488" s="28">
        <f ca="1">OFFSET($B488,1*(ROWS(C$2:C488)-1),0)</f>
        <v>0</v>
      </c>
      <c r="D488" s="27">
        <f>Ft!B$3*EXP(Ft!B$38*($A488-Ft!B$2)^2) +Ft!C$3*EXP(Ft!C$38*($A488-Ft!C$2)^2) + Ft!D$3*EXP(Ft!D$38*($A488-Ft!D$2)^2)+Ft!E$3*EXP(Ft!E$38*($A488-Ft!E$2)^2) +Ft!F$3*EXP(Ft!F$38*($A488-Ft!F$2)^2) + Ft!G$3*EXP(Ft!G$38*($A488-Ft!G$2)^2)</f>
        <v>-99291.926149807245</v>
      </c>
      <c r="E488" s="27">
        <f>Ft!B$3*EXP(Ft!B$38*($A488-Ft!B$2)^2)</f>
        <v>-116068.37678318615</v>
      </c>
      <c r="F488" s="27">
        <f>Ft!C$3*EXP(Ft!C$38*($A488-Ft!C$2)^2)</f>
        <v>0</v>
      </c>
      <c r="G488" s="27">
        <f>Ft!D$3*EXP(Ft!D$38*($A488-Ft!D$2)^2)</f>
        <v>16776.45050104658</v>
      </c>
      <c r="H488" s="27">
        <f>Ft!E$3*EXP(Ft!E$38*($A488-Ft!E$2)^2)</f>
        <v>2.4065909511969815E-25</v>
      </c>
      <c r="I488" s="27">
        <f>Ft!F$3*EXP(Ft!F$38*($A488-Ft!F$2)^2)</f>
        <v>1.3233232730569902E-4</v>
      </c>
      <c r="J488" s="27">
        <f>Ft!G$3*EXP(Ft!G$38*($A488-Ft!G$2)^2)</f>
        <v>0</v>
      </c>
    </row>
    <row r="489" spans="1:10">
      <c r="A489" s="20">
        <v>487</v>
      </c>
      <c r="B489" s="29">
        <v>26.783011835798305</v>
      </c>
      <c r="C489" s="28">
        <f ca="1">OFFSET($B489,1*(ROWS(C$2:C489)-1),0)</f>
        <v>0</v>
      </c>
      <c r="D489" s="27">
        <f>Ft!B$3*EXP(Ft!B$38*($A489-Ft!B$2)^2) +Ft!C$3*EXP(Ft!C$38*($A489-Ft!C$2)^2) + Ft!D$3*EXP(Ft!D$38*($A489-Ft!D$2)^2)+Ft!E$3*EXP(Ft!E$38*($A489-Ft!E$2)^2) +Ft!F$3*EXP(Ft!F$38*($A489-Ft!F$2)^2) + Ft!G$3*EXP(Ft!G$38*($A489-Ft!G$2)^2)</f>
        <v>-99772.031743049418</v>
      </c>
      <c r="E489" s="27">
        <f>Ft!B$3*EXP(Ft!B$38*($A489-Ft!B$2)^2)</f>
        <v>-116069.52359704941</v>
      </c>
      <c r="F489" s="27">
        <f>Ft!C$3*EXP(Ft!C$38*($A489-Ft!C$2)^2)</f>
        <v>0</v>
      </c>
      <c r="G489" s="27">
        <f>Ft!D$3*EXP(Ft!D$38*($A489-Ft!D$2)^2)</f>
        <v>16297.491734822399</v>
      </c>
      <c r="H489" s="27">
        <f>Ft!E$3*EXP(Ft!E$38*($A489-Ft!E$2)^2)</f>
        <v>1.8095350425998157E-25</v>
      </c>
      <c r="I489" s="27">
        <f>Ft!F$3*EXP(Ft!F$38*($A489-Ft!F$2)^2)</f>
        <v>1.1917760065786633E-4</v>
      </c>
      <c r="J489" s="27">
        <f>Ft!G$3*EXP(Ft!G$38*($A489-Ft!G$2)^2)</f>
        <v>0</v>
      </c>
    </row>
    <row r="490" spans="1:10">
      <c r="A490" s="20">
        <v>488</v>
      </c>
      <c r="B490" s="29">
        <v>26.559207367792681</v>
      </c>
      <c r="C490" s="28">
        <f ca="1">OFFSET($B490,1*(ROWS(C$2:C490)-1),0)</f>
        <v>0</v>
      </c>
      <c r="D490" s="27">
        <f>Ft!B$3*EXP(Ft!B$38*($A490-Ft!B$2)^2) +Ft!C$3*EXP(Ft!C$38*($A490-Ft!C$2)^2) + Ft!D$3*EXP(Ft!D$38*($A490-Ft!D$2)^2)+Ft!E$3*EXP(Ft!E$38*($A490-Ft!E$2)^2) +Ft!F$3*EXP(Ft!F$38*($A490-Ft!F$2)^2) + Ft!G$3*EXP(Ft!G$38*($A490-Ft!G$2)^2)</f>
        <v>-100240.32660147885</v>
      </c>
      <c r="E490" s="27">
        <f>Ft!B$3*EXP(Ft!B$38*($A490-Ft!B$2)^2)</f>
        <v>-116070.66988571039</v>
      </c>
      <c r="F490" s="27">
        <f>Ft!C$3*EXP(Ft!C$38*($A490-Ft!C$2)^2)</f>
        <v>0</v>
      </c>
      <c r="G490" s="27">
        <f>Ft!D$3*EXP(Ft!D$38*($A490-Ft!D$2)^2)</f>
        <v>15830.343176929055</v>
      </c>
      <c r="H490" s="27">
        <f>Ft!E$3*EXP(Ft!E$38*($A490-Ft!E$2)^2)</f>
        <v>1.3597835067849501E-25</v>
      </c>
      <c r="I490" s="27">
        <f>Ft!F$3*EXP(Ft!F$38*($A490-Ft!F$2)^2)</f>
        <v>1.0730247063425097E-4</v>
      </c>
      <c r="J490" s="27">
        <f>Ft!G$3*EXP(Ft!G$38*($A490-Ft!G$2)^2)</f>
        <v>0</v>
      </c>
    </row>
    <row r="491" spans="1:10">
      <c r="A491" s="20">
        <v>489</v>
      </c>
      <c r="B491" s="29">
        <v>26.342338108256939</v>
      </c>
      <c r="C491" s="28">
        <f ca="1">OFFSET($B491,1*(ROWS(C$2:C491)-1),0)</f>
        <v>0</v>
      </c>
      <c r="D491" s="27">
        <f>Ft!B$3*EXP(Ft!B$38*($A491-Ft!B$2)^2) +Ft!C$3*EXP(Ft!C$38*($A491-Ft!C$2)^2) + Ft!D$3*EXP(Ft!D$38*($A491-Ft!D$2)^2)+Ft!E$3*EXP(Ft!E$38*($A491-Ft!E$2)^2) +Ft!F$3*EXP(Ft!F$38*($A491-Ft!F$2)^2) + Ft!G$3*EXP(Ft!G$38*($A491-Ft!G$2)^2)</f>
        <v>-100697.040839364</v>
      </c>
      <c r="E491" s="27">
        <f>Ft!B$3*EXP(Ft!B$38*($A491-Ft!B$2)^2)</f>
        <v>-116071.81564915329</v>
      </c>
      <c r="F491" s="27">
        <f>Ft!C$3*EXP(Ft!C$38*($A491-Ft!C$2)^2)</f>
        <v>0</v>
      </c>
      <c r="G491" s="27">
        <f>Ft!D$3*EXP(Ft!D$38*($A491-Ft!D$2)^2)</f>
        <v>15374.774713203951</v>
      </c>
      <c r="H491" s="27">
        <f>Ft!E$3*EXP(Ft!E$38*($A491-Ft!E$2)^2)</f>
        <v>1.0211994997073883E-25</v>
      </c>
      <c r="I491" s="27">
        <f>Ft!F$3*EXP(Ft!F$38*($A491-Ft!F$2)^2)</f>
        <v>9.6585337621396956E-5</v>
      </c>
      <c r="J491" s="27">
        <f>Ft!G$3*EXP(Ft!G$38*($A491-Ft!G$2)^2)</f>
        <v>0</v>
      </c>
    </row>
    <row r="492" spans="1:10">
      <c r="A492" s="20">
        <v>490</v>
      </c>
      <c r="B492" s="29">
        <v>26.137393392759435</v>
      </c>
      <c r="C492" s="28">
        <f ca="1">OFFSET($B492,1*(ROWS(C$2:C492)-1),0)</f>
        <v>0</v>
      </c>
      <c r="D492" s="27">
        <f>Ft!B$3*EXP(Ft!B$38*($A492-Ft!B$2)^2) +Ft!C$3*EXP(Ft!C$38*($A492-Ft!C$2)^2) + Ft!D$3*EXP(Ft!D$38*($A492-Ft!D$2)^2)+Ft!E$3*EXP(Ft!E$38*($A492-Ft!E$2)^2) +Ft!F$3*EXP(Ft!F$38*($A492-Ft!F$2)^2) + Ft!G$3*EXP(Ft!G$38*($A492-Ft!G$2)^2)</f>
        <v>-101142.40199271015</v>
      </c>
      <c r="E492" s="27">
        <f>Ft!B$3*EXP(Ft!B$38*($A492-Ft!B$2)^2)</f>
        <v>-116072.96088736231</v>
      </c>
      <c r="F492" s="27">
        <f>Ft!C$3*EXP(Ft!C$38*($A492-Ft!C$2)^2)</f>
        <v>0</v>
      </c>
      <c r="G492" s="27">
        <f>Ft!D$3*EXP(Ft!D$38*($A492-Ft!D$2)^2)</f>
        <v>14930.558807736299</v>
      </c>
      <c r="H492" s="27">
        <f>Ft!E$3*EXP(Ft!E$38*($A492-Ft!E$2)^2)</f>
        <v>7.6645995692065076E-26</v>
      </c>
      <c r="I492" s="27">
        <f>Ft!F$3*EXP(Ft!F$38*($A492-Ft!F$2)^2)</f>
        <v>8.6915869555496039E-5</v>
      </c>
      <c r="J492" s="27">
        <f>Ft!G$3*EXP(Ft!G$38*($A492-Ft!G$2)^2)</f>
        <v>0</v>
      </c>
    </row>
    <row r="493" spans="1:10">
      <c r="A493" s="20">
        <v>491</v>
      </c>
      <c r="B493" s="29">
        <v>25.937864119667552</v>
      </c>
      <c r="C493" s="28">
        <f ca="1">OFFSET($B493,1*(ROWS(C$2:C493)-1),0)</f>
        <v>0</v>
      </c>
      <c r="D493" s="27">
        <f>Ft!B$3*EXP(Ft!B$38*($A493-Ft!B$2)^2) +Ft!C$3*EXP(Ft!C$38*($A493-Ft!C$2)^2) + Ft!D$3*EXP(Ft!D$38*($A493-Ft!D$2)^2)+Ft!E$3*EXP(Ft!E$38*($A493-Ft!E$2)^2) +Ft!F$3*EXP(Ft!F$38*($A493-Ft!F$2)^2) + Ft!G$3*EXP(Ft!G$38*($A493-Ft!G$2)^2)</f>
        <v>-101576.63498786281</v>
      </c>
      <c r="E493" s="27">
        <f>Ft!B$3*EXP(Ft!B$38*($A493-Ft!B$2)^2)</f>
        <v>-116074.10560032171</v>
      </c>
      <c r="F493" s="27">
        <f>Ft!C$3*EXP(Ft!C$38*($A493-Ft!C$2)^2)</f>
        <v>0</v>
      </c>
      <c r="G493" s="27">
        <f>Ft!D$3*EXP(Ft!D$38*($A493-Ft!D$2)^2)</f>
        <v>14497.470534264918</v>
      </c>
      <c r="H493" s="27">
        <f>Ft!E$3*EXP(Ft!E$38*($A493-Ft!E$2)^2)</f>
        <v>5.7491865426731377E-26</v>
      </c>
      <c r="I493" s="27">
        <f>Ft!F$3*EXP(Ft!F$38*($A493-Ft!F$2)^2)</f>
        <v>7.8193986193617494E-5</v>
      </c>
      <c r="J493" s="27">
        <f>Ft!G$3*EXP(Ft!G$38*($A493-Ft!G$2)^2)</f>
        <v>0</v>
      </c>
    </row>
    <row r="494" spans="1:10">
      <c r="A494" s="20">
        <v>492</v>
      </c>
      <c r="B494" s="29">
        <v>25.718337759072369</v>
      </c>
      <c r="C494" s="28">
        <f ca="1">OFFSET($B494,1*(ROWS(C$2:C494)-1),0)</f>
        <v>0</v>
      </c>
      <c r="D494" s="27">
        <f>Ft!B$3*EXP(Ft!B$38*($A494-Ft!B$2)^2) +Ft!C$3*EXP(Ft!C$38*($A494-Ft!C$2)^2) + Ft!D$3*EXP(Ft!D$38*($A494-Ft!D$2)^2)+Ft!E$3*EXP(Ft!E$38*($A494-Ft!E$2)^2) +Ft!F$3*EXP(Ft!F$38*($A494-Ft!F$2)^2) + Ft!G$3*EXP(Ft!G$38*($A494-Ft!G$2)^2)</f>
        <v>-101999.96211252986</v>
      </c>
      <c r="E494" s="27">
        <f>Ft!B$3*EXP(Ft!B$38*($A494-Ft!B$2)^2)</f>
        <v>-116075.24978801573</v>
      </c>
      <c r="F494" s="27">
        <f>Ft!C$3*EXP(Ft!C$38*($A494-Ft!C$2)^2)</f>
        <v>0</v>
      </c>
      <c r="G494" s="27">
        <f>Ft!D$3*EXP(Ft!D$38*($A494-Ft!D$2)^2)</f>
        <v>14075.287605156955</v>
      </c>
      <c r="H494" s="27">
        <f>Ft!E$3*EXP(Ft!E$38*($A494-Ft!E$2)^2)</f>
        <v>4.3098423376791671E-26</v>
      </c>
      <c r="I494" s="27">
        <f>Ft!F$3*EXP(Ft!F$38*($A494-Ft!F$2)^2)</f>
        <v>7.0328932219460881E-5</v>
      </c>
      <c r="J494" s="27">
        <f>Ft!G$3*EXP(Ft!G$38*($A494-Ft!G$2)^2)</f>
        <v>0</v>
      </c>
    </row>
    <row r="495" spans="1:10">
      <c r="A495" s="20">
        <v>493</v>
      </c>
      <c r="B495" s="29">
        <v>25.497497043015329</v>
      </c>
      <c r="C495" s="28">
        <f ca="1">OFFSET($B495,1*(ROWS(C$2:C495)-1),0)</f>
        <v>0</v>
      </c>
      <c r="D495" s="27">
        <f>Ft!B$3*EXP(Ft!B$38*($A495-Ft!B$2)^2) +Ft!C$3*EXP(Ft!C$38*($A495-Ft!C$2)^2) + Ft!D$3*EXP(Ft!D$38*($A495-Ft!D$2)^2)+Ft!E$3*EXP(Ft!E$38*($A495-Ft!E$2)^2) +Ft!F$3*EXP(Ft!F$38*($A495-Ft!F$2)^2) + Ft!G$3*EXP(Ft!G$38*($A495-Ft!G$2)^2)</f>
        <v>-102412.60298917288</v>
      </c>
      <c r="E495" s="27">
        <f>Ft!B$3*EXP(Ft!B$38*($A495-Ft!B$2)^2)</f>
        <v>-116076.39345042859</v>
      </c>
      <c r="F495" s="27">
        <f>Ft!C$3*EXP(Ft!C$38*($A495-Ft!C$2)^2)</f>
        <v>0</v>
      </c>
      <c r="G495" s="27">
        <f>Ft!D$3*EXP(Ft!D$38*($A495-Ft!D$2)^2)</f>
        <v>13663.790398017274</v>
      </c>
      <c r="H495" s="27">
        <f>Ft!E$3*EXP(Ft!E$38*($A495-Ft!E$2)^2)</f>
        <v>3.2288986898484325E-26</v>
      </c>
      <c r="I495" s="27">
        <f>Ft!F$3*EXP(Ft!F$38*($A495-Ft!F$2)^2)</f>
        <v>6.3238431671495268E-5</v>
      </c>
      <c r="J495" s="27">
        <f>Ft!G$3*EXP(Ft!G$38*($A495-Ft!G$2)^2)</f>
        <v>0</v>
      </c>
    </row>
    <row r="496" spans="1:10">
      <c r="A496" s="20">
        <v>494</v>
      </c>
      <c r="B496" s="29">
        <v>25.256592003740337</v>
      </c>
      <c r="C496" s="28">
        <f ca="1">OFFSET($B496,1*(ROWS(C$2:C496)-1),0)</f>
        <v>0</v>
      </c>
      <c r="D496" s="27">
        <f>Ft!B$3*EXP(Ft!B$38*($A496-Ft!B$2)^2) +Ft!C$3*EXP(Ft!C$38*($A496-Ft!C$2)^2) + Ft!D$3*EXP(Ft!D$38*($A496-Ft!D$2)^2)+Ft!E$3*EXP(Ft!E$38*($A496-Ft!E$2)^2) +Ft!F$3*EXP(Ft!F$38*($A496-Ft!F$2)^2) + Ft!G$3*EXP(Ft!G$38*($A496-Ft!G$2)^2)</f>
        <v>-102814.77455071798</v>
      </c>
      <c r="E496" s="27">
        <f>Ft!B$3*EXP(Ft!B$38*($A496-Ft!B$2)^2)</f>
        <v>-116077.53658754456</v>
      </c>
      <c r="F496" s="27">
        <f>Ft!C$3*EXP(Ft!C$38*($A496-Ft!C$2)^2)</f>
        <v>0</v>
      </c>
      <c r="G496" s="27">
        <f>Ft!D$3*EXP(Ft!D$38*($A496-Ft!D$2)^2)</f>
        <v>13262.761979978666</v>
      </c>
      <c r="H496" s="27">
        <f>Ft!E$3*EXP(Ft!E$38*($A496-Ft!E$2)^2)</f>
        <v>2.4176059024211936E-26</v>
      </c>
      <c r="I496" s="27">
        <f>Ft!F$3*EXP(Ft!F$38*($A496-Ft!F$2)^2)</f>
        <v>5.6847916792918837E-5</v>
      </c>
      <c r="J496" s="27">
        <f>Ft!G$3*EXP(Ft!G$38*($A496-Ft!G$2)^2)</f>
        <v>0</v>
      </c>
    </row>
    <row r="497" spans="1:10">
      <c r="A497" s="20">
        <v>495</v>
      </c>
      <c r="B497" s="29">
        <v>25.044495565789305</v>
      </c>
      <c r="C497" s="28">
        <f ca="1">OFFSET($B497,1*(ROWS(C$2:C497)-1),0)</f>
        <v>0</v>
      </c>
      <c r="D497" s="27">
        <f>Ft!B$3*EXP(Ft!B$38*($A497-Ft!B$2)^2) +Ft!C$3*EXP(Ft!C$38*($A497-Ft!C$2)^2) + Ft!D$3*EXP(Ft!D$38*($A497-Ft!D$2)^2)+Ft!E$3*EXP(Ft!E$38*($A497-Ft!E$2)^2) +Ft!F$3*EXP(Ft!F$38*($A497-Ft!F$2)^2) + Ft!G$3*EXP(Ft!G$38*($A497-Ft!G$2)^2)</f>
        <v>-103206.69101853448</v>
      </c>
      <c r="E497" s="27">
        <f>Ft!B$3*EXP(Ft!B$38*($A497-Ft!B$2)^2)</f>
        <v>-116078.67919934788</v>
      </c>
      <c r="F497" s="27">
        <f>Ft!C$3*EXP(Ft!C$38*($A497-Ft!C$2)^2)</f>
        <v>0</v>
      </c>
      <c r="G497" s="27">
        <f>Ft!D$3*EXP(Ft!D$38*($A497-Ft!D$2)^2)</f>
        <v>12871.988129723584</v>
      </c>
      <c r="H497" s="27">
        <f>Ft!E$3*EXP(Ft!E$38*($A497-Ft!E$2)^2)</f>
        <v>1.8090669880917008E-26</v>
      </c>
      <c r="I497" s="27">
        <f>Ft!F$3*EXP(Ft!F$38*($A497-Ft!F$2)^2)</f>
        <v>5.1089824966781253E-5</v>
      </c>
      <c r="J497" s="27">
        <f>Ft!G$3*EXP(Ft!G$38*($A497-Ft!G$2)^2)</f>
        <v>0</v>
      </c>
    </row>
    <row r="498" spans="1:10">
      <c r="A498" s="20">
        <v>496</v>
      </c>
      <c r="B498" s="29">
        <v>24.847955631176518</v>
      </c>
      <c r="C498" s="28">
        <f ca="1">OFFSET($B498,1*(ROWS(C$2:C498)-1),0)</f>
        <v>0</v>
      </c>
      <c r="D498" s="27">
        <f>Ft!B$3*EXP(Ft!B$38*($A498-Ft!B$2)^2) +Ft!C$3*EXP(Ft!C$38*($A498-Ft!C$2)^2) + Ft!D$3*EXP(Ft!D$38*($A498-Ft!D$2)^2)+Ft!E$3*EXP(Ft!E$38*($A498-Ft!E$2)^2) +Ft!F$3*EXP(Ft!F$38*($A498-Ft!F$2)^2) + Ft!G$3*EXP(Ft!G$38*($A498-Ft!G$2)^2)</f>
        <v>-103588.56388263161</v>
      </c>
      <c r="E498" s="27">
        <f>Ft!B$3*EXP(Ft!B$38*($A498-Ft!B$2)^2)</f>
        <v>-116079.82128582284</v>
      </c>
      <c r="F498" s="27">
        <f>Ft!C$3*EXP(Ft!C$38*($A498-Ft!C$2)^2)</f>
        <v>0</v>
      </c>
      <c r="G498" s="27">
        <f>Ft!D$3*EXP(Ft!D$38*($A498-Ft!D$2)^2)</f>
        <v>12491.257357288276</v>
      </c>
      <c r="H498" s="27">
        <f>Ft!E$3*EXP(Ft!E$38*($A498-Ft!E$2)^2)</f>
        <v>1.3528879946912691E-26</v>
      </c>
      <c r="I498" s="27">
        <f>Ft!F$3*EXP(Ft!F$38*($A498-Ft!F$2)^2)</f>
        <v>4.590295791938602E-5</v>
      </c>
      <c r="J498" s="27">
        <f>Ft!G$3*EXP(Ft!G$38*($A498-Ft!G$2)^2)</f>
        <v>0</v>
      </c>
    </row>
    <row r="499" spans="1:10">
      <c r="A499" s="20">
        <v>497</v>
      </c>
      <c r="B499" s="29">
        <v>24.658854468236001</v>
      </c>
      <c r="C499" s="28">
        <f ca="1">OFFSET($B499,1*(ROWS(C$2:C499)-1),0)</f>
        <v>0</v>
      </c>
      <c r="D499" s="27">
        <f>Ft!B$3*EXP(Ft!B$38*($A499-Ft!B$2)^2) +Ft!C$3*EXP(Ft!C$38*($A499-Ft!C$2)^2) + Ft!D$3*EXP(Ft!D$38*($A499-Ft!D$2)^2)+Ft!E$3*EXP(Ft!E$38*($A499-Ft!E$2)^2) +Ft!F$3*EXP(Ft!F$38*($A499-Ft!F$2)^2) + Ft!G$3*EXP(Ft!G$38*($A499-Ft!G$2)^2)</f>
        <v>-103960.601884021</v>
      </c>
      <c r="E499" s="27">
        <f>Ft!B$3*EXP(Ft!B$38*($A499-Ft!B$2)^2)</f>
        <v>-116080.96284695368</v>
      </c>
      <c r="F499" s="27">
        <f>Ft!C$3*EXP(Ft!C$38*($A499-Ft!C$2)^2)</f>
        <v>0</v>
      </c>
      <c r="G499" s="27">
        <f>Ft!D$3*EXP(Ft!D$38*($A499-Ft!D$2)^2)</f>
        <v>12120.360921700789</v>
      </c>
      <c r="H499" s="27">
        <f>Ft!E$3*EXP(Ft!E$38*($A499-Ft!E$2)^2)</f>
        <v>1.0111302189921602E-26</v>
      </c>
      <c r="I499" s="27">
        <f>Ft!F$3*EXP(Ft!F$38*($A499-Ft!F$2)^2)</f>
        <v>4.1231897854017634E-5</v>
      </c>
      <c r="J499" s="27">
        <f>Ft!G$3*EXP(Ft!G$38*($A499-Ft!G$2)^2)</f>
        <v>0</v>
      </c>
    </row>
    <row r="500" spans="1:10">
      <c r="A500" s="20">
        <v>498</v>
      </c>
      <c r="B500" s="29">
        <v>24.44826161878197</v>
      </c>
      <c r="C500" s="28">
        <f ca="1">OFFSET($B500,1*(ROWS(C$2:C500)-1),0)</f>
        <v>0</v>
      </c>
      <c r="D500" s="27">
        <f>Ft!B$3*EXP(Ft!B$38*($A500-Ft!B$2)^2) +Ft!C$3*EXP(Ft!C$38*($A500-Ft!C$2)^2) + Ft!D$3*EXP(Ft!D$38*($A500-Ft!D$2)^2)+Ft!E$3*EXP(Ft!E$38*($A500-Ft!E$2)^2) +Ft!F$3*EXP(Ft!F$38*($A500-Ft!F$2)^2) + Ft!G$3*EXP(Ft!G$38*($A500-Ft!G$2)^2)</f>
        <v>-104323.01099919407</v>
      </c>
      <c r="E500" s="27">
        <f>Ft!B$3*EXP(Ft!B$38*($A500-Ft!B$2)^2)</f>
        <v>-116082.10388272474</v>
      </c>
      <c r="F500" s="27">
        <f>Ft!C$3*EXP(Ft!C$38*($A500-Ft!C$2)^2)</f>
        <v>0</v>
      </c>
      <c r="G500" s="27">
        <f>Ft!D$3*EXP(Ft!D$38*($A500-Ft!D$2)^2)</f>
        <v>11759.0928465042</v>
      </c>
      <c r="H500" s="27">
        <f>Ft!E$3*EXP(Ft!E$38*($A500-Ft!E$2)^2)</f>
        <v>7.5524940195413073E-27</v>
      </c>
      <c r="I500" s="27">
        <f>Ft!F$3*EXP(Ft!F$38*($A500-Ft!F$2)^2)</f>
        <v>3.7026475618164998E-5</v>
      </c>
      <c r="J500" s="27">
        <f>Ft!G$3*EXP(Ft!G$38*($A500-Ft!G$2)^2)</f>
        <v>0</v>
      </c>
    </row>
    <row r="501" spans="1:10">
      <c r="A501" s="20">
        <v>499</v>
      </c>
      <c r="B501" s="29">
        <v>24.241459549638705</v>
      </c>
      <c r="C501" s="28">
        <f ca="1">OFFSET($B501,1*(ROWS(C$2:C501)-1),0)</f>
        <v>0</v>
      </c>
      <c r="D501" s="27">
        <f>Ft!B$3*EXP(Ft!B$38*($A501-Ft!B$2)^2) +Ft!C$3*EXP(Ft!C$38*($A501-Ft!C$2)^2) + Ft!D$3*EXP(Ft!D$38*($A501-Ft!D$2)^2)+Ft!E$3*EXP(Ft!E$38*($A501-Ft!E$2)^2) +Ft!F$3*EXP(Ft!F$38*($A501-Ft!F$2)^2) + Ft!G$3*EXP(Ft!G$38*($A501-Ft!G$2)^2)</f>
        <v>-104675.99442666199</v>
      </c>
      <c r="E501" s="27">
        <f>Ft!B$3*EXP(Ft!B$38*($A501-Ft!B$2)^2)</f>
        <v>-116083.24439312024</v>
      </c>
      <c r="F501" s="27">
        <f>Ft!C$3*EXP(Ft!C$38*($A501-Ft!C$2)^2)</f>
        <v>0</v>
      </c>
      <c r="G501" s="27">
        <f>Ft!D$3*EXP(Ft!D$38*($A501-Ft!D$2)^2)</f>
        <v>11407.249933216966</v>
      </c>
      <c r="H501" s="27">
        <f>Ft!E$3*EXP(Ft!E$38*($A501-Ft!E$2)^2)</f>
        <v>5.6378269706994651E-27</v>
      </c>
      <c r="I501" s="27">
        <f>Ft!F$3*EXP(Ft!F$38*($A501-Ft!F$2)^2)</f>
        <v>3.3241286413580748E-5</v>
      </c>
      <c r="J501" s="27">
        <f>Ft!G$3*EXP(Ft!G$38*($A501-Ft!G$2)^2)</f>
        <v>0</v>
      </c>
    </row>
    <row r="502" spans="1:10">
      <c r="A502" s="20">
        <v>500</v>
      </c>
      <c r="B502" s="29">
        <v>24.055348679655111</v>
      </c>
      <c r="C502" s="28">
        <f ca="1">OFFSET($B502,1*(ROWS(C$2:C502)-1),0)</f>
        <v>0</v>
      </c>
      <c r="D502" s="27">
        <f>Ft!B$3*EXP(Ft!B$38*($A502-Ft!B$2)^2) +Ft!C$3*EXP(Ft!C$38*($A502-Ft!C$2)^2) + Ft!D$3*EXP(Ft!D$38*($A502-Ft!D$2)^2)+Ft!E$3*EXP(Ft!E$38*($A502-Ft!E$2)^2) +Ft!F$3*EXP(Ft!F$38*($A502-Ft!F$2)^2) + Ft!G$3*EXP(Ft!G$38*($A502-Ft!G$2)^2)</f>
        <v>-105019.75257550704</v>
      </c>
      <c r="E502" s="27">
        <f>Ft!B$3*EXP(Ft!B$38*($A502-Ft!B$2)^2)</f>
        <v>-116084.38437812449</v>
      </c>
      <c r="F502" s="27">
        <f>Ft!C$3*EXP(Ft!C$38*($A502-Ft!C$2)^2)</f>
        <v>0</v>
      </c>
      <c r="G502" s="27">
        <f>Ft!D$3*EXP(Ft!D$38*($A502-Ft!D$2)^2)</f>
        <v>11064.631772782206</v>
      </c>
      <c r="H502" s="27">
        <f>Ft!E$3*EXP(Ft!E$38*($A502-Ft!E$2)^2)</f>
        <v>4.2060182099060317E-27</v>
      </c>
      <c r="I502" s="27">
        <f>Ft!F$3*EXP(Ft!F$38*($A502-Ft!F$2)^2)</f>
        <v>2.9835248932369741E-5</v>
      </c>
      <c r="J502" s="27">
        <f>Ft!G$3*EXP(Ft!G$38*($A502-Ft!G$2)^2)</f>
        <v>0</v>
      </c>
    </row>
    <row r="503" spans="1:10">
      <c r="A503" s="20">
        <v>501</v>
      </c>
      <c r="B503" s="29">
        <v>23.866724375032248</v>
      </c>
      <c r="C503" s="28">
        <f ca="1">OFFSET($B503,1*(ROWS(C$2:C503)-1),0)</f>
        <v>0</v>
      </c>
      <c r="D503" s="27">
        <f>Ft!B$3*EXP(Ft!B$38*($A503-Ft!B$2)^2) +Ft!C$3*EXP(Ft!C$38*($A503-Ft!C$2)^2) + Ft!D$3*EXP(Ft!D$38*($A503-Ft!D$2)^2)+Ft!E$3*EXP(Ft!E$38*($A503-Ft!E$2)^2) +Ft!F$3*EXP(Ft!F$38*($A503-Ft!F$2)^2) + Ft!G$3*EXP(Ft!G$38*($A503-Ft!G$2)^2)</f>
        <v>-105354.48305589275</v>
      </c>
      <c r="E503" s="27">
        <f>Ft!B$3*EXP(Ft!B$38*($A503-Ft!B$2)^2)</f>
        <v>-116085.52383772182</v>
      </c>
      <c r="F503" s="27">
        <f>Ft!C$3*EXP(Ft!C$38*($A503-Ft!C$2)^2)</f>
        <v>0</v>
      </c>
      <c r="G503" s="27">
        <f>Ft!D$3*EXP(Ft!D$38*($A503-Ft!D$2)^2)</f>
        <v>10731.040755057862</v>
      </c>
      <c r="H503" s="27">
        <f>Ft!E$3*EXP(Ft!E$38*($A503-Ft!E$2)^2)</f>
        <v>3.1359462278473449E-27</v>
      </c>
      <c r="I503" s="27">
        <f>Ft!F$3*EXP(Ft!F$38*($A503-Ft!F$2)^2)</f>
        <v>2.6771204146269423E-5</v>
      </c>
      <c r="J503" s="27">
        <f>Ft!G$3*EXP(Ft!G$38*($A503-Ft!G$2)^2)</f>
        <v>0</v>
      </c>
    </row>
    <row r="504" spans="1:10">
      <c r="A504" s="20">
        <v>502</v>
      </c>
      <c r="B504" s="29">
        <v>23.67706939693764</v>
      </c>
      <c r="C504" s="28">
        <f ca="1">OFFSET($B504,1*(ROWS(C$2:C504)-1),0)</f>
        <v>0</v>
      </c>
      <c r="D504" s="27">
        <f>Ft!B$3*EXP(Ft!B$38*($A504-Ft!B$2)^2) +Ft!C$3*EXP(Ft!C$38*($A504-Ft!C$2)^2) + Ft!D$3*EXP(Ft!D$38*($A504-Ft!D$2)^2)+Ft!E$3*EXP(Ft!E$38*($A504-Ft!E$2)^2) +Ft!F$3*EXP(Ft!F$38*($A504-Ft!F$2)^2) + Ft!G$3*EXP(Ft!G$38*($A504-Ft!G$2)^2)</f>
        <v>-105680.38067148106</v>
      </c>
      <c r="E504" s="27">
        <f>Ft!B$3*EXP(Ft!B$38*($A504-Ft!B$2)^2)</f>
        <v>-116086.66277189653</v>
      </c>
      <c r="F504" s="27">
        <f>Ft!C$3*EXP(Ft!C$38*($A504-Ft!C$2)^2)</f>
        <v>0</v>
      </c>
      <c r="G504" s="27">
        <f>Ft!D$3*EXP(Ft!D$38*($A504-Ft!D$2)^2)</f>
        <v>10406.282076399921</v>
      </c>
      <c r="H504" s="27">
        <f>Ft!E$3*EXP(Ft!E$38*($A504-Ft!E$2)^2)</f>
        <v>2.3367062419519469E-27</v>
      </c>
      <c r="I504" s="27">
        <f>Ft!F$3*EXP(Ft!F$38*($A504-Ft!F$2)^2)</f>
        <v>2.4015550292678582E-5</v>
      </c>
      <c r="J504" s="27">
        <f>Ft!G$3*EXP(Ft!G$38*($A504-Ft!G$2)^2)</f>
        <v>0</v>
      </c>
    </row>
    <row r="505" spans="1:10">
      <c r="A505" s="20">
        <v>503</v>
      </c>
      <c r="B505" s="29">
        <v>23.495709081296127</v>
      </c>
      <c r="C505" s="28">
        <f ca="1">OFFSET($B505,1*(ROWS(C$2:C505)-1),0)</f>
        <v>0</v>
      </c>
      <c r="D505" s="27">
        <f>Ft!B$3*EXP(Ft!B$38*($A505-Ft!B$2)^2) +Ft!C$3*EXP(Ft!C$38*($A505-Ft!C$2)^2) + Ft!D$3*EXP(Ft!D$38*($A505-Ft!D$2)^2)+Ft!E$3*EXP(Ft!E$38*($A505-Ft!E$2)^2) +Ft!F$3*EXP(Ft!F$38*($A505-Ft!F$2)^2) + Ft!G$3*EXP(Ft!G$38*($A505-Ft!G$2)^2)</f>
        <v>-105997.63741370458</v>
      </c>
      <c r="E505" s="27">
        <f>Ft!B$3*EXP(Ft!B$38*($A505-Ft!B$2)^2)</f>
        <v>-116087.8011806329</v>
      </c>
      <c r="F505" s="27">
        <f>Ft!C$3*EXP(Ft!C$38*($A505-Ft!C$2)^2)</f>
        <v>0</v>
      </c>
      <c r="G505" s="27">
        <f>Ft!D$3*EXP(Ft!D$38*($A505-Ft!D$2)^2)</f>
        <v>10090.163745390415</v>
      </c>
      <c r="H505" s="27">
        <f>Ft!E$3*EXP(Ft!E$38*($A505-Ft!E$2)^2)</f>
        <v>1.7401139273658232E-27</v>
      </c>
      <c r="I505" s="27">
        <f>Ft!F$3*EXP(Ft!F$38*($A505-Ft!F$2)^2)</f>
        <v>2.1537910891879415E-5</v>
      </c>
      <c r="J505" s="27">
        <f>Ft!G$3*EXP(Ft!G$38*($A505-Ft!G$2)^2)</f>
        <v>0</v>
      </c>
    </row>
    <row r="506" spans="1:10">
      <c r="A506" s="20">
        <v>504</v>
      </c>
      <c r="B506" s="29">
        <v>23.314125247529432</v>
      </c>
      <c r="C506" s="28">
        <f ca="1">OFFSET($B506,1*(ROWS(C$2:C506)-1),0)</f>
        <v>0</v>
      </c>
      <c r="D506" s="27">
        <f>Ft!B$3*EXP(Ft!B$38*($A506-Ft!B$2)^2) +Ft!C$3*EXP(Ft!C$38*($A506-Ft!C$2)^2) + Ft!D$3*EXP(Ft!D$38*($A506-Ft!D$2)^2)+Ft!E$3*EXP(Ft!E$38*($A506-Ft!E$2)^2) +Ft!F$3*EXP(Ft!F$38*($A506-Ft!F$2)^2) + Ft!G$3*EXP(Ft!G$38*($A506-Ft!G$2)^2)</f>
        <v>-106306.44245784207</v>
      </c>
      <c r="E506" s="27">
        <f>Ft!B$3*EXP(Ft!B$38*($A506-Ft!B$2)^2)</f>
        <v>-116088.93906391531</v>
      </c>
      <c r="F506" s="27">
        <f>Ft!C$3*EXP(Ft!C$38*($A506-Ft!C$2)^2)</f>
        <v>0</v>
      </c>
      <c r="G506" s="27">
        <f>Ft!D$3*EXP(Ft!D$38*($A506-Ft!D$2)^2)</f>
        <v>9782.4965867624105</v>
      </c>
      <c r="H506" s="27">
        <f>Ft!E$3*EXP(Ft!E$38*($A506-Ft!E$2)^2)</f>
        <v>1.2950582420830334E-27</v>
      </c>
      <c r="I506" s="27">
        <f>Ft!F$3*EXP(Ft!F$38*($A506-Ft!F$2)^2)</f>
        <v>1.9310832897280418E-5</v>
      </c>
      <c r="J506" s="27">
        <f>Ft!G$3*EXP(Ft!G$38*($A506-Ft!G$2)^2)</f>
        <v>0</v>
      </c>
    </row>
    <row r="507" spans="1:10">
      <c r="A507" s="20">
        <v>505</v>
      </c>
      <c r="B507" s="29">
        <v>23.128000829466288</v>
      </c>
      <c r="C507" s="28">
        <f ca="1">OFFSET($B507,1*(ROWS(C$2:C507)-1),0)</f>
        <v>0</v>
      </c>
      <c r="D507" s="27">
        <f>Ft!B$3*EXP(Ft!B$38*($A507-Ft!B$2)^2) +Ft!C$3*EXP(Ft!C$38*($A507-Ft!C$2)^2) + Ft!D$3*EXP(Ft!D$38*($A507-Ft!D$2)^2)+Ft!E$3*EXP(Ft!E$38*($A507-Ft!E$2)^2) +Ft!F$3*EXP(Ft!F$38*($A507-Ft!F$2)^2) + Ft!G$3*EXP(Ft!G$38*($A507-Ft!G$2)^2)</f>
        <v>-106606.9821608449</v>
      </c>
      <c r="E507" s="27">
        <f>Ft!B$3*EXP(Ft!B$38*($A507-Ft!B$2)^2)</f>
        <v>-116090.07642172805</v>
      </c>
      <c r="F507" s="27">
        <f>Ft!C$3*EXP(Ft!C$38*($A507-Ft!C$2)^2)</f>
        <v>0</v>
      </c>
      <c r="G507" s="27">
        <f>Ft!D$3*EXP(Ft!D$38*($A507-Ft!D$2)^2)</f>
        <v>9483.0942435736324</v>
      </c>
      <c r="H507" s="27">
        <f>Ft!E$3*EXP(Ft!E$38*($A507-Ft!E$2)^2)</f>
        <v>9.632498947893939E-28</v>
      </c>
      <c r="I507" s="27">
        <f>Ft!F$3*EXP(Ft!F$38*($A507-Ft!F$2)^2)</f>
        <v>1.7309512326165524E-5</v>
      </c>
      <c r="J507" s="27">
        <f>Ft!G$3*EXP(Ft!G$38*($A507-Ft!G$2)^2)</f>
        <v>0</v>
      </c>
    </row>
    <row r="508" spans="1:10">
      <c r="A508" s="20">
        <v>506</v>
      </c>
      <c r="B508" s="29">
        <v>22.938932097123057</v>
      </c>
      <c r="C508" s="28">
        <f ca="1">OFFSET($B508,1*(ROWS(C$2:C508)-1),0)</f>
        <v>0</v>
      </c>
      <c r="D508" s="27">
        <f>Ft!B$3*EXP(Ft!B$38*($A508-Ft!B$2)^2) +Ft!C$3*EXP(Ft!C$38*($A508-Ft!C$2)^2) + Ft!D$3*EXP(Ft!D$38*($A508-Ft!D$2)^2)+Ft!E$3*EXP(Ft!E$38*($A508-Ft!E$2)^2) +Ft!F$3*EXP(Ft!F$38*($A508-Ft!F$2)^2) + Ft!G$3*EXP(Ft!G$38*($A508-Ft!G$2)^2)</f>
        <v>-106899.44006086334</v>
      </c>
      <c r="E508" s="27">
        <f>Ft!B$3*EXP(Ft!B$38*($A508-Ft!B$2)^2)</f>
        <v>-116091.21325405546</v>
      </c>
      <c r="F508" s="27">
        <f>Ft!C$3*EXP(Ft!C$38*($A508-Ft!C$2)^2)</f>
        <v>0</v>
      </c>
      <c r="G508" s="27">
        <f>Ft!D$3*EXP(Ft!D$38*($A508-Ft!D$2)^2)</f>
        <v>9191.7731776805813</v>
      </c>
      <c r="H508" s="27">
        <f>Ft!E$3*EXP(Ft!E$38*($A508-Ft!E$2)^2)</f>
        <v>7.1602253884303736E-28</v>
      </c>
      <c r="I508" s="27">
        <f>Ft!F$3*EXP(Ft!F$38*($A508-Ft!F$2)^2)</f>
        <v>1.5511544944081309E-5</v>
      </c>
      <c r="J508" s="27">
        <f>Ft!G$3*EXP(Ft!G$38*($A508-Ft!G$2)^2)</f>
        <v>0</v>
      </c>
    </row>
    <row r="509" spans="1:10">
      <c r="A509" s="20">
        <v>507</v>
      </c>
      <c r="B509" s="29">
        <v>22.727380727212164</v>
      </c>
      <c r="C509" s="28">
        <f ca="1">OFFSET($B509,1*(ROWS(C$2:C509)-1),0)</f>
        <v>0</v>
      </c>
      <c r="D509" s="27">
        <f>Ft!B$3*EXP(Ft!B$38*($A509-Ft!B$2)^2) +Ft!C$3*EXP(Ft!C$38*($A509-Ft!C$2)^2) + Ft!D$3*EXP(Ft!D$38*($A509-Ft!D$2)^2)+Ft!E$3*EXP(Ft!E$38*($A509-Ft!E$2)^2) +Ft!F$3*EXP(Ft!F$38*($A509-Ft!F$2)^2) + Ft!G$3*EXP(Ft!G$38*($A509-Ft!G$2)^2)</f>
        <v>-107183.99687842077</v>
      </c>
      <c r="E509" s="27">
        <f>Ft!B$3*EXP(Ft!B$38*($A509-Ft!B$2)^2)</f>
        <v>-116092.34956088189</v>
      </c>
      <c r="F509" s="27">
        <f>Ft!C$3*EXP(Ft!C$38*($A509-Ft!C$2)^2)</f>
        <v>0</v>
      </c>
      <c r="G509" s="27">
        <f>Ft!D$3*EXP(Ft!D$38*($A509-Ft!D$2)^2)</f>
        <v>8908.352668564421</v>
      </c>
      <c r="H509" s="27">
        <f>Ft!E$3*EXP(Ft!E$38*($A509-Ft!E$2)^2)</f>
        <v>5.31927531324244E-28</v>
      </c>
      <c r="I509" s="27">
        <f>Ft!F$3*EXP(Ft!F$38*($A509-Ft!F$2)^2)</f>
        <v>1.3896699783164336E-5</v>
      </c>
      <c r="J509" s="27">
        <f>Ft!G$3*EXP(Ft!G$38*($A509-Ft!G$2)^2)</f>
        <v>0</v>
      </c>
    </row>
    <row r="510" spans="1:10">
      <c r="A510" s="20">
        <v>508</v>
      </c>
      <c r="B510" s="29">
        <v>22.534910423374157</v>
      </c>
      <c r="C510" s="28">
        <f ca="1">OFFSET($B510,1*(ROWS(C$2:C510)-1),0)</f>
        <v>0</v>
      </c>
      <c r="D510" s="27">
        <f>Ft!B$3*EXP(Ft!B$38*($A510-Ft!B$2)^2) +Ft!C$3*EXP(Ft!C$38*($A510-Ft!C$2)^2) + Ft!D$3*EXP(Ft!D$38*($A510-Ft!D$2)^2)+Ft!E$3*EXP(Ft!E$38*($A510-Ft!E$2)^2) +Ft!F$3*EXP(Ft!F$38*($A510-Ft!F$2)^2) + Ft!G$3*EXP(Ft!G$38*($A510-Ft!G$2)^2)</f>
        <v>-107460.83051918485</v>
      </c>
      <c r="E510" s="27">
        <f>Ft!B$3*EXP(Ft!B$38*($A510-Ft!B$2)^2)</f>
        <v>-116093.48534219168</v>
      </c>
      <c r="F510" s="27">
        <f>Ft!C$3*EXP(Ft!C$38*($A510-Ft!C$2)^2)</f>
        <v>0</v>
      </c>
      <c r="G510" s="27">
        <f>Ft!D$3*EXP(Ft!D$38*($A510-Ft!D$2)^2)</f>
        <v>8632.6548105601141</v>
      </c>
      <c r="H510" s="27">
        <f>Ft!E$3*EXP(Ft!E$38*($A510-Ft!E$2)^2)</f>
        <v>3.9492651935072568E-28</v>
      </c>
      <c r="I510" s="27">
        <f>Ft!F$3*EXP(Ft!F$38*($A510-Ft!F$2)^2)</f>
        <v>1.2446713464868591E-5</v>
      </c>
      <c r="J510" s="27">
        <f>Ft!G$3*EXP(Ft!G$38*($A510-Ft!G$2)^2)</f>
        <v>0</v>
      </c>
    </row>
    <row r="511" spans="1:10">
      <c r="A511" s="20">
        <v>509</v>
      </c>
      <c r="B511" s="29">
        <v>22.350434129686079</v>
      </c>
      <c r="C511" s="28">
        <f ca="1">OFFSET($B511,1*(ROWS(C$2:C511)-1),0)</f>
        <v>0</v>
      </c>
      <c r="D511" s="27">
        <f>Ft!B$3*EXP(Ft!B$38*($A511-Ft!B$2)^2) +Ft!C$3*EXP(Ft!C$38*($A511-Ft!C$2)^2) + Ft!D$3*EXP(Ft!D$38*($A511-Ft!D$2)^2)+Ft!E$3*EXP(Ft!E$38*($A511-Ft!E$2)^2) +Ft!F$3*EXP(Ft!F$38*($A511-Ft!F$2)^2) + Ft!G$3*EXP(Ft!G$38*($A511-Ft!G$2)^2)</f>
        <v>-107730.11607828451</v>
      </c>
      <c r="E511" s="27">
        <f>Ft!B$3*EXP(Ft!B$38*($A511-Ft!B$2)^2)</f>
        <v>-116094.62059796922</v>
      </c>
      <c r="F511" s="27">
        <f>Ft!C$3*EXP(Ft!C$38*($A511-Ft!C$2)^2)</f>
        <v>0</v>
      </c>
      <c r="G511" s="27">
        <f>Ft!D$3*EXP(Ft!D$38*($A511-Ft!D$2)^2)</f>
        <v>8364.5045085395941</v>
      </c>
      <c r="H511" s="27">
        <f>Ft!E$3*EXP(Ft!E$38*($A511-Ft!E$2)^2)</f>
        <v>2.9303411185702339E-28</v>
      </c>
      <c r="I511" s="27">
        <f>Ft!F$3*EXP(Ft!F$38*($A511-Ft!F$2)^2)</f>
        <v>1.1145103472025667E-5</v>
      </c>
      <c r="J511" s="27">
        <f>Ft!G$3*EXP(Ft!G$38*($A511-Ft!G$2)^2)</f>
        <v>0</v>
      </c>
    </row>
    <row r="512" spans="1:10">
      <c r="A512" s="20">
        <v>510</v>
      </c>
      <c r="B512" s="29">
        <v>22.153934795339836</v>
      </c>
      <c r="C512" s="28">
        <f ca="1">OFFSET($B512,1*(ROWS(C$2:C512)-1),0)</f>
        <v>0</v>
      </c>
      <c r="D512" s="27">
        <f>Ft!B$3*EXP(Ft!B$38*($A512-Ft!B$2)^2) +Ft!C$3*EXP(Ft!C$38*($A512-Ft!C$2)^2) + Ft!D$3*EXP(Ft!D$38*($A512-Ft!D$2)^2)+Ft!E$3*EXP(Ft!E$38*($A512-Ft!E$2)^2) +Ft!F$3*EXP(Ft!F$38*($A512-Ft!F$2)^2) + Ft!G$3*EXP(Ft!G$38*($A512-Ft!G$2)^2)</f>
        <v>-107992.02584612201</v>
      </c>
      <c r="E512" s="27">
        <f>Ft!B$3*EXP(Ft!B$38*($A512-Ft!B$2)^2)</f>
        <v>-116095.75532819884</v>
      </c>
      <c r="F512" s="27">
        <f>Ft!C$3*EXP(Ft!C$38*($A512-Ft!C$2)^2)</f>
        <v>0</v>
      </c>
      <c r="G512" s="27">
        <f>Ft!D$3*EXP(Ft!D$38*($A512-Ft!D$2)^2)</f>
        <v>8103.7294720998298</v>
      </c>
      <c r="H512" s="27">
        <f>Ft!E$3*EXP(Ft!E$38*($A512-Ft!E$2)^2)</f>
        <v>2.1729919304925036E-28</v>
      </c>
      <c r="I512" s="27">
        <f>Ft!F$3*EXP(Ft!F$38*($A512-Ft!F$2)^2)</f>
        <v>9.9769986751978998E-6</v>
      </c>
      <c r="J512" s="27">
        <f>Ft!G$3*EXP(Ft!G$38*($A512-Ft!G$2)^2)</f>
        <v>0</v>
      </c>
    </row>
    <row r="513" spans="1:10">
      <c r="A513" s="20">
        <v>511</v>
      </c>
      <c r="B513" s="29">
        <v>21.955634800836208</v>
      </c>
      <c r="C513" s="28">
        <f ca="1">OFFSET($B513,1*(ROWS(C$2:C513)-1),0)</f>
        <v>0</v>
      </c>
      <c r="D513" s="27">
        <f>Ft!B$3*EXP(Ft!B$38*($A513-Ft!B$2)^2) +Ft!C$3*EXP(Ft!C$38*($A513-Ft!C$2)^2) + Ft!D$3*EXP(Ft!D$38*($A513-Ft!D$2)^2)+Ft!E$3*EXP(Ft!E$38*($A513-Ft!E$2)^2) +Ft!F$3*EXP(Ft!F$38*($A513-Ft!F$2)^2) + Ft!G$3*EXP(Ft!G$38*($A513-Ft!G$2)^2)</f>
        <v>-108246.7293156301</v>
      </c>
      <c r="E513" s="27">
        <f>Ft!B$3*EXP(Ft!B$38*($A513-Ft!B$2)^2)</f>
        <v>-116096.88953286495</v>
      </c>
      <c r="F513" s="27">
        <f>Ft!C$3*EXP(Ft!C$38*($A513-Ft!C$2)^2)</f>
        <v>0</v>
      </c>
      <c r="G513" s="27">
        <f>Ft!D$3*EXP(Ft!D$38*($A513-Ft!D$2)^2)</f>
        <v>7850.160208305866</v>
      </c>
      <c r="H513" s="27">
        <f>Ft!E$3*EXP(Ft!E$38*($A513-Ft!E$2)^2)</f>
        <v>1.6104086729763314E-28</v>
      </c>
      <c r="I513" s="27">
        <f>Ft!F$3*EXP(Ft!F$38*($A513-Ft!F$2)^2)</f>
        <v>8.9289855650145093E-6</v>
      </c>
      <c r="J513" s="27">
        <f>Ft!G$3*EXP(Ft!G$38*($A513-Ft!G$2)^2)</f>
        <v>0</v>
      </c>
    </row>
    <row r="514" spans="1:10">
      <c r="A514" s="20">
        <v>512</v>
      </c>
      <c r="B514" s="29">
        <v>21.781066004622971</v>
      </c>
      <c r="C514" s="28">
        <f ca="1">OFFSET($B514,1*(ROWS(C$2:C514)-1),0)</f>
        <v>0</v>
      </c>
      <c r="D514" s="27">
        <f>Ft!B$3*EXP(Ft!B$38*($A514-Ft!B$2)^2) +Ft!C$3*EXP(Ft!C$38*($A514-Ft!C$2)^2) + Ft!D$3*EXP(Ft!D$38*($A514-Ft!D$2)^2)+Ft!E$3*EXP(Ft!E$38*($A514-Ft!E$2)^2) +Ft!F$3*EXP(Ft!F$38*($A514-Ft!F$2)^2) + Ft!G$3*EXP(Ft!G$38*($A514-Ft!G$2)^2)</f>
        <v>-108494.39319092392</v>
      </c>
      <c r="E514" s="27">
        <f>Ft!B$3*EXP(Ft!B$38*($A514-Ft!B$2)^2)</f>
        <v>-116098.02321195188</v>
      </c>
      <c r="F514" s="27">
        <f>Ft!C$3*EXP(Ft!C$38*($A514-Ft!C$2)^2)</f>
        <v>0</v>
      </c>
      <c r="G514" s="27">
        <f>Ft!D$3*EXP(Ft!D$38*($A514-Ft!D$2)^2)</f>
        <v>7603.63001303899</v>
      </c>
      <c r="H514" s="27">
        <f>Ft!E$3*EXP(Ft!E$38*($A514-Ft!E$2)^2)</f>
        <v>1.1927574584725918E-28</v>
      </c>
      <c r="I514" s="27">
        <f>Ft!F$3*EXP(Ft!F$38*($A514-Ft!F$2)^2)</f>
        <v>7.9889687766698458E-6</v>
      </c>
      <c r="J514" s="27">
        <f>Ft!G$3*EXP(Ft!G$38*($A514-Ft!G$2)^2)</f>
        <v>0</v>
      </c>
    </row>
    <row r="515" spans="1:10">
      <c r="A515" s="20">
        <v>513</v>
      </c>
      <c r="B515" s="29">
        <v>21.587180426556785</v>
      </c>
      <c r="C515" s="28">
        <f ca="1">OFFSET($B515,1*(ROWS(C$2:C515)-1),0)</f>
        <v>0</v>
      </c>
      <c r="D515" s="27">
        <f>Ft!B$3*EXP(Ft!B$38*($A515-Ft!B$2)^2) +Ft!C$3*EXP(Ft!C$38*($A515-Ft!C$2)^2) + Ft!D$3*EXP(Ft!D$38*($A515-Ft!D$2)^2)+Ft!E$3*EXP(Ft!E$38*($A515-Ft!E$2)^2) +Ft!F$3*EXP(Ft!F$38*($A515-Ft!F$2)^2) + Ft!G$3*EXP(Ft!G$38*($A515-Ft!G$2)^2)</f>
        <v>-108735.18139729864</v>
      </c>
      <c r="E515" s="27">
        <f>Ft!B$3*EXP(Ft!B$38*($A515-Ft!B$2)^2)</f>
        <v>-116099.15636544407</v>
      </c>
      <c r="F515" s="27">
        <f>Ft!C$3*EXP(Ft!C$38*($A515-Ft!C$2)^2)</f>
        <v>0</v>
      </c>
      <c r="G515" s="27">
        <f>Ft!D$3*EXP(Ft!D$38*($A515-Ft!D$2)^2)</f>
        <v>7363.974960999386</v>
      </c>
      <c r="H515" s="27">
        <f>Ft!E$3*EXP(Ft!E$38*($A515-Ft!E$2)^2)</f>
        <v>8.8288926021768634E-29</v>
      </c>
      <c r="I515" s="27">
        <f>Ft!F$3*EXP(Ft!F$38*($A515-Ft!F$2)^2)</f>
        <v>7.1460446159889826E-6</v>
      </c>
      <c r="J515" s="27">
        <f>Ft!G$3*EXP(Ft!G$38*($A515-Ft!G$2)^2)</f>
        <v>0</v>
      </c>
    </row>
    <row r="516" spans="1:10">
      <c r="A516" s="20">
        <v>514</v>
      </c>
      <c r="B516" s="29">
        <v>21.404072852153035</v>
      </c>
      <c r="C516" s="28">
        <f ca="1">OFFSET($B516,1*(ROWS(C$2:C516)-1),0)</f>
        <v>0</v>
      </c>
      <c r="D516" s="27">
        <f>Ft!B$3*EXP(Ft!B$38*($A516-Ft!B$2)^2) +Ft!C$3*EXP(Ft!C$38*($A516-Ft!C$2)^2) + Ft!D$3*EXP(Ft!D$38*($A516-Ft!D$2)^2)+Ft!E$3*EXP(Ft!E$38*($A516-Ft!E$2)^2) +Ft!F$3*EXP(Ft!F$38*($A516-Ft!F$2)^2) + Ft!G$3*EXP(Ft!G$38*($A516-Ft!G$2)^2)</f>
        <v>-108969.25509252315</v>
      </c>
      <c r="E516" s="27">
        <f>Ft!B$3*EXP(Ft!B$38*($A516-Ft!B$2)^2)</f>
        <v>-116100.28899332587</v>
      </c>
      <c r="F516" s="27">
        <f>Ft!C$3*EXP(Ft!C$38*($A516-Ft!C$2)^2)</f>
        <v>0</v>
      </c>
      <c r="G516" s="27">
        <f>Ft!D$3*EXP(Ft!D$38*($A516-Ft!D$2)^2)</f>
        <v>7131.0338944123423</v>
      </c>
      <c r="H516" s="27">
        <f>Ft!E$3*EXP(Ft!E$38*($A516-Ft!E$2)^2)</f>
        <v>6.5312811605222115E-29</v>
      </c>
      <c r="I516" s="27">
        <f>Ft!F$3*EXP(Ft!F$38*($A516-Ft!F$2)^2)</f>
        <v>6.3903864093366337E-6</v>
      </c>
      <c r="J516" s="27">
        <f>Ft!G$3*EXP(Ft!G$38*($A516-Ft!G$2)^2)</f>
        <v>0</v>
      </c>
    </row>
    <row r="517" spans="1:10">
      <c r="A517" s="20">
        <v>515</v>
      </c>
      <c r="B517" s="29">
        <v>21.213368624845543</v>
      </c>
      <c r="C517" s="28">
        <f ca="1">OFFSET($B517,1*(ROWS(C$2:C517)-1),0)</f>
        <v>0</v>
      </c>
      <c r="D517" s="27">
        <f>Ft!B$3*EXP(Ft!B$38*($A517-Ft!B$2)^2) +Ft!C$3*EXP(Ft!C$38*($A517-Ft!C$2)^2) + Ft!D$3*EXP(Ft!D$38*($A517-Ft!D$2)^2)+Ft!E$3*EXP(Ft!E$38*($A517-Ft!E$2)^2) +Ft!F$3*EXP(Ft!F$38*($A517-Ft!F$2)^2) + Ft!G$3*EXP(Ft!G$38*($A517-Ft!G$2)^2)</f>
        <v>-109196.77267938189</v>
      </c>
      <c r="E517" s="27">
        <f>Ft!B$3*EXP(Ft!B$38*($A517-Ft!B$2)^2)</f>
        <v>-116101.4210955817</v>
      </c>
      <c r="F517" s="27">
        <f>Ft!C$3*EXP(Ft!C$38*($A517-Ft!C$2)^2)</f>
        <v>0</v>
      </c>
      <c r="G517" s="27">
        <f>Ft!D$3*EXP(Ft!D$38*($A517-Ft!D$2)^2)</f>
        <v>6904.6484104866713</v>
      </c>
      <c r="H517" s="27">
        <f>Ft!E$3*EXP(Ft!E$38*($A517-Ft!E$2)^2)</f>
        <v>4.8286817030772761E-29</v>
      </c>
      <c r="I517" s="27">
        <f>Ft!F$3*EXP(Ft!F$38*($A517-Ft!F$2)^2)</f>
        <v>5.7131406029916029E-6</v>
      </c>
      <c r="J517" s="27">
        <f>Ft!G$3*EXP(Ft!G$38*($A517-Ft!G$2)^2)</f>
        <v>0</v>
      </c>
    </row>
    <row r="518" spans="1:10">
      <c r="A518" s="20">
        <v>516</v>
      </c>
      <c r="B518" s="29">
        <v>21.013562463341771</v>
      </c>
      <c r="C518" s="28">
        <f ca="1">OFFSET($B518,1*(ROWS(C$2:C518)-1),0)</f>
        <v>0</v>
      </c>
      <c r="D518" s="27">
        <f>Ft!B$3*EXP(Ft!B$38*($A518-Ft!B$2)^2) +Ft!C$3*EXP(Ft!C$38*($A518-Ft!C$2)^2) + Ft!D$3*EXP(Ft!D$38*($A518-Ft!D$2)^2)+Ft!E$3*EXP(Ft!E$38*($A518-Ft!E$2)^2) +Ft!F$3*EXP(Ft!F$38*($A518-Ft!F$2)^2) + Ft!G$3*EXP(Ft!G$38*($A518-Ft!G$2)^2)</f>
        <v>-109417.88981941641</v>
      </c>
      <c r="E518" s="27">
        <f>Ft!B$3*EXP(Ft!B$38*($A518-Ft!B$2)^2)</f>
        <v>-116102.55267219598</v>
      </c>
      <c r="F518" s="27">
        <f>Ft!C$3*EXP(Ft!C$38*($A518-Ft!C$2)^2)</f>
        <v>0</v>
      </c>
      <c r="G518" s="27">
        <f>Ft!D$3*EXP(Ft!D$38*($A518-Ft!D$2)^2)</f>
        <v>6684.662847673224</v>
      </c>
      <c r="H518" s="27">
        <f>Ft!E$3*EXP(Ft!E$38*($A518-Ft!E$2)^2)</f>
        <v>3.5677698419977149E-29</v>
      </c>
      <c r="I518" s="27">
        <f>Ft!F$3*EXP(Ft!F$38*($A518-Ft!F$2)^2)</f>
        <v>5.1063326322059335E-6</v>
      </c>
      <c r="J518" s="27">
        <f>Ft!G$3*EXP(Ft!G$38*($A518-Ft!G$2)^2)</f>
        <v>0</v>
      </c>
    </row>
    <row r="519" spans="1:10">
      <c r="A519" s="20">
        <v>517</v>
      </c>
      <c r="B519" s="29">
        <v>20.815758547748771</v>
      </c>
      <c r="C519" s="28">
        <f ca="1">OFFSET($B519,1*(ROWS(C$2:C519)-1),0)</f>
        <v>0</v>
      </c>
      <c r="D519" s="27">
        <f>Ft!B$3*EXP(Ft!B$38*($A519-Ft!B$2)^2) +Ft!C$3*EXP(Ft!C$38*($A519-Ft!C$2)^2) + Ft!D$3*EXP(Ft!D$38*($A519-Ft!D$2)^2)+Ft!E$3*EXP(Ft!E$38*($A519-Ft!E$2)^2) +Ft!F$3*EXP(Ft!F$38*($A519-Ft!F$2)^2) + Ft!G$3*EXP(Ft!G$38*($A519-Ft!G$2)^2)</f>
        <v>-109632.75944781919</v>
      </c>
      <c r="E519" s="27">
        <f>Ft!B$3*EXP(Ft!B$38*($A519-Ft!B$2)^2)</f>
        <v>-116103.68372315311</v>
      </c>
      <c r="F519" s="27">
        <f>Ft!C$3*EXP(Ft!C$38*($A519-Ft!C$2)^2)</f>
        <v>0</v>
      </c>
      <c r="G519" s="27">
        <f>Ft!D$3*EXP(Ft!D$38*($A519-Ft!D$2)^2)</f>
        <v>6470.9242707711319</v>
      </c>
      <c r="H519" s="27">
        <f>Ft!E$3*EXP(Ft!E$38*($A519-Ft!E$2)^2)</f>
        <v>2.6345299165572354E-29</v>
      </c>
      <c r="I519" s="27">
        <f>Ft!F$3*EXP(Ft!F$38*($A519-Ft!F$2)^2)</f>
        <v>4.5627816667234305E-6</v>
      </c>
      <c r="J519" s="27">
        <f>Ft!G$3*EXP(Ft!G$38*($A519-Ft!G$2)^2)</f>
        <v>0</v>
      </c>
    </row>
    <row r="520" spans="1:10">
      <c r="A520" s="20">
        <v>518</v>
      </c>
      <c r="B520" s="29">
        <v>20.641151346705755</v>
      </c>
      <c r="C520" s="28">
        <f ca="1">OFFSET($B520,1*(ROWS(C$2:C520)-1),0)</f>
        <v>0</v>
      </c>
      <c r="D520" s="27">
        <f>Ft!B$3*EXP(Ft!B$38*($A520-Ft!B$2)^2) +Ft!C$3*EXP(Ft!C$38*($A520-Ft!C$2)^2) + Ft!D$3*EXP(Ft!D$38*($A520-Ft!D$2)^2)+Ft!E$3*EXP(Ft!E$38*($A520-Ft!E$2)^2) +Ft!F$3*EXP(Ft!F$38*($A520-Ft!F$2)^2) + Ft!G$3*EXP(Ft!G$38*($A520-Ft!G$2)^2)</f>
        <v>-109841.53178943279</v>
      </c>
      <c r="E520" s="27">
        <f>Ft!B$3*EXP(Ft!B$38*($A520-Ft!B$2)^2)</f>
        <v>-116104.81424843751</v>
      </c>
      <c r="F520" s="27">
        <f>Ft!C$3*EXP(Ft!C$38*($A520-Ft!C$2)^2)</f>
        <v>0</v>
      </c>
      <c r="G520" s="27">
        <f>Ft!D$3*EXP(Ft!D$38*($A520-Ft!D$2)^2)</f>
        <v>6263.2824549287088</v>
      </c>
      <c r="H520" s="27">
        <f>Ft!E$3*EXP(Ft!E$38*($A520-Ft!E$2)^2)</f>
        <v>1.9442293365286438E-29</v>
      </c>
      <c r="I520" s="27">
        <f>Ft!F$3*EXP(Ft!F$38*($A520-Ft!F$2)^2)</f>
        <v>4.0760234187050834E-6</v>
      </c>
      <c r="J520" s="27">
        <f>Ft!G$3*EXP(Ft!G$38*($A520-Ft!G$2)^2)</f>
        <v>0</v>
      </c>
    </row>
    <row r="521" spans="1:10">
      <c r="A521" s="20">
        <v>519</v>
      </c>
      <c r="B521" s="29">
        <v>20.466362429682363</v>
      </c>
      <c r="C521" s="28">
        <f ca="1">OFFSET($B521,1*(ROWS(C$2:C521)-1),0)</f>
        <v>0</v>
      </c>
      <c r="D521" s="27">
        <f>Ft!B$3*EXP(Ft!B$38*($A521-Ft!B$2)^2) +Ft!C$3*EXP(Ft!C$38*($A521-Ft!C$2)^2) + Ft!D$3*EXP(Ft!D$38*($A521-Ft!D$2)^2)+Ft!E$3*EXP(Ft!E$38*($A521-Ft!E$2)^2) +Ft!F$3*EXP(Ft!F$38*($A521-Ft!F$2)^2) + Ft!G$3*EXP(Ft!G$38*($A521-Ft!G$2)^2)</f>
        <v>-110044.35437580817</v>
      </c>
      <c r="E521" s="27">
        <f>Ft!B$3*EXP(Ft!B$38*($A521-Ft!B$2)^2)</f>
        <v>-116105.94424803361</v>
      </c>
      <c r="F521" s="27">
        <f>Ft!C$3*EXP(Ft!C$38*($A521-Ft!C$2)^2)</f>
        <v>0</v>
      </c>
      <c r="G521" s="27">
        <f>Ft!D$3*EXP(Ft!D$38*($A521-Ft!D$2)^2)</f>
        <v>6061.5898685852117</v>
      </c>
      <c r="H521" s="27">
        <f>Ft!E$3*EXP(Ft!E$38*($A521-Ft!E$2)^2)</f>
        <v>1.433936442313574E-29</v>
      </c>
      <c r="I521" s="27">
        <f>Ft!F$3*EXP(Ft!F$38*($A521-Ft!F$2)^2)</f>
        <v>3.6402402714037086E-6</v>
      </c>
      <c r="J521" s="27">
        <f>Ft!G$3*EXP(Ft!G$38*($A521-Ft!G$2)^2)</f>
        <v>0</v>
      </c>
    </row>
    <row r="522" spans="1:10">
      <c r="A522" s="20">
        <v>520</v>
      </c>
      <c r="B522" s="29">
        <v>20.279577940908041</v>
      </c>
      <c r="C522" s="28">
        <f ca="1">OFFSET($B522,1*(ROWS(C$2:C522)-1),0)</f>
        <v>0</v>
      </c>
      <c r="D522" s="27">
        <f>Ft!B$3*EXP(Ft!B$38*($A522-Ft!B$2)^2) +Ft!C$3*EXP(Ft!C$38*($A522-Ft!C$2)^2) + Ft!D$3*EXP(Ft!D$38*($A522-Ft!D$2)^2)+Ft!E$3*EXP(Ft!E$38*($A522-Ft!E$2)^2) +Ft!F$3*EXP(Ft!F$38*($A522-Ft!F$2)^2) + Ft!G$3*EXP(Ft!G$38*($A522-Ft!G$2)^2)</f>
        <v>-110241.37206327631</v>
      </c>
      <c r="E522" s="27">
        <f>Ft!B$3*EXP(Ft!B$38*($A522-Ft!B$2)^2)</f>
        <v>-116107.07372192587</v>
      </c>
      <c r="F522" s="27">
        <f>Ft!C$3*EXP(Ft!C$38*($A522-Ft!C$2)^2)</f>
        <v>0</v>
      </c>
      <c r="G522" s="27">
        <f>Ft!D$3*EXP(Ft!D$38*($A522-Ft!D$2)^2)</f>
        <v>5865.7016553993553</v>
      </c>
      <c r="H522" s="27">
        <f>Ft!E$3*EXP(Ft!E$38*($A522-Ft!E$2)^2)</f>
        <v>1.0569400755904357E-29</v>
      </c>
      <c r="I522" s="27">
        <f>Ft!F$3*EXP(Ft!F$38*($A522-Ft!F$2)^2)</f>
        <v>3.2501980531037673E-6</v>
      </c>
      <c r="J522" s="27">
        <f>Ft!G$3*EXP(Ft!G$38*($A522-Ft!G$2)^2)</f>
        <v>0</v>
      </c>
    </row>
    <row r="523" spans="1:10">
      <c r="A523" s="20">
        <v>521</v>
      </c>
      <c r="B523" s="29">
        <v>20.087938151546609</v>
      </c>
      <c r="C523" s="28">
        <f ca="1">OFFSET($B523,1*(ROWS(C$2:C523)-1),0)</f>
        <v>0</v>
      </c>
      <c r="D523" s="27">
        <f>Ft!B$3*EXP(Ft!B$38*($A523-Ft!B$2)^2) +Ft!C$3*EXP(Ft!C$38*($A523-Ft!C$2)^2) + Ft!D$3*EXP(Ft!D$38*($A523-Ft!D$2)^2)+Ft!E$3*EXP(Ft!E$38*($A523-Ft!E$2)^2) +Ft!F$3*EXP(Ft!F$38*($A523-Ft!F$2)^2) + Ft!G$3*EXP(Ft!G$38*($A523-Ft!G$2)^2)</f>
        <v>-110432.72705198803</v>
      </c>
      <c r="E523" s="27">
        <f>Ft!B$3*EXP(Ft!B$38*($A523-Ft!B$2)^2)</f>
        <v>-116108.20267009872</v>
      </c>
      <c r="F523" s="27">
        <f>Ft!C$3*EXP(Ft!C$38*($A523-Ft!C$2)^2)</f>
        <v>0</v>
      </c>
      <c r="G523" s="27">
        <f>Ft!D$3*EXP(Ft!D$38*($A523-Ft!D$2)^2)</f>
        <v>5675.4756152095133</v>
      </c>
      <c r="H523" s="27">
        <f>Ft!E$3*EXP(Ft!E$38*($A523-Ft!E$2)^2)</f>
        <v>7.7859010696837856E-30</v>
      </c>
      <c r="I523" s="27">
        <f>Ft!F$3*EXP(Ft!F$38*($A523-Ft!F$2)^2)</f>
        <v>2.9011888413101948E-6</v>
      </c>
      <c r="J523" s="27">
        <f>Ft!G$3*EXP(Ft!G$38*($A523-Ft!G$2)^2)</f>
        <v>0</v>
      </c>
    </row>
    <row r="524" spans="1:10">
      <c r="A524" s="20">
        <v>522</v>
      </c>
      <c r="B524" s="29">
        <v>19.875594201563047</v>
      </c>
      <c r="C524" s="28">
        <f ca="1">OFFSET($B524,1*(ROWS(C$2:C524)-1),0)</f>
        <v>0</v>
      </c>
      <c r="D524" s="27">
        <f>Ft!B$3*EXP(Ft!B$38*($A524-Ft!B$2)^2) +Ft!C$3*EXP(Ft!C$38*($A524-Ft!C$2)^2) + Ft!D$3*EXP(Ft!D$38*($A524-Ft!D$2)^2)+Ft!E$3*EXP(Ft!E$38*($A524-Ft!E$2)^2) +Ft!F$3*EXP(Ft!F$38*($A524-Ft!F$2)^2) + Ft!G$3*EXP(Ft!G$38*($A524-Ft!G$2)^2)</f>
        <v>-110618.55890587752</v>
      </c>
      <c r="E524" s="27">
        <f>Ft!B$3*EXP(Ft!B$38*($A524-Ft!B$2)^2)</f>
        <v>-116109.33109253661</v>
      </c>
      <c r="F524" s="27">
        <f>Ft!C$3*EXP(Ft!C$38*($A524-Ft!C$2)^2)</f>
        <v>0</v>
      </c>
      <c r="G524" s="27">
        <f>Ft!D$3*EXP(Ft!D$38*($A524-Ft!D$2)^2)</f>
        <v>5490.7721840701061</v>
      </c>
      <c r="H524" s="27">
        <f>Ft!E$3*EXP(Ft!E$38*($A524-Ft!E$2)^2)</f>
        <v>5.7319903413858306E-30</v>
      </c>
      <c r="I524" s="27">
        <f>Ft!F$3*EXP(Ft!F$38*($A524-Ft!F$2)^2)</f>
        <v>2.5889792374045587E-6</v>
      </c>
      <c r="J524" s="27">
        <f>Ft!G$3*EXP(Ft!G$38*($A524-Ft!G$2)^2)</f>
        <v>0</v>
      </c>
    </row>
    <row r="525" spans="1:10">
      <c r="A525" s="20">
        <v>523</v>
      </c>
      <c r="B525" s="29">
        <v>19.656844071669298</v>
      </c>
      <c r="C525" s="28">
        <f ca="1">OFFSET($B525,1*(ROWS(C$2:C525)-1),0)</f>
        <v>0</v>
      </c>
      <c r="D525" s="27">
        <f>Ft!B$3*EXP(Ft!B$38*($A525-Ft!B$2)^2) +Ft!C$3*EXP(Ft!C$38*($A525-Ft!C$2)^2) + Ft!D$3*EXP(Ft!D$38*($A525-Ft!D$2)^2)+Ft!E$3*EXP(Ft!E$38*($A525-Ft!E$2)^2) +Ft!F$3*EXP(Ft!F$38*($A525-Ft!F$2)^2) + Ft!G$3*EXP(Ft!G$38*($A525-Ft!G$2)^2)</f>
        <v>-110799.00457350642</v>
      </c>
      <c r="E525" s="27">
        <f>Ft!B$3*EXP(Ft!B$38*($A525-Ft!B$2)^2)</f>
        <v>-116110.45898922397</v>
      </c>
      <c r="F525" s="27">
        <f>Ft!C$3*EXP(Ft!C$38*($A525-Ft!C$2)^2)</f>
        <v>0</v>
      </c>
      <c r="G525" s="27">
        <f>Ft!D$3*EXP(Ft!D$38*($A525-Ft!D$2)^2)</f>
        <v>5311.4544134077942</v>
      </c>
      <c r="H525" s="27">
        <f>Ft!E$3*EXP(Ft!E$38*($A525-Ft!E$2)^2)</f>
        <v>4.2173541442168324E-30</v>
      </c>
      <c r="I525" s="27">
        <f>Ft!F$3*EXP(Ft!F$38*($A525-Ft!F$2)^2)</f>
        <v>2.3097636024245742E-6</v>
      </c>
      <c r="J525" s="27">
        <f>Ft!G$3*EXP(Ft!G$38*($A525-Ft!G$2)^2)</f>
        <v>0</v>
      </c>
    </row>
    <row r="526" spans="1:10">
      <c r="A526" s="20">
        <v>524</v>
      </c>
      <c r="B526" s="29">
        <v>19.444158818929907</v>
      </c>
      <c r="C526" s="28">
        <f ca="1">OFFSET($B526,1*(ROWS(C$2:C526)-1),0)</f>
        <v>0</v>
      </c>
      <c r="D526" s="27">
        <f>Ft!B$3*EXP(Ft!B$38*($A526-Ft!B$2)^2) +Ft!C$3*EXP(Ft!C$38*($A526-Ft!C$2)^2) + Ft!D$3*EXP(Ft!D$38*($A526-Ft!D$2)^2)+Ft!E$3*EXP(Ft!E$38*($A526-Ft!E$2)^2) +Ft!F$3*EXP(Ft!F$38*($A526-Ft!F$2)^2) + Ft!G$3*EXP(Ft!G$38*($A526-Ft!G$2)^2)</f>
        <v>-110974.19840974451</v>
      </c>
      <c r="E526" s="27">
        <f>Ft!B$3*EXP(Ft!B$38*($A526-Ft!B$2)^2)</f>
        <v>-116111.58636014532</v>
      </c>
      <c r="F526" s="27">
        <f>Ft!C$3*EXP(Ft!C$38*($A526-Ft!C$2)^2)</f>
        <v>0</v>
      </c>
      <c r="G526" s="27">
        <f>Ft!D$3*EXP(Ft!D$38*($A526-Ft!D$2)^2)</f>
        <v>5137.3879483406854</v>
      </c>
      <c r="H526" s="27">
        <f>Ft!E$3*EXP(Ft!E$38*($A526-Ft!E$2)^2)</f>
        <v>3.101078400871495E-30</v>
      </c>
      <c r="I526" s="27">
        <f>Ft!F$3*EXP(Ft!F$38*($A526-Ft!F$2)^2)</f>
        <v>2.0601217906641581E-6</v>
      </c>
      <c r="J526" s="27">
        <f>Ft!G$3*EXP(Ft!G$38*($A526-Ft!G$2)^2)</f>
        <v>0</v>
      </c>
    </row>
    <row r="527" spans="1:10">
      <c r="A527" s="20">
        <v>525</v>
      </c>
      <c r="B527" s="29">
        <v>19.251929411520791</v>
      </c>
      <c r="C527" s="28">
        <f ca="1">OFFSET($B527,1*(ROWS(C$2:C527)-1),0)</f>
        <v>0</v>
      </c>
      <c r="D527" s="27">
        <f>Ft!B$3*EXP(Ft!B$38*($A527-Ft!B$2)^2) +Ft!C$3*EXP(Ft!C$38*($A527-Ft!C$2)^2) + Ft!D$3*EXP(Ft!D$38*($A527-Ft!D$2)^2)+Ft!E$3*EXP(Ft!E$38*($A527-Ft!E$2)^2) +Ft!F$3*EXP(Ft!F$38*($A527-Ft!F$2)^2) + Ft!G$3*EXP(Ft!G$38*($A527-Ft!G$2)^2)</f>
        <v>-111144.27219824551</v>
      </c>
      <c r="E527" s="27">
        <f>Ft!B$3*EXP(Ft!B$38*($A527-Ft!B$2)^2)</f>
        <v>-116112.71320528508</v>
      </c>
      <c r="F527" s="27">
        <f>Ft!C$3*EXP(Ft!C$38*($A527-Ft!C$2)^2)</f>
        <v>0</v>
      </c>
      <c r="G527" s="27">
        <f>Ft!D$3*EXP(Ft!D$38*($A527-Ft!D$2)^2)</f>
        <v>4968.4410052025942</v>
      </c>
      <c r="H527" s="27">
        <f>Ft!E$3*EXP(Ft!E$38*($A527-Ft!E$2)^2)</f>
        <v>2.2788905816754445E-30</v>
      </c>
      <c r="I527" s="27">
        <f>Ft!F$3*EXP(Ft!F$38*($A527-Ft!F$2)^2)</f>
        <v>1.836980959806113E-6</v>
      </c>
      <c r="J527" s="27">
        <f>Ft!G$3*EXP(Ft!G$38*($A527-Ft!G$2)^2)</f>
        <v>0</v>
      </c>
    </row>
    <row r="528" spans="1:10">
      <c r="A528" s="20">
        <v>526</v>
      </c>
      <c r="B528" s="29">
        <v>19.0746168260753</v>
      </c>
      <c r="C528" s="28">
        <f ca="1">OFFSET($B528,1*(ROWS(C$2:C528)-1),0)</f>
        <v>0</v>
      </c>
      <c r="D528" s="27">
        <f>Ft!B$3*EXP(Ft!B$38*($A528-Ft!B$2)^2) +Ft!C$3*EXP(Ft!C$38*($A528-Ft!C$2)^2) + Ft!D$3*EXP(Ft!D$38*($A528-Ft!D$2)^2)+Ft!E$3*EXP(Ft!E$38*($A528-Ft!E$2)^2) +Ft!F$3*EXP(Ft!F$38*($A528-Ft!F$2)^2) + Ft!G$3*EXP(Ft!G$38*($A528-Ft!G$2)^2)</f>
        <v>-111309.35517467598</v>
      </c>
      <c r="E528" s="27">
        <f>Ft!B$3*EXP(Ft!B$38*($A528-Ft!B$2)^2)</f>
        <v>-116113.83952462777</v>
      </c>
      <c r="F528" s="27">
        <f>Ft!C$3*EXP(Ft!C$38*($A528-Ft!C$2)^2)</f>
        <v>0</v>
      </c>
      <c r="G528" s="27">
        <f>Ft!D$3*EXP(Ft!D$38*($A528-Ft!D$2)^2)</f>
        <v>4804.4843483141976</v>
      </c>
      <c r="H528" s="27">
        <f>Ft!E$3*EXP(Ft!E$38*($A528-Ft!E$2)^2)</f>
        <v>1.6736793345730347E-30</v>
      </c>
      <c r="I528" s="27">
        <f>Ft!F$3*EXP(Ft!F$38*($A528-Ft!F$2)^2)</f>
        <v>1.637581074625999E-6</v>
      </c>
      <c r="J528" s="27">
        <f>Ft!G$3*EXP(Ft!G$38*($A528-Ft!G$2)^2)</f>
        <v>0</v>
      </c>
    </row>
    <row r="529" spans="1:10">
      <c r="A529" s="20">
        <v>527</v>
      </c>
      <c r="B529" s="29">
        <v>18.878787364281266</v>
      </c>
      <c r="C529" s="28">
        <f ca="1">OFFSET($B529,1*(ROWS(C$2:C529)-1),0)</f>
        <v>0</v>
      </c>
      <c r="D529" s="27">
        <f>Ft!B$3*EXP(Ft!B$38*($A529-Ft!B$2)^2) +Ft!C$3*EXP(Ft!C$38*($A529-Ft!C$2)^2) + Ft!D$3*EXP(Ft!D$38*($A529-Ft!D$2)^2)+Ft!E$3*EXP(Ft!E$38*($A529-Ft!E$2)^2) +Ft!F$3*EXP(Ft!F$38*($A529-Ft!F$2)^2) + Ft!G$3*EXP(Ft!G$38*($A529-Ft!G$2)^2)</f>
        <v>-111469.57405065669</v>
      </c>
      <c r="E529" s="27">
        <f>Ft!B$3*EXP(Ft!B$38*($A529-Ft!B$2)^2)</f>
        <v>-116114.96531815785</v>
      </c>
      <c r="F529" s="27">
        <f>Ft!C$3*EXP(Ft!C$38*($A529-Ft!C$2)^2)</f>
        <v>0</v>
      </c>
      <c r="G529" s="27">
        <f>Ft!D$3*EXP(Ft!D$38*($A529-Ft!D$2)^2)</f>
        <v>4645.3912660417072</v>
      </c>
      <c r="H529" s="27">
        <f>Ft!E$3*EXP(Ft!E$38*($A529-Ft!E$2)^2)</f>
        <v>1.228454532235432E-30</v>
      </c>
      <c r="I529" s="27">
        <f>Ft!F$3*EXP(Ft!F$38*($A529-Ft!F$2)^2)</f>
        <v>1.4594437562569505E-6</v>
      </c>
      <c r="J529" s="27">
        <f>Ft!G$3*EXP(Ft!G$38*($A529-Ft!G$2)^2)</f>
        <v>0</v>
      </c>
    </row>
    <row r="530" spans="1:10">
      <c r="A530" s="20">
        <v>528</v>
      </c>
      <c r="B530" s="29">
        <v>18.707452047603397</v>
      </c>
      <c r="C530" s="28">
        <f ca="1">OFFSET($B530,1*(ROWS(C$2:C530)-1),0)</f>
        <v>0</v>
      </c>
      <c r="D530" s="27">
        <f>Ft!B$3*EXP(Ft!B$38*($A530-Ft!B$2)^2) +Ft!C$3*EXP(Ft!C$38*($A530-Ft!C$2)^2) + Ft!D$3*EXP(Ft!D$38*($A530-Ft!D$2)^2)+Ft!E$3*EXP(Ft!E$38*($A530-Ft!E$2)^2) +Ft!F$3*EXP(Ft!F$38*($A530-Ft!F$2)^2) + Ft!G$3*EXP(Ft!G$38*($A530-Ft!G$2)^2)</f>
        <v>-111625.0530383763</v>
      </c>
      <c r="E530" s="27">
        <f>Ft!B$3*EXP(Ft!B$38*($A530-Ft!B$2)^2)</f>
        <v>-116116.09058585983</v>
      </c>
      <c r="F530" s="27">
        <f>Ft!C$3*EXP(Ft!C$38*($A530-Ft!C$2)^2)</f>
        <v>0</v>
      </c>
      <c r="G530" s="27">
        <f>Ft!D$3*EXP(Ft!D$38*($A530-Ft!D$2)^2)</f>
        <v>4491.0375461831918</v>
      </c>
      <c r="H530" s="27">
        <f>Ft!E$3*EXP(Ft!E$38*($A530-Ft!E$2)^2)</f>
        <v>9.0112278898236114E-31</v>
      </c>
      <c r="I530" s="27">
        <f>Ft!F$3*EXP(Ft!F$38*($A530-Ft!F$2)^2)</f>
        <v>1.3003441608675051E-6</v>
      </c>
      <c r="J530" s="27">
        <f>Ft!G$3*EXP(Ft!G$38*($A530-Ft!G$2)^2)</f>
        <v>0</v>
      </c>
    </row>
    <row r="531" spans="1:10">
      <c r="A531" s="20">
        <v>529</v>
      </c>
      <c r="B531" s="29">
        <v>18.521116622105041</v>
      </c>
      <c r="C531" s="28">
        <f ca="1">OFFSET($B531,1*(ROWS(C$2:C531)-1),0)</f>
        <v>0</v>
      </c>
      <c r="D531" s="27">
        <f>Ft!B$3*EXP(Ft!B$38*($A531-Ft!B$2)^2) +Ft!C$3*EXP(Ft!C$38*($A531-Ft!C$2)^2) + Ft!D$3*EXP(Ft!D$38*($A531-Ft!D$2)^2)+Ft!E$3*EXP(Ft!E$38*($A531-Ft!E$2)^2) +Ft!F$3*EXP(Ft!F$38*($A531-Ft!F$2)^2) + Ft!G$3*EXP(Ft!G$38*($A531-Ft!G$2)^2)</f>
        <v>-111775.91387583807</v>
      </c>
      <c r="E531" s="27">
        <f>Ft!B$3*EXP(Ft!B$38*($A531-Ft!B$2)^2)</f>
        <v>-116117.21532771821</v>
      </c>
      <c r="F531" s="27">
        <f>Ft!C$3*EXP(Ft!C$38*($A531-Ft!C$2)^2)</f>
        <v>0</v>
      </c>
      <c r="G531" s="27">
        <f>Ft!D$3*EXP(Ft!D$38*($A531-Ft!D$2)^2)</f>
        <v>4341.3014507218495</v>
      </c>
      <c r="H531" s="27">
        <f>Ft!E$3*EXP(Ft!E$38*($A531-Ft!E$2)^2)</f>
        <v>6.6061268972344146E-31</v>
      </c>
      <c r="I531" s="27">
        <f>Ft!F$3*EXP(Ft!F$38*($A531-Ft!F$2)^2)</f>
        <v>1.1582856006407576E-6</v>
      </c>
      <c r="J531" s="27">
        <f>Ft!G$3*EXP(Ft!G$38*($A531-Ft!G$2)^2)</f>
        <v>0</v>
      </c>
    </row>
    <row r="532" spans="1:10">
      <c r="A532" s="20">
        <v>530</v>
      </c>
      <c r="B532" s="29">
        <v>18.32138400004203</v>
      </c>
      <c r="C532" s="28">
        <f ca="1">OFFSET($B532,1*(ROWS(C$2:C532)-1),0)</f>
        <v>0</v>
      </c>
      <c r="D532" s="27">
        <f>Ft!B$3*EXP(Ft!B$38*($A532-Ft!B$2)^2) +Ft!C$3*EXP(Ft!C$38*($A532-Ft!C$2)^2) + Ft!D$3*EXP(Ft!D$38*($A532-Ft!D$2)^2)+Ft!E$3*EXP(Ft!E$38*($A532-Ft!E$2)^2) +Ft!F$3*EXP(Ft!F$38*($A532-Ft!F$2)^2) + Ft!G$3*EXP(Ft!G$38*($A532-Ft!G$2)^2)</f>
        <v>-111922.27585270129</v>
      </c>
      <c r="E532" s="27">
        <f>Ft!B$3*EXP(Ft!B$38*($A532-Ft!B$2)^2)</f>
        <v>-116118.33954371748</v>
      </c>
      <c r="F532" s="27">
        <f>Ft!C$3*EXP(Ft!C$38*($A532-Ft!C$2)^2)</f>
        <v>0</v>
      </c>
      <c r="G532" s="27">
        <f>Ft!D$3*EXP(Ft!D$38*($A532-Ft!D$2)^2)</f>
        <v>4196.0636899846941</v>
      </c>
      <c r="H532" s="27">
        <f>Ft!E$3*EXP(Ft!E$38*($A532-Ft!E$2)^2)</f>
        <v>4.8400283283282455E-31</v>
      </c>
      <c r="I532" s="27">
        <f>Ft!F$3*EXP(Ft!F$38*($A532-Ft!F$2)^2)</f>
        <v>1.0314766463955824E-6</v>
      </c>
      <c r="J532" s="27">
        <f>Ft!G$3*EXP(Ft!G$38*($A532-Ft!G$2)^2)</f>
        <v>0</v>
      </c>
    </row>
    <row r="533" spans="1:10">
      <c r="A533" s="20">
        <v>531</v>
      </c>
      <c r="B533" s="29">
        <v>18.122879585992337</v>
      </c>
      <c r="C533" s="28">
        <f ca="1">OFFSET($B533,1*(ROWS(C$2:C533)-1),0)</f>
        <v>0</v>
      </c>
      <c r="D533" s="27">
        <f>Ft!B$3*EXP(Ft!B$38*($A533-Ft!B$2)^2) +Ft!C$3*EXP(Ft!C$38*($A533-Ft!C$2)^2) + Ft!D$3*EXP(Ft!D$38*($A533-Ft!D$2)^2)+Ft!E$3*EXP(Ft!E$38*($A533-Ft!E$2)^2) +Ft!F$3*EXP(Ft!F$38*($A533-Ft!F$2)^2) + Ft!G$3*EXP(Ft!G$38*($A533-Ft!G$2)^2)</f>
        <v>-112064.25583667953</v>
      </c>
      <c r="E533" s="27">
        <f>Ft!B$3*EXP(Ft!B$38*($A533-Ft!B$2)^2)</f>
        <v>-116119.46323384218</v>
      </c>
      <c r="F533" s="27">
        <f>Ft!C$3*EXP(Ft!C$38*($A533-Ft!C$2)^2)</f>
        <v>0</v>
      </c>
      <c r="G533" s="27">
        <f>Ft!D$3*EXP(Ft!D$38*($A533-Ft!D$2)^2)</f>
        <v>4055.2073962443419</v>
      </c>
      <c r="H533" s="27">
        <f>Ft!E$3*EXP(Ft!E$38*($A533-Ft!E$2)^2)</f>
        <v>3.5439447950558143E-31</v>
      </c>
      <c r="I533" s="27">
        <f>Ft!F$3*EXP(Ft!F$38*($A533-Ft!F$2)^2)</f>
        <v>9.1831047528132277E-7</v>
      </c>
      <c r="J533" s="27">
        <f>Ft!G$3*EXP(Ft!G$38*($A533-Ft!G$2)^2)</f>
        <v>0</v>
      </c>
    </row>
    <row r="534" spans="1:10">
      <c r="A534" s="20">
        <v>532</v>
      </c>
      <c r="B534" s="29">
        <v>17.937824779081382</v>
      </c>
      <c r="C534" s="28">
        <f ca="1">OFFSET($B534,1*(ROWS(C$2:C534)-1),0)</f>
        <v>0</v>
      </c>
      <c r="D534" s="27">
        <f>Ft!B$3*EXP(Ft!B$38*($A534-Ft!B$2)^2) +Ft!C$3*EXP(Ft!C$38*($A534-Ft!C$2)^2) + Ft!D$3*EXP(Ft!D$38*($A534-Ft!D$2)^2)+Ft!E$3*EXP(Ft!E$38*($A534-Ft!E$2)^2) +Ft!F$3*EXP(Ft!F$38*($A534-Ft!F$2)^2) + Ft!G$3*EXP(Ft!G$38*($A534-Ft!G$2)^2)</f>
        <v>-112201.9683004586</v>
      </c>
      <c r="E534" s="27">
        <f>Ft!B$3*EXP(Ft!B$38*($A534-Ft!B$2)^2)</f>
        <v>-116120.58639807682</v>
      </c>
      <c r="F534" s="27">
        <f>Ft!C$3*EXP(Ft!C$38*($A534-Ft!C$2)^2)</f>
        <v>0</v>
      </c>
      <c r="G534" s="27">
        <f>Ft!D$3*EXP(Ft!D$38*($A534-Ft!D$2)^2)</f>
        <v>3918.6180968008694</v>
      </c>
      <c r="H534" s="27">
        <f>Ft!E$3*EXP(Ft!E$38*($A534-Ft!E$2)^2)</f>
        <v>2.5933673903878656E-31</v>
      </c>
      <c r="I534" s="27">
        <f>Ft!F$3*EXP(Ft!F$38*($A534-Ft!F$2)^2)</f>
        <v>8.1734624890930357E-7</v>
      </c>
      <c r="J534" s="27">
        <f>Ft!G$3*EXP(Ft!G$38*($A534-Ft!G$2)^2)</f>
        <v>0</v>
      </c>
    </row>
    <row r="535" spans="1:10">
      <c r="A535" s="20">
        <v>533</v>
      </c>
      <c r="B535" s="29">
        <v>17.746935522827329</v>
      </c>
      <c r="C535" s="28">
        <f ca="1">OFFSET($B535,1*(ROWS(C$2:C535)-1),0)</f>
        <v>0</v>
      </c>
      <c r="D535" s="27">
        <f>Ft!B$3*EXP(Ft!B$38*($A535-Ft!B$2)^2) +Ft!C$3*EXP(Ft!C$38*($A535-Ft!C$2)^2) + Ft!D$3*EXP(Ft!D$38*($A535-Ft!D$2)^2)+Ft!E$3*EXP(Ft!E$38*($A535-Ft!E$2)^2) +Ft!F$3*EXP(Ft!F$38*($A535-Ft!F$2)^2) + Ft!G$3*EXP(Ft!G$38*($A535-Ft!G$2)^2)</f>
        <v>-112335.52534909893</v>
      </c>
      <c r="E535" s="27">
        <f>Ft!B$3*EXP(Ft!B$38*($A535-Ft!B$2)^2)</f>
        <v>-116121.70903640594</v>
      </c>
      <c r="F535" s="27">
        <f>Ft!C$3*EXP(Ft!C$38*($A535-Ft!C$2)^2)</f>
        <v>0</v>
      </c>
      <c r="G535" s="27">
        <f>Ft!D$3*EXP(Ft!D$38*($A535-Ft!D$2)^2)</f>
        <v>3786.1836865797286</v>
      </c>
      <c r="H535" s="27">
        <f>Ft!E$3*EXP(Ft!E$38*($A535-Ft!E$2)^2)</f>
        <v>1.8966150653532929E-31</v>
      </c>
      <c r="I535" s="27">
        <f>Ft!F$3*EXP(Ft!F$38*($A535-Ft!F$2)^2)</f>
        <v>7.2729232724503395E-7</v>
      </c>
      <c r="J535" s="27">
        <f>Ft!G$3*EXP(Ft!G$38*($A535-Ft!G$2)^2)</f>
        <v>0</v>
      </c>
    </row>
    <row r="536" spans="1:10">
      <c r="A536" s="20">
        <v>534</v>
      </c>
      <c r="B536" s="29">
        <v>17.564103574889884</v>
      </c>
      <c r="C536" s="28">
        <f ca="1">OFFSET($B536,1*(ROWS(C$2:C536)-1),0)</f>
        <v>0</v>
      </c>
      <c r="D536" s="27">
        <f>Ft!B$3*EXP(Ft!B$38*($A536-Ft!B$2)^2) +Ft!C$3*EXP(Ft!C$38*($A536-Ft!C$2)^2) + Ft!D$3*EXP(Ft!D$38*($A536-Ft!D$2)^2)+Ft!E$3*EXP(Ft!E$38*($A536-Ft!E$2)^2) +Ft!F$3*EXP(Ft!F$38*($A536-Ft!F$2)^2) + Ft!G$3*EXP(Ft!G$38*($A536-Ft!G$2)^2)</f>
        <v>-112465.036747886</v>
      </c>
      <c r="E536" s="27">
        <f>Ft!B$3*EXP(Ft!B$38*($A536-Ft!B$2)^2)</f>
        <v>-116122.83114881406</v>
      </c>
      <c r="F536" s="27">
        <f>Ft!C$3*EXP(Ft!C$38*($A536-Ft!C$2)^2)</f>
        <v>0</v>
      </c>
      <c r="G536" s="27">
        <f>Ft!D$3*EXP(Ft!D$38*($A536-Ft!D$2)^2)</f>
        <v>3657.794400281075</v>
      </c>
      <c r="H536" s="27">
        <f>Ft!E$3*EXP(Ft!E$38*($A536-Ft!E$2)^2)</f>
        <v>1.3862207620021275E-31</v>
      </c>
      <c r="I536" s="27">
        <f>Ft!F$3*EXP(Ft!F$38*($A536-Ft!F$2)^2)</f>
        <v>6.4699114174505702E-7</v>
      </c>
      <c r="J536" s="27">
        <f>Ft!G$3*EXP(Ft!G$38*($A536-Ft!G$2)^2)</f>
        <v>0</v>
      </c>
    </row>
    <row r="537" spans="1:10">
      <c r="A537" s="20">
        <v>535</v>
      </c>
      <c r="B537" s="29">
        <v>17.375260140419243</v>
      </c>
      <c r="C537" s="28">
        <f ca="1">OFFSET($B537,1*(ROWS(C$2:C537)-1),0)</f>
        <v>0</v>
      </c>
      <c r="D537" s="27">
        <f>Ft!B$3*EXP(Ft!B$38*($A537-Ft!B$2)^2) +Ft!C$3*EXP(Ft!C$38*($A537-Ft!C$2)^2) + Ft!D$3*EXP(Ft!D$38*($A537-Ft!D$2)^2)+Ft!E$3*EXP(Ft!E$38*($A537-Ft!E$2)^2) +Ft!F$3*EXP(Ft!F$38*($A537-Ft!F$2)^2) + Ft!G$3*EXP(Ft!G$38*($A537-Ft!G$2)^2)</f>
        <v>-112590.6099505954</v>
      </c>
      <c r="E537" s="27">
        <f>Ft!B$3*EXP(Ft!B$38*($A537-Ft!B$2)^2)</f>
        <v>-116123.95273528573</v>
      </c>
      <c r="F537" s="27">
        <f>Ft!C$3*EXP(Ft!C$38*($A537-Ft!C$2)^2)</f>
        <v>0</v>
      </c>
      <c r="G537" s="27">
        <f>Ft!D$3*EXP(Ft!D$38*($A537-Ft!D$2)^2)</f>
        <v>3533.3427841149028</v>
      </c>
      <c r="H537" s="27">
        <f>Ft!E$3*EXP(Ft!E$38*($A537-Ft!E$2)^2)</f>
        <v>1.0125667337556849E-31</v>
      </c>
      <c r="I537" s="27">
        <f>Ft!F$3*EXP(Ft!F$38*($A537-Ft!F$2)^2)</f>
        <v>5.7540556773906738E-7</v>
      </c>
      <c r="J537" s="27">
        <f>Ft!G$3*EXP(Ft!G$38*($A537-Ft!G$2)^2)</f>
        <v>0</v>
      </c>
    </row>
    <row r="538" spans="1:10">
      <c r="A538" s="20">
        <v>536</v>
      </c>
      <c r="B538" s="29">
        <v>17.184596176401811</v>
      </c>
      <c r="C538" s="28">
        <f ca="1">OFFSET($B538,1*(ROWS(C$2:C538)-1),0)</f>
        <v>0</v>
      </c>
      <c r="D538" s="27">
        <f>Ft!B$3*EXP(Ft!B$38*($A538-Ft!B$2)^2) +Ft!C$3*EXP(Ft!C$38*($A538-Ft!C$2)^2) + Ft!D$3*EXP(Ft!D$38*($A538-Ft!D$2)^2)+Ft!E$3*EXP(Ft!E$38*($A538-Ft!E$2)^2) +Ft!F$3*EXP(Ft!F$38*($A538-Ft!F$2)^2) + Ft!G$3*EXP(Ft!G$38*($A538-Ft!G$2)^2)</f>
        <v>-112712.35012813826</v>
      </c>
      <c r="E538" s="27">
        <f>Ft!B$3*EXP(Ft!B$38*($A538-Ft!B$2)^2)</f>
        <v>-116125.07379580551</v>
      </c>
      <c r="F538" s="27">
        <f>Ft!C$3*EXP(Ft!C$38*($A538-Ft!C$2)^2)</f>
        <v>0</v>
      </c>
      <c r="G538" s="27">
        <f>Ft!D$3*EXP(Ft!D$38*($A538-Ft!D$2)^2)</f>
        <v>3412.7236671556516</v>
      </c>
      <c r="H538" s="27">
        <f>Ft!E$3*EXP(Ft!E$38*($A538-Ft!E$2)^2)</f>
        <v>7.3918469168215991E-32</v>
      </c>
      <c r="I538" s="27">
        <f>Ft!F$3*EXP(Ft!F$38*($A538-Ft!F$2)^2)</f>
        <v>5.1160665107475435E-7</v>
      </c>
      <c r="J538" s="27">
        <f>Ft!G$3*EXP(Ft!G$38*($A538-Ft!G$2)^2)</f>
        <v>0</v>
      </c>
    </row>
    <row r="539" spans="1:10">
      <c r="A539" s="20">
        <v>537</v>
      </c>
      <c r="B539" s="29">
        <v>16.981995412033939</v>
      </c>
      <c r="C539" s="28">
        <f ca="1">OFFSET($B539,1*(ROWS(C$2:C539)-1),0)</f>
        <v>0</v>
      </c>
      <c r="D539" s="27">
        <f>Ft!B$3*EXP(Ft!B$38*($A539-Ft!B$2)^2) +Ft!C$3*EXP(Ft!C$38*($A539-Ft!C$2)^2) + Ft!D$3*EXP(Ft!D$38*($A539-Ft!D$2)^2)+Ft!E$3*EXP(Ft!E$38*($A539-Ft!E$2)^2) +Ft!F$3*EXP(Ft!F$38*($A539-Ft!F$2)^2) + Ft!G$3*EXP(Ft!G$38*($A539-Ft!G$2)^2)</f>
        <v>-112830.36019755417</v>
      </c>
      <c r="E539" s="27">
        <f>Ft!B$3*EXP(Ft!B$38*($A539-Ft!B$2)^2)</f>
        <v>-116126.19433035795</v>
      </c>
      <c r="F539" s="27">
        <f>Ft!C$3*EXP(Ft!C$38*($A539-Ft!C$2)^2)</f>
        <v>0</v>
      </c>
      <c r="G539" s="27">
        <f>Ft!D$3*EXP(Ft!D$38*($A539-Ft!D$2)^2)</f>
        <v>3295.8341323490154</v>
      </c>
      <c r="H539" s="27">
        <f>Ft!E$3*EXP(Ft!E$38*($A539-Ft!E$2)^2)</f>
        <v>5.3928746520650224E-32</v>
      </c>
      <c r="I539" s="27">
        <f>Ft!F$3*EXP(Ft!F$38*($A539-Ft!F$2)^2)</f>
        <v>4.5476255769186968E-7</v>
      </c>
      <c r="J539" s="27">
        <f>Ft!G$3*EXP(Ft!G$38*($A539-Ft!G$2)^2)</f>
        <v>0</v>
      </c>
    </row>
    <row r="540" spans="1:10">
      <c r="A540" s="20">
        <v>538</v>
      </c>
      <c r="B540" s="29">
        <v>16.801105309908081</v>
      </c>
      <c r="C540" s="28">
        <f ca="1">OFFSET($B540,1*(ROWS(C$2:C540)-1),0)</f>
        <v>0</v>
      </c>
      <c r="D540" s="27">
        <f>Ft!B$3*EXP(Ft!B$38*($A540-Ft!B$2)^2) +Ft!C$3*EXP(Ft!C$38*($A540-Ft!C$2)^2) + Ft!D$3*EXP(Ft!D$38*($A540-Ft!D$2)^2)+Ft!E$3*EXP(Ft!E$38*($A540-Ft!E$2)^2) +Ft!F$3*EXP(Ft!F$38*($A540-Ft!F$2)^2) + Ft!G$3*EXP(Ft!G$38*($A540-Ft!G$2)^2)</f>
        <v>-112944.7408513205</v>
      </c>
      <c r="E540" s="27">
        <f>Ft!B$3*EXP(Ft!B$38*($A540-Ft!B$2)^2)</f>
        <v>-116127.31433892762</v>
      </c>
      <c r="F540" s="27">
        <f>Ft!C$3*EXP(Ft!C$38*($A540-Ft!C$2)^2)</f>
        <v>0</v>
      </c>
      <c r="G540" s="27">
        <f>Ft!D$3*EXP(Ft!D$38*($A540-Ft!D$2)^2)</f>
        <v>3182.5734872029798</v>
      </c>
      <c r="H540" s="27">
        <f>Ft!E$3*EXP(Ft!E$38*($A540-Ft!E$2)^2)</f>
        <v>3.9321107427272118E-32</v>
      </c>
      <c r="I540" s="27">
        <f>Ft!F$3*EXP(Ft!F$38*($A540-Ft!F$2)^2)</f>
        <v>4.0412862719338249E-7</v>
      </c>
      <c r="J540" s="27">
        <f>Ft!G$3*EXP(Ft!G$38*($A540-Ft!G$2)^2)</f>
        <v>0</v>
      </c>
    </row>
    <row r="541" spans="1:10">
      <c r="A541" s="20">
        <v>539</v>
      </c>
      <c r="B541" s="29">
        <v>16.574851454633745</v>
      </c>
      <c r="C541" s="28">
        <f ca="1">OFFSET($B541,1*(ROWS(C$2:C541)-1),0)</f>
        <v>0</v>
      </c>
      <c r="D541" s="27">
        <f>Ft!B$3*EXP(Ft!B$38*($A541-Ft!B$2)^2) +Ft!C$3*EXP(Ft!C$38*($A541-Ft!C$2)^2) + Ft!D$3*EXP(Ft!D$38*($A541-Ft!D$2)^2)+Ft!E$3*EXP(Ft!E$38*($A541-Ft!E$2)^2) +Ft!F$3*EXP(Ft!F$38*($A541-Ft!F$2)^2) + Ft!G$3*EXP(Ft!G$38*($A541-Ft!G$2)^2)</f>
        <v>-113055.59058694589</v>
      </c>
      <c r="E541" s="27">
        <f>Ft!B$3*EXP(Ft!B$38*($A541-Ft!B$2)^2)</f>
        <v>-116128.43382149909</v>
      </c>
      <c r="F541" s="27">
        <f>Ft!C$3*EXP(Ft!C$38*($A541-Ft!C$2)^2)</f>
        <v>0</v>
      </c>
      <c r="G541" s="27">
        <f>Ft!D$3*EXP(Ft!D$38*($A541-Ft!D$2)^2)</f>
        <v>3072.8432341941552</v>
      </c>
      <c r="H541" s="27">
        <f>Ft!E$3*EXP(Ft!E$38*($A541-Ft!E$2)^2)</f>
        <v>2.8652941177387866E-32</v>
      </c>
      <c r="I541" s="27">
        <f>Ft!F$3*EXP(Ft!F$38*($A541-Ft!F$2)^2)</f>
        <v>3.5903842274593121E-7</v>
      </c>
      <c r="J541" s="27">
        <f>Ft!G$3*EXP(Ft!G$38*($A541-Ft!G$2)^2)</f>
        <v>0</v>
      </c>
    </row>
    <row r="542" spans="1:10">
      <c r="A542" s="20">
        <v>540</v>
      </c>
      <c r="B542" s="29">
        <v>16.36265177355375</v>
      </c>
      <c r="C542" s="28">
        <f ca="1">OFFSET($B542,1*(ROWS(C$2:C542)-1),0)</f>
        <v>0</v>
      </c>
      <c r="D542" s="27">
        <f>Ft!B$3*EXP(Ft!B$38*($A542-Ft!B$2)^2) +Ft!C$3*EXP(Ft!C$38*($A542-Ft!C$2)^2) + Ft!D$3*EXP(Ft!D$38*($A542-Ft!D$2)^2)+Ft!E$3*EXP(Ft!E$38*($A542-Ft!E$2)^2) +Ft!F$3*EXP(Ft!F$38*($A542-Ft!F$2)^2) + Ft!G$3*EXP(Ft!G$38*($A542-Ft!G$2)^2)</f>
        <v>-113163.00573681829</v>
      </c>
      <c r="E542" s="27">
        <f>Ft!B$3*EXP(Ft!B$38*($A542-Ft!B$2)^2)</f>
        <v>-116129.55277805694</v>
      </c>
      <c r="F542" s="27">
        <f>Ft!C$3*EXP(Ft!C$38*($A542-Ft!C$2)^2)</f>
        <v>0</v>
      </c>
      <c r="G542" s="27">
        <f>Ft!D$3*EXP(Ft!D$38*($A542-Ft!D$2)^2)</f>
        <v>2966.5470409197519</v>
      </c>
      <c r="H542" s="27">
        <f>Ft!E$3*EXP(Ft!E$38*($A542-Ft!E$2)^2)</f>
        <v>2.0866553761927981E-32</v>
      </c>
      <c r="I542" s="27">
        <f>Ft!F$3*EXP(Ft!F$38*($A542-Ft!F$2)^2)</f>
        <v>3.1889567986977951E-7</v>
      </c>
      <c r="J542" s="27">
        <f>Ft!G$3*EXP(Ft!G$38*($A542-Ft!G$2)^2)</f>
        <v>0</v>
      </c>
    </row>
    <row r="543" spans="1:10">
      <c r="A543" s="20">
        <v>541</v>
      </c>
      <c r="B543" s="29">
        <v>16.143782761275816</v>
      </c>
      <c r="C543" s="28">
        <f ca="1">OFFSET($B543,1*(ROWS(C$2:C543)-1),0)</f>
        <v>0</v>
      </c>
      <c r="D543" s="27">
        <f>Ft!B$3*EXP(Ft!B$38*($A543-Ft!B$2)^2) +Ft!C$3*EXP(Ft!C$38*($A543-Ft!C$2)^2) + Ft!D$3*EXP(Ft!D$38*($A543-Ft!D$2)^2)+Ft!E$3*EXP(Ft!E$38*($A543-Ft!E$2)^2) +Ft!F$3*EXP(Ft!F$38*($A543-Ft!F$2)^2) + Ft!G$3*EXP(Ft!G$38*($A543-Ft!G$2)^2)</f>
        <v>-113267.08049827798</v>
      </c>
      <c r="E543" s="27">
        <f>Ft!B$3*EXP(Ft!B$38*($A543-Ft!B$2)^2)</f>
        <v>-116130.67120858574</v>
      </c>
      <c r="F543" s="27">
        <f>Ft!C$3*EXP(Ft!C$38*($A543-Ft!C$2)^2)</f>
        <v>0</v>
      </c>
      <c r="G543" s="27">
        <f>Ft!D$3*EXP(Ft!D$38*($A543-Ft!D$2)^2)</f>
        <v>2863.5907100245936</v>
      </c>
      <c r="H543" s="27">
        <f>Ft!E$3*EXP(Ft!E$38*($A543-Ft!E$2)^2)</f>
        <v>1.5186940865073355E-32</v>
      </c>
      <c r="I543" s="27">
        <f>Ft!F$3*EXP(Ft!F$38*($A543-Ft!F$2)^2)</f>
        <v>2.8316706596264713E-7</v>
      </c>
      <c r="J543" s="27">
        <f>Ft!G$3*EXP(Ft!G$38*($A543-Ft!G$2)^2)</f>
        <v>0</v>
      </c>
    </row>
    <row r="544" spans="1:10">
      <c r="A544" s="20">
        <v>542</v>
      </c>
      <c r="B544" s="29">
        <v>15.94761556496104</v>
      </c>
      <c r="C544" s="28">
        <f ca="1">OFFSET($B544,1*(ROWS(C$2:C544)-1),0)</f>
        <v>0</v>
      </c>
      <c r="D544" s="27">
        <f>Ft!B$3*EXP(Ft!B$38*($A544-Ft!B$2)^2) +Ft!C$3*EXP(Ft!C$38*($A544-Ft!C$2)^2) + Ft!D$3*EXP(Ft!D$38*($A544-Ft!D$2)^2)+Ft!E$3*EXP(Ft!E$38*($A544-Ft!E$2)^2) +Ft!F$3*EXP(Ft!F$38*($A544-Ft!F$2)^2) + Ft!G$3*EXP(Ft!G$38*($A544-Ft!G$2)^2)</f>
        <v>-113367.9069638869</v>
      </c>
      <c r="E544" s="27">
        <f>Ft!B$3*EXP(Ft!B$38*($A544-Ft!B$2)^2)</f>
        <v>-116131.78911307012</v>
      </c>
      <c r="F544" s="27">
        <f>Ft!C$3*EXP(Ft!C$38*($A544-Ft!C$2)^2)</f>
        <v>0</v>
      </c>
      <c r="G544" s="27">
        <f>Ft!D$3*EXP(Ft!D$38*($A544-Ft!D$2)^2)</f>
        <v>2763.882148931852</v>
      </c>
      <c r="H544" s="27">
        <f>Ft!E$3*EXP(Ft!E$38*($A544-Ft!E$2)^2)</f>
        <v>1.1046582186089137E-32</v>
      </c>
      <c r="I544" s="27">
        <f>Ft!F$3*EXP(Ft!F$38*($A544-Ft!F$2)^2)</f>
        <v>2.5137567082626193E-7</v>
      </c>
      <c r="J544" s="27">
        <f>Ft!G$3*EXP(Ft!G$38*($A544-Ft!G$2)^2)</f>
        <v>0</v>
      </c>
    </row>
    <row r="545" spans="1:10">
      <c r="A545" s="20">
        <v>543</v>
      </c>
      <c r="B545" s="29">
        <v>15.732220448871317</v>
      </c>
      <c r="C545" s="28">
        <f ca="1">OFFSET($B545,1*(ROWS(C$2:C545)-1),0)</f>
        <v>0</v>
      </c>
      <c r="D545" s="27">
        <f>Ft!B$3*EXP(Ft!B$38*($A545-Ft!B$2)^2) +Ft!C$3*EXP(Ft!C$38*($A545-Ft!C$2)^2) + Ft!D$3*EXP(Ft!D$38*($A545-Ft!D$2)^2)+Ft!E$3*EXP(Ft!E$38*($A545-Ft!E$2)^2) +Ft!F$3*EXP(Ft!F$38*($A545-Ft!F$2)^2) + Ft!G$3*EXP(Ft!G$38*($A545-Ft!G$2)^2)</f>
        <v>-113465.57515186629</v>
      </c>
      <c r="E545" s="27">
        <f>Ft!B$3*EXP(Ft!B$38*($A545-Ft!B$2)^2)</f>
        <v>-116132.90649149466</v>
      </c>
      <c r="F545" s="27">
        <f>Ft!C$3*EXP(Ft!C$38*($A545-Ft!C$2)^2)</f>
        <v>0</v>
      </c>
      <c r="G545" s="27">
        <f>Ft!D$3*EXP(Ft!D$38*($A545-Ft!D$2)^2)</f>
        <v>2667.3313394052775</v>
      </c>
      <c r="H545" s="27">
        <f>Ft!E$3*EXP(Ft!E$38*($A545-Ft!E$2)^2)</f>
        <v>8.0301490615458436E-33</v>
      </c>
      <c r="I545" s="27">
        <f>Ft!F$3*EXP(Ft!F$38*($A545-Ft!F$2)^2)</f>
        <v>2.2309515610644953E-7</v>
      </c>
      <c r="J545" s="27">
        <f>Ft!G$3*EXP(Ft!G$38*($A545-Ft!G$2)^2)</f>
        <v>0</v>
      </c>
    </row>
    <row r="546" spans="1:10">
      <c r="A546" s="20">
        <v>544</v>
      </c>
      <c r="B546" s="29">
        <v>15.507058607605018</v>
      </c>
      <c r="C546" s="28">
        <f ca="1">OFFSET($B546,1*(ROWS(C$2:C546)-1),0)</f>
        <v>0</v>
      </c>
      <c r="D546" s="27">
        <f>Ft!B$3*EXP(Ft!B$38*($A546-Ft!B$2)^2) +Ft!C$3*EXP(Ft!C$38*($A546-Ft!C$2)^2) + Ft!D$3*EXP(Ft!D$38*($A546-Ft!D$2)^2)+Ft!E$3*EXP(Ft!E$38*($A546-Ft!E$2)^2) +Ft!F$3*EXP(Ft!F$38*($A546-Ft!F$2)^2) + Ft!G$3*EXP(Ft!G$38*($A546-Ft!G$2)^2)</f>
        <v>-113560.17303667615</v>
      </c>
      <c r="E546" s="27">
        <f>Ft!B$3*EXP(Ft!B$38*($A546-Ft!B$2)^2)</f>
        <v>-116134.02334384396</v>
      </c>
      <c r="F546" s="27">
        <f>Ft!C$3*EXP(Ft!C$38*($A546-Ft!C$2)^2)</f>
        <v>0</v>
      </c>
      <c r="G546" s="27">
        <f>Ft!D$3*EXP(Ft!D$38*($A546-Ft!D$2)^2)</f>
        <v>2573.8503069698636</v>
      </c>
      <c r="H546" s="27">
        <f>Ft!E$3*EXP(Ft!E$38*($A546-Ft!E$2)^2)</f>
        <v>5.8338779483633536E-33</v>
      </c>
      <c r="I546" s="27">
        <f>Ft!F$3*EXP(Ft!F$38*($A546-Ft!F$2)^2)</f>
        <v>1.9794449848760836E-7</v>
      </c>
      <c r="J546" s="27">
        <f>Ft!G$3*EXP(Ft!G$38*($A546-Ft!G$2)^2)</f>
        <v>0</v>
      </c>
    </row>
    <row r="547" spans="1:10">
      <c r="A547" s="20">
        <v>545</v>
      </c>
      <c r="B547" s="29">
        <v>15.302537486369317</v>
      </c>
      <c r="C547" s="28">
        <f ca="1">OFFSET($B547,1*(ROWS(C$2:C547)-1),0)</f>
        <v>0</v>
      </c>
      <c r="D547" s="27">
        <f>Ft!B$3*EXP(Ft!B$38*($A547-Ft!B$2)^2) +Ft!C$3*EXP(Ft!C$38*($A547-Ft!C$2)^2) + Ft!D$3*EXP(Ft!D$38*($A547-Ft!D$2)^2)+Ft!E$3*EXP(Ft!E$38*($A547-Ft!E$2)^2) +Ft!F$3*EXP(Ft!F$38*($A547-Ft!F$2)^2) + Ft!G$3*EXP(Ft!G$38*($A547-Ft!G$2)^2)</f>
        <v>-113651.78657970989</v>
      </c>
      <c r="E547" s="27">
        <f>Ft!B$3*EXP(Ft!B$38*($A547-Ft!B$2)^2)</f>
        <v>-116135.13967010265</v>
      </c>
      <c r="F547" s="27">
        <f>Ft!C$3*EXP(Ft!C$38*($A547-Ft!C$2)^2)</f>
        <v>0</v>
      </c>
      <c r="G547" s="27">
        <f>Ft!D$3*EXP(Ft!D$38*($A547-Ft!D$2)^2)</f>
        <v>2483.3530902171824</v>
      </c>
      <c r="H547" s="27">
        <f>Ft!E$3*EXP(Ft!E$38*($A547-Ft!E$2)^2)</f>
        <v>4.2357383367618717E-33</v>
      </c>
      <c r="I547" s="27">
        <f>Ft!F$3*EXP(Ft!F$38*($A547-Ft!F$2)^2)</f>
        <v>1.7558326776445889E-7</v>
      </c>
      <c r="J547" s="27">
        <f>Ft!G$3*EXP(Ft!G$38*($A547-Ft!G$2)^2)</f>
        <v>0</v>
      </c>
    </row>
    <row r="548" spans="1:10">
      <c r="A548" s="20">
        <v>546</v>
      </c>
      <c r="B548" s="29">
        <v>15.097407080060833</v>
      </c>
      <c r="C548" s="28">
        <f ca="1">OFFSET($B548,1*(ROWS(C$2:C548)-1),0)</f>
        <v>0</v>
      </c>
      <c r="D548" s="27">
        <f>Ft!B$3*EXP(Ft!B$38*($A548-Ft!B$2)^2) +Ft!C$3*EXP(Ft!C$38*($A548-Ft!C$2)^2) + Ft!D$3*EXP(Ft!D$38*($A548-Ft!D$2)^2)+Ft!E$3*EXP(Ft!E$38*($A548-Ft!E$2)^2) +Ft!F$3*EXP(Ft!F$38*($A548-Ft!F$2)^2) + Ft!G$3*EXP(Ft!G$38*($A548-Ft!G$2)^2)</f>
        <v>-113740.49976007905</v>
      </c>
      <c r="E548" s="27">
        <f>Ft!B$3*EXP(Ft!B$38*($A548-Ft!B$2)^2)</f>
        <v>-116136.25547025536</v>
      </c>
      <c r="F548" s="27">
        <f>Ft!C$3*EXP(Ft!C$38*($A548-Ft!C$2)^2)</f>
        <v>0</v>
      </c>
      <c r="G548" s="27">
        <f>Ft!D$3*EXP(Ft!D$38*($A548-Ft!D$2)^2)</f>
        <v>2395.7557100206</v>
      </c>
      <c r="H548" s="27">
        <f>Ft!E$3*EXP(Ft!E$38*($A548-Ft!E$2)^2)</f>
        <v>3.0735406493011102E-33</v>
      </c>
      <c r="I548" s="27">
        <f>Ft!F$3*EXP(Ft!F$38*($A548-Ft!F$2)^2)</f>
        <v>1.5570738660712749E-7</v>
      </c>
      <c r="J548" s="27">
        <f>Ft!G$3*EXP(Ft!G$38*($A548-Ft!G$2)^2)</f>
        <v>0</v>
      </c>
    </row>
    <row r="549" spans="1:10">
      <c r="A549" s="20">
        <v>547</v>
      </c>
      <c r="B549" s="29">
        <v>14.895119862740387</v>
      </c>
      <c r="C549" s="28">
        <f ca="1">OFFSET($B549,1*(ROWS(C$2:C549)-1),0)</f>
        <v>0</v>
      </c>
      <c r="D549" s="27">
        <f>Ft!B$3*EXP(Ft!B$38*($A549-Ft!B$2)^2) +Ft!C$3*EXP(Ft!C$38*($A549-Ft!C$2)^2) + Ft!D$3*EXP(Ft!D$38*($A549-Ft!D$2)^2)+Ft!E$3*EXP(Ft!E$38*($A549-Ft!E$2)^2) +Ft!F$3*EXP(Ft!F$38*($A549-Ft!F$2)^2) + Ft!G$3*EXP(Ft!G$38*($A549-Ft!G$2)^2)</f>
        <v>-113826.39460546365</v>
      </c>
      <c r="E549" s="27">
        <f>Ft!B$3*EXP(Ft!B$38*($A549-Ft!B$2)^2)</f>
        <v>-116137.37074428669</v>
      </c>
      <c r="F549" s="27">
        <f>Ft!C$3*EXP(Ft!C$38*($A549-Ft!C$2)^2)</f>
        <v>0</v>
      </c>
      <c r="G549" s="27">
        <f>Ft!D$3*EXP(Ft!D$38*($A549-Ft!D$2)^2)</f>
        <v>2310.9761386849937</v>
      </c>
      <c r="H549" s="27">
        <f>Ft!E$3*EXP(Ft!E$38*($A549-Ft!E$2)^2)</f>
        <v>2.228880844260696E-33</v>
      </c>
      <c r="I549" s="27">
        <f>Ft!F$3*EXP(Ft!F$38*($A549-Ft!F$2)^2)</f>
        <v>1.3804532399315971E-7</v>
      </c>
      <c r="J549" s="27">
        <f>Ft!G$3*EXP(Ft!G$38*($A549-Ft!G$2)^2)</f>
        <v>0</v>
      </c>
    </row>
    <row r="550" spans="1:10">
      <c r="A550" s="20">
        <v>548</v>
      </c>
      <c r="B550" s="29">
        <v>14.692284460500616</v>
      </c>
      <c r="C550" s="28">
        <f ca="1">OFFSET($B550,1*(ROWS(C$2:C550)-1),0)</f>
        <v>0</v>
      </c>
      <c r="D550" s="27">
        <f>Ft!B$3*EXP(Ft!B$38*($A550-Ft!B$2)^2) +Ft!C$3*EXP(Ft!C$38*($A550-Ft!C$2)^2) + Ft!D$3*EXP(Ft!D$38*($A550-Ft!D$2)^2)+Ft!E$3*EXP(Ft!E$38*($A550-Ft!E$2)^2) +Ft!F$3*EXP(Ft!F$38*($A550-Ft!F$2)^2) + Ft!G$3*EXP(Ft!G$38*($A550-Ft!G$2)^2)</f>
        <v>-113909.55122300434</v>
      </c>
      <c r="E550" s="27">
        <f>Ft!B$3*EXP(Ft!B$38*($A550-Ft!B$2)^2)</f>
        <v>-116138.48549218129</v>
      </c>
      <c r="F550" s="27">
        <f>Ft!C$3*EXP(Ft!C$38*($A550-Ft!C$2)^2)</f>
        <v>0</v>
      </c>
      <c r="G550" s="27">
        <f>Ft!D$3*EXP(Ft!D$38*($A550-Ft!D$2)^2)</f>
        <v>2228.9342690546068</v>
      </c>
      <c r="H550" s="27">
        <f>Ft!E$3*EXP(Ft!E$38*($A550-Ft!E$2)^2)</f>
        <v>1.6153729087883511E-33</v>
      </c>
      <c r="I550" s="27">
        <f>Ft!F$3*EXP(Ft!F$38*($A550-Ft!F$2)^2)</f>
        <v>1.2235467895097883E-7</v>
      </c>
      <c r="J550" s="27">
        <f>Ft!G$3*EXP(Ft!G$38*($A550-Ft!G$2)^2)</f>
        <v>0</v>
      </c>
    </row>
    <row r="551" spans="1:10">
      <c r="A551" s="20">
        <v>549</v>
      </c>
      <c r="B551" s="29">
        <v>14.487567166338692</v>
      </c>
      <c r="C551" s="28">
        <f ca="1">OFFSET($B551,1*(ROWS(C$2:C551)-1),0)</f>
        <v>0</v>
      </c>
      <c r="D551" s="27">
        <f>Ft!B$3*EXP(Ft!B$38*($A551-Ft!B$2)^2) +Ft!C$3*EXP(Ft!C$38*($A551-Ft!C$2)^2) + Ft!D$3*EXP(Ft!D$38*($A551-Ft!D$2)^2)+Ft!E$3*EXP(Ft!E$38*($A551-Ft!E$2)^2) +Ft!F$3*EXP(Ft!F$38*($A551-Ft!F$2)^2) + Ft!G$3*EXP(Ft!G$38*($A551-Ft!G$2)^2)</f>
        <v>-113990.04783021341</v>
      </c>
      <c r="E551" s="27">
        <f>Ft!B$3*EXP(Ft!B$38*($A551-Ft!B$2)^2)</f>
        <v>-116139.59971392383</v>
      </c>
      <c r="F551" s="27">
        <f>Ft!C$3*EXP(Ft!C$38*($A551-Ft!C$2)^2)</f>
        <v>0</v>
      </c>
      <c r="G551" s="27">
        <f>Ft!D$3*EXP(Ft!D$38*($A551-Ft!D$2)^2)</f>
        <v>2149.5518836019965</v>
      </c>
      <c r="H551" s="27">
        <f>Ft!E$3*EXP(Ft!E$38*($A551-Ft!E$2)^2)</f>
        <v>1.170029444919408E-33</v>
      </c>
      <c r="I551" s="27">
        <f>Ft!F$3*EXP(Ft!F$38*($A551-Ft!F$2)^2)</f>
        <v>1.0841911548812972E-7</v>
      </c>
      <c r="J551" s="27">
        <f>Ft!G$3*EXP(Ft!G$38*($A551-Ft!G$2)^2)</f>
        <v>0</v>
      </c>
    </row>
    <row r="552" spans="1:10">
      <c r="A552" s="20">
        <v>550</v>
      </c>
      <c r="B552" s="29">
        <v>14.273863731271319</v>
      </c>
      <c r="C552" s="28">
        <f ca="1">OFFSET($B552,1*(ROWS(C$2:C552)-1),0)</f>
        <v>0</v>
      </c>
      <c r="D552" s="27">
        <f>Ft!B$3*EXP(Ft!B$38*($A552-Ft!B$2)^2) +Ft!C$3*EXP(Ft!C$38*($A552-Ft!C$2)^2) + Ft!D$3*EXP(Ft!D$38*($A552-Ft!D$2)^2)+Ft!E$3*EXP(Ft!E$38*($A552-Ft!E$2)^2) +Ft!F$3*EXP(Ft!F$38*($A552-Ft!F$2)^2) + Ft!G$3*EXP(Ft!G$38*($A552-Ft!G$2)^2)</f>
        <v>-114067.96078588272</v>
      </c>
      <c r="E552" s="27">
        <f>Ft!B$3*EXP(Ft!B$38*($A552-Ft!B$2)^2)</f>
        <v>-116140.71340949893</v>
      </c>
      <c r="F552" s="27">
        <f>Ft!C$3*EXP(Ft!C$38*($A552-Ft!C$2)^2)</f>
        <v>0</v>
      </c>
      <c r="G552" s="27">
        <f>Ft!D$3*EXP(Ft!D$38*($A552-Ft!D$2)^2)</f>
        <v>2072.7526235201635</v>
      </c>
      <c r="H552" s="27">
        <f>Ft!E$3*EXP(Ft!E$38*($A552-Ft!E$2)^2)</f>
        <v>8.4695208288384342E-34</v>
      </c>
      <c r="I552" s="27">
        <f>Ft!F$3*EXP(Ft!F$38*($A552-Ft!F$2)^2)</f>
        <v>9.6045613404971466E-8</v>
      </c>
      <c r="J552" s="27">
        <f>Ft!G$3*EXP(Ft!G$38*($A552-Ft!G$2)^2)</f>
        <v>0</v>
      </c>
    </row>
    <row r="553" spans="1:10">
      <c r="A553" s="20">
        <v>551</v>
      </c>
      <c r="B553" s="29">
        <v>14.065492114766272</v>
      </c>
      <c r="C553" s="28">
        <f ca="1">OFFSET($B553,1*(ROWS(C$2:C553)-1),0)</f>
        <v>0</v>
      </c>
      <c r="D553" s="27">
        <f>Ft!B$3*EXP(Ft!B$38*($A553-Ft!B$2)^2) +Ft!C$3*EXP(Ft!C$38*($A553-Ft!C$2)^2) + Ft!D$3*EXP(Ft!D$38*($A553-Ft!D$2)^2)+Ft!E$3*EXP(Ft!E$38*($A553-Ft!E$2)^2) +Ft!F$3*EXP(Ft!F$38*($A553-Ft!F$2)^2) + Ft!G$3*EXP(Ft!G$38*($A553-Ft!G$2)^2)</f>
        <v>-114143.36462096701</v>
      </c>
      <c r="E553" s="27">
        <f>Ft!B$3*EXP(Ft!B$38*($A553-Ft!B$2)^2)</f>
        <v>-116141.82657889125</v>
      </c>
      <c r="F553" s="27">
        <f>Ft!C$3*EXP(Ft!C$38*($A553-Ft!C$2)^2)</f>
        <v>0</v>
      </c>
      <c r="G553" s="27">
        <f>Ft!D$3*EXP(Ft!D$38*($A553-Ft!D$2)^2)</f>
        <v>1998.4619578391817</v>
      </c>
      <c r="H553" s="27">
        <f>Ft!E$3*EXP(Ft!E$38*($A553-Ft!E$2)^2)</f>
        <v>6.1271560642937617E-34</v>
      </c>
      <c r="I553" s="27">
        <f>Ft!F$3*EXP(Ft!F$38*($A553-Ft!F$2)^2)</f>
        <v>8.5062003157289633E-8</v>
      </c>
      <c r="J553" s="27">
        <f>Ft!G$3*EXP(Ft!G$38*($A553-Ft!G$2)^2)</f>
        <v>0</v>
      </c>
    </row>
    <row r="554" spans="1:10">
      <c r="A554" s="20">
        <v>552</v>
      </c>
      <c r="B554" s="29">
        <v>13.865480582505</v>
      </c>
      <c r="C554" s="28">
        <f ca="1">OFFSET($B554,1*(ROWS(C$2:C554)-1),0)</f>
        <v>0</v>
      </c>
      <c r="D554" s="27">
        <f>Ft!B$3*EXP(Ft!B$38*($A554-Ft!B$2)^2) +Ft!C$3*EXP(Ft!C$38*($A554-Ft!C$2)^2) + Ft!D$3*EXP(Ft!D$38*($A554-Ft!D$2)^2)+Ft!E$3*EXP(Ft!E$38*($A554-Ft!E$2)^2) +Ft!F$3*EXP(Ft!F$38*($A554-Ft!F$2)^2) + Ft!G$3*EXP(Ft!G$38*($A554-Ft!G$2)^2)</f>
        <v>-114216.33206942226</v>
      </c>
      <c r="E554" s="27">
        <f>Ft!B$3*EXP(Ft!B$38*($A554-Ft!B$2)^2)</f>
        <v>-116142.93922208548</v>
      </c>
      <c r="F554" s="27">
        <f>Ft!C$3*EXP(Ft!C$38*($A554-Ft!C$2)^2)</f>
        <v>0</v>
      </c>
      <c r="G554" s="27">
        <f>Ft!D$3*EXP(Ft!D$38*($A554-Ft!D$2)^2)</f>
        <v>1926.6071525879013</v>
      </c>
      <c r="H554" s="27">
        <f>Ft!E$3*EXP(Ft!E$38*($A554-Ft!E$2)^2)</f>
        <v>4.4299323811535192E-34</v>
      </c>
      <c r="I554" s="27">
        <f>Ft!F$3*EXP(Ft!F$38*($A554-Ft!F$2)^2)</f>
        <v>7.5314756063343782E-8</v>
      </c>
      <c r="J554" s="27">
        <f>Ft!G$3*EXP(Ft!G$38*($A554-Ft!G$2)^2)</f>
        <v>0</v>
      </c>
    </row>
    <row r="555" spans="1:10">
      <c r="A555" s="20">
        <v>553</v>
      </c>
      <c r="B555" s="29">
        <v>13.65613041188368</v>
      </c>
      <c r="C555" s="28">
        <f ca="1">OFFSET($B555,1*(ROWS(C$2:C555)-1),0)</f>
        <v>0</v>
      </c>
      <c r="D555" s="27">
        <f>Ft!B$3*EXP(Ft!B$38*($A555-Ft!B$2)^2) +Ft!C$3*EXP(Ft!C$38*($A555-Ft!C$2)^2) + Ft!D$3*EXP(Ft!D$38*($A555-Ft!D$2)^2)+Ft!E$3*EXP(Ft!E$38*($A555-Ft!E$2)^2) +Ft!F$3*EXP(Ft!F$38*($A555-Ft!F$2)^2) + Ft!G$3*EXP(Ft!G$38*($A555-Ft!G$2)^2)</f>
        <v>-114286.93409897911</v>
      </c>
      <c r="E555" s="27">
        <f>Ft!B$3*EXP(Ft!B$38*($A555-Ft!B$2)^2)</f>
        <v>-116144.05133906627</v>
      </c>
      <c r="F555" s="27">
        <f>Ft!C$3*EXP(Ft!C$38*($A555-Ft!C$2)^2)</f>
        <v>0</v>
      </c>
      <c r="G555" s="27">
        <f>Ft!D$3*EXP(Ft!D$38*($A555-Ft!D$2)^2)</f>
        <v>1857.1172400205021</v>
      </c>
      <c r="H555" s="27">
        <f>Ft!E$3*EXP(Ft!E$38*($A555-Ft!E$2)^2)</f>
        <v>3.2009088324894632E-34</v>
      </c>
      <c r="I555" s="27">
        <f>Ft!F$3*EXP(Ft!F$38*($A555-Ft!F$2)^2)</f>
        <v>6.666700398279091E-8</v>
      </c>
      <c r="J555" s="27">
        <f>Ft!G$3*EXP(Ft!G$38*($A555-Ft!G$2)^2)</f>
        <v>0</v>
      </c>
    </row>
    <row r="556" spans="1:10">
      <c r="A556" s="20">
        <v>554</v>
      </c>
      <c r="B556" s="29">
        <v>13.471934130958971</v>
      </c>
      <c r="C556" s="28">
        <f ca="1">OFFSET($B556,1*(ROWS(C$2:C556)-1),0)</f>
        <v>0</v>
      </c>
      <c r="D556" s="27">
        <f>Ft!B$3*EXP(Ft!B$38*($A556-Ft!B$2)^2) +Ft!C$3*EXP(Ft!C$38*($A556-Ft!C$2)^2) + Ft!D$3*EXP(Ft!D$38*($A556-Ft!D$2)^2)+Ft!E$3*EXP(Ft!E$38*($A556-Ft!E$2)^2) +Ft!F$3*EXP(Ft!F$38*($A556-Ft!F$2)^2) + Ft!G$3*EXP(Ft!G$38*($A556-Ft!G$2)^2)</f>
        <v>-114355.23994183243</v>
      </c>
      <c r="E556" s="27">
        <f>Ft!B$3*EXP(Ft!B$38*($A556-Ft!B$2)^2)</f>
        <v>-116145.16292981831</v>
      </c>
      <c r="F556" s="27">
        <f>Ft!C$3*EXP(Ft!C$38*($A556-Ft!C$2)^2)</f>
        <v>0</v>
      </c>
      <c r="G556" s="27">
        <f>Ft!D$3*EXP(Ft!D$38*($A556-Ft!D$2)^2)</f>
        <v>1789.9229879268842</v>
      </c>
      <c r="H556" s="27">
        <f>Ft!E$3*EXP(Ft!E$38*($A556-Ft!E$2)^2)</f>
        <v>2.3114662966544121E-34</v>
      </c>
      <c r="I556" s="27">
        <f>Ft!F$3*EXP(Ft!F$38*($A556-Ft!F$2)^2)</f>
        <v>5.8996765154673851E-8</v>
      </c>
      <c r="J556" s="27">
        <f>Ft!G$3*EXP(Ft!G$38*($A556-Ft!G$2)^2)</f>
        <v>0</v>
      </c>
    </row>
    <row r="557" spans="1:10">
      <c r="A557" s="20">
        <v>555</v>
      </c>
      <c r="B557" s="29">
        <v>13.266881052640798</v>
      </c>
      <c r="C557" s="28">
        <f ca="1">OFFSET($B557,1*(ROWS(C$2:C557)-1),0)</f>
        <v>0</v>
      </c>
      <c r="D557" s="27">
        <f>Ft!B$3*EXP(Ft!B$38*($A557-Ft!B$2)^2) +Ft!C$3*EXP(Ft!C$38*($A557-Ft!C$2)^2) + Ft!D$3*EXP(Ft!D$38*($A557-Ft!D$2)^2)+Ft!E$3*EXP(Ft!E$38*($A557-Ft!E$2)^2) +Ft!F$3*EXP(Ft!F$38*($A557-Ft!F$2)^2) + Ft!G$3*EXP(Ft!G$38*($A557-Ft!G$2)^2)</f>
        <v>-114421.31712522886</v>
      </c>
      <c r="E557" s="27">
        <f>Ft!B$3*EXP(Ft!B$38*($A557-Ft!B$2)^2)</f>
        <v>-116146.27399432627</v>
      </c>
      <c r="F557" s="27">
        <f>Ft!C$3*EXP(Ft!C$38*($A557-Ft!C$2)^2)</f>
        <v>0</v>
      </c>
      <c r="G557" s="27">
        <f>Ft!D$3*EXP(Ft!D$38*($A557-Ft!D$2)^2)</f>
        <v>1724.9568690452086</v>
      </c>
      <c r="H557" s="27">
        <f>Ft!E$3*EXP(Ft!E$38*($A557-Ft!E$2)^2)</f>
        <v>1.668168356557824E-34</v>
      </c>
      <c r="I557" s="27">
        <f>Ft!F$3*EXP(Ft!F$38*($A557-Ft!F$2)^2)</f>
        <v>5.2195355194658848E-8</v>
      </c>
      <c r="J557" s="27">
        <f>Ft!G$3*EXP(Ft!G$38*($A557-Ft!G$2)^2)</f>
        <v>0</v>
      </c>
    </row>
    <row r="558" spans="1:10">
      <c r="A558" s="20">
        <v>556</v>
      </c>
      <c r="B558" s="29">
        <v>13.053026659486818</v>
      </c>
      <c r="C558" s="28">
        <f ca="1">OFFSET($B558,1*(ROWS(C$2:C558)-1),0)</f>
        <v>0</v>
      </c>
      <c r="D558" s="27">
        <f>Ft!B$3*EXP(Ft!B$38*($A558-Ft!B$2)^2) +Ft!C$3*EXP(Ft!C$38*($A558-Ft!C$2)^2) + Ft!D$3*EXP(Ft!D$38*($A558-Ft!D$2)^2)+Ft!E$3*EXP(Ft!E$38*($A558-Ft!E$2)^2) +Ft!F$3*EXP(Ft!F$38*($A558-Ft!F$2)^2) + Ft!G$3*EXP(Ft!G$38*($A558-Ft!G$2)^2)</f>
        <v>-114485.23150193461</v>
      </c>
      <c r="E558" s="27">
        <f>Ft!B$3*EXP(Ft!B$38*($A558-Ft!B$2)^2)</f>
        <v>-116147.38453257487</v>
      </c>
      <c r="F558" s="27">
        <f>Ft!C$3*EXP(Ft!C$38*($A558-Ft!C$2)^2)</f>
        <v>0</v>
      </c>
      <c r="G558" s="27">
        <f>Ft!D$3*EXP(Ft!D$38*($A558-Ft!D$2)^2)</f>
        <v>1662.1530305940869</v>
      </c>
      <c r="H558" s="27">
        <f>Ft!E$3*EXP(Ft!E$38*($A558-Ft!E$2)^2)</f>
        <v>1.2031790051504713E-34</v>
      </c>
      <c r="I558" s="27">
        <f>Ft!F$3*EXP(Ft!F$38*($A558-Ft!F$2)^2)</f>
        <v>4.6165964341070111E-8</v>
      </c>
      <c r="J558" s="27">
        <f>Ft!G$3*EXP(Ft!G$38*($A558-Ft!G$2)^2)</f>
        <v>0</v>
      </c>
    </row>
    <row r="559" spans="1:10">
      <c r="A559" s="20">
        <v>557</v>
      </c>
      <c r="B559" s="29">
        <v>12.843160599564413</v>
      </c>
      <c r="C559" s="28">
        <f ca="1">OFFSET($B559,1*(ROWS(C$2:C559)-1),0)</f>
        <v>0</v>
      </c>
      <c r="D559" s="27">
        <f>Ft!B$3*EXP(Ft!B$38*($A559-Ft!B$2)^2) +Ft!C$3*EXP(Ft!C$38*($A559-Ft!C$2)^2) + Ft!D$3*EXP(Ft!D$38*($A559-Ft!D$2)^2)+Ft!E$3*EXP(Ft!E$38*($A559-Ft!E$2)^2) +Ft!F$3*EXP(Ft!F$38*($A559-Ft!F$2)^2) + Ft!G$3*EXP(Ft!G$38*($A559-Ft!G$2)^2)</f>
        <v>-114547.04728056674</v>
      </c>
      <c r="E559" s="27">
        <f>Ft!B$3*EXP(Ft!B$38*($A559-Ft!B$2)^2)</f>
        <v>-116148.49454454878</v>
      </c>
      <c r="F559" s="27">
        <f>Ft!C$3*EXP(Ft!C$38*($A559-Ft!C$2)^2)</f>
        <v>0</v>
      </c>
      <c r="G559" s="27">
        <f>Ft!D$3*EXP(Ft!D$38*($A559-Ft!D$2)^2)</f>
        <v>1601.4472639412229</v>
      </c>
      <c r="H559" s="27">
        <f>Ft!E$3*EXP(Ft!E$38*($A559-Ft!E$2)^2)</f>
        <v>8.6727866768840779E-35</v>
      </c>
      <c r="I559" s="27">
        <f>Ft!F$3*EXP(Ft!F$38*($A559-Ft!F$2)^2)</f>
        <v>4.0822383925987799E-8</v>
      </c>
      <c r="J559" s="27">
        <f>Ft!G$3*EXP(Ft!G$38*($A559-Ft!G$2)^2)</f>
        <v>0</v>
      </c>
    </row>
    <row r="560" spans="1:10">
      <c r="A560" s="20">
        <v>558</v>
      </c>
      <c r="B560" s="29">
        <v>12.626010003957106</v>
      </c>
      <c r="C560" s="28">
        <f ca="1">OFFSET($B560,1*(ROWS(C$2:C560)-1),0)</f>
        <v>0</v>
      </c>
      <c r="D560" s="27">
        <f>Ft!B$3*EXP(Ft!B$38*($A560-Ft!B$2)^2) +Ft!C$3*EXP(Ft!C$38*($A560-Ft!C$2)^2) + Ft!D$3*EXP(Ft!D$38*($A560-Ft!D$2)^2)+Ft!E$3*EXP(Ft!E$38*($A560-Ft!E$2)^2) +Ft!F$3*EXP(Ft!F$38*($A560-Ft!F$2)^2) + Ft!G$3*EXP(Ft!G$38*($A560-Ft!G$2)^2)</f>
        <v>-114606.82705577205</v>
      </c>
      <c r="E560" s="27">
        <f>Ft!B$3*EXP(Ft!B$38*($A560-Ft!B$2)^2)</f>
        <v>-116149.60403023275</v>
      </c>
      <c r="F560" s="27">
        <f>Ft!C$3*EXP(Ft!C$38*($A560-Ft!C$2)^2)</f>
        <v>0</v>
      </c>
      <c r="G560" s="27">
        <f>Ft!D$3*EXP(Ft!D$38*($A560-Ft!D$2)^2)</f>
        <v>1542.7769744245982</v>
      </c>
      <c r="H560" s="27">
        <f>Ft!E$3*EXP(Ft!E$38*($A560-Ft!E$2)^2)</f>
        <v>6.2477714795653562E-35</v>
      </c>
      <c r="I560" s="27">
        <f>Ft!F$3*EXP(Ft!F$38*($A560-Ft!F$2)^2)</f>
        <v>3.6087866750902796E-8</v>
      </c>
      <c r="J560" s="27">
        <f>Ft!G$3*EXP(Ft!G$38*($A560-Ft!G$2)^2)</f>
        <v>0</v>
      </c>
    </row>
    <row r="561" spans="1:10">
      <c r="A561" s="20">
        <v>559</v>
      </c>
      <c r="B561" s="29">
        <v>12.418321979640069</v>
      </c>
      <c r="C561" s="28">
        <f ca="1">OFFSET($B561,1*(ROWS(C$2:C561)-1),0)</f>
        <v>0</v>
      </c>
      <c r="D561" s="27">
        <f>Ft!B$3*EXP(Ft!B$38*($A561-Ft!B$2)^2) +Ft!C$3*EXP(Ft!C$38*($A561-Ft!C$2)^2) + Ft!D$3*EXP(Ft!D$38*($A561-Ft!D$2)^2)+Ft!E$3*EXP(Ft!E$38*($A561-Ft!E$2)^2) +Ft!F$3*EXP(Ft!F$38*($A561-Ft!F$2)^2) + Ft!G$3*EXP(Ft!G$38*($A561-Ft!G$2)^2)</f>
        <v>-114664.631838238</v>
      </c>
      <c r="E561" s="27">
        <f>Ft!B$3*EXP(Ft!B$38*($A561-Ft!B$2)^2)</f>
        <v>-116150.71298961145</v>
      </c>
      <c r="F561" s="27">
        <f>Ft!C$3*EXP(Ft!C$38*($A561-Ft!C$2)^2)</f>
        <v>0</v>
      </c>
      <c r="G561" s="27">
        <f>Ft!D$3*EXP(Ft!D$38*($A561-Ft!D$2)^2)</f>
        <v>1486.0811513415558</v>
      </c>
      <c r="H561" s="27">
        <f>Ft!E$3*EXP(Ft!E$38*($A561-Ft!E$2)^2)</f>
        <v>4.4981057470696659E-35</v>
      </c>
      <c r="I561" s="27">
        <f>Ft!F$3*EXP(Ft!F$38*($A561-Ft!F$2)^2)</f>
        <v>3.1894107583471663E-8</v>
      </c>
      <c r="J561" s="27">
        <f>Ft!G$3*EXP(Ft!G$38*($A561-Ft!G$2)^2)</f>
        <v>0</v>
      </c>
    </row>
    <row r="562" spans="1:10">
      <c r="A562" s="20">
        <v>560</v>
      </c>
      <c r="B562" s="29">
        <v>12.205130534359682</v>
      </c>
      <c r="C562" s="28">
        <f ca="1">OFFSET($B562,1*(ROWS(C$2:C562)-1),0)</f>
        <v>0</v>
      </c>
      <c r="D562" s="27">
        <f>Ft!B$3*EXP(Ft!B$38*($A562-Ft!B$2)^2) +Ft!C$3*EXP(Ft!C$38*($A562-Ft!C$2)^2) + Ft!D$3*EXP(Ft!D$38*($A562-Ft!D$2)^2)+Ft!E$3*EXP(Ft!E$38*($A562-Ft!E$2)^2) +Ft!F$3*EXP(Ft!F$38*($A562-Ft!F$2)^2) + Ft!G$3*EXP(Ft!G$38*($A562-Ft!G$2)^2)</f>
        <v>-114720.52108452098</v>
      </c>
      <c r="E562" s="27">
        <f>Ft!B$3*EXP(Ft!B$38*($A562-Ft!B$2)^2)</f>
        <v>-116151.82142266964</v>
      </c>
      <c r="F562" s="27">
        <f>Ft!C$3*EXP(Ft!C$38*($A562-Ft!C$2)^2)</f>
        <v>0</v>
      </c>
      <c r="G562" s="27">
        <f>Ft!D$3*EXP(Ft!D$38*($A562-Ft!D$2)^2)</f>
        <v>1431.3003381204696</v>
      </c>
      <c r="H562" s="27">
        <f>Ft!E$3*EXP(Ft!E$38*($A562-Ft!E$2)^2)</f>
        <v>3.2364748675589265E-35</v>
      </c>
      <c r="I562" s="27">
        <f>Ft!F$3*EXP(Ft!F$38*($A562-Ft!F$2)^2)</f>
        <v>2.8180331378584514E-8</v>
      </c>
      <c r="J562" s="27">
        <f>Ft!G$3*EXP(Ft!G$38*($A562-Ft!G$2)^2)</f>
        <v>0</v>
      </c>
    </row>
    <row r="563" spans="1:10">
      <c r="A563" s="20">
        <v>561</v>
      </c>
      <c r="B563" s="29">
        <v>11.985323135762115</v>
      </c>
      <c r="C563" s="28">
        <f ca="1">OFFSET($B563,1*(ROWS(C$2:C563)-1),0)</f>
        <v>0</v>
      </c>
      <c r="D563" s="27">
        <f>Ft!B$3*EXP(Ft!B$38*($A563-Ft!B$2)^2) +Ft!C$3*EXP(Ft!C$38*($A563-Ft!C$2)^2) + Ft!D$3*EXP(Ft!D$38*($A563-Ft!D$2)^2)+Ft!E$3*EXP(Ft!E$38*($A563-Ft!E$2)^2) +Ft!F$3*EXP(Ft!F$38*($A563-Ft!F$2)^2) + Ft!G$3*EXP(Ft!G$38*($A563-Ft!G$2)^2)</f>
        <v>-114774.55272667816</v>
      </c>
      <c r="E563" s="27">
        <f>Ft!B$3*EXP(Ft!B$38*($A563-Ft!B$2)^2)</f>
        <v>-116152.92932939203</v>
      </c>
      <c r="F563" s="27">
        <f>Ft!C$3*EXP(Ft!C$38*($A563-Ft!C$2)^2)</f>
        <v>0</v>
      </c>
      <c r="G563" s="27">
        <f>Ft!D$3*EXP(Ft!D$38*($A563-Ft!D$2)^2)</f>
        <v>1378.3766026889825</v>
      </c>
      <c r="H563" s="27">
        <f>Ft!E$3*EXP(Ft!E$38*($A563-Ft!E$2)^2)</f>
        <v>2.3273026794849754E-35</v>
      </c>
      <c r="I563" s="27">
        <f>Ft!F$3*EXP(Ft!F$38*($A563-Ft!F$2)^2)</f>
        <v>2.4892478077547655E-8</v>
      </c>
      <c r="J563" s="27">
        <f>Ft!G$3*EXP(Ft!G$38*($A563-Ft!G$2)^2)</f>
        <v>0</v>
      </c>
    </row>
    <row r="564" spans="1:10">
      <c r="A564" s="20">
        <v>562</v>
      </c>
      <c r="B564" s="29">
        <v>11.760402279798257</v>
      </c>
      <c r="C564" s="28">
        <f ca="1">OFFSET($B564,1*(ROWS(C$2:C564)-1),0)</f>
        <v>0</v>
      </c>
      <c r="D564" s="27">
        <f>Ft!B$3*EXP(Ft!B$38*($A564-Ft!B$2)^2) +Ft!C$3*EXP(Ft!C$38*($A564-Ft!C$2)^2) + Ft!D$3*EXP(Ft!D$38*($A564-Ft!D$2)^2)+Ft!E$3*EXP(Ft!E$38*($A564-Ft!E$2)^2) +Ft!F$3*EXP(Ft!F$38*($A564-Ft!F$2)^2) + Ft!G$3*EXP(Ft!G$38*($A564-Ft!G$2)^2)</f>
        <v>-114826.78320168925</v>
      </c>
      <c r="E564" s="27">
        <f>Ft!B$3*EXP(Ft!B$38*($A564-Ft!B$2)^2)</f>
        <v>-116154.03670976337</v>
      </c>
      <c r="F564" s="27">
        <f>Ft!C$3*EXP(Ft!C$38*($A564-Ft!C$2)^2)</f>
        <v>0</v>
      </c>
      <c r="G564" s="27">
        <f>Ft!D$3*EXP(Ft!D$38*($A564-Ft!D$2)^2)</f>
        <v>1327.2535080521316</v>
      </c>
      <c r="H564" s="27">
        <f>Ft!E$3*EXP(Ft!E$38*($A564-Ft!E$2)^2)</f>
        <v>1.6725208982672745E-35</v>
      </c>
      <c r="I564" s="27">
        <f>Ft!F$3*EXP(Ft!F$38*($A564-Ft!F$2)^2)</f>
        <v>2.1982473966694297E-8</v>
      </c>
      <c r="J564" s="27">
        <f>Ft!G$3*EXP(Ft!G$38*($A564-Ft!G$2)^2)</f>
        <v>0</v>
      </c>
    </row>
    <row r="565" spans="1:10">
      <c r="A565" s="20">
        <v>563</v>
      </c>
      <c r="B565" s="29">
        <v>11.520651256705605</v>
      </c>
      <c r="C565" s="28">
        <f ca="1">OFFSET($B565,1*(ROWS(C$2:C565)-1),0)</f>
        <v>0</v>
      </c>
      <c r="D565" s="27">
        <f>Ft!B$3*EXP(Ft!B$38*($A565-Ft!B$2)^2) +Ft!C$3*EXP(Ft!C$38*($A565-Ft!C$2)^2) + Ft!D$3*EXP(Ft!D$38*($A565-Ft!D$2)^2)+Ft!E$3*EXP(Ft!E$38*($A565-Ft!E$2)^2) +Ft!F$3*EXP(Ft!F$38*($A565-Ft!F$2)^2) + Ft!G$3*EXP(Ft!G$38*($A565-Ft!G$2)^2)</f>
        <v>-114877.26748065595</v>
      </c>
      <c r="E565" s="27">
        <f>Ft!B$3*EXP(Ft!B$38*($A565-Ft!B$2)^2)</f>
        <v>-116155.14356376839</v>
      </c>
      <c r="F565" s="27">
        <f>Ft!C$3*EXP(Ft!C$38*($A565-Ft!C$2)^2)</f>
        <v>0</v>
      </c>
      <c r="G565" s="27">
        <f>Ft!D$3*EXP(Ft!D$38*($A565-Ft!D$2)^2)</f>
        <v>1277.876083093028</v>
      </c>
      <c r="H565" s="27">
        <f>Ft!E$3*EXP(Ft!E$38*($A565-Ft!E$2)^2)</f>
        <v>1.2012358623045281E-35</v>
      </c>
      <c r="I565" s="27">
        <f>Ft!F$3*EXP(Ft!F$38*($A565-Ft!F$2)^2)</f>
        <v>1.9407580592952854E-8</v>
      </c>
      <c r="J565" s="27">
        <f>Ft!G$3*EXP(Ft!G$38*($A565-Ft!G$2)^2)</f>
        <v>0</v>
      </c>
    </row>
    <row r="566" spans="1:10">
      <c r="A566" s="20">
        <v>564</v>
      </c>
      <c r="B566" s="29">
        <v>11.296225708633585</v>
      </c>
      <c r="C566" s="28">
        <f ca="1">OFFSET($B566,1*(ROWS(C$2:C566)-1),0)</f>
        <v>0</v>
      </c>
      <c r="D566" s="27">
        <f>Ft!B$3*EXP(Ft!B$38*($A566-Ft!B$2)^2) +Ft!C$3*EXP(Ft!C$38*($A566-Ft!C$2)^2) + Ft!D$3*EXP(Ft!D$38*($A566-Ft!D$2)^2)+Ft!E$3*EXP(Ft!E$38*($A566-Ft!E$2)^2) +Ft!F$3*EXP(Ft!F$38*($A566-Ft!F$2)^2) + Ft!G$3*EXP(Ft!G$38*($A566-Ft!G$2)^2)</f>
        <v>-114926.05909776661</v>
      </c>
      <c r="E566" s="27">
        <f>Ft!B$3*EXP(Ft!B$38*($A566-Ft!B$2)^2)</f>
        <v>-116156.24989139184</v>
      </c>
      <c r="F566" s="27">
        <f>Ft!C$3*EXP(Ft!C$38*($A566-Ft!C$2)^2)</f>
        <v>0</v>
      </c>
      <c r="G566" s="27">
        <f>Ft!D$3*EXP(Ft!D$38*($A566-Ft!D$2)^2)</f>
        <v>1230.1907936080918</v>
      </c>
      <c r="H566" s="27">
        <f>Ft!E$3*EXP(Ft!E$38*($A566-Ft!E$2)^2)</f>
        <v>8.6222989911067005E-36</v>
      </c>
      <c r="I566" s="27">
        <f>Ft!F$3*EXP(Ft!F$38*($A566-Ft!F$2)^2)</f>
        <v>1.7129813149527707E-8</v>
      </c>
      <c r="J566" s="27">
        <f>Ft!G$3*EXP(Ft!G$38*($A566-Ft!G$2)^2)</f>
        <v>0</v>
      </c>
    </row>
    <row r="567" spans="1:10">
      <c r="A567" s="20">
        <v>565</v>
      </c>
      <c r="B567" s="29">
        <v>11.090565052095286</v>
      </c>
      <c r="C567" s="28">
        <f ca="1">OFFSET($B567,1*(ROWS(C$2:C567)-1),0)</f>
        <v>0</v>
      </c>
      <c r="D567" s="27">
        <f>Ft!B$3*EXP(Ft!B$38*($A567-Ft!B$2)^2) +Ft!C$3*EXP(Ft!C$38*($A567-Ft!C$2)^2) + Ft!D$3*EXP(Ft!D$38*($A567-Ft!D$2)^2)+Ft!E$3*EXP(Ft!E$38*($A567-Ft!E$2)^2) +Ft!F$3*EXP(Ft!F$38*($A567-Ft!F$2)^2) + Ft!G$3*EXP(Ft!G$38*($A567-Ft!G$2)^2)</f>
        <v>-114973.21017901515</v>
      </c>
      <c r="E567" s="27">
        <f>Ft!B$3*EXP(Ft!B$38*($A567-Ft!B$2)^2)</f>
        <v>-116157.35569261848</v>
      </c>
      <c r="F567" s="27">
        <f>Ft!C$3*EXP(Ft!C$38*($A567-Ft!C$2)^2)</f>
        <v>0</v>
      </c>
      <c r="G567" s="27">
        <f>Ft!D$3*EXP(Ft!D$38*($A567-Ft!D$2)^2)</f>
        <v>1184.1455135882179</v>
      </c>
      <c r="H567" s="27">
        <f>Ft!E$3*EXP(Ft!E$38*($A567-Ft!E$2)^2)</f>
        <v>6.1852309544424485E-36</v>
      </c>
      <c r="I567" s="27">
        <f>Ft!F$3*EXP(Ft!F$38*($A567-Ft!F$2)^2)</f>
        <v>1.5115421069566034E-8</v>
      </c>
      <c r="J567" s="27">
        <f>Ft!G$3*EXP(Ft!G$38*($A567-Ft!G$2)^2)</f>
        <v>0</v>
      </c>
    </row>
    <row r="568" spans="1:10">
      <c r="A568" s="20">
        <v>566</v>
      </c>
      <c r="B568" s="29">
        <v>10.897232741333823</v>
      </c>
      <c r="C568" s="28">
        <f ca="1">OFFSET($B568,1*(ROWS(C$2:C568)-1),0)</f>
        <v>0</v>
      </c>
      <c r="D568" s="27">
        <f>Ft!B$3*EXP(Ft!B$38*($A568-Ft!B$2)^2) +Ft!C$3*EXP(Ft!C$38*($A568-Ft!C$2)^2) + Ft!D$3*EXP(Ft!D$38*($A568-Ft!D$2)^2)+Ft!E$3*EXP(Ft!E$38*($A568-Ft!E$2)^2) +Ft!F$3*EXP(Ft!F$38*($A568-Ft!F$2)^2) + Ft!G$3*EXP(Ft!G$38*($A568-Ft!G$2)^2)</f>
        <v>-115018.77147066312</v>
      </c>
      <c r="E568" s="27">
        <f>Ft!B$3*EXP(Ft!B$38*($A568-Ft!B$2)^2)</f>
        <v>-116158.4609674331</v>
      </c>
      <c r="F568" s="27">
        <f>Ft!C$3*EXP(Ft!C$38*($A568-Ft!C$2)^2)</f>
        <v>0</v>
      </c>
      <c r="G568" s="27">
        <f>Ft!D$3*EXP(Ft!D$38*($A568-Ft!D$2)^2)</f>
        <v>1139.6894967566425</v>
      </c>
      <c r="H568" s="27">
        <f>Ft!E$3*EXP(Ft!E$38*($A568-Ft!E$2)^2)</f>
        <v>4.434317806064401E-36</v>
      </c>
      <c r="I568" s="27">
        <f>Ft!F$3*EXP(Ft!F$38*($A568-Ft!F$2)^2)</f>
        <v>1.3334424308297429E-8</v>
      </c>
      <c r="J568" s="27">
        <f>Ft!G$3*EXP(Ft!G$38*($A568-Ft!G$2)^2)</f>
        <v>0</v>
      </c>
    </row>
    <row r="569" spans="1:10">
      <c r="A569" s="20">
        <v>567</v>
      </c>
      <c r="B569" s="29">
        <v>10.690995393109802</v>
      </c>
      <c r="C569" s="28">
        <f ca="1">OFFSET($B569,1*(ROWS(C$2:C569)-1),0)</f>
        <v>0</v>
      </c>
      <c r="D569" s="27">
        <f>Ft!B$3*EXP(Ft!B$38*($A569-Ft!B$2)^2) +Ft!C$3*EXP(Ft!C$38*($A569-Ft!C$2)^2) + Ft!D$3*EXP(Ft!D$38*($A569-Ft!D$2)^2)+Ft!E$3*EXP(Ft!E$38*($A569-Ft!E$2)^2) +Ft!F$3*EXP(Ft!F$38*($A569-Ft!F$2)^2) + Ft!G$3*EXP(Ft!G$38*($A569-Ft!G$2)^2)</f>
        <v>-115062.79236743505</v>
      </c>
      <c r="E569" s="27">
        <f>Ft!B$3*EXP(Ft!B$38*($A569-Ft!B$2)^2)</f>
        <v>-116159.56571582044</v>
      </c>
      <c r="F569" s="27">
        <f>Ft!C$3*EXP(Ft!C$38*($A569-Ft!C$2)^2)</f>
        <v>0</v>
      </c>
      <c r="G569" s="27">
        <f>Ft!D$3*EXP(Ft!D$38*($A569-Ft!D$2)^2)</f>
        <v>1096.7733483736381</v>
      </c>
      <c r="H569" s="27">
        <f>Ft!E$3*EXP(Ft!E$38*($A569-Ft!E$2)^2)</f>
        <v>3.1771356919197956E-36</v>
      </c>
      <c r="I569" s="27">
        <f>Ft!F$3*EXP(Ft!F$38*($A569-Ft!F$2)^2)</f>
        <v>1.1760199462594037E-8</v>
      </c>
      <c r="J569" s="27">
        <f>Ft!G$3*EXP(Ft!G$38*($A569-Ft!G$2)^2)</f>
        <v>0</v>
      </c>
    </row>
    <row r="570" spans="1:10">
      <c r="A570" s="20">
        <v>568</v>
      </c>
      <c r="B570" s="29">
        <v>10.506295649836488</v>
      </c>
      <c r="C570" s="28">
        <f ca="1">OFFSET($B570,1*(ROWS(C$2:C570)-1),0)</f>
        <v>0</v>
      </c>
      <c r="D570" s="27">
        <f>Ft!B$3*EXP(Ft!B$38*($A570-Ft!B$2)^2) +Ft!C$3*EXP(Ft!C$38*($A570-Ft!C$2)^2) + Ft!D$3*EXP(Ft!D$38*($A570-Ft!D$2)^2)+Ft!E$3*EXP(Ft!E$38*($A570-Ft!E$2)^2) +Ft!F$3*EXP(Ft!F$38*($A570-Ft!F$2)^2) + Ft!G$3*EXP(Ft!G$38*($A570-Ft!G$2)^2)</f>
        <v>-115105.32094043733</v>
      </c>
      <c r="E570" s="27">
        <f>Ft!B$3*EXP(Ft!B$38*($A570-Ft!B$2)^2)</f>
        <v>-116160.66993776531</v>
      </c>
      <c r="F570" s="27">
        <f>Ft!C$3*EXP(Ft!C$38*($A570-Ft!C$2)^2)</f>
        <v>0</v>
      </c>
      <c r="G570" s="27">
        <f>Ft!D$3*EXP(Ft!D$38*($A570-Ft!D$2)^2)</f>
        <v>1055.3489973176024</v>
      </c>
      <c r="H570" s="27">
        <f>Ft!E$3*EXP(Ft!E$38*($A570-Ft!E$2)^2)</f>
        <v>2.2750071407240877E-36</v>
      </c>
      <c r="I570" s="27">
        <f>Ft!F$3*EXP(Ft!F$38*($A570-Ft!F$2)^2)</f>
        <v>1.0369110478426877E-8</v>
      </c>
      <c r="J570" s="27">
        <f>Ft!G$3*EXP(Ft!G$38*($A570-Ft!G$2)^2)</f>
        <v>0</v>
      </c>
    </row>
    <row r="571" spans="1:10">
      <c r="A571" s="20">
        <v>569</v>
      </c>
      <c r="B571" s="29">
        <v>10.311858366974519</v>
      </c>
      <c r="C571" s="28">
        <f ca="1">OFFSET($B571,1*(ROWS(C$2:C571)-1),0)</f>
        <v>0</v>
      </c>
      <c r="D571" s="27">
        <f>Ft!B$3*EXP(Ft!B$38*($A571-Ft!B$2)^2) +Ft!C$3*EXP(Ft!C$38*($A571-Ft!C$2)^2) + Ft!D$3*EXP(Ft!D$38*($A571-Ft!D$2)^2)+Ft!E$3*EXP(Ft!E$38*($A571-Ft!E$2)^2) +Ft!F$3*EXP(Ft!F$38*($A571-Ft!F$2)^2) + Ft!G$3*EXP(Ft!G$38*($A571-Ft!G$2)^2)</f>
        <v>-115146.40396479184</v>
      </c>
      <c r="E571" s="27">
        <f>Ft!B$3*EXP(Ft!B$38*($A571-Ft!B$2)^2)</f>
        <v>-116161.77363325248</v>
      </c>
      <c r="F571" s="27">
        <f>Ft!C$3*EXP(Ft!C$38*($A571-Ft!C$2)^2)</f>
        <v>0</v>
      </c>
      <c r="G571" s="27">
        <f>Ft!D$3*EXP(Ft!D$38*($A571-Ft!D$2)^2)</f>
        <v>1015.3696684515068</v>
      </c>
      <c r="H571" s="27">
        <f>Ft!E$3*EXP(Ft!E$38*($A571-Ft!E$2)^2)</f>
        <v>1.6280502964182402E-36</v>
      </c>
      <c r="I571" s="27">
        <f>Ft!F$3*EXP(Ft!F$38*($A571-Ft!F$2)^2)</f>
        <v>9.1401792378210901E-9</v>
      </c>
      <c r="J571" s="27">
        <f>Ft!G$3*EXP(Ft!G$38*($A571-Ft!G$2)^2)</f>
        <v>0</v>
      </c>
    </row>
    <row r="572" spans="1:10">
      <c r="A572" s="20">
        <v>570</v>
      </c>
      <c r="B572" s="29">
        <v>10.141444825596807</v>
      </c>
      <c r="C572" s="28">
        <f ca="1">OFFSET($B572,1*(ROWS(C$2:C572)-1),0)</f>
        <v>0</v>
      </c>
      <c r="D572" s="27">
        <f>Ft!B$3*EXP(Ft!B$38*($A572-Ft!B$2)^2) +Ft!C$3*EXP(Ft!C$38*($A572-Ft!C$2)^2) + Ft!D$3*EXP(Ft!D$38*($A572-Ft!D$2)^2)+Ft!E$3*EXP(Ft!E$38*($A572-Ft!E$2)^2) +Ft!F$3*EXP(Ft!F$38*($A572-Ft!F$2)^2) + Ft!G$3*EXP(Ft!G$38*($A572-Ft!G$2)^2)</f>
        <v>-115186.08694697557</v>
      </c>
      <c r="E572" s="27">
        <f>Ft!B$3*EXP(Ft!B$38*($A572-Ft!B$2)^2)</f>
        <v>-116162.87680226674</v>
      </c>
      <c r="F572" s="27">
        <f>Ft!C$3*EXP(Ft!C$38*($A572-Ft!C$2)^2)</f>
        <v>0</v>
      </c>
      <c r="G572" s="27">
        <f>Ft!D$3*EXP(Ft!D$38*($A572-Ft!D$2)^2)</f>
        <v>976.78985528310614</v>
      </c>
      <c r="H572" s="27">
        <f>Ft!E$3*EXP(Ft!E$38*($A572-Ft!E$2)^2)</f>
        <v>1.1643697769783734E-36</v>
      </c>
      <c r="I572" s="27">
        <f>Ft!F$3*EXP(Ft!F$38*($A572-Ft!F$2)^2)</f>
        <v>8.0547918035433917E-9</v>
      </c>
      <c r="J572" s="27">
        <f>Ft!G$3*EXP(Ft!G$38*($A572-Ft!G$2)^2)</f>
        <v>0</v>
      </c>
    </row>
    <row r="573" spans="1:10">
      <c r="A573" s="20">
        <v>571</v>
      </c>
      <c r="B573" s="29">
        <v>9.9262992402260011</v>
      </c>
      <c r="C573" s="28">
        <f ca="1">OFFSET($B573,1*(ROWS(C$2:C573)-1),0)</f>
        <v>0</v>
      </c>
      <c r="D573" s="27">
        <f>Ft!B$3*EXP(Ft!B$38*($A573-Ft!B$2)^2) +Ft!C$3*EXP(Ft!C$38*($A573-Ft!C$2)^2) + Ft!D$3*EXP(Ft!D$38*($A573-Ft!D$2)^2)+Ft!E$3*EXP(Ft!E$38*($A573-Ft!E$2)^2) +Ft!F$3*EXP(Ft!F$38*($A573-Ft!F$2)^2) + Ft!G$3*EXP(Ft!G$38*($A573-Ft!G$2)^2)</f>
        <v>-115224.41415185903</v>
      </c>
      <c r="E573" s="27">
        <f>Ft!B$3*EXP(Ft!B$38*($A573-Ft!B$2)^2)</f>
        <v>-116163.97944479289</v>
      </c>
      <c r="F573" s="27">
        <f>Ft!C$3*EXP(Ft!C$38*($A573-Ft!C$2)^2)</f>
        <v>0</v>
      </c>
      <c r="G573" s="27">
        <f>Ft!D$3*EXP(Ft!D$38*($A573-Ft!D$2)^2)</f>
        <v>939.56529292675862</v>
      </c>
      <c r="H573" s="27">
        <f>Ft!E$3*EXP(Ft!E$38*($A573-Ft!E$2)^2)</f>
        <v>8.3224670313842695E-37</v>
      </c>
      <c r="I573" s="27">
        <f>Ft!F$3*EXP(Ft!F$38*($A573-Ft!F$2)^2)</f>
        <v>7.096436537249238E-9</v>
      </c>
      <c r="J573" s="27">
        <f>Ft!G$3*EXP(Ft!G$38*($A573-Ft!G$2)^2)</f>
        <v>0</v>
      </c>
    </row>
    <row r="574" spans="1:10">
      <c r="A574" s="20">
        <v>572</v>
      </c>
      <c r="B574" s="29">
        <v>9.7288480790247718</v>
      </c>
      <c r="C574" s="28">
        <f ca="1">OFFSET($B574,1*(ROWS(C$2:C574)-1),0)</f>
        <v>0</v>
      </c>
      <c r="D574" s="27">
        <f>Ft!B$3*EXP(Ft!B$38*($A574-Ft!B$2)^2) +Ft!C$3*EXP(Ft!C$38*($A574-Ft!C$2)^2) + Ft!D$3*EXP(Ft!D$38*($A574-Ft!D$2)^2)+Ft!E$3*EXP(Ft!E$38*($A574-Ft!E$2)^2) +Ft!F$3*EXP(Ft!F$38*($A574-Ft!F$2)^2) + Ft!G$3*EXP(Ft!G$38*($A574-Ft!G$2)^2)</f>
        <v>-115261.42862943532</v>
      </c>
      <c r="E574" s="27">
        <f>Ft!B$3*EXP(Ft!B$38*($A574-Ft!B$2)^2)</f>
        <v>-116165.08156081574</v>
      </c>
      <c r="F574" s="27">
        <f>Ft!C$3*EXP(Ft!C$38*($A574-Ft!C$2)^2)</f>
        <v>0</v>
      </c>
      <c r="G574" s="27">
        <f>Ft!D$3*EXP(Ft!D$38*($A574-Ft!D$2)^2)</f>
        <v>903.652931374167</v>
      </c>
      <c r="H574" s="27">
        <f>Ft!E$3*EXP(Ft!E$38*($A574-Ft!E$2)^2)</f>
        <v>5.9449922879975276E-37</v>
      </c>
      <c r="I574" s="27">
        <f>Ft!F$3*EXP(Ft!F$38*($A574-Ft!F$2)^2)</f>
        <v>6.2504707000041393E-9</v>
      </c>
      <c r="J574" s="27">
        <f>Ft!G$3*EXP(Ft!G$38*($A574-Ft!G$2)^2)</f>
        <v>0</v>
      </c>
    </row>
    <row r="575" spans="1:10">
      <c r="A575" s="20">
        <v>573</v>
      </c>
      <c r="B575" s="29">
        <v>9.559401010266356</v>
      </c>
      <c r="C575" s="28">
        <f ca="1">OFFSET($B575,1*(ROWS(C$2:C575)-1),0)</f>
        <v>0</v>
      </c>
      <c r="D575" s="27">
        <f>Ft!B$3*EXP(Ft!B$38*($A575-Ft!B$2)^2) +Ft!C$3*EXP(Ft!C$38*($A575-Ft!C$2)^2) + Ft!D$3*EXP(Ft!D$38*($A575-Ft!D$2)^2)+Ft!E$3*EXP(Ft!E$38*($A575-Ft!E$2)^2) +Ft!F$3*EXP(Ft!F$38*($A575-Ft!F$2)^2) + Ft!G$3*EXP(Ft!G$38*($A575-Ft!G$2)^2)</f>
        <v>-115297.1722412338</v>
      </c>
      <c r="E575" s="27">
        <f>Ft!B$3*EXP(Ft!B$38*($A575-Ft!B$2)^2)</f>
        <v>-116166.18315032011</v>
      </c>
      <c r="F575" s="27">
        <f>Ft!C$3*EXP(Ft!C$38*($A575-Ft!C$2)^2)</f>
        <v>0</v>
      </c>
      <c r="G575" s="27">
        <f>Ft!D$3*EXP(Ft!D$38*($A575-Ft!D$2)^2)</f>
        <v>869.01090908081756</v>
      </c>
      <c r="H575" s="27">
        <f>Ft!E$3*EXP(Ft!E$38*($A575-Ft!E$2)^2)</f>
        <v>4.2441288516777166E-37</v>
      </c>
      <c r="I575" s="27">
        <f>Ft!F$3*EXP(Ft!F$38*($A575-Ft!F$2)^2)</f>
        <v>5.5039124973549521E-9</v>
      </c>
      <c r="J575" s="27">
        <f>Ft!G$3*EXP(Ft!G$38*($A575-Ft!G$2)^2)</f>
        <v>0</v>
      </c>
    </row>
    <row r="576" spans="1:10">
      <c r="A576" s="20">
        <v>574</v>
      </c>
      <c r="B576" s="29">
        <v>9.403741790189116</v>
      </c>
      <c r="C576" s="28">
        <f ca="1">OFFSET($B576,1*(ROWS(C$2:C576)-1),0)</f>
        <v>0</v>
      </c>
      <c r="D576" s="27">
        <f>Ft!B$3*EXP(Ft!B$38*($A576-Ft!B$2)^2) +Ft!C$3*EXP(Ft!C$38*($A576-Ft!C$2)^2) + Ft!D$3*EXP(Ft!D$38*($A576-Ft!D$2)^2)+Ft!E$3*EXP(Ft!E$38*($A576-Ft!E$2)^2) +Ft!F$3*EXP(Ft!F$38*($A576-Ft!F$2)^2) + Ft!G$3*EXP(Ft!G$38*($A576-Ft!G$2)^2)</f>
        <v>-115331.68568641161</v>
      </c>
      <c r="E576" s="27">
        <f>Ft!B$3*EXP(Ft!B$38*($A576-Ft!B$2)^2)</f>
        <v>-116167.28421329084</v>
      </c>
      <c r="F576" s="27">
        <f>Ft!C$3*EXP(Ft!C$38*($A576-Ft!C$2)^2)</f>
        <v>0</v>
      </c>
      <c r="G576" s="27">
        <f>Ft!D$3*EXP(Ft!D$38*($A576-Ft!D$2)^2)</f>
        <v>835.59852687438126</v>
      </c>
      <c r="H576" s="27">
        <f>Ft!E$3*EXP(Ft!E$38*($A576-Ft!E$2)^2)</f>
        <v>3.0280558317927597E-37</v>
      </c>
      <c r="I576" s="27">
        <f>Ft!F$3*EXP(Ft!F$38*($A576-Ft!F$2)^2)</f>
        <v>4.8452558484141891E-9</v>
      </c>
      <c r="J576" s="27">
        <f>Ft!G$3*EXP(Ft!G$38*($A576-Ft!G$2)^2)</f>
        <v>0</v>
      </c>
    </row>
    <row r="577" spans="1:10">
      <c r="A577" s="20">
        <v>575</v>
      </c>
      <c r="B577" s="29">
        <v>9.2574082293790525</v>
      </c>
      <c r="C577" s="28">
        <f ca="1">OFFSET($B577,1*(ROWS(C$2:C577)-1),0)</f>
        <v>0</v>
      </c>
      <c r="D577" s="27">
        <f>Ft!B$3*EXP(Ft!B$38*($A577-Ft!B$2)^2) +Ft!C$3*EXP(Ft!C$38*($A577-Ft!C$2)^2) + Ft!D$3*EXP(Ft!D$38*($A577-Ft!D$2)^2)+Ft!E$3*EXP(Ft!E$38*($A577-Ft!E$2)^2) +Ft!F$3*EXP(Ft!F$38*($A577-Ft!F$2)^2) + Ft!G$3*EXP(Ft!G$38*($A577-Ft!G$2)^2)</f>
        <v>-115365.00852751762</v>
      </c>
      <c r="E577" s="27">
        <f>Ft!B$3*EXP(Ft!B$38*($A577-Ft!B$2)^2)</f>
        <v>-116168.38474971274</v>
      </c>
      <c r="F577" s="27">
        <f>Ft!C$3*EXP(Ft!C$38*($A577-Ft!C$2)^2)</f>
        <v>0</v>
      </c>
      <c r="G577" s="27">
        <f>Ft!D$3*EXP(Ft!D$38*($A577-Ft!D$2)^2)</f>
        <v>803.37622219085983</v>
      </c>
      <c r="H577" s="27">
        <f>Ft!E$3*EXP(Ft!E$38*($A577-Ft!E$2)^2)</f>
        <v>2.1591223313890434E-37</v>
      </c>
      <c r="I577" s="27">
        <f>Ft!F$3*EXP(Ft!F$38*($A577-Ft!F$2)^2)</f>
        <v>4.2643054433093487E-9</v>
      </c>
      <c r="J577" s="27">
        <f>Ft!G$3*EXP(Ft!G$38*($A577-Ft!G$2)^2)</f>
        <v>0</v>
      </c>
    </row>
    <row r="578" spans="1:10">
      <c r="A578" s="20">
        <v>576</v>
      </c>
      <c r="B578" s="29">
        <v>9.1299562006545898</v>
      </c>
      <c r="C578" s="28">
        <f ca="1">OFFSET($B578,1*(ROWS(C$2:C578)-1),0)</f>
        <v>0</v>
      </c>
      <c r="D578" s="27">
        <f>Ft!B$3*EXP(Ft!B$38*($A578-Ft!B$2)^2) +Ft!C$3*EXP(Ft!C$38*($A578-Ft!C$2)^2) + Ft!D$3*EXP(Ft!D$38*($A578-Ft!D$2)^2)+Ft!E$3*EXP(Ft!E$38*($A578-Ft!E$2)^2) +Ft!F$3*EXP(Ft!F$38*($A578-Ft!F$2)^2) + Ft!G$3*EXP(Ft!G$38*($A578-Ft!G$2)^2)</f>
        <v>-115397.17921592316</v>
      </c>
      <c r="E578" s="27">
        <f>Ft!B$3*EXP(Ft!B$38*($A578-Ft!B$2)^2)</f>
        <v>-116169.48475957065</v>
      </c>
      <c r="F578" s="27">
        <f>Ft!C$3*EXP(Ft!C$38*($A578-Ft!C$2)^2)</f>
        <v>0</v>
      </c>
      <c r="G578" s="27">
        <f>Ft!D$3*EXP(Ft!D$38*($A578-Ft!D$2)^2)</f>
        <v>772.30554364373563</v>
      </c>
      <c r="H578" s="27">
        <f>Ft!E$3*EXP(Ft!E$38*($A578-Ft!E$2)^2)</f>
        <v>1.5386104326782748E-37</v>
      </c>
      <c r="I578" s="27">
        <f>Ft!F$3*EXP(Ft!F$38*($A578-Ft!F$2)^2)</f>
        <v>3.7520299090661401E-9</v>
      </c>
      <c r="J578" s="27">
        <f>Ft!G$3*EXP(Ft!G$38*($A578-Ft!G$2)^2)</f>
        <v>0</v>
      </c>
    </row>
    <row r="579" spans="1:10">
      <c r="A579" s="20">
        <v>577</v>
      </c>
      <c r="B579" s="29">
        <v>8.9989691182289562</v>
      </c>
      <c r="C579" s="28">
        <f ca="1">OFFSET($B579,1*(ROWS(C$2:C579)-1),0)</f>
        <v>0</v>
      </c>
      <c r="D579" s="27">
        <f>Ft!B$3*EXP(Ft!B$38*($A579-Ft!B$2)^2) +Ft!C$3*EXP(Ft!C$38*($A579-Ft!C$2)^2) + Ft!D$3*EXP(Ft!D$38*($A579-Ft!D$2)^2)+Ft!E$3*EXP(Ft!E$38*($A579-Ft!E$2)^2) +Ft!F$3*EXP(Ft!F$38*($A579-Ft!F$2)^2) + Ft!G$3*EXP(Ft!G$38*($A579-Ft!G$2)^2)</f>
        <v>-115428.23511691514</v>
      </c>
      <c r="E579" s="27">
        <f>Ft!B$3*EXP(Ft!B$38*($A579-Ft!B$2)^2)</f>
        <v>-116170.58424284941</v>
      </c>
      <c r="F579" s="27">
        <f>Ft!C$3*EXP(Ft!C$38*($A579-Ft!C$2)^2)</f>
        <v>0</v>
      </c>
      <c r="G579" s="27">
        <f>Ft!D$3*EXP(Ft!D$38*($A579-Ft!D$2)^2)</f>
        <v>742.34912593096169</v>
      </c>
      <c r="H579" s="27">
        <f>Ft!E$3*EXP(Ft!E$38*($A579-Ft!E$2)^2)</f>
        <v>1.0957668290509292E-37</v>
      </c>
      <c r="I579" s="27">
        <f>Ft!F$3*EXP(Ft!F$38*($A579-Ft!F$2)^2)</f>
        <v>3.3004311334567524E-9</v>
      </c>
      <c r="J579" s="27">
        <f>Ft!G$3*EXP(Ft!G$38*($A579-Ft!G$2)^2)</f>
        <v>0</v>
      </c>
    </row>
    <row r="580" spans="1:10">
      <c r="A580" s="20">
        <v>578</v>
      </c>
      <c r="B580" s="29">
        <v>8.8866553598045641</v>
      </c>
      <c r="C580" s="28">
        <f ca="1">OFFSET($B580,1*(ROWS(C$2:C580)-1),0)</f>
        <v>0</v>
      </c>
      <c r="D580" s="27">
        <f>Ft!B$3*EXP(Ft!B$38*($A580-Ft!B$2)^2) +Ft!C$3*EXP(Ft!C$38*($A580-Ft!C$2)^2) + Ft!D$3*EXP(Ft!D$38*($A580-Ft!D$2)^2)+Ft!E$3*EXP(Ft!E$38*($A580-Ft!E$2)^2) +Ft!F$3*EXP(Ft!F$38*($A580-Ft!F$2)^2) + Ft!G$3*EXP(Ft!G$38*($A580-Ft!G$2)^2)</f>
        <v>-115458.21253444687</v>
      </c>
      <c r="E580" s="27">
        <f>Ft!B$3*EXP(Ft!B$38*($A580-Ft!B$2)^2)</f>
        <v>-116171.68319953389</v>
      </c>
      <c r="F580" s="27">
        <f>Ft!C$3*EXP(Ft!C$38*($A580-Ft!C$2)^2)</f>
        <v>0</v>
      </c>
      <c r="G580" s="27">
        <f>Ft!D$3*EXP(Ft!D$38*($A580-Ft!D$2)^2)</f>
        <v>713.47066508412138</v>
      </c>
      <c r="H580" s="27">
        <f>Ft!E$3*EXP(Ft!E$38*($A580-Ft!E$2)^2)</f>
        <v>7.7991213672925919E-38</v>
      </c>
      <c r="I580" s="27">
        <f>Ft!F$3*EXP(Ft!F$38*($A580-Ft!F$2)^2)</f>
        <v>2.902428002180863E-9</v>
      </c>
      <c r="J580" s="27">
        <f>Ft!G$3*EXP(Ft!G$38*($A580-Ft!G$2)^2)</f>
        <v>0</v>
      </c>
    </row>
    <row r="581" spans="1:10">
      <c r="A581" s="20">
        <v>579</v>
      </c>
      <c r="B581" s="29">
        <v>8.784516293154951</v>
      </c>
      <c r="C581" s="28">
        <f ca="1">OFFSET($B581,1*(ROWS(C$2:C581)-1),0)</f>
        <v>0</v>
      </c>
      <c r="D581" s="27">
        <f>Ft!B$3*EXP(Ft!B$38*($A581-Ft!B$2)^2) +Ft!C$3*EXP(Ft!C$38*($A581-Ft!C$2)^2) + Ft!D$3*EXP(Ft!D$38*($A581-Ft!D$2)^2)+Ft!E$3*EXP(Ft!E$38*($A581-Ft!E$2)^2) +Ft!F$3*EXP(Ft!F$38*($A581-Ft!F$2)^2) + Ft!G$3*EXP(Ft!G$38*($A581-Ft!G$2)^2)</f>
        <v>-115487.14673554269</v>
      </c>
      <c r="E581" s="27">
        <f>Ft!B$3*EXP(Ft!B$38*($A581-Ft!B$2)^2)</f>
        <v>-116172.78162960891</v>
      </c>
      <c r="F581" s="27">
        <f>Ft!C$3*EXP(Ft!C$38*($A581-Ft!C$2)^2)</f>
        <v>0</v>
      </c>
      <c r="G581" s="27">
        <f>Ft!D$3*EXP(Ft!D$38*($A581-Ft!D$2)^2)</f>
        <v>685.63489406368683</v>
      </c>
      <c r="H581" s="27">
        <f>Ft!E$3*EXP(Ft!E$38*($A581-Ft!E$2)^2)</f>
        <v>5.5476781952516832E-38</v>
      </c>
      <c r="I581" s="27">
        <f>Ft!F$3*EXP(Ft!F$38*($A581-Ft!F$2)^2)</f>
        <v>2.5517529893349144E-9</v>
      </c>
      <c r="J581" s="27">
        <f>Ft!G$3*EXP(Ft!G$38*($A581-Ft!G$2)^2)</f>
        <v>0</v>
      </c>
    </row>
    <row r="582" spans="1:10">
      <c r="A582" s="20">
        <v>580</v>
      </c>
      <c r="B582" s="29">
        <v>8.6865705767644101</v>
      </c>
      <c r="C582" s="28">
        <f ca="1">OFFSET($B582,1*(ROWS(C$2:C582)-1),0)</f>
        <v>0</v>
      </c>
      <c r="D582" s="27">
        <f>Ft!B$3*EXP(Ft!B$38*($A582-Ft!B$2)^2) +Ft!C$3*EXP(Ft!C$38*($A582-Ft!C$2)^2) + Ft!D$3*EXP(Ft!D$38*($A582-Ft!D$2)^2)+Ft!E$3*EXP(Ft!E$38*($A582-Ft!E$2)^2) +Ft!F$3*EXP(Ft!F$38*($A582-Ft!F$2)^2) + Ft!G$3*EXP(Ft!G$38*($A582-Ft!G$2)^2)</f>
        <v>-115515.07197435331</v>
      </c>
      <c r="E582" s="27">
        <f>Ft!B$3*EXP(Ft!B$38*($A582-Ft!B$2)^2)</f>
        <v>-116173.87953305939</v>
      </c>
      <c r="F582" s="27">
        <f>Ft!C$3*EXP(Ft!C$38*($A582-Ft!C$2)^2)</f>
        <v>0</v>
      </c>
      <c r="G582" s="27">
        <f>Ft!D$3*EXP(Ft!D$38*($A582-Ft!D$2)^2)</f>
        <v>658.80755870383098</v>
      </c>
      <c r="H582" s="27">
        <f>Ft!E$3*EXP(Ft!E$38*($A582-Ft!E$2)^2)</f>
        <v>3.9438001216688066E-38</v>
      </c>
      <c r="I582" s="27">
        <f>Ft!F$3*EXP(Ft!F$38*($A582-Ft!F$2)^2)</f>
        <v>2.242860206604071E-9</v>
      </c>
      <c r="J582" s="27">
        <f>Ft!G$3*EXP(Ft!G$38*($A582-Ft!G$2)^2)</f>
        <v>0</v>
      </c>
    </row>
    <row r="583" spans="1:10">
      <c r="A583" s="20">
        <v>581</v>
      </c>
      <c r="B583" s="29">
        <v>8.5902295417403707</v>
      </c>
      <c r="C583" s="28">
        <f ca="1">OFFSET($B583,1*(ROWS(C$2:C583)-1),0)</f>
        <v>0</v>
      </c>
      <c r="D583" s="27">
        <f>Ft!B$3*EXP(Ft!B$38*($A583-Ft!B$2)^2) +Ft!C$3*EXP(Ft!C$38*($A583-Ft!C$2)^2) + Ft!D$3*EXP(Ft!D$38*($A583-Ft!D$2)^2)+Ft!E$3*EXP(Ft!E$38*($A583-Ft!E$2)^2) +Ft!F$3*EXP(Ft!F$38*($A583-Ft!F$2)^2) + Ft!G$3*EXP(Ft!G$38*($A583-Ft!G$2)^2)</f>
        <v>-115542.02151585832</v>
      </c>
      <c r="E583" s="27">
        <f>Ft!B$3*EXP(Ft!B$38*($A583-Ft!B$2)^2)</f>
        <v>-116174.97690987015</v>
      </c>
      <c r="F583" s="27">
        <f>Ft!C$3*EXP(Ft!C$38*($A583-Ft!C$2)^2)</f>
        <v>0</v>
      </c>
      <c r="G583" s="27">
        <f>Ft!D$3*EXP(Ft!D$38*($A583-Ft!D$2)^2)</f>
        <v>632.95539400987434</v>
      </c>
      <c r="H583" s="27">
        <f>Ft!E$3*EXP(Ft!E$38*($A583-Ft!E$2)^2)</f>
        <v>2.8019255020410142E-38</v>
      </c>
      <c r="I583" s="27">
        <f>Ft!F$3*EXP(Ft!F$38*($A583-Ft!F$2)^2)</f>
        <v>1.9708436649152217E-9</v>
      </c>
      <c r="J583" s="27">
        <f>Ft!G$3*EXP(Ft!G$38*($A583-Ft!G$2)^2)</f>
        <v>0</v>
      </c>
    </row>
    <row r="584" spans="1:10">
      <c r="A584" s="20">
        <v>582</v>
      </c>
      <c r="B584" s="29">
        <v>8.4965434086334994</v>
      </c>
      <c r="C584" s="28">
        <f ca="1">OFFSET($B584,1*(ROWS(C$2:C584)-1),0)</f>
        <v>0</v>
      </c>
      <c r="D584" s="27">
        <f>Ft!B$3*EXP(Ft!B$38*($A584-Ft!B$2)^2) +Ft!C$3*EXP(Ft!C$38*($A584-Ft!C$2)^2) + Ft!D$3*EXP(Ft!D$38*($A584-Ft!D$2)^2)+Ft!E$3*EXP(Ft!E$38*($A584-Ft!E$2)^2) +Ft!F$3*EXP(Ft!F$38*($A584-Ft!F$2)^2) + Ft!G$3*EXP(Ft!G$38*($A584-Ft!G$2)^2)</f>
        <v>-115568.02765921337</v>
      </c>
      <c r="E584" s="27">
        <f>Ft!B$3*EXP(Ft!B$38*($A584-Ft!B$2)^2)</f>
        <v>-116176.07376002611</v>
      </c>
      <c r="F584" s="27">
        <f>Ft!C$3*EXP(Ft!C$38*($A584-Ft!C$2)^2)</f>
        <v>0</v>
      </c>
      <c r="G584" s="27">
        <f>Ft!D$3*EXP(Ft!D$38*($A584-Ft!D$2)^2)</f>
        <v>608.04610081100213</v>
      </c>
      <c r="H584" s="27">
        <f>Ft!E$3*EXP(Ft!E$38*($A584-Ft!E$2)^2)</f>
        <v>1.9894650994282426E-38</v>
      </c>
      <c r="I584" s="27">
        <f>Ft!F$3*EXP(Ft!F$38*($A584-Ft!F$2)^2)</f>
        <v>1.7313646351578008E-9</v>
      </c>
      <c r="J584" s="27">
        <f>Ft!G$3*EXP(Ft!G$38*($A584-Ft!G$2)^2)</f>
        <v>0</v>
      </c>
    </row>
    <row r="585" spans="1:10">
      <c r="A585" s="20">
        <v>583</v>
      </c>
      <c r="B585" s="29">
        <v>8.4295193519494944</v>
      </c>
      <c r="C585" s="28">
        <f ca="1">OFFSET($B585,1*(ROWS(C$2:C585)-1),0)</f>
        <v>0</v>
      </c>
      <c r="D585" s="27">
        <f>Ft!B$3*EXP(Ft!B$38*($A585-Ft!B$2)^2) +Ft!C$3*EXP(Ft!C$38*($A585-Ft!C$2)^2) + Ft!D$3*EXP(Ft!D$38*($A585-Ft!D$2)^2)+Ft!E$3*EXP(Ft!E$38*($A585-Ft!E$2)^2) +Ft!F$3*EXP(Ft!F$38*($A585-Ft!F$2)^2) + Ft!G$3*EXP(Ft!G$38*($A585-Ft!G$2)^2)</f>
        <v>-115593.12176074008</v>
      </c>
      <c r="E585" s="27">
        <f>Ft!B$3*EXP(Ft!B$38*($A585-Ft!B$2)^2)</f>
        <v>-116177.17008351213</v>
      </c>
      <c r="F585" s="27">
        <f>Ft!C$3*EXP(Ft!C$38*($A585-Ft!C$2)^2)</f>
        <v>0</v>
      </c>
      <c r="G585" s="27">
        <f>Ft!D$3*EXP(Ft!D$38*($A585-Ft!D$2)^2)</f>
        <v>584.04832277053595</v>
      </c>
      <c r="H585" s="27">
        <f>Ft!E$3*EXP(Ft!E$38*($A585-Ft!E$2)^2)</f>
        <v>1.41173804453657E-38</v>
      </c>
      <c r="I585" s="27">
        <f>Ft!F$3*EXP(Ft!F$38*($A585-Ft!F$2)^2)</f>
        <v>1.5205871135826121E-9</v>
      </c>
      <c r="J585" s="27">
        <f>Ft!G$3*EXP(Ft!G$38*($A585-Ft!G$2)^2)</f>
        <v>0</v>
      </c>
    </row>
    <row r="586" spans="1:10">
      <c r="A586" s="20">
        <v>584</v>
      </c>
      <c r="B586" s="29">
        <v>8.3536964811592611</v>
      </c>
      <c r="C586" s="28">
        <f ca="1">OFFSET($B586,1*(ROWS(C$2:C586)-1),0)</f>
        <v>0</v>
      </c>
      <c r="D586" s="27">
        <f>Ft!B$3*EXP(Ft!B$38*($A586-Ft!B$2)^2) +Ft!C$3*EXP(Ft!C$38*($A586-Ft!C$2)^2) + Ft!D$3*EXP(Ft!D$38*($A586-Ft!D$2)^2)+Ft!E$3*EXP(Ft!E$38*($A586-Ft!E$2)^2) +Ft!F$3*EXP(Ft!F$38*($A586-Ft!F$2)^2) + Ft!G$3*EXP(Ft!G$38*($A586-Ft!G$2)^2)</f>
        <v>-115617.33425655615</v>
      </c>
      <c r="E586" s="27">
        <f>Ft!B$3*EXP(Ft!B$38*($A586-Ft!B$2)^2)</f>
        <v>-116178.26588031312</v>
      </c>
      <c r="F586" s="27">
        <f>Ft!C$3*EXP(Ft!C$38*($A586-Ft!C$2)^2)</f>
        <v>0</v>
      </c>
      <c r="G586" s="27">
        <f>Ft!D$3*EXP(Ft!D$38*($A586-Ft!D$2)^2)</f>
        <v>560.93162375562713</v>
      </c>
      <c r="H586" s="27">
        <f>Ft!E$3*EXP(Ft!E$38*($A586-Ft!E$2)^2)</f>
        <v>1.0011749277635917E-38</v>
      </c>
      <c r="I586" s="27">
        <f>Ft!F$3*EXP(Ft!F$38*($A586-Ft!F$2)^2)</f>
        <v>1.3351205040406294E-9</v>
      </c>
      <c r="J586" s="27">
        <f>Ft!G$3*EXP(Ft!G$38*($A586-Ft!G$2)^2)</f>
        <v>0</v>
      </c>
    </row>
    <row r="587" spans="1:10">
      <c r="A587" s="20">
        <v>585</v>
      </c>
      <c r="B587" s="29">
        <v>8.2800983005761282</v>
      </c>
      <c r="C587" s="28">
        <f ca="1">OFFSET($B587,1*(ROWS(C$2:C587)-1),0)</f>
        <v>0</v>
      </c>
      <c r="D587" s="27">
        <f>Ft!B$3*EXP(Ft!B$38*($A587-Ft!B$2)^2) +Ft!C$3*EXP(Ft!C$38*($A587-Ft!C$2)^2) + Ft!D$3*EXP(Ft!D$38*($A587-Ft!D$2)^2)+Ft!E$3*EXP(Ft!E$38*($A587-Ft!E$2)^2) +Ft!F$3*EXP(Ft!F$38*($A587-Ft!F$2)^2) + Ft!G$3*EXP(Ft!G$38*($A587-Ft!G$2)^2)</f>
        <v>-115640.69468484492</v>
      </c>
      <c r="E587" s="27">
        <f>Ft!B$3*EXP(Ft!B$38*($A587-Ft!B$2)^2)</f>
        <v>-116179.361150414</v>
      </c>
      <c r="F587" s="27">
        <f>Ft!C$3*EXP(Ft!C$38*($A587-Ft!C$2)^2)</f>
        <v>0</v>
      </c>
      <c r="G587" s="27">
        <f>Ft!D$3*EXP(Ft!D$38*($A587-Ft!D$2)^2)</f>
        <v>538.66646556791136</v>
      </c>
      <c r="H587" s="27">
        <f>Ft!E$3*EXP(Ft!E$38*($A587-Ft!E$2)^2)</f>
        <v>7.0958408213496664E-39</v>
      </c>
      <c r="I587" s="27">
        <f>Ft!F$3*EXP(Ft!F$38*($A587-Ft!F$2)^2)</f>
        <v>1.1719687245973041E-9</v>
      </c>
      <c r="J587" s="27">
        <f>Ft!G$3*EXP(Ft!G$38*($A587-Ft!G$2)^2)</f>
        <v>0</v>
      </c>
    </row>
    <row r="588" spans="1:10">
      <c r="A588" s="20">
        <v>586</v>
      </c>
      <c r="B588" s="29">
        <v>8.2190457204678466</v>
      </c>
      <c r="C588" s="28">
        <f ca="1">OFFSET($B588,1*(ROWS(C$2:C588)-1),0)</f>
        <v>0</v>
      </c>
      <c r="D588" s="27">
        <f>Ft!B$3*EXP(Ft!B$38*($A588-Ft!B$2)^2) +Ft!C$3*EXP(Ft!C$38*($A588-Ft!C$2)^2) + Ft!D$3*EXP(Ft!D$38*($A588-Ft!D$2)^2)+Ft!E$3*EXP(Ft!E$38*($A588-Ft!E$2)^2) +Ft!F$3*EXP(Ft!F$38*($A588-Ft!F$2)^2) + Ft!G$3*EXP(Ft!G$38*($A588-Ft!G$2)^2)</f>
        <v>-115663.23170776232</v>
      </c>
      <c r="E588" s="27">
        <f>Ft!B$3*EXP(Ft!B$38*($A588-Ft!B$2)^2)</f>
        <v>-116180.45589379963</v>
      </c>
      <c r="F588" s="27">
        <f>Ft!C$3*EXP(Ft!C$38*($A588-Ft!C$2)^2)</f>
        <v>0</v>
      </c>
      <c r="G588" s="27">
        <f>Ft!D$3*EXP(Ft!D$38*($A588-Ft!D$2)^2)</f>
        <v>517.22418603628614</v>
      </c>
      <c r="H588" s="27">
        <f>Ft!E$3*EXP(Ft!E$38*($A588-Ft!E$2)^2)</f>
        <v>5.0261542976755828E-39</v>
      </c>
      <c r="I588" s="27">
        <f>Ft!F$3*EXP(Ft!F$38*($A588-Ft!F$2)^2)</f>
        <v>1.0284850313987052E-9</v>
      </c>
      <c r="J588" s="27">
        <f>Ft!G$3*EXP(Ft!G$38*($A588-Ft!G$2)^2)</f>
        <v>0</v>
      </c>
    </row>
    <row r="589" spans="1:10">
      <c r="A589" s="20">
        <v>587</v>
      </c>
      <c r="B589" s="29">
        <v>8.1612512533558288</v>
      </c>
      <c r="C589" s="28">
        <f ca="1">OFFSET($B589,1*(ROWS(C$2:C589)-1),0)</f>
        <v>0</v>
      </c>
      <c r="D589" s="27">
        <f>Ft!B$3*EXP(Ft!B$38*($A589-Ft!B$2)^2) +Ft!C$3*EXP(Ft!C$38*($A589-Ft!C$2)^2) + Ft!D$3*EXP(Ft!D$38*($A589-Ft!D$2)^2)+Ft!E$3*EXP(Ft!E$38*($A589-Ft!E$2)^2) +Ft!F$3*EXP(Ft!F$38*($A589-Ft!F$2)^2) + Ft!G$3*EXP(Ft!G$38*($A589-Ft!G$2)^2)</f>
        <v>-115684.97313298141</v>
      </c>
      <c r="E589" s="27">
        <f>Ft!B$3*EXP(Ft!B$38*($A589-Ft!B$2)^2)</f>
        <v>-116181.55011045496</v>
      </c>
      <c r="F589" s="27">
        <f>Ft!C$3*EXP(Ft!C$38*($A589-Ft!C$2)^2)</f>
        <v>0</v>
      </c>
      <c r="G589" s="27">
        <f>Ft!D$3*EXP(Ft!D$38*($A589-Ft!D$2)^2)</f>
        <v>496.57697747264535</v>
      </c>
      <c r="H589" s="27">
        <f>Ft!E$3*EXP(Ft!E$38*($A589-Ft!E$2)^2)</f>
        <v>3.5579990026754958E-39</v>
      </c>
      <c r="I589" s="27">
        <f>Ft!F$3*EXP(Ft!F$38*($A589-Ft!F$2)^2)</f>
        <v>9.0233192900703475E-10</v>
      </c>
      <c r="J589" s="27">
        <f>Ft!G$3*EXP(Ft!G$38*($A589-Ft!G$2)^2)</f>
        <v>0</v>
      </c>
    </row>
    <row r="590" spans="1:10">
      <c r="A590" s="20">
        <v>588</v>
      </c>
      <c r="B590" s="29">
        <v>8.1148999630058825</v>
      </c>
      <c r="C590" s="28">
        <f ca="1">OFFSET($B590,1*(ROWS(C$2:C590)-1),0)</f>
        <v>0</v>
      </c>
      <c r="D590" s="27">
        <f>Ft!B$3*EXP(Ft!B$38*($A590-Ft!B$2)^2) +Ft!C$3*EXP(Ft!C$38*($A590-Ft!C$2)^2) + Ft!D$3*EXP(Ft!D$38*($A590-Ft!D$2)^2)+Ft!E$3*EXP(Ft!E$38*($A590-Ft!E$2)^2) +Ft!F$3*EXP(Ft!F$38*($A590-Ft!F$2)^2) + Ft!G$3*EXP(Ft!G$38*($A590-Ft!G$2)^2)</f>
        <v>-115705.94593487303</v>
      </c>
      <c r="E590" s="27">
        <f>Ft!B$3*EXP(Ft!B$38*($A590-Ft!B$2)^2)</f>
        <v>-116182.64380036489</v>
      </c>
      <c r="F590" s="27">
        <f>Ft!C$3*EXP(Ft!C$38*($A590-Ft!C$2)^2)</f>
        <v>0</v>
      </c>
      <c r="G590" s="27">
        <f>Ft!D$3*EXP(Ft!D$38*($A590-Ft!D$2)^2)</f>
        <v>476.69786549107988</v>
      </c>
      <c r="H590" s="27">
        <f>Ft!E$3*EXP(Ft!E$38*($A590-Ft!E$2)^2)</f>
        <v>2.5171777256421822E-39</v>
      </c>
      <c r="I590" s="27">
        <f>Ft!F$3*EXP(Ft!F$38*($A590-Ft!F$2)^2)</f>
        <v>7.9144560469082414E-10</v>
      </c>
      <c r="J590" s="27">
        <f>Ft!G$3*EXP(Ft!G$38*($A590-Ft!G$2)^2)</f>
        <v>0</v>
      </c>
    </row>
    <row r="591" spans="1:10">
      <c r="A591" s="20">
        <v>589</v>
      </c>
      <c r="B591" s="29">
        <v>8.0651485048971665</v>
      </c>
      <c r="C591" s="28">
        <f ca="1">OFFSET($B591,1*(ROWS(C$2:C591)-1),0)</f>
        <v>0</v>
      </c>
      <c r="D591" s="27">
        <f>Ft!B$3*EXP(Ft!B$38*($A591-Ft!B$2)^2) +Ft!C$3*EXP(Ft!C$38*($A591-Ft!C$2)^2) + Ft!D$3*EXP(Ft!D$38*($A591-Ft!D$2)^2)+Ft!E$3*EXP(Ft!E$38*($A591-Ft!E$2)^2) +Ft!F$3*EXP(Ft!F$38*($A591-Ft!F$2)^2) + Ft!G$3*EXP(Ft!G$38*($A591-Ft!G$2)^2)</f>
        <v>-115726.17627532297</v>
      </c>
      <c r="E591" s="27">
        <f>Ft!B$3*EXP(Ft!B$38*($A591-Ft!B$2)^2)</f>
        <v>-116183.7369635144</v>
      </c>
      <c r="F591" s="27">
        <f>Ft!C$3*EXP(Ft!C$38*($A591-Ft!C$2)^2)</f>
        <v>0</v>
      </c>
      <c r="G591" s="27">
        <f>Ft!D$3*EXP(Ft!D$38*($A591-Ft!D$2)^2)</f>
        <v>457.56068819073391</v>
      </c>
      <c r="H591" s="27">
        <f>Ft!E$3*EXP(Ft!E$38*($A591-Ft!E$2)^2)</f>
        <v>1.7797540543342259E-39</v>
      </c>
      <c r="I591" s="27">
        <f>Ft!F$3*EXP(Ft!F$38*($A591-Ft!F$2)^2)</f>
        <v>6.9400438518580945E-10</v>
      </c>
      <c r="J591" s="27">
        <f>Ft!G$3*EXP(Ft!G$38*($A591-Ft!G$2)^2)</f>
        <v>0</v>
      </c>
    </row>
    <row r="592" spans="1:10">
      <c r="A592" s="20">
        <v>590</v>
      </c>
      <c r="B592" s="29">
        <v>8.0080245946963373</v>
      </c>
      <c r="C592" s="28">
        <f ca="1">OFFSET($B592,1*(ROWS(C$2:C592)-1),0)</f>
        <v>0</v>
      </c>
      <c r="D592" s="27">
        <f>Ft!B$3*EXP(Ft!B$38*($A592-Ft!B$2)^2) +Ft!C$3*EXP(Ft!C$38*($A592-Ft!C$2)^2) + Ft!D$3*EXP(Ft!D$38*($A592-Ft!D$2)^2)+Ft!E$3*EXP(Ft!E$38*($A592-Ft!E$2)^2) +Ft!F$3*EXP(Ft!F$38*($A592-Ft!F$2)^2) + Ft!G$3*EXP(Ft!G$38*($A592-Ft!G$2)^2)</f>
        <v>-115745.68952418555</v>
      </c>
      <c r="E592" s="27">
        <f>Ft!B$3*EXP(Ft!B$38*($A592-Ft!B$2)^2)</f>
        <v>-116184.82959988837</v>
      </c>
      <c r="F592" s="27">
        <f>Ft!C$3*EXP(Ft!C$38*($A592-Ft!C$2)^2)</f>
        <v>0</v>
      </c>
      <c r="G592" s="27">
        <f>Ft!D$3*EXP(Ft!D$38*($A592-Ft!D$2)^2)</f>
        <v>439.14007570221031</v>
      </c>
      <c r="H592" s="27">
        <f>Ft!E$3*EXP(Ft!E$38*($A592-Ft!E$2)^2)</f>
        <v>1.2576047085204888E-39</v>
      </c>
      <c r="I592" s="27">
        <f>Ft!F$3*EXP(Ft!F$38*($A592-Ft!F$2)^2)</f>
        <v>6.0840076898555821E-10</v>
      </c>
      <c r="J592" s="27">
        <f>Ft!G$3*EXP(Ft!G$38*($A592-Ft!G$2)^2)</f>
        <v>0</v>
      </c>
    </row>
    <row r="593" spans="1:10">
      <c r="A593" s="20">
        <v>591</v>
      </c>
      <c r="B593" s="29">
        <v>7.9545107522137641</v>
      </c>
      <c r="C593" s="28">
        <f ca="1">OFFSET($B593,1*(ROWS(C$2:C593)-1),0)</f>
        <v>0</v>
      </c>
      <c r="D593" s="27">
        <f>Ft!B$3*EXP(Ft!B$38*($A593-Ft!B$2)^2) +Ft!C$3*EXP(Ft!C$38*($A593-Ft!C$2)^2) + Ft!D$3*EXP(Ft!D$38*($A593-Ft!D$2)^2)+Ft!E$3*EXP(Ft!E$38*($A593-Ft!E$2)^2) +Ft!F$3*EXP(Ft!F$38*($A593-Ft!F$2)^2) + Ft!G$3*EXP(Ft!G$38*($A593-Ft!G$2)^2)</f>
        <v>-115764.51027937411</v>
      </c>
      <c r="E593" s="27">
        <f>Ft!B$3*EXP(Ft!B$38*($A593-Ft!B$2)^2)</f>
        <v>-116185.92170947178</v>
      </c>
      <c r="F593" s="27">
        <f>Ft!C$3*EXP(Ft!C$38*($A593-Ft!C$2)^2)</f>
        <v>0</v>
      </c>
      <c r="G593" s="27">
        <f>Ft!D$3*EXP(Ft!D$38*($A593-Ft!D$2)^2)</f>
        <v>421.41143009712414</v>
      </c>
      <c r="H593" s="27">
        <f>Ft!E$3*EXP(Ft!E$38*($A593-Ft!E$2)^2)</f>
        <v>8.8810920484547797E-40</v>
      </c>
      <c r="I593" s="27">
        <f>Ft!F$3*EXP(Ft!F$38*($A593-Ft!F$2)^2)</f>
        <v>5.3321663595142112E-10</v>
      </c>
      <c r="J593" s="27">
        <f>Ft!G$3*EXP(Ft!G$38*($A593-Ft!G$2)^2)</f>
        <v>0</v>
      </c>
    </row>
    <row r="594" spans="1:10">
      <c r="A594" s="20">
        <v>592</v>
      </c>
      <c r="B594" s="29">
        <v>7.8875015152045478</v>
      </c>
      <c r="C594" s="28">
        <f ca="1">OFFSET($B594,1*(ROWS(C$2:C594)-1),0)</f>
        <v>0</v>
      </c>
      <c r="D594" s="27">
        <f>Ft!B$3*EXP(Ft!B$38*($A594-Ft!B$2)^2) +Ft!C$3*EXP(Ft!C$38*($A594-Ft!C$2)^2) + Ft!D$3*EXP(Ft!D$38*($A594-Ft!D$2)^2)+Ft!E$3*EXP(Ft!E$38*($A594-Ft!E$2)^2) +Ft!F$3*EXP(Ft!F$38*($A594-Ft!F$2)^2) + Ft!G$3*EXP(Ft!G$38*($A594-Ft!G$2)^2)</f>
        <v>-115782.66238658896</v>
      </c>
      <c r="E594" s="27">
        <f>Ft!B$3*EXP(Ft!B$38*($A594-Ft!B$2)^2)</f>
        <v>-116187.01329224955</v>
      </c>
      <c r="F594" s="27">
        <f>Ft!C$3*EXP(Ft!C$38*($A594-Ft!C$2)^2)</f>
        <v>0</v>
      </c>
      <c r="G594" s="27">
        <f>Ft!D$3*EXP(Ft!D$38*($A594-Ft!D$2)^2)</f>
        <v>404.35090566013605</v>
      </c>
      <c r="H594" s="27">
        <f>Ft!E$3*EXP(Ft!E$38*($A594-Ft!E$2)^2)</f>
        <v>6.2679661275406464E-40</v>
      </c>
      <c r="I594" s="27">
        <f>Ft!F$3*EXP(Ft!F$38*($A594-Ft!F$2)^2)</f>
        <v>4.6720127955498967E-10</v>
      </c>
      <c r="J594" s="27">
        <f>Ft!G$3*EXP(Ft!G$38*($A594-Ft!G$2)^2)</f>
        <v>0</v>
      </c>
    </row>
    <row r="595" spans="1:10">
      <c r="A595" s="20">
        <v>593</v>
      </c>
      <c r="B595" s="29">
        <v>7.8168425378049164</v>
      </c>
      <c r="C595" s="28">
        <f ca="1">OFFSET($B595,1*(ROWS(C$2:C595)-1),0)</f>
        <v>0</v>
      </c>
      <c r="D595" s="27">
        <f>Ft!B$3*EXP(Ft!B$38*($A595-Ft!B$2)^2) +Ft!C$3*EXP(Ft!C$38*($A595-Ft!C$2)^2) + Ft!D$3*EXP(Ft!D$38*($A595-Ft!D$2)^2)+Ft!E$3*EXP(Ft!E$38*($A595-Ft!E$2)^2) +Ft!F$3*EXP(Ft!F$38*($A595-Ft!F$2)^2) + Ft!G$3*EXP(Ft!G$38*($A595-Ft!G$2)^2)</f>
        <v>-115800.16895868375</v>
      </c>
      <c r="E595" s="27">
        <f>Ft!B$3*EXP(Ft!B$38*($A595-Ft!B$2)^2)</f>
        <v>-116188.10434820667</v>
      </c>
      <c r="F595" s="27">
        <f>Ft!C$3*EXP(Ft!C$38*($A595-Ft!C$2)^2)</f>
        <v>0</v>
      </c>
      <c r="G595" s="27">
        <f>Ft!D$3*EXP(Ft!D$38*($A595-Ft!D$2)^2)</f>
        <v>387.93538952251515</v>
      </c>
      <c r="H595" s="27">
        <f>Ft!E$3*EXP(Ft!E$38*($A595-Ft!E$2)^2)</f>
        <v>4.4210452828495058E-40</v>
      </c>
      <c r="I595" s="27">
        <f>Ft!F$3*EXP(Ft!F$38*($A595-Ft!F$2)^2)</f>
        <v>4.0925194592755535E-10</v>
      </c>
      <c r="J595" s="27">
        <f>Ft!G$3*EXP(Ft!G$38*($A595-Ft!G$2)^2)</f>
        <v>0</v>
      </c>
    </row>
    <row r="596" spans="1:10">
      <c r="A596" s="20">
        <v>594</v>
      </c>
      <c r="B596" s="29">
        <v>7.7665382062700701</v>
      </c>
      <c r="C596" s="28">
        <f ca="1">OFFSET($B596,1*(ROWS(C$2:C596)-1),0)</f>
        <v>0</v>
      </c>
      <c r="D596" s="27">
        <f>Ft!B$3*EXP(Ft!B$38*($A596-Ft!B$2)^2) +Ft!C$3*EXP(Ft!C$38*($A596-Ft!C$2)^2) + Ft!D$3*EXP(Ft!D$38*($A596-Ft!D$2)^2)+Ft!E$3*EXP(Ft!E$38*($A596-Ft!E$2)^2) +Ft!F$3*EXP(Ft!F$38*($A596-Ft!F$2)^2) + Ft!G$3*EXP(Ft!G$38*($A596-Ft!G$2)^2)</f>
        <v>-115817.05239467169</v>
      </c>
      <c r="E596" s="27">
        <f>Ft!B$3*EXP(Ft!B$38*($A596-Ft!B$2)^2)</f>
        <v>-116189.19487732809</v>
      </c>
      <c r="F596" s="27">
        <f>Ft!C$3*EXP(Ft!C$38*($A596-Ft!C$2)^2)</f>
        <v>0</v>
      </c>
      <c r="G596" s="27">
        <f>Ft!D$3*EXP(Ft!D$38*($A596-Ft!D$2)^2)</f>
        <v>372.14248265604624</v>
      </c>
      <c r="H596" s="27">
        <f>Ft!E$3*EXP(Ft!E$38*($A596-Ft!E$2)^2)</f>
        <v>3.1164584312984511E-40</v>
      </c>
      <c r="I596" s="27">
        <f>Ft!F$3*EXP(Ft!F$38*($A596-Ft!F$2)^2)</f>
        <v>3.5839659857884056E-10</v>
      </c>
      <c r="J596" s="27">
        <f>Ft!G$3*EXP(Ft!G$38*($A596-Ft!G$2)^2)</f>
        <v>0</v>
      </c>
    </row>
    <row r="597" spans="1:10">
      <c r="A597" s="20">
        <v>595</v>
      </c>
      <c r="B597" s="29">
        <v>7.6742653588554788</v>
      </c>
      <c r="C597" s="28">
        <f ca="1">OFFSET($B597,1*(ROWS(C$2:C597)-1),0)</f>
        <v>0</v>
      </c>
      <c r="D597" s="27">
        <f>Ft!B$3*EXP(Ft!B$38*($A597-Ft!B$2)^2) +Ft!C$3*EXP(Ft!C$38*($A597-Ft!C$2)^2) + Ft!D$3*EXP(Ft!D$38*($A597-Ft!D$2)^2)+Ft!E$3*EXP(Ft!E$38*($A597-Ft!E$2)^2) +Ft!F$3*EXP(Ft!F$38*($A597-Ft!F$2)^2) + Ft!G$3*EXP(Ft!G$38*($A597-Ft!G$2)^2)</f>
        <v>-115833.33439837265</v>
      </c>
      <c r="E597" s="27">
        <f>Ft!B$3*EXP(Ft!B$38*($A597-Ft!B$2)^2)</f>
        <v>-116190.28487959881</v>
      </c>
      <c r="F597" s="27">
        <f>Ft!C$3*EXP(Ft!C$38*($A597-Ft!C$2)^2)</f>
        <v>0</v>
      </c>
      <c r="G597" s="27">
        <f>Ft!D$3*EXP(Ft!D$38*($A597-Ft!D$2)^2)</f>
        <v>356.95048122583893</v>
      </c>
      <c r="H597" s="27">
        <f>Ft!E$3*EXP(Ft!E$38*($A597-Ft!E$2)^2)</f>
        <v>2.1955117542570969E-40</v>
      </c>
      <c r="I597" s="27">
        <f>Ft!F$3*EXP(Ft!F$38*($A597-Ft!F$2)^2)</f>
        <v>3.1377865859996683E-10</v>
      </c>
      <c r="J597" s="27">
        <f>Ft!G$3*EXP(Ft!G$38*($A597-Ft!G$2)^2)</f>
        <v>0</v>
      </c>
    </row>
    <row r="598" spans="1:10">
      <c r="A598" s="20">
        <v>596</v>
      </c>
      <c r="B598" s="29">
        <v>7.5748915398404222</v>
      </c>
      <c r="C598" s="28">
        <f ca="1">OFFSET($B598,1*(ROWS(C$2:C598)-1),0)</f>
        <v>0</v>
      </c>
      <c r="D598" s="27">
        <f>Ft!B$3*EXP(Ft!B$38*($A598-Ft!B$2)^2) +Ft!C$3*EXP(Ft!C$38*($A598-Ft!C$2)^2) + Ft!D$3*EXP(Ft!D$38*($A598-Ft!D$2)^2)+Ft!E$3*EXP(Ft!E$38*($A598-Ft!E$2)^2) +Ft!F$3*EXP(Ft!F$38*($A598-Ft!F$2)^2) + Ft!G$3*EXP(Ft!G$38*($A598-Ft!G$2)^2)</f>
        <v>-115849.03599670311</v>
      </c>
      <c r="E598" s="27">
        <f>Ft!B$3*EXP(Ft!B$38*($A598-Ft!B$2)^2)</f>
        <v>-116191.37435500376</v>
      </c>
      <c r="F598" s="27">
        <f>Ft!C$3*EXP(Ft!C$38*($A598-Ft!C$2)^2)</f>
        <v>0</v>
      </c>
      <c r="G598" s="27">
        <f>Ft!D$3*EXP(Ft!D$38*($A598-Ft!D$2)^2)</f>
        <v>342.33835830037037</v>
      </c>
      <c r="H598" s="27">
        <f>Ft!E$3*EXP(Ft!E$38*($A598-Ft!E$2)^2)</f>
        <v>1.5457820061172728E-40</v>
      </c>
      <c r="I598" s="27">
        <f>Ft!F$3*EXP(Ft!F$38*($A598-Ft!F$2)^2)</f>
        <v>2.7464349777710857E-10</v>
      </c>
      <c r="J598" s="27">
        <f>Ft!G$3*EXP(Ft!G$38*($A598-Ft!G$2)^2)</f>
        <v>0</v>
      </c>
    </row>
    <row r="599" spans="1:10">
      <c r="A599" s="20">
        <v>597</v>
      </c>
      <c r="B599" s="29">
        <v>7.4745945140886363</v>
      </c>
      <c r="C599" s="28">
        <f ca="1">OFFSET($B599,1*(ROWS(C$2:C599)-1),0)</f>
        <v>0</v>
      </c>
      <c r="D599" s="27">
        <f>Ft!B$3*EXP(Ft!B$38*($A599-Ft!B$2)^2) +Ft!C$3*EXP(Ft!C$38*($A599-Ft!C$2)^2) + Ft!D$3*EXP(Ft!D$38*($A599-Ft!D$2)^2)+Ft!E$3*EXP(Ft!E$38*($A599-Ft!E$2)^2) +Ft!F$3*EXP(Ft!F$38*($A599-Ft!F$2)^2) + Ft!G$3*EXP(Ft!G$38*($A599-Ft!G$2)^2)</f>
        <v>-115864.17755761085</v>
      </c>
      <c r="E599" s="27">
        <f>Ft!B$3*EXP(Ft!B$38*($A599-Ft!B$2)^2)</f>
        <v>-116192.46330352797</v>
      </c>
      <c r="F599" s="27">
        <f>Ft!C$3*EXP(Ft!C$38*($A599-Ft!C$2)^2)</f>
        <v>0</v>
      </c>
      <c r="G599" s="27">
        <f>Ft!D$3*EXP(Ft!D$38*($A599-Ft!D$2)^2)</f>
        <v>328.28574591687607</v>
      </c>
      <c r="H599" s="27">
        <f>Ft!E$3*EXP(Ft!E$38*($A599-Ft!E$2)^2)</f>
        <v>1.0876740856031012E-40</v>
      </c>
      <c r="I599" s="27">
        <f>Ft!F$3*EXP(Ft!F$38*($A599-Ft!F$2)^2)</f>
        <v>2.4032648666575816E-10</v>
      </c>
      <c r="J599" s="27">
        <f>Ft!G$3*EXP(Ft!G$38*($A599-Ft!G$2)^2)</f>
        <v>0</v>
      </c>
    </row>
    <row r="600" spans="1:10">
      <c r="A600" s="20">
        <v>598</v>
      </c>
      <c r="B600" s="29">
        <v>7.3814340263830331</v>
      </c>
      <c r="C600" s="28">
        <f ca="1">OFFSET($B600,1*(ROWS(C$2:C600)-1),0)</f>
        <v>0</v>
      </c>
      <c r="D600" s="27">
        <f>Ft!B$3*EXP(Ft!B$38*($A600-Ft!B$2)^2) +Ft!C$3*EXP(Ft!C$38*($A600-Ft!C$2)^2) + Ft!D$3*EXP(Ft!D$38*($A600-Ft!D$2)^2)+Ft!E$3*EXP(Ft!E$38*($A600-Ft!E$2)^2) +Ft!F$3*EXP(Ft!F$38*($A600-Ft!F$2)^2) + Ft!G$3*EXP(Ft!G$38*($A600-Ft!G$2)^2)</f>
        <v>-115878.77880765623</v>
      </c>
      <c r="E600" s="27">
        <f>Ft!B$3*EXP(Ft!B$38*($A600-Ft!B$2)^2)</f>
        <v>-116193.55172515642</v>
      </c>
      <c r="F600" s="27">
        <f>Ft!C$3*EXP(Ft!C$38*($A600-Ft!C$2)^2)</f>
        <v>0</v>
      </c>
      <c r="G600" s="27">
        <f>Ft!D$3*EXP(Ft!D$38*($A600-Ft!D$2)^2)</f>
        <v>314.77291749998551</v>
      </c>
      <c r="H600" s="27">
        <f>Ft!E$3*EXP(Ft!E$38*($A600-Ft!E$2)^2)</f>
        <v>7.6486954361678284E-41</v>
      </c>
      <c r="I600" s="27">
        <f>Ft!F$3*EXP(Ft!F$38*($A600-Ft!F$2)^2)</f>
        <v>2.1024242162728429E-10</v>
      </c>
      <c r="J600" s="27">
        <f>Ft!G$3*EXP(Ft!G$38*($A600-Ft!G$2)^2)</f>
        <v>0</v>
      </c>
    </row>
    <row r="601" spans="1:10">
      <c r="A601" s="20">
        <v>599</v>
      </c>
      <c r="B601" s="29">
        <v>7.2840261294065556</v>
      </c>
      <c r="C601" s="28">
        <f ca="1">OFFSET($B601,1*(ROWS(C$2:C601)-1),0)</f>
        <v>0</v>
      </c>
      <c r="D601" s="27">
        <f>Ft!B$3*EXP(Ft!B$38*($A601-Ft!B$2)^2) +Ft!C$3*EXP(Ft!C$38*($A601-Ft!C$2)^2) + Ft!D$3*EXP(Ft!D$38*($A601-Ft!D$2)^2)+Ft!E$3*EXP(Ft!E$38*($A601-Ft!E$2)^2) +Ft!F$3*EXP(Ft!F$38*($A601-Ft!F$2)^2) + Ft!G$3*EXP(Ft!G$38*($A601-Ft!G$2)^2)</f>
        <v>-115892.85884924261</v>
      </c>
      <c r="E601" s="27">
        <f>Ft!B$3*EXP(Ft!B$38*($A601-Ft!B$2)^2)</f>
        <v>-116194.6396198741</v>
      </c>
      <c r="F601" s="27">
        <f>Ft!C$3*EXP(Ft!C$38*($A601-Ft!C$2)^2)</f>
        <v>0</v>
      </c>
      <c r="G601" s="27">
        <f>Ft!D$3*EXP(Ft!D$38*($A601-Ft!D$2)^2)</f>
        <v>301.78077063130849</v>
      </c>
      <c r="H601" s="27">
        <f>Ft!E$3*EXP(Ft!E$38*($A601-Ft!E$2)^2)</f>
        <v>5.3754398633681725E-41</v>
      </c>
      <c r="I601" s="27">
        <f>Ft!F$3*EXP(Ft!F$38*($A601-Ft!F$2)^2)</f>
        <v>1.8387617439367533E-10</v>
      </c>
      <c r="J601" s="27">
        <f>Ft!G$3*EXP(Ft!G$38*($A601-Ft!G$2)^2)</f>
        <v>0</v>
      </c>
    </row>
    <row r="602" spans="1:10">
      <c r="A602" s="20">
        <v>600</v>
      </c>
      <c r="B602" s="29">
        <v>7.1614522016893147</v>
      </c>
      <c r="C602" s="28">
        <f ca="1">OFFSET($B602,1*(ROWS(C$2:C602)-1),0)</f>
        <v>0</v>
      </c>
      <c r="D602" s="27">
        <f>Ft!B$3*EXP(Ft!B$38*($A602-Ft!B$2)^2) +Ft!C$3*EXP(Ft!C$38*($A602-Ft!C$2)^2) + Ft!D$3*EXP(Ft!D$38*($A602-Ft!D$2)^2)+Ft!E$3*EXP(Ft!E$38*($A602-Ft!E$2)^2) +Ft!F$3*EXP(Ft!F$38*($A602-Ft!F$2)^2) + Ft!G$3*EXP(Ft!G$38*($A602-Ft!G$2)^2)</f>
        <v>-115906.4361774984</v>
      </c>
      <c r="E602" s="27">
        <f>Ft!B$3*EXP(Ft!B$38*($A602-Ft!B$2)^2)</f>
        <v>-116195.72698766604</v>
      </c>
      <c r="F602" s="27">
        <f>Ft!C$3*EXP(Ft!C$38*($A602-Ft!C$2)^2)</f>
        <v>0</v>
      </c>
      <c r="G602" s="27">
        <f>Ft!D$3*EXP(Ft!D$38*($A602-Ft!D$2)^2)</f>
        <v>289.29081016748034</v>
      </c>
      <c r="H602" s="27">
        <f>Ft!E$3*EXP(Ft!E$38*($A602-Ft!E$2)^2)</f>
        <v>3.7755367339825638E-41</v>
      </c>
      <c r="I602" s="27">
        <f>Ft!F$3*EXP(Ft!F$38*($A602-Ft!F$2)^2)</f>
        <v>1.6077442515729929E-10</v>
      </c>
      <c r="J602" s="27">
        <f>Ft!G$3*EXP(Ft!G$38*($A602-Ft!G$2)^2)</f>
        <v>0</v>
      </c>
    </row>
    <row r="603" spans="1:10">
      <c r="A603" s="20">
        <v>601</v>
      </c>
      <c r="B603" s="29">
        <v>7.0326555559465476</v>
      </c>
      <c r="C603" s="28">
        <f ca="1">OFFSET($B603,1*(ROWS(C$2:C603)-1),0)</f>
        <v>0</v>
      </c>
      <c r="D603" s="27">
        <f>Ft!B$3*EXP(Ft!B$38*($A603-Ft!B$2)^2) +Ft!C$3*EXP(Ft!C$38*($A603-Ft!C$2)^2) + Ft!D$3*EXP(Ft!D$38*($A603-Ft!D$2)^2)+Ft!E$3*EXP(Ft!E$38*($A603-Ft!E$2)^2) +Ft!F$3*EXP(Ft!F$38*($A603-Ft!F$2)^2) + Ft!G$3*EXP(Ft!G$38*($A603-Ft!G$2)^2)</f>
        <v>-115919.52869681311</v>
      </c>
      <c r="E603" s="27">
        <f>Ft!B$3*EXP(Ft!B$38*($A603-Ft!B$2)^2)</f>
        <v>-116196.81382851726</v>
      </c>
      <c r="F603" s="27">
        <f>Ft!C$3*EXP(Ft!C$38*($A603-Ft!C$2)^2)</f>
        <v>0</v>
      </c>
      <c r="G603" s="27">
        <f>Ft!D$3*EXP(Ft!D$38*($A603-Ft!D$2)^2)</f>
        <v>277.28513170400697</v>
      </c>
      <c r="H603" s="27">
        <f>Ft!E$3*EXP(Ft!E$38*($A603-Ft!E$2)^2)</f>
        <v>2.6502170605610414E-41</v>
      </c>
      <c r="I603" s="27">
        <f>Ft!F$3*EXP(Ft!F$38*($A603-Ft!F$2)^2)</f>
        <v>1.4053835570789336E-10</v>
      </c>
      <c r="J603" s="27">
        <f>Ft!G$3*EXP(Ft!G$38*($A603-Ft!G$2)^2)</f>
        <v>0</v>
      </c>
    </row>
    <row r="604" spans="1:10">
      <c r="A604" s="20">
        <v>602</v>
      </c>
      <c r="B604" s="29">
        <v>6.8944704357864453</v>
      </c>
      <c r="C604" s="28">
        <f ca="1">OFFSET($B604,1*(ROWS(C$2:C604)-1),0)</f>
        <v>0</v>
      </c>
      <c r="D604" s="27">
        <f>Ft!B$3*EXP(Ft!B$38*($A604-Ft!B$2)^2) +Ft!C$3*EXP(Ft!C$38*($A604-Ft!C$2)^2) + Ft!D$3*EXP(Ft!D$38*($A604-Ft!D$2)^2)+Ft!E$3*EXP(Ft!E$38*($A604-Ft!E$2)^2) +Ft!F$3*EXP(Ft!F$38*($A604-Ft!F$2)^2) + Ft!G$3*EXP(Ft!G$38*($A604-Ft!G$2)^2)</f>
        <v>-115932.15373703056</v>
      </c>
      <c r="E604" s="27">
        <f>Ft!B$3*EXP(Ft!B$38*($A604-Ft!B$2)^2)</f>
        <v>-116197.90014241275</v>
      </c>
      <c r="F604" s="27">
        <f>Ft!C$3*EXP(Ft!C$38*($A604-Ft!C$2)^2)</f>
        <v>0</v>
      </c>
      <c r="G604" s="27">
        <f>Ft!D$3*EXP(Ft!D$38*($A604-Ft!D$2)^2)</f>
        <v>265.74640538206592</v>
      </c>
      <c r="H604" s="27">
        <f>Ft!E$3*EXP(Ft!E$38*($A604-Ft!E$2)^2)</f>
        <v>1.8591834449359945E-41</v>
      </c>
      <c r="I604" s="27">
        <f>Ft!F$3*EXP(Ft!F$38*($A604-Ft!F$2)^2)</f>
        <v>1.2281719296305529E-10</v>
      </c>
      <c r="J604" s="27">
        <f>Ft!G$3*EXP(Ft!G$38*($A604-Ft!G$2)^2)</f>
        <v>0</v>
      </c>
    </row>
    <row r="605" spans="1:10">
      <c r="A605" s="20">
        <v>603</v>
      </c>
      <c r="B605" s="29">
        <v>6.7547443818273223</v>
      </c>
      <c r="C605" s="28">
        <f ca="1">OFFSET($B605,1*(ROWS(C$2:C605)-1),0)</f>
        <v>0</v>
      </c>
      <c r="D605" s="27">
        <f>Ft!B$3*EXP(Ft!B$38*($A605-Ft!B$2)^2) +Ft!C$3*EXP(Ft!C$38*($A605-Ft!C$2)^2) + Ft!D$3*EXP(Ft!D$38*($A605-Ft!D$2)^2)+Ft!E$3*EXP(Ft!E$38*($A605-Ft!E$2)^2) +Ft!F$3*EXP(Ft!F$38*($A605-Ft!F$2)^2) + Ft!G$3*EXP(Ft!G$38*($A605-Ft!G$2)^2)</f>
        <v>-115944.3280693022</v>
      </c>
      <c r="E605" s="27">
        <f>Ft!B$3*EXP(Ft!B$38*($A605-Ft!B$2)^2)</f>
        <v>-116198.98592933758</v>
      </c>
      <c r="F605" s="27">
        <f>Ft!C$3*EXP(Ft!C$38*($A605-Ft!C$2)^2)</f>
        <v>0</v>
      </c>
      <c r="G605" s="27">
        <f>Ft!D$3*EXP(Ft!D$38*($A605-Ft!D$2)^2)</f>
        <v>254.65786003527677</v>
      </c>
      <c r="H605" s="27">
        <f>Ft!E$3*EXP(Ft!E$38*($A605-Ft!E$2)^2)</f>
        <v>1.3034701635182029E-41</v>
      </c>
      <c r="I605" s="27">
        <f>Ft!F$3*EXP(Ft!F$38*($A605-Ft!F$2)^2)</f>
        <v>1.07302505543911E-10</v>
      </c>
      <c r="J605" s="27">
        <f>Ft!G$3*EXP(Ft!G$38*($A605-Ft!G$2)^2)</f>
        <v>0</v>
      </c>
    </row>
    <row r="606" spans="1:10">
      <c r="A606" s="20">
        <v>604</v>
      </c>
      <c r="B606" s="29">
        <v>6.6404165064416816</v>
      </c>
      <c r="C606" s="28">
        <f ca="1">OFFSET($B606,1*(ROWS(C$2:C606)-1),0)</f>
        <v>0</v>
      </c>
      <c r="D606" s="27">
        <f>Ft!B$3*EXP(Ft!B$38*($A606-Ft!B$2)^2) +Ft!C$3*EXP(Ft!C$38*($A606-Ft!C$2)^2) + Ft!D$3*EXP(Ft!D$38*($A606-Ft!D$2)^2)+Ft!E$3*EXP(Ft!E$38*($A606-Ft!E$2)^2) +Ft!F$3*EXP(Ft!F$38*($A606-Ft!F$2)^2) + Ft!G$3*EXP(Ft!G$38*($A606-Ft!G$2)^2)</f>
        <v>-115956.06792160337</v>
      </c>
      <c r="E606" s="27">
        <f>Ft!B$3*EXP(Ft!B$38*($A606-Ft!B$2)^2)</f>
        <v>-116200.07118927676</v>
      </c>
      <c r="F606" s="27">
        <f>Ft!C$3*EXP(Ft!C$38*($A606-Ft!C$2)^2)</f>
        <v>0</v>
      </c>
      <c r="G606" s="27">
        <f>Ft!D$3*EXP(Ft!D$38*($A606-Ft!D$2)^2)</f>
        <v>244.00326767328929</v>
      </c>
      <c r="H606" s="27">
        <f>Ft!E$3*EXP(Ft!E$38*($A606-Ft!E$2)^2)</f>
        <v>9.1330954925698198E-42</v>
      </c>
      <c r="I606" s="27">
        <f>Ft!F$3*EXP(Ft!F$38*($A606-Ft!F$2)^2)</f>
        <v>9.3723166997783104E-11</v>
      </c>
      <c r="J606" s="27">
        <f>Ft!G$3*EXP(Ft!G$38*($A606-Ft!G$2)^2)</f>
        <v>0</v>
      </c>
    </row>
    <row r="607" spans="1:10">
      <c r="A607" s="20">
        <v>605</v>
      </c>
      <c r="B607" s="29">
        <v>6.5128525609574979</v>
      </c>
      <c r="C607" s="28">
        <f ca="1">OFFSET($B607,1*(ROWS(C$2:C607)-1),0)</f>
        <v>0</v>
      </c>
      <c r="D607" s="27">
        <f>Ft!B$3*EXP(Ft!B$38*($A607-Ft!B$2)^2) +Ft!C$3*EXP(Ft!C$38*($A607-Ft!C$2)^2) + Ft!D$3*EXP(Ft!D$38*($A607-Ft!D$2)^2)+Ft!E$3*EXP(Ft!E$38*($A607-Ft!E$2)^2) +Ft!F$3*EXP(Ft!F$38*($A607-Ft!F$2)^2) + Ft!G$3*EXP(Ft!G$38*($A607-Ft!G$2)^2)</f>
        <v>-115967.38899391635</v>
      </c>
      <c r="E607" s="27">
        <f>Ft!B$3*EXP(Ft!B$38*($A607-Ft!B$2)^2)</f>
        <v>-116201.15592221534</v>
      </c>
      <c r="F607" s="27">
        <f>Ft!C$3*EXP(Ft!C$38*($A607-Ft!C$2)^2)</f>
        <v>0</v>
      </c>
      <c r="G607" s="27">
        <f>Ft!D$3*EXP(Ft!D$38*($A607-Ft!D$2)^2)</f>
        <v>233.76692829890987</v>
      </c>
      <c r="H607" s="27">
        <f>Ft!E$3*EXP(Ft!E$38*($A607-Ft!E$2)^2)</f>
        <v>6.3954772040793556E-42</v>
      </c>
      <c r="I607" s="27">
        <f>Ft!F$3*EXP(Ft!F$38*($A607-Ft!F$2)^2)</f>
        <v>8.1840909010886576E-11</v>
      </c>
      <c r="J607" s="27">
        <f>Ft!G$3*EXP(Ft!G$38*($A607-Ft!G$2)^2)</f>
        <v>0</v>
      </c>
    </row>
    <row r="608" spans="1:10">
      <c r="A608" s="20">
        <v>606</v>
      </c>
      <c r="B608" s="29">
        <v>6.3676882512875181</v>
      </c>
      <c r="C608" s="28">
        <f ca="1">OFFSET($B608,1*(ROWS(C$2:C608)-1),0)</f>
        <v>0</v>
      </c>
      <c r="D608" s="27">
        <f>Ft!B$3*EXP(Ft!B$38*($A608-Ft!B$2)^2) +Ft!C$3*EXP(Ft!C$38*($A608-Ft!C$2)^2) + Ft!D$3*EXP(Ft!D$38*($A608-Ft!D$2)^2)+Ft!E$3*EXP(Ft!E$38*($A608-Ft!E$2)^2) +Ft!F$3*EXP(Ft!F$38*($A608-Ft!F$2)^2) + Ft!G$3*EXP(Ft!G$38*($A608-Ft!G$2)^2)</f>
        <v>-115978.30647308296</v>
      </c>
      <c r="E608" s="27">
        <f>Ft!B$3*EXP(Ft!B$38*($A608-Ft!B$2)^2)</f>
        <v>-116202.24012813838</v>
      </c>
      <c r="F608" s="27">
        <f>Ft!C$3*EXP(Ft!C$38*($A608-Ft!C$2)^2)</f>
        <v>0</v>
      </c>
      <c r="G608" s="27">
        <f>Ft!D$3*EXP(Ft!D$38*($A608-Ft!D$2)^2)</f>
        <v>223.93365505534101</v>
      </c>
      <c r="H608" s="27">
        <f>Ft!E$3*EXP(Ft!E$38*($A608-Ft!E$2)^2)</f>
        <v>4.4757514900872138E-42</v>
      </c>
      <c r="I608" s="27">
        <f>Ft!F$3*EXP(Ft!F$38*($A608-Ft!F$2)^2)</f>
        <v>7.1446396617278256E-11</v>
      </c>
      <c r="J608" s="27">
        <f>Ft!G$3*EXP(Ft!G$38*($A608-Ft!G$2)^2)</f>
        <v>0</v>
      </c>
    </row>
    <row r="609" spans="1:10">
      <c r="A609" s="20">
        <v>607</v>
      </c>
      <c r="B609" s="29">
        <v>6.2447411566117239</v>
      </c>
      <c r="C609" s="28">
        <f ca="1">OFFSET($B609,1*(ROWS(C$2:C609)-1),0)</f>
        <v>0</v>
      </c>
      <c r="D609" s="27">
        <f>Ft!B$3*EXP(Ft!B$38*($A609-Ft!B$2)^2) +Ft!C$3*EXP(Ft!C$38*($A609-Ft!C$2)^2) + Ft!D$3*EXP(Ft!D$38*($A609-Ft!D$2)^2)+Ft!E$3*EXP(Ft!E$38*($A609-Ft!E$2)^2) +Ft!F$3*EXP(Ft!F$38*($A609-Ft!F$2)^2) + Ft!G$3*EXP(Ft!G$38*($A609-Ft!G$2)^2)</f>
        <v>-115988.8350473309</v>
      </c>
      <c r="E609" s="27">
        <f>Ft!B$3*EXP(Ft!B$38*($A609-Ft!B$2)^2)</f>
        <v>-116203.32380703096</v>
      </c>
      <c r="F609" s="27">
        <f>Ft!C$3*EXP(Ft!C$38*($A609-Ft!C$2)^2)</f>
        <v>0</v>
      </c>
      <c r="G609" s="27">
        <f>Ft!D$3*EXP(Ft!D$38*($A609-Ft!D$2)^2)</f>
        <v>214.48875969999887</v>
      </c>
      <c r="H609" s="27">
        <f>Ft!E$3*EXP(Ft!E$38*($A609-Ft!E$2)^2)</f>
        <v>3.1303797638703459E-42</v>
      </c>
      <c r="I609" s="27">
        <f>Ft!F$3*EXP(Ft!F$38*($A609-Ft!F$2)^2)</f>
        <v>6.2355765112248302E-11</v>
      </c>
      <c r="J609" s="27">
        <f>Ft!G$3*EXP(Ft!G$38*($A609-Ft!G$2)^2)</f>
        <v>0</v>
      </c>
    </row>
    <row r="610" spans="1:10">
      <c r="A610" s="20">
        <v>608</v>
      </c>
      <c r="B610" s="29">
        <v>6.0931337613878611</v>
      </c>
      <c r="C610" s="28">
        <f ca="1">OFFSET($B610,1*(ROWS(C$2:C610)-1),0)</f>
        <v>0</v>
      </c>
      <c r="D610" s="27">
        <f>Ft!B$3*EXP(Ft!B$38*($A610-Ft!B$2)^2) +Ft!C$3*EXP(Ft!C$38*($A610-Ft!C$2)^2) + Ft!D$3*EXP(Ft!D$38*($A610-Ft!D$2)^2)+Ft!E$3*EXP(Ft!E$38*($A610-Ft!E$2)^2) +Ft!F$3*EXP(Ft!F$38*($A610-Ft!F$2)^2) + Ft!G$3*EXP(Ft!G$38*($A610-Ft!G$2)^2)</f>
        <v>-115998.9889204768</v>
      </c>
      <c r="E610" s="27">
        <f>Ft!B$3*EXP(Ft!B$38*($A610-Ft!B$2)^2)</f>
        <v>-116204.4069588781</v>
      </c>
      <c r="F610" s="27">
        <f>Ft!C$3*EXP(Ft!C$38*($A610-Ft!C$2)^2)</f>
        <v>0</v>
      </c>
      <c r="G610" s="27">
        <f>Ft!D$3*EXP(Ft!D$38*($A610-Ft!D$2)^2)</f>
        <v>205.4180384012472</v>
      </c>
      <c r="H610" s="27">
        <f>Ft!E$3*EXP(Ft!E$38*($A610-Ft!E$2)^2)</f>
        <v>2.1880948442141156E-42</v>
      </c>
      <c r="I610" s="27">
        <f>Ft!F$3*EXP(Ft!F$38*($A610-Ft!F$2)^2)</f>
        <v>5.4407565223798173E-11</v>
      </c>
      <c r="J610" s="27">
        <f>Ft!G$3*EXP(Ft!G$38*($A610-Ft!G$2)^2)</f>
        <v>0</v>
      </c>
    </row>
    <row r="611" spans="1:10">
      <c r="A611" s="20">
        <v>609</v>
      </c>
      <c r="B611" s="29">
        <v>5.9406593309744835</v>
      </c>
      <c r="C611" s="28">
        <f ca="1">OFFSET($B611,1*(ROWS(C$2:C611)-1),0)</f>
        <v>0</v>
      </c>
      <c r="D611" s="27">
        <f>Ft!B$3*EXP(Ft!B$38*($A611-Ft!B$2)^2) +Ft!C$3*EXP(Ft!C$38*($A611-Ft!C$2)^2) + Ft!D$3*EXP(Ft!D$38*($A611-Ft!D$2)^2)+Ft!E$3*EXP(Ft!E$38*($A611-Ft!E$2)^2) +Ft!F$3*EXP(Ft!F$38*($A611-Ft!F$2)^2) + Ft!G$3*EXP(Ft!G$38*($A611-Ft!G$2)^2)</f>
        <v>-116008.78182581055</v>
      </c>
      <c r="E611" s="27">
        <f>Ft!B$3*EXP(Ft!B$38*($A611-Ft!B$2)^2)</f>
        <v>-116205.48958366489</v>
      </c>
      <c r="F611" s="27">
        <f>Ft!C$3*EXP(Ft!C$38*($A611-Ft!C$2)^2)</f>
        <v>0</v>
      </c>
      <c r="G611" s="27">
        <f>Ft!D$3*EXP(Ft!D$38*($A611-Ft!D$2)^2)</f>
        <v>196.70775785428862</v>
      </c>
      <c r="H611" s="27">
        <f>Ft!E$3*EXP(Ft!E$38*($A611-Ft!E$2)^2)</f>
        <v>1.5285276916580744E-42</v>
      </c>
      <c r="I611" s="27">
        <f>Ft!F$3*EXP(Ft!F$38*($A611-Ft!F$2)^2)</f>
        <v>4.7460069178115048E-11</v>
      </c>
      <c r="J611" s="27">
        <f>Ft!G$3*EXP(Ft!G$38*($A611-Ft!G$2)^2)</f>
        <v>0</v>
      </c>
    </row>
    <row r="612" spans="1:10">
      <c r="A612" s="20">
        <v>610</v>
      </c>
      <c r="B612" s="29">
        <v>5.7872068303655908</v>
      </c>
      <c r="C612" s="28">
        <f ca="1">OFFSET($B612,1*(ROWS(C$2:C612)-1),0)</f>
        <v>0</v>
      </c>
      <c r="D612" s="27">
        <f>Ft!B$3*EXP(Ft!B$38*($A612-Ft!B$2)^2) +Ft!C$3*EXP(Ft!C$38*($A612-Ft!C$2)^2) + Ft!D$3*EXP(Ft!D$38*($A612-Ft!D$2)^2)+Ft!E$3*EXP(Ft!E$38*($A612-Ft!E$2)^2) +Ft!F$3*EXP(Ft!F$38*($A612-Ft!F$2)^2) + Ft!G$3*EXP(Ft!G$38*($A612-Ft!G$2)^2)</f>
        <v>-116018.22703966402</v>
      </c>
      <c r="E612" s="27">
        <f>Ft!B$3*EXP(Ft!B$38*($A612-Ft!B$2)^2)</f>
        <v>-116206.57168137642</v>
      </c>
      <c r="F612" s="27">
        <f>Ft!C$3*EXP(Ft!C$38*($A612-Ft!C$2)^2)</f>
        <v>0</v>
      </c>
      <c r="G612" s="27">
        <f>Ft!D$3*EXP(Ft!D$38*($A612-Ft!D$2)^2)</f>
        <v>188.34464171234592</v>
      </c>
      <c r="H612" s="27">
        <f>Ft!E$3*EXP(Ft!E$38*($A612-Ft!E$2)^2)</f>
        <v>1.0671329556168083E-42</v>
      </c>
      <c r="I612" s="27">
        <f>Ft!F$3*EXP(Ft!F$38*($A612-Ft!F$2)^2)</f>
        <v>4.1388895697454627E-11</v>
      </c>
      <c r="J612" s="27">
        <f>Ft!G$3*EXP(Ft!G$38*($A612-Ft!G$2)^2)</f>
        <v>0</v>
      </c>
    </row>
    <row r="613" spans="1:10">
      <c r="A613" s="20">
        <v>611</v>
      </c>
      <c r="B613" s="29">
        <v>5.6327332079277994</v>
      </c>
      <c r="C613" s="28">
        <f ca="1">OFFSET($B613,1*(ROWS(C$2:C613)-1),0)</f>
        <v>0</v>
      </c>
      <c r="D613" s="27">
        <f>Ft!B$3*EXP(Ft!B$38*($A613-Ft!B$2)^2) +Ft!C$3*EXP(Ft!C$38*($A613-Ft!C$2)^2) + Ft!D$3*EXP(Ft!D$38*($A613-Ft!D$2)^2)+Ft!E$3*EXP(Ft!E$38*($A613-Ft!E$2)^2) +Ft!F$3*EXP(Ft!F$38*($A613-Ft!F$2)^2) + Ft!G$3*EXP(Ft!G$38*($A613-Ft!G$2)^2)</f>
        <v>-116027.33739466856</v>
      </c>
      <c r="E613" s="27">
        <f>Ft!B$3*EXP(Ft!B$38*($A613-Ft!B$2)^2)</f>
        <v>-116207.65325199778</v>
      </c>
      <c r="F613" s="27">
        <f>Ft!C$3*EXP(Ft!C$38*($A613-Ft!C$2)^2)</f>
        <v>0</v>
      </c>
      <c r="G613" s="27">
        <f>Ft!D$3*EXP(Ft!D$38*($A613-Ft!D$2)^2)</f>
        <v>180.31585732918393</v>
      </c>
      <c r="H613" s="27">
        <f>Ft!E$3*EXP(Ft!E$38*($A613-Ft!E$2)^2)</f>
        <v>7.4456360925444131E-43</v>
      </c>
      <c r="I613" s="27">
        <f>Ft!F$3*EXP(Ft!F$38*($A613-Ft!F$2)^2)</f>
        <v>3.6084916766201214E-11</v>
      </c>
      <c r="J613" s="27">
        <f>Ft!G$3*EXP(Ft!G$38*($A613-Ft!G$2)^2)</f>
        <v>0</v>
      </c>
    </row>
    <row r="614" spans="1:10">
      <c r="A614" s="20">
        <v>612</v>
      </c>
      <c r="B614" s="29">
        <v>5.4743202600646157</v>
      </c>
      <c r="C614" s="28">
        <f ca="1">OFFSET($B614,1*(ROWS(C$2:C614)-1),0)</f>
        <v>0</v>
      </c>
      <c r="D614" s="27">
        <f>Ft!B$3*EXP(Ft!B$38*($A614-Ft!B$2)^2) +Ft!C$3*EXP(Ft!C$38*($A614-Ft!C$2)^2) + Ft!D$3*EXP(Ft!D$38*($A614-Ft!D$2)^2)+Ft!E$3*EXP(Ft!E$38*($A614-Ft!E$2)^2) +Ft!F$3*EXP(Ft!F$38*($A614-Ft!F$2)^2) + Ft!G$3*EXP(Ft!G$38*($A614-Ft!G$2)^2)</f>
        <v>-116036.1252927051</v>
      </c>
      <c r="E614" s="27">
        <f>Ft!B$3*EXP(Ft!B$38*($A614-Ft!B$2)^2)</f>
        <v>-116208.73429551406</v>
      </c>
      <c r="F614" s="27">
        <f>Ft!C$3*EXP(Ft!C$38*($A614-Ft!C$2)^2)</f>
        <v>0</v>
      </c>
      <c r="G614" s="27">
        <f>Ft!D$3*EXP(Ft!D$38*($A614-Ft!D$2)^2)</f>
        <v>172.60900280893367</v>
      </c>
      <c r="H614" s="27">
        <f>Ft!E$3*EXP(Ft!E$38*($A614-Ft!E$2)^2)</f>
        <v>5.191861911706828E-43</v>
      </c>
      <c r="I614" s="27">
        <f>Ft!F$3*EXP(Ft!F$38*($A614-Ft!F$2)^2)</f>
        <v>3.1452413259426228E-11</v>
      </c>
      <c r="J614" s="27">
        <f>Ft!G$3*EXP(Ft!G$38*($A614-Ft!G$2)^2)</f>
        <v>0</v>
      </c>
    </row>
    <row r="615" spans="1:10">
      <c r="A615" s="20">
        <v>613</v>
      </c>
      <c r="B615" s="29">
        <v>5.2866069425089677</v>
      </c>
      <c r="C615" s="28">
        <f ca="1">OFFSET($B615,1*(ROWS(C$2:C615)-1),0)</f>
        <v>0</v>
      </c>
      <c r="D615" s="27">
        <f>Ft!B$3*EXP(Ft!B$38*($A615-Ft!B$2)^2) +Ft!C$3*EXP(Ft!C$38*($A615-Ft!C$2)^2) + Ft!D$3*EXP(Ft!D$38*($A615-Ft!D$2)^2)+Ft!E$3*EXP(Ft!E$38*($A615-Ft!E$2)^2) +Ft!F$3*EXP(Ft!F$38*($A615-Ft!F$2)^2) + Ft!G$3*EXP(Ft!G$38*($A615-Ft!G$2)^2)</f>
        <v>-116044.60271755123</v>
      </c>
      <c r="E615" s="27">
        <f>Ft!B$3*EXP(Ft!B$38*($A615-Ft!B$2)^2)</f>
        <v>-116209.81481191036</v>
      </c>
      <c r="F615" s="27">
        <f>Ft!C$3*EXP(Ft!C$38*($A615-Ft!C$2)^2)</f>
        <v>0</v>
      </c>
      <c r="G615" s="27">
        <f>Ft!D$3*EXP(Ft!D$38*($A615-Ft!D$2)^2)</f>
        <v>165.21209435910421</v>
      </c>
      <c r="H615" s="27">
        <f>Ft!E$3*EXP(Ft!E$38*($A615-Ft!E$2)^2)</f>
        <v>3.6181162173288114E-43</v>
      </c>
      <c r="I615" s="27">
        <f>Ft!F$3*EXP(Ft!F$38*($A615-Ft!F$2)^2)</f>
        <v>2.7407450307532976E-11</v>
      </c>
      <c r="J615" s="27">
        <f>Ft!G$3*EXP(Ft!G$38*($A615-Ft!G$2)^2)</f>
        <v>0</v>
      </c>
    </row>
    <row r="616" spans="1:10">
      <c r="A616" s="20">
        <v>614</v>
      </c>
      <c r="B616" s="29">
        <v>5.0960320213044952</v>
      </c>
      <c r="C616" s="28">
        <f ca="1">OFFSET($B616,1*(ROWS(C$2:C616)-1),0)</f>
        <v>0</v>
      </c>
      <c r="D616" s="27">
        <f>Ft!B$3*EXP(Ft!B$38*($A616-Ft!B$2)^2) +Ft!C$3*EXP(Ft!C$38*($A616-Ft!C$2)^2) + Ft!D$3*EXP(Ft!D$38*($A616-Ft!D$2)^2)+Ft!E$3*EXP(Ft!E$38*($A616-Ft!E$2)^2) +Ft!F$3*EXP(Ft!F$38*($A616-Ft!F$2)^2) + Ft!G$3*EXP(Ft!G$38*($A616-Ft!G$2)^2)</f>
        <v>-116052.78124722916</v>
      </c>
      <c r="E616" s="27">
        <f>Ft!B$3*EXP(Ft!B$38*($A616-Ft!B$2)^2)</f>
        <v>-116210.89480117179</v>
      </c>
      <c r="F616" s="27">
        <f>Ft!C$3*EXP(Ft!C$38*($A616-Ft!C$2)^2)</f>
        <v>0</v>
      </c>
      <c r="G616" s="27">
        <f>Ft!D$3*EXP(Ft!D$38*($A616-Ft!D$2)^2)</f>
        <v>158.11355394259823</v>
      </c>
      <c r="H616" s="27">
        <f>Ft!E$3*EXP(Ft!E$38*($A616-Ft!E$2)^2)</f>
        <v>2.5198804971282882E-43</v>
      </c>
      <c r="I616" s="27">
        <f>Ft!F$3*EXP(Ft!F$38*($A616-Ft!F$2)^2)</f>
        <v>2.3876446623351089E-11</v>
      </c>
      <c r="J616" s="27">
        <f>Ft!G$3*EXP(Ft!G$38*($A616-Ft!G$2)^2)</f>
        <v>0</v>
      </c>
    </row>
    <row r="617" spans="1:10">
      <c r="A617" s="20">
        <v>615</v>
      </c>
      <c r="B617" s="29">
        <v>4.9274658633630679</v>
      </c>
      <c r="C617" s="28">
        <f ca="1">OFFSET($B617,1*(ROWS(C$2:C617)-1),0)</f>
        <v>0</v>
      </c>
      <c r="D617" s="27">
        <f>Ft!B$3*EXP(Ft!B$38*($A617-Ft!B$2)^2) +Ft!C$3*EXP(Ft!C$38*($A617-Ft!C$2)^2) + Ft!D$3*EXP(Ft!D$38*($A617-Ft!D$2)^2)+Ft!E$3*EXP(Ft!E$38*($A617-Ft!E$2)^2) +Ft!F$3*EXP(Ft!F$38*($A617-Ft!F$2)^2) + Ft!G$3*EXP(Ft!G$38*($A617-Ft!G$2)^2)</f>
        <v>-116060.67206605896</v>
      </c>
      <c r="E617" s="27">
        <f>Ft!B$3*EXP(Ft!B$38*($A617-Ft!B$2)^2)</f>
        <v>-116211.97426328347</v>
      </c>
      <c r="F617" s="27">
        <f>Ft!C$3*EXP(Ft!C$38*($A617-Ft!C$2)^2)</f>
        <v>0</v>
      </c>
      <c r="G617" s="27">
        <f>Ft!D$3*EXP(Ft!D$38*($A617-Ft!D$2)^2)</f>
        <v>151.30219722449075</v>
      </c>
      <c r="H617" s="27">
        <f>Ft!E$3*EXP(Ft!E$38*($A617-Ft!E$2)^2)</f>
        <v>1.7539428192989032E-43</v>
      </c>
      <c r="I617" s="27">
        <f>Ft!F$3*EXP(Ft!F$38*($A617-Ft!F$2)^2)</f>
        <v>2.079491499166517E-11</v>
      </c>
      <c r="J617" s="27">
        <f>Ft!G$3*EXP(Ft!G$38*($A617-Ft!G$2)^2)</f>
        <v>0</v>
      </c>
    </row>
    <row r="618" spans="1:10">
      <c r="A618" s="20">
        <v>616</v>
      </c>
      <c r="B618" s="29">
        <v>4.755012261594743</v>
      </c>
      <c r="C618" s="28">
        <f ca="1">OFFSET($B618,1*(ROWS(C$2:C618)-1),0)</f>
        <v>0</v>
      </c>
      <c r="D618" s="27">
        <f>Ft!B$3*EXP(Ft!B$38*($A618-Ft!B$2)^2) +Ft!C$3*EXP(Ft!C$38*($A618-Ft!C$2)^2) + Ft!D$3*EXP(Ft!D$38*($A618-Ft!D$2)^2)+Ft!E$3*EXP(Ft!E$38*($A618-Ft!E$2)^2) +Ft!F$3*EXP(Ft!F$38*($A618-Ft!F$2)^2) + Ft!G$3*EXP(Ft!G$38*($A618-Ft!G$2)^2)</f>
        <v>-116068.28597642125</v>
      </c>
      <c r="E618" s="27">
        <f>Ft!B$3*EXP(Ft!B$38*($A618-Ft!B$2)^2)</f>
        <v>-116213.05319823053</v>
      </c>
      <c r="F618" s="27">
        <f>Ft!C$3*EXP(Ft!C$38*($A618-Ft!C$2)^2)</f>
        <v>0</v>
      </c>
      <c r="G618" s="27">
        <f>Ft!D$3*EXP(Ft!D$38*($A618-Ft!D$2)^2)</f>
        <v>144.76722180926421</v>
      </c>
      <c r="H618" s="27">
        <f>Ft!E$3*EXP(Ft!E$38*($A618-Ft!E$2)^2)</f>
        <v>1.2200818568905169E-43</v>
      </c>
      <c r="I618" s="27">
        <f>Ft!F$3*EXP(Ft!F$38*($A618-Ft!F$2)^2)</f>
        <v>1.8106353757628802E-11</v>
      </c>
      <c r="J618" s="27">
        <f>Ft!G$3*EXP(Ft!G$38*($A618-Ft!G$2)^2)</f>
        <v>0</v>
      </c>
    </row>
    <row r="619" spans="1:10">
      <c r="A619" s="20">
        <v>617</v>
      </c>
      <c r="B619" s="29">
        <v>4.5881281908282858</v>
      </c>
      <c r="C619" s="28">
        <f ca="1">OFFSET($B619,1*(ROWS(C$2:C619)-1),0)</f>
        <v>0</v>
      </c>
      <c r="D619" s="27">
        <f>Ft!B$3*EXP(Ft!B$38*($A619-Ft!B$2)^2) +Ft!C$3*EXP(Ft!C$38*($A619-Ft!C$2)^2) + Ft!D$3*EXP(Ft!D$38*($A619-Ft!D$2)^2)+Ft!E$3*EXP(Ft!E$38*($A619-Ft!E$2)^2) +Ft!F$3*EXP(Ft!F$38*($A619-Ft!F$2)^2) + Ft!G$3*EXP(Ft!G$38*($A619-Ft!G$2)^2)</f>
        <v>-116075.6334102339</v>
      </c>
      <c r="E619" s="27">
        <f>Ft!B$3*EXP(Ft!B$38*($A619-Ft!B$2)^2)</f>
        <v>-116214.13160599806</v>
      </c>
      <c r="F619" s="27">
        <f>Ft!C$3*EXP(Ft!C$38*($A619-Ft!C$2)^2)</f>
        <v>0</v>
      </c>
      <c r="G619" s="27">
        <f>Ft!D$3*EXP(Ft!D$38*($A619-Ft!D$2)^2)</f>
        <v>138.49819576414959</v>
      </c>
      <c r="H619" s="27">
        <f>Ft!E$3*EXP(Ft!E$38*($A619-Ft!E$2)^2)</f>
        <v>8.4820447659422554E-44</v>
      </c>
      <c r="I619" s="27">
        <f>Ft!F$3*EXP(Ft!F$38*($A619-Ft!F$2)^2)</f>
        <v>1.5761271487388539E-11</v>
      </c>
      <c r="J619" s="27">
        <f>Ft!G$3*EXP(Ft!G$38*($A619-Ft!G$2)^2)</f>
        <v>0</v>
      </c>
    </row>
    <row r="620" spans="1:10">
      <c r="A620" s="20">
        <v>618</v>
      </c>
      <c r="B620" s="29">
        <v>4.4290079885812474</v>
      </c>
      <c r="C620" s="28">
        <f ca="1">OFFSET($B620,1*(ROWS(C$2:C620)-1),0)</f>
        <v>0</v>
      </c>
      <c r="D620" s="27">
        <f>Ft!B$3*EXP(Ft!B$38*($A620-Ft!B$2)^2) +Ft!C$3*EXP(Ft!C$38*($A620-Ft!C$2)^2) + Ft!D$3*EXP(Ft!D$38*($A620-Ft!D$2)^2)+Ft!E$3*EXP(Ft!E$38*($A620-Ft!E$2)^2) +Ft!F$3*EXP(Ft!F$38*($A620-Ft!F$2)^2) + Ft!G$3*EXP(Ft!G$38*($A620-Ft!G$2)^2)</f>
        <v>-116082.72444014705</v>
      </c>
      <c r="E620" s="27">
        <f>Ft!B$3*EXP(Ft!B$38*($A620-Ft!B$2)^2)</f>
        <v>-116215.20948657126</v>
      </c>
      <c r="F620" s="27">
        <f>Ft!C$3*EXP(Ft!C$38*($A620-Ft!C$2)^2)</f>
        <v>0</v>
      </c>
      <c r="G620" s="27">
        <f>Ft!D$3*EXP(Ft!D$38*($A620-Ft!D$2)^2)</f>
        <v>132.48504642418362</v>
      </c>
      <c r="H620" s="27">
        <f>Ft!E$3*EXP(Ft!E$38*($A620-Ft!E$2)^2)</f>
        <v>5.8931867572762323E-44</v>
      </c>
      <c r="I620" s="27">
        <f>Ft!F$3*EXP(Ft!F$38*($A620-Ft!F$2)^2)</f>
        <v>1.3716329044938294E-11</v>
      </c>
      <c r="J620" s="27">
        <f>Ft!G$3*EXP(Ft!G$38*($A620-Ft!G$2)^2)</f>
        <v>0</v>
      </c>
    </row>
    <row r="621" spans="1:10">
      <c r="A621" s="20">
        <v>619</v>
      </c>
      <c r="B621" s="29">
        <v>4.3181798164096676</v>
      </c>
      <c r="C621" s="28">
        <f ca="1">OFFSET($B621,1*(ROWS(C$2:C621)-1),0)</f>
        <v>0</v>
      </c>
      <c r="D621" s="27">
        <f>Ft!B$3*EXP(Ft!B$38*($A621-Ft!B$2)^2) +Ft!C$3*EXP(Ft!C$38*($A621-Ft!C$2)^2) + Ft!D$3*EXP(Ft!D$38*($A621-Ft!D$2)^2)+Ft!E$3*EXP(Ft!E$38*($A621-Ft!E$2)^2) +Ft!F$3*EXP(Ft!F$38*($A621-Ft!F$2)^2) + Ft!G$3*EXP(Ft!G$38*($A621-Ft!G$2)^2)</f>
        <v>-116089.56879046069</v>
      </c>
      <c r="E621" s="27">
        <f>Ft!B$3*EXP(Ft!B$38*($A621-Ft!B$2)^2)</f>
        <v>-116216.28683993524</v>
      </c>
      <c r="F621" s="27">
        <f>Ft!C$3*EXP(Ft!C$38*($A621-Ft!C$2)^2)</f>
        <v>0</v>
      </c>
      <c r="G621" s="27">
        <f>Ft!D$3*EXP(Ft!D$38*($A621-Ft!D$2)^2)</f>
        <v>126.71804947454373</v>
      </c>
      <c r="H621" s="27">
        <f>Ft!E$3*EXP(Ft!E$38*($A621-Ft!E$2)^2)</f>
        <v>4.0920214462667549E-44</v>
      </c>
      <c r="I621" s="27">
        <f>Ft!F$3*EXP(Ft!F$38*($A621-Ft!F$2)^2)</f>
        <v>1.193358516348446E-11</v>
      </c>
      <c r="J621" s="27">
        <f>Ft!G$3*EXP(Ft!G$38*($A621-Ft!G$2)^2)</f>
        <v>0</v>
      </c>
    </row>
    <row r="622" spans="1:10">
      <c r="A622" s="20">
        <v>620</v>
      </c>
      <c r="B622" s="29">
        <v>4.143488832414107</v>
      </c>
      <c r="C622" s="28">
        <f ca="1">OFFSET($B622,1*(ROWS(C$2:C622)-1),0)</f>
        <v>0</v>
      </c>
      <c r="D622" s="27">
        <f>Ft!B$3*EXP(Ft!B$38*($A622-Ft!B$2)^2) +Ft!C$3*EXP(Ft!C$38*($A622-Ft!C$2)^2) + Ft!D$3*EXP(Ft!D$38*($A622-Ft!D$2)^2)+Ft!E$3*EXP(Ft!E$38*($A622-Ft!E$2)^2) +Ft!F$3*EXP(Ft!F$38*($A622-Ft!F$2)^2) + Ft!G$3*EXP(Ft!G$38*($A622-Ft!G$2)^2)</f>
        <v>-116096.17584776944</v>
      </c>
      <c r="E622" s="27">
        <f>Ft!B$3*EXP(Ft!B$38*($A622-Ft!B$2)^2)</f>
        <v>-116217.36366607515</v>
      </c>
      <c r="F622" s="27">
        <f>Ft!C$3*EXP(Ft!C$38*($A622-Ft!C$2)^2)</f>
        <v>0</v>
      </c>
      <c r="G622" s="27">
        <f>Ft!D$3*EXP(Ft!D$38*($A622-Ft!D$2)^2)</f>
        <v>121.18781830570175</v>
      </c>
      <c r="H622" s="27">
        <f>Ft!E$3*EXP(Ft!E$38*($A622-Ft!E$2)^2)</f>
        <v>2.8396423919157004E-44</v>
      </c>
      <c r="I622" s="27">
        <f>Ft!F$3*EXP(Ft!F$38*($A622-Ft!F$2)^2)</f>
        <v>1.0379833213965474E-11</v>
      </c>
      <c r="J622" s="27">
        <f>Ft!G$3*EXP(Ft!G$38*($A622-Ft!G$2)^2)</f>
        <v>0</v>
      </c>
    </row>
    <row r="623" spans="1:10">
      <c r="A623" s="20">
        <v>621</v>
      </c>
      <c r="B623" s="29">
        <v>3.9669537145566665</v>
      </c>
      <c r="C623" s="28">
        <f ca="1">OFFSET($B623,1*(ROWS(C$2:C623)-1),0)</f>
        <v>0</v>
      </c>
      <c r="D623" s="27">
        <f>Ft!B$3*EXP(Ft!B$38*($A623-Ft!B$2)^2) +Ft!C$3*EXP(Ft!C$38*($A623-Ft!C$2)^2) + Ft!D$3*EXP(Ft!D$38*($A623-Ft!D$2)^2)+Ft!E$3*EXP(Ft!E$38*($A623-Ft!E$2)^2) +Ft!F$3*EXP(Ft!F$38*($A623-Ft!F$2)^2) + Ft!G$3*EXP(Ft!G$38*($A623-Ft!G$2)^2)</f>
        <v>-116102.55467133927</v>
      </c>
      <c r="E623" s="27">
        <f>Ft!B$3*EXP(Ft!B$38*($A623-Ft!B$2)^2)</f>
        <v>-116218.43996497619</v>
      </c>
      <c r="F623" s="27">
        <f>Ft!C$3*EXP(Ft!C$38*($A623-Ft!C$2)^2)</f>
        <v>0</v>
      </c>
      <c r="G623" s="27">
        <f>Ft!D$3*EXP(Ft!D$38*($A623-Ft!D$2)^2)</f>
        <v>115.88529363690276</v>
      </c>
      <c r="H623" s="27">
        <f>Ft!E$3*EXP(Ft!E$38*($A623-Ft!E$2)^2)</f>
        <v>1.9693706154257112E-44</v>
      </c>
      <c r="I623" s="27">
        <f>Ft!F$3*EXP(Ft!F$38*($A623-Ft!F$2)^2)</f>
        <v>9.026018311386977E-12</v>
      </c>
      <c r="J623" s="27">
        <f>Ft!G$3*EXP(Ft!G$38*($A623-Ft!G$2)^2)</f>
        <v>0</v>
      </c>
    </row>
    <row r="624" spans="1:10">
      <c r="A624" s="20">
        <v>622</v>
      </c>
      <c r="B624" s="29">
        <v>3.7753173940984937</v>
      </c>
      <c r="C624" s="28">
        <f ca="1">OFFSET($B624,1*(ROWS(C$2:C624)-1),0)</f>
        <v>0</v>
      </c>
      <c r="D624" s="27">
        <f>Ft!B$3*EXP(Ft!B$38*($A624-Ft!B$2)^2) +Ft!C$3*EXP(Ft!C$38*($A624-Ft!C$2)^2) + Ft!D$3*EXP(Ft!D$38*($A624-Ft!D$2)^2)+Ft!E$3*EXP(Ft!E$38*($A624-Ft!E$2)^2) +Ft!F$3*EXP(Ft!F$38*($A624-Ft!F$2)^2) + Ft!G$3*EXP(Ft!G$38*($A624-Ft!G$2)^2)</f>
        <v>-116108.71400321998</v>
      </c>
      <c r="E624" s="27">
        <f>Ft!B$3*EXP(Ft!B$38*($A624-Ft!B$2)^2)</f>
        <v>-116219.51573662346</v>
      </c>
      <c r="F624" s="27">
        <f>Ft!C$3*EXP(Ft!C$38*($A624-Ft!C$2)^2)</f>
        <v>0</v>
      </c>
      <c r="G624" s="27">
        <f>Ft!D$3*EXP(Ft!D$38*($A624-Ft!D$2)^2)</f>
        <v>110.80173340346067</v>
      </c>
      <c r="H624" s="27">
        <f>Ft!E$3*EXP(Ft!E$38*($A624-Ft!E$2)^2)</f>
        <v>1.3649894952616258E-44</v>
      </c>
      <c r="I624" s="27">
        <f>Ft!F$3*EXP(Ft!F$38*($A624-Ft!F$2)^2)</f>
        <v>7.8467251723291869E-12</v>
      </c>
      <c r="J624" s="27">
        <f>Ft!G$3*EXP(Ft!G$38*($A624-Ft!G$2)^2)</f>
        <v>0</v>
      </c>
    </row>
    <row r="625" spans="1:10">
      <c r="A625" s="20">
        <v>623</v>
      </c>
      <c r="B625" s="29">
        <v>3.5875802247308002</v>
      </c>
      <c r="C625" s="28">
        <f ca="1">OFFSET($B625,1*(ROWS(C$2:C625)-1),0)</f>
        <v>0</v>
      </c>
      <c r="D625" s="27">
        <f>Ft!B$3*EXP(Ft!B$38*($A625-Ft!B$2)^2) +Ft!C$3*EXP(Ft!C$38*($A625-Ft!C$2)^2) + Ft!D$3*EXP(Ft!D$38*($A625-Ft!D$2)^2)+Ft!E$3*EXP(Ft!E$38*($A625-Ft!E$2)^2) +Ft!F$3*EXP(Ft!F$38*($A625-Ft!F$2)^2) + Ft!G$3*EXP(Ft!G$38*($A625-Ft!G$2)^2)</f>
        <v>-116114.66227809883</v>
      </c>
      <c r="E625" s="27">
        <f>Ft!B$3*EXP(Ft!B$38*($A625-Ft!B$2)^2)</f>
        <v>-116220.59098100217</v>
      </c>
      <c r="F625" s="27">
        <f>Ft!C$3*EXP(Ft!C$38*($A625-Ft!C$2)^2)</f>
        <v>0</v>
      </c>
      <c r="G625" s="27">
        <f>Ft!D$3*EXP(Ft!D$38*($A625-Ft!D$2)^2)</f>
        <v>105.92870290334027</v>
      </c>
      <c r="H625" s="27">
        <f>Ft!E$3*EXP(Ft!E$38*($A625-Ft!E$2)^2)</f>
        <v>9.4551672966295094E-45</v>
      </c>
      <c r="I625" s="27">
        <f>Ft!F$3*EXP(Ft!F$38*($A625-Ft!F$2)^2)</f>
        <v>6.8197282630038627E-12</v>
      </c>
      <c r="J625" s="27">
        <f>Ft!G$3*EXP(Ft!G$38*($A625-Ft!G$2)^2)</f>
        <v>0</v>
      </c>
    </row>
    <row r="626" spans="1:10">
      <c r="A626" s="20">
        <v>624</v>
      </c>
      <c r="B626" s="29">
        <v>3.4020476343703194</v>
      </c>
      <c r="C626" s="28">
        <f ca="1">OFFSET($B626,1*(ROWS(C$2:C626)-1),0)</f>
        <v>0</v>
      </c>
      <c r="D626" s="27">
        <f>Ft!B$3*EXP(Ft!B$38*($A626-Ft!B$2)^2) +Ft!C$3*EXP(Ft!C$38*($A626-Ft!C$2)^2) + Ft!D$3*EXP(Ft!D$38*($A626-Ft!D$2)^2)+Ft!E$3*EXP(Ft!E$38*($A626-Ft!E$2)^2) +Ft!F$3*EXP(Ft!F$38*($A626-Ft!F$2)^2) + Ft!G$3*EXP(Ft!G$38*($A626-Ft!G$2)^2)</f>
        <v>-116120.40763289903</v>
      </c>
      <c r="E626" s="27">
        <f>Ft!B$3*EXP(Ft!B$38*($A626-Ft!B$2)^2)</f>
        <v>-116221.66569809752</v>
      </c>
      <c r="F626" s="27">
        <f>Ft!C$3*EXP(Ft!C$38*($A626-Ft!C$2)^2)</f>
        <v>0</v>
      </c>
      <c r="G626" s="27">
        <f>Ft!D$3*EXP(Ft!D$38*($A626-Ft!D$2)^2)</f>
        <v>101.2580651984905</v>
      </c>
      <c r="H626" s="27">
        <f>Ft!E$3*EXP(Ft!E$38*($A626-Ft!E$2)^2)</f>
        <v>6.5455655852859839E-45</v>
      </c>
      <c r="I626" s="27">
        <f>Ft!F$3*EXP(Ft!F$38*($A626-Ft!F$2)^2)</f>
        <v>5.9255967731942852E-12</v>
      </c>
      <c r="J626" s="27">
        <f>Ft!G$3*EXP(Ft!G$38*($A626-Ft!G$2)^2)</f>
        <v>0</v>
      </c>
    </row>
    <row r="627" spans="1:10">
      <c r="A627" s="20">
        <v>625</v>
      </c>
      <c r="B627" s="29">
        <v>3.2390138165130224</v>
      </c>
      <c r="C627" s="28">
        <f ca="1">OFFSET($B627,1*(ROWS(C$2:C627)-1),0)</f>
        <v>0</v>
      </c>
      <c r="D627" s="27">
        <f>Ft!B$3*EXP(Ft!B$38*($A627-Ft!B$2)^2) +Ft!C$3*EXP(Ft!C$38*($A627-Ft!C$2)^2) + Ft!D$3*EXP(Ft!D$38*($A627-Ft!D$2)^2)+Ft!E$3*EXP(Ft!E$38*($A627-Ft!E$2)^2) +Ft!F$3*EXP(Ft!F$38*($A627-Ft!F$2)^2) + Ft!G$3*EXP(Ft!G$38*($A627-Ft!G$2)^2)</f>
        <v>-116125.9579161283</v>
      </c>
      <c r="E627" s="27">
        <f>Ft!B$3*EXP(Ft!B$38*($A627-Ft!B$2)^2)</f>
        <v>-116222.73988789468</v>
      </c>
      <c r="F627" s="27">
        <f>Ft!C$3*EXP(Ft!C$38*($A627-Ft!C$2)^2)</f>
        <v>0</v>
      </c>
      <c r="G627" s="27">
        <f>Ft!D$3*EXP(Ft!D$38*($A627-Ft!D$2)^2)</f>
        <v>96.78197176638092</v>
      </c>
      <c r="H627" s="27">
        <f>Ft!E$3*EXP(Ft!E$38*($A627-Ft!E$2)^2)</f>
        <v>4.5285919777119613E-45</v>
      </c>
      <c r="I627" s="27">
        <f>Ft!F$3*EXP(Ft!F$38*($A627-Ft!F$2)^2)</f>
        <v>5.1473478320681536E-12</v>
      </c>
      <c r="J627" s="27">
        <f>Ft!G$3*EXP(Ft!G$38*($A627-Ft!G$2)^2)</f>
        <v>0</v>
      </c>
    </row>
    <row r="628" spans="1:10">
      <c r="A628" s="20">
        <v>626</v>
      </c>
      <c r="B628" s="29">
        <v>3.101959773675361</v>
      </c>
      <c r="C628" s="28">
        <f ca="1">OFFSET($B628,1*(ROWS(C$2:C628)-1),0)</f>
        <v>0</v>
      </c>
      <c r="D628" s="27">
        <f>Ft!B$3*EXP(Ft!B$38*($A628-Ft!B$2)^2) +Ft!C$3*EXP(Ft!C$38*($A628-Ft!C$2)^2) + Ft!D$3*EXP(Ft!D$38*($A628-Ft!D$2)^2)+Ft!E$3*EXP(Ft!E$38*($A628-Ft!E$2)^2) +Ft!F$3*EXP(Ft!F$38*($A628-Ft!F$2)^2) + Ft!G$3*EXP(Ft!G$38*($A628-Ft!G$2)^2)</f>
        <v>-116131.32069698164</v>
      </c>
      <c r="E628" s="27">
        <f>Ft!B$3*EXP(Ft!B$38*($A628-Ft!B$2)^2)</f>
        <v>-116223.81355037884</v>
      </c>
      <c r="F628" s="27">
        <f>Ft!C$3*EXP(Ft!C$38*($A628-Ft!C$2)^2)</f>
        <v>0</v>
      </c>
      <c r="G628" s="27">
        <f>Ft!D$3*EXP(Ft!D$38*($A628-Ft!D$2)^2)</f>
        <v>92.492853397196953</v>
      </c>
      <c r="H628" s="27">
        <f>Ft!E$3*EXP(Ft!E$38*($A628-Ft!E$2)^2)</f>
        <v>3.1312465151044794E-45</v>
      </c>
      <c r="I628" s="27">
        <f>Ft!F$3*EXP(Ft!F$38*($A628-Ft!F$2)^2)</f>
        <v>4.4701421603104257E-12</v>
      </c>
      <c r="J628" s="27">
        <f>Ft!G$3*EXP(Ft!G$38*($A628-Ft!G$2)^2)</f>
        <v>0</v>
      </c>
    </row>
    <row r="629" spans="1:10">
      <c r="A629" s="20">
        <v>627</v>
      </c>
      <c r="B629" s="29">
        <v>2.9736966570876007</v>
      </c>
      <c r="C629" s="28">
        <f ca="1">OFFSET($B629,1*(ROWS(C$2:C629)-1),0)</f>
        <v>0</v>
      </c>
      <c r="D629" s="27">
        <f>Ft!B$3*EXP(Ft!B$38*($A629-Ft!B$2)^2) +Ft!C$3*EXP(Ft!C$38*($A629-Ft!C$2)^2) + Ft!D$3*EXP(Ft!D$38*($A629-Ft!D$2)^2)+Ft!E$3*EXP(Ft!E$38*($A629-Ft!E$2)^2) +Ft!F$3*EXP(Ft!F$38*($A629-Ft!F$2)^2) + Ft!G$3*EXP(Ft!G$38*($A629-Ft!G$2)^2)</f>
        <v>-116136.50327420303</v>
      </c>
      <c r="E629" s="27">
        <f>Ft!B$3*EXP(Ft!B$38*($A629-Ft!B$2)^2)</f>
        <v>-116224.88668553518</v>
      </c>
      <c r="F629" s="27">
        <f>Ft!C$3*EXP(Ft!C$38*($A629-Ft!C$2)^2)</f>
        <v>0</v>
      </c>
      <c r="G629" s="27">
        <f>Ft!D$3*EXP(Ft!D$38*($A629-Ft!D$2)^2)</f>
        <v>88.383411332147858</v>
      </c>
      <c r="H629" s="27">
        <f>Ft!E$3*EXP(Ft!E$38*($A629-Ft!E$2)^2)</f>
        <v>2.1637614533329546E-45</v>
      </c>
      <c r="I629" s="27">
        <f>Ft!F$3*EXP(Ft!F$38*($A629-Ft!F$2)^2)</f>
        <v>3.8810170409499925E-12</v>
      </c>
      <c r="J629" s="27">
        <f>Ft!G$3*EXP(Ft!G$38*($A629-Ft!G$2)^2)</f>
        <v>0</v>
      </c>
    </row>
    <row r="630" spans="1:10">
      <c r="A630" s="20">
        <v>628</v>
      </c>
      <c r="B630" s="29">
        <v>2.8482086619251277</v>
      </c>
      <c r="C630" s="28">
        <f ca="1">OFFSET($B630,1*(ROWS(C$2:C630)-1),0)</f>
        <v>0</v>
      </c>
      <c r="D630" s="27">
        <f>Ft!B$3*EXP(Ft!B$38*($A630-Ft!B$2)^2) +Ft!C$3*EXP(Ft!C$38*($A630-Ft!C$2)^2) + Ft!D$3*EXP(Ft!D$38*($A630-Ft!D$2)^2)+Ft!E$3*EXP(Ft!E$38*($A630-Ft!E$2)^2) +Ft!F$3*EXP(Ft!F$38*($A630-Ft!F$2)^2) + Ft!G$3*EXP(Ft!G$38*($A630-Ft!G$2)^2)</f>
        <v>-116141.51268471061</v>
      </c>
      <c r="E630" s="27">
        <f>Ft!B$3*EXP(Ft!B$38*($A630-Ft!B$2)^2)</f>
        <v>-116225.95929334896</v>
      </c>
      <c r="F630" s="27">
        <f>Ft!C$3*EXP(Ft!C$38*($A630-Ft!C$2)^2)</f>
        <v>0</v>
      </c>
      <c r="G630" s="27">
        <f>Ft!D$3*EXP(Ft!D$38*($A630-Ft!D$2)^2)</f>
        <v>84.446608638350355</v>
      </c>
      <c r="H630" s="27">
        <f>Ft!E$3*EXP(Ft!E$38*($A630-Ft!E$2)^2)</f>
        <v>1.4943060419286148E-45</v>
      </c>
      <c r="I630" s="27">
        <f>Ft!F$3*EXP(Ft!F$38*($A630-Ft!F$2)^2)</f>
        <v>3.3686520989827676E-12</v>
      </c>
      <c r="J630" s="27">
        <f>Ft!G$3*EXP(Ft!G$38*($A630-Ft!G$2)^2)</f>
        <v>0</v>
      </c>
    </row>
    <row r="631" spans="1:10">
      <c r="A631" s="20">
        <v>629</v>
      </c>
      <c r="B631" s="29">
        <v>2.7183566970514903</v>
      </c>
      <c r="C631" s="28">
        <f ca="1">OFFSET($B631,1*(ROWS(C$2:C631)-1),0)</f>
        <v>0</v>
      </c>
      <c r="D631" s="27">
        <f>Ft!B$3*EXP(Ft!B$38*($A631-Ft!B$2)^2) +Ft!C$3*EXP(Ft!C$38*($A631-Ft!C$2)^2) + Ft!D$3*EXP(Ft!D$38*($A631-Ft!D$2)^2)+Ft!E$3*EXP(Ft!E$38*($A631-Ft!E$2)^2) +Ft!F$3*EXP(Ft!F$38*($A631-Ft!F$2)^2) + Ft!G$3*EXP(Ft!G$38*($A631-Ft!G$2)^2)</f>
        <v>-116146.35571198963</v>
      </c>
      <c r="E631" s="27">
        <f>Ft!B$3*EXP(Ft!B$38*($A631-Ft!B$2)^2)</f>
        <v>-116227.03137380538</v>
      </c>
      <c r="F631" s="27">
        <f>Ft!C$3*EXP(Ft!C$38*($A631-Ft!C$2)^2)</f>
        <v>0</v>
      </c>
      <c r="G631" s="27">
        <f>Ft!D$3*EXP(Ft!D$38*($A631-Ft!D$2)^2)</f>
        <v>80.675661815758971</v>
      </c>
      <c r="H631" s="27">
        <f>Ft!E$3*EXP(Ft!E$38*($A631-Ft!E$2)^2)</f>
        <v>1.0313540492416281E-45</v>
      </c>
      <c r="I631" s="27">
        <f>Ft!F$3*EXP(Ft!F$38*($A631-Ft!F$2)^2)</f>
        <v>2.9231639166225071E-12</v>
      </c>
      <c r="J631" s="27">
        <f>Ft!G$3*EXP(Ft!G$38*($A631-Ft!G$2)^2)</f>
        <v>0</v>
      </c>
    </row>
    <row r="632" spans="1:10">
      <c r="A632" s="20">
        <v>630</v>
      </c>
      <c r="B632" s="29">
        <v>2.5800705780271471</v>
      </c>
      <c r="C632" s="28">
        <f ca="1">OFFSET($B632,1*(ROWS(C$2:C632)-1),0)</f>
        <v>0</v>
      </c>
      <c r="D632" s="27">
        <f>Ft!B$3*EXP(Ft!B$38*($A632-Ft!B$2)^2) +Ft!C$3*EXP(Ft!C$38*($A632-Ft!C$2)^2) + Ft!D$3*EXP(Ft!D$38*($A632-Ft!D$2)^2)+Ft!E$3*EXP(Ft!E$38*($A632-Ft!E$2)^2) +Ft!F$3*EXP(Ft!F$38*($A632-Ft!F$2)^2) + Ft!G$3*EXP(Ft!G$38*($A632-Ft!G$2)^2)</f>
        <v>-116151.038894258</v>
      </c>
      <c r="E632" s="27">
        <f>Ft!B$3*EXP(Ft!B$38*($A632-Ft!B$2)^2)</f>
        <v>-116228.10292688964</v>
      </c>
      <c r="F632" s="27">
        <f>Ft!C$3*EXP(Ft!C$38*($A632-Ft!C$2)^2)</f>
        <v>0</v>
      </c>
      <c r="G632" s="27">
        <f>Ft!D$3*EXP(Ft!D$38*($A632-Ft!D$2)^2)</f>
        <v>77.06403263162899</v>
      </c>
      <c r="H632" s="27">
        <f>Ft!E$3*EXP(Ft!E$38*($A632-Ft!E$2)^2)</f>
        <v>7.1140032045251101E-46</v>
      </c>
      <c r="I632" s="27">
        <f>Ft!F$3*EXP(Ft!F$38*($A632-Ft!F$2)^2)</f>
        <v>2.5359259848872161E-12</v>
      </c>
      <c r="J632" s="27">
        <f>Ft!G$3*EXP(Ft!G$38*($A632-Ft!G$2)^2)</f>
        <v>0</v>
      </c>
    </row>
    <row r="633" spans="1:10">
      <c r="A633" s="20">
        <v>631</v>
      </c>
      <c r="B633" s="29">
        <v>2.4473867449485454</v>
      </c>
      <c r="C633" s="28">
        <f ca="1">OFFSET($B633,1*(ROWS(C$2:C633)-1),0)</f>
        <v>0</v>
      </c>
      <c r="D633" s="27">
        <f>Ft!B$3*EXP(Ft!B$38*($A633-Ft!B$2)^2) +Ft!C$3*EXP(Ft!C$38*($A633-Ft!C$2)^2) + Ft!D$3*EXP(Ft!D$38*($A633-Ft!D$2)^2)+Ft!E$3*EXP(Ft!E$38*($A633-Ft!E$2)^2) +Ft!F$3*EXP(Ft!F$38*($A633-Ft!F$2)^2) + Ft!G$3*EXP(Ft!G$38*($A633-Ft!G$2)^2)</f>
        <v>-116155.56853240899</v>
      </c>
      <c r="E633" s="27">
        <f>Ft!B$3*EXP(Ft!B$38*($A633-Ft!B$2)^2)</f>
        <v>-116229.17395258701</v>
      </c>
      <c r="F633" s="27">
        <f>Ft!C$3*EXP(Ft!C$38*($A633-Ft!C$2)^2)</f>
        <v>0</v>
      </c>
      <c r="G633" s="27">
        <f>Ft!D$3*EXP(Ft!D$38*($A633-Ft!D$2)^2)</f>
        <v>73.605420178016857</v>
      </c>
      <c r="H633" s="27">
        <f>Ft!E$3*EXP(Ft!E$38*($A633-Ft!E$2)^2)</f>
        <v>4.9040895035072326E-46</v>
      </c>
      <c r="I633" s="27">
        <f>Ft!F$3*EXP(Ft!F$38*($A633-Ft!F$2)^2)</f>
        <v>2.1994109104881933E-12</v>
      </c>
      <c r="J633" s="27">
        <f>Ft!G$3*EXP(Ft!G$38*($A633-Ft!G$2)^2)</f>
        <v>0</v>
      </c>
    </row>
    <row r="634" spans="1:10">
      <c r="A634" s="20">
        <v>632</v>
      </c>
      <c r="B634" s="29">
        <v>2.3264812278350746</v>
      </c>
      <c r="C634" s="28">
        <f ca="1">OFFSET($B634,1*(ROWS(C$2:C634)-1),0)</f>
        <v>0</v>
      </c>
      <c r="D634" s="27">
        <f>Ft!B$3*EXP(Ft!B$38*($A634-Ft!B$2)^2) +Ft!C$3*EXP(Ft!C$38*($A634-Ft!C$2)^2) + Ft!D$3*EXP(Ft!D$38*($A634-Ft!D$2)^2)+Ft!E$3*EXP(Ft!E$38*($A634-Ft!E$2)^2) +Ft!F$3*EXP(Ft!F$38*($A634-Ft!F$2)^2) + Ft!G$3*EXP(Ft!G$38*($A634-Ft!G$2)^2)</f>
        <v>-116159.95069773485</v>
      </c>
      <c r="E634" s="27">
        <f>Ft!B$3*EXP(Ft!B$38*($A634-Ft!B$2)^2)</f>
        <v>-116230.24445088269</v>
      </c>
      <c r="F634" s="27">
        <f>Ft!C$3*EXP(Ft!C$38*($A634-Ft!C$2)^2)</f>
        <v>0</v>
      </c>
      <c r="G634" s="27">
        <f>Ft!D$3*EXP(Ft!D$38*($A634-Ft!D$2)^2)</f>
        <v>70.293753147841059</v>
      </c>
      <c r="H634" s="27">
        <f>Ft!E$3*EXP(Ft!E$38*($A634-Ft!E$2)^2)</f>
        <v>3.3786310735713708E-46</v>
      </c>
      <c r="I634" s="27">
        <f>Ft!F$3*EXP(Ft!F$38*($A634-Ft!F$2)^2)</f>
        <v>1.9070521660515538E-12</v>
      </c>
      <c r="J634" s="27">
        <f>Ft!G$3*EXP(Ft!G$38*($A634-Ft!G$2)^2)</f>
        <v>0</v>
      </c>
    </row>
    <row r="635" spans="1:10">
      <c r="A635" s="20">
        <v>633</v>
      </c>
      <c r="B635" s="29">
        <v>2.1945864624536</v>
      </c>
      <c r="C635" s="28">
        <f ca="1">OFFSET($B635,1*(ROWS(C$2:C635)-1),0)</f>
        <v>0</v>
      </c>
      <c r="D635" s="27">
        <f>Ft!B$3*EXP(Ft!B$38*($A635-Ft!B$2)^2) +Ft!C$3*EXP(Ft!C$38*($A635-Ft!C$2)^2) + Ft!D$3*EXP(Ft!D$38*($A635-Ft!D$2)^2)+Ft!E$3*EXP(Ft!E$38*($A635-Ft!E$2)^2) +Ft!F$3*EXP(Ft!F$38*($A635-Ft!F$2)^2) + Ft!G$3*EXP(Ft!G$38*($A635-Ft!G$2)^2)</f>
        <v>-116164.1912394369</v>
      </c>
      <c r="E635" s="27">
        <f>Ft!B$3*EXP(Ft!B$38*($A635-Ft!B$2)^2)</f>
        <v>-116231.31442176196</v>
      </c>
      <c r="F635" s="27">
        <f>Ft!C$3*EXP(Ft!C$38*($A635-Ft!C$2)^2)</f>
        <v>0</v>
      </c>
      <c r="G635" s="27">
        <f>Ft!D$3*EXP(Ft!D$38*($A635-Ft!D$2)^2)</f>
        <v>67.123182325053023</v>
      </c>
      <c r="H635" s="27">
        <f>Ft!E$3*EXP(Ft!E$38*($A635-Ft!E$2)^2)</f>
        <v>2.3262758334941449E-46</v>
      </c>
      <c r="I635" s="27">
        <f>Ft!F$3*EXP(Ft!F$38*($A635-Ft!F$2)^2)</f>
        <v>1.6531229972523379E-12</v>
      </c>
      <c r="J635" s="27">
        <f>Ft!G$3*EXP(Ft!G$38*($A635-Ft!G$2)^2)</f>
        <v>0</v>
      </c>
    </row>
    <row r="636" spans="1:10">
      <c r="A636" s="20">
        <v>634</v>
      </c>
      <c r="B636" s="29">
        <v>2.0727790975968219</v>
      </c>
      <c r="C636" s="28">
        <f ca="1">OFFSET($B636,1*(ROWS(C$2:C636)-1),0)</f>
        <v>0</v>
      </c>
      <c r="D636" s="27">
        <f>Ft!B$3*EXP(Ft!B$38*($A636-Ft!B$2)^2) +Ft!C$3*EXP(Ft!C$38*($A636-Ft!C$2)^2) + Ft!D$3*EXP(Ft!D$38*($A636-Ft!D$2)^2)+Ft!E$3*EXP(Ft!E$38*($A636-Ft!E$2)^2) +Ft!F$3*EXP(Ft!F$38*($A636-Ft!F$2)^2) + Ft!G$3*EXP(Ft!G$38*($A636-Ft!G$2)^2)</f>
        <v>-116168.29579192554</v>
      </c>
      <c r="E636" s="27">
        <f>Ft!B$3*EXP(Ft!B$38*($A636-Ft!B$2)^2)</f>
        <v>-116232.38386521004</v>
      </c>
      <c r="F636" s="27">
        <f>Ft!C$3*EXP(Ft!C$38*($A636-Ft!C$2)^2)</f>
        <v>0</v>
      </c>
      <c r="G636" s="27">
        <f>Ft!D$3*EXP(Ft!D$38*($A636-Ft!D$2)^2)</f>
        <v>64.088073284493007</v>
      </c>
      <c r="H636" s="27">
        <f>Ft!E$3*EXP(Ft!E$38*($A636-Ft!E$2)^2)</f>
        <v>1.6007359512821839E-46</v>
      </c>
      <c r="I636" s="27">
        <f>Ft!F$3*EXP(Ft!F$38*($A636-Ft!F$2)^2)</f>
        <v>1.4326303875278355E-12</v>
      </c>
      <c r="J636" s="27">
        <f>Ft!G$3*EXP(Ft!G$38*($A636-Ft!G$2)^2)</f>
        <v>0</v>
      </c>
    </row>
    <row r="637" spans="1:10">
      <c r="A637" s="20">
        <v>635</v>
      </c>
      <c r="B637" s="29">
        <v>1.9758015536086759</v>
      </c>
      <c r="C637" s="28">
        <f ca="1">OFFSET($B637,1*(ROWS(C$2:C637)-1),0)</f>
        <v>0</v>
      </c>
      <c r="D637" s="27">
        <f>Ft!B$3*EXP(Ft!B$38*($A637-Ft!B$2)^2) +Ft!C$3*EXP(Ft!C$38*($A637-Ft!C$2)^2) + Ft!D$3*EXP(Ft!D$38*($A637-Ft!D$2)^2)+Ft!E$3*EXP(Ft!E$38*($A637-Ft!E$2)^2) +Ft!F$3*EXP(Ft!F$38*($A637-Ft!F$2)^2) + Ft!G$3*EXP(Ft!G$38*($A637-Ft!G$2)^2)</f>
        <v>-116172.26978191519</v>
      </c>
      <c r="E637" s="27">
        <f>Ft!B$3*EXP(Ft!B$38*($A637-Ft!B$2)^2)</f>
        <v>-116233.45278121223</v>
      </c>
      <c r="F637" s="27">
        <f>Ft!C$3*EXP(Ft!C$38*($A637-Ft!C$2)^2)</f>
        <v>0</v>
      </c>
      <c r="G637" s="27">
        <f>Ft!D$3*EXP(Ft!D$38*($A637-Ft!D$2)^2)</f>
        <v>61.182999297035487</v>
      </c>
      <c r="H637" s="27">
        <f>Ft!E$3*EXP(Ft!E$38*($A637-Ft!E$2)^2)</f>
        <v>1.1008198236100429E-46</v>
      </c>
      <c r="I637" s="27">
        <f>Ft!F$3*EXP(Ft!F$38*($A637-Ft!F$2)^2)</f>
        <v>1.2412222341260742E-12</v>
      </c>
      <c r="J637" s="27">
        <f>Ft!G$3*EXP(Ft!G$38*($A637-Ft!G$2)^2)</f>
        <v>0</v>
      </c>
    </row>
    <row r="638" spans="1:10">
      <c r="A638" s="20">
        <v>636</v>
      </c>
      <c r="B638" s="29">
        <v>1.8788834231988858</v>
      </c>
      <c r="C638" s="28">
        <f ca="1">OFFSET($B638,1*(ROWS(C$2:C638)-1),0)</f>
        <v>0</v>
      </c>
      <c r="D638" s="27">
        <f>Ft!B$3*EXP(Ft!B$38*($A638-Ft!B$2)^2) +Ft!C$3*EXP(Ft!C$38*($A638-Ft!C$2)^2) + Ft!D$3*EXP(Ft!D$38*($A638-Ft!D$2)^2)+Ft!E$3*EXP(Ft!E$38*($A638-Ft!E$2)^2) +Ft!F$3*EXP(Ft!F$38*($A638-Ft!F$2)^2) + Ft!G$3*EXP(Ft!G$38*($A638-Ft!G$2)^2)</f>
        <v>-116176.11843531809</v>
      </c>
      <c r="E638" s="27">
        <f>Ft!B$3*EXP(Ft!B$38*($A638-Ft!B$2)^2)</f>
        <v>-116234.52116975375</v>
      </c>
      <c r="F638" s="27">
        <f>Ft!C$3*EXP(Ft!C$38*($A638-Ft!C$2)^2)</f>
        <v>0</v>
      </c>
      <c r="G638" s="27">
        <f>Ft!D$3*EXP(Ft!D$38*($A638-Ft!D$2)^2)</f>
        <v>58.402734435664982</v>
      </c>
      <c r="H638" s="27">
        <f>Ft!E$3*EXP(Ft!E$38*($A638-Ft!E$2)^2)</f>
        <v>7.5657299816884954E-47</v>
      </c>
      <c r="I638" s="27">
        <f>Ft!F$3*EXP(Ft!F$38*($A638-Ft!F$2)^2)</f>
        <v>1.0751061122965136E-12</v>
      </c>
      <c r="J638" s="27">
        <f>Ft!G$3*EXP(Ft!G$38*($A638-Ft!G$2)^2)</f>
        <v>0</v>
      </c>
    </row>
    <row r="639" spans="1:10">
      <c r="A639" s="20">
        <v>637</v>
      </c>
      <c r="B639" s="29">
        <v>1.7777287492533844</v>
      </c>
      <c r="C639" s="28">
        <f ca="1">OFFSET($B639,1*(ROWS(C$2:C639)-1),0)</f>
        <v>0</v>
      </c>
      <c r="D639" s="27">
        <f>Ft!B$3*EXP(Ft!B$38*($A639-Ft!B$2)^2) +Ft!C$3*EXP(Ft!C$38*($A639-Ft!C$2)^2) + Ft!D$3*EXP(Ft!D$38*($A639-Ft!D$2)^2)+Ft!E$3*EXP(Ft!E$38*($A639-Ft!E$2)^2) +Ft!F$3*EXP(Ft!F$38*($A639-Ft!F$2)^2) + Ft!G$3*EXP(Ft!G$38*($A639-Ft!G$2)^2)</f>
        <v>-116179.84678394174</v>
      </c>
      <c r="E639" s="27">
        <f>Ft!B$3*EXP(Ft!B$38*($A639-Ft!B$2)^2)</f>
        <v>-116235.5890308199</v>
      </c>
      <c r="F639" s="27">
        <f>Ft!C$3*EXP(Ft!C$38*($A639-Ft!C$2)^2)</f>
        <v>0</v>
      </c>
      <c r="G639" s="27">
        <f>Ft!D$3*EXP(Ft!D$38*($A639-Ft!D$2)^2)</f>
        <v>55.742246878152756</v>
      </c>
      <c r="H639" s="27">
        <f>Ft!E$3*EXP(Ft!E$38*($A639-Ft!E$2)^2)</f>
        <v>5.1966502193473234E-47</v>
      </c>
      <c r="I639" s="27">
        <f>Ft!F$3*EXP(Ft!F$38*($A639-Ft!F$2)^2)</f>
        <v>9.309782009521066E-13</v>
      </c>
      <c r="J639" s="27">
        <f>Ft!G$3*EXP(Ft!G$38*($A639-Ft!G$2)^2)</f>
        <v>0</v>
      </c>
    </row>
    <row r="640" spans="1:10">
      <c r="A640" s="20">
        <v>638</v>
      </c>
      <c r="B640" s="29">
        <v>1.6822352364906692</v>
      </c>
      <c r="C640" s="28">
        <f ca="1">OFFSET($B640,1*(ROWS(C$2:C640)-1),0)</f>
        <v>0</v>
      </c>
      <c r="D640" s="27">
        <f>Ft!B$3*EXP(Ft!B$38*($A640-Ft!B$2)^2) +Ft!C$3*EXP(Ft!C$38*($A640-Ft!C$2)^2) + Ft!D$3*EXP(Ft!D$38*($A640-Ft!D$2)^2)+Ft!E$3*EXP(Ft!E$38*($A640-Ft!E$2)^2) +Ft!F$3*EXP(Ft!F$38*($A640-Ft!F$2)^2) + Ft!G$3*EXP(Ft!G$38*($A640-Ft!G$2)^2)</f>
        <v>-116183.45967199393</v>
      </c>
      <c r="E640" s="27">
        <f>Ft!B$3*EXP(Ft!B$38*($A640-Ft!B$2)^2)</f>
        <v>-116236.65636439598</v>
      </c>
      <c r="F640" s="27">
        <f>Ft!C$3*EXP(Ft!C$38*($A640-Ft!C$2)^2)</f>
        <v>0</v>
      </c>
      <c r="G640" s="27">
        <f>Ft!D$3*EXP(Ft!D$38*($A640-Ft!D$2)^2)</f>
        <v>53.196692402046367</v>
      </c>
      <c r="H640" s="27">
        <f>Ft!E$3*EXP(Ft!E$38*($A640-Ft!E$2)^2)</f>
        <v>3.5672552626301459E-47</v>
      </c>
      <c r="I640" s="27">
        <f>Ft!F$3*EXP(Ft!F$38*($A640-Ft!F$2)^2)</f>
        <v>8.0596111622474883E-13</v>
      </c>
      <c r="J640" s="27">
        <f>Ft!G$3*EXP(Ft!G$38*($A640-Ft!G$2)^2)</f>
        <v>0</v>
      </c>
    </row>
    <row r="641" spans="1:10">
      <c r="A641" s="20">
        <v>639</v>
      </c>
      <c r="B641" s="29">
        <v>1.5869665795214871</v>
      </c>
      <c r="C641" s="28">
        <f ca="1">OFFSET($B641,1*(ROWS(C$2:C641)-1),0)</f>
        <v>0</v>
      </c>
      <c r="D641" s="27">
        <f>Ft!B$3*EXP(Ft!B$38*($A641-Ft!B$2)^2) +Ft!C$3*EXP(Ft!C$38*($A641-Ft!C$2)^2) + Ft!D$3*EXP(Ft!D$38*($A641-Ft!D$2)^2)+Ft!E$3*EXP(Ft!E$38*($A641-Ft!E$2)^2) +Ft!F$3*EXP(Ft!F$38*($A641-Ft!F$2)^2) + Ft!G$3*EXP(Ft!G$38*($A641-Ft!G$2)^2)</f>
        <v>-116186.96176239951</v>
      </c>
      <c r="E641" s="27">
        <f>Ft!B$3*EXP(Ft!B$38*($A641-Ft!B$2)^2)</f>
        <v>-116237.72317046723</v>
      </c>
      <c r="F641" s="27">
        <f>Ft!C$3*EXP(Ft!C$38*($A641-Ft!C$2)^2)</f>
        <v>0</v>
      </c>
      <c r="G641" s="27">
        <f>Ft!D$3*EXP(Ft!D$38*($A641-Ft!D$2)^2)</f>
        <v>50.761408067723025</v>
      </c>
      <c r="H641" s="27">
        <f>Ft!E$3*EXP(Ft!E$38*($A641-Ft!E$2)^2)</f>
        <v>2.4472759459690696E-47</v>
      </c>
      <c r="I641" s="27">
        <f>Ft!F$3*EXP(Ft!F$38*($A641-Ft!F$2)^2)</f>
        <v>6.9754955175124852E-13</v>
      </c>
      <c r="J641" s="27">
        <f>Ft!G$3*EXP(Ft!G$38*($A641-Ft!G$2)^2)</f>
        <v>0</v>
      </c>
    </row>
    <row r="642" spans="1:10">
      <c r="A642" s="20">
        <v>640</v>
      </c>
      <c r="B642" s="29">
        <v>1.507841347211837</v>
      </c>
      <c r="C642" s="28">
        <f ca="1">OFFSET($B642,1*(ROWS(C$2:C642)-1),0)</f>
        <v>0</v>
      </c>
      <c r="D642" s="27">
        <f>Ft!B$3*EXP(Ft!B$38*($A642-Ft!B$2)^2) +Ft!C$3*EXP(Ft!C$38*($A642-Ft!C$2)^2) + Ft!D$3*EXP(Ft!D$38*($A642-Ft!D$2)^2)+Ft!E$3*EXP(Ft!E$38*($A642-Ft!E$2)^2) +Ft!F$3*EXP(Ft!F$38*($A642-Ft!F$2)^2) + Ft!G$3*EXP(Ft!G$38*($A642-Ft!G$2)^2)</f>
        <v>-116190.35754293369</v>
      </c>
      <c r="E642" s="27">
        <f>Ft!B$3*EXP(Ft!B$38*($A642-Ft!B$2)^2)</f>
        <v>-116238.78944901899</v>
      </c>
      <c r="F642" s="27">
        <f>Ft!C$3*EXP(Ft!C$38*($A642-Ft!C$2)^2)</f>
        <v>0</v>
      </c>
      <c r="G642" s="27">
        <f>Ft!D$3*EXP(Ft!D$38*($A642-Ft!D$2)^2)</f>
        <v>48.43190608529931</v>
      </c>
      <c r="H642" s="27">
        <f>Ft!E$3*EXP(Ft!E$38*($A642-Ft!E$2)^2)</f>
        <v>1.677914197146546E-47</v>
      </c>
      <c r="I642" s="27">
        <f>Ft!F$3*EXP(Ft!F$38*($A642-Ft!F$2)^2)</f>
        <v>6.0356275869177959E-13</v>
      </c>
      <c r="J642" s="27">
        <f>Ft!G$3*EXP(Ft!G$38*($A642-Ft!G$2)^2)</f>
        <v>1.0625702418491112E-307</v>
      </c>
    </row>
    <row r="643" spans="1:10">
      <c r="A643" s="20">
        <v>641</v>
      </c>
      <c r="B643" s="29">
        <v>1.4133689314930962</v>
      </c>
      <c r="C643" s="28">
        <f ca="1">OFFSET($B643,1*(ROWS(C$2:C643)-1),0)</f>
        <v>0</v>
      </c>
      <c r="D643" s="27">
        <f>Ft!B$3*EXP(Ft!B$38*($A643-Ft!B$2)^2) +Ft!C$3*EXP(Ft!C$38*($A643-Ft!C$2)^2) + Ft!D$3*EXP(Ft!D$38*($A643-Ft!D$2)^2)+Ft!E$3*EXP(Ft!E$38*($A643-Ft!E$2)^2) +Ft!F$3*EXP(Ft!F$38*($A643-Ft!F$2)^2) + Ft!G$3*EXP(Ft!G$38*($A643-Ft!G$2)^2)</f>
        <v>-116193.65133217533</v>
      </c>
      <c r="E643" s="27">
        <f>Ft!B$3*EXP(Ft!B$38*($A643-Ft!B$2)^2)</f>
        <v>-116239.85520003656</v>
      </c>
      <c r="F643" s="27">
        <f>Ft!C$3*EXP(Ft!C$38*($A643-Ft!C$2)^2)</f>
        <v>0</v>
      </c>
      <c r="G643" s="27">
        <f>Ft!D$3*EXP(Ft!D$38*($A643-Ft!D$2)^2)</f>
        <v>46.203867861232844</v>
      </c>
      <c r="H643" s="27">
        <f>Ft!E$3*EXP(Ft!E$38*($A643-Ft!E$2)^2)</f>
        <v>1.1497266778767549E-47</v>
      </c>
      <c r="I643" s="27">
        <f>Ft!F$3*EXP(Ft!F$38*($A643-Ft!F$2)^2)</f>
        <v>5.2210301654912411E-13</v>
      </c>
      <c r="J643" s="27">
        <f>Ft!G$3*EXP(Ft!G$38*($A643-Ft!G$2)^2)</f>
        <v>3.0414833512273579E-303</v>
      </c>
    </row>
    <row r="644" spans="1:10">
      <c r="A644" s="20">
        <v>642</v>
      </c>
      <c r="B644" s="29">
        <v>1.3393127867776968</v>
      </c>
      <c r="C644" s="28">
        <f ca="1">OFFSET($B644,1*(ROWS(C$2:C644)-1),0)</f>
        <v>0</v>
      </c>
      <c r="D644" s="27">
        <f>Ft!B$3*EXP(Ft!B$38*($A644-Ft!B$2)^2) +Ft!C$3*EXP(Ft!C$38*($A644-Ft!C$2)^2) + Ft!D$3*EXP(Ft!D$38*($A644-Ft!D$2)^2)+Ft!E$3*EXP(Ft!E$38*($A644-Ft!E$2)^2) +Ft!F$3*EXP(Ft!F$38*($A644-Ft!F$2)^2) + Ft!G$3*EXP(Ft!G$38*($A644-Ft!G$2)^2)</f>
        <v>-116196.84728528473</v>
      </c>
      <c r="E644" s="27">
        <f>Ft!B$3*EXP(Ft!B$38*($A644-Ft!B$2)^2)</f>
        <v>-116240.92042350523</v>
      </c>
      <c r="F644" s="27">
        <f>Ft!C$3*EXP(Ft!C$38*($A644-Ft!C$2)^2)</f>
        <v>0</v>
      </c>
      <c r="G644" s="27">
        <f>Ft!D$3*EXP(Ft!D$38*($A644-Ft!D$2)^2)</f>
        <v>44.073138220499132</v>
      </c>
      <c r="H644" s="27">
        <f>Ft!E$3*EXP(Ft!E$38*($A644-Ft!E$2)^2)</f>
        <v>7.8733130833317226E-48</v>
      </c>
      <c r="I644" s="27">
        <f>Ft!F$3*EXP(Ft!F$38*($A644-Ft!F$2)^2)</f>
        <v>4.5151934972483457E-13</v>
      </c>
      <c r="J644" s="27">
        <f>Ft!G$3*EXP(Ft!G$38*($A644-Ft!G$2)^2)</f>
        <v>8.0874668711529448E-299</v>
      </c>
    </row>
    <row r="645" spans="1:10">
      <c r="A645" s="20">
        <v>643</v>
      </c>
      <c r="B645" s="29">
        <v>1.2595208532060838</v>
      </c>
      <c r="C645" s="28">
        <f ca="1">OFFSET($B645,1*(ROWS(C$2:C645)-1),0)</f>
        <v>0</v>
      </c>
      <c r="D645" s="27">
        <f>Ft!B$3*EXP(Ft!B$38*($A645-Ft!B$2)^2) +Ft!C$3*EXP(Ft!C$38*($A645-Ft!C$2)^2) + Ft!D$3*EXP(Ft!D$38*($A645-Ft!D$2)^2)+Ft!E$3*EXP(Ft!E$38*($A645-Ft!E$2)^2) +Ft!F$3*EXP(Ft!F$38*($A645-Ft!F$2)^2) + Ft!G$3*EXP(Ft!G$38*($A645-Ft!G$2)^2)</f>
        <v>-116199.94939961005</v>
      </c>
      <c r="E645" s="27">
        <f>Ft!B$3*EXP(Ft!B$38*($A645-Ft!B$2)^2)</f>
        <v>-116241.98511941032</v>
      </c>
      <c r="F645" s="27">
        <f>Ft!C$3*EXP(Ft!C$38*($A645-Ft!C$2)^2)</f>
        <v>0</v>
      </c>
      <c r="G645" s="27">
        <f>Ft!D$3*EXP(Ft!D$38*($A645-Ft!D$2)^2)</f>
        <v>42.035719800272922</v>
      </c>
      <c r="H645" s="27">
        <f>Ft!E$3*EXP(Ft!E$38*($A645-Ft!E$2)^2)</f>
        <v>5.3883833721480862E-48</v>
      </c>
      <c r="I645" s="27">
        <f>Ft!F$3*EXP(Ft!F$38*($A645-Ft!F$2)^2)</f>
        <v>3.9037583609832086E-13</v>
      </c>
      <c r="J645" s="27">
        <f>Ft!G$3*EXP(Ft!G$38*($A645-Ft!G$2)^2)</f>
        <v>1.9977395262430148E-294</v>
      </c>
    </row>
    <row r="646" spans="1:10">
      <c r="A646" s="20">
        <v>644</v>
      </c>
      <c r="B646" s="29">
        <v>1.1909848262066873</v>
      </c>
      <c r="C646" s="28">
        <f ca="1">OFFSET($B646,1*(ROWS(C$2:C646)-1),0)</f>
        <v>0</v>
      </c>
      <c r="D646" s="27">
        <f>Ft!B$3*EXP(Ft!B$38*($A646-Ft!B$2)^2) +Ft!C$3*EXP(Ft!C$38*($A646-Ft!C$2)^2) + Ft!D$3*EXP(Ft!D$38*($A646-Ft!D$2)^2)+Ft!E$3*EXP(Ft!E$38*($A646-Ft!E$2)^2) +Ft!F$3*EXP(Ft!F$38*($A646-Ft!F$2)^2) + Ft!G$3*EXP(Ft!G$38*($A646-Ft!G$2)^2)</f>
        <v>-116202.96152012607</v>
      </c>
      <c r="E646" s="27">
        <f>Ft!B$3*EXP(Ft!B$38*($A646-Ft!B$2)^2)</f>
        <v>-116243.04928773717</v>
      </c>
      <c r="F646" s="27">
        <f>Ft!C$3*EXP(Ft!C$38*($A646-Ft!C$2)^2)</f>
        <v>0</v>
      </c>
      <c r="G646" s="27">
        <f>Ft!D$3*EXP(Ft!D$38*($A646-Ft!D$2)^2)</f>
        <v>40.087767611091898</v>
      </c>
      <c r="H646" s="27">
        <f>Ft!E$3*EXP(Ft!E$38*($A646-Ft!E$2)^2)</f>
        <v>3.6855092528959068E-48</v>
      </c>
      <c r="I646" s="27">
        <f>Ft!F$3*EXP(Ft!F$38*($A646-Ft!F$2)^2)</f>
        <v>3.3742393423171609E-13</v>
      </c>
      <c r="J646" s="27">
        <f>Ft!G$3*EXP(Ft!G$38*($A646-Ft!G$2)^2)</f>
        <v>4.5842098161705645E-290</v>
      </c>
    </row>
    <row r="647" spans="1:10">
      <c r="A647" s="20">
        <v>645</v>
      </c>
      <c r="B647" s="29">
        <v>1.1037407196766083</v>
      </c>
      <c r="C647" s="28">
        <f ca="1">OFFSET($B647,1*(ROWS(C$2:C647)-1),0)</f>
        <v>0</v>
      </c>
      <c r="D647" s="27">
        <f>Ft!B$3*EXP(Ft!B$38*($A647-Ft!B$2)^2) +Ft!C$3*EXP(Ft!C$38*($A647-Ft!C$2)^2) + Ft!D$3*EXP(Ft!D$38*($A647-Ft!D$2)^2)+Ft!E$3*EXP(Ft!E$38*($A647-Ft!E$2)^2) +Ft!F$3*EXP(Ft!F$38*($A647-Ft!F$2)^2) + Ft!G$3*EXP(Ft!G$38*($A647-Ft!G$2)^2)</f>
        <v>-116205.88734470955</v>
      </c>
      <c r="E647" s="27">
        <f>Ft!B$3*EXP(Ft!B$38*($A647-Ft!B$2)^2)</f>
        <v>-116244.11292847109</v>
      </c>
      <c r="F647" s="27">
        <f>Ft!C$3*EXP(Ft!C$38*($A647-Ft!C$2)^2)</f>
        <v>0</v>
      </c>
      <c r="G647" s="27">
        <f>Ft!D$3*EXP(Ft!D$38*($A647-Ft!D$2)^2)</f>
        <v>38.225583761532519</v>
      </c>
      <c r="H647" s="27">
        <f>Ft!E$3*EXP(Ft!E$38*($A647-Ft!E$2)^2)</f>
        <v>2.5192692013253635E-48</v>
      </c>
      <c r="I647" s="27">
        <f>Ft!F$3*EXP(Ft!F$38*($A647-Ft!F$2)^2)</f>
        <v>2.9157832639822962E-13</v>
      </c>
      <c r="J647" s="27">
        <f>Ft!G$3*EXP(Ft!G$38*($A647-Ft!G$2)^2)</f>
        <v>9.7721334182518656E-286</v>
      </c>
    </row>
    <row r="648" spans="1:10">
      <c r="A648" s="20">
        <v>646</v>
      </c>
      <c r="B648" s="29">
        <v>1.0262170257561252</v>
      </c>
      <c r="C648" s="28">
        <f ca="1">OFFSET($B648,1*(ROWS(C$2:C648)-1),0)</f>
        <v>0</v>
      </c>
      <c r="D648" s="27">
        <f>Ft!B$3*EXP(Ft!B$38*($A648-Ft!B$2)^2) +Ft!C$3*EXP(Ft!C$38*($A648-Ft!C$2)^2) + Ft!D$3*EXP(Ft!D$38*($A648-Ft!D$2)^2)+Ft!E$3*EXP(Ft!E$38*($A648-Ft!E$2)^2) +Ft!F$3*EXP(Ft!F$38*($A648-Ft!F$2)^2) + Ft!G$3*EXP(Ft!G$38*($A648-Ft!G$2)^2)</f>
        <v>-116208.73042925498</v>
      </c>
      <c r="E648" s="27">
        <f>Ft!B$3*EXP(Ft!B$38*($A648-Ft!B$2)^2)</f>
        <v>-116245.17604159746</v>
      </c>
      <c r="F648" s="27">
        <f>Ft!C$3*EXP(Ft!C$38*($A648-Ft!C$2)^2)</f>
        <v>0</v>
      </c>
      <c r="G648" s="27">
        <f>Ft!D$3*EXP(Ft!D$38*($A648-Ft!D$2)^2)</f>
        <v>36.445612342478441</v>
      </c>
      <c r="H648" s="27">
        <f>Ft!E$3*EXP(Ft!E$38*($A648-Ft!E$2)^2)</f>
        <v>1.7210349967605448E-48</v>
      </c>
      <c r="I648" s="27">
        <f>Ft!F$3*EXP(Ft!F$38*($A648-Ft!F$2)^2)</f>
        <v>2.5189583666387695E-13</v>
      </c>
      <c r="J648" s="27">
        <f>Ft!G$3*EXP(Ft!G$38*($A648-Ft!G$2)^2)</f>
        <v>1.9351452367183642E-281</v>
      </c>
    </row>
    <row r="649" spans="1:10">
      <c r="A649" s="20">
        <v>647</v>
      </c>
      <c r="B649" s="29">
        <v>0.96992607456090241</v>
      </c>
      <c r="C649" s="28">
        <f ca="1">OFFSET($B649,1*(ROWS(C$2:C649)-1),0)</f>
        <v>0</v>
      </c>
      <c r="D649" s="27">
        <f>Ft!B$3*EXP(Ft!B$38*($A649-Ft!B$2)^2) +Ft!C$3*EXP(Ft!C$38*($A649-Ft!C$2)^2) + Ft!D$3*EXP(Ft!D$38*($A649-Ft!D$2)^2)+Ft!E$3*EXP(Ft!E$38*($A649-Ft!E$2)^2) +Ft!F$3*EXP(Ft!F$38*($A649-Ft!F$2)^2) + Ft!G$3*EXP(Ft!G$38*($A649-Ft!G$2)^2)</f>
        <v>-116211.49419263446</v>
      </c>
      <c r="E649" s="27">
        <f>Ft!B$3*EXP(Ft!B$38*($A649-Ft!B$2)^2)</f>
        <v>-116246.23862710157</v>
      </c>
      <c r="F649" s="27">
        <f>Ft!C$3*EXP(Ft!C$38*($A649-Ft!C$2)^2)</f>
        <v>0</v>
      </c>
      <c r="G649" s="27">
        <f>Ft!D$3*EXP(Ft!D$38*($A649-Ft!D$2)^2)</f>
        <v>34.744434467115042</v>
      </c>
      <c r="H649" s="27">
        <f>Ft!E$3*EXP(Ft!E$38*($A649-Ft!E$2)^2)</f>
        <v>1.1750135609374332E-48</v>
      </c>
      <c r="I649" s="27">
        <f>Ft!F$3*EXP(Ft!F$38*($A649-Ft!F$2)^2)</f>
        <v>2.1755703774325953E-13</v>
      </c>
      <c r="J649" s="27">
        <f>Ft!G$3*EXP(Ft!G$38*($A649-Ft!G$2)^2)</f>
        <v>3.5598936140209324E-277</v>
      </c>
    </row>
    <row r="650" spans="1:10">
      <c r="A650" s="20">
        <v>648</v>
      </c>
      <c r="B650" s="29">
        <v>0.92084087289555328</v>
      </c>
      <c r="C650" s="28">
        <f ca="1">OFFSET($B650,1*(ROWS(C$2:C650)-1),0)</f>
        <v>0</v>
      </c>
      <c r="D650" s="27">
        <f>Ft!B$3*EXP(Ft!B$38*($A650-Ft!B$2)^2) +Ft!C$3*EXP(Ft!C$38*($A650-Ft!C$2)^2) + Ft!D$3*EXP(Ft!D$38*($A650-Ft!D$2)^2)+Ft!E$3*EXP(Ft!E$38*($A650-Ft!E$2)^2) +Ft!F$3*EXP(Ft!F$38*($A650-Ft!F$2)^2) + Ft!G$3*EXP(Ft!G$38*($A650-Ft!G$2)^2)</f>
        <v>-116214.18192150597</v>
      </c>
      <c r="E650" s="27">
        <f>Ft!B$3*EXP(Ft!B$38*($A650-Ft!B$2)^2)</f>
        <v>-116247.30068496881</v>
      </c>
      <c r="F650" s="27">
        <f>Ft!C$3*EXP(Ft!C$38*($A650-Ft!C$2)^2)</f>
        <v>0</v>
      </c>
      <c r="G650" s="27">
        <f>Ft!D$3*EXP(Ft!D$38*($A650-Ft!D$2)^2)</f>
        <v>33.118763462837336</v>
      </c>
      <c r="H650" s="27">
        <f>Ft!E$3*EXP(Ft!E$38*($A650-Ft!E$2)^2)</f>
        <v>8.0174102862620039E-49</v>
      </c>
      <c r="I650" s="27">
        <f>Ft!F$3*EXP(Ft!F$38*($A650-Ft!F$2)^2)</f>
        <v>1.8785020820318418E-13</v>
      </c>
      <c r="J650" s="27">
        <f>Ft!G$3*EXP(Ft!G$38*($A650-Ft!G$2)^2)</f>
        <v>6.0835873786898193E-273</v>
      </c>
    </row>
    <row r="651" spans="1:10">
      <c r="A651" s="20">
        <v>649</v>
      </c>
      <c r="B651" s="29">
        <v>0.86322741717907547</v>
      </c>
      <c r="C651" s="28">
        <f ca="1">OFFSET($B651,1*(ROWS(C$2:C651)-1),0)</f>
        <v>0</v>
      </c>
      <c r="D651" s="27">
        <f>Ft!B$3*EXP(Ft!B$38*($A651-Ft!B$2)^2) +Ft!C$3*EXP(Ft!C$38*($A651-Ft!C$2)^2) + Ft!D$3*EXP(Ft!D$38*($A651-Ft!D$2)^2)+Ft!E$3*EXP(Ft!E$38*($A651-Ft!E$2)^2) +Ft!F$3*EXP(Ft!F$38*($A651-Ft!F$2)^2) + Ft!G$3*EXP(Ft!G$38*($A651-Ft!G$2)^2)</f>
        <v>-116216.79677497322</v>
      </c>
      <c r="E651" s="27">
        <f>Ft!B$3*EXP(Ft!B$38*($A651-Ft!B$2)^2)</f>
        <v>-116248.36221518453</v>
      </c>
      <c r="F651" s="27">
        <f>Ft!C$3*EXP(Ft!C$38*($A651-Ft!C$2)^2)</f>
        <v>0</v>
      </c>
      <c r="G651" s="27">
        <f>Ft!D$3*EXP(Ft!D$38*($A651-Ft!D$2)^2)</f>
        <v>31.565440211315334</v>
      </c>
      <c r="H651" s="27">
        <f>Ft!E$3*EXP(Ft!E$38*($A651-Ft!E$2)^2)</f>
        <v>5.4671802409008004E-49</v>
      </c>
      <c r="I651" s="27">
        <f>Ft!F$3*EXP(Ft!F$38*($A651-Ft!F$2)^2)</f>
        <v>1.6215734359869832E-13</v>
      </c>
      <c r="J651" s="27">
        <f>Ft!G$3*EXP(Ft!G$38*($A651-Ft!G$2)^2)</f>
        <v>9.6578789465160278E-269</v>
      </c>
    </row>
    <row r="652" spans="1:10">
      <c r="A652" s="20">
        <v>650</v>
      </c>
      <c r="B652" s="29">
        <v>0.81692990215560712</v>
      </c>
      <c r="C652" s="28">
        <f ca="1">OFFSET($B652,1*(ROWS(C$2:C652)-1),0)</f>
        <v>0</v>
      </c>
      <c r="D652" s="27">
        <f>Ft!B$3*EXP(Ft!B$38*($A652-Ft!B$2)^2) +Ft!C$3*EXP(Ft!C$38*($A652-Ft!C$2)^2) + Ft!D$3*EXP(Ft!D$38*($A652-Ft!D$2)^2)+Ft!E$3*EXP(Ft!E$38*($A652-Ft!E$2)^2) +Ft!F$3*EXP(Ft!F$38*($A652-Ft!F$2)^2) + Ft!G$3*EXP(Ft!G$38*($A652-Ft!G$2)^2)</f>
        <v>-116219.34178910109</v>
      </c>
      <c r="E652" s="27">
        <f>Ft!B$3*EXP(Ft!B$38*($A652-Ft!B$2)^2)</f>
        <v>-116249.4232177341</v>
      </c>
      <c r="F652" s="27">
        <f>Ft!C$3*EXP(Ft!C$38*($A652-Ft!C$2)^2)</f>
        <v>0</v>
      </c>
      <c r="G652" s="27">
        <f>Ft!D$3*EXP(Ft!D$38*($A652-Ft!D$2)^2)</f>
        <v>30.081428633014202</v>
      </c>
      <c r="H652" s="27">
        <f>Ft!E$3*EXP(Ft!E$38*($A652-Ft!E$2)^2)</f>
        <v>3.7258959938342819E-49</v>
      </c>
      <c r="I652" s="27">
        <f>Ft!F$3*EXP(Ft!F$38*($A652-Ft!F$2)^2)</f>
        <v>1.3994196199721581E-13</v>
      </c>
      <c r="J652" s="27">
        <f>Ft!G$3*EXP(Ft!G$38*($A652-Ft!G$2)^2)</f>
        <v>1.4243051399371386E-264</v>
      </c>
    </row>
    <row r="653" spans="1:10">
      <c r="A653" s="20">
        <v>651</v>
      </c>
      <c r="B653" s="29">
        <v>0.76086235114340184</v>
      </c>
      <c r="C653" s="28">
        <f ca="1">OFFSET($B653,1*(ROWS(C$2:C653)-1),0)</f>
        <v>0</v>
      </c>
      <c r="D653" s="27">
        <f>Ft!B$3*EXP(Ft!B$38*($A653-Ft!B$2)^2) +Ft!C$3*EXP(Ft!C$38*($A653-Ft!C$2)^2) + Ft!D$3*EXP(Ft!D$38*($A653-Ft!D$2)^2)+Ft!E$3*EXP(Ft!E$38*($A653-Ft!E$2)^2) +Ft!F$3*EXP(Ft!F$38*($A653-Ft!F$2)^2) + Ft!G$3*EXP(Ft!G$38*($A653-Ft!G$2)^2)</f>
        <v>-116221.81988129039</v>
      </c>
      <c r="E653" s="27">
        <f>Ft!B$3*EXP(Ft!B$38*($A653-Ft!B$2)^2)</f>
        <v>-116250.48369260291</v>
      </c>
      <c r="F653" s="27">
        <f>Ft!C$3*EXP(Ft!C$38*($A653-Ft!C$2)^2)</f>
        <v>0</v>
      </c>
      <c r="G653" s="27">
        <f>Ft!D$3*EXP(Ft!D$38*($A653-Ft!D$2)^2)</f>
        <v>28.663811312525169</v>
      </c>
      <c r="H653" s="27">
        <f>Ft!E$3*EXP(Ft!E$38*($A653-Ft!E$2)^2)</f>
        <v>2.5376756724945772E-49</v>
      </c>
      <c r="I653" s="27">
        <f>Ft!F$3*EXP(Ft!F$38*($A653-Ft!F$2)^2)</f>
        <v>1.2073847669723308E-13</v>
      </c>
      <c r="J653" s="27">
        <f>Ft!G$3*EXP(Ft!G$38*($A653-Ft!G$2)^2)</f>
        <v>1.9512980121118765E-260</v>
      </c>
    </row>
    <row r="654" spans="1:10">
      <c r="A654" s="20">
        <v>652</v>
      </c>
      <c r="B654" s="29">
        <v>0.71387491394747826</v>
      </c>
      <c r="C654" s="28">
        <f ca="1">OFFSET($B654,1*(ROWS(C$2:C654)-1),0)</f>
        <v>0</v>
      </c>
      <c r="D654" s="27">
        <f>Ft!B$3*EXP(Ft!B$38*($A654-Ft!B$2)^2) +Ft!C$3*EXP(Ft!C$38*($A654-Ft!C$2)^2) + Ft!D$3*EXP(Ft!D$38*($A654-Ft!D$2)^2)+Ft!E$3*EXP(Ft!E$38*($A654-Ft!E$2)^2) +Ft!F$3*EXP(Ft!F$38*($A654-Ft!F$2)^2) + Ft!G$3*EXP(Ft!G$38*($A654-Ft!G$2)^2)</f>
        <v>-116224.23385451519</v>
      </c>
      <c r="E654" s="27">
        <f>Ft!B$3*EXP(Ft!B$38*($A654-Ft!B$2)^2)</f>
        <v>-116251.54363977631</v>
      </c>
      <c r="F654" s="27">
        <f>Ft!C$3*EXP(Ft!C$38*($A654-Ft!C$2)^2)</f>
        <v>0</v>
      </c>
      <c r="G654" s="27">
        <f>Ft!D$3*EXP(Ft!D$38*($A654-Ft!D$2)^2)</f>
        <v>27.309785261120236</v>
      </c>
      <c r="H654" s="27">
        <f>Ft!E$3*EXP(Ft!E$38*($A654-Ft!E$2)^2)</f>
        <v>1.7273468719185117E-49</v>
      </c>
      <c r="I654" s="27">
        <f>Ft!F$3*EXP(Ft!F$38*($A654-Ft!F$2)^2)</f>
        <v>1.0414293732399307E-13</v>
      </c>
      <c r="J654" s="27">
        <f>Ft!G$3*EXP(Ft!G$38*($A654-Ft!G$2)^2)</f>
        <v>2.4833814872540044E-256</v>
      </c>
    </row>
    <row r="655" spans="1:10">
      <c r="A655" s="20">
        <v>653</v>
      </c>
      <c r="B655" s="29">
        <v>0.6760270864867266</v>
      </c>
      <c r="C655" s="28">
        <f ca="1">OFFSET($B655,1*(ROWS(C$2:C655)-1),0)</f>
        <v>0</v>
      </c>
      <c r="D655" s="27">
        <f>Ft!B$3*EXP(Ft!B$38*($A655-Ft!B$2)^2) +Ft!C$3*EXP(Ft!C$38*($A655-Ft!C$2)^2) + Ft!D$3*EXP(Ft!D$38*($A655-Ft!D$2)^2)+Ft!E$3*EXP(Ft!E$38*($A655-Ft!E$2)^2) +Ft!F$3*EXP(Ft!F$38*($A655-Ft!F$2)^2) + Ft!G$3*EXP(Ft!G$38*($A655-Ft!G$2)^2)</f>
        <v>-116226.58640142671</v>
      </c>
      <c r="E655" s="27">
        <f>Ft!B$3*EXP(Ft!B$38*($A655-Ft!B$2)^2)</f>
        <v>-116252.60305923971</v>
      </c>
      <c r="F655" s="27">
        <f>Ft!C$3*EXP(Ft!C$38*($A655-Ft!C$2)^2)</f>
        <v>0</v>
      </c>
      <c r="G655" s="27">
        <f>Ft!D$3*EXP(Ft!D$38*($A655-Ft!D$2)^2)</f>
        <v>26.016657813001302</v>
      </c>
      <c r="H655" s="27">
        <f>Ft!E$3*EXP(Ft!E$38*($A655-Ft!E$2)^2)</f>
        <v>1.1750627313031707E-49</v>
      </c>
      <c r="I655" s="27">
        <f>Ft!F$3*EXP(Ft!F$38*($A655-Ft!F$2)^2)</f>
        <v>8.9804965366911238E-14</v>
      </c>
      <c r="J655" s="27">
        <f>Ft!G$3*EXP(Ft!G$38*($A655-Ft!G$2)^2)</f>
        <v>2.9360439550987213E-252</v>
      </c>
    </row>
    <row r="656" spans="1:10">
      <c r="A656" s="20">
        <v>654</v>
      </c>
      <c r="B656" s="29">
        <v>0.65368201983238805</v>
      </c>
      <c r="C656" s="28">
        <f ca="1">OFFSET($B656,1*(ROWS(C$2:C656)-1),0)</f>
        <v>0</v>
      </c>
      <c r="D656" s="27">
        <f>Ft!B$3*EXP(Ft!B$38*($A656-Ft!B$2)^2) +Ft!C$3*EXP(Ft!C$38*($A656-Ft!C$2)^2) + Ft!D$3*EXP(Ft!D$38*($A656-Ft!D$2)^2)+Ft!E$3*EXP(Ft!E$38*($A656-Ft!E$2)^2) +Ft!F$3*EXP(Ft!F$38*($A656-Ft!F$2)^2) + Ft!G$3*EXP(Ft!G$38*($A656-Ft!G$2)^2)</f>
        <v>-116228.88010832675</v>
      </c>
      <c r="E656" s="27">
        <f>Ft!B$3*EXP(Ft!B$38*($A656-Ft!B$2)^2)</f>
        <v>-116253.66195097852</v>
      </c>
      <c r="F656" s="27">
        <f>Ft!C$3*EXP(Ft!C$38*($A656-Ft!C$2)^2)</f>
        <v>0</v>
      </c>
      <c r="G656" s="27">
        <f>Ft!D$3*EXP(Ft!D$38*($A656-Ft!D$2)^2)</f>
        <v>24.781842651773445</v>
      </c>
      <c r="H656" s="27">
        <f>Ft!E$3*EXP(Ft!E$38*($A656-Ft!E$2)^2)</f>
        <v>7.9887825397021875E-50</v>
      </c>
      <c r="I656" s="27">
        <f>Ft!F$3*EXP(Ft!F$38*($A656-Ft!F$2)^2)</f>
        <v>7.742073203586642E-14</v>
      </c>
      <c r="J656" s="27">
        <f>Ft!G$3*EXP(Ft!G$38*($A656-Ft!G$2)^2)</f>
        <v>3.2246378211068897E-248</v>
      </c>
    </row>
    <row r="657" spans="1:10">
      <c r="A657" s="20">
        <v>655</v>
      </c>
      <c r="B657" s="29">
        <v>0.61723162089671746</v>
      </c>
      <c r="C657" s="28">
        <f ca="1">OFFSET($B657,1*(ROWS(C$2:C657)-1),0)</f>
        <v>0</v>
      </c>
      <c r="D657" s="27">
        <f>Ft!B$3*EXP(Ft!B$38*($A657-Ft!B$2)^2) +Ft!C$3*EXP(Ft!C$38*($A657-Ft!C$2)^2) + Ft!D$3*EXP(Ft!D$38*($A657-Ft!D$2)^2)+Ft!E$3*EXP(Ft!E$38*($A657-Ft!E$2)^2) +Ft!F$3*EXP(Ft!F$38*($A657-Ft!F$2)^2) + Ft!G$3*EXP(Ft!G$38*($A657-Ft!G$2)^2)</f>
        <v>-116231.11745901438</v>
      </c>
      <c r="E657" s="27">
        <f>Ft!B$3*EXP(Ft!B$38*($A657-Ft!B$2)^2)</f>
        <v>-116254.72031497811</v>
      </c>
      <c r="F657" s="27">
        <f>Ft!C$3*EXP(Ft!C$38*($A657-Ft!C$2)^2)</f>
        <v>0</v>
      </c>
      <c r="G657" s="27">
        <f>Ft!D$3*EXP(Ft!D$38*($A657-Ft!D$2)^2)</f>
        <v>23.602855963730544</v>
      </c>
      <c r="H657" s="27">
        <f>Ft!E$3*EXP(Ft!E$38*($A657-Ft!E$2)^2)</f>
        <v>5.4279795108881772E-50</v>
      </c>
      <c r="I657" s="27">
        <f>Ft!F$3*EXP(Ft!F$38*($A657-Ft!F$2)^2)</f>
        <v>6.6726845428978032E-14</v>
      </c>
      <c r="J657" s="27">
        <f>Ft!G$3*EXP(Ft!G$38*($A657-Ft!G$2)^2)</f>
        <v>3.2900205482708646E-244</v>
      </c>
    </row>
    <row r="658" spans="1:10">
      <c r="A658" s="20">
        <v>656</v>
      </c>
      <c r="B658" s="29">
        <v>0.57161239652640461</v>
      </c>
      <c r="C658" s="28">
        <f ca="1">OFFSET($B658,1*(ROWS(C$2:C658)-1),0)</f>
        <v>0</v>
      </c>
      <c r="D658" s="27">
        <f>Ft!B$3*EXP(Ft!B$38*($A658-Ft!B$2)^2) +Ft!C$3*EXP(Ft!C$38*($A658-Ft!C$2)^2) + Ft!D$3*EXP(Ft!D$38*($A658-Ft!D$2)^2)+Ft!E$3*EXP(Ft!E$38*($A658-Ft!E$2)^2) +Ft!F$3*EXP(Ft!F$38*($A658-Ft!F$2)^2) + Ft!G$3*EXP(Ft!G$38*($A658-Ft!G$2)^2)</f>
        <v>-116233.30083850931</v>
      </c>
      <c r="E658" s="27">
        <f>Ft!B$3*EXP(Ft!B$38*($A658-Ft!B$2)^2)</f>
        <v>-116255.77815122392</v>
      </c>
      <c r="F658" s="27">
        <f>Ft!C$3*EXP(Ft!C$38*($A658-Ft!C$2)^2)</f>
        <v>0</v>
      </c>
      <c r="G658" s="27">
        <f>Ft!D$3*EXP(Ft!D$38*($A658-Ft!D$2)^2)</f>
        <v>22.477312714601016</v>
      </c>
      <c r="H658" s="27">
        <f>Ft!E$3*EXP(Ft!E$38*($A658-Ft!E$2)^2)</f>
        <v>3.6858177116841246E-50</v>
      </c>
      <c r="I658" s="27">
        <f>Ft!F$3*EXP(Ft!F$38*($A658-Ft!F$2)^2)</f>
        <v>5.7495030751634086E-14</v>
      </c>
      <c r="J658" s="27">
        <f>Ft!G$3*EXP(Ft!G$38*($A658-Ft!G$2)^2)</f>
        <v>3.1182831932375903E-240</v>
      </c>
    </row>
    <row r="659" spans="1:10">
      <c r="A659" s="20">
        <v>657</v>
      </c>
      <c r="B659" s="29">
        <v>0.52125471955611147</v>
      </c>
      <c r="C659" s="28">
        <f ca="1">OFFSET($B659,1*(ROWS(C$2:C659)-1),0)</f>
        <v>0</v>
      </c>
      <c r="D659" s="27">
        <f>Ft!B$3*EXP(Ft!B$38*($A659-Ft!B$2)^2) +Ft!C$3*EXP(Ft!C$38*($A659-Ft!C$2)^2) + Ft!D$3*EXP(Ft!D$38*($A659-Ft!D$2)^2)+Ft!E$3*EXP(Ft!E$38*($A659-Ft!E$2)^2) +Ft!F$3*EXP(Ft!F$38*($A659-Ft!F$2)^2) + Ft!G$3*EXP(Ft!G$38*($A659-Ft!G$2)^2)</f>
        <v>-116235.43253665487</v>
      </c>
      <c r="E659" s="27">
        <f>Ft!B$3*EXP(Ft!B$38*($A659-Ft!B$2)^2)</f>
        <v>-116256.83545970134</v>
      </c>
      <c r="F659" s="27">
        <f>Ft!C$3*EXP(Ft!C$38*($A659-Ft!C$2)^2)</f>
        <v>0</v>
      </c>
      <c r="G659" s="27">
        <f>Ft!D$3*EXP(Ft!D$38*($A659-Ft!D$2)^2)</f>
        <v>21.402923046461346</v>
      </c>
      <c r="H659" s="27">
        <f>Ft!E$3*EXP(Ft!E$38*($A659-Ft!E$2)^2)</f>
        <v>2.5013102254205107E-50</v>
      </c>
      <c r="I659" s="27">
        <f>Ft!F$3*EXP(Ft!F$38*($A659-Ft!F$2)^2)</f>
        <v>4.9527501994413798E-14</v>
      </c>
      <c r="J659" s="27">
        <f>Ft!G$3*EXP(Ft!G$38*($A659-Ft!G$2)^2)</f>
        <v>2.7455652798725089E-236</v>
      </c>
    </row>
    <row r="660" spans="1:10">
      <c r="A660" s="20">
        <v>658</v>
      </c>
      <c r="B660" s="29">
        <v>0.47012508433968492</v>
      </c>
      <c r="C660" s="28">
        <f ca="1">OFFSET($B660,1*(ROWS(C$2:C660)-1),0)</f>
        <v>0</v>
      </c>
      <c r="D660" s="27">
        <f>Ft!B$3*EXP(Ft!B$38*($A660-Ft!B$2)^2) +Ft!C$3*EXP(Ft!C$38*($A660-Ft!C$2)^2) + Ft!D$3*EXP(Ft!D$38*($A660-Ft!D$2)^2)+Ft!E$3*EXP(Ft!E$38*($A660-Ft!E$2)^2) +Ft!F$3*EXP(Ft!F$38*($A660-Ft!F$2)^2) + Ft!G$3*EXP(Ft!G$38*($A660-Ft!G$2)^2)</f>
        <v>-116237.51475160425</v>
      </c>
      <c r="E660" s="27">
        <f>Ft!B$3*EXP(Ft!B$38*($A660-Ft!B$2)^2)</f>
        <v>-116257.89224039583</v>
      </c>
      <c r="F660" s="27">
        <f>Ft!C$3*EXP(Ft!C$38*($A660-Ft!C$2)^2)</f>
        <v>0</v>
      </c>
      <c r="G660" s="27">
        <f>Ft!D$3*EXP(Ft!D$38*($A660-Ft!D$2)^2)</f>
        <v>20.377488791584323</v>
      </c>
      <c r="H660" s="27">
        <f>Ft!E$3*EXP(Ft!E$38*($A660-Ft!E$2)^2)</f>
        <v>1.6964431765426319E-50</v>
      </c>
      <c r="I660" s="27">
        <f>Ft!F$3*EXP(Ft!F$38*($A660-Ft!F$2)^2)</f>
        <v>4.2652936320553567E-14</v>
      </c>
      <c r="J660" s="27">
        <f>Ft!G$3*EXP(Ft!G$38*($A660-Ft!G$2)^2)</f>
        <v>2.2456768962124947E-232</v>
      </c>
    </row>
    <row r="661" spans="1:10">
      <c r="A661" s="20">
        <v>659</v>
      </c>
      <c r="B661" s="29">
        <v>0.43544348804294941</v>
      </c>
      <c r="C661" s="28">
        <f ca="1">OFFSET($B661,1*(ROWS(C$2:C661)-1),0)</f>
        <v>0</v>
      </c>
      <c r="D661" s="27">
        <f>Ft!B$3*EXP(Ft!B$38*($A661-Ft!B$2)^2) +Ft!C$3*EXP(Ft!C$38*($A661-Ft!C$2)^2) + Ft!D$3*EXP(Ft!D$38*($A661-Ft!D$2)^2)+Ft!E$3*EXP(Ft!E$38*($A661-Ft!E$2)^2) +Ft!F$3*EXP(Ft!F$38*($A661-Ft!F$2)^2) + Ft!G$3*EXP(Ft!G$38*($A661-Ft!G$2)^2)</f>
        <v>-116239.54959319274</v>
      </c>
      <c r="E661" s="27">
        <f>Ft!B$3*EXP(Ft!B$38*($A661-Ft!B$2)^2)</f>
        <v>-116258.94849329279</v>
      </c>
      <c r="F661" s="27">
        <f>Ft!C$3*EXP(Ft!C$38*($A661-Ft!C$2)^2)</f>
        <v>0</v>
      </c>
      <c r="G661" s="27">
        <f>Ft!D$3*EXP(Ft!D$38*($A661-Ft!D$2)^2)</f>
        <v>19.398900100049353</v>
      </c>
      <c r="H661" s="27">
        <f>Ft!E$3*EXP(Ft!E$38*($A661-Ft!E$2)^2)</f>
        <v>1.1498710205010341E-50</v>
      </c>
      <c r="I661" s="27">
        <f>Ft!F$3*EXP(Ft!F$38*($A661-Ft!F$2)^2)</f>
        <v>3.6722973655425274E-14</v>
      </c>
      <c r="J661" s="27">
        <f>Ft!G$3*EXP(Ft!G$38*($A661-Ft!G$2)^2)</f>
        <v>1.7063261413405402E-228</v>
      </c>
    </row>
    <row r="662" spans="1:10">
      <c r="A662" s="20">
        <v>660</v>
      </c>
      <c r="B662" s="29">
        <v>0.3984439894373395</v>
      </c>
      <c r="C662" s="28">
        <f ca="1">OFFSET($B662,1*(ROWS(C$2:C662)-1),0)</f>
        <v>0</v>
      </c>
      <c r="D662" s="27">
        <f>Ft!B$3*EXP(Ft!B$38*($A662-Ft!B$2)^2) +Ft!C$3*EXP(Ft!C$38*($A662-Ft!C$2)^2) + Ft!D$3*EXP(Ft!D$38*($A662-Ft!D$2)^2)+Ft!E$3*EXP(Ft!E$38*($A662-Ft!E$2)^2) +Ft!F$3*EXP(Ft!F$38*($A662-Ft!F$2)^2) + Ft!G$3*EXP(Ft!G$38*($A662-Ft!G$2)^2)</f>
        <v>-116241.53908619969</v>
      </c>
      <c r="E662" s="27">
        <f>Ft!B$3*EXP(Ft!B$38*($A662-Ft!B$2)^2)</f>
        <v>-116260.00421837768</v>
      </c>
      <c r="F662" s="27">
        <f>Ft!C$3*EXP(Ft!C$38*($A662-Ft!C$2)^2)</f>
        <v>0</v>
      </c>
      <c r="G662" s="27">
        <f>Ft!D$3*EXP(Ft!D$38*($A662-Ft!D$2)^2)</f>
        <v>18.465132178001586</v>
      </c>
      <c r="H662" s="27">
        <f>Ft!E$3*EXP(Ft!E$38*($A662-Ft!E$2)^2)</f>
        <v>7.7892742191622509E-51</v>
      </c>
      <c r="I662" s="27">
        <f>Ft!F$3*EXP(Ft!F$38*($A662-Ft!F$2)^2)</f>
        <v>3.1609173807904009E-14</v>
      </c>
      <c r="J662" s="27">
        <f>Ft!G$3*EXP(Ft!G$38*($A662-Ft!G$2)^2)</f>
        <v>1.2044148298797118E-224</v>
      </c>
    </row>
    <row r="663" spans="1:10">
      <c r="A663" s="20">
        <v>661</v>
      </c>
      <c r="B663" s="29">
        <v>0.36236894567224454</v>
      </c>
      <c r="C663" s="28">
        <f ca="1">OFFSET($B663,1*(ROWS(C$2:C663)-1),0)</f>
        <v>0</v>
      </c>
      <c r="D663" s="27">
        <f>Ft!B$3*EXP(Ft!B$38*($A663-Ft!B$2)^2) +Ft!C$3*EXP(Ft!C$38*($A663-Ft!C$2)^2) + Ft!D$3*EXP(Ft!D$38*($A663-Ft!D$2)^2)+Ft!E$3*EXP(Ft!E$38*($A663-Ft!E$2)^2) +Ft!F$3*EXP(Ft!F$38*($A663-Ft!F$2)^2) + Ft!G$3*EXP(Ft!G$38*($A663-Ft!G$2)^2)</f>
        <v>-116243.48517350244</v>
      </c>
      <c r="E663" s="27">
        <f>Ft!B$3*EXP(Ft!B$38*($A663-Ft!B$2)^2)</f>
        <v>-116261.05941563594</v>
      </c>
      <c r="F663" s="27">
        <f>Ft!C$3*EXP(Ft!C$38*($A663-Ft!C$2)^2)</f>
        <v>0</v>
      </c>
      <c r="G663" s="27">
        <f>Ft!D$3*EXP(Ft!D$38*($A663-Ft!D$2)^2)</f>
        <v>17.574242133507354</v>
      </c>
      <c r="H663" s="27">
        <f>Ft!E$3*EXP(Ft!E$38*($A663-Ft!E$2)^2)</f>
        <v>5.2733052387383611E-51</v>
      </c>
      <c r="I663" s="27">
        <f>Ft!F$3*EXP(Ft!F$38*($A663-Ft!F$2)^2)</f>
        <v>2.7200372059383732E-14</v>
      </c>
      <c r="J663" s="27">
        <f>Ft!G$3*EXP(Ft!G$38*($A663-Ft!G$2)^2)</f>
        <v>7.8974961143598442E-221</v>
      </c>
    </row>
    <row r="664" spans="1:10">
      <c r="A664" s="20">
        <v>662</v>
      </c>
      <c r="B664" s="29">
        <v>0.32828284781126627</v>
      </c>
      <c r="C664" s="28">
        <f ca="1">OFFSET($B664,1*(ROWS(C$2:C664)-1),0)</f>
        <v>0</v>
      </c>
      <c r="D664" s="27">
        <f>Ft!B$3*EXP(Ft!B$38*($A664-Ft!B$2)^2) +Ft!C$3*EXP(Ft!C$38*($A664-Ft!C$2)^2) + Ft!D$3*EXP(Ft!D$38*($A664-Ft!D$2)^2)+Ft!E$3*EXP(Ft!E$38*($A664-Ft!E$2)^2) +Ft!F$3*EXP(Ft!F$38*($A664-Ft!F$2)^2) + Ft!G$3*EXP(Ft!G$38*($A664-Ft!G$2)^2)</f>
        <v>-116245.389719126</v>
      </c>
      <c r="E664" s="27">
        <f>Ft!B$3*EXP(Ft!B$38*($A664-Ft!B$2)^2)</f>
        <v>-116262.11408505302</v>
      </c>
      <c r="F664" s="27">
        <f>Ft!C$3*EXP(Ft!C$38*($A664-Ft!C$2)^2)</f>
        <v>0</v>
      </c>
      <c r="G664" s="27">
        <f>Ft!D$3*EXP(Ft!D$38*($A664-Ft!D$2)^2)</f>
        <v>16.724365927012762</v>
      </c>
      <c r="H664" s="27">
        <f>Ft!E$3*EXP(Ft!E$38*($A664-Ft!E$2)^2)</f>
        <v>3.5678524106535058E-51</v>
      </c>
      <c r="I664" s="27">
        <f>Ft!F$3*EXP(Ft!F$38*($A664-Ft!F$2)^2)</f>
        <v>2.3400381682500393E-14</v>
      </c>
      <c r="J664" s="27">
        <f>Ft!G$3*EXP(Ft!G$38*($A664-Ft!G$2)^2)</f>
        <v>4.8106307620440715E-217</v>
      </c>
    </row>
    <row r="665" spans="1:10">
      <c r="A665" s="20">
        <v>663</v>
      </c>
      <c r="B665" s="29">
        <v>0.29925656398742717</v>
      </c>
      <c r="C665" s="28">
        <f ca="1">OFFSET($B665,1*(ROWS(C$2:C665)-1),0)</f>
        <v>0</v>
      </c>
      <c r="D665" s="27">
        <f>Ft!B$3*EXP(Ft!B$38*($A665-Ft!B$2)^2) +Ft!C$3*EXP(Ft!C$38*($A665-Ft!C$2)^2) + Ft!D$3*EXP(Ft!D$38*($A665-Ft!D$2)^2)+Ft!E$3*EXP(Ft!E$38*($A665-Ft!E$2)^2) +Ft!F$3*EXP(Ft!F$38*($A665-Ft!F$2)^2) + Ft!G$3*EXP(Ft!G$38*($A665-Ft!G$2)^2)</f>
        <v>-116247.25451119091</v>
      </c>
      <c r="E665" s="27">
        <f>Ft!B$3*EXP(Ft!B$38*($A665-Ft!B$2)^2)</f>
        <v>-116263.16822661439</v>
      </c>
      <c r="F665" s="27">
        <f>Ft!C$3*EXP(Ft!C$38*($A665-Ft!C$2)^2)</f>
        <v>0</v>
      </c>
      <c r="G665" s="27">
        <f>Ft!D$3*EXP(Ft!D$38*($A665-Ft!D$2)^2)</f>
        <v>15.913715423472205</v>
      </c>
      <c r="H665" s="27">
        <f>Ft!E$3*EXP(Ft!E$38*($A665-Ft!E$2)^2)</f>
        <v>2.412508787526873E-51</v>
      </c>
      <c r="I665" s="27">
        <f>Ft!F$3*EXP(Ft!F$38*($A665-Ft!F$2)^2)</f>
        <v>2.0125998431896779E-14</v>
      </c>
      <c r="J665" s="27">
        <f>Ft!G$3*EXP(Ft!G$38*($A665-Ft!G$2)^2)</f>
        <v>2.7221616033626527E-213</v>
      </c>
    </row>
    <row r="666" spans="1:10">
      <c r="A666" s="20">
        <v>664</v>
      </c>
      <c r="B666" s="29">
        <v>0.28441712144260123</v>
      </c>
      <c r="C666" s="28">
        <f ca="1">OFFSET($B666,1*(ROWS(C$2:C666)-1),0)</f>
        <v>0</v>
      </c>
      <c r="D666" s="27">
        <f>Ft!B$3*EXP(Ft!B$38*($A666-Ft!B$2)^2) +Ft!C$3*EXP(Ft!C$38*($A666-Ft!C$2)^2) + Ft!D$3*EXP(Ft!D$38*($A666-Ft!D$2)^2)+Ft!E$3*EXP(Ft!E$38*($A666-Ft!E$2)^2) +Ft!F$3*EXP(Ft!F$38*($A666-Ft!F$2)^2) + Ft!G$3*EXP(Ft!G$38*($A666-Ft!G$2)^2)</f>
        <v>-116249.08126476224</v>
      </c>
      <c r="E666" s="27">
        <f>Ft!B$3*EXP(Ft!B$38*($A666-Ft!B$2)^2)</f>
        <v>-116264.22184030552</v>
      </c>
      <c r="F666" s="27">
        <f>Ft!C$3*EXP(Ft!C$38*($A666-Ft!C$2)^2)</f>
        <v>0</v>
      </c>
      <c r="G666" s="27">
        <f>Ft!D$3*EXP(Ft!D$38*($A666-Ft!D$2)^2)</f>
        <v>15.140575543273156</v>
      </c>
      <c r="H666" s="27">
        <f>Ft!E$3*EXP(Ft!E$38*($A666-Ft!E$2)^2)</f>
        <v>1.6303054481185004E-51</v>
      </c>
      <c r="I666" s="27">
        <f>Ft!F$3*EXP(Ft!F$38*($A666-Ft!F$2)^2)</f>
        <v>1.7305267800747406E-14</v>
      </c>
      <c r="J666" s="27">
        <f>Ft!G$3*EXP(Ft!G$38*($A666-Ft!G$2)^2)</f>
        <v>1.4309519811853958E-209</v>
      </c>
    </row>
    <row r="667" spans="1:10">
      <c r="A667" s="20">
        <v>665</v>
      </c>
      <c r="B667" s="29">
        <v>0.28617152582125982</v>
      </c>
      <c r="C667" s="28">
        <f ca="1">OFFSET($B667,1*(ROWS(C$2:C667)-1),0)</f>
        <v>0</v>
      </c>
      <c r="D667" s="27">
        <f>Ft!B$3*EXP(Ft!B$38*($A667-Ft!B$2)^2) +Ft!C$3*EXP(Ft!C$38*($A667-Ft!C$2)^2) + Ft!D$3*EXP(Ft!D$38*($A667-Ft!D$2)^2)+Ft!E$3*EXP(Ft!E$38*($A667-Ft!E$2)^2) +Ft!F$3*EXP(Ft!F$38*($A667-Ft!F$2)^2) + Ft!G$3*EXP(Ft!G$38*($A667-Ft!G$2)^2)</f>
        <v>-116250.87162460273</v>
      </c>
      <c r="E667" s="27">
        <f>Ft!B$3*EXP(Ft!B$38*($A667-Ft!B$2)^2)</f>
        <v>-116265.27492611187</v>
      </c>
      <c r="F667" s="27">
        <f>Ft!C$3*EXP(Ft!C$38*($A667-Ft!C$2)^2)</f>
        <v>0</v>
      </c>
      <c r="G667" s="27">
        <f>Ft!D$3*EXP(Ft!D$38*($A667-Ft!D$2)^2)</f>
        <v>14.403301509143215</v>
      </c>
      <c r="H667" s="27">
        <f>Ft!E$3*EXP(Ft!E$38*($A667-Ft!E$2)^2)</f>
        <v>1.1010501709245923E-51</v>
      </c>
      <c r="I667" s="27">
        <f>Ft!F$3*EXP(Ft!F$38*($A667-Ft!F$2)^2)</f>
        <v>1.4875980862276615E-14</v>
      </c>
      <c r="J667" s="27">
        <f>Ft!G$3*EXP(Ft!G$38*($A667-Ft!G$2)^2)</f>
        <v>6.9877199826132118E-206</v>
      </c>
    </row>
    <row r="668" spans="1:10">
      <c r="A668" s="20">
        <v>666</v>
      </c>
      <c r="B668" s="29">
        <v>0.26003628025463854</v>
      </c>
      <c r="C668" s="28">
        <f ca="1">OFFSET($B668,1*(ROWS(C$2:C668)-1),0)</f>
        <v>0</v>
      </c>
      <c r="D668" s="27">
        <f>Ft!B$3*EXP(Ft!B$38*($A668-Ft!B$2)^2) +Ft!C$3*EXP(Ft!C$38*($A668-Ft!C$2)^2) + Ft!D$3*EXP(Ft!D$38*($A668-Ft!D$2)^2)+Ft!E$3*EXP(Ft!E$38*($A668-Ft!E$2)^2) +Ft!F$3*EXP(Ft!F$38*($A668-Ft!F$2)^2) + Ft!G$3*EXP(Ft!G$38*($A668-Ft!G$2)^2)</f>
        <v>-116252.62716783266</v>
      </c>
      <c r="E668" s="27">
        <f>Ft!B$3*EXP(Ft!B$38*($A668-Ft!B$2)^2)</f>
        <v>-116266.32748401894</v>
      </c>
      <c r="F668" s="27">
        <f>Ft!C$3*EXP(Ft!C$38*($A668-Ft!C$2)^2)</f>
        <v>0</v>
      </c>
      <c r="G668" s="27">
        <f>Ft!D$3*EXP(Ft!D$38*($A668-Ft!D$2)^2)</f>
        <v>13.700316186284073</v>
      </c>
      <c r="H668" s="27">
        <f>Ft!E$3*EXP(Ft!E$38*($A668-Ft!E$2)^2)</f>
        <v>7.4316165007702292E-52</v>
      </c>
      <c r="I668" s="27">
        <f>Ft!F$3*EXP(Ft!F$38*($A668-Ft!F$2)^2)</f>
        <v>1.2784368905395773E-14</v>
      </c>
      <c r="J668" s="27">
        <f>Ft!G$3*EXP(Ft!G$38*($A668-Ft!G$2)^2)</f>
        <v>3.1698973797340097E-202</v>
      </c>
    </row>
    <row r="669" spans="1:10">
      <c r="A669" s="20">
        <v>667</v>
      </c>
      <c r="B669" s="29">
        <v>0.24079801664422007</v>
      </c>
      <c r="C669" s="28">
        <f ca="1">OFFSET($B669,1*(ROWS(C$2:C669)-1),0)</f>
        <v>0</v>
      </c>
      <c r="D669" s="27">
        <f>Ft!B$3*EXP(Ft!B$38*($A669-Ft!B$2)^2) +Ft!C$3*EXP(Ft!C$38*($A669-Ft!C$2)^2) + Ft!D$3*EXP(Ft!D$38*($A669-Ft!D$2)^2)+Ft!E$3*EXP(Ft!E$38*($A669-Ft!E$2)^2) +Ft!F$3*EXP(Ft!F$38*($A669-Ft!F$2)^2) + Ft!G$3*EXP(Ft!G$38*($A669-Ft!G$2)^2)</f>
        <v>-116254.34940649915</v>
      </c>
      <c r="E669" s="27">
        <f>Ft!B$3*EXP(Ft!B$38*($A669-Ft!B$2)^2)</f>
        <v>-116267.37951401219</v>
      </c>
      <c r="F669" s="27">
        <f>Ft!C$3*EXP(Ft!C$38*($A669-Ft!C$2)^2)</f>
        <v>0</v>
      </c>
      <c r="G669" s="27">
        <f>Ft!D$3*EXP(Ft!D$38*($A669-Ft!D$2)^2)</f>
        <v>13.030107513036139</v>
      </c>
      <c r="H669" s="27">
        <f>Ft!E$3*EXP(Ft!E$38*($A669-Ft!E$2)^2)</f>
        <v>5.0129979253850044E-52</v>
      </c>
      <c r="I669" s="27">
        <f>Ft!F$3*EXP(Ft!F$38*($A669-Ft!F$2)^2)</f>
        <v>1.098397090718537E-14</v>
      </c>
      <c r="J669" s="27">
        <f>Ft!G$3*EXP(Ft!G$38*($A669-Ft!G$2)^2)</f>
        <v>1.3358392167524607E-198</v>
      </c>
    </row>
    <row r="670" spans="1:10">
      <c r="A670" s="20">
        <v>668</v>
      </c>
      <c r="B670" s="29">
        <v>0.24947691697451546</v>
      </c>
      <c r="C670" s="28">
        <f ca="1">OFFSET($B670,1*(ROWS(C$2:C670)-1),0)</f>
        <v>0</v>
      </c>
      <c r="D670" s="27">
        <f>Ft!B$3*EXP(Ft!B$38*($A670-Ft!B$2)^2) +Ft!C$3*EXP(Ft!C$38*($A670-Ft!C$2)^2) + Ft!D$3*EXP(Ft!D$38*($A670-Ft!D$2)^2)+Ft!E$3*EXP(Ft!E$38*($A670-Ft!E$2)^2) +Ft!F$3*EXP(Ft!F$38*($A670-Ft!F$2)^2) + Ft!G$3*EXP(Ft!G$38*($A670-Ft!G$2)^2)</f>
        <v>-116256.03979005774</v>
      </c>
      <c r="E670" s="27">
        <f>Ft!B$3*EXP(Ft!B$38*($A670-Ft!B$2)^2)</f>
        <v>-116268.43101607717</v>
      </c>
      <c r="F670" s="27">
        <f>Ft!C$3*EXP(Ft!C$38*($A670-Ft!C$2)^2)</f>
        <v>0</v>
      </c>
      <c r="G670" s="27">
        <f>Ft!D$3*EXP(Ft!D$38*($A670-Ft!D$2)^2)</f>
        <v>12.39122601943575</v>
      </c>
      <c r="H670" s="27">
        <f>Ft!E$3*EXP(Ft!E$38*($A670-Ft!E$2)^2)</f>
        <v>3.3794794684080736E-52</v>
      </c>
      <c r="I670" s="27">
        <f>Ft!F$3*EXP(Ft!F$38*($A670-Ft!F$2)^2)</f>
        <v>9.4346512317194558E-15</v>
      </c>
      <c r="J670" s="27">
        <f>Ft!G$3*EXP(Ft!G$38*($A670-Ft!G$2)^2)</f>
        <v>5.229527509015812E-195</v>
      </c>
    </row>
    <row r="671" spans="1:10">
      <c r="A671" s="20">
        <v>669</v>
      </c>
      <c r="B671" s="29">
        <v>0.26454134276579566</v>
      </c>
      <c r="C671" s="28">
        <f ca="1">OFFSET($B671,1*(ROWS(C$2:C671)-1),0)</f>
        <v>0</v>
      </c>
      <c r="D671" s="27">
        <f>Ft!B$3*EXP(Ft!B$38*($A671-Ft!B$2)^2) +Ft!C$3*EXP(Ft!C$38*($A671-Ft!C$2)^2) + Ft!D$3*EXP(Ft!D$38*($A671-Ft!D$2)^2)+Ft!E$3*EXP(Ft!E$38*($A671-Ft!E$2)^2) +Ft!F$3*EXP(Ft!F$38*($A671-Ft!F$2)^2) + Ft!G$3*EXP(Ft!G$38*($A671-Ft!G$2)^2)</f>
        <v>-116257.69970776826</v>
      </c>
      <c r="E671" s="27">
        <f>Ft!B$3*EXP(Ft!B$38*($A671-Ft!B$2)^2)</f>
        <v>-116269.48199019935</v>
      </c>
      <c r="F671" s="27">
        <f>Ft!C$3*EXP(Ft!C$38*($A671-Ft!C$2)^2)</f>
        <v>0</v>
      </c>
      <c r="G671" s="27">
        <f>Ft!D$3*EXP(Ft!D$38*($A671-Ft!D$2)^2)</f>
        <v>11.782282431084719</v>
      </c>
      <c r="H671" s="27">
        <f>Ft!E$3*EXP(Ft!E$38*($A671-Ft!E$2)^2)</f>
        <v>2.2768800538326377E-52</v>
      </c>
      <c r="I671" s="27">
        <f>Ft!F$3*EXP(Ft!F$38*($A671-Ft!F$2)^2)</f>
        <v>8.1017478656691623E-15</v>
      </c>
      <c r="J671" s="27">
        <f>Ft!G$3*EXP(Ft!G$38*($A671-Ft!G$2)^2)</f>
        <v>1.9018225444396964E-191</v>
      </c>
    </row>
    <row r="672" spans="1:10">
      <c r="A672" s="20">
        <v>670</v>
      </c>
      <c r="B672" s="29">
        <v>0.25037827357076026</v>
      </c>
      <c r="C672" s="28">
        <f ca="1">OFFSET($B672,1*(ROWS(C$2:C672)-1),0)</f>
        <v>0</v>
      </c>
      <c r="D672" s="27">
        <f>Ft!B$3*EXP(Ft!B$38*($A672-Ft!B$2)^2) +Ft!C$3*EXP(Ft!C$38*($A672-Ft!C$2)^2) + Ft!D$3*EXP(Ft!D$38*($A672-Ft!D$2)^2)+Ft!E$3*EXP(Ft!E$38*($A672-Ft!E$2)^2) +Ft!F$3*EXP(Ft!F$38*($A672-Ft!F$2)^2) + Ft!G$3*EXP(Ft!G$38*($A672-Ft!G$2)^2)</f>
        <v>-116259.33049100843</v>
      </c>
      <c r="E672" s="27">
        <f>Ft!B$3*EXP(Ft!B$38*($A672-Ft!B$2)^2)</f>
        <v>-116270.53243636424</v>
      </c>
      <c r="F672" s="27">
        <f>Ft!C$3*EXP(Ft!C$38*($A672-Ft!C$2)^2)</f>
        <v>0</v>
      </c>
      <c r="G672" s="27">
        <f>Ft!D$3*EXP(Ft!D$38*($A672-Ft!D$2)^2)</f>
        <v>11.201945355810235</v>
      </c>
      <c r="H672" s="27">
        <f>Ft!E$3*EXP(Ft!E$38*($A672-Ft!E$2)^2)</f>
        <v>1.5330931589004849E-52</v>
      </c>
      <c r="I672" s="27">
        <f>Ft!F$3*EXP(Ft!F$38*($A672-Ft!F$2)^2)</f>
        <v>6.9553340496530466E-15</v>
      </c>
      <c r="J672" s="27">
        <f>Ft!G$3*EXP(Ft!G$38*($A672-Ft!G$2)^2)</f>
        <v>6.4250543726568681E-188</v>
      </c>
    </row>
    <row r="673" spans="1:10">
      <c r="A673" s="20">
        <v>671</v>
      </c>
      <c r="B673" s="29">
        <v>0.23455165235830577</v>
      </c>
      <c r="C673" s="28">
        <f ca="1">OFFSET($B673,1*(ROWS(C$2:C673)-1),0)</f>
        <v>0</v>
      </c>
      <c r="D673" s="27">
        <f>Ft!B$3*EXP(Ft!B$38*($A673-Ft!B$2)^2) +Ft!C$3*EXP(Ft!C$38*($A673-Ft!C$2)^2) + Ft!D$3*EXP(Ft!D$38*($A673-Ft!D$2)^2)+Ft!E$3*EXP(Ft!E$38*($A673-Ft!E$2)^2) +Ft!F$3*EXP(Ft!F$38*($A673-Ft!F$2)^2) + Ft!G$3*EXP(Ft!G$38*($A673-Ft!G$2)^2)</f>
        <v>-116260.93341550672</v>
      </c>
      <c r="E673" s="27">
        <f>Ft!B$3*EXP(Ft!B$38*($A673-Ft!B$2)^2)</f>
        <v>-116271.58235455737</v>
      </c>
      <c r="F673" s="27">
        <f>Ft!C$3*EXP(Ft!C$38*($A673-Ft!C$2)^2)</f>
        <v>0</v>
      </c>
      <c r="G673" s="27">
        <f>Ft!D$3*EXP(Ft!D$38*($A673-Ft!D$2)^2)</f>
        <v>10.648939050648719</v>
      </c>
      <c r="H673" s="27">
        <f>Ft!E$3*EXP(Ft!E$38*($A673-Ft!E$2)^2)</f>
        <v>1.0316561980595628E-52</v>
      </c>
      <c r="I673" s="27">
        <f>Ft!F$3*EXP(Ft!F$38*($A673-Ft!F$2)^2)</f>
        <v>5.9695783872484979E-15</v>
      </c>
      <c r="J673" s="27">
        <f>Ft!G$3*EXP(Ft!G$38*($A673-Ft!G$2)^2)</f>
        <v>2.0164288380183537E-184</v>
      </c>
    </row>
    <row r="674" spans="1:10">
      <c r="A674" s="20">
        <v>672</v>
      </c>
      <c r="B674" s="29">
        <v>0.22501574242667743</v>
      </c>
      <c r="C674" s="28">
        <f ca="1">OFFSET($B674,1*(ROWS(C$2:C674)-1),0)</f>
        <v>0</v>
      </c>
      <c r="D674" s="27">
        <f>Ft!B$3*EXP(Ft!B$38*($A674-Ft!B$2)^2) +Ft!C$3*EXP(Ft!C$38*($A674-Ft!C$2)^2) + Ft!D$3*EXP(Ft!D$38*($A674-Ft!D$2)^2)+Ft!E$3*EXP(Ft!E$38*($A674-Ft!E$2)^2) +Ft!F$3*EXP(Ft!F$38*($A674-Ft!F$2)^2) + Ft!G$3*EXP(Ft!G$38*($A674-Ft!G$2)^2)</f>
        <v>-116262.50970349752</v>
      </c>
      <c r="E674" s="27">
        <f>Ft!B$3*EXP(Ft!B$38*($A674-Ft!B$2)^2)</f>
        <v>-116272.63174476427</v>
      </c>
      <c r="F674" s="27">
        <f>Ft!C$3*EXP(Ft!C$38*($A674-Ft!C$2)^2)</f>
        <v>0</v>
      </c>
      <c r="G674" s="27">
        <f>Ft!D$3*EXP(Ft!D$38*($A674-Ft!D$2)^2)</f>
        <v>10.122041266745368</v>
      </c>
      <c r="H674" s="27">
        <f>Ft!E$3*EXP(Ft!E$38*($A674-Ft!E$2)^2)</f>
        <v>6.9380829935823116E-53</v>
      </c>
      <c r="I674" s="27">
        <f>Ft!F$3*EXP(Ft!F$38*($A674-Ft!F$2)^2)</f>
        <v>5.1221904519818833E-15</v>
      </c>
      <c r="J674" s="27">
        <f>Ft!G$3*EXP(Ft!G$38*($A674-Ft!G$2)^2)</f>
        <v>5.8787943633188783E-181</v>
      </c>
    </row>
    <row r="675" spans="1:10">
      <c r="A675" s="20">
        <v>673</v>
      </c>
      <c r="B675" s="29">
        <v>0.20981136314281912</v>
      </c>
      <c r="C675" s="28">
        <f ca="1">OFFSET($B675,1*(ROWS(C$2:C675)-1),0)</f>
        <v>0</v>
      </c>
      <c r="D675" s="27">
        <f>Ft!B$3*EXP(Ft!B$38*($A675-Ft!B$2)^2) +Ft!C$3*EXP(Ft!C$38*($A675-Ft!C$2)^2) + Ft!D$3*EXP(Ft!D$38*($A675-Ft!D$2)^2)+Ft!E$3*EXP(Ft!E$38*($A675-Ft!E$2)^2) +Ft!F$3*EXP(Ft!F$38*($A675-Ft!F$2)^2) + Ft!G$3*EXP(Ft!G$38*($A675-Ft!G$2)^2)</f>
        <v>-116264.06052580061</v>
      </c>
      <c r="E675" s="27">
        <f>Ft!B$3*EXP(Ft!B$38*($A675-Ft!B$2)^2)</f>
        <v>-116273.68060697043</v>
      </c>
      <c r="F675" s="27">
        <f>Ft!C$3*EXP(Ft!C$38*($A675-Ft!C$2)^2)</f>
        <v>0</v>
      </c>
      <c r="G675" s="27">
        <f>Ft!D$3*EXP(Ft!D$38*($A675-Ft!D$2)^2)</f>
        <v>9.620081169815581</v>
      </c>
      <c r="H675" s="27">
        <f>Ft!E$3*EXP(Ft!E$38*($A675-Ft!E$2)^2)</f>
        <v>4.6631785253548371E-53</v>
      </c>
      <c r="I675" s="27">
        <f>Ft!F$3*EXP(Ft!F$38*($A675-Ft!F$2)^2)</f>
        <v>4.3939406023903776E-15</v>
      </c>
      <c r="J675" s="27">
        <f>Ft!G$3*EXP(Ft!G$38*($A675-Ft!G$2)^2)</f>
        <v>1.5921827519233777E-177</v>
      </c>
    </row>
    <row r="676" spans="1:10">
      <c r="A676" s="20">
        <v>674</v>
      </c>
      <c r="B676" s="29">
        <v>0.21234658109906945</v>
      </c>
      <c r="C676" s="28">
        <f ca="1">OFFSET($B676,1*(ROWS(C$2:C676)-1),0)</f>
        <v>0</v>
      </c>
      <c r="D676" s="27">
        <f>Ft!B$3*EXP(Ft!B$38*($A676-Ft!B$2)^2) +Ft!C$3*EXP(Ft!C$38*($A676-Ft!C$2)^2) + Ft!D$3*EXP(Ft!D$38*($A676-Ft!D$2)^2)+Ft!E$3*EXP(Ft!E$38*($A676-Ft!E$2)^2) +Ft!F$3*EXP(Ft!F$38*($A676-Ft!F$2)^2) + Ft!G$3*EXP(Ft!G$38*($A676-Ft!G$2)^2)</f>
        <v>-116265.58700382759</v>
      </c>
      <c r="E676" s="27">
        <f>Ft!B$3*EXP(Ft!B$38*($A676-Ft!B$2)^2)</f>
        <v>-116274.72894116146</v>
      </c>
      <c r="F676" s="27">
        <f>Ft!C$3*EXP(Ft!C$38*($A676-Ft!C$2)^2)</f>
        <v>0</v>
      </c>
      <c r="G676" s="27">
        <f>Ft!D$3*EXP(Ft!D$38*($A676-Ft!D$2)^2)</f>
        <v>9.1419373338708159</v>
      </c>
      <c r="H676" s="27">
        <f>Ft!E$3*EXP(Ft!E$38*($A676-Ft!E$2)^2)</f>
        <v>3.1322949257341988E-53</v>
      </c>
      <c r="I676" s="27">
        <f>Ft!F$3*EXP(Ft!F$38*($A676-Ft!F$2)^2)</f>
        <v>3.7682441878590716E-15</v>
      </c>
      <c r="J676" s="27">
        <f>Ft!G$3*EXP(Ft!G$38*($A676-Ft!G$2)^2)</f>
        <v>4.0058698710706549E-174</v>
      </c>
    </row>
    <row r="677" spans="1:10">
      <c r="A677" s="20">
        <v>675</v>
      </c>
      <c r="B677" s="29">
        <v>0.2046228575224518</v>
      </c>
      <c r="C677" s="28">
        <f ca="1">OFFSET($B677,1*(ROWS(C$2:C677)-1),0)</f>
        <v>0</v>
      </c>
      <c r="D677" s="27">
        <f>Ft!B$3*EXP(Ft!B$38*($A677-Ft!B$2)^2) +Ft!C$3*EXP(Ft!C$38*($A677-Ft!C$2)^2) + Ft!D$3*EXP(Ft!D$38*($A677-Ft!D$2)^2)+Ft!E$3*EXP(Ft!E$38*($A677-Ft!E$2)^2) +Ft!F$3*EXP(Ft!F$38*($A677-Ft!F$2)^2) + Ft!G$3*EXP(Ft!G$38*($A677-Ft!G$2)^2)</f>
        <v>-116267.09021151689</v>
      </c>
      <c r="E677" s="27">
        <f>Ft!B$3*EXP(Ft!B$38*($A677-Ft!B$2)^2)</f>
        <v>-116275.77674732285</v>
      </c>
      <c r="F677" s="27">
        <f>Ft!C$3*EXP(Ft!C$38*($A677-Ft!C$2)^2)</f>
        <v>0</v>
      </c>
      <c r="G677" s="27">
        <f>Ft!D$3*EXP(Ft!D$38*($A677-Ft!D$2)^2)</f>
        <v>8.6865358059654145</v>
      </c>
      <c r="H677" s="27">
        <f>Ft!E$3*EXP(Ft!E$38*($A677-Ft!E$2)^2)</f>
        <v>2.1027193168291157E-53</v>
      </c>
      <c r="I677" s="27">
        <f>Ft!F$3*EXP(Ft!F$38*($A677-Ft!F$2)^2)</f>
        <v>3.2308016109219087E-15</v>
      </c>
      <c r="J677" s="27">
        <f>Ft!G$3*EXP(Ft!G$38*($A677-Ft!G$2)^2)</f>
        <v>9.3626768982216304E-171</v>
      </c>
    </row>
    <row r="678" spans="1:10">
      <c r="A678" s="20"/>
      <c r="B678" s="29"/>
      <c r="C678" s="28"/>
      <c r="D678" s="27"/>
      <c r="E678" s="27"/>
      <c r="F678" s="27"/>
      <c r="G678" s="27"/>
      <c r="H678" s="27"/>
      <c r="I678" s="27"/>
    </row>
    <row r="679" spans="1:10">
      <c r="A679" s="22"/>
      <c r="B679" s="22"/>
      <c r="D679" s="27"/>
      <c r="E679" s="27"/>
      <c r="F679" s="27"/>
      <c r="G679" s="27"/>
      <c r="H679" s="27"/>
      <c r="I679" s="27"/>
    </row>
    <row r="680" spans="1:10">
      <c r="A680" s="22"/>
      <c r="B680" s="22"/>
      <c r="D680" s="27"/>
      <c r="E680" s="27"/>
      <c r="F680" s="27"/>
      <c r="G680" s="27"/>
      <c r="H680" s="27"/>
      <c r="I680" s="27"/>
    </row>
    <row r="681" spans="1:10">
      <c r="A681" s="22"/>
      <c r="B681" s="22"/>
      <c r="D681" s="27"/>
      <c r="E681" s="27"/>
      <c r="F681" s="27"/>
      <c r="G681" s="27"/>
      <c r="H681" s="27"/>
      <c r="I681" s="27"/>
    </row>
    <row r="682" spans="1:10">
      <c r="A682" s="22"/>
      <c r="B682" s="22"/>
      <c r="D682" s="27"/>
      <c r="E682" s="27"/>
      <c r="F682" s="27"/>
      <c r="G682" s="27"/>
      <c r="H682" s="27"/>
      <c r="I682" s="27"/>
    </row>
    <row r="683" spans="1:10">
      <c r="A683" s="22"/>
      <c r="B683" s="22"/>
      <c r="D683" s="27"/>
      <c r="E683" s="27"/>
      <c r="F683" s="27"/>
      <c r="G683" s="27"/>
      <c r="H683" s="27"/>
      <c r="I683" s="27"/>
    </row>
    <row r="684" spans="1:10">
      <c r="A684" s="22"/>
      <c r="B684" s="22"/>
      <c r="D684" s="27"/>
      <c r="E684" s="27"/>
      <c r="F684" s="27"/>
      <c r="G684" s="27"/>
      <c r="H684" s="27"/>
      <c r="I684" s="27"/>
    </row>
    <row r="685" spans="1:10">
      <c r="A685" s="22"/>
      <c r="B685" s="22"/>
      <c r="D685" s="27"/>
      <c r="E685" s="27"/>
      <c r="F685" s="27"/>
      <c r="G685" s="27"/>
      <c r="H685" s="27"/>
      <c r="I685" s="27"/>
    </row>
    <row r="686" spans="1:10">
      <c r="A686" s="22"/>
      <c r="B686" s="22"/>
      <c r="D686" s="27"/>
      <c r="E686" s="27"/>
      <c r="F686" s="27"/>
      <c r="G686" s="27"/>
      <c r="H686" s="27"/>
      <c r="I686" s="27"/>
    </row>
    <row r="687" spans="1:10">
      <c r="A687" s="22"/>
      <c r="B687" s="22"/>
      <c r="D687" s="27"/>
      <c r="E687" s="27"/>
      <c r="F687" s="27"/>
      <c r="G687" s="27"/>
      <c r="H687" s="27"/>
      <c r="I687" s="27"/>
    </row>
    <row r="688" spans="1:10">
      <c r="A688" s="22"/>
      <c r="B688" s="22"/>
      <c r="D688" s="27"/>
      <c r="E688" s="27"/>
      <c r="F688" s="27"/>
      <c r="G688" s="27"/>
      <c r="H688" s="27"/>
      <c r="I688" s="27"/>
    </row>
    <row r="689" spans="1:9">
      <c r="A689" s="22"/>
      <c r="B689" s="22"/>
      <c r="D689" s="27"/>
      <c r="E689" s="27"/>
      <c r="F689" s="27"/>
      <c r="G689" s="27"/>
      <c r="H689" s="27"/>
      <c r="I689" s="27"/>
    </row>
    <row r="690" spans="1:9">
      <c r="A690" s="22"/>
      <c r="B690" s="22"/>
      <c r="D690" s="27"/>
      <c r="E690" s="27"/>
      <c r="F690" s="27"/>
      <c r="G690" s="27"/>
      <c r="H690" s="27"/>
      <c r="I690" s="27"/>
    </row>
    <row r="691" spans="1:9">
      <c r="A691" s="22"/>
      <c r="B691" s="22"/>
      <c r="D691" s="27"/>
      <c r="E691" s="27"/>
      <c r="F691" s="27"/>
      <c r="G691" s="27"/>
      <c r="H691" s="27"/>
      <c r="I691" s="27"/>
    </row>
    <row r="692" spans="1:9">
      <c r="A692" s="22"/>
      <c r="B692" s="22"/>
      <c r="D692" s="27"/>
      <c r="E692" s="27"/>
      <c r="F692" s="27"/>
      <c r="G692" s="27"/>
      <c r="H692" s="27"/>
      <c r="I692" s="27"/>
    </row>
    <row r="693" spans="1:9">
      <c r="A693" s="22"/>
      <c r="B693" s="22"/>
      <c r="D693" s="27"/>
      <c r="E693" s="27"/>
      <c r="F693" s="27"/>
      <c r="G693" s="27"/>
      <c r="H693" s="27"/>
      <c r="I693" s="27"/>
    </row>
    <row r="694" spans="1:9">
      <c r="A694" s="22"/>
      <c r="B694" s="22"/>
      <c r="D694" s="27"/>
      <c r="E694" s="27"/>
      <c r="F694" s="27"/>
      <c r="G694" s="27"/>
      <c r="H694" s="27"/>
      <c r="I694" s="27"/>
    </row>
    <row r="695" spans="1:9">
      <c r="A695" s="22"/>
      <c r="B695" s="22"/>
      <c r="D695" s="27"/>
      <c r="E695" s="27"/>
      <c r="F695" s="27"/>
      <c r="G695" s="27"/>
      <c r="H695" s="27"/>
      <c r="I695" s="27"/>
    </row>
    <row r="696" spans="1:9">
      <c r="A696" s="22"/>
      <c r="B696" s="22"/>
      <c r="D696" s="27"/>
      <c r="E696" s="27"/>
      <c r="F696" s="27"/>
      <c r="G696" s="27"/>
      <c r="H696" s="27"/>
      <c r="I696" s="27"/>
    </row>
    <row r="697" spans="1:9">
      <c r="A697" s="22"/>
      <c r="B697" s="22"/>
      <c r="D697" s="27"/>
      <c r="E697" s="27"/>
      <c r="F697" s="27"/>
      <c r="G697" s="27"/>
      <c r="H697" s="27"/>
      <c r="I697" s="27"/>
    </row>
    <row r="698" spans="1:9">
      <c r="A698" s="22"/>
      <c r="B698" s="22"/>
      <c r="D698" s="27"/>
      <c r="E698" s="27"/>
      <c r="F698" s="27"/>
      <c r="G698" s="27"/>
      <c r="H698" s="27"/>
      <c r="I698" s="27"/>
    </row>
    <row r="699" spans="1:9">
      <c r="A699" s="22"/>
      <c r="B699" s="22"/>
      <c r="D699" s="27"/>
      <c r="E699" s="27"/>
      <c r="F699" s="27"/>
      <c r="G699" s="27"/>
      <c r="H699" s="27"/>
      <c r="I699" s="27"/>
    </row>
    <row r="700" spans="1:9">
      <c r="A700" s="22"/>
      <c r="B700" s="22"/>
      <c r="D700" s="27"/>
      <c r="E700" s="27"/>
      <c r="F700" s="27"/>
      <c r="G700" s="27"/>
      <c r="H700" s="27"/>
      <c r="I700" s="27"/>
    </row>
    <row r="701" spans="1:9">
      <c r="A701" s="22"/>
      <c r="B701" s="22"/>
      <c r="D701" s="27"/>
      <c r="E701" s="27"/>
      <c r="F701" s="27"/>
      <c r="G701" s="27"/>
      <c r="H701" s="27"/>
      <c r="I701" s="27"/>
    </row>
    <row r="702" spans="1:9">
      <c r="A702" s="22"/>
      <c r="B702" s="22"/>
      <c r="D702" s="27"/>
      <c r="E702" s="27"/>
      <c r="F702" s="27"/>
      <c r="G702" s="27"/>
      <c r="H702" s="27"/>
      <c r="I702" s="27"/>
    </row>
    <row r="703" spans="1:9">
      <c r="A703" s="22"/>
      <c r="B703" s="22"/>
      <c r="D703" s="27"/>
      <c r="E703" s="27"/>
      <c r="F703" s="27"/>
      <c r="G703" s="27"/>
      <c r="H703" s="27"/>
      <c r="I703" s="27"/>
    </row>
    <row r="704" spans="1:9">
      <c r="A704" s="22"/>
      <c r="B704" s="22"/>
      <c r="D704" s="27"/>
      <c r="E704" s="27"/>
      <c r="F704" s="27"/>
      <c r="G704" s="27"/>
      <c r="H704" s="27"/>
      <c r="I704" s="27"/>
    </row>
    <row r="705" spans="1:9">
      <c r="A705" s="22"/>
      <c r="B705" s="22"/>
      <c r="D705" s="27"/>
      <c r="E705" s="27"/>
      <c r="F705" s="27"/>
      <c r="G705" s="27"/>
      <c r="H705" s="27"/>
      <c r="I705" s="27"/>
    </row>
    <row r="706" spans="1:9">
      <c r="A706" s="22"/>
      <c r="B706" s="22"/>
      <c r="D706" s="27"/>
      <c r="E706" s="27"/>
      <c r="F706" s="27"/>
      <c r="G706" s="27"/>
      <c r="H706" s="27"/>
      <c r="I706" s="27"/>
    </row>
    <row r="707" spans="1:9">
      <c r="A707" s="22"/>
      <c r="B707" s="22"/>
      <c r="D707" s="27"/>
      <c r="E707" s="27"/>
      <c r="F707" s="27"/>
      <c r="G707" s="27"/>
      <c r="H707" s="27"/>
      <c r="I707" s="27"/>
    </row>
    <row r="708" spans="1:9">
      <c r="A708" s="22"/>
      <c r="B708" s="22"/>
      <c r="D708" s="27"/>
      <c r="E708" s="27"/>
      <c r="F708" s="27"/>
      <c r="G708" s="27"/>
      <c r="H708" s="27"/>
      <c r="I708" s="27"/>
    </row>
    <row r="709" spans="1:9">
      <c r="A709" s="22"/>
      <c r="B709" s="22"/>
      <c r="D709" s="27"/>
      <c r="E709" s="27"/>
      <c r="F709" s="27"/>
      <c r="G709" s="27"/>
      <c r="H709" s="27"/>
      <c r="I709" s="27"/>
    </row>
    <row r="710" spans="1:9">
      <c r="A710" s="22"/>
      <c r="B710" s="22"/>
      <c r="D710" s="27"/>
      <c r="E710" s="27"/>
      <c r="F710" s="27"/>
      <c r="G710" s="27"/>
      <c r="H710" s="27"/>
      <c r="I710" s="27"/>
    </row>
    <row r="711" spans="1:9">
      <c r="A711" s="22"/>
      <c r="B711" s="22"/>
      <c r="D711" s="27"/>
      <c r="E711" s="27"/>
      <c r="F711" s="27"/>
      <c r="G711" s="27"/>
      <c r="H711" s="27"/>
      <c r="I711" s="27"/>
    </row>
    <row r="712" spans="1:9">
      <c r="A712" s="22"/>
      <c r="B712" s="22"/>
      <c r="D712" s="27"/>
      <c r="E712" s="27"/>
      <c r="F712" s="27"/>
      <c r="G712" s="27"/>
      <c r="H712" s="27"/>
      <c r="I712" s="27"/>
    </row>
    <row r="713" spans="1:9">
      <c r="A713" s="22"/>
      <c r="B713" s="22"/>
      <c r="D713" s="27"/>
      <c r="E713" s="27"/>
      <c r="F713" s="27"/>
      <c r="G713" s="27"/>
      <c r="H713" s="27"/>
      <c r="I713" s="27"/>
    </row>
    <row r="714" spans="1:9">
      <c r="A714" s="22"/>
      <c r="B714" s="22"/>
      <c r="D714" s="27"/>
      <c r="E714" s="27"/>
      <c r="F714" s="27"/>
      <c r="G714" s="27"/>
      <c r="H714" s="27"/>
      <c r="I714" s="27"/>
    </row>
    <row r="715" spans="1:9">
      <c r="A715" s="22"/>
      <c r="B715" s="22"/>
      <c r="D715" s="27"/>
      <c r="E715" s="27"/>
      <c r="F715" s="27"/>
      <c r="G715" s="27"/>
      <c r="H715" s="27"/>
      <c r="I715" s="27"/>
    </row>
    <row r="716" spans="1:9">
      <c r="A716" s="22"/>
      <c r="B716" s="22"/>
      <c r="D716" s="27"/>
      <c r="E716" s="27"/>
      <c r="F716" s="27"/>
      <c r="G716" s="27"/>
      <c r="H716" s="27"/>
      <c r="I716" s="27"/>
    </row>
    <row r="717" spans="1:9">
      <c r="A717" s="22"/>
      <c r="B717" s="22"/>
      <c r="D717" s="27"/>
      <c r="E717" s="27"/>
      <c r="F717" s="27"/>
      <c r="G717" s="27"/>
      <c r="H717" s="27"/>
      <c r="I717" s="27"/>
    </row>
    <row r="718" spans="1:9">
      <c r="A718" s="22"/>
      <c r="B718" s="22"/>
      <c r="D718" s="27"/>
      <c r="E718" s="27"/>
      <c r="F718" s="27"/>
      <c r="G718" s="27"/>
      <c r="H718" s="27"/>
      <c r="I718" s="27"/>
    </row>
    <row r="719" spans="1:9">
      <c r="A719" s="22"/>
      <c r="B719" s="22"/>
      <c r="D719" s="27"/>
      <c r="E719" s="27"/>
      <c r="F719" s="27"/>
      <c r="G719" s="27"/>
      <c r="H719" s="27"/>
      <c r="I719" s="27"/>
    </row>
    <row r="720" spans="1:9">
      <c r="A720" s="22"/>
      <c r="B720" s="22"/>
      <c r="D720" s="27"/>
      <c r="E720" s="27"/>
      <c r="F720" s="27"/>
      <c r="G720" s="27"/>
      <c r="H720" s="27"/>
      <c r="I720" s="27"/>
    </row>
    <row r="721" spans="1:9">
      <c r="A721" s="22"/>
      <c r="B721" s="22"/>
      <c r="D721" s="27"/>
      <c r="E721" s="27"/>
      <c r="F721" s="27"/>
      <c r="G721" s="27"/>
      <c r="H721" s="27"/>
      <c r="I721" s="27"/>
    </row>
    <row r="722" spans="1:9">
      <c r="A722" s="22"/>
      <c r="B722" s="22"/>
      <c r="D722" s="27"/>
      <c r="E722" s="27"/>
      <c r="F722" s="27"/>
      <c r="G722" s="27"/>
      <c r="H722" s="27"/>
      <c r="I722" s="27"/>
    </row>
    <row r="723" spans="1:9">
      <c r="A723" s="22"/>
      <c r="B723" s="22"/>
      <c r="D723" s="27"/>
      <c r="E723" s="27"/>
      <c r="F723" s="27"/>
      <c r="G723" s="27"/>
      <c r="H723" s="27"/>
      <c r="I723" s="27"/>
    </row>
    <row r="724" spans="1:9">
      <c r="A724" s="22"/>
      <c r="B724" s="22"/>
      <c r="D724" s="27"/>
      <c r="E724" s="27"/>
      <c r="F724" s="27"/>
      <c r="G724" s="27"/>
      <c r="H724" s="27"/>
      <c r="I724" s="27"/>
    </row>
    <row r="725" spans="1:9">
      <c r="A725" s="22"/>
      <c r="B725" s="22"/>
      <c r="D725" s="27"/>
      <c r="E725" s="27"/>
      <c r="F725" s="27"/>
      <c r="G725" s="27"/>
      <c r="H725" s="27"/>
      <c r="I725" s="27"/>
    </row>
    <row r="726" spans="1:9">
      <c r="A726" s="22"/>
      <c r="B726" s="22"/>
      <c r="D726" s="27"/>
      <c r="E726" s="27"/>
      <c r="F726" s="27"/>
      <c r="G726" s="27"/>
      <c r="H726" s="27"/>
      <c r="I726" s="27"/>
    </row>
    <row r="727" spans="1:9">
      <c r="A727" s="22"/>
      <c r="B727" s="22"/>
      <c r="D727" s="27"/>
      <c r="E727" s="27"/>
      <c r="F727" s="27"/>
      <c r="G727" s="27"/>
      <c r="H727" s="27"/>
      <c r="I727" s="27"/>
    </row>
    <row r="728" spans="1:9">
      <c r="A728" s="22"/>
      <c r="B728" s="22"/>
      <c r="D728" s="27"/>
      <c r="E728" s="27"/>
      <c r="F728" s="27"/>
      <c r="G728" s="27"/>
      <c r="H728" s="27"/>
      <c r="I728" s="27"/>
    </row>
    <row r="729" spans="1:9">
      <c r="A729" s="22"/>
      <c r="B729" s="22"/>
      <c r="D729" s="27"/>
      <c r="E729" s="27"/>
      <c r="F729" s="27"/>
      <c r="G729" s="27"/>
      <c r="H729" s="27"/>
      <c r="I729" s="27"/>
    </row>
    <row r="730" spans="1:9">
      <c r="A730" s="22"/>
      <c r="B730" s="22"/>
      <c r="D730" s="27"/>
      <c r="E730" s="27"/>
      <c r="F730" s="27"/>
      <c r="G730" s="27"/>
      <c r="H730" s="27"/>
      <c r="I730" s="27"/>
    </row>
    <row r="731" spans="1:9">
      <c r="A731" s="22"/>
      <c r="B731" s="22"/>
      <c r="D731" s="27"/>
      <c r="E731" s="27"/>
      <c r="F731" s="27"/>
      <c r="G731" s="27"/>
      <c r="H731" s="27"/>
      <c r="I731" s="27"/>
    </row>
    <row r="732" spans="1:9">
      <c r="A732" s="22"/>
      <c r="B732" s="22"/>
      <c r="D732" s="27"/>
      <c r="E732" s="27"/>
      <c r="F732" s="27"/>
      <c r="G732" s="27"/>
      <c r="H732" s="27"/>
      <c r="I732" s="27"/>
    </row>
    <row r="733" spans="1:9">
      <c r="A733" s="22"/>
      <c r="B733" s="22"/>
      <c r="D733" s="27"/>
      <c r="E733" s="27"/>
      <c r="F733" s="27"/>
      <c r="G733" s="27"/>
      <c r="H733" s="27"/>
      <c r="I733" s="27"/>
    </row>
    <row r="734" spans="1:9">
      <c r="A734" s="22"/>
      <c r="B734" s="22"/>
      <c r="D734" s="27"/>
      <c r="E734" s="27"/>
      <c r="F734" s="27"/>
      <c r="G734" s="27"/>
      <c r="H734" s="27"/>
      <c r="I734" s="27"/>
    </row>
    <row r="735" spans="1:9">
      <c r="A735" s="22"/>
      <c r="B735" s="22"/>
      <c r="D735" s="27"/>
      <c r="E735" s="27"/>
      <c r="F735" s="27"/>
      <c r="G735" s="27"/>
      <c r="H735" s="27"/>
      <c r="I735" s="27"/>
    </row>
    <row r="736" spans="1:9">
      <c r="A736" s="22"/>
      <c r="B736" s="22"/>
      <c r="D736" s="27"/>
      <c r="E736" s="27"/>
      <c r="F736" s="27"/>
      <c r="G736" s="27"/>
      <c r="H736" s="27"/>
      <c r="I736" s="27"/>
    </row>
    <row r="737" spans="1:9">
      <c r="A737" s="22"/>
      <c r="B737" s="22"/>
      <c r="D737" s="27"/>
      <c r="E737" s="27"/>
      <c r="F737" s="27"/>
      <c r="G737" s="27"/>
      <c r="H737" s="27"/>
      <c r="I737" s="27"/>
    </row>
    <row r="738" spans="1:9">
      <c r="A738" s="22"/>
      <c r="B738" s="22"/>
      <c r="D738" s="27"/>
      <c r="E738" s="27"/>
      <c r="F738" s="27"/>
      <c r="G738" s="27"/>
      <c r="H738" s="27"/>
      <c r="I738" s="27"/>
    </row>
    <row r="739" spans="1:9">
      <c r="A739" s="22"/>
      <c r="B739" s="22"/>
      <c r="D739" s="27"/>
      <c r="E739" s="27"/>
      <c r="F739" s="27"/>
      <c r="G739" s="27"/>
      <c r="H739" s="27"/>
      <c r="I739" s="27"/>
    </row>
    <row r="740" spans="1:9">
      <c r="A740" s="22"/>
      <c r="B740" s="22"/>
      <c r="D740" s="27"/>
      <c r="E740" s="27"/>
      <c r="F740" s="27"/>
      <c r="G740" s="27"/>
      <c r="H740" s="27"/>
      <c r="I740" s="27"/>
    </row>
    <row r="741" spans="1:9">
      <c r="A741" s="22"/>
      <c r="B741" s="22"/>
      <c r="D741" s="27"/>
      <c r="E741" s="27"/>
      <c r="F741" s="27"/>
      <c r="G741" s="27"/>
      <c r="H741" s="27"/>
      <c r="I741" s="27"/>
    </row>
    <row r="742" spans="1:9">
      <c r="A742" s="22"/>
      <c r="B742" s="22"/>
      <c r="D742" s="27"/>
      <c r="E742" s="27"/>
      <c r="F742" s="27"/>
      <c r="G742" s="27"/>
      <c r="H742" s="27"/>
      <c r="I742" s="27"/>
    </row>
    <row r="743" spans="1:9">
      <c r="A743" s="22"/>
      <c r="B743" s="22"/>
      <c r="D743" s="27"/>
      <c r="E743" s="27"/>
      <c r="F743" s="27"/>
      <c r="G743" s="27"/>
      <c r="H743" s="27"/>
      <c r="I743" s="27"/>
    </row>
    <row r="744" spans="1:9">
      <c r="A744" s="22"/>
      <c r="B744" s="22"/>
      <c r="D744" s="27"/>
      <c r="E744" s="27"/>
      <c r="F744" s="27"/>
      <c r="G744" s="27"/>
      <c r="H744" s="27"/>
      <c r="I744" s="27"/>
    </row>
    <row r="745" spans="1:9">
      <c r="A745" s="22"/>
      <c r="B745" s="22"/>
      <c r="D745" s="27"/>
      <c r="E745" s="27"/>
      <c r="F745" s="27"/>
      <c r="G745" s="27"/>
      <c r="H745" s="27"/>
      <c r="I745" s="27"/>
    </row>
    <row r="746" spans="1:9">
      <c r="A746" s="22"/>
      <c r="B746" s="22"/>
      <c r="D746" s="27"/>
      <c r="E746" s="27"/>
      <c r="F746" s="27"/>
      <c r="G746" s="27"/>
      <c r="H746" s="27"/>
      <c r="I746" s="27"/>
    </row>
    <row r="747" spans="1:9">
      <c r="A747" s="22"/>
      <c r="B747" s="22"/>
      <c r="D747" s="27"/>
      <c r="E747" s="27"/>
      <c r="F747" s="27"/>
      <c r="G747" s="27"/>
      <c r="H747" s="27"/>
      <c r="I747" s="27"/>
    </row>
    <row r="748" spans="1:9">
      <c r="A748" s="22"/>
      <c r="B748" s="22"/>
      <c r="D748" s="27"/>
      <c r="E748" s="27"/>
      <c r="F748" s="27"/>
      <c r="G748" s="27"/>
      <c r="H748" s="27"/>
      <c r="I748" s="27"/>
    </row>
    <row r="749" spans="1:9">
      <c r="A749" s="22"/>
      <c r="B749" s="22"/>
      <c r="D749" s="27"/>
      <c r="E749" s="27"/>
      <c r="F749" s="27"/>
      <c r="G749" s="27"/>
      <c r="H749" s="27"/>
      <c r="I749" s="27"/>
    </row>
    <row r="750" spans="1:9">
      <c r="A750" s="22"/>
      <c r="B750" s="22"/>
      <c r="D750" s="27"/>
      <c r="E750" s="27"/>
      <c r="F750" s="27"/>
      <c r="G750" s="27"/>
      <c r="H750" s="27"/>
      <c r="I750" s="27"/>
    </row>
    <row r="751" spans="1:9">
      <c r="A751" s="22"/>
      <c r="B751" s="22"/>
      <c r="D751" s="27"/>
      <c r="E751" s="27"/>
      <c r="F751" s="27"/>
      <c r="G751" s="27"/>
      <c r="H751" s="27"/>
      <c r="I751" s="27"/>
    </row>
    <row r="752" spans="1:9">
      <c r="A752" s="22"/>
      <c r="B752" s="22"/>
      <c r="D752" s="27"/>
      <c r="E752" s="27"/>
      <c r="F752" s="27"/>
      <c r="G752" s="27"/>
      <c r="H752" s="27"/>
      <c r="I752" s="27"/>
    </row>
    <row r="753" spans="1:9">
      <c r="A753" s="22"/>
      <c r="B753" s="22"/>
      <c r="D753" s="27"/>
      <c r="E753" s="27"/>
      <c r="F753" s="27"/>
      <c r="G753" s="27"/>
      <c r="H753" s="27"/>
      <c r="I753" s="27"/>
    </row>
    <row r="754" spans="1:9">
      <c r="A754" s="22"/>
      <c r="B754" s="22"/>
      <c r="D754" s="27"/>
      <c r="E754" s="27"/>
      <c r="F754" s="27"/>
      <c r="G754" s="27"/>
      <c r="H754" s="27"/>
      <c r="I754" s="27"/>
    </row>
    <row r="755" spans="1:9">
      <c r="A755" s="22"/>
      <c r="B755" s="22"/>
      <c r="D755" s="27"/>
      <c r="E755" s="27"/>
      <c r="F755" s="27"/>
      <c r="G755" s="27"/>
      <c r="H755" s="27"/>
      <c r="I755" s="27"/>
    </row>
    <row r="756" spans="1:9">
      <c r="A756" s="22"/>
      <c r="B756" s="22"/>
      <c r="D756" s="27"/>
      <c r="E756" s="27"/>
      <c r="F756" s="27"/>
      <c r="G756" s="27"/>
      <c r="H756" s="27"/>
      <c r="I756" s="27"/>
    </row>
    <row r="757" spans="1:9">
      <c r="A757" s="22"/>
      <c r="B757" s="22"/>
      <c r="D757" s="27"/>
      <c r="E757" s="27"/>
      <c r="F757" s="27"/>
      <c r="G757" s="27"/>
      <c r="H757" s="27"/>
      <c r="I757" s="27"/>
    </row>
    <row r="758" spans="1:9">
      <c r="A758" s="22"/>
      <c r="B758" s="22"/>
      <c r="D758" s="27"/>
      <c r="E758" s="27"/>
      <c r="F758" s="27"/>
      <c r="G758" s="27"/>
      <c r="H758" s="27"/>
      <c r="I758" s="27"/>
    </row>
    <row r="759" spans="1:9">
      <c r="A759" s="22"/>
      <c r="B759" s="22"/>
      <c r="D759" s="27"/>
      <c r="E759" s="27"/>
      <c r="F759" s="27"/>
      <c r="G759" s="27"/>
      <c r="H759" s="27"/>
      <c r="I759" s="27"/>
    </row>
    <row r="760" spans="1:9">
      <c r="A760" s="22"/>
      <c r="B760" s="22"/>
      <c r="D760" s="27"/>
      <c r="E760" s="27"/>
      <c r="F760" s="27"/>
      <c r="G760" s="27"/>
      <c r="H760" s="27"/>
      <c r="I760" s="27"/>
    </row>
    <row r="761" spans="1:9">
      <c r="A761" s="22"/>
      <c r="B761" s="22"/>
      <c r="D761" s="27"/>
      <c r="E761" s="27"/>
      <c r="F761" s="27"/>
      <c r="G761" s="27"/>
      <c r="H761" s="27"/>
      <c r="I761" s="27"/>
    </row>
    <row r="762" spans="1:9">
      <c r="A762" s="22"/>
      <c r="B762" s="22"/>
      <c r="D762" s="27"/>
      <c r="E762" s="27"/>
      <c r="F762" s="27"/>
      <c r="G762" s="27"/>
      <c r="H762" s="27"/>
      <c r="I762" s="27"/>
    </row>
    <row r="763" spans="1:9">
      <c r="A763" s="22"/>
      <c r="B763" s="22"/>
      <c r="D763" s="27"/>
      <c r="E763" s="27"/>
      <c r="F763" s="27"/>
      <c r="G763" s="27"/>
      <c r="H763" s="27"/>
      <c r="I763" s="27"/>
    </row>
    <row r="764" spans="1:9">
      <c r="A764" s="22"/>
      <c r="B764" s="22"/>
      <c r="D764" s="27"/>
      <c r="E764" s="27"/>
      <c r="F764" s="27"/>
      <c r="G764" s="27"/>
      <c r="H764" s="27"/>
      <c r="I764" s="27"/>
    </row>
    <row r="765" spans="1:9">
      <c r="A765" s="22"/>
      <c r="B765" s="22"/>
      <c r="D765" s="27"/>
      <c r="E765" s="27"/>
      <c r="F765" s="27"/>
      <c r="G765" s="27"/>
      <c r="H765" s="27"/>
      <c r="I765" s="27"/>
    </row>
    <row r="766" spans="1:9">
      <c r="A766" s="22"/>
      <c r="B766" s="22"/>
      <c r="D766" s="27"/>
      <c r="E766" s="27"/>
      <c r="F766" s="27"/>
      <c r="G766" s="27"/>
      <c r="H766" s="27"/>
      <c r="I766" s="27"/>
    </row>
    <row r="767" spans="1:9">
      <c r="A767" s="22"/>
      <c r="B767" s="22"/>
      <c r="D767" s="27"/>
      <c r="E767" s="27"/>
      <c r="F767" s="27"/>
      <c r="G767" s="27"/>
      <c r="H767" s="27"/>
      <c r="I767" s="27"/>
    </row>
    <row r="768" spans="1:9">
      <c r="A768" s="22"/>
      <c r="B768" s="22"/>
      <c r="D768" s="27"/>
      <c r="E768" s="27"/>
      <c r="F768" s="27"/>
      <c r="G768" s="27"/>
      <c r="H768" s="27"/>
      <c r="I768" s="27"/>
    </row>
    <row r="769" spans="1:9">
      <c r="A769" s="22"/>
      <c r="B769" s="22"/>
      <c r="D769" s="27"/>
      <c r="E769" s="27"/>
      <c r="F769" s="27"/>
      <c r="G769" s="27"/>
      <c r="H769" s="27"/>
      <c r="I769" s="27"/>
    </row>
    <row r="770" spans="1:9">
      <c r="A770" s="22"/>
      <c r="B770" s="22"/>
      <c r="D770" s="27"/>
      <c r="E770" s="27"/>
      <c r="F770" s="27"/>
      <c r="G770" s="27"/>
      <c r="H770" s="27"/>
      <c r="I770" s="27"/>
    </row>
    <row r="771" spans="1:9">
      <c r="A771" s="22"/>
      <c r="B771" s="22"/>
      <c r="D771" s="27"/>
      <c r="E771" s="27"/>
      <c r="F771" s="27"/>
      <c r="G771" s="27"/>
      <c r="H771" s="27"/>
      <c r="I771" s="27"/>
    </row>
    <row r="772" spans="1:9">
      <c r="A772" s="22"/>
      <c r="B772" s="22"/>
      <c r="D772" s="27"/>
      <c r="E772" s="27"/>
      <c r="F772" s="27"/>
      <c r="G772" s="27"/>
      <c r="H772" s="27"/>
      <c r="I772" s="27"/>
    </row>
    <row r="773" spans="1:9">
      <c r="A773" s="22"/>
      <c r="B773" s="22"/>
      <c r="D773" s="27"/>
      <c r="E773" s="27"/>
      <c r="F773" s="27"/>
      <c r="G773" s="27"/>
      <c r="H773" s="27"/>
      <c r="I773" s="27"/>
    </row>
    <row r="774" spans="1:9">
      <c r="A774" s="22"/>
      <c r="B774" s="22"/>
      <c r="D774" s="27"/>
      <c r="E774" s="27"/>
      <c r="F774" s="27"/>
      <c r="G774" s="27"/>
      <c r="H774" s="27"/>
      <c r="I774" s="27"/>
    </row>
    <row r="775" spans="1:9">
      <c r="A775" s="22"/>
      <c r="B775" s="22"/>
      <c r="D775" s="27"/>
      <c r="E775" s="27"/>
      <c r="F775" s="27"/>
      <c r="G775" s="27"/>
      <c r="H775" s="27"/>
      <c r="I775" s="27"/>
    </row>
    <row r="776" spans="1:9">
      <c r="A776" s="22"/>
      <c r="B776" s="22"/>
      <c r="D776" s="27"/>
      <c r="E776" s="27"/>
      <c r="F776" s="27"/>
      <c r="G776" s="27"/>
      <c r="H776" s="27"/>
      <c r="I776" s="27"/>
    </row>
    <row r="777" spans="1:9">
      <c r="A777" s="22"/>
      <c r="B777" s="22"/>
      <c r="D777" s="27"/>
      <c r="E777" s="27"/>
      <c r="F777" s="27"/>
      <c r="G777" s="27"/>
      <c r="H777" s="27"/>
      <c r="I777" s="27"/>
    </row>
    <row r="778" spans="1:9">
      <c r="A778" s="22"/>
      <c r="B778" s="22"/>
      <c r="D778" s="27"/>
      <c r="E778" s="27"/>
      <c r="F778" s="27"/>
      <c r="G778" s="27"/>
      <c r="H778" s="27"/>
      <c r="I778" s="27"/>
    </row>
    <row r="779" spans="1:9">
      <c r="A779" s="22"/>
      <c r="B779" s="22"/>
      <c r="D779" s="27"/>
      <c r="E779" s="27"/>
      <c r="F779" s="27"/>
      <c r="G779" s="27"/>
      <c r="H779" s="27"/>
      <c r="I779" s="27"/>
    </row>
    <row r="780" spans="1:9">
      <c r="A780" s="22"/>
      <c r="B780" s="22"/>
      <c r="D780" s="27"/>
      <c r="E780" s="27"/>
      <c r="F780" s="27"/>
      <c r="G780" s="27"/>
      <c r="H780" s="27"/>
      <c r="I780" s="27"/>
    </row>
    <row r="781" spans="1:9">
      <c r="A781" s="22"/>
      <c r="B781" s="22"/>
      <c r="D781" s="27"/>
      <c r="E781" s="27"/>
      <c r="F781" s="27"/>
      <c r="G781" s="27"/>
      <c r="H781" s="27"/>
      <c r="I781" s="27"/>
    </row>
    <row r="782" spans="1:9">
      <c r="A782" s="22"/>
      <c r="B782" s="22"/>
      <c r="D782" s="27"/>
      <c r="E782" s="27"/>
      <c r="F782" s="27"/>
      <c r="G782" s="27"/>
      <c r="H782" s="27"/>
      <c r="I782" s="27"/>
    </row>
    <row r="783" spans="1:9">
      <c r="A783" s="22"/>
      <c r="B783" s="22"/>
      <c r="D783" s="27"/>
      <c r="E783" s="27"/>
      <c r="F783" s="27"/>
      <c r="G783" s="27"/>
      <c r="H783" s="27"/>
      <c r="I783" s="27"/>
    </row>
    <row r="784" spans="1:9">
      <c r="A784" s="22"/>
      <c r="B784" s="22"/>
      <c r="D784" s="27"/>
      <c r="E784" s="27"/>
      <c r="F784" s="27"/>
      <c r="G784" s="27"/>
      <c r="H784" s="27"/>
      <c r="I784" s="27"/>
    </row>
    <row r="785" spans="1:9">
      <c r="A785" s="22"/>
      <c r="B785" s="22"/>
      <c r="D785" s="27"/>
      <c r="E785" s="27"/>
      <c r="F785" s="27"/>
      <c r="G785" s="27"/>
      <c r="H785" s="27"/>
      <c r="I785" s="27"/>
    </row>
    <row r="786" spans="1:9">
      <c r="A786" s="22"/>
      <c r="B786" s="22"/>
      <c r="D786" s="27"/>
      <c r="E786" s="27"/>
      <c r="F786" s="27"/>
      <c r="G786" s="27"/>
      <c r="H786" s="27"/>
      <c r="I786" s="27"/>
    </row>
    <row r="787" spans="1:9">
      <c r="A787" s="22"/>
      <c r="B787" s="22"/>
      <c r="D787" s="27"/>
      <c r="E787" s="27"/>
      <c r="F787" s="27"/>
      <c r="G787" s="27"/>
      <c r="H787" s="27"/>
      <c r="I787" s="27"/>
    </row>
    <row r="788" spans="1:9">
      <c r="A788" s="22"/>
      <c r="B788" s="22"/>
      <c r="D788" s="27"/>
      <c r="E788" s="27"/>
      <c r="F788" s="27"/>
      <c r="G788" s="27"/>
      <c r="H788" s="27"/>
      <c r="I788" s="27"/>
    </row>
    <row r="789" spans="1:9">
      <c r="A789" s="22"/>
      <c r="B789" s="22"/>
      <c r="D789" s="27"/>
      <c r="E789" s="27"/>
      <c r="F789" s="27"/>
      <c r="G789" s="27"/>
      <c r="H789" s="27"/>
      <c r="I789" s="27"/>
    </row>
    <row r="790" spans="1:9">
      <c r="A790" s="22"/>
      <c r="B790" s="22"/>
      <c r="D790" s="27"/>
      <c r="E790" s="27"/>
      <c r="F790" s="27"/>
      <c r="G790" s="27"/>
      <c r="H790" s="27"/>
      <c r="I790" s="27"/>
    </row>
    <row r="791" spans="1:9">
      <c r="A791" s="22"/>
      <c r="B791" s="22"/>
      <c r="D791" s="27"/>
      <c r="E791" s="27"/>
      <c r="F791" s="27"/>
      <c r="G791" s="27"/>
      <c r="H791" s="27"/>
      <c r="I791" s="27"/>
    </row>
    <row r="792" spans="1:9">
      <c r="A792" s="22"/>
      <c r="B792" s="22"/>
      <c r="D792" s="27"/>
      <c r="E792" s="27"/>
      <c r="F792" s="27"/>
      <c r="G792" s="27"/>
      <c r="H792" s="27"/>
      <c r="I792" s="27"/>
    </row>
    <row r="793" spans="1:9">
      <c r="A793" s="22"/>
      <c r="B793" s="22"/>
      <c r="D793" s="27"/>
      <c r="E793" s="27"/>
      <c r="F793" s="27"/>
      <c r="G793" s="27"/>
      <c r="H793" s="27"/>
      <c r="I793" s="27"/>
    </row>
    <row r="794" spans="1:9">
      <c r="A794" s="22"/>
      <c r="B794" s="22"/>
      <c r="D794" s="27"/>
      <c r="E794" s="27"/>
      <c r="F794" s="27"/>
      <c r="G794" s="27"/>
      <c r="H794" s="27"/>
      <c r="I794" s="27"/>
    </row>
    <row r="795" spans="1:9">
      <c r="A795" s="22"/>
      <c r="B795" s="22"/>
      <c r="D795" s="27"/>
      <c r="E795" s="27"/>
      <c r="F795" s="27"/>
      <c r="G795" s="27"/>
      <c r="H795" s="27"/>
      <c r="I795" s="27"/>
    </row>
    <row r="796" spans="1:9">
      <c r="A796" s="22"/>
      <c r="B796" s="22"/>
      <c r="D796" s="27"/>
      <c r="E796" s="27"/>
      <c r="F796" s="27"/>
      <c r="G796" s="27"/>
      <c r="H796" s="27"/>
      <c r="I796" s="27"/>
    </row>
    <row r="797" spans="1:9">
      <c r="A797" s="22"/>
      <c r="B797" s="22"/>
      <c r="D797" s="27"/>
      <c r="E797" s="27"/>
      <c r="F797" s="27"/>
      <c r="G797" s="27"/>
      <c r="H797" s="27"/>
      <c r="I797" s="27"/>
    </row>
    <row r="798" spans="1:9">
      <c r="A798" s="22"/>
      <c r="B798" s="22"/>
      <c r="D798" s="27"/>
      <c r="E798" s="27"/>
      <c r="F798" s="27"/>
      <c r="G798" s="27"/>
      <c r="H798" s="27"/>
      <c r="I798" s="27"/>
    </row>
    <row r="799" spans="1:9">
      <c r="A799" s="22"/>
      <c r="B799" s="22"/>
      <c r="D799" s="27"/>
      <c r="E799" s="27"/>
      <c r="F799" s="27"/>
      <c r="G799" s="27"/>
      <c r="H799" s="27"/>
      <c r="I799" s="27"/>
    </row>
    <row r="800" spans="1:9">
      <c r="A800" s="22"/>
      <c r="B800" s="22"/>
      <c r="D800" s="27"/>
      <c r="E800" s="27"/>
      <c r="F800" s="27"/>
      <c r="G800" s="27"/>
      <c r="H800" s="27"/>
      <c r="I800" s="27"/>
    </row>
    <row r="801" spans="1:9">
      <c r="A801" s="22"/>
      <c r="B801" s="22"/>
      <c r="D801" s="27"/>
      <c r="E801" s="27"/>
      <c r="F801" s="27"/>
      <c r="G801" s="27"/>
      <c r="H801" s="27"/>
      <c r="I801" s="27"/>
    </row>
    <row r="802" spans="1:9">
      <c r="A802" s="22"/>
      <c r="B802" s="22"/>
      <c r="D802" s="27"/>
      <c r="E802" s="27"/>
      <c r="F802" s="27"/>
      <c r="G802" s="27"/>
      <c r="H802" s="27"/>
      <c r="I802" s="27"/>
    </row>
    <row r="803" spans="1:9">
      <c r="A803" s="22"/>
      <c r="B803" s="22"/>
      <c r="D803" s="27"/>
      <c r="E803" s="27"/>
      <c r="F803" s="27"/>
      <c r="G803" s="27"/>
      <c r="H803" s="27"/>
      <c r="I803" s="27"/>
    </row>
    <row r="804" spans="1:9">
      <c r="A804" s="22"/>
      <c r="B804" s="22"/>
      <c r="D804" s="27"/>
      <c r="E804" s="27"/>
      <c r="F804" s="27"/>
      <c r="G804" s="27"/>
      <c r="H804" s="27"/>
      <c r="I804" s="27"/>
    </row>
    <row r="805" spans="1:9">
      <c r="A805" s="22"/>
      <c r="B805" s="22"/>
      <c r="D805" s="27"/>
      <c r="E805" s="27"/>
      <c r="F805" s="27"/>
      <c r="G805" s="27"/>
      <c r="H805" s="27"/>
      <c r="I805" s="27"/>
    </row>
    <row r="806" spans="1:9">
      <c r="A806" s="22"/>
      <c r="B806" s="22"/>
      <c r="D806" s="27"/>
      <c r="E806" s="27"/>
      <c r="F806" s="27"/>
      <c r="G806" s="27"/>
      <c r="H806" s="27"/>
      <c r="I806" s="27"/>
    </row>
    <row r="807" spans="1:9">
      <c r="A807" s="22"/>
      <c r="B807" s="22"/>
      <c r="D807" s="27"/>
      <c r="E807" s="27"/>
      <c r="F807" s="27"/>
      <c r="G807" s="27"/>
      <c r="H807" s="27"/>
      <c r="I807" s="27"/>
    </row>
    <row r="808" spans="1:9">
      <c r="A808" s="22"/>
      <c r="B808" s="22"/>
      <c r="D808" s="27"/>
      <c r="E808" s="27"/>
      <c r="F808" s="27"/>
      <c r="G808" s="27"/>
      <c r="H808" s="27"/>
      <c r="I808" s="27"/>
    </row>
    <row r="809" spans="1:9">
      <c r="A809" s="22"/>
      <c r="B809" s="22"/>
      <c r="D809" s="27"/>
      <c r="E809" s="27"/>
      <c r="F809" s="27"/>
      <c r="G809" s="27"/>
      <c r="H809" s="27"/>
      <c r="I809" s="27"/>
    </row>
    <row r="810" spans="1:9">
      <c r="A810" s="22"/>
      <c r="B810" s="22"/>
      <c r="D810" s="27"/>
      <c r="E810" s="27"/>
      <c r="F810" s="27"/>
      <c r="G810" s="27"/>
      <c r="H810" s="27"/>
      <c r="I810" s="27"/>
    </row>
    <row r="811" spans="1:9">
      <c r="A811" s="22"/>
      <c r="B811" s="22"/>
      <c r="D811" s="27"/>
      <c r="E811" s="27"/>
      <c r="F811" s="27"/>
      <c r="G811" s="27"/>
      <c r="H811" s="27"/>
      <c r="I811" s="27"/>
    </row>
    <row r="812" spans="1:9">
      <c r="A812" s="22"/>
      <c r="B812" s="22"/>
      <c r="D812" s="27"/>
      <c r="E812" s="27"/>
      <c r="F812" s="27"/>
      <c r="G812" s="27"/>
      <c r="H812" s="27"/>
      <c r="I812" s="27"/>
    </row>
    <row r="813" spans="1:9">
      <c r="A813" s="22"/>
      <c r="B813" s="22"/>
      <c r="D813" s="27"/>
      <c r="E813" s="27"/>
      <c r="F813" s="27"/>
      <c r="G813" s="27"/>
      <c r="H813" s="27"/>
      <c r="I813" s="27"/>
    </row>
    <row r="814" spans="1:9">
      <c r="A814" s="22"/>
      <c r="B814" s="22"/>
      <c r="D814" s="27"/>
      <c r="E814" s="27"/>
      <c r="F814" s="27"/>
      <c r="G814" s="27"/>
      <c r="H814" s="27"/>
      <c r="I814" s="27"/>
    </row>
    <row r="815" spans="1:9">
      <c r="A815" s="22"/>
      <c r="B815" s="22"/>
      <c r="D815" s="27"/>
      <c r="E815" s="27"/>
      <c r="F815" s="27"/>
      <c r="G815" s="27"/>
      <c r="H815" s="27"/>
      <c r="I815" s="27"/>
    </row>
    <row r="816" spans="1:9">
      <c r="A816" s="22"/>
      <c r="B816" s="22"/>
      <c r="D816" s="27"/>
      <c r="E816" s="27"/>
      <c r="F816" s="27"/>
      <c r="G816" s="27"/>
      <c r="H816" s="27"/>
      <c r="I816" s="27"/>
    </row>
    <row r="817" spans="1:9">
      <c r="A817" s="22"/>
      <c r="B817" s="22"/>
      <c r="D817" s="27"/>
      <c r="E817" s="27"/>
      <c r="F817" s="27"/>
      <c r="G817" s="27"/>
      <c r="H817" s="27"/>
      <c r="I817" s="27"/>
    </row>
    <row r="818" spans="1:9">
      <c r="A818" s="22"/>
      <c r="B818" s="22"/>
      <c r="D818" s="27"/>
      <c r="E818" s="27"/>
      <c r="F818" s="27"/>
      <c r="G818" s="27"/>
      <c r="H818" s="27"/>
      <c r="I818" s="27"/>
    </row>
    <row r="819" spans="1:9">
      <c r="A819" s="22"/>
      <c r="B819" s="22"/>
      <c r="D819" s="27"/>
      <c r="E819" s="27"/>
      <c r="F819" s="27"/>
      <c r="G819" s="27"/>
      <c r="H819" s="27"/>
      <c r="I819" s="27"/>
    </row>
    <row r="820" spans="1:9">
      <c r="A820" s="22"/>
      <c r="B820" s="22"/>
      <c r="D820" s="27"/>
      <c r="E820" s="27"/>
      <c r="F820" s="27"/>
      <c r="G820" s="27"/>
      <c r="H820" s="27"/>
      <c r="I820" s="27"/>
    </row>
    <row r="821" spans="1:9">
      <c r="A821" s="22"/>
      <c r="B821" s="22"/>
      <c r="D821" s="27"/>
      <c r="E821" s="27"/>
      <c r="F821" s="27"/>
      <c r="G821" s="27"/>
      <c r="H821" s="27"/>
      <c r="I821" s="27"/>
    </row>
    <row r="822" spans="1:9">
      <c r="A822" s="22"/>
      <c r="B822" s="22"/>
      <c r="D822" s="27"/>
      <c r="E822" s="27"/>
      <c r="F822" s="27"/>
      <c r="G822" s="27"/>
      <c r="H822" s="27"/>
      <c r="I822" s="27"/>
    </row>
    <row r="823" spans="1:9">
      <c r="A823" s="22"/>
      <c r="B823" s="22"/>
      <c r="D823" s="27"/>
      <c r="E823" s="27"/>
      <c r="F823" s="27"/>
      <c r="G823" s="27"/>
      <c r="H823" s="27"/>
      <c r="I823" s="27"/>
    </row>
    <row r="824" spans="1:9">
      <c r="A824" s="22"/>
      <c r="B824" s="22"/>
      <c r="D824" s="27"/>
      <c r="E824" s="27"/>
      <c r="F824" s="27"/>
      <c r="G824" s="27"/>
      <c r="H824" s="27"/>
      <c r="I824" s="27"/>
    </row>
    <row r="825" spans="1:9">
      <c r="A825" s="22"/>
      <c r="B825" s="22"/>
      <c r="D825" s="27"/>
      <c r="E825" s="27"/>
      <c r="F825" s="27"/>
      <c r="G825" s="27"/>
      <c r="H825" s="27"/>
      <c r="I825" s="27"/>
    </row>
    <row r="826" spans="1:9">
      <c r="A826" s="22"/>
      <c r="B826" s="22"/>
      <c r="D826" s="27"/>
      <c r="E826" s="27"/>
      <c r="F826" s="27"/>
      <c r="G826" s="27"/>
      <c r="H826" s="27"/>
      <c r="I826" s="27"/>
    </row>
    <row r="827" spans="1:9">
      <c r="A827" s="22"/>
      <c r="B827" s="22"/>
      <c r="D827" s="27"/>
      <c r="E827" s="27"/>
      <c r="F827" s="27"/>
      <c r="G827" s="27"/>
      <c r="H827" s="27"/>
      <c r="I827" s="27"/>
    </row>
    <row r="828" spans="1:9">
      <c r="A828" s="22"/>
      <c r="B828" s="22"/>
      <c r="D828" s="27"/>
      <c r="E828" s="27"/>
      <c r="F828" s="27"/>
      <c r="G828" s="27"/>
      <c r="H828" s="27"/>
      <c r="I828" s="27"/>
    </row>
    <row r="829" spans="1:9">
      <c r="A829" s="22"/>
      <c r="B829" s="22"/>
      <c r="D829" s="27"/>
      <c r="E829" s="27"/>
      <c r="F829" s="27"/>
      <c r="G829" s="27"/>
      <c r="H829" s="27"/>
      <c r="I829" s="27"/>
    </row>
    <row r="830" spans="1:9">
      <c r="A830" s="22"/>
      <c r="B830" s="22"/>
      <c r="D830" s="27"/>
      <c r="E830" s="27"/>
      <c r="F830" s="27"/>
      <c r="G830" s="27"/>
      <c r="H830" s="27"/>
      <c r="I830" s="27"/>
    </row>
    <row r="831" spans="1:9">
      <c r="A831" s="22"/>
      <c r="B831" s="22"/>
      <c r="D831" s="27"/>
      <c r="E831" s="27"/>
      <c r="F831" s="27"/>
      <c r="G831" s="27"/>
      <c r="H831" s="27"/>
      <c r="I831" s="27"/>
    </row>
    <row r="832" spans="1:9">
      <c r="A832" s="22"/>
      <c r="B832" s="22"/>
      <c r="D832" s="27"/>
      <c r="E832" s="27"/>
      <c r="F832" s="27"/>
      <c r="G832" s="27"/>
      <c r="H832" s="27"/>
      <c r="I832" s="27"/>
    </row>
    <row r="833" spans="1:9">
      <c r="A833" s="22"/>
      <c r="B833" s="22"/>
      <c r="D833" s="27"/>
      <c r="E833" s="27"/>
      <c r="F833" s="27"/>
      <c r="G833" s="27"/>
      <c r="H833" s="27"/>
      <c r="I833" s="27"/>
    </row>
    <row r="834" spans="1:9">
      <c r="A834" s="22"/>
      <c r="B834" s="22"/>
      <c r="D834" s="27"/>
      <c r="E834" s="27"/>
      <c r="F834" s="27"/>
      <c r="G834" s="27"/>
      <c r="H834" s="27"/>
      <c r="I834" s="27"/>
    </row>
    <row r="835" spans="1:9">
      <c r="A835" s="22"/>
      <c r="B835" s="22"/>
      <c r="D835" s="27"/>
      <c r="E835" s="27"/>
      <c r="F835" s="27"/>
      <c r="G835" s="27"/>
      <c r="H835" s="27"/>
      <c r="I835" s="27"/>
    </row>
    <row r="836" spans="1:9">
      <c r="A836" s="22"/>
      <c r="B836" s="22"/>
      <c r="D836" s="27"/>
      <c r="E836" s="27"/>
      <c r="F836" s="27"/>
      <c r="G836" s="27"/>
      <c r="H836" s="27"/>
      <c r="I836" s="27"/>
    </row>
    <row r="837" spans="1:9">
      <c r="A837" s="22"/>
      <c r="B837" s="22"/>
      <c r="D837" s="27"/>
      <c r="E837" s="27"/>
      <c r="F837" s="27"/>
      <c r="G837" s="27"/>
      <c r="H837" s="27"/>
      <c r="I837" s="27"/>
    </row>
    <row r="838" spans="1:9">
      <c r="A838" s="22"/>
      <c r="B838" s="22"/>
      <c r="D838" s="27"/>
      <c r="E838" s="27"/>
      <c r="F838" s="27"/>
      <c r="G838" s="27"/>
      <c r="H838" s="27"/>
      <c r="I838" s="27"/>
    </row>
    <row r="839" spans="1:9">
      <c r="A839" s="22"/>
      <c r="B839" s="22"/>
      <c r="D839" s="27"/>
      <c r="E839" s="27"/>
      <c r="F839" s="27"/>
      <c r="G839" s="27"/>
      <c r="H839" s="27"/>
      <c r="I839" s="27"/>
    </row>
    <row r="840" spans="1:9">
      <c r="A840" s="22"/>
      <c r="B840" s="22"/>
      <c r="D840" s="27"/>
      <c r="E840" s="27"/>
      <c r="F840" s="27"/>
      <c r="G840" s="27"/>
      <c r="H840" s="27"/>
      <c r="I840" s="27"/>
    </row>
    <row r="841" spans="1:9">
      <c r="A841" s="22"/>
      <c r="B841" s="22"/>
      <c r="D841" s="27"/>
      <c r="E841" s="27"/>
      <c r="F841" s="27"/>
      <c r="G841" s="27"/>
      <c r="H841" s="27"/>
      <c r="I841" s="27"/>
    </row>
    <row r="842" spans="1:9">
      <c r="A842" s="22"/>
      <c r="B842" s="22"/>
      <c r="D842" s="27"/>
      <c r="E842" s="27"/>
      <c r="F842" s="27"/>
      <c r="G842" s="27"/>
      <c r="H842" s="27"/>
      <c r="I842" s="27"/>
    </row>
    <row r="843" spans="1:9">
      <c r="A843" s="22"/>
      <c r="B843" s="22"/>
      <c r="D843" s="27"/>
      <c r="E843" s="27"/>
      <c r="F843" s="27"/>
      <c r="G843" s="27"/>
      <c r="H843" s="27"/>
      <c r="I843" s="27"/>
    </row>
    <row r="844" spans="1:9">
      <c r="A844" s="22"/>
      <c r="B844" s="22"/>
      <c r="D844" s="27"/>
      <c r="E844" s="27"/>
      <c r="F844" s="27"/>
      <c r="G844" s="27"/>
      <c r="H844" s="27"/>
      <c r="I844" s="27"/>
    </row>
    <row r="845" spans="1:9">
      <c r="A845" s="22"/>
      <c r="B845" s="22"/>
      <c r="D845" s="27"/>
      <c r="E845" s="27"/>
      <c r="F845" s="27"/>
      <c r="G845" s="27"/>
      <c r="H845" s="27"/>
      <c r="I845" s="27"/>
    </row>
    <row r="846" spans="1:9">
      <c r="A846" s="22"/>
      <c r="B846" s="22"/>
      <c r="D846" s="27"/>
      <c r="E846" s="27"/>
      <c r="F846" s="27"/>
      <c r="G846" s="27"/>
      <c r="H846" s="27"/>
      <c r="I846" s="27"/>
    </row>
    <row r="847" spans="1:9">
      <c r="A847" s="22"/>
      <c r="B847" s="22"/>
      <c r="D847" s="27"/>
      <c r="E847" s="27"/>
      <c r="F847" s="27"/>
      <c r="G847" s="27"/>
      <c r="H847" s="27"/>
      <c r="I847" s="27"/>
    </row>
    <row r="848" spans="1:9">
      <c r="A848" s="22"/>
      <c r="B848" s="22"/>
      <c r="D848" s="27"/>
      <c r="E848" s="27"/>
      <c r="F848" s="27"/>
      <c r="G848" s="27"/>
      <c r="H848" s="27"/>
      <c r="I848" s="27"/>
    </row>
    <row r="849" spans="1:9">
      <c r="A849" s="22"/>
      <c r="B849" s="22"/>
      <c r="D849" s="27"/>
      <c r="E849" s="27"/>
      <c r="F849" s="27"/>
      <c r="G849" s="27"/>
      <c r="H849" s="27"/>
      <c r="I849" s="27"/>
    </row>
    <row r="850" spans="1:9">
      <c r="A850" s="22"/>
      <c r="B850" s="22"/>
      <c r="D850" s="27"/>
      <c r="E850" s="27"/>
      <c r="F850" s="27"/>
      <c r="G850" s="27"/>
      <c r="H850" s="27"/>
      <c r="I850" s="27"/>
    </row>
    <row r="851" spans="1:9">
      <c r="A851" s="22"/>
      <c r="B851" s="22"/>
      <c r="D851" s="27"/>
      <c r="E851" s="27"/>
      <c r="F851" s="27"/>
      <c r="G851" s="27"/>
      <c r="H851" s="27"/>
      <c r="I851" s="27"/>
    </row>
    <row r="852" spans="1:9">
      <c r="A852" s="22"/>
      <c r="B852" s="22"/>
      <c r="D852" s="27"/>
      <c r="E852" s="27"/>
      <c r="F852" s="27"/>
      <c r="G852" s="27"/>
      <c r="H852" s="27"/>
      <c r="I852" s="27"/>
    </row>
    <row r="853" spans="1:9">
      <c r="A853" s="22"/>
      <c r="B853" s="22"/>
      <c r="D853" s="27"/>
      <c r="E853" s="27"/>
      <c r="F853" s="27"/>
      <c r="G853" s="27"/>
      <c r="H853" s="27"/>
      <c r="I853" s="27"/>
    </row>
    <row r="854" spans="1:9">
      <c r="A854" s="22"/>
      <c r="B854" s="22"/>
      <c r="D854" s="27"/>
      <c r="E854" s="27"/>
      <c r="F854" s="27"/>
      <c r="G854" s="27"/>
      <c r="H854" s="27"/>
      <c r="I854" s="27"/>
    </row>
    <row r="855" spans="1:9">
      <c r="A855" s="22"/>
      <c r="B855" s="22"/>
      <c r="D855" s="27"/>
      <c r="E855" s="27"/>
      <c r="F855" s="27"/>
      <c r="G855" s="27"/>
      <c r="H855" s="27"/>
      <c r="I855" s="27"/>
    </row>
    <row r="856" spans="1:9">
      <c r="A856" s="22"/>
      <c r="B856" s="22"/>
      <c r="D856" s="27"/>
      <c r="E856" s="27"/>
      <c r="F856" s="27"/>
      <c r="G856" s="27"/>
      <c r="H856" s="27"/>
      <c r="I856" s="27"/>
    </row>
    <row r="857" spans="1:9">
      <c r="A857" s="22"/>
      <c r="B857" s="22"/>
      <c r="D857" s="27"/>
      <c r="E857" s="27"/>
      <c r="F857" s="27"/>
      <c r="G857" s="27"/>
      <c r="H857" s="27"/>
      <c r="I857" s="27"/>
    </row>
    <row r="858" spans="1:9">
      <c r="A858" s="22"/>
      <c r="B858" s="22"/>
      <c r="D858" s="27"/>
      <c r="E858" s="27"/>
      <c r="F858" s="27"/>
      <c r="G858" s="27"/>
      <c r="H858" s="27"/>
      <c r="I858" s="27"/>
    </row>
    <row r="859" spans="1:9">
      <c r="A859" s="22"/>
      <c r="B859" s="22"/>
      <c r="D859" s="27"/>
      <c r="E859" s="27"/>
      <c r="F859" s="27"/>
      <c r="G859" s="27"/>
      <c r="H859" s="27"/>
      <c r="I859" s="27"/>
    </row>
    <row r="860" spans="1:9">
      <c r="A860" s="22"/>
      <c r="B860" s="22"/>
      <c r="D860" s="27"/>
      <c r="E860" s="27"/>
      <c r="F860" s="27"/>
      <c r="G860" s="27"/>
      <c r="H860" s="27"/>
      <c r="I860" s="27"/>
    </row>
    <row r="861" spans="1:9">
      <c r="A861" s="22"/>
      <c r="B861" s="22"/>
      <c r="D861" s="27"/>
      <c r="E861" s="27"/>
      <c r="F861" s="27"/>
      <c r="G861" s="27"/>
      <c r="H861" s="27"/>
      <c r="I861" s="27"/>
    </row>
    <row r="862" spans="1:9">
      <c r="A862" s="22"/>
      <c r="B862" s="22"/>
      <c r="D862" s="27"/>
      <c r="E862" s="27"/>
      <c r="F862" s="27"/>
      <c r="G862" s="27"/>
      <c r="H862" s="27"/>
      <c r="I862" s="27"/>
    </row>
    <row r="863" spans="1:9">
      <c r="A863" s="22"/>
      <c r="B863" s="22"/>
      <c r="D863" s="27"/>
      <c r="E863" s="27"/>
      <c r="F863" s="27"/>
      <c r="G863" s="27"/>
      <c r="H863" s="27"/>
      <c r="I863" s="27"/>
    </row>
    <row r="864" spans="1:9">
      <c r="A864" s="22"/>
      <c r="B864" s="22"/>
      <c r="D864" s="27"/>
      <c r="E864" s="27"/>
      <c r="F864" s="27"/>
      <c r="G864" s="27"/>
      <c r="H864" s="27"/>
      <c r="I864" s="27"/>
    </row>
    <row r="865" spans="1:9">
      <c r="A865" s="22"/>
      <c r="B865" s="22"/>
      <c r="D865" s="27"/>
      <c r="E865" s="27"/>
      <c r="F865" s="27"/>
      <c r="G865" s="27"/>
      <c r="H865" s="27"/>
      <c r="I865" s="27"/>
    </row>
    <row r="866" spans="1:9">
      <c r="A866" s="22"/>
      <c r="B866" s="22"/>
      <c r="D866" s="27"/>
      <c r="E866" s="27"/>
      <c r="F866" s="27"/>
      <c r="G866" s="27"/>
      <c r="H866" s="27"/>
      <c r="I866" s="27"/>
    </row>
    <row r="867" spans="1:9">
      <c r="A867" s="22"/>
      <c r="B867" s="22"/>
      <c r="D867" s="27"/>
      <c r="E867" s="27"/>
      <c r="F867" s="27"/>
      <c r="G867" s="27"/>
      <c r="H867" s="27"/>
      <c r="I867" s="27"/>
    </row>
    <row r="868" spans="1:9">
      <c r="A868" s="22"/>
      <c r="B868" s="22"/>
      <c r="D868" s="27"/>
      <c r="E868" s="27"/>
      <c r="F868" s="27"/>
      <c r="G868" s="27"/>
      <c r="H868" s="27"/>
      <c r="I868" s="27"/>
    </row>
    <row r="869" spans="1:9">
      <c r="A869" s="22"/>
      <c r="B869" s="22"/>
      <c r="D869" s="27"/>
      <c r="E869" s="27"/>
      <c r="F869" s="27"/>
      <c r="G869" s="27"/>
      <c r="H869" s="27"/>
      <c r="I869" s="27"/>
    </row>
    <row r="870" spans="1:9">
      <c r="A870" s="22"/>
      <c r="B870" s="22"/>
      <c r="D870" s="27"/>
      <c r="E870" s="27"/>
      <c r="F870" s="27"/>
      <c r="G870" s="27"/>
      <c r="H870" s="27"/>
      <c r="I870" s="27"/>
    </row>
    <row r="871" spans="1:9">
      <c r="A871" s="22"/>
      <c r="B871" s="22"/>
      <c r="D871" s="27"/>
      <c r="E871" s="27"/>
      <c r="F871" s="27"/>
      <c r="G871" s="27"/>
      <c r="H871" s="27"/>
      <c r="I871" s="27"/>
    </row>
    <row r="872" spans="1:9">
      <c r="A872" s="22"/>
      <c r="B872" s="22"/>
      <c r="D872" s="27"/>
      <c r="E872" s="27"/>
      <c r="F872" s="27"/>
      <c r="G872" s="27"/>
      <c r="H872" s="27"/>
      <c r="I872" s="27"/>
    </row>
    <row r="873" spans="1:9">
      <c r="A873" s="22"/>
      <c r="B873" s="22"/>
      <c r="D873" s="27"/>
      <c r="E873" s="27"/>
      <c r="F873" s="27"/>
      <c r="G873" s="27"/>
      <c r="H873" s="27"/>
      <c r="I873" s="27"/>
    </row>
    <row r="874" spans="1:9">
      <c r="A874" s="22"/>
      <c r="B874" s="22"/>
      <c r="D874" s="27"/>
      <c r="E874" s="27"/>
      <c r="F874" s="27"/>
      <c r="G874" s="27"/>
      <c r="H874" s="27"/>
      <c r="I874" s="27"/>
    </row>
    <row r="875" spans="1:9">
      <c r="A875" s="22"/>
      <c r="B875" s="22"/>
      <c r="D875" s="27"/>
      <c r="E875" s="27"/>
      <c r="F875" s="27"/>
      <c r="G875" s="27"/>
      <c r="H875" s="27"/>
      <c r="I875" s="27"/>
    </row>
    <row r="876" spans="1:9">
      <c r="A876" s="22"/>
      <c r="B876" s="22"/>
      <c r="D876" s="27"/>
      <c r="E876" s="27"/>
      <c r="F876" s="27"/>
      <c r="G876" s="27"/>
      <c r="H876" s="27"/>
      <c r="I876" s="27"/>
    </row>
    <row r="877" spans="1:9">
      <c r="A877" s="22"/>
      <c r="B877" s="22"/>
      <c r="D877" s="27"/>
      <c r="E877" s="27"/>
      <c r="F877" s="27"/>
      <c r="G877" s="27"/>
      <c r="H877" s="27"/>
      <c r="I877" s="27"/>
    </row>
    <row r="878" spans="1:9">
      <c r="A878" s="22"/>
      <c r="B878" s="22"/>
      <c r="D878" s="27"/>
      <c r="E878" s="27"/>
      <c r="F878" s="27"/>
      <c r="G878" s="27"/>
      <c r="H878" s="27"/>
      <c r="I878" s="27"/>
    </row>
    <row r="879" spans="1:9">
      <c r="A879" s="22"/>
      <c r="B879" s="22"/>
      <c r="D879" s="27"/>
      <c r="E879" s="27"/>
      <c r="F879" s="27"/>
      <c r="G879" s="27"/>
      <c r="H879" s="27"/>
      <c r="I879" s="27"/>
    </row>
    <row r="880" spans="1:9">
      <c r="A880" s="22"/>
      <c r="B880" s="22"/>
      <c r="D880" s="27"/>
      <c r="E880" s="27"/>
      <c r="F880" s="27"/>
      <c r="G880" s="27"/>
      <c r="H880" s="27"/>
      <c r="I880" s="27"/>
    </row>
    <row r="881" spans="1:9">
      <c r="A881" s="22"/>
      <c r="B881" s="22"/>
      <c r="D881" s="27"/>
      <c r="E881" s="27"/>
      <c r="F881" s="27"/>
      <c r="G881" s="27"/>
      <c r="H881" s="27"/>
      <c r="I881" s="27"/>
    </row>
    <row r="882" spans="1:9">
      <c r="A882" s="22"/>
      <c r="B882" s="22"/>
      <c r="D882" s="27"/>
      <c r="E882" s="27"/>
      <c r="F882" s="27"/>
      <c r="G882" s="27"/>
      <c r="H882" s="27"/>
      <c r="I882" s="27"/>
    </row>
    <row r="883" spans="1:9">
      <c r="A883" s="22"/>
      <c r="B883" s="22"/>
      <c r="D883" s="27"/>
      <c r="E883" s="27"/>
      <c r="F883" s="27"/>
      <c r="G883" s="27"/>
      <c r="H883" s="27"/>
      <c r="I883" s="27"/>
    </row>
    <row r="884" spans="1:9">
      <c r="A884" s="22"/>
      <c r="B884" s="22"/>
      <c r="D884" s="27"/>
      <c r="E884" s="27"/>
      <c r="F884" s="27"/>
      <c r="G884" s="27"/>
      <c r="H884" s="27"/>
      <c r="I884" s="27"/>
    </row>
    <row r="885" spans="1:9">
      <c r="A885" s="22"/>
      <c r="B885" s="22"/>
      <c r="D885" s="27"/>
      <c r="E885" s="27"/>
      <c r="F885" s="27"/>
      <c r="G885" s="27"/>
      <c r="H885" s="27"/>
      <c r="I885" s="27"/>
    </row>
    <row r="886" spans="1:9">
      <c r="A886" s="22"/>
      <c r="B886" s="22"/>
      <c r="D886" s="27"/>
      <c r="E886" s="27"/>
      <c r="F886" s="27"/>
      <c r="G886" s="27"/>
      <c r="H886" s="27"/>
      <c r="I886" s="27"/>
    </row>
    <row r="887" spans="1:9">
      <c r="A887" s="22"/>
      <c r="B887" s="22"/>
      <c r="D887" s="27"/>
      <c r="E887" s="27"/>
      <c r="F887" s="27"/>
      <c r="G887" s="27"/>
      <c r="H887" s="27"/>
      <c r="I887" s="27"/>
    </row>
    <row r="888" spans="1:9">
      <c r="A888" s="22"/>
      <c r="B888" s="22"/>
      <c r="D888" s="27"/>
      <c r="E888" s="27"/>
      <c r="F888" s="27"/>
      <c r="G888" s="27"/>
      <c r="H888" s="27"/>
      <c r="I888" s="27"/>
    </row>
    <row r="889" spans="1:9">
      <c r="A889" s="22"/>
      <c r="B889" s="22"/>
      <c r="D889" s="27"/>
      <c r="E889" s="27"/>
      <c r="F889" s="27"/>
      <c r="G889" s="27"/>
      <c r="H889" s="27"/>
      <c r="I889" s="27"/>
    </row>
    <row r="890" spans="1:9">
      <c r="A890" s="22"/>
      <c r="B890" s="22"/>
      <c r="D890" s="27"/>
      <c r="E890" s="27"/>
      <c r="F890" s="27"/>
      <c r="G890" s="27"/>
      <c r="H890" s="27"/>
      <c r="I890" s="27"/>
    </row>
    <row r="891" spans="1:9">
      <c r="A891" s="22"/>
      <c r="B891" s="22"/>
      <c r="D891" s="27"/>
      <c r="E891" s="27"/>
      <c r="F891" s="27"/>
      <c r="G891" s="27"/>
      <c r="H891" s="27"/>
      <c r="I891" s="27"/>
    </row>
    <row r="892" spans="1:9">
      <c r="A892" s="22"/>
      <c r="B892" s="22"/>
      <c r="D892" s="27"/>
      <c r="E892" s="27"/>
      <c r="F892" s="27"/>
      <c r="G892" s="27"/>
      <c r="H892" s="27"/>
      <c r="I892" s="27"/>
    </row>
    <row r="893" spans="1:9">
      <c r="A893" s="22"/>
      <c r="B893" s="22"/>
      <c r="D893" s="27"/>
      <c r="E893" s="27"/>
      <c r="F893" s="27"/>
      <c r="G893" s="27"/>
      <c r="H893" s="27"/>
      <c r="I893" s="27"/>
    </row>
    <row r="894" spans="1:9">
      <c r="A894" s="22"/>
      <c r="B894" s="22"/>
      <c r="D894" s="27"/>
      <c r="E894" s="27"/>
      <c r="F894" s="27"/>
      <c r="G894" s="27"/>
      <c r="H894" s="27"/>
      <c r="I894" s="27"/>
    </row>
    <row r="895" spans="1:9">
      <c r="A895" s="22"/>
      <c r="B895" s="22"/>
      <c r="D895" s="27"/>
      <c r="E895" s="27"/>
      <c r="F895" s="27"/>
      <c r="G895" s="27"/>
      <c r="H895" s="27"/>
      <c r="I895" s="27"/>
    </row>
    <row r="896" spans="1:9">
      <c r="A896" s="22"/>
      <c r="B896" s="22"/>
      <c r="D896" s="27"/>
      <c r="E896" s="27"/>
      <c r="F896" s="27"/>
      <c r="G896" s="27"/>
      <c r="H896" s="27"/>
      <c r="I896" s="27"/>
    </row>
    <row r="897" spans="1:9">
      <c r="A897" s="22"/>
      <c r="B897" s="22"/>
      <c r="D897" s="27"/>
      <c r="E897" s="27"/>
      <c r="F897" s="27"/>
      <c r="G897" s="27"/>
      <c r="H897" s="27"/>
      <c r="I897" s="27"/>
    </row>
    <row r="898" spans="1:9">
      <c r="A898" s="22"/>
      <c r="B898" s="22"/>
      <c r="D898" s="27"/>
      <c r="E898" s="27"/>
      <c r="F898" s="27"/>
      <c r="G898" s="27"/>
      <c r="H898" s="27"/>
      <c r="I898" s="27"/>
    </row>
    <row r="899" spans="1:9">
      <c r="A899" s="22"/>
      <c r="B899" s="22"/>
      <c r="D899" s="27"/>
      <c r="E899" s="27"/>
      <c r="F899" s="27"/>
      <c r="G899" s="27"/>
      <c r="H899" s="27"/>
      <c r="I899" s="27"/>
    </row>
    <row r="900" spans="1:9">
      <c r="A900" s="22"/>
      <c r="B900" s="22"/>
      <c r="D900" s="27"/>
      <c r="E900" s="27"/>
      <c r="F900" s="27"/>
      <c r="G900" s="27"/>
      <c r="H900" s="27"/>
      <c r="I900" s="27"/>
    </row>
    <row r="901" spans="1:9">
      <c r="A901" s="22"/>
      <c r="B901" s="22"/>
      <c r="D901" s="27"/>
      <c r="E901" s="27"/>
      <c r="F901" s="27"/>
      <c r="G901" s="27"/>
      <c r="H901" s="27"/>
      <c r="I901" s="27"/>
    </row>
    <row r="902" spans="1:9">
      <c r="A902" s="22"/>
      <c r="B902" s="22"/>
      <c r="D902" s="27"/>
      <c r="E902" s="27"/>
      <c r="F902" s="27"/>
      <c r="G902" s="27"/>
      <c r="H902" s="27"/>
      <c r="I902" s="27"/>
    </row>
    <row r="903" spans="1:9">
      <c r="A903" s="22"/>
      <c r="B903" s="22"/>
      <c r="D903" s="27"/>
      <c r="E903" s="27"/>
      <c r="F903" s="27"/>
      <c r="G903" s="27"/>
      <c r="H903" s="27"/>
      <c r="I903" s="27"/>
    </row>
    <row r="904" spans="1:9">
      <c r="A904" s="22"/>
      <c r="B904" s="22"/>
      <c r="D904" s="27"/>
      <c r="E904" s="27"/>
      <c r="F904" s="27"/>
      <c r="G904" s="27"/>
      <c r="H904" s="27"/>
      <c r="I904" s="27"/>
    </row>
    <row r="905" spans="1:9">
      <c r="A905" s="22"/>
      <c r="B905" s="22"/>
      <c r="D905" s="27"/>
      <c r="E905" s="27"/>
      <c r="F905" s="27"/>
      <c r="G905" s="27"/>
      <c r="H905" s="27"/>
      <c r="I905" s="27"/>
    </row>
    <row r="906" spans="1:9">
      <c r="A906" s="22"/>
      <c r="B906" s="22"/>
      <c r="D906" s="27"/>
      <c r="E906" s="27"/>
      <c r="F906" s="27"/>
      <c r="G906" s="27"/>
      <c r="H906" s="27"/>
      <c r="I906" s="27"/>
    </row>
    <row r="907" spans="1:9">
      <c r="A907" s="22"/>
      <c r="B907" s="22"/>
      <c r="D907" s="27"/>
      <c r="E907" s="27"/>
      <c r="F907" s="27"/>
      <c r="G907" s="27"/>
      <c r="H907" s="27"/>
      <c r="I907" s="27"/>
    </row>
    <row r="908" spans="1:9">
      <c r="A908" s="22"/>
      <c r="B908" s="22"/>
      <c r="D908" s="27"/>
      <c r="E908" s="27"/>
      <c r="F908" s="27"/>
      <c r="G908" s="27"/>
      <c r="H908" s="27"/>
      <c r="I908" s="27"/>
    </row>
    <row r="909" spans="1:9">
      <c r="A909" s="22"/>
      <c r="B909" s="22"/>
      <c r="D909" s="27"/>
      <c r="E909" s="27"/>
      <c r="F909" s="27"/>
      <c r="G909" s="27"/>
      <c r="H909" s="27"/>
      <c r="I909" s="27"/>
    </row>
    <row r="910" spans="1:9">
      <c r="A910" s="22"/>
      <c r="B910" s="22"/>
      <c r="D910" s="27"/>
      <c r="E910" s="27"/>
      <c r="F910" s="27"/>
      <c r="G910" s="27"/>
      <c r="H910" s="27"/>
      <c r="I910" s="27"/>
    </row>
    <row r="911" spans="1:9">
      <c r="A911" s="22"/>
      <c r="B911" s="22"/>
      <c r="D911" s="27"/>
      <c r="E911" s="27"/>
      <c r="F911" s="27"/>
      <c r="G911" s="27"/>
      <c r="H911" s="27"/>
      <c r="I911" s="27"/>
    </row>
    <row r="912" spans="1:9">
      <c r="A912" s="22"/>
      <c r="B912" s="22"/>
      <c r="D912" s="27"/>
      <c r="E912" s="27"/>
      <c r="F912" s="27"/>
      <c r="G912" s="27"/>
      <c r="H912" s="27"/>
      <c r="I912" s="27"/>
    </row>
    <row r="913" spans="1:9">
      <c r="A913" s="22"/>
      <c r="B913" s="22"/>
      <c r="D913" s="27"/>
      <c r="E913" s="27"/>
      <c r="F913" s="27"/>
      <c r="G913" s="27"/>
      <c r="H913" s="27"/>
      <c r="I913" s="27"/>
    </row>
    <row r="914" spans="1:9">
      <c r="A914" s="22"/>
      <c r="B914" s="22"/>
      <c r="D914" s="27"/>
      <c r="E914" s="27"/>
      <c r="F914" s="27"/>
      <c r="G914" s="27"/>
      <c r="H914" s="27"/>
      <c r="I914" s="27"/>
    </row>
    <row r="915" spans="1:9">
      <c r="A915" s="22"/>
      <c r="B915" s="22"/>
      <c r="D915" s="27"/>
      <c r="E915" s="27"/>
      <c r="F915" s="27"/>
      <c r="G915" s="27"/>
      <c r="H915" s="27"/>
      <c r="I915" s="27"/>
    </row>
    <row r="916" spans="1:9">
      <c r="A916" s="22"/>
      <c r="B916" s="22"/>
      <c r="D916" s="27"/>
      <c r="E916" s="27"/>
      <c r="F916" s="27"/>
      <c r="G916" s="27"/>
      <c r="H916" s="27"/>
      <c r="I916" s="27"/>
    </row>
    <row r="917" spans="1:9">
      <c r="A917" s="22"/>
      <c r="B917" s="22"/>
      <c r="D917" s="27"/>
      <c r="E917" s="27"/>
      <c r="F917" s="27"/>
      <c r="G917" s="27"/>
      <c r="H917" s="27"/>
      <c r="I917" s="27"/>
    </row>
    <row r="918" spans="1:9">
      <c r="A918" s="22"/>
      <c r="B918" s="22"/>
      <c r="D918" s="27"/>
      <c r="E918" s="27"/>
      <c r="F918" s="27"/>
      <c r="G918" s="27"/>
      <c r="H918" s="27"/>
      <c r="I918" s="27"/>
    </row>
    <row r="919" spans="1:9">
      <c r="A919" s="22"/>
      <c r="B919" s="22"/>
      <c r="D919" s="27"/>
      <c r="E919" s="27"/>
      <c r="F919" s="27"/>
      <c r="G919" s="27"/>
      <c r="H919" s="27"/>
      <c r="I919" s="27"/>
    </row>
    <row r="920" spans="1:9">
      <c r="A920" s="22"/>
      <c r="B920" s="22"/>
      <c r="D920" s="27"/>
      <c r="E920" s="27"/>
      <c r="F920" s="27"/>
      <c r="G920" s="27"/>
      <c r="H920" s="27"/>
      <c r="I920" s="27"/>
    </row>
    <row r="921" spans="1:9">
      <c r="A921" s="22"/>
      <c r="B921" s="22"/>
      <c r="D921" s="27"/>
      <c r="E921" s="27"/>
      <c r="F921" s="27"/>
      <c r="G921" s="27"/>
      <c r="H921" s="27"/>
      <c r="I921" s="27"/>
    </row>
    <row r="922" spans="1:9">
      <c r="A922" s="22"/>
      <c r="B922" s="22"/>
      <c r="D922" s="27"/>
      <c r="E922" s="27"/>
      <c r="F922" s="27"/>
      <c r="G922" s="27"/>
      <c r="H922" s="27"/>
      <c r="I922" s="27"/>
    </row>
    <row r="923" spans="1:9">
      <c r="A923" s="22"/>
      <c r="B923" s="22"/>
      <c r="D923" s="27"/>
      <c r="E923" s="27"/>
      <c r="F923" s="27"/>
      <c r="G923" s="27"/>
      <c r="H923" s="27"/>
      <c r="I923" s="27"/>
    </row>
    <row r="924" spans="1:9">
      <c r="A924" s="22"/>
      <c r="B924" s="22"/>
      <c r="D924" s="27"/>
      <c r="E924" s="27"/>
      <c r="F924" s="27"/>
      <c r="G924" s="27"/>
      <c r="H924" s="27"/>
      <c r="I924" s="27"/>
    </row>
    <row r="925" spans="1:9">
      <c r="A925" s="22"/>
      <c r="B925" s="22"/>
      <c r="D925" s="27"/>
      <c r="E925" s="27"/>
      <c r="F925" s="27"/>
      <c r="G925" s="27"/>
      <c r="H925" s="27"/>
      <c r="I925" s="27"/>
    </row>
    <row r="926" spans="1:9">
      <c r="A926" s="22"/>
      <c r="B926" s="22"/>
      <c r="D926" s="27"/>
      <c r="E926" s="27"/>
      <c r="F926" s="27"/>
      <c r="G926" s="27"/>
      <c r="H926" s="27"/>
      <c r="I926" s="27"/>
    </row>
    <row r="927" spans="1:9">
      <c r="A927" s="22"/>
      <c r="B927" s="22"/>
      <c r="D927" s="27"/>
      <c r="E927" s="27"/>
      <c r="F927" s="27"/>
      <c r="G927" s="27"/>
      <c r="H927" s="27"/>
      <c r="I927" s="27"/>
    </row>
    <row r="928" spans="1:9">
      <c r="A928" s="22"/>
      <c r="B928" s="22"/>
      <c r="D928" s="27"/>
      <c r="E928" s="27"/>
      <c r="F928" s="27"/>
      <c r="G928" s="27"/>
      <c r="H928" s="27"/>
      <c r="I928" s="27"/>
    </row>
    <row r="929" spans="1:9">
      <c r="A929" s="22"/>
      <c r="B929" s="22"/>
      <c r="D929" s="27"/>
      <c r="E929" s="27"/>
      <c r="F929" s="27"/>
      <c r="G929" s="27"/>
      <c r="H929" s="27"/>
      <c r="I929" s="27"/>
    </row>
    <row r="930" spans="1:9">
      <c r="A930" s="22"/>
      <c r="B930" s="22"/>
      <c r="D930" s="27"/>
      <c r="E930" s="27"/>
      <c r="F930" s="27"/>
      <c r="G930" s="27"/>
      <c r="H930" s="27"/>
      <c r="I930" s="27"/>
    </row>
    <row r="931" spans="1:9">
      <c r="A931" s="22"/>
      <c r="B931" s="22"/>
      <c r="D931" s="27"/>
      <c r="E931" s="27"/>
      <c r="F931" s="27"/>
      <c r="G931" s="27"/>
      <c r="H931" s="27"/>
      <c r="I931" s="27"/>
    </row>
    <row r="932" spans="1:9">
      <c r="A932" s="22"/>
      <c r="B932" s="22"/>
      <c r="D932" s="27"/>
      <c r="E932" s="27"/>
      <c r="F932" s="27"/>
      <c r="G932" s="27"/>
      <c r="H932" s="27"/>
      <c r="I932" s="27"/>
    </row>
    <row r="933" spans="1:9">
      <c r="A933" s="22"/>
      <c r="B933" s="22"/>
      <c r="D933" s="27"/>
      <c r="E933" s="27"/>
      <c r="F933" s="27"/>
      <c r="G933" s="27"/>
      <c r="H933" s="27"/>
      <c r="I933" s="27"/>
    </row>
    <row r="934" spans="1:9">
      <c r="A934" s="22"/>
      <c r="B934" s="22"/>
      <c r="D934" s="27"/>
      <c r="E934" s="27"/>
      <c r="F934" s="27"/>
      <c r="G934" s="27"/>
      <c r="H934" s="27"/>
      <c r="I934" s="27"/>
    </row>
    <row r="935" spans="1:9">
      <c r="A935" s="22"/>
      <c r="B935" s="22"/>
      <c r="D935" s="27"/>
      <c r="E935" s="27"/>
      <c r="F935" s="27"/>
      <c r="G935" s="27"/>
      <c r="H935" s="27"/>
      <c r="I935" s="27"/>
    </row>
    <row r="936" spans="1:9">
      <c r="A936" s="22"/>
      <c r="B936" s="22"/>
      <c r="D936" s="27"/>
      <c r="E936" s="27"/>
      <c r="F936" s="27"/>
      <c r="G936" s="27"/>
      <c r="H936" s="27"/>
      <c r="I936" s="27"/>
    </row>
    <row r="937" spans="1:9">
      <c r="A937" s="22"/>
      <c r="B937" s="22"/>
      <c r="D937" s="27"/>
      <c r="E937" s="27"/>
      <c r="F937" s="27"/>
      <c r="G937" s="27"/>
      <c r="H937" s="27"/>
      <c r="I937" s="27"/>
    </row>
    <row r="938" spans="1:9">
      <c r="A938" s="22"/>
      <c r="B938" s="22"/>
      <c r="D938" s="27"/>
      <c r="E938" s="27"/>
      <c r="F938" s="27"/>
      <c r="G938" s="27"/>
      <c r="H938" s="27"/>
      <c r="I938" s="27"/>
    </row>
    <row r="939" spans="1:9">
      <c r="A939" s="22"/>
      <c r="B939" s="22"/>
      <c r="D939" s="27"/>
      <c r="E939" s="27"/>
      <c r="F939" s="27"/>
      <c r="G939" s="27"/>
      <c r="H939" s="27"/>
      <c r="I939" s="27"/>
    </row>
    <row r="940" spans="1:9">
      <c r="A940" s="22"/>
      <c r="B940" s="22"/>
      <c r="D940" s="27"/>
      <c r="E940" s="27"/>
      <c r="F940" s="27"/>
      <c r="G940" s="27"/>
      <c r="H940" s="27"/>
      <c r="I940" s="27"/>
    </row>
    <row r="941" spans="1:9">
      <c r="A941" s="22"/>
      <c r="B941" s="22"/>
      <c r="D941" s="27"/>
      <c r="E941" s="27"/>
      <c r="F941" s="27"/>
      <c r="G941" s="27"/>
      <c r="H941" s="27"/>
      <c r="I941" s="27"/>
    </row>
    <row r="942" spans="1:9">
      <c r="A942" s="22"/>
      <c r="B942" s="22"/>
      <c r="D942" s="27"/>
      <c r="E942" s="27"/>
      <c r="F942" s="27"/>
      <c r="G942" s="27"/>
      <c r="H942" s="27"/>
      <c r="I942" s="27"/>
    </row>
    <row r="943" spans="1:9">
      <c r="A943" s="22"/>
      <c r="B943" s="22"/>
      <c r="D943" s="27"/>
      <c r="E943" s="27"/>
      <c r="F943" s="27"/>
      <c r="G943" s="27"/>
      <c r="H943" s="27"/>
      <c r="I943" s="27"/>
    </row>
    <row r="944" spans="1:9">
      <c r="A944" s="22"/>
      <c r="B944" s="22"/>
      <c r="D944" s="27"/>
      <c r="E944" s="27"/>
      <c r="F944" s="27"/>
      <c r="G944" s="27"/>
      <c r="H944" s="27"/>
      <c r="I944" s="27"/>
    </row>
    <row r="945" spans="1:9">
      <c r="A945" s="22"/>
      <c r="B945" s="22"/>
      <c r="D945" s="27"/>
      <c r="E945" s="27"/>
      <c r="F945" s="27"/>
      <c r="G945" s="27"/>
      <c r="H945" s="27"/>
      <c r="I945" s="27"/>
    </row>
    <row r="946" spans="1:9">
      <c r="A946" s="22"/>
      <c r="B946" s="22"/>
      <c r="D946" s="27"/>
      <c r="E946" s="27"/>
      <c r="F946" s="27"/>
      <c r="G946" s="27"/>
      <c r="H946" s="27"/>
      <c r="I946" s="27"/>
    </row>
    <row r="947" spans="1:9">
      <c r="A947" s="22"/>
      <c r="B947" s="22"/>
      <c r="D947" s="27"/>
      <c r="E947" s="27"/>
      <c r="F947" s="27"/>
      <c r="G947" s="27"/>
      <c r="H947" s="27"/>
      <c r="I947" s="27"/>
    </row>
    <row r="948" spans="1:9">
      <c r="A948" s="22"/>
      <c r="B948" s="22"/>
      <c r="D948" s="27"/>
      <c r="E948" s="27"/>
      <c r="F948" s="27"/>
      <c r="G948" s="27"/>
      <c r="H948" s="27"/>
      <c r="I948" s="27"/>
    </row>
    <row r="949" spans="1:9">
      <c r="A949" s="22"/>
      <c r="B949" s="22"/>
      <c r="D949" s="27"/>
      <c r="E949" s="27"/>
      <c r="F949" s="27"/>
      <c r="G949" s="27"/>
      <c r="H949" s="27"/>
      <c r="I949" s="27"/>
    </row>
    <row r="950" spans="1:9">
      <c r="A950" s="22"/>
      <c r="B950" s="22"/>
      <c r="D950" s="27"/>
      <c r="E950" s="27"/>
      <c r="F950" s="27"/>
      <c r="G950" s="27"/>
      <c r="H950" s="27"/>
      <c r="I950" s="27"/>
    </row>
    <row r="951" spans="1:9">
      <c r="A951" s="22"/>
      <c r="B951" s="22"/>
      <c r="D951" s="27"/>
      <c r="E951" s="27"/>
      <c r="F951" s="27"/>
      <c r="G951" s="27"/>
      <c r="H951" s="27"/>
      <c r="I951" s="27"/>
    </row>
    <row r="952" spans="1:9">
      <c r="A952" s="22"/>
      <c r="B952" s="22"/>
      <c r="D952" s="27"/>
      <c r="E952" s="27"/>
      <c r="F952" s="27"/>
      <c r="G952" s="27"/>
      <c r="H952" s="27"/>
      <c r="I952" s="27"/>
    </row>
    <row r="953" spans="1:9">
      <c r="A953" s="22"/>
      <c r="B953" s="22"/>
      <c r="D953" s="27"/>
      <c r="E953" s="27"/>
      <c r="F953" s="27"/>
      <c r="G953" s="27"/>
      <c r="H953" s="27"/>
      <c r="I953" s="27"/>
    </row>
    <row r="954" spans="1:9">
      <c r="A954" s="22"/>
      <c r="B954" s="22"/>
      <c r="D954" s="27"/>
      <c r="E954" s="27"/>
      <c r="F954" s="27"/>
      <c r="G954" s="27"/>
      <c r="H954" s="27"/>
      <c r="I954" s="27"/>
    </row>
    <row r="955" spans="1:9">
      <c r="A955" s="22"/>
      <c r="B955" s="22"/>
      <c r="D955" s="27"/>
      <c r="E955" s="27"/>
      <c r="F955" s="27"/>
      <c r="G955" s="27"/>
      <c r="H955" s="27"/>
      <c r="I955" s="27"/>
    </row>
    <row r="956" spans="1:9">
      <c r="A956" s="22"/>
      <c r="B956" s="22"/>
      <c r="D956" s="27"/>
      <c r="E956" s="27"/>
      <c r="F956" s="27"/>
      <c r="G956" s="27"/>
      <c r="H956" s="27"/>
      <c r="I956" s="27"/>
    </row>
    <row r="957" spans="1:9">
      <c r="A957" s="22"/>
      <c r="B957" s="22"/>
      <c r="D957" s="27"/>
      <c r="E957" s="27"/>
      <c r="F957" s="27"/>
      <c r="G957" s="27"/>
      <c r="H957" s="27"/>
      <c r="I957" s="27"/>
    </row>
    <row r="958" spans="1:9">
      <c r="A958" s="22"/>
      <c r="B958" s="22"/>
      <c r="D958" s="27"/>
      <c r="E958" s="27"/>
      <c r="F958" s="27"/>
      <c r="G958" s="27"/>
      <c r="H958" s="27"/>
      <c r="I958" s="27"/>
    </row>
    <row r="959" spans="1:9">
      <c r="A959" s="22"/>
      <c r="B959" s="22"/>
      <c r="D959" s="27"/>
      <c r="E959" s="27"/>
      <c r="F959" s="27"/>
      <c r="G959" s="27"/>
      <c r="H959" s="27"/>
      <c r="I959" s="27"/>
    </row>
    <row r="960" spans="1:9">
      <c r="A960" s="22"/>
      <c r="B960" s="22"/>
      <c r="D960" s="27"/>
      <c r="E960" s="27"/>
      <c r="F960" s="27"/>
      <c r="G960" s="27"/>
      <c r="H960" s="27"/>
      <c r="I960" s="27"/>
    </row>
    <row r="961" spans="1:9">
      <c r="A961" s="22"/>
      <c r="B961" s="22"/>
      <c r="D961" s="27"/>
      <c r="E961" s="27"/>
      <c r="F961" s="27"/>
      <c r="G961" s="27"/>
      <c r="H961" s="27"/>
      <c r="I961" s="27"/>
    </row>
    <row r="962" spans="1:9">
      <c r="A962" s="22"/>
      <c r="B962" s="22"/>
      <c r="D962" s="27"/>
      <c r="E962" s="27"/>
      <c r="F962" s="27"/>
      <c r="G962" s="27"/>
      <c r="H962" s="27"/>
      <c r="I962" s="27"/>
    </row>
    <row r="963" spans="1:9">
      <c r="A963" s="22"/>
      <c r="B963" s="22"/>
      <c r="D963" s="27"/>
      <c r="E963" s="27"/>
      <c r="F963" s="27"/>
      <c r="G963" s="27"/>
      <c r="H963" s="27"/>
      <c r="I963" s="27"/>
    </row>
    <row r="964" spans="1:9">
      <c r="A964" s="22"/>
      <c r="B964" s="22"/>
      <c r="D964" s="27"/>
      <c r="E964" s="27"/>
      <c r="F964" s="27"/>
      <c r="G964" s="27"/>
      <c r="H964" s="27"/>
      <c r="I964" s="27"/>
    </row>
    <row r="965" spans="1:9">
      <c r="A965" s="22"/>
      <c r="B965" s="22"/>
      <c r="D965" s="27"/>
      <c r="E965" s="27"/>
      <c r="F965" s="27"/>
      <c r="G965" s="27"/>
      <c r="H965" s="27"/>
      <c r="I965" s="27"/>
    </row>
    <row r="966" spans="1:9">
      <c r="A966" s="22"/>
      <c r="B966" s="22"/>
      <c r="D966" s="27"/>
      <c r="E966" s="27"/>
      <c r="F966" s="27"/>
      <c r="G966" s="27"/>
      <c r="H966" s="27"/>
      <c r="I966" s="27"/>
    </row>
    <row r="967" spans="1:9">
      <c r="A967" s="22"/>
      <c r="B967" s="22"/>
      <c r="D967" s="27"/>
      <c r="E967" s="27"/>
      <c r="F967" s="27"/>
      <c r="G967" s="27"/>
      <c r="H967" s="27"/>
      <c r="I967" s="27"/>
    </row>
    <row r="968" spans="1:9">
      <c r="A968" s="22"/>
      <c r="B968" s="22"/>
      <c r="D968" s="27"/>
      <c r="E968" s="27"/>
      <c r="F968" s="27"/>
      <c r="G968" s="27"/>
      <c r="H968" s="27"/>
      <c r="I968" s="27"/>
    </row>
    <row r="969" spans="1:9">
      <c r="A969" s="22"/>
      <c r="B969" s="22"/>
      <c r="D969" s="27"/>
      <c r="E969" s="27"/>
      <c r="F969" s="27"/>
      <c r="G969" s="27"/>
      <c r="H969" s="27"/>
      <c r="I969" s="27"/>
    </row>
    <row r="970" spans="1:9">
      <c r="A970" s="22"/>
      <c r="B970" s="22"/>
      <c r="D970" s="27"/>
      <c r="E970" s="27"/>
      <c r="F970" s="27"/>
      <c r="G970" s="27"/>
      <c r="H970" s="27"/>
      <c r="I970" s="27"/>
    </row>
    <row r="971" spans="1:9">
      <c r="A971" s="22"/>
      <c r="B971" s="22"/>
      <c r="D971" s="27"/>
      <c r="E971" s="27"/>
      <c r="F971" s="27"/>
      <c r="G971" s="27"/>
      <c r="H971" s="27"/>
      <c r="I971" s="27"/>
    </row>
    <row r="972" spans="1:9">
      <c r="A972" s="22"/>
      <c r="B972" s="22"/>
      <c r="D972" s="27"/>
      <c r="E972" s="27"/>
      <c r="F972" s="27"/>
      <c r="G972" s="27"/>
      <c r="H972" s="27"/>
      <c r="I972" s="27"/>
    </row>
    <row r="973" spans="1:9">
      <c r="A973" s="22"/>
      <c r="B973" s="22"/>
      <c r="D973" s="27"/>
      <c r="E973" s="27"/>
      <c r="F973" s="27"/>
      <c r="G973" s="27"/>
      <c r="H973" s="27"/>
      <c r="I973" s="27"/>
    </row>
    <row r="974" spans="1:9">
      <c r="A974" s="22"/>
      <c r="B974" s="22"/>
      <c r="D974" s="27"/>
      <c r="E974" s="27"/>
      <c r="F974" s="27"/>
      <c r="G974" s="27"/>
      <c r="H974" s="27"/>
      <c r="I974" s="27"/>
    </row>
    <row r="975" spans="1:9">
      <c r="A975" s="22"/>
      <c r="B975" s="22"/>
      <c r="D975" s="27"/>
      <c r="E975" s="27"/>
      <c r="F975" s="27"/>
      <c r="G975" s="27"/>
      <c r="H975" s="27"/>
      <c r="I975" s="27"/>
    </row>
    <row r="976" spans="1:9">
      <c r="A976" s="22"/>
      <c r="B976" s="22"/>
      <c r="D976" s="27"/>
      <c r="E976" s="27"/>
      <c r="F976" s="27"/>
      <c r="G976" s="27"/>
      <c r="H976" s="27"/>
      <c r="I976" s="27"/>
    </row>
    <row r="977" spans="1:9">
      <c r="A977" s="22"/>
      <c r="B977" s="22"/>
      <c r="D977" s="27"/>
      <c r="E977" s="27"/>
      <c r="F977" s="27"/>
      <c r="G977" s="27"/>
      <c r="H977" s="27"/>
      <c r="I977" s="27"/>
    </row>
    <row r="978" spans="1:9">
      <c r="A978" s="22"/>
      <c r="B978" s="22"/>
      <c r="D978" s="27"/>
      <c r="E978" s="27"/>
      <c r="F978" s="27"/>
      <c r="G978" s="27"/>
      <c r="H978" s="27"/>
      <c r="I978" s="27"/>
    </row>
    <row r="979" spans="1:9">
      <c r="A979" s="22"/>
      <c r="B979" s="22"/>
      <c r="D979" s="27"/>
      <c r="E979" s="27"/>
      <c r="F979" s="27"/>
      <c r="G979" s="27"/>
      <c r="H979" s="27"/>
      <c r="I979" s="27"/>
    </row>
    <row r="980" spans="1:9">
      <c r="A980" s="22"/>
      <c r="B980" s="22"/>
      <c r="D980" s="27"/>
      <c r="E980" s="27"/>
      <c r="F980" s="27"/>
      <c r="G980" s="27"/>
      <c r="H980" s="27"/>
      <c r="I980" s="27"/>
    </row>
    <row r="981" spans="1:9">
      <c r="A981" s="22"/>
      <c r="B981" s="22"/>
      <c r="D981" s="27"/>
      <c r="E981" s="27"/>
      <c r="F981" s="27"/>
      <c r="G981" s="27"/>
      <c r="H981" s="27"/>
      <c r="I981" s="27"/>
    </row>
    <row r="982" spans="1:9">
      <c r="A982" s="22"/>
      <c r="B982" s="22"/>
      <c r="D982" s="27"/>
      <c r="E982" s="27"/>
      <c r="F982" s="27"/>
      <c r="G982" s="27"/>
      <c r="H982" s="27"/>
      <c r="I982" s="27"/>
    </row>
    <row r="983" spans="1:9">
      <c r="A983" s="22"/>
      <c r="B983" s="22"/>
      <c r="D983" s="27"/>
      <c r="E983" s="27"/>
      <c r="F983" s="27"/>
      <c r="G983" s="27"/>
      <c r="H983" s="27"/>
      <c r="I983" s="27"/>
    </row>
    <row r="984" spans="1:9">
      <c r="A984" s="22"/>
      <c r="B984" s="22"/>
      <c r="D984" s="27"/>
      <c r="E984" s="27"/>
      <c r="F984" s="27"/>
      <c r="G984" s="27"/>
      <c r="H984" s="27"/>
      <c r="I984" s="27"/>
    </row>
    <row r="985" spans="1:9">
      <c r="A985" s="22"/>
      <c r="B985" s="22"/>
      <c r="D985" s="27"/>
      <c r="E985" s="27"/>
      <c r="F985" s="27"/>
      <c r="G985" s="27"/>
      <c r="H985" s="27"/>
      <c r="I985" s="27"/>
    </row>
    <row r="986" spans="1:9">
      <c r="A986" s="22"/>
      <c r="B986" s="22"/>
      <c r="D986" s="27"/>
      <c r="E986" s="27"/>
      <c r="F986" s="27"/>
      <c r="G986" s="27"/>
      <c r="H986" s="27"/>
      <c r="I986" s="27"/>
    </row>
    <row r="987" spans="1:9">
      <c r="A987" s="22"/>
      <c r="B987" s="22"/>
      <c r="D987" s="27"/>
      <c r="E987" s="27"/>
      <c r="F987" s="27"/>
      <c r="G987" s="27"/>
      <c r="H987" s="27"/>
      <c r="I987" s="27"/>
    </row>
    <row r="988" spans="1:9">
      <c r="A988" s="22"/>
      <c r="B988" s="22"/>
      <c r="D988" s="27"/>
      <c r="E988" s="27"/>
      <c r="F988" s="27"/>
      <c r="G988" s="27"/>
      <c r="H988" s="27"/>
      <c r="I988" s="27"/>
    </row>
    <row r="989" spans="1:9">
      <c r="A989" s="22"/>
      <c r="B989" s="22"/>
      <c r="D989" s="27"/>
      <c r="E989" s="27"/>
      <c r="F989" s="27"/>
      <c r="G989" s="27"/>
      <c r="H989" s="27"/>
      <c r="I989" s="27"/>
    </row>
    <row r="990" spans="1:9">
      <c r="A990" s="22"/>
      <c r="B990" s="22"/>
      <c r="D990" s="27"/>
      <c r="E990" s="27"/>
      <c r="F990" s="27"/>
      <c r="G990" s="27"/>
      <c r="H990" s="27"/>
      <c r="I990" s="27"/>
    </row>
    <row r="991" spans="1:9">
      <c r="A991" s="22"/>
      <c r="B991" s="22"/>
      <c r="D991" s="27"/>
      <c r="E991" s="27"/>
      <c r="F991" s="27"/>
      <c r="G991" s="27"/>
      <c r="H991" s="27"/>
      <c r="I991" s="27"/>
    </row>
    <row r="992" spans="1:9">
      <c r="A992" s="22"/>
      <c r="B992" s="22"/>
      <c r="D992" s="27"/>
      <c r="E992" s="27"/>
      <c r="F992" s="27"/>
      <c r="G992" s="27"/>
      <c r="H992" s="27"/>
      <c r="I992" s="27"/>
    </row>
    <row r="993" spans="1:9">
      <c r="A993" s="22"/>
      <c r="B993" s="22"/>
      <c r="D993" s="27"/>
      <c r="E993" s="27"/>
      <c r="F993" s="27"/>
      <c r="G993" s="27"/>
      <c r="H993" s="27"/>
      <c r="I993" s="27"/>
    </row>
    <row r="994" spans="1:9">
      <c r="A994" s="22"/>
      <c r="B994" s="22"/>
      <c r="D994" s="27"/>
      <c r="E994" s="27"/>
      <c r="F994" s="27"/>
      <c r="G994" s="27"/>
      <c r="H994" s="27"/>
      <c r="I994" s="27"/>
    </row>
    <row r="995" spans="1:9">
      <c r="A995" s="22"/>
      <c r="B995" s="22"/>
      <c r="D995" s="27"/>
      <c r="E995" s="27"/>
      <c r="F995" s="27"/>
      <c r="G995" s="27"/>
      <c r="H995" s="27"/>
      <c r="I995" s="27"/>
    </row>
    <row r="996" spans="1:9">
      <c r="A996" s="22"/>
      <c r="B996" s="22"/>
      <c r="D996" s="27"/>
      <c r="E996" s="27"/>
      <c r="F996" s="27"/>
      <c r="G996" s="27"/>
      <c r="H996" s="27"/>
      <c r="I996" s="27"/>
    </row>
    <row r="997" spans="1:9">
      <c r="A997" s="22"/>
      <c r="B997" s="22"/>
      <c r="D997" s="27"/>
      <c r="E997" s="27"/>
      <c r="F997" s="27"/>
      <c r="G997" s="27"/>
      <c r="H997" s="27"/>
      <c r="I997" s="27"/>
    </row>
    <row r="998" spans="1:9">
      <c r="A998" s="22"/>
      <c r="B998" s="22"/>
      <c r="D998" s="27"/>
      <c r="E998" s="27"/>
      <c r="F998" s="27"/>
      <c r="G998" s="27"/>
      <c r="H998" s="27"/>
      <c r="I998" s="27"/>
    </row>
    <row r="999" spans="1:9">
      <c r="A999" s="22"/>
      <c r="B999" s="22"/>
      <c r="D999" s="27"/>
      <c r="E999" s="27"/>
      <c r="F999" s="27"/>
      <c r="G999" s="27"/>
      <c r="H999" s="27"/>
      <c r="I999" s="27"/>
    </row>
    <row r="1000" spans="1:9">
      <c r="A1000" s="22"/>
      <c r="B1000" s="22"/>
      <c r="D1000" s="27"/>
      <c r="E1000" s="27"/>
      <c r="F1000" s="27"/>
      <c r="G1000" s="27"/>
      <c r="H1000" s="27"/>
      <c r="I1000" s="27"/>
    </row>
    <row r="1001" spans="1:9">
      <c r="A1001" s="22"/>
      <c r="B1001" s="22"/>
      <c r="D1001" s="27"/>
      <c r="E1001" s="27"/>
      <c r="F1001" s="27"/>
      <c r="G1001" s="27"/>
      <c r="H1001" s="27"/>
      <c r="I1001" s="27"/>
    </row>
    <row r="1002" spans="1:9">
      <c r="A1002" s="22"/>
      <c r="B1002" s="22"/>
      <c r="D1002" s="27"/>
      <c r="E1002" s="27"/>
      <c r="F1002" s="27"/>
      <c r="G1002" s="27"/>
      <c r="H1002" s="27"/>
      <c r="I1002" s="27"/>
    </row>
    <row r="1003" spans="1:9">
      <c r="A1003" s="22"/>
      <c r="B1003" s="22"/>
      <c r="D1003" s="27"/>
      <c r="E1003" s="27"/>
      <c r="F1003" s="27"/>
      <c r="G1003" s="27"/>
      <c r="H1003" s="27"/>
      <c r="I1003" s="27"/>
    </row>
    <row r="1004" spans="1:9">
      <c r="A1004" s="22"/>
      <c r="B1004" s="22"/>
      <c r="D1004" s="27"/>
      <c r="E1004" s="27"/>
      <c r="F1004" s="27"/>
      <c r="G1004" s="27"/>
      <c r="H1004" s="27"/>
      <c r="I1004" s="27"/>
    </row>
    <row r="1005" spans="1:9">
      <c r="A1005" s="22"/>
      <c r="B1005" s="22"/>
      <c r="D1005" s="27"/>
      <c r="E1005" s="27"/>
      <c r="F1005" s="27"/>
      <c r="G1005" s="27"/>
      <c r="H1005" s="27"/>
      <c r="I1005" s="27"/>
    </row>
    <row r="1006" spans="1:9">
      <c r="A1006" s="22"/>
      <c r="B1006" s="22"/>
      <c r="D1006" s="27"/>
      <c r="E1006" s="27"/>
      <c r="F1006" s="27"/>
      <c r="G1006" s="27"/>
      <c r="H1006" s="27"/>
      <c r="I1006" s="27"/>
    </row>
    <row r="1007" spans="1:9">
      <c r="A1007" s="22"/>
      <c r="B1007" s="22"/>
      <c r="D1007" s="27"/>
      <c r="E1007" s="27"/>
      <c r="F1007" s="27"/>
      <c r="G1007" s="27"/>
      <c r="H1007" s="27"/>
      <c r="I1007" s="27"/>
    </row>
    <row r="1008" spans="1:9">
      <c r="A1008" s="22"/>
      <c r="B1008" s="22"/>
      <c r="D1008" s="27"/>
      <c r="E1008" s="27"/>
      <c r="F1008" s="27"/>
      <c r="G1008" s="27"/>
      <c r="H1008" s="27"/>
      <c r="I1008" s="27"/>
    </row>
    <row r="1009" spans="1:9">
      <c r="A1009" s="22"/>
      <c r="B1009" s="22"/>
      <c r="D1009" s="27"/>
      <c r="E1009" s="27"/>
      <c r="F1009" s="27"/>
      <c r="G1009" s="27"/>
      <c r="H1009" s="27"/>
      <c r="I1009" s="27"/>
    </row>
    <row r="1010" spans="1:9">
      <c r="A1010" s="22"/>
      <c r="B1010" s="22"/>
      <c r="D1010" s="27"/>
      <c r="E1010" s="27"/>
      <c r="F1010" s="27"/>
      <c r="G1010" s="27"/>
      <c r="H1010" s="27"/>
      <c r="I1010" s="27"/>
    </row>
    <row r="1011" spans="1:9">
      <c r="A1011" s="22"/>
      <c r="B1011" s="22"/>
      <c r="D1011" s="27"/>
      <c r="E1011" s="27"/>
      <c r="F1011" s="27"/>
      <c r="G1011" s="27"/>
      <c r="H1011" s="27"/>
      <c r="I1011" s="27"/>
    </row>
    <row r="1012" spans="1:9">
      <c r="A1012" s="22"/>
      <c r="B1012" s="22"/>
      <c r="D1012" s="27"/>
      <c r="E1012" s="27"/>
      <c r="F1012" s="27"/>
      <c r="G1012" s="27"/>
      <c r="H1012" s="27"/>
      <c r="I1012" s="27"/>
    </row>
    <row r="1013" spans="1:9">
      <c r="A1013" s="22"/>
      <c r="B1013" s="22"/>
      <c r="D1013" s="27"/>
      <c r="E1013" s="27"/>
      <c r="F1013" s="27"/>
      <c r="G1013" s="27"/>
      <c r="H1013" s="27"/>
      <c r="I1013" s="27"/>
    </row>
    <row r="1014" spans="1:9">
      <c r="A1014" s="22"/>
      <c r="B1014" s="22"/>
      <c r="D1014" s="27"/>
      <c r="E1014" s="27"/>
      <c r="F1014" s="27"/>
      <c r="G1014" s="27"/>
      <c r="H1014" s="27"/>
      <c r="I1014" s="27"/>
    </row>
    <row r="1015" spans="1:9">
      <c r="A1015" s="22"/>
      <c r="B1015" s="22"/>
      <c r="D1015" s="27"/>
      <c r="E1015" s="27"/>
      <c r="F1015" s="27"/>
      <c r="G1015" s="27"/>
      <c r="H1015" s="27"/>
      <c r="I1015" s="27"/>
    </row>
    <row r="1016" spans="1:9">
      <c r="A1016" s="22"/>
      <c r="B1016" s="22"/>
      <c r="D1016" s="27"/>
      <c r="E1016" s="27"/>
      <c r="F1016" s="27"/>
      <c r="G1016" s="27"/>
      <c r="H1016" s="27"/>
      <c r="I1016" s="27"/>
    </row>
    <row r="1017" spans="1:9">
      <c r="A1017" s="22"/>
      <c r="B1017" s="22"/>
      <c r="D1017" s="27"/>
      <c r="E1017" s="27"/>
      <c r="F1017" s="27"/>
      <c r="G1017" s="27"/>
      <c r="H1017" s="27"/>
      <c r="I1017" s="27"/>
    </row>
    <row r="1018" spans="1:9">
      <c r="A1018" s="22"/>
      <c r="B1018" s="22"/>
      <c r="D1018" s="27"/>
      <c r="E1018" s="27"/>
      <c r="F1018" s="27"/>
      <c r="G1018" s="27"/>
      <c r="H1018" s="27"/>
      <c r="I1018" s="27"/>
    </row>
    <row r="1019" spans="1:9">
      <c r="A1019" s="22"/>
      <c r="B1019" s="22"/>
      <c r="D1019" s="27"/>
      <c r="E1019" s="27"/>
      <c r="F1019" s="27"/>
      <c r="G1019" s="27"/>
      <c r="H1019" s="27"/>
      <c r="I1019" s="27"/>
    </row>
    <row r="1020" spans="1:9">
      <c r="A1020" s="22"/>
      <c r="B1020" s="22"/>
      <c r="D1020" s="27"/>
      <c r="E1020" s="27"/>
      <c r="F1020" s="27"/>
      <c r="G1020" s="27"/>
      <c r="H1020" s="27"/>
      <c r="I1020" s="27"/>
    </row>
    <row r="1021" spans="1:9">
      <c r="A1021" s="22"/>
      <c r="B1021" s="22"/>
      <c r="D1021" s="27"/>
      <c r="E1021" s="27"/>
      <c r="F1021" s="27"/>
      <c r="G1021" s="27"/>
      <c r="H1021" s="27"/>
      <c r="I1021" s="27"/>
    </row>
    <row r="1022" spans="1:9">
      <c r="A1022" s="22"/>
      <c r="B1022" s="22"/>
      <c r="D1022" s="27"/>
      <c r="E1022" s="27"/>
      <c r="F1022" s="27"/>
      <c r="G1022" s="27"/>
      <c r="H1022" s="27"/>
      <c r="I1022" s="27"/>
    </row>
    <row r="1023" spans="1:9">
      <c r="A1023" s="22"/>
      <c r="B1023" s="22"/>
      <c r="D1023" s="27"/>
      <c r="E1023" s="27"/>
      <c r="F1023" s="27"/>
      <c r="G1023" s="27"/>
      <c r="H1023" s="27"/>
      <c r="I1023" s="27"/>
    </row>
    <row r="1024" spans="1:9">
      <c r="A1024" s="22"/>
      <c r="B1024" s="22"/>
      <c r="D1024" s="27"/>
      <c r="E1024" s="27"/>
      <c r="F1024" s="27"/>
      <c r="G1024" s="27"/>
      <c r="H1024" s="27"/>
      <c r="I1024" s="27"/>
    </row>
    <row r="1025" spans="1:9">
      <c r="A1025" s="22"/>
      <c r="B1025" s="22"/>
      <c r="D1025" s="27"/>
      <c r="E1025" s="27"/>
      <c r="F1025" s="27"/>
      <c r="G1025" s="27"/>
      <c r="H1025" s="27"/>
      <c r="I1025" s="27"/>
    </row>
    <row r="1026" spans="1:9">
      <c r="A1026" s="22"/>
      <c r="B1026" s="22"/>
      <c r="D1026" s="27"/>
      <c r="E1026" s="27"/>
      <c r="F1026" s="27"/>
      <c r="G1026" s="27"/>
      <c r="H1026" s="27"/>
      <c r="I1026" s="27"/>
    </row>
    <row r="1027" spans="1:9">
      <c r="A1027" s="22"/>
      <c r="B1027" s="22"/>
      <c r="D1027" s="27"/>
      <c r="E1027" s="27"/>
      <c r="F1027" s="27"/>
      <c r="G1027" s="27"/>
      <c r="H1027" s="27"/>
      <c r="I1027" s="27"/>
    </row>
    <row r="1028" spans="1:9">
      <c r="A1028" s="22"/>
      <c r="B1028" s="22"/>
      <c r="D1028" s="27"/>
      <c r="E1028" s="27"/>
      <c r="F1028" s="27"/>
      <c r="G1028" s="27"/>
      <c r="H1028" s="27"/>
      <c r="I1028" s="27"/>
    </row>
    <row r="1029" spans="1:9">
      <c r="A1029" s="22"/>
      <c r="B1029" s="22"/>
      <c r="D1029" s="27"/>
      <c r="E1029" s="27"/>
      <c r="F1029" s="27"/>
      <c r="G1029" s="27"/>
      <c r="H1029" s="27"/>
      <c r="I1029" s="27"/>
    </row>
    <row r="1030" spans="1:9">
      <c r="A1030" s="22"/>
      <c r="B1030" s="22"/>
      <c r="D1030" s="27"/>
      <c r="E1030" s="27"/>
      <c r="F1030" s="27"/>
      <c r="G1030" s="27"/>
      <c r="H1030" s="27"/>
      <c r="I1030" s="27"/>
    </row>
    <row r="1031" spans="1:9">
      <c r="A1031" s="22"/>
      <c r="B1031" s="22"/>
      <c r="D1031" s="27"/>
      <c r="E1031" s="27"/>
      <c r="F1031" s="27"/>
      <c r="G1031" s="27"/>
      <c r="H1031" s="27"/>
      <c r="I1031" s="27"/>
    </row>
    <row r="1032" spans="1:9">
      <c r="A1032" s="22"/>
      <c r="B1032" s="22"/>
      <c r="D1032" s="27"/>
      <c r="E1032" s="27"/>
      <c r="F1032" s="27"/>
      <c r="G1032" s="27"/>
      <c r="H1032" s="27"/>
      <c r="I1032" s="27"/>
    </row>
    <row r="1033" spans="1:9">
      <c r="A1033" s="22"/>
      <c r="B1033" s="22"/>
      <c r="D1033" s="27"/>
      <c r="E1033" s="27"/>
      <c r="F1033" s="27"/>
      <c r="G1033" s="27"/>
      <c r="H1033" s="27"/>
      <c r="I1033" s="27"/>
    </row>
    <row r="1034" spans="1:9">
      <c r="A1034" s="22"/>
      <c r="B1034" s="22"/>
      <c r="D1034" s="27"/>
      <c r="E1034" s="27"/>
      <c r="F1034" s="27"/>
      <c r="G1034" s="27"/>
      <c r="H1034" s="27"/>
      <c r="I1034" s="27"/>
    </row>
    <row r="1035" spans="1:9">
      <c r="A1035" s="22"/>
      <c r="B1035" s="22"/>
      <c r="D1035" s="27"/>
      <c r="E1035" s="27"/>
      <c r="F1035" s="27"/>
      <c r="G1035" s="27"/>
      <c r="H1035" s="27"/>
      <c r="I1035" s="27"/>
    </row>
    <row r="1036" spans="1:9">
      <c r="A1036" s="22"/>
      <c r="B1036" s="22"/>
      <c r="D1036" s="27"/>
      <c r="E1036" s="27"/>
      <c r="F1036" s="27"/>
      <c r="G1036" s="27"/>
      <c r="H1036" s="27"/>
      <c r="I1036" s="27"/>
    </row>
    <row r="1037" spans="1:9">
      <c r="A1037" s="22"/>
      <c r="B1037" s="22"/>
      <c r="D1037" s="27"/>
      <c r="E1037" s="27"/>
      <c r="F1037" s="27"/>
      <c r="G1037" s="27"/>
      <c r="H1037" s="27"/>
      <c r="I1037" s="27"/>
    </row>
    <row r="1038" spans="1:9">
      <c r="A1038" s="22"/>
      <c r="B1038" s="22"/>
      <c r="D1038" s="27"/>
      <c r="E1038" s="27"/>
      <c r="F1038" s="27"/>
      <c r="G1038" s="27"/>
      <c r="H1038" s="27"/>
      <c r="I1038" s="27"/>
    </row>
    <row r="1039" spans="1:9">
      <c r="A1039" s="22"/>
      <c r="B1039" s="22"/>
      <c r="D1039" s="27"/>
      <c r="E1039" s="27"/>
      <c r="F1039" s="27"/>
      <c r="G1039" s="27"/>
      <c r="H1039" s="27"/>
      <c r="I1039" s="27"/>
    </row>
    <row r="1040" spans="1:9">
      <c r="A1040" s="22"/>
      <c r="B1040" s="22"/>
      <c r="D1040" s="27"/>
      <c r="E1040" s="27"/>
      <c r="F1040" s="27"/>
      <c r="G1040" s="27"/>
      <c r="H1040" s="27"/>
      <c r="I1040" s="27"/>
    </row>
    <row r="1041" spans="1:9">
      <c r="A1041" s="22"/>
      <c r="B1041" s="22"/>
      <c r="D1041" s="27"/>
      <c r="E1041" s="27"/>
      <c r="F1041" s="27"/>
      <c r="G1041" s="27"/>
      <c r="H1041" s="27"/>
      <c r="I1041" s="27"/>
    </row>
    <row r="1042" spans="1:9">
      <c r="A1042" s="22"/>
      <c r="B1042" s="22"/>
      <c r="D1042" s="27"/>
      <c r="E1042" s="27"/>
      <c r="F1042" s="27"/>
      <c r="G1042" s="27"/>
      <c r="H1042" s="27"/>
      <c r="I1042" s="27"/>
    </row>
    <row r="1043" spans="1:9">
      <c r="A1043" s="22"/>
      <c r="B1043" s="22"/>
      <c r="D1043" s="27"/>
      <c r="E1043" s="27"/>
      <c r="F1043" s="27"/>
      <c r="G1043" s="27"/>
      <c r="H1043" s="27"/>
      <c r="I1043" s="27"/>
    </row>
    <row r="1044" spans="1:9">
      <c r="A1044" s="22"/>
      <c r="B1044" s="22"/>
      <c r="D1044" s="27"/>
      <c r="E1044" s="27"/>
      <c r="F1044" s="27"/>
      <c r="G1044" s="27"/>
      <c r="H1044" s="27"/>
      <c r="I1044" s="27"/>
    </row>
    <row r="1045" spans="1:9">
      <c r="A1045" s="22"/>
      <c r="B1045" s="22"/>
      <c r="D1045" s="27"/>
      <c r="E1045" s="27"/>
      <c r="F1045" s="27"/>
      <c r="G1045" s="27"/>
      <c r="H1045" s="27"/>
      <c r="I1045" s="27"/>
    </row>
    <row r="1046" spans="1:9">
      <c r="A1046" s="22"/>
      <c r="B1046" s="22"/>
      <c r="D1046" s="27"/>
      <c r="E1046" s="27"/>
      <c r="F1046" s="27"/>
      <c r="G1046" s="27"/>
      <c r="H1046" s="27"/>
      <c r="I1046" s="27"/>
    </row>
    <row r="1047" spans="1:9">
      <c r="A1047" s="22"/>
      <c r="B1047" s="22"/>
      <c r="D1047" s="27"/>
      <c r="E1047" s="27"/>
      <c r="F1047" s="27"/>
      <c r="G1047" s="27"/>
      <c r="H1047" s="27"/>
      <c r="I1047" s="27"/>
    </row>
    <row r="1048" spans="1:9">
      <c r="A1048" s="22"/>
      <c r="B1048" s="22"/>
      <c r="D1048" s="27"/>
      <c r="E1048" s="27"/>
      <c r="F1048" s="27"/>
      <c r="G1048" s="27"/>
      <c r="H1048" s="27"/>
      <c r="I1048" s="27"/>
    </row>
    <row r="1049" spans="1:9">
      <c r="A1049" s="22"/>
      <c r="B1049" s="22"/>
      <c r="D1049" s="27"/>
      <c r="E1049" s="27"/>
      <c r="F1049" s="27"/>
      <c r="G1049" s="27"/>
      <c r="H1049" s="27"/>
      <c r="I1049" s="27"/>
    </row>
    <row r="1050" spans="1:9">
      <c r="A1050" s="22"/>
      <c r="B1050" s="22"/>
      <c r="D1050" s="27"/>
      <c r="E1050" s="27"/>
      <c r="F1050" s="27"/>
      <c r="G1050" s="27"/>
      <c r="H1050" s="27"/>
      <c r="I1050" s="27"/>
    </row>
    <row r="1051" spans="1:9">
      <c r="A1051" s="22"/>
      <c r="B1051" s="22"/>
      <c r="D1051" s="27"/>
      <c r="E1051" s="27"/>
      <c r="F1051" s="27"/>
      <c r="G1051" s="27"/>
      <c r="H1051" s="27"/>
      <c r="I1051" s="27"/>
    </row>
    <row r="1052" spans="1:9">
      <c r="A1052" s="22"/>
      <c r="B1052" s="22"/>
      <c r="D1052" s="27"/>
      <c r="E1052" s="27"/>
      <c r="F1052" s="27"/>
      <c r="G1052" s="27"/>
      <c r="H1052" s="27"/>
      <c r="I1052" s="27"/>
    </row>
    <row r="1053" spans="1:9">
      <c r="A1053" s="22"/>
      <c r="B1053" s="22"/>
      <c r="D1053" s="27"/>
      <c r="E1053" s="27"/>
      <c r="F1053" s="27"/>
      <c r="G1053" s="27"/>
      <c r="H1053" s="27"/>
      <c r="I1053" s="27"/>
    </row>
    <row r="1054" spans="1:9">
      <c r="A1054" s="22"/>
      <c r="B1054" s="22"/>
      <c r="D1054" s="27"/>
      <c r="E1054" s="27"/>
      <c r="F1054" s="27"/>
      <c r="G1054" s="27"/>
      <c r="H1054" s="27"/>
      <c r="I1054" s="27"/>
    </row>
    <row r="1055" spans="1:9">
      <c r="A1055" s="22"/>
      <c r="B1055" s="22"/>
      <c r="D1055" s="27"/>
      <c r="E1055" s="27"/>
      <c r="F1055" s="27"/>
      <c r="G1055" s="27"/>
      <c r="H1055" s="27"/>
      <c r="I1055" s="27"/>
    </row>
    <row r="1056" spans="1:9">
      <c r="A1056" s="22"/>
      <c r="B1056" s="22"/>
      <c r="D1056" s="27"/>
      <c r="E1056" s="27"/>
      <c r="F1056" s="27"/>
      <c r="G1056" s="27"/>
      <c r="H1056" s="27"/>
      <c r="I1056" s="27"/>
    </row>
    <row r="1057" spans="1:9">
      <c r="A1057" s="22"/>
      <c r="B1057" s="22"/>
      <c r="D1057" s="27"/>
      <c r="E1057" s="27"/>
      <c r="F1057" s="27"/>
      <c r="G1057" s="27"/>
      <c r="H1057" s="27"/>
      <c r="I1057" s="27"/>
    </row>
    <row r="1058" spans="1:9">
      <c r="A1058" s="22"/>
      <c r="B1058" s="22"/>
      <c r="D1058" s="27"/>
      <c r="E1058" s="27"/>
      <c r="F1058" s="27"/>
      <c r="G1058" s="27"/>
      <c r="H1058" s="27"/>
      <c r="I1058" s="27"/>
    </row>
    <row r="1059" spans="1:9">
      <c r="A1059" s="22"/>
      <c r="B1059" s="22"/>
      <c r="D1059" s="27"/>
      <c r="E1059" s="27"/>
      <c r="F1059" s="27"/>
      <c r="G1059" s="27"/>
      <c r="H1059" s="27"/>
      <c r="I1059" s="27"/>
    </row>
    <row r="1060" spans="1:9">
      <c r="A1060" s="22"/>
      <c r="B1060" s="22"/>
      <c r="D1060" s="27"/>
      <c r="E1060" s="27"/>
      <c r="F1060" s="27"/>
      <c r="G1060" s="27"/>
      <c r="H1060" s="27"/>
      <c r="I1060" s="27"/>
    </row>
    <row r="1061" spans="1:9">
      <c r="A1061" s="22"/>
      <c r="B1061" s="22"/>
      <c r="D1061" s="27"/>
      <c r="E1061" s="27"/>
      <c r="F1061" s="27"/>
      <c r="G1061" s="27"/>
      <c r="H1061" s="27"/>
      <c r="I1061" s="27"/>
    </row>
    <row r="1062" spans="1:9">
      <c r="A1062" s="22"/>
      <c r="B1062" s="22"/>
      <c r="D1062" s="27"/>
      <c r="E1062" s="27"/>
      <c r="F1062" s="27"/>
      <c r="G1062" s="27"/>
      <c r="H1062" s="27"/>
      <c r="I1062" s="27"/>
    </row>
    <row r="1063" spans="1:9">
      <c r="A1063" s="22"/>
      <c r="B1063" s="22"/>
      <c r="D1063" s="27"/>
      <c r="E1063" s="27"/>
      <c r="F1063" s="27"/>
      <c r="G1063" s="27"/>
      <c r="H1063" s="27"/>
      <c r="I1063" s="27"/>
    </row>
    <row r="1064" spans="1:9">
      <c r="A1064" s="22"/>
      <c r="B1064" s="22"/>
      <c r="D1064" s="27"/>
      <c r="E1064" s="27"/>
      <c r="F1064" s="27"/>
      <c r="G1064" s="27"/>
      <c r="H1064" s="27"/>
      <c r="I1064" s="27"/>
    </row>
    <row r="1065" spans="1:9">
      <c r="A1065" s="22"/>
      <c r="B1065" s="22"/>
      <c r="D1065" s="27"/>
      <c r="E1065" s="27"/>
      <c r="F1065" s="27"/>
      <c r="G1065" s="27"/>
      <c r="H1065" s="27"/>
      <c r="I1065" s="27"/>
    </row>
    <row r="1066" spans="1:9">
      <c r="A1066" s="22"/>
      <c r="B1066" s="22"/>
      <c r="D1066" s="27"/>
      <c r="E1066" s="27"/>
      <c r="F1066" s="27"/>
      <c r="G1066" s="27"/>
      <c r="H1066" s="27"/>
      <c r="I1066" s="27"/>
    </row>
    <row r="1067" spans="1:9">
      <c r="A1067" s="22"/>
      <c r="B1067" s="22"/>
      <c r="D1067" s="27"/>
      <c r="E1067" s="27"/>
      <c r="F1067" s="27"/>
      <c r="G1067" s="27"/>
      <c r="H1067" s="27"/>
      <c r="I1067" s="27"/>
    </row>
    <row r="1068" spans="1:9">
      <c r="A1068" s="22"/>
      <c r="B1068" s="22"/>
      <c r="D1068" s="27"/>
      <c r="E1068" s="27"/>
      <c r="F1068" s="27"/>
      <c r="G1068" s="27"/>
      <c r="H1068" s="27"/>
      <c r="I1068" s="27"/>
    </row>
    <row r="1069" spans="1:9">
      <c r="A1069" s="22"/>
      <c r="B1069" s="22"/>
      <c r="D1069" s="27"/>
      <c r="E1069" s="27"/>
      <c r="F1069" s="27"/>
      <c r="G1069" s="27"/>
      <c r="H1069" s="27"/>
      <c r="I1069" s="27"/>
    </row>
    <row r="1070" spans="1:9">
      <c r="A1070" s="22"/>
      <c r="B1070" s="22"/>
      <c r="D1070" s="27"/>
      <c r="E1070" s="27"/>
      <c r="F1070" s="27"/>
      <c r="G1070" s="27"/>
      <c r="H1070" s="27"/>
      <c r="I1070" s="27"/>
    </row>
    <row r="1071" spans="1:9">
      <c r="A1071" s="22"/>
      <c r="B1071" s="22"/>
      <c r="D1071" s="27"/>
      <c r="E1071" s="27"/>
      <c r="F1071" s="27"/>
      <c r="G1071" s="27"/>
      <c r="H1071" s="27"/>
      <c r="I1071" s="27"/>
    </row>
    <row r="1072" spans="1:9">
      <c r="A1072" s="22"/>
      <c r="B1072" s="22"/>
      <c r="D1072" s="27"/>
      <c r="E1072" s="27"/>
      <c r="F1072" s="27"/>
      <c r="G1072" s="27"/>
      <c r="H1072" s="27"/>
      <c r="I1072" s="27"/>
    </row>
    <row r="1073" spans="1:9">
      <c r="A1073" s="22"/>
      <c r="B1073" s="22"/>
      <c r="D1073" s="27"/>
      <c r="E1073" s="27"/>
      <c r="F1073" s="27"/>
      <c r="G1073" s="27"/>
      <c r="H1073" s="27"/>
      <c r="I1073" s="27"/>
    </row>
    <row r="1074" spans="1:9">
      <c r="A1074" s="22"/>
      <c r="B1074" s="22"/>
      <c r="D1074" s="27"/>
      <c r="E1074" s="27"/>
      <c r="F1074" s="27"/>
      <c r="G1074" s="27"/>
      <c r="H1074" s="27"/>
      <c r="I1074" s="27"/>
    </row>
    <row r="1075" spans="1:9">
      <c r="A1075" s="22"/>
      <c r="B1075" s="22"/>
      <c r="D1075" s="27"/>
      <c r="E1075" s="27"/>
      <c r="F1075" s="27"/>
      <c r="G1075" s="27"/>
      <c r="H1075" s="27"/>
      <c r="I1075" s="27"/>
    </row>
    <row r="1076" spans="1:9">
      <c r="A1076" s="22"/>
      <c r="B1076" s="22"/>
      <c r="D1076" s="27"/>
      <c r="E1076" s="27"/>
      <c r="F1076" s="27"/>
      <c r="G1076" s="27"/>
      <c r="H1076" s="27"/>
      <c r="I1076" s="27"/>
    </row>
    <row r="1077" spans="1:9">
      <c r="A1077" s="22"/>
      <c r="B1077" s="22"/>
      <c r="D1077" s="27"/>
      <c r="E1077" s="27"/>
      <c r="F1077" s="27"/>
      <c r="G1077" s="27"/>
      <c r="H1077" s="27"/>
      <c r="I1077" s="27"/>
    </row>
    <row r="1078" spans="1:9">
      <c r="A1078" s="22"/>
      <c r="B1078" s="22"/>
      <c r="D1078" s="27"/>
      <c r="E1078" s="27"/>
      <c r="F1078" s="27"/>
      <c r="G1078" s="27"/>
      <c r="H1078" s="27"/>
      <c r="I1078" s="27"/>
    </row>
    <row r="1079" spans="1:9">
      <c r="A1079" s="22"/>
      <c r="B1079" s="22"/>
      <c r="D1079" s="27"/>
      <c r="E1079" s="27"/>
      <c r="F1079" s="27"/>
      <c r="G1079" s="27"/>
      <c r="H1079" s="27"/>
      <c r="I1079" s="27"/>
    </row>
    <row r="1080" spans="1:9">
      <c r="A1080" s="22"/>
      <c r="B1080" s="22"/>
      <c r="D1080" s="27"/>
      <c r="E1080" s="27"/>
      <c r="F1080" s="27"/>
      <c r="G1080" s="27"/>
      <c r="H1080" s="27"/>
      <c r="I1080" s="27"/>
    </row>
    <row r="1081" spans="1:9">
      <c r="A1081" s="22"/>
      <c r="B1081" s="22"/>
      <c r="D1081" s="27"/>
      <c r="E1081" s="27"/>
      <c r="F1081" s="27"/>
      <c r="G1081" s="27"/>
      <c r="H1081" s="27"/>
      <c r="I1081" s="27"/>
    </row>
    <row r="1082" spans="1:9">
      <c r="A1082" s="22"/>
      <c r="B1082" s="22"/>
      <c r="D1082" s="27"/>
      <c r="E1082" s="27"/>
      <c r="F1082" s="27"/>
      <c r="G1082" s="27"/>
      <c r="H1082" s="27"/>
      <c r="I1082" s="27"/>
    </row>
    <row r="1083" spans="1:9">
      <c r="A1083" s="22"/>
      <c r="B1083" s="22"/>
      <c r="D1083" s="27"/>
      <c r="E1083" s="27"/>
      <c r="F1083" s="27"/>
      <c r="G1083" s="27"/>
      <c r="H1083" s="27"/>
      <c r="I1083" s="27"/>
    </row>
    <row r="1084" spans="1:9">
      <c r="A1084" s="22"/>
      <c r="B1084" s="22"/>
      <c r="D1084" s="27"/>
      <c r="E1084" s="27"/>
      <c r="F1084" s="27"/>
      <c r="G1084" s="27"/>
      <c r="H1084" s="27"/>
      <c r="I1084" s="27"/>
    </row>
    <row r="1085" spans="1:9">
      <c r="A1085" s="22"/>
      <c r="B1085" s="22"/>
      <c r="D1085" s="27"/>
      <c r="E1085" s="27"/>
      <c r="F1085" s="27"/>
      <c r="G1085" s="27"/>
      <c r="H1085" s="27"/>
      <c r="I1085" s="27"/>
    </row>
    <row r="1086" spans="1:9">
      <c r="A1086" s="22"/>
      <c r="B1086" s="22"/>
      <c r="D1086" s="27"/>
      <c r="E1086" s="27"/>
      <c r="F1086" s="27"/>
      <c r="G1086" s="27"/>
      <c r="H1086" s="27"/>
      <c r="I1086" s="27"/>
    </row>
    <row r="1087" spans="1:9">
      <c r="A1087" s="22"/>
      <c r="B1087" s="22"/>
      <c r="D1087" s="27"/>
      <c r="E1087" s="27"/>
      <c r="F1087" s="27"/>
      <c r="G1087" s="27"/>
      <c r="H1087" s="27"/>
      <c r="I1087" s="27"/>
    </row>
    <row r="1088" spans="1:9">
      <c r="A1088" s="22"/>
      <c r="B1088" s="22"/>
      <c r="D1088" s="27"/>
      <c r="E1088" s="27"/>
      <c r="F1088" s="27"/>
      <c r="G1088" s="27"/>
      <c r="H1088" s="27"/>
      <c r="I1088" s="27"/>
    </row>
    <row r="1089" spans="1:9">
      <c r="A1089" s="22"/>
      <c r="B1089" s="22"/>
      <c r="D1089" s="27"/>
      <c r="E1089" s="27"/>
      <c r="F1089" s="27"/>
      <c r="G1089" s="27"/>
      <c r="H1089" s="27"/>
      <c r="I1089" s="27"/>
    </row>
    <row r="1090" spans="1:9">
      <c r="A1090" s="22"/>
      <c r="B1090" s="22"/>
      <c r="D1090" s="27"/>
      <c r="E1090" s="27"/>
      <c r="F1090" s="27"/>
      <c r="G1090" s="27"/>
      <c r="H1090" s="27"/>
      <c r="I1090" s="27"/>
    </row>
    <row r="1091" spans="1:9">
      <c r="A1091" s="22"/>
      <c r="B1091" s="22"/>
      <c r="D1091" s="27"/>
      <c r="E1091" s="27"/>
      <c r="F1091" s="27"/>
      <c r="G1091" s="27"/>
      <c r="H1091" s="27"/>
      <c r="I1091" s="27"/>
    </row>
    <row r="1092" spans="1:9">
      <c r="A1092" s="22"/>
      <c r="B1092" s="22"/>
      <c r="D1092" s="27"/>
      <c r="E1092" s="27"/>
      <c r="F1092" s="27"/>
      <c r="G1092" s="27"/>
      <c r="H1092" s="27"/>
      <c r="I1092" s="27"/>
    </row>
    <row r="1093" spans="1:9">
      <c r="A1093" s="22"/>
      <c r="B1093" s="22"/>
      <c r="D1093" s="27"/>
      <c r="E1093" s="27"/>
      <c r="F1093" s="27"/>
      <c r="G1093" s="27"/>
      <c r="H1093" s="27"/>
      <c r="I1093" s="27"/>
    </row>
    <row r="1094" spans="1:9">
      <c r="A1094" s="22"/>
      <c r="B1094" s="22"/>
      <c r="D1094" s="27"/>
      <c r="E1094" s="27"/>
      <c r="F1094" s="27"/>
      <c r="G1094" s="27"/>
      <c r="H1094" s="27"/>
      <c r="I1094" s="27"/>
    </row>
    <row r="1095" spans="1:9">
      <c r="A1095" s="22"/>
      <c r="B1095" s="22"/>
      <c r="D1095" s="27"/>
      <c r="E1095" s="27"/>
      <c r="F1095" s="27"/>
      <c r="G1095" s="27"/>
      <c r="H1095" s="27"/>
      <c r="I1095" s="27"/>
    </row>
    <row r="1096" spans="1:9">
      <c r="A1096" s="22"/>
      <c r="B1096" s="22"/>
      <c r="D1096" s="27"/>
      <c r="E1096" s="27"/>
      <c r="F1096" s="27"/>
      <c r="G1096" s="27"/>
      <c r="H1096" s="27"/>
      <c r="I1096" s="27"/>
    </row>
    <row r="1097" spans="1:9">
      <c r="A1097" s="22"/>
      <c r="B1097" s="22"/>
      <c r="D1097" s="27"/>
      <c r="E1097" s="27"/>
      <c r="F1097" s="27"/>
      <c r="G1097" s="27"/>
      <c r="H1097" s="27"/>
      <c r="I1097" s="27"/>
    </row>
    <row r="1098" spans="1:9">
      <c r="A1098" s="22"/>
      <c r="B1098" s="22"/>
      <c r="D1098" s="27"/>
      <c r="E1098" s="27"/>
      <c r="F1098" s="27"/>
      <c r="G1098" s="27"/>
      <c r="H1098" s="27"/>
      <c r="I1098" s="27"/>
    </row>
    <row r="1099" spans="1:9">
      <c r="A1099" s="22"/>
      <c r="B1099" s="22"/>
      <c r="D1099" s="27"/>
      <c r="E1099" s="27"/>
      <c r="F1099" s="27"/>
      <c r="G1099" s="27"/>
      <c r="H1099" s="27"/>
      <c r="I1099" s="27"/>
    </row>
    <row r="1100" spans="1:9">
      <c r="A1100" s="22"/>
      <c r="B1100" s="22"/>
      <c r="D1100" s="27"/>
      <c r="E1100" s="27"/>
      <c r="F1100" s="27"/>
      <c r="G1100" s="27"/>
      <c r="H1100" s="27"/>
      <c r="I1100" s="27"/>
    </row>
    <row r="1101" spans="1:9">
      <c r="A1101" s="22"/>
      <c r="B1101" s="22"/>
      <c r="D1101" s="27"/>
      <c r="E1101" s="27"/>
      <c r="F1101" s="27"/>
      <c r="G1101" s="27"/>
      <c r="H1101" s="27"/>
      <c r="I1101" s="27"/>
    </row>
    <row r="1102" spans="1:9">
      <c r="A1102" s="22"/>
      <c r="B1102" s="22"/>
      <c r="D1102" s="27"/>
      <c r="E1102" s="27"/>
      <c r="F1102" s="27"/>
      <c r="G1102" s="27"/>
      <c r="H1102" s="27"/>
      <c r="I1102" s="27"/>
    </row>
    <row r="1103" spans="1:9">
      <c r="A1103" s="22"/>
      <c r="B1103" s="22"/>
      <c r="D1103" s="27"/>
      <c r="E1103" s="27"/>
      <c r="F1103" s="27"/>
      <c r="G1103" s="27"/>
      <c r="H1103" s="27"/>
      <c r="I1103" s="27"/>
    </row>
    <row r="1104" spans="1:9">
      <c r="A1104" s="22"/>
      <c r="B1104" s="22"/>
      <c r="D1104" s="27"/>
      <c r="E1104" s="27"/>
      <c r="F1104" s="27"/>
      <c r="G1104" s="27"/>
      <c r="H1104" s="27"/>
      <c r="I1104" s="27"/>
    </row>
    <row r="1105" spans="1:9">
      <c r="A1105" s="22"/>
      <c r="B1105" s="22"/>
      <c r="D1105" s="27"/>
      <c r="E1105" s="27"/>
      <c r="F1105" s="27"/>
      <c r="G1105" s="27"/>
      <c r="H1105" s="27"/>
      <c r="I1105" s="27"/>
    </row>
    <row r="1106" spans="1:9">
      <c r="A1106" s="22"/>
      <c r="B1106" s="22"/>
      <c r="D1106" s="27"/>
      <c r="E1106" s="27"/>
      <c r="F1106" s="27"/>
      <c r="G1106" s="27"/>
      <c r="H1106" s="27"/>
      <c r="I1106" s="27"/>
    </row>
    <row r="1107" spans="1:9">
      <c r="A1107" s="22"/>
      <c r="B1107" s="22"/>
      <c r="D1107" s="27"/>
      <c r="E1107" s="27"/>
      <c r="F1107" s="27"/>
      <c r="G1107" s="27"/>
      <c r="H1107" s="27"/>
      <c r="I1107" s="27"/>
    </row>
    <row r="1108" spans="1:9">
      <c r="A1108" s="22"/>
      <c r="B1108" s="22"/>
      <c r="D1108" s="27"/>
      <c r="E1108" s="27"/>
      <c r="F1108" s="27"/>
      <c r="G1108" s="27"/>
      <c r="H1108" s="27"/>
      <c r="I1108" s="27"/>
    </row>
    <row r="1109" spans="1:9">
      <c r="A1109" s="22"/>
      <c r="B1109" s="22"/>
      <c r="D1109" s="27"/>
      <c r="E1109" s="27"/>
      <c r="F1109" s="27"/>
      <c r="G1109" s="27"/>
      <c r="H1109" s="27"/>
      <c r="I1109" s="27"/>
    </row>
    <row r="1110" spans="1:9">
      <c r="A1110" s="22"/>
      <c r="B1110" s="22"/>
      <c r="D1110" s="27"/>
      <c r="E1110" s="27"/>
      <c r="F1110" s="27"/>
      <c r="G1110" s="27"/>
      <c r="H1110" s="27"/>
      <c r="I1110" s="27"/>
    </row>
    <row r="1111" spans="1:9">
      <c r="A1111" s="22"/>
      <c r="B1111" s="22"/>
      <c r="D1111" s="27"/>
      <c r="E1111" s="27"/>
      <c r="F1111" s="27"/>
      <c r="G1111" s="27"/>
      <c r="H1111" s="27"/>
      <c r="I1111" s="27"/>
    </row>
    <row r="1112" spans="1:9">
      <c r="A1112" s="22"/>
      <c r="B1112" s="22"/>
      <c r="D1112" s="27"/>
      <c r="E1112" s="27"/>
      <c r="F1112" s="27"/>
      <c r="G1112" s="27"/>
      <c r="H1112" s="27"/>
      <c r="I1112" s="27"/>
    </row>
    <row r="1113" spans="1:9">
      <c r="A1113" s="22"/>
      <c r="B1113" s="22"/>
      <c r="D1113" s="27"/>
      <c r="E1113" s="27"/>
      <c r="F1113" s="27"/>
      <c r="G1113" s="27"/>
      <c r="H1113" s="27"/>
      <c r="I1113" s="27"/>
    </row>
    <row r="1114" spans="1:9">
      <c r="A1114" s="22"/>
      <c r="B1114" s="22"/>
      <c r="D1114" s="27"/>
      <c r="E1114" s="27"/>
      <c r="F1114" s="27"/>
      <c r="G1114" s="27"/>
      <c r="H1114" s="27"/>
      <c r="I1114" s="27"/>
    </row>
    <row r="1115" spans="1:9">
      <c r="A1115" s="22"/>
      <c r="B1115" s="22"/>
      <c r="D1115" s="27"/>
      <c r="E1115" s="27"/>
      <c r="F1115" s="27"/>
      <c r="G1115" s="27"/>
      <c r="H1115" s="27"/>
      <c r="I1115" s="27"/>
    </row>
    <row r="1116" spans="1:9">
      <c r="A1116" s="22"/>
      <c r="B1116" s="22"/>
      <c r="D1116" s="27"/>
      <c r="E1116" s="27"/>
      <c r="F1116" s="27"/>
      <c r="G1116" s="27"/>
      <c r="H1116" s="27"/>
      <c r="I1116" s="27"/>
    </row>
    <row r="1117" spans="1:9">
      <c r="A1117" s="22"/>
      <c r="B1117" s="22"/>
      <c r="D1117" s="27"/>
      <c r="E1117" s="27"/>
      <c r="F1117" s="27"/>
      <c r="G1117" s="27"/>
      <c r="H1117" s="27"/>
      <c r="I1117" s="27"/>
    </row>
    <row r="1118" spans="1:9">
      <c r="A1118" s="22"/>
      <c r="B1118" s="22"/>
      <c r="D1118" s="27"/>
      <c r="E1118" s="27"/>
      <c r="F1118" s="27"/>
      <c r="G1118" s="27"/>
      <c r="H1118" s="27"/>
      <c r="I1118" s="27"/>
    </row>
    <row r="1119" spans="1:9">
      <c r="A1119" s="22"/>
      <c r="B1119" s="22"/>
      <c r="D1119" s="27"/>
      <c r="E1119" s="27"/>
      <c r="F1119" s="27"/>
      <c r="G1119" s="27"/>
      <c r="H1119" s="27"/>
      <c r="I1119" s="27"/>
    </row>
    <row r="1120" spans="1:9">
      <c r="A1120" s="22"/>
      <c r="B1120" s="22"/>
      <c r="D1120" s="27"/>
      <c r="E1120" s="27"/>
      <c r="F1120" s="27"/>
      <c r="G1120" s="27"/>
      <c r="H1120" s="27"/>
      <c r="I1120" s="27"/>
    </row>
    <row r="1121" spans="1:9">
      <c r="A1121" s="22"/>
      <c r="B1121" s="22"/>
      <c r="D1121" s="27"/>
      <c r="E1121" s="27"/>
      <c r="F1121" s="27"/>
      <c r="G1121" s="27"/>
      <c r="H1121" s="27"/>
      <c r="I1121" s="27"/>
    </row>
    <row r="1122" spans="1:9">
      <c r="A1122" s="22"/>
      <c r="B1122" s="22"/>
      <c r="D1122" s="27"/>
      <c r="E1122" s="27"/>
      <c r="F1122" s="27"/>
      <c r="G1122" s="27"/>
      <c r="H1122" s="27"/>
      <c r="I1122" s="27"/>
    </row>
    <row r="1123" spans="1:9">
      <c r="A1123" s="22"/>
      <c r="B1123" s="22"/>
      <c r="D1123" s="27"/>
      <c r="E1123" s="27"/>
      <c r="F1123" s="27"/>
      <c r="G1123" s="27"/>
      <c r="H1123" s="27"/>
      <c r="I1123" s="27"/>
    </row>
    <row r="1124" spans="1:9">
      <c r="A1124" s="22"/>
      <c r="B1124" s="22"/>
      <c r="D1124" s="27"/>
      <c r="E1124" s="27"/>
      <c r="F1124" s="27"/>
      <c r="G1124" s="27"/>
      <c r="H1124" s="27"/>
      <c r="I1124" s="27"/>
    </row>
    <row r="1125" spans="1:9">
      <c r="A1125" s="22"/>
      <c r="B1125" s="22"/>
      <c r="D1125" s="27"/>
      <c r="E1125" s="27"/>
      <c r="F1125" s="27"/>
      <c r="G1125" s="27"/>
      <c r="H1125" s="27"/>
      <c r="I1125" s="27"/>
    </row>
    <row r="1126" spans="1:9">
      <c r="A1126" s="22"/>
      <c r="B1126" s="22"/>
      <c r="D1126" s="27"/>
      <c r="E1126" s="27"/>
      <c r="F1126" s="27"/>
      <c r="G1126" s="27"/>
      <c r="H1126" s="27"/>
      <c r="I1126" s="27"/>
    </row>
    <row r="1127" spans="1:9">
      <c r="A1127" s="22"/>
      <c r="B1127" s="22"/>
      <c r="D1127" s="27"/>
      <c r="E1127" s="27"/>
      <c r="F1127" s="27"/>
      <c r="G1127" s="27"/>
      <c r="H1127" s="27"/>
      <c r="I1127" s="27"/>
    </row>
    <row r="1128" spans="1:9">
      <c r="A1128" s="22"/>
      <c r="B1128" s="22"/>
      <c r="D1128" s="27"/>
      <c r="E1128" s="27"/>
      <c r="F1128" s="27"/>
      <c r="G1128" s="27"/>
      <c r="H1128" s="27"/>
      <c r="I1128" s="27"/>
    </row>
    <row r="1129" spans="1:9">
      <c r="A1129" s="22"/>
      <c r="B1129" s="22"/>
      <c r="D1129" s="27"/>
      <c r="E1129" s="27"/>
      <c r="F1129" s="27"/>
      <c r="G1129" s="27"/>
      <c r="H1129" s="27"/>
      <c r="I1129" s="27"/>
    </row>
    <row r="1130" spans="1:9">
      <c r="A1130" s="22"/>
      <c r="B1130" s="22"/>
      <c r="D1130" s="27"/>
      <c r="E1130" s="27"/>
      <c r="F1130" s="27"/>
      <c r="G1130" s="27"/>
      <c r="H1130" s="27"/>
      <c r="I1130" s="27"/>
    </row>
    <row r="1131" spans="1:9">
      <c r="A1131" s="22"/>
      <c r="B1131" s="22"/>
      <c r="D1131" s="27"/>
      <c r="E1131" s="27"/>
      <c r="F1131" s="27"/>
      <c r="G1131" s="27"/>
      <c r="H1131" s="27"/>
      <c r="I1131" s="27"/>
    </row>
    <row r="1132" spans="1:9">
      <c r="A1132" s="22"/>
      <c r="B1132" s="22"/>
      <c r="D1132" s="27"/>
      <c r="E1132" s="27"/>
      <c r="F1132" s="27"/>
      <c r="G1132" s="27"/>
      <c r="H1132" s="27"/>
      <c r="I1132" s="27"/>
    </row>
    <row r="1133" spans="1:9">
      <c r="A1133" s="22"/>
      <c r="B1133" s="22"/>
      <c r="D1133" s="27"/>
      <c r="E1133" s="27"/>
      <c r="F1133" s="27"/>
      <c r="G1133" s="27"/>
      <c r="H1133" s="27"/>
      <c r="I1133" s="27"/>
    </row>
    <row r="1134" spans="1:9">
      <c r="A1134" s="22"/>
      <c r="B1134" s="22"/>
      <c r="D1134" s="27"/>
      <c r="E1134" s="27"/>
      <c r="F1134" s="27"/>
      <c r="G1134" s="27"/>
      <c r="H1134" s="27"/>
      <c r="I1134" s="27"/>
    </row>
    <row r="1135" spans="1:9">
      <c r="A1135" s="22"/>
      <c r="B1135" s="22"/>
      <c r="D1135" s="27"/>
      <c r="E1135" s="27"/>
      <c r="F1135" s="27"/>
      <c r="G1135" s="27"/>
      <c r="H1135" s="27"/>
      <c r="I1135" s="27"/>
    </row>
    <row r="1136" spans="1:9">
      <c r="A1136" s="22"/>
      <c r="B1136" s="22"/>
      <c r="D1136" s="27"/>
      <c r="E1136" s="27"/>
      <c r="F1136" s="27"/>
      <c r="G1136" s="27"/>
      <c r="H1136" s="27"/>
      <c r="I1136" s="27"/>
    </row>
    <row r="1137" spans="1:9">
      <c r="A1137" s="22"/>
      <c r="B1137" s="22"/>
      <c r="D1137" s="27"/>
      <c r="E1137" s="27"/>
      <c r="F1137" s="27"/>
      <c r="G1137" s="27"/>
      <c r="H1137" s="27"/>
      <c r="I1137" s="27"/>
    </row>
    <row r="1138" spans="1:9">
      <c r="A1138" s="22"/>
      <c r="B1138" s="22"/>
      <c r="D1138" s="27"/>
      <c r="E1138" s="27"/>
      <c r="F1138" s="27"/>
      <c r="G1138" s="27"/>
      <c r="H1138" s="27"/>
      <c r="I1138" s="27"/>
    </row>
    <row r="1139" spans="1:9">
      <c r="A1139" s="22"/>
      <c r="B1139" s="22"/>
      <c r="D1139" s="27"/>
      <c r="E1139" s="27"/>
      <c r="F1139" s="27"/>
      <c r="G1139" s="27"/>
      <c r="H1139" s="27"/>
      <c r="I1139" s="27"/>
    </row>
    <row r="1140" spans="1:9">
      <c r="A1140" s="22"/>
      <c r="B1140" s="22"/>
      <c r="D1140" s="27"/>
      <c r="E1140" s="27"/>
      <c r="F1140" s="27"/>
      <c r="G1140" s="27"/>
      <c r="H1140" s="27"/>
      <c r="I1140" s="27"/>
    </row>
    <row r="1141" spans="1:9">
      <c r="A1141" s="22"/>
      <c r="B1141" s="22"/>
      <c r="D1141" s="27"/>
      <c r="E1141" s="27"/>
      <c r="F1141" s="27"/>
      <c r="G1141" s="27"/>
      <c r="H1141" s="27"/>
      <c r="I1141" s="27"/>
    </row>
    <row r="1142" spans="1:9">
      <c r="A1142" s="22"/>
      <c r="B1142" s="22"/>
      <c r="D1142" s="27"/>
      <c r="E1142" s="27"/>
      <c r="F1142" s="27"/>
      <c r="G1142" s="27"/>
      <c r="H1142" s="27"/>
      <c r="I1142" s="27"/>
    </row>
    <row r="1143" spans="1:9">
      <c r="A1143" s="22"/>
      <c r="B1143" s="22"/>
      <c r="D1143" s="27"/>
      <c r="E1143" s="27"/>
      <c r="F1143" s="27"/>
      <c r="G1143" s="27"/>
      <c r="H1143" s="27"/>
      <c r="I1143" s="27"/>
    </row>
    <row r="1144" spans="1:9">
      <c r="A1144" s="22"/>
      <c r="B1144" s="22"/>
      <c r="D1144" s="27"/>
      <c r="E1144" s="27"/>
      <c r="F1144" s="27"/>
      <c r="G1144" s="27"/>
      <c r="H1144" s="27"/>
      <c r="I1144" s="27"/>
    </row>
    <row r="1145" spans="1:9">
      <c r="A1145" s="22"/>
      <c r="B1145" s="22"/>
      <c r="D1145" s="27"/>
      <c r="E1145" s="27"/>
      <c r="F1145" s="27"/>
      <c r="G1145" s="27"/>
      <c r="H1145" s="27"/>
      <c r="I1145" s="27"/>
    </row>
    <row r="1146" spans="1:9">
      <c r="A1146" s="22"/>
      <c r="B1146" s="22"/>
      <c r="D1146" s="27"/>
      <c r="E1146" s="27"/>
      <c r="F1146" s="27"/>
      <c r="G1146" s="27"/>
      <c r="H1146" s="27"/>
      <c r="I1146" s="27"/>
    </row>
    <row r="1147" spans="1:9">
      <c r="A1147" s="22"/>
      <c r="B1147" s="22"/>
      <c r="D1147" s="27"/>
      <c r="E1147" s="27"/>
      <c r="F1147" s="27"/>
      <c r="G1147" s="27"/>
      <c r="H1147" s="27"/>
      <c r="I1147" s="27"/>
    </row>
    <row r="1148" spans="1:9">
      <c r="A1148" s="22"/>
      <c r="B1148" s="22"/>
      <c r="D1148" s="27"/>
      <c r="E1148" s="27"/>
      <c r="F1148" s="27"/>
      <c r="G1148" s="27"/>
      <c r="H1148" s="27"/>
      <c r="I1148" s="27"/>
    </row>
    <row r="1149" spans="1:9">
      <c r="A1149" s="22"/>
      <c r="B1149" s="22"/>
      <c r="D1149" s="27"/>
      <c r="E1149" s="27"/>
      <c r="F1149" s="27"/>
      <c r="G1149" s="27"/>
      <c r="H1149" s="27"/>
      <c r="I1149" s="27"/>
    </row>
    <row r="1150" spans="1:9">
      <c r="A1150" s="22"/>
      <c r="B1150" s="22"/>
      <c r="D1150" s="27"/>
      <c r="E1150" s="27"/>
      <c r="F1150" s="27"/>
      <c r="G1150" s="27"/>
      <c r="H1150" s="27"/>
      <c r="I1150" s="27"/>
    </row>
    <row r="1151" spans="1:9">
      <c r="A1151" s="22"/>
      <c r="B1151" s="22"/>
      <c r="D1151" s="27"/>
      <c r="E1151" s="27"/>
      <c r="F1151" s="27"/>
      <c r="G1151" s="27"/>
      <c r="H1151" s="27"/>
      <c r="I1151" s="27"/>
    </row>
    <row r="1152" spans="1:9">
      <c r="A1152" s="22"/>
      <c r="B1152" s="22"/>
      <c r="D1152" s="27"/>
      <c r="E1152" s="27"/>
      <c r="F1152" s="27"/>
      <c r="G1152" s="27"/>
      <c r="H1152" s="27"/>
      <c r="I1152" s="27"/>
    </row>
    <row r="1153" spans="1:9">
      <c r="A1153" s="22"/>
      <c r="B1153" s="22"/>
      <c r="D1153" s="27"/>
      <c r="E1153" s="27"/>
      <c r="F1153" s="27"/>
      <c r="G1153" s="27"/>
      <c r="H1153" s="27"/>
      <c r="I1153" s="27"/>
    </row>
    <row r="1154" spans="1:9">
      <c r="A1154" s="22"/>
      <c r="B1154" s="22"/>
      <c r="D1154" s="27"/>
      <c r="E1154" s="27"/>
      <c r="F1154" s="27"/>
      <c r="G1154" s="27"/>
      <c r="H1154" s="27"/>
      <c r="I1154" s="27"/>
    </row>
    <row r="1155" spans="1:9">
      <c r="A1155" s="22"/>
      <c r="B1155" s="22"/>
      <c r="D1155" s="27"/>
      <c r="E1155" s="27"/>
      <c r="F1155" s="27"/>
      <c r="G1155" s="27"/>
      <c r="H1155" s="27"/>
      <c r="I1155" s="27"/>
    </row>
    <row r="1156" spans="1:9">
      <c r="A1156" s="22"/>
      <c r="B1156" s="22"/>
      <c r="D1156" s="27"/>
      <c r="E1156" s="27"/>
      <c r="F1156" s="27"/>
      <c r="G1156" s="27"/>
      <c r="H1156" s="27"/>
      <c r="I1156" s="27"/>
    </row>
    <row r="1157" spans="1:9">
      <c r="A1157" s="25"/>
      <c r="B1157" s="22"/>
      <c r="D1157" s="27"/>
      <c r="E1157" s="27"/>
      <c r="F1157" s="27"/>
      <c r="G1157" s="27"/>
      <c r="H1157" s="27"/>
      <c r="I1157" s="27"/>
    </row>
    <row r="1158" spans="1:9">
      <c r="A1158" s="22"/>
      <c r="B1158" s="22"/>
      <c r="D1158" s="27"/>
      <c r="E1158" s="27"/>
      <c r="F1158" s="27"/>
      <c r="G1158" s="27"/>
      <c r="H1158" s="27"/>
      <c r="I1158" s="27"/>
    </row>
    <row r="1159" spans="1:9">
      <c r="A1159" s="22"/>
      <c r="B1159" s="22"/>
      <c r="D1159" s="27"/>
      <c r="E1159" s="27"/>
      <c r="F1159" s="27"/>
      <c r="G1159" s="27"/>
      <c r="H1159" s="27"/>
      <c r="I1159" s="27"/>
    </row>
    <row r="1160" spans="1:9">
      <c r="A1160" s="22"/>
      <c r="B1160" s="22"/>
      <c r="D1160" s="27"/>
      <c r="E1160" s="27"/>
      <c r="F1160" s="27"/>
      <c r="G1160" s="27"/>
      <c r="H1160" s="27"/>
      <c r="I1160" s="27"/>
    </row>
    <row r="1161" spans="1:9">
      <c r="A1161" s="22"/>
      <c r="B1161" s="22"/>
      <c r="D1161" s="27"/>
      <c r="E1161" s="27"/>
      <c r="F1161" s="27"/>
      <c r="G1161" s="27"/>
      <c r="H1161" s="27"/>
      <c r="I1161" s="27"/>
    </row>
    <row r="1162" spans="1:9">
      <c r="A1162" s="22"/>
      <c r="B1162" s="22"/>
      <c r="D1162" s="27"/>
      <c r="E1162" s="27"/>
      <c r="F1162" s="27"/>
      <c r="G1162" s="27"/>
      <c r="H1162" s="27"/>
      <c r="I1162" s="27"/>
    </row>
    <row r="1163" spans="1:9">
      <c r="A1163" s="22"/>
      <c r="B1163" s="22"/>
      <c r="D1163" s="27"/>
      <c r="E1163" s="27"/>
      <c r="F1163" s="27"/>
      <c r="G1163" s="27"/>
      <c r="H1163" s="27"/>
      <c r="I1163" s="27"/>
    </row>
    <row r="1164" spans="1:9">
      <c r="A1164" s="22"/>
      <c r="B1164" s="22"/>
      <c r="D1164" s="27"/>
      <c r="E1164" s="27"/>
      <c r="F1164" s="27"/>
      <c r="G1164" s="27"/>
      <c r="H1164" s="27"/>
      <c r="I1164" s="27"/>
    </row>
    <row r="1165" spans="1:9">
      <c r="A1165" s="22"/>
      <c r="B1165" s="22"/>
      <c r="D1165" s="27"/>
      <c r="E1165" s="27"/>
      <c r="F1165" s="27"/>
      <c r="G1165" s="27"/>
      <c r="H1165" s="27"/>
      <c r="I1165" s="27"/>
    </row>
    <row r="1166" spans="1:9">
      <c r="A1166" s="22"/>
      <c r="B1166" s="22"/>
      <c r="D1166" s="27"/>
      <c r="E1166" s="27"/>
      <c r="F1166" s="27"/>
      <c r="G1166" s="27"/>
      <c r="H1166" s="27"/>
      <c r="I1166" s="27"/>
    </row>
    <row r="1167" spans="1:9">
      <c r="A1167" s="22"/>
      <c r="B1167" s="22"/>
      <c r="D1167" s="27"/>
      <c r="E1167" s="27"/>
      <c r="F1167" s="27"/>
      <c r="G1167" s="27"/>
      <c r="H1167" s="27"/>
      <c r="I1167" s="27"/>
    </row>
    <row r="1168" spans="1:9">
      <c r="A1168" s="22"/>
      <c r="B1168" s="22"/>
      <c r="D1168" s="27"/>
      <c r="E1168" s="27"/>
      <c r="F1168" s="27"/>
      <c r="G1168" s="27"/>
      <c r="H1168" s="27"/>
      <c r="I1168" s="27"/>
    </row>
    <row r="1169" spans="1:9">
      <c r="A1169" s="22"/>
      <c r="B1169" s="22"/>
      <c r="D1169" s="27"/>
      <c r="E1169" s="27"/>
      <c r="F1169" s="27"/>
      <c r="G1169" s="27"/>
      <c r="H1169" s="27"/>
      <c r="I1169" s="27"/>
    </row>
    <row r="1170" spans="1:9">
      <c r="A1170" s="22"/>
      <c r="B1170" s="22"/>
      <c r="D1170" s="27"/>
      <c r="E1170" s="27"/>
      <c r="F1170" s="27"/>
      <c r="G1170" s="27"/>
      <c r="H1170" s="27"/>
      <c r="I1170" s="27"/>
    </row>
    <row r="1171" spans="1:9">
      <c r="A1171" s="22"/>
      <c r="B1171" s="22"/>
      <c r="D1171" s="27"/>
      <c r="E1171" s="27"/>
      <c r="F1171" s="27"/>
      <c r="G1171" s="27"/>
      <c r="H1171" s="27"/>
      <c r="I1171" s="27"/>
    </row>
    <row r="1172" spans="1:9">
      <c r="A1172" s="22"/>
      <c r="B1172" s="22"/>
      <c r="D1172" s="27"/>
      <c r="E1172" s="27"/>
      <c r="F1172" s="27"/>
      <c r="G1172" s="27"/>
      <c r="H1172" s="27"/>
      <c r="I1172" s="27"/>
    </row>
    <row r="1173" spans="1:9">
      <c r="A1173" s="22"/>
      <c r="B1173" s="22"/>
      <c r="D1173" s="27"/>
      <c r="E1173" s="27"/>
      <c r="F1173" s="27"/>
      <c r="G1173" s="27"/>
      <c r="H1173" s="27"/>
      <c r="I1173" s="27"/>
    </row>
    <row r="1174" spans="1:9">
      <c r="A1174" s="22"/>
      <c r="B1174" s="22"/>
      <c r="D1174" s="27"/>
      <c r="E1174" s="27"/>
      <c r="F1174" s="27"/>
      <c r="G1174" s="27"/>
      <c r="H1174" s="27"/>
      <c r="I1174" s="27"/>
    </row>
    <row r="1175" spans="1:9">
      <c r="A1175" s="22"/>
      <c r="B1175" s="22"/>
      <c r="D1175" s="27"/>
      <c r="E1175" s="27"/>
      <c r="F1175" s="27"/>
      <c r="G1175" s="27"/>
      <c r="H1175" s="27"/>
      <c r="I1175" s="27"/>
    </row>
    <row r="1176" spans="1:9">
      <c r="A1176" s="22"/>
      <c r="B1176" s="22"/>
      <c r="D1176" s="27"/>
      <c r="E1176" s="27"/>
      <c r="F1176" s="27"/>
      <c r="G1176" s="27"/>
      <c r="H1176" s="27"/>
      <c r="I1176" s="27"/>
    </row>
    <row r="1177" spans="1:9">
      <c r="A1177" s="22"/>
      <c r="B1177" s="22"/>
      <c r="D1177" s="27"/>
      <c r="E1177" s="27"/>
      <c r="F1177" s="27"/>
      <c r="G1177" s="27"/>
      <c r="H1177" s="27"/>
      <c r="I1177" s="27"/>
    </row>
    <row r="1178" spans="1:9">
      <c r="A1178" s="22"/>
      <c r="B1178" s="22"/>
      <c r="D1178" s="27"/>
      <c r="E1178" s="27"/>
      <c r="F1178" s="27"/>
      <c r="G1178" s="27"/>
      <c r="H1178" s="27"/>
      <c r="I1178" s="27"/>
    </row>
    <row r="1179" spans="1:9">
      <c r="A1179" s="22"/>
      <c r="B1179" s="22"/>
      <c r="D1179" s="27"/>
      <c r="E1179" s="27"/>
      <c r="F1179" s="27"/>
      <c r="G1179" s="27"/>
      <c r="H1179" s="27"/>
      <c r="I1179" s="27"/>
    </row>
    <row r="1180" spans="1:9">
      <c r="A1180" s="22"/>
      <c r="B1180" s="22"/>
      <c r="D1180" s="27"/>
      <c r="E1180" s="27"/>
      <c r="F1180" s="27"/>
      <c r="G1180" s="27"/>
      <c r="H1180" s="27"/>
      <c r="I1180" s="27"/>
    </row>
    <row r="1181" spans="1:9">
      <c r="A1181" s="22"/>
      <c r="B1181" s="22"/>
      <c r="D1181" s="27"/>
      <c r="E1181" s="27"/>
      <c r="F1181" s="27"/>
      <c r="G1181" s="27"/>
      <c r="H1181" s="27"/>
      <c r="I1181" s="27"/>
    </row>
    <row r="1182" spans="1:9">
      <c r="A1182" s="22"/>
      <c r="B1182" s="22"/>
      <c r="D1182" s="27"/>
      <c r="E1182" s="27"/>
      <c r="F1182" s="27"/>
      <c r="G1182" s="27"/>
      <c r="H1182" s="27"/>
      <c r="I1182" s="27"/>
    </row>
    <row r="1183" spans="1:9">
      <c r="A1183" s="22"/>
      <c r="B1183" s="22"/>
      <c r="D1183" s="27"/>
      <c r="E1183" s="27"/>
      <c r="F1183" s="27"/>
      <c r="G1183" s="27"/>
      <c r="H1183" s="27"/>
      <c r="I1183" s="27"/>
    </row>
    <row r="1184" spans="1:9">
      <c r="A1184" s="22"/>
      <c r="B1184" s="22"/>
      <c r="D1184" s="27"/>
      <c r="E1184" s="27"/>
      <c r="F1184" s="27"/>
      <c r="G1184" s="27"/>
      <c r="H1184" s="27"/>
      <c r="I1184" s="27"/>
    </row>
    <row r="1185" spans="1:9">
      <c r="A1185" s="22"/>
      <c r="B1185" s="22"/>
      <c r="D1185" s="27"/>
      <c r="E1185" s="27"/>
      <c r="F1185" s="27"/>
      <c r="G1185" s="27"/>
      <c r="H1185" s="27"/>
      <c r="I1185" s="27"/>
    </row>
    <row r="1186" spans="1:9">
      <c r="A1186" s="22"/>
      <c r="B1186" s="22"/>
      <c r="D1186" s="27"/>
      <c r="E1186" s="27"/>
      <c r="F1186" s="27"/>
      <c r="G1186" s="27"/>
      <c r="H1186" s="27"/>
      <c r="I1186" s="27"/>
    </row>
    <row r="1187" spans="1:9">
      <c r="A1187" s="22"/>
      <c r="B1187" s="22"/>
      <c r="D1187" s="27"/>
      <c r="E1187" s="27"/>
      <c r="F1187" s="27"/>
      <c r="G1187" s="27"/>
      <c r="H1187" s="27"/>
      <c r="I1187" s="27"/>
    </row>
    <row r="1188" spans="1:9">
      <c r="A1188" s="22"/>
      <c r="B1188" s="22"/>
      <c r="D1188" s="27"/>
      <c r="E1188" s="27"/>
      <c r="F1188" s="27"/>
      <c r="G1188" s="27"/>
      <c r="H1188" s="27"/>
      <c r="I1188" s="27"/>
    </row>
    <row r="1189" spans="1:9">
      <c r="A1189" s="22"/>
      <c r="B1189" s="22"/>
      <c r="D1189" s="27"/>
      <c r="E1189" s="27"/>
      <c r="F1189" s="27"/>
      <c r="G1189" s="27"/>
      <c r="H1189" s="27"/>
      <c r="I1189" s="27"/>
    </row>
    <row r="1190" spans="1:9">
      <c r="A1190" s="22"/>
      <c r="B1190" s="22"/>
      <c r="D1190" s="27"/>
      <c r="E1190" s="27"/>
      <c r="F1190" s="27"/>
      <c r="G1190" s="27"/>
      <c r="H1190" s="27"/>
      <c r="I1190" s="27"/>
    </row>
    <row r="1191" spans="1:9">
      <c r="A1191" s="22"/>
      <c r="B1191" s="22"/>
      <c r="D1191" s="27"/>
      <c r="E1191" s="27"/>
      <c r="F1191" s="27"/>
      <c r="G1191" s="27"/>
      <c r="H1191" s="27"/>
      <c r="I1191" s="27"/>
    </row>
    <row r="1192" spans="1:9">
      <c r="A1192" s="22"/>
      <c r="B1192" s="22"/>
      <c r="D1192" s="27"/>
      <c r="E1192" s="27"/>
      <c r="F1192" s="27"/>
      <c r="G1192" s="27"/>
      <c r="H1192" s="27"/>
      <c r="I1192" s="27"/>
    </row>
    <row r="1193" spans="1:9">
      <c r="A1193" s="22"/>
      <c r="B1193" s="22"/>
      <c r="D1193" s="27"/>
      <c r="E1193" s="27"/>
      <c r="F1193" s="27"/>
      <c r="G1193" s="27"/>
      <c r="H1193" s="27"/>
      <c r="I1193" s="27"/>
    </row>
    <row r="1194" spans="1:9">
      <c r="A1194" s="22"/>
      <c r="B1194" s="22"/>
      <c r="D1194" s="27"/>
      <c r="E1194" s="27"/>
      <c r="F1194" s="27"/>
      <c r="G1194" s="27"/>
      <c r="H1194" s="27"/>
      <c r="I1194" s="27"/>
    </row>
    <row r="1195" spans="1:9">
      <c r="A1195" s="22"/>
      <c r="B1195" s="22"/>
      <c r="D1195" s="27"/>
      <c r="E1195" s="27"/>
      <c r="F1195" s="27"/>
      <c r="G1195" s="27"/>
      <c r="H1195" s="27"/>
      <c r="I1195" s="27"/>
    </row>
    <row r="1196" spans="1:9">
      <c r="A1196" s="22"/>
      <c r="B1196" s="22"/>
      <c r="D1196" s="27"/>
      <c r="E1196" s="27"/>
      <c r="F1196" s="27"/>
      <c r="G1196" s="27"/>
      <c r="H1196" s="27"/>
      <c r="I1196" s="27"/>
    </row>
    <row r="1197" spans="1:9">
      <c r="A1197" s="22"/>
      <c r="B1197" s="22"/>
      <c r="D1197" s="27"/>
      <c r="E1197" s="27"/>
      <c r="F1197" s="27"/>
      <c r="G1197" s="27"/>
      <c r="H1197" s="27"/>
      <c r="I1197" s="27"/>
    </row>
    <row r="1198" spans="1:9">
      <c r="A1198" s="22"/>
      <c r="B1198" s="22"/>
      <c r="D1198" s="27"/>
      <c r="E1198" s="27"/>
      <c r="F1198" s="27"/>
      <c r="G1198" s="27"/>
      <c r="H1198" s="27"/>
      <c r="I1198" s="27"/>
    </row>
    <row r="1199" spans="1:9">
      <c r="A1199" s="22"/>
      <c r="B1199" s="22"/>
      <c r="D1199" s="27"/>
      <c r="E1199" s="27"/>
      <c r="F1199" s="27"/>
      <c r="G1199" s="27"/>
      <c r="H1199" s="27"/>
      <c r="I1199" s="27"/>
    </row>
    <row r="1200" spans="1:9">
      <c r="A1200" s="22"/>
      <c r="B1200" s="22"/>
      <c r="D1200" s="27"/>
      <c r="E1200" s="27"/>
      <c r="F1200" s="27"/>
      <c r="G1200" s="27"/>
      <c r="H1200" s="27"/>
      <c r="I1200" s="27"/>
    </row>
    <row r="1201" spans="1:9">
      <c r="A1201" s="22"/>
      <c r="B1201" s="22"/>
      <c r="D1201" s="27"/>
      <c r="E1201" s="27"/>
      <c r="F1201" s="27"/>
      <c r="G1201" s="27"/>
      <c r="H1201" s="27"/>
      <c r="I1201" s="27"/>
    </row>
    <row r="1202" spans="1:9">
      <c r="A1202" s="22"/>
      <c r="B1202" s="22"/>
      <c r="D1202" s="27"/>
      <c r="E1202" s="27"/>
      <c r="F1202" s="27"/>
      <c r="G1202" s="27"/>
      <c r="H1202" s="27"/>
      <c r="I1202" s="27"/>
    </row>
    <row r="1203" spans="1:9">
      <c r="A1203" s="22"/>
      <c r="B1203" s="22"/>
      <c r="D1203" s="27"/>
      <c r="E1203" s="27"/>
      <c r="F1203" s="27"/>
      <c r="G1203" s="27"/>
      <c r="H1203" s="27"/>
      <c r="I1203" s="27"/>
    </row>
    <row r="1204" spans="1:9">
      <c r="A1204" s="22"/>
      <c r="B1204" s="22"/>
      <c r="D1204" s="27"/>
      <c r="E1204" s="27"/>
      <c r="F1204" s="27"/>
      <c r="G1204" s="27"/>
      <c r="H1204" s="27"/>
      <c r="I1204" s="27"/>
    </row>
    <row r="1205" spans="1:9">
      <c r="A1205" s="22"/>
      <c r="B1205" s="22"/>
      <c r="D1205" s="27"/>
      <c r="E1205" s="27"/>
      <c r="F1205" s="27"/>
      <c r="G1205" s="27"/>
      <c r="H1205" s="27"/>
      <c r="I1205" s="27"/>
    </row>
    <row r="1206" spans="1:9">
      <c r="A1206" s="22"/>
      <c r="B1206" s="22"/>
      <c r="D1206" s="27"/>
      <c r="E1206" s="27"/>
      <c r="F1206" s="27"/>
      <c r="G1206" s="27"/>
      <c r="H1206" s="27"/>
      <c r="I1206" s="27"/>
    </row>
    <row r="1207" spans="1:9">
      <c r="A1207" s="22"/>
      <c r="B1207" s="22"/>
      <c r="D1207" s="27"/>
      <c r="E1207" s="27"/>
      <c r="F1207" s="27"/>
      <c r="G1207" s="27"/>
      <c r="H1207" s="27"/>
      <c r="I1207" s="27"/>
    </row>
    <row r="1208" spans="1:9">
      <c r="A1208" s="22"/>
      <c r="B1208" s="22"/>
      <c r="D1208" s="27"/>
      <c r="E1208" s="27"/>
      <c r="F1208" s="27"/>
      <c r="G1208" s="27"/>
      <c r="H1208" s="27"/>
      <c r="I1208" s="27"/>
    </row>
    <row r="1209" spans="1:9">
      <c r="A1209" s="22"/>
      <c r="B1209" s="22"/>
      <c r="D1209" s="27"/>
      <c r="E1209" s="27"/>
      <c r="F1209" s="27"/>
      <c r="G1209" s="27"/>
      <c r="H1209" s="27"/>
      <c r="I1209" s="27"/>
    </row>
    <row r="1210" spans="1:9">
      <c r="A1210" s="22"/>
      <c r="B1210" s="22"/>
      <c r="D1210" s="27"/>
      <c r="E1210" s="27"/>
      <c r="F1210" s="27"/>
      <c r="G1210" s="27"/>
      <c r="H1210" s="27"/>
      <c r="I1210" s="27"/>
    </row>
    <row r="1211" spans="1:9">
      <c r="A1211" s="22"/>
      <c r="B1211" s="22"/>
      <c r="D1211" s="27"/>
      <c r="E1211" s="27"/>
      <c r="F1211" s="27"/>
      <c r="G1211" s="27"/>
      <c r="H1211" s="27"/>
      <c r="I1211" s="27"/>
    </row>
    <row r="1212" spans="1:9">
      <c r="A1212" s="22"/>
      <c r="B1212" s="22"/>
      <c r="D1212" s="27"/>
      <c r="E1212" s="27"/>
      <c r="F1212" s="27"/>
      <c r="G1212" s="27"/>
      <c r="H1212" s="27"/>
      <c r="I1212" s="27"/>
    </row>
    <row r="1213" spans="1:9">
      <c r="A1213" s="22"/>
      <c r="B1213" s="22"/>
      <c r="D1213" s="27"/>
      <c r="E1213" s="27"/>
      <c r="F1213" s="27"/>
      <c r="G1213" s="27"/>
      <c r="H1213" s="27"/>
      <c r="I1213" s="27"/>
    </row>
    <row r="1214" spans="1:9">
      <c r="A1214" s="22"/>
      <c r="B1214" s="22"/>
      <c r="D1214" s="27"/>
      <c r="E1214" s="27"/>
      <c r="F1214" s="27"/>
      <c r="G1214" s="27"/>
      <c r="H1214" s="27"/>
      <c r="I1214" s="27"/>
    </row>
    <row r="1215" spans="1:9">
      <c r="A1215" s="22"/>
      <c r="B1215" s="22"/>
      <c r="D1215" s="27"/>
      <c r="E1215" s="27"/>
      <c r="F1215" s="27"/>
      <c r="G1215" s="27"/>
      <c r="H1215" s="27"/>
      <c r="I1215" s="27"/>
    </row>
    <row r="1216" spans="1:9">
      <c r="A1216" s="22"/>
      <c r="B1216" s="22"/>
      <c r="D1216" s="27"/>
      <c r="E1216" s="27"/>
      <c r="F1216" s="27"/>
      <c r="G1216" s="27"/>
      <c r="H1216" s="27"/>
      <c r="I1216" s="27"/>
    </row>
    <row r="1217" spans="1:9">
      <c r="A1217" s="22"/>
      <c r="B1217" s="22"/>
      <c r="D1217" s="27"/>
      <c r="E1217" s="27"/>
      <c r="F1217" s="27"/>
      <c r="G1217" s="27"/>
      <c r="H1217" s="27"/>
      <c r="I1217" s="27"/>
    </row>
    <row r="1218" spans="1:9">
      <c r="A1218" s="22"/>
      <c r="B1218" s="22"/>
      <c r="D1218" s="27"/>
      <c r="E1218" s="27"/>
      <c r="F1218" s="27"/>
      <c r="G1218" s="27"/>
      <c r="H1218" s="27"/>
      <c r="I1218" s="27"/>
    </row>
    <row r="1219" spans="1:9">
      <c r="A1219" s="22"/>
      <c r="B1219" s="22"/>
      <c r="D1219" s="27"/>
      <c r="E1219" s="27"/>
      <c r="F1219" s="27"/>
      <c r="G1219" s="27"/>
      <c r="H1219" s="27"/>
      <c r="I1219" s="27"/>
    </row>
    <row r="1220" spans="1:9">
      <c r="A1220" s="22"/>
      <c r="B1220" s="22"/>
      <c r="D1220" s="27"/>
      <c r="E1220" s="27"/>
      <c r="F1220" s="27"/>
      <c r="G1220" s="27"/>
      <c r="H1220" s="27"/>
      <c r="I1220" s="27"/>
    </row>
    <row r="1221" spans="1:9">
      <c r="A1221" s="22"/>
      <c r="B1221" s="22"/>
      <c r="D1221" s="27"/>
      <c r="E1221" s="27"/>
      <c r="F1221" s="27"/>
      <c r="G1221" s="27"/>
      <c r="H1221" s="27"/>
      <c r="I1221" s="27"/>
    </row>
    <row r="1222" spans="1:9">
      <c r="A1222" s="22"/>
      <c r="B1222" s="22"/>
      <c r="D1222" s="27"/>
      <c r="E1222" s="27"/>
      <c r="F1222" s="27"/>
      <c r="G1222" s="27"/>
      <c r="H1222" s="27"/>
      <c r="I1222" s="27"/>
    </row>
    <row r="1223" spans="1:9">
      <c r="A1223" s="22"/>
      <c r="B1223" s="22"/>
      <c r="D1223" s="27"/>
      <c r="E1223" s="27"/>
      <c r="F1223" s="27"/>
      <c r="G1223" s="27"/>
      <c r="H1223" s="27"/>
      <c r="I1223" s="27"/>
    </row>
    <row r="1224" spans="1:9">
      <c r="A1224" s="22"/>
      <c r="B1224" s="22"/>
      <c r="D1224" s="27"/>
      <c r="E1224" s="27"/>
      <c r="F1224" s="27"/>
      <c r="G1224" s="27"/>
      <c r="H1224" s="27"/>
      <c r="I1224" s="27"/>
    </row>
    <row r="1225" spans="1:9">
      <c r="A1225" s="22"/>
      <c r="B1225" s="22"/>
      <c r="D1225" s="27"/>
      <c r="E1225" s="27"/>
      <c r="F1225" s="27"/>
      <c r="G1225" s="27"/>
      <c r="H1225" s="27"/>
      <c r="I1225" s="27"/>
    </row>
    <row r="1226" spans="1:9">
      <c r="A1226" s="22"/>
      <c r="B1226" s="22"/>
      <c r="D1226" s="27"/>
      <c r="E1226" s="27"/>
      <c r="F1226" s="27"/>
      <c r="G1226" s="27"/>
      <c r="H1226" s="27"/>
      <c r="I1226" s="27"/>
    </row>
    <row r="1227" spans="1:9">
      <c r="A1227" s="22"/>
      <c r="B1227" s="22"/>
      <c r="D1227" s="27"/>
      <c r="E1227" s="27"/>
      <c r="F1227" s="27"/>
      <c r="G1227" s="27"/>
      <c r="H1227" s="27"/>
      <c r="I1227" s="27"/>
    </row>
    <row r="1228" spans="1:9">
      <c r="A1228" s="22"/>
      <c r="B1228" s="22"/>
      <c r="D1228" s="27"/>
      <c r="E1228" s="27"/>
      <c r="F1228" s="27"/>
      <c r="G1228" s="27"/>
      <c r="H1228" s="27"/>
      <c r="I1228" s="27"/>
    </row>
    <row r="1229" spans="1:9">
      <c r="A1229" s="22"/>
      <c r="B1229" s="22"/>
      <c r="D1229" s="27"/>
      <c r="E1229" s="27"/>
      <c r="F1229" s="27"/>
      <c r="G1229" s="27"/>
      <c r="H1229" s="27"/>
      <c r="I1229" s="27"/>
    </row>
    <row r="1230" spans="1:9">
      <c r="A1230" s="22"/>
      <c r="B1230" s="22"/>
      <c r="D1230" s="27"/>
      <c r="E1230" s="27"/>
      <c r="F1230" s="27"/>
      <c r="G1230" s="27"/>
      <c r="H1230" s="27"/>
      <c r="I1230" s="27"/>
    </row>
    <row r="1231" spans="1:9">
      <c r="A1231" s="22"/>
      <c r="B1231" s="22"/>
      <c r="D1231" s="27"/>
      <c r="E1231" s="27"/>
      <c r="F1231" s="27"/>
      <c r="G1231" s="27"/>
      <c r="H1231" s="27"/>
      <c r="I1231" s="27"/>
    </row>
    <row r="1232" spans="1:9">
      <c r="A1232" s="22"/>
      <c r="B1232" s="22"/>
      <c r="D1232" s="27"/>
      <c r="E1232" s="27"/>
      <c r="F1232" s="27"/>
      <c r="G1232" s="27"/>
      <c r="H1232" s="27"/>
      <c r="I1232" s="27"/>
    </row>
    <row r="1233" spans="1:9">
      <c r="A1233" s="22"/>
      <c r="B1233" s="22"/>
      <c r="D1233" s="27"/>
      <c r="E1233" s="27"/>
      <c r="F1233" s="27"/>
      <c r="G1233" s="27"/>
      <c r="H1233" s="27"/>
      <c r="I1233" s="27"/>
    </row>
    <row r="1234" spans="1:9">
      <c r="A1234" s="22"/>
      <c r="B1234" s="22"/>
      <c r="D1234" s="27"/>
      <c r="E1234" s="27"/>
      <c r="F1234" s="27"/>
      <c r="G1234" s="27"/>
      <c r="H1234" s="27"/>
      <c r="I1234" s="27"/>
    </row>
    <row r="1235" spans="1:9">
      <c r="A1235" s="22"/>
      <c r="B1235" s="22"/>
      <c r="D1235" s="27"/>
      <c r="E1235" s="27"/>
      <c r="F1235" s="27"/>
      <c r="G1235" s="27"/>
      <c r="H1235" s="27"/>
      <c r="I1235" s="27"/>
    </row>
    <row r="1236" spans="1:9">
      <c r="A1236" s="22"/>
      <c r="B1236" s="22"/>
      <c r="D1236" s="27"/>
      <c r="E1236" s="27"/>
      <c r="F1236" s="27"/>
      <c r="G1236" s="27"/>
      <c r="H1236" s="27"/>
      <c r="I1236" s="27"/>
    </row>
    <row r="1237" spans="1:9">
      <c r="A1237" s="22"/>
      <c r="B1237" s="22"/>
      <c r="D1237" s="27"/>
      <c r="E1237" s="27"/>
      <c r="F1237" s="27"/>
      <c r="G1237" s="27"/>
      <c r="H1237" s="27"/>
      <c r="I1237" s="27"/>
    </row>
    <row r="1238" spans="1:9">
      <c r="A1238" s="22"/>
      <c r="B1238" s="22"/>
      <c r="D1238" s="27"/>
      <c r="E1238" s="27"/>
      <c r="F1238" s="27"/>
      <c r="G1238" s="27"/>
      <c r="H1238" s="27"/>
      <c r="I1238" s="27"/>
    </row>
    <row r="1239" spans="1:9">
      <c r="A1239" s="22"/>
      <c r="B1239" s="22"/>
      <c r="D1239" s="27"/>
      <c r="E1239" s="27"/>
      <c r="F1239" s="27"/>
      <c r="G1239" s="27"/>
      <c r="H1239" s="27"/>
      <c r="I1239" s="27"/>
    </row>
    <row r="1240" spans="1:9">
      <c r="A1240" s="22"/>
      <c r="B1240" s="22"/>
      <c r="D1240" s="27"/>
      <c r="E1240" s="27"/>
      <c r="F1240" s="27"/>
      <c r="G1240" s="27"/>
      <c r="H1240" s="27"/>
      <c r="I1240" s="27"/>
    </row>
    <row r="1241" spans="1:9">
      <c r="A1241" s="22"/>
      <c r="B1241" s="22"/>
      <c r="D1241" s="27"/>
      <c r="E1241" s="27"/>
      <c r="F1241" s="27"/>
      <c r="G1241" s="27"/>
      <c r="H1241" s="27"/>
      <c r="I1241" s="27"/>
    </row>
    <row r="1242" spans="1:9">
      <c r="A1242" s="22"/>
      <c r="B1242" s="22"/>
      <c r="D1242" s="27"/>
      <c r="E1242" s="27"/>
      <c r="F1242" s="27"/>
      <c r="G1242" s="27"/>
      <c r="H1242" s="27"/>
      <c r="I1242" s="27"/>
    </row>
    <row r="1243" spans="1:9">
      <c r="A1243" s="22"/>
      <c r="B1243" s="22"/>
      <c r="D1243" s="27"/>
      <c r="E1243" s="27"/>
      <c r="F1243" s="27"/>
      <c r="G1243" s="27"/>
      <c r="H1243" s="27"/>
      <c r="I1243" s="27"/>
    </row>
    <row r="1244" spans="1:9">
      <c r="A1244" s="22"/>
      <c r="B1244" s="22"/>
      <c r="D1244" s="27"/>
      <c r="E1244" s="27"/>
      <c r="F1244" s="27"/>
      <c r="G1244" s="27"/>
      <c r="H1244" s="27"/>
      <c r="I1244" s="27"/>
    </row>
    <row r="1245" spans="1:9">
      <c r="A1245" s="22"/>
      <c r="B1245" s="22"/>
      <c r="D1245" s="27"/>
      <c r="E1245" s="27"/>
      <c r="F1245" s="27"/>
      <c r="G1245" s="27"/>
      <c r="H1245" s="27"/>
      <c r="I1245" s="27"/>
    </row>
    <row r="1246" spans="1:9">
      <c r="A1246" s="22"/>
      <c r="B1246" s="22"/>
      <c r="D1246" s="27"/>
      <c r="E1246" s="27"/>
      <c r="F1246" s="27"/>
      <c r="G1246" s="27"/>
      <c r="H1246" s="27"/>
      <c r="I1246" s="27"/>
    </row>
    <row r="1247" spans="1:9">
      <c r="A1247" s="22"/>
      <c r="B1247" s="22"/>
      <c r="D1247" s="27"/>
      <c r="E1247" s="27"/>
      <c r="F1247" s="27"/>
      <c r="G1247" s="27"/>
      <c r="H1247" s="27"/>
      <c r="I1247" s="27"/>
    </row>
    <row r="1248" spans="1:9">
      <c r="A1248" s="22"/>
      <c r="B1248" s="22"/>
      <c r="D1248" s="27"/>
      <c r="E1248" s="27"/>
      <c r="F1248" s="27"/>
      <c r="G1248" s="27"/>
      <c r="H1248" s="27"/>
      <c r="I1248" s="27"/>
    </row>
    <row r="1249" spans="1:9">
      <c r="A1249" s="22"/>
      <c r="B1249" s="22"/>
      <c r="D1249" s="27"/>
      <c r="E1249" s="27"/>
      <c r="F1249" s="27"/>
      <c r="G1249" s="27"/>
      <c r="H1249" s="27"/>
      <c r="I1249" s="27"/>
    </row>
    <row r="1250" spans="1:9">
      <c r="A1250" s="22"/>
      <c r="B1250" s="22"/>
      <c r="D1250" s="27"/>
      <c r="E1250" s="27"/>
      <c r="F1250" s="27"/>
      <c r="G1250" s="27"/>
      <c r="H1250" s="27"/>
      <c r="I1250" s="27"/>
    </row>
    <row r="1251" spans="1:9">
      <c r="A1251" s="22"/>
      <c r="B1251" s="22"/>
      <c r="D1251" s="27"/>
      <c r="E1251" s="27"/>
      <c r="F1251" s="27"/>
      <c r="G1251" s="27"/>
      <c r="H1251" s="27"/>
      <c r="I1251" s="27"/>
    </row>
    <row r="1252" spans="1:9">
      <c r="A1252" s="22"/>
      <c r="B1252" s="22"/>
      <c r="D1252" s="27"/>
      <c r="E1252" s="27"/>
      <c r="F1252" s="27"/>
      <c r="G1252" s="27"/>
      <c r="H1252" s="27"/>
      <c r="I1252" s="27"/>
    </row>
    <row r="1253" spans="1:9">
      <c r="A1253" s="22"/>
      <c r="B1253" s="22"/>
      <c r="D1253" s="27"/>
      <c r="E1253" s="27"/>
      <c r="F1253" s="27"/>
      <c r="G1253" s="27"/>
      <c r="H1253" s="27"/>
      <c r="I1253" s="27"/>
    </row>
    <row r="1254" spans="1:9">
      <c r="A1254" s="22"/>
      <c r="B1254" s="22"/>
      <c r="D1254" s="27"/>
      <c r="E1254" s="27"/>
      <c r="F1254" s="27"/>
      <c r="G1254" s="27"/>
      <c r="H1254" s="27"/>
      <c r="I1254" s="27"/>
    </row>
    <row r="1255" spans="1:9">
      <c r="A1255" s="22"/>
      <c r="B1255" s="22"/>
      <c r="D1255" s="27"/>
      <c r="E1255" s="27"/>
      <c r="F1255" s="27"/>
      <c r="G1255" s="27"/>
      <c r="H1255" s="27"/>
      <c r="I1255" s="27"/>
    </row>
    <row r="1256" spans="1:9">
      <c r="A1256" s="22"/>
      <c r="B1256" s="22"/>
      <c r="D1256" s="27"/>
      <c r="E1256" s="27"/>
      <c r="F1256" s="27"/>
      <c r="G1256" s="27"/>
      <c r="H1256" s="27"/>
      <c r="I1256" s="27"/>
    </row>
    <row r="1257" spans="1:9">
      <c r="A1257" s="22"/>
      <c r="B1257" s="22"/>
      <c r="D1257" s="27"/>
      <c r="E1257" s="27"/>
      <c r="F1257" s="27"/>
      <c r="G1257" s="27"/>
      <c r="H1257" s="27"/>
      <c r="I1257" s="27"/>
    </row>
    <row r="1258" spans="1:9">
      <c r="A1258" s="22"/>
      <c r="B1258" s="22"/>
      <c r="D1258" s="27"/>
      <c r="E1258" s="27"/>
      <c r="F1258" s="27"/>
      <c r="G1258" s="27"/>
      <c r="H1258" s="27"/>
      <c r="I1258" s="27"/>
    </row>
    <row r="1259" spans="1:9">
      <c r="A1259" s="22"/>
      <c r="B1259" s="22"/>
      <c r="D1259" s="27"/>
      <c r="E1259" s="27"/>
      <c r="F1259" s="27"/>
      <c r="G1259" s="27"/>
      <c r="H1259" s="27"/>
      <c r="I1259" s="27"/>
    </row>
    <row r="1260" spans="1:9">
      <c r="A1260" s="22"/>
      <c r="B1260" s="22"/>
      <c r="D1260" s="27"/>
      <c r="E1260" s="27"/>
      <c r="F1260" s="27"/>
      <c r="G1260" s="27"/>
      <c r="H1260" s="27"/>
      <c r="I1260" s="27"/>
    </row>
    <row r="1261" spans="1:9">
      <c r="A1261" s="22"/>
      <c r="B1261" s="22"/>
      <c r="D1261" s="27"/>
      <c r="E1261" s="27"/>
      <c r="F1261" s="27"/>
      <c r="G1261" s="27"/>
      <c r="H1261" s="27"/>
      <c r="I1261" s="27"/>
    </row>
    <row r="1262" spans="1:9">
      <c r="A1262" s="22"/>
      <c r="B1262" s="22"/>
      <c r="D1262" s="27"/>
      <c r="E1262" s="27"/>
      <c r="F1262" s="27"/>
      <c r="G1262" s="27"/>
      <c r="H1262" s="27"/>
      <c r="I1262" s="27"/>
    </row>
    <row r="1263" spans="1:9">
      <c r="A1263" s="22"/>
      <c r="B1263" s="22"/>
      <c r="D1263" s="27"/>
      <c r="E1263" s="27"/>
      <c r="F1263" s="27"/>
      <c r="G1263" s="27"/>
      <c r="H1263" s="27"/>
      <c r="I1263" s="27"/>
    </row>
    <row r="1264" spans="1:9">
      <c r="A1264" s="22"/>
      <c r="B1264" s="22"/>
      <c r="D1264" s="27"/>
      <c r="E1264" s="27"/>
      <c r="F1264" s="27"/>
      <c r="G1264" s="27"/>
      <c r="H1264" s="27"/>
      <c r="I1264" s="27"/>
    </row>
    <row r="1265" spans="1:9">
      <c r="A1265" s="22"/>
      <c r="B1265" s="22"/>
      <c r="D1265" s="27"/>
      <c r="E1265" s="27"/>
      <c r="F1265" s="27"/>
      <c r="G1265" s="27"/>
      <c r="H1265" s="27"/>
      <c r="I1265" s="27"/>
    </row>
    <row r="1266" spans="1:9">
      <c r="A1266" s="22"/>
      <c r="B1266" s="22"/>
      <c r="D1266" s="27"/>
      <c r="E1266" s="27"/>
      <c r="F1266" s="27"/>
      <c r="G1266" s="27"/>
      <c r="H1266" s="27"/>
      <c r="I1266" s="27"/>
    </row>
    <row r="1267" spans="1:9">
      <c r="A1267" s="22"/>
      <c r="B1267" s="22"/>
      <c r="D1267" s="27"/>
      <c r="E1267" s="27"/>
      <c r="F1267" s="27"/>
      <c r="G1267" s="27"/>
      <c r="H1267" s="27"/>
      <c r="I1267" s="27"/>
    </row>
    <row r="1268" spans="1:9">
      <c r="A1268" s="22"/>
      <c r="B1268" s="22"/>
      <c r="D1268" s="27"/>
      <c r="E1268" s="27"/>
      <c r="F1268" s="27"/>
      <c r="G1268" s="27"/>
      <c r="H1268" s="27"/>
      <c r="I1268" s="27"/>
    </row>
    <row r="1269" spans="1:9">
      <c r="A1269" s="22"/>
      <c r="B1269" s="22"/>
      <c r="D1269" s="27"/>
      <c r="E1269" s="27"/>
      <c r="F1269" s="27"/>
      <c r="G1269" s="27"/>
      <c r="H1269" s="27"/>
      <c r="I1269" s="27"/>
    </row>
    <row r="1270" spans="1:9">
      <c r="A1270" s="22"/>
      <c r="B1270" s="22"/>
      <c r="D1270" s="27"/>
      <c r="E1270" s="27"/>
      <c r="F1270" s="27"/>
      <c r="G1270" s="27"/>
      <c r="H1270" s="27"/>
      <c r="I1270" s="27"/>
    </row>
    <row r="1271" spans="1:9">
      <c r="A1271" s="22"/>
      <c r="B1271" s="22"/>
      <c r="D1271" s="27"/>
      <c r="E1271" s="27"/>
      <c r="F1271" s="27"/>
      <c r="G1271" s="27"/>
      <c r="H1271" s="27"/>
      <c r="I1271" s="27"/>
    </row>
    <row r="1272" spans="1:9">
      <c r="A1272" s="22"/>
      <c r="B1272" s="22"/>
      <c r="D1272" s="27"/>
      <c r="E1272" s="27"/>
      <c r="F1272" s="27"/>
      <c r="G1272" s="27"/>
      <c r="H1272" s="27"/>
      <c r="I1272" s="27"/>
    </row>
    <row r="1273" spans="1:9">
      <c r="A1273" s="22"/>
      <c r="B1273" s="22"/>
      <c r="D1273" s="27"/>
      <c r="E1273" s="27"/>
      <c r="F1273" s="27"/>
      <c r="G1273" s="27"/>
      <c r="H1273" s="27"/>
      <c r="I1273" s="27"/>
    </row>
    <row r="1274" spans="1:9">
      <c r="A1274" s="22"/>
      <c r="B1274" s="22"/>
      <c r="D1274" s="27"/>
      <c r="E1274" s="27"/>
      <c r="F1274" s="27"/>
      <c r="G1274" s="27"/>
      <c r="H1274" s="27"/>
      <c r="I1274" s="27"/>
    </row>
    <row r="1275" spans="1:9">
      <c r="A1275" s="22"/>
      <c r="B1275" s="22"/>
      <c r="D1275" s="27"/>
      <c r="E1275" s="27"/>
      <c r="F1275" s="27"/>
      <c r="G1275" s="27"/>
      <c r="H1275" s="27"/>
      <c r="I1275" s="27"/>
    </row>
    <row r="1276" spans="1:9">
      <c r="A1276" s="22"/>
      <c r="B1276" s="22"/>
      <c r="D1276" s="27"/>
      <c r="E1276" s="27"/>
      <c r="F1276" s="27"/>
      <c r="G1276" s="27"/>
      <c r="H1276" s="27"/>
      <c r="I1276" s="27"/>
    </row>
    <row r="1277" spans="1:9">
      <c r="A1277" s="22"/>
      <c r="B1277" s="22"/>
      <c r="D1277" s="27"/>
      <c r="E1277" s="27"/>
      <c r="F1277" s="27"/>
      <c r="G1277" s="27"/>
      <c r="H1277" s="27"/>
      <c r="I1277" s="27"/>
    </row>
    <row r="1278" spans="1:9">
      <c r="A1278" s="22"/>
      <c r="B1278" s="22"/>
      <c r="D1278" s="27"/>
      <c r="E1278" s="27"/>
      <c r="F1278" s="27"/>
      <c r="G1278" s="27"/>
      <c r="H1278" s="27"/>
      <c r="I1278" s="27"/>
    </row>
    <row r="1279" spans="1:9">
      <c r="A1279" s="22"/>
      <c r="B1279" s="22"/>
      <c r="D1279" s="27"/>
      <c r="E1279" s="27"/>
      <c r="F1279" s="27"/>
      <c r="G1279" s="27"/>
      <c r="H1279" s="27"/>
      <c r="I1279" s="27"/>
    </row>
    <row r="1280" spans="1:9">
      <c r="A1280" s="22"/>
      <c r="B1280" s="22"/>
      <c r="D1280" s="27"/>
      <c r="E1280" s="27"/>
      <c r="F1280" s="27"/>
      <c r="G1280" s="27"/>
      <c r="H1280" s="27"/>
      <c r="I1280" s="27"/>
    </row>
    <row r="1281" spans="1:9">
      <c r="A1281" s="22"/>
      <c r="B1281" s="22"/>
      <c r="D1281" s="27"/>
      <c r="E1281" s="27"/>
      <c r="F1281" s="27"/>
      <c r="G1281" s="27"/>
      <c r="H1281" s="27"/>
      <c r="I1281" s="27"/>
    </row>
    <row r="1282" spans="1:9">
      <c r="A1282" s="22"/>
      <c r="B1282" s="22"/>
      <c r="D1282" s="27"/>
      <c r="E1282" s="27"/>
      <c r="F1282" s="27"/>
      <c r="G1282" s="27"/>
      <c r="H1282" s="27"/>
      <c r="I1282" s="27"/>
    </row>
    <row r="1283" spans="1:9">
      <c r="A1283" s="22"/>
      <c r="B1283" s="22"/>
      <c r="D1283" s="27"/>
      <c r="E1283" s="27"/>
      <c r="F1283" s="27"/>
      <c r="G1283" s="27"/>
      <c r="H1283" s="27"/>
      <c r="I1283" s="27"/>
    </row>
    <row r="1284" spans="1:9">
      <c r="A1284" s="22"/>
      <c r="B1284" s="22"/>
      <c r="D1284" s="27"/>
      <c r="E1284" s="27"/>
      <c r="F1284" s="27"/>
      <c r="G1284" s="27"/>
      <c r="H1284" s="27"/>
      <c r="I1284" s="27"/>
    </row>
    <row r="1285" spans="1:9">
      <c r="A1285" s="22"/>
      <c r="B1285" s="22"/>
      <c r="D1285" s="27"/>
      <c r="E1285" s="27"/>
      <c r="F1285" s="27"/>
      <c r="G1285" s="27"/>
      <c r="H1285" s="27"/>
      <c r="I1285" s="27"/>
    </row>
    <row r="1286" spans="1:9">
      <c r="A1286" s="22"/>
      <c r="B1286" s="22"/>
      <c r="D1286" s="27"/>
      <c r="E1286" s="27"/>
      <c r="F1286" s="27"/>
      <c r="G1286" s="27"/>
      <c r="H1286" s="27"/>
      <c r="I1286" s="27"/>
    </row>
    <row r="1287" spans="1:9">
      <c r="A1287" s="22"/>
      <c r="B1287" s="22"/>
      <c r="D1287" s="27"/>
      <c r="E1287" s="27"/>
      <c r="F1287" s="27"/>
      <c r="G1287" s="27"/>
      <c r="H1287" s="27"/>
      <c r="I1287" s="27"/>
    </row>
    <row r="1288" spans="1:9">
      <c r="A1288" s="22"/>
      <c r="B1288" s="22"/>
      <c r="D1288" s="27"/>
      <c r="E1288" s="27"/>
      <c r="F1288" s="27"/>
      <c r="G1288" s="27"/>
      <c r="H1288" s="27"/>
      <c r="I1288" s="27"/>
    </row>
    <row r="1289" spans="1:9">
      <c r="A1289" s="22"/>
      <c r="B1289" s="22"/>
      <c r="D1289" s="27"/>
      <c r="E1289" s="27"/>
      <c r="F1289" s="27"/>
      <c r="G1289" s="27"/>
      <c r="H1289" s="27"/>
      <c r="I1289" s="27"/>
    </row>
    <row r="1290" spans="1:9">
      <c r="A1290" s="22"/>
      <c r="B1290" s="22"/>
      <c r="D1290" s="27"/>
      <c r="E1290" s="27"/>
      <c r="F1290" s="27"/>
      <c r="G1290" s="27"/>
      <c r="H1290" s="27"/>
      <c r="I1290" s="27"/>
    </row>
    <row r="1291" spans="1:9">
      <c r="A1291" s="22"/>
      <c r="B1291" s="22"/>
      <c r="D1291" s="27"/>
      <c r="E1291" s="27"/>
      <c r="F1291" s="27"/>
      <c r="G1291" s="27"/>
      <c r="H1291" s="27"/>
      <c r="I1291" s="27"/>
    </row>
    <row r="1292" spans="1:9">
      <c r="A1292" s="23"/>
      <c r="B1292" s="22"/>
      <c r="D1292" s="27"/>
      <c r="E1292" s="27"/>
      <c r="F1292" s="27"/>
      <c r="G1292" s="27"/>
      <c r="H1292" s="27"/>
      <c r="I1292" s="27"/>
    </row>
    <row r="1293" spans="1:9">
      <c r="A1293" s="22"/>
      <c r="B1293" s="22"/>
      <c r="D1293" s="27"/>
      <c r="E1293" s="27"/>
      <c r="F1293" s="27"/>
      <c r="G1293" s="27"/>
      <c r="H1293" s="27"/>
      <c r="I1293" s="27"/>
    </row>
    <row r="1294" spans="1:9">
      <c r="A1294" s="22"/>
      <c r="B1294" s="22"/>
      <c r="D1294" s="27"/>
      <c r="E1294" s="27"/>
      <c r="F1294" s="27"/>
      <c r="G1294" s="27"/>
      <c r="H1294" s="27"/>
      <c r="I1294" s="27"/>
    </row>
    <row r="1295" spans="1:9">
      <c r="A1295" s="22"/>
      <c r="B1295" s="22"/>
      <c r="D1295" s="27"/>
      <c r="E1295" s="27"/>
      <c r="F1295" s="27"/>
      <c r="G1295" s="27"/>
      <c r="H1295" s="27"/>
      <c r="I1295" s="27"/>
    </row>
    <row r="1296" spans="1:9">
      <c r="A1296" s="22"/>
      <c r="B1296" s="22"/>
      <c r="D1296" s="27"/>
      <c r="E1296" s="27"/>
      <c r="F1296" s="27"/>
      <c r="G1296" s="27"/>
      <c r="H1296" s="27"/>
      <c r="I1296" s="27"/>
    </row>
    <row r="1297" spans="1:9">
      <c r="A1297" s="22"/>
      <c r="B1297" s="22"/>
      <c r="D1297" s="27"/>
      <c r="E1297" s="27"/>
      <c r="F1297" s="27"/>
      <c r="G1297" s="27"/>
      <c r="H1297" s="27"/>
      <c r="I1297" s="27"/>
    </row>
    <row r="1298" spans="1:9">
      <c r="A1298" s="22"/>
      <c r="B1298" s="22"/>
      <c r="D1298" s="27"/>
      <c r="E1298" s="27"/>
      <c r="F1298" s="27"/>
      <c r="G1298" s="27"/>
      <c r="H1298" s="27"/>
      <c r="I1298" s="27"/>
    </row>
    <row r="1299" spans="1:9">
      <c r="A1299" s="22"/>
      <c r="B1299" s="22"/>
      <c r="D1299" s="27"/>
      <c r="E1299" s="27"/>
      <c r="F1299" s="27"/>
      <c r="G1299" s="27"/>
      <c r="H1299" s="27"/>
      <c r="I1299" s="27"/>
    </row>
    <row r="1300" spans="1:9">
      <c r="A1300" s="22"/>
      <c r="B1300" s="22"/>
      <c r="D1300" s="27"/>
      <c r="E1300" s="27"/>
      <c r="F1300" s="27"/>
      <c r="G1300" s="27"/>
      <c r="H1300" s="27"/>
      <c r="I1300" s="27"/>
    </row>
    <row r="1301" spans="1:9">
      <c r="A1301" s="22"/>
      <c r="B1301" s="22"/>
      <c r="D1301" s="27"/>
      <c r="E1301" s="27"/>
      <c r="F1301" s="27"/>
      <c r="G1301" s="27"/>
      <c r="H1301" s="27"/>
      <c r="I1301" s="27"/>
    </row>
    <row r="1302" spans="1:9">
      <c r="A1302" s="22"/>
      <c r="B1302" s="22"/>
      <c r="D1302" s="27"/>
      <c r="E1302" s="27"/>
      <c r="F1302" s="27"/>
      <c r="G1302" s="27"/>
      <c r="H1302" s="27"/>
      <c r="I1302" s="27"/>
    </row>
    <row r="1303" spans="1:9">
      <c r="A1303" s="22"/>
      <c r="B1303" s="22"/>
      <c r="D1303" s="27"/>
      <c r="E1303" s="27"/>
      <c r="F1303" s="27"/>
      <c r="G1303" s="27"/>
      <c r="H1303" s="27"/>
      <c r="I1303" s="27"/>
    </row>
    <row r="1304" spans="1:9">
      <c r="A1304" s="25"/>
      <c r="B1304" s="22"/>
      <c r="D1304" s="27"/>
      <c r="E1304" s="27"/>
      <c r="F1304" s="27"/>
      <c r="G1304" s="27"/>
      <c r="H1304" s="27"/>
      <c r="I1304" s="27"/>
    </row>
    <row r="1305" spans="1:9">
      <c r="A1305" s="22"/>
      <c r="B1305" s="22"/>
      <c r="D1305" s="27"/>
      <c r="E1305" s="27"/>
      <c r="F1305" s="27"/>
      <c r="G1305" s="27"/>
      <c r="H1305" s="27"/>
      <c r="I1305" s="27"/>
    </row>
    <row r="1306" spans="1:9">
      <c r="A1306" s="22"/>
      <c r="B1306" s="22"/>
      <c r="D1306" s="27"/>
      <c r="E1306" s="27"/>
      <c r="F1306" s="27"/>
      <c r="G1306" s="27"/>
      <c r="H1306" s="27"/>
      <c r="I1306" s="27"/>
    </row>
    <row r="1307" spans="1:9">
      <c r="A1307" s="22"/>
      <c r="B1307" s="22"/>
      <c r="D1307" s="27"/>
      <c r="E1307" s="27"/>
      <c r="F1307" s="27"/>
      <c r="G1307" s="27"/>
      <c r="H1307" s="27"/>
      <c r="I1307" s="27"/>
    </row>
    <row r="1308" spans="1:9">
      <c r="A1308" s="22"/>
      <c r="B1308" s="22"/>
      <c r="D1308" s="27"/>
      <c r="E1308" s="27"/>
      <c r="F1308" s="27"/>
      <c r="G1308" s="27"/>
      <c r="H1308" s="27"/>
      <c r="I1308" s="27"/>
    </row>
    <row r="1309" spans="1:9">
      <c r="A1309" s="22"/>
      <c r="B1309" s="22"/>
      <c r="D1309" s="27"/>
      <c r="E1309" s="27"/>
      <c r="F1309" s="27"/>
      <c r="G1309" s="27"/>
      <c r="H1309" s="27"/>
      <c r="I1309" s="27"/>
    </row>
    <row r="1310" spans="1:9">
      <c r="A1310" s="22"/>
      <c r="B1310" s="22"/>
      <c r="D1310" s="27"/>
      <c r="E1310" s="27"/>
      <c r="F1310" s="27"/>
      <c r="G1310" s="27"/>
      <c r="H1310" s="27"/>
      <c r="I1310" s="27"/>
    </row>
    <row r="1311" spans="1:9">
      <c r="A1311" s="22"/>
      <c r="B1311" s="22"/>
      <c r="D1311" s="27"/>
      <c r="E1311" s="27"/>
      <c r="F1311" s="27"/>
      <c r="G1311" s="27"/>
      <c r="H1311" s="27"/>
      <c r="I1311" s="27"/>
    </row>
    <row r="1312" spans="1:9">
      <c r="A1312" s="22"/>
      <c r="B1312" s="22"/>
      <c r="D1312" s="27"/>
      <c r="E1312" s="27"/>
      <c r="F1312" s="27"/>
      <c r="G1312" s="27"/>
      <c r="H1312" s="27"/>
      <c r="I1312" s="27"/>
    </row>
    <row r="1313" spans="1:9">
      <c r="A1313" s="22"/>
      <c r="B1313" s="22"/>
      <c r="D1313" s="27"/>
      <c r="E1313" s="27"/>
      <c r="F1313" s="27"/>
      <c r="G1313" s="27"/>
      <c r="H1313" s="27"/>
      <c r="I1313" s="27"/>
    </row>
    <row r="1314" spans="1:9">
      <c r="A1314" s="22"/>
      <c r="B1314" s="22"/>
      <c r="D1314" s="27"/>
      <c r="E1314" s="27"/>
      <c r="F1314" s="27"/>
      <c r="G1314" s="27"/>
      <c r="H1314" s="27"/>
      <c r="I1314" s="27"/>
    </row>
    <row r="1315" spans="1:9">
      <c r="A1315" s="22"/>
      <c r="B1315" s="22"/>
      <c r="D1315" s="27"/>
      <c r="E1315" s="27"/>
      <c r="F1315" s="27"/>
      <c r="G1315" s="27"/>
      <c r="H1315" s="27"/>
      <c r="I1315" s="27"/>
    </row>
    <row r="1316" spans="1:9">
      <c r="A1316" s="22"/>
      <c r="B1316" s="22"/>
      <c r="D1316" s="27"/>
      <c r="E1316" s="27"/>
      <c r="F1316" s="27"/>
      <c r="G1316" s="27"/>
      <c r="H1316" s="27"/>
      <c r="I1316" s="27"/>
    </row>
    <row r="1317" spans="1:9">
      <c r="A1317" s="22"/>
      <c r="B1317" s="22"/>
      <c r="D1317" s="27"/>
      <c r="E1317" s="27"/>
      <c r="F1317" s="27"/>
      <c r="G1317" s="27"/>
      <c r="H1317" s="27"/>
      <c r="I1317" s="27"/>
    </row>
    <row r="1318" spans="1:9">
      <c r="A1318" s="22"/>
      <c r="B1318" s="22"/>
      <c r="D1318" s="27"/>
      <c r="E1318" s="27"/>
      <c r="F1318" s="27"/>
      <c r="G1318" s="27"/>
      <c r="H1318" s="27"/>
      <c r="I1318" s="27"/>
    </row>
    <row r="1319" spans="1:9">
      <c r="A1319" s="22"/>
      <c r="B1319" s="22"/>
      <c r="D1319" s="27"/>
      <c r="E1319" s="27"/>
      <c r="F1319" s="27"/>
      <c r="G1319" s="27"/>
      <c r="H1319" s="27"/>
      <c r="I1319" s="27"/>
    </row>
    <row r="1320" spans="1:9">
      <c r="A1320" s="22"/>
      <c r="B1320" s="22"/>
      <c r="D1320" s="27"/>
      <c r="E1320" s="27"/>
      <c r="F1320" s="27"/>
      <c r="G1320" s="27"/>
      <c r="H1320" s="27"/>
      <c r="I1320" s="27"/>
    </row>
    <row r="1321" spans="1:9">
      <c r="A1321" s="22"/>
      <c r="B1321" s="22"/>
      <c r="D1321" s="27"/>
      <c r="E1321" s="27"/>
      <c r="F1321" s="27"/>
      <c r="G1321" s="27"/>
      <c r="H1321" s="27"/>
      <c r="I1321" s="27"/>
    </row>
    <row r="1322" spans="1:9">
      <c r="A1322" s="22"/>
      <c r="B1322" s="22"/>
      <c r="D1322" s="27"/>
      <c r="E1322" s="27"/>
      <c r="F1322" s="27"/>
      <c r="G1322" s="27"/>
      <c r="H1322" s="27"/>
      <c r="I1322" s="27"/>
    </row>
    <row r="1323" spans="1:9">
      <c r="A1323" s="22"/>
      <c r="B1323" s="22"/>
      <c r="D1323" s="27"/>
      <c r="E1323" s="27"/>
      <c r="F1323" s="27"/>
      <c r="G1323" s="27"/>
      <c r="H1323" s="27"/>
      <c r="I1323" s="27"/>
    </row>
    <row r="1324" spans="1:9">
      <c r="A1324" s="22"/>
      <c r="B1324" s="22"/>
      <c r="D1324" s="27"/>
      <c r="E1324" s="27"/>
      <c r="F1324" s="27"/>
      <c r="G1324" s="27"/>
      <c r="H1324" s="27"/>
      <c r="I1324" s="27"/>
    </row>
    <row r="1325" spans="1:9">
      <c r="A1325" s="22"/>
      <c r="B1325" s="22"/>
      <c r="D1325" s="27"/>
      <c r="E1325" s="27"/>
      <c r="F1325" s="27"/>
      <c r="G1325" s="27"/>
      <c r="H1325" s="27"/>
      <c r="I1325" s="27"/>
    </row>
    <row r="1326" spans="1:9">
      <c r="A1326" s="22"/>
      <c r="B1326" s="22"/>
      <c r="D1326" s="27"/>
      <c r="E1326" s="27"/>
      <c r="F1326" s="27"/>
      <c r="G1326" s="27"/>
      <c r="H1326" s="27"/>
      <c r="I1326" s="27"/>
    </row>
    <row r="1327" spans="1:9">
      <c r="A1327" s="22"/>
      <c r="B1327" s="22"/>
      <c r="D1327" s="27"/>
      <c r="E1327" s="27"/>
      <c r="F1327" s="27"/>
      <c r="G1327" s="27"/>
      <c r="H1327" s="27"/>
      <c r="I1327" s="27"/>
    </row>
    <row r="1328" spans="1:9">
      <c r="A1328" s="22"/>
      <c r="B1328" s="22"/>
      <c r="D1328" s="27"/>
      <c r="E1328" s="27"/>
      <c r="F1328" s="27"/>
      <c r="G1328" s="27"/>
      <c r="H1328" s="27"/>
      <c r="I1328" s="27"/>
    </row>
    <row r="1329" spans="1:9">
      <c r="A1329" s="22"/>
      <c r="B1329" s="22"/>
      <c r="D1329" s="27"/>
      <c r="E1329" s="27"/>
      <c r="F1329" s="27"/>
      <c r="G1329" s="27"/>
      <c r="H1329" s="27"/>
      <c r="I1329" s="27"/>
    </row>
    <row r="1330" spans="1:9">
      <c r="A1330" s="22"/>
      <c r="B1330" s="22"/>
      <c r="D1330" s="27"/>
      <c r="E1330" s="27"/>
      <c r="F1330" s="27"/>
      <c r="G1330" s="27"/>
      <c r="H1330" s="27"/>
      <c r="I1330" s="27"/>
    </row>
    <row r="1331" spans="1:9">
      <c r="A1331" s="22"/>
      <c r="B1331" s="22"/>
      <c r="D1331" s="27"/>
      <c r="E1331" s="27"/>
      <c r="F1331" s="27"/>
      <c r="G1331" s="27"/>
      <c r="H1331" s="27"/>
      <c r="I1331" s="27"/>
    </row>
    <row r="1332" spans="1:9">
      <c r="A1332" s="22"/>
      <c r="B1332" s="22"/>
      <c r="D1332" s="27"/>
      <c r="E1332" s="27"/>
      <c r="F1332" s="27"/>
      <c r="G1332" s="27"/>
      <c r="H1332" s="27"/>
      <c r="I1332" s="27"/>
    </row>
    <row r="1333" spans="1:9">
      <c r="A1333" s="22"/>
      <c r="B1333" s="22"/>
      <c r="D1333" s="27"/>
      <c r="E1333" s="27"/>
      <c r="F1333" s="27"/>
      <c r="G1333" s="27"/>
      <c r="H1333" s="27"/>
      <c r="I1333" s="27"/>
    </row>
    <row r="1334" spans="1:9">
      <c r="A1334" s="22"/>
      <c r="B1334" s="22"/>
      <c r="D1334" s="27"/>
      <c r="E1334" s="27"/>
      <c r="F1334" s="27"/>
      <c r="G1334" s="27"/>
      <c r="H1334" s="27"/>
      <c r="I1334" s="27"/>
    </row>
    <row r="1335" spans="1:9">
      <c r="A1335" s="22"/>
      <c r="B1335" s="22"/>
      <c r="D1335" s="27"/>
      <c r="E1335" s="27"/>
      <c r="F1335" s="27"/>
      <c r="G1335" s="27"/>
      <c r="H1335" s="27"/>
      <c r="I1335" s="27"/>
    </row>
    <row r="1336" spans="1:9">
      <c r="A1336" s="22"/>
      <c r="B1336" s="22"/>
      <c r="D1336" s="27"/>
      <c r="E1336" s="27"/>
      <c r="F1336" s="27"/>
      <c r="G1336" s="27"/>
      <c r="H1336" s="27"/>
      <c r="I1336" s="27"/>
    </row>
    <row r="1337" spans="1:9">
      <c r="A1337" s="22"/>
      <c r="B1337" s="22"/>
      <c r="D1337" s="27"/>
      <c r="E1337" s="27"/>
      <c r="F1337" s="27"/>
      <c r="G1337" s="27"/>
      <c r="H1337" s="27"/>
      <c r="I1337" s="27"/>
    </row>
    <row r="1338" spans="1:9">
      <c r="A1338" s="22"/>
      <c r="B1338" s="22"/>
      <c r="D1338" s="27"/>
      <c r="E1338" s="27"/>
      <c r="F1338" s="27"/>
      <c r="G1338" s="27"/>
      <c r="H1338" s="27"/>
      <c r="I1338" s="27"/>
    </row>
    <row r="1339" spans="1:9">
      <c r="A1339" s="22"/>
      <c r="B1339" s="22"/>
      <c r="D1339" s="27"/>
      <c r="E1339" s="27"/>
      <c r="F1339" s="27"/>
      <c r="G1339" s="27"/>
      <c r="H1339" s="27"/>
      <c r="I1339" s="27"/>
    </row>
    <row r="1340" spans="1:9">
      <c r="A1340" s="22"/>
      <c r="B1340" s="22"/>
      <c r="D1340" s="27"/>
      <c r="E1340" s="27"/>
      <c r="F1340" s="27"/>
      <c r="G1340" s="27"/>
      <c r="H1340" s="27"/>
      <c r="I1340" s="27"/>
    </row>
    <row r="1341" spans="1:9">
      <c r="A1341" s="22"/>
      <c r="B1341" s="22"/>
      <c r="D1341" s="27"/>
      <c r="E1341" s="27"/>
      <c r="F1341" s="27"/>
      <c r="G1341" s="27"/>
      <c r="H1341" s="27"/>
      <c r="I1341" s="27"/>
    </row>
    <row r="1342" spans="1:9">
      <c r="A1342" s="22"/>
      <c r="B1342" s="22"/>
      <c r="D1342" s="27"/>
      <c r="E1342" s="27"/>
      <c r="F1342" s="27"/>
      <c r="G1342" s="27"/>
      <c r="H1342" s="27"/>
      <c r="I1342" s="27"/>
    </row>
    <row r="1343" spans="1:9">
      <c r="A1343" s="22"/>
      <c r="B1343" s="22"/>
      <c r="D1343" s="27"/>
      <c r="E1343" s="27"/>
      <c r="F1343" s="27"/>
      <c r="G1343" s="27"/>
      <c r="H1343" s="27"/>
      <c r="I1343" s="27"/>
    </row>
    <row r="1344" spans="1:9">
      <c r="A1344" s="22"/>
      <c r="B1344" s="22"/>
      <c r="D1344" s="27"/>
      <c r="E1344" s="27"/>
      <c r="F1344" s="27"/>
      <c r="G1344" s="27"/>
      <c r="H1344" s="27"/>
      <c r="I1344" s="27"/>
    </row>
    <row r="1345" spans="1:9">
      <c r="A1345" s="22"/>
      <c r="B1345" s="22"/>
      <c r="D1345" s="27"/>
      <c r="E1345" s="27"/>
      <c r="F1345" s="27"/>
      <c r="G1345" s="27"/>
      <c r="H1345" s="27"/>
      <c r="I1345" s="27"/>
    </row>
    <row r="1346" spans="1:9">
      <c r="A1346" s="22"/>
      <c r="B1346" s="22"/>
      <c r="D1346" s="27"/>
      <c r="E1346" s="27"/>
      <c r="F1346" s="27"/>
      <c r="G1346" s="27"/>
      <c r="H1346" s="27"/>
      <c r="I1346" s="27"/>
    </row>
    <row r="1347" spans="1:9">
      <c r="A1347" s="22"/>
      <c r="B1347" s="22"/>
      <c r="D1347" s="27"/>
      <c r="E1347" s="27"/>
      <c r="F1347" s="27"/>
      <c r="G1347" s="27"/>
      <c r="H1347" s="27"/>
      <c r="I1347" s="27"/>
    </row>
    <row r="1348" spans="1:9">
      <c r="A1348" s="22"/>
      <c r="B1348" s="22"/>
      <c r="D1348" s="27"/>
      <c r="E1348" s="27"/>
      <c r="F1348" s="27"/>
      <c r="G1348" s="27"/>
      <c r="H1348" s="27"/>
      <c r="I1348" s="27"/>
    </row>
    <row r="1349" spans="1:9">
      <c r="A1349" s="22"/>
      <c r="B1349" s="22"/>
      <c r="D1349" s="27"/>
      <c r="E1349" s="27"/>
      <c r="F1349" s="27"/>
      <c r="G1349" s="27"/>
      <c r="H1349" s="27"/>
      <c r="I1349" s="27"/>
    </row>
    <row r="1350" spans="1:9">
      <c r="A1350" s="22"/>
      <c r="B1350" s="22"/>
      <c r="D1350" s="27"/>
      <c r="E1350" s="27"/>
      <c r="F1350" s="27"/>
      <c r="G1350" s="27"/>
      <c r="H1350" s="27"/>
      <c r="I1350" s="27"/>
    </row>
    <row r="1351" spans="1:9">
      <c r="A1351" s="22"/>
      <c r="B1351" s="22"/>
      <c r="D1351" s="27"/>
      <c r="E1351" s="27"/>
      <c r="F1351" s="27"/>
      <c r="G1351" s="27"/>
      <c r="H1351" s="27"/>
      <c r="I1351" s="27"/>
    </row>
    <row r="1352" spans="1:9">
      <c r="A1352" s="22"/>
      <c r="B1352" s="22"/>
      <c r="D1352" s="27"/>
      <c r="E1352" s="27"/>
      <c r="F1352" s="27"/>
      <c r="G1352" s="27"/>
      <c r="H1352" s="27"/>
      <c r="I1352" s="27"/>
    </row>
    <row r="1353" spans="1:9">
      <c r="A1353" s="22"/>
      <c r="B1353" s="22"/>
      <c r="D1353" s="27"/>
      <c r="E1353" s="27"/>
      <c r="F1353" s="27"/>
      <c r="G1353" s="27"/>
      <c r="H1353" s="27"/>
      <c r="I1353" s="2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D28"/>
  <sheetViews>
    <sheetView workbookViewId="0">
      <selection activeCell="C30" sqref="C30"/>
    </sheetView>
  </sheetViews>
  <sheetFormatPr defaultRowHeight="12.75"/>
  <sheetData>
    <row r="1" spans="1:4" ht="30">
      <c r="A1" s="40" t="s">
        <v>50</v>
      </c>
      <c r="B1" s="40" t="s">
        <v>51</v>
      </c>
      <c r="C1" s="40" t="s">
        <v>52</v>
      </c>
      <c r="D1" s="40" t="s">
        <v>53</v>
      </c>
    </row>
    <row r="2" spans="1:4">
      <c r="A2">
        <v>325</v>
      </c>
      <c r="B2">
        <v>402</v>
      </c>
      <c r="C2">
        <v>0</v>
      </c>
      <c r="D2">
        <v>402</v>
      </c>
    </row>
    <row r="3" spans="1:4">
      <c r="A3">
        <v>326</v>
      </c>
      <c r="B3">
        <v>748</v>
      </c>
      <c r="C3">
        <v>1</v>
      </c>
      <c r="D3">
        <v>2995</v>
      </c>
    </row>
    <row r="4" spans="1:4">
      <c r="A4">
        <v>328</v>
      </c>
      <c r="B4">
        <v>58</v>
      </c>
      <c r="C4">
        <v>3</v>
      </c>
      <c r="D4">
        <v>6799</v>
      </c>
    </row>
    <row r="5" spans="1:4">
      <c r="A5">
        <v>329</v>
      </c>
      <c r="B5">
        <v>455.57799999999997</v>
      </c>
      <c r="C5">
        <v>4</v>
      </c>
      <c r="D5">
        <v>9443.5779999999995</v>
      </c>
    </row>
    <row r="6" spans="1:4">
      <c r="A6">
        <v>330</v>
      </c>
      <c r="B6">
        <v>817</v>
      </c>
      <c r="C6">
        <v>5</v>
      </c>
      <c r="D6">
        <v>12052</v>
      </c>
    </row>
    <row r="7" spans="1:4">
      <c r="A7">
        <v>332</v>
      </c>
      <c r="B7">
        <v>116</v>
      </c>
      <c r="C7">
        <v>7</v>
      </c>
      <c r="D7">
        <v>15845</v>
      </c>
    </row>
    <row r="8" spans="1:4">
      <c r="A8">
        <v>333</v>
      </c>
      <c r="B8">
        <v>496</v>
      </c>
      <c r="C8">
        <v>8</v>
      </c>
      <c r="D8">
        <v>18472</v>
      </c>
    </row>
    <row r="9" spans="1:4">
      <c r="A9">
        <v>334</v>
      </c>
      <c r="B9">
        <v>841.62</v>
      </c>
      <c r="C9">
        <v>9</v>
      </c>
      <c r="D9">
        <v>21064.62</v>
      </c>
    </row>
    <row r="10" spans="1:4">
      <c r="A10">
        <v>336</v>
      </c>
      <c r="B10">
        <v>136</v>
      </c>
      <c r="C10">
        <v>11</v>
      </c>
      <c r="D10">
        <v>24853</v>
      </c>
    </row>
    <row r="11" spans="1:4">
      <c r="A11">
        <v>337</v>
      </c>
      <c r="B11">
        <v>511</v>
      </c>
      <c r="C11">
        <v>12</v>
      </c>
      <c r="D11">
        <v>27475</v>
      </c>
    </row>
    <row r="12" spans="1:4">
      <c r="A12">
        <v>338</v>
      </c>
      <c r="B12">
        <v>916</v>
      </c>
      <c r="C12">
        <v>13</v>
      </c>
      <c r="D12">
        <v>30127</v>
      </c>
    </row>
    <row r="13" spans="1:4">
      <c r="A13">
        <v>341</v>
      </c>
      <c r="B13">
        <v>503.53300000000002</v>
      </c>
      <c r="C13">
        <v>16</v>
      </c>
      <c r="D13">
        <v>36455.533000000003</v>
      </c>
    </row>
    <row r="14" spans="1:4">
      <c r="A14">
        <v>353</v>
      </c>
      <c r="B14">
        <v>637.80899999999997</v>
      </c>
      <c r="C14">
        <v>28</v>
      </c>
      <c r="D14">
        <v>63553.809000000001</v>
      </c>
    </row>
    <row r="15" spans="1:4">
      <c r="A15">
        <v>368</v>
      </c>
      <c r="B15">
        <v>414.81599999999997</v>
      </c>
      <c r="C15">
        <v>43</v>
      </c>
      <c r="D15">
        <v>97035.816000000006</v>
      </c>
    </row>
    <row r="16" spans="1:4">
      <c r="A16">
        <v>372</v>
      </c>
      <c r="B16">
        <v>457.976</v>
      </c>
      <c r="C16">
        <v>47</v>
      </c>
      <c r="D16">
        <v>106066.976</v>
      </c>
    </row>
    <row r="17" spans="1:4">
      <c r="A17">
        <v>388</v>
      </c>
      <c r="B17">
        <v>604.24</v>
      </c>
      <c r="C17">
        <v>63</v>
      </c>
      <c r="D17">
        <v>142165.24</v>
      </c>
    </row>
    <row r="18" spans="1:4">
      <c r="A18">
        <v>396</v>
      </c>
      <c r="B18">
        <v>721.73099999999999</v>
      </c>
      <c r="C18">
        <v>71</v>
      </c>
      <c r="D18">
        <v>160258.731</v>
      </c>
    </row>
    <row r="19" spans="1:4">
      <c r="A19">
        <v>407</v>
      </c>
      <c r="B19">
        <v>539.5</v>
      </c>
      <c r="C19">
        <v>82</v>
      </c>
      <c r="D19">
        <v>184793.5</v>
      </c>
    </row>
    <row r="20" spans="1:4">
      <c r="A20">
        <v>415</v>
      </c>
      <c r="B20">
        <v>652.19600000000003</v>
      </c>
      <c r="C20">
        <v>90</v>
      </c>
      <c r="D20">
        <v>202882.196</v>
      </c>
    </row>
    <row r="21" spans="1:4">
      <c r="A21">
        <v>426</v>
      </c>
      <c r="B21">
        <v>410.02</v>
      </c>
      <c r="C21">
        <v>101</v>
      </c>
      <c r="D21">
        <v>227357.02</v>
      </c>
    </row>
    <row r="22" spans="1:4">
      <c r="A22">
        <v>438</v>
      </c>
      <c r="B22">
        <v>671.37800000000004</v>
      </c>
      <c r="C22">
        <v>113</v>
      </c>
      <c r="D22">
        <v>254582.378</v>
      </c>
    </row>
    <row r="23" spans="1:4">
      <c r="A23">
        <v>453</v>
      </c>
      <c r="B23">
        <v>575.46699999999998</v>
      </c>
      <c r="C23">
        <v>128</v>
      </c>
      <c r="D23">
        <v>288191.467</v>
      </c>
    </row>
    <row r="24" spans="1:4">
      <c r="A24">
        <v>465</v>
      </c>
      <c r="B24">
        <v>714.53800000000001</v>
      </c>
      <c r="C24">
        <v>140</v>
      </c>
      <c r="D24">
        <v>315294.538</v>
      </c>
    </row>
    <row r="25" spans="1:4">
      <c r="A25">
        <v>476</v>
      </c>
      <c r="B25">
        <v>635.41099999999994</v>
      </c>
      <c r="C25">
        <v>151</v>
      </c>
      <c r="D25">
        <v>339932.41100000002</v>
      </c>
    </row>
    <row r="26" spans="1:4">
      <c r="A26">
        <v>491</v>
      </c>
      <c r="B26">
        <v>599.44399999999996</v>
      </c>
      <c r="C26">
        <v>166</v>
      </c>
      <c r="D26">
        <v>373601.44400000002</v>
      </c>
    </row>
    <row r="27" spans="1:4">
      <c r="A27">
        <v>502</v>
      </c>
      <c r="B27">
        <v>435.99099999999999</v>
      </c>
      <c r="C27">
        <v>177</v>
      </c>
      <c r="D27">
        <v>398154.99099999998</v>
      </c>
    </row>
    <row r="28" spans="1:4">
      <c r="A28">
        <v>506</v>
      </c>
      <c r="B28">
        <v>477.15800000000002</v>
      </c>
      <c r="C28">
        <v>181</v>
      </c>
      <c r="D28">
        <v>407184.158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2</vt:i4>
      </vt:variant>
    </vt:vector>
  </HeadingPairs>
  <TitlesOfParts>
    <vt:vector size="11" baseType="lpstr">
      <vt:lpstr>Info</vt:lpstr>
      <vt:lpstr>Ft</vt:lpstr>
      <vt:lpstr>Vars</vt:lpstr>
      <vt:lpstr>Data</vt:lpstr>
      <vt:lpstr>Shirley</vt:lpstr>
      <vt:lpstr>Sheet1</vt:lpstr>
      <vt:lpstr>Sheet2</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2012-04-22T16:27:05Z</dcterms:modified>
</cp:coreProperties>
</file>