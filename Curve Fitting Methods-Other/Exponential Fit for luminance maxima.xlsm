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chartsheets/sheet2.xml" ContentType="application/vnd.openxmlformats-officedocument.spreadsheetml.chartsheet+xml"/>
  <Override PartName="/xl/sharedStrings.xml" ContentType="application/vnd.openxmlformats-officedocument.spreadsheetml.sharedStrings+xml"/>
  <Override PartName="/xl/chartsheets/sheet1.xml" ContentType="application/vnd.openxmlformats-officedocument.spreadsheetml.chart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0" yWindow="135" windowWidth="9690" windowHeight="6480" activeTab="3"/>
  </bookViews>
  <sheets>
    <sheet name="Info" sheetId="1" r:id="rId1"/>
    <sheet name="Ft" sheetId="2" r:id="rId2"/>
    <sheet name="Vars" sheetId="3" state="hidden" r:id="rId3"/>
    <sheet name="Data" sheetId="4" r:id="rId4"/>
    <sheet name="Chart3" sheetId="5" r:id="rId5"/>
    <sheet name="Shirley" sheetId="6" r:id="rId6"/>
    <sheet name="Chart4" sheetId="7" r:id="rId7"/>
    <sheet name="Modules" sheetId="8" state="veryHidden" r:id=""/>
    <sheet name="Module1" sheetId="9" state="veryHidden" r:id=""/>
    <sheet name="Sheet1" sheetId="10" r:id="rId8"/>
    <sheet name="Sheet2" sheetId="11" r:id="rId9"/>
  </sheets>
  <definedNames>
    <definedName name="Error">Ft!$B$19</definedName>
    <definedName name="_xlnm.Print_Area" localSheetId="1">Ft!$A$1:$K$32</definedName>
    <definedName name="solver_adj" localSheetId="1" hidden="1">Ft!$B$2:$B$4,Ft!$C$2:$C$4,Ft!$D$2:$D$4,Ft!$E$2:$E$4,Ft!$F$2:$F$4,Ft!$G$2:$G$4</definedName>
    <definedName name="solver_cvg" localSheetId="1" hidden="1">0.001</definedName>
    <definedName name="solver_drv" localSheetId="1" hidden="1">1</definedName>
    <definedName name="solver_est" localSheetId="1" hidden="1">1</definedName>
    <definedName name="solver_itr" localSheetId="1" hidden="1">1000</definedName>
    <definedName name="solver_lhs1" localSheetId="1" hidden="1">Ft!$B$6</definedName>
    <definedName name="solver_lhs2" localSheetId="1" hidden="1">Ft!$C$6</definedName>
    <definedName name="solver_lin" localSheetId="1" hidden="1">2</definedName>
    <definedName name="solver_neg" localSheetId="1" hidden="1">2</definedName>
    <definedName name="solver_num" localSheetId="1" hidden="1">2</definedName>
    <definedName name="solver_nwt" localSheetId="1" hidden="1">1</definedName>
    <definedName name="solver_opt" localSheetId="1" hidden="1">Ft!$B$19</definedName>
    <definedName name="solver_pre" localSheetId="1" hidden="1">0.000001</definedName>
    <definedName name="solver_rel1" localSheetId="1" hidden="1">2</definedName>
    <definedName name="solver_rel2" localSheetId="1" hidden="1">2</definedName>
    <definedName name="solver_rhs1" localSheetId="1" hidden="1">1</definedName>
    <definedName name="solver_rhs2" localSheetId="1" hidden="1">1</definedName>
    <definedName name="solver_scl" localSheetId="1" hidden="1">2</definedName>
    <definedName name="solver_sho" localSheetId="1" hidden="1">2</definedName>
    <definedName name="solver_tim" localSheetId="1" hidden="1">1000</definedName>
    <definedName name="solver_tmp" localSheetId="1" hidden="1">#NULL!</definedName>
    <definedName name="solver_tol" localSheetId="1" hidden="1">0.05</definedName>
    <definedName name="solver_typ" localSheetId="1" hidden="1">2</definedName>
    <definedName name="solver_val" localSheetId="1" hidden="1">0</definedName>
  </definedNames>
  <calcPr calcId="125725"/>
</workbook>
</file>

<file path=xl/calcChain.xml><?xml version="1.0" encoding="utf-8"?>
<calcChain xmlns="http://schemas.openxmlformats.org/spreadsheetml/2006/main">
  <c r="E3" i="4"/>
  <c r="E4"/>
  <c r="E5"/>
  <c r="E6"/>
  <c r="E7"/>
  <c r="E8"/>
  <c r="E9"/>
  <c r="E10"/>
  <c r="E11"/>
  <c r="E12"/>
  <c r="E13"/>
  <c r="E14"/>
  <c r="E15"/>
  <c r="E16"/>
  <c r="E17"/>
  <c r="E18"/>
  <c r="E19"/>
  <c r="E20"/>
  <c r="E21"/>
  <c r="E22"/>
  <c r="E23"/>
  <c r="E24"/>
  <c r="E25"/>
  <c r="E26"/>
  <c r="E27"/>
  <c r="E28"/>
  <c r="E29"/>
  <c r="E30"/>
  <c r="E31"/>
  <c r="E32"/>
  <c r="E33"/>
  <c r="E34"/>
  <c r="E35"/>
  <c r="E36"/>
  <c r="E37"/>
  <c r="E38"/>
  <c r="E39"/>
  <c r="E40"/>
  <c r="E41"/>
  <c r="E42"/>
  <c r="E43"/>
  <c r="E44"/>
  <c r="E45"/>
  <c r="E46"/>
  <c r="E47"/>
  <c r="E48"/>
  <c r="E49"/>
  <c r="E50"/>
  <c r="E51"/>
  <c r="E52"/>
  <c r="E53"/>
  <c r="E54"/>
  <c r="E55"/>
  <c r="E56"/>
  <c r="E57"/>
  <c r="E58"/>
  <c r="E59"/>
  <c r="E60"/>
  <c r="E61"/>
  <c r="E62"/>
  <c r="E63"/>
  <c r="E64"/>
  <c r="E65"/>
  <c r="E66"/>
  <c r="E67"/>
  <c r="E68"/>
  <c r="E69"/>
  <c r="E70"/>
  <c r="E71"/>
  <c r="E72"/>
  <c r="E73"/>
  <c r="E74"/>
  <c r="E75"/>
  <c r="E76"/>
  <c r="E77"/>
  <c r="E78"/>
  <c r="E79"/>
  <c r="E80"/>
  <c r="E81"/>
  <c r="E82"/>
  <c r="E83"/>
  <c r="E84"/>
  <c r="E85"/>
  <c r="E86"/>
  <c r="E87"/>
  <c r="E88"/>
  <c r="E89"/>
  <c r="E90"/>
  <c r="E91"/>
  <c r="E92"/>
  <c r="E93"/>
  <c r="E94"/>
  <c r="E95"/>
  <c r="E96"/>
  <c r="E97"/>
  <c r="E98"/>
  <c r="E99"/>
  <c r="E100"/>
  <c r="E101"/>
  <c r="E102"/>
  <c r="E103"/>
  <c r="E104"/>
  <c r="E105"/>
  <c r="E106"/>
  <c r="E107"/>
  <c r="E108"/>
  <c r="E109"/>
  <c r="E110"/>
  <c r="E111"/>
  <c r="E112"/>
  <c r="E113"/>
  <c r="E114"/>
  <c r="E115"/>
  <c r="E116"/>
  <c r="E117"/>
  <c r="E118"/>
  <c r="E119"/>
  <c r="E120"/>
  <c r="E121"/>
  <c r="E122"/>
  <c r="E123"/>
  <c r="E124"/>
  <c r="E125"/>
  <c r="E126"/>
  <c r="E127"/>
  <c r="E128"/>
  <c r="E129"/>
  <c r="E130"/>
  <c r="E131"/>
  <c r="E132"/>
  <c r="E133"/>
  <c r="E134"/>
  <c r="E135"/>
  <c r="E136"/>
  <c r="E137"/>
  <c r="E138"/>
  <c r="E139"/>
  <c r="E140"/>
  <c r="E141"/>
  <c r="E142"/>
  <c r="E143"/>
  <c r="E144"/>
  <c r="E145"/>
  <c r="E146"/>
  <c r="E147"/>
  <c r="E148"/>
  <c r="E149"/>
  <c r="E150"/>
  <c r="E151"/>
  <c r="E152"/>
  <c r="E153"/>
  <c r="E154"/>
  <c r="E155"/>
  <c r="E156"/>
  <c r="E157"/>
  <c r="E158"/>
  <c r="E159"/>
  <c r="E160"/>
  <c r="E161"/>
  <c r="E162"/>
  <c r="E163"/>
  <c r="E164"/>
  <c r="E165"/>
  <c r="E166"/>
  <c r="E167"/>
  <c r="E168"/>
  <c r="E169"/>
  <c r="E170"/>
  <c r="E171"/>
  <c r="E172"/>
  <c r="E173"/>
  <c r="E174"/>
  <c r="E175"/>
  <c r="E176"/>
  <c r="E177"/>
  <c r="E178"/>
  <c r="E179"/>
  <c r="E180"/>
  <c r="E181"/>
  <c r="E182"/>
  <c r="E183"/>
  <c r="E184"/>
  <c r="E185"/>
  <c r="E186"/>
  <c r="E187"/>
  <c r="E188"/>
  <c r="E189"/>
  <c r="E190"/>
  <c r="E191"/>
  <c r="E192"/>
  <c r="E193"/>
  <c r="E194"/>
  <c r="E195"/>
  <c r="E196"/>
  <c r="E197"/>
  <c r="E198"/>
  <c r="E199"/>
  <c r="E200"/>
  <c r="E201"/>
  <c r="E202"/>
  <c r="E203"/>
  <c r="E204"/>
  <c r="E205"/>
  <c r="E206"/>
  <c r="E207"/>
  <c r="E208"/>
  <c r="E209"/>
  <c r="E210"/>
  <c r="E211"/>
  <c r="E212"/>
  <c r="E213"/>
  <c r="E214"/>
  <c r="E215"/>
  <c r="E216"/>
  <c r="E217"/>
  <c r="E218"/>
  <c r="E219"/>
  <c r="E220"/>
  <c r="E221"/>
  <c r="E222"/>
  <c r="E223"/>
  <c r="E224"/>
  <c r="E225"/>
  <c r="E226"/>
  <c r="E227"/>
  <c r="E228"/>
  <c r="E229"/>
  <c r="E230"/>
  <c r="E231"/>
  <c r="E232"/>
  <c r="E233"/>
  <c r="E234"/>
  <c r="E235"/>
  <c r="E236"/>
  <c r="E237"/>
  <c r="E238"/>
  <c r="E239"/>
  <c r="E240"/>
  <c r="E241"/>
  <c r="E242"/>
  <c r="E243"/>
  <c r="E244"/>
  <c r="E245"/>
  <c r="E246"/>
  <c r="E247"/>
  <c r="E248"/>
  <c r="E249"/>
  <c r="E250"/>
  <c r="E251"/>
  <c r="E252"/>
  <c r="L252"/>
  <c r="M252"/>
  <c r="N252"/>
  <c r="O252"/>
  <c r="E253"/>
  <c r="L253"/>
  <c r="M253"/>
  <c r="N253"/>
  <c r="O253"/>
  <c r="E254"/>
  <c r="L254"/>
  <c r="M254"/>
  <c r="N254"/>
  <c r="O254"/>
  <c r="E255"/>
  <c r="L255"/>
  <c r="M255"/>
  <c r="N255"/>
  <c r="O255"/>
  <c r="E256"/>
  <c r="L256"/>
  <c r="M256"/>
  <c r="N256"/>
  <c r="O256"/>
  <c r="E257"/>
  <c r="L257"/>
  <c r="M257"/>
  <c r="N257"/>
  <c r="O257"/>
  <c r="E258"/>
  <c r="L258"/>
  <c r="M258"/>
  <c r="N258"/>
  <c r="O258"/>
  <c r="E259"/>
  <c r="L259"/>
  <c r="M259"/>
  <c r="N259"/>
  <c r="O259"/>
  <c r="E260"/>
  <c r="L260"/>
  <c r="M260"/>
  <c r="N260"/>
  <c r="O260"/>
  <c r="E261"/>
  <c r="L261"/>
  <c r="M261"/>
  <c r="N261"/>
  <c r="O261"/>
  <c r="E262"/>
  <c r="L262"/>
  <c r="M262"/>
  <c r="N262"/>
  <c r="O262"/>
  <c r="E263"/>
  <c r="L263"/>
  <c r="M263"/>
  <c r="N263"/>
  <c r="O263"/>
  <c r="E264"/>
  <c r="L264"/>
  <c r="M264"/>
  <c r="N264"/>
  <c r="O264"/>
  <c r="E265"/>
  <c r="L265"/>
  <c r="M265"/>
  <c r="N265"/>
  <c r="O265"/>
  <c r="E266"/>
  <c r="L266"/>
  <c r="M266"/>
  <c r="N266"/>
  <c r="O266"/>
  <c r="E267"/>
  <c r="L267"/>
  <c r="M267"/>
  <c r="N267"/>
  <c r="O267"/>
  <c r="E268"/>
  <c r="L268"/>
  <c r="M268"/>
  <c r="N268"/>
  <c r="O268"/>
  <c r="E269"/>
  <c r="L269"/>
  <c r="M269"/>
  <c r="N269"/>
  <c r="O269"/>
  <c r="E270"/>
  <c r="L270"/>
  <c r="M270"/>
  <c r="N270"/>
  <c r="O270"/>
  <c r="E271"/>
  <c r="L271"/>
  <c r="M271"/>
  <c r="N271"/>
  <c r="O271"/>
  <c r="E272"/>
  <c r="L272"/>
  <c r="M272"/>
  <c r="N272"/>
  <c r="O272"/>
  <c r="E273"/>
  <c r="L273"/>
  <c r="M273"/>
  <c r="N273"/>
  <c r="O273"/>
  <c r="E274"/>
  <c r="L274"/>
  <c r="M274"/>
  <c r="N274"/>
  <c r="O274"/>
  <c r="E275"/>
  <c r="L275"/>
  <c r="M275"/>
  <c r="N275"/>
  <c r="O275"/>
  <c r="E276"/>
  <c r="L276"/>
  <c r="M276"/>
  <c r="N276"/>
  <c r="O276"/>
  <c r="E277"/>
  <c r="L277"/>
  <c r="M277"/>
  <c r="N277"/>
  <c r="O277"/>
  <c r="E278"/>
  <c r="L278"/>
  <c r="M278"/>
  <c r="N278"/>
  <c r="O278"/>
  <c r="E279"/>
  <c r="L279"/>
  <c r="M279"/>
  <c r="N279"/>
  <c r="O279"/>
  <c r="E280"/>
  <c r="L280"/>
  <c r="M280"/>
  <c r="N280"/>
  <c r="O280"/>
  <c r="E281"/>
  <c r="L281"/>
  <c r="M281"/>
  <c r="N281"/>
  <c r="O281"/>
  <c r="E282"/>
  <c r="L282"/>
  <c r="M282"/>
  <c r="N282"/>
  <c r="O282"/>
  <c r="E283"/>
  <c r="L283"/>
  <c r="M283"/>
  <c r="N283"/>
  <c r="O283"/>
  <c r="E284"/>
  <c r="L284"/>
  <c r="M284"/>
  <c r="N284"/>
  <c r="O284"/>
  <c r="E285"/>
  <c r="L285"/>
  <c r="M285"/>
  <c r="N285"/>
  <c r="O285"/>
  <c r="E286"/>
  <c r="L286"/>
  <c r="M286"/>
  <c r="N286"/>
  <c r="O286"/>
  <c r="E287"/>
  <c r="L287"/>
  <c r="M287"/>
  <c r="N287"/>
  <c r="O287"/>
  <c r="E288"/>
  <c r="L288"/>
  <c r="M288"/>
  <c r="N288"/>
  <c r="O288"/>
  <c r="E289"/>
  <c r="L289"/>
  <c r="M289"/>
  <c r="N289"/>
  <c r="O289"/>
  <c r="E290"/>
  <c r="L290"/>
  <c r="M290"/>
  <c r="N290"/>
  <c r="O290"/>
  <c r="E291"/>
  <c r="L291"/>
  <c r="M291"/>
  <c r="N291"/>
  <c r="O291"/>
  <c r="E292"/>
  <c r="L292"/>
  <c r="M292"/>
  <c r="N292"/>
  <c r="O292"/>
  <c r="E293"/>
  <c r="L293"/>
  <c r="M293"/>
  <c r="N293"/>
  <c r="O293"/>
  <c r="E294"/>
  <c r="L294"/>
  <c r="M294"/>
  <c r="N294"/>
  <c r="O294"/>
  <c r="E295"/>
  <c r="L295"/>
  <c r="M295"/>
  <c r="N295"/>
  <c r="O295"/>
  <c r="E296"/>
  <c r="L296"/>
  <c r="M296"/>
  <c r="N296"/>
  <c r="O296"/>
  <c r="E297"/>
  <c r="L297"/>
  <c r="M297"/>
  <c r="N297"/>
  <c r="O297"/>
  <c r="E298"/>
  <c r="L298"/>
  <c r="M298"/>
  <c r="N298"/>
  <c r="O298"/>
  <c r="E299"/>
  <c r="L299"/>
  <c r="M299"/>
  <c r="N299"/>
  <c r="O299"/>
  <c r="E300"/>
  <c r="L300"/>
  <c r="M300"/>
  <c r="N300"/>
  <c r="O300"/>
  <c r="E301"/>
  <c r="L301"/>
  <c r="M301"/>
  <c r="N301"/>
  <c r="O301"/>
  <c r="E302"/>
  <c r="L302"/>
  <c r="M302"/>
  <c r="N302"/>
  <c r="O302"/>
  <c r="E303"/>
  <c r="L303"/>
  <c r="M303"/>
  <c r="N303"/>
  <c r="O303"/>
  <c r="E304"/>
  <c r="L304"/>
  <c r="M304"/>
  <c r="N304"/>
  <c r="O304"/>
  <c r="E305"/>
  <c r="L305"/>
  <c r="M305"/>
  <c r="N305"/>
  <c r="O305"/>
  <c r="E306"/>
  <c r="L306"/>
  <c r="M306"/>
  <c r="N306"/>
  <c r="O306"/>
  <c r="E307"/>
  <c r="L307"/>
  <c r="M307"/>
  <c r="N307"/>
  <c r="O307"/>
  <c r="E308"/>
  <c r="L308"/>
  <c r="M308"/>
  <c r="N308"/>
  <c r="O308"/>
  <c r="E309"/>
  <c r="L309"/>
  <c r="M309"/>
  <c r="N309"/>
  <c r="O309"/>
  <c r="E310"/>
  <c r="L310"/>
  <c r="M310"/>
  <c r="N310"/>
  <c r="O310"/>
  <c r="E311"/>
  <c r="L311"/>
  <c r="M311"/>
  <c r="N311"/>
  <c r="O311"/>
  <c r="E312"/>
  <c r="L312"/>
  <c r="M312"/>
  <c r="N312"/>
  <c r="O312"/>
  <c r="E313"/>
  <c r="L313"/>
  <c r="M313"/>
  <c r="N313"/>
  <c r="O313"/>
  <c r="E314"/>
  <c r="L314"/>
  <c r="M314"/>
  <c r="N314"/>
  <c r="O314"/>
  <c r="E315"/>
  <c r="L315"/>
  <c r="M315"/>
  <c r="N315"/>
  <c r="O315"/>
  <c r="E316"/>
  <c r="L316"/>
  <c r="M316"/>
  <c r="N316"/>
  <c r="O316"/>
  <c r="E317"/>
  <c r="L317"/>
  <c r="M317"/>
  <c r="N317"/>
  <c r="O317"/>
  <c r="E318"/>
  <c r="L318"/>
  <c r="M318"/>
  <c r="N318"/>
  <c r="O318"/>
  <c r="E319"/>
  <c r="L319"/>
  <c r="M319"/>
  <c r="N319"/>
  <c r="O319"/>
  <c r="E320"/>
  <c r="L320"/>
  <c r="M320"/>
  <c r="N320"/>
  <c r="O320"/>
  <c r="E321"/>
  <c r="L321"/>
  <c r="M321"/>
  <c r="N321"/>
  <c r="O321"/>
  <c r="E322"/>
  <c r="L322"/>
  <c r="M322"/>
  <c r="N322"/>
  <c r="O322"/>
  <c r="E323"/>
  <c r="L323"/>
  <c r="M323"/>
  <c r="N323"/>
  <c r="O323"/>
  <c r="E324"/>
  <c r="L324"/>
  <c r="M324"/>
  <c r="N324"/>
  <c r="O324"/>
  <c r="E325"/>
  <c r="L325"/>
  <c r="M325"/>
  <c r="N325"/>
  <c r="O325"/>
  <c r="E326"/>
  <c r="L326"/>
  <c r="M326"/>
  <c r="N326"/>
  <c r="O326"/>
  <c r="E327"/>
  <c r="L327"/>
  <c r="M327"/>
  <c r="N327"/>
  <c r="O327"/>
  <c r="E328"/>
  <c r="L328"/>
  <c r="M328"/>
  <c r="N328"/>
  <c r="O328"/>
  <c r="E329"/>
  <c r="L329"/>
  <c r="M329"/>
  <c r="N329"/>
  <c r="O329"/>
  <c r="E330"/>
  <c r="L330"/>
  <c r="M330"/>
  <c r="N330"/>
  <c r="O330"/>
  <c r="E331"/>
  <c r="L331"/>
  <c r="M331"/>
  <c r="N331"/>
  <c r="O331"/>
  <c r="E332"/>
  <c r="L332"/>
  <c r="M332"/>
  <c r="N332"/>
  <c r="O332"/>
  <c r="E333"/>
  <c r="L333"/>
  <c r="M333"/>
  <c r="N333"/>
  <c r="O333"/>
  <c r="E334"/>
  <c r="L334"/>
  <c r="M334"/>
  <c r="N334"/>
  <c r="O334"/>
  <c r="E335"/>
  <c r="L335"/>
  <c r="M335"/>
  <c r="N335"/>
  <c r="O335"/>
  <c r="E336"/>
  <c r="L336"/>
  <c r="M336"/>
  <c r="N336"/>
  <c r="O336"/>
  <c r="E337"/>
  <c r="L337"/>
  <c r="M337"/>
  <c r="N337"/>
  <c r="O337"/>
  <c r="E338"/>
  <c r="L338"/>
  <c r="M338"/>
  <c r="N338"/>
  <c r="O338"/>
  <c r="E339"/>
  <c r="L339"/>
  <c r="M339"/>
  <c r="N339"/>
  <c r="O339"/>
  <c r="E340"/>
  <c r="L340"/>
  <c r="M340"/>
  <c r="N340"/>
  <c r="O340"/>
  <c r="E341"/>
  <c r="L341"/>
  <c r="M341"/>
  <c r="N341"/>
  <c r="O341"/>
  <c r="E342"/>
  <c r="L342"/>
  <c r="M342"/>
  <c r="N342"/>
  <c r="O342"/>
  <c r="E343"/>
  <c r="L343"/>
  <c r="M343"/>
  <c r="N343"/>
  <c r="O343"/>
  <c r="E344"/>
  <c r="L344"/>
  <c r="M344"/>
  <c r="N344"/>
  <c r="O344"/>
  <c r="E345"/>
  <c r="L345"/>
  <c r="M345"/>
  <c r="N345"/>
  <c r="O345"/>
  <c r="E346"/>
  <c r="L346"/>
  <c r="M346"/>
  <c r="N346"/>
  <c r="O346"/>
  <c r="E347"/>
  <c r="L347"/>
  <c r="M347"/>
  <c r="N347"/>
  <c r="O347"/>
  <c r="E348"/>
  <c r="L348"/>
  <c r="M348"/>
  <c r="N348"/>
  <c r="O348"/>
  <c r="E349"/>
  <c r="L349"/>
  <c r="M349"/>
  <c r="N349"/>
  <c r="O349"/>
  <c r="E350"/>
  <c r="L350"/>
  <c r="M350"/>
  <c r="N350"/>
  <c r="O350"/>
  <c r="E351"/>
  <c r="L351"/>
  <c r="M351"/>
  <c r="N351"/>
  <c r="O351"/>
  <c r="E352"/>
  <c r="L352"/>
  <c r="M352"/>
  <c r="N352"/>
  <c r="O352"/>
  <c r="E353"/>
  <c r="L353"/>
  <c r="M353"/>
  <c r="N353"/>
  <c r="O353"/>
  <c r="E354"/>
  <c r="L354"/>
  <c r="M354"/>
  <c r="N354"/>
  <c r="O354"/>
  <c r="E355"/>
  <c r="L355"/>
  <c r="M355"/>
  <c r="N355"/>
  <c r="O355"/>
  <c r="E356"/>
  <c r="L356"/>
  <c r="M356"/>
  <c r="N356"/>
  <c r="O356"/>
  <c r="E357"/>
  <c r="L357"/>
  <c r="M357"/>
  <c r="N357"/>
  <c r="O357"/>
  <c r="E358"/>
  <c r="L358"/>
  <c r="M358"/>
  <c r="N358"/>
  <c r="O358"/>
  <c r="E359"/>
  <c r="L359"/>
  <c r="M359"/>
  <c r="N359"/>
  <c r="O359"/>
  <c r="E360"/>
  <c r="L360"/>
  <c r="M360"/>
  <c r="N360"/>
  <c r="O360"/>
  <c r="E361"/>
  <c r="L361"/>
  <c r="M361"/>
  <c r="N361"/>
  <c r="O361"/>
  <c r="E362"/>
  <c r="L362"/>
  <c r="M362"/>
  <c r="N362"/>
  <c r="O362"/>
  <c r="E363"/>
  <c r="L363"/>
  <c r="M363"/>
  <c r="N363"/>
  <c r="O363"/>
  <c r="E364"/>
  <c r="L364"/>
  <c r="M364"/>
  <c r="N364"/>
  <c r="O364"/>
  <c r="E365"/>
  <c r="L365"/>
  <c r="M365"/>
  <c r="N365"/>
  <c r="O365"/>
  <c r="E366"/>
  <c r="L366"/>
  <c r="M366"/>
  <c r="N366"/>
  <c r="O366"/>
  <c r="E367"/>
  <c r="L367"/>
  <c r="M367"/>
  <c r="N367"/>
  <c r="O367"/>
  <c r="E368"/>
  <c r="L368"/>
  <c r="M368"/>
  <c r="N368"/>
  <c r="O368"/>
  <c r="E369"/>
  <c r="L369"/>
  <c r="M369"/>
  <c r="N369"/>
  <c r="O369"/>
  <c r="E370"/>
  <c r="L370"/>
  <c r="M370"/>
  <c r="N370"/>
  <c r="O370"/>
  <c r="E371"/>
  <c r="L371"/>
  <c r="M371"/>
  <c r="N371"/>
  <c r="O371"/>
  <c r="E372"/>
  <c r="L372"/>
  <c r="M372"/>
  <c r="N372"/>
  <c r="O372"/>
  <c r="E373"/>
  <c r="L373"/>
  <c r="M373"/>
  <c r="N373"/>
  <c r="O373"/>
  <c r="E374"/>
  <c r="L374"/>
  <c r="M374"/>
  <c r="N374"/>
  <c r="O374"/>
  <c r="E375"/>
  <c r="L375"/>
  <c r="M375"/>
  <c r="N375"/>
  <c r="O375"/>
  <c r="E376"/>
  <c r="L376"/>
  <c r="M376"/>
  <c r="N376"/>
  <c r="O376"/>
  <c r="E377"/>
  <c r="L377"/>
  <c r="M377"/>
  <c r="N377"/>
  <c r="O377"/>
  <c r="E378"/>
  <c r="L378"/>
  <c r="M378"/>
  <c r="N378"/>
  <c r="O378"/>
  <c r="E379"/>
  <c r="L379"/>
  <c r="M379"/>
  <c r="N379"/>
  <c r="O379"/>
  <c r="E380"/>
  <c r="L380"/>
  <c r="M380"/>
  <c r="N380"/>
  <c r="O380"/>
  <c r="E381"/>
  <c r="L381"/>
  <c r="M381"/>
  <c r="N381"/>
  <c r="O381"/>
  <c r="E382"/>
  <c r="L382"/>
  <c r="M382"/>
  <c r="N382"/>
  <c r="O382"/>
  <c r="E383"/>
  <c r="L383"/>
  <c r="M383"/>
  <c r="N383"/>
  <c r="O383"/>
  <c r="E384"/>
  <c r="L384"/>
  <c r="M384"/>
  <c r="N384"/>
  <c r="O384"/>
  <c r="E385"/>
  <c r="L385"/>
  <c r="M385"/>
  <c r="N385"/>
  <c r="O385"/>
  <c r="E386"/>
  <c r="L386"/>
  <c r="M386"/>
  <c r="N386"/>
  <c r="O386"/>
  <c r="E387"/>
  <c r="L387"/>
  <c r="M387"/>
  <c r="N387"/>
  <c r="O387"/>
  <c r="E388"/>
  <c r="L388"/>
  <c r="M388"/>
  <c r="N388"/>
  <c r="O388"/>
  <c r="E389"/>
  <c r="L389"/>
  <c r="M389"/>
  <c r="N389"/>
  <c r="O389"/>
  <c r="E390"/>
  <c r="L390"/>
  <c r="M390"/>
  <c r="N390"/>
  <c r="O390"/>
  <c r="E391"/>
  <c r="L391"/>
  <c r="M391"/>
  <c r="N391"/>
  <c r="O391"/>
  <c r="E392"/>
  <c r="L392"/>
  <c r="M392"/>
  <c r="N392"/>
  <c r="O392"/>
  <c r="E393"/>
  <c r="L393"/>
  <c r="M393"/>
  <c r="N393"/>
  <c r="O393"/>
  <c r="E394"/>
  <c r="L394"/>
  <c r="M394"/>
  <c r="N394"/>
  <c r="O394"/>
  <c r="E395"/>
  <c r="L395"/>
  <c r="M395"/>
  <c r="N395"/>
  <c r="O395"/>
  <c r="E396"/>
  <c r="L396"/>
  <c r="M396"/>
  <c r="N396"/>
  <c r="O396"/>
  <c r="E397"/>
  <c r="L397"/>
  <c r="M397"/>
  <c r="N397"/>
  <c r="O397"/>
  <c r="E398"/>
  <c r="L398"/>
  <c r="M398"/>
  <c r="N398"/>
  <c r="O398"/>
  <c r="E399"/>
  <c r="L399"/>
  <c r="M399"/>
  <c r="N399"/>
  <c r="O399"/>
  <c r="E400"/>
  <c r="L400"/>
  <c r="M400"/>
  <c r="N400"/>
  <c r="O400"/>
  <c r="E401"/>
  <c r="L401"/>
  <c r="M401"/>
  <c r="N401"/>
  <c r="O401"/>
  <c r="E402"/>
  <c r="L402"/>
  <c r="M402"/>
  <c r="N402"/>
  <c r="O402"/>
  <c r="E403"/>
  <c r="L403"/>
  <c r="M403"/>
  <c r="N403"/>
  <c r="O403"/>
  <c r="E404"/>
  <c r="L404"/>
  <c r="M404"/>
  <c r="N404"/>
  <c r="O404"/>
  <c r="E405"/>
  <c r="L405"/>
  <c r="M405"/>
  <c r="N405"/>
  <c r="O405"/>
  <c r="E406"/>
  <c r="L406"/>
  <c r="M406"/>
  <c r="N406"/>
  <c r="O406"/>
  <c r="E407"/>
  <c r="L407"/>
  <c r="M407"/>
  <c r="N407"/>
  <c r="O407"/>
  <c r="E408"/>
  <c r="L408"/>
  <c r="M408"/>
  <c r="N408"/>
  <c r="O408"/>
  <c r="E409"/>
  <c r="L409"/>
  <c r="M409"/>
  <c r="N409"/>
  <c r="O409"/>
  <c r="E410"/>
  <c r="L410"/>
  <c r="M410"/>
  <c r="N410"/>
  <c r="O410"/>
  <c r="E411"/>
  <c r="L411"/>
  <c r="M411"/>
  <c r="N411"/>
  <c r="O411"/>
  <c r="E412"/>
  <c r="L412"/>
  <c r="M412"/>
  <c r="N412"/>
  <c r="O412"/>
  <c r="E413"/>
  <c r="L413"/>
  <c r="M413"/>
  <c r="N413"/>
  <c r="O413"/>
  <c r="E414"/>
  <c r="L414"/>
  <c r="M414"/>
  <c r="N414"/>
  <c r="O414"/>
  <c r="E415"/>
  <c r="L415"/>
  <c r="M415"/>
  <c r="N415"/>
  <c r="O415"/>
  <c r="E416"/>
  <c r="L416"/>
  <c r="M416"/>
  <c r="N416"/>
  <c r="O416"/>
  <c r="E417"/>
  <c r="L417"/>
  <c r="M417"/>
  <c r="N417"/>
  <c r="O417"/>
  <c r="E418"/>
  <c r="L418"/>
  <c r="M418"/>
  <c r="N418"/>
  <c r="O418"/>
  <c r="E419"/>
  <c r="L419"/>
  <c r="M419"/>
  <c r="N419"/>
  <c r="O419"/>
  <c r="E420"/>
  <c r="L420"/>
  <c r="M420"/>
  <c r="N420"/>
  <c r="O420"/>
  <c r="E421"/>
  <c r="L421"/>
  <c r="M421"/>
  <c r="N421"/>
  <c r="O421"/>
  <c r="E422"/>
  <c r="L422"/>
  <c r="M422"/>
  <c r="N422"/>
  <c r="O422"/>
  <c r="E423"/>
  <c r="L423"/>
  <c r="M423"/>
  <c r="N423"/>
  <c r="O423"/>
  <c r="E424"/>
  <c r="L424"/>
  <c r="M424"/>
  <c r="N424"/>
  <c r="O424"/>
  <c r="E425"/>
  <c r="L425"/>
  <c r="M425"/>
  <c r="N425"/>
  <c r="O425"/>
  <c r="E426"/>
  <c r="L426"/>
  <c r="M426"/>
  <c r="N426"/>
  <c r="O426"/>
  <c r="E427"/>
  <c r="L427"/>
  <c r="M427"/>
  <c r="N427"/>
  <c r="O427"/>
  <c r="E428"/>
  <c r="L428"/>
  <c r="M428"/>
  <c r="N428"/>
  <c r="O428"/>
  <c r="E429"/>
  <c r="L429"/>
  <c r="M429"/>
  <c r="N429"/>
  <c r="O429"/>
  <c r="E430"/>
  <c r="L430"/>
  <c r="M430"/>
  <c r="N430"/>
  <c r="O430"/>
  <c r="E431"/>
  <c r="L431"/>
  <c r="M431"/>
  <c r="N431"/>
  <c r="O431"/>
  <c r="E432"/>
  <c r="L432"/>
  <c r="M432"/>
  <c r="N432"/>
  <c r="O432"/>
  <c r="E433"/>
  <c r="L433"/>
  <c r="M433"/>
  <c r="N433"/>
  <c r="O433"/>
  <c r="E434"/>
  <c r="L434"/>
  <c r="M434"/>
  <c r="N434"/>
  <c r="O434"/>
  <c r="E435"/>
  <c r="L435"/>
  <c r="M435"/>
  <c r="N435"/>
  <c r="O435"/>
  <c r="E436"/>
  <c r="L436"/>
  <c r="M436"/>
  <c r="N436"/>
  <c r="O436"/>
  <c r="E437"/>
  <c r="L437"/>
  <c r="M437"/>
  <c r="N437"/>
  <c r="O437"/>
  <c r="E438"/>
  <c r="L438"/>
  <c r="M438"/>
  <c r="N438"/>
  <c r="O438"/>
  <c r="E439"/>
  <c r="L439"/>
  <c r="M439"/>
  <c r="N439"/>
  <c r="O439"/>
  <c r="E440"/>
  <c r="L440"/>
  <c r="M440"/>
  <c r="N440"/>
  <c r="O440"/>
  <c r="E441"/>
  <c r="L441"/>
  <c r="M441"/>
  <c r="N441"/>
  <c r="O441"/>
  <c r="E442"/>
  <c r="L442"/>
  <c r="M442"/>
  <c r="N442"/>
  <c r="O442"/>
  <c r="E443"/>
  <c r="L443"/>
  <c r="M443"/>
  <c r="N443"/>
  <c r="O443"/>
  <c r="E444"/>
  <c r="L444"/>
  <c r="M444"/>
  <c r="N444"/>
  <c r="O444"/>
  <c r="E445"/>
  <c r="L445"/>
  <c r="M445"/>
  <c r="N445"/>
  <c r="O445"/>
  <c r="E446"/>
  <c r="L446"/>
  <c r="M446"/>
  <c r="N446"/>
  <c r="O446"/>
  <c r="E447"/>
  <c r="L447"/>
  <c r="M447"/>
  <c r="N447"/>
  <c r="O447"/>
  <c r="E448"/>
  <c r="L448"/>
  <c r="M448"/>
  <c r="N448"/>
  <c r="O448"/>
  <c r="E449"/>
  <c r="L449"/>
  <c r="M449"/>
  <c r="N449"/>
  <c r="O449"/>
  <c r="E450"/>
  <c r="L450"/>
  <c r="M450"/>
  <c r="N450"/>
  <c r="O450"/>
  <c r="E451"/>
  <c r="L451"/>
  <c r="M451"/>
  <c r="N451"/>
  <c r="O451"/>
  <c r="E452"/>
  <c r="L452"/>
  <c r="M452"/>
  <c r="N452"/>
  <c r="O452"/>
  <c r="E453"/>
  <c r="L453"/>
  <c r="M453"/>
  <c r="N453"/>
  <c r="O453"/>
  <c r="E454"/>
  <c r="L454"/>
  <c r="M454"/>
  <c r="N454"/>
  <c r="O454"/>
  <c r="E455"/>
  <c r="L455"/>
  <c r="M455"/>
  <c r="N455"/>
  <c r="O455"/>
  <c r="E456"/>
  <c r="L456"/>
  <c r="M456"/>
  <c r="N456"/>
  <c r="O456"/>
  <c r="E457"/>
  <c r="L457"/>
  <c r="M457"/>
  <c r="N457"/>
  <c r="O457"/>
  <c r="E458"/>
  <c r="L458"/>
  <c r="M458"/>
  <c r="N458"/>
  <c r="O458"/>
  <c r="E459"/>
  <c r="L459"/>
  <c r="M459"/>
  <c r="N459"/>
  <c r="O459"/>
  <c r="E460"/>
  <c r="L460"/>
  <c r="M460"/>
  <c r="N460"/>
  <c r="O460"/>
  <c r="E461"/>
  <c r="L461"/>
  <c r="M461"/>
  <c r="N461"/>
  <c r="O461"/>
  <c r="E462"/>
  <c r="L462"/>
  <c r="M462"/>
  <c r="N462"/>
  <c r="O462"/>
  <c r="E463"/>
  <c r="L463"/>
  <c r="M463"/>
  <c r="N463"/>
  <c r="O463"/>
  <c r="E464"/>
  <c r="L464"/>
  <c r="M464"/>
  <c r="N464"/>
  <c r="O464"/>
  <c r="E465"/>
  <c r="L465"/>
  <c r="M465"/>
  <c r="N465"/>
  <c r="O465"/>
  <c r="E466"/>
  <c r="L466"/>
  <c r="M466"/>
  <c r="N466"/>
  <c r="O466"/>
  <c r="E467"/>
  <c r="L467"/>
  <c r="M467"/>
  <c r="N467"/>
  <c r="O467"/>
  <c r="E468"/>
  <c r="L468"/>
  <c r="M468"/>
  <c r="N468"/>
  <c r="O468"/>
  <c r="E469"/>
  <c r="L469"/>
  <c r="M469"/>
  <c r="N469"/>
  <c r="O469"/>
  <c r="E470"/>
  <c r="L470"/>
  <c r="M470"/>
  <c r="N470"/>
  <c r="O470"/>
  <c r="E471"/>
  <c r="L471"/>
  <c r="M471"/>
  <c r="N471"/>
  <c r="O471"/>
  <c r="E472"/>
  <c r="L472"/>
  <c r="M472"/>
  <c r="N472"/>
  <c r="O472"/>
  <c r="E473"/>
  <c r="L473"/>
  <c r="M473"/>
  <c r="N473"/>
  <c r="O473"/>
  <c r="E474"/>
  <c r="L474"/>
  <c r="M474"/>
  <c r="N474"/>
  <c r="O474"/>
  <c r="E475"/>
  <c r="L475"/>
  <c r="M475"/>
  <c r="N475"/>
  <c r="O475"/>
  <c r="E476"/>
  <c r="L476"/>
  <c r="M476"/>
  <c r="N476"/>
  <c r="O476"/>
  <c r="E477"/>
  <c r="L477"/>
  <c r="M477"/>
  <c r="N477"/>
  <c r="O477"/>
  <c r="E478"/>
  <c r="L478"/>
  <c r="M478"/>
  <c r="N478"/>
  <c r="O478"/>
  <c r="E479"/>
  <c r="L479"/>
  <c r="M479"/>
  <c r="N479"/>
  <c r="O479"/>
  <c r="E480"/>
  <c r="L480"/>
  <c r="M480"/>
  <c r="N480"/>
  <c r="O480"/>
  <c r="E481"/>
  <c r="L481"/>
  <c r="M481"/>
  <c r="N481"/>
  <c r="O481"/>
  <c r="E482"/>
  <c r="L482"/>
  <c r="M482"/>
  <c r="N482"/>
  <c r="O482"/>
  <c r="E483"/>
  <c r="L483"/>
  <c r="M483"/>
  <c r="N483"/>
  <c r="O483"/>
  <c r="E484"/>
  <c r="L484"/>
  <c r="M484"/>
  <c r="N484"/>
  <c r="O484"/>
  <c r="E485"/>
  <c r="L485"/>
  <c r="M485"/>
  <c r="N485"/>
  <c r="O485"/>
  <c r="E486"/>
  <c r="L486"/>
  <c r="M486"/>
  <c r="N486"/>
  <c r="O486"/>
  <c r="E487"/>
  <c r="L487"/>
  <c r="M487"/>
  <c r="N487"/>
  <c r="O487"/>
  <c r="E488"/>
  <c r="L488"/>
  <c r="M488"/>
  <c r="N488"/>
  <c r="O488"/>
  <c r="E489"/>
  <c r="L489"/>
  <c r="M489"/>
  <c r="N489"/>
  <c r="O489"/>
  <c r="E490"/>
  <c r="L490"/>
  <c r="M490"/>
  <c r="N490"/>
  <c r="O490"/>
  <c r="E491"/>
  <c r="L491"/>
  <c r="M491"/>
  <c r="N491"/>
  <c r="O491"/>
  <c r="E492"/>
  <c r="L492"/>
  <c r="M492"/>
  <c r="N492"/>
  <c r="O492"/>
  <c r="E493"/>
  <c r="L493"/>
  <c r="M493"/>
  <c r="N493"/>
  <c r="O493"/>
  <c r="E494"/>
  <c r="L494"/>
  <c r="M494"/>
  <c r="N494"/>
  <c r="O494"/>
  <c r="E495"/>
  <c r="L495"/>
  <c r="M495"/>
  <c r="N495"/>
  <c r="O495"/>
  <c r="E496"/>
  <c r="L496"/>
  <c r="M496"/>
  <c r="N496"/>
  <c r="O496"/>
  <c r="E497"/>
  <c r="L497"/>
  <c r="M497"/>
  <c r="N497"/>
  <c r="O497"/>
  <c r="E498"/>
  <c r="L498"/>
  <c r="M498"/>
  <c r="N498"/>
  <c r="O498"/>
  <c r="E499"/>
  <c r="L499"/>
  <c r="M499"/>
  <c r="N499"/>
  <c r="O499"/>
  <c r="E500"/>
  <c r="L500"/>
  <c r="M500"/>
  <c r="N500"/>
  <c r="O500"/>
  <c r="E501"/>
  <c r="L501"/>
  <c r="M501"/>
  <c r="N501"/>
  <c r="O501"/>
  <c r="E502"/>
  <c r="L502"/>
  <c r="M502"/>
  <c r="N502"/>
  <c r="O502"/>
  <c r="E503"/>
  <c r="L503"/>
  <c r="M503"/>
  <c r="N503"/>
  <c r="O503"/>
  <c r="E504"/>
  <c r="L504"/>
  <c r="M504"/>
  <c r="N504"/>
  <c r="O504"/>
  <c r="E505"/>
  <c r="L505"/>
  <c r="M505"/>
  <c r="N505"/>
  <c r="O505"/>
  <c r="E506"/>
  <c r="L506"/>
  <c r="M506"/>
  <c r="N506"/>
  <c r="O506"/>
  <c r="E507"/>
  <c r="L507"/>
  <c r="M507"/>
  <c r="N507"/>
  <c r="O507"/>
  <c r="E508"/>
  <c r="L508"/>
  <c r="M508"/>
  <c r="N508"/>
  <c r="O508"/>
  <c r="E509"/>
  <c r="L509"/>
  <c r="M509"/>
  <c r="N509"/>
  <c r="O509"/>
  <c r="E510"/>
  <c r="L510"/>
  <c r="M510"/>
  <c r="N510"/>
  <c r="O510"/>
  <c r="E511"/>
  <c r="L511"/>
  <c r="M511"/>
  <c r="N511"/>
  <c r="O511"/>
  <c r="E512"/>
  <c r="L512"/>
  <c r="M512"/>
  <c r="N512"/>
  <c r="O512"/>
  <c r="E513"/>
  <c r="L513"/>
  <c r="M513"/>
  <c r="N513"/>
  <c r="O513"/>
  <c r="E514"/>
  <c r="L514"/>
  <c r="M514"/>
  <c r="N514"/>
  <c r="O514"/>
  <c r="E515"/>
  <c r="L515"/>
  <c r="M515"/>
  <c r="N515"/>
  <c r="O515"/>
  <c r="E516"/>
  <c r="L516"/>
  <c r="M516"/>
  <c r="N516"/>
  <c r="O516"/>
  <c r="E517"/>
  <c r="L517"/>
  <c r="M517"/>
  <c r="N517"/>
  <c r="O517"/>
  <c r="E518"/>
  <c r="L518"/>
  <c r="M518"/>
  <c r="N518"/>
  <c r="O518"/>
  <c r="E519"/>
  <c r="L519"/>
  <c r="M519"/>
  <c r="N519"/>
  <c r="O519"/>
  <c r="E520"/>
  <c r="L520"/>
  <c r="M520"/>
  <c r="N520"/>
  <c r="O520"/>
  <c r="E521"/>
  <c r="L521"/>
  <c r="M521"/>
  <c r="N521"/>
  <c r="O521"/>
  <c r="E522"/>
  <c r="L522"/>
  <c r="M522"/>
  <c r="N522"/>
  <c r="O522"/>
  <c r="E523"/>
  <c r="L523"/>
  <c r="M523"/>
  <c r="N523"/>
  <c r="O523"/>
  <c r="E524"/>
  <c r="L524"/>
  <c r="M524"/>
  <c r="N524"/>
  <c r="O524"/>
  <c r="E525"/>
  <c r="L525"/>
  <c r="M525"/>
  <c r="N525"/>
  <c r="O525"/>
  <c r="E526"/>
  <c r="L526"/>
  <c r="M526"/>
  <c r="N526"/>
  <c r="O526"/>
  <c r="E527"/>
  <c r="L527"/>
  <c r="M527"/>
  <c r="N527"/>
  <c r="O527"/>
  <c r="E528"/>
  <c r="L528"/>
  <c r="M528"/>
  <c r="N528"/>
  <c r="O528"/>
  <c r="E529"/>
  <c r="L529"/>
  <c r="M529"/>
  <c r="N529"/>
  <c r="O529"/>
  <c r="E530"/>
  <c r="L530"/>
  <c r="M530"/>
  <c r="N530"/>
  <c r="O530"/>
  <c r="E531"/>
  <c r="L531"/>
  <c r="M531"/>
  <c r="N531"/>
  <c r="O531"/>
  <c r="E532"/>
  <c r="L532"/>
  <c r="M532"/>
  <c r="N532"/>
  <c r="O532"/>
  <c r="E533"/>
  <c r="L533"/>
  <c r="M533"/>
  <c r="N533"/>
  <c r="O533"/>
  <c r="E534"/>
  <c r="L534"/>
  <c r="M534"/>
  <c r="N534"/>
  <c r="O534"/>
  <c r="E535"/>
  <c r="L535"/>
  <c r="M535"/>
  <c r="N535"/>
  <c r="O535"/>
  <c r="E536"/>
  <c r="L536"/>
  <c r="M536"/>
  <c r="N536"/>
  <c r="O536"/>
  <c r="E537"/>
  <c r="L537"/>
  <c r="M537"/>
  <c r="N537"/>
  <c r="O537"/>
  <c r="E538"/>
  <c r="L538"/>
  <c r="M538"/>
  <c r="N538"/>
  <c r="O538"/>
  <c r="E539"/>
  <c r="L539"/>
  <c r="M539"/>
  <c r="N539"/>
  <c r="O539"/>
  <c r="E540"/>
  <c r="L540"/>
  <c r="M540"/>
  <c r="N540"/>
  <c r="O540"/>
  <c r="E541"/>
  <c r="L541"/>
  <c r="M541"/>
  <c r="N541"/>
  <c r="O541"/>
  <c r="E542"/>
  <c r="L542"/>
  <c r="M542"/>
  <c r="N542"/>
  <c r="O542"/>
  <c r="D5" i="2"/>
  <c r="G5"/>
  <c r="F5"/>
  <c r="E5"/>
  <c r="C14" i="10" l="1"/>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4"/>
  <c r="C5"/>
  <c r="C6"/>
  <c r="C7"/>
  <c r="C8"/>
  <c r="C9"/>
  <c r="C10"/>
  <c r="C11"/>
  <c r="C12"/>
  <c r="C13"/>
  <c r="C3"/>
  <c r="C2"/>
  <c r="A54" i="2"/>
  <c r="A53"/>
  <c r="A52"/>
  <c r="A51"/>
  <c r="B5"/>
  <c r="B39" s="1"/>
  <c r="C5"/>
  <c r="D40"/>
  <c r="F39"/>
  <c r="G39"/>
  <c r="H5"/>
  <c r="I5"/>
  <c r="I9" s="1"/>
  <c r="J5"/>
  <c r="J39" s="1"/>
  <c r="K5"/>
  <c r="K39" s="1"/>
  <c r="F7"/>
  <c r="G7"/>
  <c r="H7"/>
  <c r="I7"/>
  <c r="J7"/>
  <c r="K7"/>
  <c r="B20"/>
  <c r="B37"/>
  <c r="C37"/>
  <c r="D37"/>
  <c r="E37"/>
  <c r="F37"/>
  <c r="G37"/>
  <c r="H37"/>
  <c r="I37"/>
  <c r="J37"/>
  <c r="K37"/>
  <c r="B38"/>
  <c r="C38"/>
  <c r="D38"/>
  <c r="E38"/>
  <c r="F38"/>
  <c r="G38"/>
  <c r="H38"/>
  <c r="I38"/>
  <c r="J38"/>
  <c r="K38"/>
  <c r="E40"/>
  <c r="F40"/>
  <c r="B3" i="3"/>
  <c r="G9" i="2"/>
  <c r="N3" i="4" l="1"/>
  <c r="N4"/>
  <c r="N5"/>
  <c r="N6"/>
  <c r="N7"/>
  <c r="N8"/>
  <c r="N9"/>
  <c r="N10"/>
  <c r="N11"/>
  <c r="N12"/>
  <c r="N13"/>
  <c r="N14"/>
  <c r="N15"/>
  <c r="N16"/>
  <c r="N17"/>
  <c r="N18"/>
  <c r="N19"/>
  <c r="N20"/>
  <c r="N21"/>
  <c r="N22"/>
  <c r="N23"/>
  <c r="N24"/>
  <c r="N25"/>
  <c r="N26"/>
  <c r="N27"/>
  <c r="N28"/>
  <c r="N29"/>
  <c r="N30"/>
  <c r="N31"/>
  <c r="N32"/>
  <c r="N33"/>
  <c r="N34"/>
  <c r="N35"/>
  <c r="N36"/>
  <c r="N37"/>
  <c r="N38"/>
  <c r="N39"/>
  <c r="N40"/>
  <c r="N41"/>
  <c r="N42"/>
  <c r="N43"/>
  <c r="N44"/>
  <c r="N45"/>
  <c r="N46"/>
  <c r="N47"/>
  <c r="N48"/>
  <c r="N49"/>
  <c r="N50"/>
  <c r="N51"/>
  <c r="N52"/>
  <c r="N53"/>
  <c r="N54"/>
  <c r="N55"/>
  <c r="N56"/>
  <c r="N57"/>
  <c r="N58"/>
  <c r="N59"/>
  <c r="N60"/>
  <c r="N61"/>
  <c r="N62"/>
  <c r="N63"/>
  <c r="N64"/>
  <c r="N65"/>
  <c r="N66"/>
  <c r="N67"/>
  <c r="N68"/>
  <c r="N69"/>
  <c r="N70"/>
  <c r="N71"/>
  <c r="N72"/>
  <c r="N73"/>
  <c r="N74"/>
  <c r="N75"/>
  <c r="N76"/>
  <c r="N77"/>
  <c r="N78"/>
  <c r="N79"/>
  <c r="N80"/>
  <c r="N81"/>
  <c r="N82"/>
  <c r="N83"/>
  <c r="N84"/>
  <c r="N85"/>
  <c r="N86"/>
  <c r="N87"/>
  <c r="N88"/>
  <c r="N89"/>
  <c r="N90"/>
  <c r="N91"/>
  <c r="N92"/>
  <c r="N93"/>
  <c r="N94"/>
  <c r="N95"/>
  <c r="N96"/>
  <c r="N97"/>
  <c r="N98"/>
  <c r="N99"/>
  <c r="N100"/>
  <c r="N101"/>
  <c r="N102"/>
  <c r="N103"/>
  <c r="N104"/>
  <c r="N105"/>
  <c r="N106"/>
  <c r="N107"/>
  <c r="N108"/>
  <c r="N109"/>
  <c r="N110"/>
  <c r="N111"/>
  <c r="N112"/>
  <c r="N113"/>
  <c r="N114"/>
  <c r="N115"/>
  <c r="N116"/>
  <c r="N117"/>
  <c r="N118"/>
  <c r="N119"/>
  <c r="N120"/>
  <c r="N121"/>
  <c r="N122"/>
  <c r="N123"/>
  <c r="N124"/>
  <c r="N125"/>
  <c r="N126"/>
  <c r="N127"/>
  <c r="N128"/>
  <c r="N129"/>
  <c r="N130"/>
  <c r="N131"/>
  <c r="N132"/>
  <c r="N133"/>
  <c r="N134"/>
  <c r="N135"/>
  <c r="N136"/>
  <c r="N137"/>
  <c r="N138"/>
  <c r="N139"/>
  <c r="N140"/>
  <c r="N141"/>
  <c r="N142"/>
  <c r="N143"/>
  <c r="N144"/>
  <c r="N145"/>
  <c r="N146"/>
  <c r="N147"/>
  <c r="N148"/>
  <c r="N149"/>
  <c r="N150"/>
  <c r="N151"/>
  <c r="N152"/>
  <c r="N153"/>
  <c r="N154"/>
  <c r="N155"/>
  <c r="N156"/>
  <c r="N157"/>
  <c r="N158"/>
  <c r="N159"/>
  <c r="N160"/>
  <c r="N161"/>
  <c r="N162"/>
  <c r="N163"/>
  <c r="N164"/>
  <c r="N165"/>
  <c r="N166"/>
  <c r="N167"/>
  <c r="N168"/>
  <c r="N169"/>
  <c r="N170"/>
  <c r="N171"/>
  <c r="N172"/>
  <c r="N173"/>
  <c r="N174"/>
  <c r="N175"/>
  <c r="N176"/>
  <c r="N177"/>
  <c r="N178"/>
  <c r="N179"/>
  <c r="N180"/>
  <c r="N181"/>
  <c r="N182"/>
  <c r="N183"/>
  <c r="N184"/>
  <c r="N185"/>
  <c r="N186"/>
  <c r="N187"/>
  <c r="N188"/>
  <c r="N189"/>
  <c r="N190"/>
  <c r="N191"/>
  <c r="N192"/>
  <c r="N193"/>
  <c r="N194"/>
  <c r="N195"/>
  <c r="N196"/>
  <c r="N197"/>
  <c r="N198"/>
  <c r="N199"/>
  <c r="N200"/>
  <c r="N201"/>
  <c r="N202"/>
  <c r="N203"/>
  <c r="N204"/>
  <c r="N205"/>
  <c r="N206"/>
  <c r="N207"/>
  <c r="N208"/>
  <c r="N209"/>
  <c r="N210"/>
  <c r="N211"/>
  <c r="N212"/>
  <c r="N213"/>
  <c r="N214"/>
  <c r="N215"/>
  <c r="N216"/>
  <c r="N217"/>
  <c r="N218"/>
  <c r="N219"/>
  <c r="N220"/>
  <c r="N221"/>
  <c r="N222"/>
  <c r="N223"/>
  <c r="N224"/>
  <c r="N225"/>
  <c r="N226"/>
  <c r="N227"/>
  <c r="N228"/>
  <c r="N229"/>
  <c r="N230"/>
  <c r="N231"/>
  <c r="N232"/>
  <c r="N233"/>
  <c r="N234"/>
  <c r="N235"/>
  <c r="N236"/>
  <c r="N237"/>
  <c r="N238"/>
  <c r="N239"/>
  <c r="N240"/>
  <c r="N241"/>
  <c r="N242"/>
  <c r="N243"/>
  <c r="N244"/>
  <c r="N245"/>
  <c r="N246"/>
  <c r="N247"/>
  <c r="N248"/>
  <c r="N249"/>
  <c r="N250"/>
  <c r="N251"/>
  <c r="L3"/>
  <c r="L4"/>
  <c r="L5"/>
  <c r="L6"/>
  <c r="L7"/>
  <c r="L8"/>
  <c r="L9"/>
  <c r="L10"/>
  <c r="L11"/>
  <c r="L12"/>
  <c r="L13"/>
  <c r="L14"/>
  <c r="L15"/>
  <c r="L16"/>
  <c r="L17"/>
  <c r="L18"/>
  <c r="L19"/>
  <c r="L20"/>
  <c r="L21"/>
  <c r="L22"/>
  <c r="L23"/>
  <c r="L24"/>
  <c r="L25"/>
  <c r="L26"/>
  <c r="L27"/>
  <c r="L28"/>
  <c r="L29"/>
  <c r="L30"/>
  <c r="L31"/>
  <c r="L32"/>
  <c r="L33"/>
  <c r="L34"/>
  <c r="L35"/>
  <c r="L36"/>
  <c r="L37"/>
  <c r="L38"/>
  <c r="L39"/>
  <c r="L40"/>
  <c r="L41"/>
  <c r="L42"/>
  <c r="L43"/>
  <c r="L44"/>
  <c r="L45"/>
  <c r="L46"/>
  <c r="L47"/>
  <c r="L48"/>
  <c r="L49"/>
  <c r="L50"/>
  <c r="L51"/>
  <c r="L52"/>
  <c r="L53"/>
  <c r="L54"/>
  <c r="L55"/>
  <c r="L56"/>
  <c r="L57"/>
  <c r="L58"/>
  <c r="L59"/>
  <c r="L60"/>
  <c r="L61"/>
  <c r="L62"/>
  <c r="L63"/>
  <c r="L64"/>
  <c r="L65"/>
  <c r="L66"/>
  <c r="L67"/>
  <c r="L68"/>
  <c r="L69"/>
  <c r="L70"/>
  <c r="L71"/>
  <c r="L72"/>
  <c r="L73"/>
  <c r="L74"/>
  <c r="L75"/>
  <c r="L76"/>
  <c r="L77"/>
  <c r="L78"/>
  <c r="L79"/>
  <c r="L80"/>
  <c r="L81"/>
  <c r="L82"/>
  <c r="L83"/>
  <c r="L84"/>
  <c r="L85"/>
  <c r="L86"/>
  <c r="L87"/>
  <c r="L88"/>
  <c r="L89"/>
  <c r="L90"/>
  <c r="L91"/>
  <c r="L92"/>
  <c r="L93"/>
  <c r="L94"/>
  <c r="L95"/>
  <c r="L96"/>
  <c r="L97"/>
  <c r="L98"/>
  <c r="L99"/>
  <c r="L100"/>
  <c r="L101"/>
  <c r="L102"/>
  <c r="L103"/>
  <c r="L104"/>
  <c r="L105"/>
  <c r="L106"/>
  <c r="L107"/>
  <c r="L108"/>
  <c r="L109"/>
  <c r="L110"/>
  <c r="L111"/>
  <c r="L112"/>
  <c r="L113"/>
  <c r="L114"/>
  <c r="L115"/>
  <c r="L116"/>
  <c r="L117"/>
  <c r="L118"/>
  <c r="L119"/>
  <c r="L120"/>
  <c r="L121"/>
  <c r="L122"/>
  <c r="L123"/>
  <c r="L124"/>
  <c r="L125"/>
  <c r="L126"/>
  <c r="L127"/>
  <c r="L128"/>
  <c r="L129"/>
  <c r="L130"/>
  <c r="L131"/>
  <c r="L132"/>
  <c r="L133"/>
  <c r="L134"/>
  <c r="L135"/>
  <c r="L136"/>
  <c r="L137"/>
  <c r="L138"/>
  <c r="L139"/>
  <c r="L140"/>
  <c r="L141"/>
  <c r="L142"/>
  <c r="L143"/>
  <c r="L144"/>
  <c r="L145"/>
  <c r="L146"/>
  <c r="L147"/>
  <c r="L148"/>
  <c r="L149"/>
  <c r="L150"/>
  <c r="L151"/>
  <c r="L152"/>
  <c r="L153"/>
  <c r="L154"/>
  <c r="L155"/>
  <c r="L156"/>
  <c r="L157"/>
  <c r="L158"/>
  <c r="L159"/>
  <c r="L160"/>
  <c r="L161"/>
  <c r="L162"/>
  <c r="L163"/>
  <c r="L164"/>
  <c r="L165"/>
  <c r="L166"/>
  <c r="L167"/>
  <c r="L168"/>
  <c r="L169"/>
  <c r="L170"/>
  <c r="L171"/>
  <c r="L172"/>
  <c r="L173"/>
  <c r="L174"/>
  <c r="L175"/>
  <c r="L176"/>
  <c r="L177"/>
  <c r="L178"/>
  <c r="L179"/>
  <c r="L180"/>
  <c r="L181"/>
  <c r="L182"/>
  <c r="L183"/>
  <c r="L184"/>
  <c r="L185"/>
  <c r="L186"/>
  <c r="L187"/>
  <c r="L188"/>
  <c r="L189"/>
  <c r="L190"/>
  <c r="L191"/>
  <c r="L192"/>
  <c r="L193"/>
  <c r="L194"/>
  <c r="L195"/>
  <c r="L196"/>
  <c r="L197"/>
  <c r="L198"/>
  <c r="L199"/>
  <c r="L200"/>
  <c r="L201"/>
  <c r="L202"/>
  <c r="L203"/>
  <c r="L204"/>
  <c r="L205"/>
  <c r="L206"/>
  <c r="L207"/>
  <c r="L208"/>
  <c r="L209"/>
  <c r="L210"/>
  <c r="L211"/>
  <c r="L212"/>
  <c r="L213"/>
  <c r="L214"/>
  <c r="L215"/>
  <c r="L216"/>
  <c r="L217"/>
  <c r="L218"/>
  <c r="L219"/>
  <c r="L220"/>
  <c r="L221"/>
  <c r="L222"/>
  <c r="L223"/>
  <c r="L224"/>
  <c r="L225"/>
  <c r="L226"/>
  <c r="L227"/>
  <c r="L228"/>
  <c r="L229"/>
  <c r="L230"/>
  <c r="L231"/>
  <c r="L232"/>
  <c r="L233"/>
  <c r="L234"/>
  <c r="L235"/>
  <c r="L236"/>
  <c r="L237"/>
  <c r="L238"/>
  <c r="L239"/>
  <c r="L240"/>
  <c r="L241"/>
  <c r="L242"/>
  <c r="L243"/>
  <c r="L244"/>
  <c r="L245"/>
  <c r="L246"/>
  <c r="L247"/>
  <c r="L248"/>
  <c r="L249"/>
  <c r="L250"/>
  <c r="L251"/>
  <c r="H3"/>
  <c r="H4"/>
  <c r="H5"/>
  <c r="H6"/>
  <c r="H7"/>
  <c r="H8"/>
  <c r="H9"/>
  <c r="H10"/>
  <c r="H11"/>
  <c r="H12"/>
  <c r="H13"/>
  <c r="H14"/>
  <c r="H15"/>
  <c r="H16"/>
  <c r="H17"/>
  <c r="H18"/>
  <c r="H19"/>
  <c r="H20"/>
  <c r="H21"/>
  <c r="H22"/>
  <c r="H23"/>
  <c r="H24"/>
  <c r="H25"/>
  <c r="H26"/>
  <c r="H27"/>
  <c r="H28"/>
  <c r="H29"/>
  <c r="H30"/>
  <c r="H31"/>
  <c r="H32"/>
  <c r="H33"/>
  <c r="H34"/>
  <c r="H35"/>
  <c r="H36"/>
  <c r="H37"/>
  <c r="H38"/>
  <c r="H39"/>
  <c r="H40"/>
  <c r="H41"/>
  <c r="H42"/>
  <c r="H43"/>
  <c r="H44"/>
  <c r="H45"/>
  <c r="H46"/>
  <c r="H47"/>
  <c r="H48"/>
  <c r="H49"/>
  <c r="H50"/>
  <c r="H51"/>
  <c r="H52"/>
  <c r="H53"/>
  <c r="H54"/>
  <c r="H55"/>
  <c r="H56"/>
  <c r="H57"/>
  <c r="H58"/>
  <c r="H59"/>
  <c r="H60"/>
  <c r="H61"/>
  <c r="H62"/>
  <c r="H63"/>
  <c r="H64"/>
  <c r="H65"/>
  <c r="H66"/>
  <c r="H67"/>
  <c r="H68"/>
  <c r="H69"/>
  <c r="H70"/>
  <c r="H71"/>
  <c r="H72"/>
  <c r="H73"/>
  <c r="H74"/>
  <c r="H75"/>
  <c r="H76"/>
  <c r="H77"/>
  <c r="H78"/>
  <c r="H79"/>
  <c r="H80"/>
  <c r="H81"/>
  <c r="H82"/>
  <c r="H83"/>
  <c r="H84"/>
  <c r="H85"/>
  <c r="H86"/>
  <c r="H87"/>
  <c r="H88"/>
  <c r="H89"/>
  <c r="H90"/>
  <c r="H91"/>
  <c r="H92"/>
  <c r="H93"/>
  <c r="H94"/>
  <c r="H95"/>
  <c r="H96"/>
  <c r="H97"/>
  <c r="H98"/>
  <c r="H99"/>
  <c r="H100"/>
  <c r="H101"/>
  <c r="H102"/>
  <c r="H103"/>
  <c r="H104"/>
  <c r="H105"/>
  <c r="H106"/>
  <c r="H107"/>
  <c r="H108"/>
  <c r="H109"/>
  <c r="H110"/>
  <c r="H111"/>
  <c r="H112"/>
  <c r="H113"/>
  <c r="H114"/>
  <c r="H115"/>
  <c r="H116"/>
  <c r="H117"/>
  <c r="H118"/>
  <c r="H119"/>
  <c r="H120"/>
  <c r="H121"/>
  <c r="H122"/>
  <c r="H123"/>
  <c r="H124"/>
  <c r="H125"/>
  <c r="H126"/>
  <c r="H127"/>
  <c r="H128"/>
  <c r="H129"/>
  <c r="H130"/>
  <c r="H131"/>
  <c r="H132"/>
  <c r="H133"/>
  <c r="H134"/>
  <c r="H135"/>
  <c r="H136"/>
  <c r="H137"/>
  <c r="H138"/>
  <c r="H139"/>
  <c r="H140"/>
  <c r="H141"/>
  <c r="H142"/>
  <c r="H143"/>
  <c r="H144"/>
  <c r="H145"/>
  <c r="H146"/>
  <c r="H147"/>
  <c r="H148"/>
  <c r="H149"/>
  <c r="H150"/>
  <c r="H151"/>
  <c r="H152"/>
  <c r="H153"/>
  <c r="H154"/>
  <c r="H155"/>
  <c r="H156"/>
  <c r="H157"/>
  <c r="H158"/>
  <c r="H159"/>
  <c r="H160"/>
  <c r="H161"/>
  <c r="H162"/>
  <c r="H163"/>
  <c r="H164"/>
  <c r="H165"/>
  <c r="H166"/>
  <c r="H167"/>
  <c r="H168"/>
  <c r="H169"/>
  <c r="H170"/>
  <c r="H171"/>
  <c r="H172"/>
  <c r="H173"/>
  <c r="O3"/>
  <c r="O4"/>
  <c r="O5"/>
  <c r="O6"/>
  <c r="O7"/>
  <c r="O8"/>
  <c r="O9"/>
  <c r="O10"/>
  <c r="O11"/>
  <c r="O12"/>
  <c r="O13"/>
  <c r="O14"/>
  <c r="O15"/>
  <c r="O16"/>
  <c r="O17"/>
  <c r="O18"/>
  <c r="O19"/>
  <c r="O20"/>
  <c r="O21"/>
  <c r="O22"/>
  <c r="O23"/>
  <c r="O24"/>
  <c r="O25"/>
  <c r="O26"/>
  <c r="O27"/>
  <c r="O28"/>
  <c r="O29"/>
  <c r="O30"/>
  <c r="O31"/>
  <c r="O32"/>
  <c r="O33"/>
  <c r="O34"/>
  <c r="O35"/>
  <c r="O36"/>
  <c r="O37"/>
  <c r="O38"/>
  <c r="O39"/>
  <c r="O40"/>
  <c r="O41"/>
  <c r="O42"/>
  <c r="O43"/>
  <c r="O44"/>
  <c r="O45"/>
  <c r="O46"/>
  <c r="O47"/>
  <c r="O48"/>
  <c r="O49"/>
  <c r="O50"/>
  <c r="O51"/>
  <c r="O52"/>
  <c r="O53"/>
  <c r="O54"/>
  <c r="O55"/>
  <c r="O56"/>
  <c r="O57"/>
  <c r="O58"/>
  <c r="O59"/>
  <c r="O60"/>
  <c r="O61"/>
  <c r="O62"/>
  <c r="O63"/>
  <c r="O64"/>
  <c r="O65"/>
  <c r="O66"/>
  <c r="O67"/>
  <c r="O68"/>
  <c r="O69"/>
  <c r="O70"/>
  <c r="O71"/>
  <c r="O72"/>
  <c r="O73"/>
  <c r="O74"/>
  <c r="O75"/>
  <c r="O76"/>
  <c r="O77"/>
  <c r="O78"/>
  <c r="O79"/>
  <c r="O80"/>
  <c r="O81"/>
  <c r="O82"/>
  <c r="O83"/>
  <c r="O84"/>
  <c r="O85"/>
  <c r="O86"/>
  <c r="O87"/>
  <c r="O88"/>
  <c r="O89"/>
  <c r="O90"/>
  <c r="O91"/>
  <c r="O92"/>
  <c r="O93"/>
  <c r="O94"/>
  <c r="O95"/>
  <c r="O96"/>
  <c r="O97"/>
  <c r="O98"/>
  <c r="O99"/>
  <c r="O100"/>
  <c r="O101"/>
  <c r="O102"/>
  <c r="O103"/>
  <c r="O104"/>
  <c r="O105"/>
  <c r="O106"/>
  <c r="O107"/>
  <c r="O108"/>
  <c r="O109"/>
  <c r="O110"/>
  <c r="O111"/>
  <c r="O112"/>
  <c r="O113"/>
  <c r="O114"/>
  <c r="O115"/>
  <c r="O116"/>
  <c r="O117"/>
  <c r="O118"/>
  <c r="O119"/>
  <c r="O120"/>
  <c r="O121"/>
  <c r="O122"/>
  <c r="O123"/>
  <c r="O124"/>
  <c r="O125"/>
  <c r="O126"/>
  <c r="O127"/>
  <c r="O128"/>
  <c r="O129"/>
  <c r="O130"/>
  <c r="O131"/>
  <c r="O132"/>
  <c r="O133"/>
  <c r="O134"/>
  <c r="O135"/>
  <c r="O136"/>
  <c r="O137"/>
  <c r="O138"/>
  <c r="O139"/>
  <c r="O140"/>
  <c r="O141"/>
  <c r="O142"/>
  <c r="O143"/>
  <c r="O144"/>
  <c r="O145"/>
  <c r="O146"/>
  <c r="O147"/>
  <c r="O148"/>
  <c r="O149"/>
  <c r="O150"/>
  <c r="O151"/>
  <c r="O152"/>
  <c r="O153"/>
  <c r="O154"/>
  <c r="O155"/>
  <c r="O156"/>
  <c r="O157"/>
  <c r="O158"/>
  <c r="O159"/>
  <c r="O160"/>
  <c r="O161"/>
  <c r="O162"/>
  <c r="O163"/>
  <c r="O164"/>
  <c r="O165"/>
  <c r="O166"/>
  <c r="O167"/>
  <c r="O168"/>
  <c r="O169"/>
  <c r="O170"/>
  <c r="O171"/>
  <c r="O172"/>
  <c r="O173"/>
  <c r="O174"/>
  <c r="O175"/>
  <c r="O176"/>
  <c r="O177"/>
  <c r="O178"/>
  <c r="O179"/>
  <c r="O180"/>
  <c r="O181"/>
  <c r="O182"/>
  <c r="O183"/>
  <c r="O184"/>
  <c r="O185"/>
  <c r="O186"/>
  <c r="O187"/>
  <c r="O188"/>
  <c r="O189"/>
  <c r="O190"/>
  <c r="O191"/>
  <c r="O192"/>
  <c r="O193"/>
  <c r="O194"/>
  <c r="O195"/>
  <c r="O196"/>
  <c r="O197"/>
  <c r="O198"/>
  <c r="O199"/>
  <c r="O200"/>
  <c r="O201"/>
  <c r="O202"/>
  <c r="O203"/>
  <c r="O204"/>
  <c r="O205"/>
  <c r="O206"/>
  <c r="O207"/>
  <c r="O208"/>
  <c r="O209"/>
  <c r="O210"/>
  <c r="O211"/>
  <c r="O212"/>
  <c r="O213"/>
  <c r="O214"/>
  <c r="O215"/>
  <c r="O216"/>
  <c r="O217"/>
  <c r="O218"/>
  <c r="O219"/>
  <c r="O220"/>
  <c r="O221"/>
  <c r="O222"/>
  <c r="O223"/>
  <c r="O224"/>
  <c r="O225"/>
  <c r="O226"/>
  <c r="O227"/>
  <c r="O228"/>
  <c r="O229"/>
  <c r="O230"/>
  <c r="O231"/>
  <c r="O232"/>
  <c r="O233"/>
  <c r="O234"/>
  <c r="O235"/>
  <c r="O236"/>
  <c r="O237"/>
  <c r="O238"/>
  <c r="O239"/>
  <c r="O240"/>
  <c r="O241"/>
  <c r="O242"/>
  <c r="O243"/>
  <c r="O244"/>
  <c r="O245"/>
  <c r="O246"/>
  <c r="O247"/>
  <c r="O248"/>
  <c r="O249"/>
  <c r="O250"/>
  <c r="O251"/>
  <c r="M3"/>
  <c r="M4"/>
  <c r="M5"/>
  <c r="M6"/>
  <c r="M7"/>
  <c r="M8"/>
  <c r="M9"/>
  <c r="M10"/>
  <c r="M11"/>
  <c r="M12"/>
  <c r="M13"/>
  <c r="M14"/>
  <c r="M15"/>
  <c r="M16"/>
  <c r="M17"/>
  <c r="M18"/>
  <c r="M19"/>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88"/>
  <c r="M89"/>
  <c r="M90"/>
  <c r="M91"/>
  <c r="M92"/>
  <c r="M93"/>
  <c r="M94"/>
  <c r="M95"/>
  <c r="M96"/>
  <c r="M97"/>
  <c r="M98"/>
  <c r="M99"/>
  <c r="M100"/>
  <c r="M101"/>
  <c r="M102"/>
  <c r="M103"/>
  <c r="M104"/>
  <c r="M105"/>
  <c r="M106"/>
  <c r="M107"/>
  <c r="M108"/>
  <c r="M109"/>
  <c r="M110"/>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K4"/>
  <c r="K6"/>
  <c r="K8"/>
  <c r="K10"/>
  <c r="K12"/>
  <c r="K14"/>
  <c r="K16"/>
  <c r="K18"/>
  <c r="K20"/>
  <c r="K22"/>
  <c r="K24"/>
  <c r="K26"/>
  <c r="K28"/>
  <c r="K30"/>
  <c r="K32"/>
  <c r="K34"/>
  <c r="K36"/>
  <c r="K38"/>
  <c r="K40"/>
  <c r="K42"/>
  <c r="K44"/>
  <c r="K46"/>
  <c r="K48"/>
  <c r="K50"/>
  <c r="K52"/>
  <c r="K54"/>
  <c r="K56"/>
  <c r="K58"/>
  <c r="K60"/>
  <c r="K62"/>
  <c r="K64"/>
  <c r="K66"/>
  <c r="K68"/>
  <c r="K70"/>
  <c r="K72"/>
  <c r="K74"/>
  <c r="K76"/>
  <c r="K78"/>
  <c r="K80"/>
  <c r="K82"/>
  <c r="K84"/>
  <c r="K86"/>
  <c r="K88"/>
  <c r="K90"/>
  <c r="K92"/>
  <c r="K94"/>
  <c r="K96"/>
  <c r="K98"/>
  <c r="K100"/>
  <c r="K102"/>
  <c r="K104"/>
  <c r="K106"/>
  <c r="K108"/>
  <c r="K110"/>
  <c r="K112"/>
  <c r="K114"/>
  <c r="K116"/>
  <c r="K118"/>
  <c r="K120"/>
  <c r="K122"/>
  <c r="K124"/>
  <c r="K126"/>
  <c r="K128"/>
  <c r="K130"/>
  <c r="K132"/>
  <c r="K134"/>
  <c r="K136"/>
  <c r="K138"/>
  <c r="K140"/>
  <c r="K142"/>
  <c r="K144"/>
  <c r="K146"/>
  <c r="K148"/>
  <c r="K150"/>
  <c r="K152"/>
  <c r="K154"/>
  <c r="K156"/>
  <c r="K158"/>
  <c r="K160"/>
  <c r="K162"/>
  <c r="K164"/>
  <c r="K166"/>
  <c r="K168"/>
  <c r="K170"/>
  <c r="K172"/>
  <c r="K174"/>
  <c r="K176"/>
  <c r="K178"/>
  <c r="K180"/>
  <c r="K182"/>
  <c r="K184"/>
  <c r="K186"/>
  <c r="K188"/>
  <c r="K190"/>
  <c r="K192"/>
  <c r="K194"/>
  <c r="K196"/>
  <c r="K198"/>
  <c r="K200"/>
  <c r="K202"/>
  <c r="K204"/>
  <c r="K206"/>
  <c r="K208"/>
  <c r="K210"/>
  <c r="K212"/>
  <c r="K214"/>
  <c r="K216"/>
  <c r="K218"/>
  <c r="K220"/>
  <c r="K222"/>
  <c r="K224"/>
  <c r="K226"/>
  <c r="K228"/>
  <c r="K230"/>
  <c r="K232"/>
  <c r="K234"/>
  <c r="K236"/>
  <c r="K238"/>
  <c r="K240"/>
  <c r="K242"/>
  <c r="K244"/>
  <c r="K246"/>
  <c r="K248"/>
  <c r="K250"/>
  <c r="K252"/>
  <c r="K254"/>
  <c r="K256"/>
  <c r="K258"/>
  <c r="K260"/>
  <c r="K262"/>
  <c r="K264"/>
  <c r="K266"/>
  <c r="K268"/>
  <c r="K270"/>
  <c r="K272"/>
  <c r="K274"/>
  <c r="K276"/>
  <c r="K278"/>
  <c r="K280"/>
  <c r="K282"/>
  <c r="K284"/>
  <c r="K286"/>
  <c r="K288"/>
  <c r="K290"/>
  <c r="K292"/>
  <c r="K294"/>
  <c r="K296"/>
  <c r="K298"/>
  <c r="K300"/>
  <c r="K302"/>
  <c r="K304"/>
  <c r="K306"/>
  <c r="K308"/>
  <c r="K310"/>
  <c r="K312"/>
  <c r="K314"/>
  <c r="K316"/>
  <c r="K318"/>
  <c r="K320"/>
  <c r="K322"/>
  <c r="K324"/>
  <c r="K326"/>
  <c r="K328"/>
  <c r="K330"/>
  <c r="K332"/>
  <c r="K334"/>
  <c r="K336"/>
  <c r="K338"/>
  <c r="K340"/>
  <c r="K342"/>
  <c r="K344"/>
  <c r="K346"/>
  <c r="K348"/>
  <c r="K350"/>
  <c r="K352"/>
  <c r="K354"/>
  <c r="K356"/>
  <c r="K358"/>
  <c r="K360"/>
  <c r="K362"/>
  <c r="K364"/>
  <c r="K366"/>
  <c r="K368"/>
  <c r="K370"/>
  <c r="K372"/>
  <c r="K374"/>
  <c r="K376"/>
  <c r="K378"/>
  <c r="K380"/>
  <c r="K382"/>
  <c r="K384"/>
  <c r="K386"/>
  <c r="K388"/>
  <c r="K390"/>
  <c r="K392"/>
  <c r="K394"/>
  <c r="K396"/>
  <c r="K398"/>
  <c r="K400"/>
  <c r="K402"/>
  <c r="K404"/>
  <c r="K406"/>
  <c r="K408"/>
  <c r="K410"/>
  <c r="K412"/>
  <c r="K414"/>
  <c r="K416"/>
  <c r="K418"/>
  <c r="K420"/>
  <c r="K422"/>
  <c r="K424"/>
  <c r="K426"/>
  <c r="K428"/>
  <c r="K430"/>
  <c r="K432"/>
  <c r="K434"/>
  <c r="K436"/>
  <c r="K438"/>
  <c r="K440"/>
  <c r="K442"/>
  <c r="K444"/>
  <c r="K446"/>
  <c r="K448"/>
  <c r="K450"/>
  <c r="K452"/>
  <c r="K454"/>
  <c r="K456"/>
  <c r="K458"/>
  <c r="K460"/>
  <c r="K462"/>
  <c r="K464"/>
  <c r="K466"/>
  <c r="K468"/>
  <c r="K470"/>
  <c r="K472"/>
  <c r="K474"/>
  <c r="K476"/>
  <c r="K478"/>
  <c r="K480"/>
  <c r="K482"/>
  <c r="K484"/>
  <c r="K486"/>
  <c r="K488"/>
  <c r="K490"/>
  <c r="K492"/>
  <c r="K494"/>
  <c r="K496"/>
  <c r="K498"/>
  <c r="K500"/>
  <c r="K502"/>
  <c r="K504"/>
  <c r="K506"/>
  <c r="K508"/>
  <c r="K510"/>
  <c r="K512"/>
  <c r="K3"/>
  <c r="K5"/>
  <c r="K7"/>
  <c r="K9"/>
  <c r="K11"/>
  <c r="K13"/>
  <c r="K15"/>
  <c r="K17"/>
  <c r="K19"/>
  <c r="K21"/>
  <c r="K23"/>
  <c r="K25"/>
  <c r="K27"/>
  <c r="K29"/>
  <c r="K31"/>
  <c r="K33"/>
  <c r="K35"/>
  <c r="K37"/>
  <c r="K39"/>
  <c r="K41"/>
  <c r="K43"/>
  <c r="K45"/>
  <c r="K47"/>
  <c r="K49"/>
  <c r="K51"/>
  <c r="K53"/>
  <c r="K55"/>
  <c r="K57"/>
  <c r="K59"/>
  <c r="K61"/>
  <c r="K63"/>
  <c r="K65"/>
  <c r="K67"/>
  <c r="K69"/>
  <c r="K71"/>
  <c r="K73"/>
  <c r="K75"/>
  <c r="K77"/>
  <c r="K79"/>
  <c r="K81"/>
  <c r="K83"/>
  <c r="K85"/>
  <c r="K87"/>
  <c r="K89"/>
  <c r="K91"/>
  <c r="K93"/>
  <c r="K95"/>
  <c r="K97"/>
  <c r="K99"/>
  <c r="K101"/>
  <c r="K103"/>
  <c r="K105"/>
  <c r="K107"/>
  <c r="K109"/>
  <c r="K111"/>
  <c r="K113"/>
  <c r="K115"/>
  <c r="K117"/>
  <c r="K119"/>
  <c r="K121"/>
  <c r="K123"/>
  <c r="K125"/>
  <c r="K127"/>
  <c r="K129"/>
  <c r="K131"/>
  <c r="K133"/>
  <c r="K135"/>
  <c r="K137"/>
  <c r="K139"/>
  <c r="K141"/>
  <c r="K143"/>
  <c r="K145"/>
  <c r="K147"/>
  <c r="K149"/>
  <c r="K151"/>
  <c r="K153"/>
  <c r="K155"/>
  <c r="K157"/>
  <c r="K159"/>
  <c r="K161"/>
  <c r="K163"/>
  <c r="K165"/>
  <c r="K167"/>
  <c r="K169"/>
  <c r="K171"/>
  <c r="K173"/>
  <c r="K175"/>
  <c r="K177"/>
  <c r="K179"/>
  <c r="K181"/>
  <c r="K183"/>
  <c r="K185"/>
  <c r="K187"/>
  <c r="K189"/>
  <c r="K191"/>
  <c r="K193"/>
  <c r="K195"/>
  <c r="K197"/>
  <c r="K199"/>
  <c r="K201"/>
  <c r="K203"/>
  <c r="K205"/>
  <c r="K207"/>
  <c r="K209"/>
  <c r="K211"/>
  <c r="K213"/>
  <c r="K215"/>
  <c r="K217"/>
  <c r="K219"/>
  <c r="K221"/>
  <c r="K223"/>
  <c r="K225"/>
  <c r="K227"/>
  <c r="K229"/>
  <c r="K231"/>
  <c r="K233"/>
  <c r="K235"/>
  <c r="K237"/>
  <c r="K239"/>
  <c r="K241"/>
  <c r="K243"/>
  <c r="K245"/>
  <c r="K247"/>
  <c r="K249"/>
  <c r="K251"/>
  <c r="K253"/>
  <c r="K255"/>
  <c r="K257"/>
  <c r="K259"/>
  <c r="K261"/>
  <c r="K263"/>
  <c r="K265"/>
  <c r="K267"/>
  <c r="K269"/>
  <c r="K271"/>
  <c r="K273"/>
  <c r="K275"/>
  <c r="K277"/>
  <c r="K279"/>
  <c r="K281"/>
  <c r="K283"/>
  <c r="K285"/>
  <c r="K287"/>
  <c r="K289"/>
  <c r="K291"/>
  <c r="K293"/>
  <c r="K295"/>
  <c r="K297"/>
  <c r="K299"/>
  <c r="K301"/>
  <c r="K303"/>
  <c r="K305"/>
  <c r="K307"/>
  <c r="K309"/>
  <c r="K311"/>
  <c r="K313"/>
  <c r="K315"/>
  <c r="K317"/>
  <c r="K319"/>
  <c r="K321"/>
  <c r="K323"/>
  <c r="K325"/>
  <c r="K327"/>
  <c r="K329"/>
  <c r="K331"/>
  <c r="K333"/>
  <c r="K335"/>
  <c r="K337"/>
  <c r="K339"/>
  <c r="K341"/>
  <c r="K343"/>
  <c r="K345"/>
  <c r="K347"/>
  <c r="K349"/>
  <c r="K351"/>
  <c r="K353"/>
  <c r="K355"/>
  <c r="K357"/>
  <c r="K359"/>
  <c r="K361"/>
  <c r="K363"/>
  <c r="K365"/>
  <c r="K367"/>
  <c r="K369"/>
  <c r="K371"/>
  <c r="K373"/>
  <c r="K375"/>
  <c r="K377"/>
  <c r="K379"/>
  <c r="K381"/>
  <c r="K383"/>
  <c r="K385"/>
  <c r="K387"/>
  <c r="K389"/>
  <c r="K391"/>
  <c r="K393"/>
  <c r="K395"/>
  <c r="K397"/>
  <c r="K399"/>
  <c r="K401"/>
  <c r="K403"/>
  <c r="K405"/>
  <c r="K407"/>
  <c r="K409"/>
  <c r="K411"/>
  <c r="K413"/>
  <c r="K415"/>
  <c r="K417"/>
  <c r="K419"/>
  <c r="K421"/>
  <c r="K423"/>
  <c r="K425"/>
  <c r="K427"/>
  <c r="K429"/>
  <c r="K431"/>
  <c r="K433"/>
  <c r="K435"/>
  <c r="K437"/>
  <c r="K439"/>
  <c r="K441"/>
  <c r="K443"/>
  <c r="K445"/>
  <c r="K447"/>
  <c r="K449"/>
  <c r="K451"/>
  <c r="K453"/>
  <c r="K455"/>
  <c r="K457"/>
  <c r="K459"/>
  <c r="K461"/>
  <c r="K463"/>
  <c r="K465"/>
  <c r="K467"/>
  <c r="K469"/>
  <c r="K471"/>
  <c r="K473"/>
  <c r="K475"/>
  <c r="K477"/>
  <c r="K479"/>
  <c r="K481"/>
  <c r="K483"/>
  <c r="K485"/>
  <c r="K487"/>
  <c r="K489"/>
  <c r="K491"/>
  <c r="K493"/>
  <c r="K495"/>
  <c r="K497"/>
  <c r="K499"/>
  <c r="K501"/>
  <c r="K503"/>
  <c r="K505"/>
  <c r="K507"/>
  <c r="K509"/>
  <c r="K511"/>
  <c r="J3"/>
  <c r="J4"/>
  <c r="J5"/>
  <c r="J6"/>
  <c r="J7"/>
  <c r="J8"/>
  <c r="J9"/>
  <c r="J10"/>
  <c r="J11"/>
  <c r="J12"/>
  <c r="J13"/>
  <c r="J14"/>
  <c r="J15"/>
  <c r="J16"/>
  <c r="J17"/>
  <c r="J18"/>
  <c r="J19"/>
  <c r="J20"/>
  <c r="J21"/>
  <c r="J22"/>
  <c r="J23"/>
  <c r="J24"/>
  <c r="J25"/>
  <c r="J26"/>
  <c r="J27"/>
  <c r="J28"/>
  <c r="J29"/>
  <c r="J30"/>
  <c r="J31"/>
  <c r="J32"/>
  <c r="J33"/>
  <c r="J34"/>
  <c r="J35"/>
  <c r="J36"/>
  <c r="J37"/>
  <c r="J38"/>
  <c r="J39"/>
  <c r="J40"/>
  <c r="J41"/>
  <c r="J42"/>
  <c r="J43"/>
  <c r="J44"/>
  <c r="J45"/>
  <c r="J46"/>
  <c r="J47"/>
  <c r="J48"/>
  <c r="J49"/>
  <c r="J50"/>
  <c r="J51"/>
  <c r="J52"/>
  <c r="J53"/>
  <c r="J54"/>
  <c r="J55"/>
  <c r="J56"/>
  <c r="J57"/>
  <c r="J58"/>
  <c r="J59"/>
  <c r="J60"/>
  <c r="J61"/>
  <c r="J62"/>
  <c r="J63"/>
  <c r="J64"/>
  <c r="J65"/>
  <c r="J66"/>
  <c r="J67"/>
  <c r="J68"/>
  <c r="J69"/>
  <c r="J70"/>
  <c r="J71"/>
  <c r="J72"/>
  <c r="J73"/>
  <c r="J74"/>
  <c r="J75"/>
  <c r="J76"/>
  <c r="J77"/>
  <c r="J78"/>
  <c r="J79"/>
  <c r="J80"/>
  <c r="J81"/>
  <c r="J82"/>
  <c r="J83"/>
  <c r="J84"/>
  <c r="J85"/>
  <c r="J86"/>
  <c r="J87"/>
  <c r="J88"/>
  <c r="J89"/>
  <c r="J90"/>
  <c r="J91"/>
  <c r="J92"/>
  <c r="J93"/>
  <c r="J94"/>
  <c r="J95"/>
  <c r="J96"/>
  <c r="J97"/>
  <c r="J98"/>
  <c r="J99"/>
  <c r="J100"/>
  <c r="J101"/>
  <c r="J102"/>
  <c r="J103"/>
  <c r="J104"/>
  <c r="J105"/>
  <c r="J106"/>
  <c r="J107"/>
  <c r="J108"/>
  <c r="J109"/>
  <c r="J110"/>
  <c r="J111"/>
  <c r="J112"/>
  <c r="J113"/>
  <c r="J114"/>
  <c r="J115"/>
  <c r="J116"/>
  <c r="J117"/>
  <c r="J118"/>
  <c r="J119"/>
  <c r="J120"/>
  <c r="J121"/>
  <c r="J122"/>
  <c r="J123"/>
  <c r="J124"/>
  <c r="J125"/>
  <c r="J126"/>
  <c r="J127"/>
  <c r="J128"/>
  <c r="J129"/>
  <c r="J130"/>
  <c r="J131"/>
  <c r="J132"/>
  <c r="J133"/>
  <c r="J134"/>
  <c r="J135"/>
  <c r="J136"/>
  <c r="J137"/>
  <c r="J138"/>
  <c r="J139"/>
  <c r="J140"/>
  <c r="J141"/>
  <c r="J142"/>
  <c r="J143"/>
  <c r="J144"/>
  <c r="J145"/>
  <c r="J146"/>
  <c r="J147"/>
  <c r="J148"/>
  <c r="J149"/>
  <c r="J150"/>
  <c r="J151"/>
  <c r="J152"/>
  <c r="J153"/>
  <c r="J154"/>
  <c r="J155"/>
  <c r="J156"/>
  <c r="J157"/>
  <c r="J158"/>
  <c r="J159"/>
  <c r="J160"/>
  <c r="J161"/>
  <c r="J162"/>
  <c r="J163"/>
  <c r="J164"/>
  <c r="J165"/>
  <c r="J166"/>
  <c r="J167"/>
  <c r="J168"/>
  <c r="J169"/>
  <c r="J170"/>
  <c r="J171"/>
  <c r="J172"/>
  <c r="J173"/>
  <c r="J174"/>
  <c r="J175"/>
  <c r="J176"/>
  <c r="J177"/>
  <c r="J178"/>
  <c r="J179"/>
  <c r="J180"/>
  <c r="J181"/>
  <c r="J182"/>
  <c r="J183"/>
  <c r="J184"/>
  <c r="J185"/>
  <c r="J186"/>
  <c r="J187"/>
  <c r="J188"/>
  <c r="J189"/>
  <c r="J190"/>
  <c r="J191"/>
  <c r="J192"/>
  <c r="J193"/>
  <c r="J194"/>
  <c r="J195"/>
  <c r="J196"/>
  <c r="J197"/>
  <c r="J198"/>
  <c r="J199"/>
  <c r="J200"/>
  <c r="J201"/>
  <c r="J202"/>
  <c r="J203"/>
  <c r="J204"/>
  <c r="J205"/>
  <c r="J206"/>
  <c r="J207"/>
  <c r="J208"/>
  <c r="J209"/>
  <c r="J210"/>
  <c r="J211"/>
  <c r="J212"/>
  <c r="J213"/>
  <c r="J214"/>
  <c r="J215"/>
  <c r="J216"/>
  <c r="J217"/>
  <c r="J218"/>
  <c r="J219"/>
  <c r="J220"/>
  <c r="J221"/>
  <c r="J222"/>
  <c r="J223"/>
  <c r="J224"/>
  <c r="J225"/>
  <c r="J226"/>
  <c r="J227"/>
  <c r="J228"/>
  <c r="J229"/>
  <c r="J230"/>
  <c r="J231"/>
  <c r="J232"/>
  <c r="J233"/>
  <c r="J234"/>
  <c r="J235"/>
  <c r="J236"/>
  <c r="J237"/>
  <c r="J238"/>
  <c r="J239"/>
  <c r="J240"/>
  <c r="J241"/>
  <c r="J242"/>
  <c r="J243"/>
  <c r="J244"/>
  <c r="J245"/>
  <c r="J246"/>
  <c r="J247"/>
  <c r="J248"/>
  <c r="J249"/>
  <c r="J250"/>
  <c r="J251"/>
  <c r="J252"/>
  <c r="J253"/>
  <c r="J254"/>
  <c r="J255"/>
  <c r="J256"/>
  <c r="J257"/>
  <c r="J258"/>
  <c r="J259"/>
  <c r="J260"/>
  <c r="J261"/>
  <c r="J262"/>
  <c r="J263"/>
  <c r="J264"/>
  <c r="J265"/>
  <c r="J266"/>
  <c r="J267"/>
  <c r="J268"/>
  <c r="J269"/>
  <c r="J270"/>
  <c r="J271"/>
  <c r="J272"/>
  <c r="J273"/>
  <c r="J274"/>
  <c r="J275"/>
  <c r="J276"/>
  <c r="J277"/>
  <c r="J278"/>
  <c r="J279"/>
  <c r="J280"/>
  <c r="J281"/>
  <c r="J282"/>
  <c r="J283"/>
  <c r="J284"/>
  <c r="J285"/>
  <c r="J286"/>
  <c r="J287"/>
  <c r="J288"/>
  <c r="J289"/>
  <c r="J290"/>
  <c r="J291"/>
  <c r="J292"/>
  <c r="J293"/>
  <c r="J294"/>
  <c r="J295"/>
  <c r="J296"/>
  <c r="J297"/>
  <c r="J298"/>
  <c r="J299"/>
  <c r="J300"/>
  <c r="J301"/>
  <c r="J302"/>
  <c r="J303"/>
  <c r="J304"/>
  <c r="J305"/>
  <c r="J306"/>
  <c r="J307"/>
  <c r="J308"/>
  <c r="J309"/>
  <c r="J310"/>
  <c r="J311"/>
  <c r="J312"/>
  <c r="J313"/>
  <c r="J314"/>
  <c r="J315"/>
  <c r="J316"/>
  <c r="J317"/>
  <c r="J318"/>
  <c r="J319"/>
  <c r="J320"/>
  <c r="J321"/>
  <c r="J322"/>
  <c r="J323"/>
  <c r="J324"/>
  <c r="J325"/>
  <c r="J326"/>
  <c r="J327"/>
  <c r="J328"/>
  <c r="J329"/>
  <c r="J330"/>
  <c r="J331"/>
  <c r="J332"/>
  <c r="J333"/>
  <c r="J334"/>
  <c r="J335"/>
  <c r="J336"/>
  <c r="J337"/>
  <c r="J338"/>
  <c r="J339"/>
  <c r="J340"/>
  <c r="J341"/>
  <c r="J342"/>
  <c r="J343"/>
  <c r="J344"/>
  <c r="J345"/>
  <c r="J346"/>
  <c r="J347"/>
  <c r="J348"/>
  <c r="J349"/>
  <c r="J350"/>
  <c r="J351"/>
  <c r="J352"/>
  <c r="J353"/>
  <c r="J354"/>
  <c r="J355"/>
  <c r="J356"/>
  <c r="J357"/>
  <c r="J358"/>
  <c r="J359"/>
  <c r="J360"/>
  <c r="J361"/>
  <c r="J362"/>
  <c r="J363"/>
  <c r="J364"/>
  <c r="J365"/>
  <c r="J366"/>
  <c r="J367"/>
  <c r="J368"/>
  <c r="J369"/>
  <c r="J370"/>
  <c r="J371"/>
  <c r="J372"/>
  <c r="J373"/>
  <c r="J374"/>
  <c r="J375"/>
  <c r="J376"/>
  <c r="J377"/>
  <c r="J378"/>
  <c r="J379"/>
  <c r="J380"/>
  <c r="J381"/>
  <c r="J382"/>
  <c r="J383"/>
  <c r="J384"/>
  <c r="J385"/>
  <c r="J386"/>
  <c r="J387"/>
  <c r="J388"/>
  <c r="J389"/>
  <c r="J390"/>
  <c r="J391"/>
  <c r="J392"/>
  <c r="J393"/>
  <c r="J394"/>
  <c r="J395"/>
  <c r="J396"/>
  <c r="J397"/>
  <c r="J398"/>
  <c r="J399"/>
  <c r="J400"/>
  <c r="J401"/>
  <c r="J402"/>
  <c r="J403"/>
  <c r="J404"/>
  <c r="J405"/>
  <c r="J406"/>
  <c r="J407"/>
  <c r="J408"/>
  <c r="J409"/>
  <c r="J410"/>
  <c r="J411"/>
  <c r="J412"/>
  <c r="J413"/>
  <c r="J414"/>
  <c r="J415"/>
  <c r="J416"/>
  <c r="J417"/>
  <c r="J418"/>
  <c r="J419"/>
  <c r="J420"/>
  <c r="J421"/>
  <c r="J422"/>
  <c r="J423"/>
  <c r="J424"/>
  <c r="J425"/>
  <c r="J426"/>
  <c r="J427"/>
  <c r="J428"/>
  <c r="J429"/>
  <c r="J430"/>
  <c r="J431"/>
  <c r="J432"/>
  <c r="J433"/>
  <c r="J434"/>
  <c r="J435"/>
  <c r="J436"/>
  <c r="J437"/>
  <c r="J438"/>
  <c r="J439"/>
  <c r="J440"/>
  <c r="J441"/>
  <c r="J442"/>
  <c r="J443"/>
  <c r="J444"/>
  <c r="J445"/>
  <c r="J446"/>
  <c r="J447"/>
  <c r="J448"/>
  <c r="J449"/>
  <c r="J450"/>
  <c r="J451"/>
  <c r="J452"/>
  <c r="J453"/>
  <c r="J454"/>
  <c r="J455"/>
  <c r="J456"/>
  <c r="J457"/>
  <c r="J458"/>
  <c r="J459"/>
  <c r="J460"/>
  <c r="J461"/>
  <c r="J462"/>
  <c r="J463"/>
  <c r="J464"/>
  <c r="J465"/>
  <c r="J466"/>
  <c r="J467"/>
  <c r="J468"/>
  <c r="J469"/>
  <c r="J470"/>
  <c r="J471"/>
  <c r="J472"/>
  <c r="J473"/>
  <c r="J474"/>
  <c r="J475"/>
  <c r="J476"/>
  <c r="J477"/>
  <c r="J478"/>
  <c r="J479"/>
  <c r="J480"/>
  <c r="J481"/>
  <c r="J482"/>
  <c r="J483"/>
  <c r="J484"/>
  <c r="J485"/>
  <c r="J486"/>
  <c r="J487"/>
  <c r="J488"/>
  <c r="J489"/>
  <c r="J490"/>
  <c r="J491"/>
  <c r="J492"/>
  <c r="J493"/>
  <c r="J494"/>
  <c r="J495"/>
  <c r="J496"/>
  <c r="J497"/>
  <c r="J498"/>
  <c r="J499"/>
  <c r="J500"/>
  <c r="J501"/>
  <c r="J502"/>
  <c r="J503"/>
  <c r="J504"/>
  <c r="J505"/>
  <c r="J506"/>
  <c r="J507"/>
  <c r="J508"/>
  <c r="J509"/>
  <c r="J510"/>
  <c r="J511"/>
  <c r="J512"/>
  <c r="J513"/>
  <c r="J514"/>
  <c r="J515"/>
  <c r="J516"/>
  <c r="J517"/>
  <c r="J518"/>
  <c r="J519"/>
  <c r="J520"/>
  <c r="J521"/>
  <c r="J522"/>
  <c r="J523"/>
  <c r="J524"/>
  <c r="J525"/>
  <c r="J526"/>
  <c r="J527"/>
  <c r="J528"/>
  <c r="J529"/>
  <c r="J530"/>
  <c r="J531"/>
  <c r="J532"/>
  <c r="J533"/>
  <c r="J534"/>
  <c r="J535"/>
  <c r="J536"/>
  <c r="J537"/>
  <c r="J538"/>
  <c r="J539"/>
  <c r="J540"/>
  <c r="J541"/>
  <c r="J542"/>
  <c r="G3"/>
  <c r="G5"/>
  <c r="G7"/>
  <c r="G9"/>
  <c r="G11"/>
  <c r="G13"/>
  <c r="G15"/>
  <c r="G17"/>
  <c r="G19"/>
  <c r="G21"/>
  <c r="G23"/>
  <c r="G25"/>
  <c r="G27"/>
  <c r="G29"/>
  <c r="G31"/>
  <c r="G33"/>
  <c r="G35"/>
  <c r="G37"/>
  <c r="G39"/>
  <c r="G41"/>
  <c r="G43"/>
  <c r="G45"/>
  <c r="G47"/>
  <c r="G4"/>
  <c r="G6"/>
  <c r="G8"/>
  <c r="G10"/>
  <c r="G12"/>
  <c r="G14"/>
  <c r="G16"/>
  <c r="G18"/>
  <c r="G20"/>
  <c r="G22"/>
  <c r="G24"/>
  <c r="G26"/>
  <c r="G28"/>
  <c r="G30"/>
  <c r="G32"/>
  <c r="G34"/>
  <c r="G36"/>
  <c r="G38"/>
  <c r="G40"/>
  <c r="G42"/>
  <c r="G44"/>
  <c r="G46"/>
  <c r="F3"/>
  <c r="F4"/>
  <c r="F5"/>
  <c r="F6"/>
  <c r="F7"/>
  <c r="F8"/>
  <c r="F9"/>
  <c r="F10"/>
  <c r="F11"/>
  <c r="F12"/>
  <c r="F13"/>
  <c r="I4"/>
  <c r="I6"/>
  <c r="I8"/>
  <c r="I10"/>
  <c r="I12"/>
  <c r="I14"/>
  <c r="I16"/>
  <c r="I18"/>
  <c r="I20"/>
  <c r="I22"/>
  <c r="I24"/>
  <c r="I26"/>
  <c r="I28"/>
  <c r="I30"/>
  <c r="I32"/>
  <c r="I34"/>
  <c r="I36"/>
  <c r="I38"/>
  <c r="I40"/>
  <c r="I42"/>
  <c r="I44"/>
  <c r="I46"/>
  <c r="I48"/>
  <c r="I50"/>
  <c r="I52"/>
  <c r="I54"/>
  <c r="I56"/>
  <c r="I58"/>
  <c r="I60"/>
  <c r="I62"/>
  <c r="I64"/>
  <c r="I66"/>
  <c r="I68"/>
  <c r="I70"/>
  <c r="I72"/>
  <c r="I74"/>
  <c r="I76"/>
  <c r="I78"/>
  <c r="I80"/>
  <c r="I82"/>
  <c r="I84"/>
  <c r="I86"/>
  <c r="I88"/>
  <c r="I90"/>
  <c r="I92"/>
  <c r="I94"/>
  <c r="I96"/>
  <c r="I98"/>
  <c r="I3"/>
  <c r="I5"/>
  <c r="I7"/>
  <c r="I9"/>
  <c r="I11"/>
  <c r="I13"/>
  <c r="I15"/>
  <c r="I17"/>
  <c r="I19"/>
  <c r="I21"/>
  <c r="I23"/>
  <c r="I25"/>
  <c r="I27"/>
  <c r="I29"/>
  <c r="I31"/>
  <c r="I33"/>
  <c r="I35"/>
  <c r="I37"/>
  <c r="I39"/>
  <c r="I41"/>
  <c r="I43"/>
  <c r="I45"/>
  <c r="I47"/>
  <c r="I49"/>
  <c r="I51"/>
  <c r="I53"/>
  <c r="I55"/>
  <c r="I57"/>
  <c r="I59"/>
  <c r="I61"/>
  <c r="I63"/>
  <c r="I65"/>
  <c r="I67"/>
  <c r="I69"/>
  <c r="I71"/>
  <c r="I73"/>
  <c r="I75"/>
  <c r="I77"/>
  <c r="I79"/>
  <c r="I81"/>
  <c r="I83"/>
  <c r="I85"/>
  <c r="I87"/>
  <c r="I89"/>
  <c r="I91"/>
  <c r="I93"/>
  <c r="I95"/>
  <c r="I97"/>
  <c r="I99"/>
  <c r="I40" i="2"/>
  <c r="J9"/>
  <c r="M2" i="4"/>
  <c r="I39" i="2"/>
  <c r="N2" i="4"/>
  <c r="J40" i="2"/>
  <c r="D39"/>
  <c r="H239" i="4" s="1"/>
  <c r="I3" i="10"/>
  <c r="I4"/>
  <c r="I5"/>
  <c r="I6"/>
  <c r="I7"/>
  <c r="I8"/>
  <c r="I9"/>
  <c r="I10"/>
  <c r="I11"/>
  <c r="I12"/>
  <c r="I13"/>
  <c r="I14"/>
  <c r="I15"/>
  <c r="I16"/>
  <c r="I17"/>
  <c r="I18"/>
  <c r="I19"/>
  <c r="I20"/>
  <c r="I21"/>
  <c r="I22"/>
  <c r="I23"/>
  <c r="I24"/>
  <c r="I25"/>
  <c r="I26"/>
  <c r="I27"/>
  <c r="I28"/>
  <c r="I29"/>
  <c r="I30"/>
  <c r="I31"/>
  <c r="I32"/>
  <c r="I33"/>
  <c r="I34"/>
  <c r="I35"/>
  <c r="I36"/>
  <c r="I37"/>
  <c r="I38"/>
  <c r="I39"/>
  <c r="I40"/>
  <c r="I41"/>
  <c r="I42"/>
  <c r="I43"/>
  <c r="I44"/>
  <c r="I45"/>
  <c r="I46"/>
  <c r="I47"/>
  <c r="I48"/>
  <c r="I49"/>
  <c r="I50"/>
  <c r="I51"/>
  <c r="I52"/>
  <c r="I53"/>
  <c r="I54"/>
  <c r="I55"/>
  <c r="I56"/>
  <c r="I57"/>
  <c r="I58"/>
  <c r="I59"/>
  <c r="I60"/>
  <c r="I61"/>
  <c r="I62"/>
  <c r="I63"/>
  <c r="I64"/>
  <c r="I65"/>
  <c r="I66"/>
  <c r="I67"/>
  <c r="I68"/>
  <c r="I69"/>
  <c r="I70"/>
  <c r="I71"/>
  <c r="I72"/>
  <c r="I73"/>
  <c r="I74"/>
  <c r="I75"/>
  <c r="I76"/>
  <c r="I77"/>
  <c r="I78"/>
  <c r="I79"/>
  <c r="I80"/>
  <c r="I81"/>
  <c r="I82"/>
  <c r="I83"/>
  <c r="I84"/>
  <c r="I85"/>
  <c r="I86"/>
  <c r="I87"/>
  <c r="I88"/>
  <c r="I89"/>
  <c r="I90"/>
  <c r="I91"/>
  <c r="I92"/>
  <c r="I93"/>
  <c r="I94"/>
  <c r="I95"/>
  <c r="I96"/>
  <c r="I97"/>
  <c r="I98"/>
  <c r="I99"/>
  <c r="I100"/>
  <c r="I101"/>
  <c r="I102"/>
  <c r="I103"/>
  <c r="I104"/>
  <c r="I105"/>
  <c r="I106"/>
  <c r="I107"/>
  <c r="I108"/>
  <c r="I109"/>
  <c r="I110"/>
  <c r="I111"/>
  <c r="I112"/>
  <c r="I113"/>
  <c r="I114"/>
  <c r="I115"/>
  <c r="I116"/>
  <c r="I117"/>
  <c r="I118"/>
  <c r="I119"/>
  <c r="I120"/>
  <c r="I121"/>
  <c r="I122"/>
  <c r="I123"/>
  <c r="I124"/>
  <c r="I125"/>
  <c r="I126"/>
  <c r="I127"/>
  <c r="I128"/>
  <c r="I129"/>
  <c r="I130"/>
  <c r="I131"/>
  <c r="I132"/>
  <c r="I133"/>
  <c r="I134"/>
  <c r="I135"/>
  <c r="I136"/>
  <c r="I137"/>
  <c r="I138"/>
  <c r="I139"/>
  <c r="I140"/>
  <c r="I141"/>
  <c r="I142"/>
  <c r="I143"/>
  <c r="I144"/>
  <c r="I145"/>
  <c r="I146"/>
  <c r="I147"/>
  <c r="I148"/>
  <c r="I149"/>
  <c r="I150"/>
  <c r="I151"/>
  <c r="I152"/>
  <c r="I153"/>
  <c r="I154"/>
  <c r="I155"/>
  <c r="I156"/>
  <c r="I157"/>
  <c r="I158"/>
  <c r="I159"/>
  <c r="I160"/>
  <c r="I161"/>
  <c r="I162"/>
  <c r="I163"/>
  <c r="I164"/>
  <c r="I165"/>
  <c r="I166"/>
  <c r="I167"/>
  <c r="I168"/>
  <c r="I169"/>
  <c r="I170"/>
  <c r="I171"/>
  <c r="I172"/>
  <c r="I173"/>
  <c r="I174"/>
  <c r="I175"/>
  <c r="I176"/>
  <c r="I177"/>
  <c r="I178"/>
  <c r="I179"/>
  <c r="I180"/>
  <c r="I181"/>
  <c r="I182"/>
  <c r="I183"/>
  <c r="I184"/>
  <c r="I185"/>
  <c r="I186"/>
  <c r="I187"/>
  <c r="I188"/>
  <c r="I189"/>
  <c r="I190"/>
  <c r="I191"/>
  <c r="I192"/>
  <c r="I193"/>
  <c r="I194"/>
  <c r="I195"/>
  <c r="I196"/>
  <c r="I197"/>
  <c r="I198"/>
  <c r="I199"/>
  <c r="I200"/>
  <c r="I201"/>
  <c r="I202"/>
  <c r="I203"/>
  <c r="I204"/>
  <c r="I205"/>
  <c r="I206"/>
  <c r="I207"/>
  <c r="I208"/>
  <c r="I209"/>
  <c r="I210"/>
  <c r="I211"/>
  <c r="I212"/>
  <c r="I213"/>
  <c r="I214"/>
  <c r="I215"/>
  <c r="I216"/>
  <c r="I217"/>
  <c r="I218"/>
  <c r="I219"/>
  <c r="I220"/>
  <c r="I221"/>
  <c r="I222"/>
  <c r="I223"/>
  <c r="I224"/>
  <c r="I225"/>
  <c r="I226"/>
  <c r="I227"/>
  <c r="I228"/>
  <c r="I229"/>
  <c r="I230"/>
  <c r="I231"/>
  <c r="I232"/>
  <c r="I233"/>
  <c r="I234"/>
  <c r="I235"/>
  <c r="I236"/>
  <c r="I237"/>
  <c r="I238"/>
  <c r="I239"/>
  <c r="I240"/>
  <c r="I241"/>
  <c r="I242"/>
  <c r="I243"/>
  <c r="I244"/>
  <c r="I245"/>
  <c r="I246"/>
  <c r="I247"/>
  <c r="I248"/>
  <c r="I249"/>
  <c r="I250"/>
  <c r="I251"/>
  <c r="I252"/>
  <c r="I253"/>
  <c r="I254"/>
  <c r="I255"/>
  <c r="I256"/>
  <c r="I257"/>
  <c r="I258"/>
  <c r="I2"/>
  <c r="I259"/>
  <c r="I260"/>
  <c r="I261"/>
  <c r="I262"/>
  <c r="I263"/>
  <c r="I264"/>
  <c r="I265"/>
  <c r="I266"/>
  <c r="I267"/>
  <c r="I268"/>
  <c r="I269"/>
  <c r="I270"/>
  <c r="I271"/>
  <c r="I272"/>
  <c r="I273"/>
  <c r="I274"/>
  <c r="I275"/>
  <c r="I276"/>
  <c r="I277"/>
  <c r="I278"/>
  <c r="I279"/>
  <c r="I280"/>
  <c r="I281"/>
  <c r="I282"/>
  <c r="I283"/>
  <c r="I284"/>
  <c r="I285"/>
  <c r="I286"/>
  <c r="I287"/>
  <c r="I288"/>
  <c r="I289"/>
  <c r="I290"/>
  <c r="I291"/>
  <c r="I292"/>
  <c r="I293"/>
  <c r="I294"/>
  <c r="I295"/>
  <c r="I296"/>
  <c r="I297"/>
  <c r="I298"/>
  <c r="I299"/>
  <c r="I300"/>
  <c r="I301"/>
  <c r="I302"/>
  <c r="I303"/>
  <c r="I304"/>
  <c r="I305"/>
  <c r="I306"/>
  <c r="I307"/>
  <c r="I308"/>
  <c r="I309"/>
  <c r="I310"/>
  <c r="I311"/>
  <c r="I312"/>
  <c r="I313"/>
  <c r="I314"/>
  <c r="I315"/>
  <c r="I316"/>
  <c r="I317"/>
  <c r="I318"/>
  <c r="I319"/>
  <c r="I320"/>
  <c r="I321"/>
  <c r="I322"/>
  <c r="I323"/>
  <c r="I324"/>
  <c r="I325"/>
  <c r="I326"/>
  <c r="I327"/>
  <c r="I328"/>
  <c r="I329"/>
  <c r="I330"/>
  <c r="I331"/>
  <c r="I332"/>
  <c r="I333"/>
  <c r="I334"/>
  <c r="I335"/>
  <c r="I336"/>
  <c r="I337"/>
  <c r="I338"/>
  <c r="I339"/>
  <c r="I340"/>
  <c r="I341"/>
  <c r="I342"/>
  <c r="I343"/>
  <c r="I344"/>
  <c r="I345"/>
  <c r="I346"/>
  <c r="I347"/>
  <c r="I348"/>
  <c r="I349"/>
  <c r="I350"/>
  <c r="I351"/>
  <c r="I352"/>
  <c r="I353"/>
  <c r="I354"/>
  <c r="I355"/>
  <c r="I356"/>
  <c r="I357"/>
  <c r="I358"/>
  <c r="I359"/>
  <c r="I360"/>
  <c r="I361"/>
  <c r="I362"/>
  <c r="I363"/>
  <c r="I364"/>
  <c r="I365"/>
  <c r="I366"/>
  <c r="I367"/>
  <c r="I368"/>
  <c r="I369"/>
  <c r="I370"/>
  <c r="I371"/>
  <c r="I372"/>
  <c r="I373"/>
  <c r="I374"/>
  <c r="I375"/>
  <c r="I376"/>
  <c r="I377"/>
  <c r="I378"/>
  <c r="I379"/>
  <c r="I380"/>
  <c r="I381"/>
  <c r="I382"/>
  <c r="I383"/>
  <c r="I384"/>
  <c r="I385"/>
  <c r="I386"/>
  <c r="I387"/>
  <c r="I388"/>
  <c r="I389"/>
  <c r="I390"/>
  <c r="I391"/>
  <c r="I392"/>
  <c r="I393"/>
  <c r="I394"/>
  <c r="I395"/>
  <c r="I396"/>
  <c r="I397"/>
  <c r="I398"/>
  <c r="I399"/>
  <c r="I400"/>
  <c r="I401"/>
  <c r="I402"/>
  <c r="I403"/>
  <c r="I404"/>
  <c r="I405"/>
  <c r="I406"/>
  <c r="I407"/>
  <c r="I408"/>
  <c r="I409"/>
  <c r="I410"/>
  <c r="I411"/>
  <c r="I412"/>
  <c r="I413"/>
  <c r="I414"/>
  <c r="I415"/>
  <c r="I416"/>
  <c r="I417"/>
  <c r="I418"/>
  <c r="I419"/>
  <c r="I420"/>
  <c r="I421"/>
  <c r="I422"/>
  <c r="I423"/>
  <c r="I424"/>
  <c r="I425"/>
  <c r="I426"/>
  <c r="I427"/>
  <c r="I428"/>
  <c r="I429"/>
  <c r="I430"/>
  <c r="I431"/>
  <c r="I432"/>
  <c r="I433"/>
  <c r="I434"/>
  <c r="I435"/>
  <c r="I436"/>
  <c r="I437"/>
  <c r="I438"/>
  <c r="I439"/>
  <c r="I440"/>
  <c r="I441"/>
  <c r="I442"/>
  <c r="I443"/>
  <c r="I444"/>
  <c r="I445"/>
  <c r="I446"/>
  <c r="I447"/>
  <c r="I448"/>
  <c r="I449"/>
  <c r="I450"/>
  <c r="I451"/>
  <c r="I452"/>
  <c r="I453"/>
  <c r="I454"/>
  <c r="I455"/>
  <c r="I456"/>
  <c r="I457"/>
  <c r="I458"/>
  <c r="I459"/>
  <c r="I460"/>
  <c r="I461"/>
  <c r="I462"/>
  <c r="I463"/>
  <c r="I464"/>
  <c r="I465"/>
  <c r="I466"/>
  <c r="I467"/>
  <c r="I468"/>
  <c r="I469"/>
  <c r="I470"/>
  <c r="I471"/>
  <c r="I472"/>
  <c r="I473"/>
  <c r="I474"/>
  <c r="I475"/>
  <c r="I476"/>
  <c r="I477"/>
  <c r="I478"/>
  <c r="I479"/>
  <c r="I480"/>
  <c r="I481"/>
  <c r="I482"/>
  <c r="I483"/>
  <c r="I484"/>
  <c r="I485"/>
  <c r="I486"/>
  <c r="I487"/>
  <c r="I488"/>
  <c r="I489"/>
  <c r="I490"/>
  <c r="I491"/>
  <c r="I492"/>
  <c r="I493"/>
  <c r="I494"/>
  <c r="I495"/>
  <c r="I496"/>
  <c r="I497"/>
  <c r="I498"/>
  <c r="I499"/>
  <c r="I500"/>
  <c r="I501"/>
  <c r="I502"/>
  <c r="I503"/>
  <c r="I504"/>
  <c r="I505"/>
  <c r="I506"/>
  <c r="I507"/>
  <c r="I508"/>
  <c r="I509"/>
  <c r="I510"/>
  <c r="I511"/>
  <c r="I512"/>
  <c r="I513"/>
  <c r="I514"/>
  <c r="I515"/>
  <c r="I516"/>
  <c r="I517"/>
  <c r="I518"/>
  <c r="I519"/>
  <c r="I520"/>
  <c r="I521"/>
  <c r="I522"/>
  <c r="I523"/>
  <c r="I524"/>
  <c r="I525"/>
  <c r="I526"/>
  <c r="I527"/>
  <c r="I528"/>
  <c r="I529"/>
  <c r="I530"/>
  <c r="I531"/>
  <c r="I532"/>
  <c r="I533"/>
  <c r="I534"/>
  <c r="I535"/>
  <c r="I536"/>
  <c r="I537"/>
  <c r="I538"/>
  <c r="I539"/>
  <c r="I540"/>
  <c r="I541"/>
  <c r="I542"/>
  <c r="I543"/>
  <c r="I544"/>
  <c r="I545"/>
  <c r="I546"/>
  <c r="I547"/>
  <c r="I548"/>
  <c r="I549"/>
  <c r="I550"/>
  <c r="I551"/>
  <c r="I552"/>
  <c r="I553"/>
  <c r="I554"/>
  <c r="I555"/>
  <c r="I556"/>
  <c r="I557"/>
  <c r="I558"/>
  <c r="I559"/>
  <c r="I560"/>
  <c r="I561"/>
  <c r="I562"/>
  <c r="I563"/>
  <c r="I564"/>
  <c r="I565"/>
  <c r="I566"/>
  <c r="I567"/>
  <c r="I568"/>
  <c r="I569"/>
  <c r="I570"/>
  <c r="I571"/>
  <c r="I572"/>
  <c r="I573"/>
  <c r="I574"/>
  <c r="I575"/>
  <c r="I576"/>
  <c r="I577"/>
  <c r="I578"/>
  <c r="I579"/>
  <c r="I580"/>
  <c r="I581"/>
  <c r="I582"/>
  <c r="I583"/>
  <c r="I584"/>
  <c r="I585"/>
  <c r="I586"/>
  <c r="I587"/>
  <c r="I588"/>
  <c r="I589"/>
  <c r="I590"/>
  <c r="I591"/>
  <c r="I592"/>
  <c r="I593"/>
  <c r="I594"/>
  <c r="I595"/>
  <c r="I596"/>
  <c r="I597"/>
  <c r="I598"/>
  <c r="I599"/>
  <c r="I600"/>
  <c r="I601"/>
  <c r="I602"/>
  <c r="I603"/>
  <c r="I604"/>
  <c r="I605"/>
  <c r="I606"/>
  <c r="I607"/>
  <c r="I608"/>
  <c r="I609"/>
  <c r="I610"/>
  <c r="I611"/>
  <c r="I612"/>
  <c r="I613"/>
  <c r="I614"/>
  <c r="I615"/>
  <c r="I616"/>
  <c r="I617"/>
  <c r="I618"/>
  <c r="I619"/>
  <c r="I620"/>
  <c r="I621"/>
  <c r="I622"/>
  <c r="I623"/>
  <c r="I624"/>
  <c r="I625"/>
  <c r="I626"/>
  <c r="I627"/>
  <c r="I628"/>
  <c r="I629"/>
  <c r="I630"/>
  <c r="I631"/>
  <c r="I632"/>
  <c r="I633"/>
  <c r="I634"/>
  <c r="I635"/>
  <c r="I636"/>
  <c r="I637"/>
  <c r="I638"/>
  <c r="I639"/>
  <c r="I640"/>
  <c r="I641"/>
  <c r="I642"/>
  <c r="I643"/>
  <c r="I644"/>
  <c r="I645"/>
  <c r="I646"/>
  <c r="I647"/>
  <c r="I648"/>
  <c r="I649"/>
  <c r="I650"/>
  <c r="I651"/>
  <c r="I652"/>
  <c r="I653"/>
  <c r="I654"/>
  <c r="I655"/>
  <c r="I656"/>
  <c r="I657"/>
  <c r="I658"/>
  <c r="I659"/>
  <c r="I660"/>
  <c r="I661"/>
  <c r="I662"/>
  <c r="I663"/>
  <c r="I664"/>
  <c r="I665"/>
  <c r="I666"/>
  <c r="I667"/>
  <c r="I668"/>
  <c r="I669"/>
  <c r="I670"/>
  <c r="I671"/>
  <c r="I672"/>
  <c r="I673"/>
  <c r="I674"/>
  <c r="I675"/>
  <c r="I676"/>
  <c r="I677"/>
  <c r="G3"/>
  <c r="G4"/>
  <c r="G5"/>
  <c r="G6"/>
  <c r="G7"/>
  <c r="G8"/>
  <c r="G9"/>
  <c r="G10"/>
  <c r="G11"/>
  <c r="G12"/>
  <c r="G13"/>
  <c r="G14"/>
  <c r="G15"/>
  <c r="G16"/>
  <c r="G17"/>
  <c r="G18"/>
  <c r="G19"/>
  <c r="G20"/>
  <c r="G21"/>
  <c r="G22"/>
  <c r="G23"/>
  <c r="G24"/>
  <c r="G25"/>
  <c r="G26"/>
  <c r="G27"/>
  <c r="G28"/>
  <c r="G29"/>
  <c r="G30"/>
  <c r="G31"/>
  <c r="G32"/>
  <c r="G33"/>
  <c r="G34"/>
  <c r="G35"/>
  <c r="G36"/>
  <c r="G37"/>
  <c r="G38"/>
  <c r="G39"/>
  <c r="G40"/>
  <c r="G41"/>
  <c r="G42"/>
  <c r="G43"/>
  <c r="G44"/>
  <c r="G45"/>
  <c r="G46"/>
  <c r="G47"/>
  <c r="G48"/>
  <c r="G49"/>
  <c r="G50"/>
  <c r="G51"/>
  <c r="G52"/>
  <c r="G53"/>
  <c r="G54"/>
  <c r="G55"/>
  <c r="G56"/>
  <c r="G57"/>
  <c r="G58"/>
  <c r="G59"/>
  <c r="G60"/>
  <c r="G61"/>
  <c r="G62"/>
  <c r="G63"/>
  <c r="G64"/>
  <c r="G65"/>
  <c r="G66"/>
  <c r="G67"/>
  <c r="G68"/>
  <c r="G69"/>
  <c r="G70"/>
  <c r="G71"/>
  <c r="G72"/>
  <c r="G73"/>
  <c r="G74"/>
  <c r="G75"/>
  <c r="G76"/>
  <c r="G77"/>
  <c r="G78"/>
  <c r="G79"/>
  <c r="G80"/>
  <c r="G81"/>
  <c r="G82"/>
  <c r="G83"/>
  <c r="G84"/>
  <c r="G85"/>
  <c r="G86"/>
  <c r="G87"/>
  <c r="G88"/>
  <c r="G89"/>
  <c r="G90"/>
  <c r="G91"/>
  <c r="G92"/>
  <c r="G93"/>
  <c r="G94"/>
  <c r="G95"/>
  <c r="G96"/>
  <c r="G97"/>
  <c r="G98"/>
  <c r="G99"/>
  <c r="G100"/>
  <c r="G101"/>
  <c r="G102"/>
  <c r="G103"/>
  <c r="G104"/>
  <c r="G105"/>
  <c r="G106"/>
  <c r="G107"/>
  <c r="G108"/>
  <c r="G109"/>
  <c r="G110"/>
  <c r="G111"/>
  <c r="G112"/>
  <c r="G113"/>
  <c r="G114"/>
  <c r="G115"/>
  <c r="G116"/>
  <c r="G117"/>
  <c r="G118"/>
  <c r="G119"/>
  <c r="G120"/>
  <c r="G121"/>
  <c r="G122"/>
  <c r="G123"/>
  <c r="G124"/>
  <c r="G125"/>
  <c r="G126"/>
  <c r="G127"/>
  <c r="G128"/>
  <c r="G129"/>
  <c r="G130"/>
  <c r="G131"/>
  <c r="G132"/>
  <c r="G133"/>
  <c r="G134"/>
  <c r="G135"/>
  <c r="G136"/>
  <c r="G137"/>
  <c r="G138"/>
  <c r="G139"/>
  <c r="G140"/>
  <c r="G141"/>
  <c r="G142"/>
  <c r="G143"/>
  <c r="G144"/>
  <c r="G145"/>
  <c r="G146"/>
  <c r="G147"/>
  <c r="G148"/>
  <c r="G149"/>
  <c r="G150"/>
  <c r="G151"/>
  <c r="G152"/>
  <c r="G153"/>
  <c r="G154"/>
  <c r="G155"/>
  <c r="G156"/>
  <c r="G157"/>
  <c r="G158"/>
  <c r="G159"/>
  <c r="G160"/>
  <c r="G161"/>
  <c r="G162"/>
  <c r="G163"/>
  <c r="G164"/>
  <c r="G165"/>
  <c r="G166"/>
  <c r="G167"/>
  <c r="G168"/>
  <c r="G169"/>
  <c r="G170"/>
  <c r="G171"/>
  <c r="G172"/>
  <c r="G173"/>
  <c r="G174"/>
  <c r="G175"/>
  <c r="G176"/>
  <c r="G177"/>
  <c r="G178"/>
  <c r="G179"/>
  <c r="G180"/>
  <c r="G181"/>
  <c r="G182"/>
  <c r="G183"/>
  <c r="G184"/>
  <c r="G185"/>
  <c r="G186"/>
  <c r="G187"/>
  <c r="G188"/>
  <c r="G189"/>
  <c r="G190"/>
  <c r="G191"/>
  <c r="G192"/>
  <c r="G193"/>
  <c r="G194"/>
  <c r="G195"/>
  <c r="G196"/>
  <c r="G197"/>
  <c r="G198"/>
  <c r="G199"/>
  <c r="G200"/>
  <c r="G201"/>
  <c r="G202"/>
  <c r="G203"/>
  <c r="G204"/>
  <c r="G205"/>
  <c r="G206"/>
  <c r="G207"/>
  <c r="G208"/>
  <c r="G209"/>
  <c r="G210"/>
  <c r="G211"/>
  <c r="G212"/>
  <c r="G213"/>
  <c r="G214"/>
  <c r="G215"/>
  <c r="G216"/>
  <c r="G217"/>
  <c r="G218"/>
  <c r="G219"/>
  <c r="G220"/>
  <c r="G221"/>
  <c r="G222"/>
  <c r="G223"/>
  <c r="G224"/>
  <c r="G225"/>
  <c r="G226"/>
  <c r="G227"/>
  <c r="G228"/>
  <c r="G229"/>
  <c r="G230"/>
  <c r="G231"/>
  <c r="G232"/>
  <c r="G233"/>
  <c r="G234"/>
  <c r="G235"/>
  <c r="G236"/>
  <c r="G237"/>
  <c r="G238"/>
  <c r="G239"/>
  <c r="G240"/>
  <c r="G241"/>
  <c r="G242"/>
  <c r="G243"/>
  <c r="G244"/>
  <c r="G245"/>
  <c r="G246"/>
  <c r="G247"/>
  <c r="G248"/>
  <c r="G249"/>
  <c r="G250"/>
  <c r="G251"/>
  <c r="G252"/>
  <c r="G253"/>
  <c r="G254"/>
  <c r="G255"/>
  <c r="G256"/>
  <c r="G257"/>
  <c r="G258"/>
  <c r="G259"/>
  <c r="G260"/>
  <c r="G261"/>
  <c r="G262"/>
  <c r="G263"/>
  <c r="G264"/>
  <c r="G265"/>
  <c r="G266"/>
  <c r="G267"/>
  <c r="G268"/>
  <c r="G269"/>
  <c r="G270"/>
  <c r="G271"/>
  <c r="G272"/>
  <c r="G273"/>
  <c r="G274"/>
  <c r="G275"/>
  <c r="G276"/>
  <c r="G277"/>
  <c r="G278"/>
  <c r="G279"/>
  <c r="G280"/>
  <c r="G281"/>
  <c r="G282"/>
  <c r="G283"/>
  <c r="G284"/>
  <c r="G285"/>
  <c r="G286"/>
  <c r="G287"/>
  <c r="G288"/>
  <c r="G289"/>
  <c r="G290"/>
  <c r="G291"/>
  <c r="G292"/>
  <c r="G293"/>
  <c r="G294"/>
  <c r="G295"/>
  <c r="G296"/>
  <c r="G297"/>
  <c r="G298"/>
  <c r="G299"/>
  <c r="G300"/>
  <c r="G301"/>
  <c r="G302"/>
  <c r="G303"/>
  <c r="G304"/>
  <c r="G305"/>
  <c r="G306"/>
  <c r="G307"/>
  <c r="G308"/>
  <c r="G309"/>
  <c r="G310"/>
  <c r="G311"/>
  <c r="G312"/>
  <c r="G313"/>
  <c r="G314"/>
  <c r="G315"/>
  <c r="G316"/>
  <c r="G317"/>
  <c r="G318"/>
  <c r="G319"/>
  <c r="G320"/>
  <c r="G321"/>
  <c r="G322"/>
  <c r="G323"/>
  <c r="G324"/>
  <c r="G325"/>
  <c r="G326"/>
  <c r="G327"/>
  <c r="G328"/>
  <c r="G329"/>
  <c r="G330"/>
  <c r="G331"/>
  <c r="G332"/>
  <c r="G333"/>
  <c r="G334"/>
  <c r="G335"/>
  <c r="G336"/>
  <c r="G337"/>
  <c r="G338"/>
  <c r="G339"/>
  <c r="G340"/>
  <c r="G341"/>
  <c r="G342"/>
  <c r="G343"/>
  <c r="G344"/>
  <c r="G345"/>
  <c r="G346"/>
  <c r="G347"/>
  <c r="G348"/>
  <c r="G349"/>
  <c r="G350"/>
  <c r="G351"/>
  <c r="G352"/>
  <c r="G353"/>
  <c r="G354"/>
  <c r="G355"/>
  <c r="G356"/>
  <c r="G357"/>
  <c r="G358"/>
  <c r="G359"/>
  <c r="G360"/>
  <c r="G361"/>
  <c r="G362"/>
  <c r="G363"/>
  <c r="G364"/>
  <c r="G365"/>
  <c r="G366"/>
  <c r="G367"/>
  <c r="G368"/>
  <c r="G369"/>
  <c r="G370"/>
  <c r="G371"/>
  <c r="G372"/>
  <c r="G373"/>
  <c r="G374"/>
  <c r="G375"/>
  <c r="G376"/>
  <c r="G377"/>
  <c r="G378"/>
  <c r="G379"/>
  <c r="G380"/>
  <c r="G381"/>
  <c r="G382"/>
  <c r="G383"/>
  <c r="G384"/>
  <c r="G385"/>
  <c r="G386"/>
  <c r="G387"/>
  <c r="G388"/>
  <c r="G389"/>
  <c r="G390"/>
  <c r="G391"/>
  <c r="G392"/>
  <c r="G393"/>
  <c r="G394"/>
  <c r="G395"/>
  <c r="G396"/>
  <c r="G397"/>
  <c r="G398"/>
  <c r="G399"/>
  <c r="G400"/>
  <c r="G401"/>
  <c r="G402"/>
  <c r="G403"/>
  <c r="G404"/>
  <c r="G405"/>
  <c r="G406"/>
  <c r="G407"/>
  <c r="G408"/>
  <c r="G409"/>
  <c r="G410"/>
  <c r="G411"/>
  <c r="G412"/>
  <c r="G413"/>
  <c r="G414"/>
  <c r="G415"/>
  <c r="G416"/>
  <c r="G417"/>
  <c r="G418"/>
  <c r="G419"/>
  <c r="G420"/>
  <c r="G421"/>
  <c r="G422"/>
  <c r="G423"/>
  <c r="G424"/>
  <c r="G425"/>
  <c r="G426"/>
  <c r="G427"/>
  <c r="G428"/>
  <c r="G429"/>
  <c r="G430"/>
  <c r="G431"/>
  <c r="G432"/>
  <c r="G433"/>
  <c r="G434"/>
  <c r="G435"/>
  <c r="G436"/>
  <c r="G437"/>
  <c r="G438"/>
  <c r="G439"/>
  <c r="G440"/>
  <c r="G441"/>
  <c r="G442"/>
  <c r="G443"/>
  <c r="G444"/>
  <c r="G445"/>
  <c r="G446"/>
  <c r="G447"/>
  <c r="G448"/>
  <c r="G449"/>
  <c r="G450"/>
  <c r="G451"/>
  <c r="G452"/>
  <c r="G453"/>
  <c r="G454"/>
  <c r="G455"/>
  <c r="G456"/>
  <c r="G457"/>
  <c r="G458"/>
  <c r="G459"/>
  <c r="G460"/>
  <c r="G461"/>
  <c r="G462"/>
  <c r="G463"/>
  <c r="G464"/>
  <c r="G465"/>
  <c r="G466"/>
  <c r="G467"/>
  <c r="G468"/>
  <c r="G469"/>
  <c r="G470"/>
  <c r="G471"/>
  <c r="G472"/>
  <c r="G473"/>
  <c r="G474"/>
  <c r="G475"/>
  <c r="G476"/>
  <c r="G477"/>
  <c r="G478"/>
  <c r="G479"/>
  <c r="G480"/>
  <c r="G481"/>
  <c r="G482"/>
  <c r="G483"/>
  <c r="G484"/>
  <c r="G485"/>
  <c r="G486"/>
  <c r="G487"/>
  <c r="G488"/>
  <c r="G489"/>
  <c r="G490"/>
  <c r="G491"/>
  <c r="G492"/>
  <c r="G493"/>
  <c r="G494"/>
  <c r="G495"/>
  <c r="G496"/>
  <c r="G497"/>
  <c r="G498"/>
  <c r="G499"/>
  <c r="G500"/>
  <c r="G501"/>
  <c r="G502"/>
  <c r="G503"/>
  <c r="G504"/>
  <c r="G505"/>
  <c r="G506"/>
  <c r="G507"/>
  <c r="G508"/>
  <c r="G509"/>
  <c r="G510"/>
  <c r="G511"/>
  <c r="G512"/>
  <c r="G513"/>
  <c r="G514"/>
  <c r="G515"/>
  <c r="G516"/>
  <c r="G517"/>
  <c r="G518"/>
  <c r="G519"/>
  <c r="G520"/>
  <c r="G521"/>
  <c r="G522"/>
  <c r="G523"/>
  <c r="G524"/>
  <c r="G525"/>
  <c r="G526"/>
  <c r="G527"/>
  <c r="G528"/>
  <c r="G529"/>
  <c r="G530"/>
  <c r="G531"/>
  <c r="G532"/>
  <c r="G533"/>
  <c r="G534"/>
  <c r="G535"/>
  <c r="G536"/>
  <c r="G537"/>
  <c r="G538"/>
  <c r="G539"/>
  <c r="G540"/>
  <c r="G541"/>
  <c r="G542"/>
  <c r="G543"/>
  <c r="G544"/>
  <c r="G545"/>
  <c r="G546"/>
  <c r="G547"/>
  <c r="G548"/>
  <c r="G549"/>
  <c r="G550"/>
  <c r="G551"/>
  <c r="G552"/>
  <c r="G553"/>
  <c r="G554"/>
  <c r="G555"/>
  <c r="G556"/>
  <c r="G557"/>
  <c r="G558"/>
  <c r="G559"/>
  <c r="G560"/>
  <c r="G561"/>
  <c r="G562"/>
  <c r="G563"/>
  <c r="G564"/>
  <c r="G565"/>
  <c r="G566"/>
  <c r="G567"/>
  <c r="G568"/>
  <c r="G569"/>
  <c r="G570"/>
  <c r="G571"/>
  <c r="G572"/>
  <c r="G573"/>
  <c r="G574"/>
  <c r="G575"/>
  <c r="G576"/>
  <c r="G577"/>
  <c r="G578"/>
  <c r="G579"/>
  <c r="G580"/>
  <c r="G581"/>
  <c r="G582"/>
  <c r="G583"/>
  <c r="G584"/>
  <c r="G585"/>
  <c r="G586"/>
  <c r="G587"/>
  <c r="G588"/>
  <c r="G589"/>
  <c r="G590"/>
  <c r="G591"/>
  <c r="G592"/>
  <c r="G593"/>
  <c r="G594"/>
  <c r="G595"/>
  <c r="G596"/>
  <c r="G597"/>
  <c r="G598"/>
  <c r="G599"/>
  <c r="G600"/>
  <c r="G601"/>
  <c r="G602"/>
  <c r="G603"/>
  <c r="G604"/>
  <c r="G605"/>
  <c r="G606"/>
  <c r="G607"/>
  <c r="G608"/>
  <c r="G609"/>
  <c r="G610"/>
  <c r="G611"/>
  <c r="G612"/>
  <c r="G613"/>
  <c r="G614"/>
  <c r="G615"/>
  <c r="G616"/>
  <c r="G617"/>
  <c r="G618"/>
  <c r="G619"/>
  <c r="G620"/>
  <c r="G621"/>
  <c r="G622"/>
  <c r="G623"/>
  <c r="G624"/>
  <c r="G625"/>
  <c r="G626"/>
  <c r="G627"/>
  <c r="G628"/>
  <c r="G629"/>
  <c r="G630"/>
  <c r="G631"/>
  <c r="G632"/>
  <c r="G633"/>
  <c r="G634"/>
  <c r="G635"/>
  <c r="G636"/>
  <c r="G637"/>
  <c r="G638"/>
  <c r="G639"/>
  <c r="G640"/>
  <c r="G641"/>
  <c r="G642"/>
  <c r="G643"/>
  <c r="G644"/>
  <c r="G645"/>
  <c r="G646"/>
  <c r="G647"/>
  <c r="G648"/>
  <c r="G649"/>
  <c r="G650"/>
  <c r="G651"/>
  <c r="G652"/>
  <c r="G653"/>
  <c r="G654"/>
  <c r="G655"/>
  <c r="G656"/>
  <c r="G657"/>
  <c r="G658"/>
  <c r="G659"/>
  <c r="G660"/>
  <c r="G661"/>
  <c r="G662"/>
  <c r="G663"/>
  <c r="G664"/>
  <c r="G665"/>
  <c r="G666"/>
  <c r="G667"/>
  <c r="G668"/>
  <c r="G669"/>
  <c r="G670"/>
  <c r="G671"/>
  <c r="G672"/>
  <c r="G673"/>
  <c r="G674"/>
  <c r="G675"/>
  <c r="G676"/>
  <c r="G677"/>
  <c r="G2"/>
  <c r="E4"/>
  <c r="E6"/>
  <c r="E8"/>
  <c r="E10"/>
  <c r="E12"/>
  <c r="E14"/>
  <c r="E16"/>
  <c r="E18"/>
  <c r="E20"/>
  <c r="E22"/>
  <c r="E24"/>
  <c r="E26"/>
  <c r="E28"/>
  <c r="E30"/>
  <c r="E32"/>
  <c r="E34"/>
  <c r="E36"/>
  <c r="E38"/>
  <c r="E40"/>
  <c r="E42"/>
  <c r="E44"/>
  <c r="E46"/>
  <c r="E48"/>
  <c r="E50"/>
  <c r="E52"/>
  <c r="E54"/>
  <c r="E56"/>
  <c r="E58"/>
  <c r="E60"/>
  <c r="E62"/>
  <c r="E64"/>
  <c r="E66"/>
  <c r="E68"/>
  <c r="E70"/>
  <c r="E72"/>
  <c r="E74"/>
  <c r="E76"/>
  <c r="E78"/>
  <c r="E80"/>
  <c r="E82"/>
  <c r="E84"/>
  <c r="E86"/>
  <c r="E88"/>
  <c r="E90"/>
  <c r="E92"/>
  <c r="E94"/>
  <c r="E96"/>
  <c r="E98"/>
  <c r="E100"/>
  <c r="E102"/>
  <c r="E104"/>
  <c r="E106"/>
  <c r="E108"/>
  <c r="E110"/>
  <c r="E112"/>
  <c r="E114"/>
  <c r="E116"/>
  <c r="E118"/>
  <c r="E120"/>
  <c r="E122"/>
  <c r="E124"/>
  <c r="E126"/>
  <c r="E128"/>
  <c r="E130"/>
  <c r="E132"/>
  <c r="E134"/>
  <c r="E136"/>
  <c r="E138"/>
  <c r="E140"/>
  <c r="E142"/>
  <c r="E144"/>
  <c r="E146"/>
  <c r="E148"/>
  <c r="E150"/>
  <c r="E152"/>
  <c r="E154"/>
  <c r="E156"/>
  <c r="E158"/>
  <c r="E160"/>
  <c r="E162"/>
  <c r="E164"/>
  <c r="E166"/>
  <c r="E168"/>
  <c r="E170"/>
  <c r="E172"/>
  <c r="E174"/>
  <c r="E176"/>
  <c r="E178"/>
  <c r="E180"/>
  <c r="E182"/>
  <c r="E184"/>
  <c r="E186"/>
  <c r="E188"/>
  <c r="E190"/>
  <c r="E192"/>
  <c r="E194"/>
  <c r="E196"/>
  <c r="E198"/>
  <c r="E200"/>
  <c r="E202"/>
  <c r="E204"/>
  <c r="E206"/>
  <c r="E208"/>
  <c r="E210"/>
  <c r="E212"/>
  <c r="E214"/>
  <c r="E216"/>
  <c r="E218"/>
  <c r="E220"/>
  <c r="E222"/>
  <c r="E224"/>
  <c r="E226"/>
  <c r="E228"/>
  <c r="E230"/>
  <c r="E232"/>
  <c r="E234"/>
  <c r="E236"/>
  <c r="E238"/>
  <c r="E240"/>
  <c r="E242"/>
  <c r="E244"/>
  <c r="E246"/>
  <c r="E248"/>
  <c r="E250"/>
  <c r="E252"/>
  <c r="E254"/>
  <c r="E256"/>
  <c r="E258"/>
  <c r="E260"/>
  <c r="E262"/>
  <c r="E264"/>
  <c r="E266"/>
  <c r="E268"/>
  <c r="E270"/>
  <c r="E272"/>
  <c r="E274"/>
  <c r="E276"/>
  <c r="E278"/>
  <c r="E280"/>
  <c r="E282"/>
  <c r="E284"/>
  <c r="E286"/>
  <c r="E288"/>
  <c r="E290"/>
  <c r="E292"/>
  <c r="E294"/>
  <c r="E296"/>
  <c r="E298"/>
  <c r="E300"/>
  <c r="E302"/>
  <c r="E304"/>
  <c r="E306"/>
  <c r="E308"/>
  <c r="E310"/>
  <c r="E312"/>
  <c r="E314"/>
  <c r="E316"/>
  <c r="E318"/>
  <c r="E320"/>
  <c r="E322"/>
  <c r="E324"/>
  <c r="E326"/>
  <c r="E328"/>
  <c r="E330"/>
  <c r="E332"/>
  <c r="E334"/>
  <c r="E336"/>
  <c r="E338"/>
  <c r="E340"/>
  <c r="E342"/>
  <c r="E344"/>
  <c r="E346"/>
  <c r="E348"/>
  <c r="E350"/>
  <c r="E352"/>
  <c r="E354"/>
  <c r="E356"/>
  <c r="E358"/>
  <c r="E360"/>
  <c r="E362"/>
  <c r="E364"/>
  <c r="E366"/>
  <c r="E368"/>
  <c r="E370"/>
  <c r="E372"/>
  <c r="E374"/>
  <c r="E376"/>
  <c r="E378"/>
  <c r="E380"/>
  <c r="E382"/>
  <c r="E384"/>
  <c r="E386"/>
  <c r="E388"/>
  <c r="E390"/>
  <c r="E392"/>
  <c r="E394"/>
  <c r="E396"/>
  <c r="E398"/>
  <c r="E400"/>
  <c r="E402"/>
  <c r="E404"/>
  <c r="E406"/>
  <c r="E408"/>
  <c r="E410"/>
  <c r="E412"/>
  <c r="E414"/>
  <c r="E416"/>
  <c r="E418"/>
  <c r="E420"/>
  <c r="E422"/>
  <c r="E424"/>
  <c r="E426"/>
  <c r="E428"/>
  <c r="E430"/>
  <c r="E432"/>
  <c r="E434"/>
  <c r="E436"/>
  <c r="E438"/>
  <c r="E440"/>
  <c r="E442"/>
  <c r="E444"/>
  <c r="E446"/>
  <c r="E448"/>
  <c r="E450"/>
  <c r="E452"/>
  <c r="E454"/>
  <c r="E456"/>
  <c r="E458"/>
  <c r="E460"/>
  <c r="E462"/>
  <c r="E464"/>
  <c r="E466"/>
  <c r="E468"/>
  <c r="E470"/>
  <c r="E472"/>
  <c r="E474"/>
  <c r="E476"/>
  <c r="E478"/>
  <c r="E480"/>
  <c r="E482"/>
  <c r="E484"/>
  <c r="E486"/>
  <c r="E488"/>
  <c r="E490"/>
  <c r="E492"/>
  <c r="E494"/>
  <c r="E496"/>
  <c r="E498"/>
  <c r="E500"/>
  <c r="E502"/>
  <c r="E504"/>
  <c r="E506"/>
  <c r="E508"/>
  <c r="E510"/>
  <c r="E512"/>
  <c r="E514"/>
  <c r="E5"/>
  <c r="E9"/>
  <c r="E13"/>
  <c r="E17"/>
  <c r="E21"/>
  <c r="E25"/>
  <c r="E29"/>
  <c r="E33"/>
  <c r="E37"/>
  <c r="E41"/>
  <c r="E45"/>
  <c r="E49"/>
  <c r="E53"/>
  <c r="E57"/>
  <c r="E61"/>
  <c r="E65"/>
  <c r="E69"/>
  <c r="E73"/>
  <c r="E77"/>
  <c r="E81"/>
  <c r="E85"/>
  <c r="E89"/>
  <c r="E93"/>
  <c r="E97"/>
  <c r="E101"/>
  <c r="E105"/>
  <c r="E109"/>
  <c r="E113"/>
  <c r="E117"/>
  <c r="E121"/>
  <c r="E125"/>
  <c r="E129"/>
  <c r="E133"/>
  <c r="E137"/>
  <c r="E141"/>
  <c r="E145"/>
  <c r="E149"/>
  <c r="E153"/>
  <c r="E157"/>
  <c r="E161"/>
  <c r="E165"/>
  <c r="E169"/>
  <c r="E173"/>
  <c r="E177"/>
  <c r="E181"/>
  <c r="E185"/>
  <c r="E189"/>
  <c r="E193"/>
  <c r="E197"/>
  <c r="E201"/>
  <c r="E205"/>
  <c r="E209"/>
  <c r="E213"/>
  <c r="E217"/>
  <c r="E221"/>
  <c r="E225"/>
  <c r="E229"/>
  <c r="E233"/>
  <c r="E237"/>
  <c r="E241"/>
  <c r="E245"/>
  <c r="E249"/>
  <c r="E253"/>
  <c r="E257"/>
  <c r="E261"/>
  <c r="E265"/>
  <c r="E269"/>
  <c r="E273"/>
  <c r="E277"/>
  <c r="E281"/>
  <c r="E285"/>
  <c r="E289"/>
  <c r="E293"/>
  <c r="E297"/>
  <c r="E301"/>
  <c r="E305"/>
  <c r="E309"/>
  <c r="E313"/>
  <c r="E317"/>
  <c r="E321"/>
  <c r="E325"/>
  <c r="E329"/>
  <c r="E333"/>
  <c r="E337"/>
  <c r="E341"/>
  <c r="E345"/>
  <c r="E349"/>
  <c r="E353"/>
  <c r="E357"/>
  <c r="E361"/>
  <c r="E365"/>
  <c r="E369"/>
  <c r="E373"/>
  <c r="E377"/>
  <c r="E381"/>
  <c r="E385"/>
  <c r="E389"/>
  <c r="E393"/>
  <c r="E397"/>
  <c r="E401"/>
  <c r="E405"/>
  <c r="E409"/>
  <c r="E413"/>
  <c r="E417"/>
  <c r="E421"/>
  <c r="E425"/>
  <c r="E429"/>
  <c r="E433"/>
  <c r="E437"/>
  <c r="E441"/>
  <c r="E445"/>
  <c r="E449"/>
  <c r="E453"/>
  <c r="E457"/>
  <c r="E461"/>
  <c r="E465"/>
  <c r="E469"/>
  <c r="E473"/>
  <c r="E477"/>
  <c r="E481"/>
  <c r="E485"/>
  <c r="E489"/>
  <c r="E493"/>
  <c r="E497"/>
  <c r="E501"/>
  <c r="E505"/>
  <c r="E509"/>
  <c r="E513"/>
  <c r="E516"/>
  <c r="E518"/>
  <c r="E520"/>
  <c r="E522"/>
  <c r="E524"/>
  <c r="E526"/>
  <c r="E528"/>
  <c r="E530"/>
  <c r="E532"/>
  <c r="E534"/>
  <c r="E536"/>
  <c r="E538"/>
  <c r="E540"/>
  <c r="E542"/>
  <c r="E544"/>
  <c r="E546"/>
  <c r="E548"/>
  <c r="E550"/>
  <c r="E552"/>
  <c r="E554"/>
  <c r="E556"/>
  <c r="E558"/>
  <c r="E560"/>
  <c r="E562"/>
  <c r="E564"/>
  <c r="E566"/>
  <c r="E568"/>
  <c r="E570"/>
  <c r="E572"/>
  <c r="E574"/>
  <c r="E576"/>
  <c r="E578"/>
  <c r="E580"/>
  <c r="E582"/>
  <c r="E584"/>
  <c r="E586"/>
  <c r="E588"/>
  <c r="E590"/>
  <c r="E592"/>
  <c r="E594"/>
  <c r="E596"/>
  <c r="E598"/>
  <c r="E600"/>
  <c r="E602"/>
  <c r="E604"/>
  <c r="E606"/>
  <c r="E608"/>
  <c r="E610"/>
  <c r="E612"/>
  <c r="E614"/>
  <c r="E616"/>
  <c r="E618"/>
  <c r="E620"/>
  <c r="E622"/>
  <c r="E624"/>
  <c r="E626"/>
  <c r="E628"/>
  <c r="E630"/>
  <c r="E632"/>
  <c r="E634"/>
  <c r="E636"/>
  <c r="E638"/>
  <c r="E640"/>
  <c r="E642"/>
  <c r="E644"/>
  <c r="E646"/>
  <c r="E648"/>
  <c r="E650"/>
  <c r="E652"/>
  <c r="E654"/>
  <c r="E656"/>
  <c r="E658"/>
  <c r="E660"/>
  <c r="E662"/>
  <c r="E664"/>
  <c r="E666"/>
  <c r="E668"/>
  <c r="E670"/>
  <c r="E672"/>
  <c r="E674"/>
  <c r="E676"/>
  <c r="E2"/>
  <c r="E3"/>
  <c r="E7"/>
  <c r="E11"/>
  <c r="E15"/>
  <c r="E19"/>
  <c r="E23"/>
  <c r="E27"/>
  <c r="E31"/>
  <c r="E35"/>
  <c r="E39"/>
  <c r="E43"/>
  <c r="E47"/>
  <c r="E51"/>
  <c r="E55"/>
  <c r="E59"/>
  <c r="E63"/>
  <c r="E67"/>
  <c r="E71"/>
  <c r="E75"/>
  <c r="E79"/>
  <c r="E83"/>
  <c r="E87"/>
  <c r="E91"/>
  <c r="E95"/>
  <c r="E99"/>
  <c r="E103"/>
  <c r="E107"/>
  <c r="E111"/>
  <c r="E115"/>
  <c r="E119"/>
  <c r="E123"/>
  <c r="E127"/>
  <c r="E131"/>
  <c r="E135"/>
  <c r="E139"/>
  <c r="E143"/>
  <c r="E147"/>
  <c r="E151"/>
  <c r="E155"/>
  <c r="E159"/>
  <c r="E163"/>
  <c r="E167"/>
  <c r="E171"/>
  <c r="E175"/>
  <c r="E179"/>
  <c r="E183"/>
  <c r="E187"/>
  <c r="E191"/>
  <c r="E195"/>
  <c r="E199"/>
  <c r="E203"/>
  <c r="E207"/>
  <c r="E211"/>
  <c r="E215"/>
  <c r="E219"/>
  <c r="E223"/>
  <c r="E227"/>
  <c r="E231"/>
  <c r="E235"/>
  <c r="E239"/>
  <c r="E243"/>
  <c r="E247"/>
  <c r="E251"/>
  <c r="E255"/>
  <c r="E259"/>
  <c r="E263"/>
  <c r="E267"/>
  <c r="E271"/>
  <c r="E275"/>
  <c r="E279"/>
  <c r="E283"/>
  <c r="E287"/>
  <c r="E291"/>
  <c r="E295"/>
  <c r="E299"/>
  <c r="E303"/>
  <c r="E307"/>
  <c r="E311"/>
  <c r="E315"/>
  <c r="E319"/>
  <c r="E323"/>
  <c r="E327"/>
  <c r="E331"/>
  <c r="E335"/>
  <c r="E339"/>
  <c r="E343"/>
  <c r="E347"/>
  <c r="E351"/>
  <c r="E355"/>
  <c r="E359"/>
  <c r="E363"/>
  <c r="E367"/>
  <c r="E371"/>
  <c r="E375"/>
  <c r="E379"/>
  <c r="E383"/>
  <c r="E387"/>
  <c r="E391"/>
  <c r="E395"/>
  <c r="E399"/>
  <c r="E403"/>
  <c r="E407"/>
  <c r="E411"/>
  <c r="E415"/>
  <c r="E419"/>
  <c r="E423"/>
  <c r="E427"/>
  <c r="E431"/>
  <c r="E435"/>
  <c r="E439"/>
  <c r="E443"/>
  <c r="E447"/>
  <c r="E451"/>
  <c r="E455"/>
  <c r="E459"/>
  <c r="E463"/>
  <c r="E467"/>
  <c r="E471"/>
  <c r="E475"/>
  <c r="E479"/>
  <c r="E483"/>
  <c r="E487"/>
  <c r="E491"/>
  <c r="E495"/>
  <c r="E499"/>
  <c r="E503"/>
  <c r="E507"/>
  <c r="E511"/>
  <c r="E515"/>
  <c r="E517"/>
  <c r="E519"/>
  <c r="E521"/>
  <c r="E523"/>
  <c r="E525"/>
  <c r="E527"/>
  <c r="E529"/>
  <c r="E531"/>
  <c r="E533"/>
  <c r="E535"/>
  <c r="E537"/>
  <c r="E539"/>
  <c r="E541"/>
  <c r="E543"/>
  <c r="E545"/>
  <c r="E547"/>
  <c r="E549"/>
  <c r="E551"/>
  <c r="E553"/>
  <c r="E555"/>
  <c r="E557"/>
  <c r="E559"/>
  <c r="E561"/>
  <c r="E563"/>
  <c r="E565"/>
  <c r="E567"/>
  <c r="E569"/>
  <c r="E571"/>
  <c r="E573"/>
  <c r="E575"/>
  <c r="E577"/>
  <c r="E579"/>
  <c r="E581"/>
  <c r="E583"/>
  <c r="E585"/>
  <c r="E587"/>
  <c r="E589"/>
  <c r="E591"/>
  <c r="E593"/>
  <c r="E595"/>
  <c r="E597"/>
  <c r="E599"/>
  <c r="E601"/>
  <c r="E603"/>
  <c r="E605"/>
  <c r="E607"/>
  <c r="E609"/>
  <c r="E611"/>
  <c r="E613"/>
  <c r="E615"/>
  <c r="E617"/>
  <c r="E619"/>
  <c r="E621"/>
  <c r="E623"/>
  <c r="E625"/>
  <c r="E627"/>
  <c r="E629"/>
  <c r="E631"/>
  <c r="E633"/>
  <c r="E635"/>
  <c r="E637"/>
  <c r="E639"/>
  <c r="E641"/>
  <c r="E643"/>
  <c r="E645"/>
  <c r="E647"/>
  <c r="E649"/>
  <c r="E651"/>
  <c r="E653"/>
  <c r="E655"/>
  <c r="E657"/>
  <c r="E659"/>
  <c r="E661"/>
  <c r="E663"/>
  <c r="E665"/>
  <c r="E667"/>
  <c r="E669"/>
  <c r="E671"/>
  <c r="E673"/>
  <c r="E675"/>
  <c r="E677"/>
  <c r="F4"/>
  <c r="F6"/>
  <c r="F8"/>
  <c r="F10"/>
  <c r="F12"/>
  <c r="F14"/>
  <c r="F16"/>
  <c r="F18"/>
  <c r="F20"/>
  <c r="F22"/>
  <c r="F24"/>
  <c r="F26"/>
  <c r="F28"/>
  <c r="F30"/>
  <c r="F32"/>
  <c r="F34"/>
  <c r="F36"/>
  <c r="F38"/>
  <c r="F40"/>
  <c r="F42"/>
  <c r="F44"/>
  <c r="F46"/>
  <c r="F48"/>
  <c r="F50"/>
  <c r="F52"/>
  <c r="F54"/>
  <c r="F56"/>
  <c r="F58"/>
  <c r="F60"/>
  <c r="F62"/>
  <c r="F64"/>
  <c r="F66"/>
  <c r="F68"/>
  <c r="F70"/>
  <c r="F72"/>
  <c r="F74"/>
  <c r="F76"/>
  <c r="F78"/>
  <c r="F80"/>
  <c r="F82"/>
  <c r="F84"/>
  <c r="F86"/>
  <c r="F88"/>
  <c r="F90"/>
  <c r="F92"/>
  <c r="F94"/>
  <c r="F96"/>
  <c r="F98"/>
  <c r="F100"/>
  <c r="F102"/>
  <c r="F104"/>
  <c r="F106"/>
  <c r="F108"/>
  <c r="F110"/>
  <c r="F112"/>
  <c r="F114"/>
  <c r="F116"/>
  <c r="F118"/>
  <c r="F120"/>
  <c r="F122"/>
  <c r="F124"/>
  <c r="F126"/>
  <c r="F128"/>
  <c r="F130"/>
  <c r="F132"/>
  <c r="F134"/>
  <c r="F136"/>
  <c r="F138"/>
  <c r="F140"/>
  <c r="F142"/>
  <c r="F144"/>
  <c r="F146"/>
  <c r="F148"/>
  <c r="F150"/>
  <c r="F152"/>
  <c r="F154"/>
  <c r="F156"/>
  <c r="F158"/>
  <c r="F160"/>
  <c r="F162"/>
  <c r="F164"/>
  <c r="F166"/>
  <c r="F168"/>
  <c r="F170"/>
  <c r="F172"/>
  <c r="F174"/>
  <c r="F176"/>
  <c r="F178"/>
  <c r="F180"/>
  <c r="F182"/>
  <c r="F184"/>
  <c r="F186"/>
  <c r="F188"/>
  <c r="F190"/>
  <c r="F192"/>
  <c r="F194"/>
  <c r="F196"/>
  <c r="F198"/>
  <c r="F200"/>
  <c r="F202"/>
  <c r="F204"/>
  <c r="F206"/>
  <c r="F208"/>
  <c r="F210"/>
  <c r="F212"/>
  <c r="F214"/>
  <c r="F216"/>
  <c r="F218"/>
  <c r="F220"/>
  <c r="F222"/>
  <c r="F224"/>
  <c r="F226"/>
  <c r="F228"/>
  <c r="F230"/>
  <c r="F232"/>
  <c r="F234"/>
  <c r="F236"/>
  <c r="F238"/>
  <c r="F240"/>
  <c r="F242"/>
  <c r="F244"/>
  <c r="F246"/>
  <c r="F248"/>
  <c r="F250"/>
  <c r="F252"/>
  <c r="F254"/>
  <c r="F256"/>
  <c r="F258"/>
  <c r="F260"/>
  <c r="F262"/>
  <c r="F264"/>
  <c r="F266"/>
  <c r="F268"/>
  <c r="F270"/>
  <c r="F272"/>
  <c r="F274"/>
  <c r="F276"/>
  <c r="F278"/>
  <c r="F280"/>
  <c r="F282"/>
  <c r="F284"/>
  <c r="F286"/>
  <c r="F288"/>
  <c r="F290"/>
  <c r="F292"/>
  <c r="F294"/>
  <c r="F296"/>
  <c r="F298"/>
  <c r="F300"/>
  <c r="F302"/>
  <c r="F304"/>
  <c r="F306"/>
  <c r="F308"/>
  <c r="F310"/>
  <c r="F312"/>
  <c r="F314"/>
  <c r="F316"/>
  <c r="F318"/>
  <c r="F320"/>
  <c r="F322"/>
  <c r="F324"/>
  <c r="F326"/>
  <c r="F328"/>
  <c r="F330"/>
  <c r="F332"/>
  <c r="F334"/>
  <c r="F336"/>
  <c r="F338"/>
  <c r="F340"/>
  <c r="F342"/>
  <c r="F3"/>
  <c r="F5"/>
  <c r="F7"/>
  <c r="F9"/>
  <c r="F11"/>
  <c r="F13"/>
  <c r="F15"/>
  <c r="F17"/>
  <c r="F19"/>
  <c r="F21"/>
  <c r="F23"/>
  <c r="F25"/>
  <c r="F27"/>
  <c r="F29"/>
  <c r="F31"/>
  <c r="F33"/>
  <c r="F35"/>
  <c r="F37"/>
  <c r="F39"/>
  <c r="F41"/>
  <c r="F43"/>
  <c r="F45"/>
  <c r="F47"/>
  <c r="F49"/>
  <c r="F51"/>
  <c r="F53"/>
  <c r="F55"/>
  <c r="F57"/>
  <c r="F59"/>
  <c r="F61"/>
  <c r="F63"/>
  <c r="F65"/>
  <c r="F67"/>
  <c r="F69"/>
  <c r="F71"/>
  <c r="F73"/>
  <c r="F75"/>
  <c r="F77"/>
  <c r="F79"/>
  <c r="F81"/>
  <c r="F83"/>
  <c r="F85"/>
  <c r="F87"/>
  <c r="F89"/>
  <c r="F91"/>
  <c r="F93"/>
  <c r="F97"/>
  <c r="F101"/>
  <c r="F105"/>
  <c r="F109"/>
  <c r="F113"/>
  <c r="F117"/>
  <c r="F121"/>
  <c r="F125"/>
  <c r="F129"/>
  <c r="F133"/>
  <c r="F137"/>
  <c r="F141"/>
  <c r="F145"/>
  <c r="F149"/>
  <c r="F153"/>
  <c r="F157"/>
  <c r="F161"/>
  <c r="F165"/>
  <c r="F169"/>
  <c r="F173"/>
  <c r="F177"/>
  <c r="F181"/>
  <c r="F185"/>
  <c r="F189"/>
  <c r="F193"/>
  <c r="F197"/>
  <c r="F201"/>
  <c r="F205"/>
  <c r="F209"/>
  <c r="F213"/>
  <c r="F217"/>
  <c r="F221"/>
  <c r="F225"/>
  <c r="F229"/>
  <c r="F233"/>
  <c r="F237"/>
  <c r="F241"/>
  <c r="F245"/>
  <c r="F249"/>
  <c r="F253"/>
  <c r="F257"/>
  <c r="F261"/>
  <c r="F265"/>
  <c r="F269"/>
  <c r="F273"/>
  <c r="F277"/>
  <c r="F281"/>
  <c r="F285"/>
  <c r="F289"/>
  <c r="F293"/>
  <c r="F297"/>
  <c r="F301"/>
  <c r="F305"/>
  <c r="F309"/>
  <c r="F313"/>
  <c r="F317"/>
  <c r="F321"/>
  <c r="F325"/>
  <c r="F329"/>
  <c r="F333"/>
  <c r="F337"/>
  <c r="F341"/>
  <c r="F344"/>
  <c r="F346"/>
  <c r="F348"/>
  <c r="F350"/>
  <c r="F352"/>
  <c r="F354"/>
  <c r="F356"/>
  <c r="F358"/>
  <c r="F360"/>
  <c r="F362"/>
  <c r="F364"/>
  <c r="F366"/>
  <c r="F368"/>
  <c r="F370"/>
  <c r="F372"/>
  <c r="F374"/>
  <c r="F376"/>
  <c r="F378"/>
  <c r="F380"/>
  <c r="F382"/>
  <c r="F384"/>
  <c r="F386"/>
  <c r="F388"/>
  <c r="F390"/>
  <c r="F392"/>
  <c r="F394"/>
  <c r="F396"/>
  <c r="F398"/>
  <c r="F400"/>
  <c r="F402"/>
  <c r="F404"/>
  <c r="F406"/>
  <c r="F408"/>
  <c r="F410"/>
  <c r="F412"/>
  <c r="F414"/>
  <c r="F416"/>
  <c r="F418"/>
  <c r="F420"/>
  <c r="F422"/>
  <c r="F424"/>
  <c r="F426"/>
  <c r="F428"/>
  <c r="F430"/>
  <c r="F432"/>
  <c r="F434"/>
  <c r="F436"/>
  <c r="F438"/>
  <c r="F440"/>
  <c r="F442"/>
  <c r="F444"/>
  <c r="F446"/>
  <c r="F448"/>
  <c r="F450"/>
  <c r="F452"/>
  <c r="F454"/>
  <c r="F456"/>
  <c r="F458"/>
  <c r="F460"/>
  <c r="F462"/>
  <c r="F464"/>
  <c r="F466"/>
  <c r="F468"/>
  <c r="F470"/>
  <c r="F472"/>
  <c r="F474"/>
  <c r="F476"/>
  <c r="F478"/>
  <c r="F480"/>
  <c r="F482"/>
  <c r="F484"/>
  <c r="F486"/>
  <c r="F488"/>
  <c r="F490"/>
  <c r="F492"/>
  <c r="F494"/>
  <c r="F496"/>
  <c r="F498"/>
  <c r="F500"/>
  <c r="F502"/>
  <c r="F504"/>
  <c r="F506"/>
  <c r="F508"/>
  <c r="F510"/>
  <c r="F512"/>
  <c r="F514"/>
  <c r="F516"/>
  <c r="F518"/>
  <c r="F520"/>
  <c r="F522"/>
  <c r="F524"/>
  <c r="F526"/>
  <c r="F528"/>
  <c r="F530"/>
  <c r="F532"/>
  <c r="F534"/>
  <c r="F536"/>
  <c r="F538"/>
  <c r="F540"/>
  <c r="F542"/>
  <c r="F544"/>
  <c r="F546"/>
  <c r="F548"/>
  <c r="F550"/>
  <c r="F552"/>
  <c r="F554"/>
  <c r="F556"/>
  <c r="F558"/>
  <c r="F560"/>
  <c r="F562"/>
  <c r="F564"/>
  <c r="F566"/>
  <c r="F568"/>
  <c r="F570"/>
  <c r="F572"/>
  <c r="F574"/>
  <c r="F576"/>
  <c r="F578"/>
  <c r="F580"/>
  <c r="F582"/>
  <c r="F584"/>
  <c r="F586"/>
  <c r="F588"/>
  <c r="F590"/>
  <c r="F592"/>
  <c r="F594"/>
  <c r="F596"/>
  <c r="F598"/>
  <c r="F600"/>
  <c r="F602"/>
  <c r="F604"/>
  <c r="F606"/>
  <c r="F608"/>
  <c r="F610"/>
  <c r="F612"/>
  <c r="F614"/>
  <c r="F616"/>
  <c r="F618"/>
  <c r="F620"/>
  <c r="F622"/>
  <c r="F624"/>
  <c r="F626"/>
  <c r="F628"/>
  <c r="F630"/>
  <c r="F632"/>
  <c r="F634"/>
  <c r="F636"/>
  <c r="F638"/>
  <c r="F640"/>
  <c r="F642"/>
  <c r="F644"/>
  <c r="F646"/>
  <c r="F648"/>
  <c r="F650"/>
  <c r="F652"/>
  <c r="F654"/>
  <c r="F656"/>
  <c r="F658"/>
  <c r="F664"/>
  <c r="F95"/>
  <c r="F99"/>
  <c r="F103"/>
  <c r="F107"/>
  <c r="F111"/>
  <c r="F115"/>
  <c r="F119"/>
  <c r="F123"/>
  <c r="F127"/>
  <c r="F131"/>
  <c r="F135"/>
  <c r="F139"/>
  <c r="F143"/>
  <c r="F147"/>
  <c r="F151"/>
  <c r="F155"/>
  <c r="F159"/>
  <c r="F163"/>
  <c r="F167"/>
  <c r="F171"/>
  <c r="F175"/>
  <c r="F179"/>
  <c r="F183"/>
  <c r="F187"/>
  <c r="F191"/>
  <c r="F195"/>
  <c r="F199"/>
  <c r="F203"/>
  <c r="F207"/>
  <c r="F211"/>
  <c r="F215"/>
  <c r="F219"/>
  <c r="F223"/>
  <c r="F227"/>
  <c r="F231"/>
  <c r="F235"/>
  <c r="F239"/>
  <c r="F243"/>
  <c r="F247"/>
  <c r="F251"/>
  <c r="F255"/>
  <c r="F259"/>
  <c r="F263"/>
  <c r="F267"/>
  <c r="F271"/>
  <c r="F275"/>
  <c r="F279"/>
  <c r="F283"/>
  <c r="F287"/>
  <c r="F291"/>
  <c r="F295"/>
  <c r="F299"/>
  <c r="F303"/>
  <c r="F307"/>
  <c r="F311"/>
  <c r="F315"/>
  <c r="F319"/>
  <c r="F323"/>
  <c r="F327"/>
  <c r="F331"/>
  <c r="F335"/>
  <c r="F339"/>
  <c r="F343"/>
  <c r="F345"/>
  <c r="F347"/>
  <c r="F349"/>
  <c r="F351"/>
  <c r="F353"/>
  <c r="F355"/>
  <c r="F357"/>
  <c r="F359"/>
  <c r="F361"/>
  <c r="F363"/>
  <c r="F365"/>
  <c r="F367"/>
  <c r="F369"/>
  <c r="F371"/>
  <c r="F373"/>
  <c r="F375"/>
  <c r="F377"/>
  <c r="F379"/>
  <c r="F381"/>
  <c r="F383"/>
  <c r="F385"/>
  <c r="F387"/>
  <c r="F389"/>
  <c r="F391"/>
  <c r="F393"/>
  <c r="F395"/>
  <c r="F397"/>
  <c r="F399"/>
  <c r="F401"/>
  <c r="F403"/>
  <c r="F405"/>
  <c r="F407"/>
  <c r="F409"/>
  <c r="F411"/>
  <c r="F413"/>
  <c r="F415"/>
  <c r="F417"/>
  <c r="F419"/>
  <c r="F421"/>
  <c r="F423"/>
  <c r="F425"/>
  <c r="F427"/>
  <c r="F429"/>
  <c r="F431"/>
  <c r="F433"/>
  <c r="F435"/>
  <c r="F437"/>
  <c r="F439"/>
  <c r="F441"/>
  <c r="F443"/>
  <c r="F445"/>
  <c r="F447"/>
  <c r="F449"/>
  <c r="F451"/>
  <c r="F453"/>
  <c r="F455"/>
  <c r="F457"/>
  <c r="F459"/>
  <c r="F461"/>
  <c r="F463"/>
  <c r="F465"/>
  <c r="F467"/>
  <c r="F469"/>
  <c r="F471"/>
  <c r="F473"/>
  <c r="F475"/>
  <c r="F477"/>
  <c r="F479"/>
  <c r="F481"/>
  <c r="F483"/>
  <c r="F485"/>
  <c r="F487"/>
  <c r="F489"/>
  <c r="F491"/>
  <c r="F493"/>
  <c r="F495"/>
  <c r="F497"/>
  <c r="F499"/>
  <c r="F501"/>
  <c r="F503"/>
  <c r="F505"/>
  <c r="F507"/>
  <c r="F509"/>
  <c r="F511"/>
  <c r="F513"/>
  <c r="F515"/>
  <c r="F517"/>
  <c r="F519"/>
  <c r="F521"/>
  <c r="F523"/>
  <c r="F525"/>
  <c r="F527"/>
  <c r="F529"/>
  <c r="F531"/>
  <c r="F533"/>
  <c r="F535"/>
  <c r="F537"/>
  <c r="F539"/>
  <c r="F541"/>
  <c r="F543"/>
  <c r="F545"/>
  <c r="F547"/>
  <c r="F549"/>
  <c r="F551"/>
  <c r="F553"/>
  <c r="F555"/>
  <c r="F557"/>
  <c r="F559"/>
  <c r="F561"/>
  <c r="F563"/>
  <c r="F565"/>
  <c r="F567"/>
  <c r="F569"/>
  <c r="F571"/>
  <c r="F573"/>
  <c r="F575"/>
  <c r="F577"/>
  <c r="F579"/>
  <c r="F581"/>
  <c r="F583"/>
  <c r="F585"/>
  <c r="F587"/>
  <c r="F589"/>
  <c r="F591"/>
  <c r="F593"/>
  <c r="F595"/>
  <c r="F597"/>
  <c r="F599"/>
  <c r="F601"/>
  <c r="F603"/>
  <c r="F605"/>
  <c r="F607"/>
  <c r="F609"/>
  <c r="F611"/>
  <c r="F613"/>
  <c r="F615"/>
  <c r="F617"/>
  <c r="F619"/>
  <c r="F621"/>
  <c r="F623"/>
  <c r="F625"/>
  <c r="F627"/>
  <c r="F629"/>
  <c r="F631"/>
  <c r="F633"/>
  <c r="F635"/>
  <c r="F637"/>
  <c r="F639"/>
  <c r="F641"/>
  <c r="F643"/>
  <c r="F645"/>
  <c r="F647"/>
  <c r="F649"/>
  <c r="F651"/>
  <c r="F653"/>
  <c r="F655"/>
  <c r="F657"/>
  <c r="F659"/>
  <c r="F661"/>
  <c r="F663"/>
  <c r="F665"/>
  <c r="F667"/>
  <c r="F669"/>
  <c r="F671"/>
  <c r="F673"/>
  <c r="F675"/>
  <c r="F677"/>
  <c r="F660"/>
  <c r="F662"/>
  <c r="F666"/>
  <c r="F668"/>
  <c r="F670"/>
  <c r="F672"/>
  <c r="F674"/>
  <c r="F676"/>
  <c r="F2"/>
  <c r="H3"/>
  <c r="H4"/>
  <c r="H5"/>
  <c r="H6"/>
  <c r="H7"/>
  <c r="H8"/>
  <c r="H9"/>
  <c r="H10"/>
  <c r="H11"/>
  <c r="H12"/>
  <c r="H13"/>
  <c r="H14"/>
  <c r="H15"/>
  <c r="H16"/>
  <c r="H17"/>
  <c r="H18"/>
  <c r="H19"/>
  <c r="H20"/>
  <c r="H21"/>
  <c r="H22"/>
  <c r="H23"/>
  <c r="H24"/>
  <c r="H25"/>
  <c r="H26"/>
  <c r="H27"/>
  <c r="H28"/>
  <c r="H29"/>
  <c r="H30"/>
  <c r="H31"/>
  <c r="H32"/>
  <c r="H33"/>
  <c r="H34"/>
  <c r="H35"/>
  <c r="H36"/>
  <c r="H37"/>
  <c r="H38"/>
  <c r="H39"/>
  <c r="H40"/>
  <c r="H41"/>
  <c r="H42"/>
  <c r="H43"/>
  <c r="H44"/>
  <c r="H45"/>
  <c r="H46"/>
  <c r="H47"/>
  <c r="H48"/>
  <c r="H49"/>
  <c r="H50"/>
  <c r="H51"/>
  <c r="H52"/>
  <c r="H53"/>
  <c r="H54"/>
  <c r="H55"/>
  <c r="H56"/>
  <c r="H57"/>
  <c r="H58"/>
  <c r="H59"/>
  <c r="H60"/>
  <c r="H61"/>
  <c r="H62"/>
  <c r="H63"/>
  <c r="H64"/>
  <c r="H65"/>
  <c r="H66"/>
  <c r="H67"/>
  <c r="H68"/>
  <c r="H69"/>
  <c r="H70"/>
  <c r="H71"/>
  <c r="H72"/>
  <c r="H73"/>
  <c r="H74"/>
  <c r="H75"/>
  <c r="H76"/>
  <c r="H77"/>
  <c r="H78"/>
  <c r="H79"/>
  <c r="H80"/>
  <c r="H81"/>
  <c r="H82"/>
  <c r="H83"/>
  <c r="H84"/>
  <c r="H85"/>
  <c r="H86"/>
  <c r="H87"/>
  <c r="H88"/>
  <c r="H89"/>
  <c r="H90"/>
  <c r="H91"/>
  <c r="H92"/>
  <c r="H93"/>
  <c r="H94"/>
  <c r="H95"/>
  <c r="H96"/>
  <c r="H97"/>
  <c r="H98"/>
  <c r="H99"/>
  <c r="H100"/>
  <c r="H101"/>
  <c r="H102"/>
  <c r="H103"/>
  <c r="H104"/>
  <c r="H105"/>
  <c r="H106"/>
  <c r="H107"/>
  <c r="H108"/>
  <c r="H109"/>
  <c r="H110"/>
  <c r="H111"/>
  <c r="H112"/>
  <c r="H113"/>
  <c r="H114"/>
  <c r="H115"/>
  <c r="H116"/>
  <c r="H117"/>
  <c r="H118"/>
  <c r="H119"/>
  <c r="H120"/>
  <c r="H121"/>
  <c r="H122"/>
  <c r="H123"/>
  <c r="H124"/>
  <c r="H125"/>
  <c r="H126"/>
  <c r="H127"/>
  <c r="H128"/>
  <c r="H129"/>
  <c r="H130"/>
  <c r="H131"/>
  <c r="H132"/>
  <c r="H133"/>
  <c r="H134"/>
  <c r="H135"/>
  <c r="H136"/>
  <c r="H137"/>
  <c r="H138"/>
  <c r="H139"/>
  <c r="H140"/>
  <c r="H141"/>
  <c r="H142"/>
  <c r="H143"/>
  <c r="H144"/>
  <c r="H145"/>
  <c r="H146"/>
  <c r="H147"/>
  <c r="H148"/>
  <c r="H149"/>
  <c r="H150"/>
  <c r="H151"/>
  <c r="H152"/>
  <c r="H153"/>
  <c r="H154"/>
  <c r="H155"/>
  <c r="H156"/>
  <c r="H157"/>
  <c r="H158"/>
  <c r="H159"/>
  <c r="H160"/>
  <c r="H161"/>
  <c r="H162"/>
  <c r="H163"/>
  <c r="H164"/>
  <c r="H165"/>
  <c r="H166"/>
  <c r="H167"/>
  <c r="H168"/>
  <c r="H169"/>
  <c r="H170"/>
  <c r="H171"/>
  <c r="H172"/>
  <c r="H173"/>
  <c r="H174"/>
  <c r="H175"/>
  <c r="H176"/>
  <c r="H177"/>
  <c r="H178"/>
  <c r="H179"/>
  <c r="H180"/>
  <c r="H181"/>
  <c r="H182"/>
  <c r="H183"/>
  <c r="H184"/>
  <c r="H185"/>
  <c r="H186"/>
  <c r="H187"/>
  <c r="H188"/>
  <c r="H189"/>
  <c r="H190"/>
  <c r="H191"/>
  <c r="H192"/>
  <c r="H193"/>
  <c r="H194"/>
  <c r="H195"/>
  <c r="H196"/>
  <c r="H197"/>
  <c r="H198"/>
  <c r="H199"/>
  <c r="H200"/>
  <c r="H201"/>
  <c r="H202"/>
  <c r="H203"/>
  <c r="H204"/>
  <c r="H205"/>
  <c r="H206"/>
  <c r="H207"/>
  <c r="H208"/>
  <c r="H209"/>
  <c r="H210"/>
  <c r="H211"/>
  <c r="H212"/>
  <c r="H213"/>
  <c r="H214"/>
  <c r="H215"/>
  <c r="H216"/>
  <c r="H217"/>
  <c r="H218"/>
  <c r="H219"/>
  <c r="H220"/>
  <c r="H221"/>
  <c r="H222"/>
  <c r="H223"/>
  <c r="H224"/>
  <c r="H225"/>
  <c r="H226"/>
  <c r="H227"/>
  <c r="H228"/>
  <c r="H229"/>
  <c r="H230"/>
  <c r="H231"/>
  <c r="H232"/>
  <c r="H233"/>
  <c r="H234"/>
  <c r="H235"/>
  <c r="H236"/>
  <c r="H237"/>
  <c r="H238"/>
  <c r="H239"/>
  <c r="H240"/>
  <c r="H241"/>
  <c r="H242"/>
  <c r="H243"/>
  <c r="H244"/>
  <c r="H245"/>
  <c r="H246"/>
  <c r="H247"/>
  <c r="H248"/>
  <c r="H249"/>
  <c r="H250"/>
  <c r="H251"/>
  <c r="H252"/>
  <c r="H253"/>
  <c r="H254"/>
  <c r="H255"/>
  <c r="H256"/>
  <c r="H257"/>
  <c r="H258"/>
  <c r="H2"/>
  <c r="H477"/>
  <c r="H479"/>
  <c r="H481"/>
  <c r="H483"/>
  <c r="H485"/>
  <c r="H486"/>
  <c r="H488"/>
  <c r="H490"/>
  <c r="H491"/>
  <c r="H493"/>
  <c r="H494"/>
  <c r="H496"/>
  <c r="H498"/>
  <c r="H499"/>
  <c r="H501"/>
  <c r="H503"/>
  <c r="H505"/>
  <c r="H506"/>
  <c r="H508"/>
  <c r="H510"/>
  <c r="H512"/>
  <c r="H514"/>
  <c r="H516"/>
  <c r="H518"/>
  <c r="H519"/>
  <c r="H522"/>
  <c r="H524"/>
  <c r="H526"/>
  <c r="H528"/>
  <c r="H530"/>
  <c r="H532"/>
  <c r="H534"/>
  <c r="H536"/>
  <c r="H538"/>
  <c r="H540"/>
  <c r="H542"/>
  <c r="H544"/>
  <c r="H546"/>
  <c r="H548"/>
  <c r="H550"/>
  <c r="H552"/>
  <c r="H554"/>
  <c r="H556"/>
  <c r="H558"/>
  <c r="H560"/>
  <c r="H562"/>
  <c r="H564"/>
  <c r="H565"/>
  <c r="H567"/>
  <c r="H568"/>
  <c r="H570"/>
  <c r="H572"/>
  <c r="H574"/>
  <c r="H576"/>
  <c r="H578"/>
  <c r="H580"/>
  <c r="H582"/>
  <c r="H584"/>
  <c r="H586"/>
  <c r="H588"/>
  <c r="H590"/>
  <c r="H592"/>
  <c r="H594"/>
  <c r="H595"/>
  <c r="H597"/>
  <c r="H599"/>
  <c r="H601"/>
  <c r="H603"/>
  <c r="H605"/>
  <c r="H607"/>
  <c r="H609"/>
  <c r="H610"/>
  <c r="H612"/>
  <c r="H613"/>
  <c r="H615"/>
  <c r="H616"/>
  <c r="H618"/>
  <c r="H620"/>
  <c r="H621"/>
  <c r="H623"/>
  <c r="H625"/>
  <c r="H627"/>
  <c r="H629"/>
  <c r="H630"/>
  <c r="H632"/>
  <c r="H634"/>
  <c r="H636"/>
  <c r="H638"/>
  <c r="H640"/>
  <c r="H642"/>
  <c r="H644"/>
  <c r="H646"/>
  <c r="H648"/>
  <c r="H650"/>
  <c r="H652"/>
  <c r="H654"/>
  <c r="H656"/>
  <c r="H657"/>
  <c r="H659"/>
  <c r="H661"/>
  <c r="H663"/>
  <c r="H665"/>
  <c r="H667"/>
  <c r="H669"/>
  <c r="H671"/>
  <c r="H673"/>
  <c r="H674"/>
  <c r="H676"/>
  <c r="H259"/>
  <c r="H260"/>
  <c r="H261"/>
  <c r="H262"/>
  <c r="H263"/>
  <c r="H264"/>
  <c r="H265"/>
  <c r="H266"/>
  <c r="H267"/>
  <c r="H268"/>
  <c r="H269"/>
  <c r="H270"/>
  <c r="H271"/>
  <c r="H272"/>
  <c r="H273"/>
  <c r="H274"/>
  <c r="H275"/>
  <c r="H276"/>
  <c r="H277"/>
  <c r="H278"/>
  <c r="H279"/>
  <c r="H280"/>
  <c r="H281"/>
  <c r="H282"/>
  <c r="H283"/>
  <c r="H284"/>
  <c r="H285"/>
  <c r="H286"/>
  <c r="H287"/>
  <c r="H288"/>
  <c r="H289"/>
  <c r="H290"/>
  <c r="H291"/>
  <c r="H292"/>
  <c r="H293"/>
  <c r="H294"/>
  <c r="H295"/>
  <c r="H296"/>
  <c r="H297"/>
  <c r="H298"/>
  <c r="H299"/>
  <c r="H300"/>
  <c r="H301"/>
  <c r="H302"/>
  <c r="H303"/>
  <c r="H304"/>
  <c r="H305"/>
  <c r="H306"/>
  <c r="H307"/>
  <c r="H308"/>
  <c r="H309"/>
  <c r="H310"/>
  <c r="H311"/>
  <c r="H312"/>
  <c r="H313"/>
  <c r="H314"/>
  <c r="H315"/>
  <c r="H316"/>
  <c r="H317"/>
  <c r="H318"/>
  <c r="H319"/>
  <c r="H320"/>
  <c r="H321"/>
  <c r="H322"/>
  <c r="H323"/>
  <c r="H324"/>
  <c r="H325"/>
  <c r="H326"/>
  <c r="H327"/>
  <c r="H328"/>
  <c r="H329"/>
  <c r="H330"/>
  <c r="H331"/>
  <c r="H332"/>
  <c r="H333"/>
  <c r="H334"/>
  <c r="H335"/>
  <c r="H336"/>
  <c r="H337"/>
  <c r="H338"/>
  <c r="H339"/>
  <c r="H340"/>
  <c r="H341"/>
  <c r="H342"/>
  <c r="H343"/>
  <c r="H344"/>
  <c r="H345"/>
  <c r="H346"/>
  <c r="H347"/>
  <c r="H348"/>
  <c r="H349"/>
  <c r="H350"/>
  <c r="H351"/>
  <c r="H352"/>
  <c r="H353"/>
  <c r="H354"/>
  <c r="H355"/>
  <c r="H356"/>
  <c r="H357"/>
  <c r="H358"/>
  <c r="H359"/>
  <c r="H360"/>
  <c r="H361"/>
  <c r="H362"/>
  <c r="H363"/>
  <c r="H364"/>
  <c r="H365"/>
  <c r="H366"/>
  <c r="H367"/>
  <c r="H368"/>
  <c r="H369"/>
  <c r="H370"/>
  <c r="H371"/>
  <c r="H372"/>
  <c r="H373"/>
  <c r="H374"/>
  <c r="H375"/>
  <c r="H376"/>
  <c r="H377"/>
  <c r="H378"/>
  <c r="H379"/>
  <c r="H380"/>
  <c r="H381"/>
  <c r="H382"/>
  <c r="H383"/>
  <c r="H384"/>
  <c r="H385"/>
  <c r="H386"/>
  <c r="H387"/>
  <c r="H388"/>
  <c r="H389"/>
  <c r="H390"/>
  <c r="H391"/>
  <c r="H392"/>
  <c r="H393"/>
  <c r="H394"/>
  <c r="H395"/>
  <c r="H396"/>
  <c r="H397"/>
  <c r="H398"/>
  <c r="H399"/>
  <c r="H400"/>
  <c r="H401"/>
  <c r="H402"/>
  <c r="H403"/>
  <c r="H404"/>
  <c r="H405"/>
  <c r="H406"/>
  <c r="H407"/>
  <c r="H408"/>
  <c r="H409"/>
  <c r="H410"/>
  <c r="H411"/>
  <c r="H412"/>
  <c r="H413"/>
  <c r="H414"/>
  <c r="H415"/>
  <c r="H416"/>
  <c r="H417"/>
  <c r="H418"/>
  <c r="H419"/>
  <c r="H420"/>
  <c r="H421"/>
  <c r="H422"/>
  <c r="H423"/>
  <c r="H424"/>
  <c r="H425"/>
  <c r="H426"/>
  <c r="H427"/>
  <c r="H428"/>
  <c r="H429"/>
  <c r="H430"/>
  <c r="H431"/>
  <c r="H432"/>
  <c r="H433"/>
  <c r="H434"/>
  <c r="H435"/>
  <c r="H436"/>
  <c r="H437"/>
  <c r="H438"/>
  <c r="H439"/>
  <c r="H440"/>
  <c r="H441"/>
  <c r="H442"/>
  <c r="H443"/>
  <c r="H444"/>
  <c r="H445"/>
  <c r="H446"/>
  <c r="H447"/>
  <c r="H448"/>
  <c r="H449"/>
  <c r="H450"/>
  <c r="H451"/>
  <c r="H452"/>
  <c r="H453"/>
  <c r="H454"/>
  <c r="H455"/>
  <c r="H456"/>
  <c r="H457"/>
  <c r="H458"/>
  <c r="H459"/>
  <c r="H460"/>
  <c r="H461"/>
  <c r="H462"/>
  <c r="H463"/>
  <c r="H464"/>
  <c r="H465"/>
  <c r="H466"/>
  <c r="H467"/>
  <c r="H468"/>
  <c r="H469"/>
  <c r="H470"/>
  <c r="H471"/>
  <c r="H472"/>
  <c r="H473"/>
  <c r="H474"/>
  <c r="H475"/>
  <c r="H476"/>
  <c r="H478"/>
  <c r="H480"/>
  <c r="H482"/>
  <c r="H484"/>
  <c r="H487"/>
  <c r="H489"/>
  <c r="H492"/>
  <c r="H495"/>
  <c r="H497"/>
  <c r="H500"/>
  <c r="H502"/>
  <c r="H504"/>
  <c r="H507"/>
  <c r="H509"/>
  <c r="H511"/>
  <c r="H513"/>
  <c r="H515"/>
  <c r="H517"/>
  <c r="H520"/>
  <c r="H521"/>
  <c r="H523"/>
  <c r="H525"/>
  <c r="H527"/>
  <c r="H529"/>
  <c r="H531"/>
  <c r="H533"/>
  <c r="H535"/>
  <c r="H537"/>
  <c r="H539"/>
  <c r="H541"/>
  <c r="H543"/>
  <c r="H545"/>
  <c r="H547"/>
  <c r="H549"/>
  <c r="H551"/>
  <c r="H553"/>
  <c r="H555"/>
  <c r="H557"/>
  <c r="H559"/>
  <c r="H561"/>
  <c r="H563"/>
  <c r="H566"/>
  <c r="H569"/>
  <c r="H571"/>
  <c r="H573"/>
  <c r="H575"/>
  <c r="H577"/>
  <c r="H579"/>
  <c r="H581"/>
  <c r="H583"/>
  <c r="H585"/>
  <c r="H587"/>
  <c r="H589"/>
  <c r="H591"/>
  <c r="H593"/>
  <c r="H596"/>
  <c r="H598"/>
  <c r="H600"/>
  <c r="H602"/>
  <c r="H604"/>
  <c r="H606"/>
  <c r="H608"/>
  <c r="H611"/>
  <c r="H614"/>
  <c r="H617"/>
  <c r="H619"/>
  <c r="H622"/>
  <c r="H624"/>
  <c r="H626"/>
  <c r="H628"/>
  <c r="H631"/>
  <c r="H633"/>
  <c r="H635"/>
  <c r="H637"/>
  <c r="H639"/>
  <c r="H641"/>
  <c r="H643"/>
  <c r="H645"/>
  <c r="H647"/>
  <c r="H649"/>
  <c r="H651"/>
  <c r="H653"/>
  <c r="H655"/>
  <c r="H658"/>
  <c r="H660"/>
  <c r="H662"/>
  <c r="H664"/>
  <c r="H666"/>
  <c r="H668"/>
  <c r="H670"/>
  <c r="H672"/>
  <c r="H675"/>
  <c r="H677"/>
  <c r="J4"/>
  <c r="J6"/>
  <c r="J8"/>
  <c r="J10"/>
  <c r="J12"/>
  <c r="J14"/>
  <c r="J16"/>
  <c r="J18"/>
  <c r="J20"/>
  <c r="J22"/>
  <c r="J24"/>
  <c r="J26"/>
  <c r="J28"/>
  <c r="J30"/>
  <c r="J32"/>
  <c r="J34"/>
  <c r="J36"/>
  <c r="J38"/>
  <c r="J40"/>
  <c r="J42"/>
  <c r="J44"/>
  <c r="J46"/>
  <c r="J48"/>
  <c r="J50"/>
  <c r="J52"/>
  <c r="J54"/>
  <c r="J56"/>
  <c r="J58"/>
  <c r="J60"/>
  <c r="J62"/>
  <c r="J64"/>
  <c r="J66"/>
  <c r="J68"/>
  <c r="J70"/>
  <c r="J72"/>
  <c r="J74"/>
  <c r="J76"/>
  <c r="J78"/>
  <c r="J80"/>
  <c r="J82"/>
  <c r="J84"/>
  <c r="J86"/>
  <c r="J88"/>
  <c r="J90"/>
  <c r="J92"/>
  <c r="J94"/>
  <c r="J96"/>
  <c r="J98"/>
  <c r="J100"/>
  <c r="J102"/>
  <c r="J104"/>
  <c r="J106"/>
  <c r="J108"/>
  <c r="J110"/>
  <c r="J112"/>
  <c r="J114"/>
  <c r="J116"/>
  <c r="J118"/>
  <c r="J120"/>
  <c r="J122"/>
  <c r="J124"/>
  <c r="J126"/>
  <c r="J128"/>
  <c r="J130"/>
  <c r="J132"/>
  <c r="J134"/>
  <c r="J136"/>
  <c r="J138"/>
  <c r="J140"/>
  <c r="J142"/>
  <c r="J144"/>
  <c r="J146"/>
  <c r="J148"/>
  <c r="J150"/>
  <c r="J152"/>
  <c r="J154"/>
  <c r="J156"/>
  <c r="J158"/>
  <c r="J160"/>
  <c r="J162"/>
  <c r="J164"/>
  <c r="J166"/>
  <c r="J168"/>
  <c r="J170"/>
  <c r="J172"/>
  <c r="J174"/>
  <c r="J176"/>
  <c r="J178"/>
  <c r="J180"/>
  <c r="J182"/>
  <c r="J184"/>
  <c r="J186"/>
  <c r="J188"/>
  <c r="J190"/>
  <c r="J192"/>
  <c r="J194"/>
  <c r="J196"/>
  <c r="J198"/>
  <c r="J200"/>
  <c r="J202"/>
  <c r="J204"/>
  <c r="J206"/>
  <c r="J208"/>
  <c r="J210"/>
  <c r="J212"/>
  <c r="J214"/>
  <c r="J216"/>
  <c r="J218"/>
  <c r="J220"/>
  <c r="J222"/>
  <c r="J224"/>
  <c r="J226"/>
  <c r="J228"/>
  <c r="J230"/>
  <c r="J232"/>
  <c r="J234"/>
  <c r="J236"/>
  <c r="J238"/>
  <c r="J240"/>
  <c r="J242"/>
  <c r="J244"/>
  <c r="J246"/>
  <c r="J248"/>
  <c r="J250"/>
  <c r="J252"/>
  <c r="J254"/>
  <c r="J256"/>
  <c r="J258"/>
  <c r="J260"/>
  <c r="J262"/>
  <c r="J264"/>
  <c r="J266"/>
  <c r="J268"/>
  <c r="J270"/>
  <c r="J272"/>
  <c r="J274"/>
  <c r="J276"/>
  <c r="J278"/>
  <c r="J280"/>
  <c r="J282"/>
  <c r="J284"/>
  <c r="J286"/>
  <c r="J288"/>
  <c r="J290"/>
  <c r="J292"/>
  <c r="J294"/>
  <c r="J296"/>
  <c r="J298"/>
  <c r="J300"/>
  <c r="J302"/>
  <c r="J304"/>
  <c r="J306"/>
  <c r="J308"/>
  <c r="J310"/>
  <c r="J312"/>
  <c r="J314"/>
  <c r="J316"/>
  <c r="J318"/>
  <c r="J320"/>
  <c r="J322"/>
  <c r="J324"/>
  <c r="J326"/>
  <c r="J328"/>
  <c r="J330"/>
  <c r="J332"/>
  <c r="J334"/>
  <c r="J336"/>
  <c r="J338"/>
  <c r="J340"/>
  <c r="J342"/>
  <c r="J344"/>
  <c r="J346"/>
  <c r="J348"/>
  <c r="J350"/>
  <c r="J352"/>
  <c r="J354"/>
  <c r="J356"/>
  <c r="J358"/>
  <c r="J360"/>
  <c r="J362"/>
  <c r="J364"/>
  <c r="J366"/>
  <c r="J368"/>
  <c r="J370"/>
  <c r="J372"/>
  <c r="J374"/>
  <c r="J376"/>
  <c r="J378"/>
  <c r="J380"/>
  <c r="J382"/>
  <c r="J384"/>
  <c r="J386"/>
  <c r="J388"/>
  <c r="J390"/>
  <c r="J392"/>
  <c r="J394"/>
  <c r="J396"/>
  <c r="J398"/>
  <c r="J400"/>
  <c r="J402"/>
  <c r="J404"/>
  <c r="J406"/>
  <c r="J408"/>
  <c r="J410"/>
  <c r="J412"/>
  <c r="J414"/>
  <c r="J416"/>
  <c r="J418"/>
  <c r="J420"/>
  <c r="J422"/>
  <c r="J424"/>
  <c r="J426"/>
  <c r="J428"/>
  <c r="J430"/>
  <c r="J432"/>
  <c r="J434"/>
  <c r="J436"/>
  <c r="J438"/>
  <c r="J440"/>
  <c r="J442"/>
  <c r="J444"/>
  <c r="J446"/>
  <c r="J448"/>
  <c r="J450"/>
  <c r="J452"/>
  <c r="J454"/>
  <c r="J456"/>
  <c r="J458"/>
  <c r="J460"/>
  <c r="J462"/>
  <c r="J464"/>
  <c r="J466"/>
  <c r="J468"/>
  <c r="J470"/>
  <c r="J472"/>
  <c r="J474"/>
  <c r="J476"/>
  <c r="J478"/>
  <c r="J480"/>
  <c r="J482"/>
  <c r="J484"/>
  <c r="J486"/>
  <c r="J488"/>
  <c r="J490"/>
  <c r="J492"/>
  <c r="J494"/>
  <c r="J496"/>
  <c r="J498"/>
  <c r="J500"/>
  <c r="J502"/>
  <c r="J504"/>
  <c r="J506"/>
  <c r="J508"/>
  <c r="J510"/>
  <c r="J512"/>
  <c r="J514"/>
  <c r="J3"/>
  <c r="J5"/>
  <c r="J7"/>
  <c r="J9"/>
  <c r="J11"/>
  <c r="J13"/>
  <c r="J15"/>
  <c r="J17"/>
  <c r="J19"/>
  <c r="J21"/>
  <c r="J23"/>
  <c r="J25"/>
  <c r="J27"/>
  <c r="J29"/>
  <c r="J31"/>
  <c r="J33"/>
  <c r="J35"/>
  <c r="J37"/>
  <c r="J39"/>
  <c r="J41"/>
  <c r="J43"/>
  <c r="J45"/>
  <c r="J47"/>
  <c r="J49"/>
  <c r="J51"/>
  <c r="J53"/>
  <c r="J55"/>
  <c r="J57"/>
  <c r="J59"/>
  <c r="J61"/>
  <c r="J63"/>
  <c r="J65"/>
  <c r="J67"/>
  <c r="J69"/>
  <c r="J71"/>
  <c r="J73"/>
  <c r="J75"/>
  <c r="J77"/>
  <c r="J79"/>
  <c r="J81"/>
  <c r="J83"/>
  <c r="J85"/>
  <c r="J87"/>
  <c r="J89"/>
  <c r="J91"/>
  <c r="J93"/>
  <c r="J95"/>
  <c r="J97"/>
  <c r="J99"/>
  <c r="J101"/>
  <c r="J103"/>
  <c r="J105"/>
  <c r="J107"/>
  <c r="J109"/>
  <c r="J111"/>
  <c r="J113"/>
  <c r="J115"/>
  <c r="J117"/>
  <c r="J119"/>
  <c r="J121"/>
  <c r="J123"/>
  <c r="J125"/>
  <c r="J127"/>
  <c r="J129"/>
  <c r="J131"/>
  <c r="J133"/>
  <c r="J135"/>
  <c r="J137"/>
  <c r="J139"/>
  <c r="J141"/>
  <c r="J143"/>
  <c r="J145"/>
  <c r="J147"/>
  <c r="J149"/>
  <c r="J151"/>
  <c r="J153"/>
  <c r="J155"/>
  <c r="J157"/>
  <c r="J159"/>
  <c r="J161"/>
  <c r="J163"/>
  <c r="J165"/>
  <c r="J167"/>
  <c r="J169"/>
  <c r="J171"/>
  <c r="J173"/>
  <c r="J175"/>
  <c r="J177"/>
  <c r="J179"/>
  <c r="J181"/>
  <c r="J183"/>
  <c r="J185"/>
  <c r="J187"/>
  <c r="J189"/>
  <c r="J191"/>
  <c r="J193"/>
  <c r="J195"/>
  <c r="J197"/>
  <c r="J199"/>
  <c r="J201"/>
  <c r="J203"/>
  <c r="J205"/>
  <c r="J207"/>
  <c r="J209"/>
  <c r="J211"/>
  <c r="J213"/>
  <c r="J215"/>
  <c r="J217"/>
  <c r="J219"/>
  <c r="J221"/>
  <c r="J223"/>
  <c r="J225"/>
  <c r="J227"/>
  <c r="J229"/>
  <c r="J231"/>
  <c r="J233"/>
  <c r="J235"/>
  <c r="J237"/>
  <c r="J239"/>
  <c r="J241"/>
  <c r="J243"/>
  <c r="J245"/>
  <c r="J247"/>
  <c r="J249"/>
  <c r="J251"/>
  <c r="J253"/>
  <c r="J255"/>
  <c r="J257"/>
  <c r="J259"/>
  <c r="J261"/>
  <c r="J263"/>
  <c r="J265"/>
  <c r="J267"/>
  <c r="J269"/>
  <c r="J271"/>
  <c r="J273"/>
  <c r="J275"/>
  <c r="J277"/>
  <c r="J279"/>
  <c r="J281"/>
  <c r="J283"/>
  <c r="J285"/>
  <c r="J287"/>
  <c r="J289"/>
  <c r="J291"/>
  <c r="J293"/>
  <c r="J295"/>
  <c r="J297"/>
  <c r="J299"/>
  <c r="J301"/>
  <c r="J303"/>
  <c r="J305"/>
  <c r="J307"/>
  <c r="J309"/>
  <c r="J311"/>
  <c r="J313"/>
  <c r="J315"/>
  <c r="J317"/>
  <c r="J319"/>
  <c r="J321"/>
  <c r="J323"/>
  <c r="J325"/>
  <c r="J327"/>
  <c r="J329"/>
  <c r="J331"/>
  <c r="J333"/>
  <c r="J335"/>
  <c r="J337"/>
  <c r="J339"/>
  <c r="J341"/>
  <c r="J343"/>
  <c r="J345"/>
  <c r="J347"/>
  <c r="J349"/>
  <c r="J351"/>
  <c r="J353"/>
  <c r="J355"/>
  <c r="J357"/>
  <c r="J359"/>
  <c r="J361"/>
  <c r="J363"/>
  <c r="J365"/>
  <c r="J367"/>
  <c r="J369"/>
  <c r="J371"/>
  <c r="J373"/>
  <c r="J375"/>
  <c r="J377"/>
  <c r="J379"/>
  <c r="J381"/>
  <c r="J383"/>
  <c r="J385"/>
  <c r="J387"/>
  <c r="J389"/>
  <c r="J391"/>
  <c r="J393"/>
  <c r="J395"/>
  <c r="J397"/>
  <c r="J399"/>
  <c r="J401"/>
  <c r="J403"/>
  <c r="J405"/>
  <c r="J407"/>
  <c r="J409"/>
  <c r="J411"/>
  <c r="J413"/>
  <c r="J415"/>
  <c r="J417"/>
  <c r="J419"/>
  <c r="J421"/>
  <c r="J423"/>
  <c r="J425"/>
  <c r="J427"/>
  <c r="J429"/>
  <c r="J431"/>
  <c r="J433"/>
  <c r="J435"/>
  <c r="J437"/>
  <c r="J439"/>
  <c r="J441"/>
  <c r="J443"/>
  <c r="J445"/>
  <c r="J447"/>
  <c r="J449"/>
  <c r="J451"/>
  <c r="J453"/>
  <c r="J455"/>
  <c r="J457"/>
  <c r="J459"/>
  <c r="J461"/>
  <c r="J463"/>
  <c r="J465"/>
  <c r="J467"/>
  <c r="J469"/>
  <c r="J471"/>
  <c r="J473"/>
  <c r="J475"/>
  <c r="J477"/>
  <c r="J479"/>
  <c r="J481"/>
  <c r="J483"/>
  <c r="J485"/>
  <c r="J487"/>
  <c r="J489"/>
  <c r="J491"/>
  <c r="J493"/>
  <c r="J495"/>
  <c r="J497"/>
  <c r="J499"/>
  <c r="J501"/>
  <c r="J503"/>
  <c r="J505"/>
  <c r="J507"/>
  <c r="J509"/>
  <c r="J511"/>
  <c r="J513"/>
  <c r="J516"/>
  <c r="J518"/>
  <c r="J520"/>
  <c r="J522"/>
  <c r="J524"/>
  <c r="J526"/>
  <c r="J528"/>
  <c r="J530"/>
  <c r="J532"/>
  <c r="J534"/>
  <c r="J536"/>
  <c r="J538"/>
  <c r="J540"/>
  <c r="J542"/>
  <c r="J544"/>
  <c r="J546"/>
  <c r="J548"/>
  <c r="J550"/>
  <c r="J552"/>
  <c r="J554"/>
  <c r="J556"/>
  <c r="J558"/>
  <c r="J560"/>
  <c r="J562"/>
  <c r="J564"/>
  <c r="J566"/>
  <c r="J568"/>
  <c r="J570"/>
  <c r="J572"/>
  <c r="J574"/>
  <c r="J576"/>
  <c r="J578"/>
  <c r="J580"/>
  <c r="J582"/>
  <c r="J584"/>
  <c r="J586"/>
  <c r="J588"/>
  <c r="J590"/>
  <c r="J592"/>
  <c r="J594"/>
  <c r="J596"/>
  <c r="J598"/>
  <c r="J600"/>
  <c r="J602"/>
  <c r="J604"/>
  <c r="J606"/>
  <c r="J608"/>
  <c r="J610"/>
  <c r="J612"/>
  <c r="J614"/>
  <c r="J616"/>
  <c r="J618"/>
  <c r="J620"/>
  <c r="J622"/>
  <c r="J624"/>
  <c r="J626"/>
  <c r="J628"/>
  <c r="J630"/>
  <c r="J632"/>
  <c r="J634"/>
  <c r="J636"/>
  <c r="J638"/>
  <c r="J640"/>
  <c r="J642"/>
  <c r="J644"/>
  <c r="J646"/>
  <c r="J648"/>
  <c r="J650"/>
  <c r="J652"/>
  <c r="J654"/>
  <c r="J656"/>
  <c r="J658"/>
  <c r="J660"/>
  <c r="J662"/>
  <c r="J664"/>
  <c r="J666"/>
  <c r="J668"/>
  <c r="J670"/>
  <c r="J672"/>
  <c r="J674"/>
  <c r="J676"/>
  <c r="J2"/>
  <c r="D3"/>
  <c r="D5"/>
  <c r="D7"/>
  <c r="D9"/>
  <c r="D11"/>
  <c r="D13"/>
  <c r="D15"/>
  <c r="D17"/>
  <c r="D19"/>
  <c r="D21"/>
  <c r="D23"/>
  <c r="D25"/>
  <c r="D27"/>
  <c r="D29"/>
  <c r="D31"/>
  <c r="D33"/>
  <c r="D35"/>
  <c r="D37"/>
  <c r="D39"/>
  <c r="D41"/>
  <c r="D43"/>
  <c r="D45"/>
  <c r="D47"/>
  <c r="D49"/>
  <c r="D51"/>
  <c r="D53"/>
  <c r="D55"/>
  <c r="D57"/>
  <c r="D59"/>
  <c r="D61"/>
  <c r="D63"/>
  <c r="D65"/>
  <c r="D67"/>
  <c r="D69"/>
  <c r="D71"/>
  <c r="D73"/>
  <c r="D75"/>
  <c r="D77"/>
  <c r="D79"/>
  <c r="D81"/>
  <c r="D83"/>
  <c r="D85"/>
  <c r="D87"/>
  <c r="D89"/>
  <c r="D91"/>
  <c r="D93"/>
  <c r="D95"/>
  <c r="D97"/>
  <c r="D99"/>
  <c r="D101"/>
  <c r="D103"/>
  <c r="D105"/>
  <c r="D107"/>
  <c r="D109"/>
  <c r="D111"/>
  <c r="D113"/>
  <c r="D115"/>
  <c r="D117"/>
  <c r="D119"/>
  <c r="D121"/>
  <c r="D123"/>
  <c r="D125"/>
  <c r="D127"/>
  <c r="D129"/>
  <c r="D131"/>
  <c r="D133"/>
  <c r="D135"/>
  <c r="D137"/>
  <c r="D139"/>
  <c r="D141"/>
  <c r="D143"/>
  <c r="D145"/>
  <c r="D147"/>
  <c r="D149"/>
  <c r="D151"/>
  <c r="D153"/>
  <c r="D155"/>
  <c r="D157"/>
  <c r="D159"/>
  <c r="D161"/>
  <c r="D163"/>
  <c r="D165"/>
  <c r="D167"/>
  <c r="D169"/>
  <c r="D171"/>
  <c r="D173"/>
  <c r="D175"/>
  <c r="D177"/>
  <c r="D179"/>
  <c r="D181"/>
  <c r="D183"/>
  <c r="D185"/>
  <c r="D187"/>
  <c r="D189"/>
  <c r="D191"/>
  <c r="D193"/>
  <c r="D195"/>
  <c r="D197"/>
  <c r="D199"/>
  <c r="D201"/>
  <c r="D203"/>
  <c r="D205"/>
  <c r="D207"/>
  <c r="D209"/>
  <c r="D211"/>
  <c r="D213"/>
  <c r="D215"/>
  <c r="D217"/>
  <c r="D219"/>
  <c r="D221"/>
  <c r="D223"/>
  <c r="D225"/>
  <c r="D227"/>
  <c r="D229"/>
  <c r="D231"/>
  <c r="D233"/>
  <c r="D235"/>
  <c r="D237"/>
  <c r="D239"/>
  <c r="D241"/>
  <c r="D243"/>
  <c r="D245"/>
  <c r="D247"/>
  <c r="D249"/>
  <c r="D251"/>
  <c r="D253"/>
  <c r="D255"/>
  <c r="D257"/>
  <c r="D259"/>
  <c r="D261"/>
  <c r="D263"/>
  <c r="D265"/>
  <c r="D267"/>
  <c r="D269"/>
  <c r="D271"/>
  <c r="D273"/>
  <c r="D275"/>
  <c r="D277"/>
  <c r="D279"/>
  <c r="D281"/>
  <c r="D283"/>
  <c r="D285"/>
  <c r="D287"/>
  <c r="D289"/>
  <c r="D291"/>
  <c r="D293"/>
  <c r="D295"/>
  <c r="D297"/>
  <c r="D299"/>
  <c r="D301"/>
  <c r="D303"/>
  <c r="D305"/>
  <c r="D307"/>
  <c r="D309"/>
  <c r="D311"/>
  <c r="D313"/>
  <c r="D315"/>
  <c r="D317"/>
  <c r="D319"/>
  <c r="D321"/>
  <c r="D323"/>
  <c r="D325"/>
  <c r="D327"/>
  <c r="D329"/>
  <c r="D331"/>
  <c r="D333"/>
  <c r="D335"/>
  <c r="D337"/>
  <c r="D339"/>
  <c r="D341"/>
  <c r="D343"/>
  <c r="D345"/>
  <c r="D347"/>
  <c r="D349"/>
  <c r="D351"/>
  <c r="D353"/>
  <c r="D355"/>
  <c r="D357"/>
  <c r="D359"/>
  <c r="D361"/>
  <c r="D363"/>
  <c r="D365"/>
  <c r="D367"/>
  <c r="D369"/>
  <c r="D371"/>
  <c r="D373"/>
  <c r="D375"/>
  <c r="D377"/>
  <c r="D379"/>
  <c r="D381"/>
  <c r="D383"/>
  <c r="D385"/>
  <c r="D387"/>
  <c r="D389"/>
  <c r="D391"/>
  <c r="D393"/>
  <c r="D395"/>
  <c r="D397"/>
  <c r="D399"/>
  <c r="D401"/>
  <c r="D403"/>
  <c r="D405"/>
  <c r="D407"/>
  <c r="D409"/>
  <c r="D411"/>
  <c r="D413"/>
  <c r="D415"/>
  <c r="D417"/>
  <c r="D419"/>
  <c r="D421"/>
  <c r="D423"/>
  <c r="D425"/>
  <c r="D427"/>
  <c r="D429"/>
  <c r="D431"/>
  <c r="D433"/>
  <c r="D435"/>
  <c r="D437"/>
  <c r="D439"/>
  <c r="D441"/>
  <c r="D443"/>
  <c r="D445"/>
  <c r="D447"/>
  <c r="D449"/>
  <c r="D451"/>
  <c r="D453"/>
  <c r="D455"/>
  <c r="D457"/>
  <c r="D459"/>
  <c r="D461"/>
  <c r="D463"/>
  <c r="D465"/>
  <c r="D467"/>
  <c r="D469"/>
  <c r="D471"/>
  <c r="D473"/>
  <c r="D475"/>
  <c r="D477"/>
  <c r="D479"/>
  <c r="D481"/>
  <c r="D483"/>
  <c r="D485"/>
  <c r="D487"/>
  <c r="D489"/>
  <c r="D491"/>
  <c r="D493"/>
  <c r="D495"/>
  <c r="D497"/>
  <c r="D499"/>
  <c r="D501"/>
  <c r="D503"/>
  <c r="D505"/>
  <c r="D507"/>
  <c r="D509"/>
  <c r="D511"/>
  <c r="D513"/>
  <c r="D515"/>
  <c r="D517"/>
  <c r="D519"/>
  <c r="D521"/>
  <c r="D523"/>
  <c r="D525"/>
  <c r="D527"/>
  <c r="D529"/>
  <c r="D531"/>
  <c r="D533"/>
  <c r="D535"/>
  <c r="D537"/>
  <c r="D539"/>
  <c r="D541"/>
  <c r="D543"/>
  <c r="D545"/>
  <c r="D547"/>
  <c r="D549"/>
  <c r="D551"/>
  <c r="D553"/>
  <c r="D555"/>
  <c r="D557"/>
  <c r="D559"/>
  <c r="D561"/>
  <c r="D563"/>
  <c r="D565"/>
  <c r="D567"/>
  <c r="D569"/>
  <c r="D571"/>
  <c r="D573"/>
  <c r="D575"/>
  <c r="D577"/>
  <c r="D579"/>
  <c r="D581"/>
  <c r="D583"/>
  <c r="D585"/>
  <c r="D587"/>
  <c r="D589"/>
  <c r="D591"/>
  <c r="D593"/>
  <c r="D595"/>
  <c r="D597"/>
  <c r="D599"/>
  <c r="D601"/>
  <c r="D603"/>
  <c r="D605"/>
  <c r="D607"/>
  <c r="D609"/>
  <c r="D611"/>
  <c r="D613"/>
  <c r="D615"/>
  <c r="D617"/>
  <c r="D619"/>
  <c r="D621"/>
  <c r="D623"/>
  <c r="D625"/>
  <c r="D627"/>
  <c r="D629"/>
  <c r="D631"/>
  <c r="D633"/>
  <c r="D635"/>
  <c r="D637"/>
  <c r="D639"/>
  <c r="D641"/>
  <c r="D643"/>
  <c r="D645"/>
  <c r="D647"/>
  <c r="D649"/>
  <c r="D651"/>
  <c r="D653"/>
  <c r="D655"/>
  <c r="D657"/>
  <c r="D659"/>
  <c r="D661"/>
  <c r="D663"/>
  <c r="D665"/>
  <c r="D667"/>
  <c r="D669"/>
  <c r="D671"/>
  <c r="D673"/>
  <c r="D675"/>
  <c r="D677"/>
  <c r="J515"/>
  <c r="J517"/>
  <c r="J519"/>
  <c r="J521"/>
  <c r="J523"/>
  <c r="J525"/>
  <c r="J527"/>
  <c r="J529"/>
  <c r="J531"/>
  <c r="J533"/>
  <c r="J535"/>
  <c r="J537"/>
  <c r="J539"/>
  <c r="J541"/>
  <c r="J543"/>
  <c r="J545"/>
  <c r="J547"/>
  <c r="J549"/>
  <c r="J551"/>
  <c r="J553"/>
  <c r="J555"/>
  <c r="J557"/>
  <c r="J559"/>
  <c r="J561"/>
  <c r="J563"/>
  <c r="J565"/>
  <c r="J567"/>
  <c r="J569"/>
  <c r="J571"/>
  <c r="J573"/>
  <c r="J575"/>
  <c r="J577"/>
  <c r="J579"/>
  <c r="J581"/>
  <c r="J583"/>
  <c r="J585"/>
  <c r="J587"/>
  <c r="J589"/>
  <c r="J591"/>
  <c r="J593"/>
  <c r="J595"/>
  <c r="J597"/>
  <c r="J599"/>
  <c r="J601"/>
  <c r="J603"/>
  <c r="J605"/>
  <c r="J607"/>
  <c r="J609"/>
  <c r="J611"/>
  <c r="J613"/>
  <c r="J615"/>
  <c r="J617"/>
  <c r="J619"/>
  <c r="J621"/>
  <c r="J623"/>
  <c r="J625"/>
  <c r="J627"/>
  <c r="J629"/>
  <c r="J631"/>
  <c r="J633"/>
  <c r="J635"/>
  <c r="J637"/>
  <c r="J639"/>
  <c r="J641"/>
  <c r="J643"/>
  <c r="J645"/>
  <c r="J647"/>
  <c r="J649"/>
  <c r="J651"/>
  <c r="J653"/>
  <c r="J655"/>
  <c r="J657"/>
  <c r="J659"/>
  <c r="J661"/>
  <c r="J663"/>
  <c r="J665"/>
  <c r="J667"/>
  <c r="J669"/>
  <c r="J671"/>
  <c r="J673"/>
  <c r="J675"/>
  <c r="J677"/>
  <c r="D2"/>
  <c r="D4"/>
  <c r="D6"/>
  <c r="D8"/>
  <c r="D10"/>
  <c r="D12"/>
  <c r="D14"/>
  <c r="D16"/>
  <c r="D18"/>
  <c r="D20"/>
  <c r="D22"/>
  <c r="D24"/>
  <c r="D26"/>
  <c r="D28"/>
  <c r="D30"/>
  <c r="D32"/>
  <c r="D34"/>
  <c r="D36"/>
  <c r="D38"/>
  <c r="D40"/>
  <c r="D42"/>
  <c r="D44"/>
  <c r="D46"/>
  <c r="D48"/>
  <c r="D50"/>
  <c r="D52"/>
  <c r="D54"/>
  <c r="D56"/>
  <c r="D58"/>
  <c r="D60"/>
  <c r="D62"/>
  <c r="D64"/>
  <c r="D66"/>
  <c r="D68"/>
  <c r="D70"/>
  <c r="D72"/>
  <c r="D74"/>
  <c r="D76"/>
  <c r="D78"/>
  <c r="D80"/>
  <c r="D82"/>
  <c r="D84"/>
  <c r="D86"/>
  <c r="D88"/>
  <c r="D90"/>
  <c r="D92"/>
  <c r="D94"/>
  <c r="D96"/>
  <c r="D98"/>
  <c r="D100"/>
  <c r="D102"/>
  <c r="D104"/>
  <c r="D106"/>
  <c r="D108"/>
  <c r="D110"/>
  <c r="D112"/>
  <c r="D114"/>
  <c r="D116"/>
  <c r="D118"/>
  <c r="D120"/>
  <c r="D122"/>
  <c r="D124"/>
  <c r="D126"/>
  <c r="D128"/>
  <c r="D130"/>
  <c r="D132"/>
  <c r="D134"/>
  <c r="D136"/>
  <c r="D138"/>
  <c r="D140"/>
  <c r="D142"/>
  <c r="D144"/>
  <c r="D146"/>
  <c r="D148"/>
  <c r="D150"/>
  <c r="D152"/>
  <c r="D154"/>
  <c r="D156"/>
  <c r="D158"/>
  <c r="D160"/>
  <c r="D162"/>
  <c r="D164"/>
  <c r="D166"/>
  <c r="D168"/>
  <c r="D170"/>
  <c r="D172"/>
  <c r="D174"/>
  <c r="D176"/>
  <c r="D178"/>
  <c r="D180"/>
  <c r="D182"/>
  <c r="D184"/>
  <c r="D186"/>
  <c r="D188"/>
  <c r="D190"/>
  <c r="D192"/>
  <c r="D194"/>
  <c r="D196"/>
  <c r="D198"/>
  <c r="D200"/>
  <c r="D202"/>
  <c r="D204"/>
  <c r="D206"/>
  <c r="D208"/>
  <c r="D210"/>
  <c r="D212"/>
  <c r="D214"/>
  <c r="D216"/>
  <c r="D218"/>
  <c r="D220"/>
  <c r="D222"/>
  <c r="D224"/>
  <c r="D226"/>
  <c r="D228"/>
  <c r="D230"/>
  <c r="D232"/>
  <c r="D234"/>
  <c r="D236"/>
  <c r="D238"/>
  <c r="D240"/>
  <c r="D242"/>
  <c r="D244"/>
  <c r="D246"/>
  <c r="D248"/>
  <c r="D250"/>
  <c r="D252"/>
  <c r="D254"/>
  <c r="D256"/>
  <c r="D258"/>
  <c r="D260"/>
  <c r="D262"/>
  <c r="D264"/>
  <c r="D266"/>
  <c r="D268"/>
  <c r="D270"/>
  <c r="D272"/>
  <c r="D274"/>
  <c r="D276"/>
  <c r="D278"/>
  <c r="D280"/>
  <c r="D282"/>
  <c r="D284"/>
  <c r="D286"/>
  <c r="D288"/>
  <c r="D290"/>
  <c r="D292"/>
  <c r="D294"/>
  <c r="D296"/>
  <c r="D298"/>
  <c r="D300"/>
  <c r="D302"/>
  <c r="D304"/>
  <c r="D306"/>
  <c r="D308"/>
  <c r="D310"/>
  <c r="D312"/>
  <c r="D314"/>
  <c r="D316"/>
  <c r="D318"/>
  <c r="D320"/>
  <c r="D322"/>
  <c r="D324"/>
  <c r="D326"/>
  <c r="D328"/>
  <c r="D330"/>
  <c r="D332"/>
  <c r="D334"/>
  <c r="D336"/>
  <c r="D338"/>
  <c r="D340"/>
  <c r="D342"/>
  <c r="D344"/>
  <c r="D346"/>
  <c r="D348"/>
  <c r="D350"/>
  <c r="D352"/>
  <c r="D354"/>
  <c r="D356"/>
  <c r="D358"/>
  <c r="D360"/>
  <c r="D362"/>
  <c r="D364"/>
  <c r="D366"/>
  <c r="D368"/>
  <c r="D370"/>
  <c r="D372"/>
  <c r="D374"/>
  <c r="D376"/>
  <c r="D378"/>
  <c r="D380"/>
  <c r="D382"/>
  <c r="D384"/>
  <c r="D386"/>
  <c r="D388"/>
  <c r="D390"/>
  <c r="D392"/>
  <c r="D394"/>
  <c r="D396"/>
  <c r="D398"/>
  <c r="D400"/>
  <c r="D402"/>
  <c r="D404"/>
  <c r="D406"/>
  <c r="D408"/>
  <c r="D410"/>
  <c r="D412"/>
  <c r="D414"/>
  <c r="D416"/>
  <c r="D418"/>
  <c r="D420"/>
  <c r="D422"/>
  <c r="D424"/>
  <c r="D426"/>
  <c r="D428"/>
  <c r="D430"/>
  <c r="D432"/>
  <c r="D434"/>
  <c r="D436"/>
  <c r="D438"/>
  <c r="D440"/>
  <c r="D442"/>
  <c r="D444"/>
  <c r="D446"/>
  <c r="D448"/>
  <c r="D450"/>
  <c r="D452"/>
  <c r="D454"/>
  <c r="D456"/>
  <c r="D458"/>
  <c r="D460"/>
  <c r="D462"/>
  <c r="D464"/>
  <c r="D466"/>
  <c r="D468"/>
  <c r="D470"/>
  <c r="D472"/>
  <c r="D474"/>
  <c r="D476"/>
  <c r="D478"/>
  <c r="D480"/>
  <c r="D482"/>
  <c r="D484"/>
  <c r="D486"/>
  <c r="D488"/>
  <c r="D490"/>
  <c r="D492"/>
  <c r="D494"/>
  <c r="D496"/>
  <c r="D498"/>
  <c r="D500"/>
  <c r="D502"/>
  <c r="D504"/>
  <c r="D506"/>
  <c r="D508"/>
  <c r="D510"/>
  <c r="D512"/>
  <c r="D514"/>
  <c r="D516"/>
  <c r="D518"/>
  <c r="D520"/>
  <c r="D522"/>
  <c r="D524"/>
  <c r="D526"/>
  <c r="D528"/>
  <c r="D530"/>
  <c r="D532"/>
  <c r="D534"/>
  <c r="D536"/>
  <c r="D538"/>
  <c r="D540"/>
  <c r="D542"/>
  <c r="D544"/>
  <c r="D546"/>
  <c r="D548"/>
  <c r="D550"/>
  <c r="D552"/>
  <c r="D554"/>
  <c r="D556"/>
  <c r="D558"/>
  <c r="D560"/>
  <c r="D562"/>
  <c r="D564"/>
  <c r="D566"/>
  <c r="D568"/>
  <c r="D570"/>
  <c r="D572"/>
  <c r="D574"/>
  <c r="D576"/>
  <c r="D578"/>
  <c r="D580"/>
  <c r="D582"/>
  <c r="D584"/>
  <c r="D586"/>
  <c r="D588"/>
  <c r="D590"/>
  <c r="D592"/>
  <c r="D594"/>
  <c r="D596"/>
  <c r="D598"/>
  <c r="D600"/>
  <c r="D602"/>
  <c r="D604"/>
  <c r="D606"/>
  <c r="D608"/>
  <c r="D610"/>
  <c r="D612"/>
  <c r="D614"/>
  <c r="D616"/>
  <c r="D618"/>
  <c r="D620"/>
  <c r="D622"/>
  <c r="D624"/>
  <c r="D626"/>
  <c r="D628"/>
  <c r="D630"/>
  <c r="D632"/>
  <c r="D634"/>
  <c r="D636"/>
  <c r="D638"/>
  <c r="D640"/>
  <c r="D642"/>
  <c r="D644"/>
  <c r="D646"/>
  <c r="D648"/>
  <c r="D650"/>
  <c r="D652"/>
  <c r="D654"/>
  <c r="D656"/>
  <c r="D658"/>
  <c r="D660"/>
  <c r="D662"/>
  <c r="D664"/>
  <c r="D666"/>
  <c r="D668"/>
  <c r="D670"/>
  <c r="D672"/>
  <c r="D674"/>
  <c r="D676"/>
  <c r="G40" i="2"/>
  <c r="K525" i="4" s="1"/>
  <c r="D9" i="2"/>
  <c r="K40"/>
  <c r="K9"/>
  <c r="H39"/>
  <c r="H40"/>
  <c r="H9"/>
  <c r="E9"/>
  <c r="F9"/>
  <c r="J2" i="4"/>
  <c r="E39" i="2"/>
  <c r="I154" i="4" s="1"/>
  <c r="B40" i="2"/>
  <c r="C9"/>
  <c r="C39"/>
  <c r="C40"/>
  <c r="B9"/>
  <c r="E2" i="4"/>
  <c r="I100" l="1"/>
  <c r="I101"/>
  <c r="G48"/>
  <c r="I102"/>
  <c r="I103"/>
  <c r="I104"/>
  <c r="H174"/>
  <c r="I105"/>
  <c r="H175"/>
  <c r="I106"/>
  <c r="I107"/>
  <c r="G49"/>
  <c r="I108"/>
  <c r="I109"/>
  <c r="I110"/>
  <c r="I111"/>
  <c r="G50"/>
  <c r="I112"/>
  <c r="H176"/>
  <c r="G51"/>
  <c r="I113"/>
  <c r="I114"/>
  <c r="H177"/>
  <c r="G52"/>
  <c r="I115"/>
  <c r="I116"/>
  <c r="H178"/>
  <c r="G53"/>
  <c r="H179"/>
  <c r="I117"/>
  <c r="G54"/>
  <c r="I118"/>
  <c r="I119"/>
  <c r="G55"/>
  <c r="H180"/>
  <c r="I120"/>
  <c r="H181"/>
  <c r="G56"/>
  <c r="I121"/>
  <c r="I122"/>
  <c r="I123"/>
  <c r="H182"/>
  <c r="G57"/>
  <c r="I124"/>
  <c r="G58"/>
  <c r="I125"/>
  <c r="H183"/>
  <c r="G59"/>
  <c r="I126"/>
  <c r="G60"/>
  <c r="I127"/>
  <c r="H184"/>
  <c r="G61"/>
  <c r="I128"/>
  <c r="I129"/>
  <c r="I131"/>
  <c r="H185"/>
  <c r="I130"/>
  <c r="H186"/>
  <c r="H187"/>
  <c r="G63"/>
  <c r="I132"/>
  <c r="I135"/>
  <c r="G62"/>
  <c r="H189"/>
  <c r="G64"/>
  <c r="I133"/>
  <c r="I134"/>
  <c r="H190"/>
  <c r="H188"/>
  <c r="I137"/>
  <c r="I136"/>
  <c r="H191"/>
  <c r="I138"/>
  <c r="H192"/>
  <c r="G66"/>
  <c r="I139"/>
  <c r="G65"/>
  <c r="H193"/>
  <c r="I140"/>
  <c r="H194"/>
  <c r="I141"/>
  <c r="I142"/>
  <c r="I143"/>
  <c r="H197"/>
  <c r="H195"/>
  <c r="G68"/>
  <c r="I144"/>
  <c r="G67"/>
  <c r="H196"/>
  <c r="I145"/>
  <c r="I146"/>
  <c r="H198"/>
  <c r="G69"/>
  <c r="I147"/>
  <c r="H201"/>
  <c r="H199"/>
  <c r="I149"/>
  <c r="I148"/>
  <c r="H200"/>
  <c r="I150"/>
  <c r="H203"/>
  <c r="I151"/>
  <c r="H202"/>
  <c r="H204"/>
  <c r="H205"/>
  <c r="H206"/>
  <c r="H207"/>
  <c r="H208"/>
  <c r="H209"/>
  <c r="H210"/>
  <c r="H213"/>
  <c r="H211"/>
  <c r="H212"/>
  <c r="H214"/>
  <c r="H215"/>
  <c r="H217"/>
  <c r="H216"/>
  <c r="H219"/>
  <c r="H218"/>
  <c r="H220"/>
  <c r="H221"/>
  <c r="H223"/>
  <c r="H222"/>
  <c r="H225"/>
  <c r="H224"/>
  <c r="H229"/>
  <c r="H227"/>
  <c r="H230"/>
  <c r="H228"/>
  <c r="H226"/>
  <c r="H233"/>
  <c r="H231"/>
  <c r="H232"/>
  <c r="H234"/>
  <c r="H235"/>
  <c r="H236"/>
  <c r="G72"/>
  <c r="G70"/>
  <c r="G71"/>
  <c r="K514"/>
  <c r="K513"/>
  <c r="K516"/>
  <c r="K515"/>
  <c r="K517"/>
  <c r="G74"/>
  <c r="G73"/>
  <c r="K518"/>
  <c r="K519"/>
  <c r="G75"/>
  <c r="K520"/>
  <c r="K521"/>
  <c r="G76"/>
  <c r="C12"/>
  <c r="D12" s="1"/>
  <c r="C8"/>
  <c r="D8" s="1"/>
  <c r="C4"/>
  <c r="D4" s="1"/>
  <c r="H237"/>
  <c r="H238"/>
  <c r="C11"/>
  <c r="D11" s="1"/>
  <c r="C7"/>
  <c r="D7" s="1"/>
  <c r="C3"/>
  <c r="D3" s="1"/>
  <c r="C13"/>
  <c r="D13" s="1"/>
  <c r="C9"/>
  <c r="D9" s="1"/>
  <c r="C5"/>
  <c r="D5" s="1"/>
  <c r="G77"/>
  <c r="C10"/>
  <c r="D10" s="1"/>
  <c r="C6"/>
  <c r="D6" s="1"/>
  <c r="I249"/>
  <c r="I245"/>
  <c r="I241"/>
  <c r="I237"/>
  <c r="I233"/>
  <c r="I229"/>
  <c r="I225"/>
  <c r="I221"/>
  <c r="I217"/>
  <c r="I213"/>
  <c r="I209"/>
  <c r="I205"/>
  <c r="I201"/>
  <c r="I197"/>
  <c r="I193"/>
  <c r="I189"/>
  <c r="I185"/>
  <c r="I181"/>
  <c r="I177"/>
  <c r="I173"/>
  <c r="I169"/>
  <c r="I165"/>
  <c r="I161"/>
  <c r="I157"/>
  <c r="I153"/>
  <c r="I248"/>
  <c r="I244"/>
  <c r="I240"/>
  <c r="I236"/>
  <c r="I232"/>
  <c r="I228"/>
  <c r="I224"/>
  <c r="I220"/>
  <c r="I216"/>
  <c r="I212"/>
  <c r="I208"/>
  <c r="I204"/>
  <c r="I200"/>
  <c r="I196"/>
  <c r="I192"/>
  <c r="I188"/>
  <c r="I184"/>
  <c r="I180"/>
  <c r="I176"/>
  <c r="I172"/>
  <c r="I168"/>
  <c r="I164"/>
  <c r="I160"/>
  <c r="I156"/>
  <c r="I152"/>
  <c r="G116"/>
  <c r="G112"/>
  <c r="G108"/>
  <c r="G104"/>
  <c r="G100"/>
  <c r="G96"/>
  <c r="G92"/>
  <c r="G88"/>
  <c r="G84"/>
  <c r="G80"/>
  <c r="G115"/>
  <c r="G111"/>
  <c r="G107"/>
  <c r="G103"/>
  <c r="G99"/>
  <c r="G95"/>
  <c r="G91"/>
  <c r="G87"/>
  <c r="G83"/>
  <c r="G79"/>
  <c r="H240"/>
  <c r="H241"/>
  <c r="H242"/>
  <c r="H243"/>
  <c r="H244"/>
  <c r="H245"/>
  <c r="H246"/>
  <c r="H247"/>
  <c r="H248"/>
  <c r="H249"/>
  <c r="H250"/>
  <c r="H251"/>
  <c r="H252"/>
  <c r="H253"/>
  <c r="H254"/>
  <c r="H255"/>
  <c r="H256"/>
  <c r="H257"/>
  <c r="H258"/>
  <c r="H259"/>
  <c r="H260"/>
  <c r="H261"/>
  <c r="H262"/>
  <c r="H263"/>
  <c r="H264"/>
  <c r="H265"/>
  <c r="H266"/>
  <c r="H267"/>
  <c r="H268"/>
  <c r="H269"/>
  <c r="H270"/>
  <c r="H271"/>
  <c r="H272"/>
  <c r="H273"/>
  <c r="H274"/>
  <c r="H275"/>
  <c r="H276"/>
  <c r="H277"/>
  <c r="H278"/>
  <c r="H279"/>
  <c r="H280"/>
  <c r="H281"/>
  <c r="H282"/>
  <c r="H283"/>
  <c r="H284"/>
  <c r="H285"/>
  <c r="H286"/>
  <c r="H287"/>
  <c r="H288"/>
  <c r="H289"/>
  <c r="H290"/>
  <c r="H291"/>
  <c r="H292"/>
  <c r="H293"/>
  <c r="H294"/>
  <c r="H295"/>
  <c r="H296"/>
  <c r="H297"/>
  <c r="H298"/>
  <c r="H299"/>
  <c r="H300"/>
  <c r="H301"/>
  <c r="H302"/>
  <c r="H303"/>
  <c r="H304"/>
  <c r="H305"/>
  <c r="H306"/>
  <c r="H307"/>
  <c r="H308"/>
  <c r="H309"/>
  <c r="H310"/>
  <c r="H311"/>
  <c r="H312"/>
  <c r="H313"/>
  <c r="H314"/>
  <c r="H315"/>
  <c r="H316"/>
  <c r="H317"/>
  <c r="H318"/>
  <c r="H319"/>
  <c r="H320"/>
  <c r="H321"/>
  <c r="H322"/>
  <c r="H323"/>
  <c r="H324"/>
  <c r="H325"/>
  <c r="H326"/>
  <c r="H327"/>
  <c r="H328"/>
  <c r="H329"/>
  <c r="H330"/>
  <c r="H331"/>
  <c r="H332"/>
  <c r="H333"/>
  <c r="H334"/>
  <c r="H335"/>
  <c r="H336"/>
  <c r="H337"/>
  <c r="H338"/>
  <c r="H339"/>
  <c r="H340"/>
  <c r="H341"/>
  <c r="H342"/>
  <c r="H343"/>
  <c r="H344"/>
  <c r="H345"/>
  <c r="H346"/>
  <c r="H347"/>
  <c r="H348"/>
  <c r="H349"/>
  <c r="H350"/>
  <c r="H351"/>
  <c r="H352"/>
  <c r="H353"/>
  <c r="H354"/>
  <c r="H355"/>
  <c r="H356"/>
  <c r="H357"/>
  <c r="H358"/>
  <c r="H359"/>
  <c r="H360"/>
  <c r="H361"/>
  <c r="H362"/>
  <c r="H363"/>
  <c r="H364"/>
  <c r="H365"/>
  <c r="H366"/>
  <c r="H367"/>
  <c r="H368"/>
  <c r="H369"/>
  <c r="H370"/>
  <c r="H371"/>
  <c r="H372"/>
  <c r="H373"/>
  <c r="H374"/>
  <c r="H375"/>
  <c r="H376"/>
  <c r="H377"/>
  <c r="H378"/>
  <c r="H379"/>
  <c r="H380"/>
  <c r="H381"/>
  <c r="H382"/>
  <c r="H383"/>
  <c r="H384"/>
  <c r="H385"/>
  <c r="H386"/>
  <c r="H387"/>
  <c r="H388"/>
  <c r="H389"/>
  <c r="H390"/>
  <c r="H391"/>
  <c r="H392"/>
  <c r="H393"/>
  <c r="H394"/>
  <c r="H395"/>
  <c r="H396"/>
  <c r="H397"/>
  <c r="H398"/>
  <c r="H399"/>
  <c r="H400"/>
  <c r="H401"/>
  <c r="H402"/>
  <c r="H403"/>
  <c r="H404"/>
  <c r="H405"/>
  <c r="H406"/>
  <c r="H407"/>
  <c r="H408"/>
  <c r="H409"/>
  <c r="H410"/>
  <c r="H411"/>
  <c r="H412"/>
  <c r="H413"/>
  <c r="H414"/>
  <c r="H415"/>
  <c r="H416"/>
  <c r="H417"/>
  <c r="H418"/>
  <c r="H419"/>
  <c r="H420"/>
  <c r="H421"/>
  <c r="H422"/>
  <c r="H423"/>
  <c r="H424"/>
  <c r="H425"/>
  <c r="H426"/>
  <c r="H427"/>
  <c r="H428"/>
  <c r="H429"/>
  <c r="H430"/>
  <c r="H431"/>
  <c r="H432"/>
  <c r="H433"/>
  <c r="H434"/>
  <c r="H435"/>
  <c r="H436"/>
  <c r="H437"/>
  <c r="H438"/>
  <c r="H439"/>
  <c r="H440"/>
  <c r="H441"/>
  <c r="H442"/>
  <c r="H443"/>
  <c r="H444"/>
  <c r="H445"/>
  <c r="H446"/>
  <c r="H447"/>
  <c r="H448"/>
  <c r="H449"/>
  <c r="H450"/>
  <c r="H451"/>
  <c r="H452"/>
  <c r="H453"/>
  <c r="H454"/>
  <c r="H455"/>
  <c r="H456"/>
  <c r="H457"/>
  <c r="H458"/>
  <c r="H459"/>
  <c r="H460"/>
  <c r="H461"/>
  <c r="H462"/>
  <c r="H463"/>
  <c r="H464"/>
  <c r="H465"/>
  <c r="H466"/>
  <c r="H467"/>
  <c r="H468"/>
  <c r="H469"/>
  <c r="H470"/>
  <c r="H471"/>
  <c r="H472"/>
  <c r="H473"/>
  <c r="H474"/>
  <c r="H475"/>
  <c r="H476"/>
  <c r="H477"/>
  <c r="H478"/>
  <c r="H479"/>
  <c r="H480"/>
  <c r="H481"/>
  <c r="H482"/>
  <c r="H483"/>
  <c r="H484"/>
  <c r="H485"/>
  <c r="H486"/>
  <c r="H487"/>
  <c r="H488"/>
  <c r="H489"/>
  <c r="H490"/>
  <c r="H491"/>
  <c r="H492"/>
  <c r="H493"/>
  <c r="H494"/>
  <c r="H495"/>
  <c r="H496"/>
  <c r="H497"/>
  <c r="H498"/>
  <c r="H499"/>
  <c r="H500"/>
  <c r="H501"/>
  <c r="H502"/>
  <c r="H503"/>
  <c r="H504"/>
  <c r="H505"/>
  <c r="H506"/>
  <c r="H507"/>
  <c r="H508"/>
  <c r="H509"/>
  <c r="H510"/>
  <c r="H511"/>
  <c r="H512"/>
  <c r="H513"/>
  <c r="H514"/>
  <c r="H515"/>
  <c r="H516"/>
  <c r="H517"/>
  <c r="H518"/>
  <c r="H519"/>
  <c r="H520"/>
  <c r="H521"/>
  <c r="H522"/>
  <c r="H523"/>
  <c r="H524"/>
  <c r="H525"/>
  <c r="H526"/>
  <c r="H527"/>
  <c r="H528"/>
  <c r="H529"/>
  <c r="H530"/>
  <c r="H531"/>
  <c r="H532"/>
  <c r="H533"/>
  <c r="H534"/>
  <c r="H535"/>
  <c r="H536"/>
  <c r="H537"/>
  <c r="H538"/>
  <c r="H539"/>
  <c r="H540"/>
  <c r="H541"/>
  <c r="H542"/>
  <c r="I247"/>
  <c r="I243"/>
  <c r="I239"/>
  <c r="I235"/>
  <c r="I231"/>
  <c r="I227"/>
  <c r="I223"/>
  <c r="I219"/>
  <c r="I215"/>
  <c r="I211"/>
  <c r="I207"/>
  <c r="I203"/>
  <c r="I199"/>
  <c r="I195"/>
  <c r="I191"/>
  <c r="I187"/>
  <c r="I183"/>
  <c r="I179"/>
  <c r="I175"/>
  <c r="I171"/>
  <c r="I167"/>
  <c r="I163"/>
  <c r="I159"/>
  <c r="I155"/>
  <c r="I246"/>
  <c r="I242"/>
  <c r="I238"/>
  <c r="I234"/>
  <c r="I230"/>
  <c r="I226"/>
  <c r="I222"/>
  <c r="I218"/>
  <c r="I214"/>
  <c r="I210"/>
  <c r="I206"/>
  <c r="I202"/>
  <c r="I198"/>
  <c r="I194"/>
  <c r="I190"/>
  <c r="I186"/>
  <c r="I182"/>
  <c r="I178"/>
  <c r="I174"/>
  <c r="I170"/>
  <c r="I166"/>
  <c r="I162"/>
  <c r="I158"/>
  <c r="G114"/>
  <c r="G110"/>
  <c r="G106"/>
  <c r="G102"/>
  <c r="G98"/>
  <c r="G94"/>
  <c r="G90"/>
  <c r="G86"/>
  <c r="G82"/>
  <c r="G78"/>
  <c r="G117"/>
  <c r="G113"/>
  <c r="G109"/>
  <c r="G105"/>
  <c r="G101"/>
  <c r="G97"/>
  <c r="G93"/>
  <c r="G89"/>
  <c r="G85"/>
  <c r="G81"/>
  <c r="K542"/>
  <c r="K538"/>
  <c r="K534"/>
  <c r="K530"/>
  <c r="K526"/>
  <c r="K522"/>
  <c r="K539"/>
  <c r="K535"/>
  <c r="K531"/>
  <c r="K527"/>
  <c r="K523"/>
  <c r="K540"/>
  <c r="K536"/>
  <c r="K532"/>
  <c r="K528"/>
  <c r="K524"/>
  <c r="K541"/>
  <c r="K537"/>
  <c r="K533"/>
  <c r="K529"/>
  <c r="G119"/>
  <c r="G121"/>
  <c r="G123"/>
  <c r="G125"/>
  <c r="G127"/>
  <c r="G129"/>
  <c r="G131"/>
  <c r="G133"/>
  <c r="G135"/>
  <c r="G137"/>
  <c r="G139"/>
  <c r="G141"/>
  <c r="G143"/>
  <c r="G145"/>
  <c r="G147"/>
  <c r="G149"/>
  <c r="G151"/>
  <c r="G153"/>
  <c r="G155"/>
  <c r="G157"/>
  <c r="G159"/>
  <c r="G161"/>
  <c r="G163"/>
  <c r="G165"/>
  <c r="G167"/>
  <c r="G169"/>
  <c r="G171"/>
  <c r="G173"/>
  <c r="G175"/>
  <c r="G177"/>
  <c r="G179"/>
  <c r="G181"/>
  <c r="G183"/>
  <c r="G185"/>
  <c r="G187"/>
  <c r="G189"/>
  <c r="G191"/>
  <c r="G193"/>
  <c r="G195"/>
  <c r="G197"/>
  <c r="G199"/>
  <c r="G201"/>
  <c r="G203"/>
  <c r="G205"/>
  <c r="G207"/>
  <c r="G209"/>
  <c r="G211"/>
  <c r="G213"/>
  <c r="G215"/>
  <c r="G217"/>
  <c r="G219"/>
  <c r="G221"/>
  <c r="G223"/>
  <c r="G225"/>
  <c r="G227"/>
  <c r="G229"/>
  <c r="G231"/>
  <c r="G233"/>
  <c r="G235"/>
  <c r="G237"/>
  <c r="G239"/>
  <c r="G241"/>
  <c r="G243"/>
  <c r="G245"/>
  <c r="G247"/>
  <c r="G249"/>
  <c r="G251"/>
  <c r="G253"/>
  <c r="G255"/>
  <c r="G257"/>
  <c r="G259"/>
  <c r="G261"/>
  <c r="G263"/>
  <c r="G265"/>
  <c r="G267"/>
  <c r="G269"/>
  <c r="G271"/>
  <c r="G273"/>
  <c r="G275"/>
  <c r="G277"/>
  <c r="G279"/>
  <c r="G281"/>
  <c r="G283"/>
  <c r="G285"/>
  <c r="G287"/>
  <c r="G289"/>
  <c r="G291"/>
  <c r="G293"/>
  <c r="G295"/>
  <c r="G297"/>
  <c r="G299"/>
  <c r="G301"/>
  <c r="G303"/>
  <c r="G305"/>
  <c r="G307"/>
  <c r="G309"/>
  <c r="G311"/>
  <c r="G313"/>
  <c r="G315"/>
  <c r="G317"/>
  <c r="G319"/>
  <c r="G321"/>
  <c r="G323"/>
  <c r="G325"/>
  <c r="G327"/>
  <c r="G329"/>
  <c r="G331"/>
  <c r="G333"/>
  <c r="G335"/>
  <c r="G337"/>
  <c r="G339"/>
  <c r="G341"/>
  <c r="G343"/>
  <c r="G345"/>
  <c r="G347"/>
  <c r="G349"/>
  <c r="G351"/>
  <c r="G353"/>
  <c r="G355"/>
  <c r="G357"/>
  <c r="G359"/>
  <c r="G361"/>
  <c r="G363"/>
  <c r="G365"/>
  <c r="G367"/>
  <c r="G369"/>
  <c r="G371"/>
  <c r="G373"/>
  <c r="G375"/>
  <c r="G377"/>
  <c r="G379"/>
  <c r="G381"/>
  <c r="G383"/>
  <c r="G385"/>
  <c r="G387"/>
  <c r="G389"/>
  <c r="G391"/>
  <c r="G393"/>
  <c r="G395"/>
  <c r="G397"/>
  <c r="G399"/>
  <c r="G401"/>
  <c r="G403"/>
  <c r="G405"/>
  <c r="G407"/>
  <c r="G409"/>
  <c r="G411"/>
  <c r="G413"/>
  <c r="G415"/>
  <c r="G417"/>
  <c r="G419"/>
  <c r="G421"/>
  <c r="G423"/>
  <c r="G425"/>
  <c r="G427"/>
  <c r="G429"/>
  <c r="G431"/>
  <c r="G433"/>
  <c r="G435"/>
  <c r="G437"/>
  <c r="G439"/>
  <c r="G441"/>
  <c r="G443"/>
  <c r="G445"/>
  <c r="G447"/>
  <c r="G449"/>
  <c r="G451"/>
  <c r="G453"/>
  <c r="G455"/>
  <c r="G457"/>
  <c r="G459"/>
  <c r="G461"/>
  <c r="G463"/>
  <c r="G465"/>
  <c r="G467"/>
  <c r="G469"/>
  <c r="G471"/>
  <c r="G473"/>
  <c r="G475"/>
  <c r="G477"/>
  <c r="G479"/>
  <c r="G481"/>
  <c r="G483"/>
  <c r="G485"/>
  <c r="G487"/>
  <c r="G489"/>
  <c r="G491"/>
  <c r="G493"/>
  <c r="G495"/>
  <c r="G497"/>
  <c r="G499"/>
  <c r="G501"/>
  <c r="G503"/>
  <c r="G505"/>
  <c r="G507"/>
  <c r="G509"/>
  <c r="G511"/>
  <c r="G513"/>
  <c r="G118"/>
  <c r="G120"/>
  <c r="G122"/>
  <c r="G124"/>
  <c r="G126"/>
  <c r="G128"/>
  <c r="G130"/>
  <c r="G132"/>
  <c r="G134"/>
  <c r="G136"/>
  <c r="G138"/>
  <c r="G140"/>
  <c r="G142"/>
  <c r="G144"/>
  <c r="G146"/>
  <c r="G148"/>
  <c r="G150"/>
  <c r="G152"/>
  <c r="G154"/>
  <c r="G156"/>
  <c r="G158"/>
  <c r="G160"/>
  <c r="G162"/>
  <c r="G164"/>
  <c r="G166"/>
  <c r="G168"/>
  <c r="G170"/>
  <c r="G172"/>
  <c r="G174"/>
  <c r="G176"/>
  <c r="G178"/>
  <c r="G180"/>
  <c r="G182"/>
  <c r="G184"/>
  <c r="G186"/>
  <c r="G188"/>
  <c r="G190"/>
  <c r="G192"/>
  <c r="G194"/>
  <c r="G196"/>
  <c r="G198"/>
  <c r="G200"/>
  <c r="G202"/>
  <c r="G204"/>
  <c r="G206"/>
  <c r="G208"/>
  <c r="G210"/>
  <c r="G212"/>
  <c r="G214"/>
  <c r="G216"/>
  <c r="G218"/>
  <c r="G220"/>
  <c r="G222"/>
  <c r="G224"/>
  <c r="G226"/>
  <c r="G228"/>
  <c r="G230"/>
  <c r="G232"/>
  <c r="G234"/>
  <c r="G236"/>
  <c r="G238"/>
  <c r="G240"/>
  <c r="G242"/>
  <c r="G244"/>
  <c r="G246"/>
  <c r="G248"/>
  <c r="G250"/>
  <c r="G252"/>
  <c r="G254"/>
  <c r="G256"/>
  <c r="G258"/>
  <c r="G260"/>
  <c r="G262"/>
  <c r="G264"/>
  <c r="G266"/>
  <c r="G268"/>
  <c r="G270"/>
  <c r="G272"/>
  <c r="G274"/>
  <c r="G276"/>
  <c r="G278"/>
  <c r="G280"/>
  <c r="G282"/>
  <c r="G284"/>
  <c r="G286"/>
  <c r="G288"/>
  <c r="G290"/>
  <c r="G292"/>
  <c r="G294"/>
  <c r="G296"/>
  <c r="G298"/>
  <c r="G300"/>
  <c r="G302"/>
  <c r="G304"/>
  <c r="G306"/>
  <c r="G308"/>
  <c r="G310"/>
  <c r="G312"/>
  <c r="G314"/>
  <c r="G316"/>
  <c r="G318"/>
  <c r="G320"/>
  <c r="G322"/>
  <c r="G324"/>
  <c r="G326"/>
  <c r="G328"/>
  <c r="G330"/>
  <c r="G332"/>
  <c r="G334"/>
  <c r="G336"/>
  <c r="G338"/>
  <c r="G340"/>
  <c r="G342"/>
  <c r="G344"/>
  <c r="G346"/>
  <c r="G348"/>
  <c r="G350"/>
  <c r="G352"/>
  <c r="G354"/>
  <c r="G356"/>
  <c r="G358"/>
  <c r="G360"/>
  <c r="G362"/>
  <c r="G364"/>
  <c r="G366"/>
  <c r="G368"/>
  <c r="G370"/>
  <c r="G372"/>
  <c r="G374"/>
  <c r="G376"/>
  <c r="G378"/>
  <c r="G380"/>
  <c r="G382"/>
  <c r="G384"/>
  <c r="G386"/>
  <c r="G388"/>
  <c r="G390"/>
  <c r="G392"/>
  <c r="G394"/>
  <c r="G396"/>
  <c r="G398"/>
  <c r="G400"/>
  <c r="G402"/>
  <c r="G404"/>
  <c r="G406"/>
  <c r="G408"/>
  <c r="G410"/>
  <c r="G412"/>
  <c r="G414"/>
  <c r="G416"/>
  <c r="G418"/>
  <c r="G420"/>
  <c r="G422"/>
  <c r="G424"/>
  <c r="G426"/>
  <c r="G428"/>
  <c r="G430"/>
  <c r="G432"/>
  <c r="G434"/>
  <c r="G436"/>
  <c r="G438"/>
  <c r="G440"/>
  <c r="G442"/>
  <c r="G444"/>
  <c r="G446"/>
  <c r="G448"/>
  <c r="G450"/>
  <c r="G452"/>
  <c r="G454"/>
  <c r="G456"/>
  <c r="G458"/>
  <c r="G460"/>
  <c r="G462"/>
  <c r="G464"/>
  <c r="G466"/>
  <c r="G468"/>
  <c r="G470"/>
  <c r="G472"/>
  <c r="G474"/>
  <c r="G476"/>
  <c r="G478"/>
  <c r="G480"/>
  <c r="G482"/>
  <c r="G484"/>
  <c r="G486"/>
  <c r="G488"/>
  <c r="G490"/>
  <c r="G492"/>
  <c r="G494"/>
  <c r="G496"/>
  <c r="G498"/>
  <c r="G500"/>
  <c r="G502"/>
  <c r="G504"/>
  <c r="G506"/>
  <c r="G508"/>
  <c r="G510"/>
  <c r="G512"/>
  <c r="G514"/>
  <c r="G516"/>
  <c r="G518"/>
  <c r="G520"/>
  <c r="G522"/>
  <c r="G524"/>
  <c r="G526"/>
  <c r="G528"/>
  <c r="G530"/>
  <c r="G532"/>
  <c r="G534"/>
  <c r="G536"/>
  <c r="G538"/>
  <c r="G540"/>
  <c r="G542"/>
  <c r="G515"/>
  <c r="G517"/>
  <c r="G519"/>
  <c r="G521"/>
  <c r="G523"/>
  <c r="G525"/>
  <c r="G527"/>
  <c r="G529"/>
  <c r="G531"/>
  <c r="G533"/>
  <c r="G535"/>
  <c r="G537"/>
  <c r="G539"/>
  <c r="G541"/>
  <c r="F14"/>
  <c r="C14" s="1"/>
  <c r="D14" s="1"/>
  <c r="F16"/>
  <c r="C16" s="1"/>
  <c r="D16" s="1"/>
  <c r="F18"/>
  <c r="C18" s="1"/>
  <c r="D18" s="1"/>
  <c r="F20"/>
  <c r="C20" s="1"/>
  <c r="D20" s="1"/>
  <c r="F22"/>
  <c r="C22" s="1"/>
  <c r="D22" s="1"/>
  <c r="F24"/>
  <c r="C24" s="1"/>
  <c r="D24" s="1"/>
  <c r="F26"/>
  <c r="C26" s="1"/>
  <c r="D26" s="1"/>
  <c r="F28"/>
  <c r="C28" s="1"/>
  <c r="D28" s="1"/>
  <c r="F30"/>
  <c r="C30" s="1"/>
  <c r="D30" s="1"/>
  <c r="F32"/>
  <c r="C32" s="1"/>
  <c r="D32" s="1"/>
  <c r="F34"/>
  <c r="C34" s="1"/>
  <c r="D34" s="1"/>
  <c r="F36"/>
  <c r="C36" s="1"/>
  <c r="D36" s="1"/>
  <c r="F38"/>
  <c r="C38" s="1"/>
  <c r="D38" s="1"/>
  <c r="F40"/>
  <c r="C40" s="1"/>
  <c r="D40" s="1"/>
  <c r="F42"/>
  <c r="C42" s="1"/>
  <c r="D42" s="1"/>
  <c r="F44"/>
  <c r="C44" s="1"/>
  <c r="D44" s="1"/>
  <c r="F46"/>
  <c r="C46" s="1"/>
  <c r="D46" s="1"/>
  <c r="F48"/>
  <c r="F50"/>
  <c r="C50" s="1"/>
  <c r="D50" s="1"/>
  <c r="F52"/>
  <c r="C52" s="1"/>
  <c r="D52" s="1"/>
  <c r="F54"/>
  <c r="C54" s="1"/>
  <c r="D54" s="1"/>
  <c r="F56"/>
  <c r="C56" s="1"/>
  <c r="D56" s="1"/>
  <c r="F58"/>
  <c r="C58" s="1"/>
  <c r="D58" s="1"/>
  <c r="F60"/>
  <c r="C60" s="1"/>
  <c r="D60" s="1"/>
  <c r="F62"/>
  <c r="F64"/>
  <c r="C64" s="1"/>
  <c r="D64" s="1"/>
  <c r="F66"/>
  <c r="F68"/>
  <c r="F70"/>
  <c r="C70" s="1"/>
  <c r="D70" s="1"/>
  <c r="F72"/>
  <c r="C72" s="1"/>
  <c r="D72" s="1"/>
  <c r="F74"/>
  <c r="F76"/>
  <c r="F78"/>
  <c r="C78" s="1"/>
  <c r="D78" s="1"/>
  <c r="F80"/>
  <c r="F82"/>
  <c r="F84"/>
  <c r="C84" s="1"/>
  <c r="D84" s="1"/>
  <c r="F86"/>
  <c r="C86" s="1"/>
  <c r="D86" s="1"/>
  <c r="F88"/>
  <c r="F90"/>
  <c r="F92"/>
  <c r="C92" s="1"/>
  <c r="D92" s="1"/>
  <c r="F94"/>
  <c r="C94" s="1"/>
  <c r="D94" s="1"/>
  <c r="F96"/>
  <c r="F98"/>
  <c r="F100"/>
  <c r="F102"/>
  <c r="F104"/>
  <c r="F106"/>
  <c r="F108"/>
  <c r="F110"/>
  <c r="C110" s="1"/>
  <c r="D110" s="1"/>
  <c r="F112"/>
  <c r="F114"/>
  <c r="F116"/>
  <c r="C116" s="1"/>
  <c r="D116" s="1"/>
  <c r="F118"/>
  <c r="F120"/>
  <c r="F122"/>
  <c r="F124"/>
  <c r="F126"/>
  <c r="F128"/>
  <c r="F130"/>
  <c r="F132"/>
  <c r="F134"/>
  <c r="F136"/>
  <c r="F138"/>
  <c r="F140"/>
  <c r="F142"/>
  <c r="F144"/>
  <c r="F146"/>
  <c r="F148"/>
  <c r="F150"/>
  <c r="F152"/>
  <c r="F154"/>
  <c r="F156"/>
  <c r="F158"/>
  <c r="F160"/>
  <c r="F162"/>
  <c r="F164"/>
  <c r="F166"/>
  <c r="F168"/>
  <c r="F170"/>
  <c r="F172"/>
  <c r="F174"/>
  <c r="F176"/>
  <c r="F178"/>
  <c r="F180"/>
  <c r="F182"/>
  <c r="F184"/>
  <c r="F186"/>
  <c r="F188"/>
  <c r="F190"/>
  <c r="F192"/>
  <c r="F194"/>
  <c r="F196"/>
  <c r="F198"/>
  <c r="F200"/>
  <c r="F202"/>
  <c r="F204"/>
  <c r="F206"/>
  <c r="F208"/>
  <c r="F210"/>
  <c r="F212"/>
  <c r="F214"/>
  <c r="F216"/>
  <c r="F218"/>
  <c r="F220"/>
  <c r="F222"/>
  <c r="F224"/>
  <c r="F226"/>
  <c r="F228"/>
  <c r="F230"/>
  <c r="F232"/>
  <c r="F234"/>
  <c r="F236"/>
  <c r="F238"/>
  <c r="F240"/>
  <c r="F242"/>
  <c r="F244"/>
  <c r="F246"/>
  <c r="F248"/>
  <c r="F250"/>
  <c r="F252"/>
  <c r="F254"/>
  <c r="F256"/>
  <c r="F258"/>
  <c r="F260"/>
  <c r="F262"/>
  <c r="F264"/>
  <c r="F266"/>
  <c r="F268"/>
  <c r="F270"/>
  <c r="F272"/>
  <c r="F274"/>
  <c r="F276"/>
  <c r="F278"/>
  <c r="F280"/>
  <c r="F282"/>
  <c r="F284"/>
  <c r="F286"/>
  <c r="F288"/>
  <c r="F290"/>
  <c r="F292"/>
  <c r="F294"/>
  <c r="F296"/>
  <c r="F298"/>
  <c r="F300"/>
  <c r="F302"/>
  <c r="F304"/>
  <c r="F306"/>
  <c r="F308"/>
  <c r="F310"/>
  <c r="F312"/>
  <c r="F314"/>
  <c r="F316"/>
  <c r="F318"/>
  <c r="F320"/>
  <c r="F322"/>
  <c r="F324"/>
  <c r="F326"/>
  <c r="F328"/>
  <c r="F330"/>
  <c r="F332"/>
  <c r="F334"/>
  <c r="F336"/>
  <c r="F338"/>
  <c r="F340"/>
  <c r="F342"/>
  <c r="F344"/>
  <c r="F346"/>
  <c r="F348"/>
  <c r="F350"/>
  <c r="F352"/>
  <c r="F354"/>
  <c r="F356"/>
  <c r="F358"/>
  <c r="F360"/>
  <c r="F362"/>
  <c r="F364"/>
  <c r="F366"/>
  <c r="F368"/>
  <c r="F370"/>
  <c r="F372"/>
  <c r="F374"/>
  <c r="F376"/>
  <c r="F378"/>
  <c r="F380"/>
  <c r="F382"/>
  <c r="F384"/>
  <c r="F386"/>
  <c r="F388"/>
  <c r="F390"/>
  <c r="F392"/>
  <c r="F394"/>
  <c r="F396"/>
  <c r="F398"/>
  <c r="F400"/>
  <c r="F402"/>
  <c r="F404"/>
  <c r="F406"/>
  <c r="F408"/>
  <c r="F410"/>
  <c r="F412"/>
  <c r="F414"/>
  <c r="F416"/>
  <c r="F418"/>
  <c r="F420"/>
  <c r="F422"/>
  <c r="F424"/>
  <c r="F426"/>
  <c r="F428"/>
  <c r="F430"/>
  <c r="F432"/>
  <c r="F434"/>
  <c r="F436"/>
  <c r="F438"/>
  <c r="F440"/>
  <c r="F442"/>
  <c r="F444"/>
  <c r="F446"/>
  <c r="F448"/>
  <c r="F450"/>
  <c r="F452"/>
  <c r="F454"/>
  <c r="F456"/>
  <c r="F458"/>
  <c r="F460"/>
  <c r="F462"/>
  <c r="F464"/>
  <c r="F466"/>
  <c r="F468"/>
  <c r="F470"/>
  <c r="F472"/>
  <c r="F474"/>
  <c r="F476"/>
  <c r="F478"/>
  <c r="F480"/>
  <c r="F482"/>
  <c r="F484"/>
  <c r="F486"/>
  <c r="F488"/>
  <c r="F490"/>
  <c r="F492"/>
  <c r="F494"/>
  <c r="F496"/>
  <c r="F498"/>
  <c r="F500"/>
  <c r="F502"/>
  <c r="F504"/>
  <c r="F506"/>
  <c r="F508"/>
  <c r="F510"/>
  <c r="F512"/>
  <c r="F514"/>
  <c r="F516"/>
  <c r="F518"/>
  <c r="F520"/>
  <c r="F522"/>
  <c r="F524"/>
  <c r="F526"/>
  <c r="F15"/>
  <c r="C15" s="1"/>
  <c r="D15" s="1"/>
  <c r="F17"/>
  <c r="C17" s="1"/>
  <c r="D17" s="1"/>
  <c r="F19"/>
  <c r="C19" s="1"/>
  <c r="D19" s="1"/>
  <c r="F21"/>
  <c r="C21" s="1"/>
  <c r="D21" s="1"/>
  <c r="F23"/>
  <c r="C23" s="1"/>
  <c r="D23" s="1"/>
  <c r="F25"/>
  <c r="C25" s="1"/>
  <c r="D25" s="1"/>
  <c r="F27"/>
  <c r="C27" s="1"/>
  <c r="D27" s="1"/>
  <c r="F29"/>
  <c r="C29" s="1"/>
  <c r="D29" s="1"/>
  <c r="F31"/>
  <c r="C31" s="1"/>
  <c r="D31" s="1"/>
  <c r="F33"/>
  <c r="C33" s="1"/>
  <c r="D33" s="1"/>
  <c r="F35"/>
  <c r="C35" s="1"/>
  <c r="D35" s="1"/>
  <c r="F37"/>
  <c r="C37" s="1"/>
  <c r="D37" s="1"/>
  <c r="F39"/>
  <c r="C39" s="1"/>
  <c r="D39" s="1"/>
  <c r="F41"/>
  <c r="C41" s="1"/>
  <c r="D41" s="1"/>
  <c r="F43"/>
  <c r="C43" s="1"/>
  <c r="D43" s="1"/>
  <c r="F45"/>
  <c r="C45" s="1"/>
  <c r="D45" s="1"/>
  <c r="F47"/>
  <c r="C47" s="1"/>
  <c r="D47" s="1"/>
  <c r="F49"/>
  <c r="F51"/>
  <c r="C51" s="1"/>
  <c r="D51" s="1"/>
  <c r="F53"/>
  <c r="F55"/>
  <c r="C55" s="1"/>
  <c r="D55" s="1"/>
  <c r="F57"/>
  <c r="C57" s="1"/>
  <c r="D57" s="1"/>
  <c r="F59"/>
  <c r="C59" s="1"/>
  <c r="D59" s="1"/>
  <c r="F61"/>
  <c r="C61" s="1"/>
  <c r="D61" s="1"/>
  <c r="F63"/>
  <c r="F65"/>
  <c r="F67"/>
  <c r="F69"/>
  <c r="F71"/>
  <c r="C71" s="1"/>
  <c r="D71" s="1"/>
  <c r="F73"/>
  <c r="C73" s="1"/>
  <c r="D73" s="1"/>
  <c r="F75"/>
  <c r="C75" s="1"/>
  <c r="D75" s="1"/>
  <c r="F77"/>
  <c r="C77" s="1"/>
  <c r="D77" s="1"/>
  <c r="F79"/>
  <c r="F81"/>
  <c r="C81" s="1"/>
  <c r="D81" s="1"/>
  <c r="F83"/>
  <c r="C83" s="1"/>
  <c r="D83" s="1"/>
  <c r="F85"/>
  <c r="F87"/>
  <c r="F89"/>
  <c r="C89" s="1"/>
  <c r="D89" s="1"/>
  <c r="F91"/>
  <c r="C91" s="1"/>
  <c r="D91" s="1"/>
  <c r="F93"/>
  <c r="F95"/>
  <c r="F97"/>
  <c r="C97" s="1"/>
  <c r="D97" s="1"/>
  <c r="F99"/>
  <c r="C99" s="1"/>
  <c r="D99" s="1"/>
  <c r="F101"/>
  <c r="F103"/>
  <c r="F105"/>
  <c r="F107"/>
  <c r="F109"/>
  <c r="F111"/>
  <c r="F113"/>
  <c r="C113" s="1"/>
  <c r="D113" s="1"/>
  <c r="F115"/>
  <c r="F117"/>
  <c r="F119"/>
  <c r="F121"/>
  <c r="C121" s="1"/>
  <c r="D121" s="1"/>
  <c r="F123"/>
  <c r="F125"/>
  <c r="F127"/>
  <c r="F129"/>
  <c r="C129" s="1"/>
  <c r="D129" s="1"/>
  <c r="F131"/>
  <c r="C131" s="1"/>
  <c r="D131" s="1"/>
  <c r="F133"/>
  <c r="C133" s="1"/>
  <c r="D133" s="1"/>
  <c r="F135"/>
  <c r="F137"/>
  <c r="C137" s="1"/>
  <c r="D137" s="1"/>
  <c r="F139"/>
  <c r="F141"/>
  <c r="F143"/>
  <c r="C143" s="1"/>
  <c r="D143" s="1"/>
  <c r="F145"/>
  <c r="C145" s="1"/>
  <c r="D145" s="1"/>
  <c r="F147"/>
  <c r="F149"/>
  <c r="F151"/>
  <c r="F153"/>
  <c r="F155"/>
  <c r="C155" s="1"/>
  <c r="D155" s="1"/>
  <c r="F157"/>
  <c r="C157" s="1"/>
  <c r="D157" s="1"/>
  <c r="F159"/>
  <c r="F161"/>
  <c r="F163"/>
  <c r="C163" s="1"/>
  <c r="D163" s="1"/>
  <c r="F165"/>
  <c r="C165" s="1"/>
  <c r="D165" s="1"/>
  <c r="F167"/>
  <c r="F169"/>
  <c r="F171"/>
  <c r="C171" s="1"/>
  <c r="D171" s="1"/>
  <c r="F173"/>
  <c r="C173" s="1"/>
  <c r="D173" s="1"/>
  <c r="F175"/>
  <c r="F177"/>
  <c r="F179"/>
  <c r="F181"/>
  <c r="C181" s="1"/>
  <c r="D181" s="1"/>
  <c r="F183"/>
  <c r="F185"/>
  <c r="F187"/>
  <c r="C187" s="1"/>
  <c r="D187" s="1"/>
  <c r="F189"/>
  <c r="C189" s="1"/>
  <c r="D189" s="1"/>
  <c r="F191"/>
  <c r="F193"/>
  <c r="F195"/>
  <c r="C195" s="1"/>
  <c r="D195" s="1"/>
  <c r="F197"/>
  <c r="C197" s="1"/>
  <c r="D197" s="1"/>
  <c r="F199"/>
  <c r="F201"/>
  <c r="F203"/>
  <c r="C203" s="1"/>
  <c r="D203" s="1"/>
  <c r="F205"/>
  <c r="F207"/>
  <c r="F209"/>
  <c r="F211"/>
  <c r="F213"/>
  <c r="F215"/>
  <c r="F217"/>
  <c r="F219"/>
  <c r="F221"/>
  <c r="F223"/>
  <c r="F225"/>
  <c r="F227"/>
  <c r="C227" s="1"/>
  <c r="D227" s="1"/>
  <c r="F229"/>
  <c r="C229" s="1"/>
  <c r="D229" s="1"/>
  <c r="F231"/>
  <c r="F233"/>
  <c r="F235"/>
  <c r="C235" s="1"/>
  <c r="D235" s="1"/>
  <c r="F237"/>
  <c r="C237" s="1"/>
  <c r="D237" s="1"/>
  <c r="F239"/>
  <c r="F241"/>
  <c r="F243"/>
  <c r="F245"/>
  <c r="C245" s="1"/>
  <c r="D245" s="1"/>
  <c r="F247"/>
  <c r="F249"/>
  <c r="F251"/>
  <c r="F253"/>
  <c r="F255"/>
  <c r="F257"/>
  <c r="F259"/>
  <c r="F261"/>
  <c r="F263"/>
  <c r="F265"/>
  <c r="F267"/>
  <c r="F269"/>
  <c r="F271"/>
  <c r="F273"/>
  <c r="F275"/>
  <c r="F277"/>
  <c r="F279"/>
  <c r="F281"/>
  <c r="F283"/>
  <c r="F285"/>
  <c r="F287"/>
  <c r="F289"/>
  <c r="F291"/>
  <c r="F293"/>
  <c r="F295"/>
  <c r="F297"/>
  <c r="F299"/>
  <c r="F301"/>
  <c r="F303"/>
  <c r="F305"/>
  <c r="F307"/>
  <c r="F309"/>
  <c r="F311"/>
  <c r="F313"/>
  <c r="F315"/>
  <c r="F317"/>
  <c r="F319"/>
  <c r="F321"/>
  <c r="F323"/>
  <c r="F325"/>
  <c r="F327"/>
  <c r="F329"/>
  <c r="F331"/>
  <c r="F333"/>
  <c r="F335"/>
  <c r="F337"/>
  <c r="F339"/>
  <c r="F341"/>
  <c r="F343"/>
  <c r="F345"/>
  <c r="F347"/>
  <c r="F349"/>
  <c r="F351"/>
  <c r="F353"/>
  <c r="F355"/>
  <c r="F357"/>
  <c r="F359"/>
  <c r="F361"/>
  <c r="F363"/>
  <c r="F365"/>
  <c r="F367"/>
  <c r="F369"/>
  <c r="F371"/>
  <c r="F373"/>
  <c r="F375"/>
  <c r="F377"/>
  <c r="F379"/>
  <c r="F381"/>
  <c r="F383"/>
  <c r="F385"/>
  <c r="F387"/>
  <c r="F389"/>
  <c r="F391"/>
  <c r="F393"/>
  <c r="F395"/>
  <c r="F397"/>
  <c r="F399"/>
  <c r="F401"/>
  <c r="F403"/>
  <c r="F405"/>
  <c r="F407"/>
  <c r="F409"/>
  <c r="F411"/>
  <c r="F413"/>
  <c r="F415"/>
  <c r="F417"/>
  <c r="F419"/>
  <c r="F421"/>
  <c r="F423"/>
  <c r="F425"/>
  <c r="F427"/>
  <c r="F429"/>
  <c r="F431"/>
  <c r="F433"/>
  <c r="F435"/>
  <c r="F437"/>
  <c r="F439"/>
  <c r="F441"/>
  <c r="F443"/>
  <c r="F445"/>
  <c r="F447"/>
  <c r="F449"/>
  <c r="F451"/>
  <c r="F453"/>
  <c r="F455"/>
  <c r="F457"/>
  <c r="F459"/>
  <c r="F461"/>
  <c r="F463"/>
  <c r="F465"/>
  <c r="F467"/>
  <c r="F469"/>
  <c r="F471"/>
  <c r="F473"/>
  <c r="F475"/>
  <c r="F477"/>
  <c r="F479"/>
  <c r="F481"/>
  <c r="F483"/>
  <c r="F485"/>
  <c r="F487"/>
  <c r="F489"/>
  <c r="F491"/>
  <c r="F493"/>
  <c r="F495"/>
  <c r="F497"/>
  <c r="F499"/>
  <c r="F501"/>
  <c r="F503"/>
  <c r="F505"/>
  <c r="F507"/>
  <c r="F509"/>
  <c r="F511"/>
  <c r="F513"/>
  <c r="F515"/>
  <c r="F517"/>
  <c r="F519"/>
  <c r="F521"/>
  <c r="F523"/>
  <c r="F525"/>
  <c r="F542"/>
  <c r="F540"/>
  <c r="F538"/>
  <c r="F536"/>
  <c r="F534"/>
  <c r="F532"/>
  <c r="F530"/>
  <c r="F528"/>
  <c r="F541"/>
  <c r="F539"/>
  <c r="F537"/>
  <c r="F535"/>
  <c r="F533"/>
  <c r="F531"/>
  <c r="F529"/>
  <c r="F527"/>
  <c r="I250"/>
  <c r="I252"/>
  <c r="I254"/>
  <c r="I256"/>
  <c r="I251"/>
  <c r="I253"/>
  <c r="I255"/>
  <c r="I257"/>
  <c r="I259"/>
  <c r="I261"/>
  <c r="I263"/>
  <c r="I265"/>
  <c r="I267"/>
  <c r="I269"/>
  <c r="I271"/>
  <c r="I273"/>
  <c r="I275"/>
  <c r="I277"/>
  <c r="I279"/>
  <c r="I281"/>
  <c r="I283"/>
  <c r="I285"/>
  <c r="I287"/>
  <c r="I289"/>
  <c r="I291"/>
  <c r="I293"/>
  <c r="I295"/>
  <c r="I297"/>
  <c r="I299"/>
  <c r="I301"/>
  <c r="I303"/>
  <c r="I305"/>
  <c r="I307"/>
  <c r="I309"/>
  <c r="I311"/>
  <c r="I313"/>
  <c r="I315"/>
  <c r="I317"/>
  <c r="I319"/>
  <c r="I321"/>
  <c r="I323"/>
  <c r="I325"/>
  <c r="I327"/>
  <c r="I329"/>
  <c r="I331"/>
  <c r="I333"/>
  <c r="I335"/>
  <c r="I337"/>
  <c r="I339"/>
  <c r="I341"/>
  <c r="I343"/>
  <c r="I345"/>
  <c r="I347"/>
  <c r="I349"/>
  <c r="I351"/>
  <c r="I353"/>
  <c r="I355"/>
  <c r="I357"/>
  <c r="I359"/>
  <c r="I361"/>
  <c r="I363"/>
  <c r="I365"/>
  <c r="I367"/>
  <c r="I369"/>
  <c r="I371"/>
  <c r="I373"/>
  <c r="I375"/>
  <c r="I377"/>
  <c r="I379"/>
  <c r="I381"/>
  <c r="I383"/>
  <c r="I385"/>
  <c r="I387"/>
  <c r="I389"/>
  <c r="I391"/>
  <c r="I393"/>
  <c r="I395"/>
  <c r="I397"/>
  <c r="I399"/>
  <c r="I401"/>
  <c r="I403"/>
  <c r="I405"/>
  <c r="I407"/>
  <c r="I409"/>
  <c r="I411"/>
  <c r="I413"/>
  <c r="I415"/>
  <c r="I417"/>
  <c r="I419"/>
  <c r="I421"/>
  <c r="I423"/>
  <c r="I425"/>
  <c r="I427"/>
  <c r="I429"/>
  <c r="I431"/>
  <c r="I433"/>
  <c r="I435"/>
  <c r="I437"/>
  <c r="I439"/>
  <c r="I441"/>
  <c r="I443"/>
  <c r="I445"/>
  <c r="I447"/>
  <c r="I449"/>
  <c r="I451"/>
  <c r="I453"/>
  <c r="I455"/>
  <c r="I457"/>
  <c r="I459"/>
  <c r="I461"/>
  <c r="I463"/>
  <c r="I465"/>
  <c r="I467"/>
  <c r="I469"/>
  <c r="I471"/>
  <c r="I473"/>
  <c r="I475"/>
  <c r="I477"/>
  <c r="I479"/>
  <c r="I481"/>
  <c r="I483"/>
  <c r="I485"/>
  <c r="I487"/>
  <c r="I489"/>
  <c r="I491"/>
  <c r="I493"/>
  <c r="I495"/>
  <c r="I497"/>
  <c r="I499"/>
  <c r="I501"/>
  <c r="I503"/>
  <c r="I505"/>
  <c r="I507"/>
  <c r="I509"/>
  <c r="I511"/>
  <c r="I513"/>
  <c r="I258"/>
  <c r="I260"/>
  <c r="I262"/>
  <c r="I264"/>
  <c r="I266"/>
  <c r="I268"/>
  <c r="I270"/>
  <c r="I272"/>
  <c r="I274"/>
  <c r="I276"/>
  <c r="I278"/>
  <c r="I280"/>
  <c r="I282"/>
  <c r="I284"/>
  <c r="I286"/>
  <c r="I288"/>
  <c r="I290"/>
  <c r="I292"/>
  <c r="I294"/>
  <c r="I296"/>
  <c r="I298"/>
  <c r="I300"/>
  <c r="I302"/>
  <c r="I304"/>
  <c r="I306"/>
  <c r="I308"/>
  <c r="I310"/>
  <c r="I312"/>
  <c r="I314"/>
  <c r="I316"/>
  <c r="I318"/>
  <c r="I320"/>
  <c r="I322"/>
  <c r="I324"/>
  <c r="I326"/>
  <c r="I328"/>
  <c r="I330"/>
  <c r="I332"/>
  <c r="I334"/>
  <c r="I336"/>
  <c r="I338"/>
  <c r="I340"/>
  <c r="I342"/>
  <c r="I344"/>
  <c r="I346"/>
  <c r="I348"/>
  <c r="I350"/>
  <c r="I352"/>
  <c r="I354"/>
  <c r="I356"/>
  <c r="I358"/>
  <c r="I360"/>
  <c r="I362"/>
  <c r="I364"/>
  <c r="I366"/>
  <c r="I368"/>
  <c r="I370"/>
  <c r="I372"/>
  <c r="I374"/>
  <c r="I376"/>
  <c r="I378"/>
  <c r="I380"/>
  <c r="I382"/>
  <c r="I384"/>
  <c r="I386"/>
  <c r="I388"/>
  <c r="I390"/>
  <c r="I392"/>
  <c r="I394"/>
  <c r="I396"/>
  <c r="I398"/>
  <c r="I400"/>
  <c r="I402"/>
  <c r="I404"/>
  <c r="I406"/>
  <c r="I408"/>
  <c r="I410"/>
  <c r="I412"/>
  <c r="I414"/>
  <c r="I416"/>
  <c r="I418"/>
  <c r="I420"/>
  <c r="I422"/>
  <c r="I424"/>
  <c r="I426"/>
  <c r="I428"/>
  <c r="I430"/>
  <c r="I432"/>
  <c r="I434"/>
  <c r="I436"/>
  <c r="I438"/>
  <c r="I440"/>
  <c r="I442"/>
  <c r="I444"/>
  <c r="I446"/>
  <c r="I448"/>
  <c r="I450"/>
  <c r="I452"/>
  <c r="I454"/>
  <c r="I456"/>
  <c r="I458"/>
  <c r="I460"/>
  <c r="I462"/>
  <c r="I464"/>
  <c r="I466"/>
  <c r="I468"/>
  <c r="I470"/>
  <c r="I472"/>
  <c r="I474"/>
  <c r="I476"/>
  <c r="I478"/>
  <c r="I480"/>
  <c r="I482"/>
  <c r="I484"/>
  <c r="I486"/>
  <c r="I488"/>
  <c r="I490"/>
  <c r="I492"/>
  <c r="I494"/>
  <c r="I496"/>
  <c r="I498"/>
  <c r="I500"/>
  <c r="I502"/>
  <c r="I504"/>
  <c r="I506"/>
  <c r="I508"/>
  <c r="I510"/>
  <c r="I512"/>
  <c r="I515"/>
  <c r="I517"/>
  <c r="I519"/>
  <c r="I521"/>
  <c r="I523"/>
  <c r="I525"/>
  <c r="I527"/>
  <c r="I529"/>
  <c r="I531"/>
  <c r="I533"/>
  <c r="I535"/>
  <c r="I537"/>
  <c r="I539"/>
  <c r="I541"/>
  <c r="I514"/>
  <c r="I516"/>
  <c r="I518"/>
  <c r="I520"/>
  <c r="I522"/>
  <c r="I524"/>
  <c r="I526"/>
  <c r="I528"/>
  <c r="I530"/>
  <c r="I532"/>
  <c r="I534"/>
  <c r="I536"/>
  <c r="I538"/>
  <c r="I540"/>
  <c r="I542"/>
  <c r="K2"/>
  <c r="H2"/>
  <c r="O2"/>
  <c r="L2"/>
  <c r="I2"/>
  <c r="F2"/>
  <c r="B16" i="2"/>
  <c r="G2" i="4"/>
  <c r="C100" l="1"/>
  <c r="D100" s="1"/>
  <c r="C102"/>
  <c r="D102" s="1"/>
  <c r="C48"/>
  <c r="D48" s="1"/>
  <c r="C105"/>
  <c r="D105" s="1"/>
  <c r="C49"/>
  <c r="D49" s="1"/>
  <c r="C107"/>
  <c r="D107" s="1"/>
  <c r="C108"/>
  <c r="D108" s="1"/>
  <c r="C179"/>
  <c r="D179" s="1"/>
  <c r="C127"/>
  <c r="D127" s="1"/>
  <c r="C123"/>
  <c r="D123" s="1"/>
  <c r="C119"/>
  <c r="D119" s="1"/>
  <c r="C115"/>
  <c r="D115" s="1"/>
  <c r="C53"/>
  <c r="D53" s="1"/>
  <c r="C125"/>
  <c r="D125" s="1"/>
  <c r="C151"/>
  <c r="D151" s="1"/>
  <c r="C147"/>
  <c r="D147" s="1"/>
  <c r="C139"/>
  <c r="D139" s="1"/>
  <c r="C135"/>
  <c r="D135" s="1"/>
  <c r="C67"/>
  <c r="D67" s="1"/>
  <c r="C63"/>
  <c r="D63" s="1"/>
  <c r="C68"/>
  <c r="D68" s="1"/>
  <c r="C213"/>
  <c r="D213" s="1"/>
  <c r="C205"/>
  <c r="D205" s="1"/>
  <c r="C149"/>
  <c r="D149" s="1"/>
  <c r="C141"/>
  <c r="D141" s="1"/>
  <c r="C69"/>
  <c r="D69" s="1"/>
  <c r="C65"/>
  <c r="D65" s="1"/>
  <c r="C142"/>
  <c r="D142" s="1"/>
  <c r="C66"/>
  <c r="D66" s="1"/>
  <c r="C62"/>
  <c r="D62" s="1"/>
  <c r="C200"/>
  <c r="D200" s="1"/>
  <c r="C243"/>
  <c r="D243" s="1"/>
  <c r="C219"/>
  <c r="D219" s="1"/>
  <c r="C211"/>
  <c r="D211" s="1"/>
  <c r="C111"/>
  <c r="D111" s="1"/>
  <c r="C221"/>
  <c r="D221" s="1"/>
  <c r="C124"/>
  <c r="D124" s="1"/>
  <c r="C247"/>
  <c r="D247" s="1"/>
  <c r="C239"/>
  <c r="D239" s="1"/>
  <c r="C231"/>
  <c r="D231" s="1"/>
  <c r="C223"/>
  <c r="D223" s="1"/>
  <c r="C215"/>
  <c r="D215" s="1"/>
  <c r="C207"/>
  <c r="D207" s="1"/>
  <c r="C199"/>
  <c r="D199" s="1"/>
  <c r="C191"/>
  <c r="D191" s="1"/>
  <c r="C183"/>
  <c r="D183" s="1"/>
  <c r="C175"/>
  <c r="D175" s="1"/>
  <c r="C167"/>
  <c r="D167" s="1"/>
  <c r="C159"/>
  <c r="D159" s="1"/>
  <c r="C103"/>
  <c r="D103" s="1"/>
  <c r="C95"/>
  <c r="D95" s="1"/>
  <c r="C87"/>
  <c r="D87" s="1"/>
  <c r="C79"/>
  <c r="D79" s="1"/>
  <c r="C156"/>
  <c r="D156" s="1"/>
  <c r="C112"/>
  <c r="D112" s="1"/>
  <c r="C104"/>
  <c r="D104" s="1"/>
  <c r="C96"/>
  <c r="D96" s="1"/>
  <c r="C88"/>
  <c r="D88" s="1"/>
  <c r="C80"/>
  <c r="D80" s="1"/>
  <c r="C76"/>
  <c r="D76" s="1"/>
  <c r="C93"/>
  <c r="D93" s="1"/>
  <c r="C206"/>
  <c r="D206" s="1"/>
  <c r="C74"/>
  <c r="D74" s="1"/>
  <c r="C513"/>
  <c r="D513" s="1"/>
  <c r="C509"/>
  <c r="D509" s="1"/>
  <c r="C505"/>
  <c r="D505" s="1"/>
  <c r="C501"/>
  <c r="D501" s="1"/>
  <c r="C497"/>
  <c r="D497" s="1"/>
  <c r="C493"/>
  <c r="D493" s="1"/>
  <c r="C489"/>
  <c r="D489" s="1"/>
  <c r="C485"/>
  <c r="D485" s="1"/>
  <c r="C481"/>
  <c r="D481" s="1"/>
  <c r="C477"/>
  <c r="D477" s="1"/>
  <c r="C473"/>
  <c r="D473" s="1"/>
  <c r="C469"/>
  <c r="D469" s="1"/>
  <c r="C465"/>
  <c r="D465" s="1"/>
  <c r="C461"/>
  <c r="D461" s="1"/>
  <c r="C457"/>
  <c r="D457" s="1"/>
  <c r="C453"/>
  <c r="D453" s="1"/>
  <c r="C449"/>
  <c r="D449" s="1"/>
  <c r="C445"/>
  <c r="D445" s="1"/>
  <c r="C441"/>
  <c r="D441" s="1"/>
  <c r="C437"/>
  <c r="D437" s="1"/>
  <c r="C433"/>
  <c r="D433" s="1"/>
  <c r="C429"/>
  <c r="D429" s="1"/>
  <c r="C425"/>
  <c r="D425" s="1"/>
  <c r="C421"/>
  <c r="D421" s="1"/>
  <c r="C417"/>
  <c r="D417" s="1"/>
  <c r="C413"/>
  <c r="D413" s="1"/>
  <c r="C409"/>
  <c r="D409" s="1"/>
  <c r="C405"/>
  <c r="D405" s="1"/>
  <c r="C401"/>
  <c r="D401" s="1"/>
  <c r="C397"/>
  <c r="D397" s="1"/>
  <c r="C393"/>
  <c r="D393" s="1"/>
  <c r="C389"/>
  <c r="D389" s="1"/>
  <c r="C385"/>
  <c r="D385" s="1"/>
  <c r="C381"/>
  <c r="D381" s="1"/>
  <c r="C377"/>
  <c r="D377" s="1"/>
  <c r="C373"/>
  <c r="D373" s="1"/>
  <c r="C369"/>
  <c r="D369" s="1"/>
  <c r="C365"/>
  <c r="D365" s="1"/>
  <c r="C361"/>
  <c r="D361" s="1"/>
  <c r="C357"/>
  <c r="D357" s="1"/>
  <c r="C353"/>
  <c r="D353" s="1"/>
  <c r="C349"/>
  <c r="D349" s="1"/>
  <c r="C345"/>
  <c r="D345" s="1"/>
  <c r="C341"/>
  <c r="D341" s="1"/>
  <c r="C337"/>
  <c r="D337" s="1"/>
  <c r="C333"/>
  <c r="D333" s="1"/>
  <c r="C329"/>
  <c r="D329" s="1"/>
  <c r="C325"/>
  <c r="D325" s="1"/>
  <c r="C321"/>
  <c r="D321" s="1"/>
  <c r="C317"/>
  <c r="D317" s="1"/>
  <c r="C313"/>
  <c r="D313" s="1"/>
  <c r="C309"/>
  <c r="D309" s="1"/>
  <c r="C305"/>
  <c r="D305" s="1"/>
  <c r="C301"/>
  <c r="D301" s="1"/>
  <c r="C297"/>
  <c r="D297" s="1"/>
  <c r="C293"/>
  <c r="D293" s="1"/>
  <c r="C289"/>
  <c r="D289" s="1"/>
  <c r="C285"/>
  <c r="D285" s="1"/>
  <c r="C281"/>
  <c r="D281" s="1"/>
  <c r="C277"/>
  <c r="D277" s="1"/>
  <c r="C273"/>
  <c r="D273" s="1"/>
  <c r="C269"/>
  <c r="D269" s="1"/>
  <c r="C265"/>
  <c r="D265" s="1"/>
  <c r="C261"/>
  <c r="D261" s="1"/>
  <c r="C257"/>
  <c r="D257" s="1"/>
  <c r="C253"/>
  <c r="D253" s="1"/>
  <c r="C248"/>
  <c r="D248" s="1"/>
  <c r="C240"/>
  <c r="D240" s="1"/>
  <c r="C232"/>
  <c r="D232" s="1"/>
  <c r="C224"/>
  <c r="D224" s="1"/>
  <c r="C216"/>
  <c r="D216" s="1"/>
  <c r="C208"/>
  <c r="D208" s="1"/>
  <c r="C192"/>
  <c r="D192" s="1"/>
  <c r="C184"/>
  <c r="D184" s="1"/>
  <c r="C176"/>
  <c r="D176" s="1"/>
  <c r="C172"/>
  <c r="D172" s="1"/>
  <c r="C168"/>
  <c r="D168" s="1"/>
  <c r="C164"/>
  <c r="D164" s="1"/>
  <c r="C160"/>
  <c r="D160" s="1"/>
  <c r="C152"/>
  <c r="D152" s="1"/>
  <c r="C148"/>
  <c r="D148" s="1"/>
  <c r="C144"/>
  <c r="D144" s="1"/>
  <c r="C140"/>
  <c r="D140" s="1"/>
  <c r="C136"/>
  <c r="D136" s="1"/>
  <c r="C132"/>
  <c r="D132" s="1"/>
  <c r="C128"/>
  <c r="D128" s="1"/>
  <c r="C120"/>
  <c r="D120" s="1"/>
  <c r="C238"/>
  <c r="D238" s="1"/>
  <c r="C174"/>
  <c r="D174" s="1"/>
  <c r="C542"/>
  <c r="D542" s="1"/>
  <c r="C538"/>
  <c r="D538" s="1"/>
  <c r="C534"/>
  <c r="D534" s="1"/>
  <c r="C530"/>
  <c r="D530" s="1"/>
  <c r="C523"/>
  <c r="D523" s="1"/>
  <c r="C519"/>
  <c r="D519" s="1"/>
  <c r="C515"/>
  <c r="D515" s="1"/>
  <c r="C511"/>
  <c r="D511" s="1"/>
  <c r="C507"/>
  <c r="D507" s="1"/>
  <c r="C503"/>
  <c r="D503" s="1"/>
  <c r="C499"/>
  <c r="D499" s="1"/>
  <c r="C495"/>
  <c r="D495" s="1"/>
  <c r="C491"/>
  <c r="D491" s="1"/>
  <c r="C487"/>
  <c r="D487" s="1"/>
  <c r="C483"/>
  <c r="D483" s="1"/>
  <c r="C479"/>
  <c r="D479" s="1"/>
  <c r="C475"/>
  <c r="D475" s="1"/>
  <c r="C471"/>
  <c r="D471" s="1"/>
  <c r="C467"/>
  <c r="D467" s="1"/>
  <c r="C463"/>
  <c r="D463" s="1"/>
  <c r="C459"/>
  <c r="D459" s="1"/>
  <c r="C455"/>
  <c r="D455" s="1"/>
  <c r="C451"/>
  <c r="D451" s="1"/>
  <c r="C447"/>
  <c r="D447" s="1"/>
  <c r="C443"/>
  <c r="D443" s="1"/>
  <c r="C439"/>
  <c r="D439" s="1"/>
  <c r="C435"/>
  <c r="D435" s="1"/>
  <c r="C431"/>
  <c r="D431" s="1"/>
  <c r="C427"/>
  <c r="D427" s="1"/>
  <c r="C423"/>
  <c r="D423" s="1"/>
  <c r="C419"/>
  <c r="D419" s="1"/>
  <c r="C415"/>
  <c r="D415" s="1"/>
  <c r="C411"/>
  <c r="D411" s="1"/>
  <c r="C407"/>
  <c r="D407" s="1"/>
  <c r="C403"/>
  <c r="D403" s="1"/>
  <c r="C399"/>
  <c r="D399" s="1"/>
  <c r="C395"/>
  <c r="D395" s="1"/>
  <c r="C391"/>
  <c r="D391" s="1"/>
  <c r="C387"/>
  <c r="D387" s="1"/>
  <c r="C383"/>
  <c r="D383" s="1"/>
  <c r="C379"/>
  <c r="D379" s="1"/>
  <c r="C375"/>
  <c r="D375" s="1"/>
  <c r="C371"/>
  <c r="D371" s="1"/>
  <c r="C367"/>
  <c r="D367" s="1"/>
  <c r="C363"/>
  <c r="D363" s="1"/>
  <c r="C359"/>
  <c r="D359" s="1"/>
  <c r="C355"/>
  <c r="D355" s="1"/>
  <c r="C351"/>
  <c r="D351" s="1"/>
  <c r="C347"/>
  <c r="D347" s="1"/>
  <c r="C343"/>
  <c r="D343" s="1"/>
  <c r="C339"/>
  <c r="D339" s="1"/>
  <c r="C335"/>
  <c r="D335" s="1"/>
  <c r="C331"/>
  <c r="D331" s="1"/>
  <c r="C327"/>
  <c r="D327" s="1"/>
  <c r="C323"/>
  <c r="D323" s="1"/>
  <c r="C319"/>
  <c r="D319" s="1"/>
  <c r="C315"/>
  <c r="D315" s="1"/>
  <c r="C311"/>
  <c r="D311" s="1"/>
  <c r="C307"/>
  <c r="D307" s="1"/>
  <c r="C303"/>
  <c r="D303" s="1"/>
  <c r="C299"/>
  <c r="D299" s="1"/>
  <c r="C295"/>
  <c r="D295" s="1"/>
  <c r="C291"/>
  <c r="D291" s="1"/>
  <c r="C287"/>
  <c r="D287" s="1"/>
  <c r="C283"/>
  <c r="D283" s="1"/>
  <c r="C279"/>
  <c r="D279" s="1"/>
  <c r="C275"/>
  <c r="D275" s="1"/>
  <c r="C271"/>
  <c r="D271" s="1"/>
  <c r="C267"/>
  <c r="D267" s="1"/>
  <c r="C263"/>
  <c r="D263" s="1"/>
  <c r="C259"/>
  <c r="D259" s="1"/>
  <c r="C255"/>
  <c r="D255" s="1"/>
  <c r="C251"/>
  <c r="D251" s="1"/>
  <c r="C222"/>
  <c r="D222" s="1"/>
  <c r="C190"/>
  <c r="D190" s="1"/>
  <c r="C158"/>
  <c r="D158" s="1"/>
  <c r="C126"/>
  <c r="D126" s="1"/>
  <c r="C109"/>
  <c r="D109" s="1"/>
  <c r="C246"/>
  <c r="D246" s="1"/>
  <c r="C230"/>
  <c r="D230" s="1"/>
  <c r="C214"/>
  <c r="D214" s="1"/>
  <c r="C198"/>
  <c r="D198" s="1"/>
  <c r="C182"/>
  <c r="D182" s="1"/>
  <c r="C166"/>
  <c r="D166" s="1"/>
  <c r="C150"/>
  <c r="D150" s="1"/>
  <c r="C134"/>
  <c r="D134" s="1"/>
  <c r="C118"/>
  <c r="D118" s="1"/>
  <c r="C85"/>
  <c r="D85" s="1"/>
  <c r="C101"/>
  <c r="D101" s="1"/>
  <c r="C117"/>
  <c r="D117" s="1"/>
  <c r="C540"/>
  <c r="D540" s="1"/>
  <c r="C536"/>
  <c r="D536" s="1"/>
  <c r="C532"/>
  <c r="D532" s="1"/>
  <c r="C528"/>
  <c r="D528" s="1"/>
  <c r="C524"/>
  <c r="D524" s="1"/>
  <c r="C520"/>
  <c r="D520" s="1"/>
  <c r="C516"/>
  <c r="D516" s="1"/>
  <c r="C541"/>
  <c r="D541" s="1"/>
  <c r="C537"/>
  <c r="D537" s="1"/>
  <c r="C533"/>
  <c r="D533" s="1"/>
  <c r="C529"/>
  <c r="D529" s="1"/>
  <c r="C525"/>
  <c r="D525" s="1"/>
  <c r="C521"/>
  <c r="D521" s="1"/>
  <c r="C517"/>
  <c r="D517" s="1"/>
  <c r="C512"/>
  <c r="D512" s="1"/>
  <c r="C508"/>
  <c r="D508" s="1"/>
  <c r="C504"/>
  <c r="D504" s="1"/>
  <c r="C500"/>
  <c r="D500" s="1"/>
  <c r="C496"/>
  <c r="D496" s="1"/>
  <c r="C492"/>
  <c r="D492" s="1"/>
  <c r="C488"/>
  <c r="D488" s="1"/>
  <c r="C484"/>
  <c r="D484" s="1"/>
  <c r="C480"/>
  <c r="D480" s="1"/>
  <c r="C476"/>
  <c r="D476" s="1"/>
  <c r="C472"/>
  <c r="D472" s="1"/>
  <c r="C468"/>
  <c r="D468" s="1"/>
  <c r="C464"/>
  <c r="D464" s="1"/>
  <c r="C460"/>
  <c r="D460" s="1"/>
  <c r="C456"/>
  <c r="D456" s="1"/>
  <c r="C452"/>
  <c r="D452" s="1"/>
  <c r="C448"/>
  <c r="D448" s="1"/>
  <c r="C444"/>
  <c r="D444" s="1"/>
  <c r="C440"/>
  <c r="D440" s="1"/>
  <c r="C436"/>
  <c r="D436" s="1"/>
  <c r="C432"/>
  <c r="D432" s="1"/>
  <c r="C428"/>
  <c r="D428" s="1"/>
  <c r="C424"/>
  <c r="D424" s="1"/>
  <c r="C420"/>
  <c r="D420" s="1"/>
  <c r="C416"/>
  <c r="D416" s="1"/>
  <c r="C412"/>
  <c r="D412" s="1"/>
  <c r="C408"/>
  <c r="D408" s="1"/>
  <c r="C404"/>
  <c r="D404" s="1"/>
  <c r="C400"/>
  <c r="D400" s="1"/>
  <c r="C396"/>
  <c r="D396" s="1"/>
  <c r="C392"/>
  <c r="D392" s="1"/>
  <c r="C388"/>
  <c r="D388" s="1"/>
  <c r="C384"/>
  <c r="D384" s="1"/>
  <c r="C380"/>
  <c r="D380" s="1"/>
  <c r="C376"/>
  <c r="D376" s="1"/>
  <c r="C372"/>
  <c r="D372" s="1"/>
  <c r="C368"/>
  <c r="D368" s="1"/>
  <c r="C364"/>
  <c r="D364" s="1"/>
  <c r="C360"/>
  <c r="D360" s="1"/>
  <c r="C356"/>
  <c r="D356" s="1"/>
  <c r="C352"/>
  <c r="D352" s="1"/>
  <c r="C348"/>
  <c r="D348" s="1"/>
  <c r="C344"/>
  <c r="D344" s="1"/>
  <c r="C340"/>
  <c r="D340" s="1"/>
  <c r="C336"/>
  <c r="D336" s="1"/>
  <c r="C332"/>
  <c r="D332" s="1"/>
  <c r="C328"/>
  <c r="D328" s="1"/>
  <c r="C324"/>
  <c r="D324" s="1"/>
  <c r="C320"/>
  <c r="D320" s="1"/>
  <c r="C316"/>
  <c r="D316" s="1"/>
  <c r="C312"/>
  <c r="D312" s="1"/>
  <c r="C308"/>
  <c r="D308" s="1"/>
  <c r="C304"/>
  <c r="D304" s="1"/>
  <c r="C300"/>
  <c r="D300" s="1"/>
  <c r="C296"/>
  <c r="D296" s="1"/>
  <c r="C292"/>
  <c r="D292" s="1"/>
  <c r="C288"/>
  <c r="D288" s="1"/>
  <c r="C284"/>
  <c r="D284" s="1"/>
  <c r="C280"/>
  <c r="D280" s="1"/>
  <c r="C276"/>
  <c r="D276" s="1"/>
  <c r="C272"/>
  <c r="D272" s="1"/>
  <c r="C268"/>
  <c r="D268" s="1"/>
  <c r="C264"/>
  <c r="D264" s="1"/>
  <c r="C260"/>
  <c r="D260" s="1"/>
  <c r="C256"/>
  <c r="D256" s="1"/>
  <c r="C252"/>
  <c r="D252" s="1"/>
  <c r="C249"/>
  <c r="D249" s="1"/>
  <c r="C241"/>
  <c r="D241" s="1"/>
  <c r="C233"/>
  <c r="D233" s="1"/>
  <c r="C225"/>
  <c r="D225" s="1"/>
  <c r="C217"/>
  <c r="D217" s="1"/>
  <c r="C209"/>
  <c r="D209" s="1"/>
  <c r="C201"/>
  <c r="D201" s="1"/>
  <c r="C193"/>
  <c r="D193" s="1"/>
  <c r="C185"/>
  <c r="D185" s="1"/>
  <c r="C177"/>
  <c r="D177" s="1"/>
  <c r="C169"/>
  <c r="D169" s="1"/>
  <c r="C161"/>
  <c r="D161" s="1"/>
  <c r="C153"/>
  <c r="D153" s="1"/>
  <c r="C242"/>
  <c r="D242" s="1"/>
  <c r="C234"/>
  <c r="D234" s="1"/>
  <c r="C226"/>
  <c r="D226" s="1"/>
  <c r="C218"/>
  <c r="D218" s="1"/>
  <c r="C210"/>
  <c r="D210" s="1"/>
  <c r="C202"/>
  <c r="D202" s="1"/>
  <c r="C194"/>
  <c r="D194" s="1"/>
  <c r="C186"/>
  <c r="D186" s="1"/>
  <c r="C178"/>
  <c r="D178" s="1"/>
  <c r="C170"/>
  <c r="D170" s="1"/>
  <c r="C162"/>
  <c r="D162" s="1"/>
  <c r="C154"/>
  <c r="D154" s="1"/>
  <c r="C146"/>
  <c r="D146" s="1"/>
  <c r="C138"/>
  <c r="D138" s="1"/>
  <c r="C130"/>
  <c r="D130" s="1"/>
  <c r="C122"/>
  <c r="D122" s="1"/>
  <c r="C114"/>
  <c r="D114" s="1"/>
  <c r="C106"/>
  <c r="D106" s="1"/>
  <c r="C98"/>
  <c r="D98" s="1"/>
  <c r="C90"/>
  <c r="D90" s="1"/>
  <c r="C82"/>
  <c r="D82" s="1"/>
  <c r="C244"/>
  <c r="D244" s="1"/>
  <c r="C236"/>
  <c r="D236" s="1"/>
  <c r="C228"/>
  <c r="D228" s="1"/>
  <c r="C220"/>
  <c r="D220" s="1"/>
  <c r="C212"/>
  <c r="D212" s="1"/>
  <c r="C204"/>
  <c r="D204" s="1"/>
  <c r="C196"/>
  <c r="D196" s="1"/>
  <c r="C188"/>
  <c r="D188" s="1"/>
  <c r="C180"/>
  <c r="D180" s="1"/>
  <c r="C526"/>
  <c r="D526" s="1"/>
  <c r="C522"/>
  <c r="D522" s="1"/>
  <c r="C518"/>
  <c r="D518" s="1"/>
  <c r="C514"/>
  <c r="D514" s="1"/>
  <c r="C539"/>
  <c r="D539" s="1"/>
  <c r="C535"/>
  <c r="D535" s="1"/>
  <c r="C531"/>
  <c r="D531" s="1"/>
  <c r="C527"/>
  <c r="D527" s="1"/>
  <c r="C510"/>
  <c r="D510" s="1"/>
  <c r="C506"/>
  <c r="D506" s="1"/>
  <c r="C502"/>
  <c r="D502" s="1"/>
  <c r="C498"/>
  <c r="D498" s="1"/>
  <c r="C494"/>
  <c r="D494" s="1"/>
  <c r="C490"/>
  <c r="D490" s="1"/>
  <c r="C486"/>
  <c r="D486" s="1"/>
  <c r="C482"/>
  <c r="D482" s="1"/>
  <c r="C478"/>
  <c r="D478" s="1"/>
  <c r="C474"/>
  <c r="D474" s="1"/>
  <c r="C470"/>
  <c r="D470" s="1"/>
  <c r="C466"/>
  <c r="D466" s="1"/>
  <c r="C462"/>
  <c r="D462" s="1"/>
  <c r="C458"/>
  <c r="D458" s="1"/>
  <c r="C454"/>
  <c r="D454" s="1"/>
  <c r="C450"/>
  <c r="D450" s="1"/>
  <c r="C446"/>
  <c r="D446" s="1"/>
  <c r="C442"/>
  <c r="D442" s="1"/>
  <c r="C438"/>
  <c r="D438" s="1"/>
  <c r="C434"/>
  <c r="D434" s="1"/>
  <c r="C430"/>
  <c r="D430" s="1"/>
  <c r="C426"/>
  <c r="D426" s="1"/>
  <c r="C422"/>
  <c r="D422" s="1"/>
  <c r="C418"/>
  <c r="D418" s="1"/>
  <c r="C414"/>
  <c r="D414" s="1"/>
  <c r="C410"/>
  <c r="D410" s="1"/>
  <c r="C406"/>
  <c r="D406" s="1"/>
  <c r="C402"/>
  <c r="D402" s="1"/>
  <c r="C398"/>
  <c r="D398" s="1"/>
  <c r="C394"/>
  <c r="D394" s="1"/>
  <c r="C390"/>
  <c r="D390" s="1"/>
  <c r="C386"/>
  <c r="D386" s="1"/>
  <c r="C382"/>
  <c r="D382" s="1"/>
  <c r="C378"/>
  <c r="D378" s="1"/>
  <c r="C374"/>
  <c r="D374" s="1"/>
  <c r="C370"/>
  <c r="D370" s="1"/>
  <c r="C366"/>
  <c r="D366" s="1"/>
  <c r="C362"/>
  <c r="D362" s="1"/>
  <c r="C358"/>
  <c r="D358" s="1"/>
  <c r="C354"/>
  <c r="D354" s="1"/>
  <c r="C350"/>
  <c r="D350" s="1"/>
  <c r="C346"/>
  <c r="D346" s="1"/>
  <c r="C342"/>
  <c r="D342" s="1"/>
  <c r="C338"/>
  <c r="D338" s="1"/>
  <c r="C334"/>
  <c r="D334" s="1"/>
  <c r="C330"/>
  <c r="D330" s="1"/>
  <c r="C326"/>
  <c r="D326" s="1"/>
  <c r="C322"/>
  <c r="D322" s="1"/>
  <c r="C318"/>
  <c r="D318" s="1"/>
  <c r="C314"/>
  <c r="D314" s="1"/>
  <c r="C310"/>
  <c r="D310" s="1"/>
  <c r="C306"/>
  <c r="D306" s="1"/>
  <c r="C302"/>
  <c r="D302" s="1"/>
  <c r="C298"/>
  <c r="D298" s="1"/>
  <c r="C294"/>
  <c r="D294" s="1"/>
  <c r="C290"/>
  <c r="D290" s="1"/>
  <c r="C286"/>
  <c r="D286" s="1"/>
  <c r="C282"/>
  <c r="D282" s="1"/>
  <c r="C278"/>
  <c r="D278" s="1"/>
  <c r="C274"/>
  <c r="D274" s="1"/>
  <c r="C270"/>
  <c r="D270" s="1"/>
  <c r="C266"/>
  <c r="D266" s="1"/>
  <c r="C262"/>
  <c r="D262" s="1"/>
  <c r="C258"/>
  <c r="D258" s="1"/>
  <c r="C254"/>
  <c r="D254" s="1"/>
  <c r="C250"/>
  <c r="D250" s="1"/>
  <c r="C2"/>
  <c r="B24" i="2" l="1"/>
  <c r="B17"/>
  <c r="D2" i="4"/>
  <c r="B19" i="2" l="1"/>
  <c r="B22" s="1"/>
  <c r="A50" l="1"/>
</calcChain>
</file>

<file path=xl/sharedStrings.xml><?xml version="1.0" encoding="utf-8"?>
<sst xmlns="http://schemas.openxmlformats.org/spreadsheetml/2006/main" count="56" uniqueCount="54">
  <si>
    <t xml:space="preserve">Peak No. </t>
  </si>
  <si>
    <t>BE / eV</t>
  </si>
  <si>
    <t>Height</t>
  </si>
  <si>
    <t>LFWHM / eV</t>
  </si>
  <si>
    <t>RFWHM / eV</t>
  </si>
  <si>
    <t>LGauss(1-0)</t>
  </si>
  <si>
    <t>RGauss(1-0)</t>
  </si>
  <si>
    <t>Area</t>
  </si>
  <si>
    <t>Lbackgrd</t>
  </si>
  <si>
    <t>Rbackgrd</t>
  </si>
  <si>
    <t>SlopeB</t>
  </si>
  <si>
    <t>Sum (Fit) =</t>
  </si>
  <si>
    <t>Sum (Expt) =</t>
  </si>
  <si>
    <t>Error</t>
  </si>
  <si>
    <t>No.of Points</t>
  </si>
  <si>
    <t>RMS</t>
  </si>
  <si>
    <t>L_Lwidth</t>
  </si>
  <si>
    <t>L_Gwidth</t>
  </si>
  <si>
    <t>R_Lwidth</t>
  </si>
  <si>
    <t>R_Gwidth</t>
  </si>
  <si>
    <t>ScreenUpdating :</t>
  </si>
  <si>
    <t>Solver Parameters :</t>
  </si>
  <si>
    <t>Parameters used in multiple calculations.</t>
  </si>
  <si>
    <t>MIN(Data!A:A)</t>
  </si>
  <si>
    <t>Fit</t>
  </si>
  <si>
    <r>
      <t>D</t>
    </r>
    <r>
      <rPr>
        <vertAlign val="superscript"/>
        <sz val="10"/>
        <rFont val="Arial"/>
        <family val="2"/>
      </rPr>
      <t>2</t>
    </r>
  </si>
  <si>
    <t>Lin.Bkgrd</t>
  </si>
  <si>
    <t>Peak 1</t>
  </si>
  <si>
    <t>Peak 2</t>
  </si>
  <si>
    <t>Peak 3</t>
  </si>
  <si>
    <t>Peak 4</t>
  </si>
  <si>
    <t>Peak 5</t>
  </si>
  <si>
    <t>Peak 6</t>
  </si>
  <si>
    <t>Peak 7</t>
  </si>
  <si>
    <t>Peak 8</t>
  </si>
  <si>
    <t>Peak 9</t>
  </si>
  <si>
    <t>Peak 10</t>
  </si>
  <si>
    <t>Sh.Bkg.</t>
  </si>
  <si>
    <t>Data-Sh.Bkg.</t>
  </si>
  <si>
    <t>Iterations</t>
  </si>
  <si>
    <t>Test Data</t>
  </si>
  <si>
    <t>Calculation &amp; Contol Parameters (do not alter).</t>
  </si>
  <si>
    <t>x(i)-Sig1</t>
  </si>
  <si>
    <t>Vert. Pixel</t>
  </si>
  <si>
    <t>imverted multi pk</t>
  </si>
  <si>
    <t>Full exponential</t>
  </si>
  <si>
    <t>correlation</t>
  </si>
  <si>
    <t>http://www.chem.qmul.ac.uk/software/eXPFit.htm</t>
  </si>
  <si>
    <t>see the link below for the software and doc package.</t>
  </si>
  <si>
    <t>Position</t>
  </si>
  <si>
    <t>Orig. F Index</t>
  </si>
  <si>
    <t>Obs F Row</t>
  </si>
  <si>
    <t>Relative F Row</t>
  </si>
  <si>
    <t>Runnig Obs Row</t>
  </si>
</sst>
</file>

<file path=xl/styles.xml><?xml version="1.0" encoding="utf-8"?>
<styleSheet xmlns="http://schemas.openxmlformats.org/spreadsheetml/2006/main">
  <numFmts count="5">
    <numFmt numFmtId="164" formatCode="0.0"/>
    <numFmt numFmtId="165" formatCode="0.000"/>
    <numFmt numFmtId="166" formatCode="0.0000"/>
    <numFmt numFmtId="167" formatCode="0.00000"/>
    <numFmt numFmtId="168" formatCode="0.0000000"/>
  </numFmts>
  <fonts count="17">
    <font>
      <sz val="10"/>
      <name val="Arial"/>
    </font>
    <font>
      <sz val="10"/>
      <name val="Arial"/>
      <family val="2"/>
    </font>
    <font>
      <sz val="10"/>
      <name val="Arial"/>
      <family val="2"/>
    </font>
    <font>
      <sz val="10"/>
      <name val="Arial"/>
      <family val="2"/>
    </font>
    <font>
      <sz val="10"/>
      <name val="Arial"/>
      <family val="2"/>
    </font>
    <font>
      <sz val="10"/>
      <color theme="1"/>
      <name val="Arial"/>
      <family val="2"/>
    </font>
    <font>
      <sz val="10"/>
      <name val="Arial"/>
      <family val="2"/>
    </font>
    <font>
      <vertAlign val="superscript"/>
      <sz val="10"/>
      <name val="Arial"/>
      <family val="2"/>
    </font>
    <font>
      <sz val="10"/>
      <name val="Symbol"/>
      <family val="1"/>
      <charset val="2"/>
    </font>
    <font>
      <b/>
      <sz val="10"/>
      <color indexed="10"/>
      <name val="Arial"/>
      <family val="2"/>
    </font>
    <font>
      <b/>
      <sz val="10"/>
      <name val="Arial"/>
      <family val="2"/>
    </font>
    <font>
      <b/>
      <sz val="10"/>
      <color theme="1"/>
      <name val="Arial"/>
      <family val="2"/>
    </font>
    <font>
      <sz val="10"/>
      <color rgb="FF000000"/>
      <name val="Arial"/>
      <family val="2"/>
    </font>
    <font>
      <sz val="10"/>
      <color rgb="FFC00000"/>
      <name val="Arial"/>
      <family val="2"/>
    </font>
    <font>
      <sz val="8"/>
      <color rgb="FF333333"/>
      <name val="Courier New"/>
      <family val="3"/>
    </font>
    <font>
      <u/>
      <sz val="10"/>
      <color theme="10"/>
      <name val="Arial"/>
      <family val="2"/>
    </font>
    <font>
      <b/>
      <sz val="11"/>
      <color theme="1"/>
      <name val="Calibri"/>
      <family val="2"/>
      <scheme val="minor"/>
    </font>
  </fonts>
  <fills count="4">
    <fill>
      <patternFill patternType="none"/>
    </fill>
    <fill>
      <patternFill patternType="gray125"/>
    </fill>
    <fill>
      <patternFill patternType="solid">
        <fgColor indexed="26"/>
        <bgColor indexed="64"/>
      </patternFill>
    </fill>
    <fill>
      <patternFill patternType="solid">
        <fgColor indexed="47"/>
        <bgColor indexed="64"/>
      </patternFill>
    </fill>
  </fills>
  <borders count="1">
    <border>
      <left/>
      <right/>
      <top/>
      <bottom/>
      <diagonal/>
    </border>
  </borders>
  <cellStyleXfs count="3">
    <xf numFmtId="0" fontId="0" fillId="0" borderId="0"/>
    <xf numFmtId="0" fontId="5" fillId="0" borderId="0"/>
    <xf numFmtId="0" fontId="15" fillId="0" borderId="0" applyNumberFormat="0" applyFill="0" applyBorder="0" applyAlignment="0" applyProtection="0">
      <alignment vertical="top"/>
      <protection locked="0"/>
    </xf>
  </cellStyleXfs>
  <cellXfs count="42">
    <xf numFmtId="0" fontId="0" fillId="0" borderId="0" xfId="0"/>
    <xf numFmtId="2" fontId="0" fillId="0" borderId="0" xfId="0" applyNumberFormat="1"/>
    <xf numFmtId="0" fontId="0" fillId="0" borderId="0" xfId="0" applyAlignment="1">
      <alignment horizontal="center"/>
    </xf>
    <xf numFmtId="1" fontId="0" fillId="0" borderId="0" xfId="0" applyNumberFormat="1"/>
    <xf numFmtId="11" fontId="0" fillId="0" borderId="0" xfId="0" applyNumberFormat="1"/>
    <xf numFmtId="1" fontId="0" fillId="2" borderId="0" xfId="0" applyNumberFormat="1" applyFill="1"/>
    <xf numFmtId="166" fontId="0" fillId="0" borderId="0" xfId="0" applyNumberFormat="1"/>
    <xf numFmtId="0" fontId="0" fillId="0" borderId="0" xfId="0" applyFill="1"/>
    <xf numFmtId="166" fontId="0" fillId="0" borderId="0" xfId="0" applyNumberFormat="1" applyFill="1"/>
    <xf numFmtId="1" fontId="0" fillId="0" borderId="0" xfId="0" applyNumberFormat="1" applyFill="1"/>
    <xf numFmtId="11" fontId="0" fillId="0" borderId="0" xfId="0" applyNumberFormat="1" applyFill="1"/>
    <xf numFmtId="2" fontId="0" fillId="0" borderId="0" xfId="0" applyNumberFormat="1" applyFill="1"/>
    <xf numFmtId="164" fontId="0" fillId="0" borderId="0" xfId="0" applyNumberFormat="1" applyAlignment="1">
      <alignment horizontal="center"/>
    </xf>
    <xf numFmtId="1" fontId="0" fillId="0" borderId="0" xfId="0" applyNumberFormat="1" applyAlignment="1">
      <alignment horizontal="center"/>
    </xf>
    <xf numFmtId="2" fontId="0" fillId="3" borderId="0" xfId="0" applyNumberFormat="1" applyFill="1"/>
    <xf numFmtId="1" fontId="0" fillId="3" borderId="0" xfId="0" applyNumberFormat="1" applyFill="1"/>
    <xf numFmtId="165" fontId="0" fillId="3" borderId="0" xfId="0" applyNumberFormat="1" applyFill="1"/>
    <xf numFmtId="2" fontId="0" fillId="2" borderId="0" xfId="0" applyNumberFormat="1" applyFill="1"/>
    <xf numFmtId="165" fontId="0" fillId="2" borderId="0" xfId="0" applyNumberFormat="1" applyFill="1"/>
    <xf numFmtId="165" fontId="0" fillId="0" borderId="0" xfId="0" applyNumberFormat="1"/>
    <xf numFmtId="0" fontId="10" fillId="0" borderId="0" xfId="0" applyFont="1"/>
    <xf numFmtId="0" fontId="5" fillId="0" borderId="0" xfId="1"/>
    <xf numFmtId="0" fontId="6" fillId="0" borderId="0" xfId="1" applyFont="1"/>
    <xf numFmtId="0" fontId="11" fillId="0" borderId="0" xfId="1" applyFont="1" applyAlignment="1">
      <alignment wrapText="1"/>
    </xf>
    <xf numFmtId="0" fontId="13" fillId="0" borderId="0" xfId="1" applyFont="1"/>
    <xf numFmtId="0" fontId="10" fillId="0" borderId="0" xfId="1" applyFont="1" applyAlignment="1">
      <alignment wrapText="1"/>
    </xf>
    <xf numFmtId="0" fontId="12" fillId="0" borderId="0" xfId="0" applyFont="1" applyAlignment="1">
      <alignment horizontal="left" indent="4"/>
    </xf>
    <xf numFmtId="0" fontId="14" fillId="0" borderId="0" xfId="1" quotePrefix="1" applyFont="1" applyAlignment="1">
      <alignment horizontal="left"/>
    </xf>
    <xf numFmtId="167" fontId="0" fillId="0" borderId="0" xfId="0" applyNumberFormat="1"/>
    <xf numFmtId="166" fontId="0" fillId="0" borderId="0" xfId="0" applyNumberFormat="1" applyAlignment="1">
      <alignment horizontal="center"/>
    </xf>
    <xf numFmtId="0" fontId="4" fillId="0" borderId="0" xfId="0" applyFont="1"/>
    <xf numFmtId="166" fontId="9" fillId="0" borderId="0" xfId="0" applyNumberFormat="1" applyFont="1" applyFill="1"/>
    <xf numFmtId="0" fontId="0" fillId="0" borderId="0" xfId="0" applyFont="1" applyFill="1"/>
    <xf numFmtId="0" fontId="3" fillId="0" borderId="0" xfId="0" applyFont="1"/>
    <xf numFmtId="168" fontId="0" fillId="0" borderId="0" xfId="0" applyNumberFormat="1" applyFill="1"/>
    <xf numFmtId="0" fontId="2" fillId="0" borderId="0" xfId="0" applyFont="1"/>
    <xf numFmtId="0" fontId="15" fillId="0" borderId="0" xfId="2" applyAlignment="1" applyProtection="1"/>
    <xf numFmtId="0" fontId="1" fillId="0" borderId="0" xfId="0" applyFont="1" applyFill="1"/>
    <xf numFmtId="165" fontId="1" fillId="0" borderId="0" xfId="0" applyNumberFormat="1" applyFont="1"/>
    <xf numFmtId="0" fontId="16" fillId="0" borderId="0" xfId="0" applyFont="1" applyAlignment="1">
      <alignment wrapText="1"/>
    </xf>
    <xf numFmtId="165" fontId="1" fillId="2" borderId="0" xfId="0" applyNumberFormat="1" applyFont="1" applyFill="1"/>
    <xf numFmtId="165" fontId="8" fillId="0" borderId="0" xfId="0" applyNumberFormat="1" applyFont="1" applyAlignment="1">
      <alignment horizontal="center"/>
    </xf>
  </cellXfs>
  <cellStyles count="3">
    <cellStyle name="Hyperlink" xfId="2" builtinId="8"/>
    <cellStyle name="Normal" xfId="0" builtinId="0"/>
    <cellStyle name="Normal 2" xfId="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chartsheet" Target="chartsheets/sheet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styles" Target="styles.xml"/><Relationship Id="rId5" Type="http://schemas.openxmlformats.org/officeDocument/2006/relationships/chartsheet" Target="chartsheets/sheet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7.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9.3750000000000555E-2"/>
          <c:y val="3.9215686274509803E-2"/>
          <c:w val="0.7578125"/>
          <c:h val="0.87114845938375685"/>
        </c:manualLayout>
      </c:layout>
      <c:scatterChart>
        <c:scatterStyle val="smoothMarker"/>
        <c:ser>
          <c:idx val="1"/>
          <c:order val="0"/>
          <c:tx>
            <c:strRef>
              <c:f>Data!$B$1</c:f>
              <c:strCache>
                <c:ptCount val="1"/>
                <c:pt idx="0">
                  <c:v>Test Data</c:v>
                </c:pt>
              </c:strCache>
            </c:strRef>
          </c:tx>
          <c:spPr>
            <a:ln w="3175">
              <a:solidFill>
                <a:srgbClr val="FF0000"/>
              </a:solidFill>
              <a:prstDash val="solid"/>
            </a:ln>
          </c:spPr>
          <c:marker>
            <c:symbol val="none"/>
          </c:marker>
          <c:xVal>
            <c:numRef>
              <c:f>Data!$A$2:$A$700</c:f>
              <c:numCache>
                <c:formatCode>General</c:formatCode>
                <c:ptCount val="699"/>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c:v>
                </c:pt>
                <c:pt idx="193">
                  <c:v>386</c:v>
                </c:pt>
                <c:pt idx="194">
                  <c:v>388</c:v>
                </c:pt>
                <c:pt idx="195">
                  <c:v>390</c:v>
                </c:pt>
                <c:pt idx="196">
                  <c:v>392</c:v>
                </c:pt>
                <c:pt idx="197">
                  <c:v>394</c:v>
                </c:pt>
                <c:pt idx="198">
                  <c:v>396</c:v>
                </c:pt>
                <c:pt idx="199">
                  <c:v>398</c:v>
                </c:pt>
                <c:pt idx="200">
                  <c:v>400</c:v>
                </c:pt>
                <c:pt idx="201">
                  <c:v>402</c:v>
                </c:pt>
                <c:pt idx="202">
                  <c:v>404</c:v>
                </c:pt>
                <c:pt idx="203">
                  <c:v>406</c:v>
                </c:pt>
                <c:pt idx="204">
                  <c:v>408</c:v>
                </c:pt>
                <c:pt idx="205">
                  <c:v>410</c:v>
                </c:pt>
                <c:pt idx="206">
                  <c:v>412</c:v>
                </c:pt>
                <c:pt idx="207">
                  <c:v>414</c:v>
                </c:pt>
                <c:pt idx="208">
                  <c:v>416</c:v>
                </c:pt>
                <c:pt idx="209">
                  <c:v>418</c:v>
                </c:pt>
                <c:pt idx="210">
                  <c:v>420</c:v>
                </c:pt>
                <c:pt idx="211">
                  <c:v>422</c:v>
                </c:pt>
                <c:pt idx="212">
                  <c:v>424</c:v>
                </c:pt>
                <c:pt idx="213">
                  <c:v>426</c:v>
                </c:pt>
                <c:pt idx="214">
                  <c:v>428</c:v>
                </c:pt>
                <c:pt idx="215">
                  <c:v>430</c:v>
                </c:pt>
                <c:pt idx="216">
                  <c:v>432</c:v>
                </c:pt>
                <c:pt idx="217">
                  <c:v>434</c:v>
                </c:pt>
                <c:pt idx="218">
                  <c:v>436</c:v>
                </c:pt>
                <c:pt idx="219">
                  <c:v>438</c:v>
                </c:pt>
                <c:pt idx="220">
                  <c:v>440</c:v>
                </c:pt>
                <c:pt idx="221">
                  <c:v>442</c:v>
                </c:pt>
                <c:pt idx="222">
                  <c:v>444</c:v>
                </c:pt>
                <c:pt idx="223">
                  <c:v>446</c:v>
                </c:pt>
                <c:pt idx="224">
                  <c:v>448</c:v>
                </c:pt>
                <c:pt idx="225">
                  <c:v>450</c:v>
                </c:pt>
                <c:pt idx="226">
                  <c:v>452</c:v>
                </c:pt>
                <c:pt idx="227">
                  <c:v>454</c:v>
                </c:pt>
                <c:pt idx="228">
                  <c:v>456</c:v>
                </c:pt>
                <c:pt idx="229">
                  <c:v>458</c:v>
                </c:pt>
                <c:pt idx="230">
                  <c:v>460</c:v>
                </c:pt>
                <c:pt idx="231">
                  <c:v>462</c:v>
                </c:pt>
                <c:pt idx="232">
                  <c:v>464</c:v>
                </c:pt>
                <c:pt idx="233">
                  <c:v>466</c:v>
                </c:pt>
                <c:pt idx="234">
                  <c:v>468</c:v>
                </c:pt>
                <c:pt idx="235">
                  <c:v>470</c:v>
                </c:pt>
                <c:pt idx="236">
                  <c:v>472</c:v>
                </c:pt>
                <c:pt idx="237">
                  <c:v>474</c:v>
                </c:pt>
                <c:pt idx="238">
                  <c:v>476</c:v>
                </c:pt>
                <c:pt idx="239">
                  <c:v>478</c:v>
                </c:pt>
                <c:pt idx="240">
                  <c:v>480</c:v>
                </c:pt>
                <c:pt idx="241">
                  <c:v>482</c:v>
                </c:pt>
                <c:pt idx="242">
                  <c:v>484</c:v>
                </c:pt>
                <c:pt idx="243">
                  <c:v>486</c:v>
                </c:pt>
                <c:pt idx="244">
                  <c:v>488</c:v>
                </c:pt>
                <c:pt idx="245">
                  <c:v>490</c:v>
                </c:pt>
                <c:pt idx="246">
                  <c:v>492</c:v>
                </c:pt>
                <c:pt idx="247">
                  <c:v>494</c:v>
                </c:pt>
                <c:pt idx="248">
                  <c:v>496</c:v>
                </c:pt>
                <c:pt idx="249">
                  <c:v>498</c:v>
                </c:pt>
                <c:pt idx="250">
                  <c:v>500</c:v>
                </c:pt>
                <c:pt idx="251">
                  <c:v>502</c:v>
                </c:pt>
                <c:pt idx="252">
                  <c:v>504</c:v>
                </c:pt>
                <c:pt idx="253">
                  <c:v>506</c:v>
                </c:pt>
                <c:pt idx="254">
                  <c:v>508</c:v>
                </c:pt>
                <c:pt idx="255">
                  <c:v>510</c:v>
                </c:pt>
                <c:pt idx="256">
                  <c:v>512</c:v>
                </c:pt>
                <c:pt idx="257">
                  <c:v>514</c:v>
                </c:pt>
                <c:pt idx="258">
                  <c:v>516</c:v>
                </c:pt>
                <c:pt idx="259">
                  <c:v>518</c:v>
                </c:pt>
                <c:pt idx="260">
                  <c:v>520</c:v>
                </c:pt>
                <c:pt idx="261">
                  <c:v>522</c:v>
                </c:pt>
                <c:pt idx="262">
                  <c:v>524</c:v>
                </c:pt>
                <c:pt idx="263">
                  <c:v>526</c:v>
                </c:pt>
                <c:pt idx="264">
                  <c:v>528</c:v>
                </c:pt>
                <c:pt idx="265">
                  <c:v>530</c:v>
                </c:pt>
                <c:pt idx="266">
                  <c:v>532</c:v>
                </c:pt>
                <c:pt idx="267">
                  <c:v>534</c:v>
                </c:pt>
                <c:pt idx="268">
                  <c:v>536</c:v>
                </c:pt>
                <c:pt idx="269">
                  <c:v>538</c:v>
                </c:pt>
                <c:pt idx="270">
                  <c:v>540</c:v>
                </c:pt>
                <c:pt idx="271">
                  <c:v>542</c:v>
                </c:pt>
                <c:pt idx="272">
                  <c:v>544</c:v>
                </c:pt>
                <c:pt idx="273">
                  <c:v>546</c:v>
                </c:pt>
                <c:pt idx="274">
                  <c:v>548</c:v>
                </c:pt>
                <c:pt idx="275">
                  <c:v>550</c:v>
                </c:pt>
                <c:pt idx="276">
                  <c:v>552</c:v>
                </c:pt>
                <c:pt idx="277">
                  <c:v>554</c:v>
                </c:pt>
                <c:pt idx="278">
                  <c:v>556</c:v>
                </c:pt>
                <c:pt idx="279">
                  <c:v>558</c:v>
                </c:pt>
                <c:pt idx="280">
                  <c:v>560</c:v>
                </c:pt>
                <c:pt idx="281">
                  <c:v>562</c:v>
                </c:pt>
                <c:pt idx="282">
                  <c:v>564</c:v>
                </c:pt>
                <c:pt idx="283">
                  <c:v>566</c:v>
                </c:pt>
                <c:pt idx="284">
                  <c:v>568</c:v>
                </c:pt>
                <c:pt idx="285">
                  <c:v>570</c:v>
                </c:pt>
                <c:pt idx="286">
                  <c:v>572</c:v>
                </c:pt>
                <c:pt idx="287">
                  <c:v>574</c:v>
                </c:pt>
                <c:pt idx="288">
                  <c:v>576</c:v>
                </c:pt>
                <c:pt idx="289">
                  <c:v>578</c:v>
                </c:pt>
                <c:pt idx="290">
                  <c:v>580</c:v>
                </c:pt>
                <c:pt idx="291">
                  <c:v>582</c:v>
                </c:pt>
                <c:pt idx="292">
                  <c:v>584</c:v>
                </c:pt>
                <c:pt idx="293">
                  <c:v>586</c:v>
                </c:pt>
                <c:pt idx="294">
                  <c:v>588</c:v>
                </c:pt>
                <c:pt idx="295">
                  <c:v>590</c:v>
                </c:pt>
                <c:pt idx="296">
                  <c:v>592</c:v>
                </c:pt>
                <c:pt idx="297">
                  <c:v>594</c:v>
                </c:pt>
                <c:pt idx="298">
                  <c:v>596</c:v>
                </c:pt>
                <c:pt idx="299">
                  <c:v>598</c:v>
                </c:pt>
                <c:pt idx="300">
                  <c:v>600</c:v>
                </c:pt>
                <c:pt idx="301">
                  <c:v>602</c:v>
                </c:pt>
                <c:pt idx="302">
                  <c:v>604</c:v>
                </c:pt>
                <c:pt idx="303">
                  <c:v>606</c:v>
                </c:pt>
                <c:pt idx="304">
                  <c:v>608</c:v>
                </c:pt>
                <c:pt idx="305">
                  <c:v>610</c:v>
                </c:pt>
                <c:pt idx="306">
                  <c:v>612</c:v>
                </c:pt>
                <c:pt idx="307">
                  <c:v>614</c:v>
                </c:pt>
                <c:pt idx="308">
                  <c:v>616</c:v>
                </c:pt>
                <c:pt idx="309">
                  <c:v>618</c:v>
                </c:pt>
                <c:pt idx="310">
                  <c:v>620</c:v>
                </c:pt>
                <c:pt idx="311">
                  <c:v>622</c:v>
                </c:pt>
                <c:pt idx="312">
                  <c:v>624</c:v>
                </c:pt>
                <c:pt idx="313">
                  <c:v>626</c:v>
                </c:pt>
                <c:pt idx="314">
                  <c:v>628</c:v>
                </c:pt>
                <c:pt idx="315">
                  <c:v>630</c:v>
                </c:pt>
                <c:pt idx="316">
                  <c:v>632</c:v>
                </c:pt>
                <c:pt idx="317">
                  <c:v>634</c:v>
                </c:pt>
                <c:pt idx="318">
                  <c:v>636</c:v>
                </c:pt>
                <c:pt idx="319">
                  <c:v>638</c:v>
                </c:pt>
                <c:pt idx="320">
                  <c:v>640</c:v>
                </c:pt>
                <c:pt idx="321">
                  <c:v>642</c:v>
                </c:pt>
                <c:pt idx="322">
                  <c:v>644</c:v>
                </c:pt>
                <c:pt idx="323">
                  <c:v>646</c:v>
                </c:pt>
                <c:pt idx="324">
                  <c:v>648</c:v>
                </c:pt>
                <c:pt idx="325">
                  <c:v>650</c:v>
                </c:pt>
                <c:pt idx="326">
                  <c:v>652</c:v>
                </c:pt>
                <c:pt idx="327">
                  <c:v>654</c:v>
                </c:pt>
                <c:pt idx="328">
                  <c:v>656</c:v>
                </c:pt>
                <c:pt idx="329">
                  <c:v>658</c:v>
                </c:pt>
                <c:pt idx="330">
                  <c:v>660</c:v>
                </c:pt>
                <c:pt idx="331">
                  <c:v>662</c:v>
                </c:pt>
                <c:pt idx="332">
                  <c:v>664</c:v>
                </c:pt>
                <c:pt idx="333">
                  <c:v>666</c:v>
                </c:pt>
                <c:pt idx="334">
                  <c:v>668</c:v>
                </c:pt>
                <c:pt idx="335">
                  <c:v>670</c:v>
                </c:pt>
                <c:pt idx="336">
                  <c:v>672</c:v>
                </c:pt>
                <c:pt idx="337">
                  <c:v>674</c:v>
                </c:pt>
                <c:pt idx="338">
                  <c:v>676</c:v>
                </c:pt>
                <c:pt idx="339">
                  <c:v>678</c:v>
                </c:pt>
                <c:pt idx="340">
                  <c:v>680</c:v>
                </c:pt>
                <c:pt idx="341">
                  <c:v>682</c:v>
                </c:pt>
                <c:pt idx="342">
                  <c:v>684</c:v>
                </c:pt>
                <c:pt idx="343">
                  <c:v>686</c:v>
                </c:pt>
                <c:pt idx="344">
                  <c:v>688</c:v>
                </c:pt>
                <c:pt idx="345">
                  <c:v>690</c:v>
                </c:pt>
                <c:pt idx="346">
                  <c:v>692</c:v>
                </c:pt>
                <c:pt idx="347">
                  <c:v>694</c:v>
                </c:pt>
                <c:pt idx="348">
                  <c:v>696</c:v>
                </c:pt>
                <c:pt idx="349">
                  <c:v>698</c:v>
                </c:pt>
                <c:pt idx="350">
                  <c:v>700</c:v>
                </c:pt>
                <c:pt idx="351">
                  <c:v>702</c:v>
                </c:pt>
                <c:pt idx="352">
                  <c:v>704</c:v>
                </c:pt>
                <c:pt idx="353">
                  <c:v>706</c:v>
                </c:pt>
                <c:pt idx="354">
                  <c:v>708</c:v>
                </c:pt>
                <c:pt idx="355">
                  <c:v>710</c:v>
                </c:pt>
                <c:pt idx="356">
                  <c:v>712</c:v>
                </c:pt>
                <c:pt idx="357">
                  <c:v>714</c:v>
                </c:pt>
                <c:pt idx="358">
                  <c:v>716</c:v>
                </c:pt>
                <c:pt idx="359">
                  <c:v>718</c:v>
                </c:pt>
                <c:pt idx="360">
                  <c:v>720</c:v>
                </c:pt>
                <c:pt idx="361">
                  <c:v>722</c:v>
                </c:pt>
                <c:pt idx="362">
                  <c:v>724</c:v>
                </c:pt>
                <c:pt idx="363">
                  <c:v>726</c:v>
                </c:pt>
                <c:pt idx="364">
                  <c:v>728</c:v>
                </c:pt>
                <c:pt idx="365">
                  <c:v>730</c:v>
                </c:pt>
                <c:pt idx="366">
                  <c:v>732</c:v>
                </c:pt>
                <c:pt idx="367">
                  <c:v>734</c:v>
                </c:pt>
                <c:pt idx="368">
                  <c:v>736</c:v>
                </c:pt>
                <c:pt idx="369">
                  <c:v>738</c:v>
                </c:pt>
                <c:pt idx="370">
                  <c:v>740</c:v>
                </c:pt>
                <c:pt idx="371">
                  <c:v>742</c:v>
                </c:pt>
                <c:pt idx="372">
                  <c:v>744</c:v>
                </c:pt>
                <c:pt idx="373">
                  <c:v>746</c:v>
                </c:pt>
                <c:pt idx="374">
                  <c:v>748</c:v>
                </c:pt>
                <c:pt idx="375">
                  <c:v>750</c:v>
                </c:pt>
                <c:pt idx="376">
                  <c:v>752</c:v>
                </c:pt>
                <c:pt idx="377">
                  <c:v>754</c:v>
                </c:pt>
                <c:pt idx="378">
                  <c:v>756</c:v>
                </c:pt>
                <c:pt idx="379">
                  <c:v>758</c:v>
                </c:pt>
                <c:pt idx="380">
                  <c:v>760</c:v>
                </c:pt>
                <c:pt idx="381">
                  <c:v>762</c:v>
                </c:pt>
                <c:pt idx="382">
                  <c:v>764</c:v>
                </c:pt>
                <c:pt idx="383">
                  <c:v>766</c:v>
                </c:pt>
                <c:pt idx="384">
                  <c:v>768</c:v>
                </c:pt>
                <c:pt idx="385">
                  <c:v>770</c:v>
                </c:pt>
                <c:pt idx="386">
                  <c:v>772</c:v>
                </c:pt>
                <c:pt idx="387">
                  <c:v>774</c:v>
                </c:pt>
                <c:pt idx="388">
                  <c:v>776</c:v>
                </c:pt>
                <c:pt idx="389">
                  <c:v>778</c:v>
                </c:pt>
                <c:pt idx="390">
                  <c:v>780</c:v>
                </c:pt>
                <c:pt idx="391">
                  <c:v>782</c:v>
                </c:pt>
                <c:pt idx="392">
                  <c:v>784</c:v>
                </c:pt>
                <c:pt idx="393">
                  <c:v>786</c:v>
                </c:pt>
                <c:pt idx="394">
                  <c:v>788</c:v>
                </c:pt>
                <c:pt idx="395">
                  <c:v>790</c:v>
                </c:pt>
                <c:pt idx="396">
                  <c:v>792</c:v>
                </c:pt>
                <c:pt idx="397">
                  <c:v>794</c:v>
                </c:pt>
                <c:pt idx="398">
                  <c:v>796</c:v>
                </c:pt>
                <c:pt idx="399">
                  <c:v>798</c:v>
                </c:pt>
                <c:pt idx="400">
                  <c:v>800</c:v>
                </c:pt>
                <c:pt idx="401">
                  <c:v>802</c:v>
                </c:pt>
                <c:pt idx="402">
                  <c:v>804</c:v>
                </c:pt>
                <c:pt idx="403">
                  <c:v>806</c:v>
                </c:pt>
                <c:pt idx="404">
                  <c:v>808</c:v>
                </c:pt>
                <c:pt idx="405">
                  <c:v>810</c:v>
                </c:pt>
                <c:pt idx="406">
                  <c:v>812</c:v>
                </c:pt>
                <c:pt idx="407">
                  <c:v>814</c:v>
                </c:pt>
                <c:pt idx="408">
                  <c:v>816</c:v>
                </c:pt>
                <c:pt idx="409">
                  <c:v>818</c:v>
                </c:pt>
                <c:pt idx="410">
                  <c:v>820</c:v>
                </c:pt>
                <c:pt idx="411">
                  <c:v>822</c:v>
                </c:pt>
                <c:pt idx="412">
                  <c:v>824</c:v>
                </c:pt>
                <c:pt idx="413">
                  <c:v>826</c:v>
                </c:pt>
                <c:pt idx="414">
                  <c:v>828</c:v>
                </c:pt>
                <c:pt idx="415">
                  <c:v>830</c:v>
                </c:pt>
                <c:pt idx="416">
                  <c:v>832</c:v>
                </c:pt>
                <c:pt idx="417">
                  <c:v>834</c:v>
                </c:pt>
                <c:pt idx="418">
                  <c:v>836</c:v>
                </c:pt>
                <c:pt idx="419">
                  <c:v>838</c:v>
                </c:pt>
                <c:pt idx="420">
                  <c:v>840</c:v>
                </c:pt>
                <c:pt idx="421">
                  <c:v>842</c:v>
                </c:pt>
                <c:pt idx="422">
                  <c:v>844</c:v>
                </c:pt>
                <c:pt idx="423">
                  <c:v>846</c:v>
                </c:pt>
                <c:pt idx="424">
                  <c:v>848</c:v>
                </c:pt>
                <c:pt idx="425">
                  <c:v>850</c:v>
                </c:pt>
                <c:pt idx="426">
                  <c:v>852</c:v>
                </c:pt>
                <c:pt idx="427">
                  <c:v>854</c:v>
                </c:pt>
                <c:pt idx="428">
                  <c:v>856</c:v>
                </c:pt>
                <c:pt idx="429">
                  <c:v>858</c:v>
                </c:pt>
                <c:pt idx="430">
                  <c:v>860</c:v>
                </c:pt>
                <c:pt idx="431">
                  <c:v>862</c:v>
                </c:pt>
                <c:pt idx="432">
                  <c:v>864</c:v>
                </c:pt>
                <c:pt idx="433">
                  <c:v>866</c:v>
                </c:pt>
                <c:pt idx="434">
                  <c:v>868</c:v>
                </c:pt>
                <c:pt idx="435">
                  <c:v>870</c:v>
                </c:pt>
                <c:pt idx="436">
                  <c:v>872</c:v>
                </c:pt>
                <c:pt idx="437">
                  <c:v>874</c:v>
                </c:pt>
                <c:pt idx="438">
                  <c:v>876</c:v>
                </c:pt>
                <c:pt idx="439">
                  <c:v>878</c:v>
                </c:pt>
                <c:pt idx="440">
                  <c:v>880</c:v>
                </c:pt>
                <c:pt idx="441">
                  <c:v>882</c:v>
                </c:pt>
                <c:pt idx="442">
                  <c:v>884</c:v>
                </c:pt>
                <c:pt idx="443">
                  <c:v>886</c:v>
                </c:pt>
                <c:pt idx="444">
                  <c:v>888</c:v>
                </c:pt>
                <c:pt idx="445">
                  <c:v>890</c:v>
                </c:pt>
                <c:pt idx="446">
                  <c:v>892</c:v>
                </c:pt>
                <c:pt idx="447">
                  <c:v>894</c:v>
                </c:pt>
                <c:pt idx="448">
                  <c:v>896</c:v>
                </c:pt>
                <c:pt idx="449">
                  <c:v>898</c:v>
                </c:pt>
                <c:pt idx="450">
                  <c:v>900</c:v>
                </c:pt>
                <c:pt idx="451">
                  <c:v>902</c:v>
                </c:pt>
                <c:pt idx="452">
                  <c:v>904</c:v>
                </c:pt>
                <c:pt idx="453">
                  <c:v>906</c:v>
                </c:pt>
                <c:pt idx="454">
                  <c:v>908</c:v>
                </c:pt>
                <c:pt idx="455">
                  <c:v>910</c:v>
                </c:pt>
                <c:pt idx="456">
                  <c:v>912</c:v>
                </c:pt>
                <c:pt idx="457">
                  <c:v>914</c:v>
                </c:pt>
                <c:pt idx="458">
                  <c:v>916</c:v>
                </c:pt>
                <c:pt idx="459">
                  <c:v>918</c:v>
                </c:pt>
                <c:pt idx="460">
                  <c:v>920</c:v>
                </c:pt>
                <c:pt idx="461">
                  <c:v>922</c:v>
                </c:pt>
                <c:pt idx="462">
                  <c:v>924</c:v>
                </c:pt>
                <c:pt idx="463">
                  <c:v>926</c:v>
                </c:pt>
                <c:pt idx="464">
                  <c:v>928</c:v>
                </c:pt>
                <c:pt idx="465">
                  <c:v>930</c:v>
                </c:pt>
                <c:pt idx="466">
                  <c:v>932</c:v>
                </c:pt>
                <c:pt idx="467">
                  <c:v>934</c:v>
                </c:pt>
                <c:pt idx="468">
                  <c:v>936</c:v>
                </c:pt>
                <c:pt idx="469">
                  <c:v>938</c:v>
                </c:pt>
                <c:pt idx="470">
                  <c:v>940</c:v>
                </c:pt>
                <c:pt idx="471">
                  <c:v>942</c:v>
                </c:pt>
                <c:pt idx="472">
                  <c:v>944</c:v>
                </c:pt>
                <c:pt idx="473">
                  <c:v>946</c:v>
                </c:pt>
                <c:pt idx="474">
                  <c:v>948</c:v>
                </c:pt>
                <c:pt idx="475">
                  <c:v>950</c:v>
                </c:pt>
                <c:pt idx="476">
                  <c:v>952</c:v>
                </c:pt>
                <c:pt idx="477">
                  <c:v>954</c:v>
                </c:pt>
                <c:pt idx="478">
                  <c:v>956</c:v>
                </c:pt>
                <c:pt idx="479">
                  <c:v>958</c:v>
                </c:pt>
                <c:pt idx="480">
                  <c:v>960</c:v>
                </c:pt>
                <c:pt idx="481">
                  <c:v>962</c:v>
                </c:pt>
                <c:pt idx="482">
                  <c:v>964</c:v>
                </c:pt>
                <c:pt idx="483">
                  <c:v>966</c:v>
                </c:pt>
                <c:pt idx="484">
                  <c:v>968</c:v>
                </c:pt>
                <c:pt idx="485">
                  <c:v>970</c:v>
                </c:pt>
                <c:pt idx="486">
                  <c:v>972</c:v>
                </c:pt>
                <c:pt idx="487">
                  <c:v>974</c:v>
                </c:pt>
                <c:pt idx="488">
                  <c:v>976</c:v>
                </c:pt>
                <c:pt idx="489">
                  <c:v>978</c:v>
                </c:pt>
                <c:pt idx="490">
                  <c:v>980</c:v>
                </c:pt>
                <c:pt idx="491">
                  <c:v>982</c:v>
                </c:pt>
                <c:pt idx="492">
                  <c:v>984</c:v>
                </c:pt>
                <c:pt idx="493">
                  <c:v>986</c:v>
                </c:pt>
                <c:pt idx="494">
                  <c:v>988</c:v>
                </c:pt>
                <c:pt idx="495">
                  <c:v>990</c:v>
                </c:pt>
                <c:pt idx="496">
                  <c:v>992</c:v>
                </c:pt>
                <c:pt idx="497">
                  <c:v>994</c:v>
                </c:pt>
                <c:pt idx="498">
                  <c:v>996</c:v>
                </c:pt>
                <c:pt idx="499">
                  <c:v>998</c:v>
                </c:pt>
                <c:pt idx="500">
                  <c:v>1000</c:v>
                </c:pt>
                <c:pt idx="501">
                  <c:v>1002</c:v>
                </c:pt>
                <c:pt idx="502">
                  <c:v>1004</c:v>
                </c:pt>
                <c:pt idx="503">
                  <c:v>1006</c:v>
                </c:pt>
                <c:pt idx="504">
                  <c:v>1008</c:v>
                </c:pt>
                <c:pt idx="505">
                  <c:v>1010</c:v>
                </c:pt>
                <c:pt idx="506">
                  <c:v>1012</c:v>
                </c:pt>
                <c:pt idx="507">
                  <c:v>1014</c:v>
                </c:pt>
                <c:pt idx="508">
                  <c:v>1016</c:v>
                </c:pt>
                <c:pt idx="509">
                  <c:v>1018</c:v>
                </c:pt>
                <c:pt idx="510">
                  <c:v>1020</c:v>
                </c:pt>
                <c:pt idx="511">
                  <c:v>1022</c:v>
                </c:pt>
                <c:pt idx="512">
                  <c:v>1024</c:v>
                </c:pt>
                <c:pt idx="513">
                  <c:v>1026</c:v>
                </c:pt>
                <c:pt idx="514">
                  <c:v>1028</c:v>
                </c:pt>
                <c:pt idx="515">
                  <c:v>1030</c:v>
                </c:pt>
                <c:pt idx="516">
                  <c:v>1032</c:v>
                </c:pt>
                <c:pt idx="517">
                  <c:v>1034</c:v>
                </c:pt>
                <c:pt idx="518">
                  <c:v>1036</c:v>
                </c:pt>
                <c:pt idx="519">
                  <c:v>1038</c:v>
                </c:pt>
                <c:pt idx="520">
                  <c:v>1040</c:v>
                </c:pt>
                <c:pt idx="521">
                  <c:v>1042</c:v>
                </c:pt>
                <c:pt idx="522">
                  <c:v>1044</c:v>
                </c:pt>
                <c:pt idx="523">
                  <c:v>1046</c:v>
                </c:pt>
                <c:pt idx="524">
                  <c:v>1048</c:v>
                </c:pt>
                <c:pt idx="525">
                  <c:v>1050</c:v>
                </c:pt>
                <c:pt idx="526">
                  <c:v>1052</c:v>
                </c:pt>
                <c:pt idx="527">
                  <c:v>1054</c:v>
                </c:pt>
                <c:pt idx="528">
                  <c:v>1056</c:v>
                </c:pt>
                <c:pt idx="529">
                  <c:v>1058</c:v>
                </c:pt>
                <c:pt idx="530">
                  <c:v>1060</c:v>
                </c:pt>
                <c:pt idx="531">
                  <c:v>1062</c:v>
                </c:pt>
                <c:pt idx="532">
                  <c:v>1064</c:v>
                </c:pt>
                <c:pt idx="533">
                  <c:v>1066</c:v>
                </c:pt>
                <c:pt idx="534">
                  <c:v>1068</c:v>
                </c:pt>
                <c:pt idx="535">
                  <c:v>1070</c:v>
                </c:pt>
                <c:pt idx="536">
                  <c:v>1072</c:v>
                </c:pt>
                <c:pt idx="537">
                  <c:v>1074</c:v>
                </c:pt>
                <c:pt idx="538">
                  <c:v>1076</c:v>
                </c:pt>
                <c:pt idx="539">
                  <c:v>1078</c:v>
                </c:pt>
                <c:pt idx="540">
                  <c:v>1080</c:v>
                </c:pt>
              </c:numCache>
            </c:numRef>
          </c:xVal>
          <c:yVal>
            <c:numRef>
              <c:f>Data!$B$2:$B$700</c:f>
              <c:numCache>
                <c:formatCode>General</c:formatCode>
                <c:ptCount val="699"/>
                <c:pt idx="0">
                  <c:v>0</c:v>
                </c:pt>
                <c:pt idx="1">
                  <c:v>0.65021008808299996</c:v>
                </c:pt>
                <c:pt idx="2">
                  <c:v>1.2772538376249969</c:v>
                </c:pt>
                <c:pt idx="3">
                  <c:v>1.8801638359479966</c:v>
                </c:pt>
                <c:pt idx="4">
                  <c:v>2.4579726703749998</c:v>
                </c:pt>
                <c:pt idx="5">
                  <c:v>3.0097129282259942</c:v>
                </c:pt>
                <c:pt idx="6">
                  <c:v>3.5344171968259985</c:v>
                </c:pt>
                <c:pt idx="7">
                  <c:v>4.0311180634959953</c:v>
                </c:pt>
                <c:pt idx="8">
                  <c:v>4.4988481155579905</c:v>
                </c:pt>
                <c:pt idx="9">
                  <c:v>4.9374829812519891</c:v>
                </c:pt>
                <c:pt idx="10">
                  <c:v>5.3486787616289888</c:v>
                </c:pt>
                <c:pt idx="11">
                  <c:v>5.734138753229999</c:v>
                </c:pt>
                <c:pt idx="12">
                  <c:v>6.0955662525919934</c:v>
                </c:pt>
                <c:pt idx="13">
                  <c:v>6.4346645562579994</c:v>
                </c:pt>
                <c:pt idx="14">
                  <c:v>6.7531369607649907</c:v>
                </c:pt>
                <c:pt idx="15">
                  <c:v>7.0526867626539911</c:v>
                </c:pt>
                <c:pt idx="16">
                  <c:v>7.3350172584639921</c:v>
                </c:pt>
                <c:pt idx="17">
                  <c:v>7.5965263321320009</c:v>
                </c:pt>
                <c:pt idx="18">
                  <c:v>7.8099663248499951</c:v>
                </c:pt>
                <c:pt idx="19">
                  <c:v>7.9790990056850006</c:v>
                </c:pt>
                <c:pt idx="20">
                  <c:v>8.1133117252259979</c:v>
                </c:pt>
                <c:pt idx="21">
                  <c:v>8.2219918340629903</c:v>
                </c:pt>
                <c:pt idx="22">
                  <c:v>8.3145266827859956</c:v>
                </c:pt>
                <c:pt idx="23">
                  <c:v>8.4003036219839942</c:v>
                </c:pt>
                <c:pt idx="24">
                  <c:v>8.4887100022459947</c:v>
                </c:pt>
                <c:pt idx="25">
                  <c:v>8.5891331741609918</c:v>
                </c:pt>
                <c:pt idx="26">
                  <c:v>8.679962372576</c:v>
                </c:pt>
                <c:pt idx="27">
                  <c:v>8.7390600616589893</c:v>
                </c:pt>
                <c:pt idx="28">
                  <c:v>8.775023435979989</c:v>
                </c:pt>
                <c:pt idx="29">
                  <c:v>8.7964496901129934</c:v>
                </c:pt>
                <c:pt idx="30">
                  <c:v>8.8119360186289981</c:v>
                </c:pt>
                <c:pt idx="31">
                  <c:v>8.8300796161019974</c:v>
                </c:pt>
                <c:pt idx="32">
                  <c:v>8.8594776771030013</c:v>
                </c:pt>
                <c:pt idx="33">
                  <c:v>8.9087273962040001</c:v>
                </c:pt>
                <c:pt idx="34">
                  <c:v>8.9818653524839931</c:v>
                </c:pt>
                <c:pt idx="35">
                  <c:v>9.0572830358899949</c:v>
                </c:pt>
                <c:pt idx="36">
                  <c:v>9.1317541068249994</c:v>
                </c:pt>
                <c:pt idx="37">
                  <c:v>9.2062970621129949</c:v>
                </c:pt>
                <c:pt idx="38">
                  <c:v>9.2819303985800019</c:v>
                </c:pt>
                <c:pt idx="39">
                  <c:v>9.3596726130489998</c:v>
                </c:pt>
                <c:pt idx="40">
                  <c:v>9.4405422023459948</c:v>
                </c:pt>
                <c:pt idx="41">
                  <c:v>9.5255576632949897</c:v>
                </c:pt>
                <c:pt idx="42">
                  <c:v>9.6157374927209958</c:v>
                </c:pt>
                <c:pt idx="43">
                  <c:v>9.7156864156129927</c:v>
                </c:pt>
                <c:pt idx="44">
                  <c:v>9.827115274034</c:v>
                </c:pt>
                <c:pt idx="45">
                  <c:v>9.9467017404149942</c:v>
                </c:pt>
                <c:pt idx="46">
                  <c:v>10.071123487188999</c:v>
                </c:pt>
                <c:pt idx="47">
                  <c:v>10.197058186788993</c:v>
                </c:pt>
                <c:pt idx="48">
                  <c:v>10.321183511645998</c:v>
                </c:pt>
                <c:pt idx="49">
                  <c:v>10.440177134194002</c:v>
                </c:pt>
                <c:pt idx="50">
                  <c:v>10.550716726863001</c:v>
                </c:pt>
                <c:pt idx="51">
                  <c:v>10.651994276756994</c:v>
                </c:pt>
                <c:pt idx="52">
                  <c:v>10.756192601509994</c:v>
                </c:pt>
                <c:pt idx="53">
                  <c:v>10.863575123239997</c:v>
                </c:pt>
                <c:pt idx="54">
                  <c:v>10.971937533532</c:v>
                </c:pt>
                <c:pt idx="55">
                  <c:v>11.079075523965997</c:v>
                </c:pt>
                <c:pt idx="56">
                  <c:v>11.182784786122994</c:v>
                </c:pt>
                <c:pt idx="57">
                  <c:v>11.280861011586993</c:v>
                </c:pt>
                <c:pt idx="58">
                  <c:v>11.371099891938002</c:v>
                </c:pt>
                <c:pt idx="59">
                  <c:v>11.451297118757992</c:v>
                </c:pt>
                <c:pt idx="60">
                  <c:v>11.52274161403399</c:v>
                </c:pt>
                <c:pt idx="61">
                  <c:v>11.588698142160993</c:v>
                </c:pt>
                <c:pt idx="62">
                  <c:v>11.649926158337991</c:v>
                </c:pt>
                <c:pt idx="63">
                  <c:v>11.707185117763999</c:v>
                </c:pt>
                <c:pt idx="64">
                  <c:v>11.761234475636996</c:v>
                </c:pt>
                <c:pt idx="65">
                  <c:v>11.812833687156996</c:v>
                </c:pt>
                <c:pt idx="66">
                  <c:v>11.86274220752</c:v>
                </c:pt>
                <c:pt idx="67">
                  <c:v>11.911719491927002</c:v>
                </c:pt>
                <c:pt idx="68">
                  <c:v>11.955365553680991</c:v>
                </c:pt>
                <c:pt idx="69">
                  <c:v>11.990145652238994</c:v>
                </c:pt>
                <c:pt idx="70">
                  <c:v>12.018117112024001</c:v>
                </c:pt>
                <c:pt idx="71">
                  <c:v>12.04133725746</c:v>
                </c:pt>
                <c:pt idx="72">
                  <c:v>12.061863412970993</c:v>
                </c:pt>
                <c:pt idx="73">
                  <c:v>12.08175290298</c:v>
                </c:pt>
                <c:pt idx="74">
                  <c:v>12.103063051909999</c:v>
                </c:pt>
                <c:pt idx="75">
                  <c:v>12.127851184186994</c:v>
                </c:pt>
                <c:pt idx="76">
                  <c:v>12.15720630477</c:v>
                </c:pt>
                <c:pt idx="77">
                  <c:v>12.186594773578989</c:v>
                </c:pt>
                <c:pt idx="78">
                  <c:v>12.215109584719997</c:v>
                </c:pt>
                <c:pt idx="79">
                  <c:v>12.242725268676992</c:v>
                </c:pt>
                <c:pt idx="80">
                  <c:v>12.269416355934993</c:v>
                </c:pt>
                <c:pt idx="81">
                  <c:v>12.295157376980995</c:v>
                </c:pt>
                <c:pt idx="82">
                  <c:v>12.319922862298995</c:v>
                </c:pt>
                <c:pt idx="83">
                  <c:v>12.343687342376001</c:v>
                </c:pt>
                <c:pt idx="84">
                  <c:v>12.366425347696989</c:v>
                </c:pt>
                <c:pt idx="85">
                  <c:v>12.389729117944995</c:v>
                </c:pt>
                <c:pt idx="86">
                  <c:v>12.414658417265002</c:v>
                </c:pt>
                <c:pt idx="87">
                  <c:v>12.440389062837994</c:v>
                </c:pt>
                <c:pt idx="88">
                  <c:v>12.466096871842993</c:v>
                </c:pt>
                <c:pt idx="89">
                  <c:v>12.490957661458992</c:v>
                </c:pt>
                <c:pt idx="90">
                  <c:v>12.51414724886699</c:v>
                </c:pt>
                <c:pt idx="91">
                  <c:v>12.534841451245995</c:v>
                </c:pt>
                <c:pt idx="92">
                  <c:v>12.552216085775996</c:v>
                </c:pt>
                <c:pt idx="93">
                  <c:v>12.56547286210899</c:v>
                </c:pt>
                <c:pt idx="94">
                  <c:v>12.574512677968997</c:v>
                </c:pt>
                <c:pt idx="95">
                  <c:v>12.579993208723991</c:v>
                </c:pt>
                <c:pt idx="96">
                  <c:v>12.582609540124992</c:v>
                </c:pt>
                <c:pt idx="97">
                  <c:v>12.583056757923998</c:v>
                </c:pt>
                <c:pt idx="98">
                  <c:v>12.582029947872996</c:v>
                </c:pt>
                <c:pt idx="99">
                  <c:v>12.580224195722991</c:v>
                </c:pt>
                <c:pt idx="100">
                  <c:v>12.578334587227999</c:v>
                </c:pt>
                <c:pt idx="101">
                  <c:v>12.577056208137989</c:v>
                </c:pt>
                <c:pt idx="102">
                  <c:v>12.575052623350999</c:v>
                </c:pt>
                <c:pt idx="103">
                  <c:v>12.570858216148991</c:v>
                </c:pt>
                <c:pt idx="104">
                  <c:v>12.56497429985599</c:v>
                </c:pt>
                <c:pt idx="105">
                  <c:v>12.557902187797993</c:v>
                </c:pt>
                <c:pt idx="106">
                  <c:v>12.550143193300997</c:v>
                </c:pt>
                <c:pt idx="107">
                  <c:v>12.542198629691001</c:v>
                </c:pt>
                <c:pt idx="108">
                  <c:v>12.534569810294002</c:v>
                </c:pt>
                <c:pt idx="109">
                  <c:v>12.52775804843499</c:v>
                </c:pt>
                <c:pt idx="110">
                  <c:v>12.521557407852995</c:v>
                </c:pt>
                <c:pt idx="111">
                  <c:v>12.512413198981989</c:v>
                </c:pt>
                <c:pt idx="112">
                  <c:v>12.500598638485997</c:v>
                </c:pt>
                <c:pt idx="113">
                  <c:v>12.487115025354001</c:v>
                </c:pt>
                <c:pt idx="114">
                  <c:v>12.47296365857099</c:v>
                </c:pt>
                <c:pt idx="115">
                  <c:v>12.459145837126002</c:v>
                </c:pt>
                <c:pt idx="116">
                  <c:v>12.446662860004992</c:v>
                </c:pt>
                <c:pt idx="117">
                  <c:v>12.436516026194994</c:v>
                </c:pt>
                <c:pt idx="118">
                  <c:v>12.429706634683996</c:v>
                </c:pt>
                <c:pt idx="119">
                  <c:v>12.424248013132996</c:v>
                </c:pt>
                <c:pt idx="120">
                  <c:v>12.417896327680992</c:v>
                </c:pt>
                <c:pt idx="121">
                  <c:v>12.411267135026989</c:v>
                </c:pt>
                <c:pt idx="122">
                  <c:v>12.404975991870998</c:v>
                </c:pt>
                <c:pt idx="123">
                  <c:v>12.399638454913998</c:v>
                </c:pt>
                <c:pt idx="124">
                  <c:v>12.395870080853996</c:v>
                </c:pt>
                <c:pt idx="125">
                  <c:v>12.394286426392995</c:v>
                </c:pt>
                <c:pt idx="126">
                  <c:v>12.395503048229997</c:v>
                </c:pt>
                <c:pt idx="127">
                  <c:v>12.399443101185994</c:v>
                </c:pt>
                <c:pt idx="128">
                  <c:v>12.402688099304996</c:v>
                </c:pt>
                <c:pt idx="129">
                  <c:v>12.405468806098</c:v>
                </c:pt>
                <c:pt idx="130">
                  <c:v>12.408721761246994</c:v>
                </c:pt>
                <c:pt idx="131">
                  <c:v>12.413383504433995</c:v>
                </c:pt>
                <c:pt idx="132">
                  <c:v>12.420390575339994</c:v>
                </c:pt>
                <c:pt idx="133">
                  <c:v>12.430679513648002</c:v>
                </c:pt>
                <c:pt idx="134">
                  <c:v>12.445186859037989</c:v>
                </c:pt>
                <c:pt idx="135">
                  <c:v>12.463937096803988</c:v>
                </c:pt>
                <c:pt idx="136">
                  <c:v>12.482469979754995</c:v>
                </c:pt>
                <c:pt idx="137">
                  <c:v>12.501003038486999</c:v>
                </c:pt>
                <c:pt idx="138">
                  <c:v>12.520674251253993</c:v>
                </c:pt>
                <c:pt idx="139">
                  <c:v>12.542621596315996</c:v>
                </c:pt>
                <c:pt idx="140">
                  <c:v>12.56798305193</c:v>
                </c:pt>
                <c:pt idx="141">
                  <c:v>12.597896596352001</c:v>
                </c:pt>
                <c:pt idx="142">
                  <c:v>12.633500207840001</c:v>
                </c:pt>
                <c:pt idx="143">
                  <c:v>12.675931864652</c:v>
                </c:pt>
                <c:pt idx="144">
                  <c:v>12.722791238032002</c:v>
                </c:pt>
                <c:pt idx="145">
                  <c:v>12.771377692784</c:v>
                </c:pt>
                <c:pt idx="146">
                  <c:v>12.822378747504999</c:v>
                </c:pt>
                <c:pt idx="147">
                  <c:v>12.876481920787995</c:v>
                </c:pt>
                <c:pt idx="148">
                  <c:v>12.934374731229994</c:v>
                </c:pt>
                <c:pt idx="149">
                  <c:v>12.996744697425996</c:v>
                </c:pt>
                <c:pt idx="150">
                  <c:v>13.064279337971001</c:v>
                </c:pt>
                <c:pt idx="151">
                  <c:v>13.137666171460992</c:v>
                </c:pt>
                <c:pt idx="152">
                  <c:v>13.218329941911989</c:v>
                </c:pt>
                <c:pt idx="153">
                  <c:v>13.310229238931996</c:v>
                </c:pt>
                <c:pt idx="154">
                  <c:v>13.411844087108989</c:v>
                </c:pt>
                <c:pt idx="155">
                  <c:v>13.520789254326999</c:v>
                </c:pt>
                <c:pt idx="156">
                  <c:v>13.634679508473994</c:v>
                </c:pt>
                <c:pt idx="157">
                  <c:v>13.751129617435993</c:v>
                </c:pt>
                <c:pt idx="158">
                  <c:v>13.867754349097993</c:v>
                </c:pt>
                <c:pt idx="159">
                  <c:v>13.982168471346995</c:v>
                </c:pt>
                <c:pt idx="160">
                  <c:v>14.091986752067996</c:v>
                </c:pt>
                <c:pt idx="161">
                  <c:v>14.204680308802992</c:v>
                </c:pt>
                <c:pt idx="162">
                  <c:v>14.327229978589997</c:v>
                </c:pt>
                <c:pt idx="163">
                  <c:v>14.456515108558989</c:v>
                </c:pt>
                <c:pt idx="164">
                  <c:v>14.589415045843992</c:v>
                </c:pt>
                <c:pt idx="165">
                  <c:v>14.722809137577002</c:v>
                </c:pt>
                <c:pt idx="166">
                  <c:v>14.853576730888989</c:v>
                </c:pt>
                <c:pt idx="167">
                  <c:v>14.978597172911989</c:v>
                </c:pt>
                <c:pt idx="168">
                  <c:v>15.094749810777998</c:v>
                </c:pt>
                <c:pt idx="169">
                  <c:v>15.200481524308998</c:v>
                </c:pt>
                <c:pt idx="170">
                  <c:v>15.303233608020989</c:v>
                </c:pt>
                <c:pt idx="171">
                  <c:v>15.404409083821989</c:v>
                </c:pt>
                <c:pt idx="172">
                  <c:v>15.503971968849001</c:v>
                </c:pt>
                <c:pt idx="173">
                  <c:v>15.601886280239</c:v>
                </c:pt>
                <c:pt idx="174">
                  <c:v>15.698116035127001</c:v>
                </c:pt>
                <c:pt idx="175">
                  <c:v>15.792625250648996</c:v>
                </c:pt>
                <c:pt idx="176">
                  <c:v>15.885377943942999</c:v>
                </c:pt>
                <c:pt idx="177">
                  <c:v>15.976338132143994</c:v>
                </c:pt>
                <c:pt idx="178">
                  <c:v>16.062269356507002</c:v>
                </c:pt>
                <c:pt idx="179">
                  <c:v>16.141171652821001</c:v>
                </c:pt>
                <c:pt idx="180">
                  <c:v>16.214863780020991</c:v>
                </c:pt>
                <c:pt idx="181">
                  <c:v>16.285164497043993</c:v>
                </c:pt>
                <c:pt idx="182">
                  <c:v>16.353892562824996</c:v>
                </c:pt>
                <c:pt idx="183">
                  <c:v>16.422866736299</c:v>
                </c:pt>
                <c:pt idx="184">
                  <c:v>16.493905776402997</c:v>
                </c:pt>
                <c:pt idx="185">
                  <c:v>16.568828442070995</c:v>
                </c:pt>
                <c:pt idx="186">
                  <c:v>16.648523662000997</c:v>
                </c:pt>
                <c:pt idx="187">
                  <c:v>16.728626036885998</c:v>
                </c:pt>
                <c:pt idx="188">
                  <c:v>16.808477932489993</c:v>
                </c:pt>
                <c:pt idx="189">
                  <c:v>16.888284302949998</c:v>
                </c:pt>
                <c:pt idx="190">
                  <c:v>16.968250102403999</c:v>
                </c:pt>
                <c:pt idx="191">
                  <c:v>17.048580284989001</c:v>
                </c:pt>
                <c:pt idx="192">
                  <c:v>17.129479804841992</c:v>
                </c:pt>
                <c:pt idx="193">
                  <c:v>17.211153616098997</c:v>
                </c:pt>
                <c:pt idx="194">
                  <c:v>17.29380667289999</c:v>
                </c:pt>
                <c:pt idx="195">
                  <c:v>17.380417136134994</c:v>
                </c:pt>
                <c:pt idx="196">
                  <c:v>17.472507722570995</c:v>
                </c:pt>
                <c:pt idx="197">
                  <c:v>17.568100220155998</c:v>
                </c:pt>
                <c:pt idx="198">
                  <c:v>17.665216416835989</c:v>
                </c:pt>
                <c:pt idx="199">
                  <c:v>17.761878100557993</c:v>
                </c:pt>
                <c:pt idx="200">
                  <c:v>17.856107059270002</c:v>
                </c:pt>
                <c:pt idx="201">
                  <c:v>17.945925080918997</c:v>
                </c:pt>
                <c:pt idx="202">
                  <c:v>18.029353953452002</c:v>
                </c:pt>
                <c:pt idx="203">
                  <c:v>18.110749298263002</c:v>
                </c:pt>
                <c:pt idx="204">
                  <c:v>18.19470535061599</c:v>
                </c:pt>
                <c:pt idx="205">
                  <c:v>18.279601819264002</c:v>
                </c:pt>
                <c:pt idx="206">
                  <c:v>18.363818412960001</c:v>
                </c:pt>
                <c:pt idx="207">
                  <c:v>18.445734840456993</c:v>
                </c:pt>
                <c:pt idx="208">
                  <c:v>18.523730810509988</c:v>
                </c:pt>
                <c:pt idx="209">
                  <c:v>18.596186031870999</c:v>
                </c:pt>
                <c:pt idx="210">
                  <c:v>18.66148021329299</c:v>
                </c:pt>
                <c:pt idx="211">
                  <c:v>18.718545798544</c:v>
                </c:pt>
                <c:pt idx="212">
                  <c:v>18.769931306313993</c:v>
                </c:pt>
                <c:pt idx="213">
                  <c:v>18.816747535546995</c:v>
                </c:pt>
                <c:pt idx="214">
                  <c:v>18.859647261267995</c:v>
                </c:pt>
                <c:pt idx="215">
                  <c:v>18.899283258499992</c:v>
                </c:pt>
                <c:pt idx="216">
                  <c:v>18.936308302268998</c:v>
                </c:pt>
                <c:pt idx="217">
                  <c:v>18.971375167596989</c:v>
                </c:pt>
                <c:pt idx="218">
                  <c:v>19.005136629508996</c:v>
                </c:pt>
                <c:pt idx="219">
                  <c:v>19.038245463029995</c:v>
                </c:pt>
                <c:pt idx="220">
                  <c:v>19.06794582804099</c:v>
                </c:pt>
                <c:pt idx="221">
                  <c:v>19.091807268585001</c:v>
                </c:pt>
                <c:pt idx="222">
                  <c:v>19.110970635931992</c:v>
                </c:pt>
                <c:pt idx="223">
                  <c:v>19.126576781349002</c:v>
                </c:pt>
                <c:pt idx="224">
                  <c:v>19.139766556105002</c:v>
                </c:pt>
                <c:pt idx="225">
                  <c:v>19.151680811467998</c:v>
                </c:pt>
                <c:pt idx="226">
                  <c:v>19.163460398705993</c:v>
                </c:pt>
                <c:pt idx="227">
                  <c:v>19.176246169088998</c:v>
                </c:pt>
                <c:pt idx="228">
                  <c:v>19.190748727968995</c:v>
                </c:pt>
                <c:pt idx="229">
                  <c:v>19.205007897275991</c:v>
                </c:pt>
                <c:pt idx="230">
                  <c:v>19.218406533614996</c:v>
                </c:pt>
                <c:pt idx="231">
                  <c:v>19.230700011300002</c:v>
                </c:pt>
                <c:pt idx="232">
                  <c:v>19.241643704645</c:v>
                </c:pt>
                <c:pt idx="233">
                  <c:v>19.250992987966001</c:v>
                </c:pt>
                <c:pt idx="234">
                  <c:v>19.258503235574992</c:v>
                </c:pt>
                <c:pt idx="235">
                  <c:v>19.263929821787997</c:v>
                </c:pt>
                <c:pt idx="236">
                  <c:v>19.26702812091699</c:v>
                </c:pt>
                <c:pt idx="237">
                  <c:v>19.268249221822998</c:v>
                </c:pt>
                <c:pt idx="238">
                  <c:v>19.268164939939993</c:v>
                </c:pt>
                <c:pt idx="239">
                  <c:v>19.266711739442997</c:v>
                </c:pt>
                <c:pt idx="240">
                  <c:v>19.263826084507002</c:v>
                </c:pt>
                <c:pt idx="241">
                  <c:v>19.259444439307998</c:v>
                </c:pt>
                <c:pt idx="242">
                  <c:v>19.253503268020992</c:v>
                </c:pt>
                <c:pt idx="243">
                  <c:v>19.245939034822001</c:v>
                </c:pt>
                <c:pt idx="244">
                  <c:v>19.236688203886999</c:v>
                </c:pt>
                <c:pt idx="245">
                  <c:v>19.225006533794001</c:v>
                </c:pt>
                <c:pt idx="246">
                  <c:v>19.207366143632996</c:v>
                </c:pt>
                <c:pt idx="247">
                  <c:v>19.184606951437999</c:v>
                </c:pt>
                <c:pt idx="248">
                  <c:v>19.158318457335</c:v>
                </c:pt>
                <c:pt idx="249">
                  <c:v>19.130090161451989</c:v>
                </c:pt>
                <c:pt idx="250">
                  <c:v>19.101511563915992</c:v>
                </c:pt>
                <c:pt idx="251">
                  <c:v>19.074172164855</c:v>
                </c:pt>
                <c:pt idx="252">
                  <c:v>19.049661464395001</c:v>
                </c:pt>
                <c:pt idx="253">
                  <c:v>19.029568962664001</c:v>
                </c:pt>
                <c:pt idx="254">
                  <c:v>19.014271839822001</c:v>
                </c:pt>
                <c:pt idx="255">
                  <c:v>19.00226048540199</c:v>
                </c:pt>
                <c:pt idx="256">
                  <c:v>18.992294213587996</c:v>
                </c:pt>
                <c:pt idx="257">
                  <c:v>18.983132338564999</c:v>
                </c:pt>
                <c:pt idx="258">
                  <c:v>18.973534174516999</c:v>
                </c:pt>
                <c:pt idx="259">
                  <c:v>18.962259035628989</c:v>
                </c:pt>
                <c:pt idx="260">
                  <c:v>18.948066236083989</c:v>
                </c:pt>
                <c:pt idx="261">
                  <c:v>18.929715090066992</c:v>
                </c:pt>
                <c:pt idx="262">
                  <c:v>18.906937446740002</c:v>
                </c:pt>
                <c:pt idx="263">
                  <c:v>18.884494242595991</c:v>
                </c:pt>
                <c:pt idx="264">
                  <c:v>18.86254260304699</c:v>
                </c:pt>
                <c:pt idx="265">
                  <c:v>18.840285608798993</c:v>
                </c:pt>
                <c:pt idx="266">
                  <c:v>18.816926340558993</c:v>
                </c:pt>
                <c:pt idx="267">
                  <c:v>18.791667879034989</c:v>
                </c:pt>
                <c:pt idx="268">
                  <c:v>18.763713304931997</c:v>
                </c:pt>
                <c:pt idx="269">
                  <c:v>18.732265698956994</c:v>
                </c:pt>
                <c:pt idx="270">
                  <c:v>18.696375384402998</c:v>
                </c:pt>
                <c:pt idx="271">
                  <c:v>18.655062263709993</c:v>
                </c:pt>
                <c:pt idx="272">
                  <c:v>18.609250818291997</c:v>
                </c:pt>
                <c:pt idx="273">
                  <c:v>18.560099772111997</c:v>
                </c:pt>
                <c:pt idx="274">
                  <c:v>18.50876784913099</c:v>
                </c:pt>
                <c:pt idx="275">
                  <c:v>18.456413773313997</c:v>
                </c:pt>
                <c:pt idx="276">
                  <c:v>18.404196268620993</c:v>
                </c:pt>
                <c:pt idx="277">
                  <c:v>18.353274059017991</c:v>
                </c:pt>
                <c:pt idx="278">
                  <c:v>18.304805868464996</c:v>
                </c:pt>
                <c:pt idx="279">
                  <c:v>18.256076602484995</c:v>
                </c:pt>
                <c:pt idx="280">
                  <c:v>18.204164069873002</c:v>
                </c:pt>
                <c:pt idx="281">
                  <c:v>18.149916349506995</c:v>
                </c:pt>
                <c:pt idx="282">
                  <c:v>18.094181520262993</c:v>
                </c:pt>
                <c:pt idx="283">
                  <c:v>18.037807661015989</c:v>
                </c:pt>
                <c:pt idx="284">
                  <c:v>17.981642850643993</c:v>
                </c:pt>
                <c:pt idx="285">
                  <c:v>17.926535168021999</c:v>
                </c:pt>
                <c:pt idx="286">
                  <c:v>17.873332692026992</c:v>
                </c:pt>
                <c:pt idx="287">
                  <c:v>17.82261116592899</c:v>
                </c:pt>
                <c:pt idx="288">
                  <c:v>17.773198537635992</c:v>
                </c:pt>
                <c:pt idx="289">
                  <c:v>17.724683806146999</c:v>
                </c:pt>
                <c:pt idx="290">
                  <c:v>17.676885404136002</c:v>
                </c:pt>
                <c:pt idx="291">
                  <c:v>17.629621764283996</c:v>
                </c:pt>
                <c:pt idx="292">
                  <c:v>17.582711319265997</c:v>
                </c:pt>
                <c:pt idx="293">
                  <c:v>17.53597250176</c:v>
                </c:pt>
                <c:pt idx="294">
                  <c:v>17.489223744444999</c:v>
                </c:pt>
                <c:pt idx="295">
                  <c:v>17.442283479997002</c:v>
                </c:pt>
                <c:pt idx="296">
                  <c:v>17.39367167748</c:v>
                </c:pt>
                <c:pt idx="297">
                  <c:v>17.342638899621988</c:v>
                </c:pt>
                <c:pt idx="298">
                  <c:v>17.290099469596996</c:v>
                </c:pt>
                <c:pt idx="299">
                  <c:v>17.236967710580998</c:v>
                </c:pt>
                <c:pt idx="300">
                  <c:v>17.184157945748993</c:v>
                </c:pt>
                <c:pt idx="301">
                  <c:v>17.132584498274994</c:v>
                </c:pt>
                <c:pt idx="302">
                  <c:v>17.083161691333999</c:v>
                </c:pt>
                <c:pt idx="303">
                  <c:v>17.036803848101002</c:v>
                </c:pt>
                <c:pt idx="304">
                  <c:v>16.993602854228996</c:v>
                </c:pt>
                <c:pt idx="305">
                  <c:v>16.949528045625996</c:v>
                </c:pt>
                <c:pt idx="306">
                  <c:v>16.904644826932</c:v>
                </c:pt>
                <c:pt idx="307">
                  <c:v>16.859839888965993</c:v>
                </c:pt>
                <c:pt idx="308">
                  <c:v>16.815999922541991</c:v>
                </c:pt>
                <c:pt idx="309">
                  <c:v>16.77401161847699</c:v>
                </c:pt>
                <c:pt idx="310">
                  <c:v>16.734761667586994</c:v>
                </c:pt>
                <c:pt idx="311">
                  <c:v>16.699136760689001</c:v>
                </c:pt>
                <c:pt idx="312">
                  <c:v>16.66802358859799</c:v>
                </c:pt>
                <c:pt idx="313">
                  <c:v>16.640185090849002</c:v>
                </c:pt>
                <c:pt idx="314">
                  <c:v>16.613926992171997</c:v>
                </c:pt>
                <c:pt idx="315">
                  <c:v>16.589450161174</c:v>
                </c:pt>
                <c:pt idx="316">
                  <c:v>16.566955466465998</c:v>
                </c:pt>
                <c:pt idx="317">
                  <c:v>16.546643776654989</c:v>
                </c:pt>
                <c:pt idx="318">
                  <c:v>16.528715960352002</c:v>
                </c:pt>
                <c:pt idx="319">
                  <c:v>16.513372886162998</c:v>
                </c:pt>
                <c:pt idx="320">
                  <c:v>16.500815422700001</c:v>
                </c:pt>
                <c:pt idx="321">
                  <c:v>16.490938071026989</c:v>
                </c:pt>
                <c:pt idx="322">
                  <c:v>16.482215533877991</c:v>
                </c:pt>
                <c:pt idx="323">
                  <c:v>16.474828635164002</c:v>
                </c:pt>
                <c:pt idx="324">
                  <c:v>16.469277015159989</c:v>
                </c:pt>
                <c:pt idx="325">
                  <c:v>16.466060314139</c:v>
                </c:pt>
                <c:pt idx="326">
                  <c:v>16.465678172374993</c:v>
                </c:pt>
                <c:pt idx="327">
                  <c:v>16.468630230141002</c:v>
                </c:pt>
                <c:pt idx="328">
                  <c:v>16.475416127711995</c:v>
                </c:pt>
                <c:pt idx="329">
                  <c:v>16.48653550536099</c:v>
                </c:pt>
                <c:pt idx="330">
                  <c:v>16.504004129660999</c:v>
                </c:pt>
                <c:pt idx="331">
                  <c:v>16.528404043183997</c:v>
                </c:pt>
                <c:pt idx="332">
                  <c:v>16.55808430019799</c:v>
                </c:pt>
                <c:pt idx="333">
                  <c:v>16.591393954971991</c:v>
                </c:pt>
                <c:pt idx="334">
                  <c:v>16.626682061775995</c:v>
                </c:pt>
                <c:pt idx="335">
                  <c:v>16.662297674877991</c:v>
                </c:pt>
                <c:pt idx="336">
                  <c:v>16.696589848548996</c:v>
                </c:pt>
                <c:pt idx="337">
                  <c:v>16.727907637057001</c:v>
                </c:pt>
                <c:pt idx="338">
                  <c:v>16.759460874616991</c:v>
                </c:pt>
                <c:pt idx="339">
                  <c:v>16.794950285131989</c:v>
                </c:pt>
                <c:pt idx="340">
                  <c:v>16.833461257404991</c:v>
                </c:pt>
                <c:pt idx="341">
                  <c:v>16.874079180233991</c:v>
                </c:pt>
                <c:pt idx="342">
                  <c:v>16.915889442421999</c:v>
                </c:pt>
                <c:pt idx="343">
                  <c:v>16.95797743276799</c:v>
                </c:pt>
                <c:pt idx="344">
                  <c:v>16.999428540075002</c:v>
                </c:pt>
                <c:pt idx="345">
                  <c:v>17.039328153141994</c:v>
                </c:pt>
                <c:pt idx="346">
                  <c:v>17.078010631498998</c:v>
                </c:pt>
                <c:pt idx="347">
                  <c:v>17.121681911054992</c:v>
                </c:pt>
                <c:pt idx="348">
                  <c:v>17.169722420572995</c:v>
                </c:pt>
                <c:pt idx="349">
                  <c:v>17.220222142835993</c:v>
                </c:pt>
                <c:pt idx="350">
                  <c:v>17.271271060627996</c:v>
                </c:pt>
                <c:pt idx="351">
                  <c:v>17.320959156732002</c:v>
                </c:pt>
                <c:pt idx="352">
                  <c:v>17.367376413933002</c:v>
                </c:pt>
                <c:pt idx="353">
                  <c:v>17.408612815013001</c:v>
                </c:pt>
                <c:pt idx="354">
                  <c:v>17.442758342756989</c:v>
                </c:pt>
                <c:pt idx="355">
                  <c:v>17.471746947654992</c:v>
                </c:pt>
                <c:pt idx="356">
                  <c:v>17.498767431145993</c:v>
                </c:pt>
                <c:pt idx="357">
                  <c:v>17.523792052436988</c:v>
                </c:pt>
                <c:pt idx="358">
                  <c:v>17.546793070733997</c:v>
                </c:pt>
                <c:pt idx="359">
                  <c:v>17.567742745242001</c:v>
                </c:pt>
                <c:pt idx="360">
                  <c:v>17.586613335167002</c:v>
                </c:pt>
                <c:pt idx="361">
                  <c:v>17.603377099715999</c:v>
                </c:pt>
                <c:pt idx="362">
                  <c:v>17.618006298094002</c:v>
                </c:pt>
                <c:pt idx="363">
                  <c:v>17.630278882859002</c:v>
                </c:pt>
                <c:pt idx="364">
                  <c:v>17.639240419651998</c:v>
                </c:pt>
                <c:pt idx="365">
                  <c:v>17.645280012740002</c:v>
                </c:pt>
                <c:pt idx="366">
                  <c:v>17.649007644851991</c:v>
                </c:pt>
                <c:pt idx="367">
                  <c:v>17.651033298717991</c:v>
                </c:pt>
                <c:pt idx="368">
                  <c:v>17.651966957066989</c:v>
                </c:pt>
                <c:pt idx="369">
                  <c:v>17.652418602628998</c:v>
                </c:pt>
                <c:pt idx="370">
                  <c:v>17.652998218130989</c:v>
                </c:pt>
                <c:pt idx="371">
                  <c:v>17.654315786304991</c:v>
                </c:pt>
                <c:pt idx="372">
                  <c:v>17.654360066465998</c:v>
                </c:pt>
                <c:pt idx="373">
                  <c:v>17.65110653178499</c:v>
                </c:pt>
                <c:pt idx="374">
                  <c:v>17.645145235770997</c:v>
                </c:pt>
                <c:pt idx="375">
                  <c:v>17.637066231934</c:v>
                </c:pt>
                <c:pt idx="376">
                  <c:v>17.627459573783</c:v>
                </c:pt>
                <c:pt idx="377">
                  <c:v>17.616915314827992</c:v>
                </c:pt>
                <c:pt idx="378">
                  <c:v>17.606023508576996</c:v>
                </c:pt>
                <c:pt idx="379">
                  <c:v>17.595374208540989</c:v>
                </c:pt>
                <c:pt idx="380">
                  <c:v>17.585493104712</c:v>
                </c:pt>
                <c:pt idx="381">
                  <c:v>17.576275099480995</c:v>
                </c:pt>
                <c:pt idx="382">
                  <c:v>17.567456292803996</c:v>
                </c:pt>
                <c:pt idx="383">
                  <c:v>17.558802818150994</c:v>
                </c:pt>
                <c:pt idx="384">
                  <c:v>17.550080808991993</c:v>
                </c:pt>
                <c:pt idx="385">
                  <c:v>17.541056398797991</c:v>
                </c:pt>
                <c:pt idx="386">
                  <c:v>17.531495721037999</c:v>
                </c:pt>
                <c:pt idx="387">
                  <c:v>17.521164909183994</c:v>
                </c:pt>
                <c:pt idx="388">
                  <c:v>17.509830096705002</c:v>
                </c:pt>
                <c:pt idx="389">
                  <c:v>17.497865497522994</c:v>
                </c:pt>
                <c:pt idx="390">
                  <c:v>17.485613556811998</c:v>
                </c:pt>
                <c:pt idx="391">
                  <c:v>17.472792754919993</c:v>
                </c:pt>
                <c:pt idx="392">
                  <c:v>17.459121572198995</c:v>
                </c:pt>
                <c:pt idx="393">
                  <c:v>17.444318488996998</c:v>
                </c:pt>
                <c:pt idx="394">
                  <c:v>17.428101985662991</c:v>
                </c:pt>
                <c:pt idx="395">
                  <c:v>17.410190542547994</c:v>
                </c:pt>
                <c:pt idx="396">
                  <c:v>17.390302640001991</c:v>
                </c:pt>
                <c:pt idx="397">
                  <c:v>17.368414490335994</c:v>
                </c:pt>
                <c:pt idx="398">
                  <c:v>17.345804817692994</c:v>
                </c:pt>
                <c:pt idx="399">
                  <c:v>17.322485233956996</c:v>
                </c:pt>
                <c:pt idx="400">
                  <c:v>17.298211158160996</c:v>
                </c:pt>
                <c:pt idx="401">
                  <c:v>17.272738009339989</c:v>
                </c:pt>
                <c:pt idx="402">
                  <c:v>17.245821206525989</c:v>
                </c:pt>
                <c:pt idx="403">
                  <c:v>17.217216168752998</c:v>
                </c:pt>
                <c:pt idx="404">
                  <c:v>17.186678315054991</c:v>
                </c:pt>
                <c:pt idx="405">
                  <c:v>17.154160899711997</c:v>
                </c:pt>
                <c:pt idx="406">
                  <c:v>17.120665874167997</c:v>
                </c:pt>
                <c:pt idx="407">
                  <c:v>17.086298601745</c:v>
                </c:pt>
                <c:pt idx="408">
                  <c:v>17.050973223953989</c:v>
                </c:pt>
                <c:pt idx="409">
                  <c:v>17.01460388230899</c:v>
                </c:pt>
                <c:pt idx="410">
                  <c:v>16.977104718319993</c:v>
                </c:pt>
                <c:pt idx="411">
                  <c:v>16.938389873498991</c:v>
                </c:pt>
                <c:pt idx="412">
                  <c:v>16.898373489358988</c:v>
                </c:pt>
                <c:pt idx="413">
                  <c:v>16.856969707410002</c:v>
                </c:pt>
                <c:pt idx="414">
                  <c:v>16.812310820332996</c:v>
                </c:pt>
                <c:pt idx="415">
                  <c:v>16.763252814254997</c:v>
                </c:pt>
                <c:pt idx="416">
                  <c:v>16.710795370852992</c:v>
                </c:pt>
                <c:pt idx="417">
                  <c:v>16.655938171806994</c:v>
                </c:pt>
                <c:pt idx="418">
                  <c:v>16.599680898793991</c:v>
                </c:pt>
                <c:pt idx="419">
                  <c:v>16.543023233494992</c:v>
                </c:pt>
                <c:pt idx="420">
                  <c:v>16.486964857586997</c:v>
                </c:pt>
                <c:pt idx="421">
                  <c:v>16.432505452748998</c:v>
                </c:pt>
                <c:pt idx="422">
                  <c:v>16.380682305178993</c:v>
                </c:pt>
                <c:pt idx="423">
                  <c:v>16.331956221578992</c:v>
                </c:pt>
                <c:pt idx="424">
                  <c:v>16.285410760576994</c:v>
                </c:pt>
                <c:pt idx="425">
                  <c:v>16.240006931602991</c:v>
                </c:pt>
                <c:pt idx="426">
                  <c:v>16.194705744088992</c:v>
                </c:pt>
                <c:pt idx="427">
                  <c:v>16.148468207466991</c:v>
                </c:pt>
                <c:pt idx="428">
                  <c:v>16.100255331168</c:v>
                </c:pt>
                <c:pt idx="429">
                  <c:v>16.049028124622993</c:v>
                </c:pt>
                <c:pt idx="430">
                  <c:v>15.99374759726399</c:v>
                </c:pt>
                <c:pt idx="431">
                  <c:v>15.936492307164002</c:v>
                </c:pt>
                <c:pt idx="432">
                  <c:v>15.879523861591991</c:v>
                </c:pt>
                <c:pt idx="433">
                  <c:v>15.822077843773002</c:v>
                </c:pt>
                <c:pt idx="434">
                  <c:v>15.763389836931992</c:v>
                </c:pt>
                <c:pt idx="435">
                  <c:v>15.702695424293992</c:v>
                </c:pt>
                <c:pt idx="436">
                  <c:v>15.639230189084998</c:v>
                </c:pt>
                <c:pt idx="437">
                  <c:v>15.572229714529001</c:v>
                </c:pt>
                <c:pt idx="438">
                  <c:v>15.500929583851999</c:v>
                </c:pt>
                <c:pt idx="439">
                  <c:v>15.424061711796995</c:v>
                </c:pt>
                <c:pt idx="440">
                  <c:v>15.338935483775998</c:v>
                </c:pt>
                <c:pt idx="441">
                  <c:v>15.24708322571999</c:v>
                </c:pt>
                <c:pt idx="442">
                  <c:v>15.150662689049</c:v>
                </c:pt>
                <c:pt idx="443">
                  <c:v>15.051831625180995</c:v>
                </c:pt>
                <c:pt idx="444">
                  <c:v>14.952747785537994</c:v>
                </c:pt>
                <c:pt idx="445">
                  <c:v>14.855568921537994</c:v>
                </c:pt>
                <c:pt idx="446">
                  <c:v>14.76245278460199</c:v>
                </c:pt>
                <c:pt idx="447">
                  <c:v>14.675557126149002</c:v>
                </c:pt>
                <c:pt idx="448">
                  <c:v>14.589456386525001</c:v>
                </c:pt>
                <c:pt idx="449">
                  <c:v>14.498457241343999</c:v>
                </c:pt>
                <c:pt idx="450">
                  <c:v>14.40431579492099</c:v>
                </c:pt>
                <c:pt idx="451">
                  <c:v>14.308788151573992</c:v>
                </c:pt>
                <c:pt idx="452">
                  <c:v>14.213630415620997</c:v>
                </c:pt>
                <c:pt idx="453">
                  <c:v>14.120598691379001</c:v>
                </c:pt>
                <c:pt idx="454">
                  <c:v>14.031449083163992</c:v>
                </c:pt>
                <c:pt idx="455">
                  <c:v>13.947937695294996</c:v>
                </c:pt>
                <c:pt idx="456">
                  <c:v>13.870804435886996</c:v>
                </c:pt>
                <c:pt idx="457">
                  <c:v>13.795256080187002</c:v>
                </c:pt>
                <c:pt idx="458">
                  <c:v>13.720877037123998</c:v>
                </c:pt>
                <c:pt idx="459">
                  <c:v>13.648217672733992</c:v>
                </c:pt>
                <c:pt idx="460">
                  <c:v>13.577828353051999</c:v>
                </c:pt>
                <c:pt idx="461">
                  <c:v>13.510259444114993</c:v>
                </c:pt>
                <c:pt idx="462">
                  <c:v>13.44606131195799</c:v>
                </c:pt>
                <c:pt idx="463">
                  <c:v>13.38578432261599</c:v>
                </c:pt>
                <c:pt idx="464">
                  <c:v>13.329978842125996</c:v>
                </c:pt>
                <c:pt idx="465">
                  <c:v>13.279534219862995</c:v>
                </c:pt>
                <c:pt idx="466">
                  <c:v>13.234312571061992</c:v>
                </c:pt>
                <c:pt idx="467">
                  <c:v>13.19332341054799</c:v>
                </c:pt>
                <c:pt idx="468">
                  <c:v>13.155576253145995</c:v>
                </c:pt>
                <c:pt idx="469">
                  <c:v>13.120080613679988</c:v>
                </c:pt>
                <c:pt idx="470">
                  <c:v>13.085846006973995</c:v>
                </c:pt>
                <c:pt idx="471">
                  <c:v>13.051881947852991</c:v>
                </c:pt>
                <c:pt idx="472">
                  <c:v>13.017197951141</c:v>
                </c:pt>
                <c:pt idx="473">
                  <c:v>12.981685264812</c:v>
                </c:pt>
                <c:pt idx="474">
                  <c:v>12.946292274488997</c:v>
                </c:pt>
                <c:pt idx="475">
                  <c:v>12.911614201471991</c:v>
                </c:pt>
                <c:pt idx="476">
                  <c:v>12.878246267058998</c:v>
                </c:pt>
                <c:pt idx="477">
                  <c:v>12.846783692548996</c:v>
                </c:pt>
                <c:pt idx="478">
                  <c:v>12.817821699238991</c:v>
                </c:pt>
                <c:pt idx="479">
                  <c:v>12.791955508428998</c:v>
                </c:pt>
                <c:pt idx="480">
                  <c:v>12.769780341415995</c:v>
                </c:pt>
                <c:pt idx="481">
                  <c:v>12.751174458747002</c:v>
                </c:pt>
                <c:pt idx="482">
                  <c:v>12.732595314403994</c:v>
                </c:pt>
                <c:pt idx="483">
                  <c:v>12.71434027291599</c:v>
                </c:pt>
                <c:pt idx="484">
                  <c:v>12.69744188147699</c:v>
                </c:pt>
                <c:pt idx="485">
                  <c:v>12.682932687281991</c:v>
                </c:pt>
                <c:pt idx="486">
                  <c:v>12.671845237526</c:v>
                </c:pt>
                <c:pt idx="487">
                  <c:v>12.665212079401002</c:v>
                </c:pt>
                <c:pt idx="488">
                  <c:v>12.664065760103</c:v>
                </c:pt>
                <c:pt idx="489">
                  <c:v>12.66943882682699</c:v>
                </c:pt>
                <c:pt idx="490">
                  <c:v>12.681619645460998</c:v>
                </c:pt>
                <c:pt idx="491">
                  <c:v>12.699661417314999</c:v>
                </c:pt>
                <c:pt idx="492">
                  <c:v>12.722743942714999</c:v>
                </c:pt>
                <c:pt idx="493">
                  <c:v>12.750047021987001</c:v>
                </c:pt>
                <c:pt idx="494">
                  <c:v>12.780750455456996</c:v>
                </c:pt>
                <c:pt idx="495">
                  <c:v>12.814034043451002</c:v>
                </c:pt>
                <c:pt idx="496">
                  <c:v>12.849077586294996</c:v>
                </c:pt>
                <c:pt idx="497">
                  <c:v>12.885060884314001</c:v>
                </c:pt>
                <c:pt idx="498">
                  <c:v>12.92379689836099</c:v>
                </c:pt>
                <c:pt idx="499">
                  <c:v>12.978637310248999</c:v>
                </c:pt>
                <c:pt idx="500">
                  <c:v>13.047236983234001</c:v>
                </c:pt>
                <c:pt idx="501">
                  <c:v>13.124436833196</c:v>
                </c:pt>
                <c:pt idx="502">
                  <c:v>13.205077776015997</c:v>
                </c:pt>
                <c:pt idx="503">
                  <c:v>13.284000727573996</c:v>
                </c:pt>
                <c:pt idx="504">
                  <c:v>13.356046603747998</c:v>
                </c:pt>
                <c:pt idx="505">
                  <c:v>13.416056320419997</c:v>
                </c:pt>
                <c:pt idx="506">
                  <c:v>13.458870793467995</c:v>
                </c:pt>
                <c:pt idx="507">
                  <c:v>13.503163796118002</c:v>
                </c:pt>
                <c:pt idx="508">
                  <c:v>13.565762815584989</c:v>
                </c:pt>
                <c:pt idx="509">
                  <c:v>13.638739338736002</c:v>
                </c:pt>
                <c:pt idx="510">
                  <c:v>13.714164852435999</c:v>
                </c:pt>
                <c:pt idx="511">
                  <c:v>13.784110843549996</c:v>
                </c:pt>
                <c:pt idx="512">
                  <c:v>13.840648798944002</c:v>
                </c:pt>
                <c:pt idx="513">
                  <c:v>13.87585020548299</c:v>
                </c:pt>
                <c:pt idx="514">
                  <c:v>13.881786550033993</c:v>
                </c:pt>
                <c:pt idx="515">
                  <c:v>13.857983728801997</c:v>
                </c:pt>
                <c:pt idx="516">
                  <c:v>13.840573750345996</c:v>
                </c:pt>
                <c:pt idx="517">
                  <c:v>13.827380678623996</c:v>
                </c:pt>
                <c:pt idx="518">
                  <c:v>13.808700175548992</c:v>
                </c:pt>
                <c:pt idx="519">
                  <c:v>13.774827903030001</c:v>
                </c:pt>
                <c:pt idx="520">
                  <c:v>13.716059522978995</c:v>
                </c:pt>
                <c:pt idx="521">
                  <c:v>13.622690697306993</c:v>
                </c:pt>
                <c:pt idx="522">
                  <c:v>13.485017087925002</c:v>
                </c:pt>
                <c:pt idx="523">
                  <c:v>13.293334356744992</c:v>
                </c:pt>
                <c:pt idx="524">
                  <c:v>13.061352381657997</c:v>
                </c:pt>
                <c:pt idx="525">
                  <c:v>12.808233398005996</c:v>
                </c:pt>
                <c:pt idx="526">
                  <c:v>12.532451603879991</c:v>
                </c:pt>
                <c:pt idx="527">
                  <c:v>12.232481197367989</c:v>
                </c:pt>
                <c:pt idx="528">
                  <c:v>11.906796376559001</c:v>
                </c:pt>
                <c:pt idx="529">
                  <c:v>11.553871339541999</c:v>
                </c:pt>
                <c:pt idx="530">
                  <c:v>11.172180284405997</c:v>
                </c:pt>
                <c:pt idx="531">
                  <c:v>10.760197409239993</c:v>
                </c:pt>
                <c:pt idx="532">
                  <c:v>10.316309092556992</c:v>
                </c:pt>
                <c:pt idx="533">
                  <c:v>9.8393817215669941</c:v>
                </c:pt>
                <c:pt idx="534">
                  <c:v>9.3301505026799987</c:v>
                </c:pt>
                <c:pt idx="535">
                  <c:v>8.78954058483599</c:v>
                </c:pt>
                <c:pt idx="536">
                  <c:v>8.2184771169740003</c:v>
                </c:pt>
                <c:pt idx="537">
                  <c:v>7.6178852480349946</c:v>
                </c:pt>
                <c:pt idx="538">
                  <c:v>6.9886901269560013</c:v>
                </c:pt>
                <c:pt idx="539">
                  <c:v>6.3318169026769908</c:v>
                </c:pt>
                <c:pt idx="540">
                  <c:v>0</c:v>
                </c:pt>
              </c:numCache>
            </c:numRef>
          </c:yVal>
        </c:ser>
        <c:ser>
          <c:idx val="0"/>
          <c:order val="1"/>
          <c:tx>
            <c:strRef>
              <c:f>Data!$C$1</c:f>
              <c:strCache>
                <c:ptCount val="1"/>
                <c:pt idx="0">
                  <c:v>Fit</c:v>
                </c:pt>
              </c:strCache>
            </c:strRef>
          </c:tx>
          <c:spPr>
            <a:ln w="3175">
              <a:solidFill>
                <a:srgbClr val="000080"/>
              </a:solidFill>
              <a:prstDash val="solid"/>
            </a:ln>
          </c:spPr>
          <c:marker>
            <c:symbol val="none"/>
          </c:marker>
          <c:xVal>
            <c:numRef>
              <c:f>Data!$A$2:$A$700</c:f>
              <c:numCache>
                <c:formatCode>General</c:formatCode>
                <c:ptCount val="699"/>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c:v>
                </c:pt>
                <c:pt idx="193">
                  <c:v>386</c:v>
                </c:pt>
                <c:pt idx="194">
                  <c:v>388</c:v>
                </c:pt>
                <c:pt idx="195">
                  <c:v>390</c:v>
                </c:pt>
                <c:pt idx="196">
                  <c:v>392</c:v>
                </c:pt>
                <c:pt idx="197">
                  <c:v>394</c:v>
                </c:pt>
                <c:pt idx="198">
                  <c:v>396</c:v>
                </c:pt>
                <c:pt idx="199">
                  <c:v>398</c:v>
                </c:pt>
                <c:pt idx="200">
                  <c:v>400</c:v>
                </c:pt>
                <c:pt idx="201">
                  <c:v>402</c:v>
                </c:pt>
                <c:pt idx="202">
                  <c:v>404</c:v>
                </c:pt>
                <c:pt idx="203">
                  <c:v>406</c:v>
                </c:pt>
                <c:pt idx="204">
                  <c:v>408</c:v>
                </c:pt>
                <c:pt idx="205">
                  <c:v>410</c:v>
                </c:pt>
                <c:pt idx="206">
                  <c:v>412</c:v>
                </c:pt>
                <c:pt idx="207">
                  <c:v>414</c:v>
                </c:pt>
                <c:pt idx="208">
                  <c:v>416</c:v>
                </c:pt>
                <c:pt idx="209">
                  <c:v>418</c:v>
                </c:pt>
                <c:pt idx="210">
                  <c:v>420</c:v>
                </c:pt>
                <c:pt idx="211">
                  <c:v>422</c:v>
                </c:pt>
                <c:pt idx="212">
                  <c:v>424</c:v>
                </c:pt>
                <c:pt idx="213">
                  <c:v>426</c:v>
                </c:pt>
                <c:pt idx="214">
                  <c:v>428</c:v>
                </c:pt>
                <c:pt idx="215">
                  <c:v>430</c:v>
                </c:pt>
                <c:pt idx="216">
                  <c:v>432</c:v>
                </c:pt>
                <c:pt idx="217">
                  <c:v>434</c:v>
                </c:pt>
                <c:pt idx="218">
                  <c:v>436</c:v>
                </c:pt>
                <c:pt idx="219">
                  <c:v>438</c:v>
                </c:pt>
                <c:pt idx="220">
                  <c:v>440</c:v>
                </c:pt>
                <c:pt idx="221">
                  <c:v>442</c:v>
                </c:pt>
                <c:pt idx="222">
                  <c:v>444</c:v>
                </c:pt>
                <c:pt idx="223">
                  <c:v>446</c:v>
                </c:pt>
                <c:pt idx="224">
                  <c:v>448</c:v>
                </c:pt>
                <c:pt idx="225">
                  <c:v>450</c:v>
                </c:pt>
                <c:pt idx="226">
                  <c:v>452</c:v>
                </c:pt>
                <c:pt idx="227">
                  <c:v>454</c:v>
                </c:pt>
                <c:pt idx="228">
                  <c:v>456</c:v>
                </c:pt>
                <c:pt idx="229">
                  <c:v>458</c:v>
                </c:pt>
                <c:pt idx="230">
                  <c:v>460</c:v>
                </c:pt>
                <c:pt idx="231">
                  <c:v>462</c:v>
                </c:pt>
                <c:pt idx="232">
                  <c:v>464</c:v>
                </c:pt>
                <c:pt idx="233">
                  <c:v>466</c:v>
                </c:pt>
                <c:pt idx="234">
                  <c:v>468</c:v>
                </c:pt>
                <c:pt idx="235">
                  <c:v>470</c:v>
                </c:pt>
                <c:pt idx="236">
                  <c:v>472</c:v>
                </c:pt>
                <c:pt idx="237">
                  <c:v>474</c:v>
                </c:pt>
                <c:pt idx="238">
                  <c:v>476</c:v>
                </c:pt>
                <c:pt idx="239">
                  <c:v>478</c:v>
                </c:pt>
                <c:pt idx="240">
                  <c:v>480</c:v>
                </c:pt>
                <c:pt idx="241">
                  <c:v>482</c:v>
                </c:pt>
                <c:pt idx="242">
                  <c:v>484</c:v>
                </c:pt>
                <c:pt idx="243">
                  <c:v>486</c:v>
                </c:pt>
                <c:pt idx="244">
                  <c:v>488</c:v>
                </c:pt>
                <c:pt idx="245">
                  <c:v>490</c:v>
                </c:pt>
                <c:pt idx="246">
                  <c:v>492</c:v>
                </c:pt>
                <c:pt idx="247">
                  <c:v>494</c:v>
                </c:pt>
                <c:pt idx="248">
                  <c:v>496</c:v>
                </c:pt>
                <c:pt idx="249">
                  <c:v>498</c:v>
                </c:pt>
                <c:pt idx="250">
                  <c:v>500</c:v>
                </c:pt>
                <c:pt idx="251">
                  <c:v>502</c:v>
                </c:pt>
                <c:pt idx="252">
                  <c:v>504</c:v>
                </c:pt>
                <c:pt idx="253">
                  <c:v>506</c:v>
                </c:pt>
                <c:pt idx="254">
                  <c:v>508</c:v>
                </c:pt>
                <c:pt idx="255">
                  <c:v>510</c:v>
                </c:pt>
                <c:pt idx="256">
                  <c:v>512</c:v>
                </c:pt>
                <c:pt idx="257">
                  <c:v>514</c:v>
                </c:pt>
                <c:pt idx="258">
                  <c:v>516</c:v>
                </c:pt>
                <c:pt idx="259">
                  <c:v>518</c:v>
                </c:pt>
                <c:pt idx="260">
                  <c:v>520</c:v>
                </c:pt>
                <c:pt idx="261">
                  <c:v>522</c:v>
                </c:pt>
                <c:pt idx="262">
                  <c:v>524</c:v>
                </c:pt>
                <c:pt idx="263">
                  <c:v>526</c:v>
                </c:pt>
                <c:pt idx="264">
                  <c:v>528</c:v>
                </c:pt>
                <c:pt idx="265">
                  <c:v>530</c:v>
                </c:pt>
                <c:pt idx="266">
                  <c:v>532</c:v>
                </c:pt>
                <c:pt idx="267">
                  <c:v>534</c:v>
                </c:pt>
                <c:pt idx="268">
                  <c:v>536</c:v>
                </c:pt>
                <c:pt idx="269">
                  <c:v>538</c:v>
                </c:pt>
                <c:pt idx="270">
                  <c:v>540</c:v>
                </c:pt>
                <c:pt idx="271">
                  <c:v>542</c:v>
                </c:pt>
                <c:pt idx="272">
                  <c:v>544</c:v>
                </c:pt>
                <c:pt idx="273">
                  <c:v>546</c:v>
                </c:pt>
                <c:pt idx="274">
                  <c:v>548</c:v>
                </c:pt>
                <c:pt idx="275">
                  <c:v>550</c:v>
                </c:pt>
                <c:pt idx="276">
                  <c:v>552</c:v>
                </c:pt>
                <c:pt idx="277">
                  <c:v>554</c:v>
                </c:pt>
                <c:pt idx="278">
                  <c:v>556</c:v>
                </c:pt>
                <c:pt idx="279">
                  <c:v>558</c:v>
                </c:pt>
                <c:pt idx="280">
                  <c:v>560</c:v>
                </c:pt>
                <c:pt idx="281">
                  <c:v>562</c:v>
                </c:pt>
                <c:pt idx="282">
                  <c:v>564</c:v>
                </c:pt>
                <c:pt idx="283">
                  <c:v>566</c:v>
                </c:pt>
                <c:pt idx="284">
                  <c:v>568</c:v>
                </c:pt>
                <c:pt idx="285">
                  <c:v>570</c:v>
                </c:pt>
                <c:pt idx="286">
                  <c:v>572</c:v>
                </c:pt>
                <c:pt idx="287">
                  <c:v>574</c:v>
                </c:pt>
                <c:pt idx="288">
                  <c:v>576</c:v>
                </c:pt>
                <c:pt idx="289">
                  <c:v>578</c:v>
                </c:pt>
                <c:pt idx="290">
                  <c:v>580</c:v>
                </c:pt>
                <c:pt idx="291">
                  <c:v>582</c:v>
                </c:pt>
                <c:pt idx="292">
                  <c:v>584</c:v>
                </c:pt>
                <c:pt idx="293">
                  <c:v>586</c:v>
                </c:pt>
                <c:pt idx="294">
                  <c:v>588</c:v>
                </c:pt>
                <c:pt idx="295">
                  <c:v>590</c:v>
                </c:pt>
                <c:pt idx="296">
                  <c:v>592</c:v>
                </c:pt>
                <c:pt idx="297">
                  <c:v>594</c:v>
                </c:pt>
                <c:pt idx="298">
                  <c:v>596</c:v>
                </c:pt>
                <c:pt idx="299">
                  <c:v>598</c:v>
                </c:pt>
                <c:pt idx="300">
                  <c:v>600</c:v>
                </c:pt>
                <c:pt idx="301">
                  <c:v>602</c:v>
                </c:pt>
                <c:pt idx="302">
                  <c:v>604</c:v>
                </c:pt>
                <c:pt idx="303">
                  <c:v>606</c:v>
                </c:pt>
                <c:pt idx="304">
                  <c:v>608</c:v>
                </c:pt>
                <c:pt idx="305">
                  <c:v>610</c:v>
                </c:pt>
                <c:pt idx="306">
                  <c:v>612</c:v>
                </c:pt>
                <c:pt idx="307">
                  <c:v>614</c:v>
                </c:pt>
                <c:pt idx="308">
                  <c:v>616</c:v>
                </c:pt>
                <c:pt idx="309">
                  <c:v>618</c:v>
                </c:pt>
                <c:pt idx="310">
                  <c:v>620</c:v>
                </c:pt>
                <c:pt idx="311">
                  <c:v>622</c:v>
                </c:pt>
                <c:pt idx="312">
                  <c:v>624</c:v>
                </c:pt>
                <c:pt idx="313">
                  <c:v>626</c:v>
                </c:pt>
                <c:pt idx="314">
                  <c:v>628</c:v>
                </c:pt>
                <c:pt idx="315">
                  <c:v>630</c:v>
                </c:pt>
                <c:pt idx="316">
                  <c:v>632</c:v>
                </c:pt>
                <c:pt idx="317">
                  <c:v>634</c:v>
                </c:pt>
                <c:pt idx="318">
                  <c:v>636</c:v>
                </c:pt>
                <c:pt idx="319">
                  <c:v>638</c:v>
                </c:pt>
                <c:pt idx="320">
                  <c:v>640</c:v>
                </c:pt>
                <c:pt idx="321">
                  <c:v>642</c:v>
                </c:pt>
                <c:pt idx="322">
                  <c:v>644</c:v>
                </c:pt>
                <c:pt idx="323">
                  <c:v>646</c:v>
                </c:pt>
                <c:pt idx="324">
                  <c:v>648</c:v>
                </c:pt>
                <c:pt idx="325">
                  <c:v>650</c:v>
                </c:pt>
                <c:pt idx="326">
                  <c:v>652</c:v>
                </c:pt>
                <c:pt idx="327">
                  <c:v>654</c:v>
                </c:pt>
                <c:pt idx="328">
                  <c:v>656</c:v>
                </c:pt>
                <c:pt idx="329">
                  <c:v>658</c:v>
                </c:pt>
                <c:pt idx="330">
                  <c:v>660</c:v>
                </c:pt>
                <c:pt idx="331">
                  <c:v>662</c:v>
                </c:pt>
                <c:pt idx="332">
                  <c:v>664</c:v>
                </c:pt>
                <c:pt idx="333">
                  <c:v>666</c:v>
                </c:pt>
                <c:pt idx="334">
                  <c:v>668</c:v>
                </c:pt>
                <c:pt idx="335">
                  <c:v>670</c:v>
                </c:pt>
                <c:pt idx="336">
                  <c:v>672</c:v>
                </c:pt>
                <c:pt idx="337">
                  <c:v>674</c:v>
                </c:pt>
                <c:pt idx="338">
                  <c:v>676</c:v>
                </c:pt>
                <c:pt idx="339">
                  <c:v>678</c:v>
                </c:pt>
                <c:pt idx="340">
                  <c:v>680</c:v>
                </c:pt>
                <c:pt idx="341">
                  <c:v>682</c:v>
                </c:pt>
                <c:pt idx="342">
                  <c:v>684</c:v>
                </c:pt>
                <c:pt idx="343">
                  <c:v>686</c:v>
                </c:pt>
                <c:pt idx="344">
                  <c:v>688</c:v>
                </c:pt>
                <c:pt idx="345">
                  <c:v>690</c:v>
                </c:pt>
                <c:pt idx="346">
                  <c:v>692</c:v>
                </c:pt>
                <c:pt idx="347">
                  <c:v>694</c:v>
                </c:pt>
                <c:pt idx="348">
                  <c:v>696</c:v>
                </c:pt>
                <c:pt idx="349">
                  <c:v>698</c:v>
                </c:pt>
                <c:pt idx="350">
                  <c:v>700</c:v>
                </c:pt>
                <c:pt idx="351">
                  <c:v>702</c:v>
                </c:pt>
                <c:pt idx="352">
                  <c:v>704</c:v>
                </c:pt>
                <c:pt idx="353">
                  <c:v>706</c:v>
                </c:pt>
                <c:pt idx="354">
                  <c:v>708</c:v>
                </c:pt>
                <c:pt idx="355">
                  <c:v>710</c:v>
                </c:pt>
                <c:pt idx="356">
                  <c:v>712</c:v>
                </c:pt>
                <c:pt idx="357">
                  <c:v>714</c:v>
                </c:pt>
                <c:pt idx="358">
                  <c:v>716</c:v>
                </c:pt>
                <c:pt idx="359">
                  <c:v>718</c:v>
                </c:pt>
                <c:pt idx="360">
                  <c:v>720</c:v>
                </c:pt>
                <c:pt idx="361">
                  <c:v>722</c:v>
                </c:pt>
                <c:pt idx="362">
                  <c:v>724</c:v>
                </c:pt>
                <c:pt idx="363">
                  <c:v>726</c:v>
                </c:pt>
                <c:pt idx="364">
                  <c:v>728</c:v>
                </c:pt>
                <c:pt idx="365">
                  <c:v>730</c:v>
                </c:pt>
                <c:pt idx="366">
                  <c:v>732</c:v>
                </c:pt>
                <c:pt idx="367">
                  <c:v>734</c:v>
                </c:pt>
                <c:pt idx="368">
                  <c:v>736</c:v>
                </c:pt>
                <c:pt idx="369">
                  <c:v>738</c:v>
                </c:pt>
                <c:pt idx="370">
                  <c:v>740</c:v>
                </c:pt>
                <c:pt idx="371">
                  <c:v>742</c:v>
                </c:pt>
                <c:pt idx="372">
                  <c:v>744</c:v>
                </c:pt>
                <c:pt idx="373">
                  <c:v>746</c:v>
                </c:pt>
                <c:pt idx="374">
                  <c:v>748</c:v>
                </c:pt>
                <c:pt idx="375">
                  <c:v>750</c:v>
                </c:pt>
                <c:pt idx="376">
                  <c:v>752</c:v>
                </c:pt>
                <c:pt idx="377">
                  <c:v>754</c:v>
                </c:pt>
                <c:pt idx="378">
                  <c:v>756</c:v>
                </c:pt>
                <c:pt idx="379">
                  <c:v>758</c:v>
                </c:pt>
                <c:pt idx="380">
                  <c:v>760</c:v>
                </c:pt>
                <c:pt idx="381">
                  <c:v>762</c:v>
                </c:pt>
                <c:pt idx="382">
                  <c:v>764</c:v>
                </c:pt>
                <c:pt idx="383">
                  <c:v>766</c:v>
                </c:pt>
                <c:pt idx="384">
                  <c:v>768</c:v>
                </c:pt>
                <c:pt idx="385">
                  <c:v>770</c:v>
                </c:pt>
                <c:pt idx="386">
                  <c:v>772</c:v>
                </c:pt>
                <c:pt idx="387">
                  <c:v>774</c:v>
                </c:pt>
                <c:pt idx="388">
                  <c:v>776</c:v>
                </c:pt>
                <c:pt idx="389">
                  <c:v>778</c:v>
                </c:pt>
                <c:pt idx="390">
                  <c:v>780</c:v>
                </c:pt>
                <c:pt idx="391">
                  <c:v>782</c:v>
                </c:pt>
                <c:pt idx="392">
                  <c:v>784</c:v>
                </c:pt>
                <c:pt idx="393">
                  <c:v>786</c:v>
                </c:pt>
                <c:pt idx="394">
                  <c:v>788</c:v>
                </c:pt>
                <c:pt idx="395">
                  <c:v>790</c:v>
                </c:pt>
                <c:pt idx="396">
                  <c:v>792</c:v>
                </c:pt>
                <c:pt idx="397">
                  <c:v>794</c:v>
                </c:pt>
                <c:pt idx="398">
                  <c:v>796</c:v>
                </c:pt>
                <c:pt idx="399">
                  <c:v>798</c:v>
                </c:pt>
                <c:pt idx="400">
                  <c:v>800</c:v>
                </c:pt>
                <c:pt idx="401">
                  <c:v>802</c:v>
                </c:pt>
                <c:pt idx="402">
                  <c:v>804</c:v>
                </c:pt>
                <c:pt idx="403">
                  <c:v>806</c:v>
                </c:pt>
                <c:pt idx="404">
                  <c:v>808</c:v>
                </c:pt>
                <c:pt idx="405">
                  <c:v>810</c:v>
                </c:pt>
                <c:pt idx="406">
                  <c:v>812</c:v>
                </c:pt>
                <c:pt idx="407">
                  <c:v>814</c:v>
                </c:pt>
                <c:pt idx="408">
                  <c:v>816</c:v>
                </c:pt>
                <c:pt idx="409">
                  <c:v>818</c:v>
                </c:pt>
                <c:pt idx="410">
                  <c:v>820</c:v>
                </c:pt>
                <c:pt idx="411">
                  <c:v>822</c:v>
                </c:pt>
                <c:pt idx="412">
                  <c:v>824</c:v>
                </c:pt>
                <c:pt idx="413">
                  <c:v>826</c:v>
                </c:pt>
                <c:pt idx="414">
                  <c:v>828</c:v>
                </c:pt>
                <c:pt idx="415">
                  <c:v>830</c:v>
                </c:pt>
                <c:pt idx="416">
                  <c:v>832</c:v>
                </c:pt>
                <c:pt idx="417">
                  <c:v>834</c:v>
                </c:pt>
                <c:pt idx="418">
                  <c:v>836</c:v>
                </c:pt>
                <c:pt idx="419">
                  <c:v>838</c:v>
                </c:pt>
                <c:pt idx="420">
                  <c:v>840</c:v>
                </c:pt>
                <c:pt idx="421">
                  <c:v>842</c:v>
                </c:pt>
                <c:pt idx="422">
                  <c:v>844</c:v>
                </c:pt>
                <c:pt idx="423">
                  <c:v>846</c:v>
                </c:pt>
                <c:pt idx="424">
                  <c:v>848</c:v>
                </c:pt>
                <c:pt idx="425">
                  <c:v>850</c:v>
                </c:pt>
                <c:pt idx="426">
                  <c:v>852</c:v>
                </c:pt>
                <c:pt idx="427">
                  <c:v>854</c:v>
                </c:pt>
                <c:pt idx="428">
                  <c:v>856</c:v>
                </c:pt>
                <c:pt idx="429">
                  <c:v>858</c:v>
                </c:pt>
                <c:pt idx="430">
                  <c:v>860</c:v>
                </c:pt>
                <c:pt idx="431">
                  <c:v>862</c:v>
                </c:pt>
                <c:pt idx="432">
                  <c:v>864</c:v>
                </c:pt>
                <c:pt idx="433">
                  <c:v>866</c:v>
                </c:pt>
                <c:pt idx="434">
                  <c:v>868</c:v>
                </c:pt>
                <c:pt idx="435">
                  <c:v>870</c:v>
                </c:pt>
                <c:pt idx="436">
                  <c:v>872</c:v>
                </c:pt>
                <c:pt idx="437">
                  <c:v>874</c:v>
                </c:pt>
                <c:pt idx="438">
                  <c:v>876</c:v>
                </c:pt>
                <c:pt idx="439">
                  <c:v>878</c:v>
                </c:pt>
                <c:pt idx="440">
                  <c:v>880</c:v>
                </c:pt>
                <c:pt idx="441">
                  <c:v>882</c:v>
                </c:pt>
                <c:pt idx="442">
                  <c:v>884</c:v>
                </c:pt>
                <c:pt idx="443">
                  <c:v>886</c:v>
                </c:pt>
                <c:pt idx="444">
                  <c:v>888</c:v>
                </c:pt>
                <c:pt idx="445">
                  <c:v>890</c:v>
                </c:pt>
                <c:pt idx="446">
                  <c:v>892</c:v>
                </c:pt>
                <c:pt idx="447">
                  <c:v>894</c:v>
                </c:pt>
                <c:pt idx="448">
                  <c:v>896</c:v>
                </c:pt>
                <c:pt idx="449">
                  <c:v>898</c:v>
                </c:pt>
                <c:pt idx="450">
                  <c:v>900</c:v>
                </c:pt>
                <c:pt idx="451">
                  <c:v>902</c:v>
                </c:pt>
                <c:pt idx="452">
                  <c:v>904</c:v>
                </c:pt>
                <c:pt idx="453">
                  <c:v>906</c:v>
                </c:pt>
                <c:pt idx="454">
                  <c:v>908</c:v>
                </c:pt>
                <c:pt idx="455">
                  <c:v>910</c:v>
                </c:pt>
                <c:pt idx="456">
                  <c:v>912</c:v>
                </c:pt>
                <c:pt idx="457">
                  <c:v>914</c:v>
                </c:pt>
                <c:pt idx="458">
                  <c:v>916</c:v>
                </c:pt>
                <c:pt idx="459">
                  <c:v>918</c:v>
                </c:pt>
                <c:pt idx="460">
                  <c:v>920</c:v>
                </c:pt>
                <c:pt idx="461">
                  <c:v>922</c:v>
                </c:pt>
                <c:pt idx="462">
                  <c:v>924</c:v>
                </c:pt>
                <c:pt idx="463">
                  <c:v>926</c:v>
                </c:pt>
                <c:pt idx="464">
                  <c:v>928</c:v>
                </c:pt>
                <c:pt idx="465">
                  <c:v>930</c:v>
                </c:pt>
                <c:pt idx="466">
                  <c:v>932</c:v>
                </c:pt>
                <c:pt idx="467">
                  <c:v>934</c:v>
                </c:pt>
                <c:pt idx="468">
                  <c:v>936</c:v>
                </c:pt>
                <c:pt idx="469">
                  <c:v>938</c:v>
                </c:pt>
                <c:pt idx="470">
                  <c:v>940</c:v>
                </c:pt>
                <c:pt idx="471">
                  <c:v>942</c:v>
                </c:pt>
                <c:pt idx="472">
                  <c:v>944</c:v>
                </c:pt>
                <c:pt idx="473">
                  <c:v>946</c:v>
                </c:pt>
                <c:pt idx="474">
                  <c:v>948</c:v>
                </c:pt>
                <c:pt idx="475">
                  <c:v>950</c:v>
                </c:pt>
                <c:pt idx="476">
                  <c:v>952</c:v>
                </c:pt>
                <c:pt idx="477">
                  <c:v>954</c:v>
                </c:pt>
                <c:pt idx="478">
                  <c:v>956</c:v>
                </c:pt>
                <c:pt idx="479">
                  <c:v>958</c:v>
                </c:pt>
                <c:pt idx="480">
                  <c:v>960</c:v>
                </c:pt>
                <c:pt idx="481">
                  <c:v>962</c:v>
                </c:pt>
                <c:pt idx="482">
                  <c:v>964</c:v>
                </c:pt>
                <c:pt idx="483">
                  <c:v>966</c:v>
                </c:pt>
                <c:pt idx="484">
                  <c:v>968</c:v>
                </c:pt>
                <c:pt idx="485">
                  <c:v>970</c:v>
                </c:pt>
                <c:pt idx="486">
                  <c:v>972</c:v>
                </c:pt>
                <c:pt idx="487">
                  <c:v>974</c:v>
                </c:pt>
                <c:pt idx="488">
                  <c:v>976</c:v>
                </c:pt>
                <c:pt idx="489">
                  <c:v>978</c:v>
                </c:pt>
                <c:pt idx="490">
                  <c:v>980</c:v>
                </c:pt>
                <c:pt idx="491">
                  <c:v>982</c:v>
                </c:pt>
                <c:pt idx="492">
                  <c:v>984</c:v>
                </c:pt>
                <c:pt idx="493">
                  <c:v>986</c:v>
                </c:pt>
                <c:pt idx="494">
                  <c:v>988</c:v>
                </c:pt>
                <c:pt idx="495">
                  <c:v>990</c:v>
                </c:pt>
                <c:pt idx="496">
                  <c:v>992</c:v>
                </c:pt>
                <c:pt idx="497">
                  <c:v>994</c:v>
                </c:pt>
                <c:pt idx="498">
                  <c:v>996</c:v>
                </c:pt>
                <c:pt idx="499">
                  <c:v>998</c:v>
                </c:pt>
                <c:pt idx="500">
                  <c:v>1000</c:v>
                </c:pt>
                <c:pt idx="501">
                  <c:v>1002</c:v>
                </c:pt>
                <c:pt idx="502">
                  <c:v>1004</c:v>
                </c:pt>
                <c:pt idx="503">
                  <c:v>1006</c:v>
                </c:pt>
                <c:pt idx="504">
                  <c:v>1008</c:v>
                </c:pt>
                <c:pt idx="505">
                  <c:v>1010</c:v>
                </c:pt>
                <c:pt idx="506">
                  <c:v>1012</c:v>
                </c:pt>
                <c:pt idx="507">
                  <c:v>1014</c:v>
                </c:pt>
                <c:pt idx="508">
                  <c:v>1016</c:v>
                </c:pt>
                <c:pt idx="509">
                  <c:v>1018</c:v>
                </c:pt>
                <c:pt idx="510">
                  <c:v>1020</c:v>
                </c:pt>
                <c:pt idx="511">
                  <c:v>1022</c:v>
                </c:pt>
                <c:pt idx="512">
                  <c:v>1024</c:v>
                </c:pt>
                <c:pt idx="513">
                  <c:v>1026</c:v>
                </c:pt>
                <c:pt idx="514">
                  <c:v>1028</c:v>
                </c:pt>
                <c:pt idx="515">
                  <c:v>1030</c:v>
                </c:pt>
                <c:pt idx="516">
                  <c:v>1032</c:v>
                </c:pt>
                <c:pt idx="517">
                  <c:v>1034</c:v>
                </c:pt>
                <c:pt idx="518">
                  <c:v>1036</c:v>
                </c:pt>
                <c:pt idx="519">
                  <c:v>1038</c:v>
                </c:pt>
                <c:pt idx="520">
                  <c:v>1040</c:v>
                </c:pt>
                <c:pt idx="521">
                  <c:v>1042</c:v>
                </c:pt>
                <c:pt idx="522">
                  <c:v>1044</c:v>
                </c:pt>
                <c:pt idx="523">
                  <c:v>1046</c:v>
                </c:pt>
                <c:pt idx="524">
                  <c:v>1048</c:v>
                </c:pt>
                <c:pt idx="525">
                  <c:v>1050</c:v>
                </c:pt>
                <c:pt idx="526">
                  <c:v>1052</c:v>
                </c:pt>
                <c:pt idx="527">
                  <c:v>1054</c:v>
                </c:pt>
                <c:pt idx="528">
                  <c:v>1056</c:v>
                </c:pt>
                <c:pt idx="529">
                  <c:v>1058</c:v>
                </c:pt>
                <c:pt idx="530">
                  <c:v>1060</c:v>
                </c:pt>
                <c:pt idx="531">
                  <c:v>1062</c:v>
                </c:pt>
                <c:pt idx="532">
                  <c:v>1064</c:v>
                </c:pt>
                <c:pt idx="533">
                  <c:v>1066</c:v>
                </c:pt>
                <c:pt idx="534">
                  <c:v>1068</c:v>
                </c:pt>
                <c:pt idx="535">
                  <c:v>1070</c:v>
                </c:pt>
                <c:pt idx="536">
                  <c:v>1072</c:v>
                </c:pt>
                <c:pt idx="537">
                  <c:v>1074</c:v>
                </c:pt>
                <c:pt idx="538">
                  <c:v>1076</c:v>
                </c:pt>
                <c:pt idx="539">
                  <c:v>1078</c:v>
                </c:pt>
                <c:pt idx="540">
                  <c:v>1080</c:v>
                </c:pt>
              </c:numCache>
            </c:numRef>
          </c:xVal>
          <c:yVal>
            <c:numRef>
              <c:f>Data!$C$2:$C$700</c:f>
              <c:numCache>
                <c:formatCode>0.0000</c:formatCode>
                <c:ptCount val="699"/>
                <c:pt idx="0">
                  <c:v>2.6032556353186056</c:v>
                </c:pt>
                <c:pt idx="1">
                  <c:v>2.7648507122197321</c:v>
                </c:pt>
                <c:pt idx="2">
                  <c:v>2.940692146853634</c:v>
                </c:pt>
                <c:pt idx="3">
                  <c:v>3.1318804016725794</c:v>
                </c:pt>
                <c:pt idx="4">
                  <c:v>3.339352919770084</c:v>
                </c:pt>
                <c:pt idx="5">
                  <c:v>3.5638066754763247</c:v>
                </c:pt>
                <c:pt idx="6">
                  <c:v>3.8056168026781916</c:v>
                </c:pt>
                <c:pt idx="7">
                  <c:v>4.0647558363852818</c:v>
                </c:pt>
                <c:pt idx="8">
                  <c:v>4.3407189950396612</c:v>
                </c:pt>
                <c:pt idx="9">
                  <c:v>4.6324615272854635</c:v>
                </c:pt>
                <c:pt idx="10">
                  <c:v>4.9383543314091449</c:v>
                </c:pt>
                <c:pt idx="11">
                  <c:v>5.2561637352650097</c:v>
                </c:pt>
                <c:pt idx="12">
                  <c:v>5.5830604440626486</c:v>
                </c:pt>
                <c:pt idx="13">
                  <c:v>5.9156612187762194</c:v>
                </c:pt>
                <c:pt idx="14">
                  <c:v>6.25010489460489</c:v>
                </c:pt>
                <c:pt idx="15">
                  <c:v>6.582162004226686</c:v>
                </c:pt>
                <c:pt idx="16">
                  <c:v>6.9073747085470938</c:v>
                </c:pt>
                <c:pt idx="17">
                  <c:v>7.2212211758091014</c:v>
                </c:pt>
                <c:pt idx="18">
                  <c:v>7.5192962292998935</c:v>
                </c:pt>
                <c:pt idx="19">
                  <c:v>7.7974982436785645</c:v>
                </c:pt>
                <c:pt idx="20">
                  <c:v>8.0522111201640687</c:v>
                </c:pt>
                <c:pt idx="21">
                  <c:v>8.280469866091158</c:v>
                </c:pt>
                <c:pt idx="22">
                  <c:v>8.480098922613756</c:v>
                </c:pt>
                <c:pt idx="23">
                  <c:v>8.649813913611462</c:v>
                </c:pt>
                <c:pt idx="24">
                  <c:v>8.7892798241810013</c:v>
                </c:pt>
                <c:pt idx="25">
                  <c:v>8.8991215687002079</c:v>
                </c:pt>
                <c:pt idx="26">
                  <c:v>8.9808862204018922</c:v>
                </c:pt>
                <c:pt idx="27">
                  <c:v>9.0369595516021981</c:v>
                </c:pt>
                <c:pt idx="28">
                  <c:v>9.0704426739822814</c:v>
                </c:pt>
                <c:pt idx="29">
                  <c:v>9.084997195230498</c:v>
                </c:pt>
                <c:pt idx="30">
                  <c:v>9.0846692009681203</c:v>
                </c:pt>
                <c:pt idx="31">
                  <c:v>9.0737033862791101</c:v>
                </c:pt>
                <c:pt idx="32">
                  <c:v>9.0563587472509397</c:v>
                </c:pt>
                <c:pt idx="33">
                  <c:v>9.0367364401946002</c:v>
                </c:pt>
                <c:pt idx="34">
                  <c:v>9.0186288486357196</c:v>
                </c:pt>
                <c:pt idx="35">
                  <c:v>9.0053967550411436</c:v>
                </c:pt>
                <c:pt idx="36">
                  <c:v>8.9998790256396433</c:v>
                </c:pt>
                <c:pt idx="37">
                  <c:v>9.0043366261384943</c:v>
                </c:pt>
                <c:pt idx="38">
                  <c:v>9.0204303240457655</c:v>
                </c:pt>
                <c:pt idx="39">
                  <c:v>9.0492292943858388</c:v>
                </c:pt>
                <c:pt idx="40">
                  <c:v>9.0912461725690097</c:v>
                </c:pt>
                <c:pt idx="41">
                  <c:v>9.1464929731617683</c:v>
                </c:pt>
                <c:pt idx="42">
                  <c:v>9.2145517369736947</c:v>
                </c:pt>
                <c:pt idx="43">
                  <c:v>9.2946537465492636</c:v>
                </c:pt>
                <c:pt idx="44">
                  <c:v>9.3857615831600025</c:v>
                </c:pt>
                <c:pt idx="45">
                  <c:v>9.4866490786210491</c:v>
                </c:pt>
                <c:pt idx="46">
                  <c:v>9.595975220657138</c:v>
                </c:pt>
                <c:pt idx="47">
                  <c:v>9.7123491796320707</c:v>
                </c:pt>
                <c:pt idx="48">
                  <c:v>9.8343847282645598</c:v>
                </c:pt>
                <c:pt idx="49">
                  <c:v>9.9607433364866846</c:v>
                </c:pt>
                <c:pt idx="50">
                  <c:v>10.090166078454144</c:v>
                </c:pt>
                <c:pt idx="51">
                  <c:v>10.221495152057487</c:v>
                </c:pt>
                <c:pt idx="52">
                  <c:v>10.353686271807993</c:v>
                </c:pt>
                <c:pt idx="53">
                  <c:v>10.485813462706343</c:v>
                </c:pt>
                <c:pt idx="54">
                  <c:v>10.617067879581134</c:v>
                </c:pt>
                <c:pt idx="55">
                  <c:v>10.74675223650412</c:v>
                </c:pt>
                <c:pt idx="56">
                  <c:v>10.874272291158732</c:v>
                </c:pt>
                <c:pt idx="57">
                  <c:v>10.999126625730144</c:v>
                </c:pt>
                <c:pt idx="58">
                  <c:v>11.120895731369771</c:v>
                </c:pt>
                <c:pt idx="59">
                  <c:v>11.239231164005512</c:v>
                </c:pt>
                <c:pt idx="60">
                  <c:v>11.353845314854341</c:v>
                </c:pt>
                <c:pt idx="61">
                  <c:v>11.46450214232007</c:v>
                </c:pt>
                <c:pt idx="62">
                  <c:v>11.571009049864877</c:v>
                </c:pt>
                <c:pt idx="63">
                  <c:v>11.673209968853678</c:v>
                </c:pt>
                <c:pt idx="64">
                  <c:v>11.770979614583796</c:v>
                </c:pt>
                <c:pt idx="65">
                  <c:v>11.864218823660728</c:v>
                </c:pt>
                <c:pt idx="66">
                  <c:v>11.95285084623778</c:v>
                </c:pt>
                <c:pt idx="67">
                  <c:v>12.036818451701247</c:v>
                </c:pt>
                <c:pt idx="68">
                  <c:v>12.116081705713798</c:v>
                </c:pt>
                <c:pt idx="69">
                  <c:v>12.190616285348971</c:v>
                </c:pt>
                <c:pt idx="70">
                  <c:v>12.260412213446646</c:v>
                </c:pt>
                <c:pt idx="71">
                  <c:v>12.325472910295034</c:v>
                </c:pt>
                <c:pt idx="72">
                  <c:v>12.385814478158059</c:v>
                </c:pt>
                <c:pt idx="73">
                  <c:v>12.441465150617304</c:v>
                </c:pt>
                <c:pt idx="74">
                  <c:v>12.492464853375234</c:v>
                </c:pt>
                <c:pt idx="75">
                  <c:v>12.53886483570548</c:v>
                </c:pt>
                <c:pt idx="76">
                  <c:v>12.58072734207845</c:v>
                </c:pt>
                <c:pt idx="77">
                  <c:v>12.618125301772107</c:v>
                </c:pt>
                <c:pt idx="78">
                  <c:v>12.651142020742515</c:v>
                </c:pt>
                <c:pt idx="79">
                  <c:v>12.679870864963013</c:v>
                </c:pt>
                <c:pt idx="80">
                  <c:v>12.704414928133817</c:v>
                </c:pt>
                <c:pt idx="81">
                  <c:v>12.724886679380104</c:v>
                </c:pt>
                <c:pt idx="82">
                  <c:v>12.74140758852521</c:v>
                </c:pt>
                <c:pt idx="83">
                  <c:v>12.754107727934688</c:v>
                </c:pt>
                <c:pt idx="84">
                  <c:v>12.763125350926083</c:v>
                </c:pt>
                <c:pt idx="85">
                  <c:v>12.768606447442885</c:v>
                </c:pt>
                <c:pt idx="86">
                  <c:v>12.770704278185065</c:v>
                </c:pt>
                <c:pt idx="87">
                  <c:v>12.769578888735055</c:v>
                </c:pt>
                <c:pt idx="88">
                  <c:v>12.765396605461079</c:v>
                </c:pt>
                <c:pt idx="89">
                  <c:v>12.758329515150686</c:v>
                </c:pt>
                <c:pt idx="90">
                  <c:v>12.748554930446769</c:v>
                </c:pt>
                <c:pt idx="91">
                  <c:v>12.736254843240559</c:v>
                </c:pt>
                <c:pt idx="92">
                  <c:v>12.721615368230431</c:v>
                </c:pt>
                <c:pt idx="93">
                  <c:v>12.704826178887725</c:v>
                </c:pt>
                <c:pt idx="94">
                  <c:v>12.686079938085191</c:v>
                </c:pt>
                <c:pt idx="95">
                  <c:v>12.665571725642835</c:v>
                </c:pt>
                <c:pt idx="96">
                  <c:v>12.643498465031064</c:v>
                </c:pt>
                <c:pt idx="97">
                  <c:v>12.620058351444062</c:v>
                </c:pt>
                <c:pt idx="98">
                  <c:v>12.595450283417183</c:v>
                </c:pt>
                <c:pt idx="99">
                  <c:v>12.569873300112633</c:v>
                </c:pt>
                <c:pt idx="100">
                  <c:v>12.543526026337425</c:v>
                </c:pt>
                <c:pt idx="101">
                  <c:v>12.516606127288016</c:v>
                </c:pt>
                <c:pt idx="102">
                  <c:v>12.489309774937194</c:v>
                </c:pt>
                <c:pt idx="103">
                  <c:v>12.461831127891735</c:v>
                </c:pt>
                <c:pt idx="104">
                  <c:v>12.434361826454625</c:v>
                </c:pt>
                <c:pt idx="105">
                  <c:v>12.407090504523685</c:v>
                </c:pt>
                <c:pt idx="106">
                  <c:v>12.380202319850731</c:v>
                </c:pt>
                <c:pt idx="107">
                  <c:v>12.353878504071613</c:v>
                </c:pt>
                <c:pt idx="108">
                  <c:v>12.328295933799518</c:v>
                </c:pt>
                <c:pt idx="109">
                  <c:v>12.303626723951684</c:v>
                </c:pt>
                <c:pt idx="110">
                  <c:v>12.280037844354434</c:v>
                </c:pt>
                <c:pt idx="111">
                  <c:v>12.257690760543895</c:v>
                </c:pt>
                <c:pt idx="112">
                  <c:v>12.23674109955059</c:v>
                </c:pt>
                <c:pt idx="113">
                  <c:v>12.217338341326244</c:v>
                </c:pt>
                <c:pt idx="114">
                  <c:v>12.199625536341188</c:v>
                </c:pt>
                <c:pt idx="115">
                  <c:v>12.18373904975171</c:v>
                </c:pt>
                <c:pt idx="116">
                  <c:v>12.169808332408836</c:v>
                </c:pt>
                <c:pt idx="117">
                  <c:v>12.157955718854801</c:v>
                </c:pt>
                <c:pt idx="118">
                  <c:v>12.14829625233045</c:v>
                </c:pt>
                <c:pt idx="119">
                  <c:v>12.140937536697848</c:v>
                </c:pt>
                <c:pt idx="120">
                  <c:v>12.135979615067024</c:v>
                </c:pt>
                <c:pt idx="121">
                  <c:v>12.133514874805098</c:v>
                </c:pt>
                <c:pt idx="122">
                  <c:v>12.133627978500602</c:v>
                </c:pt>
                <c:pt idx="123">
                  <c:v>12.136395820355572</c:v>
                </c:pt>
                <c:pt idx="124">
                  <c:v>12.141887507383943</c:v>
                </c:pt>
                <c:pt idx="125">
                  <c:v>12.150164364706775</c:v>
                </c:pt>
                <c:pt idx="126">
                  <c:v>12.161279964153561</c:v>
                </c:pt>
                <c:pt idx="127">
                  <c:v>12.175280175304199</c:v>
                </c:pt>
                <c:pt idx="128">
                  <c:v>12.192203238038712</c:v>
                </c:pt>
                <c:pt idx="129">
                  <c:v>12.212079855601312</c:v>
                </c:pt>
                <c:pt idx="130">
                  <c:v>12.234933307132094</c:v>
                </c:pt>
                <c:pt idx="131">
                  <c:v>12.260779578573787</c:v>
                </c:pt>
                <c:pt idx="132">
                  <c:v>12.28962751082212</c:v>
                </c:pt>
                <c:pt idx="133">
                  <c:v>12.321478963956963</c:v>
                </c:pt>
                <c:pt idx="134">
                  <c:v>12.356328996366829</c:v>
                </c:pt>
                <c:pt idx="135">
                  <c:v>12.394166057561943</c:v>
                </c:pt>
                <c:pt idx="136">
                  <c:v>12.43497219346045</c:v>
                </c:pt>
                <c:pt idx="137">
                  <c:v>12.478723262928032</c:v>
                </c:pt>
                <c:pt idx="138">
                  <c:v>12.525389164353715</c:v>
                </c:pt>
                <c:pt idx="139">
                  <c:v>12.57493407105266</c:v>
                </c:pt>
                <c:pt idx="140">
                  <c:v>12.627316674300904</c:v>
                </c:pt>
                <c:pt idx="141">
                  <c:v>12.68249043282646</c:v>
                </c:pt>
                <c:pt idx="142">
                  <c:v>12.740403827605629</c:v>
                </c:pt>
                <c:pt idx="143">
                  <c:v>12.801000620842668</c:v>
                </c:pt>
                <c:pt idx="144">
                  <c:v>12.86422011804456</c:v>
                </c:pt>
                <c:pt idx="145">
                  <c:v>12.929997432140018</c:v>
                </c:pt>
                <c:pt idx="146">
                  <c:v>12.998263748632981</c:v>
                </c:pt>
                <c:pt idx="147">
                  <c:v>13.06894659082513</c:v>
                </c:pt>
                <c:pt idx="148">
                  <c:v>13.14197008418866</c:v>
                </c:pt>
                <c:pt idx="149">
                  <c:v>13.217255219020107</c:v>
                </c:pt>
                <c:pt idx="150">
                  <c:v>13.294720110556996</c:v>
                </c:pt>
                <c:pt idx="151">
                  <c:v>13.374280255792034</c:v>
                </c:pt>
                <c:pt idx="152">
                  <c:v>13.455848786273418</c:v>
                </c:pt>
                <c:pt idx="153">
                  <c:v>13.539336716234665</c:v>
                </c:pt>
                <c:pt idx="154">
                  <c:v>13.624653185452495</c:v>
                </c:pt>
                <c:pt idx="155">
                  <c:v>13.711705696286694</c:v>
                </c:pt>
                <c:pt idx="156">
                  <c:v>13.800400344410976</c:v>
                </c:pt>
                <c:pt idx="157">
                  <c:v>13.890642042798435</c:v>
                </c:pt>
                <c:pt idx="158">
                  <c:v>13.982334738578965</c:v>
                </c:pt>
                <c:pt idx="159">
                  <c:v>14.075381622438812</c:v>
                </c:pt>
                <c:pt idx="160">
                  <c:v>14.169685330283718</c:v>
                </c:pt>
                <c:pt idx="161">
                  <c:v>14.265148136937094</c:v>
                </c:pt>
                <c:pt idx="162">
                  <c:v>14.361672141692766</c:v>
                </c:pt>
                <c:pt idx="163">
                  <c:v>14.459159445588018</c:v>
                </c:pt>
                <c:pt idx="164">
                  <c:v>14.557512320306877</c:v>
                </c:pt>
                <c:pt idx="165">
                  <c:v>14.656633368665483</c:v>
                </c:pt>
                <c:pt idx="166">
                  <c:v>14.756425676671061</c:v>
                </c:pt>
                <c:pt idx="167">
                  <c:v>14.856792957183186</c:v>
                </c:pt>
                <c:pt idx="168">
                  <c:v>14.95763968524086</c:v>
                </c:pt>
                <c:pt idx="169">
                  <c:v>15.058871225150998</c:v>
                </c:pt>
                <c:pt idx="170">
                  <c:v>15.160393949463799</c:v>
                </c:pt>
                <c:pt idx="171">
                  <c:v>15.262115349987267</c:v>
                </c:pt>
                <c:pt idx="172">
                  <c:v>15.363944141017953</c:v>
                </c:pt>
                <c:pt idx="173">
                  <c:v>15.465790354986757</c:v>
                </c:pt>
                <c:pt idx="174">
                  <c:v>15.567565430738119</c:v>
                </c:pt>
                <c:pt idx="175">
                  <c:v>15.669182294677983</c:v>
                </c:pt>
                <c:pt idx="176">
                  <c:v>15.770555435040363</c:v>
                </c:pt>
                <c:pt idx="177">
                  <c:v>15.871600969534679</c:v>
                </c:pt>
                <c:pt idx="178">
                  <c:v>15.972236706646022</c:v>
                </c:pt>
                <c:pt idx="179">
                  <c:v>16.072382200868187</c:v>
                </c:pt>
                <c:pt idx="180">
                  <c:v>16.171958802155345</c:v>
                </c:pt>
                <c:pt idx="181">
                  <c:v>16.270889699881707</c:v>
                </c:pt>
                <c:pt idx="182">
                  <c:v>16.369099961600831</c:v>
                </c:pt>
                <c:pt idx="183">
                  <c:v>16.466516566896196</c:v>
                </c:pt>
                <c:pt idx="184">
                  <c:v>16.563068436613456</c:v>
                </c:pt>
                <c:pt idx="185">
                  <c:v>16.658686457761792</c:v>
                </c:pt>
                <c:pt idx="186">
                  <c:v>16.753303504367743</c:v>
                </c:pt>
                <c:pt idx="187">
                  <c:v>16.846854454559139</c:v>
                </c:pt>
                <c:pt idx="188">
                  <c:v>16.939276204150421</c:v>
                </c:pt>
                <c:pt idx="189">
                  <c:v>17.030507676992819</c:v>
                </c:pt>
                <c:pt idx="190">
                  <c:v>17.120489832344479</c:v>
                </c:pt>
                <c:pt idx="191">
                  <c:v>17.209165669506262</c:v>
                </c:pt>
                <c:pt idx="192">
                  <c:v>17.296480229959041</c:v>
                </c:pt>
                <c:pt idx="193">
                  <c:v>17.382380597227804</c:v>
                </c:pt>
                <c:pt idx="194">
                  <c:v>17.46681589468697</c:v>
                </c:pt>
                <c:pt idx="195">
                  <c:v>17.549737281509845</c:v>
                </c:pt>
                <c:pt idx="196">
                  <c:v>17.631097946953862</c:v>
                </c:pt>
                <c:pt idx="197">
                  <c:v>17.710853103161149</c:v>
                </c:pt>
                <c:pt idx="198">
                  <c:v>17.788959976642495</c:v>
                </c:pt>
                <c:pt idx="199">
                  <c:v>17.865377798600615</c:v>
                </c:pt>
                <c:pt idx="200">
                  <c:v>17.940067794237031</c:v>
                </c:pt>
                <c:pt idx="201">
                  <c:v>18.012993171175147</c:v>
                </c:pt>
                <c:pt idx="202">
                  <c:v>18.084119107120546</c:v>
                </c:pt>
                <c:pt idx="203">
                  <c:v>18.153412736868393</c:v>
                </c:pt>
                <c:pt idx="204">
                  <c:v>18.220843138756742</c:v>
                </c:pt>
                <c:pt idx="205">
                  <c:v>18.286381320654026</c:v>
                </c:pt>
                <c:pt idx="206">
                  <c:v>18.350000205558565</c:v>
                </c:pt>
                <c:pt idx="207">
                  <c:v>18.41167461687818</c:v>
                </c:pt>
                <c:pt idx="208">
                  <c:v>18.471381263448507</c:v>
                </c:pt>
                <c:pt idx="209">
                  <c:v>18.529098724339512</c:v>
                </c:pt>
                <c:pt idx="210">
                  <c:v>18.584807433491232</c:v>
                </c:pt>
                <c:pt idx="211">
                  <c:v>18.638489664211708</c:v>
                </c:pt>
                <c:pt idx="212">
                  <c:v>18.690129513562344</c:v>
                </c:pt>
                <c:pt idx="213">
                  <c:v>18.739712886649066</c:v>
                </c:pt>
                <c:pt idx="214">
                  <c:v>18.787227480830786</c:v>
                </c:pt>
                <c:pt idx="215">
                  <c:v>18.832662769850817</c:v>
                </c:pt>
                <c:pt idx="216">
                  <c:v>18.876009987891056</c:v>
                </c:pt>
                <c:pt idx="217">
                  <c:v>18.917262113543831</c:v>
                </c:pt>
                <c:pt idx="218">
                  <c:v>18.95641385369148</c:v>
                </c:pt>
                <c:pt idx="219">
                  <c:v>18.993461627279601</c:v>
                </c:pt>
                <c:pt idx="220">
                  <c:v>19.028403548966335</c:v>
                </c:pt>
                <c:pt idx="221">
                  <c:v>19.06123941262646</c:v>
                </c:pt>
                <c:pt idx="222">
                  <c:v>19.091970674686461</c:v>
                </c:pt>
                <c:pt idx="223">
                  <c:v>19.120600437264208</c:v>
                </c:pt>
                <c:pt idx="224">
                  <c:v>19.147133431084786</c:v>
                </c:pt>
                <c:pt idx="225">
                  <c:v>19.171575998142295</c:v>
                </c:pt>
                <c:pt idx="226">
                  <c:v>19.193936074076294</c:v>
                </c:pt>
                <c:pt idx="227">
                  <c:v>19.214223170230294</c:v>
                </c:pt>
                <c:pt idx="228">
                  <c:v>19.232448355359253</c:v>
                </c:pt>
                <c:pt idx="229">
                  <c:v>19.24862423695248</c:v>
                </c:pt>
                <c:pt idx="230">
                  <c:v>19.262764942138411</c:v>
                </c:pt>
                <c:pt idx="231">
                  <c:v>19.274886098137696</c:v>
                </c:pt>
                <c:pt idx="232">
                  <c:v>19.285004812231577</c:v>
                </c:pt>
                <c:pt idx="233">
                  <c:v>19.293139651213096</c:v>
                </c:pt>
                <c:pt idx="234">
                  <c:v>19.299310620289436</c:v>
                </c:pt>
                <c:pt idx="235">
                  <c:v>19.303539141404883</c:v>
                </c:pt>
                <c:pt idx="236">
                  <c:v>19.305848030954849</c:v>
                </c:pt>
                <c:pt idx="237">
                  <c:v>19.306261476862883</c:v>
                </c:pt>
                <c:pt idx="238">
                  <c:v>19.304805014994056</c:v>
                </c:pt>
                <c:pt idx="239">
                  <c:v>19.301505504879625</c:v>
                </c:pt>
                <c:pt idx="240">
                  <c:v>19.296391104729675</c:v>
                </c:pt>
                <c:pt idx="241">
                  <c:v>19.289491245712167</c:v>
                </c:pt>
                <c:pt idx="242">
                  <c:v>19.280836605478715</c:v>
                </c:pt>
                <c:pt idx="243">
                  <c:v>19.27045908091948</c:v>
                </c:pt>
                <c:pt idx="244">
                  <c:v>19.258391760131403</c:v>
                </c:pt>
                <c:pt idx="245">
                  <c:v>19.244668893586166</c:v>
                </c:pt>
                <c:pt idx="246">
                  <c:v>19.229325864486448</c:v>
                </c:pt>
                <c:pt idx="247">
                  <c:v>19.212399158300993</c:v>
                </c:pt>
                <c:pt idx="248">
                  <c:v>19.193926331471356</c:v>
                </c:pt>
                <c:pt idx="249">
                  <c:v>19.17394597928525</c:v>
                </c:pt>
                <c:pt idx="250">
                  <c:v>19.152497702913617</c:v>
                </c:pt>
                <c:pt idx="251">
                  <c:v>19.129622075610801</c:v>
                </c:pt>
                <c:pt idx="252">
                  <c:v>19.105360608079216</c:v>
                </c:pt>
                <c:pt idx="253">
                  <c:v>19.079755713002331</c:v>
                </c:pt>
                <c:pt idx="254">
                  <c:v>19.052850668751631</c:v>
                </c:pt>
                <c:pt idx="255">
                  <c:v>19.02468958227557</c:v>
                </c:pt>
                <c:pt idx="256">
                  <c:v>18.995317351180596</c:v>
                </c:pt>
                <c:pt idx="257">
                  <c:v>18.964779625016295</c:v>
                </c:pt>
                <c:pt idx="258">
                  <c:v>18.933122765778922</c:v>
                </c:pt>
                <c:pt idx="259">
                  <c:v>18.900393807649365</c:v>
                </c:pt>
                <c:pt idx="260">
                  <c:v>18.866640415983859</c:v>
                </c:pt>
                <c:pt idx="261">
                  <c:v>18.83191084557739</c:v>
                </c:pt>
                <c:pt idx="262">
                  <c:v>18.796253898221853</c:v>
                </c:pt>
                <c:pt idx="263">
                  <c:v>18.75971887958271</c:v>
                </c:pt>
                <c:pt idx="264">
                  <c:v>18.722355555419846</c:v>
                </c:pt>
                <c:pt idx="265">
                  <c:v>18.684214107179915</c:v>
                </c:pt>
                <c:pt idx="266">
                  <c:v>18.645345086989231</c:v>
                </c:pt>
                <c:pt idx="267">
                  <c:v>18.605799372077996</c:v>
                </c:pt>
                <c:pt idx="268">
                  <c:v>18.565628118668105</c:v>
                </c:pt>
                <c:pt idx="269">
                  <c:v>18.524882715358373</c:v>
                </c:pt>
                <c:pt idx="270">
                  <c:v>18.483614736042576</c:v>
                </c:pt>
                <c:pt idx="271">
                  <c:v>18.441875892397018</c:v>
                </c:pt>
                <c:pt idx="272">
                  <c:v>18.399717985975833</c:v>
                </c:pt>
                <c:pt idx="273">
                  <c:v>18.357192859953415</c:v>
                </c:pt>
                <c:pt idx="274">
                  <c:v>18.314352350554771</c:v>
                </c:pt>
                <c:pt idx="275">
                  <c:v>18.271248238215666</c:v>
                </c:pt>
                <c:pt idx="276">
                  <c:v>18.227932198515735</c:v>
                </c:pt>
                <c:pt idx="277">
                  <c:v>18.184455752928528</c:v>
                </c:pt>
                <c:pt idx="278">
                  <c:v>18.140870219433882</c:v>
                </c:pt>
                <c:pt idx="279">
                  <c:v>18.09722666303859</c:v>
                </c:pt>
                <c:pt idx="280">
                  <c:v>18.053575846252457</c:v>
                </c:pt>
                <c:pt idx="281">
                  <c:v>18.009968179567622</c:v>
                </c:pt>
                <c:pt idx="282">
                  <c:v>17.966453671989687</c:v>
                </c:pt>
                <c:pt idx="283">
                  <c:v>17.923081881670139</c:v>
                </c:pt>
                <c:pt idx="284">
                  <c:v>17.879901866689863</c:v>
                </c:pt>
                <c:pt idx="285">
                  <c:v>17.836962136044402</c:v>
                </c:pt>
                <c:pt idx="286">
                  <c:v>17.794310600881975</c:v>
                </c:pt>
                <c:pt idx="287">
                  <c:v>17.751994526045753</c:v>
                </c:pt>
                <c:pt idx="288">
                  <c:v>17.710060481972217</c:v>
                </c:pt>
                <c:pt idx="289">
                  <c:v>17.668554296997762</c:v>
                </c:pt>
                <c:pt idx="290">
                  <c:v>17.627521010125985</c:v>
                </c:pt>
                <c:pt idx="291">
                  <c:v>17.587004824308131</c:v>
                </c:pt>
                <c:pt idx="292">
                  <c:v>17.547049060289364</c:v>
                </c:pt>
                <c:pt idx="293">
                  <c:v>17.507696111073546</c:v>
                </c:pt>
                <c:pt idx="294">
                  <c:v>17.468987397059095</c:v>
                </c:pt>
                <c:pt idx="295">
                  <c:v>17.430963321898414</c:v>
                </c:pt>
                <c:pt idx="296">
                  <c:v>17.393663229133161</c:v>
                </c:pt>
                <c:pt idx="297">
                  <c:v>17.357125359657445</c:v>
                </c:pt>
                <c:pt idx="298">
                  <c:v>17.321386810060496</c:v>
                </c:pt>
                <c:pt idx="299">
                  <c:v>17.286483491900164</c:v>
                </c:pt>
                <c:pt idx="300">
                  <c:v>17.252450091957989</c:v>
                </c:pt>
                <c:pt idx="301">
                  <c:v>17.219320033526014</c:v>
                </c:pt>
                <c:pt idx="302">
                  <c:v>17.187125438774927</c:v>
                </c:pt>
                <c:pt idx="303">
                  <c:v>17.155897092252378</c:v>
                </c:pt>
                <c:pt idx="304">
                  <c:v>17.125664405559533</c:v>
                </c:pt>
                <c:pt idx="305">
                  <c:v>17.09645538325309</c:v>
                </c:pt>
                <c:pt idx="306">
                  <c:v>17.068296590018971</c:v>
                </c:pt>
                <c:pt idx="307">
                  <c:v>17.041213119163046</c:v>
                </c:pt>
                <c:pt idx="308">
                  <c:v>17.015228562463012</c:v>
                </c:pt>
                <c:pt idx="309">
                  <c:v>16.990364981424477</c:v>
                </c:pt>
                <c:pt idx="310">
                  <c:v>16.966642879983091</c:v>
                </c:pt>
                <c:pt idx="311">
                  <c:v>16.944081178693256</c:v>
                </c:pt>
                <c:pt idx="312">
                  <c:v>16.922697190442509</c:v>
                </c:pt>
                <c:pt idx="313">
                  <c:v>16.902506597729431</c:v>
                </c:pt>
                <c:pt idx="314">
                  <c:v>16.883523431541221</c:v>
                </c:pt>
                <c:pt idx="315">
                  <c:v>16.865760051865657</c:v>
                </c:pt>
                <c:pt idx="316">
                  <c:v>16.849227129870496</c:v>
                </c:pt>
                <c:pt idx="317">
                  <c:v>16.83393363178163</c:v>
                </c:pt>
                <c:pt idx="318">
                  <c:v>16.819886804489659</c:v>
                </c:pt>
                <c:pt idx="319">
                  <c:v>16.807092162912621</c:v>
                </c:pt>
                <c:pt idx="320">
                  <c:v>16.795553479140786</c:v>
                </c:pt>
                <c:pt idx="321">
                  <c:v>16.785272773387593</c:v>
                </c:pt>
                <c:pt idx="322">
                  <c:v>16.776250306768596</c:v>
                </c:pt>
                <c:pt idx="323">
                  <c:v>16.768484575928518</c:v>
                </c:pt>
                <c:pt idx="324">
                  <c:v>16.761972309534226</c:v>
                </c:pt>
                <c:pt idx="325">
                  <c:v>16.756708466649393</c:v>
                </c:pt>
                <c:pt idx="326">
                  <c:v>16.752686237004443</c:v>
                </c:pt>
                <c:pt idx="327">
                  <c:v>16.749897043173132</c:v>
                </c:pt>
                <c:pt idx="328">
                  <c:v>16.748330544664835</c:v>
                </c:pt>
                <c:pt idx="329">
                  <c:v>16.747974643939422</c:v>
                </c:pt>
                <c:pt idx="330">
                  <c:v>16.748815494349074</c:v>
                </c:pt>
                <c:pt idx="331">
                  <c:v>16.750837510009326</c:v>
                </c:pt>
                <c:pt idx="332">
                  <c:v>16.754023377598873</c:v>
                </c:pt>
                <c:pt idx="333">
                  <c:v>16.75835407008568</c:v>
                </c:pt>
                <c:pt idx="334">
                  <c:v>16.763808862374081</c:v>
                </c:pt>
                <c:pt idx="335">
                  <c:v>16.770365348865447</c:v>
                </c:pt>
                <c:pt idx="336">
                  <c:v>16.777999462922406</c:v>
                </c:pt>
                <c:pt idx="337">
                  <c:v>16.786685498224003</c:v>
                </c:pt>
                <c:pt idx="338">
                  <c:v>16.796396131997017</c:v>
                </c:pt>
                <c:pt idx="339">
                  <c:v>16.807102450105855</c:v>
                </c:pt>
                <c:pt idx="340">
                  <c:v>16.818773973981138</c:v>
                </c:pt>
                <c:pt idx="341">
                  <c:v>16.83137868936462</c:v>
                </c:pt>
                <c:pt idx="342">
                  <c:v>16.844883076845555</c:v>
                </c:pt>
                <c:pt idx="343">
                  <c:v>16.859252144161204</c:v>
                </c:pt>
                <c:pt idx="344">
                  <c:v>16.87444946023172</c:v>
                </c:pt>
                <c:pt idx="345">
                  <c:v>16.890437190897327</c:v>
                </c:pt>
                <c:pt idx="346">
                  <c:v>16.907176136323148</c:v>
                </c:pt>
                <c:pt idx="347">
                  <c:v>16.924625770034908</c:v>
                </c:pt>
                <c:pt idx="348">
                  <c:v>16.942744279546147</c:v>
                </c:pt>
                <c:pt idx="349">
                  <c:v>16.961488608535571</c:v>
                </c:pt>
                <c:pt idx="350">
                  <c:v>16.980814500530691</c:v>
                </c:pt>
                <c:pt idx="351">
                  <c:v>17.00067654405186</c:v>
                </c:pt>
                <c:pt idx="352">
                  <c:v>17.021028219168567</c:v>
                </c:pt>
                <c:pt idx="353">
                  <c:v>17.041821945417801</c:v>
                </c:pt>
                <c:pt idx="354">
                  <c:v>17.06300913103227</c:v>
                </c:pt>
                <c:pt idx="355">
                  <c:v>17.084540223424305</c:v>
                </c:pt>
                <c:pt idx="356">
                  <c:v>17.106364760869202</c:v>
                </c:pt>
                <c:pt idx="357">
                  <c:v>17.128431425330326</c:v>
                </c:pt>
                <c:pt idx="358">
                  <c:v>17.150688096365954</c:v>
                </c:pt>
                <c:pt idx="359">
                  <c:v>17.17308190605678</c:v>
                </c:pt>
                <c:pt idx="360">
                  <c:v>17.195559294890927</c:v>
                </c:pt>
                <c:pt idx="361">
                  <c:v>17.218066068542157</c:v>
                </c:pt>
                <c:pt idx="362">
                  <c:v>17.240547455475255</c:v>
                </c:pt>
                <c:pt idx="363">
                  <c:v>17.262948165311641</c:v>
                </c:pt>
                <c:pt idx="364">
                  <c:v>17.285212447886703</c:v>
                </c:pt>
                <c:pt idx="365">
                  <c:v>17.307284152929526</c:v>
                </c:pt>
                <c:pt idx="366">
                  <c:v>17.32910679029472</c:v>
                </c:pt>
                <c:pt idx="367">
                  <c:v>17.350623590675095</c:v>
                </c:pt>
                <c:pt idx="368">
                  <c:v>17.371777566723466</c:v>
                </c:pt>
                <c:pt idx="369">
                  <c:v>17.392511574511232</c:v>
                </c:pt>
                <c:pt idx="370">
                  <c:v>17.412768375251165</c:v>
                </c:pt>
                <c:pt idx="371">
                  <c:v>17.43249069721157</c:v>
                </c:pt>
                <c:pt idx="372">
                  <c:v>17.45162129774922</c:v>
                </c:pt>
                <c:pt idx="373">
                  <c:v>17.470103025388596</c:v>
                </c:pt>
                <c:pt idx="374">
                  <c:v>17.487878881875744</c:v>
                </c:pt>
                <c:pt idx="375">
                  <c:v>17.504892084135673</c:v>
                </c:pt>
                <c:pt idx="376">
                  <c:v>17.521086126063661</c:v>
                </c:pt>
                <c:pt idx="377">
                  <c:v>17.536404840082199</c:v>
                </c:pt>
                <c:pt idx="378">
                  <c:v>17.550792458397314</c:v>
                </c:pt>
                <c:pt idx="379">
                  <c:v>17.564193673890568</c:v>
                </c:pt>
                <c:pt idx="380">
                  <c:v>17.576553700585848</c:v>
                </c:pt>
                <c:pt idx="381">
                  <c:v>17.587818333633717</c:v>
                </c:pt>
                <c:pt idx="382">
                  <c:v>17.597934008760411</c:v>
                </c:pt>
                <c:pt idx="383">
                  <c:v>17.606847861133549</c:v>
                </c:pt>
                <c:pt idx="384">
                  <c:v>17.614507783602594</c:v>
                </c:pt>
                <c:pt idx="385">
                  <c:v>17.620862484279094</c:v>
                </c:pt>
                <c:pt idx="386">
                  <c:v>17.625861543429711</c:v>
                </c:pt>
                <c:pt idx="387">
                  <c:v>17.629455469664531</c:v>
                </c:pt>
                <c:pt idx="388">
                  <c:v>17.631595755413798</c:v>
                </c:pt>
                <c:pt idx="389">
                  <c:v>17.632234931698708</c:v>
                </c:pt>
                <c:pt idx="390">
                  <c:v>17.631326622215965</c:v>
                </c:pt>
                <c:pt idx="391">
                  <c:v>17.628825596771961</c:v>
                </c:pt>
                <c:pt idx="392">
                  <c:v>17.624687824120706</c:v>
                </c:pt>
                <c:pt idx="393">
                  <c:v>17.618870524280183</c:v>
                </c:pt>
                <c:pt idx="394">
                  <c:v>17.611332220425115</c:v>
                </c:pt>
                <c:pt idx="395">
                  <c:v>17.602032790479875</c:v>
                </c:pt>
                <c:pt idx="396">
                  <c:v>17.590933518564224</c:v>
                </c:pt>
                <c:pt idx="397">
                  <c:v>17.577997146476434</c:v>
                </c:pt>
                <c:pt idx="398">
                  <c:v>17.563187925433496</c:v>
                </c:pt>
                <c:pt idx="399">
                  <c:v>17.546471668326515</c:v>
                </c:pt>
                <c:pt idx="400">
                  <c:v>17.527815802791196</c:v>
                </c:pt>
                <c:pt idx="401">
                  <c:v>17.507189425438405</c:v>
                </c:pt>
                <c:pt idx="402">
                  <c:v>17.484563357637985</c:v>
                </c:pt>
                <c:pt idx="403">
                  <c:v>17.45991020330024</c:v>
                </c:pt>
                <c:pt idx="404">
                  <c:v>17.433204409153287</c:v>
                </c:pt>
                <c:pt idx="405">
                  <c:v>17.404422328070559</c:v>
                </c:pt>
                <c:pt idx="406">
                  <c:v>17.37354228605982</c:v>
                </c:pt>
                <c:pt idx="407">
                  <c:v>17.340544653583404</c:v>
                </c:pt>
                <c:pt idx="408">
                  <c:v>17.305411921936766</c:v>
                </c:pt>
                <c:pt idx="409">
                  <c:v>17.268128785468239</c:v>
                </c:pt>
                <c:pt idx="410">
                  <c:v>17.228682230475613</c:v>
                </c:pt>
                <c:pt idx="411">
                  <c:v>17.187061631662456</c:v>
                </c:pt>
                <c:pt idx="412">
                  <c:v>17.143258857077537</c:v>
                </c:pt>
                <c:pt idx="413">
                  <c:v>17.097268382491336</c:v>
                </c:pt>
                <c:pt idx="414">
                  <c:v>17.04908741618226</c:v>
                </c:pt>
                <c:pt idx="415">
                  <c:v>16.99871603510838</c:v>
                </c:pt>
                <c:pt idx="416">
                  <c:v>16.946157333425486</c:v>
                </c:pt>
                <c:pt idx="417">
                  <c:v>16.891417584275175</c:v>
                </c:pt>
                <c:pt idx="418">
                  <c:v>16.834506415704094</c:v>
                </c:pt>
                <c:pt idx="419">
                  <c:v>16.775437001483503</c:v>
                </c:pt>
                <c:pt idx="420">
                  <c:v>16.714226267472792</c:v>
                </c:pt>
                <c:pt idx="421">
                  <c:v>16.650895114008197</c:v>
                </c:pt>
                <c:pt idx="422">
                  <c:v>16.585468654594049</c:v>
                </c:pt>
                <c:pt idx="423">
                  <c:v>16.517976470925703</c:v>
                </c:pt>
                <c:pt idx="424">
                  <c:v>16.448452883976923</c:v>
                </c:pt>
                <c:pt idx="425">
                  <c:v>16.376937240537707</c:v>
                </c:pt>
                <c:pt idx="426">
                  <c:v>16.303474214188817</c:v>
                </c:pt>
                <c:pt idx="427">
                  <c:v>16.228114119245912</c:v>
                </c:pt>
                <c:pt idx="428">
                  <c:v>16.150913235698543</c:v>
                </c:pt>
                <c:pt idx="429">
                  <c:v>16.071934142608608</c:v>
                </c:pt>
                <c:pt idx="430">
                  <c:v>15.991246056821867</c:v>
                </c:pt>
                <c:pt idx="431">
                  <c:v>15.90892517318836</c:v>
                </c:pt>
                <c:pt idx="432">
                  <c:v>15.825055001789439</c:v>
                </c:pt>
                <c:pt idx="433">
                  <c:v>15.739726696938224</c:v>
                </c:pt>
                <c:pt idx="434">
                  <c:v>15.653039371966196</c:v>
                </c:pt>
                <c:pt idx="435">
                  <c:v>15.5651003930441</c:v>
                </c:pt>
                <c:pt idx="436">
                  <c:v>15.476025644523599</c:v>
                </c:pt>
                <c:pt idx="437">
                  <c:v>15.38593975754468</c:v>
                </c:pt>
                <c:pt idx="438">
                  <c:v>15.29497629295008</c:v>
                </c:pt>
                <c:pt idx="439">
                  <c:v>15.203277868903621</c:v>
                </c:pt>
                <c:pt idx="440">
                  <c:v>15.110996223045568</c:v>
                </c:pt>
                <c:pt idx="441">
                  <c:v>15.018292198559648</c:v>
                </c:pt>
                <c:pt idx="442">
                  <c:v>14.925335643197153</c:v>
                </c:pt>
                <c:pt idx="443">
                  <c:v>14.832305210130039</c:v>
                </c:pt>
                <c:pt idx="444">
                  <c:v>14.739388049511767</c:v>
                </c:pt>
                <c:pt idx="445">
                  <c:v>14.646779379837641</c:v>
                </c:pt>
                <c:pt idx="446">
                  <c:v>14.554681928638979</c:v>
                </c:pt>
                <c:pt idx="447">
                  <c:v>14.463305232739618</c:v>
                </c:pt>
                <c:pt idx="448">
                  <c:v>14.372864789268277</c:v>
                </c:pt>
                <c:pt idx="449">
                  <c:v>14.283581049871968</c:v>
                </c:pt>
                <c:pt idx="450">
                  <c:v>14.195678252125058</c:v>
                </c:pt>
                <c:pt idx="451">
                  <c:v>14.109383083983253</c:v>
                </c:pt>
                <c:pt idx="452">
                  <c:v>14.024923179291932</c:v>
                </c:pt>
                <c:pt idx="453">
                  <c:v>13.942525444820239</c:v>
                </c:pt>
                <c:pt idx="454">
                  <c:v>13.862414222045038</c:v>
                </c:pt>
                <c:pt idx="455">
                  <c:v>13.784809289936041</c:v>
                </c:pt>
                <c:pt idx="456">
                  <c:v>13.709923718273634</c:v>
                </c:pt>
                <c:pt idx="457">
                  <c:v>13.6379615845374</c:v>
                </c:pt>
                <c:pt idx="458">
                  <c:v>13.569115571107275</c:v>
                </c:pt>
                <c:pt idx="459">
                  <c:v>13.503564463389765</c:v>
                </c:pt>
                <c:pt idx="460">
                  <c:v>13.441470573489292</c:v>
                </c:pt>
                <c:pt idx="461">
                  <c:v>13.382977118164181</c:v>
                </c:pt>
                <c:pt idx="462">
                  <c:v>13.328205584019418</c:v>
                </c:pt>
                <c:pt idx="463">
                  <c:v>13.277253117186621</c:v>
                </c:pt>
                <c:pt idx="464">
                  <c:v>13.230189979130653</c:v>
                </c:pt>
                <c:pt idx="465">
                  <c:v>13.187057114724107</c:v>
                </c:pt>
                <c:pt idx="466">
                  <c:v>13.147863883383005</c:v>
                </c:pt>
                <c:pt idx="467">
                  <c:v>13.112586008913494</c:v>
                </c:pt>
                <c:pt idx="468">
                  <c:v>13.081163808843923</c:v>
                </c:pt>
                <c:pt idx="469">
                  <c:v>13.05350076947499</c:v>
                </c:pt>
                <c:pt idx="470">
                  <c:v>13.029462538724099</c:v>
                </c:pt>
                <c:pt idx="471">
                  <c:v>13.008876415084362</c:v>
                </c:pt>
                <c:pt idx="472">
                  <c:v>12.991531417613219</c:v>
                </c:pt>
                <c:pt idx="473">
                  <c:v>12.977179028656096</c:v>
                </c:pt>
                <c:pt idx="474">
                  <c:v>12.965534707692441</c:v>
                </c:pt>
                <c:pt idx="475">
                  <c:v>12.956280280759753</c:v>
                </c:pt>
                <c:pt idx="476">
                  <c:v>12.949067314605685</c:v>
                </c:pt>
                <c:pt idx="477">
                  <c:v>12.943521586976185</c:v>
                </c:pt>
                <c:pt idx="478">
                  <c:v>12.939248762861881</c:v>
                </c:pt>
                <c:pt idx="479">
                  <c:v>12.935841379331851</c:v>
                </c:pt>
                <c:pt idx="480">
                  <c:v>12.932887226675769</c:v>
                </c:pt>
                <c:pt idx="481">
                  <c:v>12.929979188566485</c:v>
                </c:pt>
                <c:pt idx="482">
                  <c:v>12.926726566301626</c:v>
                </c:pt>
                <c:pt idx="483">
                  <c:v>12.922767859377132</c:v>
                </c:pt>
                <c:pt idx="484">
                  <c:v>12.917784904481065</c:v>
                </c:pt>
                <c:pt idx="485">
                  <c:v>12.911518185913861</c:v>
                </c:pt>
                <c:pt idx="486">
                  <c:v>12.903783021936327</c:v>
                </c:pt>
                <c:pt idx="487">
                  <c:v>12.894486204621051</c:v>
                </c:pt>
                <c:pt idx="488">
                  <c:v>12.88364252840308</c:v>
                </c:pt>
                <c:pt idx="489">
                  <c:v>12.871390490038342</c:v>
                </c:pt>
                <c:pt idx="490">
                  <c:v>12.858006288119991</c:v>
                </c:pt>
                <c:pt idx="491">
                  <c:v>12.843915104531591</c:v>
                </c:pt>
                <c:pt idx="492">
                  <c:v>12.829698526796598</c:v>
                </c:pt>
                <c:pt idx="493">
                  <c:v>12.816096885048916</c:v>
                </c:pt>
                <c:pt idx="494">
                  <c:v>12.804005247602655</c:v>
                </c:pt>
                <c:pt idx="495">
                  <c:v>12.794461862421592</c:v>
                </c:pt>
                <c:pt idx="496">
                  <c:v>12.788627964481401</c:v>
                </c:pt>
                <c:pt idx="497">
                  <c:v>12.787758104242092</c:v>
                </c:pt>
                <c:pt idx="498">
                  <c:v>12.793160498189087</c:v>
                </c:pt>
                <c:pt idx="499">
                  <c:v>12.80614735942881</c:v>
                </c:pt>
                <c:pt idx="500">
                  <c:v>12.82797572637498</c:v>
                </c:pt>
                <c:pt idx="501">
                  <c:v>12.859779951991634</c:v>
                </c:pt>
                <c:pt idx="502">
                  <c:v>12.902497715223124</c:v>
                </c:pt>
                <c:pt idx="503">
                  <c:v>12.956792129827988</c:v>
                </c:pt>
                <c:pt idx="504">
                  <c:v>13.022973204321147</c:v>
                </c:pt>
                <c:pt idx="505">
                  <c:v>13.100922494041031</c:v>
                </c:pt>
                <c:pt idx="506">
                  <c:v>13.190025223671292</c:v>
                </c:pt>
                <c:pt idx="507">
                  <c:v>13.289114389054966</c:v>
                </c:pt>
                <c:pt idx="508">
                  <c:v>13.396431321453079</c:v>
                </c:pt>
                <c:pt idx="509">
                  <c:v>13.509606879110716</c:v>
                </c:pt>
                <c:pt idx="510">
                  <c:v>13.625666801851768</c:v>
                </c:pt>
                <c:pt idx="511">
                  <c:v>13.741063828528755</c:v>
                </c:pt>
                <c:pt idx="512">
                  <c:v>13.851737963586203</c:v>
                </c:pt>
                <c:pt idx="513">
                  <c:v>13.953204842398668</c:v>
                </c:pt>
                <c:pt idx="514">
                  <c:v>14.040670563850888</c:v>
                </c:pt>
                <c:pt idx="515">
                  <c:v>14.109169730829034</c:v>
                </c:pt>
                <c:pt idx="516">
                  <c:v>14.15372187591986</c:v>
                </c:pt>
                <c:pt idx="517">
                  <c:v>14.169500066369414</c:v>
                </c:pt>
                <c:pt idx="518">
                  <c:v>14.152004390058588</c:v>
                </c:pt>
                <c:pt idx="519">
                  <c:v>14.097232319008334</c:v>
                </c:pt>
                <c:pt idx="520">
                  <c:v>14.001837700921396</c:v>
                </c:pt>
                <c:pt idx="521">
                  <c:v>13.863270383224769</c:v>
                </c:pt>
                <c:pt idx="522">
                  <c:v>13.679889232193641</c:v>
                </c:pt>
                <c:pt idx="523">
                  <c:v>13.45104253772876</c:v>
                </c:pt>
                <c:pt idx="524">
                  <c:v>13.177111420963683</c:v>
                </c:pt>
                <c:pt idx="525">
                  <c:v>12.859513783779654</c:v>
                </c:pt>
                <c:pt idx="526">
                  <c:v>12.500668429093256</c:v>
                </c:pt>
                <c:pt idx="527">
                  <c:v>12.103921097224395</c:v>
                </c:pt>
                <c:pt idx="528">
                  <c:v>11.673436163311884</c:v>
                </c:pt>
                <c:pt idx="529">
                  <c:v>11.214059489804486</c:v>
                </c:pt>
                <c:pt idx="530">
                  <c:v>10.731159313215297</c:v>
                </c:pt>
                <c:pt idx="531">
                  <c:v>10.230452981712897</c:v>
                </c:pt>
                <c:pt idx="532">
                  <c:v>9.7178278013980872</c:v>
                </c:pt>
                <c:pt idx="533">
                  <c:v>9.1991641842693106</c:v>
                </c:pt>
                <c:pt idx="534">
                  <c:v>8.6801687475333509</c:v>
                </c:pt>
                <c:pt idx="535">
                  <c:v>8.1662240533488948</c:v>
                </c:pt>
                <c:pt idx="536">
                  <c:v>7.6622603885122844</c:v>
                </c:pt>
                <c:pt idx="537">
                  <c:v>7.1726534714674912</c:v>
                </c:pt>
                <c:pt idx="538">
                  <c:v>6.701150354336721</c:v>
                </c:pt>
                <c:pt idx="539">
                  <c:v>6.2508241741831192</c:v>
                </c:pt>
                <c:pt idx="540">
                  <c:v>5.8240569040685557</c:v>
                </c:pt>
              </c:numCache>
            </c:numRef>
          </c:yVal>
        </c:ser>
        <c:axId val="181358592"/>
        <c:axId val="181360512"/>
      </c:scatterChart>
      <c:valAx>
        <c:axId val="181358592"/>
        <c:scaling>
          <c:orientation val="minMax"/>
        </c:scaling>
        <c:axPos val="b"/>
        <c:numFmt formatCode="General" sourceLinked="1"/>
        <c:majorTickMark val="cross"/>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1360512"/>
        <c:crosses val="autoZero"/>
        <c:crossBetween val="midCat"/>
      </c:valAx>
      <c:valAx>
        <c:axId val="181360512"/>
        <c:scaling>
          <c:orientation val="minMax"/>
        </c:scaling>
        <c:axPos val="l"/>
        <c:numFmt formatCode="General" sourceLinked="1"/>
        <c:majorTickMark val="cross"/>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1358592"/>
        <c:crosses val="autoZero"/>
        <c:crossBetween val="midCat"/>
      </c:valAx>
      <c:spPr>
        <a:noFill/>
        <a:ln w="12700">
          <a:solidFill>
            <a:srgbClr val="808080"/>
          </a:solidFill>
          <a:prstDash val="solid"/>
        </a:ln>
      </c:spPr>
    </c:plotArea>
    <c:legend>
      <c:legendPos val="r"/>
      <c:layout>
        <c:manualLayout>
          <c:xMode val="edge"/>
          <c:yMode val="edge"/>
          <c:x val="0.818359375"/>
          <c:y val="2.2408963585434344E-2"/>
          <c:w val="0.173828125"/>
          <c:h val="0.43137372534315765"/>
        </c:manualLayout>
      </c:layout>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233" r="0.75000000000000233" t="1" header="0.5" footer="0.5"/>
    <c:pageSetup paperSize="9" orientation="landscape" horizontalDpi="300"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solidFill>
                  <a:srgbClr val="000000"/>
                </a:solidFill>
                <a:latin typeface="Arial"/>
                <a:ea typeface="Arial"/>
                <a:cs typeface="Arial"/>
              </a:defRPr>
            </a:pPr>
            <a:r>
              <a:rPr lang="en-GB"/>
              <a:t>Spectral Fit - Showing Individual Peak Components</a:t>
            </a:r>
          </a:p>
        </c:rich>
      </c:tx>
      <c:layout>
        <c:manualLayout>
          <c:xMode val="edge"/>
          <c:yMode val="edge"/>
          <c:x val="0.28817649086522001"/>
          <c:y val="3.6158192090395481E-2"/>
        </c:manualLayout>
      </c:layout>
      <c:spPr>
        <a:noFill/>
        <a:ln w="25400">
          <a:noFill/>
        </a:ln>
      </c:spPr>
    </c:title>
    <c:plotArea>
      <c:layout>
        <c:manualLayout>
          <c:layoutTarget val="inner"/>
          <c:xMode val="edge"/>
          <c:yMode val="edge"/>
          <c:x val="0.10306790761806255"/>
          <c:y val="0.11694915254237288"/>
          <c:w val="0.76042743881420205"/>
          <c:h val="0.77118644067796616"/>
        </c:manualLayout>
      </c:layout>
      <c:scatterChart>
        <c:scatterStyle val="smoothMarker"/>
        <c:ser>
          <c:idx val="1"/>
          <c:order val="0"/>
          <c:tx>
            <c:strRef>
              <c:f>Data!$B$1</c:f>
              <c:strCache>
                <c:ptCount val="1"/>
                <c:pt idx="0">
                  <c:v>Test Data</c:v>
                </c:pt>
              </c:strCache>
            </c:strRef>
          </c:tx>
          <c:spPr>
            <a:ln w="12700">
              <a:solidFill>
                <a:srgbClr val="FF00FF"/>
              </a:solidFill>
              <a:prstDash val="solid"/>
            </a:ln>
          </c:spPr>
          <c:marker>
            <c:symbol val="none"/>
          </c:marker>
          <c:xVal>
            <c:numRef>
              <c:f>Data!$A$2:$A$1001</c:f>
              <c:numCache>
                <c:formatCode>General</c:formatCode>
                <c:ptCount val="1000"/>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c:v>
                </c:pt>
                <c:pt idx="193">
                  <c:v>386</c:v>
                </c:pt>
                <c:pt idx="194">
                  <c:v>388</c:v>
                </c:pt>
                <c:pt idx="195">
                  <c:v>390</c:v>
                </c:pt>
                <c:pt idx="196">
                  <c:v>392</c:v>
                </c:pt>
                <c:pt idx="197">
                  <c:v>394</c:v>
                </c:pt>
                <c:pt idx="198">
                  <c:v>396</c:v>
                </c:pt>
                <c:pt idx="199">
                  <c:v>398</c:v>
                </c:pt>
                <c:pt idx="200">
                  <c:v>400</c:v>
                </c:pt>
                <c:pt idx="201">
                  <c:v>402</c:v>
                </c:pt>
                <c:pt idx="202">
                  <c:v>404</c:v>
                </c:pt>
                <c:pt idx="203">
                  <c:v>406</c:v>
                </c:pt>
                <c:pt idx="204">
                  <c:v>408</c:v>
                </c:pt>
                <c:pt idx="205">
                  <c:v>410</c:v>
                </c:pt>
                <c:pt idx="206">
                  <c:v>412</c:v>
                </c:pt>
                <c:pt idx="207">
                  <c:v>414</c:v>
                </c:pt>
                <c:pt idx="208">
                  <c:v>416</c:v>
                </c:pt>
                <c:pt idx="209">
                  <c:v>418</c:v>
                </c:pt>
                <c:pt idx="210">
                  <c:v>420</c:v>
                </c:pt>
                <c:pt idx="211">
                  <c:v>422</c:v>
                </c:pt>
                <c:pt idx="212">
                  <c:v>424</c:v>
                </c:pt>
                <c:pt idx="213">
                  <c:v>426</c:v>
                </c:pt>
                <c:pt idx="214">
                  <c:v>428</c:v>
                </c:pt>
                <c:pt idx="215">
                  <c:v>430</c:v>
                </c:pt>
                <c:pt idx="216">
                  <c:v>432</c:v>
                </c:pt>
                <c:pt idx="217">
                  <c:v>434</c:v>
                </c:pt>
                <c:pt idx="218">
                  <c:v>436</c:v>
                </c:pt>
                <c:pt idx="219">
                  <c:v>438</c:v>
                </c:pt>
                <c:pt idx="220">
                  <c:v>440</c:v>
                </c:pt>
                <c:pt idx="221">
                  <c:v>442</c:v>
                </c:pt>
                <c:pt idx="222">
                  <c:v>444</c:v>
                </c:pt>
                <c:pt idx="223">
                  <c:v>446</c:v>
                </c:pt>
                <c:pt idx="224">
                  <c:v>448</c:v>
                </c:pt>
                <c:pt idx="225">
                  <c:v>450</c:v>
                </c:pt>
                <c:pt idx="226">
                  <c:v>452</c:v>
                </c:pt>
                <c:pt idx="227">
                  <c:v>454</c:v>
                </c:pt>
                <c:pt idx="228">
                  <c:v>456</c:v>
                </c:pt>
                <c:pt idx="229">
                  <c:v>458</c:v>
                </c:pt>
                <c:pt idx="230">
                  <c:v>460</c:v>
                </c:pt>
                <c:pt idx="231">
                  <c:v>462</c:v>
                </c:pt>
                <c:pt idx="232">
                  <c:v>464</c:v>
                </c:pt>
                <c:pt idx="233">
                  <c:v>466</c:v>
                </c:pt>
                <c:pt idx="234">
                  <c:v>468</c:v>
                </c:pt>
                <c:pt idx="235">
                  <c:v>470</c:v>
                </c:pt>
                <c:pt idx="236">
                  <c:v>472</c:v>
                </c:pt>
                <c:pt idx="237">
                  <c:v>474</c:v>
                </c:pt>
                <c:pt idx="238">
                  <c:v>476</c:v>
                </c:pt>
                <c:pt idx="239">
                  <c:v>478</c:v>
                </c:pt>
                <c:pt idx="240">
                  <c:v>480</c:v>
                </c:pt>
                <c:pt idx="241">
                  <c:v>482</c:v>
                </c:pt>
                <c:pt idx="242">
                  <c:v>484</c:v>
                </c:pt>
                <c:pt idx="243">
                  <c:v>486</c:v>
                </c:pt>
                <c:pt idx="244">
                  <c:v>488</c:v>
                </c:pt>
                <c:pt idx="245">
                  <c:v>490</c:v>
                </c:pt>
                <c:pt idx="246">
                  <c:v>492</c:v>
                </c:pt>
                <c:pt idx="247">
                  <c:v>494</c:v>
                </c:pt>
                <c:pt idx="248">
                  <c:v>496</c:v>
                </c:pt>
                <c:pt idx="249">
                  <c:v>498</c:v>
                </c:pt>
                <c:pt idx="250">
                  <c:v>500</c:v>
                </c:pt>
                <c:pt idx="251">
                  <c:v>502</c:v>
                </c:pt>
                <c:pt idx="252">
                  <c:v>504</c:v>
                </c:pt>
                <c:pt idx="253">
                  <c:v>506</c:v>
                </c:pt>
                <c:pt idx="254">
                  <c:v>508</c:v>
                </c:pt>
                <c:pt idx="255">
                  <c:v>510</c:v>
                </c:pt>
                <c:pt idx="256">
                  <c:v>512</c:v>
                </c:pt>
                <c:pt idx="257">
                  <c:v>514</c:v>
                </c:pt>
                <c:pt idx="258">
                  <c:v>516</c:v>
                </c:pt>
                <c:pt idx="259">
                  <c:v>518</c:v>
                </c:pt>
                <c:pt idx="260">
                  <c:v>520</c:v>
                </c:pt>
                <c:pt idx="261">
                  <c:v>522</c:v>
                </c:pt>
                <c:pt idx="262">
                  <c:v>524</c:v>
                </c:pt>
                <c:pt idx="263">
                  <c:v>526</c:v>
                </c:pt>
                <c:pt idx="264">
                  <c:v>528</c:v>
                </c:pt>
                <c:pt idx="265">
                  <c:v>530</c:v>
                </c:pt>
                <c:pt idx="266">
                  <c:v>532</c:v>
                </c:pt>
                <c:pt idx="267">
                  <c:v>534</c:v>
                </c:pt>
                <c:pt idx="268">
                  <c:v>536</c:v>
                </c:pt>
                <c:pt idx="269">
                  <c:v>538</c:v>
                </c:pt>
                <c:pt idx="270">
                  <c:v>540</c:v>
                </c:pt>
                <c:pt idx="271">
                  <c:v>542</c:v>
                </c:pt>
                <c:pt idx="272">
                  <c:v>544</c:v>
                </c:pt>
                <c:pt idx="273">
                  <c:v>546</c:v>
                </c:pt>
                <c:pt idx="274">
                  <c:v>548</c:v>
                </c:pt>
                <c:pt idx="275">
                  <c:v>550</c:v>
                </c:pt>
                <c:pt idx="276">
                  <c:v>552</c:v>
                </c:pt>
                <c:pt idx="277">
                  <c:v>554</c:v>
                </c:pt>
                <c:pt idx="278">
                  <c:v>556</c:v>
                </c:pt>
                <c:pt idx="279">
                  <c:v>558</c:v>
                </c:pt>
                <c:pt idx="280">
                  <c:v>560</c:v>
                </c:pt>
                <c:pt idx="281">
                  <c:v>562</c:v>
                </c:pt>
                <c:pt idx="282">
                  <c:v>564</c:v>
                </c:pt>
                <c:pt idx="283">
                  <c:v>566</c:v>
                </c:pt>
                <c:pt idx="284">
                  <c:v>568</c:v>
                </c:pt>
                <c:pt idx="285">
                  <c:v>570</c:v>
                </c:pt>
                <c:pt idx="286">
                  <c:v>572</c:v>
                </c:pt>
                <c:pt idx="287">
                  <c:v>574</c:v>
                </c:pt>
                <c:pt idx="288">
                  <c:v>576</c:v>
                </c:pt>
                <c:pt idx="289">
                  <c:v>578</c:v>
                </c:pt>
                <c:pt idx="290">
                  <c:v>580</c:v>
                </c:pt>
                <c:pt idx="291">
                  <c:v>582</c:v>
                </c:pt>
                <c:pt idx="292">
                  <c:v>584</c:v>
                </c:pt>
                <c:pt idx="293">
                  <c:v>586</c:v>
                </c:pt>
                <c:pt idx="294">
                  <c:v>588</c:v>
                </c:pt>
                <c:pt idx="295">
                  <c:v>590</c:v>
                </c:pt>
                <c:pt idx="296">
                  <c:v>592</c:v>
                </c:pt>
                <c:pt idx="297">
                  <c:v>594</c:v>
                </c:pt>
                <c:pt idx="298">
                  <c:v>596</c:v>
                </c:pt>
                <c:pt idx="299">
                  <c:v>598</c:v>
                </c:pt>
                <c:pt idx="300">
                  <c:v>600</c:v>
                </c:pt>
                <c:pt idx="301">
                  <c:v>602</c:v>
                </c:pt>
                <c:pt idx="302">
                  <c:v>604</c:v>
                </c:pt>
                <c:pt idx="303">
                  <c:v>606</c:v>
                </c:pt>
                <c:pt idx="304">
                  <c:v>608</c:v>
                </c:pt>
                <c:pt idx="305">
                  <c:v>610</c:v>
                </c:pt>
                <c:pt idx="306">
                  <c:v>612</c:v>
                </c:pt>
                <c:pt idx="307">
                  <c:v>614</c:v>
                </c:pt>
                <c:pt idx="308">
                  <c:v>616</c:v>
                </c:pt>
                <c:pt idx="309">
                  <c:v>618</c:v>
                </c:pt>
                <c:pt idx="310">
                  <c:v>620</c:v>
                </c:pt>
                <c:pt idx="311">
                  <c:v>622</c:v>
                </c:pt>
                <c:pt idx="312">
                  <c:v>624</c:v>
                </c:pt>
                <c:pt idx="313">
                  <c:v>626</c:v>
                </c:pt>
                <c:pt idx="314">
                  <c:v>628</c:v>
                </c:pt>
                <c:pt idx="315">
                  <c:v>630</c:v>
                </c:pt>
                <c:pt idx="316">
                  <c:v>632</c:v>
                </c:pt>
                <c:pt idx="317">
                  <c:v>634</c:v>
                </c:pt>
                <c:pt idx="318">
                  <c:v>636</c:v>
                </c:pt>
                <c:pt idx="319">
                  <c:v>638</c:v>
                </c:pt>
                <c:pt idx="320">
                  <c:v>640</c:v>
                </c:pt>
                <c:pt idx="321">
                  <c:v>642</c:v>
                </c:pt>
                <c:pt idx="322">
                  <c:v>644</c:v>
                </c:pt>
                <c:pt idx="323">
                  <c:v>646</c:v>
                </c:pt>
                <c:pt idx="324">
                  <c:v>648</c:v>
                </c:pt>
                <c:pt idx="325">
                  <c:v>650</c:v>
                </c:pt>
                <c:pt idx="326">
                  <c:v>652</c:v>
                </c:pt>
                <c:pt idx="327">
                  <c:v>654</c:v>
                </c:pt>
                <c:pt idx="328">
                  <c:v>656</c:v>
                </c:pt>
                <c:pt idx="329">
                  <c:v>658</c:v>
                </c:pt>
                <c:pt idx="330">
                  <c:v>660</c:v>
                </c:pt>
                <c:pt idx="331">
                  <c:v>662</c:v>
                </c:pt>
                <c:pt idx="332">
                  <c:v>664</c:v>
                </c:pt>
                <c:pt idx="333">
                  <c:v>666</c:v>
                </c:pt>
                <c:pt idx="334">
                  <c:v>668</c:v>
                </c:pt>
                <c:pt idx="335">
                  <c:v>670</c:v>
                </c:pt>
                <c:pt idx="336">
                  <c:v>672</c:v>
                </c:pt>
                <c:pt idx="337">
                  <c:v>674</c:v>
                </c:pt>
                <c:pt idx="338">
                  <c:v>676</c:v>
                </c:pt>
                <c:pt idx="339">
                  <c:v>678</c:v>
                </c:pt>
                <c:pt idx="340">
                  <c:v>680</c:v>
                </c:pt>
                <c:pt idx="341">
                  <c:v>682</c:v>
                </c:pt>
                <c:pt idx="342">
                  <c:v>684</c:v>
                </c:pt>
                <c:pt idx="343">
                  <c:v>686</c:v>
                </c:pt>
                <c:pt idx="344">
                  <c:v>688</c:v>
                </c:pt>
                <c:pt idx="345">
                  <c:v>690</c:v>
                </c:pt>
                <c:pt idx="346">
                  <c:v>692</c:v>
                </c:pt>
                <c:pt idx="347">
                  <c:v>694</c:v>
                </c:pt>
                <c:pt idx="348">
                  <c:v>696</c:v>
                </c:pt>
                <c:pt idx="349">
                  <c:v>698</c:v>
                </c:pt>
                <c:pt idx="350">
                  <c:v>700</c:v>
                </c:pt>
                <c:pt idx="351">
                  <c:v>702</c:v>
                </c:pt>
                <c:pt idx="352">
                  <c:v>704</c:v>
                </c:pt>
                <c:pt idx="353">
                  <c:v>706</c:v>
                </c:pt>
                <c:pt idx="354">
                  <c:v>708</c:v>
                </c:pt>
                <c:pt idx="355">
                  <c:v>710</c:v>
                </c:pt>
                <c:pt idx="356">
                  <c:v>712</c:v>
                </c:pt>
                <c:pt idx="357">
                  <c:v>714</c:v>
                </c:pt>
                <c:pt idx="358">
                  <c:v>716</c:v>
                </c:pt>
                <c:pt idx="359">
                  <c:v>718</c:v>
                </c:pt>
                <c:pt idx="360">
                  <c:v>720</c:v>
                </c:pt>
                <c:pt idx="361">
                  <c:v>722</c:v>
                </c:pt>
                <c:pt idx="362">
                  <c:v>724</c:v>
                </c:pt>
                <c:pt idx="363">
                  <c:v>726</c:v>
                </c:pt>
                <c:pt idx="364">
                  <c:v>728</c:v>
                </c:pt>
                <c:pt idx="365">
                  <c:v>730</c:v>
                </c:pt>
                <c:pt idx="366">
                  <c:v>732</c:v>
                </c:pt>
                <c:pt idx="367">
                  <c:v>734</c:v>
                </c:pt>
                <c:pt idx="368">
                  <c:v>736</c:v>
                </c:pt>
                <c:pt idx="369">
                  <c:v>738</c:v>
                </c:pt>
                <c:pt idx="370">
                  <c:v>740</c:v>
                </c:pt>
                <c:pt idx="371">
                  <c:v>742</c:v>
                </c:pt>
                <c:pt idx="372">
                  <c:v>744</c:v>
                </c:pt>
                <c:pt idx="373">
                  <c:v>746</c:v>
                </c:pt>
                <c:pt idx="374">
                  <c:v>748</c:v>
                </c:pt>
                <c:pt idx="375">
                  <c:v>750</c:v>
                </c:pt>
                <c:pt idx="376">
                  <c:v>752</c:v>
                </c:pt>
                <c:pt idx="377">
                  <c:v>754</c:v>
                </c:pt>
                <c:pt idx="378">
                  <c:v>756</c:v>
                </c:pt>
                <c:pt idx="379">
                  <c:v>758</c:v>
                </c:pt>
                <c:pt idx="380">
                  <c:v>760</c:v>
                </c:pt>
                <c:pt idx="381">
                  <c:v>762</c:v>
                </c:pt>
                <c:pt idx="382">
                  <c:v>764</c:v>
                </c:pt>
                <c:pt idx="383">
                  <c:v>766</c:v>
                </c:pt>
                <c:pt idx="384">
                  <c:v>768</c:v>
                </c:pt>
                <c:pt idx="385">
                  <c:v>770</c:v>
                </c:pt>
                <c:pt idx="386">
                  <c:v>772</c:v>
                </c:pt>
                <c:pt idx="387">
                  <c:v>774</c:v>
                </c:pt>
                <c:pt idx="388">
                  <c:v>776</c:v>
                </c:pt>
                <c:pt idx="389">
                  <c:v>778</c:v>
                </c:pt>
                <c:pt idx="390">
                  <c:v>780</c:v>
                </c:pt>
                <c:pt idx="391">
                  <c:v>782</c:v>
                </c:pt>
                <c:pt idx="392">
                  <c:v>784</c:v>
                </c:pt>
                <c:pt idx="393">
                  <c:v>786</c:v>
                </c:pt>
                <c:pt idx="394">
                  <c:v>788</c:v>
                </c:pt>
                <c:pt idx="395">
                  <c:v>790</c:v>
                </c:pt>
                <c:pt idx="396">
                  <c:v>792</c:v>
                </c:pt>
                <c:pt idx="397">
                  <c:v>794</c:v>
                </c:pt>
                <c:pt idx="398">
                  <c:v>796</c:v>
                </c:pt>
                <c:pt idx="399">
                  <c:v>798</c:v>
                </c:pt>
                <c:pt idx="400">
                  <c:v>800</c:v>
                </c:pt>
                <c:pt idx="401">
                  <c:v>802</c:v>
                </c:pt>
                <c:pt idx="402">
                  <c:v>804</c:v>
                </c:pt>
                <c:pt idx="403">
                  <c:v>806</c:v>
                </c:pt>
                <c:pt idx="404">
                  <c:v>808</c:v>
                </c:pt>
                <c:pt idx="405">
                  <c:v>810</c:v>
                </c:pt>
                <c:pt idx="406">
                  <c:v>812</c:v>
                </c:pt>
                <c:pt idx="407">
                  <c:v>814</c:v>
                </c:pt>
                <c:pt idx="408">
                  <c:v>816</c:v>
                </c:pt>
                <c:pt idx="409">
                  <c:v>818</c:v>
                </c:pt>
                <c:pt idx="410">
                  <c:v>820</c:v>
                </c:pt>
                <c:pt idx="411">
                  <c:v>822</c:v>
                </c:pt>
                <c:pt idx="412">
                  <c:v>824</c:v>
                </c:pt>
                <c:pt idx="413">
                  <c:v>826</c:v>
                </c:pt>
                <c:pt idx="414">
                  <c:v>828</c:v>
                </c:pt>
                <c:pt idx="415">
                  <c:v>830</c:v>
                </c:pt>
                <c:pt idx="416">
                  <c:v>832</c:v>
                </c:pt>
                <c:pt idx="417">
                  <c:v>834</c:v>
                </c:pt>
                <c:pt idx="418">
                  <c:v>836</c:v>
                </c:pt>
                <c:pt idx="419">
                  <c:v>838</c:v>
                </c:pt>
                <c:pt idx="420">
                  <c:v>840</c:v>
                </c:pt>
                <c:pt idx="421">
                  <c:v>842</c:v>
                </c:pt>
                <c:pt idx="422">
                  <c:v>844</c:v>
                </c:pt>
                <c:pt idx="423">
                  <c:v>846</c:v>
                </c:pt>
                <c:pt idx="424">
                  <c:v>848</c:v>
                </c:pt>
                <c:pt idx="425">
                  <c:v>850</c:v>
                </c:pt>
                <c:pt idx="426">
                  <c:v>852</c:v>
                </c:pt>
                <c:pt idx="427">
                  <c:v>854</c:v>
                </c:pt>
                <c:pt idx="428">
                  <c:v>856</c:v>
                </c:pt>
                <c:pt idx="429">
                  <c:v>858</c:v>
                </c:pt>
                <c:pt idx="430">
                  <c:v>860</c:v>
                </c:pt>
                <c:pt idx="431">
                  <c:v>862</c:v>
                </c:pt>
                <c:pt idx="432">
                  <c:v>864</c:v>
                </c:pt>
                <c:pt idx="433">
                  <c:v>866</c:v>
                </c:pt>
                <c:pt idx="434">
                  <c:v>868</c:v>
                </c:pt>
                <c:pt idx="435">
                  <c:v>870</c:v>
                </c:pt>
                <c:pt idx="436">
                  <c:v>872</c:v>
                </c:pt>
                <c:pt idx="437">
                  <c:v>874</c:v>
                </c:pt>
                <c:pt idx="438">
                  <c:v>876</c:v>
                </c:pt>
                <c:pt idx="439">
                  <c:v>878</c:v>
                </c:pt>
                <c:pt idx="440">
                  <c:v>880</c:v>
                </c:pt>
                <c:pt idx="441">
                  <c:v>882</c:v>
                </c:pt>
                <c:pt idx="442">
                  <c:v>884</c:v>
                </c:pt>
                <c:pt idx="443">
                  <c:v>886</c:v>
                </c:pt>
                <c:pt idx="444">
                  <c:v>888</c:v>
                </c:pt>
                <c:pt idx="445">
                  <c:v>890</c:v>
                </c:pt>
                <c:pt idx="446">
                  <c:v>892</c:v>
                </c:pt>
                <c:pt idx="447">
                  <c:v>894</c:v>
                </c:pt>
                <c:pt idx="448">
                  <c:v>896</c:v>
                </c:pt>
                <c:pt idx="449">
                  <c:v>898</c:v>
                </c:pt>
                <c:pt idx="450">
                  <c:v>900</c:v>
                </c:pt>
                <c:pt idx="451">
                  <c:v>902</c:v>
                </c:pt>
                <c:pt idx="452">
                  <c:v>904</c:v>
                </c:pt>
                <c:pt idx="453">
                  <c:v>906</c:v>
                </c:pt>
                <c:pt idx="454">
                  <c:v>908</c:v>
                </c:pt>
                <c:pt idx="455">
                  <c:v>910</c:v>
                </c:pt>
                <c:pt idx="456">
                  <c:v>912</c:v>
                </c:pt>
                <c:pt idx="457">
                  <c:v>914</c:v>
                </c:pt>
                <c:pt idx="458">
                  <c:v>916</c:v>
                </c:pt>
                <c:pt idx="459">
                  <c:v>918</c:v>
                </c:pt>
                <c:pt idx="460">
                  <c:v>920</c:v>
                </c:pt>
                <c:pt idx="461">
                  <c:v>922</c:v>
                </c:pt>
                <c:pt idx="462">
                  <c:v>924</c:v>
                </c:pt>
                <c:pt idx="463">
                  <c:v>926</c:v>
                </c:pt>
                <c:pt idx="464">
                  <c:v>928</c:v>
                </c:pt>
                <c:pt idx="465">
                  <c:v>930</c:v>
                </c:pt>
                <c:pt idx="466">
                  <c:v>932</c:v>
                </c:pt>
                <c:pt idx="467">
                  <c:v>934</c:v>
                </c:pt>
                <c:pt idx="468">
                  <c:v>936</c:v>
                </c:pt>
                <c:pt idx="469">
                  <c:v>938</c:v>
                </c:pt>
                <c:pt idx="470">
                  <c:v>940</c:v>
                </c:pt>
                <c:pt idx="471">
                  <c:v>942</c:v>
                </c:pt>
                <c:pt idx="472">
                  <c:v>944</c:v>
                </c:pt>
                <c:pt idx="473">
                  <c:v>946</c:v>
                </c:pt>
                <c:pt idx="474">
                  <c:v>948</c:v>
                </c:pt>
                <c:pt idx="475">
                  <c:v>950</c:v>
                </c:pt>
                <c:pt idx="476">
                  <c:v>952</c:v>
                </c:pt>
                <c:pt idx="477">
                  <c:v>954</c:v>
                </c:pt>
                <c:pt idx="478">
                  <c:v>956</c:v>
                </c:pt>
                <c:pt idx="479">
                  <c:v>958</c:v>
                </c:pt>
                <c:pt idx="480">
                  <c:v>960</c:v>
                </c:pt>
                <c:pt idx="481">
                  <c:v>962</c:v>
                </c:pt>
                <c:pt idx="482">
                  <c:v>964</c:v>
                </c:pt>
                <c:pt idx="483">
                  <c:v>966</c:v>
                </c:pt>
                <c:pt idx="484">
                  <c:v>968</c:v>
                </c:pt>
                <c:pt idx="485">
                  <c:v>970</c:v>
                </c:pt>
                <c:pt idx="486">
                  <c:v>972</c:v>
                </c:pt>
                <c:pt idx="487">
                  <c:v>974</c:v>
                </c:pt>
                <c:pt idx="488">
                  <c:v>976</c:v>
                </c:pt>
                <c:pt idx="489">
                  <c:v>978</c:v>
                </c:pt>
                <c:pt idx="490">
                  <c:v>980</c:v>
                </c:pt>
                <c:pt idx="491">
                  <c:v>982</c:v>
                </c:pt>
                <c:pt idx="492">
                  <c:v>984</c:v>
                </c:pt>
                <c:pt idx="493">
                  <c:v>986</c:v>
                </c:pt>
                <c:pt idx="494">
                  <c:v>988</c:v>
                </c:pt>
                <c:pt idx="495">
                  <c:v>990</c:v>
                </c:pt>
                <c:pt idx="496">
                  <c:v>992</c:v>
                </c:pt>
                <c:pt idx="497">
                  <c:v>994</c:v>
                </c:pt>
                <c:pt idx="498">
                  <c:v>996</c:v>
                </c:pt>
                <c:pt idx="499">
                  <c:v>998</c:v>
                </c:pt>
                <c:pt idx="500">
                  <c:v>1000</c:v>
                </c:pt>
                <c:pt idx="501">
                  <c:v>1002</c:v>
                </c:pt>
                <c:pt idx="502">
                  <c:v>1004</c:v>
                </c:pt>
                <c:pt idx="503">
                  <c:v>1006</c:v>
                </c:pt>
                <c:pt idx="504">
                  <c:v>1008</c:v>
                </c:pt>
                <c:pt idx="505">
                  <c:v>1010</c:v>
                </c:pt>
                <c:pt idx="506">
                  <c:v>1012</c:v>
                </c:pt>
                <c:pt idx="507">
                  <c:v>1014</c:v>
                </c:pt>
                <c:pt idx="508">
                  <c:v>1016</c:v>
                </c:pt>
                <c:pt idx="509">
                  <c:v>1018</c:v>
                </c:pt>
                <c:pt idx="510">
                  <c:v>1020</c:v>
                </c:pt>
                <c:pt idx="511">
                  <c:v>1022</c:v>
                </c:pt>
                <c:pt idx="512">
                  <c:v>1024</c:v>
                </c:pt>
                <c:pt idx="513">
                  <c:v>1026</c:v>
                </c:pt>
                <c:pt idx="514">
                  <c:v>1028</c:v>
                </c:pt>
                <c:pt idx="515">
                  <c:v>1030</c:v>
                </c:pt>
                <c:pt idx="516">
                  <c:v>1032</c:v>
                </c:pt>
                <c:pt idx="517">
                  <c:v>1034</c:v>
                </c:pt>
                <c:pt idx="518">
                  <c:v>1036</c:v>
                </c:pt>
                <c:pt idx="519">
                  <c:v>1038</c:v>
                </c:pt>
                <c:pt idx="520">
                  <c:v>1040</c:v>
                </c:pt>
                <c:pt idx="521">
                  <c:v>1042</c:v>
                </c:pt>
                <c:pt idx="522">
                  <c:v>1044</c:v>
                </c:pt>
                <c:pt idx="523">
                  <c:v>1046</c:v>
                </c:pt>
                <c:pt idx="524">
                  <c:v>1048</c:v>
                </c:pt>
                <c:pt idx="525">
                  <c:v>1050</c:v>
                </c:pt>
                <c:pt idx="526">
                  <c:v>1052</c:v>
                </c:pt>
                <c:pt idx="527">
                  <c:v>1054</c:v>
                </c:pt>
                <c:pt idx="528">
                  <c:v>1056</c:v>
                </c:pt>
                <c:pt idx="529">
                  <c:v>1058</c:v>
                </c:pt>
                <c:pt idx="530">
                  <c:v>1060</c:v>
                </c:pt>
                <c:pt idx="531">
                  <c:v>1062</c:v>
                </c:pt>
                <c:pt idx="532">
                  <c:v>1064</c:v>
                </c:pt>
                <c:pt idx="533">
                  <c:v>1066</c:v>
                </c:pt>
                <c:pt idx="534">
                  <c:v>1068</c:v>
                </c:pt>
                <c:pt idx="535">
                  <c:v>1070</c:v>
                </c:pt>
                <c:pt idx="536">
                  <c:v>1072</c:v>
                </c:pt>
                <c:pt idx="537">
                  <c:v>1074</c:v>
                </c:pt>
                <c:pt idx="538">
                  <c:v>1076</c:v>
                </c:pt>
                <c:pt idx="539">
                  <c:v>1078</c:v>
                </c:pt>
                <c:pt idx="540">
                  <c:v>1080</c:v>
                </c:pt>
              </c:numCache>
            </c:numRef>
          </c:xVal>
          <c:yVal>
            <c:numRef>
              <c:f>Data!$B$2:$B$1001</c:f>
              <c:numCache>
                <c:formatCode>General</c:formatCode>
                <c:ptCount val="1000"/>
                <c:pt idx="0">
                  <c:v>0</c:v>
                </c:pt>
                <c:pt idx="1">
                  <c:v>0.65021008808299996</c:v>
                </c:pt>
                <c:pt idx="2">
                  <c:v>1.2772538376249969</c:v>
                </c:pt>
                <c:pt idx="3">
                  <c:v>1.8801638359479966</c:v>
                </c:pt>
                <c:pt idx="4">
                  <c:v>2.4579726703749998</c:v>
                </c:pt>
                <c:pt idx="5">
                  <c:v>3.0097129282259942</c:v>
                </c:pt>
                <c:pt idx="6">
                  <c:v>3.5344171968259985</c:v>
                </c:pt>
                <c:pt idx="7">
                  <c:v>4.0311180634959953</c:v>
                </c:pt>
                <c:pt idx="8">
                  <c:v>4.4988481155579905</c:v>
                </c:pt>
                <c:pt idx="9">
                  <c:v>4.9374829812519891</c:v>
                </c:pt>
                <c:pt idx="10">
                  <c:v>5.3486787616289888</c:v>
                </c:pt>
                <c:pt idx="11">
                  <c:v>5.734138753229999</c:v>
                </c:pt>
                <c:pt idx="12">
                  <c:v>6.0955662525919934</c:v>
                </c:pt>
                <c:pt idx="13">
                  <c:v>6.4346645562579994</c:v>
                </c:pt>
                <c:pt idx="14">
                  <c:v>6.7531369607649907</c:v>
                </c:pt>
                <c:pt idx="15">
                  <c:v>7.0526867626539911</c:v>
                </c:pt>
                <c:pt idx="16">
                  <c:v>7.3350172584639921</c:v>
                </c:pt>
                <c:pt idx="17">
                  <c:v>7.5965263321320009</c:v>
                </c:pt>
                <c:pt idx="18">
                  <c:v>7.8099663248499951</c:v>
                </c:pt>
                <c:pt idx="19">
                  <c:v>7.9790990056850006</c:v>
                </c:pt>
                <c:pt idx="20">
                  <c:v>8.1133117252259979</c:v>
                </c:pt>
                <c:pt idx="21">
                  <c:v>8.2219918340629903</c:v>
                </c:pt>
                <c:pt idx="22">
                  <c:v>8.3145266827859956</c:v>
                </c:pt>
                <c:pt idx="23">
                  <c:v>8.4003036219839942</c:v>
                </c:pt>
                <c:pt idx="24">
                  <c:v>8.4887100022459947</c:v>
                </c:pt>
                <c:pt idx="25">
                  <c:v>8.5891331741609918</c:v>
                </c:pt>
                <c:pt idx="26">
                  <c:v>8.679962372576</c:v>
                </c:pt>
                <c:pt idx="27">
                  <c:v>8.7390600616589893</c:v>
                </c:pt>
                <c:pt idx="28">
                  <c:v>8.775023435979989</c:v>
                </c:pt>
                <c:pt idx="29">
                  <c:v>8.7964496901129934</c:v>
                </c:pt>
                <c:pt idx="30">
                  <c:v>8.8119360186289981</c:v>
                </c:pt>
                <c:pt idx="31">
                  <c:v>8.8300796161019974</c:v>
                </c:pt>
                <c:pt idx="32">
                  <c:v>8.8594776771030013</c:v>
                </c:pt>
                <c:pt idx="33">
                  <c:v>8.9087273962040001</c:v>
                </c:pt>
                <c:pt idx="34">
                  <c:v>8.9818653524839931</c:v>
                </c:pt>
                <c:pt idx="35">
                  <c:v>9.0572830358899949</c:v>
                </c:pt>
                <c:pt idx="36">
                  <c:v>9.1317541068249994</c:v>
                </c:pt>
                <c:pt idx="37">
                  <c:v>9.2062970621129949</c:v>
                </c:pt>
                <c:pt idx="38">
                  <c:v>9.2819303985800019</c:v>
                </c:pt>
                <c:pt idx="39">
                  <c:v>9.3596726130489998</c:v>
                </c:pt>
                <c:pt idx="40">
                  <c:v>9.4405422023459948</c:v>
                </c:pt>
                <c:pt idx="41">
                  <c:v>9.5255576632949897</c:v>
                </c:pt>
                <c:pt idx="42">
                  <c:v>9.6157374927209958</c:v>
                </c:pt>
                <c:pt idx="43">
                  <c:v>9.7156864156129927</c:v>
                </c:pt>
                <c:pt idx="44">
                  <c:v>9.827115274034</c:v>
                </c:pt>
                <c:pt idx="45">
                  <c:v>9.9467017404149942</c:v>
                </c:pt>
                <c:pt idx="46">
                  <c:v>10.071123487188999</c:v>
                </c:pt>
                <c:pt idx="47">
                  <c:v>10.197058186788993</c:v>
                </c:pt>
                <c:pt idx="48">
                  <c:v>10.321183511645998</c:v>
                </c:pt>
                <c:pt idx="49">
                  <c:v>10.440177134194002</c:v>
                </c:pt>
                <c:pt idx="50">
                  <c:v>10.550716726863001</c:v>
                </c:pt>
                <c:pt idx="51">
                  <c:v>10.651994276756994</c:v>
                </c:pt>
                <c:pt idx="52">
                  <c:v>10.756192601509994</c:v>
                </c:pt>
                <c:pt idx="53">
                  <c:v>10.863575123239997</c:v>
                </c:pt>
                <c:pt idx="54">
                  <c:v>10.971937533532</c:v>
                </c:pt>
                <c:pt idx="55">
                  <c:v>11.079075523965997</c:v>
                </c:pt>
                <c:pt idx="56">
                  <c:v>11.182784786122994</c:v>
                </c:pt>
                <c:pt idx="57">
                  <c:v>11.280861011586993</c:v>
                </c:pt>
                <c:pt idx="58">
                  <c:v>11.371099891938002</c:v>
                </c:pt>
                <c:pt idx="59">
                  <c:v>11.451297118757992</c:v>
                </c:pt>
                <c:pt idx="60">
                  <c:v>11.52274161403399</c:v>
                </c:pt>
                <c:pt idx="61">
                  <c:v>11.588698142160993</c:v>
                </c:pt>
                <c:pt idx="62">
                  <c:v>11.649926158337991</c:v>
                </c:pt>
                <c:pt idx="63">
                  <c:v>11.707185117763999</c:v>
                </c:pt>
                <c:pt idx="64">
                  <c:v>11.761234475636996</c:v>
                </c:pt>
                <c:pt idx="65">
                  <c:v>11.812833687156996</c:v>
                </c:pt>
                <c:pt idx="66">
                  <c:v>11.86274220752</c:v>
                </c:pt>
                <c:pt idx="67">
                  <c:v>11.911719491927002</c:v>
                </c:pt>
                <c:pt idx="68">
                  <c:v>11.955365553680991</c:v>
                </c:pt>
                <c:pt idx="69">
                  <c:v>11.990145652238994</c:v>
                </c:pt>
                <c:pt idx="70">
                  <c:v>12.018117112024001</c:v>
                </c:pt>
                <c:pt idx="71">
                  <c:v>12.04133725746</c:v>
                </c:pt>
                <c:pt idx="72">
                  <c:v>12.061863412970993</c:v>
                </c:pt>
                <c:pt idx="73">
                  <c:v>12.08175290298</c:v>
                </c:pt>
                <c:pt idx="74">
                  <c:v>12.103063051909999</c:v>
                </c:pt>
                <c:pt idx="75">
                  <c:v>12.127851184186994</c:v>
                </c:pt>
                <c:pt idx="76">
                  <c:v>12.15720630477</c:v>
                </c:pt>
                <c:pt idx="77">
                  <c:v>12.186594773578989</c:v>
                </c:pt>
                <c:pt idx="78">
                  <c:v>12.215109584719997</c:v>
                </c:pt>
                <c:pt idx="79">
                  <c:v>12.242725268676992</c:v>
                </c:pt>
                <c:pt idx="80">
                  <c:v>12.269416355934993</c:v>
                </c:pt>
                <c:pt idx="81">
                  <c:v>12.295157376980995</c:v>
                </c:pt>
                <c:pt idx="82">
                  <c:v>12.319922862298995</c:v>
                </c:pt>
                <c:pt idx="83">
                  <c:v>12.343687342376001</c:v>
                </c:pt>
                <c:pt idx="84">
                  <c:v>12.366425347696989</c:v>
                </c:pt>
                <c:pt idx="85">
                  <c:v>12.389729117944995</c:v>
                </c:pt>
                <c:pt idx="86">
                  <c:v>12.414658417265002</c:v>
                </c:pt>
                <c:pt idx="87">
                  <c:v>12.440389062837994</c:v>
                </c:pt>
                <c:pt idx="88">
                  <c:v>12.466096871842993</c:v>
                </c:pt>
                <c:pt idx="89">
                  <c:v>12.490957661458992</c:v>
                </c:pt>
                <c:pt idx="90">
                  <c:v>12.51414724886699</c:v>
                </c:pt>
                <c:pt idx="91">
                  <c:v>12.534841451245995</c:v>
                </c:pt>
                <c:pt idx="92">
                  <c:v>12.552216085775996</c:v>
                </c:pt>
                <c:pt idx="93">
                  <c:v>12.56547286210899</c:v>
                </c:pt>
                <c:pt idx="94">
                  <c:v>12.574512677968997</c:v>
                </c:pt>
                <c:pt idx="95">
                  <c:v>12.579993208723991</c:v>
                </c:pt>
                <c:pt idx="96">
                  <c:v>12.582609540124992</c:v>
                </c:pt>
                <c:pt idx="97">
                  <c:v>12.583056757923998</c:v>
                </c:pt>
                <c:pt idx="98">
                  <c:v>12.582029947872996</c:v>
                </c:pt>
                <c:pt idx="99">
                  <c:v>12.580224195722991</c:v>
                </c:pt>
                <c:pt idx="100">
                  <c:v>12.578334587227999</c:v>
                </c:pt>
                <c:pt idx="101">
                  <c:v>12.577056208137989</c:v>
                </c:pt>
                <c:pt idx="102">
                  <c:v>12.575052623350999</c:v>
                </c:pt>
                <c:pt idx="103">
                  <c:v>12.570858216148991</c:v>
                </c:pt>
                <c:pt idx="104">
                  <c:v>12.56497429985599</c:v>
                </c:pt>
                <c:pt idx="105">
                  <c:v>12.557902187797993</c:v>
                </c:pt>
                <c:pt idx="106">
                  <c:v>12.550143193300997</c:v>
                </c:pt>
                <c:pt idx="107">
                  <c:v>12.542198629691001</c:v>
                </c:pt>
                <c:pt idx="108">
                  <c:v>12.534569810294002</c:v>
                </c:pt>
                <c:pt idx="109">
                  <c:v>12.52775804843499</c:v>
                </c:pt>
                <c:pt idx="110">
                  <c:v>12.521557407852995</c:v>
                </c:pt>
                <c:pt idx="111">
                  <c:v>12.512413198981989</c:v>
                </c:pt>
                <c:pt idx="112">
                  <c:v>12.500598638485997</c:v>
                </c:pt>
                <c:pt idx="113">
                  <c:v>12.487115025354001</c:v>
                </c:pt>
                <c:pt idx="114">
                  <c:v>12.47296365857099</c:v>
                </c:pt>
                <c:pt idx="115">
                  <c:v>12.459145837126002</c:v>
                </c:pt>
                <c:pt idx="116">
                  <c:v>12.446662860004992</c:v>
                </c:pt>
                <c:pt idx="117">
                  <c:v>12.436516026194994</c:v>
                </c:pt>
                <c:pt idx="118">
                  <c:v>12.429706634683996</c:v>
                </c:pt>
                <c:pt idx="119">
                  <c:v>12.424248013132996</c:v>
                </c:pt>
                <c:pt idx="120">
                  <c:v>12.417896327680992</c:v>
                </c:pt>
                <c:pt idx="121">
                  <c:v>12.411267135026989</c:v>
                </c:pt>
                <c:pt idx="122">
                  <c:v>12.404975991870998</c:v>
                </c:pt>
                <c:pt idx="123">
                  <c:v>12.399638454913998</c:v>
                </c:pt>
                <c:pt idx="124">
                  <c:v>12.395870080853996</c:v>
                </c:pt>
                <c:pt idx="125">
                  <c:v>12.394286426392995</c:v>
                </c:pt>
                <c:pt idx="126">
                  <c:v>12.395503048229997</c:v>
                </c:pt>
                <c:pt idx="127">
                  <c:v>12.399443101185994</c:v>
                </c:pt>
                <c:pt idx="128">
                  <c:v>12.402688099304996</c:v>
                </c:pt>
                <c:pt idx="129">
                  <c:v>12.405468806098</c:v>
                </c:pt>
                <c:pt idx="130">
                  <c:v>12.408721761246994</c:v>
                </c:pt>
                <c:pt idx="131">
                  <c:v>12.413383504433995</c:v>
                </c:pt>
                <c:pt idx="132">
                  <c:v>12.420390575339994</c:v>
                </c:pt>
                <c:pt idx="133">
                  <c:v>12.430679513648002</c:v>
                </c:pt>
                <c:pt idx="134">
                  <c:v>12.445186859037989</c:v>
                </c:pt>
                <c:pt idx="135">
                  <c:v>12.463937096803988</c:v>
                </c:pt>
                <c:pt idx="136">
                  <c:v>12.482469979754995</c:v>
                </c:pt>
                <c:pt idx="137">
                  <c:v>12.501003038486999</c:v>
                </c:pt>
                <c:pt idx="138">
                  <c:v>12.520674251253993</c:v>
                </c:pt>
                <c:pt idx="139">
                  <c:v>12.542621596315996</c:v>
                </c:pt>
                <c:pt idx="140">
                  <c:v>12.56798305193</c:v>
                </c:pt>
                <c:pt idx="141">
                  <c:v>12.597896596352001</c:v>
                </c:pt>
                <c:pt idx="142">
                  <c:v>12.633500207840001</c:v>
                </c:pt>
                <c:pt idx="143">
                  <c:v>12.675931864652</c:v>
                </c:pt>
                <c:pt idx="144">
                  <c:v>12.722791238032002</c:v>
                </c:pt>
                <c:pt idx="145">
                  <c:v>12.771377692784</c:v>
                </c:pt>
                <c:pt idx="146">
                  <c:v>12.822378747504999</c:v>
                </c:pt>
                <c:pt idx="147">
                  <c:v>12.876481920787995</c:v>
                </c:pt>
                <c:pt idx="148">
                  <c:v>12.934374731229994</c:v>
                </c:pt>
                <c:pt idx="149">
                  <c:v>12.996744697425996</c:v>
                </c:pt>
                <c:pt idx="150">
                  <c:v>13.064279337971001</c:v>
                </c:pt>
                <c:pt idx="151">
                  <c:v>13.137666171460992</c:v>
                </c:pt>
                <c:pt idx="152">
                  <c:v>13.218329941911989</c:v>
                </c:pt>
                <c:pt idx="153">
                  <c:v>13.310229238931996</c:v>
                </c:pt>
                <c:pt idx="154">
                  <c:v>13.411844087108989</c:v>
                </c:pt>
                <c:pt idx="155">
                  <c:v>13.520789254326999</c:v>
                </c:pt>
                <c:pt idx="156">
                  <c:v>13.634679508473994</c:v>
                </c:pt>
                <c:pt idx="157">
                  <c:v>13.751129617435993</c:v>
                </c:pt>
                <c:pt idx="158">
                  <c:v>13.867754349097993</c:v>
                </c:pt>
                <c:pt idx="159">
                  <c:v>13.982168471346995</c:v>
                </c:pt>
                <c:pt idx="160">
                  <c:v>14.091986752067996</c:v>
                </c:pt>
                <c:pt idx="161">
                  <c:v>14.204680308802992</c:v>
                </c:pt>
                <c:pt idx="162">
                  <c:v>14.327229978589997</c:v>
                </c:pt>
                <c:pt idx="163">
                  <c:v>14.456515108558989</c:v>
                </c:pt>
                <c:pt idx="164">
                  <c:v>14.589415045843992</c:v>
                </c:pt>
                <c:pt idx="165">
                  <c:v>14.722809137577002</c:v>
                </c:pt>
                <c:pt idx="166">
                  <c:v>14.853576730888989</c:v>
                </c:pt>
                <c:pt idx="167">
                  <c:v>14.978597172911989</c:v>
                </c:pt>
                <c:pt idx="168">
                  <c:v>15.094749810777998</c:v>
                </c:pt>
                <c:pt idx="169">
                  <c:v>15.200481524308998</c:v>
                </c:pt>
                <c:pt idx="170">
                  <c:v>15.303233608020989</c:v>
                </c:pt>
                <c:pt idx="171">
                  <c:v>15.404409083821989</c:v>
                </c:pt>
                <c:pt idx="172">
                  <c:v>15.503971968849001</c:v>
                </c:pt>
                <c:pt idx="173">
                  <c:v>15.601886280239</c:v>
                </c:pt>
                <c:pt idx="174">
                  <c:v>15.698116035127001</c:v>
                </c:pt>
                <c:pt idx="175">
                  <c:v>15.792625250648996</c:v>
                </c:pt>
                <c:pt idx="176">
                  <c:v>15.885377943942999</c:v>
                </c:pt>
                <c:pt idx="177">
                  <c:v>15.976338132143994</c:v>
                </c:pt>
                <c:pt idx="178">
                  <c:v>16.062269356507002</c:v>
                </c:pt>
                <c:pt idx="179">
                  <c:v>16.141171652821001</c:v>
                </c:pt>
                <c:pt idx="180">
                  <c:v>16.214863780020991</c:v>
                </c:pt>
                <c:pt idx="181">
                  <c:v>16.285164497043993</c:v>
                </c:pt>
                <c:pt idx="182">
                  <c:v>16.353892562824996</c:v>
                </c:pt>
                <c:pt idx="183">
                  <c:v>16.422866736299</c:v>
                </c:pt>
                <c:pt idx="184">
                  <c:v>16.493905776402997</c:v>
                </c:pt>
                <c:pt idx="185">
                  <c:v>16.568828442070995</c:v>
                </c:pt>
                <c:pt idx="186">
                  <c:v>16.648523662000997</c:v>
                </c:pt>
                <c:pt idx="187">
                  <c:v>16.728626036885998</c:v>
                </c:pt>
                <c:pt idx="188">
                  <c:v>16.808477932489993</c:v>
                </c:pt>
                <c:pt idx="189">
                  <c:v>16.888284302949998</c:v>
                </c:pt>
                <c:pt idx="190">
                  <c:v>16.968250102403999</c:v>
                </c:pt>
                <c:pt idx="191">
                  <c:v>17.048580284989001</c:v>
                </c:pt>
                <c:pt idx="192">
                  <c:v>17.129479804841992</c:v>
                </c:pt>
                <c:pt idx="193">
                  <c:v>17.211153616098997</c:v>
                </c:pt>
                <c:pt idx="194">
                  <c:v>17.29380667289999</c:v>
                </c:pt>
                <c:pt idx="195">
                  <c:v>17.380417136134994</c:v>
                </c:pt>
                <c:pt idx="196">
                  <c:v>17.472507722570995</c:v>
                </c:pt>
                <c:pt idx="197">
                  <c:v>17.568100220155998</c:v>
                </c:pt>
                <c:pt idx="198">
                  <c:v>17.665216416835989</c:v>
                </c:pt>
                <c:pt idx="199">
                  <c:v>17.761878100557993</c:v>
                </c:pt>
                <c:pt idx="200">
                  <c:v>17.856107059270002</c:v>
                </c:pt>
                <c:pt idx="201">
                  <c:v>17.945925080918997</c:v>
                </c:pt>
                <c:pt idx="202">
                  <c:v>18.029353953452002</c:v>
                </c:pt>
                <c:pt idx="203">
                  <c:v>18.110749298263002</c:v>
                </c:pt>
                <c:pt idx="204">
                  <c:v>18.19470535061599</c:v>
                </c:pt>
                <c:pt idx="205">
                  <c:v>18.279601819264002</c:v>
                </c:pt>
                <c:pt idx="206">
                  <c:v>18.363818412960001</c:v>
                </c:pt>
                <c:pt idx="207">
                  <c:v>18.445734840456993</c:v>
                </c:pt>
                <c:pt idx="208">
                  <c:v>18.523730810509988</c:v>
                </c:pt>
                <c:pt idx="209">
                  <c:v>18.596186031870999</c:v>
                </c:pt>
                <c:pt idx="210">
                  <c:v>18.66148021329299</c:v>
                </c:pt>
                <c:pt idx="211">
                  <c:v>18.718545798544</c:v>
                </c:pt>
                <c:pt idx="212">
                  <c:v>18.769931306313993</c:v>
                </c:pt>
                <c:pt idx="213">
                  <c:v>18.816747535546995</c:v>
                </c:pt>
                <c:pt idx="214">
                  <c:v>18.859647261267995</c:v>
                </c:pt>
                <c:pt idx="215">
                  <c:v>18.899283258499992</c:v>
                </c:pt>
                <c:pt idx="216">
                  <c:v>18.936308302268998</c:v>
                </c:pt>
                <c:pt idx="217">
                  <c:v>18.971375167596989</c:v>
                </c:pt>
                <c:pt idx="218">
                  <c:v>19.005136629508996</c:v>
                </c:pt>
                <c:pt idx="219">
                  <c:v>19.038245463029995</c:v>
                </c:pt>
                <c:pt idx="220">
                  <c:v>19.06794582804099</c:v>
                </c:pt>
                <c:pt idx="221">
                  <c:v>19.091807268585001</c:v>
                </c:pt>
                <c:pt idx="222">
                  <c:v>19.110970635931992</c:v>
                </c:pt>
                <c:pt idx="223">
                  <c:v>19.126576781349002</c:v>
                </c:pt>
                <c:pt idx="224">
                  <c:v>19.139766556105002</c:v>
                </c:pt>
                <c:pt idx="225">
                  <c:v>19.151680811467998</c:v>
                </c:pt>
                <c:pt idx="226">
                  <c:v>19.163460398705993</c:v>
                </c:pt>
                <c:pt idx="227">
                  <c:v>19.176246169088998</c:v>
                </c:pt>
                <c:pt idx="228">
                  <c:v>19.190748727968995</c:v>
                </c:pt>
                <c:pt idx="229">
                  <c:v>19.205007897275991</c:v>
                </c:pt>
                <c:pt idx="230">
                  <c:v>19.218406533614996</c:v>
                </c:pt>
                <c:pt idx="231">
                  <c:v>19.230700011300002</c:v>
                </c:pt>
                <c:pt idx="232">
                  <c:v>19.241643704645</c:v>
                </c:pt>
                <c:pt idx="233">
                  <c:v>19.250992987966001</c:v>
                </c:pt>
                <c:pt idx="234">
                  <c:v>19.258503235574992</c:v>
                </c:pt>
                <c:pt idx="235">
                  <c:v>19.263929821787997</c:v>
                </c:pt>
                <c:pt idx="236">
                  <c:v>19.26702812091699</c:v>
                </c:pt>
                <c:pt idx="237">
                  <c:v>19.268249221822998</c:v>
                </c:pt>
                <c:pt idx="238">
                  <c:v>19.268164939939993</c:v>
                </c:pt>
                <c:pt idx="239">
                  <c:v>19.266711739442997</c:v>
                </c:pt>
                <c:pt idx="240">
                  <c:v>19.263826084507002</c:v>
                </c:pt>
                <c:pt idx="241">
                  <c:v>19.259444439307998</c:v>
                </c:pt>
                <c:pt idx="242">
                  <c:v>19.253503268020992</c:v>
                </c:pt>
                <c:pt idx="243">
                  <c:v>19.245939034822001</c:v>
                </c:pt>
                <c:pt idx="244">
                  <c:v>19.236688203886999</c:v>
                </c:pt>
                <c:pt idx="245">
                  <c:v>19.225006533794001</c:v>
                </c:pt>
                <c:pt idx="246">
                  <c:v>19.207366143632996</c:v>
                </c:pt>
                <c:pt idx="247">
                  <c:v>19.184606951437999</c:v>
                </c:pt>
                <c:pt idx="248">
                  <c:v>19.158318457335</c:v>
                </c:pt>
                <c:pt idx="249">
                  <c:v>19.130090161451989</c:v>
                </c:pt>
                <c:pt idx="250">
                  <c:v>19.101511563915992</c:v>
                </c:pt>
                <c:pt idx="251">
                  <c:v>19.074172164855</c:v>
                </c:pt>
                <c:pt idx="252">
                  <c:v>19.049661464395001</c:v>
                </c:pt>
                <c:pt idx="253">
                  <c:v>19.029568962664001</c:v>
                </c:pt>
                <c:pt idx="254">
                  <c:v>19.014271839822001</c:v>
                </c:pt>
                <c:pt idx="255">
                  <c:v>19.00226048540199</c:v>
                </c:pt>
                <c:pt idx="256">
                  <c:v>18.992294213587996</c:v>
                </c:pt>
                <c:pt idx="257">
                  <c:v>18.983132338564999</c:v>
                </c:pt>
                <c:pt idx="258">
                  <c:v>18.973534174516999</c:v>
                </c:pt>
                <c:pt idx="259">
                  <c:v>18.962259035628989</c:v>
                </c:pt>
                <c:pt idx="260">
                  <c:v>18.948066236083989</c:v>
                </c:pt>
                <c:pt idx="261">
                  <c:v>18.929715090066992</c:v>
                </c:pt>
                <c:pt idx="262">
                  <c:v>18.906937446740002</c:v>
                </c:pt>
                <c:pt idx="263">
                  <c:v>18.884494242595991</c:v>
                </c:pt>
                <c:pt idx="264">
                  <c:v>18.86254260304699</c:v>
                </c:pt>
                <c:pt idx="265">
                  <c:v>18.840285608798993</c:v>
                </c:pt>
                <c:pt idx="266">
                  <c:v>18.816926340558993</c:v>
                </c:pt>
                <c:pt idx="267">
                  <c:v>18.791667879034989</c:v>
                </c:pt>
                <c:pt idx="268">
                  <c:v>18.763713304931997</c:v>
                </c:pt>
                <c:pt idx="269">
                  <c:v>18.732265698956994</c:v>
                </c:pt>
                <c:pt idx="270">
                  <c:v>18.696375384402998</c:v>
                </c:pt>
                <c:pt idx="271">
                  <c:v>18.655062263709993</c:v>
                </c:pt>
                <c:pt idx="272">
                  <c:v>18.609250818291997</c:v>
                </c:pt>
                <c:pt idx="273">
                  <c:v>18.560099772111997</c:v>
                </c:pt>
                <c:pt idx="274">
                  <c:v>18.50876784913099</c:v>
                </c:pt>
                <c:pt idx="275">
                  <c:v>18.456413773313997</c:v>
                </c:pt>
                <c:pt idx="276">
                  <c:v>18.404196268620993</c:v>
                </c:pt>
                <c:pt idx="277">
                  <c:v>18.353274059017991</c:v>
                </c:pt>
                <c:pt idx="278">
                  <c:v>18.304805868464996</c:v>
                </c:pt>
                <c:pt idx="279">
                  <c:v>18.256076602484995</c:v>
                </c:pt>
                <c:pt idx="280">
                  <c:v>18.204164069873002</c:v>
                </c:pt>
                <c:pt idx="281">
                  <c:v>18.149916349506995</c:v>
                </c:pt>
                <c:pt idx="282">
                  <c:v>18.094181520262993</c:v>
                </c:pt>
                <c:pt idx="283">
                  <c:v>18.037807661015989</c:v>
                </c:pt>
                <c:pt idx="284">
                  <c:v>17.981642850643993</c:v>
                </c:pt>
                <c:pt idx="285">
                  <c:v>17.926535168021999</c:v>
                </c:pt>
                <c:pt idx="286">
                  <c:v>17.873332692026992</c:v>
                </c:pt>
                <c:pt idx="287">
                  <c:v>17.82261116592899</c:v>
                </c:pt>
                <c:pt idx="288">
                  <c:v>17.773198537635992</c:v>
                </c:pt>
                <c:pt idx="289">
                  <c:v>17.724683806146999</c:v>
                </c:pt>
                <c:pt idx="290">
                  <c:v>17.676885404136002</c:v>
                </c:pt>
                <c:pt idx="291">
                  <c:v>17.629621764283996</c:v>
                </c:pt>
                <c:pt idx="292">
                  <c:v>17.582711319265997</c:v>
                </c:pt>
                <c:pt idx="293">
                  <c:v>17.53597250176</c:v>
                </c:pt>
                <c:pt idx="294">
                  <c:v>17.489223744444999</c:v>
                </c:pt>
                <c:pt idx="295">
                  <c:v>17.442283479997002</c:v>
                </c:pt>
                <c:pt idx="296">
                  <c:v>17.39367167748</c:v>
                </c:pt>
                <c:pt idx="297">
                  <c:v>17.342638899621988</c:v>
                </c:pt>
                <c:pt idx="298">
                  <c:v>17.290099469596996</c:v>
                </c:pt>
                <c:pt idx="299">
                  <c:v>17.236967710580998</c:v>
                </c:pt>
                <c:pt idx="300">
                  <c:v>17.184157945748993</c:v>
                </c:pt>
                <c:pt idx="301">
                  <c:v>17.132584498274994</c:v>
                </c:pt>
                <c:pt idx="302">
                  <c:v>17.083161691333999</c:v>
                </c:pt>
                <c:pt idx="303">
                  <c:v>17.036803848101002</c:v>
                </c:pt>
                <c:pt idx="304">
                  <c:v>16.993602854228996</c:v>
                </c:pt>
                <c:pt idx="305">
                  <c:v>16.949528045625996</c:v>
                </c:pt>
                <c:pt idx="306">
                  <c:v>16.904644826932</c:v>
                </c:pt>
                <c:pt idx="307">
                  <c:v>16.859839888965993</c:v>
                </c:pt>
                <c:pt idx="308">
                  <c:v>16.815999922541991</c:v>
                </c:pt>
                <c:pt idx="309">
                  <c:v>16.77401161847699</c:v>
                </c:pt>
                <c:pt idx="310">
                  <c:v>16.734761667586994</c:v>
                </c:pt>
                <c:pt idx="311">
                  <c:v>16.699136760689001</c:v>
                </c:pt>
                <c:pt idx="312">
                  <c:v>16.66802358859799</c:v>
                </c:pt>
                <c:pt idx="313">
                  <c:v>16.640185090849002</c:v>
                </c:pt>
                <c:pt idx="314">
                  <c:v>16.613926992171997</c:v>
                </c:pt>
                <c:pt idx="315">
                  <c:v>16.589450161174</c:v>
                </c:pt>
                <c:pt idx="316">
                  <c:v>16.566955466465998</c:v>
                </c:pt>
                <c:pt idx="317">
                  <c:v>16.546643776654989</c:v>
                </c:pt>
                <c:pt idx="318">
                  <c:v>16.528715960352002</c:v>
                </c:pt>
                <c:pt idx="319">
                  <c:v>16.513372886162998</c:v>
                </c:pt>
                <c:pt idx="320">
                  <c:v>16.500815422700001</c:v>
                </c:pt>
                <c:pt idx="321">
                  <c:v>16.490938071026989</c:v>
                </c:pt>
                <c:pt idx="322">
                  <c:v>16.482215533877991</c:v>
                </c:pt>
                <c:pt idx="323">
                  <c:v>16.474828635164002</c:v>
                </c:pt>
                <c:pt idx="324">
                  <c:v>16.469277015159989</c:v>
                </c:pt>
                <c:pt idx="325">
                  <c:v>16.466060314139</c:v>
                </c:pt>
                <c:pt idx="326">
                  <c:v>16.465678172374993</c:v>
                </c:pt>
                <c:pt idx="327">
                  <c:v>16.468630230141002</c:v>
                </c:pt>
                <c:pt idx="328">
                  <c:v>16.475416127711995</c:v>
                </c:pt>
                <c:pt idx="329">
                  <c:v>16.48653550536099</c:v>
                </c:pt>
                <c:pt idx="330">
                  <c:v>16.504004129660999</c:v>
                </c:pt>
                <c:pt idx="331">
                  <c:v>16.528404043183997</c:v>
                </c:pt>
                <c:pt idx="332">
                  <c:v>16.55808430019799</c:v>
                </c:pt>
                <c:pt idx="333">
                  <c:v>16.591393954971991</c:v>
                </c:pt>
                <c:pt idx="334">
                  <c:v>16.626682061775995</c:v>
                </c:pt>
                <c:pt idx="335">
                  <c:v>16.662297674877991</c:v>
                </c:pt>
                <c:pt idx="336">
                  <c:v>16.696589848548996</c:v>
                </c:pt>
                <c:pt idx="337">
                  <c:v>16.727907637057001</c:v>
                </c:pt>
                <c:pt idx="338">
                  <c:v>16.759460874616991</c:v>
                </c:pt>
                <c:pt idx="339">
                  <c:v>16.794950285131989</c:v>
                </c:pt>
                <c:pt idx="340">
                  <c:v>16.833461257404991</c:v>
                </c:pt>
                <c:pt idx="341">
                  <c:v>16.874079180233991</c:v>
                </c:pt>
                <c:pt idx="342">
                  <c:v>16.915889442421999</c:v>
                </c:pt>
                <c:pt idx="343">
                  <c:v>16.95797743276799</c:v>
                </c:pt>
                <c:pt idx="344">
                  <c:v>16.999428540075002</c:v>
                </c:pt>
                <c:pt idx="345">
                  <c:v>17.039328153141994</c:v>
                </c:pt>
                <c:pt idx="346">
                  <c:v>17.078010631498998</c:v>
                </c:pt>
                <c:pt idx="347">
                  <c:v>17.121681911054992</c:v>
                </c:pt>
                <c:pt idx="348">
                  <c:v>17.169722420572995</c:v>
                </c:pt>
                <c:pt idx="349">
                  <c:v>17.220222142835993</c:v>
                </c:pt>
                <c:pt idx="350">
                  <c:v>17.271271060627996</c:v>
                </c:pt>
                <c:pt idx="351">
                  <c:v>17.320959156732002</c:v>
                </c:pt>
                <c:pt idx="352">
                  <c:v>17.367376413933002</c:v>
                </c:pt>
                <c:pt idx="353">
                  <c:v>17.408612815013001</c:v>
                </c:pt>
                <c:pt idx="354">
                  <c:v>17.442758342756989</c:v>
                </c:pt>
                <c:pt idx="355">
                  <c:v>17.471746947654992</c:v>
                </c:pt>
                <c:pt idx="356">
                  <c:v>17.498767431145993</c:v>
                </c:pt>
                <c:pt idx="357">
                  <c:v>17.523792052436988</c:v>
                </c:pt>
                <c:pt idx="358">
                  <c:v>17.546793070733997</c:v>
                </c:pt>
                <c:pt idx="359">
                  <c:v>17.567742745242001</c:v>
                </c:pt>
                <c:pt idx="360">
                  <c:v>17.586613335167002</c:v>
                </c:pt>
                <c:pt idx="361">
                  <c:v>17.603377099715999</c:v>
                </c:pt>
                <c:pt idx="362">
                  <c:v>17.618006298094002</c:v>
                </c:pt>
                <c:pt idx="363">
                  <c:v>17.630278882859002</c:v>
                </c:pt>
                <c:pt idx="364">
                  <c:v>17.639240419651998</c:v>
                </c:pt>
                <c:pt idx="365">
                  <c:v>17.645280012740002</c:v>
                </c:pt>
                <c:pt idx="366">
                  <c:v>17.649007644851991</c:v>
                </c:pt>
                <c:pt idx="367">
                  <c:v>17.651033298717991</c:v>
                </c:pt>
                <c:pt idx="368">
                  <c:v>17.651966957066989</c:v>
                </c:pt>
                <c:pt idx="369">
                  <c:v>17.652418602628998</c:v>
                </c:pt>
                <c:pt idx="370">
                  <c:v>17.652998218130989</c:v>
                </c:pt>
                <c:pt idx="371">
                  <c:v>17.654315786304991</c:v>
                </c:pt>
                <c:pt idx="372">
                  <c:v>17.654360066465998</c:v>
                </c:pt>
                <c:pt idx="373">
                  <c:v>17.65110653178499</c:v>
                </c:pt>
                <c:pt idx="374">
                  <c:v>17.645145235770997</c:v>
                </c:pt>
                <c:pt idx="375">
                  <c:v>17.637066231934</c:v>
                </c:pt>
                <c:pt idx="376">
                  <c:v>17.627459573783</c:v>
                </c:pt>
                <c:pt idx="377">
                  <c:v>17.616915314827992</c:v>
                </c:pt>
                <c:pt idx="378">
                  <c:v>17.606023508576996</c:v>
                </c:pt>
                <c:pt idx="379">
                  <c:v>17.595374208540989</c:v>
                </c:pt>
                <c:pt idx="380">
                  <c:v>17.585493104712</c:v>
                </c:pt>
                <c:pt idx="381">
                  <c:v>17.576275099480995</c:v>
                </c:pt>
                <c:pt idx="382">
                  <c:v>17.567456292803996</c:v>
                </c:pt>
                <c:pt idx="383">
                  <c:v>17.558802818150994</c:v>
                </c:pt>
                <c:pt idx="384">
                  <c:v>17.550080808991993</c:v>
                </c:pt>
                <c:pt idx="385">
                  <c:v>17.541056398797991</c:v>
                </c:pt>
                <c:pt idx="386">
                  <c:v>17.531495721037999</c:v>
                </c:pt>
                <c:pt idx="387">
                  <c:v>17.521164909183994</c:v>
                </c:pt>
                <c:pt idx="388">
                  <c:v>17.509830096705002</c:v>
                </c:pt>
                <c:pt idx="389">
                  <c:v>17.497865497522994</c:v>
                </c:pt>
                <c:pt idx="390">
                  <c:v>17.485613556811998</c:v>
                </c:pt>
                <c:pt idx="391">
                  <c:v>17.472792754919993</c:v>
                </c:pt>
                <c:pt idx="392">
                  <c:v>17.459121572198995</c:v>
                </c:pt>
                <c:pt idx="393">
                  <c:v>17.444318488996998</c:v>
                </c:pt>
                <c:pt idx="394">
                  <c:v>17.428101985662991</c:v>
                </c:pt>
                <c:pt idx="395">
                  <c:v>17.410190542547994</c:v>
                </c:pt>
                <c:pt idx="396">
                  <c:v>17.390302640001991</c:v>
                </c:pt>
                <c:pt idx="397">
                  <c:v>17.368414490335994</c:v>
                </c:pt>
                <c:pt idx="398">
                  <c:v>17.345804817692994</c:v>
                </c:pt>
                <c:pt idx="399">
                  <c:v>17.322485233956996</c:v>
                </c:pt>
                <c:pt idx="400">
                  <c:v>17.298211158160996</c:v>
                </c:pt>
                <c:pt idx="401">
                  <c:v>17.272738009339989</c:v>
                </c:pt>
                <c:pt idx="402">
                  <c:v>17.245821206525989</c:v>
                </c:pt>
                <c:pt idx="403">
                  <c:v>17.217216168752998</c:v>
                </c:pt>
                <c:pt idx="404">
                  <c:v>17.186678315054991</c:v>
                </c:pt>
                <c:pt idx="405">
                  <c:v>17.154160899711997</c:v>
                </c:pt>
                <c:pt idx="406">
                  <c:v>17.120665874167997</c:v>
                </c:pt>
                <c:pt idx="407">
                  <c:v>17.086298601745</c:v>
                </c:pt>
                <c:pt idx="408">
                  <c:v>17.050973223953989</c:v>
                </c:pt>
                <c:pt idx="409">
                  <c:v>17.01460388230899</c:v>
                </c:pt>
                <c:pt idx="410">
                  <c:v>16.977104718319993</c:v>
                </c:pt>
                <c:pt idx="411">
                  <c:v>16.938389873498991</c:v>
                </c:pt>
                <c:pt idx="412">
                  <c:v>16.898373489358988</c:v>
                </c:pt>
                <c:pt idx="413">
                  <c:v>16.856969707410002</c:v>
                </c:pt>
                <c:pt idx="414">
                  <c:v>16.812310820332996</c:v>
                </c:pt>
                <c:pt idx="415">
                  <c:v>16.763252814254997</c:v>
                </c:pt>
                <c:pt idx="416">
                  <c:v>16.710795370852992</c:v>
                </c:pt>
                <c:pt idx="417">
                  <c:v>16.655938171806994</c:v>
                </c:pt>
                <c:pt idx="418">
                  <c:v>16.599680898793991</c:v>
                </c:pt>
                <c:pt idx="419">
                  <c:v>16.543023233494992</c:v>
                </c:pt>
                <c:pt idx="420">
                  <c:v>16.486964857586997</c:v>
                </c:pt>
                <c:pt idx="421">
                  <c:v>16.432505452748998</c:v>
                </c:pt>
                <c:pt idx="422">
                  <c:v>16.380682305178993</c:v>
                </c:pt>
                <c:pt idx="423">
                  <c:v>16.331956221578992</c:v>
                </c:pt>
                <c:pt idx="424">
                  <c:v>16.285410760576994</c:v>
                </c:pt>
                <c:pt idx="425">
                  <c:v>16.240006931602991</c:v>
                </c:pt>
                <c:pt idx="426">
                  <c:v>16.194705744088992</c:v>
                </c:pt>
                <c:pt idx="427">
                  <c:v>16.148468207466991</c:v>
                </c:pt>
                <c:pt idx="428">
                  <c:v>16.100255331168</c:v>
                </c:pt>
                <c:pt idx="429">
                  <c:v>16.049028124622993</c:v>
                </c:pt>
                <c:pt idx="430">
                  <c:v>15.99374759726399</c:v>
                </c:pt>
                <c:pt idx="431">
                  <c:v>15.936492307164002</c:v>
                </c:pt>
                <c:pt idx="432">
                  <c:v>15.879523861591991</c:v>
                </c:pt>
                <c:pt idx="433">
                  <c:v>15.822077843773002</c:v>
                </c:pt>
                <c:pt idx="434">
                  <c:v>15.763389836931992</c:v>
                </c:pt>
                <c:pt idx="435">
                  <c:v>15.702695424293992</c:v>
                </c:pt>
                <c:pt idx="436">
                  <c:v>15.639230189084998</c:v>
                </c:pt>
                <c:pt idx="437">
                  <c:v>15.572229714529001</c:v>
                </c:pt>
                <c:pt idx="438">
                  <c:v>15.500929583851999</c:v>
                </c:pt>
                <c:pt idx="439">
                  <c:v>15.424061711796995</c:v>
                </c:pt>
                <c:pt idx="440">
                  <c:v>15.338935483775998</c:v>
                </c:pt>
                <c:pt idx="441">
                  <c:v>15.24708322571999</c:v>
                </c:pt>
                <c:pt idx="442">
                  <c:v>15.150662689049</c:v>
                </c:pt>
                <c:pt idx="443">
                  <c:v>15.051831625180995</c:v>
                </c:pt>
                <c:pt idx="444">
                  <c:v>14.952747785537994</c:v>
                </c:pt>
                <c:pt idx="445">
                  <c:v>14.855568921537994</c:v>
                </c:pt>
                <c:pt idx="446">
                  <c:v>14.76245278460199</c:v>
                </c:pt>
                <c:pt idx="447">
                  <c:v>14.675557126149002</c:v>
                </c:pt>
                <c:pt idx="448">
                  <c:v>14.589456386525001</c:v>
                </c:pt>
                <c:pt idx="449">
                  <c:v>14.498457241343999</c:v>
                </c:pt>
                <c:pt idx="450">
                  <c:v>14.40431579492099</c:v>
                </c:pt>
                <c:pt idx="451">
                  <c:v>14.308788151573992</c:v>
                </c:pt>
                <c:pt idx="452">
                  <c:v>14.213630415620997</c:v>
                </c:pt>
                <c:pt idx="453">
                  <c:v>14.120598691379001</c:v>
                </c:pt>
                <c:pt idx="454">
                  <c:v>14.031449083163992</c:v>
                </c:pt>
                <c:pt idx="455">
                  <c:v>13.947937695294996</c:v>
                </c:pt>
                <c:pt idx="456">
                  <c:v>13.870804435886996</c:v>
                </c:pt>
                <c:pt idx="457">
                  <c:v>13.795256080187002</c:v>
                </c:pt>
                <c:pt idx="458">
                  <c:v>13.720877037123998</c:v>
                </c:pt>
                <c:pt idx="459">
                  <c:v>13.648217672733992</c:v>
                </c:pt>
                <c:pt idx="460">
                  <c:v>13.577828353051999</c:v>
                </c:pt>
                <c:pt idx="461">
                  <c:v>13.510259444114993</c:v>
                </c:pt>
                <c:pt idx="462">
                  <c:v>13.44606131195799</c:v>
                </c:pt>
                <c:pt idx="463">
                  <c:v>13.38578432261599</c:v>
                </c:pt>
                <c:pt idx="464">
                  <c:v>13.329978842125996</c:v>
                </c:pt>
                <c:pt idx="465">
                  <c:v>13.279534219862995</c:v>
                </c:pt>
                <c:pt idx="466">
                  <c:v>13.234312571061992</c:v>
                </c:pt>
                <c:pt idx="467">
                  <c:v>13.19332341054799</c:v>
                </c:pt>
                <c:pt idx="468">
                  <c:v>13.155576253145995</c:v>
                </c:pt>
                <c:pt idx="469">
                  <c:v>13.120080613679988</c:v>
                </c:pt>
                <c:pt idx="470">
                  <c:v>13.085846006973995</c:v>
                </c:pt>
                <c:pt idx="471">
                  <c:v>13.051881947852991</c:v>
                </c:pt>
                <c:pt idx="472">
                  <c:v>13.017197951141</c:v>
                </c:pt>
                <c:pt idx="473">
                  <c:v>12.981685264812</c:v>
                </c:pt>
                <c:pt idx="474">
                  <c:v>12.946292274488997</c:v>
                </c:pt>
                <c:pt idx="475">
                  <c:v>12.911614201471991</c:v>
                </c:pt>
                <c:pt idx="476">
                  <c:v>12.878246267058998</c:v>
                </c:pt>
                <c:pt idx="477">
                  <c:v>12.846783692548996</c:v>
                </c:pt>
                <c:pt idx="478">
                  <c:v>12.817821699238991</c:v>
                </c:pt>
                <c:pt idx="479">
                  <c:v>12.791955508428998</c:v>
                </c:pt>
                <c:pt idx="480">
                  <c:v>12.769780341415995</c:v>
                </c:pt>
                <c:pt idx="481">
                  <c:v>12.751174458747002</c:v>
                </c:pt>
                <c:pt idx="482">
                  <c:v>12.732595314403994</c:v>
                </c:pt>
                <c:pt idx="483">
                  <c:v>12.71434027291599</c:v>
                </c:pt>
                <c:pt idx="484">
                  <c:v>12.69744188147699</c:v>
                </c:pt>
                <c:pt idx="485">
                  <c:v>12.682932687281991</c:v>
                </c:pt>
                <c:pt idx="486">
                  <c:v>12.671845237526</c:v>
                </c:pt>
                <c:pt idx="487">
                  <c:v>12.665212079401002</c:v>
                </c:pt>
                <c:pt idx="488">
                  <c:v>12.664065760103</c:v>
                </c:pt>
                <c:pt idx="489">
                  <c:v>12.66943882682699</c:v>
                </c:pt>
                <c:pt idx="490">
                  <c:v>12.681619645460998</c:v>
                </c:pt>
                <c:pt idx="491">
                  <c:v>12.699661417314999</c:v>
                </c:pt>
                <c:pt idx="492">
                  <c:v>12.722743942714999</c:v>
                </c:pt>
                <c:pt idx="493">
                  <c:v>12.750047021987001</c:v>
                </c:pt>
                <c:pt idx="494">
                  <c:v>12.780750455456996</c:v>
                </c:pt>
                <c:pt idx="495">
                  <c:v>12.814034043451002</c:v>
                </c:pt>
                <c:pt idx="496">
                  <c:v>12.849077586294996</c:v>
                </c:pt>
                <c:pt idx="497">
                  <c:v>12.885060884314001</c:v>
                </c:pt>
                <c:pt idx="498">
                  <c:v>12.92379689836099</c:v>
                </c:pt>
                <c:pt idx="499">
                  <c:v>12.978637310248999</c:v>
                </c:pt>
                <c:pt idx="500">
                  <c:v>13.047236983234001</c:v>
                </c:pt>
                <c:pt idx="501">
                  <c:v>13.124436833196</c:v>
                </c:pt>
                <c:pt idx="502">
                  <c:v>13.205077776015997</c:v>
                </c:pt>
                <c:pt idx="503">
                  <c:v>13.284000727573996</c:v>
                </c:pt>
                <c:pt idx="504">
                  <c:v>13.356046603747998</c:v>
                </c:pt>
                <c:pt idx="505">
                  <c:v>13.416056320419997</c:v>
                </c:pt>
                <c:pt idx="506">
                  <c:v>13.458870793467995</c:v>
                </c:pt>
                <c:pt idx="507">
                  <c:v>13.503163796118002</c:v>
                </c:pt>
                <c:pt idx="508">
                  <c:v>13.565762815584989</c:v>
                </c:pt>
                <c:pt idx="509">
                  <c:v>13.638739338736002</c:v>
                </c:pt>
                <c:pt idx="510">
                  <c:v>13.714164852435999</c:v>
                </c:pt>
                <c:pt idx="511">
                  <c:v>13.784110843549996</c:v>
                </c:pt>
                <c:pt idx="512">
                  <c:v>13.840648798944002</c:v>
                </c:pt>
                <c:pt idx="513">
                  <c:v>13.87585020548299</c:v>
                </c:pt>
                <c:pt idx="514">
                  <c:v>13.881786550033993</c:v>
                </c:pt>
                <c:pt idx="515">
                  <c:v>13.857983728801997</c:v>
                </c:pt>
                <c:pt idx="516">
                  <c:v>13.840573750345996</c:v>
                </c:pt>
                <c:pt idx="517">
                  <c:v>13.827380678623996</c:v>
                </c:pt>
                <c:pt idx="518">
                  <c:v>13.808700175548992</c:v>
                </c:pt>
                <c:pt idx="519">
                  <c:v>13.774827903030001</c:v>
                </c:pt>
                <c:pt idx="520">
                  <c:v>13.716059522978995</c:v>
                </c:pt>
                <c:pt idx="521">
                  <c:v>13.622690697306993</c:v>
                </c:pt>
                <c:pt idx="522">
                  <c:v>13.485017087925002</c:v>
                </c:pt>
                <c:pt idx="523">
                  <c:v>13.293334356744992</c:v>
                </c:pt>
                <c:pt idx="524">
                  <c:v>13.061352381657997</c:v>
                </c:pt>
                <c:pt idx="525">
                  <c:v>12.808233398005996</c:v>
                </c:pt>
                <c:pt idx="526">
                  <c:v>12.532451603879991</c:v>
                </c:pt>
                <c:pt idx="527">
                  <c:v>12.232481197367989</c:v>
                </c:pt>
                <c:pt idx="528">
                  <c:v>11.906796376559001</c:v>
                </c:pt>
                <c:pt idx="529">
                  <c:v>11.553871339541999</c:v>
                </c:pt>
                <c:pt idx="530">
                  <c:v>11.172180284405997</c:v>
                </c:pt>
                <c:pt idx="531">
                  <c:v>10.760197409239993</c:v>
                </c:pt>
                <c:pt idx="532">
                  <c:v>10.316309092556992</c:v>
                </c:pt>
                <c:pt idx="533">
                  <c:v>9.8393817215669941</c:v>
                </c:pt>
                <c:pt idx="534">
                  <c:v>9.3301505026799987</c:v>
                </c:pt>
                <c:pt idx="535">
                  <c:v>8.78954058483599</c:v>
                </c:pt>
                <c:pt idx="536">
                  <c:v>8.2184771169740003</c:v>
                </c:pt>
                <c:pt idx="537">
                  <c:v>7.6178852480349946</c:v>
                </c:pt>
                <c:pt idx="538">
                  <c:v>6.9886901269560013</c:v>
                </c:pt>
                <c:pt idx="539">
                  <c:v>6.3318169026769908</c:v>
                </c:pt>
                <c:pt idx="540">
                  <c:v>0</c:v>
                </c:pt>
              </c:numCache>
            </c:numRef>
          </c:yVal>
        </c:ser>
        <c:ser>
          <c:idx val="2"/>
          <c:order val="1"/>
          <c:tx>
            <c:strRef>
              <c:f>Data!$E$1</c:f>
              <c:strCache>
                <c:ptCount val="1"/>
                <c:pt idx="0">
                  <c:v>Lin.Bkgrd</c:v>
                </c:pt>
              </c:strCache>
            </c:strRef>
          </c:tx>
          <c:spPr>
            <a:ln w="12700">
              <a:solidFill>
                <a:srgbClr val="00FF00"/>
              </a:solidFill>
              <a:prstDash val="solid"/>
            </a:ln>
          </c:spPr>
          <c:marker>
            <c:symbol val="none"/>
          </c:marker>
          <c:xVal>
            <c:numRef>
              <c:f>Data!$A$2:$A$1001</c:f>
              <c:numCache>
                <c:formatCode>General</c:formatCode>
                <c:ptCount val="1000"/>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c:v>
                </c:pt>
                <c:pt idx="193">
                  <c:v>386</c:v>
                </c:pt>
                <c:pt idx="194">
                  <c:v>388</c:v>
                </c:pt>
                <c:pt idx="195">
                  <c:v>390</c:v>
                </c:pt>
                <c:pt idx="196">
                  <c:v>392</c:v>
                </c:pt>
                <c:pt idx="197">
                  <c:v>394</c:v>
                </c:pt>
                <c:pt idx="198">
                  <c:v>396</c:v>
                </c:pt>
                <c:pt idx="199">
                  <c:v>398</c:v>
                </c:pt>
                <c:pt idx="200">
                  <c:v>400</c:v>
                </c:pt>
                <c:pt idx="201">
                  <c:v>402</c:v>
                </c:pt>
                <c:pt idx="202">
                  <c:v>404</c:v>
                </c:pt>
                <c:pt idx="203">
                  <c:v>406</c:v>
                </c:pt>
                <c:pt idx="204">
                  <c:v>408</c:v>
                </c:pt>
                <c:pt idx="205">
                  <c:v>410</c:v>
                </c:pt>
                <c:pt idx="206">
                  <c:v>412</c:v>
                </c:pt>
                <c:pt idx="207">
                  <c:v>414</c:v>
                </c:pt>
                <c:pt idx="208">
                  <c:v>416</c:v>
                </c:pt>
                <c:pt idx="209">
                  <c:v>418</c:v>
                </c:pt>
                <c:pt idx="210">
                  <c:v>420</c:v>
                </c:pt>
                <c:pt idx="211">
                  <c:v>422</c:v>
                </c:pt>
                <c:pt idx="212">
                  <c:v>424</c:v>
                </c:pt>
                <c:pt idx="213">
                  <c:v>426</c:v>
                </c:pt>
                <c:pt idx="214">
                  <c:v>428</c:v>
                </c:pt>
                <c:pt idx="215">
                  <c:v>430</c:v>
                </c:pt>
                <c:pt idx="216">
                  <c:v>432</c:v>
                </c:pt>
                <c:pt idx="217">
                  <c:v>434</c:v>
                </c:pt>
                <c:pt idx="218">
                  <c:v>436</c:v>
                </c:pt>
                <c:pt idx="219">
                  <c:v>438</c:v>
                </c:pt>
                <c:pt idx="220">
                  <c:v>440</c:v>
                </c:pt>
                <c:pt idx="221">
                  <c:v>442</c:v>
                </c:pt>
                <c:pt idx="222">
                  <c:v>444</c:v>
                </c:pt>
                <c:pt idx="223">
                  <c:v>446</c:v>
                </c:pt>
                <c:pt idx="224">
                  <c:v>448</c:v>
                </c:pt>
                <c:pt idx="225">
                  <c:v>450</c:v>
                </c:pt>
                <c:pt idx="226">
                  <c:v>452</c:v>
                </c:pt>
                <c:pt idx="227">
                  <c:v>454</c:v>
                </c:pt>
                <c:pt idx="228">
                  <c:v>456</c:v>
                </c:pt>
                <c:pt idx="229">
                  <c:v>458</c:v>
                </c:pt>
                <c:pt idx="230">
                  <c:v>460</c:v>
                </c:pt>
                <c:pt idx="231">
                  <c:v>462</c:v>
                </c:pt>
                <c:pt idx="232">
                  <c:v>464</c:v>
                </c:pt>
                <c:pt idx="233">
                  <c:v>466</c:v>
                </c:pt>
                <c:pt idx="234">
                  <c:v>468</c:v>
                </c:pt>
                <c:pt idx="235">
                  <c:v>470</c:v>
                </c:pt>
                <c:pt idx="236">
                  <c:v>472</c:v>
                </c:pt>
                <c:pt idx="237">
                  <c:v>474</c:v>
                </c:pt>
                <c:pt idx="238">
                  <c:v>476</c:v>
                </c:pt>
                <c:pt idx="239">
                  <c:v>478</c:v>
                </c:pt>
                <c:pt idx="240">
                  <c:v>480</c:v>
                </c:pt>
                <c:pt idx="241">
                  <c:v>482</c:v>
                </c:pt>
                <c:pt idx="242">
                  <c:v>484</c:v>
                </c:pt>
                <c:pt idx="243">
                  <c:v>486</c:v>
                </c:pt>
                <c:pt idx="244">
                  <c:v>488</c:v>
                </c:pt>
                <c:pt idx="245">
                  <c:v>490</c:v>
                </c:pt>
                <c:pt idx="246">
                  <c:v>492</c:v>
                </c:pt>
                <c:pt idx="247">
                  <c:v>494</c:v>
                </c:pt>
                <c:pt idx="248">
                  <c:v>496</c:v>
                </c:pt>
                <c:pt idx="249">
                  <c:v>498</c:v>
                </c:pt>
                <c:pt idx="250">
                  <c:v>500</c:v>
                </c:pt>
                <c:pt idx="251">
                  <c:v>502</c:v>
                </c:pt>
                <c:pt idx="252">
                  <c:v>504</c:v>
                </c:pt>
                <c:pt idx="253">
                  <c:v>506</c:v>
                </c:pt>
                <c:pt idx="254">
                  <c:v>508</c:v>
                </c:pt>
                <c:pt idx="255">
                  <c:v>510</c:v>
                </c:pt>
                <c:pt idx="256">
                  <c:v>512</c:v>
                </c:pt>
                <c:pt idx="257">
                  <c:v>514</c:v>
                </c:pt>
                <c:pt idx="258">
                  <c:v>516</c:v>
                </c:pt>
                <c:pt idx="259">
                  <c:v>518</c:v>
                </c:pt>
                <c:pt idx="260">
                  <c:v>520</c:v>
                </c:pt>
                <c:pt idx="261">
                  <c:v>522</c:v>
                </c:pt>
                <c:pt idx="262">
                  <c:v>524</c:v>
                </c:pt>
                <c:pt idx="263">
                  <c:v>526</c:v>
                </c:pt>
                <c:pt idx="264">
                  <c:v>528</c:v>
                </c:pt>
                <c:pt idx="265">
                  <c:v>530</c:v>
                </c:pt>
                <c:pt idx="266">
                  <c:v>532</c:v>
                </c:pt>
                <c:pt idx="267">
                  <c:v>534</c:v>
                </c:pt>
                <c:pt idx="268">
                  <c:v>536</c:v>
                </c:pt>
                <c:pt idx="269">
                  <c:v>538</c:v>
                </c:pt>
                <c:pt idx="270">
                  <c:v>540</c:v>
                </c:pt>
                <c:pt idx="271">
                  <c:v>542</c:v>
                </c:pt>
                <c:pt idx="272">
                  <c:v>544</c:v>
                </c:pt>
                <c:pt idx="273">
                  <c:v>546</c:v>
                </c:pt>
                <c:pt idx="274">
                  <c:v>548</c:v>
                </c:pt>
                <c:pt idx="275">
                  <c:v>550</c:v>
                </c:pt>
                <c:pt idx="276">
                  <c:v>552</c:v>
                </c:pt>
                <c:pt idx="277">
                  <c:v>554</c:v>
                </c:pt>
                <c:pt idx="278">
                  <c:v>556</c:v>
                </c:pt>
                <c:pt idx="279">
                  <c:v>558</c:v>
                </c:pt>
                <c:pt idx="280">
                  <c:v>560</c:v>
                </c:pt>
                <c:pt idx="281">
                  <c:v>562</c:v>
                </c:pt>
                <c:pt idx="282">
                  <c:v>564</c:v>
                </c:pt>
                <c:pt idx="283">
                  <c:v>566</c:v>
                </c:pt>
                <c:pt idx="284">
                  <c:v>568</c:v>
                </c:pt>
                <c:pt idx="285">
                  <c:v>570</c:v>
                </c:pt>
                <c:pt idx="286">
                  <c:v>572</c:v>
                </c:pt>
                <c:pt idx="287">
                  <c:v>574</c:v>
                </c:pt>
                <c:pt idx="288">
                  <c:v>576</c:v>
                </c:pt>
                <c:pt idx="289">
                  <c:v>578</c:v>
                </c:pt>
                <c:pt idx="290">
                  <c:v>580</c:v>
                </c:pt>
                <c:pt idx="291">
                  <c:v>582</c:v>
                </c:pt>
                <c:pt idx="292">
                  <c:v>584</c:v>
                </c:pt>
                <c:pt idx="293">
                  <c:v>586</c:v>
                </c:pt>
                <c:pt idx="294">
                  <c:v>588</c:v>
                </c:pt>
                <c:pt idx="295">
                  <c:v>590</c:v>
                </c:pt>
                <c:pt idx="296">
                  <c:v>592</c:v>
                </c:pt>
                <c:pt idx="297">
                  <c:v>594</c:v>
                </c:pt>
                <c:pt idx="298">
                  <c:v>596</c:v>
                </c:pt>
                <c:pt idx="299">
                  <c:v>598</c:v>
                </c:pt>
                <c:pt idx="300">
                  <c:v>600</c:v>
                </c:pt>
                <c:pt idx="301">
                  <c:v>602</c:v>
                </c:pt>
                <c:pt idx="302">
                  <c:v>604</c:v>
                </c:pt>
                <c:pt idx="303">
                  <c:v>606</c:v>
                </c:pt>
                <c:pt idx="304">
                  <c:v>608</c:v>
                </c:pt>
                <c:pt idx="305">
                  <c:v>610</c:v>
                </c:pt>
                <c:pt idx="306">
                  <c:v>612</c:v>
                </c:pt>
                <c:pt idx="307">
                  <c:v>614</c:v>
                </c:pt>
                <c:pt idx="308">
                  <c:v>616</c:v>
                </c:pt>
                <c:pt idx="309">
                  <c:v>618</c:v>
                </c:pt>
                <c:pt idx="310">
                  <c:v>620</c:v>
                </c:pt>
                <c:pt idx="311">
                  <c:v>622</c:v>
                </c:pt>
                <c:pt idx="312">
                  <c:v>624</c:v>
                </c:pt>
                <c:pt idx="313">
                  <c:v>626</c:v>
                </c:pt>
                <c:pt idx="314">
                  <c:v>628</c:v>
                </c:pt>
                <c:pt idx="315">
                  <c:v>630</c:v>
                </c:pt>
                <c:pt idx="316">
                  <c:v>632</c:v>
                </c:pt>
                <c:pt idx="317">
                  <c:v>634</c:v>
                </c:pt>
                <c:pt idx="318">
                  <c:v>636</c:v>
                </c:pt>
                <c:pt idx="319">
                  <c:v>638</c:v>
                </c:pt>
                <c:pt idx="320">
                  <c:v>640</c:v>
                </c:pt>
                <c:pt idx="321">
                  <c:v>642</c:v>
                </c:pt>
                <c:pt idx="322">
                  <c:v>644</c:v>
                </c:pt>
                <c:pt idx="323">
                  <c:v>646</c:v>
                </c:pt>
                <c:pt idx="324">
                  <c:v>648</c:v>
                </c:pt>
                <c:pt idx="325">
                  <c:v>650</c:v>
                </c:pt>
                <c:pt idx="326">
                  <c:v>652</c:v>
                </c:pt>
                <c:pt idx="327">
                  <c:v>654</c:v>
                </c:pt>
                <c:pt idx="328">
                  <c:v>656</c:v>
                </c:pt>
                <c:pt idx="329">
                  <c:v>658</c:v>
                </c:pt>
                <c:pt idx="330">
                  <c:v>660</c:v>
                </c:pt>
                <c:pt idx="331">
                  <c:v>662</c:v>
                </c:pt>
                <c:pt idx="332">
                  <c:v>664</c:v>
                </c:pt>
                <c:pt idx="333">
                  <c:v>666</c:v>
                </c:pt>
                <c:pt idx="334">
                  <c:v>668</c:v>
                </c:pt>
                <c:pt idx="335">
                  <c:v>670</c:v>
                </c:pt>
                <c:pt idx="336">
                  <c:v>672</c:v>
                </c:pt>
                <c:pt idx="337">
                  <c:v>674</c:v>
                </c:pt>
                <c:pt idx="338">
                  <c:v>676</c:v>
                </c:pt>
                <c:pt idx="339">
                  <c:v>678</c:v>
                </c:pt>
                <c:pt idx="340">
                  <c:v>680</c:v>
                </c:pt>
                <c:pt idx="341">
                  <c:v>682</c:v>
                </c:pt>
                <c:pt idx="342">
                  <c:v>684</c:v>
                </c:pt>
                <c:pt idx="343">
                  <c:v>686</c:v>
                </c:pt>
                <c:pt idx="344">
                  <c:v>688</c:v>
                </c:pt>
                <c:pt idx="345">
                  <c:v>690</c:v>
                </c:pt>
                <c:pt idx="346">
                  <c:v>692</c:v>
                </c:pt>
                <c:pt idx="347">
                  <c:v>694</c:v>
                </c:pt>
                <c:pt idx="348">
                  <c:v>696</c:v>
                </c:pt>
                <c:pt idx="349">
                  <c:v>698</c:v>
                </c:pt>
                <c:pt idx="350">
                  <c:v>700</c:v>
                </c:pt>
                <c:pt idx="351">
                  <c:v>702</c:v>
                </c:pt>
                <c:pt idx="352">
                  <c:v>704</c:v>
                </c:pt>
                <c:pt idx="353">
                  <c:v>706</c:v>
                </c:pt>
                <c:pt idx="354">
                  <c:v>708</c:v>
                </c:pt>
                <c:pt idx="355">
                  <c:v>710</c:v>
                </c:pt>
                <c:pt idx="356">
                  <c:v>712</c:v>
                </c:pt>
                <c:pt idx="357">
                  <c:v>714</c:v>
                </c:pt>
                <c:pt idx="358">
                  <c:v>716</c:v>
                </c:pt>
                <c:pt idx="359">
                  <c:v>718</c:v>
                </c:pt>
                <c:pt idx="360">
                  <c:v>720</c:v>
                </c:pt>
                <c:pt idx="361">
                  <c:v>722</c:v>
                </c:pt>
                <c:pt idx="362">
                  <c:v>724</c:v>
                </c:pt>
                <c:pt idx="363">
                  <c:v>726</c:v>
                </c:pt>
                <c:pt idx="364">
                  <c:v>728</c:v>
                </c:pt>
                <c:pt idx="365">
                  <c:v>730</c:v>
                </c:pt>
                <c:pt idx="366">
                  <c:v>732</c:v>
                </c:pt>
                <c:pt idx="367">
                  <c:v>734</c:v>
                </c:pt>
                <c:pt idx="368">
                  <c:v>736</c:v>
                </c:pt>
                <c:pt idx="369">
                  <c:v>738</c:v>
                </c:pt>
                <c:pt idx="370">
                  <c:v>740</c:v>
                </c:pt>
                <c:pt idx="371">
                  <c:v>742</c:v>
                </c:pt>
                <c:pt idx="372">
                  <c:v>744</c:v>
                </c:pt>
                <c:pt idx="373">
                  <c:v>746</c:v>
                </c:pt>
                <c:pt idx="374">
                  <c:v>748</c:v>
                </c:pt>
                <c:pt idx="375">
                  <c:v>750</c:v>
                </c:pt>
                <c:pt idx="376">
                  <c:v>752</c:v>
                </c:pt>
                <c:pt idx="377">
                  <c:v>754</c:v>
                </c:pt>
                <c:pt idx="378">
                  <c:v>756</c:v>
                </c:pt>
                <c:pt idx="379">
                  <c:v>758</c:v>
                </c:pt>
                <c:pt idx="380">
                  <c:v>760</c:v>
                </c:pt>
                <c:pt idx="381">
                  <c:v>762</c:v>
                </c:pt>
                <c:pt idx="382">
                  <c:v>764</c:v>
                </c:pt>
                <c:pt idx="383">
                  <c:v>766</c:v>
                </c:pt>
                <c:pt idx="384">
                  <c:v>768</c:v>
                </c:pt>
                <c:pt idx="385">
                  <c:v>770</c:v>
                </c:pt>
                <c:pt idx="386">
                  <c:v>772</c:v>
                </c:pt>
                <c:pt idx="387">
                  <c:v>774</c:v>
                </c:pt>
                <c:pt idx="388">
                  <c:v>776</c:v>
                </c:pt>
                <c:pt idx="389">
                  <c:v>778</c:v>
                </c:pt>
                <c:pt idx="390">
                  <c:v>780</c:v>
                </c:pt>
                <c:pt idx="391">
                  <c:v>782</c:v>
                </c:pt>
                <c:pt idx="392">
                  <c:v>784</c:v>
                </c:pt>
                <c:pt idx="393">
                  <c:v>786</c:v>
                </c:pt>
                <c:pt idx="394">
                  <c:v>788</c:v>
                </c:pt>
                <c:pt idx="395">
                  <c:v>790</c:v>
                </c:pt>
                <c:pt idx="396">
                  <c:v>792</c:v>
                </c:pt>
                <c:pt idx="397">
                  <c:v>794</c:v>
                </c:pt>
                <c:pt idx="398">
                  <c:v>796</c:v>
                </c:pt>
                <c:pt idx="399">
                  <c:v>798</c:v>
                </c:pt>
                <c:pt idx="400">
                  <c:v>800</c:v>
                </c:pt>
                <c:pt idx="401">
                  <c:v>802</c:v>
                </c:pt>
                <c:pt idx="402">
                  <c:v>804</c:v>
                </c:pt>
                <c:pt idx="403">
                  <c:v>806</c:v>
                </c:pt>
                <c:pt idx="404">
                  <c:v>808</c:v>
                </c:pt>
                <c:pt idx="405">
                  <c:v>810</c:v>
                </c:pt>
                <c:pt idx="406">
                  <c:v>812</c:v>
                </c:pt>
                <c:pt idx="407">
                  <c:v>814</c:v>
                </c:pt>
                <c:pt idx="408">
                  <c:v>816</c:v>
                </c:pt>
                <c:pt idx="409">
                  <c:v>818</c:v>
                </c:pt>
                <c:pt idx="410">
                  <c:v>820</c:v>
                </c:pt>
                <c:pt idx="411">
                  <c:v>822</c:v>
                </c:pt>
                <c:pt idx="412">
                  <c:v>824</c:v>
                </c:pt>
                <c:pt idx="413">
                  <c:v>826</c:v>
                </c:pt>
                <c:pt idx="414">
                  <c:v>828</c:v>
                </c:pt>
                <c:pt idx="415">
                  <c:v>830</c:v>
                </c:pt>
                <c:pt idx="416">
                  <c:v>832</c:v>
                </c:pt>
                <c:pt idx="417">
                  <c:v>834</c:v>
                </c:pt>
                <c:pt idx="418">
                  <c:v>836</c:v>
                </c:pt>
                <c:pt idx="419">
                  <c:v>838</c:v>
                </c:pt>
                <c:pt idx="420">
                  <c:v>840</c:v>
                </c:pt>
                <c:pt idx="421">
                  <c:v>842</c:v>
                </c:pt>
                <c:pt idx="422">
                  <c:v>844</c:v>
                </c:pt>
                <c:pt idx="423">
                  <c:v>846</c:v>
                </c:pt>
                <c:pt idx="424">
                  <c:v>848</c:v>
                </c:pt>
                <c:pt idx="425">
                  <c:v>850</c:v>
                </c:pt>
                <c:pt idx="426">
                  <c:v>852</c:v>
                </c:pt>
                <c:pt idx="427">
                  <c:v>854</c:v>
                </c:pt>
                <c:pt idx="428">
                  <c:v>856</c:v>
                </c:pt>
                <c:pt idx="429">
                  <c:v>858</c:v>
                </c:pt>
                <c:pt idx="430">
                  <c:v>860</c:v>
                </c:pt>
                <c:pt idx="431">
                  <c:v>862</c:v>
                </c:pt>
                <c:pt idx="432">
                  <c:v>864</c:v>
                </c:pt>
                <c:pt idx="433">
                  <c:v>866</c:v>
                </c:pt>
                <c:pt idx="434">
                  <c:v>868</c:v>
                </c:pt>
                <c:pt idx="435">
                  <c:v>870</c:v>
                </c:pt>
                <c:pt idx="436">
                  <c:v>872</c:v>
                </c:pt>
                <c:pt idx="437">
                  <c:v>874</c:v>
                </c:pt>
                <c:pt idx="438">
                  <c:v>876</c:v>
                </c:pt>
                <c:pt idx="439">
                  <c:v>878</c:v>
                </c:pt>
                <c:pt idx="440">
                  <c:v>880</c:v>
                </c:pt>
                <c:pt idx="441">
                  <c:v>882</c:v>
                </c:pt>
                <c:pt idx="442">
                  <c:v>884</c:v>
                </c:pt>
                <c:pt idx="443">
                  <c:v>886</c:v>
                </c:pt>
                <c:pt idx="444">
                  <c:v>888</c:v>
                </c:pt>
                <c:pt idx="445">
                  <c:v>890</c:v>
                </c:pt>
                <c:pt idx="446">
                  <c:v>892</c:v>
                </c:pt>
                <c:pt idx="447">
                  <c:v>894</c:v>
                </c:pt>
                <c:pt idx="448">
                  <c:v>896</c:v>
                </c:pt>
                <c:pt idx="449">
                  <c:v>898</c:v>
                </c:pt>
                <c:pt idx="450">
                  <c:v>900</c:v>
                </c:pt>
                <c:pt idx="451">
                  <c:v>902</c:v>
                </c:pt>
                <c:pt idx="452">
                  <c:v>904</c:v>
                </c:pt>
                <c:pt idx="453">
                  <c:v>906</c:v>
                </c:pt>
                <c:pt idx="454">
                  <c:v>908</c:v>
                </c:pt>
                <c:pt idx="455">
                  <c:v>910</c:v>
                </c:pt>
                <c:pt idx="456">
                  <c:v>912</c:v>
                </c:pt>
                <c:pt idx="457">
                  <c:v>914</c:v>
                </c:pt>
                <c:pt idx="458">
                  <c:v>916</c:v>
                </c:pt>
                <c:pt idx="459">
                  <c:v>918</c:v>
                </c:pt>
                <c:pt idx="460">
                  <c:v>920</c:v>
                </c:pt>
                <c:pt idx="461">
                  <c:v>922</c:v>
                </c:pt>
                <c:pt idx="462">
                  <c:v>924</c:v>
                </c:pt>
                <c:pt idx="463">
                  <c:v>926</c:v>
                </c:pt>
                <c:pt idx="464">
                  <c:v>928</c:v>
                </c:pt>
                <c:pt idx="465">
                  <c:v>930</c:v>
                </c:pt>
                <c:pt idx="466">
                  <c:v>932</c:v>
                </c:pt>
                <c:pt idx="467">
                  <c:v>934</c:v>
                </c:pt>
                <c:pt idx="468">
                  <c:v>936</c:v>
                </c:pt>
                <c:pt idx="469">
                  <c:v>938</c:v>
                </c:pt>
                <c:pt idx="470">
                  <c:v>940</c:v>
                </c:pt>
                <c:pt idx="471">
                  <c:v>942</c:v>
                </c:pt>
                <c:pt idx="472">
                  <c:v>944</c:v>
                </c:pt>
                <c:pt idx="473">
                  <c:v>946</c:v>
                </c:pt>
                <c:pt idx="474">
                  <c:v>948</c:v>
                </c:pt>
                <c:pt idx="475">
                  <c:v>950</c:v>
                </c:pt>
                <c:pt idx="476">
                  <c:v>952</c:v>
                </c:pt>
                <c:pt idx="477">
                  <c:v>954</c:v>
                </c:pt>
                <c:pt idx="478">
                  <c:v>956</c:v>
                </c:pt>
                <c:pt idx="479">
                  <c:v>958</c:v>
                </c:pt>
                <c:pt idx="480">
                  <c:v>960</c:v>
                </c:pt>
                <c:pt idx="481">
                  <c:v>962</c:v>
                </c:pt>
                <c:pt idx="482">
                  <c:v>964</c:v>
                </c:pt>
                <c:pt idx="483">
                  <c:v>966</c:v>
                </c:pt>
                <c:pt idx="484">
                  <c:v>968</c:v>
                </c:pt>
                <c:pt idx="485">
                  <c:v>970</c:v>
                </c:pt>
                <c:pt idx="486">
                  <c:v>972</c:v>
                </c:pt>
                <c:pt idx="487">
                  <c:v>974</c:v>
                </c:pt>
                <c:pt idx="488">
                  <c:v>976</c:v>
                </c:pt>
                <c:pt idx="489">
                  <c:v>978</c:v>
                </c:pt>
                <c:pt idx="490">
                  <c:v>980</c:v>
                </c:pt>
                <c:pt idx="491">
                  <c:v>982</c:v>
                </c:pt>
                <c:pt idx="492">
                  <c:v>984</c:v>
                </c:pt>
                <c:pt idx="493">
                  <c:v>986</c:v>
                </c:pt>
                <c:pt idx="494">
                  <c:v>988</c:v>
                </c:pt>
                <c:pt idx="495">
                  <c:v>990</c:v>
                </c:pt>
                <c:pt idx="496">
                  <c:v>992</c:v>
                </c:pt>
                <c:pt idx="497">
                  <c:v>994</c:v>
                </c:pt>
                <c:pt idx="498">
                  <c:v>996</c:v>
                </c:pt>
                <c:pt idx="499">
                  <c:v>998</c:v>
                </c:pt>
                <c:pt idx="500">
                  <c:v>1000</c:v>
                </c:pt>
                <c:pt idx="501">
                  <c:v>1002</c:v>
                </c:pt>
                <c:pt idx="502">
                  <c:v>1004</c:v>
                </c:pt>
                <c:pt idx="503">
                  <c:v>1006</c:v>
                </c:pt>
                <c:pt idx="504">
                  <c:v>1008</c:v>
                </c:pt>
                <c:pt idx="505">
                  <c:v>1010</c:v>
                </c:pt>
                <c:pt idx="506">
                  <c:v>1012</c:v>
                </c:pt>
                <c:pt idx="507">
                  <c:v>1014</c:v>
                </c:pt>
                <c:pt idx="508">
                  <c:v>1016</c:v>
                </c:pt>
                <c:pt idx="509">
                  <c:v>1018</c:v>
                </c:pt>
                <c:pt idx="510">
                  <c:v>1020</c:v>
                </c:pt>
                <c:pt idx="511">
                  <c:v>1022</c:v>
                </c:pt>
                <c:pt idx="512">
                  <c:v>1024</c:v>
                </c:pt>
                <c:pt idx="513">
                  <c:v>1026</c:v>
                </c:pt>
                <c:pt idx="514">
                  <c:v>1028</c:v>
                </c:pt>
                <c:pt idx="515">
                  <c:v>1030</c:v>
                </c:pt>
                <c:pt idx="516">
                  <c:v>1032</c:v>
                </c:pt>
                <c:pt idx="517">
                  <c:v>1034</c:v>
                </c:pt>
                <c:pt idx="518">
                  <c:v>1036</c:v>
                </c:pt>
                <c:pt idx="519">
                  <c:v>1038</c:v>
                </c:pt>
                <c:pt idx="520">
                  <c:v>1040</c:v>
                </c:pt>
                <c:pt idx="521">
                  <c:v>1042</c:v>
                </c:pt>
                <c:pt idx="522">
                  <c:v>1044</c:v>
                </c:pt>
                <c:pt idx="523">
                  <c:v>1046</c:v>
                </c:pt>
                <c:pt idx="524">
                  <c:v>1048</c:v>
                </c:pt>
                <c:pt idx="525">
                  <c:v>1050</c:v>
                </c:pt>
                <c:pt idx="526">
                  <c:v>1052</c:v>
                </c:pt>
                <c:pt idx="527">
                  <c:v>1054</c:v>
                </c:pt>
                <c:pt idx="528">
                  <c:v>1056</c:v>
                </c:pt>
                <c:pt idx="529">
                  <c:v>1058</c:v>
                </c:pt>
                <c:pt idx="530">
                  <c:v>1060</c:v>
                </c:pt>
                <c:pt idx="531">
                  <c:v>1062</c:v>
                </c:pt>
                <c:pt idx="532">
                  <c:v>1064</c:v>
                </c:pt>
                <c:pt idx="533">
                  <c:v>1066</c:v>
                </c:pt>
                <c:pt idx="534">
                  <c:v>1068</c:v>
                </c:pt>
                <c:pt idx="535">
                  <c:v>1070</c:v>
                </c:pt>
                <c:pt idx="536">
                  <c:v>1072</c:v>
                </c:pt>
                <c:pt idx="537">
                  <c:v>1074</c:v>
                </c:pt>
                <c:pt idx="538">
                  <c:v>1076</c:v>
                </c:pt>
                <c:pt idx="539">
                  <c:v>1078</c:v>
                </c:pt>
                <c:pt idx="540">
                  <c:v>1080</c:v>
                </c:pt>
              </c:numCache>
            </c:numRef>
          </c:xVal>
          <c:yVal>
            <c:numRef>
              <c:f>Data!$E$2:$E$1001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numCache>
            </c:numRef>
          </c:yVal>
          <c:smooth val="1"/>
        </c:ser>
        <c:ser>
          <c:idx val="3"/>
          <c:order val="2"/>
          <c:tx>
            <c:strRef>
              <c:f>Data!$F$1</c:f>
              <c:strCache>
                <c:ptCount val="1"/>
                <c:pt idx="0">
                  <c:v>Peak 1</c:v>
                </c:pt>
              </c:strCache>
            </c:strRef>
          </c:tx>
          <c:spPr>
            <a:ln w="12700">
              <a:solidFill>
                <a:srgbClr val="00FFFF"/>
              </a:solidFill>
              <a:prstDash val="solid"/>
            </a:ln>
          </c:spPr>
          <c:marker>
            <c:symbol val="none"/>
          </c:marker>
          <c:xVal>
            <c:numRef>
              <c:f>Data!$A$2:$A$1001</c:f>
              <c:numCache>
                <c:formatCode>General</c:formatCode>
                <c:ptCount val="1000"/>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c:v>
                </c:pt>
                <c:pt idx="193">
                  <c:v>386</c:v>
                </c:pt>
                <c:pt idx="194">
                  <c:v>388</c:v>
                </c:pt>
                <c:pt idx="195">
                  <c:v>390</c:v>
                </c:pt>
                <c:pt idx="196">
                  <c:v>392</c:v>
                </c:pt>
                <c:pt idx="197">
                  <c:v>394</c:v>
                </c:pt>
                <c:pt idx="198">
                  <c:v>396</c:v>
                </c:pt>
                <c:pt idx="199">
                  <c:v>398</c:v>
                </c:pt>
                <c:pt idx="200">
                  <c:v>400</c:v>
                </c:pt>
                <c:pt idx="201">
                  <c:v>402</c:v>
                </c:pt>
                <c:pt idx="202">
                  <c:v>404</c:v>
                </c:pt>
                <c:pt idx="203">
                  <c:v>406</c:v>
                </c:pt>
                <c:pt idx="204">
                  <c:v>408</c:v>
                </c:pt>
                <c:pt idx="205">
                  <c:v>410</c:v>
                </c:pt>
                <c:pt idx="206">
                  <c:v>412</c:v>
                </c:pt>
                <c:pt idx="207">
                  <c:v>414</c:v>
                </c:pt>
                <c:pt idx="208">
                  <c:v>416</c:v>
                </c:pt>
                <c:pt idx="209">
                  <c:v>418</c:v>
                </c:pt>
                <c:pt idx="210">
                  <c:v>420</c:v>
                </c:pt>
                <c:pt idx="211">
                  <c:v>422</c:v>
                </c:pt>
                <c:pt idx="212">
                  <c:v>424</c:v>
                </c:pt>
                <c:pt idx="213">
                  <c:v>426</c:v>
                </c:pt>
                <c:pt idx="214">
                  <c:v>428</c:v>
                </c:pt>
                <c:pt idx="215">
                  <c:v>430</c:v>
                </c:pt>
                <c:pt idx="216">
                  <c:v>432</c:v>
                </c:pt>
                <c:pt idx="217">
                  <c:v>434</c:v>
                </c:pt>
                <c:pt idx="218">
                  <c:v>436</c:v>
                </c:pt>
                <c:pt idx="219">
                  <c:v>438</c:v>
                </c:pt>
                <c:pt idx="220">
                  <c:v>440</c:v>
                </c:pt>
                <c:pt idx="221">
                  <c:v>442</c:v>
                </c:pt>
                <c:pt idx="222">
                  <c:v>444</c:v>
                </c:pt>
                <c:pt idx="223">
                  <c:v>446</c:v>
                </c:pt>
                <c:pt idx="224">
                  <c:v>448</c:v>
                </c:pt>
                <c:pt idx="225">
                  <c:v>450</c:v>
                </c:pt>
                <c:pt idx="226">
                  <c:v>452</c:v>
                </c:pt>
                <c:pt idx="227">
                  <c:v>454</c:v>
                </c:pt>
                <c:pt idx="228">
                  <c:v>456</c:v>
                </c:pt>
                <c:pt idx="229">
                  <c:v>458</c:v>
                </c:pt>
                <c:pt idx="230">
                  <c:v>460</c:v>
                </c:pt>
                <c:pt idx="231">
                  <c:v>462</c:v>
                </c:pt>
                <c:pt idx="232">
                  <c:v>464</c:v>
                </c:pt>
                <c:pt idx="233">
                  <c:v>466</c:v>
                </c:pt>
                <c:pt idx="234">
                  <c:v>468</c:v>
                </c:pt>
                <c:pt idx="235">
                  <c:v>470</c:v>
                </c:pt>
                <c:pt idx="236">
                  <c:v>472</c:v>
                </c:pt>
                <c:pt idx="237">
                  <c:v>474</c:v>
                </c:pt>
                <c:pt idx="238">
                  <c:v>476</c:v>
                </c:pt>
                <c:pt idx="239">
                  <c:v>478</c:v>
                </c:pt>
                <c:pt idx="240">
                  <c:v>480</c:v>
                </c:pt>
                <c:pt idx="241">
                  <c:v>482</c:v>
                </c:pt>
                <c:pt idx="242">
                  <c:v>484</c:v>
                </c:pt>
                <c:pt idx="243">
                  <c:v>486</c:v>
                </c:pt>
                <c:pt idx="244">
                  <c:v>488</c:v>
                </c:pt>
                <c:pt idx="245">
                  <c:v>490</c:v>
                </c:pt>
                <c:pt idx="246">
                  <c:v>492</c:v>
                </c:pt>
                <c:pt idx="247">
                  <c:v>494</c:v>
                </c:pt>
                <c:pt idx="248">
                  <c:v>496</c:v>
                </c:pt>
                <c:pt idx="249">
                  <c:v>498</c:v>
                </c:pt>
                <c:pt idx="250">
                  <c:v>500</c:v>
                </c:pt>
                <c:pt idx="251">
                  <c:v>502</c:v>
                </c:pt>
                <c:pt idx="252">
                  <c:v>504</c:v>
                </c:pt>
                <c:pt idx="253">
                  <c:v>506</c:v>
                </c:pt>
                <c:pt idx="254">
                  <c:v>508</c:v>
                </c:pt>
                <c:pt idx="255">
                  <c:v>510</c:v>
                </c:pt>
                <c:pt idx="256">
                  <c:v>512</c:v>
                </c:pt>
                <c:pt idx="257">
                  <c:v>514</c:v>
                </c:pt>
                <c:pt idx="258">
                  <c:v>516</c:v>
                </c:pt>
                <c:pt idx="259">
                  <c:v>518</c:v>
                </c:pt>
                <c:pt idx="260">
                  <c:v>520</c:v>
                </c:pt>
                <c:pt idx="261">
                  <c:v>522</c:v>
                </c:pt>
                <c:pt idx="262">
                  <c:v>524</c:v>
                </c:pt>
                <c:pt idx="263">
                  <c:v>526</c:v>
                </c:pt>
                <c:pt idx="264">
                  <c:v>528</c:v>
                </c:pt>
                <c:pt idx="265">
                  <c:v>530</c:v>
                </c:pt>
                <c:pt idx="266">
                  <c:v>532</c:v>
                </c:pt>
                <c:pt idx="267">
                  <c:v>534</c:v>
                </c:pt>
                <c:pt idx="268">
                  <c:v>536</c:v>
                </c:pt>
                <c:pt idx="269">
                  <c:v>538</c:v>
                </c:pt>
                <c:pt idx="270">
                  <c:v>540</c:v>
                </c:pt>
                <c:pt idx="271">
                  <c:v>542</c:v>
                </c:pt>
                <c:pt idx="272">
                  <c:v>544</c:v>
                </c:pt>
                <c:pt idx="273">
                  <c:v>546</c:v>
                </c:pt>
                <c:pt idx="274">
                  <c:v>548</c:v>
                </c:pt>
                <c:pt idx="275">
                  <c:v>550</c:v>
                </c:pt>
                <c:pt idx="276">
                  <c:v>552</c:v>
                </c:pt>
                <c:pt idx="277">
                  <c:v>554</c:v>
                </c:pt>
                <c:pt idx="278">
                  <c:v>556</c:v>
                </c:pt>
                <c:pt idx="279">
                  <c:v>558</c:v>
                </c:pt>
                <c:pt idx="280">
                  <c:v>560</c:v>
                </c:pt>
                <c:pt idx="281">
                  <c:v>562</c:v>
                </c:pt>
                <c:pt idx="282">
                  <c:v>564</c:v>
                </c:pt>
                <c:pt idx="283">
                  <c:v>566</c:v>
                </c:pt>
                <c:pt idx="284">
                  <c:v>568</c:v>
                </c:pt>
                <c:pt idx="285">
                  <c:v>570</c:v>
                </c:pt>
                <c:pt idx="286">
                  <c:v>572</c:v>
                </c:pt>
                <c:pt idx="287">
                  <c:v>574</c:v>
                </c:pt>
                <c:pt idx="288">
                  <c:v>576</c:v>
                </c:pt>
                <c:pt idx="289">
                  <c:v>578</c:v>
                </c:pt>
                <c:pt idx="290">
                  <c:v>580</c:v>
                </c:pt>
                <c:pt idx="291">
                  <c:v>582</c:v>
                </c:pt>
                <c:pt idx="292">
                  <c:v>584</c:v>
                </c:pt>
                <c:pt idx="293">
                  <c:v>586</c:v>
                </c:pt>
                <c:pt idx="294">
                  <c:v>588</c:v>
                </c:pt>
                <c:pt idx="295">
                  <c:v>590</c:v>
                </c:pt>
                <c:pt idx="296">
                  <c:v>592</c:v>
                </c:pt>
                <c:pt idx="297">
                  <c:v>594</c:v>
                </c:pt>
                <c:pt idx="298">
                  <c:v>596</c:v>
                </c:pt>
                <c:pt idx="299">
                  <c:v>598</c:v>
                </c:pt>
                <c:pt idx="300">
                  <c:v>600</c:v>
                </c:pt>
                <c:pt idx="301">
                  <c:v>602</c:v>
                </c:pt>
                <c:pt idx="302">
                  <c:v>604</c:v>
                </c:pt>
                <c:pt idx="303">
                  <c:v>606</c:v>
                </c:pt>
                <c:pt idx="304">
                  <c:v>608</c:v>
                </c:pt>
                <c:pt idx="305">
                  <c:v>610</c:v>
                </c:pt>
                <c:pt idx="306">
                  <c:v>612</c:v>
                </c:pt>
                <c:pt idx="307">
                  <c:v>614</c:v>
                </c:pt>
                <c:pt idx="308">
                  <c:v>616</c:v>
                </c:pt>
                <c:pt idx="309">
                  <c:v>618</c:v>
                </c:pt>
                <c:pt idx="310">
                  <c:v>620</c:v>
                </c:pt>
                <c:pt idx="311">
                  <c:v>622</c:v>
                </c:pt>
                <c:pt idx="312">
                  <c:v>624</c:v>
                </c:pt>
                <c:pt idx="313">
                  <c:v>626</c:v>
                </c:pt>
                <c:pt idx="314">
                  <c:v>628</c:v>
                </c:pt>
                <c:pt idx="315">
                  <c:v>630</c:v>
                </c:pt>
                <c:pt idx="316">
                  <c:v>632</c:v>
                </c:pt>
                <c:pt idx="317">
                  <c:v>634</c:v>
                </c:pt>
                <c:pt idx="318">
                  <c:v>636</c:v>
                </c:pt>
                <c:pt idx="319">
                  <c:v>638</c:v>
                </c:pt>
                <c:pt idx="320">
                  <c:v>640</c:v>
                </c:pt>
                <c:pt idx="321">
                  <c:v>642</c:v>
                </c:pt>
                <c:pt idx="322">
                  <c:v>644</c:v>
                </c:pt>
                <c:pt idx="323">
                  <c:v>646</c:v>
                </c:pt>
                <c:pt idx="324">
                  <c:v>648</c:v>
                </c:pt>
                <c:pt idx="325">
                  <c:v>650</c:v>
                </c:pt>
                <c:pt idx="326">
                  <c:v>652</c:v>
                </c:pt>
                <c:pt idx="327">
                  <c:v>654</c:v>
                </c:pt>
                <c:pt idx="328">
                  <c:v>656</c:v>
                </c:pt>
                <c:pt idx="329">
                  <c:v>658</c:v>
                </c:pt>
                <c:pt idx="330">
                  <c:v>660</c:v>
                </c:pt>
                <c:pt idx="331">
                  <c:v>662</c:v>
                </c:pt>
                <c:pt idx="332">
                  <c:v>664</c:v>
                </c:pt>
                <c:pt idx="333">
                  <c:v>666</c:v>
                </c:pt>
                <c:pt idx="334">
                  <c:v>668</c:v>
                </c:pt>
                <c:pt idx="335">
                  <c:v>670</c:v>
                </c:pt>
                <c:pt idx="336">
                  <c:v>672</c:v>
                </c:pt>
                <c:pt idx="337">
                  <c:v>674</c:v>
                </c:pt>
                <c:pt idx="338">
                  <c:v>676</c:v>
                </c:pt>
                <c:pt idx="339">
                  <c:v>678</c:v>
                </c:pt>
                <c:pt idx="340">
                  <c:v>680</c:v>
                </c:pt>
                <c:pt idx="341">
                  <c:v>682</c:v>
                </c:pt>
                <c:pt idx="342">
                  <c:v>684</c:v>
                </c:pt>
                <c:pt idx="343">
                  <c:v>686</c:v>
                </c:pt>
                <c:pt idx="344">
                  <c:v>688</c:v>
                </c:pt>
                <c:pt idx="345">
                  <c:v>690</c:v>
                </c:pt>
                <c:pt idx="346">
                  <c:v>692</c:v>
                </c:pt>
                <c:pt idx="347">
                  <c:v>694</c:v>
                </c:pt>
                <c:pt idx="348">
                  <c:v>696</c:v>
                </c:pt>
                <c:pt idx="349">
                  <c:v>698</c:v>
                </c:pt>
                <c:pt idx="350">
                  <c:v>700</c:v>
                </c:pt>
                <c:pt idx="351">
                  <c:v>702</c:v>
                </c:pt>
                <c:pt idx="352">
                  <c:v>704</c:v>
                </c:pt>
                <c:pt idx="353">
                  <c:v>706</c:v>
                </c:pt>
                <c:pt idx="354">
                  <c:v>708</c:v>
                </c:pt>
                <c:pt idx="355">
                  <c:v>710</c:v>
                </c:pt>
                <c:pt idx="356">
                  <c:v>712</c:v>
                </c:pt>
                <c:pt idx="357">
                  <c:v>714</c:v>
                </c:pt>
                <c:pt idx="358">
                  <c:v>716</c:v>
                </c:pt>
                <c:pt idx="359">
                  <c:v>718</c:v>
                </c:pt>
                <c:pt idx="360">
                  <c:v>720</c:v>
                </c:pt>
                <c:pt idx="361">
                  <c:v>722</c:v>
                </c:pt>
                <c:pt idx="362">
                  <c:v>724</c:v>
                </c:pt>
                <c:pt idx="363">
                  <c:v>726</c:v>
                </c:pt>
                <c:pt idx="364">
                  <c:v>728</c:v>
                </c:pt>
                <c:pt idx="365">
                  <c:v>730</c:v>
                </c:pt>
                <c:pt idx="366">
                  <c:v>732</c:v>
                </c:pt>
                <c:pt idx="367">
                  <c:v>734</c:v>
                </c:pt>
                <c:pt idx="368">
                  <c:v>736</c:v>
                </c:pt>
                <c:pt idx="369">
                  <c:v>738</c:v>
                </c:pt>
                <c:pt idx="370">
                  <c:v>740</c:v>
                </c:pt>
                <c:pt idx="371">
                  <c:v>742</c:v>
                </c:pt>
                <c:pt idx="372">
                  <c:v>744</c:v>
                </c:pt>
                <c:pt idx="373">
                  <c:v>746</c:v>
                </c:pt>
                <c:pt idx="374">
                  <c:v>748</c:v>
                </c:pt>
                <c:pt idx="375">
                  <c:v>750</c:v>
                </c:pt>
                <c:pt idx="376">
                  <c:v>752</c:v>
                </c:pt>
                <c:pt idx="377">
                  <c:v>754</c:v>
                </c:pt>
                <c:pt idx="378">
                  <c:v>756</c:v>
                </c:pt>
                <c:pt idx="379">
                  <c:v>758</c:v>
                </c:pt>
                <c:pt idx="380">
                  <c:v>760</c:v>
                </c:pt>
                <c:pt idx="381">
                  <c:v>762</c:v>
                </c:pt>
                <c:pt idx="382">
                  <c:v>764</c:v>
                </c:pt>
                <c:pt idx="383">
                  <c:v>766</c:v>
                </c:pt>
                <c:pt idx="384">
                  <c:v>768</c:v>
                </c:pt>
                <c:pt idx="385">
                  <c:v>770</c:v>
                </c:pt>
                <c:pt idx="386">
                  <c:v>772</c:v>
                </c:pt>
                <c:pt idx="387">
                  <c:v>774</c:v>
                </c:pt>
                <c:pt idx="388">
                  <c:v>776</c:v>
                </c:pt>
                <c:pt idx="389">
                  <c:v>778</c:v>
                </c:pt>
                <c:pt idx="390">
                  <c:v>780</c:v>
                </c:pt>
                <c:pt idx="391">
                  <c:v>782</c:v>
                </c:pt>
                <c:pt idx="392">
                  <c:v>784</c:v>
                </c:pt>
                <c:pt idx="393">
                  <c:v>786</c:v>
                </c:pt>
                <c:pt idx="394">
                  <c:v>788</c:v>
                </c:pt>
                <c:pt idx="395">
                  <c:v>790</c:v>
                </c:pt>
                <c:pt idx="396">
                  <c:v>792</c:v>
                </c:pt>
                <c:pt idx="397">
                  <c:v>794</c:v>
                </c:pt>
                <c:pt idx="398">
                  <c:v>796</c:v>
                </c:pt>
                <c:pt idx="399">
                  <c:v>798</c:v>
                </c:pt>
                <c:pt idx="400">
                  <c:v>800</c:v>
                </c:pt>
                <c:pt idx="401">
                  <c:v>802</c:v>
                </c:pt>
                <c:pt idx="402">
                  <c:v>804</c:v>
                </c:pt>
                <c:pt idx="403">
                  <c:v>806</c:v>
                </c:pt>
                <c:pt idx="404">
                  <c:v>808</c:v>
                </c:pt>
                <c:pt idx="405">
                  <c:v>810</c:v>
                </c:pt>
                <c:pt idx="406">
                  <c:v>812</c:v>
                </c:pt>
                <c:pt idx="407">
                  <c:v>814</c:v>
                </c:pt>
                <c:pt idx="408">
                  <c:v>816</c:v>
                </c:pt>
                <c:pt idx="409">
                  <c:v>818</c:v>
                </c:pt>
                <c:pt idx="410">
                  <c:v>820</c:v>
                </c:pt>
                <c:pt idx="411">
                  <c:v>822</c:v>
                </c:pt>
                <c:pt idx="412">
                  <c:v>824</c:v>
                </c:pt>
                <c:pt idx="413">
                  <c:v>826</c:v>
                </c:pt>
                <c:pt idx="414">
                  <c:v>828</c:v>
                </c:pt>
                <c:pt idx="415">
                  <c:v>830</c:v>
                </c:pt>
                <c:pt idx="416">
                  <c:v>832</c:v>
                </c:pt>
                <c:pt idx="417">
                  <c:v>834</c:v>
                </c:pt>
                <c:pt idx="418">
                  <c:v>836</c:v>
                </c:pt>
                <c:pt idx="419">
                  <c:v>838</c:v>
                </c:pt>
                <c:pt idx="420">
                  <c:v>840</c:v>
                </c:pt>
                <c:pt idx="421">
                  <c:v>842</c:v>
                </c:pt>
                <c:pt idx="422">
                  <c:v>844</c:v>
                </c:pt>
                <c:pt idx="423">
                  <c:v>846</c:v>
                </c:pt>
                <c:pt idx="424">
                  <c:v>848</c:v>
                </c:pt>
                <c:pt idx="425">
                  <c:v>850</c:v>
                </c:pt>
                <c:pt idx="426">
                  <c:v>852</c:v>
                </c:pt>
                <c:pt idx="427">
                  <c:v>854</c:v>
                </c:pt>
                <c:pt idx="428">
                  <c:v>856</c:v>
                </c:pt>
                <c:pt idx="429">
                  <c:v>858</c:v>
                </c:pt>
                <c:pt idx="430">
                  <c:v>860</c:v>
                </c:pt>
                <c:pt idx="431">
                  <c:v>862</c:v>
                </c:pt>
                <c:pt idx="432">
                  <c:v>864</c:v>
                </c:pt>
                <c:pt idx="433">
                  <c:v>866</c:v>
                </c:pt>
                <c:pt idx="434">
                  <c:v>868</c:v>
                </c:pt>
                <c:pt idx="435">
                  <c:v>870</c:v>
                </c:pt>
                <c:pt idx="436">
                  <c:v>872</c:v>
                </c:pt>
                <c:pt idx="437">
                  <c:v>874</c:v>
                </c:pt>
                <c:pt idx="438">
                  <c:v>876</c:v>
                </c:pt>
                <c:pt idx="439">
                  <c:v>878</c:v>
                </c:pt>
                <c:pt idx="440">
                  <c:v>880</c:v>
                </c:pt>
                <c:pt idx="441">
                  <c:v>882</c:v>
                </c:pt>
                <c:pt idx="442">
                  <c:v>884</c:v>
                </c:pt>
                <c:pt idx="443">
                  <c:v>886</c:v>
                </c:pt>
                <c:pt idx="444">
                  <c:v>888</c:v>
                </c:pt>
                <c:pt idx="445">
                  <c:v>890</c:v>
                </c:pt>
                <c:pt idx="446">
                  <c:v>892</c:v>
                </c:pt>
                <c:pt idx="447">
                  <c:v>894</c:v>
                </c:pt>
                <c:pt idx="448">
                  <c:v>896</c:v>
                </c:pt>
                <c:pt idx="449">
                  <c:v>898</c:v>
                </c:pt>
                <c:pt idx="450">
                  <c:v>900</c:v>
                </c:pt>
                <c:pt idx="451">
                  <c:v>902</c:v>
                </c:pt>
                <c:pt idx="452">
                  <c:v>904</c:v>
                </c:pt>
                <c:pt idx="453">
                  <c:v>906</c:v>
                </c:pt>
                <c:pt idx="454">
                  <c:v>908</c:v>
                </c:pt>
                <c:pt idx="455">
                  <c:v>910</c:v>
                </c:pt>
                <c:pt idx="456">
                  <c:v>912</c:v>
                </c:pt>
                <c:pt idx="457">
                  <c:v>914</c:v>
                </c:pt>
                <c:pt idx="458">
                  <c:v>916</c:v>
                </c:pt>
                <c:pt idx="459">
                  <c:v>918</c:v>
                </c:pt>
                <c:pt idx="460">
                  <c:v>920</c:v>
                </c:pt>
                <c:pt idx="461">
                  <c:v>922</c:v>
                </c:pt>
                <c:pt idx="462">
                  <c:v>924</c:v>
                </c:pt>
                <c:pt idx="463">
                  <c:v>926</c:v>
                </c:pt>
                <c:pt idx="464">
                  <c:v>928</c:v>
                </c:pt>
                <c:pt idx="465">
                  <c:v>930</c:v>
                </c:pt>
                <c:pt idx="466">
                  <c:v>932</c:v>
                </c:pt>
                <c:pt idx="467">
                  <c:v>934</c:v>
                </c:pt>
                <c:pt idx="468">
                  <c:v>936</c:v>
                </c:pt>
                <c:pt idx="469">
                  <c:v>938</c:v>
                </c:pt>
                <c:pt idx="470">
                  <c:v>940</c:v>
                </c:pt>
                <c:pt idx="471">
                  <c:v>942</c:v>
                </c:pt>
                <c:pt idx="472">
                  <c:v>944</c:v>
                </c:pt>
                <c:pt idx="473">
                  <c:v>946</c:v>
                </c:pt>
                <c:pt idx="474">
                  <c:v>948</c:v>
                </c:pt>
                <c:pt idx="475">
                  <c:v>950</c:v>
                </c:pt>
                <c:pt idx="476">
                  <c:v>952</c:v>
                </c:pt>
                <c:pt idx="477">
                  <c:v>954</c:v>
                </c:pt>
                <c:pt idx="478">
                  <c:v>956</c:v>
                </c:pt>
                <c:pt idx="479">
                  <c:v>958</c:v>
                </c:pt>
                <c:pt idx="480">
                  <c:v>960</c:v>
                </c:pt>
                <c:pt idx="481">
                  <c:v>962</c:v>
                </c:pt>
                <c:pt idx="482">
                  <c:v>964</c:v>
                </c:pt>
                <c:pt idx="483">
                  <c:v>966</c:v>
                </c:pt>
                <c:pt idx="484">
                  <c:v>968</c:v>
                </c:pt>
                <c:pt idx="485">
                  <c:v>970</c:v>
                </c:pt>
                <c:pt idx="486">
                  <c:v>972</c:v>
                </c:pt>
                <c:pt idx="487">
                  <c:v>974</c:v>
                </c:pt>
                <c:pt idx="488">
                  <c:v>976</c:v>
                </c:pt>
                <c:pt idx="489">
                  <c:v>978</c:v>
                </c:pt>
                <c:pt idx="490">
                  <c:v>980</c:v>
                </c:pt>
                <c:pt idx="491">
                  <c:v>982</c:v>
                </c:pt>
                <c:pt idx="492">
                  <c:v>984</c:v>
                </c:pt>
                <c:pt idx="493">
                  <c:v>986</c:v>
                </c:pt>
                <c:pt idx="494">
                  <c:v>988</c:v>
                </c:pt>
                <c:pt idx="495">
                  <c:v>990</c:v>
                </c:pt>
                <c:pt idx="496">
                  <c:v>992</c:v>
                </c:pt>
                <c:pt idx="497">
                  <c:v>994</c:v>
                </c:pt>
                <c:pt idx="498">
                  <c:v>996</c:v>
                </c:pt>
                <c:pt idx="499">
                  <c:v>998</c:v>
                </c:pt>
                <c:pt idx="500">
                  <c:v>1000</c:v>
                </c:pt>
                <c:pt idx="501">
                  <c:v>1002</c:v>
                </c:pt>
                <c:pt idx="502">
                  <c:v>1004</c:v>
                </c:pt>
                <c:pt idx="503">
                  <c:v>1006</c:v>
                </c:pt>
                <c:pt idx="504">
                  <c:v>1008</c:v>
                </c:pt>
                <c:pt idx="505">
                  <c:v>1010</c:v>
                </c:pt>
                <c:pt idx="506">
                  <c:v>1012</c:v>
                </c:pt>
                <c:pt idx="507">
                  <c:v>1014</c:v>
                </c:pt>
                <c:pt idx="508">
                  <c:v>1016</c:v>
                </c:pt>
                <c:pt idx="509">
                  <c:v>1018</c:v>
                </c:pt>
                <c:pt idx="510">
                  <c:v>1020</c:v>
                </c:pt>
                <c:pt idx="511">
                  <c:v>1022</c:v>
                </c:pt>
                <c:pt idx="512">
                  <c:v>1024</c:v>
                </c:pt>
                <c:pt idx="513">
                  <c:v>1026</c:v>
                </c:pt>
                <c:pt idx="514">
                  <c:v>1028</c:v>
                </c:pt>
                <c:pt idx="515">
                  <c:v>1030</c:v>
                </c:pt>
                <c:pt idx="516">
                  <c:v>1032</c:v>
                </c:pt>
                <c:pt idx="517">
                  <c:v>1034</c:v>
                </c:pt>
                <c:pt idx="518">
                  <c:v>1036</c:v>
                </c:pt>
                <c:pt idx="519">
                  <c:v>1038</c:v>
                </c:pt>
                <c:pt idx="520">
                  <c:v>1040</c:v>
                </c:pt>
                <c:pt idx="521">
                  <c:v>1042</c:v>
                </c:pt>
                <c:pt idx="522">
                  <c:v>1044</c:v>
                </c:pt>
                <c:pt idx="523">
                  <c:v>1046</c:v>
                </c:pt>
                <c:pt idx="524">
                  <c:v>1048</c:v>
                </c:pt>
                <c:pt idx="525">
                  <c:v>1050</c:v>
                </c:pt>
                <c:pt idx="526">
                  <c:v>1052</c:v>
                </c:pt>
                <c:pt idx="527">
                  <c:v>1054</c:v>
                </c:pt>
                <c:pt idx="528">
                  <c:v>1056</c:v>
                </c:pt>
                <c:pt idx="529">
                  <c:v>1058</c:v>
                </c:pt>
                <c:pt idx="530">
                  <c:v>1060</c:v>
                </c:pt>
                <c:pt idx="531">
                  <c:v>1062</c:v>
                </c:pt>
                <c:pt idx="532">
                  <c:v>1064</c:v>
                </c:pt>
                <c:pt idx="533">
                  <c:v>1066</c:v>
                </c:pt>
                <c:pt idx="534">
                  <c:v>1068</c:v>
                </c:pt>
                <c:pt idx="535">
                  <c:v>1070</c:v>
                </c:pt>
                <c:pt idx="536">
                  <c:v>1072</c:v>
                </c:pt>
                <c:pt idx="537">
                  <c:v>1074</c:v>
                </c:pt>
                <c:pt idx="538">
                  <c:v>1076</c:v>
                </c:pt>
                <c:pt idx="539">
                  <c:v>1078</c:v>
                </c:pt>
                <c:pt idx="540">
                  <c:v>1080</c:v>
                </c:pt>
              </c:numCache>
            </c:numRef>
          </c:xVal>
          <c:yVal>
            <c:numRef>
              <c:f>Data!$F$2:$F$1001</c:f>
              <c:numCache>
                <c:formatCode>0</c:formatCode>
                <c:ptCount val="1000"/>
                <c:pt idx="0">
                  <c:v>0.23460301613990292</c:v>
                </c:pt>
                <c:pt idx="1">
                  <c:v>0.29367989296236052</c:v>
                </c:pt>
                <c:pt idx="2">
                  <c:v>0.36393507704973993</c:v>
                </c:pt>
                <c:pt idx="3">
                  <c:v>0.44646014902483294</c:v>
                </c:pt>
                <c:pt idx="4">
                  <c:v>0.54218882809259517</c:v>
                </c:pt>
                <c:pt idx="5">
                  <c:v>0.65181974235934392</c:v>
                </c:pt>
                <c:pt idx="6">
                  <c:v>0.77573526837153262</c:v>
                </c:pt>
                <c:pt idx="7">
                  <c:v>0.91392097418762031</c:v>
                </c:pt>
                <c:pt idx="8">
                  <c:v>1.0658910922663616</c:v>
                </c:pt>
                <c:pt idx="9">
                  <c:v>1.2306260446724477</c:v>
                </c:pt>
                <c:pt idx="10">
                  <c:v>1.4065282276010656</c:v>
                </c:pt>
                <c:pt idx="11">
                  <c:v>1.5914019418392429</c:v>
                </c:pt>
                <c:pt idx="12">
                  <c:v>1.7824624753631988</c:v>
                </c:pt>
                <c:pt idx="13">
                  <c:v>1.9763778996806445</c:v>
                </c:pt>
                <c:pt idx="14">
                  <c:v>2.1693451882299102</c:v>
                </c:pt>
                <c:pt idx="15">
                  <c:v>2.3571999205014422</c:v>
                </c:pt>
                <c:pt idx="16">
                  <c:v>2.5355562735544028</c:v>
                </c:pt>
                <c:pt idx="17">
                  <c:v>2.6999714408216922</c:v>
                </c:pt>
                <c:pt idx="18">
                  <c:v>2.8461262975277792</c:v>
                </c:pt>
                <c:pt idx="19">
                  <c:v>2.9700122919024254</c:v>
                </c:pt>
                <c:pt idx="20">
                  <c:v>3.0681133916647463</c:v>
                </c:pt>
                <c:pt idx="21">
                  <c:v>3.137571610603854</c:v>
                </c:pt>
                <c:pt idx="22">
                  <c:v>3.1763252584436241</c:v>
                </c:pt>
                <c:pt idx="23">
                  <c:v>3.1832105865512812</c:v>
                </c:pt>
                <c:pt idx="24">
                  <c:v>3.1580198374771102</c:v>
                </c:pt>
                <c:pt idx="25">
                  <c:v>3.1015116580254269</c:v>
                </c:pt>
                <c:pt idx="26">
                  <c:v>3.0153731476184569</c:v>
                </c:pt>
                <c:pt idx="27">
                  <c:v>2.9021361910382875</c:v>
                </c:pt>
                <c:pt idx="28">
                  <c:v>2.765053865006347</c:v>
                </c:pt>
                <c:pt idx="29">
                  <c:v>2.607945335091487</c:v>
                </c:pt>
                <c:pt idx="30">
                  <c:v>2.4350195521794116</c:v>
                </c:pt>
                <c:pt idx="31">
                  <c:v>2.2506890732615612</c:v>
                </c:pt>
                <c:pt idx="32">
                  <c:v>2.0593854175169919</c:v>
                </c:pt>
                <c:pt idx="33">
                  <c:v>1.8653865660513977</c:v>
                </c:pt>
                <c:pt idx="34">
                  <c:v>1.6726656462104932</c:v>
                </c:pt>
                <c:pt idx="35">
                  <c:v>1.4847676983855136</c:v>
                </c:pt>
                <c:pt idx="36">
                  <c:v>1.3047189347492965</c:v>
                </c:pt>
                <c:pt idx="37">
                  <c:v>1.134970308928188</c:v>
                </c:pt>
                <c:pt idx="38">
                  <c:v>0.97737475364344162</c:v>
                </c:pt>
                <c:pt idx="39">
                  <c:v>0.83319530454954205</c:v>
                </c:pt>
                <c:pt idx="40">
                  <c:v>0.70313965558140779</c:v>
                </c:pt>
                <c:pt idx="41">
                  <c:v>0.58741556621340152</c:v>
                </c:pt>
                <c:pt idx="42">
                  <c:v>0.48580098480146777</c:v>
                </c:pt>
                <c:pt idx="43">
                  <c:v>0.3977227299435534</c:v>
                </c:pt>
                <c:pt idx="44">
                  <c:v>0.3223380048845027</c:v>
                </c:pt>
                <c:pt idx="45">
                  <c:v>0.25861380029533709</c:v>
                </c:pt>
                <c:pt idx="46">
                  <c:v>0.20540024622393152</c:v>
                </c:pt>
                <c:pt idx="47">
                  <c:v>0.16149508315942354</c:v>
                </c:pt>
                <c:pt idx="48">
                  <c:v>0.12569752600770701</c:v>
                </c:pt>
                <c:pt idx="49">
                  <c:v>9.6850805344179447E-2</c:v>
                </c:pt>
                <c:pt idx="50">
                  <c:v>7.3873525187372058E-2</c:v>
                </c:pt>
                <c:pt idx="51">
                  <c:v>5.5780639890163027E-2</c:v>
                </c:pt>
                <c:pt idx="52">
                  <c:v>4.1695313271368765E-2</c:v>
                </c:pt>
                <c:pt idx="53">
                  <c:v>3.085318983474071E-2</c:v>
                </c:pt>
                <c:pt idx="54">
                  <c:v>2.2600704779200169E-2</c:v>
                </c:pt>
                <c:pt idx="55">
                  <c:v>1.6389019590193427E-2</c:v>
                </c:pt>
                <c:pt idx="56">
                  <c:v>1.1765030225719841E-2</c:v>
                </c:pt>
                <c:pt idx="57">
                  <c:v>8.360691545141857E-3</c:v>
                </c:pt>
                <c:pt idx="58">
                  <c:v>5.8816670443414361E-3</c:v>
                </c:pt>
                <c:pt idx="59">
                  <c:v>4.0960735992939066E-3</c:v>
                </c:pt>
                <c:pt idx="60">
                  <c:v>2.8238664144083583E-3</c:v>
                </c:pt>
                <c:pt idx="61">
                  <c:v>1.9272125969715549E-3</c:v>
                </c:pt>
                <c:pt idx="62">
                  <c:v>1.3020395735826016E-3</c:v>
                </c:pt>
                <c:pt idx="63">
                  <c:v>8.7081885448068888E-4</c:v>
                </c:pt>
                <c:pt idx="64">
                  <c:v>5.7655473596412152E-4</c:v>
                </c:pt>
                <c:pt idx="65">
                  <c:v>3.778873423789244E-4</c:v>
                </c:pt>
                <c:pt idx="66">
                  <c:v>2.4518462177412829E-4</c:v>
                </c:pt>
                <c:pt idx="67">
                  <c:v>1.5748282269775651E-4</c:v>
                </c:pt>
                <c:pt idx="68">
                  <c:v>1.0013415434132074E-4</c:v>
                </c:pt>
                <c:pt idx="69">
                  <c:v>6.3028991670656731E-5</c:v>
                </c:pt>
                <c:pt idx="70">
                  <c:v>3.9274219703594189E-5</c:v>
                </c:pt>
                <c:pt idx="71">
                  <c:v>2.4226119329967567E-5</c:v>
                </c:pt>
                <c:pt idx="72">
                  <c:v>1.4793441539367684E-5</c:v>
                </c:pt>
                <c:pt idx="73">
                  <c:v>8.9425971823508486E-6</c:v>
                </c:pt>
                <c:pt idx="74">
                  <c:v>5.3513973354313383E-6</c:v>
                </c:pt>
                <c:pt idx="75">
                  <c:v>3.1701499754290739E-6</c:v>
                </c:pt>
                <c:pt idx="76">
                  <c:v>1.8590946454405419E-6</c:v>
                </c:pt>
                <c:pt idx="77">
                  <c:v>1.0792753853746879E-6</c:v>
                </c:pt>
                <c:pt idx="78">
                  <c:v>6.2025764470377501E-7</c:v>
                </c:pt>
                <c:pt idx="79">
                  <c:v>3.5287513710625595E-7</c:v>
                </c:pt>
                <c:pt idx="80">
                  <c:v>1.9873715802411456E-7</c:v>
                </c:pt>
                <c:pt idx="81">
                  <c:v>1.1080163555669543E-7</c:v>
                </c:pt>
                <c:pt idx="82">
                  <c:v>6.1153645041491977E-8</c:v>
                </c:pt>
                <c:pt idx="83">
                  <c:v>3.3412394927910996E-8</c:v>
                </c:pt>
                <c:pt idx="84">
                  <c:v>1.8071822190569262E-8</c:v>
                </c:pt>
                <c:pt idx="85">
                  <c:v>9.6762117715032985E-9</c:v>
                </c:pt>
                <c:pt idx="86">
                  <c:v>5.1288248177173141E-9</c:v>
                </c:pt>
                <c:pt idx="87">
                  <c:v>2.6911595536465334E-9</c:v>
                </c:pt>
                <c:pt idx="88">
                  <c:v>1.3978807024968515E-9</c:v>
                </c:pt>
                <c:pt idx="89">
                  <c:v>7.1880295371668601E-10</c:v>
                </c:pt>
                <c:pt idx="90">
                  <c:v>3.6589685572346266E-10</c:v>
                </c:pt>
                <c:pt idx="91">
                  <c:v>1.8438117692604195E-10</c:v>
                </c:pt>
                <c:pt idx="92">
                  <c:v>9.1977916802936376E-11</c:v>
                </c:pt>
                <c:pt idx="93">
                  <c:v>4.5421307977921188E-11</c:v>
                </c:pt>
                <c:pt idx="94">
                  <c:v>2.2204693579633695E-11</c:v>
                </c:pt>
                <c:pt idx="95">
                  <c:v>1.0745806437296643E-11</c:v>
                </c:pt>
                <c:pt idx="96">
                  <c:v>5.1480448683296635E-12</c:v>
                </c:pt>
                <c:pt idx="97">
                  <c:v>2.441488675918246E-12</c:v>
                </c:pt>
                <c:pt idx="98">
                  <c:v>1.1462416529425415E-12</c:v>
                </c:pt>
                <c:pt idx="99">
                  <c:v>5.3272949051497458E-13</c:v>
                </c:pt>
                <c:pt idx="100">
                  <c:v>2.4510172768384371E-13</c:v>
                </c:pt>
                <c:pt idx="101">
                  <c:v>1.1163364032809775E-13</c:v>
                </c:pt>
                <c:pt idx="102">
                  <c:v>5.0333007675668516E-14</c:v>
                </c:pt>
                <c:pt idx="103">
                  <c:v>2.2465689859766621E-14</c:v>
                </c:pt>
                <c:pt idx="104">
                  <c:v>9.9264901622668353E-15</c:v>
                </c:pt>
                <c:pt idx="105">
                  <c:v>4.3419093776813813E-15</c:v>
                </c:pt>
                <c:pt idx="106">
                  <c:v>1.8800736993877681E-15</c:v>
                </c:pt>
                <c:pt idx="107">
                  <c:v>8.0589428172608898E-16</c:v>
                </c:pt>
                <c:pt idx="108">
                  <c:v>3.4197184801330851E-16</c:v>
                </c:pt>
                <c:pt idx="109">
                  <c:v>1.4365201338768155E-16</c:v>
                </c:pt>
                <c:pt idx="110">
                  <c:v>5.9736828307778963E-17</c:v>
                </c:pt>
                <c:pt idx="111">
                  <c:v>2.4591311106676146E-17</c:v>
                </c:pt>
                <c:pt idx="112">
                  <c:v>1.002144365295343E-17</c:v>
                </c:pt>
                <c:pt idx="113">
                  <c:v>4.0428532250961877E-18</c:v>
                </c:pt>
                <c:pt idx="114">
                  <c:v>1.6145620539073563E-18</c:v>
                </c:pt>
                <c:pt idx="115">
                  <c:v>6.3830844290059176E-19</c:v>
                </c:pt>
                <c:pt idx="116">
                  <c:v>2.4981327756182247E-19</c:v>
                </c:pt>
                <c:pt idx="117">
                  <c:v>9.6785328136054525E-20</c:v>
                </c:pt>
                <c:pt idx="118">
                  <c:v>3.7120397413870052E-20</c:v>
                </c:pt>
                <c:pt idx="119">
                  <c:v>1.4093692394003123E-20</c:v>
                </c:pt>
                <c:pt idx="120">
                  <c:v>5.2971959782361007E-21</c:v>
                </c:pt>
                <c:pt idx="121">
                  <c:v>1.9709534797594022E-21</c:v>
                </c:pt>
                <c:pt idx="122">
                  <c:v>7.2596517503894763E-22</c:v>
                </c:pt>
                <c:pt idx="123">
                  <c:v>2.6470630318049906E-22</c:v>
                </c:pt>
                <c:pt idx="124">
                  <c:v>9.554805673247337E-23</c:v>
                </c:pt>
                <c:pt idx="125">
                  <c:v>3.4141965219468731E-23</c:v>
                </c:pt>
                <c:pt idx="126">
                  <c:v>1.207714424418876E-23</c:v>
                </c:pt>
                <c:pt idx="127">
                  <c:v>4.2291108829371403E-24</c:v>
                </c:pt>
                <c:pt idx="128">
                  <c:v>1.4660303852336903E-24</c:v>
                </c:pt>
                <c:pt idx="129">
                  <c:v>5.0309030969689257E-25</c:v>
                </c:pt>
                <c:pt idx="130">
                  <c:v>1.7090627701035627E-25</c:v>
                </c:pt>
                <c:pt idx="131">
                  <c:v>5.7475023311906456E-26</c:v>
                </c:pt>
                <c:pt idx="132">
                  <c:v>1.9134159039635411E-26</c:v>
                </c:pt>
                <c:pt idx="133">
                  <c:v>6.3059232945339374E-27</c:v>
                </c:pt>
                <c:pt idx="134">
                  <c:v>2.057297360313953E-27</c:v>
                </c:pt>
                <c:pt idx="135">
                  <c:v>6.6443811114759869E-28</c:v>
                </c:pt>
                <c:pt idx="136">
                  <c:v>2.1243255961831228E-28</c:v>
                </c:pt>
                <c:pt idx="137">
                  <c:v>6.7235201373009044E-29</c:v>
                </c:pt>
                <c:pt idx="138">
                  <c:v>2.1065967936702877E-29</c:v>
                </c:pt>
                <c:pt idx="139">
                  <c:v>6.5339410010600948E-30</c:v>
                </c:pt>
                <c:pt idx="140">
                  <c:v>2.0062178002401662E-30</c:v>
                </c:pt>
                <c:pt idx="141">
                  <c:v>6.0980366619029516E-31</c:v>
                </c:pt>
                <c:pt idx="142">
                  <c:v>1.8348943510592195E-31</c:v>
                </c:pt>
                <c:pt idx="143">
                  <c:v>5.465641939570986E-32</c:v>
                </c:pt>
                <c:pt idx="144">
                  <c:v>1.6116857706651344E-32</c:v>
                </c:pt>
                <c:pt idx="145">
                  <c:v>4.7046643766010758E-33</c:v>
                </c:pt>
                <c:pt idx="146">
                  <c:v>1.3595212595789608E-33</c:v>
                </c:pt>
                <c:pt idx="147">
                  <c:v>3.889129822404078E-34</c:v>
                </c:pt>
                <c:pt idx="148">
                  <c:v>1.1013565998897702E-34</c:v>
                </c:pt>
                <c:pt idx="149">
                  <c:v>3.0875397512658808E-35</c:v>
                </c:pt>
                <c:pt idx="150">
                  <c:v>8.5685283450996982E-36</c:v>
                </c:pt>
                <c:pt idx="151">
                  <c:v>2.3540137684293523E-36</c:v>
                </c:pt>
                <c:pt idx="152">
                  <c:v>6.4020762227574218E-37</c:v>
                </c:pt>
                <c:pt idx="153">
                  <c:v>1.7236209466862426E-37</c:v>
                </c:pt>
                <c:pt idx="154">
                  <c:v>4.5937966532631466E-38</c:v>
                </c:pt>
                <c:pt idx="155">
                  <c:v>1.2120229730475019E-38</c:v>
                </c:pt>
                <c:pt idx="156">
                  <c:v>3.165621721207183E-39</c:v>
                </c:pt>
                <c:pt idx="157">
                  <c:v>8.184954390503981E-40</c:v>
                </c:pt>
                <c:pt idx="158">
                  <c:v>2.0949930720237211E-40</c:v>
                </c:pt>
                <c:pt idx="159">
                  <c:v>5.3083310498887602E-41</c:v>
                </c:pt>
                <c:pt idx="160">
                  <c:v>1.3315040407462985E-41</c:v>
                </c:pt>
                <c:pt idx="161">
                  <c:v>3.3062528134155104E-42</c:v>
                </c:pt>
                <c:pt idx="162">
                  <c:v>8.1271581330589545E-43</c:v>
                </c:pt>
                <c:pt idx="163">
                  <c:v>1.9776545924094118E-43</c:v>
                </c:pt>
                <c:pt idx="164">
                  <c:v>4.7639945402014061E-44</c:v>
                </c:pt>
                <c:pt idx="165">
                  <c:v>1.1360596864360533E-44</c:v>
                </c:pt>
                <c:pt idx="166">
                  <c:v>2.6818848306439759E-45</c:v>
                </c:pt>
                <c:pt idx="167">
                  <c:v>6.2674110587724277E-46</c:v>
                </c:pt>
                <c:pt idx="168">
                  <c:v>1.4499242592018909E-46</c:v>
                </c:pt>
                <c:pt idx="169">
                  <c:v>3.3205615432975642E-47</c:v>
                </c:pt>
                <c:pt idx="170">
                  <c:v>7.5281251858509917E-48</c:v>
                </c:pt>
                <c:pt idx="171">
                  <c:v>1.6895506348619402E-48</c:v>
                </c:pt>
                <c:pt idx="172">
                  <c:v>3.7537441834209235E-49</c:v>
                </c:pt>
                <c:pt idx="173">
                  <c:v>8.255953031442813E-50</c:v>
                </c:pt>
                <c:pt idx="174">
                  <c:v>1.7975411276622914E-50</c:v>
                </c:pt>
                <c:pt idx="175">
                  <c:v>3.8743561344623059E-51</c:v>
                </c:pt>
                <c:pt idx="176">
                  <c:v>8.266645670724059E-52</c:v>
                </c:pt>
                <c:pt idx="177">
                  <c:v>1.7460962840266396E-52</c:v>
                </c:pt>
                <c:pt idx="178">
                  <c:v>3.6510361583132521E-53</c:v>
                </c:pt>
                <c:pt idx="179">
                  <c:v>7.5574130796856867E-54</c:v>
                </c:pt>
                <c:pt idx="180">
                  <c:v>1.5486000491618616E-54</c:v>
                </c:pt>
                <c:pt idx="181">
                  <c:v>3.141336477737003E-55</c:v>
                </c:pt>
                <c:pt idx="182">
                  <c:v>6.3081022901945764E-56</c:v>
                </c:pt>
                <c:pt idx="183">
                  <c:v>1.2539842380803109E-56</c:v>
                </c:pt>
                <c:pt idx="184">
                  <c:v>2.4677122056968554E-57</c:v>
                </c:pt>
                <c:pt idx="185">
                  <c:v>4.8073530933065646E-58</c:v>
                </c:pt>
                <c:pt idx="186">
                  <c:v>9.2710007237001875E-59</c:v>
                </c:pt>
                <c:pt idx="187">
                  <c:v>1.7699308099085371E-59</c:v>
                </c:pt>
                <c:pt idx="188">
                  <c:v>3.3449916999760783E-60</c:v>
                </c:pt>
                <c:pt idx="189">
                  <c:v>6.2581055050421454E-61</c:v>
                </c:pt>
                <c:pt idx="190">
                  <c:v>1.1590436652825931E-61</c:v>
                </c:pt>
                <c:pt idx="191">
                  <c:v>2.1250335725149796E-62</c:v>
                </c:pt>
                <c:pt idx="192">
                  <c:v>3.8569221646887603E-63</c:v>
                </c:pt>
                <c:pt idx="193">
                  <c:v>6.9298691518357661E-64</c:v>
                </c:pt>
                <c:pt idx="194">
                  <c:v>1.2325889647493499E-64</c:v>
                </c:pt>
                <c:pt idx="195">
                  <c:v>2.1703041302928837E-65</c:v>
                </c:pt>
                <c:pt idx="196">
                  <c:v>3.7829621805742161E-66</c:v>
                </c:pt>
                <c:pt idx="197">
                  <c:v>6.5275842082785104E-67</c:v>
                </c:pt>
                <c:pt idx="198">
                  <c:v>1.1150184344381211E-67</c:v>
                </c:pt>
                <c:pt idx="199">
                  <c:v>1.8854746293233814E-68</c:v>
                </c:pt>
                <c:pt idx="200">
                  <c:v>3.1562283707715465E-69</c:v>
                </c:pt>
                <c:pt idx="201">
                  <c:v>5.2302834609017017E-70</c:v>
                </c:pt>
                <c:pt idx="202">
                  <c:v>8.5800756053237368E-71</c:v>
                </c:pt>
                <c:pt idx="203">
                  <c:v>1.393368806994985E-71</c:v>
                </c:pt>
                <c:pt idx="204">
                  <c:v>2.2400109116807471E-72</c:v>
                </c:pt>
                <c:pt idx="205">
                  <c:v>3.5648664522635788E-73</c:v>
                </c:pt>
                <c:pt idx="206">
                  <c:v>5.6162376520786609E-74</c:v>
                </c:pt>
                <c:pt idx="207">
                  <c:v>8.7590452424055172E-75</c:v>
                </c:pt>
                <c:pt idx="208">
                  <c:v>1.3523127519013134E-75</c:v>
                </c:pt>
                <c:pt idx="209">
                  <c:v>2.0668387628349816E-76</c:v>
                </c:pt>
                <c:pt idx="210">
                  <c:v>3.1271242225182777E-77</c:v>
                </c:pt>
                <c:pt idx="211">
                  <c:v>4.6837396899143225E-78</c:v>
                </c:pt>
                <c:pt idx="212">
                  <c:v>6.9446353642742932E-79</c:v>
                </c:pt>
                <c:pt idx="213">
                  <c:v>1.0193309852550015E-79</c:v>
                </c:pt>
                <c:pt idx="214">
                  <c:v>1.4811194504399369E-80</c:v>
                </c:pt>
                <c:pt idx="215">
                  <c:v>2.130463143803135E-81</c:v>
                </c:pt>
                <c:pt idx="216">
                  <c:v>3.0336609875181334E-82</c:v>
                </c:pt>
                <c:pt idx="217">
                  <c:v>4.2763096847458518E-83</c:v>
                </c:pt>
                <c:pt idx="218">
                  <c:v>5.9673337956975501E-84</c:v>
                </c:pt>
                <c:pt idx="219">
                  <c:v>8.2432903228877811E-85</c:v>
                </c:pt>
                <c:pt idx="220">
                  <c:v>1.1272751685232849E-85</c:v>
                </c:pt>
                <c:pt idx="221">
                  <c:v>1.5260486053270903E-86</c:v>
                </c:pt>
                <c:pt idx="222">
                  <c:v>2.0451062362052347E-87</c:v>
                </c:pt>
                <c:pt idx="223">
                  <c:v>2.7131416019092783E-88</c:v>
                </c:pt>
                <c:pt idx="224">
                  <c:v>3.5631830128806047E-89</c:v>
                </c:pt>
                <c:pt idx="225">
                  <c:v>4.632472807866056E-90</c:v>
                </c:pt>
                <c:pt idx="226">
                  <c:v>5.9620650362712217E-91</c:v>
                </c:pt>
                <c:pt idx="227">
                  <c:v>7.5960815835449959E-92</c:v>
                </c:pt>
                <c:pt idx="228">
                  <c:v>9.5805758327523074E-93</c:v>
                </c:pt>
                <c:pt idx="229">
                  <c:v>1.1961969369078989E-93</c:v>
                </c:pt>
                <c:pt idx="230">
                  <c:v>1.4785051448638498E-94</c:v>
                </c:pt>
                <c:pt idx="231">
                  <c:v>1.8090562680569242E-95</c:v>
                </c:pt>
                <c:pt idx="232">
                  <c:v>2.1912422402060649E-96</c:v>
                </c:pt>
                <c:pt idx="233">
                  <c:v>2.62747013326236E-97</c:v>
                </c:pt>
                <c:pt idx="234">
                  <c:v>3.1188484048088839E-98</c:v>
                </c:pt>
                <c:pt idx="235">
                  <c:v>3.6648805539565829E-99</c:v>
                </c:pt>
                <c:pt idx="236">
                  <c:v>4.2631877993015871E-100</c:v>
                </c:pt>
                <c:pt idx="237">
                  <c:v>4.9092843207541841E-101</c:v>
                </c:pt>
                <c:pt idx="238">
                  <c:v>5.5964288467822169E-102</c:v>
                </c:pt>
                <c:pt idx="239">
                  <c:v>6.3155745933163306E-103</c:v>
                </c:pt>
                <c:pt idx="240">
                  <c:v>7.0554356041567338E-104</c:v>
                </c:pt>
                <c:pt idx="241">
                  <c:v>7.8026814460226904E-105</c:v>
                </c:pt>
                <c:pt idx="242">
                  <c:v>8.5422642495287162E-106</c:v>
                </c:pt>
                <c:pt idx="243">
                  <c:v>9.2578727715672786E-107</c:v>
                </c:pt>
                <c:pt idx="244">
                  <c:v>9.9324982039695226E-108</c:v>
                </c:pt>
                <c:pt idx="245">
                  <c:v>1.0549086737276106E-108</c:v>
                </c:pt>
                <c:pt idx="246">
                  <c:v>1.1091245343034902E-109</c:v>
                </c:pt>
                <c:pt idx="247">
                  <c:v>1.1543960765672543E-110</c:v>
                </c:pt>
                <c:pt idx="248">
                  <c:v>1.1894288078549709E-111</c:v>
                </c:pt>
                <c:pt idx="249">
                  <c:v>1.2131964884595643E-112</c:v>
                </c:pt>
                <c:pt idx="250">
                  <c:v>1.2249910544410522E-113</c:v>
                </c:pt>
                <c:pt idx="251">
                  <c:v>1.2244576555010266E-114</c:v>
                </c:pt>
                <c:pt idx="252">
                  <c:v>1.2116123887606381E-115</c:v>
                </c:pt>
                <c:pt idx="253">
                  <c:v>1.1868414918335904E-116</c:v>
                </c:pt>
                <c:pt idx="254">
                  <c:v>1.1508820516340705E-117</c:v>
                </c:pt>
                <c:pt idx="255">
                  <c:v>1.1047855733530623E-118</c:v>
                </c:pt>
                <c:pt idx="256">
                  <c:v>1.0498669219596802E-119</c:v>
                </c:pt>
                <c:pt idx="257">
                  <c:v>9.8764209450835109E-121</c:v>
                </c:pt>
                <c:pt idx="258">
                  <c:v>9.1975892739150958E-122</c:v>
                </c:pt>
                <c:pt idx="259">
                  <c:v>8.4792514214570851E-123</c:v>
                </c:pt>
                <c:pt idx="260">
                  <c:v>7.7383807570100483E-124</c:v>
                </c:pt>
                <c:pt idx="261">
                  <c:v>6.9912005042003326E-125</c:v>
                </c:pt>
                <c:pt idx="262">
                  <c:v>6.2526267090324556E-126</c:v>
                </c:pt>
                <c:pt idx="263">
                  <c:v>5.5358246623645644E-127</c:v>
                </c:pt>
                <c:pt idx="264">
                  <c:v>4.8518931907903128E-128</c:v>
                </c:pt>
                <c:pt idx="265">
                  <c:v>4.2096813013768522E-129</c:v>
                </c:pt>
                <c:pt idx="266">
                  <c:v>3.6157324409197825E-130</c:v>
                </c:pt>
                <c:pt idx="267">
                  <c:v>3.0743438123266411E-131</c:v>
                </c:pt>
                <c:pt idx="268">
                  <c:v>2.5877222710460329E-132</c:v>
                </c:pt>
                <c:pt idx="269">
                  <c:v>2.1562145575560722E-133</c:v>
                </c:pt>
                <c:pt idx="270">
                  <c:v>1.7785880294075027E-134</c:v>
                </c:pt>
                <c:pt idx="271">
                  <c:v>1.4523384562640534E-135</c:v>
                </c:pt>
                <c:pt idx="272">
                  <c:v>1.1740034960088906E-136</c:v>
                </c:pt>
                <c:pt idx="273">
                  <c:v>9.3946374352516334E-138</c:v>
                </c:pt>
                <c:pt idx="274">
                  <c:v>7.4421726174588125E-139</c:v>
                </c:pt>
                <c:pt idx="275">
                  <c:v>5.8361780768410348E-140</c:v>
                </c:pt>
                <c:pt idx="276">
                  <c:v>4.5307115305140168E-141</c:v>
                </c:pt>
                <c:pt idx="277">
                  <c:v>3.4818765512734687E-142</c:v>
                </c:pt>
                <c:pt idx="278">
                  <c:v>2.6489234493366958E-143</c:v>
                </c:pt>
                <c:pt idx="279">
                  <c:v>1.9949615395309142E-144</c:v>
                </c:pt>
                <c:pt idx="280">
                  <c:v>1.4873347602529443E-145</c:v>
                </c:pt>
                <c:pt idx="281">
                  <c:v>1.0977210927345791E-146</c:v>
                </c:pt>
                <c:pt idx="282">
                  <c:v>8.0201847301913779E-148</c:v>
                </c:pt>
                <c:pt idx="283">
                  <c:v>5.8007722537722352E-149</c:v>
                </c:pt>
                <c:pt idx="284">
                  <c:v>4.1533290428809646E-150</c:v>
                </c:pt>
                <c:pt idx="285">
                  <c:v>2.9438518080456146E-151</c:v>
                </c:pt>
                <c:pt idx="286">
                  <c:v>2.0655924145678546E-152</c:v>
                </c:pt>
                <c:pt idx="287">
                  <c:v>1.4347703624141865E-153</c:v>
                </c:pt>
                <c:pt idx="288">
                  <c:v>9.8657304346621923E-155</c:v>
                </c:pt>
                <c:pt idx="289">
                  <c:v>6.7156054622739653E-156</c:v>
                </c:pt>
                <c:pt idx="290">
                  <c:v>4.5253292571581256E-157</c:v>
                </c:pt>
                <c:pt idx="291">
                  <c:v>3.0187300227712934E-158</c:v>
                </c:pt>
                <c:pt idx="292">
                  <c:v>1.9934596324379452E-159</c:v>
                </c:pt>
                <c:pt idx="293">
                  <c:v>1.3031658726283929E-160</c:v>
                </c:pt>
                <c:pt idx="294">
                  <c:v>8.4333676088554434E-162</c:v>
                </c:pt>
                <c:pt idx="295">
                  <c:v>5.4027073784067843E-163</c:v>
                </c:pt>
                <c:pt idx="296">
                  <c:v>3.4263438250748644E-164</c:v>
                </c:pt>
                <c:pt idx="297">
                  <c:v>2.1510946364192175E-165</c:v>
                </c:pt>
                <c:pt idx="298">
                  <c:v>1.3368946167541959E-166</c:v>
                </c:pt>
                <c:pt idx="299">
                  <c:v>8.2251516244820654E-168</c:v>
                </c:pt>
                <c:pt idx="300">
                  <c:v>5.0095617188628117E-169</c:v>
                </c:pt>
                <c:pt idx="301">
                  <c:v>3.0204011815536916E-170</c:v>
                </c:pt>
                <c:pt idx="302">
                  <c:v>1.8027629017032294E-171</c:v>
                </c:pt>
                <c:pt idx="303">
                  <c:v>1.065176739521492E-172</c:v>
                </c:pt>
                <c:pt idx="304">
                  <c:v>6.230369686170104E-174</c:v>
                </c:pt>
                <c:pt idx="305">
                  <c:v>3.6075722732631509E-175</c:v>
                </c:pt>
                <c:pt idx="306">
                  <c:v>2.0678800576283389E-176</c:v>
                </c:pt>
                <c:pt idx="307">
                  <c:v>1.1733963431709381E-177</c:v>
                </c:pt>
                <c:pt idx="308">
                  <c:v>6.5913321453442447E-179</c:v>
                </c:pt>
                <c:pt idx="309">
                  <c:v>3.6653102734938593E-180</c:v>
                </c:pt>
                <c:pt idx="310">
                  <c:v>2.0177036164221514E-181</c:v>
                </c:pt>
                <c:pt idx="311">
                  <c:v>1.0995451862832926E-182</c:v>
                </c:pt>
                <c:pt idx="312">
                  <c:v>5.9316821559727707E-184</c:v>
                </c:pt>
                <c:pt idx="313">
                  <c:v>3.1677561498148453E-185</c:v>
                </c:pt>
                <c:pt idx="314">
                  <c:v>1.6746910320263414E-186</c:v>
                </c:pt>
                <c:pt idx="315">
                  <c:v>8.7644915683307739E-188</c:v>
                </c:pt>
                <c:pt idx="316">
                  <c:v>4.5407526113610637E-189</c:v>
                </c:pt>
                <c:pt idx="317">
                  <c:v>2.3288313355573421E-190</c:v>
                </c:pt>
                <c:pt idx="318">
                  <c:v>1.1823806446190764E-191</c:v>
                </c:pt>
                <c:pt idx="319">
                  <c:v>5.94272547417409E-193</c:v>
                </c:pt>
                <c:pt idx="320">
                  <c:v>2.956807872750683E-194</c:v>
                </c:pt>
                <c:pt idx="321">
                  <c:v>1.4563629581105616E-195</c:v>
                </c:pt>
                <c:pt idx="322">
                  <c:v>7.1010933800955811E-197</c:v>
                </c:pt>
                <c:pt idx="323">
                  <c:v>3.427598183510234E-198</c:v>
                </c:pt>
                <c:pt idx="324">
                  <c:v>1.6378105534627766E-199</c:v>
                </c:pt>
                <c:pt idx="325">
                  <c:v>7.7472310323029269E-201</c:v>
                </c:pt>
                <c:pt idx="326">
                  <c:v>3.6277590187287288E-202</c:v>
                </c:pt>
                <c:pt idx="327">
                  <c:v>1.6816648026089634E-203</c:v>
                </c:pt>
                <c:pt idx="328">
                  <c:v>7.7170181090973445E-205</c:v>
                </c:pt>
                <c:pt idx="329">
                  <c:v>3.5056510556169908E-206</c:v>
                </c:pt>
                <c:pt idx="330">
                  <c:v>1.5765107338113557E-207</c:v>
                </c:pt>
                <c:pt idx="331">
                  <c:v>7.0183376755982107E-209</c:v>
                </c:pt>
                <c:pt idx="332">
                  <c:v>3.0930053298114654E-210</c:v>
                </c:pt>
                <c:pt idx="333">
                  <c:v>1.3493858693058862E-211</c:v>
                </c:pt>
                <c:pt idx="334">
                  <c:v>5.827747522604911E-213</c:v>
                </c:pt>
                <c:pt idx="335">
                  <c:v>2.4915773822996283E-214</c:v>
                </c:pt>
                <c:pt idx="336">
                  <c:v>1.0545255633562256E-215</c:v>
                </c:pt>
                <c:pt idx="337">
                  <c:v>4.4182361573360505E-217</c:v>
                </c:pt>
                <c:pt idx="338">
                  <c:v>1.8325246265076939E-218</c:v>
                </c:pt>
                <c:pt idx="339">
                  <c:v>7.5241907103040369E-220</c:v>
                </c:pt>
                <c:pt idx="340">
                  <c:v>3.0582913108639455E-221</c:v>
                </c:pt>
                <c:pt idx="341">
                  <c:v>1.2305718830152697E-222</c:v>
                </c:pt>
                <c:pt idx="342">
                  <c:v>4.9016715376259431E-224</c:v>
                </c:pt>
                <c:pt idx="343">
                  <c:v>1.9328159663825151E-225</c:v>
                </c:pt>
                <c:pt idx="344">
                  <c:v>7.5447679031633061E-227</c:v>
                </c:pt>
                <c:pt idx="345">
                  <c:v>2.9154818691150347E-228</c:v>
                </c:pt>
                <c:pt idx="346">
                  <c:v>1.1152799290703957E-229</c:v>
                </c:pt>
                <c:pt idx="347">
                  <c:v>4.2234417535436475E-231</c:v>
                </c:pt>
                <c:pt idx="348">
                  <c:v>1.5832817746025331E-232</c:v>
                </c:pt>
                <c:pt idx="349">
                  <c:v>5.8756916573954642E-234</c:v>
                </c:pt>
                <c:pt idx="350">
                  <c:v>2.1585835459021322E-235</c:v>
                </c:pt>
                <c:pt idx="351">
                  <c:v>7.8503281053070116E-237</c:v>
                </c:pt>
                <c:pt idx="352">
                  <c:v>2.8262842327130356E-238</c:v>
                </c:pt>
                <c:pt idx="353">
                  <c:v>1.0072863384439704E-239</c:v>
                </c:pt>
                <c:pt idx="354">
                  <c:v>3.553850323446079E-241</c:v>
                </c:pt>
                <c:pt idx="355">
                  <c:v>1.2412361133194869E-242</c:v>
                </c:pt>
                <c:pt idx="356">
                  <c:v>4.2915952270330902E-244</c:v>
                </c:pt>
                <c:pt idx="357">
                  <c:v>1.4688998463838117E-245</c:v>
                </c:pt>
                <c:pt idx="358">
                  <c:v>4.9770808781602971E-247</c:v>
                </c:pt>
                <c:pt idx="359">
                  <c:v>1.6694226125913253E-248</c:v>
                </c:pt>
                <c:pt idx="360">
                  <c:v>5.5432819185585923E-250</c:v>
                </c:pt>
                <c:pt idx="361">
                  <c:v>1.8221189377379498E-251</c:v>
                </c:pt>
                <c:pt idx="362">
                  <c:v>5.9291926054633688E-253</c:v>
                </c:pt>
                <c:pt idx="363">
                  <c:v>1.9099564979569737E-254</c:v>
                </c:pt>
                <c:pt idx="364">
                  <c:v>6.0906055507181625E-256</c:v>
                </c:pt>
                <c:pt idx="365">
                  <c:v>1.9226779831622711E-257</c:v>
                </c:pt>
                <c:pt idx="366">
                  <c:v>6.0084397872539637E-259</c:v>
                </c:pt>
                <c:pt idx="367">
                  <c:v>1.8587712835461246E-260</c:v>
                </c:pt>
                <c:pt idx="368">
                  <c:v>5.6924506778556933E-262</c:v>
                </c:pt>
                <c:pt idx="369">
                  <c:v>1.7257650890451685E-263</c:v>
                </c:pt>
                <c:pt idx="370">
                  <c:v>5.1793249940407942E-265</c:v>
                </c:pt>
                <c:pt idx="371">
                  <c:v>1.5387700610469519E-266</c:v>
                </c:pt>
                <c:pt idx="372">
                  <c:v>4.5256751107842926E-268</c:v>
                </c:pt>
                <c:pt idx="373">
                  <c:v>1.3176561707586152E-269</c:v>
                </c:pt>
                <c:pt idx="374">
                  <c:v>3.7977809156566783E-271</c:v>
                </c:pt>
                <c:pt idx="375">
                  <c:v>1.0835945105707943E-272</c:v>
                </c:pt>
                <c:pt idx="376">
                  <c:v>3.0606436353450823E-274</c:v>
                </c:pt>
                <c:pt idx="377">
                  <c:v>8.5579119924924349E-276</c:v>
                </c:pt>
                <c:pt idx="378">
                  <c:v>2.3688193787098091E-277</c:v>
                </c:pt>
                <c:pt idx="379">
                  <c:v>6.4909036030110756E-279</c:v>
                </c:pt>
                <c:pt idx="380">
                  <c:v>1.760708466368436E-280</c:v>
                </c:pt>
                <c:pt idx="381">
                  <c:v>4.7280147917624499E-282</c:v>
                </c:pt>
                <c:pt idx="382">
                  <c:v>1.2568379380475295E-283</c:v>
                </c:pt>
                <c:pt idx="383">
                  <c:v>3.3074159574827431E-285</c:v>
                </c:pt>
                <c:pt idx="384">
                  <c:v>8.616034598669952E-287</c:v>
                </c:pt>
                <c:pt idx="385">
                  <c:v>2.2219543493321584E-288</c:v>
                </c:pt>
                <c:pt idx="386">
                  <c:v>5.6724661202195964E-290</c:v>
                </c:pt>
                <c:pt idx="387">
                  <c:v>1.4335662575360343E-291</c:v>
                </c:pt>
                <c:pt idx="388">
                  <c:v>3.5865154892738555E-293</c:v>
                </c:pt>
                <c:pt idx="389">
                  <c:v>8.8825310078888697E-295</c:v>
                </c:pt>
                <c:pt idx="390">
                  <c:v>2.1777590872172496E-296</c:v>
                </c:pt>
                <c:pt idx="391">
                  <c:v>5.2855723013109723E-298</c:v>
                </c:pt>
                <c:pt idx="392">
                  <c:v>1.2699402325356008E-299</c:v>
                </c:pt>
                <c:pt idx="393">
                  <c:v>3.0205332952022413E-301</c:v>
                </c:pt>
                <c:pt idx="394">
                  <c:v>7.1120213775814077E-303</c:v>
                </c:pt>
                <c:pt idx="395">
                  <c:v>1.657721462794542E-304</c:v>
                </c:pt>
                <c:pt idx="396">
                  <c:v>3.8250678953286362E-306</c:v>
                </c:pt>
                <c:pt idx="397">
                  <c:v>8.7372712203481548E-308</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numCache>
            </c:numRef>
          </c:yVal>
          <c:smooth val="1"/>
        </c:ser>
        <c:ser>
          <c:idx val="5"/>
          <c:order val="3"/>
          <c:tx>
            <c:strRef>
              <c:f>Data!$G$1</c:f>
              <c:strCache>
                <c:ptCount val="1"/>
                <c:pt idx="0">
                  <c:v>Peak 2</c:v>
                </c:pt>
              </c:strCache>
            </c:strRef>
          </c:tx>
          <c:spPr>
            <a:ln w="12700">
              <a:solidFill>
                <a:srgbClr val="FF0000"/>
              </a:solidFill>
              <a:prstDash val="solid"/>
            </a:ln>
          </c:spPr>
          <c:marker>
            <c:symbol val="none"/>
          </c:marker>
          <c:xVal>
            <c:numRef>
              <c:f>Data!$A$2:$A$1001</c:f>
              <c:numCache>
                <c:formatCode>General</c:formatCode>
                <c:ptCount val="1000"/>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c:v>
                </c:pt>
                <c:pt idx="193">
                  <c:v>386</c:v>
                </c:pt>
                <c:pt idx="194">
                  <c:v>388</c:v>
                </c:pt>
                <c:pt idx="195">
                  <c:v>390</c:v>
                </c:pt>
                <c:pt idx="196">
                  <c:v>392</c:v>
                </c:pt>
                <c:pt idx="197">
                  <c:v>394</c:v>
                </c:pt>
                <c:pt idx="198">
                  <c:v>396</c:v>
                </c:pt>
                <c:pt idx="199">
                  <c:v>398</c:v>
                </c:pt>
                <c:pt idx="200">
                  <c:v>400</c:v>
                </c:pt>
                <c:pt idx="201">
                  <c:v>402</c:v>
                </c:pt>
                <c:pt idx="202">
                  <c:v>404</c:v>
                </c:pt>
                <c:pt idx="203">
                  <c:v>406</c:v>
                </c:pt>
                <c:pt idx="204">
                  <c:v>408</c:v>
                </c:pt>
                <c:pt idx="205">
                  <c:v>410</c:v>
                </c:pt>
                <c:pt idx="206">
                  <c:v>412</c:v>
                </c:pt>
                <c:pt idx="207">
                  <c:v>414</c:v>
                </c:pt>
                <c:pt idx="208">
                  <c:v>416</c:v>
                </c:pt>
                <c:pt idx="209">
                  <c:v>418</c:v>
                </c:pt>
                <c:pt idx="210">
                  <c:v>420</c:v>
                </c:pt>
                <c:pt idx="211">
                  <c:v>422</c:v>
                </c:pt>
                <c:pt idx="212">
                  <c:v>424</c:v>
                </c:pt>
                <c:pt idx="213">
                  <c:v>426</c:v>
                </c:pt>
                <c:pt idx="214">
                  <c:v>428</c:v>
                </c:pt>
                <c:pt idx="215">
                  <c:v>430</c:v>
                </c:pt>
                <c:pt idx="216">
                  <c:v>432</c:v>
                </c:pt>
                <c:pt idx="217">
                  <c:v>434</c:v>
                </c:pt>
                <c:pt idx="218">
                  <c:v>436</c:v>
                </c:pt>
                <c:pt idx="219">
                  <c:v>438</c:v>
                </c:pt>
                <c:pt idx="220">
                  <c:v>440</c:v>
                </c:pt>
                <c:pt idx="221">
                  <c:v>442</c:v>
                </c:pt>
                <c:pt idx="222">
                  <c:v>444</c:v>
                </c:pt>
                <c:pt idx="223">
                  <c:v>446</c:v>
                </c:pt>
                <c:pt idx="224">
                  <c:v>448</c:v>
                </c:pt>
                <c:pt idx="225">
                  <c:v>450</c:v>
                </c:pt>
                <c:pt idx="226">
                  <c:v>452</c:v>
                </c:pt>
                <c:pt idx="227">
                  <c:v>454</c:v>
                </c:pt>
                <c:pt idx="228">
                  <c:v>456</c:v>
                </c:pt>
                <c:pt idx="229">
                  <c:v>458</c:v>
                </c:pt>
                <c:pt idx="230">
                  <c:v>460</c:v>
                </c:pt>
                <c:pt idx="231">
                  <c:v>462</c:v>
                </c:pt>
                <c:pt idx="232">
                  <c:v>464</c:v>
                </c:pt>
                <c:pt idx="233">
                  <c:v>466</c:v>
                </c:pt>
                <c:pt idx="234">
                  <c:v>468</c:v>
                </c:pt>
                <c:pt idx="235">
                  <c:v>470</c:v>
                </c:pt>
                <c:pt idx="236">
                  <c:v>472</c:v>
                </c:pt>
                <c:pt idx="237">
                  <c:v>474</c:v>
                </c:pt>
                <c:pt idx="238">
                  <c:v>476</c:v>
                </c:pt>
                <c:pt idx="239">
                  <c:v>478</c:v>
                </c:pt>
                <c:pt idx="240">
                  <c:v>480</c:v>
                </c:pt>
                <c:pt idx="241">
                  <c:v>482</c:v>
                </c:pt>
                <c:pt idx="242">
                  <c:v>484</c:v>
                </c:pt>
                <c:pt idx="243">
                  <c:v>486</c:v>
                </c:pt>
                <c:pt idx="244">
                  <c:v>488</c:v>
                </c:pt>
                <c:pt idx="245">
                  <c:v>490</c:v>
                </c:pt>
                <c:pt idx="246">
                  <c:v>492</c:v>
                </c:pt>
                <c:pt idx="247">
                  <c:v>494</c:v>
                </c:pt>
                <c:pt idx="248">
                  <c:v>496</c:v>
                </c:pt>
                <c:pt idx="249">
                  <c:v>498</c:v>
                </c:pt>
                <c:pt idx="250">
                  <c:v>500</c:v>
                </c:pt>
                <c:pt idx="251">
                  <c:v>502</c:v>
                </c:pt>
                <c:pt idx="252">
                  <c:v>504</c:v>
                </c:pt>
                <c:pt idx="253">
                  <c:v>506</c:v>
                </c:pt>
                <c:pt idx="254">
                  <c:v>508</c:v>
                </c:pt>
                <c:pt idx="255">
                  <c:v>510</c:v>
                </c:pt>
                <c:pt idx="256">
                  <c:v>512</c:v>
                </c:pt>
                <c:pt idx="257">
                  <c:v>514</c:v>
                </c:pt>
                <c:pt idx="258">
                  <c:v>516</c:v>
                </c:pt>
                <c:pt idx="259">
                  <c:v>518</c:v>
                </c:pt>
                <c:pt idx="260">
                  <c:v>520</c:v>
                </c:pt>
                <c:pt idx="261">
                  <c:v>522</c:v>
                </c:pt>
                <c:pt idx="262">
                  <c:v>524</c:v>
                </c:pt>
                <c:pt idx="263">
                  <c:v>526</c:v>
                </c:pt>
                <c:pt idx="264">
                  <c:v>528</c:v>
                </c:pt>
                <c:pt idx="265">
                  <c:v>530</c:v>
                </c:pt>
                <c:pt idx="266">
                  <c:v>532</c:v>
                </c:pt>
                <c:pt idx="267">
                  <c:v>534</c:v>
                </c:pt>
                <c:pt idx="268">
                  <c:v>536</c:v>
                </c:pt>
                <c:pt idx="269">
                  <c:v>538</c:v>
                </c:pt>
                <c:pt idx="270">
                  <c:v>540</c:v>
                </c:pt>
                <c:pt idx="271">
                  <c:v>542</c:v>
                </c:pt>
                <c:pt idx="272">
                  <c:v>544</c:v>
                </c:pt>
                <c:pt idx="273">
                  <c:v>546</c:v>
                </c:pt>
                <c:pt idx="274">
                  <c:v>548</c:v>
                </c:pt>
                <c:pt idx="275">
                  <c:v>550</c:v>
                </c:pt>
                <c:pt idx="276">
                  <c:v>552</c:v>
                </c:pt>
                <c:pt idx="277">
                  <c:v>554</c:v>
                </c:pt>
                <c:pt idx="278">
                  <c:v>556</c:v>
                </c:pt>
                <c:pt idx="279">
                  <c:v>558</c:v>
                </c:pt>
                <c:pt idx="280">
                  <c:v>560</c:v>
                </c:pt>
                <c:pt idx="281">
                  <c:v>562</c:v>
                </c:pt>
                <c:pt idx="282">
                  <c:v>564</c:v>
                </c:pt>
                <c:pt idx="283">
                  <c:v>566</c:v>
                </c:pt>
                <c:pt idx="284">
                  <c:v>568</c:v>
                </c:pt>
                <c:pt idx="285">
                  <c:v>570</c:v>
                </c:pt>
                <c:pt idx="286">
                  <c:v>572</c:v>
                </c:pt>
                <c:pt idx="287">
                  <c:v>574</c:v>
                </c:pt>
                <c:pt idx="288">
                  <c:v>576</c:v>
                </c:pt>
                <c:pt idx="289">
                  <c:v>578</c:v>
                </c:pt>
                <c:pt idx="290">
                  <c:v>580</c:v>
                </c:pt>
                <c:pt idx="291">
                  <c:v>582</c:v>
                </c:pt>
                <c:pt idx="292">
                  <c:v>584</c:v>
                </c:pt>
                <c:pt idx="293">
                  <c:v>586</c:v>
                </c:pt>
                <c:pt idx="294">
                  <c:v>588</c:v>
                </c:pt>
                <c:pt idx="295">
                  <c:v>590</c:v>
                </c:pt>
                <c:pt idx="296">
                  <c:v>592</c:v>
                </c:pt>
                <c:pt idx="297">
                  <c:v>594</c:v>
                </c:pt>
                <c:pt idx="298">
                  <c:v>596</c:v>
                </c:pt>
                <c:pt idx="299">
                  <c:v>598</c:v>
                </c:pt>
                <c:pt idx="300">
                  <c:v>600</c:v>
                </c:pt>
                <c:pt idx="301">
                  <c:v>602</c:v>
                </c:pt>
                <c:pt idx="302">
                  <c:v>604</c:v>
                </c:pt>
                <c:pt idx="303">
                  <c:v>606</c:v>
                </c:pt>
                <c:pt idx="304">
                  <c:v>608</c:v>
                </c:pt>
                <c:pt idx="305">
                  <c:v>610</c:v>
                </c:pt>
                <c:pt idx="306">
                  <c:v>612</c:v>
                </c:pt>
                <c:pt idx="307">
                  <c:v>614</c:v>
                </c:pt>
                <c:pt idx="308">
                  <c:v>616</c:v>
                </c:pt>
                <c:pt idx="309">
                  <c:v>618</c:v>
                </c:pt>
                <c:pt idx="310">
                  <c:v>620</c:v>
                </c:pt>
                <c:pt idx="311">
                  <c:v>622</c:v>
                </c:pt>
                <c:pt idx="312">
                  <c:v>624</c:v>
                </c:pt>
                <c:pt idx="313">
                  <c:v>626</c:v>
                </c:pt>
                <c:pt idx="314">
                  <c:v>628</c:v>
                </c:pt>
                <c:pt idx="315">
                  <c:v>630</c:v>
                </c:pt>
                <c:pt idx="316">
                  <c:v>632</c:v>
                </c:pt>
                <c:pt idx="317">
                  <c:v>634</c:v>
                </c:pt>
                <c:pt idx="318">
                  <c:v>636</c:v>
                </c:pt>
                <c:pt idx="319">
                  <c:v>638</c:v>
                </c:pt>
                <c:pt idx="320">
                  <c:v>640</c:v>
                </c:pt>
                <c:pt idx="321">
                  <c:v>642</c:v>
                </c:pt>
                <c:pt idx="322">
                  <c:v>644</c:v>
                </c:pt>
                <c:pt idx="323">
                  <c:v>646</c:v>
                </c:pt>
                <c:pt idx="324">
                  <c:v>648</c:v>
                </c:pt>
                <c:pt idx="325">
                  <c:v>650</c:v>
                </c:pt>
                <c:pt idx="326">
                  <c:v>652</c:v>
                </c:pt>
                <c:pt idx="327">
                  <c:v>654</c:v>
                </c:pt>
                <c:pt idx="328">
                  <c:v>656</c:v>
                </c:pt>
                <c:pt idx="329">
                  <c:v>658</c:v>
                </c:pt>
                <c:pt idx="330">
                  <c:v>660</c:v>
                </c:pt>
                <c:pt idx="331">
                  <c:v>662</c:v>
                </c:pt>
                <c:pt idx="332">
                  <c:v>664</c:v>
                </c:pt>
                <c:pt idx="333">
                  <c:v>666</c:v>
                </c:pt>
                <c:pt idx="334">
                  <c:v>668</c:v>
                </c:pt>
                <c:pt idx="335">
                  <c:v>670</c:v>
                </c:pt>
                <c:pt idx="336">
                  <c:v>672</c:v>
                </c:pt>
                <c:pt idx="337">
                  <c:v>674</c:v>
                </c:pt>
                <c:pt idx="338">
                  <c:v>676</c:v>
                </c:pt>
                <c:pt idx="339">
                  <c:v>678</c:v>
                </c:pt>
                <c:pt idx="340">
                  <c:v>680</c:v>
                </c:pt>
                <c:pt idx="341">
                  <c:v>682</c:v>
                </c:pt>
                <c:pt idx="342">
                  <c:v>684</c:v>
                </c:pt>
                <c:pt idx="343">
                  <c:v>686</c:v>
                </c:pt>
                <c:pt idx="344">
                  <c:v>688</c:v>
                </c:pt>
                <c:pt idx="345">
                  <c:v>690</c:v>
                </c:pt>
                <c:pt idx="346">
                  <c:v>692</c:v>
                </c:pt>
                <c:pt idx="347">
                  <c:v>694</c:v>
                </c:pt>
                <c:pt idx="348">
                  <c:v>696</c:v>
                </c:pt>
                <c:pt idx="349">
                  <c:v>698</c:v>
                </c:pt>
                <c:pt idx="350">
                  <c:v>700</c:v>
                </c:pt>
                <c:pt idx="351">
                  <c:v>702</c:v>
                </c:pt>
                <c:pt idx="352">
                  <c:v>704</c:v>
                </c:pt>
                <c:pt idx="353">
                  <c:v>706</c:v>
                </c:pt>
                <c:pt idx="354">
                  <c:v>708</c:v>
                </c:pt>
                <c:pt idx="355">
                  <c:v>710</c:v>
                </c:pt>
                <c:pt idx="356">
                  <c:v>712</c:v>
                </c:pt>
                <c:pt idx="357">
                  <c:v>714</c:v>
                </c:pt>
                <c:pt idx="358">
                  <c:v>716</c:v>
                </c:pt>
                <c:pt idx="359">
                  <c:v>718</c:v>
                </c:pt>
                <c:pt idx="360">
                  <c:v>720</c:v>
                </c:pt>
                <c:pt idx="361">
                  <c:v>722</c:v>
                </c:pt>
                <c:pt idx="362">
                  <c:v>724</c:v>
                </c:pt>
                <c:pt idx="363">
                  <c:v>726</c:v>
                </c:pt>
                <c:pt idx="364">
                  <c:v>728</c:v>
                </c:pt>
                <c:pt idx="365">
                  <c:v>730</c:v>
                </c:pt>
                <c:pt idx="366">
                  <c:v>732</c:v>
                </c:pt>
                <c:pt idx="367">
                  <c:v>734</c:v>
                </c:pt>
                <c:pt idx="368">
                  <c:v>736</c:v>
                </c:pt>
                <c:pt idx="369">
                  <c:v>738</c:v>
                </c:pt>
                <c:pt idx="370">
                  <c:v>740</c:v>
                </c:pt>
                <c:pt idx="371">
                  <c:v>742</c:v>
                </c:pt>
                <c:pt idx="372">
                  <c:v>744</c:v>
                </c:pt>
                <c:pt idx="373">
                  <c:v>746</c:v>
                </c:pt>
                <c:pt idx="374">
                  <c:v>748</c:v>
                </c:pt>
                <c:pt idx="375">
                  <c:v>750</c:v>
                </c:pt>
                <c:pt idx="376">
                  <c:v>752</c:v>
                </c:pt>
                <c:pt idx="377">
                  <c:v>754</c:v>
                </c:pt>
                <c:pt idx="378">
                  <c:v>756</c:v>
                </c:pt>
                <c:pt idx="379">
                  <c:v>758</c:v>
                </c:pt>
                <c:pt idx="380">
                  <c:v>760</c:v>
                </c:pt>
                <c:pt idx="381">
                  <c:v>762</c:v>
                </c:pt>
                <c:pt idx="382">
                  <c:v>764</c:v>
                </c:pt>
                <c:pt idx="383">
                  <c:v>766</c:v>
                </c:pt>
                <c:pt idx="384">
                  <c:v>768</c:v>
                </c:pt>
                <c:pt idx="385">
                  <c:v>770</c:v>
                </c:pt>
                <c:pt idx="386">
                  <c:v>772</c:v>
                </c:pt>
                <c:pt idx="387">
                  <c:v>774</c:v>
                </c:pt>
                <c:pt idx="388">
                  <c:v>776</c:v>
                </c:pt>
                <c:pt idx="389">
                  <c:v>778</c:v>
                </c:pt>
                <c:pt idx="390">
                  <c:v>780</c:v>
                </c:pt>
                <c:pt idx="391">
                  <c:v>782</c:v>
                </c:pt>
                <c:pt idx="392">
                  <c:v>784</c:v>
                </c:pt>
                <c:pt idx="393">
                  <c:v>786</c:v>
                </c:pt>
                <c:pt idx="394">
                  <c:v>788</c:v>
                </c:pt>
                <c:pt idx="395">
                  <c:v>790</c:v>
                </c:pt>
                <c:pt idx="396">
                  <c:v>792</c:v>
                </c:pt>
                <c:pt idx="397">
                  <c:v>794</c:v>
                </c:pt>
                <c:pt idx="398">
                  <c:v>796</c:v>
                </c:pt>
                <c:pt idx="399">
                  <c:v>798</c:v>
                </c:pt>
                <c:pt idx="400">
                  <c:v>800</c:v>
                </c:pt>
                <c:pt idx="401">
                  <c:v>802</c:v>
                </c:pt>
                <c:pt idx="402">
                  <c:v>804</c:v>
                </c:pt>
                <c:pt idx="403">
                  <c:v>806</c:v>
                </c:pt>
                <c:pt idx="404">
                  <c:v>808</c:v>
                </c:pt>
                <c:pt idx="405">
                  <c:v>810</c:v>
                </c:pt>
                <c:pt idx="406">
                  <c:v>812</c:v>
                </c:pt>
                <c:pt idx="407">
                  <c:v>814</c:v>
                </c:pt>
                <c:pt idx="408">
                  <c:v>816</c:v>
                </c:pt>
                <c:pt idx="409">
                  <c:v>818</c:v>
                </c:pt>
                <c:pt idx="410">
                  <c:v>820</c:v>
                </c:pt>
                <c:pt idx="411">
                  <c:v>822</c:v>
                </c:pt>
                <c:pt idx="412">
                  <c:v>824</c:v>
                </c:pt>
                <c:pt idx="413">
                  <c:v>826</c:v>
                </c:pt>
                <c:pt idx="414">
                  <c:v>828</c:v>
                </c:pt>
                <c:pt idx="415">
                  <c:v>830</c:v>
                </c:pt>
                <c:pt idx="416">
                  <c:v>832</c:v>
                </c:pt>
                <c:pt idx="417">
                  <c:v>834</c:v>
                </c:pt>
                <c:pt idx="418">
                  <c:v>836</c:v>
                </c:pt>
                <c:pt idx="419">
                  <c:v>838</c:v>
                </c:pt>
                <c:pt idx="420">
                  <c:v>840</c:v>
                </c:pt>
                <c:pt idx="421">
                  <c:v>842</c:v>
                </c:pt>
                <c:pt idx="422">
                  <c:v>844</c:v>
                </c:pt>
                <c:pt idx="423">
                  <c:v>846</c:v>
                </c:pt>
                <c:pt idx="424">
                  <c:v>848</c:v>
                </c:pt>
                <c:pt idx="425">
                  <c:v>850</c:v>
                </c:pt>
                <c:pt idx="426">
                  <c:v>852</c:v>
                </c:pt>
                <c:pt idx="427">
                  <c:v>854</c:v>
                </c:pt>
                <c:pt idx="428">
                  <c:v>856</c:v>
                </c:pt>
                <c:pt idx="429">
                  <c:v>858</c:v>
                </c:pt>
                <c:pt idx="430">
                  <c:v>860</c:v>
                </c:pt>
                <c:pt idx="431">
                  <c:v>862</c:v>
                </c:pt>
                <c:pt idx="432">
                  <c:v>864</c:v>
                </c:pt>
                <c:pt idx="433">
                  <c:v>866</c:v>
                </c:pt>
                <c:pt idx="434">
                  <c:v>868</c:v>
                </c:pt>
                <c:pt idx="435">
                  <c:v>870</c:v>
                </c:pt>
                <c:pt idx="436">
                  <c:v>872</c:v>
                </c:pt>
                <c:pt idx="437">
                  <c:v>874</c:v>
                </c:pt>
                <c:pt idx="438">
                  <c:v>876</c:v>
                </c:pt>
                <c:pt idx="439">
                  <c:v>878</c:v>
                </c:pt>
                <c:pt idx="440">
                  <c:v>880</c:v>
                </c:pt>
                <c:pt idx="441">
                  <c:v>882</c:v>
                </c:pt>
                <c:pt idx="442">
                  <c:v>884</c:v>
                </c:pt>
                <c:pt idx="443">
                  <c:v>886</c:v>
                </c:pt>
                <c:pt idx="444">
                  <c:v>888</c:v>
                </c:pt>
                <c:pt idx="445">
                  <c:v>890</c:v>
                </c:pt>
                <c:pt idx="446">
                  <c:v>892</c:v>
                </c:pt>
                <c:pt idx="447">
                  <c:v>894</c:v>
                </c:pt>
                <c:pt idx="448">
                  <c:v>896</c:v>
                </c:pt>
                <c:pt idx="449">
                  <c:v>898</c:v>
                </c:pt>
                <c:pt idx="450">
                  <c:v>900</c:v>
                </c:pt>
                <c:pt idx="451">
                  <c:v>902</c:v>
                </c:pt>
                <c:pt idx="452">
                  <c:v>904</c:v>
                </c:pt>
                <c:pt idx="453">
                  <c:v>906</c:v>
                </c:pt>
                <c:pt idx="454">
                  <c:v>908</c:v>
                </c:pt>
                <c:pt idx="455">
                  <c:v>910</c:v>
                </c:pt>
                <c:pt idx="456">
                  <c:v>912</c:v>
                </c:pt>
                <c:pt idx="457">
                  <c:v>914</c:v>
                </c:pt>
                <c:pt idx="458">
                  <c:v>916</c:v>
                </c:pt>
                <c:pt idx="459">
                  <c:v>918</c:v>
                </c:pt>
                <c:pt idx="460">
                  <c:v>920</c:v>
                </c:pt>
                <c:pt idx="461">
                  <c:v>922</c:v>
                </c:pt>
                <c:pt idx="462">
                  <c:v>924</c:v>
                </c:pt>
                <c:pt idx="463">
                  <c:v>926</c:v>
                </c:pt>
                <c:pt idx="464">
                  <c:v>928</c:v>
                </c:pt>
                <c:pt idx="465">
                  <c:v>930</c:v>
                </c:pt>
                <c:pt idx="466">
                  <c:v>932</c:v>
                </c:pt>
                <c:pt idx="467">
                  <c:v>934</c:v>
                </c:pt>
                <c:pt idx="468">
                  <c:v>936</c:v>
                </c:pt>
                <c:pt idx="469">
                  <c:v>938</c:v>
                </c:pt>
                <c:pt idx="470">
                  <c:v>940</c:v>
                </c:pt>
                <c:pt idx="471">
                  <c:v>942</c:v>
                </c:pt>
                <c:pt idx="472">
                  <c:v>944</c:v>
                </c:pt>
                <c:pt idx="473">
                  <c:v>946</c:v>
                </c:pt>
                <c:pt idx="474">
                  <c:v>948</c:v>
                </c:pt>
                <c:pt idx="475">
                  <c:v>950</c:v>
                </c:pt>
                <c:pt idx="476">
                  <c:v>952</c:v>
                </c:pt>
                <c:pt idx="477">
                  <c:v>954</c:v>
                </c:pt>
                <c:pt idx="478">
                  <c:v>956</c:v>
                </c:pt>
                <c:pt idx="479">
                  <c:v>958</c:v>
                </c:pt>
                <c:pt idx="480">
                  <c:v>960</c:v>
                </c:pt>
                <c:pt idx="481">
                  <c:v>962</c:v>
                </c:pt>
                <c:pt idx="482">
                  <c:v>964</c:v>
                </c:pt>
                <c:pt idx="483">
                  <c:v>966</c:v>
                </c:pt>
                <c:pt idx="484">
                  <c:v>968</c:v>
                </c:pt>
                <c:pt idx="485">
                  <c:v>970</c:v>
                </c:pt>
                <c:pt idx="486">
                  <c:v>972</c:v>
                </c:pt>
                <c:pt idx="487">
                  <c:v>974</c:v>
                </c:pt>
                <c:pt idx="488">
                  <c:v>976</c:v>
                </c:pt>
                <c:pt idx="489">
                  <c:v>978</c:v>
                </c:pt>
                <c:pt idx="490">
                  <c:v>980</c:v>
                </c:pt>
                <c:pt idx="491">
                  <c:v>982</c:v>
                </c:pt>
                <c:pt idx="492">
                  <c:v>984</c:v>
                </c:pt>
                <c:pt idx="493">
                  <c:v>986</c:v>
                </c:pt>
                <c:pt idx="494">
                  <c:v>988</c:v>
                </c:pt>
                <c:pt idx="495">
                  <c:v>990</c:v>
                </c:pt>
                <c:pt idx="496">
                  <c:v>992</c:v>
                </c:pt>
                <c:pt idx="497">
                  <c:v>994</c:v>
                </c:pt>
                <c:pt idx="498">
                  <c:v>996</c:v>
                </c:pt>
                <c:pt idx="499">
                  <c:v>998</c:v>
                </c:pt>
                <c:pt idx="500">
                  <c:v>1000</c:v>
                </c:pt>
                <c:pt idx="501">
                  <c:v>1002</c:v>
                </c:pt>
                <c:pt idx="502">
                  <c:v>1004</c:v>
                </c:pt>
                <c:pt idx="503">
                  <c:v>1006</c:v>
                </c:pt>
                <c:pt idx="504">
                  <c:v>1008</c:v>
                </c:pt>
                <c:pt idx="505">
                  <c:v>1010</c:v>
                </c:pt>
                <c:pt idx="506">
                  <c:v>1012</c:v>
                </c:pt>
                <c:pt idx="507">
                  <c:v>1014</c:v>
                </c:pt>
                <c:pt idx="508">
                  <c:v>1016</c:v>
                </c:pt>
                <c:pt idx="509">
                  <c:v>1018</c:v>
                </c:pt>
                <c:pt idx="510">
                  <c:v>1020</c:v>
                </c:pt>
                <c:pt idx="511">
                  <c:v>1022</c:v>
                </c:pt>
                <c:pt idx="512">
                  <c:v>1024</c:v>
                </c:pt>
                <c:pt idx="513">
                  <c:v>1026</c:v>
                </c:pt>
                <c:pt idx="514">
                  <c:v>1028</c:v>
                </c:pt>
                <c:pt idx="515">
                  <c:v>1030</c:v>
                </c:pt>
                <c:pt idx="516">
                  <c:v>1032</c:v>
                </c:pt>
                <c:pt idx="517">
                  <c:v>1034</c:v>
                </c:pt>
                <c:pt idx="518">
                  <c:v>1036</c:v>
                </c:pt>
                <c:pt idx="519">
                  <c:v>1038</c:v>
                </c:pt>
                <c:pt idx="520">
                  <c:v>1040</c:v>
                </c:pt>
                <c:pt idx="521">
                  <c:v>1042</c:v>
                </c:pt>
                <c:pt idx="522">
                  <c:v>1044</c:v>
                </c:pt>
                <c:pt idx="523">
                  <c:v>1046</c:v>
                </c:pt>
                <c:pt idx="524">
                  <c:v>1048</c:v>
                </c:pt>
                <c:pt idx="525">
                  <c:v>1050</c:v>
                </c:pt>
                <c:pt idx="526">
                  <c:v>1052</c:v>
                </c:pt>
                <c:pt idx="527">
                  <c:v>1054</c:v>
                </c:pt>
                <c:pt idx="528">
                  <c:v>1056</c:v>
                </c:pt>
                <c:pt idx="529">
                  <c:v>1058</c:v>
                </c:pt>
                <c:pt idx="530">
                  <c:v>1060</c:v>
                </c:pt>
                <c:pt idx="531">
                  <c:v>1062</c:v>
                </c:pt>
                <c:pt idx="532">
                  <c:v>1064</c:v>
                </c:pt>
                <c:pt idx="533">
                  <c:v>1066</c:v>
                </c:pt>
                <c:pt idx="534">
                  <c:v>1068</c:v>
                </c:pt>
                <c:pt idx="535">
                  <c:v>1070</c:v>
                </c:pt>
                <c:pt idx="536">
                  <c:v>1072</c:v>
                </c:pt>
                <c:pt idx="537">
                  <c:v>1074</c:v>
                </c:pt>
                <c:pt idx="538">
                  <c:v>1076</c:v>
                </c:pt>
                <c:pt idx="539">
                  <c:v>1078</c:v>
                </c:pt>
                <c:pt idx="540">
                  <c:v>1080</c:v>
                </c:pt>
              </c:numCache>
            </c:numRef>
          </c:xVal>
          <c:yVal>
            <c:numRef>
              <c:f>Data!$G$2:$G$1001</c:f>
              <c:numCache>
                <c:formatCode>0</c:formatCode>
                <c:ptCount val="1000"/>
                <c:pt idx="0">
                  <c:v>1.9116710598966618</c:v>
                </c:pt>
                <c:pt idx="1">
                  <c:v>1.9990478368997571</c:v>
                </c:pt>
                <c:pt idx="2">
                  <c:v>2.0890610908736491</c:v>
                </c:pt>
                <c:pt idx="3">
                  <c:v>2.1817100191216827</c:v>
                </c:pt>
                <c:pt idx="4">
                  <c:v>2.2769885356822246</c:v>
                </c:pt>
                <c:pt idx="5">
                  <c:v>2.3748850532211372</c:v>
                </c:pt>
                <c:pt idx="6">
                  <c:v>2.4753822735725208</c:v>
                </c:pt>
                <c:pt idx="7">
                  <c:v>2.5784569881386434</c:v>
                </c:pt>
                <c:pt idx="8">
                  <c:v>2.6840798893666444</c:v>
                </c:pt>
                <c:pt idx="9">
                  <c:v>2.7922153945201713</c:v>
                </c:pt>
                <c:pt idx="10">
                  <c:v>2.9028214829581831</c:v>
                </c:pt>
                <c:pt idx="11">
                  <c:v>3.0158495481205834</c:v>
                </c:pt>
                <c:pt idx="12">
                  <c:v>3.1312442654009218</c:v>
                </c:pt>
                <c:pt idx="13">
                  <c:v>3.2489434770599326</c:v>
                </c:pt>
                <c:pt idx="14">
                  <c:v>3.368878095300031</c:v>
                </c:pt>
                <c:pt idx="15">
                  <c:v>3.4909720245800657</c:v>
                </c:pt>
                <c:pt idx="16">
                  <c:v>3.6151421042014507</c:v>
                </c:pt>
                <c:pt idx="17">
                  <c:v>3.7412980721414399</c:v>
                </c:pt>
                <c:pt idx="18">
                  <c:v>3.869342551046695</c:v>
                </c:pt>
                <c:pt idx="19">
                  <c:v>3.9991710572306074</c:v>
                </c:pt>
                <c:pt idx="20">
                  <c:v>4.1306720334412228</c:v>
                </c:pt>
                <c:pt idx="21">
                  <c:v>4.263726906083253</c:v>
                </c:pt>
                <c:pt idx="22">
                  <c:v>4.3982101674878864</c:v>
                </c:pt>
                <c:pt idx="23">
                  <c:v>4.5339894837281145</c:v>
                </c:pt>
                <c:pt idx="24">
                  <c:v>4.6709258283756059</c:v>
                </c:pt>
                <c:pt idx="25">
                  <c:v>4.8088736424880318</c:v>
                </c:pt>
                <c:pt idx="26">
                  <c:v>4.9476810210037776</c:v>
                </c:pt>
                <c:pt idx="27">
                  <c:v>5.0871899256045667</c:v>
                </c:pt>
                <c:pt idx="28">
                  <c:v>5.227236423986346</c:v>
                </c:pt>
                <c:pt idx="29">
                  <c:v>5.3676509553552902</c:v>
                </c:pt>
                <c:pt idx="30">
                  <c:v>5.5082586218397589</c:v>
                </c:pt>
                <c:pt idx="31">
                  <c:v>5.6488795053810943</c:v>
                </c:pt>
                <c:pt idx="32">
                  <c:v>5.7893290095368783</c:v>
                </c:pt>
                <c:pt idx="33">
                  <c:v>5.9294182255006769</c:v>
                </c:pt>
                <c:pt idx="34">
                  <c:v>6.0689543215128117</c:v>
                </c:pt>
                <c:pt idx="35">
                  <c:v>6.2077409547083651</c:v>
                </c:pt>
                <c:pt idx="36">
                  <c:v>6.3455787043220262</c:v>
                </c:pt>
                <c:pt idx="37">
                  <c:v>6.4822655250454719</c:v>
                </c:pt>
                <c:pt idx="38">
                  <c:v>6.6175972192124357</c:v>
                </c:pt>
                <c:pt idx="39">
                  <c:v>6.7513679263702624</c:v>
                </c:pt>
                <c:pt idx="40">
                  <c:v>6.8833706286854266</c:v>
                </c:pt>
                <c:pt idx="41">
                  <c:v>7.0133976705248671</c:v>
                </c:pt>
                <c:pt idx="42">
                  <c:v>7.1412412904558815</c:v>
                </c:pt>
                <c:pt idx="43">
                  <c:v>7.2666941638154414</c:v>
                </c:pt>
                <c:pt idx="44">
                  <c:v>7.3895499539157594</c:v>
                </c:pt>
                <c:pt idx="45">
                  <c:v>7.5096038698775169</c:v>
                </c:pt>
                <c:pt idx="46">
                  <c:v>7.6266532290157967</c:v>
                </c:pt>
                <c:pt idx="47">
                  <c:v>7.7404980216472241</c:v>
                </c:pt>
                <c:pt idx="48">
                  <c:v>7.8509414761403393</c:v>
                </c:pt>
                <c:pt idx="49">
                  <c:v>7.9577906219955095</c:v>
                </c:pt>
                <c:pt idx="50">
                  <c:v>8.0608568487159129</c:v>
                </c:pt>
                <c:pt idx="51">
                  <c:v>8.1599564582177546</c:v>
                </c:pt>
                <c:pt idx="52">
                  <c:v>8.2549112085260248</c:v>
                </c:pt>
                <c:pt idx="53">
                  <c:v>8.3455488465120347</c:v>
                </c:pt>
                <c:pt idx="54">
                  <c:v>8.4317036274508013</c:v>
                </c:pt>
                <c:pt idx="55">
                  <c:v>8.513216819209914</c:v>
                </c:pt>
                <c:pt idx="56">
                  <c:v>8.5899371889270988</c:v>
                </c:pt>
                <c:pt idx="57">
                  <c:v>8.661721470090745</c:v>
                </c:pt>
                <c:pt idx="58">
                  <c:v>8.7284348080063658</c:v>
                </c:pt>
                <c:pt idx="59">
                  <c:v>8.7899511817117393</c:v>
                </c:pt>
                <c:pt idx="60">
                  <c:v>8.8461538004941254</c:v>
                </c:pt>
                <c:pt idx="61">
                  <c:v>8.8969354732639374</c:v>
                </c:pt>
                <c:pt idx="62">
                  <c:v>8.9421989491502014</c:v>
                </c:pt>
                <c:pt idx="63">
                  <c:v>8.9818572278032551</c:v>
                </c:pt>
                <c:pt idx="64">
                  <c:v>9.0158338380190255</c:v>
                </c:pt>
                <c:pt idx="65">
                  <c:v>9.0440630834360025</c:v>
                </c:pt>
                <c:pt idx="66">
                  <c:v>9.0664902542000121</c:v>
                </c:pt>
                <c:pt idx="67">
                  <c:v>9.0830718036422926</c:v>
                </c:pt>
                <c:pt idx="68">
                  <c:v>9.0937754891722609</c:v>
                </c:pt>
                <c:pt idx="69">
                  <c:v>9.0985804767469265</c:v>
                </c:pt>
                <c:pt idx="70">
                  <c:v>9.0974774084431491</c:v>
                </c:pt>
                <c:pt idx="71">
                  <c:v>9.0904684328260235</c:v>
                </c:pt>
                <c:pt idx="72">
                  <c:v>9.0775671979753803</c:v>
                </c:pt>
                <c:pt idx="73">
                  <c:v>9.0587988072021659</c:v>
                </c:pt>
                <c:pt idx="74">
                  <c:v>9.0341997376557401</c:v>
                </c:pt>
                <c:pt idx="75">
                  <c:v>9.0038177221915312</c:v>
                </c:pt>
                <c:pt idx="76">
                  <c:v>8.9677115950344994</c:v>
                </c:pt>
                <c:pt idx="77">
                  <c:v>8.9259511019369064</c:v>
                </c:pt>
                <c:pt idx="78">
                  <c:v>8.8786166756877858</c:v>
                </c:pt>
                <c:pt idx="79">
                  <c:v>8.8257991779854539</c:v>
                </c:pt>
                <c:pt idx="80">
                  <c:v>8.767599608832521</c:v>
                </c:pt>
                <c:pt idx="81">
                  <c:v>8.7041287847542179</c:v>
                </c:pt>
                <c:pt idx="82">
                  <c:v>8.6355069872747983</c:v>
                </c:pt>
                <c:pt idx="83">
                  <c:v>8.5618635832124497</c:v>
                </c:pt>
                <c:pt idx="84">
                  <c:v>8.4833366184699397</c:v>
                </c:pt>
                <c:pt idx="85">
                  <c:v>8.4000723871055012</c:v>
                </c:pt>
                <c:pt idx="86">
                  <c:v>8.3122249775656201</c:v>
                </c:pt>
                <c:pt idx="87">
                  <c:v>8.2199557980480833</c:v>
                </c:pt>
                <c:pt idx="88">
                  <c:v>8.123433083039286</c:v>
                </c:pt>
                <c:pt idx="89">
                  <c:v>8.0228313831341591</c:v>
                </c:pt>
                <c:pt idx="90">
                  <c:v>7.9183310402999396</c:v>
                </c:pt>
                <c:pt idx="91">
                  <c:v>7.8101176507860224</c:v>
                </c:pt>
                <c:pt idx="92">
                  <c:v>7.6983815179114057</c:v>
                </c:pt>
                <c:pt idx="93">
                  <c:v>7.5833170969785613</c:v>
                </c:pt>
                <c:pt idx="94">
                  <c:v>7.4651224345680776</c:v>
                </c:pt>
                <c:pt idx="95">
                  <c:v>7.3439986044623211</c:v>
                </c:pt>
                <c:pt idx="96">
                  <c:v>7.2201491424285802</c:v>
                </c:pt>
                <c:pt idx="97">
                  <c:v>7.0937794820633773</c:v>
                </c:pt>
                <c:pt idx="98">
                  <c:v>6.9650963938597412</c:v>
                </c:pt>
                <c:pt idx="99">
                  <c:v>6.8343074296090451</c:v>
                </c:pt>
                <c:pt idx="100">
                  <c:v>6.7016203741886606</c:v>
                </c:pt>
                <c:pt idx="101">
                  <c:v>6.5672427067169155</c:v>
                </c:pt>
                <c:pt idx="102">
                  <c:v>6.4313810729781009</c:v>
                </c:pt>
                <c:pt idx="103">
                  <c:v>6.2942407709332802</c:v>
                </c:pt>
                <c:pt idx="104">
                  <c:v>6.1560252510379234</c:v>
                </c:pt>
                <c:pt idx="105">
                  <c:v>6.0169356329858239</c:v>
                </c:pt>
                <c:pt idx="106">
                  <c:v>5.8771702403908863</c:v>
                </c:pt>
                <c:pt idx="107">
                  <c:v>5.7369241548050773</c:v>
                </c:pt>
                <c:pt idx="108">
                  <c:v>5.5963887903528446</c:v>
                </c:pt>
                <c:pt idx="109">
                  <c:v>5.455751490140397</c:v>
                </c:pt>
                <c:pt idx="110">
                  <c:v>5.3151951454732309</c:v>
                </c:pt>
                <c:pt idx="111">
                  <c:v>5.1748978387879694</c:v>
                </c:pt>
                <c:pt idx="112">
                  <c:v>5.0350325110756815</c:v>
                </c:pt>
                <c:pt idx="113">
                  <c:v>4.8957666544443104</c:v>
                </c:pt>
                <c:pt idx="114">
                  <c:v>4.7572620303381674</c:v>
                </c:pt>
                <c:pt idx="115">
                  <c:v>4.6196744138037129</c:v>
                </c:pt>
                <c:pt idx="116">
                  <c:v>4.4831533640634369</c:v>
                </c:pt>
                <c:pt idx="117">
                  <c:v>4.3478420215345608</c:v>
                </c:pt>
                <c:pt idx="118">
                  <c:v>4.213876931306924</c:v>
                </c:pt>
                <c:pt idx="119">
                  <c:v>4.0813878929755836</c:v>
                </c:pt>
                <c:pt idx="120">
                  <c:v>3.9504978366088626</c:v>
                </c:pt>
                <c:pt idx="121">
                  <c:v>3.8213227245223229</c:v>
                </c:pt>
                <c:pt idx="122">
                  <c:v>3.69397147842405</c:v>
                </c:pt>
                <c:pt idx="123">
                  <c:v>3.5685459313969567</c:v>
                </c:pt>
                <c:pt idx="124">
                  <c:v>3.4451408040901752</c:v>
                </c:pt>
                <c:pt idx="125">
                  <c:v>3.3238437044041382</c:v>
                </c:pt>
                <c:pt idx="126">
                  <c:v>3.204735149873108</c:v>
                </c:pt>
                <c:pt idx="127">
                  <c:v>3.0878886118748441</c:v>
                </c:pt>
                <c:pt idx="128">
                  <c:v>2.973370580730053</c:v>
                </c:pt>
                <c:pt idx="129">
                  <c:v>2.8612406506943464</c:v>
                </c:pt>
                <c:pt idx="130">
                  <c:v>2.7515516237927291</c:v>
                </c:pt>
                <c:pt idx="131">
                  <c:v>2.6443496314012487</c:v>
                </c:pt>
                <c:pt idx="132">
                  <c:v>2.5396742724422654</c:v>
                </c:pt>
                <c:pt idx="133">
                  <c:v>2.4375587670288641</c:v>
                </c:pt>
                <c:pt idx="134">
                  <c:v>2.3380301243701154</c:v>
                </c:pt>
                <c:pt idx="135">
                  <c:v>2.2411093237320077</c:v>
                </c:pt>
                <c:pt idx="136">
                  <c:v>2.146811507238866</c:v>
                </c:pt>
                <c:pt idx="137">
                  <c:v>2.0551461832965563</c:v>
                </c:pt>
                <c:pt idx="138">
                  <c:v>1.9661174394216712</c:v>
                </c:pt>
                <c:pt idx="139">
                  <c:v>1.8797241632698269</c:v>
                </c:pt>
                <c:pt idx="140">
                  <c:v>1.7959602706708531</c:v>
                </c:pt>
                <c:pt idx="141">
                  <c:v>1.7148149394988179</c:v>
                </c:pt>
                <c:pt idx="142">
                  <c:v>1.6362728482299917</c:v>
                </c:pt>
                <c:pt idx="143">
                  <c:v>1.5603144180717754</c:v>
                </c:pt>
                <c:pt idx="144">
                  <c:v>1.4869160575798821</c:v>
                </c:pt>
                <c:pt idx="145">
                  <c:v>1.4160504087192189</c:v>
                </c:pt>
                <c:pt idx="146">
                  <c:v>1.347686593365693</c:v>
                </c:pt>
                <c:pt idx="147">
                  <c:v>1.2817904592910321</c:v>
                </c:pt>
                <c:pt idx="148">
                  <c:v>1.2183248247203495</c:v>
                </c:pt>
                <c:pt idx="149">
                  <c:v>1.1572497206021661</c:v>
                </c:pt>
                <c:pt idx="150">
                  <c:v>1.0985226297824997</c:v>
                </c:pt>
                <c:pt idx="151">
                  <c:v>1.0420987223281395</c:v>
                </c:pt>
                <c:pt idx="152">
                  <c:v>0.98793108629884807</c:v>
                </c:pt>
                <c:pt idx="153">
                  <c:v>0.9359709533237045</c:v>
                </c:pt>
                <c:pt idx="154">
                  <c:v>0.8861679183926946</c:v>
                </c:pt>
                <c:pt idx="155">
                  <c:v>0.83847015333067065</c:v>
                </c:pt>
                <c:pt idx="156">
                  <c:v>0.7928246134766046</c:v>
                </c:pt>
                <c:pt idx="157">
                  <c:v>0.74917723714631224</c:v>
                </c:pt>
                <c:pt idx="158">
                  <c:v>0.7074731375113178</c:v>
                </c:pt>
                <c:pt idx="159">
                  <c:v>0.66765678657988248</c:v>
                </c:pt>
                <c:pt idx="160">
                  <c:v>0.62967219101832006</c:v>
                </c:pt>
                <c:pt idx="161">
                  <c:v>0.59346305960122669</c:v>
                </c:pt>
                <c:pt idx="162">
                  <c:v>0.55897296212804415</c:v>
                </c:pt>
                <c:pt idx="163">
                  <c:v>0.52614547969022196</c:v>
                </c:pt>
                <c:pt idx="164">
                  <c:v>0.49492434621802378</c:v>
                </c:pt>
                <c:pt idx="165">
                  <c:v>0.46525358127858502</c:v>
                </c:pt>
                <c:pt idx="166">
                  <c:v>0.43707761413704521</c:v>
                </c:pt>
                <c:pt idx="167">
                  <c:v>0.4103413991304064</c:v>
                </c:pt>
                <c:pt idx="168">
                  <c:v>0.38499052243906245</c:v>
                </c:pt>
                <c:pt idx="169">
                  <c:v>0.3609713003737347</c:v>
                </c:pt>
                <c:pt idx="170">
                  <c:v>0.33823086932573271</c:v>
                </c:pt>
                <c:pt idx="171">
                  <c:v>0.31671726755606794</c:v>
                </c:pt>
                <c:pt idx="172">
                  <c:v>0.29637950902396731</c:v>
                </c:pt>
                <c:pt idx="173">
                  <c:v>0.27716764947777783</c:v>
                </c:pt>
                <c:pt idx="174">
                  <c:v>0.25903284505117385</c:v>
                </c:pt>
                <c:pt idx="175">
                  <c:v>0.24192740362500118</c:v>
                </c:pt>
                <c:pt idx="176">
                  <c:v>0.22580482923009759</c:v>
                </c:pt>
                <c:pt idx="177">
                  <c:v>0.21061985977907607</c:v>
                </c:pt>
                <c:pt idx="178">
                  <c:v>0.19632849842543001</c:v>
                </c:pt>
                <c:pt idx="179">
                  <c:v>0.18288803885651256</c:v>
                </c:pt>
                <c:pt idx="180">
                  <c:v>0.17025708483305554</c:v>
                </c:pt>
                <c:pt idx="181">
                  <c:v>0.15839556429201659</c:v>
                </c:pt>
                <c:pt idx="182">
                  <c:v>0.14726473833181219</c:v>
                </c:pt>
                <c:pt idx="183">
                  <c:v>0.13682720539950025</c:v>
                </c:pt>
                <c:pt idx="184">
                  <c:v>0.12704690099834734</c:v>
                </c:pt>
                <c:pt idx="185">
                  <c:v>0.11788909323157483</c:v>
                </c:pt>
                <c:pt idx="186">
                  <c:v>0.10932037449403625</c:v>
                </c:pt>
                <c:pt idx="187">
                  <c:v>0.10130864961826791</c:v>
                </c:pt>
                <c:pt idx="188">
                  <c:v>9.3823120774885471E-2</c:v>
                </c:pt>
                <c:pt idx="189">
                  <c:v>8.6834269419798535E-2</c:v>
                </c:pt>
                <c:pt idx="190">
                  <c:v>8.0313835572299416E-2</c:v>
                </c:pt>
                <c:pt idx="191">
                  <c:v>7.423479469885523E-2</c:v>
                </c:pt>
                <c:pt idx="192">
                  <c:v>6.8571332467523269E-2</c:v>
                </c:pt>
                <c:pt idx="193">
                  <c:v>6.3298817627408563E-2</c:v>
                </c:pt>
                <c:pt idx="194">
                  <c:v>5.8393773256599217E-2</c:v>
                </c:pt>
                <c:pt idx="195">
                  <c:v>5.3833846610653213E-2</c:v>
                </c:pt>
                <c:pt idx="196">
                  <c:v>4.9597777792047874E-2</c:v>
                </c:pt>
                <c:pt idx="197">
                  <c:v>4.5665367449146836E-2</c:v>
                </c:pt>
                <c:pt idx="198">
                  <c:v>4.2017443701253536E-2</c:v>
                </c:pt>
                <c:pt idx="199">
                  <c:v>3.8635828474294066E-2</c:v>
                </c:pt>
                <c:pt idx="200">
                  <c:v>3.5503303419672477E-2</c:v>
                </c:pt>
                <c:pt idx="201">
                  <c:v>3.260357557692993E-2</c:v>
                </c:pt>
                <c:pt idx="202">
                  <c:v>2.9921242929081476E-2</c:v>
                </c:pt>
                <c:pt idx="203">
                  <c:v>2.7441759987950589E-2</c:v>
                </c:pt>
                <c:pt idx="204">
                  <c:v>2.5151403535519545E-2</c:v>
                </c:pt>
                <c:pt idx="205">
                  <c:v>2.3037238636308507E-2</c:v>
                </c:pt>
                <c:pt idx="206">
                  <c:v>2.1087085025123145E-2</c:v>
                </c:pt>
                <c:pt idx="207">
                  <c:v>1.9289483964203949E-2</c:v>
                </c:pt>
                <c:pt idx="208">
                  <c:v>1.7633665653893862E-2</c:v>
                </c:pt>
                <c:pt idx="209">
                  <c:v>1.610951727144205E-2</c:v>
                </c:pt>
                <c:pt idx="210">
                  <c:v>1.4707551703494319E-2</c:v>
                </c:pt>
                <c:pt idx="211">
                  <c:v>1.3418877029200556E-2</c:v>
                </c:pt>
                <c:pt idx="212">
                  <c:v>1.2235166802706981E-2</c:v>
                </c:pt>
                <c:pt idx="213">
                  <c:v>1.1148631176101327E-2</c:v>
                </c:pt>
                <c:pt idx="214">
                  <c:v>1.0151988896645149E-2</c:v>
                </c:pt>
                <c:pt idx="215">
                  <c:v>9.2384402053597228E-3</c:v>
                </c:pt>
                <c:pt idx="216">
                  <c:v>8.4016406577264984E-3</c:v>
                </c:pt>
                <c:pt idx="217">
                  <c:v>7.6356758814147265E-3</c:v>
                </c:pt>
                <c:pt idx="218">
                  <c:v>6.935037280548448E-3</c:v>
                </c:pt>
                <c:pt idx="219">
                  <c:v>6.2945986910644472E-3</c:v>
                </c:pt>
                <c:pt idx="220">
                  <c:v>5.7095939871777681E-3</c:v>
                </c:pt>
                <c:pt idx="221">
                  <c:v>5.1755956348498852E-3</c:v>
                </c:pt>
                <c:pt idx="222">
                  <c:v>4.6884941844317716E-3</c:v>
                </c:pt>
                <c:pt idx="223">
                  <c:v>4.2444786913132205E-3</c:v>
                </c:pt>
                <c:pt idx="224">
                  <c:v>3.8400180504346505E-3</c:v>
                </c:pt>
                <c:pt idx="225">
                  <c:v>3.4718432278906873E-3</c:v>
                </c:pt>
                <c:pt idx="226">
                  <c:v>3.1369303705577789E-3</c:v>
                </c:pt>
                <c:pt idx="227">
                  <c:v>2.8324847726926556E-3</c:v>
                </c:pt>
                <c:pt idx="228">
                  <c:v>2.555925676756349E-3</c:v>
                </c:pt>
                <c:pt idx="229">
                  <c:v>2.3048718843006709E-3</c:v>
                </c:pt>
                <c:pt idx="230">
                  <c:v>2.0771281515923816E-3</c:v>
                </c:pt>
                <c:pt idx="231">
                  <c:v>1.8706723437260414E-3</c:v>
                </c:pt>
                <c:pt idx="232">
                  <c:v>1.6836433202724222E-3</c:v>
                </c:pt>
                <c:pt idx="233">
                  <c:v>1.514329525006846E-3</c:v>
                </c:pt>
                <c:pt idx="234">
                  <c:v>1.3611582519445875E-3</c:v>
                </c:pt>
                <c:pt idx="235">
                  <c:v>1.2226855597615974E-3</c:v>
                </c:pt>
                <c:pt idx="236">
                  <c:v>1.0975868066823169E-3</c:v>
                </c:pt>
                <c:pt idx="237">
                  <c:v>9.8464777805706144E-4</c:v>
                </c:pt>
                <c:pt idx="238">
                  <c:v>8.8275637911474681E-4</c:v>
                </c:pt>
                <c:pt idx="239">
                  <c:v>7.9089486574862101E-4</c:v>
                </c:pt>
                <c:pt idx="240">
                  <c:v>7.081325866601407E-4</c:v>
                </c:pt>
                <c:pt idx="241">
                  <c:v>6.3361921073670432E-4</c:v>
                </c:pt>
                <c:pt idx="242">
                  <c:v>5.6657841416108995E-4</c:v>
                </c:pt>
                <c:pt idx="243">
                  <c:v>5.0630200243321458E-4</c:v>
                </c:pt>
                <c:pt idx="244">
                  <c:v>4.5214444321814564E-4</c:v>
                </c:pt>
                <c:pt idx="245">
                  <c:v>4.0351778670887263E-4</c:v>
                </c:pt>
                <c:pt idx="246">
                  <c:v>3.5988695099941834E-4</c:v>
                </c:pt>
                <c:pt idx="247">
                  <c:v>3.2076535079566453E-4</c:v>
                </c:pt>
                <c:pt idx="248">
                  <c:v>2.8571084864049837E-4</c:v>
                </c:pt>
                <c:pt idx="249">
                  <c:v>2.543220086899514E-4</c:v>
                </c:pt>
                <c:pt idx="250">
                  <c:v>2.2623463394210106E-4</c:v>
                </c:pt>
                <c:pt idx="251">
                  <c:v>2.0111856868519469E-4</c:v>
                </c:pt>
                <c:pt idx="252">
                  <c:v>1.7867474879111318E-4</c:v>
                </c:pt>
                <c:pt idx="253">
                  <c:v>1.586324833306565E-4</c:v>
                </c:pt>
                <c:pt idx="254">
                  <c:v>1.4074695182457659E-4</c:v>
                </c:pt>
                <c:pt idx="255">
                  <c:v>1.2479690226563578E-4</c:v>
                </c:pt>
                <c:pt idx="256">
                  <c:v>1.1058253584943814E-4</c:v>
                </c:pt>
                <c:pt idx="257">
                  <c:v>9.7923565133134602E-5</c:v>
                </c:pt>
                <c:pt idx="258">
                  <c:v>8.6657433099347585E-5</c:v>
                </c:pt>
                <c:pt idx="259">
                  <c:v>7.6637681336285464E-5</c:v>
                </c:pt>
                <c:pt idx="260">
                  <c:v>6.7732456252744008E-5</c:v>
                </c:pt>
                <c:pt idx="261">
                  <c:v>5.9823142927609628E-5</c:v>
                </c:pt>
                <c:pt idx="262">
                  <c:v>5.280311684690863E-5</c:v>
                </c:pt>
                <c:pt idx="263">
                  <c:v>4.6576604406967979E-5</c:v>
                </c:pt>
                <c:pt idx="264">
                  <c:v>4.1057643659661821E-5</c:v>
                </c:pt>
                <c:pt idx="265">
                  <c:v>3.6169137345007511E-5</c:v>
                </c:pt>
                <c:pt idx="266">
                  <c:v>3.1841990797711774E-5</c:v>
                </c:pt>
                <c:pt idx="267">
                  <c:v>2.8014327827958393E-5</c:v>
                </c:pt>
                <c:pt idx="268">
                  <c:v>2.4630778163235739E-5</c:v>
                </c:pt>
                <c:pt idx="269">
                  <c:v>2.1641830497867723E-5</c:v>
                </c:pt>
                <c:pt idx="270">
                  <c:v>1.9003245630806643E-5</c:v>
                </c:pt>
                <c:pt idx="271">
                  <c:v>1.6675524580893171E-5</c:v>
                </c:pt>
                <c:pt idx="272">
                  <c:v>1.4623426952998836E-5</c:v>
                </c:pt>
                <c:pt idx="273">
                  <c:v>1.281553518908421E-5</c:v>
                </c:pt>
                <c:pt idx="274">
                  <c:v>1.122386067613002E-5</c:v>
                </c:pt>
                <c:pt idx="275">
                  <c:v>9.8234879990475679E-6</c:v>
                </c:pt>
                <c:pt idx="276">
                  <c:v>8.59225392199267E-6</c:v>
                </c:pt>
                <c:pt idx="277">
                  <c:v>7.5104579569458401E-6</c:v>
                </c:pt>
                <c:pt idx="278">
                  <c:v>6.5606016349349822E-6</c:v>
                </c:pt>
                <c:pt idx="279">
                  <c:v>5.7271538338203206E-6</c:v>
                </c:pt>
                <c:pt idx="280">
                  <c:v>4.9963397380737154E-6</c:v>
                </c:pt>
                <c:pt idx="281">
                  <c:v>4.3559512113964085E-6</c:v>
                </c:pt>
                <c:pt idx="282">
                  <c:v>3.795176553237971E-6</c:v>
                </c:pt>
                <c:pt idx="283">
                  <c:v>3.3044477861910207E-6</c:v>
                </c:pt>
                <c:pt idx="284">
                  <c:v>2.8753037837019799E-6</c:v>
                </c:pt>
                <c:pt idx="285">
                  <c:v>2.5002676973894662E-6</c:v>
                </c:pt>
                <c:pt idx="286">
                  <c:v>2.1727372813011905E-6</c:v>
                </c:pt>
                <c:pt idx="287">
                  <c:v>1.8868868374375409E-6</c:v>
                </c:pt>
                <c:pt idx="288">
                  <c:v>1.6375796235638161E-6</c:v>
                </c:pt>
                <c:pt idx="289">
                  <c:v>1.4202896714267067E-6</c:v>
                </c:pt>
                <c:pt idx="290">
                  <c:v>1.2310320616558761E-6</c:v>
                </c:pt>
                <c:pt idx="291">
                  <c:v>1.0663007915045014E-6</c:v>
                </c:pt>
                <c:pt idx="292">
                  <c:v>9.2301345376713072E-7</c:v>
                </c:pt>
                <c:pt idx="293">
                  <c:v>7.9846202027930079E-7</c:v>
                </c:pt>
                <c:pt idx="294">
                  <c:v>6.9026909188849149E-7</c:v>
                </c:pt>
                <c:pt idx="295">
                  <c:v>5.9634903919631378E-7</c:v>
                </c:pt>
                <c:pt idx="296">
                  <c:v>5.1487351518163457E-7</c:v>
                </c:pt>
                <c:pt idx="297">
                  <c:v>4.4424087246916011E-7</c:v>
                </c:pt>
                <c:pt idx="298">
                  <c:v>3.8304906492335652E-7</c:v>
                </c:pt>
                <c:pt idx="299">
                  <c:v>3.3007165581207644E-7</c:v>
                </c:pt>
                <c:pt idx="300">
                  <c:v>2.8423659335954387E-7</c:v>
                </c:pt>
                <c:pt idx="301">
                  <c:v>2.4460744943082221E-7</c:v>
                </c:pt>
                <c:pt idx="302">
                  <c:v>2.1036684867200042E-7</c:v>
                </c:pt>
                <c:pt idx="303">
                  <c:v>1.8080184396136685E-7</c:v>
                </c:pt>
                <c:pt idx="304">
                  <c:v>1.5529101977484819E-7</c:v>
                </c:pt>
                <c:pt idx="305">
                  <c:v>1.3329312828127692E-7</c:v>
                </c:pt>
                <c:pt idx="306">
                  <c:v>1.1433708388787043E-7</c:v>
                </c:pt>
                <c:pt idx="307">
                  <c:v>9.8013160763955298E-8</c:v>
                </c:pt>
                <c:pt idx="308">
                  <c:v>8.396525477460134E-8</c:v>
                </c:pt>
                <c:pt idx="309">
                  <c:v>7.1884086433060382E-8</c:v>
                </c:pt>
                <c:pt idx="310">
                  <c:v>6.1501235094433131E-8</c:v>
                </c:pt>
                <c:pt idx="311">
                  <c:v>5.2583906811847026E-8</c:v>
                </c:pt>
                <c:pt idx="312">
                  <c:v>4.4930349196877729E-8</c:v>
                </c:pt>
                <c:pt idx="313">
                  <c:v>3.8365836392439908E-8</c:v>
                </c:pt>
                <c:pt idx="314">
                  <c:v>3.2739155992345327E-8</c:v>
                </c:pt>
                <c:pt idx="315">
                  <c:v>2.7919537530535549E-8</c:v>
                </c:pt>
                <c:pt idx="316">
                  <c:v>2.3793969108633747E-8</c:v>
                </c:pt>
                <c:pt idx="317">
                  <c:v>2.0264854918287317E-8</c:v>
                </c:pt>
                <c:pt idx="318">
                  <c:v>1.7247971922265994E-8</c:v>
                </c:pt>
                <c:pt idx="319">
                  <c:v>1.4670688855614935E-8</c:v>
                </c:pt>
                <c:pt idx="320">
                  <c:v>1.2470415058857376E-8</c:v>
                </c:pt>
                <c:pt idx="321">
                  <c:v>1.0593250516714016E-8</c:v>
                </c:pt>
                <c:pt idx="322">
                  <c:v>8.9928118998895593E-9</c:v>
                </c:pt>
                <c:pt idx="323">
                  <c:v>7.6292124409132943E-9</c:v>
                </c:pt>
                <c:pt idx="324">
                  <c:v>6.4681761599147269E-9</c:v>
                </c:pt>
                <c:pt idx="325">
                  <c:v>5.4802693304403317E-9</c:v>
                </c:pt>
                <c:pt idx="326">
                  <c:v>4.640234173016288E-9</c:v>
                </c:pt>
                <c:pt idx="327">
                  <c:v>3.9264116156865419E-9</c:v>
                </c:pt>
                <c:pt idx="328">
                  <c:v>3.3202415936006344E-9</c:v>
                </c:pt>
                <c:pt idx="329">
                  <c:v>2.8058307984290825E-9</c:v>
                </c:pt>
                <c:pt idx="330">
                  <c:v>2.3695790548959134E-9</c:v>
                </c:pt>
                <c:pt idx="331">
                  <c:v>1.9998566156557401E-9</c:v>
                </c:pt>
                <c:pt idx="332">
                  <c:v>1.6867256446195854E-9</c:v>
                </c:pt>
                <c:pt idx="333">
                  <c:v>1.4217000182659623E-9</c:v>
                </c:pt>
                <c:pt idx="334">
                  <c:v>1.1975383283734939E-9</c:v>
                </c:pt>
                <c:pt idx="335">
                  <c:v>1.0080656303590518E-9</c:v>
                </c:pt>
                <c:pt idx="336">
                  <c:v>8.4802006000511404E-10</c:v>
                </c:pt>
                <c:pt idx="337">
                  <c:v>7.1292094758561525E-10</c:v>
                </c:pt>
                <c:pt idx="338">
                  <c:v>5.989555009198395E-10</c:v>
                </c:pt>
                <c:pt idx="339">
                  <c:v>5.028815153825929E-10</c:v>
                </c:pt>
                <c:pt idx="340">
                  <c:v>4.2194390617793152E-10</c:v>
                </c:pt>
                <c:pt idx="341">
                  <c:v>3.5380315225859302E-10</c:v>
                </c:pt>
                <c:pt idx="342">
                  <c:v>2.9647399745998336E-10</c:v>
                </c:pt>
                <c:pt idx="343">
                  <c:v>2.4827297740705679E-10</c:v>
                </c:pt>
                <c:pt idx="344">
                  <c:v>2.077735346821262E-10</c:v>
                </c:pt>
                <c:pt idx="345">
                  <c:v>1.7376765325591771E-10</c:v>
                </c:pt>
                <c:pt idx="346">
                  <c:v>1.4523308949028028E-10</c:v>
                </c:pt>
                <c:pt idx="347">
                  <c:v>1.2130540393906701E-10</c:v>
                </c:pt>
                <c:pt idx="348">
                  <c:v>1.012541081805904E-10</c:v>
                </c:pt>
                <c:pt idx="349">
                  <c:v>8.4462336184533115E-11</c:v>
                </c:pt>
                <c:pt idx="350">
                  <c:v>7.0409532153750924E-11</c:v>
                </c:pt>
                <c:pt idx="351">
                  <c:v>5.865671805616082E-11</c:v>
                </c:pt>
                <c:pt idx="352">
                  <c:v>4.8833965634308359E-11</c:v>
                </c:pt>
                <c:pt idx="353">
                  <c:v>4.0629750827071597E-11</c:v>
                </c:pt>
                <c:pt idx="354">
                  <c:v>3.3781914374361568E-11</c:v>
                </c:pt>
                <c:pt idx="355">
                  <c:v>2.8069991874757764E-11</c:v>
                </c:pt>
                <c:pt idx="356">
                  <c:v>2.3308710575984401E-11</c:v>
                </c:pt>
                <c:pt idx="357">
                  <c:v>1.9342479437896777E-11</c:v>
                </c:pt>
                <c:pt idx="358">
                  <c:v>1.6040724160098893E-11</c:v>
                </c:pt>
                <c:pt idx="359">
                  <c:v>1.3293940470423519E-11</c:v>
                </c:pt>
                <c:pt idx="360">
                  <c:v>1.1010357511780915E-11</c:v>
                </c:pt>
                <c:pt idx="361">
                  <c:v>9.1131190646405658E-12</c:v>
                </c:pt>
                <c:pt idx="362">
                  <c:v>7.5379039659695027E-12</c:v>
                </c:pt>
                <c:pt idx="363">
                  <c:v>6.2309187492424031E-12</c:v>
                </c:pt>
                <c:pt idx="364">
                  <c:v>5.1472055080503621E-12</c:v>
                </c:pt>
                <c:pt idx="365">
                  <c:v>4.2492165146822426E-12</c:v>
                </c:pt>
                <c:pt idx="366">
                  <c:v>3.5056144094385094E-12</c:v>
                </c:pt>
                <c:pt idx="367">
                  <c:v>2.8902629929691142E-12</c:v>
                </c:pt>
                <c:pt idx="368">
                  <c:v>2.3813789549118307E-12</c:v>
                </c:pt>
                <c:pt idx="369">
                  <c:v>1.9608193887829529E-12</c:v>
                </c:pt>
                <c:pt idx="370">
                  <c:v>1.6134837884239319E-12</c:v>
                </c:pt>
                <c:pt idx="371">
                  <c:v>1.3268124925172578E-12</c:v>
                </c:pt>
                <c:pt idx="372">
                  <c:v>1.0903663242736615E-12</c:v>
                </c:pt>
                <c:pt idx="373">
                  <c:v>8.9547453507769822E-13</c:v>
                </c:pt>
                <c:pt idx="374">
                  <c:v>7.3494016518540277E-13</c:v>
                </c:pt>
                <c:pt idx="375">
                  <c:v>6.0279363423774585E-13</c:v>
                </c:pt>
                <c:pt idx="376">
                  <c:v>4.9408681455557295E-13</c:v>
                </c:pt>
                <c:pt idx="377">
                  <c:v>4.0472105956847572E-13</c:v>
                </c:pt>
                <c:pt idx="378">
                  <c:v>3.3130369134890413E-13</c:v>
                </c:pt>
                <c:pt idx="379">
                  <c:v>2.7102832330490982E-13</c:v>
                </c:pt>
                <c:pt idx="380">
                  <c:v>2.2157513072711335E-13</c:v>
                </c:pt>
                <c:pt idx="381">
                  <c:v>1.8102780363726929E-13</c:v>
                </c:pt>
                <c:pt idx="382">
                  <c:v>1.4780444075822172E-13</c:v>
                </c:pt>
                <c:pt idx="383">
                  <c:v>1.2060008532606791E-13</c:v>
                </c:pt>
                <c:pt idx="384">
                  <c:v>9.8338975577259092E-14</c:v>
                </c:pt>
                <c:pt idx="385">
                  <c:v>8.0134895845189844E-14</c:v>
                </c:pt>
                <c:pt idx="386">
                  <c:v>6.5258277446994317E-14</c:v>
                </c:pt>
                <c:pt idx="387">
                  <c:v>5.3108919699483519E-14</c:v>
                </c:pt>
                <c:pt idx="388">
                  <c:v>4.3193387059356809E-14</c:v>
                </c:pt>
                <c:pt idx="389">
                  <c:v>3.5106294116134474E-14</c:v>
                </c:pt>
                <c:pt idx="390">
                  <c:v>2.8514820699114831E-14</c:v>
                </c:pt>
                <c:pt idx="391">
                  <c:v>2.3145908686019324E-14</c:v>
                </c:pt>
                <c:pt idx="392">
                  <c:v>1.8775683595939352E-14</c:v>
                </c:pt>
                <c:pt idx="393">
                  <c:v>1.5220720562512566E-14</c:v>
                </c:pt>
                <c:pt idx="394">
                  <c:v>1.2330838219205524E-14</c:v>
                </c:pt>
                <c:pt idx="395">
                  <c:v>9.9831574138723698E-15</c:v>
                </c:pt>
                <c:pt idx="396">
                  <c:v>8.0772062115240509E-15</c:v>
                </c:pt>
                <c:pt idx="397">
                  <c:v>6.5308897791610274E-15</c:v>
                </c:pt>
                <c:pt idx="398">
                  <c:v>5.2771746827628856E-15</c:v>
                </c:pt>
                <c:pt idx="399">
                  <c:v>4.2613628792417033E-15</c:v>
                </c:pt>
                <c:pt idx="400">
                  <c:v>3.438852107626756E-15</c:v>
                </c:pt>
                <c:pt idx="401">
                  <c:v>2.7732971889326614E-15</c:v>
                </c:pt>
                <c:pt idx="402">
                  <c:v>2.2351015323660077E-15</c:v>
                </c:pt>
                <c:pt idx="403">
                  <c:v>1.8001804186839449E-15</c:v>
                </c:pt>
                <c:pt idx="404">
                  <c:v>1.4489478096881733E-15</c:v>
                </c:pt>
                <c:pt idx="405">
                  <c:v>1.1654868672682582E-15</c:v>
                </c:pt>
                <c:pt idx="406">
                  <c:v>9.3687134958431757E-16</c:v>
                </c:pt>
                <c:pt idx="407">
                  <c:v>7.5261083091558763E-16</c:v>
                </c:pt>
                <c:pt idx="408">
                  <c:v>6.0419746979672642E-16</c:v>
                </c:pt>
                <c:pt idx="409">
                  <c:v>4.8473599768897271E-16</c:v>
                </c:pt>
                <c:pt idx="410">
                  <c:v>3.886418594879817E-16</c:v>
                </c:pt>
                <c:pt idx="411">
                  <c:v>3.1139512574766761E-16</c:v>
                </c:pt>
                <c:pt idx="412">
                  <c:v>2.4934001280032252E-16</c:v>
                </c:pt>
                <c:pt idx="413">
                  <c:v>1.9952167257460655E-16</c:v>
                </c:pt>
                <c:pt idx="414">
                  <c:v>1.5955341660097183E-16</c:v>
                </c:pt>
                <c:pt idx="415">
                  <c:v>1.2750877465078072E-16</c:v>
                </c:pt>
                <c:pt idx="416">
                  <c:v>1.0183380427023283E-16</c:v>
                </c:pt>
                <c:pt idx="417">
                  <c:v>8.1275901733136392E-17</c:v>
                </c:pt>
                <c:pt idx="418">
                  <c:v>6.4826049586741157E-17</c:v>
                </c:pt>
                <c:pt idx="419">
                  <c:v>5.1671997416495019E-17</c:v>
                </c:pt>
                <c:pt idx="420">
                  <c:v>4.1160332536224186E-17</c:v>
                </c:pt>
                <c:pt idx="421">
                  <c:v>3.2765774043592641E-17</c:v>
                </c:pt>
                <c:pt idx="422">
                  <c:v>2.6066331937582457E-17</c:v>
                </c:pt>
                <c:pt idx="423">
                  <c:v>2.0723225035396915E-17</c:v>
                </c:pt>
                <c:pt idx="424">
                  <c:v>1.6464657350544773E-17</c:v>
                </c:pt>
                <c:pt idx="425">
                  <c:v>1.3072720715810335E-17</c:v>
                </c:pt>
                <c:pt idx="426">
                  <c:v>1.0372828592804765E-17</c:v>
                </c:pt>
                <c:pt idx="427">
                  <c:v>8.2251978242463133E-18</c:v>
                </c:pt>
                <c:pt idx="428">
                  <c:v>6.5179861718876138E-18</c:v>
                </c:pt>
                <c:pt idx="429">
                  <c:v>5.1617676299933674E-18</c:v>
                </c:pt>
                <c:pt idx="430">
                  <c:v>4.0850878175117241E-18</c:v>
                </c:pt>
                <c:pt idx="431">
                  <c:v>3.2308907765958381E-18</c:v>
                </c:pt>
                <c:pt idx="432">
                  <c:v>2.5536483245989473E-18</c:v>
                </c:pt>
                <c:pt idx="433">
                  <c:v>2.0170554257884361E-18</c:v>
                </c:pt>
                <c:pt idx="434">
                  <c:v>1.5921812613645318E-18</c:v>
                </c:pt>
                <c:pt idx="435">
                  <c:v>1.2559869202816317E-18</c:v>
                </c:pt>
                <c:pt idx="436">
                  <c:v>9.9013783802042389E-19</c:v>
                </c:pt>
                <c:pt idx="437">
                  <c:v>7.8005303369567436E-19</c:v>
                </c:pt>
                <c:pt idx="438">
                  <c:v>6.1414445534850563E-19</c:v>
                </c:pt>
                <c:pt idx="439">
                  <c:v>4.8320884195924735E-19</c:v>
                </c:pt>
                <c:pt idx="440">
                  <c:v>3.7994185794302592E-19</c:v>
                </c:pt>
                <c:pt idx="441">
                  <c:v>2.9855018448982046E-19</c:v>
                </c:pt>
                <c:pt idx="442">
                  <c:v>2.3444203251831459E-19</c:v>
                </c:pt>
                <c:pt idx="443">
                  <c:v>1.839803938000559E-19</c:v>
                </c:pt>
                <c:pt idx="444">
                  <c:v>1.4428644811370818E-19</c:v>
                </c:pt>
                <c:pt idx="445">
                  <c:v>1.1308303952255349E-19</c:v>
                </c:pt>
                <c:pt idx="446">
                  <c:v>8.8570141017464672E-20</c:v>
                </c:pt>
                <c:pt idx="447">
                  <c:v>6.9325838528732805E-20</c:v>
                </c:pt>
                <c:pt idx="448">
                  <c:v>5.4227659278521946E-20</c:v>
                </c:pt>
                <c:pt idx="449">
                  <c:v>4.2390107530034863E-20</c:v>
                </c:pt>
                <c:pt idx="450">
                  <c:v>3.3115102989084299E-20</c:v>
                </c:pt>
                <c:pt idx="451">
                  <c:v>2.5852683780450876E-20</c:v>
                </c:pt>
                <c:pt idx="452">
                  <c:v>2.0169869595950288E-20</c:v>
                </c:pt>
                <c:pt idx="453">
                  <c:v>1.5726007515769379E-20</c:v>
                </c:pt>
                <c:pt idx="454">
                  <c:v>1.2253264254326686E-20</c:v>
                </c:pt>
                <c:pt idx="455">
                  <c:v>9.5412011661378918E-21</c:v>
                </c:pt>
                <c:pt idx="456">
                  <c:v>7.4245859259746141E-21</c:v>
                </c:pt>
                <c:pt idx="457">
                  <c:v>5.7737683457330174E-21</c:v>
                </c:pt>
                <c:pt idx="458">
                  <c:v>4.4870861187552094E-21</c:v>
                </c:pt>
                <c:pt idx="459">
                  <c:v>3.4848764591487769E-21</c:v>
                </c:pt>
                <c:pt idx="460">
                  <c:v>2.7047572951429717E-21</c:v>
                </c:pt>
                <c:pt idx="461">
                  <c:v>2.0979114205142723E-21</c:v>
                </c:pt>
                <c:pt idx="462">
                  <c:v>1.6261624396864296E-21</c:v>
                </c:pt>
                <c:pt idx="463">
                  <c:v>1.2596753661735618E-21</c:v>
                </c:pt>
                <c:pt idx="464">
                  <c:v>9.7514967315069285E-22</c:v>
                </c:pt>
                <c:pt idx="465">
                  <c:v>7.5440030406824958E-22</c:v>
                </c:pt>
                <c:pt idx="466">
                  <c:v>5.8324411076206668E-22</c:v>
                </c:pt>
                <c:pt idx="467">
                  <c:v>4.5062657704565446E-22</c:v>
                </c:pt>
                <c:pt idx="468">
                  <c:v>3.4793744811388569E-22</c:v>
                </c:pt>
                <c:pt idx="469">
                  <c:v>2.6847476941474393E-22</c:v>
                </c:pt>
                <c:pt idx="470">
                  <c:v>2.0702543909263957E-22</c:v>
                </c:pt>
                <c:pt idx="471">
                  <c:v>1.5953716968359258E-22</c:v>
                </c:pt>
                <c:pt idx="472">
                  <c:v>1.2286211407323889E-22</c:v>
                </c:pt>
                <c:pt idx="473">
                  <c:v>9.4556636841720456E-23</c:v>
                </c:pt>
                <c:pt idx="474">
                  <c:v>7.2725042258579063E-23</c:v>
                </c:pt>
                <c:pt idx="475">
                  <c:v>5.5897692443735991E-23</c:v>
                </c:pt>
                <c:pt idx="476">
                  <c:v>4.2936012584119632E-23</c:v>
                </c:pt>
                <c:pt idx="477">
                  <c:v>3.2958502549457433E-23</c:v>
                </c:pt>
                <c:pt idx="478">
                  <c:v>2.5283149098496872E-23</c:v>
                </c:pt>
                <c:pt idx="479">
                  <c:v>1.9382633870989268E-23</c:v>
                </c:pt>
                <c:pt idx="480">
                  <c:v>1.4849517786494484E-23</c:v>
                </c:pt>
                <c:pt idx="481">
                  <c:v>1.1369198308764444E-23</c:v>
                </c:pt>
                <c:pt idx="482">
                  <c:v>8.698918559152139E-24</c:v>
                </c:pt>
                <c:pt idx="483">
                  <c:v>6.6514850651111585E-24</c:v>
                </c:pt>
                <c:pt idx="484">
                  <c:v>5.0826465287611769E-24</c:v>
                </c:pt>
                <c:pt idx="485">
                  <c:v>3.8813171181773735E-24</c:v>
                </c:pt>
                <c:pt idx="486">
                  <c:v>2.9620083584907327E-24</c:v>
                </c:pt>
                <c:pt idx="487">
                  <c:v>2.2589746846324207E-24</c:v>
                </c:pt>
                <c:pt idx="488">
                  <c:v>1.7216877146004318E-24</c:v>
                </c:pt>
                <c:pt idx="489">
                  <c:v>1.3113400617854194E-24</c:v>
                </c:pt>
                <c:pt idx="490">
                  <c:v>9.981463205627708E-25</c:v>
                </c:pt>
                <c:pt idx="491">
                  <c:v>7.5926087896870822E-25</c:v>
                </c:pt>
                <c:pt idx="492">
                  <c:v>5.771726837851888E-25</c:v>
                </c:pt>
                <c:pt idx="493">
                  <c:v>4.3846854819243542E-25</c:v>
                </c:pt>
                <c:pt idx="494">
                  <c:v>3.328810374443097E-25</c:v>
                </c:pt>
                <c:pt idx="495">
                  <c:v>2.5255594640611933E-25</c:v>
                </c:pt>
                <c:pt idx="496">
                  <c:v>1.9148910650435163E-25</c:v>
                </c:pt>
                <c:pt idx="497">
                  <c:v>1.4509367447174462E-25</c:v>
                </c:pt>
                <c:pt idx="498">
                  <c:v>1.0986789861103381E-25</c:v>
                </c:pt>
                <c:pt idx="499">
                  <c:v>8.3140204627556819E-26</c:v>
                </c:pt>
                <c:pt idx="500">
                  <c:v>6.2873739637249348E-26</c:v>
                </c:pt>
                <c:pt idx="501">
                  <c:v>4.7516607678441128E-26</c:v>
                </c:pt>
                <c:pt idx="502">
                  <c:v>3.5887193427122711E-26</c:v>
                </c:pt>
                <c:pt idx="503">
                  <c:v>2.7086412957828642E-26</c:v>
                </c:pt>
                <c:pt idx="504">
                  <c:v>2.0430614419047445E-26</c:v>
                </c:pt>
                <c:pt idx="505">
                  <c:v>1.5400303932887E-26</c:v>
                </c:pt>
                <c:pt idx="506">
                  <c:v>1.1600990964944743E-26</c:v>
                </c:pt>
                <c:pt idx="507">
                  <c:v>8.7333088161102495E-27</c:v>
                </c:pt>
                <c:pt idx="508">
                  <c:v>6.5702285712546064E-27</c:v>
                </c:pt>
                <c:pt idx="509">
                  <c:v>4.9396942879170442E-27</c:v>
                </c:pt>
                <c:pt idx="510">
                  <c:v>3.7113985803335499E-27</c:v>
                </c:pt>
                <c:pt idx="511">
                  <c:v>2.7867182068316449E-27</c:v>
                </c:pt>
                <c:pt idx="512">
                  <c:v>2.0910597619652521E-27</c:v>
                </c:pt>
                <c:pt idx="513">
                  <c:v>1.5680422749530598E-27</c:v>
                </c:pt>
                <c:pt idx="514">
                  <c:v>1.1750788827670403E-27</c:v>
                </c:pt>
                <c:pt idx="515">
                  <c:v>8.8002337580073055E-28</c:v>
                </c:pt>
                <c:pt idx="516">
                  <c:v>6.5862669193637542E-28</c:v>
                </c:pt>
                <c:pt idx="517">
                  <c:v>4.9260904105355144E-28</c:v>
                </c:pt>
                <c:pt idx="518">
                  <c:v>3.6819964183655428E-28</c:v>
                </c:pt>
                <c:pt idx="519">
                  <c:v>2.7503139858105673E-28</c:v>
                </c:pt>
                <c:pt idx="520">
                  <c:v>2.0530481033526979E-28</c:v>
                </c:pt>
                <c:pt idx="521">
                  <c:v>1.5315596115676645E-28</c:v>
                </c:pt>
                <c:pt idx="522">
                  <c:v>1.1417910052156388E-28</c:v>
                </c:pt>
                <c:pt idx="523">
                  <c:v>8.5066244868506384E-29</c:v>
                </c:pt>
                <c:pt idx="524">
                  <c:v>6.3335300964344251E-29</c:v>
                </c:pt>
                <c:pt idx="525">
                  <c:v>4.7125106812398596E-29</c:v>
                </c:pt>
                <c:pt idx="526">
                  <c:v>3.5041023978415213E-29</c:v>
                </c:pt>
                <c:pt idx="527">
                  <c:v>2.60386918564526E-29</c:v>
                </c:pt>
                <c:pt idx="528">
                  <c:v>1.9336571253541592E-29</c:v>
                </c:pt>
                <c:pt idx="529">
                  <c:v>1.4350191797221093E-29</c:v>
                </c:pt>
                <c:pt idx="530">
                  <c:v>1.0642750370946051E-29</c:v>
                </c:pt>
                <c:pt idx="531">
                  <c:v>7.8880195458318322E-30</c:v>
                </c:pt>
                <c:pt idx="532">
                  <c:v>5.8425173752559014E-30</c:v>
                </c:pt>
                <c:pt idx="533">
                  <c:v>4.3246401840063578E-30</c:v>
                </c:pt>
                <c:pt idx="534">
                  <c:v>3.1990267999437882E-30</c:v>
                </c:pt>
                <c:pt idx="535">
                  <c:v>2.3648506019973241E-30</c:v>
                </c:pt>
                <c:pt idx="536">
                  <c:v>1.7470586029811812E-30</c:v>
                </c:pt>
                <c:pt idx="537">
                  <c:v>1.2898201840310217E-30</c:v>
                </c:pt>
                <c:pt idx="538">
                  <c:v>9.5163147265560869E-31</c:v>
                </c:pt>
                <c:pt idx="539">
                  <c:v>7.01659414748155E-31</c:v>
                </c:pt>
                <c:pt idx="540">
                  <c:v>5.1701345943956551E-31</c:v>
                </c:pt>
              </c:numCache>
            </c:numRef>
          </c:yVal>
          <c:smooth val="1"/>
        </c:ser>
        <c:ser>
          <c:idx val="0"/>
          <c:order val="4"/>
          <c:tx>
            <c:strRef>
              <c:f>Data!$H$1</c:f>
              <c:strCache>
                <c:ptCount val="1"/>
                <c:pt idx="0">
                  <c:v>Peak 3</c:v>
                </c:pt>
              </c:strCache>
            </c:strRef>
          </c:tx>
          <c:spPr>
            <a:ln w="12700">
              <a:solidFill>
                <a:srgbClr val="000080"/>
              </a:solidFill>
              <a:prstDash val="solid"/>
            </a:ln>
          </c:spPr>
          <c:marker>
            <c:symbol val="none"/>
          </c:marker>
          <c:xVal>
            <c:numRef>
              <c:f>Data!$A$2:$A$1001</c:f>
              <c:numCache>
                <c:formatCode>General</c:formatCode>
                <c:ptCount val="1000"/>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c:v>
                </c:pt>
                <c:pt idx="193">
                  <c:v>386</c:v>
                </c:pt>
                <c:pt idx="194">
                  <c:v>388</c:v>
                </c:pt>
                <c:pt idx="195">
                  <c:v>390</c:v>
                </c:pt>
                <c:pt idx="196">
                  <c:v>392</c:v>
                </c:pt>
                <c:pt idx="197">
                  <c:v>394</c:v>
                </c:pt>
                <c:pt idx="198">
                  <c:v>396</c:v>
                </c:pt>
                <c:pt idx="199">
                  <c:v>398</c:v>
                </c:pt>
                <c:pt idx="200">
                  <c:v>400</c:v>
                </c:pt>
                <c:pt idx="201">
                  <c:v>402</c:v>
                </c:pt>
                <c:pt idx="202">
                  <c:v>404</c:v>
                </c:pt>
                <c:pt idx="203">
                  <c:v>406</c:v>
                </c:pt>
                <c:pt idx="204">
                  <c:v>408</c:v>
                </c:pt>
                <c:pt idx="205">
                  <c:v>410</c:v>
                </c:pt>
                <c:pt idx="206">
                  <c:v>412</c:v>
                </c:pt>
                <c:pt idx="207">
                  <c:v>414</c:v>
                </c:pt>
                <c:pt idx="208">
                  <c:v>416</c:v>
                </c:pt>
                <c:pt idx="209">
                  <c:v>418</c:v>
                </c:pt>
                <c:pt idx="210">
                  <c:v>420</c:v>
                </c:pt>
                <c:pt idx="211">
                  <c:v>422</c:v>
                </c:pt>
                <c:pt idx="212">
                  <c:v>424</c:v>
                </c:pt>
                <c:pt idx="213">
                  <c:v>426</c:v>
                </c:pt>
                <c:pt idx="214">
                  <c:v>428</c:v>
                </c:pt>
                <c:pt idx="215">
                  <c:v>430</c:v>
                </c:pt>
                <c:pt idx="216">
                  <c:v>432</c:v>
                </c:pt>
                <c:pt idx="217">
                  <c:v>434</c:v>
                </c:pt>
                <c:pt idx="218">
                  <c:v>436</c:v>
                </c:pt>
                <c:pt idx="219">
                  <c:v>438</c:v>
                </c:pt>
                <c:pt idx="220">
                  <c:v>440</c:v>
                </c:pt>
                <c:pt idx="221">
                  <c:v>442</c:v>
                </c:pt>
                <c:pt idx="222">
                  <c:v>444</c:v>
                </c:pt>
                <c:pt idx="223">
                  <c:v>446</c:v>
                </c:pt>
                <c:pt idx="224">
                  <c:v>448</c:v>
                </c:pt>
                <c:pt idx="225">
                  <c:v>450</c:v>
                </c:pt>
                <c:pt idx="226">
                  <c:v>452</c:v>
                </c:pt>
                <c:pt idx="227">
                  <c:v>454</c:v>
                </c:pt>
                <c:pt idx="228">
                  <c:v>456</c:v>
                </c:pt>
                <c:pt idx="229">
                  <c:v>458</c:v>
                </c:pt>
                <c:pt idx="230">
                  <c:v>460</c:v>
                </c:pt>
                <c:pt idx="231">
                  <c:v>462</c:v>
                </c:pt>
                <c:pt idx="232">
                  <c:v>464</c:v>
                </c:pt>
                <c:pt idx="233">
                  <c:v>466</c:v>
                </c:pt>
                <c:pt idx="234">
                  <c:v>468</c:v>
                </c:pt>
                <c:pt idx="235">
                  <c:v>470</c:v>
                </c:pt>
                <c:pt idx="236">
                  <c:v>472</c:v>
                </c:pt>
                <c:pt idx="237">
                  <c:v>474</c:v>
                </c:pt>
                <c:pt idx="238">
                  <c:v>476</c:v>
                </c:pt>
                <c:pt idx="239">
                  <c:v>478</c:v>
                </c:pt>
                <c:pt idx="240">
                  <c:v>480</c:v>
                </c:pt>
                <c:pt idx="241">
                  <c:v>482</c:v>
                </c:pt>
                <c:pt idx="242">
                  <c:v>484</c:v>
                </c:pt>
                <c:pt idx="243">
                  <c:v>486</c:v>
                </c:pt>
                <c:pt idx="244">
                  <c:v>488</c:v>
                </c:pt>
                <c:pt idx="245">
                  <c:v>490</c:v>
                </c:pt>
                <c:pt idx="246">
                  <c:v>492</c:v>
                </c:pt>
                <c:pt idx="247">
                  <c:v>494</c:v>
                </c:pt>
                <c:pt idx="248">
                  <c:v>496</c:v>
                </c:pt>
                <c:pt idx="249">
                  <c:v>498</c:v>
                </c:pt>
                <c:pt idx="250">
                  <c:v>500</c:v>
                </c:pt>
                <c:pt idx="251">
                  <c:v>502</c:v>
                </c:pt>
                <c:pt idx="252">
                  <c:v>504</c:v>
                </c:pt>
                <c:pt idx="253">
                  <c:v>506</c:v>
                </c:pt>
                <c:pt idx="254">
                  <c:v>508</c:v>
                </c:pt>
                <c:pt idx="255">
                  <c:v>510</c:v>
                </c:pt>
                <c:pt idx="256">
                  <c:v>512</c:v>
                </c:pt>
                <c:pt idx="257">
                  <c:v>514</c:v>
                </c:pt>
                <c:pt idx="258">
                  <c:v>516</c:v>
                </c:pt>
                <c:pt idx="259">
                  <c:v>518</c:v>
                </c:pt>
                <c:pt idx="260">
                  <c:v>520</c:v>
                </c:pt>
                <c:pt idx="261">
                  <c:v>522</c:v>
                </c:pt>
                <c:pt idx="262">
                  <c:v>524</c:v>
                </c:pt>
                <c:pt idx="263">
                  <c:v>526</c:v>
                </c:pt>
                <c:pt idx="264">
                  <c:v>528</c:v>
                </c:pt>
                <c:pt idx="265">
                  <c:v>530</c:v>
                </c:pt>
                <c:pt idx="266">
                  <c:v>532</c:v>
                </c:pt>
                <c:pt idx="267">
                  <c:v>534</c:v>
                </c:pt>
                <c:pt idx="268">
                  <c:v>536</c:v>
                </c:pt>
                <c:pt idx="269">
                  <c:v>538</c:v>
                </c:pt>
                <c:pt idx="270">
                  <c:v>540</c:v>
                </c:pt>
                <c:pt idx="271">
                  <c:v>542</c:v>
                </c:pt>
                <c:pt idx="272">
                  <c:v>544</c:v>
                </c:pt>
                <c:pt idx="273">
                  <c:v>546</c:v>
                </c:pt>
                <c:pt idx="274">
                  <c:v>548</c:v>
                </c:pt>
                <c:pt idx="275">
                  <c:v>550</c:v>
                </c:pt>
                <c:pt idx="276">
                  <c:v>552</c:v>
                </c:pt>
                <c:pt idx="277">
                  <c:v>554</c:v>
                </c:pt>
                <c:pt idx="278">
                  <c:v>556</c:v>
                </c:pt>
                <c:pt idx="279">
                  <c:v>558</c:v>
                </c:pt>
                <c:pt idx="280">
                  <c:v>560</c:v>
                </c:pt>
                <c:pt idx="281">
                  <c:v>562</c:v>
                </c:pt>
                <c:pt idx="282">
                  <c:v>564</c:v>
                </c:pt>
                <c:pt idx="283">
                  <c:v>566</c:v>
                </c:pt>
                <c:pt idx="284">
                  <c:v>568</c:v>
                </c:pt>
                <c:pt idx="285">
                  <c:v>570</c:v>
                </c:pt>
                <c:pt idx="286">
                  <c:v>572</c:v>
                </c:pt>
                <c:pt idx="287">
                  <c:v>574</c:v>
                </c:pt>
                <c:pt idx="288">
                  <c:v>576</c:v>
                </c:pt>
                <c:pt idx="289">
                  <c:v>578</c:v>
                </c:pt>
                <c:pt idx="290">
                  <c:v>580</c:v>
                </c:pt>
                <c:pt idx="291">
                  <c:v>582</c:v>
                </c:pt>
                <c:pt idx="292">
                  <c:v>584</c:v>
                </c:pt>
                <c:pt idx="293">
                  <c:v>586</c:v>
                </c:pt>
                <c:pt idx="294">
                  <c:v>588</c:v>
                </c:pt>
                <c:pt idx="295">
                  <c:v>590</c:v>
                </c:pt>
                <c:pt idx="296">
                  <c:v>592</c:v>
                </c:pt>
                <c:pt idx="297">
                  <c:v>594</c:v>
                </c:pt>
                <c:pt idx="298">
                  <c:v>596</c:v>
                </c:pt>
                <c:pt idx="299">
                  <c:v>598</c:v>
                </c:pt>
                <c:pt idx="300">
                  <c:v>600</c:v>
                </c:pt>
                <c:pt idx="301">
                  <c:v>602</c:v>
                </c:pt>
                <c:pt idx="302">
                  <c:v>604</c:v>
                </c:pt>
                <c:pt idx="303">
                  <c:v>606</c:v>
                </c:pt>
                <c:pt idx="304">
                  <c:v>608</c:v>
                </c:pt>
                <c:pt idx="305">
                  <c:v>610</c:v>
                </c:pt>
                <c:pt idx="306">
                  <c:v>612</c:v>
                </c:pt>
                <c:pt idx="307">
                  <c:v>614</c:v>
                </c:pt>
                <c:pt idx="308">
                  <c:v>616</c:v>
                </c:pt>
                <c:pt idx="309">
                  <c:v>618</c:v>
                </c:pt>
                <c:pt idx="310">
                  <c:v>620</c:v>
                </c:pt>
                <c:pt idx="311">
                  <c:v>622</c:v>
                </c:pt>
                <c:pt idx="312">
                  <c:v>624</c:v>
                </c:pt>
                <c:pt idx="313">
                  <c:v>626</c:v>
                </c:pt>
                <c:pt idx="314">
                  <c:v>628</c:v>
                </c:pt>
                <c:pt idx="315">
                  <c:v>630</c:v>
                </c:pt>
                <c:pt idx="316">
                  <c:v>632</c:v>
                </c:pt>
                <c:pt idx="317">
                  <c:v>634</c:v>
                </c:pt>
                <c:pt idx="318">
                  <c:v>636</c:v>
                </c:pt>
                <c:pt idx="319">
                  <c:v>638</c:v>
                </c:pt>
                <c:pt idx="320">
                  <c:v>640</c:v>
                </c:pt>
                <c:pt idx="321">
                  <c:v>642</c:v>
                </c:pt>
                <c:pt idx="322">
                  <c:v>644</c:v>
                </c:pt>
                <c:pt idx="323">
                  <c:v>646</c:v>
                </c:pt>
                <c:pt idx="324">
                  <c:v>648</c:v>
                </c:pt>
                <c:pt idx="325">
                  <c:v>650</c:v>
                </c:pt>
                <c:pt idx="326">
                  <c:v>652</c:v>
                </c:pt>
                <c:pt idx="327">
                  <c:v>654</c:v>
                </c:pt>
                <c:pt idx="328">
                  <c:v>656</c:v>
                </c:pt>
                <c:pt idx="329">
                  <c:v>658</c:v>
                </c:pt>
                <c:pt idx="330">
                  <c:v>660</c:v>
                </c:pt>
                <c:pt idx="331">
                  <c:v>662</c:v>
                </c:pt>
                <c:pt idx="332">
                  <c:v>664</c:v>
                </c:pt>
                <c:pt idx="333">
                  <c:v>666</c:v>
                </c:pt>
                <c:pt idx="334">
                  <c:v>668</c:v>
                </c:pt>
                <c:pt idx="335">
                  <c:v>670</c:v>
                </c:pt>
                <c:pt idx="336">
                  <c:v>672</c:v>
                </c:pt>
                <c:pt idx="337">
                  <c:v>674</c:v>
                </c:pt>
                <c:pt idx="338">
                  <c:v>676</c:v>
                </c:pt>
                <c:pt idx="339">
                  <c:v>678</c:v>
                </c:pt>
                <c:pt idx="340">
                  <c:v>680</c:v>
                </c:pt>
                <c:pt idx="341">
                  <c:v>682</c:v>
                </c:pt>
                <c:pt idx="342">
                  <c:v>684</c:v>
                </c:pt>
                <c:pt idx="343">
                  <c:v>686</c:v>
                </c:pt>
                <c:pt idx="344">
                  <c:v>688</c:v>
                </c:pt>
                <c:pt idx="345">
                  <c:v>690</c:v>
                </c:pt>
                <c:pt idx="346">
                  <c:v>692</c:v>
                </c:pt>
                <c:pt idx="347">
                  <c:v>694</c:v>
                </c:pt>
                <c:pt idx="348">
                  <c:v>696</c:v>
                </c:pt>
                <c:pt idx="349">
                  <c:v>698</c:v>
                </c:pt>
                <c:pt idx="350">
                  <c:v>700</c:v>
                </c:pt>
                <c:pt idx="351">
                  <c:v>702</c:v>
                </c:pt>
                <c:pt idx="352">
                  <c:v>704</c:v>
                </c:pt>
                <c:pt idx="353">
                  <c:v>706</c:v>
                </c:pt>
                <c:pt idx="354">
                  <c:v>708</c:v>
                </c:pt>
                <c:pt idx="355">
                  <c:v>710</c:v>
                </c:pt>
                <c:pt idx="356">
                  <c:v>712</c:v>
                </c:pt>
                <c:pt idx="357">
                  <c:v>714</c:v>
                </c:pt>
                <c:pt idx="358">
                  <c:v>716</c:v>
                </c:pt>
                <c:pt idx="359">
                  <c:v>718</c:v>
                </c:pt>
                <c:pt idx="360">
                  <c:v>720</c:v>
                </c:pt>
                <c:pt idx="361">
                  <c:v>722</c:v>
                </c:pt>
                <c:pt idx="362">
                  <c:v>724</c:v>
                </c:pt>
                <c:pt idx="363">
                  <c:v>726</c:v>
                </c:pt>
                <c:pt idx="364">
                  <c:v>728</c:v>
                </c:pt>
                <c:pt idx="365">
                  <c:v>730</c:v>
                </c:pt>
                <c:pt idx="366">
                  <c:v>732</c:v>
                </c:pt>
                <c:pt idx="367">
                  <c:v>734</c:v>
                </c:pt>
                <c:pt idx="368">
                  <c:v>736</c:v>
                </c:pt>
                <c:pt idx="369">
                  <c:v>738</c:v>
                </c:pt>
                <c:pt idx="370">
                  <c:v>740</c:v>
                </c:pt>
                <c:pt idx="371">
                  <c:v>742</c:v>
                </c:pt>
                <c:pt idx="372">
                  <c:v>744</c:v>
                </c:pt>
                <c:pt idx="373">
                  <c:v>746</c:v>
                </c:pt>
                <c:pt idx="374">
                  <c:v>748</c:v>
                </c:pt>
                <c:pt idx="375">
                  <c:v>750</c:v>
                </c:pt>
                <c:pt idx="376">
                  <c:v>752</c:v>
                </c:pt>
                <c:pt idx="377">
                  <c:v>754</c:v>
                </c:pt>
                <c:pt idx="378">
                  <c:v>756</c:v>
                </c:pt>
                <c:pt idx="379">
                  <c:v>758</c:v>
                </c:pt>
                <c:pt idx="380">
                  <c:v>760</c:v>
                </c:pt>
                <c:pt idx="381">
                  <c:v>762</c:v>
                </c:pt>
                <c:pt idx="382">
                  <c:v>764</c:v>
                </c:pt>
                <c:pt idx="383">
                  <c:v>766</c:v>
                </c:pt>
                <c:pt idx="384">
                  <c:v>768</c:v>
                </c:pt>
                <c:pt idx="385">
                  <c:v>770</c:v>
                </c:pt>
                <c:pt idx="386">
                  <c:v>772</c:v>
                </c:pt>
                <c:pt idx="387">
                  <c:v>774</c:v>
                </c:pt>
                <c:pt idx="388">
                  <c:v>776</c:v>
                </c:pt>
                <c:pt idx="389">
                  <c:v>778</c:v>
                </c:pt>
                <c:pt idx="390">
                  <c:v>780</c:v>
                </c:pt>
                <c:pt idx="391">
                  <c:v>782</c:v>
                </c:pt>
                <c:pt idx="392">
                  <c:v>784</c:v>
                </c:pt>
                <c:pt idx="393">
                  <c:v>786</c:v>
                </c:pt>
                <c:pt idx="394">
                  <c:v>788</c:v>
                </c:pt>
                <c:pt idx="395">
                  <c:v>790</c:v>
                </c:pt>
                <c:pt idx="396">
                  <c:v>792</c:v>
                </c:pt>
                <c:pt idx="397">
                  <c:v>794</c:v>
                </c:pt>
                <c:pt idx="398">
                  <c:v>796</c:v>
                </c:pt>
                <c:pt idx="399">
                  <c:v>798</c:v>
                </c:pt>
                <c:pt idx="400">
                  <c:v>800</c:v>
                </c:pt>
                <c:pt idx="401">
                  <c:v>802</c:v>
                </c:pt>
                <c:pt idx="402">
                  <c:v>804</c:v>
                </c:pt>
                <c:pt idx="403">
                  <c:v>806</c:v>
                </c:pt>
                <c:pt idx="404">
                  <c:v>808</c:v>
                </c:pt>
                <c:pt idx="405">
                  <c:v>810</c:v>
                </c:pt>
                <c:pt idx="406">
                  <c:v>812</c:v>
                </c:pt>
                <c:pt idx="407">
                  <c:v>814</c:v>
                </c:pt>
                <c:pt idx="408">
                  <c:v>816</c:v>
                </c:pt>
                <c:pt idx="409">
                  <c:v>818</c:v>
                </c:pt>
                <c:pt idx="410">
                  <c:v>820</c:v>
                </c:pt>
                <c:pt idx="411">
                  <c:v>822</c:v>
                </c:pt>
                <c:pt idx="412">
                  <c:v>824</c:v>
                </c:pt>
                <c:pt idx="413">
                  <c:v>826</c:v>
                </c:pt>
                <c:pt idx="414">
                  <c:v>828</c:v>
                </c:pt>
                <c:pt idx="415">
                  <c:v>830</c:v>
                </c:pt>
                <c:pt idx="416">
                  <c:v>832</c:v>
                </c:pt>
                <c:pt idx="417">
                  <c:v>834</c:v>
                </c:pt>
                <c:pt idx="418">
                  <c:v>836</c:v>
                </c:pt>
                <c:pt idx="419">
                  <c:v>838</c:v>
                </c:pt>
                <c:pt idx="420">
                  <c:v>840</c:v>
                </c:pt>
                <c:pt idx="421">
                  <c:v>842</c:v>
                </c:pt>
                <c:pt idx="422">
                  <c:v>844</c:v>
                </c:pt>
                <c:pt idx="423">
                  <c:v>846</c:v>
                </c:pt>
                <c:pt idx="424">
                  <c:v>848</c:v>
                </c:pt>
                <c:pt idx="425">
                  <c:v>850</c:v>
                </c:pt>
                <c:pt idx="426">
                  <c:v>852</c:v>
                </c:pt>
                <c:pt idx="427">
                  <c:v>854</c:v>
                </c:pt>
                <c:pt idx="428">
                  <c:v>856</c:v>
                </c:pt>
                <c:pt idx="429">
                  <c:v>858</c:v>
                </c:pt>
                <c:pt idx="430">
                  <c:v>860</c:v>
                </c:pt>
                <c:pt idx="431">
                  <c:v>862</c:v>
                </c:pt>
                <c:pt idx="432">
                  <c:v>864</c:v>
                </c:pt>
                <c:pt idx="433">
                  <c:v>866</c:v>
                </c:pt>
                <c:pt idx="434">
                  <c:v>868</c:v>
                </c:pt>
                <c:pt idx="435">
                  <c:v>870</c:v>
                </c:pt>
                <c:pt idx="436">
                  <c:v>872</c:v>
                </c:pt>
                <c:pt idx="437">
                  <c:v>874</c:v>
                </c:pt>
                <c:pt idx="438">
                  <c:v>876</c:v>
                </c:pt>
                <c:pt idx="439">
                  <c:v>878</c:v>
                </c:pt>
                <c:pt idx="440">
                  <c:v>880</c:v>
                </c:pt>
                <c:pt idx="441">
                  <c:v>882</c:v>
                </c:pt>
                <c:pt idx="442">
                  <c:v>884</c:v>
                </c:pt>
                <c:pt idx="443">
                  <c:v>886</c:v>
                </c:pt>
                <c:pt idx="444">
                  <c:v>888</c:v>
                </c:pt>
                <c:pt idx="445">
                  <c:v>890</c:v>
                </c:pt>
                <c:pt idx="446">
                  <c:v>892</c:v>
                </c:pt>
                <c:pt idx="447">
                  <c:v>894</c:v>
                </c:pt>
                <c:pt idx="448">
                  <c:v>896</c:v>
                </c:pt>
                <c:pt idx="449">
                  <c:v>898</c:v>
                </c:pt>
                <c:pt idx="450">
                  <c:v>900</c:v>
                </c:pt>
                <c:pt idx="451">
                  <c:v>902</c:v>
                </c:pt>
                <c:pt idx="452">
                  <c:v>904</c:v>
                </c:pt>
                <c:pt idx="453">
                  <c:v>906</c:v>
                </c:pt>
                <c:pt idx="454">
                  <c:v>908</c:v>
                </c:pt>
                <c:pt idx="455">
                  <c:v>910</c:v>
                </c:pt>
                <c:pt idx="456">
                  <c:v>912</c:v>
                </c:pt>
                <c:pt idx="457">
                  <c:v>914</c:v>
                </c:pt>
                <c:pt idx="458">
                  <c:v>916</c:v>
                </c:pt>
                <c:pt idx="459">
                  <c:v>918</c:v>
                </c:pt>
                <c:pt idx="460">
                  <c:v>920</c:v>
                </c:pt>
                <c:pt idx="461">
                  <c:v>922</c:v>
                </c:pt>
                <c:pt idx="462">
                  <c:v>924</c:v>
                </c:pt>
                <c:pt idx="463">
                  <c:v>926</c:v>
                </c:pt>
                <c:pt idx="464">
                  <c:v>928</c:v>
                </c:pt>
                <c:pt idx="465">
                  <c:v>930</c:v>
                </c:pt>
                <c:pt idx="466">
                  <c:v>932</c:v>
                </c:pt>
                <c:pt idx="467">
                  <c:v>934</c:v>
                </c:pt>
                <c:pt idx="468">
                  <c:v>936</c:v>
                </c:pt>
                <c:pt idx="469">
                  <c:v>938</c:v>
                </c:pt>
                <c:pt idx="470">
                  <c:v>940</c:v>
                </c:pt>
                <c:pt idx="471">
                  <c:v>942</c:v>
                </c:pt>
                <c:pt idx="472">
                  <c:v>944</c:v>
                </c:pt>
                <c:pt idx="473">
                  <c:v>946</c:v>
                </c:pt>
                <c:pt idx="474">
                  <c:v>948</c:v>
                </c:pt>
                <c:pt idx="475">
                  <c:v>950</c:v>
                </c:pt>
                <c:pt idx="476">
                  <c:v>952</c:v>
                </c:pt>
                <c:pt idx="477">
                  <c:v>954</c:v>
                </c:pt>
                <c:pt idx="478">
                  <c:v>956</c:v>
                </c:pt>
                <c:pt idx="479">
                  <c:v>958</c:v>
                </c:pt>
                <c:pt idx="480">
                  <c:v>960</c:v>
                </c:pt>
                <c:pt idx="481">
                  <c:v>962</c:v>
                </c:pt>
                <c:pt idx="482">
                  <c:v>964</c:v>
                </c:pt>
                <c:pt idx="483">
                  <c:v>966</c:v>
                </c:pt>
                <c:pt idx="484">
                  <c:v>968</c:v>
                </c:pt>
                <c:pt idx="485">
                  <c:v>970</c:v>
                </c:pt>
                <c:pt idx="486">
                  <c:v>972</c:v>
                </c:pt>
                <c:pt idx="487">
                  <c:v>974</c:v>
                </c:pt>
                <c:pt idx="488">
                  <c:v>976</c:v>
                </c:pt>
                <c:pt idx="489">
                  <c:v>978</c:v>
                </c:pt>
                <c:pt idx="490">
                  <c:v>980</c:v>
                </c:pt>
                <c:pt idx="491">
                  <c:v>982</c:v>
                </c:pt>
                <c:pt idx="492">
                  <c:v>984</c:v>
                </c:pt>
                <c:pt idx="493">
                  <c:v>986</c:v>
                </c:pt>
                <c:pt idx="494">
                  <c:v>988</c:v>
                </c:pt>
                <c:pt idx="495">
                  <c:v>990</c:v>
                </c:pt>
                <c:pt idx="496">
                  <c:v>992</c:v>
                </c:pt>
                <c:pt idx="497">
                  <c:v>994</c:v>
                </c:pt>
                <c:pt idx="498">
                  <c:v>996</c:v>
                </c:pt>
                <c:pt idx="499">
                  <c:v>998</c:v>
                </c:pt>
                <c:pt idx="500">
                  <c:v>1000</c:v>
                </c:pt>
                <c:pt idx="501">
                  <c:v>1002</c:v>
                </c:pt>
                <c:pt idx="502">
                  <c:v>1004</c:v>
                </c:pt>
                <c:pt idx="503">
                  <c:v>1006</c:v>
                </c:pt>
                <c:pt idx="504">
                  <c:v>1008</c:v>
                </c:pt>
                <c:pt idx="505">
                  <c:v>1010</c:v>
                </c:pt>
                <c:pt idx="506">
                  <c:v>1012</c:v>
                </c:pt>
                <c:pt idx="507">
                  <c:v>1014</c:v>
                </c:pt>
                <c:pt idx="508">
                  <c:v>1016</c:v>
                </c:pt>
                <c:pt idx="509">
                  <c:v>1018</c:v>
                </c:pt>
                <c:pt idx="510">
                  <c:v>1020</c:v>
                </c:pt>
                <c:pt idx="511">
                  <c:v>1022</c:v>
                </c:pt>
                <c:pt idx="512">
                  <c:v>1024</c:v>
                </c:pt>
                <c:pt idx="513">
                  <c:v>1026</c:v>
                </c:pt>
                <c:pt idx="514">
                  <c:v>1028</c:v>
                </c:pt>
                <c:pt idx="515">
                  <c:v>1030</c:v>
                </c:pt>
                <c:pt idx="516">
                  <c:v>1032</c:v>
                </c:pt>
                <c:pt idx="517">
                  <c:v>1034</c:v>
                </c:pt>
                <c:pt idx="518">
                  <c:v>1036</c:v>
                </c:pt>
                <c:pt idx="519">
                  <c:v>1038</c:v>
                </c:pt>
                <c:pt idx="520">
                  <c:v>1040</c:v>
                </c:pt>
                <c:pt idx="521">
                  <c:v>1042</c:v>
                </c:pt>
                <c:pt idx="522">
                  <c:v>1044</c:v>
                </c:pt>
                <c:pt idx="523">
                  <c:v>1046</c:v>
                </c:pt>
                <c:pt idx="524">
                  <c:v>1048</c:v>
                </c:pt>
                <c:pt idx="525">
                  <c:v>1050</c:v>
                </c:pt>
                <c:pt idx="526">
                  <c:v>1052</c:v>
                </c:pt>
                <c:pt idx="527">
                  <c:v>1054</c:v>
                </c:pt>
                <c:pt idx="528">
                  <c:v>1056</c:v>
                </c:pt>
                <c:pt idx="529">
                  <c:v>1058</c:v>
                </c:pt>
                <c:pt idx="530">
                  <c:v>1060</c:v>
                </c:pt>
                <c:pt idx="531">
                  <c:v>1062</c:v>
                </c:pt>
                <c:pt idx="532">
                  <c:v>1064</c:v>
                </c:pt>
                <c:pt idx="533">
                  <c:v>1066</c:v>
                </c:pt>
                <c:pt idx="534">
                  <c:v>1068</c:v>
                </c:pt>
                <c:pt idx="535">
                  <c:v>1070</c:v>
                </c:pt>
                <c:pt idx="536">
                  <c:v>1072</c:v>
                </c:pt>
                <c:pt idx="537">
                  <c:v>1074</c:v>
                </c:pt>
                <c:pt idx="538">
                  <c:v>1076</c:v>
                </c:pt>
                <c:pt idx="539">
                  <c:v>1078</c:v>
                </c:pt>
                <c:pt idx="540">
                  <c:v>1080</c:v>
                </c:pt>
              </c:numCache>
            </c:numRef>
          </c:xVal>
          <c:yVal>
            <c:numRef>
              <c:f>Data!$H$2:$H$1001</c:f>
              <c:numCache>
                <c:formatCode>0</c:formatCode>
                <c:ptCount val="1000"/>
                <c:pt idx="0">
                  <c:v>0.45698093274234325</c:v>
                </c:pt>
                <c:pt idx="1">
                  <c:v>0.47212230179710046</c:v>
                </c:pt>
                <c:pt idx="2">
                  <c:v>0.48769523984002788</c:v>
                </c:pt>
                <c:pt idx="3">
                  <c:v>0.50370943103406474</c:v>
                </c:pt>
                <c:pt idx="4">
                  <c:v>0.52017468483808571</c:v>
                </c:pt>
                <c:pt idx="5">
                  <c:v>0.53710093438855877</c:v>
                </c:pt>
                <c:pt idx="6">
                  <c:v>0.55449823473784843</c:v>
                </c:pt>
                <c:pt idx="7">
                  <c:v>0.57237676094602286</c:v>
                </c:pt>
                <c:pt idx="8">
                  <c:v>0.59074680602307139</c:v>
                </c:pt>
                <c:pt idx="9">
                  <c:v>0.60961877871848813</c:v>
                </c:pt>
                <c:pt idx="10">
                  <c:v>0.62900320115524033</c:v>
                </c:pt>
                <c:pt idx="11">
                  <c:v>0.64891070630519998</c:v>
                </c:pt>
                <c:pt idx="12">
                  <c:v>0.66935203530318421</c:v>
                </c:pt>
                <c:pt idx="13">
                  <c:v>0.69033803459682941</c:v>
                </c:pt>
                <c:pt idx="14">
                  <c:v>0.71187965292959932</c:v>
                </c:pt>
                <c:pt idx="15">
                  <c:v>0.73398793815431174</c:v>
                </c:pt>
                <c:pt idx="16">
                  <c:v>0.75667403387466281</c:v>
                </c:pt>
                <c:pt idx="17">
                  <c:v>0.77994917591232582</c:v>
                </c:pt>
                <c:pt idx="18">
                  <c:v>0.8038246885972995</c:v>
                </c:pt>
                <c:pt idx="19">
                  <c:v>0.82831198087928959</c:v>
                </c:pt>
                <c:pt idx="20">
                  <c:v>0.85342254225803005</c:v>
                </c:pt>
                <c:pt idx="21">
                  <c:v>0.87916793853055852</c:v>
                </c:pt>
                <c:pt idx="22">
                  <c:v>0.90555980735359987</c:v>
                </c:pt>
                <c:pt idx="23">
                  <c:v>0.93260985361933157</c:v>
                </c:pt>
                <c:pt idx="24">
                  <c:v>0.96032984464295701</c:v>
                </c:pt>
                <c:pt idx="25">
                  <c:v>0.98873160516064063</c:v>
                </c:pt>
                <c:pt idx="26">
                  <c:v>1.0178270121365285</c:v>
                </c:pt>
                <c:pt idx="27">
                  <c:v>1.0476279893777181</c:v>
                </c:pt>
                <c:pt idx="28">
                  <c:v>1.0781465019562151</c:v>
                </c:pt>
                <c:pt idx="29">
                  <c:v>1.1093945504370772</c:v>
                </c:pt>
                <c:pt idx="30">
                  <c:v>1.1413841649121139</c:v>
                </c:pt>
                <c:pt idx="31">
                  <c:v>1.1741273988387173</c:v>
                </c:pt>
                <c:pt idx="32">
                  <c:v>1.207636322683542</c:v>
                </c:pt>
                <c:pt idx="33">
                  <c:v>1.2419230173709923</c:v>
                </c:pt>
                <c:pt idx="34">
                  <c:v>1.2769995675366264</c:v>
                </c:pt>
                <c:pt idx="35">
                  <c:v>1.3128780545858296</c:v>
                </c:pt>
                <c:pt idx="36">
                  <c:v>1.3495705495582866</c:v>
                </c:pt>
                <c:pt idx="37">
                  <c:v>1.3870891057990196</c:v>
                </c:pt>
                <c:pt idx="38">
                  <c:v>1.4254457514369523</c:v>
                </c:pt>
                <c:pt idx="39">
                  <c:v>1.4646524816722186</c:v>
                </c:pt>
                <c:pt idx="40">
                  <c:v>1.504721250873619</c:v>
                </c:pt>
                <c:pt idx="41">
                  <c:v>1.5456639644879098</c:v>
                </c:pt>
                <c:pt idx="42">
                  <c:v>1.5874924707627951</c:v>
                </c:pt>
                <c:pt idx="43">
                  <c:v>1.6302185522857962</c:v>
                </c:pt>
                <c:pt idx="44">
                  <c:v>1.6738539173413425</c:v>
                </c:pt>
                <c:pt idx="45">
                  <c:v>1.7184101910887597</c:v>
                </c:pt>
                <c:pt idx="46">
                  <c:v>1.763898906564022</c:v>
                </c:pt>
                <c:pt idx="47">
                  <c:v>1.8103314955084147</c:v>
                </c:pt>
                <c:pt idx="48">
                  <c:v>1.8577192790275319</c:v>
                </c:pt>
                <c:pt idx="49">
                  <c:v>1.9060734580842618</c:v>
                </c:pt>
                <c:pt idx="50">
                  <c:v>1.9554051038297091</c:v>
                </c:pt>
                <c:pt idx="51">
                  <c:v>2.0057251477762517</c:v>
                </c:pt>
                <c:pt idx="52">
                  <c:v>2.057044371817212</c:v>
                </c:pt>
                <c:pt idx="53">
                  <c:v>2.1093733980978975</c:v>
                </c:pt>
                <c:pt idx="54">
                  <c:v>2.1627226787430192</c:v>
                </c:pt>
                <c:pt idx="55">
                  <c:v>2.2171024854457979</c:v>
                </c:pt>
                <c:pt idx="56">
                  <c:v>2.2725228989243313</c:v>
                </c:pt>
                <c:pt idx="57">
                  <c:v>2.3289937982510618</c:v>
                </c:pt>
                <c:pt idx="58">
                  <c:v>2.3865248500614937</c:v>
                </c:pt>
                <c:pt idx="59">
                  <c:v>2.4451254976485375</c:v>
                </c:pt>
                <c:pt idx="60">
                  <c:v>2.5048049499491838</c:v>
                </c:pt>
                <c:pt idx="61">
                  <c:v>2.5655721704304524</c:v>
                </c:pt>
                <c:pt idx="62">
                  <c:v>2.6274358658818455</c:v>
                </c:pt>
                <c:pt idx="63">
                  <c:v>2.6904044751218059</c:v>
                </c:pt>
                <c:pt idx="64">
                  <c:v>2.7544861576259634</c:v>
                </c:pt>
                <c:pt idx="65">
                  <c:v>2.8196887820851861</c:v>
                </c:pt>
                <c:pt idx="66">
                  <c:v>2.8860199149017678</c:v>
                </c:pt>
                <c:pt idx="67">
                  <c:v>2.9534868086322894</c:v>
                </c:pt>
                <c:pt idx="68">
                  <c:v>3.0220963903860003</c:v>
                </c:pt>
                <c:pt idx="69">
                  <c:v>3.0918552501877836</c:v>
                </c:pt>
                <c:pt idx="70">
                  <c:v>3.162769629315032</c:v>
                </c:pt>
                <c:pt idx="71">
                  <c:v>3.2348454086180056</c:v>
                </c:pt>
                <c:pt idx="72">
                  <c:v>3.3080880968334792</c:v>
                </c:pt>
                <c:pt idx="73">
                  <c:v>3.3825028189017172</c:v>
                </c:pt>
                <c:pt idx="74">
                  <c:v>3.4580943042970471</c:v>
                </c:pt>
                <c:pt idx="75">
                  <c:v>3.5348668753825025</c:v>
                </c:pt>
                <c:pt idx="76">
                  <c:v>3.6128244357992609</c:v>
                </c:pt>
                <c:pt idx="77">
                  <c:v>3.6919704589017446</c:v>
                </c:pt>
                <c:pt idx="78">
                  <c:v>3.7723079762495124</c:v>
                </c:pt>
                <c:pt idx="79">
                  <c:v>3.853839566167208</c:v>
                </c:pt>
                <c:pt idx="80">
                  <c:v>3.936567342384043</c:v>
                </c:pt>
                <c:pt idx="81">
                  <c:v>4.0204929427644389</c:v>
                </c:pt>
                <c:pt idx="82">
                  <c:v>4.1056175181416315</c:v>
                </c:pt>
                <c:pt idx="83">
                  <c:v>4.1919417212661738</c:v>
                </c:pt>
                <c:pt idx="84">
                  <c:v>4.2794656958814272</c:v>
                </c:pt>
                <c:pt idx="85">
                  <c:v>4.3681890659382345</c:v>
                </c:pt>
                <c:pt idx="86">
                  <c:v>4.4581109249611224</c:v>
                </c:pt>
                <c:pt idx="87">
                  <c:v>4.5492298255784451</c:v>
                </c:pt>
                <c:pt idx="88">
                  <c:v>4.6415437692290045</c:v>
                </c:pt>
                <c:pt idx="89">
                  <c:v>4.7350501960577294</c:v>
                </c:pt>
                <c:pt idx="90">
                  <c:v>4.8297459750131067</c:v>
                </c:pt>
                <c:pt idx="91">
                  <c:v>4.9256273941590605</c:v>
                </c:pt>
                <c:pt idx="92">
                  <c:v>5.0226901512140483</c:v>
                </c:pt>
                <c:pt idx="93">
                  <c:v>5.1209293443301727</c:v>
                </c:pt>
                <c:pt idx="94">
                  <c:v>5.2203394631250672</c:v>
                </c:pt>
                <c:pt idx="95">
                  <c:v>5.3209143799793956</c:v>
                </c:pt>
                <c:pt idx="96">
                  <c:v>5.4226473416126906</c:v>
                </c:pt>
                <c:pt idx="97">
                  <c:v>5.5255309609503156</c:v>
                </c:pt>
                <c:pt idx="98">
                  <c:v>5.6295572092941972</c:v>
                </c:pt>
                <c:pt idx="99">
                  <c:v>5.7347174088099795</c:v>
                </c:pt>
                <c:pt idx="100">
                  <c:v>5.8410022253431437</c:v>
                </c:pt>
                <c:pt idx="101">
                  <c:v>5.9484016615765167</c:v>
                </c:pt>
                <c:pt idx="102">
                  <c:v>6.0569050505415403</c:v>
                </c:pt>
                <c:pt idx="103">
                  <c:v>6.1665010494954533</c:v>
                </c:pt>
                <c:pt idx="104">
                  <c:v>6.2771776341764971</c:v>
                </c:pt>
                <c:pt idx="105">
                  <c:v>6.3889220934490014</c:v>
                </c:pt>
                <c:pt idx="106">
                  <c:v>6.5017210243500747</c:v>
                </c:pt>
                <c:pt idx="107">
                  <c:v>6.6155603275494261</c:v>
                </c:pt>
                <c:pt idx="108">
                  <c:v>6.7304252032336169</c:v>
                </c:pt>
                <c:pt idx="109">
                  <c:v>6.8463001474258007</c:v>
                </c:pt>
                <c:pt idx="110">
                  <c:v>6.96316894875181</c:v>
                </c:pt>
                <c:pt idx="111">
                  <c:v>7.0810146856631224</c:v>
                </c:pt>
                <c:pt idx="112">
                  <c:v>7.1998197241270026</c:v>
                </c:pt>
                <c:pt idx="113">
                  <c:v>7.3195657157937974</c:v>
                </c:pt>
                <c:pt idx="114">
                  <c:v>7.4402335966510558</c:v>
                </c:pt>
                <c:pt idx="115">
                  <c:v>7.56180358617382</c:v>
                </c:pt>
                <c:pt idx="116">
                  <c:v>7.6842551869800424</c:v>
                </c:pt>
                <c:pt idx="117">
                  <c:v>7.8075671849998196</c:v>
                </c:pt>
                <c:pt idx="118">
                  <c:v>7.9317176501666173</c:v>
                </c:pt>
                <c:pt idx="119">
                  <c:v>8.056683937638395</c:v>
                </c:pt>
                <c:pt idx="120">
                  <c:v>8.1824426895560389</c:v>
                </c:pt>
                <c:pt idx="121">
                  <c:v>8.3089698373461385</c:v>
                </c:pt>
                <c:pt idx="122">
                  <c:v>8.4362406045746585</c:v>
                </c:pt>
                <c:pt idx="123">
                  <c:v>8.5642295103576433</c:v>
                </c:pt>
                <c:pt idx="124">
                  <c:v>8.6929103733346018</c:v>
                </c:pt>
                <c:pt idx="125">
                  <c:v>8.8222563162097209</c:v>
                </c:pt>
                <c:pt idx="126">
                  <c:v>8.9522397708655959</c:v>
                </c:pt>
                <c:pt idx="127">
                  <c:v>9.0828324840536183</c:v>
                </c:pt>
                <c:pt idx="128">
                  <c:v>9.2140055236646692</c:v>
                </c:pt>
                <c:pt idx="129">
                  <c:v>9.3457292855832286</c:v>
                </c:pt>
                <c:pt idx="130">
                  <c:v>9.4779735011274191</c:v>
                </c:pt>
                <c:pt idx="131">
                  <c:v>9.610707245077025</c:v>
                </c:pt>
                <c:pt idx="132">
                  <c:v>9.7438989442908923</c:v>
                </c:pt>
                <c:pt idx="133">
                  <c:v>9.8775163869145874</c:v>
                </c:pt>
                <c:pt idx="134">
                  <c:v>10.011526732178551</c:v>
                </c:pt>
                <c:pt idx="135">
                  <c:v>10.145896520786444</c:v>
                </c:pt>
                <c:pt idx="136">
                  <c:v>10.280591685892778</c:v>
                </c:pt>
                <c:pt idx="137">
                  <c:v>10.415577564668215</c:v>
                </c:pt>
                <c:pt idx="138">
                  <c:v>10.550818910450502</c:v>
                </c:pt>
                <c:pt idx="139">
                  <c:v>10.686279905478139</c:v>
                </c:pt>
                <c:pt idx="140">
                  <c:v>10.821924174203481</c:v>
                </c:pt>
                <c:pt idx="141">
                  <c:v>10.957714797181174</c:v>
                </c:pt>
                <c:pt idx="142">
                  <c:v>11.093614325527286</c:v>
                </c:pt>
                <c:pt idx="143">
                  <c:v>11.229584795943824</c:v>
                </c:pt>
                <c:pt idx="144">
                  <c:v>11.365587746302682</c:v>
                </c:pt>
                <c:pt idx="145">
                  <c:v>11.501584231782465</c:v>
                </c:pt>
                <c:pt idx="146">
                  <c:v>11.637534841550888</c:v>
                </c:pt>
                <c:pt idx="147">
                  <c:v>11.773399715985006</c:v>
                </c:pt>
                <c:pt idx="148">
                  <c:v>11.909138564420626</c:v>
                </c:pt>
                <c:pt idx="149">
                  <c:v>12.044710683421881</c:v>
                </c:pt>
                <c:pt idx="150">
                  <c:v>12.180074975561119</c:v>
                </c:pt>
                <c:pt idx="151">
                  <c:v>12.315189968698707</c:v>
                </c:pt>
                <c:pt idx="152">
                  <c:v>12.450013835751761</c:v>
                </c:pt>
                <c:pt idx="153">
                  <c:v>12.584504414940097</c:v>
                </c:pt>
                <c:pt idx="154">
                  <c:v>12.718619230497174</c:v>
                </c:pt>
                <c:pt idx="155">
                  <c:v>12.852315513833146</c:v>
                </c:pt>
                <c:pt idx="156">
                  <c:v>12.985550225136556</c:v>
                </c:pt>
                <c:pt idx="157">
                  <c:v>13.118280075400646</c:v>
                </c:pt>
                <c:pt idx="158">
                  <c:v>13.250461548859574</c:v>
                </c:pt>
                <c:pt idx="159">
                  <c:v>13.382050925819446</c:v>
                </c:pt>
                <c:pt idx="160">
                  <c:v>13.513004305868304</c:v>
                </c:pt>
                <c:pt idx="161">
                  <c:v>13.643277631448838</c:v>
                </c:pt>
                <c:pt idx="162">
                  <c:v>13.772826711776965</c:v>
                </c:pt>
                <c:pt idx="163">
                  <c:v>13.90160724708894</c:v>
                </c:pt>
                <c:pt idx="164">
                  <c:v>14.029574853199144</c:v>
                </c:pt>
                <c:pt idx="165">
                  <c:v>14.156685086350219</c:v>
                </c:pt>
                <c:pt idx="166">
                  <c:v>14.282893468336773</c:v>
                </c:pt>
                <c:pt idx="167">
                  <c:v>14.408155511883381</c:v>
                </c:pt>
                <c:pt idx="168">
                  <c:v>14.532426746257196</c:v>
                </c:pt>
                <c:pt idx="169">
                  <c:v>14.655662743095109</c:v>
                </c:pt>
                <c:pt idx="170">
                  <c:v>14.777819142424937</c:v>
                </c:pt>
                <c:pt idx="171">
                  <c:v>14.898851678859769</c:v>
                </c:pt>
                <c:pt idx="172">
                  <c:v>15.018716207944273</c:v>
                </c:pt>
                <c:pt idx="173">
                  <c:v>15.137368732631424</c:v>
                </c:pt>
                <c:pt idx="174">
                  <c:v>15.254765429867735</c:v>
                </c:pt>
                <c:pt idx="175">
                  <c:v>15.37086267726492</c:v>
                </c:pt>
                <c:pt idx="176">
                  <c:v>15.485617079835524</c:v>
                </c:pt>
                <c:pt idx="177">
                  <c:v>15.598985496769878</c:v>
                </c:pt>
                <c:pt idx="178">
                  <c:v>15.710925068231548</c:v>
                </c:pt>
                <c:pt idx="179">
                  <c:v>15.821393242148162</c:v>
                </c:pt>
                <c:pt idx="180">
                  <c:v>15.930347800974445</c:v>
                </c:pt>
                <c:pt idx="181">
                  <c:v>16.037746888404058</c:v>
                </c:pt>
                <c:pt idx="182">
                  <c:v>16.143549036006803</c:v>
                </c:pt>
                <c:pt idx="183">
                  <c:v>16.24771318976757</c:v>
                </c:pt>
                <c:pt idx="184">
                  <c:v>16.350198736503476</c:v>
                </c:pt>
                <c:pt idx="185">
                  <c:v>16.450965530135452</c:v>
                </c:pt>
                <c:pt idx="186">
                  <c:v>16.549973917790687</c:v>
                </c:pt>
                <c:pt idx="187">
                  <c:v>16.647184765712204</c:v>
                </c:pt>
                <c:pt idx="188">
                  <c:v>16.742559484952015</c:v>
                </c:pt>
                <c:pt idx="189">
                  <c:v>16.836060056824333</c:v>
                </c:pt>
                <c:pt idx="190">
                  <c:v>16.927649058095376</c:v>
                </c:pt>
                <c:pt idx="191">
                  <c:v>17.017289685886475</c:v>
                </c:pt>
                <c:pt idx="192">
                  <c:v>17.1049457822674</c:v>
                </c:pt>
                <c:pt idx="193">
                  <c:v>17.190581858516868</c:v>
                </c:pt>
                <c:pt idx="194">
                  <c:v>17.274163119027577</c:v>
                </c:pt>
                <c:pt idx="195">
                  <c:v>17.355655484833175</c:v>
                </c:pt>
                <c:pt idx="196">
                  <c:v>17.435025616735032</c:v>
                </c:pt>
                <c:pt idx="197">
                  <c:v>17.512240938006777</c:v>
                </c:pt>
                <c:pt idx="198">
                  <c:v>17.587269656655049</c:v>
                </c:pt>
                <c:pt idx="199">
                  <c:v>17.660080787215175</c:v>
                </c:pt>
                <c:pt idx="200">
                  <c:v>17.730644172060835</c:v>
                </c:pt>
                <c:pt idx="201">
                  <c:v>17.798930502207288</c:v>
                </c:pt>
                <c:pt idx="202">
                  <c:v>17.864911337588012</c:v>
                </c:pt>
                <c:pt idx="203">
                  <c:v>17.928559126785181</c:v>
                </c:pt>
                <c:pt idx="204">
                  <c:v>17.989847226194804</c:v>
                </c:pt>
                <c:pt idx="205">
                  <c:v>18.048749918607875</c:v>
                </c:pt>
                <c:pt idx="206">
                  <c:v>18.105242431189403</c:v>
                </c:pt>
                <c:pt idx="207">
                  <c:v>18.159300952837725</c:v>
                </c:pt>
                <c:pt idx="208">
                  <c:v>18.210902650907087</c:v>
                </c:pt>
                <c:pt idx="209">
                  <c:v>18.260025687277054</c:v>
                </c:pt>
                <c:pt idx="210">
                  <c:v>18.306649233752893</c:v>
                </c:pt>
                <c:pt idx="211">
                  <c:v>18.350753486781795</c:v>
                </c:pt>
                <c:pt idx="212">
                  <c:v>18.392319681470262</c:v>
                </c:pt>
                <c:pt idx="213">
                  <c:v>18.431330104888946</c:v>
                </c:pt>
                <c:pt idx="214">
                  <c:v>18.46776810865153</c:v>
                </c:pt>
                <c:pt idx="215">
                  <c:v>18.501618120755321</c:v>
                </c:pt>
                <c:pt idx="216">
                  <c:v>18.53286565667166</c:v>
                </c:pt>
                <c:pt idx="217">
                  <c:v>18.561497329675149</c:v>
                </c:pt>
                <c:pt idx="218">
                  <c:v>18.587500860401345</c:v>
                </c:pt>
                <c:pt idx="219">
                  <c:v>18.610865085623374</c:v>
                </c:pt>
                <c:pt idx="220">
                  <c:v>18.631579966238736</c:v>
                </c:pt>
                <c:pt idx="221">
                  <c:v>18.649636594458208</c:v>
                </c:pt>
                <c:pt idx="222">
                  <c:v>18.665027200189733</c:v>
                </c:pt>
                <c:pt idx="223">
                  <c:v>18.677745156610804</c:v>
                </c:pt>
                <c:pt idx="224">
                  <c:v>18.687784984923844</c:v>
                </c:pt>
                <c:pt idx="225">
                  <c:v>18.69514235828969</c:v>
                </c:pt>
                <c:pt idx="226">
                  <c:v>18.699814104935349</c:v>
                </c:pt>
                <c:pt idx="227">
                  <c:v>18.701798210432788</c:v>
                </c:pt>
                <c:pt idx="228">
                  <c:v>18.701093819146578</c:v>
                </c:pt>
                <c:pt idx="229">
                  <c:v>18.697701234848815</c:v>
                </c:pt>
                <c:pt idx="230">
                  <c:v>18.691621920500808</c:v>
                </c:pt>
                <c:pt idx="231">
                  <c:v>18.682858497201693</c:v>
                </c:pt>
                <c:pt idx="232">
                  <c:v>18.671414742305029</c:v>
                </c:pt>
                <c:pt idx="233">
                  <c:v>18.657295586705317</c:v>
                </c:pt>
                <c:pt idx="234">
                  <c:v>18.640507111297108</c:v>
                </c:pt>
                <c:pt idx="235">
                  <c:v>18.621056542610326</c:v>
                </c:pt>
                <c:pt idx="236">
                  <c:v>18.598952247626126</c:v>
                </c:pt>
                <c:pt idx="237">
                  <c:v>18.574203727778549</c:v>
                </c:pt>
                <c:pt idx="238">
                  <c:v>18.546821612147948</c:v>
                </c:pt>
                <c:pt idx="239">
                  <c:v>18.51681764985306</c:v>
                </c:pt>
                <c:pt idx="240">
                  <c:v>18.48420470164929</c:v>
                </c:pt>
                <c:pt idx="241">
                  <c:v>18.448996730741687</c:v>
                </c:pt>
                <c:pt idx="242">
                  <c:v>18.411208792821711</c:v>
                </c:pt>
                <c:pt idx="243">
                  <c:v>18.370857025337841</c:v>
                </c:pt>
                <c:pt idx="244">
                  <c:v>18.327958636010649</c:v>
                </c:pt>
                <c:pt idx="245">
                  <c:v>18.282531890603824</c:v>
                </c:pt>
                <c:pt idx="246">
                  <c:v>18.234596099963294</c:v>
                </c:pt>
                <c:pt idx="247">
                  <c:v>18.184171606337337</c:v>
                </c:pt>
                <c:pt idx="248">
                  <c:v>18.131279768991227</c:v>
                </c:pt>
                <c:pt idx="249">
                  <c:v>18.075942949130667</c:v>
                </c:pt>
                <c:pt idx="250">
                  <c:v>18.018184494148901</c:v>
                </c:pt>
                <c:pt idx="251">
                  <c:v>17.958028721213047</c:v>
                </c:pt>
                <c:pt idx="252">
                  <c:v>17.895500900205764</c:v>
                </c:pt>
                <c:pt idx="253">
                  <c:v>17.830627236039081</c:v>
                </c:pt>
                <c:pt idx="254">
                  <c:v>17.763434850357616</c:v>
                </c:pt>
                <c:pt idx="255">
                  <c:v>17.693951762649128</c:v>
                </c:pt>
                <c:pt idx="256">
                  <c:v>17.622206870780786</c:v>
                </c:pt>
                <c:pt idx="257">
                  <c:v>17.548229930980103</c:v>
                </c:pt>
                <c:pt idx="258">
                  <c:v>17.472051537279878</c:v>
                </c:pt>
                <c:pt idx="259">
                  <c:v>17.39370310044707</c:v>
                </c:pt>
                <c:pt idx="260">
                  <c:v>17.313216826415889</c:v>
                </c:pt>
                <c:pt idx="261">
                  <c:v>17.230625694245798</c:v>
                </c:pt>
                <c:pt idx="262">
                  <c:v>17.145963433625543</c:v>
                </c:pt>
                <c:pt idx="263">
                  <c:v>17.059264501944643</c:v>
                </c:pt>
                <c:pt idx="264">
                  <c:v>16.970564060954175</c:v>
                </c:pt>
                <c:pt idx="265">
                  <c:v>16.879897953038913</c:v>
                </c:pt>
                <c:pt idx="266">
                  <c:v>16.787302677123193</c:v>
                </c:pt>
                <c:pt idx="267">
                  <c:v>16.692815364233173</c:v>
                </c:pt>
                <c:pt idx="268">
                  <c:v>16.596473752738316</c:v>
                </c:pt>
                <c:pt idx="269">
                  <c:v>16.49831616329514</c:v>
                </c:pt>
                <c:pt idx="270">
                  <c:v>16.39838147351648</c:v>
                </c:pt>
                <c:pt idx="271">
                  <c:v>16.296709092389644</c:v>
                </c:pt>
                <c:pt idx="272">
                  <c:v>16.19333893446689</c:v>
                </c:pt>
                <c:pt idx="273">
                  <c:v>16.08831139385185</c:v>
                </c:pt>
                <c:pt idx="274">
                  <c:v>15.981667318005506</c:v>
                </c:pt>
                <c:pt idx="275">
                  <c:v>15.873447981395374</c:v>
                </c:pt>
                <c:pt idx="276">
                  <c:v>15.763695059011617</c:v>
                </c:pt>
                <c:pt idx="277">
                  <c:v>15.652450599773633</c:v>
                </c:pt>
                <c:pt idx="278">
                  <c:v>15.539756999850828</c:v>
                </c:pt>
                <c:pt idx="279">
                  <c:v>15.425656975921033</c:v>
                </c:pt>
                <c:pt idx="280">
                  <c:v>15.310193538389983</c:v>
                </c:pt>
                <c:pt idx="281">
                  <c:v>15.193409964595203</c:v>
                </c:pt>
                <c:pt idx="282">
                  <c:v>15.075349772017367</c:v>
                </c:pt>
                <c:pt idx="283">
                  <c:v>14.956056691522173</c:v>
                </c:pt>
                <c:pt idx="284">
                  <c:v>14.835574640655413</c:v>
                </c:pt>
                <c:pt idx="285">
                  <c:v>14.713947697013817</c:v>
                </c:pt>
                <c:pt idx="286">
                  <c:v>14.59122007171394</c:v>
                </c:pt>
                <c:pt idx="287">
                  <c:v>14.46743608298107</c:v>
                </c:pt>
                <c:pt idx="288">
                  <c:v>14.34264012987987</c:v>
                </c:pt>
                <c:pt idx="289">
                  <c:v>14.216876666208139</c:v>
                </c:pt>
                <c:pt idx="290">
                  <c:v>14.090190174574721</c:v>
                </c:pt>
                <c:pt idx="291">
                  <c:v>13.962625140682244</c:v>
                </c:pt>
                <c:pt idx="292">
                  <c:v>13.834226027834941</c:v>
                </c:pt>
                <c:pt idx="293">
                  <c:v>13.705037251691486</c:v>
                </c:pt>
                <c:pt idx="294">
                  <c:v>13.575103155282262</c:v>
                </c:pt>
                <c:pt idx="295">
                  <c:v>13.444467984310096</c:v>
                </c:pt>
                <c:pt idx="296">
                  <c:v>13.313175862753001</c:v>
                </c:pt>
                <c:pt idx="297">
                  <c:v>13.181270768787028</c:v>
                </c:pt>
                <c:pt idx="298">
                  <c:v>13.04879651104679</c:v>
                </c:pt>
                <c:pt idx="299">
                  <c:v>12.915796705240734</c:v>
                </c:pt>
                <c:pt idx="300">
                  <c:v>12.782314751137733</c:v>
                </c:pt>
                <c:pt idx="301">
                  <c:v>12.648393809941011</c:v>
                </c:pt>
                <c:pt idx="302">
                  <c:v>12.514076782064832</c:v>
                </c:pt>
                <c:pt idx="303">
                  <c:v>12.379406285328916</c:v>
                </c:pt>
                <c:pt idx="304">
                  <c:v>12.244424633584867</c:v>
                </c:pt>
                <c:pt idx="305">
                  <c:v>12.109173815788381</c:v>
                </c:pt>
                <c:pt idx="306">
                  <c:v>11.973695475530382</c:v>
                </c:pt>
                <c:pt idx="307">
                  <c:v>11.838030891039644</c:v>
                </c:pt>
                <c:pt idx="308">
                  <c:v>11.702220955668842</c:v>
                </c:pt>
                <c:pt idx="309">
                  <c:v>11.56630615887536</c:v>
                </c:pt>
                <c:pt idx="310">
                  <c:v>11.430326567707541</c:v>
                </c:pt>
                <c:pt idx="311">
                  <c:v>11.294321808806497</c:v>
                </c:pt>
                <c:pt idx="312">
                  <c:v>11.158331050932892</c:v>
                </c:pt>
                <c:pt idx="313">
                  <c:v>11.022392988027491</c:v>
                </c:pt>
                <c:pt idx="314">
                  <c:v>10.886545822813712</c:v>
                </c:pt>
                <c:pt idx="315">
                  <c:v>10.750827250949635</c:v>
                </c:pt>
                <c:pt idx="316">
                  <c:v>10.61527444573642</c:v>
                </c:pt>
                <c:pt idx="317">
                  <c:v>10.479924043389332</c:v>
                </c:pt>
                <c:pt idx="318">
                  <c:v>10.344812128877034</c:v>
                </c:pt>
                <c:pt idx="319">
                  <c:v>10.20997422233409</c:v>
                </c:pt>
                <c:pt idx="320">
                  <c:v>10.075445266050997</c:v>
                </c:pt>
                <c:pt idx="321">
                  <c:v>9.9412596120454939</c:v>
                </c:pt>
                <c:pt idx="322">
                  <c:v>9.8074510102181804</c:v>
                </c:pt>
                <c:pt idx="323">
                  <c:v>9.6740525970949296</c:v>
                </c:pt>
                <c:pt idx="324">
                  <c:v>9.5410968851578755</c:v>
                </c:pt>
                <c:pt idx="325">
                  <c:v>9.4086157527662468</c:v>
                </c:pt>
                <c:pt idx="326">
                  <c:v>9.276640434667625</c:v>
                </c:pt>
                <c:pt idx="327">
                  <c:v>9.1452015130996447</c:v>
                </c:pt>
                <c:pt idx="328">
                  <c:v>9.0143289094815771</c:v>
                </c:pt>
                <c:pt idx="329">
                  <c:v>8.8840518766946062</c:v>
                </c:pt>
                <c:pt idx="330">
                  <c:v>8.7543989919490937</c:v>
                </c:pt>
                <c:pt idx="331">
                  <c:v>8.625398150236542</c:v>
                </c:pt>
                <c:pt idx="332">
                  <c:v>8.4970765583633785</c:v>
                </c:pt>
                <c:pt idx="333">
                  <c:v>8.3694607295632384</c:v>
                </c:pt>
                <c:pt idx="334">
                  <c:v>8.2425764786837536</c:v>
                </c:pt>
                <c:pt idx="335">
                  <c:v>8.1164489179435115</c:v>
                </c:pt>
                <c:pt idx="336">
                  <c:v>7.991102453254177</c:v>
                </c:pt>
                <c:pt idx="337">
                  <c:v>7.8665607811023959</c:v>
                </c:pt>
                <c:pt idx="338">
                  <c:v>7.7428468859855908</c:v>
                </c:pt>
                <c:pt idx="339">
                  <c:v>7.6199830383952545</c:v>
                </c:pt>
                <c:pt idx="340">
                  <c:v>7.4979907933409713</c:v>
                </c:pt>
                <c:pt idx="341">
                  <c:v>7.3768909894079009</c:v>
                </c:pt>
                <c:pt idx="342">
                  <c:v>7.2567037483400796</c:v>
                </c:pt>
                <c:pt idx="343">
                  <c:v>7.1374484751414817</c:v>
                </c:pt>
                <c:pt idx="344">
                  <c:v>7.0191438586863688</c:v>
                </c:pt>
                <c:pt idx="345">
                  <c:v>6.9018078728301466</c:v>
                </c:pt>
                <c:pt idx="346">
                  <c:v>6.7854577780115086</c:v>
                </c:pt>
                <c:pt idx="347">
                  <c:v>6.6701101233364053</c:v>
                </c:pt>
                <c:pt idx="348">
                  <c:v>6.5557807491339455</c:v>
                </c:pt>
                <c:pt idx="349">
                  <c:v>6.4424847899741469</c:v>
                </c:pt>
                <c:pt idx="350">
                  <c:v>6.330236678137056</c:v>
                </c:pt>
                <c:pt idx="351">
                  <c:v>6.219050147522565</c:v>
                </c:pt>
                <c:pt idx="352">
                  <c:v>6.1089382379899622</c:v>
                </c:pt>
                <c:pt idx="353">
                  <c:v>5.9999133001160052</c:v>
                </c:pt>
                <c:pt idx="354">
                  <c:v>5.8919870003601122</c:v>
                </c:pt>
                <c:pt idx="355">
                  <c:v>5.7851703266250531</c:v>
                </c:pt>
                <c:pt idx="356">
                  <c:v>5.6794735942013066</c:v>
                </c:pt>
                <c:pt idx="357">
                  <c:v>5.5749064520831402</c:v>
                </c:pt>
                <c:pt idx="358">
                  <c:v>5.4714778896442233</c:v>
                </c:pt>
                <c:pt idx="359">
                  <c:v>5.3691962436605634</c:v>
                </c:pt>
                <c:pt idx="360">
                  <c:v>5.2680692056683096</c:v>
                </c:pt>
                <c:pt idx="361">
                  <c:v>5.168103829643977</c:v>
                </c:pt>
                <c:pt idx="362">
                  <c:v>5.069306539994459</c:v>
                </c:pt>
                <c:pt idx="363">
                  <c:v>4.9716831398442043</c:v>
                </c:pt>
                <c:pt idx="364">
                  <c:v>4.8752388196068139</c:v>
                </c:pt>
                <c:pt idx="365">
                  <c:v>4.7799781658283136</c:v>
                </c:pt>
                <c:pt idx="366">
                  <c:v>4.685905170289316</c:v>
                </c:pt>
                <c:pt idx="367">
                  <c:v>4.5930232393532746</c:v>
                </c:pt>
                <c:pt idx="368">
                  <c:v>4.5013352035480345</c:v>
                </c:pt>
                <c:pt idx="369">
                  <c:v>4.4108433273679113</c:v>
                </c:pt>
                <c:pt idx="370">
                  <c:v>4.3215493192835615</c:v>
                </c:pt>
                <c:pt idx="371">
                  <c:v>4.2334543419469473</c:v>
                </c:pt>
                <c:pt idx="372">
                  <c:v>4.1465590225787494</c:v>
                </c:pt>
                <c:pt idx="373">
                  <c:v>4.0608634635256839</c:v>
                </c:pt>
                <c:pt idx="374">
                  <c:v>3.9763672529752512</c:v>
                </c:pt>
                <c:pt idx="375">
                  <c:v>3.8930694758155098</c:v>
                </c:pt>
                <c:pt idx="376">
                  <c:v>3.8109687246276533</c:v>
                </c:pt>
                <c:pt idx="377">
                  <c:v>3.7300631107992048</c:v>
                </c:pt>
                <c:pt idx="378">
                  <c:v>3.6503502757458448</c:v>
                </c:pt>
                <c:pt idx="379">
                  <c:v>3.5718274022299972</c:v>
                </c:pt>
                <c:pt idx="380">
                  <c:v>3.4944912257644636</c:v>
                </c:pt>
                <c:pt idx="381">
                  <c:v>3.4183380460895516</c:v>
                </c:pt>
                <c:pt idx="382">
                  <c:v>3.3433637387123398</c:v>
                </c:pt>
                <c:pt idx="383">
                  <c:v>3.2695637664968729</c:v>
                </c:pt>
                <c:pt idx="384">
                  <c:v>3.1969331912943075</c:v>
                </c:pt>
                <c:pt idx="385">
                  <c:v>3.1254666856021962</c:v>
                </c:pt>
                <c:pt idx="386">
                  <c:v>3.055158544242337</c:v>
                </c:pt>
                <c:pt idx="387">
                  <c:v>2.9860026960468096</c:v>
                </c:pt>
                <c:pt idx="388">
                  <c:v>2.9179927155420451</c:v>
                </c:pt>
                <c:pt idx="389">
                  <c:v>2.8511218346210252</c:v>
                </c:pt>
                <c:pt idx="390">
                  <c:v>2.7853829541939099</c:v>
                </c:pt>
                <c:pt idx="391">
                  <c:v>2.7207686558076651</c:v>
                </c:pt>
                <c:pt idx="392">
                  <c:v>2.6572712132254912</c:v>
                </c:pt>
                <c:pt idx="393">
                  <c:v>2.5948826039570969</c:v>
                </c:pt>
                <c:pt idx="394">
                  <c:v>2.533594520731155</c:v>
                </c:pt>
                <c:pt idx="395">
                  <c:v>2.4733983829014834</c:v>
                </c:pt>
                <c:pt idx="396">
                  <c:v>2.4142853477788053</c:v>
                </c:pt>
                <c:pt idx="397">
                  <c:v>2.3562463218801808</c:v>
                </c:pt>
                <c:pt idx="398">
                  <c:v>2.29927197208848</c:v>
                </c:pt>
                <c:pt idx="399">
                  <c:v>2.2433527367145434</c:v>
                </c:pt>
                <c:pt idx="400">
                  <c:v>2.1884788364549359</c:v>
                </c:pt>
                <c:pt idx="401">
                  <c:v>2.1346402852384871</c:v>
                </c:pt>
                <c:pt idx="402">
                  <c:v>2.0818269009550887</c:v>
                </c:pt>
                <c:pt idx="403">
                  <c:v>2.030028316060474</c:v>
                </c:pt>
                <c:pt idx="404">
                  <c:v>1.979233988051009</c:v>
                </c:pt>
                <c:pt idx="405">
                  <c:v>1.9294332098027935</c:v>
                </c:pt>
                <c:pt idx="406">
                  <c:v>1.8806151197696244</c:v>
                </c:pt>
                <c:pt idx="407">
                  <c:v>1.8327687120346887</c:v>
                </c:pt>
                <c:pt idx="408">
                  <c:v>1.7858828462110872</c:v>
                </c:pt>
                <c:pt idx="409">
                  <c:v>1.7399462571866064</c:v>
                </c:pt>
                <c:pt idx="410">
                  <c:v>1.6949475647083794</c:v>
                </c:pt>
                <c:pt idx="411">
                  <c:v>1.650875282803385</c:v>
                </c:pt>
                <c:pt idx="412">
                  <c:v>1.6077178290309944</c:v>
                </c:pt>
                <c:pt idx="413">
                  <c:v>1.5654635335640106</c:v>
                </c:pt>
                <c:pt idx="414">
                  <c:v>1.524100648094955</c:v>
                </c:pt>
                <c:pt idx="415">
                  <c:v>1.4836173545645692</c:v>
                </c:pt>
                <c:pt idx="416">
                  <c:v>1.4440017737097901</c:v>
                </c:pt>
                <c:pt idx="417">
                  <c:v>1.4052419734286823</c:v>
                </c:pt>
                <c:pt idx="418">
                  <c:v>1.3673259769600794</c:v>
                </c:pt>
                <c:pt idx="419">
                  <c:v>1.3302417708759207</c:v>
                </c:pt>
                <c:pt idx="420">
                  <c:v>1.293977312884502</c:v>
                </c:pt>
                <c:pt idx="421">
                  <c:v>1.2585205394431203</c:v>
                </c:pt>
                <c:pt idx="422">
                  <c:v>1.223859373178783</c:v>
                </c:pt>
                <c:pt idx="423">
                  <c:v>1.189981730115925</c:v>
                </c:pt>
                <c:pt idx="424">
                  <c:v>1.1568755267102575</c:v>
                </c:pt>
                <c:pt idx="425">
                  <c:v>1.124528686688109</c:v>
                </c:pt>
                <c:pt idx="426">
                  <c:v>1.0929291476908298</c:v>
                </c:pt>
                <c:pt idx="427">
                  <c:v>1.062064867724029</c:v>
                </c:pt>
                <c:pt idx="428">
                  <c:v>1.0319238314116175</c:v>
                </c:pt>
                <c:pt idx="429">
                  <c:v>1.0024940560548252</c:v>
                </c:pt>
                <c:pt idx="430">
                  <c:v>0.97376359749654251</c:v>
                </c:pt>
                <c:pt idx="431">
                  <c:v>0.94572055579153635</c:v>
                </c:pt>
                <c:pt idx="432">
                  <c:v>0.91835308068324306</c:v>
                </c:pt>
                <c:pt idx="433">
                  <c:v>0.89164937688803747</c:v>
                </c:pt>
                <c:pt idx="434">
                  <c:v>0.86559770918802137</c:v>
                </c:pt>
                <c:pt idx="435">
                  <c:v>0.84018640733355066</c:v>
                </c:pt>
                <c:pt idx="436">
                  <c:v>0.8154038707568626</c:v>
                </c:pt>
                <c:pt idx="437">
                  <c:v>0.79123857309831858</c:v>
                </c:pt>
                <c:pt idx="438">
                  <c:v>0.76767906654691564</c:v>
                </c:pt>
                <c:pt idx="439">
                  <c:v>0.7447139859968579</c:v>
                </c:pt>
                <c:pt idx="440">
                  <c:v>0.72233205302210635</c:v>
                </c:pt>
                <c:pt idx="441">
                  <c:v>0.70052207967095037</c:v>
                </c:pt>
                <c:pt idx="442">
                  <c:v>0.67927297208276283</c:v>
                </c:pt>
                <c:pt idx="443">
                  <c:v>0.65857373392920637</c:v>
                </c:pt>
                <c:pt idx="444">
                  <c:v>0.63841346968227253</c:v>
                </c:pt>
                <c:pt idx="445">
                  <c:v>0.61878138771162827</c:v>
                </c:pt>
                <c:pt idx="446">
                  <c:v>0.59966680321384025</c:v>
                </c:pt>
                <c:pt idx="447">
                  <c:v>0.58105914097613742</c:v>
                </c:pt>
                <c:pt idx="448">
                  <c:v>0.56294793797745191</c:v>
                </c:pt>
                <c:pt idx="449">
                  <c:v>0.5453228458295547</c:v>
                </c:pt>
                <c:pt idx="450">
                  <c:v>0.52817363306117926</c:v>
                </c:pt>
                <c:pt idx="451">
                  <c:v>0.51149018724808204</c:v>
                </c:pt>
                <c:pt idx="452">
                  <c:v>0.49526251699205909</c:v>
                </c:pt>
                <c:pt idx="453">
                  <c:v>0.47948075375198801</c:v>
                </c:pt>
                <c:pt idx="454">
                  <c:v>0.4641351535300125</c:v>
                </c:pt>
                <c:pt idx="455">
                  <c:v>0.44921609841603743</c:v>
                </c:pt>
                <c:pt idx="456">
                  <c:v>0.43471409799373417</c:v>
                </c:pt>
                <c:pt idx="457">
                  <c:v>0.42061979061130111</c:v>
                </c:pt>
                <c:pt idx="458">
                  <c:v>0.40692394452024033</c:v>
                </c:pt>
                <c:pt idx="459">
                  <c:v>0.39361745888545258</c:v>
                </c:pt>
                <c:pt idx="460">
                  <c:v>0.38069136466995934</c:v>
                </c:pt>
                <c:pt idx="461">
                  <c:v>0.36813682539758708</c:v>
                </c:pt>
                <c:pt idx="462">
                  <c:v>0.35594513779695575</c:v>
                </c:pt>
                <c:pt idx="463">
                  <c:v>0.34410773233012232</c:v>
                </c:pt>
                <c:pt idx="464">
                  <c:v>0.3326161736092369</c:v>
                </c:pt>
                <c:pt idx="465">
                  <c:v>0.32146216070456307</c:v>
                </c:pt>
                <c:pt idx="466">
                  <c:v>0.31063752734721783</c:v>
                </c:pt>
                <c:pt idx="467">
                  <c:v>0.30013424202996958</c:v>
                </c:pt>
                <c:pt idx="468">
                  <c:v>0.28994440800943438</c:v>
                </c:pt>
                <c:pt idx="469">
                  <c:v>0.28006026321298116</c:v>
                </c:pt>
                <c:pt idx="470">
                  <c:v>0.27047418005364987</c:v>
                </c:pt>
                <c:pt idx="471">
                  <c:v>0.26117866515636456</c:v>
                </c:pt>
                <c:pt idx="472">
                  <c:v>0.25216635899869161</c:v>
                </c:pt>
                <c:pt idx="473">
                  <c:v>0.24343003546937853</c:v>
                </c:pt>
                <c:pt idx="474">
                  <c:v>0.23496260134786798</c:v>
                </c:pt>
                <c:pt idx="475">
                  <c:v>0.22675709570795835</c:v>
                </c:pt>
                <c:pt idx="476">
                  <c:v>0.21880668924874039</c:v>
                </c:pt>
                <c:pt idx="477">
                  <c:v>0.211104683555911</c:v>
                </c:pt>
                <c:pt idx="478">
                  <c:v>0.20364451029651653</c:v>
                </c:pt>
                <c:pt idx="479">
                  <c:v>0.19641973035014487</c:v>
                </c:pt>
                <c:pt idx="480">
                  <c:v>0.18942403287953771</c:v>
                </c:pt>
                <c:pt idx="481">
                  <c:v>0.18265123434355165</c:v>
                </c:pt>
                <c:pt idx="482">
                  <c:v>0.17609527745534964</c:v>
                </c:pt>
                <c:pt idx="483">
                  <c:v>0.16975023008865348</c:v>
                </c:pt>
                <c:pt idx="484">
                  <c:v>0.16361028413484474</c:v>
                </c:pt>
                <c:pt idx="485">
                  <c:v>0.15766975431364141</c:v>
                </c:pt>
                <c:pt idx="486">
                  <c:v>0.15192307694003404</c:v>
                </c:pt>
                <c:pt idx="487">
                  <c:v>0.14636480865010515</c:v>
                </c:pt>
                <c:pt idx="488">
                  <c:v>0.14098962508830332</c:v>
                </c:pt>
                <c:pt idx="489">
                  <c:v>0.13579231955869048</c:v>
                </c:pt>
                <c:pt idx="490">
                  <c:v>0.13076780164261956</c:v>
                </c:pt>
                <c:pt idx="491">
                  <c:v>0.12591109578524673</c:v>
                </c:pt>
                <c:pt idx="492">
                  <c:v>0.12121733985322382</c:v>
                </c:pt>
                <c:pt idx="493">
                  <c:v>0.11668178366585602</c:v>
                </c:pt>
                <c:pt idx="494">
                  <c:v>0.11229978750195649</c:v>
                </c:pt>
                <c:pt idx="495">
                  <c:v>0.10806682058456418</c:v>
                </c:pt>
                <c:pt idx="496">
                  <c:v>0.10397845954563753</c:v>
                </c:pt>
                <c:pt idx="497">
                  <c:v>0.10003038687277414</c:v>
                </c:pt>
                <c:pt idx="498">
                  <c:v>9.6218389339948293E-2</c:v>
                </c:pt>
                <c:pt idx="499">
                  <c:v>9.2538356424198859E-2</c:v>
                </c:pt>
                <c:pt idx="500">
                  <c:v>8.898627871013931E-2</c:v>
                </c:pt>
                <c:pt idx="501">
                  <c:v>8.5558246284105341E-2</c:v>
                </c:pt>
                <c:pt idx="502">
                  <c:v>8.2250447119692913E-2</c:v>
                </c:pt>
                <c:pt idx="503">
                  <c:v>7.9059165456383959E-2</c:v>
                </c:pt>
                <c:pt idx="504">
                  <c:v>7.5980780172895945E-2</c:v>
                </c:pt>
                <c:pt idx="505">
                  <c:v>7.3011763156836801E-2</c:v>
                </c:pt>
                <c:pt idx="506">
                  <c:v>7.0148677672184565E-2</c:v>
                </c:pt>
                <c:pt idx="507">
                  <c:v>6.7388176726059526E-2</c:v>
                </c:pt>
                <c:pt idx="508">
                  <c:v>6.4727001436195392E-2</c:v>
                </c:pt>
                <c:pt idx="509">
                  <c:v>6.2161979400462773E-2</c:v>
                </c:pt>
                <c:pt idx="510">
                  <c:v>5.9690023069743088E-2</c:v>
                </c:pt>
                <c:pt idx="511">
                  <c:v>5.7308128125395659E-2</c:v>
                </c:pt>
                <c:pt idx="512">
                  <c:v>5.5013371862506974E-2</c:v>
                </c:pt>
                <c:pt idx="513">
                  <c:v>5.2802911580059356E-2</c:v>
                </c:pt>
                <c:pt idx="514">
                  <c:v>5.0673982979102944E-2</c:v>
                </c:pt>
                <c:pt idx="515">
                  <c:v>4.8623898569964616E-2</c:v>
                </c:pt>
                <c:pt idx="516">
                  <c:v>4.6650046089475893E-2</c:v>
                </c:pt>
                <c:pt idx="517">
                  <c:v>4.4749886929154388E-2</c:v>
                </c:pt>
                <c:pt idx="518">
                  <c:v>4.2920954575222561E-2</c:v>
                </c:pt>
                <c:pt idx="519">
                  <c:v>4.1160853061301871E-2</c:v>
                </c:pt>
                <c:pt idx="520">
                  <c:v>3.9467255434572919E-2</c:v>
                </c:pt>
                <c:pt idx="521">
                  <c:v>3.7837902236147039E-2</c:v>
                </c:pt>
                <c:pt idx="522">
                  <c:v>3.6270599996349746E-2</c:v>
                </c:pt>
                <c:pt idx="523">
                  <c:v>3.4763219745573996E-2</c:v>
                </c:pt>
                <c:pt idx="524">
                  <c:v>3.3313695541317481E-2</c:v>
                </c:pt>
                <c:pt idx="525">
                  <c:v>3.1920023011977924E-2</c:v>
                </c:pt>
                <c:pt idx="526">
                  <c:v>3.0580257917939373E-2</c:v>
                </c:pt>
                <c:pt idx="527">
                  <c:v>2.9292514730443663E-2</c:v>
                </c:pt>
                <c:pt idx="528">
                  <c:v>2.8054965228702603E-2</c:v>
                </c:pt>
                <c:pt idx="529">
                  <c:v>2.6865837115669929E-2</c:v>
                </c:pt>
                <c:pt idx="530">
                  <c:v>2.5723412652855694E-2</c:v>
                </c:pt>
                <c:pt idx="531">
                  <c:v>2.4626027314530993E-2</c:v>
                </c:pt>
                <c:pt idx="532">
                  <c:v>2.3572068461637112E-2</c:v>
                </c:pt>
                <c:pt idx="533">
                  <c:v>2.2559974035680507E-2</c:v>
                </c:pt>
                <c:pt idx="534">
                  <c:v>2.1588231272863152E-2</c:v>
                </c:pt>
                <c:pt idx="535">
                  <c:v>2.0655375438667408E-2</c:v>
                </c:pt>
                <c:pt idx="536">
                  <c:v>1.9759988583085246E-2</c:v>
                </c:pt>
                <c:pt idx="537">
                  <c:v>1.8900698316652368E-2</c:v>
                </c:pt>
                <c:pt idx="538">
                  <c:v>1.8076176607421383E-2</c:v>
                </c:pt>
                <c:pt idx="539">
                  <c:v>1.7285138598981169E-2</c:v>
                </c:pt>
                <c:pt idx="540">
                  <c:v>1.6526341449604177E-2</c:v>
                </c:pt>
              </c:numCache>
            </c:numRef>
          </c:yVal>
          <c:smooth val="1"/>
        </c:ser>
        <c:ser>
          <c:idx val="4"/>
          <c:order val="5"/>
          <c:tx>
            <c:strRef>
              <c:f>Data!$I$1</c:f>
              <c:strCache>
                <c:ptCount val="1"/>
                <c:pt idx="0">
                  <c:v>Peak 4</c:v>
                </c:pt>
              </c:strCache>
            </c:strRef>
          </c:tx>
          <c:spPr>
            <a:ln w="12700">
              <a:solidFill>
                <a:srgbClr val="800080"/>
              </a:solidFill>
              <a:prstDash val="solid"/>
            </a:ln>
          </c:spPr>
          <c:marker>
            <c:symbol val="none"/>
          </c:marker>
          <c:xVal>
            <c:numRef>
              <c:f>Data!$A$2:$A$1001</c:f>
              <c:numCache>
                <c:formatCode>General</c:formatCode>
                <c:ptCount val="1000"/>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c:v>
                </c:pt>
                <c:pt idx="193">
                  <c:v>386</c:v>
                </c:pt>
                <c:pt idx="194">
                  <c:v>388</c:v>
                </c:pt>
                <c:pt idx="195">
                  <c:v>390</c:v>
                </c:pt>
                <c:pt idx="196">
                  <c:v>392</c:v>
                </c:pt>
                <c:pt idx="197">
                  <c:v>394</c:v>
                </c:pt>
                <c:pt idx="198">
                  <c:v>396</c:v>
                </c:pt>
                <c:pt idx="199">
                  <c:v>398</c:v>
                </c:pt>
                <c:pt idx="200">
                  <c:v>400</c:v>
                </c:pt>
                <c:pt idx="201">
                  <c:v>402</c:v>
                </c:pt>
                <c:pt idx="202">
                  <c:v>404</c:v>
                </c:pt>
                <c:pt idx="203">
                  <c:v>406</c:v>
                </c:pt>
                <c:pt idx="204">
                  <c:v>408</c:v>
                </c:pt>
                <c:pt idx="205">
                  <c:v>410</c:v>
                </c:pt>
                <c:pt idx="206">
                  <c:v>412</c:v>
                </c:pt>
                <c:pt idx="207">
                  <c:v>414</c:v>
                </c:pt>
                <c:pt idx="208">
                  <c:v>416</c:v>
                </c:pt>
                <c:pt idx="209">
                  <c:v>418</c:v>
                </c:pt>
                <c:pt idx="210">
                  <c:v>420</c:v>
                </c:pt>
                <c:pt idx="211">
                  <c:v>422</c:v>
                </c:pt>
                <c:pt idx="212">
                  <c:v>424</c:v>
                </c:pt>
                <c:pt idx="213">
                  <c:v>426</c:v>
                </c:pt>
                <c:pt idx="214">
                  <c:v>428</c:v>
                </c:pt>
                <c:pt idx="215">
                  <c:v>430</c:v>
                </c:pt>
                <c:pt idx="216">
                  <c:v>432</c:v>
                </c:pt>
                <c:pt idx="217">
                  <c:v>434</c:v>
                </c:pt>
                <c:pt idx="218">
                  <c:v>436</c:v>
                </c:pt>
                <c:pt idx="219">
                  <c:v>438</c:v>
                </c:pt>
                <c:pt idx="220">
                  <c:v>440</c:v>
                </c:pt>
                <c:pt idx="221">
                  <c:v>442</c:v>
                </c:pt>
                <c:pt idx="222">
                  <c:v>444</c:v>
                </c:pt>
                <c:pt idx="223">
                  <c:v>446</c:v>
                </c:pt>
                <c:pt idx="224">
                  <c:v>448</c:v>
                </c:pt>
                <c:pt idx="225">
                  <c:v>450</c:v>
                </c:pt>
                <c:pt idx="226">
                  <c:v>452</c:v>
                </c:pt>
                <c:pt idx="227">
                  <c:v>454</c:v>
                </c:pt>
                <c:pt idx="228">
                  <c:v>456</c:v>
                </c:pt>
                <c:pt idx="229">
                  <c:v>458</c:v>
                </c:pt>
                <c:pt idx="230">
                  <c:v>460</c:v>
                </c:pt>
                <c:pt idx="231">
                  <c:v>462</c:v>
                </c:pt>
                <c:pt idx="232">
                  <c:v>464</c:v>
                </c:pt>
                <c:pt idx="233">
                  <c:v>466</c:v>
                </c:pt>
                <c:pt idx="234">
                  <c:v>468</c:v>
                </c:pt>
                <c:pt idx="235">
                  <c:v>470</c:v>
                </c:pt>
                <c:pt idx="236">
                  <c:v>472</c:v>
                </c:pt>
                <c:pt idx="237">
                  <c:v>474</c:v>
                </c:pt>
                <c:pt idx="238">
                  <c:v>476</c:v>
                </c:pt>
                <c:pt idx="239">
                  <c:v>478</c:v>
                </c:pt>
                <c:pt idx="240">
                  <c:v>480</c:v>
                </c:pt>
                <c:pt idx="241">
                  <c:v>482</c:v>
                </c:pt>
                <c:pt idx="242">
                  <c:v>484</c:v>
                </c:pt>
                <c:pt idx="243">
                  <c:v>486</c:v>
                </c:pt>
                <c:pt idx="244">
                  <c:v>488</c:v>
                </c:pt>
                <c:pt idx="245">
                  <c:v>490</c:v>
                </c:pt>
                <c:pt idx="246">
                  <c:v>492</c:v>
                </c:pt>
                <c:pt idx="247">
                  <c:v>494</c:v>
                </c:pt>
                <c:pt idx="248">
                  <c:v>496</c:v>
                </c:pt>
                <c:pt idx="249">
                  <c:v>498</c:v>
                </c:pt>
                <c:pt idx="250">
                  <c:v>500</c:v>
                </c:pt>
                <c:pt idx="251">
                  <c:v>502</c:v>
                </c:pt>
                <c:pt idx="252">
                  <c:v>504</c:v>
                </c:pt>
                <c:pt idx="253">
                  <c:v>506</c:v>
                </c:pt>
                <c:pt idx="254">
                  <c:v>508</c:v>
                </c:pt>
                <c:pt idx="255">
                  <c:v>510</c:v>
                </c:pt>
                <c:pt idx="256">
                  <c:v>512</c:v>
                </c:pt>
                <c:pt idx="257">
                  <c:v>514</c:v>
                </c:pt>
                <c:pt idx="258">
                  <c:v>516</c:v>
                </c:pt>
                <c:pt idx="259">
                  <c:v>518</c:v>
                </c:pt>
                <c:pt idx="260">
                  <c:v>520</c:v>
                </c:pt>
                <c:pt idx="261">
                  <c:v>522</c:v>
                </c:pt>
                <c:pt idx="262">
                  <c:v>524</c:v>
                </c:pt>
                <c:pt idx="263">
                  <c:v>526</c:v>
                </c:pt>
                <c:pt idx="264">
                  <c:v>528</c:v>
                </c:pt>
                <c:pt idx="265">
                  <c:v>530</c:v>
                </c:pt>
                <c:pt idx="266">
                  <c:v>532</c:v>
                </c:pt>
                <c:pt idx="267">
                  <c:v>534</c:v>
                </c:pt>
                <c:pt idx="268">
                  <c:v>536</c:v>
                </c:pt>
                <c:pt idx="269">
                  <c:v>538</c:v>
                </c:pt>
                <c:pt idx="270">
                  <c:v>540</c:v>
                </c:pt>
                <c:pt idx="271">
                  <c:v>542</c:v>
                </c:pt>
                <c:pt idx="272">
                  <c:v>544</c:v>
                </c:pt>
                <c:pt idx="273">
                  <c:v>546</c:v>
                </c:pt>
                <c:pt idx="274">
                  <c:v>548</c:v>
                </c:pt>
                <c:pt idx="275">
                  <c:v>550</c:v>
                </c:pt>
                <c:pt idx="276">
                  <c:v>552</c:v>
                </c:pt>
                <c:pt idx="277">
                  <c:v>554</c:v>
                </c:pt>
                <c:pt idx="278">
                  <c:v>556</c:v>
                </c:pt>
                <c:pt idx="279">
                  <c:v>558</c:v>
                </c:pt>
                <c:pt idx="280">
                  <c:v>560</c:v>
                </c:pt>
                <c:pt idx="281">
                  <c:v>562</c:v>
                </c:pt>
                <c:pt idx="282">
                  <c:v>564</c:v>
                </c:pt>
                <c:pt idx="283">
                  <c:v>566</c:v>
                </c:pt>
                <c:pt idx="284">
                  <c:v>568</c:v>
                </c:pt>
                <c:pt idx="285">
                  <c:v>570</c:v>
                </c:pt>
                <c:pt idx="286">
                  <c:v>572</c:v>
                </c:pt>
                <c:pt idx="287">
                  <c:v>574</c:v>
                </c:pt>
                <c:pt idx="288">
                  <c:v>576</c:v>
                </c:pt>
                <c:pt idx="289">
                  <c:v>578</c:v>
                </c:pt>
                <c:pt idx="290">
                  <c:v>580</c:v>
                </c:pt>
                <c:pt idx="291">
                  <c:v>582</c:v>
                </c:pt>
                <c:pt idx="292">
                  <c:v>584</c:v>
                </c:pt>
                <c:pt idx="293">
                  <c:v>586</c:v>
                </c:pt>
                <c:pt idx="294">
                  <c:v>588</c:v>
                </c:pt>
                <c:pt idx="295">
                  <c:v>590</c:v>
                </c:pt>
                <c:pt idx="296">
                  <c:v>592</c:v>
                </c:pt>
                <c:pt idx="297">
                  <c:v>594</c:v>
                </c:pt>
                <c:pt idx="298">
                  <c:v>596</c:v>
                </c:pt>
                <c:pt idx="299">
                  <c:v>598</c:v>
                </c:pt>
                <c:pt idx="300">
                  <c:v>600</c:v>
                </c:pt>
                <c:pt idx="301">
                  <c:v>602</c:v>
                </c:pt>
                <c:pt idx="302">
                  <c:v>604</c:v>
                </c:pt>
                <c:pt idx="303">
                  <c:v>606</c:v>
                </c:pt>
                <c:pt idx="304">
                  <c:v>608</c:v>
                </c:pt>
                <c:pt idx="305">
                  <c:v>610</c:v>
                </c:pt>
                <c:pt idx="306">
                  <c:v>612</c:v>
                </c:pt>
                <c:pt idx="307">
                  <c:v>614</c:v>
                </c:pt>
                <c:pt idx="308">
                  <c:v>616</c:v>
                </c:pt>
                <c:pt idx="309">
                  <c:v>618</c:v>
                </c:pt>
                <c:pt idx="310">
                  <c:v>620</c:v>
                </c:pt>
                <c:pt idx="311">
                  <c:v>622</c:v>
                </c:pt>
                <c:pt idx="312">
                  <c:v>624</c:v>
                </c:pt>
                <c:pt idx="313">
                  <c:v>626</c:v>
                </c:pt>
                <c:pt idx="314">
                  <c:v>628</c:v>
                </c:pt>
                <c:pt idx="315">
                  <c:v>630</c:v>
                </c:pt>
                <c:pt idx="316">
                  <c:v>632</c:v>
                </c:pt>
                <c:pt idx="317">
                  <c:v>634</c:v>
                </c:pt>
                <c:pt idx="318">
                  <c:v>636</c:v>
                </c:pt>
                <c:pt idx="319">
                  <c:v>638</c:v>
                </c:pt>
                <c:pt idx="320">
                  <c:v>640</c:v>
                </c:pt>
                <c:pt idx="321">
                  <c:v>642</c:v>
                </c:pt>
                <c:pt idx="322">
                  <c:v>644</c:v>
                </c:pt>
                <c:pt idx="323">
                  <c:v>646</c:v>
                </c:pt>
                <c:pt idx="324">
                  <c:v>648</c:v>
                </c:pt>
                <c:pt idx="325">
                  <c:v>650</c:v>
                </c:pt>
                <c:pt idx="326">
                  <c:v>652</c:v>
                </c:pt>
                <c:pt idx="327">
                  <c:v>654</c:v>
                </c:pt>
                <c:pt idx="328">
                  <c:v>656</c:v>
                </c:pt>
                <c:pt idx="329">
                  <c:v>658</c:v>
                </c:pt>
                <c:pt idx="330">
                  <c:v>660</c:v>
                </c:pt>
                <c:pt idx="331">
                  <c:v>662</c:v>
                </c:pt>
                <c:pt idx="332">
                  <c:v>664</c:v>
                </c:pt>
                <c:pt idx="333">
                  <c:v>666</c:v>
                </c:pt>
                <c:pt idx="334">
                  <c:v>668</c:v>
                </c:pt>
                <c:pt idx="335">
                  <c:v>670</c:v>
                </c:pt>
                <c:pt idx="336">
                  <c:v>672</c:v>
                </c:pt>
                <c:pt idx="337">
                  <c:v>674</c:v>
                </c:pt>
                <c:pt idx="338">
                  <c:v>676</c:v>
                </c:pt>
                <c:pt idx="339">
                  <c:v>678</c:v>
                </c:pt>
                <c:pt idx="340">
                  <c:v>680</c:v>
                </c:pt>
                <c:pt idx="341">
                  <c:v>682</c:v>
                </c:pt>
                <c:pt idx="342">
                  <c:v>684</c:v>
                </c:pt>
                <c:pt idx="343">
                  <c:v>686</c:v>
                </c:pt>
                <c:pt idx="344">
                  <c:v>688</c:v>
                </c:pt>
                <c:pt idx="345">
                  <c:v>690</c:v>
                </c:pt>
                <c:pt idx="346">
                  <c:v>692</c:v>
                </c:pt>
                <c:pt idx="347">
                  <c:v>694</c:v>
                </c:pt>
                <c:pt idx="348">
                  <c:v>696</c:v>
                </c:pt>
                <c:pt idx="349">
                  <c:v>698</c:v>
                </c:pt>
                <c:pt idx="350">
                  <c:v>700</c:v>
                </c:pt>
                <c:pt idx="351">
                  <c:v>702</c:v>
                </c:pt>
                <c:pt idx="352">
                  <c:v>704</c:v>
                </c:pt>
                <c:pt idx="353">
                  <c:v>706</c:v>
                </c:pt>
                <c:pt idx="354">
                  <c:v>708</c:v>
                </c:pt>
                <c:pt idx="355">
                  <c:v>710</c:v>
                </c:pt>
                <c:pt idx="356">
                  <c:v>712</c:v>
                </c:pt>
                <c:pt idx="357">
                  <c:v>714</c:v>
                </c:pt>
                <c:pt idx="358">
                  <c:v>716</c:v>
                </c:pt>
                <c:pt idx="359">
                  <c:v>718</c:v>
                </c:pt>
                <c:pt idx="360">
                  <c:v>720</c:v>
                </c:pt>
                <c:pt idx="361">
                  <c:v>722</c:v>
                </c:pt>
                <c:pt idx="362">
                  <c:v>724</c:v>
                </c:pt>
                <c:pt idx="363">
                  <c:v>726</c:v>
                </c:pt>
                <c:pt idx="364">
                  <c:v>728</c:v>
                </c:pt>
                <c:pt idx="365">
                  <c:v>730</c:v>
                </c:pt>
                <c:pt idx="366">
                  <c:v>732</c:v>
                </c:pt>
                <c:pt idx="367">
                  <c:v>734</c:v>
                </c:pt>
                <c:pt idx="368">
                  <c:v>736</c:v>
                </c:pt>
                <c:pt idx="369">
                  <c:v>738</c:v>
                </c:pt>
                <c:pt idx="370">
                  <c:v>740</c:v>
                </c:pt>
                <c:pt idx="371">
                  <c:v>742</c:v>
                </c:pt>
                <c:pt idx="372">
                  <c:v>744</c:v>
                </c:pt>
                <c:pt idx="373">
                  <c:v>746</c:v>
                </c:pt>
                <c:pt idx="374">
                  <c:v>748</c:v>
                </c:pt>
                <c:pt idx="375">
                  <c:v>750</c:v>
                </c:pt>
                <c:pt idx="376">
                  <c:v>752</c:v>
                </c:pt>
                <c:pt idx="377">
                  <c:v>754</c:v>
                </c:pt>
                <c:pt idx="378">
                  <c:v>756</c:v>
                </c:pt>
                <c:pt idx="379">
                  <c:v>758</c:v>
                </c:pt>
                <c:pt idx="380">
                  <c:v>760</c:v>
                </c:pt>
                <c:pt idx="381">
                  <c:v>762</c:v>
                </c:pt>
                <c:pt idx="382">
                  <c:v>764</c:v>
                </c:pt>
                <c:pt idx="383">
                  <c:v>766</c:v>
                </c:pt>
                <c:pt idx="384">
                  <c:v>768</c:v>
                </c:pt>
                <c:pt idx="385">
                  <c:v>770</c:v>
                </c:pt>
                <c:pt idx="386">
                  <c:v>772</c:v>
                </c:pt>
                <c:pt idx="387">
                  <c:v>774</c:v>
                </c:pt>
                <c:pt idx="388">
                  <c:v>776</c:v>
                </c:pt>
                <c:pt idx="389">
                  <c:v>778</c:v>
                </c:pt>
                <c:pt idx="390">
                  <c:v>780</c:v>
                </c:pt>
                <c:pt idx="391">
                  <c:v>782</c:v>
                </c:pt>
                <c:pt idx="392">
                  <c:v>784</c:v>
                </c:pt>
                <c:pt idx="393">
                  <c:v>786</c:v>
                </c:pt>
                <c:pt idx="394">
                  <c:v>788</c:v>
                </c:pt>
                <c:pt idx="395">
                  <c:v>790</c:v>
                </c:pt>
                <c:pt idx="396">
                  <c:v>792</c:v>
                </c:pt>
                <c:pt idx="397">
                  <c:v>794</c:v>
                </c:pt>
                <c:pt idx="398">
                  <c:v>796</c:v>
                </c:pt>
                <c:pt idx="399">
                  <c:v>798</c:v>
                </c:pt>
                <c:pt idx="400">
                  <c:v>800</c:v>
                </c:pt>
                <c:pt idx="401">
                  <c:v>802</c:v>
                </c:pt>
                <c:pt idx="402">
                  <c:v>804</c:v>
                </c:pt>
                <c:pt idx="403">
                  <c:v>806</c:v>
                </c:pt>
                <c:pt idx="404">
                  <c:v>808</c:v>
                </c:pt>
                <c:pt idx="405">
                  <c:v>810</c:v>
                </c:pt>
                <c:pt idx="406">
                  <c:v>812</c:v>
                </c:pt>
                <c:pt idx="407">
                  <c:v>814</c:v>
                </c:pt>
                <c:pt idx="408">
                  <c:v>816</c:v>
                </c:pt>
                <c:pt idx="409">
                  <c:v>818</c:v>
                </c:pt>
                <c:pt idx="410">
                  <c:v>820</c:v>
                </c:pt>
                <c:pt idx="411">
                  <c:v>822</c:v>
                </c:pt>
                <c:pt idx="412">
                  <c:v>824</c:v>
                </c:pt>
                <c:pt idx="413">
                  <c:v>826</c:v>
                </c:pt>
                <c:pt idx="414">
                  <c:v>828</c:v>
                </c:pt>
                <c:pt idx="415">
                  <c:v>830</c:v>
                </c:pt>
                <c:pt idx="416">
                  <c:v>832</c:v>
                </c:pt>
                <c:pt idx="417">
                  <c:v>834</c:v>
                </c:pt>
                <c:pt idx="418">
                  <c:v>836</c:v>
                </c:pt>
                <c:pt idx="419">
                  <c:v>838</c:v>
                </c:pt>
                <c:pt idx="420">
                  <c:v>840</c:v>
                </c:pt>
                <c:pt idx="421">
                  <c:v>842</c:v>
                </c:pt>
                <c:pt idx="422">
                  <c:v>844</c:v>
                </c:pt>
                <c:pt idx="423">
                  <c:v>846</c:v>
                </c:pt>
                <c:pt idx="424">
                  <c:v>848</c:v>
                </c:pt>
                <c:pt idx="425">
                  <c:v>850</c:v>
                </c:pt>
                <c:pt idx="426">
                  <c:v>852</c:v>
                </c:pt>
                <c:pt idx="427">
                  <c:v>854</c:v>
                </c:pt>
                <c:pt idx="428">
                  <c:v>856</c:v>
                </c:pt>
                <c:pt idx="429">
                  <c:v>858</c:v>
                </c:pt>
                <c:pt idx="430">
                  <c:v>860</c:v>
                </c:pt>
                <c:pt idx="431">
                  <c:v>862</c:v>
                </c:pt>
                <c:pt idx="432">
                  <c:v>864</c:v>
                </c:pt>
                <c:pt idx="433">
                  <c:v>866</c:v>
                </c:pt>
                <c:pt idx="434">
                  <c:v>868</c:v>
                </c:pt>
                <c:pt idx="435">
                  <c:v>870</c:v>
                </c:pt>
                <c:pt idx="436">
                  <c:v>872</c:v>
                </c:pt>
                <c:pt idx="437">
                  <c:v>874</c:v>
                </c:pt>
                <c:pt idx="438">
                  <c:v>876</c:v>
                </c:pt>
                <c:pt idx="439">
                  <c:v>878</c:v>
                </c:pt>
                <c:pt idx="440">
                  <c:v>880</c:v>
                </c:pt>
                <c:pt idx="441">
                  <c:v>882</c:v>
                </c:pt>
                <c:pt idx="442">
                  <c:v>884</c:v>
                </c:pt>
                <c:pt idx="443">
                  <c:v>886</c:v>
                </c:pt>
                <c:pt idx="444">
                  <c:v>888</c:v>
                </c:pt>
                <c:pt idx="445">
                  <c:v>890</c:v>
                </c:pt>
                <c:pt idx="446">
                  <c:v>892</c:v>
                </c:pt>
                <c:pt idx="447">
                  <c:v>894</c:v>
                </c:pt>
                <c:pt idx="448">
                  <c:v>896</c:v>
                </c:pt>
                <c:pt idx="449">
                  <c:v>898</c:v>
                </c:pt>
                <c:pt idx="450">
                  <c:v>900</c:v>
                </c:pt>
                <c:pt idx="451">
                  <c:v>902</c:v>
                </c:pt>
                <c:pt idx="452">
                  <c:v>904</c:v>
                </c:pt>
                <c:pt idx="453">
                  <c:v>906</c:v>
                </c:pt>
                <c:pt idx="454">
                  <c:v>908</c:v>
                </c:pt>
                <c:pt idx="455">
                  <c:v>910</c:v>
                </c:pt>
                <c:pt idx="456">
                  <c:v>912</c:v>
                </c:pt>
                <c:pt idx="457">
                  <c:v>914</c:v>
                </c:pt>
                <c:pt idx="458">
                  <c:v>916</c:v>
                </c:pt>
                <c:pt idx="459">
                  <c:v>918</c:v>
                </c:pt>
                <c:pt idx="460">
                  <c:v>920</c:v>
                </c:pt>
                <c:pt idx="461">
                  <c:v>922</c:v>
                </c:pt>
                <c:pt idx="462">
                  <c:v>924</c:v>
                </c:pt>
                <c:pt idx="463">
                  <c:v>926</c:v>
                </c:pt>
                <c:pt idx="464">
                  <c:v>928</c:v>
                </c:pt>
                <c:pt idx="465">
                  <c:v>930</c:v>
                </c:pt>
                <c:pt idx="466">
                  <c:v>932</c:v>
                </c:pt>
                <c:pt idx="467">
                  <c:v>934</c:v>
                </c:pt>
                <c:pt idx="468">
                  <c:v>936</c:v>
                </c:pt>
                <c:pt idx="469">
                  <c:v>938</c:v>
                </c:pt>
                <c:pt idx="470">
                  <c:v>940</c:v>
                </c:pt>
                <c:pt idx="471">
                  <c:v>942</c:v>
                </c:pt>
                <c:pt idx="472">
                  <c:v>944</c:v>
                </c:pt>
                <c:pt idx="473">
                  <c:v>946</c:v>
                </c:pt>
                <c:pt idx="474">
                  <c:v>948</c:v>
                </c:pt>
                <c:pt idx="475">
                  <c:v>950</c:v>
                </c:pt>
                <c:pt idx="476">
                  <c:v>952</c:v>
                </c:pt>
                <c:pt idx="477">
                  <c:v>954</c:v>
                </c:pt>
                <c:pt idx="478">
                  <c:v>956</c:v>
                </c:pt>
                <c:pt idx="479">
                  <c:v>958</c:v>
                </c:pt>
                <c:pt idx="480">
                  <c:v>960</c:v>
                </c:pt>
                <c:pt idx="481">
                  <c:v>962</c:v>
                </c:pt>
                <c:pt idx="482">
                  <c:v>964</c:v>
                </c:pt>
                <c:pt idx="483">
                  <c:v>966</c:v>
                </c:pt>
                <c:pt idx="484">
                  <c:v>968</c:v>
                </c:pt>
                <c:pt idx="485">
                  <c:v>970</c:v>
                </c:pt>
                <c:pt idx="486">
                  <c:v>972</c:v>
                </c:pt>
                <c:pt idx="487">
                  <c:v>974</c:v>
                </c:pt>
                <c:pt idx="488">
                  <c:v>976</c:v>
                </c:pt>
                <c:pt idx="489">
                  <c:v>978</c:v>
                </c:pt>
                <c:pt idx="490">
                  <c:v>980</c:v>
                </c:pt>
                <c:pt idx="491">
                  <c:v>982</c:v>
                </c:pt>
                <c:pt idx="492">
                  <c:v>984</c:v>
                </c:pt>
                <c:pt idx="493">
                  <c:v>986</c:v>
                </c:pt>
                <c:pt idx="494">
                  <c:v>988</c:v>
                </c:pt>
                <c:pt idx="495">
                  <c:v>990</c:v>
                </c:pt>
                <c:pt idx="496">
                  <c:v>992</c:v>
                </c:pt>
                <c:pt idx="497">
                  <c:v>994</c:v>
                </c:pt>
                <c:pt idx="498">
                  <c:v>996</c:v>
                </c:pt>
                <c:pt idx="499">
                  <c:v>998</c:v>
                </c:pt>
                <c:pt idx="500">
                  <c:v>1000</c:v>
                </c:pt>
                <c:pt idx="501">
                  <c:v>1002</c:v>
                </c:pt>
                <c:pt idx="502">
                  <c:v>1004</c:v>
                </c:pt>
                <c:pt idx="503">
                  <c:v>1006</c:v>
                </c:pt>
                <c:pt idx="504">
                  <c:v>1008</c:v>
                </c:pt>
                <c:pt idx="505">
                  <c:v>1010</c:v>
                </c:pt>
                <c:pt idx="506">
                  <c:v>1012</c:v>
                </c:pt>
                <c:pt idx="507">
                  <c:v>1014</c:v>
                </c:pt>
                <c:pt idx="508">
                  <c:v>1016</c:v>
                </c:pt>
                <c:pt idx="509">
                  <c:v>1018</c:v>
                </c:pt>
                <c:pt idx="510">
                  <c:v>1020</c:v>
                </c:pt>
                <c:pt idx="511">
                  <c:v>1022</c:v>
                </c:pt>
                <c:pt idx="512">
                  <c:v>1024</c:v>
                </c:pt>
                <c:pt idx="513">
                  <c:v>1026</c:v>
                </c:pt>
                <c:pt idx="514">
                  <c:v>1028</c:v>
                </c:pt>
                <c:pt idx="515">
                  <c:v>1030</c:v>
                </c:pt>
                <c:pt idx="516">
                  <c:v>1032</c:v>
                </c:pt>
                <c:pt idx="517">
                  <c:v>1034</c:v>
                </c:pt>
                <c:pt idx="518">
                  <c:v>1036</c:v>
                </c:pt>
                <c:pt idx="519">
                  <c:v>1038</c:v>
                </c:pt>
                <c:pt idx="520">
                  <c:v>1040</c:v>
                </c:pt>
                <c:pt idx="521">
                  <c:v>1042</c:v>
                </c:pt>
                <c:pt idx="522">
                  <c:v>1044</c:v>
                </c:pt>
                <c:pt idx="523">
                  <c:v>1046</c:v>
                </c:pt>
                <c:pt idx="524">
                  <c:v>1048</c:v>
                </c:pt>
                <c:pt idx="525">
                  <c:v>1050</c:v>
                </c:pt>
                <c:pt idx="526">
                  <c:v>1052</c:v>
                </c:pt>
                <c:pt idx="527">
                  <c:v>1054</c:v>
                </c:pt>
                <c:pt idx="528">
                  <c:v>1056</c:v>
                </c:pt>
                <c:pt idx="529">
                  <c:v>1058</c:v>
                </c:pt>
                <c:pt idx="530">
                  <c:v>1060</c:v>
                </c:pt>
                <c:pt idx="531">
                  <c:v>1062</c:v>
                </c:pt>
                <c:pt idx="532">
                  <c:v>1064</c:v>
                </c:pt>
                <c:pt idx="533">
                  <c:v>1066</c:v>
                </c:pt>
                <c:pt idx="534">
                  <c:v>1068</c:v>
                </c:pt>
                <c:pt idx="535">
                  <c:v>1070</c:v>
                </c:pt>
                <c:pt idx="536">
                  <c:v>1072</c:v>
                </c:pt>
                <c:pt idx="537">
                  <c:v>1074</c:v>
                </c:pt>
                <c:pt idx="538">
                  <c:v>1076</c:v>
                </c:pt>
                <c:pt idx="539">
                  <c:v>1078</c:v>
                </c:pt>
                <c:pt idx="540">
                  <c:v>1080</c:v>
                </c:pt>
              </c:numCache>
            </c:numRef>
          </c:xVal>
          <c:yVal>
            <c:numRef>
              <c:f>Data!$I$2:$I$1001</c:f>
              <c:numCache>
                <c:formatCode>0</c:formatCode>
                <c:ptCount val="1000"/>
                <c:pt idx="0">
                  <c:v>6.2653969799103211E-7</c:v>
                </c:pt>
                <c:pt idx="1">
                  <c:v>6.8056051428158722E-7</c:v>
                </c:pt>
                <c:pt idx="2">
                  <c:v>7.3909021716975983E-7</c:v>
                </c:pt>
                <c:pt idx="3">
                  <c:v>8.0249199887696744E-7</c:v>
                </c:pt>
                <c:pt idx="4">
                  <c:v>8.7115717822067718E-7</c:v>
                </c:pt>
                <c:pt idx="5">
                  <c:v>9.4550728478138508E-7</c:v>
                </c:pt>
                <c:pt idx="6">
                  <c:v>1.0259962899184281E-6</c:v>
                </c:pt>
                <c:pt idx="7">
                  <c:v>1.1131129943898208E-6</c:v>
                </c:pt>
                <c:pt idx="8">
                  <c:v>1.2073835829350158E-6</c:v>
                </c:pt>
                <c:pt idx="9">
                  <c:v>1.3093743568171111E-6</c:v>
                </c:pt>
                <c:pt idx="10">
                  <c:v>1.4196946559945314E-6</c:v>
                </c:pt>
                <c:pt idx="11">
                  <c:v>1.5389999833033268E-6</c:v>
                </c:pt>
                <c:pt idx="12">
                  <c:v>1.6679953437817558E-6</c:v>
                </c:pt>
                <c:pt idx="13">
                  <c:v>1.8074388130608319E-6</c:v>
                </c:pt>
                <c:pt idx="14">
                  <c:v>1.9581453495796763E-6</c:v>
                </c:pt>
                <c:pt idx="15">
                  <c:v>2.12099086626526E-6</c:v>
                </c:pt>
                <c:pt idx="16">
                  <c:v>2.2969165782444721E-6</c:v>
                </c:pt>
                <c:pt idx="17">
                  <c:v>2.4869336441343817E-6</c:v>
                </c:pt>
                <c:pt idx="18">
                  <c:v>2.6921281194870919E-6</c:v>
                </c:pt>
                <c:pt idx="19">
                  <c:v>2.9136662420498829E-6</c:v>
                </c:pt>
                <c:pt idx="20">
                  <c:v>3.1528000696435708E-6</c:v>
                </c:pt>
                <c:pt idx="21">
                  <c:v>3.4108734926629975E-6</c:v>
                </c:pt>
                <c:pt idx="22">
                  <c:v>3.6893286444671443E-6</c:v>
                </c:pt>
                <c:pt idx="23">
                  <c:v>3.9897127342552601E-6</c:v>
                </c:pt>
                <c:pt idx="24">
                  <c:v>4.3136853284210669E-6</c:v>
                </c:pt>
                <c:pt idx="25">
                  <c:v>4.6630261078448104E-6</c:v>
                </c:pt>
                <c:pt idx="26">
                  <c:v>5.0396431301233148E-6</c:v>
                </c:pt>
                <c:pt idx="27">
                  <c:v>5.4455816273561947E-6</c:v>
                </c:pt>
                <c:pt idx="28">
                  <c:v>5.8830333718036779E-6</c:v>
                </c:pt>
                <c:pt idx="29">
                  <c:v>6.3543466435131065E-6</c:v>
                </c:pt>
                <c:pt idx="30">
                  <c:v>6.8620368358783821E-6</c:v>
                </c:pt>
                <c:pt idx="31">
                  <c:v>7.4087977370554094E-6</c:v>
                </c:pt>
                <c:pt idx="32">
                  <c:v>7.9975135272074465E-6</c:v>
                </c:pt>
                <c:pt idx="33">
                  <c:v>8.6312715337044424E-6</c:v>
                </c:pt>
                <c:pt idx="34">
                  <c:v>9.3133757886499541E-6</c:v>
                </c:pt>
                <c:pt idx="35">
                  <c:v>1.0047361435465699E-5</c:v>
                </c:pt>
                <c:pt idx="36">
                  <c:v>1.0837010033727047E-5</c:v>
                </c:pt>
                <c:pt idx="37">
                  <c:v>1.1686365814020761E-5</c:v>
                </c:pt>
                <c:pt idx="38">
                  <c:v>1.2599752937290601E-5</c:v>
                </c:pt>
                <c:pt idx="39">
                  <c:v>1.3581793815951649E-5</c:v>
                </c:pt>
                <c:pt idx="40">
                  <c:v>1.4637428556995124E-5</c:v>
                </c:pt>
                <c:pt idx="41">
                  <c:v>1.5771935590376553E-5</c:v>
                </c:pt>
                <c:pt idx="42">
                  <c:v>1.6990953549184384E-5</c:v>
                </c:pt>
                <c:pt idx="43">
                  <c:v>1.830050447142961E-5</c:v>
                </c:pt>
                <c:pt idx="44">
                  <c:v>1.9707018396784109E-5</c:v>
                </c:pt>
                <c:pt idx="45">
                  <c:v>2.1217359435227282E-5</c:v>
                </c:pt>
                <c:pt idx="46">
                  <c:v>2.2838853388349719E-5</c:v>
                </c:pt>
                <c:pt idx="47">
                  <c:v>2.4579317008001534E-5</c:v>
                </c:pt>
                <c:pt idx="48">
                  <c:v>2.6447088981082278E-5</c:v>
                </c:pt>
                <c:pt idx="49">
                  <c:v>2.8451062733534156E-5</c:v>
                </c:pt>
                <c:pt idx="50">
                  <c:v>3.0600721151046416E-5</c:v>
                </c:pt>
                <c:pt idx="51">
                  <c:v>3.2906173318591554E-5</c:v>
                </c:pt>
                <c:pt idx="52">
                  <c:v>3.5378193385714146E-5</c:v>
                </c:pt>
                <c:pt idx="53">
                  <c:v>3.8028261669472063E-5</c:v>
                </c:pt>
                <c:pt idx="54">
                  <c:v>4.086860811210075E-5</c:v>
                </c:pt>
                <c:pt idx="55">
                  <c:v>4.3912258215840158E-5</c:v>
                </c:pt>
                <c:pt idx="56">
                  <c:v>4.7173081582920619E-5</c:v>
                </c:pt>
                <c:pt idx="57">
                  <c:v>5.0665843194477562E-5</c:v>
                </c:pt>
                <c:pt idx="58">
                  <c:v>5.4406257568132587E-5</c:v>
                </c:pt>
                <c:pt idx="59">
                  <c:v>5.8411045940167896E-5</c:v>
                </c:pt>
                <c:pt idx="60">
                  <c:v>6.2697996624618186E-5</c:v>
                </c:pt>
                <c:pt idx="61">
                  <c:v>6.7286028708229105E-5</c:v>
                </c:pt>
                <c:pt idx="62">
                  <c:v>7.219525924706851E-5</c:v>
                </c:pt>
                <c:pt idx="63">
                  <c:v>7.7447074137654314E-5</c:v>
                </c:pt>
                <c:pt idx="64">
                  <c:v>8.3064202842760468E-5</c:v>
                </c:pt>
                <c:pt idx="65">
                  <c:v>8.9070797159593502E-5</c:v>
                </c:pt>
                <c:pt idx="66">
                  <c:v>9.5492514225814517E-5</c:v>
                </c:pt>
                <c:pt idx="67">
                  <c:v>1.023566039668759E-4</c:v>
                </c:pt>
                <c:pt idx="68">
                  <c:v>1.0969200119641073E-4</c:v>
                </c:pt>
                <c:pt idx="69">
                  <c:v>1.1752942258989193E-4</c:v>
                </c:pt>
                <c:pt idx="70">
                  <c:v>1.2590146876053331E-4</c:v>
                </c:pt>
                <c:pt idx="71">
                  <c:v>1.3484273167537806E-4</c:v>
                </c:pt>
                <c:pt idx="72">
                  <c:v>1.4438990765876645E-4</c:v>
                </c:pt>
                <c:pt idx="73">
                  <c:v>1.5458191623984429E-4</c:v>
                </c:pt>
                <c:pt idx="74">
                  <c:v>1.6546002511051252E-4</c:v>
                </c:pt>
                <c:pt idx="75">
                  <c:v>1.7706798147018579E-4</c:v>
                </c:pt>
                <c:pt idx="76">
                  <c:v>1.8945215004395521E-4</c:v>
                </c:pt>
                <c:pt idx="77">
                  <c:v>2.0266165807121241E-4</c:v>
                </c:pt>
                <c:pt idx="78">
                  <c:v>2.1674854757249668E-4</c:v>
                </c:pt>
                <c:pt idx="79">
                  <c:v>2.3176793521327351E-4</c:v>
                </c:pt>
                <c:pt idx="80">
                  <c:v>2.4777818009453687E-4</c:v>
                </c:pt>
                <c:pt idx="81">
                  <c:v>2.6484105981151797E-4</c:v>
                </c:pt>
                <c:pt idx="82">
                  <c:v>2.8302195513344299E-4</c:v>
                </c:pt>
                <c:pt idx="83">
                  <c:v>3.0239004366910873E-4</c:v>
                </c:pt>
                <c:pt idx="84">
                  <c:v>3.2301850289511748E-4</c:v>
                </c:pt>
                <c:pt idx="85">
                  <c:v>3.4498472293588542E-4</c:v>
                </c:pt>
                <c:pt idx="86">
                  <c:v>3.6837052949697895E-4</c:v>
                </c:pt>
                <c:pt idx="87">
                  <c:v>3.9326241736599259E-4</c:v>
                </c:pt>
                <c:pt idx="88">
                  <c:v>4.197517949079936E-4</c:v>
                </c:pt>
                <c:pt idx="89">
                  <c:v>4.479352399955273E-4</c:v>
                </c:pt>
                <c:pt idx="90">
                  <c:v>4.7791476782630684E-4</c:v>
                </c:pt>
                <c:pt idx="91">
                  <c:v>5.0979811109498065E-4</c:v>
                </c:pt>
                <c:pt idx="92">
                  <c:v>5.4369901299870555E-4</c:v>
                </c:pt>
                <c:pt idx="93">
                  <c:v>5.7973753356976951E-4</c:v>
                </c:pt>
                <c:pt idx="94">
                  <c:v>6.1804036984203421E-4</c:v>
                </c:pt>
                <c:pt idx="95">
                  <c:v>6.5874119037159296E-4</c:v>
                </c:pt>
                <c:pt idx="96">
                  <c:v>7.0198098464567776E-4</c:v>
                </c:pt>
                <c:pt idx="97">
                  <c:v>7.4790842792755443E-4</c:v>
                </c:pt>
                <c:pt idx="98">
                  <c:v>7.9668026209875917E-4</c:v>
                </c:pt>
                <c:pt idx="99">
                  <c:v>8.4846169307370705E-4</c:v>
                </c:pt>
                <c:pt idx="100">
                  <c:v>9.034268053752278E-4</c:v>
                </c:pt>
                <c:pt idx="101">
                  <c:v>9.6175899447310223E-4</c:v>
                </c:pt>
                <c:pt idx="102">
                  <c:v>1.0236514175009752E-3</c:v>
                </c:pt>
                <c:pt idx="103">
                  <c:v>1.0893074629802894E-3</c:v>
                </c:pt>
                <c:pt idx="104">
                  <c:v>1.1589412401928148E-3</c:v>
                </c:pt>
                <c:pt idx="105">
                  <c:v>1.2327780888561958E-3</c:v>
                </c:pt>
                <c:pt idx="106">
                  <c:v>1.3110551097694303E-3</c:v>
                </c:pt>
                <c:pt idx="107">
                  <c:v>1.3940217171073783E-3</c:v>
                </c:pt>
                <c:pt idx="108">
                  <c:v>1.4819402130553589E-3</c:v>
                </c:pt>
                <c:pt idx="109">
                  <c:v>1.5750863854862055E-3</c:v>
                </c:pt>
                <c:pt idx="110">
                  <c:v>1.6737501293933831E-3</c:v>
                </c:pt>
                <c:pt idx="111">
                  <c:v>1.7782360928041327E-3</c:v>
                </c:pt>
                <c:pt idx="112">
                  <c:v>1.8888643479067462E-3</c:v>
                </c:pt>
                <c:pt idx="113">
                  <c:v>2.0059710881354504E-3</c:v>
                </c:pt>
                <c:pt idx="114">
                  <c:v>2.1299093519651295E-3</c:v>
                </c:pt>
                <c:pt idx="115">
                  <c:v>2.2610497741762229E-3</c:v>
                </c:pt>
                <c:pt idx="116">
                  <c:v>2.3997813653575087E-3</c:v>
                </c:pt>
                <c:pt idx="117">
                  <c:v>2.5465123204207948E-3</c:v>
                </c:pt>
                <c:pt idx="118">
                  <c:v>2.7016708569073769E-3</c:v>
                </c:pt>
                <c:pt idx="119">
                  <c:v>2.8657060838706205E-3</c:v>
                </c:pt>
                <c:pt idx="120">
                  <c:v>3.0390889021227785E-3</c:v>
                </c:pt>
                <c:pt idx="121">
                  <c:v>3.222312936636574E-3</c:v>
                </c:pt>
                <c:pt idx="122">
                  <c:v>3.4158955018937292E-3</c:v>
                </c:pt>
                <c:pt idx="123">
                  <c:v>3.6203786009724901E-3</c:v>
                </c:pt>
                <c:pt idx="124">
                  <c:v>3.8363299591653668E-3</c:v>
                </c:pt>
                <c:pt idx="125">
                  <c:v>4.0643440929155989E-3</c:v>
                </c:pt>
                <c:pt idx="126">
                  <c:v>4.3050434148569402E-3</c:v>
                </c:pt>
                <c:pt idx="127">
                  <c:v>4.5590793757359846E-3</c:v>
                </c:pt>
                <c:pt idx="128">
                  <c:v>4.827133643988955E-3</c:v>
                </c:pt>
                <c:pt idx="129">
                  <c:v>5.1099193237361196E-3</c:v>
                </c:pt>
                <c:pt idx="130">
                  <c:v>5.4081822119464449E-3</c:v>
                </c:pt>
                <c:pt idx="131">
                  <c:v>5.7227020955125758E-3</c:v>
                </c:pt>
                <c:pt idx="132">
                  <c:v>6.0542940889616774E-3</c:v>
                </c:pt>
                <c:pt idx="133">
                  <c:v>6.4038100135114587E-3</c:v>
                </c:pt>
                <c:pt idx="134">
                  <c:v>6.772139818161659E-3</c:v>
                </c:pt>
                <c:pt idx="135">
                  <c:v>7.1602130434909169E-3</c:v>
                </c:pt>
                <c:pt idx="136">
                  <c:v>7.5690003288052046E-3</c:v>
                </c:pt>
                <c:pt idx="137">
                  <c:v>7.9995149632590603E-3</c:v>
                </c:pt>
                <c:pt idx="138">
                  <c:v>8.4528144815420002E-3</c:v>
                </c:pt>
                <c:pt idx="139">
                  <c:v>8.9300023046927669E-3</c:v>
                </c:pt>
                <c:pt idx="140">
                  <c:v>9.4322294265696098E-3</c:v>
                </c:pt>
                <c:pt idx="141">
                  <c:v>9.96069614646981E-3</c:v>
                </c:pt>
                <c:pt idx="142">
                  <c:v>1.0516653848351619E-2</c:v>
                </c:pt>
                <c:pt idx="143">
                  <c:v>1.1101406827070717E-2</c:v>
                </c:pt>
                <c:pt idx="144">
                  <c:v>1.1716314161997508E-2</c:v>
                </c:pt>
                <c:pt idx="145">
                  <c:v>1.2362791638334357E-2</c:v>
                </c:pt>
                <c:pt idx="146">
                  <c:v>1.3042313716399618E-2</c:v>
                </c:pt>
                <c:pt idx="147">
                  <c:v>1.3756415549091234E-2</c:v>
                </c:pt>
                <c:pt idx="148">
                  <c:v>1.450669504768488E-2</c:v>
                </c:pt>
                <c:pt idx="149">
                  <c:v>1.5294814996059405E-2</c:v>
                </c:pt>
                <c:pt idx="150">
                  <c:v>1.6122505213378178E-2</c:v>
                </c:pt>
                <c:pt idx="151">
                  <c:v>1.6991564765185756E-2</c:v>
                </c:pt>
                <c:pt idx="152">
                  <c:v>1.7903864222807517E-2</c:v>
                </c:pt>
                <c:pt idx="153">
                  <c:v>1.8861347970863182E-2</c:v>
                </c:pt>
                <c:pt idx="154">
                  <c:v>1.986603656262657E-2</c:v>
                </c:pt>
                <c:pt idx="155">
                  <c:v>2.092002912287861E-2</c:v>
                </c:pt>
                <c:pt idx="156">
                  <c:v>2.2025505797814801E-2</c:v>
                </c:pt>
                <c:pt idx="157">
                  <c:v>2.3184730251475386E-2</c:v>
                </c:pt>
                <c:pt idx="158">
                  <c:v>2.4400052208071819E-2</c:v>
                </c:pt>
                <c:pt idx="159">
                  <c:v>2.5673910039483341E-2</c:v>
                </c:pt>
                <c:pt idx="160">
                  <c:v>2.7008833397093625E-2</c:v>
                </c:pt>
                <c:pt idx="161">
                  <c:v>2.8407445887030199E-2</c:v>
                </c:pt>
                <c:pt idx="162">
                  <c:v>2.9872467787757186E-2</c:v>
                </c:pt>
                <c:pt idx="163">
                  <c:v>3.1406718808856121E-2</c:v>
                </c:pt>
                <c:pt idx="164">
                  <c:v>3.3013120889709792E-2</c:v>
                </c:pt>
                <c:pt idx="165">
                  <c:v>3.4694701036679966E-2</c:v>
                </c:pt>
                <c:pt idx="166">
                  <c:v>3.6454594197240953E-2</c:v>
                </c:pt>
                <c:pt idx="167">
                  <c:v>3.8296046169400424E-2</c:v>
                </c:pt>
                <c:pt idx="168">
                  <c:v>4.0222416544600702E-2</c:v>
                </c:pt>
                <c:pt idx="169">
                  <c:v>4.2237181682155109E-2</c:v>
                </c:pt>
                <c:pt idx="170">
                  <c:v>4.4343937713129493E-2</c:v>
                </c:pt>
                <c:pt idx="171">
                  <c:v>4.6546403571430472E-2</c:v>
                </c:pt>
                <c:pt idx="172">
                  <c:v>4.8848424049711917E-2</c:v>
                </c:pt>
                <c:pt idx="173">
                  <c:v>5.1253972877553504E-2</c:v>
                </c:pt>
                <c:pt idx="174">
                  <c:v>5.3767155819209683E-2</c:v>
                </c:pt>
                <c:pt idx="175">
                  <c:v>5.6392213788061252E-2</c:v>
                </c:pt>
                <c:pt idx="176">
                  <c:v>5.913352597474017E-2</c:v>
                </c:pt>
                <c:pt idx="177">
                  <c:v>6.1995612985726048E-2</c:v>
                </c:pt>
                <c:pt idx="178">
                  <c:v>6.4983139989043898E-2</c:v>
                </c:pt>
                <c:pt idx="179">
                  <c:v>6.8100919863516018E-2</c:v>
                </c:pt>
                <c:pt idx="180">
                  <c:v>7.1353916347845922E-2</c:v>
                </c:pt>
                <c:pt idx="181">
                  <c:v>7.4747247185630264E-2</c:v>
                </c:pt>
                <c:pt idx="182">
                  <c:v>7.828618726221509E-2</c:v>
                </c:pt>
                <c:pt idx="183">
                  <c:v>8.1976171729128439E-2</c:v>
                </c:pt>
                <c:pt idx="184">
                  <c:v>8.5822799111633902E-2</c:v>
                </c:pt>
                <c:pt idx="185">
                  <c:v>8.9831834394766316E-2</c:v>
                </c:pt>
                <c:pt idx="186">
                  <c:v>9.4009212083019614E-2</c:v>
                </c:pt>
                <c:pt idx="187">
                  <c:v>9.8361039228668845E-2</c:v>
                </c:pt>
                <c:pt idx="188">
                  <c:v>0.10289359842351919</c:v>
                </c:pt>
                <c:pt idx="189">
                  <c:v>0.10761335074868407</c:v>
                </c:pt>
                <c:pt idx="190">
                  <c:v>0.11252693867680433</c:v>
                </c:pt>
                <c:pt idx="191">
                  <c:v>0.11764118892093274</c:v>
                </c:pt>
                <c:pt idx="192">
                  <c:v>0.12296311522411658</c:v>
                </c:pt>
                <c:pt idx="193">
                  <c:v>0.12849992108352645</c:v>
                </c:pt>
                <c:pt idx="194">
                  <c:v>0.13425900240279121</c:v>
                </c:pt>
                <c:pt idx="195">
                  <c:v>0.14024795006601609</c:v>
                </c:pt>
                <c:pt idx="196">
                  <c:v>0.14647455242677956</c:v>
                </c:pt>
                <c:pt idx="197">
                  <c:v>0.15294679770522554</c:v>
                </c:pt>
                <c:pt idx="198">
                  <c:v>0.15967287628619195</c:v>
                </c:pt>
                <c:pt idx="199">
                  <c:v>0.16666118291114498</c:v>
                </c:pt>
                <c:pt idx="200">
                  <c:v>0.1739203187565235</c:v>
                </c:pt>
                <c:pt idx="201">
                  <c:v>0.18145909339092983</c:v>
                </c:pt>
                <c:pt idx="202">
                  <c:v>0.18928652660345385</c:v>
                </c:pt>
                <c:pt idx="203">
                  <c:v>0.19741185009525919</c:v>
                </c:pt>
                <c:pt idx="204">
                  <c:v>0.20584450902641799</c:v>
                </c:pt>
                <c:pt idx="205">
                  <c:v>0.21459416340984369</c:v>
                </c:pt>
                <c:pt idx="206">
                  <c:v>0.22367068934403878</c:v>
                </c:pt>
                <c:pt idx="207">
                  <c:v>0.23308418007625226</c:v>
                </c:pt>
                <c:pt idx="208">
                  <c:v>0.24284494688752742</c:v>
                </c:pt>
                <c:pt idx="209">
                  <c:v>0.25296351979101694</c:v>
                </c:pt>
                <c:pt idx="210">
                  <c:v>0.26345064803484547</c:v>
                </c:pt>
                <c:pt idx="211">
                  <c:v>0.27431730040071456</c:v>
                </c:pt>
                <c:pt idx="212">
                  <c:v>0.28557466528937364</c:v>
                </c:pt>
                <c:pt idx="213">
                  <c:v>0.2972341505840167</c:v>
                </c:pt>
                <c:pt idx="214">
                  <c:v>0.30930738328261143</c:v>
                </c:pt>
                <c:pt idx="215">
                  <c:v>0.32180620889013656</c:v>
                </c:pt>
                <c:pt idx="216">
                  <c:v>0.33474269056167011</c:v>
                </c:pt>
                <c:pt idx="217">
                  <c:v>0.34812910798727037</c:v>
                </c:pt>
                <c:pt idx="218">
                  <c:v>0.3619779560095866</c:v>
                </c:pt>
                <c:pt idx="219">
                  <c:v>0.37630194296516212</c:v>
                </c:pt>
                <c:pt idx="220">
                  <c:v>0.39111398874042319</c:v>
                </c:pt>
                <c:pt idx="221">
                  <c:v>0.40642722253340058</c:v>
                </c:pt>
                <c:pt idx="222">
                  <c:v>0.42225498031229608</c:v>
                </c:pt>
                <c:pt idx="223">
                  <c:v>0.4386108019620919</c:v>
                </c:pt>
                <c:pt idx="224">
                  <c:v>0.45550842811050557</c:v>
                </c:pt>
                <c:pt idx="225">
                  <c:v>0.47296179662471127</c:v>
                </c:pt>
                <c:pt idx="226">
                  <c:v>0.49098503877038779</c:v>
                </c:pt>
                <c:pt idx="227">
                  <c:v>0.50959247502481475</c:v>
                </c:pt>
                <c:pt idx="228">
                  <c:v>0.52879861053591914</c:v>
                </c:pt>
                <c:pt idx="229">
                  <c:v>0.5486181302193649</c:v>
                </c:pt>
                <c:pt idx="230">
                  <c:v>0.56906589348600867</c:v>
                </c:pt>
                <c:pt idx="231">
                  <c:v>0.59015692859227509</c:v>
                </c:pt>
                <c:pt idx="232">
                  <c:v>0.61190642660627526</c:v>
                </c:pt>
                <c:pt idx="233">
                  <c:v>0.63432973498276979</c:v>
                </c:pt>
                <c:pt idx="234">
                  <c:v>0.65744235074038082</c:v>
                </c:pt>
                <c:pt idx="235">
                  <c:v>0.68125991323479584</c:v>
                </c:pt>
                <c:pt idx="236">
                  <c:v>0.70579819652203946</c:v>
                </c:pt>
                <c:pt idx="237">
                  <c:v>0.73107310130627645</c:v>
                </c:pt>
                <c:pt idx="238">
                  <c:v>0.75710064646699082</c:v>
                </c:pt>
                <c:pt idx="239">
                  <c:v>0.783896960160817</c:v>
                </c:pt>
                <c:pt idx="240">
                  <c:v>0.81147827049372678</c:v>
                </c:pt>
                <c:pt idx="241">
                  <c:v>0.83986089575974232</c:v>
                </c:pt>
                <c:pt idx="242">
                  <c:v>0.86906123424284076</c:v>
                </c:pt>
                <c:pt idx="243">
                  <c:v>0.89909575357920701</c:v>
                </c:pt>
                <c:pt idx="244">
                  <c:v>0.92998097967753568</c:v>
                </c:pt>
                <c:pt idx="245">
                  <c:v>0.96173348519563528</c:v>
                </c:pt>
                <c:pt idx="246">
                  <c:v>0.99436987757215511</c:v>
                </c:pt>
                <c:pt idx="247">
                  <c:v>1.0279067866128593</c:v>
                </c:pt>
                <c:pt idx="248">
                  <c:v>1.0623608516314877</c:v>
                </c:pt>
                <c:pt idx="249">
                  <c:v>1.0977487081458914</c:v>
                </c:pt>
                <c:pt idx="250">
                  <c:v>1.1340869741307738</c:v>
                </c:pt>
                <c:pt idx="251">
                  <c:v>1.1713922358290676</c:v>
                </c:pt>
                <c:pt idx="252">
                  <c:v>1.2096810331246601</c:v>
                </c:pt>
                <c:pt idx="253">
                  <c:v>1.2489698444799209</c:v>
                </c:pt>
                <c:pt idx="254">
                  <c:v>1.2892750714421899</c:v>
                </c:pt>
                <c:pt idx="255">
                  <c:v>1.3306130227241777</c:v>
                </c:pt>
                <c:pt idx="256">
                  <c:v>1.3729998978639575</c:v>
                </c:pt>
                <c:pt idx="257">
                  <c:v>1.41645177047106</c:v>
                </c:pt>
                <c:pt idx="258">
                  <c:v>1.4609845710659464</c:v>
                </c:pt>
                <c:pt idx="259">
                  <c:v>1.5066140695209616</c:v>
                </c:pt>
                <c:pt idx="260">
                  <c:v>1.5533558571117194</c:v>
                </c:pt>
                <c:pt idx="261">
                  <c:v>1.6012253281886653</c:v>
                </c:pt>
                <c:pt idx="262">
                  <c:v>1.6502376614794612</c:v>
                </c:pt>
                <c:pt idx="263">
                  <c:v>1.7004078010336587</c:v>
                </c:pt>
                <c:pt idx="264">
                  <c:v>1.7517504368220125</c:v>
                </c:pt>
                <c:pt idx="265">
                  <c:v>1.8042799850036575</c:v>
                </c:pt>
                <c:pt idx="266">
                  <c:v>1.8580105678752399</c:v>
                </c:pt>
                <c:pt idx="267">
                  <c:v>1.912955993516996</c:v>
                </c:pt>
                <c:pt idx="268">
                  <c:v>1.9691297351516257</c:v>
                </c:pt>
                <c:pt idx="269">
                  <c:v>2.026544910232738</c:v>
                </c:pt>
                <c:pt idx="270">
                  <c:v>2.0852142592804652</c:v>
                </c:pt>
                <c:pt idx="271">
                  <c:v>2.145150124482794</c:v>
                </c:pt>
                <c:pt idx="272">
                  <c:v>2.2063644280819914</c:v>
                </c:pt>
                <c:pt idx="273">
                  <c:v>2.2688686505663767</c:v>
                </c:pt>
                <c:pt idx="274">
                  <c:v>2.3326738086885879</c:v>
                </c:pt>
                <c:pt idx="275">
                  <c:v>2.3977904333322937</c:v>
                </c:pt>
                <c:pt idx="276">
                  <c:v>2.4642285472501948</c:v>
                </c:pt>
                <c:pt idx="277">
                  <c:v>2.5319976426969366</c:v>
                </c:pt>
                <c:pt idx="278">
                  <c:v>2.6011066589814176</c:v>
                </c:pt>
                <c:pt idx="279">
                  <c:v>2.6715639599637226</c:v>
                </c:pt>
                <c:pt idx="280">
                  <c:v>2.7433773115227371</c:v>
                </c:pt>
                <c:pt idx="281">
                  <c:v>2.816553859021206</c:v>
                </c:pt>
                <c:pt idx="282">
                  <c:v>2.8911001047957661</c:v>
                </c:pt>
                <c:pt idx="283">
                  <c:v>2.9670218857001807</c:v>
                </c:pt>
                <c:pt idx="284">
                  <c:v>3.0443243507306681</c:v>
                </c:pt>
                <c:pt idx="285">
                  <c:v>3.1230119387628865</c:v>
                </c:pt>
                <c:pt idx="286">
                  <c:v>3.2030883564307531</c:v>
                </c:pt>
                <c:pt idx="287">
                  <c:v>3.2845565561778467</c:v>
                </c:pt>
                <c:pt idx="288">
                  <c:v>3.3674187145127221</c:v>
                </c:pt>
                <c:pt idx="289">
                  <c:v>3.4516762104999512</c:v>
                </c:pt>
                <c:pt idx="290">
                  <c:v>3.5373296045192029</c:v>
                </c:pt>
                <c:pt idx="291">
                  <c:v>3.6243786173250951</c:v>
                </c:pt>
                <c:pt idx="292">
                  <c:v>3.7128221094409688</c:v>
                </c:pt>
                <c:pt idx="293">
                  <c:v>3.8026580609200407</c:v>
                </c:pt>
                <c:pt idx="294">
                  <c:v>3.8938835515077432</c:v>
                </c:pt>
                <c:pt idx="295">
                  <c:v>3.9864947412392771</c:v>
                </c:pt>
                <c:pt idx="296">
                  <c:v>4.0804868515066461</c:v>
                </c:pt>
                <c:pt idx="297">
                  <c:v>4.1758541466295451</c:v>
                </c:pt>
                <c:pt idx="298">
                  <c:v>4.272589915964641</c:v>
                </c:pt>
                <c:pt idx="299">
                  <c:v>4.3706864565877748</c:v>
                </c:pt>
                <c:pt idx="300">
                  <c:v>4.4701350565836622</c:v>
                </c:pt>
                <c:pt idx="301">
                  <c:v>4.5709259789775549</c:v>
                </c:pt>
                <c:pt idx="302">
                  <c:v>4.6730484463432465</c:v>
                </c:pt>
                <c:pt idx="303">
                  <c:v>4.7764906261216167</c:v>
                </c:pt>
                <c:pt idx="304">
                  <c:v>4.881239616683648</c:v>
                </c:pt>
                <c:pt idx="305">
                  <c:v>4.9872814341715808</c:v>
                </c:pt>
                <c:pt idx="306">
                  <c:v>5.0946010001515045</c:v>
                </c:pt>
                <c:pt idx="307">
                  <c:v>5.2031821301102426</c:v>
                </c:pt>
                <c:pt idx="308">
                  <c:v>5.3130075228289142</c:v>
                </c:pt>
                <c:pt idx="309">
                  <c:v>5.4240587506650302</c:v>
                </c:pt>
                <c:pt idx="310">
                  <c:v>5.536316250774318</c:v>
                </c:pt>
                <c:pt idx="311">
                  <c:v>5.6497593173028511</c:v>
                </c:pt>
                <c:pt idx="312">
                  <c:v>5.7643660945792679</c:v>
                </c:pt>
                <c:pt idx="313">
                  <c:v>5.8801135713361026</c:v>
                </c:pt>
                <c:pt idx="314">
                  <c:v>5.9969775759883515</c:v>
                </c:pt>
                <c:pt idx="315">
                  <c:v>6.1149327729964833</c:v>
                </c:pt>
                <c:pt idx="316">
                  <c:v>6.2339526603401065</c:v>
                </c:pt>
                <c:pt idx="317">
                  <c:v>6.3540095681274433</c:v>
                </c:pt>
                <c:pt idx="318">
                  <c:v>6.4750746583646537</c:v>
                </c:pt>
                <c:pt idx="319">
                  <c:v>6.5971179259078383</c:v>
                </c:pt>
                <c:pt idx="320">
                  <c:v>6.7201082006193706</c:v>
                </c:pt>
                <c:pt idx="321">
                  <c:v>6.8440131507488431</c:v>
                </c:pt>
                <c:pt idx="322">
                  <c:v>6.9687992875575944</c:v>
                </c:pt>
                <c:pt idx="323">
                  <c:v>7.0944319712043651</c:v>
                </c:pt>
                <c:pt idx="324">
                  <c:v>7.22087541790816</c:v>
                </c:pt>
                <c:pt idx="325">
                  <c:v>7.3480927084028558</c:v>
                </c:pt>
                <c:pt idx="326">
                  <c:v>7.476045797696556</c:v>
                </c:pt>
                <c:pt idx="327">
                  <c:v>7.6046955261470321</c:v>
                </c:pt>
                <c:pt idx="328">
                  <c:v>7.7340016318629567</c:v>
                </c:pt>
                <c:pt idx="329">
                  <c:v>7.8639227644388967</c:v>
                </c:pt>
                <c:pt idx="330">
                  <c:v>7.9944165000302752</c:v>
                </c:pt>
                <c:pt idx="331">
                  <c:v>8.1254393577727413</c:v>
                </c:pt>
                <c:pt idx="332">
                  <c:v>8.2569468175485028</c:v>
                </c:pt>
                <c:pt idx="333">
                  <c:v>8.3888933391003597</c:v>
                </c:pt>
                <c:pt idx="334">
                  <c:v>8.5212323824922365</c:v>
                </c:pt>
                <c:pt idx="335">
                  <c:v>8.6539164299130853</c:v>
                </c:pt>
                <c:pt idx="336">
                  <c:v>8.7868970088190874</c:v>
                </c:pt>
                <c:pt idx="337">
                  <c:v>8.9201247164070914</c:v>
                </c:pt>
                <c:pt idx="338">
                  <c:v>9.0535492454102098</c:v>
                </c:pt>
                <c:pt idx="339">
                  <c:v>9.1871194112045131</c:v>
                </c:pt>
                <c:pt idx="340">
                  <c:v>9.3207831802136862</c:v>
                </c:pt>
                <c:pt idx="341">
                  <c:v>9.4544876995965161</c:v>
                </c:pt>
                <c:pt idx="342">
                  <c:v>9.5881793281999919</c:v>
                </c:pt>
                <c:pt idx="343">
                  <c:v>9.7218036687587919</c:v>
                </c:pt>
                <c:pt idx="344">
                  <c:v>9.8553056013198344</c:v>
                </c:pt>
                <c:pt idx="345">
                  <c:v>9.9886293178685968</c:v>
                </c:pt>
                <c:pt idx="346">
                  <c:v>10.121718358131773</c:v>
                </c:pt>
                <c:pt idx="347">
                  <c:v>10.25451564652896</c:v>
                </c:pt>
                <c:pt idx="348">
                  <c:v>10.386963530243907</c:v>
                </c:pt>
                <c:pt idx="349">
                  <c:v>10.51900381838399</c:v>
                </c:pt>
                <c:pt idx="350">
                  <c:v>10.65057782219457</c:v>
                </c:pt>
                <c:pt idx="351">
                  <c:v>10.781626396292992</c:v>
                </c:pt>
                <c:pt idx="352">
                  <c:v>10.912089980885002</c:v>
                </c:pt>
                <c:pt idx="353">
                  <c:v>11.041908644924636</c:v>
                </c:pt>
                <c:pt idx="354">
                  <c:v>11.171022130176681</c:v>
                </c:pt>
                <c:pt idx="355">
                  <c:v>11.299369896139126</c:v>
                </c:pt>
                <c:pt idx="356">
                  <c:v>11.426891165781178</c:v>
                </c:pt>
                <c:pt idx="357">
                  <c:v>11.553524972050928</c:v>
                </c:pt>
                <c:pt idx="358">
                  <c:v>11.679210205104884</c:v>
                </c:pt>
                <c:pt idx="359">
                  <c:v>11.803885660210231</c:v>
                </c:pt>
                <c:pt idx="360">
                  <c:v>11.927490086269072</c:v>
                </c:pt>
                <c:pt idx="361">
                  <c:v>12.049962234912476</c:v>
                </c:pt>
                <c:pt idx="362">
                  <c:v>12.171240910110782</c:v>
                </c:pt>
                <c:pt idx="363">
                  <c:v>12.291265018245397</c:v>
                </c:pt>
                <c:pt idx="364">
                  <c:v>12.409973618585937</c:v>
                </c:pt>
                <c:pt idx="365">
                  <c:v>12.527305974115592</c:v>
                </c:pt>
                <c:pt idx="366">
                  <c:v>12.643201602646437</c:v>
                </c:pt>
                <c:pt idx="367">
                  <c:v>12.75760032816541</c:v>
                </c:pt>
                <c:pt idx="368">
                  <c:v>12.87044233235088</c:v>
                </c:pt>
                <c:pt idx="369">
                  <c:v>12.98166820619883</c:v>
                </c:pt>
                <c:pt idx="370">
                  <c:v>13.09121900169704</c:v>
                </c:pt>
                <c:pt idx="371">
                  <c:v>13.199036283484958</c:v>
                </c:pt>
                <c:pt idx="372">
                  <c:v>13.305062180436517</c:v>
                </c:pt>
                <c:pt idx="373">
                  <c:v>13.409239437102643</c:v>
                </c:pt>
                <c:pt idx="374">
                  <c:v>13.511511464949919</c:v>
                </c:pt>
                <c:pt idx="375">
                  <c:v>13.611822393331629</c:v>
                </c:pt>
                <c:pt idx="376">
                  <c:v>13.710117120127286</c:v>
                </c:pt>
                <c:pt idx="377">
                  <c:v>13.806341361986698</c:v>
                </c:pt>
                <c:pt idx="378">
                  <c:v>13.900441704114739</c:v>
                </c:pt>
                <c:pt idx="379">
                  <c:v>13.992365649533147</c:v>
                </c:pt>
                <c:pt idx="380">
                  <c:v>14.082061667755978</c:v>
                </c:pt>
                <c:pt idx="381">
                  <c:v>14.169479242815726</c:v>
                </c:pt>
                <c:pt idx="382">
                  <c:v>14.254568920577579</c:v>
                </c:pt>
                <c:pt idx="383">
                  <c:v>14.337282355279983</c:v>
                </c:pt>
                <c:pt idx="384">
                  <c:v>14.417572355240248</c:v>
                </c:pt>
                <c:pt idx="385">
                  <c:v>14.49539292766487</c:v>
                </c:pt>
                <c:pt idx="386">
                  <c:v>14.570699322505048</c:v>
                </c:pt>
                <c:pt idx="387">
                  <c:v>14.643448075298958</c:v>
                </c:pt>
                <c:pt idx="388">
                  <c:v>14.713597048943408</c:v>
                </c:pt>
                <c:pt idx="389">
                  <c:v>14.781105474338746</c:v>
                </c:pt>
                <c:pt idx="390">
                  <c:v>14.845933989852149</c:v>
                </c:pt>
                <c:pt idx="391">
                  <c:v>14.908044679545897</c:v>
                </c:pt>
                <c:pt idx="392">
                  <c:v>14.96740111011863</c:v>
                </c:pt>
                <c:pt idx="393">
                  <c:v>15.023968366509278</c:v>
                </c:pt>
                <c:pt idx="394">
                  <c:v>15.077713086114933</c:v>
                </c:pt>
                <c:pt idx="395">
                  <c:v>15.128603491575756</c:v>
                </c:pt>
                <c:pt idx="396">
                  <c:v>15.176609422081825</c:v>
                </c:pt>
                <c:pt idx="397">
                  <c:v>15.221702363158737</c:v>
                </c:pt>
                <c:pt idx="398">
                  <c:v>15.263855474890832</c:v>
                </c:pt>
                <c:pt idx="399">
                  <c:v>15.303043618542866</c:v>
                </c:pt>
                <c:pt idx="400">
                  <c:v>15.33924338154327</c:v>
                </c:pt>
                <c:pt idx="401">
                  <c:v>15.372433100794144</c:v>
                </c:pt>
                <c:pt idx="402">
                  <c:v>15.402592884275553</c:v>
                </c:pt>
                <c:pt idx="403">
                  <c:v>15.429704630913971</c:v>
                </c:pt>
                <c:pt idx="404">
                  <c:v>15.453752048687033</c:v>
                </c:pt>
                <c:pt idx="405">
                  <c:v>15.474720670939321</c:v>
                </c:pt>
                <c:pt idx="406">
                  <c:v>15.492597870886261</c:v>
                </c:pt>
                <c:pt idx="407">
                  <c:v>15.507372874285782</c:v>
                </c:pt>
                <c:pt idx="408">
                  <c:v>15.519036770259959</c:v>
                </c:pt>
                <c:pt idx="409">
                  <c:v>15.527582520251386</c:v>
                </c:pt>
                <c:pt idx="410">
                  <c:v>15.533004965101714</c:v>
                </c:pt>
                <c:pt idx="411">
                  <c:v>15.535300830242358</c:v>
                </c:pt>
                <c:pt idx="412">
                  <c:v>15.53446872899009</c:v>
                </c:pt>
                <c:pt idx="413">
                  <c:v>15.530509163942851</c:v>
                </c:pt>
                <c:pt idx="414">
                  <c:v>15.523424526473827</c:v>
                </c:pt>
                <c:pt idx="415">
                  <c:v>15.5132190943245</c:v>
                </c:pt>
                <c:pt idx="416">
                  <c:v>15.499899027300071</c:v>
                </c:pt>
                <c:pt idx="417">
                  <c:v>15.483472361073293</c:v>
                </c:pt>
                <c:pt idx="418">
                  <c:v>15.463948999105494</c:v>
                </c:pt>
                <c:pt idx="419">
                  <c:v>15.441340702696088</c:v>
                </c:pt>
                <c:pt idx="420">
                  <c:v>15.41566107917464</c:v>
                </c:pt>
                <c:pt idx="421">
                  <c:v>15.386925568252023</c:v>
                </c:pt>
                <c:pt idx="422">
                  <c:v>15.355151426549877</c:v>
                </c:pt>
                <c:pt idx="423">
                  <c:v>15.320357710330038</c:v>
                </c:pt>
                <c:pt idx="424">
                  <c:v>15.282565256448155</c:v>
                </c:pt>
                <c:pt idx="425">
                  <c:v>15.241796661558134</c:v>
                </c:pt>
                <c:pt idx="426">
                  <c:v>15.19807625959645</c:v>
                </c:pt>
                <c:pt idx="427">
                  <c:v>15.151430097577775</c:v>
                </c:pt>
                <c:pt idx="428">
                  <c:v>15.101885909735566</c:v>
                </c:pt>
                <c:pt idx="429">
                  <c:v>15.049473090043588</c:v>
                </c:pt>
                <c:pt idx="430">
                  <c:v>14.994222663156483</c:v>
                </c:pt>
                <c:pt idx="431">
                  <c:v>14.936167253809577</c:v>
                </c:pt>
                <c:pt idx="432">
                  <c:v>14.875341054720163</c:v>
                </c:pt>
                <c:pt idx="433">
                  <c:v>14.811779793034511</c:v>
                </c:pt>
                <c:pt idx="434">
                  <c:v>14.74552069536661</c:v>
                </c:pt>
                <c:pt idx="435">
                  <c:v>14.676602451476597</c:v>
                </c:pt>
                <c:pt idx="436">
                  <c:v>14.6050651766384</c:v>
                </c:pt>
                <c:pt idx="437">
                  <c:v>14.530950372747842</c:v>
                </c:pt>
                <c:pt idx="438">
                  <c:v>14.454300888223973</c:v>
                </c:pt>
                <c:pt idx="439">
                  <c:v>14.375160876757782</c:v>
                </c:pt>
                <c:pt idx="440">
                  <c:v>14.293575754963893</c:v>
                </c:pt>
                <c:pt idx="441">
                  <c:v>14.209592158992002</c:v>
                </c:pt>
                <c:pt idx="442">
                  <c:v>14.123257900156046</c:v>
                </c:pt>
                <c:pt idx="443">
                  <c:v>14.034621919640101</c:v>
                </c:pt>
                <c:pt idx="444">
                  <c:v>13.943734242340991</c:v>
                </c:pt>
                <c:pt idx="445">
                  <c:v>13.850645929908442</c:v>
                </c:pt>
                <c:pt idx="446">
                  <c:v>13.755409033044346</c:v>
                </c:pt>
                <c:pt idx="447">
                  <c:v>13.658076543123377</c:v>
                </c:pt>
                <c:pt idx="448">
                  <c:v>13.558702343197707</c:v>
                </c:pt>
                <c:pt idx="449">
                  <c:v>13.457341158449083</c:v>
                </c:pt>
                <c:pt idx="450">
                  <c:v>13.354048506151743</c:v>
                </c:pt>
                <c:pt idx="451">
                  <c:v>13.248880645210017</c:v>
                </c:pt>
                <c:pt idx="452">
                  <c:v>13.141894525334452</c:v>
                </c:pt>
                <c:pt idx="453">
                  <c:v>13.033147735920442</c:v>
                </c:pt>
                <c:pt idx="454">
                  <c:v>12.922698454693196</c:v>
                </c:pt>
                <c:pt idx="455">
                  <c:v>12.810605396182684</c:v>
                </c:pt>
                <c:pt idx="456">
                  <c:v>12.696927760091981</c:v>
                </c:pt>
                <c:pt idx="457">
                  <c:v>12.581725179621989</c:v>
                </c:pt>
                <c:pt idx="458">
                  <c:v>12.465057669815094</c:v>
                </c:pt>
                <c:pt idx="459">
                  <c:v>12.346985575979655</c:v>
                </c:pt>
                <c:pt idx="460">
                  <c:v>12.22756952225666</c:v>
                </c:pt>
                <c:pt idx="461">
                  <c:v>12.106870360389037</c:v>
                </c:pt>
                <c:pt idx="462">
                  <c:v>11.984949118753285</c:v>
                </c:pt>
                <c:pt idx="463">
                  <c:v>11.861866951712194</c:v>
                </c:pt>
                <c:pt idx="464">
                  <c:v>11.737685089346293</c:v>
                </c:pt>
                <c:pt idx="465">
                  <c:v>11.612464787620681</c:v>
                </c:pt>
                <c:pt idx="466">
                  <c:v>11.486267279042634</c:v>
                </c:pt>
                <c:pt idx="467">
                  <c:v>11.359153723864132</c:v>
                </c:pt>
                <c:pt idx="468">
                  <c:v>11.231185161882117</c:v>
                </c:pt>
                <c:pt idx="469">
                  <c:v>11.102422464887921</c:v>
                </c:pt>
                <c:pt idx="470">
                  <c:v>10.972926289815748</c:v>
                </c:pt>
                <c:pt idx="471">
                  <c:v>10.842757032638659</c:v>
                </c:pt>
                <c:pt idx="472">
                  <c:v>10.711974783058807</c:v>
                </c:pt>
                <c:pt idx="473">
                  <c:v>10.580639280037127</c:v>
                </c:pt>
                <c:pt idx="474">
                  <c:v>10.448809868205858</c:v>
                </c:pt>
                <c:pt idx="475">
                  <c:v>10.316545455205643</c:v>
                </c:pt>
                <c:pt idx="476">
                  <c:v>10.183904469987018</c:v>
                </c:pt>
                <c:pt idx="477">
                  <c:v>10.050944822114399</c:v>
                </c:pt>
                <c:pt idx="478">
                  <c:v>9.9177238621086641</c:v>
                </c:pt>
                <c:pt idx="479">
                  <c:v>9.784298342862618</c:v>
                </c:pt>
                <c:pt idx="480">
                  <c:v>9.6507243821615845</c:v>
                </c:pt>
                <c:pt idx="481">
                  <c:v>9.5170574263395107</c:v>
                </c:pt>
                <c:pt idx="482">
                  <c:v>9.3833522150988564</c:v>
                </c:pt>
                <c:pt idx="483">
                  <c:v>9.2496627475206061</c:v>
                </c:pt>
                <c:pt idx="484">
                  <c:v>9.1160422492887214</c:v>
                </c:pt>
                <c:pt idx="485">
                  <c:v>8.9825431411512149</c:v>
                </c:pt>
                <c:pt idx="486">
                  <c:v>8.8492170086381368</c:v>
                </c:pt>
                <c:pt idx="487">
                  <c:v>8.7161145730545559</c:v>
                </c:pt>
                <c:pt idx="488">
                  <c:v>8.5832856637647019</c:v>
                </c:pt>
                <c:pt idx="489">
                  <c:v>8.4507791917812867</c:v>
                </c:pt>
                <c:pt idx="490">
                  <c:v>8.3186431246720893</c:v>
                </c:pt>
                <c:pt idx="491">
                  <c:v>8.1869244627937512</c:v>
                </c:pt>
                <c:pt idx="492">
                  <c:v>8.0556692168608297</c:v>
                </c:pt>
                <c:pt idx="493">
                  <c:v>7.924922386856089</c:v>
                </c:pt>
                <c:pt idx="494">
                  <c:v>7.7947279422860687</c:v>
                </c:pt>
                <c:pt idx="495">
                  <c:v>7.6651288037840306</c:v>
                </c:pt>
                <c:pt idx="496">
                  <c:v>7.536166826060442</c:v>
                </c:pt>
                <c:pt idx="497">
                  <c:v>7.4078827821993114</c:v>
                </c:pt>
                <c:pt idx="498">
                  <c:v>7.2803163492967657</c:v>
                </c:pt>
                <c:pt idx="499">
                  <c:v>7.1535060954365486</c:v>
                </c:pt>
                <c:pt idx="500">
                  <c:v>7.0274894679952311</c:v>
                </c:pt>
                <c:pt idx="501">
                  <c:v>6.9023027832682731</c:v>
                </c:pt>
                <c:pt idx="502">
                  <c:v>6.7779812174063387</c:v>
                </c:pt>
                <c:pt idx="503">
                  <c:v>6.6545587986496431</c:v>
                </c:pt>
                <c:pt idx="504">
                  <c:v>6.5320684008464962</c:v>
                </c:pt>
                <c:pt idx="505">
                  <c:v>6.4105417382407017</c:v>
                </c:pt>
                <c:pt idx="506">
                  <c:v>6.2900093615109052</c:v>
                </c:pt>
                <c:pt idx="507">
                  <c:v>6.1705006550436208</c:v>
                </c:pt>
                <c:pt idx="508">
                  <c:v>6.0520438354202399</c:v>
                </c:pt>
                <c:pt idx="509">
                  <c:v>5.9346659510970117</c:v>
                </c:pt>
                <c:pt idx="510">
                  <c:v>5.8183928832557008</c:v>
                </c:pt>
                <c:pt idx="511">
                  <c:v>5.7032493478014592</c:v>
                </c:pt>
                <c:pt idx="512">
                  <c:v>5.5892588984832461</c:v>
                </c:pt>
                <c:pt idx="513">
                  <c:v>5.4764439311110946</c:v>
                </c:pt>
                <c:pt idx="514">
                  <c:v>5.3648256888434585</c:v>
                </c:pt>
                <c:pt idx="515">
                  <c:v>5.2544242685169618</c:v>
                </c:pt>
                <c:pt idx="516">
                  <c:v>5.1452586279899002</c:v>
                </c:pt>
                <c:pt idx="517">
                  <c:v>5.0373465944701028</c:v>
                </c:pt>
                <c:pt idx="518">
                  <c:v>4.930704873796909</c:v>
                </c:pt>
                <c:pt idx="519">
                  <c:v>4.8253490606463521</c:v>
                </c:pt>
                <c:pt idx="520">
                  <c:v>4.7212936496280156</c:v>
                </c:pt>
                <c:pt idx="521">
                  <c:v>4.6185520472413906</c:v>
                </c:pt>
                <c:pt idx="522">
                  <c:v>4.5171365846591112</c:v>
                </c:pt>
                <c:pt idx="523">
                  <c:v>4.4170585313039483</c:v>
                </c:pt>
                <c:pt idx="524">
                  <c:v>4.3183281091860781</c:v>
                </c:pt>
                <c:pt idx="525">
                  <c:v>4.2209545079668098</c:v>
                </c:pt>
                <c:pt idx="526">
                  <c:v>4.1249459007146685</c:v>
                </c:pt>
                <c:pt idx="527">
                  <c:v>4.0303094603195699</c:v>
                </c:pt>
                <c:pt idx="528">
                  <c:v>3.9370513765306074</c:v>
                </c:pt>
                <c:pt idx="529">
                  <c:v>3.845176873582969</c:v>
                </c:pt>
                <c:pt idx="530">
                  <c:v>3.7546902283793888</c:v>
                </c:pt>
                <c:pt idx="531">
                  <c:v>3.6655947891916107</c:v>
                </c:pt>
                <c:pt idx="532">
                  <c:v>3.5778929948473994</c:v>
                </c:pt>
                <c:pt idx="533">
                  <c:v>3.4915863943687899</c:v>
                </c:pt>
                <c:pt idx="534">
                  <c:v>3.4066756670274003</c:v>
                </c:pt>
                <c:pt idx="535">
                  <c:v>3.3231606427829266</c:v>
                </c:pt>
                <c:pt idx="536">
                  <c:v>3.2410403230711666</c:v>
                </c:pt>
                <c:pt idx="537">
                  <c:v>3.160312901908287</c:v>
                </c:pt>
                <c:pt idx="538">
                  <c:v>3.0809757872783954</c:v>
                </c:pt>
                <c:pt idx="539">
                  <c:v>3.0030256227719008</c:v>
                </c:pt>
                <c:pt idx="540">
                  <c:v>2.9264583094426162</c:v>
                </c:pt>
              </c:numCache>
            </c:numRef>
          </c:yVal>
          <c:smooth val="1"/>
        </c:ser>
        <c:ser>
          <c:idx val="6"/>
          <c:order val="6"/>
          <c:tx>
            <c:strRef>
              <c:f>Data!$J$1</c:f>
              <c:strCache>
                <c:ptCount val="1"/>
                <c:pt idx="0">
                  <c:v>Peak 5</c:v>
                </c:pt>
              </c:strCache>
            </c:strRef>
          </c:tx>
          <c:spPr>
            <a:ln w="12700">
              <a:solidFill>
                <a:srgbClr val="008080"/>
              </a:solidFill>
              <a:prstDash val="solid"/>
            </a:ln>
          </c:spPr>
          <c:marker>
            <c:symbol val="none"/>
          </c:marker>
          <c:xVal>
            <c:numRef>
              <c:f>Data!$A$2:$A$1001</c:f>
              <c:numCache>
                <c:formatCode>General</c:formatCode>
                <c:ptCount val="1000"/>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c:v>
                </c:pt>
                <c:pt idx="193">
                  <c:v>386</c:v>
                </c:pt>
                <c:pt idx="194">
                  <c:v>388</c:v>
                </c:pt>
                <c:pt idx="195">
                  <c:v>390</c:v>
                </c:pt>
                <c:pt idx="196">
                  <c:v>392</c:v>
                </c:pt>
                <c:pt idx="197">
                  <c:v>394</c:v>
                </c:pt>
                <c:pt idx="198">
                  <c:v>396</c:v>
                </c:pt>
                <c:pt idx="199">
                  <c:v>398</c:v>
                </c:pt>
                <c:pt idx="200">
                  <c:v>400</c:v>
                </c:pt>
                <c:pt idx="201">
                  <c:v>402</c:v>
                </c:pt>
                <c:pt idx="202">
                  <c:v>404</c:v>
                </c:pt>
                <c:pt idx="203">
                  <c:v>406</c:v>
                </c:pt>
                <c:pt idx="204">
                  <c:v>408</c:v>
                </c:pt>
                <c:pt idx="205">
                  <c:v>410</c:v>
                </c:pt>
                <c:pt idx="206">
                  <c:v>412</c:v>
                </c:pt>
                <c:pt idx="207">
                  <c:v>414</c:v>
                </c:pt>
                <c:pt idx="208">
                  <c:v>416</c:v>
                </c:pt>
                <c:pt idx="209">
                  <c:v>418</c:v>
                </c:pt>
                <c:pt idx="210">
                  <c:v>420</c:v>
                </c:pt>
                <c:pt idx="211">
                  <c:v>422</c:v>
                </c:pt>
                <c:pt idx="212">
                  <c:v>424</c:v>
                </c:pt>
                <c:pt idx="213">
                  <c:v>426</c:v>
                </c:pt>
                <c:pt idx="214">
                  <c:v>428</c:v>
                </c:pt>
                <c:pt idx="215">
                  <c:v>430</c:v>
                </c:pt>
                <c:pt idx="216">
                  <c:v>432</c:v>
                </c:pt>
                <c:pt idx="217">
                  <c:v>434</c:v>
                </c:pt>
                <c:pt idx="218">
                  <c:v>436</c:v>
                </c:pt>
                <c:pt idx="219">
                  <c:v>438</c:v>
                </c:pt>
                <c:pt idx="220">
                  <c:v>440</c:v>
                </c:pt>
                <c:pt idx="221">
                  <c:v>442</c:v>
                </c:pt>
                <c:pt idx="222">
                  <c:v>444</c:v>
                </c:pt>
                <c:pt idx="223">
                  <c:v>446</c:v>
                </c:pt>
                <c:pt idx="224">
                  <c:v>448</c:v>
                </c:pt>
                <c:pt idx="225">
                  <c:v>450</c:v>
                </c:pt>
                <c:pt idx="226">
                  <c:v>452</c:v>
                </c:pt>
                <c:pt idx="227">
                  <c:v>454</c:v>
                </c:pt>
                <c:pt idx="228">
                  <c:v>456</c:v>
                </c:pt>
                <c:pt idx="229">
                  <c:v>458</c:v>
                </c:pt>
                <c:pt idx="230">
                  <c:v>460</c:v>
                </c:pt>
                <c:pt idx="231">
                  <c:v>462</c:v>
                </c:pt>
                <c:pt idx="232">
                  <c:v>464</c:v>
                </c:pt>
                <c:pt idx="233">
                  <c:v>466</c:v>
                </c:pt>
                <c:pt idx="234">
                  <c:v>468</c:v>
                </c:pt>
                <c:pt idx="235">
                  <c:v>470</c:v>
                </c:pt>
                <c:pt idx="236">
                  <c:v>472</c:v>
                </c:pt>
                <c:pt idx="237">
                  <c:v>474</c:v>
                </c:pt>
                <c:pt idx="238">
                  <c:v>476</c:v>
                </c:pt>
                <c:pt idx="239">
                  <c:v>478</c:v>
                </c:pt>
                <c:pt idx="240">
                  <c:v>480</c:v>
                </c:pt>
                <c:pt idx="241">
                  <c:v>482</c:v>
                </c:pt>
                <c:pt idx="242">
                  <c:v>484</c:v>
                </c:pt>
                <c:pt idx="243">
                  <c:v>486</c:v>
                </c:pt>
                <c:pt idx="244">
                  <c:v>488</c:v>
                </c:pt>
                <c:pt idx="245">
                  <c:v>490</c:v>
                </c:pt>
                <c:pt idx="246">
                  <c:v>492</c:v>
                </c:pt>
                <c:pt idx="247">
                  <c:v>494</c:v>
                </c:pt>
                <c:pt idx="248">
                  <c:v>496</c:v>
                </c:pt>
                <c:pt idx="249">
                  <c:v>498</c:v>
                </c:pt>
                <c:pt idx="250">
                  <c:v>500</c:v>
                </c:pt>
                <c:pt idx="251">
                  <c:v>502</c:v>
                </c:pt>
                <c:pt idx="252">
                  <c:v>504</c:v>
                </c:pt>
                <c:pt idx="253">
                  <c:v>506</c:v>
                </c:pt>
                <c:pt idx="254">
                  <c:v>508</c:v>
                </c:pt>
                <c:pt idx="255">
                  <c:v>510</c:v>
                </c:pt>
                <c:pt idx="256">
                  <c:v>512</c:v>
                </c:pt>
                <c:pt idx="257">
                  <c:v>514</c:v>
                </c:pt>
                <c:pt idx="258">
                  <c:v>516</c:v>
                </c:pt>
                <c:pt idx="259">
                  <c:v>518</c:v>
                </c:pt>
                <c:pt idx="260">
                  <c:v>520</c:v>
                </c:pt>
                <c:pt idx="261">
                  <c:v>522</c:v>
                </c:pt>
                <c:pt idx="262">
                  <c:v>524</c:v>
                </c:pt>
                <c:pt idx="263">
                  <c:v>526</c:v>
                </c:pt>
                <c:pt idx="264">
                  <c:v>528</c:v>
                </c:pt>
                <c:pt idx="265">
                  <c:v>530</c:v>
                </c:pt>
                <c:pt idx="266">
                  <c:v>532</c:v>
                </c:pt>
                <c:pt idx="267">
                  <c:v>534</c:v>
                </c:pt>
                <c:pt idx="268">
                  <c:v>536</c:v>
                </c:pt>
                <c:pt idx="269">
                  <c:v>538</c:v>
                </c:pt>
                <c:pt idx="270">
                  <c:v>540</c:v>
                </c:pt>
                <c:pt idx="271">
                  <c:v>542</c:v>
                </c:pt>
                <c:pt idx="272">
                  <c:v>544</c:v>
                </c:pt>
                <c:pt idx="273">
                  <c:v>546</c:v>
                </c:pt>
                <c:pt idx="274">
                  <c:v>548</c:v>
                </c:pt>
                <c:pt idx="275">
                  <c:v>550</c:v>
                </c:pt>
                <c:pt idx="276">
                  <c:v>552</c:v>
                </c:pt>
                <c:pt idx="277">
                  <c:v>554</c:v>
                </c:pt>
                <c:pt idx="278">
                  <c:v>556</c:v>
                </c:pt>
                <c:pt idx="279">
                  <c:v>558</c:v>
                </c:pt>
                <c:pt idx="280">
                  <c:v>560</c:v>
                </c:pt>
                <c:pt idx="281">
                  <c:v>562</c:v>
                </c:pt>
                <c:pt idx="282">
                  <c:v>564</c:v>
                </c:pt>
                <c:pt idx="283">
                  <c:v>566</c:v>
                </c:pt>
                <c:pt idx="284">
                  <c:v>568</c:v>
                </c:pt>
                <c:pt idx="285">
                  <c:v>570</c:v>
                </c:pt>
                <c:pt idx="286">
                  <c:v>572</c:v>
                </c:pt>
                <c:pt idx="287">
                  <c:v>574</c:v>
                </c:pt>
                <c:pt idx="288">
                  <c:v>576</c:v>
                </c:pt>
                <c:pt idx="289">
                  <c:v>578</c:v>
                </c:pt>
                <c:pt idx="290">
                  <c:v>580</c:v>
                </c:pt>
                <c:pt idx="291">
                  <c:v>582</c:v>
                </c:pt>
                <c:pt idx="292">
                  <c:v>584</c:v>
                </c:pt>
                <c:pt idx="293">
                  <c:v>586</c:v>
                </c:pt>
                <c:pt idx="294">
                  <c:v>588</c:v>
                </c:pt>
                <c:pt idx="295">
                  <c:v>590</c:v>
                </c:pt>
                <c:pt idx="296">
                  <c:v>592</c:v>
                </c:pt>
                <c:pt idx="297">
                  <c:v>594</c:v>
                </c:pt>
                <c:pt idx="298">
                  <c:v>596</c:v>
                </c:pt>
                <c:pt idx="299">
                  <c:v>598</c:v>
                </c:pt>
                <c:pt idx="300">
                  <c:v>600</c:v>
                </c:pt>
                <c:pt idx="301">
                  <c:v>602</c:v>
                </c:pt>
                <c:pt idx="302">
                  <c:v>604</c:v>
                </c:pt>
                <c:pt idx="303">
                  <c:v>606</c:v>
                </c:pt>
                <c:pt idx="304">
                  <c:v>608</c:v>
                </c:pt>
                <c:pt idx="305">
                  <c:v>610</c:v>
                </c:pt>
                <c:pt idx="306">
                  <c:v>612</c:v>
                </c:pt>
                <c:pt idx="307">
                  <c:v>614</c:v>
                </c:pt>
                <c:pt idx="308">
                  <c:v>616</c:v>
                </c:pt>
                <c:pt idx="309">
                  <c:v>618</c:v>
                </c:pt>
                <c:pt idx="310">
                  <c:v>620</c:v>
                </c:pt>
                <c:pt idx="311">
                  <c:v>622</c:v>
                </c:pt>
                <c:pt idx="312">
                  <c:v>624</c:v>
                </c:pt>
                <c:pt idx="313">
                  <c:v>626</c:v>
                </c:pt>
                <c:pt idx="314">
                  <c:v>628</c:v>
                </c:pt>
                <c:pt idx="315">
                  <c:v>630</c:v>
                </c:pt>
                <c:pt idx="316">
                  <c:v>632</c:v>
                </c:pt>
                <c:pt idx="317">
                  <c:v>634</c:v>
                </c:pt>
                <c:pt idx="318">
                  <c:v>636</c:v>
                </c:pt>
                <c:pt idx="319">
                  <c:v>638</c:v>
                </c:pt>
                <c:pt idx="320">
                  <c:v>640</c:v>
                </c:pt>
                <c:pt idx="321">
                  <c:v>642</c:v>
                </c:pt>
                <c:pt idx="322">
                  <c:v>644</c:v>
                </c:pt>
                <c:pt idx="323">
                  <c:v>646</c:v>
                </c:pt>
                <c:pt idx="324">
                  <c:v>648</c:v>
                </c:pt>
                <c:pt idx="325">
                  <c:v>650</c:v>
                </c:pt>
                <c:pt idx="326">
                  <c:v>652</c:v>
                </c:pt>
                <c:pt idx="327">
                  <c:v>654</c:v>
                </c:pt>
                <c:pt idx="328">
                  <c:v>656</c:v>
                </c:pt>
                <c:pt idx="329">
                  <c:v>658</c:v>
                </c:pt>
                <c:pt idx="330">
                  <c:v>660</c:v>
                </c:pt>
                <c:pt idx="331">
                  <c:v>662</c:v>
                </c:pt>
                <c:pt idx="332">
                  <c:v>664</c:v>
                </c:pt>
                <c:pt idx="333">
                  <c:v>666</c:v>
                </c:pt>
                <c:pt idx="334">
                  <c:v>668</c:v>
                </c:pt>
                <c:pt idx="335">
                  <c:v>670</c:v>
                </c:pt>
                <c:pt idx="336">
                  <c:v>672</c:v>
                </c:pt>
                <c:pt idx="337">
                  <c:v>674</c:v>
                </c:pt>
                <c:pt idx="338">
                  <c:v>676</c:v>
                </c:pt>
                <c:pt idx="339">
                  <c:v>678</c:v>
                </c:pt>
                <c:pt idx="340">
                  <c:v>680</c:v>
                </c:pt>
                <c:pt idx="341">
                  <c:v>682</c:v>
                </c:pt>
                <c:pt idx="342">
                  <c:v>684</c:v>
                </c:pt>
                <c:pt idx="343">
                  <c:v>686</c:v>
                </c:pt>
                <c:pt idx="344">
                  <c:v>688</c:v>
                </c:pt>
                <c:pt idx="345">
                  <c:v>690</c:v>
                </c:pt>
                <c:pt idx="346">
                  <c:v>692</c:v>
                </c:pt>
                <c:pt idx="347">
                  <c:v>694</c:v>
                </c:pt>
                <c:pt idx="348">
                  <c:v>696</c:v>
                </c:pt>
                <c:pt idx="349">
                  <c:v>698</c:v>
                </c:pt>
                <c:pt idx="350">
                  <c:v>700</c:v>
                </c:pt>
                <c:pt idx="351">
                  <c:v>702</c:v>
                </c:pt>
                <c:pt idx="352">
                  <c:v>704</c:v>
                </c:pt>
                <c:pt idx="353">
                  <c:v>706</c:v>
                </c:pt>
                <c:pt idx="354">
                  <c:v>708</c:v>
                </c:pt>
                <c:pt idx="355">
                  <c:v>710</c:v>
                </c:pt>
                <c:pt idx="356">
                  <c:v>712</c:v>
                </c:pt>
                <c:pt idx="357">
                  <c:v>714</c:v>
                </c:pt>
                <c:pt idx="358">
                  <c:v>716</c:v>
                </c:pt>
                <c:pt idx="359">
                  <c:v>718</c:v>
                </c:pt>
                <c:pt idx="360">
                  <c:v>720</c:v>
                </c:pt>
                <c:pt idx="361">
                  <c:v>722</c:v>
                </c:pt>
                <c:pt idx="362">
                  <c:v>724</c:v>
                </c:pt>
                <c:pt idx="363">
                  <c:v>726</c:v>
                </c:pt>
                <c:pt idx="364">
                  <c:v>728</c:v>
                </c:pt>
                <c:pt idx="365">
                  <c:v>730</c:v>
                </c:pt>
                <c:pt idx="366">
                  <c:v>732</c:v>
                </c:pt>
                <c:pt idx="367">
                  <c:v>734</c:v>
                </c:pt>
                <c:pt idx="368">
                  <c:v>736</c:v>
                </c:pt>
                <c:pt idx="369">
                  <c:v>738</c:v>
                </c:pt>
                <c:pt idx="370">
                  <c:v>740</c:v>
                </c:pt>
                <c:pt idx="371">
                  <c:v>742</c:v>
                </c:pt>
                <c:pt idx="372">
                  <c:v>744</c:v>
                </c:pt>
                <c:pt idx="373">
                  <c:v>746</c:v>
                </c:pt>
                <c:pt idx="374">
                  <c:v>748</c:v>
                </c:pt>
                <c:pt idx="375">
                  <c:v>750</c:v>
                </c:pt>
                <c:pt idx="376">
                  <c:v>752</c:v>
                </c:pt>
                <c:pt idx="377">
                  <c:v>754</c:v>
                </c:pt>
                <c:pt idx="378">
                  <c:v>756</c:v>
                </c:pt>
                <c:pt idx="379">
                  <c:v>758</c:v>
                </c:pt>
                <c:pt idx="380">
                  <c:v>760</c:v>
                </c:pt>
                <c:pt idx="381">
                  <c:v>762</c:v>
                </c:pt>
                <c:pt idx="382">
                  <c:v>764</c:v>
                </c:pt>
                <c:pt idx="383">
                  <c:v>766</c:v>
                </c:pt>
                <c:pt idx="384">
                  <c:v>768</c:v>
                </c:pt>
                <c:pt idx="385">
                  <c:v>770</c:v>
                </c:pt>
                <c:pt idx="386">
                  <c:v>772</c:v>
                </c:pt>
                <c:pt idx="387">
                  <c:v>774</c:v>
                </c:pt>
                <c:pt idx="388">
                  <c:v>776</c:v>
                </c:pt>
                <c:pt idx="389">
                  <c:v>778</c:v>
                </c:pt>
                <c:pt idx="390">
                  <c:v>780</c:v>
                </c:pt>
                <c:pt idx="391">
                  <c:v>782</c:v>
                </c:pt>
                <c:pt idx="392">
                  <c:v>784</c:v>
                </c:pt>
                <c:pt idx="393">
                  <c:v>786</c:v>
                </c:pt>
                <c:pt idx="394">
                  <c:v>788</c:v>
                </c:pt>
                <c:pt idx="395">
                  <c:v>790</c:v>
                </c:pt>
                <c:pt idx="396">
                  <c:v>792</c:v>
                </c:pt>
                <c:pt idx="397">
                  <c:v>794</c:v>
                </c:pt>
                <c:pt idx="398">
                  <c:v>796</c:v>
                </c:pt>
                <c:pt idx="399">
                  <c:v>798</c:v>
                </c:pt>
                <c:pt idx="400">
                  <c:v>800</c:v>
                </c:pt>
                <c:pt idx="401">
                  <c:v>802</c:v>
                </c:pt>
                <c:pt idx="402">
                  <c:v>804</c:v>
                </c:pt>
                <c:pt idx="403">
                  <c:v>806</c:v>
                </c:pt>
                <c:pt idx="404">
                  <c:v>808</c:v>
                </c:pt>
                <c:pt idx="405">
                  <c:v>810</c:v>
                </c:pt>
                <c:pt idx="406">
                  <c:v>812</c:v>
                </c:pt>
                <c:pt idx="407">
                  <c:v>814</c:v>
                </c:pt>
                <c:pt idx="408">
                  <c:v>816</c:v>
                </c:pt>
                <c:pt idx="409">
                  <c:v>818</c:v>
                </c:pt>
                <c:pt idx="410">
                  <c:v>820</c:v>
                </c:pt>
                <c:pt idx="411">
                  <c:v>822</c:v>
                </c:pt>
                <c:pt idx="412">
                  <c:v>824</c:v>
                </c:pt>
                <c:pt idx="413">
                  <c:v>826</c:v>
                </c:pt>
                <c:pt idx="414">
                  <c:v>828</c:v>
                </c:pt>
                <c:pt idx="415">
                  <c:v>830</c:v>
                </c:pt>
                <c:pt idx="416">
                  <c:v>832</c:v>
                </c:pt>
                <c:pt idx="417">
                  <c:v>834</c:v>
                </c:pt>
                <c:pt idx="418">
                  <c:v>836</c:v>
                </c:pt>
                <c:pt idx="419">
                  <c:v>838</c:v>
                </c:pt>
                <c:pt idx="420">
                  <c:v>840</c:v>
                </c:pt>
                <c:pt idx="421">
                  <c:v>842</c:v>
                </c:pt>
                <c:pt idx="422">
                  <c:v>844</c:v>
                </c:pt>
                <c:pt idx="423">
                  <c:v>846</c:v>
                </c:pt>
                <c:pt idx="424">
                  <c:v>848</c:v>
                </c:pt>
                <c:pt idx="425">
                  <c:v>850</c:v>
                </c:pt>
                <c:pt idx="426">
                  <c:v>852</c:v>
                </c:pt>
                <c:pt idx="427">
                  <c:v>854</c:v>
                </c:pt>
                <c:pt idx="428">
                  <c:v>856</c:v>
                </c:pt>
                <c:pt idx="429">
                  <c:v>858</c:v>
                </c:pt>
                <c:pt idx="430">
                  <c:v>860</c:v>
                </c:pt>
                <c:pt idx="431">
                  <c:v>862</c:v>
                </c:pt>
                <c:pt idx="432">
                  <c:v>864</c:v>
                </c:pt>
                <c:pt idx="433">
                  <c:v>866</c:v>
                </c:pt>
                <c:pt idx="434">
                  <c:v>868</c:v>
                </c:pt>
                <c:pt idx="435">
                  <c:v>870</c:v>
                </c:pt>
                <c:pt idx="436">
                  <c:v>872</c:v>
                </c:pt>
                <c:pt idx="437">
                  <c:v>874</c:v>
                </c:pt>
                <c:pt idx="438">
                  <c:v>876</c:v>
                </c:pt>
                <c:pt idx="439">
                  <c:v>878</c:v>
                </c:pt>
                <c:pt idx="440">
                  <c:v>880</c:v>
                </c:pt>
                <c:pt idx="441">
                  <c:v>882</c:v>
                </c:pt>
                <c:pt idx="442">
                  <c:v>884</c:v>
                </c:pt>
                <c:pt idx="443">
                  <c:v>886</c:v>
                </c:pt>
                <c:pt idx="444">
                  <c:v>888</c:v>
                </c:pt>
                <c:pt idx="445">
                  <c:v>890</c:v>
                </c:pt>
                <c:pt idx="446">
                  <c:v>892</c:v>
                </c:pt>
                <c:pt idx="447">
                  <c:v>894</c:v>
                </c:pt>
                <c:pt idx="448">
                  <c:v>896</c:v>
                </c:pt>
                <c:pt idx="449">
                  <c:v>898</c:v>
                </c:pt>
                <c:pt idx="450">
                  <c:v>900</c:v>
                </c:pt>
                <c:pt idx="451">
                  <c:v>902</c:v>
                </c:pt>
                <c:pt idx="452">
                  <c:v>904</c:v>
                </c:pt>
                <c:pt idx="453">
                  <c:v>906</c:v>
                </c:pt>
                <c:pt idx="454">
                  <c:v>908</c:v>
                </c:pt>
                <c:pt idx="455">
                  <c:v>910</c:v>
                </c:pt>
                <c:pt idx="456">
                  <c:v>912</c:v>
                </c:pt>
                <c:pt idx="457">
                  <c:v>914</c:v>
                </c:pt>
                <c:pt idx="458">
                  <c:v>916</c:v>
                </c:pt>
                <c:pt idx="459">
                  <c:v>918</c:v>
                </c:pt>
                <c:pt idx="460">
                  <c:v>920</c:v>
                </c:pt>
                <c:pt idx="461">
                  <c:v>922</c:v>
                </c:pt>
                <c:pt idx="462">
                  <c:v>924</c:v>
                </c:pt>
                <c:pt idx="463">
                  <c:v>926</c:v>
                </c:pt>
                <c:pt idx="464">
                  <c:v>928</c:v>
                </c:pt>
                <c:pt idx="465">
                  <c:v>930</c:v>
                </c:pt>
                <c:pt idx="466">
                  <c:v>932</c:v>
                </c:pt>
                <c:pt idx="467">
                  <c:v>934</c:v>
                </c:pt>
                <c:pt idx="468">
                  <c:v>936</c:v>
                </c:pt>
                <c:pt idx="469">
                  <c:v>938</c:v>
                </c:pt>
                <c:pt idx="470">
                  <c:v>940</c:v>
                </c:pt>
                <c:pt idx="471">
                  <c:v>942</c:v>
                </c:pt>
                <c:pt idx="472">
                  <c:v>944</c:v>
                </c:pt>
                <c:pt idx="473">
                  <c:v>946</c:v>
                </c:pt>
                <c:pt idx="474">
                  <c:v>948</c:v>
                </c:pt>
                <c:pt idx="475">
                  <c:v>950</c:v>
                </c:pt>
                <c:pt idx="476">
                  <c:v>952</c:v>
                </c:pt>
                <c:pt idx="477">
                  <c:v>954</c:v>
                </c:pt>
                <c:pt idx="478">
                  <c:v>956</c:v>
                </c:pt>
                <c:pt idx="479">
                  <c:v>958</c:v>
                </c:pt>
                <c:pt idx="480">
                  <c:v>960</c:v>
                </c:pt>
                <c:pt idx="481">
                  <c:v>962</c:v>
                </c:pt>
                <c:pt idx="482">
                  <c:v>964</c:v>
                </c:pt>
                <c:pt idx="483">
                  <c:v>966</c:v>
                </c:pt>
                <c:pt idx="484">
                  <c:v>968</c:v>
                </c:pt>
                <c:pt idx="485">
                  <c:v>970</c:v>
                </c:pt>
                <c:pt idx="486">
                  <c:v>972</c:v>
                </c:pt>
                <c:pt idx="487">
                  <c:v>974</c:v>
                </c:pt>
                <c:pt idx="488">
                  <c:v>976</c:v>
                </c:pt>
                <c:pt idx="489">
                  <c:v>978</c:v>
                </c:pt>
                <c:pt idx="490">
                  <c:v>980</c:v>
                </c:pt>
                <c:pt idx="491">
                  <c:v>982</c:v>
                </c:pt>
                <c:pt idx="492">
                  <c:v>984</c:v>
                </c:pt>
                <c:pt idx="493">
                  <c:v>986</c:v>
                </c:pt>
                <c:pt idx="494">
                  <c:v>988</c:v>
                </c:pt>
                <c:pt idx="495">
                  <c:v>990</c:v>
                </c:pt>
                <c:pt idx="496">
                  <c:v>992</c:v>
                </c:pt>
                <c:pt idx="497">
                  <c:v>994</c:v>
                </c:pt>
                <c:pt idx="498">
                  <c:v>996</c:v>
                </c:pt>
                <c:pt idx="499">
                  <c:v>998</c:v>
                </c:pt>
                <c:pt idx="500">
                  <c:v>1000</c:v>
                </c:pt>
                <c:pt idx="501">
                  <c:v>1002</c:v>
                </c:pt>
                <c:pt idx="502">
                  <c:v>1004</c:v>
                </c:pt>
                <c:pt idx="503">
                  <c:v>1006</c:v>
                </c:pt>
                <c:pt idx="504">
                  <c:v>1008</c:v>
                </c:pt>
                <c:pt idx="505">
                  <c:v>1010</c:v>
                </c:pt>
                <c:pt idx="506">
                  <c:v>1012</c:v>
                </c:pt>
                <c:pt idx="507">
                  <c:v>1014</c:v>
                </c:pt>
                <c:pt idx="508">
                  <c:v>1016</c:v>
                </c:pt>
                <c:pt idx="509">
                  <c:v>1018</c:v>
                </c:pt>
                <c:pt idx="510">
                  <c:v>1020</c:v>
                </c:pt>
                <c:pt idx="511">
                  <c:v>1022</c:v>
                </c:pt>
                <c:pt idx="512">
                  <c:v>1024</c:v>
                </c:pt>
                <c:pt idx="513">
                  <c:v>1026</c:v>
                </c:pt>
                <c:pt idx="514">
                  <c:v>1028</c:v>
                </c:pt>
                <c:pt idx="515">
                  <c:v>1030</c:v>
                </c:pt>
                <c:pt idx="516">
                  <c:v>1032</c:v>
                </c:pt>
                <c:pt idx="517">
                  <c:v>1034</c:v>
                </c:pt>
                <c:pt idx="518">
                  <c:v>1036</c:v>
                </c:pt>
                <c:pt idx="519">
                  <c:v>1038</c:v>
                </c:pt>
                <c:pt idx="520">
                  <c:v>1040</c:v>
                </c:pt>
                <c:pt idx="521">
                  <c:v>1042</c:v>
                </c:pt>
                <c:pt idx="522">
                  <c:v>1044</c:v>
                </c:pt>
                <c:pt idx="523">
                  <c:v>1046</c:v>
                </c:pt>
                <c:pt idx="524">
                  <c:v>1048</c:v>
                </c:pt>
                <c:pt idx="525">
                  <c:v>1050</c:v>
                </c:pt>
                <c:pt idx="526">
                  <c:v>1052</c:v>
                </c:pt>
                <c:pt idx="527">
                  <c:v>1054</c:v>
                </c:pt>
                <c:pt idx="528">
                  <c:v>1056</c:v>
                </c:pt>
                <c:pt idx="529">
                  <c:v>1058</c:v>
                </c:pt>
                <c:pt idx="530">
                  <c:v>1060</c:v>
                </c:pt>
                <c:pt idx="531">
                  <c:v>1062</c:v>
                </c:pt>
                <c:pt idx="532">
                  <c:v>1064</c:v>
                </c:pt>
                <c:pt idx="533">
                  <c:v>1066</c:v>
                </c:pt>
                <c:pt idx="534">
                  <c:v>1068</c:v>
                </c:pt>
                <c:pt idx="535">
                  <c:v>1070</c:v>
                </c:pt>
                <c:pt idx="536">
                  <c:v>1072</c:v>
                </c:pt>
                <c:pt idx="537">
                  <c:v>1074</c:v>
                </c:pt>
                <c:pt idx="538">
                  <c:v>1076</c:v>
                </c:pt>
                <c:pt idx="539">
                  <c:v>1078</c:v>
                </c:pt>
                <c:pt idx="540">
                  <c:v>1080</c:v>
                </c:pt>
              </c:numCache>
            </c:numRef>
          </c:xVal>
          <c:yVal>
            <c:numRef>
              <c:f>Data!$J$2:$J$1001</c:f>
              <c:numCache>
                <c:formatCode>0</c:formatCode>
                <c:ptCount val="1000"/>
                <c:pt idx="0">
                  <c:v>4.4269783094853116E-117</c:v>
                </c:pt>
                <c:pt idx="1">
                  <c:v>1.2983684256226789E-116</c:v>
                </c:pt>
                <c:pt idx="2">
                  <c:v>3.7997390414408062E-116</c:v>
                </c:pt>
                <c:pt idx="3">
                  <c:v>1.1096215201365016E-115</c:v>
                </c:pt>
                <c:pt idx="4">
                  <c:v>3.2334134819960403E-115</c:v>
                </c:pt>
                <c:pt idx="5">
                  <c:v>9.4018407956323513E-115</c:v>
                </c:pt>
                <c:pt idx="6">
                  <c:v>2.7279086006913671E-114</c:v>
                </c:pt>
                <c:pt idx="7">
                  <c:v>7.8979069261563009E-114</c:v>
                </c:pt>
                <c:pt idx="8">
                  <c:v>2.2817049361955176E-113</c:v>
                </c:pt>
                <c:pt idx="9">
                  <c:v>6.5776722015281439E-113</c:v>
                </c:pt>
                <c:pt idx="10">
                  <c:v>1.8921268363313562E-112</c:v>
                </c:pt>
                <c:pt idx="11">
                  <c:v>5.4311717710234914E-112</c:v>
                </c:pt>
                <c:pt idx="12">
                  <c:v>1.5556149402988586E-111</c:v>
                </c:pt>
                <c:pt idx="13">
                  <c:v>4.4460664243028196E-111</c:v>
                </c:pt>
                <c:pt idx="14">
                  <c:v>1.2679877626784134E-110</c:v>
                </c:pt>
                <c:pt idx="15">
                  <c:v>3.6084396958221297E-110</c:v>
                </c:pt>
                <c:pt idx="16">
                  <c:v>1.0246820194095132E-109</c:v>
                </c:pt>
                <c:pt idx="17">
                  <c:v>2.9035148620681221E-109</c:v>
                </c:pt>
                <c:pt idx="18">
                  <c:v>8.209642874553942E-109</c:v>
                </c:pt>
                <c:pt idx="19">
                  <c:v>2.3162730362815588E-108</c:v>
                </c:pt>
                <c:pt idx="20">
                  <c:v>6.5210947719968039E-108</c:v>
                </c:pt>
                <c:pt idx="21">
                  <c:v>1.8319623604662299E-107</c:v>
                </c:pt>
                <c:pt idx="22">
                  <c:v>5.1354423121999363E-107</c:v>
                </c:pt>
                <c:pt idx="23">
                  <c:v>1.4364960556037758E-106</c:v>
                </c:pt>
                <c:pt idx="24">
                  <c:v>4.0095561041114851E-106</c:v>
                </c:pt>
                <c:pt idx="25">
                  <c:v>1.1167434807454759E-105</c:v>
                </c:pt>
                <c:pt idx="26">
                  <c:v>3.1036720920365954E-105</c:v>
                </c:pt>
                <c:pt idx="27">
                  <c:v>8.6072320269762823E-105</c:v>
                </c:pt>
                <c:pt idx="28">
                  <c:v>2.3818612774673041E-104</c:v>
                </c:pt>
                <c:pt idx="29">
                  <c:v>6.5771037360539174E-104</c:v>
                </c:pt>
                <c:pt idx="30">
                  <c:v>1.8122503553680859E-103</c:v>
                </c:pt>
                <c:pt idx="31">
                  <c:v>4.9827255824296908E-103</c:v>
                </c:pt>
                <c:pt idx="32">
                  <c:v>1.3670393622726951E-102</c:v>
                </c:pt>
                <c:pt idx="33">
                  <c:v>3.7424873757613925E-102</c:v>
                </c:pt>
                <c:pt idx="34">
                  <c:v>1.0223625734687389E-101</c:v>
                </c:pt>
                <c:pt idx="35">
                  <c:v>2.7868578372147583E-101</c:v>
                </c:pt>
                <c:pt idx="36">
                  <c:v>7.580362279663227E-101</c:v>
                </c:pt>
                <c:pt idx="37">
                  <c:v>2.0574551778751689E-100</c:v>
                </c:pt>
                <c:pt idx="38">
                  <c:v>5.5723203756472105E-100</c:v>
                </c:pt>
                <c:pt idx="39">
                  <c:v>1.5059378435733452E-99</c:v>
                </c:pt>
                <c:pt idx="40">
                  <c:v>4.0610963231630422E-99</c:v>
                </c:pt>
                <c:pt idx="41">
                  <c:v>1.0928103711195247E-98</c:v>
                </c:pt>
                <c:pt idx="42">
                  <c:v>2.9343478767446854E-98</c:v>
                </c:pt>
                <c:pt idx="43">
                  <c:v>7.8621923632990074E-98</c:v>
                </c:pt>
                <c:pt idx="44">
                  <c:v>2.102040142299447E-97</c:v>
                </c:pt>
                <c:pt idx="45">
                  <c:v>5.6079433718875497E-97</c:v>
                </c:pt>
                <c:pt idx="46">
                  <c:v>1.4929027149104671E-96</c:v>
                </c:pt>
                <c:pt idx="47">
                  <c:v>3.9657439490136934E-96</c:v>
                </c:pt>
                <c:pt idx="48">
                  <c:v>1.0511945651182026E-95</c:v>
                </c:pt>
                <c:pt idx="49">
                  <c:v>2.780397040496888E-95</c:v>
                </c:pt>
                <c:pt idx="50">
                  <c:v>7.3383057467200884E-95</c:v>
                </c:pt>
                <c:pt idx="51">
                  <c:v>1.9326359841119078E-94</c:v>
                </c:pt>
                <c:pt idx="52">
                  <c:v>5.0788992131914628E-94</c:v>
                </c:pt>
                <c:pt idx="53">
                  <c:v>1.3318472000273759E-93</c:v>
                </c:pt>
                <c:pt idx="54">
                  <c:v>3.4850136503256285E-93</c:v>
                </c:pt>
                <c:pt idx="55">
                  <c:v>9.0995483963892561E-93</c:v>
                </c:pt>
                <c:pt idx="56">
                  <c:v>2.3708302995572146E-92</c:v>
                </c:pt>
                <c:pt idx="57">
                  <c:v>6.1637692644055031E-92</c:v>
                </c:pt>
                <c:pt idx="58">
                  <c:v>1.5990334580902341E-91</c:v>
                </c:pt>
                <c:pt idx="59">
                  <c:v>4.1393676690889107E-91</c:v>
                </c:pt>
                <c:pt idx="60">
                  <c:v>1.0692413108107369E-90</c:v>
                </c:pt>
                <c:pt idx="61">
                  <c:v>2.756022318503686E-90</c:v>
                </c:pt>
                <c:pt idx="62">
                  <c:v>7.0885107922563953E-90</c:v>
                </c:pt>
                <c:pt idx="63">
                  <c:v>1.8192507128555738E-89</c:v>
                </c:pt>
                <c:pt idx="64">
                  <c:v>4.6590286037824865E-89</c:v>
                </c:pt>
                <c:pt idx="65">
                  <c:v>1.1905934087939732E-88</c:v>
                </c:pt>
                <c:pt idx="66">
                  <c:v>3.0359655924218774E-88</c:v>
                </c:pt>
                <c:pt idx="67">
                  <c:v>7.724946684374531E-88</c:v>
                </c:pt>
                <c:pt idx="68">
                  <c:v>1.9613694672664508E-87</c:v>
                </c:pt>
                <c:pt idx="69">
                  <c:v>4.9692243435198952E-87</c:v>
                </c:pt>
                <c:pt idx="70">
                  <c:v>1.2562702405875308E-86</c:v>
                </c:pt>
                <c:pt idx="71">
                  <c:v>3.1691501364096505E-86</c:v>
                </c:pt>
                <c:pt idx="72">
                  <c:v>7.9775186894706302E-86</c:v>
                </c:pt>
                <c:pt idx="73">
                  <c:v>2.0038172950011533E-85</c:v>
                </c:pt>
                <c:pt idx="74">
                  <c:v>5.0224276029775002E-85</c:v>
                </c:pt>
                <c:pt idx="75">
                  <c:v>1.2561298147809404E-84</c:v>
                </c:pt>
                <c:pt idx="76">
                  <c:v>3.1348779470633359E-84</c:v>
                </c:pt>
                <c:pt idx="77">
                  <c:v>7.8067814896310237E-84</c:v>
                </c:pt>
                <c:pt idx="78">
                  <c:v>1.9399417282912669E-83</c:v>
                </c:pt>
                <c:pt idx="79">
                  <c:v>4.8102829165456387E-83</c:v>
                </c:pt>
                <c:pt idx="80">
                  <c:v>1.1901942000570381E-82</c:v>
                </c:pt>
                <c:pt idx="81">
                  <c:v>2.9385312469728963E-82</c:v>
                </c:pt>
                <c:pt idx="82">
                  <c:v>7.2394916394340482E-82</c:v>
                </c:pt>
                <c:pt idx="83">
                  <c:v>1.7797176307489699E-81</c:v>
                </c:pt>
                <c:pt idx="84">
                  <c:v>4.3657554903115672E-81</c:v>
                </c:pt>
                <c:pt idx="85">
                  <c:v>1.0686438457704621E-80</c:v>
                </c:pt>
                <c:pt idx="86">
                  <c:v>2.6101883285060644E-80</c:v>
                </c:pt>
                <c:pt idx="87">
                  <c:v>6.3617408213592498E-80</c:v>
                </c:pt>
                <c:pt idx="88">
                  <c:v>1.5471961445934113E-79</c:v>
                </c:pt>
                <c:pt idx="89">
                  <c:v>3.7547415737629828E-79</c:v>
                </c:pt>
                <c:pt idx="90">
                  <c:v>9.0924307550357028E-79</c:v>
                </c:pt>
                <c:pt idx="91">
                  <c:v>2.1970767454626103E-78</c:v>
                </c:pt>
                <c:pt idx="92">
                  <c:v>5.2975580781293975E-78</c:v>
                </c:pt>
                <c:pt idx="93">
                  <c:v>1.2745929150206125E-77</c:v>
                </c:pt>
                <c:pt idx="94">
                  <c:v>3.0600783596493414E-77</c:v>
                </c:pt>
                <c:pt idx="95">
                  <c:v>7.3309265686152382E-77</c:v>
                </c:pt>
                <c:pt idx="96">
                  <c:v>1.7524694877988815E-76</c:v>
                </c:pt>
                <c:pt idx="97">
                  <c:v>4.1802988941766961E-76</c:v>
                </c:pt>
                <c:pt idx="98">
                  <c:v>9.9501465989039284E-76</c:v>
                </c:pt>
                <c:pt idx="99">
                  <c:v>2.3632893492780682E-75</c:v>
                </c:pt>
                <c:pt idx="100">
                  <c:v>5.6010518133984641E-75</c:v>
                </c:pt>
                <c:pt idx="101">
                  <c:v>1.3246085586738398E-74</c:v>
                </c:pt>
                <c:pt idx="102">
                  <c:v>3.125869173432216E-74</c:v>
                </c:pt>
                <c:pt idx="103">
                  <c:v>7.3607033044789222E-74</c:v>
                </c:pt>
                <c:pt idx="104">
                  <c:v>1.7295499201279458E-73</c:v>
                </c:pt>
                <c:pt idx="105">
                  <c:v>4.0551989413359415E-73</c:v>
                </c:pt>
                <c:pt idx="106">
                  <c:v>9.487602966625508E-73</c:v>
                </c:pt>
                <c:pt idx="107">
                  <c:v>2.2149611529224403E-72</c:v>
                </c:pt>
                <c:pt idx="108">
                  <c:v>5.1598966074320732E-72</c:v>
                </c:pt>
                <c:pt idx="109">
                  <c:v>1.1994472671706953E-71</c:v>
                </c:pt>
                <c:pt idx="110">
                  <c:v>2.782188769815636E-71</c:v>
                </c:pt>
                <c:pt idx="111">
                  <c:v>6.4395764195821689E-71</c:v>
                </c:pt>
                <c:pt idx="112">
                  <c:v>1.4872818693034315E-70</c:v>
                </c:pt>
                <c:pt idx="113">
                  <c:v>3.4276347737945579E-70</c:v>
                </c:pt>
                <c:pt idx="114">
                  <c:v>7.8824472074829569E-70</c:v>
                </c:pt>
                <c:pt idx="115">
                  <c:v>1.8088096883032608E-69</c:v>
                </c:pt>
                <c:pt idx="116">
                  <c:v>4.1418079216028521E-69</c:v>
                </c:pt>
                <c:pt idx="117">
                  <c:v>9.4635113527244366E-69</c:v>
                </c:pt>
                <c:pt idx="118">
                  <c:v>2.1576447190180413E-68</c:v>
                </c:pt>
                <c:pt idx="119">
                  <c:v>4.9087717210935103E-68</c:v>
                </c:pt>
                <c:pt idx="120">
                  <c:v>1.1143741044988593E-67</c:v>
                </c:pt>
                <c:pt idx="121">
                  <c:v>2.5243784333250383E-67</c:v>
                </c:pt>
                <c:pt idx="122">
                  <c:v>5.7061500136702535E-67</c:v>
                </c:pt>
                <c:pt idx="123">
                  <c:v>1.2870552277736444E-66</c:v>
                </c:pt>
                <c:pt idx="124">
                  <c:v>2.8967862813494806E-66</c:v>
                </c:pt>
                <c:pt idx="125">
                  <c:v>6.5058043919492607E-66</c:v>
                </c:pt>
                <c:pt idx="126">
                  <c:v>1.4579774996818369E-65</c:v>
                </c:pt>
                <c:pt idx="127">
                  <c:v>3.2603627026933647E-65</c:v>
                </c:pt>
                <c:pt idx="128">
                  <c:v>7.2752225846295041E-65</c:v>
                </c:pt>
                <c:pt idx="129">
                  <c:v>1.6199138848748826E-64</c:v>
                </c:pt>
                <c:pt idx="130">
                  <c:v>3.5991740171942736E-64</c:v>
                </c:pt>
                <c:pt idx="131">
                  <c:v>7.97956168120635E-64</c:v>
                </c:pt>
                <c:pt idx="132">
                  <c:v>1.7653080492430308E-63</c:v>
                </c:pt>
                <c:pt idx="133">
                  <c:v>3.8969716013312762E-63</c:v>
                </c:pt>
                <c:pt idx="134">
                  <c:v>8.5841886748828087E-63</c:v>
                </c:pt>
                <c:pt idx="135">
                  <c:v>1.8868463773557406E-62</c:v>
                </c:pt>
                <c:pt idx="136">
                  <c:v>4.1384632626131069E-62</c:v>
                </c:pt>
                <c:pt idx="137">
                  <c:v>9.0574707536330163E-62</c:v>
                </c:pt>
                <c:pt idx="138">
                  <c:v>1.9780626864018063E-61</c:v>
                </c:pt>
                <c:pt idx="139">
                  <c:v>4.3106070514126589E-61</c:v>
                </c:pt>
                <c:pt idx="140">
                  <c:v>9.3735066872239151E-61</c:v>
                </c:pt>
                <c:pt idx="141">
                  <c:v>2.0339066967185469E-60</c:v>
                </c:pt>
                <c:pt idx="142">
                  <c:v>4.4037761299593554E-60</c:v>
                </c:pt>
                <c:pt idx="143">
                  <c:v>9.5144724758575164E-60</c:v>
                </c:pt>
                <c:pt idx="144">
                  <c:v>2.0512069023359703E-59</c:v>
                </c:pt>
                <c:pt idx="145">
                  <c:v>4.4126501712321457E-59</c:v>
                </c:pt>
                <c:pt idx="146">
                  <c:v>9.4722859917850531E-59</c:v>
                </c:pt>
                <c:pt idx="147">
                  <c:v>2.0289688503980125E-58</c:v>
                </c:pt>
                <c:pt idx="148">
                  <c:v>4.3367184872007483E-58</c:v>
                </c:pt>
                <c:pt idx="149">
                  <c:v>9.2493743557431448E-58</c:v>
                </c:pt>
                <c:pt idx="150">
                  <c:v>1.9684698047446955E-57</c:v>
                </c:pt>
                <c:pt idx="151">
                  <c:v>4.1803286978621788E-57</c:v>
                </c:pt>
                <c:pt idx="152">
                  <c:v>8.8584426916105157E-57</c:v>
                </c:pt>
                <c:pt idx="153">
                  <c:v>1.8731372582740491E-56</c:v>
                </c:pt>
                <c:pt idx="154">
                  <c:v>3.9522744889468384E-56</c:v>
                </c:pt>
                <c:pt idx="155">
                  <c:v>8.3212749077261585E-56</c:v>
                </c:pt>
                <c:pt idx="156">
                  <c:v>1.7482273687222929E-55</c:v>
                </c:pt>
                <c:pt idx="157">
                  <c:v>3.6649768353823796E-55</c:v>
                </c:pt>
                <c:pt idx="158">
                  <c:v>7.6667239688192904E-55</c:v>
                </c:pt>
                <c:pt idx="159">
                  <c:v>1.6003452852309856E-54</c:v>
                </c:pt>
                <c:pt idx="160">
                  <c:v>3.3333647331573305E-54</c:v>
                </c:pt>
                <c:pt idx="161">
                  <c:v>6.9281495228199903E-54</c:v>
                </c:pt>
                <c:pt idx="162">
                  <c:v>1.4368682284242854E-53</c:v>
                </c:pt>
                <c:pt idx="163">
                  <c:v>2.973595603226896E-53</c:v>
                </c:pt>
                <c:pt idx="164">
                  <c:v>6.1406188880335918E-53</c:v>
                </c:pt>
                <c:pt idx="165">
                  <c:v>1.2653412215438306E-52</c:v>
                </c:pt>
                <c:pt idx="166">
                  <c:v>2.6017672517197625E-52</c:v>
                </c:pt>
                <c:pt idx="167">
                  <c:v>5.3381958532742892E-52</c:v>
                </c:pt>
                <c:pt idx="168">
                  <c:v>1.0929136204186959E-51</c:v>
                </c:pt>
                <c:pt idx="169">
                  <c:v>2.2327620779565724E-51</c:v>
                </c:pt>
                <c:pt idx="170">
                  <c:v>4.5516025328457789E-51</c:v>
                </c:pt>
                <c:pt idx="171">
                  <c:v>9.2587314526925546E-51</c:v>
                </c:pt>
                <c:pt idx="172">
                  <c:v>1.8793337758254193E-50</c:v>
                </c:pt>
                <c:pt idx="173">
                  <c:v>3.8064631047357173E-50</c:v>
                </c:pt>
                <c:pt idx="174">
                  <c:v>7.6931571563402442E-50</c:v>
                </c:pt>
                <c:pt idx="175">
                  <c:v>1.5515038520478122E-49</c:v>
                </c:pt>
                <c:pt idx="176">
                  <c:v>3.1222407396085089E-49</c:v>
                </c:pt>
                <c:pt idx="177">
                  <c:v>6.2696773008159804E-49</c:v>
                </c:pt>
                <c:pt idx="178">
                  <c:v>1.2562881539557848E-48</c:v>
                </c:pt>
                <c:pt idx="179">
                  <c:v>2.5118784215953453E-48</c:v>
                </c:pt>
                <c:pt idx="180">
                  <c:v>5.0115635252613953E-48</c:v>
                </c:pt>
                <c:pt idx="181">
                  <c:v>9.9773024720711741E-48</c:v>
                </c:pt>
                <c:pt idx="182">
                  <c:v>1.982066911089974E-47</c:v>
                </c:pt>
                <c:pt idx="183">
                  <c:v>3.9290608828427257E-47</c:v>
                </c:pt>
                <c:pt idx="184">
                  <c:v>7.7718512484261393E-47</c:v>
                </c:pt>
                <c:pt idx="185">
                  <c:v>1.5340004078349055E-46</c:v>
                </c:pt>
                <c:pt idx="186">
                  <c:v>3.0212853484085396E-46</c:v>
                </c:pt>
                <c:pt idx="187">
                  <c:v>5.9377688668771799E-46</c:v>
                </c:pt>
                <c:pt idx="188">
                  <c:v>1.1644480182529285E-45</c:v>
                </c:pt>
                <c:pt idx="189">
                  <c:v>2.2786740056969182E-45</c:v>
                </c:pt>
                <c:pt idx="190">
                  <c:v>4.4494831270457768E-45</c:v>
                </c:pt>
                <c:pt idx="191">
                  <c:v>8.6696627650579288E-45</c:v>
                </c:pt>
                <c:pt idx="192">
                  <c:v>1.6856217208352197E-44</c:v>
                </c:pt>
                <c:pt idx="193">
                  <c:v>3.2702677196061E-44</c:v>
                </c:pt>
                <c:pt idx="194">
                  <c:v>6.3309920804825495E-44</c:v>
                </c:pt>
                <c:pt idx="195">
                  <c:v>1.2229973250574577E-43</c:v>
                </c:pt>
                <c:pt idx="196">
                  <c:v>2.3574610073300764E-43</c:v>
                </c:pt>
                <c:pt idx="197">
                  <c:v>4.5344937055969969E-43</c:v>
                </c:pt>
                <c:pt idx="198">
                  <c:v>8.7031879556684538E-43</c:v>
                </c:pt>
                <c:pt idx="199">
                  <c:v>1.666837245560271E-42</c:v>
                </c:pt>
                <c:pt idx="200">
                  <c:v>3.1854684194874214E-42</c:v>
                </c:pt>
                <c:pt idx="201">
                  <c:v>6.0746139854424392E-42</c:v>
                </c:pt>
                <c:pt idx="202">
                  <c:v>1.1559241615959326E-41</c:v>
                </c:pt>
                <c:pt idx="203">
                  <c:v>2.1948521559924641E-41</c:v>
                </c:pt>
                <c:pt idx="204">
                  <c:v>4.1585935533396493E-41</c:v>
                </c:pt>
                <c:pt idx="205">
                  <c:v>7.8623605263794892E-41</c:v>
                </c:pt>
                <c:pt idx="206">
                  <c:v>1.483285348683638E-40</c:v>
                </c:pt>
                <c:pt idx="207">
                  <c:v>2.7922977968729491E-40</c:v>
                </c:pt>
                <c:pt idx="208">
                  <c:v>5.2452239375877965E-40</c:v>
                </c:pt>
                <c:pt idx="209">
                  <c:v>9.8317677188364211E-40</c:v>
                </c:pt>
                <c:pt idx="210">
                  <c:v>1.8389268701945127E-39</c:v>
                </c:pt>
                <c:pt idx="211">
                  <c:v>3.4321209324811188E-39</c:v>
                </c:pt>
                <c:pt idx="212">
                  <c:v>6.3918412403871439E-39</c:v>
                </c:pt>
                <c:pt idx="213">
                  <c:v>1.1878309885611726E-38</c:v>
                </c:pt>
                <c:pt idx="214">
                  <c:v>2.2026657400436451E-38</c:v>
                </c:pt>
                <c:pt idx="215">
                  <c:v>4.0757526239504248E-38</c:v>
                </c:pt>
                <c:pt idx="216">
                  <c:v>7.5254471635274804E-38</c:v>
                </c:pt>
                <c:pt idx="217">
                  <c:v>1.3865070402252197E-37</c:v>
                </c:pt>
                <c:pt idx="218">
                  <c:v>2.5490427642054896E-37</c:v>
                </c:pt>
                <c:pt idx="219">
                  <c:v>4.6762469509790115E-37</c:v>
                </c:pt>
                <c:pt idx="220">
                  <c:v>8.5601825974282162E-37</c:v>
                </c:pt>
                <c:pt idx="221">
                  <c:v>1.5636296373972277E-36</c:v>
                </c:pt>
                <c:pt idx="222">
                  <c:v>2.8500339442787841E-36</c:v>
                </c:pt>
                <c:pt idx="223">
                  <c:v>5.183599576164263E-36</c:v>
                </c:pt>
                <c:pt idx="224">
                  <c:v>9.4075846100825551E-36</c:v>
                </c:pt>
                <c:pt idx="225">
                  <c:v>1.7036881175880327E-35</c:v>
                </c:pt>
                <c:pt idx="226">
                  <c:v>3.0786997045252508E-35</c:v>
                </c:pt>
                <c:pt idx="227">
                  <c:v>5.5514935524476282E-35</c:v>
                </c:pt>
                <c:pt idx="228">
                  <c:v>9.988899040336206E-35</c:v>
                </c:pt>
                <c:pt idx="229">
                  <c:v>1.7934558157649124E-34</c:v>
                </c:pt>
                <c:pt idx="230">
                  <c:v>3.2131353038705088E-34</c:v>
                </c:pt>
                <c:pt idx="231">
                  <c:v>5.7442405739884678E-34</c:v>
                </c:pt>
                <c:pt idx="232">
                  <c:v>1.0247112418436441E-33</c:v>
                </c:pt>
                <c:pt idx="233">
                  <c:v>1.8240454496558785E-33</c:v>
                </c:pt>
                <c:pt idx="234">
                  <c:v>3.2399259493413712E-33</c:v>
                </c:pt>
                <c:pt idx="235">
                  <c:v>5.7424839124175195E-33</c:v>
                </c:pt>
                <c:pt idx="236">
                  <c:v>1.0156165382839931E-32</c:v>
                </c:pt>
                <c:pt idx="237">
                  <c:v>1.7923590604534092E-32</c:v>
                </c:pt>
                <c:pt idx="238">
                  <c:v>3.1563528047301596E-32</c:v>
                </c:pt>
                <c:pt idx="239">
                  <c:v>5.5464019585725808E-32</c:v>
                </c:pt>
                <c:pt idx="240">
                  <c:v>9.725286725689205E-32</c:v>
                </c:pt>
                <c:pt idx="241">
                  <c:v>1.7016050357041781E-31</c:v>
                </c:pt>
                <c:pt idx="242">
                  <c:v>2.970847671419398E-31</c:v>
                </c:pt>
                <c:pt idx="243">
                  <c:v>5.1756783702156444E-31</c:v>
                </c:pt>
                <c:pt idx="244">
                  <c:v>8.9974501815628115E-31</c:v>
                </c:pt>
                <c:pt idx="245">
                  <c:v>1.5607627634305082E-30</c:v>
                </c:pt>
                <c:pt idx="246">
                  <c:v>2.7015910804840969E-30</c:v>
                </c:pt>
                <c:pt idx="247">
                  <c:v>4.6662457411153892E-30</c:v>
                </c:pt>
                <c:pt idx="248">
                  <c:v>8.0423111855658905E-30</c:v>
                </c:pt>
                <c:pt idx="249">
                  <c:v>1.3831185773056996E-29</c:v>
                </c:pt>
                <c:pt idx="250">
                  <c:v>2.3735764796992494E-29</c:v>
                </c:pt>
                <c:pt idx="251">
                  <c:v>4.0645485850032712E-29</c:v>
                </c:pt>
                <c:pt idx="252">
                  <c:v>6.9452308031110194E-29</c:v>
                </c:pt>
                <c:pt idx="253">
                  <c:v>1.1842034457184691E-28</c:v>
                </c:pt>
                <c:pt idx="254">
                  <c:v>2.0147967065441769E-28</c:v>
                </c:pt>
                <c:pt idx="255">
                  <c:v>3.4205931231304885E-28</c:v>
                </c:pt>
                <c:pt idx="256">
                  <c:v>5.7947790110476727E-28</c:v>
                </c:pt>
                <c:pt idx="257">
                  <c:v>9.7957481926036609E-28</c:v>
                </c:pt>
                <c:pt idx="258">
                  <c:v>1.6523559976455745E-27</c:v>
                </c:pt>
                <c:pt idx="259">
                  <c:v>2.78121718220547E-27</c:v>
                </c:pt>
                <c:pt idx="260">
                  <c:v>4.6712322491202445E-27</c:v>
                </c:pt>
                <c:pt idx="261">
                  <c:v>7.8287656238291696E-27</c:v>
                </c:pt>
                <c:pt idx="262">
                  <c:v>1.3092434097114791E-26</c:v>
                </c:pt>
                <c:pt idx="263">
                  <c:v>2.1848054762399719E-26</c:v>
                </c:pt>
                <c:pt idx="264">
                  <c:v>3.6380647895568794E-26</c:v>
                </c:pt>
                <c:pt idx="265">
                  <c:v>6.0449589578527914E-26</c:v>
                </c:pt>
                <c:pt idx="266">
                  <c:v>1.0022626773631624E-25</c:v>
                </c:pt>
                <c:pt idx="267">
                  <c:v>1.6581928342873676E-25</c:v>
                </c:pt>
                <c:pt idx="268">
                  <c:v>2.7374978327507803E-25</c:v>
                </c:pt>
                <c:pt idx="269">
                  <c:v>4.5095977813057763E-25</c:v>
                </c:pt>
                <c:pt idx="270">
                  <c:v>7.4128823317992649E-25</c:v>
                </c:pt>
                <c:pt idx="271">
                  <c:v>1.2159106960050958E-24</c:v>
                </c:pt>
                <c:pt idx="272">
                  <c:v>1.9901303617096828E-24</c:v>
                </c:pt>
                <c:pt idx="273">
                  <c:v>3.2503239363876515E-24</c:v>
                </c:pt>
                <c:pt idx="274">
                  <c:v>5.2970862086581363E-24</c:v>
                </c:pt>
                <c:pt idx="275">
                  <c:v>8.6141555556706436E-24</c:v>
                </c:pt>
                <c:pt idx="276">
                  <c:v>1.3978277348554808E-23</c:v>
                </c:pt>
                <c:pt idx="277">
                  <c:v>2.263392490074409E-23</c:v>
                </c:pt>
                <c:pt idx="278">
                  <c:v>3.657053906381542E-23</c:v>
                </c:pt>
                <c:pt idx="279">
                  <c:v>5.8961446251708642E-23</c:v>
                </c:pt>
                <c:pt idx="280">
                  <c:v>9.4857170842120496E-23</c:v>
                </c:pt>
                <c:pt idx="281">
                  <c:v>1.5227811122458369E-22</c:v>
                </c:pt>
                <c:pt idx="282">
                  <c:v>2.4393272620802913E-22</c:v>
                </c:pt>
                <c:pt idx="283">
                  <c:v>3.8991319448079424E-22</c:v>
                </c:pt>
                <c:pt idx="284">
                  <c:v>6.2191505219002356E-22</c:v>
                </c:pt>
                <c:pt idx="285">
                  <c:v>9.8982741618091391E-22</c:v>
                </c:pt>
                <c:pt idx="286">
                  <c:v>1.572002250350842E-21</c:v>
                </c:pt>
                <c:pt idx="287">
                  <c:v>2.4912202318452695E-21</c:v>
                </c:pt>
                <c:pt idx="288">
                  <c:v>3.9394569168586242E-21</c:v>
                </c:pt>
                <c:pt idx="289">
                  <c:v>6.2162126445289162E-21</c:v>
                </c:pt>
                <c:pt idx="290">
                  <c:v>9.7876998709772547E-21</c:v>
                </c:pt>
                <c:pt idx="291">
                  <c:v>1.5378029836262842E-20</c:v>
                </c:pt>
                <c:pt idx="292">
                  <c:v>2.4109379258630238E-20</c:v>
                </c:pt>
                <c:pt idx="293">
                  <c:v>3.7716955776121488E-20</c:v>
                </c:pt>
                <c:pt idx="294">
                  <c:v>5.8877926959546918E-20</c:v>
                </c:pt>
                <c:pt idx="295">
                  <c:v>9.171358343384998E-20</c:v>
                </c:pt>
                <c:pt idx="296">
                  <c:v>1.4255422347815426E-19</c:v>
                </c:pt>
                <c:pt idx="297">
                  <c:v>2.2110155100529289E-19</c:v>
                </c:pt>
                <c:pt idx="298">
                  <c:v>3.4219114238630301E-19</c:v>
                </c:pt>
                <c:pt idx="299">
                  <c:v>5.284586516227904E-19</c:v>
                </c:pt>
                <c:pt idx="300">
                  <c:v>8.1436394049341307E-19</c:v>
                </c:pt>
                <c:pt idx="301">
                  <c:v>1.2522508412520769E-18</c:v>
                </c:pt>
                <c:pt idx="302">
                  <c:v>1.9214513959359707E-18</c:v>
                </c:pt>
                <c:pt idx="303">
                  <c:v>2.9419328015577805E-18</c:v>
                </c:pt>
                <c:pt idx="304">
                  <c:v>4.4947068102034613E-18</c:v>
                </c:pt>
                <c:pt idx="305">
                  <c:v>6.8522825340709597E-18</c:v>
                </c:pt>
                <c:pt idx="306">
                  <c:v>1.0424000637772908E-17</c:v>
                </c:pt>
                <c:pt idx="307">
                  <c:v>1.5823365911862309E-17</c:v>
                </c:pt>
                <c:pt idx="308">
                  <c:v>2.3967822911279744E-17</c:v>
                </c:pt>
                <c:pt idx="309">
                  <c:v>3.6226266474339277E-17</c:v>
                </c:pt>
                <c:pt idx="310">
                  <c:v>5.4636622152185634E-17</c:v>
                </c:pt>
                <c:pt idx="311">
                  <c:v>8.2226040957288482E-17</c:v>
                </c:pt>
                <c:pt idx="312">
                  <c:v>1.234810156250371E-16</c:v>
                </c:pt>
                <c:pt idx="313">
                  <c:v>1.8503602050728097E-16</c:v>
                </c:pt>
                <c:pt idx="314">
                  <c:v>2.7667991948271788E-16</c:v>
                </c:pt>
                <c:pt idx="315">
                  <c:v>4.1282337087869166E-16</c:v>
                </c:pt>
                <c:pt idx="316">
                  <c:v>6.1463344001135966E-16</c:v>
                </c:pt>
                <c:pt idx="317">
                  <c:v>9.1313159172591566E-16</c:v>
                </c:pt>
                <c:pt idx="318">
                  <c:v>1.3536794186164427E-15</c:v>
                </c:pt>
                <c:pt idx="319">
                  <c:v>2.0024586537332894E-15</c:v>
                </c:pt>
                <c:pt idx="320">
                  <c:v>2.95581033630028E-15</c:v>
                </c:pt>
                <c:pt idx="321">
                  <c:v>4.3536633463023234E-15</c:v>
                </c:pt>
                <c:pt idx="322">
                  <c:v>6.3987979600528333E-15</c:v>
                </c:pt>
                <c:pt idx="323">
                  <c:v>9.3844154533689681E-15</c:v>
                </c:pt>
                <c:pt idx="324">
                  <c:v>1.3733503055253011E-14</c:v>
                </c:pt>
                <c:pt idx="325">
                  <c:v>2.0054909433522259E-14</c:v>
                </c:pt>
                <c:pt idx="326">
                  <c:v>2.9223037532554869E-14</c:v>
                </c:pt>
                <c:pt idx="327">
                  <c:v>4.2490836482275957E-14</c:v>
                </c:pt>
                <c:pt idx="328">
                  <c:v>6.1649630765784475E-14</c:v>
                </c:pt>
                <c:pt idx="329">
                  <c:v>8.925467091554677E-14</c:v>
                </c:pt>
                <c:pt idx="330">
                  <c:v>1.2894268235105478E-13</c:v>
                </c:pt>
                <c:pt idx="331">
                  <c:v>1.8587788488769116E-13</c:v>
                </c:pt>
                <c:pt idx="332">
                  <c:v>2.6737698246216426E-13</c:v>
                </c:pt>
                <c:pt idx="333">
                  <c:v>3.8378287108488883E-13</c:v>
                </c:pt>
                <c:pt idx="334">
                  <c:v>5.4968315908933596E-13</c:v>
                </c:pt>
                <c:pt idx="335">
                  <c:v>7.856055621227823E-13</c:v>
                </c:pt>
                <c:pt idx="336">
                  <c:v>1.1203712141361951E-12</c:v>
                </c:pt>
                <c:pt idx="337">
                  <c:v>1.5943534590625685E-12</c:v>
                </c:pt>
                <c:pt idx="338">
                  <c:v>2.2639798069003436E-12</c:v>
                </c:pt>
                <c:pt idx="339">
                  <c:v>3.2079365050948871E-12</c:v>
                </c:pt>
                <c:pt idx="340">
                  <c:v>4.5356992774657989E-12</c:v>
                </c:pt>
                <c:pt idx="341">
                  <c:v>6.3992343590389169E-12</c:v>
                </c:pt>
                <c:pt idx="342">
                  <c:v>9.0090096646068577E-12</c:v>
                </c:pt>
                <c:pt idx="343">
                  <c:v>1.2655851321270577E-11</c:v>
                </c:pt>
                <c:pt idx="344">
                  <c:v>1.7740708078048404E-11</c:v>
                </c:pt>
                <c:pt idx="345">
                  <c:v>2.4815087410319394E-11</c:v>
                </c:pt>
                <c:pt idx="346">
                  <c:v>3.4635857415730257E-11</c:v>
                </c:pt>
                <c:pt idx="347">
                  <c:v>4.8239339315265867E-11</c:v>
                </c:pt>
                <c:pt idx="348">
                  <c:v>6.704123919033632E-11</c:v>
                </c:pt>
                <c:pt idx="349">
                  <c:v>9.2971104293126062E-11</c:v>
                </c:pt>
                <c:pt idx="350">
                  <c:v>1.2865279325586929E-10</c:v>
                </c:pt>
                <c:pt idx="351">
                  <c:v>1.7764611918475055E-10</c:v>
                </c:pt>
                <c:pt idx="352">
                  <c:v>2.4476961410147285E-10</c:v>
                </c:pt>
                <c:pt idx="353">
                  <c:v>3.3653059705876263E-10</c:v>
                </c:pt>
                <c:pt idx="354">
                  <c:v>4.6169681972267128E-10</c:v>
                </c:pt>
                <c:pt idx="355">
                  <c:v>6.3205443671279679E-10</c:v>
                </c:pt>
                <c:pt idx="356">
                  <c:v>8.6341056698306941E-10</c:v>
                </c:pt>
                <c:pt idx="357">
                  <c:v>1.1769161136786599E-9</c:v>
                </c:pt>
                <c:pt idx="358">
                  <c:v>1.6008068448989676E-9</c:v>
                </c:pt>
                <c:pt idx="359">
                  <c:v>2.1726893242558816E-9</c:v>
                </c:pt>
                <c:pt idx="360">
                  <c:v>2.9425347633923226E-9</c:v>
                </c:pt>
                <c:pt idx="361">
                  <c:v>3.976590296431939E-9</c:v>
                </c:pt>
                <c:pt idx="362">
                  <c:v>5.3624760884830931E-9</c:v>
                </c:pt>
                <c:pt idx="363">
                  <c:v>7.215811226163363E-9</c:v>
                </c:pt>
                <c:pt idx="364">
                  <c:v>9.6888053644879608E-9</c:v>
                </c:pt>
                <c:pt idx="365">
                  <c:v>1.2981371367429207E-8</c:v>
                </c:pt>
                <c:pt idx="366">
                  <c:v>1.7355462483193026E-8</c:v>
                </c:pt>
                <c:pt idx="367">
                  <c:v>2.3153523012010709E-8</c:v>
                </c:pt>
                <c:pt idx="368">
                  <c:v>3.0822172539199388E-8</c:v>
                </c:pt>
                <c:pt idx="369">
                  <c:v>4.0942531001590289E-8</c:v>
                </c:pt>
                <c:pt idx="370">
                  <c:v>5.4268947637795389E-8</c:v>
                </c:pt>
                <c:pt idx="371">
                  <c:v>7.1778336248280204E-8</c:v>
                </c:pt>
                <c:pt idx="372">
                  <c:v>9.4732860091897953E-8</c:v>
                </c:pt>
                <c:pt idx="373">
                  <c:v>1.2475937351094363E-7</c:v>
                </c:pt>
                <c:pt idx="374">
                  <c:v>1.6394983929306462E-7</c:v>
                </c:pt>
                <c:pt idx="375">
                  <c:v>2.1498793067672401E-7</c:v>
                </c:pt>
                <c:pt idx="376">
                  <c:v>2.8130822982144176E-7</c:v>
                </c:pt>
                <c:pt idx="377">
                  <c:v>3.6729589144693501E-7</c:v>
                </c:pt>
                <c:pt idx="378">
                  <c:v>4.7853639883486686E-7</c:v>
                </c:pt>
                <c:pt idx="379">
                  <c:v>6.2212715462074288E-7</c:v>
                </c:pt>
                <c:pt idx="380">
                  <c:v>8.0706518426446294E-7</c:v>
                </c:pt>
                <c:pt idx="381">
                  <c:v>1.0447282584670984E-6</c:v>
                </c:pt>
                <c:pt idx="382">
                  <c:v>1.3494703448535078E-6</c:v>
                </c:pt>
                <c:pt idx="383">
                  <c:v>1.7393565726065747E-6</c:v>
                </c:pt>
                <c:pt idx="384">
                  <c:v>2.2370679416933035E-6</c:v>
                </c:pt>
                <c:pt idx="385">
                  <c:v>2.8710119484065604E-6</c:v>
                </c:pt>
                <c:pt idx="386">
                  <c:v>3.6766822614218934E-6</c:v>
                </c:pt>
                <c:pt idx="387">
                  <c:v>4.698318710643163E-6</c:v>
                </c:pt>
                <c:pt idx="388">
                  <c:v>5.9909283008365097E-6</c:v>
                </c:pt>
                <c:pt idx="389">
                  <c:v>7.6227389018309955E-6</c:v>
                </c:pt>
                <c:pt idx="390">
                  <c:v>9.6781698766407571E-6</c:v>
                </c:pt>
                <c:pt idx="391">
                  <c:v>1.226141837771179E-5</c:v>
                </c:pt>
                <c:pt idx="392">
                  <c:v>1.5500776566461849E-5</c:v>
                </c:pt>
                <c:pt idx="393">
                  <c:v>1.95538137933628E-5</c:v>
                </c:pt>
                <c:pt idx="394">
                  <c:v>2.461357901593683E-5</c:v>
                </c:pt>
                <c:pt idx="395">
                  <c:v>3.0916002625675251E-5</c:v>
                </c:pt>
                <c:pt idx="396">
                  <c:v>3.8748703585416005E-5</c:v>
                </c:pt>
                <c:pt idx="397">
                  <c:v>4.8461437509316281E-5</c:v>
                </c:pt>
                <c:pt idx="398">
                  <c:v>6.047845418159574E-5</c:v>
                </c:pt>
                <c:pt idx="399">
                  <c:v>7.5313069099990529E-5</c:v>
                </c:pt>
                <c:pt idx="400">
                  <c:v>9.3584792983535394E-5</c:v>
                </c:pt>
                <c:pt idx="401">
                  <c:v>1.1603940577122685E-4</c:v>
                </c:pt>
                <c:pt idx="402">
                  <c:v>1.4357240734233379E-4</c:v>
                </c:pt>
                <c:pt idx="403">
                  <c:v>1.7725632579107989E-4</c:v>
                </c:pt>
                <c:pt idx="404">
                  <c:v>2.1837241524543677E-4</c:v>
                </c:pt>
                <c:pt idx="405">
                  <c:v>2.6844732844497483E-4</c:v>
                </c:pt>
                <c:pt idx="406">
                  <c:v>3.2929540393318335E-4</c:v>
                </c:pt>
                <c:pt idx="407">
                  <c:v>4.0306726293408424E-4</c:v>
                </c:pt>
                <c:pt idx="408">
                  <c:v>4.9230546571928373E-4</c:v>
                </c:pt>
                <c:pt idx="409">
                  <c:v>6.0000803024560102E-4</c:v>
                </c:pt>
                <c:pt idx="410">
                  <c:v>7.2970066551913244E-4</c:v>
                </c:pt>
                <c:pt idx="411">
                  <c:v>8.8551861671365374E-4</c:v>
                </c:pt>
                <c:pt idx="412">
                  <c:v>1.0722990564523919E-3</c:v>
                </c:pt>
                <c:pt idx="413">
                  <c:v>1.2956849844741327E-3</c:v>
                </c:pt>
                <c:pt idx="414">
                  <c:v>1.5622416134769394E-3</c:v>
                </c:pt>
                <c:pt idx="415">
                  <c:v>1.8795862193086816E-3</c:v>
                </c:pt>
                <c:pt idx="416">
                  <c:v>2.2565324156257364E-3</c:v>
                </c:pt>
                <c:pt idx="417">
                  <c:v>2.7032497731979141E-3</c:v>
                </c:pt>
                <c:pt idx="418">
                  <c:v>3.2314396385224736E-3</c:v>
                </c:pt>
                <c:pt idx="419">
                  <c:v>3.8545279114943027E-3</c:v>
                </c:pt>
                <c:pt idx="420">
                  <c:v>4.5878754136504593E-3</c:v>
                </c:pt>
                <c:pt idx="421">
                  <c:v>5.4490063130535225E-3</c:v>
                </c:pt>
                <c:pt idx="422">
                  <c:v>6.4578548653890103E-3</c:v>
                </c:pt>
                <c:pt idx="423">
                  <c:v>7.6370304797378436E-3</c:v>
                </c:pt>
                <c:pt idx="424">
                  <c:v>9.0121008185104316E-3</c:v>
                </c:pt>
                <c:pt idx="425">
                  <c:v>1.06118922914662E-2</c:v>
                </c:pt>
                <c:pt idx="426">
                  <c:v>1.2468806901535462E-2</c:v>
                </c:pt>
                <c:pt idx="427">
                  <c:v>1.4619153944104466E-2</c:v>
                </c:pt>
                <c:pt idx="428">
                  <c:v>1.7103494551349421E-2</c:v>
                </c:pt>
                <c:pt idx="429">
                  <c:v>1.9966996510174397E-2</c:v>
                </c:pt>
                <c:pt idx="430">
                  <c:v>2.3259796168800546E-2</c:v>
                </c:pt>
                <c:pt idx="431">
                  <c:v>2.7037363587163389E-2</c:v>
                </c:pt>
                <c:pt idx="432">
                  <c:v>3.1360866385868998E-2</c:v>
                </c:pt>
                <c:pt idx="433">
                  <c:v>3.6297527015351522E-2</c:v>
                </c:pt>
                <c:pt idx="434">
                  <c:v>4.1920967410929294E-2</c:v>
                </c:pt>
                <c:pt idx="435">
                  <c:v>4.8311534232705469E-2</c:v>
                </c:pt>
                <c:pt idx="436">
                  <c:v>5.5556597125921516E-2</c:v>
                </c:pt>
                <c:pt idx="437">
                  <c:v>6.3750811693865789E-2</c:v>
                </c:pt>
                <c:pt idx="438">
                  <c:v>7.2996338170299477E-2</c:v>
                </c:pt>
                <c:pt idx="439">
                  <c:v>8.340300613210884E-2</c:v>
                </c:pt>
                <c:pt idx="440">
                  <c:v>9.5088415027808001E-2</c:v>
                </c:pt>
                <c:pt idx="441">
                  <c:v>0.10817795983735166</c:v>
                </c:pt>
                <c:pt idx="442">
                  <c:v>0.12280477084830924</c:v>
                </c:pt>
                <c:pt idx="443">
                  <c:v>0.13910955635825234</c:v>
                </c:pt>
                <c:pt idx="444">
                  <c:v>0.15724033711873189</c:v>
                </c:pt>
                <c:pt idx="445">
                  <c:v>0.17735206154740729</c:v>
                </c:pt>
                <c:pt idx="446">
                  <c:v>0.19960609117540984</c:v>
                </c:pt>
                <c:pt idx="447">
                  <c:v>0.22416954648847512</c:v>
                </c:pt>
                <c:pt idx="448">
                  <c:v>0.25121450428153147</c:v>
                </c:pt>
                <c:pt idx="449">
                  <c:v>0.28091703889229808</c:v>
                </c:pt>
                <c:pt idx="450">
                  <c:v>0.3134561012205212</c:v>
                </c:pt>
                <c:pt idx="451">
                  <c:v>0.34901223128079001</c:v>
                </c:pt>
                <c:pt idx="452">
                  <c:v>0.3877661021773201</c:v>
                </c:pt>
                <c:pt idx="453">
                  <c:v>0.42989689582055751</c:v>
                </c:pt>
                <c:pt idx="454">
                  <c:v>0.47558051341235624</c:v>
                </c:pt>
                <c:pt idx="455">
                  <c:v>0.52498762668509802</c:v>
                </c:pt>
                <c:pt idx="456">
                  <c:v>0.57828157905845012</c:v>
                </c:pt>
                <c:pt idx="457">
                  <c:v>0.63561614923486864</c:v>
                </c:pt>
                <c:pt idx="458">
                  <c:v>0.69713319324249223</c:v>
                </c:pt>
                <c:pt idx="459">
                  <c:v>0.76296018449452507</c:v>
                </c:pt>
                <c:pt idx="460">
                  <c:v>0.83320767500291537</c:v>
                </c:pt>
                <c:pt idx="461">
                  <c:v>0.90796670438956695</c:v>
                </c:pt>
                <c:pt idx="462">
                  <c:v>0.98730618670343762</c:v>
                </c:pt>
                <c:pt idx="463">
                  <c:v>1.0712703081951906</c:v>
                </c:pt>
                <c:pt idx="464">
                  <c:v>1.1598759720385314</c:v>
                </c:pt>
                <c:pt idx="465">
                  <c:v>1.2531103284339551</c:v>
                </c:pt>
                <c:pt idx="466">
                  <c:v>1.3509284305025333</c:v>
                </c:pt>
                <c:pt idx="467">
                  <c:v>1.453251057794027</c:v>
                </c:pt>
                <c:pt idx="468">
                  <c:v>1.5599627500200752</c:v>
                </c:pt>
                <c:pt idx="469">
                  <c:v>1.6709100937123451</c:v>
                </c:pt>
                <c:pt idx="470">
                  <c:v>1.7859003038404508</c:v>
                </c:pt>
                <c:pt idx="471">
                  <c:v>1.9047001409605129</c:v>
                </c:pt>
                <c:pt idx="472">
                  <c:v>2.0270352021723377</c:v>
                </c:pt>
                <c:pt idx="473">
                  <c:v>2.1525896210272788</c:v>
                </c:pt>
                <c:pt idx="474">
                  <c:v>2.2810062075537392</c:v>
                </c:pt>
                <c:pt idx="475">
                  <c:v>2.4118870547755042</c:v>
                </c:pt>
                <c:pt idx="476">
                  <c:v>2.5447946325319335</c:v>
                </c:pt>
                <c:pt idx="477">
                  <c:v>2.6792533831304444</c:v>
                </c:pt>
                <c:pt idx="478">
                  <c:v>2.8147518264523503</c:v>
                </c:pt>
                <c:pt idx="479">
                  <c:v>2.950745174693338</c:v>
                </c:pt>
                <c:pt idx="480">
                  <c:v>3.0866584490675408</c:v>
                </c:pt>
                <c:pt idx="481">
                  <c:v>3.2218900826726418</c:v>
                </c:pt>
                <c:pt idx="482">
                  <c:v>3.3558159854494036</c:v>
                </c:pt>
                <c:pt idx="483">
                  <c:v>3.4877940389292474</c:v>
                </c:pt>
                <c:pt idx="484">
                  <c:v>3.6171689804120306</c:v>
                </c:pt>
                <c:pt idx="485">
                  <c:v>3.7432776285202567</c:v>
                </c:pt>
                <c:pt idx="486">
                  <c:v>3.8654543949025313</c:v>
                </c:pt>
                <c:pt idx="487">
                  <c:v>3.9830370203704279</c:v>
                </c:pt>
                <c:pt idx="488">
                  <c:v>4.0953724681028918</c:v>
                </c:pt>
                <c:pt idx="489">
                  <c:v>4.2018229018819673</c:v>
                </c:pt>
                <c:pt idx="490">
                  <c:v>4.3017716737576883</c:v>
                </c:pt>
                <c:pt idx="491">
                  <c:v>4.3946292431831262</c:v>
                </c:pt>
                <c:pt idx="492">
                  <c:v>4.4798389485943249</c:v>
                </c:pt>
                <c:pt idx="493">
                  <c:v>4.5568825526900172</c:v>
                </c:pt>
                <c:pt idx="494">
                  <c:v>4.6252854843205427</c:v>
                </c:pt>
                <c:pt idx="495">
                  <c:v>4.6846217029231312</c:v>
                </c:pt>
                <c:pt idx="496">
                  <c:v>4.7345181158106628</c:v>
                </c:pt>
                <c:pt idx="497">
                  <c:v>4.7746584842726669</c:v>
                </c:pt>
                <c:pt idx="498">
                  <c:v>4.8047867612911475</c:v>
                </c:pt>
                <c:pt idx="499">
                  <c:v>4.8247098115935199</c:v>
                </c:pt>
                <c:pt idx="500">
                  <c:v>4.8342994736191907</c:v>
                </c:pt>
                <c:pt idx="501">
                  <c:v>4.8334939326024005</c:v>
                </c:pt>
                <c:pt idx="502">
                  <c:v>4.8222983841910256</c:v>
                </c:pt>
                <c:pt idx="503">
                  <c:v>4.8007849786343675</c:v>
                </c:pt>
                <c:pt idx="504">
                  <c:v>4.7690920463787165</c:v>
                </c:pt>
                <c:pt idx="505">
                  <c:v>4.7274226166989228</c:v>
                </c:pt>
                <c:pt idx="506">
                  <c:v>4.6760422515594273</c:v>
                </c:pt>
                <c:pt idx="507">
                  <c:v>4.6152762270361629</c:v>
                </c:pt>
                <c:pt idx="508">
                  <c:v>4.545506104148731</c:v>
                </c:pt>
                <c:pt idx="509">
                  <c:v>4.4671657396719509</c:v>
                </c:pt>
                <c:pt idx="510">
                  <c:v>4.3807367952576168</c:v>
                </c:pt>
                <c:pt idx="511">
                  <c:v>4.2867438098634558</c:v>
                </c:pt>
                <c:pt idx="512">
                  <c:v>4.1857489059446324</c:v>
                </c:pt>
                <c:pt idx="513">
                  <c:v>4.0783462040284206</c:v>
                </c:pt>
                <c:pt idx="514">
                  <c:v>3.9651560231090963</c:v>
                </c:pt>
                <c:pt idx="515">
                  <c:v>3.846818945741084</c:v>
                </c:pt>
                <c:pt idx="516">
                  <c:v>3.72398982677753</c:v>
                </c:pt>
                <c:pt idx="517">
                  <c:v>3.5973318234310332</c:v>
                </c:pt>
                <c:pt idx="518">
                  <c:v>3.4675105217832338</c:v>
                </c:pt>
                <c:pt idx="519">
                  <c:v>3.3351882311255898</c:v>
                </c:pt>
                <c:pt idx="520">
                  <c:v>3.2010185126830244</c:v>
                </c:pt>
                <c:pt idx="521">
                  <c:v>3.0656410034826136</c:v>
                </c:pt>
                <c:pt idx="522">
                  <c:v>2.9296765895244721</c:v>
                </c:pt>
                <c:pt idx="523">
                  <c:v>2.7937229751468915</c:v>
                </c:pt>
                <c:pt idx="524">
                  <c:v>2.6583506877158145</c:v>
                </c:pt>
                <c:pt idx="525">
                  <c:v>2.5240995486772024</c:v>
                </c:pt>
                <c:pt idx="526">
                  <c:v>2.3914756337567264</c:v>
                </c:pt>
                <c:pt idx="527">
                  <c:v>2.2609487368376522</c:v>
                </c:pt>
                <c:pt idx="528">
                  <c:v>2.1329503439502058</c:v>
                </c:pt>
                <c:pt idx="529">
                  <c:v>2.0078721160089104</c:v>
                </c:pt>
                <c:pt idx="530">
                  <c:v>1.886064871569447</c:v>
                </c:pt>
                <c:pt idx="531">
                  <c:v>1.7678380540587748</c:v>
                </c:pt>
                <c:pt idx="532">
                  <c:v>1.6534596617591557</c:v>
                </c:pt>
                <c:pt idx="533">
                  <c:v>1.5431566133768861</c:v>
                </c:pt>
                <c:pt idx="534">
                  <c:v>1.4371155173589967</c:v>
                </c:pt>
                <c:pt idx="535">
                  <c:v>1.3354838092750172</c:v>
                </c:pt>
                <c:pt idx="536">
                  <c:v>1.2383712185757669</c:v>
                </c:pt>
                <c:pt idx="537">
                  <c:v>1.1458515238779292</c:v>
                </c:pt>
                <c:pt idx="538">
                  <c:v>1.0579645545853076</c:v>
                </c:pt>
                <c:pt idx="539">
                  <c:v>0.97471839611262834</c:v>
                </c:pt>
                <c:pt idx="540">
                  <c:v>0.89609175617888026</c:v>
                </c:pt>
              </c:numCache>
            </c:numRef>
          </c:yVal>
          <c:smooth val="1"/>
        </c:ser>
        <c:ser>
          <c:idx val="7"/>
          <c:order val="7"/>
          <c:tx>
            <c:strRef>
              <c:f>Data!$K$1</c:f>
              <c:strCache>
                <c:ptCount val="1"/>
                <c:pt idx="0">
                  <c:v>Peak 6</c:v>
                </c:pt>
              </c:strCache>
            </c:strRef>
          </c:tx>
          <c:spPr>
            <a:ln w="12700">
              <a:solidFill>
                <a:srgbClr val="0000FF"/>
              </a:solidFill>
              <a:prstDash val="solid"/>
            </a:ln>
          </c:spPr>
          <c:marker>
            <c:symbol val="none"/>
          </c:marker>
          <c:xVal>
            <c:numRef>
              <c:f>Data!$A$2:$A$1001</c:f>
              <c:numCache>
                <c:formatCode>General</c:formatCode>
                <c:ptCount val="1000"/>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c:v>
                </c:pt>
                <c:pt idx="193">
                  <c:v>386</c:v>
                </c:pt>
                <c:pt idx="194">
                  <c:v>388</c:v>
                </c:pt>
                <c:pt idx="195">
                  <c:v>390</c:v>
                </c:pt>
                <c:pt idx="196">
                  <c:v>392</c:v>
                </c:pt>
                <c:pt idx="197">
                  <c:v>394</c:v>
                </c:pt>
                <c:pt idx="198">
                  <c:v>396</c:v>
                </c:pt>
                <c:pt idx="199">
                  <c:v>398</c:v>
                </c:pt>
                <c:pt idx="200">
                  <c:v>400</c:v>
                </c:pt>
                <c:pt idx="201">
                  <c:v>402</c:v>
                </c:pt>
                <c:pt idx="202">
                  <c:v>404</c:v>
                </c:pt>
                <c:pt idx="203">
                  <c:v>406</c:v>
                </c:pt>
                <c:pt idx="204">
                  <c:v>408</c:v>
                </c:pt>
                <c:pt idx="205">
                  <c:v>410</c:v>
                </c:pt>
                <c:pt idx="206">
                  <c:v>412</c:v>
                </c:pt>
                <c:pt idx="207">
                  <c:v>414</c:v>
                </c:pt>
                <c:pt idx="208">
                  <c:v>416</c:v>
                </c:pt>
                <c:pt idx="209">
                  <c:v>418</c:v>
                </c:pt>
                <c:pt idx="210">
                  <c:v>420</c:v>
                </c:pt>
                <c:pt idx="211">
                  <c:v>422</c:v>
                </c:pt>
                <c:pt idx="212">
                  <c:v>424</c:v>
                </c:pt>
                <c:pt idx="213">
                  <c:v>426</c:v>
                </c:pt>
                <c:pt idx="214">
                  <c:v>428</c:v>
                </c:pt>
                <c:pt idx="215">
                  <c:v>430</c:v>
                </c:pt>
                <c:pt idx="216">
                  <c:v>432</c:v>
                </c:pt>
                <c:pt idx="217">
                  <c:v>434</c:v>
                </c:pt>
                <c:pt idx="218">
                  <c:v>436</c:v>
                </c:pt>
                <c:pt idx="219">
                  <c:v>438</c:v>
                </c:pt>
                <c:pt idx="220">
                  <c:v>440</c:v>
                </c:pt>
                <c:pt idx="221">
                  <c:v>442</c:v>
                </c:pt>
                <c:pt idx="222">
                  <c:v>444</c:v>
                </c:pt>
                <c:pt idx="223">
                  <c:v>446</c:v>
                </c:pt>
                <c:pt idx="224">
                  <c:v>448</c:v>
                </c:pt>
                <c:pt idx="225">
                  <c:v>450</c:v>
                </c:pt>
                <c:pt idx="226">
                  <c:v>452</c:v>
                </c:pt>
                <c:pt idx="227">
                  <c:v>454</c:v>
                </c:pt>
                <c:pt idx="228">
                  <c:v>456</c:v>
                </c:pt>
                <c:pt idx="229">
                  <c:v>458</c:v>
                </c:pt>
                <c:pt idx="230">
                  <c:v>460</c:v>
                </c:pt>
                <c:pt idx="231">
                  <c:v>462</c:v>
                </c:pt>
                <c:pt idx="232">
                  <c:v>464</c:v>
                </c:pt>
                <c:pt idx="233">
                  <c:v>466</c:v>
                </c:pt>
                <c:pt idx="234">
                  <c:v>468</c:v>
                </c:pt>
                <c:pt idx="235">
                  <c:v>470</c:v>
                </c:pt>
                <c:pt idx="236">
                  <c:v>472</c:v>
                </c:pt>
                <c:pt idx="237">
                  <c:v>474</c:v>
                </c:pt>
                <c:pt idx="238">
                  <c:v>476</c:v>
                </c:pt>
                <c:pt idx="239">
                  <c:v>478</c:v>
                </c:pt>
                <c:pt idx="240">
                  <c:v>480</c:v>
                </c:pt>
                <c:pt idx="241">
                  <c:v>482</c:v>
                </c:pt>
                <c:pt idx="242">
                  <c:v>484</c:v>
                </c:pt>
                <c:pt idx="243">
                  <c:v>486</c:v>
                </c:pt>
                <c:pt idx="244">
                  <c:v>488</c:v>
                </c:pt>
                <c:pt idx="245">
                  <c:v>490</c:v>
                </c:pt>
                <c:pt idx="246">
                  <c:v>492</c:v>
                </c:pt>
                <c:pt idx="247">
                  <c:v>494</c:v>
                </c:pt>
                <c:pt idx="248">
                  <c:v>496</c:v>
                </c:pt>
                <c:pt idx="249">
                  <c:v>498</c:v>
                </c:pt>
                <c:pt idx="250">
                  <c:v>500</c:v>
                </c:pt>
                <c:pt idx="251">
                  <c:v>502</c:v>
                </c:pt>
                <c:pt idx="252">
                  <c:v>504</c:v>
                </c:pt>
                <c:pt idx="253">
                  <c:v>506</c:v>
                </c:pt>
                <c:pt idx="254">
                  <c:v>508</c:v>
                </c:pt>
                <c:pt idx="255">
                  <c:v>510</c:v>
                </c:pt>
                <c:pt idx="256">
                  <c:v>512</c:v>
                </c:pt>
                <c:pt idx="257">
                  <c:v>514</c:v>
                </c:pt>
                <c:pt idx="258">
                  <c:v>516</c:v>
                </c:pt>
                <c:pt idx="259">
                  <c:v>518</c:v>
                </c:pt>
                <c:pt idx="260">
                  <c:v>520</c:v>
                </c:pt>
                <c:pt idx="261">
                  <c:v>522</c:v>
                </c:pt>
                <c:pt idx="262">
                  <c:v>524</c:v>
                </c:pt>
                <c:pt idx="263">
                  <c:v>526</c:v>
                </c:pt>
                <c:pt idx="264">
                  <c:v>528</c:v>
                </c:pt>
                <c:pt idx="265">
                  <c:v>530</c:v>
                </c:pt>
                <c:pt idx="266">
                  <c:v>532</c:v>
                </c:pt>
                <c:pt idx="267">
                  <c:v>534</c:v>
                </c:pt>
                <c:pt idx="268">
                  <c:v>536</c:v>
                </c:pt>
                <c:pt idx="269">
                  <c:v>538</c:v>
                </c:pt>
                <c:pt idx="270">
                  <c:v>540</c:v>
                </c:pt>
                <c:pt idx="271">
                  <c:v>542</c:v>
                </c:pt>
                <c:pt idx="272">
                  <c:v>544</c:v>
                </c:pt>
                <c:pt idx="273">
                  <c:v>546</c:v>
                </c:pt>
                <c:pt idx="274">
                  <c:v>548</c:v>
                </c:pt>
                <c:pt idx="275">
                  <c:v>550</c:v>
                </c:pt>
                <c:pt idx="276">
                  <c:v>552</c:v>
                </c:pt>
                <c:pt idx="277">
                  <c:v>554</c:v>
                </c:pt>
                <c:pt idx="278">
                  <c:v>556</c:v>
                </c:pt>
                <c:pt idx="279">
                  <c:v>558</c:v>
                </c:pt>
                <c:pt idx="280">
                  <c:v>560</c:v>
                </c:pt>
                <c:pt idx="281">
                  <c:v>562</c:v>
                </c:pt>
                <c:pt idx="282">
                  <c:v>564</c:v>
                </c:pt>
                <c:pt idx="283">
                  <c:v>566</c:v>
                </c:pt>
                <c:pt idx="284">
                  <c:v>568</c:v>
                </c:pt>
                <c:pt idx="285">
                  <c:v>570</c:v>
                </c:pt>
                <c:pt idx="286">
                  <c:v>572</c:v>
                </c:pt>
                <c:pt idx="287">
                  <c:v>574</c:v>
                </c:pt>
                <c:pt idx="288">
                  <c:v>576</c:v>
                </c:pt>
                <c:pt idx="289">
                  <c:v>578</c:v>
                </c:pt>
                <c:pt idx="290">
                  <c:v>580</c:v>
                </c:pt>
                <c:pt idx="291">
                  <c:v>582</c:v>
                </c:pt>
                <c:pt idx="292">
                  <c:v>584</c:v>
                </c:pt>
                <c:pt idx="293">
                  <c:v>586</c:v>
                </c:pt>
                <c:pt idx="294">
                  <c:v>588</c:v>
                </c:pt>
                <c:pt idx="295">
                  <c:v>590</c:v>
                </c:pt>
                <c:pt idx="296">
                  <c:v>592</c:v>
                </c:pt>
                <c:pt idx="297">
                  <c:v>594</c:v>
                </c:pt>
                <c:pt idx="298">
                  <c:v>596</c:v>
                </c:pt>
                <c:pt idx="299">
                  <c:v>598</c:v>
                </c:pt>
                <c:pt idx="300">
                  <c:v>600</c:v>
                </c:pt>
                <c:pt idx="301">
                  <c:v>602</c:v>
                </c:pt>
                <c:pt idx="302">
                  <c:v>604</c:v>
                </c:pt>
                <c:pt idx="303">
                  <c:v>606</c:v>
                </c:pt>
                <c:pt idx="304">
                  <c:v>608</c:v>
                </c:pt>
                <c:pt idx="305">
                  <c:v>610</c:v>
                </c:pt>
                <c:pt idx="306">
                  <c:v>612</c:v>
                </c:pt>
                <c:pt idx="307">
                  <c:v>614</c:v>
                </c:pt>
                <c:pt idx="308">
                  <c:v>616</c:v>
                </c:pt>
                <c:pt idx="309">
                  <c:v>618</c:v>
                </c:pt>
                <c:pt idx="310">
                  <c:v>620</c:v>
                </c:pt>
                <c:pt idx="311">
                  <c:v>622</c:v>
                </c:pt>
                <c:pt idx="312">
                  <c:v>624</c:v>
                </c:pt>
                <c:pt idx="313">
                  <c:v>626</c:v>
                </c:pt>
                <c:pt idx="314">
                  <c:v>628</c:v>
                </c:pt>
                <c:pt idx="315">
                  <c:v>630</c:v>
                </c:pt>
                <c:pt idx="316">
                  <c:v>632</c:v>
                </c:pt>
                <c:pt idx="317">
                  <c:v>634</c:v>
                </c:pt>
                <c:pt idx="318">
                  <c:v>636</c:v>
                </c:pt>
                <c:pt idx="319">
                  <c:v>638</c:v>
                </c:pt>
                <c:pt idx="320">
                  <c:v>640</c:v>
                </c:pt>
                <c:pt idx="321">
                  <c:v>642</c:v>
                </c:pt>
                <c:pt idx="322">
                  <c:v>644</c:v>
                </c:pt>
                <c:pt idx="323">
                  <c:v>646</c:v>
                </c:pt>
                <c:pt idx="324">
                  <c:v>648</c:v>
                </c:pt>
                <c:pt idx="325">
                  <c:v>650</c:v>
                </c:pt>
                <c:pt idx="326">
                  <c:v>652</c:v>
                </c:pt>
                <c:pt idx="327">
                  <c:v>654</c:v>
                </c:pt>
                <c:pt idx="328">
                  <c:v>656</c:v>
                </c:pt>
                <c:pt idx="329">
                  <c:v>658</c:v>
                </c:pt>
                <c:pt idx="330">
                  <c:v>660</c:v>
                </c:pt>
                <c:pt idx="331">
                  <c:v>662</c:v>
                </c:pt>
                <c:pt idx="332">
                  <c:v>664</c:v>
                </c:pt>
                <c:pt idx="333">
                  <c:v>666</c:v>
                </c:pt>
                <c:pt idx="334">
                  <c:v>668</c:v>
                </c:pt>
                <c:pt idx="335">
                  <c:v>670</c:v>
                </c:pt>
                <c:pt idx="336">
                  <c:v>672</c:v>
                </c:pt>
                <c:pt idx="337">
                  <c:v>674</c:v>
                </c:pt>
                <c:pt idx="338">
                  <c:v>676</c:v>
                </c:pt>
                <c:pt idx="339">
                  <c:v>678</c:v>
                </c:pt>
                <c:pt idx="340">
                  <c:v>680</c:v>
                </c:pt>
                <c:pt idx="341">
                  <c:v>682</c:v>
                </c:pt>
                <c:pt idx="342">
                  <c:v>684</c:v>
                </c:pt>
                <c:pt idx="343">
                  <c:v>686</c:v>
                </c:pt>
                <c:pt idx="344">
                  <c:v>688</c:v>
                </c:pt>
                <c:pt idx="345">
                  <c:v>690</c:v>
                </c:pt>
                <c:pt idx="346">
                  <c:v>692</c:v>
                </c:pt>
                <c:pt idx="347">
                  <c:v>694</c:v>
                </c:pt>
                <c:pt idx="348">
                  <c:v>696</c:v>
                </c:pt>
                <c:pt idx="349">
                  <c:v>698</c:v>
                </c:pt>
                <c:pt idx="350">
                  <c:v>700</c:v>
                </c:pt>
                <c:pt idx="351">
                  <c:v>702</c:v>
                </c:pt>
                <c:pt idx="352">
                  <c:v>704</c:v>
                </c:pt>
                <c:pt idx="353">
                  <c:v>706</c:v>
                </c:pt>
                <c:pt idx="354">
                  <c:v>708</c:v>
                </c:pt>
                <c:pt idx="355">
                  <c:v>710</c:v>
                </c:pt>
                <c:pt idx="356">
                  <c:v>712</c:v>
                </c:pt>
                <c:pt idx="357">
                  <c:v>714</c:v>
                </c:pt>
                <c:pt idx="358">
                  <c:v>716</c:v>
                </c:pt>
                <c:pt idx="359">
                  <c:v>718</c:v>
                </c:pt>
                <c:pt idx="360">
                  <c:v>720</c:v>
                </c:pt>
                <c:pt idx="361">
                  <c:v>722</c:v>
                </c:pt>
                <c:pt idx="362">
                  <c:v>724</c:v>
                </c:pt>
                <c:pt idx="363">
                  <c:v>726</c:v>
                </c:pt>
                <c:pt idx="364">
                  <c:v>728</c:v>
                </c:pt>
                <c:pt idx="365">
                  <c:v>730</c:v>
                </c:pt>
                <c:pt idx="366">
                  <c:v>732</c:v>
                </c:pt>
                <c:pt idx="367">
                  <c:v>734</c:v>
                </c:pt>
                <c:pt idx="368">
                  <c:v>736</c:v>
                </c:pt>
                <c:pt idx="369">
                  <c:v>738</c:v>
                </c:pt>
                <c:pt idx="370">
                  <c:v>740</c:v>
                </c:pt>
                <c:pt idx="371">
                  <c:v>742</c:v>
                </c:pt>
                <c:pt idx="372">
                  <c:v>744</c:v>
                </c:pt>
                <c:pt idx="373">
                  <c:v>746</c:v>
                </c:pt>
                <c:pt idx="374">
                  <c:v>748</c:v>
                </c:pt>
                <c:pt idx="375">
                  <c:v>750</c:v>
                </c:pt>
                <c:pt idx="376">
                  <c:v>752</c:v>
                </c:pt>
                <c:pt idx="377">
                  <c:v>754</c:v>
                </c:pt>
                <c:pt idx="378">
                  <c:v>756</c:v>
                </c:pt>
                <c:pt idx="379">
                  <c:v>758</c:v>
                </c:pt>
                <c:pt idx="380">
                  <c:v>760</c:v>
                </c:pt>
                <c:pt idx="381">
                  <c:v>762</c:v>
                </c:pt>
                <c:pt idx="382">
                  <c:v>764</c:v>
                </c:pt>
                <c:pt idx="383">
                  <c:v>766</c:v>
                </c:pt>
                <c:pt idx="384">
                  <c:v>768</c:v>
                </c:pt>
                <c:pt idx="385">
                  <c:v>770</c:v>
                </c:pt>
                <c:pt idx="386">
                  <c:v>772</c:v>
                </c:pt>
                <c:pt idx="387">
                  <c:v>774</c:v>
                </c:pt>
                <c:pt idx="388">
                  <c:v>776</c:v>
                </c:pt>
                <c:pt idx="389">
                  <c:v>778</c:v>
                </c:pt>
                <c:pt idx="390">
                  <c:v>780</c:v>
                </c:pt>
                <c:pt idx="391">
                  <c:v>782</c:v>
                </c:pt>
                <c:pt idx="392">
                  <c:v>784</c:v>
                </c:pt>
                <c:pt idx="393">
                  <c:v>786</c:v>
                </c:pt>
                <c:pt idx="394">
                  <c:v>788</c:v>
                </c:pt>
                <c:pt idx="395">
                  <c:v>790</c:v>
                </c:pt>
                <c:pt idx="396">
                  <c:v>792</c:v>
                </c:pt>
                <c:pt idx="397">
                  <c:v>794</c:v>
                </c:pt>
                <c:pt idx="398">
                  <c:v>796</c:v>
                </c:pt>
                <c:pt idx="399">
                  <c:v>798</c:v>
                </c:pt>
                <c:pt idx="400">
                  <c:v>800</c:v>
                </c:pt>
                <c:pt idx="401">
                  <c:v>802</c:v>
                </c:pt>
                <c:pt idx="402">
                  <c:v>804</c:v>
                </c:pt>
                <c:pt idx="403">
                  <c:v>806</c:v>
                </c:pt>
                <c:pt idx="404">
                  <c:v>808</c:v>
                </c:pt>
                <c:pt idx="405">
                  <c:v>810</c:v>
                </c:pt>
                <c:pt idx="406">
                  <c:v>812</c:v>
                </c:pt>
                <c:pt idx="407">
                  <c:v>814</c:v>
                </c:pt>
                <c:pt idx="408">
                  <c:v>816</c:v>
                </c:pt>
                <c:pt idx="409">
                  <c:v>818</c:v>
                </c:pt>
                <c:pt idx="410">
                  <c:v>820</c:v>
                </c:pt>
                <c:pt idx="411">
                  <c:v>822</c:v>
                </c:pt>
                <c:pt idx="412">
                  <c:v>824</c:v>
                </c:pt>
                <c:pt idx="413">
                  <c:v>826</c:v>
                </c:pt>
                <c:pt idx="414">
                  <c:v>828</c:v>
                </c:pt>
                <c:pt idx="415">
                  <c:v>830</c:v>
                </c:pt>
                <c:pt idx="416">
                  <c:v>832</c:v>
                </c:pt>
                <c:pt idx="417">
                  <c:v>834</c:v>
                </c:pt>
                <c:pt idx="418">
                  <c:v>836</c:v>
                </c:pt>
                <c:pt idx="419">
                  <c:v>838</c:v>
                </c:pt>
                <c:pt idx="420">
                  <c:v>840</c:v>
                </c:pt>
                <c:pt idx="421">
                  <c:v>842</c:v>
                </c:pt>
                <c:pt idx="422">
                  <c:v>844</c:v>
                </c:pt>
                <c:pt idx="423">
                  <c:v>846</c:v>
                </c:pt>
                <c:pt idx="424">
                  <c:v>848</c:v>
                </c:pt>
                <c:pt idx="425">
                  <c:v>850</c:v>
                </c:pt>
                <c:pt idx="426">
                  <c:v>852</c:v>
                </c:pt>
                <c:pt idx="427">
                  <c:v>854</c:v>
                </c:pt>
                <c:pt idx="428">
                  <c:v>856</c:v>
                </c:pt>
                <c:pt idx="429">
                  <c:v>858</c:v>
                </c:pt>
                <c:pt idx="430">
                  <c:v>860</c:v>
                </c:pt>
                <c:pt idx="431">
                  <c:v>862</c:v>
                </c:pt>
                <c:pt idx="432">
                  <c:v>864</c:v>
                </c:pt>
                <c:pt idx="433">
                  <c:v>866</c:v>
                </c:pt>
                <c:pt idx="434">
                  <c:v>868</c:v>
                </c:pt>
                <c:pt idx="435">
                  <c:v>870</c:v>
                </c:pt>
                <c:pt idx="436">
                  <c:v>872</c:v>
                </c:pt>
                <c:pt idx="437">
                  <c:v>874</c:v>
                </c:pt>
                <c:pt idx="438">
                  <c:v>876</c:v>
                </c:pt>
                <c:pt idx="439">
                  <c:v>878</c:v>
                </c:pt>
                <c:pt idx="440">
                  <c:v>880</c:v>
                </c:pt>
                <c:pt idx="441">
                  <c:v>882</c:v>
                </c:pt>
                <c:pt idx="442">
                  <c:v>884</c:v>
                </c:pt>
                <c:pt idx="443">
                  <c:v>886</c:v>
                </c:pt>
                <c:pt idx="444">
                  <c:v>888</c:v>
                </c:pt>
                <c:pt idx="445">
                  <c:v>890</c:v>
                </c:pt>
                <c:pt idx="446">
                  <c:v>892</c:v>
                </c:pt>
                <c:pt idx="447">
                  <c:v>894</c:v>
                </c:pt>
                <c:pt idx="448">
                  <c:v>896</c:v>
                </c:pt>
                <c:pt idx="449">
                  <c:v>898</c:v>
                </c:pt>
                <c:pt idx="450">
                  <c:v>900</c:v>
                </c:pt>
                <c:pt idx="451">
                  <c:v>902</c:v>
                </c:pt>
                <c:pt idx="452">
                  <c:v>904</c:v>
                </c:pt>
                <c:pt idx="453">
                  <c:v>906</c:v>
                </c:pt>
                <c:pt idx="454">
                  <c:v>908</c:v>
                </c:pt>
                <c:pt idx="455">
                  <c:v>910</c:v>
                </c:pt>
                <c:pt idx="456">
                  <c:v>912</c:v>
                </c:pt>
                <c:pt idx="457">
                  <c:v>914</c:v>
                </c:pt>
                <c:pt idx="458">
                  <c:v>916</c:v>
                </c:pt>
                <c:pt idx="459">
                  <c:v>918</c:v>
                </c:pt>
                <c:pt idx="460">
                  <c:v>920</c:v>
                </c:pt>
                <c:pt idx="461">
                  <c:v>922</c:v>
                </c:pt>
                <c:pt idx="462">
                  <c:v>924</c:v>
                </c:pt>
                <c:pt idx="463">
                  <c:v>926</c:v>
                </c:pt>
                <c:pt idx="464">
                  <c:v>928</c:v>
                </c:pt>
                <c:pt idx="465">
                  <c:v>930</c:v>
                </c:pt>
                <c:pt idx="466">
                  <c:v>932</c:v>
                </c:pt>
                <c:pt idx="467">
                  <c:v>934</c:v>
                </c:pt>
                <c:pt idx="468">
                  <c:v>936</c:v>
                </c:pt>
                <c:pt idx="469">
                  <c:v>938</c:v>
                </c:pt>
                <c:pt idx="470">
                  <c:v>940</c:v>
                </c:pt>
                <c:pt idx="471">
                  <c:v>942</c:v>
                </c:pt>
                <c:pt idx="472">
                  <c:v>944</c:v>
                </c:pt>
                <c:pt idx="473">
                  <c:v>946</c:v>
                </c:pt>
                <c:pt idx="474">
                  <c:v>948</c:v>
                </c:pt>
                <c:pt idx="475">
                  <c:v>950</c:v>
                </c:pt>
                <c:pt idx="476">
                  <c:v>952</c:v>
                </c:pt>
                <c:pt idx="477">
                  <c:v>954</c:v>
                </c:pt>
                <c:pt idx="478">
                  <c:v>956</c:v>
                </c:pt>
                <c:pt idx="479">
                  <c:v>958</c:v>
                </c:pt>
                <c:pt idx="480">
                  <c:v>960</c:v>
                </c:pt>
                <c:pt idx="481">
                  <c:v>962</c:v>
                </c:pt>
                <c:pt idx="482">
                  <c:v>964</c:v>
                </c:pt>
                <c:pt idx="483">
                  <c:v>966</c:v>
                </c:pt>
                <c:pt idx="484">
                  <c:v>968</c:v>
                </c:pt>
                <c:pt idx="485">
                  <c:v>970</c:v>
                </c:pt>
                <c:pt idx="486">
                  <c:v>972</c:v>
                </c:pt>
                <c:pt idx="487">
                  <c:v>974</c:v>
                </c:pt>
                <c:pt idx="488">
                  <c:v>976</c:v>
                </c:pt>
                <c:pt idx="489">
                  <c:v>978</c:v>
                </c:pt>
                <c:pt idx="490">
                  <c:v>980</c:v>
                </c:pt>
                <c:pt idx="491">
                  <c:v>982</c:v>
                </c:pt>
                <c:pt idx="492">
                  <c:v>984</c:v>
                </c:pt>
                <c:pt idx="493">
                  <c:v>986</c:v>
                </c:pt>
                <c:pt idx="494">
                  <c:v>988</c:v>
                </c:pt>
                <c:pt idx="495">
                  <c:v>990</c:v>
                </c:pt>
                <c:pt idx="496">
                  <c:v>992</c:v>
                </c:pt>
                <c:pt idx="497">
                  <c:v>994</c:v>
                </c:pt>
                <c:pt idx="498">
                  <c:v>996</c:v>
                </c:pt>
                <c:pt idx="499">
                  <c:v>998</c:v>
                </c:pt>
                <c:pt idx="500">
                  <c:v>1000</c:v>
                </c:pt>
                <c:pt idx="501">
                  <c:v>1002</c:v>
                </c:pt>
                <c:pt idx="502">
                  <c:v>1004</c:v>
                </c:pt>
                <c:pt idx="503">
                  <c:v>1006</c:v>
                </c:pt>
                <c:pt idx="504">
                  <c:v>1008</c:v>
                </c:pt>
                <c:pt idx="505">
                  <c:v>1010</c:v>
                </c:pt>
                <c:pt idx="506">
                  <c:v>1012</c:v>
                </c:pt>
                <c:pt idx="507">
                  <c:v>1014</c:v>
                </c:pt>
                <c:pt idx="508">
                  <c:v>1016</c:v>
                </c:pt>
                <c:pt idx="509">
                  <c:v>1018</c:v>
                </c:pt>
                <c:pt idx="510">
                  <c:v>1020</c:v>
                </c:pt>
                <c:pt idx="511">
                  <c:v>1022</c:v>
                </c:pt>
                <c:pt idx="512">
                  <c:v>1024</c:v>
                </c:pt>
                <c:pt idx="513">
                  <c:v>1026</c:v>
                </c:pt>
                <c:pt idx="514">
                  <c:v>1028</c:v>
                </c:pt>
                <c:pt idx="515">
                  <c:v>1030</c:v>
                </c:pt>
                <c:pt idx="516">
                  <c:v>1032</c:v>
                </c:pt>
                <c:pt idx="517">
                  <c:v>1034</c:v>
                </c:pt>
                <c:pt idx="518">
                  <c:v>1036</c:v>
                </c:pt>
                <c:pt idx="519">
                  <c:v>1038</c:v>
                </c:pt>
                <c:pt idx="520">
                  <c:v>1040</c:v>
                </c:pt>
                <c:pt idx="521">
                  <c:v>1042</c:v>
                </c:pt>
                <c:pt idx="522">
                  <c:v>1044</c:v>
                </c:pt>
                <c:pt idx="523">
                  <c:v>1046</c:v>
                </c:pt>
                <c:pt idx="524">
                  <c:v>1048</c:v>
                </c:pt>
                <c:pt idx="525">
                  <c:v>1050</c:v>
                </c:pt>
                <c:pt idx="526">
                  <c:v>1052</c:v>
                </c:pt>
                <c:pt idx="527">
                  <c:v>1054</c:v>
                </c:pt>
                <c:pt idx="528">
                  <c:v>1056</c:v>
                </c:pt>
                <c:pt idx="529">
                  <c:v>1058</c:v>
                </c:pt>
                <c:pt idx="530">
                  <c:v>1060</c:v>
                </c:pt>
                <c:pt idx="531">
                  <c:v>1062</c:v>
                </c:pt>
                <c:pt idx="532">
                  <c:v>1064</c:v>
                </c:pt>
                <c:pt idx="533">
                  <c:v>1066</c:v>
                </c:pt>
                <c:pt idx="534">
                  <c:v>1068</c:v>
                </c:pt>
                <c:pt idx="535">
                  <c:v>1070</c:v>
                </c:pt>
                <c:pt idx="536">
                  <c:v>1072</c:v>
                </c:pt>
                <c:pt idx="537">
                  <c:v>1074</c:v>
                </c:pt>
                <c:pt idx="538">
                  <c:v>1076</c:v>
                </c:pt>
                <c:pt idx="539">
                  <c:v>1078</c:v>
                </c:pt>
                <c:pt idx="540">
                  <c:v>1080</c:v>
                </c:pt>
              </c:numCache>
            </c:numRef>
          </c:xVal>
          <c:yVal>
            <c:numRef>
              <c:f>Data!$K$2:$K$1001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2.8288928657410183E-306</c:v>
                </c:pt>
                <c:pt idx="93">
                  <c:v>7.4566617273852088E-305</c:v>
                </c:pt>
                <c:pt idx="94">
                  <c:v>1.9506049192843505E-303</c:v>
                </c:pt>
                <c:pt idx="95">
                  <c:v>5.0639699598877713E-302</c:v>
                </c:pt>
                <c:pt idx="96">
                  <c:v>1.3046975848671112E-300</c:v>
                </c:pt>
                <c:pt idx="97">
                  <c:v>3.3359960546417485E-299</c:v>
                </c:pt>
                <c:pt idx="98">
                  <c:v>8.4652176811124439E-298</c:v>
                </c:pt>
                <c:pt idx="99">
                  <c:v>2.1318059231464667E-296</c:v>
                </c:pt>
                <c:pt idx="100">
                  <c:v>5.3278762733164019E-295</c:v>
                </c:pt>
                <c:pt idx="101">
                  <c:v>1.3214706727918503E-293</c:v>
                </c:pt>
                <c:pt idx="102">
                  <c:v>3.2528037349171801E-292</c:v>
                </c:pt>
                <c:pt idx="103">
                  <c:v>7.946120061555678E-291</c:v>
                </c:pt>
                <c:pt idx="104">
                  <c:v>1.9264126331680304E-289</c:v>
                </c:pt>
                <c:pt idx="105">
                  <c:v>4.6349008132974932E-288</c:v>
                </c:pt>
                <c:pt idx="106">
                  <c:v>1.1066964170218199E-286</c:v>
                </c:pt>
                <c:pt idx="107">
                  <c:v>2.6224879132467465E-285</c:v>
                </c:pt>
                <c:pt idx="108">
                  <c:v>6.1673048871397963E-284</c:v>
                </c:pt>
                <c:pt idx="109">
                  <c:v>1.4393760575798225E-282</c:v>
                </c:pt>
                <c:pt idx="110">
                  <c:v>3.3338807558806669E-281</c:v>
                </c:pt>
                <c:pt idx="111">
                  <c:v>7.6634227187069976E-280</c:v>
                </c:pt>
                <c:pt idx="112">
                  <c:v>1.7482053068099899E-278</c:v>
                </c:pt>
                <c:pt idx="113">
                  <c:v>3.9578471546195181E-277</c:v>
                </c:pt>
                <c:pt idx="114">
                  <c:v>8.892472583058048E-276</c:v>
                </c:pt>
                <c:pt idx="115">
                  <c:v>1.9828185963611903E-274</c:v>
                </c:pt>
                <c:pt idx="116">
                  <c:v>4.3877347359435384E-273</c:v>
                </c:pt>
                <c:pt idx="117">
                  <c:v>9.6359530858117749E-272</c:v>
                </c:pt>
                <c:pt idx="118">
                  <c:v>2.100128757581449E-270</c:v>
                </c:pt>
                <c:pt idx="119">
                  <c:v>4.5424912455711335E-269</c:v>
                </c:pt>
                <c:pt idx="120">
                  <c:v>9.7507766411099315E-268</c:v>
                </c:pt>
                <c:pt idx="121">
                  <c:v>2.0772140415702472E-266</c:v>
                </c:pt>
                <c:pt idx="122">
                  <c:v>4.3915741823889911E-265</c:v>
                </c:pt>
                <c:pt idx="123">
                  <c:v>9.2141680544405769E-264</c:v>
                </c:pt>
                <c:pt idx="124">
                  <c:v>1.9186199977971473E-262</c:v>
                </c:pt>
                <c:pt idx="125">
                  <c:v>3.9647767397641339E-261</c:v>
                </c:pt>
                <c:pt idx="126">
                  <c:v>8.1310276699058517E-260</c:v>
                </c:pt>
                <c:pt idx="127">
                  <c:v>1.6548897775191973E-258</c:v>
                </c:pt>
                <c:pt idx="128">
                  <c:v>3.3426402603179014E-257</c:v>
                </c:pt>
                <c:pt idx="129">
                  <c:v>6.7004988704365206E-256</c:v>
                </c:pt>
                <c:pt idx="130">
                  <c:v>1.3329736641757327E-254</c:v>
                </c:pt>
                <c:pt idx="131">
                  <c:v>2.6316791030175724E-253</c:v>
                </c:pt>
                <c:pt idx="132">
                  <c:v>5.1563362094808622E-252</c:v>
                </c:pt>
                <c:pt idx="133">
                  <c:v>1.0026432956358967E-250</c:v>
                </c:pt>
                <c:pt idx="134">
                  <c:v>1.9348558437798732E-249</c:v>
                </c:pt>
                <c:pt idx="135">
                  <c:v>3.7055075712844609E-248</c:v>
                </c:pt>
                <c:pt idx="136">
                  <c:v>7.0427736162357513E-247</c:v>
                </c:pt>
                <c:pt idx="137">
                  <c:v>1.3284239118698668E-245</c:v>
                </c:pt>
                <c:pt idx="138">
                  <c:v>2.4867181964390067E-244</c:v>
                </c:pt>
                <c:pt idx="139">
                  <c:v>4.6196959436332187E-243</c:v>
                </c:pt>
                <c:pt idx="140">
                  <c:v>8.5172058669257691E-242</c:v>
                </c:pt>
                <c:pt idx="141">
                  <c:v>1.558396014809809E-240</c:v>
                </c:pt>
                <c:pt idx="142">
                  <c:v>2.8297980661007489E-239</c:v>
                </c:pt>
                <c:pt idx="143">
                  <c:v>5.099528157328892E-238</c:v>
                </c:pt>
                <c:pt idx="144">
                  <c:v>9.1201393665141337E-237</c:v>
                </c:pt>
                <c:pt idx="145">
                  <c:v>1.6187131240534285E-235</c:v>
                </c:pt>
                <c:pt idx="146">
                  <c:v>2.8512495711455933E-234</c:v>
                </c:pt>
                <c:pt idx="147">
                  <c:v>4.9842235196285523E-233</c:v>
                </c:pt>
                <c:pt idx="148">
                  <c:v>8.6468259968695625E-232</c:v>
                </c:pt>
                <c:pt idx="149">
                  <c:v>1.4887194455939477E-230</c:v>
                </c:pt>
                <c:pt idx="150">
                  <c:v>2.5437002626716193E-229</c:v>
                </c:pt>
                <c:pt idx="151">
                  <c:v>4.3133623249379721E-228</c:v>
                </c:pt>
                <c:pt idx="152">
                  <c:v>7.2587673759153182E-227</c:v>
                </c:pt>
                <c:pt idx="153">
                  <c:v>1.2122906309487286E-225</c:v>
                </c:pt>
                <c:pt idx="154">
                  <c:v>2.0093128009358274E-224</c:v>
                </c:pt>
                <c:pt idx="155">
                  <c:v>3.305105185107756E-223</c:v>
                </c:pt>
                <c:pt idx="156">
                  <c:v>5.3953540890389406E-222</c:v>
                </c:pt>
                <c:pt idx="157">
                  <c:v>8.7408073985179872E-221</c:v>
                </c:pt>
                <c:pt idx="158">
                  <c:v>1.4053357089838416E-219</c:v>
                </c:pt>
                <c:pt idx="159">
                  <c:v>2.2423610684146069E-218</c:v>
                </c:pt>
                <c:pt idx="160">
                  <c:v>3.5508141331389737E-217</c:v>
                </c:pt>
                <c:pt idx="161">
                  <c:v>5.5801679081117192E-216</c:v>
                </c:pt>
                <c:pt idx="162">
                  <c:v>8.7028906468019161E-215</c:v>
                </c:pt>
                <c:pt idx="163">
                  <c:v>1.3470282943489067E-213</c:v>
                </c:pt>
                <c:pt idx="164">
                  <c:v>2.0691255425158981E-212</c:v>
                </c:pt>
                <c:pt idx="165">
                  <c:v>3.1542339206206989E-211</c:v>
                </c:pt>
                <c:pt idx="166">
                  <c:v>4.7719719904610669E-210</c:v>
                </c:pt>
                <c:pt idx="167">
                  <c:v>7.1647131271165363E-209</c:v>
                </c:pt>
                <c:pt idx="168">
                  <c:v>1.0675707308513538E-207</c:v>
                </c:pt>
                <c:pt idx="169">
                  <c:v>1.5786703158496635E-206</c:v>
                </c:pt>
                <c:pt idx="170">
                  <c:v>2.3167712732475279E-205</c:v>
                </c:pt>
                <c:pt idx="171">
                  <c:v>3.3742076700997117E-204</c:v>
                </c:pt>
                <c:pt idx="172">
                  <c:v>4.8770520347491651E-203</c:v>
                </c:pt>
                <c:pt idx="173">
                  <c:v>6.9958405481017383E-202</c:v>
                </c:pt>
                <c:pt idx="174">
                  <c:v>9.9590829012855026E-201</c:v>
                </c:pt>
                <c:pt idx="175">
                  <c:v>1.4070052725884518E-199</c:v>
                </c:pt>
                <c:pt idx="176">
                  <c:v>1.9727362926884409E-198</c:v>
                </c:pt>
                <c:pt idx="177">
                  <c:v>2.7449805787906855E-197</c:v>
                </c:pt>
                <c:pt idx="178">
                  <c:v>3.7905868347089375E-196</c:v>
                </c:pt>
                <c:pt idx="179">
                  <c:v>5.1948206216176349E-195</c:v>
                </c:pt>
                <c:pt idx="180">
                  <c:v>7.065316053661696E-194</c:v>
                </c:pt>
                <c:pt idx="181">
                  <c:v>9.5365121016211722E-193</c:v>
                </c:pt>
                <c:pt idx="182">
                  <c:v>1.2774516353731861E-191</c:v>
                </c:pt>
                <c:pt idx="183">
                  <c:v>1.6982291888140885E-190</c:v>
                </c:pt>
                <c:pt idx="184">
                  <c:v>2.2405006171149538E-189</c:v>
                </c:pt>
                <c:pt idx="185">
                  <c:v>2.9335315724118589E-188</c:v>
                </c:pt>
                <c:pt idx="186">
                  <c:v>3.8118288938420342E-187</c:v>
                </c:pt>
                <c:pt idx="187">
                  <c:v>4.9155595394916108E-186</c:v>
                </c:pt>
                <c:pt idx="188">
                  <c:v>6.2908518280910449E-185</c:v>
                </c:pt>
                <c:pt idx="189">
                  <c:v>7.9899283275904426E-184</c:v>
                </c:pt>
                <c:pt idx="190">
                  <c:v>1.0071015007516752E-182</c:v>
                </c:pt>
                <c:pt idx="191">
                  <c:v>1.2597968986284126E-181</c:v>
                </c:pt>
                <c:pt idx="192">
                  <c:v>1.5639568217585393E-180</c:v>
                </c:pt>
                <c:pt idx="193">
                  <c:v>1.9268411595136516E-179</c:v>
                </c:pt>
                <c:pt idx="194">
                  <c:v>2.3559387907720402E-178</c:v>
                </c:pt>
                <c:pt idx="195">
                  <c:v>2.8587687314998002E-177</c:v>
                </c:pt>
                <c:pt idx="196">
                  <c:v>3.4426349679985426E-176</c:v>
                </c:pt>
                <c:pt idx="197">
                  <c:v>4.1143369906468892E-175</c:v>
                </c:pt>
                <c:pt idx="198">
                  <c:v>4.8798410615765852E-174</c:v>
                </c:pt>
                <c:pt idx="199">
                  <c:v>5.7439205748896604E-173</c:v>
                </c:pt>
                <c:pt idx="200">
                  <c:v>6.7097773159060338E-172</c:v>
                </c:pt>
                <c:pt idx="201">
                  <c:v>7.7786587651960108E-171</c:v>
                </c:pt>
                <c:pt idx="202">
                  <c:v>8.9494895566754336E-170</c:v>
                </c:pt>
                <c:pt idx="203">
                  <c:v>1.0218537500927274E-168</c:v>
                </c:pt>
                <c:pt idx="204">
                  <c:v>1.1579135943055656E-167</c:v>
                </c:pt>
                <c:pt idx="205">
                  <c:v>1.3021484386025947E-166</c:v>
                </c:pt>
                <c:pt idx="206">
                  <c:v>1.4532548079604534E-165</c:v>
                </c:pt>
                <c:pt idx="207">
                  <c:v>1.6096074538707865E-164</c:v>
                </c:pt>
                <c:pt idx="208">
                  <c:v>1.7692740704686975E-163</c:v>
                </c:pt>
                <c:pt idx="209">
                  <c:v>1.9300438810749287E-162</c:v>
                </c:pt>
                <c:pt idx="210">
                  <c:v>2.0894702195040108E-161</c:v>
                </c:pt>
                <c:pt idx="211">
                  <c:v>2.2449264679071682E-160</c:v>
                </c:pt>
                <c:pt idx="212">
                  <c:v>2.3936739153486616E-159</c:v>
                </c:pt>
                <c:pt idx="213">
                  <c:v>2.5329393219568496E-158</c:v>
                </c:pt>
                <c:pt idx="214">
                  <c:v>2.6599992688185306E-157</c:v>
                </c:pt>
                <c:pt idx="215">
                  <c:v>2.772267799163916E-156</c:v>
                </c:pt>
                <c:pt idx="216">
                  <c:v>2.8673834610866915E-155</c:v>
                </c:pt>
                <c:pt idx="217">
                  <c:v>2.9432916847203542E-154</c:v>
                </c:pt>
                <c:pt idx="218">
                  <c:v>2.9983184914951579E-153</c:v>
                </c:pt>
                <c:pt idx="219">
                  <c:v>3.0312318464649055E-152</c:v>
                </c:pt>
                <c:pt idx="220">
                  <c:v>3.0412875145799464E-151</c:v>
                </c:pt>
                <c:pt idx="221">
                  <c:v>3.0282570375864974E-150</c:v>
                </c:pt>
                <c:pt idx="222">
                  <c:v>2.9924363628950492E-149</c:v>
                </c:pt>
                <c:pt idx="223">
                  <c:v>2.9346346692854479E-148</c:v>
                </c:pt>
                <c:pt idx="224">
                  <c:v>2.8561439786481954E-147</c:v>
                </c:pt>
                <c:pt idx="225">
                  <c:v>2.7586911474277715E-146</c:v>
                </c:pt>
                <c:pt idx="226">
                  <c:v>2.6443747287350802E-145</c:v>
                </c:pt>
                <c:pt idx="227">
                  <c:v>2.5155899276353043E-144</c:v>
                </c:pt>
                <c:pt idx="228">
                  <c:v>2.3749453928237217E-143</c:v>
                </c:pt>
                <c:pt idx="229">
                  <c:v>2.2251758694347545E-142</c:v>
                </c:pt>
                <c:pt idx="230">
                  <c:v>2.0690547704345132E-141</c:v>
                </c:pt>
                <c:pt idx="231">
                  <c:v>1.9093105168807418E-140</c:v>
                </c:pt>
                <c:pt idx="232">
                  <c:v>1.7485500764521488E-139</c:v>
                </c:pt>
                <c:pt idx="233">
                  <c:v>1.5891925352777231E-138</c:v>
                </c:pt>
                <c:pt idx="234">
                  <c:v>1.4334148206135917E-137</c:v>
                </c:pt>
                <c:pt idx="235">
                  <c:v>1.283110907044279E-136</c:v>
                </c:pt>
                <c:pt idx="236">
                  <c:v>1.1398650429741823E-135</c:v>
                </c:pt>
                <c:pt idx="237">
                  <c:v>1.0049387796279548E-134</c:v>
                </c:pt>
                <c:pt idx="238">
                  <c:v>8.7927091629770778E-134</c:v>
                </c:pt>
                <c:pt idx="239">
                  <c:v>7.6348892736773279E-133</c:v>
                </c:pt>
                <c:pt idx="240">
                  <c:v>6.5793003080714272E-132</c:v>
                </c:pt>
                <c:pt idx="241">
                  <c:v>5.6266980390721124E-131</c:v>
                </c:pt>
                <c:pt idx="242">
                  <c:v>4.7755614777091375E-130</c:v>
                </c:pt>
                <c:pt idx="243">
                  <c:v>4.0224643492134703E-129</c:v>
                </c:pt>
                <c:pt idx="244">
                  <c:v>3.362458239026772E-128</c:v>
                </c:pt>
                <c:pt idx="245">
                  <c:v>2.789449650974823E-127</c:v>
                </c:pt>
                <c:pt idx="246">
                  <c:v>2.2965562477323703E-126</c:v>
                </c:pt>
                <c:pt idx="247">
                  <c:v>1.8764309114138723E-125</c:v>
                </c:pt>
                <c:pt idx="248">
                  <c:v>1.5215457062452605E-124</c:v>
                </c:pt>
                <c:pt idx="249">
                  <c:v>1.2244311201161735E-123</c:v>
                </c:pt>
                <c:pt idx="250">
                  <c:v>9.7786893015738955E-123</c:v>
                </c:pt>
                <c:pt idx="251">
                  <c:v>7.7503955553170913E-122</c:v>
                </c:pt>
                <c:pt idx="252">
                  <c:v>6.0962675770672383E-121</c:v>
                </c:pt>
                <c:pt idx="253">
                  <c:v>4.7588400250846288E-120</c:v>
                </c:pt>
                <c:pt idx="254">
                  <c:v>3.6866772811525898E-119</c:v>
                </c:pt>
                <c:pt idx="255">
                  <c:v>2.8344321917392693E-118</c:v>
                </c:pt>
                <c:pt idx="256">
                  <c:v>2.1626884113456964E-117</c:v>
                </c:pt>
                <c:pt idx="257">
                  <c:v>1.6376412404325293E-116</c:v>
                </c:pt>
                <c:pt idx="258">
                  <c:v>1.2306668778245851E-115</c:v>
                </c:pt>
                <c:pt idx="259">
                  <c:v>9.178235352827138E-115</c:v>
                </c:pt>
                <c:pt idx="260">
                  <c:v>6.7932062388311832E-114</c:v>
                </c:pt>
                <c:pt idx="261">
                  <c:v>4.9898482919726248E-113</c:v>
                </c:pt>
                <c:pt idx="262">
                  <c:v>3.6374481887063874E-112</c:v>
                </c:pt>
                <c:pt idx="263">
                  <c:v>2.6314990789267655E-111</c:v>
                </c:pt>
                <c:pt idx="264">
                  <c:v>1.8893245193985636E-110</c:v>
                </c:pt>
                <c:pt idx="265">
                  <c:v>1.3461914609541033E-109</c:v>
                </c:pt>
                <c:pt idx="266">
                  <c:v>9.5192785288818121E-109</c:v>
                </c:pt>
                <c:pt idx="267">
                  <c:v>6.6803338844850607E-108</c:v>
                </c:pt>
                <c:pt idx="268">
                  <c:v>4.6525305787985586E-107</c:v>
                </c:pt>
                <c:pt idx="269">
                  <c:v>3.2157126600442241E-106</c:v>
                </c:pt>
                <c:pt idx="270">
                  <c:v>2.2057798586991149E-105</c:v>
                </c:pt>
                <c:pt idx="271">
                  <c:v>1.501564631963869E-104</c:v>
                </c:pt>
                <c:pt idx="272">
                  <c:v>1.0144317325593162E-103</c:v>
                </c:pt>
                <c:pt idx="273">
                  <c:v>6.8014037069176288E-103</c:v>
                </c:pt>
                <c:pt idx="274">
                  <c:v>4.5255483975258233E-102</c:v>
                </c:pt>
                <c:pt idx="275">
                  <c:v>2.9884142994653681E-101</c:v>
                </c:pt>
                <c:pt idx="276">
                  <c:v>1.958426739060543E-100</c:v>
                </c:pt>
                <c:pt idx="277">
                  <c:v>1.2737106685833366E-99</c:v>
                </c:pt>
                <c:pt idx="278">
                  <c:v>8.2211235504683765E-99</c:v>
                </c:pt>
                <c:pt idx="279">
                  <c:v>5.2660926502746E-98</c:v>
                </c:pt>
                <c:pt idx="280">
                  <c:v>3.3476708335108941E-97</c:v>
                </c:pt>
                <c:pt idx="281">
                  <c:v>2.1120000956169866E-96</c:v>
                </c:pt>
                <c:pt idx="282">
                  <c:v>1.3223366975231184E-95</c:v>
                </c:pt>
                <c:pt idx="283">
                  <c:v>8.2165045472045805E-95</c:v>
                </c:pt>
                <c:pt idx="284">
                  <c:v>5.0667453939351861E-94</c:v>
                </c:pt>
                <c:pt idx="285">
                  <c:v>3.1007588715857147E-93</c:v>
                </c:pt>
                <c:pt idx="286">
                  <c:v>1.8832320673553609E-92</c:v>
                </c:pt>
                <c:pt idx="287">
                  <c:v>1.1351065207151388E-91</c:v>
                </c:pt>
                <c:pt idx="288">
                  <c:v>6.7899461275783974E-91</c:v>
                </c:pt>
                <c:pt idx="289">
                  <c:v>4.0308159713348586E-90</c:v>
                </c:pt>
                <c:pt idx="290">
                  <c:v>2.374742610826684E-89</c:v>
                </c:pt>
                <c:pt idx="291">
                  <c:v>1.3884717611773048E-88</c:v>
                </c:pt>
                <c:pt idx="292">
                  <c:v>8.0566498664802597E-88</c:v>
                </c:pt>
                <c:pt idx="293">
                  <c:v>4.6394752347389852E-87</c:v>
                </c:pt>
                <c:pt idx="294">
                  <c:v>2.651429986941539E-86</c:v>
                </c:pt>
                <c:pt idx="295">
                  <c:v>1.5037941768462754E-85</c:v>
                </c:pt>
                <c:pt idx="296">
                  <c:v>8.4643490814494131E-85</c:v>
                </c:pt>
                <c:pt idx="297">
                  <c:v>4.7281981127286542E-84</c:v>
                </c:pt>
                <c:pt idx="298">
                  <c:v>2.6211670311541991E-83</c:v>
                </c:pt>
                <c:pt idx="299">
                  <c:v>1.4420843389452973E-82</c:v>
                </c:pt>
                <c:pt idx="300">
                  <c:v>7.8737850789651291E-82</c:v>
                </c:pt>
                <c:pt idx="301">
                  <c:v>4.2665160541307847E-81</c:v>
                </c:pt>
                <c:pt idx="302">
                  <c:v>2.2943525070946549E-80</c:v>
                </c:pt>
                <c:pt idx="303">
                  <c:v>1.2244578404702444E-79</c:v>
                </c:pt>
                <c:pt idx="304">
                  <c:v>6.4852162287398674E-79</c:v>
                </c:pt>
                <c:pt idx="305">
                  <c:v>3.4088038942744935E-78</c:v>
                </c:pt>
                <c:pt idx="306">
                  <c:v>1.7781832131963515E-77</c:v>
                </c:pt>
                <c:pt idx="307">
                  <c:v>9.2055115410343243E-77</c:v>
                </c:pt>
                <c:pt idx="308">
                  <c:v>4.7295114343410615E-76</c:v>
                </c:pt>
                <c:pt idx="309">
                  <c:v>2.4114683423088451E-75</c:v>
                </c:pt>
                <c:pt idx="310">
                  <c:v>1.2202358553885727E-74</c:v>
                </c:pt>
                <c:pt idx="311">
                  <c:v>6.1277767084242341E-74</c:v>
                </c:pt>
                <c:pt idx="312">
                  <c:v>3.053929541885455E-73</c:v>
                </c:pt>
                <c:pt idx="313">
                  <c:v>1.5104697314456139E-72</c:v>
                </c:pt>
                <c:pt idx="314">
                  <c:v>7.414160318055823E-72</c:v>
                </c:pt>
                <c:pt idx="315">
                  <c:v>3.6116765604165416E-71</c:v>
                </c:pt>
                <c:pt idx="316">
                  <c:v>1.7460338570176834E-70</c:v>
                </c:pt>
                <c:pt idx="317">
                  <c:v>8.3770942766260262E-70</c:v>
                </c:pt>
                <c:pt idx="318">
                  <c:v>3.9886972843908235E-69</c:v>
                </c:pt>
                <c:pt idx="319">
                  <c:v>1.8848017835790272E-68</c:v>
                </c:pt>
                <c:pt idx="320">
                  <c:v>8.8388796950252127E-68</c:v>
                </c:pt>
                <c:pt idx="321">
                  <c:v>4.1136344247226663E-67</c:v>
                </c:pt>
                <c:pt idx="322">
                  <c:v>1.8999890441773701E-66</c:v>
                </c:pt>
                <c:pt idx="323">
                  <c:v>8.7091031007313926E-66</c:v>
                </c:pt>
                <c:pt idx="324">
                  <c:v>3.9618013824018051E-65</c:v>
                </c:pt>
                <c:pt idx="325">
                  <c:v>1.788582176648569E-64</c:v>
                </c:pt>
                <c:pt idx="326">
                  <c:v>8.0134961068691991E-64</c:v>
                </c:pt>
                <c:pt idx="327">
                  <c:v>3.5631334971949479E-63</c:v>
                </c:pt>
                <c:pt idx="328">
                  <c:v>1.5723133067414471E-62</c:v>
                </c:pt>
                <c:pt idx="329">
                  <c:v>6.8856194701972583E-62</c:v>
                </c:pt>
                <c:pt idx="330">
                  <c:v>2.9925669702119459E-61</c:v>
                </c:pt>
                <c:pt idx="331">
                  <c:v>1.2907486234279351E-60</c:v>
                </c:pt>
                <c:pt idx="332">
                  <c:v>5.5250523209673047E-60</c:v>
                </c:pt>
                <c:pt idx="333">
                  <c:v>2.3470808590303542E-59</c:v>
                </c:pt>
                <c:pt idx="334">
                  <c:v>9.8950191827929626E-59</c:v>
                </c:pt>
                <c:pt idx="335">
                  <c:v>4.1400173523924326E-58</c:v>
                </c:pt>
                <c:pt idx="336">
                  <c:v>1.71903458588541E-57</c:v>
                </c:pt>
                <c:pt idx="337">
                  <c:v>7.0837626261120777E-57</c:v>
                </c:pt>
                <c:pt idx="338">
                  <c:v>2.896945447864628E-56</c:v>
                </c:pt>
                <c:pt idx="339">
                  <c:v>1.1757461535997492E-55</c:v>
                </c:pt>
                <c:pt idx="340">
                  <c:v>4.7356952640802015E-55</c:v>
                </c:pt>
                <c:pt idx="341">
                  <c:v>1.8930010817626455E-54</c:v>
                </c:pt>
                <c:pt idx="342">
                  <c:v>7.5095672025176035E-54</c:v>
                </c:pt>
                <c:pt idx="343">
                  <c:v>2.9564864045504863E-53</c:v>
                </c:pt>
                <c:pt idx="344">
                  <c:v>1.1551378022039575E-52</c:v>
                </c:pt>
                <c:pt idx="345">
                  <c:v>4.4790781388322467E-52</c:v>
                </c:pt>
                <c:pt idx="346">
                  <c:v>1.7236155894544256E-51</c:v>
                </c:pt>
                <c:pt idx="347">
                  <c:v>6.5824735119714946E-51</c:v>
                </c:pt>
                <c:pt idx="348">
                  <c:v>2.4947943913439261E-50</c:v>
                </c:pt>
                <c:pt idx="349">
                  <c:v>9.3837694710650771E-50</c:v>
                </c:pt>
                <c:pt idx="350">
                  <c:v>3.5028120348438364E-49</c:v>
                </c:pt>
                <c:pt idx="351">
                  <c:v>1.2976371440964466E-48</c:v>
                </c:pt>
                <c:pt idx="352">
                  <c:v>4.7707497467099943E-48</c:v>
                </c:pt>
                <c:pt idx="353">
                  <c:v>1.7406719682332704E-47</c:v>
                </c:pt>
                <c:pt idx="354">
                  <c:v>6.3029544303629011E-47</c:v>
                </c:pt>
                <c:pt idx="355">
                  <c:v>2.2650006507376366E-46</c:v>
                </c:pt>
                <c:pt idx="356">
                  <c:v>8.0777317571352558E-46</c:v>
                </c:pt>
                <c:pt idx="357">
                  <c:v>2.8589558934687598E-45</c:v>
                </c:pt>
                <c:pt idx="358">
                  <c:v>1.0042050837880395E-44</c:v>
                </c:pt>
                <c:pt idx="359">
                  <c:v>3.5005340637390636E-44</c:v>
                </c:pt>
                <c:pt idx="360">
                  <c:v>1.2109971826046429E-43</c:v>
                </c:pt>
                <c:pt idx="361">
                  <c:v>4.1576592176125162E-43</c:v>
                </c:pt>
                <c:pt idx="362">
                  <c:v>1.4166141596486675E-42</c:v>
                </c:pt>
                <c:pt idx="363">
                  <c:v>4.7901730109760581E-42</c:v>
                </c:pt>
                <c:pt idx="364">
                  <c:v>1.6074880486324637E-41</c:v>
                </c:pt>
                <c:pt idx="365">
                  <c:v>5.3535422944352149E-41</c:v>
                </c:pt>
                <c:pt idx="366">
                  <c:v>1.7694229486107414E-40</c:v>
                </c:pt>
                <c:pt idx="367">
                  <c:v>5.8038877612880064E-40</c:v>
                </c:pt>
                <c:pt idx="368">
                  <c:v>1.8893102773529072E-39</c:v>
                </c:pt>
                <c:pt idx="369">
                  <c:v>6.1035780282400312E-39</c:v>
                </c:pt>
                <c:pt idx="370">
                  <c:v>1.956873026903238E-38</c:v>
                </c:pt>
                <c:pt idx="371">
                  <c:v>6.2264101485636491E-38</c:v>
                </c:pt>
                <c:pt idx="372">
                  <c:v>1.966118708396494E-37</c:v>
                </c:pt>
                <c:pt idx="373">
                  <c:v>6.1613897000093407E-37</c:v>
                </c:pt>
                <c:pt idx="374">
                  <c:v>1.916216400644678E-36</c:v>
                </c:pt>
                <c:pt idx="375">
                  <c:v>5.9143546039737932E-36</c:v>
                </c:pt>
                <c:pt idx="376">
                  <c:v>1.8116199672269393E-35</c:v>
                </c:pt>
                <c:pt idx="377">
                  <c:v>5.507110235924289E-35</c:v>
                </c:pt>
                <c:pt idx="378">
                  <c:v>1.6614121154188873E-34</c:v>
                </c:pt>
                <c:pt idx="379">
                  <c:v>4.9742534352276901E-34</c:v>
                </c:pt>
                <c:pt idx="380">
                  <c:v>1.4780032060044671E-33</c:v>
                </c:pt>
                <c:pt idx="381">
                  <c:v>4.3583266397301189E-33</c:v>
                </c:pt>
                <c:pt idx="382">
                  <c:v>1.2754431558825708E-32</c:v>
                </c:pt>
                <c:pt idx="383">
                  <c:v>3.7042421712540844E-32</c:v>
                </c:pt>
                <c:pt idx="384">
                  <c:v>1.067663922869213E-31</c:v>
                </c:pt>
                <c:pt idx="385">
                  <c:v>3.0539835690770648E-31</c:v>
                </c:pt>
                <c:pt idx="386">
                  <c:v>8.669534049041781E-31</c:v>
                </c:pt>
                <c:pt idx="387">
                  <c:v>2.442427882625862E-30</c:v>
                </c:pt>
                <c:pt idx="388">
                  <c:v>6.8288044111589581E-30</c:v>
                </c:pt>
                <c:pt idx="389">
                  <c:v>1.8948050382565249E-29</c:v>
                </c:pt>
                <c:pt idx="390">
                  <c:v>5.2177266097492252E-29</c:v>
                </c:pt>
                <c:pt idx="391">
                  <c:v>1.4259196079125402E-28</c:v>
                </c:pt>
                <c:pt idx="392">
                  <c:v>3.867280688042884E-28</c:v>
                </c:pt>
                <c:pt idx="393">
                  <c:v>1.0409102374481085E-27</c:v>
                </c:pt>
                <c:pt idx="394">
                  <c:v>2.780467336102878E-27</c:v>
                </c:pt>
                <c:pt idx="395">
                  <c:v>7.3708784125719411E-27</c:v>
                </c:pt>
                <c:pt idx="396">
                  <c:v>1.9391777936020097E-26</c:v>
                </c:pt>
                <c:pt idx="397">
                  <c:v>5.0630584756098791E-26</c:v>
                </c:pt>
                <c:pt idx="398">
                  <c:v>1.3119134649258031E-25</c:v>
                </c:pt>
                <c:pt idx="399">
                  <c:v>3.3736060579701982E-25</c:v>
                </c:pt>
                <c:pt idx="400">
                  <c:v>8.6095505122320074E-25</c:v>
                </c:pt>
                <c:pt idx="401">
                  <c:v>2.1805373049265087E-24</c:v>
                </c:pt>
                <c:pt idx="402">
                  <c:v>5.480794211683581E-24</c:v>
                </c:pt>
                <c:pt idx="403">
                  <c:v>1.3671633349248256E-23</c:v>
                </c:pt>
                <c:pt idx="404">
                  <c:v>3.3844978449990052E-23</c:v>
                </c:pt>
                <c:pt idx="405">
                  <c:v>8.3150528354624489E-23</c:v>
                </c:pt>
                <c:pt idx="406">
                  <c:v>2.0273686033595498E-22</c:v>
                </c:pt>
                <c:pt idx="407">
                  <c:v>4.9056589510143022E-22</c:v>
                </c:pt>
                <c:pt idx="408">
                  <c:v>1.1780369694107602E-21</c:v>
                </c:pt>
                <c:pt idx="409">
                  <c:v>2.8074848387888201E-21</c:v>
                </c:pt>
                <c:pt idx="410">
                  <c:v>6.6400729640413369E-21</c:v>
                </c:pt>
                <c:pt idx="411">
                  <c:v>1.5585660640273183E-20</c:v>
                </c:pt>
                <c:pt idx="412">
                  <c:v>3.6305674698809433E-20</c:v>
                </c:pt>
                <c:pt idx="413">
                  <c:v>8.393067975002427E-20</c:v>
                </c:pt>
                <c:pt idx="414">
                  <c:v>1.9255903508988735E-19</c:v>
                </c:pt>
                <c:pt idx="415">
                  <c:v>4.384337657732324E-19</c:v>
                </c:pt>
                <c:pt idx="416">
                  <c:v>9.9069738949926689E-19</c:v>
                </c:pt>
                <c:pt idx="417">
                  <c:v>2.221646596351601E-18</c:v>
                </c:pt>
                <c:pt idx="418">
                  <c:v>4.9443119619129152E-18</c:v>
                </c:pt>
                <c:pt idx="419">
                  <c:v>1.0920277790612844E-17</c:v>
                </c:pt>
                <c:pt idx="420">
                  <c:v>2.3936378276523327E-17</c:v>
                </c:pt>
                <c:pt idx="421">
                  <c:v>5.206910648629059E-17</c:v>
                </c:pt>
                <c:pt idx="422">
                  <c:v>1.1240839398038136E-16</c:v>
                </c:pt>
                <c:pt idx="423">
                  <c:v>2.4083205574846372E-16</c:v>
                </c:pt>
                <c:pt idx="424">
                  <c:v>5.1206698363616186E-16</c:v>
                </c:pt>
                <c:pt idx="425">
                  <c:v>1.0805284073602463E-15</c:v>
                </c:pt>
                <c:pt idx="426">
                  <c:v>2.2627810625191053E-15</c:v>
                </c:pt>
                <c:pt idx="427">
                  <c:v>4.702684182934461E-15</c:v>
                </c:pt>
                <c:pt idx="428">
                  <c:v>9.699425788534279E-15</c:v>
                </c:pt>
                <c:pt idx="429">
                  <c:v>1.9853778271376797E-14</c:v>
                </c:pt>
                <c:pt idx="430">
                  <c:v>4.0330837659289509E-14</c:v>
                </c:pt>
                <c:pt idx="431">
                  <c:v>8.1307058454998747E-14</c:v>
                </c:pt>
                <c:pt idx="432">
                  <c:v>1.6267326692209222E-13</c:v>
                </c:pt>
                <c:pt idx="433">
                  <c:v>3.2299891237490207E-13</c:v>
                </c:pt>
                <c:pt idx="434">
                  <c:v>6.3647721842697137E-13</c:v>
                </c:pt>
                <c:pt idx="435">
                  <c:v>1.2446911428227288E-12</c:v>
                </c:pt>
                <c:pt idx="436">
                  <c:v>2.4156681148226388E-12</c:v>
                </c:pt>
                <c:pt idx="437">
                  <c:v>4.6527515975724439E-12</c:v>
                </c:pt>
                <c:pt idx="438">
                  <c:v>8.8936369914555267E-12</c:v>
                </c:pt>
                <c:pt idx="439">
                  <c:v>1.6871195706429657E-11</c:v>
                </c:pt>
                <c:pt idx="440">
                  <c:v>3.1762103725282179E-11</c:v>
                </c:pt>
                <c:pt idx="441">
                  <c:v>5.9343012375902089E-11</c:v>
                </c:pt>
                <c:pt idx="442">
                  <c:v>1.1003398683695815E-10</c:v>
                </c:pt>
                <c:pt idx="443">
                  <c:v>2.0247949164323318E-10</c:v>
                </c:pt>
                <c:pt idx="444">
                  <c:v>3.6977042017714545E-10</c:v>
                </c:pt>
                <c:pt idx="445">
                  <c:v>6.7016265643412442E-10</c:v>
                </c:pt>
                <c:pt idx="446">
                  <c:v>1.2053834192815183E-9</c:v>
                </c:pt>
                <c:pt idx="447">
                  <c:v>2.15162773916576E-9</c:v>
                </c:pt>
                <c:pt idx="448">
                  <c:v>3.8115883268312211E-9</c:v>
                </c:pt>
                <c:pt idx="449">
                  <c:v>6.701033266741778E-9</c:v>
                </c:pt>
                <c:pt idx="450">
                  <c:v>1.1691614624572791E-8</c:v>
                </c:pt>
                <c:pt idx="451">
                  <c:v>2.0244364205430778E-8</c:v>
                </c:pt>
                <c:pt idx="452">
                  <c:v>3.4788101140125159E-8</c:v>
                </c:pt>
                <c:pt idx="453">
                  <c:v>5.9327252791467798E-8</c:v>
                </c:pt>
                <c:pt idx="454">
                  <c:v>1.0040947233861677E-7</c:v>
                </c:pt>
                <c:pt idx="455">
                  <c:v>1.6865222045761294E-7</c:v>
                </c:pt>
                <c:pt idx="456">
                  <c:v>2.8112947023034813E-7</c:v>
                </c:pt>
                <c:pt idx="457">
                  <c:v>4.6506924126863297E-7</c:v>
                </c:pt>
                <c:pt idx="458">
                  <c:v>7.6352944882549022E-7</c:v>
                </c:pt>
                <c:pt idx="459">
                  <c:v>1.2440301311985471E-6</c:v>
                </c:pt>
                <c:pt idx="460">
                  <c:v>2.0115597575715943E-6</c:v>
                </c:pt>
                <c:pt idx="461">
                  <c:v>3.227987989964368E-6</c:v>
                </c:pt>
                <c:pt idx="462">
                  <c:v>5.1407657394057511E-6</c:v>
                </c:pt>
                <c:pt idx="463">
                  <c:v>8.124949113156007E-6</c:v>
                </c:pt>
                <c:pt idx="464">
                  <c:v>1.2744136591997446E-5</c:v>
                </c:pt>
                <c:pt idx="465">
                  <c:v>1.9837964907826576E-5</c:v>
                </c:pt>
                <c:pt idx="466">
                  <c:v>3.0646490619529484E-5</c:v>
                </c:pt>
                <c:pt idx="467">
                  <c:v>4.6985225365982588E-5</c:v>
                </c:pt>
                <c:pt idx="468">
                  <c:v>7.148893229719927E-5</c:v>
                </c:pt>
                <c:pt idx="469">
                  <c:v>1.0794766174297872E-4</c:v>
                </c:pt>
                <c:pt idx="470">
                  <c:v>1.6176501424906557E-4</c:v>
                </c:pt>
                <c:pt idx="471">
                  <c:v>2.4057632882632576E-4</c:v>
                </c:pt>
                <c:pt idx="472">
                  <c:v>3.5507338338436659E-4</c:v>
                </c:pt>
                <c:pt idx="473">
                  <c:v>5.2009212231082444E-4</c:v>
                </c:pt>
                <c:pt idx="474">
                  <c:v>7.5603058497630599E-4</c:v>
                </c:pt>
                <c:pt idx="475">
                  <c:v>1.0906750706456069E-3</c:v>
                </c:pt>
                <c:pt idx="476">
                  <c:v>1.5615228379915031E-3</c:v>
                </c:pt>
                <c:pt idx="477">
                  <c:v>2.2186981754317926E-3</c:v>
                </c:pt>
                <c:pt idx="478">
                  <c:v>3.1285640043516639E-3</c:v>
                </c:pt>
                <c:pt idx="479">
                  <c:v>4.3781314257487986E-3</c:v>
                </c:pt>
                <c:pt idx="480">
                  <c:v>6.0803625671068586E-3</c:v>
                </c:pt>
                <c:pt idx="481">
                  <c:v>8.3804452107794913E-3</c:v>
                </c:pt>
                <c:pt idx="482">
                  <c:v>1.146308829801662E-2</c:v>
                </c:pt>
                <c:pt idx="483">
                  <c:v>1.5560842838624755E-2</c:v>
                </c:pt>
                <c:pt idx="484">
                  <c:v>2.0963390645470356E-2</c:v>
                </c:pt>
                <c:pt idx="485">
                  <c:v>2.802766192874755E-2</c:v>
                </c:pt>
                <c:pt idx="486">
                  <c:v>3.7188541455623211E-2</c:v>
                </c:pt>
                <c:pt idx="487">
                  <c:v>4.8969802545962483E-2</c:v>
                </c:pt>
                <c:pt idx="488">
                  <c:v>6.399477144718109E-2</c:v>
                </c:pt>
                <c:pt idx="489">
                  <c:v>8.2996076816397993E-2</c:v>
                </c:pt>
                <c:pt idx="490">
                  <c:v>0.10682368804759473</c:v>
                </c:pt>
                <c:pt idx="491">
                  <c:v>0.13645030276946632</c:v>
                </c:pt>
                <c:pt idx="492">
                  <c:v>0.17297302148821811</c:v>
                </c:pt>
                <c:pt idx="493">
                  <c:v>0.21761016183695317</c:v>
                </c:pt>
                <c:pt idx="494">
                  <c:v>0.27169203349408683</c:v>
                </c:pt>
                <c:pt idx="495">
                  <c:v>0.33664453512986675</c:v>
                </c:pt>
                <c:pt idx="496">
                  <c:v>0.41396456306465723</c:v>
                </c:pt>
                <c:pt idx="497">
                  <c:v>0.50518645089733838</c:v>
                </c:pt>
                <c:pt idx="498">
                  <c:v>0.61183899826122612</c:v>
                </c:pt>
                <c:pt idx="499">
                  <c:v>0.73539309597454305</c:v>
                </c:pt>
                <c:pt idx="500">
                  <c:v>0.87720050605041788</c:v>
                </c:pt>
                <c:pt idx="501">
                  <c:v>1.0384249898368552</c:v>
                </c:pt>
                <c:pt idx="502">
                  <c:v>1.2199676665060666</c:v>
                </c:pt>
                <c:pt idx="503">
                  <c:v>1.4223891870875947</c:v>
                </c:pt>
                <c:pt idx="504">
                  <c:v>1.6458319769230383</c:v>
                </c:pt>
                <c:pt idx="505">
                  <c:v>1.8899463759445703</c:v>
                </c:pt>
                <c:pt idx="506">
                  <c:v>2.1538249329287749</c:v>
                </c:pt>
                <c:pt idx="507">
                  <c:v>2.4359493302491235</c:v>
                </c:pt>
                <c:pt idx="508">
                  <c:v>2.734154380447912</c:v>
                </c:pt>
                <c:pt idx="509">
                  <c:v>3.0456132089412904</c:v>
                </c:pt>
                <c:pt idx="510">
                  <c:v>3.3668471002687066</c:v>
                </c:pt>
                <c:pt idx="511">
                  <c:v>3.6937625427384435</c:v>
                </c:pt>
                <c:pt idx="512">
                  <c:v>4.0217167872958175</c:v>
                </c:pt>
                <c:pt idx="513">
                  <c:v>4.3456117956790923</c:v>
                </c:pt>
                <c:pt idx="514">
                  <c:v>4.6600148689192302</c:v>
                </c:pt>
                <c:pt idx="515">
                  <c:v>4.9593026180010238</c:v>
                </c:pt>
                <c:pt idx="516">
                  <c:v>5.2378233750629537</c:v>
                </c:pt>
                <c:pt idx="517">
                  <c:v>5.4900717615391237</c:v>
                </c:pt>
                <c:pt idx="518">
                  <c:v>5.7108680399032217</c:v>
                </c:pt>
                <c:pt idx="519">
                  <c:v>5.8955341741750908</c:v>
                </c:pt>
                <c:pt idx="520">
                  <c:v>6.0400582831757816</c:v>
                </c:pt>
                <c:pt idx="521">
                  <c:v>6.1412394302646174</c:v>
                </c:pt>
                <c:pt idx="522">
                  <c:v>6.1968054580137082</c:v>
                </c:pt>
                <c:pt idx="523">
                  <c:v>6.2054978115323465</c:v>
                </c:pt>
                <c:pt idx="524">
                  <c:v>6.1671189285204724</c:v>
                </c:pt>
                <c:pt idx="525">
                  <c:v>6.0825397041236648</c:v>
                </c:pt>
                <c:pt idx="526">
                  <c:v>5.9536666367039208</c:v>
                </c:pt>
                <c:pt idx="527">
                  <c:v>5.7833703853367293</c:v>
                </c:pt>
                <c:pt idx="528">
                  <c:v>5.5753794776023673</c:v>
                </c:pt>
                <c:pt idx="529">
                  <c:v>5.3341446630969358</c:v>
                </c:pt>
                <c:pt idx="530">
                  <c:v>5.0646808006136048</c:v>
                </c:pt>
                <c:pt idx="531">
                  <c:v>4.77239411114798</c:v>
                </c:pt>
                <c:pt idx="532">
                  <c:v>4.4629030763298942</c:v>
                </c:pt>
                <c:pt idx="533">
                  <c:v>4.141861202487954</c:v>
                </c:pt>
                <c:pt idx="534">
                  <c:v>3.8147893318740906</c:v>
                </c:pt>
                <c:pt idx="535">
                  <c:v>3.4869242258522837</c:v>
                </c:pt>
                <c:pt idx="536">
                  <c:v>3.1630888582822658</c:v>
                </c:pt>
                <c:pt idx="537">
                  <c:v>2.847588347364622</c:v>
                </c:pt>
                <c:pt idx="538">
                  <c:v>2.5441338358655967</c:v>
                </c:pt>
                <c:pt idx="539">
                  <c:v>2.2557950166996092</c:v>
                </c:pt>
                <c:pt idx="540">
                  <c:v>1.9849804969974554</c:v>
                </c:pt>
              </c:numCache>
            </c:numRef>
          </c:yVal>
          <c:smooth val="1"/>
        </c:ser>
        <c:ser>
          <c:idx val="8"/>
          <c:order val="8"/>
          <c:tx>
            <c:strRef>
              <c:f>Data!$L$1</c:f>
              <c:strCache>
                <c:ptCount val="1"/>
                <c:pt idx="0">
                  <c:v>Peak 7</c:v>
                </c:pt>
              </c:strCache>
            </c:strRef>
          </c:tx>
          <c:spPr>
            <a:ln w="12700">
              <a:solidFill>
                <a:srgbClr val="00CCFF"/>
              </a:solidFill>
              <a:prstDash val="solid"/>
            </a:ln>
          </c:spPr>
          <c:marker>
            <c:symbol val="none"/>
          </c:marker>
          <c:xVal>
            <c:numRef>
              <c:f>Data!$A$2:$A$1001</c:f>
              <c:numCache>
                <c:formatCode>General</c:formatCode>
                <c:ptCount val="1000"/>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c:v>
                </c:pt>
                <c:pt idx="193">
                  <c:v>386</c:v>
                </c:pt>
                <c:pt idx="194">
                  <c:v>388</c:v>
                </c:pt>
                <c:pt idx="195">
                  <c:v>390</c:v>
                </c:pt>
                <c:pt idx="196">
                  <c:v>392</c:v>
                </c:pt>
                <c:pt idx="197">
                  <c:v>394</c:v>
                </c:pt>
                <c:pt idx="198">
                  <c:v>396</c:v>
                </c:pt>
                <c:pt idx="199">
                  <c:v>398</c:v>
                </c:pt>
                <c:pt idx="200">
                  <c:v>400</c:v>
                </c:pt>
                <c:pt idx="201">
                  <c:v>402</c:v>
                </c:pt>
                <c:pt idx="202">
                  <c:v>404</c:v>
                </c:pt>
                <c:pt idx="203">
                  <c:v>406</c:v>
                </c:pt>
                <c:pt idx="204">
                  <c:v>408</c:v>
                </c:pt>
                <c:pt idx="205">
                  <c:v>410</c:v>
                </c:pt>
                <c:pt idx="206">
                  <c:v>412</c:v>
                </c:pt>
                <c:pt idx="207">
                  <c:v>414</c:v>
                </c:pt>
                <c:pt idx="208">
                  <c:v>416</c:v>
                </c:pt>
                <c:pt idx="209">
                  <c:v>418</c:v>
                </c:pt>
                <c:pt idx="210">
                  <c:v>420</c:v>
                </c:pt>
                <c:pt idx="211">
                  <c:v>422</c:v>
                </c:pt>
                <c:pt idx="212">
                  <c:v>424</c:v>
                </c:pt>
                <c:pt idx="213">
                  <c:v>426</c:v>
                </c:pt>
                <c:pt idx="214">
                  <c:v>428</c:v>
                </c:pt>
                <c:pt idx="215">
                  <c:v>430</c:v>
                </c:pt>
                <c:pt idx="216">
                  <c:v>432</c:v>
                </c:pt>
                <c:pt idx="217">
                  <c:v>434</c:v>
                </c:pt>
                <c:pt idx="218">
                  <c:v>436</c:v>
                </c:pt>
                <c:pt idx="219">
                  <c:v>438</c:v>
                </c:pt>
                <c:pt idx="220">
                  <c:v>440</c:v>
                </c:pt>
                <c:pt idx="221">
                  <c:v>442</c:v>
                </c:pt>
                <c:pt idx="222">
                  <c:v>444</c:v>
                </c:pt>
                <c:pt idx="223">
                  <c:v>446</c:v>
                </c:pt>
                <c:pt idx="224">
                  <c:v>448</c:v>
                </c:pt>
                <c:pt idx="225">
                  <c:v>450</c:v>
                </c:pt>
                <c:pt idx="226">
                  <c:v>452</c:v>
                </c:pt>
                <c:pt idx="227">
                  <c:v>454</c:v>
                </c:pt>
                <c:pt idx="228">
                  <c:v>456</c:v>
                </c:pt>
                <c:pt idx="229">
                  <c:v>458</c:v>
                </c:pt>
                <c:pt idx="230">
                  <c:v>460</c:v>
                </c:pt>
                <c:pt idx="231">
                  <c:v>462</c:v>
                </c:pt>
                <c:pt idx="232">
                  <c:v>464</c:v>
                </c:pt>
                <c:pt idx="233">
                  <c:v>466</c:v>
                </c:pt>
                <c:pt idx="234">
                  <c:v>468</c:v>
                </c:pt>
                <c:pt idx="235">
                  <c:v>470</c:v>
                </c:pt>
                <c:pt idx="236">
                  <c:v>472</c:v>
                </c:pt>
                <c:pt idx="237">
                  <c:v>474</c:v>
                </c:pt>
                <c:pt idx="238">
                  <c:v>476</c:v>
                </c:pt>
                <c:pt idx="239">
                  <c:v>478</c:v>
                </c:pt>
                <c:pt idx="240">
                  <c:v>480</c:v>
                </c:pt>
                <c:pt idx="241">
                  <c:v>482</c:v>
                </c:pt>
                <c:pt idx="242">
                  <c:v>484</c:v>
                </c:pt>
                <c:pt idx="243">
                  <c:v>486</c:v>
                </c:pt>
                <c:pt idx="244">
                  <c:v>488</c:v>
                </c:pt>
                <c:pt idx="245">
                  <c:v>490</c:v>
                </c:pt>
                <c:pt idx="246">
                  <c:v>492</c:v>
                </c:pt>
                <c:pt idx="247">
                  <c:v>494</c:v>
                </c:pt>
                <c:pt idx="248">
                  <c:v>496</c:v>
                </c:pt>
                <c:pt idx="249">
                  <c:v>498</c:v>
                </c:pt>
                <c:pt idx="250">
                  <c:v>500</c:v>
                </c:pt>
                <c:pt idx="251">
                  <c:v>502</c:v>
                </c:pt>
                <c:pt idx="252">
                  <c:v>504</c:v>
                </c:pt>
                <c:pt idx="253">
                  <c:v>506</c:v>
                </c:pt>
                <c:pt idx="254">
                  <c:v>508</c:v>
                </c:pt>
                <c:pt idx="255">
                  <c:v>510</c:v>
                </c:pt>
                <c:pt idx="256">
                  <c:v>512</c:v>
                </c:pt>
                <c:pt idx="257">
                  <c:v>514</c:v>
                </c:pt>
                <c:pt idx="258">
                  <c:v>516</c:v>
                </c:pt>
                <c:pt idx="259">
                  <c:v>518</c:v>
                </c:pt>
                <c:pt idx="260">
                  <c:v>520</c:v>
                </c:pt>
                <c:pt idx="261">
                  <c:v>522</c:v>
                </c:pt>
                <c:pt idx="262">
                  <c:v>524</c:v>
                </c:pt>
                <c:pt idx="263">
                  <c:v>526</c:v>
                </c:pt>
                <c:pt idx="264">
                  <c:v>528</c:v>
                </c:pt>
                <c:pt idx="265">
                  <c:v>530</c:v>
                </c:pt>
                <c:pt idx="266">
                  <c:v>532</c:v>
                </c:pt>
                <c:pt idx="267">
                  <c:v>534</c:v>
                </c:pt>
                <c:pt idx="268">
                  <c:v>536</c:v>
                </c:pt>
                <c:pt idx="269">
                  <c:v>538</c:v>
                </c:pt>
                <c:pt idx="270">
                  <c:v>540</c:v>
                </c:pt>
                <c:pt idx="271">
                  <c:v>542</c:v>
                </c:pt>
                <c:pt idx="272">
                  <c:v>544</c:v>
                </c:pt>
                <c:pt idx="273">
                  <c:v>546</c:v>
                </c:pt>
                <c:pt idx="274">
                  <c:v>548</c:v>
                </c:pt>
                <c:pt idx="275">
                  <c:v>550</c:v>
                </c:pt>
                <c:pt idx="276">
                  <c:v>552</c:v>
                </c:pt>
                <c:pt idx="277">
                  <c:v>554</c:v>
                </c:pt>
                <c:pt idx="278">
                  <c:v>556</c:v>
                </c:pt>
                <c:pt idx="279">
                  <c:v>558</c:v>
                </c:pt>
                <c:pt idx="280">
                  <c:v>560</c:v>
                </c:pt>
                <c:pt idx="281">
                  <c:v>562</c:v>
                </c:pt>
                <c:pt idx="282">
                  <c:v>564</c:v>
                </c:pt>
                <c:pt idx="283">
                  <c:v>566</c:v>
                </c:pt>
                <c:pt idx="284">
                  <c:v>568</c:v>
                </c:pt>
                <c:pt idx="285">
                  <c:v>570</c:v>
                </c:pt>
                <c:pt idx="286">
                  <c:v>572</c:v>
                </c:pt>
                <c:pt idx="287">
                  <c:v>574</c:v>
                </c:pt>
                <c:pt idx="288">
                  <c:v>576</c:v>
                </c:pt>
                <c:pt idx="289">
                  <c:v>578</c:v>
                </c:pt>
                <c:pt idx="290">
                  <c:v>580</c:v>
                </c:pt>
                <c:pt idx="291">
                  <c:v>582</c:v>
                </c:pt>
                <c:pt idx="292">
                  <c:v>584</c:v>
                </c:pt>
                <c:pt idx="293">
                  <c:v>586</c:v>
                </c:pt>
                <c:pt idx="294">
                  <c:v>588</c:v>
                </c:pt>
                <c:pt idx="295">
                  <c:v>590</c:v>
                </c:pt>
                <c:pt idx="296">
                  <c:v>592</c:v>
                </c:pt>
                <c:pt idx="297">
                  <c:v>594</c:v>
                </c:pt>
                <c:pt idx="298">
                  <c:v>596</c:v>
                </c:pt>
                <c:pt idx="299">
                  <c:v>598</c:v>
                </c:pt>
                <c:pt idx="300">
                  <c:v>600</c:v>
                </c:pt>
                <c:pt idx="301">
                  <c:v>602</c:v>
                </c:pt>
                <c:pt idx="302">
                  <c:v>604</c:v>
                </c:pt>
                <c:pt idx="303">
                  <c:v>606</c:v>
                </c:pt>
                <c:pt idx="304">
                  <c:v>608</c:v>
                </c:pt>
                <c:pt idx="305">
                  <c:v>610</c:v>
                </c:pt>
                <c:pt idx="306">
                  <c:v>612</c:v>
                </c:pt>
                <c:pt idx="307">
                  <c:v>614</c:v>
                </c:pt>
                <c:pt idx="308">
                  <c:v>616</c:v>
                </c:pt>
                <c:pt idx="309">
                  <c:v>618</c:v>
                </c:pt>
                <c:pt idx="310">
                  <c:v>620</c:v>
                </c:pt>
                <c:pt idx="311">
                  <c:v>622</c:v>
                </c:pt>
                <c:pt idx="312">
                  <c:v>624</c:v>
                </c:pt>
                <c:pt idx="313">
                  <c:v>626</c:v>
                </c:pt>
                <c:pt idx="314">
                  <c:v>628</c:v>
                </c:pt>
                <c:pt idx="315">
                  <c:v>630</c:v>
                </c:pt>
                <c:pt idx="316">
                  <c:v>632</c:v>
                </c:pt>
                <c:pt idx="317">
                  <c:v>634</c:v>
                </c:pt>
                <c:pt idx="318">
                  <c:v>636</c:v>
                </c:pt>
                <c:pt idx="319">
                  <c:v>638</c:v>
                </c:pt>
                <c:pt idx="320">
                  <c:v>640</c:v>
                </c:pt>
                <c:pt idx="321">
                  <c:v>642</c:v>
                </c:pt>
                <c:pt idx="322">
                  <c:v>644</c:v>
                </c:pt>
                <c:pt idx="323">
                  <c:v>646</c:v>
                </c:pt>
                <c:pt idx="324">
                  <c:v>648</c:v>
                </c:pt>
                <c:pt idx="325">
                  <c:v>650</c:v>
                </c:pt>
                <c:pt idx="326">
                  <c:v>652</c:v>
                </c:pt>
                <c:pt idx="327">
                  <c:v>654</c:v>
                </c:pt>
                <c:pt idx="328">
                  <c:v>656</c:v>
                </c:pt>
                <c:pt idx="329">
                  <c:v>658</c:v>
                </c:pt>
                <c:pt idx="330">
                  <c:v>660</c:v>
                </c:pt>
                <c:pt idx="331">
                  <c:v>662</c:v>
                </c:pt>
                <c:pt idx="332">
                  <c:v>664</c:v>
                </c:pt>
                <c:pt idx="333">
                  <c:v>666</c:v>
                </c:pt>
                <c:pt idx="334">
                  <c:v>668</c:v>
                </c:pt>
                <c:pt idx="335">
                  <c:v>670</c:v>
                </c:pt>
                <c:pt idx="336">
                  <c:v>672</c:v>
                </c:pt>
                <c:pt idx="337">
                  <c:v>674</c:v>
                </c:pt>
                <c:pt idx="338">
                  <c:v>676</c:v>
                </c:pt>
                <c:pt idx="339">
                  <c:v>678</c:v>
                </c:pt>
                <c:pt idx="340">
                  <c:v>680</c:v>
                </c:pt>
                <c:pt idx="341">
                  <c:v>682</c:v>
                </c:pt>
                <c:pt idx="342">
                  <c:v>684</c:v>
                </c:pt>
                <c:pt idx="343">
                  <c:v>686</c:v>
                </c:pt>
                <c:pt idx="344">
                  <c:v>688</c:v>
                </c:pt>
                <c:pt idx="345">
                  <c:v>690</c:v>
                </c:pt>
                <c:pt idx="346">
                  <c:v>692</c:v>
                </c:pt>
                <c:pt idx="347">
                  <c:v>694</c:v>
                </c:pt>
                <c:pt idx="348">
                  <c:v>696</c:v>
                </c:pt>
                <c:pt idx="349">
                  <c:v>698</c:v>
                </c:pt>
                <c:pt idx="350">
                  <c:v>700</c:v>
                </c:pt>
                <c:pt idx="351">
                  <c:v>702</c:v>
                </c:pt>
                <c:pt idx="352">
                  <c:v>704</c:v>
                </c:pt>
                <c:pt idx="353">
                  <c:v>706</c:v>
                </c:pt>
                <c:pt idx="354">
                  <c:v>708</c:v>
                </c:pt>
                <c:pt idx="355">
                  <c:v>710</c:v>
                </c:pt>
                <c:pt idx="356">
                  <c:v>712</c:v>
                </c:pt>
                <c:pt idx="357">
                  <c:v>714</c:v>
                </c:pt>
                <c:pt idx="358">
                  <c:v>716</c:v>
                </c:pt>
                <c:pt idx="359">
                  <c:v>718</c:v>
                </c:pt>
                <c:pt idx="360">
                  <c:v>720</c:v>
                </c:pt>
                <c:pt idx="361">
                  <c:v>722</c:v>
                </c:pt>
                <c:pt idx="362">
                  <c:v>724</c:v>
                </c:pt>
                <c:pt idx="363">
                  <c:v>726</c:v>
                </c:pt>
                <c:pt idx="364">
                  <c:v>728</c:v>
                </c:pt>
                <c:pt idx="365">
                  <c:v>730</c:v>
                </c:pt>
                <c:pt idx="366">
                  <c:v>732</c:v>
                </c:pt>
                <c:pt idx="367">
                  <c:v>734</c:v>
                </c:pt>
                <c:pt idx="368">
                  <c:v>736</c:v>
                </c:pt>
                <c:pt idx="369">
                  <c:v>738</c:v>
                </c:pt>
                <c:pt idx="370">
                  <c:v>740</c:v>
                </c:pt>
                <c:pt idx="371">
                  <c:v>742</c:v>
                </c:pt>
                <c:pt idx="372">
                  <c:v>744</c:v>
                </c:pt>
                <c:pt idx="373">
                  <c:v>746</c:v>
                </c:pt>
                <c:pt idx="374">
                  <c:v>748</c:v>
                </c:pt>
                <c:pt idx="375">
                  <c:v>750</c:v>
                </c:pt>
                <c:pt idx="376">
                  <c:v>752</c:v>
                </c:pt>
                <c:pt idx="377">
                  <c:v>754</c:v>
                </c:pt>
                <c:pt idx="378">
                  <c:v>756</c:v>
                </c:pt>
                <c:pt idx="379">
                  <c:v>758</c:v>
                </c:pt>
                <c:pt idx="380">
                  <c:v>760</c:v>
                </c:pt>
                <c:pt idx="381">
                  <c:v>762</c:v>
                </c:pt>
                <c:pt idx="382">
                  <c:v>764</c:v>
                </c:pt>
                <c:pt idx="383">
                  <c:v>766</c:v>
                </c:pt>
                <c:pt idx="384">
                  <c:v>768</c:v>
                </c:pt>
                <c:pt idx="385">
                  <c:v>770</c:v>
                </c:pt>
                <c:pt idx="386">
                  <c:v>772</c:v>
                </c:pt>
                <c:pt idx="387">
                  <c:v>774</c:v>
                </c:pt>
                <c:pt idx="388">
                  <c:v>776</c:v>
                </c:pt>
                <c:pt idx="389">
                  <c:v>778</c:v>
                </c:pt>
                <c:pt idx="390">
                  <c:v>780</c:v>
                </c:pt>
                <c:pt idx="391">
                  <c:v>782</c:v>
                </c:pt>
                <c:pt idx="392">
                  <c:v>784</c:v>
                </c:pt>
                <c:pt idx="393">
                  <c:v>786</c:v>
                </c:pt>
                <c:pt idx="394">
                  <c:v>788</c:v>
                </c:pt>
                <c:pt idx="395">
                  <c:v>790</c:v>
                </c:pt>
                <c:pt idx="396">
                  <c:v>792</c:v>
                </c:pt>
                <c:pt idx="397">
                  <c:v>794</c:v>
                </c:pt>
                <c:pt idx="398">
                  <c:v>796</c:v>
                </c:pt>
                <c:pt idx="399">
                  <c:v>798</c:v>
                </c:pt>
                <c:pt idx="400">
                  <c:v>800</c:v>
                </c:pt>
                <c:pt idx="401">
                  <c:v>802</c:v>
                </c:pt>
                <c:pt idx="402">
                  <c:v>804</c:v>
                </c:pt>
                <c:pt idx="403">
                  <c:v>806</c:v>
                </c:pt>
                <c:pt idx="404">
                  <c:v>808</c:v>
                </c:pt>
                <c:pt idx="405">
                  <c:v>810</c:v>
                </c:pt>
                <c:pt idx="406">
                  <c:v>812</c:v>
                </c:pt>
                <c:pt idx="407">
                  <c:v>814</c:v>
                </c:pt>
                <c:pt idx="408">
                  <c:v>816</c:v>
                </c:pt>
                <c:pt idx="409">
                  <c:v>818</c:v>
                </c:pt>
                <c:pt idx="410">
                  <c:v>820</c:v>
                </c:pt>
                <c:pt idx="411">
                  <c:v>822</c:v>
                </c:pt>
                <c:pt idx="412">
                  <c:v>824</c:v>
                </c:pt>
                <c:pt idx="413">
                  <c:v>826</c:v>
                </c:pt>
                <c:pt idx="414">
                  <c:v>828</c:v>
                </c:pt>
                <c:pt idx="415">
                  <c:v>830</c:v>
                </c:pt>
                <c:pt idx="416">
                  <c:v>832</c:v>
                </c:pt>
                <c:pt idx="417">
                  <c:v>834</c:v>
                </c:pt>
                <c:pt idx="418">
                  <c:v>836</c:v>
                </c:pt>
                <c:pt idx="419">
                  <c:v>838</c:v>
                </c:pt>
                <c:pt idx="420">
                  <c:v>840</c:v>
                </c:pt>
                <c:pt idx="421">
                  <c:v>842</c:v>
                </c:pt>
                <c:pt idx="422">
                  <c:v>844</c:v>
                </c:pt>
                <c:pt idx="423">
                  <c:v>846</c:v>
                </c:pt>
                <c:pt idx="424">
                  <c:v>848</c:v>
                </c:pt>
                <c:pt idx="425">
                  <c:v>850</c:v>
                </c:pt>
                <c:pt idx="426">
                  <c:v>852</c:v>
                </c:pt>
                <c:pt idx="427">
                  <c:v>854</c:v>
                </c:pt>
                <c:pt idx="428">
                  <c:v>856</c:v>
                </c:pt>
                <c:pt idx="429">
                  <c:v>858</c:v>
                </c:pt>
                <c:pt idx="430">
                  <c:v>860</c:v>
                </c:pt>
                <c:pt idx="431">
                  <c:v>862</c:v>
                </c:pt>
                <c:pt idx="432">
                  <c:v>864</c:v>
                </c:pt>
                <c:pt idx="433">
                  <c:v>866</c:v>
                </c:pt>
                <c:pt idx="434">
                  <c:v>868</c:v>
                </c:pt>
                <c:pt idx="435">
                  <c:v>870</c:v>
                </c:pt>
                <c:pt idx="436">
                  <c:v>872</c:v>
                </c:pt>
                <c:pt idx="437">
                  <c:v>874</c:v>
                </c:pt>
                <c:pt idx="438">
                  <c:v>876</c:v>
                </c:pt>
                <c:pt idx="439">
                  <c:v>878</c:v>
                </c:pt>
                <c:pt idx="440">
                  <c:v>880</c:v>
                </c:pt>
                <c:pt idx="441">
                  <c:v>882</c:v>
                </c:pt>
                <c:pt idx="442">
                  <c:v>884</c:v>
                </c:pt>
                <c:pt idx="443">
                  <c:v>886</c:v>
                </c:pt>
                <c:pt idx="444">
                  <c:v>888</c:v>
                </c:pt>
                <c:pt idx="445">
                  <c:v>890</c:v>
                </c:pt>
                <c:pt idx="446">
                  <c:v>892</c:v>
                </c:pt>
                <c:pt idx="447">
                  <c:v>894</c:v>
                </c:pt>
                <c:pt idx="448">
                  <c:v>896</c:v>
                </c:pt>
                <c:pt idx="449">
                  <c:v>898</c:v>
                </c:pt>
                <c:pt idx="450">
                  <c:v>900</c:v>
                </c:pt>
                <c:pt idx="451">
                  <c:v>902</c:v>
                </c:pt>
                <c:pt idx="452">
                  <c:v>904</c:v>
                </c:pt>
                <c:pt idx="453">
                  <c:v>906</c:v>
                </c:pt>
                <c:pt idx="454">
                  <c:v>908</c:v>
                </c:pt>
                <c:pt idx="455">
                  <c:v>910</c:v>
                </c:pt>
                <c:pt idx="456">
                  <c:v>912</c:v>
                </c:pt>
                <c:pt idx="457">
                  <c:v>914</c:v>
                </c:pt>
                <c:pt idx="458">
                  <c:v>916</c:v>
                </c:pt>
                <c:pt idx="459">
                  <c:v>918</c:v>
                </c:pt>
                <c:pt idx="460">
                  <c:v>920</c:v>
                </c:pt>
                <c:pt idx="461">
                  <c:v>922</c:v>
                </c:pt>
                <c:pt idx="462">
                  <c:v>924</c:v>
                </c:pt>
                <c:pt idx="463">
                  <c:v>926</c:v>
                </c:pt>
                <c:pt idx="464">
                  <c:v>928</c:v>
                </c:pt>
                <c:pt idx="465">
                  <c:v>930</c:v>
                </c:pt>
                <c:pt idx="466">
                  <c:v>932</c:v>
                </c:pt>
                <c:pt idx="467">
                  <c:v>934</c:v>
                </c:pt>
                <c:pt idx="468">
                  <c:v>936</c:v>
                </c:pt>
                <c:pt idx="469">
                  <c:v>938</c:v>
                </c:pt>
                <c:pt idx="470">
                  <c:v>940</c:v>
                </c:pt>
                <c:pt idx="471">
                  <c:v>942</c:v>
                </c:pt>
                <c:pt idx="472">
                  <c:v>944</c:v>
                </c:pt>
                <c:pt idx="473">
                  <c:v>946</c:v>
                </c:pt>
                <c:pt idx="474">
                  <c:v>948</c:v>
                </c:pt>
                <c:pt idx="475">
                  <c:v>950</c:v>
                </c:pt>
                <c:pt idx="476">
                  <c:v>952</c:v>
                </c:pt>
                <c:pt idx="477">
                  <c:v>954</c:v>
                </c:pt>
                <c:pt idx="478">
                  <c:v>956</c:v>
                </c:pt>
                <c:pt idx="479">
                  <c:v>958</c:v>
                </c:pt>
                <c:pt idx="480">
                  <c:v>960</c:v>
                </c:pt>
                <c:pt idx="481">
                  <c:v>962</c:v>
                </c:pt>
                <c:pt idx="482">
                  <c:v>964</c:v>
                </c:pt>
                <c:pt idx="483">
                  <c:v>966</c:v>
                </c:pt>
                <c:pt idx="484">
                  <c:v>968</c:v>
                </c:pt>
                <c:pt idx="485">
                  <c:v>970</c:v>
                </c:pt>
                <c:pt idx="486">
                  <c:v>972</c:v>
                </c:pt>
                <c:pt idx="487">
                  <c:v>974</c:v>
                </c:pt>
                <c:pt idx="488">
                  <c:v>976</c:v>
                </c:pt>
                <c:pt idx="489">
                  <c:v>978</c:v>
                </c:pt>
                <c:pt idx="490">
                  <c:v>980</c:v>
                </c:pt>
                <c:pt idx="491">
                  <c:v>982</c:v>
                </c:pt>
                <c:pt idx="492">
                  <c:v>984</c:v>
                </c:pt>
                <c:pt idx="493">
                  <c:v>986</c:v>
                </c:pt>
                <c:pt idx="494">
                  <c:v>988</c:v>
                </c:pt>
                <c:pt idx="495">
                  <c:v>990</c:v>
                </c:pt>
                <c:pt idx="496">
                  <c:v>992</c:v>
                </c:pt>
                <c:pt idx="497">
                  <c:v>994</c:v>
                </c:pt>
                <c:pt idx="498">
                  <c:v>996</c:v>
                </c:pt>
                <c:pt idx="499">
                  <c:v>998</c:v>
                </c:pt>
                <c:pt idx="500">
                  <c:v>1000</c:v>
                </c:pt>
                <c:pt idx="501">
                  <c:v>1002</c:v>
                </c:pt>
                <c:pt idx="502">
                  <c:v>1004</c:v>
                </c:pt>
                <c:pt idx="503">
                  <c:v>1006</c:v>
                </c:pt>
                <c:pt idx="504">
                  <c:v>1008</c:v>
                </c:pt>
                <c:pt idx="505">
                  <c:v>1010</c:v>
                </c:pt>
                <c:pt idx="506">
                  <c:v>1012</c:v>
                </c:pt>
                <c:pt idx="507">
                  <c:v>1014</c:v>
                </c:pt>
                <c:pt idx="508">
                  <c:v>1016</c:v>
                </c:pt>
                <c:pt idx="509">
                  <c:v>1018</c:v>
                </c:pt>
                <c:pt idx="510">
                  <c:v>1020</c:v>
                </c:pt>
                <c:pt idx="511">
                  <c:v>1022</c:v>
                </c:pt>
                <c:pt idx="512">
                  <c:v>1024</c:v>
                </c:pt>
                <c:pt idx="513">
                  <c:v>1026</c:v>
                </c:pt>
                <c:pt idx="514">
                  <c:v>1028</c:v>
                </c:pt>
                <c:pt idx="515">
                  <c:v>1030</c:v>
                </c:pt>
                <c:pt idx="516">
                  <c:v>1032</c:v>
                </c:pt>
                <c:pt idx="517">
                  <c:v>1034</c:v>
                </c:pt>
                <c:pt idx="518">
                  <c:v>1036</c:v>
                </c:pt>
                <c:pt idx="519">
                  <c:v>1038</c:v>
                </c:pt>
                <c:pt idx="520">
                  <c:v>1040</c:v>
                </c:pt>
                <c:pt idx="521">
                  <c:v>1042</c:v>
                </c:pt>
                <c:pt idx="522">
                  <c:v>1044</c:v>
                </c:pt>
                <c:pt idx="523">
                  <c:v>1046</c:v>
                </c:pt>
                <c:pt idx="524">
                  <c:v>1048</c:v>
                </c:pt>
                <c:pt idx="525">
                  <c:v>1050</c:v>
                </c:pt>
                <c:pt idx="526">
                  <c:v>1052</c:v>
                </c:pt>
                <c:pt idx="527">
                  <c:v>1054</c:v>
                </c:pt>
                <c:pt idx="528">
                  <c:v>1056</c:v>
                </c:pt>
                <c:pt idx="529">
                  <c:v>1058</c:v>
                </c:pt>
                <c:pt idx="530">
                  <c:v>1060</c:v>
                </c:pt>
                <c:pt idx="531">
                  <c:v>1062</c:v>
                </c:pt>
                <c:pt idx="532">
                  <c:v>1064</c:v>
                </c:pt>
                <c:pt idx="533">
                  <c:v>1066</c:v>
                </c:pt>
                <c:pt idx="534">
                  <c:v>1068</c:v>
                </c:pt>
                <c:pt idx="535">
                  <c:v>1070</c:v>
                </c:pt>
                <c:pt idx="536">
                  <c:v>1072</c:v>
                </c:pt>
                <c:pt idx="537">
                  <c:v>1074</c:v>
                </c:pt>
                <c:pt idx="538">
                  <c:v>1076</c:v>
                </c:pt>
                <c:pt idx="539">
                  <c:v>1078</c:v>
                </c:pt>
                <c:pt idx="540">
                  <c:v>1080</c:v>
                </c:pt>
              </c:numCache>
            </c:numRef>
          </c:xVal>
          <c:yVal>
            <c:numRef>
              <c:f>Data!$L$2:$L$1001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numCache>
            </c:numRef>
          </c:yVal>
          <c:smooth val="1"/>
        </c:ser>
        <c:ser>
          <c:idx val="9"/>
          <c:order val="9"/>
          <c:tx>
            <c:strRef>
              <c:f>Data!$M$1</c:f>
              <c:strCache>
                <c:ptCount val="1"/>
                <c:pt idx="0">
                  <c:v>Peak 8</c:v>
                </c:pt>
              </c:strCache>
            </c:strRef>
          </c:tx>
          <c:spPr>
            <a:ln w="12700">
              <a:solidFill>
                <a:srgbClr val="69FFFF"/>
              </a:solidFill>
              <a:prstDash val="solid"/>
            </a:ln>
          </c:spPr>
          <c:marker>
            <c:symbol val="none"/>
          </c:marker>
          <c:xVal>
            <c:numRef>
              <c:f>Data!$A$2:$A$1001</c:f>
              <c:numCache>
                <c:formatCode>General</c:formatCode>
                <c:ptCount val="1000"/>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c:v>
                </c:pt>
                <c:pt idx="193">
                  <c:v>386</c:v>
                </c:pt>
                <c:pt idx="194">
                  <c:v>388</c:v>
                </c:pt>
                <c:pt idx="195">
                  <c:v>390</c:v>
                </c:pt>
                <c:pt idx="196">
                  <c:v>392</c:v>
                </c:pt>
                <c:pt idx="197">
                  <c:v>394</c:v>
                </c:pt>
                <c:pt idx="198">
                  <c:v>396</c:v>
                </c:pt>
                <c:pt idx="199">
                  <c:v>398</c:v>
                </c:pt>
                <c:pt idx="200">
                  <c:v>400</c:v>
                </c:pt>
                <c:pt idx="201">
                  <c:v>402</c:v>
                </c:pt>
                <c:pt idx="202">
                  <c:v>404</c:v>
                </c:pt>
                <c:pt idx="203">
                  <c:v>406</c:v>
                </c:pt>
                <c:pt idx="204">
                  <c:v>408</c:v>
                </c:pt>
                <c:pt idx="205">
                  <c:v>410</c:v>
                </c:pt>
                <c:pt idx="206">
                  <c:v>412</c:v>
                </c:pt>
                <c:pt idx="207">
                  <c:v>414</c:v>
                </c:pt>
                <c:pt idx="208">
                  <c:v>416</c:v>
                </c:pt>
                <c:pt idx="209">
                  <c:v>418</c:v>
                </c:pt>
                <c:pt idx="210">
                  <c:v>420</c:v>
                </c:pt>
                <c:pt idx="211">
                  <c:v>422</c:v>
                </c:pt>
                <c:pt idx="212">
                  <c:v>424</c:v>
                </c:pt>
                <c:pt idx="213">
                  <c:v>426</c:v>
                </c:pt>
                <c:pt idx="214">
                  <c:v>428</c:v>
                </c:pt>
                <c:pt idx="215">
                  <c:v>430</c:v>
                </c:pt>
                <c:pt idx="216">
                  <c:v>432</c:v>
                </c:pt>
                <c:pt idx="217">
                  <c:v>434</c:v>
                </c:pt>
                <c:pt idx="218">
                  <c:v>436</c:v>
                </c:pt>
                <c:pt idx="219">
                  <c:v>438</c:v>
                </c:pt>
                <c:pt idx="220">
                  <c:v>440</c:v>
                </c:pt>
                <c:pt idx="221">
                  <c:v>442</c:v>
                </c:pt>
                <c:pt idx="222">
                  <c:v>444</c:v>
                </c:pt>
                <c:pt idx="223">
                  <c:v>446</c:v>
                </c:pt>
                <c:pt idx="224">
                  <c:v>448</c:v>
                </c:pt>
                <c:pt idx="225">
                  <c:v>450</c:v>
                </c:pt>
                <c:pt idx="226">
                  <c:v>452</c:v>
                </c:pt>
                <c:pt idx="227">
                  <c:v>454</c:v>
                </c:pt>
                <c:pt idx="228">
                  <c:v>456</c:v>
                </c:pt>
                <c:pt idx="229">
                  <c:v>458</c:v>
                </c:pt>
                <c:pt idx="230">
                  <c:v>460</c:v>
                </c:pt>
                <c:pt idx="231">
                  <c:v>462</c:v>
                </c:pt>
                <c:pt idx="232">
                  <c:v>464</c:v>
                </c:pt>
                <c:pt idx="233">
                  <c:v>466</c:v>
                </c:pt>
                <c:pt idx="234">
                  <c:v>468</c:v>
                </c:pt>
                <c:pt idx="235">
                  <c:v>470</c:v>
                </c:pt>
                <c:pt idx="236">
                  <c:v>472</c:v>
                </c:pt>
                <c:pt idx="237">
                  <c:v>474</c:v>
                </c:pt>
                <c:pt idx="238">
                  <c:v>476</c:v>
                </c:pt>
                <c:pt idx="239">
                  <c:v>478</c:v>
                </c:pt>
                <c:pt idx="240">
                  <c:v>480</c:v>
                </c:pt>
                <c:pt idx="241">
                  <c:v>482</c:v>
                </c:pt>
                <c:pt idx="242">
                  <c:v>484</c:v>
                </c:pt>
                <c:pt idx="243">
                  <c:v>486</c:v>
                </c:pt>
                <c:pt idx="244">
                  <c:v>488</c:v>
                </c:pt>
                <c:pt idx="245">
                  <c:v>490</c:v>
                </c:pt>
                <c:pt idx="246">
                  <c:v>492</c:v>
                </c:pt>
                <c:pt idx="247">
                  <c:v>494</c:v>
                </c:pt>
                <c:pt idx="248">
                  <c:v>496</c:v>
                </c:pt>
                <c:pt idx="249">
                  <c:v>498</c:v>
                </c:pt>
                <c:pt idx="250">
                  <c:v>500</c:v>
                </c:pt>
                <c:pt idx="251">
                  <c:v>502</c:v>
                </c:pt>
                <c:pt idx="252">
                  <c:v>504</c:v>
                </c:pt>
                <c:pt idx="253">
                  <c:v>506</c:v>
                </c:pt>
                <c:pt idx="254">
                  <c:v>508</c:v>
                </c:pt>
                <c:pt idx="255">
                  <c:v>510</c:v>
                </c:pt>
                <c:pt idx="256">
                  <c:v>512</c:v>
                </c:pt>
                <c:pt idx="257">
                  <c:v>514</c:v>
                </c:pt>
                <c:pt idx="258">
                  <c:v>516</c:v>
                </c:pt>
                <c:pt idx="259">
                  <c:v>518</c:v>
                </c:pt>
                <c:pt idx="260">
                  <c:v>520</c:v>
                </c:pt>
                <c:pt idx="261">
                  <c:v>522</c:v>
                </c:pt>
                <c:pt idx="262">
                  <c:v>524</c:v>
                </c:pt>
                <c:pt idx="263">
                  <c:v>526</c:v>
                </c:pt>
                <c:pt idx="264">
                  <c:v>528</c:v>
                </c:pt>
                <c:pt idx="265">
                  <c:v>530</c:v>
                </c:pt>
                <c:pt idx="266">
                  <c:v>532</c:v>
                </c:pt>
                <c:pt idx="267">
                  <c:v>534</c:v>
                </c:pt>
                <c:pt idx="268">
                  <c:v>536</c:v>
                </c:pt>
                <c:pt idx="269">
                  <c:v>538</c:v>
                </c:pt>
                <c:pt idx="270">
                  <c:v>540</c:v>
                </c:pt>
                <c:pt idx="271">
                  <c:v>542</c:v>
                </c:pt>
                <c:pt idx="272">
                  <c:v>544</c:v>
                </c:pt>
                <c:pt idx="273">
                  <c:v>546</c:v>
                </c:pt>
                <c:pt idx="274">
                  <c:v>548</c:v>
                </c:pt>
                <c:pt idx="275">
                  <c:v>550</c:v>
                </c:pt>
                <c:pt idx="276">
                  <c:v>552</c:v>
                </c:pt>
                <c:pt idx="277">
                  <c:v>554</c:v>
                </c:pt>
                <c:pt idx="278">
                  <c:v>556</c:v>
                </c:pt>
                <c:pt idx="279">
                  <c:v>558</c:v>
                </c:pt>
                <c:pt idx="280">
                  <c:v>560</c:v>
                </c:pt>
                <c:pt idx="281">
                  <c:v>562</c:v>
                </c:pt>
                <c:pt idx="282">
                  <c:v>564</c:v>
                </c:pt>
                <c:pt idx="283">
                  <c:v>566</c:v>
                </c:pt>
                <c:pt idx="284">
                  <c:v>568</c:v>
                </c:pt>
                <c:pt idx="285">
                  <c:v>570</c:v>
                </c:pt>
                <c:pt idx="286">
                  <c:v>572</c:v>
                </c:pt>
                <c:pt idx="287">
                  <c:v>574</c:v>
                </c:pt>
                <c:pt idx="288">
                  <c:v>576</c:v>
                </c:pt>
                <c:pt idx="289">
                  <c:v>578</c:v>
                </c:pt>
                <c:pt idx="290">
                  <c:v>580</c:v>
                </c:pt>
                <c:pt idx="291">
                  <c:v>582</c:v>
                </c:pt>
                <c:pt idx="292">
                  <c:v>584</c:v>
                </c:pt>
                <c:pt idx="293">
                  <c:v>586</c:v>
                </c:pt>
                <c:pt idx="294">
                  <c:v>588</c:v>
                </c:pt>
                <c:pt idx="295">
                  <c:v>590</c:v>
                </c:pt>
                <c:pt idx="296">
                  <c:v>592</c:v>
                </c:pt>
                <c:pt idx="297">
                  <c:v>594</c:v>
                </c:pt>
                <c:pt idx="298">
                  <c:v>596</c:v>
                </c:pt>
                <c:pt idx="299">
                  <c:v>598</c:v>
                </c:pt>
                <c:pt idx="300">
                  <c:v>600</c:v>
                </c:pt>
                <c:pt idx="301">
                  <c:v>602</c:v>
                </c:pt>
                <c:pt idx="302">
                  <c:v>604</c:v>
                </c:pt>
                <c:pt idx="303">
                  <c:v>606</c:v>
                </c:pt>
                <c:pt idx="304">
                  <c:v>608</c:v>
                </c:pt>
                <c:pt idx="305">
                  <c:v>610</c:v>
                </c:pt>
                <c:pt idx="306">
                  <c:v>612</c:v>
                </c:pt>
                <c:pt idx="307">
                  <c:v>614</c:v>
                </c:pt>
                <c:pt idx="308">
                  <c:v>616</c:v>
                </c:pt>
                <c:pt idx="309">
                  <c:v>618</c:v>
                </c:pt>
                <c:pt idx="310">
                  <c:v>620</c:v>
                </c:pt>
                <c:pt idx="311">
                  <c:v>622</c:v>
                </c:pt>
                <c:pt idx="312">
                  <c:v>624</c:v>
                </c:pt>
                <c:pt idx="313">
                  <c:v>626</c:v>
                </c:pt>
                <c:pt idx="314">
                  <c:v>628</c:v>
                </c:pt>
                <c:pt idx="315">
                  <c:v>630</c:v>
                </c:pt>
                <c:pt idx="316">
                  <c:v>632</c:v>
                </c:pt>
                <c:pt idx="317">
                  <c:v>634</c:v>
                </c:pt>
                <c:pt idx="318">
                  <c:v>636</c:v>
                </c:pt>
                <c:pt idx="319">
                  <c:v>638</c:v>
                </c:pt>
                <c:pt idx="320">
                  <c:v>640</c:v>
                </c:pt>
                <c:pt idx="321">
                  <c:v>642</c:v>
                </c:pt>
                <c:pt idx="322">
                  <c:v>644</c:v>
                </c:pt>
                <c:pt idx="323">
                  <c:v>646</c:v>
                </c:pt>
                <c:pt idx="324">
                  <c:v>648</c:v>
                </c:pt>
                <c:pt idx="325">
                  <c:v>650</c:v>
                </c:pt>
                <c:pt idx="326">
                  <c:v>652</c:v>
                </c:pt>
                <c:pt idx="327">
                  <c:v>654</c:v>
                </c:pt>
                <c:pt idx="328">
                  <c:v>656</c:v>
                </c:pt>
                <c:pt idx="329">
                  <c:v>658</c:v>
                </c:pt>
                <c:pt idx="330">
                  <c:v>660</c:v>
                </c:pt>
                <c:pt idx="331">
                  <c:v>662</c:v>
                </c:pt>
                <c:pt idx="332">
                  <c:v>664</c:v>
                </c:pt>
                <c:pt idx="333">
                  <c:v>666</c:v>
                </c:pt>
                <c:pt idx="334">
                  <c:v>668</c:v>
                </c:pt>
                <c:pt idx="335">
                  <c:v>670</c:v>
                </c:pt>
                <c:pt idx="336">
                  <c:v>672</c:v>
                </c:pt>
                <c:pt idx="337">
                  <c:v>674</c:v>
                </c:pt>
                <c:pt idx="338">
                  <c:v>676</c:v>
                </c:pt>
                <c:pt idx="339">
                  <c:v>678</c:v>
                </c:pt>
                <c:pt idx="340">
                  <c:v>680</c:v>
                </c:pt>
                <c:pt idx="341">
                  <c:v>682</c:v>
                </c:pt>
                <c:pt idx="342">
                  <c:v>684</c:v>
                </c:pt>
                <c:pt idx="343">
                  <c:v>686</c:v>
                </c:pt>
                <c:pt idx="344">
                  <c:v>688</c:v>
                </c:pt>
                <c:pt idx="345">
                  <c:v>690</c:v>
                </c:pt>
                <c:pt idx="346">
                  <c:v>692</c:v>
                </c:pt>
                <c:pt idx="347">
                  <c:v>694</c:v>
                </c:pt>
                <c:pt idx="348">
                  <c:v>696</c:v>
                </c:pt>
                <c:pt idx="349">
                  <c:v>698</c:v>
                </c:pt>
                <c:pt idx="350">
                  <c:v>700</c:v>
                </c:pt>
                <c:pt idx="351">
                  <c:v>702</c:v>
                </c:pt>
                <c:pt idx="352">
                  <c:v>704</c:v>
                </c:pt>
                <c:pt idx="353">
                  <c:v>706</c:v>
                </c:pt>
                <c:pt idx="354">
                  <c:v>708</c:v>
                </c:pt>
                <c:pt idx="355">
                  <c:v>710</c:v>
                </c:pt>
                <c:pt idx="356">
                  <c:v>712</c:v>
                </c:pt>
                <c:pt idx="357">
                  <c:v>714</c:v>
                </c:pt>
                <c:pt idx="358">
                  <c:v>716</c:v>
                </c:pt>
                <c:pt idx="359">
                  <c:v>718</c:v>
                </c:pt>
                <c:pt idx="360">
                  <c:v>720</c:v>
                </c:pt>
                <c:pt idx="361">
                  <c:v>722</c:v>
                </c:pt>
                <c:pt idx="362">
                  <c:v>724</c:v>
                </c:pt>
                <c:pt idx="363">
                  <c:v>726</c:v>
                </c:pt>
                <c:pt idx="364">
                  <c:v>728</c:v>
                </c:pt>
                <c:pt idx="365">
                  <c:v>730</c:v>
                </c:pt>
                <c:pt idx="366">
                  <c:v>732</c:v>
                </c:pt>
                <c:pt idx="367">
                  <c:v>734</c:v>
                </c:pt>
                <c:pt idx="368">
                  <c:v>736</c:v>
                </c:pt>
                <c:pt idx="369">
                  <c:v>738</c:v>
                </c:pt>
                <c:pt idx="370">
                  <c:v>740</c:v>
                </c:pt>
                <c:pt idx="371">
                  <c:v>742</c:v>
                </c:pt>
                <c:pt idx="372">
                  <c:v>744</c:v>
                </c:pt>
                <c:pt idx="373">
                  <c:v>746</c:v>
                </c:pt>
                <c:pt idx="374">
                  <c:v>748</c:v>
                </c:pt>
                <c:pt idx="375">
                  <c:v>750</c:v>
                </c:pt>
                <c:pt idx="376">
                  <c:v>752</c:v>
                </c:pt>
                <c:pt idx="377">
                  <c:v>754</c:v>
                </c:pt>
                <c:pt idx="378">
                  <c:v>756</c:v>
                </c:pt>
                <c:pt idx="379">
                  <c:v>758</c:v>
                </c:pt>
                <c:pt idx="380">
                  <c:v>760</c:v>
                </c:pt>
                <c:pt idx="381">
                  <c:v>762</c:v>
                </c:pt>
                <c:pt idx="382">
                  <c:v>764</c:v>
                </c:pt>
                <c:pt idx="383">
                  <c:v>766</c:v>
                </c:pt>
                <c:pt idx="384">
                  <c:v>768</c:v>
                </c:pt>
                <c:pt idx="385">
                  <c:v>770</c:v>
                </c:pt>
                <c:pt idx="386">
                  <c:v>772</c:v>
                </c:pt>
                <c:pt idx="387">
                  <c:v>774</c:v>
                </c:pt>
                <c:pt idx="388">
                  <c:v>776</c:v>
                </c:pt>
                <c:pt idx="389">
                  <c:v>778</c:v>
                </c:pt>
                <c:pt idx="390">
                  <c:v>780</c:v>
                </c:pt>
                <c:pt idx="391">
                  <c:v>782</c:v>
                </c:pt>
                <c:pt idx="392">
                  <c:v>784</c:v>
                </c:pt>
                <c:pt idx="393">
                  <c:v>786</c:v>
                </c:pt>
                <c:pt idx="394">
                  <c:v>788</c:v>
                </c:pt>
                <c:pt idx="395">
                  <c:v>790</c:v>
                </c:pt>
                <c:pt idx="396">
                  <c:v>792</c:v>
                </c:pt>
                <c:pt idx="397">
                  <c:v>794</c:v>
                </c:pt>
                <c:pt idx="398">
                  <c:v>796</c:v>
                </c:pt>
                <c:pt idx="399">
                  <c:v>798</c:v>
                </c:pt>
                <c:pt idx="400">
                  <c:v>800</c:v>
                </c:pt>
                <c:pt idx="401">
                  <c:v>802</c:v>
                </c:pt>
                <c:pt idx="402">
                  <c:v>804</c:v>
                </c:pt>
                <c:pt idx="403">
                  <c:v>806</c:v>
                </c:pt>
                <c:pt idx="404">
                  <c:v>808</c:v>
                </c:pt>
                <c:pt idx="405">
                  <c:v>810</c:v>
                </c:pt>
                <c:pt idx="406">
                  <c:v>812</c:v>
                </c:pt>
                <c:pt idx="407">
                  <c:v>814</c:v>
                </c:pt>
                <c:pt idx="408">
                  <c:v>816</c:v>
                </c:pt>
                <c:pt idx="409">
                  <c:v>818</c:v>
                </c:pt>
                <c:pt idx="410">
                  <c:v>820</c:v>
                </c:pt>
                <c:pt idx="411">
                  <c:v>822</c:v>
                </c:pt>
                <c:pt idx="412">
                  <c:v>824</c:v>
                </c:pt>
                <c:pt idx="413">
                  <c:v>826</c:v>
                </c:pt>
                <c:pt idx="414">
                  <c:v>828</c:v>
                </c:pt>
                <c:pt idx="415">
                  <c:v>830</c:v>
                </c:pt>
                <c:pt idx="416">
                  <c:v>832</c:v>
                </c:pt>
                <c:pt idx="417">
                  <c:v>834</c:v>
                </c:pt>
                <c:pt idx="418">
                  <c:v>836</c:v>
                </c:pt>
                <c:pt idx="419">
                  <c:v>838</c:v>
                </c:pt>
                <c:pt idx="420">
                  <c:v>840</c:v>
                </c:pt>
                <c:pt idx="421">
                  <c:v>842</c:v>
                </c:pt>
                <c:pt idx="422">
                  <c:v>844</c:v>
                </c:pt>
                <c:pt idx="423">
                  <c:v>846</c:v>
                </c:pt>
                <c:pt idx="424">
                  <c:v>848</c:v>
                </c:pt>
                <c:pt idx="425">
                  <c:v>850</c:v>
                </c:pt>
                <c:pt idx="426">
                  <c:v>852</c:v>
                </c:pt>
                <c:pt idx="427">
                  <c:v>854</c:v>
                </c:pt>
                <c:pt idx="428">
                  <c:v>856</c:v>
                </c:pt>
                <c:pt idx="429">
                  <c:v>858</c:v>
                </c:pt>
                <c:pt idx="430">
                  <c:v>860</c:v>
                </c:pt>
                <c:pt idx="431">
                  <c:v>862</c:v>
                </c:pt>
                <c:pt idx="432">
                  <c:v>864</c:v>
                </c:pt>
                <c:pt idx="433">
                  <c:v>866</c:v>
                </c:pt>
                <c:pt idx="434">
                  <c:v>868</c:v>
                </c:pt>
                <c:pt idx="435">
                  <c:v>870</c:v>
                </c:pt>
                <c:pt idx="436">
                  <c:v>872</c:v>
                </c:pt>
                <c:pt idx="437">
                  <c:v>874</c:v>
                </c:pt>
                <c:pt idx="438">
                  <c:v>876</c:v>
                </c:pt>
                <c:pt idx="439">
                  <c:v>878</c:v>
                </c:pt>
                <c:pt idx="440">
                  <c:v>880</c:v>
                </c:pt>
                <c:pt idx="441">
                  <c:v>882</c:v>
                </c:pt>
                <c:pt idx="442">
                  <c:v>884</c:v>
                </c:pt>
                <c:pt idx="443">
                  <c:v>886</c:v>
                </c:pt>
                <c:pt idx="444">
                  <c:v>888</c:v>
                </c:pt>
                <c:pt idx="445">
                  <c:v>890</c:v>
                </c:pt>
                <c:pt idx="446">
                  <c:v>892</c:v>
                </c:pt>
                <c:pt idx="447">
                  <c:v>894</c:v>
                </c:pt>
                <c:pt idx="448">
                  <c:v>896</c:v>
                </c:pt>
                <c:pt idx="449">
                  <c:v>898</c:v>
                </c:pt>
                <c:pt idx="450">
                  <c:v>900</c:v>
                </c:pt>
                <c:pt idx="451">
                  <c:v>902</c:v>
                </c:pt>
                <c:pt idx="452">
                  <c:v>904</c:v>
                </c:pt>
                <c:pt idx="453">
                  <c:v>906</c:v>
                </c:pt>
                <c:pt idx="454">
                  <c:v>908</c:v>
                </c:pt>
                <c:pt idx="455">
                  <c:v>910</c:v>
                </c:pt>
                <c:pt idx="456">
                  <c:v>912</c:v>
                </c:pt>
                <c:pt idx="457">
                  <c:v>914</c:v>
                </c:pt>
                <c:pt idx="458">
                  <c:v>916</c:v>
                </c:pt>
                <c:pt idx="459">
                  <c:v>918</c:v>
                </c:pt>
                <c:pt idx="460">
                  <c:v>920</c:v>
                </c:pt>
                <c:pt idx="461">
                  <c:v>922</c:v>
                </c:pt>
                <c:pt idx="462">
                  <c:v>924</c:v>
                </c:pt>
                <c:pt idx="463">
                  <c:v>926</c:v>
                </c:pt>
                <c:pt idx="464">
                  <c:v>928</c:v>
                </c:pt>
                <c:pt idx="465">
                  <c:v>930</c:v>
                </c:pt>
                <c:pt idx="466">
                  <c:v>932</c:v>
                </c:pt>
                <c:pt idx="467">
                  <c:v>934</c:v>
                </c:pt>
                <c:pt idx="468">
                  <c:v>936</c:v>
                </c:pt>
                <c:pt idx="469">
                  <c:v>938</c:v>
                </c:pt>
                <c:pt idx="470">
                  <c:v>940</c:v>
                </c:pt>
                <c:pt idx="471">
                  <c:v>942</c:v>
                </c:pt>
                <c:pt idx="472">
                  <c:v>944</c:v>
                </c:pt>
                <c:pt idx="473">
                  <c:v>946</c:v>
                </c:pt>
                <c:pt idx="474">
                  <c:v>948</c:v>
                </c:pt>
                <c:pt idx="475">
                  <c:v>950</c:v>
                </c:pt>
                <c:pt idx="476">
                  <c:v>952</c:v>
                </c:pt>
                <c:pt idx="477">
                  <c:v>954</c:v>
                </c:pt>
                <c:pt idx="478">
                  <c:v>956</c:v>
                </c:pt>
                <c:pt idx="479">
                  <c:v>958</c:v>
                </c:pt>
                <c:pt idx="480">
                  <c:v>960</c:v>
                </c:pt>
                <c:pt idx="481">
                  <c:v>962</c:v>
                </c:pt>
                <c:pt idx="482">
                  <c:v>964</c:v>
                </c:pt>
                <c:pt idx="483">
                  <c:v>966</c:v>
                </c:pt>
                <c:pt idx="484">
                  <c:v>968</c:v>
                </c:pt>
                <c:pt idx="485">
                  <c:v>970</c:v>
                </c:pt>
                <c:pt idx="486">
                  <c:v>972</c:v>
                </c:pt>
                <c:pt idx="487">
                  <c:v>974</c:v>
                </c:pt>
                <c:pt idx="488">
                  <c:v>976</c:v>
                </c:pt>
                <c:pt idx="489">
                  <c:v>978</c:v>
                </c:pt>
                <c:pt idx="490">
                  <c:v>980</c:v>
                </c:pt>
                <c:pt idx="491">
                  <c:v>982</c:v>
                </c:pt>
                <c:pt idx="492">
                  <c:v>984</c:v>
                </c:pt>
                <c:pt idx="493">
                  <c:v>986</c:v>
                </c:pt>
                <c:pt idx="494">
                  <c:v>988</c:v>
                </c:pt>
                <c:pt idx="495">
                  <c:v>990</c:v>
                </c:pt>
                <c:pt idx="496">
                  <c:v>992</c:v>
                </c:pt>
                <c:pt idx="497">
                  <c:v>994</c:v>
                </c:pt>
                <c:pt idx="498">
                  <c:v>996</c:v>
                </c:pt>
                <c:pt idx="499">
                  <c:v>998</c:v>
                </c:pt>
                <c:pt idx="500">
                  <c:v>1000</c:v>
                </c:pt>
                <c:pt idx="501">
                  <c:v>1002</c:v>
                </c:pt>
                <c:pt idx="502">
                  <c:v>1004</c:v>
                </c:pt>
                <c:pt idx="503">
                  <c:v>1006</c:v>
                </c:pt>
                <c:pt idx="504">
                  <c:v>1008</c:v>
                </c:pt>
                <c:pt idx="505">
                  <c:v>1010</c:v>
                </c:pt>
                <c:pt idx="506">
                  <c:v>1012</c:v>
                </c:pt>
                <c:pt idx="507">
                  <c:v>1014</c:v>
                </c:pt>
                <c:pt idx="508">
                  <c:v>1016</c:v>
                </c:pt>
                <c:pt idx="509">
                  <c:v>1018</c:v>
                </c:pt>
                <c:pt idx="510">
                  <c:v>1020</c:v>
                </c:pt>
                <c:pt idx="511">
                  <c:v>1022</c:v>
                </c:pt>
                <c:pt idx="512">
                  <c:v>1024</c:v>
                </c:pt>
                <c:pt idx="513">
                  <c:v>1026</c:v>
                </c:pt>
                <c:pt idx="514">
                  <c:v>1028</c:v>
                </c:pt>
                <c:pt idx="515">
                  <c:v>1030</c:v>
                </c:pt>
                <c:pt idx="516">
                  <c:v>1032</c:v>
                </c:pt>
                <c:pt idx="517">
                  <c:v>1034</c:v>
                </c:pt>
                <c:pt idx="518">
                  <c:v>1036</c:v>
                </c:pt>
                <c:pt idx="519">
                  <c:v>1038</c:v>
                </c:pt>
                <c:pt idx="520">
                  <c:v>1040</c:v>
                </c:pt>
                <c:pt idx="521">
                  <c:v>1042</c:v>
                </c:pt>
                <c:pt idx="522">
                  <c:v>1044</c:v>
                </c:pt>
                <c:pt idx="523">
                  <c:v>1046</c:v>
                </c:pt>
                <c:pt idx="524">
                  <c:v>1048</c:v>
                </c:pt>
                <c:pt idx="525">
                  <c:v>1050</c:v>
                </c:pt>
                <c:pt idx="526">
                  <c:v>1052</c:v>
                </c:pt>
                <c:pt idx="527">
                  <c:v>1054</c:v>
                </c:pt>
                <c:pt idx="528">
                  <c:v>1056</c:v>
                </c:pt>
                <c:pt idx="529">
                  <c:v>1058</c:v>
                </c:pt>
                <c:pt idx="530">
                  <c:v>1060</c:v>
                </c:pt>
                <c:pt idx="531">
                  <c:v>1062</c:v>
                </c:pt>
                <c:pt idx="532">
                  <c:v>1064</c:v>
                </c:pt>
                <c:pt idx="533">
                  <c:v>1066</c:v>
                </c:pt>
                <c:pt idx="534">
                  <c:v>1068</c:v>
                </c:pt>
                <c:pt idx="535">
                  <c:v>1070</c:v>
                </c:pt>
                <c:pt idx="536">
                  <c:v>1072</c:v>
                </c:pt>
                <c:pt idx="537">
                  <c:v>1074</c:v>
                </c:pt>
                <c:pt idx="538">
                  <c:v>1076</c:v>
                </c:pt>
                <c:pt idx="539">
                  <c:v>1078</c:v>
                </c:pt>
                <c:pt idx="540">
                  <c:v>1080</c:v>
                </c:pt>
              </c:numCache>
            </c:numRef>
          </c:xVal>
          <c:yVal>
            <c:numRef>
              <c:f>Data!$M$2:$M$1001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numCache>
            </c:numRef>
          </c:yVal>
          <c:smooth val="1"/>
        </c:ser>
        <c:ser>
          <c:idx val="10"/>
          <c:order val="10"/>
          <c:tx>
            <c:strRef>
              <c:f>Data!$N$1</c:f>
              <c:strCache>
                <c:ptCount val="1"/>
                <c:pt idx="0">
                  <c:v>Peak 9</c:v>
                </c:pt>
              </c:strCache>
            </c:strRef>
          </c:tx>
          <c:spPr>
            <a:ln w="12700">
              <a:solidFill>
                <a:srgbClr val="CCFFCC"/>
              </a:solidFill>
              <a:prstDash val="solid"/>
            </a:ln>
          </c:spPr>
          <c:marker>
            <c:symbol val="none"/>
          </c:marker>
          <c:xVal>
            <c:numRef>
              <c:f>Data!$A$2:$A$1001</c:f>
              <c:numCache>
                <c:formatCode>General</c:formatCode>
                <c:ptCount val="1000"/>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c:v>
                </c:pt>
                <c:pt idx="193">
                  <c:v>386</c:v>
                </c:pt>
                <c:pt idx="194">
                  <c:v>388</c:v>
                </c:pt>
                <c:pt idx="195">
                  <c:v>390</c:v>
                </c:pt>
                <c:pt idx="196">
                  <c:v>392</c:v>
                </c:pt>
                <c:pt idx="197">
                  <c:v>394</c:v>
                </c:pt>
                <c:pt idx="198">
                  <c:v>396</c:v>
                </c:pt>
                <c:pt idx="199">
                  <c:v>398</c:v>
                </c:pt>
                <c:pt idx="200">
                  <c:v>400</c:v>
                </c:pt>
                <c:pt idx="201">
                  <c:v>402</c:v>
                </c:pt>
                <c:pt idx="202">
                  <c:v>404</c:v>
                </c:pt>
                <c:pt idx="203">
                  <c:v>406</c:v>
                </c:pt>
                <c:pt idx="204">
                  <c:v>408</c:v>
                </c:pt>
                <c:pt idx="205">
                  <c:v>410</c:v>
                </c:pt>
                <c:pt idx="206">
                  <c:v>412</c:v>
                </c:pt>
                <c:pt idx="207">
                  <c:v>414</c:v>
                </c:pt>
                <c:pt idx="208">
                  <c:v>416</c:v>
                </c:pt>
                <c:pt idx="209">
                  <c:v>418</c:v>
                </c:pt>
                <c:pt idx="210">
                  <c:v>420</c:v>
                </c:pt>
                <c:pt idx="211">
                  <c:v>422</c:v>
                </c:pt>
                <c:pt idx="212">
                  <c:v>424</c:v>
                </c:pt>
                <c:pt idx="213">
                  <c:v>426</c:v>
                </c:pt>
                <c:pt idx="214">
                  <c:v>428</c:v>
                </c:pt>
                <c:pt idx="215">
                  <c:v>430</c:v>
                </c:pt>
                <c:pt idx="216">
                  <c:v>432</c:v>
                </c:pt>
                <c:pt idx="217">
                  <c:v>434</c:v>
                </c:pt>
                <c:pt idx="218">
                  <c:v>436</c:v>
                </c:pt>
                <c:pt idx="219">
                  <c:v>438</c:v>
                </c:pt>
                <c:pt idx="220">
                  <c:v>440</c:v>
                </c:pt>
                <c:pt idx="221">
                  <c:v>442</c:v>
                </c:pt>
                <c:pt idx="222">
                  <c:v>444</c:v>
                </c:pt>
                <c:pt idx="223">
                  <c:v>446</c:v>
                </c:pt>
                <c:pt idx="224">
                  <c:v>448</c:v>
                </c:pt>
                <c:pt idx="225">
                  <c:v>450</c:v>
                </c:pt>
                <c:pt idx="226">
                  <c:v>452</c:v>
                </c:pt>
                <c:pt idx="227">
                  <c:v>454</c:v>
                </c:pt>
                <c:pt idx="228">
                  <c:v>456</c:v>
                </c:pt>
                <c:pt idx="229">
                  <c:v>458</c:v>
                </c:pt>
                <c:pt idx="230">
                  <c:v>460</c:v>
                </c:pt>
                <c:pt idx="231">
                  <c:v>462</c:v>
                </c:pt>
                <c:pt idx="232">
                  <c:v>464</c:v>
                </c:pt>
                <c:pt idx="233">
                  <c:v>466</c:v>
                </c:pt>
                <c:pt idx="234">
                  <c:v>468</c:v>
                </c:pt>
                <c:pt idx="235">
                  <c:v>470</c:v>
                </c:pt>
                <c:pt idx="236">
                  <c:v>472</c:v>
                </c:pt>
                <c:pt idx="237">
                  <c:v>474</c:v>
                </c:pt>
                <c:pt idx="238">
                  <c:v>476</c:v>
                </c:pt>
                <c:pt idx="239">
                  <c:v>478</c:v>
                </c:pt>
                <c:pt idx="240">
                  <c:v>480</c:v>
                </c:pt>
                <c:pt idx="241">
                  <c:v>482</c:v>
                </c:pt>
                <c:pt idx="242">
                  <c:v>484</c:v>
                </c:pt>
                <c:pt idx="243">
                  <c:v>486</c:v>
                </c:pt>
                <c:pt idx="244">
                  <c:v>488</c:v>
                </c:pt>
                <c:pt idx="245">
                  <c:v>490</c:v>
                </c:pt>
                <c:pt idx="246">
                  <c:v>492</c:v>
                </c:pt>
                <c:pt idx="247">
                  <c:v>494</c:v>
                </c:pt>
                <c:pt idx="248">
                  <c:v>496</c:v>
                </c:pt>
                <c:pt idx="249">
                  <c:v>498</c:v>
                </c:pt>
                <c:pt idx="250">
                  <c:v>500</c:v>
                </c:pt>
                <c:pt idx="251">
                  <c:v>502</c:v>
                </c:pt>
                <c:pt idx="252">
                  <c:v>504</c:v>
                </c:pt>
                <c:pt idx="253">
                  <c:v>506</c:v>
                </c:pt>
                <c:pt idx="254">
                  <c:v>508</c:v>
                </c:pt>
                <c:pt idx="255">
                  <c:v>510</c:v>
                </c:pt>
                <c:pt idx="256">
                  <c:v>512</c:v>
                </c:pt>
                <c:pt idx="257">
                  <c:v>514</c:v>
                </c:pt>
                <c:pt idx="258">
                  <c:v>516</c:v>
                </c:pt>
                <c:pt idx="259">
                  <c:v>518</c:v>
                </c:pt>
                <c:pt idx="260">
                  <c:v>520</c:v>
                </c:pt>
                <c:pt idx="261">
                  <c:v>522</c:v>
                </c:pt>
                <c:pt idx="262">
                  <c:v>524</c:v>
                </c:pt>
                <c:pt idx="263">
                  <c:v>526</c:v>
                </c:pt>
                <c:pt idx="264">
                  <c:v>528</c:v>
                </c:pt>
                <c:pt idx="265">
                  <c:v>530</c:v>
                </c:pt>
                <c:pt idx="266">
                  <c:v>532</c:v>
                </c:pt>
                <c:pt idx="267">
                  <c:v>534</c:v>
                </c:pt>
                <c:pt idx="268">
                  <c:v>536</c:v>
                </c:pt>
                <c:pt idx="269">
                  <c:v>538</c:v>
                </c:pt>
                <c:pt idx="270">
                  <c:v>540</c:v>
                </c:pt>
                <c:pt idx="271">
                  <c:v>542</c:v>
                </c:pt>
                <c:pt idx="272">
                  <c:v>544</c:v>
                </c:pt>
                <c:pt idx="273">
                  <c:v>546</c:v>
                </c:pt>
                <c:pt idx="274">
                  <c:v>548</c:v>
                </c:pt>
                <c:pt idx="275">
                  <c:v>550</c:v>
                </c:pt>
                <c:pt idx="276">
                  <c:v>552</c:v>
                </c:pt>
                <c:pt idx="277">
                  <c:v>554</c:v>
                </c:pt>
                <c:pt idx="278">
                  <c:v>556</c:v>
                </c:pt>
                <c:pt idx="279">
                  <c:v>558</c:v>
                </c:pt>
                <c:pt idx="280">
                  <c:v>560</c:v>
                </c:pt>
                <c:pt idx="281">
                  <c:v>562</c:v>
                </c:pt>
                <c:pt idx="282">
                  <c:v>564</c:v>
                </c:pt>
                <c:pt idx="283">
                  <c:v>566</c:v>
                </c:pt>
                <c:pt idx="284">
                  <c:v>568</c:v>
                </c:pt>
                <c:pt idx="285">
                  <c:v>570</c:v>
                </c:pt>
                <c:pt idx="286">
                  <c:v>572</c:v>
                </c:pt>
                <c:pt idx="287">
                  <c:v>574</c:v>
                </c:pt>
                <c:pt idx="288">
                  <c:v>576</c:v>
                </c:pt>
                <c:pt idx="289">
                  <c:v>578</c:v>
                </c:pt>
                <c:pt idx="290">
                  <c:v>580</c:v>
                </c:pt>
                <c:pt idx="291">
                  <c:v>582</c:v>
                </c:pt>
                <c:pt idx="292">
                  <c:v>584</c:v>
                </c:pt>
                <c:pt idx="293">
                  <c:v>586</c:v>
                </c:pt>
                <c:pt idx="294">
                  <c:v>588</c:v>
                </c:pt>
                <c:pt idx="295">
                  <c:v>590</c:v>
                </c:pt>
                <c:pt idx="296">
                  <c:v>592</c:v>
                </c:pt>
                <c:pt idx="297">
                  <c:v>594</c:v>
                </c:pt>
                <c:pt idx="298">
                  <c:v>596</c:v>
                </c:pt>
                <c:pt idx="299">
                  <c:v>598</c:v>
                </c:pt>
                <c:pt idx="300">
                  <c:v>600</c:v>
                </c:pt>
                <c:pt idx="301">
                  <c:v>602</c:v>
                </c:pt>
                <c:pt idx="302">
                  <c:v>604</c:v>
                </c:pt>
                <c:pt idx="303">
                  <c:v>606</c:v>
                </c:pt>
                <c:pt idx="304">
                  <c:v>608</c:v>
                </c:pt>
                <c:pt idx="305">
                  <c:v>610</c:v>
                </c:pt>
                <c:pt idx="306">
                  <c:v>612</c:v>
                </c:pt>
                <c:pt idx="307">
                  <c:v>614</c:v>
                </c:pt>
                <c:pt idx="308">
                  <c:v>616</c:v>
                </c:pt>
                <c:pt idx="309">
                  <c:v>618</c:v>
                </c:pt>
                <c:pt idx="310">
                  <c:v>620</c:v>
                </c:pt>
                <c:pt idx="311">
                  <c:v>622</c:v>
                </c:pt>
                <c:pt idx="312">
                  <c:v>624</c:v>
                </c:pt>
                <c:pt idx="313">
                  <c:v>626</c:v>
                </c:pt>
                <c:pt idx="314">
                  <c:v>628</c:v>
                </c:pt>
                <c:pt idx="315">
                  <c:v>630</c:v>
                </c:pt>
                <c:pt idx="316">
                  <c:v>632</c:v>
                </c:pt>
                <c:pt idx="317">
                  <c:v>634</c:v>
                </c:pt>
                <c:pt idx="318">
                  <c:v>636</c:v>
                </c:pt>
                <c:pt idx="319">
                  <c:v>638</c:v>
                </c:pt>
                <c:pt idx="320">
                  <c:v>640</c:v>
                </c:pt>
                <c:pt idx="321">
                  <c:v>642</c:v>
                </c:pt>
                <c:pt idx="322">
                  <c:v>644</c:v>
                </c:pt>
                <c:pt idx="323">
                  <c:v>646</c:v>
                </c:pt>
                <c:pt idx="324">
                  <c:v>648</c:v>
                </c:pt>
                <c:pt idx="325">
                  <c:v>650</c:v>
                </c:pt>
                <c:pt idx="326">
                  <c:v>652</c:v>
                </c:pt>
                <c:pt idx="327">
                  <c:v>654</c:v>
                </c:pt>
                <c:pt idx="328">
                  <c:v>656</c:v>
                </c:pt>
                <c:pt idx="329">
                  <c:v>658</c:v>
                </c:pt>
                <c:pt idx="330">
                  <c:v>660</c:v>
                </c:pt>
                <c:pt idx="331">
                  <c:v>662</c:v>
                </c:pt>
                <c:pt idx="332">
                  <c:v>664</c:v>
                </c:pt>
                <c:pt idx="333">
                  <c:v>666</c:v>
                </c:pt>
                <c:pt idx="334">
                  <c:v>668</c:v>
                </c:pt>
                <c:pt idx="335">
                  <c:v>670</c:v>
                </c:pt>
                <c:pt idx="336">
                  <c:v>672</c:v>
                </c:pt>
                <c:pt idx="337">
                  <c:v>674</c:v>
                </c:pt>
                <c:pt idx="338">
                  <c:v>676</c:v>
                </c:pt>
                <c:pt idx="339">
                  <c:v>678</c:v>
                </c:pt>
                <c:pt idx="340">
                  <c:v>680</c:v>
                </c:pt>
                <c:pt idx="341">
                  <c:v>682</c:v>
                </c:pt>
                <c:pt idx="342">
                  <c:v>684</c:v>
                </c:pt>
                <c:pt idx="343">
                  <c:v>686</c:v>
                </c:pt>
                <c:pt idx="344">
                  <c:v>688</c:v>
                </c:pt>
                <c:pt idx="345">
                  <c:v>690</c:v>
                </c:pt>
                <c:pt idx="346">
                  <c:v>692</c:v>
                </c:pt>
                <c:pt idx="347">
                  <c:v>694</c:v>
                </c:pt>
                <c:pt idx="348">
                  <c:v>696</c:v>
                </c:pt>
                <c:pt idx="349">
                  <c:v>698</c:v>
                </c:pt>
                <c:pt idx="350">
                  <c:v>700</c:v>
                </c:pt>
                <c:pt idx="351">
                  <c:v>702</c:v>
                </c:pt>
                <c:pt idx="352">
                  <c:v>704</c:v>
                </c:pt>
                <c:pt idx="353">
                  <c:v>706</c:v>
                </c:pt>
                <c:pt idx="354">
                  <c:v>708</c:v>
                </c:pt>
                <c:pt idx="355">
                  <c:v>710</c:v>
                </c:pt>
                <c:pt idx="356">
                  <c:v>712</c:v>
                </c:pt>
                <c:pt idx="357">
                  <c:v>714</c:v>
                </c:pt>
                <c:pt idx="358">
                  <c:v>716</c:v>
                </c:pt>
                <c:pt idx="359">
                  <c:v>718</c:v>
                </c:pt>
                <c:pt idx="360">
                  <c:v>720</c:v>
                </c:pt>
                <c:pt idx="361">
                  <c:v>722</c:v>
                </c:pt>
                <c:pt idx="362">
                  <c:v>724</c:v>
                </c:pt>
                <c:pt idx="363">
                  <c:v>726</c:v>
                </c:pt>
                <c:pt idx="364">
                  <c:v>728</c:v>
                </c:pt>
                <c:pt idx="365">
                  <c:v>730</c:v>
                </c:pt>
                <c:pt idx="366">
                  <c:v>732</c:v>
                </c:pt>
                <c:pt idx="367">
                  <c:v>734</c:v>
                </c:pt>
                <c:pt idx="368">
                  <c:v>736</c:v>
                </c:pt>
                <c:pt idx="369">
                  <c:v>738</c:v>
                </c:pt>
                <c:pt idx="370">
                  <c:v>740</c:v>
                </c:pt>
                <c:pt idx="371">
                  <c:v>742</c:v>
                </c:pt>
                <c:pt idx="372">
                  <c:v>744</c:v>
                </c:pt>
                <c:pt idx="373">
                  <c:v>746</c:v>
                </c:pt>
                <c:pt idx="374">
                  <c:v>748</c:v>
                </c:pt>
                <c:pt idx="375">
                  <c:v>750</c:v>
                </c:pt>
                <c:pt idx="376">
                  <c:v>752</c:v>
                </c:pt>
                <c:pt idx="377">
                  <c:v>754</c:v>
                </c:pt>
                <c:pt idx="378">
                  <c:v>756</c:v>
                </c:pt>
                <c:pt idx="379">
                  <c:v>758</c:v>
                </c:pt>
                <c:pt idx="380">
                  <c:v>760</c:v>
                </c:pt>
                <c:pt idx="381">
                  <c:v>762</c:v>
                </c:pt>
                <c:pt idx="382">
                  <c:v>764</c:v>
                </c:pt>
                <c:pt idx="383">
                  <c:v>766</c:v>
                </c:pt>
                <c:pt idx="384">
                  <c:v>768</c:v>
                </c:pt>
                <c:pt idx="385">
                  <c:v>770</c:v>
                </c:pt>
                <c:pt idx="386">
                  <c:v>772</c:v>
                </c:pt>
                <c:pt idx="387">
                  <c:v>774</c:v>
                </c:pt>
                <c:pt idx="388">
                  <c:v>776</c:v>
                </c:pt>
                <c:pt idx="389">
                  <c:v>778</c:v>
                </c:pt>
                <c:pt idx="390">
                  <c:v>780</c:v>
                </c:pt>
                <c:pt idx="391">
                  <c:v>782</c:v>
                </c:pt>
                <c:pt idx="392">
                  <c:v>784</c:v>
                </c:pt>
                <c:pt idx="393">
                  <c:v>786</c:v>
                </c:pt>
                <c:pt idx="394">
                  <c:v>788</c:v>
                </c:pt>
                <c:pt idx="395">
                  <c:v>790</c:v>
                </c:pt>
                <c:pt idx="396">
                  <c:v>792</c:v>
                </c:pt>
                <c:pt idx="397">
                  <c:v>794</c:v>
                </c:pt>
                <c:pt idx="398">
                  <c:v>796</c:v>
                </c:pt>
                <c:pt idx="399">
                  <c:v>798</c:v>
                </c:pt>
                <c:pt idx="400">
                  <c:v>800</c:v>
                </c:pt>
                <c:pt idx="401">
                  <c:v>802</c:v>
                </c:pt>
                <c:pt idx="402">
                  <c:v>804</c:v>
                </c:pt>
                <c:pt idx="403">
                  <c:v>806</c:v>
                </c:pt>
                <c:pt idx="404">
                  <c:v>808</c:v>
                </c:pt>
                <c:pt idx="405">
                  <c:v>810</c:v>
                </c:pt>
                <c:pt idx="406">
                  <c:v>812</c:v>
                </c:pt>
                <c:pt idx="407">
                  <c:v>814</c:v>
                </c:pt>
                <c:pt idx="408">
                  <c:v>816</c:v>
                </c:pt>
                <c:pt idx="409">
                  <c:v>818</c:v>
                </c:pt>
                <c:pt idx="410">
                  <c:v>820</c:v>
                </c:pt>
                <c:pt idx="411">
                  <c:v>822</c:v>
                </c:pt>
                <c:pt idx="412">
                  <c:v>824</c:v>
                </c:pt>
                <c:pt idx="413">
                  <c:v>826</c:v>
                </c:pt>
                <c:pt idx="414">
                  <c:v>828</c:v>
                </c:pt>
                <c:pt idx="415">
                  <c:v>830</c:v>
                </c:pt>
                <c:pt idx="416">
                  <c:v>832</c:v>
                </c:pt>
                <c:pt idx="417">
                  <c:v>834</c:v>
                </c:pt>
                <c:pt idx="418">
                  <c:v>836</c:v>
                </c:pt>
                <c:pt idx="419">
                  <c:v>838</c:v>
                </c:pt>
                <c:pt idx="420">
                  <c:v>840</c:v>
                </c:pt>
                <c:pt idx="421">
                  <c:v>842</c:v>
                </c:pt>
                <c:pt idx="422">
                  <c:v>844</c:v>
                </c:pt>
                <c:pt idx="423">
                  <c:v>846</c:v>
                </c:pt>
                <c:pt idx="424">
                  <c:v>848</c:v>
                </c:pt>
                <c:pt idx="425">
                  <c:v>850</c:v>
                </c:pt>
                <c:pt idx="426">
                  <c:v>852</c:v>
                </c:pt>
                <c:pt idx="427">
                  <c:v>854</c:v>
                </c:pt>
                <c:pt idx="428">
                  <c:v>856</c:v>
                </c:pt>
                <c:pt idx="429">
                  <c:v>858</c:v>
                </c:pt>
                <c:pt idx="430">
                  <c:v>860</c:v>
                </c:pt>
                <c:pt idx="431">
                  <c:v>862</c:v>
                </c:pt>
                <c:pt idx="432">
                  <c:v>864</c:v>
                </c:pt>
                <c:pt idx="433">
                  <c:v>866</c:v>
                </c:pt>
                <c:pt idx="434">
                  <c:v>868</c:v>
                </c:pt>
                <c:pt idx="435">
                  <c:v>870</c:v>
                </c:pt>
                <c:pt idx="436">
                  <c:v>872</c:v>
                </c:pt>
                <c:pt idx="437">
                  <c:v>874</c:v>
                </c:pt>
                <c:pt idx="438">
                  <c:v>876</c:v>
                </c:pt>
                <c:pt idx="439">
                  <c:v>878</c:v>
                </c:pt>
                <c:pt idx="440">
                  <c:v>880</c:v>
                </c:pt>
                <c:pt idx="441">
                  <c:v>882</c:v>
                </c:pt>
                <c:pt idx="442">
                  <c:v>884</c:v>
                </c:pt>
                <c:pt idx="443">
                  <c:v>886</c:v>
                </c:pt>
                <c:pt idx="444">
                  <c:v>888</c:v>
                </c:pt>
                <c:pt idx="445">
                  <c:v>890</c:v>
                </c:pt>
                <c:pt idx="446">
                  <c:v>892</c:v>
                </c:pt>
                <c:pt idx="447">
                  <c:v>894</c:v>
                </c:pt>
                <c:pt idx="448">
                  <c:v>896</c:v>
                </c:pt>
                <c:pt idx="449">
                  <c:v>898</c:v>
                </c:pt>
                <c:pt idx="450">
                  <c:v>900</c:v>
                </c:pt>
                <c:pt idx="451">
                  <c:v>902</c:v>
                </c:pt>
                <c:pt idx="452">
                  <c:v>904</c:v>
                </c:pt>
                <c:pt idx="453">
                  <c:v>906</c:v>
                </c:pt>
                <c:pt idx="454">
                  <c:v>908</c:v>
                </c:pt>
                <c:pt idx="455">
                  <c:v>910</c:v>
                </c:pt>
                <c:pt idx="456">
                  <c:v>912</c:v>
                </c:pt>
                <c:pt idx="457">
                  <c:v>914</c:v>
                </c:pt>
                <c:pt idx="458">
                  <c:v>916</c:v>
                </c:pt>
                <c:pt idx="459">
                  <c:v>918</c:v>
                </c:pt>
                <c:pt idx="460">
                  <c:v>920</c:v>
                </c:pt>
                <c:pt idx="461">
                  <c:v>922</c:v>
                </c:pt>
                <c:pt idx="462">
                  <c:v>924</c:v>
                </c:pt>
                <c:pt idx="463">
                  <c:v>926</c:v>
                </c:pt>
                <c:pt idx="464">
                  <c:v>928</c:v>
                </c:pt>
                <c:pt idx="465">
                  <c:v>930</c:v>
                </c:pt>
                <c:pt idx="466">
                  <c:v>932</c:v>
                </c:pt>
                <c:pt idx="467">
                  <c:v>934</c:v>
                </c:pt>
                <c:pt idx="468">
                  <c:v>936</c:v>
                </c:pt>
                <c:pt idx="469">
                  <c:v>938</c:v>
                </c:pt>
                <c:pt idx="470">
                  <c:v>940</c:v>
                </c:pt>
                <c:pt idx="471">
                  <c:v>942</c:v>
                </c:pt>
                <c:pt idx="472">
                  <c:v>944</c:v>
                </c:pt>
                <c:pt idx="473">
                  <c:v>946</c:v>
                </c:pt>
                <c:pt idx="474">
                  <c:v>948</c:v>
                </c:pt>
                <c:pt idx="475">
                  <c:v>950</c:v>
                </c:pt>
                <c:pt idx="476">
                  <c:v>952</c:v>
                </c:pt>
                <c:pt idx="477">
                  <c:v>954</c:v>
                </c:pt>
                <c:pt idx="478">
                  <c:v>956</c:v>
                </c:pt>
                <c:pt idx="479">
                  <c:v>958</c:v>
                </c:pt>
                <c:pt idx="480">
                  <c:v>960</c:v>
                </c:pt>
                <c:pt idx="481">
                  <c:v>962</c:v>
                </c:pt>
                <c:pt idx="482">
                  <c:v>964</c:v>
                </c:pt>
                <c:pt idx="483">
                  <c:v>966</c:v>
                </c:pt>
                <c:pt idx="484">
                  <c:v>968</c:v>
                </c:pt>
                <c:pt idx="485">
                  <c:v>970</c:v>
                </c:pt>
                <c:pt idx="486">
                  <c:v>972</c:v>
                </c:pt>
                <c:pt idx="487">
                  <c:v>974</c:v>
                </c:pt>
                <c:pt idx="488">
                  <c:v>976</c:v>
                </c:pt>
                <c:pt idx="489">
                  <c:v>978</c:v>
                </c:pt>
                <c:pt idx="490">
                  <c:v>980</c:v>
                </c:pt>
                <c:pt idx="491">
                  <c:v>982</c:v>
                </c:pt>
                <c:pt idx="492">
                  <c:v>984</c:v>
                </c:pt>
                <c:pt idx="493">
                  <c:v>986</c:v>
                </c:pt>
                <c:pt idx="494">
                  <c:v>988</c:v>
                </c:pt>
                <c:pt idx="495">
                  <c:v>990</c:v>
                </c:pt>
                <c:pt idx="496">
                  <c:v>992</c:v>
                </c:pt>
                <c:pt idx="497">
                  <c:v>994</c:v>
                </c:pt>
                <c:pt idx="498">
                  <c:v>996</c:v>
                </c:pt>
                <c:pt idx="499">
                  <c:v>998</c:v>
                </c:pt>
                <c:pt idx="500">
                  <c:v>1000</c:v>
                </c:pt>
                <c:pt idx="501">
                  <c:v>1002</c:v>
                </c:pt>
                <c:pt idx="502">
                  <c:v>1004</c:v>
                </c:pt>
                <c:pt idx="503">
                  <c:v>1006</c:v>
                </c:pt>
                <c:pt idx="504">
                  <c:v>1008</c:v>
                </c:pt>
                <c:pt idx="505">
                  <c:v>1010</c:v>
                </c:pt>
                <c:pt idx="506">
                  <c:v>1012</c:v>
                </c:pt>
                <c:pt idx="507">
                  <c:v>1014</c:v>
                </c:pt>
                <c:pt idx="508">
                  <c:v>1016</c:v>
                </c:pt>
                <c:pt idx="509">
                  <c:v>1018</c:v>
                </c:pt>
                <c:pt idx="510">
                  <c:v>1020</c:v>
                </c:pt>
                <c:pt idx="511">
                  <c:v>1022</c:v>
                </c:pt>
                <c:pt idx="512">
                  <c:v>1024</c:v>
                </c:pt>
                <c:pt idx="513">
                  <c:v>1026</c:v>
                </c:pt>
                <c:pt idx="514">
                  <c:v>1028</c:v>
                </c:pt>
                <c:pt idx="515">
                  <c:v>1030</c:v>
                </c:pt>
                <c:pt idx="516">
                  <c:v>1032</c:v>
                </c:pt>
                <c:pt idx="517">
                  <c:v>1034</c:v>
                </c:pt>
                <c:pt idx="518">
                  <c:v>1036</c:v>
                </c:pt>
                <c:pt idx="519">
                  <c:v>1038</c:v>
                </c:pt>
                <c:pt idx="520">
                  <c:v>1040</c:v>
                </c:pt>
                <c:pt idx="521">
                  <c:v>1042</c:v>
                </c:pt>
                <c:pt idx="522">
                  <c:v>1044</c:v>
                </c:pt>
                <c:pt idx="523">
                  <c:v>1046</c:v>
                </c:pt>
                <c:pt idx="524">
                  <c:v>1048</c:v>
                </c:pt>
                <c:pt idx="525">
                  <c:v>1050</c:v>
                </c:pt>
                <c:pt idx="526">
                  <c:v>1052</c:v>
                </c:pt>
                <c:pt idx="527">
                  <c:v>1054</c:v>
                </c:pt>
                <c:pt idx="528">
                  <c:v>1056</c:v>
                </c:pt>
                <c:pt idx="529">
                  <c:v>1058</c:v>
                </c:pt>
                <c:pt idx="530">
                  <c:v>1060</c:v>
                </c:pt>
                <c:pt idx="531">
                  <c:v>1062</c:v>
                </c:pt>
                <c:pt idx="532">
                  <c:v>1064</c:v>
                </c:pt>
                <c:pt idx="533">
                  <c:v>1066</c:v>
                </c:pt>
                <c:pt idx="534">
                  <c:v>1068</c:v>
                </c:pt>
                <c:pt idx="535">
                  <c:v>1070</c:v>
                </c:pt>
                <c:pt idx="536">
                  <c:v>1072</c:v>
                </c:pt>
                <c:pt idx="537">
                  <c:v>1074</c:v>
                </c:pt>
                <c:pt idx="538">
                  <c:v>1076</c:v>
                </c:pt>
                <c:pt idx="539">
                  <c:v>1078</c:v>
                </c:pt>
                <c:pt idx="540">
                  <c:v>1080</c:v>
                </c:pt>
              </c:numCache>
            </c:numRef>
          </c:xVal>
          <c:yVal>
            <c:numRef>
              <c:f>Data!$N$2:$N$1001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numCache>
            </c:numRef>
          </c:yVal>
          <c:smooth val="1"/>
        </c:ser>
        <c:ser>
          <c:idx val="11"/>
          <c:order val="11"/>
          <c:tx>
            <c:strRef>
              <c:f>Data!$O$1</c:f>
              <c:strCache>
                <c:ptCount val="1"/>
                <c:pt idx="0">
                  <c:v>Peak 10</c:v>
                </c:pt>
              </c:strCache>
            </c:strRef>
          </c:tx>
          <c:spPr>
            <a:ln w="12700">
              <a:solidFill>
                <a:srgbClr val="FFFF99"/>
              </a:solidFill>
              <a:prstDash val="solid"/>
            </a:ln>
          </c:spPr>
          <c:marker>
            <c:symbol val="none"/>
          </c:marker>
          <c:xVal>
            <c:numRef>
              <c:f>Data!$A$2:$A$1001</c:f>
              <c:numCache>
                <c:formatCode>General</c:formatCode>
                <c:ptCount val="1000"/>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c:v>
                </c:pt>
                <c:pt idx="193">
                  <c:v>386</c:v>
                </c:pt>
                <c:pt idx="194">
                  <c:v>388</c:v>
                </c:pt>
                <c:pt idx="195">
                  <c:v>390</c:v>
                </c:pt>
                <c:pt idx="196">
                  <c:v>392</c:v>
                </c:pt>
                <c:pt idx="197">
                  <c:v>394</c:v>
                </c:pt>
                <c:pt idx="198">
                  <c:v>396</c:v>
                </c:pt>
                <c:pt idx="199">
                  <c:v>398</c:v>
                </c:pt>
                <c:pt idx="200">
                  <c:v>400</c:v>
                </c:pt>
                <c:pt idx="201">
                  <c:v>402</c:v>
                </c:pt>
                <c:pt idx="202">
                  <c:v>404</c:v>
                </c:pt>
                <c:pt idx="203">
                  <c:v>406</c:v>
                </c:pt>
                <c:pt idx="204">
                  <c:v>408</c:v>
                </c:pt>
                <c:pt idx="205">
                  <c:v>410</c:v>
                </c:pt>
                <c:pt idx="206">
                  <c:v>412</c:v>
                </c:pt>
                <c:pt idx="207">
                  <c:v>414</c:v>
                </c:pt>
                <c:pt idx="208">
                  <c:v>416</c:v>
                </c:pt>
                <c:pt idx="209">
                  <c:v>418</c:v>
                </c:pt>
                <c:pt idx="210">
                  <c:v>420</c:v>
                </c:pt>
                <c:pt idx="211">
                  <c:v>422</c:v>
                </c:pt>
                <c:pt idx="212">
                  <c:v>424</c:v>
                </c:pt>
                <c:pt idx="213">
                  <c:v>426</c:v>
                </c:pt>
                <c:pt idx="214">
                  <c:v>428</c:v>
                </c:pt>
                <c:pt idx="215">
                  <c:v>430</c:v>
                </c:pt>
                <c:pt idx="216">
                  <c:v>432</c:v>
                </c:pt>
                <c:pt idx="217">
                  <c:v>434</c:v>
                </c:pt>
                <c:pt idx="218">
                  <c:v>436</c:v>
                </c:pt>
                <c:pt idx="219">
                  <c:v>438</c:v>
                </c:pt>
                <c:pt idx="220">
                  <c:v>440</c:v>
                </c:pt>
                <c:pt idx="221">
                  <c:v>442</c:v>
                </c:pt>
                <c:pt idx="222">
                  <c:v>444</c:v>
                </c:pt>
                <c:pt idx="223">
                  <c:v>446</c:v>
                </c:pt>
                <c:pt idx="224">
                  <c:v>448</c:v>
                </c:pt>
                <c:pt idx="225">
                  <c:v>450</c:v>
                </c:pt>
                <c:pt idx="226">
                  <c:v>452</c:v>
                </c:pt>
                <c:pt idx="227">
                  <c:v>454</c:v>
                </c:pt>
                <c:pt idx="228">
                  <c:v>456</c:v>
                </c:pt>
                <c:pt idx="229">
                  <c:v>458</c:v>
                </c:pt>
                <c:pt idx="230">
                  <c:v>460</c:v>
                </c:pt>
                <c:pt idx="231">
                  <c:v>462</c:v>
                </c:pt>
                <c:pt idx="232">
                  <c:v>464</c:v>
                </c:pt>
                <c:pt idx="233">
                  <c:v>466</c:v>
                </c:pt>
                <c:pt idx="234">
                  <c:v>468</c:v>
                </c:pt>
                <c:pt idx="235">
                  <c:v>470</c:v>
                </c:pt>
                <c:pt idx="236">
                  <c:v>472</c:v>
                </c:pt>
                <c:pt idx="237">
                  <c:v>474</c:v>
                </c:pt>
                <c:pt idx="238">
                  <c:v>476</c:v>
                </c:pt>
                <c:pt idx="239">
                  <c:v>478</c:v>
                </c:pt>
                <c:pt idx="240">
                  <c:v>480</c:v>
                </c:pt>
                <c:pt idx="241">
                  <c:v>482</c:v>
                </c:pt>
                <c:pt idx="242">
                  <c:v>484</c:v>
                </c:pt>
                <c:pt idx="243">
                  <c:v>486</c:v>
                </c:pt>
                <c:pt idx="244">
                  <c:v>488</c:v>
                </c:pt>
                <c:pt idx="245">
                  <c:v>490</c:v>
                </c:pt>
                <c:pt idx="246">
                  <c:v>492</c:v>
                </c:pt>
                <c:pt idx="247">
                  <c:v>494</c:v>
                </c:pt>
                <c:pt idx="248">
                  <c:v>496</c:v>
                </c:pt>
                <c:pt idx="249">
                  <c:v>498</c:v>
                </c:pt>
                <c:pt idx="250">
                  <c:v>500</c:v>
                </c:pt>
                <c:pt idx="251">
                  <c:v>502</c:v>
                </c:pt>
                <c:pt idx="252">
                  <c:v>504</c:v>
                </c:pt>
                <c:pt idx="253">
                  <c:v>506</c:v>
                </c:pt>
                <c:pt idx="254">
                  <c:v>508</c:v>
                </c:pt>
                <c:pt idx="255">
                  <c:v>510</c:v>
                </c:pt>
                <c:pt idx="256">
                  <c:v>512</c:v>
                </c:pt>
                <c:pt idx="257">
                  <c:v>514</c:v>
                </c:pt>
                <c:pt idx="258">
                  <c:v>516</c:v>
                </c:pt>
                <c:pt idx="259">
                  <c:v>518</c:v>
                </c:pt>
                <c:pt idx="260">
                  <c:v>520</c:v>
                </c:pt>
                <c:pt idx="261">
                  <c:v>522</c:v>
                </c:pt>
                <c:pt idx="262">
                  <c:v>524</c:v>
                </c:pt>
                <c:pt idx="263">
                  <c:v>526</c:v>
                </c:pt>
                <c:pt idx="264">
                  <c:v>528</c:v>
                </c:pt>
                <c:pt idx="265">
                  <c:v>530</c:v>
                </c:pt>
                <c:pt idx="266">
                  <c:v>532</c:v>
                </c:pt>
                <c:pt idx="267">
                  <c:v>534</c:v>
                </c:pt>
                <c:pt idx="268">
                  <c:v>536</c:v>
                </c:pt>
                <c:pt idx="269">
                  <c:v>538</c:v>
                </c:pt>
                <c:pt idx="270">
                  <c:v>540</c:v>
                </c:pt>
                <c:pt idx="271">
                  <c:v>542</c:v>
                </c:pt>
                <c:pt idx="272">
                  <c:v>544</c:v>
                </c:pt>
                <c:pt idx="273">
                  <c:v>546</c:v>
                </c:pt>
                <c:pt idx="274">
                  <c:v>548</c:v>
                </c:pt>
                <c:pt idx="275">
                  <c:v>550</c:v>
                </c:pt>
                <c:pt idx="276">
                  <c:v>552</c:v>
                </c:pt>
                <c:pt idx="277">
                  <c:v>554</c:v>
                </c:pt>
                <c:pt idx="278">
                  <c:v>556</c:v>
                </c:pt>
                <c:pt idx="279">
                  <c:v>558</c:v>
                </c:pt>
                <c:pt idx="280">
                  <c:v>560</c:v>
                </c:pt>
                <c:pt idx="281">
                  <c:v>562</c:v>
                </c:pt>
                <c:pt idx="282">
                  <c:v>564</c:v>
                </c:pt>
                <c:pt idx="283">
                  <c:v>566</c:v>
                </c:pt>
                <c:pt idx="284">
                  <c:v>568</c:v>
                </c:pt>
                <c:pt idx="285">
                  <c:v>570</c:v>
                </c:pt>
                <c:pt idx="286">
                  <c:v>572</c:v>
                </c:pt>
                <c:pt idx="287">
                  <c:v>574</c:v>
                </c:pt>
                <c:pt idx="288">
                  <c:v>576</c:v>
                </c:pt>
                <c:pt idx="289">
                  <c:v>578</c:v>
                </c:pt>
                <c:pt idx="290">
                  <c:v>580</c:v>
                </c:pt>
                <c:pt idx="291">
                  <c:v>582</c:v>
                </c:pt>
                <c:pt idx="292">
                  <c:v>584</c:v>
                </c:pt>
                <c:pt idx="293">
                  <c:v>586</c:v>
                </c:pt>
                <c:pt idx="294">
                  <c:v>588</c:v>
                </c:pt>
                <c:pt idx="295">
                  <c:v>590</c:v>
                </c:pt>
                <c:pt idx="296">
                  <c:v>592</c:v>
                </c:pt>
                <c:pt idx="297">
                  <c:v>594</c:v>
                </c:pt>
                <c:pt idx="298">
                  <c:v>596</c:v>
                </c:pt>
                <c:pt idx="299">
                  <c:v>598</c:v>
                </c:pt>
                <c:pt idx="300">
                  <c:v>600</c:v>
                </c:pt>
                <c:pt idx="301">
                  <c:v>602</c:v>
                </c:pt>
                <c:pt idx="302">
                  <c:v>604</c:v>
                </c:pt>
                <c:pt idx="303">
                  <c:v>606</c:v>
                </c:pt>
                <c:pt idx="304">
                  <c:v>608</c:v>
                </c:pt>
                <c:pt idx="305">
                  <c:v>610</c:v>
                </c:pt>
                <c:pt idx="306">
                  <c:v>612</c:v>
                </c:pt>
                <c:pt idx="307">
                  <c:v>614</c:v>
                </c:pt>
                <c:pt idx="308">
                  <c:v>616</c:v>
                </c:pt>
                <c:pt idx="309">
                  <c:v>618</c:v>
                </c:pt>
                <c:pt idx="310">
                  <c:v>620</c:v>
                </c:pt>
                <c:pt idx="311">
                  <c:v>622</c:v>
                </c:pt>
                <c:pt idx="312">
                  <c:v>624</c:v>
                </c:pt>
                <c:pt idx="313">
                  <c:v>626</c:v>
                </c:pt>
                <c:pt idx="314">
                  <c:v>628</c:v>
                </c:pt>
                <c:pt idx="315">
                  <c:v>630</c:v>
                </c:pt>
                <c:pt idx="316">
                  <c:v>632</c:v>
                </c:pt>
                <c:pt idx="317">
                  <c:v>634</c:v>
                </c:pt>
                <c:pt idx="318">
                  <c:v>636</c:v>
                </c:pt>
                <c:pt idx="319">
                  <c:v>638</c:v>
                </c:pt>
                <c:pt idx="320">
                  <c:v>640</c:v>
                </c:pt>
                <c:pt idx="321">
                  <c:v>642</c:v>
                </c:pt>
                <c:pt idx="322">
                  <c:v>644</c:v>
                </c:pt>
                <c:pt idx="323">
                  <c:v>646</c:v>
                </c:pt>
                <c:pt idx="324">
                  <c:v>648</c:v>
                </c:pt>
                <c:pt idx="325">
                  <c:v>650</c:v>
                </c:pt>
                <c:pt idx="326">
                  <c:v>652</c:v>
                </c:pt>
                <c:pt idx="327">
                  <c:v>654</c:v>
                </c:pt>
                <c:pt idx="328">
                  <c:v>656</c:v>
                </c:pt>
                <c:pt idx="329">
                  <c:v>658</c:v>
                </c:pt>
                <c:pt idx="330">
                  <c:v>660</c:v>
                </c:pt>
                <c:pt idx="331">
                  <c:v>662</c:v>
                </c:pt>
                <c:pt idx="332">
                  <c:v>664</c:v>
                </c:pt>
                <c:pt idx="333">
                  <c:v>666</c:v>
                </c:pt>
                <c:pt idx="334">
                  <c:v>668</c:v>
                </c:pt>
                <c:pt idx="335">
                  <c:v>670</c:v>
                </c:pt>
                <c:pt idx="336">
                  <c:v>672</c:v>
                </c:pt>
                <c:pt idx="337">
                  <c:v>674</c:v>
                </c:pt>
                <c:pt idx="338">
                  <c:v>676</c:v>
                </c:pt>
                <c:pt idx="339">
                  <c:v>678</c:v>
                </c:pt>
                <c:pt idx="340">
                  <c:v>680</c:v>
                </c:pt>
                <c:pt idx="341">
                  <c:v>682</c:v>
                </c:pt>
                <c:pt idx="342">
                  <c:v>684</c:v>
                </c:pt>
                <c:pt idx="343">
                  <c:v>686</c:v>
                </c:pt>
                <c:pt idx="344">
                  <c:v>688</c:v>
                </c:pt>
                <c:pt idx="345">
                  <c:v>690</c:v>
                </c:pt>
                <c:pt idx="346">
                  <c:v>692</c:v>
                </c:pt>
                <c:pt idx="347">
                  <c:v>694</c:v>
                </c:pt>
                <c:pt idx="348">
                  <c:v>696</c:v>
                </c:pt>
                <c:pt idx="349">
                  <c:v>698</c:v>
                </c:pt>
                <c:pt idx="350">
                  <c:v>700</c:v>
                </c:pt>
                <c:pt idx="351">
                  <c:v>702</c:v>
                </c:pt>
                <c:pt idx="352">
                  <c:v>704</c:v>
                </c:pt>
                <c:pt idx="353">
                  <c:v>706</c:v>
                </c:pt>
                <c:pt idx="354">
                  <c:v>708</c:v>
                </c:pt>
                <c:pt idx="355">
                  <c:v>710</c:v>
                </c:pt>
                <c:pt idx="356">
                  <c:v>712</c:v>
                </c:pt>
                <c:pt idx="357">
                  <c:v>714</c:v>
                </c:pt>
                <c:pt idx="358">
                  <c:v>716</c:v>
                </c:pt>
                <c:pt idx="359">
                  <c:v>718</c:v>
                </c:pt>
                <c:pt idx="360">
                  <c:v>720</c:v>
                </c:pt>
                <c:pt idx="361">
                  <c:v>722</c:v>
                </c:pt>
                <c:pt idx="362">
                  <c:v>724</c:v>
                </c:pt>
                <c:pt idx="363">
                  <c:v>726</c:v>
                </c:pt>
                <c:pt idx="364">
                  <c:v>728</c:v>
                </c:pt>
                <c:pt idx="365">
                  <c:v>730</c:v>
                </c:pt>
                <c:pt idx="366">
                  <c:v>732</c:v>
                </c:pt>
                <c:pt idx="367">
                  <c:v>734</c:v>
                </c:pt>
                <c:pt idx="368">
                  <c:v>736</c:v>
                </c:pt>
                <c:pt idx="369">
                  <c:v>738</c:v>
                </c:pt>
                <c:pt idx="370">
                  <c:v>740</c:v>
                </c:pt>
                <c:pt idx="371">
                  <c:v>742</c:v>
                </c:pt>
                <c:pt idx="372">
                  <c:v>744</c:v>
                </c:pt>
                <c:pt idx="373">
                  <c:v>746</c:v>
                </c:pt>
                <c:pt idx="374">
                  <c:v>748</c:v>
                </c:pt>
                <c:pt idx="375">
                  <c:v>750</c:v>
                </c:pt>
                <c:pt idx="376">
                  <c:v>752</c:v>
                </c:pt>
                <c:pt idx="377">
                  <c:v>754</c:v>
                </c:pt>
                <c:pt idx="378">
                  <c:v>756</c:v>
                </c:pt>
                <c:pt idx="379">
                  <c:v>758</c:v>
                </c:pt>
                <c:pt idx="380">
                  <c:v>760</c:v>
                </c:pt>
                <c:pt idx="381">
                  <c:v>762</c:v>
                </c:pt>
                <c:pt idx="382">
                  <c:v>764</c:v>
                </c:pt>
                <c:pt idx="383">
                  <c:v>766</c:v>
                </c:pt>
                <c:pt idx="384">
                  <c:v>768</c:v>
                </c:pt>
                <c:pt idx="385">
                  <c:v>770</c:v>
                </c:pt>
                <c:pt idx="386">
                  <c:v>772</c:v>
                </c:pt>
                <c:pt idx="387">
                  <c:v>774</c:v>
                </c:pt>
                <c:pt idx="388">
                  <c:v>776</c:v>
                </c:pt>
                <c:pt idx="389">
                  <c:v>778</c:v>
                </c:pt>
                <c:pt idx="390">
                  <c:v>780</c:v>
                </c:pt>
                <c:pt idx="391">
                  <c:v>782</c:v>
                </c:pt>
                <c:pt idx="392">
                  <c:v>784</c:v>
                </c:pt>
                <c:pt idx="393">
                  <c:v>786</c:v>
                </c:pt>
                <c:pt idx="394">
                  <c:v>788</c:v>
                </c:pt>
                <c:pt idx="395">
                  <c:v>790</c:v>
                </c:pt>
                <c:pt idx="396">
                  <c:v>792</c:v>
                </c:pt>
                <c:pt idx="397">
                  <c:v>794</c:v>
                </c:pt>
                <c:pt idx="398">
                  <c:v>796</c:v>
                </c:pt>
                <c:pt idx="399">
                  <c:v>798</c:v>
                </c:pt>
                <c:pt idx="400">
                  <c:v>800</c:v>
                </c:pt>
                <c:pt idx="401">
                  <c:v>802</c:v>
                </c:pt>
                <c:pt idx="402">
                  <c:v>804</c:v>
                </c:pt>
                <c:pt idx="403">
                  <c:v>806</c:v>
                </c:pt>
                <c:pt idx="404">
                  <c:v>808</c:v>
                </c:pt>
                <c:pt idx="405">
                  <c:v>810</c:v>
                </c:pt>
                <c:pt idx="406">
                  <c:v>812</c:v>
                </c:pt>
                <c:pt idx="407">
                  <c:v>814</c:v>
                </c:pt>
                <c:pt idx="408">
                  <c:v>816</c:v>
                </c:pt>
                <c:pt idx="409">
                  <c:v>818</c:v>
                </c:pt>
                <c:pt idx="410">
                  <c:v>820</c:v>
                </c:pt>
                <c:pt idx="411">
                  <c:v>822</c:v>
                </c:pt>
                <c:pt idx="412">
                  <c:v>824</c:v>
                </c:pt>
                <c:pt idx="413">
                  <c:v>826</c:v>
                </c:pt>
                <c:pt idx="414">
                  <c:v>828</c:v>
                </c:pt>
                <c:pt idx="415">
                  <c:v>830</c:v>
                </c:pt>
                <c:pt idx="416">
                  <c:v>832</c:v>
                </c:pt>
                <c:pt idx="417">
                  <c:v>834</c:v>
                </c:pt>
                <c:pt idx="418">
                  <c:v>836</c:v>
                </c:pt>
                <c:pt idx="419">
                  <c:v>838</c:v>
                </c:pt>
                <c:pt idx="420">
                  <c:v>840</c:v>
                </c:pt>
                <c:pt idx="421">
                  <c:v>842</c:v>
                </c:pt>
                <c:pt idx="422">
                  <c:v>844</c:v>
                </c:pt>
                <c:pt idx="423">
                  <c:v>846</c:v>
                </c:pt>
                <c:pt idx="424">
                  <c:v>848</c:v>
                </c:pt>
                <c:pt idx="425">
                  <c:v>850</c:v>
                </c:pt>
                <c:pt idx="426">
                  <c:v>852</c:v>
                </c:pt>
                <c:pt idx="427">
                  <c:v>854</c:v>
                </c:pt>
                <c:pt idx="428">
                  <c:v>856</c:v>
                </c:pt>
                <c:pt idx="429">
                  <c:v>858</c:v>
                </c:pt>
                <c:pt idx="430">
                  <c:v>860</c:v>
                </c:pt>
                <c:pt idx="431">
                  <c:v>862</c:v>
                </c:pt>
                <c:pt idx="432">
                  <c:v>864</c:v>
                </c:pt>
                <c:pt idx="433">
                  <c:v>866</c:v>
                </c:pt>
                <c:pt idx="434">
                  <c:v>868</c:v>
                </c:pt>
                <c:pt idx="435">
                  <c:v>870</c:v>
                </c:pt>
                <c:pt idx="436">
                  <c:v>872</c:v>
                </c:pt>
                <c:pt idx="437">
                  <c:v>874</c:v>
                </c:pt>
                <c:pt idx="438">
                  <c:v>876</c:v>
                </c:pt>
                <c:pt idx="439">
                  <c:v>878</c:v>
                </c:pt>
                <c:pt idx="440">
                  <c:v>880</c:v>
                </c:pt>
                <c:pt idx="441">
                  <c:v>882</c:v>
                </c:pt>
                <c:pt idx="442">
                  <c:v>884</c:v>
                </c:pt>
                <c:pt idx="443">
                  <c:v>886</c:v>
                </c:pt>
                <c:pt idx="444">
                  <c:v>888</c:v>
                </c:pt>
                <c:pt idx="445">
                  <c:v>890</c:v>
                </c:pt>
                <c:pt idx="446">
                  <c:v>892</c:v>
                </c:pt>
                <c:pt idx="447">
                  <c:v>894</c:v>
                </c:pt>
                <c:pt idx="448">
                  <c:v>896</c:v>
                </c:pt>
                <c:pt idx="449">
                  <c:v>898</c:v>
                </c:pt>
                <c:pt idx="450">
                  <c:v>900</c:v>
                </c:pt>
                <c:pt idx="451">
                  <c:v>902</c:v>
                </c:pt>
                <c:pt idx="452">
                  <c:v>904</c:v>
                </c:pt>
                <c:pt idx="453">
                  <c:v>906</c:v>
                </c:pt>
                <c:pt idx="454">
                  <c:v>908</c:v>
                </c:pt>
                <c:pt idx="455">
                  <c:v>910</c:v>
                </c:pt>
                <c:pt idx="456">
                  <c:v>912</c:v>
                </c:pt>
                <c:pt idx="457">
                  <c:v>914</c:v>
                </c:pt>
                <c:pt idx="458">
                  <c:v>916</c:v>
                </c:pt>
                <c:pt idx="459">
                  <c:v>918</c:v>
                </c:pt>
                <c:pt idx="460">
                  <c:v>920</c:v>
                </c:pt>
                <c:pt idx="461">
                  <c:v>922</c:v>
                </c:pt>
                <c:pt idx="462">
                  <c:v>924</c:v>
                </c:pt>
                <c:pt idx="463">
                  <c:v>926</c:v>
                </c:pt>
                <c:pt idx="464">
                  <c:v>928</c:v>
                </c:pt>
                <c:pt idx="465">
                  <c:v>930</c:v>
                </c:pt>
                <c:pt idx="466">
                  <c:v>932</c:v>
                </c:pt>
                <c:pt idx="467">
                  <c:v>934</c:v>
                </c:pt>
                <c:pt idx="468">
                  <c:v>936</c:v>
                </c:pt>
                <c:pt idx="469">
                  <c:v>938</c:v>
                </c:pt>
                <c:pt idx="470">
                  <c:v>940</c:v>
                </c:pt>
                <c:pt idx="471">
                  <c:v>942</c:v>
                </c:pt>
                <c:pt idx="472">
                  <c:v>944</c:v>
                </c:pt>
                <c:pt idx="473">
                  <c:v>946</c:v>
                </c:pt>
                <c:pt idx="474">
                  <c:v>948</c:v>
                </c:pt>
                <c:pt idx="475">
                  <c:v>950</c:v>
                </c:pt>
                <c:pt idx="476">
                  <c:v>952</c:v>
                </c:pt>
                <c:pt idx="477">
                  <c:v>954</c:v>
                </c:pt>
                <c:pt idx="478">
                  <c:v>956</c:v>
                </c:pt>
                <c:pt idx="479">
                  <c:v>958</c:v>
                </c:pt>
                <c:pt idx="480">
                  <c:v>960</c:v>
                </c:pt>
                <c:pt idx="481">
                  <c:v>962</c:v>
                </c:pt>
                <c:pt idx="482">
                  <c:v>964</c:v>
                </c:pt>
                <c:pt idx="483">
                  <c:v>966</c:v>
                </c:pt>
                <c:pt idx="484">
                  <c:v>968</c:v>
                </c:pt>
                <c:pt idx="485">
                  <c:v>970</c:v>
                </c:pt>
                <c:pt idx="486">
                  <c:v>972</c:v>
                </c:pt>
                <c:pt idx="487">
                  <c:v>974</c:v>
                </c:pt>
                <c:pt idx="488">
                  <c:v>976</c:v>
                </c:pt>
                <c:pt idx="489">
                  <c:v>978</c:v>
                </c:pt>
                <c:pt idx="490">
                  <c:v>980</c:v>
                </c:pt>
                <c:pt idx="491">
                  <c:v>982</c:v>
                </c:pt>
                <c:pt idx="492">
                  <c:v>984</c:v>
                </c:pt>
                <c:pt idx="493">
                  <c:v>986</c:v>
                </c:pt>
                <c:pt idx="494">
                  <c:v>988</c:v>
                </c:pt>
                <c:pt idx="495">
                  <c:v>990</c:v>
                </c:pt>
                <c:pt idx="496">
                  <c:v>992</c:v>
                </c:pt>
                <c:pt idx="497">
                  <c:v>994</c:v>
                </c:pt>
                <c:pt idx="498">
                  <c:v>996</c:v>
                </c:pt>
                <c:pt idx="499">
                  <c:v>998</c:v>
                </c:pt>
                <c:pt idx="500">
                  <c:v>1000</c:v>
                </c:pt>
                <c:pt idx="501">
                  <c:v>1002</c:v>
                </c:pt>
                <c:pt idx="502">
                  <c:v>1004</c:v>
                </c:pt>
                <c:pt idx="503">
                  <c:v>1006</c:v>
                </c:pt>
                <c:pt idx="504">
                  <c:v>1008</c:v>
                </c:pt>
                <c:pt idx="505">
                  <c:v>1010</c:v>
                </c:pt>
                <c:pt idx="506">
                  <c:v>1012</c:v>
                </c:pt>
                <c:pt idx="507">
                  <c:v>1014</c:v>
                </c:pt>
                <c:pt idx="508">
                  <c:v>1016</c:v>
                </c:pt>
                <c:pt idx="509">
                  <c:v>1018</c:v>
                </c:pt>
                <c:pt idx="510">
                  <c:v>1020</c:v>
                </c:pt>
                <c:pt idx="511">
                  <c:v>1022</c:v>
                </c:pt>
                <c:pt idx="512">
                  <c:v>1024</c:v>
                </c:pt>
                <c:pt idx="513">
                  <c:v>1026</c:v>
                </c:pt>
                <c:pt idx="514">
                  <c:v>1028</c:v>
                </c:pt>
                <c:pt idx="515">
                  <c:v>1030</c:v>
                </c:pt>
                <c:pt idx="516">
                  <c:v>1032</c:v>
                </c:pt>
                <c:pt idx="517">
                  <c:v>1034</c:v>
                </c:pt>
                <c:pt idx="518">
                  <c:v>1036</c:v>
                </c:pt>
                <c:pt idx="519">
                  <c:v>1038</c:v>
                </c:pt>
                <c:pt idx="520">
                  <c:v>1040</c:v>
                </c:pt>
                <c:pt idx="521">
                  <c:v>1042</c:v>
                </c:pt>
                <c:pt idx="522">
                  <c:v>1044</c:v>
                </c:pt>
                <c:pt idx="523">
                  <c:v>1046</c:v>
                </c:pt>
                <c:pt idx="524">
                  <c:v>1048</c:v>
                </c:pt>
                <c:pt idx="525">
                  <c:v>1050</c:v>
                </c:pt>
                <c:pt idx="526">
                  <c:v>1052</c:v>
                </c:pt>
                <c:pt idx="527">
                  <c:v>1054</c:v>
                </c:pt>
                <c:pt idx="528">
                  <c:v>1056</c:v>
                </c:pt>
                <c:pt idx="529">
                  <c:v>1058</c:v>
                </c:pt>
                <c:pt idx="530">
                  <c:v>1060</c:v>
                </c:pt>
                <c:pt idx="531">
                  <c:v>1062</c:v>
                </c:pt>
                <c:pt idx="532">
                  <c:v>1064</c:v>
                </c:pt>
                <c:pt idx="533">
                  <c:v>1066</c:v>
                </c:pt>
                <c:pt idx="534">
                  <c:v>1068</c:v>
                </c:pt>
                <c:pt idx="535">
                  <c:v>1070</c:v>
                </c:pt>
                <c:pt idx="536">
                  <c:v>1072</c:v>
                </c:pt>
                <c:pt idx="537">
                  <c:v>1074</c:v>
                </c:pt>
                <c:pt idx="538">
                  <c:v>1076</c:v>
                </c:pt>
                <c:pt idx="539">
                  <c:v>1078</c:v>
                </c:pt>
                <c:pt idx="540">
                  <c:v>1080</c:v>
                </c:pt>
              </c:numCache>
            </c:numRef>
          </c:xVal>
          <c:yVal>
            <c:numRef>
              <c:f>Data!$O$2:$O$1001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numCache>
            </c:numRef>
          </c:yVal>
          <c:smooth val="1"/>
        </c:ser>
        <c:axId val="186393344"/>
        <c:axId val="186395264"/>
      </c:scatterChart>
      <c:valAx>
        <c:axId val="186393344"/>
        <c:scaling>
          <c:orientation val="minMax"/>
        </c:scaling>
        <c:axPos val="b"/>
        <c:title>
          <c:tx>
            <c:rich>
              <a:bodyPr/>
              <a:lstStyle/>
              <a:p>
                <a:pPr>
                  <a:defRPr sz="1000" b="1" i="0" u="none" strike="noStrike" baseline="0">
                    <a:solidFill>
                      <a:srgbClr val="000000"/>
                    </a:solidFill>
                    <a:latin typeface="Arial"/>
                    <a:ea typeface="Arial"/>
                    <a:cs typeface="Arial"/>
                  </a:defRPr>
                </a:pPr>
                <a:r>
                  <a:rPr lang="en-GB"/>
                  <a:t>BE / eV</a:t>
                </a:r>
              </a:p>
            </c:rich>
          </c:tx>
          <c:layout>
            <c:manualLayout>
              <c:xMode val="edge"/>
              <c:yMode val="edge"/>
              <c:x val="0.44777662874870733"/>
              <c:y val="0.94067796610169563"/>
            </c:manualLayout>
          </c:layout>
          <c:spPr>
            <a:noFill/>
            <a:ln w="25400">
              <a:noFill/>
            </a:ln>
          </c:spPr>
        </c:title>
        <c:numFmt formatCode="0.0" sourceLinked="0"/>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6395264"/>
        <c:crosses val="autoZero"/>
        <c:crossBetween val="midCat"/>
      </c:valAx>
      <c:valAx>
        <c:axId val="186395264"/>
        <c:scaling>
          <c:orientation val="minMax"/>
          <c:min val="0"/>
        </c:scaling>
        <c:axPos val="l"/>
        <c:title>
          <c:tx>
            <c:rich>
              <a:bodyPr/>
              <a:lstStyle/>
              <a:p>
                <a:pPr>
                  <a:defRPr sz="1000" b="0" i="0" u="none" strike="noStrike" baseline="0">
                    <a:solidFill>
                      <a:srgbClr val="000000"/>
                    </a:solidFill>
                    <a:latin typeface="Arial"/>
                    <a:ea typeface="Arial"/>
                    <a:cs typeface="Arial"/>
                  </a:defRPr>
                </a:pPr>
                <a:r>
                  <a:rPr lang="en-GB" sz="1000" b="0"/>
                  <a:t>Counts</a:t>
                </a:r>
              </a:p>
            </c:rich>
          </c:tx>
          <c:layout>
            <c:manualLayout>
              <c:xMode val="edge"/>
              <c:yMode val="edge"/>
              <c:x val="1.1375387797311285E-2"/>
              <c:y val="0.46271186440677964"/>
            </c:manualLayout>
          </c:layout>
          <c:spPr>
            <a:noFill/>
            <a:ln w="25400">
              <a:noFill/>
            </a:ln>
          </c:spPr>
        </c:title>
        <c:numFmt formatCode="General" sourceLinked="1"/>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6393344"/>
        <c:crosses val="autoZero"/>
        <c:crossBetween val="midCat"/>
      </c:valAx>
      <c:spPr>
        <a:noFill/>
        <a:ln w="12700">
          <a:solidFill>
            <a:srgbClr val="808080"/>
          </a:solidFill>
          <a:prstDash val="solid"/>
        </a:ln>
      </c:spPr>
    </c:plotArea>
    <c:legend>
      <c:legendPos val="r"/>
      <c:layout>
        <c:manualLayout>
          <c:xMode val="edge"/>
          <c:yMode val="edge"/>
          <c:x val="0.89968976215098262"/>
          <c:y val="0.28813559322033899"/>
          <c:w val="9.8241985522233746E-2"/>
          <c:h val="0.42881355932203535"/>
        </c:manualLayout>
      </c:layout>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8.5237292597991066E-2"/>
          <c:y val="0.12372881355932204"/>
          <c:w val="0.7835229231299532"/>
          <c:h val="0.76779661016949741"/>
        </c:manualLayout>
      </c:layout>
      <c:scatterChart>
        <c:scatterStyle val="smoothMarker"/>
        <c:ser>
          <c:idx val="1"/>
          <c:order val="0"/>
          <c:tx>
            <c:strRef>
              <c:f>Shirley!$B$1</c:f>
              <c:strCache>
                <c:ptCount val="1"/>
                <c:pt idx="0">
                  <c:v>Test Data</c:v>
                </c:pt>
              </c:strCache>
            </c:strRef>
          </c:tx>
          <c:spPr>
            <a:ln w="12700">
              <a:solidFill>
                <a:srgbClr val="FF00FF"/>
              </a:solidFill>
              <a:prstDash val="solid"/>
            </a:ln>
          </c:spPr>
          <c:marker>
            <c:symbol val="none"/>
          </c:marker>
          <c:xVal>
            <c:numRef>
              <c:f>Shirley!$A$2:$A$500</c:f>
              <c:numCache>
                <c:formatCode>0.00</c:formatCode>
                <c:ptCount val="4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numCache>
            </c:numRef>
          </c:xVal>
          <c:yVal>
            <c:numRef>
              <c:f>Shirley!$B$2:$B$500</c:f>
              <c:numCache>
                <c:formatCode>General</c:formatCode>
                <c:ptCount val="4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1</c:v>
                </c:pt>
                <c:pt idx="49">
                  <c:v>2</c:v>
                </c:pt>
                <c:pt idx="50">
                  <c:v>2</c:v>
                </c:pt>
                <c:pt idx="51">
                  <c:v>2</c:v>
                </c:pt>
                <c:pt idx="52">
                  <c:v>2</c:v>
                </c:pt>
                <c:pt idx="53">
                  <c:v>2</c:v>
                </c:pt>
                <c:pt idx="54">
                  <c:v>2</c:v>
                </c:pt>
                <c:pt idx="55">
                  <c:v>2</c:v>
                </c:pt>
                <c:pt idx="56">
                  <c:v>2</c:v>
                </c:pt>
                <c:pt idx="57">
                  <c:v>2</c:v>
                </c:pt>
                <c:pt idx="58">
                  <c:v>3</c:v>
                </c:pt>
                <c:pt idx="59">
                  <c:v>3</c:v>
                </c:pt>
                <c:pt idx="60">
                  <c:v>3</c:v>
                </c:pt>
                <c:pt idx="61">
                  <c:v>3</c:v>
                </c:pt>
                <c:pt idx="62">
                  <c:v>3</c:v>
                </c:pt>
                <c:pt idx="63">
                  <c:v>3</c:v>
                </c:pt>
                <c:pt idx="64">
                  <c:v>3</c:v>
                </c:pt>
                <c:pt idx="65">
                  <c:v>3</c:v>
                </c:pt>
                <c:pt idx="66">
                  <c:v>3</c:v>
                </c:pt>
                <c:pt idx="67">
                  <c:v>4</c:v>
                </c:pt>
                <c:pt idx="68">
                  <c:v>4</c:v>
                </c:pt>
                <c:pt idx="69">
                  <c:v>4</c:v>
                </c:pt>
                <c:pt idx="70">
                  <c:v>4</c:v>
                </c:pt>
                <c:pt idx="71">
                  <c:v>4</c:v>
                </c:pt>
                <c:pt idx="72">
                  <c:v>4</c:v>
                </c:pt>
                <c:pt idx="73">
                  <c:v>5</c:v>
                </c:pt>
                <c:pt idx="74">
                  <c:v>5</c:v>
                </c:pt>
                <c:pt idx="75">
                  <c:v>5</c:v>
                </c:pt>
                <c:pt idx="76">
                  <c:v>5</c:v>
                </c:pt>
                <c:pt idx="77">
                  <c:v>5</c:v>
                </c:pt>
                <c:pt idx="78">
                  <c:v>5</c:v>
                </c:pt>
                <c:pt idx="79">
                  <c:v>5</c:v>
                </c:pt>
                <c:pt idx="80">
                  <c:v>6</c:v>
                </c:pt>
                <c:pt idx="81">
                  <c:v>6</c:v>
                </c:pt>
                <c:pt idx="82">
                  <c:v>6</c:v>
                </c:pt>
                <c:pt idx="83">
                  <c:v>6</c:v>
                </c:pt>
                <c:pt idx="84">
                  <c:v>6</c:v>
                </c:pt>
                <c:pt idx="85">
                  <c:v>6</c:v>
                </c:pt>
                <c:pt idx="86">
                  <c:v>7</c:v>
                </c:pt>
                <c:pt idx="87">
                  <c:v>7</c:v>
                </c:pt>
                <c:pt idx="88">
                  <c:v>7</c:v>
                </c:pt>
                <c:pt idx="89">
                  <c:v>7</c:v>
                </c:pt>
                <c:pt idx="90">
                  <c:v>7</c:v>
                </c:pt>
                <c:pt idx="91">
                  <c:v>7</c:v>
                </c:pt>
                <c:pt idx="92">
                  <c:v>7</c:v>
                </c:pt>
                <c:pt idx="93">
                  <c:v>7</c:v>
                </c:pt>
                <c:pt idx="94">
                  <c:v>8</c:v>
                </c:pt>
                <c:pt idx="95">
                  <c:v>8</c:v>
                </c:pt>
                <c:pt idx="96">
                  <c:v>8</c:v>
                </c:pt>
                <c:pt idx="97">
                  <c:v>8</c:v>
                </c:pt>
                <c:pt idx="98">
                  <c:v>8</c:v>
                </c:pt>
                <c:pt idx="99">
                  <c:v>8</c:v>
                </c:pt>
                <c:pt idx="100">
                  <c:v>9</c:v>
                </c:pt>
                <c:pt idx="101">
                  <c:v>9</c:v>
                </c:pt>
                <c:pt idx="102">
                  <c:v>9</c:v>
                </c:pt>
                <c:pt idx="103">
                  <c:v>9</c:v>
                </c:pt>
                <c:pt idx="104">
                  <c:v>9</c:v>
                </c:pt>
                <c:pt idx="105">
                  <c:v>9</c:v>
                </c:pt>
                <c:pt idx="106">
                  <c:v>10</c:v>
                </c:pt>
                <c:pt idx="107">
                  <c:v>10</c:v>
                </c:pt>
                <c:pt idx="108">
                  <c:v>10</c:v>
                </c:pt>
                <c:pt idx="109">
                  <c:v>10</c:v>
                </c:pt>
                <c:pt idx="110">
                  <c:v>10</c:v>
                </c:pt>
                <c:pt idx="111">
                  <c:v>11</c:v>
                </c:pt>
                <c:pt idx="112">
                  <c:v>11</c:v>
                </c:pt>
                <c:pt idx="113">
                  <c:v>11</c:v>
                </c:pt>
                <c:pt idx="114">
                  <c:v>11</c:v>
                </c:pt>
                <c:pt idx="115">
                  <c:v>11</c:v>
                </c:pt>
                <c:pt idx="116">
                  <c:v>11</c:v>
                </c:pt>
                <c:pt idx="117">
                  <c:v>12</c:v>
                </c:pt>
                <c:pt idx="118">
                  <c:v>12</c:v>
                </c:pt>
                <c:pt idx="119">
                  <c:v>12</c:v>
                </c:pt>
                <c:pt idx="120">
                  <c:v>12</c:v>
                </c:pt>
                <c:pt idx="121">
                  <c:v>12</c:v>
                </c:pt>
                <c:pt idx="122">
                  <c:v>13</c:v>
                </c:pt>
                <c:pt idx="123">
                  <c:v>13</c:v>
                </c:pt>
                <c:pt idx="124">
                  <c:v>13</c:v>
                </c:pt>
                <c:pt idx="125">
                  <c:v>13</c:v>
                </c:pt>
                <c:pt idx="126">
                  <c:v>13</c:v>
                </c:pt>
                <c:pt idx="127">
                  <c:v>13</c:v>
                </c:pt>
                <c:pt idx="128">
                  <c:v>14</c:v>
                </c:pt>
                <c:pt idx="129">
                  <c:v>14</c:v>
                </c:pt>
                <c:pt idx="130">
                  <c:v>14</c:v>
                </c:pt>
                <c:pt idx="131">
                  <c:v>14</c:v>
                </c:pt>
                <c:pt idx="132">
                  <c:v>14</c:v>
                </c:pt>
                <c:pt idx="133">
                  <c:v>15</c:v>
                </c:pt>
                <c:pt idx="134">
                  <c:v>15</c:v>
                </c:pt>
                <c:pt idx="135">
                  <c:v>15</c:v>
                </c:pt>
                <c:pt idx="136">
                  <c:v>15</c:v>
                </c:pt>
                <c:pt idx="137">
                  <c:v>15</c:v>
                </c:pt>
                <c:pt idx="138">
                  <c:v>15</c:v>
                </c:pt>
                <c:pt idx="139">
                  <c:v>16</c:v>
                </c:pt>
                <c:pt idx="140">
                  <c:v>16</c:v>
                </c:pt>
                <c:pt idx="141">
                  <c:v>16</c:v>
                </c:pt>
                <c:pt idx="142">
                  <c:v>16</c:v>
                </c:pt>
                <c:pt idx="143">
                  <c:v>16</c:v>
                </c:pt>
                <c:pt idx="144">
                  <c:v>17</c:v>
                </c:pt>
                <c:pt idx="145">
                  <c:v>17</c:v>
                </c:pt>
                <c:pt idx="146">
                  <c:v>17</c:v>
                </c:pt>
                <c:pt idx="147">
                  <c:v>17</c:v>
                </c:pt>
                <c:pt idx="148">
                  <c:v>17</c:v>
                </c:pt>
                <c:pt idx="149">
                  <c:v>18</c:v>
                </c:pt>
                <c:pt idx="150">
                  <c:v>18</c:v>
                </c:pt>
                <c:pt idx="151">
                  <c:v>18</c:v>
                </c:pt>
                <c:pt idx="152">
                  <c:v>18</c:v>
                </c:pt>
                <c:pt idx="153">
                  <c:v>18</c:v>
                </c:pt>
                <c:pt idx="154">
                  <c:v>18</c:v>
                </c:pt>
                <c:pt idx="155">
                  <c:v>19</c:v>
                </c:pt>
                <c:pt idx="156">
                  <c:v>19</c:v>
                </c:pt>
                <c:pt idx="157">
                  <c:v>19</c:v>
                </c:pt>
                <c:pt idx="158">
                  <c:v>19</c:v>
                </c:pt>
                <c:pt idx="159">
                  <c:v>19</c:v>
                </c:pt>
                <c:pt idx="160">
                  <c:v>20</c:v>
                </c:pt>
                <c:pt idx="161">
                  <c:v>20</c:v>
                </c:pt>
                <c:pt idx="162">
                  <c:v>20</c:v>
                </c:pt>
                <c:pt idx="163">
                  <c:v>20</c:v>
                </c:pt>
                <c:pt idx="164">
                  <c:v>20</c:v>
                </c:pt>
                <c:pt idx="165">
                  <c:v>21</c:v>
                </c:pt>
                <c:pt idx="166">
                  <c:v>21</c:v>
                </c:pt>
                <c:pt idx="167">
                  <c:v>21</c:v>
                </c:pt>
                <c:pt idx="168">
                  <c:v>21</c:v>
                </c:pt>
                <c:pt idx="169">
                  <c:v>21</c:v>
                </c:pt>
                <c:pt idx="170">
                  <c:v>22</c:v>
                </c:pt>
                <c:pt idx="171">
                  <c:v>22</c:v>
                </c:pt>
                <c:pt idx="172">
                  <c:v>22</c:v>
                </c:pt>
                <c:pt idx="173">
                  <c:v>22</c:v>
                </c:pt>
                <c:pt idx="174">
                  <c:v>22</c:v>
                </c:pt>
                <c:pt idx="175">
                  <c:v>23</c:v>
                </c:pt>
                <c:pt idx="176">
                  <c:v>23</c:v>
                </c:pt>
                <c:pt idx="177">
                  <c:v>23</c:v>
                </c:pt>
                <c:pt idx="178">
                  <c:v>23</c:v>
                </c:pt>
                <c:pt idx="179">
                  <c:v>23</c:v>
                </c:pt>
                <c:pt idx="180">
                  <c:v>24</c:v>
                </c:pt>
                <c:pt idx="181">
                  <c:v>24</c:v>
                </c:pt>
                <c:pt idx="182">
                  <c:v>24</c:v>
                </c:pt>
                <c:pt idx="183">
                  <c:v>24</c:v>
                </c:pt>
                <c:pt idx="184">
                  <c:v>25</c:v>
                </c:pt>
                <c:pt idx="185">
                  <c:v>25</c:v>
                </c:pt>
                <c:pt idx="186">
                  <c:v>25</c:v>
                </c:pt>
                <c:pt idx="187">
                  <c:v>25</c:v>
                </c:pt>
                <c:pt idx="188">
                  <c:v>25</c:v>
                </c:pt>
                <c:pt idx="189">
                  <c:v>26</c:v>
                </c:pt>
                <c:pt idx="190">
                  <c:v>26</c:v>
                </c:pt>
                <c:pt idx="191">
                  <c:v>26</c:v>
                </c:pt>
                <c:pt idx="192">
                  <c:v>26</c:v>
                </c:pt>
                <c:pt idx="193">
                  <c:v>26</c:v>
                </c:pt>
                <c:pt idx="194">
                  <c:v>27</c:v>
                </c:pt>
                <c:pt idx="195">
                  <c:v>27</c:v>
                </c:pt>
                <c:pt idx="196">
                  <c:v>27</c:v>
                </c:pt>
                <c:pt idx="197">
                  <c:v>27</c:v>
                </c:pt>
                <c:pt idx="198">
                  <c:v>28</c:v>
                </c:pt>
                <c:pt idx="199">
                  <c:v>28</c:v>
                </c:pt>
                <c:pt idx="200">
                  <c:v>28</c:v>
                </c:pt>
                <c:pt idx="201">
                  <c:v>28</c:v>
                </c:pt>
                <c:pt idx="202">
                  <c:v>29</c:v>
                </c:pt>
                <c:pt idx="203">
                  <c:v>29</c:v>
                </c:pt>
                <c:pt idx="204">
                  <c:v>29</c:v>
                </c:pt>
                <c:pt idx="205">
                  <c:v>29</c:v>
                </c:pt>
                <c:pt idx="206">
                  <c:v>29</c:v>
                </c:pt>
                <c:pt idx="207">
                  <c:v>30</c:v>
                </c:pt>
                <c:pt idx="208">
                  <c:v>30</c:v>
                </c:pt>
                <c:pt idx="209">
                  <c:v>30</c:v>
                </c:pt>
                <c:pt idx="210">
                  <c:v>30</c:v>
                </c:pt>
                <c:pt idx="211">
                  <c:v>31</c:v>
                </c:pt>
                <c:pt idx="212">
                  <c:v>31</c:v>
                </c:pt>
                <c:pt idx="213">
                  <c:v>31</c:v>
                </c:pt>
                <c:pt idx="214">
                  <c:v>31</c:v>
                </c:pt>
                <c:pt idx="215">
                  <c:v>32</c:v>
                </c:pt>
                <c:pt idx="216">
                  <c:v>32</c:v>
                </c:pt>
                <c:pt idx="217">
                  <c:v>32</c:v>
                </c:pt>
                <c:pt idx="218">
                  <c:v>32</c:v>
                </c:pt>
                <c:pt idx="219">
                  <c:v>33</c:v>
                </c:pt>
                <c:pt idx="220">
                  <c:v>33</c:v>
                </c:pt>
                <c:pt idx="221">
                  <c:v>33</c:v>
                </c:pt>
                <c:pt idx="222">
                  <c:v>33</c:v>
                </c:pt>
                <c:pt idx="223">
                  <c:v>34</c:v>
                </c:pt>
                <c:pt idx="224">
                  <c:v>34</c:v>
                </c:pt>
                <c:pt idx="225">
                  <c:v>34</c:v>
                </c:pt>
                <c:pt idx="226">
                  <c:v>35</c:v>
                </c:pt>
                <c:pt idx="227">
                  <c:v>35</c:v>
                </c:pt>
                <c:pt idx="228">
                  <c:v>35</c:v>
                </c:pt>
                <c:pt idx="229">
                  <c:v>35</c:v>
                </c:pt>
                <c:pt idx="230">
                  <c:v>36</c:v>
                </c:pt>
                <c:pt idx="231">
                  <c:v>36</c:v>
                </c:pt>
                <c:pt idx="232">
                  <c:v>36</c:v>
                </c:pt>
                <c:pt idx="233">
                  <c:v>37</c:v>
                </c:pt>
                <c:pt idx="234">
                  <c:v>37</c:v>
                </c:pt>
                <c:pt idx="235">
                  <c:v>37</c:v>
                </c:pt>
                <c:pt idx="236">
                  <c:v>37</c:v>
                </c:pt>
                <c:pt idx="237">
                  <c:v>38</c:v>
                </c:pt>
                <c:pt idx="238">
                  <c:v>38</c:v>
                </c:pt>
                <c:pt idx="239">
                  <c:v>38</c:v>
                </c:pt>
                <c:pt idx="240">
                  <c:v>38</c:v>
                </c:pt>
                <c:pt idx="241">
                  <c:v>39</c:v>
                </c:pt>
                <c:pt idx="242">
                  <c:v>39</c:v>
                </c:pt>
                <c:pt idx="243">
                  <c:v>39</c:v>
                </c:pt>
                <c:pt idx="244">
                  <c:v>39</c:v>
                </c:pt>
                <c:pt idx="245">
                  <c:v>39</c:v>
                </c:pt>
                <c:pt idx="246">
                  <c:v>39</c:v>
                </c:pt>
                <c:pt idx="247">
                  <c:v>39</c:v>
                </c:pt>
                <c:pt idx="248">
                  <c:v>40</c:v>
                </c:pt>
                <c:pt idx="249">
                  <c:v>40</c:v>
                </c:pt>
                <c:pt idx="250">
                  <c:v>40</c:v>
                </c:pt>
                <c:pt idx="251">
                  <c:v>40</c:v>
                </c:pt>
                <c:pt idx="252">
                  <c:v>40</c:v>
                </c:pt>
                <c:pt idx="253">
                  <c:v>40</c:v>
                </c:pt>
                <c:pt idx="254">
                  <c:v>40</c:v>
                </c:pt>
                <c:pt idx="255">
                  <c:v>40</c:v>
                </c:pt>
                <c:pt idx="256">
                  <c:v>40</c:v>
                </c:pt>
                <c:pt idx="257">
                  <c:v>40</c:v>
                </c:pt>
                <c:pt idx="258">
                  <c:v>40</c:v>
                </c:pt>
                <c:pt idx="259">
                  <c:v>40</c:v>
                </c:pt>
                <c:pt idx="260">
                  <c:v>41</c:v>
                </c:pt>
                <c:pt idx="261">
                  <c:v>41</c:v>
                </c:pt>
                <c:pt idx="262">
                  <c:v>41</c:v>
                </c:pt>
                <c:pt idx="263">
                  <c:v>41</c:v>
                </c:pt>
                <c:pt idx="264">
                  <c:v>42</c:v>
                </c:pt>
                <c:pt idx="265">
                  <c:v>42</c:v>
                </c:pt>
                <c:pt idx="266">
                  <c:v>42</c:v>
                </c:pt>
                <c:pt idx="267">
                  <c:v>42</c:v>
                </c:pt>
                <c:pt idx="268">
                  <c:v>42</c:v>
                </c:pt>
                <c:pt idx="269">
                  <c:v>43</c:v>
                </c:pt>
                <c:pt idx="270">
                  <c:v>43</c:v>
                </c:pt>
                <c:pt idx="271">
                  <c:v>43</c:v>
                </c:pt>
                <c:pt idx="272">
                  <c:v>43</c:v>
                </c:pt>
                <c:pt idx="273">
                  <c:v>44</c:v>
                </c:pt>
                <c:pt idx="274">
                  <c:v>44</c:v>
                </c:pt>
                <c:pt idx="275">
                  <c:v>44</c:v>
                </c:pt>
                <c:pt idx="276">
                  <c:v>44</c:v>
                </c:pt>
                <c:pt idx="277">
                  <c:v>44</c:v>
                </c:pt>
                <c:pt idx="278">
                  <c:v>45</c:v>
                </c:pt>
                <c:pt idx="279">
                  <c:v>45</c:v>
                </c:pt>
                <c:pt idx="280">
                  <c:v>45</c:v>
                </c:pt>
                <c:pt idx="281">
                  <c:v>45</c:v>
                </c:pt>
                <c:pt idx="282">
                  <c:v>45</c:v>
                </c:pt>
                <c:pt idx="283">
                  <c:v>45</c:v>
                </c:pt>
                <c:pt idx="284">
                  <c:v>46</c:v>
                </c:pt>
                <c:pt idx="285">
                  <c:v>46</c:v>
                </c:pt>
                <c:pt idx="286">
                  <c:v>46</c:v>
                </c:pt>
                <c:pt idx="287">
                  <c:v>46</c:v>
                </c:pt>
                <c:pt idx="288">
                  <c:v>46</c:v>
                </c:pt>
                <c:pt idx="289">
                  <c:v>46</c:v>
                </c:pt>
                <c:pt idx="290">
                  <c:v>46</c:v>
                </c:pt>
                <c:pt idx="291">
                  <c:v>46</c:v>
                </c:pt>
                <c:pt idx="292">
                  <c:v>46</c:v>
                </c:pt>
                <c:pt idx="293">
                  <c:v>47</c:v>
                </c:pt>
                <c:pt idx="294">
                  <c:v>47</c:v>
                </c:pt>
                <c:pt idx="295">
                  <c:v>47</c:v>
                </c:pt>
                <c:pt idx="296">
                  <c:v>47</c:v>
                </c:pt>
                <c:pt idx="297">
                  <c:v>47</c:v>
                </c:pt>
                <c:pt idx="298">
                  <c:v>47</c:v>
                </c:pt>
                <c:pt idx="299">
                  <c:v>47</c:v>
                </c:pt>
                <c:pt idx="300">
                  <c:v>47</c:v>
                </c:pt>
                <c:pt idx="301">
                  <c:v>47</c:v>
                </c:pt>
                <c:pt idx="302">
                  <c:v>47</c:v>
                </c:pt>
                <c:pt idx="303">
                  <c:v>47</c:v>
                </c:pt>
                <c:pt idx="304">
                  <c:v>47</c:v>
                </c:pt>
                <c:pt idx="305">
                  <c:v>47</c:v>
                </c:pt>
                <c:pt idx="306">
                  <c:v>47</c:v>
                </c:pt>
                <c:pt idx="307">
                  <c:v>47</c:v>
                </c:pt>
                <c:pt idx="308">
                  <c:v>47</c:v>
                </c:pt>
                <c:pt idx="309">
                  <c:v>47</c:v>
                </c:pt>
                <c:pt idx="310">
                  <c:v>47</c:v>
                </c:pt>
                <c:pt idx="311">
                  <c:v>47</c:v>
                </c:pt>
                <c:pt idx="312">
                  <c:v>47</c:v>
                </c:pt>
                <c:pt idx="313">
                  <c:v>47</c:v>
                </c:pt>
                <c:pt idx="314">
                  <c:v>47</c:v>
                </c:pt>
                <c:pt idx="315">
                  <c:v>47</c:v>
                </c:pt>
                <c:pt idx="316">
                  <c:v>47</c:v>
                </c:pt>
                <c:pt idx="317">
                  <c:v>47</c:v>
                </c:pt>
                <c:pt idx="318">
                  <c:v>47</c:v>
                </c:pt>
                <c:pt idx="319">
                  <c:v>47</c:v>
                </c:pt>
                <c:pt idx="320">
                  <c:v>47</c:v>
                </c:pt>
                <c:pt idx="321">
                  <c:v>47</c:v>
                </c:pt>
                <c:pt idx="322">
                  <c:v>47</c:v>
                </c:pt>
                <c:pt idx="323">
                  <c:v>47</c:v>
                </c:pt>
                <c:pt idx="324">
                  <c:v>47</c:v>
                </c:pt>
                <c:pt idx="325">
                  <c:v>47</c:v>
                </c:pt>
                <c:pt idx="326">
                  <c:v>47</c:v>
                </c:pt>
                <c:pt idx="327">
                  <c:v>47</c:v>
                </c:pt>
                <c:pt idx="328">
                  <c:v>47</c:v>
                </c:pt>
                <c:pt idx="329">
                  <c:v>47</c:v>
                </c:pt>
                <c:pt idx="330">
                  <c:v>47</c:v>
                </c:pt>
                <c:pt idx="331">
                  <c:v>47</c:v>
                </c:pt>
                <c:pt idx="332">
                  <c:v>47</c:v>
                </c:pt>
                <c:pt idx="333">
                  <c:v>47</c:v>
                </c:pt>
                <c:pt idx="334">
                  <c:v>47</c:v>
                </c:pt>
                <c:pt idx="335">
                  <c:v>47</c:v>
                </c:pt>
                <c:pt idx="336">
                  <c:v>47</c:v>
                </c:pt>
                <c:pt idx="337">
                  <c:v>47</c:v>
                </c:pt>
                <c:pt idx="338">
                  <c:v>47</c:v>
                </c:pt>
                <c:pt idx="339">
                  <c:v>47</c:v>
                </c:pt>
                <c:pt idx="340">
                  <c:v>47</c:v>
                </c:pt>
                <c:pt idx="341">
                  <c:v>47</c:v>
                </c:pt>
                <c:pt idx="342">
                  <c:v>47</c:v>
                </c:pt>
                <c:pt idx="343">
                  <c:v>47</c:v>
                </c:pt>
                <c:pt idx="344">
                  <c:v>47</c:v>
                </c:pt>
                <c:pt idx="345">
                  <c:v>47</c:v>
                </c:pt>
                <c:pt idx="346">
                  <c:v>47</c:v>
                </c:pt>
                <c:pt idx="347">
                  <c:v>47</c:v>
                </c:pt>
                <c:pt idx="348">
                  <c:v>47</c:v>
                </c:pt>
                <c:pt idx="349">
                  <c:v>47</c:v>
                </c:pt>
                <c:pt idx="350">
                  <c:v>48</c:v>
                </c:pt>
                <c:pt idx="351">
                  <c:v>48</c:v>
                </c:pt>
                <c:pt idx="352">
                  <c:v>48</c:v>
                </c:pt>
                <c:pt idx="353">
                  <c:v>48</c:v>
                </c:pt>
                <c:pt idx="354">
                  <c:v>47</c:v>
                </c:pt>
                <c:pt idx="355">
                  <c:v>47</c:v>
                </c:pt>
                <c:pt idx="356">
                  <c:v>47</c:v>
                </c:pt>
                <c:pt idx="357">
                  <c:v>47</c:v>
                </c:pt>
                <c:pt idx="358">
                  <c:v>47</c:v>
                </c:pt>
                <c:pt idx="359">
                  <c:v>47</c:v>
                </c:pt>
                <c:pt idx="360">
                  <c:v>47</c:v>
                </c:pt>
                <c:pt idx="361">
                  <c:v>47</c:v>
                </c:pt>
                <c:pt idx="362">
                  <c:v>47</c:v>
                </c:pt>
                <c:pt idx="363">
                  <c:v>47</c:v>
                </c:pt>
                <c:pt idx="364">
                  <c:v>47</c:v>
                </c:pt>
                <c:pt idx="365">
                  <c:v>47</c:v>
                </c:pt>
                <c:pt idx="366">
                  <c:v>47</c:v>
                </c:pt>
                <c:pt idx="367">
                  <c:v>47</c:v>
                </c:pt>
                <c:pt idx="368">
                  <c:v>47</c:v>
                </c:pt>
                <c:pt idx="369">
                  <c:v>47</c:v>
                </c:pt>
                <c:pt idx="370">
                  <c:v>47</c:v>
                </c:pt>
                <c:pt idx="371">
                  <c:v>47</c:v>
                </c:pt>
                <c:pt idx="372">
                  <c:v>47</c:v>
                </c:pt>
                <c:pt idx="373">
                  <c:v>47</c:v>
                </c:pt>
                <c:pt idx="374">
                  <c:v>47</c:v>
                </c:pt>
                <c:pt idx="375">
                  <c:v>47</c:v>
                </c:pt>
                <c:pt idx="376">
                  <c:v>47</c:v>
                </c:pt>
                <c:pt idx="377">
                  <c:v>47</c:v>
                </c:pt>
                <c:pt idx="378">
                  <c:v>47</c:v>
                </c:pt>
                <c:pt idx="379">
                  <c:v>47</c:v>
                </c:pt>
                <c:pt idx="380">
                  <c:v>47</c:v>
                </c:pt>
                <c:pt idx="381">
                  <c:v>47</c:v>
                </c:pt>
                <c:pt idx="382">
                  <c:v>47</c:v>
                </c:pt>
                <c:pt idx="383">
                  <c:v>47</c:v>
                </c:pt>
                <c:pt idx="384">
                  <c:v>47</c:v>
                </c:pt>
                <c:pt idx="385">
                  <c:v>47</c:v>
                </c:pt>
                <c:pt idx="386">
                  <c:v>47</c:v>
                </c:pt>
                <c:pt idx="387">
                  <c:v>47</c:v>
                </c:pt>
                <c:pt idx="388">
                  <c:v>47</c:v>
                </c:pt>
                <c:pt idx="389">
                  <c:v>47</c:v>
                </c:pt>
                <c:pt idx="390">
                  <c:v>47</c:v>
                </c:pt>
                <c:pt idx="391">
                  <c:v>47</c:v>
                </c:pt>
                <c:pt idx="392">
                  <c:v>46</c:v>
                </c:pt>
                <c:pt idx="393">
                  <c:v>46</c:v>
                </c:pt>
                <c:pt idx="394">
                  <c:v>46</c:v>
                </c:pt>
                <c:pt idx="395">
                  <c:v>46</c:v>
                </c:pt>
                <c:pt idx="396">
                  <c:v>46</c:v>
                </c:pt>
                <c:pt idx="397">
                  <c:v>46</c:v>
                </c:pt>
                <c:pt idx="398">
                  <c:v>46</c:v>
                </c:pt>
                <c:pt idx="399">
                  <c:v>46</c:v>
                </c:pt>
                <c:pt idx="400">
                  <c:v>46</c:v>
                </c:pt>
                <c:pt idx="401">
                  <c:v>45</c:v>
                </c:pt>
                <c:pt idx="402">
                  <c:v>45</c:v>
                </c:pt>
                <c:pt idx="403">
                  <c:v>45</c:v>
                </c:pt>
                <c:pt idx="404">
                  <c:v>45</c:v>
                </c:pt>
                <c:pt idx="405">
                  <c:v>45</c:v>
                </c:pt>
                <c:pt idx="406">
                  <c:v>45</c:v>
                </c:pt>
                <c:pt idx="407">
                  <c:v>44</c:v>
                </c:pt>
                <c:pt idx="408">
                  <c:v>44</c:v>
                </c:pt>
                <c:pt idx="409">
                  <c:v>44</c:v>
                </c:pt>
                <c:pt idx="410">
                  <c:v>44</c:v>
                </c:pt>
                <c:pt idx="411">
                  <c:v>44</c:v>
                </c:pt>
                <c:pt idx="412">
                  <c:v>43</c:v>
                </c:pt>
                <c:pt idx="413">
                  <c:v>43</c:v>
                </c:pt>
                <c:pt idx="414">
                  <c:v>43</c:v>
                </c:pt>
                <c:pt idx="415">
                  <c:v>43</c:v>
                </c:pt>
                <c:pt idx="416">
                  <c:v>43</c:v>
                </c:pt>
                <c:pt idx="417">
                  <c:v>42</c:v>
                </c:pt>
                <c:pt idx="418">
                  <c:v>42</c:v>
                </c:pt>
                <c:pt idx="419">
                  <c:v>42</c:v>
                </c:pt>
                <c:pt idx="420">
                  <c:v>42</c:v>
                </c:pt>
                <c:pt idx="421">
                  <c:v>42</c:v>
                </c:pt>
                <c:pt idx="422">
                  <c:v>41</c:v>
                </c:pt>
                <c:pt idx="423">
                  <c:v>41</c:v>
                </c:pt>
                <c:pt idx="424">
                  <c:v>41</c:v>
                </c:pt>
                <c:pt idx="425">
                  <c:v>41</c:v>
                </c:pt>
                <c:pt idx="426">
                  <c:v>40</c:v>
                </c:pt>
                <c:pt idx="427">
                  <c:v>40</c:v>
                </c:pt>
                <c:pt idx="428">
                  <c:v>40</c:v>
                </c:pt>
                <c:pt idx="429">
                  <c:v>40</c:v>
                </c:pt>
                <c:pt idx="430">
                  <c:v>39</c:v>
                </c:pt>
                <c:pt idx="431">
                  <c:v>39</c:v>
                </c:pt>
                <c:pt idx="432">
                  <c:v>39</c:v>
                </c:pt>
                <c:pt idx="433">
                  <c:v>39</c:v>
                </c:pt>
                <c:pt idx="434">
                  <c:v>38</c:v>
                </c:pt>
                <c:pt idx="435">
                  <c:v>38</c:v>
                </c:pt>
                <c:pt idx="436">
                  <c:v>38</c:v>
                </c:pt>
                <c:pt idx="437">
                  <c:v>38</c:v>
                </c:pt>
                <c:pt idx="438">
                  <c:v>38</c:v>
                </c:pt>
                <c:pt idx="439">
                  <c:v>37</c:v>
                </c:pt>
                <c:pt idx="440">
                  <c:v>37</c:v>
                </c:pt>
                <c:pt idx="441">
                  <c:v>37</c:v>
                </c:pt>
                <c:pt idx="442">
                  <c:v>37</c:v>
                </c:pt>
                <c:pt idx="443">
                  <c:v>36</c:v>
                </c:pt>
                <c:pt idx="444">
                  <c:v>36</c:v>
                </c:pt>
                <c:pt idx="445">
                  <c:v>36</c:v>
                </c:pt>
                <c:pt idx="446">
                  <c:v>36</c:v>
                </c:pt>
                <c:pt idx="447">
                  <c:v>36</c:v>
                </c:pt>
                <c:pt idx="448">
                  <c:v>35</c:v>
                </c:pt>
                <c:pt idx="449">
                  <c:v>35</c:v>
                </c:pt>
                <c:pt idx="450">
                  <c:v>35</c:v>
                </c:pt>
                <c:pt idx="451">
                  <c:v>34</c:v>
                </c:pt>
                <c:pt idx="452">
                  <c:v>34</c:v>
                </c:pt>
                <c:pt idx="453">
                  <c:v>34</c:v>
                </c:pt>
                <c:pt idx="454">
                  <c:v>34</c:v>
                </c:pt>
                <c:pt idx="455">
                  <c:v>34</c:v>
                </c:pt>
                <c:pt idx="456">
                  <c:v>33</c:v>
                </c:pt>
                <c:pt idx="457">
                  <c:v>33</c:v>
                </c:pt>
                <c:pt idx="458">
                  <c:v>33</c:v>
                </c:pt>
                <c:pt idx="459">
                  <c:v>33</c:v>
                </c:pt>
                <c:pt idx="460">
                  <c:v>32</c:v>
                </c:pt>
                <c:pt idx="461">
                  <c:v>32</c:v>
                </c:pt>
                <c:pt idx="462">
                  <c:v>32</c:v>
                </c:pt>
                <c:pt idx="463">
                  <c:v>32</c:v>
                </c:pt>
                <c:pt idx="464">
                  <c:v>31</c:v>
                </c:pt>
                <c:pt idx="465">
                  <c:v>31</c:v>
                </c:pt>
                <c:pt idx="466">
                  <c:v>31</c:v>
                </c:pt>
                <c:pt idx="467">
                  <c:v>31</c:v>
                </c:pt>
                <c:pt idx="468">
                  <c:v>31</c:v>
                </c:pt>
                <c:pt idx="469">
                  <c:v>30</c:v>
                </c:pt>
                <c:pt idx="470">
                  <c:v>30</c:v>
                </c:pt>
                <c:pt idx="471">
                  <c:v>30</c:v>
                </c:pt>
                <c:pt idx="472">
                  <c:v>30</c:v>
                </c:pt>
                <c:pt idx="473">
                  <c:v>29</c:v>
                </c:pt>
                <c:pt idx="474">
                  <c:v>29</c:v>
                </c:pt>
                <c:pt idx="475">
                  <c:v>29</c:v>
                </c:pt>
                <c:pt idx="476">
                  <c:v>29</c:v>
                </c:pt>
                <c:pt idx="477">
                  <c:v>28</c:v>
                </c:pt>
                <c:pt idx="478">
                  <c:v>28</c:v>
                </c:pt>
                <c:pt idx="479">
                  <c:v>28</c:v>
                </c:pt>
                <c:pt idx="480">
                  <c:v>28</c:v>
                </c:pt>
                <c:pt idx="481">
                  <c:v>28</c:v>
                </c:pt>
                <c:pt idx="482">
                  <c:v>27</c:v>
                </c:pt>
                <c:pt idx="483">
                  <c:v>27</c:v>
                </c:pt>
                <c:pt idx="484">
                  <c:v>27</c:v>
                </c:pt>
                <c:pt idx="485">
                  <c:v>27</c:v>
                </c:pt>
                <c:pt idx="486">
                  <c:v>26</c:v>
                </c:pt>
                <c:pt idx="487">
                  <c:v>26</c:v>
                </c:pt>
                <c:pt idx="488">
                  <c:v>26</c:v>
                </c:pt>
                <c:pt idx="489">
                  <c:v>26</c:v>
                </c:pt>
                <c:pt idx="490">
                  <c:v>26</c:v>
                </c:pt>
                <c:pt idx="491">
                  <c:v>25</c:v>
                </c:pt>
                <c:pt idx="492">
                  <c:v>25</c:v>
                </c:pt>
                <c:pt idx="493">
                  <c:v>25</c:v>
                </c:pt>
                <c:pt idx="494">
                  <c:v>25</c:v>
                </c:pt>
                <c:pt idx="495">
                  <c:v>24</c:v>
                </c:pt>
                <c:pt idx="496">
                  <c:v>24</c:v>
                </c:pt>
                <c:pt idx="497">
                  <c:v>24</c:v>
                </c:pt>
                <c:pt idx="498">
                  <c:v>24</c:v>
                </c:pt>
              </c:numCache>
            </c:numRef>
          </c:yVal>
        </c:ser>
        <c:ser>
          <c:idx val="0"/>
          <c:order val="1"/>
          <c:tx>
            <c:strRef>
              <c:f>Shirley!$D$1</c:f>
              <c:strCache>
                <c:ptCount val="1"/>
                <c:pt idx="0">
                  <c:v>Sh.Bkg.</c:v>
                </c:pt>
              </c:strCache>
            </c:strRef>
          </c:tx>
          <c:spPr>
            <a:ln w="12700">
              <a:solidFill>
                <a:srgbClr val="000080"/>
              </a:solidFill>
              <a:prstDash val="solid"/>
            </a:ln>
          </c:spPr>
          <c:marker>
            <c:symbol val="none"/>
          </c:marker>
          <c:xVal>
            <c:numRef>
              <c:f>Shirley!$A$2:$A$500</c:f>
              <c:numCache>
                <c:formatCode>0.00</c:formatCode>
                <c:ptCount val="4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numCache>
            </c:numRef>
          </c:xVal>
          <c:yVal>
            <c:numRef>
              <c:f>Shirley!$D$2:$D$500</c:f>
              <c:numCache>
                <c:formatCode>General</c:formatCode>
                <c:ptCount val="4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numCache>
            </c:numRef>
          </c:yVal>
        </c:ser>
        <c:axId val="234278912"/>
        <c:axId val="234281216"/>
      </c:scatterChart>
      <c:valAx>
        <c:axId val="234278912"/>
        <c:scaling>
          <c:orientation val="minMax"/>
        </c:scaling>
        <c:axPos val="b"/>
        <c:title>
          <c:tx>
            <c:rich>
              <a:bodyPr/>
              <a:lstStyle/>
              <a:p>
                <a:pPr>
                  <a:defRPr sz="1050" b="1" i="0" u="none" strike="noStrike" baseline="0">
                    <a:solidFill>
                      <a:srgbClr val="000000"/>
                    </a:solidFill>
                    <a:latin typeface="Arial"/>
                    <a:ea typeface="Arial"/>
                    <a:cs typeface="Arial"/>
                  </a:defRPr>
                </a:pPr>
                <a:r>
                  <a:rPr lang="en-GB" sz="1050" b="1"/>
                  <a:t>BE / eV</a:t>
                </a:r>
              </a:p>
            </c:rich>
          </c:tx>
          <c:layout>
            <c:manualLayout>
              <c:xMode val="edge"/>
              <c:yMode val="edge"/>
              <c:x val="0.43123061013443642"/>
              <c:y val="0.9440677966101696"/>
            </c:manualLayout>
          </c:layout>
          <c:spPr>
            <a:noFill/>
            <a:ln w="25400">
              <a:noFill/>
            </a:ln>
          </c:spPr>
        </c:title>
        <c:numFmt formatCode="0.0" sourceLinked="0"/>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4281216"/>
        <c:crosses val="autoZero"/>
        <c:crossBetween val="midCat"/>
      </c:valAx>
      <c:valAx>
        <c:axId val="234281216"/>
        <c:scaling>
          <c:orientation val="minMax"/>
        </c:scaling>
        <c:axPos val="l"/>
        <c:numFmt formatCode="General" sourceLinked="1"/>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4278912"/>
        <c:crosses val="autoZero"/>
        <c:crossBetween val="midCat"/>
      </c:valAx>
      <c:spPr>
        <a:noFill/>
        <a:ln w="12700">
          <a:solidFill>
            <a:srgbClr val="808080"/>
          </a:solidFill>
          <a:prstDash val="solid"/>
        </a:ln>
      </c:spPr>
    </c:plotArea>
    <c:legend>
      <c:legendPos val="r"/>
      <c:layout>
        <c:manualLayout>
          <c:xMode val="edge"/>
          <c:yMode val="edge"/>
          <c:x val="0.89968976215098262"/>
          <c:y val="0.47288135593220537"/>
          <c:w val="9.8241985522233746E-2"/>
          <c:h val="7.2881355932203393E-2"/>
        </c:manualLayout>
      </c:layout>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sheetPr codeName="Chart1"/>
  <sheetViews>
    <sheetView workbookViewId="0"/>
  </sheetViews>
  <pageMargins left="0.75" right="0.75" top="1" bottom="1" header="0.5" footer="0.5"/>
  <pageSetup paperSize="9" orientation="landscape" blackAndWhite="1" horizontalDpi="300" verticalDpi="300" r:id="rId1"/>
  <headerFooter alignWithMargins="0">
    <oddFooter>&amp;F</oddFooter>
  </headerFooter>
  <drawing r:id="rId2"/>
</chartsheet>
</file>

<file path=xl/chartsheets/sheet2.xml><?xml version="1.0" encoding="utf-8"?>
<chartsheet xmlns="http://schemas.openxmlformats.org/spreadsheetml/2006/main" xmlns:r="http://schemas.openxmlformats.org/officeDocument/2006/relationships">
  <sheetPr codeName="Chart2"/>
  <sheetViews>
    <sheetView workbookViewId="0"/>
  </sheetViews>
  <pageMargins left="0.75" right="0.75" top="1" bottom="1" header="0.5" footer="0.5"/>
  <headerFooter alignWithMargins="0">
    <oddHeader>&amp;A</oddHeader>
    <oddFooter>Page &amp;P</oddFooter>
  </headerFooter>
  <drawing r:id="rId1"/>
</chartsheet>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0</xdr:colOff>
      <xdr:row>30</xdr:row>
      <xdr:rowOff>0</xdr:rowOff>
    </xdr:to>
    <xdr:sp macro="" textlink="">
      <xdr:nvSpPr>
        <xdr:cNvPr id="1025" name="Text 1"/>
        <xdr:cNvSpPr txBox="1">
          <a:spLocks noChangeArrowheads="1"/>
        </xdr:cNvSpPr>
      </xdr:nvSpPr>
      <xdr:spPr bwMode="auto">
        <a:xfrm>
          <a:off x="0" y="0"/>
          <a:ext cx="5486400" cy="4857750"/>
        </a:xfrm>
        <a:prstGeom prst="rect">
          <a:avLst/>
        </a:prstGeom>
        <a:solidFill>
          <a:srgbClr val="FFFFFF"/>
        </a:solidFill>
        <a:ln w="9525">
          <a:solidFill>
            <a:srgbClr val="000000"/>
          </a:solidFill>
          <a:miter lim="800000"/>
          <a:headEnd/>
          <a:tailEnd/>
        </a:ln>
      </xdr:spPr>
      <xdr:txBody>
        <a:bodyPr vertOverflow="clip" wrap="square" lIns="180000" tIns="108000" rIns="180000" bIns="0" anchor="t" upright="1"/>
        <a:lstStyle/>
        <a:p>
          <a:pPr algn="ctr" rtl="0">
            <a:defRPr sz="1000"/>
          </a:pPr>
          <a:endParaRPr lang="en-GB" sz="1050" b="0" i="0" u="none" strike="noStrike" baseline="0">
            <a:solidFill>
              <a:srgbClr val="000000"/>
            </a:solidFill>
            <a:latin typeface="Arial"/>
            <a:cs typeface="Arial"/>
          </a:endParaRPr>
        </a:p>
        <a:p>
          <a:pPr algn="ctr" rtl="0">
            <a:defRPr sz="1000"/>
          </a:pPr>
          <a:r>
            <a:rPr lang="en-GB" sz="1400" b="1" i="0" u="sng" strike="noStrike" baseline="0">
              <a:solidFill>
                <a:srgbClr val="000000"/>
              </a:solidFill>
              <a:latin typeface="+mn-lt"/>
              <a:cs typeface="Arial"/>
            </a:rPr>
            <a:t>eXPFit  (Version 1.5 for Excel 2007)</a:t>
          </a:r>
        </a:p>
        <a:p>
          <a:pPr algn="ctr" rtl="0">
            <a:defRPr sz="1000"/>
          </a:pPr>
          <a:r>
            <a:rPr lang="en-GB" sz="1400" b="1" i="0" u="none" strike="noStrike" baseline="0">
              <a:solidFill>
                <a:srgbClr val="000000"/>
              </a:solidFill>
              <a:latin typeface="+mn-lt"/>
              <a:cs typeface="Arial"/>
            </a:rPr>
            <a:t>(June 2010)</a:t>
          </a:r>
          <a:endParaRPr lang="en-GB" sz="1100" b="0" i="0" u="none" strike="noStrike" baseline="0">
            <a:solidFill>
              <a:srgbClr val="000000"/>
            </a:solidFill>
            <a:latin typeface="+mn-lt"/>
            <a:cs typeface="Arial"/>
          </a:endParaRPr>
        </a:p>
        <a:p>
          <a:pPr algn="ctr" rtl="0">
            <a:defRPr sz="1000"/>
          </a:pPr>
          <a:endParaRPr lang="en-GB" sz="1050" b="0" i="0" u="none" strike="noStrike" baseline="0">
            <a:solidFill>
              <a:srgbClr val="000000"/>
            </a:solidFill>
            <a:latin typeface="+mn-lt"/>
            <a:cs typeface="Arial"/>
          </a:endParaRPr>
        </a:p>
        <a:p>
          <a:pPr algn="just" rtl="0">
            <a:defRPr sz="1000"/>
          </a:pPr>
          <a:r>
            <a:rPr lang="en-GB" sz="1050" b="0" i="0" u="none" strike="noStrike" baseline="0">
              <a:solidFill>
                <a:srgbClr val="000000"/>
              </a:solidFill>
              <a:latin typeface="+mn-lt"/>
              <a:cs typeface="Times New Roman"/>
            </a:rPr>
            <a:t>eXPFit is a peak fitting utility running under Microsoft Excel.  It has been specifically set-up for X-ray photoelectron spectroscopy (XPS) data, but could be used to fit other types of spectroscopic data.</a:t>
          </a:r>
          <a:endParaRPr lang="en-GB" sz="1050" b="0" i="0" u="none" strike="noStrike" baseline="0">
            <a:solidFill>
              <a:srgbClr val="000000"/>
            </a:solidFill>
            <a:latin typeface="+mn-lt"/>
            <a:cs typeface="Arial"/>
          </a:endParaRPr>
        </a:p>
        <a:p>
          <a:pPr algn="ctr" rtl="0">
            <a:defRPr sz="1000"/>
          </a:pPr>
          <a:endParaRPr lang="en-GB" sz="1050" b="0" i="0" u="none" strike="noStrike" baseline="0">
            <a:solidFill>
              <a:srgbClr val="000000"/>
            </a:solidFill>
            <a:latin typeface="+mn-lt"/>
            <a:cs typeface="Arial"/>
          </a:endParaRPr>
        </a:p>
        <a:p>
          <a:pPr algn="ctr" rtl="0">
            <a:defRPr sz="1000"/>
          </a:pPr>
          <a:r>
            <a:rPr lang="en-GB" sz="1050" b="1" i="0" u="none" strike="noStrike" baseline="0">
              <a:solidFill>
                <a:srgbClr val="000000"/>
              </a:solidFill>
              <a:latin typeface="+mn-lt"/>
              <a:cs typeface="Arial"/>
            </a:rPr>
            <a:t>Conditions of Use</a:t>
          </a:r>
        </a:p>
        <a:p>
          <a:pPr algn="ctr" rtl="0">
            <a:defRPr sz="1000"/>
          </a:pPr>
          <a:endParaRPr lang="en-GB" sz="1050" b="0" i="0" u="none" strike="noStrike" baseline="0">
            <a:solidFill>
              <a:srgbClr val="000000"/>
            </a:solidFill>
            <a:latin typeface="+mn-lt"/>
            <a:cs typeface="Arial"/>
          </a:endParaRPr>
        </a:p>
        <a:p>
          <a:pPr algn="just" rtl="0">
            <a:defRPr sz="1000"/>
          </a:pPr>
          <a:r>
            <a:rPr lang="en-GB" sz="1050" b="0" i="0" u="none" strike="noStrike" baseline="0">
              <a:solidFill>
                <a:srgbClr val="000000"/>
              </a:solidFill>
              <a:latin typeface="+mn-lt"/>
              <a:cs typeface="Times New Roman"/>
            </a:rPr>
            <a:t>This software utility is supplied free-of-charge for personal use by individuals at home, or anyone working in an academic (college, university etc.) environment, but please note the Disclaimer regarding its use.  The software must be registered and the requisite licensing payment made to the author (see below) before use in any other commercial or other non-academic research environment.</a:t>
          </a:r>
          <a:endParaRPr lang="en-GB" sz="1050" b="0" i="0" u="none" strike="noStrike" baseline="0">
            <a:solidFill>
              <a:srgbClr val="000000"/>
            </a:solidFill>
            <a:latin typeface="+mn-lt"/>
            <a:cs typeface="Arial"/>
          </a:endParaRPr>
        </a:p>
        <a:p>
          <a:pPr algn="ctr" rtl="0">
            <a:defRPr sz="1000"/>
          </a:pPr>
          <a:endParaRPr lang="en-GB" sz="1050" b="0" i="0" u="none" strike="noStrike" baseline="0">
            <a:solidFill>
              <a:srgbClr val="000000"/>
            </a:solidFill>
            <a:latin typeface="+mn-lt"/>
            <a:cs typeface="Arial"/>
          </a:endParaRPr>
        </a:p>
        <a:p>
          <a:pPr algn="ctr" rtl="0">
            <a:defRPr sz="1000"/>
          </a:pPr>
          <a:r>
            <a:rPr lang="en-GB" sz="1050" b="0" i="0" u="none" strike="noStrike" baseline="0">
              <a:solidFill>
                <a:srgbClr val="000000"/>
              </a:solidFill>
              <a:latin typeface="+mn-lt"/>
              <a:cs typeface="Arial"/>
            </a:rPr>
            <a:t>Dr. Roger Nix</a:t>
          </a:r>
        </a:p>
        <a:p>
          <a:pPr algn="ctr" rtl="0">
            <a:defRPr sz="1000"/>
          </a:pPr>
          <a:r>
            <a:rPr lang="en-GB" sz="1050" b="0" i="0" u="none" strike="noStrike" baseline="0">
              <a:solidFill>
                <a:srgbClr val="000000"/>
              </a:solidFill>
              <a:latin typeface="+mn-lt"/>
              <a:cs typeface="Arial"/>
            </a:rPr>
            <a:t>School of Biological &amp; Chemical Sciences</a:t>
          </a:r>
        </a:p>
        <a:p>
          <a:pPr algn="ctr" rtl="0">
            <a:defRPr sz="1000"/>
          </a:pPr>
          <a:r>
            <a:rPr lang="en-GB" sz="1050" b="0" i="0" u="none" strike="noStrike" baseline="0">
              <a:solidFill>
                <a:srgbClr val="000000"/>
              </a:solidFill>
              <a:latin typeface="+mn-lt"/>
              <a:cs typeface="Arial"/>
            </a:rPr>
            <a:t> Queen Mary, University of London</a:t>
          </a:r>
        </a:p>
        <a:p>
          <a:pPr algn="ctr" rtl="0">
            <a:defRPr sz="1000"/>
          </a:pPr>
          <a:r>
            <a:rPr lang="en-GB" sz="1050" b="0" i="0" u="none" strike="noStrike" baseline="0">
              <a:solidFill>
                <a:srgbClr val="000000"/>
              </a:solidFill>
              <a:latin typeface="+mn-lt"/>
              <a:cs typeface="Arial"/>
            </a:rPr>
            <a:t>Mile End Road,  London   E1  4NS ,  UK</a:t>
          </a:r>
        </a:p>
        <a:p>
          <a:pPr algn="ctr" rtl="0">
            <a:defRPr sz="1000"/>
          </a:pPr>
          <a:r>
            <a:rPr lang="en-GB" sz="1050" b="0" i="0" u="none" strike="noStrike" baseline="0">
              <a:solidFill>
                <a:srgbClr val="000000"/>
              </a:solidFill>
              <a:latin typeface="+mn-lt"/>
              <a:cs typeface="Arial"/>
            </a:rPr>
            <a:t>E-mail : r.m.nix@qmul.ac.uk     Fax :  +44 20 7882 7427</a:t>
          </a:r>
        </a:p>
        <a:p>
          <a:pPr rtl="0" fontAlgn="base"/>
          <a:endParaRPr lang="en-GB" sz="1100" b="0" i="0" baseline="0">
            <a:latin typeface="+mn-lt"/>
            <a:ea typeface="+mn-ea"/>
            <a:cs typeface="+mn-cs"/>
          </a:endParaRPr>
        </a:p>
        <a:p>
          <a:pPr rtl="0" fontAlgn="base"/>
          <a:endParaRPr lang="en-GB" sz="1100" b="0" i="0" baseline="0">
            <a:latin typeface="+mn-lt"/>
            <a:ea typeface="+mn-ea"/>
            <a:cs typeface="+mn-cs"/>
          </a:endParaRPr>
        </a:p>
        <a:p>
          <a:pPr rtl="0" fontAlgn="base"/>
          <a:endParaRPr lang="en-GB" sz="1100" b="0" i="0" baseline="0">
            <a:latin typeface="+mn-lt"/>
            <a:ea typeface="+mn-ea"/>
            <a:cs typeface="+mn-cs"/>
          </a:endParaRPr>
        </a:p>
        <a:p>
          <a:pPr rtl="0" fontAlgn="base"/>
          <a:r>
            <a:rPr lang="en-GB" sz="1100" b="1" i="0" baseline="0">
              <a:latin typeface="+mn-lt"/>
              <a:ea typeface="+mn-ea"/>
              <a:cs typeface="+mn-cs"/>
            </a:rPr>
            <a:t>To start using this software:</a:t>
          </a:r>
        </a:p>
        <a:p>
          <a:pPr rtl="0" fontAlgn="base"/>
          <a:r>
            <a:rPr lang="en-GB" sz="1100" b="1" i="0" baseline="0">
              <a:latin typeface="+mn-lt"/>
              <a:ea typeface="+mn-ea"/>
              <a:cs typeface="+mn-cs"/>
            </a:rPr>
            <a:t>1.   acknowledge the Security Warning, and enable the Macros</a:t>
          </a:r>
          <a:br>
            <a:rPr lang="en-GB" sz="1100" b="1" i="0" baseline="0">
              <a:latin typeface="+mn-lt"/>
              <a:ea typeface="+mn-ea"/>
              <a:cs typeface="+mn-cs"/>
            </a:rPr>
          </a:br>
          <a:r>
            <a:rPr lang="en-GB" sz="1100" b="1" i="0" baseline="0">
              <a:latin typeface="+mn-lt"/>
              <a:ea typeface="+mn-ea"/>
              <a:cs typeface="+mn-cs"/>
            </a:rPr>
            <a:t>2.   click on the "Ft" tab below in order to activate this worksheet.</a:t>
          </a:r>
        </a:p>
        <a:p>
          <a:pPr algn="ctr" rtl="0">
            <a:defRPr sz="1000"/>
          </a:pPr>
          <a:endParaRPr lang="en-GB" sz="1050" b="0" i="0" u="none" strike="noStrike" baseline="0">
            <a:solidFill>
              <a:srgbClr val="000000"/>
            </a:solidFill>
            <a:latin typeface="+mn-lt"/>
            <a:cs typeface="Arial"/>
          </a:endParaRPr>
        </a:p>
        <a:p>
          <a:pPr algn="ctr" rtl="0">
            <a:defRPr sz="1000"/>
          </a:pPr>
          <a:endParaRPr lang="en-GB" sz="1050" b="0" i="0" u="none" strike="noStrike" baseline="0">
            <a:solidFill>
              <a:srgbClr val="000000"/>
            </a:solidFill>
            <a:latin typeface="Arial"/>
            <a:cs typeface="Arial"/>
          </a:endParaRPr>
        </a:p>
        <a:p>
          <a:pPr algn="ctr" rtl="0">
            <a:defRPr sz="1000"/>
          </a:pPr>
          <a:endParaRPr lang="en-GB" sz="1050" b="0" i="0" u="none" strike="noStrike" baseline="0">
            <a:solidFill>
              <a:srgbClr val="000000"/>
            </a:solidFill>
            <a:latin typeface="Arial"/>
            <a:cs typeface="Arial"/>
          </a:endParaRPr>
        </a:p>
      </xdr:txBody>
    </xdr:sp>
    <xdr:clientData/>
  </xdr:twoCellAnchor>
  <xdr:twoCellAnchor>
    <xdr:from>
      <xdr:col>9</xdr:col>
      <xdr:colOff>171449</xdr:colOff>
      <xdr:row>0</xdr:row>
      <xdr:rowOff>114300</xdr:rowOff>
    </xdr:from>
    <xdr:to>
      <xdr:col>14</xdr:col>
      <xdr:colOff>47624</xdr:colOff>
      <xdr:row>19</xdr:row>
      <xdr:rowOff>85725</xdr:rowOff>
    </xdr:to>
    <xdr:sp macro="" textlink="">
      <xdr:nvSpPr>
        <xdr:cNvPr id="3" name="TextBox 2"/>
        <xdr:cNvSpPr txBox="1"/>
      </xdr:nvSpPr>
      <xdr:spPr>
        <a:xfrm>
          <a:off x="5657849" y="114300"/>
          <a:ext cx="2924175" cy="3048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GRD Notes: In order to use this had to make</a:t>
          </a:r>
          <a:r>
            <a:rPr lang="en-US" sz="1100" baseline="0"/>
            <a:t> a few very minor mods to this great little program. I added the correlation coefficient to provide an additional way to help see the goodness of fit. </a:t>
          </a:r>
        </a:p>
        <a:p>
          <a:r>
            <a:rPr lang="en-US" sz="1100" baseline="0"/>
            <a:t> i slaved the RFWHM to the LFWHM to force symmetrical Gaussian peaks to make overall calculation faster later on. This was done by simply referencing the LFWHM cell in the RFWHM cell. </a:t>
          </a:r>
        </a:p>
        <a:p>
          <a:r>
            <a:rPr lang="en-US" sz="1100" baseline="0"/>
            <a:t>I killed the regression  fitting of the Laurentian-gaussian mix, and the baseline. The baseline correction was held to zero and Gaussian only bands  were used (1.0). These changes were made when Solver is invoked/ The parameter s to adjust are listed in the input box labeled "Changing Cells".</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11</xdr:row>
      <xdr:rowOff>0</xdr:rowOff>
    </xdr:from>
    <xdr:to>
      <xdr:col>11</xdr:col>
      <xdr:colOff>0</xdr:colOff>
      <xdr:row>32</xdr:row>
      <xdr:rowOff>0</xdr:rowOff>
    </xdr:to>
    <xdr:graphicFrame macro="">
      <xdr:nvGraphicFramePr>
        <xdr:cNvPr id="205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11</xdr:col>
      <xdr:colOff>400050</xdr:colOff>
      <xdr:row>11</xdr:row>
      <xdr:rowOff>9524</xdr:rowOff>
    </xdr:from>
    <xdr:ext cx="1700402" cy="1247775"/>
    <xdr:sp macro="" textlink="">
      <xdr:nvSpPr>
        <xdr:cNvPr id="3" name="TextBox 2"/>
        <xdr:cNvSpPr txBox="1"/>
      </xdr:nvSpPr>
      <xdr:spPr>
        <a:xfrm>
          <a:off x="7286625" y="1685924"/>
          <a:ext cx="1700402" cy="1247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a:t>GRD Note that solve setup does not really solve the system. As the pdf</a:t>
          </a:r>
          <a:r>
            <a:rPr lang="en-US" sz="1100" baseline="0"/>
            <a:t> doc file says, you need to manually invoke solver from the Data tab</a:t>
          </a:r>
          <a:endParaRPr lang="en-US" sz="1100"/>
        </a:p>
      </xdr:txBody>
    </xdr:sp>
    <xdr:clientData/>
  </xdr:oneCellAnchor>
</xdr:wsDr>
</file>

<file path=xl/drawings/drawing3.xml><?xml version="1.0" encoding="utf-8"?>
<xdr:wsDr xmlns:xdr="http://schemas.openxmlformats.org/drawingml/2006/spreadsheetDrawing" xmlns:a="http://schemas.openxmlformats.org/drawingml/2006/main">
  <xdr:absoluteAnchor>
    <xdr:pos x="0" y="0"/>
    <xdr:ext cx="9210675" cy="561975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1"/>
    <xdr:ext cx="9324975" cy="608647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www.chem.qmul.ac.uk/software/eXPFit.htm"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6:K33"/>
  <sheetViews>
    <sheetView workbookViewId="0">
      <selection activeCell="A33" sqref="A33"/>
    </sheetView>
  </sheetViews>
  <sheetFormatPr defaultRowHeight="12.75"/>
  <sheetData>
    <row r="6" spans="11:11">
      <c r="K6" s="33"/>
    </row>
    <row r="8" spans="11:11">
      <c r="K8" s="33"/>
    </row>
    <row r="32" spans="1:1">
      <c r="A32" s="35" t="s">
        <v>48</v>
      </c>
    </row>
    <row r="33" spans="1:1">
      <c r="A33" s="36" t="s">
        <v>47</v>
      </c>
    </row>
  </sheetData>
  <hyperlinks>
    <hyperlink ref="A33" r:id="rId1"/>
  </hyperlinks>
  <pageMargins left="0.75" right="0.75" top="1" bottom="1" header="0.5" footer="0.5"/>
  <headerFooter alignWithMargins="0">
    <oddHeader>&amp;A</oddHeader>
    <oddFooter>Page &amp;P</oddFooter>
  </headerFooter>
  <drawing r:id="rId2"/>
</worksheet>
</file>

<file path=xl/worksheets/sheet2.xml><?xml version="1.0" encoding="utf-8"?>
<worksheet xmlns="http://schemas.openxmlformats.org/spreadsheetml/2006/main" xmlns:r="http://schemas.openxmlformats.org/officeDocument/2006/relationships">
  <sheetPr codeName="Sheet2"/>
  <dimension ref="A1:R54"/>
  <sheetViews>
    <sheetView workbookViewId="0">
      <selection activeCell="D3" sqref="D3"/>
    </sheetView>
  </sheetViews>
  <sheetFormatPr defaultRowHeight="12.75"/>
  <cols>
    <col min="1" max="1" width="11.85546875" customWidth="1"/>
    <col min="2" max="2" width="13.5703125" customWidth="1"/>
    <col min="3" max="3" width="11.7109375" customWidth="1"/>
    <col min="4" max="4" width="15" customWidth="1"/>
    <col min="5" max="5" width="12.140625" customWidth="1"/>
    <col min="6" max="6" width="16" customWidth="1"/>
    <col min="7" max="7" width="12.85546875" customWidth="1"/>
  </cols>
  <sheetData>
    <row r="1" spans="1:14">
      <c r="A1" s="20" t="s">
        <v>0</v>
      </c>
      <c r="B1" s="20">
        <v>1</v>
      </c>
      <c r="C1" s="20">
        <v>2</v>
      </c>
      <c r="D1" s="20">
        <v>3</v>
      </c>
      <c r="E1" s="20">
        <v>4</v>
      </c>
      <c r="F1" s="20">
        <v>5</v>
      </c>
      <c r="G1" s="20">
        <v>6</v>
      </c>
      <c r="H1" s="20">
        <v>7</v>
      </c>
      <c r="I1" s="20">
        <v>8</v>
      </c>
      <c r="J1" s="20">
        <v>9</v>
      </c>
      <c r="K1" s="20">
        <v>10</v>
      </c>
    </row>
    <row r="2" spans="1:14" s="7" customFormat="1">
      <c r="A2" s="37" t="s">
        <v>49</v>
      </c>
      <c r="B2" s="17">
        <v>45.428339633197254</v>
      </c>
      <c r="C2" s="17">
        <v>138.62665019279049</v>
      </c>
      <c r="D2" s="17">
        <v>454.4760094161465</v>
      </c>
      <c r="E2" s="17">
        <v>822.46797863348149</v>
      </c>
      <c r="F2" s="17">
        <v>1000.8451467414063</v>
      </c>
      <c r="G2" s="17">
        <v>1045.3686055861001</v>
      </c>
      <c r="H2" s="14">
        <v>500</v>
      </c>
      <c r="I2" s="14">
        <v>500</v>
      </c>
      <c r="J2" s="14">
        <v>500</v>
      </c>
      <c r="K2" s="14">
        <v>500</v>
      </c>
    </row>
    <row r="3" spans="1:14" s="7" customFormat="1">
      <c r="A3" s="7" t="s">
        <v>2</v>
      </c>
      <c r="B3" s="5">
        <v>3.1845255459961597</v>
      </c>
      <c r="C3" s="5">
        <v>9.0988705516047581</v>
      </c>
      <c r="D3" s="5">
        <v>18.701874360563178</v>
      </c>
      <c r="E3" s="5">
        <v>15.535386465377581</v>
      </c>
      <c r="F3" s="5">
        <v>4.8352285458424946</v>
      </c>
      <c r="G3" s="5">
        <v>6.2078501705070224</v>
      </c>
      <c r="H3" s="15">
        <v>0</v>
      </c>
      <c r="I3" s="15">
        <v>0</v>
      </c>
      <c r="J3" s="15">
        <v>0</v>
      </c>
      <c r="K3" s="15">
        <v>0</v>
      </c>
    </row>
    <row r="4" spans="1:14" s="7" customFormat="1">
      <c r="A4" s="7" t="s">
        <v>3</v>
      </c>
      <c r="B4" s="18">
        <v>46.838411597545573</v>
      </c>
      <c r="C4" s="18">
        <v>184.8004997784565</v>
      </c>
      <c r="D4" s="18">
        <v>392.79420290399742</v>
      </c>
      <c r="E4" s="40">
        <v>331.89689483168189</v>
      </c>
      <c r="F4" s="18">
        <v>101.51676011487912</v>
      </c>
      <c r="G4" s="18">
        <v>54.003403000087687</v>
      </c>
      <c r="H4" s="16">
        <v>1.5</v>
      </c>
      <c r="I4" s="16">
        <v>1.5</v>
      </c>
      <c r="J4" s="16">
        <v>1.5</v>
      </c>
      <c r="K4" s="16">
        <v>1.5</v>
      </c>
    </row>
    <row r="5" spans="1:14" s="7" customFormat="1">
      <c r="A5" s="7" t="s">
        <v>4</v>
      </c>
      <c r="B5" s="16">
        <f t="shared" ref="B5:G5" si="0">B4</f>
        <v>46.838411597545573</v>
      </c>
      <c r="C5" s="16">
        <f t="shared" si="0"/>
        <v>184.8004997784565</v>
      </c>
      <c r="D5" s="16">
        <f t="shared" si="0"/>
        <v>392.79420290399742</v>
      </c>
      <c r="E5" s="16">
        <f t="shared" si="0"/>
        <v>331.89689483168189</v>
      </c>
      <c r="F5" s="18">
        <f t="shared" si="0"/>
        <v>101.51676011487912</v>
      </c>
      <c r="G5" s="18">
        <f t="shared" si="0"/>
        <v>54.003403000087687</v>
      </c>
      <c r="H5" s="16">
        <f t="shared" ref="H5:K5" si="1">H4</f>
        <v>1.5</v>
      </c>
      <c r="I5" s="16">
        <f t="shared" si="1"/>
        <v>1.5</v>
      </c>
      <c r="J5" s="16">
        <f t="shared" si="1"/>
        <v>1.5</v>
      </c>
      <c r="K5" s="16">
        <f t="shared" si="1"/>
        <v>1.5</v>
      </c>
    </row>
    <row r="6" spans="1:14" s="7" customFormat="1">
      <c r="A6" s="7" t="s">
        <v>5</v>
      </c>
      <c r="B6" s="18">
        <v>1</v>
      </c>
      <c r="C6" s="18">
        <v>1</v>
      </c>
      <c r="D6" s="18">
        <v>1</v>
      </c>
      <c r="E6" s="18">
        <v>1</v>
      </c>
      <c r="F6" s="18">
        <v>1</v>
      </c>
      <c r="G6" s="18">
        <v>1</v>
      </c>
      <c r="H6" s="16">
        <v>0.5</v>
      </c>
      <c r="I6" s="16">
        <v>0.5</v>
      </c>
      <c r="J6" s="16">
        <v>0.5</v>
      </c>
      <c r="K6" s="16">
        <v>0.5</v>
      </c>
    </row>
    <row r="7" spans="1:14" s="7" customFormat="1">
      <c r="A7" s="7" t="s">
        <v>6</v>
      </c>
      <c r="B7" s="18">
        <v>1</v>
      </c>
      <c r="C7" s="18">
        <v>1</v>
      </c>
      <c r="D7" s="18">
        <v>1</v>
      </c>
      <c r="E7" s="18">
        <v>1</v>
      </c>
      <c r="F7" s="16">
        <f t="shared" ref="F7:K7" si="2">F6</f>
        <v>1</v>
      </c>
      <c r="G7" s="16">
        <f t="shared" si="2"/>
        <v>1</v>
      </c>
      <c r="H7" s="16">
        <f t="shared" si="2"/>
        <v>0.5</v>
      </c>
      <c r="I7" s="16">
        <f t="shared" si="2"/>
        <v>0.5</v>
      </c>
      <c r="J7" s="16">
        <f t="shared" si="2"/>
        <v>0.5</v>
      </c>
      <c r="K7" s="16">
        <f t="shared" si="2"/>
        <v>0.5</v>
      </c>
    </row>
    <row r="8" spans="1:14" s="7" customFormat="1" ht="3" customHeight="1">
      <c r="B8" s="8"/>
      <c r="C8" s="8"/>
    </row>
    <row r="9" spans="1:14" s="7" customFormat="1">
      <c r="A9" s="7" t="s">
        <v>7</v>
      </c>
      <c r="B9" s="9">
        <f>(B4*(1.064467*B6+1.5*(1-B6))+B5*(1.064467*B7+1.5*(1-B7)))*B3/2</f>
        <v>158.77389467653808</v>
      </c>
      <c r="C9" s="9">
        <f>(C4*(1.064467*C6+1.5*(1-C6))+C5*(1.064467*C7+1.5*(1-C7)))*C3/2</f>
        <v>1789.8755273892675</v>
      </c>
      <c r="D9" s="9">
        <f>(D4*(1.064467*D6+1.5*(1-D6))+D5*(1.064467*D7+1.5*(1-D7)))*D3/2</f>
        <v>7819.5616298509494</v>
      </c>
      <c r="E9" s="9">
        <f t="shared" ref="E9:K9" si="3">(E4*(1.064467*E6+1.5*(1-E6))+E5*(1.064467*E7+1.5*(1-E7)))*E3/2</f>
        <v>5488.547826081086</v>
      </c>
      <c r="F9" s="9">
        <f t="shared" si="3"/>
        <v>522.50079761369216</v>
      </c>
      <c r="G9" s="9">
        <f t="shared" si="3"/>
        <v>356.85727616258703</v>
      </c>
      <c r="H9" s="9">
        <f t="shared" si="3"/>
        <v>0</v>
      </c>
      <c r="I9" s="9">
        <f t="shared" si="3"/>
        <v>0</v>
      </c>
      <c r="J9" s="9">
        <f t="shared" si="3"/>
        <v>0</v>
      </c>
      <c r="K9" s="9">
        <f t="shared" si="3"/>
        <v>0</v>
      </c>
      <c r="M9"/>
      <c r="N9"/>
    </row>
    <row r="10" spans="1:14" s="7" customFormat="1" ht="9" customHeight="1">
      <c r="B10" s="9"/>
      <c r="C10" s="9"/>
      <c r="D10" s="9"/>
      <c r="E10" s="9"/>
      <c r="F10" s="9"/>
      <c r="G10" s="9"/>
      <c r="H10" s="9"/>
      <c r="I10" s="9"/>
      <c r="J10" s="9"/>
      <c r="K10" s="9"/>
      <c r="M10"/>
      <c r="N10"/>
    </row>
    <row r="11" spans="1:14" s="7" customFormat="1" ht="18" customHeight="1">
      <c r="B11" s="9"/>
      <c r="C11" s="9"/>
      <c r="D11" s="9"/>
      <c r="E11" s="9"/>
      <c r="F11" s="9"/>
      <c r="G11" s="9"/>
      <c r="H11" s="9"/>
      <c r="I11" s="9"/>
      <c r="J11" s="9"/>
      <c r="K11" s="9"/>
      <c r="M11"/>
      <c r="N11"/>
    </row>
    <row r="12" spans="1:14" s="7" customFormat="1">
      <c r="A12" s="8" t="s">
        <v>8</v>
      </c>
      <c r="B12" s="11">
        <v>0</v>
      </c>
      <c r="C12" s="9"/>
      <c r="D12" s="9"/>
      <c r="E12" s="9"/>
      <c r="F12" s="9"/>
      <c r="G12" s="9"/>
      <c r="H12" s="9"/>
      <c r="I12" s="9"/>
      <c r="J12"/>
      <c r="K12"/>
      <c r="M12"/>
      <c r="N12"/>
    </row>
    <row r="13" spans="1:14" s="7" customFormat="1">
      <c r="A13" s="8" t="s">
        <v>9</v>
      </c>
      <c r="B13" s="11">
        <v>0</v>
      </c>
      <c r="C13" s="9"/>
      <c r="D13" s="9"/>
      <c r="E13" s="9"/>
      <c r="F13" s="9"/>
      <c r="G13" s="9"/>
      <c r="H13" s="9"/>
      <c r="I13" s="9"/>
      <c r="J13"/>
      <c r="K13"/>
      <c r="M13"/>
      <c r="N13"/>
    </row>
    <row r="14" spans="1:14" s="7" customFormat="1">
      <c r="A14" s="8" t="s">
        <v>10</v>
      </c>
      <c r="B14" s="11">
        <v>0</v>
      </c>
      <c r="C14" s="9"/>
      <c r="D14" s="9"/>
      <c r="E14" s="9"/>
      <c r="F14" s="9"/>
      <c r="G14" s="9"/>
      <c r="H14" s="9"/>
      <c r="I14" s="9"/>
      <c r="J14" s="9"/>
      <c r="K14" s="9"/>
      <c r="M14"/>
      <c r="N14"/>
    </row>
    <row r="15" spans="1:14" s="7" customFormat="1">
      <c r="A15" s="8"/>
      <c r="B15" s="11"/>
      <c r="C15" s="9"/>
      <c r="D15" s="9"/>
      <c r="E15" s="9"/>
      <c r="F15" s="9"/>
      <c r="G15" s="9"/>
      <c r="H15" s="9"/>
      <c r="I15" s="9"/>
      <c r="J15" s="9"/>
      <c r="K15" s="9"/>
      <c r="M15"/>
      <c r="N15"/>
    </row>
    <row r="16" spans="1:14" s="7" customFormat="1">
      <c r="A16" s="7" t="s">
        <v>11</v>
      </c>
      <c r="B16" s="9">
        <f>SUM(B9:K9)+(B12+B13)*(MAX(Data!A:A)-MIN(Data!A:A))/2</f>
        <v>16136.116951774118</v>
      </c>
      <c r="C16" s="9"/>
      <c r="D16" s="9"/>
      <c r="E16" s="9"/>
      <c r="F16" s="9"/>
      <c r="G16" s="9"/>
      <c r="H16" s="9"/>
      <c r="I16" s="9"/>
      <c r="J16" s="9"/>
      <c r="K16" s="9"/>
      <c r="M16"/>
      <c r="N16"/>
    </row>
    <row r="17" spans="1:18" s="7" customFormat="1">
      <c r="A17" s="7" t="s">
        <v>12</v>
      </c>
      <c r="B17" s="9">
        <f>SUM(Data!B:B)*ABS(Data!A2-Data!A3)</f>
        <v>15812.326622291184</v>
      </c>
      <c r="C17" s="9"/>
      <c r="D17" s="9"/>
      <c r="E17" s="9"/>
      <c r="F17" s="9"/>
      <c r="G17" s="9"/>
      <c r="H17" s="9"/>
      <c r="I17" s="9"/>
      <c r="J17" s="9"/>
      <c r="K17" s="9"/>
      <c r="M17"/>
      <c r="N17"/>
    </row>
    <row r="18" spans="1:18" s="7" customFormat="1">
      <c r="B18" s="8"/>
      <c r="C18" s="8"/>
      <c r="M18"/>
      <c r="N18"/>
    </row>
    <row r="19" spans="1:18" s="7" customFormat="1">
      <c r="A19" t="s">
        <v>13</v>
      </c>
      <c r="B19" s="4">
        <f>SUM(Data!D:D)</f>
        <v>76.471490124117622</v>
      </c>
      <c r="C19" s="8"/>
    </row>
    <row r="20" spans="1:18" s="7" customFormat="1">
      <c r="A20" s="7" t="s">
        <v>14</v>
      </c>
      <c r="B20" s="9">
        <f>COUNT(Data!A:A)</f>
        <v>541</v>
      </c>
      <c r="C20" s="8"/>
      <c r="M20" s="10"/>
    </row>
    <row r="21" spans="1:18" s="7" customFormat="1">
      <c r="A21"/>
      <c r="B21"/>
      <c r="C21" s="8"/>
    </row>
    <row r="22" spans="1:18" s="7" customFormat="1">
      <c r="A22" s="7" t="s">
        <v>15</v>
      </c>
      <c r="B22" s="31">
        <f>SQRT(B19/B20)</f>
        <v>0.37596822663397372</v>
      </c>
      <c r="C22" s="8"/>
    </row>
    <row r="23" spans="1:18" s="7" customFormat="1">
      <c r="B23" s="8"/>
      <c r="C23" s="8"/>
    </row>
    <row r="24" spans="1:18" s="7" customFormat="1">
      <c r="A24" s="32" t="s">
        <v>46</v>
      </c>
      <c r="B24" s="34">
        <f>CORREL(Data!B2:B678,Data!C2:C678)</f>
        <v>0.99450565718312833</v>
      </c>
      <c r="C24" s="8"/>
    </row>
    <row r="25" spans="1:18" s="7" customFormat="1">
      <c r="B25" s="8"/>
      <c r="C25" s="8"/>
    </row>
    <row r="26" spans="1:18" s="7" customFormat="1">
      <c r="B26" s="8"/>
      <c r="C26" s="8"/>
      <c r="M26" s="17"/>
      <c r="N26" s="17"/>
      <c r="O26" s="17"/>
      <c r="P26" s="17"/>
      <c r="Q26" s="17"/>
      <c r="R26" s="17"/>
    </row>
    <row r="27" spans="1:18" s="7" customFormat="1">
      <c r="B27" s="8"/>
      <c r="C27" s="8"/>
      <c r="M27" s="5"/>
      <c r="N27" s="5"/>
      <c r="O27" s="5"/>
      <c r="P27" s="5"/>
      <c r="Q27" s="5"/>
      <c r="R27" s="5"/>
    </row>
    <row r="28" spans="1:18" s="7" customFormat="1">
      <c r="B28" s="8"/>
      <c r="C28" s="8"/>
      <c r="M28" s="18"/>
      <c r="N28" s="18"/>
      <c r="O28" s="18"/>
      <c r="P28" s="18"/>
      <c r="Q28" s="18"/>
      <c r="R28" s="18"/>
    </row>
    <row r="29" spans="1:18" s="7" customFormat="1">
      <c r="B29" s="8"/>
      <c r="C29" s="8"/>
    </row>
    <row r="30" spans="1:18" s="7" customFormat="1">
      <c r="B30" s="8"/>
      <c r="C30" s="8"/>
    </row>
    <row r="31" spans="1:18" s="7" customFormat="1">
      <c r="B31" s="8"/>
      <c r="C31" s="8"/>
    </row>
    <row r="32" spans="1:18" s="7" customFormat="1">
      <c r="B32" s="8"/>
      <c r="C32" s="8"/>
    </row>
    <row r="33" spans="1:11" s="7" customFormat="1">
      <c r="B33" s="8"/>
      <c r="C33" s="8"/>
    </row>
    <row r="34" spans="1:11" s="7" customFormat="1">
      <c r="B34" s="8"/>
      <c r="C34" s="8"/>
    </row>
    <row r="35" spans="1:11" s="7" customFormat="1">
      <c r="A35" s="7" t="s">
        <v>41</v>
      </c>
      <c r="B35" s="8"/>
      <c r="C35" s="8"/>
    </row>
    <row r="36" spans="1:11" s="7" customFormat="1">
      <c r="B36" s="8"/>
      <c r="C36" s="8"/>
    </row>
    <row r="37" spans="1:11">
      <c r="A37" t="s">
        <v>16</v>
      </c>
      <c r="B37" s="6">
        <f t="shared" ref="B37:K37" si="4">4/(B4^2)</f>
        <v>1.8232896805319273E-3</v>
      </c>
      <c r="C37" s="6">
        <f t="shared" si="4"/>
        <v>1.1712610698405523E-4</v>
      </c>
      <c r="D37" s="6">
        <f t="shared" si="4"/>
        <v>2.5925661847976764E-5</v>
      </c>
      <c r="E37" s="6">
        <f t="shared" si="4"/>
        <v>3.6312287883944426E-5</v>
      </c>
      <c r="F37" s="6">
        <f t="shared" si="4"/>
        <v>3.8813650734976764E-4</v>
      </c>
      <c r="G37" s="6">
        <f t="shared" si="4"/>
        <v>1.3715692385085265E-3</v>
      </c>
      <c r="H37" s="6">
        <f t="shared" si="4"/>
        <v>1.7777777777777777</v>
      </c>
      <c r="I37" s="6">
        <f t="shared" si="4"/>
        <v>1.7777777777777777</v>
      </c>
      <c r="J37" s="6">
        <f t="shared" si="4"/>
        <v>1.7777777777777777</v>
      </c>
      <c r="K37" s="6">
        <f t="shared" si="4"/>
        <v>1.7777777777777777</v>
      </c>
    </row>
    <row r="38" spans="1:11">
      <c r="A38" t="s">
        <v>17</v>
      </c>
      <c r="B38" s="6">
        <f t="shared" ref="B38:K38" si="5">-2.77258872/(B4^2)</f>
        <v>-1.2638081003838062E-3</v>
      </c>
      <c r="C38" s="6">
        <f t="shared" si="5"/>
        <v>-8.1185630760376184E-5</v>
      </c>
      <c r="D38" s="6">
        <f t="shared" si="5"/>
        <v>-1.7970299399558682E-5</v>
      </c>
      <c r="E38" s="6">
        <f t="shared" si="5"/>
        <v>-2.5169759946104247E-5</v>
      </c>
      <c r="F38" s="6">
        <f t="shared" si="5"/>
        <v>-2.6903572552454066E-4</v>
      </c>
      <c r="G38" s="6">
        <f t="shared" si="5"/>
        <v>-9.5069934984693262E-4</v>
      </c>
      <c r="H38" s="6">
        <f t="shared" si="5"/>
        <v>-1.2322616533333333</v>
      </c>
      <c r="I38" s="6">
        <f t="shared" si="5"/>
        <v>-1.2322616533333333</v>
      </c>
      <c r="J38" s="6">
        <f t="shared" si="5"/>
        <v>-1.2322616533333333</v>
      </c>
      <c r="K38" s="6">
        <f t="shared" si="5"/>
        <v>-1.2322616533333333</v>
      </c>
    </row>
    <row r="39" spans="1:11">
      <c r="A39" t="s">
        <v>18</v>
      </c>
      <c r="B39" s="6">
        <f t="shared" ref="B39:K39" si="6">4/(B5^2)</f>
        <v>1.8232896805319273E-3</v>
      </c>
      <c r="C39" s="6">
        <f t="shared" si="6"/>
        <v>1.1712610698405523E-4</v>
      </c>
      <c r="D39" s="6">
        <f t="shared" si="6"/>
        <v>2.5925661847976764E-5</v>
      </c>
      <c r="E39" s="6">
        <f t="shared" si="6"/>
        <v>3.6312287883944426E-5</v>
      </c>
      <c r="F39" s="6">
        <f t="shared" si="6"/>
        <v>3.8813650734976764E-4</v>
      </c>
      <c r="G39" s="6">
        <f t="shared" si="6"/>
        <v>1.3715692385085265E-3</v>
      </c>
      <c r="H39" s="6">
        <f t="shared" si="6"/>
        <v>1.7777777777777777</v>
      </c>
      <c r="I39" s="6">
        <f t="shared" si="6"/>
        <v>1.7777777777777777</v>
      </c>
      <c r="J39" s="6">
        <f t="shared" si="6"/>
        <v>1.7777777777777777</v>
      </c>
      <c r="K39" s="6">
        <f t="shared" si="6"/>
        <v>1.7777777777777777</v>
      </c>
    </row>
    <row r="40" spans="1:11">
      <c r="A40" t="s">
        <v>19</v>
      </c>
      <c r="B40" s="6">
        <f t="shared" ref="B40:K40" si="7">-2.77258872/(B5^2)</f>
        <v>-1.2638081003838062E-3</v>
      </c>
      <c r="C40" s="6">
        <f t="shared" si="7"/>
        <v>-8.1185630760376184E-5</v>
      </c>
      <c r="D40" s="6">
        <f t="shared" si="7"/>
        <v>-1.7970299399558682E-5</v>
      </c>
      <c r="E40" s="6">
        <f t="shared" si="7"/>
        <v>-2.5169759946104247E-5</v>
      </c>
      <c r="F40" s="6">
        <f t="shared" si="7"/>
        <v>-2.6903572552454066E-4</v>
      </c>
      <c r="G40" s="6">
        <f t="shared" si="7"/>
        <v>-9.5069934984693262E-4</v>
      </c>
      <c r="H40" s="6">
        <f t="shared" si="7"/>
        <v>-1.2322616533333333</v>
      </c>
      <c r="I40" s="6">
        <f t="shared" si="7"/>
        <v>-1.2322616533333333</v>
      </c>
      <c r="J40" s="6">
        <f t="shared" si="7"/>
        <v>-1.2322616533333333</v>
      </c>
      <c r="K40" s="6">
        <f t="shared" si="7"/>
        <v>-1.2322616533333333</v>
      </c>
    </row>
    <row r="42" spans="1:11">
      <c r="A42" s="4"/>
    </row>
    <row r="44" spans="1:11">
      <c r="A44" t="s">
        <v>20</v>
      </c>
    </row>
    <row r="45" spans="1:11">
      <c r="A45" t="b">
        <v>1</v>
      </c>
    </row>
    <row r="48" spans="1:11">
      <c r="A48" t="s">
        <v>21</v>
      </c>
    </row>
    <row r="50" spans="1:1">
      <c r="A50" s="4">
        <f>MIN($B$19)</f>
        <v>76.471490124117622</v>
      </c>
    </row>
    <row r="51" spans="1:1">
      <c r="A51">
        <f>COUNT($B$2:$B$4,$B$6,$B$12:$B$13,$C$2:$C$4,$C$6)</f>
        <v>10</v>
      </c>
    </row>
    <row r="52" spans="1:1">
      <c r="A52" t="b">
        <f>$B$6&lt;=1</f>
        <v>1</v>
      </c>
    </row>
    <row r="53" spans="1:1">
      <c r="A53" t="b">
        <f>$C$6&lt;=1</f>
        <v>1</v>
      </c>
    </row>
    <row r="54" spans="1:1">
      <c r="A54">
        <f>{1000,1000,0.000001,0.05,FALSE,FALSE,FALSE,1,1,1,0.001,FALSE}</f>
        <v>1000</v>
      </c>
    </row>
  </sheetData>
  <printOptions horizontalCentered="1"/>
  <pageMargins left="0.74803149606299213" right="0.74803149606299213" top="0.98425196850393704" bottom="0.98425196850393704" header="0.51181102362204722" footer="0.51181102362204722"/>
  <pageSetup paperSize="9" orientation="landscape" horizontalDpi="300" verticalDpi="300" r:id="rId1"/>
  <headerFooter alignWithMargins="0">
    <oddFooter>&amp;C&amp;F</oddFooter>
  </headerFooter>
  <drawing r:id="rId2"/>
  <legacyDrawing r:id="rId3"/>
</worksheet>
</file>

<file path=xl/worksheets/sheet3.xml><?xml version="1.0" encoding="utf-8"?>
<worksheet xmlns="http://schemas.openxmlformats.org/spreadsheetml/2006/main" xmlns:r="http://schemas.openxmlformats.org/officeDocument/2006/relationships">
  <sheetPr codeName="Sheet3"/>
  <dimension ref="A1:B3"/>
  <sheetViews>
    <sheetView workbookViewId="0">
      <selection activeCell="A13" sqref="A13"/>
    </sheetView>
  </sheetViews>
  <sheetFormatPr defaultRowHeight="12.75"/>
  <cols>
    <col min="1" max="1" width="12.85546875" customWidth="1"/>
  </cols>
  <sheetData>
    <row r="1" spans="1:2">
      <c r="A1" t="s">
        <v>22</v>
      </c>
    </row>
    <row r="3" spans="1:2">
      <c r="A3" t="s">
        <v>23</v>
      </c>
      <c r="B3" s="1">
        <f>MIN(Data!A:A)</f>
        <v>0</v>
      </c>
    </row>
  </sheetData>
  <pageMargins left="0.75" right="0.75" top="1" bottom="1" header="0.5" footer="0.5"/>
  <headerFooter alignWithMargins="0">
    <oddHeader>&amp;A</oddHeader>
    <oddFooter>Page &amp;P</oddFooter>
  </headerFooter>
</worksheet>
</file>

<file path=xl/worksheets/sheet4.xml><?xml version="1.0" encoding="utf-8"?>
<worksheet xmlns="http://schemas.openxmlformats.org/spreadsheetml/2006/main" xmlns:r="http://schemas.openxmlformats.org/officeDocument/2006/relationships">
  <sheetPr codeName="Sheet4"/>
  <dimension ref="A1:T1082"/>
  <sheetViews>
    <sheetView tabSelected="1" workbookViewId="0">
      <selection activeCell="E22" sqref="E22"/>
    </sheetView>
  </sheetViews>
  <sheetFormatPr defaultRowHeight="12.75"/>
  <cols>
    <col min="1" max="1" width="9.140625" style="19"/>
    <col min="2" max="2" width="10.5703125" style="28" bestFit="1" customWidth="1"/>
    <col min="3" max="3" width="19.42578125" style="6" customWidth="1"/>
    <col min="4" max="4" width="25.5703125" style="19" customWidth="1"/>
    <col min="5" max="5" width="11" style="3" customWidth="1"/>
    <col min="6" max="17" width="9.140625" style="3"/>
    <col min="18" max="18" width="11.85546875" customWidth="1"/>
  </cols>
  <sheetData>
    <row r="1" spans="1:20" s="2" customFormat="1" ht="14.25">
      <c r="A1" s="38" t="s">
        <v>49</v>
      </c>
      <c r="B1" s="28" t="s">
        <v>40</v>
      </c>
      <c r="C1" s="29" t="s">
        <v>24</v>
      </c>
      <c r="D1" s="41" t="s">
        <v>25</v>
      </c>
      <c r="E1" s="12" t="s">
        <v>26</v>
      </c>
      <c r="F1" s="13" t="s">
        <v>27</v>
      </c>
      <c r="G1" s="13" t="s">
        <v>28</v>
      </c>
      <c r="H1" s="13" t="s">
        <v>29</v>
      </c>
      <c r="I1" s="13" t="s">
        <v>30</v>
      </c>
      <c r="J1" s="13" t="s">
        <v>31</v>
      </c>
      <c r="K1" s="13" t="s">
        <v>32</v>
      </c>
      <c r="L1" s="13" t="s">
        <v>33</v>
      </c>
      <c r="M1" s="13" t="s">
        <v>34</v>
      </c>
      <c r="N1" s="13" t="s">
        <v>35</v>
      </c>
      <c r="O1" s="13" t="s">
        <v>36</v>
      </c>
      <c r="P1"/>
      <c r="Q1"/>
      <c r="R1"/>
      <c r="T1"/>
    </row>
    <row r="2" spans="1:20">
      <c r="A2">
        <v>0</v>
      </c>
      <c r="B2">
        <v>0</v>
      </c>
      <c r="C2" s="6">
        <f>SUM(E2:K2)</f>
        <v>2.6032556353186056</v>
      </c>
      <c r="D2" s="19">
        <f t="shared" ref="D2" si="0">(C2-B2)^2</f>
        <v>6.7769399028180768</v>
      </c>
      <c r="E2" s="3">
        <f>Ft!$B$12+Ft!$B$14*(Data!A2-Vars!$B$3)</f>
        <v>0</v>
      </c>
      <c r="F2" s="3">
        <f>IF(($A2-Ft!B$2)&lt;0,Ft!B$3*((1-Ft!B$6)/(1+Ft!B$37*($A2-Ft!B$2)^2)+Ft!B$6*EXP(Ft!B$38*($A2-Ft!B$2)^2)),Ft!B$3*((1-Ft!B$7)/(1+Ft!B$39*($A2-Ft!B$2)^2)+Ft!B$7*EXP(Ft!B$40*($A2-Ft!B$2)^2)))</f>
        <v>0.23460301613990292</v>
      </c>
      <c r="G2" s="3">
        <f>IF(($A2-Ft!C$2)&lt;0,Ft!C$3*((1-Ft!C$6)/(1+Ft!C$37*($A2-Ft!C$2)^2)+Ft!C$6*EXP(Ft!C$38*($A2-Ft!C$2)^2)),Ft!C$3*((1-Ft!C$7)/(1+Ft!C$39*($A2-Ft!C$2)^2)+Ft!C$7*EXP(Ft!C$40*($A2-Ft!C$2)^2)))</f>
        <v>1.9116710598966618</v>
      </c>
      <c r="H2" s="3">
        <f>IF(($A2-Ft!D$2)&lt;0,Ft!D$3*((1-Ft!D$6)/(1+Ft!D$37*($A2-Ft!D$2)^2)+Ft!D$6*EXP(Ft!D$38*($A2-Ft!D$2)^2)),Ft!D$3*((1-Ft!D$7)/(1+Ft!D$39*($A2-Ft!D$2)^2)+Ft!D$7*EXP(Ft!D$40*($A2-Ft!D$2)^2)))</f>
        <v>0.45698093274234325</v>
      </c>
      <c r="I2" s="3">
        <f>IF(($A2-Ft!E$2)&lt;0,Ft!E$3*((1-Ft!E$6)/(1+Ft!E$37*($A2-Ft!E$2)^2)+Ft!E$6*EXP(Ft!E$38*($A2-Ft!E$2)^2)),Ft!E$3*((1-Ft!E$7)/(1+Ft!E$39*($A2-Ft!E$2)^2)+Ft!E$7*EXP(Ft!E$40*($A2-Ft!E$2)^2)))</f>
        <v>6.2653969799103211E-7</v>
      </c>
      <c r="J2" s="3">
        <f>IF(($A2-Ft!F$2)&lt;0,Ft!F$3*((1-Ft!F$6)/(1+Ft!F$37*($A2-Ft!F$2)^2)+Ft!F$6*EXP(Ft!F$38*($A2-Ft!F$2)^2)),Ft!F$3*((1-Ft!F$7)/(1+Ft!F$39*($A2-Ft!F$2)^2)+Ft!F$7*EXP(Ft!F$40*($A2-Ft!F$2)^2)))</f>
        <v>4.4269783094853116E-117</v>
      </c>
      <c r="K2" s="3">
        <f>IF(($A2-Ft!G$2)&lt;0,Ft!G$3*((1-Ft!G$6)/(1+Ft!G$37*($A2-Ft!G$2)^2)+Ft!G$6*EXP(Ft!G$38*($A2-Ft!G$2)^2)),Ft!G$3*((1-Ft!G$7)/(1+Ft!G$39*($A2-Ft!G$2)^2)+Ft!G$7*EXP(Ft!G$40*($A2-Ft!G$2)^2)))</f>
        <v>0</v>
      </c>
      <c r="L2" s="3">
        <f>IF(($A2-Ft!H$2)&lt;0,Ft!H$3*((1-Ft!H$6)/(1+Ft!H$37*($A2-Ft!H$2)^2)+Ft!H$6*EXP(Ft!H$38*($A2-Ft!H$2)^2)),Ft!H$3*((1-Ft!H$7)/(1+Ft!H$39*($A2-Ft!H$2)^2)+Ft!H$7*EXP(Ft!H$40*($A2-Ft!H$2)^2)))</f>
        <v>0</v>
      </c>
      <c r="M2" s="3">
        <f>IF(($A2-Ft!I$2)&lt;0,Ft!I$3*((1-Ft!I$6)/(1+Ft!I$37*($A2-Ft!I$2)^2)+Ft!I$6*EXP(Ft!I$38*($A2-Ft!I$2)^2)),Ft!I$3*((1-Ft!I$7)/(1+Ft!I$39*($A2-Ft!I$2)^2)+Ft!I$7*EXP(Ft!I$40*($A2-Ft!I$2)^2)))</f>
        <v>0</v>
      </c>
      <c r="N2" s="3">
        <f>IF(($A2-Ft!J$2)&lt;0,Ft!J$3*((1-Ft!J$6)/(1+Ft!J$37*($A2-Ft!J$2)^2)+Ft!J$6*EXP(Ft!J$38*($A2-Ft!J$2)^2)),Ft!J$3*((1-Ft!J$7)/(1+Ft!J$39*($A2-Ft!J$2)^2)+Ft!J$7*EXP(Ft!J$40*($A2-Ft!J$2)^2)))</f>
        <v>0</v>
      </c>
      <c r="O2" s="3">
        <f>IF(($A2-Ft!K$2)&lt;0,Ft!K$3*((1-Ft!K$6)/(1+Ft!K$37*($A2-Ft!K$2)^2)+Ft!K$6*EXP(Ft!K$38*($A2-Ft!K$2)^2)),Ft!K$3*((1-Ft!K$7)/(1+Ft!K$39*($A2-Ft!K$2)^2)+Ft!K$7*EXP(Ft!K$40*($A2-Ft!K$2)^2)))</f>
        <v>0</v>
      </c>
    </row>
    <row r="3" spans="1:20">
      <c r="A3">
        <v>2</v>
      </c>
      <c r="B3">
        <v>0.65021008808299996</v>
      </c>
      <c r="C3" s="6">
        <f t="shared" ref="C3:C66" si="1">SUM(E3:K3)</f>
        <v>2.7648507122197321</v>
      </c>
      <c r="D3" s="19">
        <f t="shared" ref="D3:D66" si="2">(C3-B3)^2</f>
        <v>4.4717049692493882</v>
      </c>
      <c r="E3" s="3">
        <f>Ft!$B$12+Ft!$B$14*(Data!A3-Vars!$B$3)</f>
        <v>0</v>
      </c>
      <c r="F3" s="3">
        <f>IF(($A3-Ft!B$2)&lt;0,Ft!B$3*((1-Ft!B$6)/(1+Ft!B$37*($A3-Ft!B$2)^2)+Ft!B$6*EXP(Ft!B$38*($A3-Ft!B$2)^2)),Ft!B$3*((1-Ft!B$7)/(1+Ft!B$39*($A3-Ft!B$2)^2)+Ft!B$7*EXP(Ft!B$40*($A3-Ft!B$2)^2)))</f>
        <v>0.29367989296236052</v>
      </c>
      <c r="G3" s="3">
        <f>IF(($A3-Ft!C$2)&lt;0,Ft!C$3*((1-Ft!C$6)/(1+Ft!C$37*($A3-Ft!C$2)^2)+Ft!C$6*EXP(Ft!C$38*($A3-Ft!C$2)^2)),Ft!C$3*((1-Ft!C$7)/(1+Ft!C$39*($A3-Ft!C$2)^2)+Ft!C$7*EXP(Ft!C$40*($A3-Ft!C$2)^2)))</f>
        <v>1.9990478368997571</v>
      </c>
      <c r="H3" s="3">
        <f>IF(($A3-Ft!D$2)&lt;0,Ft!D$3*((1-Ft!D$6)/(1+Ft!D$37*($A3-Ft!D$2)^2)+Ft!D$6*EXP(Ft!D$38*($A3-Ft!D$2)^2)),Ft!D$3*((1-Ft!D$7)/(1+Ft!D$39*($A3-Ft!D$2)^2)+Ft!D$7*EXP(Ft!D$40*($A3-Ft!D$2)^2)))</f>
        <v>0.47212230179710046</v>
      </c>
      <c r="I3" s="3">
        <f>IF(($A3-Ft!E$2)&lt;0,Ft!E$3*((1-Ft!E$6)/(1+Ft!E$37*($A3-Ft!E$2)^2)+Ft!E$6*EXP(Ft!E$38*($A3-Ft!E$2)^2)),Ft!E$3*((1-Ft!E$7)/(1+Ft!E$39*($A3-Ft!E$2)^2)+Ft!E$7*EXP(Ft!E$40*($A3-Ft!E$2)^2)))</f>
        <v>6.8056051428158722E-7</v>
      </c>
      <c r="J3" s="3">
        <f>IF(($A3-Ft!F$2)&lt;0,Ft!F$3*((1-Ft!F$6)/(1+Ft!F$37*($A3-Ft!F$2)^2)+Ft!F$6*EXP(Ft!F$38*($A3-Ft!F$2)^2)),Ft!F$3*((1-Ft!F$7)/(1+Ft!F$39*($A3-Ft!F$2)^2)+Ft!F$7*EXP(Ft!F$40*($A3-Ft!F$2)^2)))</f>
        <v>1.2983684256226789E-116</v>
      </c>
      <c r="K3" s="3">
        <f>IF(($A3-Ft!G$2)&lt;0,Ft!G$3*((1-Ft!G$6)/(1+Ft!G$37*($A3-Ft!G$2)^2)+Ft!G$6*EXP(Ft!G$38*($A3-Ft!G$2)^2)),Ft!G$3*((1-Ft!G$7)/(1+Ft!G$39*($A3-Ft!G$2)^2)+Ft!G$7*EXP(Ft!G$40*($A3-Ft!G$2)^2)))</f>
        <v>0</v>
      </c>
      <c r="L3" s="3">
        <f>IF(($A3-Ft!H$2)&lt;0,Ft!H$3*((1-Ft!H$6)/(1+Ft!H$37*($A3-Ft!H$2)^2)+Ft!H$6*EXP(Ft!H$38*($A3-Ft!H$2)^2)),Ft!H$3*((1-Ft!H$7)/(1+Ft!H$39*($A3-Ft!H$2)^2)+Ft!H$7*EXP(Ft!H$40*($A3-Ft!H$2)^2)))</f>
        <v>0</v>
      </c>
      <c r="M3" s="3">
        <f>IF(($A3-Ft!I$2)&lt;0,Ft!I$3*((1-Ft!I$6)/(1+Ft!I$37*($A3-Ft!I$2)^2)+Ft!I$6*EXP(Ft!I$38*($A3-Ft!I$2)^2)),Ft!I$3*((1-Ft!I$7)/(1+Ft!I$39*($A3-Ft!I$2)^2)+Ft!I$7*EXP(Ft!I$40*($A3-Ft!I$2)^2)))</f>
        <v>0</v>
      </c>
      <c r="N3" s="3">
        <f>IF(($A3-Ft!J$2)&lt;0,Ft!J$3*((1-Ft!J$6)/(1+Ft!J$37*($A3-Ft!J$2)^2)+Ft!J$6*EXP(Ft!J$38*($A3-Ft!J$2)^2)),Ft!J$3*((1-Ft!J$7)/(1+Ft!J$39*($A3-Ft!J$2)^2)+Ft!J$7*EXP(Ft!J$40*($A3-Ft!J$2)^2)))</f>
        <v>0</v>
      </c>
      <c r="O3" s="3">
        <f>IF(($A3-Ft!K$2)&lt;0,Ft!K$3*((1-Ft!K$6)/(1+Ft!K$37*($A3-Ft!K$2)^2)+Ft!K$6*EXP(Ft!K$38*($A3-Ft!K$2)^2)),Ft!K$3*((1-Ft!K$7)/(1+Ft!K$39*($A3-Ft!K$2)^2)+Ft!K$7*EXP(Ft!K$40*($A3-Ft!K$2)^2)))</f>
        <v>0</v>
      </c>
      <c r="P3"/>
      <c r="Q3"/>
    </row>
    <row r="4" spans="1:20">
      <c r="A4">
        <v>4</v>
      </c>
      <c r="B4">
        <v>1.2772538376249969</v>
      </c>
      <c r="C4" s="6">
        <f t="shared" si="1"/>
        <v>2.940692146853634</v>
      </c>
      <c r="D4" s="19">
        <f t="shared" si="2"/>
        <v>2.7670270086094271</v>
      </c>
      <c r="E4" s="3">
        <f>Ft!$B$12+Ft!$B$14*(Data!A4-Vars!$B$3)</f>
        <v>0</v>
      </c>
      <c r="F4" s="3">
        <f>IF(($A4-Ft!B$2)&lt;0,Ft!B$3*((1-Ft!B$6)/(1+Ft!B$37*($A4-Ft!B$2)^2)+Ft!B$6*EXP(Ft!B$38*($A4-Ft!B$2)^2)),Ft!B$3*((1-Ft!B$7)/(1+Ft!B$39*($A4-Ft!B$2)^2)+Ft!B$7*EXP(Ft!B$40*($A4-Ft!B$2)^2)))</f>
        <v>0.36393507704973993</v>
      </c>
      <c r="G4" s="3">
        <f>IF(($A4-Ft!C$2)&lt;0,Ft!C$3*((1-Ft!C$6)/(1+Ft!C$37*($A4-Ft!C$2)^2)+Ft!C$6*EXP(Ft!C$38*($A4-Ft!C$2)^2)),Ft!C$3*((1-Ft!C$7)/(1+Ft!C$39*($A4-Ft!C$2)^2)+Ft!C$7*EXP(Ft!C$40*($A4-Ft!C$2)^2)))</f>
        <v>2.0890610908736491</v>
      </c>
      <c r="H4" s="3">
        <f>IF(($A4-Ft!D$2)&lt;0,Ft!D$3*((1-Ft!D$6)/(1+Ft!D$37*($A4-Ft!D$2)^2)+Ft!D$6*EXP(Ft!D$38*($A4-Ft!D$2)^2)),Ft!D$3*((1-Ft!D$7)/(1+Ft!D$39*($A4-Ft!D$2)^2)+Ft!D$7*EXP(Ft!D$40*($A4-Ft!D$2)^2)))</f>
        <v>0.48769523984002788</v>
      </c>
      <c r="I4" s="3">
        <f>IF(($A4-Ft!E$2)&lt;0,Ft!E$3*((1-Ft!E$6)/(1+Ft!E$37*($A4-Ft!E$2)^2)+Ft!E$6*EXP(Ft!E$38*($A4-Ft!E$2)^2)),Ft!E$3*((1-Ft!E$7)/(1+Ft!E$39*($A4-Ft!E$2)^2)+Ft!E$7*EXP(Ft!E$40*($A4-Ft!E$2)^2)))</f>
        <v>7.3909021716975983E-7</v>
      </c>
      <c r="J4" s="3">
        <f>IF(($A4-Ft!F$2)&lt;0,Ft!F$3*((1-Ft!F$6)/(1+Ft!F$37*($A4-Ft!F$2)^2)+Ft!F$6*EXP(Ft!F$38*($A4-Ft!F$2)^2)),Ft!F$3*((1-Ft!F$7)/(1+Ft!F$39*($A4-Ft!F$2)^2)+Ft!F$7*EXP(Ft!F$40*($A4-Ft!F$2)^2)))</f>
        <v>3.7997390414408062E-116</v>
      </c>
      <c r="K4" s="3">
        <f>IF(($A4-Ft!G$2)&lt;0,Ft!G$3*((1-Ft!G$6)/(1+Ft!G$37*($A4-Ft!G$2)^2)+Ft!G$6*EXP(Ft!G$38*($A4-Ft!G$2)^2)),Ft!G$3*((1-Ft!G$7)/(1+Ft!G$39*($A4-Ft!G$2)^2)+Ft!G$7*EXP(Ft!G$40*($A4-Ft!G$2)^2)))</f>
        <v>0</v>
      </c>
      <c r="L4" s="3">
        <f>IF(($A4-Ft!H$2)&lt;0,Ft!H$3*((1-Ft!H$6)/(1+Ft!H$37*($A4-Ft!H$2)^2)+Ft!H$6*EXP(Ft!H$38*($A4-Ft!H$2)^2)),Ft!H$3*((1-Ft!H$7)/(1+Ft!H$39*($A4-Ft!H$2)^2)+Ft!H$7*EXP(Ft!H$40*($A4-Ft!H$2)^2)))</f>
        <v>0</v>
      </c>
      <c r="M4" s="3">
        <f>IF(($A4-Ft!I$2)&lt;0,Ft!I$3*((1-Ft!I$6)/(1+Ft!I$37*($A4-Ft!I$2)^2)+Ft!I$6*EXP(Ft!I$38*($A4-Ft!I$2)^2)),Ft!I$3*((1-Ft!I$7)/(1+Ft!I$39*($A4-Ft!I$2)^2)+Ft!I$7*EXP(Ft!I$40*($A4-Ft!I$2)^2)))</f>
        <v>0</v>
      </c>
      <c r="N4" s="3">
        <f>IF(($A4-Ft!J$2)&lt;0,Ft!J$3*((1-Ft!J$6)/(1+Ft!J$37*($A4-Ft!J$2)^2)+Ft!J$6*EXP(Ft!J$38*($A4-Ft!J$2)^2)),Ft!J$3*((1-Ft!J$7)/(1+Ft!J$39*($A4-Ft!J$2)^2)+Ft!J$7*EXP(Ft!J$40*($A4-Ft!J$2)^2)))</f>
        <v>0</v>
      </c>
      <c r="O4" s="3">
        <f>IF(($A4-Ft!K$2)&lt;0,Ft!K$3*((1-Ft!K$6)/(1+Ft!K$37*($A4-Ft!K$2)^2)+Ft!K$6*EXP(Ft!K$38*($A4-Ft!K$2)^2)),Ft!K$3*((1-Ft!K$7)/(1+Ft!K$39*($A4-Ft!K$2)^2)+Ft!K$7*EXP(Ft!K$40*($A4-Ft!K$2)^2)))</f>
        <v>0</v>
      </c>
      <c r="P4"/>
      <c r="Q4"/>
    </row>
    <row r="5" spans="1:20">
      <c r="A5">
        <v>6</v>
      </c>
      <c r="B5">
        <v>1.8801638359479966</v>
      </c>
      <c r="C5" s="6">
        <f t="shared" si="1"/>
        <v>3.1318804016725794</v>
      </c>
      <c r="D5" s="19">
        <f t="shared" si="2"/>
        <v>1.5667943609093438</v>
      </c>
      <c r="E5" s="3">
        <f>Ft!$B$12+Ft!$B$14*(Data!A5-Vars!$B$3)</f>
        <v>0</v>
      </c>
      <c r="F5" s="3">
        <f>IF(($A5-Ft!B$2)&lt;0,Ft!B$3*((1-Ft!B$6)/(1+Ft!B$37*($A5-Ft!B$2)^2)+Ft!B$6*EXP(Ft!B$38*($A5-Ft!B$2)^2)),Ft!B$3*((1-Ft!B$7)/(1+Ft!B$39*($A5-Ft!B$2)^2)+Ft!B$7*EXP(Ft!B$40*($A5-Ft!B$2)^2)))</f>
        <v>0.44646014902483294</v>
      </c>
      <c r="G5" s="3">
        <f>IF(($A5-Ft!C$2)&lt;0,Ft!C$3*((1-Ft!C$6)/(1+Ft!C$37*($A5-Ft!C$2)^2)+Ft!C$6*EXP(Ft!C$38*($A5-Ft!C$2)^2)),Ft!C$3*((1-Ft!C$7)/(1+Ft!C$39*($A5-Ft!C$2)^2)+Ft!C$7*EXP(Ft!C$40*($A5-Ft!C$2)^2)))</f>
        <v>2.1817100191216827</v>
      </c>
      <c r="H5" s="3">
        <f>IF(($A5-Ft!D$2)&lt;0,Ft!D$3*((1-Ft!D$6)/(1+Ft!D$37*($A5-Ft!D$2)^2)+Ft!D$6*EXP(Ft!D$38*($A5-Ft!D$2)^2)),Ft!D$3*((1-Ft!D$7)/(1+Ft!D$39*($A5-Ft!D$2)^2)+Ft!D$7*EXP(Ft!D$40*($A5-Ft!D$2)^2)))</f>
        <v>0.50370943103406474</v>
      </c>
      <c r="I5" s="3">
        <f>IF(($A5-Ft!E$2)&lt;0,Ft!E$3*((1-Ft!E$6)/(1+Ft!E$37*($A5-Ft!E$2)^2)+Ft!E$6*EXP(Ft!E$38*($A5-Ft!E$2)^2)),Ft!E$3*((1-Ft!E$7)/(1+Ft!E$39*($A5-Ft!E$2)^2)+Ft!E$7*EXP(Ft!E$40*($A5-Ft!E$2)^2)))</f>
        <v>8.0249199887696744E-7</v>
      </c>
      <c r="J5" s="3">
        <f>IF(($A5-Ft!F$2)&lt;0,Ft!F$3*((1-Ft!F$6)/(1+Ft!F$37*($A5-Ft!F$2)^2)+Ft!F$6*EXP(Ft!F$38*($A5-Ft!F$2)^2)),Ft!F$3*((1-Ft!F$7)/(1+Ft!F$39*($A5-Ft!F$2)^2)+Ft!F$7*EXP(Ft!F$40*($A5-Ft!F$2)^2)))</f>
        <v>1.1096215201365016E-115</v>
      </c>
      <c r="K5" s="3">
        <f>IF(($A5-Ft!G$2)&lt;0,Ft!G$3*((1-Ft!G$6)/(1+Ft!G$37*($A5-Ft!G$2)^2)+Ft!G$6*EXP(Ft!G$38*($A5-Ft!G$2)^2)),Ft!G$3*((1-Ft!G$7)/(1+Ft!G$39*($A5-Ft!G$2)^2)+Ft!G$7*EXP(Ft!G$40*($A5-Ft!G$2)^2)))</f>
        <v>0</v>
      </c>
      <c r="L5" s="3">
        <f>IF(($A5-Ft!H$2)&lt;0,Ft!H$3*((1-Ft!H$6)/(1+Ft!H$37*($A5-Ft!H$2)^2)+Ft!H$6*EXP(Ft!H$38*($A5-Ft!H$2)^2)),Ft!H$3*((1-Ft!H$7)/(1+Ft!H$39*($A5-Ft!H$2)^2)+Ft!H$7*EXP(Ft!H$40*($A5-Ft!H$2)^2)))</f>
        <v>0</v>
      </c>
      <c r="M5" s="3">
        <f>IF(($A5-Ft!I$2)&lt;0,Ft!I$3*((1-Ft!I$6)/(1+Ft!I$37*($A5-Ft!I$2)^2)+Ft!I$6*EXP(Ft!I$38*($A5-Ft!I$2)^2)),Ft!I$3*((1-Ft!I$7)/(1+Ft!I$39*($A5-Ft!I$2)^2)+Ft!I$7*EXP(Ft!I$40*($A5-Ft!I$2)^2)))</f>
        <v>0</v>
      </c>
      <c r="N5" s="3">
        <f>IF(($A5-Ft!J$2)&lt;0,Ft!J$3*((1-Ft!J$6)/(1+Ft!J$37*($A5-Ft!J$2)^2)+Ft!J$6*EXP(Ft!J$38*($A5-Ft!J$2)^2)),Ft!J$3*((1-Ft!J$7)/(1+Ft!J$39*($A5-Ft!J$2)^2)+Ft!J$7*EXP(Ft!J$40*($A5-Ft!J$2)^2)))</f>
        <v>0</v>
      </c>
      <c r="O5" s="3">
        <f>IF(($A5-Ft!K$2)&lt;0,Ft!K$3*((1-Ft!K$6)/(1+Ft!K$37*($A5-Ft!K$2)^2)+Ft!K$6*EXP(Ft!K$38*($A5-Ft!K$2)^2)),Ft!K$3*((1-Ft!K$7)/(1+Ft!K$39*($A5-Ft!K$2)^2)+Ft!K$7*EXP(Ft!K$40*($A5-Ft!K$2)^2)))</f>
        <v>0</v>
      </c>
      <c r="P5"/>
      <c r="Q5"/>
    </row>
    <row r="6" spans="1:20">
      <c r="A6">
        <v>8</v>
      </c>
      <c r="B6">
        <v>2.4579726703749998</v>
      </c>
      <c r="C6" s="6">
        <f t="shared" si="1"/>
        <v>3.339352919770084</v>
      </c>
      <c r="D6" s="19">
        <f t="shared" si="2"/>
        <v>0.77683114402374076</v>
      </c>
      <c r="E6" s="3">
        <f>Ft!$B$12+Ft!$B$14*(Data!A6-Vars!$B$3)</f>
        <v>0</v>
      </c>
      <c r="F6" s="3">
        <f>IF(($A6-Ft!B$2)&lt;0,Ft!B$3*((1-Ft!B$6)/(1+Ft!B$37*($A6-Ft!B$2)^2)+Ft!B$6*EXP(Ft!B$38*($A6-Ft!B$2)^2)),Ft!B$3*((1-Ft!B$7)/(1+Ft!B$39*($A6-Ft!B$2)^2)+Ft!B$7*EXP(Ft!B$40*($A6-Ft!B$2)^2)))</f>
        <v>0.54218882809259517</v>
      </c>
      <c r="G6" s="3">
        <f>IF(($A6-Ft!C$2)&lt;0,Ft!C$3*((1-Ft!C$6)/(1+Ft!C$37*($A6-Ft!C$2)^2)+Ft!C$6*EXP(Ft!C$38*($A6-Ft!C$2)^2)),Ft!C$3*((1-Ft!C$7)/(1+Ft!C$39*($A6-Ft!C$2)^2)+Ft!C$7*EXP(Ft!C$40*($A6-Ft!C$2)^2)))</f>
        <v>2.2769885356822246</v>
      </c>
      <c r="H6" s="3">
        <f>IF(($A6-Ft!D$2)&lt;0,Ft!D$3*((1-Ft!D$6)/(1+Ft!D$37*($A6-Ft!D$2)^2)+Ft!D$6*EXP(Ft!D$38*($A6-Ft!D$2)^2)),Ft!D$3*((1-Ft!D$7)/(1+Ft!D$39*($A6-Ft!D$2)^2)+Ft!D$7*EXP(Ft!D$40*($A6-Ft!D$2)^2)))</f>
        <v>0.52017468483808571</v>
      </c>
      <c r="I6" s="3">
        <f>IF(($A6-Ft!E$2)&lt;0,Ft!E$3*((1-Ft!E$6)/(1+Ft!E$37*($A6-Ft!E$2)^2)+Ft!E$6*EXP(Ft!E$38*($A6-Ft!E$2)^2)),Ft!E$3*((1-Ft!E$7)/(1+Ft!E$39*($A6-Ft!E$2)^2)+Ft!E$7*EXP(Ft!E$40*($A6-Ft!E$2)^2)))</f>
        <v>8.7115717822067718E-7</v>
      </c>
      <c r="J6" s="3">
        <f>IF(($A6-Ft!F$2)&lt;0,Ft!F$3*((1-Ft!F$6)/(1+Ft!F$37*($A6-Ft!F$2)^2)+Ft!F$6*EXP(Ft!F$38*($A6-Ft!F$2)^2)),Ft!F$3*((1-Ft!F$7)/(1+Ft!F$39*($A6-Ft!F$2)^2)+Ft!F$7*EXP(Ft!F$40*($A6-Ft!F$2)^2)))</f>
        <v>3.2334134819960403E-115</v>
      </c>
      <c r="K6" s="3">
        <f>IF(($A6-Ft!G$2)&lt;0,Ft!G$3*((1-Ft!G$6)/(1+Ft!G$37*($A6-Ft!G$2)^2)+Ft!G$6*EXP(Ft!G$38*($A6-Ft!G$2)^2)),Ft!G$3*((1-Ft!G$7)/(1+Ft!G$39*($A6-Ft!G$2)^2)+Ft!G$7*EXP(Ft!G$40*($A6-Ft!G$2)^2)))</f>
        <v>0</v>
      </c>
      <c r="L6" s="3">
        <f>IF(($A6-Ft!H$2)&lt;0,Ft!H$3*((1-Ft!H$6)/(1+Ft!H$37*($A6-Ft!H$2)^2)+Ft!H$6*EXP(Ft!H$38*($A6-Ft!H$2)^2)),Ft!H$3*((1-Ft!H$7)/(1+Ft!H$39*($A6-Ft!H$2)^2)+Ft!H$7*EXP(Ft!H$40*($A6-Ft!H$2)^2)))</f>
        <v>0</v>
      </c>
      <c r="M6" s="3">
        <f>IF(($A6-Ft!I$2)&lt;0,Ft!I$3*((1-Ft!I$6)/(1+Ft!I$37*($A6-Ft!I$2)^2)+Ft!I$6*EXP(Ft!I$38*($A6-Ft!I$2)^2)),Ft!I$3*((1-Ft!I$7)/(1+Ft!I$39*($A6-Ft!I$2)^2)+Ft!I$7*EXP(Ft!I$40*($A6-Ft!I$2)^2)))</f>
        <v>0</v>
      </c>
      <c r="N6" s="3">
        <f>IF(($A6-Ft!J$2)&lt;0,Ft!J$3*((1-Ft!J$6)/(1+Ft!J$37*($A6-Ft!J$2)^2)+Ft!J$6*EXP(Ft!J$38*($A6-Ft!J$2)^2)),Ft!J$3*((1-Ft!J$7)/(1+Ft!J$39*($A6-Ft!J$2)^2)+Ft!J$7*EXP(Ft!J$40*($A6-Ft!J$2)^2)))</f>
        <v>0</v>
      </c>
      <c r="O6" s="3">
        <f>IF(($A6-Ft!K$2)&lt;0,Ft!K$3*((1-Ft!K$6)/(1+Ft!K$37*($A6-Ft!K$2)^2)+Ft!K$6*EXP(Ft!K$38*($A6-Ft!K$2)^2)),Ft!K$3*((1-Ft!K$7)/(1+Ft!K$39*($A6-Ft!K$2)^2)+Ft!K$7*EXP(Ft!K$40*($A6-Ft!K$2)^2)))</f>
        <v>0</v>
      </c>
      <c r="P6"/>
      <c r="Q6"/>
    </row>
    <row r="7" spans="1:20">
      <c r="A7">
        <v>10</v>
      </c>
      <c r="B7">
        <v>3.0097129282259942</v>
      </c>
      <c r="C7" s="6">
        <f t="shared" si="1"/>
        <v>3.5638066754763247</v>
      </c>
      <c r="D7" s="19">
        <f t="shared" si="2"/>
        <v>0.30701988074191305</v>
      </c>
      <c r="E7" s="3">
        <f>Ft!$B$12+Ft!$B$14*(Data!A7-Vars!$B$3)</f>
        <v>0</v>
      </c>
      <c r="F7" s="3">
        <f>IF(($A7-Ft!B$2)&lt;0,Ft!B$3*((1-Ft!B$6)/(1+Ft!B$37*($A7-Ft!B$2)^2)+Ft!B$6*EXP(Ft!B$38*($A7-Ft!B$2)^2)),Ft!B$3*((1-Ft!B$7)/(1+Ft!B$39*($A7-Ft!B$2)^2)+Ft!B$7*EXP(Ft!B$40*($A7-Ft!B$2)^2)))</f>
        <v>0.65181974235934392</v>
      </c>
      <c r="G7" s="3">
        <f>IF(($A7-Ft!C$2)&lt;0,Ft!C$3*((1-Ft!C$6)/(1+Ft!C$37*($A7-Ft!C$2)^2)+Ft!C$6*EXP(Ft!C$38*($A7-Ft!C$2)^2)),Ft!C$3*((1-Ft!C$7)/(1+Ft!C$39*($A7-Ft!C$2)^2)+Ft!C$7*EXP(Ft!C$40*($A7-Ft!C$2)^2)))</f>
        <v>2.3748850532211372</v>
      </c>
      <c r="H7" s="3">
        <f>IF(($A7-Ft!D$2)&lt;0,Ft!D$3*((1-Ft!D$6)/(1+Ft!D$37*($A7-Ft!D$2)^2)+Ft!D$6*EXP(Ft!D$38*($A7-Ft!D$2)^2)),Ft!D$3*((1-Ft!D$7)/(1+Ft!D$39*($A7-Ft!D$2)^2)+Ft!D$7*EXP(Ft!D$40*($A7-Ft!D$2)^2)))</f>
        <v>0.53710093438855877</v>
      </c>
      <c r="I7" s="3">
        <f>IF(($A7-Ft!E$2)&lt;0,Ft!E$3*((1-Ft!E$6)/(1+Ft!E$37*($A7-Ft!E$2)^2)+Ft!E$6*EXP(Ft!E$38*($A7-Ft!E$2)^2)),Ft!E$3*((1-Ft!E$7)/(1+Ft!E$39*($A7-Ft!E$2)^2)+Ft!E$7*EXP(Ft!E$40*($A7-Ft!E$2)^2)))</f>
        <v>9.4550728478138508E-7</v>
      </c>
      <c r="J7" s="3">
        <f>IF(($A7-Ft!F$2)&lt;0,Ft!F$3*((1-Ft!F$6)/(1+Ft!F$37*($A7-Ft!F$2)^2)+Ft!F$6*EXP(Ft!F$38*($A7-Ft!F$2)^2)),Ft!F$3*((1-Ft!F$7)/(1+Ft!F$39*($A7-Ft!F$2)^2)+Ft!F$7*EXP(Ft!F$40*($A7-Ft!F$2)^2)))</f>
        <v>9.4018407956323513E-115</v>
      </c>
      <c r="K7" s="3">
        <f>IF(($A7-Ft!G$2)&lt;0,Ft!G$3*((1-Ft!G$6)/(1+Ft!G$37*($A7-Ft!G$2)^2)+Ft!G$6*EXP(Ft!G$38*($A7-Ft!G$2)^2)),Ft!G$3*((1-Ft!G$7)/(1+Ft!G$39*($A7-Ft!G$2)^2)+Ft!G$7*EXP(Ft!G$40*($A7-Ft!G$2)^2)))</f>
        <v>0</v>
      </c>
      <c r="L7" s="3">
        <f>IF(($A7-Ft!H$2)&lt;0,Ft!H$3*((1-Ft!H$6)/(1+Ft!H$37*($A7-Ft!H$2)^2)+Ft!H$6*EXP(Ft!H$38*($A7-Ft!H$2)^2)),Ft!H$3*((1-Ft!H$7)/(1+Ft!H$39*($A7-Ft!H$2)^2)+Ft!H$7*EXP(Ft!H$40*($A7-Ft!H$2)^2)))</f>
        <v>0</v>
      </c>
      <c r="M7" s="3">
        <f>IF(($A7-Ft!I$2)&lt;0,Ft!I$3*((1-Ft!I$6)/(1+Ft!I$37*($A7-Ft!I$2)^2)+Ft!I$6*EXP(Ft!I$38*($A7-Ft!I$2)^2)),Ft!I$3*((1-Ft!I$7)/(1+Ft!I$39*($A7-Ft!I$2)^2)+Ft!I$7*EXP(Ft!I$40*($A7-Ft!I$2)^2)))</f>
        <v>0</v>
      </c>
      <c r="N7" s="3">
        <f>IF(($A7-Ft!J$2)&lt;0,Ft!J$3*((1-Ft!J$6)/(1+Ft!J$37*($A7-Ft!J$2)^2)+Ft!J$6*EXP(Ft!J$38*($A7-Ft!J$2)^2)),Ft!J$3*((1-Ft!J$7)/(1+Ft!J$39*($A7-Ft!J$2)^2)+Ft!J$7*EXP(Ft!J$40*($A7-Ft!J$2)^2)))</f>
        <v>0</v>
      </c>
      <c r="O7" s="3">
        <f>IF(($A7-Ft!K$2)&lt;0,Ft!K$3*((1-Ft!K$6)/(1+Ft!K$37*($A7-Ft!K$2)^2)+Ft!K$6*EXP(Ft!K$38*($A7-Ft!K$2)^2)),Ft!K$3*((1-Ft!K$7)/(1+Ft!K$39*($A7-Ft!K$2)^2)+Ft!K$7*EXP(Ft!K$40*($A7-Ft!K$2)^2)))</f>
        <v>0</v>
      </c>
      <c r="P7"/>
      <c r="Q7"/>
    </row>
    <row r="8" spans="1:20">
      <c r="A8">
        <v>12</v>
      </c>
      <c r="B8">
        <v>3.5344171968259985</v>
      </c>
      <c r="C8" s="6">
        <f t="shared" si="1"/>
        <v>3.8056168026781916</v>
      </c>
      <c r="D8" s="19">
        <f t="shared" si="2"/>
        <v>7.3549226214384866E-2</v>
      </c>
      <c r="E8" s="3">
        <f>Ft!$B$12+Ft!$B$14*(Data!A8-Vars!$B$3)</f>
        <v>0</v>
      </c>
      <c r="F8" s="3">
        <f>IF(($A8-Ft!B$2)&lt;0,Ft!B$3*((1-Ft!B$6)/(1+Ft!B$37*($A8-Ft!B$2)^2)+Ft!B$6*EXP(Ft!B$38*($A8-Ft!B$2)^2)),Ft!B$3*((1-Ft!B$7)/(1+Ft!B$39*($A8-Ft!B$2)^2)+Ft!B$7*EXP(Ft!B$40*($A8-Ft!B$2)^2)))</f>
        <v>0.77573526837153262</v>
      </c>
      <c r="G8" s="3">
        <f>IF(($A8-Ft!C$2)&lt;0,Ft!C$3*((1-Ft!C$6)/(1+Ft!C$37*($A8-Ft!C$2)^2)+Ft!C$6*EXP(Ft!C$38*($A8-Ft!C$2)^2)),Ft!C$3*((1-Ft!C$7)/(1+Ft!C$39*($A8-Ft!C$2)^2)+Ft!C$7*EXP(Ft!C$40*($A8-Ft!C$2)^2)))</f>
        <v>2.4753822735725208</v>
      </c>
      <c r="H8" s="3">
        <f>IF(($A8-Ft!D$2)&lt;0,Ft!D$3*((1-Ft!D$6)/(1+Ft!D$37*($A8-Ft!D$2)^2)+Ft!D$6*EXP(Ft!D$38*($A8-Ft!D$2)^2)),Ft!D$3*((1-Ft!D$7)/(1+Ft!D$39*($A8-Ft!D$2)^2)+Ft!D$7*EXP(Ft!D$40*($A8-Ft!D$2)^2)))</f>
        <v>0.55449823473784843</v>
      </c>
      <c r="I8" s="3">
        <f>IF(($A8-Ft!E$2)&lt;0,Ft!E$3*((1-Ft!E$6)/(1+Ft!E$37*($A8-Ft!E$2)^2)+Ft!E$6*EXP(Ft!E$38*($A8-Ft!E$2)^2)),Ft!E$3*((1-Ft!E$7)/(1+Ft!E$39*($A8-Ft!E$2)^2)+Ft!E$7*EXP(Ft!E$40*($A8-Ft!E$2)^2)))</f>
        <v>1.0259962899184281E-6</v>
      </c>
      <c r="J8" s="3">
        <f>IF(($A8-Ft!F$2)&lt;0,Ft!F$3*((1-Ft!F$6)/(1+Ft!F$37*($A8-Ft!F$2)^2)+Ft!F$6*EXP(Ft!F$38*($A8-Ft!F$2)^2)),Ft!F$3*((1-Ft!F$7)/(1+Ft!F$39*($A8-Ft!F$2)^2)+Ft!F$7*EXP(Ft!F$40*($A8-Ft!F$2)^2)))</f>
        <v>2.7279086006913671E-114</v>
      </c>
      <c r="K8" s="3">
        <f>IF(($A8-Ft!G$2)&lt;0,Ft!G$3*((1-Ft!G$6)/(1+Ft!G$37*($A8-Ft!G$2)^2)+Ft!G$6*EXP(Ft!G$38*($A8-Ft!G$2)^2)),Ft!G$3*((1-Ft!G$7)/(1+Ft!G$39*($A8-Ft!G$2)^2)+Ft!G$7*EXP(Ft!G$40*($A8-Ft!G$2)^2)))</f>
        <v>0</v>
      </c>
      <c r="L8" s="3">
        <f>IF(($A8-Ft!H$2)&lt;0,Ft!H$3*((1-Ft!H$6)/(1+Ft!H$37*($A8-Ft!H$2)^2)+Ft!H$6*EXP(Ft!H$38*($A8-Ft!H$2)^2)),Ft!H$3*((1-Ft!H$7)/(1+Ft!H$39*($A8-Ft!H$2)^2)+Ft!H$7*EXP(Ft!H$40*($A8-Ft!H$2)^2)))</f>
        <v>0</v>
      </c>
      <c r="M8" s="3">
        <f>IF(($A8-Ft!I$2)&lt;0,Ft!I$3*((1-Ft!I$6)/(1+Ft!I$37*($A8-Ft!I$2)^2)+Ft!I$6*EXP(Ft!I$38*($A8-Ft!I$2)^2)),Ft!I$3*((1-Ft!I$7)/(1+Ft!I$39*($A8-Ft!I$2)^2)+Ft!I$7*EXP(Ft!I$40*($A8-Ft!I$2)^2)))</f>
        <v>0</v>
      </c>
      <c r="N8" s="3">
        <f>IF(($A8-Ft!J$2)&lt;0,Ft!J$3*((1-Ft!J$6)/(1+Ft!J$37*($A8-Ft!J$2)^2)+Ft!J$6*EXP(Ft!J$38*($A8-Ft!J$2)^2)),Ft!J$3*((1-Ft!J$7)/(1+Ft!J$39*($A8-Ft!J$2)^2)+Ft!J$7*EXP(Ft!J$40*($A8-Ft!J$2)^2)))</f>
        <v>0</v>
      </c>
      <c r="O8" s="3">
        <f>IF(($A8-Ft!K$2)&lt;0,Ft!K$3*((1-Ft!K$6)/(1+Ft!K$37*($A8-Ft!K$2)^2)+Ft!K$6*EXP(Ft!K$38*($A8-Ft!K$2)^2)),Ft!K$3*((1-Ft!K$7)/(1+Ft!K$39*($A8-Ft!K$2)^2)+Ft!K$7*EXP(Ft!K$40*($A8-Ft!K$2)^2)))</f>
        <v>0</v>
      </c>
      <c r="P8"/>
      <c r="Q8"/>
    </row>
    <row r="9" spans="1:20">
      <c r="A9">
        <v>14</v>
      </c>
      <c r="B9">
        <v>4.0311180634959953</v>
      </c>
      <c r="C9" s="6">
        <f t="shared" si="1"/>
        <v>4.0647558363852818</v>
      </c>
      <c r="D9" s="19">
        <f t="shared" si="2"/>
        <v>1.131499764951217E-3</v>
      </c>
      <c r="E9" s="3">
        <f>Ft!$B$12+Ft!$B$14*(Data!A9-Vars!$B$3)</f>
        <v>0</v>
      </c>
      <c r="F9" s="3">
        <f>IF(($A9-Ft!B$2)&lt;0,Ft!B$3*((1-Ft!B$6)/(1+Ft!B$37*($A9-Ft!B$2)^2)+Ft!B$6*EXP(Ft!B$38*($A9-Ft!B$2)^2)),Ft!B$3*((1-Ft!B$7)/(1+Ft!B$39*($A9-Ft!B$2)^2)+Ft!B$7*EXP(Ft!B$40*($A9-Ft!B$2)^2)))</f>
        <v>0.91392097418762031</v>
      </c>
      <c r="G9" s="3">
        <f>IF(($A9-Ft!C$2)&lt;0,Ft!C$3*((1-Ft!C$6)/(1+Ft!C$37*($A9-Ft!C$2)^2)+Ft!C$6*EXP(Ft!C$38*($A9-Ft!C$2)^2)),Ft!C$3*((1-Ft!C$7)/(1+Ft!C$39*($A9-Ft!C$2)^2)+Ft!C$7*EXP(Ft!C$40*($A9-Ft!C$2)^2)))</f>
        <v>2.5784569881386434</v>
      </c>
      <c r="H9" s="3">
        <f>IF(($A9-Ft!D$2)&lt;0,Ft!D$3*((1-Ft!D$6)/(1+Ft!D$37*($A9-Ft!D$2)^2)+Ft!D$6*EXP(Ft!D$38*($A9-Ft!D$2)^2)),Ft!D$3*((1-Ft!D$7)/(1+Ft!D$39*($A9-Ft!D$2)^2)+Ft!D$7*EXP(Ft!D$40*($A9-Ft!D$2)^2)))</f>
        <v>0.57237676094602286</v>
      </c>
      <c r="I9" s="3">
        <f>IF(($A9-Ft!E$2)&lt;0,Ft!E$3*((1-Ft!E$6)/(1+Ft!E$37*($A9-Ft!E$2)^2)+Ft!E$6*EXP(Ft!E$38*($A9-Ft!E$2)^2)),Ft!E$3*((1-Ft!E$7)/(1+Ft!E$39*($A9-Ft!E$2)^2)+Ft!E$7*EXP(Ft!E$40*($A9-Ft!E$2)^2)))</f>
        <v>1.1131129943898208E-6</v>
      </c>
      <c r="J9" s="3">
        <f>IF(($A9-Ft!F$2)&lt;0,Ft!F$3*((1-Ft!F$6)/(1+Ft!F$37*($A9-Ft!F$2)^2)+Ft!F$6*EXP(Ft!F$38*($A9-Ft!F$2)^2)),Ft!F$3*((1-Ft!F$7)/(1+Ft!F$39*($A9-Ft!F$2)^2)+Ft!F$7*EXP(Ft!F$40*($A9-Ft!F$2)^2)))</f>
        <v>7.8979069261563009E-114</v>
      </c>
      <c r="K9" s="3">
        <f>IF(($A9-Ft!G$2)&lt;0,Ft!G$3*((1-Ft!G$6)/(1+Ft!G$37*($A9-Ft!G$2)^2)+Ft!G$6*EXP(Ft!G$38*($A9-Ft!G$2)^2)),Ft!G$3*((1-Ft!G$7)/(1+Ft!G$39*($A9-Ft!G$2)^2)+Ft!G$7*EXP(Ft!G$40*($A9-Ft!G$2)^2)))</f>
        <v>0</v>
      </c>
      <c r="L9" s="3">
        <f>IF(($A9-Ft!H$2)&lt;0,Ft!H$3*((1-Ft!H$6)/(1+Ft!H$37*($A9-Ft!H$2)^2)+Ft!H$6*EXP(Ft!H$38*($A9-Ft!H$2)^2)),Ft!H$3*((1-Ft!H$7)/(1+Ft!H$39*($A9-Ft!H$2)^2)+Ft!H$7*EXP(Ft!H$40*($A9-Ft!H$2)^2)))</f>
        <v>0</v>
      </c>
      <c r="M9" s="3">
        <f>IF(($A9-Ft!I$2)&lt;0,Ft!I$3*((1-Ft!I$6)/(1+Ft!I$37*($A9-Ft!I$2)^2)+Ft!I$6*EXP(Ft!I$38*($A9-Ft!I$2)^2)),Ft!I$3*((1-Ft!I$7)/(1+Ft!I$39*($A9-Ft!I$2)^2)+Ft!I$7*EXP(Ft!I$40*($A9-Ft!I$2)^2)))</f>
        <v>0</v>
      </c>
      <c r="N9" s="3">
        <f>IF(($A9-Ft!J$2)&lt;0,Ft!J$3*((1-Ft!J$6)/(1+Ft!J$37*($A9-Ft!J$2)^2)+Ft!J$6*EXP(Ft!J$38*($A9-Ft!J$2)^2)),Ft!J$3*((1-Ft!J$7)/(1+Ft!J$39*($A9-Ft!J$2)^2)+Ft!J$7*EXP(Ft!J$40*($A9-Ft!J$2)^2)))</f>
        <v>0</v>
      </c>
      <c r="O9" s="3">
        <f>IF(($A9-Ft!K$2)&lt;0,Ft!K$3*((1-Ft!K$6)/(1+Ft!K$37*($A9-Ft!K$2)^2)+Ft!K$6*EXP(Ft!K$38*($A9-Ft!K$2)^2)),Ft!K$3*((1-Ft!K$7)/(1+Ft!K$39*($A9-Ft!K$2)^2)+Ft!K$7*EXP(Ft!K$40*($A9-Ft!K$2)^2)))</f>
        <v>0</v>
      </c>
      <c r="P9"/>
      <c r="Q9"/>
    </row>
    <row r="10" spans="1:20">
      <c r="A10">
        <v>16</v>
      </c>
      <c r="B10">
        <v>4.4988481155579905</v>
      </c>
      <c r="C10" s="6">
        <f t="shared" si="1"/>
        <v>4.3407189950396612</v>
      </c>
      <c r="D10" s="19">
        <f t="shared" si="2"/>
        <v>2.5004818755900306E-2</v>
      </c>
      <c r="E10" s="3">
        <f>Ft!$B$12+Ft!$B$14*(Data!A10-Vars!$B$3)</f>
        <v>0</v>
      </c>
      <c r="F10" s="3">
        <f>IF(($A10-Ft!B$2)&lt;0,Ft!B$3*((1-Ft!B$6)/(1+Ft!B$37*($A10-Ft!B$2)^2)+Ft!B$6*EXP(Ft!B$38*($A10-Ft!B$2)^2)),Ft!B$3*((1-Ft!B$7)/(1+Ft!B$39*($A10-Ft!B$2)^2)+Ft!B$7*EXP(Ft!B$40*($A10-Ft!B$2)^2)))</f>
        <v>1.0658910922663616</v>
      </c>
      <c r="G10" s="3">
        <f>IF(($A10-Ft!C$2)&lt;0,Ft!C$3*((1-Ft!C$6)/(1+Ft!C$37*($A10-Ft!C$2)^2)+Ft!C$6*EXP(Ft!C$38*($A10-Ft!C$2)^2)),Ft!C$3*((1-Ft!C$7)/(1+Ft!C$39*($A10-Ft!C$2)^2)+Ft!C$7*EXP(Ft!C$40*($A10-Ft!C$2)^2)))</f>
        <v>2.6840798893666444</v>
      </c>
      <c r="H10" s="3">
        <f>IF(($A10-Ft!D$2)&lt;0,Ft!D$3*((1-Ft!D$6)/(1+Ft!D$37*($A10-Ft!D$2)^2)+Ft!D$6*EXP(Ft!D$38*($A10-Ft!D$2)^2)),Ft!D$3*((1-Ft!D$7)/(1+Ft!D$39*($A10-Ft!D$2)^2)+Ft!D$7*EXP(Ft!D$40*($A10-Ft!D$2)^2)))</f>
        <v>0.59074680602307139</v>
      </c>
      <c r="I10" s="3">
        <f>IF(($A10-Ft!E$2)&lt;0,Ft!E$3*((1-Ft!E$6)/(1+Ft!E$37*($A10-Ft!E$2)^2)+Ft!E$6*EXP(Ft!E$38*($A10-Ft!E$2)^2)),Ft!E$3*((1-Ft!E$7)/(1+Ft!E$39*($A10-Ft!E$2)^2)+Ft!E$7*EXP(Ft!E$40*($A10-Ft!E$2)^2)))</f>
        <v>1.2073835829350158E-6</v>
      </c>
      <c r="J10" s="3">
        <f>IF(($A10-Ft!F$2)&lt;0,Ft!F$3*((1-Ft!F$6)/(1+Ft!F$37*($A10-Ft!F$2)^2)+Ft!F$6*EXP(Ft!F$38*($A10-Ft!F$2)^2)),Ft!F$3*((1-Ft!F$7)/(1+Ft!F$39*($A10-Ft!F$2)^2)+Ft!F$7*EXP(Ft!F$40*($A10-Ft!F$2)^2)))</f>
        <v>2.2817049361955176E-113</v>
      </c>
      <c r="K10" s="3">
        <f>IF(($A10-Ft!G$2)&lt;0,Ft!G$3*((1-Ft!G$6)/(1+Ft!G$37*($A10-Ft!G$2)^2)+Ft!G$6*EXP(Ft!G$38*($A10-Ft!G$2)^2)),Ft!G$3*((1-Ft!G$7)/(1+Ft!G$39*($A10-Ft!G$2)^2)+Ft!G$7*EXP(Ft!G$40*($A10-Ft!G$2)^2)))</f>
        <v>0</v>
      </c>
      <c r="L10" s="3">
        <f>IF(($A10-Ft!H$2)&lt;0,Ft!H$3*((1-Ft!H$6)/(1+Ft!H$37*($A10-Ft!H$2)^2)+Ft!H$6*EXP(Ft!H$38*($A10-Ft!H$2)^2)),Ft!H$3*((1-Ft!H$7)/(1+Ft!H$39*($A10-Ft!H$2)^2)+Ft!H$7*EXP(Ft!H$40*($A10-Ft!H$2)^2)))</f>
        <v>0</v>
      </c>
      <c r="M10" s="3">
        <f>IF(($A10-Ft!I$2)&lt;0,Ft!I$3*((1-Ft!I$6)/(1+Ft!I$37*($A10-Ft!I$2)^2)+Ft!I$6*EXP(Ft!I$38*($A10-Ft!I$2)^2)),Ft!I$3*((1-Ft!I$7)/(1+Ft!I$39*($A10-Ft!I$2)^2)+Ft!I$7*EXP(Ft!I$40*($A10-Ft!I$2)^2)))</f>
        <v>0</v>
      </c>
      <c r="N10" s="3">
        <f>IF(($A10-Ft!J$2)&lt;0,Ft!J$3*((1-Ft!J$6)/(1+Ft!J$37*($A10-Ft!J$2)^2)+Ft!J$6*EXP(Ft!J$38*($A10-Ft!J$2)^2)),Ft!J$3*((1-Ft!J$7)/(1+Ft!J$39*($A10-Ft!J$2)^2)+Ft!J$7*EXP(Ft!J$40*($A10-Ft!J$2)^2)))</f>
        <v>0</v>
      </c>
      <c r="O10" s="3">
        <f>IF(($A10-Ft!K$2)&lt;0,Ft!K$3*((1-Ft!K$6)/(1+Ft!K$37*($A10-Ft!K$2)^2)+Ft!K$6*EXP(Ft!K$38*($A10-Ft!K$2)^2)),Ft!K$3*((1-Ft!K$7)/(1+Ft!K$39*($A10-Ft!K$2)^2)+Ft!K$7*EXP(Ft!K$40*($A10-Ft!K$2)^2)))</f>
        <v>0</v>
      </c>
      <c r="P10"/>
      <c r="Q10"/>
    </row>
    <row r="11" spans="1:20">
      <c r="A11">
        <v>18</v>
      </c>
      <c r="B11">
        <v>4.9374829812519891</v>
      </c>
      <c r="C11" s="6">
        <f t="shared" si="1"/>
        <v>4.6324615272854635</v>
      </c>
      <c r="D11" s="19">
        <f t="shared" si="2"/>
        <v>9.3038087379853349E-2</v>
      </c>
      <c r="E11" s="3">
        <f>Ft!$B$12+Ft!$B$14*(Data!A11-Vars!$B$3)</f>
        <v>0</v>
      </c>
      <c r="F11" s="3">
        <f>IF(($A11-Ft!B$2)&lt;0,Ft!B$3*((1-Ft!B$6)/(1+Ft!B$37*($A11-Ft!B$2)^2)+Ft!B$6*EXP(Ft!B$38*($A11-Ft!B$2)^2)),Ft!B$3*((1-Ft!B$7)/(1+Ft!B$39*($A11-Ft!B$2)^2)+Ft!B$7*EXP(Ft!B$40*($A11-Ft!B$2)^2)))</f>
        <v>1.2306260446724477</v>
      </c>
      <c r="G11" s="3">
        <f>IF(($A11-Ft!C$2)&lt;0,Ft!C$3*((1-Ft!C$6)/(1+Ft!C$37*($A11-Ft!C$2)^2)+Ft!C$6*EXP(Ft!C$38*($A11-Ft!C$2)^2)),Ft!C$3*((1-Ft!C$7)/(1+Ft!C$39*($A11-Ft!C$2)^2)+Ft!C$7*EXP(Ft!C$40*($A11-Ft!C$2)^2)))</f>
        <v>2.7922153945201713</v>
      </c>
      <c r="H11" s="3">
        <f>IF(($A11-Ft!D$2)&lt;0,Ft!D$3*((1-Ft!D$6)/(1+Ft!D$37*($A11-Ft!D$2)^2)+Ft!D$6*EXP(Ft!D$38*($A11-Ft!D$2)^2)),Ft!D$3*((1-Ft!D$7)/(1+Ft!D$39*($A11-Ft!D$2)^2)+Ft!D$7*EXP(Ft!D$40*($A11-Ft!D$2)^2)))</f>
        <v>0.60961877871848813</v>
      </c>
      <c r="I11" s="3">
        <f>IF(($A11-Ft!E$2)&lt;0,Ft!E$3*((1-Ft!E$6)/(1+Ft!E$37*($A11-Ft!E$2)^2)+Ft!E$6*EXP(Ft!E$38*($A11-Ft!E$2)^2)),Ft!E$3*((1-Ft!E$7)/(1+Ft!E$39*($A11-Ft!E$2)^2)+Ft!E$7*EXP(Ft!E$40*($A11-Ft!E$2)^2)))</f>
        <v>1.3093743568171111E-6</v>
      </c>
      <c r="J11" s="3">
        <f>IF(($A11-Ft!F$2)&lt;0,Ft!F$3*((1-Ft!F$6)/(1+Ft!F$37*($A11-Ft!F$2)^2)+Ft!F$6*EXP(Ft!F$38*($A11-Ft!F$2)^2)),Ft!F$3*((1-Ft!F$7)/(1+Ft!F$39*($A11-Ft!F$2)^2)+Ft!F$7*EXP(Ft!F$40*($A11-Ft!F$2)^2)))</f>
        <v>6.5776722015281439E-113</v>
      </c>
      <c r="K11" s="3">
        <f>IF(($A11-Ft!G$2)&lt;0,Ft!G$3*((1-Ft!G$6)/(1+Ft!G$37*($A11-Ft!G$2)^2)+Ft!G$6*EXP(Ft!G$38*($A11-Ft!G$2)^2)),Ft!G$3*((1-Ft!G$7)/(1+Ft!G$39*($A11-Ft!G$2)^2)+Ft!G$7*EXP(Ft!G$40*($A11-Ft!G$2)^2)))</f>
        <v>0</v>
      </c>
      <c r="L11" s="3">
        <f>IF(($A11-Ft!H$2)&lt;0,Ft!H$3*((1-Ft!H$6)/(1+Ft!H$37*($A11-Ft!H$2)^2)+Ft!H$6*EXP(Ft!H$38*($A11-Ft!H$2)^2)),Ft!H$3*((1-Ft!H$7)/(1+Ft!H$39*($A11-Ft!H$2)^2)+Ft!H$7*EXP(Ft!H$40*($A11-Ft!H$2)^2)))</f>
        <v>0</v>
      </c>
      <c r="M11" s="3">
        <f>IF(($A11-Ft!I$2)&lt;0,Ft!I$3*((1-Ft!I$6)/(1+Ft!I$37*($A11-Ft!I$2)^2)+Ft!I$6*EXP(Ft!I$38*($A11-Ft!I$2)^2)),Ft!I$3*((1-Ft!I$7)/(1+Ft!I$39*($A11-Ft!I$2)^2)+Ft!I$7*EXP(Ft!I$40*($A11-Ft!I$2)^2)))</f>
        <v>0</v>
      </c>
      <c r="N11" s="3">
        <f>IF(($A11-Ft!J$2)&lt;0,Ft!J$3*((1-Ft!J$6)/(1+Ft!J$37*($A11-Ft!J$2)^2)+Ft!J$6*EXP(Ft!J$38*($A11-Ft!J$2)^2)),Ft!J$3*((1-Ft!J$7)/(1+Ft!J$39*($A11-Ft!J$2)^2)+Ft!J$7*EXP(Ft!J$40*($A11-Ft!J$2)^2)))</f>
        <v>0</v>
      </c>
      <c r="O11" s="3">
        <f>IF(($A11-Ft!K$2)&lt;0,Ft!K$3*((1-Ft!K$6)/(1+Ft!K$37*($A11-Ft!K$2)^2)+Ft!K$6*EXP(Ft!K$38*($A11-Ft!K$2)^2)),Ft!K$3*((1-Ft!K$7)/(1+Ft!K$39*($A11-Ft!K$2)^2)+Ft!K$7*EXP(Ft!K$40*($A11-Ft!K$2)^2)))</f>
        <v>0</v>
      </c>
      <c r="P11"/>
      <c r="Q11"/>
    </row>
    <row r="12" spans="1:20">
      <c r="A12">
        <v>20</v>
      </c>
      <c r="B12">
        <v>5.3486787616289888</v>
      </c>
      <c r="C12" s="6">
        <f t="shared" si="1"/>
        <v>4.9383543314091449</v>
      </c>
      <c r="D12" s="19">
        <f t="shared" si="2"/>
        <v>0.16836613803523953</v>
      </c>
      <c r="E12" s="3">
        <f>Ft!$B$12+Ft!$B$14*(Data!A12-Vars!$B$3)</f>
        <v>0</v>
      </c>
      <c r="F12" s="3">
        <f>IF(($A12-Ft!B$2)&lt;0,Ft!B$3*((1-Ft!B$6)/(1+Ft!B$37*($A12-Ft!B$2)^2)+Ft!B$6*EXP(Ft!B$38*($A12-Ft!B$2)^2)),Ft!B$3*((1-Ft!B$7)/(1+Ft!B$39*($A12-Ft!B$2)^2)+Ft!B$7*EXP(Ft!B$40*($A12-Ft!B$2)^2)))</f>
        <v>1.4065282276010656</v>
      </c>
      <c r="G12" s="3">
        <f>IF(($A12-Ft!C$2)&lt;0,Ft!C$3*((1-Ft!C$6)/(1+Ft!C$37*($A12-Ft!C$2)^2)+Ft!C$6*EXP(Ft!C$38*($A12-Ft!C$2)^2)),Ft!C$3*((1-Ft!C$7)/(1+Ft!C$39*($A12-Ft!C$2)^2)+Ft!C$7*EXP(Ft!C$40*($A12-Ft!C$2)^2)))</f>
        <v>2.9028214829581831</v>
      </c>
      <c r="H12" s="3">
        <f>IF(($A12-Ft!D$2)&lt;0,Ft!D$3*((1-Ft!D$6)/(1+Ft!D$37*($A12-Ft!D$2)^2)+Ft!D$6*EXP(Ft!D$38*($A12-Ft!D$2)^2)),Ft!D$3*((1-Ft!D$7)/(1+Ft!D$39*($A12-Ft!D$2)^2)+Ft!D$7*EXP(Ft!D$40*($A12-Ft!D$2)^2)))</f>
        <v>0.62900320115524033</v>
      </c>
      <c r="I12" s="3">
        <f>IF(($A12-Ft!E$2)&lt;0,Ft!E$3*((1-Ft!E$6)/(1+Ft!E$37*($A12-Ft!E$2)^2)+Ft!E$6*EXP(Ft!E$38*($A12-Ft!E$2)^2)),Ft!E$3*((1-Ft!E$7)/(1+Ft!E$39*($A12-Ft!E$2)^2)+Ft!E$7*EXP(Ft!E$40*($A12-Ft!E$2)^2)))</f>
        <v>1.4196946559945314E-6</v>
      </c>
      <c r="J12" s="3">
        <f>IF(($A12-Ft!F$2)&lt;0,Ft!F$3*((1-Ft!F$6)/(1+Ft!F$37*($A12-Ft!F$2)^2)+Ft!F$6*EXP(Ft!F$38*($A12-Ft!F$2)^2)),Ft!F$3*((1-Ft!F$7)/(1+Ft!F$39*($A12-Ft!F$2)^2)+Ft!F$7*EXP(Ft!F$40*($A12-Ft!F$2)^2)))</f>
        <v>1.8921268363313562E-112</v>
      </c>
      <c r="K12" s="3">
        <f>IF(($A12-Ft!G$2)&lt;0,Ft!G$3*((1-Ft!G$6)/(1+Ft!G$37*($A12-Ft!G$2)^2)+Ft!G$6*EXP(Ft!G$38*($A12-Ft!G$2)^2)),Ft!G$3*((1-Ft!G$7)/(1+Ft!G$39*($A12-Ft!G$2)^2)+Ft!G$7*EXP(Ft!G$40*($A12-Ft!G$2)^2)))</f>
        <v>0</v>
      </c>
      <c r="L12" s="3">
        <f>IF(($A12-Ft!H$2)&lt;0,Ft!H$3*((1-Ft!H$6)/(1+Ft!H$37*($A12-Ft!H$2)^2)+Ft!H$6*EXP(Ft!H$38*($A12-Ft!H$2)^2)),Ft!H$3*((1-Ft!H$7)/(1+Ft!H$39*($A12-Ft!H$2)^2)+Ft!H$7*EXP(Ft!H$40*($A12-Ft!H$2)^2)))</f>
        <v>0</v>
      </c>
      <c r="M12" s="3">
        <f>IF(($A12-Ft!I$2)&lt;0,Ft!I$3*((1-Ft!I$6)/(1+Ft!I$37*($A12-Ft!I$2)^2)+Ft!I$6*EXP(Ft!I$38*($A12-Ft!I$2)^2)),Ft!I$3*((1-Ft!I$7)/(1+Ft!I$39*($A12-Ft!I$2)^2)+Ft!I$7*EXP(Ft!I$40*($A12-Ft!I$2)^2)))</f>
        <v>0</v>
      </c>
      <c r="N12" s="3">
        <f>IF(($A12-Ft!J$2)&lt;0,Ft!J$3*((1-Ft!J$6)/(1+Ft!J$37*($A12-Ft!J$2)^2)+Ft!J$6*EXP(Ft!J$38*($A12-Ft!J$2)^2)),Ft!J$3*((1-Ft!J$7)/(1+Ft!J$39*($A12-Ft!J$2)^2)+Ft!J$7*EXP(Ft!J$40*($A12-Ft!J$2)^2)))</f>
        <v>0</v>
      </c>
      <c r="O12" s="3">
        <f>IF(($A12-Ft!K$2)&lt;0,Ft!K$3*((1-Ft!K$6)/(1+Ft!K$37*($A12-Ft!K$2)^2)+Ft!K$6*EXP(Ft!K$38*($A12-Ft!K$2)^2)),Ft!K$3*((1-Ft!K$7)/(1+Ft!K$39*($A12-Ft!K$2)^2)+Ft!K$7*EXP(Ft!K$40*($A12-Ft!K$2)^2)))</f>
        <v>0</v>
      </c>
      <c r="P12"/>
      <c r="Q12"/>
    </row>
    <row r="13" spans="1:20">
      <c r="A13">
        <v>22</v>
      </c>
      <c r="B13">
        <v>5.734138753229999</v>
      </c>
      <c r="C13" s="6">
        <f t="shared" si="1"/>
        <v>5.2561637352650097</v>
      </c>
      <c r="D13" s="19">
        <f t="shared" si="2"/>
        <v>0.22846011779863185</v>
      </c>
      <c r="E13" s="3">
        <f>Ft!$B$12+Ft!$B$14*(Data!A13-Vars!$B$3)</f>
        <v>0</v>
      </c>
      <c r="F13" s="3">
        <f>IF(($A13-Ft!B$2)&lt;0,Ft!B$3*((1-Ft!B$6)/(1+Ft!B$37*($A13-Ft!B$2)^2)+Ft!B$6*EXP(Ft!B$38*($A13-Ft!B$2)^2)),Ft!B$3*((1-Ft!B$7)/(1+Ft!B$39*($A13-Ft!B$2)^2)+Ft!B$7*EXP(Ft!B$40*($A13-Ft!B$2)^2)))</f>
        <v>1.5914019418392429</v>
      </c>
      <c r="G13" s="3">
        <f>IF(($A13-Ft!C$2)&lt;0,Ft!C$3*((1-Ft!C$6)/(1+Ft!C$37*($A13-Ft!C$2)^2)+Ft!C$6*EXP(Ft!C$38*($A13-Ft!C$2)^2)),Ft!C$3*((1-Ft!C$7)/(1+Ft!C$39*($A13-Ft!C$2)^2)+Ft!C$7*EXP(Ft!C$40*($A13-Ft!C$2)^2)))</f>
        <v>3.0158495481205834</v>
      </c>
      <c r="H13" s="3">
        <f>IF(($A13-Ft!D$2)&lt;0,Ft!D$3*((1-Ft!D$6)/(1+Ft!D$37*($A13-Ft!D$2)^2)+Ft!D$6*EXP(Ft!D$38*($A13-Ft!D$2)^2)),Ft!D$3*((1-Ft!D$7)/(1+Ft!D$39*($A13-Ft!D$2)^2)+Ft!D$7*EXP(Ft!D$40*($A13-Ft!D$2)^2)))</f>
        <v>0.64891070630519998</v>
      </c>
      <c r="I13" s="3">
        <f>IF(($A13-Ft!E$2)&lt;0,Ft!E$3*((1-Ft!E$6)/(1+Ft!E$37*($A13-Ft!E$2)^2)+Ft!E$6*EXP(Ft!E$38*($A13-Ft!E$2)^2)),Ft!E$3*((1-Ft!E$7)/(1+Ft!E$39*($A13-Ft!E$2)^2)+Ft!E$7*EXP(Ft!E$40*($A13-Ft!E$2)^2)))</f>
        <v>1.5389999833033268E-6</v>
      </c>
      <c r="J13" s="3">
        <f>IF(($A13-Ft!F$2)&lt;0,Ft!F$3*((1-Ft!F$6)/(1+Ft!F$37*($A13-Ft!F$2)^2)+Ft!F$6*EXP(Ft!F$38*($A13-Ft!F$2)^2)),Ft!F$3*((1-Ft!F$7)/(1+Ft!F$39*($A13-Ft!F$2)^2)+Ft!F$7*EXP(Ft!F$40*($A13-Ft!F$2)^2)))</f>
        <v>5.4311717710234914E-112</v>
      </c>
      <c r="K13" s="3">
        <f>IF(($A13-Ft!G$2)&lt;0,Ft!G$3*((1-Ft!G$6)/(1+Ft!G$37*($A13-Ft!G$2)^2)+Ft!G$6*EXP(Ft!G$38*($A13-Ft!G$2)^2)),Ft!G$3*((1-Ft!G$7)/(1+Ft!G$39*($A13-Ft!G$2)^2)+Ft!G$7*EXP(Ft!G$40*($A13-Ft!G$2)^2)))</f>
        <v>0</v>
      </c>
      <c r="L13" s="3">
        <f>IF(($A13-Ft!H$2)&lt;0,Ft!H$3*((1-Ft!H$6)/(1+Ft!H$37*($A13-Ft!H$2)^2)+Ft!H$6*EXP(Ft!H$38*($A13-Ft!H$2)^2)),Ft!H$3*((1-Ft!H$7)/(1+Ft!H$39*($A13-Ft!H$2)^2)+Ft!H$7*EXP(Ft!H$40*($A13-Ft!H$2)^2)))</f>
        <v>0</v>
      </c>
      <c r="M13" s="3">
        <f>IF(($A13-Ft!I$2)&lt;0,Ft!I$3*((1-Ft!I$6)/(1+Ft!I$37*($A13-Ft!I$2)^2)+Ft!I$6*EXP(Ft!I$38*($A13-Ft!I$2)^2)),Ft!I$3*((1-Ft!I$7)/(1+Ft!I$39*($A13-Ft!I$2)^2)+Ft!I$7*EXP(Ft!I$40*($A13-Ft!I$2)^2)))</f>
        <v>0</v>
      </c>
      <c r="N13" s="3">
        <f>IF(($A13-Ft!J$2)&lt;0,Ft!J$3*((1-Ft!J$6)/(1+Ft!J$37*($A13-Ft!J$2)^2)+Ft!J$6*EXP(Ft!J$38*($A13-Ft!J$2)^2)),Ft!J$3*((1-Ft!J$7)/(1+Ft!J$39*($A13-Ft!J$2)^2)+Ft!J$7*EXP(Ft!J$40*($A13-Ft!J$2)^2)))</f>
        <v>0</v>
      </c>
      <c r="O13" s="3">
        <f>IF(($A13-Ft!K$2)&lt;0,Ft!K$3*((1-Ft!K$6)/(1+Ft!K$37*($A13-Ft!K$2)^2)+Ft!K$6*EXP(Ft!K$38*($A13-Ft!K$2)^2)),Ft!K$3*((1-Ft!K$7)/(1+Ft!K$39*($A13-Ft!K$2)^2)+Ft!K$7*EXP(Ft!K$40*($A13-Ft!K$2)^2)))</f>
        <v>0</v>
      </c>
      <c r="P13"/>
      <c r="Q13"/>
    </row>
    <row r="14" spans="1:20">
      <c r="A14">
        <v>24</v>
      </c>
      <c r="B14">
        <v>6.0955662525919934</v>
      </c>
      <c r="C14" s="6">
        <f t="shared" si="1"/>
        <v>5.5830604440626486</v>
      </c>
      <c r="D14" s="19">
        <f t="shared" si="2"/>
        <v>0.26266220377631744</v>
      </c>
      <c r="E14" s="3">
        <f>Ft!$B$12+Ft!$B$14*(Data!A14-Vars!$B$3)</f>
        <v>0</v>
      </c>
      <c r="F14" s="3">
        <f>IF(($A14-Ft!B$2)&lt;0,Ft!B$3*((1-Ft!B$6)/(1+Ft!B$37*($A14-Ft!B$2)^2)+Ft!B$6*EXP(Ft!B$38*($A14-Ft!B$2)^2)),Ft!B$3*((1-Ft!B$7)/(1+Ft!B$39*($A14-Ft!B$2)^2)+Ft!B$7*EXP(Ft!B$40*($A14-Ft!B$2)^2)))</f>
        <v>1.7824624753631988</v>
      </c>
      <c r="G14" s="3">
        <f>IF(($A14-Ft!C$2)&lt;0,Ft!C$3*((1-Ft!C$6)/(1+Ft!C$37*($A14-Ft!C$2)^2)+Ft!C$6*EXP(Ft!C$38*($A14-Ft!C$2)^2)),Ft!C$3*((1-Ft!C$7)/(1+Ft!C$39*($A14-Ft!C$2)^2)+Ft!C$7*EXP(Ft!C$40*($A14-Ft!C$2)^2)))</f>
        <v>3.1312442654009218</v>
      </c>
      <c r="H14" s="3">
        <f>IF(($A14-Ft!D$2)&lt;0,Ft!D$3*((1-Ft!D$6)/(1+Ft!D$37*($A14-Ft!D$2)^2)+Ft!D$6*EXP(Ft!D$38*($A14-Ft!D$2)^2)),Ft!D$3*((1-Ft!D$7)/(1+Ft!D$39*($A14-Ft!D$2)^2)+Ft!D$7*EXP(Ft!D$40*($A14-Ft!D$2)^2)))</f>
        <v>0.66935203530318421</v>
      </c>
      <c r="I14" s="3">
        <f>IF(($A14-Ft!E$2)&lt;0,Ft!E$3*((1-Ft!E$6)/(1+Ft!E$37*($A14-Ft!E$2)^2)+Ft!E$6*EXP(Ft!E$38*($A14-Ft!E$2)^2)),Ft!E$3*((1-Ft!E$7)/(1+Ft!E$39*($A14-Ft!E$2)^2)+Ft!E$7*EXP(Ft!E$40*($A14-Ft!E$2)^2)))</f>
        <v>1.6679953437817558E-6</v>
      </c>
      <c r="J14" s="3">
        <f>IF(($A14-Ft!F$2)&lt;0,Ft!F$3*((1-Ft!F$6)/(1+Ft!F$37*($A14-Ft!F$2)^2)+Ft!F$6*EXP(Ft!F$38*($A14-Ft!F$2)^2)),Ft!F$3*((1-Ft!F$7)/(1+Ft!F$39*($A14-Ft!F$2)^2)+Ft!F$7*EXP(Ft!F$40*($A14-Ft!F$2)^2)))</f>
        <v>1.5556149402988586E-111</v>
      </c>
      <c r="K14" s="3">
        <f>IF(($A14-Ft!G$2)&lt;0,Ft!G$3*((1-Ft!G$6)/(1+Ft!G$37*($A14-Ft!G$2)^2)+Ft!G$6*EXP(Ft!G$38*($A14-Ft!G$2)^2)),Ft!G$3*((1-Ft!G$7)/(1+Ft!G$39*($A14-Ft!G$2)^2)+Ft!G$7*EXP(Ft!G$40*($A14-Ft!G$2)^2)))</f>
        <v>0</v>
      </c>
      <c r="L14" s="3">
        <f>IF(($A14-Ft!H$2)&lt;0,Ft!H$3*((1-Ft!H$6)/(1+Ft!H$37*($A14-Ft!H$2)^2)+Ft!H$6*EXP(Ft!H$38*($A14-Ft!H$2)^2)),Ft!H$3*((1-Ft!H$7)/(1+Ft!H$39*($A14-Ft!H$2)^2)+Ft!H$7*EXP(Ft!H$40*($A14-Ft!H$2)^2)))</f>
        <v>0</v>
      </c>
      <c r="M14" s="3">
        <f>IF(($A14-Ft!I$2)&lt;0,Ft!I$3*((1-Ft!I$6)/(1+Ft!I$37*($A14-Ft!I$2)^2)+Ft!I$6*EXP(Ft!I$38*($A14-Ft!I$2)^2)),Ft!I$3*((1-Ft!I$7)/(1+Ft!I$39*($A14-Ft!I$2)^2)+Ft!I$7*EXP(Ft!I$40*($A14-Ft!I$2)^2)))</f>
        <v>0</v>
      </c>
      <c r="N14" s="3">
        <f>IF(($A14-Ft!J$2)&lt;0,Ft!J$3*((1-Ft!J$6)/(1+Ft!J$37*($A14-Ft!J$2)^2)+Ft!J$6*EXP(Ft!J$38*($A14-Ft!J$2)^2)),Ft!J$3*((1-Ft!J$7)/(1+Ft!J$39*($A14-Ft!J$2)^2)+Ft!J$7*EXP(Ft!J$40*($A14-Ft!J$2)^2)))</f>
        <v>0</v>
      </c>
      <c r="O14" s="3">
        <f>IF(($A14-Ft!K$2)&lt;0,Ft!K$3*((1-Ft!K$6)/(1+Ft!K$37*($A14-Ft!K$2)^2)+Ft!K$6*EXP(Ft!K$38*($A14-Ft!K$2)^2)),Ft!K$3*((1-Ft!K$7)/(1+Ft!K$39*($A14-Ft!K$2)^2)+Ft!K$7*EXP(Ft!K$40*($A14-Ft!K$2)^2)))</f>
        <v>0</v>
      </c>
      <c r="P14"/>
      <c r="Q14"/>
    </row>
    <row r="15" spans="1:20">
      <c r="A15">
        <v>26</v>
      </c>
      <c r="B15">
        <v>6.4346645562579994</v>
      </c>
      <c r="C15" s="6">
        <f t="shared" si="1"/>
        <v>5.9156612187762194</v>
      </c>
      <c r="D15" s="19">
        <f t="shared" si="2"/>
        <v>0.26936446431722638</v>
      </c>
      <c r="E15" s="3">
        <f>Ft!$B$12+Ft!$B$14*(Data!A15-Vars!$B$3)</f>
        <v>0</v>
      </c>
      <c r="F15" s="3">
        <f>IF(($A15-Ft!B$2)&lt;0,Ft!B$3*((1-Ft!B$6)/(1+Ft!B$37*($A15-Ft!B$2)^2)+Ft!B$6*EXP(Ft!B$38*($A15-Ft!B$2)^2)),Ft!B$3*((1-Ft!B$7)/(1+Ft!B$39*($A15-Ft!B$2)^2)+Ft!B$7*EXP(Ft!B$40*($A15-Ft!B$2)^2)))</f>
        <v>1.9763778996806445</v>
      </c>
      <c r="G15" s="3">
        <f>IF(($A15-Ft!C$2)&lt;0,Ft!C$3*((1-Ft!C$6)/(1+Ft!C$37*($A15-Ft!C$2)^2)+Ft!C$6*EXP(Ft!C$38*($A15-Ft!C$2)^2)),Ft!C$3*((1-Ft!C$7)/(1+Ft!C$39*($A15-Ft!C$2)^2)+Ft!C$7*EXP(Ft!C$40*($A15-Ft!C$2)^2)))</f>
        <v>3.2489434770599326</v>
      </c>
      <c r="H15" s="3">
        <f>IF(($A15-Ft!D$2)&lt;0,Ft!D$3*((1-Ft!D$6)/(1+Ft!D$37*($A15-Ft!D$2)^2)+Ft!D$6*EXP(Ft!D$38*($A15-Ft!D$2)^2)),Ft!D$3*((1-Ft!D$7)/(1+Ft!D$39*($A15-Ft!D$2)^2)+Ft!D$7*EXP(Ft!D$40*($A15-Ft!D$2)^2)))</f>
        <v>0.69033803459682941</v>
      </c>
      <c r="I15" s="3">
        <f>IF(($A15-Ft!E$2)&lt;0,Ft!E$3*((1-Ft!E$6)/(1+Ft!E$37*($A15-Ft!E$2)^2)+Ft!E$6*EXP(Ft!E$38*($A15-Ft!E$2)^2)),Ft!E$3*((1-Ft!E$7)/(1+Ft!E$39*($A15-Ft!E$2)^2)+Ft!E$7*EXP(Ft!E$40*($A15-Ft!E$2)^2)))</f>
        <v>1.8074388130608319E-6</v>
      </c>
      <c r="J15" s="3">
        <f>IF(($A15-Ft!F$2)&lt;0,Ft!F$3*((1-Ft!F$6)/(1+Ft!F$37*($A15-Ft!F$2)^2)+Ft!F$6*EXP(Ft!F$38*($A15-Ft!F$2)^2)),Ft!F$3*((1-Ft!F$7)/(1+Ft!F$39*($A15-Ft!F$2)^2)+Ft!F$7*EXP(Ft!F$40*($A15-Ft!F$2)^2)))</f>
        <v>4.4460664243028196E-111</v>
      </c>
      <c r="K15" s="3">
        <f>IF(($A15-Ft!G$2)&lt;0,Ft!G$3*((1-Ft!G$6)/(1+Ft!G$37*($A15-Ft!G$2)^2)+Ft!G$6*EXP(Ft!G$38*($A15-Ft!G$2)^2)),Ft!G$3*((1-Ft!G$7)/(1+Ft!G$39*($A15-Ft!G$2)^2)+Ft!G$7*EXP(Ft!G$40*($A15-Ft!G$2)^2)))</f>
        <v>0</v>
      </c>
      <c r="L15" s="3">
        <f>IF(($A15-Ft!H$2)&lt;0,Ft!H$3*((1-Ft!H$6)/(1+Ft!H$37*($A15-Ft!H$2)^2)+Ft!H$6*EXP(Ft!H$38*($A15-Ft!H$2)^2)),Ft!H$3*((1-Ft!H$7)/(1+Ft!H$39*($A15-Ft!H$2)^2)+Ft!H$7*EXP(Ft!H$40*($A15-Ft!H$2)^2)))</f>
        <v>0</v>
      </c>
      <c r="M15" s="3">
        <f>IF(($A15-Ft!I$2)&lt;0,Ft!I$3*((1-Ft!I$6)/(1+Ft!I$37*($A15-Ft!I$2)^2)+Ft!I$6*EXP(Ft!I$38*($A15-Ft!I$2)^2)),Ft!I$3*((1-Ft!I$7)/(1+Ft!I$39*($A15-Ft!I$2)^2)+Ft!I$7*EXP(Ft!I$40*($A15-Ft!I$2)^2)))</f>
        <v>0</v>
      </c>
      <c r="N15" s="3">
        <f>IF(($A15-Ft!J$2)&lt;0,Ft!J$3*((1-Ft!J$6)/(1+Ft!J$37*($A15-Ft!J$2)^2)+Ft!J$6*EXP(Ft!J$38*($A15-Ft!J$2)^2)),Ft!J$3*((1-Ft!J$7)/(1+Ft!J$39*($A15-Ft!J$2)^2)+Ft!J$7*EXP(Ft!J$40*($A15-Ft!J$2)^2)))</f>
        <v>0</v>
      </c>
      <c r="O15" s="3">
        <f>IF(($A15-Ft!K$2)&lt;0,Ft!K$3*((1-Ft!K$6)/(1+Ft!K$37*($A15-Ft!K$2)^2)+Ft!K$6*EXP(Ft!K$38*($A15-Ft!K$2)^2)),Ft!K$3*((1-Ft!K$7)/(1+Ft!K$39*($A15-Ft!K$2)^2)+Ft!K$7*EXP(Ft!K$40*($A15-Ft!K$2)^2)))</f>
        <v>0</v>
      </c>
      <c r="P15"/>
      <c r="Q15"/>
    </row>
    <row r="16" spans="1:20">
      <c r="A16">
        <v>28</v>
      </c>
      <c r="B16">
        <v>6.7531369607649907</v>
      </c>
      <c r="C16" s="6">
        <f t="shared" si="1"/>
        <v>6.25010489460489</v>
      </c>
      <c r="D16" s="19">
        <f t="shared" si="2"/>
        <v>0.25304125958529988</v>
      </c>
      <c r="E16" s="3">
        <f>Ft!$B$12+Ft!$B$14*(Data!A16-Vars!$B$3)</f>
        <v>0</v>
      </c>
      <c r="F16" s="3">
        <f>IF(($A16-Ft!B$2)&lt;0,Ft!B$3*((1-Ft!B$6)/(1+Ft!B$37*($A16-Ft!B$2)^2)+Ft!B$6*EXP(Ft!B$38*($A16-Ft!B$2)^2)),Ft!B$3*((1-Ft!B$7)/(1+Ft!B$39*($A16-Ft!B$2)^2)+Ft!B$7*EXP(Ft!B$40*($A16-Ft!B$2)^2)))</f>
        <v>2.1693451882299102</v>
      </c>
      <c r="G16" s="3">
        <f>IF(($A16-Ft!C$2)&lt;0,Ft!C$3*((1-Ft!C$6)/(1+Ft!C$37*($A16-Ft!C$2)^2)+Ft!C$6*EXP(Ft!C$38*($A16-Ft!C$2)^2)),Ft!C$3*((1-Ft!C$7)/(1+Ft!C$39*($A16-Ft!C$2)^2)+Ft!C$7*EXP(Ft!C$40*($A16-Ft!C$2)^2)))</f>
        <v>3.368878095300031</v>
      </c>
      <c r="H16" s="3">
        <f>IF(($A16-Ft!D$2)&lt;0,Ft!D$3*((1-Ft!D$6)/(1+Ft!D$37*($A16-Ft!D$2)^2)+Ft!D$6*EXP(Ft!D$38*($A16-Ft!D$2)^2)),Ft!D$3*((1-Ft!D$7)/(1+Ft!D$39*($A16-Ft!D$2)^2)+Ft!D$7*EXP(Ft!D$40*($A16-Ft!D$2)^2)))</f>
        <v>0.71187965292959932</v>
      </c>
      <c r="I16" s="3">
        <f>IF(($A16-Ft!E$2)&lt;0,Ft!E$3*((1-Ft!E$6)/(1+Ft!E$37*($A16-Ft!E$2)^2)+Ft!E$6*EXP(Ft!E$38*($A16-Ft!E$2)^2)),Ft!E$3*((1-Ft!E$7)/(1+Ft!E$39*($A16-Ft!E$2)^2)+Ft!E$7*EXP(Ft!E$40*($A16-Ft!E$2)^2)))</f>
        <v>1.9581453495796763E-6</v>
      </c>
      <c r="J16" s="3">
        <f>IF(($A16-Ft!F$2)&lt;0,Ft!F$3*((1-Ft!F$6)/(1+Ft!F$37*($A16-Ft!F$2)^2)+Ft!F$6*EXP(Ft!F$38*($A16-Ft!F$2)^2)),Ft!F$3*((1-Ft!F$7)/(1+Ft!F$39*($A16-Ft!F$2)^2)+Ft!F$7*EXP(Ft!F$40*($A16-Ft!F$2)^2)))</f>
        <v>1.2679877626784134E-110</v>
      </c>
      <c r="K16" s="3">
        <f>IF(($A16-Ft!G$2)&lt;0,Ft!G$3*((1-Ft!G$6)/(1+Ft!G$37*($A16-Ft!G$2)^2)+Ft!G$6*EXP(Ft!G$38*($A16-Ft!G$2)^2)),Ft!G$3*((1-Ft!G$7)/(1+Ft!G$39*($A16-Ft!G$2)^2)+Ft!G$7*EXP(Ft!G$40*($A16-Ft!G$2)^2)))</f>
        <v>0</v>
      </c>
      <c r="L16" s="3">
        <f>IF(($A16-Ft!H$2)&lt;0,Ft!H$3*((1-Ft!H$6)/(1+Ft!H$37*($A16-Ft!H$2)^2)+Ft!H$6*EXP(Ft!H$38*($A16-Ft!H$2)^2)),Ft!H$3*((1-Ft!H$7)/(1+Ft!H$39*($A16-Ft!H$2)^2)+Ft!H$7*EXP(Ft!H$40*($A16-Ft!H$2)^2)))</f>
        <v>0</v>
      </c>
      <c r="M16" s="3">
        <f>IF(($A16-Ft!I$2)&lt;0,Ft!I$3*((1-Ft!I$6)/(1+Ft!I$37*($A16-Ft!I$2)^2)+Ft!I$6*EXP(Ft!I$38*($A16-Ft!I$2)^2)),Ft!I$3*((1-Ft!I$7)/(1+Ft!I$39*($A16-Ft!I$2)^2)+Ft!I$7*EXP(Ft!I$40*($A16-Ft!I$2)^2)))</f>
        <v>0</v>
      </c>
      <c r="N16" s="3">
        <f>IF(($A16-Ft!J$2)&lt;0,Ft!J$3*((1-Ft!J$6)/(1+Ft!J$37*($A16-Ft!J$2)^2)+Ft!J$6*EXP(Ft!J$38*($A16-Ft!J$2)^2)),Ft!J$3*((1-Ft!J$7)/(1+Ft!J$39*($A16-Ft!J$2)^2)+Ft!J$7*EXP(Ft!J$40*($A16-Ft!J$2)^2)))</f>
        <v>0</v>
      </c>
      <c r="O16" s="3">
        <f>IF(($A16-Ft!K$2)&lt;0,Ft!K$3*((1-Ft!K$6)/(1+Ft!K$37*($A16-Ft!K$2)^2)+Ft!K$6*EXP(Ft!K$38*($A16-Ft!K$2)^2)),Ft!K$3*((1-Ft!K$7)/(1+Ft!K$39*($A16-Ft!K$2)^2)+Ft!K$7*EXP(Ft!K$40*($A16-Ft!K$2)^2)))</f>
        <v>0</v>
      </c>
      <c r="P16"/>
      <c r="Q16"/>
    </row>
    <row r="17" spans="1:17">
      <c r="A17">
        <v>30</v>
      </c>
      <c r="B17">
        <v>7.0526867626539911</v>
      </c>
      <c r="C17" s="6">
        <f t="shared" si="1"/>
        <v>6.582162004226686</v>
      </c>
      <c r="D17" s="19">
        <f t="shared" si="2"/>
        <v>0.22139354829307384</v>
      </c>
      <c r="E17" s="3">
        <f>Ft!$B$12+Ft!$B$14*(Data!A17-Vars!$B$3)</f>
        <v>0</v>
      </c>
      <c r="F17" s="3">
        <f>IF(($A17-Ft!B$2)&lt;0,Ft!B$3*((1-Ft!B$6)/(1+Ft!B$37*($A17-Ft!B$2)^2)+Ft!B$6*EXP(Ft!B$38*($A17-Ft!B$2)^2)),Ft!B$3*((1-Ft!B$7)/(1+Ft!B$39*($A17-Ft!B$2)^2)+Ft!B$7*EXP(Ft!B$40*($A17-Ft!B$2)^2)))</f>
        <v>2.3571999205014422</v>
      </c>
      <c r="G17" s="3">
        <f>IF(($A17-Ft!C$2)&lt;0,Ft!C$3*((1-Ft!C$6)/(1+Ft!C$37*($A17-Ft!C$2)^2)+Ft!C$6*EXP(Ft!C$38*($A17-Ft!C$2)^2)),Ft!C$3*((1-Ft!C$7)/(1+Ft!C$39*($A17-Ft!C$2)^2)+Ft!C$7*EXP(Ft!C$40*($A17-Ft!C$2)^2)))</f>
        <v>3.4909720245800657</v>
      </c>
      <c r="H17" s="3">
        <f>IF(($A17-Ft!D$2)&lt;0,Ft!D$3*((1-Ft!D$6)/(1+Ft!D$37*($A17-Ft!D$2)^2)+Ft!D$6*EXP(Ft!D$38*($A17-Ft!D$2)^2)),Ft!D$3*((1-Ft!D$7)/(1+Ft!D$39*($A17-Ft!D$2)^2)+Ft!D$7*EXP(Ft!D$40*($A17-Ft!D$2)^2)))</f>
        <v>0.73398793815431174</v>
      </c>
      <c r="I17" s="3">
        <f>IF(($A17-Ft!E$2)&lt;0,Ft!E$3*((1-Ft!E$6)/(1+Ft!E$37*($A17-Ft!E$2)^2)+Ft!E$6*EXP(Ft!E$38*($A17-Ft!E$2)^2)),Ft!E$3*((1-Ft!E$7)/(1+Ft!E$39*($A17-Ft!E$2)^2)+Ft!E$7*EXP(Ft!E$40*($A17-Ft!E$2)^2)))</f>
        <v>2.12099086626526E-6</v>
      </c>
      <c r="J17" s="3">
        <f>IF(($A17-Ft!F$2)&lt;0,Ft!F$3*((1-Ft!F$6)/(1+Ft!F$37*($A17-Ft!F$2)^2)+Ft!F$6*EXP(Ft!F$38*($A17-Ft!F$2)^2)),Ft!F$3*((1-Ft!F$7)/(1+Ft!F$39*($A17-Ft!F$2)^2)+Ft!F$7*EXP(Ft!F$40*($A17-Ft!F$2)^2)))</f>
        <v>3.6084396958221297E-110</v>
      </c>
      <c r="K17" s="3">
        <f>IF(($A17-Ft!G$2)&lt;0,Ft!G$3*((1-Ft!G$6)/(1+Ft!G$37*($A17-Ft!G$2)^2)+Ft!G$6*EXP(Ft!G$38*($A17-Ft!G$2)^2)),Ft!G$3*((1-Ft!G$7)/(1+Ft!G$39*($A17-Ft!G$2)^2)+Ft!G$7*EXP(Ft!G$40*($A17-Ft!G$2)^2)))</f>
        <v>0</v>
      </c>
      <c r="L17" s="3">
        <f>IF(($A17-Ft!H$2)&lt;0,Ft!H$3*((1-Ft!H$6)/(1+Ft!H$37*($A17-Ft!H$2)^2)+Ft!H$6*EXP(Ft!H$38*($A17-Ft!H$2)^2)),Ft!H$3*((1-Ft!H$7)/(1+Ft!H$39*($A17-Ft!H$2)^2)+Ft!H$7*EXP(Ft!H$40*($A17-Ft!H$2)^2)))</f>
        <v>0</v>
      </c>
      <c r="M17" s="3">
        <f>IF(($A17-Ft!I$2)&lt;0,Ft!I$3*((1-Ft!I$6)/(1+Ft!I$37*($A17-Ft!I$2)^2)+Ft!I$6*EXP(Ft!I$38*($A17-Ft!I$2)^2)),Ft!I$3*((1-Ft!I$7)/(1+Ft!I$39*($A17-Ft!I$2)^2)+Ft!I$7*EXP(Ft!I$40*($A17-Ft!I$2)^2)))</f>
        <v>0</v>
      </c>
      <c r="N17" s="3">
        <f>IF(($A17-Ft!J$2)&lt;0,Ft!J$3*((1-Ft!J$6)/(1+Ft!J$37*($A17-Ft!J$2)^2)+Ft!J$6*EXP(Ft!J$38*($A17-Ft!J$2)^2)),Ft!J$3*((1-Ft!J$7)/(1+Ft!J$39*($A17-Ft!J$2)^2)+Ft!J$7*EXP(Ft!J$40*($A17-Ft!J$2)^2)))</f>
        <v>0</v>
      </c>
      <c r="O17" s="3">
        <f>IF(($A17-Ft!K$2)&lt;0,Ft!K$3*((1-Ft!K$6)/(1+Ft!K$37*($A17-Ft!K$2)^2)+Ft!K$6*EXP(Ft!K$38*($A17-Ft!K$2)^2)),Ft!K$3*((1-Ft!K$7)/(1+Ft!K$39*($A17-Ft!K$2)^2)+Ft!K$7*EXP(Ft!K$40*($A17-Ft!K$2)^2)))</f>
        <v>0</v>
      </c>
      <c r="P17"/>
      <c r="Q17"/>
    </row>
    <row r="18" spans="1:17">
      <c r="A18">
        <v>32</v>
      </c>
      <c r="B18">
        <v>7.3350172584639921</v>
      </c>
      <c r="C18" s="6">
        <f t="shared" si="1"/>
        <v>6.9073747085470938</v>
      </c>
      <c r="D18" s="19">
        <f t="shared" si="2"/>
        <v>0.18287815049942688</v>
      </c>
      <c r="E18" s="3">
        <f>Ft!$B$12+Ft!$B$14*(Data!A18-Vars!$B$3)</f>
        <v>0</v>
      </c>
      <c r="F18" s="3">
        <f>IF(($A18-Ft!B$2)&lt;0,Ft!B$3*((1-Ft!B$6)/(1+Ft!B$37*($A18-Ft!B$2)^2)+Ft!B$6*EXP(Ft!B$38*($A18-Ft!B$2)^2)),Ft!B$3*((1-Ft!B$7)/(1+Ft!B$39*($A18-Ft!B$2)^2)+Ft!B$7*EXP(Ft!B$40*($A18-Ft!B$2)^2)))</f>
        <v>2.5355562735544028</v>
      </c>
      <c r="G18" s="3">
        <f>IF(($A18-Ft!C$2)&lt;0,Ft!C$3*((1-Ft!C$6)/(1+Ft!C$37*($A18-Ft!C$2)^2)+Ft!C$6*EXP(Ft!C$38*($A18-Ft!C$2)^2)),Ft!C$3*((1-Ft!C$7)/(1+Ft!C$39*($A18-Ft!C$2)^2)+Ft!C$7*EXP(Ft!C$40*($A18-Ft!C$2)^2)))</f>
        <v>3.6151421042014507</v>
      </c>
      <c r="H18" s="3">
        <f>IF(($A18-Ft!D$2)&lt;0,Ft!D$3*((1-Ft!D$6)/(1+Ft!D$37*($A18-Ft!D$2)^2)+Ft!D$6*EXP(Ft!D$38*($A18-Ft!D$2)^2)),Ft!D$3*((1-Ft!D$7)/(1+Ft!D$39*($A18-Ft!D$2)^2)+Ft!D$7*EXP(Ft!D$40*($A18-Ft!D$2)^2)))</f>
        <v>0.75667403387466281</v>
      </c>
      <c r="I18" s="3">
        <f>IF(($A18-Ft!E$2)&lt;0,Ft!E$3*((1-Ft!E$6)/(1+Ft!E$37*($A18-Ft!E$2)^2)+Ft!E$6*EXP(Ft!E$38*($A18-Ft!E$2)^2)),Ft!E$3*((1-Ft!E$7)/(1+Ft!E$39*($A18-Ft!E$2)^2)+Ft!E$7*EXP(Ft!E$40*($A18-Ft!E$2)^2)))</f>
        <v>2.2969165782444721E-6</v>
      </c>
      <c r="J18" s="3">
        <f>IF(($A18-Ft!F$2)&lt;0,Ft!F$3*((1-Ft!F$6)/(1+Ft!F$37*($A18-Ft!F$2)^2)+Ft!F$6*EXP(Ft!F$38*($A18-Ft!F$2)^2)),Ft!F$3*((1-Ft!F$7)/(1+Ft!F$39*($A18-Ft!F$2)^2)+Ft!F$7*EXP(Ft!F$40*($A18-Ft!F$2)^2)))</f>
        <v>1.0246820194095132E-109</v>
      </c>
      <c r="K18" s="3">
        <f>IF(($A18-Ft!G$2)&lt;0,Ft!G$3*((1-Ft!G$6)/(1+Ft!G$37*($A18-Ft!G$2)^2)+Ft!G$6*EXP(Ft!G$38*($A18-Ft!G$2)^2)),Ft!G$3*((1-Ft!G$7)/(1+Ft!G$39*($A18-Ft!G$2)^2)+Ft!G$7*EXP(Ft!G$40*($A18-Ft!G$2)^2)))</f>
        <v>0</v>
      </c>
      <c r="L18" s="3">
        <f>IF(($A18-Ft!H$2)&lt;0,Ft!H$3*((1-Ft!H$6)/(1+Ft!H$37*($A18-Ft!H$2)^2)+Ft!H$6*EXP(Ft!H$38*($A18-Ft!H$2)^2)),Ft!H$3*((1-Ft!H$7)/(1+Ft!H$39*($A18-Ft!H$2)^2)+Ft!H$7*EXP(Ft!H$40*($A18-Ft!H$2)^2)))</f>
        <v>0</v>
      </c>
      <c r="M18" s="3">
        <f>IF(($A18-Ft!I$2)&lt;0,Ft!I$3*((1-Ft!I$6)/(1+Ft!I$37*($A18-Ft!I$2)^2)+Ft!I$6*EXP(Ft!I$38*($A18-Ft!I$2)^2)),Ft!I$3*((1-Ft!I$7)/(1+Ft!I$39*($A18-Ft!I$2)^2)+Ft!I$7*EXP(Ft!I$40*($A18-Ft!I$2)^2)))</f>
        <v>0</v>
      </c>
      <c r="N18" s="3">
        <f>IF(($A18-Ft!J$2)&lt;0,Ft!J$3*((1-Ft!J$6)/(1+Ft!J$37*($A18-Ft!J$2)^2)+Ft!J$6*EXP(Ft!J$38*($A18-Ft!J$2)^2)),Ft!J$3*((1-Ft!J$7)/(1+Ft!J$39*($A18-Ft!J$2)^2)+Ft!J$7*EXP(Ft!J$40*($A18-Ft!J$2)^2)))</f>
        <v>0</v>
      </c>
      <c r="O18" s="3">
        <f>IF(($A18-Ft!K$2)&lt;0,Ft!K$3*((1-Ft!K$6)/(1+Ft!K$37*($A18-Ft!K$2)^2)+Ft!K$6*EXP(Ft!K$38*($A18-Ft!K$2)^2)),Ft!K$3*((1-Ft!K$7)/(1+Ft!K$39*($A18-Ft!K$2)^2)+Ft!K$7*EXP(Ft!K$40*($A18-Ft!K$2)^2)))</f>
        <v>0</v>
      </c>
      <c r="P18"/>
      <c r="Q18"/>
    </row>
    <row r="19" spans="1:17">
      <c r="A19">
        <v>34</v>
      </c>
      <c r="B19">
        <v>7.5965263321320009</v>
      </c>
      <c r="C19" s="6">
        <f t="shared" si="1"/>
        <v>7.2212211758091014</v>
      </c>
      <c r="D19" s="19">
        <f t="shared" si="2"/>
        <v>0.14085396036255604</v>
      </c>
      <c r="E19" s="3">
        <f>Ft!$B$12+Ft!$B$14*(Data!A19-Vars!$B$3)</f>
        <v>0</v>
      </c>
      <c r="F19" s="3">
        <f>IF(($A19-Ft!B$2)&lt;0,Ft!B$3*((1-Ft!B$6)/(1+Ft!B$37*($A19-Ft!B$2)^2)+Ft!B$6*EXP(Ft!B$38*($A19-Ft!B$2)^2)),Ft!B$3*((1-Ft!B$7)/(1+Ft!B$39*($A19-Ft!B$2)^2)+Ft!B$7*EXP(Ft!B$40*($A19-Ft!B$2)^2)))</f>
        <v>2.6999714408216922</v>
      </c>
      <c r="G19" s="3">
        <f>IF(($A19-Ft!C$2)&lt;0,Ft!C$3*((1-Ft!C$6)/(1+Ft!C$37*($A19-Ft!C$2)^2)+Ft!C$6*EXP(Ft!C$38*($A19-Ft!C$2)^2)),Ft!C$3*((1-Ft!C$7)/(1+Ft!C$39*($A19-Ft!C$2)^2)+Ft!C$7*EXP(Ft!C$40*($A19-Ft!C$2)^2)))</f>
        <v>3.7412980721414399</v>
      </c>
      <c r="H19" s="3">
        <f>IF(($A19-Ft!D$2)&lt;0,Ft!D$3*((1-Ft!D$6)/(1+Ft!D$37*($A19-Ft!D$2)^2)+Ft!D$6*EXP(Ft!D$38*($A19-Ft!D$2)^2)),Ft!D$3*((1-Ft!D$7)/(1+Ft!D$39*($A19-Ft!D$2)^2)+Ft!D$7*EXP(Ft!D$40*($A19-Ft!D$2)^2)))</f>
        <v>0.77994917591232582</v>
      </c>
      <c r="I19" s="3">
        <f>IF(($A19-Ft!E$2)&lt;0,Ft!E$3*((1-Ft!E$6)/(1+Ft!E$37*($A19-Ft!E$2)^2)+Ft!E$6*EXP(Ft!E$38*($A19-Ft!E$2)^2)),Ft!E$3*((1-Ft!E$7)/(1+Ft!E$39*($A19-Ft!E$2)^2)+Ft!E$7*EXP(Ft!E$40*($A19-Ft!E$2)^2)))</f>
        <v>2.4869336441343817E-6</v>
      </c>
      <c r="J19" s="3">
        <f>IF(($A19-Ft!F$2)&lt;0,Ft!F$3*((1-Ft!F$6)/(1+Ft!F$37*($A19-Ft!F$2)^2)+Ft!F$6*EXP(Ft!F$38*($A19-Ft!F$2)^2)),Ft!F$3*((1-Ft!F$7)/(1+Ft!F$39*($A19-Ft!F$2)^2)+Ft!F$7*EXP(Ft!F$40*($A19-Ft!F$2)^2)))</f>
        <v>2.9035148620681221E-109</v>
      </c>
      <c r="K19" s="3">
        <f>IF(($A19-Ft!G$2)&lt;0,Ft!G$3*((1-Ft!G$6)/(1+Ft!G$37*($A19-Ft!G$2)^2)+Ft!G$6*EXP(Ft!G$38*($A19-Ft!G$2)^2)),Ft!G$3*((1-Ft!G$7)/(1+Ft!G$39*($A19-Ft!G$2)^2)+Ft!G$7*EXP(Ft!G$40*($A19-Ft!G$2)^2)))</f>
        <v>0</v>
      </c>
      <c r="L19" s="3">
        <f>IF(($A19-Ft!H$2)&lt;0,Ft!H$3*((1-Ft!H$6)/(1+Ft!H$37*($A19-Ft!H$2)^2)+Ft!H$6*EXP(Ft!H$38*($A19-Ft!H$2)^2)),Ft!H$3*((1-Ft!H$7)/(1+Ft!H$39*($A19-Ft!H$2)^2)+Ft!H$7*EXP(Ft!H$40*($A19-Ft!H$2)^2)))</f>
        <v>0</v>
      </c>
      <c r="M19" s="3">
        <f>IF(($A19-Ft!I$2)&lt;0,Ft!I$3*((1-Ft!I$6)/(1+Ft!I$37*($A19-Ft!I$2)^2)+Ft!I$6*EXP(Ft!I$38*($A19-Ft!I$2)^2)),Ft!I$3*((1-Ft!I$7)/(1+Ft!I$39*($A19-Ft!I$2)^2)+Ft!I$7*EXP(Ft!I$40*($A19-Ft!I$2)^2)))</f>
        <v>0</v>
      </c>
      <c r="N19" s="3">
        <f>IF(($A19-Ft!J$2)&lt;0,Ft!J$3*((1-Ft!J$6)/(1+Ft!J$37*($A19-Ft!J$2)^2)+Ft!J$6*EXP(Ft!J$38*($A19-Ft!J$2)^2)),Ft!J$3*((1-Ft!J$7)/(1+Ft!J$39*($A19-Ft!J$2)^2)+Ft!J$7*EXP(Ft!J$40*($A19-Ft!J$2)^2)))</f>
        <v>0</v>
      </c>
      <c r="O19" s="3">
        <f>IF(($A19-Ft!K$2)&lt;0,Ft!K$3*((1-Ft!K$6)/(1+Ft!K$37*($A19-Ft!K$2)^2)+Ft!K$6*EXP(Ft!K$38*($A19-Ft!K$2)^2)),Ft!K$3*((1-Ft!K$7)/(1+Ft!K$39*($A19-Ft!K$2)^2)+Ft!K$7*EXP(Ft!K$40*($A19-Ft!K$2)^2)))</f>
        <v>0</v>
      </c>
      <c r="P19"/>
      <c r="Q19"/>
    </row>
    <row r="20" spans="1:17">
      <c r="A20">
        <v>36</v>
      </c>
      <c r="B20">
        <v>7.8099663248499951</v>
      </c>
      <c r="C20" s="6">
        <f t="shared" si="1"/>
        <v>7.5192962292998935</v>
      </c>
      <c r="D20" s="19">
        <f t="shared" si="2"/>
        <v>8.4489104447105196E-2</v>
      </c>
      <c r="E20" s="3">
        <f>Ft!$B$12+Ft!$B$14*(Data!A20-Vars!$B$3)</f>
        <v>0</v>
      </c>
      <c r="F20" s="3">
        <f>IF(($A20-Ft!B$2)&lt;0,Ft!B$3*((1-Ft!B$6)/(1+Ft!B$37*($A20-Ft!B$2)^2)+Ft!B$6*EXP(Ft!B$38*($A20-Ft!B$2)^2)),Ft!B$3*((1-Ft!B$7)/(1+Ft!B$39*($A20-Ft!B$2)^2)+Ft!B$7*EXP(Ft!B$40*($A20-Ft!B$2)^2)))</f>
        <v>2.8461262975277792</v>
      </c>
      <c r="G20" s="3">
        <f>IF(($A20-Ft!C$2)&lt;0,Ft!C$3*((1-Ft!C$6)/(1+Ft!C$37*($A20-Ft!C$2)^2)+Ft!C$6*EXP(Ft!C$38*($A20-Ft!C$2)^2)),Ft!C$3*((1-Ft!C$7)/(1+Ft!C$39*($A20-Ft!C$2)^2)+Ft!C$7*EXP(Ft!C$40*($A20-Ft!C$2)^2)))</f>
        <v>3.869342551046695</v>
      </c>
      <c r="H20" s="3">
        <f>IF(($A20-Ft!D$2)&lt;0,Ft!D$3*((1-Ft!D$6)/(1+Ft!D$37*($A20-Ft!D$2)^2)+Ft!D$6*EXP(Ft!D$38*($A20-Ft!D$2)^2)),Ft!D$3*((1-Ft!D$7)/(1+Ft!D$39*($A20-Ft!D$2)^2)+Ft!D$7*EXP(Ft!D$40*($A20-Ft!D$2)^2)))</f>
        <v>0.8038246885972995</v>
      </c>
      <c r="I20" s="3">
        <f>IF(($A20-Ft!E$2)&lt;0,Ft!E$3*((1-Ft!E$6)/(1+Ft!E$37*($A20-Ft!E$2)^2)+Ft!E$6*EXP(Ft!E$38*($A20-Ft!E$2)^2)),Ft!E$3*((1-Ft!E$7)/(1+Ft!E$39*($A20-Ft!E$2)^2)+Ft!E$7*EXP(Ft!E$40*($A20-Ft!E$2)^2)))</f>
        <v>2.6921281194870919E-6</v>
      </c>
      <c r="J20" s="3">
        <f>IF(($A20-Ft!F$2)&lt;0,Ft!F$3*((1-Ft!F$6)/(1+Ft!F$37*($A20-Ft!F$2)^2)+Ft!F$6*EXP(Ft!F$38*($A20-Ft!F$2)^2)),Ft!F$3*((1-Ft!F$7)/(1+Ft!F$39*($A20-Ft!F$2)^2)+Ft!F$7*EXP(Ft!F$40*($A20-Ft!F$2)^2)))</f>
        <v>8.209642874553942E-109</v>
      </c>
      <c r="K20" s="3">
        <f>IF(($A20-Ft!G$2)&lt;0,Ft!G$3*((1-Ft!G$6)/(1+Ft!G$37*($A20-Ft!G$2)^2)+Ft!G$6*EXP(Ft!G$38*($A20-Ft!G$2)^2)),Ft!G$3*((1-Ft!G$7)/(1+Ft!G$39*($A20-Ft!G$2)^2)+Ft!G$7*EXP(Ft!G$40*($A20-Ft!G$2)^2)))</f>
        <v>0</v>
      </c>
      <c r="L20" s="3">
        <f>IF(($A20-Ft!H$2)&lt;0,Ft!H$3*((1-Ft!H$6)/(1+Ft!H$37*($A20-Ft!H$2)^2)+Ft!H$6*EXP(Ft!H$38*($A20-Ft!H$2)^2)),Ft!H$3*((1-Ft!H$7)/(1+Ft!H$39*($A20-Ft!H$2)^2)+Ft!H$7*EXP(Ft!H$40*($A20-Ft!H$2)^2)))</f>
        <v>0</v>
      </c>
      <c r="M20" s="3">
        <f>IF(($A20-Ft!I$2)&lt;0,Ft!I$3*((1-Ft!I$6)/(1+Ft!I$37*($A20-Ft!I$2)^2)+Ft!I$6*EXP(Ft!I$38*($A20-Ft!I$2)^2)),Ft!I$3*((1-Ft!I$7)/(1+Ft!I$39*($A20-Ft!I$2)^2)+Ft!I$7*EXP(Ft!I$40*($A20-Ft!I$2)^2)))</f>
        <v>0</v>
      </c>
      <c r="N20" s="3">
        <f>IF(($A20-Ft!J$2)&lt;0,Ft!J$3*((1-Ft!J$6)/(1+Ft!J$37*($A20-Ft!J$2)^2)+Ft!J$6*EXP(Ft!J$38*($A20-Ft!J$2)^2)),Ft!J$3*((1-Ft!J$7)/(1+Ft!J$39*($A20-Ft!J$2)^2)+Ft!J$7*EXP(Ft!J$40*($A20-Ft!J$2)^2)))</f>
        <v>0</v>
      </c>
      <c r="O20" s="3">
        <f>IF(($A20-Ft!K$2)&lt;0,Ft!K$3*((1-Ft!K$6)/(1+Ft!K$37*($A20-Ft!K$2)^2)+Ft!K$6*EXP(Ft!K$38*($A20-Ft!K$2)^2)),Ft!K$3*((1-Ft!K$7)/(1+Ft!K$39*($A20-Ft!K$2)^2)+Ft!K$7*EXP(Ft!K$40*($A20-Ft!K$2)^2)))</f>
        <v>0</v>
      </c>
      <c r="P20"/>
      <c r="Q20"/>
    </row>
    <row r="21" spans="1:17">
      <c r="A21">
        <v>38</v>
      </c>
      <c r="B21">
        <v>7.9790990056850006</v>
      </c>
      <c r="C21" s="6">
        <f t="shared" si="1"/>
        <v>7.7974982436785645</v>
      </c>
      <c r="D21" s="19">
        <f t="shared" si="2"/>
        <v>3.2978836761318263E-2</v>
      </c>
      <c r="E21" s="3">
        <f>Ft!$B$12+Ft!$B$14*(Data!A21-Vars!$B$3)</f>
        <v>0</v>
      </c>
      <c r="F21" s="3">
        <f>IF(($A21-Ft!B$2)&lt;0,Ft!B$3*((1-Ft!B$6)/(1+Ft!B$37*($A21-Ft!B$2)^2)+Ft!B$6*EXP(Ft!B$38*($A21-Ft!B$2)^2)),Ft!B$3*((1-Ft!B$7)/(1+Ft!B$39*($A21-Ft!B$2)^2)+Ft!B$7*EXP(Ft!B$40*($A21-Ft!B$2)^2)))</f>
        <v>2.9700122919024254</v>
      </c>
      <c r="G21" s="3">
        <f>IF(($A21-Ft!C$2)&lt;0,Ft!C$3*((1-Ft!C$6)/(1+Ft!C$37*($A21-Ft!C$2)^2)+Ft!C$6*EXP(Ft!C$38*($A21-Ft!C$2)^2)),Ft!C$3*((1-Ft!C$7)/(1+Ft!C$39*($A21-Ft!C$2)^2)+Ft!C$7*EXP(Ft!C$40*($A21-Ft!C$2)^2)))</f>
        <v>3.9991710572306074</v>
      </c>
      <c r="H21" s="3">
        <f>IF(($A21-Ft!D$2)&lt;0,Ft!D$3*((1-Ft!D$6)/(1+Ft!D$37*($A21-Ft!D$2)^2)+Ft!D$6*EXP(Ft!D$38*($A21-Ft!D$2)^2)),Ft!D$3*((1-Ft!D$7)/(1+Ft!D$39*($A21-Ft!D$2)^2)+Ft!D$7*EXP(Ft!D$40*($A21-Ft!D$2)^2)))</f>
        <v>0.82831198087928959</v>
      </c>
      <c r="I21" s="3">
        <f>IF(($A21-Ft!E$2)&lt;0,Ft!E$3*((1-Ft!E$6)/(1+Ft!E$37*($A21-Ft!E$2)^2)+Ft!E$6*EXP(Ft!E$38*($A21-Ft!E$2)^2)),Ft!E$3*((1-Ft!E$7)/(1+Ft!E$39*($A21-Ft!E$2)^2)+Ft!E$7*EXP(Ft!E$40*($A21-Ft!E$2)^2)))</f>
        <v>2.9136662420498829E-6</v>
      </c>
      <c r="J21" s="3">
        <f>IF(($A21-Ft!F$2)&lt;0,Ft!F$3*((1-Ft!F$6)/(1+Ft!F$37*($A21-Ft!F$2)^2)+Ft!F$6*EXP(Ft!F$38*($A21-Ft!F$2)^2)),Ft!F$3*((1-Ft!F$7)/(1+Ft!F$39*($A21-Ft!F$2)^2)+Ft!F$7*EXP(Ft!F$40*($A21-Ft!F$2)^2)))</f>
        <v>2.3162730362815588E-108</v>
      </c>
      <c r="K21" s="3">
        <f>IF(($A21-Ft!G$2)&lt;0,Ft!G$3*((1-Ft!G$6)/(1+Ft!G$37*($A21-Ft!G$2)^2)+Ft!G$6*EXP(Ft!G$38*($A21-Ft!G$2)^2)),Ft!G$3*((1-Ft!G$7)/(1+Ft!G$39*($A21-Ft!G$2)^2)+Ft!G$7*EXP(Ft!G$40*($A21-Ft!G$2)^2)))</f>
        <v>0</v>
      </c>
      <c r="L21" s="3">
        <f>IF(($A21-Ft!H$2)&lt;0,Ft!H$3*((1-Ft!H$6)/(1+Ft!H$37*($A21-Ft!H$2)^2)+Ft!H$6*EXP(Ft!H$38*($A21-Ft!H$2)^2)),Ft!H$3*((1-Ft!H$7)/(1+Ft!H$39*($A21-Ft!H$2)^2)+Ft!H$7*EXP(Ft!H$40*($A21-Ft!H$2)^2)))</f>
        <v>0</v>
      </c>
      <c r="M21" s="3">
        <f>IF(($A21-Ft!I$2)&lt;0,Ft!I$3*((1-Ft!I$6)/(1+Ft!I$37*($A21-Ft!I$2)^2)+Ft!I$6*EXP(Ft!I$38*($A21-Ft!I$2)^2)),Ft!I$3*((1-Ft!I$7)/(1+Ft!I$39*($A21-Ft!I$2)^2)+Ft!I$7*EXP(Ft!I$40*($A21-Ft!I$2)^2)))</f>
        <v>0</v>
      </c>
      <c r="N21" s="3">
        <f>IF(($A21-Ft!J$2)&lt;0,Ft!J$3*((1-Ft!J$6)/(1+Ft!J$37*($A21-Ft!J$2)^2)+Ft!J$6*EXP(Ft!J$38*($A21-Ft!J$2)^2)),Ft!J$3*((1-Ft!J$7)/(1+Ft!J$39*($A21-Ft!J$2)^2)+Ft!J$7*EXP(Ft!J$40*($A21-Ft!J$2)^2)))</f>
        <v>0</v>
      </c>
      <c r="O21" s="3">
        <f>IF(($A21-Ft!K$2)&lt;0,Ft!K$3*((1-Ft!K$6)/(1+Ft!K$37*($A21-Ft!K$2)^2)+Ft!K$6*EXP(Ft!K$38*($A21-Ft!K$2)^2)),Ft!K$3*((1-Ft!K$7)/(1+Ft!K$39*($A21-Ft!K$2)^2)+Ft!K$7*EXP(Ft!K$40*($A21-Ft!K$2)^2)))</f>
        <v>0</v>
      </c>
      <c r="P21"/>
      <c r="Q21"/>
    </row>
    <row r="22" spans="1:17">
      <c r="A22">
        <v>40</v>
      </c>
      <c r="B22">
        <v>8.1133117252259979</v>
      </c>
      <c r="C22" s="6">
        <f t="shared" si="1"/>
        <v>8.0522111201640687</v>
      </c>
      <c r="D22" s="19">
        <f t="shared" si="2"/>
        <v>3.733283938933843E-3</v>
      </c>
      <c r="E22" s="3">
        <f>Ft!$B$12+Ft!$B$14*(Data!A22-Vars!$B$3)</f>
        <v>0</v>
      </c>
      <c r="F22" s="3">
        <f>IF(($A22-Ft!B$2)&lt;0,Ft!B$3*((1-Ft!B$6)/(1+Ft!B$37*($A22-Ft!B$2)^2)+Ft!B$6*EXP(Ft!B$38*($A22-Ft!B$2)^2)),Ft!B$3*((1-Ft!B$7)/(1+Ft!B$39*($A22-Ft!B$2)^2)+Ft!B$7*EXP(Ft!B$40*($A22-Ft!B$2)^2)))</f>
        <v>3.0681133916647463</v>
      </c>
      <c r="G22" s="3">
        <f>IF(($A22-Ft!C$2)&lt;0,Ft!C$3*((1-Ft!C$6)/(1+Ft!C$37*($A22-Ft!C$2)^2)+Ft!C$6*EXP(Ft!C$38*($A22-Ft!C$2)^2)),Ft!C$3*((1-Ft!C$7)/(1+Ft!C$39*($A22-Ft!C$2)^2)+Ft!C$7*EXP(Ft!C$40*($A22-Ft!C$2)^2)))</f>
        <v>4.1306720334412228</v>
      </c>
      <c r="H22" s="3">
        <f>IF(($A22-Ft!D$2)&lt;0,Ft!D$3*((1-Ft!D$6)/(1+Ft!D$37*($A22-Ft!D$2)^2)+Ft!D$6*EXP(Ft!D$38*($A22-Ft!D$2)^2)),Ft!D$3*((1-Ft!D$7)/(1+Ft!D$39*($A22-Ft!D$2)^2)+Ft!D$7*EXP(Ft!D$40*($A22-Ft!D$2)^2)))</f>
        <v>0.85342254225803005</v>
      </c>
      <c r="I22" s="3">
        <f>IF(($A22-Ft!E$2)&lt;0,Ft!E$3*((1-Ft!E$6)/(1+Ft!E$37*($A22-Ft!E$2)^2)+Ft!E$6*EXP(Ft!E$38*($A22-Ft!E$2)^2)),Ft!E$3*((1-Ft!E$7)/(1+Ft!E$39*($A22-Ft!E$2)^2)+Ft!E$7*EXP(Ft!E$40*($A22-Ft!E$2)^2)))</f>
        <v>3.1528000696435708E-6</v>
      </c>
      <c r="J22" s="3">
        <f>IF(($A22-Ft!F$2)&lt;0,Ft!F$3*((1-Ft!F$6)/(1+Ft!F$37*($A22-Ft!F$2)^2)+Ft!F$6*EXP(Ft!F$38*($A22-Ft!F$2)^2)),Ft!F$3*((1-Ft!F$7)/(1+Ft!F$39*($A22-Ft!F$2)^2)+Ft!F$7*EXP(Ft!F$40*($A22-Ft!F$2)^2)))</f>
        <v>6.5210947719968039E-108</v>
      </c>
      <c r="K22" s="3">
        <f>IF(($A22-Ft!G$2)&lt;0,Ft!G$3*((1-Ft!G$6)/(1+Ft!G$37*($A22-Ft!G$2)^2)+Ft!G$6*EXP(Ft!G$38*($A22-Ft!G$2)^2)),Ft!G$3*((1-Ft!G$7)/(1+Ft!G$39*($A22-Ft!G$2)^2)+Ft!G$7*EXP(Ft!G$40*($A22-Ft!G$2)^2)))</f>
        <v>0</v>
      </c>
      <c r="L22" s="3">
        <f>IF(($A22-Ft!H$2)&lt;0,Ft!H$3*((1-Ft!H$6)/(1+Ft!H$37*($A22-Ft!H$2)^2)+Ft!H$6*EXP(Ft!H$38*($A22-Ft!H$2)^2)),Ft!H$3*((1-Ft!H$7)/(1+Ft!H$39*($A22-Ft!H$2)^2)+Ft!H$7*EXP(Ft!H$40*($A22-Ft!H$2)^2)))</f>
        <v>0</v>
      </c>
      <c r="M22" s="3">
        <f>IF(($A22-Ft!I$2)&lt;0,Ft!I$3*((1-Ft!I$6)/(1+Ft!I$37*($A22-Ft!I$2)^2)+Ft!I$6*EXP(Ft!I$38*($A22-Ft!I$2)^2)),Ft!I$3*((1-Ft!I$7)/(1+Ft!I$39*($A22-Ft!I$2)^2)+Ft!I$7*EXP(Ft!I$40*($A22-Ft!I$2)^2)))</f>
        <v>0</v>
      </c>
      <c r="N22" s="3">
        <f>IF(($A22-Ft!J$2)&lt;0,Ft!J$3*((1-Ft!J$6)/(1+Ft!J$37*($A22-Ft!J$2)^2)+Ft!J$6*EXP(Ft!J$38*($A22-Ft!J$2)^2)),Ft!J$3*((1-Ft!J$7)/(1+Ft!J$39*($A22-Ft!J$2)^2)+Ft!J$7*EXP(Ft!J$40*($A22-Ft!J$2)^2)))</f>
        <v>0</v>
      </c>
      <c r="O22" s="3">
        <f>IF(($A22-Ft!K$2)&lt;0,Ft!K$3*((1-Ft!K$6)/(1+Ft!K$37*($A22-Ft!K$2)^2)+Ft!K$6*EXP(Ft!K$38*($A22-Ft!K$2)^2)),Ft!K$3*((1-Ft!K$7)/(1+Ft!K$39*($A22-Ft!K$2)^2)+Ft!K$7*EXP(Ft!K$40*($A22-Ft!K$2)^2)))</f>
        <v>0</v>
      </c>
      <c r="P22"/>
      <c r="Q22"/>
    </row>
    <row r="23" spans="1:17">
      <c r="A23">
        <v>42</v>
      </c>
      <c r="B23">
        <v>8.2219918340629903</v>
      </c>
      <c r="C23" s="6">
        <f t="shared" si="1"/>
        <v>8.280469866091158</v>
      </c>
      <c r="D23" s="19">
        <f t="shared" si="2"/>
        <v>3.4196802298874077E-3</v>
      </c>
      <c r="E23" s="3">
        <f>Ft!$B$12+Ft!$B$14*(Data!A23-Vars!$B$3)</f>
        <v>0</v>
      </c>
      <c r="F23" s="3">
        <f>IF(($A23-Ft!B$2)&lt;0,Ft!B$3*((1-Ft!B$6)/(1+Ft!B$37*($A23-Ft!B$2)^2)+Ft!B$6*EXP(Ft!B$38*($A23-Ft!B$2)^2)),Ft!B$3*((1-Ft!B$7)/(1+Ft!B$39*($A23-Ft!B$2)^2)+Ft!B$7*EXP(Ft!B$40*($A23-Ft!B$2)^2)))</f>
        <v>3.137571610603854</v>
      </c>
      <c r="G23" s="3">
        <f>IF(($A23-Ft!C$2)&lt;0,Ft!C$3*((1-Ft!C$6)/(1+Ft!C$37*($A23-Ft!C$2)^2)+Ft!C$6*EXP(Ft!C$38*($A23-Ft!C$2)^2)),Ft!C$3*((1-Ft!C$7)/(1+Ft!C$39*($A23-Ft!C$2)^2)+Ft!C$7*EXP(Ft!C$40*($A23-Ft!C$2)^2)))</f>
        <v>4.263726906083253</v>
      </c>
      <c r="H23" s="3">
        <f>IF(($A23-Ft!D$2)&lt;0,Ft!D$3*((1-Ft!D$6)/(1+Ft!D$37*($A23-Ft!D$2)^2)+Ft!D$6*EXP(Ft!D$38*($A23-Ft!D$2)^2)),Ft!D$3*((1-Ft!D$7)/(1+Ft!D$39*($A23-Ft!D$2)^2)+Ft!D$7*EXP(Ft!D$40*($A23-Ft!D$2)^2)))</f>
        <v>0.87916793853055852</v>
      </c>
      <c r="I23" s="3">
        <f>IF(($A23-Ft!E$2)&lt;0,Ft!E$3*((1-Ft!E$6)/(1+Ft!E$37*($A23-Ft!E$2)^2)+Ft!E$6*EXP(Ft!E$38*($A23-Ft!E$2)^2)),Ft!E$3*((1-Ft!E$7)/(1+Ft!E$39*($A23-Ft!E$2)^2)+Ft!E$7*EXP(Ft!E$40*($A23-Ft!E$2)^2)))</f>
        <v>3.4108734926629975E-6</v>
      </c>
      <c r="J23" s="3">
        <f>IF(($A23-Ft!F$2)&lt;0,Ft!F$3*((1-Ft!F$6)/(1+Ft!F$37*($A23-Ft!F$2)^2)+Ft!F$6*EXP(Ft!F$38*($A23-Ft!F$2)^2)),Ft!F$3*((1-Ft!F$7)/(1+Ft!F$39*($A23-Ft!F$2)^2)+Ft!F$7*EXP(Ft!F$40*($A23-Ft!F$2)^2)))</f>
        <v>1.8319623604662299E-107</v>
      </c>
      <c r="K23" s="3">
        <f>IF(($A23-Ft!G$2)&lt;0,Ft!G$3*((1-Ft!G$6)/(1+Ft!G$37*($A23-Ft!G$2)^2)+Ft!G$6*EXP(Ft!G$38*($A23-Ft!G$2)^2)),Ft!G$3*((1-Ft!G$7)/(1+Ft!G$39*($A23-Ft!G$2)^2)+Ft!G$7*EXP(Ft!G$40*($A23-Ft!G$2)^2)))</f>
        <v>0</v>
      </c>
      <c r="L23" s="3">
        <f>IF(($A23-Ft!H$2)&lt;0,Ft!H$3*((1-Ft!H$6)/(1+Ft!H$37*($A23-Ft!H$2)^2)+Ft!H$6*EXP(Ft!H$38*($A23-Ft!H$2)^2)),Ft!H$3*((1-Ft!H$7)/(1+Ft!H$39*($A23-Ft!H$2)^2)+Ft!H$7*EXP(Ft!H$40*($A23-Ft!H$2)^2)))</f>
        <v>0</v>
      </c>
      <c r="M23" s="3">
        <f>IF(($A23-Ft!I$2)&lt;0,Ft!I$3*((1-Ft!I$6)/(1+Ft!I$37*($A23-Ft!I$2)^2)+Ft!I$6*EXP(Ft!I$38*($A23-Ft!I$2)^2)),Ft!I$3*((1-Ft!I$7)/(1+Ft!I$39*($A23-Ft!I$2)^2)+Ft!I$7*EXP(Ft!I$40*($A23-Ft!I$2)^2)))</f>
        <v>0</v>
      </c>
      <c r="N23" s="3">
        <f>IF(($A23-Ft!J$2)&lt;0,Ft!J$3*((1-Ft!J$6)/(1+Ft!J$37*($A23-Ft!J$2)^2)+Ft!J$6*EXP(Ft!J$38*($A23-Ft!J$2)^2)),Ft!J$3*((1-Ft!J$7)/(1+Ft!J$39*($A23-Ft!J$2)^2)+Ft!J$7*EXP(Ft!J$40*($A23-Ft!J$2)^2)))</f>
        <v>0</v>
      </c>
      <c r="O23" s="3">
        <f>IF(($A23-Ft!K$2)&lt;0,Ft!K$3*((1-Ft!K$6)/(1+Ft!K$37*($A23-Ft!K$2)^2)+Ft!K$6*EXP(Ft!K$38*($A23-Ft!K$2)^2)),Ft!K$3*((1-Ft!K$7)/(1+Ft!K$39*($A23-Ft!K$2)^2)+Ft!K$7*EXP(Ft!K$40*($A23-Ft!K$2)^2)))</f>
        <v>0</v>
      </c>
      <c r="P23"/>
      <c r="Q23"/>
    </row>
    <row r="24" spans="1:17">
      <c r="A24">
        <v>44</v>
      </c>
      <c r="B24">
        <v>8.3145266827859956</v>
      </c>
      <c r="C24" s="6">
        <f t="shared" si="1"/>
        <v>8.480098922613756</v>
      </c>
      <c r="D24" s="19">
        <f t="shared" si="2"/>
        <v>2.7414166601581396E-2</v>
      </c>
      <c r="E24" s="3">
        <f>Ft!$B$12+Ft!$B$14*(Data!A24-Vars!$B$3)</f>
        <v>0</v>
      </c>
      <c r="F24" s="3">
        <f>IF(($A24-Ft!B$2)&lt;0,Ft!B$3*((1-Ft!B$6)/(1+Ft!B$37*($A24-Ft!B$2)^2)+Ft!B$6*EXP(Ft!B$38*($A24-Ft!B$2)^2)),Ft!B$3*((1-Ft!B$7)/(1+Ft!B$39*($A24-Ft!B$2)^2)+Ft!B$7*EXP(Ft!B$40*($A24-Ft!B$2)^2)))</f>
        <v>3.1763252584436241</v>
      </c>
      <c r="G24" s="3">
        <f>IF(($A24-Ft!C$2)&lt;0,Ft!C$3*((1-Ft!C$6)/(1+Ft!C$37*($A24-Ft!C$2)^2)+Ft!C$6*EXP(Ft!C$38*($A24-Ft!C$2)^2)),Ft!C$3*((1-Ft!C$7)/(1+Ft!C$39*($A24-Ft!C$2)^2)+Ft!C$7*EXP(Ft!C$40*($A24-Ft!C$2)^2)))</f>
        <v>4.3982101674878864</v>
      </c>
      <c r="H24" s="3">
        <f>IF(($A24-Ft!D$2)&lt;0,Ft!D$3*((1-Ft!D$6)/(1+Ft!D$37*($A24-Ft!D$2)^2)+Ft!D$6*EXP(Ft!D$38*($A24-Ft!D$2)^2)),Ft!D$3*((1-Ft!D$7)/(1+Ft!D$39*($A24-Ft!D$2)^2)+Ft!D$7*EXP(Ft!D$40*($A24-Ft!D$2)^2)))</f>
        <v>0.90555980735359987</v>
      </c>
      <c r="I24" s="3">
        <f>IF(($A24-Ft!E$2)&lt;0,Ft!E$3*((1-Ft!E$6)/(1+Ft!E$37*($A24-Ft!E$2)^2)+Ft!E$6*EXP(Ft!E$38*($A24-Ft!E$2)^2)),Ft!E$3*((1-Ft!E$7)/(1+Ft!E$39*($A24-Ft!E$2)^2)+Ft!E$7*EXP(Ft!E$40*($A24-Ft!E$2)^2)))</f>
        <v>3.6893286444671443E-6</v>
      </c>
      <c r="J24" s="3">
        <f>IF(($A24-Ft!F$2)&lt;0,Ft!F$3*((1-Ft!F$6)/(1+Ft!F$37*($A24-Ft!F$2)^2)+Ft!F$6*EXP(Ft!F$38*($A24-Ft!F$2)^2)),Ft!F$3*((1-Ft!F$7)/(1+Ft!F$39*($A24-Ft!F$2)^2)+Ft!F$7*EXP(Ft!F$40*($A24-Ft!F$2)^2)))</f>
        <v>5.1354423121999363E-107</v>
      </c>
      <c r="K24" s="3">
        <f>IF(($A24-Ft!G$2)&lt;0,Ft!G$3*((1-Ft!G$6)/(1+Ft!G$37*($A24-Ft!G$2)^2)+Ft!G$6*EXP(Ft!G$38*($A24-Ft!G$2)^2)),Ft!G$3*((1-Ft!G$7)/(1+Ft!G$39*($A24-Ft!G$2)^2)+Ft!G$7*EXP(Ft!G$40*($A24-Ft!G$2)^2)))</f>
        <v>0</v>
      </c>
      <c r="L24" s="3">
        <f>IF(($A24-Ft!H$2)&lt;0,Ft!H$3*((1-Ft!H$6)/(1+Ft!H$37*($A24-Ft!H$2)^2)+Ft!H$6*EXP(Ft!H$38*($A24-Ft!H$2)^2)),Ft!H$3*((1-Ft!H$7)/(1+Ft!H$39*($A24-Ft!H$2)^2)+Ft!H$7*EXP(Ft!H$40*($A24-Ft!H$2)^2)))</f>
        <v>0</v>
      </c>
      <c r="M24" s="3">
        <f>IF(($A24-Ft!I$2)&lt;0,Ft!I$3*((1-Ft!I$6)/(1+Ft!I$37*($A24-Ft!I$2)^2)+Ft!I$6*EXP(Ft!I$38*($A24-Ft!I$2)^2)),Ft!I$3*((1-Ft!I$7)/(1+Ft!I$39*($A24-Ft!I$2)^2)+Ft!I$7*EXP(Ft!I$40*($A24-Ft!I$2)^2)))</f>
        <v>0</v>
      </c>
      <c r="N24" s="3">
        <f>IF(($A24-Ft!J$2)&lt;0,Ft!J$3*((1-Ft!J$6)/(1+Ft!J$37*($A24-Ft!J$2)^2)+Ft!J$6*EXP(Ft!J$38*($A24-Ft!J$2)^2)),Ft!J$3*((1-Ft!J$7)/(1+Ft!J$39*($A24-Ft!J$2)^2)+Ft!J$7*EXP(Ft!J$40*($A24-Ft!J$2)^2)))</f>
        <v>0</v>
      </c>
      <c r="O24" s="3">
        <f>IF(($A24-Ft!K$2)&lt;0,Ft!K$3*((1-Ft!K$6)/(1+Ft!K$37*($A24-Ft!K$2)^2)+Ft!K$6*EXP(Ft!K$38*($A24-Ft!K$2)^2)),Ft!K$3*((1-Ft!K$7)/(1+Ft!K$39*($A24-Ft!K$2)^2)+Ft!K$7*EXP(Ft!K$40*($A24-Ft!K$2)^2)))</f>
        <v>0</v>
      </c>
      <c r="P24"/>
      <c r="Q24"/>
    </row>
    <row r="25" spans="1:17">
      <c r="A25">
        <v>46</v>
      </c>
      <c r="B25">
        <v>8.4003036219839942</v>
      </c>
      <c r="C25" s="6">
        <f t="shared" si="1"/>
        <v>8.649813913611462</v>
      </c>
      <c r="D25" s="19">
        <f t="shared" si="2"/>
        <v>6.2255385628024053E-2</v>
      </c>
      <c r="E25" s="3">
        <f>Ft!$B$12+Ft!$B$14*(Data!A25-Vars!$B$3)</f>
        <v>0</v>
      </c>
      <c r="F25" s="3">
        <f>IF(($A25-Ft!B$2)&lt;0,Ft!B$3*((1-Ft!B$6)/(1+Ft!B$37*($A25-Ft!B$2)^2)+Ft!B$6*EXP(Ft!B$38*($A25-Ft!B$2)^2)),Ft!B$3*((1-Ft!B$7)/(1+Ft!B$39*($A25-Ft!B$2)^2)+Ft!B$7*EXP(Ft!B$40*($A25-Ft!B$2)^2)))</f>
        <v>3.1832105865512812</v>
      </c>
      <c r="G25" s="3">
        <f>IF(($A25-Ft!C$2)&lt;0,Ft!C$3*((1-Ft!C$6)/(1+Ft!C$37*($A25-Ft!C$2)^2)+Ft!C$6*EXP(Ft!C$38*($A25-Ft!C$2)^2)),Ft!C$3*((1-Ft!C$7)/(1+Ft!C$39*($A25-Ft!C$2)^2)+Ft!C$7*EXP(Ft!C$40*($A25-Ft!C$2)^2)))</f>
        <v>4.5339894837281145</v>
      </c>
      <c r="H25" s="3">
        <f>IF(($A25-Ft!D$2)&lt;0,Ft!D$3*((1-Ft!D$6)/(1+Ft!D$37*($A25-Ft!D$2)^2)+Ft!D$6*EXP(Ft!D$38*($A25-Ft!D$2)^2)),Ft!D$3*((1-Ft!D$7)/(1+Ft!D$39*($A25-Ft!D$2)^2)+Ft!D$7*EXP(Ft!D$40*($A25-Ft!D$2)^2)))</f>
        <v>0.93260985361933157</v>
      </c>
      <c r="I25" s="3">
        <f>IF(($A25-Ft!E$2)&lt;0,Ft!E$3*((1-Ft!E$6)/(1+Ft!E$37*($A25-Ft!E$2)^2)+Ft!E$6*EXP(Ft!E$38*($A25-Ft!E$2)^2)),Ft!E$3*((1-Ft!E$7)/(1+Ft!E$39*($A25-Ft!E$2)^2)+Ft!E$7*EXP(Ft!E$40*($A25-Ft!E$2)^2)))</f>
        <v>3.9897127342552601E-6</v>
      </c>
      <c r="J25" s="3">
        <f>IF(($A25-Ft!F$2)&lt;0,Ft!F$3*((1-Ft!F$6)/(1+Ft!F$37*($A25-Ft!F$2)^2)+Ft!F$6*EXP(Ft!F$38*($A25-Ft!F$2)^2)),Ft!F$3*((1-Ft!F$7)/(1+Ft!F$39*($A25-Ft!F$2)^2)+Ft!F$7*EXP(Ft!F$40*($A25-Ft!F$2)^2)))</f>
        <v>1.4364960556037758E-106</v>
      </c>
      <c r="K25" s="3">
        <f>IF(($A25-Ft!G$2)&lt;0,Ft!G$3*((1-Ft!G$6)/(1+Ft!G$37*($A25-Ft!G$2)^2)+Ft!G$6*EXP(Ft!G$38*($A25-Ft!G$2)^2)),Ft!G$3*((1-Ft!G$7)/(1+Ft!G$39*($A25-Ft!G$2)^2)+Ft!G$7*EXP(Ft!G$40*($A25-Ft!G$2)^2)))</f>
        <v>0</v>
      </c>
      <c r="L25" s="3">
        <f>IF(($A25-Ft!H$2)&lt;0,Ft!H$3*((1-Ft!H$6)/(1+Ft!H$37*($A25-Ft!H$2)^2)+Ft!H$6*EXP(Ft!H$38*($A25-Ft!H$2)^2)),Ft!H$3*((1-Ft!H$7)/(1+Ft!H$39*($A25-Ft!H$2)^2)+Ft!H$7*EXP(Ft!H$40*($A25-Ft!H$2)^2)))</f>
        <v>0</v>
      </c>
      <c r="M25" s="3">
        <f>IF(($A25-Ft!I$2)&lt;0,Ft!I$3*((1-Ft!I$6)/(1+Ft!I$37*($A25-Ft!I$2)^2)+Ft!I$6*EXP(Ft!I$38*($A25-Ft!I$2)^2)),Ft!I$3*((1-Ft!I$7)/(1+Ft!I$39*($A25-Ft!I$2)^2)+Ft!I$7*EXP(Ft!I$40*($A25-Ft!I$2)^2)))</f>
        <v>0</v>
      </c>
      <c r="N25" s="3">
        <f>IF(($A25-Ft!J$2)&lt;0,Ft!J$3*((1-Ft!J$6)/(1+Ft!J$37*($A25-Ft!J$2)^2)+Ft!J$6*EXP(Ft!J$38*($A25-Ft!J$2)^2)),Ft!J$3*((1-Ft!J$7)/(1+Ft!J$39*($A25-Ft!J$2)^2)+Ft!J$7*EXP(Ft!J$40*($A25-Ft!J$2)^2)))</f>
        <v>0</v>
      </c>
      <c r="O25" s="3">
        <f>IF(($A25-Ft!K$2)&lt;0,Ft!K$3*((1-Ft!K$6)/(1+Ft!K$37*($A25-Ft!K$2)^2)+Ft!K$6*EXP(Ft!K$38*($A25-Ft!K$2)^2)),Ft!K$3*((1-Ft!K$7)/(1+Ft!K$39*($A25-Ft!K$2)^2)+Ft!K$7*EXP(Ft!K$40*($A25-Ft!K$2)^2)))</f>
        <v>0</v>
      </c>
      <c r="P25"/>
      <c r="Q25"/>
    </row>
    <row r="26" spans="1:17">
      <c r="A26">
        <v>48</v>
      </c>
      <c r="B26">
        <v>8.4887100022459947</v>
      </c>
      <c r="C26" s="6">
        <f t="shared" si="1"/>
        <v>8.7892798241810013</v>
      </c>
      <c r="D26" s="19">
        <f t="shared" si="2"/>
        <v>9.0342217858041571E-2</v>
      </c>
      <c r="E26" s="3">
        <f>Ft!$B$12+Ft!$B$14*(Data!A26-Vars!$B$3)</f>
        <v>0</v>
      </c>
      <c r="F26" s="3">
        <f>IF(($A26-Ft!B$2)&lt;0,Ft!B$3*((1-Ft!B$6)/(1+Ft!B$37*($A26-Ft!B$2)^2)+Ft!B$6*EXP(Ft!B$38*($A26-Ft!B$2)^2)),Ft!B$3*((1-Ft!B$7)/(1+Ft!B$39*($A26-Ft!B$2)^2)+Ft!B$7*EXP(Ft!B$40*($A26-Ft!B$2)^2)))</f>
        <v>3.1580198374771102</v>
      </c>
      <c r="G26" s="3">
        <f>IF(($A26-Ft!C$2)&lt;0,Ft!C$3*((1-Ft!C$6)/(1+Ft!C$37*($A26-Ft!C$2)^2)+Ft!C$6*EXP(Ft!C$38*($A26-Ft!C$2)^2)),Ft!C$3*((1-Ft!C$7)/(1+Ft!C$39*($A26-Ft!C$2)^2)+Ft!C$7*EXP(Ft!C$40*($A26-Ft!C$2)^2)))</f>
        <v>4.6709258283756059</v>
      </c>
      <c r="H26" s="3">
        <f>IF(($A26-Ft!D$2)&lt;0,Ft!D$3*((1-Ft!D$6)/(1+Ft!D$37*($A26-Ft!D$2)^2)+Ft!D$6*EXP(Ft!D$38*($A26-Ft!D$2)^2)),Ft!D$3*((1-Ft!D$7)/(1+Ft!D$39*($A26-Ft!D$2)^2)+Ft!D$7*EXP(Ft!D$40*($A26-Ft!D$2)^2)))</f>
        <v>0.96032984464295701</v>
      </c>
      <c r="I26" s="3">
        <f>IF(($A26-Ft!E$2)&lt;0,Ft!E$3*((1-Ft!E$6)/(1+Ft!E$37*($A26-Ft!E$2)^2)+Ft!E$6*EXP(Ft!E$38*($A26-Ft!E$2)^2)),Ft!E$3*((1-Ft!E$7)/(1+Ft!E$39*($A26-Ft!E$2)^2)+Ft!E$7*EXP(Ft!E$40*($A26-Ft!E$2)^2)))</f>
        <v>4.3136853284210669E-6</v>
      </c>
      <c r="J26" s="3">
        <f>IF(($A26-Ft!F$2)&lt;0,Ft!F$3*((1-Ft!F$6)/(1+Ft!F$37*($A26-Ft!F$2)^2)+Ft!F$6*EXP(Ft!F$38*($A26-Ft!F$2)^2)),Ft!F$3*((1-Ft!F$7)/(1+Ft!F$39*($A26-Ft!F$2)^2)+Ft!F$7*EXP(Ft!F$40*($A26-Ft!F$2)^2)))</f>
        <v>4.0095561041114851E-106</v>
      </c>
      <c r="K26" s="3">
        <f>IF(($A26-Ft!G$2)&lt;0,Ft!G$3*((1-Ft!G$6)/(1+Ft!G$37*($A26-Ft!G$2)^2)+Ft!G$6*EXP(Ft!G$38*($A26-Ft!G$2)^2)),Ft!G$3*((1-Ft!G$7)/(1+Ft!G$39*($A26-Ft!G$2)^2)+Ft!G$7*EXP(Ft!G$40*($A26-Ft!G$2)^2)))</f>
        <v>0</v>
      </c>
      <c r="L26" s="3">
        <f>IF(($A26-Ft!H$2)&lt;0,Ft!H$3*((1-Ft!H$6)/(1+Ft!H$37*($A26-Ft!H$2)^2)+Ft!H$6*EXP(Ft!H$38*($A26-Ft!H$2)^2)),Ft!H$3*((1-Ft!H$7)/(1+Ft!H$39*($A26-Ft!H$2)^2)+Ft!H$7*EXP(Ft!H$40*($A26-Ft!H$2)^2)))</f>
        <v>0</v>
      </c>
      <c r="M26" s="3">
        <f>IF(($A26-Ft!I$2)&lt;0,Ft!I$3*((1-Ft!I$6)/(1+Ft!I$37*($A26-Ft!I$2)^2)+Ft!I$6*EXP(Ft!I$38*($A26-Ft!I$2)^2)),Ft!I$3*((1-Ft!I$7)/(1+Ft!I$39*($A26-Ft!I$2)^2)+Ft!I$7*EXP(Ft!I$40*($A26-Ft!I$2)^2)))</f>
        <v>0</v>
      </c>
      <c r="N26" s="3">
        <f>IF(($A26-Ft!J$2)&lt;0,Ft!J$3*((1-Ft!J$6)/(1+Ft!J$37*($A26-Ft!J$2)^2)+Ft!J$6*EXP(Ft!J$38*($A26-Ft!J$2)^2)),Ft!J$3*((1-Ft!J$7)/(1+Ft!J$39*($A26-Ft!J$2)^2)+Ft!J$7*EXP(Ft!J$40*($A26-Ft!J$2)^2)))</f>
        <v>0</v>
      </c>
      <c r="O26" s="3">
        <f>IF(($A26-Ft!K$2)&lt;0,Ft!K$3*((1-Ft!K$6)/(1+Ft!K$37*($A26-Ft!K$2)^2)+Ft!K$6*EXP(Ft!K$38*($A26-Ft!K$2)^2)),Ft!K$3*((1-Ft!K$7)/(1+Ft!K$39*($A26-Ft!K$2)^2)+Ft!K$7*EXP(Ft!K$40*($A26-Ft!K$2)^2)))</f>
        <v>0</v>
      </c>
      <c r="P26"/>
      <c r="Q26"/>
    </row>
    <row r="27" spans="1:17">
      <c r="A27">
        <v>50</v>
      </c>
      <c r="B27">
        <v>8.5891331741609918</v>
      </c>
      <c r="C27" s="6">
        <f t="shared" si="1"/>
        <v>8.8991215687002079</v>
      </c>
      <c r="D27" s="19">
        <f t="shared" si="2"/>
        <v>9.6092804749000713E-2</v>
      </c>
      <c r="E27" s="3">
        <f>Ft!$B$12+Ft!$B$14*(Data!A27-Vars!$B$3)</f>
        <v>0</v>
      </c>
      <c r="F27" s="3">
        <f>IF(($A27-Ft!B$2)&lt;0,Ft!B$3*((1-Ft!B$6)/(1+Ft!B$37*($A27-Ft!B$2)^2)+Ft!B$6*EXP(Ft!B$38*($A27-Ft!B$2)^2)),Ft!B$3*((1-Ft!B$7)/(1+Ft!B$39*($A27-Ft!B$2)^2)+Ft!B$7*EXP(Ft!B$40*($A27-Ft!B$2)^2)))</f>
        <v>3.1015116580254269</v>
      </c>
      <c r="G27" s="3">
        <f>IF(($A27-Ft!C$2)&lt;0,Ft!C$3*((1-Ft!C$6)/(1+Ft!C$37*($A27-Ft!C$2)^2)+Ft!C$6*EXP(Ft!C$38*($A27-Ft!C$2)^2)),Ft!C$3*((1-Ft!C$7)/(1+Ft!C$39*($A27-Ft!C$2)^2)+Ft!C$7*EXP(Ft!C$40*($A27-Ft!C$2)^2)))</f>
        <v>4.8088736424880318</v>
      </c>
      <c r="H27" s="3">
        <f>IF(($A27-Ft!D$2)&lt;0,Ft!D$3*((1-Ft!D$6)/(1+Ft!D$37*($A27-Ft!D$2)^2)+Ft!D$6*EXP(Ft!D$38*($A27-Ft!D$2)^2)),Ft!D$3*((1-Ft!D$7)/(1+Ft!D$39*($A27-Ft!D$2)^2)+Ft!D$7*EXP(Ft!D$40*($A27-Ft!D$2)^2)))</f>
        <v>0.98873160516064063</v>
      </c>
      <c r="I27" s="3">
        <f>IF(($A27-Ft!E$2)&lt;0,Ft!E$3*((1-Ft!E$6)/(1+Ft!E$37*($A27-Ft!E$2)^2)+Ft!E$6*EXP(Ft!E$38*($A27-Ft!E$2)^2)),Ft!E$3*((1-Ft!E$7)/(1+Ft!E$39*($A27-Ft!E$2)^2)+Ft!E$7*EXP(Ft!E$40*($A27-Ft!E$2)^2)))</f>
        <v>4.6630261078448104E-6</v>
      </c>
      <c r="J27" s="3">
        <f>IF(($A27-Ft!F$2)&lt;0,Ft!F$3*((1-Ft!F$6)/(1+Ft!F$37*($A27-Ft!F$2)^2)+Ft!F$6*EXP(Ft!F$38*($A27-Ft!F$2)^2)),Ft!F$3*((1-Ft!F$7)/(1+Ft!F$39*($A27-Ft!F$2)^2)+Ft!F$7*EXP(Ft!F$40*($A27-Ft!F$2)^2)))</f>
        <v>1.1167434807454759E-105</v>
      </c>
      <c r="K27" s="3">
        <f>IF(($A27-Ft!G$2)&lt;0,Ft!G$3*((1-Ft!G$6)/(1+Ft!G$37*($A27-Ft!G$2)^2)+Ft!G$6*EXP(Ft!G$38*($A27-Ft!G$2)^2)),Ft!G$3*((1-Ft!G$7)/(1+Ft!G$39*($A27-Ft!G$2)^2)+Ft!G$7*EXP(Ft!G$40*($A27-Ft!G$2)^2)))</f>
        <v>0</v>
      </c>
      <c r="L27" s="3">
        <f>IF(($A27-Ft!H$2)&lt;0,Ft!H$3*((1-Ft!H$6)/(1+Ft!H$37*($A27-Ft!H$2)^2)+Ft!H$6*EXP(Ft!H$38*($A27-Ft!H$2)^2)),Ft!H$3*((1-Ft!H$7)/(1+Ft!H$39*($A27-Ft!H$2)^2)+Ft!H$7*EXP(Ft!H$40*($A27-Ft!H$2)^2)))</f>
        <v>0</v>
      </c>
      <c r="M27" s="3">
        <f>IF(($A27-Ft!I$2)&lt;0,Ft!I$3*((1-Ft!I$6)/(1+Ft!I$37*($A27-Ft!I$2)^2)+Ft!I$6*EXP(Ft!I$38*($A27-Ft!I$2)^2)),Ft!I$3*((1-Ft!I$7)/(1+Ft!I$39*($A27-Ft!I$2)^2)+Ft!I$7*EXP(Ft!I$40*($A27-Ft!I$2)^2)))</f>
        <v>0</v>
      </c>
      <c r="N27" s="3">
        <f>IF(($A27-Ft!J$2)&lt;0,Ft!J$3*((1-Ft!J$6)/(1+Ft!J$37*($A27-Ft!J$2)^2)+Ft!J$6*EXP(Ft!J$38*($A27-Ft!J$2)^2)),Ft!J$3*((1-Ft!J$7)/(1+Ft!J$39*($A27-Ft!J$2)^2)+Ft!J$7*EXP(Ft!J$40*($A27-Ft!J$2)^2)))</f>
        <v>0</v>
      </c>
      <c r="O27" s="3">
        <f>IF(($A27-Ft!K$2)&lt;0,Ft!K$3*((1-Ft!K$6)/(1+Ft!K$37*($A27-Ft!K$2)^2)+Ft!K$6*EXP(Ft!K$38*($A27-Ft!K$2)^2)),Ft!K$3*((1-Ft!K$7)/(1+Ft!K$39*($A27-Ft!K$2)^2)+Ft!K$7*EXP(Ft!K$40*($A27-Ft!K$2)^2)))</f>
        <v>0</v>
      </c>
      <c r="P27"/>
      <c r="Q27"/>
    </row>
    <row r="28" spans="1:17">
      <c r="A28">
        <v>52</v>
      </c>
      <c r="B28">
        <v>8.679962372576</v>
      </c>
      <c r="C28" s="6">
        <f t="shared" si="1"/>
        <v>8.9808862204018922</v>
      </c>
      <c r="D28" s="19">
        <f t="shared" si="2"/>
        <v>9.0555162190340738E-2</v>
      </c>
      <c r="E28" s="3">
        <f>Ft!$B$12+Ft!$B$14*(Data!A28-Vars!$B$3)</f>
        <v>0</v>
      </c>
      <c r="F28" s="3">
        <f>IF(($A28-Ft!B$2)&lt;0,Ft!B$3*((1-Ft!B$6)/(1+Ft!B$37*($A28-Ft!B$2)^2)+Ft!B$6*EXP(Ft!B$38*($A28-Ft!B$2)^2)),Ft!B$3*((1-Ft!B$7)/(1+Ft!B$39*($A28-Ft!B$2)^2)+Ft!B$7*EXP(Ft!B$40*($A28-Ft!B$2)^2)))</f>
        <v>3.0153731476184569</v>
      </c>
      <c r="G28" s="3">
        <f>IF(($A28-Ft!C$2)&lt;0,Ft!C$3*((1-Ft!C$6)/(1+Ft!C$37*($A28-Ft!C$2)^2)+Ft!C$6*EXP(Ft!C$38*($A28-Ft!C$2)^2)),Ft!C$3*((1-Ft!C$7)/(1+Ft!C$39*($A28-Ft!C$2)^2)+Ft!C$7*EXP(Ft!C$40*($A28-Ft!C$2)^2)))</f>
        <v>4.9476810210037776</v>
      </c>
      <c r="H28" s="3">
        <f>IF(($A28-Ft!D$2)&lt;0,Ft!D$3*((1-Ft!D$6)/(1+Ft!D$37*($A28-Ft!D$2)^2)+Ft!D$6*EXP(Ft!D$38*($A28-Ft!D$2)^2)),Ft!D$3*((1-Ft!D$7)/(1+Ft!D$39*($A28-Ft!D$2)^2)+Ft!D$7*EXP(Ft!D$40*($A28-Ft!D$2)^2)))</f>
        <v>1.0178270121365285</v>
      </c>
      <c r="I28" s="3">
        <f>IF(($A28-Ft!E$2)&lt;0,Ft!E$3*((1-Ft!E$6)/(1+Ft!E$37*($A28-Ft!E$2)^2)+Ft!E$6*EXP(Ft!E$38*($A28-Ft!E$2)^2)),Ft!E$3*((1-Ft!E$7)/(1+Ft!E$39*($A28-Ft!E$2)^2)+Ft!E$7*EXP(Ft!E$40*($A28-Ft!E$2)^2)))</f>
        <v>5.0396431301233148E-6</v>
      </c>
      <c r="J28" s="3">
        <f>IF(($A28-Ft!F$2)&lt;0,Ft!F$3*((1-Ft!F$6)/(1+Ft!F$37*($A28-Ft!F$2)^2)+Ft!F$6*EXP(Ft!F$38*($A28-Ft!F$2)^2)),Ft!F$3*((1-Ft!F$7)/(1+Ft!F$39*($A28-Ft!F$2)^2)+Ft!F$7*EXP(Ft!F$40*($A28-Ft!F$2)^2)))</f>
        <v>3.1036720920365954E-105</v>
      </c>
      <c r="K28" s="3">
        <f>IF(($A28-Ft!G$2)&lt;0,Ft!G$3*((1-Ft!G$6)/(1+Ft!G$37*($A28-Ft!G$2)^2)+Ft!G$6*EXP(Ft!G$38*($A28-Ft!G$2)^2)),Ft!G$3*((1-Ft!G$7)/(1+Ft!G$39*($A28-Ft!G$2)^2)+Ft!G$7*EXP(Ft!G$40*($A28-Ft!G$2)^2)))</f>
        <v>0</v>
      </c>
      <c r="L28" s="3">
        <f>IF(($A28-Ft!H$2)&lt;0,Ft!H$3*((1-Ft!H$6)/(1+Ft!H$37*($A28-Ft!H$2)^2)+Ft!H$6*EXP(Ft!H$38*($A28-Ft!H$2)^2)),Ft!H$3*((1-Ft!H$7)/(1+Ft!H$39*($A28-Ft!H$2)^2)+Ft!H$7*EXP(Ft!H$40*($A28-Ft!H$2)^2)))</f>
        <v>0</v>
      </c>
      <c r="M28" s="3">
        <f>IF(($A28-Ft!I$2)&lt;0,Ft!I$3*((1-Ft!I$6)/(1+Ft!I$37*($A28-Ft!I$2)^2)+Ft!I$6*EXP(Ft!I$38*($A28-Ft!I$2)^2)),Ft!I$3*((1-Ft!I$7)/(1+Ft!I$39*($A28-Ft!I$2)^2)+Ft!I$7*EXP(Ft!I$40*($A28-Ft!I$2)^2)))</f>
        <v>0</v>
      </c>
      <c r="N28" s="3">
        <f>IF(($A28-Ft!J$2)&lt;0,Ft!J$3*((1-Ft!J$6)/(1+Ft!J$37*($A28-Ft!J$2)^2)+Ft!J$6*EXP(Ft!J$38*($A28-Ft!J$2)^2)),Ft!J$3*((1-Ft!J$7)/(1+Ft!J$39*($A28-Ft!J$2)^2)+Ft!J$7*EXP(Ft!J$40*($A28-Ft!J$2)^2)))</f>
        <v>0</v>
      </c>
      <c r="O28" s="3">
        <f>IF(($A28-Ft!K$2)&lt;0,Ft!K$3*((1-Ft!K$6)/(1+Ft!K$37*($A28-Ft!K$2)^2)+Ft!K$6*EXP(Ft!K$38*($A28-Ft!K$2)^2)),Ft!K$3*((1-Ft!K$7)/(1+Ft!K$39*($A28-Ft!K$2)^2)+Ft!K$7*EXP(Ft!K$40*($A28-Ft!K$2)^2)))</f>
        <v>0</v>
      </c>
      <c r="P28"/>
      <c r="Q28"/>
    </row>
    <row r="29" spans="1:17">
      <c r="A29">
        <v>54</v>
      </c>
      <c r="B29">
        <v>8.7390600616589893</v>
      </c>
      <c r="C29" s="6">
        <f t="shared" si="1"/>
        <v>9.0369595516021981</v>
      </c>
      <c r="D29" s="19">
        <f t="shared" si="2"/>
        <v>8.8744106108423967E-2</v>
      </c>
      <c r="E29" s="3">
        <f>Ft!$B$12+Ft!$B$14*(Data!A29-Vars!$B$3)</f>
        <v>0</v>
      </c>
      <c r="F29" s="3">
        <f>IF(($A29-Ft!B$2)&lt;0,Ft!B$3*((1-Ft!B$6)/(1+Ft!B$37*($A29-Ft!B$2)^2)+Ft!B$6*EXP(Ft!B$38*($A29-Ft!B$2)^2)),Ft!B$3*((1-Ft!B$7)/(1+Ft!B$39*($A29-Ft!B$2)^2)+Ft!B$7*EXP(Ft!B$40*($A29-Ft!B$2)^2)))</f>
        <v>2.9021361910382875</v>
      </c>
      <c r="G29" s="3">
        <f>IF(($A29-Ft!C$2)&lt;0,Ft!C$3*((1-Ft!C$6)/(1+Ft!C$37*($A29-Ft!C$2)^2)+Ft!C$6*EXP(Ft!C$38*($A29-Ft!C$2)^2)),Ft!C$3*((1-Ft!C$7)/(1+Ft!C$39*($A29-Ft!C$2)^2)+Ft!C$7*EXP(Ft!C$40*($A29-Ft!C$2)^2)))</f>
        <v>5.0871899256045667</v>
      </c>
      <c r="H29" s="3">
        <f>IF(($A29-Ft!D$2)&lt;0,Ft!D$3*((1-Ft!D$6)/(1+Ft!D$37*($A29-Ft!D$2)^2)+Ft!D$6*EXP(Ft!D$38*($A29-Ft!D$2)^2)),Ft!D$3*((1-Ft!D$7)/(1+Ft!D$39*($A29-Ft!D$2)^2)+Ft!D$7*EXP(Ft!D$40*($A29-Ft!D$2)^2)))</f>
        <v>1.0476279893777181</v>
      </c>
      <c r="I29" s="3">
        <f>IF(($A29-Ft!E$2)&lt;0,Ft!E$3*((1-Ft!E$6)/(1+Ft!E$37*($A29-Ft!E$2)^2)+Ft!E$6*EXP(Ft!E$38*($A29-Ft!E$2)^2)),Ft!E$3*((1-Ft!E$7)/(1+Ft!E$39*($A29-Ft!E$2)^2)+Ft!E$7*EXP(Ft!E$40*($A29-Ft!E$2)^2)))</f>
        <v>5.4455816273561947E-6</v>
      </c>
      <c r="J29" s="3">
        <f>IF(($A29-Ft!F$2)&lt;0,Ft!F$3*((1-Ft!F$6)/(1+Ft!F$37*($A29-Ft!F$2)^2)+Ft!F$6*EXP(Ft!F$38*($A29-Ft!F$2)^2)),Ft!F$3*((1-Ft!F$7)/(1+Ft!F$39*($A29-Ft!F$2)^2)+Ft!F$7*EXP(Ft!F$40*($A29-Ft!F$2)^2)))</f>
        <v>8.6072320269762823E-105</v>
      </c>
      <c r="K29" s="3">
        <f>IF(($A29-Ft!G$2)&lt;0,Ft!G$3*((1-Ft!G$6)/(1+Ft!G$37*($A29-Ft!G$2)^2)+Ft!G$6*EXP(Ft!G$38*($A29-Ft!G$2)^2)),Ft!G$3*((1-Ft!G$7)/(1+Ft!G$39*($A29-Ft!G$2)^2)+Ft!G$7*EXP(Ft!G$40*($A29-Ft!G$2)^2)))</f>
        <v>0</v>
      </c>
      <c r="L29" s="3">
        <f>IF(($A29-Ft!H$2)&lt;0,Ft!H$3*((1-Ft!H$6)/(1+Ft!H$37*($A29-Ft!H$2)^2)+Ft!H$6*EXP(Ft!H$38*($A29-Ft!H$2)^2)),Ft!H$3*((1-Ft!H$7)/(1+Ft!H$39*($A29-Ft!H$2)^2)+Ft!H$7*EXP(Ft!H$40*($A29-Ft!H$2)^2)))</f>
        <v>0</v>
      </c>
      <c r="M29" s="3">
        <f>IF(($A29-Ft!I$2)&lt;0,Ft!I$3*((1-Ft!I$6)/(1+Ft!I$37*($A29-Ft!I$2)^2)+Ft!I$6*EXP(Ft!I$38*($A29-Ft!I$2)^2)),Ft!I$3*((1-Ft!I$7)/(1+Ft!I$39*($A29-Ft!I$2)^2)+Ft!I$7*EXP(Ft!I$40*($A29-Ft!I$2)^2)))</f>
        <v>0</v>
      </c>
      <c r="N29" s="3">
        <f>IF(($A29-Ft!J$2)&lt;0,Ft!J$3*((1-Ft!J$6)/(1+Ft!J$37*($A29-Ft!J$2)^2)+Ft!J$6*EXP(Ft!J$38*($A29-Ft!J$2)^2)),Ft!J$3*((1-Ft!J$7)/(1+Ft!J$39*($A29-Ft!J$2)^2)+Ft!J$7*EXP(Ft!J$40*($A29-Ft!J$2)^2)))</f>
        <v>0</v>
      </c>
      <c r="O29" s="3">
        <f>IF(($A29-Ft!K$2)&lt;0,Ft!K$3*((1-Ft!K$6)/(1+Ft!K$37*($A29-Ft!K$2)^2)+Ft!K$6*EXP(Ft!K$38*($A29-Ft!K$2)^2)),Ft!K$3*((1-Ft!K$7)/(1+Ft!K$39*($A29-Ft!K$2)^2)+Ft!K$7*EXP(Ft!K$40*($A29-Ft!K$2)^2)))</f>
        <v>0</v>
      </c>
      <c r="P29"/>
      <c r="Q29"/>
    </row>
    <row r="30" spans="1:17">
      <c r="A30">
        <v>56</v>
      </c>
      <c r="B30">
        <v>8.775023435979989</v>
      </c>
      <c r="C30" s="6">
        <f t="shared" si="1"/>
        <v>9.0704426739822814</v>
      </c>
      <c r="D30" s="19">
        <f t="shared" si="2"/>
        <v>8.727252618185509E-2</v>
      </c>
      <c r="E30" s="3">
        <f>Ft!$B$12+Ft!$B$14*(Data!A30-Vars!$B$3)</f>
        <v>0</v>
      </c>
      <c r="F30" s="3">
        <f>IF(($A30-Ft!B$2)&lt;0,Ft!B$3*((1-Ft!B$6)/(1+Ft!B$37*($A30-Ft!B$2)^2)+Ft!B$6*EXP(Ft!B$38*($A30-Ft!B$2)^2)),Ft!B$3*((1-Ft!B$7)/(1+Ft!B$39*($A30-Ft!B$2)^2)+Ft!B$7*EXP(Ft!B$40*($A30-Ft!B$2)^2)))</f>
        <v>2.765053865006347</v>
      </c>
      <c r="G30" s="3">
        <f>IF(($A30-Ft!C$2)&lt;0,Ft!C$3*((1-Ft!C$6)/(1+Ft!C$37*($A30-Ft!C$2)^2)+Ft!C$6*EXP(Ft!C$38*($A30-Ft!C$2)^2)),Ft!C$3*((1-Ft!C$7)/(1+Ft!C$39*($A30-Ft!C$2)^2)+Ft!C$7*EXP(Ft!C$40*($A30-Ft!C$2)^2)))</f>
        <v>5.227236423986346</v>
      </c>
      <c r="H30" s="3">
        <f>IF(($A30-Ft!D$2)&lt;0,Ft!D$3*((1-Ft!D$6)/(1+Ft!D$37*($A30-Ft!D$2)^2)+Ft!D$6*EXP(Ft!D$38*($A30-Ft!D$2)^2)),Ft!D$3*((1-Ft!D$7)/(1+Ft!D$39*($A30-Ft!D$2)^2)+Ft!D$7*EXP(Ft!D$40*($A30-Ft!D$2)^2)))</f>
        <v>1.0781465019562151</v>
      </c>
      <c r="I30" s="3">
        <f>IF(($A30-Ft!E$2)&lt;0,Ft!E$3*((1-Ft!E$6)/(1+Ft!E$37*($A30-Ft!E$2)^2)+Ft!E$6*EXP(Ft!E$38*($A30-Ft!E$2)^2)),Ft!E$3*((1-Ft!E$7)/(1+Ft!E$39*($A30-Ft!E$2)^2)+Ft!E$7*EXP(Ft!E$40*($A30-Ft!E$2)^2)))</f>
        <v>5.8830333718036779E-6</v>
      </c>
      <c r="J30" s="3">
        <f>IF(($A30-Ft!F$2)&lt;0,Ft!F$3*((1-Ft!F$6)/(1+Ft!F$37*($A30-Ft!F$2)^2)+Ft!F$6*EXP(Ft!F$38*($A30-Ft!F$2)^2)),Ft!F$3*((1-Ft!F$7)/(1+Ft!F$39*($A30-Ft!F$2)^2)+Ft!F$7*EXP(Ft!F$40*($A30-Ft!F$2)^2)))</f>
        <v>2.3818612774673041E-104</v>
      </c>
      <c r="K30" s="3">
        <f>IF(($A30-Ft!G$2)&lt;0,Ft!G$3*((1-Ft!G$6)/(1+Ft!G$37*($A30-Ft!G$2)^2)+Ft!G$6*EXP(Ft!G$38*($A30-Ft!G$2)^2)),Ft!G$3*((1-Ft!G$7)/(1+Ft!G$39*($A30-Ft!G$2)^2)+Ft!G$7*EXP(Ft!G$40*($A30-Ft!G$2)^2)))</f>
        <v>0</v>
      </c>
      <c r="L30" s="3">
        <f>IF(($A30-Ft!H$2)&lt;0,Ft!H$3*((1-Ft!H$6)/(1+Ft!H$37*($A30-Ft!H$2)^2)+Ft!H$6*EXP(Ft!H$38*($A30-Ft!H$2)^2)),Ft!H$3*((1-Ft!H$7)/(1+Ft!H$39*($A30-Ft!H$2)^2)+Ft!H$7*EXP(Ft!H$40*($A30-Ft!H$2)^2)))</f>
        <v>0</v>
      </c>
      <c r="M30" s="3">
        <f>IF(($A30-Ft!I$2)&lt;0,Ft!I$3*((1-Ft!I$6)/(1+Ft!I$37*($A30-Ft!I$2)^2)+Ft!I$6*EXP(Ft!I$38*($A30-Ft!I$2)^2)),Ft!I$3*((1-Ft!I$7)/(1+Ft!I$39*($A30-Ft!I$2)^2)+Ft!I$7*EXP(Ft!I$40*($A30-Ft!I$2)^2)))</f>
        <v>0</v>
      </c>
      <c r="N30" s="3">
        <f>IF(($A30-Ft!J$2)&lt;0,Ft!J$3*((1-Ft!J$6)/(1+Ft!J$37*($A30-Ft!J$2)^2)+Ft!J$6*EXP(Ft!J$38*($A30-Ft!J$2)^2)),Ft!J$3*((1-Ft!J$7)/(1+Ft!J$39*($A30-Ft!J$2)^2)+Ft!J$7*EXP(Ft!J$40*($A30-Ft!J$2)^2)))</f>
        <v>0</v>
      </c>
      <c r="O30" s="3">
        <f>IF(($A30-Ft!K$2)&lt;0,Ft!K$3*((1-Ft!K$6)/(1+Ft!K$37*($A30-Ft!K$2)^2)+Ft!K$6*EXP(Ft!K$38*($A30-Ft!K$2)^2)),Ft!K$3*((1-Ft!K$7)/(1+Ft!K$39*($A30-Ft!K$2)^2)+Ft!K$7*EXP(Ft!K$40*($A30-Ft!K$2)^2)))</f>
        <v>0</v>
      </c>
      <c r="P30"/>
      <c r="Q30"/>
    </row>
    <row r="31" spans="1:17">
      <c r="A31">
        <v>58</v>
      </c>
      <c r="B31">
        <v>8.7964496901129934</v>
      </c>
      <c r="C31" s="6">
        <f t="shared" si="1"/>
        <v>9.084997195230498</v>
      </c>
      <c r="D31" s="19">
        <f t="shared" si="2"/>
        <v>8.3259662709536345E-2</v>
      </c>
      <c r="E31" s="3">
        <f>Ft!$B$12+Ft!$B$14*(Data!A31-Vars!$B$3)</f>
        <v>0</v>
      </c>
      <c r="F31" s="3">
        <f>IF(($A31-Ft!B$2)&lt;0,Ft!B$3*((1-Ft!B$6)/(1+Ft!B$37*($A31-Ft!B$2)^2)+Ft!B$6*EXP(Ft!B$38*($A31-Ft!B$2)^2)),Ft!B$3*((1-Ft!B$7)/(1+Ft!B$39*($A31-Ft!B$2)^2)+Ft!B$7*EXP(Ft!B$40*($A31-Ft!B$2)^2)))</f>
        <v>2.607945335091487</v>
      </c>
      <c r="G31" s="3">
        <f>IF(($A31-Ft!C$2)&lt;0,Ft!C$3*((1-Ft!C$6)/(1+Ft!C$37*($A31-Ft!C$2)^2)+Ft!C$6*EXP(Ft!C$38*($A31-Ft!C$2)^2)),Ft!C$3*((1-Ft!C$7)/(1+Ft!C$39*($A31-Ft!C$2)^2)+Ft!C$7*EXP(Ft!C$40*($A31-Ft!C$2)^2)))</f>
        <v>5.3676509553552902</v>
      </c>
      <c r="H31" s="3">
        <f>IF(($A31-Ft!D$2)&lt;0,Ft!D$3*((1-Ft!D$6)/(1+Ft!D$37*($A31-Ft!D$2)^2)+Ft!D$6*EXP(Ft!D$38*($A31-Ft!D$2)^2)),Ft!D$3*((1-Ft!D$7)/(1+Ft!D$39*($A31-Ft!D$2)^2)+Ft!D$7*EXP(Ft!D$40*($A31-Ft!D$2)^2)))</f>
        <v>1.1093945504370772</v>
      </c>
      <c r="I31" s="3">
        <f>IF(($A31-Ft!E$2)&lt;0,Ft!E$3*((1-Ft!E$6)/(1+Ft!E$37*($A31-Ft!E$2)^2)+Ft!E$6*EXP(Ft!E$38*($A31-Ft!E$2)^2)),Ft!E$3*((1-Ft!E$7)/(1+Ft!E$39*($A31-Ft!E$2)^2)+Ft!E$7*EXP(Ft!E$40*($A31-Ft!E$2)^2)))</f>
        <v>6.3543466435131065E-6</v>
      </c>
      <c r="J31" s="3">
        <f>IF(($A31-Ft!F$2)&lt;0,Ft!F$3*((1-Ft!F$6)/(1+Ft!F$37*($A31-Ft!F$2)^2)+Ft!F$6*EXP(Ft!F$38*($A31-Ft!F$2)^2)),Ft!F$3*((1-Ft!F$7)/(1+Ft!F$39*($A31-Ft!F$2)^2)+Ft!F$7*EXP(Ft!F$40*($A31-Ft!F$2)^2)))</f>
        <v>6.5771037360539174E-104</v>
      </c>
      <c r="K31" s="3">
        <f>IF(($A31-Ft!G$2)&lt;0,Ft!G$3*((1-Ft!G$6)/(1+Ft!G$37*($A31-Ft!G$2)^2)+Ft!G$6*EXP(Ft!G$38*($A31-Ft!G$2)^2)),Ft!G$3*((1-Ft!G$7)/(1+Ft!G$39*($A31-Ft!G$2)^2)+Ft!G$7*EXP(Ft!G$40*($A31-Ft!G$2)^2)))</f>
        <v>0</v>
      </c>
      <c r="L31" s="3">
        <f>IF(($A31-Ft!H$2)&lt;0,Ft!H$3*((1-Ft!H$6)/(1+Ft!H$37*($A31-Ft!H$2)^2)+Ft!H$6*EXP(Ft!H$38*($A31-Ft!H$2)^2)),Ft!H$3*((1-Ft!H$7)/(1+Ft!H$39*($A31-Ft!H$2)^2)+Ft!H$7*EXP(Ft!H$40*($A31-Ft!H$2)^2)))</f>
        <v>0</v>
      </c>
      <c r="M31" s="3">
        <f>IF(($A31-Ft!I$2)&lt;0,Ft!I$3*((1-Ft!I$6)/(1+Ft!I$37*($A31-Ft!I$2)^2)+Ft!I$6*EXP(Ft!I$38*($A31-Ft!I$2)^2)),Ft!I$3*((1-Ft!I$7)/(1+Ft!I$39*($A31-Ft!I$2)^2)+Ft!I$7*EXP(Ft!I$40*($A31-Ft!I$2)^2)))</f>
        <v>0</v>
      </c>
      <c r="N31" s="3">
        <f>IF(($A31-Ft!J$2)&lt;0,Ft!J$3*((1-Ft!J$6)/(1+Ft!J$37*($A31-Ft!J$2)^2)+Ft!J$6*EXP(Ft!J$38*($A31-Ft!J$2)^2)),Ft!J$3*((1-Ft!J$7)/(1+Ft!J$39*($A31-Ft!J$2)^2)+Ft!J$7*EXP(Ft!J$40*($A31-Ft!J$2)^2)))</f>
        <v>0</v>
      </c>
      <c r="O31" s="3">
        <f>IF(($A31-Ft!K$2)&lt;0,Ft!K$3*((1-Ft!K$6)/(1+Ft!K$37*($A31-Ft!K$2)^2)+Ft!K$6*EXP(Ft!K$38*($A31-Ft!K$2)^2)),Ft!K$3*((1-Ft!K$7)/(1+Ft!K$39*($A31-Ft!K$2)^2)+Ft!K$7*EXP(Ft!K$40*($A31-Ft!K$2)^2)))</f>
        <v>0</v>
      </c>
      <c r="P31"/>
      <c r="Q31"/>
    </row>
    <row r="32" spans="1:17">
      <c r="A32">
        <v>60</v>
      </c>
      <c r="B32">
        <v>8.8119360186289981</v>
      </c>
      <c r="C32" s="6">
        <f t="shared" si="1"/>
        <v>9.0846692009681203</v>
      </c>
      <c r="D32" s="19">
        <f t="shared" si="2"/>
        <v>7.4383388748824844E-2</v>
      </c>
      <c r="E32" s="3">
        <f>Ft!$B$12+Ft!$B$14*(Data!A32-Vars!$B$3)</f>
        <v>0</v>
      </c>
      <c r="F32" s="3">
        <f>IF(($A32-Ft!B$2)&lt;0,Ft!B$3*((1-Ft!B$6)/(1+Ft!B$37*($A32-Ft!B$2)^2)+Ft!B$6*EXP(Ft!B$38*($A32-Ft!B$2)^2)),Ft!B$3*((1-Ft!B$7)/(1+Ft!B$39*($A32-Ft!B$2)^2)+Ft!B$7*EXP(Ft!B$40*($A32-Ft!B$2)^2)))</f>
        <v>2.4350195521794116</v>
      </c>
      <c r="G32" s="3">
        <f>IF(($A32-Ft!C$2)&lt;0,Ft!C$3*((1-Ft!C$6)/(1+Ft!C$37*($A32-Ft!C$2)^2)+Ft!C$6*EXP(Ft!C$38*($A32-Ft!C$2)^2)),Ft!C$3*((1-Ft!C$7)/(1+Ft!C$39*($A32-Ft!C$2)^2)+Ft!C$7*EXP(Ft!C$40*($A32-Ft!C$2)^2)))</f>
        <v>5.5082586218397589</v>
      </c>
      <c r="H32" s="3">
        <f>IF(($A32-Ft!D$2)&lt;0,Ft!D$3*((1-Ft!D$6)/(1+Ft!D$37*($A32-Ft!D$2)^2)+Ft!D$6*EXP(Ft!D$38*($A32-Ft!D$2)^2)),Ft!D$3*((1-Ft!D$7)/(1+Ft!D$39*($A32-Ft!D$2)^2)+Ft!D$7*EXP(Ft!D$40*($A32-Ft!D$2)^2)))</f>
        <v>1.1413841649121139</v>
      </c>
      <c r="I32" s="3">
        <f>IF(($A32-Ft!E$2)&lt;0,Ft!E$3*((1-Ft!E$6)/(1+Ft!E$37*($A32-Ft!E$2)^2)+Ft!E$6*EXP(Ft!E$38*($A32-Ft!E$2)^2)),Ft!E$3*((1-Ft!E$7)/(1+Ft!E$39*($A32-Ft!E$2)^2)+Ft!E$7*EXP(Ft!E$40*($A32-Ft!E$2)^2)))</f>
        <v>6.8620368358783821E-6</v>
      </c>
      <c r="J32" s="3">
        <f>IF(($A32-Ft!F$2)&lt;0,Ft!F$3*((1-Ft!F$6)/(1+Ft!F$37*($A32-Ft!F$2)^2)+Ft!F$6*EXP(Ft!F$38*($A32-Ft!F$2)^2)),Ft!F$3*((1-Ft!F$7)/(1+Ft!F$39*($A32-Ft!F$2)^2)+Ft!F$7*EXP(Ft!F$40*($A32-Ft!F$2)^2)))</f>
        <v>1.8122503553680859E-103</v>
      </c>
      <c r="K32" s="3">
        <f>IF(($A32-Ft!G$2)&lt;0,Ft!G$3*((1-Ft!G$6)/(1+Ft!G$37*($A32-Ft!G$2)^2)+Ft!G$6*EXP(Ft!G$38*($A32-Ft!G$2)^2)),Ft!G$3*((1-Ft!G$7)/(1+Ft!G$39*($A32-Ft!G$2)^2)+Ft!G$7*EXP(Ft!G$40*($A32-Ft!G$2)^2)))</f>
        <v>0</v>
      </c>
      <c r="L32" s="3">
        <f>IF(($A32-Ft!H$2)&lt;0,Ft!H$3*((1-Ft!H$6)/(1+Ft!H$37*($A32-Ft!H$2)^2)+Ft!H$6*EXP(Ft!H$38*($A32-Ft!H$2)^2)),Ft!H$3*((1-Ft!H$7)/(1+Ft!H$39*($A32-Ft!H$2)^2)+Ft!H$7*EXP(Ft!H$40*($A32-Ft!H$2)^2)))</f>
        <v>0</v>
      </c>
      <c r="M32" s="3">
        <f>IF(($A32-Ft!I$2)&lt;0,Ft!I$3*((1-Ft!I$6)/(1+Ft!I$37*($A32-Ft!I$2)^2)+Ft!I$6*EXP(Ft!I$38*($A32-Ft!I$2)^2)),Ft!I$3*((1-Ft!I$7)/(1+Ft!I$39*($A32-Ft!I$2)^2)+Ft!I$7*EXP(Ft!I$40*($A32-Ft!I$2)^2)))</f>
        <v>0</v>
      </c>
      <c r="N32" s="3">
        <f>IF(($A32-Ft!J$2)&lt;0,Ft!J$3*((1-Ft!J$6)/(1+Ft!J$37*($A32-Ft!J$2)^2)+Ft!J$6*EXP(Ft!J$38*($A32-Ft!J$2)^2)),Ft!J$3*((1-Ft!J$7)/(1+Ft!J$39*($A32-Ft!J$2)^2)+Ft!J$7*EXP(Ft!J$40*($A32-Ft!J$2)^2)))</f>
        <v>0</v>
      </c>
      <c r="O32" s="3">
        <f>IF(($A32-Ft!K$2)&lt;0,Ft!K$3*((1-Ft!K$6)/(1+Ft!K$37*($A32-Ft!K$2)^2)+Ft!K$6*EXP(Ft!K$38*($A32-Ft!K$2)^2)),Ft!K$3*((1-Ft!K$7)/(1+Ft!K$39*($A32-Ft!K$2)^2)+Ft!K$7*EXP(Ft!K$40*($A32-Ft!K$2)^2)))</f>
        <v>0</v>
      </c>
      <c r="P32"/>
      <c r="Q32"/>
    </row>
    <row r="33" spans="1:17">
      <c r="A33">
        <v>62</v>
      </c>
      <c r="B33">
        <v>8.8300796161019974</v>
      </c>
      <c r="C33" s="6">
        <f t="shared" si="1"/>
        <v>9.0737033862791101</v>
      </c>
      <c r="D33" s="19">
        <f t="shared" si="2"/>
        <v>5.9352541395310612E-2</v>
      </c>
      <c r="E33" s="3">
        <f>Ft!$B$12+Ft!$B$14*(Data!A33-Vars!$B$3)</f>
        <v>0</v>
      </c>
      <c r="F33" s="3">
        <f>IF(($A33-Ft!B$2)&lt;0,Ft!B$3*((1-Ft!B$6)/(1+Ft!B$37*($A33-Ft!B$2)^2)+Ft!B$6*EXP(Ft!B$38*($A33-Ft!B$2)^2)),Ft!B$3*((1-Ft!B$7)/(1+Ft!B$39*($A33-Ft!B$2)^2)+Ft!B$7*EXP(Ft!B$40*($A33-Ft!B$2)^2)))</f>
        <v>2.2506890732615612</v>
      </c>
      <c r="G33" s="3">
        <f>IF(($A33-Ft!C$2)&lt;0,Ft!C$3*((1-Ft!C$6)/(1+Ft!C$37*($A33-Ft!C$2)^2)+Ft!C$6*EXP(Ft!C$38*($A33-Ft!C$2)^2)),Ft!C$3*((1-Ft!C$7)/(1+Ft!C$39*($A33-Ft!C$2)^2)+Ft!C$7*EXP(Ft!C$40*($A33-Ft!C$2)^2)))</f>
        <v>5.6488795053810943</v>
      </c>
      <c r="H33" s="3">
        <f>IF(($A33-Ft!D$2)&lt;0,Ft!D$3*((1-Ft!D$6)/(1+Ft!D$37*($A33-Ft!D$2)^2)+Ft!D$6*EXP(Ft!D$38*($A33-Ft!D$2)^2)),Ft!D$3*((1-Ft!D$7)/(1+Ft!D$39*($A33-Ft!D$2)^2)+Ft!D$7*EXP(Ft!D$40*($A33-Ft!D$2)^2)))</f>
        <v>1.1741273988387173</v>
      </c>
      <c r="I33" s="3">
        <f>IF(($A33-Ft!E$2)&lt;0,Ft!E$3*((1-Ft!E$6)/(1+Ft!E$37*($A33-Ft!E$2)^2)+Ft!E$6*EXP(Ft!E$38*($A33-Ft!E$2)^2)),Ft!E$3*((1-Ft!E$7)/(1+Ft!E$39*($A33-Ft!E$2)^2)+Ft!E$7*EXP(Ft!E$40*($A33-Ft!E$2)^2)))</f>
        <v>7.4087977370554094E-6</v>
      </c>
      <c r="J33" s="3">
        <f>IF(($A33-Ft!F$2)&lt;0,Ft!F$3*((1-Ft!F$6)/(1+Ft!F$37*($A33-Ft!F$2)^2)+Ft!F$6*EXP(Ft!F$38*($A33-Ft!F$2)^2)),Ft!F$3*((1-Ft!F$7)/(1+Ft!F$39*($A33-Ft!F$2)^2)+Ft!F$7*EXP(Ft!F$40*($A33-Ft!F$2)^2)))</f>
        <v>4.9827255824296908E-103</v>
      </c>
      <c r="K33" s="3">
        <f>IF(($A33-Ft!G$2)&lt;0,Ft!G$3*((1-Ft!G$6)/(1+Ft!G$37*($A33-Ft!G$2)^2)+Ft!G$6*EXP(Ft!G$38*($A33-Ft!G$2)^2)),Ft!G$3*((1-Ft!G$7)/(1+Ft!G$39*($A33-Ft!G$2)^2)+Ft!G$7*EXP(Ft!G$40*($A33-Ft!G$2)^2)))</f>
        <v>0</v>
      </c>
      <c r="L33" s="3">
        <f>IF(($A33-Ft!H$2)&lt;0,Ft!H$3*((1-Ft!H$6)/(1+Ft!H$37*($A33-Ft!H$2)^2)+Ft!H$6*EXP(Ft!H$38*($A33-Ft!H$2)^2)),Ft!H$3*((1-Ft!H$7)/(1+Ft!H$39*($A33-Ft!H$2)^2)+Ft!H$7*EXP(Ft!H$40*($A33-Ft!H$2)^2)))</f>
        <v>0</v>
      </c>
      <c r="M33" s="3">
        <f>IF(($A33-Ft!I$2)&lt;0,Ft!I$3*((1-Ft!I$6)/(1+Ft!I$37*($A33-Ft!I$2)^2)+Ft!I$6*EXP(Ft!I$38*($A33-Ft!I$2)^2)),Ft!I$3*((1-Ft!I$7)/(1+Ft!I$39*($A33-Ft!I$2)^2)+Ft!I$7*EXP(Ft!I$40*($A33-Ft!I$2)^2)))</f>
        <v>0</v>
      </c>
      <c r="N33" s="3">
        <f>IF(($A33-Ft!J$2)&lt;0,Ft!J$3*((1-Ft!J$6)/(1+Ft!J$37*($A33-Ft!J$2)^2)+Ft!J$6*EXP(Ft!J$38*($A33-Ft!J$2)^2)),Ft!J$3*((1-Ft!J$7)/(1+Ft!J$39*($A33-Ft!J$2)^2)+Ft!J$7*EXP(Ft!J$40*($A33-Ft!J$2)^2)))</f>
        <v>0</v>
      </c>
      <c r="O33" s="3">
        <f>IF(($A33-Ft!K$2)&lt;0,Ft!K$3*((1-Ft!K$6)/(1+Ft!K$37*($A33-Ft!K$2)^2)+Ft!K$6*EXP(Ft!K$38*($A33-Ft!K$2)^2)),Ft!K$3*((1-Ft!K$7)/(1+Ft!K$39*($A33-Ft!K$2)^2)+Ft!K$7*EXP(Ft!K$40*($A33-Ft!K$2)^2)))</f>
        <v>0</v>
      </c>
      <c r="P33"/>
      <c r="Q33"/>
    </row>
    <row r="34" spans="1:17">
      <c r="A34">
        <v>64</v>
      </c>
      <c r="B34">
        <v>8.8594776771030013</v>
      </c>
      <c r="C34" s="6">
        <f t="shared" si="1"/>
        <v>9.0563587472509397</v>
      </c>
      <c r="D34" s="19">
        <f t="shared" si="2"/>
        <v>3.8762155782597452E-2</v>
      </c>
      <c r="E34" s="3">
        <f>Ft!$B$12+Ft!$B$14*(Data!A34-Vars!$B$3)</f>
        <v>0</v>
      </c>
      <c r="F34" s="3">
        <f>IF(($A34-Ft!B$2)&lt;0,Ft!B$3*((1-Ft!B$6)/(1+Ft!B$37*($A34-Ft!B$2)^2)+Ft!B$6*EXP(Ft!B$38*($A34-Ft!B$2)^2)),Ft!B$3*((1-Ft!B$7)/(1+Ft!B$39*($A34-Ft!B$2)^2)+Ft!B$7*EXP(Ft!B$40*($A34-Ft!B$2)^2)))</f>
        <v>2.0593854175169919</v>
      </c>
      <c r="G34" s="3">
        <f>IF(($A34-Ft!C$2)&lt;0,Ft!C$3*((1-Ft!C$6)/(1+Ft!C$37*($A34-Ft!C$2)^2)+Ft!C$6*EXP(Ft!C$38*($A34-Ft!C$2)^2)),Ft!C$3*((1-Ft!C$7)/(1+Ft!C$39*($A34-Ft!C$2)^2)+Ft!C$7*EXP(Ft!C$40*($A34-Ft!C$2)^2)))</f>
        <v>5.7893290095368783</v>
      </c>
      <c r="H34" s="3">
        <f>IF(($A34-Ft!D$2)&lt;0,Ft!D$3*((1-Ft!D$6)/(1+Ft!D$37*($A34-Ft!D$2)^2)+Ft!D$6*EXP(Ft!D$38*($A34-Ft!D$2)^2)),Ft!D$3*((1-Ft!D$7)/(1+Ft!D$39*($A34-Ft!D$2)^2)+Ft!D$7*EXP(Ft!D$40*($A34-Ft!D$2)^2)))</f>
        <v>1.207636322683542</v>
      </c>
      <c r="I34" s="3">
        <f>IF(($A34-Ft!E$2)&lt;0,Ft!E$3*((1-Ft!E$6)/(1+Ft!E$37*($A34-Ft!E$2)^2)+Ft!E$6*EXP(Ft!E$38*($A34-Ft!E$2)^2)),Ft!E$3*((1-Ft!E$7)/(1+Ft!E$39*($A34-Ft!E$2)^2)+Ft!E$7*EXP(Ft!E$40*($A34-Ft!E$2)^2)))</f>
        <v>7.9975135272074465E-6</v>
      </c>
      <c r="J34" s="3">
        <f>IF(($A34-Ft!F$2)&lt;0,Ft!F$3*((1-Ft!F$6)/(1+Ft!F$37*($A34-Ft!F$2)^2)+Ft!F$6*EXP(Ft!F$38*($A34-Ft!F$2)^2)),Ft!F$3*((1-Ft!F$7)/(1+Ft!F$39*($A34-Ft!F$2)^2)+Ft!F$7*EXP(Ft!F$40*($A34-Ft!F$2)^2)))</f>
        <v>1.3670393622726951E-102</v>
      </c>
      <c r="K34" s="3">
        <f>IF(($A34-Ft!G$2)&lt;0,Ft!G$3*((1-Ft!G$6)/(1+Ft!G$37*($A34-Ft!G$2)^2)+Ft!G$6*EXP(Ft!G$38*($A34-Ft!G$2)^2)),Ft!G$3*((1-Ft!G$7)/(1+Ft!G$39*($A34-Ft!G$2)^2)+Ft!G$7*EXP(Ft!G$40*($A34-Ft!G$2)^2)))</f>
        <v>0</v>
      </c>
      <c r="L34" s="3">
        <f>IF(($A34-Ft!H$2)&lt;0,Ft!H$3*((1-Ft!H$6)/(1+Ft!H$37*($A34-Ft!H$2)^2)+Ft!H$6*EXP(Ft!H$38*($A34-Ft!H$2)^2)),Ft!H$3*((1-Ft!H$7)/(1+Ft!H$39*($A34-Ft!H$2)^2)+Ft!H$7*EXP(Ft!H$40*($A34-Ft!H$2)^2)))</f>
        <v>0</v>
      </c>
      <c r="M34" s="3">
        <f>IF(($A34-Ft!I$2)&lt;0,Ft!I$3*((1-Ft!I$6)/(1+Ft!I$37*($A34-Ft!I$2)^2)+Ft!I$6*EXP(Ft!I$38*($A34-Ft!I$2)^2)),Ft!I$3*((1-Ft!I$7)/(1+Ft!I$39*($A34-Ft!I$2)^2)+Ft!I$7*EXP(Ft!I$40*($A34-Ft!I$2)^2)))</f>
        <v>0</v>
      </c>
      <c r="N34" s="3">
        <f>IF(($A34-Ft!J$2)&lt;0,Ft!J$3*((1-Ft!J$6)/(1+Ft!J$37*($A34-Ft!J$2)^2)+Ft!J$6*EXP(Ft!J$38*($A34-Ft!J$2)^2)),Ft!J$3*((1-Ft!J$7)/(1+Ft!J$39*($A34-Ft!J$2)^2)+Ft!J$7*EXP(Ft!J$40*($A34-Ft!J$2)^2)))</f>
        <v>0</v>
      </c>
      <c r="O34" s="3">
        <f>IF(($A34-Ft!K$2)&lt;0,Ft!K$3*((1-Ft!K$6)/(1+Ft!K$37*($A34-Ft!K$2)^2)+Ft!K$6*EXP(Ft!K$38*($A34-Ft!K$2)^2)),Ft!K$3*((1-Ft!K$7)/(1+Ft!K$39*($A34-Ft!K$2)^2)+Ft!K$7*EXP(Ft!K$40*($A34-Ft!K$2)^2)))</f>
        <v>0</v>
      </c>
      <c r="P34"/>
      <c r="Q34"/>
    </row>
    <row r="35" spans="1:17">
      <c r="A35">
        <v>66</v>
      </c>
      <c r="B35">
        <v>8.9087273962040001</v>
      </c>
      <c r="C35" s="6">
        <f t="shared" si="1"/>
        <v>9.0367364401946002</v>
      </c>
      <c r="D35" s="19">
        <f t="shared" si="2"/>
        <v>1.638631534338739E-2</v>
      </c>
      <c r="E35" s="3">
        <f>Ft!$B$12+Ft!$B$14*(Data!A35-Vars!$B$3)</f>
        <v>0</v>
      </c>
      <c r="F35" s="3">
        <f>IF(($A35-Ft!B$2)&lt;0,Ft!B$3*((1-Ft!B$6)/(1+Ft!B$37*($A35-Ft!B$2)^2)+Ft!B$6*EXP(Ft!B$38*($A35-Ft!B$2)^2)),Ft!B$3*((1-Ft!B$7)/(1+Ft!B$39*($A35-Ft!B$2)^2)+Ft!B$7*EXP(Ft!B$40*($A35-Ft!B$2)^2)))</f>
        <v>1.8653865660513977</v>
      </c>
      <c r="G35" s="3">
        <f>IF(($A35-Ft!C$2)&lt;0,Ft!C$3*((1-Ft!C$6)/(1+Ft!C$37*($A35-Ft!C$2)^2)+Ft!C$6*EXP(Ft!C$38*($A35-Ft!C$2)^2)),Ft!C$3*((1-Ft!C$7)/(1+Ft!C$39*($A35-Ft!C$2)^2)+Ft!C$7*EXP(Ft!C$40*($A35-Ft!C$2)^2)))</f>
        <v>5.9294182255006769</v>
      </c>
      <c r="H35" s="3">
        <f>IF(($A35-Ft!D$2)&lt;0,Ft!D$3*((1-Ft!D$6)/(1+Ft!D$37*($A35-Ft!D$2)^2)+Ft!D$6*EXP(Ft!D$38*($A35-Ft!D$2)^2)),Ft!D$3*((1-Ft!D$7)/(1+Ft!D$39*($A35-Ft!D$2)^2)+Ft!D$7*EXP(Ft!D$40*($A35-Ft!D$2)^2)))</f>
        <v>1.2419230173709923</v>
      </c>
      <c r="I35" s="3">
        <f>IF(($A35-Ft!E$2)&lt;0,Ft!E$3*((1-Ft!E$6)/(1+Ft!E$37*($A35-Ft!E$2)^2)+Ft!E$6*EXP(Ft!E$38*($A35-Ft!E$2)^2)),Ft!E$3*((1-Ft!E$7)/(1+Ft!E$39*($A35-Ft!E$2)^2)+Ft!E$7*EXP(Ft!E$40*($A35-Ft!E$2)^2)))</f>
        <v>8.6312715337044424E-6</v>
      </c>
      <c r="J35" s="3">
        <f>IF(($A35-Ft!F$2)&lt;0,Ft!F$3*((1-Ft!F$6)/(1+Ft!F$37*($A35-Ft!F$2)^2)+Ft!F$6*EXP(Ft!F$38*($A35-Ft!F$2)^2)),Ft!F$3*((1-Ft!F$7)/(1+Ft!F$39*($A35-Ft!F$2)^2)+Ft!F$7*EXP(Ft!F$40*($A35-Ft!F$2)^2)))</f>
        <v>3.7424873757613925E-102</v>
      </c>
      <c r="K35" s="3">
        <f>IF(($A35-Ft!G$2)&lt;0,Ft!G$3*((1-Ft!G$6)/(1+Ft!G$37*($A35-Ft!G$2)^2)+Ft!G$6*EXP(Ft!G$38*($A35-Ft!G$2)^2)),Ft!G$3*((1-Ft!G$7)/(1+Ft!G$39*($A35-Ft!G$2)^2)+Ft!G$7*EXP(Ft!G$40*($A35-Ft!G$2)^2)))</f>
        <v>0</v>
      </c>
      <c r="L35" s="3">
        <f>IF(($A35-Ft!H$2)&lt;0,Ft!H$3*((1-Ft!H$6)/(1+Ft!H$37*($A35-Ft!H$2)^2)+Ft!H$6*EXP(Ft!H$38*($A35-Ft!H$2)^2)),Ft!H$3*((1-Ft!H$7)/(1+Ft!H$39*($A35-Ft!H$2)^2)+Ft!H$7*EXP(Ft!H$40*($A35-Ft!H$2)^2)))</f>
        <v>0</v>
      </c>
      <c r="M35" s="3">
        <f>IF(($A35-Ft!I$2)&lt;0,Ft!I$3*((1-Ft!I$6)/(1+Ft!I$37*($A35-Ft!I$2)^2)+Ft!I$6*EXP(Ft!I$38*($A35-Ft!I$2)^2)),Ft!I$3*((1-Ft!I$7)/(1+Ft!I$39*($A35-Ft!I$2)^2)+Ft!I$7*EXP(Ft!I$40*($A35-Ft!I$2)^2)))</f>
        <v>0</v>
      </c>
      <c r="N35" s="3">
        <f>IF(($A35-Ft!J$2)&lt;0,Ft!J$3*((1-Ft!J$6)/(1+Ft!J$37*($A35-Ft!J$2)^2)+Ft!J$6*EXP(Ft!J$38*($A35-Ft!J$2)^2)),Ft!J$3*((1-Ft!J$7)/(1+Ft!J$39*($A35-Ft!J$2)^2)+Ft!J$7*EXP(Ft!J$40*($A35-Ft!J$2)^2)))</f>
        <v>0</v>
      </c>
      <c r="O35" s="3">
        <f>IF(($A35-Ft!K$2)&lt;0,Ft!K$3*((1-Ft!K$6)/(1+Ft!K$37*($A35-Ft!K$2)^2)+Ft!K$6*EXP(Ft!K$38*($A35-Ft!K$2)^2)),Ft!K$3*((1-Ft!K$7)/(1+Ft!K$39*($A35-Ft!K$2)^2)+Ft!K$7*EXP(Ft!K$40*($A35-Ft!K$2)^2)))</f>
        <v>0</v>
      </c>
      <c r="P35"/>
      <c r="Q35"/>
    </row>
    <row r="36" spans="1:17">
      <c r="A36">
        <v>68</v>
      </c>
      <c r="B36">
        <v>8.9818653524839931</v>
      </c>
      <c r="C36" s="6">
        <f t="shared" si="1"/>
        <v>9.0186288486357196</v>
      </c>
      <c r="D36" s="19">
        <f t="shared" si="2"/>
        <v>1.3515546492980071E-3</v>
      </c>
      <c r="E36" s="3">
        <f>Ft!$B$12+Ft!$B$14*(Data!A36-Vars!$B$3)</f>
        <v>0</v>
      </c>
      <c r="F36" s="3">
        <f>IF(($A36-Ft!B$2)&lt;0,Ft!B$3*((1-Ft!B$6)/(1+Ft!B$37*($A36-Ft!B$2)^2)+Ft!B$6*EXP(Ft!B$38*($A36-Ft!B$2)^2)),Ft!B$3*((1-Ft!B$7)/(1+Ft!B$39*($A36-Ft!B$2)^2)+Ft!B$7*EXP(Ft!B$40*($A36-Ft!B$2)^2)))</f>
        <v>1.6726656462104932</v>
      </c>
      <c r="G36" s="3">
        <f>IF(($A36-Ft!C$2)&lt;0,Ft!C$3*((1-Ft!C$6)/(1+Ft!C$37*($A36-Ft!C$2)^2)+Ft!C$6*EXP(Ft!C$38*($A36-Ft!C$2)^2)),Ft!C$3*((1-Ft!C$7)/(1+Ft!C$39*($A36-Ft!C$2)^2)+Ft!C$7*EXP(Ft!C$40*($A36-Ft!C$2)^2)))</f>
        <v>6.0689543215128117</v>
      </c>
      <c r="H36" s="3">
        <f>IF(($A36-Ft!D$2)&lt;0,Ft!D$3*((1-Ft!D$6)/(1+Ft!D$37*($A36-Ft!D$2)^2)+Ft!D$6*EXP(Ft!D$38*($A36-Ft!D$2)^2)),Ft!D$3*((1-Ft!D$7)/(1+Ft!D$39*($A36-Ft!D$2)^2)+Ft!D$7*EXP(Ft!D$40*($A36-Ft!D$2)^2)))</f>
        <v>1.2769995675366264</v>
      </c>
      <c r="I36" s="3">
        <f>IF(($A36-Ft!E$2)&lt;0,Ft!E$3*((1-Ft!E$6)/(1+Ft!E$37*($A36-Ft!E$2)^2)+Ft!E$6*EXP(Ft!E$38*($A36-Ft!E$2)^2)),Ft!E$3*((1-Ft!E$7)/(1+Ft!E$39*($A36-Ft!E$2)^2)+Ft!E$7*EXP(Ft!E$40*($A36-Ft!E$2)^2)))</f>
        <v>9.3133757886499541E-6</v>
      </c>
      <c r="J36" s="3">
        <f>IF(($A36-Ft!F$2)&lt;0,Ft!F$3*((1-Ft!F$6)/(1+Ft!F$37*($A36-Ft!F$2)^2)+Ft!F$6*EXP(Ft!F$38*($A36-Ft!F$2)^2)),Ft!F$3*((1-Ft!F$7)/(1+Ft!F$39*($A36-Ft!F$2)^2)+Ft!F$7*EXP(Ft!F$40*($A36-Ft!F$2)^2)))</f>
        <v>1.0223625734687389E-101</v>
      </c>
      <c r="K36" s="3">
        <f>IF(($A36-Ft!G$2)&lt;0,Ft!G$3*((1-Ft!G$6)/(1+Ft!G$37*($A36-Ft!G$2)^2)+Ft!G$6*EXP(Ft!G$38*($A36-Ft!G$2)^2)),Ft!G$3*((1-Ft!G$7)/(1+Ft!G$39*($A36-Ft!G$2)^2)+Ft!G$7*EXP(Ft!G$40*($A36-Ft!G$2)^2)))</f>
        <v>0</v>
      </c>
      <c r="L36" s="3">
        <f>IF(($A36-Ft!H$2)&lt;0,Ft!H$3*((1-Ft!H$6)/(1+Ft!H$37*($A36-Ft!H$2)^2)+Ft!H$6*EXP(Ft!H$38*($A36-Ft!H$2)^2)),Ft!H$3*((1-Ft!H$7)/(1+Ft!H$39*($A36-Ft!H$2)^2)+Ft!H$7*EXP(Ft!H$40*($A36-Ft!H$2)^2)))</f>
        <v>0</v>
      </c>
      <c r="M36" s="3">
        <f>IF(($A36-Ft!I$2)&lt;0,Ft!I$3*((1-Ft!I$6)/(1+Ft!I$37*($A36-Ft!I$2)^2)+Ft!I$6*EXP(Ft!I$38*($A36-Ft!I$2)^2)),Ft!I$3*((1-Ft!I$7)/(1+Ft!I$39*($A36-Ft!I$2)^2)+Ft!I$7*EXP(Ft!I$40*($A36-Ft!I$2)^2)))</f>
        <v>0</v>
      </c>
      <c r="N36" s="3">
        <f>IF(($A36-Ft!J$2)&lt;0,Ft!J$3*((1-Ft!J$6)/(1+Ft!J$37*($A36-Ft!J$2)^2)+Ft!J$6*EXP(Ft!J$38*($A36-Ft!J$2)^2)),Ft!J$3*((1-Ft!J$7)/(1+Ft!J$39*($A36-Ft!J$2)^2)+Ft!J$7*EXP(Ft!J$40*($A36-Ft!J$2)^2)))</f>
        <v>0</v>
      </c>
      <c r="O36" s="3">
        <f>IF(($A36-Ft!K$2)&lt;0,Ft!K$3*((1-Ft!K$6)/(1+Ft!K$37*($A36-Ft!K$2)^2)+Ft!K$6*EXP(Ft!K$38*($A36-Ft!K$2)^2)),Ft!K$3*((1-Ft!K$7)/(1+Ft!K$39*($A36-Ft!K$2)^2)+Ft!K$7*EXP(Ft!K$40*($A36-Ft!K$2)^2)))</f>
        <v>0</v>
      </c>
      <c r="P36"/>
      <c r="Q36"/>
    </row>
    <row r="37" spans="1:17">
      <c r="A37">
        <v>70</v>
      </c>
      <c r="B37">
        <v>9.0572830358899949</v>
      </c>
      <c r="C37" s="6">
        <f t="shared" si="1"/>
        <v>9.0053967550411436</v>
      </c>
      <c r="D37" s="19">
        <f t="shared" si="2"/>
        <v>2.692186140325882E-3</v>
      </c>
      <c r="E37" s="3">
        <f>Ft!$B$12+Ft!$B$14*(Data!A37-Vars!$B$3)</f>
        <v>0</v>
      </c>
      <c r="F37" s="3">
        <f>IF(($A37-Ft!B$2)&lt;0,Ft!B$3*((1-Ft!B$6)/(1+Ft!B$37*($A37-Ft!B$2)^2)+Ft!B$6*EXP(Ft!B$38*($A37-Ft!B$2)^2)),Ft!B$3*((1-Ft!B$7)/(1+Ft!B$39*($A37-Ft!B$2)^2)+Ft!B$7*EXP(Ft!B$40*($A37-Ft!B$2)^2)))</f>
        <v>1.4847676983855136</v>
      </c>
      <c r="G37" s="3">
        <f>IF(($A37-Ft!C$2)&lt;0,Ft!C$3*((1-Ft!C$6)/(1+Ft!C$37*($A37-Ft!C$2)^2)+Ft!C$6*EXP(Ft!C$38*($A37-Ft!C$2)^2)),Ft!C$3*((1-Ft!C$7)/(1+Ft!C$39*($A37-Ft!C$2)^2)+Ft!C$7*EXP(Ft!C$40*($A37-Ft!C$2)^2)))</f>
        <v>6.2077409547083651</v>
      </c>
      <c r="H37" s="3">
        <f>IF(($A37-Ft!D$2)&lt;0,Ft!D$3*((1-Ft!D$6)/(1+Ft!D$37*($A37-Ft!D$2)^2)+Ft!D$6*EXP(Ft!D$38*($A37-Ft!D$2)^2)),Ft!D$3*((1-Ft!D$7)/(1+Ft!D$39*($A37-Ft!D$2)^2)+Ft!D$7*EXP(Ft!D$40*($A37-Ft!D$2)^2)))</f>
        <v>1.3128780545858296</v>
      </c>
      <c r="I37" s="3">
        <f>IF(($A37-Ft!E$2)&lt;0,Ft!E$3*((1-Ft!E$6)/(1+Ft!E$37*($A37-Ft!E$2)^2)+Ft!E$6*EXP(Ft!E$38*($A37-Ft!E$2)^2)),Ft!E$3*((1-Ft!E$7)/(1+Ft!E$39*($A37-Ft!E$2)^2)+Ft!E$7*EXP(Ft!E$40*($A37-Ft!E$2)^2)))</f>
        <v>1.0047361435465699E-5</v>
      </c>
      <c r="J37" s="3">
        <f>IF(($A37-Ft!F$2)&lt;0,Ft!F$3*((1-Ft!F$6)/(1+Ft!F$37*($A37-Ft!F$2)^2)+Ft!F$6*EXP(Ft!F$38*($A37-Ft!F$2)^2)),Ft!F$3*((1-Ft!F$7)/(1+Ft!F$39*($A37-Ft!F$2)^2)+Ft!F$7*EXP(Ft!F$40*($A37-Ft!F$2)^2)))</f>
        <v>2.7868578372147583E-101</v>
      </c>
      <c r="K37" s="3">
        <f>IF(($A37-Ft!G$2)&lt;0,Ft!G$3*((1-Ft!G$6)/(1+Ft!G$37*($A37-Ft!G$2)^2)+Ft!G$6*EXP(Ft!G$38*($A37-Ft!G$2)^2)),Ft!G$3*((1-Ft!G$7)/(1+Ft!G$39*($A37-Ft!G$2)^2)+Ft!G$7*EXP(Ft!G$40*($A37-Ft!G$2)^2)))</f>
        <v>0</v>
      </c>
      <c r="L37" s="3">
        <f>IF(($A37-Ft!H$2)&lt;0,Ft!H$3*((1-Ft!H$6)/(1+Ft!H$37*($A37-Ft!H$2)^2)+Ft!H$6*EXP(Ft!H$38*($A37-Ft!H$2)^2)),Ft!H$3*((1-Ft!H$7)/(1+Ft!H$39*($A37-Ft!H$2)^2)+Ft!H$7*EXP(Ft!H$40*($A37-Ft!H$2)^2)))</f>
        <v>0</v>
      </c>
      <c r="M37" s="3">
        <f>IF(($A37-Ft!I$2)&lt;0,Ft!I$3*((1-Ft!I$6)/(1+Ft!I$37*($A37-Ft!I$2)^2)+Ft!I$6*EXP(Ft!I$38*($A37-Ft!I$2)^2)),Ft!I$3*((1-Ft!I$7)/(1+Ft!I$39*($A37-Ft!I$2)^2)+Ft!I$7*EXP(Ft!I$40*($A37-Ft!I$2)^2)))</f>
        <v>0</v>
      </c>
      <c r="N37" s="3">
        <f>IF(($A37-Ft!J$2)&lt;0,Ft!J$3*((1-Ft!J$6)/(1+Ft!J$37*($A37-Ft!J$2)^2)+Ft!J$6*EXP(Ft!J$38*($A37-Ft!J$2)^2)),Ft!J$3*((1-Ft!J$7)/(1+Ft!J$39*($A37-Ft!J$2)^2)+Ft!J$7*EXP(Ft!J$40*($A37-Ft!J$2)^2)))</f>
        <v>0</v>
      </c>
      <c r="O37" s="3">
        <f>IF(($A37-Ft!K$2)&lt;0,Ft!K$3*((1-Ft!K$6)/(1+Ft!K$37*($A37-Ft!K$2)^2)+Ft!K$6*EXP(Ft!K$38*($A37-Ft!K$2)^2)),Ft!K$3*((1-Ft!K$7)/(1+Ft!K$39*($A37-Ft!K$2)^2)+Ft!K$7*EXP(Ft!K$40*($A37-Ft!K$2)^2)))</f>
        <v>0</v>
      </c>
      <c r="P37"/>
      <c r="Q37"/>
    </row>
    <row r="38" spans="1:17">
      <c r="A38">
        <v>72</v>
      </c>
      <c r="B38">
        <v>9.1317541068249994</v>
      </c>
      <c r="C38" s="6">
        <f t="shared" si="1"/>
        <v>8.9998790256396433</v>
      </c>
      <c r="D38" s="19">
        <f t="shared" si="2"/>
        <v>1.7391037037644285E-2</v>
      </c>
      <c r="E38" s="3">
        <f>Ft!$B$12+Ft!$B$14*(Data!A38-Vars!$B$3)</f>
        <v>0</v>
      </c>
      <c r="F38" s="3">
        <f>IF(($A38-Ft!B$2)&lt;0,Ft!B$3*((1-Ft!B$6)/(1+Ft!B$37*($A38-Ft!B$2)^2)+Ft!B$6*EXP(Ft!B$38*($A38-Ft!B$2)^2)),Ft!B$3*((1-Ft!B$7)/(1+Ft!B$39*($A38-Ft!B$2)^2)+Ft!B$7*EXP(Ft!B$40*($A38-Ft!B$2)^2)))</f>
        <v>1.3047189347492965</v>
      </c>
      <c r="G38" s="3">
        <f>IF(($A38-Ft!C$2)&lt;0,Ft!C$3*((1-Ft!C$6)/(1+Ft!C$37*($A38-Ft!C$2)^2)+Ft!C$6*EXP(Ft!C$38*($A38-Ft!C$2)^2)),Ft!C$3*((1-Ft!C$7)/(1+Ft!C$39*($A38-Ft!C$2)^2)+Ft!C$7*EXP(Ft!C$40*($A38-Ft!C$2)^2)))</f>
        <v>6.3455787043220262</v>
      </c>
      <c r="H38" s="3">
        <f>IF(($A38-Ft!D$2)&lt;0,Ft!D$3*((1-Ft!D$6)/(1+Ft!D$37*($A38-Ft!D$2)^2)+Ft!D$6*EXP(Ft!D$38*($A38-Ft!D$2)^2)),Ft!D$3*((1-Ft!D$7)/(1+Ft!D$39*($A38-Ft!D$2)^2)+Ft!D$7*EXP(Ft!D$40*($A38-Ft!D$2)^2)))</f>
        <v>1.3495705495582866</v>
      </c>
      <c r="I38" s="3">
        <f>IF(($A38-Ft!E$2)&lt;0,Ft!E$3*((1-Ft!E$6)/(1+Ft!E$37*($A38-Ft!E$2)^2)+Ft!E$6*EXP(Ft!E$38*($A38-Ft!E$2)^2)),Ft!E$3*((1-Ft!E$7)/(1+Ft!E$39*($A38-Ft!E$2)^2)+Ft!E$7*EXP(Ft!E$40*($A38-Ft!E$2)^2)))</f>
        <v>1.0837010033727047E-5</v>
      </c>
      <c r="J38" s="3">
        <f>IF(($A38-Ft!F$2)&lt;0,Ft!F$3*((1-Ft!F$6)/(1+Ft!F$37*($A38-Ft!F$2)^2)+Ft!F$6*EXP(Ft!F$38*($A38-Ft!F$2)^2)),Ft!F$3*((1-Ft!F$7)/(1+Ft!F$39*($A38-Ft!F$2)^2)+Ft!F$7*EXP(Ft!F$40*($A38-Ft!F$2)^2)))</f>
        <v>7.580362279663227E-101</v>
      </c>
      <c r="K38" s="3">
        <f>IF(($A38-Ft!G$2)&lt;0,Ft!G$3*((1-Ft!G$6)/(1+Ft!G$37*($A38-Ft!G$2)^2)+Ft!G$6*EXP(Ft!G$38*($A38-Ft!G$2)^2)),Ft!G$3*((1-Ft!G$7)/(1+Ft!G$39*($A38-Ft!G$2)^2)+Ft!G$7*EXP(Ft!G$40*($A38-Ft!G$2)^2)))</f>
        <v>0</v>
      </c>
      <c r="L38" s="3">
        <f>IF(($A38-Ft!H$2)&lt;0,Ft!H$3*((1-Ft!H$6)/(1+Ft!H$37*($A38-Ft!H$2)^2)+Ft!H$6*EXP(Ft!H$38*($A38-Ft!H$2)^2)),Ft!H$3*((1-Ft!H$7)/(1+Ft!H$39*($A38-Ft!H$2)^2)+Ft!H$7*EXP(Ft!H$40*($A38-Ft!H$2)^2)))</f>
        <v>0</v>
      </c>
      <c r="M38" s="3">
        <f>IF(($A38-Ft!I$2)&lt;0,Ft!I$3*((1-Ft!I$6)/(1+Ft!I$37*($A38-Ft!I$2)^2)+Ft!I$6*EXP(Ft!I$38*($A38-Ft!I$2)^2)),Ft!I$3*((1-Ft!I$7)/(1+Ft!I$39*($A38-Ft!I$2)^2)+Ft!I$7*EXP(Ft!I$40*($A38-Ft!I$2)^2)))</f>
        <v>0</v>
      </c>
      <c r="N38" s="3">
        <f>IF(($A38-Ft!J$2)&lt;0,Ft!J$3*((1-Ft!J$6)/(1+Ft!J$37*($A38-Ft!J$2)^2)+Ft!J$6*EXP(Ft!J$38*($A38-Ft!J$2)^2)),Ft!J$3*((1-Ft!J$7)/(1+Ft!J$39*($A38-Ft!J$2)^2)+Ft!J$7*EXP(Ft!J$40*($A38-Ft!J$2)^2)))</f>
        <v>0</v>
      </c>
      <c r="O38" s="3">
        <f>IF(($A38-Ft!K$2)&lt;0,Ft!K$3*((1-Ft!K$6)/(1+Ft!K$37*($A38-Ft!K$2)^2)+Ft!K$6*EXP(Ft!K$38*($A38-Ft!K$2)^2)),Ft!K$3*((1-Ft!K$7)/(1+Ft!K$39*($A38-Ft!K$2)^2)+Ft!K$7*EXP(Ft!K$40*($A38-Ft!K$2)^2)))</f>
        <v>0</v>
      </c>
      <c r="P38"/>
      <c r="Q38"/>
    </row>
    <row r="39" spans="1:17">
      <c r="A39">
        <v>74</v>
      </c>
      <c r="B39">
        <v>9.2062970621129949</v>
      </c>
      <c r="C39" s="6">
        <f t="shared" si="1"/>
        <v>9.0043366261384943</v>
      </c>
      <c r="D39" s="19">
        <f t="shared" si="2"/>
        <v>4.0788017699010373E-2</v>
      </c>
      <c r="E39" s="3">
        <f>Ft!$B$12+Ft!$B$14*(Data!A39-Vars!$B$3)</f>
        <v>0</v>
      </c>
      <c r="F39" s="3">
        <f>IF(($A39-Ft!B$2)&lt;0,Ft!B$3*((1-Ft!B$6)/(1+Ft!B$37*($A39-Ft!B$2)^2)+Ft!B$6*EXP(Ft!B$38*($A39-Ft!B$2)^2)),Ft!B$3*((1-Ft!B$7)/(1+Ft!B$39*($A39-Ft!B$2)^2)+Ft!B$7*EXP(Ft!B$40*($A39-Ft!B$2)^2)))</f>
        <v>1.134970308928188</v>
      </c>
      <c r="G39" s="3">
        <f>IF(($A39-Ft!C$2)&lt;0,Ft!C$3*((1-Ft!C$6)/(1+Ft!C$37*($A39-Ft!C$2)^2)+Ft!C$6*EXP(Ft!C$38*($A39-Ft!C$2)^2)),Ft!C$3*((1-Ft!C$7)/(1+Ft!C$39*($A39-Ft!C$2)^2)+Ft!C$7*EXP(Ft!C$40*($A39-Ft!C$2)^2)))</f>
        <v>6.4822655250454719</v>
      </c>
      <c r="H39" s="3">
        <f>IF(($A39-Ft!D$2)&lt;0,Ft!D$3*((1-Ft!D$6)/(1+Ft!D$37*($A39-Ft!D$2)^2)+Ft!D$6*EXP(Ft!D$38*($A39-Ft!D$2)^2)),Ft!D$3*((1-Ft!D$7)/(1+Ft!D$39*($A39-Ft!D$2)^2)+Ft!D$7*EXP(Ft!D$40*($A39-Ft!D$2)^2)))</f>
        <v>1.3870891057990196</v>
      </c>
      <c r="I39" s="3">
        <f>IF(($A39-Ft!E$2)&lt;0,Ft!E$3*((1-Ft!E$6)/(1+Ft!E$37*($A39-Ft!E$2)^2)+Ft!E$6*EXP(Ft!E$38*($A39-Ft!E$2)^2)),Ft!E$3*((1-Ft!E$7)/(1+Ft!E$39*($A39-Ft!E$2)^2)+Ft!E$7*EXP(Ft!E$40*($A39-Ft!E$2)^2)))</f>
        <v>1.1686365814020761E-5</v>
      </c>
      <c r="J39" s="3">
        <f>IF(($A39-Ft!F$2)&lt;0,Ft!F$3*((1-Ft!F$6)/(1+Ft!F$37*($A39-Ft!F$2)^2)+Ft!F$6*EXP(Ft!F$38*($A39-Ft!F$2)^2)),Ft!F$3*((1-Ft!F$7)/(1+Ft!F$39*($A39-Ft!F$2)^2)+Ft!F$7*EXP(Ft!F$40*($A39-Ft!F$2)^2)))</f>
        <v>2.0574551778751689E-100</v>
      </c>
      <c r="K39" s="3">
        <f>IF(($A39-Ft!G$2)&lt;0,Ft!G$3*((1-Ft!G$6)/(1+Ft!G$37*($A39-Ft!G$2)^2)+Ft!G$6*EXP(Ft!G$38*($A39-Ft!G$2)^2)),Ft!G$3*((1-Ft!G$7)/(1+Ft!G$39*($A39-Ft!G$2)^2)+Ft!G$7*EXP(Ft!G$40*($A39-Ft!G$2)^2)))</f>
        <v>0</v>
      </c>
      <c r="L39" s="3">
        <f>IF(($A39-Ft!H$2)&lt;0,Ft!H$3*((1-Ft!H$6)/(1+Ft!H$37*($A39-Ft!H$2)^2)+Ft!H$6*EXP(Ft!H$38*($A39-Ft!H$2)^2)),Ft!H$3*((1-Ft!H$7)/(1+Ft!H$39*($A39-Ft!H$2)^2)+Ft!H$7*EXP(Ft!H$40*($A39-Ft!H$2)^2)))</f>
        <v>0</v>
      </c>
      <c r="M39" s="3">
        <f>IF(($A39-Ft!I$2)&lt;0,Ft!I$3*((1-Ft!I$6)/(1+Ft!I$37*($A39-Ft!I$2)^2)+Ft!I$6*EXP(Ft!I$38*($A39-Ft!I$2)^2)),Ft!I$3*((1-Ft!I$7)/(1+Ft!I$39*($A39-Ft!I$2)^2)+Ft!I$7*EXP(Ft!I$40*($A39-Ft!I$2)^2)))</f>
        <v>0</v>
      </c>
      <c r="N39" s="3">
        <f>IF(($A39-Ft!J$2)&lt;0,Ft!J$3*((1-Ft!J$6)/(1+Ft!J$37*($A39-Ft!J$2)^2)+Ft!J$6*EXP(Ft!J$38*($A39-Ft!J$2)^2)),Ft!J$3*((1-Ft!J$7)/(1+Ft!J$39*($A39-Ft!J$2)^2)+Ft!J$7*EXP(Ft!J$40*($A39-Ft!J$2)^2)))</f>
        <v>0</v>
      </c>
      <c r="O39" s="3">
        <f>IF(($A39-Ft!K$2)&lt;0,Ft!K$3*((1-Ft!K$6)/(1+Ft!K$37*($A39-Ft!K$2)^2)+Ft!K$6*EXP(Ft!K$38*($A39-Ft!K$2)^2)),Ft!K$3*((1-Ft!K$7)/(1+Ft!K$39*($A39-Ft!K$2)^2)+Ft!K$7*EXP(Ft!K$40*($A39-Ft!K$2)^2)))</f>
        <v>0</v>
      </c>
      <c r="P39"/>
      <c r="Q39"/>
    </row>
    <row r="40" spans="1:17">
      <c r="A40">
        <v>76</v>
      </c>
      <c r="B40">
        <v>9.2819303985800019</v>
      </c>
      <c r="C40" s="6">
        <f t="shared" si="1"/>
        <v>9.0204303240457655</v>
      </c>
      <c r="D40" s="19">
        <f t="shared" si="2"/>
        <v>6.8382288981411188E-2</v>
      </c>
      <c r="E40" s="3">
        <f>Ft!$B$12+Ft!$B$14*(Data!A40-Vars!$B$3)</f>
        <v>0</v>
      </c>
      <c r="F40" s="3">
        <f>IF(($A40-Ft!B$2)&lt;0,Ft!B$3*((1-Ft!B$6)/(1+Ft!B$37*($A40-Ft!B$2)^2)+Ft!B$6*EXP(Ft!B$38*($A40-Ft!B$2)^2)),Ft!B$3*((1-Ft!B$7)/(1+Ft!B$39*($A40-Ft!B$2)^2)+Ft!B$7*EXP(Ft!B$40*($A40-Ft!B$2)^2)))</f>
        <v>0.97737475364344162</v>
      </c>
      <c r="G40" s="3">
        <f>IF(($A40-Ft!C$2)&lt;0,Ft!C$3*((1-Ft!C$6)/(1+Ft!C$37*($A40-Ft!C$2)^2)+Ft!C$6*EXP(Ft!C$38*($A40-Ft!C$2)^2)),Ft!C$3*((1-Ft!C$7)/(1+Ft!C$39*($A40-Ft!C$2)^2)+Ft!C$7*EXP(Ft!C$40*($A40-Ft!C$2)^2)))</f>
        <v>6.6175972192124357</v>
      </c>
      <c r="H40" s="3">
        <f>IF(($A40-Ft!D$2)&lt;0,Ft!D$3*((1-Ft!D$6)/(1+Ft!D$37*($A40-Ft!D$2)^2)+Ft!D$6*EXP(Ft!D$38*($A40-Ft!D$2)^2)),Ft!D$3*((1-Ft!D$7)/(1+Ft!D$39*($A40-Ft!D$2)^2)+Ft!D$7*EXP(Ft!D$40*($A40-Ft!D$2)^2)))</f>
        <v>1.4254457514369523</v>
      </c>
      <c r="I40" s="3">
        <f>IF(($A40-Ft!E$2)&lt;0,Ft!E$3*((1-Ft!E$6)/(1+Ft!E$37*($A40-Ft!E$2)^2)+Ft!E$6*EXP(Ft!E$38*($A40-Ft!E$2)^2)),Ft!E$3*((1-Ft!E$7)/(1+Ft!E$39*($A40-Ft!E$2)^2)+Ft!E$7*EXP(Ft!E$40*($A40-Ft!E$2)^2)))</f>
        <v>1.2599752937290601E-5</v>
      </c>
      <c r="J40" s="3">
        <f>IF(($A40-Ft!F$2)&lt;0,Ft!F$3*((1-Ft!F$6)/(1+Ft!F$37*($A40-Ft!F$2)^2)+Ft!F$6*EXP(Ft!F$38*($A40-Ft!F$2)^2)),Ft!F$3*((1-Ft!F$7)/(1+Ft!F$39*($A40-Ft!F$2)^2)+Ft!F$7*EXP(Ft!F$40*($A40-Ft!F$2)^2)))</f>
        <v>5.5723203756472105E-100</v>
      </c>
      <c r="K40" s="3">
        <f>IF(($A40-Ft!G$2)&lt;0,Ft!G$3*((1-Ft!G$6)/(1+Ft!G$37*($A40-Ft!G$2)^2)+Ft!G$6*EXP(Ft!G$38*($A40-Ft!G$2)^2)),Ft!G$3*((1-Ft!G$7)/(1+Ft!G$39*($A40-Ft!G$2)^2)+Ft!G$7*EXP(Ft!G$40*($A40-Ft!G$2)^2)))</f>
        <v>0</v>
      </c>
      <c r="L40" s="3">
        <f>IF(($A40-Ft!H$2)&lt;0,Ft!H$3*((1-Ft!H$6)/(1+Ft!H$37*($A40-Ft!H$2)^2)+Ft!H$6*EXP(Ft!H$38*($A40-Ft!H$2)^2)),Ft!H$3*((1-Ft!H$7)/(1+Ft!H$39*($A40-Ft!H$2)^2)+Ft!H$7*EXP(Ft!H$40*($A40-Ft!H$2)^2)))</f>
        <v>0</v>
      </c>
      <c r="M40" s="3">
        <f>IF(($A40-Ft!I$2)&lt;0,Ft!I$3*((1-Ft!I$6)/(1+Ft!I$37*($A40-Ft!I$2)^2)+Ft!I$6*EXP(Ft!I$38*($A40-Ft!I$2)^2)),Ft!I$3*((1-Ft!I$7)/(1+Ft!I$39*($A40-Ft!I$2)^2)+Ft!I$7*EXP(Ft!I$40*($A40-Ft!I$2)^2)))</f>
        <v>0</v>
      </c>
      <c r="N40" s="3">
        <f>IF(($A40-Ft!J$2)&lt;0,Ft!J$3*((1-Ft!J$6)/(1+Ft!J$37*($A40-Ft!J$2)^2)+Ft!J$6*EXP(Ft!J$38*($A40-Ft!J$2)^2)),Ft!J$3*((1-Ft!J$7)/(1+Ft!J$39*($A40-Ft!J$2)^2)+Ft!J$7*EXP(Ft!J$40*($A40-Ft!J$2)^2)))</f>
        <v>0</v>
      </c>
      <c r="O40" s="3">
        <f>IF(($A40-Ft!K$2)&lt;0,Ft!K$3*((1-Ft!K$6)/(1+Ft!K$37*($A40-Ft!K$2)^2)+Ft!K$6*EXP(Ft!K$38*($A40-Ft!K$2)^2)),Ft!K$3*((1-Ft!K$7)/(1+Ft!K$39*($A40-Ft!K$2)^2)+Ft!K$7*EXP(Ft!K$40*($A40-Ft!K$2)^2)))</f>
        <v>0</v>
      </c>
      <c r="P40"/>
      <c r="Q40"/>
    </row>
    <row r="41" spans="1:17">
      <c r="A41">
        <v>78</v>
      </c>
      <c r="B41">
        <v>9.3596726130489998</v>
      </c>
      <c r="C41" s="6">
        <f t="shared" si="1"/>
        <v>9.0492292943858388</v>
      </c>
      <c r="D41" s="19">
        <f t="shared" si="2"/>
        <v>9.6375054102596919E-2</v>
      </c>
      <c r="E41" s="3">
        <f>Ft!$B$12+Ft!$B$14*(Data!A41-Vars!$B$3)</f>
        <v>0</v>
      </c>
      <c r="F41" s="3">
        <f>IF(($A41-Ft!B$2)&lt;0,Ft!B$3*((1-Ft!B$6)/(1+Ft!B$37*($A41-Ft!B$2)^2)+Ft!B$6*EXP(Ft!B$38*($A41-Ft!B$2)^2)),Ft!B$3*((1-Ft!B$7)/(1+Ft!B$39*($A41-Ft!B$2)^2)+Ft!B$7*EXP(Ft!B$40*($A41-Ft!B$2)^2)))</f>
        <v>0.83319530454954205</v>
      </c>
      <c r="G41" s="3">
        <f>IF(($A41-Ft!C$2)&lt;0,Ft!C$3*((1-Ft!C$6)/(1+Ft!C$37*($A41-Ft!C$2)^2)+Ft!C$6*EXP(Ft!C$38*($A41-Ft!C$2)^2)),Ft!C$3*((1-Ft!C$7)/(1+Ft!C$39*($A41-Ft!C$2)^2)+Ft!C$7*EXP(Ft!C$40*($A41-Ft!C$2)^2)))</f>
        <v>6.7513679263702624</v>
      </c>
      <c r="H41" s="3">
        <f>IF(($A41-Ft!D$2)&lt;0,Ft!D$3*((1-Ft!D$6)/(1+Ft!D$37*($A41-Ft!D$2)^2)+Ft!D$6*EXP(Ft!D$38*($A41-Ft!D$2)^2)),Ft!D$3*((1-Ft!D$7)/(1+Ft!D$39*($A41-Ft!D$2)^2)+Ft!D$7*EXP(Ft!D$40*($A41-Ft!D$2)^2)))</f>
        <v>1.4646524816722186</v>
      </c>
      <c r="I41" s="3">
        <f>IF(($A41-Ft!E$2)&lt;0,Ft!E$3*((1-Ft!E$6)/(1+Ft!E$37*($A41-Ft!E$2)^2)+Ft!E$6*EXP(Ft!E$38*($A41-Ft!E$2)^2)),Ft!E$3*((1-Ft!E$7)/(1+Ft!E$39*($A41-Ft!E$2)^2)+Ft!E$7*EXP(Ft!E$40*($A41-Ft!E$2)^2)))</f>
        <v>1.3581793815951649E-5</v>
      </c>
      <c r="J41" s="3">
        <f>IF(($A41-Ft!F$2)&lt;0,Ft!F$3*((1-Ft!F$6)/(1+Ft!F$37*($A41-Ft!F$2)^2)+Ft!F$6*EXP(Ft!F$38*($A41-Ft!F$2)^2)),Ft!F$3*((1-Ft!F$7)/(1+Ft!F$39*($A41-Ft!F$2)^2)+Ft!F$7*EXP(Ft!F$40*($A41-Ft!F$2)^2)))</f>
        <v>1.5059378435733452E-99</v>
      </c>
      <c r="K41" s="3">
        <f>IF(($A41-Ft!G$2)&lt;0,Ft!G$3*((1-Ft!G$6)/(1+Ft!G$37*($A41-Ft!G$2)^2)+Ft!G$6*EXP(Ft!G$38*($A41-Ft!G$2)^2)),Ft!G$3*((1-Ft!G$7)/(1+Ft!G$39*($A41-Ft!G$2)^2)+Ft!G$7*EXP(Ft!G$40*($A41-Ft!G$2)^2)))</f>
        <v>0</v>
      </c>
      <c r="L41" s="3">
        <f>IF(($A41-Ft!H$2)&lt;0,Ft!H$3*((1-Ft!H$6)/(1+Ft!H$37*($A41-Ft!H$2)^2)+Ft!H$6*EXP(Ft!H$38*($A41-Ft!H$2)^2)),Ft!H$3*((1-Ft!H$7)/(1+Ft!H$39*($A41-Ft!H$2)^2)+Ft!H$7*EXP(Ft!H$40*($A41-Ft!H$2)^2)))</f>
        <v>0</v>
      </c>
      <c r="M41" s="3">
        <f>IF(($A41-Ft!I$2)&lt;0,Ft!I$3*((1-Ft!I$6)/(1+Ft!I$37*($A41-Ft!I$2)^2)+Ft!I$6*EXP(Ft!I$38*($A41-Ft!I$2)^2)),Ft!I$3*((1-Ft!I$7)/(1+Ft!I$39*($A41-Ft!I$2)^2)+Ft!I$7*EXP(Ft!I$40*($A41-Ft!I$2)^2)))</f>
        <v>0</v>
      </c>
      <c r="N41" s="3">
        <f>IF(($A41-Ft!J$2)&lt;0,Ft!J$3*((1-Ft!J$6)/(1+Ft!J$37*($A41-Ft!J$2)^2)+Ft!J$6*EXP(Ft!J$38*($A41-Ft!J$2)^2)),Ft!J$3*((1-Ft!J$7)/(1+Ft!J$39*($A41-Ft!J$2)^2)+Ft!J$7*EXP(Ft!J$40*($A41-Ft!J$2)^2)))</f>
        <v>0</v>
      </c>
      <c r="O41" s="3">
        <f>IF(($A41-Ft!K$2)&lt;0,Ft!K$3*((1-Ft!K$6)/(1+Ft!K$37*($A41-Ft!K$2)^2)+Ft!K$6*EXP(Ft!K$38*($A41-Ft!K$2)^2)),Ft!K$3*((1-Ft!K$7)/(1+Ft!K$39*($A41-Ft!K$2)^2)+Ft!K$7*EXP(Ft!K$40*($A41-Ft!K$2)^2)))</f>
        <v>0</v>
      </c>
      <c r="P41"/>
      <c r="Q41"/>
    </row>
    <row r="42" spans="1:17">
      <c r="A42">
        <v>80</v>
      </c>
      <c r="B42">
        <v>9.4405422023459948</v>
      </c>
      <c r="C42" s="6">
        <f t="shared" si="1"/>
        <v>9.0912461725690097</v>
      </c>
      <c r="D42" s="19">
        <f t="shared" si="2"/>
        <v>0.1220077164179645</v>
      </c>
      <c r="E42" s="3">
        <f>Ft!$B$12+Ft!$B$14*(Data!A42-Vars!$B$3)</f>
        <v>0</v>
      </c>
      <c r="F42" s="3">
        <f>IF(($A42-Ft!B$2)&lt;0,Ft!B$3*((1-Ft!B$6)/(1+Ft!B$37*($A42-Ft!B$2)^2)+Ft!B$6*EXP(Ft!B$38*($A42-Ft!B$2)^2)),Ft!B$3*((1-Ft!B$7)/(1+Ft!B$39*($A42-Ft!B$2)^2)+Ft!B$7*EXP(Ft!B$40*($A42-Ft!B$2)^2)))</f>
        <v>0.70313965558140779</v>
      </c>
      <c r="G42" s="3">
        <f>IF(($A42-Ft!C$2)&lt;0,Ft!C$3*((1-Ft!C$6)/(1+Ft!C$37*($A42-Ft!C$2)^2)+Ft!C$6*EXP(Ft!C$38*($A42-Ft!C$2)^2)),Ft!C$3*((1-Ft!C$7)/(1+Ft!C$39*($A42-Ft!C$2)^2)+Ft!C$7*EXP(Ft!C$40*($A42-Ft!C$2)^2)))</f>
        <v>6.8833706286854266</v>
      </c>
      <c r="H42" s="3">
        <f>IF(($A42-Ft!D$2)&lt;0,Ft!D$3*((1-Ft!D$6)/(1+Ft!D$37*($A42-Ft!D$2)^2)+Ft!D$6*EXP(Ft!D$38*($A42-Ft!D$2)^2)),Ft!D$3*((1-Ft!D$7)/(1+Ft!D$39*($A42-Ft!D$2)^2)+Ft!D$7*EXP(Ft!D$40*($A42-Ft!D$2)^2)))</f>
        <v>1.504721250873619</v>
      </c>
      <c r="I42" s="3">
        <f>IF(($A42-Ft!E$2)&lt;0,Ft!E$3*((1-Ft!E$6)/(1+Ft!E$37*($A42-Ft!E$2)^2)+Ft!E$6*EXP(Ft!E$38*($A42-Ft!E$2)^2)),Ft!E$3*((1-Ft!E$7)/(1+Ft!E$39*($A42-Ft!E$2)^2)+Ft!E$7*EXP(Ft!E$40*($A42-Ft!E$2)^2)))</f>
        <v>1.4637428556995124E-5</v>
      </c>
      <c r="J42" s="3">
        <f>IF(($A42-Ft!F$2)&lt;0,Ft!F$3*((1-Ft!F$6)/(1+Ft!F$37*($A42-Ft!F$2)^2)+Ft!F$6*EXP(Ft!F$38*($A42-Ft!F$2)^2)),Ft!F$3*((1-Ft!F$7)/(1+Ft!F$39*($A42-Ft!F$2)^2)+Ft!F$7*EXP(Ft!F$40*($A42-Ft!F$2)^2)))</f>
        <v>4.0610963231630422E-99</v>
      </c>
      <c r="K42" s="3">
        <f>IF(($A42-Ft!G$2)&lt;0,Ft!G$3*((1-Ft!G$6)/(1+Ft!G$37*($A42-Ft!G$2)^2)+Ft!G$6*EXP(Ft!G$38*($A42-Ft!G$2)^2)),Ft!G$3*((1-Ft!G$7)/(1+Ft!G$39*($A42-Ft!G$2)^2)+Ft!G$7*EXP(Ft!G$40*($A42-Ft!G$2)^2)))</f>
        <v>0</v>
      </c>
      <c r="L42" s="3">
        <f>IF(($A42-Ft!H$2)&lt;0,Ft!H$3*((1-Ft!H$6)/(1+Ft!H$37*($A42-Ft!H$2)^2)+Ft!H$6*EXP(Ft!H$38*($A42-Ft!H$2)^2)),Ft!H$3*((1-Ft!H$7)/(1+Ft!H$39*($A42-Ft!H$2)^2)+Ft!H$7*EXP(Ft!H$40*($A42-Ft!H$2)^2)))</f>
        <v>0</v>
      </c>
      <c r="M42" s="3">
        <f>IF(($A42-Ft!I$2)&lt;0,Ft!I$3*((1-Ft!I$6)/(1+Ft!I$37*($A42-Ft!I$2)^2)+Ft!I$6*EXP(Ft!I$38*($A42-Ft!I$2)^2)),Ft!I$3*((1-Ft!I$7)/(1+Ft!I$39*($A42-Ft!I$2)^2)+Ft!I$7*EXP(Ft!I$40*($A42-Ft!I$2)^2)))</f>
        <v>0</v>
      </c>
      <c r="N42" s="3">
        <f>IF(($A42-Ft!J$2)&lt;0,Ft!J$3*((1-Ft!J$6)/(1+Ft!J$37*($A42-Ft!J$2)^2)+Ft!J$6*EXP(Ft!J$38*($A42-Ft!J$2)^2)),Ft!J$3*((1-Ft!J$7)/(1+Ft!J$39*($A42-Ft!J$2)^2)+Ft!J$7*EXP(Ft!J$40*($A42-Ft!J$2)^2)))</f>
        <v>0</v>
      </c>
      <c r="O42" s="3">
        <f>IF(($A42-Ft!K$2)&lt;0,Ft!K$3*((1-Ft!K$6)/(1+Ft!K$37*($A42-Ft!K$2)^2)+Ft!K$6*EXP(Ft!K$38*($A42-Ft!K$2)^2)),Ft!K$3*((1-Ft!K$7)/(1+Ft!K$39*($A42-Ft!K$2)^2)+Ft!K$7*EXP(Ft!K$40*($A42-Ft!K$2)^2)))</f>
        <v>0</v>
      </c>
      <c r="P42"/>
      <c r="Q42"/>
    </row>
    <row r="43" spans="1:17">
      <c r="A43">
        <v>82</v>
      </c>
      <c r="B43">
        <v>9.5255576632949897</v>
      </c>
      <c r="C43" s="6">
        <f t="shared" si="1"/>
        <v>9.1464929731617683</v>
      </c>
      <c r="D43" s="19">
        <f t="shared" si="2"/>
        <v>0.14369003930579508</v>
      </c>
      <c r="E43" s="3">
        <f>Ft!$B$12+Ft!$B$14*(Data!A43-Vars!$B$3)</f>
        <v>0</v>
      </c>
      <c r="F43" s="3">
        <f>IF(($A43-Ft!B$2)&lt;0,Ft!B$3*((1-Ft!B$6)/(1+Ft!B$37*($A43-Ft!B$2)^2)+Ft!B$6*EXP(Ft!B$38*($A43-Ft!B$2)^2)),Ft!B$3*((1-Ft!B$7)/(1+Ft!B$39*($A43-Ft!B$2)^2)+Ft!B$7*EXP(Ft!B$40*($A43-Ft!B$2)^2)))</f>
        <v>0.58741556621340152</v>
      </c>
      <c r="G43" s="3">
        <f>IF(($A43-Ft!C$2)&lt;0,Ft!C$3*((1-Ft!C$6)/(1+Ft!C$37*($A43-Ft!C$2)^2)+Ft!C$6*EXP(Ft!C$38*($A43-Ft!C$2)^2)),Ft!C$3*((1-Ft!C$7)/(1+Ft!C$39*($A43-Ft!C$2)^2)+Ft!C$7*EXP(Ft!C$40*($A43-Ft!C$2)^2)))</f>
        <v>7.0133976705248671</v>
      </c>
      <c r="H43" s="3">
        <f>IF(($A43-Ft!D$2)&lt;0,Ft!D$3*((1-Ft!D$6)/(1+Ft!D$37*($A43-Ft!D$2)^2)+Ft!D$6*EXP(Ft!D$38*($A43-Ft!D$2)^2)),Ft!D$3*((1-Ft!D$7)/(1+Ft!D$39*($A43-Ft!D$2)^2)+Ft!D$7*EXP(Ft!D$40*($A43-Ft!D$2)^2)))</f>
        <v>1.5456639644879098</v>
      </c>
      <c r="I43" s="3">
        <f>IF(($A43-Ft!E$2)&lt;0,Ft!E$3*((1-Ft!E$6)/(1+Ft!E$37*($A43-Ft!E$2)^2)+Ft!E$6*EXP(Ft!E$38*($A43-Ft!E$2)^2)),Ft!E$3*((1-Ft!E$7)/(1+Ft!E$39*($A43-Ft!E$2)^2)+Ft!E$7*EXP(Ft!E$40*($A43-Ft!E$2)^2)))</f>
        <v>1.5771935590376553E-5</v>
      </c>
      <c r="J43" s="3">
        <f>IF(($A43-Ft!F$2)&lt;0,Ft!F$3*((1-Ft!F$6)/(1+Ft!F$37*($A43-Ft!F$2)^2)+Ft!F$6*EXP(Ft!F$38*($A43-Ft!F$2)^2)),Ft!F$3*((1-Ft!F$7)/(1+Ft!F$39*($A43-Ft!F$2)^2)+Ft!F$7*EXP(Ft!F$40*($A43-Ft!F$2)^2)))</f>
        <v>1.0928103711195247E-98</v>
      </c>
      <c r="K43" s="3">
        <f>IF(($A43-Ft!G$2)&lt;0,Ft!G$3*((1-Ft!G$6)/(1+Ft!G$37*($A43-Ft!G$2)^2)+Ft!G$6*EXP(Ft!G$38*($A43-Ft!G$2)^2)),Ft!G$3*((1-Ft!G$7)/(1+Ft!G$39*($A43-Ft!G$2)^2)+Ft!G$7*EXP(Ft!G$40*($A43-Ft!G$2)^2)))</f>
        <v>0</v>
      </c>
      <c r="L43" s="3">
        <f>IF(($A43-Ft!H$2)&lt;0,Ft!H$3*((1-Ft!H$6)/(1+Ft!H$37*($A43-Ft!H$2)^2)+Ft!H$6*EXP(Ft!H$38*($A43-Ft!H$2)^2)),Ft!H$3*((1-Ft!H$7)/(1+Ft!H$39*($A43-Ft!H$2)^2)+Ft!H$7*EXP(Ft!H$40*($A43-Ft!H$2)^2)))</f>
        <v>0</v>
      </c>
      <c r="M43" s="3">
        <f>IF(($A43-Ft!I$2)&lt;0,Ft!I$3*((1-Ft!I$6)/(1+Ft!I$37*($A43-Ft!I$2)^2)+Ft!I$6*EXP(Ft!I$38*($A43-Ft!I$2)^2)),Ft!I$3*((1-Ft!I$7)/(1+Ft!I$39*($A43-Ft!I$2)^2)+Ft!I$7*EXP(Ft!I$40*($A43-Ft!I$2)^2)))</f>
        <v>0</v>
      </c>
      <c r="N43" s="3">
        <f>IF(($A43-Ft!J$2)&lt;0,Ft!J$3*((1-Ft!J$6)/(1+Ft!J$37*($A43-Ft!J$2)^2)+Ft!J$6*EXP(Ft!J$38*($A43-Ft!J$2)^2)),Ft!J$3*((1-Ft!J$7)/(1+Ft!J$39*($A43-Ft!J$2)^2)+Ft!J$7*EXP(Ft!J$40*($A43-Ft!J$2)^2)))</f>
        <v>0</v>
      </c>
      <c r="O43" s="3">
        <f>IF(($A43-Ft!K$2)&lt;0,Ft!K$3*((1-Ft!K$6)/(1+Ft!K$37*($A43-Ft!K$2)^2)+Ft!K$6*EXP(Ft!K$38*($A43-Ft!K$2)^2)),Ft!K$3*((1-Ft!K$7)/(1+Ft!K$39*($A43-Ft!K$2)^2)+Ft!K$7*EXP(Ft!K$40*($A43-Ft!K$2)^2)))</f>
        <v>0</v>
      </c>
      <c r="P43"/>
      <c r="Q43"/>
    </row>
    <row r="44" spans="1:17">
      <c r="A44">
        <v>84</v>
      </c>
      <c r="B44">
        <v>9.6157374927209958</v>
      </c>
      <c r="C44" s="6">
        <f t="shared" si="1"/>
        <v>9.2145517369736947</v>
      </c>
      <c r="D44" s="19">
        <f t="shared" si="2"/>
        <v>0.16095001061453312</v>
      </c>
      <c r="E44" s="3">
        <f>Ft!$B$12+Ft!$B$14*(Data!A44-Vars!$B$3)</f>
        <v>0</v>
      </c>
      <c r="F44" s="3">
        <f>IF(($A44-Ft!B$2)&lt;0,Ft!B$3*((1-Ft!B$6)/(1+Ft!B$37*($A44-Ft!B$2)^2)+Ft!B$6*EXP(Ft!B$38*($A44-Ft!B$2)^2)),Ft!B$3*((1-Ft!B$7)/(1+Ft!B$39*($A44-Ft!B$2)^2)+Ft!B$7*EXP(Ft!B$40*($A44-Ft!B$2)^2)))</f>
        <v>0.48580098480146777</v>
      </c>
      <c r="G44" s="3">
        <f>IF(($A44-Ft!C$2)&lt;0,Ft!C$3*((1-Ft!C$6)/(1+Ft!C$37*($A44-Ft!C$2)^2)+Ft!C$6*EXP(Ft!C$38*($A44-Ft!C$2)^2)),Ft!C$3*((1-Ft!C$7)/(1+Ft!C$39*($A44-Ft!C$2)^2)+Ft!C$7*EXP(Ft!C$40*($A44-Ft!C$2)^2)))</f>
        <v>7.1412412904558815</v>
      </c>
      <c r="H44" s="3">
        <f>IF(($A44-Ft!D$2)&lt;0,Ft!D$3*((1-Ft!D$6)/(1+Ft!D$37*($A44-Ft!D$2)^2)+Ft!D$6*EXP(Ft!D$38*($A44-Ft!D$2)^2)),Ft!D$3*((1-Ft!D$7)/(1+Ft!D$39*($A44-Ft!D$2)^2)+Ft!D$7*EXP(Ft!D$40*($A44-Ft!D$2)^2)))</f>
        <v>1.5874924707627951</v>
      </c>
      <c r="I44" s="3">
        <f>IF(($A44-Ft!E$2)&lt;0,Ft!E$3*((1-Ft!E$6)/(1+Ft!E$37*($A44-Ft!E$2)^2)+Ft!E$6*EXP(Ft!E$38*($A44-Ft!E$2)^2)),Ft!E$3*((1-Ft!E$7)/(1+Ft!E$39*($A44-Ft!E$2)^2)+Ft!E$7*EXP(Ft!E$40*($A44-Ft!E$2)^2)))</f>
        <v>1.6990953549184384E-5</v>
      </c>
      <c r="J44" s="3">
        <f>IF(($A44-Ft!F$2)&lt;0,Ft!F$3*((1-Ft!F$6)/(1+Ft!F$37*($A44-Ft!F$2)^2)+Ft!F$6*EXP(Ft!F$38*($A44-Ft!F$2)^2)),Ft!F$3*((1-Ft!F$7)/(1+Ft!F$39*($A44-Ft!F$2)^2)+Ft!F$7*EXP(Ft!F$40*($A44-Ft!F$2)^2)))</f>
        <v>2.9343478767446854E-98</v>
      </c>
      <c r="K44" s="3">
        <f>IF(($A44-Ft!G$2)&lt;0,Ft!G$3*((1-Ft!G$6)/(1+Ft!G$37*($A44-Ft!G$2)^2)+Ft!G$6*EXP(Ft!G$38*($A44-Ft!G$2)^2)),Ft!G$3*((1-Ft!G$7)/(1+Ft!G$39*($A44-Ft!G$2)^2)+Ft!G$7*EXP(Ft!G$40*($A44-Ft!G$2)^2)))</f>
        <v>0</v>
      </c>
      <c r="L44" s="3">
        <f>IF(($A44-Ft!H$2)&lt;0,Ft!H$3*((1-Ft!H$6)/(1+Ft!H$37*($A44-Ft!H$2)^2)+Ft!H$6*EXP(Ft!H$38*($A44-Ft!H$2)^2)),Ft!H$3*((1-Ft!H$7)/(1+Ft!H$39*($A44-Ft!H$2)^2)+Ft!H$7*EXP(Ft!H$40*($A44-Ft!H$2)^2)))</f>
        <v>0</v>
      </c>
      <c r="M44" s="3">
        <f>IF(($A44-Ft!I$2)&lt;0,Ft!I$3*((1-Ft!I$6)/(1+Ft!I$37*($A44-Ft!I$2)^2)+Ft!I$6*EXP(Ft!I$38*($A44-Ft!I$2)^2)),Ft!I$3*((1-Ft!I$7)/(1+Ft!I$39*($A44-Ft!I$2)^2)+Ft!I$7*EXP(Ft!I$40*($A44-Ft!I$2)^2)))</f>
        <v>0</v>
      </c>
      <c r="N44" s="3">
        <f>IF(($A44-Ft!J$2)&lt;0,Ft!J$3*((1-Ft!J$6)/(1+Ft!J$37*($A44-Ft!J$2)^2)+Ft!J$6*EXP(Ft!J$38*($A44-Ft!J$2)^2)),Ft!J$3*((1-Ft!J$7)/(1+Ft!J$39*($A44-Ft!J$2)^2)+Ft!J$7*EXP(Ft!J$40*($A44-Ft!J$2)^2)))</f>
        <v>0</v>
      </c>
      <c r="O44" s="3">
        <f>IF(($A44-Ft!K$2)&lt;0,Ft!K$3*((1-Ft!K$6)/(1+Ft!K$37*($A44-Ft!K$2)^2)+Ft!K$6*EXP(Ft!K$38*($A44-Ft!K$2)^2)),Ft!K$3*((1-Ft!K$7)/(1+Ft!K$39*($A44-Ft!K$2)^2)+Ft!K$7*EXP(Ft!K$40*($A44-Ft!K$2)^2)))</f>
        <v>0</v>
      </c>
      <c r="P44"/>
      <c r="Q44"/>
    </row>
    <row r="45" spans="1:17">
      <c r="A45">
        <v>86</v>
      </c>
      <c r="B45">
        <v>9.7156864156129927</v>
      </c>
      <c r="C45" s="6">
        <f t="shared" si="1"/>
        <v>9.2946537465492636</v>
      </c>
      <c r="D45" s="19">
        <f t="shared" si="2"/>
        <v>0.17726850841892769</v>
      </c>
      <c r="E45" s="3">
        <f>Ft!$B$12+Ft!$B$14*(Data!A45-Vars!$B$3)</f>
        <v>0</v>
      </c>
      <c r="F45" s="3">
        <f>IF(($A45-Ft!B$2)&lt;0,Ft!B$3*((1-Ft!B$6)/(1+Ft!B$37*($A45-Ft!B$2)^2)+Ft!B$6*EXP(Ft!B$38*($A45-Ft!B$2)^2)),Ft!B$3*((1-Ft!B$7)/(1+Ft!B$39*($A45-Ft!B$2)^2)+Ft!B$7*EXP(Ft!B$40*($A45-Ft!B$2)^2)))</f>
        <v>0.3977227299435534</v>
      </c>
      <c r="G45" s="3">
        <f>IF(($A45-Ft!C$2)&lt;0,Ft!C$3*((1-Ft!C$6)/(1+Ft!C$37*($A45-Ft!C$2)^2)+Ft!C$6*EXP(Ft!C$38*($A45-Ft!C$2)^2)),Ft!C$3*((1-Ft!C$7)/(1+Ft!C$39*($A45-Ft!C$2)^2)+Ft!C$7*EXP(Ft!C$40*($A45-Ft!C$2)^2)))</f>
        <v>7.2666941638154414</v>
      </c>
      <c r="H45" s="3">
        <f>IF(($A45-Ft!D$2)&lt;0,Ft!D$3*((1-Ft!D$6)/(1+Ft!D$37*($A45-Ft!D$2)^2)+Ft!D$6*EXP(Ft!D$38*($A45-Ft!D$2)^2)),Ft!D$3*((1-Ft!D$7)/(1+Ft!D$39*($A45-Ft!D$2)^2)+Ft!D$7*EXP(Ft!D$40*($A45-Ft!D$2)^2)))</f>
        <v>1.6302185522857962</v>
      </c>
      <c r="I45" s="3">
        <f>IF(($A45-Ft!E$2)&lt;0,Ft!E$3*((1-Ft!E$6)/(1+Ft!E$37*($A45-Ft!E$2)^2)+Ft!E$6*EXP(Ft!E$38*($A45-Ft!E$2)^2)),Ft!E$3*((1-Ft!E$7)/(1+Ft!E$39*($A45-Ft!E$2)^2)+Ft!E$7*EXP(Ft!E$40*($A45-Ft!E$2)^2)))</f>
        <v>1.830050447142961E-5</v>
      </c>
      <c r="J45" s="3">
        <f>IF(($A45-Ft!F$2)&lt;0,Ft!F$3*((1-Ft!F$6)/(1+Ft!F$37*($A45-Ft!F$2)^2)+Ft!F$6*EXP(Ft!F$38*($A45-Ft!F$2)^2)),Ft!F$3*((1-Ft!F$7)/(1+Ft!F$39*($A45-Ft!F$2)^2)+Ft!F$7*EXP(Ft!F$40*($A45-Ft!F$2)^2)))</f>
        <v>7.8621923632990074E-98</v>
      </c>
      <c r="K45" s="3">
        <f>IF(($A45-Ft!G$2)&lt;0,Ft!G$3*((1-Ft!G$6)/(1+Ft!G$37*($A45-Ft!G$2)^2)+Ft!G$6*EXP(Ft!G$38*($A45-Ft!G$2)^2)),Ft!G$3*((1-Ft!G$7)/(1+Ft!G$39*($A45-Ft!G$2)^2)+Ft!G$7*EXP(Ft!G$40*($A45-Ft!G$2)^2)))</f>
        <v>0</v>
      </c>
      <c r="L45" s="3">
        <f>IF(($A45-Ft!H$2)&lt;0,Ft!H$3*((1-Ft!H$6)/(1+Ft!H$37*($A45-Ft!H$2)^2)+Ft!H$6*EXP(Ft!H$38*($A45-Ft!H$2)^2)),Ft!H$3*((1-Ft!H$7)/(1+Ft!H$39*($A45-Ft!H$2)^2)+Ft!H$7*EXP(Ft!H$40*($A45-Ft!H$2)^2)))</f>
        <v>0</v>
      </c>
      <c r="M45" s="3">
        <f>IF(($A45-Ft!I$2)&lt;0,Ft!I$3*((1-Ft!I$6)/(1+Ft!I$37*($A45-Ft!I$2)^2)+Ft!I$6*EXP(Ft!I$38*($A45-Ft!I$2)^2)),Ft!I$3*((1-Ft!I$7)/(1+Ft!I$39*($A45-Ft!I$2)^2)+Ft!I$7*EXP(Ft!I$40*($A45-Ft!I$2)^2)))</f>
        <v>0</v>
      </c>
      <c r="N45" s="3">
        <f>IF(($A45-Ft!J$2)&lt;0,Ft!J$3*((1-Ft!J$6)/(1+Ft!J$37*($A45-Ft!J$2)^2)+Ft!J$6*EXP(Ft!J$38*($A45-Ft!J$2)^2)),Ft!J$3*((1-Ft!J$7)/(1+Ft!J$39*($A45-Ft!J$2)^2)+Ft!J$7*EXP(Ft!J$40*($A45-Ft!J$2)^2)))</f>
        <v>0</v>
      </c>
      <c r="O45" s="3">
        <f>IF(($A45-Ft!K$2)&lt;0,Ft!K$3*((1-Ft!K$6)/(1+Ft!K$37*($A45-Ft!K$2)^2)+Ft!K$6*EXP(Ft!K$38*($A45-Ft!K$2)^2)),Ft!K$3*((1-Ft!K$7)/(1+Ft!K$39*($A45-Ft!K$2)^2)+Ft!K$7*EXP(Ft!K$40*($A45-Ft!K$2)^2)))</f>
        <v>0</v>
      </c>
      <c r="P45"/>
      <c r="Q45"/>
    </row>
    <row r="46" spans="1:17">
      <c r="A46">
        <v>88</v>
      </c>
      <c r="B46">
        <v>9.827115274034</v>
      </c>
      <c r="C46" s="6">
        <f t="shared" si="1"/>
        <v>9.3857615831600025</v>
      </c>
      <c r="D46" s="19">
        <f t="shared" si="2"/>
        <v>0.19479308044810009</v>
      </c>
      <c r="E46" s="3">
        <f>Ft!$B$12+Ft!$B$14*(Data!A46-Vars!$B$3)</f>
        <v>0</v>
      </c>
      <c r="F46" s="3">
        <f>IF(($A46-Ft!B$2)&lt;0,Ft!B$3*((1-Ft!B$6)/(1+Ft!B$37*($A46-Ft!B$2)^2)+Ft!B$6*EXP(Ft!B$38*($A46-Ft!B$2)^2)),Ft!B$3*((1-Ft!B$7)/(1+Ft!B$39*($A46-Ft!B$2)^2)+Ft!B$7*EXP(Ft!B$40*($A46-Ft!B$2)^2)))</f>
        <v>0.3223380048845027</v>
      </c>
      <c r="G46" s="3">
        <f>IF(($A46-Ft!C$2)&lt;0,Ft!C$3*((1-Ft!C$6)/(1+Ft!C$37*($A46-Ft!C$2)^2)+Ft!C$6*EXP(Ft!C$38*($A46-Ft!C$2)^2)),Ft!C$3*((1-Ft!C$7)/(1+Ft!C$39*($A46-Ft!C$2)^2)+Ft!C$7*EXP(Ft!C$40*($A46-Ft!C$2)^2)))</f>
        <v>7.3895499539157594</v>
      </c>
      <c r="H46" s="3">
        <f>IF(($A46-Ft!D$2)&lt;0,Ft!D$3*((1-Ft!D$6)/(1+Ft!D$37*($A46-Ft!D$2)^2)+Ft!D$6*EXP(Ft!D$38*($A46-Ft!D$2)^2)),Ft!D$3*((1-Ft!D$7)/(1+Ft!D$39*($A46-Ft!D$2)^2)+Ft!D$7*EXP(Ft!D$40*($A46-Ft!D$2)^2)))</f>
        <v>1.6738539173413425</v>
      </c>
      <c r="I46" s="3">
        <f>IF(($A46-Ft!E$2)&lt;0,Ft!E$3*((1-Ft!E$6)/(1+Ft!E$37*($A46-Ft!E$2)^2)+Ft!E$6*EXP(Ft!E$38*($A46-Ft!E$2)^2)),Ft!E$3*((1-Ft!E$7)/(1+Ft!E$39*($A46-Ft!E$2)^2)+Ft!E$7*EXP(Ft!E$40*($A46-Ft!E$2)^2)))</f>
        <v>1.9707018396784109E-5</v>
      </c>
      <c r="J46" s="3">
        <f>IF(($A46-Ft!F$2)&lt;0,Ft!F$3*((1-Ft!F$6)/(1+Ft!F$37*($A46-Ft!F$2)^2)+Ft!F$6*EXP(Ft!F$38*($A46-Ft!F$2)^2)),Ft!F$3*((1-Ft!F$7)/(1+Ft!F$39*($A46-Ft!F$2)^2)+Ft!F$7*EXP(Ft!F$40*($A46-Ft!F$2)^2)))</f>
        <v>2.102040142299447E-97</v>
      </c>
      <c r="K46" s="3">
        <f>IF(($A46-Ft!G$2)&lt;0,Ft!G$3*((1-Ft!G$6)/(1+Ft!G$37*($A46-Ft!G$2)^2)+Ft!G$6*EXP(Ft!G$38*($A46-Ft!G$2)^2)),Ft!G$3*((1-Ft!G$7)/(1+Ft!G$39*($A46-Ft!G$2)^2)+Ft!G$7*EXP(Ft!G$40*($A46-Ft!G$2)^2)))</f>
        <v>0</v>
      </c>
      <c r="L46" s="3">
        <f>IF(($A46-Ft!H$2)&lt;0,Ft!H$3*((1-Ft!H$6)/(1+Ft!H$37*($A46-Ft!H$2)^2)+Ft!H$6*EXP(Ft!H$38*($A46-Ft!H$2)^2)),Ft!H$3*((1-Ft!H$7)/(1+Ft!H$39*($A46-Ft!H$2)^2)+Ft!H$7*EXP(Ft!H$40*($A46-Ft!H$2)^2)))</f>
        <v>0</v>
      </c>
      <c r="M46" s="3">
        <f>IF(($A46-Ft!I$2)&lt;0,Ft!I$3*((1-Ft!I$6)/(1+Ft!I$37*($A46-Ft!I$2)^2)+Ft!I$6*EXP(Ft!I$38*($A46-Ft!I$2)^2)),Ft!I$3*((1-Ft!I$7)/(1+Ft!I$39*($A46-Ft!I$2)^2)+Ft!I$7*EXP(Ft!I$40*($A46-Ft!I$2)^2)))</f>
        <v>0</v>
      </c>
      <c r="N46" s="3">
        <f>IF(($A46-Ft!J$2)&lt;0,Ft!J$3*((1-Ft!J$6)/(1+Ft!J$37*($A46-Ft!J$2)^2)+Ft!J$6*EXP(Ft!J$38*($A46-Ft!J$2)^2)),Ft!J$3*((1-Ft!J$7)/(1+Ft!J$39*($A46-Ft!J$2)^2)+Ft!J$7*EXP(Ft!J$40*($A46-Ft!J$2)^2)))</f>
        <v>0</v>
      </c>
      <c r="O46" s="3">
        <f>IF(($A46-Ft!K$2)&lt;0,Ft!K$3*((1-Ft!K$6)/(1+Ft!K$37*($A46-Ft!K$2)^2)+Ft!K$6*EXP(Ft!K$38*($A46-Ft!K$2)^2)),Ft!K$3*((1-Ft!K$7)/(1+Ft!K$39*($A46-Ft!K$2)^2)+Ft!K$7*EXP(Ft!K$40*($A46-Ft!K$2)^2)))</f>
        <v>0</v>
      </c>
      <c r="P46"/>
      <c r="Q46"/>
    </row>
    <row r="47" spans="1:17">
      <c r="A47">
        <v>90</v>
      </c>
      <c r="B47">
        <v>9.9467017404149942</v>
      </c>
      <c r="C47" s="6">
        <f t="shared" si="1"/>
        <v>9.4866490786210491</v>
      </c>
      <c r="D47" s="19">
        <f t="shared" si="2"/>
        <v>0.21164845162369403</v>
      </c>
      <c r="E47" s="3">
        <f>Ft!$B$12+Ft!$B$14*(Data!A47-Vars!$B$3)</f>
        <v>0</v>
      </c>
      <c r="F47" s="3">
        <f>IF(($A47-Ft!B$2)&lt;0,Ft!B$3*((1-Ft!B$6)/(1+Ft!B$37*($A47-Ft!B$2)^2)+Ft!B$6*EXP(Ft!B$38*($A47-Ft!B$2)^2)),Ft!B$3*((1-Ft!B$7)/(1+Ft!B$39*($A47-Ft!B$2)^2)+Ft!B$7*EXP(Ft!B$40*($A47-Ft!B$2)^2)))</f>
        <v>0.25861380029533709</v>
      </c>
      <c r="G47" s="3">
        <f>IF(($A47-Ft!C$2)&lt;0,Ft!C$3*((1-Ft!C$6)/(1+Ft!C$37*($A47-Ft!C$2)^2)+Ft!C$6*EXP(Ft!C$38*($A47-Ft!C$2)^2)),Ft!C$3*((1-Ft!C$7)/(1+Ft!C$39*($A47-Ft!C$2)^2)+Ft!C$7*EXP(Ft!C$40*($A47-Ft!C$2)^2)))</f>
        <v>7.5096038698775169</v>
      </c>
      <c r="H47" s="3">
        <f>IF(($A47-Ft!D$2)&lt;0,Ft!D$3*((1-Ft!D$6)/(1+Ft!D$37*($A47-Ft!D$2)^2)+Ft!D$6*EXP(Ft!D$38*($A47-Ft!D$2)^2)),Ft!D$3*((1-Ft!D$7)/(1+Ft!D$39*($A47-Ft!D$2)^2)+Ft!D$7*EXP(Ft!D$40*($A47-Ft!D$2)^2)))</f>
        <v>1.7184101910887597</v>
      </c>
      <c r="I47" s="3">
        <f>IF(($A47-Ft!E$2)&lt;0,Ft!E$3*((1-Ft!E$6)/(1+Ft!E$37*($A47-Ft!E$2)^2)+Ft!E$6*EXP(Ft!E$38*($A47-Ft!E$2)^2)),Ft!E$3*((1-Ft!E$7)/(1+Ft!E$39*($A47-Ft!E$2)^2)+Ft!E$7*EXP(Ft!E$40*($A47-Ft!E$2)^2)))</f>
        <v>2.1217359435227282E-5</v>
      </c>
      <c r="J47" s="3">
        <f>IF(($A47-Ft!F$2)&lt;0,Ft!F$3*((1-Ft!F$6)/(1+Ft!F$37*($A47-Ft!F$2)^2)+Ft!F$6*EXP(Ft!F$38*($A47-Ft!F$2)^2)),Ft!F$3*((1-Ft!F$7)/(1+Ft!F$39*($A47-Ft!F$2)^2)+Ft!F$7*EXP(Ft!F$40*($A47-Ft!F$2)^2)))</f>
        <v>5.6079433718875497E-97</v>
      </c>
      <c r="K47" s="3">
        <f>IF(($A47-Ft!G$2)&lt;0,Ft!G$3*((1-Ft!G$6)/(1+Ft!G$37*($A47-Ft!G$2)^2)+Ft!G$6*EXP(Ft!G$38*($A47-Ft!G$2)^2)),Ft!G$3*((1-Ft!G$7)/(1+Ft!G$39*($A47-Ft!G$2)^2)+Ft!G$7*EXP(Ft!G$40*($A47-Ft!G$2)^2)))</f>
        <v>0</v>
      </c>
      <c r="L47" s="3">
        <f>IF(($A47-Ft!H$2)&lt;0,Ft!H$3*((1-Ft!H$6)/(1+Ft!H$37*($A47-Ft!H$2)^2)+Ft!H$6*EXP(Ft!H$38*($A47-Ft!H$2)^2)),Ft!H$3*((1-Ft!H$7)/(1+Ft!H$39*($A47-Ft!H$2)^2)+Ft!H$7*EXP(Ft!H$40*($A47-Ft!H$2)^2)))</f>
        <v>0</v>
      </c>
      <c r="M47" s="3">
        <f>IF(($A47-Ft!I$2)&lt;0,Ft!I$3*((1-Ft!I$6)/(1+Ft!I$37*($A47-Ft!I$2)^2)+Ft!I$6*EXP(Ft!I$38*($A47-Ft!I$2)^2)),Ft!I$3*((1-Ft!I$7)/(1+Ft!I$39*($A47-Ft!I$2)^2)+Ft!I$7*EXP(Ft!I$40*($A47-Ft!I$2)^2)))</f>
        <v>0</v>
      </c>
      <c r="N47" s="3">
        <f>IF(($A47-Ft!J$2)&lt;0,Ft!J$3*((1-Ft!J$6)/(1+Ft!J$37*($A47-Ft!J$2)^2)+Ft!J$6*EXP(Ft!J$38*($A47-Ft!J$2)^2)),Ft!J$3*((1-Ft!J$7)/(1+Ft!J$39*($A47-Ft!J$2)^2)+Ft!J$7*EXP(Ft!J$40*($A47-Ft!J$2)^2)))</f>
        <v>0</v>
      </c>
      <c r="O47" s="3">
        <f>IF(($A47-Ft!K$2)&lt;0,Ft!K$3*((1-Ft!K$6)/(1+Ft!K$37*($A47-Ft!K$2)^2)+Ft!K$6*EXP(Ft!K$38*($A47-Ft!K$2)^2)),Ft!K$3*((1-Ft!K$7)/(1+Ft!K$39*($A47-Ft!K$2)^2)+Ft!K$7*EXP(Ft!K$40*($A47-Ft!K$2)^2)))</f>
        <v>0</v>
      </c>
      <c r="P47"/>
      <c r="Q47"/>
    </row>
    <row r="48" spans="1:17">
      <c r="A48">
        <v>92</v>
      </c>
      <c r="B48">
        <v>10.071123487188999</v>
      </c>
      <c r="C48" s="6">
        <f t="shared" si="1"/>
        <v>9.595975220657138</v>
      </c>
      <c r="D48" s="19">
        <f t="shared" si="2"/>
        <v>0.22576587518823193</v>
      </c>
      <c r="E48" s="3">
        <f>Ft!$B$12+Ft!$B$14*(Data!A48-Vars!$B$3)</f>
        <v>0</v>
      </c>
      <c r="F48" s="3">
        <f>IF(($A48-Ft!B$2)&lt;0,Ft!B$3*((1-Ft!B$6)/(1+Ft!B$37*($A48-Ft!B$2)^2)+Ft!B$6*EXP(Ft!B$38*($A48-Ft!B$2)^2)),Ft!B$3*((1-Ft!B$7)/(1+Ft!B$39*($A48-Ft!B$2)^2)+Ft!B$7*EXP(Ft!B$40*($A48-Ft!B$2)^2)))</f>
        <v>0.20540024622393152</v>
      </c>
      <c r="G48" s="3">
        <f>IF(($A48-Ft!C$2)&lt;0,Ft!C$3*((1-Ft!C$6)/(1+Ft!C$37*($A48-Ft!C$2)^2)+Ft!C$6*EXP(Ft!C$38*($A48-Ft!C$2)^2)),Ft!C$3*((1-Ft!C$7)/(1+Ft!C$39*($A48-Ft!C$2)^2)+Ft!C$7*EXP(Ft!C$40*($A48-Ft!C$2)^2)))</f>
        <v>7.6266532290157967</v>
      </c>
      <c r="H48" s="3">
        <f>IF(($A48-Ft!D$2)&lt;0,Ft!D$3*((1-Ft!D$6)/(1+Ft!D$37*($A48-Ft!D$2)^2)+Ft!D$6*EXP(Ft!D$38*($A48-Ft!D$2)^2)),Ft!D$3*((1-Ft!D$7)/(1+Ft!D$39*($A48-Ft!D$2)^2)+Ft!D$7*EXP(Ft!D$40*($A48-Ft!D$2)^2)))</f>
        <v>1.763898906564022</v>
      </c>
      <c r="I48" s="3">
        <f>IF(($A48-Ft!E$2)&lt;0,Ft!E$3*((1-Ft!E$6)/(1+Ft!E$37*($A48-Ft!E$2)^2)+Ft!E$6*EXP(Ft!E$38*($A48-Ft!E$2)^2)),Ft!E$3*((1-Ft!E$7)/(1+Ft!E$39*($A48-Ft!E$2)^2)+Ft!E$7*EXP(Ft!E$40*($A48-Ft!E$2)^2)))</f>
        <v>2.2838853388349719E-5</v>
      </c>
      <c r="J48" s="3">
        <f>IF(($A48-Ft!F$2)&lt;0,Ft!F$3*((1-Ft!F$6)/(1+Ft!F$37*($A48-Ft!F$2)^2)+Ft!F$6*EXP(Ft!F$38*($A48-Ft!F$2)^2)),Ft!F$3*((1-Ft!F$7)/(1+Ft!F$39*($A48-Ft!F$2)^2)+Ft!F$7*EXP(Ft!F$40*($A48-Ft!F$2)^2)))</f>
        <v>1.4929027149104671E-96</v>
      </c>
      <c r="K48" s="3">
        <f>IF(($A48-Ft!G$2)&lt;0,Ft!G$3*((1-Ft!G$6)/(1+Ft!G$37*($A48-Ft!G$2)^2)+Ft!G$6*EXP(Ft!G$38*($A48-Ft!G$2)^2)),Ft!G$3*((1-Ft!G$7)/(1+Ft!G$39*($A48-Ft!G$2)^2)+Ft!G$7*EXP(Ft!G$40*($A48-Ft!G$2)^2)))</f>
        <v>0</v>
      </c>
      <c r="L48" s="3">
        <f>IF(($A48-Ft!H$2)&lt;0,Ft!H$3*((1-Ft!H$6)/(1+Ft!H$37*($A48-Ft!H$2)^2)+Ft!H$6*EXP(Ft!H$38*($A48-Ft!H$2)^2)),Ft!H$3*((1-Ft!H$7)/(1+Ft!H$39*($A48-Ft!H$2)^2)+Ft!H$7*EXP(Ft!H$40*($A48-Ft!H$2)^2)))</f>
        <v>0</v>
      </c>
      <c r="M48" s="3">
        <f>IF(($A48-Ft!I$2)&lt;0,Ft!I$3*((1-Ft!I$6)/(1+Ft!I$37*($A48-Ft!I$2)^2)+Ft!I$6*EXP(Ft!I$38*($A48-Ft!I$2)^2)),Ft!I$3*((1-Ft!I$7)/(1+Ft!I$39*($A48-Ft!I$2)^2)+Ft!I$7*EXP(Ft!I$40*($A48-Ft!I$2)^2)))</f>
        <v>0</v>
      </c>
      <c r="N48" s="3">
        <f>IF(($A48-Ft!J$2)&lt;0,Ft!J$3*((1-Ft!J$6)/(1+Ft!J$37*($A48-Ft!J$2)^2)+Ft!J$6*EXP(Ft!J$38*($A48-Ft!J$2)^2)),Ft!J$3*((1-Ft!J$7)/(1+Ft!J$39*($A48-Ft!J$2)^2)+Ft!J$7*EXP(Ft!J$40*($A48-Ft!J$2)^2)))</f>
        <v>0</v>
      </c>
      <c r="O48" s="3">
        <f>IF(($A48-Ft!K$2)&lt;0,Ft!K$3*((1-Ft!K$6)/(1+Ft!K$37*($A48-Ft!K$2)^2)+Ft!K$6*EXP(Ft!K$38*($A48-Ft!K$2)^2)),Ft!K$3*((1-Ft!K$7)/(1+Ft!K$39*($A48-Ft!K$2)^2)+Ft!K$7*EXP(Ft!K$40*($A48-Ft!K$2)^2)))</f>
        <v>0</v>
      </c>
      <c r="P48"/>
      <c r="Q48"/>
    </row>
    <row r="49" spans="1:17">
      <c r="A49">
        <v>94</v>
      </c>
      <c r="B49">
        <v>10.197058186788993</v>
      </c>
      <c r="C49" s="6">
        <f t="shared" si="1"/>
        <v>9.7123491796320707</v>
      </c>
      <c r="D49" s="19">
        <f t="shared" si="2"/>
        <v>0.2349428216190497</v>
      </c>
      <c r="E49" s="3">
        <f>Ft!$B$12+Ft!$B$14*(Data!A49-Vars!$B$3)</f>
        <v>0</v>
      </c>
      <c r="F49" s="3">
        <f>IF(($A49-Ft!B$2)&lt;0,Ft!B$3*((1-Ft!B$6)/(1+Ft!B$37*($A49-Ft!B$2)^2)+Ft!B$6*EXP(Ft!B$38*($A49-Ft!B$2)^2)),Ft!B$3*((1-Ft!B$7)/(1+Ft!B$39*($A49-Ft!B$2)^2)+Ft!B$7*EXP(Ft!B$40*($A49-Ft!B$2)^2)))</f>
        <v>0.16149508315942354</v>
      </c>
      <c r="G49" s="3">
        <f>IF(($A49-Ft!C$2)&lt;0,Ft!C$3*((1-Ft!C$6)/(1+Ft!C$37*($A49-Ft!C$2)^2)+Ft!C$6*EXP(Ft!C$38*($A49-Ft!C$2)^2)),Ft!C$3*((1-Ft!C$7)/(1+Ft!C$39*($A49-Ft!C$2)^2)+Ft!C$7*EXP(Ft!C$40*($A49-Ft!C$2)^2)))</f>
        <v>7.7404980216472241</v>
      </c>
      <c r="H49" s="3">
        <f>IF(($A49-Ft!D$2)&lt;0,Ft!D$3*((1-Ft!D$6)/(1+Ft!D$37*($A49-Ft!D$2)^2)+Ft!D$6*EXP(Ft!D$38*($A49-Ft!D$2)^2)),Ft!D$3*((1-Ft!D$7)/(1+Ft!D$39*($A49-Ft!D$2)^2)+Ft!D$7*EXP(Ft!D$40*($A49-Ft!D$2)^2)))</f>
        <v>1.8103314955084147</v>
      </c>
      <c r="I49" s="3">
        <f>IF(($A49-Ft!E$2)&lt;0,Ft!E$3*((1-Ft!E$6)/(1+Ft!E$37*($A49-Ft!E$2)^2)+Ft!E$6*EXP(Ft!E$38*($A49-Ft!E$2)^2)),Ft!E$3*((1-Ft!E$7)/(1+Ft!E$39*($A49-Ft!E$2)^2)+Ft!E$7*EXP(Ft!E$40*($A49-Ft!E$2)^2)))</f>
        <v>2.4579317008001534E-5</v>
      </c>
      <c r="J49" s="3">
        <f>IF(($A49-Ft!F$2)&lt;0,Ft!F$3*((1-Ft!F$6)/(1+Ft!F$37*($A49-Ft!F$2)^2)+Ft!F$6*EXP(Ft!F$38*($A49-Ft!F$2)^2)),Ft!F$3*((1-Ft!F$7)/(1+Ft!F$39*($A49-Ft!F$2)^2)+Ft!F$7*EXP(Ft!F$40*($A49-Ft!F$2)^2)))</f>
        <v>3.9657439490136934E-96</v>
      </c>
      <c r="K49" s="3">
        <f>IF(($A49-Ft!G$2)&lt;0,Ft!G$3*((1-Ft!G$6)/(1+Ft!G$37*($A49-Ft!G$2)^2)+Ft!G$6*EXP(Ft!G$38*($A49-Ft!G$2)^2)),Ft!G$3*((1-Ft!G$7)/(1+Ft!G$39*($A49-Ft!G$2)^2)+Ft!G$7*EXP(Ft!G$40*($A49-Ft!G$2)^2)))</f>
        <v>0</v>
      </c>
      <c r="L49" s="3">
        <f>IF(($A49-Ft!H$2)&lt;0,Ft!H$3*((1-Ft!H$6)/(1+Ft!H$37*($A49-Ft!H$2)^2)+Ft!H$6*EXP(Ft!H$38*($A49-Ft!H$2)^2)),Ft!H$3*((1-Ft!H$7)/(1+Ft!H$39*($A49-Ft!H$2)^2)+Ft!H$7*EXP(Ft!H$40*($A49-Ft!H$2)^2)))</f>
        <v>0</v>
      </c>
      <c r="M49" s="3">
        <f>IF(($A49-Ft!I$2)&lt;0,Ft!I$3*((1-Ft!I$6)/(1+Ft!I$37*($A49-Ft!I$2)^2)+Ft!I$6*EXP(Ft!I$38*($A49-Ft!I$2)^2)),Ft!I$3*((1-Ft!I$7)/(1+Ft!I$39*($A49-Ft!I$2)^2)+Ft!I$7*EXP(Ft!I$40*($A49-Ft!I$2)^2)))</f>
        <v>0</v>
      </c>
      <c r="N49" s="3">
        <f>IF(($A49-Ft!J$2)&lt;0,Ft!J$3*((1-Ft!J$6)/(1+Ft!J$37*($A49-Ft!J$2)^2)+Ft!J$6*EXP(Ft!J$38*($A49-Ft!J$2)^2)),Ft!J$3*((1-Ft!J$7)/(1+Ft!J$39*($A49-Ft!J$2)^2)+Ft!J$7*EXP(Ft!J$40*($A49-Ft!J$2)^2)))</f>
        <v>0</v>
      </c>
      <c r="O49" s="3">
        <f>IF(($A49-Ft!K$2)&lt;0,Ft!K$3*((1-Ft!K$6)/(1+Ft!K$37*($A49-Ft!K$2)^2)+Ft!K$6*EXP(Ft!K$38*($A49-Ft!K$2)^2)),Ft!K$3*((1-Ft!K$7)/(1+Ft!K$39*($A49-Ft!K$2)^2)+Ft!K$7*EXP(Ft!K$40*($A49-Ft!K$2)^2)))</f>
        <v>0</v>
      </c>
      <c r="P49"/>
      <c r="Q49"/>
    </row>
    <row r="50" spans="1:17">
      <c r="A50">
        <v>96</v>
      </c>
      <c r="B50">
        <v>10.321183511645998</v>
      </c>
      <c r="C50" s="6">
        <f t="shared" si="1"/>
        <v>9.8343847282645598</v>
      </c>
      <c r="D50" s="19">
        <f t="shared" si="2"/>
        <v>0.23697305550164841</v>
      </c>
      <c r="E50" s="3">
        <f>Ft!$B$12+Ft!$B$14*(Data!A50-Vars!$B$3)</f>
        <v>0</v>
      </c>
      <c r="F50" s="3">
        <f>IF(($A50-Ft!B$2)&lt;0,Ft!B$3*((1-Ft!B$6)/(1+Ft!B$37*($A50-Ft!B$2)^2)+Ft!B$6*EXP(Ft!B$38*($A50-Ft!B$2)^2)),Ft!B$3*((1-Ft!B$7)/(1+Ft!B$39*($A50-Ft!B$2)^2)+Ft!B$7*EXP(Ft!B$40*($A50-Ft!B$2)^2)))</f>
        <v>0.12569752600770701</v>
      </c>
      <c r="G50" s="3">
        <f>IF(($A50-Ft!C$2)&lt;0,Ft!C$3*((1-Ft!C$6)/(1+Ft!C$37*($A50-Ft!C$2)^2)+Ft!C$6*EXP(Ft!C$38*($A50-Ft!C$2)^2)),Ft!C$3*((1-Ft!C$7)/(1+Ft!C$39*($A50-Ft!C$2)^2)+Ft!C$7*EXP(Ft!C$40*($A50-Ft!C$2)^2)))</f>
        <v>7.8509414761403393</v>
      </c>
      <c r="H50" s="3">
        <f>IF(($A50-Ft!D$2)&lt;0,Ft!D$3*((1-Ft!D$6)/(1+Ft!D$37*($A50-Ft!D$2)^2)+Ft!D$6*EXP(Ft!D$38*($A50-Ft!D$2)^2)),Ft!D$3*((1-Ft!D$7)/(1+Ft!D$39*($A50-Ft!D$2)^2)+Ft!D$7*EXP(Ft!D$40*($A50-Ft!D$2)^2)))</f>
        <v>1.8577192790275319</v>
      </c>
      <c r="I50" s="3">
        <f>IF(($A50-Ft!E$2)&lt;0,Ft!E$3*((1-Ft!E$6)/(1+Ft!E$37*($A50-Ft!E$2)^2)+Ft!E$6*EXP(Ft!E$38*($A50-Ft!E$2)^2)),Ft!E$3*((1-Ft!E$7)/(1+Ft!E$39*($A50-Ft!E$2)^2)+Ft!E$7*EXP(Ft!E$40*($A50-Ft!E$2)^2)))</f>
        <v>2.6447088981082278E-5</v>
      </c>
      <c r="J50" s="3">
        <f>IF(($A50-Ft!F$2)&lt;0,Ft!F$3*((1-Ft!F$6)/(1+Ft!F$37*($A50-Ft!F$2)^2)+Ft!F$6*EXP(Ft!F$38*($A50-Ft!F$2)^2)),Ft!F$3*((1-Ft!F$7)/(1+Ft!F$39*($A50-Ft!F$2)^2)+Ft!F$7*EXP(Ft!F$40*($A50-Ft!F$2)^2)))</f>
        <v>1.0511945651182026E-95</v>
      </c>
      <c r="K50" s="3">
        <f>IF(($A50-Ft!G$2)&lt;0,Ft!G$3*((1-Ft!G$6)/(1+Ft!G$37*($A50-Ft!G$2)^2)+Ft!G$6*EXP(Ft!G$38*($A50-Ft!G$2)^2)),Ft!G$3*((1-Ft!G$7)/(1+Ft!G$39*($A50-Ft!G$2)^2)+Ft!G$7*EXP(Ft!G$40*($A50-Ft!G$2)^2)))</f>
        <v>0</v>
      </c>
      <c r="L50" s="3">
        <f>IF(($A50-Ft!H$2)&lt;0,Ft!H$3*((1-Ft!H$6)/(1+Ft!H$37*($A50-Ft!H$2)^2)+Ft!H$6*EXP(Ft!H$38*($A50-Ft!H$2)^2)),Ft!H$3*((1-Ft!H$7)/(1+Ft!H$39*($A50-Ft!H$2)^2)+Ft!H$7*EXP(Ft!H$40*($A50-Ft!H$2)^2)))</f>
        <v>0</v>
      </c>
      <c r="M50" s="3">
        <f>IF(($A50-Ft!I$2)&lt;0,Ft!I$3*((1-Ft!I$6)/(1+Ft!I$37*($A50-Ft!I$2)^2)+Ft!I$6*EXP(Ft!I$38*($A50-Ft!I$2)^2)),Ft!I$3*((1-Ft!I$7)/(1+Ft!I$39*($A50-Ft!I$2)^2)+Ft!I$7*EXP(Ft!I$40*($A50-Ft!I$2)^2)))</f>
        <v>0</v>
      </c>
      <c r="N50" s="3">
        <f>IF(($A50-Ft!J$2)&lt;0,Ft!J$3*((1-Ft!J$6)/(1+Ft!J$37*($A50-Ft!J$2)^2)+Ft!J$6*EXP(Ft!J$38*($A50-Ft!J$2)^2)),Ft!J$3*((1-Ft!J$7)/(1+Ft!J$39*($A50-Ft!J$2)^2)+Ft!J$7*EXP(Ft!J$40*($A50-Ft!J$2)^2)))</f>
        <v>0</v>
      </c>
      <c r="O50" s="3">
        <f>IF(($A50-Ft!K$2)&lt;0,Ft!K$3*((1-Ft!K$6)/(1+Ft!K$37*($A50-Ft!K$2)^2)+Ft!K$6*EXP(Ft!K$38*($A50-Ft!K$2)^2)),Ft!K$3*((1-Ft!K$7)/(1+Ft!K$39*($A50-Ft!K$2)^2)+Ft!K$7*EXP(Ft!K$40*($A50-Ft!K$2)^2)))</f>
        <v>0</v>
      </c>
      <c r="P50"/>
      <c r="Q50"/>
    </row>
    <row r="51" spans="1:17">
      <c r="A51">
        <v>98</v>
      </c>
      <c r="B51">
        <v>10.440177134194002</v>
      </c>
      <c r="C51" s="6">
        <f t="shared" si="1"/>
        <v>9.9607433364866846</v>
      </c>
      <c r="D51" s="19">
        <f t="shared" si="2"/>
        <v>0.22985676638406086</v>
      </c>
      <c r="E51" s="3">
        <f>Ft!$B$12+Ft!$B$14*(Data!A51-Vars!$B$3)</f>
        <v>0</v>
      </c>
      <c r="F51" s="3">
        <f>IF(($A51-Ft!B$2)&lt;0,Ft!B$3*((1-Ft!B$6)/(1+Ft!B$37*($A51-Ft!B$2)^2)+Ft!B$6*EXP(Ft!B$38*($A51-Ft!B$2)^2)),Ft!B$3*((1-Ft!B$7)/(1+Ft!B$39*($A51-Ft!B$2)^2)+Ft!B$7*EXP(Ft!B$40*($A51-Ft!B$2)^2)))</f>
        <v>9.6850805344179447E-2</v>
      </c>
      <c r="G51" s="3">
        <f>IF(($A51-Ft!C$2)&lt;0,Ft!C$3*((1-Ft!C$6)/(1+Ft!C$37*($A51-Ft!C$2)^2)+Ft!C$6*EXP(Ft!C$38*($A51-Ft!C$2)^2)),Ft!C$3*((1-Ft!C$7)/(1+Ft!C$39*($A51-Ft!C$2)^2)+Ft!C$7*EXP(Ft!C$40*($A51-Ft!C$2)^2)))</f>
        <v>7.9577906219955095</v>
      </c>
      <c r="H51" s="3">
        <f>IF(($A51-Ft!D$2)&lt;0,Ft!D$3*((1-Ft!D$6)/(1+Ft!D$37*($A51-Ft!D$2)^2)+Ft!D$6*EXP(Ft!D$38*($A51-Ft!D$2)^2)),Ft!D$3*((1-Ft!D$7)/(1+Ft!D$39*($A51-Ft!D$2)^2)+Ft!D$7*EXP(Ft!D$40*($A51-Ft!D$2)^2)))</f>
        <v>1.9060734580842618</v>
      </c>
      <c r="I51" s="3">
        <f>IF(($A51-Ft!E$2)&lt;0,Ft!E$3*((1-Ft!E$6)/(1+Ft!E$37*($A51-Ft!E$2)^2)+Ft!E$6*EXP(Ft!E$38*($A51-Ft!E$2)^2)),Ft!E$3*((1-Ft!E$7)/(1+Ft!E$39*($A51-Ft!E$2)^2)+Ft!E$7*EXP(Ft!E$40*($A51-Ft!E$2)^2)))</f>
        <v>2.8451062733534156E-5</v>
      </c>
      <c r="J51" s="3">
        <f>IF(($A51-Ft!F$2)&lt;0,Ft!F$3*((1-Ft!F$6)/(1+Ft!F$37*($A51-Ft!F$2)^2)+Ft!F$6*EXP(Ft!F$38*($A51-Ft!F$2)^2)),Ft!F$3*((1-Ft!F$7)/(1+Ft!F$39*($A51-Ft!F$2)^2)+Ft!F$7*EXP(Ft!F$40*($A51-Ft!F$2)^2)))</f>
        <v>2.780397040496888E-95</v>
      </c>
      <c r="K51" s="3">
        <f>IF(($A51-Ft!G$2)&lt;0,Ft!G$3*((1-Ft!G$6)/(1+Ft!G$37*($A51-Ft!G$2)^2)+Ft!G$6*EXP(Ft!G$38*($A51-Ft!G$2)^2)),Ft!G$3*((1-Ft!G$7)/(1+Ft!G$39*($A51-Ft!G$2)^2)+Ft!G$7*EXP(Ft!G$40*($A51-Ft!G$2)^2)))</f>
        <v>0</v>
      </c>
      <c r="L51" s="3">
        <f>IF(($A51-Ft!H$2)&lt;0,Ft!H$3*((1-Ft!H$6)/(1+Ft!H$37*($A51-Ft!H$2)^2)+Ft!H$6*EXP(Ft!H$38*($A51-Ft!H$2)^2)),Ft!H$3*((1-Ft!H$7)/(1+Ft!H$39*($A51-Ft!H$2)^2)+Ft!H$7*EXP(Ft!H$40*($A51-Ft!H$2)^2)))</f>
        <v>0</v>
      </c>
      <c r="M51" s="3">
        <f>IF(($A51-Ft!I$2)&lt;0,Ft!I$3*((1-Ft!I$6)/(1+Ft!I$37*($A51-Ft!I$2)^2)+Ft!I$6*EXP(Ft!I$38*($A51-Ft!I$2)^2)),Ft!I$3*((1-Ft!I$7)/(1+Ft!I$39*($A51-Ft!I$2)^2)+Ft!I$7*EXP(Ft!I$40*($A51-Ft!I$2)^2)))</f>
        <v>0</v>
      </c>
      <c r="N51" s="3">
        <f>IF(($A51-Ft!J$2)&lt;0,Ft!J$3*((1-Ft!J$6)/(1+Ft!J$37*($A51-Ft!J$2)^2)+Ft!J$6*EXP(Ft!J$38*($A51-Ft!J$2)^2)),Ft!J$3*((1-Ft!J$7)/(1+Ft!J$39*($A51-Ft!J$2)^2)+Ft!J$7*EXP(Ft!J$40*($A51-Ft!J$2)^2)))</f>
        <v>0</v>
      </c>
      <c r="O51" s="3">
        <f>IF(($A51-Ft!K$2)&lt;0,Ft!K$3*((1-Ft!K$6)/(1+Ft!K$37*($A51-Ft!K$2)^2)+Ft!K$6*EXP(Ft!K$38*($A51-Ft!K$2)^2)),Ft!K$3*((1-Ft!K$7)/(1+Ft!K$39*($A51-Ft!K$2)^2)+Ft!K$7*EXP(Ft!K$40*($A51-Ft!K$2)^2)))</f>
        <v>0</v>
      </c>
      <c r="P51"/>
      <c r="Q51"/>
    </row>
    <row r="52" spans="1:17">
      <c r="A52">
        <v>100</v>
      </c>
      <c r="B52">
        <v>10.550716726863001</v>
      </c>
      <c r="C52" s="6">
        <f t="shared" si="1"/>
        <v>10.090166078454144</v>
      </c>
      <c r="D52" s="19">
        <f t="shared" si="2"/>
        <v>0.21210689974981847</v>
      </c>
      <c r="E52" s="3">
        <f>Ft!$B$12+Ft!$B$14*(Data!A52-Vars!$B$3)</f>
        <v>0</v>
      </c>
      <c r="F52" s="3">
        <f>IF(($A52-Ft!B$2)&lt;0,Ft!B$3*((1-Ft!B$6)/(1+Ft!B$37*($A52-Ft!B$2)^2)+Ft!B$6*EXP(Ft!B$38*($A52-Ft!B$2)^2)),Ft!B$3*((1-Ft!B$7)/(1+Ft!B$39*($A52-Ft!B$2)^2)+Ft!B$7*EXP(Ft!B$40*($A52-Ft!B$2)^2)))</f>
        <v>7.3873525187372058E-2</v>
      </c>
      <c r="G52" s="3">
        <f>IF(($A52-Ft!C$2)&lt;0,Ft!C$3*((1-Ft!C$6)/(1+Ft!C$37*($A52-Ft!C$2)^2)+Ft!C$6*EXP(Ft!C$38*($A52-Ft!C$2)^2)),Ft!C$3*((1-Ft!C$7)/(1+Ft!C$39*($A52-Ft!C$2)^2)+Ft!C$7*EXP(Ft!C$40*($A52-Ft!C$2)^2)))</f>
        <v>8.0608568487159129</v>
      </c>
      <c r="H52" s="3">
        <f>IF(($A52-Ft!D$2)&lt;0,Ft!D$3*((1-Ft!D$6)/(1+Ft!D$37*($A52-Ft!D$2)^2)+Ft!D$6*EXP(Ft!D$38*($A52-Ft!D$2)^2)),Ft!D$3*((1-Ft!D$7)/(1+Ft!D$39*($A52-Ft!D$2)^2)+Ft!D$7*EXP(Ft!D$40*($A52-Ft!D$2)^2)))</f>
        <v>1.9554051038297091</v>
      </c>
      <c r="I52" s="3">
        <f>IF(($A52-Ft!E$2)&lt;0,Ft!E$3*((1-Ft!E$6)/(1+Ft!E$37*($A52-Ft!E$2)^2)+Ft!E$6*EXP(Ft!E$38*($A52-Ft!E$2)^2)),Ft!E$3*((1-Ft!E$7)/(1+Ft!E$39*($A52-Ft!E$2)^2)+Ft!E$7*EXP(Ft!E$40*($A52-Ft!E$2)^2)))</f>
        <v>3.0600721151046416E-5</v>
      </c>
      <c r="J52" s="3">
        <f>IF(($A52-Ft!F$2)&lt;0,Ft!F$3*((1-Ft!F$6)/(1+Ft!F$37*($A52-Ft!F$2)^2)+Ft!F$6*EXP(Ft!F$38*($A52-Ft!F$2)^2)),Ft!F$3*((1-Ft!F$7)/(1+Ft!F$39*($A52-Ft!F$2)^2)+Ft!F$7*EXP(Ft!F$40*($A52-Ft!F$2)^2)))</f>
        <v>7.3383057467200884E-95</v>
      </c>
      <c r="K52" s="3">
        <f>IF(($A52-Ft!G$2)&lt;0,Ft!G$3*((1-Ft!G$6)/(1+Ft!G$37*($A52-Ft!G$2)^2)+Ft!G$6*EXP(Ft!G$38*($A52-Ft!G$2)^2)),Ft!G$3*((1-Ft!G$7)/(1+Ft!G$39*($A52-Ft!G$2)^2)+Ft!G$7*EXP(Ft!G$40*($A52-Ft!G$2)^2)))</f>
        <v>0</v>
      </c>
      <c r="L52" s="3">
        <f>IF(($A52-Ft!H$2)&lt;0,Ft!H$3*((1-Ft!H$6)/(1+Ft!H$37*($A52-Ft!H$2)^2)+Ft!H$6*EXP(Ft!H$38*($A52-Ft!H$2)^2)),Ft!H$3*((1-Ft!H$7)/(1+Ft!H$39*($A52-Ft!H$2)^2)+Ft!H$7*EXP(Ft!H$40*($A52-Ft!H$2)^2)))</f>
        <v>0</v>
      </c>
      <c r="M52" s="3">
        <f>IF(($A52-Ft!I$2)&lt;0,Ft!I$3*((1-Ft!I$6)/(1+Ft!I$37*($A52-Ft!I$2)^2)+Ft!I$6*EXP(Ft!I$38*($A52-Ft!I$2)^2)),Ft!I$3*((1-Ft!I$7)/(1+Ft!I$39*($A52-Ft!I$2)^2)+Ft!I$7*EXP(Ft!I$40*($A52-Ft!I$2)^2)))</f>
        <v>0</v>
      </c>
      <c r="N52" s="3">
        <f>IF(($A52-Ft!J$2)&lt;0,Ft!J$3*((1-Ft!J$6)/(1+Ft!J$37*($A52-Ft!J$2)^2)+Ft!J$6*EXP(Ft!J$38*($A52-Ft!J$2)^2)),Ft!J$3*((1-Ft!J$7)/(1+Ft!J$39*($A52-Ft!J$2)^2)+Ft!J$7*EXP(Ft!J$40*($A52-Ft!J$2)^2)))</f>
        <v>0</v>
      </c>
      <c r="O52" s="3">
        <f>IF(($A52-Ft!K$2)&lt;0,Ft!K$3*((1-Ft!K$6)/(1+Ft!K$37*($A52-Ft!K$2)^2)+Ft!K$6*EXP(Ft!K$38*($A52-Ft!K$2)^2)),Ft!K$3*((1-Ft!K$7)/(1+Ft!K$39*($A52-Ft!K$2)^2)+Ft!K$7*EXP(Ft!K$40*($A52-Ft!K$2)^2)))</f>
        <v>0</v>
      </c>
      <c r="P52"/>
      <c r="Q52"/>
    </row>
    <row r="53" spans="1:17">
      <c r="A53">
        <v>102</v>
      </c>
      <c r="B53">
        <v>10.651994276756994</v>
      </c>
      <c r="C53" s="6">
        <f t="shared" si="1"/>
        <v>10.221495152057487</v>
      </c>
      <c r="D53" s="19">
        <f t="shared" si="2"/>
        <v>0.1853294963670416</v>
      </c>
      <c r="E53" s="3">
        <f>Ft!$B$12+Ft!$B$14*(Data!A53-Vars!$B$3)</f>
        <v>0</v>
      </c>
      <c r="F53" s="3">
        <f>IF(($A53-Ft!B$2)&lt;0,Ft!B$3*((1-Ft!B$6)/(1+Ft!B$37*($A53-Ft!B$2)^2)+Ft!B$6*EXP(Ft!B$38*($A53-Ft!B$2)^2)),Ft!B$3*((1-Ft!B$7)/(1+Ft!B$39*($A53-Ft!B$2)^2)+Ft!B$7*EXP(Ft!B$40*($A53-Ft!B$2)^2)))</f>
        <v>5.5780639890163027E-2</v>
      </c>
      <c r="G53" s="3">
        <f>IF(($A53-Ft!C$2)&lt;0,Ft!C$3*((1-Ft!C$6)/(1+Ft!C$37*($A53-Ft!C$2)^2)+Ft!C$6*EXP(Ft!C$38*($A53-Ft!C$2)^2)),Ft!C$3*((1-Ft!C$7)/(1+Ft!C$39*($A53-Ft!C$2)^2)+Ft!C$7*EXP(Ft!C$40*($A53-Ft!C$2)^2)))</f>
        <v>8.1599564582177546</v>
      </c>
      <c r="H53" s="3">
        <f>IF(($A53-Ft!D$2)&lt;0,Ft!D$3*((1-Ft!D$6)/(1+Ft!D$37*($A53-Ft!D$2)^2)+Ft!D$6*EXP(Ft!D$38*($A53-Ft!D$2)^2)),Ft!D$3*((1-Ft!D$7)/(1+Ft!D$39*($A53-Ft!D$2)^2)+Ft!D$7*EXP(Ft!D$40*($A53-Ft!D$2)^2)))</f>
        <v>2.0057251477762517</v>
      </c>
      <c r="I53" s="3">
        <f>IF(($A53-Ft!E$2)&lt;0,Ft!E$3*((1-Ft!E$6)/(1+Ft!E$37*($A53-Ft!E$2)^2)+Ft!E$6*EXP(Ft!E$38*($A53-Ft!E$2)^2)),Ft!E$3*((1-Ft!E$7)/(1+Ft!E$39*($A53-Ft!E$2)^2)+Ft!E$7*EXP(Ft!E$40*($A53-Ft!E$2)^2)))</f>
        <v>3.2906173318591554E-5</v>
      </c>
      <c r="J53" s="3">
        <f>IF(($A53-Ft!F$2)&lt;0,Ft!F$3*((1-Ft!F$6)/(1+Ft!F$37*($A53-Ft!F$2)^2)+Ft!F$6*EXP(Ft!F$38*($A53-Ft!F$2)^2)),Ft!F$3*((1-Ft!F$7)/(1+Ft!F$39*($A53-Ft!F$2)^2)+Ft!F$7*EXP(Ft!F$40*($A53-Ft!F$2)^2)))</f>
        <v>1.9326359841119078E-94</v>
      </c>
      <c r="K53" s="3">
        <f>IF(($A53-Ft!G$2)&lt;0,Ft!G$3*((1-Ft!G$6)/(1+Ft!G$37*($A53-Ft!G$2)^2)+Ft!G$6*EXP(Ft!G$38*($A53-Ft!G$2)^2)),Ft!G$3*((1-Ft!G$7)/(1+Ft!G$39*($A53-Ft!G$2)^2)+Ft!G$7*EXP(Ft!G$40*($A53-Ft!G$2)^2)))</f>
        <v>0</v>
      </c>
      <c r="L53" s="3">
        <f>IF(($A53-Ft!H$2)&lt;0,Ft!H$3*((1-Ft!H$6)/(1+Ft!H$37*($A53-Ft!H$2)^2)+Ft!H$6*EXP(Ft!H$38*($A53-Ft!H$2)^2)),Ft!H$3*((1-Ft!H$7)/(1+Ft!H$39*($A53-Ft!H$2)^2)+Ft!H$7*EXP(Ft!H$40*($A53-Ft!H$2)^2)))</f>
        <v>0</v>
      </c>
      <c r="M53" s="3">
        <f>IF(($A53-Ft!I$2)&lt;0,Ft!I$3*((1-Ft!I$6)/(1+Ft!I$37*($A53-Ft!I$2)^2)+Ft!I$6*EXP(Ft!I$38*($A53-Ft!I$2)^2)),Ft!I$3*((1-Ft!I$7)/(1+Ft!I$39*($A53-Ft!I$2)^2)+Ft!I$7*EXP(Ft!I$40*($A53-Ft!I$2)^2)))</f>
        <v>0</v>
      </c>
      <c r="N53" s="3">
        <f>IF(($A53-Ft!J$2)&lt;0,Ft!J$3*((1-Ft!J$6)/(1+Ft!J$37*($A53-Ft!J$2)^2)+Ft!J$6*EXP(Ft!J$38*($A53-Ft!J$2)^2)),Ft!J$3*((1-Ft!J$7)/(1+Ft!J$39*($A53-Ft!J$2)^2)+Ft!J$7*EXP(Ft!J$40*($A53-Ft!J$2)^2)))</f>
        <v>0</v>
      </c>
      <c r="O53" s="3">
        <f>IF(($A53-Ft!K$2)&lt;0,Ft!K$3*((1-Ft!K$6)/(1+Ft!K$37*($A53-Ft!K$2)^2)+Ft!K$6*EXP(Ft!K$38*($A53-Ft!K$2)^2)),Ft!K$3*((1-Ft!K$7)/(1+Ft!K$39*($A53-Ft!K$2)^2)+Ft!K$7*EXP(Ft!K$40*($A53-Ft!K$2)^2)))</f>
        <v>0</v>
      </c>
      <c r="P53"/>
      <c r="Q53"/>
    </row>
    <row r="54" spans="1:17">
      <c r="A54">
        <v>104</v>
      </c>
      <c r="B54">
        <v>10.756192601509994</v>
      </c>
      <c r="C54" s="6">
        <f t="shared" si="1"/>
        <v>10.353686271807993</v>
      </c>
      <c r="D54" s="19">
        <f t="shared" si="2"/>
        <v>0.16201134545017634</v>
      </c>
      <c r="E54" s="3">
        <f>Ft!$B$12+Ft!$B$14*(Data!A54-Vars!$B$3)</f>
        <v>0</v>
      </c>
      <c r="F54" s="3">
        <f>IF(($A54-Ft!B$2)&lt;0,Ft!B$3*((1-Ft!B$6)/(1+Ft!B$37*($A54-Ft!B$2)^2)+Ft!B$6*EXP(Ft!B$38*($A54-Ft!B$2)^2)),Ft!B$3*((1-Ft!B$7)/(1+Ft!B$39*($A54-Ft!B$2)^2)+Ft!B$7*EXP(Ft!B$40*($A54-Ft!B$2)^2)))</f>
        <v>4.1695313271368765E-2</v>
      </c>
      <c r="G54" s="3">
        <f>IF(($A54-Ft!C$2)&lt;0,Ft!C$3*((1-Ft!C$6)/(1+Ft!C$37*($A54-Ft!C$2)^2)+Ft!C$6*EXP(Ft!C$38*($A54-Ft!C$2)^2)),Ft!C$3*((1-Ft!C$7)/(1+Ft!C$39*($A54-Ft!C$2)^2)+Ft!C$7*EXP(Ft!C$40*($A54-Ft!C$2)^2)))</f>
        <v>8.2549112085260248</v>
      </c>
      <c r="H54" s="3">
        <f>IF(($A54-Ft!D$2)&lt;0,Ft!D$3*((1-Ft!D$6)/(1+Ft!D$37*($A54-Ft!D$2)^2)+Ft!D$6*EXP(Ft!D$38*($A54-Ft!D$2)^2)),Ft!D$3*((1-Ft!D$7)/(1+Ft!D$39*($A54-Ft!D$2)^2)+Ft!D$7*EXP(Ft!D$40*($A54-Ft!D$2)^2)))</f>
        <v>2.057044371817212</v>
      </c>
      <c r="I54" s="3">
        <f>IF(($A54-Ft!E$2)&lt;0,Ft!E$3*((1-Ft!E$6)/(1+Ft!E$37*($A54-Ft!E$2)^2)+Ft!E$6*EXP(Ft!E$38*($A54-Ft!E$2)^2)),Ft!E$3*((1-Ft!E$7)/(1+Ft!E$39*($A54-Ft!E$2)^2)+Ft!E$7*EXP(Ft!E$40*($A54-Ft!E$2)^2)))</f>
        <v>3.5378193385714146E-5</v>
      </c>
      <c r="J54" s="3">
        <f>IF(($A54-Ft!F$2)&lt;0,Ft!F$3*((1-Ft!F$6)/(1+Ft!F$37*($A54-Ft!F$2)^2)+Ft!F$6*EXP(Ft!F$38*($A54-Ft!F$2)^2)),Ft!F$3*((1-Ft!F$7)/(1+Ft!F$39*($A54-Ft!F$2)^2)+Ft!F$7*EXP(Ft!F$40*($A54-Ft!F$2)^2)))</f>
        <v>5.0788992131914628E-94</v>
      </c>
      <c r="K54" s="3">
        <f>IF(($A54-Ft!G$2)&lt;0,Ft!G$3*((1-Ft!G$6)/(1+Ft!G$37*($A54-Ft!G$2)^2)+Ft!G$6*EXP(Ft!G$38*($A54-Ft!G$2)^2)),Ft!G$3*((1-Ft!G$7)/(1+Ft!G$39*($A54-Ft!G$2)^2)+Ft!G$7*EXP(Ft!G$40*($A54-Ft!G$2)^2)))</f>
        <v>0</v>
      </c>
      <c r="L54" s="3">
        <f>IF(($A54-Ft!H$2)&lt;0,Ft!H$3*((1-Ft!H$6)/(1+Ft!H$37*($A54-Ft!H$2)^2)+Ft!H$6*EXP(Ft!H$38*($A54-Ft!H$2)^2)),Ft!H$3*((1-Ft!H$7)/(1+Ft!H$39*($A54-Ft!H$2)^2)+Ft!H$7*EXP(Ft!H$40*($A54-Ft!H$2)^2)))</f>
        <v>0</v>
      </c>
      <c r="M54" s="3">
        <f>IF(($A54-Ft!I$2)&lt;0,Ft!I$3*((1-Ft!I$6)/(1+Ft!I$37*($A54-Ft!I$2)^2)+Ft!I$6*EXP(Ft!I$38*($A54-Ft!I$2)^2)),Ft!I$3*((1-Ft!I$7)/(1+Ft!I$39*($A54-Ft!I$2)^2)+Ft!I$7*EXP(Ft!I$40*($A54-Ft!I$2)^2)))</f>
        <v>0</v>
      </c>
      <c r="N54" s="3">
        <f>IF(($A54-Ft!J$2)&lt;0,Ft!J$3*((1-Ft!J$6)/(1+Ft!J$37*($A54-Ft!J$2)^2)+Ft!J$6*EXP(Ft!J$38*($A54-Ft!J$2)^2)),Ft!J$3*((1-Ft!J$7)/(1+Ft!J$39*($A54-Ft!J$2)^2)+Ft!J$7*EXP(Ft!J$40*($A54-Ft!J$2)^2)))</f>
        <v>0</v>
      </c>
      <c r="O54" s="3">
        <f>IF(($A54-Ft!K$2)&lt;0,Ft!K$3*((1-Ft!K$6)/(1+Ft!K$37*($A54-Ft!K$2)^2)+Ft!K$6*EXP(Ft!K$38*($A54-Ft!K$2)^2)),Ft!K$3*((1-Ft!K$7)/(1+Ft!K$39*($A54-Ft!K$2)^2)+Ft!K$7*EXP(Ft!K$40*($A54-Ft!K$2)^2)))</f>
        <v>0</v>
      </c>
      <c r="P54"/>
      <c r="Q54"/>
    </row>
    <row r="55" spans="1:17">
      <c r="A55">
        <v>106</v>
      </c>
      <c r="B55">
        <v>10.863575123239997</v>
      </c>
      <c r="C55" s="6">
        <f t="shared" si="1"/>
        <v>10.485813462706343</v>
      </c>
      <c r="D55" s="19">
        <f t="shared" si="2"/>
        <v>0.14270387216914365</v>
      </c>
      <c r="E55" s="3">
        <f>Ft!$B$12+Ft!$B$14*(Data!A55-Vars!$B$3)</f>
        <v>0</v>
      </c>
      <c r="F55" s="3">
        <f>IF(($A55-Ft!B$2)&lt;0,Ft!B$3*((1-Ft!B$6)/(1+Ft!B$37*($A55-Ft!B$2)^2)+Ft!B$6*EXP(Ft!B$38*($A55-Ft!B$2)^2)),Ft!B$3*((1-Ft!B$7)/(1+Ft!B$39*($A55-Ft!B$2)^2)+Ft!B$7*EXP(Ft!B$40*($A55-Ft!B$2)^2)))</f>
        <v>3.085318983474071E-2</v>
      </c>
      <c r="G55" s="3">
        <f>IF(($A55-Ft!C$2)&lt;0,Ft!C$3*((1-Ft!C$6)/(1+Ft!C$37*($A55-Ft!C$2)^2)+Ft!C$6*EXP(Ft!C$38*($A55-Ft!C$2)^2)),Ft!C$3*((1-Ft!C$7)/(1+Ft!C$39*($A55-Ft!C$2)^2)+Ft!C$7*EXP(Ft!C$40*($A55-Ft!C$2)^2)))</f>
        <v>8.3455488465120347</v>
      </c>
      <c r="H55" s="3">
        <f>IF(($A55-Ft!D$2)&lt;0,Ft!D$3*((1-Ft!D$6)/(1+Ft!D$37*($A55-Ft!D$2)^2)+Ft!D$6*EXP(Ft!D$38*($A55-Ft!D$2)^2)),Ft!D$3*((1-Ft!D$7)/(1+Ft!D$39*($A55-Ft!D$2)^2)+Ft!D$7*EXP(Ft!D$40*($A55-Ft!D$2)^2)))</f>
        <v>2.1093733980978975</v>
      </c>
      <c r="I55" s="3">
        <f>IF(($A55-Ft!E$2)&lt;0,Ft!E$3*((1-Ft!E$6)/(1+Ft!E$37*($A55-Ft!E$2)^2)+Ft!E$6*EXP(Ft!E$38*($A55-Ft!E$2)^2)),Ft!E$3*((1-Ft!E$7)/(1+Ft!E$39*($A55-Ft!E$2)^2)+Ft!E$7*EXP(Ft!E$40*($A55-Ft!E$2)^2)))</f>
        <v>3.8028261669472063E-5</v>
      </c>
      <c r="J55" s="3">
        <f>IF(($A55-Ft!F$2)&lt;0,Ft!F$3*((1-Ft!F$6)/(1+Ft!F$37*($A55-Ft!F$2)^2)+Ft!F$6*EXP(Ft!F$38*($A55-Ft!F$2)^2)),Ft!F$3*((1-Ft!F$7)/(1+Ft!F$39*($A55-Ft!F$2)^2)+Ft!F$7*EXP(Ft!F$40*($A55-Ft!F$2)^2)))</f>
        <v>1.3318472000273759E-93</v>
      </c>
      <c r="K55" s="3">
        <f>IF(($A55-Ft!G$2)&lt;0,Ft!G$3*((1-Ft!G$6)/(1+Ft!G$37*($A55-Ft!G$2)^2)+Ft!G$6*EXP(Ft!G$38*($A55-Ft!G$2)^2)),Ft!G$3*((1-Ft!G$7)/(1+Ft!G$39*($A55-Ft!G$2)^2)+Ft!G$7*EXP(Ft!G$40*($A55-Ft!G$2)^2)))</f>
        <v>0</v>
      </c>
      <c r="L55" s="3">
        <f>IF(($A55-Ft!H$2)&lt;0,Ft!H$3*((1-Ft!H$6)/(1+Ft!H$37*($A55-Ft!H$2)^2)+Ft!H$6*EXP(Ft!H$38*($A55-Ft!H$2)^2)),Ft!H$3*((1-Ft!H$7)/(1+Ft!H$39*($A55-Ft!H$2)^2)+Ft!H$7*EXP(Ft!H$40*($A55-Ft!H$2)^2)))</f>
        <v>0</v>
      </c>
      <c r="M55" s="3">
        <f>IF(($A55-Ft!I$2)&lt;0,Ft!I$3*((1-Ft!I$6)/(1+Ft!I$37*($A55-Ft!I$2)^2)+Ft!I$6*EXP(Ft!I$38*($A55-Ft!I$2)^2)),Ft!I$3*((1-Ft!I$7)/(1+Ft!I$39*($A55-Ft!I$2)^2)+Ft!I$7*EXP(Ft!I$40*($A55-Ft!I$2)^2)))</f>
        <v>0</v>
      </c>
      <c r="N55" s="3">
        <f>IF(($A55-Ft!J$2)&lt;0,Ft!J$3*((1-Ft!J$6)/(1+Ft!J$37*($A55-Ft!J$2)^2)+Ft!J$6*EXP(Ft!J$38*($A55-Ft!J$2)^2)),Ft!J$3*((1-Ft!J$7)/(1+Ft!J$39*($A55-Ft!J$2)^2)+Ft!J$7*EXP(Ft!J$40*($A55-Ft!J$2)^2)))</f>
        <v>0</v>
      </c>
      <c r="O55" s="3">
        <f>IF(($A55-Ft!K$2)&lt;0,Ft!K$3*((1-Ft!K$6)/(1+Ft!K$37*($A55-Ft!K$2)^2)+Ft!K$6*EXP(Ft!K$38*($A55-Ft!K$2)^2)),Ft!K$3*((1-Ft!K$7)/(1+Ft!K$39*($A55-Ft!K$2)^2)+Ft!K$7*EXP(Ft!K$40*($A55-Ft!K$2)^2)))</f>
        <v>0</v>
      </c>
      <c r="P55"/>
      <c r="Q55"/>
    </row>
    <row r="56" spans="1:17">
      <c r="A56">
        <v>108</v>
      </c>
      <c r="B56">
        <v>10.971937533532</v>
      </c>
      <c r="C56" s="6">
        <f t="shared" si="1"/>
        <v>10.617067879581134</v>
      </c>
      <c r="D56" s="19">
        <f t="shared" si="2"/>
        <v>0.12593247129520724</v>
      </c>
      <c r="E56" s="3">
        <f>Ft!$B$12+Ft!$B$14*(Data!A56-Vars!$B$3)</f>
        <v>0</v>
      </c>
      <c r="F56" s="3">
        <f>IF(($A56-Ft!B$2)&lt;0,Ft!B$3*((1-Ft!B$6)/(1+Ft!B$37*($A56-Ft!B$2)^2)+Ft!B$6*EXP(Ft!B$38*($A56-Ft!B$2)^2)),Ft!B$3*((1-Ft!B$7)/(1+Ft!B$39*($A56-Ft!B$2)^2)+Ft!B$7*EXP(Ft!B$40*($A56-Ft!B$2)^2)))</f>
        <v>2.2600704779200169E-2</v>
      </c>
      <c r="G56" s="3">
        <f>IF(($A56-Ft!C$2)&lt;0,Ft!C$3*((1-Ft!C$6)/(1+Ft!C$37*($A56-Ft!C$2)^2)+Ft!C$6*EXP(Ft!C$38*($A56-Ft!C$2)^2)),Ft!C$3*((1-Ft!C$7)/(1+Ft!C$39*($A56-Ft!C$2)^2)+Ft!C$7*EXP(Ft!C$40*($A56-Ft!C$2)^2)))</f>
        <v>8.4317036274508013</v>
      </c>
      <c r="H56" s="3">
        <f>IF(($A56-Ft!D$2)&lt;0,Ft!D$3*((1-Ft!D$6)/(1+Ft!D$37*($A56-Ft!D$2)^2)+Ft!D$6*EXP(Ft!D$38*($A56-Ft!D$2)^2)),Ft!D$3*((1-Ft!D$7)/(1+Ft!D$39*($A56-Ft!D$2)^2)+Ft!D$7*EXP(Ft!D$40*($A56-Ft!D$2)^2)))</f>
        <v>2.1627226787430192</v>
      </c>
      <c r="I56" s="3">
        <f>IF(($A56-Ft!E$2)&lt;0,Ft!E$3*((1-Ft!E$6)/(1+Ft!E$37*($A56-Ft!E$2)^2)+Ft!E$6*EXP(Ft!E$38*($A56-Ft!E$2)^2)),Ft!E$3*((1-Ft!E$7)/(1+Ft!E$39*($A56-Ft!E$2)^2)+Ft!E$7*EXP(Ft!E$40*($A56-Ft!E$2)^2)))</f>
        <v>4.086860811210075E-5</v>
      </c>
      <c r="J56" s="3">
        <f>IF(($A56-Ft!F$2)&lt;0,Ft!F$3*((1-Ft!F$6)/(1+Ft!F$37*($A56-Ft!F$2)^2)+Ft!F$6*EXP(Ft!F$38*($A56-Ft!F$2)^2)),Ft!F$3*((1-Ft!F$7)/(1+Ft!F$39*($A56-Ft!F$2)^2)+Ft!F$7*EXP(Ft!F$40*($A56-Ft!F$2)^2)))</f>
        <v>3.4850136503256285E-93</v>
      </c>
      <c r="K56" s="3">
        <f>IF(($A56-Ft!G$2)&lt;0,Ft!G$3*((1-Ft!G$6)/(1+Ft!G$37*($A56-Ft!G$2)^2)+Ft!G$6*EXP(Ft!G$38*($A56-Ft!G$2)^2)),Ft!G$3*((1-Ft!G$7)/(1+Ft!G$39*($A56-Ft!G$2)^2)+Ft!G$7*EXP(Ft!G$40*($A56-Ft!G$2)^2)))</f>
        <v>0</v>
      </c>
      <c r="L56" s="3">
        <f>IF(($A56-Ft!H$2)&lt;0,Ft!H$3*((1-Ft!H$6)/(1+Ft!H$37*($A56-Ft!H$2)^2)+Ft!H$6*EXP(Ft!H$38*($A56-Ft!H$2)^2)),Ft!H$3*((1-Ft!H$7)/(1+Ft!H$39*($A56-Ft!H$2)^2)+Ft!H$7*EXP(Ft!H$40*($A56-Ft!H$2)^2)))</f>
        <v>0</v>
      </c>
      <c r="M56" s="3">
        <f>IF(($A56-Ft!I$2)&lt;0,Ft!I$3*((1-Ft!I$6)/(1+Ft!I$37*($A56-Ft!I$2)^2)+Ft!I$6*EXP(Ft!I$38*($A56-Ft!I$2)^2)),Ft!I$3*((1-Ft!I$7)/(1+Ft!I$39*($A56-Ft!I$2)^2)+Ft!I$7*EXP(Ft!I$40*($A56-Ft!I$2)^2)))</f>
        <v>0</v>
      </c>
      <c r="N56" s="3">
        <f>IF(($A56-Ft!J$2)&lt;0,Ft!J$3*((1-Ft!J$6)/(1+Ft!J$37*($A56-Ft!J$2)^2)+Ft!J$6*EXP(Ft!J$38*($A56-Ft!J$2)^2)),Ft!J$3*((1-Ft!J$7)/(1+Ft!J$39*($A56-Ft!J$2)^2)+Ft!J$7*EXP(Ft!J$40*($A56-Ft!J$2)^2)))</f>
        <v>0</v>
      </c>
      <c r="O56" s="3">
        <f>IF(($A56-Ft!K$2)&lt;0,Ft!K$3*((1-Ft!K$6)/(1+Ft!K$37*($A56-Ft!K$2)^2)+Ft!K$6*EXP(Ft!K$38*($A56-Ft!K$2)^2)),Ft!K$3*((1-Ft!K$7)/(1+Ft!K$39*($A56-Ft!K$2)^2)+Ft!K$7*EXP(Ft!K$40*($A56-Ft!K$2)^2)))</f>
        <v>0</v>
      </c>
      <c r="P56"/>
      <c r="Q56"/>
    </row>
    <row r="57" spans="1:17">
      <c r="A57">
        <v>110</v>
      </c>
      <c r="B57">
        <v>11.079075523965997</v>
      </c>
      <c r="C57" s="6">
        <f t="shared" si="1"/>
        <v>10.74675223650412</v>
      </c>
      <c r="D57" s="19">
        <f t="shared" si="2"/>
        <v>0.11043876738946941</v>
      </c>
      <c r="E57" s="3">
        <f>Ft!$B$12+Ft!$B$14*(Data!A57-Vars!$B$3)</f>
        <v>0</v>
      </c>
      <c r="F57" s="3">
        <f>IF(($A57-Ft!B$2)&lt;0,Ft!B$3*((1-Ft!B$6)/(1+Ft!B$37*($A57-Ft!B$2)^2)+Ft!B$6*EXP(Ft!B$38*($A57-Ft!B$2)^2)),Ft!B$3*((1-Ft!B$7)/(1+Ft!B$39*($A57-Ft!B$2)^2)+Ft!B$7*EXP(Ft!B$40*($A57-Ft!B$2)^2)))</f>
        <v>1.6389019590193427E-2</v>
      </c>
      <c r="G57" s="3">
        <f>IF(($A57-Ft!C$2)&lt;0,Ft!C$3*((1-Ft!C$6)/(1+Ft!C$37*($A57-Ft!C$2)^2)+Ft!C$6*EXP(Ft!C$38*($A57-Ft!C$2)^2)),Ft!C$3*((1-Ft!C$7)/(1+Ft!C$39*($A57-Ft!C$2)^2)+Ft!C$7*EXP(Ft!C$40*($A57-Ft!C$2)^2)))</f>
        <v>8.513216819209914</v>
      </c>
      <c r="H57" s="3">
        <f>IF(($A57-Ft!D$2)&lt;0,Ft!D$3*((1-Ft!D$6)/(1+Ft!D$37*($A57-Ft!D$2)^2)+Ft!D$6*EXP(Ft!D$38*($A57-Ft!D$2)^2)),Ft!D$3*((1-Ft!D$7)/(1+Ft!D$39*($A57-Ft!D$2)^2)+Ft!D$7*EXP(Ft!D$40*($A57-Ft!D$2)^2)))</f>
        <v>2.2171024854457979</v>
      </c>
      <c r="I57" s="3">
        <f>IF(($A57-Ft!E$2)&lt;0,Ft!E$3*((1-Ft!E$6)/(1+Ft!E$37*($A57-Ft!E$2)^2)+Ft!E$6*EXP(Ft!E$38*($A57-Ft!E$2)^2)),Ft!E$3*((1-Ft!E$7)/(1+Ft!E$39*($A57-Ft!E$2)^2)+Ft!E$7*EXP(Ft!E$40*($A57-Ft!E$2)^2)))</f>
        <v>4.3912258215840158E-5</v>
      </c>
      <c r="J57" s="3">
        <f>IF(($A57-Ft!F$2)&lt;0,Ft!F$3*((1-Ft!F$6)/(1+Ft!F$37*($A57-Ft!F$2)^2)+Ft!F$6*EXP(Ft!F$38*($A57-Ft!F$2)^2)),Ft!F$3*((1-Ft!F$7)/(1+Ft!F$39*($A57-Ft!F$2)^2)+Ft!F$7*EXP(Ft!F$40*($A57-Ft!F$2)^2)))</f>
        <v>9.0995483963892561E-93</v>
      </c>
      <c r="K57" s="3">
        <f>IF(($A57-Ft!G$2)&lt;0,Ft!G$3*((1-Ft!G$6)/(1+Ft!G$37*($A57-Ft!G$2)^2)+Ft!G$6*EXP(Ft!G$38*($A57-Ft!G$2)^2)),Ft!G$3*((1-Ft!G$7)/(1+Ft!G$39*($A57-Ft!G$2)^2)+Ft!G$7*EXP(Ft!G$40*($A57-Ft!G$2)^2)))</f>
        <v>0</v>
      </c>
      <c r="L57" s="3">
        <f>IF(($A57-Ft!H$2)&lt;0,Ft!H$3*((1-Ft!H$6)/(1+Ft!H$37*($A57-Ft!H$2)^2)+Ft!H$6*EXP(Ft!H$38*($A57-Ft!H$2)^2)),Ft!H$3*((1-Ft!H$7)/(1+Ft!H$39*($A57-Ft!H$2)^2)+Ft!H$7*EXP(Ft!H$40*($A57-Ft!H$2)^2)))</f>
        <v>0</v>
      </c>
      <c r="M57" s="3">
        <f>IF(($A57-Ft!I$2)&lt;0,Ft!I$3*((1-Ft!I$6)/(1+Ft!I$37*($A57-Ft!I$2)^2)+Ft!I$6*EXP(Ft!I$38*($A57-Ft!I$2)^2)),Ft!I$3*((1-Ft!I$7)/(1+Ft!I$39*($A57-Ft!I$2)^2)+Ft!I$7*EXP(Ft!I$40*($A57-Ft!I$2)^2)))</f>
        <v>0</v>
      </c>
      <c r="N57" s="3">
        <f>IF(($A57-Ft!J$2)&lt;0,Ft!J$3*((1-Ft!J$6)/(1+Ft!J$37*($A57-Ft!J$2)^2)+Ft!J$6*EXP(Ft!J$38*($A57-Ft!J$2)^2)),Ft!J$3*((1-Ft!J$7)/(1+Ft!J$39*($A57-Ft!J$2)^2)+Ft!J$7*EXP(Ft!J$40*($A57-Ft!J$2)^2)))</f>
        <v>0</v>
      </c>
      <c r="O57" s="3">
        <f>IF(($A57-Ft!K$2)&lt;0,Ft!K$3*((1-Ft!K$6)/(1+Ft!K$37*($A57-Ft!K$2)^2)+Ft!K$6*EXP(Ft!K$38*($A57-Ft!K$2)^2)),Ft!K$3*((1-Ft!K$7)/(1+Ft!K$39*($A57-Ft!K$2)^2)+Ft!K$7*EXP(Ft!K$40*($A57-Ft!K$2)^2)))</f>
        <v>0</v>
      </c>
      <c r="P57"/>
      <c r="Q57"/>
    </row>
    <row r="58" spans="1:17">
      <c r="A58">
        <v>112</v>
      </c>
      <c r="B58">
        <v>11.182784786122994</v>
      </c>
      <c r="C58" s="6">
        <f t="shared" si="1"/>
        <v>10.874272291158732</v>
      </c>
      <c r="D58" s="19">
        <f t="shared" si="2"/>
        <v>9.5179959549073739E-2</v>
      </c>
      <c r="E58" s="3">
        <f>Ft!$B$12+Ft!$B$14*(Data!A58-Vars!$B$3)</f>
        <v>0</v>
      </c>
      <c r="F58" s="3">
        <f>IF(($A58-Ft!B$2)&lt;0,Ft!B$3*((1-Ft!B$6)/(1+Ft!B$37*($A58-Ft!B$2)^2)+Ft!B$6*EXP(Ft!B$38*($A58-Ft!B$2)^2)),Ft!B$3*((1-Ft!B$7)/(1+Ft!B$39*($A58-Ft!B$2)^2)+Ft!B$7*EXP(Ft!B$40*($A58-Ft!B$2)^2)))</f>
        <v>1.1765030225719841E-2</v>
      </c>
      <c r="G58" s="3">
        <f>IF(($A58-Ft!C$2)&lt;0,Ft!C$3*((1-Ft!C$6)/(1+Ft!C$37*($A58-Ft!C$2)^2)+Ft!C$6*EXP(Ft!C$38*($A58-Ft!C$2)^2)),Ft!C$3*((1-Ft!C$7)/(1+Ft!C$39*($A58-Ft!C$2)^2)+Ft!C$7*EXP(Ft!C$40*($A58-Ft!C$2)^2)))</f>
        <v>8.5899371889270988</v>
      </c>
      <c r="H58" s="3">
        <f>IF(($A58-Ft!D$2)&lt;0,Ft!D$3*((1-Ft!D$6)/(1+Ft!D$37*($A58-Ft!D$2)^2)+Ft!D$6*EXP(Ft!D$38*($A58-Ft!D$2)^2)),Ft!D$3*((1-Ft!D$7)/(1+Ft!D$39*($A58-Ft!D$2)^2)+Ft!D$7*EXP(Ft!D$40*($A58-Ft!D$2)^2)))</f>
        <v>2.2725228989243313</v>
      </c>
      <c r="I58" s="3">
        <f>IF(($A58-Ft!E$2)&lt;0,Ft!E$3*((1-Ft!E$6)/(1+Ft!E$37*($A58-Ft!E$2)^2)+Ft!E$6*EXP(Ft!E$38*($A58-Ft!E$2)^2)),Ft!E$3*((1-Ft!E$7)/(1+Ft!E$39*($A58-Ft!E$2)^2)+Ft!E$7*EXP(Ft!E$40*($A58-Ft!E$2)^2)))</f>
        <v>4.7173081582920619E-5</v>
      </c>
      <c r="J58" s="3">
        <f>IF(($A58-Ft!F$2)&lt;0,Ft!F$3*((1-Ft!F$6)/(1+Ft!F$37*($A58-Ft!F$2)^2)+Ft!F$6*EXP(Ft!F$38*($A58-Ft!F$2)^2)),Ft!F$3*((1-Ft!F$7)/(1+Ft!F$39*($A58-Ft!F$2)^2)+Ft!F$7*EXP(Ft!F$40*($A58-Ft!F$2)^2)))</f>
        <v>2.3708302995572146E-92</v>
      </c>
      <c r="K58" s="3">
        <f>IF(($A58-Ft!G$2)&lt;0,Ft!G$3*((1-Ft!G$6)/(1+Ft!G$37*($A58-Ft!G$2)^2)+Ft!G$6*EXP(Ft!G$38*($A58-Ft!G$2)^2)),Ft!G$3*((1-Ft!G$7)/(1+Ft!G$39*($A58-Ft!G$2)^2)+Ft!G$7*EXP(Ft!G$40*($A58-Ft!G$2)^2)))</f>
        <v>0</v>
      </c>
      <c r="L58" s="3">
        <f>IF(($A58-Ft!H$2)&lt;0,Ft!H$3*((1-Ft!H$6)/(1+Ft!H$37*($A58-Ft!H$2)^2)+Ft!H$6*EXP(Ft!H$38*($A58-Ft!H$2)^2)),Ft!H$3*((1-Ft!H$7)/(1+Ft!H$39*($A58-Ft!H$2)^2)+Ft!H$7*EXP(Ft!H$40*($A58-Ft!H$2)^2)))</f>
        <v>0</v>
      </c>
      <c r="M58" s="3">
        <f>IF(($A58-Ft!I$2)&lt;0,Ft!I$3*((1-Ft!I$6)/(1+Ft!I$37*($A58-Ft!I$2)^2)+Ft!I$6*EXP(Ft!I$38*($A58-Ft!I$2)^2)),Ft!I$3*((1-Ft!I$7)/(1+Ft!I$39*($A58-Ft!I$2)^2)+Ft!I$7*EXP(Ft!I$40*($A58-Ft!I$2)^2)))</f>
        <v>0</v>
      </c>
      <c r="N58" s="3">
        <f>IF(($A58-Ft!J$2)&lt;0,Ft!J$3*((1-Ft!J$6)/(1+Ft!J$37*($A58-Ft!J$2)^2)+Ft!J$6*EXP(Ft!J$38*($A58-Ft!J$2)^2)),Ft!J$3*((1-Ft!J$7)/(1+Ft!J$39*($A58-Ft!J$2)^2)+Ft!J$7*EXP(Ft!J$40*($A58-Ft!J$2)^2)))</f>
        <v>0</v>
      </c>
      <c r="O58" s="3">
        <f>IF(($A58-Ft!K$2)&lt;0,Ft!K$3*((1-Ft!K$6)/(1+Ft!K$37*($A58-Ft!K$2)^2)+Ft!K$6*EXP(Ft!K$38*($A58-Ft!K$2)^2)),Ft!K$3*((1-Ft!K$7)/(1+Ft!K$39*($A58-Ft!K$2)^2)+Ft!K$7*EXP(Ft!K$40*($A58-Ft!K$2)^2)))</f>
        <v>0</v>
      </c>
      <c r="P58"/>
      <c r="Q58"/>
    </row>
    <row r="59" spans="1:17">
      <c r="A59">
        <v>114</v>
      </c>
      <c r="B59">
        <v>11.280861011586993</v>
      </c>
      <c r="C59" s="6">
        <f t="shared" si="1"/>
        <v>10.999126625730144</v>
      </c>
      <c r="D59" s="19">
        <f t="shared" si="2"/>
        <v>7.9374264174135789E-2</v>
      </c>
      <c r="E59" s="3">
        <f>Ft!$B$12+Ft!$B$14*(Data!A59-Vars!$B$3)</f>
        <v>0</v>
      </c>
      <c r="F59" s="3">
        <f>IF(($A59-Ft!B$2)&lt;0,Ft!B$3*((1-Ft!B$6)/(1+Ft!B$37*($A59-Ft!B$2)^2)+Ft!B$6*EXP(Ft!B$38*($A59-Ft!B$2)^2)),Ft!B$3*((1-Ft!B$7)/(1+Ft!B$39*($A59-Ft!B$2)^2)+Ft!B$7*EXP(Ft!B$40*($A59-Ft!B$2)^2)))</f>
        <v>8.360691545141857E-3</v>
      </c>
      <c r="G59" s="3">
        <f>IF(($A59-Ft!C$2)&lt;0,Ft!C$3*((1-Ft!C$6)/(1+Ft!C$37*($A59-Ft!C$2)^2)+Ft!C$6*EXP(Ft!C$38*($A59-Ft!C$2)^2)),Ft!C$3*((1-Ft!C$7)/(1+Ft!C$39*($A59-Ft!C$2)^2)+Ft!C$7*EXP(Ft!C$40*($A59-Ft!C$2)^2)))</f>
        <v>8.661721470090745</v>
      </c>
      <c r="H59" s="3">
        <f>IF(($A59-Ft!D$2)&lt;0,Ft!D$3*((1-Ft!D$6)/(1+Ft!D$37*($A59-Ft!D$2)^2)+Ft!D$6*EXP(Ft!D$38*($A59-Ft!D$2)^2)),Ft!D$3*((1-Ft!D$7)/(1+Ft!D$39*($A59-Ft!D$2)^2)+Ft!D$7*EXP(Ft!D$40*($A59-Ft!D$2)^2)))</f>
        <v>2.3289937982510618</v>
      </c>
      <c r="I59" s="3">
        <f>IF(($A59-Ft!E$2)&lt;0,Ft!E$3*((1-Ft!E$6)/(1+Ft!E$37*($A59-Ft!E$2)^2)+Ft!E$6*EXP(Ft!E$38*($A59-Ft!E$2)^2)),Ft!E$3*((1-Ft!E$7)/(1+Ft!E$39*($A59-Ft!E$2)^2)+Ft!E$7*EXP(Ft!E$40*($A59-Ft!E$2)^2)))</f>
        <v>5.0665843194477562E-5</v>
      </c>
      <c r="J59" s="3">
        <f>IF(($A59-Ft!F$2)&lt;0,Ft!F$3*((1-Ft!F$6)/(1+Ft!F$37*($A59-Ft!F$2)^2)+Ft!F$6*EXP(Ft!F$38*($A59-Ft!F$2)^2)),Ft!F$3*((1-Ft!F$7)/(1+Ft!F$39*($A59-Ft!F$2)^2)+Ft!F$7*EXP(Ft!F$40*($A59-Ft!F$2)^2)))</f>
        <v>6.1637692644055031E-92</v>
      </c>
      <c r="K59" s="3">
        <f>IF(($A59-Ft!G$2)&lt;0,Ft!G$3*((1-Ft!G$6)/(1+Ft!G$37*($A59-Ft!G$2)^2)+Ft!G$6*EXP(Ft!G$38*($A59-Ft!G$2)^2)),Ft!G$3*((1-Ft!G$7)/(1+Ft!G$39*($A59-Ft!G$2)^2)+Ft!G$7*EXP(Ft!G$40*($A59-Ft!G$2)^2)))</f>
        <v>0</v>
      </c>
      <c r="L59" s="3">
        <f>IF(($A59-Ft!H$2)&lt;0,Ft!H$3*((1-Ft!H$6)/(1+Ft!H$37*($A59-Ft!H$2)^2)+Ft!H$6*EXP(Ft!H$38*($A59-Ft!H$2)^2)),Ft!H$3*((1-Ft!H$7)/(1+Ft!H$39*($A59-Ft!H$2)^2)+Ft!H$7*EXP(Ft!H$40*($A59-Ft!H$2)^2)))</f>
        <v>0</v>
      </c>
      <c r="M59" s="3">
        <f>IF(($A59-Ft!I$2)&lt;0,Ft!I$3*((1-Ft!I$6)/(1+Ft!I$37*($A59-Ft!I$2)^2)+Ft!I$6*EXP(Ft!I$38*($A59-Ft!I$2)^2)),Ft!I$3*((1-Ft!I$7)/(1+Ft!I$39*($A59-Ft!I$2)^2)+Ft!I$7*EXP(Ft!I$40*($A59-Ft!I$2)^2)))</f>
        <v>0</v>
      </c>
      <c r="N59" s="3">
        <f>IF(($A59-Ft!J$2)&lt;0,Ft!J$3*((1-Ft!J$6)/(1+Ft!J$37*($A59-Ft!J$2)^2)+Ft!J$6*EXP(Ft!J$38*($A59-Ft!J$2)^2)),Ft!J$3*((1-Ft!J$7)/(1+Ft!J$39*($A59-Ft!J$2)^2)+Ft!J$7*EXP(Ft!J$40*($A59-Ft!J$2)^2)))</f>
        <v>0</v>
      </c>
      <c r="O59" s="3">
        <f>IF(($A59-Ft!K$2)&lt;0,Ft!K$3*((1-Ft!K$6)/(1+Ft!K$37*($A59-Ft!K$2)^2)+Ft!K$6*EXP(Ft!K$38*($A59-Ft!K$2)^2)),Ft!K$3*((1-Ft!K$7)/(1+Ft!K$39*($A59-Ft!K$2)^2)+Ft!K$7*EXP(Ft!K$40*($A59-Ft!K$2)^2)))</f>
        <v>0</v>
      </c>
      <c r="P59"/>
      <c r="Q59"/>
    </row>
    <row r="60" spans="1:17">
      <c r="A60">
        <v>116</v>
      </c>
      <c r="B60">
        <v>11.371099891938002</v>
      </c>
      <c r="C60" s="6">
        <f t="shared" si="1"/>
        <v>11.120895731369771</v>
      </c>
      <c r="D60" s="19">
        <f t="shared" si="2"/>
        <v>6.2602121965653026E-2</v>
      </c>
      <c r="E60" s="3">
        <f>Ft!$B$12+Ft!$B$14*(Data!A60-Vars!$B$3)</f>
        <v>0</v>
      </c>
      <c r="F60" s="3">
        <f>IF(($A60-Ft!B$2)&lt;0,Ft!B$3*((1-Ft!B$6)/(1+Ft!B$37*($A60-Ft!B$2)^2)+Ft!B$6*EXP(Ft!B$38*($A60-Ft!B$2)^2)),Ft!B$3*((1-Ft!B$7)/(1+Ft!B$39*($A60-Ft!B$2)^2)+Ft!B$7*EXP(Ft!B$40*($A60-Ft!B$2)^2)))</f>
        <v>5.8816670443414361E-3</v>
      </c>
      <c r="G60" s="3">
        <f>IF(($A60-Ft!C$2)&lt;0,Ft!C$3*((1-Ft!C$6)/(1+Ft!C$37*($A60-Ft!C$2)^2)+Ft!C$6*EXP(Ft!C$38*($A60-Ft!C$2)^2)),Ft!C$3*((1-Ft!C$7)/(1+Ft!C$39*($A60-Ft!C$2)^2)+Ft!C$7*EXP(Ft!C$40*($A60-Ft!C$2)^2)))</f>
        <v>8.7284348080063658</v>
      </c>
      <c r="H60" s="3">
        <f>IF(($A60-Ft!D$2)&lt;0,Ft!D$3*((1-Ft!D$6)/(1+Ft!D$37*($A60-Ft!D$2)^2)+Ft!D$6*EXP(Ft!D$38*($A60-Ft!D$2)^2)),Ft!D$3*((1-Ft!D$7)/(1+Ft!D$39*($A60-Ft!D$2)^2)+Ft!D$7*EXP(Ft!D$40*($A60-Ft!D$2)^2)))</f>
        <v>2.3865248500614937</v>
      </c>
      <c r="I60" s="3">
        <f>IF(($A60-Ft!E$2)&lt;0,Ft!E$3*((1-Ft!E$6)/(1+Ft!E$37*($A60-Ft!E$2)^2)+Ft!E$6*EXP(Ft!E$38*($A60-Ft!E$2)^2)),Ft!E$3*((1-Ft!E$7)/(1+Ft!E$39*($A60-Ft!E$2)^2)+Ft!E$7*EXP(Ft!E$40*($A60-Ft!E$2)^2)))</f>
        <v>5.4406257568132587E-5</v>
      </c>
      <c r="J60" s="3">
        <f>IF(($A60-Ft!F$2)&lt;0,Ft!F$3*((1-Ft!F$6)/(1+Ft!F$37*($A60-Ft!F$2)^2)+Ft!F$6*EXP(Ft!F$38*($A60-Ft!F$2)^2)),Ft!F$3*((1-Ft!F$7)/(1+Ft!F$39*($A60-Ft!F$2)^2)+Ft!F$7*EXP(Ft!F$40*($A60-Ft!F$2)^2)))</f>
        <v>1.5990334580902341E-91</v>
      </c>
      <c r="K60" s="3">
        <f>IF(($A60-Ft!G$2)&lt;0,Ft!G$3*((1-Ft!G$6)/(1+Ft!G$37*($A60-Ft!G$2)^2)+Ft!G$6*EXP(Ft!G$38*($A60-Ft!G$2)^2)),Ft!G$3*((1-Ft!G$7)/(1+Ft!G$39*($A60-Ft!G$2)^2)+Ft!G$7*EXP(Ft!G$40*($A60-Ft!G$2)^2)))</f>
        <v>0</v>
      </c>
      <c r="L60" s="3">
        <f>IF(($A60-Ft!H$2)&lt;0,Ft!H$3*((1-Ft!H$6)/(1+Ft!H$37*($A60-Ft!H$2)^2)+Ft!H$6*EXP(Ft!H$38*($A60-Ft!H$2)^2)),Ft!H$3*((1-Ft!H$7)/(1+Ft!H$39*($A60-Ft!H$2)^2)+Ft!H$7*EXP(Ft!H$40*($A60-Ft!H$2)^2)))</f>
        <v>0</v>
      </c>
      <c r="M60" s="3">
        <f>IF(($A60-Ft!I$2)&lt;0,Ft!I$3*((1-Ft!I$6)/(1+Ft!I$37*($A60-Ft!I$2)^2)+Ft!I$6*EXP(Ft!I$38*($A60-Ft!I$2)^2)),Ft!I$3*((1-Ft!I$7)/(1+Ft!I$39*($A60-Ft!I$2)^2)+Ft!I$7*EXP(Ft!I$40*($A60-Ft!I$2)^2)))</f>
        <v>0</v>
      </c>
      <c r="N60" s="3">
        <f>IF(($A60-Ft!J$2)&lt;0,Ft!J$3*((1-Ft!J$6)/(1+Ft!J$37*($A60-Ft!J$2)^2)+Ft!J$6*EXP(Ft!J$38*($A60-Ft!J$2)^2)),Ft!J$3*((1-Ft!J$7)/(1+Ft!J$39*($A60-Ft!J$2)^2)+Ft!J$7*EXP(Ft!J$40*($A60-Ft!J$2)^2)))</f>
        <v>0</v>
      </c>
      <c r="O60" s="3">
        <f>IF(($A60-Ft!K$2)&lt;0,Ft!K$3*((1-Ft!K$6)/(1+Ft!K$37*($A60-Ft!K$2)^2)+Ft!K$6*EXP(Ft!K$38*($A60-Ft!K$2)^2)),Ft!K$3*((1-Ft!K$7)/(1+Ft!K$39*($A60-Ft!K$2)^2)+Ft!K$7*EXP(Ft!K$40*($A60-Ft!K$2)^2)))</f>
        <v>0</v>
      </c>
      <c r="P60"/>
      <c r="Q60"/>
    </row>
    <row r="61" spans="1:17">
      <c r="A61">
        <v>118</v>
      </c>
      <c r="B61">
        <v>11.451297118757992</v>
      </c>
      <c r="C61" s="6">
        <f t="shared" si="1"/>
        <v>11.239231164005512</v>
      </c>
      <c r="D61" s="19">
        <f t="shared" si="2"/>
        <v>4.4971969165081137E-2</v>
      </c>
      <c r="E61" s="3">
        <f>Ft!$B$12+Ft!$B$14*(Data!A61-Vars!$B$3)</f>
        <v>0</v>
      </c>
      <c r="F61" s="3">
        <f>IF(($A61-Ft!B$2)&lt;0,Ft!B$3*((1-Ft!B$6)/(1+Ft!B$37*($A61-Ft!B$2)^2)+Ft!B$6*EXP(Ft!B$38*($A61-Ft!B$2)^2)),Ft!B$3*((1-Ft!B$7)/(1+Ft!B$39*($A61-Ft!B$2)^2)+Ft!B$7*EXP(Ft!B$40*($A61-Ft!B$2)^2)))</f>
        <v>4.0960735992939066E-3</v>
      </c>
      <c r="G61" s="3">
        <f>IF(($A61-Ft!C$2)&lt;0,Ft!C$3*((1-Ft!C$6)/(1+Ft!C$37*($A61-Ft!C$2)^2)+Ft!C$6*EXP(Ft!C$38*($A61-Ft!C$2)^2)),Ft!C$3*((1-Ft!C$7)/(1+Ft!C$39*($A61-Ft!C$2)^2)+Ft!C$7*EXP(Ft!C$40*($A61-Ft!C$2)^2)))</f>
        <v>8.7899511817117393</v>
      </c>
      <c r="H61" s="3">
        <f>IF(($A61-Ft!D$2)&lt;0,Ft!D$3*((1-Ft!D$6)/(1+Ft!D$37*($A61-Ft!D$2)^2)+Ft!D$6*EXP(Ft!D$38*($A61-Ft!D$2)^2)),Ft!D$3*((1-Ft!D$7)/(1+Ft!D$39*($A61-Ft!D$2)^2)+Ft!D$7*EXP(Ft!D$40*($A61-Ft!D$2)^2)))</f>
        <v>2.4451254976485375</v>
      </c>
      <c r="I61" s="3">
        <f>IF(($A61-Ft!E$2)&lt;0,Ft!E$3*((1-Ft!E$6)/(1+Ft!E$37*($A61-Ft!E$2)^2)+Ft!E$6*EXP(Ft!E$38*($A61-Ft!E$2)^2)),Ft!E$3*((1-Ft!E$7)/(1+Ft!E$39*($A61-Ft!E$2)^2)+Ft!E$7*EXP(Ft!E$40*($A61-Ft!E$2)^2)))</f>
        <v>5.8411045940167896E-5</v>
      </c>
      <c r="J61" s="3">
        <f>IF(($A61-Ft!F$2)&lt;0,Ft!F$3*((1-Ft!F$6)/(1+Ft!F$37*($A61-Ft!F$2)^2)+Ft!F$6*EXP(Ft!F$38*($A61-Ft!F$2)^2)),Ft!F$3*((1-Ft!F$7)/(1+Ft!F$39*($A61-Ft!F$2)^2)+Ft!F$7*EXP(Ft!F$40*($A61-Ft!F$2)^2)))</f>
        <v>4.1393676690889107E-91</v>
      </c>
      <c r="K61" s="3">
        <f>IF(($A61-Ft!G$2)&lt;0,Ft!G$3*((1-Ft!G$6)/(1+Ft!G$37*($A61-Ft!G$2)^2)+Ft!G$6*EXP(Ft!G$38*($A61-Ft!G$2)^2)),Ft!G$3*((1-Ft!G$7)/(1+Ft!G$39*($A61-Ft!G$2)^2)+Ft!G$7*EXP(Ft!G$40*($A61-Ft!G$2)^2)))</f>
        <v>0</v>
      </c>
      <c r="L61" s="3">
        <f>IF(($A61-Ft!H$2)&lt;0,Ft!H$3*((1-Ft!H$6)/(1+Ft!H$37*($A61-Ft!H$2)^2)+Ft!H$6*EXP(Ft!H$38*($A61-Ft!H$2)^2)),Ft!H$3*((1-Ft!H$7)/(1+Ft!H$39*($A61-Ft!H$2)^2)+Ft!H$7*EXP(Ft!H$40*($A61-Ft!H$2)^2)))</f>
        <v>0</v>
      </c>
      <c r="M61" s="3">
        <f>IF(($A61-Ft!I$2)&lt;0,Ft!I$3*((1-Ft!I$6)/(1+Ft!I$37*($A61-Ft!I$2)^2)+Ft!I$6*EXP(Ft!I$38*($A61-Ft!I$2)^2)),Ft!I$3*((1-Ft!I$7)/(1+Ft!I$39*($A61-Ft!I$2)^2)+Ft!I$7*EXP(Ft!I$40*($A61-Ft!I$2)^2)))</f>
        <v>0</v>
      </c>
      <c r="N61" s="3">
        <f>IF(($A61-Ft!J$2)&lt;0,Ft!J$3*((1-Ft!J$6)/(1+Ft!J$37*($A61-Ft!J$2)^2)+Ft!J$6*EXP(Ft!J$38*($A61-Ft!J$2)^2)),Ft!J$3*((1-Ft!J$7)/(1+Ft!J$39*($A61-Ft!J$2)^2)+Ft!J$7*EXP(Ft!J$40*($A61-Ft!J$2)^2)))</f>
        <v>0</v>
      </c>
      <c r="O61" s="3">
        <f>IF(($A61-Ft!K$2)&lt;0,Ft!K$3*((1-Ft!K$6)/(1+Ft!K$37*($A61-Ft!K$2)^2)+Ft!K$6*EXP(Ft!K$38*($A61-Ft!K$2)^2)),Ft!K$3*((1-Ft!K$7)/(1+Ft!K$39*($A61-Ft!K$2)^2)+Ft!K$7*EXP(Ft!K$40*($A61-Ft!K$2)^2)))</f>
        <v>0</v>
      </c>
      <c r="P61"/>
      <c r="Q61"/>
    </row>
    <row r="62" spans="1:17">
      <c r="A62">
        <v>120</v>
      </c>
      <c r="B62">
        <v>11.52274161403399</v>
      </c>
      <c r="C62" s="6">
        <f t="shared" si="1"/>
        <v>11.353845314854341</v>
      </c>
      <c r="D62" s="19">
        <f t="shared" si="2"/>
        <v>2.8525959876581276E-2</v>
      </c>
      <c r="E62" s="3">
        <f>Ft!$B$12+Ft!$B$14*(Data!A62-Vars!$B$3)</f>
        <v>0</v>
      </c>
      <c r="F62" s="3">
        <f>IF(($A62-Ft!B$2)&lt;0,Ft!B$3*((1-Ft!B$6)/(1+Ft!B$37*($A62-Ft!B$2)^2)+Ft!B$6*EXP(Ft!B$38*($A62-Ft!B$2)^2)),Ft!B$3*((1-Ft!B$7)/(1+Ft!B$39*($A62-Ft!B$2)^2)+Ft!B$7*EXP(Ft!B$40*($A62-Ft!B$2)^2)))</f>
        <v>2.8238664144083583E-3</v>
      </c>
      <c r="G62" s="3">
        <f>IF(($A62-Ft!C$2)&lt;0,Ft!C$3*((1-Ft!C$6)/(1+Ft!C$37*($A62-Ft!C$2)^2)+Ft!C$6*EXP(Ft!C$38*($A62-Ft!C$2)^2)),Ft!C$3*((1-Ft!C$7)/(1+Ft!C$39*($A62-Ft!C$2)^2)+Ft!C$7*EXP(Ft!C$40*($A62-Ft!C$2)^2)))</f>
        <v>8.8461538004941254</v>
      </c>
      <c r="H62" s="3">
        <f>IF(($A62-Ft!D$2)&lt;0,Ft!D$3*((1-Ft!D$6)/(1+Ft!D$37*($A62-Ft!D$2)^2)+Ft!D$6*EXP(Ft!D$38*($A62-Ft!D$2)^2)),Ft!D$3*((1-Ft!D$7)/(1+Ft!D$39*($A62-Ft!D$2)^2)+Ft!D$7*EXP(Ft!D$40*($A62-Ft!D$2)^2)))</f>
        <v>2.5048049499491838</v>
      </c>
      <c r="I62" s="3">
        <f>IF(($A62-Ft!E$2)&lt;0,Ft!E$3*((1-Ft!E$6)/(1+Ft!E$37*($A62-Ft!E$2)^2)+Ft!E$6*EXP(Ft!E$38*($A62-Ft!E$2)^2)),Ft!E$3*((1-Ft!E$7)/(1+Ft!E$39*($A62-Ft!E$2)^2)+Ft!E$7*EXP(Ft!E$40*($A62-Ft!E$2)^2)))</f>
        <v>6.2697996624618186E-5</v>
      </c>
      <c r="J62" s="3">
        <f>IF(($A62-Ft!F$2)&lt;0,Ft!F$3*((1-Ft!F$6)/(1+Ft!F$37*($A62-Ft!F$2)^2)+Ft!F$6*EXP(Ft!F$38*($A62-Ft!F$2)^2)),Ft!F$3*((1-Ft!F$7)/(1+Ft!F$39*($A62-Ft!F$2)^2)+Ft!F$7*EXP(Ft!F$40*($A62-Ft!F$2)^2)))</f>
        <v>1.0692413108107369E-90</v>
      </c>
      <c r="K62" s="3">
        <f>IF(($A62-Ft!G$2)&lt;0,Ft!G$3*((1-Ft!G$6)/(1+Ft!G$37*($A62-Ft!G$2)^2)+Ft!G$6*EXP(Ft!G$38*($A62-Ft!G$2)^2)),Ft!G$3*((1-Ft!G$7)/(1+Ft!G$39*($A62-Ft!G$2)^2)+Ft!G$7*EXP(Ft!G$40*($A62-Ft!G$2)^2)))</f>
        <v>0</v>
      </c>
      <c r="L62" s="3">
        <f>IF(($A62-Ft!H$2)&lt;0,Ft!H$3*((1-Ft!H$6)/(1+Ft!H$37*($A62-Ft!H$2)^2)+Ft!H$6*EXP(Ft!H$38*($A62-Ft!H$2)^2)),Ft!H$3*((1-Ft!H$7)/(1+Ft!H$39*($A62-Ft!H$2)^2)+Ft!H$7*EXP(Ft!H$40*($A62-Ft!H$2)^2)))</f>
        <v>0</v>
      </c>
      <c r="M62" s="3">
        <f>IF(($A62-Ft!I$2)&lt;0,Ft!I$3*((1-Ft!I$6)/(1+Ft!I$37*($A62-Ft!I$2)^2)+Ft!I$6*EXP(Ft!I$38*($A62-Ft!I$2)^2)),Ft!I$3*((1-Ft!I$7)/(1+Ft!I$39*($A62-Ft!I$2)^2)+Ft!I$7*EXP(Ft!I$40*($A62-Ft!I$2)^2)))</f>
        <v>0</v>
      </c>
      <c r="N62" s="3">
        <f>IF(($A62-Ft!J$2)&lt;0,Ft!J$3*((1-Ft!J$6)/(1+Ft!J$37*($A62-Ft!J$2)^2)+Ft!J$6*EXP(Ft!J$38*($A62-Ft!J$2)^2)),Ft!J$3*((1-Ft!J$7)/(1+Ft!J$39*($A62-Ft!J$2)^2)+Ft!J$7*EXP(Ft!J$40*($A62-Ft!J$2)^2)))</f>
        <v>0</v>
      </c>
      <c r="O62" s="3">
        <f>IF(($A62-Ft!K$2)&lt;0,Ft!K$3*((1-Ft!K$6)/(1+Ft!K$37*($A62-Ft!K$2)^2)+Ft!K$6*EXP(Ft!K$38*($A62-Ft!K$2)^2)),Ft!K$3*((1-Ft!K$7)/(1+Ft!K$39*($A62-Ft!K$2)^2)+Ft!K$7*EXP(Ft!K$40*($A62-Ft!K$2)^2)))</f>
        <v>0</v>
      </c>
      <c r="P62"/>
      <c r="Q62"/>
    </row>
    <row r="63" spans="1:17">
      <c r="A63">
        <v>122</v>
      </c>
      <c r="B63">
        <v>11.588698142160993</v>
      </c>
      <c r="C63" s="6">
        <f t="shared" si="1"/>
        <v>11.46450214232007</v>
      </c>
      <c r="D63" s="19">
        <f t="shared" si="2"/>
        <v>1.5424646376486601E-2</v>
      </c>
      <c r="E63" s="3">
        <f>Ft!$B$12+Ft!$B$14*(Data!A63-Vars!$B$3)</f>
        <v>0</v>
      </c>
      <c r="F63" s="3">
        <f>IF(($A63-Ft!B$2)&lt;0,Ft!B$3*((1-Ft!B$6)/(1+Ft!B$37*($A63-Ft!B$2)^2)+Ft!B$6*EXP(Ft!B$38*($A63-Ft!B$2)^2)),Ft!B$3*((1-Ft!B$7)/(1+Ft!B$39*($A63-Ft!B$2)^2)+Ft!B$7*EXP(Ft!B$40*($A63-Ft!B$2)^2)))</f>
        <v>1.9272125969715549E-3</v>
      </c>
      <c r="G63" s="3">
        <f>IF(($A63-Ft!C$2)&lt;0,Ft!C$3*((1-Ft!C$6)/(1+Ft!C$37*($A63-Ft!C$2)^2)+Ft!C$6*EXP(Ft!C$38*($A63-Ft!C$2)^2)),Ft!C$3*((1-Ft!C$7)/(1+Ft!C$39*($A63-Ft!C$2)^2)+Ft!C$7*EXP(Ft!C$40*($A63-Ft!C$2)^2)))</f>
        <v>8.8969354732639374</v>
      </c>
      <c r="H63" s="3">
        <f>IF(($A63-Ft!D$2)&lt;0,Ft!D$3*((1-Ft!D$6)/(1+Ft!D$37*($A63-Ft!D$2)^2)+Ft!D$6*EXP(Ft!D$38*($A63-Ft!D$2)^2)),Ft!D$3*((1-Ft!D$7)/(1+Ft!D$39*($A63-Ft!D$2)^2)+Ft!D$7*EXP(Ft!D$40*($A63-Ft!D$2)^2)))</f>
        <v>2.5655721704304524</v>
      </c>
      <c r="I63" s="3">
        <f>IF(($A63-Ft!E$2)&lt;0,Ft!E$3*((1-Ft!E$6)/(1+Ft!E$37*($A63-Ft!E$2)^2)+Ft!E$6*EXP(Ft!E$38*($A63-Ft!E$2)^2)),Ft!E$3*((1-Ft!E$7)/(1+Ft!E$39*($A63-Ft!E$2)^2)+Ft!E$7*EXP(Ft!E$40*($A63-Ft!E$2)^2)))</f>
        <v>6.7286028708229105E-5</v>
      </c>
      <c r="J63" s="3">
        <f>IF(($A63-Ft!F$2)&lt;0,Ft!F$3*((1-Ft!F$6)/(1+Ft!F$37*($A63-Ft!F$2)^2)+Ft!F$6*EXP(Ft!F$38*($A63-Ft!F$2)^2)),Ft!F$3*((1-Ft!F$7)/(1+Ft!F$39*($A63-Ft!F$2)^2)+Ft!F$7*EXP(Ft!F$40*($A63-Ft!F$2)^2)))</f>
        <v>2.756022318503686E-90</v>
      </c>
      <c r="K63" s="3">
        <f>IF(($A63-Ft!G$2)&lt;0,Ft!G$3*((1-Ft!G$6)/(1+Ft!G$37*($A63-Ft!G$2)^2)+Ft!G$6*EXP(Ft!G$38*($A63-Ft!G$2)^2)),Ft!G$3*((1-Ft!G$7)/(1+Ft!G$39*($A63-Ft!G$2)^2)+Ft!G$7*EXP(Ft!G$40*($A63-Ft!G$2)^2)))</f>
        <v>0</v>
      </c>
      <c r="L63" s="3">
        <f>IF(($A63-Ft!H$2)&lt;0,Ft!H$3*((1-Ft!H$6)/(1+Ft!H$37*($A63-Ft!H$2)^2)+Ft!H$6*EXP(Ft!H$38*($A63-Ft!H$2)^2)),Ft!H$3*((1-Ft!H$7)/(1+Ft!H$39*($A63-Ft!H$2)^2)+Ft!H$7*EXP(Ft!H$40*($A63-Ft!H$2)^2)))</f>
        <v>0</v>
      </c>
      <c r="M63" s="3">
        <f>IF(($A63-Ft!I$2)&lt;0,Ft!I$3*((1-Ft!I$6)/(1+Ft!I$37*($A63-Ft!I$2)^2)+Ft!I$6*EXP(Ft!I$38*($A63-Ft!I$2)^2)),Ft!I$3*((1-Ft!I$7)/(1+Ft!I$39*($A63-Ft!I$2)^2)+Ft!I$7*EXP(Ft!I$40*($A63-Ft!I$2)^2)))</f>
        <v>0</v>
      </c>
      <c r="N63" s="3">
        <f>IF(($A63-Ft!J$2)&lt;0,Ft!J$3*((1-Ft!J$6)/(1+Ft!J$37*($A63-Ft!J$2)^2)+Ft!J$6*EXP(Ft!J$38*($A63-Ft!J$2)^2)),Ft!J$3*((1-Ft!J$7)/(1+Ft!J$39*($A63-Ft!J$2)^2)+Ft!J$7*EXP(Ft!J$40*($A63-Ft!J$2)^2)))</f>
        <v>0</v>
      </c>
      <c r="O63" s="3">
        <f>IF(($A63-Ft!K$2)&lt;0,Ft!K$3*((1-Ft!K$6)/(1+Ft!K$37*($A63-Ft!K$2)^2)+Ft!K$6*EXP(Ft!K$38*($A63-Ft!K$2)^2)),Ft!K$3*((1-Ft!K$7)/(1+Ft!K$39*($A63-Ft!K$2)^2)+Ft!K$7*EXP(Ft!K$40*($A63-Ft!K$2)^2)))</f>
        <v>0</v>
      </c>
      <c r="P63"/>
      <c r="Q63"/>
    </row>
    <row r="64" spans="1:17">
      <c r="A64">
        <v>124</v>
      </c>
      <c r="B64">
        <v>11.649926158337991</v>
      </c>
      <c r="C64" s="6">
        <f t="shared" si="1"/>
        <v>11.571009049864877</v>
      </c>
      <c r="D64" s="19">
        <f t="shared" si="2"/>
        <v>6.2279100097571982E-3</v>
      </c>
      <c r="E64" s="3">
        <f>Ft!$B$12+Ft!$B$14*(Data!A64-Vars!$B$3)</f>
        <v>0</v>
      </c>
      <c r="F64" s="3">
        <f>IF(($A64-Ft!B$2)&lt;0,Ft!B$3*((1-Ft!B$6)/(1+Ft!B$37*($A64-Ft!B$2)^2)+Ft!B$6*EXP(Ft!B$38*($A64-Ft!B$2)^2)),Ft!B$3*((1-Ft!B$7)/(1+Ft!B$39*($A64-Ft!B$2)^2)+Ft!B$7*EXP(Ft!B$40*($A64-Ft!B$2)^2)))</f>
        <v>1.3020395735826016E-3</v>
      </c>
      <c r="G64" s="3">
        <f>IF(($A64-Ft!C$2)&lt;0,Ft!C$3*((1-Ft!C$6)/(1+Ft!C$37*($A64-Ft!C$2)^2)+Ft!C$6*EXP(Ft!C$38*($A64-Ft!C$2)^2)),Ft!C$3*((1-Ft!C$7)/(1+Ft!C$39*($A64-Ft!C$2)^2)+Ft!C$7*EXP(Ft!C$40*($A64-Ft!C$2)^2)))</f>
        <v>8.9421989491502014</v>
      </c>
      <c r="H64" s="3">
        <f>IF(($A64-Ft!D$2)&lt;0,Ft!D$3*((1-Ft!D$6)/(1+Ft!D$37*($A64-Ft!D$2)^2)+Ft!D$6*EXP(Ft!D$38*($A64-Ft!D$2)^2)),Ft!D$3*((1-Ft!D$7)/(1+Ft!D$39*($A64-Ft!D$2)^2)+Ft!D$7*EXP(Ft!D$40*($A64-Ft!D$2)^2)))</f>
        <v>2.6274358658818455</v>
      </c>
      <c r="I64" s="3">
        <f>IF(($A64-Ft!E$2)&lt;0,Ft!E$3*((1-Ft!E$6)/(1+Ft!E$37*($A64-Ft!E$2)^2)+Ft!E$6*EXP(Ft!E$38*($A64-Ft!E$2)^2)),Ft!E$3*((1-Ft!E$7)/(1+Ft!E$39*($A64-Ft!E$2)^2)+Ft!E$7*EXP(Ft!E$40*($A64-Ft!E$2)^2)))</f>
        <v>7.219525924706851E-5</v>
      </c>
      <c r="J64" s="3">
        <f>IF(($A64-Ft!F$2)&lt;0,Ft!F$3*((1-Ft!F$6)/(1+Ft!F$37*($A64-Ft!F$2)^2)+Ft!F$6*EXP(Ft!F$38*($A64-Ft!F$2)^2)),Ft!F$3*((1-Ft!F$7)/(1+Ft!F$39*($A64-Ft!F$2)^2)+Ft!F$7*EXP(Ft!F$40*($A64-Ft!F$2)^2)))</f>
        <v>7.0885107922563953E-90</v>
      </c>
      <c r="K64" s="3">
        <f>IF(($A64-Ft!G$2)&lt;0,Ft!G$3*((1-Ft!G$6)/(1+Ft!G$37*($A64-Ft!G$2)^2)+Ft!G$6*EXP(Ft!G$38*($A64-Ft!G$2)^2)),Ft!G$3*((1-Ft!G$7)/(1+Ft!G$39*($A64-Ft!G$2)^2)+Ft!G$7*EXP(Ft!G$40*($A64-Ft!G$2)^2)))</f>
        <v>0</v>
      </c>
      <c r="L64" s="3">
        <f>IF(($A64-Ft!H$2)&lt;0,Ft!H$3*((1-Ft!H$6)/(1+Ft!H$37*($A64-Ft!H$2)^2)+Ft!H$6*EXP(Ft!H$38*($A64-Ft!H$2)^2)),Ft!H$3*((1-Ft!H$7)/(1+Ft!H$39*($A64-Ft!H$2)^2)+Ft!H$7*EXP(Ft!H$40*($A64-Ft!H$2)^2)))</f>
        <v>0</v>
      </c>
      <c r="M64" s="3">
        <f>IF(($A64-Ft!I$2)&lt;0,Ft!I$3*((1-Ft!I$6)/(1+Ft!I$37*($A64-Ft!I$2)^2)+Ft!I$6*EXP(Ft!I$38*($A64-Ft!I$2)^2)),Ft!I$3*((1-Ft!I$7)/(1+Ft!I$39*($A64-Ft!I$2)^2)+Ft!I$7*EXP(Ft!I$40*($A64-Ft!I$2)^2)))</f>
        <v>0</v>
      </c>
      <c r="N64" s="3">
        <f>IF(($A64-Ft!J$2)&lt;0,Ft!J$3*((1-Ft!J$6)/(1+Ft!J$37*($A64-Ft!J$2)^2)+Ft!J$6*EXP(Ft!J$38*($A64-Ft!J$2)^2)),Ft!J$3*((1-Ft!J$7)/(1+Ft!J$39*($A64-Ft!J$2)^2)+Ft!J$7*EXP(Ft!J$40*($A64-Ft!J$2)^2)))</f>
        <v>0</v>
      </c>
      <c r="O64" s="3">
        <f>IF(($A64-Ft!K$2)&lt;0,Ft!K$3*((1-Ft!K$6)/(1+Ft!K$37*($A64-Ft!K$2)^2)+Ft!K$6*EXP(Ft!K$38*($A64-Ft!K$2)^2)),Ft!K$3*((1-Ft!K$7)/(1+Ft!K$39*($A64-Ft!K$2)^2)+Ft!K$7*EXP(Ft!K$40*($A64-Ft!K$2)^2)))</f>
        <v>0</v>
      </c>
      <c r="P64"/>
      <c r="Q64"/>
    </row>
    <row r="65" spans="1:17">
      <c r="A65">
        <v>126</v>
      </c>
      <c r="B65">
        <v>11.707185117763999</v>
      </c>
      <c r="C65" s="6">
        <f t="shared" si="1"/>
        <v>11.673209968853678</v>
      </c>
      <c r="D65" s="19">
        <f t="shared" si="2"/>
        <v>1.1543107434784444E-3</v>
      </c>
      <c r="E65" s="3">
        <f>Ft!$B$12+Ft!$B$14*(Data!A65-Vars!$B$3)</f>
        <v>0</v>
      </c>
      <c r="F65" s="3">
        <f>IF(($A65-Ft!B$2)&lt;0,Ft!B$3*((1-Ft!B$6)/(1+Ft!B$37*($A65-Ft!B$2)^2)+Ft!B$6*EXP(Ft!B$38*($A65-Ft!B$2)^2)),Ft!B$3*((1-Ft!B$7)/(1+Ft!B$39*($A65-Ft!B$2)^2)+Ft!B$7*EXP(Ft!B$40*($A65-Ft!B$2)^2)))</f>
        <v>8.7081885448068888E-4</v>
      </c>
      <c r="G65" s="3">
        <f>IF(($A65-Ft!C$2)&lt;0,Ft!C$3*((1-Ft!C$6)/(1+Ft!C$37*($A65-Ft!C$2)^2)+Ft!C$6*EXP(Ft!C$38*($A65-Ft!C$2)^2)),Ft!C$3*((1-Ft!C$7)/(1+Ft!C$39*($A65-Ft!C$2)^2)+Ft!C$7*EXP(Ft!C$40*($A65-Ft!C$2)^2)))</f>
        <v>8.9818572278032551</v>
      </c>
      <c r="H65" s="3">
        <f>IF(($A65-Ft!D$2)&lt;0,Ft!D$3*((1-Ft!D$6)/(1+Ft!D$37*($A65-Ft!D$2)^2)+Ft!D$6*EXP(Ft!D$38*($A65-Ft!D$2)^2)),Ft!D$3*((1-Ft!D$7)/(1+Ft!D$39*($A65-Ft!D$2)^2)+Ft!D$7*EXP(Ft!D$40*($A65-Ft!D$2)^2)))</f>
        <v>2.6904044751218059</v>
      </c>
      <c r="I65" s="3">
        <f>IF(($A65-Ft!E$2)&lt;0,Ft!E$3*((1-Ft!E$6)/(1+Ft!E$37*($A65-Ft!E$2)^2)+Ft!E$6*EXP(Ft!E$38*($A65-Ft!E$2)^2)),Ft!E$3*((1-Ft!E$7)/(1+Ft!E$39*($A65-Ft!E$2)^2)+Ft!E$7*EXP(Ft!E$40*($A65-Ft!E$2)^2)))</f>
        <v>7.7447074137654314E-5</v>
      </c>
      <c r="J65" s="3">
        <f>IF(($A65-Ft!F$2)&lt;0,Ft!F$3*((1-Ft!F$6)/(1+Ft!F$37*($A65-Ft!F$2)^2)+Ft!F$6*EXP(Ft!F$38*($A65-Ft!F$2)^2)),Ft!F$3*((1-Ft!F$7)/(1+Ft!F$39*($A65-Ft!F$2)^2)+Ft!F$7*EXP(Ft!F$40*($A65-Ft!F$2)^2)))</f>
        <v>1.8192507128555738E-89</v>
      </c>
      <c r="K65" s="3">
        <f>IF(($A65-Ft!G$2)&lt;0,Ft!G$3*((1-Ft!G$6)/(1+Ft!G$37*($A65-Ft!G$2)^2)+Ft!G$6*EXP(Ft!G$38*($A65-Ft!G$2)^2)),Ft!G$3*((1-Ft!G$7)/(1+Ft!G$39*($A65-Ft!G$2)^2)+Ft!G$7*EXP(Ft!G$40*($A65-Ft!G$2)^2)))</f>
        <v>0</v>
      </c>
      <c r="L65" s="3">
        <f>IF(($A65-Ft!H$2)&lt;0,Ft!H$3*((1-Ft!H$6)/(1+Ft!H$37*($A65-Ft!H$2)^2)+Ft!H$6*EXP(Ft!H$38*($A65-Ft!H$2)^2)),Ft!H$3*((1-Ft!H$7)/(1+Ft!H$39*($A65-Ft!H$2)^2)+Ft!H$7*EXP(Ft!H$40*($A65-Ft!H$2)^2)))</f>
        <v>0</v>
      </c>
      <c r="M65" s="3">
        <f>IF(($A65-Ft!I$2)&lt;0,Ft!I$3*((1-Ft!I$6)/(1+Ft!I$37*($A65-Ft!I$2)^2)+Ft!I$6*EXP(Ft!I$38*($A65-Ft!I$2)^2)),Ft!I$3*((1-Ft!I$7)/(1+Ft!I$39*($A65-Ft!I$2)^2)+Ft!I$7*EXP(Ft!I$40*($A65-Ft!I$2)^2)))</f>
        <v>0</v>
      </c>
      <c r="N65" s="3">
        <f>IF(($A65-Ft!J$2)&lt;0,Ft!J$3*((1-Ft!J$6)/(1+Ft!J$37*($A65-Ft!J$2)^2)+Ft!J$6*EXP(Ft!J$38*($A65-Ft!J$2)^2)),Ft!J$3*((1-Ft!J$7)/(1+Ft!J$39*($A65-Ft!J$2)^2)+Ft!J$7*EXP(Ft!J$40*($A65-Ft!J$2)^2)))</f>
        <v>0</v>
      </c>
      <c r="O65" s="3">
        <f>IF(($A65-Ft!K$2)&lt;0,Ft!K$3*((1-Ft!K$6)/(1+Ft!K$37*($A65-Ft!K$2)^2)+Ft!K$6*EXP(Ft!K$38*($A65-Ft!K$2)^2)),Ft!K$3*((1-Ft!K$7)/(1+Ft!K$39*($A65-Ft!K$2)^2)+Ft!K$7*EXP(Ft!K$40*($A65-Ft!K$2)^2)))</f>
        <v>0</v>
      </c>
      <c r="P65"/>
      <c r="Q65"/>
    </row>
    <row r="66" spans="1:17">
      <c r="A66">
        <v>128</v>
      </c>
      <c r="B66">
        <v>11.761234475636996</v>
      </c>
      <c r="C66" s="6">
        <f t="shared" si="1"/>
        <v>11.770979614583796</v>
      </c>
      <c r="D66" s="19">
        <f t="shared" si="2"/>
        <v>9.4967733092428749E-5</v>
      </c>
      <c r="E66" s="3">
        <f>Ft!$B$12+Ft!$B$14*(Data!A66-Vars!$B$3)</f>
        <v>0</v>
      </c>
      <c r="F66" s="3">
        <f>IF(($A66-Ft!B$2)&lt;0,Ft!B$3*((1-Ft!B$6)/(1+Ft!B$37*($A66-Ft!B$2)^2)+Ft!B$6*EXP(Ft!B$38*($A66-Ft!B$2)^2)),Ft!B$3*((1-Ft!B$7)/(1+Ft!B$39*($A66-Ft!B$2)^2)+Ft!B$7*EXP(Ft!B$40*($A66-Ft!B$2)^2)))</f>
        <v>5.7655473596412152E-4</v>
      </c>
      <c r="G66" s="3">
        <f>IF(($A66-Ft!C$2)&lt;0,Ft!C$3*((1-Ft!C$6)/(1+Ft!C$37*($A66-Ft!C$2)^2)+Ft!C$6*EXP(Ft!C$38*($A66-Ft!C$2)^2)),Ft!C$3*((1-Ft!C$7)/(1+Ft!C$39*($A66-Ft!C$2)^2)+Ft!C$7*EXP(Ft!C$40*($A66-Ft!C$2)^2)))</f>
        <v>9.0158338380190255</v>
      </c>
      <c r="H66" s="3">
        <f>IF(($A66-Ft!D$2)&lt;0,Ft!D$3*((1-Ft!D$6)/(1+Ft!D$37*($A66-Ft!D$2)^2)+Ft!D$6*EXP(Ft!D$38*($A66-Ft!D$2)^2)),Ft!D$3*((1-Ft!D$7)/(1+Ft!D$39*($A66-Ft!D$2)^2)+Ft!D$7*EXP(Ft!D$40*($A66-Ft!D$2)^2)))</f>
        <v>2.7544861576259634</v>
      </c>
      <c r="I66" s="3">
        <f>IF(($A66-Ft!E$2)&lt;0,Ft!E$3*((1-Ft!E$6)/(1+Ft!E$37*($A66-Ft!E$2)^2)+Ft!E$6*EXP(Ft!E$38*($A66-Ft!E$2)^2)),Ft!E$3*((1-Ft!E$7)/(1+Ft!E$39*($A66-Ft!E$2)^2)+Ft!E$7*EXP(Ft!E$40*($A66-Ft!E$2)^2)))</f>
        <v>8.3064202842760468E-5</v>
      </c>
      <c r="J66" s="3">
        <f>IF(($A66-Ft!F$2)&lt;0,Ft!F$3*((1-Ft!F$6)/(1+Ft!F$37*($A66-Ft!F$2)^2)+Ft!F$6*EXP(Ft!F$38*($A66-Ft!F$2)^2)),Ft!F$3*((1-Ft!F$7)/(1+Ft!F$39*($A66-Ft!F$2)^2)+Ft!F$7*EXP(Ft!F$40*($A66-Ft!F$2)^2)))</f>
        <v>4.6590286037824865E-89</v>
      </c>
      <c r="K66" s="3">
        <f>IF(($A66-Ft!G$2)&lt;0,Ft!G$3*((1-Ft!G$6)/(1+Ft!G$37*($A66-Ft!G$2)^2)+Ft!G$6*EXP(Ft!G$38*($A66-Ft!G$2)^2)),Ft!G$3*((1-Ft!G$7)/(1+Ft!G$39*($A66-Ft!G$2)^2)+Ft!G$7*EXP(Ft!G$40*($A66-Ft!G$2)^2)))</f>
        <v>0</v>
      </c>
      <c r="L66" s="3">
        <f>IF(($A66-Ft!H$2)&lt;0,Ft!H$3*((1-Ft!H$6)/(1+Ft!H$37*($A66-Ft!H$2)^2)+Ft!H$6*EXP(Ft!H$38*($A66-Ft!H$2)^2)),Ft!H$3*((1-Ft!H$7)/(1+Ft!H$39*($A66-Ft!H$2)^2)+Ft!H$7*EXP(Ft!H$40*($A66-Ft!H$2)^2)))</f>
        <v>0</v>
      </c>
      <c r="M66" s="3">
        <f>IF(($A66-Ft!I$2)&lt;0,Ft!I$3*((1-Ft!I$6)/(1+Ft!I$37*($A66-Ft!I$2)^2)+Ft!I$6*EXP(Ft!I$38*($A66-Ft!I$2)^2)),Ft!I$3*((1-Ft!I$7)/(1+Ft!I$39*($A66-Ft!I$2)^2)+Ft!I$7*EXP(Ft!I$40*($A66-Ft!I$2)^2)))</f>
        <v>0</v>
      </c>
      <c r="N66" s="3">
        <f>IF(($A66-Ft!J$2)&lt;0,Ft!J$3*((1-Ft!J$6)/(1+Ft!J$37*($A66-Ft!J$2)^2)+Ft!J$6*EXP(Ft!J$38*($A66-Ft!J$2)^2)),Ft!J$3*((1-Ft!J$7)/(1+Ft!J$39*($A66-Ft!J$2)^2)+Ft!J$7*EXP(Ft!J$40*($A66-Ft!J$2)^2)))</f>
        <v>0</v>
      </c>
      <c r="O66" s="3">
        <f>IF(($A66-Ft!K$2)&lt;0,Ft!K$3*((1-Ft!K$6)/(1+Ft!K$37*($A66-Ft!K$2)^2)+Ft!K$6*EXP(Ft!K$38*($A66-Ft!K$2)^2)),Ft!K$3*((1-Ft!K$7)/(1+Ft!K$39*($A66-Ft!K$2)^2)+Ft!K$7*EXP(Ft!K$40*($A66-Ft!K$2)^2)))</f>
        <v>0</v>
      </c>
      <c r="P66"/>
      <c r="Q66"/>
    </row>
    <row r="67" spans="1:17">
      <c r="A67">
        <v>130</v>
      </c>
      <c r="B67">
        <v>11.812833687156996</v>
      </c>
      <c r="C67" s="6">
        <f t="shared" ref="C67:C130" si="3">SUM(E67:K67)</f>
        <v>11.864218823660728</v>
      </c>
      <c r="D67" s="19">
        <f t="shared" ref="D67:D130" si="4">(C67-B67)^2</f>
        <v>2.6404322535072276E-3</v>
      </c>
      <c r="E67" s="3">
        <f>Ft!$B$12+Ft!$B$14*(Data!A67-Vars!$B$3)</f>
        <v>0</v>
      </c>
      <c r="F67" s="3">
        <f>IF(($A67-Ft!B$2)&lt;0,Ft!B$3*((1-Ft!B$6)/(1+Ft!B$37*($A67-Ft!B$2)^2)+Ft!B$6*EXP(Ft!B$38*($A67-Ft!B$2)^2)),Ft!B$3*((1-Ft!B$7)/(1+Ft!B$39*($A67-Ft!B$2)^2)+Ft!B$7*EXP(Ft!B$40*($A67-Ft!B$2)^2)))</f>
        <v>3.778873423789244E-4</v>
      </c>
      <c r="G67" s="3">
        <f>IF(($A67-Ft!C$2)&lt;0,Ft!C$3*((1-Ft!C$6)/(1+Ft!C$37*($A67-Ft!C$2)^2)+Ft!C$6*EXP(Ft!C$38*($A67-Ft!C$2)^2)),Ft!C$3*((1-Ft!C$7)/(1+Ft!C$39*($A67-Ft!C$2)^2)+Ft!C$7*EXP(Ft!C$40*($A67-Ft!C$2)^2)))</f>
        <v>9.0440630834360025</v>
      </c>
      <c r="H67" s="3">
        <f>IF(($A67-Ft!D$2)&lt;0,Ft!D$3*((1-Ft!D$6)/(1+Ft!D$37*($A67-Ft!D$2)^2)+Ft!D$6*EXP(Ft!D$38*($A67-Ft!D$2)^2)),Ft!D$3*((1-Ft!D$7)/(1+Ft!D$39*($A67-Ft!D$2)^2)+Ft!D$7*EXP(Ft!D$40*($A67-Ft!D$2)^2)))</f>
        <v>2.8196887820851861</v>
      </c>
      <c r="I67" s="3">
        <f>IF(($A67-Ft!E$2)&lt;0,Ft!E$3*((1-Ft!E$6)/(1+Ft!E$37*($A67-Ft!E$2)^2)+Ft!E$6*EXP(Ft!E$38*($A67-Ft!E$2)^2)),Ft!E$3*((1-Ft!E$7)/(1+Ft!E$39*($A67-Ft!E$2)^2)+Ft!E$7*EXP(Ft!E$40*($A67-Ft!E$2)^2)))</f>
        <v>8.9070797159593502E-5</v>
      </c>
      <c r="J67" s="3">
        <f>IF(($A67-Ft!F$2)&lt;0,Ft!F$3*((1-Ft!F$6)/(1+Ft!F$37*($A67-Ft!F$2)^2)+Ft!F$6*EXP(Ft!F$38*($A67-Ft!F$2)^2)),Ft!F$3*((1-Ft!F$7)/(1+Ft!F$39*($A67-Ft!F$2)^2)+Ft!F$7*EXP(Ft!F$40*($A67-Ft!F$2)^2)))</f>
        <v>1.1905934087939732E-88</v>
      </c>
      <c r="K67" s="3">
        <f>IF(($A67-Ft!G$2)&lt;0,Ft!G$3*((1-Ft!G$6)/(1+Ft!G$37*($A67-Ft!G$2)^2)+Ft!G$6*EXP(Ft!G$38*($A67-Ft!G$2)^2)),Ft!G$3*((1-Ft!G$7)/(1+Ft!G$39*($A67-Ft!G$2)^2)+Ft!G$7*EXP(Ft!G$40*($A67-Ft!G$2)^2)))</f>
        <v>0</v>
      </c>
      <c r="L67" s="3">
        <f>IF(($A67-Ft!H$2)&lt;0,Ft!H$3*((1-Ft!H$6)/(1+Ft!H$37*($A67-Ft!H$2)^2)+Ft!H$6*EXP(Ft!H$38*($A67-Ft!H$2)^2)),Ft!H$3*((1-Ft!H$7)/(1+Ft!H$39*($A67-Ft!H$2)^2)+Ft!H$7*EXP(Ft!H$40*($A67-Ft!H$2)^2)))</f>
        <v>0</v>
      </c>
      <c r="M67" s="3">
        <f>IF(($A67-Ft!I$2)&lt;0,Ft!I$3*((1-Ft!I$6)/(1+Ft!I$37*($A67-Ft!I$2)^2)+Ft!I$6*EXP(Ft!I$38*($A67-Ft!I$2)^2)),Ft!I$3*((1-Ft!I$7)/(1+Ft!I$39*($A67-Ft!I$2)^2)+Ft!I$7*EXP(Ft!I$40*($A67-Ft!I$2)^2)))</f>
        <v>0</v>
      </c>
      <c r="N67" s="3">
        <f>IF(($A67-Ft!J$2)&lt;0,Ft!J$3*((1-Ft!J$6)/(1+Ft!J$37*($A67-Ft!J$2)^2)+Ft!J$6*EXP(Ft!J$38*($A67-Ft!J$2)^2)),Ft!J$3*((1-Ft!J$7)/(1+Ft!J$39*($A67-Ft!J$2)^2)+Ft!J$7*EXP(Ft!J$40*($A67-Ft!J$2)^2)))</f>
        <v>0</v>
      </c>
      <c r="O67" s="3">
        <f>IF(($A67-Ft!K$2)&lt;0,Ft!K$3*((1-Ft!K$6)/(1+Ft!K$37*($A67-Ft!K$2)^2)+Ft!K$6*EXP(Ft!K$38*($A67-Ft!K$2)^2)),Ft!K$3*((1-Ft!K$7)/(1+Ft!K$39*($A67-Ft!K$2)^2)+Ft!K$7*EXP(Ft!K$40*($A67-Ft!K$2)^2)))</f>
        <v>0</v>
      </c>
      <c r="P67"/>
      <c r="Q67"/>
    </row>
    <row r="68" spans="1:17">
      <c r="A68">
        <v>132</v>
      </c>
      <c r="B68">
        <v>11.86274220752</v>
      </c>
      <c r="C68" s="6">
        <f t="shared" si="3"/>
        <v>11.95285084623778</v>
      </c>
      <c r="D68" s="19">
        <f t="shared" si="4"/>
        <v>8.1195667715713744E-3</v>
      </c>
      <c r="E68" s="3">
        <f>Ft!$B$12+Ft!$B$14*(Data!A68-Vars!$B$3)</f>
        <v>0</v>
      </c>
      <c r="F68" s="3">
        <f>IF(($A68-Ft!B$2)&lt;0,Ft!B$3*((1-Ft!B$6)/(1+Ft!B$37*($A68-Ft!B$2)^2)+Ft!B$6*EXP(Ft!B$38*($A68-Ft!B$2)^2)),Ft!B$3*((1-Ft!B$7)/(1+Ft!B$39*($A68-Ft!B$2)^2)+Ft!B$7*EXP(Ft!B$40*($A68-Ft!B$2)^2)))</f>
        <v>2.4518462177412829E-4</v>
      </c>
      <c r="G68" s="3">
        <f>IF(($A68-Ft!C$2)&lt;0,Ft!C$3*((1-Ft!C$6)/(1+Ft!C$37*($A68-Ft!C$2)^2)+Ft!C$6*EXP(Ft!C$38*($A68-Ft!C$2)^2)),Ft!C$3*((1-Ft!C$7)/(1+Ft!C$39*($A68-Ft!C$2)^2)+Ft!C$7*EXP(Ft!C$40*($A68-Ft!C$2)^2)))</f>
        <v>9.0664902542000121</v>
      </c>
      <c r="H68" s="3">
        <f>IF(($A68-Ft!D$2)&lt;0,Ft!D$3*((1-Ft!D$6)/(1+Ft!D$37*($A68-Ft!D$2)^2)+Ft!D$6*EXP(Ft!D$38*($A68-Ft!D$2)^2)),Ft!D$3*((1-Ft!D$7)/(1+Ft!D$39*($A68-Ft!D$2)^2)+Ft!D$7*EXP(Ft!D$40*($A68-Ft!D$2)^2)))</f>
        <v>2.8860199149017678</v>
      </c>
      <c r="I68" s="3">
        <f>IF(($A68-Ft!E$2)&lt;0,Ft!E$3*((1-Ft!E$6)/(1+Ft!E$37*($A68-Ft!E$2)^2)+Ft!E$6*EXP(Ft!E$38*($A68-Ft!E$2)^2)),Ft!E$3*((1-Ft!E$7)/(1+Ft!E$39*($A68-Ft!E$2)^2)+Ft!E$7*EXP(Ft!E$40*($A68-Ft!E$2)^2)))</f>
        <v>9.5492514225814517E-5</v>
      </c>
      <c r="J68" s="3">
        <f>IF(($A68-Ft!F$2)&lt;0,Ft!F$3*((1-Ft!F$6)/(1+Ft!F$37*($A68-Ft!F$2)^2)+Ft!F$6*EXP(Ft!F$38*($A68-Ft!F$2)^2)),Ft!F$3*((1-Ft!F$7)/(1+Ft!F$39*($A68-Ft!F$2)^2)+Ft!F$7*EXP(Ft!F$40*($A68-Ft!F$2)^2)))</f>
        <v>3.0359655924218774E-88</v>
      </c>
      <c r="K68" s="3">
        <f>IF(($A68-Ft!G$2)&lt;0,Ft!G$3*((1-Ft!G$6)/(1+Ft!G$37*($A68-Ft!G$2)^2)+Ft!G$6*EXP(Ft!G$38*($A68-Ft!G$2)^2)),Ft!G$3*((1-Ft!G$7)/(1+Ft!G$39*($A68-Ft!G$2)^2)+Ft!G$7*EXP(Ft!G$40*($A68-Ft!G$2)^2)))</f>
        <v>0</v>
      </c>
      <c r="L68" s="3">
        <f>IF(($A68-Ft!H$2)&lt;0,Ft!H$3*((1-Ft!H$6)/(1+Ft!H$37*($A68-Ft!H$2)^2)+Ft!H$6*EXP(Ft!H$38*($A68-Ft!H$2)^2)),Ft!H$3*((1-Ft!H$7)/(1+Ft!H$39*($A68-Ft!H$2)^2)+Ft!H$7*EXP(Ft!H$40*($A68-Ft!H$2)^2)))</f>
        <v>0</v>
      </c>
      <c r="M68" s="3">
        <f>IF(($A68-Ft!I$2)&lt;0,Ft!I$3*((1-Ft!I$6)/(1+Ft!I$37*($A68-Ft!I$2)^2)+Ft!I$6*EXP(Ft!I$38*($A68-Ft!I$2)^2)),Ft!I$3*((1-Ft!I$7)/(1+Ft!I$39*($A68-Ft!I$2)^2)+Ft!I$7*EXP(Ft!I$40*($A68-Ft!I$2)^2)))</f>
        <v>0</v>
      </c>
      <c r="N68" s="3">
        <f>IF(($A68-Ft!J$2)&lt;0,Ft!J$3*((1-Ft!J$6)/(1+Ft!J$37*($A68-Ft!J$2)^2)+Ft!J$6*EXP(Ft!J$38*($A68-Ft!J$2)^2)),Ft!J$3*((1-Ft!J$7)/(1+Ft!J$39*($A68-Ft!J$2)^2)+Ft!J$7*EXP(Ft!J$40*($A68-Ft!J$2)^2)))</f>
        <v>0</v>
      </c>
      <c r="O68" s="3">
        <f>IF(($A68-Ft!K$2)&lt;0,Ft!K$3*((1-Ft!K$6)/(1+Ft!K$37*($A68-Ft!K$2)^2)+Ft!K$6*EXP(Ft!K$38*($A68-Ft!K$2)^2)),Ft!K$3*((1-Ft!K$7)/(1+Ft!K$39*($A68-Ft!K$2)^2)+Ft!K$7*EXP(Ft!K$40*($A68-Ft!K$2)^2)))</f>
        <v>0</v>
      </c>
      <c r="P68"/>
      <c r="Q68"/>
    </row>
    <row r="69" spans="1:17">
      <c r="A69">
        <v>134</v>
      </c>
      <c r="B69">
        <v>11.911719491927002</v>
      </c>
      <c r="C69" s="6">
        <f t="shared" si="3"/>
        <v>12.036818451701247</v>
      </c>
      <c r="D69" s="19">
        <f t="shared" si="4"/>
        <v>1.5649749736598256E-2</v>
      </c>
      <c r="E69" s="3">
        <f>Ft!$B$12+Ft!$B$14*(Data!A69-Vars!$B$3)</f>
        <v>0</v>
      </c>
      <c r="F69" s="3">
        <f>IF(($A69-Ft!B$2)&lt;0,Ft!B$3*((1-Ft!B$6)/(1+Ft!B$37*($A69-Ft!B$2)^2)+Ft!B$6*EXP(Ft!B$38*($A69-Ft!B$2)^2)),Ft!B$3*((1-Ft!B$7)/(1+Ft!B$39*($A69-Ft!B$2)^2)+Ft!B$7*EXP(Ft!B$40*($A69-Ft!B$2)^2)))</f>
        <v>1.5748282269775651E-4</v>
      </c>
      <c r="G69" s="3">
        <f>IF(($A69-Ft!C$2)&lt;0,Ft!C$3*((1-Ft!C$6)/(1+Ft!C$37*($A69-Ft!C$2)^2)+Ft!C$6*EXP(Ft!C$38*($A69-Ft!C$2)^2)),Ft!C$3*((1-Ft!C$7)/(1+Ft!C$39*($A69-Ft!C$2)^2)+Ft!C$7*EXP(Ft!C$40*($A69-Ft!C$2)^2)))</f>
        <v>9.0830718036422926</v>
      </c>
      <c r="H69" s="3">
        <f>IF(($A69-Ft!D$2)&lt;0,Ft!D$3*((1-Ft!D$6)/(1+Ft!D$37*($A69-Ft!D$2)^2)+Ft!D$6*EXP(Ft!D$38*($A69-Ft!D$2)^2)),Ft!D$3*((1-Ft!D$7)/(1+Ft!D$39*($A69-Ft!D$2)^2)+Ft!D$7*EXP(Ft!D$40*($A69-Ft!D$2)^2)))</f>
        <v>2.9534868086322894</v>
      </c>
      <c r="I69" s="3">
        <f>IF(($A69-Ft!E$2)&lt;0,Ft!E$3*((1-Ft!E$6)/(1+Ft!E$37*($A69-Ft!E$2)^2)+Ft!E$6*EXP(Ft!E$38*($A69-Ft!E$2)^2)),Ft!E$3*((1-Ft!E$7)/(1+Ft!E$39*($A69-Ft!E$2)^2)+Ft!E$7*EXP(Ft!E$40*($A69-Ft!E$2)^2)))</f>
        <v>1.023566039668759E-4</v>
      </c>
      <c r="J69" s="3">
        <f>IF(($A69-Ft!F$2)&lt;0,Ft!F$3*((1-Ft!F$6)/(1+Ft!F$37*($A69-Ft!F$2)^2)+Ft!F$6*EXP(Ft!F$38*($A69-Ft!F$2)^2)),Ft!F$3*((1-Ft!F$7)/(1+Ft!F$39*($A69-Ft!F$2)^2)+Ft!F$7*EXP(Ft!F$40*($A69-Ft!F$2)^2)))</f>
        <v>7.724946684374531E-88</v>
      </c>
      <c r="K69" s="3">
        <f>IF(($A69-Ft!G$2)&lt;0,Ft!G$3*((1-Ft!G$6)/(1+Ft!G$37*($A69-Ft!G$2)^2)+Ft!G$6*EXP(Ft!G$38*($A69-Ft!G$2)^2)),Ft!G$3*((1-Ft!G$7)/(1+Ft!G$39*($A69-Ft!G$2)^2)+Ft!G$7*EXP(Ft!G$40*($A69-Ft!G$2)^2)))</f>
        <v>0</v>
      </c>
      <c r="L69" s="3">
        <f>IF(($A69-Ft!H$2)&lt;0,Ft!H$3*((1-Ft!H$6)/(1+Ft!H$37*($A69-Ft!H$2)^2)+Ft!H$6*EXP(Ft!H$38*($A69-Ft!H$2)^2)),Ft!H$3*((1-Ft!H$7)/(1+Ft!H$39*($A69-Ft!H$2)^2)+Ft!H$7*EXP(Ft!H$40*($A69-Ft!H$2)^2)))</f>
        <v>0</v>
      </c>
      <c r="M69" s="3">
        <f>IF(($A69-Ft!I$2)&lt;0,Ft!I$3*((1-Ft!I$6)/(1+Ft!I$37*($A69-Ft!I$2)^2)+Ft!I$6*EXP(Ft!I$38*($A69-Ft!I$2)^2)),Ft!I$3*((1-Ft!I$7)/(1+Ft!I$39*($A69-Ft!I$2)^2)+Ft!I$7*EXP(Ft!I$40*($A69-Ft!I$2)^2)))</f>
        <v>0</v>
      </c>
      <c r="N69" s="3">
        <f>IF(($A69-Ft!J$2)&lt;0,Ft!J$3*((1-Ft!J$6)/(1+Ft!J$37*($A69-Ft!J$2)^2)+Ft!J$6*EXP(Ft!J$38*($A69-Ft!J$2)^2)),Ft!J$3*((1-Ft!J$7)/(1+Ft!J$39*($A69-Ft!J$2)^2)+Ft!J$7*EXP(Ft!J$40*($A69-Ft!J$2)^2)))</f>
        <v>0</v>
      </c>
      <c r="O69" s="3">
        <f>IF(($A69-Ft!K$2)&lt;0,Ft!K$3*((1-Ft!K$6)/(1+Ft!K$37*($A69-Ft!K$2)^2)+Ft!K$6*EXP(Ft!K$38*($A69-Ft!K$2)^2)),Ft!K$3*((1-Ft!K$7)/(1+Ft!K$39*($A69-Ft!K$2)^2)+Ft!K$7*EXP(Ft!K$40*($A69-Ft!K$2)^2)))</f>
        <v>0</v>
      </c>
      <c r="P69"/>
      <c r="Q69"/>
    </row>
    <row r="70" spans="1:17">
      <c r="A70">
        <v>136</v>
      </c>
      <c r="B70">
        <v>11.955365553680991</v>
      </c>
      <c r="C70" s="6">
        <f t="shared" si="3"/>
        <v>12.116081705713798</v>
      </c>
      <c r="D70" s="19">
        <f t="shared" si="4"/>
        <v>2.582968152423222E-2</v>
      </c>
      <c r="E70" s="3">
        <f>Ft!$B$12+Ft!$B$14*(Data!A70-Vars!$B$3)</f>
        <v>0</v>
      </c>
      <c r="F70" s="3">
        <f>IF(($A70-Ft!B$2)&lt;0,Ft!B$3*((1-Ft!B$6)/(1+Ft!B$37*($A70-Ft!B$2)^2)+Ft!B$6*EXP(Ft!B$38*($A70-Ft!B$2)^2)),Ft!B$3*((1-Ft!B$7)/(1+Ft!B$39*($A70-Ft!B$2)^2)+Ft!B$7*EXP(Ft!B$40*($A70-Ft!B$2)^2)))</f>
        <v>1.0013415434132074E-4</v>
      </c>
      <c r="G70" s="3">
        <f>IF(($A70-Ft!C$2)&lt;0,Ft!C$3*((1-Ft!C$6)/(1+Ft!C$37*($A70-Ft!C$2)^2)+Ft!C$6*EXP(Ft!C$38*($A70-Ft!C$2)^2)),Ft!C$3*((1-Ft!C$7)/(1+Ft!C$39*($A70-Ft!C$2)^2)+Ft!C$7*EXP(Ft!C$40*($A70-Ft!C$2)^2)))</f>
        <v>9.0937754891722609</v>
      </c>
      <c r="H70" s="3">
        <f>IF(($A70-Ft!D$2)&lt;0,Ft!D$3*((1-Ft!D$6)/(1+Ft!D$37*($A70-Ft!D$2)^2)+Ft!D$6*EXP(Ft!D$38*($A70-Ft!D$2)^2)),Ft!D$3*((1-Ft!D$7)/(1+Ft!D$39*($A70-Ft!D$2)^2)+Ft!D$7*EXP(Ft!D$40*($A70-Ft!D$2)^2)))</f>
        <v>3.0220963903860003</v>
      </c>
      <c r="I70" s="3">
        <f>IF(($A70-Ft!E$2)&lt;0,Ft!E$3*((1-Ft!E$6)/(1+Ft!E$37*($A70-Ft!E$2)^2)+Ft!E$6*EXP(Ft!E$38*($A70-Ft!E$2)^2)),Ft!E$3*((1-Ft!E$7)/(1+Ft!E$39*($A70-Ft!E$2)^2)+Ft!E$7*EXP(Ft!E$40*($A70-Ft!E$2)^2)))</f>
        <v>1.0969200119641073E-4</v>
      </c>
      <c r="J70" s="3">
        <f>IF(($A70-Ft!F$2)&lt;0,Ft!F$3*((1-Ft!F$6)/(1+Ft!F$37*($A70-Ft!F$2)^2)+Ft!F$6*EXP(Ft!F$38*($A70-Ft!F$2)^2)),Ft!F$3*((1-Ft!F$7)/(1+Ft!F$39*($A70-Ft!F$2)^2)+Ft!F$7*EXP(Ft!F$40*($A70-Ft!F$2)^2)))</f>
        <v>1.9613694672664508E-87</v>
      </c>
      <c r="K70" s="3">
        <f>IF(($A70-Ft!G$2)&lt;0,Ft!G$3*((1-Ft!G$6)/(1+Ft!G$37*($A70-Ft!G$2)^2)+Ft!G$6*EXP(Ft!G$38*($A70-Ft!G$2)^2)),Ft!G$3*((1-Ft!G$7)/(1+Ft!G$39*($A70-Ft!G$2)^2)+Ft!G$7*EXP(Ft!G$40*($A70-Ft!G$2)^2)))</f>
        <v>0</v>
      </c>
      <c r="L70" s="3">
        <f>IF(($A70-Ft!H$2)&lt;0,Ft!H$3*((1-Ft!H$6)/(1+Ft!H$37*($A70-Ft!H$2)^2)+Ft!H$6*EXP(Ft!H$38*($A70-Ft!H$2)^2)),Ft!H$3*((1-Ft!H$7)/(1+Ft!H$39*($A70-Ft!H$2)^2)+Ft!H$7*EXP(Ft!H$40*($A70-Ft!H$2)^2)))</f>
        <v>0</v>
      </c>
      <c r="M70" s="3">
        <f>IF(($A70-Ft!I$2)&lt;0,Ft!I$3*((1-Ft!I$6)/(1+Ft!I$37*($A70-Ft!I$2)^2)+Ft!I$6*EXP(Ft!I$38*($A70-Ft!I$2)^2)),Ft!I$3*((1-Ft!I$7)/(1+Ft!I$39*($A70-Ft!I$2)^2)+Ft!I$7*EXP(Ft!I$40*($A70-Ft!I$2)^2)))</f>
        <v>0</v>
      </c>
      <c r="N70" s="3">
        <f>IF(($A70-Ft!J$2)&lt;0,Ft!J$3*((1-Ft!J$6)/(1+Ft!J$37*($A70-Ft!J$2)^2)+Ft!J$6*EXP(Ft!J$38*($A70-Ft!J$2)^2)),Ft!J$3*((1-Ft!J$7)/(1+Ft!J$39*($A70-Ft!J$2)^2)+Ft!J$7*EXP(Ft!J$40*($A70-Ft!J$2)^2)))</f>
        <v>0</v>
      </c>
      <c r="O70" s="3">
        <f>IF(($A70-Ft!K$2)&lt;0,Ft!K$3*((1-Ft!K$6)/(1+Ft!K$37*($A70-Ft!K$2)^2)+Ft!K$6*EXP(Ft!K$38*($A70-Ft!K$2)^2)),Ft!K$3*((1-Ft!K$7)/(1+Ft!K$39*($A70-Ft!K$2)^2)+Ft!K$7*EXP(Ft!K$40*($A70-Ft!K$2)^2)))</f>
        <v>0</v>
      </c>
      <c r="P70"/>
      <c r="Q70"/>
    </row>
    <row r="71" spans="1:17">
      <c r="A71">
        <v>138</v>
      </c>
      <c r="B71">
        <v>11.990145652238994</v>
      </c>
      <c r="C71" s="6">
        <f t="shared" si="3"/>
        <v>12.190616285348971</v>
      </c>
      <c r="D71" s="19">
        <f t="shared" si="4"/>
        <v>4.0188474739515374E-2</v>
      </c>
      <c r="E71" s="3">
        <f>Ft!$B$12+Ft!$B$14*(Data!A71-Vars!$B$3)</f>
        <v>0</v>
      </c>
      <c r="F71" s="3">
        <f>IF(($A71-Ft!B$2)&lt;0,Ft!B$3*((1-Ft!B$6)/(1+Ft!B$37*($A71-Ft!B$2)^2)+Ft!B$6*EXP(Ft!B$38*($A71-Ft!B$2)^2)),Ft!B$3*((1-Ft!B$7)/(1+Ft!B$39*($A71-Ft!B$2)^2)+Ft!B$7*EXP(Ft!B$40*($A71-Ft!B$2)^2)))</f>
        <v>6.3028991670656731E-5</v>
      </c>
      <c r="G71" s="3">
        <f>IF(($A71-Ft!C$2)&lt;0,Ft!C$3*((1-Ft!C$6)/(1+Ft!C$37*($A71-Ft!C$2)^2)+Ft!C$6*EXP(Ft!C$38*($A71-Ft!C$2)^2)),Ft!C$3*((1-Ft!C$7)/(1+Ft!C$39*($A71-Ft!C$2)^2)+Ft!C$7*EXP(Ft!C$40*($A71-Ft!C$2)^2)))</f>
        <v>9.0985804767469265</v>
      </c>
      <c r="H71" s="3">
        <f>IF(($A71-Ft!D$2)&lt;0,Ft!D$3*((1-Ft!D$6)/(1+Ft!D$37*($A71-Ft!D$2)^2)+Ft!D$6*EXP(Ft!D$38*($A71-Ft!D$2)^2)),Ft!D$3*((1-Ft!D$7)/(1+Ft!D$39*($A71-Ft!D$2)^2)+Ft!D$7*EXP(Ft!D$40*($A71-Ft!D$2)^2)))</f>
        <v>3.0918552501877836</v>
      </c>
      <c r="I71" s="3">
        <f>IF(($A71-Ft!E$2)&lt;0,Ft!E$3*((1-Ft!E$6)/(1+Ft!E$37*($A71-Ft!E$2)^2)+Ft!E$6*EXP(Ft!E$38*($A71-Ft!E$2)^2)),Ft!E$3*((1-Ft!E$7)/(1+Ft!E$39*($A71-Ft!E$2)^2)+Ft!E$7*EXP(Ft!E$40*($A71-Ft!E$2)^2)))</f>
        <v>1.1752942258989193E-4</v>
      </c>
      <c r="J71" s="3">
        <f>IF(($A71-Ft!F$2)&lt;0,Ft!F$3*((1-Ft!F$6)/(1+Ft!F$37*($A71-Ft!F$2)^2)+Ft!F$6*EXP(Ft!F$38*($A71-Ft!F$2)^2)),Ft!F$3*((1-Ft!F$7)/(1+Ft!F$39*($A71-Ft!F$2)^2)+Ft!F$7*EXP(Ft!F$40*($A71-Ft!F$2)^2)))</f>
        <v>4.9692243435198952E-87</v>
      </c>
      <c r="K71" s="3">
        <f>IF(($A71-Ft!G$2)&lt;0,Ft!G$3*((1-Ft!G$6)/(1+Ft!G$37*($A71-Ft!G$2)^2)+Ft!G$6*EXP(Ft!G$38*($A71-Ft!G$2)^2)),Ft!G$3*((1-Ft!G$7)/(1+Ft!G$39*($A71-Ft!G$2)^2)+Ft!G$7*EXP(Ft!G$40*($A71-Ft!G$2)^2)))</f>
        <v>0</v>
      </c>
      <c r="L71" s="3">
        <f>IF(($A71-Ft!H$2)&lt;0,Ft!H$3*((1-Ft!H$6)/(1+Ft!H$37*($A71-Ft!H$2)^2)+Ft!H$6*EXP(Ft!H$38*($A71-Ft!H$2)^2)),Ft!H$3*((1-Ft!H$7)/(1+Ft!H$39*($A71-Ft!H$2)^2)+Ft!H$7*EXP(Ft!H$40*($A71-Ft!H$2)^2)))</f>
        <v>0</v>
      </c>
      <c r="M71" s="3">
        <f>IF(($A71-Ft!I$2)&lt;0,Ft!I$3*((1-Ft!I$6)/(1+Ft!I$37*($A71-Ft!I$2)^2)+Ft!I$6*EXP(Ft!I$38*($A71-Ft!I$2)^2)),Ft!I$3*((1-Ft!I$7)/(1+Ft!I$39*($A71-Ft!I$2)^2)+Ft!I$7*EXP(Ft!I$40*($A71-Ft!I$2)^2)))</f>
        <v>0</v>
      </c>
      <c r="N71" s="3">
        <f>IF(($A71-Ft!J$2)&lt;0,Ft!J$3*((1-Ft!J$6)/(1+Ft!J$37*($A71-Ft!J$2)^2)+Ft!J$6*EXP(Ft!J$38*($A71-Ft!J$2)^2)),Ft!J$3*((1-Ft!J$7)/(1+Ft!J$39*($A71-Ft!J$2)^2)+Ft!J$7*EXP(Ft!J$40*($A71-Ft!J$2)^2)))</f>
        <v>0</v>
      </c>
      <c r="O71" s="3">
        <f>IF(($A71-Ft!K$2)&lt;0,Ft!K$3*((1-Ft!K$6)/(1+Ft!K$37*($A71-Ft!K$2)^2)+Ft!K$6*EXP(Ft!K$38*($A71-Ft!K$2)^2)),Ft!K$3*((1-Ft!K$7)/(1+Ft!K$39*($A71-Ft!K$2)^2)+Ft!K$7*EXP(Ft!K$40*($A71-Ft!K$2)^2)))</f>
        <v>0</v>
      </c>
      <c r="P71"/>
      <c r="Q71"/>
    </row>
    <row r="72" spans="1:17">
      <c r="A72">
        <v>140</v>
      </c>
      <c r="B72">
        <v>12.018117112024001</v>
      </c>
      <c r="C72" s="6">
        <f t="shared" si="3"/>
        <v>12.260412213446646</v>
      </c>
      <c r="D72" s="19">
        <f t="shared" si="4"/>
        <v>5.8706916173409771E-2</v>
      </c>
      <c r="E72" s="3">
        <f>Ft!$B$12+Ft!$B$14*(Data!A72-Vars!$B$3)</f>
        <v>0</v>
      </c>
      <c r="F72" s="3">
        <f>IF(($A72-Ft!B$2)&lt;0,Ft!B$3*((1-Ft!B$6)/(1+Ft!B$37*($A72-Ft!B$2)^2)+Ft!B$6*EXP(Ft!B$38*($A72-Ft!B$2)^2)),Ft!B$3*((1-Ft!B$7)/(1+Ft!B$39*($A72-Ft!B$2)^2)+Ft!B$7*EXP(Ft!B$40*($A72-Ft!B$2)^2)))</f>
        <v>3.9274219703594189E-5</v>
      </c>
      <c r="G72" s="3">
        <f>IF(($A72-Ft!C$2)&lt;0,Ft!C$3*((1-Ft!C$6)/(1+Ft!C$37*($A72-Ft!C$2)^2)+Ft!C$6*EXP(Ft!C$38*($A72-Ft!C$2)^2)),Ft!C$3*((1-Ft!C$7)/(1+Ft!C$39*($A72-Ft!C$2)^2)+Ft!C$7*EXP(Ft!C$40*($A72-Ft!C$2)^2)))</f>
        <v>9.0974774084431491</v>
      </c>
      <c r="H72" s="3">
        <f>IF(($A72-Ft!D$2)&lt;0,Ft!D$3*((1-Ft!D$6)/(1+Ft!D$37*($A72-Ft!D$2)^2)+Ft!D$6*EXP(Ft!D$38*($A72-Ft!D$2)^2)),Ft!D$3*((1-Ft!D$7)/(1+Ft!D$39*($A72-Ft!D$2)^2)+Ft!D$7*EXP(Ft!D$40*($A72-Ft!D$2)^2)))</f>
        <v>3.162769629315032</v>
      </c>
      <c r="I72" s="3">
        <f>IF(($A72-Ft!E$2)&lt;0,Ft!E$3*((1-Ft!E$6)/(1+Ft!E$37*($A72-Ft!E$2)^2)+Ft!E$6*EXP(Ft!E$38*($A72-Ft!E$2)^2)),Ft!E$3*((1-Ft!E$7)/(1+Ft!E$39*($A72-Ft!E$2)^2)+Ft!E$7*EXP(Ft!E$40*($A72-Ft!E$2)^2)))</f>
        <v>1.2590146876053331E-4</v>
      </c>
      <c r="J72" s="3">
        <f>IF(($A72-Ft!F$2)&lt;0,Ft!F$3*((1-Ft!F$6)/(1+Ft!F$37*($A72-Ft!F$2)^2)+Ft!F$6*EXP(Ft!F$38*($A72-Ft!F$2)^2)),Ft!F$3*((1-Ft!F$7)/(1+Ft!F$39*($A72-Ft!F$2)^2)+Ft!F$7*EXP(Ft!F$40*($A72-Ft!F$2)^2)))</f>
        <v>1.2562702405875308E-86</v>
      </c>
      <c r="K72" s="3">
        <f>IF(($A72-Ft!G$2)&lt;0,Ft!G$3*((1-Ft!G$6)/(1+Ft!G$37*($A72-Ft!G$2)^2)+Ft!G$6*EXP(Ft!G$38*($A72-Ft!G$2)^2)),Ft!G$3*((1-Ft!G$7)/(1+Ft!G$39*($A72-Ft!G$2)^2)+Ft!G$7*EXP(Ft!G$40*($A72-Ft!G$2)^2)))</f>
        <v>0</v>
      </c>
      <c r="L72" s="3">
        <f>IF(($A72-Ft!H$2)&lt;0,Ft!H$3*((1-Ft!H$6)/(1+Ft!H$37*($A72-Ft!H$2)^2)+Ft!H$6*EXP(Ft!H$38*($A72-Ft!H$2)^2)),Ft!H$3*((1-Ft!H$7)/(1+Ft!H$39*($A72-Ft!H$2)^2)+Ft!H$7*EXP(Ft!H$40*($A72-Ft!H$2)^2)))</f>
        <v>0</v>
      </c>
      <c r="M72" s="3">
        <f>IF(($A72-Ft!I$2)&lt;0,Ft!I$3*((1-Ft!I$6)/(1+Ft!I$37*($A72-Ft!I$2)^2)+Ft!I$6*EXP(Ft!I$38*($A72-Ft!I$2)^2)),Ft!I$3*((1-Ft!I$7)/(1+Ft!I$39*($A72-Ft!I$2)^2)+Ft!I$7*EXP(Ft!I$40*($A72-Ft!I$2)^2)))</f>
        <v>0</v>
      </c>
      <c r="N72" s="3">
        <f>IF(($A72-Ft!J$2)&lt;0,Ft!J$3*((1-Ft!J$6)/(1+Ft!J$37*($A72-Ft!J$2)^2)+Ft!J$6*EXP(Ft!J$38*($A72-Ft!J$2)^2)),Ft!J$3*((1-Ft!J$7)/(1+Ft!J$39*($A72-Ft!J$2)^2)+Ft!J$7*EXP(Ft!J$40*($A72-Ft!J$2)^2)))</f>
        <v>0</v>
      </c>
      <c r="O72" s="3">
        <f>IF(($A72-Ft!K$2)&lt;0,Ft!K$3*((1-Ft!K$6)/(1+Ft!K$37*($A72-Ft!K$2)^2)+Ft!K$6*EXP(Ft!K$38*($A72-Ft!K$2)^2)),Ft!K$3*((1-Ft!K$7)/(1+Ft!K$39*($A72-Ft!K$2)^2)+Ft!K$7*EXP(Ft!K$40*($A72-Ft!K$2)^2)))</f>
        <v>0</v>
      </c>
      <c r="P72"/>
      <c r="Q72"/>
    </row>
    <row r="73" spans="1:17">
      <c r="A73">
        <v>142</v>
      </c>
      <c r="B73">
        <v>12.04133725746</v>
      </c>
      <c r="C73" s="6">
        <f t="shared" si="3"/>
        <v>12.325472910295034</v>
      </c>
      <c r="D73" s="19">
        <f t="shared" si="4"/>
        <v>8.0733069211990499E-2</v>
      </c>
      <c r="E73" s="3">
        <f>Ft!$B$12+Ft!$B$14*(Data!A73-Vars!$B$3)</f>
        <v>0</v>
      </c>
      <c r="F73" s="3">
        <f>IF(($A73-Ft!B$2)&lt;0,Ft!B$3*((1-Ft!B$6)/(1+Ft!B$37*($A73-Ft!B$2)^2)+Ft!B$6*EXP(Ft!B$38*($A73-Ft!B$2)^2)),Ft!B$3*((1-Ft!B$7)/(1+Ft!B$39*($A73-Ft!B$2)^2)+Ft!B$7*EXP(Ft!B$40*($A73-Ft!B$2)^2)))</f>
        <v>2.4226119329967567E-5</v>
      </c>
      <c r="G73" s="3">
        <f>IF(($A73-Ft!C$2)&lt;0,Ft!C$3*((1-Ft!C$6)/(1+Ft!C$37*($A73-Ft!C$2)^2)+Ft!C$6*EXP(Ft!C$38*($A73-Ft!C$2)^2)),Ft!C$3*((1-Ft!C$7)/(1+Ft!C$39*($A73-Ft!C$2)^2)+Ft!C$7*EXP(Ft!C$40*($A73-Ft!C$2)^2)))</f>
        <v>9.0904684328260235</v>
      </c>
      <c r="H73" s="3">
        <f>IF(($A73-Ft!D$2)&lt;0,Ft!D$3*((1-Ft!D$6)/(1+Ft!D$37*($A73-Ft!D$2)^2)+Ft!D$6*EXP(Ft!D$38*($A73-Ft!D$2)^2)),Ft!D$3*((1-Ft!D$7)/(1+Ft!D$39*($A73-Ft!D$2)^2)+Ft!D$7*EXP(Ft!D$40*($A73-Ft!D$2)^2)))</f>
        <v>3.2348454086180056</v>
      </c>
      <c r="I73" s="3">
        <f>IF(($A73-Ft!E$2)&lt;0,Ft!E$3*((1-Ft!E$6)/(1+Ft!E$37*($A73-Ft!E$2)^2)+Ft!E$6*EXP(Ft!E$38*($A73-Ft!E$2)^2)),Ft!E$3*((1-Ft!E$7)/(1+Ft!E$39*($A73-Ft!E$2)^2)+Ft!E$7*EXP(Ft!E$40*($A73-Ft!E$2)^2)))</f>
        <v>1.3484273167537806E-4</v>
      </c>
      <c r="J73" s="3">
        <f>IF(($A73-Ft!F$2)&lt;0,Ft!F$3*((1-Ft!F$6)/(1+Ft!F$37*($A73-Ft!F$2)^2)+Ft!F$6*EXP(Ft!F$38*($A73-Ft!F$2)^2)),Ft!F$3*((1-Ft!F$7)/(1+Ft!F$39*($A73-Ft!F$2)^2)+Ft!F$7*EXP(Ft!F$40*($A73-Ft!F$2)^2)))</f>
        <v>3.1691501364096505E-86</v>
      </c>
      <c r="K73" s="3">
        <f>IF(($A73-Ft!G$2)&lt;0,Ft!G$3*((1-Ft!G$6)/(1+Ft!G$37*($A73-Ft!G$2)^2)+Ft!G$6*EXP(Ft!G$38*($A73-Ft!G$2)^2)),Ft!G$3*((1-Ft!G$7)/(1+Ft!G$39*($A73-Ft!G$2)^2)+Ft!G$7*EXP(Ft!G$40*($A73-Ft!G$2)^2)))</f>
        <v>0</v>
      </c>
      <c r="L73" s="3">
        <f>IF(($A73-Ft!H$2)&lt;0,Ft!H$3*((1-Ft!H$6)/(1+Ft!H$37*($A73-Ft!H$2)^2)+Ft!H$6*EXP(Ft!H$38*($A73-Ft!H$2)^2)),Ft!H$3*((1-Ft!H$7)/(1+Ft!H$39*($A73-Ft!H$2)^2)+Ft!H$7*EXP(Ft!H$40*($A73-Ft!H$2)^2)))</f>
        <v>0</v>
      </c>
      <c r="M73" s="3">
        <f>IF(($A73-Ft!I$2)&lt;0,Ft!I$3*((1-Ft!I$6)/(1+Ft!I$37*($A73-Ft!I$2)^2)+Ft!I$6*EXP(Ft!I$38*($A73-Ft!I$2)^2)),Ft!I$3*((1-Ft!I$7)/(1+Ft!I$39*($A73-Ft!I$2)^2)+Ft!I$7*EXP(Ft!I$40*($A73-Ft!I$2)^2)))</f>
        <v>0</v>
      </c>
      <c r="N73" s="3">
        <f>IF(($A73-Ft!J$2)&lt;0,Ft!J$3*((1-Ft!J$6)/(1+Ft!J$37*($A73-Ft!J$2)^2)+Ft!J$6*EXP(Ft!J$38*($A73-Ft!J$2)^2)),Ft!J$3*((1-Ft!J$7)/(1+Ft!J$39*($A73-Ft!J$2)^2)+Ft!J$7*EXP(Ft!J$40*($A73-Ft!J$2)^2)))</f>
        <v>0</v>
      </c>
      <c r="O73" s="3">
        <f>IF(($A73-Ft!K$2)&lt;0,Ft!K$3*((1-Ft!K$6)/(1+Ft!K$37*($A73-Ft!K$2)^2)+Ft!K$6*EXP(Ft!K$38*($A73-Ft!K$2)^2)),Ft!K$3*((1-Ft!K$7)/(1+Ft!K$39*($A73-Ft!K$2)^2)+Ft!K$7*EXP(Ft!K$40*($A73-Ft!K$2)^2)))</f>
        <v>0</v>
      </c>
      <c r="P73"/>
      <c r="Q73"/>
    </row>
    <row r="74" spans="1:17">
      <c r="A74">
        <v>144</v>
      </c>
      <c r="B74">
        <v>12.061863412970993</v>
      </c>
      <c r="C74" s="6">
        <f t="shared" si="3"/>
        <v>12.385814478158059</v>
      </c>
      <c r="D74" s="19">
        <f t="shared" si="4"/>
        <v>0.10494429263583444</v>
      </c>
      <c r="E74" s="3">
        <f>Ft!$B$12+Ft!$B$14*(Data!A74-Vars!$B$3)</f>
        <v>0</v>
      </c>
      <c r="F74" s="3">
        <f>IF(($A74-Ft!B$2)&lt;0,Ft!B$3*((1-Ft!B$6)/(1+Ft!B$37*($A74-Ft!B$2)^2)+Ft!B$6*EXP(Ft!B$38*($A74-Ft!B$2)^2)),Ft!B$3*((1-Ft!B$7)/(1+Ft!B$39*($A74-Ft!B$2)^2)+Ft!B$7*EXP(Ft!B$40*($A74-Ft!B$2)^2)))</f>
        <v>1.4793441539367684E-5</v>
      </c>
      <c r="G74" s="3">
        <f>IF(($A74-Ft!C$2)&lt;0,Ft!C$3*((1-Ft!C$6)/(1+Ft!C$37*($A74-Ft!C$2)^2)+Ft!C$6*EXP(Ft!C$38*($A74-Ft!C$2)^2)),Ft!C$3*((1-Ft!C$7)/(1+Ft!C$39*($A74-Ft!C$2)^2)+Ft!C$7*EXP(Ft!C$40*($A74-Ft!C$2)^2)))</f>
        <v>9.0775671979753803</v>
      </c>
      <c r="H74" s="3">
        <f>IF(($A74-Ft!D$2)&lt;0,Ft!D$3*((1-Ft!D$6)/(1+Ft!D$37*($A74-Ft!D$2)^2)+Ft!D$6*EXP(Ft!D$38*($A74-Ft!D$2)^2)),Ft!D$3*((1-Ft!D$7)/(1+Ft!D$39*($A74-Ft!D$2)^2)+Ft!D$7*EXP(Ft!D$40*($A74-Ft!D$2)^2)))</f>
        <v>3.3080880968334792</v>
      </c>
      <c r="I74" s="3">
        <f>IF(($A74-Ft!E$2)&lt;0,Ft!E$3*((1-Ft!E$6)/(1+Ft!E$37*($A74-Ft!E$2)^2)+Ft!E$6*EXP(Ft!E$38*($A74-Ft!E$2)^2)),Ft!E$3*((1-Ft!E$7)/(1+Ft!E$39*($A74-Ft!E$2)^2)+Ft!E$7*EXP(Ft!E$40*($A74-Ft!E$2)^2)))</f>
        <v>1.4438990765876645E-4</v>
      </c>
      <c r="J74" s="3">
        <f>IF(($A74-Ft!F$2)&lt;0,Ft!F$3*((1-Ft!F$6)/(1+Ft!F$37*($A74-Ft!F$2)^2)+Ft!F$6*EXP(Ft!F$38*($A74-Ft!F$2)^2)),Ft!F$3*((1-Ft!F$7)/(1+Ft!F$39*($A74-Ft!F$2)^2)+Ft!F$7*EXP(Ft!F$40*($A74-Ft!F$2)^2)))</f>
        <v>7.9775186894706302E-86</v>
      </c>
      <c r="K74" s="3">
        <f>IF(($A74-Ft!G$2)&lt;0,Ft!G$3*((1-Ft!G$6)/(1+Ft!G$37*($A74-Ft!G$2)^2)+Ft!G$6*EXP(Ft!G$38*($A74-Ft!G$2)^2)),Ft!G$3*((1-Ft!G$7)/(1+Ft!G$39*($A74-Ft!G$2)^2)+Ft!G$7*EXP(Ft!G$40*($A74-Ft!G$2)^2)))</f>
        <v>0</v>
      </c>
      <c r="L74" s="3">
        <f>IF(($A74-Ft!H$2)&lt;0,Ft!H$3*((1-Ft!H$6)/(1+Ft!H$37*($A74-Ft!H$2)^2)+Ft!H$6*EXP(Ft!H$38*($A74-Ft!H$2)^2)),Ft!H$3*((1-Ft!H$7)/(1+Ft!H$39*($A74-Ft!H$2)^2)+Ft!H$7*EXP(Ft!H$40*($A74-Ft!H$2)^2)))</f>
        <v>0</v>
      </c>
      <c r="M74" s="3">
        <f>IF(($A74-Ft!I$2)&lt;0,Ft!I$3*((1-Ft!I$6)/(1+Ft!I$37*($A74-Ft!I$2)^2)+Ft!I$6*EXP(Ft!I$38*($A74-Ft!I$2)^2)),Ft!I$3*((1-Ft!I$7)/(1+Ft!I$39*($A74-Ft!I$2)^2)+Ft!I$7*EXP(Ft!I$40*($A74-Ft!I$2)^2)))</f>
        <v>0</v>
      </c>
      <c r="N74" s="3">
        <f>IF(($A74-Ft!J$2)&lt;0,Ft!J$3*((1-Ft!J$6)/(1+Ft!J$37*($A74-Ft!J$2)^2)+Ft!J$6*EXP(Ft!J$38*($A74-Ft!J$2)^2)),Ft!J$3*((1-Ft!J$7)/(1+Ft!J$39*($A74-Ft!J$2)^2)+Ft!J$7*EXP(Ft!J$40*($A74-Ft!J$2)^2)))</f>
        <v>0</v>
      </c>
      <c r="O74" s="3">
        <f>IF(($A74-Ft!K$2)&lt;0,Ft!K$3*((1-Ft!K$6)/(1+Ft!K$37*($A74-Ft!K$2)^2)+Ft!K$6*EXP(Ft!K$38*($A74-Ft!K$2)^2)),Ft!K$3*((1-Ft!K$7)/(1+Ft!K$39*($A74-Ft!K$2)^2)+Ft!K$7*EXP(Ft!K$40*($A74-Ft!K$2)^2)))</f>
        <v>0</v>
      </c>
      <c r="P74"/>
      <c r="Q74"/>
    </row>
    <row r="75" spans="1:17">
      <c r="A75">
        <v>146</v>
      </c>
      <c r="B75">
        <v>12.08175290298</v>
      </c>
      <c r="C75" s="6">
        <f t="shared" si="3"/>
        <v>12.441465150617304</v>
      </c>
      <c r="D75" s="19">
        <f t="shared" si="4"/>
        <v>0.12939290110028145</v>
      </c>
      <c r="E75" s="3">
        <f>Ft!$B$12+Ft!$B$14*(Data!A75-Vars!$B$3)</f>
        <v>0</v>
      </c>
      <c r="F75" s="3">
        <f>IF(($A75-Ft!B$2)&lt;0,Ft!B$3*((1-Ft!B$6)/(1+Ft!B$37*($A75-Ft!B$2)^2)+Ft!B$6*EXP(Ft!B$38*($A75-Ft!B$2)^2)),Ft!B$3*((1-Ft!B$7)/(1+Ft!B$39*($A75-Ft!B$2)^2)+Ft!B$7*EXP(Ft!B$40*($A75-Ft!B$2)^2)))</f>
        <v>8.9425971823508486E-6</v>
      </c>
      <c r="G75" s="3">
        <f>IF(($A75-Ft!C$2)&lt;0,Ft!C$3*((1-Ft!C$6)/(1+Ft!C$37*($A75-Ft!C$2)^2)+Ft!C$6*EXP(Ft!C$38*($A75-Ft!C$2)^2)),Ft!C$3*((1-Ft!C$7)/(1+Ft!C$39*($A75-Ft!C$2)^2)+Ft!C$7*EXP(Ft!C$40*($A75-Ft!C$2)^2)))</f>
        <v>9.0587988072021659</v>
      </c>
      <c r="H75" s="3">
        <f>IF(($A75-Ft!D$2)&lt;0,Ft!D$3*((1-Ft!D$6)/(1+Ft!D$37*($A75-Ft!D$2)^2)+Ft!D$6*EXP(Ft!D$38*($A75-Ft!D$2)^2)),Ft!D$3*((1-Ft!D$7)/(1+Ft!D$39*($A75-Ft!D$2)^2)+Ft!D$7*EXP(Ft!D$40*($A75-Ft!D$2)^2)))</f>
        <v>3.3825028189017172</v>
      </c>
      <c r="I75" s="3">
        <f>IF(($A75-Ft!E$2)&lt;0,Ft!E$3*((1-Ft!E$6)/(1+Ft!E$37*($A75-Ft!E$2)^2)+Ft!E$6*EXP(Ft!E$38*($A75-Ft!E$2)^2)),Ft!E$3*((1-Ft!E$7)/(1+Ft!E$39*($A75-Ft!E$2)^2)+Ft!E$7*EXP(Ft!E$40*($A75-Ft!E$2)^2)))</f>
        <v>1.5458191623984429E-4</v>
      </c>
      <c r="J75" s="3">
        <f>IF(($A75-Ft!F$2)&lt;0,Ft!F$3*((1-Ft!F$6)/(1+Ft!F$37*($A75-Ft!F$2)^2)+Ft!F$6*EXP(Ft!F$38*($A75-Ft!F$2)^2)),Ft!F$3*((1-Ft!F$7)/(1+Ft!F$39*($A75-Ft!F$2)^2)+Ft!F$7*EXP(Ft!F$40*($A75-Ft!F$2)^2)))</f>
        <v>2.0038172950011533E-85</v>
      </c>
      <c r="K75" s="3">
        <f>IF(($A75-Ft!G$2)&lt;0,Ft!G$3*((1-Ft!G$6)/(1+Ft!G$37*($A75-Ft!G$2)^2)+Ft!G$6*EXP(Ft!G$38*($A75-Ft!G$2)^2)),Ft!G$3*((1-Ft!G$7)/(1+Ft!G$39*($A75-Ft!G$2)^2)+Ft!G$7*EXP(Ft!G$40*($A75-Ft!G$2)^2)))</f>
        <v>0</v>
      </c>
      <c r="L75" s="3">
        <f>IF(($A75-Ft!H$2)&lt;0,Ft!H$3*((1-Ft!H$6)/(1+Ft!H$37*($A75-Ft!H$2)^2)+Ft!H$6*EXP(Ft!H$38*($A75-Ft!H$2)^2)),Ft!H$3*((1-Ft!H$7)/(1+Ft!H$39*($A75-Ft!H$2)^2)+Ft!H$7*EXP(Ft!H$40*($A75-Ft!H$2)^2)))</f>
        <v>0</v>
      </c>
      <c r="M75" s="3">
        <f>IF(($A75-Ft!I$2)&lt;0,Ft!I$3*((1-Ft!I$6)/(1+Ft!I$37*($A75-Ft!I$2)^2)+Ft!I$6*EXP(Ft!I$38*($A75-Ft!I$2)^2)),Ft!I$3*((1-Ft!I$7)/(1+Ft!I$39*($A75-Ft!I$2)^2)+Ft!I$7*EXP(Ft!I$40*($A75-Ft!I$2)^2)))</f>
        <v>0</v>
      </c>
      <c r="N75" s="3">
        <f>IF(($A75-Ft!J$2)&lt;0,Ft!J$3*((1-Ft!J$6)/(1+Ft!J$37*($A75-Ft!J$2)^2)+Ft!J$6*EXP(Ft!J$38*($A75-Ft!J$2)^2)),Ft!J$3*((1-Ft!J$7)/(1+Ft!J$39*($A75-Ft!J$2)^2)+Ft!J$7*EXP(Ft!J$40*($A75-Ft!J$2)^2)))</f>
        <v>0</v>
      </c>
      <c r="O75" s="3">
        <f>IF(($A75-Ft!K$2)&lt;0,Ft!K$3*((1-Ft!K$6)/(1+Ft!K$37*($A75-Ft!K$2)^2)+Ft!K$6*EXP(Ft!K$38*($A75-Ft!K$2)^2)),Ft!K$3*((1-Ft!K$7)/(1+Ft!K$39*($A75-Ft!K$2)^2)+Ft!K$7*EXP(Ft!K$40*($A75-Ft!K$2)^2)))</f>
        <v>0</v>
      </c>
      <c r="P75"/>
      <c r="Q75"/>
    </row>
    <row r="76" spans="1:17">
      <c r="A76">
        <v>148</v>
      </c>
      <c r="B76">
        <v>12.103063051909999</v>
      </c>
      <c r="C76" s="6">
        <f t="shared" si="3"/>
        <v>12.492464853375234</v>
      </c>
      <c r="D76" s="19">
        <f t="shared" si="4"/>
        <v>0.15163376298437026</v>
      </c>
      <c r="E76" s="3">
        <f>Ft!$B$12+Ft!$B$14*(Data!A76-Vars!$B$3)</f>
        <v>0</v>
      </c>
      <c r="F76" s="3">
        <f>IF(($A76-Ft!B$2)&lt;0,Ft!B$3*((1-Ft!B$6)/(1+Ft!B$37*($A76-Ft!B$2)^2)+Ft!B$6*EXP(Ft!B$38*($A76-Ft!B$2)^2)),Ft!B$3*((1-Ft!B$7)/(1+Ft!B$39*($A76-Ft!B$2)^2)+Ft!B$7*EXP(Ft!B$40*($A76-Ft!B$2)^2)))</f>
        <v>5.3513973354313383E-6</v>
      </c>
      <c r="G76" s="3">
        <f>IF(($A76-Ft!C$2)&lt;0,Ft!C$3*((1-Ft!C$6)/(1+Ft!C$37*($A76-Ft!C$2)^2)+Ft!C$6*EXP(Ft!C$38*($A76-Ft!C$2)^2)),Ft!C$3*((1-Ft!C$7)/(1+Ft!C$39*($A76-Ft!C$2)^2)+Ft!C$7*EXP(Ft!C$40*($A76-Ft!C$2)^2)))</f>
        <v>9.0341997376557401</v>
      </c>
      <c r="H76" s="3">
        <f>IF(($A76-Ft!D$2)&lt;0,Ft!D$3*((1-Ft!D$6)/(1+Ft!D$37*($A76-Ft!D$2)^2)+Ft!D$6*EXP(Ft!D$38*($A76-Ft!D$2)^2)),Ft!D$3*((1-Ft!D$7)/(1+Ft!D$39*($A76-Ft!D$2)^2)+Ft!D$7*EXP(Ft!D$40*($A76-Ft!D$2)^2)))</f>
        <v>3.4580943042970471</v>
      </c>
      <c r="I76" s="3">
        <f>IF(($A76-Ft!E$2)&lt;0,Ft!E$3*((1-Ft!E$6)/(1+Ft!E$37*($A76-Ft!E$2)^2)+Ft!E$6*EXP(Ft!E$38*($A76-Ft!E$2)^2)),Ft!E$3*((1-Ft!E$7)/(1+Ft!E$39*($A76-Ft!E$2)^2)+Ft!E$7*EXP(Ft!E$40*($A76-Ft!E$2)^2)))</f>
        <v>1.6546002511051252E-4</v>
      </c>
      <c r="J76" s="3">
        <f>IF(($A76-Ft!F$2)&lt;0,Ft!F$3*((1-Ft!F$6)/(1+Ft!F$37*($A76-Ft!F$2)^2)+Ft!F$6*EXP(Ft!F$38*($A76-Ft!F$2)^2)),Ft!F$3*((1-Ft!F$7)/(1+Ft!F$39*($A76-Ft!F$2)^2)+Ft!F$7*EXP(Ft!F$40*($A76-Ft!F$2)^2)))</f>
        <v>5.0224276029775002E-85</v>
      </c>
      <c r="K76" s="3">
        <f>IF(($A76-Ft!G$2)&lt;0,Ft!G$3*((1-Ft!G$6)/(1+Ft!G$37*($A76-Ft!G$2)^2)+Ft!G$6*EXP(Ft!G$38*($A76-Ft!G$2)^2)),Ft!G$3*((1-Ft!G$7)/(1+Ft!G$39*($A76-Ft!G$2)^2)+Ft!G$7*EXP(Ft!G$40*($A76-Ft!G$2)^2)))</f>
        <v>0</v>
      </c>
      <c r="L76" s="3">
        <f>IF(($A76-Ft!H$2)&lt;0,Ft!H$3*((1-Ft!H$6)/(1+Ft!H$37*($A76-Ft!H$2)^2)+Ft!H$6*EXP(Ft!H$38*($A76-Ft!H$2)^2)),Ft!H$3*((1-Ft!H$7)/(1+Ft!H$39*($A76-Ft!H$2)^2)+Ft!H$7*EXP(Ft!H$40*($A76-Ft!H$2)^2)))</f>
        <v>0</v>
      </c>
      <c r="M76" s="3">
        <f>IF(($A76-Ft!I$2)&lt;0,Ft!I$3*((1-Ft!I$6)/(1+Ft!I$37*($A76-Ft!I$2)^2)+Ft!I$6*EXP(Ft!I$38*($A76-Ft!I$2)^2)),Ft!I$3*((1-Ft!I$7)/(1+Ft!I$39*($A76-Ft!I$2)^2)+Ft!I$7*EXP(Ft!I$40*($A76-Ft!I$2)^2)))</f>
        <v>0</v>
      </c>
      <c r="N76" s="3">
        <f>IF(($A76-Ft!J$2)&lt;0,Ft!J$3*((1-Ft!J$6)/(1+Ft!J$37*($A76-Ft!J$2)^2)+Ft!J$6*EXP(Ft!J$38*($A76-Ft!J$2)^2)),Ft!J$3*((1-Ft!J$7)/(1+Ft!J$39*($A76-Ft!J$2)^2)+Ft!J$7*EXP(Ft!J$40*($A76-Ft!J$2)^2)))</f>
        <v>0</v>
      </c>
      <c r="O76" s="3">
        <f>IF(($A76-Ft!K$2)&lt;0,Ft!K$3*((1-Ft!K$6)/(1+Ft!K$37*($A76-Ft!K$2)^2)+Ft!K$6*EXP(Ft!K$38*($A76-Ft!K$2)^2)),Ft!K$3*((1-Ft!K$7)/(1+Ft!K$39*($A76-Ft!K$2)^2)+Ft!K$7*EXP(Ft!K$40*($A76-Ft!K$2)^2)))</f>
        <v>0</v>
      </c>
      <c r="P76"/>
      <c r="Q76"/>
    </row>
    <row r="77" spans="1:17">
      <c r="A77">
        <v>150</v>
      </c>
      <c r="B77">
        <v>12.127851184186994</v>
      </c>
      <c r="C77" s="6">
        <f t="shared" si="3"/>
        <v>12.53886483570548</v>
      </c>
      <c r="D77" s="19">
        <f t="shared" si="4"/>
        <v>0.16893222173455938</v>
      </c>
      <c r="E77" s="3">
        <f>Ft!$B$12+Ft!$B$14*(Data!A77-Vars!$B$3)</f>
        <v>0</v>
      </c>
      <c r="F77" s="3">
        <f>IF(($A77-Ft!B$2)&lt;0,Ft!B$3*((1-Ft!B$6)/(1+Ft!B$37*($A77-Ft!B$2)^2)+Ft!B$6*EXP(Ft!B$38*($A77-Ft!B$2)^2)),Ft!B$3*((1-Ft!B$7)/(1+Ft!B$39*($A77-Ft!B$2)^2)+Ft!B$7*EXP(Ft!B$40*($A77-Ft!B$2)^2)))</f>
        <v>3.1701499754290739E-6</v>
      </c>
      <c r="G77" s="3">
        <f>IF(($A77-Ft!C$2)&lt;0,Ft!C$3*((1-Ft!C$6)/(1+Ft!C$37*($A77-Ft!C$2)^2)+Ft!C$6*EXP(Ft!C$38*($A77-Ft!C$2)^2)),Ft!C$3*((1-Ft!C$7)/(1+Ft!C$39*($A77-Ft!C$2)^2)+Ft!C$7*EXP(Ft!C$40*($A77-Ft!C$2)^2)))</f>
        <v>9.0038177221915312</v>
      </c>
      <c r="H77" s="3">
        <f>IF(($A77-Ft!D$2)&lt;0,Ft!D$3*((1-Ft!D$6)/(1+Ft!D$37*($A77-Ft!D$2)^2)+Ft!D$6*EXP(Ft!D$38*($A77-Ft!D$2)^2)),Ft!D$3*((1-Ft!D$7)/(1+Ft!D$39*($A77-Ft!D$2)^2)+Ft!D$7*EXP(Ft!D$40*($A77-Ft!D$2)^2)))</f>
        <v>3.5348668753825025</v>
      </c>
      <c r="I77" s="3">
        <f>IF(($A77-Ft!E$2)&lt;0,Ft!E$3*((1-Ft!E$6)/(1+Ft!E$37*($A77-Ft!E$2)^2)+Ft!E$6*EXP(Ft!E$38*($A77-Ft!E$2)^2)),Ft!E$3*((1-Ft!E$7)/(1+Ft!E$39*($A77-Ft!E$2)^2)+Ft!E$7*EXP(Ft!E$40*($A77-Ft!E$2)^2)))</f>
        <v>1.7706798147018579E-4</v>
      </c>
      <c r="J77" s="3">
        <f>IF(($A77-Ft!F$2)&lt;0,Ft!F$3*((1-Ft!F$6)/(1+Ft!F$37*($A77-Ft!F$2)^2)+Ft!F$6*EXP(Ft!F$38*($A77-Ft!F$2)^2)),Ft!F$3*((1-Ft!F$7)/(1+Ft!F$39*($A77-Ft!F$2)^2)+Ft!F$7*EXP(Ft!F$40*($A77-Ft!F$2)^2)))</f>
        <v>1.2561298147809404E-84</v>
      </c>
      <c r="K77" s="3">
        <f>IF(($A77-Ft!G$2)&lt;0,Ft!G$3*((1-Ft!G$6)/(1+Ft!G$37*($A77-Ft!G$2)^2)+Ft!G$6*EXP(Ft!G$38*($A77-Ft!G$2)^2)),Ft!G$3*((1-Ft!G$7)/(1+Ft!G$39*($A77-Ft!G$2)^2)+Ft!G$7*EXP(Ft!G$40*($A77-Ft!G$2)^2)))</f>
        <v>0</v>
      </c>
      <c r="L77" s="3">
        <f>IF(($A77-Ft!H$2)&lt;0,Ft!H$3*((1-Ft!H$6)/(1+Ft!H$37*($A77-Ft!H$2)^2)+Ft!H$6*EXP(Ft!H$38*($A77-Ft!H$2)^2)),Ft!H$3*((1-Ft!H$7)/(1+Ft!H$39*($A77-Ft!H$2)^2)+Ft!H$7*EXP(Ft!H$40*($A77-Ft!H$2)^2)))</f>
        <v>0</v>
      </c>
      <c r="M77" s="3">
        <f>IF(($A77-Ft!I$2)&lt;0,Ft!I$3*((1-Ft!I$6)/(1+Ft!I$37*($A77-Ft!I$2)^2)+Ft!I$6*EXP(Ft!I$38*($A77-Ft!I$2)^2)),Ft!I$3*((1-Ft!I$7)/(1+Ft!I$39*($A77-Ft!I$2)^2)+Ft!I$7*EXP(Ft!I$40*($A77-Ft!I$2)^2)))</f>
        <v>0</v>
      </c>
      <c r="N77" s="3">
        <f>IF(($A77-Ft!J$2)&lt;0,Ft!J$3*((1-Ft!J$6)/(1+Ft!J$37*($A77-Ft!J$2)^2)+Ft!J$6*EXP(Ft!J$38*($A77-Ft!J$2)^2)),Ft!J$3*((1-Ft!J$7)/(1+Ft!J$39*($A77-Ft!J$2)^2)+Ft!J$7*EXP(Ft!J$40*($A77-Ft!J$2)^2)))</f>
        <v>0</v>
      </c>
      <c r="O77" s="3">
        <f>IF(($A77-Ft!K$2)&lt;0,Ft!K$3*((1-Ft!K$6)/(1+Ft!K$37*($A77-Ft!K$2)^2)+Ft!K$6*EXP(Ft!K$38*($A77-Ft!K$2)^2)),Ft!K$3*((1-Ft!K$7)/(1+Ft!K$39*($A77-Ft!K$2)^2)+Ft!K$7*EXP(Ft!K$40*($A77-Ft!K$2)^2)))</f>
        <v>0</v>
      </c>
      <c r="P77"/>
      <c r="Q77"/>
    </row>
    <row r="78" spans="1:17">
      <c r="A78">
        <v>152</v>
      </c>
      <c r="B78">
        <v>12.15720630477</v>
      </c>
      <c r="C78" s="6">
        <f t="shared" si="3"/>
        <v>12.58072734207845</v>
      </c>
      <c r="D78" s="19">
        <f t="shared" si="4"/>
        <v>0.17937006904282599</v>
      </c>
      <c r="E78" s="3">
        <f>Ft!$B$12+Ft!$B$14*(Data!A78-Vars!$B$3)</f>
        <v>0</v>
      </c>
      <c r="F78" s="3">
        <f>IF(($A78-Ft!B$2)&lt;0,Ft!B$3*((1-Ft!B$6)/(1+Ft!B$37*($A78-Ft!B$2)^2)+Ft!B$6*EXP(Ft!B$38*($A78-Ft!B$2)^2)),Ft!B$3*((1-Ft!B$7)/(1+Ft!B$39*($A78-Ft!B$2)^2)+Ft!B$7*EXP(Ft!B$40*($A78-Ft!B$2)^2)))</f>
        <v>1.8590946454405419E-6</v>
      </c>
      <c r="G78" s="3">
        <f>IF(($A78-Ft!C$2)&lt;0,Ft!C$3*((1-Ft!C$6)/(1+Ft!C$37*($A78-Ft!C$2)^2)+Ft!C$6*EXP(Ft!C$38*($A78-Ft!C$2)^2)),Ft!C$3*((1-Ft!C$7)/(1+Ft!C$39*($A78-Ft!C$2)^2)+Ft!C$7*EXP(Ft!C$40*($A78-Ft!C$2)^2)))</f>
        <v>8.9677115950344994</v>
      </c>
      <c r="H78" s="3">
        <f>IF(($A78-Ft!D$2)&lt;0,Ft!D$3*((1-Ft!D$6)/(1+Ft!D$37*($A78-Ft!D$2)^2)+Ft!D$6*EXP(Ft!D$38*($A78-Ft!D$2)^2)),Ft!D$3*((1-Ft!D$7)/(1+Ft!D$39*($A78-Ft!D$2)^2)+Ft!D$7*EXP(Ft!D$40*($A78-Ft!D$2)^2)))</f>
        <v>3.6128244357992609</v>
      </c>
      <c r="I78" s="3">
        <f>IF(($A78-Ft!E$2)&lt;0,Ft!E$3*((1-Ft!E$6)/(1+Ft!E$37*($A78-Ft!E$2)^2)+Ft!E$6*EXP(Ft!E$38*($A78-Ft!E$2)^2)),Ft!E$3*((1-Ft!E$7)/(1+Ft!E$39*($A78-Ft!E$2)^2)+Ft!E$7*EXP(Ft!E$40*($A78-Ft!E$2)^2)))</f>
        <v>1.8945215004395521E-4</v>
      </c>
      <c r="J78" s="3">
        <f>IF(($A78-Ft!F$2)&lt;0,Ft!F$3*((1-Ft!F$6)/(1+Ft!F$37*($A78-Ft!F$2)^2)+Ft!F$6*EXP(Ft!F$38*($A78-Ft!F$2)^2)),Ft!F$3*((1-Ft!F$7)/(1+Ft!F$39*($A78-Ft!F$2)^2)+Ft!F$7*EXP(Ft!F$40*($A78-Ft!F$2)^2)))</f>
        <v>3.1348779470633359E-84</v>
      </c>
      <c r="K78" s="3">
        <f>IF(($A78-Ft!G$2)&lt;0,Ft!G$3*((1-Ft!G$6)/(1+Ft!G$37*($A78-Ft!G$2)^2)+Ft!G$6*EXP(Ft!G$38*($A78-Ft!G$2)^2)),Ft!G$3*((1-Ft!G$7)/(1+Ft!G$39*($A78-Ft!G$2)^2)+Ft!G$7*EXP(Ft!G$40*($A78-Ft!G$2)^2)))</f>
        <v>0</v>
      </c>
      <c r="L78" s="3">
        <f>IF(($A78-Ft!H$2)&lt;0,Ft!H$3*((1-Ft!H$6)/(1+Ft!H$37*($A78-Ft!H$2)^2)+Ft!H$6*EXP(Ft!H$38*($A78-Ft!H$2)^2)),Ft!H$3*((1-Ft!H$7)/(1+Ft!H$39*($A78-Ft!H$2)^2)+Ft!H$7*EXP(Ft!H$40*($A78-Ft!H$2)^2)))</f>
        <v>0</v>
      </c>
      <c r="M78" s="3">
        <f>IF(($A78-Ft!I$2)&lt;0,Ft!I$3*((1-Ft!I$6)/(1+Ft!I$37*($A78-Ft!I$2)^2)+Ft!I$6*EXP(Ft!I$38*($A78-Ft!I$2)^2)),Ft!I$3*((1-Ft!I$7)/(1+Ft!I$39*($A78-Ft!I$2)^2)+Ft!I$7*EXP(Ft!I$40*($A78-Ft!I$2)^2)))</f>
        <v>0</v>
      </c>
      <c r="N78" s="3">
        <f>IF(($A78-Ft!J$2)&lt;0,Ft!J$3*((1-Ft!J$6)/(1+Ft!J$37*($A78-Ft!J$2)^2)+Ft!J$6*EXP(Ft!J$38*($A78-Ft!J$2)^2)),Ft!J$3*((1-Ft!J$7)/(1+Ft!J$39*($A78-Ft!J$2)^2)+Ft!J$7*EXP(Ft!J$40*($A78-Ft!J$2)^2)))</f>
        <v>0</v>
      </c>
      <c r="O78" s="3">
        <f>IF(($A78-Ft!K$2)&lt;0,Ft!K$3*((1-Ft!K$6)/(1+Ft!K$37*($A78-Ft!K$2)^2)+Ft!K$6*EXP(Ft!K$38*($A78-Ft!K$2)^2)),Ft!K$3*((1-Ft!K$7)/(1+Ft!K$39*($A78-Ft!K$2)^2)+Ft!K$7*EXP(Ft!K$40*($A78-Ft!K$2)^2)))</f>
        <v>0</v>
      </c>
      <c r="P78"/>
      <c r="Q78"/>
    </row>
    <row r="79" spans="1:17">
      <c r="A79">
        <v>154</v>
      </c>
      <c r="B79">
        <v>12.186594773578989</v>
      </c>
      <c r="C79" s="6">
        <f t="shared" si="3"/>
        <v>12.618125301772107</v>
      </c>
      <c r="D79" s="19">
        <f t="shared" si="4"/>
        <v>0.1862185967626315</v>
      </c>
      <c r="E79" s="3">
        <f>Ft!$B$12+Ft!$B$14*(Data!A79-Vars!$B$3)</f>
        <v>0</v>
      </c>
      <c r="F79" s="3">
        <f>IF(($A79-Ft!B$2)&lt;0,Ft!B$3*((1-Ft!B$6)/(1+Ft!B$37*($A79-Ft!B$2)^2)+Ft!B$6*EXP(Ft!B$38*($A79-Ft!B$2)^2)),Ft!B$3*((1-Ft!B$7)/(1+Ft!B$39*($A79-Ft!B$2)^2)+Ft!B$7*EXP(Ft!B$40*($A79-Ft!B$2)^2)))</f>
        <v>1.0792753853746879E-6</v>
      </c>
      <c r="G79" s="3">
        <f>IF(($A79-Ft!C$2)&lt;0,Ft!C$3*((1-Ft!C$6)/(1+Ft!C$37*($A79-Ft!C$2)^2)+Ft!C$6*EXP(Ft!C$38*($A79-Ft!C$2)^2)),Ft!C$3*((1-Ft!C$7)/(1+Ft!C$39*($A79-Ft!C$2)^2)+Ft!C$7*EXP(Ft!C$40*($A79-Ft!C$2)^2)))</f>
        <v>8.9259511019369064</v>
      </c>
      <c r="H79" s="3">
        <f>IF(($A79-Ft!D$2)&lt;0,Ft!D$3*((1-Ft!D$6)/(1+Ft!D$37*($A79-Ft!D$2)^2)+Ft!D$6*EXP(Ft!D$38*($A79-Ft!D$2)^2)),Ft!D$3*((1-Ft!D$7)/(1+Ft!D$39*($A79-Ft!D$2)^2)+Ft!D$7*EXP(Ft!D$40*($A79-Ft!D$2)^2)))</f>
        <v>3.6919704589017446</v>
      </c>
      <c r="I79" s="3">
        <f>IF(($A79-Ft!E$2)&lt;0,Ft!E$3*((1-Ft!E$6)/(1+Ft!E$37*($A79-Ft!E$2)^2)+Ft!E$6*EXP(Ft!E$38*($A79-Ft!E$2)^2)),Ft!E$3*((1-Ft!E$7)/(1+Ft!E$39*($A79-Ft!E$2)^2)+Ft!E$7*EXP(Ft!E$40*($A79-Ft!E$2)^2)))</f>
        <v>2.0266165807121241E-4</v>
      </c>
      <c r="J79" s="3">
        <f>IF(($A79-Ft!F$2)&lt;0,Ft!F$3*((1-Ft!F$6)/(1+Ft!F$37*($A79-Ft!F$2)^2)+Ft!F$6*EXP(Ft!F$38*($A79-Ft!F$2)^2)),Ft!F$3*((1-Ft!F$7)/(1+Ft!F$39*($A79-Ft!F$2)^2)+Ft!F$7*EXP(Ft!F$40*($A79-Ft!F$2)^2)))</f>
        <v>7.8067814896310237E-84</v>
      </c>
      <c r="K79" s="3">
        <f>IF(($A79-Ft!G$2)&lt;0,Ft!G$3*((1-Ft!G$6)/(1+Ft!G$37*($A79-Ft!G$2)^2)+Ft!G$6*EXP(Ft!G$38*($A79-Ft!G$2)^2)),Ft!G$3*((1-Ft!G$7)/(1+Ft!G$39*($A79-Ft!G$2)^2)+Ft!G$7*EXP(Ft!G$40*($A79-Ft!G$2)^2)))</f>
        <v>0</v>
      </c>
      <c r="L79" s="3">
        <f>IF(($A79-Ft!H$2)&lt;0,Ft!H$3*((1-Ft!H$6)/(1+Ft!H$37*($A79-Ft!H$2)^2)+Ft!H$6*EXP(Ft!H$38*($A79-Ft!H$2)^2)),Ft!H$3*((1-Ft!H$7)/(1+Ft!H$39*($A79-Ft!H$2)^2)+Ft!H$7*EXP(Ft!H$40*($A79-Ft!H$2)^2)))</f>
        <v>0</v>
      </c>
      <c r="M79" s="3">
        <f>IF(($A79-Ft!I$2)&lt;0,Ft!I$3*((1-Ft!I$6)/(1+Ft!I$37*($A79-Ft!I$2)^2)+Ft!I$6*EXP(Ft!I$38*($A79-Ft!I$2)^2)),Ft!I$3*((1-Ft!I$7)/(1+Ft!I$39*($A79-Ft!I$2)^2)+Ft!I$7*EXP(Ft!I$40*($A79-Ft!I$2)^2)))</f>
        <v>0</v>
      </c>
      <c r="N79" s="3">
        <f>IF(($A79-Ft!J$2)&lt;0,Ft!J$3*((1-Ft!J$6)/(1+Ft!J$37*($A79-Ft!J$2)^2)+Ft!J$6*EXP(Ft!J$38*($A79-Ft!J$2)^2)),Ft!J$3*((1-Ft!J$7)/(1+Ft!J$39*($A79-Ft!J$2)^2)+Ft!J$7*EXP(Ft!J$40*($A79-Ft!J$2)^2)))</f>
        <v>0</v>
      </c>
      <c r="O79" s="3">
        <f>IF(($A79-Ft!K$2)&lt;0,Ft!K$3*((1-Ft!K$6)/(1+Ft!K$37*($A79-Ft!K$2)^2)+Ft!K$6*EXP(Ft!K$38*($A79-Ft!K$2)^2)),Ft!K$3*((1-Ft!K$7)/(1+Ft!K$39*($A79-Ft!K$2)^2)+Ft!K$7*EXP(Ft!K$40*($A79-Ft!K$2)^2)))</f>
        <v>0</v>
      </c>
      <c r="P79"/>
      <c r="Q79"/>
    </row>
    <row r="80" spans="1:17">
      <c r="A80">
        <v>156</v>
      </c>
      <c r="B80">
        <v>12.215109584719997</v>
      </c>
      <c r="C80" s="6">
        <f t="shared" si="3"/>
        <v>12.651142020742515</v>
      </c>
      <c r="D80" s="19">
        <f t="shared" si="4"/>
        <v>0.19012428526373171</v>
      </c>
      <c r="E80" s="3">
        <f>Ft!$B$12+Ft!$B$14*(Data!A80-Vars!$B$3)</f>
        <v>0</v>
      </c>
      <c r="F80" s="3">
        <f>IF(($A80-Ft!B$2)&lt;0,Ft!B$3*((1-Ft!B$6)/(1+Ft!B$37*($A80-Ft!B$2)^2)+Ft!B$6*EXP(Ft!B$38*($A80-Ft!B$2)^2)),Ft!B$3*((1-Ft!B$7)/(1+Ft!B$39*($A80-Ft!B$2)^2)+Ft!B$7*EXP(Ft!B$40*($A80-Ft!B$2)^2)))</f>
        <v>6.2025764470377501E-7</v>
      </c>
      <c r="G80" s="3">
        <f>IF(($A80-Ft!C$2)&lt;0,Ft!C$3*((1-Ft!C$6)/(1+Ft!C$37*($A80-Ft!C$2)^2)+Ft!C$6*EXP(Ft!C$38*($A80-Ft!C$2)^2)),Ft!C$3*((1-Ft!C$7)/(1+Ft!C$39*($A80-Ft!C$2)^2)+Ft!C$7*EXP(Ft!C$40*($A80-Ft!C$2)^2)))</f>
        <v>8.8786166756877858</v>
      </c>
      <c r="H80" s="3">
        <f>IF(($A80-Ft!D$2)&lt;0,Ft!D$3*((1-Ft!D$6)/(1+Ft!D$37*($A80-Ft!D$2)^2)+Ft!D$6*EXP(Ft!D$38*($A80-Ft!D$2)^2)),Ft!D$3*((1-Ft!D$7)/(1+Ft!D$39*($A80-Ft!D$2)^2)+Ft!D$7*EXP(Ft!D$40*($A80-Ft!D$2)^2)))</f>
        <v>3.7723079762495124</v>
      </c>
      <c r="I80" s="3">
        <f>IF(($A80-Ft!E$2)&lt;0,Ft!E$3*((1-Ft!E$6)/(1+Ft!E$37*($A80-Ft!E$2)^2)+Ft!E$6*EXP(Ft!E$38*($A80-Ft!E$2)^2)),Ft!E$3*((1-Ft!E$7)/(1+Ft!E$39*($A80-Ft!E$2)^2)+Ft!E$7*EXP(Ft!E$40*($A80-Ft!E$2)^2)))</f>
        <v>2.1674854757249668E-4</v>
      </c>
      <c r="J80" s="3">
        <f>IF(($A80-Ft!F$2)&lt;0,Ft!F$3*((1-Ft!F$6)/(1+Ft!F$37*($A80-Ft!F$2)^2)+Ft!F$6*EXP(Ft!F$38*($A80-Ft!F$2)^2)),Ft!F$3*((1-Ft!F$7)/(1+Ft!F$39*($A80-Ft!F$2)^2)+Ft!F$7*EXP(Ft!F$40*($A80-Ft!F$2)^2)))</f>
        <v>1.9399417282912669E-83</v>
      </c>
      <c r="K80" s="3">
        <f>IF(($A80-Ft!G$2)&lt;0,Ft!G$3*((1-Ft!G$6)/(1+Ft!G$37*($A80-Ft!G$2)^2)+Ft!G$6*EXP(Ft!G$38*($A80-Ft!G$2)^2)),Ft!G$3*((1-Ft!G$7)/(1+Ft!G$39*($A80-Ft!G$2)^2)+Ft!G$7*EXP(Ft!G$40*($A80-Ft!G$2)^2)))</f>
        <v>0</v>
      </c>
      <c r="L80" s="3">
        <f>IF(($A80-Ft!H$2)&lt;0,Ft!H$3*((1-Ft!H$6)/(1+Ft!H$37*($A80-Ft!H$2)^2)+Ft!H$6*EXP(Ft!H$38*($A80-Ft!H$2)^2)),Ft!H$3*((1-Ft!H$7)/(1+Ft!H$39*($A80-Ft!H$2)^2)+Ft!H$7*EXP(Ft!H$40*($A80-Ft!H$2)^2)))</f>
        <v>0</v>
      </c>
      <c r="M80" s="3">
        <f>IF(($A80-Ft!I$2)&lt;0,Ft!I$3*((1-Ft!I$6)/(1+Ft!I$37*($A80-Ft!I$2)^2)+Ft!I$6*EXP(Ft!I$38*($A80-Ft!I$2)^2)),Ft!I$3*((1-Ft!I$7)/(1+Ft!I$39*($A80-Ft!I$2)^2)+Ft!I$7*EXP(Ft!I$40*($A80-Ft!I$2)^2)))</f>
        <v>0</v>
      </c>
      <c r="N80" s="3">
        <f>IF(($A80-Ft!J$2)&lt;0,Ft!J$3*((1-Ft!J$6)/(1+Ft!J$37*($A80-Ft!J$2)^2)+Ft!J$6*EXP(Ft!J$38*($A80-Ft!J$2)^2)),Ft!J$3*((1-Ft!J$7)/(1+Ft!J$39*($A80-Ft!J$2)^2)+Ft!J$7*EXP(Ft!J$40*($A80-Ft!J$2)^2)))</f>
        <v>0</v>
      </c>
      <c r="O80" s="3">
        <f>IF(($A80-Ft!K$2)&lt;0,Ft!K$3*((1-Ft!K$6)/(1+Ft!K$37*($A80-Ft!K$2)^2)+Ft!K$6*EXP(Ft!K$38*($A80-Ft!K$2)^2)),Ft!K$3*((1-Ft!K$7)/(1+Ft!K$39*($A80-Ft!K$2)^2)+Ft!K$7*EXP(Ft!K$40*($A80-Ft!K$2)^2)))</f>
        <v>0</v>
      </c>
      <c r="P80"/>
      <c r="Q80"/>
    </row>
    <row r="81" spans="1:17">
      <c r="A81">
        <v>158</v>
      </c>
      <c r="B81">
        <v>12.242725268676992</v>
      </c>
      <c r="C81" s="6">
        <f t="shared" si="3"/>
        <v>12.679870864963013</v>
      </c>
      <c r="D81" s="19">
        <f t="shared" si="4"/>
        <v>0.19109627235226057</v>
      </c>
      <c r="E81" s="3">
        <f>Ft!$B$12+Ft!$B$14*(Data!A81-Vars!$B$3)</f>
        <v>0</v>
      </c>
      <c r="F81" s="3">
        <f>IF(($A81-Ft!B$2)&lt;0,Ft!B$3*((1-Ft!B$6)/(1+Ft!B$37*($A81-Ft!B$2)^2)+Ft!B$6*EXP(Ft!B$38*($A81-Ft!B$2)^2)),Ft!B$3*((1-Ft!B$7)/(1+Ft!B$39*($A81-Ft!B$2)^2)+Ft!B$7*EXP(Ft!B$40*($A81-Ft!B$2)^2)))</f>
        <v>3.5287513710625595E-7</v>
      </c>
      <c r="G81" s="3">
        <f>IF(($A81-Ft!C$2)&lt;0,Ft!C$3*((1-Ft!C$6)/(1+Ft!C$37*($A81-Ft!C$2)^2)+Ft!C$6*EXP(Ft!C$38*($A81-Ft!C$2)^2)),Ft!C$3*((1-Ft!C$7)/(1+Ft!C$39*($A81-Ft!C$2)^2)+Ft!C$7*EXP(Ft!C$40*($A81-Ft!C$2)^2)))</f>
        <v>8.8257991779854539</v>
      </c>
      <c r="H81" s="3">
        <f>IF(($A81-Ft!D$2)&lt;0,Ft!D$3*((1-Ft!D$6)/(1+Ft!D$37*($A81-Ft!D$2)^2)+Ft!D$6*EXP(Ft!D$38*($A81-Ft!D$2)^2)),Ft!D$3*((1-Ft!D$7)/(1+Ft!D$39*($A81-Ft!D$2)^2)+Ft!D$7*EXP(Ft!D$40*($A81-Ft!D$2)^2)))</f>
        <v>3.853839566167208</v>
      </c>
      <c r="I81" s="3">
        <f>IF(($A81-Ft!E$2)&lt;0,Ft!E$3*((1-Ft!E$6)/(1+Ft!E$37*($A81-Ft!E$2)^2)+Ft!E$6*EXP(Ft!E$38*($A81-Ft!E$2)^2)),Ft!E$3*((1-Ft!E$7)/(1+Ft!E$39*($A81-Ft!E$2)^2)+Ft!E$7*EXP(Ft!E$40*($A81-Ft!E$2)^2)))</f>
        <v>2.3176793521327351E-4</v>
      </c>
      <c r="J81" s="3">
        <f>IF(($A81-Ft!F$2)&lt;0,Ft!F$3*((1-Ft!F$6)/(1+Ft!F$37*($A81-Ft!F$2)^2)+Ft!F$6*EXP(Ft!F$38*($A81-Ft!F$2)^2)),Ft!F$3*((1-Ft!F$7)/(1+Ft!F$39*($A81-Ft!F$2)^2)+Ft!F$7*EXP(Ft!F$40*($A81-Ft!F$2)^2)))</f>
        <v>4.8102829165456387E-83</v>
      </c>
      <c r="K81" s="3">
        <f>IF(($A81-Ft!G$2)&lt;0,Ft!G$3*((1-Ft!G$6)/(1+Ft!G$37*($A81-Ft!G$2)^2)+Ft!G$6*EXP(Ft!G$38*($A81-Ft!G$2)^2)),Ft!G$3*((1-Ft!G$7)/(1+Ft!G$39*($A81-Ft!G$2)^2)+Ft!G$7*EXP(Ft!G$40*($A81-Ft!G$2)^2)))</f>
        <v>0</v>
      </c>
      <c r="L81" s="3">
        <f>IF(($A81-Ft!H$2)&lt;0,Ft!H$3*((1-Ft!H$6)/(1+Ft!H$37*($A81-Ft!H$2)^2)+Ft!H$6*EXP(Ft!H$38*($A81-Ft!H$2)^2)),Ft!H$3*((1-Ft!H$7)/(1+Ft!H$39*($A81-Ft!H$2)^2)+Ft!H$7*EXP(Ft!H$40*($A81-Ft!H$2)^2)))</f>
        <v>0</v>
      </c>
      <c r="M81" s="3">
        <f>IF(($A81-Ft!I$2)&lt;0,Ft!I$3*((1-Ft!I$6)/(1+Ft!I$37*($A81-Ft!I$2)^2)+Ft!I$6*EXP(Ft!I$38*($A81-Ft!I$2)^2)),Ft!I$3*((1-Ft!I$7)/(1+Ft!I$39*($A81-Ft!I$2)^2)+Ft!I$7*EXP(Ft!I$40*($A81-Ft!I$2)^2)))</f>
        <v>0</v>
      </c>
      <c r="N81" s="3">
        <f>IF(($A81-Ft!J$2)&lt;0,Ft!J$3*((1-Ft!J$6)/(1+Ft!J$37*($A81-Ft!J$2)^2)+Ft!J$6*EXP(Ft!J$38*($A81-Ft!J$2)^2)),Ft!J$3*((1-Ft!J$7)/(1+Ft!J$39*($A81-Ft!J$2)^2)+Ft!J$7*EXP(Ft!J$40*($A81-Ft!J$2)^2)))</f>
        <v>0</v>
      </c>
      <c r="O81" s="3">
        <f>IF(($A81-Ft!K$2)&lt;0,Ft!K$3*((1-Ft!K$6)/(1+Ft!K$37*($A81-Ft!K$2)^2)+Ft!K$6*EXP(Ft!K$38*($A81-Ft!K$2)^2)),Ft!K$3*((1-Ft!K$7)/(1+Ft!K$39*($A81-Ft!K$2)^2)+Ft!K$7*EXP(Ft!K$40*($A81-Ft!K$2)^2)))</f>
        <v>0</v>
      </c>
      <c r="P81"/>
      <c r="Q81"/>
    </row>
    <row r="82" spans="1:17">
      <c r="A82">
        <v>160</v>
      </c>
      <c r="B82">
        <v>12.269416355934993</v>
      </c>
      <c r="C82" s="6">
        <f t="shared" si="3"/>
        <v>12.704414928133817</v>
      </c>
      <c r="D82" s="19">
        <f t="shared" si="4"/>
        <v>0.18922375781501519</v>
      </c>
      <c r="E82" s="3">
        <f>Ft!$B$12+Ft!$B$14*(Data!A82-Vars!$B$3)</f>
        <v>0</v>
      </c>
      <c r="F82" s="3">
        <f>IF(($A82-Ft!B$2)&lt;0,Ft!B$3*((1-Ft!B$6)/(1+Ft!B$37*($A82-Ft!B$2)^2)+Ft!B$6*EXP(Ft!B$38*($A82-Ft!B$2)^2)),Ft!B$3*((1-Ft!B$7)/(1+Ft!B$39*($A82-Ft!B$2)^2)+Ft!B$7*EXP(Ft!B$40*($A82-Ft!B$2)^2)))</f>
        <v>1.9873715802411456E-7</v>
      </c>
      <c r="G82" s="3">
        <f>IF(($A82-Ft!C$2)&lt;0,Ft!C$3*((1-Ft!C$6)/(1+Ft!C$37*($A82-Ft!C$2)^2)+Ft!C$6*EXP(Ft!C$38*($A82-Ft!C$2)^2)),Ft!C$3*((1-Ft!C$7)/(1+Ft!C$39*($A82-Ft!C$2)^2)+Ft!C$7*EXP(Ft!C$40*($A82-Ft!C$2)^2)))</f>
        <v>8.767599608832521</v>
      </c>
      <c r="H82" s="3">
        <f>IF(($A82-Ft!D$2)&lt;0,Ft!D$3*((1-Ft!D$6)/(1+Ft!D$37*($A82-Ft!D$2)^2)+Ft!D$6*EXP(Ft!D$38*($A82-Ft!D$2)^2)),Ft!D$3*((1-Ft!D$7)/(1+Ft!D$39*($A82-Ft!D$2)^2)+Ft!D$7*EXP(Ft!D$40*($A82-Ft!D$2)^2)))</f>
        <v>3.936567342384043</v>
      </c>
      <c r="I82" s="3">
        <f>IF(($A82-Ft!E$2)&lt;0,Ft!E$3*((1-Ft!E$6)/(1+Ft!E$37*($A82-Ft!E$2)^2)+Ft!E$6*EXP(Ft!E$38*($A82-Ft!E$2)^2)),Ft!E$3*((1-Ft!E$7)/(1+Ft!E$39*($A82-Ft!E$2)^2)+Ft!E$7*EXP(Ft!E$40*($A82-Ft!E$2)^2)))</f>
        <v>2.4777818009453687E-4</v>
      </c>
      <c r="J82" s="3">
        <f>IF(($A82-Ft!F$2)&lt;0,Ft!F$3*((1-Ft!F$6)/(1+Ft!F$37*($A82-Ft!F$2)^2)+Ft!F$6*EXP(Ft!F$38*($A82-Ft!F$2)^2)),Ft!F$3*((1-Ft!F$7)/(1+Ft!F$39*($A82-Ft!F$2)^2)+Ft!F$7*EXP(Ft!F$40*($A82-Ft!F$2)^2)))</f>
        <v>1.1901942000570381E-82</v>
      </c>
      <c r="K82" s="3">
        <f>IF(($A82-Ft!G$2)&lt;0,Ft!G$3*((1-Ft!G$6)/(1+Ft!G$37*($A82-Ft!G$2)^2)+Ft!G$6*EXP(Ft!G$38*($A82-Ft!G$2)^2)),Ft!G$3*((1-Ft!G$7)/(1+Ft!G$39*($A82-Ft!G$2)^2)+Ft!G$7*EXP(Ft!G$40*($A82-Ft!G$2)^2)))</f>
        <v>0</v>
      </c>
      <c r="L82" s="3">
        <f>IF(($A82-Ft!H$2)&lt;0,Ft!H$3*((1-Ft!H$6)/(1+Ft!H$37*($A82-Ft!H$2)^2)+Ft!H$6*EXP(Ft!H$38*($A82-Ft!H$2)^2)),Ft!H$3*((1-Ft!H$7)/(1+Ft!H$39*($A82-Ft!H$2)^2)+Ft!H$7*EXP(Ft!H$40*($A82-Ft!H$2)^2)))</f>
        <v>0</v>
      </c>
      <c r="M82" s="3">
        <f>IF(($A82-Ft!I$2)&lt;0,Ft!I$3*((1-Ft!I$6)/(1+Ft!I$37*($A82-Ft!I$2)^2)+Ft!I$6*EXP(Ft!I$38*($A82-Ft!I$2)^2)),Ft!I$3*((1-Ft!I$7)/(1+Ft!I$39*($A82-Ft!I$2)^2)+Ft!I$7*EXP(Ft!I$40*($A82-Ft!I$2)^2)))</f>
        <v>0</v>
      </c>
      <c r="N82" s="3">
        <f>IF(($A82-Ft!J$2)&lt;0,Ft!J$3*((1-Ft!J$6)/(1+Ft!J$37*($A82-Ft!J$2)^2)+Ft!J$6*EXP(Ft!J$38*($A82-Ft!J$2)^2)),Ft!J$3*((1-Ft!J$7)/(1+Ft!J$39*($A82-Ft!J$2)^2)+Ft!J$7*EXP(Ft!J$40*($A82-Ft!J$2)^2)))</f>
        <v>0</v>
      </c>
      <c r="O82" s="3">
        <f>IF(($A82-Ft!K$2)&lt;0,Ft!K$3*((1-Ft!K$6)/(1+Ft!K$37*($A82-Ft!K$2)^2)+Ft!K$6*EXP(Ft!K$38*($A82-Ft!K$2)^2)),Ft!K$3*((1-Ft!K$7)/(1+Ft!K$39*($A82-Ft!K$2)^2)+Ft!K$7*EXP(Ft!K$40*($A82-Ft!K$2)^2)))</f>
        <v>0</v>
      </c>
      <c r="P82"/>
      <c r="Q82"/>
    </row>
    <row r="83" spans="1:17">
      <c r="A83">
        <v>162</v>
      </c>
      <c r="B83">
        <v>12.295157376980995</v>
      </c>
      <c r="C83" s="6">
        <f t="shared" si="3"/>
        <v>12.724886679380104</v>
      </c>
      <c r="D83" s="19">
        <f t="shared" si="4"/>
        <v>0.1846672733404244</v>
      </c>
      <c r="E83" s="3">
        <f>Ft!$B$12+Ft!$B$14*(Data!A83-Vars!$B$3)</f>
        <v>0</v>
      </c>
      <c r="F83" s="3">
        <f>IF(($A83-Ft!B$2)&lt;0,Ft!B$3*((1-Ft!B$6)/(1+Ft!B$37*($A83-Ft!B$2)^2)+Ft!B$6*EXP(Ft!B$38*($A83-Ft!B$2)^2)),Ft!B$3*((1-Ft!B$7)/(1+Ft!B$39*($A83-Ft!B$2)^2)+Ft!B$7*EXP(Ft!B$40*($A83-Ft!B$2)^2)))</f>
        <v>1.1080163555669543E-7</v>
      </c>
      <c r="G83" s="3">
        <f>IF(($A83-Ft!C$2)&lt;0,Ft!C$3*((1-Ft!C$6)/(1+Ft!C$37*($A83-Ft!C$2)^2)+Ft!C$6*EXP(Ft!C$38*($A83-Ft!C$2)^2)),Ft!C$3*((1-Ft!C$7)/(1+Ft!C$39*($A83-Ft!C$2)^2)+Ft!C$7*EXP(Ft!C$40*($A83-Ft!C$2)^2)))</f>
        <v>8.7041287847542179</v>
      </c>
      <c r="H83" s="3">
        <f>IF(($A83-Ft!D$2)&lt;0,Ft!D$3*((1-Ft!D$6)/(1+Ft!D$37*($A83-Ft!D$2)^2)+Ft!D$6*EXP(Ft!D$38*($A83-Ft!D$2)^2)),Ft!D$3*((1-Ft!D$7)/(1+Ft!D$39*($A83-Ft!D$2)^2)+Ft!D$7*EXP(Ft!D$40*($A83-Ft!D$2)^2)))</f>
        <v>4.0204929427644389</v>
      </c>
      <c r="I83" s="3">
        <f>IF(($A83-Ft!E$2)&lt;0,Ft!E$3*((1-Ft!E$6)/(1+Ft!E$37*($A83-Ft!E$2)^2)+Ft!E$6*EXP(Ft!E$38*($A83-Ft!E$2)^2)),Ft!E$3*((1-Ft!E$7)/(1+Ft!E$39*($A83-Ft!E$2)^2)+Ft!E$7*EXP(Ft!E$40*($A83-Ft!E$2)^2)))</f>
        <v>2.6484105981151797E-4</v>
      </c>
      <c r="J83" s="3">
        <f>IF(($A83-Ft!F$2)&lt;0,Ft!F$3*((1-Ft!F$6)/(1+Ft!F$37*($A83-Ft!F$2)^2)+Ft!F$6*EXP(Ft!F$38*($A83-Ft!F$2)^2)),Ft!F$3*((1-Ft!F$7)/(1+Ft!F$39*($A83-Ft!F$2)^2)+Ft!F$7*EXP(Ft!F$40*($A83-Ft!F$2)^2)))</f>
        <v>2.9385312469728963E-82</v>
      </c>
      <c r="K83" s="3">
        <f>IF(($A83-Ft!G$2)&lt;0,Ft!G$3*((1-Ft!G$6)/(1+Ft!G$37*($A83-Ft!G$2)^2)+Ft!G$6*EXP(Ft!G$38*($A83-Ft!G$2)^2)),Ft!G$3*((1-Ft!G$7)/(1+Ft!G$39*($A83-Ft!G$2)^2)+Ft!G$7*EXP(Ft!G$40*($A83-Ft!G$2)^2)))</f>
        <v>0</v>
      </c>
      <c r="L83" s="3">
        <f>IF(($A83-Ft!H$2)&lt;0,Ft!H$3*((1-Ft!H$6)/(1+Ft!H$37*($A83-Ft!H$2)^2)+Ft!H$6*EXP(Ft!H$38*($A83-Ft!H$2)^2)),Ft!H$3*((1-Ft!H$7)/(1+Ft!H$39*($A83-Ft!H$2)^2)+Ft!H$7*EXP(Ft!H$40*($A83-Ft!H$2)^2)))</f>
        <v>0</v>
      </c>
      <c r="M83" s="3">
        <f>IF(($A83-Ft!I$2)&lt;0,Ft!I$3*((1-Ft!I$6)/(1+Ft!I$37*($A83-Ft!I$2)^2)+Ft!I$6*EXP(Ft!I$38*($A83-Ft!I$2)^2)),Ft!I$3*((1-Ft!I$7)/(1+Ft!I$39*($A83-Ft!I$2)^2)+Ft!I$7*EXP(Ft!I$40*($A83-Ft!I$2)^2)))</f>
        <v>0</v>
      </c>
      <c r="N83" s="3">
        <f>IF(($A83-Ft!J$2)&lt;0,Ft!J$3*((1-Ft!J$6)/(1+Ft!J$37*($A83-Ft!J$2)^2)+Ft!J$6*EXP(Ft!J$38*($A83-Ft!J$2)^2)),Ft!J$3*((1-Ft!J$7)/(1+Ft!J$39*($A83-Ft!J$2)^2)+Ft!J$7*EXP(Ft!J$40*($A83-Ft!J$2)^2)))</f>
        <v>0</v>
      </c>
      <c r="O83" s="3">
        <f>IF(($A83-Ft!K$2)&lt;0,Ft!K$3*((1-Ft!K$6)/(1+Ft!K$37*($A83-Ft!K$2)^2)+Ft!K$6*EXP(Ft!K$38*($A83-Ft!K$2)^2)),Ft!K$3*((1-Ft!K$7)/(1+Ft!K$39*($A83-Ft!K$2)^2)+Ft!K$7*EXP(Ft!K$40*($A83-Ft!K$2)^2)))</f>
        <v>0</v>
      </c>
      <c r="P83"/>
      <c r="Q83"/>
    </row>
    <row r="84" spans="1:17">
      <c r="A84">
        <v>164</v>
      </c>
      <c r="B84">
        <v>12.319922862298995</v>
      </c>
      <c r="C84" s="6">
        <f t="shared" si="3"/>
        <v>12.74140758852521</v>
      </c>
      <c r="D84" s="19">
        <f t="shared" si="4"/>
        <v>0.17764937444198714</v>
      </c>
      <c r="E84" s="3">
        <f>Ft!$B$12+Ft!$B$14*(Data!A84-Vars!$B$3)</f>
        <v>0</v>
      </c>
      <c r="F84" s="3">
        <f>IF(($A84-Ft!B$2)&lt;0,Ft!B$3*((1-Ft!B$6)/(1+Ft!B$37*($A84-Ft!B$2)^2)+Ft!B$6*EXP(Ft!B$38*($A84-Ft!B$2)^2)),Ft!B$3*((1-Ft!B$7)/(1+Ft!B$39*($A84-Ft!B$2)^2)+Ft!B$7*EXP(Ft!B$40*($A84-Ft!B$2)^2)))</f>
        <v>6.1153645041491977E-8</v>
      </c>
      <c r="G84" s="3">
        <f>IF(($A84-Ft!C$2)&lt;0,Ft!C$3*((1-Ft!C$6)/(1+Ft!C$37*($A84-Ft!C$2)^2)+Ft!C$6*EXP(Ft!C$38*($A84-Ft!C$2)^2)),Ft!C$3*((1-Ft!C$7)/(1+Ft!C$39*($A84-Ft!C$2)^2)+Ft!C$7*EXP(Ft!C$40*($A84-Ft!C$2)^2)))</f>
        <v>8.6355069872747983</v>
      </c>
      <c r="H84" s="3">
        <f>IF(($A84-Ft!D$2)&lt;0,Ft!D$3*((1-Ft!D$6)/(1+Ft!D$37*($A84-Ft!D$2)^2)+Ft!D$6*EXP(Ft!D$38*($A84-Ft!D$2)^2)),Ft!D$3*((1-Ft!D$7)/(1+Ft!D$39*($A84-Ft!D$2)^2)+Ft!D$7*EXP(Ft!D$40*($A84-Ft!D$2)^2)))</f>
        <v>4.1056175181416315</v>
      </c>
      <c r="I84" s="3">
        <f>IF(($A84-Ft!E$2)&lt;0,Ft!E$3*((1-Ft!E$6)/(1+Ft!E$37*($A84-Ft!E$2)^2)+Ft!E$6*EXP(Ft!E$38*($A84-Ft!E$2)^2)),Ft!E$3*((1-Ft!E$7)/(1+Ft!E$39*($A84-Ft!E$2)^2)+Ft!E$7*EXP(Ft!E$40*($A84-Ft!E$2)^2)))</f>
        <v>2.8302195513344299E-4</v>
      </c>
      <c r="J84" s="3">
        <f>IF(($A84-Ft!F$2)&lt;0,Ft!F$3*((1-Ft!F$6)/(1+Ft!F$37*($A84-Ft!F$2)^2)+Ft!F$6*EXP(Ft!F$38*($A84-Ft!F$2)^2)),Ft!F$3*((1-Ft!F$7)/(1+Ft!F$39*($A84-Ft!F$2)^2)+Ft!F$7*EXP(Ft!F$40*($A84-Ft!F$2)^2)))</f>
        <v>7.2394916394340482E-82</v>
      </c>
      <c r="K84" s="3">
        <f>IF(($A84-Ft!G$2)&lt;0,Ft!G$3*((1-Ft!G$6)/(1+Ft!G$37*($A84-Ft!G$2)^2)+Ft!G$6*EXP(Ft!G$38*($A84-Ft!G$2)^2)),Ft!G$3*((1-Ft!G$7)/(1+Ft!G$39*($A84-Ft!G$2)^2)+Ft!G$7*EXP(Ft!G$40*($A84-Ft!G$2)^2)))</f>
        <v>0</v>
      </c>
      <c r="L84" s="3">
        <f>IF(($A84-Ft!H$2)&lt;0,Ft!H$3*((1-Ft!H$6)/(1+Ft!H$37*($A84-Ft!H$2)^2)+Ft!H$6*EXP(Ft!H$38*($A84-Ft!H$2)^2)),Ft!H$3*((1-Ft!H$7)/(1+Ft!H$39*($A84-Ft!H$2)^2)+Ft!H$7*EXP(Ft!H$40*($A84-Ft!H$2)^2)))</f>
        <v>0</v>
      </c>
      <c r="M84" s="3">
        <f>IF(($A84-Ft!I$2)&lt;0,Ft!I$3*((1-Ft!I$6)/(1+Ft!I$37*($A84-Ft!I$2)^2)+Ft!I$6*EXP(Ft!I$38*($A84-Ft!I$2)^2)),Ft!I$3*((1-Ft!I$7)/(1+Ft!I$39*($A84-Ft!I$2)^2)+Ft!I$7*EXP(Ft!I$40*($A84-Ft!I$2)^2)))</f>
        <v>0</v>
      </c>
      <c r="N84" s="3">
        <f>IF(($A84-Ft!J$2)&lt;0,Ft!J$3*((1-Ft!J$6)/(1+Ft!J$37*($A84-Ft!J$2)^2)+Ft!J$6*EXP(Ft!J$38*($A84-Ft!J$2)^2)),Ft!J$3*((1-Ft!J$7)/(1+Ft!J$39*($A84-Ft!J$2)^2)+Ft!J$7*EXP(Ft!J$40*($A84-Ft!J$2)^2)))</f>
        <v>0</v>
      </c>
      <c r="O84" s="3">
        <f>IF(($A84-Ft!K$2)&lt;0,Ft!K$3*((1-Ft!K$6)/(1+Ft!K$37*($A84-Ft!K$2)^2)+Ft!K$6*EXP(Ft!K$38*($A84-Ft!K$2)^2)),Ft!K$3*((1-Ft!K$7)/(1+Ft!K$39*($A84-Ft!K$2)^2)+Ft!K$7*EXP(Ft!K$40*($A84-Ft!K$2)^2)))</f>
        <v>0</v>
      </c>
      <c r="P84"/>
      <c r="Q84"/>
    </row>
    <row r="85" spans="1:17">
      <c r="A85">
        <v>166</v>
      </c>
      <c r="B85">
        <v>12.343687342376001</v>
      </c>
      <c r="C85" s="6">
        <f t="shared" si="3"/>
        <v>12.754107727934688</v>
      </c>
      <c r="D85" s="19">
        <f t="shared" si="4"/>
        <v>0.16844489288214165</v>
      </c>
      <c r="E85" s="3">
        <f>Ft!$B$12+Ft!$B$14*(Data!A85-Vars!$B$3)</f>
        <v>0</v>
      </c>
      <c r="F85" s="3">
        <f>IF(($A85-Ft!B$2)&lt;0,Ft!B$3*((1-Ft!B$6)/(1+Ft!B$37*($A85-Ft!B$2)^2)+Ft!B$6*EXP(Ft!B$38*($A85-Ft!B$2)^2)),Ft!B$3*((1-Ft!B$7)/(1+Ft!B$39*($A85-Ft!B$2)^2)+Ft!B$7*EXP(Ft!B$40*($A85-Ft!B$2)^2)))</f>
        <v>3.3412394927910996E-8</v>
      </c>
      <c r="G85" s="3">
        <f>IF(($A85-Ft!C$2)&lt;0,Ft!C$3*((1-Ft!C$6)/(1+Ft!C$37*($A85-Ft!C$2)^2)+Ft!C$6*EXP(Ft!C$38*($A85-Ft!C$2)^2)),Ft!C$3*((1-Ft!C$7)/(1+Ft!C$39*($A85-Ft!C$2)^2)+Ft!C$7*EXP(Ft!C$40*($A85-Ft!C$2)^2)))</f>
        <v>8.5618635832124497</v>
      </c>
      <c r="H85" s="3">
        <f>IF(($A85-Ft!D$2)&lt;0,Ft!D$3*((1-Ft!D$6)/(1+Ft!D$37*($A85-Ft!D$2)^2)+Ft!D$6*EXP(Ft!D$38*($A85-Ft!D$2)^2)),Ft!D$3*((1-Ft!D$7)/(1+Ft!D$39*($A85-Ft!D$2)^2)+Ft!D$7*EXP(Ft!D$40*($A85-Ft!D$2)^2)))</f>
        <v>4.1919417212661738</v>
      </c>
      <c r="I85" s="3">
        <f>IF(($A85-Ft!E$2)&lt;0,Ft!E$3*((1-Ft!E$6)/(1+Ft!E$37*($A85-Ft!E$2)^2)+Ft!E$6*EXP(Ft!E$38*($A85-Ft!E$2)^2)),Ft!E$3*((1-Ft!E$7)/(1+Ft!E$39*($A85-Ft!E$2)^2)+Ft!E$7*EXP(Ft!E$40*($A85-Ft!E$2)^2)))</f>
        <v>3.0239004366910873E-4</v>
      </c>
      <c r="J85" s="3">
        <f>IF(($A85-Ft!F$2)&lt;0,Ft!F$3*((1-Ft!F$6)/(1+Ft!F$37*($A85-Ft!F$2)^2)+Ft!F$6*EXP(Ft!F$38*($A85-Ft!F$2)^2)),Ft!F$3*((1-Ft!F$7)/(1+Ft!F$39*($A85-Ft!F$2)^2)+Ft!F$7*EXP(Ft!F$40*($A85-Ft!F$2)^2)))</f>
        <v>1.7797176307489699E-81</v>
      </c>
      <c r="K85" s="3">
        <f>IF(($A85-Ft!G$2)&lt;0,Ft!G$3*((1-Ft!G$6)/(1+Ft!G$37*($A85-Ft!G$2)^2)+Ft!G$6*EXP(Ft!G$38*($A85-Ft!G$2)^2)),Ft!G$3*((1-Ft!G$7)/(1+Ft!G$39*($A85-Ft!G$2)^2)+Ft!G$7*EXP(Ft!G$40*($A85-Ft!G$2)^2)))</f>
        <v>0</v>
      </c>
      <c r="L85" s="3">
        <f>IF(($A85-Ft!H$2)&lt;0,Ft!H$3*((1-Ft!H$6)/(1+Ft!H$37*($A85-Ft!H$2)^2)+Ft!H$6*EXP(Ft!H$38*($A85-Ft!H$2)^2)),Ft!H$3*((1-Ft!H$7)/(1+Ft!H$39*($A85-Ft!H$2)^2)+Ft!H$7*EXP(Ft!H$40*($A85-Ft!H$2)^2)))</f>
        <v>0</v>
      </c>
      <c r="M85" s="3">
        <f>IF(($A85-Ft!I$2)&lt;0,Ft!I$3*((1-Ft!I$6)/(1+Ft!I$37*($A85-Ft!I$2)^2)+Ft!I$6*EXP(Ft!I$38*($A85-Ft!I$2)^2)),Ft!I$3*((1-Ft!I$7)/(1+Ft!I$39*($A85-Ft!I$2)^2)+Ft!I$7*EXP(Ft!I$40*($A85-Ft!I$2)^2)))</f>
        <v>0</v>
      </c>
      <c r="N85" s="3">
        <f>IF(($A85-Ft!J$2)&lt;0,Ft!J$3*((1-Ft!J$6)/(1+Ft!J$37*($A85-Ft!J$2)^2)+Ft!J$6*EXP(Ft!J$38*($A85-Ft!J$2)^2)),Ft!J$3*((1-Ft!J$7)/(1+Ft!J$39*($A85-Ft!J$2)^2)+Ft!J$7*EXP(Ft!J$40*($A85-Ft!J$2)^2)))</f>
        <v>0</v>
      </c>
      <c r="O85" s="3">
        <f>IF(($A85-Ft!K$2)&lt;0,Ft!K$3*((1-Ft!K$6)/(1+Ft!K$37*($A85-Ft!K$2)^2)+Ft!K$6*EXP(Ft!K$38*($A85-Ft!K$2)^2)),Ft!K$3*((1-Ft!K$7)/(1+Ft!K$39*($A85-Ft!K$2)^2)+Ft!K$7*EXP(Ft!K$40*($A85-Ft!K$2)^2)))</f>
        <v>0</v>
      </c>
      <c r="P85"/>
      <c r="Q85"/>
    </row>
    <row r="86" spans="1:17">
      <c r="A86">
        <v>168</v>
      </c>
      <c r="B86">
        <v>12.366425347696989</v>
      </c>
      <c r="C86" s="6">
        <f t="shared" si="3"/>
        <v>12.763125350926083</v>
      </c>
      <c r="D86" s="19">
        <f t="shared" si="4"/>
        <v>0.15737089256196349</v>
      </c>
      <c r="E86" s="3">
        <f>Ft!$B$12+Ft!$B$14*(Data!A86-Vars!$B$3)</f>
        <v>0</v>
      </c>
      <c r="F86" s="3">
        <f>IF(($A86-Ft!B$2)&lt;0,Ft!B$3*((1-Ft!B$6)/(1+Ft!B$37*($A86-Ft!B$2)^2)+Ft!B$6*EXP(Ft!B$38*($A86-Ft!B$2)^2)),Ft!B$3*((1-Ft!B$7)/(1+Ft!B$39*($A86-Ft!B$2)^2)+Ft!B$7*EXP(Ft!B$40*($A86-Ft!B$2)^2)))</f>
        <v>1.8071822190569262E-8</v>
      </c>
      <c r="G86" s="3">
        <f>IF(($A86-Ft!C$2)&lt;0,Ft!C$3*((1-Ft!C$6)/(1+Ft!C$37*($A86-Ft!C$2)^2)+Ft!C$6*EXP(Ft!C$38*($A86-Ft!C$2)^2)),Ft!C$3*((1-Ft!C$7)/(1+Ft!C$39*($A86-Ft!C$2)^2)+Ft!C$7*EXP(Ft!C$40*($A86-Ft!C$2)^2)))</f>
        <v>8.4833366184699397</v>
      </c>
      <c r="H86" s="3">
        <f>IF(($A86-Ft!D$2)&lt;0,Ft!D$3*((1-Ft!D$6)/(1+Ft!D$37*($A86-Ft!D$2)^2)+Ft!D$6*EXP(Ft!D$38*($A86-Ft!D$2)^2)),Ft!D$3*((1-Ft!D$7)/(1+Ft!D$39*($A86-Ft!D$2)^2)+Ft!D$7*EXP(Ft!D$40*($A86-Ft!D$2)^2)))</f>
        <v>4.2794656958814272</v>
      </c>
      <c r="I86" s="3">
        <f>IF(($A86-Ft!E$2)&lt;0,Ft!E$3*((1-Ft!E$6)/(1+Ft!E$37*($A86-Ft!E$2)^2)+Ft!E$6*EXP(Ft!E$38*($A86-Ft!E$2)^2)),Ft!E$3*((1-Ft!E$7)/(1+Ft!E$39*($A86-Ft!E$2)^2)+Ft!E$7*EXP(Ft!E$40*($A86-Ft!E$2)^2)))</f>
        <v>3.2301850289511748E-4</v>
      </c>
      <c r="J86" s="3">
        <f>IF(($A86-Ft!F$2)&lt;0,Ft!F$3*((1-Ft!F$6)/(1+Ft!F$37*($A86-Ft!F$2)^2)+Ft!F$6*EXP(Ft!F$38*($A86-Ft!F$2)^2)),Ft!F$3*((1-Ft!F$7)/(1+Ft!F$39*($A86-Ft!F$2)^2)+Ft!F$7*EXP(Ft!F$40*($A86-Ft!F$2)^2)))</f>
        <v>4.3657554903115672E-81</v>
      </c>
      <c r="K86" s="3">
        <f>IF(($A86-Ft!G$2)&lt;0,Ft!G$3*((1-Ft!G$6)/(1+Ft!G$37*($A86-Ft!G$2)^2)+Ft!G$6*EXP(Ft!G$38*($A86-Ft!G$2)^2)),Ft!G$3*((1-Ft!G$7)/(1+Ft!G$39*($A86-Ft!G$2)^2)+Ft!G$7*EXP(Ft!G$40*($A86-Ft!G$2)^2)))</f>
        <v>0</v>
      </c>
      <c r="L86" s="3">
        <f>IF(($A86-Ft!H$2)&lt;0,Ft!H$3*((1-Ft!H$6)/(1+Ft!H$37*($A86-Ft!H$2)^2)+Ft!H$6*EXP(Ft!H$38*($A86-Ft!H$2)^2)),Ft!H$3*((1-Ft!H$7)/(1+Ft!H$39*($A86-Ft!H$2)^2)+Ft!H$7*EXP(Ft!H$40*($A86-Ft!H$2)^2)))</f>
        <v>0</v>
      </c>
      <c r="M86" s="3">
        <f>IF(($A86-Ft!I$2)&lt;0,Ft!I$3*((1-Ft!I$6)/(1+Ft!I$37*($A86-Ft!I$2)^2)+Ft!I$6*EXP(Ft!I$38*($A86-Ft!I$2)^2)),Ft!I$3*((1-Ft!I$7)/(1+Ft!I$39*($A86-Ft!I$2)^2)+Ft!I$7*EXP(Ft!I$40*($A86-Ft!I$2)^2)))</f>
        <v>0</v>
      </c>
      <c r="N86" s="3">
        <f>IF(($A86-Ft!J$2)&lt;0,Ft!J$3*((1-Ft!J$6)/(1+Ft!J$37*($A86-Ft!J$2)^2)+Ft!J$6*EXP(Ft!J$38*($A86-Ft!J$2)^2)),Ft!J$3*((1-Ft!J$7)/(1+Ft!J$39*($A86-Ft!J$2)^2)+Ft!J$7*EXP(Ft!J$40*($A86-Ft!J$2)^2)))</f>
        <v>0</v>
      </c>
      <c r="O86" s="3">
        <f>IF(($A86-Ft!K$2)&lt;0,Ft!K$3*((1-Ft!K$6)/(1+Ft!K$37*($A86-Ft!K$2)^2)+Ft!K$6*EXP(Ft!K$38*($A86-Ft!K$2)^2)),Ft!K$3*((1-Ft!K$7)/(1+Ft!K$39*($A86-Ft!K$2)^2)+Ft!K$7*EXP(Ft!K$40*($A86-Ft!K$2)^2)))</f>
        <v>0</v>
      </c>
      <c r="P86"/>
      <c r="Q86"/>
    </row>
    <row r="87" spans="1:17">
      <c r="A87">
        <v>170</v>
      </c>
      <c r="B87">
        <v>12.389729117944995</v>
      </c>
      <c r="C87" s="6">
        <f t="shared" si="3"/>
        <v>12.768606447442885</v>
      </c>
      <c r="D87" s="19">
        <f t="shared" si="4"/>
        <v>0.14354803080745238</v>
      </c>
      <c r="E87" s="3">
        <f>Ft!$B$12+Ft!$B$14*(Data!A87-Vars!$B$3)</f>
        <v>0</v>
      </c>
      <c r="F87" s="3">
        <f>IF(($A87-Ft!B$2)&lt;0,Ft!B$3*((1-Ft!B$6)/(1+Ft!B$37*($A87-Ft!B$2)^2)+Ft!B$6*EXP(Ft!B$38*($A87-Ft!B$2)^2)),Ft!B$3*((1-Ft!B$7)/(1+Ft!B$39*($A87-Ft!B$2)^2)+Ft!B$7*EXP(Ft!B$40*($A87-Ft!B$2)^2)))</f>
        <v>9.6762117715032985E-9</v>
      </c>
      <c r="G87" s="3">
        <f>IF(($A87-Ft!C$2)&lt;0,Ft!C$3*((1-Ft!C$6)/(1+Ft!C$37*($A87-Ft!C$2)^2)+Ft!C$6*EXP(Ft!C$38*($A87-Ft!C$2)^2)),Ft!C$3*((1-Ft!C$7)/(1+Ft!C$39*($A87-Ft!C$2)^2)+Ft!C$7*EXP(Ft!C$40*($A87-Ft!C$2)^2)))</f>
        <v>8.4000723871055012</v>
      </c>
      <c r="H87" s="3">
        <f>IF(($A87-Ft!D$2)&lt;0,Ft!D$3*((1-Ft!D$6)/(1+Ft!D$37*($A87-Ft!D$2)^2)+Ft!D$6*EXP(Ft!D$38*($A87-Ft!D$2)^2)),Ft!D$3*((1-Ft!D$7)/(1+Ft!D$39*($A87-Ft!D$2)^2)+Ft!D$7*EXP(Ft!D$40*($A87-Ft!D$2)^2)))</f>
        <v>4.3681890659382345</v>
      </c>
      <c r="I87" s="3">
        <f>IF(($A87-Ft!E$2)&lt;0,Ft!E$3*((1-Ft!E$6)/(1+Ft!E$37*($A87-Ft!E$2)^2)+Ft!E$6*EXP(Ft!E$38*($A87-Ft!E$2)^2)),Ft!E$3*((1-Ft!E$7)/(1+Ft!E$39*($A87-Ft!E$2)^2)+Ft!E$7*EXP(Ft!E$40*($A87-Ft!E$2)^2)))</f>
        <v>3.4498472293588542E-4</v>
      </c>
      <c r="J87" s="3">
        <f>IF(($A87-Ft!F$2)&lt;0,Ft!F$3*((1-Ft!F$6)/(1+Ft!F$37*($A87-Ft!F$2)^2)+Ft!F$6*EXP(Ft!F$38*($A87-Ft!F$2)^2)),Ft!F$3*((1-Ft!F$7)/(1+Ft!F$39*($A87-Ft!F$2)^2)+Ft!F$7*EXP(Ft!F$40*($A87-Ft!F$2)^2)))</f>
        <v>1.0686438457704621E-80</v>
      </c>
      <c r="K87" s="3">
        <f>IF(($A87-Ft!G$2)&lt;0,Ft!G$3*((1-Ft!G$6)/(1+Ft!G$37*($A87-Ft!G$2)^2)+Ft!G$6*EXP(Ft!G$38*($A87-Ft!G$2)^2)),Ft!G$3*((1-Ft!G$7)/(1+Ft!G$39*($A87-Ft!G$2)^2)+Ft!G$7*EXP(Ft!G$40*($A87-Ft!G$2)^2)))</f>
        <v>0</v>
      </c>
      <c r="L87" s="3">
        <f>IF(($A87-Ft!H$2)&lt;0,Ft!H$3*((1-Ft!H$6)/(1+Ft!H$37*($A87-Ft!H$2)^2)+Ft!H$6*EXP(Ft!H$38*($A87-Ft!H$2)^2)),Ft!H$3*((1-Ft!H$7)/(1+Ft!H$39*($A87-Ft!H$2)^2)+Ft!H$7*EXP(Ft!H$40*($A87-Ft!H$2)^2)))</f>
        <v>0</v>
      </c>
      <c r="M87" s="3">
        <f>IF(($A87-Ft!I$2)&lt;0,Ft!I$3*((1-Ft!I$6)/(1+Ft!I$37*($A87-Ft!I$2)^2)+Ft!I$6*EXP(Ft!I$38*($A87-Ft!I$2)^2)),Ft!I$3*((1-Ft!I$7)/(1+Ft!I$39*($A87-Ft!I$2)^2)+Ft!I$7*EXP(Ft!I$40*($A87-Ft!I$2)^2)))</f>
        <v>0</v>
      </c>
      <c r="N87" s="3">
        <f>IF(($A87-Ft!J$2)&lt;0,Ft!J$3*((1-Ft!J$6)/(1+Ft!J$37*($A87-Ft!J$2)^2)+Ft!J$6*EXP(Ft!J$38*($A87-Ft!J$2)^2)),Ft!J$3*((1-Ft!J$7)/(1+Ft!J$39*($A87-Ft!J$2)^2)+Ft!J$7*EXP(Ft!J$40*($A87-Ft!J$2)^2)))</f>
        <v>0</v>
      </c>
      <c r="O87" s="3">
        <f>IF(($A87-Ft!K$2)&lt;0,Ft!K$3*((1-Ft!K$6)/(1+Ft!K$37*($A87-Ft!K$2)^2)+Ft!K$6*EXP(Ft!K$38*($A87-Ft!K$2)^2)),Ft!K$3*((1-Ft!K$7)/(1+Ft!K$39*($A87-Ft!K$2)^2)+Ft!K$7*EXP(Ft!K$40*($A87-Ft!K$2)^2)))</f>
        <v>0</v>
      </c>
      <c r="P87"/>
      <c r="Q87"/>
    </row>
    <row r="88" spans="1:17">
      <c r="A88">
        <v>172</v>
      </c>
      <c r="B88">
        <v>12.414658417265002</v>
      </c>
      <c r="C88" s="6">
        <f t="shared" si="3"/>
        <v>12.770704278185065</v>
      </c>
      <c r="D88" s="19">
        <f t="shared" si="4"/>
        <v>0.12676865507830834</v>
      </c>
      <c r="E88" s="3">
        <f>Ft!$B$12+Ft!$B$14*(Data!A88-Vars!$B$3)</f>
        <v>0</v>
      </c>
      <c r="F88" s="3">
        <f>IF(($A88-Ft!B$2)&lt;0,Ft!B$3*((1-Ft!B$6)/(1+Ft!B$37*($A88-Ft!B$2)^2)+Ft!B$6*EXP(Ft!B$38*($A88-Ft!B$2)^2)),Ft!B$3*((1-Ft!B$7)/(1+Ft!B$39*($A88-Ft!B$2)^2)+Ft!B$7*EXP(Ft!B$40*($A88-Ft!B$2)^2)))</f>
        <v>5.1288248177173141E-9</v>
      </c>
      <c r="G88" s="3">
        <f>IF(($A88-Ft!C$2)&lt;0,Ft!C$3*((1-Ft!C$6)/(1+Ft!C$37*($A88-Ft!C$2)^2)+Ft!C$6*EXP(Ft!C$38*($A88-Ft!C$2)^2)),Ft!C$3*((1-Ft!C$7)/(1+Ft!C$39*($A88-Ft!C$2)^2)+Ft!C$7*EXP(Ft!C$40*($A88-Ft!C$2)^2)))</f>
        <v>8.3122249775656201</v>
      </c>
      <c r="H88" s="3">
        <f>IF(($A88-Ft!D$2)&lt;0,Ft!D$3*((1-Ft!D$6)/(1+Ft!D$37*($A88-Ft!D$2)^2)+Ft!D$6*EXP(Ft!D$38*($A88-Ft!D$2)^2)),Ft!D$3*((1-Ft!D$7)/(1+Ft!D$39*($A88-Ft!D$2)^2)+Ft!D$7*EXP(Ft!D$40*($A88-Ft!D$2)^2)))</f>
        <v>4.4581109249611224</v>
      </c>
      <c r="I88" s="3">
        <f>IF(($A88-Ft!E$2)&lt;0,Ft!E$3*((1-Ft!E$6)/(1+Ft!E$37*($A88-Ft!E$2)^2)+Ft!E$6*EXP(Ft!E$38*($A88-Ft!E$2)^2)),Ft!E$3*((1-Ft!E$7)/(1+Ft!E$39*($A88-Ft!E$2)^2)+Ft!E$7*EXP(Ft!E$40*($A88-Ft!E$2)^2)))</f>
        <v>3.6837052949697895E-4</v>
      </c>
      <c r="J88" s="3">
        <f>IF(($A88-Ft!F$2)&lt;0,Ft!F$3*((1-Ft!F$6)/(1+Ft!F$37*($A88-Ft!F$2)^2)+Ft!F$6*EXP(Ft!F$38*($A88-Ft!F$2)^2)),Ft!F$3*((1-Ft!F$7)/(1+Ft!F$39*($A88-Ft!F$2)^2)+Ft!F$7*EXP(Ft!F$40*($A88-Ft!F$2)^2)))</f>
        <v>2.6101883285060644E-80</v>
      </c>
      <c r="K88" s="3">
        <f>IF(($A88-Ft!G$2)&lt;0,Ft!G$3*((1-Ft!G$6)/(1+Ft!G$37*($A88-Ft!G$2)^2)+Ft!G$6*EXP(Ft!G$38*($A88-Ft!G$2)^2)),Ft!G$3*((1-Ft!G$7)/(1+Ft!G$39*($A88-Ft!G$2)^2)+Ft!G$7*EXP(Ft!G$40*($A88-Ft!G$2)^2)))</f>
        <v>0</v>
      </c>
      <c r="L88" s="3">
        <f>IF(($A88-Ft!H$2)&lt;0,Ft!H$3*((1-Ft!H$6)/(1+Ft!H$37*($A88-Ft!H$2)^2)+Ft!H$6*EXP(Ft!H$38*($A88-Ft!H$2)^2)),Ft!H$3*((1-Ft!H$7)/(1+Ft!H$39*($A88-Ft!H$2)^2)+Ft!H$7*EXP(Ft!H$40*($A88-Ft!H$2)^2)))</f>
        <v>0</v>
      </c>
      <c r="M88" s="3">
        <f>IF(($A88-Ft!I$2)&lt;0,Ft!I$3*((1-Ft!I$6)/(1+Ft!I$37*($A88-Ft!I$2)^2)+Ft!I$6*EXP(Ft!I$38*($A88-Ft!I$2)^2)),Ft!I$3*((1-Ft!I$7)/(1+Ft!I$39*($A88-Ft!I$2)^2)+Ft!I$7*EXP(Ft!I$40*($A88-Ft!I$2)^2)))</f>
        <v>0</v>
      </c>
      <c r="N88" s="3">
        <f>IF(($A88-Ft!J$2)&lt;0,Ft!J$3*((1-Ft!J$6)/(1+Ft!J$37*($A88-Ft!J$2)^2)+Ft!J$6*EXP(Ft!J$38*($A88-Ft!J$2)^2)),Ft!J$3*((1-Ft!J$7)/(1+Ft!J$39*($A88-Ft!J$2)^2)+Ft!J$7*EXP(Ft!J$40*($A88-Ft!J$2)^2)))</f>
        <v>0</v>
      </c>
      <c r="O88" s="3">
        <f>IF(($A88-Ft!K$2)&lt;0,Ft!K$3*((1-Ft!K$6)/(1+Ft!K$37*($A88-Ft!K$2)^2)+Ft!K$6*EXP(Ft!K$38*($A88-Ft!K$2)^2)),Ft!K$3*((1-Ft!K$7)/(1+Ft!K$39*($A88-Ft!K$2)^2)+Ft!K$7*EXP(Ft!K$40*($A88-Ft!K$2)^2)))</f>
        <v>0</v>
      </c>
      <c r="P88"/>
      <c r="Q88"/>
    </row>
    <row r="89" spans="1:17">
      <c r="A89">
        <v>174</v>
      </c>
      <c r="B89">
        <v>12.440389062837994</v>
      </c>
      <c r="C89" s="6">
        <f t="shared" si="3"/>
        <v>12.769578888735055</v>
      </c>
      <c r="D89" s="19">
        <f t="shared" si="4"/>
        <v>0.10836594147413699</v>
      </c>
      <c r="E89" s="3">
        <f>Ft!$B$12+Ft!$B$14*(Data!A89-Vars!$B$3)</f>
        <v>0</v>
      </c>
      <c r="F89" s="3">
        <f>IF(($A89-Ft!B$2)&lt;0,Ft!B$3*((1-Ft!B$6)/(1+Ft!B$37*($A89-Ft!B$2)^2)+Ft!B$6*EXP(Ft!B$38*($A89-Ft!B$2)^2)),Ft!B$3*((1-Ft!B$7)/(1+Ft!B$39*($A89-Ft!B$2)^2)+Ft!B$7*EXP(Ft!B$40*($A89-Ft!B$2)^2)))</f>
        <v>2.6911595536465334E-9</v>
      </c>
      <c r="G89" s="3">
        <f>IF(($A89-Ft!C$2)&lt;0,Ft!C$3*((1-Ft!C$6)/(1+Ft!C$37*($A89-Ft!C$2)^2)+Ft!C$6*EXP(Ft!C$38*($A89-Ft!C$2)^2)),Ft!C$3*((1-Ft!C$7)/(1+Ft!C$39*($A89-Ft!C$2)^2)+Ft!C$7*EXP(Ft!C$40*($A89-Ft!C$2)^2)))</f>
        <v>8.2199557980480833</v>
      </c>
      <c r="H89" s="3">
        <f>IF(($A89-Ft!D$2)&lt;0,Ft!D$3*((1-Ft!D$6)/(1+Ft!D$37*($A89-Ft!D$2)^2)+Ft!D$6*EXP(Ft!D$38*($A89-Ft!D$2)^2)),Ft!D$3*((1-Ft!D$7)/(1+Ft!D$39*($A89-Ft!D$2)^2)+Ft!D$7*EXP(Ft!D$40*($A89-Ft!D$2)^2)))</f>
        <v>4.5492298255784451</v>
      </c>
      <c r="I89" s="3">
        <f>IF(($A89-Ft!E$2)&lt;0,Ft!E$3*((1-Ft!E$6)/(1+Ft!E$37*($A89-Ft!E$2)^2)+Ft!E$6*EXP(Ft!E$38*($A89-Ft!E$2)^2)),Ft!E$3*((1-Ft!E$7)/(1+Ft!E$39*($A89-Ft!E$2)^2)+Ft!E$7*EXP(Ft!E$40*($A89-Ft!E$2)^2)))</f>
        <v>3.9326241736599259E-4</v>
      </c>
      <c r="J89" s="3">
        <f>IF(($A89-Ft!F$2)&lt;0,Ft!F$3*((1-Ft!F$6)/(1+Ft!F$37*($A89-Ft!F$2)^2)+Ft!F$6*EXP(Ft!F$38*($A89-Ft!F$2)^2)),Ft!F$3*((1-Ft!F$7)/(1+Ft!F$39*($A89-Ft!F$2)^2)+Ft!F$7*EXP(Ft!F$40*($A89-Ft!F$2)^2)))</f>
        <v>6.3617408213592498E-80</v>
      </c>
      <c r="K89" s="3">
        <f>IF(($A89-Ft!G$2)&lt;0,Ft!G$3*((1-Ft!G$6)/(1+Ft!G$37*($A89-Ft!G$2)^2)+Ft!G$6*EXP(Ft!G$38*($A89-Ft!G$2)^2)),Ft!G$3*((1-Ft!G$7)/(1+Ft!G$39*($A89-Ft!G$2)^2)+Ft!G$7*EXP(Ft!G$40*($A89-Ft!G$2)^2)))</f>
        <v>0</v>
      </c>
      <c r="L89" s="3">
        <f>IF(($A89-Ft!H$2)&lt;0,Ft!H$3*((1-Ft!H$6)/(1+Ft!H$37*($A89-Ft!H$2)^2)+Ft!H$6*EXP(Ft!H$38*($A89-Ft!H$2)^2)),Ft!H$3*((1-Ft!H$7)/(1+Ft!H$39*($A89-Ft!H$2)^2)+Ft!H$7*EXP(Ft!H$40*($A89-Ft!H$2)^2)))</f>
        <v>0</v>
      </c>
      <c r="M89" s="3">
        <f>IF(($A89-Ft!I$2)&lt;0,Ft!I$3*((1-Ft!I$6)/(1+Ft!I$37*($A89-Ft!I$2)^2)+Ft!I$6*EXP(Ft!I$38*($A89-Ft!I$2)^2)),Ft!I$3*((1-Ft!I$7)/(1+Ft!I$39*($A89-Ft!I$2)^2)+Ft!I$7*EXP(Ft!I$40*($A89-Ft!I$2)^2)))</f>
        <v>0</v>
      </c>
      <c r="N89" s="3">
        <f>IF(($A89-Ft!J$2)&lt;0,Ft!J$3*((1-Ft!J$6)/(1+Ft!J$37*($A89-Ft!J$2)^2)+Ft!J$6*EXP(Ft!J$38*($A89-Ft!J$2)^2)),Ft!J$3*((1-Ft!J$7)/(1+Ft!J$39*($A89-Ft!J$2)^2)+Ft!J$7*EXP(Ft!J$40*($A89-Ft!J$2)^2)))</f>
        <v>0</v>
      </c>
      <c r="O89" s="3">
        <f>IF(($A89-Ft!K$2)&lt;0,Ft!K$3*((1-Ft!K$6)/(1+Ft!K$37*($A89-Ft!K$2)^2)+Ft!K$6*EXP(Ft!K$38*($A89-Ft!K$2)^2)),Ft!K$3*((1-Ft!K$7)/(1+Ft!K$39*($A89-Ft!K$2)^2)+Ft!K$7*EXP(Ft!K$40*($A89-Ft!K$2)^2)))</f>
        <v>0</v>
      </c>
      <c r="P89"/>
      <c r="Q89"/>
    </row>
    <row r="90" spans="1:17">
      <c r="A90">
        <v>176</v>
      </c>
      <c r="B90">
        <v>12.466096871842993</v>
      </c>
      <c r="C90" s="6">
        <f t="shared" si="3"/>
        <v>12.765396605461079</v>
      </c>
      <c r="D90" s="19">
        <f t="shared" si="4"/>
        <v>8.9580330543857667E-2</v>
      </c>
      <c r="E90" s="3">
        <f>Ft!$B$12+Ft!$B$14*(Data!A90-Vars!$B$3)</f>
        <v>0</v>
      </c>
      <c r="F90" s="3">
        <f>IF(($A90-Ft!B$2)&lt;0,Ft!B$3*((1-Ft!B$6)/(1+Ft!B$37*($A90-Ft!B$2)^2)+Ft!B$6*EXP(Ft!B$38*($A90-Ft!B$2)^2)),Ft!B$3*((1-Ft!B$7)/(1+Ft!B$39*($A90-Ft!B$2)^2)+Ft!B$7*EXP(Ft!B$40*($A90-Ft!B$2)^2)))</f>
        <v>1.3978807024968515E-9</v>
      </c>
      <c r="G90" s="3">
        <f>IF(($A90-Ft!C$2)&lt;0,Ft!C$3*((1-Ft!C$6)/(1+Ft!C$37*($A90-Ft!C$2)^2)+Ft!C$6*EXP(Ft!C$38*($A90-Ft!C$2)^2)),Ft!C$3*((1-Ft!C$7)/(1+Ft!C$39*($A90-Ft!C$2)^2)+Ft!C$7*EXP(Ft!C$40*($A90-Ft!C$2)^2)))</f>
        <v>8.123433083039286</v>
      </c>
      <c r="H90" s="3">
        <f>IF(($A90-Ft!D$2)&lt;0,Ft!D$3*((1-Ft!D$6)/(1+Ft!D$37*($A90-Ft!D$2)^2)+Ft!D$6*EXP(Ft!D$38*($A90-Ft!D$2)^2)),Ft!D$3*((1-Ft!D$7)/(1+Ft!D$39*($A90-Ft!D$2)^2)+Ft!D$7*EXP(Ft!D$40*($A90-Ft!D$2)^2)))</f>
        <v>4.6415437692290045</v>
      </c>
      <c r="I90" s="3">
        <f>IF(($A90-Ft!E$2)&lt;0,Ft!E$3*((1-Ft!E$6)/(1+Ft!E$37*($A90-Ft!E$2)^2)+Ft!E$6*EXP(Ft!E$38*($A90-Ft!E$2)^2)),Ft!E$3*((1-Ft!E$7)/(1+Ft!E$39*($A90-Ft!E$2)^2)+Ft!E$7*EXP(Ft!E$40*($A90-Ft!E$2)^2)))</f>
        <v>4.197517949079936E-4</v>
      </c>
      <c r="J90" s="3">
        <f>IF(($A90-Ft!F$2)&lt;0,Ft!F$3*((1-Ft!F$6)/(1+Ft!F$37*($A90-Ft!F$2)^2)+Ft!F$6*EXP(Ft!F$38*($A90-Ft!F$2)^2)),Ft!F$3*((1-Ft!F$7)/(1+Ft!F$39*($A90-Ft!F$2)^2)+Ft!F$7*EXP(Ft!F$40*($A90-Ft!F$2)^2)))</f>
        <v>1.5471961445934113E-79</v>
      </c>
      <c r="K90" s="3">
        <f>IF(($A90-Ft!G$2)&lt;0,Ft!G$3*((1-Ft!G$6)/(1+Ft!G$37*($A90-Ft!G$2)^2)+Ft!G$6*EXP(Ft!G$38*($A90-Ft!G$2)^2)),Ft!G$3*((1-Ft!G$7)/(1+Ft!G$39*($A90-Ft!G$2)^2)+Ft!G$7*EXP(Ft!G$40*($A90-Ft!G$2)^2)))</f>
        <v>0</v>
      </c>
      <c r="L90" s="3">
        <f>IF(($A90-Ft!H$2)&lt;0,Ft!H$3*((1-Ft!H$6)/(1+Ft!H$37*($A90-Ft!H$2)^2)+Ft!H$6*EXP(Ft!H$38*($A90-Ft!H$2)^2)),Ft!H$3*((1-Ft!H$7)/(1+Ft!H$39*($A90-Ft!H$2)^2)+Ft!H$7*EXP(Ft!H$40*($A90-Ft!H$2)^2)))</f>
        <v>0</v>
      </c>
      <c r="M90" s="3">
        <f>IF(($A90-Ft!I$2)&lt;0,Ft!I$3*((1-Ft!I$6)/(1+Ft!I$37*($A90-Ft!I$2)^2)+Ft!I$6*EXP(Ft!I$38*($A90-Ft!I$2)^2)),Ft!I$3*((1-Ft!I$7)/(1+Ft!I$39*($A90-Ft!I$2)^2)+Ft!I$7*EXP(Ft!I$40*($A90-Ft!I$2)^2)))</f>
        <v>0</v>
      </c>
      <c r="N90" s="3">
        <f>IF(($A90-Ft!J$2)&lt;0,Ft!J$3*((1-Ft!J$6)/(1+Ft!J$37*($A90-Ft!J$2)^2)+Ft!J$6*EXP(Ft!J$38*($A90-Ft!J$2)^2)),Ft!J$3*((1-Ft!J$7)/(1+Ft!J$39*($A90-Ft!J$2)^2)+Ft!J$7*EXP(Ft!J$40*($A90-Ft!J$2)^2)))</f>
        <v>0</v>
      </c>
      <c r="O90" s="3">
        <f>IF(($A90-Ft!K$2)&lt;0,Ft!K$3*((1-Ft!K$6)/(1+Ft!K$37*($A90-Ft!K$2)^2)+Ft!K$6*EXP(Ft!K$38*($A90-Ft!K$2)^2)),Ft!K$3*((1-Ft!K$7)/(1+Ft!K$39*($A90-Ft!K$2)^2)+Ft!K$7*EXP(Ft!K$40*($A90-Ft!K$2)^2)))</f>
        <v>0</v>
      </c>
      <c r="P90"/>
      <c r="Q90"/>
    </row>
    <row r="91" spans="1:17">
      <c r="A91">
        <v>178</v>
      </c>
      <c r="B91">
        <v>12.490957661458992</v>
      </c>
      <c r="C91" s="6">
        <f t="shared" si="3"/>
        <v>12.758329515150686</v>
      </c>
      <c r="D91" s="19">
        <f t="shared" si="4"/>
        <v>7.1487708146532644E-2</v>
      </c>
      <c r="E91" s="3">
        <f>Ft!$B$12+Ft!$B$14*(Data!A91-Vars!$B$3)</f>
        <v>0</v>
      </c>
      <c r="F91" s="3">
        <f>IF(($A91-Ft!B$2)&lt;0,Ft!B$3*((1-Ft!B$6)/(1+Ft!B$37*($A91-Ft!B$2)^2)+Ft!B$6*EXP(Ft!B$38*($A91-Ft!B$2)^2)),Ft!B$3*((1-Ft!B$7)/(1+Ft!B$39*($A91-Ft!B$2)^2)+Ft!B$7*EXP(Ft!B$40*($A91-Ft!B$2)^2)))</f>
        <v>7.1880295371668601E-10</v>
      </c>
      <c r="G91" s="3">
        <f>IF(($A91-Ft!C$2)&lt;0,Ft!C$3*((1-Ft!C$6)/(1+Ft!C$37*($A91-Ft!C$2)^2)+Ft!C$6*EXP(Ft!C$38*($A91-Ft!C$2)^2)),Ft!C$3*((1-Ft!C$7)/(1+Ft!C$39*($A91-Ft!C$2)^2)+Ft!C$7*EXP(Ft!C$40*($A91-Ft!C$2)^2)))</f>
        <v>8.0228313831341591</v>
      </c>
      <c r="H91" s="3">
        <f>IF(($A91-Ft!D$2)&lt;0,Ft!D$3*((1-Ft!D$6)/(1+Ft!D$37*($A91-Ft!D$2)^2)+Ft!D$6*EXP(Ft!D$38*($A91-Ft!D$2)^2)),Ft!D$3*((1-Ft!D$7)/(1+Ft!D$39*($A91-Ft!D$2)^2)+Ft!D$7*EXP(Ft!D$40*($A91-Ft!D$2)^2)))</f>
        <v>4.7350501960577294</v>
      </c>
      <c r="I91" s="3">
        <f>IF(($A91-Ft!E$2)&lt;0,Ft!E$3*((1-Ft!E$6)/(1+Ft!E$37*($A91-Ft!E$2)^2)+Ft!E$6*EXP(Ft!E$38*($A91-Ft!E$2)^2)),Ft!E$3*((1-Ft!E$7)/(1+Ft!E$39*($A91-Ft!E$2)^2)+Ft!E$7*EXP(Ft!E$40*($A91-Ft!E$2)^2)))</f>
        <v>4.479352399955273E-4</v>
      </c>
      <c r="J91" s="3">
        <f>IF(($A91-Ft!F$2)&lt;0,Ft!F$3*((1-Ft!F$6)/(1+Ft!F$37*($A91-Ft!F$2)^2)+Ft!F$6*EXP(Ft!F$38*($A91-Ft!F$2)^2)),Ft!F$3*((1-Ft!F$7)/(1+Ft!F$39*($A91-Ft!F$2)^2)+Ft!F$7*EXP(Ft!F$40*($A91-Ft!F$2)^2)))</f>
        <v>3.7547415737629828E-79</v>
      </c>
      <c r="K91" s="3">
        <f>IF(($A91-Ft!G$2)&lt;0,Ft!G$3*((1-Ft!G$6)/(1+Ft!G$37*($A91-Ft!G$2)^2)+Ft!G$6*EXP(Ft!G$38*($A91-Ft!G$2)^2)),Ft!G$3*((1-Ft!G$7)/(1+Ft!G$39*($A91-Ft!G$2)^2)+Ft!G$7*EXP(Ft!G$40*($A91-Ft!G$2)^2)))</f>
        <v>0</v>
      </c>
      <c r="L91" s="3">
        <f>IF(($A91-Ft!H$2)&lt;0,Ft!H$3*((1-Ft!H$6)/(1+Ft!H$37*($A91-Ft!H$2)^2)+Ft!H$6*EXP(Ft!H$38*($A91-Ft!H$2)^2)),Ft!H$3*((1-Ft!H$7)/(1+Ft!H$39*($A91-Ft!H$2)^2)+Ft!H$7*EXP(Ft!H$40*($A91-Ft!H$2)^2)))</f>
        <v>0</v>
      </c>
      <c r="M91" s="3">
        <f>IF(($A91-Ft!I$2)&lt;0,Ft!I$3*((1-Ft!I$6)/(1+Ft!I$37*($A91-Ft!I$2)^2)+Ft!I$6*EXP(Ft!I$38*($A91-Ft!I$2)^2)),Ft!I$3*((1-Ft!I$7)/(1+Ft!I$39*($A91-Ft!I$2)^2)+Ft!I$7*EXP(Ft!I$40*($A91-Ft!I$2)^2)))</f>
        <v>0</v>
      </c>
      <c r="N91" s="3">
        <f>IF(($A91-Ft!J$2)&lt;0,Ft!J$3*((1-Ft!J$6)/(1+Ft!J$37*($A91-Ft!J$2)^2)+Ft!J$6*EXP(Ft!J$38*($A91-Ft!J$2)^2)),Ft!J$3*((1-Ft!J$7)/(1+Ft!J$39*($A91-Ft!J$2)^2)+Ft!J$7*EXP(Ft!J$40*($A91-Ft!J$2)^2)))</f>
        <v>0</v>
      </c>
      <c r="O91" s="3">
        <f>IF(($A91-Ft!K$2)&lt;0,Ft!K$3*((1-Ft!K$6)/(1+Ft!K$37*($A91-Ft!K$2)^2)+Ft!K$6*EXP(Ft!K$38*($A91-Ft!K$2)^2)),Ft!K$3*((1-Ft!K$7)/(1+Ft!K$39*($A91-Ft!K$2)^2)+Ft!K$7*EXP(Ft!K$40*($A91-Ft!K$2)^2)))</f>
        <v>0</v>
      </c>
      <c r="P91"/>
      <c r="Q91"/>
    </row>
    <row r="92" spans="1:17">
      <c r="A92">
        <v>180</v>
      </c>
      <c r="B92">
        <v>12.51414724886699</v>
      </c>
      <c r="C92" s="6">
        <f t="shared" si="3"/>
        <v>12.748554930446769</v>
      </c>
      <c r="D92" s="19">
        <f t="shared" si="4"/>
        <v>5.4946961183606792E-2</v>
      </c>
      <c r="E92" s="3">
        <f>Ft!$B$12+Ft!$B$14*(Data!A92-Vars!$B$3)</f>
        <v>0</v>
      </c>
      <c r="F92" s="3">
        <f>IF(($A92-Ft!B$2)&lt;0,Ft!B$3*((1-Ft!B$6)/(1+Ft!B$37*($A92-Ft!B$2)^2)+Ft!B$6*EXP(Ft!B$38*($A92-Ft!B$2)^2)),Ft!B$3*((1-Ft!B$7)/(1+Ft!B$39*($A92-Ft!B$2)^2)+Ft!B$7*EXP(Ft!B$40*($A92-Ft!B$2)^2)))</f>
        <v>3.6589685572346266E-10</v>
      </c>
      <c r="G92" s="3">
        <f>IF(($A92-Ft!C$2)&lt;0,Ft!C$3*((1-Ft!C$6)/(1+Ft!C$37*($A92-Ft!C$2)^2)+Ft!C$6*EXP(Ft!C$38*($A92-Ft!C$2)^2)),Ft!C$3*((1-Ft!C$7)/(1+Ft!C$39*($A92-Ft!C$2)^2)+Ft!C$7*EXP(Ft!C$40*($A92-Ft!C$2)^2)))</f>
        <v>7.9183310402999396</v>
      </c>
      <c r="H92" s="3">
        <f>IF(($A92-Ft!D$2)&lt;0,Ft!D$3*((1-Ft!D$6)/(1+Ft!D$37*($A92-Ft!D$2)^2)+Ft!D$6*EXP(Ft!D$38*($A92-Ft!D$2)^2)),Ft!D$3*((1-Ft!D$7)/(1+Ft!D$39*($A92-Ft!D$2)^2)+Ft!D$7*EXP(Ft!D$40*($A92-Ft!D$2)^2)))</f>
        <v>4.8297459750131067</v>
      </c>
      <c r="I92" s="3">
        <f>IF(($A92-Ft!E$2)&lt;0,Ft!E$3*((1-Ft!E$6)/(1+Ft!E$37*($A92-Ft!E$2)^2)+Ft!E$6*EXP(Ft!E$38*($A92-Ft!E$2)^2)),Ft!E$3*((1-Ft!E$7)/(1+Ft!E$39*($A92-Ft!E$2)^2)+Ft!E$7*EXP(Ft!E$40*($A92-Ft!E$2)^2)))</f>
        <v>4.7791476782630684E-4</v>
      </c>
      <c r="J92" s="3">
        <f>IF(($A92-Ft!F$2)&lt;0,Ft!F$3*((1-Ft!F$6)/(1+Ft!F$37*($A92-Ft!F$2)^2)+Ft!F$6*EXP(Ft!F$38*($A92-Ft!F$2)^2)),Ft!F$3*((1-Ft!F$7)/(1+Ft!F$39*($A92-Ft!F$2)^2)+Ft!F$7*EXP(Ft!F$40*($A92-Ft!F$2)^2)))</f>
        <v>9.0924307550357028E-79</v>
      </c>
      <c r="K92" s="3">
        <f>IF(($A92-Ft!G$2)&lt;0,Ft!G$3*((1-Ft!G$6)/(1+Ft!G$37*($A92-Ft!G$2)^2)+Ft!G$6*EXP(Ft!G$38*($A92-Ft!G$2)^2)),Ft!G$3*((1-Ft!G$7)/(1+Ft!G$39*($A92-Ft!G$2)^2)+Ft!G$7*EXP(Ft!G$40*($A92-Ft!G$2)^2)))</f>
        <v>0</v>
      </c>
      <c r="L92" s="3">
        <f>IF(($A92-Ft!H$2)&lt;0,Ft!H$3*((1-Ft!H$6)/(1+Ft!H$37*($A92-Ft!H$2)^2)+Ft!H$6*EXP(Ft!H$38*($A92-Ft!H$2)^2)),Ft!H$3*((1-Ft!H$7)/(1+Ft!H$39*($A92-Ft!H$2)^2)+Ft!H$7*EXP(Ft!H$40*($A92-Ft!H$2)^2)))</f>
        <v>0</v>
      </c>
      <c r="M92" s="3">
        <f>IF(($A92-Ft!I$2)&lt;0,Ft!I$3*((1-Ft!I$6)/(1+Ft!I$37*($A92-Ft!I$2)^2)+Ft!I$6*EXP(Ft!I$38*($A92-Ft!I$2)^2)),Ft!I$3*((1-Ft!I$7)/(1+Ft!I$39*($A92-Ft!I$2)^2)+Ft!I$7*EXP(Ft!I$40*($A92-Ft!I$2)^2)))</f>
        <v>0</v>
      </c>
      <c r="N92" s="3">
        <f>IF(($A92-Ft!J$2)&lt;0,Ft!J$3*((1-Ft!J$6)/(1+Ft!J$37*($A92-Ft!J$2)^2)+Ft!J$6*EXP(Ft!J$38*($A92-Ft!J$2)^2)),Ft!J$3*((1-Ft!J$7)/(1+Ft!J$39*($A92-Ft!J$2)^2)+Ft!J$7*EXP(Ft!J$40*($A92-Ft!J$2)^2)))</f>
        <v>0</v>
      </c>
      <c r="O92" s="3">
        <f>IF(($A92-Ft!K$2)&lt;0,Ft!K$3*((1-Ft!K$6)/(1+Ft!K$37*($A92-Ft!K$2)^2)+Ft!K$6*EXP(Ft!K$38*($A92-Ft!K$2)^2)),Ft!K$3*((1-Ft!K$7)/(1+Ft!K$39*($A92-Ft!K$2)^2)+Ft!K$7*EXP(Ft!K$40*($A92-Ft!K$2)^2)))</f>
        <v>0</v>
      </c>
      <c r="P92"/>
      <c r="Q92"/>
    </row>
    <row r="93" spans="1:17">
      <c r="A93">
        <v>182</v>
      </c>
      <c r="B93">
        <v>12.534841451245995</v>
      </c>
      <c r="C93" s="6">
        <f t="shared" si="3"/>
        <v>12.736254843240559</v>
      </c>
      <c r="D93" s="19">
        <f t="shared" si="4"/>
        <v>4.0567354474755714E-2</v>
      </c>
      <c r="E93" s="3">
        <f>Ft!$B$12+Ft!$B$14*(Data!A93-Vars!$B$3)</f>
        <v>0</v>
      </c>
      <c r="F93" s="3">
        <f>IF(($A93-Ft!B$2)&lt;0,Ft!B$3*((1-Ft!B$6)/(1+Ft!B$37*($A93-Ft!B$2)^2)+Ft!B$6*EXP(Ft!B$38*($A93-Ft!B$2)^2)),Ft!B$3*((1-Ft!B$7)/(1+Ft!B$39*($A93-Ft!B$2)^2)+Ft!B$7*EXP(Ft!B$40*($A93-Ft!B$2)^2)))</f>
        <v>1.8438117692604195E-10</v>
      </c>
      <c r="G93" s="3">
        <f>IF(($A93-Ft!C$2)&lt;0,Ft!C$3*((1-Ft!C$6)/(1+Ft!C$37*($A93-Ft!C$2)^2)+Ft!C$6*EXP(Ft!C$38*($A93-Ft!C$2)^2)),Ft!C$3*((1-Ft!C$7)/(1+Ft!C$39*($A93-Ft!C$2)^2)+Ft!C$7*EXP(Ft!C$40*($A93-Ft!C$2)^2)))</f>
        <v>7.8101176507860224</v>
      </c>
      <c r="H93" s="3">
        <f>IF(($A93-Ft!D$2)&lt;0,Ft!D$3*((1-Ft!D$6)/(1+Ft!D$37*($A93-Ft!D$2)^2)+Ft!D$6*EXP(Ft!D$38*($A93-Ft!D$2)^2)),Ft!D$3*((1-Ft!D$7)/(1+Ft!D$39*($A93-Ft!D$2)^2)+Ft!D$7*EXP(Ft!D$40*($A93-Ft!D$2)^2)))</f>
        <v>4.9256273941590605</v>
      </c>
      <c r="I93" s="3">
        <f>IF(($A93-Ft!E$2)&lt;0,Ft!E$3*((1-Ft!E$6)/(1+Ft!E$37*($A93-Ft!E$2)^2)+Ft!E$6*EXP(Ft!E$38*($A93-Ft!E$2)^2)),Ft!E$3*((1-Ft!E$7)/(1+Ft!E$39*($A93-Ft!E$2)^2)+Ft!E$7*EXP(Ft!E$40*($A93-Ft!E$2)^2)))</f>
        <v>5.0979811109498065E-4</v>
      </c>
      <c r="J93" s="3">
        <f>IF(($A93-Ft!F$2)&lt;0,Ft!F$3*((1-Ft!F$6)/(1+Ft!F$37*($A93-Ft!F$2)^2)+Ft!F$6*EXP(Ft!F$38*($A93-Ft!F$2)^2)),Ft!F$3*((1-Ft!F$7)/(1+Ft!F$39*($A93-Ft!F$2)^2)+Ft!F$7*EXP(Ft!F$40*($A93-Ft!F$2)^2)))</f>
        <v>2.1970767454626103E-78</v>
      </c>
      <c r="K93" s="3">
        <f>IF(($A93-Ft!G$2)&lt;0,Ft!G$3*((1-Ft!G$6)/(1+Ft!G$37*($A93-Ft!G$2)^2)+Ft!G$6*EXP(Ft!G$38*($A93-Ft!G$2)^2)),Ft!G$3*((1-Ft!G$7)/(1+Ft!G$39*($A93-Ft!G$2)^2)+Ft!G$7*EXP(Ft!G$40*($A93-Ft!G$2)^2)))</f>
        <v>0</v>
      </c>
      <c r="L93" s="3">
        <f>IF(($A93-Ft!H$2)&lt;0,Ft!H$3*((1-Ft!H$6)/(1+Ft!H$37*($A93-Ft!H$2)^2)+Ft!H$6*EXP(Ft!H$38*($A93-Ft!H$2)^2)),Ft!H$3*((1-Ft!H$7)/(1+Ft!H$39*($A93-Ft!H$2)^2)+Ft!H$7*EXP(Ft!H$40*($A93-Ft!H$2)^2)))</f>
        <v>0</v>
      </c>
      <c r="M93" s="3">
        <f>IF(($A93-Ft!I$2)&lt;0,Ft!I$3*((1-Ft!I$6)/(1+Ft!I$37*($A93-Ft!I$2)^2)+Ft!I$6*EXP(Ft!I$38*($A93-Ft!I$2)^2)),Ft!I$3*((1-Ft!I$7)/(1+Ft!I$39*($A93-Ft!I$2)^2)+Ft!I$7*EXP(Ft!I$40*($A93-Ft!I$2)^2)))</f>
        <v>0</v>
      </c>
      <c r="N93" s="3">
        <f>IF(($A93-Ft!J$2)&lt;0,Ft!J$3*((1-Ft!J$6)/(1+Ft!J$37*($A93-Ft!J$2)^2)+Ft!J$6*EXP(Ft!J$38*($A93-Ft!J$2)^2)),Ft!J$3*((1-Ft!J$7)/(1+Ft!J$39*($A93-Ft!J$2)^2)+Ft!J$7*EXP(Ft!J$40*($A93-Ft!J$2)^2)))</f>
        <v>0</v>
      </c>
      <c r="O93" s="3">
        <f>IF(($A93-Ft!K$2)&lt;0,Ft!K$3*((1-Ft!K$6)/(1+Ft!K$37*($A93-Ft!K$2)^2)+Ft!K$6*EXP(Ft!K$38*($A93-Ft!K$2)^2)),Ft!K$3*((1-Ft!K$7)/(1+Ft!K$39*($A93-Ft!K$2)^2)+Ft!K$7*EXP(Ft!K$40*($A93-Ft!K$2)^2)))</f>
        <v>0</v>
      </c>
      <c r="P93"/>
      <c r="Q93"/>
    </row>
    <row r="94" spans="1:17">
      <c r="A94">
        <v>184</v>
      </c>
      <c r="B94">
        <v>12.552216085775996</v>
      </c>
      <c r="C94" s="6">
        <f t="shared" si="3"/>
        <v>12.721615368230431</v>
      </c>
      <c r="D94" s="19">
        <f t="shared" si="4"/>
        <v>2.8696116896077536E-2</v>
      </c>
      <c r="E94" s="3">
        <f>Ft!$B$12+Ft!$B$14*(Data!A94-Vars!$B$3)</f>
        <v>0</v>
      </c>
      <c r="F94" s="3">
        <f>IF(($A94-Ft!B$2)&lt;0,Ft!B$3*((1-Ft!B$6)/(1+Ft!B$37*($A94-Ft!B$2)^2)+Ft!B$6*EXP(Ft!B$38*($A94-Ft!B$2)^2)),Ft!B$3*((1-Ft!B$7)/(1+Ft!B$39*($A94-Ft!B$2)^2)+Ft!B$7*EXP(Ft!B$40*($A94-Ft!B$2)^2)))</f>
        <v>9.1977916802936376E-11</v>
      </c>
      <c r="G94" s="3">
        <f>IF(($A94-Ft!C$2)&lt;0,Ft!C$3*((1-Ft!C$6)/(1+Ft!C$37*($A94-Ft!C$2)^2)+Ft!C$6*EXP(Ft!C$38*($A94-Ft!C$2)^2)),Ft!C$3*((1-Ft!C$7)/(1+Ft!C$39*($A94-Ft!C$2)^2)+Ft!C$7*EXP(Ft!C$40*($A94-Ft!C$2)^2)))</f>
        <v>7.6983815179114057</v>
      </c>
      <c r="H94" s="3">
        <f>IF(($A94-Ft!D$2)&lt;0,Ft!D$3*((1-Ft!D$6)/(1+Ft!D$37*($A94-Ft!D$2)^2)+Ft!D$6*EXP(Ft!D$38*($A94-Ft!D$2)^2)),Ft!D$3*((1-Ft!D$7)/(1+Ft!D$39*($A94-Ft!D$2)^2)+Ft!D$7*EXP(Ft!D$40*($A94-Ft!D$2)^2)))</f>
        <v>5.0226901512140483</v>
      </c>
      <c r="I94" s="3">
        <f>IF(($A94-Ft!E$2)&lt;0,Ft!E$3*((1-Ft!E$6)/(1+Ft!E$37*($A94-Ft!E$2)^2)+Ft!E$6*EXP(Ft!E$38*($A94-Ft!E$2)^2)),Ft!E$3*((1-Ft!E$7)/(1+Ft!E$39*($A94-Ft!E$2)^2)+Ft!E$7*EXP(Ft!E$40*($A94-Ft!E$2)^2)))</f>
        <v>5.4369901299870555E-4</v>
      </c>
      <c r="J94" s="3">
        <f>IF(($A94-Ft!F$2)&lt;0,Ft!F$3*((1-Ft!F$6)/(1+Ft!F$37*($A94-Ft!F$2)^2)+Ft!F$6*EXP(Ft!F$38*($A94-Ft!F$2)^2)),Ft!F$3*((1-Ft!F$7)/(1+Ft!F$39*($A94-Ft!F$2)^2)+Ft!F$7*EXP(Ft!F$40*($A94-Ft!F$2)^2)))</f>
        <v>5.2975580781293975E-78</v>
      </c>
      <c r="K94" s="3">
        <f>IF(($A94-Ft!G$2)&lt;0,Ft!G$3*((1-Ft!G$6)/(1+Ft!G$37*($A94-Ft!G$2)^2)+Ft!G$6*EXP(Ft!G$38*($A94-Ft!G$2)^2)),Ft!G$3*((1-Ft!G$7)/(1+Ft!G$39*($A94-Ft!G$2)^2)+Ft!G$7*EXP(Ft!G$40*($A94-Ft!G$2)^2)))</f>
        <v>2.8288928657410183E-306</v>
      </c>
      <c r="L94" s="3">
        <f>IF(($A94-Ft!H$2)&lt;0,Ft!H$3*((1-Ft!H$6)/(1+Ft!H$37*($A94-Ft!H$2)^2)+Ft!H$6*EXP(Ft!H$38*($A94-Ft!H$2)^2)),Ft!H$3*((1-Ft!H$7)/(1+Ft!H$39*($A94-Ft!H$2)^2)+Ft!H$7*EXP(Ft!H$40*($A94-Ft!H$2)^2)))</f>
        <v>0</v>
      </c>
      <c r="M94" s="3">
        <f>IF(($A94-Ft!I$2)&lt;0,Ft!I$3*((1-Ft!I$6)/(1+Ft!I$37*($A94-Ft!I$2)^2)+Ft!I$6*EXP(Ft!I$38*($A94-Ft!I$2)^2)),Ft!I$3*((1-Ft!I$7)/(1+Ft!I$39*($A94-Ft!I$2)^2)+Ft!I$7*EXP(Ft!I$40*($A94-Ft!I$2)^2)))</f>
        <v>0</v>
      </c>
      <c r="N94" s="3">
        <f>IF(($A94-Ft!J$2)&lt;0,Ft!J$3*((1-Ft!J$6)/(1+Ft!J$37*($A94-Ft!J$2)^2)+Ft!J$6*EXP(Ft!J$38*($A94-Ft!J$2)^2)),Ft!J$3*((1-Ft!J$7)/(1+Ft!J$39*($A94-Ft!J$2)^2)+Ft!J$7*EXP(Ft!J$40*($A94-Ft!J$2)^2)))</f>
        <v>0</v>
      </c>
      <c r="O94" s="3">
        <f>IF(($A94-Ft!K$2)&lt;0,Ft!K$3*((1-Ft!K$6)/(1+Ft!K$37*($A94-Ft!K$2)^2)+Ft!K$6*EXP(Ft!K$38*($A94-Ft!K$2)^2)),Ft!K$3*((1-Ft!K$7)/(1+Ft!K$39*($A94-Ft!K$2)^2)+Ft!K$7*EXP(Ft!K$40*($A94-Ft!K$2)^2)))</f>
        <v>0</v>
      </c>
      <c r="P94"/>
      <c r="Q94"/>
    </row>
    <row r="95" spans="1:17">
      <c r="A95">
        <v>186</v>
      </c>
      <c r="B95">
        <v>12.56547286210899</v>
      </c>
      <c r="C95" s="6">
        <f t="shared" si="3"/>
        <v>12.704826178887725</v>
      </c>
      <c r="D95" s="19">
        <f t="shared" si="4"/>
        <v>1.9419346897234364E-2</v>
      </c>
      <c r="E95" s="3">
        <f>Ft!$B$12+Ft!$B$14*(Data!A95-Vars!$B$3)</f>
        <v>0</v>
      </c>
      <c r="F95" s="3">
        <f>IF(($A95-Ft!B$2)&lt;0,Ft!B$3*((1-Ft!B$6)/(1+Ft!B$37*($A95-Ft!B$2)^2)+Ft!B$6*EXP(Ft!B$38*($A95-Ft!B$2)^2)),Ft!B$3*((1-Ft!B$7)/(1+Ft!B$39*($A95-Ft!B$2)^2)+Ft!B$7*EXP(Ft!B$40*($A95-Ft!B$2)^2)))</f>
        <v>4.5421307977921188E-11</v>
      </c>
      <c r="G95" s="3">
        <f>IF(($A95-Ft!C$2)&lt;0,Ft!C$3*((1-Ft!C$6)/(1+Ft!C$37*($A95-Ft!C$2)^2)+Ft!C$6*EXP(Ft!C$38*($A95-Ft!C$2)^2)),Ft!C$3*((1-Ft!C$7)/(1+Ft!C$39*($A95-Ft!C$2)^2)+Ft!C$7*EXP(Ft!C$40*($A95-Ft!C$2)^2)))</f>
        <v>7.5833170969785613</v>
      </c>
      <c r="H95" s="3">
        <f>IF(($A95-Ft!D$2)&lt;0,Ft!D$3*((1-Ft!D$6)/(1+Ft!D$37*($A95-Ft!D$2)^2)+Ft!D$6*EXP(Ft!D$38*($A95-Ft!D$2)^2)),Ft!D$3*((1-Ft!D$7)/(1+Ft!D$39*($A95-Ft!D$2)^2)+Ft!D$7*EXP(Ft!D$40*($A95-Ft!D$2)^2)))</f>
        <v>5.1209293443301727</v>
      </c>
      <c r="I95" s="3">
        <f>IF(($A95-Ft!E$2)&lt;0,Ft!E$3*((1-Ft!E$6)/(1+Ft!E$37*($A95-Ft!E$2)^2)+Ft!E$6*EXP(Ft!E$38*($A95-Ft!E$2)^2)),Ft!E$3*((1-Ft!E$7)/(1+Ft!E$39*($A95-Ft!E$2)^2)+Ft!E$7*EXP(Ft!E$40*($A95-Ft!E$2)^2)))</f>
        <v>5.7973753356976951E-4</v>
      </c>
      <c r="J95" s="3">
        <f>IF(($A95-Ft!F$2)&lt;0,Ft!F$3*((1-Ft!F$6)/(1+Ft!F$37*($A95-Ft!F$2)^2)+Ft!F$6*EXP(Ft!F$38*($A95-Ft!F$2)^2)),Ft!F$3*((1-Ft!F$7)/(1+Ft!F$39*($A95-Ft!F$2)^2)+Ft!F$7*EXP(Ft!F$40*($A95-Ft!F$2)^2)))</f>
        <v>1.2745929150206125E-77</v>
      </c>
      <c r="K95" s="3">
        <f>IF(($A95-Ft!G$2)&lt;0,Ft!G$3*((1-Ft!G$6)/(1+Ft!G$37*($A95-Ft!G$2)^2)+Ft!G$6*EXP(Ft!G$38*($A95-Ft!G$2)^2)),Ft!G$3*((1-Ft!G$7)/(1+Ft!G$39*($A95-Ft!G$2)^2)+Ft!G$7*EXP(Ft!G$40*($A95-Ft!G$2)^2)))</f>
        <v>7.4566617273852088E-305</v>
      </c>
      <c r="L95" s="3">
        <f>IF(($A95-Ft!H$2)&lt;0,Ft!H$3*((1-Ft!H$6)/(1+Ft!H$37*($A95-Ft!H$2)^2)+Ft!H$6*EXP(Ft!H$38*($A95-Ft!H$2)^2)),Ft!H$3*((1-Ft!H$7)/(1+Ft!H$39*($A95-Ft!H$2)^2)+Ft!H$7*EXP(Ft!H$40*($A95-Ft!H$2)^2)))</f>
        <v>0</v>
      </c>
      <c r="M95" s="3">
        <f>IF(($A95-Ft!I$2)&lt;0,Ft!I$3*((1-Ft!I$6)/(1+Ft!I$37*($A95-Ft!I$2)^2)+Ft!I$6*EXP(Ft!I$38*($A95-Ft!I$2)^2)),Ft!I$3*((1-Ft!I$7)/(1+Ft!I$39*($A95-Ft!I$2)^2)+Ft!I$7*EXP(Ft!I$40*($A95-Ft!I$2)^2)))</f>
        <v>0</v>
      </c>
      <c r="N95" s="3">
        <f>IF(($A95-Ft!J$2)&lt;0,Ft!J$3*((1-Ft!J$6)/(1+Ft!J$37*($A95-Ft!J$2)^2)+Ft!J$6*EXP(Ft!J$38*($A95-Ft!J$2)^2)),Ft!J$3*((1-Ft!J$7)/(1+Ft!J$39*($A95-Ft!J$2)^2)+Ft!J$7*EXP(Ft!J$40*($A95-Ft!J$2)^2)))</f>
        <v>0</v>
      </c>
      <c r="O95" s="3">
        <f>IF(($A95-Ft!K$2)&lt;0,Ft!K$3*((1-Ft!K$6)/(1+Ft!K$37*($A95-Ft!K$2)^2)+Ft!K$6*EXP(Ft!K$38*($A95-Ft!K$2)^2)),Ft!K$3*((1-Ft!K$7)/(1+Ft!K$39*($A95-Ft!K$2)^2)+Ft!K$7*EXP(Ft!K$40*($A95-Ft!K$2)^2)))</f>
        <v>0</v>
      </c>
      <c r="P95"/>
      <c r="Q95"/>
    </row>
    <row r="96" spans="1:17">
      <c r="A96">
        <v>188</v>
      </c>
      <c r="B96">
        <v>12.574512677968997</v>
      </c>
      <c r="C96" s="6">
        <f t="shared" si="3"/>
        <v>12.686079938085191</v>
      </c>
      <c r="D96" s="19">
        <f t="shared" si="4"/>
        <v>1.2447253529834567E-2</v>
      </c>
      <c r="E96" s="3">
        <f>Ft!$B$12+Ft!$B$14*(Data!A96-Vars!$B$3)</f>
        <v>0</v>
      </c>
      <c r="F96" s="3">
        <f>IF(($A96-Ft!B$2)&lt;0,Ft!B$3*((1-Ft!B$6)/(1+Ft!B$37*($A96-Ft!B$2)^2)+Ft!B$6*EXP(Ft!B$38*($A96-Ft!B$2)^2)),Ft!B$3*((1-Ft!B$7)/(1+Ft!B$39*($A96-Ft!B$2)^2)+Ft!B$7*EXP(Ft!B$40*($A96-Ft!B$2)^2)))</f>
        <v>2.2204693579633695E-11</v>
      </c>
      <c r="G96" s="3">
        <f>IF(($A96-Ft!C$2)&lt;0,Ft!C$3*((1-Ft!C$6)/(1+Ft!C$37*($A96-Ft!C$2)^2)+Ft!C$6*EXP(Ft!C$38*($A96-Ft!C$2)^2)),Ft!C$3*((1-Ft!C$7)/(1+Ft!C$39*($A96-Ft!C$2)^2)+Ft!C$7*EXP(Ft!C$40*($A96-Ft!C$2)^2)))</f>
        <v>7.4651224345680776</v>
      </c>
      <c r="H96" s="3">
        <f>IF(($A96-Ft!D$2)&lt;0,Ft!D$3*((1-Ft!D$6)/(1+Ft!D$37*($A96-Ft!D$2)^2)+Ft!D$6*EXP(Ft!D$38*($A96-Ft!D$2)^2)),Ft!D$3*((1-Ft!D$7)/(1+Ft!D$39*($A96-Ft!D$2)^2)+Ft!D$7*EXP(Ft!D$40*($A96-Ft!D$2)^2)))</f>
        <v>5.2203394631250672</v>
      </c>
      <c r="I96" s="3">
        <f>IF(($A96-Ft!E$2)&lt;0,Ft!E$3*((1-Ft!E$6)/(1+Ft!E$37*($A96-Ft!E$2)^2)+Ft!E$6*EXP(Ft!E$38*($A96-Ft!E$2)^2)),Ft!E$3*((1-Ft!E$7)/(1+Ft!E$39*($A96-Ft!E$2)^2)+Ft!E$7*EXP(Ft!E$40*($A96-Ft!E$2)^2)))</f>
        <v>6.1804036984203421E-4</v>
      </c>
      <c r="J96" s="3">
        <f>IF(($A96-Ft!F$2)&lt;0,Ft!F$3*((1-Ft!F$6)/(1+Ft!F$37*($A96-Ft!F$2)^2)+Ft!F$6*EXP(Ft!F$38*($A96-Ft!F$2)^2)),Ft!F$3*((1-Ft!F$7)/(1+Ft!F$39*($A96-Ft!F$2)^2)+Ft!F$7*EXP(Ft!F$40*($A96-Ft!F$2)^2)))</f>
        <v>3.0600783596493414E-77</v>
      </c>
      <c r="K96" s="3">
        <f>IF(($A96-Ft!G$2)&lt;0,Ft!G$3*((1-Ft!G$6)/(1+Ft!G$37*($A96-Ft!G$2)^2)+Ft!G$6*EXP(Ft!G$38*($A96-Ft!G$2)^2)),Ft!G$3*((1-Ft!G$7)/(1+Ft!G$39*($A96-Ft!G$2)^2)+Ft!G$7*EXP(Ft!G$40*($A96-Ft!G$2)^2)))</f>
        <v>1.9506049192843505E-303</v>
      </c>
      <c r="L96" s="3">
        <f>IF(($A96-Ft!H$2)&lt;0,Ft!H$3*((1-Ft!H$6)/(1+Ft!H$37*($A96-Ft!H$2)^2)+Ft!H$6*EXP(Ft!H$38*($A96-Ft!H$2)^2)),Ft!H$3*((1-Ft!H$7)/(1+Ft!H$39*($A96-Ft!H$2)^2)+Ft!H$7*EXP(Ft!H$40*($A96-Ft!H$2)^2)))</f>
        <v>0</v>
      </c>
      <c r="M96" s="3">
        <f>IF(($A96-Ft!I$2)&lt;0,Ft!I$3*((1-Ft!I$6)/(1+Ft!I$37*($A96-Ft!I$2)^2)+Ft!I$6*EXP(Ft!I$38*($A96-Ft!I$2)^2)),Ft!I$3*((1-Ft!I$7)/(1+Ft!I$39*($A96-Ft!I$2)^2)+Ft!I$7*EXP(Ft!I$40*($A96-Ft!I$2)^2)))</f>
        <v>0</v>
      </c>
      <c r="N96" s="3">
        <f>IF(($A96-Ft!J$2)&lt;0,Ft!J$3*((1-Ft!J$6)/(1+Ft!J$37*($A96-Ft!J$2)^2)+Ft!J$6*EXP(Ft!J$38*($A96-Ft!J$2)^2)),Ft!J$3*((1-Ft!J$7)/(1+Ft!J$39*($A96-Ft!J$2)^2)+Ft!J$7*EXP(Ft!J$40*($A96-Ft!J$2)^2)))</f>
        <v>0</v>
      </c>
      <c r="O96" s="3">
        <f>IF(($A96-Ft!K$2)&lt;0,Ft!K$3*((1-Ft!K$6)/(1+Ft!K$37*($A96-Ft!K$2)^2)+Ft!K$6*EXP(Ft!K$38*($A96-Ft!K$2)^2)),Ft!K$3*((1-Ft!K$7)/(1+Ft!K$39*($A96-Ft!K$2)^2)+Ft!K$7*EXP(Ft!K$40*($A96-Ft!K$2)^2)))</f>
        <v>0</v>
      </c>
      <c r="P96"/>
      <c r="Q96"/>
    </row>
    <row r="97" spans="1:17">
      <c r="A97">
        <v>190</v>
      </c>
      <c r="B97">
        <v>12.579993208723991</v>
      </c>
      <c r="C97" s="6">
        <f t="shared" si="3"/>
        <v>12.665571725642835</v>
      </c>
      <c r="D97" s="19">
        <f t="shared" si="4"/>
        <v>7.3236825580288104E-3</v>
      </c>
      <c r="E97" s="3">
        <f>Ft!$B$12+Ft!$B$14*(Data!A97-Vars!$B$3)</f>
        <v>0</v>
      </c>
      <c r="F97" s="3">
        <f>IF(($A97-Ft!B$2)&lt;0,Ft!B$3*((1-Ft!B$6)/(1+Ft!B$37*($A97-Ft!B$2)^2)+Ft!B$6*EXP(Ft!B$38*($A97-Ft!B$2)^2)),Ft!B$3*((1-Ft!B$7)/(1+Ft!B$39*($A97-Ft!B$2)^2)+Ft!B$7*EXP(Ft!B$40*($A97-Ft!B$2)^2)))</f>
        <v>1.0745806437296643E-11</v>
      </c>
      <c r="G97" s="3">
        <f>IF(($A97-Ft!C$2)&lt;0,Ft!C$3*((1-Ft!C$6)/(1+Ft!C$37*($A97-Ft!C$2)^2)+Ft!C$6*EXP(Ft!C$38*($A97-Ft!C$2)^2)),Ft!C$3*((1-Ft!C$7)/(1+Ft!C$39*($A97-Ft!C$2)^2)+Ft!C$7*EXP(Ft!C$40*($A97-Ft!C$2)^2)))</f>
        <v>7.3439986044623211</v>
      </c>
      <c r="H97" s="3">
        <f>IF(($A97-Ft!D$2)&lt;0,Ft!D$3*((1-Ft!D$6)/(1+Ft!D$37*($A97-Ft!D$2)^2)+Ft!D$6*EXP(Ft!D$38*($A97-Ft!D$2)^2)),Ft!D$3*((1-Ft!D$7)/(1+Ft!D$39*($A97-Ft!D$2)^2)+Ft!D$7*EXP(Ft!D$40*($A97-Ft!D$2)^2)))</f>
        <v>5.3209143799793956</v>
      </c>
      <c r="I97" s="3">
        <f>IF(($A97-Ft!E$2)&lt;0,Ft!E$3*((1-Ft!E$6)/(1+Ft!E$37*($A97-Ft!E$2)^2)+Ft!E$6*EXP(Ft!E$38*($A97-Ft!E$2)^2)),Ft!E$3*((1-Ft!E$7)/(1+Ft!E$39*($A97-Ft!E$2)^2)+Ft!E$7*EXP(Ft!E$40*($A97-Ft!E$2)^2)))</f>
        <v>6.5874119037159296E-4</v>
      </c>
      <c r="J97" s="3">
        <f>IF(($A97-Ft!F$2)&lt;0,Ft!F$3*((1-Ft!F$6)/(1+Ft!F$37*($A97-Ft!F$2)^2)+Ft!F$6*EXP(Ft!F$38*($A97-Ft!F$2)^2)),Ft!F$3*((1-Ft!F$7)/(1+Ft!F$39*($A97-Ft!F$2)^2)+Ft!F$7*EXP(Ft!F$40*($A97-Ft!F$2)^2)))</f>
        <v>7.3309265686152382E-77</v>
      </c>
      <c r="K97" s="3">
        <f>IF(($A97-Ft!G$2)&lt;0,Ft!G$3*((1-Ft!G$6)/(1+Ft!G$37*($A97-Ft!G$2)^2)+Ft!G$6*EXP(Ft!G$38*($A97-Ft!G$2)^2)),Ft!G$3*((1-Ft!G$7)/(1+Ft!G$39*($A97-Ft!G$2)^2)+Ft!G$7*EXP(Ft!G$40*($A97-Ft!G$2)^2)))</f>
        <v>5.0639699598877713E-302</v>
      </c>
      <c r="L97" s="3">
        <f>IF(($A97-Ft!H$2)&lt;0,Ft!H$3*((1-Ft!H$6)/(1+Ft!H$37*($A97-Ft!H$2)^2)+Ft!H$6*EXP(Ft!H$38*($A97-Ft!H$2)^2)),Ft!H$3*((1-Ft!H$7)/(1+Ft!H$39*($A97-Ft!H$2)^2)+Ft!H$7*EXP(Ft!H$40*($A97-Ft!H$2)^2)))</f>
        <v>0</v>
      </c>
      <c r="M97" s="3">
        <f>IF(($A97-Ft!I$2)&lt;0,Ft!I$3*((1-Ft!I$6)/(1+Ft!I$37*($A97-Ft!I$2)^2)+Ft!I$6*EXP(Ft!I$38*($A97-Ft!I$2)^2)),Ft!I$3*((1-Ft!I$7)/(1+Ft!I$39*($A97-Ft!I$2)^2)+Ft!I$7*EXP(Ft!I$40*($A97-Ft!I$2)^2)))</f>
        <v>0</v>
      </c>
      <c r="N97" s="3">
        <f>IF(($A97-Ft!J$2)&lt;0,Ft!J$3*((1-Ft!J$6)/(1+Ft!J$37*($A97-Ft!J$2)^2)+Ft!J$6*EXP(Ft!J$38*($A97-Ft!J$2)^2)),Ft!J$3*((1-Ft!J$7)/(1+Ft!J$39*($A97-Ft!J$2)^2)+Ft!J$7*EXP(Ft!J$40*($A97-Ft!J$2)^2)))</f>
        <v>0</v>
      </c>
      <c r="O97" s="3">
        <f>IF(($A97-Ft!K$2)&lt;0,Ft!K$3*((1-Ft!K$6)/(1+Ft!K$37*($A97-Ft!K$2)^2)+Ft!K$6*EXP(Ft!K$38*($A97-Ft!K$2)^2)),Ft!K$3*((1-Ft!K$7)/(1+Ft!K$39*($A97-Ft!K$2)^2)+Ft!K$7*EXP(Ft!K$40*($A97-Ft!K$2)^2)))</f>
        <v>0</v>
      </c>
      <c r="P97"/>
      <c r="Q97"/>
    </row>
    <row r="98" spans="1:17">
      <c r="A98">
        <v>192</v>
      </c>
      <c r="B98">
        <v>12.582609540124992</v>
      </c>
      <c r="C98" s="6">
        <f t="shared" si="3"/>
        <v>12.643498465031064</v>
      </c>
      <c r="D98" s="19">
        <f t="shared" si="4"/>
        <v>3.707461176217276E-3</v>
      </c>
      <c r="E98" s="3">
        <f>Ft!$B$12+Ft!$B$14*(Data!A98-Vars!$B$3)</f>
        <v>0</v>
      </c>
      <c r="F98" s="3">
        <f>IF(($A98-Ft!B$2)&lt;0,Ft!B$3*((1-Ft!B$6)/(1+Ft!B$37*($A98-Ft!B$2)^2)+Ft!B$6*EXP(Ft!B$38*($A98-Ft!B$2)^2)),Ft!B$3*((1-Ft!B$7)/(1+Ft!B$39*($A98-Ft!B$2)^2)+Ft!B$7*EXP(Ft!B$40*($A98-Ft!B$2)^2)))</f>
        <v>5.1480448683296635E-12</v>
      </c>
      <c r="G98" s="3">
        <f>IF(($A98-Ft!C$2)&lt;0,Ft!C$3*((1-Ft!C$6)/(1+Ft!C$37*($A98-Ft!C$2)^2)+Ft!C$6*EXP(Ft!C$38*($A98-Ft!C$2)^2)),Ft!C$3*((1-Ft!C$7)/(1+Ft!C$39*($A98-Ft!C$2)^2)+Ft!C$7*EXP(Ft!C$40*($A98-Ft!C$2)^2)))</f>
        <v>7.2201491424285802</v>
      </c>
      <c r="H98" s="3">
        <f>IF(($A98-Ft!D$2)&lt;0,Ft!D$3*((1-Ft!D$6)/(1+Ft!D$37*($A98-Ft!D$2)^2)+Ft!D$6*EXP(Ft!D$38*($A98-Ft!D$2)^2)),Ft!D$3*((1-Ft!D$7)/(1+Ft!D$39*($A98-Ft!D$2)^2)+Ft!D$7*EXP(Ft!D$40*($A98-Ft!D$2)^2)))</f>
        <v>5.4226473416126906</v>
      </c>
      <c r="I98" s="3">
        <f>IF(($A98-Ft!E$2)&lt;0,Ft!E$3*((1-Ft!E$6)/(1+Ft!E$37*($A98-Ft!E$2)^2)+Ft!E$6*EXP(Ft!E$38*($A98-Ft!E$2)^2)),Ft!E$3*((1-Ft!E$7)/(1+Ft!E$39*($A98-Ft!E$2)^2)+Ft!E$7*EXP(Ft!E$40*($A98-Ft!E$2)^2)))</f>
        <v>7.0198098464567776E-4</v>
      </c>
      <c r="J98" s="3">
        <f>IF(($A98-Ft!F$2)&lt;0,Ft!F$3*((1-Ft!F$6)/(1+Ft!F$37*($A98-Ft!F$2)^2)+Ft!F$6*EXP(Ft!F$38*($A98-Ft!F$2)^2)),Ft!F$3*((1-Ft!F$7)/(1+Ft!F$39*($A98-Ft!F$2)^2)+Ft!F$7*EXP(Ft!F$40*($A98-Ft!F$2)^2)))</f>
        <v>1.7524694877988815E-76</v>
      </c>
      <c r="K98" s="3">
        <f>IF(($A98-Ft!G$2)&lt;0,Ft!G$3*((1-Ft!G$6)/(1+Ft!G$37*($A98-Ft!G$2)^2)+Ft!G$6*EXP(Ft!G$38*($A98-Ft!G$2)^2)),Ft!G$3*((1-Ft!G$7)/(1+Ft!G$39*($A98-Ft!G$2)^2)+Ft!G$7*EXP(Ft!G$40*($A98-Ft!G$2)^2)))</f>
        <v>1.3046975848671112E-300</v>
      </c>
      <c r="L98" s="3">
        <f>IF(($A98-Ft!H$2)&lt;0,Ft!H$3*((1-Ft!H$6)/(1+Ft!H$37*($A98-Ft!H$2)^2)+Ft!H$6*EXP(Ft!H$38*($A98-Ft!H$2)^2)),Ft!H$3*((1-Ft!H$7)/(1+Ft!H$39*($A98-Ft!H$2)^2)+Ft!H$7*EXP(Ft!H$40*($A98-Ft!H$2)^2)))</f>
        <v>0</v>
      </c>
      <c r="M98" s="3">
        <f>IF(($A98-Ft!I$2)&lt;0,Ft!I$3*((1-Ft!I$6)/(1+Ft!I$37*($A98-Ft!I$2)^2)+Ft!I$6*EXP(Ft!I$38*($A98-Ft!I$2)^2)),Ft!I$3*((1-Ft!I$7)/(1+Ft!I$39*($A98-Ft!I$2)^2)+Ft!I$7*EXP(Ft!I$40*($A98-Ft!I$2)^2)))</f>
        <v>0</v>
      </c>
      <c r="N98" s="3">
        <f>IF(($A98-Ft!J$2)&lt;0,Ft!J$3*((1-Ft!J$6)/(1+Ft!J$37*($A98-Ft!J$2)^2)+Ft!J$6*EXP(Ft!J$38*($A98-Ft!J$2)^2)),Ft!J$3*((1-Ft!J$7)/(1+Ft!J$39*($A98-Ft!J$2)^2)+Ft!J$7*EXP(Ft!J$40*($A98-Ft!J$2)^2)))</f>
        <v>0</v>
      </c>
      <c r="O98" s="3">
        <f>IF(($A98-Ft!K$2)&lt;0,Ft!K$3*((1-Ft!K$6)/(1+Ft!K$37*($A98-Ft!K$2)^2)+Ft!K$6*EXP(Ft!K$38*($A98-Ft!K$2)^2)),Ft!K$3*((1-Ft!K$7)/(1+Ft!K$39*($A98-Ft!K$2)^2)+Ft!K$7*EXP(Ft!K$40*($A98-Ft!K$2)^2)))</f>
        <v>0</v>
      </c>
      <c r="P98"/>
      <c r="Q98"/>
    </row>
    <row r="99" spans="1:17">
      <c r="A99">
        <v>194</v>
      </c>
      <c r="B99">
        <v>12.583056757923998</v>
      </c>
      <c r="C99" s="6">
        <f t="shared" si="3"/>
        <v>12.620058351444062</v>
      </c>
      <c r="D99" s="19">
        <f t="shared" si="4"/>
        <v>1.3691179230239964E-3</v>
      </c>
      <c r="E99" s="3">
        <f>Ft!$B$12+Ft!$B$14*(Data!A99-Vars!$B$3)</f>
        <v>0</v>
      </c>
      <c r="F99" s="3">
        <f>IF(($A99-Ft!B$2)&lt;0,Ft!B$3*((1-Ft!B$6)/(1+Ft!B$37*($A99-Ft!B$2)^2)+Ft!B$6*EXP(Ft!B$38*($A99-Ft!B$2)^2)),Ft!B$3*((1-Ft!B$7)/(1+Ft!B$39*($A99-Ft!B$2)^2)+Ft!B$7*EXP(Ft!B$40*($A99-Ft!B$2)^2)))</f>
        <v>2.441488675918246E-12</v>
      </c>
      <c r="G99" s="3">
        <f>IF(($A99-Ft!C$2)&lt;0,Ft!C$3*((1-Ft!C$6)/(1+Ft!C$37*($A99-Ft!C$2)^2)+Ft!C$6*EXP(Ft!C$38*($A99-Ft!C$2)^2)),Ft!C$3*((1-Ft!C$7)/(1+Ft!C$39*($A99-Ft!C$2)^2)+Ft!C$7*EXP(Ft!C$40*($A99-Ft!C$2)^2)))</f>
        <v>7.0937794820633773</v>
      </c>
      <c r="H99" s="3">
        <f>IF(($A99-Ft!D$2)&lt;0,Ft!D$3*((1-Ft!D$6)/(1+Ft!D$37*($A99-Ft!D$2)^2)+Ft!D$6*EXP(Ft!D$38*($A99-Ft!D$2)^2)),Ft!D$3*((1-Ft!D$7)/(1+Ft!D$39*($A99-Ft!D$2)^2)+Ft!D$7*EXP(Ft!D$40*($A99-Ft!D$2)^2)))</f>
        <v>5.5255309609503156</v>
      </c>
      <c r="I99" s="3">
        <f>IF(($A99-Ft!E$2)&lt;0,Ft!E$3*((1-Ft!E$6)/(1+Ft!E$37*($A99-Ft!E$2)^2)+Ft!E$6*EXP(Ft!E$38*($A99-Ft!E$2)^2)),Ft!E$3*((1-Ft!E$7)/(1+Ft!E$39*($A99-Ft!E$2)^2)+Ft!E$7*EXP(Ft!E$40*($A99-Ft!E$2)^2)))</f>
        <v>7.4790842792755443E-4</v>
      </c>
      <c r="J99" s="3">
        <f>IF(($A99-Ft!F$2)&lt;0,Ft!F$3*((1-Ft!F$6)/(1+Ft!F$37*($A99-Ft!F$2)^2)+Ft!F$6*EXP(Ft!F$38*($A99-Ft!F$2)^2)),Ft!F$3*((1-Ft!F$7)/(1+Ft!F$39*($A99-Ft!F$2)^2)+Ft!F$7*EXP(Ft!F$40*($A99-Ft!F$2)^2)))</f>
        <v>4.1802988941766961E-76</v>
      </c>
      <c r="K99" s="3">
        <f>IF(($A99-Ft!G$2)&lt;0,Ft!G$3*((1-Ft!G$6)/(1+Ft!G$37*($A99-Ft!G$2)^2)+Ft!G$6*EXP(Ft!G$38*($A99-Ft!G$2)^2)),Ft!G$3*((1-Ft!G$7)/(1+Ft!G$39*($A99-Ft!G$2)^2)+Ft!G$7*EXP(Ft!G$40*($A99-Ft!G$2)^2)))</f>
        <v>3.3359960546417485E-299</v>
      </c>
      <c r="L99" s="3">
        <f>IF(($A99-Ft!H$2)&lt;0,Ft!H$3*((1-Ft!H$6)/(1+Ft!H$37*($A99-Ft!H$2)^2)+Ft!H$6*EXP(Ft!H$38*($A99-Ft!H$2)^2)),Ft!H$3*((1-Ft!H$7)/(1+Ft!H$39*($A99-Ft!H$2)^2)+Ft!H$7*EXP(Ft!H$40*($A99-Ft!H$2)^2)))</f>
        <v>0</v>
      </c>
      <c r="M99" s="3">
        <f>IF(($A99-Ft!I$2)&lt;0,Ft!I$3*((1-Ft!I$6)/(1+Ft!I$37*($A99-Ft!I$2)^2)+Ft!I$6*EXP(Ft!I$38*($A99-Ft!I$2)^2)),Ft!I$3*((1-Ft!I$7)/(1+Ft!I$39*($A99-Ft!I$2)^2)+Ft!I$7*EXP(Ft!I$40*($A99-Ft!I$2)^2)))</f>
        <v>0</v>
      </c>
      <c r="N99" s="3">
        <f>IF(($A99-Ft!J$2)&lt;0,Ft!J$3*((1-Ft!J$6)/(1+Ft!J$37*($A99-Ft!J$2)^2)+Ft!J$6*EXP(Ft!J$38*($A99-Ft!J$2)^2)),Ft!J$3*((1-Ft!J$7)/(1+Ft!J$39*($A99-Ft!J$2)^2)+Ft!J$7*EXP(Ft!J$40*($A99-Ft!J$2)^2)))</f>
        <v>0</v>
      </c>
      <c r="O99" s="3">
        <f>IF(($A99-Ft!K$2)&lt;0,Ft!K$3*((1-Ft!K$6)/(1+Ft!K$37*($A99-Ft!K$2)^2)+Ft!K$6*EXP(Ft!K$38*($A99-Ft!K$2)^2)),Ft!K$3*((1-Ft!K$7)/(1+Ft!K$39*($A99-Ft!K$2)^2)+Ft!K$7*EXP(Ft!K$40*($A99-Ft!K$2)^2)))</f>
        <v>0</v>
      </c>
      <c r="P99"/>
      <c r="Q99"/>
    </row>
    <row r="100" spans="1:17">
      <c r="A100">
        <v>196</v>
      </c>
      <c r="B100">
        <v>12.582029947872996</v>
      </c>
      <c r="C100" s="6">
        <f t="shared" si="3"/>
        <v>12.595450283417183</v>
      </c>
      <c r="D100" s="19">
        <f t="shared" si="4"/>
        <v>1.8010540611854755E-4</v>
      </c>
      <c r="E100" s="3">
        <f>Ft!$B$12+Ft!$B$14*(Data!A100-Vars!$B$3)</f>
        <v>0</v>
      </c>
      <c r="F100" s="3">
        <f>IF(($A100-Ft!B$2)&lt;0,Ft!B$3*((1-Ft!B$6)/(1+Ft!B$37*($A100-Ft!B$2)^2)+Ft!B$6*EXP(Ft!B$38*($A100-Ft!B$2)^2)),Ft!B$3*((1-Ft!B$7)/(1+Ft!B$39*($A100-Ft!B$2)^2)+Ft!B$7*EXP(Ft!B$40*($A100-Ft!B$2)^2)))</f>
        <v>1.1462416529425415E-12</v>
      </c>
      <c r="G100" s="3">
        <f>IF(($A100-Ft!C$2)&lt;0,Ft!C$3*((1-Ft!C$6)/(1+Ft!C$37*($A100-Ft!C$2)^2)+Ft!C$6*EXP(Ft!C$38*($A100-Ft!C$2)^2)),Ft!C$3*((1-Ft!C$7)/(1+Ft!C$39*($A100-Ft!C$2)^2)+Ft!C$7*EXP(Ft!C$40*($A100-Ft!C$2)^2)))</f>
        <v>6.9650963938597412</v>
      </c>
      <c r="H100" s="3">
        <f>IF(($A100-Ft!D$2)&lt;0,Ft!D$3*((1-Ft!D$6)/(1+Ft!D$37*($A100-Ft!D$2)^2)+Ft!D$6*EXP(Ft!D$38*($A100-Ft!D$2)^2)),Ft!D$3*((1-Ft!D$7)/(1+Ft!D$39*($A100-Ft!D$2)^2)+Ft!D$7*EXP(Ft!D$40*($A100-Ft!D$2)^2)))</f>
        <v>5.6295572092941972</v>
      </c>
      <c r="I100" s="3">
        <f>IF(($A100-Ft!E$2)&lt;0,Ft!E$3*((1-Ft!E$6)/(1+Ft!E$37*($A100-Ft!E$2)^2)+Ft!E$6*EXP(Ft!E$38*($A100-Ft!E$2)^2)),Ft!E$3*((1-Ft!E$7)/(1+Ft!E$39*($A100-Ft!E$2)^2)+Ft!E$7*EXP(Ft!E$40*($A100-Ft!E$2)^2)))</f>
        <v>7.9668026209875917E-4</v>
      </c>
      <c r="J100" s="3">
        <f>IF(($A100-Ft!F$2)&lt;0,Ft!F$3*((1-Ft!F$6)/(1+Ft!F$37*($A100-Ft!F$2)^2)+Ft!F$6*EXP(Ft!F$38*($A100-Ft!F$2)^2)),Ft!F$3*((1-Ft!F$7)/(1+Ft!F$39*($A100-Ft!F$2)^2)+Ft!F$7*EXP(Ft!F$40*($A100-Ft!F$2)^2)))</f>
        <v>9.9501465989039284E-76</v>
      </c>
      <c r="K100" s="3">
        <f>IF(($A100-Ft!G$2)&lt;0,Ft!G$3*((1-Ft!G$6)/(1+Ft!G$37*($A100-Ft!G$2)^2)+Ft!G$6*EXP(Ft!G$38*($A100-Ft!G$2)^2)),Ft!G$3*((1-Ft!G$7)/(1+Ft!G$39*($A100-Ft!G$2)^2)+Ft!G$7*EXP(Ft!G$40*($A100-Ft!G$2)^2)))</f>
        <v>8.4652176811124439E-298</v>
      </c>
      <c r="L100" s="3">
        <f>IF(($A100-Ft!H$2)&lt;0,Ft!H$3*((1-Ft!H$6)/(1+Ft!H$37*($A100-Ft!H$2)^2)+Ft!H$6*EXP(Ft!H$38*($A100-Ft!H$2)^2)),Ft!H$3*((1-Ft!H$7)/(1+Ft!H$39*($A100-Ft!H$2)^2)+Ft!H$7*EXP(Ft!H$40*($A100-Ft!H$2)^2)))</f>
        <v>0</v>
      </c>
      <c r="M100" s="3">
        <f>IF(($A100-Ft!I$2)&lt;0,Ft!I$3*((1-Ft!I$6)/(1+Ft!I$37*($A100-Ft!I$2)^2)+Ft!I$6*EXP(Ft!I$38*($A100-Ft!I$2)^2)),Ft!I$3*((1-Ft!I$7)/(1+Ft!I$39*($A100-Ft!I$2)^2)+Ft!I$7*EXP(Ft!I$40*($A100-Ft!I$2)^2)))</f>
        <v>0</v>
      </c>
      <c r="N100" s="3">
        <f>IF(($A100-Ft!J$2)&lt;0,Ft!J$3*((1-Ft!J$6)/(1+Ft!J$37*($A100-Ft!J$2)^2)+Ft!J$6*EXP(Ft!J$38*($A100-Ft!J$2)^2)),Ft!J$3*((1-Ft!J$7)/(1+Ft!J$39*($A100-Ft!J$2)^2)+Ft!J$7*EXP(Ft!J$40*($A100-Ft!J$2)^2)))</f>
        <v>0</v>
      </c>
      <c r="O100" s="3">
        <f>IF(($A100-Ft!K$2)&lt;0,Ft!K$3*((1-Ft!K$6)/(1+Ft!K$37*($A100-Ft!K$2)^2)+Ft!K$6*EXP(Ft!K$38*($A100-Ft!K$2)^2)),Ft!K$3*((1-Ft!K$7)/(1+Ft!K$39*($A100-Ft!K$2)^2)+Ft!K$7*EXP(Ft!K$40*($A100-Ft!K$2)^2)))</f>
        <v>0</v>
      </c>
      <c r="P100"/>
      <c r="Q100"/>
    </row>
    <row r="101" spans="1:17">
      <c r="A101">
        <v>198</v>
      </c>
      <c r="B101">
        <v>12.580224195722991</v>
      </c>
      <c r="C101" s="6">
        <f t="shared" si="3"/>
        <v>12.569873300112633</v>
      </c>
      <c r="D101" s="19">
        <f t="shared" si="4"/>
        <v>1.0714103993653223E-4</v>
      </c>
      <c r="E101" s="3">
        <f>Ft!$B$12+Ft!$B$14*(Data!A101-Vars!$B$3)</f>
        <v>0</v>
      </c>
      <c r="F101" s="3">
        <f>IF(($A101-Ft!B$2)&lt;0,Ft!B$3*((1-Ft!B$6)/(1+Ft!B$37*($A101-Ft!B$2)^2)+Ft!B$6*EXP(Ft!B$38*($A101-Ft!B$2)^2)),Ft!B$3*((1-Ft!B$7)/(1+Ft!B$39*($A101-Ft!B$2)^2)+Ft!B$7*EXP(Ft!B$40*($A101-Ft!B$2)^2)))</f>
        <v>5.3272949051497458E-13</v>
      </c>
      <c r="G101" s="3">
        <f>IF(($A101-Ft!C$2)&lt;0,Ft!C$3*((1-Ft!C$6)/(1+Ft!C$37*($A101-Ft!C$2)^2)+Ft!C$6*EXP(Ft!C$38*($A101-Ft!C$2)^2)),Ft!C$3*((1-Ft!C$7)/(1+Ft!C$39*($A101-Ft!C$2)^2)+Ft!C$7*EXP(Ft!C$40*($A101-Ft!C$2)^2)))</f>
        <v>6.8343074296090451</v>
      </c>
      <c r="H101" s="3">
        <f>IF(($A101-Ft!D$2)&lt;0,Ft!D$3*((1-Ft!D$6)/(1+Ft!D$37*($A101-Ft!D$2)^2)+Ft!D$6*EXP(Ft!D$38*($A101-Ft!D$2)^2)),Ft!D$3*((1-Ft!D$7)/(1+Ft!D$39*($A101-Ft!D$2)^2)+Ft!D$7*EXP(Ft!D$40*($A101-Ft!D$2)^2)))</f>
        <v>5.7347174088099795</v>
      </c>
      <c r="I101" s="3">
        <f>IF(($A101-Ft!E$2)&lt;0,Ft!E$3*((1-Ft!E$6)/(1+Ft!E$37*($A101-Ft!E$2)^2)+Ft!E$6*EXP(Ft!E$38*($A101-Ft!E$2)^2)),Ft!E$3*((1-Ft!E$7)/(1+Ft!E$39*($A101-Ft!E$2)^2)+Ft!E$7*EXP(Ft!E$40*($A101-Ft!E$2)^2)))</f>
        <v>8.4846169307370705E-4</v>
      </c>
      <c r="J101" s="3">
        <f>IF(($A101-Ft!F$2)&lt;0,Ft!F$3*((1-Ft!F$6)/(1+Ft!F$37*($A101-Ft!F$2)^2)+Ft!F$6*EXP(Ft!F$38*($A101-Ft!F$2)^2)),Ft!F$3*((1-Ft!F$7)/(1+Ft!F$39*($A101-Ft!F$2)^2)+Ft!F$7*EXP(Ft!F$40*($A101-Ft!F$2)^2)))</f>
        <v>2.3632893492780682E-75</v>
      </c>
      <c r="K101" s="3">
        <f>IF(($A101-Ft!G$2)&lt;0,Ft!G$3*((1-Ft!G$6)/(1+Ft!G$37*($A101-Ft!G$2)^2)+Ft!G$6*EXP(Ft!G$38*($A101-Ft!G$2)^2)),Ft!G$3*((1-Ft!G$7)/(1+Ft!G$39*($A101-Ft!G$2)^2)+Ft!G$7*EXP(Ft!G$40*($A101-Ft!G$2)^2)))</f>
        <v>2.1318059231464667E-296</v>
      </c>
      <c r="L101" s="3">
        <f>IF(($A101-Ft!H$2)&lt;0,Ft!H$3*((1-Ft!H$6)/(1+Ft!H$37*($A101-Ft!H$2)^2)+Ft!H$6*EXP(Ft!H$38*($A101-Ft!H$2)^2)),Ft!H$3*((1-Ft!H$7)/(1+Ft!H$39*($A101-Ft!H$2)^2)+Ft!H$7*EXP(Ft!H$40*($A101-Ft!H$2)^2)))</f>
        <v>0</v>
      </c>
      <c r="M101" s="3">
        <f>IF(($A101-Ft!I$2)&lt;0,Ft!I$3*((1-Ft!I$6)/(1+Ft!I$37*($A101-Ft!I$2)^2)+Ft!I$6*EXP(Ft!I$38*($A101-Ft!I$2)^2)),Ft!I$3*((1-Ft!I$7)/(1+Ft!I$39*($A101-Ft!I$2)^2)+Ft!I$7*EXP(Ft!I$40*($A101-Ft!I$2)^2)))</f>
        <v>0</v>
      </c>
      <c r="N101" s="3">
        <f>IF(($A101-Ft!J$2)&lt;0,Ft!J$3*((1-Ft!J$6)/(1+Ft!J$37*($A101-Ft!J$2)^2)+Ft!J$6*EXP(Ft!J$38*($A101-Ft!J$2)^2)),Ft!J$3*((1-Ft!J$7)/(1+Ft!J$39*($A101-Ft!J$2)^2)+Ft!J$7*EXP(Ft!J$40*($A101-Ft!J$2)^2)))</f>
        <v>0</v>
      </c>
      <c r="O101" s="3">
        <f>IF(($A101-Ft!K$2)&lt;0,Ft!K$3*((1-Ft!K$6)/(1+Ft!K$37*($A101-Ft!K$2)^2)+Ft!K$6*EXP(Ft!K$38*($A101-Ft!K$2)^2)),Ft!K$3*((1-Ft!K$7)/(1+Ft!K$39*($A101-Ft!K$2)^2)+Ft!K$7*EXP(Ft!K$40*($A101-Ft!K$2)^2)))</f>
        <v>0</v>
      </c>
      <c r="P101"/>
      <c r="Q101"/>
    </row>
    <row r="102" spans="1:17">
      <c r="A102">
        <v>200</v>
      </c>
      <c r="B102">
        <v>12.578334587227999</v>
      </c>
      <c r="C102" s="6">
        <f t="shared" si="3"/>
        <v>12.543526026337425</v>
      </c>
      <c r="D102" s="19">
        <f t="shared" si="4"/>
        <v>1.2116359112728553E-3</v>
      </c>
      <c r="E102" s="3">
        <f>Ft!$B$12+Ft!$B$14*(Data!A102-Vars!$B$3)</f>
        <v>0</v>
      </c>
      <c r="F102" s="3">
        <f>IF(($A102-Ft!B$2)&lt;0,Ft!B$3*((1-Ft!B$6)/(1+Ft!B$37*($A102-Ft!B$2)^2)+Ft!B$6*EXP(Ft!B$38*($A102-Ft!B$2)^2)),Ft!B$3*((1-Ft!B$7)/(1+Ft!B$39*($A102-Ft!B$2)^2)+Ft!B$7*EXP(Ft!B$40*($A102-Ft!B$2)^2)))</f>
        <v>2.4510172768384371E-13</v>
      </c>
      <c r="G102" s="3">
        <f>IF(($A102-Ft!C$2)&lt;0,Ft!C$3*((1-Ft!C$6)/(1+Ft!C$37*($A102-Ft!C$2)^2)+Ft!C$6*EXP(Ft!C$38*($A102-Ft!C$2)^2)),Ft!C$3*((1-Ft!C$7)/(1+Ft!C$39*($A102-Ft!C$2)^2)+Ft!C$7*EXP(Ft!C$40*($A102-Ft!C$2)^2)))</f>
        <v>6.7016203741886606</v>
      </c>
      <c r="H102" s="3">
        <f>IF(($A102-Ft!D$2)&lt;0,Ft!D$3*((1-Ft!D$6)/(1+Ft!D$37*($A102-Ft!D$2)^2)+Ft!D$6*EXP(Ft!D$38*($A102-Ft!D$2)^2)),Ft!D$3*((1-Ft!D$7)/(1+Ft!D$39*($A102-Ft!D$2)^2)+Ft!D$7*EXP(Ft!D$40*($A102-Ft!D$2)^2)))</f>
        <v>5.8410022253431437</v>
      </c>
      <c r="I102" s="3">
        <f>IF(($A102-Ft!E$2)&lt;0,Ft!E$3*((1-Ft!E$6)/(1+Ft!E$37*($A102-Ft!E$2)^2)+Ft!E$6*EXP(Ft!E$38*($A102-Ft!E$2)^2)),Ft!E$3*((1-Ft!E$7)/(1+Ft!E$39*($A102-Ft!E$2)^2)+Ft!E$7*EXP(Ft!E$40*($A102-Ft!E$2)^2)))</f>
        <v>9.034268053752278E-4</v>
      </c>
      <c r="J102" s="3">
        <f>IF(($A102-Ft!F$2)&lt;0,Ft!F$3*((1-Ft!F$6)/(1+Ft!F$37*($A102-Ft!F$2)^2)+Ft!F$6*EXP(Ft!F$38*($A102-Ft!F$2)^2)),Ft!F$3*((1-Ft!F$7)/(1+Ft!F$39*($A102-Ft!F$2)^2)+Ft!F$7*EXP(Ft!F$40*($A102-Ft!F$2)^2)))</f>
        <v>5.6010518133984641E-75</v>
      </c>
      <c r="K102" s="3">
        <f>IF(($A102-Ft!G$2)&lt;0,Ft!G$3*((1-Ft!G$6)/(1+Ft!G$37*($A102-Ft!G$2)^2)+Ft!G$6*EXP(Ft!G$38*($A102-Ft!G$2)^2)),Ft!G$3*((1-Ft!G$7)/(1+Ft!G$39*($A102-Ft!G$2)^2)+Ft!G$7*EXP(Ft!G$40*($A102-Ft!G$2)^2)))</f>
        <v>5.3278762733164019E-295</v>
      </c>
      <c r="L102" s="3">
        <f>IF(($A102-Ft!H$2)&lt;0,Ft!H$3*((1-Ft!H$6)/(1+Ft!H$37*($A102-Ft!H$2)^2)+Ft!H$6*EXP(Ft!H$38*($A102-Ft!H$2)^2)),Ft!H$3*((1-Ft!H$7)/(1+Ft!H$39*($A102-Ft!H$2)^2)+Ft!H$7*EXP(Ft!H$40*($A102-Ft!H$2)^2)))</f>
        <v>0</v>
      </c>
      <c r="M102" s="3">
        <f>IF(($A102-Ft!I$2)&lt;0,Ft!I$3*((1-Ft!I$6)/(1+Ft!I$37*($A102-Ft!I$2)^2)+Ft!I$6*EXP(Ft!I$38*($A102-Ft!I$2)^2)),Ft!I$3*((1-Ft!I$7)/(1+Ft!I$39*($A102-Ft!I$2)^2)+Ft!I$7*EXP(Ft!I$40*($A102-Ft!I$2)^2)))</f>
        <v>0</v>
      </c>
      <c r="N102" s="3">
        <f>IF(($A102-Ft!J$2)&lt;0,Ft!J$3*((1-Ft!J$6)/(1+Ft!J$37*($A102-Ft!J$2)^2)+Ft!J$6*EXP(Ft!J$38*($A102-Ft!J$2)^2)),Ft!J$3*((1-Ft!J$7)/(1+Ft!J$39*($A102-Ft!J$2)^2)+Ft!J$7*EXP(Ft!J$40*($A102-Ft!J$2)^2)))</f>
        <v>0</v>
      </c>
      <c r="O102" s="3">
        <f>IF(($A102-Ft!K$2)&lt;0,Ft!K$3*((1-Ft!K$6)/(1+Ft!K$37*($A102-Ft!K$2)^2)+Ft!K$6*EXP(Ft!K$38*($A102-Ft!K$2)^2)),Ft!K$3*((1-Ft!K$7)/(1+Ft!K$39*($A102-Ft!K$2)^2)+Ft!K$7*EXP(Ft!K$40*($A102-Ft!K$2)^2)))</f>
        <v>0</v>
      </c>
      <c r="P102"/>
      <c r="Q102"/>
    </row>
    <row r="103" spans="1:17">
      <c r="A103">
        <v>202</v>
      </c>
      <c r="B103">
        <v>12.577056208137989</v>
      </c>
      <c r="C103" s="6">
        <f t="shared" si="3"/>
        <v>12.516606127288016</v>
      </c>
      <c r="D103" s="19">
        <f t="shared" si="4"/>
        <v>3.6542122747683058E-3</v>
      </c>
      <c r="E103" s="3">
        <f>Ft!$B$12+Ft!$B$14*(Data!A103-Vars!$B$3)</f>
        <v>0</v>
      </c>
      <c r="F103" s="3">
        <f>IF(($A103-Ft!B$2)&lt;0,Ft!B$3*((1-Ft!B$6)/(1+Ft!B$37*($A103-Ft!B$2)^2)+Ft!B$6*EXP(Ft!B$38*($A103-Ft!B$2)^2)),Ft!B$3*((1-Ft!B$7)/(1+Ft!B$39*($A103-Ft!B$2)^2)+Ft!B$7*EXP(Ft!B$40*($A103-Ft!B$2)^2)))</f>
        <v>1.1163364032809775E-13</v>
      </c>
      <c r="G103" s="3">
        <f>IF(($A103-Ft!C$2)&lt;0,Ft!C$3*((1-Ft!C$6)/(1+Ft!C$37*($A103-Ft!C$2)^2)+Ft!C$6*EXP(Ft!C$38*($A103-Ft!C$2)^2)),Ft!C$3*((1-Ft!C$7)/(1+Ft!C$39*($A103-Ft!C$2)^2)+Ft!C$7*EXP(Ft!C$40*($A103-Ft!C$2)^2)))</f>
        <v>6.5672427067169155</v>
      </c>
      <c r="H103" s="3">
        <f>IF(($A103-Ft!D$2)&lt;0,Ft!D$3*((1-Ft!D$6)/(1+Ft!D$37*($A103-Ft!D$2)^2)+Ft!D$6*EXP(Ft!D$38*($A103-Ft!D$2)^2)),Ft!D$3*((1-Ft!D$7)/(1+Ft!D$39*($A103-Ft!D$2)^2)+Ft!D$7*EXP(Ft!D$40*($A103-Ft!D$2)^2)))</f>
        <v>5.9484016615765167</v>
      </c>
      <c r="I103" s="3">
        <f>IF(($A103-Ft!E$2)&lt;0,Ft!E$3*((1-Ft!E$6)/(1+Ft!E$37*($A103-Ft!E$2)^2)+Ft!E$6*EXP(Ft!E$38*($A103-Ft!E$2)^2)),Ft!E$3*((1-Ft!E$7)/(1+Ft!E$39*($A103-Ft!E$2)^2)+Ft!E$7*EXP(Ft!E$40*($A103-Ft!E$2)^2)))</f>
        <v>9.6175899447310223E-4</v>
      </c>
      <c r="J103" s="3">
        <f>IF(($A103-Ft!F$2)&lt;0,Ft!F$3*((1-Ft!F$6)/(1+Ft!F$37*($A103-Ft!F$2)^2)+Ft!F$6*EXP(Ft!F$38*($A103-Ft!F$2)^2)),Ft!F$3*((1-Ft!F$7)/(1+Ft!F$39*($A103-Ft!F$2)^2)+Ft!F$7*EXP(Ft!F$40*($A103-Ft!F$2)^2)))</f>
        <v>1.3246085586738398E-74</v>
      </c>
      <c r="K103" s="3">
        <f>IF(($A103-Ft!G$2)&lt;0,Ft!G$3*((1-Ft!G$6)/(1+Ft!G$37*($A103-Ft!G$2)^2)+Ft!G$6*EXP(Ft!G$38*($A103-Ft!G$2)^2)),Ft!G$3*((1-Ft!G$7)/(1+Ft!G$39*($A103-Ft!G$2)^2)+Ft!G$7*EXP(Ft!G$40*($A103-Ft!G$2)^2)))</f>
        <v>1.3214706727918503E-293</v>
      </c>
      <c r="L103" s="3">
        <f>IF(($A103-Ft!H$2)&lt;0,Ft!H$3*((1-Ft!H$6)/(1+Ft!H$37*($A103-Ft!H$2)^2)+Ft!H$6*EXP(Ft!H$38*($A103-Ft!H$2)^2)),Ft!H$3*((1-Ft!H$7)/(1+Ft!H$39*($A103-Ft!H$2)^2)+Ft!H$7*EXP(Ft!H$40*($A103-Ft!H$2)^2)))</f>
        <v>0</v>
      </c>
      <c r="M103" s="3">
        <f>IF(($A103-Ft!I$2)&lt;0,Ft!I$3*((1-Ft!I$6)/(1+Ft!I$37*($A103-Ft!I$2)^2)+Ft!I$6*EXP(Ft!I$38*($A103-Ft!I$2)^2)),Ft!I$3*((1-Ft!I$7)/(1+Ft!I$39*($A103-Ft!I$2)^2)+Ft!I$7*EXP(Ft!I$40*($A103-Ft!I$2)^2)))</f>
        <v>0</v>
      </c>
      <c r="N103" s="3">
        <f>IF(($A103-Ft!J$2)&lt;0,Ft!J$3*((1-Ft!J$6)/(1+Ft!J$37*($A103-Ft!J$2)^2)+Ft!J$6*EXP(Ft!J$38*($A103-Ft!J$2)^2)),Ft!J$3*((1-Ft!J$7)/(1+Ft!J$39*($A103-Ft!J$2)^2)+Ft!J$7*EXP(Ft!J$40*($A103-Ft!J$2)^2)))</f>
        <v>0</v>
      </c>
      <c r="O103" s="3">
        <f>IF(($A103-Ft!K$2)&lt;0,Ft!K$3*((1-Ft!K$6)/(1+Ft!K$37*($A103-Ft!K$2)^2)+Ft!K$6*EXP(Ft!K$38*($A103-Ft!K$2)^2)),Ft!K$3*((1-Ft!K$7)/(1+Ft!K$39*($A103-Ft!K$2)^2)+Ft!K$7*EXP(Ft!K$40*($A103-Ft!K$2)^2)))</f>
        <v>0</v>
      </c>
      <c r="P103"/>
      <c r="Q103"/>
    </row>
    <row r="104" spans="1:17">
      <c r="A104">
        <v>204</v>
      </c>
      <c r="B104">
        <v>12.575052623350999</v>
      </c>
      <c r="C104" s="6">
        <f t="shared" si="3"/>
        <v>12.489309774937194</v>
      </c>
      <c r="D104" s="19">
        <f t="shared" si="4"/>
        <v>7.3518360541127E-3</v>
      </c>
      <c r="E104" s="3">
        <f>Ft!$B$12+Ft!$B$14*(Data!A104-Vars!$B$3)</f>
        <v>0</v>
      </c>
      <c r="F104" s="3">
        <f>IF(($A104-Ft!B$2)&lt;0,Ft!B$3*((1-Ft!B$6)/(1+Ft!B$37*($A104-Ft!B$2)^2)+Ft!B$6*EXP(Ft!B$38*($A104-Ft!B$2)^2)),Ft!B$3*((1-Ft!B$7)/(1+Ft!B$39*($A104-Ft!B$2)^2)+Ft!B$7*EXP(Ft!B$40*($A104-Ft!B$2)^2)))</f>
        <v>5.0333007675668516E-14</v>
      </c>
      <c r="G104" s="3">
        <f>IF(($A104-Ft!C$2)&lt;0,Ft!C$3*((1-Ft!C$6)/(1+Ft!C$37*($A104-Ft!C$2)^2)+Ft!C$6*EXP(Ft!C$38*($A104-Ft!C$2)^2)),Ft!C$3*((1-Ft!C$7)/(1+Ft!C$39*($A104-Ft!C$2)^2)+Ft!C$7*EXP(Ft!C$40*($A104-Ft!C$2)^2)))</f>
        <v>6.4313810729781009</v>
      </c>
      <c r="H104" s="3">
        <f>IF(($A104-Ft!D$2)&lt;0,Ft!D$3*((1-Ft!D$6)/(1+Ft!D$37*($A104-Ft!D$2)^2)+Ft!D$6*EXP(Ft!D$38*($A104-Ft!D$2)^2)),Ft!D$3*((1-Ft!D$7)/(1+Ft!D$39*($A104-Ft!D$2)^2)+Ft!D$7*EXP(Ft!D$40*($A104-Ft!D$2)^2)))</f>
        <v>6.0569050505415403</v>
      </c>
      <c r="I104" s="3">
        <f>IF(($A104-Ft!E$2)&lt;0,Ft!E$3*((1-Ft!E$6)/(1+Ft!E$37*($A104-Ft!E$2)^2)+Ft!E$6*EXP(Ft!E$38*($A104-Ft!E$2)^2)),Ft!E$3*((1-Ft!E$7)/(1+Ft!E$39*($A104-Ft!E$2)^2)+Ft!E$7*EXP(Ft!E$40*($A104-Ft!E$2)^2)))</f>
        <v>1.0236514175009752E-3</v>
      </c>
      <c r="J104" s="3">
        <f>IF(($A104-Ft!F$2)&lt;0,Ft!F$3*((1-Ft!F$6)/(1+Ft!F$37*($A104-Ft!F$2)^2)+Ft!F$6*EXP(Ft!F$38*($A104-Ft!F$2)^2)),Ft!F$3*((1-Ft!F$7)/(1+Ft!F$39*($A104-Ft!F$2)^2)+Ft!F$7*EXP(Ft!F$40*($A104-Ft!F$2)^2)))</f>
        <v>3.125869173432216E-74</v>
      </c>
      <c r="K104" s="3">
        <f>IF(($A104-Ft!G$2)&lt;0,Ft!G$3*((1-Ft!G$6)/(1+Ft!G$37*($A104-Ft!G$2)^2)+Ft!G$6*EXP(Ft!G$38*($A104-Ft!G$2)^2)),Ft!G$3*((1-Ft!G$7)/(1+Ft!G$39*($A104-Ft!G$2)^2)+Ft!G$7*EXP(Ft!G$40*($A104-Ft!G$2)^2)))</f>
        <v>3.2528037349171801E-292</v>
      </c>
      <c r="L104" s="3">
        <f>IF(($A104-Ft!H$2)&lt;0,Ft!H$3*((1-Ft!H$6)/(1+Ft!H$37*($A104-Ft!H$2)^2)+Ft!H$6*EXP(Ft!H$38*($A104-Ft!H$2)^2)),Ft!H$3*((1-Ft!H$7)/(1+Ft!H$39*($A104-Ft!H$2)^2)+Ft!H$7*EXP(Ft!H$40*($A104-Ft!H$2)^2)))</f>
        <v>0</v>
      </c>
      <c r="M104" s="3">
        <f>IF(($A104-Ft!I$2)&lt;0,Ft!I$3*((1-Ft!I$6)/(1+Ft!I$37*($A104-Ft!I$2)^2)+Ft!I$6*EXP(Ft!I$38*($A104-Ft!I$2)^2)),Ft!I$3*((1-Ft!I$7)/(1+Ft!I$39*($A104-Ft!I$2)^2)+Ft!I$7*EXP(Ft!I$40*($A104-Ft!I$2)^2)))</f>
        <v>0</v>
      </c>
      <c r="N104" s="3">
        <f>IF(($A104-Ft!J$2)&lt;0,Ft!J$3*((1-Ft!J$6)/(1+Ft!J$37*($A104-Ft!J$2)^2)+Ft!J$6*EXP(Ft!J$38*($A104-Ft!J$2)^2)),Ft!J$3*((1-Ft!J$7)/(1+Ft!J$39*($A104-Ft!J$2)^2)+Ft!J$7*EXP(Ft!J$40*($A104-Ft!J$2)^2)))</f>
        <v>0</v>
      </c>
      <c r="O104" s="3">
        <f>IF(($A104-Ft!K$2)&lt;0,Ft!K$3*((1-Ft!K$6)/(1+Ft!K$37*($A104-Ft!K$2)^2)+Ft!K$6*EXP(Ft!K$38*($A104-Ft!K$2)^2)),Ft!K$3*((1-Ft!K$7)/(1+Ft!K$39*($A104-Ft!K$2)^2)+Ft!K$7*EXP(Ft!K$40*($A104-Ft!K$2)^2)))</f>
        <v>0</v>
      </c>
      <c r="P104"/>
      <c r="Q104"/>
    </row>
    <row r="105" spans="1:17">
      <c r="A105">
        <v>206</v>
      </c>
      <c r="B105">
        <v>12.570858216148991</v>
      </c>
      <c r="C105" s="6">
        <f t="shared" si="3"/>
        <v>12.461831127891735</v>
      </c>
      <c r="D105" s="19">
        <f t="shared" si="4"/>
        <v>1.1886905973855668E-2</v>
      </c>
      <c r="E105" s="3">
        <f>Ft!$B$12+Ft!$B$14*(Data!A105-Vars!$B$3)</f>
        <v>0</v>
      </c>
      <c r="F105" s="3">
        <f>IF(($A105-Ft!B$2)&lt;0,Ft!B$3*((1-Ft!B$6)/(1+Ft!B$37*($A105-Ft!B$2)^2)+Ft!B$6*EXP(Ft!B$38*($A105-Ft!B$2)^2)),Ft!B$3*((1-Ft!B$7)/(1+Ft!B$39*($A105-Ft!B$2)^2)+Ft!B$7*EXP(Ft!B$40*($A105-Ft!B$2)^2)))</f>
        <v>2.2465689859766621E-14</v>
      </c>
      <c r="G105" s="3">
        <f>IF(($A105-Ft!C$2)&lt;0,Ft!C$3*((1-Ft!C$6)/(1+Ft!C$37*($A105-Ft!C$2)^2)+Ft!C$6*EXP(Ft!C$38*($A105-Ft!C$2)^2)),Ft!C$3*((1-Ft!C$7)/(1+Ft!C$39*($A105-Ft!C$2)^2)+Ft!C$7*EXP(Ft!C$40*($A105-Ft!C$2)^2)))</f>
        <v>6.2942407709332802</v>
      </c>
      <c r="H105" s="3">
        <f>IF(($A105-Ft!D$2)&lt;0,Ft!D$3*((1-Ft!D$6)/(1+Ft!D$37*($A105-Ft!D$2)^2)+Ft!D$6*EXP(Ft!D$38*($A105-Ft!D$2)^2)),Ft!D$3*((1-Ft!D$7)/(1+Ft!D$39*($A105-Ft!D$2)^2)+Ft!D$7*EXP(Ft!D$40*($A105-Ft!D$2)^2)))</f>
        <v>6.1665010494954533</v>
      </c>
      <c r="I105" s="3">
        <f>IF(($A105-Ft!E$2)&lt;0,Ft!E$3*((1-Ft!E$6)/(1+Ft!E$37*($A105-Ft!E$2)^2)+Ft!E$6*EXP(Ft!E$38*($A105-Ft!E$2)^2)),Ft!E$3*((1-Ft!E$7)/(1+Ft!E$39*($A105-Ft!E$2)^2)+Ft!E$7*EXP(Ft!E$40*($A105-Ft!E$2)^2)))</f>
        <v>1.0893074629802894E-3</v>
      </c>
      <c r="J105" s="3">
        <f>IF(($A105-Ft!F$2)&lt;0,Ft!F$3*((1-Ft!F$6)/(1+Ft!F$37*($A105-Ft!F$2)^2)+Ft!F$6*EXP(Ft!F$38*($A105-Ft!F$2)^2)),Ft!F$3*((1-Ft!F$7)/(1+Ft!F$39*($A105-Ft!F$2)^2)+Ft!F$7*EXP(Ft!F$40*($A105-Ft!F$2)^2)))</f>
        <v>7.3607033044789222E-74</v>
      </c>
      <c r="K105" s="3">
        <f>IF(($A105-Ft!G$2)&lt;0,Ft!G$3*((1-Ft!G$6)/(1+Ft!G$37*($A105-Ft!G$2)^2)+Ft!G$6*EXP(Ft!G$38*($A105-Ft!G$2)^2)),Ft!G$3*((1-Ft!G$7)/(1+Ft!G$39*($A105-Ft!G$2)^2)+Ft!G$7*EXP(Ft!G$40*($A105-Ft!G$2)^2)))</f>
        <v>7.946120061555678E-291</v>
      </c>
      <c r="L105" s="3">
        <f>IF(($A105-Ft!H$2)&lt;0,Ft!H$3*((1-Ft!H$6)/(1+Ft!H$37*($A105-Ft!H$2)^2)+Ft!H$6*EXP(Ft!H$38*($A105-Ft!H$2)^2)),Ft!H$3*((1-Ft!H$7)/(1+Ft!H$39*($A105-Ft!H$2)^2)+Ft!H$7*EXP(Ft!H$40*($A105-Ft!H$2)^2)))</f>
        <v>0</v>
      </c>
      <c r="M105" s="3">
        <f>IF(($A105-Ft!I$2)&lt;0,Ft!I$3*((1-Ft!I$6)/(1+Ft!I$37*($A105-Ft!I$2)^2)+Ft!I$6*EXP(Ft!I$38*($A105-Ft!I$2)^2)),Ft!I$3*((1-Ft!I$7)/(1+Ft!I$39*($A105-Ft!I$2)^2)+Ft!I$7*EXP(Ft!I$40*($A105-Ft!I$2)^2)))</f>
        <v>0</v>
      </c>
      <c r="N105" s="3">
        <f>IF(($A105-Ft!J$2)&lt;0,Ft!J$3*((1-Ft!J$6)/(1+Ft!J$37*($A105-Ft!J$2)^2)+Ft!J$6*EXP(Ft!J$38*($A105-Ft!J$2)^2)),Ft!J$3*((1-Ft!J$7)/(1+Ft!J$39*($A105-Ft!J$2)^2)+Ft!J$7*EXP(Ft!J$40*($A105-Ft!J$2)^2)))</f>
        <v>0</v>
      </c>
      <c r="O105" s="3">
        <f>IF(($A105-Ft!K$2)&lt;0,Ft!K$3*((1-Ft!K$6)/(1+Ft!K$37*($A105-Ft!K$2)^2)+Ft!K$6*EXP(Ft!K$38*($A105-Ft!K$2)^2)),Ft!K$3*((1-Ft!K$7)/(1+Ft!K$39*($A105-Ft!K$2)^2)+Ft!K$7*EXP(Ft!K$40*($A105-Ft!K$2)^2)))</f>
        <v>0</v>
      </c>
      <c r="P105"/>
      <c r="Q105"/>
    </row>
    <row r="106" spans="1:17">
      <c r="A106">
        <v>208</v>
      </c>
      <c r="B106">
        <v>12.56497429985599</v>
      </c>
      <c r="C106" s="6">
        <f t="shared" si="3"/>
        <v>12.434361826454625</v>
      </c>
      <c r="D106" s="19">
        <f t="shared" si="4"/>
        <v>1.7059618208022383E-2</v>
      </c>
      <c r="E106" s="3">
        <f>Ft!$B$12+Ft!$B$14*(Data!A106-Vars!$B$3)</f>
        <v>0</v>
      </c>
      <c r="F106" s="3">
        <f>IF(($A106-Ft!B$2)&lt;0,Ft!B$3*((1-Ft!B$6)/(1+Ft!B$37*($A106-Ft!B$2)^2)+Ft!B$6*EXP(Ft!B$38*($A106-Ft!B$2)^2)),Ft!B$3*((1-Ft!B$7)/(1+Ft!B$39*($A106-Ft!B$2)^2)+Ft!B$7*EXP(Ft!B$40*($A106-Ft!B$2)^2)))</f>
        <v>9.9264901622668353E-15</v>
      </c>
      <c r="G106" s="3">
        <f>IF(($A106-Ft!C$2)&lt;0,Ft!C$3*((1-Ft!C$6)/(1+Ft!C$37*($A106-Ft!C$2)^2)+Ft!C$6*EXP(Ft!C$38*($A106-Ft!C$2)^2)),Ft!C$3*((1-Ft!C$7)/(1+Ft!C$39*($A106-Ft!C$2)^2)+Ft!C$7*EXP(Ft!C$40*($A106-Ft!C$2)^2)))</f>
        <v>6.1560252510379234</v>
      </c>
      <c r="H106" s="3">
        <f>IF(($A106-Ft!D$2)&lt;0,Ft!D$3*((1-Ft!D$6)/(1+Ft!D$37*($A106-Ft!D$2)^2)+Ft!D$6*EXP(Ft!D$38*($A106-Ft!D$2)^2)),Ft!D$3*((1-Ft!D$7)/(1+Ft!D$39*($A106-Ft!D$2)^2)+Ft!D$7*EXP(Ft!D$40*($A106-Ft!D$2)^2)))</f>
        <v>6.2771776341764971</v>
      </c>
      <c r="I106" s="3">
        <f>IF(($A106-Ft!E$2)&lt;0,Ft!E$3*((1-Ft!E$6)/(1+Ft!E$37*($A106-Ft!E$2)^2)+Ft!E$6*EXP(Ft!E$38*($A106-Ft!E$2)^2)),Ft!E$3*((1-Ft!E$7)/(1+Ft!E$39*($A106-Ft!E$2)^2)+Ft!E$7*EXP(Ft!E$40*($A106-Ft!E$2)^2)))</f>
        <v>1.1589412401928148E-3</v>
      </c>
      <c r="J106" s="3">
        <f>IF(($A106-Ft!F$2)&lt;0,Ft!F$3*((1-Ft!F$6)/(1+Ft!F$37*($A106-Ft!F$2)^2)+Ft!F$6*EXP(Ft!F$38*($A106-Ft!F$2)^2)),Ft!F$3*((1-Ft!F$7)/(1+Ft!F$39*($A106-Ft!F$2)^2)+Ft!F$7*EXP(Ft!F$40*($A106-Ft!F$2)^2)))</f>
        <v>1.7295499201279458E-73</v>
      </c>
      <c r="K106" s="3">
        <f>IF(($A106-Ft!G$2)&lt;0,Ft!G$3*((1-Ft!G$6)/(1+Ft!G$37*($A106-Ft!G$2)^2)+Ft!G$6*EXP(Ft!G$38*($A106-Ft!G$2)^2)),Ft!G$3*((1-Ft!G$7)/(1+Ft!G$39*($A106-Ft!G$2)^2)+Ft!G$7*EXP(Ft!G$40*($A106-Ft!G$2)^2)))</f>
        <v>1.9264126331680304E-289</v>
      </c>
      <c r="L106" s="3">
        <f>IF(($A106-Ft!H$2)&lt;0,Ft!H$3*((1-Ft!H$6)/(1+Ft!H$37*($A106-Ft!H$2)^2)+Ft!H$6*EXP(Ft!H$38*($A106-Ft!H$2)^2)),Ft!H$3*((1-Ft!H$7)/(1+Ft!H$39*($A106-Ft!H$2)^2)+Ft!H$7*EXP(Ft!H$40*($A106-Ft!H$2)^2)))</f>
        <v>0</v>
      </c>
      <c r="M106" s="3">
        <f>IF(($A106-Ft!I$2)&lt;0,Ft!I$3*((1-Ft!I$6)/(1+Ft!I$37*($A106-Ft!I$2)^2)+Ft!I$6*EXP(Ft!I$38*($A106-Ft!I$2)^2)),Ft!I$3*((1-Ft!I$7)/(1+Ft!I$39*($A106-Ft!I$2)^2)+Ft!I$7*EXP(Ft!I$40*($A106-Ft!I$2)^2)))</f>
        <v>0</v>
      </c>
      <c r="N106" s="3">
        <f>IF(($A106-Ft!J$2)&lt;0,Ft!J$3*((1-Ft!J$6)/(1+Ft!J$37*($A106-Ft!J$2)^2)+Ft!J$6*EXP(Ft!J$38*($A106-Ft!J$2)^2)),Ft!J$3*((1-Ft!J$7)/(1+Ft!J$39*($A106-Ft!J$2)^2)+Ft!J$7*EXP(Ft!J$40*($A106-Ft!J$2)^2)))</f>
        <v>0</v>
      </c>
      <c r="O106" s="3">
        <f>IF(($A106-Ft!K$2)&lt;0,Ft!K$3*((1-Ft!K$6)/(1+Ft!K$37*($A106-Ft!K$2)^2)+Ft!K$6*EXP(Ft!K$38*($A106-Ft!K$2)^2)),Ft!K$3*((1-Ft!K$7)/(1+Ft!K$39*($A106-Ft!K$2)^2)+Ft!K$7*EXP(Ft!K$40*($A106-Ft!K$2)^2)))</f>
        <v>0</v>
      </c>
      <c r="P106"/>
      <c r="Q106"/>
    </row>
    <row r="107" spans="1:17">
      <c r="A107">
        <v>210</v>
      </c>
      <c r="B107">
        <v>12.557902187797993</v>
      </c>
      <c r="C107" s="6">
        <f t="shared" si="3"/>
        <v>12.407090504523685</v>
      </c>
      <c r="D107" s="19">
        <f t="shared" si="4"/>
        <v>2.2744163812030007E-2</v>
      </c>
      <c r="E107" s="3">
        <f>Ft!$B$12+Ft!$B$14*(Data!A107-Vars!$B$3)</f>
        <v>0</v>
      </c>
      <c r="F107" s="3">
        <f>IF(($A107-Ft!B$2)&lt;0,Ft!B$3*((1-Ft!B$6)/(1+Ft!B$37*($A107-Ft!B$2)^2)+Ft!B$6*EXP(Ft!B$38*($A107-Ft!B$2)^2)),Ft!B$3*((1-Ft!B$7)/(1+Ft!B$39*($A107-Ft!B$2)^2)+Ft!B$7*EXP(Ft!B$40*($A107-Ft!B$2)^2)))</f>
        <v>4.3419093776813813E-15</v>
      </c>
      <c r="G107" s="3">
        <f>IF(($A107-Ft!C$2)&lt;0,Ft!C$3*((1-Ft!C$6)/(1+Ft!C$37*($A107-Ft!C$2)^2)+Ft!C$6*EXP(Ft!C$38*($A107-Ft!C$2)^2)),Ft!C$3*((1-Ft!C$7)/(1+Ft!C$39*($A107-Ft!C$2)^2)+Ft!C$7*EXP(Ft!C$40*($A107-Ft!C$2)^2)))</f>
        <v>6.0169356329858239</v>
      </c>
      <c r="H107" s="3">
        <f>IF(($A107-Ft!D$2)&lt;0,Ft!D$3*((1-Ft!D$6)/(1+Ft!D$37*($A107-Ft!D$2)^2)+Ft!D$6*EXP(Ft!D$38*($A107-Ft!D$2)^2)),Ft!D$3*((1-Ft!D$7)/(1+Ft!D$39*($A107-Ft!D$2)^2)+Ft!D$7*EXP(Ft!D$40*($A107-Ft!D$2)^2)))</f>
        <v>6.3889220934490014</v>
      </c>
      <c r="I107" s="3">
        <f>IF(($A107-Ft!E$2)&lt;0,Ft!E$3*((1-Ft!E$6)/(1+Ft!E$37*($A107-Ft!E$2)^2)+Ft!E$6*EXP(Ft!E$38*($A107-Ft!E$2)^2)),Ft!E$3*((1-Ft!E$7)/(1+Ft!E$39*($A107-Ft!E$2)^2)+Ft!E$7*EXP(Ft!E$40*($A107-Ft!E$2)^2)))</f>
        <v>1.2327780888561958E-3</v>
      </c>
      <c r="J107" s="3">
        <f>IF(($A107-Ft!F$2)&lt;0,Ft!F$3*((1-Ft!F$6)/(1+Ft!F$37*($A107-Ft!F$2)^2)+Ft!F$6*EXP(Ft!F$38*($A107-Ft!F$2)^2)),Ft!F$3*((1-Ft!F$7)/(1+Ft!F$39*($A107-Ft!F$2)^2)+Ft!F$7*EXP(Ft!F$40*($A107-Ft!F$2)^2)))</f>
        <v>4.0551989413359415E-73</v>
      </c>
      <c r="K107" s="3">
        <f>IF(($A107-Ft!G$2)&lt;0,Ft!G$3*((1-Ft!G$6)/(1+Ft!G$37*($A107-Ft!G$2)^2)+Ft!G$6*EXP(Ft!G$38*($A107-Ft!G$2)^2)),Ft!G$3*((1-Ft!G$7)/(1+Ft!G$39*($A107-Ft!G$2)^2)+Ft!G$7*EXP(Ft!G$40*($A107-Ft!G$2)^2)))</f>
        <v>4.6349008132974932E-288</v>
      </c>
      <c r="L107" s="3">
        <f>IF(($A107-Ft!H$2)&lt;0,Ft!H$3*((1-Ft!H$6)/(1+Ft!H$37*($A107-Ft!H$2)^2)+Ft!H$6*EXP(Ft!H$38*($A107-Ft!H$2)^2)),Ft!H$3*((1-Ft!H$7)/(1+Ft!H$39*($A107-Ft!H$2)^2)+Ft!H$7*EXP(Ft!H$40*($A107-Ft!H$2)^2)))</f>
        <v>0</v>
      </c>
      <c r="M107" s="3">
        <f>IF(($A107-Ft!I$2)&lt;0,Ft!I$3*((1-Ft!I$6)/(1+Ft!I$37*($A107-Ft!I$2)^2)+Ft!I$6*EXP(Ft!I$38*($A107-Ft!I$2)^2)),Ft!I$3*((1-Ft!I$7)/(1+Ft!I$39*($A107-Ft!I$2)^2)+Ft!I$7*EXP(Ft!I$40*($A107-Ft!I$2)^2)))</f>
        <v>0</v>
      </c>
      <c r="N107" s="3">
        <f>IF(($A107-Ft!J$2)&lt;0,Ft!J$3*((1-Ft!J$6)/(1+Ft!J$37*($A107-Ft!J$2)^2)+Ft!J$6*EXP(Ft!J$38*($A107-Ft!J$2)^2)),Ft!J$3*((1-Ft!J$7)/(1+Ft!J$39*($A107-Ft!J$2)^2)+Ft!J$7*EXP(Ft!J$40*($A107-Ft!J$2)^2)))</f>
        <v>0</v>
      </c>
      <c r="O107" s="3">
        <f>IF(($A107-Ft!K$2)&lt;0,Ft!K$3*((1-Ft!K$6)/(1+Ft!K$37*($A107-Ft!K$2)^2)+Ft!K$6*EXP(Ft!K$38*($A107-Ft!K$2)^2)),Ft!K$3*((1-Ft!K$7)/(1+Ft!K$39*($A107-Ft!K$2)^2)+Ft!K$7*EXP(Ft!K$40*($A107-Ft!K$2)^2)))</f>
        <v>0</v>
      </c>
      <c r="P107"/>
      <c r="Q107"/>
    </row>
    <row r="108" spans="1:17">
      <c r="A108">
        <v>212</v>
      </c>
      <c r="B108">
        <v>12.550143193300997</v>
      </c>
      <c r="C108" s="6">
        <f t="shared" si="3"/>
        <v>12.380202319850731</v>
      </c>
      <c r="D108" s="19">
        <f t="shared" si="4"/>
        <v>2.887990046903913E-2</v>
      </c>
      <c r="E108" s="3">
        <f>Ft!$B$12+Ft!$B$14*(Data!A108-Vars!$B$3)</f>
        <v>0</v>
      </c>
      <c r="F108" s="3">
        <f>IF(($A108-Ft!B$2)&lt;0,Ft!B$3*((1-Ft!B$6)/(1+Ft!B$37*($A108-Ft!B$2)^2)+Ft!B$6*EXP(Ft!B$38*($A108-Ft!B$2)^2)),Ft!B$3*((1-Ft!B$7)/(1+Ft!B$39*($A108-Ft!B$2)^2)+Ft!B$7*EXP(Ft!B$40*($A108-Ft!B$2)^2)))</f>
        <v>1.8800736993877681E-15</v>
      </c>
      <c r="G108" s="3">
        <f>IF(($A108-Ft!C$2)&lt;0,Ft!C$3*((1-Ft!C$6)/(1+Ft!C$37*($A108-Ft!C$2)^2)+Ft!C$6*EXP(Ft!C$38*($A108-Ft!C$2)^2)),Ft!C$3*((1-Ft!C$7)/(1+Ft!C$39*($A108-Ft!C$2)^2)+Ft!C$7*EXP(Ft!C$40*($A108-Ft!C$2)^2)))</f>
        <v>5.8771702403908863</v>
      </c>
      <c r="H108" s="3">
        <f>IF(($A108-Ft!D$2)&lt;0,Ft!D$3*((1-Ft!D$6)/(1+Ft!D$37*($A108-Ft!D$2)^2)+Ft!D$6*EXP(Ft!D$38*($A108-Ft!D$2)^2)),Ft!D$3*((1-Ft!D$7)/(1+Ft!D$39*($A108-Ft!D$2)^2)+Ft!D$7*EXP(Ft!D$40*($A108-Ft!D$2)^2)))</f>
        <v>6.5017210243500747</v>
      </c>
      <c r="I108" s="3">
        <f>IF(($A108-Ft!E$2)&lt;0,Ft!E$3*((1-Ft!E$6)/(1+Ft!E$37*($A108-Ft!E$2)^2)+Ft!E$6*EXP(Ft!E$38*($A108-Ft!E$2)^2)),Ft!E$3*((1-Ft!E$7)/(1+Ft!E$39*($A108-Ft!E$2)^2)+Ft!E$7*EXP(Ft!E$40*($A108-Ft!E$2)^2)))</f>
        <v>1.3110551097694303E-3</v>
      </c>
      <c r="J108" s="3">
        <f>IF(($A108-Ft!F$2)&lt;0,Ft!F$3*((1-Ft!F$6)/(1+Ft!F$37*($A108-Ft!F$2)^2)+Ft!F$6*EXP(Ft!F$38*($A108-Ft!F$2)^2)),Ft!F$3*((1-Ft!F$7)/(1+Ft!F$39*($A108-Ft!F$2)^2)+Ft!F$7*EXP(Ft!F$40*($A108-Ft!F$2)^2)))</f>
        <v>9.487602966625508E-73</v>
      </c>
      <c r="K108" s="3">
        <f>IF(($A108-Ft!G$2)&lt;0,Ft!G$3*((1-Ft!G$6)/(1+Ft!G$37*($A108-Ft!G$2)^2)+Ft!G$6*EXP(Ft!G$38*($A108-Ft!G$2)^2)),Ft!G$3*((1-Ft!G$7)/(1+Ft!G$39*($A108-Ft!G$2)^2)+Ft!G$7*EXP(Ft!G$40*($A108-Ft!G$2)^2)))</f>
        <v>1.1066964170218199E-286</v>
      </c>
      <c r="L108" s="3">
        <f>IF(($A108-Ft!H$2)&lt;0,Ft!H$3*((1-Ft!H$6)/(1+Ft!H$37*($A108-Ft!H$2)^2)+Ft!H$6*EXP(Ft!H$38*($A108-Ft!H$2)^2)),Ft!H$3*((1-Ft!H$7)/(1+Ft!H$39*($A108-Ft!H$2)^2)+Ft!H$7*EXP(Ft!H$40*($A108-Ft!H$2)^2)))</f>
        <v>0</v>
      </c>
      <c r="M108" s="3">
        <f>IF(($A108-Ft!I$2)&lt;0,Ft!I$3*((1-Ft!I$6)/(1+Ft!I$37*($A108-Ft!I$2)^2)+Ft!I$6*EXP(Ft!I$38*($A108-Ft!I$2)^2)),Ft!I$3*((1-Ft!I$7)/(1+Ft!I$39*($A108-Ft!I$2)^2)+Ft!I$7*EXP(Ft!I$40*($A108-Ft!I$2)^2)))</f>
        <v>0</v>
      </c>
      <c r="N108" s="3">
        <f>IF(($A108-Ft!J$2)&lt;0,Ft!J$3*((1-Ft!J$6)/(1+Ft!J$37*($A108-Ft!J$2)^2)+Ft!J$6*EXP(Ft!J$38*($A108-Ft!J$2)^2)),Ft!J$3*((1-Ft!J$7)/(1+Ft!J$39*($A108-Ft!J$2)^2)+Ft!J$7*EXP(Ft!J$40*($A108-Ft!J$2)^2)))</f>
        <v>0</v>
      </c>
      <c r="O108" s="3">
        <f>IF(($A108-Ft!K$2)&lt;0,Ft!K$3*((1-Ft!K$6)/(1+Ft!K$37*($A108-Ft!K$2)^2)+Ft!K$6*EXP(Ft!K$38*($A108-Ft!K$2)^2)),Ft!K$3*((1-Ft!K$7)/(1+Ft!K$39*($A108-Ft!K$2)^2)+Ft!K$7*EXP(Ft!K$40*($A108-Ft!K$2)^2)))</f>
        <v>0</v>
      </c>
      <c r="P108"/>
      <c r="Q108"/>
    </row>
    <row r="109" spans="1:17">
      <c r="A109">
        <v>214</v>
      </c>
      <c r="B109">
        <v>12.542198629691001</v>
      </c>
      <c r="C109" s="6">
        <f t="shared" si="3"/>
        <v>12.353878504071613</v>
      </c>
      <c r="D109" s="19">
        <f t="shared" si="4"/>
        <v>3.5464469713302013E-2</v>
      </c>
      <c r="E109" s="3">
        <f>Ft!$B$12+Ft!$B$14*(Data!A109-Vars!$B$3)</f>
        <v>0</v>
      </c>
      <c r="F109" s="3">
        <f>IF(($A109-Ft!B$2)&lt;0,Ft!B$3*((1-Ft!B$6)/(1+Ft!B$37*($A109-Ft!B$2)^2)+Ft!B$6*EXP(Ft!B$38*($A109-Ft!B$2)^2)),Ft!B$3*((1-Ft!B$7)/(1+Ft!B$39*($A109-Ft!B$2)^2)+Ft!B$7*EXP(Ft!B$40*($A109-Ft!B$2)^2)))</f>
        <v>8.0589428172608898E-16</v>
      </c>
      <c r="G109" s="3">
        <f>IF(($A109-Ft!C$2)&lt;0,Ft!C$3*((1-Ft!C$6)/(1+Ft!C$37*($A109-Ft!C$2)^2)+Ft!C$6*EXP(Ft!C$38*($A109-Ft!C$2)^2)),Ft!C$3*((1-Ft!C$7)/(1+Ft!C$39*($A109-Ft!C$2)^2)+Ft!C$7*EXP(Ft!C$40*($A109-Ft!C$2)^2)))</f>
        <v>5.7369241548050773</v>
      </c>
      <c r="H109" s="3">
        <f>IF(($A109-Ft!D$2)&lt;0,Ft!D$3*((1-Ft!D$6)/(1+Ft!D$37*($A109-Ft!D$2)^2)+Ft!D$6*EXP(Ft!D$38*($A109-Ft!D$2)^2)),Ft!D$3*((1-Ft!D$7)/(1+Ft!D$39*($A109-Ft!D$2)^2)+Ft!D$7*EXP(Ft!D$40*($A109-Ft!D$2)^2)))</f>
        <v>6.6155603275494261</v>
      </c>
      <c r="I109" s="3">
        <f>IF(($A109-Ft!E$2)&lt;0,Ft!E$3*((1-Ft!E$6)/(1+Ft!E$37*($A109-Ft!E$2)^2)+Ft!E$6*EXP(Ft!E$38*($A109-Ft!E$2)^2)),Ft!E$3*((1-Ft!E$7)/(1+Ft!E$39*($A109-Ft!E$2)^2)+Ft!E$7*EXP(Ft!E$40*($A109-Ft!E$2)^2)))</f>
        <v>1.3940217171073783E-3</v>
      </c>
      <c r="J109" s="3">
        <f>IF(($A109-Ft!F$2)&lt;0,Ft!F$3*((1-Ft!F$6)/(1+Ft!F$37*($A109-Ft!F$2)^2)+Ft!F$6*EXP(Ft!F$38*($A109-Ft!F$2)^2)),Ft!F$3*((1-Ft!F$7)/(1+Ft!F$39*($A109-Ft!F$2)^2)+Ft!F$7*EXP(Ft!F$40*($A109-Ft!F$2)^2)))</f>
        <v>2.2149611529224403E-72</v>
      </c>
      <c r="K109" s="3">
        <f>IF(($A109-Ft!G$2)&lt;0,Ft!G$3*((1-Ft!G$6)/(1+Ft!G$37*($A109-Ft!G$2)^2)+Ft!G$6*EXP(Ft!G$38*($A109-Ft!G$2)^2)),Ft!G$3*((1-Ft!G$7)/(1+Ft!G$39*($A109-Ft!G$2)^2)+Ft!G$7*EXP(Ft!G$40*($A109-Ft!G$2)^2)))</f>
        <v>2.6224879132467465E-285</v>
      </c>
      <c r="L109" s="3">
        <f>IF(($A109-Ft!H$2)&lt;0,Ft!H$3*((1-Ft!H$6)/(1+Ft!H$37*($A109-Ft!H$2)^2)+Ft!H$6*EXP(Ft!H$38*($A109-Ft!H$2)^2)),Ft!H$3*((1-Ft!H$7)/(1+Ft!H$39*($A109-Ft!H$2)^2)+Ft!H$7*EXP(Ft!H$40*($A109-Ft!H$2)^2)))</f>
        <v>0</v>
      </c>
      <c r="M109" s="3">
        <f>IF(($A109-Ft!I$2)&lt;0,Ft!I$3*((1-Ft!I$6)/(1+Ft!I$37*($A109-Ft!I$2)^2)+Ft!I$6*EXP(Ft!I$38*($A109-Ft!I$2)^2)),Ft!I$3*((1-Ft!I$7)/(1+Ft!I$39*($A109-Ft!I$2)^2)+Ft!I$7*EXP(Ft!I$40*($A109-Ft!I$2)^2)))</f>
        <v>0</v>
      </c>
      <c r="N109" s="3">
        <f>IF(($A109-Ft!J$2)&lt;0,Ft!J$3*((1-Ft!J$6)/(1+Ft!J$37*($A109-Ft!J$2)^2)+Ft!J$6*EXP(Ft!J$38*($A109-Ft!J$2)^2)),Ft!J$3*((1-Ft!J$7)/(1+Ft!J$39*($A109-Ft!J$2)^2)+Ft!J$7*EXP(Ft!J$40*($A109-Ft!J$2)^2)))</f>
        <v>0</v>
      </c>
      <c r="O109" s="3">
        <f>IF(($A109-Ft!K$2)&lt;0,Ft!K$3*((1-Ft!K$6)/(1+Ft!K$37*($A109-Ft!K$2)^2)+Ft!K$6*EXP(Ft!K$38*($A109-Ft!K$2)^2)),Ft!K$3*((1-Ft!K$7)/(1+Ft!K$39*($A109-Ft!K$2)^2)+Ft!K$7*EXP(Ft!K$40*($A109-Ft!K$2)^2)))</f>
        <v>0</v>
      </c>
      <c r="P109"/>
      <c r="Q109"/>
    </row>
    <row r="110" spans="1:17">
      <c r="A110">
        <v>216</v>
      </c>
      <c r="B110">
        <v>12.534569810294002</v>
      </c>
      <c r="C110" s="6">
        <f t="shared" si="3"/>
        <v>12.328295933799518</v>
      </c>
      <c r="D110" s="19">
        <f t="shared" si="4"/>
        <v>4.2548912124061471E-2</v>
      </c>
      <c r="E110" s="3">
        <f>Ft!$B$12+Ft!$B$14*(Data!A110-Vars!$B$3)</f>
        <v>0</v>
      </c>
      <c r="F110" s="3">
        <f>IF(($A110-Ft!B$2)&lt;0,Ft!B$3*((1-Ft!B$6)/(1+Ft!B$37*($A110-Ft!B$2)^2)+Ft!B$6*EXP(Ft!B$38*($A110-Ft!B$2)^2)),Ft!B$3*((1-Ft!B$7)/(1+Ft!B$39*($A110-Ft!B$2)^2)+Ft!B$7*EXP(Ft!B$40*($A110-Ft!B$2)^2)))</f>
        <v>3.4197184801330851E-16</v>
      </c>
      <c r="G110" s="3">
        <f>IF(($A110-Ft!C$2)&lt;0,Ft!C$3*((1-Ft!C$6)/(1+Ft!C$37*($A110-Ft!C$2)^2)+Ft!C$6*EXP(Ft!C$38*($A110-Ft!C$2)^2)),Ft!C$3*((1-Ft!C$7)/(1+Ft!C$39*($A110-Ft!C$2)^2)+Ft!C$7*EXP(Ft!C$40*($A110-Ft!C$2)^2)))</f>
        <v>5.5963887903528446</v>
      </c>
      <c r="H110" s="3">
        <f>IF(($A110-Ft!D$2)&lt;0,Ft!D$3*((1-Ft!D$6)/(1+Ft!D$37*($A110-Ft!D$2)^2)+Ft!D$6*EXP(Ft!D$38*($A110-Ft!D$2)^2)),Ft!D$3*((1-Ft!D$7)/(1+Ft!D$39*($A110-Ft!D$2)^2)+Ft!D$7*EXP(Ft!D$40*($A110-Ft!D$2)^2)))</f>
        <v>6.7304252032336169</v>
      </c>
      <c r="I110" s="3">
        <f>IF(($A110-Ft!E$2)&lt;0,Ft!E$3*((1-Ft!E$6)/(1+Ft!E$37*($A110-Ft!E$2)^2)+Ft!E$6*EXP(Ft!E$38*($A110-Ft!E$2)^2)),Ft!E$3*((1-Ft!E$7)/(1+Ft!E$39*($A110-Ft!E$2)^2)+Ft!E$7*EXP(Ft!E$40*($A110-Ft!E$2)^2)))</f>
        <v>1.4819402130553589E-3</v>
      </c>
      <c r="J110" s="3">
        <f>IF(($A110-Ft!F$2)&lt;0,Ft!F$3*((1-Ft!F$6)/(1+Ft!F$37*($A110-Ft!F$2)^2)+Ft!F$6*EXP(Ft!F$38*($A110-Ft!F$2)^2)),Ft!F$3*((1-Ft!F$7)/(1+Ft!F$39*($A110-Ft!F$2)^2)+Ft!F$7*EXP(Ft!F$40*($A110-Ft!F$2)^2)))</f>
        <v>5.1598966074320732E-72</v>
      </c>
      <c r="K110" s="3">
        <f>IF(($A110-Ft!G$2)&lt;0,Ft!G$3*((1-Ft!G$6)/(1+Ft!G$37*($A110-Ft!G$2)^2)+Ft!G$6*EXP(Ft!G$38*($A110-Ft!G$2)^2)),Ft!G$3*((1-Ft!G$7)/(1+Ft!G$39*($A110-Ft!G$2)^2)+Ft!G$7*EXP(Ft!G$40*($A110-Ft!G$2)^2)))</f>
        <v>6.1673048871397963E-284</v>
      </c>
      <c r="L110" s="3">
        <f>IF(($A110-Ft!H$2)&lt;0,Ft!H$3*((1-Ft!H$6)/(1+Ft!H$37*($A110-Ft!H$2)^2)+Ft!H$6*EXP(Ft!H$38*($A110-Ft!H$2)^2)),Ft!H$3*((1-Ft!H$7)/(1+Ft!H$39*($A110-Ft!H$2)^2)+Ft!H$7*EXP(Ft!H$40*($A110-Ft!H$2)^2)))</f>
        <v>0</v>
      </c>
      <c r="M110" s="3">
        <f>IF(($A110-Ft!I$2)&lt;0,Ft!I$3*((1-Ft!I$6)/(1+Ft!I$37*($A110-Ft!I$2)^2)+Ft!I$6*EXP(Ft!I$38*($A110-Ft!I$2)^2)),Ft!I$3*((1-Ft!I$7)/(1+Ft!I$39*($A110-Ft!I$2)^2)+Ft!I$7*EXP(Ft!I$40*($A110-Ft!I$2)^2)))</f>
        <v>0</v>
      </c>
      <c r="N110" s="3">
        <f>IF(($A110-Ft!J$2)&lt;0,Ft!J$3*((1-Ft!J$6)/(1+Ft!J$37*($A110-Ft!J$2)^2)+Ft!J$6*EXP(Ft!J$38*($A110-Ft!J$2)^2)),Ft!J$3*((1-Ft!J$7)/(1+Ft!J$39*($A110-Ft!J$2)^2)+Ft!J$7*EXP(Ft!J$40*($A110-Ft!J$2)^2)))</f>
        <v>0</v>
      </c>
      <c r="O110" s="3">
        <f>IF(($A110-Ft!K$2)&lt;0,Ft!K$3*((1-Ft!K$6)/(1+Ft!K$37*($A110-Ft!K$2)^2)+Ft!K$6*EXP(Ft!K$38*($A110-Ft!K$2)^2)),Ft!K$3*((1-Ft!K$7)/(1+Ft!K$39*($A110-Ft!K$2)^2)+Ft!K$7*EXP(Ft!K$40*($A110-Ft!K$2)^2)))</f>
        <v>0</v>
      </c>
      <c r="P110"/>
      <c r="Q110"/>
    </row>
    <row r="111" spans="1:17">
      <c r="A111">
        <v>218</v>
      </c>
      <c r="B111">
        <v>12.52775804843499</v>
      </c>
      <c r="C111" s="6">
        <f t="shared" si="3"/>
        <v>12.303626723951684</v>
      </c>
      <c r="D111" s="19">
        <f t="shared" si="4"/>
        <v>5.023485061464094E-2</v>
      </c>
      <c r="E111" s="3">
        <f>Ft!$B$12+Ft!$B$14*(Data!A111-Vars!$B$3)</f>
        <v>0</v>
      </c>
      <c r="F111" s="3">
        <f>IF(($A111-Ft!B$2)&lt;0,Ft!B$3*((1-Ft!B$6)/(1+Ft!B$37*($A111-Ft!B$2)^2)+Ft!B$6*EXP(Ft!B$38*($A111-Ft!B$2)^2)),Ft!B$3*((1-Ft!B$7)/(1+Ft!B$39*($A111-Ft!B$2)^2)+Ft!B$7*EXP(Ft!B$40*($A111-Ft!B$2)^2)))</f>
        <v>1.4365201338768155E-16</v>
      </c>
      <c r="G111" s="3">
        <f>IF(($A111-Ft!C$2)&lt;0,Ft!C$3*((1-Ft!C$6)/(1+Ft!C$37*($A111-Ft!C$2)^2)+Ft!C$6*EXP(Ft!C$38*($A111-Ft!C$2)^2)),Ft!C$3*((1-Ft!C$7)/(1+Ft!C$39*($A111-Ft!C$2)^2)+Ft!C$7*EXP(Ft!C$40*($A111-Ft!C$2)^2)))</f>
        <v>5.455751490140397</v>
      </c>
      <c r="H111" s="3">
        <f>IF(($A111-Ft!D$2)&lt;0,Ft!D$3*((1-Ft!D$6)/(1+Ft!D$37*($A111-Ft!D$2)^2)+Ft!D$6*EXP(Ft!D$38*($A111-Ft!D$2)^2)),Ft!D$3*((1-Ft!D$7)/(1+Ft!D$39*($A111-Ft!D$2)^2)+Ft!D$7*EXP(Ft!D$40*($A111-Ft!D$2)^2)))</f>
        <v>6.8463001474258007</v>
      </c>
      <c r="I111" s="3">
        <f>IF(($A111-Ft!E$2)&lt;0,Ft!E$3*((1-Ft!E$6)/(1+Ft!E$37*($A111-Ft!E$2)^2)+Ft!E$6*EXP(Ft!E$38*($A111-Ft!E$2)^2)),Ft!E$3*((1-Ft!E$7)/(1+Ft!E$39*($A111-Ft!E$2)^2)+Ft!E$7*EXP(Ft!E$40*($A111-Ft!E$2)^2)))</f>
        <v>1.5750863854862055E-3</v>
      </c>
      <c r="J111" s="3">
        <f>IF(($A111-Ft!F$2)&lt;0,Ft!F$3*((1-Ft!F$6)/(1+Ft!F$37*($A111-Ft!F$2)^2)+Ft!F$6*EXP(Ft!F$38*($A111-Ft!F$2)^2)),Ft!F$3*((1-Ft!F$7)/(1+Ft!F$39*($A111-Ft!F$2)^2)+Ft!F$7*EXP(Ft!F$40*($A111-Ft!F$2)^2)))</f>
        <v>1.1994472671706953E-71</v>
      </c>
      <c r="K111" s="3">
        <f>IF(($A111-Ft!G$2)&lt;0,Ft!G$3*((1-Ft!G$6)/(1+Ft!G$37*($A111-Ft!G$2)^2)+Ft!G$6*EXP(Ft!G$38*($A111-Ft!G$2)^2)),Ft!G$3*((1-Ft!G$7)/(1+Ft!G$39*($A111-Ft!G$2)^2)+Ft!G$7*EXP(Ft!G$40*($A111-Ft!G$2)^2)))</f>
        <v>1.4393760575798225E-282</v>
      </c>
      <c r="L111" s="3">
        <f>IF(($A111-Ft!H$2)&lt;0,Ft!H$3*((1-Ft!H$6)/(1+Ft!H$37*($A111-Ft!H$2)^2)+Ft!H$6*EXP(Ft!H$38*($A111-Ft!H$2)^2)),Ft!H$3*((1-Ft!H$7)/(1+Ft!H$39*($A111-Ft!H$2)^2)+Ft!H$7*EXP(Ft!H$40*($A111-Ft!H$2)^2)))</f>
        <v>0</v>
      </c>
      <c r="M111" s="3">
        <f>IF(($A111-Ft!I$2)&lt;0,Ft!I$3*((1-Ft!I$6)/(1+Ft!I$37*($A111-Ft!I$2)^2)+Ft!I$6*EXP(Ft!I$38*($A111-Ft!I$2)^2)),Ft!I$3*((1-Ft!I$7)/(1+Ft!I$39*($A111-Ft!I$2)^2)+Ft!I$7*EXP(Ft!I$40*($A111-Ft!I$2)^2)))</f>
        <v>0</v>
      </c>
      <c r="N111" s="3">
        <f>IF(($A111-Ft!J$2)&lt;0,Ft!J$3*((1-Ft!J$6)/(1+Ft!J$37*($A111-Ft!J$2)^2)+Ft!J$6*EXP(Ft!J$38*($A111-Ft!J$2)^2)),Ft!J$3*((1-Ft!J$7)/(1+Ft!J$39*($A111-Ft!J$2)^2)+Ft!J$7*EXP(Ft!J$40*($A111-Ft!J$2)^2)))</f>
        <v>0</v>
      </c>
      <c r="O111" s="3">
        <f>IF(($A111-Ft!K$2)&lt;0,Ft!K$3*((1-Ft!K$6)/(1+Ft!K$37*($A111-Ft!K$2)^2)+Ft!K$6*EXP(Ft!K$38*($A111-Ft!K$2)^2)),Ft!K$3*((1-Ft!K$7)/(1+Ft!K$39*($A111-Ft!K$2)^2)+Ft!K$7*EXP(Ft!K$40*($A111-Ft!K$2)^2)))</f>
        <v>0</v>
      </c>
      <c r="P111"/>
      <c r="Q111"/>
    </row>
    <row r="112" spans="1:17">
      <c r="A112">
        <v>220</v>
      </c>
      <c r="B112">
        <v>12.521557407852995</v>
      </c>
      <c r="C112" s="6">
        <f t="shared" si="3"/>
        <v>12.280037844354434</v>
      </c>
      <c r="D112" s="19">
        <f t="shared" si="4"/>
        <v>5.8331699552535851E-2</v>
      </c>
      <c r="E112" s="3">
        <f>Ft!$B$12+Ft!$B$14*(Data!A112-Vars!$B$3)</f>
        <v>0</v>
      </c>
      <c r="F112" s="3">
        <f>IF(($A112-Ft!B$2)&lt;0,Ft!B$3*((1-Ft!B$6)/(1+Ft!B$37*($A112-Ft!B$2)^2)+Ft!B$6*EXP(Ft!B$38*($A112-Ft!B$2)^2)),Ft!B$3*((1-Ft!B$7)/(1+Ft!B$39*($A112-Ft!B$2)^2)+Ft!B$7*EXP(Ft!B$40*($A112-Ft!B$2)^2)))</f>
        <v>5.9736828307778963E-17</v>
      </c>
      <c r="G112" s="3">
        <f>IF(($A112-Ft!C$2)&lt;0,Ft!C$3*((1-Ft!C$6)/(1+Ft!C$37*($A112-Ft!C$2)^2)+Ft!C$6*EXP(Ft!C$38*($A112-Ft!C$2)^2)),Ft!C$3*((1-Ft!C$7)/(1+Ft!C$39*($A112-Ft!C$2)^2)+Ft!C$7*EXP(Ft!C$40*($A112-Ft!C$2)^2)))</f>
        <v>5.3151951454732309</v>
      </c>
      <c r="H112" s="3">
        <f>IF(($A112-Ft!D$2)&lt;0,Ft!D$3*((1-Ft!D$6)/(1+Ft!D$37*($A112-Ft!D$2)^2)+Ft!D$6*EXP(Ft!D$38*($A112-Ft!D$2)^2)),Ft!D$3*((1-Ft!D$7)/(1+Ft!D$39*($A112-Ft!D$2)^2)+Ft!D$7*EXP(Ft!D$40*($A112-Ft!D$2)^2)))</f>
        <v>6.96316894875181</v>
      </c>
      <c r="I112" s="3">
        <f>IF(($A112-Ft!E$2)&lt;0,Ft!E$3*((1-Ft!E$6)/(1+Ft!E$37*($A112-Ft!E$2)^2)+Ft!E$6*EXP(Ft!E$38*($A112-Ft!E$2)^2)),Ft!E$3*((1-Ft!E$7)/(1+Ft!E$39*($A112-Ft!E$2)^2)+Ft!E$7*EXP(Ft!E$40*($A112-Ft!E$2)^2)))</f>
        <v>1.6737501293933831E-3</v>
      </c>
      <c r="J112" s="3">
        <f>IF(($A112-Ft!F$2)&lt;0,Ft!F$3*((1-Ft!F$6)/(1+Ft!F$37*($A112-Ft!F$2)^2)+Ft!F$6*EXP(Ft!F$38*($A112-Ft!F$2)^2)),Ft!F$3*((1-Ft!F$7)/(1+Ft!F$39*($A112-Ft!F$2)^2)+Ft!F$7*EXP(Ft!F$40*($A112-Ft!F$2)^2)))</f>
        <v>2.782188769815636E-71</v>
      </c>
      <c r="K112" s="3">
        <f>IF(($A112-Ft!G$2)&lt;0,Ft!G$3*((1-Ft!G$6)/(1+Ft!G$37*($A112-Ft!G$2)^2)+Ft!G$6*EXP(Ft!G$38*($A112-Ft!G$2)^2)),Ft!G$3*((1-Ft!G$7)/(1+Ft!G$39*($A112-Ft!G$2)^2)+Ft!G$7*EXP(Ft!G$40*($A112-Ft!G$2)^2)))</f>
        <v>3.3338807558806669E-281</v>
      </c>
      <c r="L112" s="3">
        <f>IF(($A112-Ft!H$2)&lt;0,Ft!H$3*((1-Ft!H$6)/(1+Ft!H$37*($A112-Ft!H$2)^2)+Ft!H$6*EXP(Ft!H$38*($A112-Ft!H$2)^2)),Ft!H$3*((1-Ft!H$7)/(1+Ft!H$39*($A112-Ft!H$2)^2)+Ft!H$7*EXP(Ft!H$40*($A112-Ft!H$2)^2)))</f>
        <v>0</v>
      </c>
      <c r="M112" s="3">
        <f>IF(($A112-Ft!I$2)&lt;0,Ft!I$3*((1-Ft!I$6)/(1+Ft!I$37*($A112-Ft!I$2)^2)+Ft!I$6*EXP(Ft!I$38*($A112-Ft!I$2)^2)),Ft!I$3*((1-Ft!I$7)/(1+Ft!I$39*($A112-Ft!I$2)^2)+Ft!I$7*EXP(Ft!I$40*($A112-Ft!I$2)^2)))</f>
        <v>0</v>
      </c>
      <c r="N112" s="3">
        <f>IF(($A112-Ft!J$2)&lt;0,Ft!J$3*((1-Ft!J$6)/(1+Ft!J$37*($A112-Ft!J$2)^2)+Ft!J$6*EXP(Ft!J$38*($A112-Ft!J$2)^2)),Ft!J$3*((1-Ft!J$7)/(1+Ft!J$39*($A112-Ft!J$2)^2)+Ft!J$7*EXP(Ft!J$40*($A112-Ft!J$2)^2)))</f>
        <v>0</v>
      </c>
      <c r="O112" s="3">
        <f>IF(($A112-Ft!K$2)&lt;0,Ft!K$3*((1-Ft!K$6)/(1+Ft!K$37*($A112-Ft!K$2)^2)+Ft!K$6*EXP(Ft!K$38*($A112-Ft!K$2)^2)),Ft!K$3*((1-Ft!K$7)/(1+Ft!K$39*($A112-Ft!K$2)^2)+Ft!K$7*EXP(Ft!K$40*($A112-Ft!K$2)^2)))</f>
        <v>0</v>
      </c>
      <c r="P112"/>
      <c r="Q112"/>
    </row>
    <row r="113" spans="1:17">
      <c r="A113">
        <v>222</v>
      </c>
      <c r="B113">
        <v>12.512413198981989</v>
      </c>
      <c r="C113" s="6">
        <f t="shared" si="3"/>
        <v>12.257690760543895</v>
      </c>
      <c r="D113" s="19">
        <f t="shared" si="4"/>
        <v>6.4883520643848558E-2</v>
      </c>
      <c r="E113" s="3">
        <f>Ft!$B$12+Ft!$B$14*(Data!A113-Vars!$B$3)</f>
        <v>0</v>
      </c>
      <c r="F113" s="3">
        <f>IF(($A113-Ft!B$2)&lt;0,Ft!B$3*((1-Ft!B$6)/(1+Ft!B$37*($A113-Ft!B$2)^2)+Ft!B$6*EXP(Ft!B$38*($A113-Ft!B$2)^2)),Ft!B$3*((1-Ft!B$7)/(1+Ft!B$39*($A113-Ft!B$2)^2)+Ft!B$7*EXP(Ft!B$40*($A113-Ft!B$2)^2)))</f>
        <v>2.4591311106676146E-17</v>
      </c>
      <c r="G113" s="3">
        <f>IF(($A113-Ft!C$2)&lt;0,Ft!C$3*((1-Ft!C$6)/(1+Ft!C$37*($A113-Ft!C$2)^2)+Ft!C$6*EXP(Ft!C$38*($A113-Ft!C$2)^2)),Ft!C$3*((1-Ft!C$7)/(1+Ft!C$39*($A113-Ft!C$2)^2)+Ft!C$7*EXP(Ft!C$40*($A113-Ft!C$2)^2)))</f>
        <v>5.1748978387879694</v>
      </c>
      <c r="H113" s="3">
        <f>IF(($A113-Ft!D$2)&lt;0,Ft!D$3*((1-Ft!D$6)/(1+Ft!D$37*($A113-Ft!D$2)^2)+Ft!D$6*EXP(Ft!D$38*($A113-Ft!D$2)^2)),Ft!D$3*((1-Ft!D$7)/(1+Ft!D$39*($A113-Ft!D$2)^2)+Ft!D$7*EXP(Ft!D$40*($A113-Ft!D$2)^2)))</f>
        <v>7.0810146856631224</v>
      </c>
      <c r="I113" s="3">
        <f>IF(($A113-Ft!E$2)&lt;0,Ft!E$3*((1-Ft!E$6)/(1+Ft!E$37*($A113-Ft!E$2)^2)+Ft!E$6*EXP(Ft!E$38*($A113-Ft!E$2)^2)),Ft!E$3*((1-Ft!E$7)/(1+Ft!E$39*($A113-Ft!E$2)^2)+Ft!E$7*EXP(Ft!E$40*($A113-Ft!E$2)^2)))</f>
        <v>1.7782360928041327E-3</v>
      </c>
      <c r="J113" s="3">
        <f>IF(($A113-Ft!F$2)&lt;0,Ft!F$3*((1-Ft!F$6)/(1+Ft!F$37*($A113-Ft!F$2)^2)+Ft!F$6*EXP(Ft!F$38*($A113-Ft!F$2)^2)),Ft!F$3*((1-Ft!F$7)/(1+Ft!F$39*($A113-Ft!F$2)^2)+Ft!F$7*EXP(Ft!F$40*($A113-Ft!F$2)^2)))</f>
        <v>6.4395764195821689E-71</v>
      </c>
      <c r="K113" s="3">
        <f>IF(($A113-Ft!G$2)&lt;0,Ft!G$3*((1-Ft!G$6)/(1+Ft!G$37*($A113-Ft!G$2)^2)+Ft!G$6*EXP(Ft!G$38*($A113-Ft!G$2)^2)),Ft!G$3*((1-Ft!G$7)/(1+Ft!G$39*($A113-Ft!G$2)^2)+Ft!G$7*EXP(Ft!G$40*($A113-Ft!G$2)^2)))</f>
        <v>7.6634227187069976E-280</v>
      </c>
      <c r="L113" s="3">
        <f>IF(($A113-Ft!H$2)&lt;0,Ft!H$3*((1-Ft!H$6)/(1+Ft!H$37*($A113-Ft!H$2)^2)+Ft!H$6*EXP(Ft!H$38*($A113-Ft!H$2)^2)),Ft!H$3*((1-Ft!H$7)/(1+Ft!H$39*($A113-Ft!H$2)^2)+Ft!H$7*EXP(Ft!H$40*($A113-Ft!H$2)^2)))</f>
        <v>0</v>
      </c>
      <c r="M113" s="3">
        <f>IF(($A113-Ft!I$2)&lt;0,Ft!I$3*((1-Ft!I$6)/(1+Ft!I$37*($A113-Ft!I$2)^2)+Ft!I$6*EXP(Ft!I$38*($A113-Ft!I$2)^2)),Ft!I$3*((1-Ft!I$7)/(1+Ft!I$39*($A113-Ft!I$2)^2)+Ft!I$7*EXP(Ft!I$40*($A113-Ft!I$2)^2)))</f>
        <v>0</v>
      </c>
      <c r="N113" s="3">
        <f>IF(($A113-Ft!J$2)&lt;0,Ft!J$3*((1-Ft!J$6)/(1+Ft!J$37*($A113-Ft!J$2)^2)+Ft!J$6*EXP(Ft!J$38*($A113-Ft!J$2)^2)),Ft!J$3*((1-Ft!J$7)/(1+Ft!J$39*($A113-Ft!J$2)^2)+Ft!J$7*EXP(Ft!J$40*($A113-Ft!J$2)^2)))</f>
        <v>0</v>
      </c>
      <c r="O113" s="3">
        <f>IF(($A113-Ft!K$2)&lt;0,Ft!K$3*((1-Ft!K$6)/(1+Ft!K$37*($A113-Ft!K$2)^2)+Ft!K$6*EXP(Ft!K$38*($A113-Ft!K$2)^2)),Ft!K$3*((1-Ft!K$7)/(1+Ft!K$39*($A113-Ft!K$2)^2)+Ft!K$7*EXP(Ft!K$40*($A113-Ft!K$2)^2)))</f>
        <v>0</v>
      </c>
      <c r="P113"/>
      <c r="Q113"/>
    </row>
    <row r="114" spans="1:17">
      <c r="A114">
        <v>224</v>
      </c>
      <c r="B114">
        <v>12.500598638485997</v>
      </c>
      <c r="C114" s="6">
        <f t="shared" si="3"/>
        <v>12.23674109955059</v>
      </c>
      <c r="D114" s="19">
        <f t="shared" si="4"/>
        <v>6.9620800853049461E-2</v>
      </c>
      <c r="E114" s="3">
        <f>Ft!$B$12+Ft!$B$14*(Data!A114-Vars!$B$3)</f>
        <v>0</v>
      </c>
      <c r="F114" s="3">
        <f>IF(($A114-Ft!B$2)&lt;0,Ft!B$3*((1-Ft!B$6)/(1+Ft!B$37*($A114-Ft!B$2)^2)+Ft!B$6*EXP(Ft!B$38*($A114-Ft!B$2)^2)),Ft!B$3*((1-Ft!B$7)/(1+Ft!B$39*($A114-Ft!B$2)^2)+Ft!B$7*EXP(Ft!B$40*($A114-Ft!B$2)^2)))</f>
        <v>1.002144365295343E-17</v>
      </c>
      <c r="G114" s="3">
        <f>IF(($A114-Ft!C$2)&lt;0,Ft!C$3*((1-Ft!C$6)/(1+Ft!C$37*($A114-Ft!C$2)^2)+Ft!C$6*EXP(Ft!C$38*($A114-Ft!C$2)^2)),Ft!C$3*((1-Ft!C$7)/(1+Ft!C$39*($A114-Ft!C$2)^2)+Ft!C$7*EXP(Ft!C$40*($A114-Ft!C$2)^2)))</f>
        <v>5.0350325110756815</v>
      </c>
      <c r="H114" s="3">
        <f>IF(($A114-Ft!D$2)&lt;0,Ft!D$3*((1-Ft!D$6)/(1+Ft!D$37*($A114-Ft!D$2)^2)+Ft!D$6*EXP(Ft!D$38*($A114-Ft!D$2)^2)),Ft!D$3*((1-Ft!D$7)/(1+Ft!D$39*($A114-Ft!D$2)^2)+Ft!D$7*EXP(Ft!D$40*($A114-Ft!D$2)^2)))</f>
        <v>7.1998197241270026</v>
      </c>
      <c r="I114" s="3">
        <f>IF(($A114-Ft!E$2)&lt;0,Ft!E$3*((1-Ft!E$6)/(1+Ft!E$37*($A114-Ft!E$2)^2)+Ft!E$6*EXP(Ft!E$38*($A114-Ft!E$2)^2)),Ft!E$3*((1-Ft!E$7)/(1+Ft!E$39*($A114-Ft!E$2)^2)+Ft!E$7*EXP(Ft!E$40*($A114-Ft!E$2)^2)))</f>
        <v>1.8888643479067462E-3</v>
      </c>
      <c r="J114" s="3">
        <f>IF(($A114-Ft!F$2)&lt;0,Ft!F$3*((1-Ft!F$6)/(1+Ft!F$37*($A114-Ft!F$2)^2)+Ft!F$6*EXP(Ft!F$38*($A114-Ft!F$2)^2)),Ft!F$3*((1-Ft!F$7)/(1+Ft!F$39*($A114-Ft!F$2)^2)+Ft!F$7*EXP(Ft!F$40*($A114-Ft!F$2)^2)))</f>
        <v>1.4872818693034315E-70</v>
      </c>
      <c r="K114" s="3">
        <f>IF(($A114-Ft!G$2)&lt;0,Ft!G$3*((1-Ft!G$6)/(1+Ft!G$37*($A114-Ft!G$2)^2)+Ft!G$6*EXP(Ft!G$38*($A114-Ft!G$2)^2)),Ft!G$3*((1-Ft!G$7)/(1+Ft!G$39*($A114-Ft!G$2)^2)+Ft!G$7*EXP(Ft!G$40*($A114-Ft!G$2)^2)))</f>
        <v>1.7482053068099899E-278</v>
      </c>
      <c r="L114" s="3">
        <f>IF(($A114-Ft!H$2)&lt;0,Ft!H$3*((1-Ft!H$6)/(1+Ft!H$37*($A114-Ft!H$2)^2)+Ft!H$6*EXP(Ft!H$38*($A114-Ft!H$2)^2)),Ft!H$3*((1-Ft!H$7)/(1+Ft!H$39*($A114-Ft!H$2)^2)+Ft!H$7*EXP(Ft!H$40*($A114-Ft!H$2)^2)))</f>
        <v>0</v>
      </c>
      <c r="M114" s="3">
        <f>IF(($A114-Ft!I$2)&lt;0,Ft!I$3*((1-Ft!I$6)/(1+Ft!I$37*($A114-Ft!I$2)^2)+Ft!I$6*EXP(Ft!I$38*($A114-Ft!I$2)^2)),Ft!I$3*((1-Ft!I$7)/(1+Ft!I$39*($A114-Ft!I$2)^2)+Ft!I$7*EXP(Ft!I$40*($A114-Ft!I$2)^2)))</f>
        <v>0</v>
      </c>
      <c r="N114" s="3">
        <f>IF(($A114-Ft!J$2)&lt;0,Ft!J$3*((1-Ft!J$6)/(1+Ft!J$37*($A114-Ft!J$2)^2)+Ft!J$6*EXP(Ft!J$38*($A114-Ft!J$2)^2)),Ft!J$3*((1-Ft!J$7)/(1+Ft!J$39*($A114-Ft!J$2)^2)+Ft!J$7*EXP(Ft!J$40*($A114-Ft!J$2)^2)))</f>
        <v>0</v>
      </c>
      <c r="O114" s="3">
        <f>IF(($A114-Ft!K$2)&lt;0,Ft!K$3*((1-Ft!K$6)/(1+Ft!K$37*($A114-Ft!K$2)^2)+Ft!K$6*EXP(Ft!K$38*($A114-Ft!K$2)^2)),Ft!K$3*((1-Ft!K$7)/(1+Ft!K$39*($A114-Ft!K$2)^2)+Ft!K$7*EXP(Ft!K$40*($A114-Ft!K$2)^2)))</f>
        <v>0</v>
      </c>
      <c r="P114"/>
      <c r="Q114"/>
    </row>
    <row r="115" spans="1:17">
      <c r="A115">
        <v>226</v>
      </c>
      <c r="B115">
        <v>12.487115025354001</v>
      </c>
      <c r="C115" s="6">
        <f t="shared" si="3"/>
        <v>12.217338341326244</v>
      </c>
      <c r="D115" s="19">
        <f t="shared" si="4"/>
        <v>7.2779459245012418E-2</v>
      </c>
      <c r="E115" s="3">
        <f>Ft!$B$12+Ft!$B$14*(Data!A115-Vars!$B$3)</f>
        <v>0</v>
      </c>
      <c r="F115" s="3">
        <f>IF(($A115-Ft!B$2)&lt;0,Ft!B$3*((1-Ft!B$6)/(1+Ft!B$37*($A115-Ft!B$2)^2)+Ft!B$6*EXP(Ft!B$38*($A115-Ft!B$2)^2)),Ft!B$3*((1-Ft!B$7)/(1+Ft!B$39*($A115-Ft!B$2)^2)+Ft!B$7*EXP(Ft!B$40*($A115-Ft!B$2)^2)))</f>
        <v>4.0428532250961877E-18</v>
      </c>
      <c r="G115" s="3">
        <f>IF(($A115-Ft!C$2)&lt;0,Ft!C$3*((1-Ft!C$6)/(1+Ft!C$37*($A115-Ft!C$2)^2)+Ft!C$6*EXP(Ft!C$38*($A115-Ft!C$2)^2)),Ft!C$3*((1-Ft!C$7)/(1+Ft!C$39*($A115-Ft!C$2)^2)+Ft!C$7*EXP(Ft!C$40*($A115-Ft!C$2)^2)))</f>
        <v>4.8957666544443104</v>
      </c>
      <c r="H115" s="3">
        <f>IF(($A115-Ft!D$2)&lt;0,Ft!D$3*((1-Ft!D$6)/(1+Ft!D$37*($A115-Ft!D$2)^2)+Ft!D$6*EXP(Ft!D$38*($A115-Ft!D$2)^2)),Ft!D$3*((1-Ft!D$7)/(1+Ft!D$39*($A115-Ft!D$2)^2)+Ft!D$7*EXP(Ft!D$40*($A115-Ft!D$2)^2)))</f>
        <v>7.3195657157937974</v>
      </c>
      <c r="I115" s="3">
        <f>IF(($A115-Ft!E$2)&lt;0,Ft!E$3*((1-Ft!E$6)/(1+Ft!E$37*($A115-Ft!E$2)^2)+Ft!E$6*EXP(Ft!E$38*($A115-Ft!E$2)^2)),Ft!E$3*((1-Ft!E$7)/(1+Ft!E$39*($A115-Ft!E$2)^2)+Ft!E$7*EXP(Ft!E$40*($A115-Ft!E$2)^2)))</f>
        <v>2.0059710881354504E-3</v>
      </c>
      <c r="J115" s="3">
        <f>IF(($A115-Ft!F$2)&lt;0,Ft!F$3*((1-Ft!F$6)/(1+Ft!F$37*($A115-Ft!F$2)^2)+Ft!F$6*EXP(Ft!F$38*($A115-Ft!F$2)^2)),Ft!F$3*((1-Ft!F$7)/(1+Ft!F$39*($A115-Ft!F$2)^2)+Ft!F$7*EXP(Ft!F$40*($A115-Ft!F$2)^2)))</f>
        <v>3.4276347737945579E-70</v>
      </c>
      <c r="K115" s="3">
        <f>IF(($A115-Ft!G$2)&lt;0,Ft!G$3*((1-Ft!G$6)/(1+Ft!G$37*($A115-Ft!G$2)^2)+Ft!G$6*EXP(Ft!G$38*($A115-Ft!G$2)^2)),Ft!G$3*((1-Ft!G$7)/(1+Ft!G$39*($A115-Ft!G$2)^2)+Ft!G$7*EXP(Ft!G$40*($A115-Ft!G$2)^2)))</f>
        <v>3.9578471546195181E-277</v>
      </c>
      <c r="L115" s="3">
        <f>IF(($A115-Ft!H$2)&lt;0,Ft!H$3*((1-Ft!H$6)/(1+Ft!H$37*($A115-Ft!H$2)^2)+Ft!H$6*EXP(Ft!H$38*($A115-Ft!H$2)^2)),Ft!H$3*((1-Ft!H$7)/(1+Ft!H$39*($A115-Ft!H$2)^2)+Ft!H$7*EXP(Ft!H$40*($A115-Ft!H$2)^2)))</f>
        <v>0</v>
      </c>
      <c r="M115" s="3">
        <f>IF(($A115-Ft!I$2)&lt;0,Ft!I$3*((1-Ft!I$6)/(1+Ft!I$37*($A115-Ft!I$2)^2)+Ft!I$6*EXP(Ft!I$38*($A115-Ft!I$2)^2)),Ft!I$3*((1-Ft!I$7)/(1+Ft!I$39*($A115-Ft!I$2)^2)+Ft!I$7*EXP(Ft!I$40*($A115-Ft!I$2)^2)))</f>
        <v>0</v>
      </c>
      <c r="N115" s="3">
        <f>IF(($A115-Ft!J$2)&lt;0,Ft!J$3*((1-Ft!J$6)/(1+Ft!J$37*($A115-Ft!J$2)^2)+Ft!J$6*EXP(Ft!J$38*($A115-Ft!J$2)^2)),Ft!J$3*((1-Ft!J$7)/(1+Ft!J$39*($A115-Ft!J$2)^2)+Ft!J$7*EXP(Ft!J$40*($A115-Ft!J$2)^2)))</f>
        <v>0</v>
      </c>
      <c r="O115" s="3">
        <f>IF(($A115-Ft!K$2)&lt;0,Ft!K$3*((1-Ft!K$6)/(1+Ft!K$37*($A115-Ft!K$2)^2)+Ft!K$6*EXP(Ft!K$38*($A115-Ft!K$2)^2)),Ft!K$3*((1-Ft!K$7)/(1+Ft!K$39*($A115-Ft!K$2)^2)+Ft!K$7*EXP(Ft!K$40*($A115-Ft!K$2)^2)))</f>
        <v>0</v>
      </c>
      <c r="P115"/>
      <c r="Q115"/>
    </row>
    <row r="116" spans="1:17">
      <c r="A116">
        <v>228</v>
      </c>
      <c r="B116">
        <v>12.47296365857099</v>
      </c>
      <c r="C116" s="6">
        <f t="shared" si="3"/>
        <v>12.199625536341188</v>
      </c>
      <c r="D116" s="19">
        <f t="shared" si="4"/>
        <v>7.4713729064114248E-2</v>
      </c>
      <c r="E116" s="3">
        <f>Ft!$B$12+Ft!$B$14*(Data!A116-Vars!$B$3)</f>
        <v>0</v>
      </c>
      <c r="F116" s="3">
        <f>IF(($A116-Ft!B$2)&lt;0,Ft!B$3*((1-Ft!B$6)/(1+Ft!B$37*($A116-Ft!B$2)^2)+Ft!B$6*EXP(Ft!B$38*($A116-Ft!B$2)^2)),Ft!B$3*((1-Ft!B$7)/(1+Ft!B$39*($A116-Ft!B$2)^2)+Ft!B$7*EXP(Ft!B$40*($A116-Ft!B$2)^2)))</f>
        <v>1.6145620539073563E-18</v>
      </c>
      <c r="G116" s="3">
        <f>IF(($A116-Ft!C$2)&lt;0,Ft!C$3*((1-Ft!C$6)/(1+Ft!C$37*($A116-Ft!C$2)^2)+Ft!C$6*EXP(Ft!C$38*($A116-Ft!C$2)^2)),Ft!C$3*((1-Ft!C$7)/(1+Ft!C$39*($A116-Ft!C$2)^2)+Ft!C$7*EXP(Ft!C$40*($A116-Ft!C$2)^2)))</f>
        <v>4.7572620303381674</v>
      </c>
      <c r="H116" s="3">
        <f>IF(($A116-Ft!D$2)&lt;0,Ft!D$3*((1-Ft!D$6)/(1+Ft!D$37*($A116-Ft!D$2)^2)+Ft!D$6*EXP(Ft!D$38*($A116-Ft!D$2)^2)),Ft!D$3*((1-Ft!D$7)/(1+Ft!D$39*($A116-Ft!D$2)^2)+Ft!D$7*EXP(Ft!D$40*($A116-Ft!D$2)^2)))</f>
        <v>7.4402335966510558</v>
      </c>
      <c r="I116" s="3">
        <f>IF(($A116-Ft!E$2)&lt;0,Ft!E$3*((1-Ft!E$6)/(1+Ft!E$37*($A116-Ft!E$2)^2)+Ft!E$6*EXP(Ft!E$38*($A116-Ft!E$2)^2)),Ft!E$3*((1-Ft!E$7)/(1+Ft!E$39*($A116-Ft!E$2)^2)+Ft!E$7*EXP(Ft!E$40*($A116-Ft!E$2)^2)))</f>
        <v>2.1299093519651295E-3</v>
      </c>
      <c r="J116" s="3">
        <f>IF(($A116-Ft!F$2)&lt;0,Ft!F$3*((1-Ft!F$6)/(1+Ft!F$37*($A116-Ft!F$2)^2)+Ft!F$6*EXP(Ft!F$38*($A116-Ft!F$2)^2)),Ft!F$3*((1-Ft!F$7)/(1+Ft!F$39*($A116-Ft!F$2)^2)+Ft!F$7*EXP(Ft!F$40*($A116-Ft!F$2)^2)))</f>
        <v>7.8824472074829569E-70</v>
      </c>
      <c r="K116" s="3">
        <f>IF(($A116-Ft!G$2)&lt;0,Ft!G$3*((1-Ft!G$6)/(1+Ft!G$37*($A116-Ft!G$2)^2)+Ft!G$6*EXP(Ft!G$38*($A116-Ft!G$2)^2)),Ft!G$3*((1-Ft!G$7)/(1+Ft!G$39*($A116-Ft!G$2)^2)+Ft!G$7*EXP(Ft!G$40*($A116-Ft!G$2)^2)))</f>
        <v>8.892472583058048E-276</v>
      </c>
      <c r="L116" s="3">
        <f>IF(($A116-Ft!H$2)&lt;0,Ft!H$3*((1-Ft!H$6)/(1+Ft!H$37*($A116-Ft!H$2)^2)+Ft!H$6*EXP(Ft!H$38*($A116-Ft!H$2)^2)),Ft!H$3*((1-Ft!H$7)/(1+Ft!H$39*($A116-Ft!H$2)^2)+Ft!H$7*EXP(Ft!H$40*($A116-Ft!H$2)^2)))</f>
        <v>0</v>
      </c>
      <c r="M116" s="3">
        <f>IF(($A116-Ft!I$2)&lt;0,Ft!I$3*((1-Ft!I$6)/(1+Ft!I$37*($A116-Ft!I$2)^2)+Ft!I$6*EXP(Ft!I$38*($A116-Ft!I$2)^2)),Ft!I$3*((1-Ft!I$7)/(1+Ft!I$39*($A116-Ft!I$2)^2)+Ft!I$7*EXP(Ft!I$40*($A116-Ft!I$2)^2)))</f>
        <v>0</v>
      </c>
      <c r="N116" s="3">
        <f>IF(($A116-Ft!J$2)&lt;0,Ft!J$3*((1-Ft!J$6)/(1+Ft!J$37*($A116-Ft!J$2)^2)+Ft!J$6*EXP(Ft!J$38*($A116-Ft!J$2)^2)),Ft!J$3*((1-Ft!J$7)/(1+Ft!J$39*($A116-Ft!J$2)^2)+Ft!J$7*EXP(Ft!J$40*($A116-Ft!J$2)^2)))</f>
        <v>0</v>
      </c>
      <c r="O116" s="3">
        <f>IF(($A116-Ft!K$2)&lt;0,Ft!K$3*((1-Ft!K$6)/(1+Ft!K$37*($A116-Ft!K$2)^2)+Ft!K$6*EXP(Ft!K$38*($A116-Ft!K$2)^2)),Ft!K$3*((1-Ft!K$7)/(1+Ft!K$39*($A116-Ft!K$2)^2)+Ft!K$7*EXP(Ft!K$40*($A116-Ft!K$2)^2)))</f>
        <v>0</v>
      </c>
      <c r="P116"/>
      <c r="Q116"/>
    </row>
    <row r="117" spans="1:17">
      <c r="A117">
        <v>230</v>
      </c>
      <c r="B117">
        <v>12.459145837126002</v>
      </c>
      <c r="C117" s="6">
        <f t="shared" si="3"/>
        <v>12.18373904975171</v>
      </c>
      <c r="D117" s="19">
        <f t="shared" si="4"/>
        <v>7.5848898531828621E-2</v>
      </c>
      <c r="E117" s="3">
        <f>Ft!$B$12+Ft!$B$14*(Data!A117-Vars!$B$3)</f>
        <v>0</v>
      </c>
      <c r="F117" s="3">
        <f>IF(($A117-Ft!B$2)&lt;0,Ft!B$3*((1-Ft!B$6)/(1+Ft!B$37*($A117-Ft!B$2)^2)+Ft!B$6*EXP(Ft!B$38*($A117-Ft!B$2)^2)),Ft!B$3*((1-Ft!B$7)/(1+Ft!B$39*($A117-Ft!B$2)^2)+Ft!B$7*EXP(Ft!B$40*($A117-Ft!B$2)^2)))</f>
        <v>6.3830844290059176E-19</v>
      </c>
      <c r="G117" s="3">
        <f>IF(($A117-Ft!C$2)&lt;0,Ft!C$3*((1-Ft!C$6)/(1+Ft!C$37*($A117-Ft!C$2)^2)+Ft!C$6*EXP(Ft!C$38*($A117-Ft!C$2)^2)),Ft!C$3*((1-Ft!C$7)/(1+Ft!C$39*($A117-Ft!C$2)^2)+Ft!C$7*EXP(Ft!C$40*($A117-Ft!C$2)^2)))</f>
        <v>4.6196744138037129</v>
      </c>
      <c r="H117" s="3">
        <f>IF(($A117-Ft!D$2)&lt;0,Ft!D$3*((1-Ft!D$6)/(1+Ft!D$37*($A117-Ft!D$2)^2)+Ft!D$6*EXP(Ft!D$38*($A117-Ft!D$2)^2)),Ft!D$3*((1-Ft!D$7)/(1+Ft!D$39*($A117-Ft!D$2)^2)+Ft!D$7*EXP(Ft!D$40*($A117-Ft!D$2)^2)))</f>
        <v>7.56180358617382</v>
      </c>
      <c r="I117" s="3">
        <f>IF(($A117-Ft!E$2)&lt;0,Ft!E$3*((1-Ft!E$6)/(1+Ft!E$37*($A117-Ft!E$2)^2)+Ft!E$6*EXP(Ft!E$38*($A117-Ft!E$2)^2)),Ft!E$3*((1-Ft!E$7)/(1+Ft!E$39*($A117-Ft!E$2)^2)+Ft!E$7*EXP(Ft!E$40*($A117-Ft!E$2)^2)))</f>
        <v>2.2610497741762229E-3</v>
      </c>
      <c r="J117" s="3">
        <f>IF(($A117-Ft!F$2)&lt;0,Ft!F$3*((1-Ft!F$6)/(1+Ft!F$37*($A117-Ft!F$2)^2)+Ft!F$6*EXP(Ft!F$38*($A117-Ft!F$2)^2)),Ft!F$3*((1-Ft!F$7)/(1+Ft!F$39*($A117-Ft!F$2)^2)+Ft!F$7*EXP(Ft!F$40*($A117-Ft!F$2)^2)))</f>
        <v>1.8088096883032608E-69</v>
      </c>
      <c r="K117" s="3">
        <f>IF(($A117-Ft!G$2)&lt;0,Ft!G$3*((1-Ft!G$6)/(1+Ft!G$37*($A117-Ft!G$2)^2)+Ft!G$6*EXP(Ft!G$38*($A117-Ft!G$2)^2)),Ft!G$3*((1-Ft!G$7)/(1+Ft!G$39*($A117-Ft!G$2)^2)+Ft!G$7*EXP(Ft!G$40*($A117-Ft!G$2)^2)))</f>
        <v>1.9828185963611903E-274</v>
      </c>
      <c r="L117" s="3">
        <f>IF(($A117-Ft!H$2)&lt;0,Ft!H$3*((1-Ft!H$6)/(1+Ft!H$37*($A117-Ft!H$2)^2)+Ft!H$6*EXP(Ft!H$38*($A117-Ft!H$2)^2)),Ft!H$3*((1-Ft!H$7)/(1+Ft!H$39*($A117-Ft!H$2)^2)+Ft!H$7*EXP(Ft!H$40*($A117-Ft!H$2)^2)))</f>
        <v>0</v>
      </c>
      <c r="M117" s="3">
        <f>IF(($A117-Ft!I$2)&lt;0,Ft!I$3*((1-Ft!I$6)/(1+Ft!I$37*($A117-Ft!I$2)^2)+Ft!I$6*EXP(Ft!I$38*($A117-Ft!I$2)^2)),Ft!I$3*((1-Ft!I$7)/(1+Ft!I$39*($A117-Ft!I$2)^2)+Ft!I$7*EXP(Ft!I$40*($A117-Ft!I$2)^2)))</f>
        <v>0</v>
      </c>
      <c r="N117" s="3">
        <f>IF(($A117-Ft!J$2)&lt;0,Ft!J$3*((1-Ft!J$6)/(1+Ft!J$37*($A117-Ft!J$2)^2)+Ft!J$6*EXP(Ft!J$38*($A117-Ft!J$2)^2)),Ft!J$3*((1-Ft!J$7)/(1+Ft!J$39*($A117-Ft!J$2)^2)+Ft!J$7*EXP(Ft!J$40*($A117-Ft!J$2)^2)))</f>
        <v>0</v>
      </c>
      <c r="O117" s="3">
        <f>IF(($A117-Ft!K$2)&lt;0,Ft!K$3*((1-Ft!K$6)/(1+Ft!K$37*($A117-Ft!K$2)^2)+Ft!K$6*EXP(Ft!K$38*($A117-Ft!K$2)^2)),Ft!K$3*((1-Ft!K$7)/(1+Ft!K$39*($A117-Ft!K$2)^2)+Ft!K$7*EXP(Ft!K$40*($A117-Ft!K$2)^2)))</f>
        <v>0</v>
      </c>
      <c r="P117"/>
      <c r="Q117"/>
    </row>
    <row r="118" spans="1:17">
      <c r="A118">
        <v>232</v>
      </c>
      <c r="B118">
        <v>12.446662860004992</v>
      </c>
      <c r="C118" s="6">
        <f t="shared" si="3"/>
        <v>12.169808332408836</v>
      </c>
      <c r="D118" s="19">
        <f t="shared" si="4"/>
        <v>7.6648429450490357E-2</v>
      </c>
      <c r="E118" s="3">
        <f>Ft!$B$12+Ft!$B$14*(Data!A118-Vars!$B$3)</f>
        <v>0</v>
      </c>
      <c r="F118" s="3">
        <f>IF(($A118-Ft!B$2)&lt;0,Ft!B$3*((1-Ft!B$6)/(1+Ft!B$37*($A118-Ft!B$2)^2)+Ft!B$6*EXP(Ft!B$38*($A118-Ft!B$2)^2)),Ft!B$3*((1-Ft!B$7)/(1+Ft!B$39*($A118-Ft!B$2)^2)+Ft!B$7*EXP(Ft!B$40*($A118-Ft!B$2)^2)))</f>
        <v>2.4981327756182247E-19</v>
      </c>
      <c r="G118" s="3">
        <f>IF(($A118-Ft!C$2)&lt;0,Ft!C$3*((1-Ft!C$6)/(1+Ft!C$37*($A118-Ft!C$2)^2)+Ft!C$6*EXP(Ft!C$38*($A118-Ft!C$2)^2)),Ft!C$3*((1-Ft!C$7)/(1+Ft!C$39*($A118-Ft!C$2)^2)+Ft!C$7*EXP(Ft!C$40*($A118-Ft!C$2)^2)))</f>
        <v>4.4831533640634369</v>
      </c>
      <c r="H118" s="3">
        <f>IF(($A118-Ft!D$2)&lt;0,Ft!D$3*((1-Ft!D$6)/(1+Ft!D$37*($A118-Ft!D$2)^2)+Ft!D$6*EXP(Ft!D$38*($A118-Ft!D$2)^2)),Ft!D$3*((1-Ft!D$7)/(1+Ft!D$39*($A118-Ft!D$2)^2)+Ft!D$7*EXP(Ft!D$40*($A118-Ft!D$2)^2)))</f>
        <v>7.6842551869800424</v>
      </c>
      <c r="I118" s="3">
        <f>IF(($A118-Ft!E$2)&lt;0,Ft!E$3*((1-Ft!E$6)/(1+Ft!E$37*($A118-Ft!E$2)^2)+Ft!E$6*EXP(Ft!E$38*($A118-Ft!E$2)^2)),Ft!E$3*((1-Ft!E$7)/(1+Ft!E$39*($A118-Ft!E$2)^2)+Ft!E$7*EXP(Ft!E$40*($A118-Ft!E$2)^2)))</f>
        <v>2.3997813653575087E-3</v>
      </c>
      <c r="J118" s="3">
        <f>IF(($A118-Ft!F$2)&lt;0,Ft!F$3*((1-Ft!F$6)/(1+Ft!F$37*($A118-Ft!F$2)^2)+Ft!F$6*EXP(Ft!F$38*($A118-Ft!F$2)^2)),Ft!F$3*((1-Ft!F$7)/(1+Ft!F$39*($A118-Ft!F$2)^2)+Ft!F$7*EXP(Ft!F$40*($A118-Ft!F$2)^2)))</f>
        <v>4.1418079216028521E-69</v>
      </c>
      <c r="K118" s="3">
        <f>IF(($A118-Ft!G$2)&lt;0,Ft!G$3*((1-Ft!G$6)/(1+Ft!G$37*($A118-Ft!G$2)^2)+Ft!G$6*EXP(Ft!G$38*($A118-Ft!G$2)^2)),Ft!G$3*((1-Ft!G$7)/(1+Ft!G$39*($A118-Ft!G$2)^2)+Ft!G$7*EXP(Ft!G$40*($A118-Ft!G$2)^2)))</f>
        <v>4.3877347359435384E-273</v>
      </c>
      <c r="L118" s="3">
        <f>IF(($A118-Ft!H$2)&lt;0,Ft!H$3*((1-Ft!H$6)/(1+Ft!H$37*($A118-Ft!H$2)^2)+Ft!H$6*EXP(Ft!H$38*($A118-Ft!H$2)^2)),Ft!H$3*((1-Ft!H$7)/(1+Ft!H$39*($A118-Ft!H$2)^2)+Ft!H$7*EXP(Ft!H$40*($A118-Ft!H$2)^2)))</f>
        <v>0</v>
      </c>
      <c r="M118" s="3">
        <f>IF(($A118-Ft!I$2)&lt;0,Ft!I$3*((1-Ft!I$6)/(1+Ft!I$37*($A118-Ft!I$2)^2)+Ft!I$6*EXP(Ft!I$38*($A118-Ft!I$2)^2)),Ft!I$3*((1-Ft!I$7)/(1+Ft!I$39*($A118-Ft!I$2)^2)+Ft!I$7*EXP(Ft!I$40*($A118-Ft!I$2)^2)))</f>
        <v>0</v>
      </c>
      <c r="N118" s="3">
        <f>IF(($A118-Ft!J$2)&lt;0,Ft!J$3*((1-Ft!J$6)/(1+Ft!J$37*($A118-Ft!J$2)^2)+Ft!J$6*EXP(Ft!J$38*($A118-Ft!J$2)^2)),Ft!J$3*((1-Ft!J$7)/(1+Ft!J$39*($A118-Ft!J$2)^2)+Ft!J$7*EXP(Ft!J$40*($A118-Ft!J$2)^2)))</f>
        <v>0</v>
      </c>
      <c r="O118" s="3">
        <f>IF(($A118-Ft!K$2)&lt;0,Ft!K$3*((1-Ft!K$6)/(1+Ft!K$37*($A118-Ft!K$2)^2)+Ft!K$6*EXP(Ft!K$38*($A118-Ft!K$2)^2)),Ft!K$3*((1-Ft!K$7)/(1+Ft!K$39*($A118-Ft!K$2)^2)+Ft!K$7*EXP(Ft!K$40*($A118-Ft!K$2)^2)))</f>
        <v>0</v>
      </c>
      <c r="P118"/>
      <c r="Q118"/>
    </row>
    <row r="119" spans="1:17">
      <c r="A119">
        <v>234</v>
      </c>
      <c r="B119">
        <v>12.436516026194994</v>
      </c>
      <c r="C119" s="6">
        <f t="shared" si="3"/>
        <v>12.157955718854801</v>
      </c>
      <c r="D119" s="19">
        <f t="shared" si="4"/>
        <v>7.7595844825462779E-2</v>
      </c>
      <c r="E119" s="3">
        <f>Ft!$B$12+Ft!$B$14*(Data!A119-Vars!$B$3)</f>
        <v>0</v>
      </c>
      <c r="F119" s="3">
        <f>IF(($A119-Ft!B$2)&lt;0,Ft!B$3*((1-Ft!B$6)/(1+Ft!B$37*($A119-Ft!B$2)^2)+Ft!B$6*EXP(Ft!B$38*($A119-Ft!B$2)^2)),Ft!B$3*((1-Ft!B$7)/(1+Ft!B$39*($A119-Ft!B$2)^2)+Ft!B$7*EXP(Ft!B$40*($A119-Ft!B$2)^2)))</f>
        <v>9.6785328136054525E-20</v>
      </c>
      <c r="G119" s="3">
        <f>IF(($A119-Ft!C$2)&lt;0,Ft!C$3*((1-Ft!C$6)/(1+Ft!C$37*($A119-Ft!C$2)^2)+Ft!C$6*EXP(Ft!C$38*($A119-Ft!C$2)^2)),Ft!C$3*((1-Ft!C$7)/(1+Ft!C$39*($A119-Ft!C$2)^2)+Ft!C$7*EXP(Ft!C$40*($A119-Ft!C$2)^2)))</f>
        <v>4.3478420215345608</v>
      </c>
      <c r="H119" s="3">
        <f>IF(($A119-Ft!D$2)&lt;0,Ft!D$3*((1-Ft!D$6)/(1+Ft!D$37*($A119-Ft!D$2)^2)+Ft!D$6*EXP(Ft!D$38*($A119-Ft!D$2)^2)),Ft!D$3*((1-Ft!D$7)/(1+Ft!D$39*($A119-Ft!D$2)^2)+Ft!D$7*EXP(Ft!D$40*($A119-Ft!D$2)^2)))</f>
        <v>7.8075671849998196</v>
      </c>
      <c r="I119" s="3">
        <f>IF(($A119-Ft!E$2)&lt;0,Ft!E$3*((1-Ft!E$6)/(1+Ft!E$37*($A119-Ft!E$2)^2)+Ft!E$6*EXP(Ft!E$38*($A119-Ft!E$2)^2)),Ft!E$3*((1-Ft!E$7)/(1+Ft!E$39*($A119-Ft!E$2)^2)+Ft!E$7*EXP(Ft!E$40*($A119-Ft!E$2)^2)))</f>
        <v>2.5465123204207948E-3</v>
      </c>
      <c r="J119" s="3">
        <f>IF(($A119-Ft!F$2)&lt;0,Ft!F$3*((1-Ft!F$6)/(1+Ft!F$37*($A119-Ft!F$2)^2)+Ft!F$6*EXP(Ft!F$38*($A119-Ft!F$2)^2)),Ft!F$3*((1-Ft!F$7)/(1+Ft!F$39*($A119-Ft!F$2)^2)+Ft!F$7*EXP(Ft!F$40*($A119-Ft!F$2)^2)))</f>
        <v>9.4635113527244366E-69</v>
      </c>
      <c r="K119" s="3">
        <f>IF(($A119-Ft!G$2)&lt;0,Ft!G$3*((1-Ft!G$6)/(1+Ft!G$37*($A119-Ft!G$2)^2)+Ft!G$6*EXP(Ft!G$38*($A119-Ft!G$2)^2)),Ft!G$3*((1-Ft!G$7)/(1+Ft!G$39*($A119-Ft!G$2)^2)+Ft!G$7*EXP(Ft!G$40*($A119-Ft!G$2)^2)))</f>
        <v>9.6359530858117749E-272</v>
      </c>
      <c r="L119" s="3">
        <f>IF(($A119-Ft!H$2)&lt;0,Ft!H$3*((1-Ft!H$6)/(1+Ft!H$37*($A119-Ft!H$2)^2)+Ft!H$6*EXP(Ft!H$38*($A119-Ft!H$2)^2)),Ft!H$3*((1-Ft!H$7)/(1+Ft!H$39*($A119-Ft!H$2)^2)+Ft!H$7*EXP(Ft!H$40*($A119-Ft!H$2)^2)))</f>
        <v>0</v>
      </c>
      <c r="M119" s="3">
        <f>IF(($A119-Ft!I$2)&lt;0,Ft!I$3*((1-Ft!I$6)/(1+Ft!I$37*($A119-Ft!I$2)^2)+Ft!I$6*EXP(Ft!I$38*($A119-Ft!I$2)^2)),Ft!I$3*((1-Ft!I$7)/(1+Ft!I$39*($A119-Ft!I$2)^2)+Ft!I$7*EXP(Ft!I$40*($A119-Ft!I$2)^2)))</f>
        <v>0</v>
      </c>
      <c r="N119" s="3">
        <f>IF(($A119-Ft!J$2)&lt;0,Ft!J$3*((1-Ft!J$6)/(1+Ft!J$37*($A119-Ft!J$2)^2)+Ft!J$6*EXP(Ft!J$38*($A119-Ft!J$2)^2)),Ft!J$3*((1-Ft!J$7)/(1+Ft!J$39*($A119-Ft!J$2)^2)+Ft!J$7*EXP(Ft!J$40*($A119-Ft!J$2)^2)))</f>
        <v>0</v>
      </c>
      <c r="O119" s="3">
        <f>IF(($A119-Ft!K$2)&lt;0,Ft!K$3*((1-Ft!K$6)/(1+Ft!K$37*($A119-Ft!K$2)^2)+Ft!K$6*EXP(Ft!K$38*($A119-Ft!K$2)^2)),Ft!K$3*((1-Ft!K$7)/(1+Ft!K$39*($A119-Ft!K$2)^2)+Ft!K$7*EXP(Ft!K$40*($A119-Ft!K$2)^2)))</f>
        <v>0</v>
      </c>
      <c r="P119"/>
      <c r="Q119"/>
    </row>
    <row r="120" spans="1:17">
      <c r="A120">
        <v>236</v>
      </c>
      <c r="B120">
        <v>12.429706634683996</v>
      </c>
      <c r="C120" s="6">
        <f t="shared" si="3"/>
        <v>12.14829625233045</v>
      </c>
      <c r="D120" s="19">
        <f t="shared" si="4"/>
        <v>7.9191803296368629E-2</v>
      </c>
      <c r="E120" s="3">
        <f>Ft!$B$12+Ft!$B$14*(Data!A120-Vars!$B$3)</f>
        <v>0</v>
      </c>
      <c r="F120" s="3">
        <f>IF(($A120-Ft!B$2)&lt;0,Ft!B$3*((1-Ft!B$6)/(1+Ft!B$37*($A120-Ft!B$2)^2)+Ft!B$6*EXP(Ft!B$38*($A120-Ft!B$2)^2)),Ft!B$3*((1-Ft!B$7)/(1+Ft!B$39*($A120-Ft!B$2)^2)+Ft!B$7*EXP(Ft!B$40*($A120-Ft!B$2)^2)))</f>
        <v>3.7120397413870052E-20</v>
      </c>
      <c r="G120" s="3">
        <f>IF(($A120-Ft!C$2)&lt;0,Ft!C$3*((1-Ft!C$6)/(1+Ft!C$37*($A120-Ft!C$2)^2)+Ft!C$6*EXP(Ft!C$38*($A120-Ft!C$2)^2)),Ft!C$3*((1-Ft!C$7)/(1+Ft!C$39*($A120-Ft!C$2)^2)+Ft!C$7*EXP(Ft!C$40*($A120-Ft!C$2)^2)))</f>
        <v>4.213876931306924</v>
      </c>
      <c r="H120" s="3">
        <f>IF(($A120-Ft!D$2)&lt;0,Ft!D$3*((1-Ft!D$6)/(1+Ft!D$37*($A120-Ft!D$2)^2)+Ft!D$6*EXP(Ft!D$38*($A120-Ft!D$2)^2)),Ft!D$3*((1-Ft!D$7)/(1+Ft!D$39*($A120-Ft!D$2)^2)+Ft!D$7*EXP(Ft!D$40*($A120-Ft!D$2)^2)))</f>
        <v>7.9317176501666173</v>
      </c>
      <c r="I120" s="3">
        <f>IF(($A120-Ft!E$2)&lt;0,Ft!E$3*((1-Ft!E$6)/(1+Ft!E$37*($A120-Ft!E$2)^2)+Ft!E$6*EXP(Ft!E$38*($A120-Ft!E$2)^2)),Ft!E$3*((1-Ft!E$7)/(1+Ft!E$39*($A120-Ft!E$2)^2)+Ft!E$7*EXP(Ft!E$40*($A120-Ft!E$2)^2)))</f>
        <v>2.7016708569073769E-3</v>
      </c>
      <c r="J120" s="3">
        <f>IF(($A120-Ft!F$2)&lt;0,Ft!F$3*((1-Ft!F$6)/(1+Ft!F$37*($A120-Ft!F$2)^2)+Ft!F$6*EXP(Ft!F$38*($A120-Ft!F$2)^2)),Ft!F$3*((1-Ft!F$7)/(1+Ft!F$39*($A120-Ft!F$2)^2)+Ft!F$7*EXP(Ft!F$40*($A120-Ft!F$2)^2)))</f>
        <v>2.1576447190180413E-68</v>
      </c>
      <c r="K120" s="3">
        <f>IF(($A120-Ft!G$2)&lt;0,Ft!G$3*((1-Ft!G$6)/(1+Ft!G$37*($A120-Ft!G$2)^2)+Ft!G$6*EXP(Ft!G$38*($A120-Ft!G$2)^2)),Ft!G$3*((1-Ft!G$7)/(1+Ft!G$39*($A120-Ft!G$2)^2)+Ft!G$7*EXP(Ft!G$40*($A120-Ft!G$2)^2)))</f>
        <v>2.100128757581449E-270</v>
      </c>
      <c r="L120" s="3">
        <f>IF(($A120-Ft!H$2)&lt;0,Ft!H$3*((1-Ft!H$6)/(1+Ft!H$37*($A120-Ft!H$2)^2)+Ft!H$6*EXP(Ft!H$38*($A120-Ft!H$2)^2)),Ft!H$3*((1-Ft!H$7)/(1+Ft!H$39*($A120-Ft!H$2)^2)+Ft!H$7*EXP(Ft!H$40*($A120-Ft!H$2)^2)))</f>
        <v>0</v>
      </c>
      <c r="M120" s="3">
        <f>IF(($A120-Ft!I$2)&lt;0,Ft!I$3*((1-Ft!I$6)/(1+Ft!I$37*($A120-Ft!I$2)^2)+Ft!I$6*EXP(Ft!I$38*($A120-Ft!I$2)^2)),Ft!I$3*((1-Ft!I$7)/(1+Ft!I$39*($A120-Ft!I$2)^2)+Ft!I$7*EXP(Ft!I$40*($A120-Ft!I$2)^2)))</f>
        <v>0</v>
      </c>
      <c r="N120" s="3">
        <f>IF(($A120-Ft!J$2)&lt;0,Ft!J$3*((1-Ft!J$6)/(1+Ft!J$37*($A120-Ft!J$2)^2)+Ft!J$6*EXP(Ft!J$38*($A120-Ft!J$2)^2)),Ft!J$3*((1-Ft!J$7)/(1+Ft!J$39*($A120-Ft!J$2)^2)+Ft!J$7*EXP(Ft!J$40*($A120-Ft!J$2)^2)))</f>
        <v>0</v>
      </c>
      <c r="O120" s="3">
        <f>IF(($A120-Ft!K$2)&lt;0,Ft!K$3*((1-Ft!K$6)/(1+Ft!K$37*($A120-Ft!K$2)^2)+Ft!K$6*EXP(Ft!K$38*($A120-Ft!K$2)^2)),Ft!K$3*((1-Ft!K$7)/(1+Ft!K$39*($A120-Ft!K$2)^2)+Ft!K$7*EXP(Ft!K$40*($A120-Ft!K$2)^2)))</f>
        <v>0</v>
      </c>
      <c r="P120"/>
      <c r="Q120"/>
    </row>
    <row r="121" spans="1:17">
      <c r="A121">
        <v>238</v>
      </c>
      <c r="B121">
        <v>12.424248013132996</v>
      </c>
      <c r="C121" s="6">
        <f t="shared" si="3"/>
        <v>12.140937536697848</v>
      </c>
      <c r="D121" s="19">
        <f t="shared" si="4"/>
        <v>8.0264826057910271E-2</v>
      </c>
      <c r="E121" s="3">
        <f>Ft!$B$12+Ft!$B$14*(Data!A121-Vars!$B$3)</f>
        <v>0</v>
      </c>
      <c r="F121" s="3">
        <f>IF(($A121-Ft!B$2)&lt;0,Ft!B$3*((1-Ft!B$6)/(1+Ft!B$37*($A121-Ft!B$2)^2)+Ft!B$6*EXP(Ft!B$38*($A121-Ft!B$2)^2)),Ft!B$3*((1-Ft!B$7)/(1+Ft!B$39*($A121-Ft!B$2)^2)+Ft!B$7*EXP(Ft!B$40*($A121-Ft!B$2)^2)))</f>
        <v>1.4093692394003123E-20</v>
      </c>
      <c r="G121" s="3">
        <f>IF(($A121-Ft!C$2)&lt;0,Ft!C$3*((1-Ft!C$6)/(1+Ft!C$37*($A121-Ft!C$2)^2)+Ft!C$6*EXP(Ft!C$38*($A121-Ft!C$2)^2)),Ft!C$3*((1-Ft!C$7)/(1+Ft!C$39*($A121-Ft!C$2)^2)+Ft!C$7*EXP(Ft!C$40*($A121-Ft!C$2)^2)))</f>
        <v>4.0813878929755836</v>
      </c>
      <c r="H121" s="3">
        <f>IF(($A121-Ft!D$2)&lt;0,Ft!D$3*((1-Ft!D$6)/(1+Ft!D$37*($A121-Ft!D$2)^2)+Ft!D$6*EXP(Ft!D$38*($A121-Ft!D$2)^2)),Ft!D$3*((1-Ft!D$7)/(1+Ft!D$39*($A121-Ft!D$2)^2)+Ft!D$7*EXP(Ft!D$40*($A121-Ft!D$2)^2)))</f>
        <v>8.056683937638395</v>
      </c>
      <c r="I121" s="3">
        <f>IF(($A121-Ft!E$2)&lt;0,Ft!E$3*((1-Ft!E$6)/(1+Ft!E$37*($A121-Ft!E$2)^2)+Ft!E$6*EXP(Ft!E$38*($A121-Ft!E$2)^2)),Ft!E$3*((1-Ft!E$7)/(1+Ft!E$39*($A121-Ft!E$2)^2)+Ft!E$7*EXP(Ft!E$40*($A121-Ft!E$2)^2)))</f>
        <v>2.8657060838706205E-3</v>
      </c>
      <c r="J121" s="3">
        <f>IF(($A121-Ft!F$2)&lt;0,Ft!F$3*((1-Ft!F$6)/(1+Ft!F$37*($A121-Ft!F$2)^2)+Ft!F$6*EXP(Ft!F$38*($A121-Ft!F$2)^2)),Ft!F$3*((1-Ft!F$7)/(1+Ft!F$39*($A121-Ft!F$2)^2)+Ft!F$7*EXP(Ft!F$40*($A121-Ft!F$2)^2)))</f>
        <v>4.9087717210935103E-68</v>
      </c>
      <c r="K121" s="3">
        <f>IF(($A121-Ft!G$2)&lt;0,Ft!G$3*((1-Ft!G$6)/(1+Ft!G$37*($A121-Ft!G$2)^2)+Ft!G$6*EXP(Ft!G$38*($A121-Ft!G$2)^2)),Ft!G$3*((1-Ft!G$7)/(1+Ft!G$39*($A121-Ft!G$2)^2)+Ft!G$7*EXP(Ft!G$40*($A121-Ft!G$2)^2)))</f>
        <v>4.5424912455711335E-269</v>
      </c>
      <c r="L121" s="3">
        <f>IF(($A121-Ft!H$2)&lt;0,Ft!H$3*((1-Ft!H$6)/(1+Ft!H$37*($A121-Ft!H$2)^2)+Ft!H$6*EXP(Ft!H$38*($A121-Ft!H$2)^2)),Ft!H$3*((1-Ft!H$7)/(1+Ft!H$39*($A121-Ft!H$2)^2)+Ft!H$7*EXP(Ft!H$40*($A121-Ft!H$2)^2)))</f>
        <v>0</v>
      </c>
      <c r="M121" s="3">
        <f>IF(($A121-Ft!I$2)&lt;0,Ft!I$3*((1-Ft!I$6)/(1+Ft!I$37*($A121-Ft!I$2)^2)+Ft!I$6*EXP(Ft!I$38*($A121-Ft!I$2)^2)),Ft!I$3*((1-Ft!I$7)/(1+Ft!I$39*($A121-Ft!I$2)^2)+Ft!I$7*EXP(Ft!I$40*($A121-Ft!I$2)^2)))</f>
        <v>0</v>
      </c>
      <c r="N121" s="3">
        <f>IF(($A121-Ft!J$2)&lt;0,Ft!J$3*((1-Ft!J$6)/(1+Ft!J$37*($A121-Ft!J$2)^2)+Ft!J$6*EXP(Ft!J$38*($A121-Ft!J$2)^2)),Ft!J$3*((1-Ft!J$7)/(1+Ft!J$39*($A121-Ft!J$2)^2)+Ft!J$7*EXP(Ft!J$40*($A121-Ft!J$2)^2)))</f>
        <v>0</v>
      </c>
      <c r="O121" s="3">
        <f>IF(($A121-Ft!K$2)&lt;0,Ft!K$3*((1-Ft!K$6)/(1+Ft!K$37*($A121-Ft!K$2)^2)+Ft!K$6*EXP(Ft!K$38*($A121-Ft!K$2)^2)),Ft!K$3*((1-Ft!K$7)/(1+Ft!K$39*($A121-Ft!K$2)^2)+Ft!K$7*EXP(Ft!K$40*($A121-Ft!K$2)^2)))</f>
        <v>0</v>
      </c>
      <c r="P121"/>
      <c r="Q121"/>
    </row>
    <row r="122" spans="1:17">
      <c r="A122">
        <v>240</v>
      </c>
      <c r="B122">
        <v>12.417896327680992</v>
      </c>
      <c r="C122" s="6">
        <f t="shared" si="3"/>
        <v>12.135979615067024</v>
      </c>
      <c r="D122" s="19">
        <f t="shared" si="4"/>
        <v>7.9477032851066942E-2</v>
      </c>
      <c r="E122" s="3">
        <f>Ft!$B$12+Ft!$B$14*(Data!A122-Vars!$B$3)</f>
        <v>0</v>
      </c>
      <c r="F122" s="3">
        <f>IF(($A122-Ft!B$2)&lt;0,Ft!B$3*((1-Ft!B$6)/(1+Ft!B$37*($A122-Ft!B$2)^2)+Ft!B$6*EXP(Ft!B$38*($A122-Ft!B$2)^2)),Ft!B$3*((1-Ft!B$7)/(1+Ft!B$39*($A122-Ft!B$2)^2)+Ft!B$7*EXP(Ft!B$40*($A122-Ft!B$2)^2)))</f>
        <v>5.2971959782361007E-21</v>
      </c>
      <c r="G122" s="3">
        <f>IF(($A122-Ft!C$2)&lt;0,Ft!C$3*((1-Ft!C$6)/(1+Ft!C$37*($A122-Ft!C$2)^2)+Ft!C$6*EXP(Ft!C$38*($A122-Ft!C$2)^2)),Ft!C$3*((1-Ft!C$7)/(1+Ft!C$39*($A122-Ft!C$2)^2)+Ft!C$7*EXP(Ft!C$40*($A122-Ft!C$2)^2)))</f>
        <v>3.9504978366088626</v>
      </c>
      <c r="H122" s="3">
        <f>IF(($A122-Ft!D$2)&lt;0,Ft!D$3*((1-Ft!D$6)/(1+Ft!D$37*($A122-Ft!D$2)^2)+Ft!D$6*EXP(Ft!D$38*($A122-Ft!D$2)^2)),Ft!D$3*((1-Ft!D$7)/(1+Ft!D$39*($A122-Ft!D$2)^2)+Ft!D$7*EXP(Ft!D$40*($A122-Ft!D$2)^2)))</f>
        <v>8.1824426895560389</v>
      </c>
      <c r="I122" s="3">
        <f>IF(($A122-Ft!E$2)&lt;0,Ft!E$3*((1-Ft!E$6)/(1+Ft!E$37*($A122-Ft!E$2)^2)+Ft!E$6*EXP(Ft!E$38*($A122-Ft!E$2)^2)),Ft!E$3*((1-Ft!E$7)/(1+Ft!E$39*($A122-Ft!E$2)^2)+Ft!E$7*EXP(Ft!E$40*($A122-Ft!E$2)^2)))</f>
        <v>3.0390889021227785E-3</v>
      </c>
      <c r="J122" s="3">
        <f>IF(($A122-Ft!F$2)&lt;0,Ft!F$3*((1-Ft!F$6)/(1+Ft!F$37*($A122-Ft!F$2)^2)+Ft!F$6*EXP(Ft!F$38*($A122-Ft!F$2)^2)),Ft!F$3*((1-Ft!F$7)/(1+Ft!F$39*($A122-Ft!F$2)^2)+Ft!F$7*EXP(Ft!F$40*($A122-Ft!F$2)^2)))</f>
        <v>1.1143741044988593E-67</v>
      </c>
      <c r="K122" s="3">
        <f>IF(($A122-Ft!G$2)&lt;0,Ft!G$3*((1-Ft!G$6)/(1+Ft!G$37*($A122-Ft!G$2)^2)+Ft!G$6*EXP(Ft!G$38*($A122-Ft!G$2)^2)),Ft!G$3*((1-Ft!G$7)/(1+Ft!G$39*($A122-Ft!G$2)^2)+Ft!G$7*EXP(Ft!G$40*($A122-Ft!G$2)^2)))</f>
        <v>9.7507766411099315E-268</v>
      </c>
      <c r="L122" s="3">
        <f>IF(($A122-Ft!H$2)&lt;0,Ft!H$3*((1-Ft!H$6)/(1+Ft!H$37*($A122-Ft!H$2)^2)+Ft!H$6*EXP(Ft!H$38*($A122-Ft!H$2)^2)),Ft!H$3*((1-Ft!H$7)/(1+Ft!H$39*($A122-Ft!H$2)^2)+Ft!H$7*EXP(Ft!H$40*($A122-Ft!H$2)^2)))</f>
        <v>0</v>
      </c>
      <c r="M122" s="3">
        <f>IF(($A122-Ft!I$2)&lt;0,Ft!I$3*((1-Ft!I$6)/(1+Ft!I$37*($A122-Ft!I$2)^2)+Ft!I$6*EXP(Ft!I$38*($A122-Ft!I$2)^2)),Ft!I$3*((1-Ft!I$7)/(1+Ft!I$39*($A122-Ft!I$2)^2)+Ft!I$7*EXP(Ft!I$40*($A122-Ft!I$2)^2)))</f>
        <v>0</v>
      </c>
      <c r="N122" s="3">
        <f>IF(($A122-Ft!J$2)&lt;0,Ft!J$3*((1-Ft!J$6)/(1+Ft!J$37*($A122-Ft!J$2)^2)+Ft!J$6*EXP(Ft!J$38*($A122-Ft!J$2)^2)),Ft!J$3*((1-Ft!J$7)/(1+Ft!J$39*($A122-Ft!J$2)^2)+Ft!J$7*EXP(Ft!J$40*($A122-Ft!J$2)^2)))</f>
        <v>0</v>
      </c>
      <c r="O122" s="3">
        <f>IF(($A122-Ft!K$2)&lt;0,Ft!K$3*((1-Ft!K$6)/(1+Ft!K$37*($A122-Ft!K$2)^2)+Ft!K$6*EXP(Ft!K$38*($A122-Ft!K$2)^2)),Ft!K$3*((1-Ft!K$7)/(1+Ft!K$39*($A122-Ft!K$2)^2)+Ft!K$7*EXP(Ft!K$40*($A122-Ft!K$2)^2)))</f>
        <v>0</v>
      </c>
      <c r="P122"/>
      <c r="Q122"/>
    </row>
    <row r="123" spans="1:17">
      <c r="A123">
        <v>242</v>
      </c>
      <c r="B123">
        <v>12.411267135026989</v>
      </c>
      <c r="C123" s="6">
        <f t="shared" si="3"/>
        <v>12.133514874805098</v>
      </c>
      <c r="D123" s="19">
        <f t="shared" si="4"/>
        <v>7.7146318058369384E-2</v>
      </c>
      <c r="E123" s="3">
        <f>Ft!$B$12+Ft!$B$14*(Data!A123-Vars!$B$3)</f>
        <v>0</v>
      </c>
      <c r="F123" s="3">
        <f>IF(($A123-Ft!B$2)&lt;0,Ft!B$3*((1-Ft!B$6)/(1+Ft!B$37*($A123-Ft!B$2)^2)+Ft!B$6*EXP(Ft!B$38*($A123-Ft!B$2)^2)),Ft!B$3*((1-Ft!B$7)/(1+Ft!B$39*($A123-Ft!B$2)^2)+Ft!B$7*EXP(Ft!B$40*($A123-Ft!B$2)^2)))</f>
        <v>1.9709534797594022E-21</v>
      </c>
      <c r="G123" s="3">
        <f>IF(($A123-Ft!C$2)&lt;0,Ft!C$3*((1-Ft!C$6)/(1+Ft!C$37*($A123-Ft!C$2)^2)+Ft!C$6*EXP(Ft!C$38*($A123-Ft!C$2)^2)),Ft!C$3*((1-Ft!C$7)/(1+Ft!C$39*($A123-Ft!C$2)^2)+Ft!C$7*EXP(Ft!C$40*($A123-Ft!C$2)^2)))</f>
        <v>3.8213227245223229</v>
      </c>
      <c r="H123" s="3">
        <f>IF(($A123-Ft!D$2)&lt;0,Ft!D$3*((1-Ft!D$6)/(1+Ft!D$37*($A123-Ft!D$2)^2)+Ft!D$6*EXP(Ft!D$38*($A123-Ft!D$2)^2)),Ft!D$3*((1-Ft!D$7)/(1+Ft!D$39*($A123-Ft!D$2)^2)+Ft!D$7*EXP(Ft!D$40*($A123-Ft!D$2)^2)))</f>
        <v>8.3089698373461385</v>
      </c>
      <c r="I123" s="3">
        <f>IF(($A123-Ft!E$2)&lt;0,Ft!E$3*((1-Ft!E$6)/(1+Ft!E$37*($A123-Ft!E$2)^2)+Ft!E$6*EXP(Ft!E$38*($A123-Ft!E$2)^2)),Ft!E$3*((1-Ft!E$7)/(1+Ft!E$39*($A123-Ft!E$2)^2)+Ft!E$7*EXP(Ft!E$40*($A123-Ft!E$2)^2)))</f>
        <v>3.222312936636574E-3</v>
      </c>
      <c r="J123" s="3">
        <f>IF(($A123-Ft!F$2)&lt;0,Ft!F$3*((1-Ft!F$6)/(1+Ft!F$37*($A123-Ft!F$2)^2)+Ft!F$6*EXP(Ft!F$38*($A123-Ft!F$2)^2)),Ft!F$3*((1-Ft!F$7)/(1+Ft!F$39*($A123-Ft!F$2)^2)+Ft!F$7*EXP(Ft!F$40*($A123-Ft!F$2)^2)))</f>
        <v>2.5243784333250383E-67</v>
      </c>
      <c r="K123" s="3">
        <f>IF(($A123-Ft!G$2)&lt;0,Ft!G$3*((1-Ft!G$6)/(1+Ft!G$37*($A123-Ft!G$2)^2)+Ft!G$6*EXP(Ft!G$38*($A123-Ft!G$2)^2)),Ft!G$3*((1-Ft!G$7)/(1+Ft!G$39*($A123-Ft!G$2)^2)+Ft!G$7*EXP(Ft!G$40*($A123-Ft!G$2)^2)))</f>
        <v>2.0772140415702472E-266</v>
      </c>
      <c r="L123" s="3">
        <f>IF(($A123-Ft!H$2)&lt;0,Ft!H$3*((1-Ft!H$6)/(1+Ft!H$37*($A123-Ft!H$2)^2)+Ft!H$6*EXP(Ft!H$38*($A123-Ft!H$2)^2)),Ft!H$3*((1-Ft!H$7)/(1+Ft!H$39*($A123-Ft!H$2)^2)+Ft!H$7*EXP(Ft!H$40*($A123-Ft!H$2)^2)))</f>
        <v>0</v>
      </c>
      <c r="M123" s="3">
        <f>IF(($A123-Ft!I$2)&lt;0,Ft!I$3*((1-Ft!I$6)/(1+Ft!I$37*($A123-Ft!I$2)^2)+Ft!I$6*EXP(Ft!I$38*($A123-Ft!I$2)^2)),Ft!I$3*((1-Ft!I$7)/(1+Ft!I$39*($A123-Ft!I$2)^2)+Ft!I$7*EXP(Ft!I$40*($A123-Ft!I$2)^2)))</f>
        <v>0</v>
      </c>
      <c r="N123" s="3">
        <f>IF(($A123-Ft!J$2)&lt;0,Ft!J$3*((1-Ft!J$6)/(1+Ft!J$37*($A123-Ft!J$2)^2)+Ft!J$6*EXP(Ft!J$38*($A123-Ft!J$2)^2)),Ft!J$3*((1-Ft!J$7)/(1+Ft!J$39*($A123-Ft!J$2)^2)+Ft!J$7*EXP(Ft!J$40*($A123-Ft!J$2)^2)))</f>
        <v>0</v>
      </c>
      <c r="O123" s="3">
        <f>IF(($A123-Ft!K$2)&lt;0,Ft!K$3*((1-Ft!K$6)/(1+Ft!K$37*($A123-Ft!K$2)^2)+Ft!K$6*EXP(Ft!K$38*($A123-Ft!K$2)^2)),Ft!K$3*((1-Ft!K$7)/(1+Ft!K$39*($A123-Ft!K$2)^2)+Ft!K$7*EXP(Ft!K$40*($A123-Ft!K$2)^2)))</f>
        <v>0</v>
      </c>
      <c r="P123"/>
      <c r="Q123"/>
    </row>
    <row r="124" spans="1:17">
      <c r="A124">
        <v>244</v>
      </c>
      <c r="B124">
        <v>12.404975991870998</v>
      </c>
      <c r="C124" s="6">
        <f t="shared" si="3"/>
        <v>12.133627978500602</v>
      </c>
      <c r="D124" s="19">
        <f t="shared" si="4"/>
        <v>7.3629744360060631E-2</v>
      </c>
      <c r="E124" s="3">
        <f>Ft!$B$12+Ft!$B$14*(Data!A124-Vars!$B$3)</f>
        <v>0</v>
      </c>
      <c r="F124" s="3">
        <f>IF(($A124-Ft!B$2)&lt;0,Ft!B$3*((1-Ft!B$6)/(1+Ft!B$37*($A124-Ft!B$2)^2)+Ft!B$6*EXP(Ft!B$38*($A124-Ft!B$2)^2)),Ft!B$3*((1-Ft!B$7)/(1+Ft!B$39*($A124-Ft!B$2)^2)+Ft!B$7*EXP(Ft!B$40*($A124-Ft!B$2)^2)))</f>
        <v>7.2596517503894763E-22</v>
      </c>
      <c r="G124" s="3">
        <f>IF(($A124-Ft!C$2)&lt;0,Ft!C$3*((1-Ft!C$6)/(1+Ft!C$37*($A124-Ft!C$2)^2)+Ft!C$6*EXP(Ft!C$38*($A124-Ft!C$2)^2)),Ft!C$3*((1-Ft!C$7)/(1+Ft!C$39*($A124-Ft!C$2)^2)+Ft!C$7*EXP(Ft!C$40*($A124-Ft!C$2)^2)))</f>
        <v>3.69397147842405</v>
      </c>
      <c r="H124" s="3">
        <f>IF(($A124-Ft!D$2)&lt;0,Ft!D$3*((1-Ft!D$6)/(1+Ft!D$37*($A124-Ft!D$2)^2)+Ft!D$6*EXP(Ft!D$38*($A124-Ft!D$2)^2)),Ft!D$3*((1-Ft!D$7)/(1+Ft!D$39*($A124-Ft!D$2)^2)+Ft!D$7*EXP(Ft!D$40*($A124-Ft!D$2)^2)))</f>
        <v>8.4362406045746585</v>
      </c>
      <c r="I124" s="3">
        <f>IF(($A124-Ft!E$2)&lt;0,Ft!E$3*((1-Ft!E$6)/(1+Ft!E$37*($A124-Ft!E$2)^2)+Ft!E$6*EXP(Ft!E$38*($A124-Ft!E$2)^2)),Ft!E$3*((1-Ft!E$7)/(1+Ft!E$39*($A124-Ft!E$2)^2)+Ft!E$7*EXP(Ft!E$40*($A124-Ft!E$2)^2)))</f>
        <v>3.4158955018937292E-3</v>
      </c>
      <c r="J124" s="3">
        <f>IF(($A124-Ft!F$2)&lt;0,Ft!F$3*((1-Ft!F$6)/(1+Ft!F$37*($A124-Ft!F$2)^2)+Ft!F$6*EXP(Ft!F$38*($A124-Ft!F$2)^2)),Ft!F$3*((1-Ft!F$7)/(1+Ft!F$39*($A124-Ft!F$2)^2)+Ft!F$7*EXP(Ft!F$40*($A124-Ft!F$2)^2)))</f>
        <v>5.7061500136702535E-67</v>
      </c>
      <c r="K124" s="3">
        <f>IF(($A124-Ft!G$2)&lt;0,Ft!G$3*((1-Ft!G$6)/(1+Ft!G$37*($A124-Ft!G$2)^2)+Ft!G$6*EXP(Ft!G$38*($A124-Ft!G$2)^2)),Ft!G$3*((1-Ft!G$7)/(1+Ft!G$39*($A124-Ft!G$2)^2)+Ft!G$7*EXP(Ft!G$40*($A124-Ft!G$2)^2)))</f>
        <v>4.3915741823889911E-265</v>
      </c>
      <c r="L124" s="3">
        <f>IF(($A124-Ft!H$2)&lt;0,Ft!H$3*((1-Ft!H$6)/(1+Ft!H$37*($A124-Ft!H$2)^2)+Ft!H$6*EXP(Ft!H$38*($A124-Ft!H$2)^2)),Ft!H$3*((1-Ft!H$7)/(1+Ft!H$39*($A124-Ft!H$2)^2)+Ft!H$7*EXP(Ft!H$40*($A124-Ft!H$2)^2)))</f>
        <v>0</v>
      </c>
      <c r="M124" s="3">
        <f>IF(($A124-Ft!I$2)&lt;0,Ft!I$3*((1-Ft!I$6)/(1+Ft!I$37*($A124-Ft!I$2)^2)+Ft!I$6*EXP(Ft!I$38*($A124-Ft!I$2)^2)),Ft!I$3*((1-Ft!I$7)/(1+Ft!I$39*($A124-Ft!I$2)^2)+Ft!I$7*EXP(Ft!I$40*($A124-Ft!I$2)^2)))</f>
        <v>0</v>
      </c>
      <c r="N124" s="3">
        <f>IF(($A124-Ft!J$2)&lt;0,Ft!J$3*((1-Ft!J$6)/(1+Ft!J$37*($A124-Ft!J$2)^2)+Ft!J$6*EXP(Ft!J$38*($A124-Ft!J$2)^2)),Ft!J$3*((1-Ft!J$7)/(1+Ft!J$39*($A124-Ft!J$2)^2)+Ft!J$7*EXP(Ft!J$40*($A124-Ft!J$2)^2)))</f>
        <v>0</v>
      </c>
      <c r="O124" s="3">
        <f>IF(($A124-Ft!K$2)&lt;0,Ft!K$3*((1-Ft!K$6)/(1+Ft!K$37*($A124-Ft!K$2)^2)+Ft!K$6*EXP(Ft!K$38*($A124-Ft!K$2)^2)),Ft!K$3*((1-Ft!K$7)/(1+Ft!K$39*($A124-Ft!K$2)^2)+Ft!K$7*EXP(Ft!K$40*($A124-Ft!K$2)^2)))</f>
        <v>0</v>
      </c>
      <c r="P124"/>
      <c r="Q124"/>
    </row>
    <row r="125" spans="1:17">
      <c r="A125">
        <v>246</v>
      </c>
      <c r="B125">
        <v>12.399638454913998</v>
      </c>
      <c r="C125" s="6">
        <f t="shared" si="3"/>
        <v>12.136395820355572</v>
      </c>
      <c r="D125" s="19">
        <f t="shared" si="4"/>
        <v>6.929668464926067E-2</v>
      </c>
      <c r="E125" s="3">
        <f>Ft!$B$12+Ft!$B$14*(Data!A125-Vars!$B$3)</f>
        <v>0</v>
      </c>
      <c r="F125" s="3">
        <f>IF(($A125-Ft!B$2)&lt;0,Ft!B$3*((1-Ft!B$6)/(1+Ft!B$37*($A125-Ft!B$2)^2)+Ft!B$6*EXP(Ft!B$38*($A125-Ft!B$2)^2)),Ft!B$3*((1-Ft!B$7)/(1+Ft!B$39*($A125-Ft!B$2)^2)+Ft!B$7*EXP(Ft!B$40*($A125-Ft!B$2)^2)))</f>
        <v>2.6470630318049906E-22</v>
      </c>
      <c r="G125" s="3">
        <f>IF(($A125-Ft!C$2)&lt;0,Ft!C$3*((1-Ft!C$6)/(1+Ft!C$37*($A125-Ft!C$2)^2)+Ft!C$6*EXP(Ft!C$38*($A125-Ft!C$2)^2)),Ft!C$3*((1-Ft!C$7)/(1+Ft!C$39*($A125-Ft!C$2)^2)+Ft!C$7*EXP(Ft!C$40*($A125-Ft!C$2)^2)))</f>
        <v>3.5685459313969567</v>
      </c>
      <c r="H125" s="3">
        <f>IF(($A125-Ft!D$2)&lt;0,Ft!D$3*((1-Ft!D$6)/(1+Ft!D$37*($A125-Ft!D$2)^2)+Ft!D$6*EXP(Ft!D$38*($A125-Ft!D$2)^2)),Ft!D$3*((1-Ft!D$7)/(1+Ft!D$39*($A125-Ft!D$2)^2)+Ft!D$7*EXP(Ft!D$40*($A125-Ft!D$2)^2)))</f>
        <v>8.5642295103576433</v>
      </c>
      <c r="I125" s="3">
        <f>IF(($A125-Ft!E$2)&lt;0,Ft!E$3*((1-Ft!E$6)/(1+Ft!E$37*($A125-Ft!E$2)^2)+Ft!E$6*EXP(Ft!E$38*($A125-Ft!E$2)^2)),Ft!E$3*((1-Ft!E$7)/(1+Ft!E$39*($A125-Ft!E$2)^2)+Ft!E$7*EXP(Ft!E$40*($A125-Ft!E$2)^2)))</f>
        <v>3.6203786009724901E-3</v>
      </c>
      <c r="J125" s="3">
        <f>IF(($A125-Ft!F$2)&lt;0,Ft!F$3*((1-Ft!F$6)/(1+Ft!F$37*($A125-Ft!F$2)^2)+Ft!F$6*EXP(Ft!F$38*($A125-Ft!F$2)^2)),Ft!F$3*((1-Ft!F$7)/(1+Ft!F$39*($A125-Ft!F$2)^2)+Ft!F$7*EXP(Ft!F$40*($A125-Ft!F$2)^2)))</f>
        <v>1.2870552277736444E-66</v>
      </c>
      <c r="K125" s="3">
        <f>IF(($A125-Ft!G$2)&lt;0,Ft!G$3*((1-Ft!G$6)/(1+Ft!G$37*($A125-Ft!G$2)^2)+Ft!G$6*EXP(Ft!G$38*($A125-Ft!G$2)^2)),Ft!G$3*((1-Ft!G$7)/(1+Ft!G$39*($A125-Ft!G$2)^2)+Ft!G$7*EXP(Ft!G$40*($A125-Ft!G$2)^2)))</f>
        <v>9.2141680544405769E-264</v>
      </c>
      <c r="L125" s="3">
        <f>IF(($A125-Ft!H$2)&lt;0,Ft!H$3*((1-Ft!H$6)/(1+Ft!H$37*($A125-Ft!H$2)^2)+Ft!H$6*EXP(Ft!H$38*($A125-Ft!H$2)^2)),Ft!H$3*((1-Ft!H$7)/(1+Ft!H$39*($A125-Ft!H$2)^2)+Ft!H$7*EXP(Ft!H$40*($A125-Ft!H$2)^2)))</f>
        <v>0</v>
      </c>
      <c r="M125" s="3">
        <f>IF(($A125-Ft!I$2)&lt;0,Ft!I$3*((1-Ft!I$6)/(1+Ft!I$37*($A125-Ft!I$2)^2)+Ft!I$6*EXP(Ft!I$38*($A125-Ft!I$2)^2)),Ft!I$3*((1-Ft!I$7)/(1+Ft!I$39*($A125-Ft!I$2)^2)+Ft!I$7*EXP(Ft!I$40*($A125-Ft!I$2)^2)))</f>
        <v>0</v>
      </c>
      <c r="N125" s="3">
        <f>IF(($A125-Ft!J$2)&lt;0,Ft!J$3*((1-Ft!J$6)/(1+Ft!J$37*($A125-Ft!J$2)^2)+Ft!J$6*EXP(Ft!J$38*($A125-Ft!J$2)^2)),Ft!J$3*((1-Ft!J$7)/(1+Ft!J$39*($A125-Ft!J$2)^2)+Ft!J$7*EXP(Ft!J$40*($A125-Ft!J$2)^2)))</f>
        <v>0</v>
      </c>
      <c r="O125" s="3">
        <f>IF(($A125-Ft!K$2)&lt;0,Ft!K$3*((1-Ft!K$6)/(1+Ft!K$37*($A125-Ft!K$2)^2)+Ft!K$6*EXP(Ft!K$38*($A125-Ft!K$2)^2)),Ft!K$3*((1-Ft!K$7)/(1+Ft!K$39*($A125-Ft!K$2)^2)+Ft!K$7*EXP(Ft!K$40*($A125-Ft!K$2)^2)))</f>
        <v>0</v>
      </c>
      <c r="P125"/>
      <c r="Q125"/>
    </row>
    <row r="126" spans="1:17">
      <c r="A126">
        <v>248</v>
      </c>
      <c r="B126">
        <v>12.395870080853996</v>
      </c>
      <c r="C126" s="6">
        <f t="shared" si="3"/>
        <v>12.141887507383943</v>
      </c>
      <c r="D126" s="19">
        <f t="shared" si="4"/>
        <v>6.4507147626470612E-2</v>
      </c>
      <c r="E126" s="3">
        <f>Ft!$B$12+Ft!$B$14*(Data!A126-Vars!$B$3)</f>
        <v>0</v>
      </c>
      <c r="F126" s="3">
        <f>IF(($A126-Ft!B$2)&lt;0,Ft!B$3*((1-Ft!B$6)/(1+Ft!B$37*($A126-Ft!B$2)^2)+Ft!B$6*EXP(Ft!B$38*($A126-Ft!B$2)^2)),Ft!B$3*((1-Ft!B$7)/(1+Ft!B$39*($A126-Ft!B$2)^2)+Ft!B$7*EXP(Ft!B$40*($A126-Ft!B$2)^2)))</f>
        <v>9.554805673247337E-23</v>
      </c>
      <c r="G126" s="3">
        <f>IF(($A126-Ft!C$2)&lt;0,Ft!C$3*((1-Ft!C$6)/(1+Ft!C$37*($A126-Ft!C$2)^2)+Ft!C$6*EXP(Ft!C$38*($A126-Ft!C$2)^2)),Ft!C$3*((1-Ft!C$7)/(1+Ft!C$39*($A126-Ft!C$2)^2)+Ft!C$7*EXP(Ft!C$40*($A126-Ft!C$2)^2)))</f>
        <v>3.4451408040901752</v>
      </c>
      <c r="H126" s="3">
        <f>IF(($A126-Ft!D$2)&lt;0,Ft!D$3*((1-Ft!D$6)/(1+Ft!D$37*($A126-Ft!D$2)^2)+Ft!D$6*EXP(Ft!D$38*($A126-Ft!D$2)^2)),Ft!D$3*((1-Ft!D$7)/(1+Ft!D$39*($A126-Ft!D$2)^2)+Ft!D$7*EXP(Ft!D$40*($A126-Ft!D$2)^2)))</f>
        <v>8.6929103733346018</v>
      </c>
      <c r="I126" s="3">
        <f>IF(($A126-Ft!E$2)&lt;0,Ft!E$3*((1-Ft!E$6)/(1+Ft!E$37*($A126-Ft!E$2)^2)+Ft!E$6*EXP(Ft!E$38*($A126-Ft!E$2)^2)),Ft!E$3*((1-Ft!E$7)/(1+Ft!E$39*($A126-Ft!E$2)^2)+Ft!E$7*EXP(Ft!E$40*($A126-Ft!E$2)^2)))</f>
        <v>3.8363299591653668E-3</v>
      </c>
      <c r="J126" s="3">
        <f>IF(($A126-Ft!F$2)&lt;0,Ft!F$3*((1-Ft!F$6)/(1+Ft!F$37*($A126-Ft!F$2)^2)+Ft!F$6*EXP(Ft!F$38*($A126-Ft!F$2)^2)),Ft!F$3*((1-Ft!F$7)/(1+Ft!F$39*($A126-Ft!F$2)^2)+Ft!F$7*EXP(Ft!F$40*($A126-Ft!F$2)^2)))</f>
        <v>2.8967862813494806E-66</v>
      </c>
      <c r="K126" s="3">
        <f>IF(($A126-Ft!G$2)&lt;0,Ft!G$3*((1-Ft!G$6)/(1+Ft!G$37*($A126-Ft!G$2)^2)+Ft!G$6*EXP(Ft!G$38*($A126-Ft!G$2)^2)),Ft!G$3*((1-Ft!G$7)/(1+Ft!G$39*($A126-Ft!G$2)^2)+Ft!G$7*EXP(Ft!G$40*($A126-Ft!G$2)^2)))</f>
        <v>1.9186199977971473E-262</v>
      </c>
      <c r="L126" s="3">
        <f>IF(($A126-Ft!H$2)&lt;0,Ft!H$3*((1-Ft!H$6)/(1+Ft!H$37*($A126-Ft!H$2)^2)+Ft!H$6*EXP(Ft!H$38*($A126-Ft!H$2)^2)),Ft!H$3*((1-Ft!H$7)/(1+Ft!H$39*($A126-Ft!H$2)^2)+Ft!H$7*EXP(Ft!H$40*($A126-Ft!H$2)^2)))</f>
        <v>0</v>
      </c>
      <c r="M126" s="3">
        <f>IF(($A126-Ft!I$2)&lt;0,Ft!I$3*((1-Ft!I$6)/(1+Ft!I$37*($A126-Ft!I$2)^2)+Ft!I$6*EXP(Ft!I$38*($A126-Ft!I$2)^2)),Ft!I$3*((1-Ft!I$7)/(1+Ft!I$39*($A126-Ft!I$2)^2)+Ft!I$7*EXP(Ft!I$40*($A126-Ft!I$2)^2)))</f>
        <v>0</v>
      </c>
      <c r="N126" s="3">
        <f>IF(($A126-Ft!J$2)&lt;0,Ft!J$3*((1-Ft!J$6)/(1+Ft!J$37*($A126-Ft!J$2)^2)+Ft!J$6*EXP(Ft!J$38*($A126-Ft!J$2)^2)),Ft!J$3*((1-Ft!J$7)/(1+Ft!J$39*($A126-Ft!J$2)^2)+Ft!J$7*EXP(Ft!J$40*($A126-Ft!J$2)^2)))</f>
        <v>0</v>
      </c>
      <c r="O126" s="3">
        <f>IF(($A126-Ft!K$2)&lt;0,Ft!K$3*((1-Ft!K$6)/(1+Ft!K$37*($A126-Ft!K$2)^2)+Ft!K$6*EXP(Ft!K$38*($A126-Ft!K$2)^2)),Ft!K$3*((1-Ft!K$7)/(1+Ft!K$39*($A126-Ft!K$2)^2)+Ft!K$7*EXP(Ft!K$40*($A126-Ft!K$2)^2)))</f>
        <v>0</v>
      </c>
      <c r="P126"/>
      <c r="Q126"/>
    </row>
    <row r="127" spans="1:17">
      <c r="A127">
        <v>250</v>
      </c>
      <c r="B127">
        <v>12.394286426392995</v>
      </c>
      <c r="C127" s="6">
        <f t="shared" si="3"/>
        <v>12.150164364706775</v>
      </c>
      <c r="D127" s="19">
        <f t="shared" si="4"/>
        <v>5.9595581001930423E-2</v>
      </c>
      <c r="E127" s="3">
        <f>Ft!$B$12+Ft!$B$14*(Data!A127-Vars!$B$3)</f>
        <v>0</v>
      </c>
      <c r="F127" s="3">
        <f>IF(($A127-Ft!B$2)&lt;0,Ft!B$3*((1-Ft!B$6)/(1+Ft!B$37*($A127-Ft!B$2)^2)+Ft!B$6*EXP(Ft!B$38*($A127-Ft!B$2)^2)),Ft!B$3*((1-Ft!B$7)/(1+Ft!B$39*($A127-Ft!B$2)^2)+Ft!B$7*EXP(Ft!B$40*($A127-Ft!B$2)^2)))</f>
        <v>3.4141965219468731E-23</v>
      </c>
      <c r="G127" s="3">
        <f>IF(($A127-Ft!C$2)&lt;0,Ft!C$3*((1-Ft!C$6)/(1+Ft!C$37*($A127-Ft!C$2)^2)+Ft!C$6*EXP(Ft!C$38*($A127-Ft!C$2)^2)),Ft!C$3*((1-Ft!C$7)/(1+Ft!C$39*($A127-Ft!C$2)^2)+Ft!C$7*EXP(Ft!C$40*($A127-Ft!C$2)^2)))</f>
        <v>3.3238437044041382</v>
      </c>
      <c r="H127" s="3">
        <f>IF(($A127-Ft!D$2)&lt;0,Ft!D$3*((1-Ft!D$6)/(1+Ft!D$37*($A127-Ft!D$2)^2)+Ft!D$6*EXP(Ft!D$38*($A127-Ft!D$2)^2)),Ft!D$3*((1-Ft!D$7)/(1+Ft!D$39*($A127-Ft!D$2)^2)+Ft!D$7*EXP(Ft!D$40*($A127-Ft!D$2)^2)))</f>
        <v>8.8222563162097209</v>
      </c>
      <c r="I127" s="3">
        <f>IF(($A127-Ft!E$2)&lt;0,Ft!E$3*((1-Ft!E$6)/(1+Ft!E$37*($A127-Ft!E$2)^2)+Ft!E$6*EXP(Ft!E$38*($A127-Ft!E$2)^2)),Ft!E$3*((1-Ft!E$7)/(1+Ft!E$39*($A127-Ft!E$2)^2)+Ft!E$7*EXP(Ft!E$40*($A127-Ft!E$2)^2)))</f>
        <v>4.0643440929155989E-3</v>
      </c>
      <c r="J127" s="3">
        <f>IF(($A127-Ft!F$2)&lt;0,Ft!F$3*((1-Ft!F$6)/(1+Ft!F$37*($A127-Ft!F$2)^2)+Ft!F$6*EXP(Ft!F$38*($A127-Ft!F$2)^2)),Ft!F$3*((1-Ft!F$7)/(1+Ft!F$39*($A127-Ft!F$2)^2)+Ft!F$7*EXP(Ft!F$40*($A127-Ft!F$2)^2)))</f>
        <v>6.5058043919492607E-66</v>
      </c>
      <c r="K127" s="3">
        <f>IF(($A127-Ft!G$2)&lt;0,Ft!G$3*((1-Ft!G$6)/(1+Ft!G$37*($A127-Ft!G$2)^2)+Ft!G$6*EXP(Ft!G$38*($A127-Ft!G$2)^2)),Ft!G$3*((1-Ft!G$7)/(1+Ft!G$39*($A127-Ft!G$2)^2)+Ft!G$7*EXP(Ft!G$40*($A127-Ft!G$2)^2)))</f>
        <v>3.9647767397641339E-261</v>
      </c>
      <c r="L127" s="3">
        <f>IF(($A127-Ft!H$2)&lt;0,Ft!H$3*((1-Ft!H$6)/(1+Ft!H$37*($A127-Ft!H$2)^2)+Ft!H$6*EXP(Ft!H$38*($A127-Ft!H$2)^2)),Ft!H$3*((1-Ft!H$7)/(1+Ft!H$39*($A127-Ft!H$2)^2)+Ft!H$7*EXP(Ft!H$40*($A127-Ft!H$2)^2)))</f>
        <v>0</v>
      </c>
      <c r="M127" s="3">
        <f>IF(($A127-Ft!I$2)&lt;0,Ft!I$3*((1-Ft!I$6)/(1+Ft!I$37*($A127-Ft!I$2)^2)+Ft!I$6*EXP(Ft!I$38*($A127-Ft!I$2)^2)),Ft!I$3*((1-Ft!I$7)/(1+Ft!I$39*($A127-Ft!I$2)^2)+Ft!I$7*EXP(Ft!I$40*($A127-Ft!I$2)^2)))</f>
        <v>0</v>
      </c>
      <c r="N127" s="3">
        <f>IF(($A127-Ft!J$2)&lt;0,Ft!J$3*((1-Ft!J$6)/(1+Ft!J$37*($A127-Ft!J$2)^2)+Ft!J$6*EXP(Ft!J$38*($A127-Ft!J$2)^2)),Ft!J$3*((1-Ft!J$7)/(1+Ft!J$39*($A127-Ft!J$2)^2)+Ft!J$7*EXP(Ft!J$40*($A127-Ft!J$2)^2)))</f>
        <v>0</v>
      </c>
      <c r="O127" s="3">
        <f>IF(($A127-Ft!K$2)&lt;0,Ft!K$3*((1-Ft!K$6)/(1+Ft!K$37*($A127-Ft!K$2)^2)+Ft!K$6*EXP(Ft!K$38*($A127-Ft!K$2)^2)),Ft!K$3*((1-Ft!K$7)/(1+Ft!K$39*($A127-Ft!K$2)^2)+Ft!K$7*EXP(Ft!K$40*($A127-Ft!K$2)^2)))</f>
        <v>0</v>
      </c>
      <c r="P127"/>
      <c r="Q127"/>
    </row>
    <row r="128" spans="1:17">
      <c r="A128">
        <v>252</v>
      </c>
      <c r="B128">
        <v>12.395503048229997</v>
      </c>
      <c r="C128" s="6">
        <f t="shared" si="3"/>
        <v>12.161279964153561</v>
      </c>
      <c r="D128" s="19">
        <f t="shared" si="4"/>
        <v>5.4860453114277466E-2</v>
      </c>
      <c r="E128" s="3">
        <f>Ft!$B$12+Ft!$B$14*(Data!A128-Vars!$B$3)</f>
        <v>0</v>
      </c>
      <c r="F128" s="3">
        <f>IF(($A128-Ft!B$2)&lt;0,Ft!B$3*((1-Ft!B$6)/(1+Ft!B$37*($A128-Ft!B$2)^2)+Ft!B$6*EXP(Ft!B$38*($A128-Ft!B$2)^2)),Ft!B$3*((1-Ft!B$7)/(1+Ft!B$39*($A128-Ft!B$2)^2)+Ft!B$7*EXP(Ft!B$40*($A128-Ft!B$2)^2)))</f>
        <v>1.207714424418876E-23</v>
      </c>
      <c r="G128" s="3">
        <f>IF(($A128-Ft!C$2)&lt;0,Ft!C$3*((1-Ft!C$6)/(1+Ft!C$37*($A128-Ft!C$2)^2)+Ft!C$6*EXP(Ft!C$38*($A128-Ft!C$2)^2)),Ft!C$3*((1-Ft!C$7)/(1+Ft!C$39*($A128-Ft!C$2)^2)+Ft!C$7*EXP(Ft!C$40*($A128-Ft!C$2)^2)))</f>
        <v>3.204735149873108</v>
      </c>
      <c r="H128" s="3">
        <f>IF(($A128-Ft!D$2)&lt;0,Ft!D$3*((1-Ft!D$6)/(1+Ft!D$37*($A128-Ft!D$2)^2)+Ft!D$6*EXP(Ft!D$38*($A128-Ft!D$2)^2)),Ft!D$3*((1-Ft!D$7)/(1+Ft!D$39*($A128-Ft!D$2)^2)+Ft!D$7*EXP(Ft!D$40*($A128-Ft!D$2)^2)))</f>
        <v>8.9522397708655959</v>
      </c>
      <c r="I128" s="3">
        <f>IF(($A128-Ft!E$2)&lt;0,Ft!E$3*((1-Ft!E$6)/(1+Ft!E$37*($A128-Ft!E$2)^2)+Ft!E$6*EXP(Ft!E$38*($A128-Ft!E$2)^2)),Ft!E$3*((1-Ft!E$7)/(1+Ft!E$39*($A128-Ft!E$2)^2)+Ft!E$7*EXP(Ft!E$40*($A128-Ft!E$2)^2)))</f>
        <v>4.3050434148569402E-3</v>
      </c>
      <c r="J128" s="3">
        <f>IF(($A128-Ft!F$2)&lt;0,Ft!F$3*((1-Ft!F$6)/(1+Ft!F$37*($A128-Ft!F$2)^2)+Ft!F$6*EXP(Ft!F$38*($A128-Ft!F$2)^2)),Ft!F$3*((1-Ft!F$7)/(1+Ft!F$39*($A128-Ft!F$2)^2)+Ft!F$7*EXP(Ft!F$40*($A128-Ft!F$2)^2)))</f>
        <v>1.4579774996818369E-65</v>
      </c>
      <c r="K128" s="3">
        <f>IF(($A128-Ft!G$2)&lt;0,Ft!G$3*((1-Ft!G$6)/(1+Ft!G$37*($A128-Ft!G$2)^2)+Ft!G$6*EXP(Ft!G$38*($A128-Ft!G$2)^2)),Ft!G$3*((1-Ft!G$7)/(1+Ft!G$39*($A128-Ft!G$2)^2)+Ft!G$7*EXP(Ft!G$40*($A128-Ft!G$2)^2)))</f>
        <v>8.1310276699058517E-260</v>
      </c>
      <c r="L128" s="3">
        <f>IF(($A128-Ft!H$2)&lt;0,Ft!H$3*((1-Ft!H$6)/(1+Ft!H$37*($A128-Ft!H$2)^2)+Ft!H$6*EXP(Ft!H$38*($A128-Ft!H$2)^2)),Ft!H$3*((1-Ft!H$7)/(1+Ft!H$39*($A128-Ft!H$2)^2)+Ft!H$7*EXP(Ft!H$40*($A128-Ft!H$2)^2)))</f>
        <v>0</v>
      </c>
      <c r="M128" s="3">
        <f>IF(($A128-Ft!I$2)&lt;0,Ft!I$3*((1-Ft!I$6)/(1+Ft!I$37*($A128-Ft!I$2)^2)+Ft!I$6*EXP(Ft!I$38*($A128-Ft!I$2)^2)),Ft!I$3*((1-Ft!I$7)/(1+Ft!I$39*($A128-Ft!I$2)^2)+Ft!I$7*EXP(Ft!I$40*($A128-Ft!I$2)^2)))</f>
        <v>0</v>
      </c>
      <c r="N128" s="3">
        <f>IF(($A128-Ft!J$2)&lt;0,Ft!J$3*((1-Ft!J$6)/(1+Ft!J$37*($A128-Ft!J$2)^2)+Ft!J$6*EXP(Ft!J$38*($A128-Ft!J$2)^2)),Ft!J$3*((1-Ft!J$7)/(1+Ft!J$39*($A128-Ft!J$2)^2)+Ft!J$7*EXP(Ft!J$40*($A128-Ft!J$2)^2)))</f>
        <v>0</v>
      </c>
      <c r="O128" s="3">
        <f>IF(($A128-Ft!K$2)&lt;0,Ft!K$3*((1-Ft!K$6)/(1+Ft!K$37*($A128-Ft!K$2)^2)+Ft!K$6*EXP(Ft!K$38*($A128-Ft!K$2)^2)),Ft!K$3*((1-Ft!K$7)/(1+Ft!K$39*($A128-Ft!K$2)^2)+Ft!K$7*EXP(Ft!K$40*($A128-Ft!K$2)^2)))</f>
        <v>0</v>
      </c>
      <c r="P128"/>
      <c r="Q128"/>
    </row>
    <row r="129" spans="1:17">
      <c r="A129">
        <v>254</v>
      </c>
      <c r="B129">
        <v>12.399443101185994</v>
      </c>
      <c r="C129" s="6">
        <f t="shared" si="3"/>
        <v>12.175280175304199</v>
      </c>
      <c r="D129" s="19">
        <f t="shared" si="4"/>
        <v>5.0249017339887507E-2</v>
      </c>
      <c r="E129" s="3">
        <f>Ft!$B$12+Ft!$B$14*(Data!A129-Vars!$B$3)</f>
        <v>0</v>
      </c>
      <c r="F129" s="3">
        <f>IF(($A129-Ft!B$2)&lt;0,Ft!B$3*((1-Ft!B$6)/(1+Ft!B$37*($A129-Ft!B$2)^2)+Ft!B$6*EXP(Ft!B$38*($A129-Ft!B$2)^2)),Ft!B$3*((1-Ft!B$7)/(1+Ft!B$39*($A129-Ft!B$2)^2)+Ft!B$7*EXP(Ft!B$40*($A129-Ft!B$2)^2)))</f>
        <v>4.2291108829371403E-24</v>
      </c>
      <c r="G129" s="3">
        <f>IF(($A129-Ft!C$2)&lt;0,Ft!C$3*((1-Ft!C$6)/(1+Ft!C$37*($A129-Ft!C$2)^2)+Ft!C$6*EXP(Ft!C$38*($A129-Ft!C$2)^2)),Ft!C$3*((1-Ft!C$7)/(1+Ft!C$39*($A129-Ft!C$2)^2)+Ft!C$7*EXP(Ft!C$40*($A129-Ft!C$2)^2)))</f>
        <v>3.0878886118748441</v>
      </c>
      <c r="H129" s="3">
        <f>IF(($A129-Ft!D$2)&lt;0,Ft!D$3*((1-Ft!D$6)/(1+Ft!D$37*($A129-Ft!D$2)^2)+Ft!D$6*EXP(Ft!D$38*($A129-Ft!D$2)^2)),Ft!D$3*((1-Ft!D$7)/(1+Ft!D$39*($A129-Ft!D$2)^2)+Ft!D$7*EXP(Ft!D$40*($A129-Ft!D$2)^2)))</f>
        <v>9.0828324840536183</v>
      </c>
      <c r="I129" s="3">
        <f>IF(($A129-Ft!E$2)&lt;0,Ft!E$3*((1-Ft!E$6)/(1+Ft!E$37*($A129-Ft!E$2)^2)+Ft!E$6*EXP(Ft!E$38*($A129-Ft!E$2)^2)),Ft!E$3*((1-Ft!E$7)/(1+Ft!E$39*($A129-Ft!E$2)^2)+Ft!E$7*EXP(Ft!E$40*($A129-Ft!E$2)^2)))</f>
        <v>4.5590793757359846E-3</v>
      </c>
      <c r="J129" s="3">
        <f>IF(($A129-Ft!F$2)&lt;0,Ft!F$3*((1-Ft!F$6)/(1+Ft!F$37*($A129-Ft!F$2)^2)+Ft!F$6*EXP(Ft!F$38*($A129-Ft!F$2)^2)),Ft!F$3*((1-Ft!F$7)/(1+Ft!F$39*($A129-Ft!F$2)^2)+Ft!F$7*EXP(Ft!F$40*($A129-Ft!F$2)^2)))</f>
        <v>3.2603627026933647E-65</v>
      </c>
      <c r="K129" s="3">
        <f>IF(($A129-Ft!G$2)&lt;0,Ft!G$3*((1-Ft!G$6)/(1+Ft!G$37*($A129-Ft!G$2)^2)+Ft!G$6*EXP(Ft!G$38*($A129-Ft!G$2)^2)),Ft!G$3*((1-Ft!G$7)/(1+Ft!G$39*($A129-Ft!G$2)^2)+Ft!G$7*EXP(Ft!G$40*($A129-Ft!G$2)^2)))</f>
        <v>1.6548897775191973E-258</v>
      </c>
      <c r="L129" s="3">
        <f>IF(($A129-Ft!H$2)&lt;0,Ft!H$3*((1-Ft!H$6)/(1+Ft!H$37*($A129-Ft!H$2)^2)+Ft!H$6*EXP(Ft!H$38*($A129-Ft!H$2)^2)),Ft!H$3*((1-Ft!H$7)/(1+Ft!H$39*($A129-Ft!H$2)^2)+Ft!H$7*EXP(Ft!H$40*($A129-Ft!H$2)^2)))</f>
        <v>0</v>
      </c>
      <c r="M129" s="3">
        <f>IF(($A129-Ft!I$2)&lt;0,Ft!I$3*((1-Ft!I$6)/(1+Ft!I$37*($A129-Ft!I$2)^2)+Ft!I$6*EXP(Ft!I$38*($A129-Ft!I$2)^2)),Ft!I$3*((1-Ft!I$7)/(1+Ft!I$39*($A129-Ft!I$2)^2)+Ft!I$7*EXP(Ft!I$40*($A129-Ft!I$2)^2)))</f>
        <v>0</v>
      </c>
      <c r="N129" s="3">
        <f>IF(($A129-Ft!J$2)&lt;0,Ft!J$3*((1-Ft!J$6)/(1+Ft!J$37*($A129-Ft!J$2)^2)+Ft!J$6*EXP(Ft!J$38*($A129-Ft!J$2)^2)),Ft!J$3*((1-Ft!J$7)/(1+Ft!J$39*($A129-Ft!J$2)^2)+Ft!J$7*EXP(Ft!J$40*($A129-Ft!J$2)^2)))</f>
        <v>0</v>
      </c>
      <c r="O129" s="3">
        <f>IF(($A129-Ft!K$2)&lt;0,Ft!K$3*((1-Ft!K$6)/(1+Ft!K$37*($A129-Ft!K$2)^2)+Ft!K$6*EXP(Ft!K$38*($A129-Ft!K$2)^2)),Ft!K$3*((1-Ft!K$7)/(1+Ft!K$39*($A129-Ft!K$2)^2)+Ft!K$7*EXP(Ft!K$40*($A129-Ft!K$2)^2)))</f>
        <v>0</v>
      </c>
      <c r="P129"/>
      <c r="Q129"/>
    </row>
    <row r="130" spans="1:17">
      <c r="A130">
        <v>256</v>
      </c>
      <c r="B130">
        <v>12.402688099304996</v>
      </c>
      <c r="C130" s="6">
        <f t="shared" si="3"/>
        <v>12.192203238038712</v>
      </c>
      <c r="D130" s="19">
        <f t="shared" si="4"/>
        <v>4.4303876822286897E-2</v>
      </c>
      <c r="E130" s="3">
        <f>Ft!$B$12+Ft!$B$14*(Data!A130-Vars!$B$3)</f>
        <v>0</v>
      </c>
      <c r="F130" s="3">
        <f>IF(($A130-Ft!B$2)&lt;0,Ft!B$3*((1-Ft!B$6)/(1+Ft!B$37*($A130-Ft!B$2)^2)+Ft!B$6*EXP(Ft!B$38*($A130-Ft!B$2)^2)),Ft!B$3*((1-Ft!B$7)/(1+Ft!B$39*($A130-Ft!B$2)^2)+Ft!B$7*EXP(Ft!B$40*($A130-Ft!B$2)^2)))</f>
        <v>1.4660303852336903E-24</v>
      </c>
      <c r="G130" s="3">
        <f>IF(($A130-Ft!C$2)&lt;0,Ft!C$3*((1-Ft!C$6)/(1+Ft!C$37*($A130-Ft!C$2)^2)+Ft!C$6*EXP(Ft!C$38*($A130-Ft!C$2)^2)),Ft!C$3*((1-Ft!C$7)/(1+Ft!C$39*($A130-Ft!C$2)^2)+Ft!C$7*EXP(Ft!C$40*($A130-Ft!C$2)^2)))</f>
        <v>2.973370580730053</v>
      </c>
      <c r="H130" s="3">
        <f>IF(($A130-Ft!D$2)&lt;0,Ft!D$3*((1-Ft!D$6)/(1+Ft!D$37*($A130-Ft!D$2)^2)+Ft!D$6*EXP(Ft!D$38*($A130-Ft!D$2)^2)),Ft!D$3*((1-Ft!D$7)/(1+Ft!D$39*($A130-Ft!D$2)^2)+Ft!D$7*EXP(Ft!D$40*($A130-Ft!D$2)^2)))</f>
        <v>9.2140055236646692</v>
      </c>
      <c r="I130" s="3">
        <f>IF(($A130-Ft!E$2)&lt;0,Ft!E$3*((1-Ft!E$6)/(1+Ft!E$37*($A130-Ft!E$2)^2)+Ft!E$6*EXP(Ft!E$38*($A130-Ft!E$2)^2)),Ft!E$3*((1-Ft!E$7)/(1+Ft!E$39*($A130-Ft!E$2)^2)+Ft!E$7*EXP(Ft!E$40*($A130-Ft!E$2)^2)))</f>
        <v>4.827133643988955E-3</v>
      </c>
      <c r="J130" s="3">
        <f>IF(($A130-Ft!F$2)&lt;0,Ft!F$3*((1-Ft!F$6)/(1+Ft!F$37*($A130-Ft!F$2)^2)+Ft!F$6*EXP(Ft!F$38*($A130-Ft!F$2)^2)),Ft!F$3*((1-Ft!F$7)/(1+Ft!F$39*($A130-Ft!F$2)^2)+Ft!F$7*EXP(Ft!F$40*($A130-Ft!F$2)^2)))</f>
        <v>7.2752225846295041E-65</v>
      </c>
      <c r="K130" s="3">
        <f>IF(($A130-Ft!G$2)&lt;0,Ft!G$3*((1-Ft!G$6)/(1+Ft!G$37*($A130-Ft!G$2)^2)+Ft!G$6*EXP(Ft!G$38*($A130-Ft!G$2)^2)),Ft!G$3*((1-Ft!G$7)/(1+Ft!G$39*($A130-Ft!G$2)^2)+Ft!G$7*EXP(Ft!G$40*($A130-Ft!G$2)^2)))</f>
        <v>3.3426402603179014E-257</v>
      </c>
      <c r="L130" s="3">
        <f>IF(($A130-Ft!H$2)&lt;0,Ft!H$3*((1-Ft!H$6)/(1+Ft!H$37*($A130-Ft!H$2)^2)+Ft!H$6*EXP(Ft!H$38*($A130-Ft!H$2)^2)),Ft!H$3*((1-Ft!H$7)/(1+Ft!H$39*($A130-Ft!H$2)^2)+Ft!H$7*EXP(Ft!H$40*($A130-Ft!H$2)^2)))</f>
        <v>0</v>
      </c>
      <c r="M130" s="3">
        <f>IF(($A130-Ft!I$2)&lt;0,Ft!I$3*((1-Ft!I$6)/(1+Ft!I$37*($A130-Ft!I$2)^2)+Ft!I$6*EXP(Ft!I$38*($A130-Ft!I$2)^2)),Ft!I$3*((1-Ft!I$7)/(1+Ft!I$39*($A130-Ft!I$2)^2)+Ft!I$7*EXP(Ft!I$40*($A130-Ft!I$2)^2)))</f>
        <v>0</v>
      </c>
      <c r="N130" s="3">
        <f>IF(($A130-Ft!J$2)&lt;0,Ft!J$3*((1-Ft!J$6)/(1+Ft!J$37*($A130-Ft!J$2)^2)+Ft!J$6*EXP(Ft!J$38*($A130-Ft!J$2)^2)),Ft!J$3*((1-Ft!J$7)/(1+Ft!J$39*($A130-Ft!J$2)^2)+Ft!J$7*EXP(Ft!J$40*($A130-Ft!J$2)^2)))</f>
        <v>0</v>
      </c>
      <c r="O130" s="3">
        <f>IF(($A130-Ft!K$2)&lt;0,Ft!K$3*((1-Ft!K$6)/(1+Ft!K$37*($A130-Ft!K$2)^2)+Ft!K$6*EXP(Ft!K$38*($A130-Ft!K$2)^2)),Ft!K$3*((1-Ft!K$7)/(1+Ft!K$39*($A130-Ft!K$2)^2)+Ft!K$7*EXP(Ft!K$40*($A130-Ft!K$2)^2)))</f>
        <v>0</v>
      </c>
      <c r="P130"/>
      <c r="Q130"/>
    </row>
    <row r="131" spans="1:17">
      <c r="A131">
        <v>258</v>
      </c>
      <c r="B131">
        <v>12.405468806098</v>
      </c>
      <c r="C131" s="6">
        <f t="shared" ref="C131:C194" si="5">SUM(E131:K131)</f>
        <v>12.212079855601312</v>
      </c>
      <c r="D131" s="19">
        <f t="shared" ref="D131:D194" si="6">(C131-B131)^2</f>
        <v>3.7399286174210497E-2</v>
      </c>
      <c r="E131" s="3">
        <f>Ft!$B$12+Ft!$B$14*(Data!A131-Vars!$B$3)</f>
        <v>0</v>
      </c>
      <c r="F131" s="3">
        <f>IF(($A131-Ft!B$2)&lt;0,Ft!B$3*((1-Ft!B$6)/(1+Ft!B$37*($A131-Ft!B$2)^2)+Ft!B$6*EXP(Ft!B$38*($A131-Ft!B$2)^2)),Ft!B$3*((1-Ft!B$7)/(1+Ft!B$39*($A131-Ft!B$2)^2)+Ft!B$7*EXP(Ft!B$40*($A131-Ft!B$2)^2)))</f>
        <v>5.0309030969689257E-25</v>
      </c>
      <c r="G131" s="3">
        <f>IF(($A131-Ft!C$2)&lt;0,Ft!C$3*((1-Ft!C$6)/(1+Ft!C$37*($A131-Ft!C$2)^2)+Ft!C$6*EXP(Ft!C$38*($A131-Ft!C$2)^2)),Ft!C$3*((1-Ft!C$7)/(1+Ft!C$39*($A131-Ft!C$2)^2)+Ft!C$7*EXP(Ft!C$40*($A131-Ft!C$2)^2)))</f>
        <v>2.8612406506943464</v>
      </c>
      <c r="H131" s="3">
        <f>IF(($A131-Ft!D$2)&lt;0,Ft!D$3*((1-Ft!D$6)/(1+Ft!D$37*($A131-Ft!D$2)^2)+Ft!D$6*EXP(Ft!D$38*($A131-Ft!D$2)^2)),Ft!D$3*((1-Ft!D$7)/(1+Ft!D$39*($A131-Ft!D$2)^2)+Ft!D$7*EXP(Ft!D$40*($A131-Ft!D$2)^2)))</f>
        <v>9.3457292855832286</v>
      </c>
      <c r="I131" s="3">
        <f>IF(($A131-Ft!E$2)&lt;0,Ft!E$3*((1-Ft!E$6)/(1+Ft!E$37*($A131-Ft!E$2)^2)+Ft!E$6*EXP(Ft!E$38*($A131-Ft!E$2)^2)),Ft!E$3*((1-Ft!E$7)/(1+Ft!E$39*($A131-Ft!E$2)^2)+Ft!E$7*EXP(Ft!E$40*($A131-Ft!E$2)^2)))</f>
        <v>5.1099193237361196E-3</v>
      </c>
      <c r="J131" s="3">
        <f>IF(($A131-Ft!F$2)&lt;0,Ft!F$3*((1-Ft!F$6)/(1+Ft!F$37*($A131-Ft!F$2)^2)+Ft!F$6*EXP(Ft!F$38*($A131-Ft!F$2)^2)),Ft!F$3*((1-Ft!F$7)/(1+Ft!F$39*($A131-Ft!F$2)^2)+Ft!F$7*EXP(Ft!F$40*($A131-Ft!F$2)^2)))</f>
        <v>1.6199138848748826E-64</v>
      </c>
      <c r="K131" s="3">
        <f>IF(($A131-Ft!G$2)&lt;0,Ft!G$3*((1-Ft!G$6)/(1+Ft!G$37*($A131-Ft!G$2)^2)+Ft!G$6*EXP(Ft!G$38*($A131-Ft!G$2)^2)),Ft!G$3*((1-Ft!G$7)/(1+Ft!G$39*($A131-Ft!G$2)^2)+Ft!G$7*EXP(Ft!G$40*($A131-Ft!G$2)^2)))</f>
        <v>6.7004988704365206E-256</v>
      </c>
      <c r="L131" s="3">
        <f>IF(($A131-Ft!H$2)&lt;0,Ft!H$3*((1-Ft!H$6)/(1+Ft!H$37*($A131-Ft!H$2)^2)+Ft!H$6*EXP(Ft!H$38*($A131-Ft!H$2)^2)),Ft!H$3*((1-Ft!H$7)/(1+Ft!H$39*($A131-Ft!H$2)^2)+Ft!H$7*EXP(Ft!H$40*($A131-Ft!H$2)^2)))</f>
        <v>0</v>
      </c>
      <c r="M131" s="3">
        <f>IF(($A131-Ft!I$2)&lt;0,Ft!I$3*((1-Ft!I$6)/(1+Ft!I$37*($A131-Ft!I$2)^2)+Ft!I$6*EXP(Ft!I$38*($A131-Ft!I$2)^2)),Ft!I$3*((1-Ft!I$7)/(1+Ft!I$39*($A131-Ft!I$2)^2)+Ft!I$7*EXP(Ft!I$40*($A131-Ft!I$2)^2)))</f>
        <v>0</v>
      </c>
      <c r="N131" s="3">
        <f>IF(($A131-Ft!J$2)&lt;0,Ft!J$3*((1-Ft!J$6)/(1+Ft!J$37*($A131-Ft!J$2)^2)+Ft!J$6*EXP(Ft!J$38*($A131-Ft!J$2)^2)),Ft!J$3*((1-Ft!J$7)/(1+Ft!J$39*($A131-Ft!J$2)^2)+Ft!J$7*EXP(Ft!J$40*($A131-Ft!J$2)^2)))</f>
        <v>0</v>
      </c>
      <c r="O131" s="3">
        <f>IF(($A131-Ft!K$2)&lt;0,Ft!K$3*((1-Ft!K$6)/(1+Ft!K$37*($A131-Ft!K$2)^2)+Ft!K$6*EXP(Ft!K$38*($A131-Ft!K$2)^2)),Ft!K$3*((1-Ft!K$7)/(1+Ft!K$39*($A131-Ft!K$2)^2)+Ft!K$7*EXP(Ft!K$40*($A131-Ft!K$2)^2)))</f>
        <v>0</v>
      </c>
      <c r="P131"/>
      <c r="Q131"/>
    </row>
    <row r="132" spans="1:17">
      <c r="A132">
        <v>260</v>
      </c>
      <c r="B132">
        <v>12.408721761246994</v>
      </c>
      <c r="C132" s="6">
        <f t="shared" si="5"/>
        <v>12.234933307132094</v>
      </c>
      <c r="D132" s="19">
        <f t="shared" si="6"/>
        <v>3.0202426783646843E-2</v>
      </c>
      <c r="E132" s="3">
        <f>Ft!$B$12+Ft!$B$14*(Data!A132-Vars!$B$3)</f>
        <v>0</v>
      </c>
      <c r="F132" s="3">
        <f>IF(($A132-Ft!B$2)&lt;0,Ft!B$3*((1-Ft!B$6)/(1+Ft!B$37*($A132-Ft!B$2)^2)+Ft!B$6*EXP(Ft!B$38*($A132-Ft!B$2)^2)),Ft!B$3*((1-Ft!B$7)/(1+Ft!B$39*($A132-Ft!B$2)^2)+Ft!B$7*EXP(Ft!B$40*($A132-Ft!B$2)^2)))</f>
        <v>1.7090627701035627E-25</v>
      </c>
      <c r="G132" s="3">
        <f>IF(($A132-Ft!C$2)&lt;0,Ft!C$3*((1-Ft!C$6)/(1+Ft!C$37*($A132-Ft!C$2)^2)+Ft!C$6*EXP(Ft!C$38*($A132-Ft!C$2)^2)),Ft!C$3*((1-Ft!C$7)/(1+Ft!C$39*($A132-Ft!C$2)^2)+Ft!C$7*EXP(Ft!C$40*($A132-Ft!C$2)^2)))</f>
        <v>2.7515516237927291</v>
      </c>
      <c r="H132" s="3">
        <f>IF(($A132-Ft!D$2)&lt;0,Ft!D$3*((1-Ft!D$6)/(1+Ft!D$37*($A132-Ft!D$2)^2)+Ft!D$6*EXP(Ft!D$38*($A132-Ft!D$2)^2)),Ft!D$3*((1-Ft!D$7)/(1+Ft!D$39*($A132-Ft!D$2)^2)+Ft!D$7*EXP(Ft!D$40*($A132-Ft!D$2)^2)))</f>
        <v>9.4779735011274191</v>
      </c>
      <c r="I132" s="3">
        <f>IF(($A132-Ft!E$2)&lt;0,Ft!E$3*((1-Ft!E$6)/(1+Ft!E$37*($A132-Ft!E$2)^2)+Ft!E$6*EXP(Ft!E$38*($A132-Ft!E$2)^2)),Ft!E$3*((1-Ft!E$7)/(1+Ft!E$39*($A132-Ft!E$2)^2)+Ft!E$7*EXP(Ft!E$40*($A132-Ft!E$2)^2)))</f>
        <v>5.4081822119464449E-3</v>
      </c>
      <c r="J132" s="3">
        <f>IF(($A132-Ft!F$2)&lt;0,Ft!F$3*((1-Ft!F$6)/(1+Ft!F$37*($A132-Ft!F$2)^2)+Ft!F$6*EXP(Ft!F$38*($A132-Ft!F$2)^2)),Ft!F$3*((1-Ft!F$7)/(1+Ft!F$39*($A132-Ft!F$2)^2)+Ft!F$7*EXP(Ft!F$40*($A132-Ft!F$2)^2)))</f>
        <v>3.5991740171942736E-64</v>
      </c>
      <c r="K132" s="3">
        <f>IF(($A132-Ft!G$2)&lt;0,Ft!G$3*((1-Ft!G$6)/(1+Ft!G$37*($A132-Ft!G$2)^2)+Ft!G$6*EXP(Ft!G$38*($A132-Ft!G$2)^2)),Ft!G$3*((1-Ft!G$7)/(1+Ft!G$39*($A132-Ft!G$2)^2)+Ft!G$7*EXP(Ft!G$40*($A132-Ft!G$2)^2)))</f>
        <v>1.3329736641757327E-254</v>
      </c>
      <c r="L132" s="3">
        <f>IF(($A132-Ft!H$2)&lt;0,Ft!H$3*((1-Ft!H$6)/(1+Ft!H$37*($A132-Ft!H$2)^2)+Ft!H$6*EXP(Ft!H$38*($A132-Ft!H$2)^2)),Ft!H$3*((1-Ft!H$7)/(1+Ft!H$39*($A132-Ft!H$2)^2)+Ft!H$7*EXP(Ft!H$40*($A132-Ft!H$2)^2)))</f>
        <v>0</v>
      </c>
      <c r="M132" s="3">
        <f>IF(($A132-Ft!I$2)&lt;0,Ft!I$3*((1-Ft!I$6)/(1+Ft!I$37*($A132-Ft!I$2)^2)+Ft!I$6*EXP(Ft!I$38*($A132-Ft!I$2)^2)),Ft!I$3*((1-Ft!I$7)/(1+Ft!I$39*($A132-Ft!I$2)^2)+Ft!I$7*EXP(Ft!I$40*($A132-Ft!I$2)^2)))</f>
        <v>0</v>
      </c>
      <c r="N132" s="3">
        <f>IF(($A132-Ft!J$2)&lt;0,Ft!J$3*((1-Ft!J$6)/(1+Ft!J$37*($A132-Ft!J$2)^2)+Ft!J$6*EXP(Ft!J$38*($A132-Ft!J$2)^2)),Ft!J$3*((1-Ft!J$7)/(1+Ft!J$39*($A132-Ft!J$2)^2)+Ft!J$7*EXP(Ft!J$40*($A132-Ft!J$2)^2)))</f>
        <v>0</v>
      </c>
      <c r="O132" s="3">
        <f>IF(($A132-Ft!K$2)&lt;0,Ft!K$3*((1-Ft!K$6)/(1+Ft!K$37*($A132-Ft!K$2)^2)+Ft!K$6*EXP(Ft!K$38*($A132-Ft!K$2)^2)),Ft!K$3*((1-Ft!K$7)/(1+Ft!K$39*($A132-Ft!K$2)^2)+Ft!K$7*EXP(Ft!K$40*($A132-Ft!K$2)^2)))</f>
        <v>0</v>
      </c>
      <c r="P132"/>
      <c r="Q132"/>
    </row>
    <row r="133" spans="1:17">
      <c r="A133">
        <v>262</v>
      </c>
      <c r="B133">
        <v>12.413383504433995</v>
      </c>
      <c r="C133" s="6">
        <f t="shared" si="5"/>
        <v>12.260779578573787</v>
      </c>
      <c r="D133" s="19">
        <f t="shared" si="6"/>
        <v>2.328795818794762E-2</v>
      </c>
      <c r="E133" s="3">
        <f>Ft!$B$12+Ft!$B$14*(Data!A133-Vars!$B$3)</f>
        <v>0</v>
      </c>
      <c r="F133" s="3">
        <f>IF(($A133-Ft!B$2)&lt;0,Ft!B$3*((1-Ft!B$6)/(1+Ft!B$37*($A133-Ft!B$2)^2)+Ft!B$6*EXP(Ft!B$38*($A133-Ft!B$2)^2)),Ft!B$3*((1-Ft!B$7)/(1+Ft!B$39*($A133-Ft!B$2)^2)+Ft!B$7*EXP(Ft!B$40*($A133-Ft!B$2)^2)))</f>
        <v>5.7475023311906456E-26</v>
      </c>
      <c r="G133" s="3">
        <f>IF(($A133-Ft!C$2)&lt;0,Ft!C$3*((1-Ft!C$6)/(1+Ft!C$37*($A133-Ft!C$2)^2)+Ft!C$6*EXP(Ft!C$38*($A133-Ft!C$2)^2)),Ft!C$3*((1-Ft!C$7)/(1+Ft!C$39*($A133-Ft!C$2)^2)+Ft!C$7*EXP(Ft!C$40*($A133-Ft!C$2)^2)))</f>
        <v>2.6443496314012487</v>
      </c>
      <c r="H133" s="3">
        <f>IF(($A133-Ft!D$2)&lt;0,Ft!D$3*((1-Ft!D$6)/(1+Ft!D$37*($A133-Ft!D$2)^2)+Ft!D$6*EXP(Ft!D$38*($A133-Ft!D$2)^2)),Ft!D$3*((1-Ft!D$7)/(1+Ft!D$39*($A133-Ft!D$2)^2)+Ft!D$7*EXP(Ft!D$40*($A133-Ft!D$2)^2)))</f>
        <v>9.610707245077025</v>
      </c>
      <c r="I133" s="3">
        <f>IF(($A133-Ft!E$2)&lt;0,Ft!E$3*((1-Ft!E$6)/(1+Ft!E$37*($A133-Ft!E$2)^2)+Ft!E$6*EXP(Ft!E$38*($A133-Ft!E$2)^2)),Ft!E$3*((1-Ft!E$7)/(1+Ft!E$39*($A133-Ft!E$2)^2)+Ft!E$7*EXP(Ft!E$40*($A133-Ft!E$2)^2)))</f>
        <v>5.7227020955125758E-3</v>
      </c>
      <c r="J133" s="3">
        <f>IF(($A133-Ft!F$2)&lt;0,Ft!F$3*((1-Ft!F$6)/(1+Ft!F$37*($A133-Ft!F$2)^2)+Ft!F$6*EXP(Ft!F$38*($A133-Ft!F$2)^2)),Ft!F$3*((1-Ft!F$7)/(1+Ft!F$39*($A133-Ft!F$2)^2)+Ft!F$7*EXP(Ft!F$40*($A133-Ft!F$2)^2)))</f>
        <v>7.97956168120635E-64</v>
      </c>
      <c r="K133" s="3">
        <f>IF(($A133-Ft!G$2)&lt;0,Ft!G$3*((1-Ft!G$6)/(1+Ft!G$37*($A133-Ft!G$2)^2)+Ft!G$6*EXP(Ft!G$38*($A133-Ft!G$2)^2)),Ft!G$3*((1-Ft!G$7)/(1+Ft!G$39*($A133-Ft!G$2)^2)+Ft!G$7*EXP(Ft!G$40*($A133-Ft!G$2)^2)))</f>
        <v>2.6316791030175724E-253</v>
      </c>
      <c r="L133" s="3">
        <f>IF(($A133-Ft!H$2)&lt;0,Ft!H$3*((1-Ft!H$6)/(1+Ft!H$37*($A133-Ft!H$2)^2)+Ft!H$6*EXP(Ft!H$38*($A133-Ft!H$2)^2)),Ft!H$3*((1-Ft!H$7)/(1+Ft!H$39*($A133-Ft!H$2)^2)+Ft!H$7*EXP(Ft!H$40*($A133-Ft!H$2)^2)))</f>
        <v>0</v>
      </c>
      <c r="M133" s="3">
        <f>IF(($A133-Ft!I$2)&lt;0,Ft!I$3*((1-Ft!I$6)/(1+Ft!I$37*($A133-Ft!I$2)^2)+Ft!I$6*EXP(Ft!I$38*($A133-Ft!I$2)^2)),Ft!I$3*((1-Ft!I$7)/(1+Ft!I$39*($A133-Ft!I$2)^2)+Ft!I$7*EXP(Ft!I$40*($A133-Ft!I$2)^2)))</f>
        <v>0</v>
      </c>
      <c r="N133" s="3">
        <f>IF(($A133-Ft!J$2)&lt;0,Ft!J$3*((1-Ft!J$6)/(1+Ft!J$37*($A133-Ft!J$2)^2)+Ft!J$6*EXP(Ft!J$38*($A133-Ft!J$2)^2)),Ft!J$3*((1-Ft!J$7)/(1+Ft!J$39*($A133-Ft!J$2)^2)+Ft!J$7*EXP(Ft!J$40*($A133-Ft!J$2)^2)))</f>
        <v>0</v>
      </c>
      <c r="O133" s="3">
        <f>IF(($A133-Ft!K$2)&lt;0,Ft!K$3*((1-Ft!K$6)/(1+Ft!K$37*($A133-Ft!K$2)^2)+Ft!K$6*EXP(Ft!K$38*($A133-Ft!K$2)^2)),Ft!K$3*((1-Ft!K$7)/(1+Ft!K$39*($A133-Ft!K$2)^2)+Ft!K$7*EXP(Ft!K$40*($A133-Ft!K$2)^2)))</f>
        <v>0</v>
      </c>
      <c r="P133"/>
      <c r="Q133"/>
    </row>
    <row r="134" spans="1:17">
      <c r="A134">
        <v>264</v>
      </c>
      <c r="B134">
        <v>12.420390575339994</v>
      </c>
      <c r="C134" s="6">
        <f t="shared" si="5"/>
        <v>12.28962751082212</v>
      </c>
      <c r="D134" s="19">
        <f t="shared" si="6"/>
        <v>1.7098979042105594E-2</v>
      </c>
      <c r="E134" s="3">
        <f>Ft!$B$12+Ft!$B$14*(Data!A134-Vars!$B$3)</f>
        <v>0</v>
      </c>
      <c r="F134" s="3">
        <f>IF(($A134-Ft!B$2)&lt;0,Ft!B$3*((1-Ft!B$6)/(1+Ft!B$37*($A134-Ft!B$2)^2)+Ft!B$6*EXP(Ft!B$38*($A134-Ft!B$2)^2)),Ft!B$3*((1-Ft!B$7)/(1+Ft!B$39*($A134-Ft!B$2)^2)+Ft!B$7*EXP(Ft!B$40*($A134-Ft!B$2)^2)))</f>
        <v>1.9134159039635411E-26</v>
      </c>
      <c r="G134" s="3">
        <f>IF(($A134-Ft!C$2)&lt;0,Ft!C$3*((1-Ft!C$6)/(1+Ft!C$37*($A134-Ft!C$2)^2)+Ft!C$6*EXP(Ft!C$38*($A134-Ft!C$2)^2)),Ft!C$3*((1-Ft!C$7)/(1+Ft!C$39*($A134-Ft!C$2)^2)+Ft!C$7*EXP(Ft!C$40*($A134-Ft!C$2)^2)))</f>
        <v>2.5396742724422654</v>
      </c>
      <c r="H134" s="3">
        <f>IF(($A134-Ft!D$2)&lt;0,Ft!D$3*((1-Ft!D$6)/(1+Ft!D$37*($A134-Ft!D$2)^2)+Ft!D$6*EXP(Ft!D$38*($A134-Ft!D$2)^2)),Ft!D$3*((1-Ft!D$7)/(1+Ft!D$39*($A134-Ft!D$2)^2)+Ft!D$7*EXP(Ft!D$40*($A134-Ft!D$2)^2)))</f>
        <v>9.7438989442908923</v>
      </c>
      <c r="I134" s="3">
        <f>IF(($A134-Ft!E$2)&lt;0,Ft!E$3*((1-Ft!E$6)/(1+Ft!E$37*($A134-Ft!E$2)^2)+Ft!E$6*EXP(Ft!E$38*($A134-Ft!E$2)^2)),Ft!E$3*((1-Ft!E$7)/(1+Ft!E$39*($A134-Ft!E$2)^2)+Ft!E$7*EXP(Ft!E$40*($A134-Ft!E$2)^2)))</f>
        <v>6.0542940889616774E-3</v>
      </c>
      <c r="J134" s="3">
        <f>IF(($A134-Ft!F$2)&lt;0,Ft!F$3*((1-Ft!F$6)/(1+Ft!F$37*($A134-Ft!F$2)^2)+Ft!F$6*EXP(Ft!F$38*($A134-Ft!F$2)^2)),Ft!F$3*((1-Ft!F$7)/(1+Ft!F$39*($A134-Ft!F$2)^2)+Ft!F$7*EXP(Ft!F$40*($A134-Ft!F$2)^2)))</f>
        <v>1.7653080492430308E-63</v>
      </c>
      <c r="K134" s="3">
        <f>IF(($A134-Ft!G$2)&lt;0,Ft!G$3*((1-Ft!G$6)/(1+Ft!G$37*($A134-Ft!G$2)^2)+Ft!G$6*EXP(Ft!G$38*($A134-Ft!G$2)^2)),Ft!G$3*((1-Ft!G$7)/(1+Ft!G$39*($A134-Ft!G$2)^2)+Ft!G$7*EXP(Ft!G$40*($A134-Ft!G$2)^2)))</f>
        <v>5.1563362094808622E-252</v>
      </c>
      <c r="L134" s="3">
        <f>IF(($A134-Ft!H$2)&lt;0,Ft!H$3*((1-Ft!H$6)/(1+Ft!H$37*($A134-Ft!H$2)^2)+Ft!H$6*EXP(Ft!H$38*($A134-Ft!H$2)^2)),Ft!H$3*((1-Ft!H$7)/(1+Ft!H$39*($A134-Ft!H$2)^2)+Ft!H$7*EXP(Ft!H$40*($A134-Ft!H$2)^2)))</f>
        <v>0</v>
      </c>
      <c r="M134" s="3">
        <f>IF(($A134-Ft!I$2)&lt;0,Ft!I$3*((1-Ft!I$6)/(1+Ft!I$37*($A134-Ft!I$2)^2)+Ft!I$6*EXP(Ft!I$38*($A134-Ft!I$2)^2)),Ft!I$3*((1-Ft!I$7)/(1+Ft!I$39*($A134-Ft!I$2)^2)+Ft!I$7*EXP(Ft!I$40*($A134-Ft!I$2)^2)))</f>
        <v>0</v>
      </c>
      <c r="N134" s="3">
        <f>IF(($A134-Ft!J$2)&lt;0,Ft!J$3*((1-Ft!J$6)/(1+Ft!J$37*($A134-Ft!J$2)^2)+Ft!J$6*EXP(Ft!J$38*($A134-Ft!J$2)^2)),Ft!J$3*((1-Ft!J$7)/(1+Ft!J$39*($A134-Ft!J$2)^2)+Ft!J$7*EXP(Ft!J$40*($A134-Ft!J$2)^2)))</f>
        <v>0</v>
      </c>
      <c r="O134" s="3">
        <f>IF(($A134-Ft!K$2)&lt;0,Ft!K$3*((1-Ft!K$6)/(1+Ft!K$37*($A134-Ft!K$2)^2)+Ft!K$6*EXP(Ft!K$38*($A134-Ft!K$2)^2)),Ft!K$3*((1-Ft!K$7)/(1+Ft!K$39*($A134-Ft!K$2)^2)+Ft!K$7*EXP(Ft!K$40*($A134-Ft!K$2)^2)))</f>
        <v>0</v>
      </c>
      <c r="P134"/>
      <c r="Q134"/>
    </row>
    <row r="135" spans="1:17">
      <c r="A135">
        <v>266</v>
      </c>
      <c r="B135">
        <v>12.430679513648002</v>
      </c>
      <c r="C135" s="6">
        <f t="shared" si="5"/>
        <v>12.321478963956963</v>
      </c>
      <c r="D135" s="19">
        <f t="shared" si="6"/>
        <v>1.1924760052825049E-2</v>
      </c>
      <c r="E135" s="3">
        <f>Ft!$B$12+Ft!$B$14*(Data!A135-Vars!$B$3)</f>
        <v>0</v>
      </c>
      <c r="F135" s="3">
        <f>IF(($A135-Ft!B$2)&lt;0,Ft!B$3*((1-Ft!B$6)/(1+Ft!B$37*($A135-Ft!B$2)^2)+Ft!B$6*EXP(Ft!B$38*($A135-Ft!B$2)^2)),Ft!B$3*((1-Ft!B$7)/(1+Ft!B$39*($A135-Ft!B$2)^2)+Ft!B$7*EXP(Ft!B$40*($A135-Ft!B$2)^2)))</f>
        <v>6.3059232945339374E-27</v>
      </c>
      <c r="G135" s="3">
        <f>IF(($A135-Ft!C$2)&lt;0,Ft!C$3*((1-Ft!C$6)/(1+Ft!C$37*($A135-Ft!C$2)^2)+Ft!C$6*EXP(Ft!C$38*($A135-Ft!C$2)^2)),Ft!C$3*((1-Ft!C$7)/(1+Ft!C$39*($A135-Ft!C$2)^2)+Ft!C$7*EXP(Ft!C$40*($A135-Ft!C$2)^2)))</f>
        <v>2.4375587670288641</v>
      </c>
      <c r="H135" s="3">
        <f>IF(($A135-Ft!D$2)&lt;0,Ft!D$3*((1-Ft!D$6)/(1+Ft!D$37*($A135-Ft!D$2)^2)+Ft!D$6*EXP(Ft!D$38*($A135-Ft!D$2)^2)),Ft!D$3*((1-Ft!D$7)/(1+Ft!D$39*($A135-Ft!D$2)^2)+Ft!D$7*EXP(Ft!D$40*($A135-Ft!D$2)^2)))</f>
        <v>9.8775163869145874</v>
      </c>
      <c r="I135" s="3">
        <f>IF(($A135-Ft!E$2)&lt;0,Ft!E$3*((1-Ft!E$6)/(1+Ft!E$37*($A135-Ft!E$2)^2)+Ft!E$6*EXP(Ft!E$38*($A135-Ft!E$2)^2)),Ft!E$3*((1-Ft!E$7)/(1+Ft!E$39*($A135-Ft!E$2)^2)+Ft!E$7*EXP(Ft!E$40*($A135-Ft!E$2)^2)))</f>
        <v>6.4038100135114587E-3</v>
      </c>
      <c r="J135" s="3">
        <f>IF(($A135-Ft!F$2)&lt;0,Ft!F$3*((1-Ft!F$6)/(1+Ft!F$37*($A135-Ft!F$2)^2)+Ft!F$6*EXP(Ft!F$38*($A135-Ft!F$2)^2)),Ft!F$3*((1-Ft!F$7)/(1+Ft!F$39*($A135-Ft!F$2)^2)+Ft!F$7*EXP(Ft!F$40*($A135-Ft!F$2)^2)))</f>
        <v>3.8969716013312762E-63</v>
      </c>
      <c r="K135" s="3">
        <f>IF(($A135-Ft!G$2)&lt;0,Ft!G$3*((1-Ft!G$6)/(1+Ft!G$37*($A135-Ft!G$2)^2)+Ft!G$6*EXP(Ft!G$38*($A135-Ft!G$2)^2)),Ft!G$3*((1-Ft!G$7)/(1+Ft!G$39*($A135-Ft!G$2)^2)+Ft!G$7*EXP(Ft!G$40*($A135-Ft!G$2)^2)))</f>
        <v>1.0026432956358967E-250</v>
      </c>
      <c r="L135" s="3">
        <f>IF(($A135-Ft!H$2)&lt;0,Ft!H$3*((1-Ft!H$6)/(1+Ft!H$37*($A135-Ft!H$2)^2)+Ft!H$6*EXP(Ft!H$38*($A135-Ft!H$2)^2)),Ft!H$3*((1-Ft!H$7)/(1+Ft!H$39*($A135-Ft!H$2)^2)+Ft!H$7*EXP(Ft!H$40*($A135-Ft!H$2)^2)))</f>
        <v>0</v>
      </c>
      <c r="M135" s="3">
        <f>IF(($A135-Ft!I$2)&lt;0,Ft!I$3*((1-Ft!I$6)/(1+Ft!I$37*($A135-Ft!I$2)^2)+Ft!I$6*EXP(Ft!I$38*($A135-Ft!I$2)^2)),Ft!I$3*((1-Ft!I$7)/(1+Ft!I$39*($A135-Ft!I$2)^2)+Ft!I$7*EXP(Ft!I$40*($A135-Ft!I$2)^2)))</f>
        <v>0</v>
      </c>
      <c r="N135" s="3">
        <f>IF(($A135-Ft!J$2)&lt;0,Ft!J$3*((1-Ft!J$6)/(1+Ft!J$37*($A135-Ft!J$2)^2)+Ft!J$6*EXP(Ft!J$38*($A135-Ft!J$2)^2)),Ft!J$3*((1-Ft!J$7)/(1+Ft!J$39*($A135-Ft!J$2)^2)+Ft!J$7*EXP(Ft!J$40*($A135-Ft!J$2)^2)))</f>
        <v>0</v>
      </c>
      <c r="O135" s="3">
        <f>IF(($A135-Ft!K$2)&lt;0,Ft!K$3*((1-Ft!K$6)/(1+Ft!K$37*($A135-Ft!K$2)^2)+Ft!K$6*EXP(Ft!K$38*($A135-Ft!K$2)^2)),Ft!K$3*((1-Ft!K$7)/(1+Ft!K$39*($A135-Ft!K$2)^2)+Ft!K$7*EXP(Ft!K$40*($A135-Ft!K$2)^2)))</f>
        <v>0</v>
      </c>
      <c r="P135"/>
      <c r="Q135"/>
    </row>
    <row r="136" spans="1:17">
      <c r="A136">
        <v>268</v>
      </c>
      <c r="B136">
        <v>12.445186859037989</v>
      </c>
      <c r="C136" s="6">
        <f t="shared" si="5"/>
        <v>12.356328996366829</v>
      </c>
      <c r="D136" s="19">
        <f t="shared" si="6"/>
        <v>7.8957197584867741E-3</v>
      </c>
      <c r="E136" s="3">
        <f>Ft!$B$12+Ft!$B$14*(Data!A136-Vars!$B$3)</f>
        <v>0</v>
      </c>
      <c r="F136" s="3">
        <f>IF(($A136-Ft!B$2)&lt;0,Ft!B$3*((1-Ft!B$6)/(1+Ft!B$37*($A136-Ft!B$2)^2)+Ft!B$6*EXP(Ft!B$38*($A136-Ft!B$2)^2)),Ft!B$3*((1-Ft!B$7)/(1+Ft!B$39*($A136-Ft!B$2)^2)+Ft!B$7*EXP(Ft!B$40*($A136-Ft!B$2)^2)))</f>
        <v>2.057297360313953E-27</v>
      </c>
      <c r="G136" s="3">
        <f>IF(($A136-Ft!C$2)&lt;0,Ft!C$3*((1-Ft!C$6)/(1+Ft!C$37*($A136-Ft!C$2)^2)+Ft!C$6*EXP(Ft!C$38*($A136-Ft!C$2)^2)),Ft!C$3*((1-Ft!C$7)/(1+Ft!C$39*($A136-Ft!C$2)^2)+Ft!C$7*EXP(Ft!C$40*($A136-Ft!C$2)^2)))</f>
        <v>2.3380301243701154</v>
      </c>
      <c r="H136" s="3">
        <f>IF(($A136-Ft!D$2)&lt;0,Ft!D$3*((1-Ft!D$6)/(1+Ft!D$37*($A136-Ft!D$2)^2)+Ft!D$6*EXP(Ft!D$38*($A136-Ft!D$2)^2)),Ft!D$3*((1-Ft!D$7)/(1+Ft!D$39*($A136-Ft!D$2)^2)+Ft!D$7*EXP(Ft!D$40*($A136-Ft!D$2)^2)))</f>
        <v>10.011526732178551</v>
      </c>
      <c r="I136" s="3">
        <f>IF(($A136-Ft!E$2)&lt;0,Ft!E$3*((1-Ft!E$6)/(1+Ft!E$37*($A136-Ft!E$2)^2)+Ft!E$6*EXP(Ft!E$38*($A136-Ft!E$2)^2)),Ft!E$3*((1-Ft!E$7)/(1+Ft!E$39*($A136-Ft!E$2)^2)+Ft!E$7*EXP(Ft!E$40*($A136-Ft!E$2)^2)))</f>
        <v>6.772139818161659E-3</v>
      </c>
      <c r="J136" s="3">
        <f>IF(($A136-Ft!F$2)&lt;0,Ft!F$3*((1-Ft!F$6)/(1+Ft!F$37*($A136-Ft!F$2)^2)+Ft!F$6*EXP(Ft!F$38*($A136-Ft!F$2)^2)),Ft!F$3*((1-Ft!F$7)/(1+Ft!F$39*($A136-Ft!F$2)^2)+Ft!F$7*EXP(Ft!F$40*($A136-Ft!F$2)^2)))</f>
        <v>8.5841886748828087E-63</v>
      </c>
      <c r="K136" s="3">
        <f>IF(($A136-Ft!G$2)&lt;0,Ft!G$3*((1-Ft!G$6)/(1+Ft!G$37*($A136-Ft!G$2)^2)+Ft!G$6*EXP(Ft!G$38*($A136-Ft!G$2)^2)),Ft!G$3*((1-Ft!G$7)/(1+Ft!G$39*($A136-Ft!G$2)^2)+Ft!G$7*EXP(Ft!G$40*($A136-Ft!G$2)^2)))</f>
        <v>1.9348558437798732E-249</v>
      </c>
      <c r="L136" s="3">
        <f>IF(($A136-Ft!H$2)&lt;0,Ft!H$3*((1-Ft!H$6)/(1+Ft!H$37*($A136-Ft!H$2)^2)+Ft!H$6*EXP(Ft!H$38*($A136-Ft!H$2)^2)),Ft!H$3*((1-Ft!H$7)/(1+Ft!H$39*($A136-Ft!H$2)^2)+Ft!H$7*EXP(Ft!H$40*($A136-Ft!H$2)^2)))</f>
        <v>0</v>
      </c>
      <c r="M136" s="3">
        <f>IF(($A136-Ft!I$2)&lt;0,Ft!I$3*((1-Ft!I$6)/(1+Ft!I$37*($A136-Ft!I$2)^2)+Ft!I$6*EXP(Ft!I$38*($A136-Ft!I$2)^2)),Ft!I$3*((1-Ft!I$7)/(1+Ft!I$39*($A136-Ft!I$2)^2)+Ft!I$7*EXP(Ft!I$40*($A136-Ft!I$2)^2)))</f>
        <v>0</v>
      </c>
      <c r="N136" s="3">
        <f>IF(($A136-Ft!J$2)&lt;0,Ft!J$3*((1-Ft!J$6)/(1+Ft!J$37*($A136-Ft!J$2)^2)+Ft!J$6*EXP(Ft!J$38*($A136-Ft!J$2)^2)),Ft!J$3*((1-Ft!J$7)/(1+Ft!J$39*($A136-Ft!J$2)^2)+Ft!J$7*EXP(Ft!J$40*($A136-Ft!J$2)^2)))</f>
        <v>0</v>
      </c>
      <c r="O136" s="3">
        <f>IF(($A136-Ft!K$2)&lt;0,Ft!K$3*((1-Ft!K$6)/(1+Ft!K$37*($A136-Ft!K$2)^2)+Ft!K$6*EXP(Ft!K$38*($A136-Ft!K$2)^2)),Ft!K$3*((1-Ft!K$7)/(1+Ft!K$39*($A136-Ft!K$2)^2)+Ft!K$7*EXP(Ft!K$40*($A136-Ft!K$2)^2)))</f>
        <v>0</v>
      </c>
      <c r="P136"/>
      <c r="Q136"/>
    </row>
    <row r="137" spans="1:17">
      <c r="A137">
        <v>270</v>
      </c>
      <c r="B137">
        <v>12.463937096803988</v>
      </c>
      <c r="C137" s="6">
        <f t="shared" si="5"/>
        <v>12.394166057561943</v>
      </c>
      <c r="D137" s="19">
        <f t="shared" si="6"/>
        <v>4.8679979169150419E-3</v>
      </c>
      <c r="E137" s="3">
        <f>Ft!$B$12+Ft!$B$14*(Data!A137-Vars!$B$3)</f>
        <v>0</v>
      </c>
      <c r="F137" s="3">
        <f>IF(($A137-Ft!B$2)&lt;0,Ft!B$3*((1-Ft!B$6)/(1+Ft!B$37*($A137-Ft!B$2)^2)+Ft!B$6*EXP(Ft!B$38*($A137-Ft!B$2)^2)),Ft!B$3*((1-Ft!B$7)/(1+Ft!B$39*($A137-Ft!B$2)^2)+Ft!B$7*EXP(Ft!B$40*($A137-Ft!B$2)^2)))</f>
        <v>6.6443811114759869E-28</v>
      </c>
      <c r="G137" s="3">
        <f>IF(($A137-Ft!C$2)&lt;0,Ft!C$3*((1-Ft!C$6)/(1+Ft!C$37*($A137-Ft!C$2)^2)+Ft!C$6*EXP(Ft!C$38*($A137-Ft!C$2)^2)),Ft!C$3*((1-Ft!C$7)/(1+Ft!C$39*($A137-Ft!C$2)^2)+Ft!C$7*EXP(Ft!C$40*($A137-Ft!C$2)^2)))</f>
        <v>2.2411093237320077</v>
      </c>
      <c r="H137" s="3">
        <f>IF(($A137-Ft!D$2)&lt;0,Ft!D$3*((1-Ft!D$6)/(1+Ft!D$37*($A137-Ft!D$2)^2)+Ft!D$6*EXP(Ft!D$38*($A137-Ft!D$2)^2)),Ft!D$3*((1-Ft!D$7)/(1+Ft!D$39*($A137-Ft!D$2)^2)+Ft!D$7*EXP(Ft!D$40*($A137-Ft!D$2)^2)))</f>
        <v>10.145896520786444</v>
      </c>
      <c r="I137" s="3">
        <f>IF(($A137-Ft!E$2)&lt;0,Ft!E$3*((1-Ft!E$6)/(1+Ft!E$37*($A137-Ft!E$2)^2)+Ft!E$6*EXP(Ft!E$38*($A137-Ft!E$2)^2)),Ft!E$3*((1-Ft!E$7)/(1+Ft!E$39*($A137-Ft!E$2)^2)+Ft!E$7*EXP(Ft!E$40*($A137-Ft!E$2)^2)))</f>
        <v>7.1602130434909169E-3</v>
      </c>
      <c r="J137" s="3">
        <f>IF(($A137-Ft!F$2)&lt;0,Ft!F$3*((1-Ft!F$6)/(1+Ft!F$37*($A137-Ft!F$2)^2)+Ft!F$6*EXP(Ft!F$38*($A137-Ft!F$2)^2)),Ft!F$3*((1-Ft!F$7)/(1+Ft!F$39*($A137-Ft!F$2)^2)+Ft!F$7*EXP(Ft!F$40*($A137-Ft!F$2)^2)))</f>
        <v>1.8868463773557406E-62</v>
      </c>
      <c r="K137" s="3">
        <f>IF(($A137-Ft!G$2)&lt;0,Ft!G$3*((1-Ft!G$6)/(1+Ft!G$37*($A137-Ft!G$2)^2)+Ft!G$6*EXP(Ft!G$38*($A137-Ft!G$2)^2)),Ft!G$3*((1-Ft!G$7)/(1+Ft!G$39*($A137-Ft!G$2)^2)+Ft!G$7*EXP(Ft!G$40*($A137-Ft!G$2)^2)))</f>
        <v>3.7055075712844609E-248</v>
      </c>
      <c r="L137" s="3">
        <f>IF(($A137-Ft!H$2)&lt;0,Ft!H$3*((1-Ft!H$6)/(1+Ft!H$37*($A137-Ft!H$2)^2)+Ft!H$6*EXP(Ft!H$38*($A137-Ft!H$2)^2)),Ft!H$3*((1-Ft!H$7)/(1+Ft!H$39*($A137-Ft!H$2)^2)+Ft!H$7*EXP(Ft!H$40*($A137-Ft!H$2)^2)))</f>
        <v>0</v>
      </c>
      <c r="M137" s="3">
        <f>IF(($A137-Ft!I$2)&lt;0,Ft!I$3*((1-Ft!I$6)/(1+Ft!I$37*($A137-Ft!I$2)^2)+Ft!I$6*EXP(Ft!I$38*($A137-Ft!I$2)^2)),Ft!I$3*((1-Ft!I$7)/(1+Ft!I$39*($A137-Ft!I$2)^2)+Ft!I$7*EXP(Ft!I$40*($A137-Ft!I$2)^2)))</f>
        <v>0</v>
      </c>
      <c r="N137" s="3">
        <f>IF(($A137-Ft!J$2)&lt;0,Ft!J$3*((1-Ft!J$6)/(1+Ft!J$37*($A137-Ft!J$2)^2)+Ft!J$6*EXP(Ft!J$38*($A137-Ft!J$2)^2)),Ft!J$3*((1-Ft!J$7)/(1+Ft!J$39*($A137-Ft!J$2)^2)+Ft!J$7*EXP(Ft!J$40*($A137-Ft!J$2)^2)))</f>
        <v>0</v>
      </c>
      <c r="O137" s="3">
        <f>IF(($A137-Ft!K$2)&lt;0,Ft!K$3*((1-Ft!K$6)/(1+Ft!K$37*($A137-Ft!K$2)^2)+Ft!K$6*EXP(Ft!K$38*($A137-Ft!K$2)^2)),Ft!K$3*((1-Ft!K$7)/(1+Ft!K$39*($A137-Ft!K$2)^2)+Ft!K$7*EXP(Ft!K$40*($A137-Ft!K$2)^2)))</f>
        <v>0</v>
      </c>
      <c r="P137"/>
      <c r="Q137"/>
    </row>
    <row r="138" spans="1:17">
      <c r="A138">
        <v>272</v>
      </c>
      <c r="B138">
        <v>12.482469979754995</v>
      </c>
      <c r="C138" s="6">
        <f t="shared" si="5"/>
        <v>12.43497219346045</v>
      </c>
      <c r="D138" s="19">
        <f t="shared" si="6"/>
        <v>2.2560397028823444E-3</v>
      </c>
      <c r="E138" s="3">
        <f>Ft!$B$12+Ft!$B$14*(Data!A138-Vars!$B$3)</f>
        <v>0</v>
      </c>
      <c r="F138" s="3">
        <f>IF(($A138-Ft!B$2)&lt;0,Ft!B$3*((1-Ft!B$6)/(1+Ft!B$37*($A138-Ft!B$2)^2)+Ft!B$6*EXP(Ft!B$38*($A138-Ft!B$2)^2)),Ft!B$3*((1-Ft!B$7)/(1+Ft!B$39*($A138-Ft!B$2)^2)+Ft!B$7*EXP(Ft!B$40*($A138-Ft!B$2)^2)))</f>
        <v>2.1243255961831228E-28</v>
      </c>
      <c r="G138" s="3">
        <f>IF(($A138-Ft!C$2)&lt;0,Ft!C$3*((1-Ft!C$6)/(1+Ft!C$37*($A138-Ft!C$2)^2)+Ft!C$6*EXP(Ft!C$38*($A138-Ft!C$2)^2)),Ft!C$3*((1-Ft!C$7)/(1+Ft!C$39*($A138-Ft!C$2)^2)+Ft!C$7*EXP(Ft!C$40*($A138-Ft!C$2)^2)))</f>
        <v>2.146811507238866</v>
      </c>
      <c r="H138" s="3">
        <f>IF(($A138-Ft!D$2)&lt;0,Ft!D$3*((1-Ft!D$6)/(1+Ft!D$37*($A138-Ft!D$2)^2)+Ft!D$6*EXP(Ft!D$38*($A138-Ft!D$2)^2)),Ft!D$3*((1-Ft!D$7)/(1+Ft!D$39*($A138-Ft!D$2)^2)+Ft!D$7*EXP(Ft!D$40*($A138-Ft!D$2)^2)))</f>
        <v>10.280591685892778</v>
      </c>
      <c r="I138" s="3">
        <f>IF(($A138-Ft!E$2)&lt;0,Ft!E$3*((1-Ft!E$6)/(1+Ft!E$37*($A138-Ft!E$2)^2)+Ft!E$6*EXP(Ft!E$38*($A138-Ft!E$2)^2)),Ft!E$3*((1-Ft!E$7)/(1+Ft!E$39*($A138-Ft!E$2)^2)+Ft!E$7*EXP(Ft!E$40*($A138-Ft!E$2)^2)))</f>
        <v>7.5690003288052046E-3</v>
      </c>
      <c r="J138" s="3">
        <f>IF(($A138-Ft!F$2)&lt;0,Ft!F$3*((1-Ft!F$6)/(1+Ft!F$37*($A138-Ft!F$2)^2)+Ft!F$6*EXP(Ft!F$38*($A138-Ft!F$2)^2)),Ft!F$3*((1-Ft!F$7)/(1+Ft!F$39*($A138-Ft!F$2)^2)+Ft!F$7*EXP(Ft!F$40*($A138-Ft!F$2)^2)))</f>
        <v>4.1384632626131069E-62</v>
      </c>
      <c r="K138" s="3">
        <f>IF(($A138-Ft!G$2)&lt;0,Ft!G$3*((1-Ft!G$6)/(1+Ft!G$37*($A138-Ft!G$2)^2)+Ft!G$6*EXP(Ft!G$38*($A138-Ft!G$2)^2)),Ft!G$3*((1-Ft!G$7)/(1+Ft!G$39*($A138-Ft!G$2)^2)+Ft!G$7*EXP(Ft!G$40*($A138-Ft!G$2)^2)))</f>
        <v>7.0427736162357513E-247</v>
      </c>
      <c r="L138" s="3">
        <f>IF(($A138-Ft!H$2)&lt;0,Ft!H$3*((1-Ft!H$6)/(1+Ft!H$37*($A138-Ft!H$2)^2)+Ft!H$6*EXP(Ft!H$38*($A138-Ft!H$2)^2)),Ft!H$3*((1-Ft!H$7)/(1+Ft!H$39*($A138-Ft!H$2)^2)+Ft!H$7*EXP(Ft!H$40*($A138-Ft!H$2)^2)))</f>
        <v>0</v>
      </c>
      <c r="M138" s="3">
        <f>IF(($A138-Ft!I$2)&lt;0,Ft!I$3*((1-Ft!I$6)/(1+Ft!I$37*($A138-Ft!I$2)^2)+Ft!I$6*EXP(Ft!I$38*($A138-Ft!I$2)^2)),Ft!I$3*((1-Ft!I$7)/(1+Ft!I$39*($A138-Ft!I$2)^2)+Ft!I$7*EXP(Ft!I$40*($A138-Ft!I$2)^2)))</f>
        <v>0</v>
      </c>
      <c r="N138" s="3">
        <f>IF(($A138-Ft!J$2)&lt;0,Ft!J$3*((1-Ft!J$6)/(1+Ft!J$37*($A138-Ft!J$2)^2)+Ft!J$6*EXP(Ft!J$38*($A138-Ft!J$2)^2)),Ft!J$3*((1-Ft!J$7)/(1+Ft!J$39*($A138-Ft!J$2)^2)+Ft!J$7*EXP(Ft!J$40*($A138-Ft!J$2)^2)))</f>
        <v>0</v>
      </c>
      <c r="O138" s="3">
        <f>IF(($A138-Ft!K$2)&lt;0,Ft!K$3*((1-Ft!K$6)/(1+Ft!K$37*($A138-Ft!K$2)^2)+Ft!K$6*EXP(Ft!K$38*($A138-Ft!K$2)^2)),Ft!K$3*((1-Ft!K$7)/(1+Ft!K$39*($A138-Ft!K$2)^2)+Ft!K$7*EXP(Ft!K$40*($A138-Ft!K$2)^2)))</f>
        <v>0</v>
      </c>
      <c r="P138"/>
      <c r="Q138"/>
    </row>
    <row r="139" spans="1:17">
      <c r="A139">
        <v>274</v>
      </c>
      <c r="B139">
        <v>12.501003038486999</v>
      </c>
      <c r="C139" s="6">
        <f t="shared" si="5"/>
        <v>12.478723262928032</v>
      </c>
      <c r="D139" s="19">
        <f t="shared" si="6"/>
        <v>4.9638839895796243E-4</v>
      </c>
      <c r="E139" s="3">
        <f>Ft!$B$12+Ft!$B$14*(Data!A139-Vars!$B$3)</f>
        <v>0</v>
      </c>
      <c r="F139" s="3">
        <f>IF(($A139-Ft!B$2)&lt;0,Ft!B$3*((1-Ft!B$6)/(1+Ft!B$37*($A139-Ft!B$2)^2)+Ft!B$6*EXP(Ft!B$38*($A139-Ft!B$2)^2)),Ft!B$3*((1-Ft!B$7)/(1+Ft!B$39*($A139-Ft!B$2)^2)+Ft!B$7*EXP(Ft!B$40*($A139-Ft!B$2)^2)))</f>
        <v>6.7235201373009044E-29</v>
      </c>
      <c r="G139" s="3">
        <f>IF(($A139-Ft!C$2)&lt;0,Ft!C$3*((1-Ft!C$6)/(1+Ft!C$37*($A139-Ft!C$2)^2)+Ft!C$6*EXP(Ft!C$38*($A139-Ft!C$2)^2)),Ft!C$3*((1-Ft!C$7)/(1+Ft!C$39*($A139-Ft!C$2)^2)+Ft!C$7*EXP(Ft!C$40*($A139-Ft!C$2)^2)))</f>
        <v>2.0551461832965563</v>
      </c>
      <c r="H139" s="3">
        <f>IF(($A139-Ft!D$2)&lt;0,Ft!D$3*((1-Ft!D$6)/(1+Ft!D$37*($A139-Ft!D$2)^2)+Ft!D$6*EXP(Ft!D$38*($A139-Ft!D$2)^2)),Ft!D$3*((1-Ft!D$7)/(1+Ft!D$39*($A139-Ft!D$2)^2)+Ft!D$7*EXP(Ft!D$40*($A139-Ft!D$2)^2)))</f>
        <v>10.415577564668215</v>
      </c>
      <c r="I139" s="3">
        <f>IF(($A139-Ft!E$2)&lt;0,Ft!E$3*((1-Ft!E$6)/(1+Ft!E$37*($A139-Ft!E$2)^2)+Ft!E$6*EXP(Ft!E$38*($A139-Ft!E$2)^2)),Ft!E$3*((1-Ft!E$7)/(1+Ft!E$39*($A139-Ft!E$2)^2)+Ft!E$7*EXP(Ft!E$40*($A139-Ft!E$2)^2)))</f>
        <v>7.9995149632590603E-3</v>
      </c>
      <c r="J139" s="3">
        <f>IF(($A139-Ft!F$2)&lt;0,Ft!F$3*((1-Ft!F$6)/(1+Ft!F$37*($A139-Ft!F$2)^2)+Ft!F$6*EXP(Ft!F$38*($A139-Ft!F$2)^2)),Ft!F$3*((1-Ft!F$7)/(1+Ft!F$39*($A139-Ft!F$2)^2)+Ft!F$7*EXP(Ft!F$40*($A139-Ft!F$2)^2)))</f>
        <v>9.0574707536330163E-62</v>
      </c>
      <c r="K139" s="3">
        <f>IF(($A139-Ft!G$2)&lt;0,Ft!G$3*((1-Ft!G$6)/(1+Ft!G$37*($A139-Ft!G$2)^2)+Ft!G$6*EXP(Ft!G$38*($A139-Ft!G$2)^2)),Ft!G$3*((1-Ft!G$7)/(1+Ft!G$39*($A139-Ft!G$2)^2)+Ft!G$7*EXP(Ft!G$40*($A139-Ft!G$2)^2)))</f>
        <v>1.3284239118698668E-245</v>
      </c>
      <c r="L139" s="3">
        <f>IF(($A139-Ft!H$2)&lt;0,Ft!H$3*((1-Ft!H$6)/(1+Ft!H$37*($A139-Ft!H$2)^2)+Ft!H$6*EXP(Ft!H$38*($A139-Ft!H$2)^2)),Ft!H$3*((1-Ft!H$7)/(1+Ft!H$39*($A139-Ft!H$2)^2)+Ft!H$7*EXP(Ft!H$40*($A139-Ft!H$2)^2)))</f>
        <v>0</v>
      </c>
      <c r="M139" s="3">
        <f>IF(($A139-Ft!I$2)&lt;0,Ft!I$3*((1-Ft!I$6)/(1+Ft!I$37*($A139-Ft!I$2)^2)+Ft!I$6*EXP(Ft!I$38*($A139-Ft!I$2)^2)),Ft!I$3*((1-Ft!I$7)/(1+Ft!I$39*($A139-Ft!I$2)^2)+Ft!I$7*EXP(Ft!I$40*($A139-Ft!I$2)^2)))</f>
        <v>0</v>
      </c>
      <c r="N139" s="3">
        <f>IF(($A139-Ft!J$2)&lt;0,Ft!J$3*((1-Ft!J$6)/(1+Ft!J$37*($A139-Ft!J$2)^2)+Ft!J$6*EXP(Ft!J$38*($A139-Ft!J$2)^2)),Ft!J$3*((1-Ft!J$7)/(1+Ft!J$39*($A139-Ft!J$2)^2)+Ft!J$7*EXP(Ft!J$40*($A139-Ft!J$2)^2)))</f>
        <v>0</v>
      </c>
      <c r="O139" s="3">
        <f>IF(($A139-Ft!K$2)&lt;0,Ft!K$3*((1-Ft!K$6)/(1+Ft!K$37*($A139-Ft!K$2)^2)+Ft!K$6*EXP(Ft!K$38*($A139-Ft!K$2)^2)),Ft!K$3*((1-Ft!K$7)/(1+Ft!K$39*($A139-Ft!K$2)^2)+Ft!K$7*EXP(Ft!K$40*($A139-Ft!K$2)^2)))</f>
        <v>0</v>
      </c>
      <c r="P139"/>
      <c r="Q139"/>
    </row>
    <row r="140" spans="1:17">
      <c r="A140">
        <v>276</v>
      </c>
      <c r="B140">
        <v>12.520674251253993</v>
      </c>
      <c r="C140" s="6">
        <f t="shared" si="5"/>
        <v>12.525389164353715</v>
      </c>
      <c r="D140" s="19">
        <f t="shared" si="6"/>
        <v>2.2230405537929554E-5</v>
      </c>
      <c r="E140" s="3">
        <f>Ft!$B$12+Ft!$B$14*(Data!A140-Vars!$B$3)</f>
        <v>0</v>
      </c>
      <c r="F140" s="3">
        <f>IF(($A140-Ft!B$2)&lt;0,Ft!B$3*((1-Ft!B$6)/(1+Ft!B$37*($A140-Ft!B$2)^2)+Ft!B$6*EXP(Ft!B$38*($A140-Ft!B$2)^2)),Ft!B$3*((1-Ft!B$7)/(1+Ft!B$39*($A140-Ft!B$2)^2)+Ft!B$7*EXP(Ft!B$40*($A140-Ft!B$2)^2)))</f>
        <v>2.1065967936702877E-29</v>
      </c>
      <c r="G140" s="3">
        <f>IF(($A140-Ft!C$2)&lt;0,Ft!C$3*((1-Ft!C$6)/(1+Ft!C$37*($A140-Ft!C$2)^2)+Ft!C$6*EXP(Ft!C$38*($A140-Ft!C$2)^2)),Ft!C$3*((1-Ft!C$7)/(1+Ft!C$39*($A140-Ft!C$2)^2)+Ft!C$7*EXP(Ft!C$40*($A140-Ft!C$2)^2)))</f>
        <v>1.9661174394216712</v>
      </c>
      <c r="H140" s="3">
        <f>IF(($A140-Ft!D$2)&lt;0,Ft!D$3*((1-Ft!D$6)/(1+Ft!D$37*($A140-Ft!D$2)^2)+Ft!D$6*EXP(Ft!D$38*($A140-Ft!D$2)^2)),Ft!D$3*((1-Ft!D$7)/(1+Ft!D$39*($A140-Ft!D$2)^2)+Ft!D$7*EXP(Ft!D$40*($A140-Ft!D$2)^2)))</f>
        <v>10.550818910450502</v>
      </c>
      <c r="I140" s="3">
        <f>IF(($A140-Ft!E$2)&lt;0,Ft!E$3*((1-Ft!E$6)/(1+Ft!E$37*($A140-Ft!E$2)^2)+Ft!E$6*EXP(Ft!E$38*($A140-Ft!E$2)^2)),Ft!E$3*((1-Ft!E$7)/(1+Ft!E$39*($A140-Ft!E$2)^2)+Ft!E$7*EXP(Ft!E$40*($A140-Ft!E$2)^2)))</f>
        <v>8.4528144815420002E-3</v>
      </c>
      <c r="J140" s="3">
        <f>IF(($A140-Ft!F$2)&lt;0,Ft!F$3*((1-Ft!F$6)/(1+Ft!F$37*($A140-Ft!F$2)^2)+Ft!F$6*EXP(Ft!F$38*($A140-Ft!F$2)^2)),Ft!F$3*((1-Ft!F$7)/(1+Ft!F$39*($A140-Ft!F$2)^2)+Ft!F$7*EXP(Ft!F$40*($A140-Ft!F$2)^2)))</f>
        <v>1.9780626864018063E-61</v>
      </c>
      <c r="K140" s="3">
        <f>IF(($A140-Ft!G$2)&lt;0,Ft!G$3*((1-Ft!G$6)/(1+Ft!G$37*($A140-Ft!G$2)^2)+Ft!G$6*EXP(Ft!G$38*($A140-Ft!G$2)^2)),Ft!G$3*((1-Ft!G$7)/(1+Ft!G$39*($A140-Ft!G$2)^2)+Ft!G$7*EXP(Ft!G$40*($A140-Ft!G$2)^2)))</f>
        <v>2.4867181964390067E-244</v>
      </c>
      <c r="L140" s="3">
        <f>IF(($A140-Ft!H$2)&lt;0,Ft!H$3*((1-Ft!H$6)/(1+Ft!H$37*($A140-Ft!H$2)^2)+Ft!H$6*EXP(Ft!H$38*($A140-Ft!H$2)^2)),Ft!H$3*((1-Ft!H$7)/(1+Ft!H$39*($A140-Ft!H$2)^2)+Ft!H$7*EXP(Ft!H$40*($A140-Ft!H$2)^2)))</f>
        <v>0</v>
      </c>
      <c r="M140" s="3">
        <f>IF(($A140-Ft!I$2)&lt;0,Ft!I$3*((1-Ft!I$6)/(1+Ft!I$37*($A140-Ft!I$2)^2)+Ft!I$6*EXP(Ft!I$38*($A140-Ft!I$2)^2)),Ft!I$3*((1-Ft!I$7)/(1+Ft!I$39*($A140-Ft!I$2)^2)+Ft!I$7*EXP(Ft!I$40*($A140-Ft!I$2)^2)))</f>
        <v>0</v>
      </c>
      <c r="N140" s="3">
        <f>IF(($A140-Ft!J$2)&lt;0,Ft!J$3*((1-Ft!J$6)/(1+Ft!J$37*($A140-Ft!J$2)^2)+Ft!J$6*EXP(Ft!J$38*($A140-Ft!J$2)^2)),Ft!J$3*((1-Ft!J$7)/(1+Ft!J$39*($A140-Ft!J$2)^2)+Ft!J$7*EXP(Ft!J$40*($A140-Ft!J$2)^2)))</f>
        <v>0</v>
      </c>
      <c r="O140" s="3">
        <f>IF(($A140-Ft!K$2)&lt;0,Ft!K$3*((1-Ft!K$6)/(1+Ft!K$37*($A140-Ft!K$2)^2)+Ft!K$6*EXP(Ft!K$38*($A140-Ft!K$2)^2)),Ft!K$3*((1-Ft!K$7)/(1+Ft!K$39*($A140-Ft!K$2)^2)+Ft!K$7*EXP(Ft!K$40*($A140-Ft!K$2)^2)))</f>
        <v>0</v>
      </c>
      <c r="P140"/>
      <c r="Q140"/>
    </row>
    <row r="141" spans="1:17">
      <c r="A141">
        <v>278</v>
      </c>
      <c r="B141">
        <v>12.542621596315996</v>
      </c>
      <c r="C141" s="6">
        <f t="shared" si="5"/>
        <v>12.57493407105266</v>
      </c>
      <c r="D141" s="19">
        <f t="shared" si="6"/>
        <v>1.0440960236075126E-3</v>
      </c>
      <c r="E141" s="3">
        <f>Ft!$B$12+Ft!$B$14*(Data!A141-Vars!$B$3)</f>
        <v>0</v>
      </c>
      <c r="F141" s="3">
        <f>IF(($A141-Ft!B$2)&lt;0,Ft!B$3*((1-Ft!B$6)/(1+Ft!B$37*($A141-Ft!B$2)^2)+Ft!B$6*EXP(Ft!B$38*($A141-Ft!B$2)^2)),Ft!B$3*((1-Ft!B$7)/(1+Ft!B$39*($A141-Ft!B$2)^2)+Ft!B$7*EXP(Ft!B$40*($A141-Ft!B$2)^2)))</f>
        <v>6.5339410010600948E-30</v>
      </c>
      <c r="G141" s="3">
        <f>IF(($A141-Ft!C$2)&lt;0,Ft!C$3*((1-Ft!C$6)/(1+Ft!C$37*($A141-Ft!C$2)^2)+Ft!C$6*EXP(Ft!C$38*($A141-Ft!C$2)^2)),Ft!C$3*((1-Ft!C$7)/(1+Ft!C$39*($A141-Ft!C$2)^2)+Ft!C$7*EXP(Ft!C$40*($A141-Ft!C$2)^2)))</f>
        <v>1.8797241632698269</v>
      </c>
      <c r="H141" s="3">
        <f>IF(($A141-Ft!D$2)&lt;0,Ft!D$3*((1-Ft!D$6)/(1+Ft!D$37*($A141-Ft!D$2)^2)+Ft!D$6*EXP(Ft!D$38*($A141-Ft!D$2)^2)),Ft!D$3*((1-Ft!D$7)/(1+Ft!D$39*($A141-Ft!D$2)^2)+Ft!D$7*EXP(Ft!D$40*($A141-Ft!D$2)^2)))</f>
        <v>10.686279905478139</v>
      </c>
      <c r="I141" s="3">
        <f>IF(($A141-Ft!E$2)&lt;0,Ft!E$3*((1-Ft!E$6)/(1+Ft!E$37*($A141-Ft!E$2)^2)+Ft!E$6*EXP(Ft!E$38*($A141-Ft!E$2)^2)),Ft!E$3*((1-Ft!E$7)/(1+Ft!E$39*($A141-Ft!E$2)^2)+Ft!E$7*EXP(Ft!E$40*($A141-Ft!E$2)^2)))</f>
        <v>8.9300023046927669E-3</v>
      </c>
      <c r="J141" s="3">
        <f>IF(($A141-Ft!F$2)&lt;0,Ft!F$3*((1-Ft!F$6)/(1+Ft!F$37*($A141-Ft!F$2)^2)+Ft!F$6*EXP(Ft!F$38*($A141-Ft!F$2)^2)),Ft!F$3*((1-Ft!F$7)/(1+Ft!F$39*($A141-Ft!F$2)^2)+Ft!F$7*EXP(Ft!F$40*($A141-Ft!F$2)^2)))</f>
        <v>4.3106070514126589E-61</v>
      </c>
      <c r="K141" s="3">
        <f>IF(($A141-Ft!G$2)&lt;0,Ft!G$3*((1-Ft!G$6)/(1+Ft!G$37*($A141-Ft!G$2)^2)+Ft!G$6*EXP(Ft!G$38*($A141-Ft!G$2)^2)),Ft!G$3*((1-Ft!G$7)/(1+Ft!G$39*($A141-Ft!G$2)^2)+Ft!G$7*EXP(Ft!G$40*($A141-Ft!G$2)^2)))</f>
        <v>4.6196959436332187E-243</v>
      </c>
      <c r="L141" s="3">
        <f>IF(($A141-Ft!H$2)&lt;0,Ft!H$3*((1-Ft!H$6)/(1+Ft!H$37*($A141-Ft!H$2)^2)+Ft!H$6*EXP(Ft!H$38*($A141-Ft!H$2)^2)),Ft!H$3*((1-Ft!H$7)/(1+Ft!H$39*($A141-Ft!H$2)^2)+Ft!H$7*EXP(Ft!H$40*($A141-Ft!H$2)^2)))</f>
        <v>0</v>
      </c>
      <c r="M141" s="3">
        <f>IF(($A141-Ft!I$2)&lt;0,Ft!I$3*((1-Ft!I$6)/(1+Ft!I$37*($A141-Ft!I$2)^2)+Ft!I$6*EXP(Ft!I$38*($A141-Ft!I$2)^2)),Ft!I$3*((1-Ft!I$7)/(1+Ft!I$39*($A141-Ft!I$2)^2)+Ft!I$7*EXP(Ft!I$40*($A141-Ft!I$2)^2)))</f>
        <v>0</v>
      </c>
      <c r="N141" s="3">
        <f>IF(($A141-Ft!J$2)&lt;0,Ft!J$3*((1-Ft!J$6)/(1+Ft!J$37*($A141-Ft!J$2)^2)+Ft!J$6*EXP(Ft!J$38*($A141-Ft!J$2)^2)),Ft!J$3*((1-Ft!J$7)/(1+Ft!J$39*($A141-Ft!J$2)^2)+Ft!J$7*EXP(Ft!J$40*($A141-Ft!J$2)^2)))</f>
        <v>0</v>
      </c>
      <c r="O141" s="3">
        <f>IF(($A141-Ft!K$2)&lt;0,Ft!K$3*((1-Ft!K$6)/(1+Ft!K$37*($A141-Ft!K$2)^2)+Ft!K$6*EXP(Ft!K$38*($A141-Ft!K$2)^2)),Ft!K$3*((1-Ft!K$7)/(1+Ft!K$39*($A141-Ft!K$2)^2)+Ft!K$7*EXP(Ft!K$40*($A141-Ft!K$2)^2)))</f>
        <v>0</v>
      </c>
      <c r="P141"/>
      <c r="Q141"/>
    </row>
    <row r="142" spans="1:17">
      <c r="A142">
        <v>280</v>
      </c>
      <c r="B142">
        <v>12.56798305193</v>
      </c>
      <c r="C142" s="6">
        <f t="shared" si="5"/>
        <v>12.627316674300904</v>
      </c>
      <c r="D142" s="19">
        <f t="shared" si="6"/>
        <v>3.5204787436530138E-3</v>
      </c>
      <c r="E142" s="3">
        <f>Ft!$B$12+Ft!$B$14*(Data!A142-Vars!$B$3)</f>
        <v>0</v>
      </c>
      <c r="F142" s="3">
        <f>IF(($A142-Ft!B$2)&lt;0,Ft!B$3*((1-Ft!B$6)/(1+Ft!B$37*($A142-Ft!B$2)^2)+Ft!B$6*EXP(Ft!B$38*($A142-Ft!B$2)^2)),Ft!B$3*((1-Ft!B$7)/(1+Ft!B$39*($A142-Ft!B$2)^2)+Ft!B$7*EXP(Ft!B$40*($A142-Ft!B$2)^2)))</f>
        <v>2.0062178002401662E-30</v>
      </c>
      <c r="G142" s="3">
        <f>IF(($A142-Ft!C$2)&lt;0,Ft!C$3*((1-Ft!C$6)/(1+Ft!C$37*($A142-Ft!C$2)^2)+Ft!C$6*EXP(Ft!C$38*($A142-Ft!C$2)^2)),Ft!C$3*((1-Ft!C$7)/(1+Ft!C$39*($A142-Ft!C$2)^2)+Ft!C$7*EXP(Ft!C$40*($A142-Ft!C$2)^2)))</f>
        <v>1.7959602706708531</v>
      </c>
      <c r="H142" s="3">
        <f>IF(($A142-Ft!D$2)&lt;0,Ft!D$3*((1-Ft!D$6)/(1+Ft!D$37*($A142-Ft!D$2)^2)+Ft!D$6*EXP(Ft!D$38*($A142-Ft!D$2)^2)),Ft!D$3*((1-Ft!D$7)/(1+Ft!D$39*($A142-Ft!D$2)^2)+Ft!D$7*EXP(Ft!D$40*($A142-Ft!D$2)^2)))</f>
        <v>10.821924174203481</v>
      </c>
      <c r="I142" s="3">
        <f>IF(($A142-Ft!E$2)&lt;0,Ft!E$3*((1-Ft!E$6)/(1+Ft!E$37*($A142-Ft!E$2)^2)+Ft!E$6*EXP(Ft!E$38*($A142-Ft!E$2)^2)),Ft!E$3*((1-Ft!E$7)/(1+Ft!E$39*($A142-Ft!E$2)^2)+Ft!E$7*EXP(Ft!E$40*($A142-Ft!E$2)^2)))</f>
        <v>9.4322294265696098E-3</v>
      </c>
      <c r="J142" s="3">
        <f>IF(($A142-Ft!F$2)&lt;0,Ft!F$3*((1-Ft!F$6)/(1+Ft!F$37*($A142-Ft!F$2)^2)+Ft!F$6*EXP(Ft!F$38*($A142-Ft!F$2)^2)),Ft!F$3*((1-Ft!F$7)/(1+Ft!F$39*($A142-Ft!F$2)^2)+Ft!F$7*EXP(Ft!F$40*($A142-Ft!F$2)^2)))</f>
        <v>9.3735066872239151E-61</v>
      </c>
      <c r="K142" s="3">
        <f>IF(($A142-Ft!G$2)&lt;0,Ft!G$3*((1-Ft!G$6)/(1+Ft!G$37*($A142-Ft!G$2)^2)+Ft!G$6*EXP(Ft!G$38*($A142-Ft!G$2)^2)),Ft!G$3*((1-Ft!G$7)/(1+Ft!G$39*($A142-Ft!G$2)^2)+Ft!G$7*EXP(Ft!G$40*($A142-Ft!G$2)^2)))</f>
        <v>8.5172058669257691E-242</v>
      </c>
      <c r="L142" s="3">
        <f>IF(($A142-Ft!H$2)&lt;0,Ft!H$3*((1-Ft!H$6)/(1+Ft!H$37*($A142-Ft!H$2)^2)+Ft!H$6*EXP(Ft!H$38*($A142-Ft!H$2)^2)),Ft!H$3*((1-Ft!H$7)/(1+Ft!H$39*($A142-Ft!H$2)^2)+Ft!H$7*EXP(Ft!H$40*($A142-Ft!H$2)^2)))</f>
        <v>0</v>
      </c>
      <c r="M142" s="3">
        <f>IF(($A142-Ft!I$2)&lt;0,Ft!I$3*((1-Ft!I$6)/(1+Ft!I$37*($A142-Ft!I$2)^2)+Ft!I$6*EXP(Ft!I$38*($A142-Ft!I$2)^2)),Ft!I$3*((1-Ft!I$7)/(1+Ft!I$39*($A142-Ft!I$2)^2)+Ft!I$7*EXP(Ft!I$40*($A142-Ft!I$2)^2)))</f>
        <v>0</v>
      </c>
      <c r="N142" s="3">
        <f>IF(($A142-Ft!J$2)&lt;0,Ft!J$3*((1-Ft!J$6)/(1+Ft!J$37*($A142-Ft!J$2)^2)+Ft!J$6*EXP(Ft!J$38*($A142-Ft!J$2)^2)),Ft!J$3*((1-Ft!J$7)/(1+Ft!J$39*($A142-Ft!J$2)^2)+Ft!J$7*EXP(Ft!J$40*($A142-Ft!J$2)^2)))</f>
        <v>0</v>
      </c>
      <c r="O142" s="3">
        <f>IF(($A142-Ft!K$2)&lt;0,Ft!K$3*((1-Ft!K$6)/(1+Ft!K$37*($A142-Ft!K$2)^2)+Ft!K$6*EXP(Ft!K$38*($A142-Ft!K$2)^2)),Ft!K$3*((1-Ft!K$7)/(1+Ft!K$39*($A142-Ft!K$2)^2)+Ft!K$7*EXP(Ft!K$40*($A142-Ft!K$2)^2)))</f>
        <v>0</v>
      </c>
      <c r="P142"/>
      <c r="Q142"/>
    </row>
    <row r="143" spans="1:17">
      <c r="A143">
        <v>282</v>
      </c>
      <c r="B143">
        <v>12.597896596352001</v>
      </c>
      <c r="C143" s="6">
        <f t="shared" si="5"/>
        <v>12.68249043282646</v>
      </c>
      <c r="D143" s="19">
        <f t="shared" si="6"/>
        <v>7.1561171694675763E-3</v>
      </c>
      <c r="E143" s="3">
        <f>Ft!$B$12+Ft!$B$14*(Data!A143-Vars!$B$3)</f>
        <v>0</v>
      </c>
      <c r="F143" s="3">
        <f>IF(($A143-Ft!B$2)&lt;0,Ft!B$3*((1-Ft!B$6)/(1+Ft!B$37*($A143-Ft!B$2)^2)+Ft!B$6*EXP(Ft!B$38*($A143-Ft!B$2)^2)),Ft!B$3*((1-Ft!B$7)/(1+Ft!B$39*($A143-Ft!B$2)^2)+Ft!B$7*EXP(Ft!B$40*($A143-Ft!B$2)^2)))</f>
        <v>6.0980366619029516E-31</v>
      </c>
      <c r="G143" s="3">
        <f>IF(($A143-Ft!C$2)&lt;0,Ft!C$3*((1-Ft!C$6)/(1+Ft!C$37*($A143-Ft!C$2)^2)+Ft!C$6*EXP(Ft!C$38*($A143-Ft!C$2)^2)),Ft!C$3*((1-Ft!C$7)/(1+Ft!C$39*($A143-Ft!C$2)^2)+Ft!C$7*EXP(Ft!C$40*($A143-Ft!C$2)^2)))</f>
        <v>1.7148149394988179</v>
      </c>
      <c r="H143" s="3">
        <f>IF(($A143-Ft!D$2)&lt;0,Ft!D$3*((1-Ft!D$6)/(1+Ft!D$37*($A143-Ft!D$2)^2)+Ft!D$6*EXP(Ft!D$38*($A143-Ft!D$2)^2)),Ft!D$3*((1-Ft!D$7)/(1+Ft!D$39*($A143-Ft!D$2)^2)+Ft!D$7*EXP(Ft!D$40*($A143-Ft!D$2)^2)))</f>
        <v>10.957714797181174</v>
      </c>
      <c r="I143" s="3">
        <f>IF(($A143-Ft!E$2)&lt;0,Ft!E$3*((1-Ft!E$6)/(1+Ft!E$37*($A143-Ft!E$2)^2)+Ft!E$6*EXP(Ft!E$38*($A143-Ft!E$2)^2)),Ft!E$3*((1-Ft!E$7)/(1+Ft!E$39*($A143-Ft!E$2)^2)+Ft!E$7*EXP(Ft!E$40*($A143-Ft!E$2)^2)))</f>
        <v>9.96069614646981E-3</v>
      </c>
      <c r="J143" s="3">
        <f>IF(($A143-Ft!F$2)&lt;0,Ft!F$3*((1-Ft!F$6)/(1+Ft!F$37*($A143-Ft!F$2)^2)+Ft!F$6*EXP(Ft!F$38*($A143-Ft!F$2)^2)),Ft!F$3*((1-Ft!F$7)/(1+Ft!F$39*($A143-Ft!F$2)^2)+Ft!F$7*EXP(Ft!F$40*($A143-Ft!F$2)^2)))</f>
        <v>2.0339066967185469E-60</v>
      </c>
      <c r="K143" s="3">
        <f>IF(($A143-Ft!G$2)&lt;0,Ft!G$3*((1-Ft!G$6)/(1+Ft!G$37*($A143-Ft!G$2)^2)+Ft!G$6*EXP(Ft!G$38*($A143-Ft!G$2)^2)),Ft!G$3*((1-Ft!G$7)/(1+Ft!G$39*($A143-Ft!G$2)^2)+Ft!G$7*EXP(Ft!G$40*($A143-Ft!G$2)^2)))</f>
        <v>1.558396014809809E-240</v>
      </c>
      <c r="L143" s="3">
        <f>IF(($A143-Ft!H$2)&lt;0,Ft!H$3*((1-Ft!H$6)/(1+Ft!H$37*($A143-Ft!H$2)^2)+Ft!H$6*EXP(Ft!H$38*($A143-Ft!H$2)^2)),Ft!H$3*((1-Ft!H$7)/(1+Ft!H$39*($A143-Ft!H$2)^2)+Ft!H$7*EXP(Ft!H$40*($A143-Ft!H$2)^2)))</f>
        <v>0</v>
      </c>
      <c r="M143" s="3">
        <f>IF(($A143-Ft!I$2)&lt;0,Ft!I$3*((1-Ft!I$6)/(1+Ft!I$37*($A143-Ft!I$2)^2)+Ft!I$6*EXP(Ft!I$38*($A143-Ft!I$2)^2)),Ft!I$3*((1-Ft!I$7)/(1+Ft!I$39*($A143-Ft!I$2)^2)+Ft!I$7*EXP(Ft!I$40*($A143-Ft!I$2)^2)))</f>
        <v>0</v>
      </c>
      <c r="N143" s="3">
        <f>IF(($A143-Ft!J$2)&lt;0,Ft!J$3*((1-Ft!J$6)/(1+Ft!J$37*($A143-Ft!J$2)^2)+Ft!J$6*EXP(Ft!J$38*($A143-Ft!J$2)^2)),Ft!J$3*((1-Ft!J$7)/(1+Ft!J$39*($A143-Ft!J$2)^2)+Ft!J$7*EXP(Ft!J$40*($A143-Ft!J$2)^2)))</f>
        <v>0</v>
      </c>
      <c r="O143" s="3">
        <f>IF(($A143-Ft!K$2)&lt;0,Ft!K$3*((1-Ft!K$6)/(1+Ft!K$37*($A143-Ft!K$2)^2)+Ft!K$6*EXP(Ft!K$38*($A143-Ft!K$2)^2)),Ft!K$3*((1-Ft!K$7)/(1+Ft!K$39*($A143-Ft!K$2)^2)+Ft!K$7*EXP(Ft!K$40*($A143-Ft!K$2)^2)))</f>
        <v>0</v>
      </c>
      <c r="P143"/>
      <c r="Q143"/>
    </row>
    <row r="144" spans="1:17">
      <c r="A144">
        <v>284</v>
      </c>
      <c r="B144">
        <v>12.633500207840001</v>
      </c>
      <c r="C144" s="6">
        <f t="shared" si="5"/>
        <v>12.740403827605629</v>
      </c>
      <c r="D144" s="19">
        <f t="shared" si="6"/>
        <v>1.1428383918993996E-2</v>
      </c>
      <c r="E144" s="3">
        <f>Ft!$B$12+Ft!$B$14*(Data!A144-Vars!$B$3)</f>
        <v>0</v>
      </c>
      <c r="F144" s="3">
        <f>IF(($A144-Ft!B$2)&lt;0,Ft!B$3*((1-Ft!B$6)/(1+Ft!B$37*($A144-Ft!B$2)^2)+Ft!B$6*EXP(Ft!B$38*($A144-Ft!B$2)^2)),Ft!B$3*((1-Ft!B$7)/(1+Ft!B$39*($A144-Ft!B$2)^2)+Ft!B$7*EXP(Ft!B$40*($A144-Ft!B$2)^2)))</f>
        <v>1.8348943510592195E-31</v>
      </c>
      <c r="G144" s="3">
        <f>IF(($A144-Ft!C$2)&lt;0,Ft!C$3*((1-Ft!C$6)/(1+Ft!C$37*($A144-Ft!C$2)^2)+Ft!C$6*EXP(Ft!C$38*($A144-Ft!C$2)^2)),Ft!C$3*((1-Ft!C$7)/(1+Ft!C$39*($A144-Ft!C$2)^2)+Ft!C$7*EXP(Ft!C$40*($A144-Ft!C$2)^2)))</f>
        <v>1.6362728482299917</v>
      </c>
      <c r="H144" s="3">
        <f>IF(($A144-Ft!D$2)&lt;0,Ft!D$3*((1-Ft!D$6)/(1+Ft!D$37*($A144-Ft!D$2)^2)+Ft!D$6*EXP(Ft!D$38*($A144-Ft!D$2)^2)),Ft!D$3*((1-Ft!D$7)/(1+Ft!D$39*($A144-Ft!D$2)^2)+Ft!D$7*EXP(Ft!D$40*($A144-Ft!D$2)^2)))</f>
        <v>11.093614325527286</v>
      </c>
      <c r="I144" s="3">
        <f>IF(($A144-Ft!E$2)&lt;0,Ft!E$3*((1-Ft!E$6)/(1+Ft!E$37*($A144-Ft!E$2)^2)+Ft!E$6*EXP(Ft!E$38*($A144-Ft!E$2)^2)),Ft!E$3*((1-Ft!E$7)/(1+Ft!E$39*($A144-Ft!E$2)^2)+Ft!E$7*EXP(Ft!E$40*($A144-Ft!E$2)^2)))</f>
        <v>1.0516653848351619E-2</v>
      </c>
      <c r="J144" s="3">
        <f>IF(($A144-Ft!F$2)&lt;0,Ft!F$3*((1-Ft!F$6)/(1+Ft!F$37*($A144-Ft!F$2)^2)+Ft!F$6*EXP(Ft!F$38*($A144-Ft!F$2)^2)),Ft!F$3*((1-Ft!F$7)/(1+Ft!F$39*($A144-Ft!F$2)^2)+Ft!F$7*EXP(Ft!F$40*($A144-Ft!F$2)^2)))</f>
        <v>4.4037761299593554E-60</v>
      </c>
      <c r="K144" s="3">
        <f>IF(($A144-Ft!G$2)&lt;0,Ft!G$3*((1-Ft!G$6)/(1+Ft!G$37*($A144-Ft!G$2)^2)+Ft!G$6*EXP(Ft!G$38*($A144-Ft!G$2)^2)),Ft!G$3*((1-Ft!G$7)/(1+Ft!G$39*($A144-Ft!G$2)^2)+Ft!G$7*EXP(Ft!G$40*($A144-Ft!G$2)^2)))</f>
        <v>2.8297980661007489E-239</v>
      </c>
      <c r="L144" s="3">
        <f>IF(($A144-Ft!H$2)&lt;0,Ft!H$3*((1-Ft!H$6)/(1+Ft!H$37*($A144-Ft!H$2)^2)+Ft!H$6*EXP(Ft!H$38*($A144-Ft!H$2)^2)),Ft!H$3*((1-Ft!H$7)/(1+Ft!H$39*($A144-Ft!H$2)^2)+Ft!H$7*EXP(Ft!H$40*($A144-Ft!H$2)^2)))</f>
        <v>0</v>
      </c>
      <c r="M144" s="3">
        <f>IF(($A144-Ft!I$2)&lt;0,Ft!I$3*((1-Ft!I$6)/(1+Ft!I$37*($A144-Ft!I$2)^2)+Ft!I$6*EXP(Ft!I$38*($A144-Ft!I$2)^2)),Ft!I$3*((1-Ft!I$7)/(1+Ft!I$39*($A144-Ft!I$2)^2)+Ft!I$7*EXP(Ft!I$40*($A144-Ft!I$2)^2)))</f>
        <v>0</v>
      </c>
      <c r="N144" s="3">
        <f>IF(($A144-Ft!J$2)&lt;0,Ft!J$3*((1-Ft!J$6)/(1+Ft!J$37*($A144-Ft!J$2)^2)+Ft!J$6*EXP(Ft!J$38*($A144-Ft!J$2)^2)),Ft!J$3*((1-Ft!J$7)/(1+Ft!J$39*($A144-Ft!J$2)^2)+Ft!J$7*EXP(Ft!J$40*($A144-Ft!J$2)^2)))</f>
        <v>0</v>
      </c>
      <c r="O144" s="3">
        <f>IF(($A144-Ft!K$2)&lt;0,Ft!K$3*((1-Ft!K$6)/(1+Ft!K$37*($A144-Ft!K$2)^2)+Ft!K$6*EXP(Ft!K$38*($A144-Ft!K$2)^2)),Ft!K$3*((1-Ft!K$7)/(1+Ft!K$39*($A144-Ft!K$2)^2)+Ft!K$7*EXP(Ft!K$40*($A144-Ft!K$2)^2)))</f>
        <v>0</v>
      </c>
      <c r="P144"/>
      <c r="Q144"/>
    </row>
    <row r="145" spans="1:17">
      <c r="A145">
        <v>286</v>
      </c>
      <c r="B145">
        <v>12.675931864652</v>
      </c>
      <c r="C145" s="6">
        <f t="shared" si="5"/>
        <v>12.801000620842668</v>
      </c>
      <c r="D145" s="19">
        <f t="shared" si="6"/>
        <v>1.5642193775080766E-2</v>
      </c>
      <c r="E145" s="3">
        <f>Ft!$B$12+Ft!$B$14*(Data!A145-Vars!$B$3)</f>
        <v>0</v>
      </c>
      <c r="F145" s="3">
        <f>IF(($A145-Ft!B$2)&lt;0,Ft!B$3*((1-Ft!B$6)/(1+Ft!B$37*($A145-Ft!B$2)^2)+Ft!B$6*EXP(Ft!B$38*($A145-Ft!B$2)^2)),Ft!B$3*((1-Ft!B$7)/(1+Ft!B$39*($A145-Ft!B$2)^2)+Ft!B$7*EXP(Ft!B$40*($A145-Ft!B$2)^2)))</f>
        <v>5.465641939570986E-32</v>
      </c>
      <c r="G145" s="3">
        <f>IF(($A145-Ft!C$2)&lt;0,Ft!C$3*((1-Ft!C$6)/(1+Ft!C$37*($A145-Ft!C$2)^2)+Ft!C$6*EXP(Ft!C$38*($A145-Ft!C$2)^2)),Ft!C$3*((1-Ft!C$7)/(1+Ft!C$39*($A145-Ft!C$2)^2)+Ft!C$7*EXP(Ft!C$40*($A145-Ft!C$2)^2)))</f>
        <v>1.5603144180717754</v>
      </c>
      <c r="H145" s="3">
        <f>IF(($A145-Ft!D$2)&lt;0,Ft!D$3*((1-Ft!D$6)/(1+Ft!D$37*($A145-Ft!D$2)^2)+Ft!D$6*EXP(Ft!D$38*($A145-Ft!D$2)^2)),Ft!D$3*((1-Ft!D$7)/(1+Ft!D$39*($A145-Ft!D$2)^2)+Ft!D$7*EXP(Ft!D$40*($A145-Ft!D$2)^2)))</f>
        <v>11.229584795943824</v>
      </c>
      <c r="I145" s="3">
        <f>IF(($A145-Ft!E$2)&lt;0,Ft!E$3*((1-Ft!E$6)/(1+Ft!E$37*($A145-Ft!E$2)^2)+Ft!E$6*EXP(Ft!E$38*($A145-Ft!E$2)^2)),Ft!E$3*((1-Ft!E$7)/(1+Ft!E$39*($A145-Ft!E$2)^2)+Ft!E$7*EXP(Ft!E$40*($A145-Ft!E$2)^2)))</f>
        <v>1.1101406827070717E-2</v>
      </c>
      <c r="J145" s="3">
        <f>IF(($A145-Ft!F$2)&lt;0,Ft!F$3*((1-Ft!F$6)/(1+Ft!F$37*($A145-Ft!F$2)^2)+Ft!F$6*EXP(Ft!F$38*($A145-Ft!F$2)^2)),Ft!F$3*((1-Ft!F$7)/(1+Ft!F$39*($A145-Ft!F$2)^2)+Ft!F$7*EXP(Ft!F$40*($A145-Ft!F$2)^2)))</f>
        <v>9.5144724758575164E-60</v>
      </c>
      <c r="K145" s="3">
        <f>IF(($A145-Ft!G$2)&lt;0,Ft!G$3*((1-Ft!G$6)/(1+Ft!G$37*($A145-Ft!G$2)^2)+Ft!G$6*EXP(Ft!G$38*($A145-Ft!G$2)^2)),Ft!G$3*((1-Ft!G$7)/(1+Ft!G$39*($A145-Ft!G$2)^2)+Ft!G$7*EXP(Ft!G$40*($A145-Ft!G$2)^2)))</f>
        <v>5.099528157328892E-238</v>
      </c>
      <c r="L145" s="3">
        <f>IF(($A145-Ft!H$2)&lt;0,Ft!H$3*((1-Ft!H$6)/(1+Ft!H$37*($A145-Ft!H$2)^2)+Ft!H$6*EXP(Ft!H$38*($A145-Ft!H$2)^2)),Ft!H$3*((1-Ft!H$7)/(1+Ft!H$39*($A145-Ft!H$2)^2)+Ft!H$7*EXP(Ft!H$40*($A145-Ft!H$2)^2)))</f>
        <v>0</v>
      </c>
      <c r="M145" s="3">
        <f>IF(($A145-Ft!I$2)&lt;0,Ft!I$3*((1-Ft!I$6)/(1+Ft!I$37*($A145-Ft!I$2)^2)+Ft!I$6*EXP(Ft!I$38*($A145-Ft!I$2)^2)),Ft!I$3*((1-Ft!I$7)/(1+Ft!I$39*($A145-Ft!I$2)^2)+Ft!I$7*EXP(Ft!I$40*($A145-Ft!I$2)^2)))</f>
        <v>0</v>
      </c>
      <c r="N145" s="3">
        <f>IF(($A145-Ft!J$2)&lt;0,Ft!J$3*((1-Ft!J$6)/(1+Ft!J$37*($A145-Ft!J$2)^2)+Ft!J$6*EXP(Ft!J$38*($A145-Ft!J$2)^2)),Ft!J$3*((1-Ft!J$7)/(1+Ft!J$39*($A145-Ft!J$2)^2)+Ft!J$7*EXP(Ft!J$40*($A145-Ft!J$2)^2)))</f>
        <v>0</v>
      </c>
      <c r="O145" s="3">
        <f>IF(($A145-Ft!K$2)&lt;0,Ft!K$3*((1-Ft!K$6)/(1+Ft!K$37*($A145-Ft!K$2)^2)+Ft!K$6*EXP(Ft!K$38*($A145-Ft!K$2)^2)),Ft!K$3*((1-Ft!K$7)/(1+Ft!K$39*($A145-Ft!K$2)^2)+Ft!K$7*EXP(Ft!K$40*($A145-Ft!K$2)^2)))</f>
        <v>0</v>
      </c>
      <c r="P145"/>
      <c r="Q145"/>
    </row>
    <row r="146" spans="1:17">
      <c r="A146">
        <v>288</v>
      </c>
      <c r="B146">
        <v>12.722791238032002</v>
      </c>
      <c r="C146" s="6">
        <f t="shared" si="5"/>
        <v>12.86422011804456</v>
      </c>
      <c r="D146" s="19">
        <f t="shared" si="6"/>
        <v>2.0002128101606603E-2</v>
      </c>
      <c r="E146" s="3">
        <f>Ft!$B$12+Ft!$B$14*(Data!A146-Vars!$B$3)</f>
        <v>0</v>
      </c>
      <c r="F146" s="3">
        <f>IF(($A146-Ft!B$2)&lt;0,Ft!B$3*((1-Ft!B$6)/(1+Ft!B$37*($A146-Ft!B$2)^2)+Ft!B$6*EXP(Ft!B$38*($A146-Ft!B$2)^2)),Ft!B$3*((1-Ft!B$7)/(1+Ft!B$39*($A146-Ft!B$2)^2)+Ft!B$7*EXP(Ft!B$40*($A146-Ft!B$2)^2)))</f>
        <v>1.6116857706651344E-32</v>
      </c>
      <c r="G146" s="3">
        <f>IF(($A146-Ft!C$2)&lt;0,Ft!C$3*((1-Ft!C$6)/(1+Ft!C$37*($A146-Ft!C$2)^2)+Ft!C$6*EXP(Ft!C$38*($A146-Ft!C$2)^2)),Ft!C$3*((1-Ft!C$7)/(1+Ft!C$39*($A146-Ft!C$2)^2)+Ft!C$7*EXP(Ft!C$40*($A146-Ft!C$2)^2)))</f>
        <v>1.4869160575798821</v>
      </c>
      <c r="H146" s="3">
        <f>IF(($A146-Ft!D$2)&lt;0,Ft!D$3*((1-Ft!D$6)/(1+Ft!D$37*($A146-Ft!D$2)^2)+Ft!D$6*EXP(Ft!D$38*($A146-Ft!D$2)^2)),Ft!D$3*((1-Ft!D$7)/(1+Ft!D$39*($A146-Ft!D$2)^2)+Ft!D$7*EXP(Ft!D$40*($A146-Ft!D$2)^2)))</f>
        <v>11.365587746302682</v>
      </c>
      <c r="I146" s="3">
        <f>IF(($A146-Ft!E$2)&lt;0,Ft!E$3*((1-Ft!E$6)/(1+Ft!E$37*($A146-Ft!E$2)^2)+Ft!E$6*EXP(Ft!E$38*($A146-Ft!E$2)^2)),Ft!E$3*((1-Ft!E$7)/(1+Ft!E$39*($A146-Ft!E$2)^2)+Ft!E$7*EXP(Ft!E$40*($A146-Ft!E$2)^2)))</f>
        <v>1.1716314161997508E-2</v>
      </c>
      <c r="J146" s="3">
        <f>IF(($A146-Ft!F$2)&lt;0,Ft!F$3*((1-Ft!F$6)/(1+Ft!F$37*($A146-Ft!F$2)^2)+Ft!F$6*EXP(Ft!F$38*($A146-Ft!F$2)^2)),Ft!F$3*((1-Ft!F$7)/(1+Ft!F$39*($A146-Ft!F$2)^2)+Ft!F$7*EXP(Ft!F$40*($A146-Ft!F$2)^2)))</f>
        <v>2.0512069023359703E-59</v>
      </c>
      <c r="K146" s="3">
        <f>IF(($A146-Ft!G$2)&lt;0,Ft!G$3*((1-Ft!G$6)/(1+Ft!G$37*($A146-Ft!G$2)^2)+Ft!G$6*EXP(Ft!G$38*($A146-Ft!G$2)^2)),Ft!G$3*((1-Ft!G$7)/(1+Ft!G$39*($A146-Ft!G$2)^2)+Ft!G$7*EXP(Ft!G$40*($A146-Ft!G$2)^2)))</f>
        <v>9.1201393665141337E-237</v>
      </c>
      <c r="L146" s="3">
        <f>IF(($A146-Ft!H$2)&lt;0,Ft!H$3*((1-Ft!H$6)/(1+Ft!H$37*($A146-Ft!H$2)^2)+Ft!H$6*EXP(Ft!H$38*($A146-Ft!H$2)^2)),Ft!H$3*((1-Ft!H$7)/(1+Ft!H$39*($A146-Ft!H$2)^2)+Ft!H$7*EXP(Ft!H$40*($A146-Ft!H$2)^2)))</f>
        <v>0</v>
      </c>
      <c r="M146" s="3">
        <f>IF(($A146-Ft!I$2)&lt;0,Ft!I$3*((1-Ft!I$6)/(1+Ft!I$37*($A146-Ft!I$2)^2)+Ft!I$6*EXP(Ft!I$38*($A146-Ft!I$2)^2)),Ft!I$3*((1-Ft!I$7)/(1+Ft!I$39*($A146-Ft!I$2)^2)+Ft!I$7*EXP(Ft!I$40*($A146-Ft!I$2)^2)))</f>
        <v>0</v>
      </c>
      <c r="N146" s="3">
        <f>IF(($A146-Ft!J$2)&lt;0,Ft!J$3*((1-Ft!J$6)/(1+Ft!J$37*($A146-Ft!J$2)^2)+Ft!J$6*EXP(Ft!J$38*($A146-Ft!J$2)^2)),Ft!J$3*((1-Ft!J$7)/(1+Ft!J$39*($A146-Ft!J$2)^2)+Ft!J$7*EXP(Ft!J$40*($A146-Ft!J$2)^2)))</f>
        <v>0</v>
      </c>
      <c r="O146" s="3">
        <f>IF(($A146-Ft!K$2)&lt;0,Ft!K$3*((1-Ft!K$6)/(1+Ft!K$37*($A146-Ft!K$2)^2)+Ft!K$6*EXP(Ft!K$38*($A146-Ft!K$2)^2)),Ft!K$3*((1-Ft!K$7)/(1+Ft!K$39*($A146-Ft!K$2)^2)+Ft!K$7*EXP(Ft!K$40*($A146-Ft!K$2)^2)))</f>
        <v>0</v>
      </c>
      <c r="P146"/>
      <c r="Q146"/>
    </row>
    <row r="147" spans="1:17">
      <c r="A147">
        <v>290</v>
      </c>
      <c r="B147">
        <v>12.771377692784</v>
      </c>
      <c r="C147" s="6">
        <f t="shared" si="5"/>
        <v>12.929997432140018</v>
      </c>
      <c r="D147" s="19">
        <f t="shared" si="6"/>
        <v>2.5160221713371095E-2</v>
      </c>
      <c r="E147" s="3">
        <f>Ft!$B$12+Ft!$B$14*(Data!A147-Vars!$B$3)</f>
        <v>0</v>
      </c>
      <c r="F147" s="3">
        <f>IF(($A147-Ft!B$2)&lt;0,Ft!B$3*((1-Ft!B$6)/(1+Ft!B$37*($A147-Ft!B$2)^2)+Ft!B$6*EXP(Ft!B$38*($A147-Ft!B$2)^2)),Ft!B$3*((1-Ft!B$7)/(1+Ft!B$39*($A147-Ft!B$2)^2)+Ft!B$7*EXP(Ft!B$40*($A147-Ft!B$2)^2)))</f>
        <v>4.7046643766010758E-33</v>
      </c>
      <c r="G147" s="3">
        <f>IF(($A147-Ft!C$2)&lt;0,Ft!C$3*((1-Ft!C$6)/(1+Ft!C$37*($A147-Ft!C$2)^2)+Ft!C$6*EXP(Ft!C$38*($A147-Ft!C$2)^2)),Ft!C$3*((1-Ft!C$7)/(1+Ft!C$39*($A147-Ft!C$2)^2)+Ft!C$7*EXP(Ft!C$40*($A147-Ft!C$2)^2)))</f>
        <v>1.4160504087192189</v>
      </c>
      <c r="H147" s="3">
        <f>IF(($A147-Ft!D$2)&lt;0,Ft!D$3*((1-Ft!D$6)/(1+Ft!D$37*($A147-Ft!D$2)^2)+Ft!D$6*EXP(Ft!D$38*($A147-Ft!D$2)^2)),Ft!D$3*((1-Ft!D$7)/(1+Ft!D$39*($A147-Ft!D$2)^2)+Ft!D$7*EXP(Ft!D$40*($A147-Ft!D$2)^2)))</f>
        <v>11.501584231782465</v>
      </c>
      <c r="I147" s="3">
        <f>IF(($A147-Ft!E$2)&lt;0,Ft!E$3*((1-Ft!E$6)/(1+Ft!E$37*($A147-Ft!E$2)^2)+Ft!E$6*EXP(Ft!E$38*($A147-Ft!E$2)^2)),Ft!E$3*((1-Ft!E$7)/(1+Ft!E$39*($A147-Ft!E$2)^2)+Ft!E$7*EXP(Ft!E$40*($A147-Ft!E$2)^2)))</f>
        <v>1.2362791638334357E-2</v>
      </c>
      <c r="J147" s="3">
        <f>IF(($A147-Ft!F$2)&lt;0,Ft!F$3*((1-Ft!F$6)/(1+Ft!F$37*($A147-Ft!F$2)^2)+Ft!F$6*EXP(Ft!F$38*($A147-Ft!F$2)^2)),Ft!F$3*((1-Ft!F$7)/(1+Ft!F$39*($A147-Ft!F$2)^2)+Ft!F$7*EXP(Ft!F$40*($A147-Ft!F$2)^2)))</f>
        <v>4.4126501712321457E-59</v>
      </c>
      <c r="K147" s="3">
        <f>IF(($A147-Ft!G$2)&lt;0,Ft!G$3*((1-Ft!G$6)/(1+Ft!G$37*($A147-Ft!G$2)^2)+Ft!G$6*EXP(Ft!G$38*($A147-Ft!G$2)^2)),Ft!G$3*((1-Ft!G$7)/(1+Ft!G$39*($A147-Ft!G$2)^2)+Ft!G$7*EXP(Ft!G$40*($A147-Ft!G$2)^2)))</f>
        <v>1.6187131240534285E-235</v>
      </c>
      <c r="L147" s="3">
        <f>IF(($A147-Ft!H$2)&lt;0,Ft!H$3*((1-Ft!H$6)/(1+Ft!H$37*($A147-Ft!H$2)^2)+Ft!H$6*EXP(Ft!H$38*($A147-Ft!H$2)^2)),Ft!H$3*((1-Ft!H$7)/(1+Ft!H$39*($A147-Ft!H$2)^2)+Ft!H$7*EXP(Ft!H$40*($A147-Ft!H$2)^2)))</f>
        <v>0</v>
      </c>
      <c r="M147" s="3">
        <f>IF(($A147-Ft!I$2)&lt;0,Ft!I$3*((1-Ft!I$6)/(1+Ft!I$37*($A147-Ft!I$2)^2)+Ft!I$6*EXP(Ft!I$38*($A147-Ft!I$2)^2)),Ft!I$3*((1-Ft!I$7)/(1+Ft!I$39*($A147-Ft!I$2)^2)+Ft!I$7*EXP(Ft!I$40*($A147-Ft!I$2)^2)))</f>
        <v>0</v>
      </c>
      <c r="N147" s="3">
        <f>IF(($A147-Ft!J$2)&lt;0,Ft!J$3*((1-Ft!J$6)/(1+Ft!J$37*($A147-Ft!J$2)^2)+Ft!J$6*EXP(Ft!J$38*($A147-Ft!J$2)^2)),Ft!J$3*((1-Ft!J$7)/(1+Ft!J$39*($A147-Ft!J$2)^2)+Ft!J$7*EXP(Ft!J$40*($A147-Ft!J$2)^2)))</f>
        <v>0</v>
      </c>
      <c r="O147" s="3">
        <f>IF(($A147-Ft!K$2)&lt;0,Ft!K$3*((1-Ft!K$6)/(1+Ft!K$37*($A147-Ft!K$2)^2)+Ft!K$6*EXP(Ft!K$38*($A147-Ft!K$2)^2)),Ft!K$3*((1-Ft!K$7)/(1+Ft!K$39*($A147-Ft!K$2)^2)+Ft!K$7*EXP(Ft!K$40*($A147-Ft!K$2)^2)))</f>
        <v>0</v>
      </c>
      <c r="P147"/>
      <c r="Q147"/>
    </row>
    <row r="148" spans="1:17">
      <c r="A148">
        <v>292</v>
      </c>
      <c r="B148">
        <v>12.822378747504999</v>
      </c>
      <c r="C148" s="6">
        <f t="shared" si="5"/>
        <v>12.998263748632981</v>
      </c>
      <c r="D148" s="19">
        <f t="shared" si="6"/>
        <v>3.0935533621790308E-2</v>
      </c>
      <c r="E148" s="3">
        <f>Ft!$B$12+Ft!$B$14*(Data!A148-Vars!$B$3)</f>
        <v>0</v>
      </c>
      <c r="F148" s="3">
        <f>IF(($A148-Ft!B$2)&lt;0,Ft!B$3*((1-Ft!B$6)/(1+Ft!B$37*($A148-Ft!B$2)^2)+Ft!B$6*EXP(Ft!B$38*($A148-Ft!B$2)^2)),Ft!B$3*((1-Ft!B$7)/(1+Ft!B$39*($A148-Ft!B$2)^2)+Ft!B$7*EXP(Ft!B$40*($A148-Ft!B$2)^2)))</f>
        <v>1.3595212595789608E-33</v>
      </c>
      <c r="G148" s="3">
        <f>IF(($A148-Ft!C$2)&lt;0,Ft!C$3*((1-Ft!C$6)/(1+Ft!C$37*($A148-Ft!C$2)^2)+Ft!C$6*EXP(Ft!C$38*($A148-Ft!C$2)^2)),Ft!C$3*((1-Ft!C$7)/(1+Ft!C$39*($A148-Ft!C$2)^2)+Ft!C$7*EXP(Ft!C$40*($A148-Ft!C$2)^2)))</f>
        <v>1.347686593365693</v>
      </c>
      <c r="H148" s="3">
        <f>IF(($A148-Ft!D$2)&lt;0,Ft!D$3*((1-Ft!D$6)/(1+Ft!D$37*($A148-Ft!D$2)^2)+Ft!D$6*EXP(Ft!D$38*($A148-Ft!D$2)^2)),Ft!D$3*((1-Ft!D$7)/(1+Ft!D$39*($A148-Ft!D$2)^2)+Ft!D$7*EXP(Ft!D$40*($A148-Ft!D$2)^2)))</f>
        <v>11.637534841550888</v>
      </c>
      <c r="I148" s="3">
        <f>IF(($A148-Ft!E$2)&lt;0,Ft!E$3*((1-Ft!E$6)/(1+Ft!E$37*($A148-Ft!E$2)^2)+Ft!E$6*EXP(Ft!E$38*($A148-Ft!E$2)^2)),Ft!E$3*((1-Ft!E$7)/(1+Ft!E$39*($A148-Ft!E$2)^2)+Ft!E$7*EXP(Ft!E$40*($A148-Ft!E$2)^2)))</f>
        <v>1.3042313716399618E-2</v>
      </c>
      <c r="J148" s="3">
        <f>IF(($A148-Ft!F$2)&lt;0,Ft!F$3*((1-Ft!F$6)/(1+Ft!F$37*($A148-Ft!F$2)^2)+Ft!F$6*EXP(Ft!F$38*($A148-Ft!F$2)^2)),Ft!F$3*((1-Ft!F$7)/(1+Ft!F$39*($A148-Ft!F$2)^2)+Ft!F$7*EXP(Ft!F$40*($A148-Ft!F$2)^2)))</f>
        <v>9.4722859917850531E-59</v>
      </c>
      <c r="K148" s="3">
        <f>IF(($A148-Ft!G$2)&lt;0,Ft!G$3*((1-Ft!G$6)/(1+Ft!G$37*($A148-Ft!G$2)^2)+Ft!G$6*EXP(Ft!G$38*($A148-Ft!G$2)^2)),Ft!G$3*((1-Ft!G$7)/(1+Ft!G$39*($A148-Ft!G$2)^2)+Ft!G$7*EXP(Ft!G$40*($A148-Ft!G$2)^2)))</f>
        <v>2.8512495711455933E-234</v>
      </c>
      <c r="L148" s="3">
        <f>IF(($A148-Ft!H$2)&lt;0,Ft!H$3*((1-Ft!H$6)/(1+Ft!H$37*($A148-Ft!H$2)^2)+Ft!H$6*EXP(Ft!H$38*($A148-Ft!H$2)^2)),Ft!H$3*((1-Ft!H$7)/(1+Ft!H$39*($A148-Ft!H$2)^2)+Ft!H$7*EXP(Ft!H$40*($A148-Ft!H$2)^2)))</f>
        <v>0</v>
      </c>
      <c r="M148" s="3">
        <f>IF(($A148-Ft!I$2)&lt;0,Ft!I$3*((1-Ft!I$6)/(1+Ft!I$37*($A148-Ft!I$2)^2)+Ft!I$6*EXP(Ft!I$38*($A148-Ft!I$2)^2)),Ft!I$3*((1-Ft!I$7)/(1+Ft!I$39*($A148-Ft!I$2)^2)+Ft!I$7*EXP(Ft!I$40*($A148-Ft!I$2)^2)))</f>
        <v>0</v>
      </c>
      <c r="N148" s="3">
        <f>IF(($A148-Ft!J$2)&lt;0,Ft!J$3*((1-Ft!J$6)/(1+Ft!J$37*($A148-Ft!J$2)^2)+Ft!J$6*EXP(Ft!J$38*($A148-Ft!J$2)^2)),Ft!J$3*((1-Ft!J$7)/(1+Ft!J$39*($A148-Ft!J$2)^2)+Ft!J$7*EXP(Ft!J$40*($A148-Ft!J$2)^2)))</f>
        <v>0</v>
      </c>
      <c r="O148" s="3">
        <f>IF(($A148-Ft!K$2)&lt;0,Ft!K$3*((1-Ft!K$6)/(1+Ft!K$37*($A148-Ft!K$2)^2)+Ft!K$6*EXP(Ft!K$38*($A148-Ft!K$2)^2)),Ft!K$3*((1-Ft!K$7)/(1+Ft!K$39*($A148-Ft!K$2)^2)+Ft!K$7*EXP(Ft!K$40*($A148-Ft!K$2)^2)))</f>
        <v>0</v>
      </c>
      <c r="P148"/>
      <c r="Q148"/>
    </row>
    <row r="149" spans="1:17">
      <c r="A149">
        <v>294</v>
      </c>
      <c r="B149">
        <v>12.876481920787995</v>
      </c>
      <c r="C149" s="6">
        <f t="shared" si="5"/>
        <v>13.06894659082513</v>
      </c>
      <c r="D149" s="19">
        <f t="shared" si="6"/>
        <v>3.7042649212503026E-2</v>
      </c>
      <c r="E149" s="3">
        <f>Ft!$B$12+Ft!$B$14*(Data!A149-Vars!$B$3)</f>
        <v>0</v>
      </c>
      <c r="F149" s="3">
        <f>IF(($A149-Ft!B$2)&lt;0,Ft!B$3*((1-Ft!B$6)/(1+Ft!B$37*($A149-Ft!B$2)^2)+Ft!B$6*EXP(Ft!B$38*($A149-Ft!B$2)^2)),Ft!B$3*((1-Ft!B$7)/(1+Ft!B$39*($A149-Ft!B$2)^2)+Ft!B$7*EXP(Ft!B$40*($A149-Ft!B$2)^2)))</f>
        <v>3.889129822404078E-34</v>
      </c>
      <c r="G149" s="3">
        <f>IF(($A149-Ft!C$2)&lt;0,Ft!C$3*((1-Ft!C$6)/(1+Ft!C$37*($A149-Ft!C$2)^2)+Ft!C$6*EXP(Ft!C$38*($A149-Ft!C$2)^2)),Ft!C$3*((1-Ft!C$7)/(1+Ft!C$39*($A149-Ft!C$2)^2)+Ft!C$7*EXP(Ft!C$40*($A149-Ft!C$2)^2)))</f>
        <v>1.2817904592910321</v>
      </c>
      <c r="H149" s="3">
        <f>IF(($A149-Ft!D$2)&lt;0,Ft!D$3*((1-Ft!D$6)/(1+Ft!D$37*($A149-Ft!D$2)^2)+Ft!D$6*EXP(Ft!D$38*($A149-Ft!D$2)^2)),Ft!D$3*((1-Ft!D$7)/(1+Ft!D$39*($A149-Ft!D$2)^2)+Ft!D$7*EXP(Ft!D$40*($A149-Ft!D$2)^2)))</f>
        <v>11.773399715985006</v>
      </c>
      <c r="I149" s="3">
        <f>IF(($A149-Ft!E$2)&lt;0,Ft!E$3*((1-Ft!E$6)/(1+Ft!E$37*($A149-Ft!E$2)^2)+Ft!E$6*EXP(Ft!E$38*($A149-Ft!E$2)^2)),Ft!E$3*((1-Ft!E$7)/(1+Ft!E$39*($A149-Ft!E$2)^2)+Ft!E$7*EXP(Ft!E$40*($A149-Ft!E$2)^2)))</f>
        <v>1.3756415549091234E-2</v>
      </c>
      <c r="J149" s="3">
        <f>IF(($A149-Ft!F$2)&lt;0,Ft!F$3*((1-Ft!F$6)/(1+Ft!F$37*($A149-Ft!F$2)^2)+Ft!F$6*EXP(Ft!F$38*($A149-Ft!F$2)^2)),Ft!F$3*((1-Ft!F$7)/(1+Ft!F$39*($A149-Ft!F$2)^2)+Ft!F$7*EXP(Ft!F$40*($A149-Ft!F$2)^2)))</f>
        <v>2.0289688503980125E-58</v>
      </c>
      <c r="K149" s="3">
        <f>IF(($A149-Ft!G$2)&lt;0,Ft!G$3*((1-Ft!G$6)/(1+Ft!G$37*($A149-Ft!G$2)^2)+Ft!G$6*EXP(Ft!G$38*($A149-Ft!G$2)^2)),Ft!G$3*((1-Ft!G$7)/(1+Ft!G$39*($A149-Ft!G$2)^2)+Ft!G$7*EXP(Ft!G$40*($A149-Ft!G$2)^2)))</f>
        <v>4.9842235196285523E-233</v>
      </c>
      <c r="L149" s="3">
        <f>IF(($A149-Ft!H$2)&lt;0,Ft!H$3*((1-Ft!H$6)/(1+Ft!H$37*($A149-Ft!H$2)^2)+Ft!H$6*EXP(Ft!H$38*($A149-Ft!H$2)^2)),Ft!H$3*((1-Ft!H$7)/(1+Ft!H$39*($A149-Ft!H$2)^2)+Ft!H$7*EXP(Ft!H$40*($A149-Ft!H$2)^2)))</f>
        <v>0</v>
      </c>
      <c r="M149" s="3">
        <f>IF(($A149-Ft!I$2)&lt;0,Ft!I$3*((1-Ft!I$6)/(1+Ft!I$37*($A149-Ft!I$2)^2)+Ft!I$6*EXP(Ft!I$38*($A149-Ft!I$2)^2)),Ft!I$3*((1-Ft!I$7)/(1+Ft!I$39*($A149-Ft!I$2)^2)+Ft!I$7*EXP(Ft!I$40*($A149-Ft!I$2)^2)))</f>
        <v>0</v>
      </c>
      <c r="N149" s="3">
        <f>IF(($A149-Ft!J$2)&lt;0,Ft!J$3*((1-Ft!J$6)/(1+Ft!J$37*($A149-Ft!J$2)^2)+Ft!J$6*EXP(Ft!J$38*($A149-Ft!J$2)^2)),Ft!J$3*((1-Ft!J$7)/(1+Ft!J$39*($A149-Ft!J$2)^2)+Ft!J$7*EXP(Ft!J$40*($A149-Ft!J$2)^2)))</f>
        <v>0</v>
      </c>
      <c r="O149" s="3">
        <f>IF(($A149-Ft!K$2)&lt;0,Ft!K$3*((1-Ft!K$6)/(1+Ft!K$37*($A149-Ft!K$2)^2)+Ft!K$6*EXP(Ft!K$38*($A149-Ft!K$2)^2)),Ft!K$3*((1-Ft!K$7)/(1+Ft!K$39*($A149-Ft!K$2)^2)+Ft!K$7*EXP(Ft!K$40*($A149-Ft!K$2)^2)))</f>
        <v>0</v>
      </c>
      <c r="P149"/>
      <c r="Q149"/>
    </row>
    <row r="150" spans="1:17">
      <c r="A150">
        <v>296</v>
      </c>
      <c r="B150">
        <v>12.934374731229994</v>
      </c>
      <c r="C150" s="6">
        <f t="shared" si="5"/>
        <v>13.14197008418866</v>
      </c>
      <c r="D150" s="19">
        <f t="shared" si="6"/>
        <v>4.3095830570033231E-2</v>
      </c>
      <c r="E150" s="3">
        <f>Ft!$B$12+Ft!$B$14*(Data!A150-Vars!$B$3)</f>
        <v>0</v>
      </c>
      <c r="F150" s="3">
        <f>IF(($A150-Ft!B$2)&lt;0,Ft!B$3*((1-Ft!B$6)/(1+Ft!B$37*($A150-Ft!B$2)^2)+Ft!B$6*EXP(Ft!B$38*($A150-Ft!B$2)^2)),Ft!B$3*((1-Ft!B$7)/(1+Ft!B$39*($A150-Ft!B$2)^2)+Ft!B$7*EXP(Ft!B$40*($A150-Ft!B$2)^2)))</f>
        <v>1.1013565998897702E-34</v>
      </c>
      <c r="G150" s="3">
        <f>IF(($A150-Ft!C$2)&lt;0,Ft!C$3*((1-Ft!C$6)/(1+Ft!C$37*($A150-Ft!C$2)^2)+Ft!C$6*EXP(Ft!C$38*($A150-Ft!C$2)^2)),Ft!C$3*((1-Ft!C$7)/(1+Ft!C$39*($A150-Ft!C$2)^2)+Ft!C$7*EXP(Ft!C$40*($A150-Ft!C$2)^2)))</f>
        <v>1.2183248247203495</v>
      </c>
      <c r="H150" s="3">
        <f>IF(($A150-Ft!D$2)&lt;0,Ft!D$3*((1-Ft!D$6)/(1+Ft!D$37*($A150-Ft!D$2)^2)+Ft!D$6*EXP(Ft!D$38*($A150-Ft!D$2)^2)),Ft!D$3*((1-Ft!D$7)/(1+Ft!D$39*($A150-Ft!D$2)^2)+Ft!D$7*EXP(Ft!D$40*($A150-Ft!D$2)^2)))</f>
        <v>11.909138564420626</v>
      </c>
      <c r="I150" s="3">
        <f>IF(($A150-Ft!E$2)&lt;0,Ft!E$3*((1-Ft!E$6)/(1+Ft!E$37*($A150-Ft!E$2)^2)+Ft!E$6*EXP(Ft!E$38*($A150-Ft!E$2)^2)),Ft!E$3*((1-Ft!E$7)/(1+Ft!E$39*($A150-Ft!E$2)^2)+Ft!E$7*EXP(Ft!E$40*($A150-Ft!E$2)^2)))</f>
        <v>1.450669504768488E-2</v>
      </c>
      <c r="J150" s="3">
        <f>IF(($A150-Ft!F$2)&lt;0,Ft!F$3*((1-Ft!F$6)/(1+Ft!F$37*($A150-Ft!F$2)^2)+Ft!F$6*EXP(Ft!F$38*($A150-Ft!F$2)^2)),Ft!F$3*((1-Ft!F$7)/(1+Ft!F$39*($A150-Ft!F$2)^2)+Ft!F$7*EXP(Ft!F$40*($A150-Ft!F$2)^2)))</f>
        <v>4.3367184872007483E-58</v>
      </c>
      <c r="K150" s="3">
        <f>IF(($A150-Ft!G$2)&lt;0,Ft!G$3*((1-Ft!G$6)/(1+Ft!G$37*($A150-Ft!G$2)^2)+Ft!G$6*EXP(Ft!G$38*($A150-Ft!G$2)^2)),Ft!G$3*((1-Ft!G$7)/(1+Ft!G$39*($A150-Ft!G$2)^2)+Ft!G$7*EXP(Ft!G$40*($A150-Ft!G$2)^2)))</f>
        <v>8.6468259968695625E-232</v>
      </c>
      <c r="L150" s="3">
        <f>IF(($A150-Ft!H$2)&lt;0,Ft!H$3*((1-Ft!H$6)/(1+Ft!H$37*($A150-Ft!H$2)^2)+Ft!H$6*EXP(Ft!H$38*($A150-Ft!H$2)^2)),Ft!H$3*((1-Ft!H$7)/(1+Ft!H$39*($A150-Ft!H$2)^2)+Ft!H$7*EXP(Ft!H$40*($A150-Ft!H$2)^2)))</f>
        <v>0</v>
      </c>
      <c r="M150" s="3">
        <f>IF(($A150-Ft!I$2)&lt;0,Ft!I$3*((1-Ft!I$6)/(1+Ft!I$37*($A150-Ft!I$2)^2)+Ft!I$6*EXP(Ft!I$38*($A150-Ft!I$2)^2)),Ft!I$3*((1-Ft!I$7)/(1+Ft!I$39*($A150-Ft!I$2)^2)+Ft!I$7*EXP(Ft!I$40*($A150-Ft!I$2)^2)))</f>
        <v>0</v>
      </c>
      <c r="N150" s="3">
        <f>IF(($A150-Ft!J$2)&lt;0,Ft!J$3*((1-Ft!J$6)/(1+Ft!J$37*($A150-Ft!J$2)^2)+Ft!J$6*EXP(Ft!J$38*($A150-Ft!J$2)^2)),Ft!J$3*((1-Ft!J$7)/(1+Ft!J$39*($A150-Ft!J$2)^2)+Ft!J$7*EXP(Ft!J$40*($A150-Ft!J$2)^2)))</f>
        <v>0</v>
      </c>
      <c r="O150" s="3">
        <f>IF(($A150-Ft!K$2)&lt;0,Ft!K$3*((1-Ft!K$6)/(1+Ft!K$37*($A150-Ft!K$2)^2)+Ft!K$6*EXP(Ft!K$38*($A150-Ft!K$2)^2)),Ft!K$3*((1-Ft!K$7)/(1+Ft!K$39*($A150-Ft!K$2)^2)+Ft!K$7*EXP(Ft!K$40*($A150-Ft!K$2)^2)))</f>
        <v>0</v>
      </c>
      <c r="P150"/>
      <c r="Q150"/>
    </row>
    <row r="151" spans="1:17">
      <c r="A151">
        <v>298</v>
      </c>
      <c r="B151">
        <v>12.996744697425996</v>
      </c>
      <c r="C151" s="6">
        <f t="shared" si="5"/>
        <v>13.217255219020107</v>
      </c>
      <c r="D151" s="19">
        <f t="shared" si="6"/>
        <v>4.862489013370689E-2</v>
      </c>
      <c r="E151" s="3">
        <f>Ft!$B$12+Ft!$B$14*(Data!A151-Vars!$B$3)</f>
        <v>0</v>
      </c>
      <c r="F151" s="3">
        <f>IF(($A151-Ft!B$2)&lt;0,Ft!B$3*((1-Ft!B$6)/(1+Ft!B$37*($A151-Ft!B$2)^2)+Ft!B$6*EXP(Ft!B$38*($A151-Ft!B$2)^2)),Ft!B$3*((1-Ft!B$7)/(1+Ft!B$39*($A151-Ft!B$2)^2)+Ft!B$7*EXP(Ft!B$40*($A151-Ft!B$2)^2)))</f>
        <v>3.0875397512658808E-35</v>
      </c>
      <c r="G151" s="3">
        <f>IF(($A151-Ft!C$2)&lt;0,Ft!C$3*((1-Ft!C$6)/(1+Ft!C$37*($A151-Ft!C$2)^2)+Ft!C$6*EXP(Ft!C$38*($A151-Ft!C$2)^2)),Ft!C$3*((1-Ft!C$7)/(1+Ft!C$39*($A151-Ft!C$2)^2)+Ft!C$7*EXP(Ft!C$40*($A151-Ft!C$2)^2)))</f>
        <v>1.1572497206021661</v>
      </c>
      <c r="H151" s="3">
        <f>IF(($A151-Ft!D$2)&lt;0,Ft!D$3*((1-Ft!D$6)/(1+Ft!D$37*($A151-Ft!D$2)^2)+Ft!D$6*EXP(Ft!D$38*($A151-Ft!D$2)^2)),Ft!D$3*((1-Ft!D$7)/(1+Ft!D$39*($A151-Ft!D$2)^2)+Ft!D$7*EXP(Ft!D$40*($A151-Ft!D$2)^2)))</f>
        <v>12.044710683421881</v>
      </c>
      <c r="I151" s="3">
        <f>IF(($A151-Ft!E$2)&lt;0,Ft!E$3*((1-Ft!E$6)/(1+Ft!E$37*($A151-Ft!E$2)^2)+Ft!E$6*EXP(Ft!E$38*($A151-Ft!E$2)^2)),Ft!E$3*((1-Ft!E$7)/(1+Ft!E$39*($A151-Ft!E$2)^2)+Ft!E$7*EXP(Ft!E$40*($A151-Ft!E$2)^2)))</f>
        <v>1.5294814996059405E-2</v>
      </c>
      <c r="J151" s="3">
        <f>IF(($A151-Ft!F$2)&lt;0,Ft!F$3*((1-Ft!F$6)/(1+Ft!F$37*($A151-Ft!F$2)^2)+Ft!F$6*EXP(Ft!F$38*($A151-Ft!F$2)^2)),Ft!F$3*((1-Ft!F$7)/(1+Ft!F$39*($A151-Ft!F$2)^2)+Ft!F$7*EXP(Ft!F$40*($A151-Ft!F$2)^2)))</f>
        <v>9.2493743557431448E-58</v>
      </c>
      <c r="K151" s="3">
        <f>IF(($A151-Ft!G$2)&lt;0,Ft!G$3*((1-Ft!G$6)/(1+Ft!G$37*($A151-Ft!G$2)^2)+Ft!G$6*EXP(Ft!G$38*($A151-Ft!G$2)^2)),Ft!G$3*((1-Ft!G$7)/(1+Ft!G$39*($A151-Ft!G$2)^2)+Ft!G$7*EXP(Ft!G$40*($A151-Ft!G$2)^2)))</f>
        <v>1.4887194455939477E-230</v>
      </c>
      <c r="L151" s="3">
        <f>IF(($A151-Ft!H$2)&lt;0,Ft!H$3*((1-Ft!H$6)/(1+Ft!H$37*($A151-Ft!H$2)^2)+Ft!H$6*EXP(Ft!H$38*($A151-Ft!H$2)^2)),Ft!H$3*((1-Ft!H$7)/(1+Ft!H$39*($A151-Ft!H$2)^2)+Ft!H$7*EXP(Ft!H$40*($A151-Ft!H$2)^2)))</f>
        <v>0</v>
      </c>
      <c r="M151" s="3">
        <f>IF(($A151-Ft!I$2)&lt;0,Ft!I$3*((1-Ft!I$6)/(1+Ft!I$37*($A151-Ft!I$2)^2)+Ft!I$6*EXP(Ft!I$38*($A151-Ft!I$2)^2)),Ft!I$3*((1-Ft!I$7)/(1+Ft!I$39*($A151-Ft!I$2)^2)+Ft!I$7*EXP(Ft!I$40*($A151-Ft!I$2)^2)))</f>
        <v>0</v>
      </c>
      <c r="N151" s="3">
        <f>IF(($A151-Ft!J$2)&lt;0,Ft!J$3*((1-Ft!J$6)/(1+Ft!J$37*($A151-Ft!J$2)^2)+Ft!J$6*EXP(Ft!J$38*($A151-Ft!J$2)^2)),Ft!J$3*((1-Ft!J$7)/(1+Ft!J$39*($A151-Ft!J$2)^2)+Ft!J$7*EXP(Ft!J$40*($A151-Ft!J$2)^2)))</f>
        <v>0</v>
      </c>
      <c r="O151" s="3">
        <f>IF(($A151-Ft!K$2)&lt;0,Ft!K$3*((1-Ft!K$6)/(1+Ft!K$37*($A151-Ft!K$2)^2)+Ft!K$6*EXP(Ft!K$38*($A151-Ft!K$2)^2)),Ft!K$3*((1-Ft!K$7)/(1+Ft!K$39*($A151-Ft!K$2)^2)+Ft!K$7*EXP(Ft!K$40*($A151-Ft!K$2)^2)))</f>
        <v>0</v>
      </c>
      <c r="P151"/>
      <c r="Q151"/>
    </row>
    <row r="152" spans="1:17">
      <c r="A152">
        <v>300</v>
      </c>
      <c r="B152">
        <v>13.064279337971001</v>
      </c>
      <c r="C152" s="6">
        <f t="shared" si="5"/>
        <v>13.294720110556996</v>
      </c>
      <c r="D152" s="19">
        <f t="shared" si="6"/>
        <v>5.3102949670030236E-2</v>
      </c>
      <c r="E152" s="3">
        <f>Ft!$B$12+Ft!$B$14*(Data!A152-Vars!$B$3)</f>
        <v>0</v>
      </c>
      <c r="F152" s="3">
        <f>IF(($A152-Ft!B$2)&lt;0,Ft!B$3*((1-Ft!B$6)/(1+Ft!B$37*($A152-Ft!B$2)^2)+Ft!B$6*EXP(Ft!B$38*($A152-Ft!B$2)^2)),Ft!B$3*((1-Ft!B$7)/(1+Ft!B$39*($A152-Ft!B$2)^2)+Ft!B$7*EXP(Ft!B$40*($A152-Ft!B$2)^2)))</f>
        <v>8.5685283450996982E-36</v>
      </c>
      <c r="G152" s="3">
        <f>IF(($A152-Ft!C$2)&lt;0,Ft!C$3*((1-Ft!C$6)/(1+Ft!C$37*($A152-Ft!C$2)^2)+Ft!C$6*EXP(Ft!C$38*($A152-Ft!C$2)^2)),Ft!C$3*((1-Ft!C$7)/(1+Ft!C$39*($A152-Ft!C$2)^2)+Ft!C$7*EXP(Ft!C$40*($A152-Ft!C$2)^2)))</f>
        <v>1.0985226297824997</v>
      </c>
      <c r="H152" s="3">
        <f>IF(($A152-Ft!D$2)&lt;0,Ft!D$3*((1-Ft!D$6)/(1+Ft!D$37*($A152-Ft!D$2)^2)+Ft!D$6*EXP(Ft!D$38*($A152-Ft!D$2)^2)),Ft!D$3*((1-Ft!D$7)/(1+Ft!D$39*($A152-Ft!D$2)^2)+Ft!D$7*EXP(Ft!D$40*($A152-Ft!D$2)^2)))</f>
        <v>12.180074975561119</v>
      </c>
      <c r="I152" s="3">
        <f>IF(($A152-Ft!E$2)&lt;0,Ft!E$3*((1-Ft!E$6)/(1+Ft!E$37*($A152-Ft!E$2)^2)+Ft!E$6*EXP(Ft!E$38*($A152-Ft!E$2)^2)),Ft!E$3*((1-Ft!E$7)/(1+Ft!E$39*($A152-Ft!E$2)^2)+Ft!E$7*EXP(Ft!E$40*($A152-Ft!E$2)^2)))</f>
        <v>1.6122505213378178E-2</v>
      </c>
      <c r="J152" s="3">
        <f>IF(($A152-Ft!F$2)&lt;0,Ft!F$3*((1-Ft!F$6)/(1+Ft!F$37*($A152-Ft!F$2)^2)+Ft!F$6*EXP(Ft!F$38*($A152-Ft!F$2)^2)),Ft!F$3*((1-Ft!F$7)/(1+Ft!F$39*($A152-Ft!F$2)^2)+Ft!F$7*EXP(Ft!F$40*($A152-Ft!F$2)^2)))</f>
        <v>1.9684698047446955E-57</v>
      </c>
      <c r="K152" s="3">
        <f>IF(($A152-Ft!G$2)&lt;0,Ft!G$3*((1-Ft!G$6)/(1+Ft!G$37*($A152-Ft!G$2)^2)+Ft!G$6*EXP(Ft!G$38*($A152-Ft!G$2)^2)),Ft!G$3*((1-Ft!G$7)/(1+Ft!G$39*($A152-Ft!G$2)^2)+Ft!G$7*EXP(Ft!G$40*($A152-Ft!G$2)^2)))</f>
        <v>2.5437002626716193E-229</v>
      </c>
      <c r="L152" s="3">
        <f>IF(($A152-Ft!H$2)&lt;0,Ft!H$3*((1-Ft!H$6)/(1+Ft!H$37*($A152-Ft!H$2)^2)+Ft!H$6*EXP(Ft!H$38*($A152-Ft!H$2)^2)),Ft!H$3*((1-Ft!H$7)/(1+Ft!H$39*($A152-Ft!H$2)^2)+Ft!H$7*EXP(Ft!H$40*($A152-Ft!H$2)^2)))</f>
        <v>0</v>
      </c>
      <c r="M152" s="3">
        <f>IF(($A152-Ft!I$2)&lt;0,Ft!I$3*((1-Ft!I$6)/(1+Ft!I$37*($A152-Ft!I$2)^2)+Ft!I$6*EXP(Ft!I$38*($A152-Ft!I$2)^2)),Ft!I$3*((1-Ft!I$7)/(1+Ft!I$39*($A152-Ft!I$2)^2)+Ft!I$7*EXP(Ft!I$40*($A152-Ft!I$2)^2)))</f>
        <v>0</v>
      </c>
      <c r="N152" s="3">
        <f>IF(($A152-Ft!J$2)&lt;0,Ft!J$3*((1-Ft!J$6)/(1+Ft!J$37*($A152-Ft!J$2)^2)+Ft!J$6*EXP(Ft!J$38*($A152-Ft!J$2)^2)),Ft!J$3*((1-Ft!J$7)/(1+Ft!J$39*($A152-Ft!J$2)^2)+Ft!J$7*EXP(Ft!J$40*($A152-Ft!J$2)^2)))</f>
        <v>0</v>
      </c>
      <c r="O152" s="3">
        <f>IF(($A152-Ft!K$2)&lt;0,Ft!K$3*((1-Ft!K$6)/(1+Ft!K$37*($A152-Ft!K$2)^2)+Ft!K$6*EXP(Ft!K$38*($A152-Ft!K$2)^2)),Ft!K$3*((1-Ft!K$7)/(1+Ft!K$39*($A152-Ft!K$2)^2)+Ft!K$7*EXP(Ft!K$40*($A152-Ft!K$2)^2)))</f>
        <v>0</v>
      </c>
      <c r="P152"/>
      <c r="Q152"/>
    </row>
    <row r="153" spans="1:17">
      <c r="A153">
        <v>302</v>
      </c>
      <c r="B153">
        <v>13.137666171460992</v>
      </c>
      <c r="C153" s="6">
        <f t="shared" si="5"/>
        <v>13.374280255792034</v>
      </c>
      <c r="D153" s="19">
        <f t="shared" si="6"/>
        <v>5.598622490381705E-2</v>
      </c>
      <c r="E153" s="3">
        <f>Ft!$B$12+Ft!$B$14*(Data!A153-Vars!$B$3)</f>
        <v>0</v>
      </c>
      <c r="F153" s="3">
        <f>IF(($A153-Ft!B$2)&lt;0,Ft!B$3*((1-Ft!B$6)/(1+Ft!B$37*($A153-Ft!B$2)^2)+Ft!B$6*EXP(Ft!B$38*($A153-Ft!B$2)^2)),Ft!B$3*((1-Ft!B$7)/(1+Ft!B$39*($A153-Ft!B$2)^2)+Ft!B$7*EXP(Ft!B$40*($A153-Ft!B$2)^2)))</f>
        <v>2.3540137684293523E-36</v>
      </c>
      <c r="G153" s="3">
        <f>IF(($A153-Ft!C$2)&lt;0,Ft!C$3*((1-Ft!C$6)/(1+Ft!C$37*($A153-Ft!C$2)^2)+Ft!C$6*EXP(Ft!C$38*($A153-Ft!C$2)^2)),Ft!C$3*((1-Ft!C$7)/(1+Ft!C$39*($A153-Ft!C$2)^2)+Ft!C$7*EXP(Ft!C$40*($A153-Ft!C$2)^2)))</f>
        <v>1.0420987223281395</v>
      </c>
      <c r="H153" s="3">
        <f>IF(($A153-Ft!D$2)&lt;0,Ft!D$3*((1-Ft!D$6)/(1+Ft!D$37*($A153-Ft!D$2)^2)+Ft!D$6*EXP(Ft!D$38*($A153-Ft!D$2)^2)),Ft!D$3*((1-Ft!D$7)/(1+Ft!D$39*($A153-Ft!D$2)^2)+Ft!D$7*EXP(Ft!D$40*($A153-Ft!D$2)^2)))</f>
        <v>12.315189968698707</v>
      </c>
      <c r="I153" s="3">
        <f>IF(($A153-Ft!E$2)&lt;0,Ft!E$3*((1-Ft!E$6)/(1+Ft!E$37*($A153-Ft!E$2)^2)+Ft!E$6*EXP(Ft!E$38*($A153-Ft!E$2)^2)),Ft!E$3*((1-Ft!E$7)/(1+Ft!E$39*($A153-Ft!E$2)^2)+Ft!E$7*EXP(Ft!E$40*($A153-Ft!E$2)^2)))</f>
        <v>1.6991564765185756E-2</v>
      </c>
      <c r="J153" s="3">
        <f>IF(($A153-Ft!F$2)&lt;0,Ft!F$3*((1-Ft!F$6)/(1+Ft!F$37*($A153-Ft!F$2)^2)+Ft!F$6*EXP(Ft!F$38*($A153-Ft!F$2)^2)),Ft!F$3*((1-Ft!F$7)/(1+Ft!F$39*($A153-Ft!F$2)^2)+Ft!F$7*EXP(Ft!F$40*($A153-Ft!F$2)^2)))</f>
        <v>4.1803286978621788E-57</v>
      </c>
      <c r="K153" s="3">
        <f>IF(($A153-Ft!G$2)&lt;0,Ft!G$3*((1-Ft!G$6)/(1+Ft!G$37*($A153-Ft!G$2)^2)+Ft!G$6*EXP(Ft!G$38*($A153-Ft!G$2)^2)),Ft!G$3*((1-Ft!G$7)/(1+Ft!G$39*($A153-Ft!G$2)^2)+Ft!G$7*EXP(Ft!G$40*($A153-Ft!G$2)^2)))</f>
        <v>4.3133623249379721E-228</v>
      </c>
      <c r="L153" s="3">
        <f>IF(($A153-Ft!H$2)&lt;0,Ft!H$3*((1-Ft!H$6)/(1+Ft!H$37*($A153-Ft!H$2)^2)+Ft!H$6*EXP(Ft!H$38*($A153-Ft!H$2)^2)),Ft!H$3*((1-Ft!H$7)/(1+Ft!H$39*($A153-Ft!H$2)^2)+Ft!H$7*EXP(Ft!H$40*($A153-Ft!H$2)^2)))</f>
        <v>0</v>
      </c>
      <c r="M153" s="3">
        <f>IF(($A153-Ft!I$2)&lt;0,Ft!I$3*((1-Ft!I$6)/(1+Ft!I$37*($A153-Ft!I$2)^2)+Ft!I$6*EXP(Ft!I$38*($A153-Ft!I$2)^2)),Ft!I$3*((1-Ft!I$7)/(1+Ft!I$39*($A153-Ft!I$2)^2)+Ft!I$7*EXP(Ft!I$40*($A153-Ft!I$2)^2)))</f>
        <v>0</v>
      </c>
      <c r="N153" s="3">
        <f>IF(($A153-Ft!J$2)&lt;0,Ft!J$3*((1-Ft!J$6)/(1+Ft!J$37*($A153-Ft!J$2)^2)+Ft!J$6*EXP(Ft!J$38*($A153-Ft!J$2)^2)),Ft!J$3*((1-Ft!J$7)/(1+Ft!J$39*($A153-Ft!J$2)^2)+Ft!J$7*EXP(Ft!J$40*($A153-Ft!J$2)^2)))</f>
        <v>0</v>
      </c>
      <c r="O153" s="3">
        <f>IF(($A153-Ft!K$2)&lt;0,Ft!K$3*((1-Ft!K$6)/(1+Ft!K$37*($A153-Ft!K$2)^2)+Ft!K$6*EXP(Ft!K$38*($A153-Ft!K$2)^2)),Ft!K$3*((1-Ft!K$7)/(1+Ft!K$39*($A153-Ft!K$2)^2)+Ft!K$7*EXP(Ft!K$40*($A153-Ft!K$2)^2)))</f>
        <v>0</v>
      </c>
      <c r="P153"/>
      <c r="Q153"/>
    </row>
    <row r="154" spans="1:17">
      <c r="A154">
        <v>304</v>
      </c>
      <c r="B154">
        <v>13.218329941911989</v>
      </c>
      <c r="C154" s="6">
        <f t="shared" si="5"/>
        <v>13.455848786273418</v>
      </c>
      <c r="D154" s="19">
        <f t="shared" si="6"/>
        <v>5.6415201426788471E-2</v>
      </c>
      <c r="E154" s="3">
        <f>Ft!$B$12+Ft!$B$14*(Data!A154-Vars!$B$3)</f>
        <v>0</v>
      </c>
      <c r="F154" s="3">
        <f>IF(($A154-Ft!B$2)&lt;0,Ft!B$3*((1-Ft!B$6)/(1+Ft!B$37*($A154-Ft!B$2)^2)+Ft!B$6*EXP(Ft!B$38*($A154-Ft!B$2)^2)),Ft!B$3*((1-Ft!B$7)/(1+Ft!B$39*($A154-Ft!B$2)^2)+Ft!B$7*EXP(Ft!B$40*($A154-Ft!B$2)^2)))</f>
        <v>6.4020762227574218E-37</v>
      </c>
      <c r="G154" s="3">
        <f>IF(($A154-Ft!C$2)&lt;0,Ft!C$3*((1-Ft!C$6)/(1+Ft!C$37*($A154-Ft!C$2)^2)+Ft!C$6*EXP(Ft!C$38*($A154-Ft!C$2)^2)),Ft!C$3*((1-Ft!C$7)/(1+Ft!C$39*($A154-Ft!C$2)^2)+Ft!C$7*EXP(Ft!C$40*($A154-Ft!C$2)^2)))</f>
        <v>0.98793108629884807</v>
      </c>
      <c r="H154" s="3">
        <f>IF(($A154-Ft!D$2)&lt;0,Ft!D$3*((1-Ft!D$6)/(1+Ft!D$37*($A154-Ft!D$2)^2)+Ft!D$6*EXP(Ft!D$38*($A154-Ft!D$2)^2)),Ft!D$3*((1-Ft!D$7)/(1+Ft!D$39*($A154-Ft!D$2)^2)+Ft!D$7*EXP(Ft!D$40*($A154-Ft!D$2)^2)))</f>
        <v>12.450013835751761</v>
      </c>
      <c r="I154" s="3">
        <f>IF(($A154-Ft!E$2)&lt;0,Ft!E$3*((1-Ft!E$6)/(1+Ft!E$37*($A154-Ft!E$2)^2)+Ft!E$6*EXP(Ft!E$38*($A154-Ft!E$2)^2)),Ft!E$3*((1-Ft!E$7)/(1+Ft!E$39*($A154-Ft!E$2)^2)+Ft!E$7*EXP(Ft!E$40*($A154-Ft!E$2)^2)))</f>
        <v>1.7903864222807517E-2</v>
      </c>
      <c r="J154" s="3">
        <f>IF(($A154-Ft!F$2)&lt;0,Ft!F$3*((1-Ft!F$6)/(1+Ft!F$37*($A154-Ft!F$2)^2)+Ft!F$6*EXP(Ft!F$38*($A154-Ft!F$2)^2)),Ft!F$3*((1-Ft!F$7)/(1+Ft!F$39*($A154-Ft!F$2)^2)+Ft!F$7*EXP(Ft!F$40*($A154-Ft!F$2)^2)))</f>
        <v>8.8584426916105157E-57</v>
      </c>
      <c r="K154" s="3">
        <f>IF(($A154-Ft!G$2)&lt;0,Ft!G$3*((1-Ft!G$6)/(1+Ft!G$37*($A154-Ft!G$2)^2)+Ft!G$6*EXP(Ft!G$38*($A154-Ft!G$2)^2)),Ft!G$3*((1-Ft!G$7)/(1+Ft!G$39*($A154-Ft!G$2)^2)+Ft!G$7*EXP(Ft!G$40*($A154-Ft!G$2)^2)))</f>
        <v>7.2587673759153182E-227</v>
      </c>
      <c r="L154" s="3">
        <f>IF(($A154-Ft!H$2)&lt;0,Ft!H$3*((1-Ft!H$6)/(1+Ft!H$37*($A154-Ft!H$2)^2)+Ft!H$6*EXP(Ft!H$38*($A154-Ft!H$2)^2)),Ft!H$3*((1-Ft!H$7)/(1+Ft!H$39*($A154-Ft!H$2)^2)+Ft!H$7*EXP(Ft!H$40*($A154-Ft!H$2)^2)))</f>
        <v>0</v>
      </c>
      <c r="M154" s="3">
        <f>IF(($A154-Ft!I$2)&lt;0,Ft!I$3*((1-Ft!I$6)/(1+Ft!I$37*($A154-Ft!I$2)^2)+Ft!I$6*EXP(Ft!I$38*($A154-Ft!I$2)^2)),Ft!I$3*((1-Ft!I$7)/(1+Ft!I$39*($A154-Ft!I$2)^2)+Ft!I$7*EXP(Ft!I$40*($A154-Ft!I$2)^2)))</f>
        <v>0</v>
      </c>
      <c r="N154" s="3">
        <f>IF(($A154-Ft!J$2)&lt;0,Ft!J$3*((1-Ft!J$6)/(1+Ft!J$37*($A154-Ft!J$2)^2)+Ft!J$6*EXP(Ft!J$38*($A154-Ft!J$2)^2)),Ft!J$3*((1-Ft!J$7)/(1+Ft!J$39*($A154-Ft!J$2)^2)+Ft!J$7*EXP(Ft!J$40*($A154-Ft!J$2)^2)))</f>
        <v>0</v>
      </c>
      <c r="O154" s="3">
        <f>IF(($A154-Ft!K$2)&lt;0,Ft!K$3*((1-Ft!K$6)/(1+Ft!K$37*($A154-Ft!K$2)^2)+Ft!K$6*EXP(Ft!K$38*($A154-Ft!K$2)^2)),Ft!K$3*((1-Ft!K$7)/(1+Ft!K$39*($A154-Ft!K$2)^2)+Ft!K$7*EXP(Ft!K$40*($A154-Ft!K$2)^2)))</f>
        <v>0</v>
      </c>
      <c r="P154"/>
      <c r="Q154"/>
    </row>
    <row r="155" spans="1:17">
      <c r="A155">
        <v>306</v>
      </c>
      <c r="B155">
        <v>13.310229238931996</v>
      </c>
      <c r="C155" s="6">
        <f t="shared" si="5"/>
        <v>13.539336716234665</v>
      </c>
      <c r="D155" s="19">
        <f t="shared" si="6"/>
        <v>5.2490236155993145E-2</v>
      </c>
      <c r="E155" s="3">
        <f>Ft!$B$12+Ft!$B$14*(Data!A155-Vars!$B$3)</f>
        <v>0</v>
      </c>
      <c r="F155" s="3">
        <f>IF(($A155-Ft!B$2)&lt;0,Ft!B$3*((1-Ft!B$6)/(1+Ft!B$37*($A155-Ft!B$2)^2)+Ft!B$6*EXP(Ft!B$38*($A155-Ft!B$2)^2)),Ft!B$3*((1-Ft!B$7)/(1+Ft!B$39*($A155-Ft!B$2)^2)+Ft!B$7*EXP(Ft!B$40*($A155-Ft!B$2)^2)))</f>
        <v>1.7236209466862426E-37</v>
      </c>
      <c r="G155" s="3">
        <f>IF(($A155-Ft!C$2)&lt;0,Ft!C$3*((1-Ft!C$6)/(1+Ft!C$37*($A155-Ft!C$2)^2)+Ft!C$6*EXP(Ft!C$38*($A155-Ft!C$2)^2)),Ft!C$3*((1-Ft!C$7)/(1+Ft!C$39*($A155-Ft!C$2)^2)+Ft!C$7*EXP(Ft!C$40*($A155-Ft!C$2)^2)))</f>
        <v>0.9359709533237045</v>
      </c>
      <c r="H155" s="3">
        <f>IF(($A155-Ft!D$2)&lt;0,Ft!D$3*((1-Ft!D$6)/(1+Ft!D$37*($A155-Ft!D$2)^2)+Ft!D$6*EXP(Ft!D$38*($A155-Ft!D$2)^2)),Ft!D$3*((1-Ft!D$7)/(1+Ft!D$39*($A155-Ft!D$2)^2)+Ft!D$7*EXP(Ft!D$40*($A155-Ft!D$2)^2)))</f>
        <v>12.584504414940097</v>
      </c>
      <c r="I155" s="3">
        <f>IF(($A155-Ft!E$2)&lt;0,Ft!E$3*((1-Ft!E$6)/(1+Ft!E$37*($A155-Ft!E$2)^2)+Ft!E$6*EXP(Ft!E$38*($A155-Ft!E$2)^2)),Ft!E$3*((1-Ft!E$7)/(1+Ft!E$39*($A155-Ft!E$2)^2)+Ft!E$7*EXP(Ft!E$40*($A155-Ft!E$2)^2)))</f>
        <v>1.8861347970863182E-2</v>
      </c>
      <c r="J155" s="3">
        <f>IF(($A155-Ft!F$2)&lt;0,Ft!F$3*((1-Ft!F$6)/(1+Ft!F$37*($A155-Ft!F$2)^2)+Ft!F$6*EXP(Ft!F$38*($A155-Ft!F$2)^2)),Ft!F$3*((1-Ft!F$7)/(1+Ft!F$39*($A155-Ft!F$2)^2)+Ft!F$7*EXP(Ft!F$40*($A155-Ft!F$2)^2)))</f>
        <v>1.8731372582740491E-56</v>
      </c>
      <c r="K155" s="3">
        <f>IF(($A155-Ft!G$2)&lt;0,Ft!G$3*((1-Ft!G$6)/(1+Ft!G$37*($A155-Ft!G$2)^2)+Ft!G$6*EXP(Ft!G$38*($A155-Ft!G$2)^2)),Ft!G$3*((1-Ft!G$7)/(1+Ft!G$39*($A155-Ft!G$2)^2)+Ft!G$7*EXP(Ft!G$40*($A155-Ft!G$2)^2)))</f>
        <v>1.2122906309487286E-225</v>
      </c>
      <c r="L155" s="3">
        <f>IF(($A155-Ft!H$2)&lt;0,Ft!H$3*((1-Ft!H$6)/(1+Ft!H$37*($A155-Ft!H$2)^2)+Ft!H$6*EXP(Ft!H$38*($A155-Ft!H$2)^2)),Ft!H$3*((1-Ft!H$7)/(1+Ft!H$39*($A155-Ft!H$2)^2)+Ft!H$7*EXP(Ft!H$40*($A155-Ft!H$2)^2)))</f>
        <v>0</v>
      </c>
      <c r="M155" s="3">
        <f>IF(($A155-Ft!I$2)&lt;0,Ft!I$3*((1-Ft!I$6)/(1+Ft!I$37*($A155-Ft!I$2)^2)+Ft!I$6*EXP(Ft!I$38*($A155-Ft!I$2)^2)),Ft!I$3*((1-Ft!I$7)/(1+Ft!I$39*($A155-Ft!I$2)^2)+Ft!I$7*EXP(Ft!I$40*($A155-Ft!I$2)^2)))</f>
        <v>0</v>
      </c>
      <c r="N155" s="3">
        <f>IF(($A155-Ft!J$2)&lt;0,Ft!J$3*((1-Ft!J$6)/(1+Ft!J$37*($A155-Ft!J$2)^2)+Ft!J$6*EXP(Ft!J$38*($A155-Ft!J$2)^2)),Ft!J$3*((1-Ft!J$7)/(1+Ft!J$39*($A155-Ft!J$2)^2)+Ft!J$7*EXP(Ft!J$40*($A155-Ft!J$2)^2)))</f>
        <v>0</v>
      </c>
      <c r="O155" s="3">
        <f>IF(($A155-Ft!K$2)&lt;0,Ft!K$3*((1-Ft!K$6)/(1+Ft!K$37*($A155-Ft!K$2)^2)+Ft!K$6*EXP(Ft!K$38*($A155-Ft!K$2)^2)),Ft!K$3*((1-Ft!K$7)/(1+Ft!K$39*($A155-Ft!K$2)^2)+Ft!K$7*EXP(Ft!K$40*($A155-Ft!K$2)^2)))</f>
        <v>0</v>
      </c>
      <c r="P155"/>
      <c r="Q155"/>
    </row>
    <row r="156" spans="1:17">
      <c r="A156">
        <v>308</v>
      </c>
      <c r="B156">
        <v>13.411844087108989</v>
      </c>
      <c r="C156" s="6">
        <f t="shared" si="5"/>
        <v>13.624653185452495</v>
      </c>
      <c r="D156" s="19">
        <f t="shared" si="6"/>
        <v>4.5287712337775926E-2</v>
      </c>
      <c r="E156" s="3">
        <f>Ft!$B$12+Ft!$B$14*(Data!A156-Vars!$B$3)</f>
        <v>0</v>
      </c>
      <c r="F156" s="3">
        <f>IF(($A156-Ft!B$2)&lt;0,Ft!B$3*((1-Ft!B$6)/(1+Ft!B$37*($A156-Ft!B$2)^2)+Ft!B$6*EXP(Ft!B$38*($A156-Ft!B$2)^2)),Ft!B$3*((1-Ft!B$7)/(1+Ft!B$39*($A156-Ft!B$2)^2)+Ft!B$7*EXP(Ft!B$40*($A156-Ft!B$2)^2)))</f>
        <v>4.5937966532631466E-38</v>
      </c>
      <c r="G156" s="3">
        <f>IF(($A156-Ft!C$2)&lt;0,Ft!C$3*((1-Ft!C$6)/(1+Ft!C$37*($A156-Ft!C$2)^2)+Ft!C$6*EXP(Ft!C$38*($A156-Ft!C$2)^2)),Ft!C$3*((1-Ft!C$7)/(1+Ft!C$39*($A156-Ft!C$2)^2)+Ft!C$7*EXP(Ft!C$40*($A156-Ft!C$2)^2)))</f>
        <v>0.8861679183926946</v>
      </c>
      <c r="H156" s="3">
        <f>IF(($A156-Ft!D$2)&lt;0,Ft!D$3*((1-Ft!D$6)/(1+Ft!D$37*($A156-Ft!D$2)^2)+Ft!D$6*EXP(Ft!D$38*($A156-Ft!D$2)^2)),Ft!D$3*((1-Ft!D$7)/(1+Ft!D$39*($A156-Ft!D$2)^2)+Ft!D$7*EXP(Ft!D$40*($A156-Ft!D$2)^2)))</f>
        <v>12.718619230497174</v>
      </c>
      <c r="I156" s="3">
        <f>IF(($A156-Ft!E$2)&lt;0,Ft!E$3*((1-Ft!E$6)/(1+Ft!E$37*($A156-Ft!E$2)^2)+Ft!E$6*EXP(Ft!E$38*($A156-Ft!E$2)^2)),Ft!E$3*((1-Ft!E$7)/(1+Ft!E$39*($A156-Ft!E$2)^2)+Ft!E$7*EXP(Ft!E$40*($A156-Ft!E$2)^2)))</f>
        <v>1.986603656262657E-2</v>
      </c>
      <c r="J156" s="3">
        <f>IF(($A156-Ft!F$2)&lt;0,Ft!F$3*((1-Ft!F$6)/(1+Ft!F$37*($A156-Ft!F$2)^2)+Ft!F$6*EXP(Ft!F$38*($A156-Ft!F$2)^2)),Ft!F$3*((1-Ft!F$7)/(1+Ft!F$39*($A156-Ft!F$2)^2)+Ft!F$7*EXP(Ft!F$40*($A156-Ft!F$2)^2)))</f>
        <v>3.9522744889468384E-56</v>
      </c>
      <c r="K156" s="3">
        <f>IF(($A156-Ft!G$2)&lt;0,Ft!G$3*((1-Ft!G$6)/(1+Ft!G$37*($A156-Ft!G$2)^2)+Ft!G$6*EXP(Ft!G$38*($A156-Ft!G$2)^2)),Ft!G$3*((1-Ft!G$7)/(1+Ft!G$39*($A156-Ft!G$2)^2)+Ft!G$7*EXP(Ft!G$40*($A156-Ft!G$2)^2)))</f>
        <v>2.0093128009358274E-224</v>
      </c>
      <c r="L156" s="3">
        <f>IF(($A156-Ft!H$2)&lt;0,Ft!H$3*((1-Ft!H$6)/(1+Ft!H$37*($A156-Ft!H$2)^2)+Ft!H$6*EXP(Ft!H$38*($A156-Ft!H$2)^2)),Ft!H$3*((1-Ft!H$7)/(1+Ft!H$39*($A156-Ft!H$2)^2)+Ft!H$7*EXP(Ft!H$40*($A156-Ft!H$2)^2)))</f>
        <v>0</v>
      </c>
      <c r="M156" s="3">
        <f>IF(($A156-Ft!I$2)&lt;0,Ft!I$3*((1-Ft!I$6)/(1+Ft!I$37*($A156-Ft!I$2)^2)+Ft!I$6*EXP(Ft!I$38*($A156-Ft!I$2)^2)),Ft!I$3*((1-Ft!I$7)/(1+Ft!I$39*($A156-Ft!I$2)^2)+Ft!I$7*EXP(Ft!I$40*($A156-Ft!I$2)^2)))</f>
        <v>0</v>
      </c>
      <c r="N156" s="3">
        <f>IF(($A156-Ft!J$2)&lt;0,Ft!J$3*((1-Ft!J$6)/(1+Ft!J$37*($A156-Ft!J$2)^2)+Ft!J$6*EXP(Ft!J$38*($A156-Ft!J$2)^2)),Ft!J$3*((1-Ft!J$7)/(1+Ft!J$39*($A156-Ft!J$2)^2)+Ft!J$7*EXP(Ft!J$40*($A156-Ft!J$2)^2)))</f>
        <v>0</v>
      </c>
      <c r="O156" s="3">
        <f>IF(($A156-Ft!K$2)&lt;0,Ft!K$3*((1-Ft!K$6)/(1+Ft!K$37*($A156-Ft!K$2)^2)+Ft!K$6*EXP(Ft!K$38*($A156-Ft!K$2)^2)),Ft!K$3*((1-Ft!K$7)/(1+Ft!K$39*($A156-Ft!K$2)^2)+Ft!K$7*EXP(Ft!K$40*($A156-Ft!K$2)^2)))</f>
        <v>0</v>
      </c>
      <c r="P156"/>
      <c r="Q156"/>
    </row>
    <row r="157" spans="1:17">
      <c r="A157">
        <v>310</v>
      </c>
      <c r="B157">
        <v>13.520789254326999</v>
      </c>
      <c r="C157" s="6">
        <f t="shared" si="5"/>
        <v>13.711705696286694</v>
      </c>
      <c r="D157" s="19">
        <f t="shared" si="6"/>
        <v>3.6449087810549646E-2</v>
      </c>
      <c r="E157" s="3">
        <f>Ft!$B$12+Ft!$B$14*(Data!A157-Vars!$B$3)</f>
        <v>0</v>
      </c>
      <c r="F157" s="3">
        <f>IF(($A157-Ft!B$2)&lt;0,Ft!B$3*((1-Ft!B$6)/(1+Ft!B$37*($A157-Ft!B$2)^2)+Ft!B$6*EXP(Ft!B$38*($A157-Ft!B$2)^2)),Ft!B$3*((1-Ft!B$7)/(1+Ft!B$39*($A157-Ft!B$2)^2)+Ft!B$7*EXP(Ft!B$40*($A157-Ft!B$2)^2)))</f>
        <v>1.2120229730475019E-38</v>
      </c>
      <c r="G157" s="3">
        <f>IF(($A157-Ft!C$2)&lt;0,Ft!C$3*((1-Ft!C$6)/(1+Ft!C$37*($A157-Ft!C$2)^2)+Ft!C$6*EXP(Ft!C$38*($A157-Ft!C$2)^2)),Ft!C$3*((1-Ft!C$7)/(1+Ft!C$39*($A157-Ft!C$2)^2)+Ft!C$7*EXP(Ft!C$40*($A157-Ft!C$2)^2)))</f>
        <v>0.83847015333067065</v>
      </c>
      <c r="H157" s="3">
        <f>IF(($A157-Ft!D$2)&lt;0,Ft!D$3*((1-Ft!D$6)/(1+Ft!D$37*($A157-Ft!D$2)^2)+Ft!D$6*EXP(Ft!D$38*($A157-Ft!D$2)^2)),Ft!D$3*((1-Ft!D$7)/(1+Ft!D$39*($A157-Ft!D$2)^2)+Ft!D$7*EXP(Ft!D$40*($A157-Ft!D$2)^2)))</f>
        <v>12.852315513833146</v>
      </c>
      <c r="I157" s="3">
        <f>IF(($A157-Ft!E$2)&lt;0,Ft!E$3*((1-Ft!E$6)/(1+Ft!E$37*($A157-Ft!E$2)^2)+Ft!E$6*EXP(Ft!E$38*($A157-Ft!E$2)^2)),Ft!E$3*((1-Ft!E$7)/(1+Ft!E$39*($A157-Ft!E$2)^2)+Ft!E$7*EXP(Ft!E$40*($A157-Ft!E$2)^2)))</f>
        <v>2.092002912287861E-2</v>
      </c>
      <c r="J157" s="3">
        <f>IF(($A157-Ft!F$2)&lt;0,Ft!F$3*((1-Ft!F$6)/(1+Ft!F$37*($A157-Ft!F$2)^2)+Ft!F$6*EXP(Ft!F$38*($A157-Ft!F$2)^2)),Ft!F$3*((1-Ft!F$7)/(1+Ft!F$39*($A157-Ft!F$2)^2)+Ft!F$7*EXP(Ft!F$40*($A157-Ft!F$2)^2)))</f>
        <v>8.3212749077261585E-56</v>
      </c>
      <c r="K157" s="3">
        <f>IF(($A157-Ft!G$2)&lt;0,Ft!G$3*((1-Ft!G$6)/(1+Ft!G$37*($A157-Ft!G$2)^2)+Ft!G$6*EXP(Ft!G$38*($A157-Ft!G$2)^2)),Ft!G$3*((1-Ft!G$7)/(1+Ft!G$39*($A157-Ft!G$2)^2)+Ft!G$7*EXP(Ft!G$40*($A157-Ft!G$2)^2)))</f>
        <v>3.305105185107756E-223</v>
      </c>
      <c r="L157" s="3">
        <f>IF(($A157-Ft!H$2)&lt;0,Ft!H$3*((1-Ft!H$6)/(1+Ft!H$37*($A157-Ft!H$2)^2)+Ft!H$6*EXP(Ft!H$38*($A157-Ft!H$2)^2)),Ft!H$3*((1-Ft!H$7)/(1+Ft!H$39*($A157-Ft!H$2)^2)+Ft!H$7*EXP(Ft!H$40*($A157-Ft!H$2)^2)))</f>
        <v>0</v>
      </c>
      <c r="M157" s="3">
        <f>IF(($A157-Ft!I$2)&lt;0,Ft!I$3*((1-Ft!I$6)/(1+Ft!I$37*($A157-Ft!I$2)^2)+Ft!I$6*EXP(Ft!I$38*($A157-Ft!I$2)^2)),Ft!I$3*((1-Ft!I$7)/(1+Ft!I$39*($A157-Ft!I$2)^2)+Ft!I$7*EXP(Ft!I$40*($A157-Ft!I$2)^2)))</f>
        <v>0</v>
      </c>
      <c r="N157" s="3">
        <f>IF(($A157-Ft!J$2)&lt;0,Ft!J$3*((1-Ft!J$6)/(1+Ft!J$37*($A157-Ft!J$2)^2)+Ft!J$6*EXP(Ft!J$38*($A157-Ft!J$2)^2)),Ft!J$3*((1-Ft!J$7)/(1+Ft!J$39*($A157-Ft!J$2)^2)+Ft!J$7*EXP(Ft!J$40*($A157-Ft!J$2)^2)))</f>
        <v>0</v>
      </c>
      <c r="O157" s="3">
        <f>IF(($A157-Ft!K$2)&lt;0,Ft!K$3*((1-Ft!K$6)/(1+Ft!K$37*($A157-Ft!K$2)^2)+Ft!K$6*EXP(Ft!K$38*($A157-Ft!K$2)^2)),Ft!K$3*((1-Ft!K$7)/(1+Ft!K$39*($A157-Ft!K$2)^2)+Ft!K$7*EXP(Ft!K$40*($A157-Ft!K$2)^2)))</f>
        <v>0</v>
      </c>
      <c r="P157"/>
      <c r="Q157"/>
    </row>
    <row r="158" spans="1:17">
      <c r="A158">
        <v>312</v>
      </c>
      <c r="B158">
        <v>13.634679508473994</v>
      </c>
      <c r="C158" s="6">
        <f t="shared" si="5"/>
        <v>13.800400344410976</v>
      </c>
      <c r="D158" s="19">
        <f t="shared" si="6"/>
        <v>2.746339546365216E-2</v>
      </c>
      <c r="E158" s="3">
        <f>Ft!$B$12+Ft!$B$14*(Data!A158-Vars!$B$3)</f>
        <v>0</v>
      </c>
      <c r="F158" s="3">
        <f>IF(($A158-Ft!B$2)&lt;0,Ft!B$3*((1-Ft!B$6)/(1+Ft!B$37*($A158-Ft!B$2)^2)+Ft!B$6*EXP(Ft!B$38*($A158-Ft!B$2)^2)),Ft!B$3*((1-Ft!B$7)/(1+Ft!B$39*($A158-Ft!B$2)^2)+Ft!B$7*EXP(Ft!B$40*($A158-Ft!B$2)^2)))</f>
        <v>3.165621721207183E-39</v>
      </c>
      <c r="G158" s="3">
        <f>IF(($A158-Ft!C$2)&lt;0,Ft!C$3*((1-Ft!C$6)/(1+Ft!C$37*($A158-Ft!C$2)^2)+Ft!C$6*EXP(Ft!C$38*($A158-Ft!C$2)^2)),Ft!C$3*((1-Ft!C$7)/(1+Ft!C$39*($A158-Ft!C$2)^2)+Ft!C$7*EXP(Ft!C$40*($A158-Ft!C$2)^2)))</f>
        <v>0.7928246134766046</v>
      </c>
      <c r="H158" s="3">
        <f>IF(($A158-Ft!D$2)&lt;0,Ft!D$3*((1-Ft!D$6)/(1+Ft!D$37*($A158-Ft!D$2)^2)+Ft!D$6*EXP(Ft!D$38*($A158-Ft!D$2)^2)),Ft!D$3*((1-Ft!D$7)/(1+Ft!D$39*($A158-Ft!D$2)^2)+Ft!D$7*EXP(Ft!D$40*($A158-Ft!D$2)^2)))</f>
        <v>12.985550225136556</v>
      </c>
      <c r="I158" s="3">
        <f>IF(($A158-Ft!E$2)&lt;0,Ft!E$3*((1-Ft!E$6)/(1+Ft!E$37*($A158-Ft!E$2)^2)+Ft!E$6*EXP(Ft!E$38*($A158-Ft!E$2)^2)),Ft!E$3*((1-Ft!E$7)/(1+Ft!E$39*($A158-Ft!E$2)^2)+Ft!E$7*EXP(Ft!E$40*($A158-Ft!E$2)^2)))</f>
        <v>2.2025505797814801E-2</v>
      </c>
      <c r="J158" s="3">
        <f>IF(($A158-Ft!F$2)&lt;0,Ft!F$3*((1-Ft!F$6)/(1+Ft!F$37*($A158-Ft!F$2)^2)+Ft!F$6*EXP(Ft!F$38*($A158-Ft!F$2)^2)),Ft!F$3*((1-Ft!F$7)/(1+Ft!F$39*($A158-Ft!F$2)^2)+Ft!F$7*EXP(Ft!F$40*($A158-Ft!F$2)^2)))</f>
        <v>1.7482273687222929E-55</v>
      </c>
      <c r="K158" s="3">
        <f>IF(($A158-Ft!G$2)&lt;0,Ft!G$3*((1-Ft!G$6)/(1+Ft!G$37*($A158-Ft!G$2)^2)+Ft!G$6*EXP(Ft!G$38*($A158-Ft!G$2)^2)),Ft!G$3*((1-Ft!G$7)/(1+Ft!G$39*($A158-Ft!G$2)^2)+Ft!G$7*EXP(Ft!G$40*($A158-Ft!G$2)^2)))</f>
        <v>5.3953540890389406E-222</v>
      </c>
      <c r="L158" s="3">
        <f>IF(($A158-Ft!H$2)&lt;0,Ft!H$3*((1-Ft!H$6)/(1+Ft!H$37*($A158-Ft!H$2)^2)+Ft!H$6*EXP(Ft!H$38*($A158-Ft!H$2)^2)),Ft!H$3*((1-Ft!H$7)/(1+Ft!H$39*($A158-Ft!H$2)^2)+Ft!H$7*EXP(Ft!H$40*($A158-Ft!H$2)^2)))</f>
        <v>0</v>
      </c>
      <c r="M158" s="3">
        <f>IF(($A158-Ft!I$2)&lt;0,Ft!I$3*((1-Ft!I$6)/(1+Ft!I$37*($A158-Ft!I$2)^2)+Ft!I$6*EXP(Ft!I$38*($A158-Ft!I$2)^2)),Ft!I$3*((1-Ft!I$7)/(1+Ft!I$39*($A158-Ft!I$2)^2)+Ft!I$7*EXP(Ft!I$40*($A158-Ft!I$2)^2)))</f>
        <v>0</v>
      </c>
      <c r="N158" s="3">
        <f>IF(($A158-Ft!J$2)&lt;0,Ft!J$3*((1-Ft!J$6)/(1+Ft!J$37*($A158-Ft!J$2)^2)+Ft!J$6*EXP(Ft!J$38*($A158-Ft!J$2)^2)),Ft!J$3*((1-Ft!J$7)/(1+Ft!J$39*($A158-Ft!J$2)^2)+Ft!J$7*EXP(Ft!J$40*($A158-Ft!J$2)^2)))</f>
        <v>0</v>
      </c>
      <c r="O158" s="3">
        <f>IF(($A158-Ft!K$2)&lt;0,Ft!K$3*((1-Ft!K$6)/(1+Ft!K$37*($A158-Ft!K$2)^2)+Ft!K$6*EXP(Ft!K$38*($A158-Ft!K$2)^2)),Ft!K$3*((1-Ft!K$7)/(1+Ft!K$39*($A158-Ft!K$2)^2)+Ft!K$7*EXP(Ft!K$40*($A158-Ft!K$2)^2)))</f>
        <v>0</v>
      </c>
      <c r="P158"/>
      <c r="Q158"/>
    </row>
    <row r="159" spans="1:17">
      <c r="A159">
        <v>314</v>
      </c>
      <c r="B159">
        <v>13.751129617435993</v>
      </c>
      <c r="C159" s="6">
        <f t="shared" si="5"/>
        <v>13.890642042798435</v>
      </c>
      <c r="D159" s="19">
        <f t="shared" si="6"/>
        <v>1.9463716830510954E-2</v>
      </c>
      <c r="E159" s="3">
        <f>Ft!$B$12+Ft!$B$14*(Data!A159-Vars!$B$3)</f>
        <v>0</v>
      </c>
      <c r="F159" s="3">
        <f>IF(($A159-Ft!B$2)&lt;0,Ft!B$3*((1-Ft!B$6)/(1+Ft!B$37*($A159-Ft!B$2)^2)+Ft!B$6*EXP(Ft!B$38*($A159-Ft!B$2)^2)),Ft!B$3*((1-Ft!B$7)/(1+Ft!B$39*($A159-Ft!B$2)^2)+Ft!B$7*EXP(Ft!B$40*($A159-Ft!B$2)^2)))</f>
        <v>8.184954390503981E-40</v>
      </c>
      <c r="G159" s="3">
        <f>IF(($A159-Ft!C$2)&lt;0,Ft!C$3*((1-Ft!C$6)/(1+Ft!C$37*($A159-Ft!C$2)^2)+Ft!C$6*EXP(Ft!C$38*($A159-Ft!C$2)^2)),Ft!C$3*((1-Ft!C$7)/(1+Ft!C$39*($A159-Ft!C$2)^2)+Ft!C$7*EXP(Ft!C$40*($A159-Ft!C$2)^2)))</f>
        <v>0.74917723714631224</v>
      </c>
      <c r="H159" s="3">
        <f>IF(($A159-Ft!D$2)&lt;0,Ft!D$3*((1-Ft!D$6)/(1+Ft!D$37*($A159-Ft!D$2)^2)+Ft!D$6*EXP(Ft!D$38*($A159-Ft!D$2)^2)),Ft!D$3*((1-Ft!D$7)/(1+Ft!D$39*($A159-Ft!D$2)^2)+Ft!D$7*EXP(Ft!D$40*($A159-Ft!D$2)^2)))</f>
        <v>13.118280075400646</v>
      </c>
      <c r="I159" s="3">
        <f>IF(($A159-Ft!E$2)&lt;0,Ft!E$3*((1-Ft!E$6)/(1+Ft!E$37*($A159-Ft!E$2)^2)+Ft!E$6*EXP(Ft!E$38*($A159-Ft!E$2)^2)),Ft!E$3*((1-Ft!E$7)/(1+Ft!E$39*($A159-Ft!E$2)^2)+Ft!E$7*EXP(Ft!E$40*($A159-Ft!E$2)^2)))</f>
        <v>2.3184730251475386E-2</v>
      </c>
      <c r="J159" s="3">
        <f>IF(($A159-Ft!F$2)&lt;0,Ft!F$3*((1-Ft!F$6)/(1+Ft!F$37*($A159-Ft!F$2)^2)+Ft!F$6*EXP(Ft!F$38*($A159-Ft!F$2)^2)),Ft!F$3*((1-Ft!F$7)/(1+Ft!F$39*($A159-Ft!F$2)^2)+Ft!F$7*EXP(Ft!F$40*($A159-Ft!F$2)^2)))</f>
        <v>3.6649768353823796E-55</v>
      </c>
      <c r="K159" s="3">
        <f>IF(($A159-Ft!G$2)&lt;0,Ft!G$3*((1-Ft!G$6)/(1+Ft!G$37*($A159-Ft!G$2)^2)+Ft!G$6*EXP(Ft!G$38*($A159-Ft!G$2)^2)),Ft!G$3*((1-Ft!G$7)/(1+Ft!G$39*($A159-Ft!G$2)^2)+Ft!G$7*EXP(Ft!G$40*($A159-Ft!G$2)^2)))</f>
        <v>8.7408073985179872E-221</v>
      </c>
      <c r="L159" s="3">
        <f>IF(($A159-Ft!H$2)&lt;0,Ft!H$3*((1-Ft!H$6)/(1+Ft!H$37*($A159-Ft!H$2)^2)+Ft!H$6*EXP(Ft!H$38*($A159-Ft!H$2)^2)),Ft!H$3*((1-Ft!H$7)/(1+Ft!H$39*($A159-Ft!H$2)^2)+Ft!H$7*EXP(Ft!H$40*($A159-Ft!H$2)^2)))</f>
        <v>0</v>
      </c>
      <c r="M159" s="3">
        <f>IF(($A159-Ft!I$2)&lt;0,Ft!I$3*((1-Ft!I$6)/(1+Ft!I$37*($A159-Ft!I$2)^2)+Ft!I$6*EXP(Ft!I$38*($A159-Ft!I$2)^2)),Ft!I$3*((1-Ft!I$7)/(1+Ft!I$39*($A159-Ft!I$2)^2)+Ft!I$7*EXP(Ft!I$40*($A159-Ft!I$2)^2)))</f>
        <v>0</v>
      </c>
      <c r="N159" s="3">
        <f>IF(($A159-Ft!J$2)&lt;0,Ft!J$3*((1-Ft!J$6)/(1+Ft!J$37*($A159-Ft!J$2)^2)+Ft!J$6*EXP(Ft!J$38*($A159-Ft!J$2)^2)),Ft!J$3*((1-Ft!J$7)/(1+Ft!J$39*($A159-Ft!J$2)^2)+Ft!J$7*EXP(Ft!J$40*($A159-Ft!J$2)^2)))</f>
        <v>0</v>
      </c>
      <c r="O159" s="3">
        <f>IF(($A159-Ft!K$2)&lt;0,Ft!K$3*((1-Ft!K$6)/(1+Ft!K$37*($A159-Ft!K$2)^2)+Ft!K$6*EXP(Ft!K$38*($A159-Ft!K$2)^2)),Ft!K$3*((1-Ft!K$7)/(1+Ft!K$39*($A159-Ft!K$2)^2)+Ft!K$7*EXP(Ft!K$40*($A159-Ft!K$2)^2)))</f>
        <v>0</v>
      </c>
      <c r="P159"/>
      <c r="Q159"/>
    </row>
    <row r="160" spans="1:17">
      <c r="A160">
        <v>316</v>
      </c>
      <c r="B160">
        <v>13.867754349097993</v>
      </c>
      <c r="C160" s="6">
        <f t="shared" si="5"/>
        <v>13.982334738578965</v>
      </c>
      <c r="D160" s="19">
        <f t="shared" si="6"/>
        <v>1.312866565361125E-2</v>
      </c>
      <c r="E160" s="3">
        <f>Ft!$B$12+Ft!$B$14*(Data!A160-Vars!$B$3)</f>
        <v>0</v>
      </c>
      <c r="F160" s="3">
        <f>IF(($A160-Ft!B$2)&lt;0,Ft!B$3*((1-Ft!B$6)/(1+Ft!B$37*($A160-Ft!B$2)^2)+Ft!B$6*EXP(Ft!B$38*($A160-Ft!B$2)^2)),Ft!B$3*((1-Ft!B$7)/(1+Ft!B$39*($A160-Ft!B$2)^2)+Ft!B$7*EXP(Ft!B$40*($A160-Ft!B$2)^2)))</f>
        <v>2.0949930720237211E-40</v>
      </c>
      <c r="G160" s="3">
        <f>IF(($A160-Ft!C$2)&lt;0,Ft!C$3*((1-Ft!C$6)/(1+Ft!C$37*($A160-Ft!C$2)^2)+Ft!C$6*EXP(Ft!C$38*($A160-Ft!C$2)^2)),Ft!C$3*((1-Ft!C$7)/(1+Ft!C$39*($A160-Ft!C$2)^2)+Ft!C$7*EXP(Ft!C$40*($A160-Ft!C$2)^2)))</f>
        <v>0.7074731375113178</v>
      </c>
      <c r="H160" s="3">
        <f>IF(($A160-Ft!D$2)&lt;0,Ft!D$3*((1-Ft!D$6)/(1+Ft!D$37*($A160-Ft!D$2)^2)+Ft!D$6*EXP(Ft!D$38*($A160-Ft!D$2)^2)),Ft!D$3*((1-Ft!D$7)/(1+Ft!D$39*($A160-Ft!D$2)^2)+Ft!D$7*EXP(Ft!D$40*($A160-Ft!D$2)^2)))</f>
        <v>13.250461548859574</v>
      </c>
      <c r="I160" s="3">
        <f>IF(($A160-Ft!E$2)&lt;0,Ft!E$3*((1-Ft!E$6)/(1+Ft!E$37*($A160-Ft!E$2)^2)+Ft!E$6*EXP(Ft!E$38*($A160-Ft!E$2)^2)),Ft!E$3*((1-Ft!E$7)/(1+Ft!E$39*($A160-Ft!E$2)^2)+Ft!E$7*EXP(Ft!E$40*($A160-Ft!E$2)^2)))</f>
        <v>2.4400052208071819E-2</v>
      </c>
      <c r="J160" s="3">
        <f>IF(($A160-Ft!F$2)&lt;0,Ft!F$3*((1-Ft!F$6)/(1+Ft!F$37*($A160-Ft!F$2)^2)+Ft!F$6*EXP(Ft!F$38*($A160-Ft!F$2)^2)),Ft!F$3*((1-Ft!F$7)/(1+Ft!F$39*($A160-Ft!F$2)^2)+Ft!F$7*EXP(Ft!F$40*($A160-Ft!F$2)^2)))</f>
        <v>7.6667239688192904E-55</v>
      </c>
      <c r="K160" s="3">
        <f>IF(($A160-Ft!G$2)&lt;0,Ft!G$3*((1-Ft!G$6)/(1+Ft!G$37*($A160-Ft!G$2)^2)+Ft!G$6*EXP(Ft!G$38*($A160-Ft!G$2)^2)),Ft!G$3*((1-Ft!G$7)/(1+Ft!G$39*($A160-Ft!G$2)^2)+Ft!G$7*EXP(Ft!G$40*($A160-Ft!G$2)^2)))</f>
        <v>1.4053357089838416E-219</v>
      </c>
      <c r="L160" s="3">
        <f>IF(($A160-Ft!H$2)&lt;0,Ft!H$3*((1-Ft!H$6)/(1+Ft!H$37*($A160-Ft!H$2)^2)+Ft!H$6*EXP(Ft!H$38*($A160-Ft!H$2)^2)),Ft!H$3*((1-Ft!H$7)/(1+Ft!H$39*($A160-Ft!H$2)^2)+Ft!H$7*EXP(Ft!H$40*($A160-Ft!H$2)^2)))</f>
        <v>0</v>
      </c>
      <c r="M160" s="3">
        <f>IF(($A160-Ft!I$2)&lt;0,Ft!I$3*((1-Ft!I$6)/(1+Ft!I$37*($A160-Ft!I$2)^2)+Ft!I$6*EXP(Ft!I$38*($A160-Ft!I$2)^2)),Ft!I$3*((1-Ft!I$7)/(1+Ft!I$39*($A160-Ft!I$2)^2)+Ft!I$7*EXP(Ft!I$40*($A160-Ft!I$2)^2)))</f>
        <v>0</v>
      </c>
      <c r="N160" s="3">
        <f>IF(($A160-Ft!J$2)&lt;0,Ft!J$3*((1-Ft!J$6)/(1+Ft!J$37*($A160-Ft!J$2)^2)+Ft!J$6*EXP(Ft!J$38*($A160-Ft!J$2)^2)),Ft!J$3*((1-Ft!J$7)/(1+Ft!J$39*($A160-Ft!J$2)^2)+Ft!J$7*EXP(Ft!J$40*($A160-Ft!J$2)^2)))</f>
        <v>0</v>
      </c>
      <c r="O160" s="3">
        <f>IF(($A160-Ft!K$2)&lt;0,Ft!K$3*((1-Ft!K$6)/(1+Ft!K$37*($A160-Ft!K$2)^2)+Ft!K$6*EXP(Ft!K$38*($A160-Ft!K$2)^2)),Ft!K$3*((1-Ft!K$7)/(1+Ft!K$39*($A160-Ft!K$2)^2)+Ft!K$7*EXP(Ft!K$40*($A160-Ft!K$2)^2)))</f>
        <v>0</v>
      </c>
      <c r="P160"/>
      <c r="Q160"/>
    </row>
    <row r="161" spans="1:17">
      <c r="A161">
        <v>318</v>
      </c>
      <c r="B161">
        <v>13.982168471346995</v>
      </c>
      <c r="C161" s="6">
        <f t="shared" si="5"/>
        <v>14.075381622438812</v>
      </c>
      <c r="D161" s="19">
        <f t="shared" si="6"/>
        <v>8.6886915364658718E-3</v>
      </c>
      <c r="E161" s="3">
        <f>Ft!$B$12+Ft!$B$14*(Data!A161-Vars!$B$3)</f>
        <v>0</v>
      </c>
      <c r="F161" s="3">
        <f>IF(($A161-Ft!B$2)&lt;0,Ft!B$3*((1-Ft!B$6)/(1+Ft!B$37*($A161-Ft!B$2)^2)+Ft!B$6*EXP(Ft!B$38*($A161-Ft!B$2)^2)),Ft!B$3*((1-Ft!B$7)/(1+Ft!B$39*($A161-Ft!B$2)^2)+Ft!B$7*EXP(Ft!B$40*($A161-Ft!B$2)^2)))</f>
        <v>5.3083310498887602E-41</v>
      </c>
      <c r="G161" s="3">
        <f>IF(($A161-Ft!C$2)&lt;0,Ft!C$3*((1-Ft!C$6)/(1+Ft!C$37*($A161-Ft!C$2)^2)+Ft!C$6*EXP(Ft!C$38*($A161-Ft!C$2)^2)),Ft!C$3*((1-Ft!C$7)/(1+Ft!C$39*($A161-Ft!C$2)^2)+Ft!C$7*EXP(Ft!C$40*($A161-Ft!C$2)^2)))</f>
        <v>0.66765678657988248</v>
      </c>
      <c r="H161" s="3">
        <f>IF(($A161-Ft!D$2)&lt;0,Ft!D$3*((1-Ft!D$6)/(1+Ft!D$37*($A161-Ft!D$2)^2)+Ft!D$6*EXP(Ft!D$38*($A161-Ft!D$2)^2)),Ft!D$3*((1-Ft!D$7)/(1+Ft!D$39*($A161-Ft!D$2)^2)+Ft!D$7*EXP(Ft!D$40*($A161-Ft!D$2)^2)))</f>
        <v>13.382050925819446</v>
      </c>
      <c r="I161" s="3">
        <f>IF(($A161-Ft!E$2)&lt;0,Ft!E$3*((1-Ft!E$6)/(1+Ft!E$37*($A161-Ft!E$2)^2)+Ft!E$6*EXP(Ft!E$38*($A161-Ft!E$2)^2)),Ft!E$3*((1-Ft!E$7)/(1+Ft!E$39*($A161-Ft!E$2)^2)+Ft!E$7*EXP(Ft!E$40*($A161-Ft!E$2)^2)))</f>
        <v>2.5673910039483341E-2</v>
      </c>
      <c r="J161" s="3">
        <f>IF(($A161-Ft!F$2)&lt;0,Ft!F$3*((1-Ft!F$6)/(1+Ft!F$37*($A161-Ft!F$2)^2)+Ft!F$6*EXP(Ft!F$38*($A161-Ft!F$2)^2)),Ft!F$3*((1-Ft!F$7)/(1+Ft!F$39*($A161-Ft!F$2)^2)+Ft!F$7*EXP(Ft!F$40*($A161-Ft!F$2)^2)))</f>
        <v>1.6003452852309856E-54</v>
      </c>
      <c r="K161" s="3">
        <f>IF(($A161-Ft!G$2)&lt;0,Ft!G$3*((1-Ft!G$6)/(1+Ft!G$37*($A161-Ft!G$2)^2)+Ft!G$6*EXP(Ft!G$38*($A161-Ft!G$2)^2)),Ft!G$3*((1-Ft!G$7)/(1+Ft!G$39*($A161-Ft!G$2)^2)+Ft!G$7*EXP(Ft!G$40*($A161-Ft!G$2)^2)))</f>
        <v>2.2423610684146069E-218</v>
      </c>
      <c r="L161" s="3">
        <f>IF(($A161-Ft!H$2)&lt;0,Ft!H$3*((1-Ft!H$6)/(1+Ft!H$37*($A161-Ft!H$2)^2)+Ft!H$6*EXP(Ft!H$38*($A161-Ft!H$2)^2)),Ft!H$3*((1-Ft!H$7)/(1+Ft!H$39*($A161-Ft!H$2)^2)+Ft!H$7*EXP(Ft!H$40*($A161-Ft!H$2)^2)))</f>
        <v>0</v>
      </c>
      <c r="M161" s="3">
        <f>IF(($A161-Ft!I$2)&lt;0,Ft!I$3*((1-Ft!I$6)/(1+Ft!I$37*($A161-Ft!I$2)^2)+Ft!I$6*EXP(Ft!I$38*($A161-Ft!I$2)^2)),Ft!I$3*((1-Ft!I$7)/(1+Ft!I$39*($A161-Ft!I$2)^2)+Ft!I$7*EXP(Ft!I$40*($A161-Ft!I$2)^2)))</f>
        <v>0</v>
      </c>
      <c r="N161" s="3">
        <f>IF(($A161-Ft!J$2)&lt;0,Ft!J$3*((1-Ft!J$6)/(1+Ft!J$37*($A161-Ft!J$2)^2)+Ft!J$6*EXP(Ft!J$38*($A161-Ft!J$2)^2)),Ft!J$3*((1-Ft!J$7)/(1+Ft!J$39*($A161-Ft!J$2)^2)+Ft!J$7*EXP(Ft!J$40*($A161-Ft!J$2)^2)))</f>
        <v>0</v>
      </c>
      <c r="O161" s="3">
        <f>IF(($A161-Ft!K$2)&lt;0,Ft!K$3*((1-Ft!K$6)/(1+Ft!K$37*($A161-Ft!K$2)^2)+Ft!K$6*EXP(Ft!K$38*($A161-Ft!K$2)^2)),Ft!K$3*((1-Ft!K$7)/(1+Ft!K$39*($A161-Ft!K$2)^2)+Ft!K$7*EXP(Ft!K$40*($A161-Ft!K$2)^2)))</f>
        <v>0</v>
      </c>
      <c r="P161"/>
      <c r="Q161"/>
    </row>
    <row r="162" spans="1:17">
      <c r="A162">
        <v>320</v>
      </c>
      <c r="B162">
        <v>14.091986752067996</v>
      </c>
      <c r="C162" s="6">
        <f t="shared" si="5"/>
        <v>14.169685330283718</v>
      </c>
      <c r="D162" s="19">
        <f t="shared" si="6"/>
        <v>6.0370690567447061E-3</v>
      </c>
      <c r="E162" s="3">
        <f>Ft!$B$12+Ft!$B$14*(Data!A162-Vars!$B$3)</f>
        <v>0</v>
      </c>
      <c r="F162" s="3">
        <f>IF(($A162-Ft!B$2)&lt;0,Ft!B$3*((1-Ft!B$6)/(1+Ft!B$37*($A162-Ft!B$2)^2)+Ft!B$6*EXP(Ft!B$38*($A162-Ft!B$2)^2)),Ft!B$3*((1-Ft!B$7)/(1+Ft!B$39*($A162-Ft!B$2)^2)+Ft!B$7*EXP(Ft!B$40*($A162-Ft!B$2)^2)))</f>
        <v>1.3315040407462985E-41</v>
      </c>
      <c r="G162" s="3">
        <f>IF(($A162-Ft!C$2)&lt;0,Ft!C$3*((1-Ft!C$6)/(1+Ft!C$37*($A162-Ft!C$2)^2)+Ft!C$6*EXP(Ft!C$38*($A162-Ft!C$2)^2)),Ft!C$3*((1-Ft!C$7)/(1+Ft!C$39*($A162-Ft!C$2)^2)+Ft!C$7*EXP(Ft!C$40*($A162-Ft!C$2)^2)))</f>
        <v>0.62967219101832006</v>
      </c>
      <c r="H162" s="3">
        <f>IF(($A162-Ft!D$2)&lt;0,Ft!D$3*((1-Ft!D$6)/(1+Ft!D$37*($A162-Ft!D$2)^2)+Ft!D$6*EXP(Ft!D$38*($A162-Ft!D$2)^2)),Ft!D$3*((1-Ft!D$7)/(1+Ft!D$39*($A162-Ft!D$2)^2)+Ft!D$7*EXP(Ft!D$40*($A162-Ft!D$2)^2)))</f>
        <v>13.513004305868304</v>
      </c>
      <c r="I162" s="3">
        <f>IF(($A162-Ft!E$2)&lt;0,Ft!E$3*((1-Ft!E$6)/(1+Ft!E$37*($A162-Ft!E$2)^2)+Ft!E$6*EXP(Ft!E$38*($A162-Ft!E$2)^2)),Ft!E$3*((1-Ft!E$7)/(1+Ft!E$39*($A162-Ft!E$2)^2)+Ft!E$7*EXP(Ft!E$40*($A162-Ft!E$2)^2)))</f>
        <v>2.7008833397093625E-2</v>
      </c>
      <c r="J162" s="3">
        <f>IF(($A162-Ft!F$2)&lt;0,Ft!F$3*((1-Ft!F$6)/(1+Ft!F$37*($A162-Ft!F$2)^2)+Ft!F$6*EXP(Ft!F$38*($A162-Ft!F$2)^2)),Ft!F$3*((1-Ft!F$7)/(1+Ft!F$39*($A162-Ft!F$2)^2)+Ft!F$7*EXP(Ft!F$40*($A162-Ft!F$2)^2)))</f>
        <v>3.3333647331573305E-54</v>
      </c>
      <c r="K162" s="3">
        <f>IF(($A162-Ft!G$2)&lt;0,Ft!G$3*((1-Ft!G$6)/(1+Ft!G$37*($A162-Ft!G$2)^2)+Ft!G$6*EXP(Ft!G$38*($A162-Ft!G$2)^2)),Ft!G$3*((1-Ft!G$7)/(1+Ft!G$39*($A162-Ft!G$2)^2)+Ft!G$7*EXP(Ft!G$40*($A162-Ft!G$2)^2)))</f>
        <v>3.5508141331389737E-217</v>
      </c>
      <c r="L162" s="3">
        <f>IF(($A162-Ft!H$2)&lt;0,Ft!H$3*((1-Ft!H$6)/(1+Ft!H$37*($A162-Ft!H$2)^2)+Ft!H$6*EXP(Ft!H$38*($A162-Ft!H$2)^2)),Ft!H$3*((1-Ft!H$7)/(1+Ft!H$39*($A162-Ft!H$2)^2)+Ft!H$7*EXP(Ft!H$40*($A162-Ft!H$2)^2)))</f>
        <v>0</v>
      </c>
      <c r="M162" s="3">
        <f>IF(($A162-Ft!I$2)&lt;0,Ft!I$3*((1-Ft!I$6)/(1+Ft!I$37*($A162-Ft!I$2)^2)+Ft!I$6*EXP(Ft!I$38*($A162-Ft!I$2)^2)),Ft!I$3*((1-Ft!I$7)/(1+Ft!I$39*($A162-Ft!I$2)^2)+Ft!I$7*EXP(Ft!I$40*($A162-Ft!I$2)^2)))</f>
        <v>0</v>
      </c>
      <c r="N162" s="3">
        <f>IF(($A162-Ft!J$2)&lt;0,Ft!J$3*((1-Ft!J$6)/(1+Ft!J$37*($A162-Ft!J$2)^2)+Ft!J$6*EXP(Ft!J$38*($A162-Ft!J$2)^2)),Ft!J$3*((1-Ft!J$7)/(1+Ft!J$39*($A162-Ft!J$2)^2)+Ft!J$7*EXP(Ft!J$40*($A162-Ft!J$2)^2)))</f>
        <v>0</v>
      </c>
      <c r="O162" s="3">
        <f>IF(($A162-Ft!K$2)&lt;0,Ft!K$3*((1-Ft!K$6)/(1+Ft!K$37*($A162-Ft!K$2)^2)+Ft!K$6*EXP(Ft!K$38*($A162-Ft!K$2)^2)),Ft!K$3*((1-Ft!K$7)/(1+Ft!K$39*($A162-Ft!K$2)^2)+Ft!K$7*EXP(Ft!K$40*($A162-Ft!K$2)^2)))</f>
        <v>0</v>
      </c>
      <c r="P162"/>
      <c r="Q162"/>
    </row>
    <row r="163" spans="1:17">
      <c r="A163">
        <v>322</v>
      </c>
      <c r="B163">
        <v>14.204680308802992</v>
      </c>
      <c r="C163" s="6">
        <f t="shared" si="5"/>
        <v>14.265148136937094</v>
      </c>
      <c r="D163" s="19">
        <f t="shared" si="6"/>
        <v>3.6563582392553791E-3</v>
      </c>
      <c r="E163" s="3">
        <f>Ft!$B$12+Ft!$B$14*(Data!A163-Vars!$B$3)</f>
        <v>0</v>
      </c>
      <c r="F163" s="3">
        <f>IF(($A163-Ft!B$2)&lt;0,Ft!B$3*((1-Ft!B$6)/(1+Ft!B$37*($A163-Ft!B$2)^2)+Ft!B$6*EXP(Ft!B$38*($A163-Ft!B$2)^2)),Ft!B$3*((1-Ft!B$7)/(1+Ft!B$39*($A163-Ft!B$2)^2)+Ft!B$7*EXP(Ft!B$40*($A163-Ft!B$2)^2)))</f>
        <v>3.3062528134155104E-42</v>
      </c>
      <c r="G163" s="3">
        <f>IF(($A163-Ft!C$2)&lt;0,Ft!C$3*((1-Ft!C$6)/(1+Ft!C$37*($A163-Ft!C$2)^2)+Ft!C$6*EXP(Ft!C$38*($A163-Ft!C$2)^2)),Ft!C$3*((1-Ft!C$7)/(1+Ft!C$39*($A163-Ft!C$2)^2)+Ft!C$7*EXP(Ft!C$40*($A163-Ft!C$2)^2)))</f>
        <v>0.59346305960122669</v>
      </c>
      <c r="H163" s="3">
        <f>IF(($A163-Ft!D$2)&lt;0,Ft!D$3*((1-Ft!D$6)/(1+Ft!D$37*($A163-Ft!D$2)^2)+Ft!D$6*EXP(Ft!D$38*($A163-Ft!D$2)^2)),Ft!D$3*((1-Ft!D$7)/(1+Ft!D$39*($A163-Ft!D$2)^2)+Ft!D$7*EXP(Ft!D$40*($A163-Ft!D$2)^2)))</f>
        <v>13.643277631448838</v>
      </c>
      <c r="I163" s="3">
        <f>IF(($A163-Ft!E$2)&lt;0,Ft!E$3*((1-Ft!E$6)/(1+Ft!E$37*($A163-Ft!E$2)^2)+Ft!E$6*EXP(Ft!E$38*($A163-Ft!E$2)^2)),Ft!E$3*((1-Ft!E$7)/(1+Ft!E$39*($A163-Ft!E$2)^2)+Ft!E$7*EXP(Ft!E$40*($A163-Ft!E$2)^2)))</f>
        <v>2.8407445887030199E-2</v>
      </c>
      <c r="J163" s="3">
        <f>IF(($A163-Ft!F$2)&lt;0,Ft!F$3*((1-Ft!F$6)/(1+Ft!F$37*($A163-Ft!F$2)^2)+Ft!F$6*EXP(Ft!F$38*($A163-Ft!F$2)^2)),Ft!F$3*((1-Ft!F$7)/(1+Ft!F$39*($A163-Ft!F$2)^2)+Ft!F$7*EXP(Ft!F$40*($A163-Ft!F$2)^2)))</f>
        <v>6.9281495228199903E-54</v>
      </c>
      <c r="K163" s="3">
        <f>IF(($A163-Ft!G$2)&lt;0,Ft!G$3*((1-Ft!G$6)/(1+Ft!G$37*($A163-Ft!G$2)^2)+Ft!G$6*EXP(Ft!G$38*($A163-Ft!G$2)^2)),Ft!G$3*((1-Ft!G$7)/(1+Ft!G$39*($A163-Ft!G$2)^2)+Ft!G$7*EXP(Ft!G$40*($A163-Ft!G$2)^2)))</f>
        <v>5.5801679081117192E-216</v>
      </c>
      <c r="L163" s="3">
        <f>IF(($A163-Ft!H$2)&lt;0,Ft!H$3*((1-Ft!H$6)/(1+Ft!H$37*($A163-Ft!H$2)^2)+Ft!H$6*EXP(Ft!H$38*($A163-Ft!H$2)^2)),Ft!H$3*((1-Ft!H$7)/(1+Ft!H$39*($A163-Ft!H$2)^2)+Ft!H$7*EXP(Ft!H$40*($A163-Ft!H$2)^2)))</f>
        <v>0</v>
      </c>
      <c r="M163" s="3">
        <f>IF(($A163-Ft!I$2)&lt;0,Ft!I$3*((1-Ft!I$6)/(1+Ft!I$37*($A163-Ft!I$2)^2)+Ft!I$6*EXP(Ft!I$38*($A163-Ft!I$2)^2)),Ft!I$3*((1-Ft!I$7)/(1+Ft!I$39*($A163-Ft!I$2)^2)+Ft!I$7*EXP(Ft!I$40*($A163-Ft!I$2)^2)))</f>
        <v>0</v>
      </c>
      <c r="N163" s="3">
        <f>IF(($A163-Ft!J$2)&lt;0,Ft!J$3*((1-Ft!J$6)/(1+Ft!J$37*($A163-Ft!J$2)^2)+Ft!J$6*EXP(Ft!J$38*($A163-Ft!J$2)^2)),Ft!J$3*((1-Ft!J$7)/(1+Ft!J$39*($A163-Ft!J$2)^2)+Ft!J$7*EXP(Ft!J$40*($A163-Ft!J$2)^2)))</f>
        <v>0</v>
      </c>
      <c r="O163" s="3">
        <f>IF(($A163-Ft!K$2)&lt;0,Ft!K$3*((1-Ft!K$6)/(1+Ft!K$37*($A163-Ft!K$2)^2)+Ft!K$6*EXP(Ft!K$38*($A163-Ft!K$2)^2)),Ft!K$3*((1-Ft!K$7)/(1+Ft!K$39*($A163-Ft!K$2)^2)+Ft!K$7*EXP(Ft!K$40*($A163-Ft!K$2)^2)))</f>
        <v>0</v>
      </c>
      <c r="P163"/>
      <c r="Q163"/>
    </row>
    <row r="164" spans="1:17">
      <c r="A164">
        <v>324</v>
      </c>
      <c r="B164">
        <v>14.327229978589997</v>
      </c>
      <c r="C164" s="6">
        <f t="shared" si="5"/>
        <v>14.361672141692766</v>
      </c>
      <c r="D164" s="19">
        <f t="shared" si="6"/>
        <v>1.1862625991977374E-3</v>
      </c>
      <c r="E164" s="3">
        <f>Ft!$B$12+Ft!$B$14*(Data!A164-Vars!$B$3)</f>
        <v>0</v>
      </c>
      <c r="F164" s="3">
        <f>IF(($A164-Ft!B$2)&lt;0,Ft!B$3*((1-Ft!B$6)/(1+Ft!B$37*($A164-Ft!B$2)^2)+Ft!B$6*EXP(Ft!B$38*($A164-Ft!B$2)^2)),Ft!B$3*((1-Ft!B$7)/(1+Ft!B$39*($A164-Ft!B$2)^2)+Ft!B$7*EXP(Ft!B$40*($A164-Ft!B$2)^2)))</f>
        <v>8.1271581330589545E-43</v>
      </c>
      <c r="G164" s="3">
        <f>IF(($A164-Ft!C$2)&lt;0,Ft!C$3*((1-Ft!C$6)/(1+Ft!C$37*($A164-Ft!C$2)^2)+Ft!C$6*EXP(Ft!C$38*($A164-Ft!C$2)^2)),Ft!C$3*((1-Ft!C$7)/(1+Ft!C$39*($A164-Ft!C$2)^2)+Ft!C$7*EXP(Ft!C$40*($A164-Ft!C$2)^2)))</f>
        <v>0.55897296212804415</v>
      </c>
      <c r="H164" s="3">
        <f>IF(($A164-Ft!D$2)&lt;0,Ft!D$3*((1-Ft!D$6)/(1+Ft!D$37*($A164-Ft!D$2)^2)+Ft!D$6*EXP(Ft!D$38*($A164-Ft!D$2)^2)),Ft!D$3*((1-Ft!D$7)/(1+Ft!D$39*($A164-Ft!D$2)^2)+Ft!D$7*EXP(Ft!D$40*($A164-Ft!D$2)^2)))</f>
        <v>13.772826711776965</v>
      </c>
      <c r="I164" s="3">
        <f>IF(($A164-Ft!E$2)&lt;0,Ft!E$3*((1-Ft!E$6)/(1+Ft!E$37*($A164-Ft!E$2)^2)+Ft!E$6*EXP(Ft!E$38*($A164-Ft!E$2)^2)),Ft!E$3*((1-Ft!E$7)/(1+Ft!E$39*($A164-Ft!E$2)^2)+Ft!E$7*EXP(Ft!E$40*($A164-Ft!E$2)^2)))</f>
        <v>2.9872467787757186E-2</v>
      </c>
      <c r="J164" s="3">
        <f>IF(($A164-Ft!F$2)&lt;0,Ft!F$3*((1-Ft!F$6)/(1+Ft!F$37*($A164-Ft!F$2)^2)+Ft!F$6*EXP(Ft!F$38*($A164-Ft!F$2)^2)),Ft!F$3*((1-Ft!F$7)/(1+Ft!F$39*($A164-Ft!F$2)^2)+Ft!F$7*EXP(Ft!F$40*($A164-Ft!F$2)^2)))</f>
        <v>1.4368682284242854E-53</v>
      </c>
      <c r="K164" s="3">
        <f>IF(($A164-Ft!G$2)&lt;0,Ft!G$3*((1-Ft!G$6)/(1+Ft!G$37*($A164-Ft!G$2)^2)+Ft!G$6*EXP(Ft!G$38*($A164-Ft!G$2)^2)),Ft!G$3*((1-Ft!G$7)/(1+Ft!G$39*($A164-Ft!G$2)^2)+Ft!G$7*EXP(Ft!G$40*($A164-Ft!G$2)^2)))</f>
        <v>8.7028906468019161E-215</v>
      </c>
      <c r="L164" s="3">
        <f>IF(($A164-Ft!H$2)&lt;0,Ft!H$3*((1-Ft!H$6)/(1+Ft!H$37*($A164-Ft!H$2)^2)+Ft!H$6*EXP(Ft!H$38*($A164-Ft!H$2)^2)),Ft!H$3*((1-Ft!H$7)/(1+Ft!H$39*($A164-Ft!H$2)^2)+Ft!H$7*EXP(Ft!H$40*($A164-Ft!H$2)^2)))</f>
        <v>0</v>
      </c>
      <c r="M164" s="3">
        <f>IF(($A164-Ft!I$2)&lt;0,Ft!I$3*((1-Ft!I$6)/(1+Ft!I$37*($A164-Ft!I$2)^2)+Ft!I$6*EXP(Ft!I$38*($A164-Ft!I$2)^2)),Ft!I$3*((1-Ft!I$7)/(1+Ft!I$39*($A164-Ft!I$2)^2)+Ft!I$7*EXP(Ft!I$40*($A164-Ft!I$2)^2)))</f>
        <v>0</v>
      </c>
      <c r="N164" s="3">
        <f>IF(($A164-Ft!J$2)&lt;0,Ft!J$3*((1-Ft!J$6)/(1+Ft!J$37*($A164-Ft!J$2)^2)+Ft!J$6*EXP(Ft!J$38*($A164-Ft!J$2)^2)),Ft!J$3*((1-Ft!J$7)/(1+Ft!J$39*($A164-Ft!J$2)^2)+Ft!J$7*EXP(Ft!J$40*($A164-Ft!J$2)^2)))</f>
        <v>0</v>
      </c>
      <c r="O164" s="3">
        <f>IF(($A164-Ft!K$2)&lt;0,Ft!K$3*((1-Ft!K$6)/(1+Ft!K$37*($A164-Ft!K$2)^2)+Ft!K$6*EXP(Ft!K$38*($A164-Ft!K$2)^2)),Ft!K$3*((1-Ft!K$7)/(1+Ft!K$39*($A164-Ft!K$2)^2)+Ft!K$7*EXP(Ft!K$40*($A164-Ft!K$2)^2)))</f>
        <v>0</v>
      </c>
      <c r="P164"/>
      <c r="Q164"/>
    </row>
    <row r="165" spans="1:17">
      <c r="A165">
        <v>326</v>
      </c>
      <c r="B165">
        <v>14.456515108558989</v>
      </c>
      <c r="C165" s="6">
        <f t="shared" si="5"/>
        <v>14.459159445588018</v>
      </c>
      <c r="D165" s="19">
        <f t="shared" si="6"/>
        <v>6.9925183230927341E-6</v>
      </c>
      <c r="E165" s="3">
        <f>Ft!$B$12+Ft!$B$14*(Data!A165-Vars!$B$3)</f>
        <v>0</v>
      </c>
      <c r="F165" s="3">
        <f>IF(($A165-Ft!B$2)&lt;0,Ft!B$3*((1-Ft!B$6)/(1+Ft!B$37*($A165-Ft!B$2)^2)+Ft!B$6*EXP(Ft!B$38*($A165-Ft!B$2)^2)),Ft!B$3*((1-Ft!B$7)/(1+Ft!B$39*($A165-Ft!B$2)^2)+Ft!B$7*EXP(Ft!B$40*($A165-Ft!B$2)^2)))</f>
        <v>1.9776545924094118E-43</v>
      </c>
      <c r="G165" s="3">
        <f>IF(($A165-Ft!C$2)&lt;0,Ft!C$3*((1-Ft!C$6)/(1+Ft!C$37*($A165-Ft!C$2)^2)+Ft!C$6*EXP(Ft!C$38*($A165-Ft!C$2)^2)),Ft!C$3*((1-Ft!C$7)/(1+Ft!C$39*($A165-Ft!C$2)^2)+Ft!C$7*EXP(Ft!C$40*($A165-Ft!C$2)^2)))</f>
        <v>0.52614547969022196</v>
      </c>
      <c r="H165" s="3">
        <f>IF(($A165-Ft!D$2)&lt;0,Ft!D$3*((1-Ft!D$6)/(1+Ft!D$37*($A165-Ft!D$2)^2)+Ft!D$6*EXP(Ft!D$38*($A165-Ft!D$2)^2)),Ft!D$3*((1-Ft!D$7)/(1+Ft!D$39*($A165-Ft!D$2)^2)+Ft!D$7*EXP(Ft!D$40*($A165-Ft!D$2)^2)))</f>
        <v>13.90160724708894</v>
      </c>
      <c r="I165" s="3">
        <f>IF(($A165-Ft!E$2)&lt;0,Ft!E$3*((1-Ft!E$6)/(1+Ft!E$37*($A165-Ft!E$2)^2)+Ft!E$6*EXP(Ft!E$38*($A165-Ft!E$2)^2)),Ft!E$3*((1-Ft!E$7)/(1+Ft!E$39*($A165-Ft!E$2)^2)+Ft!E$7*EXP(Ft!E$40*($A165-Ft!E$2)^2)))</f>
        <v>3.1406718808856121E-2</v>
      </c>
      <c r="J165" s="3">
        <f>IF(($A165-Ft!F$2)&lt;0,Ft!F$3*((1-Ft!F$6)/(1+Ft!F$37*($A165-Ft!F$2)^2)+Ft!F$6*EXP(Ft!F$38*($A165-Ft!F$2)^2)),Ft!F$3*((1-Ft!F$7)/(1+Ft!F$39*($A165-Ft!F$2)^2)+Ft!F$7*EXP(Ft!F$40*($A165-Ft!F$2)^2)))</f>
        <v>2.973595603226896E-53</v>
      </c>
      <c r="K165" s="3">
        <f>IF(($A165-Ft!G$2)&lt;0,Ft!G$3*((1-Ft!G$6)/(1+Ft!G$37*($A165-Ft!G$2)^2)+Ft!G$6*EXP(Ft!G$38*($A165-Ft!G$2)^2)),Ft!G$3*((1-Ft!G$7)/(1+Ft!G$39*($A165-Ft!G$2)^2)+Ft!G$7*EXP(Ft!G$40*($A165-Ft!G$2)^2)))</f>
        <v>1.3470282943489067E-213</v>
      </c>
      <c r="L165" s="3">
        <f>IF(($A165-Ft!H$2)&lt;0,Ft!H$3*((1-Ft!H$6)/(1+Ft!H$37*($A165-Ft!H$2)^2)+Ft!H$6*EXP(Ft!H$38*($A165-Ft!H$2)^2)),Ft!H$3*((1-Ft!H$7)/(1+Ft!H$39*($A165-Ft!H$2)^2)+Ft!H$7*EXP(Ft!H$40*($A165-Ft!H$2)^2)))</f>
        <v>0</v>
      </c>
      <c r="M165" s="3">
        <f>IF(($A165-Ft!I$2)&lt;0,Ft!I$3*((1-Ft!I$6)/(1+Ft!I$37*($A165-Ft!I$2)^2)+Ft!I$6*EXP(Ft!I$38*($A165-Ft!I$2)^2)),Ft!I$3*((1-Ft!I$7)/(1+Ft!I$39*($A165-Ft!I$2)^2)+Ft!I$7*EXP(Ft!I$40*($A165-Ft!I$2)^2)))</f>
        <v>0</v>
      </c>
      <c r="N165" s="3">
        <f>IF(($A165-Ft!J$2)&lt;0,Ft!J$3*((1-Ft!J$6)/(1+Ft!J$37*($A165-Ft!J$2)^2)+Ft!J$6*EXP(Ft!J$38*($A165-Ft!J$2)^2)),Ft!J$3*((1-Ft!J$7)/(1+Ft!J$39*($A165-Ft!J$2)^2)+Ft!J$7*EXP(Ft!J$40*($A165-Ft!J$2)^2)))</f>
        <v>0</v>
      </c>
      <c r="O165" s="3">
        <f>IF(($A165-Ft!K$2)&lt;0,Ft!K$3*((1-Ft!K$6)/(1+Ft!K$37*($A165-Ft!K$2)^2)+Ft!K$6*EXP(Ft!K$38*($A165-Ft!K$2)^2)),Ft!K$3*((1-Ft!K$7)/(1+Ft!K$39*($A165-Ft!K$2)^2)+Ft!K$7*EXP(Ft!K$40*($A165-Ft!K$2)^2)))</f>
        <v>0</v>
      </c>
      <c r="P165"/>
      <c r="Q165"/>
    </row>
    <row r="166" spans="1:17">
      <c r="A166">
        <v>328</v>
      </c>
      <c r="B166">
        <v>14.589415045843992</v>
      </c>
      <c r="C166" s="6">
        <f t="shared" si="5"/>
        <v>14.557512320306877</v>
      </c>
      <c r="D166" s="19">
        <f t="shared" si="6"/>
        <v>1.0177838966965135E-3</v>
      </c>
      <c r="E166" s="3">
        <f>Ft!$B$12+Ft!$B$14*(Data!A166-Vars!$B$3)</f>
        <v>0</v>
      </c>
      <c r="F166" s="3">
        <f>IF(($A166-Ft!B$2)&lt;0,Ft!B$3*((1-Ft!B$6)/(1+Ft!B$37*($A166-Ft!B$2)^2)+Ft!B$6*EXP(Ft!B$38*($A166-Ft!B$2)^2)),Ft!B$3*((1-Ft!B$7)/(1+Ft!B$39*($A166-Ft!B$2)^2)+Ft!B$7*EXP(Ft!B$40*($A166-Ft!B$2)^2)))</f>
        <v>4.7639945402014061E-44</v>
      </c>
      <c r="G166" s="3">
        <f>IF(($A166-Ft!C$2)&lt;0,Ft!C$3*((1-Ft!C$6)/(1+Ft!C$37*($A166-Ft!C$2)^2)+Ft!C$6*EXP(Ft!C$38*($A166-Ft!C$2)^2)),Ft!C$3*((1-Ft!C$7)/(1+Ft!C$39*($A166-Ft!C$2)^2)+Ft!C$7*EXP(Ft!C$40*($A166-Ft!C$2)^2)))</f>
        <v>0.49492434621802378</v>
      </c>
      <c r="H166" s="3">
        <f>IF(($A166-Ft!D$2)&lt;0,Ft!D$3*((1-Ft!D$6)/(1+Ft!D$37*($A166-Ft!D$2)^2)+Ft!D$6*EXP(Ft!D$38*($A166-Ft!D$2)^2)),Ft!D$3*((1-Ft!D$7)/(1+Ft!D$39*($A166-Ft!D$2)^2)+Ft!D$7*EXP(Ft!D$40*($A166-Ft!D$2)^2)))</f>
        <v>14.029574853199144</v>
      </c>
      <c r="I166" s="3">
        <f>IF(($A166-Ft!E$2)&lt;0,Ft!E$3*((1-Ft!E$6)/(1+Ft!E$37*($A166-Ft!E$2)^2)+Ft!E$6*EXP(Ft!E$38*($A166-Ft!E$2)^2)),Ft!E$3*((1-Ft!E$7)/(1+Ft!E$39*($A166-Ft!E$2)^2)+Ft!E$7*EXP(Ft!E$40*($A166-Ft!E$2)^2)))</f>
        <v>3.3013120889709792E-2</v>
      </c>
      <c r="J166" s="3">
        <f>IF(($A166-Ft!F$2)&lt;0,Ft!F$3*((1-Ft!F$6)/(1+Ft!F$37*($A166-Ft!F$2)^2)+Ft!F$6*EXP(Ft!F$38*($A166-Ft!F$2)^2)),Ft!F$3*((1-Ft!F$7)/(1+Ft!F$39*($A166-Ft!F$2)^2)+Ft!F$7*EXP(Ft!F$40*($A166-Ft!F$2)^2)))</f>
        <v>6.1406188880335918E-53</v>
      </c>
      <c r="K166" s="3">
        <f>IF(($A166-Ft!G$2)&lt;0,Ft!G$3*((1-Ft!G$6)/(1+Ft!G$37*($A166-Ft!G$2)^2)+Ft!G$6*EXP(Ft!G$38*($A166-Ft!G$2)^2)),Ft!G$3*((1-Ft!G$7)/(1+Ft!G$39*($A166-Ft!G$2)^2)+Ft!G$7*EXP(Ft!G$40*($A166-Ft!G$2)^2)))</f>
        <v>2.0691255425158981E-212</v>
      </c>
      <c r="L166" s="3">
        <f>IF(($A166-Ft!H$2)&lt;0,Ft!H$3*((1-Ft!H$6)/(1+Ft!H$37*($A166-Ft!H$2)^2)+Ft!H$6*EXP(Ft!H$38*($A166-Ft!H$2)^2)),Ft!H$3*((1-Ft!H$7)/(1+Ft!H$39*($A166-Ft!H$2)^2)+Ft!H$7*EXP(Ft!H$40*($A166-Ft!H$2)^2)))</f>
        <v>0</v>
      </c>
      <c r="M166" s="3">
        <f>IF(($A166-Ft!I$2)&lt;0,Ft!I$3*((1-Ft!I$6)/(1+Ft!I$37*($A166-Ft!I$2)^2)+Ft!I$6*EXP(Ft!I$38*($A166-Ft!I$2)^2)),Ft!I$3*((1-Ft!I$7)/(1+Ft!I$39*($A166-Ft!I$2)^2)+Ft!I$7*EXP(Ft!I$40*($A166-Ft!I$2)^2)))</f>
        <v>0</v>
      </c>
      <c r="N166" s="3">
        <f>IF(($A166-Ft!J$2)&lt;0,Ft!J$3*((1-Ft!J$6)/(1+Ft!J$37*($A166-Ft!J$2)^2)+Ft!J$6*EXP(Ft!J$38*($A166-Ft!J$2)^2)),Ft!J$3*((1-Ft!J$7)/(1+Ft!J$39*($A166-Ft!J$2)^2)+Ft!J$7*EXP(Ft!J$40*($A166-Ft!J$2)^2)))</f>
        <v>0</v>
      </c>
      <c r="O166" s="3">
        <f>IF(($A166-Ft!K$2)&lt;0,Ft!K$3*((1-Ft!K$6)/(1+Ft!K$37*($A166-Ft!K$2)^2)+Ft!K$6*EXP(Ft!K$38*($A166-Ft!K$2)^2)),Ft!K$3*((1-Ft!K$7)/(1+Ft!K$39*($A166-Ft!K$2)^2)+Ft!K$7*EXP(Ft!K$40*($A166-Ft!K$2)^2)))</f>
        <v>0</v>
      </c>
      <c r="P166"/>
      <c r="Q166"/>
    </row>
    <row r="167" spans="1:17">
      <c r="A167">
        <v>330</v>
      </c>
      <c r="B167">
        <v>14.722809137577002</v>
      </c>
      <c r="C167" s="6">
        <f t="shared" si="5"/>
        <v>14.656633368665483</v>
      </c>
      <c r="D167" s="19">
        <f t="shared" si="6"/>
        <v>4.379232391030735E-3</v>
      </c>
      <c r="E167" s="3">
        <f>Ft!$B$12+Ft!$B$14*(Data!A167-Vars!$B$3)</f>
        <v>0</v>
      </c>
      <c r="F167" s="3">
        <f>IF(($A167-Ft!B$2)&lt;0,Ft!B$3*((1-Ft!B$6)/(1+Ft!B$37*($A167-Ft!B$2)^2)+Ft!B$6*EXP(Ft!B$38*($A167-Ft!B$2)^2)),Ft!B$3*((1-Ft!B$7)/(1+Ft!B$39*($A167-Ft!B$2)^2)+Ft!B$7*EXP(Ft!B$40*($A167-Ft!B$2)^2)))</f>
        <v>1.1360596864360533E-44</v>
      </c>
      <c r="G167" s="3">
        <f>IF(($A167-Ft!C$2)&lt;0,Ft!C$3*((1-Ft!C$6)/(1+Ft!C$37*($A167-Ft!C$2)^2)+Ft!C$6*EXP(Ft!C$38*($A167-Ft!C$2)^2)),Ft!C$3*((1-Ft!C$7)/(1+Ft!C$39*($A167-Ft!C$2)^2)+Ft!C$7*EXP(Ft!C$40*($A167-Ft!C$2)^2)))</f>
        <v>0.46525358127858502</v>
      </c>
      <c r="H167" s="3">
        <f>IF(($A167-Ft!D$2)&lt;0,Ft!D$3*((1-Ft!D$6)/(1+Ft!D$37*($A167-Ft!D$2)^2)+Ft!D$6*EXP(Ft!D$38*($A167-Ft!D$2)^2)),Ft!D$3*((1-Ft!D$7)/(1+Ft!D$39*($A167-Ft!D$2)^2)+Ft!D$7*EXP(Ft!D$40*($A167-Ft!D$2)^2)))</f>
        <v>14.156685086350219</v>
      </c>
      <c r="I167" s="3">
        <f>IF(($A167-Ft!E$2)&lt;0,Ft!E$3*((1-Ft!E$6)/(1+Ft!E$37*($A167-Ft!E$2)^2)+Ft!E$6*EXP(Ft!E$38*($A167-Ft!E$2)^2)),Ft!E$3*((1-Ft!E$7)/(1+Ft!E$39*($A167-Ft!E$2)^2)+Ft!E$7*EXP(Ft!E$40*($A167-Ft!E$2)^2)))</f>
        <v>3.4694701036679966E-2</v>
      </c>
      <c r="J167" s="3">
        <f>IF(($A167-Ft!F$2)&lt;0,Ft!F$3*((1-Ft!F$6)/(1+Ft!F$37*($A167-Ft!F$2)^2)+Ft!F$6*EXP(Ft!F$38*($A167-Ft!F$2)^2)),Ft!F$3*((1-Ft!F$7)/(1+Ft!F$39*($A167-Ft!F$2)^2)+Ft!F$7*EXP(Ft!F$40*($A167-Ft!F$2)^2)))</f>
        <v>1.2653412215438306E-52</v>
      </c>
      <c r="K167" s="3">
        <f>IF(($A167-Ft!G$2)&lt;0,Ft!G$3*((1-Ft!G$6)/(1+Ft!G$37*($A167-Ft!G$2)^2)+Ft!G$6*EXP(Ft!G$38*($A167-Ft!G$2)^2)),Ft!G$3*((1-Ft!G$7)/(1+Ft!G$39*($A167-Ft!G$2)^2)+Ft!G$7*EXP(Ft!G$40*($A167-Ft!G$2)^2)))</f>
        <v>3.1542339206206989E-211</v>
      </c>
      <c r="L167" s="3">
        <f>IF(($A167-Ft!H$2)&lt;0,Ft!H$3*((1-Ft!H$6)/(1+Ft!H$37*($A167-Ft!H$2)^2)+Ft!H$6*EXP(Ft!H$38*($A167-Ft!H$2)^2)),Ft!H$3*((1-Ft!H$7)/(1+Ft!H$39*($A167-Ft!H$2)^2)+Ft!H$7*EXP(Ft!H$40*($A167-Ft!H$2)^2)))</f>
        <v>0</v>
      </c>
      <c r="M167" s="3">
        <f>IF(($A167-Ft!I$2)&lt;0,Ft!I$3*((1-Ft!I$6)/(1+Ft!I$37*($A167-Ft!I$2)^2)+Ft!I$6*EXP(Ft!I$38*($A167-Ft!I$2)^2)),Ft!I$3*((1-Ft!I$7)/(1+Ft!I$39*($A167-Ft!I$2)^2)+Ft!I$7*EXP(Ft!I$40*($A167-Ft!I$2)^2)))</f>
        <v>0</v>
      </c>
      <c r="N167" s="3">
        <f>IF(($A167-Ft!J$2)&lt;0,Ft!J$3*((1-Ft!J$6)/(1+Ft!J$37*($A167-Ft!J$2)^2)+Ft!J$6*EXP(Ft!J$38*($A167-Ft!J$2)^2)),Ft!J$3*((1-Ft!J$7)/(1+Ft!J$39*($A167-Ft!J$2)^2)+Ft!J$7*EXP(Ft!J$40*($A167-Ft!J$2)^2)))</f>
        <v>0</v>
      </c>
      <c r="O167" s="3">
        <f>IF(($A167-Ft!K$2)&lt;0,Ft!K$3*((1-Ft!K$6)/(1+Ft!K$37*($A167-Ft!K$2)^2)+Ft!K$6*EXP(Ft!K$38*($A167-Ft!K$2)^2)),Ft!K$3*((1-Ft!K$7)/(1+Ft!K$39*($A167-Ft!K$2)^2)+Ft!K$7*EXP(Ft!K$40*($A167-Ft!K$2)^2)))</f>
        <v>0</v>
      </c>
      <c r="P167"/>
      <c r="Q167"/>
    </row>
    <row r="168" spans="1:17">
      <c r="A168">
        <v>332</v>
      </c>
      <c r="B168">
        <v>14.853576730888989</v>
      </c>
      <c r="C168" s="6">
        <f t="shared" si="5"/>
        <v>14.756425676671061</v>
      </c>
      <c r="D168" s="19">
        <f t="shared" si="6"/>
        <v>9.4383273356548128E-3</v>
      </c>
      <c r="E168" s="3">
        <f>Ft!$B$12+Ft!$B$14*(Data!A168-Vars!$B$3)</f>
        <v>0</v>
      </c>
      <c r="F168" s="3">
        <f>IF(($A168-Ft!B$2)&lt;0,Ft!B$3*((1-Ft!B$6)/(1+Ft!B$37*($A168-Ft!B$2)^2)+Ft!B$6*EXP(Ft!B$38*($A168-Ft!B$2)^2)),Ft!B$3*((1-Ft!B$7)/(1+Ft!B$39*($A168-Ft!B$2)^2)+Ft!B$7*EXP(Ft!B$40*($A168-Ft!B$2)^2)))</f>
        <v>2.6818848306439759E-45</v>
      </c>
      <c r="G168" s="3">
        <f>IF(($A168-Ft!C$2)&lt;0,Ft!C$3*((1-Ft!C$6)/(1+Ft!C$37*($A168-Ft!C$2)^2)+Ft!C$6*EXP(Ft!C$38*($A168-Ft!C$2)^2)),Ft!C$3*((1-Ft!C$7)/(1+Ft!C$39*($A168-Ft!C$2)^2)+Ft!C$7*EXP(Ft!C$40*($A168-Ft!C$2)^2)))</f>
        <v>0.43707761413704521</v>
      </c>
      <c r="H168" s="3">
        <f>IF(($A168-Ft!D$2)&lt;0,Ft!D$3*((1-Ft!D$6)/(1+Ft!D$37*($A168-Ft!D$2)^2)+Ft!D$6*EXP(Ft!D$38*($A168-Ft!D$2)^2)),Ft!D$3*((1-Ft!D$7)/(1+Ft!D$39*($A168-Ft!D$2)^2)+Ft!D$7*EXP(Ft!D$40*($A168-Ft!D$2)^2)))</f>
        <v>14.282893468336773</v>
      </c>
      <c r="I168" s="3">
        <f>IF(($A168-Ft!E$2)&lt;0,Ft!E$3*((1-Ft!E$6)/(1+Ft!E$37*($A168-Ft!E$2)^2)+Ft!E$6*EXP(Ft!E$38*($A168-Ft!E$2)^2)),Ft!E$3*((1-Ft!E$7)/(1+Ft!E$39*($A168-Ft!E$2)^2)+Ft!E$7*EXP(Ft!E$40*($A168-Ft!E$2)^2)))</f>
        <v>3.6454594197240953E-2</v>
      </c>
      <c r="J168" s="3">
        <f>IF(($A168-Ft!F$2)&lt;0,Ft!F$3*((1-Ft!F$6)/(1+Ft!F$37*($A168-Ft!F$2)^2)+Ft!F$6*EXP(Ft!F$38*($A168-Ft!F$2)^2)),Ft!F$3*((1-Ft!F$7)/(1+Ft!F$39*($A168-Ft!F$2)^2)+Ft!F$7*EXP(Ft!F$40*($A168-Ft!F$2)^2)))</f>
        <v>2.6017672517197625E-52</v>
      </c>
      <c r="K168" s="3">
        <f>IF(($A168-Ft!G$2)&lt;0,Ft!G$3*((1-Ft!G$6)/(1+Ft!G$37*($A168-Ft!G$2)^2)+Ft!G$6*EXP(Ft!G$38*($A168-Ft!G$2)^2)),Ft!G$3*((1-Ft!G$7)/(1+Ft!G$39*($A168-Ft!G$2)^2)+Ft!G$7*EXP(Ft!G$40*($A168-Ft!G$2)^2)))</f>
        <v>4.7719719904610669E-210</v>
      </c>
      <c r="L168" s="3">
        <f>IF(($A168-Ft!H$2)&lt;0,Ft!H$3*((1-Ft!H$6)/(1+Ft!H$37*($A168-Ft!H$2)^2)+Ft!H$6*EXP(Ft!H$38*($A168-Ft!H$2)^2)),Ft!H$3*((1-Ft!H$7)/(1+Ft!H$39*($A168-Ft!H$2)^2)+Ft!H$7*EXP(Ft!H$40*($A168-Ft!H$2)^2)))</f>
        <v>0</v>
      </c>
      <c r="M168" s="3">
        <f>IF(($A168-Ft!I$2)&lt;0,Ft!I$3*((1-Ft!I$6)/(1+Ft!I$37*($A168-Ft!I$2)^2)+Ft!I$6*EXP(Ft!I$38*($A168-Ft!I$2)^2)),Ft!I$3*((1-Ft!I$7)/(1+Ft!I$39*($A168-Ft!I$2)^2)+Ft!I$7*EXP(Ft!I$40*($A168-Ft!I$2)^2)))</f>
        <v>0</v>
      </c>
      <c r="N168" s="3">
        <f>IF(($A168-Ft!J$2)&lt;0,Ft!J$3*((1-Ft!J$6)/(1+Ft!J$37*($A168-Ft!J$2)^2)+Ft!J$6*EXP(Ft!J$38*($A168-Ft!J$2)^2)),Ft!J$3*((1-Ft!J$7)/(1+Ft!J$39*($A168-Ft!J$2)^2)+Ft!J$7*EXP(Ft!J$40*($A168-Ft!J$2)^2)))</f>
        <v>0</v>
      </c>
      <c r="O168" s="3">
        <f>IF(($A168-Ft!K$2)&lt;0,Ft!K$3*((1-Ft!K$6)/(1+Ft!K$37*($A168-Ft!K$2)^2)+Ft!K$6*EXP(Ft!K$38*($A168-Ft!K$2)^2)),Ft!K$3*((1-Ft!K$7)/(1+Ft!K$39*($A168-Ft!K$2)^2)+Ft!K$7*EXP(Ft!K$40*($A168-Ft!K$2)^2)))</f>
        <v>0</v>
      </c>
      <c r="P168"/>
      <c r="Q168"/>
    </row>
    <row r="169" spans="1:17">
      <c r="A169">
        <v>334</v>
      </c>
      <c r="B169">
        <v>14.978597172911989</v>
      </c>
      <c r="C169" s="6">
        <f t="shared" si="5"/>
        <v>14.856792957183186</v>
      </c>
      <c r="D169" s="19">
        <f t="shared" si="6"/>
        <v>1.4836266969308742E-2</v>
      </c>
      <c r="E169" s="3">
        <f>Ft!$B$12+Ft!$B$14*(Data!A169-Vars!$B$3)</f>
        <v>0</v>
      </c>
      <c r="F169" s="3">
        <f>IF(($A169-Ft!B$2)&lt;0,Ft!B$3*((1-Ft!B$6)/(1+Ft!B$37*($A169-Ft!B$2)^2)+Ft!B$6*EXP(Ft!B$38*($A169-Ft!B$2)^2)),Ft!B$3*((1-Ft!B$7)/(1+Ft!B$39*($A169-Ft!B$2)^2)+Ft!B$7*EXP(Ft!B$40*($A169-Ft!B$2)^2)))</f>
        <v>6.2674110587724277E-46</v>
      </c>
      <c r="G169" s="3">
        <f>IF(($A169-Ft!C$2)&lt;0,Ft!C$3*((1-Ft!C$6)/(1+Ft!C$37*($A169-Ft!C$2)^2)+Ft!C$6*EXP(Ft!C$38*($A169-Ft!C$2)^2)),Ft!C$3*((1-Ft!C$7)/(1+Ft!C$39*($A169-Ft!C$2)^2)+Ft!C$7*EXP(Ft!C$40*($A169-Ft!C$2)^2)))</f>
        <v>0.4103413991304064</v>
      </c>
      <c r="H169" s="3">
        <f>IF(($A169-Ft!D$2)&lt;0,Ft!D$3*((1-Ft!D$6)/(1+Ft!D$37*($A169-Ft!D$2)^2)+Ft!D$6*EXP(Ft!D$38*($A169-Ft!D$2)^2)),Ft!D$3*((1-Ft!D$7)/(1+Ft!D$39*($A169-Ft!D$2)^2)+Ft!D$7*EXP(Ft!D$40*($A169-Ft!D$2)^2)))</f>
        <v>14.408155511883381</v>
      </c>
      <c r="I169" s="3">
        <f>IF(($A169-Ft!E$2)&lt;0,Ft!E$3*((1-Ft!E$6)/(1+Ft!E$37*($A169-Ft!E$2)^2)+Ft!E$6*EXP(Ft!E$38*($A169-Ft!E$2)^2)),Ft!E$3*((1-Ft!E$7)/(1+Ft!E$39*($A169-Ft!E$2)^2)+Ft!E$7*EXP(Ft!E$40*($A169-Ft!E$2)^2)))</f>
        <v>3.8296046169400424E-2</v>
      </c>
      <c r="J169" s="3">
        <f>IF(($A169-Ft!F$2)&lt;0,Ft!F$3*((1-Ft!F$6)/(1+Ft!F$37*($A169-Ft!F$2)^2)+Ft!F$6*EXP(Ft!F$38*($A169-Ft!F$2)^2)),Ft!F$3*((1-Ft!F$7)/(1+Ft!F$39*($A169-Ft!F$2)^2)+Ft!F$7*EXP(Ft!F$40*($A169-Ft!F$2)^2)))</f>
        <v>5.3381958532742892E-52</v>
      </c>
      <c r="K169" s="3">
        <f>IF(($A169-Ft!G$2)&lt;0,Ft!G$3*((1-Ft!G$6)/(1+Ft!G$37*($A169-Ft!G$2)^2)+Ft!G$6*EXP(Ft!G$38*($A169-Ft!G$2)^2)),Ft!G$3*((1-Ft!G$7)/(1+Ft!G$39*($A169-Ft!G$2)^2)+Ft!G$7*EXP(Ft!G$40*($A169-Ft!G$2)^2)))</f>
        <v>7.1647131271165363E-209</v>
      </c>
      <c r="L169" s="3">
        <f>IF(($A169-Ft!H$2)&lt;0,Ft!H$3*((1-Ft!H$6)/(1+Ft!H$37*($A169-Ft!H$2)^2)+Ft!H$6*EXP(Ft!H$38*($A169-Ft!H$2)^2)),Ft!H$3*((1-Ft!H$7)/(1+Ft!H$39*($A169-Ft!H$2)^2)+Ft!H$7*EXP(Ft!H$40*($A169-Ft!H$2)^2)))</f>
        <v>0</v>
      </c>
      <c r="M169" s="3">
        <f>IF(($A169-Ft!I$2)&lt;0,Ft!I$3*((1-Ft!I$6)/(1+Ft!I$37*($A169-Ft!I$2)^2)+Ft!I$6*EXP(Ft!I$38*($A169-Ft!I$2)^2)),Ft!I$3*((1-Ft!I$7)/(1+Ft!I$39*($A169-Ft!I$2)^2)+Ft!I$7*EXP(Ft!I$40*($A169-Ft!I$2)^2)))</f>
        <v>0</v>
      </c>
      <c r="N169" s="3">
        <f>IF(($A169-Ft!J$2)&lt;0,Ft!J$3*((1-Ft!J$6)/(1+Ft!J$37*($A169-Ft!J$2)^2)+Ft!J$6*EXP(Ft!J$38*($A169-Ft!J$2)^2)),Ft!J$3*((1-Ft!J$7)/(1+Ft!J$39*($A169-Ft!J$2)^2)+Ft!J$7*EXP(Ft!J$40*($A169-Ft!J$2)^2)))</f>
        <v>0</v>
      </c>
      <c r="O169" s="3">
        <f>IF(($A169-Ft!K$2)&lt;0,Ft!K$3*((1-Ft!K$6)/(1+Ft!K$37*($A169-Ft!K$2)^2)+Ft!K$6*EXP(Ft!K$38*($A169-Ft!K$2)^2)),Ft!K$3*((1-Ft!K$7)/(1+Ft!K$39*($A169-Ft!K$2)^2)+Ft!K$7*EXP(Ft!K$40*($A169-Ft!K$2)^2)))</f>
        <v>0</v>
      </c>
      <c r="P169"/>
      <c r="Q169"/>
    </row>
    <row r="170" spans="1:17">
      <c r="A170">
        <v>336</v>
      </c>
      <c r="B170">
        <v>15.094749810777998</v>
      </c>
      <c r="C170" s="6">
        <f t="shared" si="5"/>
        <v>14.95763968524086</v>
      </c>
      <c r="D170" s="19">
        <f t="shared" si="6"/>
        <v>1.8799186524809705E-2</v>
      </c>
      <c r="E170" s="3">
        <f>Ft!$B$12+Ft!$B$14*(Data!A170-Vars!$B$3)</f>
        <v>0</v>
      </c>
      <c r="F170" s="3">
        <f>IF(($A170-Ft!B$2)&lt;0,Ft!B$3*((1-Ft!B$6)/(1+Ft!B$37*($A170-Ft!B$2)^2)+Ft!B$6*EXP(Ft!B$38*($A170-Ft!B$2)^2)),Ft!B$3*((1-Ft!B$7)/(1+Ft!B$39*($A170-Ft!B$2)^2)+Ft!B$7*EXP(Ft!B$40*($A170-Ft!B$2)^2)))</f>
        <v>1.4499242592018909E-46</v>
      </c>
      <c r="G170" s="3">
        <f>IF(($A170-Ft!C$2)&lt;0,Ft!C$3*((1-Ft!C$6)/(1+Ft!C$37*($A170-Ft!C$2)^2)+Ft!C$6*EXP(Ft!C$38*($A170-Ft!C$2)^2)),Ft!C$3*((1-Ft!C$7)/(1+Ft!C$39*($A170-Ft!C$2)^2)+Ft!C$7*EXP(Ft!C$40*($A170-Ft!C$2)^2)))</f>
        <v>0.38499052243906245</v>
      </c>
      <c r="H170" s="3">
        <f>IF(($A170-Ft!D$2)&lt;0,Ft!D$3*((1-Ft!D$6)/(1+Ft!D$37*($A170-Ft!D$2)^2)+Ft!D$6*EXP(Ft!D$38*($A170-Ft!D$2)^2)),Ft!D$3*((1-Ft!D$7)/(1+Ft!D$39*($A170-Ft!D$2)^2)+Ft!D$7*EXP(Ft!D$40*($A170-Ft!D$2)^2)))</f>
        <v>14.532426746257196</v>
      </c>
      <c r="I170" s="3">
        <f>IF(($A170-Ft!E$2)&lt;0,Ft!E$3*((1-Ft!E$6)/(1+Ft!E$37*($A170-Ft!E$2)^2)+Ft!E$6*EXP(Ft!E$38*($A170-Ft!E$2)^2)),Ft!E$3*((1-Ft!E$7)/(1+Ft!E$39*($A170-Ft!E$2)^2)+Ft!E$7*EXP(Ft!E$40*($A170-Ft!E$2)^2)))</f>
        <v>4.0222416544600702E-2</v>
      </c>
      <c r="J170" s="3">
        <f>IF(($A170-Ft!F$2)&lt;0,Ft!F$3*((1-Ft!F$6)/(1+Ft!F$37*($A170-Ft!F$2)^2)+Ft!F$6*EXP(Ft!F$38*($A170-Ft!F$2)^2)),Ft!F$3*((1-Ft!F$7)/(1+Ft!F$39*($A170-Ft!F$2)^2)+Ft!F$7*EXP(Ft!F$40*($A170-Ft!F$2)^2)))</f>
        <v>1.0929136204186959E-51</v>
      </c>
      <c r="K170" s="3">
        <f>IF(($A170-Ft!G$2)&lt;0,Ft!G$3*((1-Ft!G$6)/(1+Ft!G$37*($A170-Ft!G$2)^2)+Ft!G$6*EXP(Ft!G$38*($A170-Ft!G$2)^2)),Ft!G$3*((1-Ft!G$7)/(1+Ft!G$39*($A170-Ft!G$2)^2)+Ft!G$7*EXP(Ft!G$40*($A170-Ft!G$2)^2)))</f>
        <v>1.0675707308513538E-207</v>
      </c>
      <c r="L170" s="3">
        <f>IF(($A170-Ft!H$2)&lt;0,Ft!H$3*((1-Ft!H$6)/(1+Ft!H$37*($A170-Ft!H$2)^2)+Ft!H$6*EXP(Ft!H$38*($A170-Ft!H$2)^2)),Ft!H$3*((1-Ft!H$7)/(1+Ft!H$39*($A170-Ft!H$2)^2)+Ft!H$7*EXP(Ft!H$40*($A170-Ft!H$2)^2)))</f>
        <v>0</v>
      </c>
      <c r="M170" s="3">
        <f>IF(($A170-Ft!I$2)&lt;0,Ft!I$3*((1-Ft!I$6)/(1+Ft!I$37*($A170-Ft!I$2)^2)+Ft!I$6*EXP(Ft!I$38*($A170-Ft!I$2)^2)),Ft!I$3*((1-Ft!I$7)/(1+Ft!I$39*($A170-Ft!I$2)^2)+Ft!I$7*EXP(Ft!I$40*($A170-Ft!I$2)^2)))</f>
        <v>0</v>
      </c>
      <c r="N170" s="3">
        <f>IF(($A170-Ft!J$2)&lt;0,Ft!J$3*((1-Ft!J$6)/(1+Ft!J$37*($A170-Ft!J$2)^2)+Ft!J$6*EXP(Ft!J$38*($A170-Ft!J$2)^2)),Ft!J$3*((1-Ft!J$7)/(1+Ft!J$39*($A170-Ft!J$2)^2)+Ft!J$7*EXP(Ft!J$40*($A170-Ft!J$2)^2)))</f>
        <v>0</v>
      </c>
      <c r="O170" s="3">
        <f>IF(($A170-Ft!K$2)&lt;0,Ft!K$3*((1-Ft!K$6)/(1+Ft!K$37*($A170-Ft!K$2)^2)+Ft!K$6*EXP(Ft!K$38*($A170-Ft!K$2)^2)),Ft!K$3*((1-Ft!K$7)/(1+Ft!K$39*($A170-Ft!K$2)^2)+Ft!K$7*EXP(Ft!K$40*($A170-Ft!K$2)^2)))</f>
        <v>0</v>
      </c>
      <c r="P170"/>
      <c r="Q170"/>
    </row>
    <row r="171" spans="1:17">
      <c r="A171">
        <v>338</v>
      </c>
      <c r="B171">
        <v>15.200481524308998</v>
      </c>
      <c r="C171" s="6">
        <f t="shared" si="5"/>
        <v>15.058871225150998</v>
      </c>
      <c r="D171" s="19">
        <f t="shared" si="6"/>
        <v>2.0053476827618176E-2</v>
      </c>
      <c r="E171" s="3">
        <f>Ft!$B$12+Ft!$B$14*(Data!A171-Vars!$B$3)</f>
        <v>0</v>
      </c>
      <c r="F171" s="3">
        <f>IF(($A171-Ft!B$2)&lt;0,Ft!B$3*((1-Ft!B$6)/(1+Ft!B$37*($A171-Ft!B$2)^2)+Ft!B$6*EXP(Ft!B$38*($A171-Ft!B$2)^2)),Ft!B$3*((1-Ft!B$7)/(1+Ft!B$39*($A171-Ft!B$2)^2)+Ft!B$7*EXP(Ft!B$40*($A171-Ft!B$2)^2)))</f>
        <v>3.3205615432975642E-47</v>
      </c>
      <c r="G171" s="3">
        <f>IF(($A171-Ft!C$2)&lt;0,Ft!C$3*((1-Ft!C$6)/(1+Ft!C$37*($A171-Ft!C$2)^2)+Ft!C$6*EXP(Ft!C$38*($A171-Ft!C$2)^2)),Ft!C$3*((1-Ft!C$7)/(1+Ft!C$39*($A171-Ft!C$2)^2)+Ft!C$7*EXP(Ft!C$40*($A171-Ft!C$2)^2)))</f>
        <v>0.3609713003737347</v>
      </c>
      <c r="H171" s="3">
        <f>IF(($A171-Ft!D$2)&lt;0,Ft!D$3*((1-Ft!D$6)/(1+Ft!D$37*($A171-Ft!D$2)^2)+Ft!D$6*EXP(Ft!D$38*($A171-Ft!D$2)^2)),Ft!D$3*((1-Ft!D$7)/(1+Ft!D$39*($A171-Ft!D$2)^2)+Ft!D$7*EXP(Ft!D$40*($A171-Ft!D$2)^2)))</f>
        <v>14.655662743095109</v>
      </c>
      <c r="I171" s="3">
        <f>IF(($A171-Ft!E$2)&lt;0,Ft!E$3*((1-Ft!E$6)/(1+Ft!E$37*($A171-Ft!E$2)^2)+Ft!E$6*EXP(Ft!E$38*($A171-Ft!E$2)^2)),Ft!E$3*((1-Ft!E$7)/(1+Ft!E$39*($A171-Ft!E$2)^2)+Ft!E$7*EXP(Ft!E$40*($A171-Ft!E$2)^2)))</f>
        <v>4.2237181682155109E-2</v>
      </c>
      <c r="J171" s="3">
        <f>IF(($A171-Ft!F$2)&lt;0,Ft!F$3*((1-Ft!F$6)/(1+Ft!F$37*($A171-Ft!F$2)^2)+Ft!F$6*EXP(Ft!F$38*($A171-Ft!F$2)^2)),Ft!F$3*((1-Ft!F$7)/(1+Ft!F$39*($A171-Ft!F$2)^2)+Ft!F$7*EXP(Ft!F$40*($A171-Ft!F$2)^2)))</f>
        <v>2.2327620779565724E-51</v>
      </c>
      <c r="K171" s="3">
        <f>IF(($A171-Ft!G$2)&lt;0,Ft!G$3*((1-Ft!G$6)/(1+Ft!G$37*($A171-Ft!G$2)^2)+Ft!G$6*EXP(Ft!G$38*($A171-Ft!G$2)^2)),Ft!G$3*((1-Ft!G$7)/(1+Ft!G$39*($A171-Ft!G$2)^2)+Ft!G$7*EXP(Ft!G$40*($A171-Ft!G$2)^2)))</f>
        <v>1.5786703158496635E-206</v>
      </c>
      <c r="L171" s="3">
        <f>IF(($A171-Ft!H$2)&lt;0,Ft!H$3*((1-Ft!H$6)/(1+Ft!H$37*($A171-Ft!H$2)^2)+Ft!H$6*EXP(Ft!H$38*($A171-Ft!H$2)^2)),Ft!H$3*((1-Ft!H$7)/(1+Ft!H$39*($A171-Ft!H$2)^2)+Ft!H$7*EXP(Ft!H$40*($A171-Ft!H$2)^2)))</f>
        <v>0</v>
      </c>
      <c r="M171" s="3">
        <f>IF(($A171-Ft!I$2)&lt;0,Ft!I$3*((1-Ft!I$6)/(1+Ft!I$37*($A171-Ft!I$2)^2)+Ft!I$6*EXP(Ft!I$38*($A171-Ft!I$2)^2)),Ft!I$3*((1-Ft!I$7)/(1+Ft!I$39*($A171-Ft!I$2)^2)+Ft!I$7*EXP(Ft!I$40*($A171-Ft!I$2)^2)))</f>
        <v>0</v>
      </c>
      <c r="N171" s="3">
        <f>IF(($A171-Ft!J$2)&lt;0,Ft!J$3*((1-Ft!J$6)/(1+Ft!J$37*($A171-Ft!J$2)^2)+Ft!J$6*EXP(Ft!J$38*($A171-Ft!J$2)^2)),Ft!J$3*((1-Ft!J$7)/(1+Ft!J$39*($A171-Ft!J$2)^2)+Ft!J$7*EXP(Ft!J$40*($A171-Ft!J$2)^2)))</f>
        <v>0</v>
      </c>
      <c r="O171" s="3">
        <f>IF(($A171-Ft!K$2)&lt;0,Ft!K$3*((1-Ft!K$6)/(1+Ft!K$37*($A171-Ft!K$2)^2)+Ft!K$6*EXP(Ft!K$38*($A171-Ft!K$2)^2)),Ft!K$3*((1-Ft!K$7)/(1+Ft!K$39*($A171-Ft!K$2)^2)+Ft!K$7*EXP(Ft!K$40*($A171-Ft!K$2)^2)))</f>
        <v>0</v>
      </c>
      <c r="P171"/>
      <c r="Q171"/>
    </row>
    <row r="172" spans="1:17">
      <c r="A172">
        <v>340</v>
      </c>
      <c r="B172">
        <v>15.303233608020989</v>
      </c>
      <c r="C172" s="6">
        <f t="shared" si="5"/>
        <v>15.160393949463799</v>
      </c>
      <c r="D172" s="19">
        <f t="shared" si="6"/>
        <v>2.0403168056734509E-2</v>
      </c>
      <c r="E172" s="3">
        <f>Ft!$B$12+Ft!$B$14*(Data!A172-Vars!$B$3)</f>
        <v>0</v>
      </c>
      <c r="F172" s="3">
        <f>IF(($A172-Ft!B$2)&lt;0,Ft!B$3*((1-Ft!B$6)/(1+Ft!B$37*($A172-Ft!B$2)^2)+Ft!B$6*EXP(Ft!B$38*($A172-Ft!B$2)^2)),Ft!B$3*((1-Ft!B$7)/(1+Ft!B$39*($A172-Ft!B$2)^2)+Ft!B$7*EXP(Ft!B$40*($A172-Ft!B$2)^2)))</f>
        <v>7.5281251858509917E-48</v>
      </c>
      <c r="G172" s="3">
        <f>IF(($A172-Ft!C$2)&lt;0,Ft!C$3*((1-Ft!C$6)/(1+Ft!C$37*($A172-Ft!C$2)^2)+Ft!C$6*EXP(Ft!C$38*($A172-Ft!C$2)^2)),Ft!C$3*((1-Ft!C$7)/(1+Ft!C$39*($A172-Ft!C$2)^2)+Ft!C$7*EXP(Ft!C$40*($A172-Ft!C$2)^2)))</f>
        <v>0.33823086932573271</v>
      </c>
      <c r="H172" s="3">
        <f>IF(($A172-Ft!D$2)&lt;0,Ft!D$3*((1-Ft!D$6)/(1+Ft!D$37*($A172-Ft!D$2)^2)+Ft!D$6*EXP(Ft!D$38*($A172-Ft!D$2)^2)),Ft!D$3*((1-Ft!D$7)/(1+Ft!D$39*($A172-Ft!D$2)^2)+Ft!D$7*EXP(Ft!D$40*($A172-Ft!D$2)^2)))</f>
        <v>14.777819142424937</v>
      </c>
      <c r="I172" s="3">
        <f>IF(($A172-Ft!E$2)&lt;0,Ft!E$3*((1-Ft!E$6)/(1+Ft!E$37*($A172-Ft!E$2)^2)+Ft!E$6*EXP(Ft!E$38*($A172-Ft!E$2)^2)),Ft!E$3*((1-Ft!E$7)/(1+Ft!E$39*($A172-Ft!E$2)^2)+Ft!E$7*EXP(Ft!E$40*($A172-Ft!E$2)^2)))</f>
        <v>4.4343937713129493E-2</v>
      </c>
      <c r="J172" s="3">
        <f>IF(($A172-Ft!F$2)&lt;0,Ft!F$3*((1-Ft!F$6)/(1+Ft!F$37*($A172-Ft!F$2)^2)+Ft!F$6*EXP(Ft!F$38*($A172-Ft!F$2)^2)),Ft!F$3*((1-Ft!F$7)/(1+Ft!F$39*($A172-Ft!F$2)^2)+Ft!F$7*EXP(Ft!F$40*($A172-Ft!F$2)^2)))</f>
        <v>4.5516025328457789E-51</v>
      </c>
      <c r="K172" s="3">
        <f>IF(($A172-Ft!G$2)&lt;0,Ft!G$3*((1-Ft!G$6)/(1+Ft!G$37*($A172-Ft!G$2)^2)+Ft!G$6*EXP(Ft!G$38*($A172-Ft!G$2)^2)),Ft!G$3*((1-Ft!G$7)/(1+Ft!G$39*($A172-Ft!G$2)^2)+Ft!G$7*EXP(Ft!G$40*($A172-Ft!G$2)^2)))</f>
        <v>2.3167712732475279E-205</v>
      </c>
      <c r="L172" s="3">
        <f>IF(($A172-Ft!H$2)&lt;0,Ft!H$3*((1-Ft!H$6)/(1+Ft!H$37*($A172-Ft!H$2)^2)+Ft!H$6*EXP(Ft!H$38*($A172-Ft!H$2)^2)),Ft!H$3*((1-Ft!H$7)/(1+Ft!H$39*($A172-Ft!H$2)^2)+Ft!H$7*EXP(Ft!H$40*($A172-Ft!H$2)^2)))</f>
        <v>0</v>
      </c>
      <c r="M172" s="3">
        <f>IF(($A172-Ft!I$2)&lt;0,Ft!I$3*((1-Ft!I$6)/(1+Ft!I$37*($A172-Ft!I$2)^2)+Ft!I$6*EXP(Ft!I$38*($A172-Ft!I$2)^2)),Ft!I$3*((1-Ft!I$7)/(1+Ft!I$39*($A172-Ft!I$2)^2)+Ft!I$7*EXP(Ft!I$40*($A172-Ft!I$2)^2)))</f>
        <v>0</v>
      </c>
      <c r="N172" s="3">
        <f>IF(($A172-Ft!J$2)&lt;0,Ft!J$3*((1-Ft!J$6)/(1+Ft!J$37*($A172-Ft!J$2)^2)+Ft!J$6*EXP(Ft!J$38*($A172-Ft!J$2)^2)),Ft!J$3*((1-Ft!J$7)/(1+Ft!J$39*($A172-Ft!J$2)^2)+Ft!J$7*EXP(Ft!J$40*($A172-Ft!J$2)^2)))</f>
        <v>0</v>
      </c>
      <c r="O172" s="3">
        <f>IF(($A172-Ft!K$2)&lt;0,Ft!K$3*((1-Ft!K$6)/(1+Ft!K$37*($A172-Ft!K$2)^2)+Ft!K$6*EXP(Ft!K$38*($A172-Ft!K$2)^2)),Ft!K$3*((1-Ft!K$7)/(1+Ft!K$39*($A172-Ft!K$2)^2)+Ft!K$7*EXP(Ft!K$40*($A172-Ft!K$2)^2)))</f>
        <v>0</v>
      </c>
      <c r="P172"/>
      <c r="Q172"/>
    </row>
    <row r="173" spans="1:17">
      <c r="A173">
        <v>342</v>
      </c>
      <c r="B173">
        <v>15.404409083821989</v>
      </c>
      <c r="C173" s="6">
        <f t="shared" si="5"/>
        <v>15.262115349987267</v>
      </c>
      <c r="D173" s="19">
        <f t="shared" si="6"/>
        <v>2.0247506688626547E-2</v>
      </c>
      <c r="E173" s="3">
        <f>Ft!$B$12+Ft!$B$14*(Data!A173-Vars!$B$3)</f>
        <v>0</v>
      </c>
      <c r="F173" s="3">
        <f>IF(($A173-Ft!B$2)&lt;0,Ft!B$3*((1-Ft!B$6)/(1+Ft!B$37*($A173-Ft!B$2)^2)+Ft!B$6*EXP(Ft!B$38*($A173-Ft!B$2)^2)),Ft!B$3*((1-Ft!B$7)/(1+Ft!B$39*($A173-Ft!B$2)^2)+Ft!B$7*EXP(Ft!B$40*($A173-Ft!B$2)^2)))</f>
        <v>1.6895506348619402E-48</v>
      </c>
      <c r="G173" s="3">
        <f>IF(($A173-Ft!C$2)&lt;0,Ft!C$3*((1-Ft!C$6)/(1+Ft!C$37*($A173-Ft!C$2)^2)+Ft!C$6*EXP(Ft!C$38*($A173-Ft!C$2)^2)),Ft!C$3*((1-Ft!C$7)/(1+Ft!C$39*($A173-Ft!C$2)^2)+Ft!C$7*EXP(Ft!C$40*($A173-Ft!C$2)^2)))</f>
        <v>0.31671726755606794</v>
      </c>
      <c r="H173" s="3">
        <f>IF(($A173-Ft!D$2)&lt;0,Ft!D$3*((1-Ft!D$6)/(1+Ft!D$37*($A173-Ft!D$2)^2)+Ft!D$6*EXP(Ft!D$38*($A173-Ft!D$2)^2)),Ft!D$3*((1-Ft!D$7)/(1+Ft!D$39*($A173-Ft!D$2)^2)+Ft!D$7*EXP(Ft!D$40*($A173-Ft!D$2)^2)))</f>
        <v>14.898851678859769</v>
      </c>
      <c r="I173" s="3">
        <f>IF(($A173-Ft!E$2)&lt;0,Ft!E$3*((1-Ft!E$6)/(1+Ft!E$37*($A173-Ft!E$2)^2)+Ft!E$6*EXP(Ft!E$38*($A173-Ft!E$2)^2)),Ft!E$3*((1-Ft!E$7)/(1+Ft!E$39*($A173-Ft!E$2)^2)+Ft!E$7*EXP(Ft!E$40*($A173-Ft!E$2)^2)))</f>
        <v>4.6546403571430472E-2</v>
      </c>
      <c r="J173" s="3">
        <f>IF(($A173-Ft!F$2)&lt;0,Ft!F$3*((1-Ft!F$6)/(1+Ft!F$37*($A173-Ft!F$2)^2)+Ft!F$6*EXP(Ft!F$38*($A173-Ft!F$2)^2)),Ft!F$3*((1-Ft!F$7)/(1+Ft!F$39*($A173-Ft!F$2)^2)+Ft!F$7*EXP(Ft!F$40*($A173-Ft!F$2)^2)))</f>
        <v>9.2587314526925546E-51</v>
      </c>
      <c r="K173" s="3">
        <f>IF(($A173-Ft!G$2)&lt;0,Ft!G$3*((1-Ft!G$6)/(1+Ft!G$37*($A173-Ft!G$2)^2)+Ft!G$6*EXP(Ft!G$38*($A173-Ft!G$2)^2)),Ft!G$3*((1-Ft!G$7)/(1+Ft!G$39*($A173-Ft!G$2)^2)+Ft!G$7*EXP(Ft!G$40*($A173-Ft!G$2)^2)))</f>
        <v>3.3742076700997117E-204</v>
      </c>
      <c r="L173" s="3">
        <f>IF(($A173-Ft!H$2)&lt;0,Ft!H$3*((1-Ft!H$6)/(1+Ft!H$37*($A173-Ft!H$2)^2)+Ft!H$6*EXP(Ft!H$38*($A173-Ft!H$2)^2)),Ft!H$3*((1-Ft!H$7)/(1+Ft!H$39*($A173-Ft!H$2)^2)+Ft!H$7*EXP(Ft!H$40*($A173-Ft!H$2)^2)))</f>
        <v>0</v>
      </c>
      <c r="M173" s="3">
        <f>IF(($A173-Ft!I$2)&lt;0,Ft!I$3*((1-Ft!I$6)/(1+Ft!I$37*($A173-Ft!I$2)^2)+Ft!I$6*EXP(Ft!I$38*($A173-Ft!I$2)^2)),Ft!I$3*((1-Ft!I$7)/(1+Ft!I$39*($A173-Ft!I$2)^2)+Ft!I$7*EXP(Ft!I$40*($A173-Ft!I$2)^2)))</f>
        <v>0</v>
      </c>
      <c r="N173" s="3">
        <f>IF(($A173-Ft!J$2)&lt;0,Ft!J$3*((1-Ft!J$6)/(1+Ft!J$37*($A173-Ft!J$2)^2)+Ft!J$6*EXP(Ft!J$38*($A173-Ft!J$2)^2)),Ft!J$3*((1-Ft!J$7)/(1+Ft!J$39*($A173-Ft!J$2)^2)+Ft!J$7*EXP(Ft!J$40*($A173-Ft!J$2)^2)))</f>
        <v>0</v>
      </c>
      <c r="O173" s="3">
        <f>IF(($A173-Ft!K$2)&lt;0,Ft!K$3*((1-Ft!K$6)/(1+Ft!K$37*($A173-Ft!K$2)^2)+Ft!K$6*EXP(Ft!K$38*($A173-Ft!K$2)^2)),Ft!K$3*((1-Ft!K$7)/(1+Ft!K$39*($A173-Ft!K$2)^2)+Ft!K$7*EXP(Ft!K$40*($A173-Ft!K$2)^2)))</f>
        <v>0</v>
      </c>
      <c r="P173"/>
      <c r="Q173"/>
    </row>
    <row r="174" spans="1:17">
      <c r="A174">
        <v>344</v>
      </c>
      <c r="B174">
        <v>15.503971968849001</v>
      </c>
      <c r="C174" s="6">
        <f t="shared" si="5"/>
        <v>15.363944141017953</v>
      </c>
      <c r="D174" s="19">
        <f t="shared" si="6"/>
        <v>1.9607792567081637E-2</v>
      </c>
      <c r="E174" s="3">
        <f>Ft!$B$12+Ft!$B$14*(Data!A174-Vars!$B$3)</f>
        <v>0</v>
      </c>
      <c r="F174" s="3">
        <f>IF(($A174-Ft!B$2)&lt;0,Ft!B$3*((1-Ft!B$6)/(1+Ft!B$37*($A174-Ft!B$2)^2)+Ft!B$6*EXP(Ft!B$38*($A174-Ft!B$2)^2)),Ft!B$3*((1-Ft!B$7)/(1+Ft!B$39*($A174-Ft!B$2)^2)+Ft!B$7*EXP(Ft!B$40*($A174-Ft!B$2)^2)))</f>
        <v>3.7537441834209235E-49</v>
      </c>
      <c r="G174" s="3">
        <f>IF(($A174-Ft!C$2)&lt;0,Ft!C$3*((1-Ft!C$6)/(1+Ft!C$37*($A174-Ft!C$2)^2)+Ft!C$6*EXP(Ft!C$38*($A174-Ft!C$2)^2)),Ft!C$3*((1-Ft!C$7)/(1+Ft!C$39*($A174-Ft!C$2)^2)+Ft!C$7*EXP(Ft!C$40*($A174-Ft!C$2)^2)))</f>
        <v>0.29637950902396731</v>
      </c>
      <c r="H174" s="3">
        <f>IF(($A174-Ft!D$2)&lt;0,Ft!D$3*((1-Ft!D$6)/(1+Ft!D$37*($A174-Ft!D$2)^2)+Ft!D$6*EXP(Ft!D$38*($A174-Ft!D$2)^2)),Ft!D$3*((1-Ft!D$7)/(1+Ft!D$39*($A174-Ft!D$2)^2)+Ft!D$7*EXP(Ft!D$40*($A174-Ft!D$2)^2)))</f>
        <v>15.018716207944273</v>
      </c>
      <c r="I174" s="3">
        <f>IF(($A174-Ft!E$2)&lt;0,Ft!E$3*((1-Ft!E$6)/(1+Ft!E$37*($A174-Ft!E$2)^2)+Ft!E$6*EXP(Ft!E$38*($A174-Ft!E$2)^2)),Ft!E$3*((1-Ft!E$7)/(1+Ft!E$39*($A174-Ft!E$2)^2)+Ft!E$7*EXP(Ft!E$40*($A174-Ft!E$2)^2)))</f>
        <v>4.8848424049711917E-2</v>
      </c>
      <c r="J174" s="3">
        <f>IF(($A174-Ft!F$2)&lt;0,Ft!F$3*((1-Ft!F$6)/(1+Ft!F$37*($A174-Ft!F$2)^2)+Ft!F$6*EXP(Ft!F$38*($A174-Ft!F$2)^2)),Ft!F$3*((1-Ft!F$7)/(1+Ft!F$39*($A174-Ft!F$2)^2)+Ft!F$7*EXP(Ft!F$40*($A174-Ft!F$2)^2)))</f>
        <v>1.8793337758254193E-50</v>
      </c>
      <c r="K174" s="3">
        <f>IF(($A174-Ft!G$2)&lt;0,Ft!G$3*((1-Ft!G$6)/(1+Ft!G$37*($A174-Ft!G$2)^2)+Ft!G$6*EXP(Ft!G$38*($A174-Ft!G$2)^2)),Ft!G$3*((1-Ft!G$7)/(1+Ft!G$39*($A174-Ft!G$2)^2)+Ft!G$7*EXP(Ft!G$40*($A174-Ft!G$2)^2)))</f>
        <v>4.8770520347491651E-203</v>
      </c>
      <c r="L174" s="3">
        <f>IF(($A174-Ft!H$2)&lt;0,Ft!H$3*((1-Ft!H$6)/(1+Ft!H$37*($A174-Ft!H$2)^2)+Ft!H$6*EXP(Ft!H$38*($A174-Ft!H$2)^2)),Ft!H$3*((1-Ft!H$7)/(1+Ft!H$39*($A174-Ft!H$2)^2)+Ft!H$7*EXP(Ft!H$40*($A174-Ft!H$2)^2)))</f>
        <v>0</v>
      </c>
      <c r="M174" s="3">
        <f>IF(($A174-Ft!I$2)&lt;0,Ft!I$3*((1-Ft!I$6)/(1+Ft!I$37*($A174-Ft!I$2)^2)+Ft!I$6*EXP(Ft!I$38*($A174-Ft!I$2)^2)),Ft!I$3*((1-Ft!I$7)/(1+Ft!I$39*($A174-Ft!I$2)^2)+Ft!I$7*EXP(Ft!I$40*($A174-Ft!I$2)^2)))</f>
        <v>0</v>
      </c>
      <c r="N174" s="3">
        <f>IF(($A174-Ft!J$2)&lt;0,Ft!J$3*((1-Ft!J$6)/(1+Ft!J$37*($A174-Ft!J$2)^2)+Ft!J$6*EXP(Ft!J$38*($A174-Ft!J$2)^2)),Ft!J$3*((1-Ft!J$7)/(1+Ft!J$39*($A174-Ft!J$2)^2)+Ft!J$7*EXP(Ft!J$40*($A174-Ft!J$2)^2)))</f>
        <v>0</v>
      </c>
      <c r="O174" s="3">
        <f>IF(($A174-Ft!K$2)&lt;0,Ft!K$3*((1-Ft!K$6)/(1+Ft!K$37*($A174-Ft!K$2)^2)+Ft!K$6*EXP(Ft!K$38*($A174-Ft!K$2)^2)),Ft!K$3*((1-Ft!K$7)/(1+Ft!K$39*($A174-Ft!K$2)^2)+Ft!K$7*EXP(Ft!K$40*($A174-Ft!K$2)^2)))</f>
        <v>0</v>
      </c>
      <c r="P174"/>
      <c r="Q174"/>
    </row>
    <row r="175" spans="1:17">
      <c r="A175">
        <v>346</v>
      </c>
      <c r="B175">
        <v>15.601886280239</v>
      </c>
      <c r="C175" s="6">
        <f t="shared" si="5"/>
        <v>15.465790354986757</v>
      </c>
      <c r="D175" s="19">
        <f t="shared" si="6"/>
        <v>1.8522100870264329E-2</v>
      </c>
      <c r="E175" s="3">
        <f>Ft!$B$12+Ft!$B$14*(Data!A175-Vars!$B$3)</f>
        <v>0</v>
      </c>
      <c r="F175" s="3">
        <f>IF(($A175-Ft!B$2)&lt;0,Ft!B$3*((1-Ft!B$6)/(1+Ft!B$37*($A175-Ft!B$2)^2)+Ft!B$6*EXP(Ft!B$38*($A175-Ft!B$2)^2)),Ft!B$3*((1-Ft!B$7)/(1+Ft!B$39*($A175-Ft!B$2)^2)+Ft!B$7*EXP(Ft!B$40*($A175-Ft!B$2)^2)))</f>
        <v>8.255953031442813E-50</v>
      </c>
      <c r="G175" s="3">
        <f>IF(($A175-Ft!C$2)&lt;0,Ft!C$3*((1-Ft!C$6)/(1+Ft!C$37*($A175-Ft!C$2)^2)+Ft!C$6*EXP(Ft!C$38*($A175-Ft!C$2)^2)),Ft!C$3*((1-Ft!C$7)/(1+Ft!C$39*($A175-Ft!C$2)^2)+Ft!C$7*EXP(Ft!C$40*($A175-Ft!C$2)^2)))</f>
        <v>0.27716764947777783</v>
      </c>
      <c r="H175" s="3">
        <f>IF(($A175-Ft!D$2)&lt;0,Ft!D$3*((1-Ft!D$6)/(1+Ft!D$37*($A175-Ft!D$2)^2)+Ft!D$6*EXP(Ft!D$38*($A175-Ft!D$2)^2)),Ft!D$3*((1-Ft!D$7)/(1+Ft!D$39*($A175-Ft!D$2)^2)+Ft!D$7*EXP(Ft!D$40*($A175-Ft!D$2)^2)))</f>
        <v>15.137368732631424</v>
      </c>
      <c r="I175" s="3">
        <f>IF(($A175-Ft!E$2)&lt;0,Ft!E$3*((1-Ft!E$6)/(1+Ft!E$37*($A175-Ft!E$2)^2)+Ft!E$6*EXP(Ft!E$38*($A175-Ft!E$2)^2)),Ft!E$3*((1-Ft!E$7)/(1+Ft!E$39*($A175-Ft!E$2)^2)+Ft!E$7*EXP(Ft!E$40*($A175-Ft!E$2)^2)))</f>
        <v>5.1253972877553504E-2</v>
      </c>
      <c r="J175" s="3">
        <f>IF(($A175-Ft!F$2)&lt;0,Ft!F$3*((1-Ft!F$6)/(1+Ft!F$37*($A175-Ft!F$2)^2)+Ft!F$6*EXP(Ft!F$38*($A175-Ft!F$2)^2)),Ft!F$3*((1-Ft!F$7)/(1+Ft!F$39*($A175-Ft!F$2)^2)+Ft!F$7*EXP(Ft!F$40*($A175-Ft!F$2)^2)))</f>
        <v>3.8064631047357173E-50</v>
      </c>
      <c r="K175" s="3">
        <f>IF(($A175-Ft!G$2)&lt;0,Ft!G$3*((1-Ft!G$6)/(1+Ft!G$37*($A175-Ft!G$2)^2)+Ft!G$6*EXP(Ft!G$38*($A175-Ft!G$2)^2)),Ft!G$3*((1-Ft!G$7)/(1+Ft!G$39*($A175-Ft!G$2)^2)+Ft!G$7*EXP(Ft!G$40*($A175-Ft!G$2)^2)))</f>
        <v>6.9958405481017383E-202</v>
      </c>
      <c r="L175" s="3">
        <f>IF(($A175-Ft!H$2)&lt;0,Ft!H$3*((1-Ft!H$6)/(1+Ft!H$37*($A175-Ft!H$2)^2)+Ft!H$6*EXP(Ft!H$38*($A175-Ft!H$2)^2)),Ft!H$3*((1-Ft!H$7)/(1+Ft!H$39*($A175-Ft!H$2)^2)+Ft!H$7*EXP(Ft!H$40*($A175-Ft!H$2)^2)))</f>
        <v>0</v>
      </c>
      <c r="M175" s="3">
        <f>IF(($A175-Ft!I$2)&lt;0,Ft!I$3*((1-Ft!I$6)/(1+Ft!I$37*($A175-Ft!I$2)^2)+Ft!I$6*EXP(Ft!I$38*($A175-Ft!I$2)^2)),Ft!I$3*((1-Ft!I$7)/(1+Ft!I$39*($A175-Ft!I$2)^2)+Ft!I$7*EXP(Ft!I$40*($A175-Ft!I$2)^2)))</f>
        <v>0</v>
      </c>
      <c r="N175" s="3">
        <f>IF(($A175-Ft!J$2)&lt;0,Ft!J$3*((1-Ft!J$6)/(1+Ft!J$37*($A175-Ft!J$2)^2)+Ft!J$6*EXP(Ft!J$38*($A175-Ft!J$2)^2)),Ft!J$3*((1-Ft!J$7)/(1+Ft!J$39*($A175-Ft!J$2)^2)+Ft!J$7*EXP(Ft!J$40*($A175-Ft!J$2)^2)))</f>
        <v>0</v>
      </c>
      <c r="O175" s="3">
        <f>IF(($A175-Ft!K$2)&lt;0,Ft!K$3*((1-Ft!K$6)/(1+Ft!K$37*($A175-Ft!K$2)^2)+Ft!K$6*EXP(Ft!K$38*($A175-Ft!K$2)^2)),Ft!K$3*((1-Ft!K$7)/(1+Ft!K$39*($A175-Ft!K$2)^2)+Ft!K$7*EXP(Ft!K$40*($A175-Ft!K$2)^2)))</f>
        <v>0</v>
      </c>
      <c r="P175"/>
      <c r="Q175"/>
    </row>
    <row r="176" spans="1:17">
      <c r="A176">
        <v>348</v>
      </c>
      <c r="B176">
        <v>15.698116035127001</v>
      </c>
      <c r="C176" s="6">
        <f t="shared" si="5"/>
        <v>15.567565430738119</v>
      </c>
      <c r="D176" s="19">
        <f t="shared" si="6"/>
        <v>1.7043460306302258E-2</v>
      </c>
      <c r="E176" s="3">
        <f>Ft!$B$12+Ft!$B$14*(Data!A176-Vars!$B$3)</f>
        <v>0</v>
      </c>
      <c r="F176" s="3">
        <f>IF(($A176-Ft!B$2)&lt;0,Ft!B$3*((1-Ft!B$6)/(1+Ft!B$37*($A176-Ft!B$2)^2)+Ft!B$6*EXP(Ft!B$38*($A176-Ft!B$2)^2)),Ft!B$3*((1-Ft!B$7)/(1+Ft!B$39*($A176-Ft!B$2)^2)+Ft!B$7*EXP(Ft!B$40*($A176-Ft!B$2)^2)))</f>
        <v>1.7975411276622914E-50</v>
      </c>
      <c r="G176" s="3">
        <f>IF(($A176-Ft!C$2)&lt;0,Ft!C$3*((1-Ft!C$6)/(1+Ft!C$37*($A176-Ft!C$2)^2)+Ft!C$6*EXP(Ft!C$38*($A176-Ft!C$2)^2)),Ft!C$3*((1-Ft!C$7)/(1+Ft!C$39*($A176-Ft!C$2)^2)+Ft!C$7*EXP(Ft!C$40*($A176-Ft!C$2)^2)))</f>
        <v>0.25903284505117385</v>
      </c>
      <c r="H176" s="3">
        <f>IF(($A176-Ft!D$2)&lt;0,Ft!D$3*((1-Ft!D$6)/(1+Ft!D$37*($A176-Ft!D$2)^2)+Ft!D$6*EXP(Ft!D$38*($A176-Ft!D$2)^2)),Ft!D$3*((1-Ft!D$7)/(1+Ft!D$39*($A176-Ft!D$2)^2)+Ft!D$7*EXP(Ft!D$40*($A176-Ft!D$2)^2)))</f>
        <v>15.254765429867735</v>
      </c>
      <c r="I176" s="3">
        <f>IF(($A176-Ft!E$2)&lt;0,Ft!E$3*((1-Ft!E$6)/(1+Ft!E$37*($A176-Ft!E$2)^2)+Ft!E$6*EXP(Ft!E$38*($A176-Ft!E$2)^2)),Ft!E$3*((1-Ft!E$7)/(1+Ft!E$39*($A176-Ft!E$2)^2)+Ft!E$7*EXP(Ft!E$40*($A176-Ft!E$2)^2)))</f>
        <v>5.3767155819209683E-2</v>
      </c>
      <c r="J176" s="3">
        <f>IF(($A176-Ft!F$2)&lt;0,Ft!F$3*((1-Ft!F$6)/(1+Ft!F$37*($A176-Ft!F$2)^2)+Ft!F$6*EXP(Ft!F$38*($A176-Ft!F$2)^2)),Ft!F$3*((1-Ft!F$7)/(1+Ft!F$39*($A176-Ft!F$2)^2)+Ft!F$7*EXP(Ft!F$40*($A176-Ft!F$2)^2)))</f>
        <v>7.6931571563402442E-50</v>
      </c>
      <c r="K176" s="3">
        <f>IF(($A176-Ft!G$2)&lt;0,Ft!G$3*((1-Ft!G$6)/(1+Ft!G$37*($A176-Ft!G$2)^2)+Ft!G$6*EXP(Ft!G$38*($A176-Ft!G$2)^2)),Ft!G$3*((1-Ft!G$7)/(1+Ft!G$39*($A176-Ft!G$2)^2)+Ft!G$7*EXP(Ft!G$40*($A176-Ft!G$2)^2)))</f>
        <v>9.9590829012855026E-201</v>
      </c>
      <c r="L176" s="3">
        <f>IF(($A176-Ft!H$2)&lt;0,Ft!H$3*((1-Ft!H$6)/(1+Ft!H$37*($A176-Ft!H$2)^2)+Ft!H$6*EXP(Ft!H$38*($A176-Ft!H$2)^2)),Ft!H$3*((1-Ft!H$7)/(1+Ft!H$39*($A176-Ft!H$2)^2)+Ft!H$7*EXP(Ft!H$40*($A176-Ft!H$2)^2)))</f>
        <v>0</v>
      </c>
      <c r="M176" s="3">
        <f>IF(($A176-Ft!I$2)&lt;0,Ft!I$3*((1-Ft!I$6)/(1+Ft!I$37*($A176-Ft!I$2)^2)+Ft!I$6*EXP(Ft!I$38*($A176-Ft!I$2)^2)),Ft!I$3*((1-Ft!I$7)/(1+Ft!I$39*($A176-Ft!I$2)^2)+Ft!I$7*EXP(Ft!I$40*($A176-Ft!I$2)^2)))</f>
        <v>0</v>
      </c>
      <c r="N176" s="3">
        <f>IF(($A176-Ft!J$2)&lt;0,Ft!J$3*((1-Ft!J$6)/(1+Ft!J$37*($A176-Ft!J$2)^2)+Ft!J$6*EXP(Ft!J$38*($A176-Ft!J$2)^2)),Ft!J$3*((1-Ft!J$7)/(1+Ft!J$39*($A176-Ft!J$2)^2)+Ft!J$7*EXP(Ft!J$40*($A176-Ft!J$2)^2)))</f>
        <v>0</v>
      </c>
      <c r="O176" s="3">
        <f>IF(($A176-Ft!K$2)&lt;0,Ft!K$3*((1-Ft!K$6)/(1+Ft!K$37*($A176-Ft!K$2)^2)+Ft!K$6*EXP(Ft!K$38*($A176-Ft!K$2)^2)),Ft!K$3*((1-Ft!K$7)/(1+Ft!K$39*($A176-Ft!K$2)^2)+Ft!K$7*EXP(Ft!K$40*($A176-Ft!K$2)^2)))</f>
        <v>0</v>
      </c>
      <c r="P176"/>
      <c r="Q176"/>
    </row>
    <row r="177" spans="1:17">
      <c r="A177">
        <v>350</v>
      </c>
      <c r="B177">
        <v>15.792625250648996</v>
      </c>
      <c r="C177" s="6">
        <f t="shared" si="5"/>
        <v>15.669182294677983</v>
      </c>
      <c r="D177" s="19">
        <f t="shared" si="6"/>
        <v>1.5238163378861526E-2</v>
      </c>
      <c r="E177" s="3">
        <f>Ft!$B$12+Ft!$B$14*(Data!A177-Vars!$B$3)</f>
        <v>0</v>
      </c>
      <c r="F177" s="3">
        <f>IF(($A177-Ft!B$2)&lt;0,Ft!B$3*((1-Ft!B$6)/(1+Ft!B$37*($A177-Ft!B$2)^2)+Ft!B$6*EXP(Ft!B$38*($A177-Ft!B$2)^2)),Ft!B$3*((1-Ft!B$7)/(1+Ft!B$39*($A177-Ft!B$2)^2)+Ft!B$7*EXP(Ft!B$40*($A177-Ft!B$2)^2)))</f>
        <v>3.8743561344623059E-51</v>
      </c>
      <c r="G177" s="3">
        <f>IF(($A177-Ft!C$2)&lt;0,Ft!C$3*((1-Ft!C$6)/(1+Ft!C$37*($A177-Ft!C$2)^2)+Ft!C$6*EXP(Ft!C$38*($A177-Ft!C$2)^2)),Ft!C$3*((1-Ft!C$7)/(1+Ft!C$39*($A177-Ft!C$2)^2)+Ft!C$7*EXP(Ft!C$40*($A177-Ft!C$2)^2)))</f>
        <v>0.24192740362500118</v>
      </c>
      <c r="H177" s="3">
        <f>IF(($A177-Ft!D$2)&lt;0,Ft!D$3*((1-Ft!D$6)/(1+Ft!D$37*($A177-Ft!D$2)^2)+Ft!D$6*EXP(Ft!D$38*($A177-Ft!D$2)^2)),Ft!D$3*((1-Ft!D$7)/(1+Ft!D$39*($A177-Ft!D$2)^2)+Ft!D$7*EXP(Ft!D$40*($A177-Ft!D$2)^2)))</f>
        <v>15.37086267726492</v>
      </c>
      <c r="I177" s="3">
        <f>IF(($A177-Ft!E$2)&lt;0,Ft!E$3*((1-Ft!E$6)/(1+Ft!E$37*($A177-Ft!E$2)^2)+Ft!E$6*EXP(Ft!E$38*($A177-Ft!E$2)^2)),Ft!E$3*((1-Ft!E$7)/(1+Ft!E$39*($A177-Ft!E$2)^2)+Ft!E$7*EXP(Ft!E$40*($A177-Ft!E$2)^2)))</f>
        <v>5.6392213788061252E-2</v>
      </c>
      <c r="J177" s="3">
        <f>IF(($A177-Ft!F$2)&lt;0,Ft!F$3*((1-Ft!F$6)/(1+Ft!F$37*($A177-Ft!F$2)^2)+Ft!F$6*EXP(Ft!F$38*($A177-Ft!F$2)^2)),Ft!F$3*((1-Ft!F$7)/(1+Ft!F$39*($A177-Ft!F$2)^2)+Ft!F$7*EXP(Ft!F$40*($A177-Ft!F$2)^2)))</f>
        <v>1.5515038520478122E-49</v>
      </c>
      <c r="K177" s="3">
        <f>IF(($A177-Ft!G$2)&lt;0,Ft!G$3*((1-Ft!G$6)/(1+Ft!G$37*($A177-Ft!G$2)^2)+Ft!G$6*EXP(Ft!G$38*($A177-Ft!G$2)^2)),Ft!G$3*((1-Ft!G$7)/(1+Ft!G$39*($A177-Ft!G$2)^2)+Ft!G$7*EXP(Ft!G$40*($A177-Ft!G$2)^2)))</f>
        <v>1.4070052725884518E-199</v>
      </c>
      <c r="L177" s="3">
        <f>IF(($A177-Ft!H$2)&lt;0,Ft!H$3*((1-Ft!H$6)/(1+Ft!H$37*($A177-Ft!H$2)^2)+Ft!H$6*EXP(Ft!H$38*($A177-Ft!H$2)^2)),Ft!H$3*((1-Ft!H$7)/(1+Ft!H$39*($A177-Ft!H$2)^2)+Ft!H$7*EXP(Ft!H$40*($A177-Ft!H$2)^2)))</f>
        <v>0</v>
      </c>
      <c r="M177" s="3">
        <f>IF(($A177-Ft!I$2)&lt;0,Ft!I$3*((1-Ft!I$6)/(1+Ft!I$37*($A177-Ft!I$2)^2)+Ft!I$6*EXP(Ft!I$38*($A177-Ft!I$2)^2)),Ft!I$3*((1-Ft!I$7)/(1+Ft!I$39*($A177-Ft!I$2)^2)+Ft!I$7*EXP(Ft!I$40*($A177-Ft!I$2)^2)))</f>
        <v>0</v>
      </c>
      <c r="N177" s="3">
        <f>IF(($A177-Ft!J$2)&lt;0,Ft!J$3*((1-Ft!J$6)/(1+Ft!J$37*($A177-Ft!J$2)^2)+Ft!J$6*EXP(Ft!J$38*($A177-Ft!J$2)^2)),Ft!J$3*((1-Ft!J$7)/(1+Ft!J$39*($A177-Ft!J$2)^2)+Ft!J$7*EXP(Ft!J$40*($A177-Ft!J$2)^2)))</f>
        <v>0</v>
      </c>
      <c r="O177" s="3">
        <f>IF(($A177-Ft!K$2)&lt;0,Ft!K$3*((1-Ft!K$6)/(1+Ft!K$37*($A177-Ft!K$2)^2)+Ft!K$6*EXP(Ft!K$38*($A177-Ft!K$2)^2)),Ft!K$3*((1-Ft!K$7)/(1+Ft!K$39*($A177-Ft!K$2)^2)+Ft!K$7*EXP(Ft!K$40*($A177-Ft!K$2)^2)))</f>
        <v>0</v>
      </c>
      <c r="P177"/>
      <c r="Q177"/>
    </row>
    <row r="178" spans="1:17">
      <c r="A178">
        <v>352</v>
      </c>
      <c r="B178">
        <v>15.885377943942999</v>
      </c>
      <c r="C178" s="6">
        <f t="shared" si="5"/>
        <v>15.770555435040363</v>
      </c>
      <c r="D178" s="19">
        <f t="shared" si="6"/>
        <v>1.3184208550695875E-2</v>
      </c>
      <c r="E178" s="3">
        <f>Ft!$B$12+Ft!$B$14*(Data!A178-Vars!$B$3)</f>
        <v>0</v>
      </c>
      <c r="F178" s="3">
        <f>IF(($A178-Ft!B$2)&lt;0,Ft!B$3*((1-Ft!B$6)/(1+Ft!B$37*($A178-Ft!B$2)^2)+Ft!B$6*EXP(Ft!B$38*($A178-Ft!B$2)^2)),Ft!B$3*((1-Ft!B$7)/(1+Ft!B$39*($A178-Ft!B$2)^2)+Ft!B$7*EXP(Ft!B$40*($A178-Ft!B$2)^2)))</f>
        <v>8.266645670724059E-52</v>
      </c>
      <c r="G178" s="3">
        <f>IF(($A178-Ft!C$2)&lt;0,Ft!C$3*((1-Ft!C$6)/(1+Ft!C$37*($A178-Ft!C$2)^2)+Ft!C$6*EXP(Ft!C$38*($A178-Ft!C$2)^2)),Ft!C$3*((1-Ft!C$7)/(1+Ft!C$39*($A178-Ft!C$2)^2)+Ft!C$7*EXP(Ft!C$40*($A178-Ft!C$2)^2)))</f>
        <v>0.22580482923009759</v>
      </c>
      <c r="H178" s="3">
        <f>IF(($A178-Ft!D$2)&lt;0,Ft!D$3*((1-Ft!D$6)/(1+Ft!D$37*($A178-Ft!D$2)^2)+Ft!D$6*EXP(Ft!D$38*($A178-Ft!D$2)^2)),Ft!D$3*((1-Ft!D$7)/(1+Ft!D$39*($A178-Ft!D$2)^2)+Ft!D$7*EXP(Ft!D$40*($A178-Ft!D$2)^2)))</f>
        <v>15.485617079835524</v>
      </c>
      <c r="I178" s="3">
        <f>IF(($A178-Ft!E$2)&lt;0,Ft!E$3*((1-Ft!E$6)/(1+Ft!E$37*($A178-Ft!E$2)^2)+Ft!E$6*EXP(Ft!E$38*($A178-Ft!E$2)^2)),Ft!E$3*((1-Ft!E$7)/(1+Ft!E$39*($A178-Ft!E$2)^2)+Ft!E$7*EXP(Ft!E$40*($A178-Ft!E$2)^2)))</f>
        <v>5.913352597474017E-2</v>
      </c>
      <c r="J178" s="3">
        <f>IF(($A178-Ft!F$2)&lt;0,Ft!F$3*((1-Ft!F$6)/(1+Ft!F$37*($A178-Ft!F$2)^2)+Ft!F$6*EXP(Ft!F$38*($A178-Ft!F$2)^2)),Ft!F$3*((1-Ft!F$7)/(1+Ft!F$39*($A178-Ft!F$2)^2)+Ft!F$7*EXP(Ft!F$40*($A178-Ft!F$2)^2)))</f>
        <v>3.1222407396085089E-49</v>
      </c>
      <c r="K178" s="3">
        <f>IF(($A178-Ft!G$2)&lt;0,Ft!G$3*((1-Ft!G$6)/(1+Ft!G$37*($A178-Ft!G$2)^2)+Ft!G$6*EXP(Ft!G$38*($A178-Ft!G$2)^2)),Ft!G$3*((1-Ft!G$7)/(1+Ft!G$39*($A178-Ft!G$2)^2)+Ft!G$7*EXP(Ft!G$40*($A178-Ft!G$2)^2)))</f>
        <v>1.9727362926884409E-198</v>
      </c>
      <c r="L178" s="3">
        <f>IF(($A178-Ft!H$2)&lt;0,Ft!H$3*((1-Ft!H$6)/(1+Ft!H$37*($A178-Ft!H$2)^2)+Ft!H$6*EXP(Ft!H$38*($A178-Ft!H$2)^2)),Ft!H$3*((1-Ft!H$7)/(1+Ft!H$39*($A178-Ft!H$2)^2)+Ft!H$7*EXP(Ft!H$40*($A178-Ft!H$2)^2)))</f>
        <v>0</v>
      </c>
      <c r="M178" s="3">
        <f>IF(($A178-Ft!I$2)&lt;0,Ft!I$3*((1-Ft!I$6)/(1+Ft!I$37*($A178-Ft!I$2)^2)+Ft!I$6*EXP(Ft!I$38*($A178-Ft!I$2)^2)),Ft!I$3*((1-Ft!I$7)/(1+Ft!I$39*($A178-Ft!I$2)^2)+Ft!I$7*EXP(Ft!I$40*($A178-Ft!I$2)^2)))</f>
        <v>0</v>
      </c>
      <c r="N178" s="3">
        <f>IF(($A178-Ft!J$2)&lt;0,Ft!J$3*((1-Ft!J$6)/(1+Ft!J$37*($A178-Ft!J$2)^2)+Ft!J$6*EXP(Ft!J$38*($A178-Ft!J$2)^2)),Ft!J$3*((1-Ft!J$7)/(1+Ft!J$39*($A178-Ft!J$2)^2)+Ft!J$7*EXP(Ft!J$40*($A178-Ft!J$2)^2)))</f>
        <v>0</v>
      </c>
      <c r="O178" s="3">
        <f>IF(($A178-Ft!K$2)&lt;0,Ft!K$3*((1-Ft!K$6)/(1+Ft!K$37*($A178-Ft!K$2)^2)+Ft!K$6*EXP(Ft!K$38*($A178-Ft!K$2)^2)),Ft!K$3*((1-Ft!K$7)/(1+Ft!K$39*($A178-Ft!K$2)^2)+Ft!K$7*EXP(Ft!K$40*($A178-Ft!K$2)^2)))</f>
        <v>0</v>
      </c>
      <c r="P178"/>
      <c r="Q178"/>
    </row>
    <row r="179" spans="1:17">
      <c r="A179">
        <v>354</v>
      </c>
      <c r="B179">
        <v>15.976338132143994</v>
      </c>
      <c r="C179" s="6">
        <f t="shared" si="5"/>
        <v>15.871600969534679</v>
      </c>
      <c r="D179" s="19">
        <f t="shared" si="6"/>
        <v>1.0969873231449996E-2</v>
      </c>
      <c r="E179" s="3">
        <f>Ft!$B$12+Ft!$B$14*(Data!A179-Vars!$B$3)</f>
        <v>0</v>
      </c>
      <c r="F179" s="3">
        <f>IF(($A179-Ft!B$2)&lt;0,Ft!B$3*((1-Ft!B$6)/(1+Ft!B$37*($A179-Ft!B$2)^2)+Ft!B$6*EXP(Ft!B$38*($A179-Ft!B$2)^2)),Ft!B$3*((1-Ft!B$7)/(1+Ft!B$39*($A179-Ft!B$2)^2)+Ft!B$7*EXP(Ft!B$40*($A179-Ft!B$2)^2)))</f>
        <v>1.7460962840266396E-52</v>
      </c>
      <c r="G179" s="3">
        <f>IF(($A179-Ft!C$2)&lt;0,Ft!C$3*((1-Ft!C$6)/(1+Ft!C$37*($A179-Ft!C$2)^2)+Ft!C$6*EXP(Ft!C$38*($A179-Ft!C$2)^2)),Ft!C$3*((1-Ft!C$7)/(1+Ft!C$39*($A179-Ft!C$2)^2)+Ft!C$7*EXP(Ft!C$40*($A179-Ft!C$2)^2)))</f>
        <v>0.21061985977907607</v>
      </c>
      <c r="H179" s="3">
        <f>IF(($A179-Ft!D$2)&lt;0,Ft!D$3*((1-Ft!D$6)/(1+Ft!D$37*($A179-Ft!D$2)^2)+Ft!D$6*EXP(Ft!D$38*($A179-Ft!D$2)^2)),Ft!D$3*((1-Ft!D$7)/(1+Ft!D$39*($A179-Ft!D$2)^2)+Ft!D$7*EXP(Ft!D$40*($A179-Ft!D$2)^2)))</f>
        <v>15.598985496769878</v>
      </c>
      <c r="I179" s="3">
        <f>IF(($A179-Ft!E$2)&lt;0,Ft!E$3*((1-Ft!E$6)/(1+Ft!E$37*($A179-Ft!E$2)^2)+Ft!E$6*EXP(Ft!E$38*($A179-Ft!E$2)^2)),Ft!E$3*((1-Ft!E$7)/(1+Ft!E$39*($A179-Ft!E$2)^2)+Ft!E$7*EXP(Ft!E$40*($A179-Ft!E$2)^2)))</f>
        <v>6.1995612985726048E-2</v>
      </c>
      <c r="J179" s="3">
        <f>IF(($A179-Ft!F$2)&lt;0,Ft!F$3*((1-Ft!F$6)/(1+Ft!F$37*($A179-Ft!F$2)^2)+Ft!F$6*EXP(Ft!F$38*($A179-Ft!F$2)^2)),Ft!F$3*((1-Ft!F$7)/(1+Ft!F$39*($A179-Ft!F$2)^2)+Ft!F$7*EXP(Ft!F$40*($A179-Ft!F$2)^2)))</f>
        <v>6.2696773008159804E-49</v>
      </c>
      <c r="K179" s="3">
        <f>IF(($A179-Ft!G$2)&lt;0,Ft!G$3*((1-Ft!G$6)/(1+Ft!G$37*($A179-Ft!G$2)^2)+Ft!G$6*EXP(Ft!G$38*($A179-Ft!G$2)^2)),Ft!G$3*((1-Ft!G$7)/(1+Ft!G$39*($A179-Ft!G$2)^2)+Ft!G$7*EXP(Ft!G$40*($A179-Ft!G$2)^2)))</f>
        <v>2.7449805787906855E-197</v>
      </c>
      <c r="L179" s="3">
        <f>IF(($A179-Ft!H$2)&lt;0,Ft!H$3*((1-Ft!H$6)/(1+Ft!H$37*($A179-Ft!H$2)^2)+Ft!H$6*EXP(Ft!H$38*($A179-Ft!H$2)^2)),Ft!H$3*((1-Ft!H$7)/(1+Ft!H$39*($A179-Ft!H$2)^2)+Ft!H$7*EXP(Ft!H$40*($A179-Ft!H$2)^2)))</f>
        <v>0</v>
      </c>
      <c r="M179" s="3">
        <f>IF(($A179-Ft!I$2)&lt;0,Ft!I$3*((1-Ft!I$6)/(1+Ft!I$37*($A179-Ft!I$2)^2)+Ft!I$6*EXP(Ft!I$38*($A179-Ft!I$2)^2)),Ft!I$3*((1-Ft!I$7)/(1+Ft!I$39*($A179-Ft!I$2)^2)+Ft!I$7*EXP(Ft!I$40*($A179-Ft!I$2)^2)))</f>
        <v>0</v>
      </c>
      <c r="N179" s="3">
        <f>IF(($A179-Ft!J$2)&lt;0,Ft!J$3*((1-Ft!J$6)/(1+Ft!J$37*($A179-Ft!J$2)^2)+Ft!J$6*EXP(Ft!J$38*($A179-Ft!J$2)^2)),Ft!J$3*((1-Ft!J$7)/(1+Ft!J$39*($A179-Ft!J$2)^2)+Ft!J$7*EXP(Ft!J$40*($A179-Ft!J$2)^2)))</f>
        <v>0</v>
      </c>
      <c r="O179" s="3">
        <f>IF(($A179-Ft!K$2)&lt;0,Ft!K$3*((1-Ft!K$6)/(1+Ft!K$37*($A179-Ft!K$2)^2)+Ft!K$6*EXP(Ft!K$38*($A179-Ft!K$2)^2)),Ft!K$3*((1-Ft!K$7)/(1+Ft!K$39*($A179-Ft!K$2)^2)+Ft!K$7*EXP(Ft!K$40*($A179-Ft!K$2)^2)))</f>
        <v>0</v>
      </c>
      <c r="P179"/>
      <c r="Q179"/>
    </row>
    <row r="180" spans="1:17">
      <c r="A180">
        <v>356</v>
      </c>
      <c r="B180">
        <v>16.062269356507002</v>
      </c>
      <c r="C180" s="6">
        <f t="shared" si="5"/>
        <v>15.972236706646022</v>
      </c>
      <c r="D180" s="19">
        <f t="shared" si="6"/>
        <v>8.1058780409898265E-3</v>
      </c>
      <c r="E180" s="3">
        <f>Ft!$B$12+Ft!$B$14*(Data!A180-Vars!$B$3)</f>
        <v>0</v>
      </c>
      <c r="F180" s="3">
        <f>IF(($A180-Ft!B$2)&lt;0,Ft!B$3*((1-Ft!B$6)/(1+Ft!B$37*($A180-Ft!B$2)^2)+Ft!B$6*EXP(Ft!B$38*($A180-Ft!B$2)^2)),Ft!B$3*((1-Ft!B$7)/(1+Ft!B$39*($A180-Ft!B$2)^2)+Ft!B$7*EXP(Ft!B$40*($A180-Ft!B$2)^2)))</f>
        <v>3.6510361583132521E-53</v>
      </c>
      <c r="G180" s="3">
        <f>IF(($A180-Ft!C$2)&lt;0,Ft!C$3*((1-Ft!C$6)/(1+Ft!C$37*($A180-Ft!C$2)^2)+Ft!C$6*EXP(Ft!C$38*($A180-Ft!C$2)^2)),Ft!C$3*((1-Ft!C$7)/(1+Ft!C$39*($A180-Ft!C$2)^2)+Ft!C$7*EXP(Ft!C$40*($A180-Ft!C$2)^2)))</f>
        <v>0.19632849842543001</v>
      </c>
      <c r="H180" s="3">
        <f>IF(($A180-Ft!D$2)&lt;0,Ft!D$3*((1-Ft!D$6)/(1+Ft!D$37*($A180-Ft!D$2)^2)+Ft!D$6*EXP(Ft!D$38*($A180-Ft!D$2)^2)),Ft!D$3*((1-Ft!D$7)/(1+Ft!D$39*($A180-Ft!D$2)^2)+Ft!D$7*EXP(Ft!D$40*($A180-Ft!D$2)^2)))</f>
        <v>15.710925068231548</v>
      </c>
      <c r="I180" s="3">
        <f>IF(($A180-Ft!E$2)&lt;0,Ft!E$3*((1-Ft!E$6)/(1+Ft!E$37*($A180-Ft!E$2)^2)+Ft!E$6*EXP(Ft!E$38*($A180-Ft!E$2)^2)),Ft!E$3*((1-Ft!E$7)/(1+Ft!E$39*($A180-Ft!E$2)^2)+Ft!E$7*EXP(Ft!E$40*($A180-Ft!E$2)^2)))</f>
        <v>6.4983139989043898E-2</v>
      </c>
      <c r="J180" s="3">
        <f>IF(($A180-Ft!F$2)&lt;0,Ft!F$3*((1-Ft!F$6)/(1+Ft!F$37*($A180-Ft!F$2)^2)+Ft!F$6*EXP(Ft!F$38*($A180-Ft!F$2)^2)),Ft!F$3*((1-Ft!F$7)/(1+Ft!F$39*($A180-Ft!F$2)^2)+Ft!F$7*EXP(Ft!F$40*($A180-Ft!F$2)^2)))</f>
        <v>1.2562881539557848E-48</v>
      </c>
      <c r="K180" s="3">
        <f>IF(($A180-Ft!G$2)&lt;0,Ft!G$3*((1-Ft!G$6)/(1+Ft!G$37*($A180-Ft!G$2)^2)+Ft!G$6*EXP(Ft!G$38*($A180-Ft!G$2)^2)),Ft!G$3*((1-Ft!G$7)/(1+Ft!G$39*($A180-Ft!G$2)^2)+Ft!G$7*EXP(Ft!G$40*($A180-Ft!G$2)^2)))</f>
        <v>3.7905868347089375E-196</v>
      </c>
      <c r="L180" s="3">
        <f>IF(($A180-Ft!H$2)&lt;0,Ft!H$3*((1-Ft!H$6)/(1+Ft!H$37*($A180-Ft!H$2)^2)+Ft!H$6*EXP(Ft!H$38*($A180-Ft!H$2)^2)),Ft!H$3*((1-Ft!H$7)/(1+Ft!H$39*($A180-Ft!H$2)^2)+Ft!H$7*EXP(Ft!H$40*($A180-Ft!H$2)^2)))</f>
        <v>0</v>
      </c>
      <c r="M180" s="3">
        <f>IF(($A180-Ft!I$2)&lt;0,Ft!I$3*((1-Ft!I$6)/(1+Ft!I$37*($A180-Ft!I$2)^2)+Ft!I$6*EXP(Ft!I$38*($A180-Ft!I$2)^2)),Ft!I$3*((1-Ft!I$7)/(1+Ft!I$39*($A180-Ft!I$2)^2)+Ft!I$7*EXP(Ft!I$40*($A180-Ft!I$2)^2)))</f>
        <v>0</v>
      </c>
      <c r="N180" s="3">
        <f>IF(($A180-Ft!J$2)&lt;0,Ft!J$3*((1-Ft!J$6)/(1+Ft!J$37*($A180-Ft!J$2)^2)+Ft!J$6*EXP(Ft!J$38*($A180-Ft!J$2)^2)),Ft!J$3*((1-Ft!J$7)/(1+Ft!J$39*($A180-Ft!J$2)^2)+Ft!J$7*EXP(Ft!J$40*($A180-Ft!J$2)^2)))</f>
        <v>0</v>
      </c>
      <c r="O180" s="3">
        <f>IF(($A180-Ft!K$2)&lt;0,Ft!K$3*((1-Ft!K$6)/(1+Ft!K$37*($A180-Ft!K$2)^2)+Ft!K$6*EXP(Ft!K$38*($A180-Ft!K$2)^2)),Ft!K$3*((1-Ft!K$7)/(1+Ft!K$39*($A180-Ft!K$2)^2)+Ft!K$7*EXP(Ft!K$40*($A180-Ft!K$2)^2)))</f>
        <v>0</v>
      </c>
      <c r="P180"/>
      <c r="Q180"/>
    </row>
    <row r="181" spans="1:17">
      <c r="A181">
        <v>358</v>
      </c>
      <c r="B181">
        <v>16.141171652821001</v>
      </c>
      <c r="C181" s="6">
        <f t="shared" si="5"/>
        <v>16.072382200868187</v>
      </c>
      <c r="D181" s="19">
        <f t="shared" si="6"/>
        <v>4.7319886999684516E-3</v>
      </c>
      <c r="E181" s="3">
        <f>Ft!$B$12+Ft!$B$14*(Data!A181-Vars!$B$3)</f>
        <v>0</v>
      </c>
      <c r="F181" s="3">
        <f>IF(($A181-Ft!B$2)&lt;0,Ft!B$3*((1-Ft!B$6)/(1+Ft!B$37*($A181-Ft!B$2)^2)+Ft!B$6*EXP(Ft!B$38*($A181-Ft!B$2)^2)),Ft!B$3*((1-Ft!B$7)/(1+Ft!B$39*($A181-Ft!B$2)^2)+Ft!B$7*EXP(Ft!B$40*($A181-Ft!B$2)^2)))</f>
        <v>7.5574130796856867E-54</v>
      </c>
      <c r="G181" s="3">
        <f>IF(($A181-Ft!C$2)&lt;0,Ft!C$3*((1-Ft!C$6)/(1+Ft!C$37*($A181-Ft!C$2)^2)+Ft!C$6*EXP(Ft!C$38*($A181-Ft!C$2)^2)),Ft!C$3*((1-Ft!C$7)/(1+Ft!C$39*($A181-Ft!C$2)^2)+Ft!C$7*EXP(Ft!C$40*($A181-Ft!C$2)^2)))</f>
        <v>0.18288803885651256</v>
      </c>
      <c r="H181" s="3">
        <f>IF(($A181-Ft!D$2)&lt;0,Ft!D$3*((1-Ft!D$6)/(1+Ft!D$37*($A181-Ft!D$2)^2)+Ft!D$6*EXP(Ft!D$38*($A181-Ft!D$2)^2)),Ft!D$3*((1-Ft!D$7)/(1+Ft!D$39*($A181-Ft!D$2)^2)+Ft!D$7*EXP(Ft!D$40*($A181-Ft!D$2)^2)))</f>
        <v>15.821393242148162</v>
      </c>
      <c r="I181" s="3">
        <f>IF(($A181-Ft!E$2)&lt;0,Ft!E$3*((1-Ft!E$6)/(1+Ft!E$37*($A181-Ft!E$2)^2)+Ft!E$6*EXP(Ft!E$38*($A181-Ft!E$2)^2)),Ft!E$3*((1-Ft!E$7)/(1+Ft!E$39*($A181-Ft!E$2)^2)+Ft!E$7*EXP(Ft!E$40*($A181-Ft!E$2)^2)))</f>
        <v>6.8100919863516018E-2</v>
      </c>
      <c r="J181" s="3">
        <f>IF(($A181-Ft!F$2)&lt;0,Ft!F$3*((1-Ft!F$6)/(1+Ft!F$37*($A181-Ft!F$2)^2)+Ft!F$6*EXP(Ft!F$38*($A181-Ft!F$2)^2)),Ft!F$3*((1-Ft!F$7)/(1+Ft!F$39*($A181-Ft!F$2)^2)+Ft!F$7*EXP(Ft!F$40*($A181-Ft!F$2)^2)))</f>
        <v>2.5118784215953453E-48</v>
      </c>
      <c r="K181" s="3">
        <f>IF(($A181-Ft!G$2)&lt;0,Ft!G$3*((1-Ft!G$6)/(1+Ft!G$37*($A181-Ft!G$2)^2)+Ft!G$6*EXP(Ft!G$38*($A181-Ft!G$2)^2)),Ft!G$3*((1-Ft!G$7)/(1+Ft!G$39*($A181-Ft!G$2)^2)+Ft!G$7*EXP(Ft!G$40*($A181-Ft!G$2)^2)))</f>
        <v>5.1948206216176349E-195</v>
      </c>
      <c r="L181" s="3">
        <f>IF(($A181-Ft!H$2)&lt;0,Ft!H$3*((1-Ft!H$6)/(1+Ft!H$37*($A181-Ft!H$2)^2)+Ft!H$6*EXP(Ft!H$38*($A181-Ft!H$2)^2)),Ft!H$3*((1-Ft!H$7)/(1+Ft!H$39*($A181-Ft!H$2)^2)+Ft!H$7*EXP(Ft!H$40*($A181-Ft!H$2)^2)))</f>
        <v>0</v>
      </c>
      <c r="M181" s="3">
        <f>IF(($A181-Ft!I$2)&lt;0,Ft!I$3*((1-Ft!I$6)/(1+Ft!I$37*($A181-Ft!I$2)^2)+Ft!I$6*EXP(Ft!I$38*($A181-Ft!I$2)^2)),Ft!I$3*((1-Ft!I$7)/(1+Ft!I$39*($A181-Ft!I$2)^2)+Ft!I$7*EXP(Ft!I$40*($A181-Ft!I$2)^2)))</f>
        <v>0</v>
      </c>
      <c r="N181" s="3">
        <f>IF(($A181-Ft!J$2)&lt;0,Ft!J$3*((1-Ft!J$6)/(1+Ft!J$37*($A181-Ft!J$2)^2)+Ft!J$6*EXP(Ft!J$38*($A181-Ft!J$2)^2)),Ft!J$3*((1-Ft!J$7)/(1+Ft!J$39*($A181-Ft!J$2)^2)+Ft!J$7*EXP(Ft!J$40*($A181-Ft!J$2)^2)))</f>
        <v>0</v>
      </c>
      <c r="O181" s="3">
        <f>IF(($A181-Ft!K$2)&lt;0,Ft!K$3*((1-Ft!K$6)/(1+Ft!K$37*($A181-Ft!K$2)^2)+Ft!K$6*EXP(Ft!K$38*($A181-Ft!K$2)^2)),Ft!K$3*((1-Ft!K$7)/(1+Ft!K$39*($A181-Ft!K$2)^2)+Ft!K$7*EXP(Ft!K$40*($A181-Ft!K$2)^2)))</f>
        <v>0</v>
      </c>
      <c r="P181"/>
      <c r="Q181"/>
    </row>
    <row r="182" spans="1:17">
      <c r="A182">
        <v>360</v>
      </c>
      <c r="B182">
        <v>16.214863780020991</v>
      </c>
      <c r="C182" s="6">
        <f t="shared" si="5"/>
        <v>16.171958802155345</v>
      </c>
      <c r="D182" s="19">
        <f t="shared" si="6"/>
        <v>1.840837125651598E-3</v>
      </c>
      <c r="E182" s="3">
        <f>Ft!$B$12+Ft!$B$14*(Data!A182-Vars!$B$3)</f>
        <v>0</v>
      </c>
      <c r="F182" s="3">
        <f>IF(($A182-Ft!B$2)&lt;0,Ft!B$3*((1-Ft!B$6)/(1+Ft!B$37*($A182-Ft!B$2)^2)+Ft!B$6*EXP(Ft!B$38*($A182-Ft!B$2)^2)),Ft!B$3*((1-Ft!B$7)/(1+Ft!B$39*($A182-Ft!B$2)^2)+Ft!B$7*EXP(Ft!B$40*($A182-Ft!B$2)^2)))</f>
        <v>1.5486000491618616E-54</v>
      </c>
      <c r="G182" s="3">
        <f>IF(($A182-Ft!C$2)&lt;0,Ft!C$3*((1-Ft!C$6)/(1+Ft!C$37*($A182-Ft!C$2)^2)+Ft!C$6*EXP(Ft!C$38*($A182-Ft!C$2)^2)),Ft!C$3*((1-Ft!C$7)/(1+Ft!C$39*($A182-Ft!C$2)^2)+Ft!C$7*EXP(Ft!C$40*($A182-Ft!C$2)^2)))</f>
        <v>0.17025708483305554</v>
      </c>
      <c r="H182" s="3">
        <f>IF(($A182-Ft!D$2)&lt;0,Ft!D$3*((1-Ft!D$6)/(1+Ft!D$37*($A182-Ft!D$2)^2)+Ft!D$6*EXP(Ft!D$38*($A182-Ft!D$2)^2)),Ft!D$3*((1-Ft!D$7)/(1+Ft!D$39*($A182-Ft!D$2)^2)+Ft!D$7*EXP(Ft!D$40*($A182-Ft!D$2)^2)))</f>
        <v>15.930347800974445</v>
      </c>
      <c r="I182" s="3">
        <f>IF(($A182-Ft!E$2)&lt;0,Ft!E$3*((1-Ft!E$6)/(1+Ft!E$37*($A182-Ft!E$2)^2)+Ft!E$6*EXP(Ft!E$38*($A182-Ft!E$2)^2)),Ft!E$3*((1-Ft!E$7)/(1+Ft!E$39*($A182-Ft!E$2)^2)+Ft!E$7*EXP(Ft!E$40*($A182-Ft!E$2)^2)))</f>
        <v>7.1353916347845922E-2</v>
      </c>
      <c r="J182" s="3">
        <f>IF(($A182-Ft!F$2)&lt;0,Ft!F$3*((1-Ft!F$6)/(1+Ft!F$37*($A182-Ft!F$2)^2)+Ft!F$6*EXP(Ft!F$38*($A182-Ft!F$2)^2)),Ft!F$3*((1-Ft!F$7)/(1+Ft!F$39*($A182-Ft!F$2)^2)+Ft!F$7*EXP(Ft!F$40*($A182-Ft!F$2)^2)))</f>
        <v>5.0115635252613953E-48</v>
      </c>
      <c r="K182" s="3">
        <f>IF(($A182-Ft!G$2)&lt;0,Ft!G$3*((1-Ft!G$6)/(1+Ft!G$37*($A182-Ft!G$2)^2)+Ft!G$6*EXP(Ft!G$38*($A182-Ft!G$2)^2)),Ft!G$3*((1-Ft!G$7)/(1+Ft!G$39*($A182-Ft!G$2)^2)+Ft!G$7*EXP(Ft!G$40*($A182-Ft!G$2)^2)))</f>
        <v>7.065316053661696E-194</v>
      </c>
      <c r="L182" s="3">
        <f>IF(($A182-Ft!H$2)&lt;0,Ft!H$3*((1-Ft!H$6)/(1+Ft!H$37*($A182-Ft!H$2)^2)+Ft!H$6*EXP(Ft!H$38*($A182-Ft!H$2)^2)),Ft!H$3*((1-Ft!H$7)/(1+Ft!H$39*($A182-Ft!H$2)^2)+Ft!H$7*EXP(Ft!H$40*($A182-Ft!H$2)^2)))</f>
        <v>0</v>
      </c>
      <c r="M182" s="3">
        <f>IF(($A182-Ft!I$2)&lt;0,Ft!I$3*((1-Ft!I$6)/(1+Ft!I$37*($A182-Ft!I$2)^2)+Ft!I$6*EXP(Ft!I$38*($A182-Ft!I$2)^2)),Ft!I$3*((1-Ft!I$7)/(1+Ft!I$39*($A182-Ft!I$2)^2)+Ft!I$7*EXP(Ft!I$40*($A182-Ft!I$2)^2)))</f>
        <v>0</v>
      </c>
      <c r="N182" s="3">
        <f>IF(($A182-Ft!J$2)&lt;0,Ft!J$3*((1-Ft!J$6)/(1+Ft!J$37*($A182-Ft!J$2)^2)+Ft!J$6*EXP(Ft!J$38*($A182-Ft!J$2)^2)),Ft!J$3*((1-Ft!J$7)/(1+Ft!J$39*($A182-Ft!J$2)^2)+Ft!J$7*EXP(Ft!J$40*($A182-Ft!J$2)^2)))</f>
        <v>0</v>
      </c>
      <c r="O182" s="3">
        <f>IF(($A182-Ft!K$2)&lt;0,Ft!K$3*((1-Ft!K$6)/(1+Ft!K$37*($A182-Ft!K$2)^2)+Ft!K$6*EXP(Ft!K$38*($A182-Ft!K$2)^2)),Ft!K$3*((1-Ft!K$7)/(1+Ft!K$39*($A182-Ft!K$2)^2)+Ft!K$7*EXP(Ft!K$40*($A182-Ft!K$2)^2)))</f>
        <v>0</v>
      </c>
      <c r="P182"/>
      <c r="Q182"/>
    </row>
    <row r="183" spans="1:17">
      <c r="A183">
        <v>362</v>
      </c>
      <c r="B183">
        <v>16.285164497043993</v>
      </c>
      <c r="C183" s="6">
        <f t="shared" si="5"/>
        <v>16.270889699881707</v>
      </c>
      <c r="D183" s="19">
        <f t="shared" si="6"/>
        <v>2.0376983402442973E-4</v>
      </c>
      <c r="E183" s="3">
        <f>Ft!$B$12+Ft!$B$14*(Data!A183-Vars!$B$3)</f>
        <v>0</v>
      </c>
      <c r="F183" s="3">
        <f>IF(($A183-Ft!B$2)&lt;0,Ft!B$3*((1-Ft!B$6)/(1+Ft!B$37*($A183-Ft!B$2)^2)+Ft!B$6*EXP(Ft!B$38*($A183-Ft!B$2)^2)),Ft!B$3*((1-Ft!B$7)/(1+Ft!B$39*($A183-Ft!B$2)^2)+Ft!B$7*EXP(Ft!B$40*($A183-Ft!B$2)^2)))</f>
        <v>3.141336477737003E-55</v>
      </c>
      <c r="G183" s="3">
        <f>IF(($A183-Ft!C$2)&lt;0,Ft!C$3*((1-Ft!C$6)/(1+Ft!C$37*($A183-Ft!C$2)^2)+Ft!C$6*EXP(Ft!C$38*($A183-Ft!C$2)^2)),Ft!C$3*((1-Ft!C$7)/(1+Ft!C$39*($A183-Ft!C$2)^2)+Ft!C$7*EXP(Ft!C$40*($A183-Ft!C$2)^2)))</f>
        <v>0.15839556429201659</v>
      </c>
      <c r="H183" s="3">
        <f>IF(($A183-Ft!D$2)&lt;0,Ft!D$3*((1-Ft!D$6)/(1+Ft!D$37*($A183-Ft!D$2)^2)+Ft!D$6*EXP(Ft!D$38*($A183-Ft!D$2)^2)),Ft!D$3*((1-Ft!D$7)/(1+Ft!D$39*($A183-Ft!D$2)^2)+Ft!D$7*EXP(Ft!D$40*($A183-Ft!D$2)^2)))</f>
        <v>16.037746888404058</v>
      </c>
      <c r="I183" s="3">
        <f>IF(($A183-Ft!E$2)&lt;0,Ft!E$3*((1-Ft!E$6)/(1+Ft!E$37*($A183-Ft!E$2)^2)+Ft!E$6*EXP(Ft!E$38*($A183-Ft!E$2)^2)),Ft!E$3*((1-Ft!E$7)/(1+Ft!E$39*($A183-Ft!E$2)^2)+Ft!E$7*EXP(Ft!E$40*($A183-Ft!E$2)^2)))</f>
        <v>7.4747247185630264E-2</v>
      </c>
      <c r="J183" s="3">
        <f>IF(($A183-Ft!F$2)&lt;0,Ft!F$3*((1-Ft!F$6)/(1+Ft!F$37*($A183-Ft!F$2)^2)+Ft!F$6*EXP(Ft!F$38*($A183-Ft!F$2)^2)),Ft!F$3*((1-Ft!F$7)/(1+Ft!F$39*($A183-Ft!F$2)^2)+Ft!F$7*EXP(Ft!F$40*($A183-Ft!F$2)^2)))</f>
        <v>9.9773024720711741E-48</v>
      </c>
      <c r="K183" s="3">
        <f>IF(($A183-Ft!G$2)&lt;0,Ft!G$3*((1-Ft!G$6)/(1+Ft!G$37*($A183-Ft!G$2)^2)+Ft!G$6*EXP(Ft!G$38*($A183-Ft!G$2)^2)),Ft!G$3*((1-Ft!G$7)/(1+Ft!G$39*($A183-Ft!G$2)^2)+Ft!G$7*EXP(Ft!G$40*($A183-Ft!G$2)^2)))</f>
        <v>9.5365121016211722E-193</v>
      </c>
      <c r="L183" s="3">
        <f>IF(($A183-Ft!H$2)&lt;0,Ft!H$3*((1-Ft!H$6)/(1+Ft!H$37*($A183-Ft!H$2)^2)+Ft!H$6*EXP(Ft!H$38*($A183-Ft!H$2)^2)),Ft!H$3*((1-Ft!H$7)/(1+Ft!H$39*($A183-Ft!H$2)^2)+Ft!H$7*EXP(Ft!H$40*($A183-Ft!H$2)^2)))</f>
        <v>0</v>
      </c>
      <c r="M183" s="3">
        <f>IF(($A183-Ft!I$2)&lt;0,Ft!I$3*((1-Ft!I$6)/(1+Ft!I$37*($A183-Ft!I$2)^2)+Ft!I$6*EXP(Ft!I$38*($A183-Ft!I$2)^2)),Ft!I$3*((1-Ft!I$7)/(1+Ft!I$39*($A183-Ft!I$2)^2)+Ft!I$7*EXP(Ft!I$40*($A183-Ft!I$2)^2)))</f>
        <v>0</v>
      </c>
      <c r="N183" s="3">
        <f>IF(($A183-Ft!J$2)&lt;0,Ft!J$3*((1-Ft!J$6)/(1+Ft!J$37*($A183-Ft!J$2)^2)+Ft!J$6*EXP(Ft!J$38*($A183-Ft!J$2)^2)),Ft!J$3*((1-Ft!J$7)/(1+Ft!J$39*($A183-Ft!J$2)^2)+Ft!J$7*EXP(Ft!J$40*($A183-Ft!J$2)^2)))</f>
        <v>0</v>
      </c>
      <c r="O183" s="3">
        <f>IF(($A183-Ft!K$2)&lt;0,Ft!K$3*((1-Ft!K$6)/(1+Ft!K$37*($A183-Ft!K$2)^2)+Ft!K$6*EXP(Ft!K$38*($A183-Ft!K$2)^2)),Ft!K$3*((1-Ft!K$7)/(1+Ft!K$39*($A183-Ft!K$2)^2)+Ft!K$7*EXP(Ft!K$40*($A183-Ft!K$2)^2)))</f>
        <v>0</v>
      </c>
      <c r="P183"/>
      <c r="Q183"/>
    </row>
    <row r="184" spans="1:17">
      <c r="A184">
        <v>364</v>
      </c>
      <c r="B184">
        <v>16.353892562824996</v>
      </c>
      <c r="C184" s="6">
        <f t="shared" si="5"/>
        <v>16.369099961600831</v>
      </c>
      <c r="D184" s="19">
        <f t="shared" si="6"/>
        <v>2.3126497752728783E-4</v>
      </c>
      <c r="E184" s="3">
        <f>Ft!$B$12+Ft!$B$14*(Data!A184-Vars!$B$3)</f>
        <v>0</v>
      </c>
      <c r="F184" s="3">
        <f>IF(($A184-Ft!B$2)&lt;0,Ft!B$3*((1-Ft!B$6)/(1+Ft!B$37*($A184-Ft!B$2)^2)+Ft!B$6*EXP(Ft!B$38*($A184-Ft!B$2)^2)),Ft!B$3*((1-Ft!B$7)/(1+Ft!B$39*($A184-Ft!B$2)^2)+Ft!B$7*EXP(Ft!B$40*($A184-Ft!B$2)^2)))</f>
        <v>6.3081022901945764E-56</v>
      </c>
      <c r="G184" s="3">
        <f>IF(($A184-Ft!C$2)&lt;0,Ft!C$3*((1-Ft!C$6)/(1+Ft!C$37*($A184-Ft!C$2)^2)+Ft!C$6*EXP(Ft!C$38*($A184-Ft!C$2)^2)),Ft!C$3*((1-Ft!C$7)/(1+Ft!C$39*($A184-Ft!C$2)^2)+Ft!C$7*EXP(Ft!C$40*($A184-Ft!C$2)^2)))</f>
        <v>0.14726473833181219</v>
      </c>
      <c r="H184" s="3">
        <f>IF(($A184-Ft!D$2)&lt;0,Ft!D$3*((1-Ft!D$6)/(1+Ft!D$37*($A184-Ft!D$2)^2)+Ft!D$6*EXP(Ft!D$38*($A184-Ft!D$2)^2)),Ft!D$3*((1-Ft!D$7)/(1+Ft!D$39*($A184-Ft!D$2)^2)+Ft!D$7*EXP(Ft!D$40*($A184-Ft!D$2)^2)))</f>
        <v>16.143549036006803</v>
      </c>
      <c r="I184" s="3">
        <f>IF(($A184-Ft!E$2)&lt;0,Ft!E$3*((1-Ft!E$6)/(1+Ft!E$37*($A184-Ft!E$2)^2)+Ft!E$6*EXP(Ft!E$38*($A184-Ft!E$2)^2)),Ft!E$3*((1-Ft!E$7)/(1+Ft!E$39*($A184-Ft!E$2)^2)+Ft!E$7*EXP(Ft!E$40*($A184-Ft!E$2)^2)))</f>
        <v>7.828618726221509E-2</v>
      </c>
      <c r="J184" s="3">
        <f>IF(($A184-Ft!F$2)&lt;0,Ft!F$3*((1-Ft!F$6)/(1+Ft!F$37*($A184-Ft!F$2)^2)+Ft!F$6*EXP(Ft!F$38*($A184-Ft!F$2)^2)),Ft!F$3*((1-Ft!F$7)/(1+Ft!F$39*($A184-Ft!F$2)^2)+Ft!F$7*EXP(Ft!F$40*($A184-Ft!F$2)^2)))</f>
        <v>1.982066911089974E-47</v>
      </c>
      <c r="K184" s="3">
        <f>IF(($A184-Ft!G$2)&lt;0,Ft!G$3*((1-Ft!G$6)/(1+Ft!G$37*($A184-Ft!G$2)^2)+Ft!G$6*EXP(Ft!G$38*($A184-Ft!G$2)^2)),Ft!G$3*((1-Ft!G$7)/(1+Ft!G$39*($A184-Ft!G$2)^2)+Ft!G$7*EXP(Ft!G$40*($A184-Ft!G$2)^2)))</f>
        <v>1.2774516353731861E-191</v>
      </c>
      <c r="L184" s="3">
        <f>IF(($A184-Ft!H$2)&lt;0,Ft!H$3*((1-Ft!H$6)/(1+Ft!H$37*($A184-Ft!H$2)^2)+Ft!H$6*EXP(Ft!H$38*($A184-Ft!H$2)^2)),Ft!H$3*((1-Ft!H$7)/(1+Ft!H$39*($A184-Ft!H$2)^2)+Ft!H$7*EXP(Ft!H$40*($A184-Ft!H$2)^2)))</f>
        <v>0</v>
      </c>
      <c r="M184" s="3">
        <f>IF(($A184-Ft!I$2)&lt;0,Ft!I$3*((1-Ft!I$6)/(1+Ft!I$37*($A184-Ft!I$2)^2)+Ft!I$6*EXP(Ft!I$38*($A184-Ft!I$2)^2)),Ft!I$3*((1-Ft!I$7)/(1+Ft!I$39*($A184-Ft!I$2)^2)+Ft!I$7*EXP(Ft!I$40*($A184-Ft!I$2)^2)))</f>
        <v>0</v>
      </c>
      <c r="N184" s="3">
        <f>IF(($A184-Ft!J$2)&lt;0,Ft!J$3*((1-Ft!J$6)/(1+Ft!J$37*($A184-Ft!J$2)^2)+Ft!J$6*EXP(Ft!J$38*($A184-Ft!J$2)^2)),Ft!J$3*((1-Ft!J$7)/(1+Ft!J$39*($A184-Ft!J$2)^2)+Ft!J$7*EXP(Ft!J$40*($A184-Ft!J$2)^2)))</f>
        <v>0</v>
      </c>
      <c r="O184" s="3">
        <f>IF(($A184-Ft!K$2)&lt;0,Ft!K$3*((1-Ft!K$6)/(1+Ft!K$37*($A184-Ft!K$2)^2)+Ft!K$6*EXP(Ft!K$38*($A184-Ft!K$2)^2)),Ft!K$3*((1-Ft!K$7)/(1+Ft!K$39*($A184-Ft!K$2)^2)+Ft!K$7*EXP(Ft!K$40*($A184-Ft!K$2)^2)))</f>
        <v>0</v>
      </c>
      <c r="P184"/>
      <c r="Q184"/>
    </row>
    <row r="185" spans="1:17">
      <c r="A185">
        <v>366</v>
      </c>
      <c r="B185">
        <v>16.422866736299</v>
      </c>
      <c r="C185" s="6">
        <f t="shared" si="5"/>
        <v>16.466516566896196</v>
      </c>
      <c r="D185" s="19">
        <f t="shared" si="6"/>
        <v>1.9053077111639628E-3</v>
      </c>
      <c r="E185" s="3">
        <f>Ft!$B$12+Ft!$B$14*(Data!A185-Vars!$B$3)</f>
        <v>0</v>
      </c>
      <c r="F185" s="3">
        <f>IF(($A185-Ft!B$2)&lt;0,Ft!B$3*((1-Ft!B$6)/(1+Ft!B$37*($A185-Ft!B$2)^2)+Ft!B$6*EXP(Ft!B$38*($A185-Ft!B$2)^2)),Ft!B$3*((1-Ft!B$7)/(1+Ft!B$39*($A185-Ft!B$2)^2)+Ft!B$7*EXP(Ft!B$40*($A185-Ft!B$2)^2)))</f>
        <v>1.2539842380803109E-56</v>
      </c>
      <c r="G185" s="3">
        <f>IF(($A185-Ft!C$2)&lt;0,Ft!C$3*((1-Ft!C$6)/(1+Ft!C$37*($A185-Ft!C$2)^2)+Ft!C$6*EXP(Ft!C$38*($A185-Ft!C$2)^2)),Ft!C$3*((1-Ft!C$7)/(1+Ft!C$39*($A185-Ft!C$2)^2)+Ft!C$7*EXP(Ft!C$40*($A185-Ft!C$2)^2)))</f>
        <v>0.13682720539950025</v>
      </c>
      <c r="H185" s="3">
        <f>IF(($A185-Ft!D$2)&lt;0,Ft!D$3*((1-Ft!D$6)/(1+Ft!D$37*($A185-Ft!D$2)^2)+Ft!D$6*EXP(Ft!D$38*($A185-Ft!D$2)^2)),Ft!D$3*((1-Ft!D$7)/(1+Ft!D$39*($A185-Ft!D$2)^2)+Ft!D$7*EXP(Ft!D$40*($A185-Ft!D$2)^2)))</f>
        <v>16.24771318976757</v>
      </c>
      <c r="I185" s="3">
        <f>IF(($A185-Ft!E$2)&lt;0,Ft!E$3*((1-Ft!E$6)/(1+Ft!E$37*($A185-Ft!E$2)^2)+Ft!E$6*EXP(Ft!E$38*($A185-Ft!E$2)^2)),Ft!E$3*((1-Ft!E$7)/(1+Ft!E$39*($A185-Ft!E$2)^2)+Ft!E$7*EXP(Ft!E$40*($A185-Ft!E$2)^2)))</f>
        <v>8.1976171729128439E-2</v>
      </c>
      <c r="J185" s="3">
        <f>IF(($A185-Ft!F$2)&lt;0,Ft!F$3*((1-Ft!F$6)/(1+Ft!F$37*($A185-Ft!F$2)^2)+Ft!F$6*EXP(Ft!F$38*($A185-Ft!F$2)^2)),Ft!F$3*((1-Ft!F$7)/(1+Ft!F$39*($A185-Ft!F$2)^2)+Ft!F$7*EXP(Ft!F$40*($A185-Ft!F$2)^2)))</f>
        <v>3.9290608828427257E-47</v>
      </c>
      <c r="K185" s="3">
        <f>IF(($A185-Ft!G$2)&lt;0,Ft!G$3*((1-Ft!G$6)/(1+Ft!G$37*($A185-Ft!G$2)^2)+Ft!G$6*EXP(Ft!G$38*($A185-Ft!G$2)^2)),Ft!G$3*((1-Ft!G$7)/(1+Ft!G$39*($A185-Ft!G$2)^2)+Ft!G$7*EXP(Ft!G$40*($A185-Ft!G$2)^2)))</f>
        <v>1.6982291888140885E-190</v>
      </c>
      <c r="L185" s="3">
        <f>IF(($A185-Ft!H$2)&lt;0,Ft!H$3*((1-Ft!H$6)/(1+Ft!H$37*($A185-Ft!H$2)^2)+Ft!H$6*EXP(Ft!H$38*($A185-Ft!H$2)^2)),Ft!H$3*((1-Ft!H$7)/(1+Ft!H$39*($A185-Ft!H$2)^2)+Ft!H$7*EXP(Ft!H$40*($A185-Ft!H$2)^2)))</f>
        <v>0</v>
      </c>
      <c r="M185" s="3">
        <f>IF(($A185-Ft!I$2)&lt;0,Ft!I$3*((1-Ft!I$6)/(1+Ft!I$37*($A185-Ft!I$2)^2)+Ft!I$6*EXP(Ft!I$38*($A185-Ft!I$2)^2)),Ft!I$3*((1-Ft!I$7)/(1+Ft!I$39*($A185-Ft!I$2)^2)+Ft!I$7*EXP(Ft!I$40*($A185-Ft!I$2)^2)))</f>
        <v>0</v>
      </c>
      <c r="N185" s="3">
        <f>IF(($A185-Ft!J$2)&lt;0,Ft!J$3*((1-Ft!J$6)/(1+Ft!J$37*($A185-Ft!J$2)^2)+Ft!J$6*EXP(Ft!J$38*($A185-Ft!J$2)^2)),Ft!J$3*((1-Ft!J$7)/(1+Ft!J$39*($A185-Ft!J$2)^2)+Ft!J$7*EXP(Ft!J$40*($A185-Ft!J$2)^2)))</f>
        <v>0</v>
      </c>
      <c r="O185" s="3">
        <f>IF(($A185-Ft!K$2)&lt;0,Ft!K$3*((1-Ft!K$6)/(1+Ft!K$37*($A185-Ft!K$2)^2)+Ft!K$6*EXP(Ft!K$38*($A185-Ft!K$2)^2)),Ft!K$3*((1-Ft!K$7)/(1+Ft!K$39*($A185-Ft!K$2)^2)+Ft!K$7*EXP(Ft!K$40*($A185-Ft!K$2)^2)))</f>
        <v>0</v>
      </c>
      <c r="P185"/>
      <c r="Q185"/>
    </row>
    <row r="186" spans="1:17">
      <c r="A186">
        <v>368</v>
      </c>
      <c r="B186">
        <v>16.493905776402997</v>
      </c>
      <c r="C186" s="6">
        <f t="shared" si="5"/>
        <v>16.563068436613456</v>
      </c>
      <c r="D186" s="19">
        <f t="shared" si="6"/>
        <v>4.7834735673874277E-3</v>
      </c>
      <c r="E186" s="3">
        <f>Ft!$B$12+Ft!$B$14*(Data!A186-Vars!$B$3)</f>
        <v>0</v>
      </c>
      <c r="F186" s="3">
        <f>IF(($A186-Ft!B$2)&lt;0,Ft!B$3*((1-Ft!B$6)/(1+Ft!B$37*($A186-Ft!B$2)^2)+Ft!B$6*EXP(Ft!B$38*($A186-Ft!B$2)^2)),Ft!B$3*((1-Ft!B$7)/(1+Ft!B$39*($A186-Ft!B$2)^2)+Ft!B$7*EXP(Ft!B$40*($A186-Ft!B$2)^2)))</f>
        <v>2.4677122056968554E-57</v>
      </c>
      <c r="G186" s="3">
        <f>IF(($A186-Ft!C$2)&lt;0,Ft!C$3*((1-Ft!C$6)/(1+Ft!C$37*($A186-Ft!C$2)^2)+Ft!C$6*EXP(Ft!C$38*($A186-Ft!C$2)^2)),Ft!C$3*((1-Ft!C$7)/(1+Ft!C$39*($A186-Ft!C$2)^2)+Ft!C$7*EXP(Ft!C$40*($A186-Ft!C$2)^2)))</f>
        <v>0.12704690099834734</v>
      </c>
      <c r="H186" s="3">
        <f>IF(($A186-Ft!D$2)&lt;0,Ft!D$3*((1-Ft!D$6)/(1+Ft!D$37*($A186-Ft!D$2)^2)+Ft!D$6*EXP(Ft!D$38*($A186-Ft!D$2)^2)),Ft!D$3*((1-Ft!D$7)/(1+Ft!D$39*($A186-Ft!D$2)^2)+Ft!D$7*EXP(Ft!D$40*($A186-Ft!D$2)^2)))</f>
        <v>16.350198736503476</v>
      </c>
      <c r="I186" s="3">
        <f>IF(($A186-Ft!E$2)&lt;0,Ft!E$3*((1-Ft!E$6)/(1+Ft!E$37*($A186-Ft!E$2)^2)+Ft!E$6*EXP(Ft!E$38*($A186-Ft!E$2)^2)),Ft!E$3*((1-Ft!E$7)/(1+Ft!E$39*($A186-Ft!E$2)^2)+Ft!E$7*EXP(Ft!E$40*($A186-Ft!E$2)^2)))</f>
        <v>8.5822799111633902E-2</v>
      </c>
      <c r="J186" s="3">
        <f>IF(($A186-Ft!F$2)&lt;0,Ft!F$3*((1-Ft!F$6)/(1+Ft!F$37*($A186-Ft!F$2)^2)+Ft!F$6*EXP(Ft!F$38*($A186-Ft!F$2)^2)),Ft!F$3*((1-Ft!F$7)/(1+Ft!F$39*($A186-Ft!F$2)^2)+Ft!F$7*EXP(Ft!F$40*($A186-Ft!F$2)^2)))</f>
        <v>7.7718512484261393E-47</v>
      </c>
      <c r="K186" s="3">
        <f>IF(($A186-Ft!G$2)&lt;0,Ft!G$3*((1-Ft!G$6)/(1+Ft!G$37*($A186-Ft!G$2)^2)+Ft!G$6*EXP(Ft!G$38*($A186-Ft!G$2)^2)),Ft!G$3*((1-Ft!G$7)/(1+Ft!G$39*($A186-Ft!G$2)^2)+Ft!G$7*EXP(Ft!G$40*($A186-Ft!G$2)^2)))</f>
        <v>2.2405006171149538E-189</v>
      </c>
      <c r="L186" s="3">
        <f>IF(($A186-Ft!H$2)&lt;0,Ft!H$3*((1-Ft!H$6)/(1+Ft!H$37*($A186-Ft!H$2)^2)+Ft!H$6*EXP(Ft!H$38*($A186-Ft!H$2)^2)),Ft!H$3*((1-Ft!H$7)/(1+Ft!H$39*($A186-Ft!H$2)^2)+Ft!H$7*EXP(Ft!H$40*($A186-Ft!H$2)^2)))</f>
        <v>0</v>
      </c>
      <c r="M186" s="3">
        <f>IF(($A186-Ft!I$2)&lt;0,Ft!I$3*((1-Ft!I$6)/(1+Ft!I$37*($A186-Ft!I$2)^2)+Ft!I$6*EXP(Ft!I$38*($A186-Ft!I$2)^2)),Ft!I$3*((1-Ft!I$7)/(1+Ft!I$39*($A186-Ft!I$2)^2)+Ft!I$7*EXP(Ft!I$40*($A186-Ft!I$2)^2)))</f>
        <v>0</v>
      </c>
      <c r="N186" s="3">
        <f>IF(($A186-Ft!J$2)&lt;0,Ft!J$3*((1-Ft!J$6)/(1+Ft!J$37*($A186-Ft!J$2)^2)+Ft!J$6*EXP(Ft!J$38*($A186-Ft!J$2)^2)),Ft!J$3*((1-Ft!J$7)/(1+Ft!J$39*($A186-Ft!J$2)^2)+Ft!J$7*EXP(Ft!J$40*($A186-Ft!J$2)^2)))</f>
        <v>0</v>
      </c>
      <c r="O186" s="3">
        <f>IF(($A186-Ft!K$2)&lt;0,Ft!K$3*((1-Ft!K$6)/(1+Ft!K$37*($A186-Ft!K$2)^2)+Ft!K$6*EXP(Ft!K$38*($A186-Ft!K$2)^2)),Ft!K$3*((1-Ft!K$7)/(1+Ft!K$39*($A186-Ft!K$2)^2)+Ft!K$7*EXP(Ft!K$40*($A186-Ft!K$2)^2)))</f>
        <v>0</v>
      </c>
      <c r="P186"/>
      <c r="Q186"/>
    </row>
    <row r="187" spans="1:17">
      <c r="A187">
        <v>370</v>
      </c>
      <c r="B187">
        <v>16.568828442070995</v>
      </c>
      <c r="C187" s="6">
        <f t="shared" si="5"/>
        <v>16.658686457761792</v>
      </c>
      <c r="D187" s="19">
        <f t="shared" si="6"/>
        <v>8.0744629838876182E-3</v>
      </c>
      <c r="E187" s="3">
        <f>Ft!$B$12+Ft!$B$14*(Data!A187-Vars!$B$3)</f>
        <v>0</v>
      </c>
      <c r="F187" s="3">
        <f>IF(($A187-Ft!B$2)&lt;0,Ft!B$3*((1-Ft!B$6)/(1+Ft!B$37*($A187-Ft!B$2)^2)+Ft!B$6*EXP(Ft!B$38*($A187-Ft!B$2)^2)),Ft!B$3*((1-Ft!B$7)/(1+Ft!B$39*($A187-Ft!B$2)^2)+Ft!B$7*EXP(Ft!B$40*($A187-Ft!B$2)^2)))</f>
        <v>4.8073530933065646E-58</v>
      </c>
      <c r="G187" s="3">
        <f>IF(($A187-Ft!C$2)&lt;0,Ft!C$3*((1-Ft!C$6)/(1+Ft!C$37*($A187-Ft!C$2)^2)+Ft!C$6*EXP(Ft!C$38*($A187-Ft!C$2)^2)),Ft!C$3*((1-Ft!C$7)/(1+Ft!C$39*($A187-Ft!C$2)^2)+Ft!C$7*EXP(Ft!C$40*($A187-Ft!C$2)^2)))</f>
        <v>0.11788909323157483</v>
      </c>
      <c r="H187" s="3">
        <f>IF(($A187-Ft!D$2)&lt;0,Ft!D$3*((1-Ft!D$6)/(1+Ft!D$37*($A187-Ft!D$2)^2)+Ft!D$6*EXP(Ft!D$38*($A187-Ft!D$2)^2)),Ft!D$3*((1-Ft!D$7)/(1+Ft!D$39*($A187-Ft!D$2)^2)+Ft!D$7*EXP(Ft!D$40*($A187-Ft!D$2)^2)))</f>
        <v>16.450965530135452</v>
      </c>
      <c r="I187" s="3">
        <f>IF(($A187-Ft!E$2)&lt;0,Ft!E$3*((1-Ft!E$6)/(1+Ft!E$37*($A187-Ft!E$2)^2)+Ft!E$6*EXP(Ft!E$38*($A187-Ft!E$2)^2)),Ft!E$3*((1-Ft!E$7)/(1+Ft!E$39*($A187-Ft!E$2)^2)+Ft!E$7*EXP(Ft!E$40*($A187-Ft!E$2)^2)))</f>
        <v>8.9831834394766316E-2</v>
      </c>
      <c r="J187" s="3">
        <f>IF(($A187-Ft!F$2)&lt;0,Ft!F$3*((1-Ft!F$6)/(1+Ft!F$37*($A187-Ft!F$2)^2)+Ft!F$6*EXP(Ft!F$38*($A187-Ft!F$2)^2)),Ft!F$3*((1-Ft!F$7)/(1+Ft!F$39*($A187-Ft!F$2)^2)+Ft!F$7*EXP(Ft!F$40*($A187-Ft!F$2)^2)))</f>
        <v>1.5340004078349055E-46</v>
      </c>
      <c r="K187" s="3">
        <f>IF(($A187-Ft!G$2)&lt;0,Ft!G$3*((1-Ft!G$6)/(1+Ft!G$37*($A187-Ft!G$2)^2)+Ft!G$6*EXP(Ft!G$38*($A187-Ft!G$2)^2)),Ft!G$3*((1-Ft!G$7)/(1+Ft!G$39*($A187-Ft!G$2)^2)+Ft!G$7*EXP(Ft!G$40*($A187-Ft!G$2)^2)))</f>
        <v>2.9335315724118589E-188</v>
      </c>
      <c r="L187" s="3">
        <f>IF(($A187-Ft!H$2)&lt;0,Ft!H$3*((1-Ft!H$6)/(1+Ft!H$37*($A187-Ft!H$2)^2)+Ft!H$6*EXP(Ft!H$38*($A187-Ft!H$2)^2)),Ft!H$3*((1-Ft!H$7)/(1+Ft!H$39*($A187-Ft!H$2)^2)+Ft!H$7*EXP(Ft!H$40*($A187-Ft!H$2)^2)))</f>
        <v>0</v>
      </c>
      <c r="M187" s="3">
        <f>IF(($A187-Ft!I$2)&lt;0,Ft!I$3*((1-Ft!I$6)/(1+Ft!I$37*($A187-Ft!I$2)^2)+Ft!I$6*EXP(Ft!I$38*($A187-Ft!I$2)^2)),Ft!I$3*((1-Ft!I$7)/(1+Ft!I$39*($A187-Ft!I$2)^2)+Ft!I$7*EXP(Ft!I$40*($A187-Ft!I$2)^2)))</f>
        <v>0</v>
      </c>
      <c r="N187" s="3">
        <f>IF(($A187-Ft!J$2)&lt;0,Ft!J$3*((1-Ft!J$6)/(1+Ft!J$37*($A187-Ft!J$2)^2)+Ft!J$6*EXP(Ft!J$38*($A187-Ft!J$2)^2)),Ft!J$3*((1-Ft!J$7)/(1+Ft!J$39*($A187-Ft!J$2)^2)+Ft!J$7*EXP(Ft!J$40*($A187-Ft!J$2)^2)))</f>
        <v>0</v>
      </c>
      <c r="O187" s="3">
        <f>IF(($A187-Ft!K$2)&lt;0,Ft!K$3*((1-Ft!K$6)/(1+Ft!K$37*($A187-Ft!K$2)^2)+Ft!K$6*EXP(Ft!K$38*($A187-Ft!K$2)^2)),Ft!K$3*((1-Ft!K$7)/(1+Ft!K$39*($A187-Ft!K$2)^2)+Ft!K$7*EXP(Ft!K$40*($A187-Ft!K$2)^2)))</f>
        <v>0</v>
      </c>
      <c r="P187"/>
      <c r="Q187"/>
    </row>
    <row r="188" spans="1:17">
      <c r="A188">
        <v>372</v>
      </c>
      <c r="B188">
        <v>16.648523662000997</v>
      </c>
      <c r="C188" s="6">
        <f t="shared" si="5"/>
        <v>16.753303504367743</v>
      </c>
      <c r="D188" s="19">
        <f t="shared" si="6"/>
        <v>1.0978815366400113E-2</v>
      </c>
      <c r="E188" s="3">
        <f>Ft!$B$12+Ft!$B$14*(Data!A188-Vars!$B$3)</f>
        <v>0</v>
      </c>
      <c r="F188" s="3">
        <f>IF(($A188-Ft!B$2)&lt;0,Ft!B$3*((1-Ft!B$6)/(1+Ft!B$37*($A188-Ft!B$2)^2)+Ft!B$6*EXP(Ft!B$38*($A188-Ft!B$2)^2)),Ft!B$3*((1-Ft!B$7)/(1+Ft!B$39*($A188-Ft!B$2)^2)+Ft!B$7*EXP(Ft!B$40*($A188-Ft!B$2)^2)))</f>
        <v>9.2710007237001875E-59</v>
      </c>
      <c r="G188" s="3">
        <f>IF(($A188-Ft!C$2)&lt;0,Ft!C$3*((1-Ft!C$6)/(1+Ft!C$37*($A188-Ft!C$2)^2)+Ft!C$6*EXP(Ft!C$38*($A188-Ft!C$2)^2)),Ft!C$3*((1-Ft!C$7)/(1+Ft!C$39*($A188-Ft!C$2)^2)+Ft!C$7*EXP(Ft!C$40*($A188-Ft!C$2)^2)))</f>
        <v>0.10932037449403625</v>
      </c>
      <c r="H188" s="3">
        <f>IF(($A188-Ft!D$2)&lt;0,Ft!D$3*((1-Ft!D$6)/(1+Ft!D$37*($A188-Ft!D$2)^2)+Ft!D$6*EXP(Ft!D$38*($A188-Ft!D$2)^2)),Ft!D$3*((1-Ft!D$7)/(1+Ft!D$39*($A188-Ft!D$2)^2)+Ft!D$7*EXP(Ft!D$40*($A188-Ft!D$2)^2)))</f>
        <v>16.549973917790687</v>
      </c>
      <c r="I188" s="3">
        <f>IF(($A188-Ft!E$2)&lt;0,Ft!E$3*((1-Ft!E$6)/(1+Ft!E$37*($A188-Ft!E$2)^2)+Ft!E$6*EXP(Ft!E$38*($A188-Ft!E$2)^2)),Ft!E$3*((1-Ft!E$7)/(1+Ft!E$39*($A188-Ft!E$2)^2)+Ft!E$7*EXP(Ft!E$40*($A188-Ft!E$2)^2)))</f>
        <v>9.4009212083019614E-2</v>
      </c>
      <c r="J188" s="3">
        <f>IF(($A188-Ft!F$2)&lt;0,Ft!F$3*((1-Ft!F$6)/(1+Ft!F$37*($A188-Ft!F$2)^2)+Ft!F$6*EXP(Ft!F$38*($A188-Ft!F$2)^2)),Ft!F$3*((1-Ft!F$7)/(1+Ft!F$39*($A188-Ft!F$2)^2)+Ft!F$7*EXP(Ft!F$40*($A188-Ft!F$2)^2)))</f>
        <v>3.0212853484085396E-46</v>
      </c>
      <c r="K188" s="3">
        <f>IF(($A188-Ft!G$2)&lt;0,Ft!G$3*((1-Ft!G$6)/(1+Ft!G$37*($A188-Ft!G$2)^2)+Ft!G$6*EXP(Ft!G$38*($A188-Ft!G$2)^2)),Ft!G$3*((1-Ft!G$7)/(1+Ft!G$39*($A188-Ft!G$2)^2)+Ft!G$7*EXP(Ft!G$40*($A188-Ft!G$2)^2)))</f>
        <v>3.8118288938420342E-187</v>
      </c>
      <c r="L188" s="3">
        <f>IF(($A188-Ft!H$2)&lt;0,Ft!H$3*((1-Ft!H$6)/(1+Ft!H$37*($A188-Ft!H$2)^2)+Ft!H$6*EXP(Ft!H$38*($A188-Ft!H$2)^2)),Ft!H$3*((1-Ft!H$7)/(1+Ft!H$39*($A188-Ft!H$2)^2)+Ft!H$7*EXP(Ft!H$40*($A188-Ft!H$2)^2)))</f>
        <v>0</v>
      </c>
      <c r="M188" s="3">
        <f>IF(($A188-Ft!I$2)&lt;0,Ft!I$3*((1-Ft!I$6)/(1+Ft!I$37*($A188-Ft!I$2)^2)+Ft!I$6*EXP(Ft!I$38*($A188-Ft!I$2)^2)),Ft!I$3*((1-Ft!I$7)/(1+Ft!I$39*($A188-Ft!I$2)^2)+Ft!I$7*EXP(Ft!I$40*($A188-Ft!I$2)^2)))</f>
        <v>0</v>
      </c>
      <c r="N188" s="3">
        <f>IF(($A188-Ft!J$2)&lt;0,Ft!J$3*((1-Ft!J$6)/(1+Ft!J$37*($A188-Ft!J$2)^2)+Ft!J$6*EXP(Ft!J$38*($A188-Ft!J$2)^2)),Ft!J$3*((1-Ft!J$7)/(1+Ft!J$39*($A188-Ft!J$2)^2)+Ft!J$7*EXP(Ft!J$40*($A188-Ft!J$2)^2)))</f>
        <v>0</v>
      </c>
      <c r="O188" s="3">
        <f>IF(($A188-Ft!K$2)&lt;0,Ft!K$3*((1-Ft!K$6)/(1+Ft!K$37*($A188-Ft!K$2)^2)+Ft!K$6*EXP(Ft!K$38*($A188-Ft!K$2)^2)),Ft!K$3*((1-Ft!K$7)/(1+Ft!K$39*($A188-Ft!K$2)^2)+Ft!K$7*EXP(Ft!K$40*($A188-Ft!K$2)^2)))</f>
        <v>0</v>
      </c>
      <c r="P188"/>
      <c r="Q188"/>
    </row>
    <row r="189" spans="1:17">
      <c r="A189">
        <v>374</v>
      </c>
      <c r="B189">
        <v>16.728626036885998</v>
      </c>
      <c r="C189" s="6">
        <f t="shared" si="5"/>
        <v>16.846854454559139</v>
      </c>
      <c r="D189" s="19">
        <f t="shared" si="6"/>
        <v>1.3977958745494618E-2</v>
      </c>
      <c r="E189" s="3">
        <f>Ft!$B$12+Ft!$B$14*(Data!A189-Vars!$B$3)</f>
        <v>0</v>
      </c>
      <c r="F189" s="3">
        <f>IF(($A189-Ft!B$2)&lt;0,Ft!B$3*((1-Ft!B$6)/(1+Ft!B$37*($A189-Ft!B$2)^2)+Ft!B$6*EXP(Ft!B$38*($A189-Ft!B$2)^2)),Ft!B$3*((1-Ft!B$7)/(1+Ft!B$39*($A189-Ft!B$2)^2)+Ft!B$7*EXP(Ft!B$40*($A189-Ft!B$2)^2)))</f>
        <v>1.7699308099085371E-59</v>
      </c>
      <c r="G189" s="3">
        <f>IF(($A189-Ft!C$2)&lt;0,Ft!C$3*((1-Ft!C$6)/(1+Ft!C$37*($A189-Ft!C$2)^2)+Ft!C$6*EXP(Ft!C$38*($A189-Ft!C$2)^2)),Ft!C$3*((1-Ft!C$7)/(1+Ft!C$39*($A189-Ft!C$2)^2)+Ft!C$7*EXP(Ft!C$40*($A189-Ft!C$2)^2)))</f>
        <v>0.10130864961826791</v>
      </c>
      <c r="H189" s="3">
        <f>IF(($A189-Ft!D$2)&lt;0,Ft!D$3*((1-Ft!D$6)/(1+Ft!D$37*($A189-Ft!D$2)^2)+Ft!D$6*EXP(Ft!D$38*($A189-Ft!D$2)^2)),Ft!D$3*((1-Ft!D$7)/(1+Ft!D$39*($A189-Ft!D$2)^2)+Ft!D$7*EXP(Ft!D$40*($A189-Ft!D$2)^2)))</f>
        <v>16.647184765712204</v>
      </c>
      <c r="I189" s="3">
        <f>IF(($A189-Ft!E$2)&lt;0,Ft!E$3*((1-Ft!E$6)/(1+Ft!E$37*($A189-Ft!E$2)^2)+Ft!E$6*EXP(Ft!E$38*($A189-Ft!E$2)^2)),Ft!E$3*((1-Ft!E$7)/(1+Ft!E$39*($A189-Ft!E$2)^2)+Ft!E$7*EXP(Ft!E$40*($A189-Ft!E$2)^2)))</f>
        <v>9.8361039228668845E-2</v>
      </c>
      <c r="J189" s="3">
        <f>IF(($A189-Ft!F$2)&lt;0,Ft!F$3*((1-Ft!F$6)/(1+Ft!F$37*($A189-Ft!F$2)^2)+Ft!F$6*EXP(Ft!F$38*($A189-Ft!F$2)^2)),Ft!F$3*((1-Ft!F$7)/(1+Ft!F$39*($A189-Ft!F$2)^2)+Ft!F$7*EXP(Ft!F$40*($A189-Ft!F$2)^2)))</f>
        <v>5.9377688668771799E-46</v>
      </c>
      <c r="K189" s="3">
        <f>IF(($A189-Ft!G$2)&lt;0,Ft!G$3*((1-Ft!G$6)/(1+Ft!G$37*($A189-Ft!G$2)^2)+Ft!G$6*EXP(Ft!G$38*($A189-Ft!G$2)^2)),Ft!G$3*((1-Ft!G$7)/(1+Ft!G$39*($A189-Ft!G$2)^2)+Ft!G$7*EXP(Ft!G$40*($A189-Ft!G$2)^2)))</f>
        <v>4.9155595394916108E-186</v>
      </c>
      <c r="L189" s="3">
        <f>IF(($A189-Ft!H$2)&lt;0,Ft!H$3*((1-Ft!H$6)/(1+Ft!H$37*($A189-Ft!H$2)^2)+Ft!H$6*EXP(Ft!H$38*($A189-Ft!H$2)^2)),Ft!H$3*((1-Ft!H$7)/(1+Ft!H$39*($A189-Ft!H$2)^2)+Ft!H$7*EXP(Ft!H$40*($A189-Ft!H$2)^2)))</f>
        <v>0</v>
      </c>
      <c r="M189" s="3">
        <f>IF(($A189-Ft!I$2)&lt;0,Ft!I$3*((1-Ft!I$6)/(1+Ft!I$37*($A189-Ft!I$2)^2)+Ft!I$6*EXP(Ft!I$38*($A189-Ft!I$2)^2)),Ft!I$3*((1-Ft!I$7)/(1+Ft!I$39*($A189-Ft!I$2)^2)+Ft!I$7*EXP(Ft!I$40*($A189-Ft!I$2)^2)))</f>
        <v>0</v>
      </c>
      <c r="N189" s="3">
        <f>IF(($A189-Ft!J$2)&lt;0,Ft!J$3*((1-Ft!J$6)/(1+Ft!J$37*($A189-Ft!J$2)^2)+Ft!J$6*EXP(Ft!J$38*($A189-Ft!J$2)^2)),Ft!J$3*((1-Ft!J$7)/(1+Ft!J$39*($A189-Ft!J$2)^2)+Ft!J$7*EXP(Ft!J$40*($A189-Ft!J$2)^2)))</f>
        <v>0</v>
      </c>
      <c r="O189" s="3">
        <f>IF(($A189-Ft!K$2)&lt;0,Ft!K$3*((1-Ft!K$6)/(1+Ft!K$37*($A189-Ft!K$2)^2)+Ft!K$6*EXP(Ft!K$38*($A189-Ft!K$2)^2)),Ft!K$3*((1-Ft!K$7)/(1+Ft!K$39*($A189-Ft!K$2)^2)+Ft!K$7*EXP(Ft!K$40*($A189-Ft!K$2)^2)))</f>
        <v>0</v>
      </c>
      <c r="P189"/>
      <c r="Q189"/>
    </row>
    <row r="190" spans="1:17">
      <c r="A190">
        <v>376</v>
      </c>
      <c r="B190">
        <v>16.808477932489993</v>
      </c>
      <c r="C190" s="6">
        <f t="shared" si="5"/>
        <v>16.939276204150421</v>
      </c>
      <c r="D190" s="19">
        <f t="shared" si="6"/>
        <v>1.7108187869355095E-2</v>
      </c>
      <c r="E190" s="3">
        <f>Ft!$B$12+Ft!$B$14*(Data!A190-Vars!$B$3)</f>
        <v>0</v>
      </c>
      <c r="F190" s="3">
        <f>IF(($A190-Ft!B$2)&lt;0,Ft!B$3*((1-Ft!B$6)/(1+Ft!B$37*($A190-Ft!B$2)^2)+Ft!B$6*EXP(Ft!B$38*($A190-Ft!B$2)^2)),Ft!B$3*((1-Ft!B$7)/(1+Ft!B$39*($A190-Ft!B$2)^2)+Ft!B$7*EXP(Ft!B$40*($A190-Ft!B$2)^2)))</f>
        <v>3.3449916999760783E-60</v>
      </c>
      <c r="G190" s="3">
        <f>IF(($A190-Ft!C$2)&lt;0,Ft!C$3*((1-Ft!C$6)/(1+Ft!C$37*($A190-Ft!C$2)^2)+Ft!C$6*EXP(Ft!C$38*($A190-Ft!C$2)^2)),Ft!C$3*((1-Ft!C$7)/(1+Ft!C$39*($A190-Ft!C$2)^2)+Ft!C$7*EXP(Ft!C$40*($A190-Ft!C$2)^2)))</f>
        <v>9.3823120774885471E-2</v>
      </c>
      <c r="H190" s="3">
        <f>IF(($A190-Ft!D$2)&lt;0,Ft!D$3*((1-Ft!D$6)/(1+Ft!D$37*($A190-Ft!D$2)^2)+Ft!D$6*EXP(Ft!D$38*($A190-Ft!D$2)^2)),Ft!D$3*((1-Ft!D$7)/(1+Ft!D$39*($A190-Ft!D$2)^2)+Ft!D$7*EXP(Ft!D$40*($A190-Ft!D$2)^2)))</f>
        <v>16.742559484952015</v>
      </c>
      <c r="I190" s="3">
        <f>IF(($A190-Ft!E$2)&lt;0,Ft!E$3*((1-Ft!E$6)/(1+Ft!E$37*($A190-Ft!E$2)^2)+Ft!E$6*EXP(Ft!E$38*($A190-Ft!E$2)^2)),Ft!E$3*((1-Ft!E$7)/(1+Ft!E$39*($A190-Ft!E$2)^2)+Ft!E$7*EXP(Ft!E$40*($A190-Ft!E$2)^2)))</f>
        <v>0.10289359842351919</v>
      </c>
      <c r="J190" s="3">
        <f>IF(($A190-Ft!F$2)&lt;0,Ft!F$3*((1-Ft!F$6)/(1+Ft!F$37*($A190-Ft!F$2)^2)+Ft!F$6*EXP(Ft!F$38*($A190-Ft!F$2)^2)),Ft!F$3*((1-Ft!F$7)/(1+Ft!F$39*($A190-Ft!F$2)^2)+Ft!F$7*EXP(Ft!F$40*($A190-Ft!F$2)^2)))</f>
        <v>1.1644480182529285E-45</v>
      </c>
      <c r="K190" s="3">
        <f>IF(($A190-Ft!G$2)&lt;0,Ft!G$3*((1-Ft!G$6)/(1+Ft!G$37*($A190-Ft!G$2)^2)+Ft!G$6*EXP(Ft!G$38*($A190-Ft!G$2)^2)),Ft!G$3*((1-Ft!G$7)/(1+Ft!G$39*($A190-Ft!G$2)^2)+Ft!G$7*EXP(Ft!G$40*($A190-Ft!G$2)^2)))</f>
        <v>6.2908518280910449E-185</v>
      </c>
      <c r="L190" s="3">
        <f>IF(($A190-Ft!H$2)&lt;0,Ft!H$3*((1-Ft!H$6)/(1+Ft!H$37*($A190-Ft!H$2)^2)+Ft!H$6*EXP(Ft!H$38*($A190-Ft!H$2)^2)),Ft!H$3*((1-Ft!H$7)/(1+Ft!H$39*($A190-Ft!H$2)^2)+Ft!H$7*EXP(Ft!H$40*($A190-Ft!H$2)^2)))</f>
        <v>0</v>
      </c>
      <c r="M190" s="3">
        <f>IF(($A190-Ft!I$2)&lt;0,Ft!I$3*((1-Ft!I$6)/(1+Ft!I$37*($A190-Ft!I$2)^2)+Ft!I$6*EXP(Ft!I$38*($A190-Ft!I$2)^2)),Ft!I$3*((1-Ft!I$7)/(1+Ft!I$39*($A190-Ft!I$2)^2)+Ft!I$7*EXP(Ft!I$40*($A190-Ft!I$2)^2)))</f>
        <v>0</v>
      </c>
      <c r="N190" s="3">
        <f>IF(($A190-Ft!J$2)&lt;0,Ft!J$3*((1-Ft!J$6)/(1+Ft!J$37*($A190-Ft!J$2)^2)+Ft!J$6*EXP(Ft!J$38*($A190-Ft!J$2)^2)),Ft!J$3*((1-Ft!J$7)/(1+Ft!J$39*($A190-Ft!J$2)^2)+Ft!J$7*EXP(Ft!J$40*($A190-Ft!J$2)^2)))</f>
        <v>0</v>
      </c>
      <c r="O190" s="3">
        <f>IF(($A190-Ft!K$2)&lt;0,Ft!K$3*((1-Ft!K$6)/(1+Ft!K$37*($A190-Ft!K$2)^2)+Ft!K$6*EXP(Ft!K$38*($A190-Ft!K$2)^2)),Ft!K$3*((1-Ft!K$7)/(1+Ft!K$39*($A190-Ft!K$2)^2)+Ft!K$7*EXP(Ft!K$40*($A190-Ft!K$2)^2)))</f>
        <v>0</v>
      </c>
      <c r="P190"/>
      <c r="Q190"/>
    </row>
    <row r="191" spans="1:17">
      <c r="A191">
        <v>378</v>
      </c>
      <c r="B191">
        <v>16.888284302949998</v>
      </c>
      <c r="C191" s="6">
        <f t="shared" si="5"/>
        <v>17.030507676992819</v>
      </c>
      <c r="D191" s="19">
        <f t="shared" si="6"/>
        <v>2.0227488124124213E-2</v>
      </c>
      <c r="E191" s="3">
        <f>Ft!$B$12+Ft!$B$14*(Data!A191-Vars!$B$3)</f>
        <v>0</v>
      </c>
      <c r="F191" s="3">
        <f>IF(($A191-Ft!B$2)&lt;0,Ft!B$3*((1-Ft!B$6)/(1+Ft!B$37*($A191-Ft!B$2)^2)+Ft!B$6*EXP(Ft!B$38*($A191-Ft!B$2)^2)),Ft!B$3*((1-Ft!B$7)/(1+Ft!B$39*($A191-Ft!B$2)^2)+Ft!B$7*EXP(Ft!B$40*($A191-Ft!B$2)^2)))</f>
        <v>6.2581055050421454E-61</v>
      </c>
      <c r="G191" s="3">
        <f>IF(($A191-Ft!C$2)&lt;0,Ft!C$3*((1-Ft!C$6)/(1+Ft!C$37*($A191-Ft!C$2)^2)+Ft!C$6*EXP(Ft!C$38*($A191-Ft!C$2)^2)),Ft!C$3*((1-Ft!C$7)/(1+Ft!C$39*($A191-Ft!C$2)^2)+Ft!C$7*EXP(Ft!C$40*($A191-Ft!C$2)^2)))</f>
        <v>8.6834269419798535E-2</v>
      </c>
      <c r="H191" s="3">
        <f>IF(($A191-Ft!D$2)&lt;0,Ft!D$3*((1-Ft!D$6)/(1+Ft!D$37*($A191-Ft!D$2)^2)+Ft!D$6*EXP(Ft!D$38*($A191-Ft!D$2)^2)),Ft!D$3*((1-Ft!D$7)/(1+Ft!D$39*($A191-Ft!D$2)^2)+Ft!D$7*EXP(Ft!D$40*($A191-Ft!D$2)^2)))</f>
        <v>16.836060056824333</v>
      </c>
      <c r="I191" s="3">
        <f>IF(($A191-Ft!E$2)&lt;0,Ft!E$3*((1-Ft!E$6)/(1+Ft!E$37*($A191-Ft!E$2)^2)+Ft!E$6*EXP(Ft!E$38*($A191-Ft!E$2)^2)),Ft!E$3*((1-Ft!E$7)/(1+Ft!E$39*($A191-Ft!E$2)^2)+Ft!E$7*EXP(Ft!E$40*($A191-Ft!E$2)^2)))</f>
        <v>0.10761335074868407</v>
      </c>
      <c r="J191" s="3">
        <f>IF(($A191-Ft!F$2)&lt;0,Ft!F$3*((1-Ft!F$6)/(1+Ft!F$37*($A191-Ft!F$2)^2)+Ft!F$6*EXP(Ft!F$38*($A191-Ft!F$2)^2)),Ft!F$3*((1-Ft!F$7)/(1+Ft!F$39*($A191-Ft!F$2)^2)+Ft!F$7*EXP(Ft!F$40*($A191-Ft!F$2)^2)))</f>
        <v>2.2786740056969182E-45</v>
      </c>
      <c r="K191" s="3">
        <f>IF(($A191-Ft!G$2)&lt;0,Ft!G$3*((1-Ft!G$6)/(1+Ft!G$37*($A191-Ft!G$2)^2)+Ft!G$6*EXP(Ft!G$38*($A191-Ft!G$2)^2)),Ft!G$3*((1-Ft!G$7)/(1+Ft!G$39*($A191-Ft!G$2)^2)+Ft!G$7*EXP(Ft!G$40*($A191-Ft!G$2)^2)))</f>
        <v>7.9899283275904426E-184</v>
      </c>
      <c r="L191" s="3">
        <f>IF(($A191-Ft!H$2)&lt;0,Ft!H$3*((1-Ft!H$6)/(1+Ft!H$37*($A191-Ft!H$2)^2)+Ft!H$6*EXP(Ft!H$38*($A191-Ft!H$2)^2)),Ft!H$3*((1-Ft!H$7)/(1+Ft!H$39*($A191-Ft!H$2)^2)+Ft!H$7*EXP(Ft!H$40*($A191-Ft!H$2)^2)))</f>
        <v>0</v>
      </c>
      <c r="M191" s="3">
        <f>IF(($A191-Ft!I$2)&lt;0,Ft!I$3*((1-Ft!I$6)/(1+Ft!I$37*($A191-Ft!I$2)^2)+Ft!I$6*EXP(Ft!I$38*($A191-Ft!I$2)^2)),Ft!I$3*((1-Ft!I$7)/(1+Ft!I$39*($A191-Ft!I$2)^2)+Ft!I$7*EXP(Ft!I$40*($A191-Ft!I$2)^2)))</f>
        <v>0</v>
      </c>
      <c r="N191" s="3">
        <f>IF(($A191-Ft!J$2)&lt;0,Ft!J$3*((1-Ft!J$6)/(1+Ft!J$37*($A191-Ft!J$2)^2)+Ft!J$6*EXP(Ft!J$38*($A191-Ft!J$2)^2)),Ft!J$3*((1-Ft!J$7)/(1+Ft!J$39*($A191-Ft!J$2)^2)+Ft!J$7*EXP(Ft!J$40*($A191-Ft!J$2)^2)))</f>
        <v>0</v>
      </c>
      <c r="O191" s="3">
        <f>IF(($A191-Ft!K$2)&lt;0,Ft!K$3*((1-Ft!K$6)/(1+Ft!K$37*($A191-Ft!K$2)^2)+Ft!K$6*EXP(Ft!K$38*($A191-Ft!K$2)^2)),Ft!K$3*((1-Ft!K$7)/(1+Ft!K$39*($A191-Ft!K$2)^2)+Ft!K$7*EXP(Ft!K$40*($A191-Ft!K$2)^2)))</f>
        <v>0</v>
      </c>
      <c r="P191"/>
      <c r="Q191"/>
    </row>
    <row r="192" spans="1:17">
      <c r="A192">
        <v>380</v>
      </c>
      <c r="B192">
        <v>16.968250102403999</v>
      </c>
      <c r="C192" s="6">
        <f t="shared" si="5"/>
        <v>17.120489832344479</v>
      </c>
      <c r="D192" s="19">
        <f t="shared" si="6"/>
        <v>2.3176935372350101E-2</v>
      </c>
      <c r="E192" s="3">
        <f>Ft!$B$12+Ft!$B$14*(Data!A192-Vars!$B$3)</f>
        <v>0</v>
      </c>
      <c r="F192" s="3">
        <f>IF(($A192-Ft!B$2)&lt;0,Ft!B$3*((1-Ft!B$6)/(1+Ft!B$37*($A192-Ft!B$2)^2)+Ft!B$6*EXP(Ft!B$38*($A192-Ft!B$2)^2)),Ft!B$3*((1-Ft!B$7)/(1+Ft!B$39*($A192-Ft!B$2)^2)+Ft!B$7*EXP(Ft!B$40*($A192-Ft!B$2)^2)))</f>
        <v>1.1590436652825931E-61</v>
      </c>
      <c r="G192" s="3">
        <f>IF(($A192-Ft!C$2)&lt;0,Ft!C$3*((1-Ft!C$6)/(1+Ft!C$37*($A192-Ft!C$2)^2)+Ft!C$6*EXP(Ft!C$38*($A192-Ft!C$2)^2)),Ft!C$3*((1-Ft!C$7)/(1+Ft!C$39*($A192-Ft!C$2)^2)+Ft!C$7*EXP(Ft!C$40*($A192-Ft!C$2)^2)))</f>
        <v>8.0313835572299416E-2</v>
      </c>
      <c r="H192" s="3">
        <f>IF(($A192-Ft!D$2)&lt;0,Ft!D$3*((1-Ft!D$6)/(1+Ft!D$37*($A192-Ft!D$2)^2)+Ft!D$6*EXP(Ft!D$38*($A192-Ft!D$2)^2)),Ft!D$3*((1-Ft!D$7)/(1+Ft!D$39*($A192-Ft!D$2)^2)+Ft!D$7*EXP(Ft!D$40*($A192-Ft!D$2)^2)))</f>
        <v>16.927649058095376</v>
      </c>
      <c r="I192" s="3">
        <f>IF(($A192-Ft!E$2)&lt;0,Ft!E$3*((1-Ft!E$6)/(1+Ft!E$37*($A192-Ft!E$2)^2)+Ft!E$6*EXP(Ft!E$38*($A192-Ft!E$2)^2)),Ft!E$3*((1-Ft!E$7)/(1+Ft!E$39*($A192-Ft!E$2)^2)+Ft!E$7*EXP(Ft!E$40*($A192-Ft!E$2)^2)))</f>
        <v>0.11252693867680433</v>
      </c>
      <c r="J192" s="3">
        <f>IF(($A192-Ft!F$2)&lt;0,Ft!F$3*((1-Ft!F$6)/(1+Ft!F$37*($A192-Ft!F$2)^2)+Ft!F$6*EXP(Ft!F$38*($A192-Ft!F$2)^2)),Ft!F$3*((1-Ft!F$7)/(1+Ft!F$39*($A192-Ft!F$2)^2)+Ft!F$7*EXP(Ft!F$40*($A192-Ft!F$2)^2)))</f>
        <v>4.4494831270457768E-45</v>
      </c>
      <c r="K192" s="3">
        <f>IF(($A192-Ft!G$2)&lt;0,Ft!G$3*((1-Ft!G$6)/(1+Ft!G$37*($A192-Ft!G$2)^2)+Ft!G$6*EXP(Ft!G$38*($A192-Ft!G$2)^2)),Ft!G$3*((1-Ft!G$7)/(1+Ft!G$39*($A192-Ft!G$2)^2)+Ft!G$7*EXP(Ft!G$40*($A192-Ft!G$2)^2)))</f>
        <v>1.0071015007516752E-182</v>
      </c>
      <c r="L192" s="3">
        <f>IF(($A192-Ft!H$2)&lt;0,Ft!H$3*((1-Ft!H$6)/(1+Ft!H$37*($A192-Ft!H$2)^2)+Ft!H$6*EXP(Ft!H$38*($A192-Ft!H$2)^2)),Ft!H$3*((1-Ft!H$7)/(1+Ft!H$39*($A192-Ft!H$2)^2)+Ft!H$7*EXP(Ft!H$40*($A192-Ft!H$2)^2)))</f>
        <v>0</v>
      </c>
      <c r="M192" s="3">
        <f>IF(($A192-Ft!I$2)&lt;0,Ft!I$3*((1-Ft!I$6)/(1+Ft!I$37*($A192-Ft!I$2)^2)+Ft!I$6*EXP(Ft!I$38*($A192-Ft!I$2)^2)),Ft!I$3*((1-Ft!I$7)/(1+Ft!I$39*($A192-Ft!I$2)^2)+Ft!I$7*EXP(Ft!I$40*($A192-Ft!I$2)^2)))</f>
        <v>0</v>
      </c>
      <c r="N192" s="3">
        <f>IF(($A192-Ft!J$2)&lt;0,Ft!J$3*((1-Ft!J$6)/(1+Ft!J$37*($A192-Ft!J$2)^2)+Ft!J$6*EXP(Ft!J$38*($A192-Ft!J$2)^2)),Ft!J$3*((1-Ft!J$7)/(1+Ft!J$39*($A192-Ft!J$2)^2)+Ft!J$7*EXP(Ft!J$40*($A192-Ft!J$2)^2)))</f>
        <v>0</v>
      </c>
      <c r="O192" s="3">
        <f>IF(($A192-Ft!K$2)&lt;0,Ft!K$3*((1-Ft!K$6)/(1+Ft!K$37*($A192-Ft!K$2)^2)+Ft!K$6*EXP(Ft!K$38*($A192-Ft!K$2)^2)),Ft!K$3*((1-Ft!K$7)/(1+Ft!K$39*($A192-Ft!K$2)^2)+Ft!K$7*EXP(Ft!K$40*($A192-Ft!K$2)^2)))</f>
        <v>0</v>
      </c>
      <c r="P192"/>
      <c r="Q192"/>
    </row>
    <row r="193" spans="1:17">
      <c r="A193">
        <v>382</v>
      </c>
      <c r="B193">
        <v>17.048580284989001</v>
      </c>
      <c r="C193" s="6">
        <f t="shared" si="5"/>
        <v>17.209165669506262</v>
      </c>
      <c r="D193" s="19">
        <f t="shared" si="6"/>
        <v>2.578766572055682E-2</v>
      </c>
      <c r="E193" s="3">
        <f>Ft!$B$12+Ft!$B$14*(Data!A193-Vars!$B$3)</f>
        <v>0</v>
      </c>
      <c r="F193" s="3">
        <f>IF(($A193-Ft!B$2)&lt;0,Ft!B$3*((1-Ft!B$6)/(1+Ft!B$37*($A193-Ft!B$2)^2)+Ft!B$6*EXP(Ft!B$38*($A193-Ft!B$2)^2)),Ft!B$3*((1-Ft!B$7)/(1+Ft!B$39*($A193-Ft!B$2)^2)+Ft!B$7*EXP(Ft!B$40*($A193-Ft!B$2)^2)))</f>
        <v>2.1250335725149796E-62</v>
      </c>
      <c r="G193" s="3">
        <f>IF(($A193-Ft!C$2)&lt;0,Ft!C$3*((1-Ft!C$6)/(1+Ft!C$37*($A193-Ft!C$2)^2)+Ft!C$6*EXP(Ft!C$38*($A193-Ft!C$2)^2)),Ft!C$3*((1-Ft!C$7)/(1+Ft!C$39*($A193-Ft!C$2)^2)+Ft!C$7*EXP(Ft!C$40*($A193-Ft!C$2)^2)))</f>
        <v>7.423479469885523E-2</v>
      </c>
      <c r="H193" s="3">
        <f>IF(($A193-Ft!D$2)&lt;0,Ft!D$3*((1-Ft!D$6)/(1+Ft!D$37*($A193-Ft!D$2)^2)+Ft!D$6*EXP(Ft!D$38*($A193-Ft!D$2)^2)),Ft!D$3*((1-Ft!D$7)/(1+Ft!D$39*($A193-Ft!D$2)^2)+Ft!D$7*EXP(Ft!D$40*($A193-Ft!D$2)^2)))</f>
        <v>17.017289685886475</v>
      </c>
      <c r="I193" s="3">
        <f>IF(($A193-Ft!E$2)&lt;0,Ft!E$3*((1-Ft!E$6)/(1+Ft!E$37*($A193-Ft!E$2)^2)+Ft!E$6*EXP(Ft!E$38*($A193-Ft!E$2)^2)),Ft!E$3*((1-Ft!E$7)/(1+Ft!E$39*($A193-Ft!E$2)^2)+Ft!E$7*EXP(Ft!E$40*($A193-Ft!E$2)^2)))</f>
        <v>0.11764118892093274</v>
      </c>
      <c r="J193" s="3">
        <f>IF(($A193-Ft!F$2)&lt;0,Ft!F$3*((1-Ft!F$6)/(1+Ft!F$37*($A193-Ft!F$2)^2)+Ft!F$6*EXP(Ft!F$38*($A193-Ft!F$2)^2)),Ft!F$3*((1-Ft!F$7)/(1+Ft!F$39*($A193-Ft!F$2)^2)+Ft!F$7*EXP(Ft!F$40*($A193-Ft!F$2)^2)))</f>
        <v>8.6696627650579288E-45</v>
      </c>
      <c r="K193" s="3">
        <f>IF(($A193-Ft!G$2)&lt;0,Ft!G$3*((1-Ft!G$6)/(1+Ft!G$37*($A193-Ft!G$2)^2)+Ft!G$6*EXP(Ft!G$38*($A193-Ft!G$2)^2)),Ft!G$3*((1-Ft!G$7)/(1+Ft!G$39*($A193-Ft!G$2)^2)+Ft!G$7*EXP(Ft!G$40*($A193-Ft!G$2)^2)))</f>
        <v>1.2597968986284126E-181</v>
      </c>
      <c r="L193" s="3">
        <f>IF(($A193-Ft!H$2)&lt;0,Ft!H$3*((1-Ft!H$6)/(1+Ft!H$37*($A193-Ft!H$2)^2)+Ft!H$6*EXP(Ft!H$38*($A193-Ft!H$2)^2)),Ft!H$3*((1-Ft!H$7)/(1+Ft!H$39*($A193-Ft!H$2)^2)+Ft!H$7*EXP(Ft!H$40*($A193-Ft!H$2)^2)))</f>
        <v>0</v>
      </c>
      <c r="M193" s="3">
        <f>IF(($A193-Ft!I$2)&lt;0,Ft!I$3*((1-Ft!I$6)/(1+Ft!I$37*($A193-Ft!I$2)^2)+Ft!I$6*EXP(Ft!I$38*($A193-Ft!I$2)^2)),Ft!I$3*((1-Ft!I$7)/(1+Ft!I$39*($A193-Ft!I$2)^2)+Ft!I$7*EXP(Ft!I$40*($A193-Ft!I$2)^2)))</f>
        <v>0</v>
      </c>
      <c r="N193" s="3">
        <f>IF(($A193-Ft!J$2)&lt;0,Ft!J$3*((1-Ft!J$6)/(1+Ft!J$37*($A193-Ft!J$2)^2)+Ft!J$6*EXP(Ft!J$38*($A193-Ft!J$2)^2)),Ft!J$3*((1-Ft!J$7)/(1+Ft!J$39*($A193-Ft!J$2)^2)+Ft!J$7*EXP(Ft!J$40*($A193-Ft!J$2)^2)))</f>
        <v>0</v>
      </c>
      <c r="O193" s="3">
        <f>IF(($A193-Ft!K$2)&lt;0,Ft!K$3*((1-Ft!K$6)/(1+Ft!K$37*($A193-Ft!K$2)^2)+Ft!K$6*EXP(Ft!K$38*($A193-Ft!K$2)^2)),Ft!K$3*((1-Ft!K$7)/(1+Ft!K$39*($A193-Ft!K$2)^2)+Ft!K$7*EXP(Ft!K$40*($A193-Ft!K$2)^2)))</f>
        <v>0</v>
      </c>
      <c r="P193"/>
      <c r="Q193"/>
    </row>
    <row r="194" spans="1:17">
      <c r="A194">
        <v>384</v>
      </c>
      <c r="B194">
        <v>17.129479804841992</v>
      </c>
      <c r="C194" s="6">
        <f t="shared" si="5"/>
        <v>17.296480229959041</v>
      </c>
      <c r="D194" s="19">
        <f t="shared" si="6"/>
        <v>2.7889141989275067E-2</v>
      </c>
      <c r="E194" s="3">
        <f>Ft!$B$12+Ft!$B$14*(Data!A194-Vars!$B$3)</f>
        <v>0</v>
      </c>
      <c r="F194" s="3">
        <f>IF(($A194-Ft!B$2)&lt;0,Ft!B$3*((1-Ft!B$6)/(1+Ft!B$37*($A194-Ft!B$2)^2)+Ft!B$6*EXP(Ft!B$38*($A194-Ft!B$2)^2)),Ft!B$3*((1-Ft!B$7)/(1+Ft!B$39*($A194-Ft!B$2)^2)+Ft!B$7*EXP(Ft!B$40*($A194-Ft!B$2)^2)))</f>
        <v>3.8569221646887603E-63</v>
      </c>
      <c r="G194" s="3">
        <f>IF(($A194-Ft!C$2)&lt;0,Ft!C$3*((1-Ft!C$6)/(1+Ft!C$37*($A194-Ft!C$2)^2)+Ft!C$6*EXP(Ft!C$38*($A194-Ft!C$2)^2)),Ft!C$3*((1-Ft!C$7)/(1+Ft!C$39*($A194-Ft!C$2)^2)+Ft!C$7*EXP(Ft!C$40*($A194-Ft!C$2)^2)))</f>
        <v>6.8571332467523269E-2</v>
      </c>
      <c r="H194" s="3">
        <f>IF(($A194-Ft!D$2)&lt;0,Ft!D$3*((1-Ft!D$6)/(1+Ft!D$37*($A194-Ft!D$2)^2)+Ft!D$6*EXP(Ft!D$38*($A194-Ft!D$2)^2)),Ft!D$3*((1-Ft!D$7)/(1+Ft!D$39*($A194-Ft!D$2)^2)+Ft!D$7*EXP(Ft!D$40*($A194-Ft!D$2)^2)))</f>
        <v>17.1049457822674</v>
      </c>
      <c r="I194" s="3">
        <f>IF(($A194-Ft!E$2)&lt;0,Ft!E$3*((1-Ft!E$6)/(1+Ft!E$37*($A194-Ft!E$2)^2)+Ft!E$6*EXP(Ft!E$38*($A194-Ft!E$2)^2)),Ft!E$3*((1-Ft!E$7)/(1+Ft!E$39*($A194-Ft!E$2)^2)+Ft!E$7*EXP(Ft!E$40*($A194-Ft!E$2)^2)))</f>
        <v>0.12296311522411658</v>
      </c>
      <c r="J194" s="3">
        <f>IF(($A194-Ft!F$2)&lt;0,Ft!F$3*((1-Ft!F$6)/(1+Ft!F$37*($A194-Ft!F$2)^2)+Ft!F$6*EXP(Ft!F$38*($A194-Ft!F$2)^2)),Ft!F$3*((1-Ft!F$7)/(1+Ft!F$39*($A194-Ft!F$2)^2)+Ft!F$7*EXP(Ft!F$40*($A194-Ft!F$2)^2)))</f>
        <v>1.6856217208352197E-44</v>
      </c>
      <c r="K194" s="3">
        <f>IF(($A194-Ft!G$2)&lt;0,Ft!G$3*((1-Ft!G$6)/(1+Ft!G$37*($A194-Ft!G$2)^2)+Ft!G$6*EXP(Ft!G$38*($A194-Ft!G$2)^2)),Ft!G$3*((1-Ft!G$7)/(1+Ft!G$39*($A194-Ft!G$2)^2)+Ft!G$7*EXP(Ft!G$40*($A194-Ft!G$2)^2)))</f>
        <v>1.5639568217585393E-180</v>
      </c>
      <c r="L194" s="3">
        <f>IF(($A194-Ft!H$2)&lt;0,Ft!H$3*((1-Ft!H$6)/(1+Ft!H$37*($A194-Ft!H$2)^2)+Ft!H$6*EXP(Ft!H$38*($A194-Ft!H$2)^2)),Ft!H$3*((1-Ft!H$7)/(1+Ft!H$39*($A194-Ft!H$2)^2)+Ft!H$7*EXP(Ft!H$40*($A194-Ft!H$2)^2)))</f>
        <v>0</v>
      </c>
      <c r="M194" s="3">
        <f>IF(($A194-Ft!I$2)&lt;0,Ft!I$3*((1-Ft!I$6)/(1+Ft!I$37*($A194-Ft!I$2)^2)+Ft!I$6*EXP(Ft!I$38*($A194-Ft!I$2)^2)),Ft!I$3*((1-Ft!I$7)/(1+Ft!I$39*($A194-Ft!I$2)^2)+Ft!I$7*EXP(Ft!I$40*($A194-Ft!I$2)^2)))</f>
        <v>0</v>
      </c>
      <c r="N194" s="3">
        <f>IF(($A194-Ft!J$2)&lt;0,Ft!J$3*((1-Ft!J$6)/(1+Ft!J$37*($A194-Ft!J$2)^2)+Ft!J$6*EXP(Ft!J$38*($A194-Ft!J$2)^2)),Ft!J$3*((1-Ft!J$7)/(1+Ft!J$39*($A194-Ft!J$2)^2)+Ft!J$7*EXP(Ft!J$40*($A194-Ft!J$2)^2)))</f>
        <v>0</v>
      </c>
      <c r="O194" s="3">
        <f>IF(($A194-Ft!K$2)&lt;0,Ft!K$3*((1-Ft!K$6)/(1+Ft!K$37*($A194-Ft!K$2)^2)+Ft!K$6*EXP(Ft!K$38*($A194-Ft!K$2)^2)),Ft!K$3*((1-Ft!K$7)/(1+Ft!K$39*($A194-Ft!K$2)^2)+Ft!K$7*EXP(Ft!K$40*($A194-Ft!K$2)^2)))</f>
        <v>0</v>
      </c>
      <c r="P194"/>
      <c r="Q194"/>
    </row>
    <row r="195" spans="1:17">
      <c r="A195">
        <v>386</v>
      </c>
      <c r="B195">
        <v>17.211153616098997</v>
      </c>
      <c r="C195" s="6">
        <f t="shared" ref="C195:C258" si="7">SUM(E195:K195)</f>
        <v>17.382380597227804</v>
      </c>
      <c r="D195" s="19">
        <f t="shared" ref="D195:D258" si="8">(C195-B195)^2</f>
        <v>2.9318679066484967E-2</v>
      </c>
      <c r="E195" s="3">
        <f>Ft!$B$12+Ft!$B$14*(Data!A195-Vars!$B$3)</f>
        <v>0</v>
      </c>
      <c r="F195" s="3">
        <f>IF(($A195-Ft!B$2)&lt;0,Ft!B$3*((1-Ft!B$6)/(1+Ft!B$37*($A195-Ft!B$2)^2)+Ft!B$6*EXP(Ft!B$38*($A195-Ft!B$2)^2)),Ft!B$3*((1-Ft!B$7)/(1+Ft!B$39*($A195-Ft!B$2)^2)+Ft!B$7*EXP(Ft!B$40*($A195-Ft!B$2)^2)))</f>
        <v>6.9298691518357661E-64</v>
      </c>
      <c r="G195" s="3">
        <f>IF(($A195-Ft!C$2)&lt;0,Ft!C$3*((1-Ft!C$6)/(1+Ft!C$37*($A195-Ft!C$2)^2)+Ft!C$6*EXP(Ft!C$38*($A195-Ft!C$2)^2)),Ft!C$3*((1-Ft!C$7)/(1+Ft!C$39*($A195-Ft!C$2)^2)+Ft!C$7*EXP(Ft!C$40*($A195-Ft!C$2)^2)))</f>
        <v>6.3298817627408563E-2</v>
      </c>
      <c r="H195" s="3">
        <f>IF(($A195-Ft!D$2)&lt;0,Ft!D$3*((1-Ft!D$6)/(1+Ft!D$37*($A195-Ft!D$2)^2)+Ft!D$6*EXP(Ft!D$38*($A195-Ft!D$2)^2)),Ft!D$3*((1-Ft!D$7)/(1+Ft!D$39*($A195-Ft!D$2)^2)+Ft!D$7*EXP(Ft!D$40*($A195-Ft!D$2)^2)))</f>
        <v>17.190581858516868</v>
      </c>
      <c r="I195" s="3">
        <f>IF(($A195-Ft!E$2)&lt;0,Ft!E$3*((1-Ft!E$6)/(1+Ft!E$37*($A195-Ft!E$2)^2)+Ft!E$6*EXP(Ft!E$38*($A195-Ft!E$2)^2)),Ft!E$3*((1-Ft!E$7)/(1+Ft!E$39*($A195-Ft!E$2)^2)+Ft!E$7*EXP(Ft!E$40*($A195-Ft!E$2)^2)))</f>
        <v>0.12849992108352645</v>
      </c>
      <c r="J195" s="3">
        <f>IF(($A195-Ft!F$2)&lt;0,Ft!F$3*((1-Ft!F$6)/(1+Ft!F$37*($A195-Ft!F$2)^2)+Ft!F$6*EXP(Ft!F$38*($A195-Ft!F$2)^2)),Ft!F$3*((1-Ft!F$7)/(1+Ft!F$39*($A195-Ft!F$2)^2)+Ft!F$7*EXP(Ft!F$40*($A195-Ft!F$2)^2)))</f>
        <v>3.2702677196061E-44</v>
      </c>
      <c r="K195" s="3">
        <f>IF(($A195-Ft!G$2)&lt;0,Ft!G$3*((1-Ft!G$6)/(1+Ft!G$37*($A195-Ft!G$2)^2)+Ft!G$6*EXP(Ft!G$38*($A195-Ft!G$2)^2)),Ft!G$3*((1-Ft!G$7)/(1+Ft!G$39*($A195-Ft!G$2)^2)+Ft!G$7*EXP(Ft!G$40*($A195-Ft!G$2)^2)))</f>
        <v>1.9268411595136516E-179</v>
      </c>
      <c r="L195" s="3">
        <f>IF(($A195-Ft!H$2)&lt;0,Ft!H$3*((1-Ft!H$6)/(1+Ft!H$37*($A195-Ft!H$2)^2)+Ft!H$6*EXP(Ft!H$38*($A195-Ft!H$2)^2)),Ft!H$3*((1-Ft!H$7)/(1+Ft!H$39*($A195-Ft!H$2)^2)+Ft!H$7*EXP(Ft!H$40*($A195-Ft!H$2)^2)))</f>
        <v>0</v>
      </c>
      <c r="M195" s="3">
        <f>IF(($A195-Ft!I$2)&lt;0,Ft!I$3*((1-Ft!I$6)/(1+Ft!I$37*($A195-Ft!I$2)^2)+Ft!I$6*EXP(Ft!I$38*($A195-Ft!I$2)^2)),Ft!I$3*((1-Ft!I$7)/(1+Ft!I$39*($A195-Ft!I$2)^2)+Ft!I$7*EXP(Ft!I$40*($A195-Ft!I$2)^2)))</f>
        <v>0</v>
      </c>
      <c r="N195" s="3">
        <f>IF(($A195-Ft!J$2)&lt;0,Ft!J$3*((1-Ft!J$6)/(1+Ft!J$37*($A195-Ft!J$2)^2)+Ft!J$6*EXP(Ft!J$38*($A195-Ft!J$2)^2)),Ft!J$3*((1-Ft!J$7)/(1+Ft!J$39*($A195-Ft!J$2)^2)+Ft!J$7*EXP(Ft!J$40*($A195-Ft!J$2)^2)))</f>
        <v>0</v>
      </c>
      <c r="O195" s="3">
        <f>IF(($A195-Ft!K$2)&lt;0,Ft!K$3*((1-Ft!K$6)/(1+Ft!K$37*($A195-Ft!K$2)^2)+Ft!K$6*EXP(Ft!K$38*($A195-Ft!K$2)^2)),Ft!K$3*((1-Ft!K$7)/(1+Ft!K$39*($A195-Ft!K$2)^2)+Ft!K$7*EXP(Ft!K$40*($A195-Ft!K$2)^2)))</f>
        <v>0</v>
      </c>
      <c r="P195"/>
      <c r="Q195"/>
    </row>
    <row r="196" spans="1:17">
      <c r="A196">
        <v>388</v>
      </c>
      <c r="B196">
        <v>17.29380667289999</v>
      </c>
      <c r="C196" s="6">
        <f t="shared" si="7"/>
        <v>17.46681589468697</v>
      </c>
      <c r="D196" s="19">
        <f t="shared" si="8"/>
        <v>2.9932190823336542E-2</v>
      </c>
      <c r="E196" s="3">
        <f>Ft!$B$12+Ft!$B$14*(Data!A196-Vars!$B$3)</f>
        <v>0</v>
      </c>
      <c r="F196" s="3">
        <f>IF(($A196-Ft!B$2)&lt;0,Ft!B$3*((1-Ft!B$6)/(1+Ft!B$37*($A196-Ft!B$2)^2)+Ft!B$6*EXP(Ft!B$38*($A196-Ft!B$2)^2)),Ft!B$3*((1-Ft!B$7)/(1+Ft!B$39*($A196-Ft!B$2)^2)+Ft!B$7*EXP(Ft!B$40*($A196-Ft!B$2)^2)))</f>
        <v>1.2325889647493499E-64</v>
      </c>
      <c r="G196" s="3">
        <f>IF(($A196-Ft!C$2)&lt;0,Ft!C$3*((1-Ft!C$6)/(1+Ft!C$37*($A196-Ft!C$2)^2)+Ft!C$6*EXP(Ft!C$38*($A196-Ft!C$2)^2)),Ft!C$3*((1-Ft!C$7)/(1+Ft!C$39*($A196-Ft!C$2)^2)+Ft!C$7*EXP(Ft!C$40*($A196-Ft!C$2)^2)))</f>
        <v>5.8393773256599217E-2</v>
      </c>
      <c r="H196" s="3">
        <f>IF(($A196-Ft!D$2)&lt;0,Ft!D$3*((1-Ft!D$6)/(1+Ft!D$37*($A196-Ft!D$2)^2)+Ft!D$6*EXP(Ft!D$38*($A196-Ft!D$2)^2)),Ft!D$3*((1-Ft!D$7)/(1+Ft!D$39*($A196-Ft!D$2)^2)+Ft!D$7*EXP(Ft!D$40*($A196-Ft!D$2)^2)))</f>
        <v>17.274163119027577</v>
      </c>
      <c r="I196" s="3">
        <f>IF(($A196-Ft!E$2)&lt;0,Ft!E$3*((1-Ft!E$6)/(1+Ft!E$37*($A196-Ft!E$2)^2)+Ft!E$6*EXP(Ft!E$38*($A196-Ft!E$2)^2)),Ft!E$3*((1-Ft!E$7)/(1+Ft!E$39*($A196-Ft!E$2)^2)+Ft!E$7*EXP(Ft!E$40*($A196-Ft!E$2)^2)))</f>
        <v>0.13425900240279121</v>
      </c>
      <c r="J196" s="3">
        <f>IF(($A196-Ft!F$2)&lt;0,Ft!F$3*((1-Ft!F$6)/(1+Ft!F$37*($A196-Ft!F$2)^2)+Ft!F$6*EXP(Ft!F$38*($A196-Ft!F$2)^2)),Ft!F$3*((1-Ft!F$7)/(1+Ft!F$39*($A196-Ft!F$2)^2)+Ft!F$7*EXP(Ft!F$40*($A196-Ft!F$2)^2)))</f>
        <v>6.3309920804825495E-44</v>
      </c>
      <c r="K196" s="3">
        <f>IF(($A196-Ft!G$2)&lt;0,Ft!G$3*((1-Ft!G$6)/(1+Ft!G$37*($A196-Ft!G$2)^2)+Ft!G$6*EXP(Ft!G$38*($A196-Ft!G$2)^2)),Ft!G$3*((1-Ft!G$7)/(1+Ft!G$39*($A196-Ft!G$2)^2)+Ft!G$7*EXP(Ft!G$40*($A196-Ft!G$2)^2)))</f>
        <v>2.3559387907720402E-178</v>
      </c>
      <c r="L196" s="3">
        <f>IF(($A196-Ft!H$2)&lt;0,Ft!H$3*((1-Ft!H$6)/(1+Ft!H$37*($A196-Ft!H$2)^2)+Ft!H$6*EXP(Ft!H$38*($A196-Ft!H$2)^2)),Ft!H$3*((1-Ft!H$7)/(1+Ft!H$39*($A196-Ft!H$2)^2)+Ft!H$7*EXP(Ft!H$40*($A196-Ft!H$2)^2)))</f>
        <v>0</v>
      </c>
      <c r="M196" s="3">
        <f>IF(($A196-Ft!I$2)&lt;0,Ft!I$3*((1-Ft!I$6)/(1+Ft!I$37*($A196-Ft!I$2)^2)+Ft!I$6*EXP(Ft!I$38*($A196-Ft!I$2)^2)),Ft!I$3*((1-Ft!I$7)/(1+Ft!I$39*($A196-Ft!I$2)^2)+Ft!I$7*EXP(Ft!I$40*($A196-Ft!I$2)^2)))</f>
        <v>0</v>
      </c>
      <c r="N196" s="3">
        <f>IF(($A196-Ft!J$2)&lt;0,Ft!J$3*((1-Ft!J$6)/(1+Ft!J$37*($A196-Ft!J$2)^2)+Ft!J$6*EXP(Ft!J$38*($A196-Ft!J$2)^2)),Ft!J$3*((1-Ft!J$7)/(1+Ft!J$39*($A196-Ft!J$2)^2)+Ft!J$7*EXP(Ft!J$40*($A196-Ft!J$2)^2)))</f>
        <v>0</v>
      </c>
      <c r="O196" s="3">
        <f>IF(($A196-Ft!K$2)&lt;0,Ft!K$3*((1-Ft!K$6)/(1+Ft!K$37*($A196-Ft!K$2)^2)+Ft!K$6*EXP(Ft!K$38*($A196-Ft!K$2)^2)),Ft!K$3*((1-Ft!K$7)/(1+Ft!K$39*($A196-Ft!K$2)^2)+Ft!K$7*EXP(Ft!K$40*($A196-Ft!K$2)^2)))</f>
        <v>0</v>
      </c>
      <c r="P196"/>
      <c r="Q196"/>
    </row>
    <row r="197" spans="1:17">
      <c r="A197">
        <v>390</v>
      </c>
      <c r="B197">
        <v>17.380417136134994</v>
      </c>
      <c r="C197" s="6">
        <f t="shared" si="7"/>
        <v>17.549737281509845</v>
      </c>
      <c r="D197" s="19">
        <f t="shared" si="8"/>
        <v>2.8669311629760587E-2</v>
      </c>
      <c r="E197" s="3">
        <f>Ft!$B$12+Ft!$B$14*(Data!A197-Vars!$B$3)</f>
        <v>0</v>
      </c>
      <c r="F197" s="3">
        <f>IF(($A197-Ft!B$2)&lt;0,Ft!B$3*((1-Ft!B$6)/(1+Ft!B$37*($A197-Ft!B$2)^2)+Ft!B$6*EXP(Ft!B$38*($A197-Ft!B$2)^2)),Ft!B$3*((1-Ft!B$7)/(1+Ft!B$39*($A197-Ft!B$2)^2)+Ft!B$7*EXP(Ft!B$40*($A197-Ft!B$2)^2)))</f>
        <v>2.1703041302928837E-65</v>
      </c>
      <c r="G197" s="3">
        <f>IF(($A197-Ft!C$2)&lt;0,Ft!C$3*((1-Ft!C$6)/(1+Ft!C$37*($A197-Ft!C$2)^2)+Ft!C$6*EXP(Ft!C$38*($A197-Ft!C$2)^2)),Ft!C$3*((1-Ft!C$7)/(1+Ft!C$39*($A197-Ft!C$2)^2)+Ft!C$7*EXP(Ft!C$40*($A197-Ft!C$2)^2)))</f>
        <v>5.3833846610653213E-2</v>
      </c>
      <c r="H197" s="3">
        <f>IF(($A197-Ft!D$2)&lt;0,Ft!D$3*((1-Ft!D$6)/(1+Ft!D$37*($A197-Ft!D$2)^2)+Ft!D$6*EXP(Ft!D$38*($A197-Ft!D$2)^2)),Ft!D$3*((1-Ft!D$7)/(1+Ft!D$39*($A197-Ft!D$2)^2)+Ft!D$7*EXP(Ft!D$40*($A197-Ft!D$2)^2)))</f>
        <v>17.355655484833175</v>
      </c>
      <c r="I197" s="3">
        <f>IF(($A197-Ft!E$2)&lt;0,Ft!E$3*((1-Ft!E$6)/(1+Ft!E$37*($A197-Ft!E$2)^2)+Ft!E$6*EXP(Ft!E$38*($A197-Ft!E$2)^2)),Ft!E$3*((1-Ft!E$7)/(1+Ft!E$39*($A197-Ft!E$2)^2)+Ft!E$7*EXP(Ft!E$40*($A197-Ft!E$2)^2)))</f>
        <v>0.14024795006601609</v>
      </c>
      <c r="J197" s="3">
        <f>IF(($A197-Ft!F$2)&lt;0,Ft!F$3*((1-Ft!F$6)/(1+Ft!F$37*($A197-Ft!F$2)^2)+Ft!F$6*EXP(Ft!F$38*($A197-Ft!F$2)^2)),Ft!F$3*((1-Ft!F$7)/(1+Ft!F$39*($A197-Ft!F$2)^2)+Ft!F$7*EXP(Ft!F$40*($A197-Ft!F$2)^2)))</f>
        <v>1.2229973250574577E-43</v>
      </c>
      <c r="K197" s="3">
        <f>IF(($A197-Ft!G$2)&lt;0,Ft!G$3*((1-Ft!G$6)/(1+Ft!G$37*($A197-Ft!G$2)^2)+Ft!G$6*EXP(Ft!G$38*($A197-Ft!G$2)^2)),Ft!G$3*((1-Ft!G$7)/(1+Ft!G$39*($A197-Ft!G$2)^2)+Ft!G$7*EXP(Ft!G$40*($A197-Ft!G$2)^2)))</f>
        <v>2.8587687314998002E-177</v>
      </c>
      <c r="L197" s="3">
        <f>IF(($A197-Ft!H$2)&lt;0,Ft!H$3*((1-Ft!H$6)/(1+Ft!H$37*($A197-Ft!H$2)^2)+Ft!H$6*EXP(Ft!H$38*($A197-Ft!H$2)^2)),Ft!H$3*((1-Ft!H$7)/(1+Ft!H$39*($A197-Ft!H$2)^2)+Ft!H$7*EXP(Ft!H$40*($A197-Ft!H$2)^2)))</f>
        <v>0</v>
      </c>
      <c r="M197" s="3">
        <f>IF(($A197-Ft!I$2)&lt;0,Ft!I$3*((1-Ft!I$6)/(1+Ft!I$37*($A197-Ft!I$2)^2)+Ft!I$6*EXP(Ft!I$38*($A197-Ft!I$2)^2)),Ft!I$3*((1-Ft!I$7)/(1+Ft!I$39*($A197-Ft!I$2)^2)+Ft!I$7*EXP(Ft!I$40*($A197-Ft!I$2)^2)))</f>
        <v>0</v>
      </c>
      <c r="N197" s="3">
        <f>IF(($A197-Ft!J$2)&lt;0,Ft!J$3*((1-Ft!J$6)/(1+Ft!J$37*($A197-Ft!J$2)^2)+Ft!J$6*EXP(Ft!J$38*($A197-Ft!J$2)^2)),Ft!J$3*((1-Ft!J$7)/(1+Ft!J$39*($A197-Ft!J$2)^2)+Ft!J$7*EXP(Ft!J$40*($A197-Ft!J$2)^2)))</f>
        <v>0</v>
      </c>
      <c r="O197" s="3">
        <f>IF(($A197-Ft!K$2)&lt;0,Ft!K$3*((1-Ft!K$6)/(1+Ft!K$37*($A197-Ft!K$2)^2)+Ft!K$6*EXP(Ft!K$38*($A197-Ft!K$2)^2)),Ft!K$3*((1-Ft!K$7)/(1+Ft!K$39*($A197-Ft!K$2)^2)+Ft!K$7*EXP(Ft!K$40*($A197-Ft!K$2)^2)))</f>
        <v>0</v>
      </c>
      <c r="P197"/>
      <c r="Q197"/>
    </row>
    <row r="198" spans="1:17">
      <c r="A198">
        <v>392</v>
      </c>
      <c r="B198">
        <v>17.472507722570995</v>
      </c>
      <c r="C198" s="6">
        <f t="shared" si="7"/>
        <v>17.631097946953862</v>
      </c>
      <c r="D198" s="19">
        <f t="shared" si="8"/>
        <v>2.5150859269807879E-2</v>
      </c>
      <c r="E198" s="3">
        <f>Ft!$B$12+Ft!$B$14*(Data!A198-Vars!$B$3)</f>
        <v>0</v>
      </c>
      <c r="F198" s="3">
        <f>IF(($A198-Ft!B$2)&lt;0,Ft!B$3*((1-Ft!B$6)/(1+Ft!B$37*($A198-Ft!B$2)^2)+Ft!B$6*EXP(Ft!B$38*($A198-Ft!B$2)^2)),Ft!B$3*((1-Ft!B$7)/(1+Ft!B$39*($A198-Ft!B$2)^2)+Ft!B$7*EXP(Ft!B$40*($A198-Ft!B$2)^2)))</f>
        <v>3.7829621805742161E-66</v>
      </c>
      <c r="G198" s="3">
        <f>IF(($A198-Ft!C$2)&lt;0,Ft!C$3*((1-Ft!C$6)/(1+Ft!C$37*($A198-Ft!C$2)^2)+Ft!C$6*EXP(Ft!C$38*($A198-Ft!C$2)^2)),Ft!C$3*((1-Ft!C$7)/(1+Ft!C$39*($A198-Ft!C$2)^2)+Ft!C$7*EXP(Ft!C$40*($A198-Ft!C$2)^2)))</f>
        <v>4.9597777792047874E-2</v>
      </c>
      <c r="H198" s="3">
        <f>IF(($A198-Ft!D$2)&lt;0,Ft!D$3*((1-Ft!D$6)/(1+Ft!D$37*($A198-Ft!D$2)^2)+Ft!D$6*EXP(Ft!D$38*($A198-Ft!D$2)^2)),Ft!D$3*((1-Ft!D$7)/(1+Ft!D$39*($A198-Ft!D$2)^2)+Ft!D$7*EXP(Ft!D$40*($A198-Ft!D$2)^2)))</f>
        <v>17.435025616735032</v>
      </c>
      <c r="I198" s="3">
        <f>IF(($A198-Ft!E$2)&lt;0,Ft!E$3*((1-Ft!E$6)/(1+Ft!E$37*($A198-Ft!E$2)^2)+Ft!E$6*EXP(Ft!E$38*($A198-Ft!E$2)^2)),Ft!E$3*((1-Ft!E$7)/(1+Ft!E$39*($A198-Ft!E$2)^2)+Ft!E$7*EXP(Ft!E$40*($A198-Ft!E$2)^2)))</f>
        <v>0.14647455242677956</v>
      </c>
      <c r="J198" s="3">
        <f>IF(($A198-Ft!F$2)&lt;0,Ft!F$3*((1-Ft!F$6)/(1+Ft!F$37*($A198-Ft!F$2)^2)+Ft!F$6*EXP(Ft!F$38*($A198-Ft!F$2)^2)),Ft!F$3*((1-Ft!F$7)/(1+Ft!F$39*($A198-Ft!F$2)^2)+Ft!F$7*EXP(Ft!F$40*($A198-Ft!F$2)^2)))</f>
        <v>2.3574610073300764E-43</v>
      </c>
      <c r="K198" s="3">
        <f>IF(($A198-Ft!G$2)&lt;0,Ft!G$3*((1-Ft!G$6)/(1+Ft!G$37*($A198-Ft!G$2)^2)+Ft!G$6*EXP(Ft!G$38*($A198-Ft!G$2)^2)),Ft!G$3*((1-Ft!G$7)/(1+Ft!G$39*($A198-Ft!G$2)^2)+Ft!G$7*EXP(Ft!G$40*($A198-Ft!G$2)^2)))</f>
        <v>3.4426349679985426E-176</v>
      </c>
      <c r="L198" s="3">
        <f>IF(($A198-Ft!H$2)&lt;0,Ft!H$3*((1-Ft!H$6)/(1+Ft!H$37*($A198-Ft!H$2)^2)+Ft!H$6*EXP(Ft!H$38*($A198-Ft!H$2)^2)),Ft!H$3*((1-Ft!H$7)/(1+Ft!H$39*($A198-Ft!H$2)^2)+Ft!H$7*EXP(Ft!H$40*($A198-Ft!H$2)^2)))</f>
        <v>0</v>
      </c>
      <c r="M198" s="3">
        <f>IF(($A198-Ft!I$2)&lt;0,Ft!I$3*((1-Ft!I$6)/(1+Ft!I$37*($A198-Ft!I$2)^2)+Ft!I$6*EXP(Ft!I$38*($A198-Ft!I$2)^2)),Ft!I$3*((1-Ft!I$7)/(1+Ft!I$39*($A198-Ft!I$2)^2)+Ft!I$7*EXP(Ft!I$40*($A198-Ft!I$2)^2)))</f>
        <v>0</v>
      </c>
      <c r="N198" s="3">
        <f>IF(($A198-Ft!J$2)&lt;0,Ft!J$3*((1-Ft!J$6)/(1+Ft!J$37*($A198-Ft!J$2)^2)+Ft!J$6*EXP(Ft!J$38*($A198-Ft!J$2)^2)),Ft!J$3*((1-Ft!J$7)/(1+Ft!J$39*($A198-Ft!J$2)^2)+Ft!J$7*EXP(Ft!J$40*($A198-Ft!J$2)^2)))</f>
        <v>0</v>
      </c>
      <c r="O198" s="3">
        <f>IF(($A198-Ft!K$2)&lt;0,Ft!K$3*((1-Ft!K$6)/(1+Ft!K$37*($A198-Ft!K$2)^2)+Ft!K$6*EXP(Ft!K$38*($A198-Ft!K$2)^2)),Ft!K$3*((1-Ft!K$7)/(1+Ft!K$39*($A198-Ft!K$2)^2)+Ft!K$7*EXP(Ft!K$40*($A198-Ft!K$2)^2)))</f>
        <v>0</v>
      </c>
      <c r="P198"/>
      <c r="Q198"/>
    </row>
    <row r="199" spans="1:17">
      <c r="A199">
        <v>394</v>
      </c>
      <c r="B199">
        <v>17.568100220155998</v>
      </c>
      <c r="C199" s="6">
        <f t="shared" si="7"/>
        <v>17.710853103161149</v>
      </c>
      <c r="D199" s="19">
        <f t="shared" si="8"/>
        <v>2.0378385606282454E-2</v>
      </c>
      <c r="E199" s="3">
        <f>Ft!$B$12+Ft!$B$14*(Data!A199-Vars!$B$3)</f>
        <v>0</v>
      </c>
      <c r="F199" s="3">
        <f>IF(($A199-Ft!B$2)&lt;0,Ft!B$3*((1-Ft!B$6)/(1+Ft!B$37*($A199-Ft!B$2)^2)+Ft!B$6*EXP(Ft!B$38*($A199-Ft!B$2)^2)),Ft!B$3*((1-Ft!B$7)/(1+Ft!B$39*($A199-Ft!B$2)^2)+Ft!B$7*EXP(Ft!B$40*($A199-Ft!B$2)^2)))</f>
        <v>6.5275842082785104E-67</v>
      </c>
      <c r="G199" s="3">
        <f>IF(($A199-Ft!C$2)&lt;0,Ft!C$3*((1-Ft!C$6)/(1+Ft!C$37*($A199-Ft!C$2)^2)+Ft!C$6*EXP(Ft!C$38*($A199-Ft!C$2)^2)),Ft!C$3*((1-Ft!C$7)/(1+Ft!C$39*($A199-Ft!C$2)^2)+Ft!C$7*EXP(Ft!C$40*($A199-Ft!C$2)^2)))</f>
        <v>4.5665367449146836E-2</v>
      </c>
      <c r="H199" s="3">
        <f>IF(($A199-Ft!D$2)&lt;0,Ft!D$3*((1-Ft!D$6)/(1+Ft!D$37*($A199-Ft!D$2)^2)+Ft!D$6*EXP(Ft!D$38*($A199-Ft!D$2)^2)),Ft!D$3*((1-Ft!D$7)/(1+Ft!D$39*($A199-Ft!D$2)^2)+Ft!D$7*EXP(Ft!D$40*($A199-Ft!D$2)^2)))</f>
        <v>17.512240938006777</v>
      </c>
      <c r="I199" s="3">
        <f>IF(($A199-Ft!E$2)&lt;0,Ft!E$3*((1-Ft!E$6)/(1+Ft!E$37*($A199-Ft!E$2)^2)+Ft!E$6*EXP(Ft!E$38*($A199-Ft!E$2)^2)),Ft!E$3*((1-Ft!E$7)/(1+Ft!E$39*($A199-Ft!E$2)^2)+Ft!E$7*EXP(Ft!E$40*($A199-Ft!E$2)^2)))</f>
        <v>0.15294679770522554</v>
      </c>
      <c r="J199" s="3">
        <f>IF(($A199-Ft!F$2)&lt;0,Ft!F$3*((1-Ft!F$6)/(1+Ft!F$37*($A199-Ft!F$2)^2)+Ft!F$6*EXP(Ft!F$38*($A199-Ft!F$2)^2)),Ft!F$3*((1-Ft!F$7)/(1+Ft!F$39*($A199-Ft!F$2)^2)+Ft!F$7*EXP(Ft!F$40*($A199-Ft!F$2)^2)))</f>
        <v>4.5344937055969969E-43</v>
      </c>
      <c r="K199" s="3">
        <f>IF(($A199-Ft!G$2)&lt;0,Ft!G$3*((1-Ft!G$6)/(1+Ft!G$37*($A199-Ft!G$2)^2)+Ft!G$6*EXP(Ft!G$38*($A199-Ft!G$2)^2)),Ft!G$3*((1-Ft!G$7)/(1+Ft!G$39*($A199-Ft!G$2)^2)+Ft!G$7*EXP(Ft!G$40*($A199-Ft!G$2)^2)))</f>
        <v>4.1143369906468892E-175</v>
      </c>
      <c r="L199" s="3">
        <f>IF(($A199-Ft!H$2)&lt;0,Ft!H$3*((1-Ft!H$6)/(1+Ft!H$37*($A199-Ft!H$2)^2)+Ft!H$6*EXP(Ft!H$38*($A199-Ft!H$2)^2)),Ft!H$3*((1-Ft!H$7)/(1+Ft!H$39*($A199-Ft!H$2)^2)+Ft!H$7*EXP(Ft!H$40*($A199-Ft!H$2)^2)))</f>
        <v>0</v>
      </c>
      <c r="M199" s="3">
        <f>IF(($A199-Ft!I$2)&lt;0,Ft!I$3*((1-Ft!I$6)/(1+Ft!I$37*($A199-Ft!I$2)^2)+Ft!I$6*EXP(Ft!I$38*($A199-Ft!I$2)^2)),Ft!I$3*((1-Ft!I$7)/(1+Ft!I$39*($A199-Ft!I$2)^2)+Ft!I$7*EXP(Ft!I$40*($A199-Ft!I$2)^2)))</f>
        <v>0</v>
      </c>
      <c r="N199" s="3">
        <f>IF(($A199-Ft!J$2)&lt;0,Ft!J$3*((1-Ft!J$6)/(1+Ft!J$37*($A199-Ft!J$2)^2)+Ft!J$6*EXP(Ft!J$38*($A199-Ft!J$2)^2)),Ft!J$3*((1-Ft!J$7)/(1+Ft!J$39*($A199-Ft!J$2)^2)+Ft!J$7*EXP(Ft!J$40*($A199-Ft!J$2)^2)))</f>
        <v>0</v>
      </c>
      <c r="O199" s="3">
        <f>IF(($A199-Ft!K$2)&lt;0,Ft!K$3*((1-Ft!K$6)/(1+Ft!K$37*($A199-Ft!K$2)^2)+Ft!K$6*EXP(Ft!K$38*($A199-Ft!K$2)^2)),Ft!K$3*((1-Ft!K$7)/(1+Ft!K$39*($A199-Ft!K$2)^2)+Ft!K$7*EXP(Ft!K$40*($A199-Ft!K$2)^2)))</f>
        <v>0</v>
      </c>
      <c r="P199"/>
      <c r="Q199"/>
    </row>
    <row r="200" spans="1:17">
      <c r="A200">
        <v>396</v>
      </c>
      <c r="B200">
        <v>17.665216416835989</v>
      </c>
      <c r="C200" s="6">
        <f t="shared" si="7"/>
        <v>17.788959976642495</v>
      </c>
      <c r="D200" s="19">
        <f t="shared" si="8"/>
        <v>1.5312468593586375E-2</v>
      </c>
      <c r="E200" s="3">
        <f>Ft!$B$12+Ft!$B$14*(Data!A200-Vars!$B$3)</f>
        <v>0</v>
      </c>
      <c r="F200" s="3">
        <f>IF(($A200-Ft!B$2)&lt;0,Ft!B$3*((1-Ft!B$6)/(1+Ft!B$37*($A200-Ft!B$2)^2)+Ft!B$6*EXP(Ft!B$38*($A200-Ft!B$2)^2)),Ft!B$3*((1-Ft!B$7)/(1+Ft!B$39*($A200-Ft!B$2)^2)+Ft!B$7*EXP(Ft!B$40*($A200-Ft!B$2)^2)))</f>
        <v>1.1150184344381211E-67</v>
      </c>
      <c r="G200" s="3">
        <f>IF(($A200-Ft!C$2)&lt;0,Ft!C$3*((1-Ft!C$6)/(1+Ft!C$37*($A200-Ft!C$2)^2)+Ft!C$6*EXP(Ft!C$38*($A200-Ft!C$2)^2)),Ft!C$3*((1-Ft!C$7)/(1+Ft!C$39*($A200-Ft!C$2)^2)+Ft!C$7*EXP(Ft!C$40*($A200-Ft!C$2)^2)))</f>
        <v>4.2017443701253536E-2</v>
      </c>
      <c r="H200" s="3">
        <f>IF(($A200-Ft!D$2)&lt;0,Ft!D$3*((1-Ft!D$6)/(1+Ft!D$37*($A200-Ft!D$2)^2)+Ft!D$6*EXP(Ft!D$38*($A200-Ft!D$2)^2)),Ft!D$3*((1-Ft!D$7)/(1+Ft!D$39*($A200-Ft!D$2)^2)+Ft!D$7*EXP(Ft!D$40*($A200-Ft!D$2)^2)))</f>
        <v>17.587269656655049</v>
      </c>
      <c r="I200" s="3">
        <f>IF(($A200-Ft!E$2)&lt;0,Ft!E$3*((1-Ft!E$6)/(1+Ft!E$37*($A200-Ft!E$2)^2)+Ft!E$6*EXP(Ft!E$38*($A200-Ft!E$2)^2)),Ft!E$3*((1-Ft!E$7)/(1+Ft!E$39*($A200-Ft!E$2)^2)+Ft!E$7*EXP(Ft!E$40*($A200-Ft!E$2)^2)))</f>
        <v>0.15967287628619195</v>
      </c>
      <c r="J200" s="3">
        <f>IF(($A200-Ft!F$2)&lt;0,Ft!F$3*((1-Ft!F$6)/(1+Ft!F$37*($A200-Ft!F$2)^2)+Ft!F$6*EXP(Ft!F$38*($A200-Ft!F$2)^2)),Ft!F$3*((1-Ft!F$7)/(1+Ft!F$39*($A200-Ft!F$2)^2)+Ft!F$7*EXP(Ft!F$40*($A200-Ft!F$2)^2)))</f>
        <v>8.7031879556684538E-43</v>
      </c>
      <c r="K200" s="3">
        <f>IF(($A200-Ft!G$2)&lt;0,Ft!G$3*((1-Ft!G$6)/(1+Ft!G$37*($A200-Ft!G$2)^2)+Ft!G$6*EXP(Ft!G$38*($A200-Ft!G$2)^2)),Ft!G$3*((1-Ft!G$7)/(1+Ft!G$39*($A200-Ft!G$2)^2)+Ft!G$7*EXP(Ft!G$40*($A200-Ft!G$2)^2)))</f>
        <v>4.8798410615765852E-174</v>
      </c>
      <c r="L200" s="3">
        <f>IF(($A200-Ft!H$2)&lt;0,Ft!H$3*((1-Ft!H$6)/(1+Ft!H$37*($A200-Ft!H$2)^2)+Ft!H$6*EXP(Ft!H$38*($A200-Ft!H$2)^2)),Ft!H$3*((1-Ft!H$7)/(1+Ft!H$39*($A200-Ft!H$2)^2)+Ft!H$7*EXP(Ft!H$40*($A200-Ft!H$2)^2)))</f>
        <v>0</v>
      </c>
      <c r="M200" s="3">
        <f>IF(($A200-Ft!I$2)&lt;0,Ft!I$3*((1-Ft!I$6)/(1+Ft!I$37*($A200-Ft!I$2)^2)+Ft!I$6*EXP(Ft!I$38*($A200-Ft!I$2)^2)),Ft!I$3*((1-Ft!I$7)/(1+Ft!I$39*($A200-Ft!I$2)^2)+Ft!I$7*EXP(Ft!I$40*($A200-Ft!I$2)^2)))</f>
        <v>0</v>
      </c>
      <c r="N200" s="3">
        <f>IF(($A200-Ft!J$2)&lt;0,Ft!J$3*((1-Ft!J$6)/(1+Ft!J$37*($A200-Ft!J$2)^2)+Ft!J$6*EXP(Ft!J$38*($A200-Ft!J$2)^2)),Ft!J$3*((1-Ft!J$7)/(1+Ft!J$39*($A200-Ft!J$2)^2)+Ft!J$7*EXP(Ft!J$40*($A200-Ft!J$2)^2)))</f>
        <v>0</v>
      </c>
      <c r="O200" s="3">
        <f>IF(($A200-Ft!K$2)&lt;0,Ft!K$3*((1-Ft!K$6)/(1+Ft!K$37*($A200-Ft!K$2)^2)+Ft!K$6*EXP(Ft!K$38*($A200-Ft!K$2)^2)),Ft!K$3*((1-Ft!K$7)/(1+Ft!K$39*($A200-Ft!K$2)^2)+Ft!K$7*EXP(Ft!K$40*($A200-Ft!K$2)^2)))</f>
        <v>0</v>
      </c>
      <c r="P200"/>
      <c r="Q200"/>
    </row>
    <row r="201" spans="1:17">
      <c r="A201">
        <v>398</v>
      </c>
      <c r="B201">
        <v>17.761878100557993</v>
      </c>
      <c r="C201" s="6">
        <f t="shared" si="7"/>
        <v>17.865377798600615</v>
      </c>
      <c r="D201" s="19">
        <f t="shared" si="8"/>
        <v>1.0712187494913965E-2</v>
      </c>
      <c r="E201" s="3">
        <f>Ft!$B$12+Ft!$B$14*(Data!A201-Vars!$B$3)</f>
        <v>0</v>
      </c>
      <c r="F201" s="3">
        <f>IF(($A201-Ft!B$2)&lt;0,Ft!B$3*((1-Ft!B$6)/(1+Ft!B$37*($A201-Ft!B$2)^2)+Ft!B$6*EXP(Ft!B$38*($A201-Ft!B$2)^2)),Ft!B$3*((1-Ft!B$7)/(1+Ft!B$39*($A201-Ft!B$2)^2)+Ft!B$7*EXP(Ft!B$40*($A201-Ft!B$2)^2)))</f>
        <v>1.8854746293233814E-68</v>
      </c>
      <c r="G201" s="3">
        <f>IF(($A201-Ft!C$2)&lt;0,Ft!C$3*((1-Ft!C$6)/(1+Ft!C$37*($A201-Ft!C$2)^2)+Ft!C$6*EXP(Ft!C$38*($A201-Ft!C$2)^2)),Ft!C$3*((1-Ft!C$7)/(1+Ft!C$39*($A201-Ft!C$2)^2)+Ft!C$7*EXP(Ft!C$40*($A201-Ft!C$2)^2)))</f>
        <v>3.8635828474294066E-2</v>
      </c>
      <c r="H201" s="3">
        <f>IF(($A201-Ft!D$2)&lt;0,Ft!D$3*((1-Ft!D$6)/(1+Ft!D$37*($A201-Ft!D$2)^2)+Ft!D$6*EXP(Ft!D$38*($A201-Ft!D$2)^2)),Ft!D$3*((1-Ft!D$7)/(1+Ft!D$39*($A201-Ft!D$2)^2)+Ft!D$7*EXP(Ft!D$40*($A201-Ft!D$2)^2)))</f>
        <v>17.660080787215175</v>
      </c>
      <c r="I201" s="3">
        <f>IF(($A201-Ft!E$2)&lt;0,Ft!E$3*((1-Ft!E$6)/(1+Ft!E$37*($A201-Ft!E$2)^2)+Ft!E$6*EXP(Ft!E$38*($A201-Ft!E$2)^2)),Ft!E$3*((1-Ft!E$7)/(1+Ft!E$39*($A201-Ft!E$2)^2)+Ft!E$7*EXP(Ft!E$40*($A201-Ft!E$2)^2)))</f>
        <v>0.16666118291114498</v>
      </c>
      <c r="J201" s="3">
        <f>IF(($A201-Ft!F$2)&lt;0,Ft!F$3*((1-Ft!F$6)/(1+Ft!F$37*($A201-Ft!F$2)^2)+Ft!F$6*EXP(Ft!F$38*($A201-Ft!F$2)^2)),Ft!F$3*((1-Ft!F$7)/(1+Ft!F$39*($A201-Ft!F$2)^2)+Ft!F$7*EXP(Ft!F$40*($A201-Ft!F$2)^2)))</f>
        <v>1.666837245560271E-42</v>
      </c>
      <c r="K201" s="3">
        <f>IF(($A201-Ft!G$2)&lt;0,Ft!G$3*((1-Ft!G$6)/(1+Ft!G$37*($A201-Ft!G$2)^2)+Ft!G$6*EXP(Ft!G$38*($A201-Ft!G$2)^2)),Ft!G$3*((1-Ft!G$7)/(1+Ft!G$39*($A201-Ft!G$2)^2)+Ft!G$7*EXP(Ft!G$40*($A201-Ft!G$2)^2)))</f>
        <v>5.7439205748896604E-173</v>
      </c>
      <c r="L201" s="3">
        <f>IF(($A201-Ft!H$2)&lt;0,Ft!H$3*((1-Ft!H$6)/(1+Ft!H$37*($A201-Ft!H$2)^2)+Ft!H$6*EXP(Ft!H$38*($A201-Ft!H$2)^2)),Ft!H$3*((1-Ft!H$7)/(1+Ft!H$39*($A201-Ft!H$2)^2)+Ft!H$7*EXP(Ft!H$40*($A201-Ft!H$2)^2)))</f>
        <v>0</v>
      </c>
      <c r="M201" s="3">
        <f>IF(($A201-Ft!I$2)&lt;0,Ft!I$3*((1-Ft!I$6)/(1+Ft!I$37*($A201-Ft!I$2)^2)+Ft!I$6*EXP(Ft!I$38*($A201-Ft!I$2)^2)),Ft!I$3*((1-Ft!I$7)/(1+Ft!I$39*($A201-Ft!I$2)^2)+Ft!I$7*EXP(Ft!I$40*($A201-Ft!I$2)^2)))</f>
        <v>0</v>
      </c>
      <c r="N201" s="3">
        <f>IF(($A201-Ft!J$2)&lt;0,Ft!J$3*((1-Ft!J$6)/(1+Ft!J$37*($A201-Ft!J$2)^2)+Ft!J$6*EXP(Ft!J$38*($A201-Ft!J$2)^2)),Ft!J$3*((1-Ft!J$7)/(1+Ft!J$39*($A201-Ft!J$2)^2)+Ft!J$7*EXP(Ft!J$40*($A201-Ft!J$2)^2)))</f>
        <v>0</v>
      </c>
      <c r="O201" s="3">
        <f>IF(($A201-Ft!K$2)&lt;0,Ft!K$3*((1-Ft!K$6)/(1+Ft!K$37*($A201-Ft!K$2)^2)+Ft!K$6*EXP(Ft!K$38*($A201-Ft!K$2)^2)),Ft!K$3*((1-Ft!K$7)/(1+Ft!K$39*($A201-Ft!K$2)^2)+Ft!K$7*EXP(Ft!K$40*($A201-Ft!K$2)^2)))</f>
        <v>0</v>
      </c>
      <c r="P201"/>
      <c r="Q201"/>
    </row>
    <row r="202" spans="1:17">
      <c r="A202">
        <v>400</v>
      </c>
      <c r="B202">
        <v>17.856107059270002</v>
      </c>
      <c r="C202" s="6">
        <f t="shared" si="7"/>
        <v>17.940067794237031</v>
      </c>
      <c r="D202" s="19">
        <f t="shared" si="8"/>
        <v>7.0494050162036572E-3</v>
      </c>
      <c r="E202" s="3">
        <f>Ft!$B$12+Ft!$B$14*(Data!A202-Vars!$B$3)</f>
        <v>0</v>
      </c>
      <c r="F202" s="3">
        <f>IF(($A202-Ft!B$2)&lt;0,Ft!B$3*((1-Ft!B$6)/(1+Ft!B$37*($A202-Ft!B$2)^2)+Ft!B$6*EXP(Ft!B$38*($A202-Ft!B$2)^2)),Ft!B$3*((1-Ft!B$7)/(1+Ft!B$39*($A202-Ft!B$2)^2)+Ft!B$7*EXP(Ft!B$40*($A202-Ft!B$2)^2)))</f>
        <v>3.1562283707715465E-69</v>
      </c>
      <c r="G202" s="3">
        <f>IF(($A202-Ft!C$2)&lt;0,Ft!C$3*((1-Ft!C$6)/(1+Ft!C$37*($A202-Ft!C$2)^2)+Ft!C$6*EXP(Ft!C$38*($A202-Ft!C$2)^2)),Ft!C$3*((1-Ft!C$7)/(1+Ft!C$39*($A202-Ft!C$2)^2)+Ft!C$7*EXP(Ft!C$40*($A202-Ft!C$2)^2)))</f>
        <v>3.5503303419672477E-2</v>
      </c>
      <c r="H202" s="3">
        <f>IF(($A202-Ft!D$2)&lt;0,Ft!D$3*((1-Ft!D$6)/(1+Ft!D$37*($A202-Ft!D$2)^2)+Ft!D$6*EXP(Ft!D$38*($A202-Ft!D$2)^2)),Ft!D$3*((1-Ft!D$7)/(1+Ft!D$39*($A202-Ft!D$2)^2)+Ft!D$7*EXP(Ft!D$40*($A202-Ft!D$2)^2)))</f>
        <v>17.730644172060835</v>
      </c>
      <c r="I202" s="3">
        <f>IF(($A202-Ft!E$2)&lt;0,Ft!E$3*((1-Ft!E$6)/(1+Ft!E$37*($A202-Ft!E$2)^2)+Ft!E$6*EXP(Ft!E$38*($A202-Ft!E$2)^2)),Ft!E$3*((1-Ft!E$7)/(1+Ft!E$39*($A202-Ft!E$2)^2)+Ft!E$7*EXP(Ft!E$40*($A202-Ft!E$2)^2)))</f>
        <v>0.1739203187565235</v>
      </c>
      <c r="J202" s="3">
        <f>IF(($A202-Ft!F$2)&lt;0,Ft!F$3*((1-Ft!F$6)/(1+Ft!F$37*($A202-Ft!F$2)^2)+Ft!F$6*EXP(Ft!F$38*($A202-Ft!F$2)^2)),Ft!F$3*((1-Ft!F$7)/(1+Ft!F$39*($A202-Ft!F$2)^2)+Ft!F$7*EXP(Ft!F$40*($A202-Ft!F$2)^2)))</f>
        <v>3.1854684194874214E-42</v>
      </c>
      <c r="K202" s="3">
        <f>IF(($A202-Ft!G$2)&lt;0,Ft!G$3*((1-Ft!G$6)/(1+Ft!G$37*($A202-Ft!G$2)^2)+Ft!G$6*EXP(Ft!G$38*($A202-Ft!G$2)^2)),Ft!G$3*((1-Ft!G$7)/(1+Ft!G$39*($A202-Ft!G$2)^2)+Ft!G$7*EXP(Ft!G$40*($A202-Ft!G$2)^2)))</f>
        <v>6.7097773159060338E-172</v>
      </c>
      <c r="L202" s="3">
        <f>IF(($A202-Ft!H$2)&lt;0,Ft!H$3*((1-Ft!H$6)/(1+Ft!H$37*($A202-Ft!H$2)^2)+Ft!H$6*EXP(Ft!H$38*($A202-Ft!H$2)^2)),Ft!H$3*((1-Ft!H$7)/(1+Ft!H$39*($A202-Ft!H$2)^2)+Ft!H$7*EXP(Ft!H$40*($A202-Ft!H$2)^2)))</f>
        <v>0</v>
      </c>
      <c r="M202" s="3">
        <f>IF(($A202-Ft!I$2)&lt;0,Ft!I$3*((1-Ft!I$6)/(1+Ft!I$37*($A202-Ft!I$2)^2)+Ft!I$6*EXP(Ft!I$38*($A202-Ft!I$2)^2)),Ft!I$3*((1-Ft!I$7)/(1+Ft!I$39*($A202-Ft!I$2)^2)+Ft!I$7*EXP(Ft!I$40*($A202-Ft!I$2)^2)))</f>
        <v>0</v>
      </c>
      <c r="N202" s="3">
        <f>IF(($A202-Ft!J$2)&lt;0,Ft!J$3*((1-Ft!J$6)/(1+Ft!J$37*($A202-Ft!J$2)^2)+Ft!J$6*EXP(Ft!J$38*($A202-Ft!J$2)^2)),Ft!J$3*((1-Ft!J$7)/(1+Ft!J$39*($A202-Ft!J$2)^2)+Ft!J$7*EXP(Ft!J$40*($A202-Ft!J$2)^2)))</f>
        <v>0</v>
      </c>
      <c r="O202" s="3">
        <f>IF(($A202-Ft!K$2)&lt;0,Ft!K$3*((1-Ft!K$6)/(1+Ft!K$37*($A202-Ft!K$2)^2)+Ft!K$6*EXP(Ft!K$38*($A202-Ft!K$2)^2)),Ft!K$3*((1-Ft!K$7)/(1+Ft!K$39*($A202-Ft!K$2)^2)+Ft!K$7*EXP(Ft!K$40*($A202-Ft!K$2)^2)))</f>
        <v>0</v>
      </c>
      <c r="P202"/>
      <c r="Q202"/>
    </row>
    <row r="203" spans="1:17">
      <c r="A203">
        <v>402</v>
      </c>
      <c r="B203">
        <v>17.945925080918997</v>
      </c>
      <c r="C203" s="6">
        <f t="shared" si="7"/>
        <v>18.012993171175147</v>
      </c>
      <c r="D203" s="19">
        <f t="shared" si="8"/>
        <v>4.4981287306070849E-3</v>
      </c>
      <c r="E203" s="3">
        <f>Ft!$B$12+Ft!$B$14*(Data!A203-Vars!$B$3)</f>
        <v>0</v>
      </c>
      <c r="F203" s="3">
        <f>IF(($A203-Ft!B$2)&lt;0,Ft!B$3*((1-Ft!B$6)/(1+Ft!B$37*($A203-Ft!B$2)^2)+Ft!B$6*EXP(Ft!B$38*($A203-Ft!B$2)^2)),Ft!B$3*((1-Ft!B$7)/(1+Ft!B$39*($A203-Ft!B$2)^2)+Ft!B$7*EXP(Ft!B$40*($A203-Ft!B$2)^2)))</f>
        <v>5.2302834609017017E-70</v>
      </c>
      <c r="G203" s="3">
        <f>IF(($A203-Ft!C$2)&lt;0,Ft!C$3*((1-Ft!C$6)/(1+Ft!C$37*($A203-Ft!C$2)^2)+Ft!C$6*EXP(Ft!C$38*($A203-Ft!C$2)^2)),Ft!C$3*((1-Ft!C$7)/(1+Ft!C$39*($A203-Ft!C$2)^2)+Ft!C$7*EXP(Ft!C$40*($A203-Ft!C$2)^2)))</f>
        <v>3.260357557692993E-2</v>
      </c>
      <c r="H203" s="3">
        <f>IF(($A203-Ft!D$2)&lt;0,Ft!D$3*((1-Ft!D$6)/(1+Ft!D$37*($A203-Ft!D$2)^2)+Ft!D$6*EXP(Ft!D$38*($A203-Ft!D$2)^2)),Ft!D$3*((1-Ft!D$7)/(1+Ft!D$39*($A203-Ft!D$2)^2)+Ft!D$7*EXP(Ft!D$40*($A203-Ft!D$2)^2)))</f>
        <v>17.798930502207288</v>
      </c>
      <c r="I203" s="3">
        <f>IF(($A203-Ft!E$2)&lt;0,Ft!E$3*((1-Ft!E$6)/(1+Ft!E$37*($A203-Ft!E$2)^2)+Ft!E$6*EXP(Ft!E$38*($A203-Ft!E$2)^2)),Ft!E$3*((1-Ft!E$7)/(1+Ft!E$39*($A203-Ft!E$2)^2)+Ft!E$7*EXP(Ft!E$40*($A203-Ft!E$2)^2)))</f>
        <v>0.18145909339092983</v>
      </c>
      <c r="J203" s="3">
        <f>IF(($A203-Ft!F$2)&lt;0,Ft!F$3*((1-Ft!F$6)/(1+Ft!F$37*($A203-Ft!F$2)^2)+Ft!F$6*EXP(Ft!F$38*($A203-Ft!F$2)^2)),Ft!F$3*((1-Ft!F$7)/(1+Ft!F$39*($A203-Ft!F$2)^2)+Ft!F$7*EXP(Ft!F$40*($A203-Ft!F$2)^2)))</f>
        <v>6.0746139854424392E-42</v>
      </c>
      <c r="K203" s="3">
        <f>IF(($A203-Ft!G$2)&lt;0,Ft!G$3*((1-Ft!G$6)/(1+Ft!G$37*($A203-Ft!G$2)^2)+Ft!G$6*EXP(Ft!G$38*($A203-Ft!G$2)^2)),Ft!G$3*((1-Ft!G$7)/(1+Ft!G$39*($A203-Ft!G$2)^2)+Ft!G$7*EXP(Ft!G$40*($A203-Ft!G$2)^2)))</f>
        <v>7.7786587651960108E-171</v>
      </c>
      <c r="L203" s="3">
        <f>IF(($A203-Ft!H$2)&lt;0,Ft!H$3*((1-Ft!H$6)/(1+Ft!H$37*($A203-Ft!H$2)^2)+Ft!H$6*EXP(Ft!H$38*($A203-Ft!H$2)^2)),Ft!H$3*((1-Ft!H$7)/(1+Ft!H$39*($A203-Ft!H$2)^2)+Ft!H$7*EXP(Ft!H$40*($A203-Ft!H$2)^2)))</f>
        <v>0</v>
      </c>
      <c r="M203" s="3">
        <f>IF(($A203-Ft!I$2)&lt;0,Ft!I$3*((1-Ft!I$6)/(1+Ft!I$37*($A203-Ft!I$2)^2)+Ft!I$6*EXP(Ft!I$38*($A203-Ft!I$2)^2)),Ft!I$3*((1-Ft!I$7)/(1+Ft!I$39*($A203-Ft!I$2)^2)+Ft!I$7*EXP(Ft!I$40*($A203-Ft!I$2)^2)))</f>
        <v>0</v>
      </c>
      <c r="N203" s="3">
        <f>IF(($A203-Ft!J$2)&lt;0,Ft!J$3*((1-Ft!J$6)/(1+Ft!J$37*($A203-Ft!J$2)^2)+Ft!J$6*EXP(Ft!J$38*($A203-Ft!J$2)^2)),Ft!J$3*((1-Ft!J$7)/(1+Ft!J$39*($A203-Ft!J$2)^2)+Ft!J$7*EXP(Ft!J$40*($A203-Ft!J$2)^2)))</f>
        <v>0</v>
      </c>
      <c r="O203" s="3">
        <f>IF(($A203-Ft!K$2)&lt;0,Ft!K$3*((1-Ft!K$6)/(1+Ft!K$37*($A203-Ft!K$2)^2)+Ft!K$6*EXP(Ft!K$38*($A203-Ft!K$2)^2)),Ft!K$3*((1-Ft!K$7)/(1+Ft!K$39*($A203-Ft!K$2)^2)+Ft!K$7*EXP(Ft!K$40*($A203-Ft!K$2)^2)))</f>
        <v>0</v>
      </c>
      <c r="P203"/>
      <c r="Q203"/>
    </row>
    <row r="204" spans="1:17">
      <c r="A204">
        <v>404</v>
      </c>
      <c r="B204">
        <v>18.029353953452002</v>
      </c>
      <c r="C204" s="6">
        <f t="shared" si="7"/>
        <v>18.084119107120546</v>
      </c>
      <c r="D204" s="19">
        <f t="shared" si="8"/>
        <v>2.9992220563392698E-3</v>
      </c>
      <c r="E204" s="3">
        <f>Ft!$B$12+Ft!$B$14*(Data!A204-Vars!$B$3)</f>
        <v>0</v>
      </c>
      <c r="F204" s="3">
        <f>IF(($A204-Ft!B$2)&lt;0,Ft!B$3*((1-Ft!B$6)/(1+Ft!B$37*($A204-Ft!B$2)^2)+Ft!B$6*EXP(Ft!B$38*($A204-Ft!B$2)^2)),Ft!B$3*((1-Ft!B$7)/(1+Ft!B$39*($A204-Ft!B$2)^2)+Ft!B$7*EXP(Ft!B$40*($A204-Ft!B$2)^2)))</f>
        <v>8.5800756053237368E-71</v>
      </c>
      <c r="G204" s="3">
        <f>IF(($A204-Ft!C$2)&lt;0,Ft!C$3*((1-Ft!C$6)/(1+Ft!C$37*($A204-Ft!C$2)^2)+Ft!C$6*EXP(Ft!C$38*($A204-Ft!C$2)^2)),Ft!C$3*((1-Ft!C$7)/(1+Ft!C$39*($A204-Ft!C$2)^2)+Ft!C$7*EXP(Ft!C$40*($A204-Ft!C$2)^2)))</f>
        <v>2.9921242929081476E-2</v>
      </c>
      <c r="H204" s="3">
        <f>IF(($A204-Ft!D$2)&lt;0,Ft!D$3*((1-Ft!D$6)/(1+Ft!D$37*($A204-Ft!D$2)^2)+Ft!D$6*EXP(Ft!D$38*($A204-Ft!D$2)^2)),Ft!D$3*((1-Ft!D$7)/(1+Ft!D$39*($A204-Ft!D$2)^2)+Ft!D$7*EXP(Ft!D$40*($A204-Ft!D$2)^2)))</f>
        <v>17.864911337588012</v>
      </c>
      <c r="I204" s="3">
        <f>IF(($A204-Ft!E$2)&lt;0,Ft!E$3*((1-Ft!E$6)/(1+Ft!E$37*($A204-Ft!E$2)^2)+Ft!E$6*EXP(Ft!E$38*($A204-Ft!E$2)^2)),Ft!E$3*((1-Ft!E$7)/(1+Ft!E$39*($A204-Ft!E$2)^2)+Ft!E$7*EXP(Ft!E$40*($A204-Ft!E$2)^2)))</f>
        <v>0.18928652660345385</v>
      </c>
      <c r="J204" s="3">
        <f>IF(($A204-Ft!F$2)&lt;0,Ft!F$3*((1-Ft!F$6)/(1+Ft!F$37*($A204-Ft!F$2)^2)+Ft!F$6*EXP(Ft!F$38*($A204-Ft!F$2)^2)),Ft!F$3*((1-Ft!F$7)/(1+Ft!F$39*($A204-Ft!F$2)^2)+Ft!F$7*EXP(Ft!F$40*($A204-Ft!F$2)^2)))</f>
        <v>1.1559241615959326E-41</v>
      </c>
      <c r="K204" s="3">
        <f>IF(($A204-Ft!G$2)&lt;0,Ft!G$3*((1-Ft!G$6)/(1+Ft!G$37*($A204-Ft!G$2)^2)+Ft!G$6*EXP(Ft!G$38*($A204-Ft!G$2)^2)),Ft!G$3*((1-Ft!G$7)/(1+Ft!G$39*($A204-Ft!G$2)^2)+Ft!G$7*EXP(Ft!G$40*($A204-Ft!G$2)^2)))</f>
        <v>8.9494895566754336E-170</v>
      </c>
      <c r="L204" s="3">
        <f>IF(($A204-Ft!H$2)&lt;0,Ft!H$3*((1-Ft!H$6)/(1+Ft!H$37*($A204-Ft!H$2)^2)+Ft!H$6*EXP(Ft!H$38*($A204-Ft!H$2)^2)),Ft!H$3*((1-Ft!H$7)/(1+Ft!H$39*($A204-Ft!H$2)^2)+Ft!H$7*EXP(Ft!H$40*($A204-Ft!H$2)^2)))</f>
        <v>0</v>
      </c>
      <c r="M204" s="3">
        <f>IF(($A204-Ft!I$2)&lt;0,Ft!I$3*((1-Ft!I$6)/(1+Ft!I$37*($A204-Ft!I$2)^2)+Ft!I$6*EXP(Ft!I$38*($A204-Ft!I$2)^2)),Ft!I$3*((1-Ft!I$7)/(1+Ft!I$39*($A204-Ft!I$2)^2)+Ft!I$7*EXP(Ft!I$40*($A204-Ft!I$2)^2)))</f>
        <v>0</v>
      </c>
      <c r="N204" s="3">
        <f>IF(($A204-Ft!J$2)&lt;0,Ft!J$3*((1-Ft!J$6)/(1+Ft!J$37*($A204-Ft!J$2)^2)+Ft!J$6*EXP(Ft!J$38*($A204-Ft!J$2)^2)),Ft!J$3*((1-Ft!J$7)/(1+Ft!J$39*($A204-Ft!J$2)^2)+Ft!J$7*EXP(Ft!J$40*($A204-Ft!J$2)^2)))</f>
        <v>0</v>
      </c>
      <c r="O204" s="3">
        <f>IF(($A204-Ft!K$2)&lt;0,Ft!K$3*((1-Ft!K$6)/(1+Ft!K$37*($A204-Ft!K$2)^2)+Ft!K$6*EXP(Ft!K$38*($A204-Ft!K$2)^2)),Ft!K$3*((1-Ft!K$7)/(1+Ft!K$39*($A204-Ft!K$2)^2)+Ft!K$7*EXP(Ft!K$40*($A204-Ft!K$2)^2)))</f>
        <v>0</v>
      </c>
      <c r="P204"/>
      <c r="Q204"/>
    </row>
    <row r="205" spans="1:17">
      <c r="A205">
        <v>406</v>
      </c>
      <c r="B205">
        <v>18.110749298263002</v>
      </c>
      <c r="C205" s="6">
        <f t="shared" si="7"/>
        <v>18.153412736868393</v>
      </c>
      <c r="D205" s="19">
        <f t="shared" si="8"/>
        <v>1.8201689936359871E-3</v>
      </c>
      <c r="E205" s="3">
        <f>Ft!$B$12+Ft!$B$14*(Data!A205-Vars!$B$3)</f>
        <v>0</v>
      </c>
      <c r="F205" s="3">
        <f>IF(($A205-Ft!B$2)&lt;0,Ft!B$3*((1-Ft!B$6)/(1+Ft!B$37*($A205-Ft!B$2)^2)+Ft!B$6*EXP(Ft!B$38*($A205-Ft!B$2)^2)),Ft!B$3*((1-Ft!B$7)/(1+Ft!B$39*($A205-Ft!B$2)^2)+Ft!B$7*EXP(Ft!B$40*($A205-Ft!B$2)^2)))</f>
        <v>1.393368806994985E-71</v>
      </c>
      <c r="G205" s="3">
        <f>IF(($A205-Ft!C$2)&lt;0,Ft!C$3*((1-Ft!C$6)/(1+Ft!C$37*($A205-Ft!C$2)^2)+Ft!C$6*EXP(Ft!C$38*($A205-Ft!C$2)^2)),Ft!C$3*((1-Ft!C$7)/(1+Ft!C$39*($A205-Ft!C$2)^2)+Ft!C$7*EXP(Ft!C$40*($A205-Ft!C$2)^2)))</f>
        <v>2.7441759987950589E-2</v>
      </c>
      <c r="H205" s="3">
        <f>IF(($A205-Ft!D$2)&lt;0,Ft!D$3*((1-Ft!D$6)/(1+Ft!D$37*($A205-Ft!D$2)^2)+Ft!D$6*EXP(Ft!D$38*($A205-Ft!D$2)^2)),Ft!D$3*((1-Ft!D$7)/(1+Ft!D$39*($A205-Ft!D$2)^2)+Ft!D$7*EXP(Ft!D$40*($A205-Ft!D$2)^2)))</f>
        <v>17.928559126785181</v>
      </c>
      <c r="I205" s="3">
        <f>IF(($A205-Ft!E$2)&lt;0,Ft!E$3*((1-Ft!E$6)/(1+Ft!E$37*($A205-Ft!E$2)^2)+Ft!E$6*EXP(Ft!E$38*($A205-Ft!E$2)^2)),Ft!E$3*((1-Ft!E$7)/(1+Ft!E$39*($A205-Ft!E$2)^2)+Ft!E$7*EXP(Ft!E$40*($A205-Ft!E$2)^2)))</f>
        <v>0.19741185009525919</v>
      </c>
      <c r="J205" s="3">
        <f>IF(($A205-Ft!F$2)&lt;0,Ft!F$3*((1-Ft!F$6)/(1+Ft!F$37*($A205-Ft!F$2)^2)+Ft!F$6*EXP(Ft!F$38*($A205-Ft!F$2)^2)),Ft!F$3*((1-Ft!F$7)/(1+Ft!F$39*($A205-Ft!F$2)^2)+Ft!F$7*EXP(Ft!F$40*($A205-Ft!F$2)^2)))</f>
        <v>2.1948521559924641E-41</v>
      </c>
      <c r="K205" s="3">
        <f>IF(($A205-Ft!G$2)&lt;0,Ft!G$3*((1-Ft!G$6)/(1+Ft!G$37*($A205-Ft!G$2)^2)+Ft!G$6*EXP(Ft!G$38*($A205-Ft!G$2)^2)),Ft!G$3*((1-Ft!G$7)/(1+Ft!G$39*($A205-Ft!G$2)^2)+Ft!G$7*EXP(Ft!G$40*($A205-Ft!G$2)^2)))</f>
        <v>1.0218537500927274E-168</v>
      </c>
      <c r="L205" s="3">
        <f>IF(($A205-Ft!H$2)&lt;0,Ft!H$3*((1-Ft!H$6)/(1+Ft!H$37*($A205-Ft!H$2)^2)+Ft!H$6*EXP(Ft!H$38*($A205-Ft!H$2)^2)),Ft!H$3*((1-Ft!H$7)/(1+Ft!H$39*($A205-Ft!H$2)^2)+Ft!H$7*EXP(Ft!H$40*($A205-Ft!H$2)^2)))</f>
        <v>0</v>
      </c>
      <c r="M205" s="3">
        <f>IF(($A205-Ft!I$2)&lt;0,Ft!I$3*((1-Ft!I$6)/(1+Ft!I$37*($A205-Ft!I$2)^2)+Ft!I$6*EXP(Ft!I$38*($A205-Ft!I$2)^2)),Ft!I$3*((1-Ft!I$7)/(1+Ft!I$39*($A205-Ft!I$2)^2)+Ft!I$7*EXP(Ft!I$40*($A205-Ft!I$2)^2)))</f>
        <v>0</v>
      </c>
      <c r="N205" s="3">
        <f>IF(($A205-Ft!J$2)&lt;0,Ft!J$3*((1-Ft!J$6)/(1+Ft!J$37*($A205-Ft!J$2)^2)+Ft!J$6*EXP(Ft!J$38*($A205-Ft!J$2)^2)),Ft!J$3*((1-Ft!J$7)/(1+Ft!J$39*($A205-Ft!J$2)^2)+Ft!J$7*EXP(Ft!J$40*($A205-Ft!J$2)^2)))</f>
        <v>0</v>
      </c>
      <c r="O205" s="3">
        <f>IF(($A205-Ft!K$2)&lt;0,Ft!K$3*((1-Ft!K$6)/(1+Ft!K$37*($A205-Ft!K$2)^2)+Ft!K$6*EXP(Ft!K$38*($A205-Ft!K$2)^2)),Ft!K$3*((1-Ft!K$7)/(1+Ft!K$39*($A205-Ft!K$2)^2)+Ft!K$7*EXP(Ft!K$40*($A205-Ft!K$2)^2)))</f>
        <v>0</v>
      </c>
      <c r="P205"/>
      <c r="Q205"/>
    </row>
    <row r="206" spans="1:17">
      <c r="A206">
        <v>408</v>
      </c>
      <c r="B206">
        <v>18.19470535061599</v>
      </c>
      <c r="C206" s="6">
        <f t="shared" si="7"/>
        <v>18.220843138756742</v>
      </c>
      <c r="D206" s="19">
        <f t="shared" si="8"/>
        <v>6.8318396889079319E-4</v>
      </c>
      <c r="E206" s="3">
        <f>Ft!$B$12+Ft!$B$14*(Data!A206-Vars!$B$3)</f>
        <v>0</v>
      </c>
      <c r="F206" s="3">
        <f>IF(($A206-Ft!B$2)&lt;0,Ft!B$3*((1-Ft!B$6)/(1+Ft!B$37*($A206-Ft!B$2)^2)+Ft!B$6*EXP(Ft!B$38*($A206-Ft!B$2)^2)),Ft!B$3*((1-Ft!B$7)/(1+Ft!B$39*($A206-Ft!B$2)^2)+Ft!B$7*EXP(Ft!B$40*($A206-Ft!B$2)^2)))</f>
        <v>2.2400109116807471E-72</v>
      </c>
      <c r="G206" s="3">
        <f>IF(($A206-Ft!C$2)&lt;0,Ft!C$3*((1-Ft!C$6)/(1+Ft!C$37*($A206-Ft!C$2)^2)+Ft!C$6*EXP(Ft!C$38*($A206-Ft!C$2)^2)),Ft!C$3*((1-Ft!C$7)/(1+Ft!C$39*($A206-Ft!C$2)^2)+Ft!C$7*EXP(Ft!C$40*($A206-Ft!C$2)^2)))</f>
        <v>2.5151403535519545E-2</v>
      </c>
      <c r="H206" s="3">
        <f>IF(($A206-Ft!D$2)&lt;0,Ft!D$3*((1-Ft!D$6)/(1+Ft!D$37*($A206-Ft!D$2)^2)+Ft!D$6*EXP(Ft!D$38*($A206-Ft!D$2)^2)),Ft!D$3*((1-Ft!D$7)/(1+Ft!D$39*($A206-Ft!D$2)^2)+Ft!D$7*EXP(Ft!D$40*($A206-Ft!D$2)^2)))</f>
        <v>17.989847226194804</v>
      </c>
      <c r="I206" s="3">
        <f>IF(($A206-Ft!E$2)&lt;0,Ft!E$3*((1-Ft!E$6)/(1+Ft!E$37*($A206-Ft!E$2)^2)+Ft!E$6*EXP(Ft!E$38*($A206-Ft!E$2)^2)),Ft!E$3*((1-Ft!E$7)/(1+Ft!E$39*($A206-Ft!E$2)^2)+Ft!E$7*EXP(Ft!E$40*($A206-Ft!E$2)^2)))</f>
        <v>0.20584450902641799</v>
      </c>
      <c r="J206" s="3">
        <f>IF(($A206-Ft!F$2)&lt;0,Ft!F$3*((1-Ft!F$6)/(1+Ft!F$37*($A206-Ft!F$2)^2)+Ft!F$6*EXP(Ft!F$38*($A206-Ft!F$2)^2)),Ft!F$3*((1-Ft!F$7)/(1+Ft!F$39*($A206-Ft!F$2)^2)+Ft!F$7*EXP(Ft!F$40*($A206-Ft!F$2)^2)))</f>
        <v>4.1585935533396493E-41</v>
      </c>
      <c r="K206" s="3">
        <f>IF(($A206-Ft!G$2)&lt;0,Ft!G$3*((1-Ft!G$6)/(1+Ft!G$37*($A206-Ft!G$2)^2)+Ft!G$6*EXP(Ft!G$38*($A206-Ft!G$2)^2)),Ft!G$3*((1-Ft!G$7)/(1+Ft!G$39*($A206-Ft!G$2)^2)+Ft!G$7*EXP(Ft!G$40*($A206-Ft!G$2)^2)))</f>
        <v>1.1579135943055656E-167</v>
      </c>
      <c r="L206" s="3">
        <f>IF(($A206-Ft!H$2)&lt;0,Ft!H$3*((1-Ft!H$6)/(1+Ft!H$37*($A206-Ft!H$2)^2)+Ft!H$6*EXP(Ft!H$38*($A206-Ft!H$2)^2)),Ft!H$3*((1-Ft!H$7)/(1+Ft!H$39*($A206-Ft!H$2)^2)+Ft!H$7*EXP(Ft!H$40*($A206-Ft!H$2)^2)))</f>
        <v>0</v>
      </c>
      <c r="M206" s="3">
        <f>IF(($A206-Ft!I$2)&lt;0,Ft!I$3*((1-Ft!I$6)/(1+Ft!I$37*($A206-Ft!I$2)^2)+Ft!I$6*EXP(Ft!I$38*($A206-Ft!I$2)^2)),Ft!I$3*((1-Ft!I$7)/(1+Ft!I$39*($A206-Ft!I$2)^2)+Ft!I$7*EXP(Ft!I$40*($A206-Ft!I$2)^2)))</f>
        <v>0</v>
      </c>
      <c r="N206" s="3">
        <f>IF(($A206-Ft!J$2)&lt;0,Ft!J$3*((1-Ft!J$6)/(1+Ft!J$37*($A206-Ft!J$2)^2)+Ft!J$6*EXP(Ft!J$38*($A206-Ft!J$2)^2)),Ft!J$3*((1-Ft!J$7)/(1+Ft!J$39*($A206-Ft!J$2)^2)+Ft!J$7*EXP(Ft!J$40*($A206-Ft!J$2)^2)))</f>
        <v>0</v>
      </c>
      <c r="O206" s="3">
        <f>IF(($A206-Ft!K$2)&lt;0,Ft!K$3*((1-Ft!K$6)/(1+Ft!K$37*($A206-Ft!K$2)^2)+Ft!K$6*EXP(Ft!K$38*($A206-Ft!K$2)^2)),Ft!K$3*((1-Ft!K$7)/(1+Ft!K$39*($A206-Ft!K$2)^2)+Ft!K$7*EXP(Ft!K$40*($A206-Ft!K$2)^2)))</f>
        <v>0</v>
      </c>
      <c r="P206"/>
      <c r="Q206"/>
    </row>
    <row r="207" spans="1:17">
      <c r="A207">
        <v>410</v>
      </c>
      <c r="B207">
        <v>18.279601819264002</v>
      </c>
      <c r="C207" s="6">
        <f t="shared" si="7"/>
        <v>18.286381320654026</v>
      </c>
      <c r="D207" s="19">
        <f t="shared" si="8"/>
        <v>4.5961639097343836E-5</v>
      </c>
      <c r="E207" s="3">
        <f>Ft!$B$12+Ft!$B$14*(Data!A207-Vars!$B$3)</f>
        <v>0</v>
      </c>
      <c r="F207" s="3">
        <f>IF(($A207-Ft!B$2)&lt;0,Ft!B$3*((1-Ft!B$6)/(1+Ft!B$37*($A207-Ft!B$2)^2)+Ft!B$6*EXP(Ft!B$38*($A207-Ft!B$2)^2)),Ft!B$3*((1-Ft!B$7)/(1+Ft!B$39*($A207-Ft!B$2)^2)+Ft!B$7*EXP(Ft!B$40*($A207-Ft!B$2)^2)))</f>
        <v>3.5648664522635788E-73</v>
      </c>
      <c r="G207" s="3">
        <f>IF(($A207-Ft!C$2)&lt;0,Ft!C$3*((1-Ft!C$6)/(1+Ft!C$37*($A207-Ft!C$2)^2)+Ft!C$6*EXP(Ft!C$38*($A207-Ft!C$2)^2)),Ft!C$3*((1-Ft!C$7)/(1+Ft!C$39*($A207-Ft!C$2)^2)+Ft!C$7*EXP(Ft!C$40*($A207-Ft!C$2)^2)))</f>
        <v>2.3037238636308507E-2</v>
      </c>
      <c r="H207" s="3">
        <f>IF(($A207-Ft!D$2)&lt;0,Ft!D$3*((1-Ft!D$6)/(1+Ft!D$37*($A207-Ft!D$2)^2)+Ft!D$6*EXP(Ft!D$38*($A207-Ft!D$2)^2)),Ft!D$3*((1-Ft!D$7)/(1+Ft!D$39*($A207-Ft!D$2)^2)+Ft!D$7*EXP(Ft!D$40*($A207-Ft!D$2)^2)))</f>
        <v>18.048749918607875</v>
      </c>
      <c r="I207" s="3">
        <f>IF(($A207-Ft!E$2)&lt;0,Ft!E$3*((1-Ft!E$6)/(1+Ft!E$37*($A207-Ft!E$2)^2)+Ft!E$6*EXP(Ft!E$38*($A207-Ft!E$2)^2)),Ft!E$3*((1-Ft!E$7)/(1+Ft!E$39*($A207-Ft!E$2)^2)+Ft!E$7*EXP(Ft!E$40*($A207-Ft!E$2)^2)))</f>
        <v>0.21459416340984369</v>
      </c>
      <c r="J207" s="3">
        <f>IF(($A207-Ft!F$2)&lt;0,Ft!F$3*((1-Ft!F$6)/(1+Ft!F$37*($A207-Ft!F$2)^2)+Ft!F$6*EXP(Ft!F$38*($A207-Ft!F$2)^2)),Ft!F$3*((1-Ft!F$7)/(1+Ft!F$39*($A207-Ft!F$2)^2)+Ft!F$7*EXP(Ft!F$40*($A207-Ft!F$2)^2)))</f>
        <v>7.8623605263794892E-41</v>
      </c>
      <c r="K207" s="3">
        <f>IF(($A207-Ft!G$2)&lt;0,Ft!G$3*((1-Ft!G$6)/(1+Ft!G$37*($A207-Ft!G$2)^2)+Ft!G$6*EXP(Ft!G$38*($A207-Ft!G$2)^2)),Ft!G$3*((1-Ft!G$7)/(1+Ft!G$39*($A207-Ft!G$2)^2)+Ft!G$7*EXP(Ft!G$40*($A207-Ft!G$2)^2)))</f>
        <v>1.3021484386025947E-166</v>
      </c>
      <c r="L207" s="3">
        <f>IF(($A207-Ft!H$2)&lt;0,Ft!H$3*((1-Ft!H$6)/(1+Ft!H$37*($A207-Ft!H$2)^2)+Ft!H$6*EXP(Ft!H$38*($A207-Ft!H$2)^2)),Ft!H$3*((1-Ft!H$7)/(1+Ft!H$39*($A207-Ft!H$2)^2)+Ft!H$7*EXP(Ft!H$40*($A207-Ft!H$2)^2)))</f>
        <v>0</v>
      </c>
      <c r="M207" s="3">
        <f>IF(($A207-Ft!I$2)&lt;0,Ft!I$3*((1-Ft!I$6)/(1+Ft!I$37*($A207-Ft!I$2)^2)+Ft!I$6*EXP(Ft!I$38*($A207-Ft!I$2)^2)),Ft!I$3*((1-Ft!I$7)/(1+Ft!I$39*($A207-Ft!I$2)^2)+Ft!I$7*EXP(Ft!I$40*($A207-Ft!I$2)^2)))</f>
        <v>0</v>
      </c>
      <c r="N207" s="3">
        <f>IF(($A207-Ft!J$2)&lt;0,Ft!J$3*((1-Ft!J$6)/(1+Ft!J$37*($A207-Ft!J$2)^2)+Ft!J$6*EXP(Ft!J$38*($A207-Ft!J$2)^2)),Ft!J$3*((1-Ft!J$7)/(1+Ft!J$39*($A207-Ft!J$2)^2)+Ft!J$7*EXP(Ft!J$40*($A207-Ft!J$2)^2)))</f>
        <v>0</v>
      </c>
      <c r="O207" s="3">
        <f>IF(($A207-Ft!K$2)&lt;0,Ft!K$3*((1-Ft!K$6)/(1+Ft!K$37*($A207-Ft!K$2)^2)+Ft!K$6*EXP(Ft!K$38*($A207-Ft!K$2)^2)),Ft!K$3*((1-Ft!K$7)/(1+Ft!K$39*($A207-Ft!K$2)^2)+Ft!K$7*EXP(Ft!K$40*($A207-Ft!K$2)^2)))</f>
        <v>0</v>
      </c>
      <c r="P207"/>
      <c r="Q207"/>
    </row>
    <row r="208" spans="1:17">
      <c r="A208">
        <v>412</v>
      </c>
      <c r="B208">
        <v>18.363818412960001</v>
      </c>
      <c r="C208" s="6">
        <f t="shared" si="7"/>
        <v>18.350000205558565</v>
      </c>
      <c r="D208" s="19">
        <f t="shared" si="8"/>
        <v>1.9094285578907978E-4</v>
      </c>
      <c r="E208" s="3">
        <f>Ft!$B$12+Ft!$B$14*(Data!A208-Vars!$B$3)</f>
        <v>0</v>
      </c>
      <c r="F208" s="3">
        <f>IF(($A208-Ft!B$2)&lt;0,Ft!B$3*((1-Ft!B$6)/(1+Ft!B$37*($A208-Ft!B$2)^2)+Ft!B$6*EXP(Ft!B$38*($A208-Ft!B$2)^2)),Ft!B$3*((1-Ft!B$7)/(1+Ft!B$39*($A208-Ft!B$2)^2)+Ft!B$7*EXP(Ft!B$40*($A208-Ft!B$2)^2)))</f>
        <v>5.6162376520786609E-74</v>
      </c>
      <c r="G208" s="3">
        <f>IF(($A208-Ft!C$2)&lt;0,Ft!C$3*((1-Ft!C$6)/(1+Ft!C$37*($A208-Ft!C$2)^2)+Ft!C$6*EXP(Ft!C$38*($A208-Ft!C$2)^2)),Ft!C$3*((1-Ft!C$7)/(1+Ft!C$39*($A208-Ft!C$2)^2)+Ft!C$7*EXP(Ft!C$40*($A208-Ft!C$2)^2)))</f>
        <v>2.1087085025123145E-2</v>
      </c>
      <c r="H208" s="3">
        <f>IF(($A208-Ft!D$2)&lt;0,Ft!D$3*((1-Ft!D$6)/(1+Ft!D$37*($A208-Ft!D$2)^2)+Ft!D$6*EXP(Ft!D$38*($A208-Ft!D$2)^2)),Ft!D$3*((1-Ft!D$7)/(1+Ft!D$39*($A208-Ft!D$2)^2)+Ft!D$7*EXP(Ft!D$40*($A208-Ft!D$2)^2)))</f>
        <v>18.105242431189403</v>
      </c>
      <c r="I208" s="3">
        <f>IF(($A208-Ft!E$2)&lt;0,Ft!E$3*((1-Ft!E$6)/(1+Ft!E$37*($A208-Ft!E$2)^2)+Ft!E$6*EXP(Ft!E$38*($A208-Ft!E$2)^2)),Ft!E$3*((1-Ft!E$7)/(1+Ft!E$39*($A208-Ft!E$2)^2)+Ft!E$7*EXP(Ft!E$40*($A208-Ft!E$2)^2)))</f>
        <v>0.22367068934403878</v>
      </c>
      <c r="J208" s="3">
        <f>IF(($A208-Ft!F$2)&lt;0,Ft!F$3*((1-Ft!F$6)/(1+Ft!F$37*($A208-Ft!F$2)^2)+Ft!F$6*EXP(Ft!F$38*($A208-Ft!F$2)^2)),Ft!F$3*((1-Ft!F$7)/(1+Ft!F$39*($A208-Ft!F$2)^2)+Ft!F$7*EXP(Ft!F$40*($A208-Ft!F$2)^2)))</f>
        <v>1.483285348683638E-40</v>
      </c>
      <c r="K208" s="3">
        <f>IF(($A208-Ft!G$2)&lt;0,Ft!G$3*((1-Ft!G$6)/(1+Ft!G$37*($A208-Ft!G$2)^2)+Ft!G$6*EXP(Ft!G$38*($A208-Ft!G$2)^2)),Ft!G$3*((1-Ft!G$7)/(1+Ft!G$39*($A208-Ft!G$2)^2)+Ft!G$7*EXP(Ft!G$40*($A208-Ft!G$2)^2)))</f>
        <v>1.4532548079604534E-165</v>
      </c>
      <c r="L208" s="3">
        <f>IF(($A208-Ft!H$2)&lt;0,Ft!H$3*((1-Ft!H$6)/(1+Ft!H$37*($A208-Ft!H$2)^2)+Ft!H$6*EXP(Ft!H$38*($A208-Ft!H$2)^2)),Ft!H$3*((1-Ft!H$7)/(1+Ft!H$39*($A208-Ft!H$2)^2)+Ft!H$7*EXP(Ft!H$40*($A208-Ft!H$2)^2)))</f>
        <v>0</v>
      </c>
      <c r="M208" s="3">
        <f>IF(($A208-Ft!I$2)&lt;0,Ft!I$3*((1-Ft!I$6)/(1+Ft!I$37*($A208-Ft!I$2)^2)+Ft!I$6*EXP(Ft!I$38*($A208-Ft!I$2)^2)),Ft!I$3*((1-Ft!I$7)/(1+Ft!I$39*($A208-Ft!I$2)^2)+Ft!I$7*EXP(Ft!I$40*($A208-Ft!I$2)^2)))</f>
        <v>0</v>
      </c>
      <c r="N208" s="3">
        <f>IF(($A208-Ft!J$2)&lt;0,Ft!J$3*((1-Ft!J$6)/(1+Ft!J$37*($A208-Ft!J$2)^2)+Ft!J$6*EXP(Ft!J$38*($A208-Ft!J$2)^2)),Ft!J$3*((1-Ft!J$7)/(1+Ft!J$39*($A208-Ft!J$2)^2)+Ft!J$7*EXP(Ft!J$40*($A208-Ft!J$2)^2)))</f>
        <v>0</v>
      </c>
      <c r="O208" s="3">
        <f>IF(($A208-Ft!K$2)&lt;0,Ft!K$3*((1-Ft!K$6)/(1+Ft!K$37*($A208-Ft!K$2)^2)+Ft!K$6*EXP(Ft!K$38*($A208-Ft!K$2)^2)),Ft!K$3*((1-Ft!K$7)/(1+Ft!K$39*($A208-Ft!K$2)^2)+Ft!K$7*EXP(Ft!K$40*($A208-Ft!K$2)^2)))</f>
        <v>0</v>
      </c>
      <c r="P208"/>
      <c r="Q208"/>
    </row>
    <row r="209" spans="1:17">
      <c r="A209">
        <v>414</v>
      </c>
      <c r="B209">
        <v>18.445734840456993</v>
      </c>
      <c r="C209" s="6">
        <f t="shared" si="7"/>
        <v>18.41167461687818</v>
      </c>
      <c r="D209" s="19">
        <f t="shared" si="8"/>
        <v>1.1600988302386986E-3</v>
      </c>
      <c r="E209" s="3">
        <f>Ft!$B$12+Ft!$B$14*(Data!A209-Vars!$B$3)</f>
        <v>0</v>
      </c>
      <c r="F209" s="3">
        <f>IF(($A209-Ft!B$2)&lt;0,Ft!B$3*((1-Ft!B$6)/(1+Ft!B$37*($A209-Ft!B$2)^2)+Ft!B$6*EXP(Ft!B$38*($A209-Ft!B$2)^2)),Ft!B$3*((1-Ft!B$7)/(1+Ft!B$39*($A209-Ft!B$2)^2)+Ft!B$7*EXP(Ft!B$40*($A209-Ft!B$2)^2)))</f>
        <v>8.7590452424055172E-75</v>
      </c>
      <c r="G209" s="3">
        <f>IF(($A209-Ft!C$2)&lt;0,Ft!C$3*((1-Ft!C$6)/(1+Ft!C$37*($A209-Ft!C$2)^2)+Ft!C$6*EXP(Ft!C$38*($A209-Ft!C$2)^2)),Ft!C$3*((1-Ft!C$7)/(1+Ft!C$39*($A209-Ft!C$2)^2)+Ft!C$7*EXP(Ft!C$40*($A209-Ft!C$2)^2)))</f>
        <v>1.9289483964203949E-2</v>
      </c>
      <c r="H209" s="3">
        <f>IF(($A209-Ft!D$2)&lt;0,Ft!D$3*((1-Ft!D$6)/(1+Ft!D$37*($A209-Ft!D$2)^2)+Ft!D$6*EXP(Ft!D$38*($A209-Ft!D$2)^2)),Ft!D$3*((1-Ft!D$7)/(1+Ft!D$39*($A209-Ft!D$2)^2)+Ft!D$7*EXP(Ft!D$40*($A209-Ft!D$2)^2)))</f>
        <v>18.159300952837725</v>
      </c>
      <c r="I209" s="3">
        <f>IF(($A209-Ft!E$2)&lt;0,Ft!E$3*((1-Ft!E$6)/(1+Ft!E$37*($A209-Ft!E$2)^2)+Ft!E$6*EXP(Ft!E$38*($A209-Ft!E$2)^2)),Ft!E$3*((1-Ft!E$7)/(1+Ft!E$39*($A209-Ft!E$2)^2)+Ft!E$7*EXP(Ft!E$40*($A209-Ft!E$2)^2)))</f>
        <v>0.23308418007625226</v>
      </c>
      <c r="J209" s="3">
        <f>IF(($A209-Ft!F$2)&lt;0,Ft!F$3*((1-Ft!F$6)/(1+Ft!F$37*($A209-Ft!F$2)^2)+Ft!F$6*EXP(Ft!F$38*($A209-Ft!F$2)^2)),Ft!F$3*((1-Ft!F$7)/(1+Ft!F$39*($A209-Ft!F$2)^2)+Ft!F$7*EXP(Ft!F$40*($A209-Ft!F$2)^2)))</f>
        <v>2.7922977968729491E-40</v>
      </c>
      <c r="K209" s="3">
        <f>IF(($A209-Ft!G$2)&lt;0,Ft!G$3*((1-Ft!G$6)/(1+Ft!G$37*($A209-Ft!G$2)^2)+Ft!G$6*EXP(Ft!G$38*($A209-Ft!G$2)^2)),Ft!G$3*((1-Ft!G$7)/(1+Ft!G$39*($A209-Ft!G$2)^2)+Ft!G$7*EXP(Ft!G$40*($A209-Ft!G$2)^2)))</f>
        <v>1.6096074538707865E-164</v>
      </c>
      <c r="L209" s="3">
        <f>IF(($A209-Ft!H$2)&lt;0,Ft!H$3*((1-Ft!H$6)/(1+Ft!H$37*($A209-Ft!H$2)^2)+Ft!H$6*EXP(Ft!H$38*($A209-Ft!H$2)^2)),Ft!H$3*((1-Ft!H$7)/(1+Ft!H$39*($A209-Ft!H$2)^2)+Ft!H$7*EXP(Ft!H$40*($A209-Ft!H$2)^2)))</f>
        <v>0</v>
      </c>
      <c r="M209" s="3">
        <f>IF(($A209-Ft!I$2)&lt;0,Ft!I$3*((1-Ft!I$6)/(1+Ft!I$37*($A209-Ft!I$2)^2)+Ft!I$6*EXP(Ft!I$38*($A209-Ft!I$2)^2)),Ft!I$3*((1-Ft!I$7)/(1+Ft!I$39*($A209-Ft!I$2)^2)+Ft!I$7*EXP(Ft!I$40*($A209-Ft!I$2)^2)))</f>
        <v>0</v>
      </c>
      <c r="N209" s="3">
        <f>IF(($A209-Ft!J$2)&lt;0,Ft!J$3*((1-Ft!J$6)/(1+Ft!J$37*($A209-Ft!J$2)^2)+Ft!J$6*EXP(Ft!J$38*($A209-Ft!J$2)^2)),Ft!J$3*((1-Ft!J$7)/(1+Ft!J$39*($A209-Ft!J$2)^2)+Ft!J$7*EXP(Ft!J$40*($A209-Ft!J$2)^2)))</f>
        <v>0</v>
      </c>
      <c r="O209" s="3">
        <f>IF(($A209-Ft!K$2)&lt;0,Ft!K$3*((1-Ft!K$6)/(1+Ft!K$37*($A209-Ft!K$2)^2)+Ft!K$6*EXP(Ft!K$38*($A209-Ft!K$2)^2)),Ft!K$3*((1-Ft!K$7)/(1+Ft!K$39*($A209-Ft!K$2)^2)+Ft!K$7*EXP(Ft!K$40*($A209-Ft!K$2)^2)))</f>
        <v>0</v>
      </c>
      <c r="P209"/>
      <c r="Q209"/>
    </row>
    <row r="210" spans="1:17">
      <c r="A210">
        <v>416</v>
      </c>
      <c r="B210">
        <v>18.523730810509988</v>
      </c>
      <c r="C210" s="6">
        <f t="shared" si="7"/>
        <v>18.471381263448507</v>
      </c>
      <c r="D210" s="19">
        <f t="shared" si="8"/>
        <v>2.7404750775423051E-3</v>
      </c>
      <c r="E210" s="3">
        <f>Ft!$B$12+Ft!$B$14*(Data!A210-Vars!$B$3)</f>
        <v>0</v>
      </c>
      <c r="F210" s="3">
        <f>IF(($A210-Ft!B$2)&lt;0,Ft!B$3*((1-Ft!B$6)/(1+Ft!B$37*($A210-Ft!B$2)^2)+Ft!B$6*EXP(Ft!B$38*($A210-Ft!B$2)^2)),Ft!B$3*((1-Ft!B$7)/(1+Ft!B$39*($A210-Ft!B$2)^2)+Ft!B$7*EXP(Ft!B$40*($A210-Ft!B$2)^2)))</f>
        <v>1.3523127519013134E-75</v>
      </c>
      <c r="G210" s="3">
        <f>IF(($A210-Ft!C$2)&lt;0,Ft!C$3*((1-Ft!C$6)/(1+Ft!C$37*($A210-Ft!C$2)^2)+Ft!C$6*EXP(Ft!C$38*($A210-Ft!C$2)^2)),Ft!C$3*((1-Ft!C$7)/(1+Ft!C$39*($A210-Ft!C$2)^2)+Ft!C$7*EXP(Ft!C$40*($A210-Ft!C$2)^2)))</f>
        <v>1.7633665653893862E-2</v>
      </c>
      <c r="H210" s="3">
        <f>IF(($A210-Ft!D$2)&lt;0,Ft!D$3*((1-Ft!D$6)/(1+Ft!D$37*($A210-Ft!D$2)^2)+Ft!D$6*EXP(Ft!D$38*($A210-Ft!D$2)^2)),Ft!D$3*((1-Ft!D$7)/(1+Ft!D$39*($A210-Ft!D$2)^2)+Ft!D$7*EXP(Ft!D$40*($A210-Ft!D$2)^2)))</f>
        <v>18.210902650907087</v>
      </c>
      <c r="I210" s="3">
        <f>IF(($A210-Ft!E$2)&lt;0,Ft!E$3*((1-Ft!E$6)/(1+Ft!E$37*($A210-Ft!E$2)^2)+Ft!E$6*EXP(Ft!E$38*($A210-Ft!E$2)^2)),Ft!E$3*((1-Ft!E$7)/(1+Ft!E$39*($A210-Ft!E$2)^2)+Ft!E$7*EXP(Ft!E$40*($A210-Ft!E$2)^2)))</f>
        <v>0.24284494688752742</v>
      </c>
      <c r="J210" s="3">
        <f>IF(($A210-Ft!F$2)&lt;0,Ft!F$3*((1-Ft!F$6)/(1+Ft!F$37*($A210-Ft!F$2)^2)+Ft!F$6*EXP(Ft!F$38*($A210-Ft!F$2)^2)),Ft!F$3*((1-Ft!F$7)/(1+Ft!F$39*($A210-Ft!F$2)^2)+Ft!F$7*EXP(Ft!F$40*($A210-Ft!F$2)^2)))</f>
        <v>5.2452239375877965E-40</v>
      </c>
      <c r="K210" s="3">
        <f>IF(($A210-Ft!G$2)&lt;0,Ft!G$3*((1-Ft!G$6)/(1+Ft!G$37*($A210-Ft!G$2)^2)+Ft!G$6*EXP(Ft!G$38*($A210-Ft!G$2)^2)),Ft!G$3*((1-Ft!G$7)/(1+Ft!G$39*($A210-Ft!G$2)^2)+Ft!G$7*EXP(Ft!G$40*($A210-Ft!G$2)^2)))</f>
        <v>1.7692740704686975E-163</v>
      </c>
      <c r="L210" s="3">
        <f>IF(($A210-Ft!H$2)&lt;0,Ft!H$3*((1-Ft!H$6)/(1+Ft!H$37*($A210-Ft!H$2)^2)+Ft!H$6*EXP(Ft!H$38*($A210-Ft!H$2)^2)),Ft!H$3*((1-Ft!H$7)/(1+Ft!H$39*($A210-Ft!H$2)^2)+Ft!H$7*EXP(Ft!H$40*($A210-Ft!H$2)^2)))</f>
        <v>0</v>
      </c>
      <c r="M210" s="3">
        <f>IF(($A210-Ft!I$2)&lt;0,Ft!I$3*((1-Ft!I$6)/(1+Ft!I$37*($A210-Ft!I$2)^2)+Ft!I$6*EXP(Ft!I$38*($A210-Ft!I$2)^2)),Ft!I$3*((1-Ft!I$7)/(1+Ft!I$39*($A210-Ft!I$2)^2)+Ft!I$7*EXP(Ft!I$40*($A210-Ft!I$2)^2)))</f>
        <v>0</v>
      </c>
      <c r="N210" s="3">
        <f>IF(($A210-Ft!J$2)&lt;0,Ft!J$3*((1-Ft!J$6)/(1+Ft!J$37*($A210-Ft!J$2)^2)+Ft!J$6*EXP(Ft!J$38*($A210-Ft!J$2)^2)),Ft!J$3*((1-Ft!J$7)/(1+Ft!J$39*($A210-Ft!J$2)^2)+Ft!J$7*EXP(Ft!J$40*($A210-Ft!J$2)^2)))</f>
        <v>0</v>
      </c>
      <c r="O210" s="3">
        <f>IF(($A210-Ft!K$2)&lt;0,Ft!K$3*((1-Ft!K$6)/(1+Ft!K$37*($A210-Ft!K$2)^2)+Ft!K$6*EXP(Ft!K$38*($A210-Ft!K$2)^2)),Ft!K$3*((1-Ft!K$7)/(1+Ft!K$39*($A210-Ft!K$2)^2)+Ft!K$7*EXP(Ft!K$40*($A210-Ft!K$2)^2)))</f>
        <v>0</v>
      </c>
      <c r="P210"/>
      <c r="Q210"/>
    </row>
    <row r="211" spans="1:17">
      <c r="A211">
        <v>418</v>
      </c>
      <c r="B211">
        <v>18.596186031870999</v>
      </c>
      <c r="C211" s="6">
        <f t="shared" si="7"/>
        <v>18.529098724339512</v>
      </c>
      <c r="D211" s="19">
        <f t="shared" si="8"/>
        <v>4.50070683182435E-3</v>
      </c>
      <c r="E211" s="3">
        <f>Ft!$B$12+Ft!$B$14*(Data!A211-Vars!$B$3)</f>
        <v>0</v>
      </c>
      <c r="F211" s="3">
        <f>IF(($A211-Ft!B$2)&lt;0,Ft!B$3*((1-Ft!B$6)/(1+Ft!B$37*($A211-Ft!B$2)^2)+Ft!B$6*EXP(Ft!B$38*($A211-Ft!B$2)^2)),Ft!B$3*((1-Ft!B$7)/(1+Ft!B$39*($A211-Ft!B$2)^2)+Ft!B$7*EXP(Ft!B$40*($A211-Ft!B$2)^2)))</f>
        <v>2.0668387628349816E-76</v>
      </c>
      <c r="G211" s="3">
        <f>IF(($A211-Ft!C$2)&lt;0,Ft!C$3*((1-Ft!C$6)/(1+Ft!C$37*($A211-Ft!C$2)^2)+Ft!C$6*EXP(Ft!C$38*($A211-Ft!C$2)^2)),Ft!C$3*((1-Ft!C$7)/(1+Ft!C$39*($A211-Ft!C$2)^2)+Ft!C$7*EXP(Ft!C$40*($A211-Ft!C$2)^2)))</f>
        <v>1.610951727144205E-2</v>
      </c>
      <c r="H211" s="3">
        <f>IF(($A211-Ft!D$2)&lt;0,Ft!D$3*((1-Ft!D$6)/(1+Ft!D$37*($A211-Ft!D$2)^2)+Ft!D$6*EXP(Ft!D$38*($A211-Ft!D$2)^2)),Ft!D$3*((1-Ft!D$7)/(1+Ft!D$39*($A211-Ft!D$2)^2)+Ft!D$7*EXP(Ft!D$40*($A211-Ft!D$2)^2)))</f>
        <v>18.260025687277054</v>
      </c>
      <c r="I211" s="3">
        <f>IF(($A211-Ft!E$2)&lt;0,Ft!E$3*((1-Ft!E$6)/(1+Ft!E$37*($A211-Ft!E$2)^2)+Ft!E$6*EXP(Ft!E$38*($A211-Ft!E$2)^2)),Ft!E$3*((1-Ft!E$7)/(1+Ft!E$39*($A211-Ft!E$2)^2)+Ft!E$7*EXP(Ft!E$40*($A211-Ft!E$2)^2)))</f>
        <v>0.25296351979101694</v>
      </c>
      <c r="J211" s="3">
        <f>IF(($A211-Ft!F$2)&lt;0,Ft!F$3*((1-Ft!F$6)/(1+Ft!F$37*($A211-Ft!F$2)^2)+Ft!F$6*EXP(Ft!F$38*($A211-Ft!F$2)^2)),Ft!F$3*((1-Ft!F$7)/(1+Ft!F$39*($A211-Ft!F$2)^2)+Ft!F$7*EXP(Ft!F$40*($A211-Ft!F$2)^2)))</f>
        <v>9.8317677188364211E-40</v>
      </c>
      <c r="K211" s="3">
        <f>IF(($A211-Ft!G$2)&lt;0,Ft!G$3*((1-Ft!G$6)/(1+Ft!G$37*($A211-Ft!G$2)^2)+Ft!G$6*EXP(Ft!G$38*($A211-Ft!G$2)^2)),Ft!G$3*((1-Ft!G$7)/(1+Ft!G$39*($A211-Ft!G$2)^2)+Ft!G$7*EXP(Ft!G$40*($A211-Ft!G$2)^2)))</f>
        <v>1.9300438810749287E-162</v>
      </c>
      <c r="L211" s="3">
        <f>IF(($A211-Ft!H$2)&lt;0,Ft!H$3*((1-Ft!H$6)/(1+Ft!H$37*($A211-Ft!H$2)^2)+Ft!H$6*EXP(Ft!H$38*($A211-Ft!H$2)^2)),Ft!H$3*((1-Ft!H$7)/(1+Ft!H$39*($A211-Ft!H$2)^2)+Ft!H$7*EXP(Ft!H$40*($A211-Ft!H$2)^2)))</f>
        <v>0</v>
      </c>
      <c r="M211" s="3">
        <f>IF(($A211-Ft!I$2)&lt;0,Ft!I$3*((1-Ft!I$6)/(1+Ft!I$37*($A211-Ft!I$2)^2)+Ft!I$6*EXP(Ft!I$38*($A211-Ft!I$2)^2)),Ft!I$3*((1-Ft!I$7)/(1+Ft!I$39*($A211-Ft!I$2)^2)+Ft!I$7*EXP(Ft!I$40*($A211-Ft!I$2)^2)))</f>
        <v>0</v>
      </c>
      <c r="N211" s="3">
        <f>IF(($A211-Ft!J$2)&lt;0,Ft!J$3*((1-Ft!J$6)/(1+Ft!J$37*($A211-Ft!J$2)^2)+Ft!J$6*EXP(Ft!J$38*($A211-Ft!J$2)^2)),Ft!J$3*((1-Ft!J$7)/(1+Ft!J$39*($A211-Ft!J$2)^2)+Ft!J$7*EXP(Ft!J$40*($A211-Ft!J$2)^2)))</f>
        <v>0</v>
      </c>
      <c r="O211" s="3">
        <f>IF(($A211-Ft!K$2)&lt;0,Ft!K$3*((1-Ft!K$6)/(1+Ft!K$37*($A211-Ft!K$2)^2)+Ft!K$6*EXP(Ft!K$38*($A211-Ft!K$2)^2)),Ft!K$3*((1-Ft!K$7)/(1+Ft!K$39*($A211-Ft!K$2)^2)+Ft!K$7*EXP(Ft!K$40*($A211-Ft!K$2)^2)))</f>
        <v>0</v>
      </c>
      <c r="P211"/>
      <c r="Q211"/>
    </row>
    <row r="212" spans="1:17">
      <c r="A212">
        <v>420</v>
      </c>
      <c r="B212">
        <v>18.66148021329299</v>
      </c>
      <c r="C212" s="6">
        <f t="shared" si="7"/>
        <v>18.584807433491232</v>
      </c>
      <c r="D212" s="19">
        <f t="shared" si="8"/>
        <v>5.8787151625288208E-3</v>
      </c>
      <c r="E212" s="3">
        <f>Ft!$B$12+Ft!$B$14*(Data!A212-Vars!$B$3)</f>
        <v>0</v>
      </c>
      <c r="F212" s="3">
        <f>IF(($A212-Ft!B$2)&lt;0,Ft!B$3*((1-Ft!B$6)/(1+Ft!B$37*($A212-Ft!B$2)^2)+Ft!B$6*EXP(Ft!B$38*($A212-Ft!B$2)^2)),Ft!B$3*((1-Ft!B$7)/(1+Ft!B$39*($A212-Ft!B$2)^2)+Ft!B$7*EXP(Ft!B$40*($A212-Ft!B$2)^2)))</f>
        <v>3.1271242225182777E-77</v>
      </c>
      <c r="G212" s="3">
        <f>IF(($A212-Ft!C$2)&lt;0,Ft!C$3*((1-Ft!C$6)/(1+Ft!C$37*($A212-Ft!C$2)^2)+Ft!C$6*EXP(Ft!C$38*($A212-Ft!C$2)^2)),Ft!C$3*((1-Ft!C$7)/(1+Ft!C$39*($A212-Ft!C$2)^2)+Ft!C$7*EXP(Ft!C$40*($A212-Ft!C$2)^2)))</f>
        <v>1.4707551703494319E-2</v>
      </c>
      <c r="H212" s="3">
        <f>IF(($A212-Ft!D$2)&lt;0,Ft!D$3*((1-Ft!D$6)/(1+Ft!D$37*($A212-Ft!D$2)^2)+Ft!D$6*EXP(Ft!D$38*($A212-Ft!D$2)^2)),Ft!D$3*((1-Ft!D$7)/(1+Ft!D$39*($A212-Ft!D$2)^2)+Ft!D$7*EXP(Ft!D$40*($A212-Ft!D$2)^2)))</f>
        <v>18.306649233752893</v>
      </c>
      <c r="I212" s="3">
        <f>IF(($A212-Ft!E$2)&lt;0,Ft!E$3*((1-Ft!E$6)/(1+Ft!E$37*($A212-Ft!E$2)^2)+Ft!E$6*EXP(Ft!E$38*($A212-Ft!E$2)^2)),Ft!E$3*((1-Ft!E$7)/(1+Ft!E$39*($A212-Ft!E$2)^2)+Ft!E$7*EXP(Ft!E$40*($A212-Ft!E$2)^2)))</f>
        <v>0.26345064803484547</v>
      </c>
      <c r="J212" s="3">
        <f>IF(($A212-Ft!F$2)&lt;0,Ft!F$3*((1-Ft!F$6)/(1+Ft!F$37*($A212-Ft!F$2)^2)+Ft!F$6*EXP(Ft!F$38*($A212-Ft!F$2)^2)),Ft!F$3*((1-Ft!F$7)/(1+Ft!F$39*($A212-Ft!F$2)^2)+Ft!F$7*EXP(Ft!F$40*($A212-Ft!F$2)^2)))</f>
        <v>1.8389268701945127E-39</v>
      </c>
      <c r="K212" s="3">
        <f>IF(($A212-Ft!G$2)&lt;0,Ft!G$3*((1-Ft!G$6)/(1+Ft!G$37*($A212-Ft!G$2)^2)+Ft!G$6*EXP(Ft!G$38*($A212-Ft!G$2)^2)),Ft!G$3*((1-Ft!G$7)/(1+Ft!G$39*($A212-Ft!G$2)^2)+Ft!G$7*EXP(Ft!G$40*($A212-Ft!G$2)^2)))</f>
        <v>2.0894702195040108E-161</v>
      </c>
      <c r="L212" s="3">
        <f>IF(($A212-Ft!H$2)&lt;0,Ft!H$3*((1-Ft!H$6)/(1+Ft!H$37*($A212-Ft!H$2)^2)+Ft!H$6*EXP(Ft!H$38*($A212-Ft!H$2)^2)),Ft!H$3*((1-Ft!H$7)/(1+Ft!H$39*($A212-Ft!H$2)^2)+Ft!H$7*EXP(Ft!H$40*($A212-Ft!H$2)^2)))</f>
        <v>0</v>
      </c>
      <c r="M212" s="3">
        <f>IF(($A212-Ft!I$2)&lt;0,Ft!I$3*((1-Ft!I$6)/(1+Ft!I$37*($A212-Ft!I$2)^2)+Ft!I$6*EXP(Ft!I$38*($A212-Ft!I$2)^2)),Ft!I$3*((1-Ft!I$7)/(1+Ft!I$39*($A212-Ft!I$2)^2)+Ft!I$7*EXP(Ft!I$40*($A212-Ft!I$2)^2)))</f>
        <v>0</v>
      </c>
      <c r="N212" s="3">
        <f>IF(($A212-Ft!J$2)&lt;0,Ft!J$3*((1-Ft!J$6)/(1+Ft!J$37*($A212-Ft!J$2)^2)+Ft!J$6*EXP(Ft!J$38*($A212-Ft!J$2)^2)),Ft!J$3*((1-Ft!J$7)/(1+Ft!J$39*($A212-Ft!J$2)^2)+Ft!J$7*EXP(Ft!J$40*($A212-Ft!J$2)^2)))</f>
        <v>0</v>
      </c>
      <c r="O212" s="3">
        <f>IF(($A212-Ft!K$2)&lt;0,Ft!K$3*((1-Ft!K$6)/(1+Ft!K$37*($A212-Ft!K$2)^2)+Ft!K$6*EXP(Ft!K$38*($A212-Ft!K$2)^2)),Ft!K$3*((1-Ft!K$7)/(1+Ft!K$39*($A212-Ft!K$2)^2)+Ft!K$7*EXP(Ft!K$40*($A212-Ft!K$2)^2)))</f>
        <v>0</v>
      </c>
      <c r="P212"/>
      <c r="Q212"/>
    </row>
    <row r="213" spans="1:17">
      <c r="A213">
        <v>422</v>
      </c>
      <c r="B213">
        <v>18.718545798544</v>
      </c>
      <c r="C213" s="6">
        <f t="shared" si="7"/>
        <v>18.638489664211708</v>
      </c>
      <c r="D213" s="19">
        <f t="shared" si="8"/>
        <v>6.4089846442299597E-3</v>
      </c>
      <c r="E213" s="3">
        <f>Ft!$B$12+Ft!$B$14*(Data!A213-Vars!$B$3)</f>
        <v>0</v>
      </c>
      <c r="F213" s="3">
        <f>IF(($A213-Ft!B$2)&lt;0,Ft!B$3*((1-Ft!B$6)/(1+Ft!B$37*($A213-Ft!B$2)^2)+Ft!B$6*EXP(Ft!B$38*($A213-Ft!B$2)^2)),Ft!B$3*((1-Ft!B$7)/(1+Ft!B$39*($A213-Ft!B$2)^2)+Ft!B$7*EXP(Ft!B$40*($A213-Ft!B$2)^2)))</f>
        <v>4.6837396899143225E-78</v>
      </c>
      <c r="G213" s="3">
        <f>IF(($A213-Ft!C$2)&lt;0,Ft!C$3*((1-Ft!C$6)/(1+Ft!C$37*($A213-Ft!C$2)^2)+Ft!C$6*EXP(Ft!C$38*($A213-Ft!C$2)^2)),Ft!C$3*((1-Ft!C$7)/(1+Ft!C$39*($A213-Ft!C$2)^2)+Ft!C$7*EXP(Ft!C$40*($A213-Ft!C$2)^2)))</f>
        <v>1.3418877029200556E-2</v>
      </c>
      <c r="H213" s="3">
        <f>IF(($A213-Ft!D$2)&lt;0,Ft!D$3*((1-Ft!D$6)/(1+Ft!D$37*($A213-Ft!D$2)^2)+Ft!D$6*EXP(Ft!D$38*($A213-Ft!D$2)^2)),Ft!D$3*((1-Ft!D$7)/(1+Ft!D$39*($A213-Ft!D$2)^2)+Ft!D$7*EXP(Ft!D$40*($A213-Ft!D$2)^2)))</f>
        <v>18.350753486781795</v>
      </c>
      <c r="I213" s="3">
        <f>IF(($A213-Ft!E$2)&lt;0,Ft!E$3*((1-Ft!E$6)/(1+Ft!E$37*($A213-Ft!E$2)^2)+Ft!E$6*EXP(Ft!E$38*($A213-Ft!E$2)^2)),Ft!E$3*((1-Ft!E$7)/(1+Ft!E$39*($A213-Ft!E$2)^2)+Ft!E$7*EXP(Ft!E$40*($A213-Ft!E$2)^2)))</f>
        <v>0.27431730040071456</v>
      </c>
      <c r="J213" s="3">
        <f>IF(($A213-Ft!F$2)&lt;0,Ft!F$3*((1-Ft!F$6)/(1+Ft!F$37*($A213-Ft!F$2)^2)+Ft!F$6*EXP(Ft!F$38*($A213-Ft!F$2)^2)),Ft!F$3*((1-Ft!F$7)/(1+Ft!F$39*($A213-Ft!F$2)^2)+Ft!F$7*EXP(Ft!F$40*($A213-Ft!F$2)^2)))</f>
        <v>3.4321209324811188E-39</v>
      </c>
      <c r="K213" s="3">
        <f>IF(($A213-Ft!G$2)&lt;0,Ft!G$3*((1-Ft!G$6)/(1+Ft!G$37*($A213-Ft!G$2)^2)+Ft!G$6*EXP(Ft!G$38*($A213-Ft!G$2)^2)),Ft!G$3*((1-Ft!G$7)/(1+Ft!G$39*($A213-Ft!G$2)^2)+Ft!G$7*EXP(Ft!G$40*($A213-Ft!G$2)^2)))</f>
        <v>2.2449264679071682E-160</v>
      </c>
      <c r="L213" s="3">
        <f>IF(($A213-Ft!H$2)&lt;0,Ft!H$3*((1-Ft!H$6)/(1+Ft!H$37*($A213-Ft!H$2)^2)+Ft!H$6*EXP(Ft!H$38*($A213-Ft!H$2)^2)),Ft!H$3*((1-Ft!H$7)/(1+Ft!H$39*($A213-Ft!H$2)^2)+Ft!H$7*EXP(Ft!H$40*($A213-Ft!H$2)^2)))</f>
        <v>0</v>
      </c>
      <c r="M213" s="3">
        <f>IF(($A213-Ft!I$2)&lt;0,Ft!I$3*((1-Ft!I$6)/(1+Ft!I$37*($A213-Ft!I$2)^2)+Ft!I$6*EXP(Ft!I$38*($A213-Ft!I$2)^2)),Ft!I$3*((1-Ft!I$7)/(1+Ft!I$39*($A213-Ft!I$2)^2)+Ft!I$7*EXP(Ft!I$40*($A213-Ft!I$2)^2)))</f>
        <v>0</v>
      </c>
      <c r="N213" s="3">
        <f>IF(($A213-Ft!J$2)&lt;0,Ft!J$3*((1-Ft!J$6)/(1+Ft!J$37*($A213-Ft!J$2)^2)+Ft!J$6*EXP(Ft!J$38*($A213-Ft!J$2)^2)),Ft!J$3*((1-Ft!J$7)/(1+Ft!J$39*($A213-Ft!J$2)^2)+Ft!J$7*EXP(Ft!J$40*($A213-Ft!J$2)^2)))</f>
        <v>0</v>
      </c>
      <c r="O213" s="3">
        <f>IF(($A213-Ft!K$2)&lt;0,Ft!K$3*((1-Ft!K$6)/(1+Ft!K$37*($A213-Ft!K$2)^2)+Ft!K$6*EXP(Ft!K$38*($A213-Ft!K$2)^2)),Ft!K$3*((1-Ft!K$7)/(1+Ft!K$39*($A213-Ft!K$2)^2)+Ft!K$7*EXP(Ft!K$40*($A213-Ft!K$2)^2)))</f>
        <v>0</v>
      </c>
      <c r="P213"/>
      <c r="Q213"/>
    </row>
    <row r="214" spans="1:17">
      <c r="A214">
        <v>424</v>
      </c>
      <c r="B214">
        <v>18.769931306313993</v>
      </c>
      <c r="C214" s="6">
        <f t="shared" si="7"/>
        <v>18.690129513562344</v>
      </c>
      <c r="D214" s="19">
        <f t="shared" si="8"/>
        <v>6.3683261263771393E-3</v>
      </c>
      <c r="E214" s="3">
        <f>Ft!$B$12+Ft!$B$14*(Data!A214-Vars!$B$3)</f>
        <v>0</v>
      </c>
      <c r="F214" s="3">
        <f>IF(($A214-Ft!B$2)&lt;0,Ft!B$3*((1-Ft!B$6)/(1+Ft!B$37*($A214-Ft!B$2)^2)+Ft!B$6*EXP(Ft!B$38*($A214-Ft!B$2)^2)),Ft!B$3*((1-Ft!B$7)/(1+Ft!B$39*($A214-Ft!B$2)^2)+Ft!B$7*EXP(Ft!B$40*($A214-Ft!B$2)^2)))</f>
        <v>6.9446353642742932E-79</v>
      </c>
      <c r="G214" s="3">
        <f>IF(($A214-Ft!C$2)&lt;0,Ft!C$3*((1-Ft!C$6)/(1+Ft!C$37*($A214-Ft!C$2)^2)+Ft!C$6*EXP(Ft!C$38*($A214-Ft!C$2)^2)),Ft!C$3*((1-Ft!C$7)/(1+Ft!C$39*($A214-Ft!C$2)^2)+Ft!C$7*EXP(Ft!C$40*($A214-Ft!C$2)^2)))</f>
        <v>1.2235166802706981E-2</v>
      </c>
      <c r="H214" s="3">
        <f>IF(($A214-Ft!D$2)&lt;0,Ft!D$3*((1-Ft!D$6)/(1+Ft!D$37*($A214-Ft!D$2)^2)+Ft!D$6*EXP(Ft!D$38*($A214-Ft!D$2)^2)),Ft!D$3*((1-Ft!D$7)/(1+Ft!D$39*($A214-Ft!D$2)^2)+Ft!D$7*EXP(Ft!D$40*($A214-Ft!D$2)^2)))</f>
        <v>18.392319681470262</v>
      </c>
      <c r="I214" s="3">
        <f>IF(($A214-Ft!E$2)&lt;0,Ft!E$3*((1-Ft!E$6)/(1+Ft!E$37*($A214-Ft!E$2)^2)+Ft!E$6*EXP(Ft!E$38*($A214-Ft!E$2)^2)),Ft!E$3*((1-Ft!E$7)/(1+Ft!E$39*($A214-Ft!E$2)^2)+Ft!E$7*EXP(Ft!E$40*($A214-Ft!E$2)^2)))</f>
        <v>0.28557466528937364</v>
      </c>
      <c r="J214" s="3">
        <f>IF(($A214-Ft!F$2)&lt;0,Ft!F$3*((1-Ft!F$6)/(1+Ft!F$37*($A214-Ft!F$2)^2)+Ft!F$6*EXP(Ft!F$38*($A214-Ft!F$2)^2)),Ft!F$3*((1-Ft!F$7)/(1+Ft!F$39*($A214-Ft!F$2)^2)+Ft!F$7*EXP(Ft!F$40*($A214-Ft!F$2)^2)))</f>
        <v>6.3918412403871439E-39</v>
      </c>
      <c r="K214" s="3">
        <f>IF(($A214-Ft!G$2)&lt;0,Ft!G$3*((1-Ft!G$6)/(1+Ft!G$37*($A214-Ft!G$2)^2)+Ft!G$6*EXP(Ft!G$38*($A214-Ft!G$2)^2)),Ft!G$3*((1-Ft!G$7)/(1+Ft!G$39*($A214-Ft!G$2)^2)+Ft!G$7*EXP(Ft!G$40*($A214-Ft!G$2)^2)))</f>
        <v>2.3936739153486616E-159</v>
      </c>
      <c r="L214" s="3">
        <f>IF(($A214-Ft!H$2)&lt;0,Ft!H$3*((1-Ft!H$6)/(1+Ft!H$37*($A214-Ft!H$2)^2)+Ft!H$6*EXP(Ft!H$38*($A214-Ft!H$2)^2)),Ft!H$3*((1-Ft!H$7)/(1+Ft!H$39*($A214-Ft!H$2)^2)+Ft!H$7*EXP(Ft!H$40*($A214-Ft!H$2)^2)))</f>
        <v>0</v>
      </c>
      <c r="M214" s="3">
        <f>IF(($A214-Ft!I$2)&lt;0,Ft!I$3*((1-Ft!I$6)/(1+Ft!I$37*($A214-Ft!I$2)^2)+Ft!I$6*EXP(Ft!I$38*($A214-Ft!I$2)^2)),Ft!I$3*((1-Ft!I$7)/(1+Ft!I$39*($A214-Ft!I$2)^2)+Ft!I$7*EXP(Ft!I$40*($A214-Ft!I$2)^2)))</f>
        <v>0</v>
      </c>
      <c r="N214" s="3">
        <f>IF(($A214-Ft!J$2)&lt;0,Ft!J$3*((1-Ft!J$6)/(1+Ft!J$37*($A214-Ft!J$2)^2)+Ft!J$6*EXP(Ft!J$38*($A214-Ft!J$2)^2)),Ft!J$3*((1-Ft!J$7)/(1+Ft!J$39*($A214-Ft!J$2)^2)+Ft!J$7*EXP(Ft!J$40*($A214-Ft!J$2)^2)))</f>
        <v>0</v>
      </c>
      <c r="O214" s="3">
        <f>IF(($A214-Ft!K$2)&lt;0,Ft!K$3*((1-Ft!K$6)/(1+Ft!K$37*($A214-Ft!K$2)^2)+Ft!K$6*EXP(Ft!K$38*($A214-Ft!K$2)^2)),Ft!K$3*((1-Ft!K$7)/(1+Ft!K$39*($A214-Ft!K$2)^2)+Ft!K$7*EXP(Ft!K$40*($A214-Ft!K$2)^2)))</f>
        <v>0</v>
      </c>
      <c r="P214"/>
      <c r="Q214"/>
    </row>
    <row r="215" spans="1:17">
      <c r="A215">
        <v>426</v>
      </c>
      <c r="B215">
        <v>18.816747535546995</v>
      </c>
      <c r="C215" s="6">
        <f t="shared" si="7"/>
        <v>18.739712886649066</v>
      </c>
      <c r="D215" s="19">
        <f t="shared" si="8"/>
        <v>5.9343371308271239E-3</v>
      </c>
      <c r="E215" s="3">
        <f>Ft!$B$12+Ft!$B$14*(Data!A215-Vars!$B$3)</f>
        <v>0</v>
      </c>
      <c r="F215" s="3">
        <f>IF(($A215-Ft!B$2)&lt;0,Ft!B$3*((1-Ft!B$6)/(1+Ft!B$37*($A215-Ft!B$2)^2)+Ft!B$6*EXP(Ft!B$38*($A215-Ft!B$2)^2)),Ft!B$3*((1-Ft!B$7)/(1+Ft!B$39*($A215-Ft!B$2)^2)+Ft!B$7*EXP(Ft!B$40*($A215-Ft!B$2)^2)))</f>
        <v>1.0193309852550015E-79</v>
      </c>
      <c r="G215" s="3">
        <f>IF(($A215-Ft!C$2)&lt;0,Ft!C$3*((1-Ft!C$6)/(1+Ft!C$37*($A215-Ft!C$2)^2)+Ft!C$6*EXP(Ft!C$38*($A215-Ft!C$2)^2)),Ft!C$3*((1-Ft!C$7)/(1+Ft!C$39*($A215-Ft!C$2)^2)+Ft!C$7*EXP(Ft!C$40*($A215-Ft!C$2)^2)))</f>
        <v>1.1148631176101327E-2</v>
      </c>
      <c r="H215" s="3">
        <f>IF(($A215-Ft!D$2)&lt;0,Ft!D$3*((1-Ft!D$6)/(1+Ft!D$37*($A215-Ft!D$2)^2)+Ft!D$6*EXP(Ft!D$38*($A215-Ft!D$2)^2)),Ft!D$3*((1-Ft!D$7)/(1+Ft!D$39*($A215-Ft!D$2)^2)+Ft!D$7*EXP(Ft!D$40*($A215-Ft!D$2)^2)))</f>
        <v>18.431330104888946</v>
      </c>
      <c r="I215" s="3">
        <f>IF(($A215-Ft!E$2)&lt;0,Ft!E$3*((1-Ft!E$6)/(1+Ft!E$37*($A215-Ft!E$2)^2)+Ft!E$6*EXP(Ft!E$38*($A215-Ft!E$2)^2)),Ft!E$3*((1-Ft!E$7)/(1+Ft!E$39*($A215-Ft!E$2)^2)+Ft!E$7*EXP(Ft!E$40*($A215-Ft!E$2)^2)))</f>
        <v>0.2972341505840167</v>
      </c>
      <c r="J215" s="3">
        <f>IF(($A215-Ft!F$2)&lt;0,Ft!F$3*((1-Ft!F$6)/(1+Ft!F$37*($A215-Ft!F$2)^2)+Ft!F$6*EXP(Ft!F$38*($A215-Ft!F$2)^2)),Ft!F$3*((1-Ft!F$7)/(1+Ft!F$39*($A215-Ft!F$2)^2)+Ft!F$7*EXP(Ft!F$40*($A215-Ft!F$2)^2)))</f>
        <v>1.1878309885611726E-38</v>
      </c>
      <c r="K215" s="3">
        <f>IF(($A215-Ft!G$2)&lt;0,Ft!G$3*((1-Ft!G$6)/(1+Ft!G$37*($A215-Ft!G$2)^2)+Ft!G$6*EXP(Ft!G$38*($A215-Ft!G$2)^2)),Ft!G$3*((1-Ft!G$7)/(1+Ft!G$39*($A215-Ft!G$2)^2)+Ft!G$7*EXP(Ft!G$40*($A215-Ft!G$2)^2)))</f>
        <v>2.5329393219568496E-158</v>
      </c>
      <c r="L215" s="3">
        <f>IF(($A215-Ft!H$2)&lt;0,Ft!H$3*((1-Ft!H$6)/(1+Ft!H$37*($A215-Ft!H$2)^2)+Ft!H$6*EXP(Ft!H$38*($A215-Ft!H$2)^2)),Ft!H$3*((1-Ft!H$7)/(1+Ft!H$39*($A215-Ft!H$2)^2)+Ft!H$7*EXP(Ft!H$40*($A215-Ft!H$2)^2)))</f>
        <v>0</v>
      </c>
      <c r="M215" s="3">
        <f>IF(($A215-Ft!I$2)&lt;0,Ft!I$3*((1-Ft!I$6)/(1+Ft!I$37*($A215-Ft!I$2)^2)+Ft!I$6*EXP(Ft!I$38*($A215-Ft!I$2)^2)),Ft!I$3*((1-Ft!I$7)/(1+Ft!I$39*($A215-Ft!I$2)^2)+Ft!I$7*EXP(Ft!I$40*($A215-Ft!I$2)^2)))</f>
        <v>0</v>
      </c>
      <c r="N215" s="3">
        <f>IF(($A215-Ft!J$2)&lt;0,Ft!J$3*((1-Ft!J$6)/(1+Ft!J$37*($A215-Ft!J$2)^2)+Ft!J$6*EXP(Ft!J$38*($A215-Ft!J$2)^2)),Ft!J$3*((1-Ft!J$7)/(1+Ft!J$39*($A215-Ft!J$2)^2)+Ft!J$7*EXP(Ft!J$40*($A215-Ft!J$2)^2)))</f>
        <v>0</v>
      </c>
      <c r="O215" s="3">
        <f>IF(($A215-Ft!K$2)&lt;0,Ft!K$3*((1-Ft!K$6)/(1+Ft!K$37*($A215-Ft!K$2)^2)+Ft!K$6*EXP(Ft!K$38*($A215-Ft!K$2)^2)),Ft!K$3*((1-Ft!K$7)/(1+Ft!K$39*($A215-Ft!K$2)^2)+Ft!K$7*EXP(Ft!K$40*($A215-Ft!K$2)^2)))</f>
        <v>0</v>
      </c>
      <c r="P215"/>
      <c r="Q215"/>
    </row>
    <row r="216" spans="1:17">
      <c r="A216">
        <v>428</v>
      </c>
      <c r="B216">
        <v>18.859647261267995</v>
      </c>
      <c r="C216" s="6">
        <f t="shared" si="7"/>
        <v>18.787227480830786</v>
      </c>
      <c r="D216" s="19">
        <f t="shared" si="8"/>
        <v>5.2446245985734441E-3</v>
      </c>
      <c r="E216" s="3">
        <f>Ft!$B$12+Ft!$B$14*(Data!A216-Vars!$B$3)</f>
        <v>0</v>
      </c>
      <c r="F216" s="3">
        <f>IF(($A216-Ft!B$2)&lt;0,Ft!B$3*((1-Ft!B$6)/(1+Ft!B$37*($A216-Ft!B$2)^2)+Ft!B$6*EXP(Ft!B$38*($A216-Ft!B$2)^2)),Ft!B$3*((1-Ft!B$7)/(1+Ft!B$39*($A216-Ft!B$2)^2)+Ft!B$7*EXP(Ft!B$40*($A216-Ft!B$2)^2)))</f>
        <v>1.4811194504399369E-80</v>
      </c>
      <c r="G216" s="3">
        <f>IF(($A216-Ft!C$2)&lt;0,Ft!C$3*((1-Ft!C$6)/(1+Ft!C$37*($A216-Ft!C$2)^2)+Ft!C$6*EXP(Ft!C$38*($A216-Ft!C$2)^2)),Ft!C$3*((1-Ft!C$7)/(1+Ft!C$39*($A216-Ft!C$2)^2)+Ft!C$7*EXP(Ft!C$40*($A216-Ft!C$2)^2)))</f>
        <v>1.0151988896645149E-2</v>
      </c>
      <c r="H216" s="3">
        <f>IF(($A216-Ft!D$2)&lt;0,Ft!D$3*((1-Ft!D$6)/(1+Ft!D$37*($A216-Ft!D$2)^2)+Ft!D$6*EXP(Ft!D$38*($A216-Ft!D$2)^2)),Ft!D$3*((1-Ft!D$7)/(1+Ft!D$39*($A216-Ft!D$2)^2)+Ft!D$7*EXP(Ft!D$40*($A216-Ft!D$2)^2)))</f>
        <v>18.46776810865153</v>
      </c>
      <c r="I216" s="3">
        <f>IF(($A216-Ft!E$2)&lt;0,Ft!E$3*((1-Ft!E$6)/(1+Ft!E$37*($A216-Ft!E$2)^2)+Ft!E$6*EXP(Ft!E$38*($A216-Ft!E$2)^2)),Ft!E$3*((1-Ft!E$7)/(1+Ft!E$39*($A216-Ft!E$2)^2)+Ft!E$7*EXP(Ft!E$40*($A216-Ft!E$2)^2)))</f>
        <v>0.30930738328261143</v>
      </c>
      <c r="J216" s="3">
        <f>IF(($A216-Ft!F$2)&lt;0,Ft!F$3*((1-Ft!F$6)/(1+Ft!F$37*($A216-Ft!F$2)^2)+Ft!F$6*EXP(Ft!F$38*($A216-Ft!F$2)^2)),Ft!F$3*((1-Ft!F$7)/(1+Ft!F$39*($A216-Ft!F$2)^2)+Ft!F$7*EXP(Ft!F$40*($A216-Ft!F$2)^2)))</f>
        <v>2.2026657400436451E-38</v>
      </c>
      <c r="K216" s="3">
        <f>IF(($A216-Ft!G$2)&lt;0,Ft!G$3*((1-Ft!G$6)/(1+Ft!G$37*($A216-Ft!G$2)^2)+Ft!G$6*EXP(Ft!G$38*($A216-Ft!G$2)^2)),Ft!G$3*((1-Ft!G$7)/(1+Ft!G$39*($A216-Ft!G$2)^2)+Ft!G$7*EXP(Ft!G$40*($A216-Ft!G$2)^2)))</f>
        <v>2.6599992688185306E-157</v>
      </c>
      <c r="L216" s="3">
        <f>IF(($A216-Ft!H$2)&lt;0,Ft!H$3*((1-Ft!H$6)/(1+Ft!H$37*($A216-Ft!H$2)^2)+Ft!H$6*EXP(Ft!H$38*($A216-Ft!H$2)^2)),Ft!H$3*((1-Ft!H$7)/(1+Ft!H$39*($A216-Ft!H$2)^2)+Ft!H$7*EXP(Ft!H$40*($A216-Ft!H$2)^2)))</f>
        <v>0</v>
      </c>
      <c r="M216" s="3">
        <f>IF(($A216-Ft!I$2)&lt;0,Ft!I$3*((1-Ft!I$6)/(1+Ft!I$37*($A216-Ft!I$2)^2)+Ft!I$6*EXP(Ft!I$38*($A216-Ft!I$2)^2)),Ft!I$3*((1-Ft!I$7)/(1+Ft!I$39*($A216-Ft!I$2)^2)+Ft!I$7*EXP(Ft!I$40*($A216-Ft!I$2)^2)))</f>
        <v>0</v>
      </c>
      <c r="N216" s="3">
        <f>IF(($A216-Ft!J$2)&lt;0,Ft!J$3*((1-Ft!J$6)/(1+Ft!J$37*($A216-Ft!J$2)^2)+Ft!J$6*EXP(Ft!J$38*($A216-Ft!J$2)^2)),Ft!J$3*((1-Ft!J$7)/(1+Ft!J$39*($A216-Ft!J$2)^2)+Ft!J$7*EXP(Ft!J$40*($A216-Ft!J$2)^2)))</f>
        <v>0</v>
      </c>
      <c r="O216" s="3">
        <f>IF(($A216-Ft!K$2)&lt;0,Ft!K$3*((1-Ft!K$6)/(1+Ft!K$37*($A216-Ft!K$2)^2)+Ft!K$6*EXP(Ft!K$38*($A216-Ft!K$2)^2)),Ft!K$3*((1-Ft!K$7)/(1+Ft!K$39*($A216-Ft!K$2)^2)+Ft!K$7*EXP(Ft!K$40*($A216-Ft!K$2)^2)))</f>
        <v>0</v>
      </c>
      <c r="P216"/>
      <c r="Q216"/>
    </row>
    <row r="217" spans="1:17">
      <c r="A217">
        <v>430</v>
      </c>
      <c r="B217">
        <v>18.899283258499992</v>
      </c>
      <c r="C217" s="6">
        <f t="shared" si="7"/>
        <v>18.832662769850817</v>
      </c>
      <c r="D217" s="19">
        <f t="shared" si="8"/>
        <v>4.4382895078548291E-3</v>
      </c>
      <c r="E217" s="3">
        <f>Ft!$B$12+Ft!$B$14*(Data!A217-Vars!$B$3)</f>
        <v>0</v>
      </c>
      <c r="F217" s="3">
        <f>IF(($A217-Ft!B$2)&lt;0,Ft!B$3*((1-Ft!B$6)/(1+Ft!B$37*($A217-Ft!B$2)^2)+Ft!B$6*EXP(Ft!B$38*($A217-Ft!B$2)^2)),Ft!B$3*((1-Ft!B$7)/(1+Ft!B$39*($A217-Ft!B$2)^2)+Ft!B$7*EXP(Ft!B$40*($A217-Ft!B$2)^2)))</f>
        <v>2.130463143803135E-81</v>
      </c>
      <c r="G217" s="3">
        <f>IF(($A217-Ft!C$2)&lt;0,Ft!C$3*((1-Ft!C$6)/(1+Ft!C$37*($A217-Ft!C$2)^2)+Ft!C$6*EXP(Ft!C$38*($A217-Ft!C$2)^2)),Ft!C$3*((1-Ft!C$7)/(1+Ft!C$39*($A217-Ft!C$2)^2)+Ft!C$7*EXP(Ft!C$40*($A217-Ft!C$2)^2)))</f>
        <v>9.2384402053597228E-3</v>
      </c>
      <c r="H217" s="3">
        <f>IF(($A217-Ft!D$2)&lt;0,Ft!D$3*((1-Ft!D$6)/(1+Ft!D$37*($A217-Ft!D$2)^2)+Ft!D$6*EXP(Ft!D$38*($A217-Ft!D$2)^2)),Ft!D$3*((1-Ft!D$7)/(1+Ft!D$39*($A217-Ft!D$2)^2)+Ft!D$7*EXP(Ft!D$40*($A217-Ft!D$2)^2)))</f>
        <v>18.501618120755321</v>
      </c>
      <c r="I217" s="3">
        <f>IF(($A217-Ft!E$2)&lt;0,Ft!E$3*((1-Ft!E$6)/(1+Ft!E$37*($A217-Ft!E$2)^2)+Ft!E$6*EXP(Ft!E$38*($A217-Ft!E$2)^2)),Ft!E$3*((1-Ft!E$7)/(1+Ft!E$39*($A217-Ft!E$2)^2)+Ft!E$7*EXP(Ft!E$40*($A217-Ft!E$2)^2)))</f>
        <v>0.32180620889013656</v>
      </c>
      <c r="J217" s="3">
        <f>IF(($A217-Ft!F$2)&lt;0,Ft!F$3*((1-Ft!F$6)/(1+Ft!F$37*($A217-Ft!F$2)^2)+Ft!F$6*EXP(Ft!F$38*($A217-Ft!F$2)^2)),Ft!F$3*((1-Ft!F$7)/(1+Ft!F$39*($A217-Ft!F$2)^2)+Ft!F$7*EXP(Ft!F$40*($A217-Ft!F$2)^2)))</f>
        <v>4.0757526239504248E-38</v>
      </c>
      <c r="K217" s="3">
        <f>IF(($A217-Ft!G$2)&lt;0,Ft!G$3*((1-Ft!G$6)/(1+Ft!G$37*($A217-Ft!G$2)^2)+Ft!G$6*EXP(Ft!G$38*($A217-Ft!G$2)^2)),Ft!G$3*((1-Ft!G$7)/(1+Ft!G$39*($A217-Ft!G$2)^2)+Ft!G$7*EXP(Ft!G$40*($A217-Ft!G$2)^2)))</f>
        <v>2.772267799163916E-156</v>
      </c>
      <c r="L217" s="3">
        <f>IF(($A217-Ft!H$2)&lt;0,Ft!H$3*((1-Ft!H$6)/(1+Ft!H$37*($A217-Ft!H$2)^2)+Ft!H$6*EXP(Ft!H$38*($A217-Ft!H$2)^2)),Ft!H$3*((1-Ft!H$7)/(1+Ft!H$39*($A217-Ft!H$2)^2)+Ft!H$7*EXP(Ft!H$40*($A217-Ft!H$2)^2)))</f>
        <v>0</v>
      </c>
      <c r="M217" s="3">
        <f>IF(($A217-Ft!I$2)&lt;0,Ft!I$3*((1-Ft!I$6)/(1+Ft!I$37*($A217-Ft!I$2)^2)+Ft!I$6*EXP(Ft!I$38*($A217-Ft!I$2)^2)),Ft!I$3*((1-Ft!I$7)/(1+Ft!I$39*($A217-Ft!I$2)^2)+Ft!I$7*EXP(Ft!I$40*($A217-Ft!I$2)^2)))</f>
        <v>0</v>
      </c>
      <c r="N217" s="3">
        <f>IF(($A217-Ft!J$2)&lt;0,Ft!J$3*((1-Ft!J$6)/(1+Ft!J$37*($A217-Ft!J$2)^2)+Ft!J$6*EXP(Ft!J$38*($A217-Ft!J$2)^2)),Ft!J$3*((1-Ft!J$7)/(1+Ft!J$39*($A217-Ft!J$2)^2)+Ft!J$7*EXP(Ft!J$40*($A217-Ft!J$2)^2)))</f>
        <v>0</v>
      </c>
      <c r="O217" s="3">
        <f>IF(($A217-Ft!K$2)&lt;0,Ft!K$3*((1-Ft!K$6)/(1+Ft!K$37*($A217-Ft!K$2)^2)+Ft!K$6*EXP(Ft!K$38*($A217-Ft!K$2)^2)),Ft!K$3*((1-Ft!K$7)/(1+Ft!K$39*($A217-Ft!K$2)^2)+Ft!K$7*EXP(Ft!K$40*($A217-Ft!K$2)^2)))</f>
        <v>0</v>
      </c>
      <c r="P217"/>
      <c r="Q217"/>
    </row>
    <row r="218" spans="1:17">
      <c r="A218">
        <v>432</v>
      </c>
      <c r="B218">
        <v>18.936308302268998</v>
      </c>
      <c r="C218" s="6">
        <f t="shared" si="7"/>
        <v>18.876009987891056</v>
      </c>
      <c r="D218" s="19">
        <f t="shared" si="8"/>
        <v>3.6358867168211103E-3</v>
      </c>
      <c r="E218" s="3">
        <f>Ft!$B$12+Ft!$B$14*(Data!A218-Vars!$B$3)</f>
        <v>0</v>
      </c>
      <c r="F218" s="3">
        <f>IF(($A218-Ft!B$2)&lt;0,Ft!B$3*((1-Ft!B$6)/(1+Ft!B$37*($A218-Ft!B$2)^2)+Ft!B$6*EXP(Ft!B$38*($A218-Ft!B$2)^2)),Ft!B$3*((1-Ft!B$7)/(1+Ft!B$39*($A218-Ft!B$2)^2)+Ft!B$7*EXP(Ft!B$40*($A218-Ft!B$2)^2)))</f>
        <v>3.0336609875181334E-82</v>
      </c>
      <c r="G218" s="3">
        <f>IF(($A218-Ft!C$2)&lt;0,Ft!C$3*((1-Ft!C$6)/(1+Ft!C$37*($A218-Ft!C$2)^2)+Ft!C$6*EXP(Ft!C$38*($A218-Ft!C$2)^2)),Ft!C$3*((1-Ft!C$7)/(1+Ft!C$39*($A218-Ft!C$2)^2)+Ft!C$7*EXP(Ft!C$40*($A218-Ft!C$2)^2)))</f>
        <v>8.4016406577264984E-3</v>
      </c>
      <c r="H218" s="3">
        <f>IF(($A218-Ft!D$2)&lt;0,Ft!D$3*((1-Ft!D$6)/(1+Ft!D$37*($A218-Ft!D$2)^2)+Ft!D$6*EXP(Ft!D$38*($A218-Ft!D$2)^2)),Ft!D$3*((1-Ft!D$7)/(1+Ft!D$39*($A218-Ft!D$2)^2)+Ft!D$7*EXP(Ft!D$40*($A218-Ft!D$2)^2)))</f>
        <v>18.53286565667166</v>
      </c>
      <c r="I218" s="3">
        <f>IF(($A218-Ft!E$2)&lt;0,Ft!E$3*((1-Ft!E$6)/(1+Ft!E$37*($A218-Ft!E$2)^2)+Ft!E$6*EXP(Ft!E$38*($A218-Ft!E$2)^2)),Ft!E$3*((1-Ft!E$7)/(1+Ft!E$39*($A218-Ft!E$2)^2)+Ft!E$7*EXP(Ft!E$40*($A218-Ft!E$2)^2)))</f>
        <v>0.33474269056167011</v>
      </c>
      <c r="J218" s="3">
        <f>IF(($A218-Ft!F$2)&lt;0,Ft!F$3*((1-Ft!F$6)/(1+Ft!F$37*($A218-Ft!F$2)^2)+Ft!F$6*EXP(Ft!F$38*($A218-Ft!F$2)^2)),Ft!F$3*((1-Ft!F$7)/(1+Ft!F$39*($A218-Ft!F$2)^2)+Ft!F$7*EXP(Ft!F$40*($A218-Ft!F$2)^2)))</f>
        <v>7.5254471635274804E-38</v>
      </c>
      <c r="K218" s="3">
        <f>IF(($A218-Ft!G$2)&lt;0,Ft!G$3*((1-Ft!G$6)/(1+Ft!G$37*($A218-Ft!G$2)^2)+Ft!G$6*EXP(Ft!G$38*($A218-Ft!G$2)^2)),Ft!G$3*((1-Ft!G$7)/(1+Ft!G$39*($A218-Ft!G$2)^2)+Ft!G$7*EXP(Ft!G$40*($A218-Ft!G$2)^2)))</f>
        <v>2.8673834610866915E-155</v>
      </c>
      <c r="L218" s="3">
        <f>IF(($A218-Ft!H$2)&lt;0,Ft!H$3*((1-Ft!H$6)/(1+Ft!H$37*($A218-Ft!H$2)^2)+Ft!H$6*EXP(Ft!H$38*($A218-Ft!H$2)^2)),Ft!H$3*((1-Ft!H$7)/(1+Ft!H$39*($A218-Ft!H$2)^2)+Ft!H$7*EXP(Ft!H$40*($A218-Ft!H$2)^2)))</f>
        <v>0</v>
      </c>
      <c r="M218" s="3">
        <f>IF(($A218-Ft!I$2)&lt;0,Ft!I$3*((1-Ft!I$6)/(1+Ft!I$37*($A218-Ft!I$2)^2)+Ft!I$6*EXP(Ft!I$38*($A218-Ft!I$2)^2)),Ft!I$3*((1-Ft!I$7)/(1+Ft!I$39*($A218-Ft!I$2)^2)+Ft!I$7*EXP(Ft!I$40*($A218-Ft!I$2)^2)))</f>
        <v>0</v>
      </c>
      <c r="N218" s="3">
        <f>IF(($A218-Ft!J$2)&lt;0,Ft!J$3*((1-Ft!J$6)/(1+Ft!J$37*($A218-Ft!J$2)^2)+Ft!J$6*EXP(Ft!J$38*($A218-Ft!J$2)^2)),Ft!J$3*((1-Ft!J$7)/(1+Ft!J$39*($A218-Ft!J$2)^2)+Ft!J$7*EXP(Ft!J$40*($A218-Ft!J$2)^2)))</f>
        <v>0</v>
      </c>
      <c r="O218" s="3">
        <f>IF(($A218-Ft!K$2)&lt;0,Ft!K$3*((1-Ft!K$6)/(1+Ft!K$37*($A218-Ft!K$2)^2)+Ft!K$6*EXP(Ft!K$38*($A218-Ft!K$2)^2)),Ft!K$3*((1-Ft!K$7)/(1+Ft!K$39*($A218-Ft!K$2)^2)+Ft!K$7*EXP(Ft!K$40*($A218-Ft!K$2)^2)))</f>
        <v>0</v>
      </c>
      <c r="P218"/>
      <c r="Q218"/>
    </row>
    <row r="219" spans="1:17">
      <c r="A219">
        <v>434</v>
      </c>
      <c r="B219">
        <v>18.971375167596989</v>
      </c>
      <c r="C219" s="6">
        <f t="shared" si="7"/>
        <v>18.917262113543831</v>
      </c>
      <c r="D219" s="19">
        <f t="shared" si="8"/>
        <v>2.9282226189599543E-3</v>
      </c>
      <c r="E219" s="3">
        <f>Ft!$B$12+Ft!$B$14*(Data!A219-Vars!$B$3)</f>
        <v>0</v>
      </c>
      <c r="F219" s="3">
        <f>IF(($A219-Ft!B$2)&lt;0,Ft!B$3*((1-Ft!B$6)/(1+Ft!B$37*($A219-Ft!B$2)^2)+Ft!B$6*EXP(Ft!B$38*($A219-Ft!B$2)^2)),Ft!B$3*((1-Ft!B$7)/(1+Ft!B$39*($A219-Ft!B$2)^2)+Ft!B$7*EXP(Ft!B$40*($A219-Ft!B$2)^2)))</f>
        <v>4.2763096847458518E-83</v>
      </c>
      <c r="G219" s="3">
        <f>IF(($A219-Ft!C$2)&lt;0,Ft!C$3*((1-Ft!C$6)/(1+Ft!C$37*($A219-Ft!C$2)^2)+Ft!C$6*EXP(Ft!C$38*($A219-Ft!C$2)^2)),Ft!C$3*((1-Ft!C$7)/(1+Ft!C$39*($A219-Ft!C$2)^2)+Ft!C$7*EXP(Ft!C$40*($A219-Ft!C$2)^2)))</f>
        <v>7.6356758814147265E-3</v>
      </c>
      <c r="H219" s="3">
        <f>IF(($A219-Ft!D$2)&lt;0,Ft!D$3*((1-Ft!D$6)/(1+Ft!D$37*($A219-Ft!D$2)^2)+Ft!D$6*EXP(Ft!D$38*($A219-Ft!D$2)^2)),Ft!D$3*((1-Ft!D$7)/(1+Ft!D$39*($A219-Ft!D$2)^2)+Ft!D$7*EXP(Ft!D$40*($A219-Ft!D$2)^2)))</f>
        <v>18.561497329675149</v>
      </c>
      <c r="I219" s="3">
        <f>IF(($A219-Ft!E$2)&lt;0,Ft!E$3*((1-Ft!E$6)/(1+Ft!E$37*($A219-Ft!E$2)^2)+Ft!E$6*EXP(Ft!E$38*($A219-Ft!E$2)^2)),Ft!E$3*((1-Ft!E$7)/(1+Ft!E$39*($A219-Ft!E$2)^2)+Ft!E$7*EXP(Ft!E$40*($A219-Ft!E$2)^2)))</f>
        <v>0.34812910798727037</v>
      </c>
      <c r="J219" s="3">
        <f>IF(($A219-Ft!F$2)&lt;0,Ft!F$3*((1-Ft!F$6)/(1+Ft!F$37*($A219-Ft!F$2)^2)+Ft!F$6*EXP(Ft!F$38*($A219-Ft!F$2)^2)),Ft!F$3*((1-Ft!F$7)/(1+Ft!F$39*($A219-Ft!F$2)^2)+Ft!F$7*EXP(Ft!F$40*($A219-Ft!F$2)^2)))</f>
        <v>1.3865070402252197E-37</v>
      </c>
      <c r="K219" s="3">
        <f>IF(($A219-Ft!G$2)&lt;0,Ft!G$3*((1-Ft!G$6)/(1+Ft!G$37*($A219-Ft!G$2)^2)+Ft!G$6*EXP(Ft!G$38*($A219-Ft!G$2)^2)),Ft!G$3*((1-Ft!G$7)/(1+Ft!G$39*($A219-Ft!G$2)^2)+Ft!G$7*EXP(Ft!G$40*($A219-Ft!G$2)^2)))</f>
        <v>2.9432916847203542E-154</v>
      </c>
      <c r="L219" s="3">
        <f>IF(($A219-Ft!H$2)&lt;0,Ft!H$3*((1-Ft!H$6)/(1+Ft!H$37*($A219-Ft!H$2)^2)+Ft!H$6*EXP(Ft!H$38*($A219-Ft!H$2)^2)),Ft!H$3*((1-Ft!H$7)/(1+Ft!H$39*($A219-Ft!H$2)^2)+Ft!H$7*EXP(Ft!H$40*($A219-Ft!H$2)^2)))</f>
        <v>0</v>
      </c>
      <c r="M219" s="3">
        <f>IF(($A219-Ft!I$2)&lt;0,Ft!I$3*((1-Ft!I$6)/(1+Ft!I$37*($A219-Ft!I$2)^2)+Ft!I$6*EXP(Ft!I$38*($A219-Ft!I$2)^2)),Ft!I$3*((1-Ft!I$7)/(1+Ft!I$39*($A219-Ft!I$2)^2)+Ft!I$7*EXP(Ft!I$40*($A219-Ft!I$2)^2)))</f>
        <v>0</v>
      </c>
      <c r="N219" s="3">
        <f>IF(($A219-Ft!J$2)&lt;0,Ft!J$3*((1-Ft!J$6)/(1+Ft!J$37*($A219-Ft!J$2)^2)+Ft!J$6*EXP(Ft!J$38*($A219-Ft!J$2)^2)),Ft!J$3*((1-Ft!J$7)/(1+Ft!J$39*($A219-Ft!J$2)^2)+Ft!J$7*EXP(Ft!J$40*($A219-Ft!J$2)^2)))</f>
        <v>0</v>
      </c>
      <c r="O219" s="3">
        <f>IF(($A219-Ft!K$2)&lt;0,Ft!K$3*((1-Ft!K$6)/(1+Ft!K$37*($A219-Ft!K$2)^2)+Ft!K$6*EXP(Ft!K$38*($A219-Ft!K$2)^2)),Ft!K$3*((1-Ft!K$7)/(1+Ft!K$39*($A219-Ft!K$2)^2)+Ft!K$7*EXP(Ft!K$40*($A219-Ft!K$2)^2)))</f>
        <v>0</v>
      </c>
      <c r="P219"/>
      <c r="Q219"/>
    </row>
    <row r="220" spans="1:17">
      <c r="A220">
        <v>436</v>
      </c>
      <c r="B220">
        <v>19.005136629508996</v>
      </c>
      <c r="C220" s="6">
        <f t="shared" si="7"/>
        <v>18.95641385369148</v>
      </c>
      <c r="D220" s="19">
        <f t="shared" si="8"/>
        <v>2.373908883363981E-3</v>
      </c>
      <c r="E220" s="3">
        <f>Ft!$B$12+Ft!$B$14*(Data!A220-Vars!$B$3)</f>
        <v>0</v>
      </c>
      <c r="F220" s="3">
        <f>IF(($A220-Ft!B$2)&lt;0,Ft!B$3*((1-Ft!B$6)/(1+Ft!B$37*($A220-Ft!B$2)^2)+Ft!B$6*EXP(Ft!B$38*($A220-Ft!B$2)^2)),Ft!B$3*((1-Ft!B$7)/(1+Ft!B$39*($A220-Ft!B$2)^2)+Ft!B$7*EXP(Ft!B$40*($A220-Ft!B$2)^2)))</f>
        <v>5.9673337956975501E-84</v>
      </c>
      <c r="G220" s="3">
        <f>IF(($A220-Ft!C$2)&lt;0,Ft!C$3*((1-Ft!C$6)/(1+Ft!C$37*($A220-Ft!C$2)^2)+Ft!C$6*EXP(Ft!C$38*($A220-Ft!C$2)^2)),Ft!C$3*((1-Ft!C$7)/(1+Ft!C$39*($A220-Ft!C$2)^2)+Ft!C$7*EXP(Ft!C$40*($A220-Ft!C$2)^2)))</f>
        <v>6.935037280548448E-3</v>
      </c>
      <c r="H220" s="3">
        <f>IF(($A220-Ft!D$2)&lt;0,Ft!D$3*((1-Ft!D$6)/(1+Ft!D$37*($A220-Ft!D$2)^2)+Ft!D$6*EXP(Ft!D$38*($A220-Ft!D$2)^2)),Ft!D$3*((1-Ft!D$7)/(1+Ft!D$39*($A220-Ft!D$2)^2)+Ft!D$7*EXP(Ft!D$40*($A220-Ft!D$2)^2)))</f>
        <v>18.587500860401345</v>
      </c>
      <c r="I220" s="3">
        <f>IF(($A220-Ft!E$2)&lt;0,Ft!E$3*((1-Ft!E$6)/(1+Ft!E$37*($A220-Ft!E$2)^2)+Ft!E$6*EXP(Ft!E$38*($A220-Ft!E$2)^2)),Ft!E$3*((1-Ft!E$7)/(1+Ft!E$39*($A220-Ft!E$2)^2)+Ft!E$7*EXP(Ft!E$40*($A220-Ft!E$2)^2)))</f>
        <v>0.3619779560095866</v>
      </c>
      <c r="J220" s="3">
        <f>IF(($A220-Ft!F$2)&lt;0,Ft!F$3*((1-Ft!F$6)/(1+Ft!F$37*($A220-Ft!F$2)^2)+Ft!F$6*EXP(Ft!F$38*($A220-Ft!F$2)^2)),Ft!F$3*((1-Ft!F$7)/(1+Ft!F$39*($A220-Ft!F$2)^2)+Ft!F$7*EXP(Ft!F$40*($A220-Ft!F$2)^2)))</f>
        <v>2.5490427642054896E-37</v>
      </c>
      <c r="K220" s="3">
        <f>IF(($A220-Ft!G$2)&lt;0,Ft!G$3*((1-Ft!G$6)/(1+Ft!G$37*($A220-Ft!G$2)^2)+Ft!G$6*EXP(Ft!G$38*($A220-Ft!G$2)^2)),Ft!G$3*((1-Ft!G$7)/(1+Ft!G$39*($A220-Ft!G$2)^2)+Ft!G$7*EXP(Ft!G$40*($A220-Ft!G$2)^2)))</f>
        <v>2.9983184914951579E-153</v>
      </c>
      <c r="L220" s="3">
        <f>IF(($A220-Ft!H$2)&lt;0,Ft!H$3*((1-Ft!H$6)/(1+Ft!H$37*($A220-Ft!H$2)^2)+Ft!H$6*EXP(Ft!H$38*($A220-Ft!H$2)^2)),Ft!H$3*((1-Ft!H$7)/(1+Ft!H$39*($A220-Ft!H$2)^2)+Ft!H$7*EXP(Ft!H$40*($A220-Ft!H$2)^2)))</f>
        <v>0</v>
      </c>
      <c r="M220" s="3">
        <f>IF(($A220-Ft!I$2)&lt;0,Ft!I$3*((1-Ft!I$6)/(1+Ft!I$37*($A220-Ft!I$2)^2)+Ft!I$6*EXP(Ft!I$38*($A220-Ft!I$2)^2)),Ft!I$3*((1-Ft!I$7)/(1+Ft!I$39*($A220-Ft!I$2)^2)+Ft!I$7*EXP(Ft!I$40*($A220-Ft!I$2)^2)))</f>
        <v>0</v>
      </c>
      <c r="N220" s="3">
        <f>IF(($A220-Ft!J$2)&lt;0,Ft!J$3*((1-Ft!J$6)/(1+Ft!J$37*($A220-Ft!J$2)^2)+Ft!J$6*EXP(Ft!J$38*($A220-Ft!J$2)^2)),Ft!J$3*((1-Ft!J$7)/(1+Ft!J$39*($A220-Ft!J$2)^2)+Ft!J$7*EXP(Ft!J$40*($A220-Ft!J$2)^2)))</f>
        <v>0</v>
      </c>
      <c r="O220" s="3">
        <f>IF(($A220-Ft!K$2)&lt;0,Ft!K$3*((1-Ft!K$6)/(1+Ft!K$37*($A220-Ft!K$2)^2)+Ft!K$6*EXP(Ft!K$38*($A220-Ft!K$2)^2)),Ft!K$3*((1-Ft!K$7)/(1+Ft!K$39*($A220-Ft!K$2)^2)+Ft!K$7*EXP(Ft!K$40*($A220-Ft!K$2)^2)))</f>
        <v>0</v>
      </c>
      <c r="P220"/>
      <c r="Q220"/>
    </row>
    <row r="221" spans="1:17">
      <c r="A221">
        <v>438</v>
      </c>
      <c r="B221">
        <v>19.038245463029995</v>
      </c>
      <c r="C221" s="6">
        <f t="shared" si="7"/>
        <v>18.993461627279601</v>
      </c>
      <c r="D221" s="19">
        <f t="shared" si="8"/>
        <v>2.0055919445182693E-3</v>
      </c>
      <c r="E221" s="3">
        <f>Ft!$B$12+Ft!$B$14*(Data!A221-Vars!$B$3)</f>
        <v>0</v>
      </c>
      <c r="F221" s="3">
        <f>IF(($A221-Ft!B$2)&lt;0,Ft!B$3*((1-Ft!B$6)/(1+Ft!B$37*($A221-Ft!B$2)^2)+Ft!B$6*EXP(Ft!B$38*($A221-Ft!B$2)^2)),Ft!B$3*((1-Ft!B$7)/(1+Ft!B$39*($A221-Ft!B$2)^2)+Ft!B$7*EXP(Ft!B$40*($A221-Ft!B$2)^2)))</f>
        <v>8.2432903228877811E-85</v>
      </c>
      <c r="G221" s="3">
        <f>IF(($A221-Ft!C$2)&lt;0,Ft!C$3*((1-Ft!C$6)/(1+Ft!C$37*($A221-Ft!C$2)^2)+Ft!C$6*EXP(Ft!C$38*($A221-Ft!C$2)^2)),Ft!C$3*((1-Ft!C$7)/(1+Ft!C$39*($A221-Ft!C$2)^2)+Ft!C$7*EXP(Ft!C$40*($A221-Ft!C$2)^2)))</f>
        <v>6.2945986910644472E-3</v>
      </c>
      <c r="H221" s="3">
        <f>IF(($A221-Ft!D$2)&lt;0,Ft!D$3*((1-Ft!D$6)/(1+Ft!D$37*($A221-Ft!D$2)^2)+Ft!D$6*EXP(Ft!D$38*($A221-Ft!D$2)^2)),Ft!D$3*((1-Ft!D$7)/(1+Ft!D$39*($A221-Ft!D$2)^2)+Ft!D$7*EXP(Ft!D$40*($A221-Ft!D$2)^2)))</f>
        <v>18.610865085623374</v>
      </c>
      <c r="I221" s="3">
        <f>IF(($A221-Ft!E$2)&lt;0,Ft!E$3*((1-Ft!E$6)/(1+Ft!E$37*($A221-Ft!E$2)^2)+Ft!E$6*EXP(Ft!E$38*($A221-Ft!E$2)^2)),Ft!E$3*((1-Ft!E$7)/(1+Ft!E$39*($A221-Ft!E$2)^2)+Ft!E$7*EXP(Ft!E$40*($A221-Ft!E$2)^2)))</f>
        <v>0.37630194296516212</v>
      </c>
      <c r="J221" s="3">
        <f>IF(($A221-Ft!F$2)&lt;0,Ft!F$3*((1-Ft!F$6)/(1+Ft!F$37*($A221-Ft!F$2)^2)+Ft!F$6*EXP(Ft!F$38*($A221-Ft!F$2)^2)),Ft!F$3*((1-Ft!F$7)/(1+Ft!F$39*($A221-Ft!F$2)^2)+Ft!F$7*EXP(Ft!F$40*($A221-Ft!F$2)^2)))</f>
        <v>4.6762469509790115E-37</v>
      </c>
      <c r="K221" s="3">
        <f>IF(($A221-Ft!G$2)&lt;0,Ft!G$3*((1-Ft!G$6)/(1+Ft!G$37*($A221-Ft!G$2)^2)+Ft!G$6*EXP(Ft!G$38*($A221-Ft!G$2)^2)),Ft!G$3*((1-Ft!G$7)/(1+Ft!G$39*($A221-Ft!G$2)^2)+Ft!G$7*EXP(Ft!G$40*($A221-Ft!G$2)^2)))</f>
        <v>3.0312318464649055E-152</v>
      </c>
      <c r="L221" s="3">
        <f>IF(($A221-Ft!H$2)&lt;0,Ft!H$3*((1-Ft!H$6)/(1+Ft!H$37*($A221-Ft!H$2)^2)+Ft!H$6*EXP(Ft!H$38*($A221-Ft!H$2)^2)),Ft!H$3*((1-Ft!H$7)/(1+Ft!H$39*($A221-Ft!H$2)^2)+Ft!H$7*EXP(Ft!H$40*($A221-Ft!H$2)^2)))</f>
        <v>0</v>
      </c>
      <c r="M221" s="3">
        <f>IF(($A221-Ft!I$2)&lt;0,Ft!I$3*((1-Ft!I$6)/(1+Ft!I$37*($A221-Ft!I$2)^2)+Ft!I$6*EXP(Ft!I$38*($A221-Ft!I$2)^2)),Ft!I$3*((1-Ft!I$7)/(1+Ft!I$39*($A221-Ft!I$2)^2)+Ft!I$7*EXP(Ft!I$40*($A221-Ft!I$2)^2)))</f>
        <v>0</v>
      </c>
      <c r="N221" s="3">
        <f>IF(($A221-Ft!J$2)&lt;0,Ft!J$3*((1-Ft!J$6)/(1+Ft!J$37*($A221-Ft!J$2)^2)+Ft!J$6*EXP(Ft!J$38*($A221-Ft!J$2)^2)),Ft!J$3*((1-Ft!J$7)/(1+Ft!J$39*($A221-Ft!J$2)^2)+Ft!J$7*EXP(Ft!J$40*($A221-Ft!J$2)^2)))</f>
        <v>0</v>
      </c>
      <c r="O221" s="3">
        <f>IF(($A221-Ft!K$2)&lt;0,Ft!K$3*((1-Ft!K$6)/(1+Ft!K$37*($A221-Ft!K$2)^2)+Ft!K$6*EXP(Ft!K$38*($A221-Ft!K$2)^2)),Ft!K$3*((1-Ft!K$7)/(1+Ft!K$39*($A221-Ft!K$2)^2)+Ft!K$7*EXP(Ft!K$40*($A221-Ft!K$2)^2)))</f>
        <v>0</v>
      </c>
      <c r="P221"/>
      <c r="Q221"/>
    </row>
    <row r="222" spans="1:17">
      <c r="A222">
        <v>440</v>
      </c>
      <c r="B222">
        <v>19.06794582804099</v>
      </c>
      <c r="C222" s="6">
        <f t="shared" si="7"/>
        <v>19.028403548966335</v>
      </c>
      <c r="D222" s="19">
        <f t="shared" si="8"/>
        <v>1.5635918344179616E-3</v>
      </c>
      <c r="E222" s="3">
        <f>Ft!$B$12+Ft!$B$14*(Data!A222-Vars!$B$3)</f>
        <v>0</v>
      </c>
      <c r="F222" s="3">
        <f>IF(($A222-Ft!B$2)&lt;0,Ft!B$3*((1-Ft!B$6)/(1+Ft!B$37*($A222-Ft!B$2)^2)+Ft!B$6*EXP(Ft!B$38*($A222-Ft!B$2)^2)),Ft!B$3*((1-Ft!B$7)/(1+Ft!B$39*($A222-Ft!B$2)^2)+Ft!B$7*EXP(Ft!B$40*($A222-Ft!B$2)^2)))</f>
        <v>1.1272751685232849E-85</v>
      </c>
      <c r="G222" s="3">
        <f>IF(($A222-Ft!C$2)&lt;0,Ft!C$3*((1-Ft!C$6)/(1+Ft!C$37*($A222-Ft!C$2)^2)+Ft!C$6*EXP(Ft!C$38*($A222-Ft!C$2)^2)),Ft!C$3*((1-Ft!C$7)/(1+Ft!C$39*($A222-Ft!C$2)^2)+Ft!C$7*EXP(Ft!C$40*($A222-Ft!C$2)^2)))</f>
        <v>5.7095939871777681E-3</v>
      </c>
      <c r="H222" s="3">
        <f>IF(($A222-Ft!D$2)&lt;0,Ft!D$3*((1-Ft!D$6)/(1+Ft!D$37*($A222-Ft!D$2)^2)+Ft!D$6*EXP(Ft!D$38*($A222-Ft!D$2)^2)),Ft!D$3*((1-Ft!D$7)/(1+Ft!D$39*($A222-Ft!D$2)^2)+Ft!D$7*EXP(Ft!D$40*($A222-Ft!D$2)^2)))</f>
        <v>18.631579966238736</v>
      </c>
      <c r="I222" s="3">
        <f>IF(($A222-Ft!E$2)&lt;0,Ft!E$3*((1-Ft!E$6)/(1+Ft!E$37*($A222-Ft!E$2)^2)+Ft!E$6*EXP(Ft!E$38*($A222-Ft!E$2)^2)),Ft!E$3*((1-Ft!E$7)/(1+Ft!E$39*($A222-Ft!E$2)^2)+Ft!E$7*EXP(Ft!E$40*($A222-Ft!E$2)^2)))</f>
        <v>0.39111398874042319</v>
      </c>
      <c r="J222" s="3">
        <f>IF(($A222-Ft!F$2)&lt;0,Ft!F$3*((1-Ft!F$6)/(1+Ft!F$37*($A222-Ft!F$2)^2)+Ft!F$6*EXP(Ft!F$38*($A222-Ft!F$2)^2)),Ft!F$3*((1-Ft!F$7)/(1+Ft!F$39*($A222-Ft!F$2)^2)+Ft!F$7*EXP(Ft!F$40*($A222-Ft!F$2)^2)))</f>
        <v>8.5601825974282162E-37</v>
      </c>
      <c r="K222" s="3">
        <f>IF(($A222-Ft!G$2)&lt;0,Ft!G$3*((1-Ft!G$6)/(1+Ft!G$37*($A222-Ft!G$2)^2)+Ft!G$6*EXP(Ft!G$38*($A222-Ft!G$2)^2)),Ft!G$3*((1-Ft!G$7)/(1+Ft!G$39*($A222-Ft!G$2)^2)+Ft!G$7*EXP(Ft!G$40*($A222-Ft!G$2)^2)))</f>
        <v>3.0412875145799464E-151</v>
      </c>
      <c r="L222" s="3">
        <f>IF(($A222-Ft!H$2)&lt;0,Ft!H$3*((1-Ft!H$6)/(1+Ft!H$37*($A222-Ft!H$2)^2)+Ft!H$6*EXP(Ft!H$38*($A222-Ft!H$2)^2)),Ft!H$3*((1-Ft!H$7)/(1+Ft!H$39*($A222-Ft!H$2)^2)+Ft!H$7*EXP(Ft!H$40*($A222-Ft!H$2)^2)))</f>
        <v>0</v>
      </c>
      <c r="M222" s="3">
        <f>IF(($A222-Ft!I$2)&lt;0,Ft!I$3*((1-Ft!I$6)/(1+Ft!I$37*($A222-Ft!I$2)^2)+Ft!I$6*EXP(Ft!I$38*($A222-Ft!I$2)^2)),Ft!I$3*((1-Ft!I$7)/(1+Ft!I$39*($A222-Ft!I$2)^2)+Ft!I$7*EXP(Ft!I$40*($A222-Ft!I$2)^2)))</f>
        <v>0</v>
      </c>
      <c r="N222" s="3">
        <f>IF(($A222-Ft!J$2)&lt;0,Ft!J$3*((1-Ft!J$6)/(1+Ft!J$37*($A222-Ft!J$2)^2)+Ft!J$6*EXP(Ft!J$38*($A222-Ft!J$2)^2)),Ft!J$3*((1-Ft!J$7)/(1+Ft!J$39*($A222-Ft!J$2)^2)+Ft!J$7*EXP(Ft!J$40*($A222-Ft!J$2)^2)))</f>
        <v>0</v>
      </c>
      <c r="O222" s="3">
        <f>IF(($A222-Ft!K$2)&lt;0,Ft!K$3*((1-Ft!K$6)/(1+Ft!K$37*($A222-Ft!K$2)^2)+Ft!K$6*EXP(Ft!K$38*($A222-Ft!K$2)^2)),Ft!K$3*((1-Ft!K$7)/(1+Ft!K$39*($A222-Ft!K$2)^2)+Ft!K$7*EXP(Ft!K$40*($A222-Ft!K$2)^2)))</f>
        <v>0</v>
      </c>
      <c r="P222"/>
      <c r="Q222"/>
    </row>
    <row r="223" spans="1:17">
      <c r="A223">
        <v>442</v>
      </c>
      <c r="B223">
        <v>19.091807268585001</v>
      </c>
      <c r="C223" s="6">
        <f t="shared" si="7"/>
        <v>19.06123941262646</v>
      </c>
      <c r="D223" s="19">
        <f t="shared" si="8"/>
        <v>9.343938179021072E-4</v>
      </c>
      <c r="E223" s="3">
        <f>Ft!$B$12+Ft!$B$14*(Data!A223-Vars!$B$3)</f>
        <v>0</v>
      </c>
      <c r="F223" s="3">
        <f>IF(($A223-Ft!B$2)&lt;0,Ft!B$3*((1-Ft!B$6)/(1+Ft!B$37*($A223-Ft!B$2)^2)+Ft!B$6*EXP(Ft!B$38*($A223-Ft!B$2)^2)),Ft!B$3*((1-Ft!B$7)/(1+Ft!B$39*($A223-Ft!B$2)^2)+Ft!B$7*EXP(Ft!B$40*($A223-Ft!B$2)^2)))</f>
        <v>1.5260486053270903E-86</v>
      </c>
      <c r="G223" s="3">
        <f>IF(($A223-Ft!C$2)&lt;0,Ft!C$3*((1-Ft!C$6)/(1+Ft!C$37*($A223-Ft!C$2)^2)+Ft!C$6*EXP(Ft!C$38*($A223-Ft!C$2)^2)),Ft!C$3*((1-Ft!C$7)/(1+Ft!C$39*($A223-Ft!C$2)^2)+Ft!C$7*EXP(Ft!C$40*($A223-Ft!C$2)^2)))</f>
        <v>5.1755956348498852E-3</v>
      </c>
      <c r="H223" s="3">
        <f>IF(($A223-Ft!D$2)&lt;0,Ft!D$3*((1-Ft!D$6)/(1+Ft!D$37*($A223-Ft!D$2)^2)+Ft!D$6*EXP(Ft!D$38*($A223-Ft!D$2)^2)),Ft!D$3*((1-Ft!D$7)/(1+Ft!D$39*($A223-Ft!D$2)^2)+Ft!D$7*EXP(Ft!D$40*($A223-Ft!D$2)^2)))</f>
        <v>18.649636594458208</v>
      </c>
      <c r="I223" s="3">
        <f>IF(($A223-Ft!E$2)&lt;0,Ft!E$3*((1-Ft!E$6)/(1+Ft!E$37*($A223-Ft!E$2)^2)+Ft!E$6*EXP(Ft!E$38*($A223-Ft!E$2)^2)),Ft!E$3*((1-Ft!E$7)/(1+Ft!E$39*($A223-Ft!E$2)^2)+Ft!E$7*EXP(Ft!E$40*($A223-Ft!E$2)^2)))</f>
        <v>0.40642722253340058</v>
      </c>
      <c r="J223" s="3">
        <f>IF(($A223-Ft!F$2)&lt;0,Ft!F$3*((1-Ft!F$6)/(1+Ft!F$37*($A223-Ft!F$2)^2)+Ft!F$6*EXP(Ft!F$38*($A223-Ft!F$2)^2)),Ft!F$3*((1-Ft!F$7)/(1+Ft!F$39*($A223-Ft!F$2)^2)+Ft!F$7*EXP(Ft!F$40*($A223-Ft!F$2)^2)))</f>
        <v>1.5636296373972277E-36</v>
      </c>
      <c r="K223" s="3">
        <f>IF(($A223-Ft!G$2)&lt;0,Ft!G$3*((1-Ft!G$6)/(1+Ft!G$37*($A223-Ft!G$2)^2)+Ft!G$6*EXP(Ft!G$38*($A223-Ft!G$2)^2)),Ft!G$3*((1-Ft!G$7)/(1+Ft!G$39*($A223-Ft!G$2)^2)+Ft!G$7*EXP(Ft!G$40*($A223-Ft!G$2)^2)))</f>
        <v>3.0282570375864974E-150</v>
      </c>
      <c r="L223" s="3">
        <f>IF(($A223-Ft!H$2)&lt;0,Ft!H$3*((1-Ft!H$6)/(1+Ft!H$37*($A223-Ft!H$2)^2)+Ft!H$6*EXP(Ft!H$38*($A223-Ft!H$2)^2)),Ft!H$3*((1-Ft!H$7)/(1+Ft!H$39*($A223-Ft!H$2)^2)+Ft!H$7*EXP(Ft!H$40*($A223-Ft!H$2)^2)))</f>
        <v>0</v>
      </c>
      <c r="M223" s="3">
        <f>IF(($A223-Ft!I$2)&lt;0,Ft!I$3*((1-Ft!I$6)/(1+Ft!I$37*($A223-Ft!I$2)^2)+Ft!I$6*EXP(Ft!I$38*($A223-Ft!I$2)^2)),Ft!I$3*((1-Ft!I$7)/(1+Ft!I$39*($A223-Ft!I$2)^2)+Ft!I$7*EXP(Ft!I$40*($A223-Ft!I$2)^2)))</f>
        <v>0</v>
      </c>
      <c r="N223" s="3">
        <f>IF(($A223-Ft!J$2)&lt;0,Ft!J$3*((1-Ft!J$6)/(1+Ft!J$37*($A223-Ft!J$2)^2)+Ft!J$6*EXP(Ft!J$38*($A223-Ft!J$2)^2)),Ft!J$3*((1-Ft!J$7)/(1+Ft!J$39*($A223-Ft!J$2)^2)+Ft!J$7*EXP(Ft!J$40*($A223-Ft!J$2)^2)))</f>
        <v>0</v>
      </c>
      <c r="O223" s="3">
        <f>IF(($A223-Ft!K$2)&lt;0,Ft!K$3*((1-Ft!K$6)/(1+Ft!K$37*($A223-Ft!K$2)^2)+Ft!K$6*EXP(Ft!K$38*($A223-Ft!K$2)^2)),Ft!K$3*((1-Ft!K$7)/(1+Ft!K$39*($A223-Ft!K$2)^2)+Ft!K$7*EXP(Ft!K$40*($A223-Ft!K$2)^2)))</f>
        <v>0</v>
      </c>
      <c r="P223"/>
      <c r="Q223"/>
    </row>
    <row r="224" spans="1:17">
      <c r="A224">
        <v>444</v>
      </c>
      <c r="B224">
        <v>19.110970635931992</v>
      </c>
      <c r="C224" s="6">
        <f t="shared" si="7"/>
        <v>19.091970674686461</v>
      </c>
      <c r="D224" s="19">
        <f t="shared" si="8"/>
        <v>3.6099852733165226E-4</v>
      </c>
      <c r="E224" s="3">
        <f>Ft!$B$12+Ft!$B$14*(Data!A224-Vars!$B$3)</f>
        <v>0</v>
      </c>
      <c r="F224" s="3">
        <f>IF(($A224-Ft!B$2)&lt;0,Ft!B$3*((1-Ft!B$6)/(1+Ft!B$37*($A224-Ft!B$2)^2)+Ft!B$6*EXP(Ft!B$38*($A224-Ft!B$2)^2)),Ft!B$3*((1-Ft!B$7)/(1+Ft!B$39*($A224-Ft!B$2)^2)+Ft!B$7*EXP(Ft!B$40*($A224-Ft!B$2)^2)))</f>
        <v>2.0451062362052347E-87</v>
      </c>
      <c r="G224" s="3">
        <f>IF(($A224-Ft!C$2)&lt;0,Ft!C$3*((1-Ft!C$6)/(1+Ft!C$37*($A224-Ft!C$2)^2)+Ft!C$6*EXP(Ft!C$38*($A224-Ft!C$2)^2)),Ft!C$3*((1-Ft!C$7)/(1+Ft!C$39*($A224-Ft!C$2)^2)+Ft!C$7*EXP(Ft!C$40*($A224-Ft!C$2)^2)))</f>
        <v>4.6884941844317716E-3</v>
      </c>
      <c r="H224" s="3">
        <f>IF(($A224-Ft!D$2)&lt;0,Ft!D$3*((1-Ft!D$6)/(1+Ft!D$37*($A224-Ft!D$2)^2)+Ft!D$6*EXP(Ft!D$38*($A224-Ft!D$2)^2)),Ft!D$3*((1-Ft!D$7)/(1+Ft!D$39*($A224-Ft!D$2)^2)+Ft!D$7*EXP(Ft!D$40*($A224-Ft!D$2)^2)))</f>
        <v>18.665027200189733</v>
      </c>
      <c r="I224" s="3">
        <f>IF(($A224-Ft!E$2)&lt;0,Ft!E$3*((1-Ft!E$6)/(1+Ft!E$37*($A224-Ft!E$2)^2)+Ft!E$6*EXP(Ft!E$38*($A224-Ft!E$2)^2)),Ft!E$3*((1-Ft!E$7)/(1+Ft!E$39*($A224-Ft!E$2)^2)+Ft!E$7*EXP(Ft!E$40*($A224-Ft!E$2)^2)))</f>
        <v>0.42225498031229608</v>
      </c>
      <c r="J224" s="3">
        <f>IF(($A224-Ft!F$2)&lt;0,Ft!F$3*((1-Ft!F$6)/(1+Ft!F$37*($A224-Ft!F$2)^2)+Ft!F$6*EXP(Ft!F$38*($A224-Ft!F$2)^2)),Ft!F$3*((1-Ft!F$7)/(1+Ft!F$39*($A224-Ft!F$2)^2)+Ft!F$7*EXP(Ft!F$40*($A224-Ft!F$2)^2)))</f>
        <v>2.8500339442787841E-36</v>
      </c>
      <c r="K224" s="3">
        <f>IF(($A224-Ft!G$2)&lt;0,Ft!G$3*((1-Ft!G$6)/(1+Ft!G$37*($A224-Ft!G$2)^2)+Ft!G$6*EXP(Ft!G$38*($A224-Ft!G$2)^2)),Ft!G$3*((1-Ft!G$7)/(1+Ft!G$39*($A224-Ft!G$2)^2)+Ft!G$7*EXP(Ft!G$40*($A224-Ft!G$2)^2)))</f>
        <v>2.9924363628950492E-149</v>
      </c>
      <c r="L224" s="3">
        <f>IF(($A224-Ft!H$2)&lt;0,Ft!H$3*((1-Ft!H$6)/(1+Ft!H$37*($A224-Ft!H$2)^2)+Ft!H$6*EXP(Ft!H$38*($A224-Ft!H$2)^2)),Ft!H$3*((1-Ft!H$7)/(1+Ft!H$39*($A224-Ft!H$2)^2)+Ft!H$7*EXP(Ft!H$40*($A224-Ft!H$2)^2)))</f>
        <v>0</v>
      </c>
      <c r="M224" s="3">
        <f>IF(($A224-Ft!I$2)&lt;0,Ft!I$3*((1-Ft!I$6)/(1+Ft!I$37*($A224-Ft!I$2)^2)+Ft!I$6*EXP(Ft!I$38*($A224-Ft!I$2)^2)),Ft!I$3*((1-Ft!I$7)/(1+Ft!I$39*($A224-Ft!I$2)^2)+Ft!I$7*EXP(Ft!I$40*($A224-Ft!I$2)^2)))</f>
        <v>0</v>
      </c>
      <c r="N224" s="3">
        <f>IF(($A224-Ft!J$2)&lt;0,Ft!J$3*((1-Ft!J$6)/(1+Ft!J$37*($A224-Ft!J$2)^2)+Ft!J$6*EXP(Ft!J$38*($A224-Ft!J$2)^2)),Ft!J$3*((1-Ft!J$7)/(1+Ft!J$39*($A224-Ft!J$2)^2)+Ft!J$7*EXP(Ft!J$40*($A224-Ft!J$2)^2)))</f>
        <v>0</v>
      </c>
      <c r="O224" s="3">
        <f>IF(($A224-Ft!K$2)&lt;0,Ft!K$3*((1-Ft!K$6)/(1+Ft!K$37*($A224-Ft!K$2)^2)+Ft!K$6*EXP(Ft!K$38*($A224-Ft!K$2)^2)),Ft!K$3*((1-Ft!K$7)/(1+Ft!K$39*($A224-Ft!K$2)^2)+Ft!K$7*EXP(Ft!K$40*($A224-Ft!K$2)^2)))</f>
        <v>0</v>
      </c>
      <c r="P224"/>
      <c r="Q224"/>
    </row>
    <row r="225" spans="1:17">
      <c r="A225">
        <v>446</v>
      </c>
      <c r="B225">
        <v>19.126576781349002</v>
      </c>
      <c r="C225" s="6">
        <f t="shared" si="7"/>
        <v>19.120600437264208</v>
      </c>
      <c r="D225" s="19">
        <f t="shared" si="8"/>
        <v>3.5716688619841279E-5</v>
      </c>
      <c r="E225" s="3">
        <f>Ft!$B$12+Ft!$B$14*(Data!A225-Vars!$B$3)</f>
        <v>0</v>
      </c>
      <c r="F225" s="3">
        <f>IF(($A225-Ft!B$2)&lt;0,Ft!B$3*((1-Ft!B$6)/(1+Ft!B$37*($A225-Ft!B$2)^2)+Ft!B$6*EXP(Ft!B$38*($A225-Ft!B$2)^2)),Ft!B$3*((1-Ft!B$7)/(1+Ft!B$39*($A225-Ft!B$2)^2)+Ft!B$7*EXP(Ft!B$40*($A225-Ft!B$2)^2)))</f>
        <v>2.7131416019092783E-88</v>
      </c>
      <c r="G225" s="3">
        <f>IF(($A225-Ft!C$2)&lt;0,Ft!C$3*((1-Ft!C$6)/(1+Ft!C$37*($A225-Ft!C$2)^2)+Ft!C$6*EXP(Ft!C$38*($A225-Ft!C$2)^2)),Ft!C$3*((1-Ft!C$7)/(1+Ft!C$39*($A225-Ft!C$2)^2)+Ft!C$7*EXP(Ft!C$40*($A225-Ft!C$2)^2)))</f>
        <v>4.2444786913132205E-3</v>
      </c>
      <c r="H225" s="3">
        <f>IF(($A225-Ft!D$2)&lt;0,Ft!D$3*((1-Ft!D$6)/(1+Ft!D$37*($A225-Ft!D$2)^2)+Ft!D$6*EXP(Ft!D$38*($A225-Ft!D$2)^2)),Ft!D$3*((1-Ft!D$7)/(1+Ft!D$39*($A225-Ft!D$2)^2)+Ft!D$7*EXP(Ft!D$40*($A225-Ft!D$2)^2)))</f>
        <v>18.677745156610804</v>
      </c>
      <c r="I225" s="3">
        <f>IF(($A225-Ft!E$2)&lt;0,Ft!E$3*((1-Ft!E$6)/(1+Ft!E$37*($A225-Ft!E$2)^2)+Ft!E$6*EXP(Ft!E$38*($A225-Ft!E$2)^2)),Ft!E$3*((1-Ft!E$7)/(1+Ft!E$39*($A225-Ft!E$2)^2)+Ft!E$7*EXP(Ft!E$40*($A225-Ft!E$2)^2)))</f>
        <v>0.4386108019620919</v>
      </c>
      <c r="J225" s="3">
        <f>IF(($A225-Ft!F$2)&lt;0,Ft!F$3*((1-Ft!F$6)/(1+Ft!F$37*($A225-Ft!F$2)^2)+Ft!F$6*EXP(Ft!F$38*($A225-Ft!F$2)^2)),Ft!F$3*((1-Ft!F$7)/(1+Ft!F$39*($A225-Ft!F$2)^2)+Ft!F$7*EXP(Ft!F$40*($A225-Ft!F$2)^2)))</f>
        <v>5.183599576164263E-36</v>
      </c>
      <c r="K225" s="3">
        <f>IF(($A225-Ft!G$2)&lt;0,Ft!G$3*((1-Ft!G$6)/(1+Ft!G$37*($A225-Ft!G$2)^2)+Ft!G$6*EXP(Ft!G$38*($A225-Ft!G$2)^2)),Ft!G$3*((1-Ft!G$7)/(1+Ft!G$39*($A225-Ft!G$2)^2)+Ft!G$7*EXP(Ft!G$40*($A225-Ft!G$2)^2)))</f>
        <v>2.9346346692854479E-148</v>
      </c>
      <c r="L225" s="3">
        <f>IF(($A225-Ft!H$2)&lt;0,Ft!H$3*((1-Ft!H$6)/(1+Ft!H$37*($A225-Ft!H$2)^2)+Ft!H$6*EXP(Ft!H$38*($A225-Ft!H$2)^2)),Ft!H$3*((1-Ft!H$7)/(1+Ft!H$39*($A225-Ft!H$2)^2)+Ft!H$7*EXP(Ft!H$40*($A225-Ft!H$2)^2)))</f>
        <v>0</v>
      </c>
      <c r="M225" s="3">
        <f>IF(($A225-Ft!I$2)&lt;0,Ft!I$3*((1-Ft!I$6)/(1+Ft!I$37*($A225-Ft!I$2)^2)+Ft!I$6*EXP(Ft!I$38*($A225-Ft!I$2)^2)),Ft!I$3*((1-Ft!I$7)/(1+Ft!I$39*($A225-Ft!I$2)^2)+Ft!I$7*EXP(Ft!I$40*($A225-Ft!I$2)^2)))</f>
        <v>0</v>
      </c>
      <c r="N225" s="3">
        <f>IF(($A225-Ft!J$2)&lt;0,Ft!J$3*((1-Ft!J$6)/(1+Ft!J$37*($A225-Ft!J$2)^2)+Ft!J$6*EXP(Ft!J$38*($A225-Ft!J$2)^2)),Ft!J$3*((1-Ft!J$7)/(1+Ft!J$39*($A225-Ft!J$2)^2)+Ft!J$7*EXP(Ft!J$40*($A225-Ft!J$2)^2)))</f>
        <v>0</v>
      </c>
      <c r="O225" s="3">
        <f>IF(($A225-Ft!K$2)&lt;0,Ft!K$3*((1-Ft!K$6)/(1+Ft!K$37*($A225-Ft!K$2)^2)+Ft!K$6*EXP(Ft!K$38*($A225-Ft!K$2)^2)),Ft!K$3*((1-Ft!K$7)/(1+Ft!K$39*($A225-Ft!K$2)^2)+Ft!K$7*EXP(Ft!K$40*($A225-Ft!K$2)^2)))</f>
        <v>0</v>
      </c>
      <c r="P225"/>
      <c r="Q225"/>
    </row>
    <row r="226" spans="1:17">
      <c r="A226">
        <v>448</v>
      </c>
      <c r="B226">
        <v>19.139766556105002</v>
      </c>
      <c r="C226" s="6">
        <f t="shared" si="7"/>
        <v>19.147133431084786</v>
      </c>
      <c r="D226" s="19">
        <f t="shared" si="8"/>
        <v>5.4270846967766687E-5</v>
      </c>
      <c r="E226" s="3">
        <f>Ft!$B$12+Ft!$B$14*(Data!A226-Vars!$B$3)</f>
        <v>0</v>
      </c>
      <c r="F226" s="3">
        <f>IF(($A226-Ft!B$2)&lt;0,Ft!B$3*((1-Ft!B$6)/(1+Ft!B$37*($A226-Ft!B$2)^2)+Ft!B$6*EXP(Ft!B$38*($A226-Ft!B$2)^2)),Ft!B$3*((1-Ft!B$7)/(1+Ft!B$39*($A226-Ft!B$2)^2)+Ft!B$7*EXP(Ft!B$40*($A226-Ft!B$2)^2)))</f>
        <v>3.5631830128806047E-89</v>
      </c>
      <c r="G226" s="3">
        <f>IF(($A226-Ft!C$2)&lt;0,Ft!C$3*((1-Ft!C$6)/(1+Ft!C$37*($A226-Ft!C$2)^2)+Ft!C$6*EXP(Ft!C$38*($A226-Ft!C$2)^2)),Ft!C$3*((1-Ft!C$7)/(1+Ft!C$39*($A226-Ft!C$2)^2)+Ft!C$7*EXP(Ft!C$40*($A226-Ft!C$2)^2)))</f>
        <v>3.8400180504346505E-3</v>
      </c>
      <c r="H226" s="3">
        <f>IF(($A226-Ft!D$2)&lt;0,Ft!D$3*((1-Ft!D$6)/(1+Ft!D$37*($A226-Ft!D$2)^2)+Ft!D$6*EXP(Ft!D$38*($A226-Ft!D$2)^2)),Ft!D$3*((1-Ft!D$7)/(1+Ft!D$39*($A226-Ft!D$2)^2)+Ft!D$7*EXP(Ft!D$40*($A226-Ft!D$2)^2)))</f>
        <v>18.687784984923844</v>
      </c>
      <c r="I226" s="3">
        <f>IF(($A226-Ft!E$2)&lt;0,Ft!E$3*((1-Ft!E$6)/(1+Ft!E$37*($A226-Ft!E$2)^2)+Ft!E$6*EXP(Ft!E$38*($A226-Ft!E$2)^2)),Ft!E$3*((1-Ft!E$7)/(1+Ft!E$39*($A226-Ft!E$2)^2)+Ft!E$7*EXP(Ft!E$40*($A226-Ft!E$2)^2)))</f>
        <v>0.45550842811050557</v>
      </c>
      <c r="J226" s="3">
        <f>IF(($A226-Ft!F$2)&lt;0,Ft!F$3*((1-Ft!F$6)/(1+Ft!F$37*($A226-Ft!F$2)^2)+Ft!F$6*EXP(Ft!F$38*($A226-Ft!F$2)^2)),Ft!F$3*((1-Ft!F$7)/(1+Ft!F$39*($A226-Ft!F$2)^2)+Ft!F$7*EXP(Ft!F$40*($A226-Ft!F$2)^2)))</f>
        <v>9.4075846100825551E-36</v>
      </c>
      <c r="K226" s="3">
        <f>IF(($A226-Ft!G$2)&lt;0,Ft!G$3*((1-Ft!G$6)/(1+Ft!G$37*($A226-Ft!G$2)^2)+Ft!G$6*EXP(Ft!G$38*($A226-Ft!G$2)^2)),Ft!G$3*((1-Ft!G$7)/(1+Ft!G$39*($A226-Ft!G$2)^2)+Ft!G$7*EXP(Ft!G$40*($A226-Ft!G$2)^2)))</f>
        <v>2.8561439786481954E-147</v>
      </c>
      <c r="L226" s="3">
        <f>IF(($A226-Ft!H$2)&lt;0,Ft!H$3*((1-Ft!H$6)/(1+Ft!H$37*($A226-Ft!H$2)^2)+Ft!H$6*EXP(Ft!H$38*($A226-Ft!H$2)^2)),Ft!H$3*((1-Ft!H$7)/(1+Ft!H$39*($A226-Ft!H$2)^2)+Ft!H$7*EXP(Ft!H$40*($A226-Ft!H$2)^2)))</f>
        <v>0</v>
      </c>
      <c r="M226" s="3">
        <f>IF(($A226-Ft!I$2)&lt;0,Ft!I$3*((1-Ft!I$6)/(1+Ft!I$37*($A226-Ft!I$2)^2)+Ft!I$6*EXP(Ft!I$38*($A226-Ft!I$2)^2)),Ft!I$3*((1-Ft!I$7)/(1+Ft!I$39*($A226-Ft!I$2)^2)+Ft!I$7*EXP(Ft!I$40*($A226-Ft!I$2)^2)))</f>
        <v>0</v>
      </c>
      <c r="N226" s="3">
        <f>IF(($A226-Ft!J$2)&lt;0,Ft!J$3*((1-Ft!J$6)/(1+Ft!J$37*($A226-Ft!J$2)^2)+Ft!J$6*EXP(Ft!J$38*($A226-Ft!J$2)^2)),Ft!J$3*((1-Ft!J$7)/(1+Ft!J$39*($A226-Ft!J$2)^2)+Ft!J$7*EXP(Ft!J$40*($A226-Ft!J$2)^2)))</f>
        <v>0</v>
      </c>
      <c r="O226" s="3">
        <f>IF(($A226-Ft!K$2)&lt;0,Ft!K$3*((1-Ft!K$6)/(1+Ft!K$37*($A226-Ft!K$2)^2)+Ft!K$6*EXP(Ft!K$38*($A226-Ft!K$2)^2)),Ft!K$3*((1-Ft!K$7)/(1+Ft!K$39*($A226-Ft!K$2)^2)+Ft!K$7*EXP(Ft!K$40*($A226-Ft!K$2)^2)))</f>
        <v>0</v>
      </c>
      <c r="P226"/>
      <c r="Q226"/>
    </row>
    <row r="227" spans="1:17">
      <c r="A227">
        <v>450</v>
      </c>
      <c r="B227">
        <v>19.151680811467998</v>
      </c>
      <c r="C227" s="6">
        <f t="shared" si="7"/>
        <v>19.171575998142295</v>
      </c>
      <c r="D227" s="19">
        <f t="shared" si="8"/>
        <v>3.958184528051388E-4</v>
      </c>
      <c r="E227" s="3">
        <f>Ft!$B$12+Ft!$B$14*(Data!A227-Vars!$B$3)</f>
        <v>0</v>
      </c>
      <c r="F227" s="3">
        <f>IF(($A227-Ft!B$2)&lt;0,Ft!B$3*((1-Ft!B$6)/(1+Ft!B$37*($A227-Ft!B$2)^2)+Ft!B$6*EXP(Ft!B$38*($A227-Ft!B$2)^2)),Ft!B$3*((1-Ft!B$7)/(1+Ft!B$39*($A227-Ft!B$2)^2)+Ft!B$7*EXP(Ft!B$40*($A227-Ft!B$2)^2)))</f>
        <v>4.632472807866056E-90</v>
      </c>
      <c r="G227" s="3">
        <f>IF(($A227-Ft!C$2)&lt;0,Ft!C$3*((1-Ft!C$6)/(1+Ft!C$37*($A227-Ft!C$2)^2)+Ft!C$6*EXP(Ft!C$38*($A227-Ft!C$2)^2)),Ft!C$3*((1-Ft!C$7)/(1+Ft!C$39*($A227-Ft!C$2)^2)+Ft!C$7*EXP(Ft!C$40*($A227-Ft!C$2)^2)))</f>
        <v>3.4718432278906873E-3</v>
      </c>
      <c r="H227" s="3">
        <f>IF(($A227-Ft!D$2)&lt;0,Ft!D$3*((1-Ft!D$6)/(1+Ft!D$37*($A227-Ft!D$2)^2)+Ft!D$6*EXP(Ft!D$38*($A227-Ft!D$2)^2)),Ft!D$3*((1-Ft!D$7)/(1+Ft!D$39*($A227-Ft!D$2)^2)+Ft!D$7*EXP(Ft!D$40*($A227-Ft!D$2)^2)))</f>
        <v>18.69514235828969</v>
      </c>
      <c r="I227" s="3">
        <f>IF(($A227-Ft!E$2)&lt;0,Ft!E$3*((1-Ft!E$6)/(1+Ft!E$37*($A227-Ft!E$2)^2)+Ft!E$6*EXP(Ft!E$38*($A227-Ft!E$2)^2)),Ft!E$3*((1-Ft!E$7)/(1+Ft!E$39*($A227-Ft!E$2)^2)+Ft!E$7*EXP(Ft!E$40*($A227-Ft!E$2)^2)))</f>
        <v>0.47296179662471127</v>
      </c>
      <c r="J227" s="3">
        <f>IF(($A227-Ft!F$2)&lt;0,Ft!F$3*((1-Ft!F$6)/(1+Ft!F$37*($A227-Ft!F$2)^2)+Ft!F$6*EXP(Ft!F$38*($A227-Ft!F$2)^2)),Ft!F$3*((1-Ft!F$7)/(1+Ft!F$39*($A227-Ft!F$2)^2)+Ft!F$7*EXP(Ft!F$40*($A227-Ft!F$2)^2)))</f>
        <v>1.7036881175880327E-35</v>
      </c>
      <c r="K227" s="3">
        <f>IF(($A227-Ft!G$2)&lt;0,Ft!G$3*((1-Ft!G$6)/(1+Ft!G$37*($A227-Ft!G$2)^2)+Ft!G$6*EXP(Ft!G$38*($A227-Ft!G$2)^2)),Ft!G$3*((1-Ft!G$7)/(1+Ft!G$39*($A227-Ft!G$2)^2)+Ft!G$7*EXP(Ft!G$40*($A227-Ft!G$2)^2)))</f>
        <v>2.7586911474277715E-146</v>
      </c>
      <c r="L227" s="3">
        <f>IF(($A227-Ft!H$2)&lt;0,Ft!H$3*((1-Ft!H$6)/(1+Ft!H$37*($A227-Ft!H$2)^2)+Ft!H$6*EXP(Ft!H$38*($A227-Ft!H$2)^2)),Ft!H$3*((1-Ft!H$7)/(1+Ft!H$39*($A227-Ft!H$2)^2)+Ft!H$7*EXP(Ft!H$40*($A227-Ft!H$2)^2)))</f>
        <v>0</v>
      </c>
      <c r="M227" s="3">
        <f>IF(($A227-Ft!I$2)&lt;0,Ft!I$3*((1-Ft!I$6)/(1+Ft!I$37*($A227-Ft!I$2)^2)+Ft!I$6*EXP(Ft!I$38*($A227-Ft!I$2)^2)),Ft!I$3*((1-Ft!I$7)/(1+Ft!I$39*($A227-Ft!I$2)^2)+Ft!I$7*EXP(Ft!I$40*($A227-Ft!I$2)^2)))</f>
        <v>0</v>
      </c>
      <c r="N227" s="3">
        <f>IF(($A227-Ft!J$2)&lt;0,Ft!J$3*((1-Ft!J$6)/(1+Ft!J$37*($A227-Ft!J$2)^2)+Ft!J$6*EXP(Ft!J$38*($A227-Ft!J$2)^2)),Ft!J$3*((1-Ft!J$7)/(1+Ft!J$39*($A227-Ft!J$2)^2)+Ft!J$7*EXP(Ft!J$40*($A227-Ft!J$2)^2)))</f>
        <v>0</v>
      </c>
      <c r="O227" s="3">
        <f>IF(($A227-Ft!K$2)&lt;0,Ft!K$3*((1-Ft!K$6)/(1+Ft!K$37*($A227-Ft!K$2)^2)+Ft!K$6*EXP(Ft!K$38*($A227-Ft!K$2)^2)),Ft!K$3*((1-Ft!K$7)/(1+Ft!K$39*($A227-Ft!K$2)^2)+Ft!K$7*EXP(Ft!K$40*($A227-Ft!K$2)^2)))</f>
        <v>0</v>
      </c>
      <c r="P227"/>
      <c r="Q227"/>
    </row>
    <row r="228" spans="1:17">
      <c r="A228">
        <v>452</v>
      </c>
      <c r="B228">
        <v>19.163460398705993</v>
      </c>
      <c r="C228" s="6">
        <f t="shared" si="7"/>
        <v>19.193936074076294</v>
      </c>
      <c r="D228" s="19">
        <f t="shared" si="8"/>
        <v>9.2876678927597393E-4</v>
      </c>
      <c r="E228" s="3">
        <f>Ft!$B$12+Ft!$B$14*(Data!A228-Vars!$B$3)</f>
        <v>0</v>
      </c>
      <c r="F228" s="3">
        <f>IF(($A228-Ft!B$2)&lt;0,Ft!B$3*((1-Ft!B$6)/(1+Ft!B$37*($A228-Ft!B$2)^2)+Ft!B$6*EXP(Ft!B$38*($A228-Ft!B$2)^2)),Ft!B$3*((1-Ft!B$7)/(1+Ft!B$39*($A228-Ft!B$2)^2)+Ft!B$7*EXP(Ft!B$40*($A228-Ft!B$2)^2)))</f>
        <v>5.9620650362712217E-91</v>
      </c>
      <c r="G228" s="3">
        <f>IF(($A228-Ft!C$2)&lt;0,Ft!C$3*((1-Ft!C$6)/(1+Ft!C$37*($A228-Ft!C$2)^2)+Ft!C$6*EXP(Ft!C$38*($A228-Ft!C$2)^2)),Ft!C$3*((1-Ft!C$7)/(1+Ft!C$39*($A228-Ft!C$2)^2)+Ft!C$7*EXP(Ft!C$40*($A228-Ft!C$2)^2)))</f>
        <v>3.1369303705577789E-3</v>
      </c>
      <c r="H228" s="3">
        <f>IF(($A228-Ft!D$2)&lt;0,Ft!D$3*((1-Ft!D$6)/(1+Ft!D$37*($A228-Ft!D$2)^2)+Ft!D$6*EXP(Ft!D$38*($A228-Ft!D$2)^2)),Ft!D$3*((1-Ft!D$7)/(1+Ft!D$39*($A228-Ft!D$2)^2)+Ft!D$7*EXP(Ft!D$40*($A228-Ft!D$2)^2)))</f>
        <v>18.699814104935349</v>
      </c>
      <c r="I228" s="3">
        <f>IF(($A228-Ft!E$2)&lt;0,Ft!E$3*((1-Ft!E$6)/(1+Ft!E$37*($A228-Ft!E$2)^2)+Ft!E$6*EXP(Ft!E$38*($A228-Ft!E$2)^2)),Ft!E$3*((1-Ft!E$7)/(1+Ft!E$39*($A228-Ft!E$2)^2)+Ft!E$7*EXP(Ft!E$40*($A228-Ft!E$2)^2)))</f>
        <v>0.49098503877038779</v>
      </c>
      <c r="J228" s="3">
        <f>IF(($A228-Ft!F$2)&lt;0,Ft!F$3*((1-Ft!F$6)/(1+Ft!F$37*($A228-Ft!F$2)^2)+Ft!F$6*EXP(Ft!F$38*($A228-Ft!F$2)^2)),Ft!F$3*((1-Ft!F$7)/(1+Ft!F$39*($A228-Ft!F$2)^2)+Ft!F$7*EXP(Ft!F$40*($A228-Ft!F$2)^2)))</f>
        <v>3.0786997045252508E-35</v>
      </c>
      <c r="K228" s="3">
        <f>IF(($A228-Ft!G$2)&lt;0,Ft!G$3*((1-Ft!G$6)/(1+Ft!G$37*($A228-Ft!G$2)^2)+Ft!G$6*EXP(Ft!G$38*($A228-Ft!G$2)^2)),Ft!G$3*((1-Ft!G$7)/(1+Ft!G$39*($A228-Ft!G$2)^2)+Ft!G$7*EXP(Ft!G$40*($A228-Ft!G$2)^2)))</f>
        <v>2.6443747287350802E-145</v>
      </c>
      <c r="L228" s="3">
        <f>IF(($A228-Ft!H$2)&lt;0,Ft!H$3*((1-Ft!H$6)/(1+Ft!H$37*($A228-Ft!H$2)^2)+Ft!H$6*EXP(Ft!H$38*($A228-Ft!H$2)^2)),Ft!H$3*((1-Ft!H$7)/(1+Ft!H$39*($A228-Ft!H$2)^2)+Ft!H$7*EXP(Ft!H$40*($A228-Ft!H$2)^2)))</f>
        <v>0</v>
      </c>
      <c r="M228" s="3">
        <f>IF(($A228-Ft!I$2)&lt;0,Ft!I$3*((1-Ft!I$6)/(1+Ft!I$37*($A228-Ft!I$2)^2)+Ft!I$6*EXP(Ft!I$38*($A228-Ft!I$2)^2)),Ft!I$3*((1-Ft!I$7)/(1+Ft!I$39*($A228-Ft!I$2)^2)+Ft!I$7*EXP(Ft!I$40*($A228-Ft!I$2)^2)))</f>
        <v>0</v>
      </c>
      <c r="N228" s="3">
        <f>IF(($A228-Ft!J$2)&lt;0,Ft!J$3*((1-Ft!J$6)/(1+Ft!J$37*($A228-Ft!J$2)^2)+Ft!J$6*EXP(Ft!J$38*($A228-Ft!J$2)^2)),Ft!J$3*((1-Ft!J$7)/(1+Ft!J$39*($A228-Ft!J$2)^2)+Ft!J$7*EXP(Ft!J$40*($A228-Ft!J$2)^2)))</f>
        <v>0</v>
      </c>
      <c r="O228" s="3">
        <f>IF(($A228-Ft!K$2)&lt;0,Ft!K$3*((1-Ft!K$6)/(1+Ft!K$37*($A228-Ft!K$2)^2)+Ft!K$6*EXP(Ft!K$38*($A228-Ft!K$2)^2)),Ft!K$3*((1-Ft!K$7)/(1+Ft!K$39*($A228-Ft!K$2)^2)+Ft!K$7*EXP(Ft!K$40*($A228-Ft!K$2)^2)))</f>
        <v>0</v>
      </c>
      <c r="P228"/>
      <c r="Q228"/>
    </row>
    <row r="229" spans="1:17">
      <c r="A229">
        <v>454</v>
      </c>
      <c r="B229">
        <v>19.176246169088998</v>
      </c>
      <c r="C229" s="6">
        <f t="shared" si="7"/>
        <v>19.214223170230294</v>
      </c>
      <c r="D229" s="19">
        <f t="shared" si="8"/>
        <v>1.4422526156860388E-3</v>
      </c>
      <c r="E229" s="3">
        <f>Ft!$B$12+Ft!$B$14*(Data!A229-Vars!$B$3)</f>
        <v>0</v>
      </c>
      <c r="F229" s="3">
        <f>IF(($A229-Ft!B$2)&lt;0,Ft!B$3*((1-Ft!B$6)/(1+Ft!B$37*($A229-Ft!B$2)^2)+Ft!B$6*EXP(Ft!B$38*($A229-Ft!B$2)^2)),Ft!B$3*((1-Ft!B$7)/(1+Ft!B$39*($A229-Ft!B$2)^2)+Ft!B$7*EXP(Ft!B$40*($A229-Ft!B$2)^2)))</f>
        <v>7.5960815835449959E-92</v>
      </c>
      <c r="G229" s="3">
        <f>IF(($A229-Ft!C$2)&lt;0,Ft!C$3*((1-Ft!C$6)/(1+Ft!C$37*($A229-Ft!C$2)^2)+Ft!C$6*EXP(Ft!C$38*($A229-Ft!C$2)^2)),Ft!C$3*((1-Ft!C$7)/(1+Ft!C$39*($A229-Ft!C$2)^2)+Ft!C$7*EXP(Ft!C$40*($A229-Ft!C$2)^2)))</f>
        <v>2.8324847726926556E-3</v>
      </c>
      <c r="H229" s="3">
        <f>IF(($A229-Ft!D$2)&lt;0,Ft!D$3*((1-Ft!D$6)/(1+Ft!D$37*($A229-Ft!D$2)^2)+Ft!D$6*EXP(Ft!D$38*($A229-Ft!D$2)^2)),Ft!D$3*((1-Ft!D$7)/(1+Ft!D$39*($A229-Ft!D$2)^2)+Ft!D$7*EXP(Ft!D$40*($A229-Ft!D$2)^2)))</f>
        <v>18.701798210432788</v>
      </c>
      <c r="I229" s="3">
        <f>IF(($A229-Ft!E$2)&lt;0,Ft!E$3*((1-Ft!E$6)/(1+Ft!E$37*($A229-Ft!E$2)^2)+Ft!E$6*EXP(Ft!E$38*($A229-Ft!E$2)^2)),Ft!E$3*((1-Ft!E$7)/(1+Ft!E$39*($A229-Ft!E$2)^2)+Ft!E$7*EXP(Ft!E$40*($A229-Ft!E$2)^2)))</f>
        <v>0.50959247502481475</v>
      </c>
      <c r="J229" s="3">
        <f>IF(($A229-Ft!F$2)&lt;0,Ft!F$3*((1-Ft!F$6)/(1+Ft!F$37*($A229-Ft!F$2)^2)+Ft!F$6*EXP(Ft!F$38*($A229-Ft!F$2)^2)),Ft!F$3*((1-Ft!F$7)/(1+Ft!F$39*($A229-Ft!F$2)^2)+Ft!F$7*EXP(Ft!F$40*($A229-Ft!F$2)^2)))</f>
        <v>5.5514935524476282E-35</v>
      </c>
      <c r="K229" s="3">
        <f>IF(($A229-Ft!G$2)&lt;0,Ft!G$3*((1-Ft!G$6)/(1+Ft!G$37*($A229-Ft!G$2)^2)+Ft!G$6*EXP(Ft!G$38*($A229-Ft!G$2)^2)),Ft!G$3*((1-Ft!G$7)/(1+Ft!G$39*($A229-Ft!G$2)^2)+Ft!G$7*EXP(Ft!G$40*($A229-Ft!G$2)^2)))</f>
        <v>2.5155899276353043E-144</v>
      </c>
      <c r="L229" s="3">
        <f>IF(($A229-Ft!H$2)&lt;0,Ft!H$3*((1-Ft!H$6)/(1+Ft!H$37*($A229-Ft!H$2)^2)+Ft!H$6*EXP(Ft!H$38*($A229-Ft!H$2)^2)),Ft!H$3*((1-Ft!H$7)/(1+Ft!H$39*($A229-Ft!H$2)^2)+Ft!H$7*EXP(Ft!H$40*($A229-Ft!H$2)^2)))</f>
        <v>0</v>
      </c>
      <c r="M229" s="3">
        <f>IF(($A229-Ft!I$2)&lt;0,Ft!I$3*((1-Ft!I$6)/(1+Ft!I$37*($A229-Ft!I$2)^2)+Ft!I$6*EXP(Ft!I$38*($A229-Ft!I$2)^2)),Ft!I$3*((1-Ft!I$7)/(1+Ft!I$39*($A229-Ft!I$2)^2)+Ft!I$7*EXP(Ft!I$40*($A229-Ft!I$2)^2)))</f>
        <v>0</v>
      </c>
      <c r="N229" s="3">
        <f>IF(($A229-Ft!J$2)&lt;0,Ft!J$3*((1-Ft!J$6)/(1+Ft!J$37*($A229-Ft!J$2)^2)+Ft!J$6*EXP(Ft!J$38*($A229-Ft!J$2)^2)),Ft!J$3*((1-Ft!J$7)/(1+Ft!J$39*($A229-Ft!J$2)^2)+Ft!J$7*EXP(Ft!J$40*($A229-Ft!J$2)^2)))</f>
        <v>0</v>
      </c>
      <c r="O229" s="3">
        <f>IF(($A229-Ft!K$2)&lt;0,Ft!K$3*((1-Ft!K$6)/(1+Ft!K$37*($A229-Ft!K$2)^2)+Ft!K$6*EXP(Ft!K$38*($A229-Ft!K$2)^2)),Ft!K$3*((1-Ft!K$7)/(1+Ft!K$39*($A229-Ft!K$2)^2)+Ft!K$7*EXP(Ft!K$40*($A229-Ft!K$2)^2)))</f>
        <v>0</v>
      </c>
      <c r="P229"/>
      <c r="Q229"/>
    </row>
    <row r="230" spans="1:17">
      <c r="A230">
        <v>456</v>
      </c>
      <c r="B230">
        <v>19.190748727968995</v>
      </c>
      <c r="C230" s="6">
        <f t="shared" si="7"/>
        <v>19.232448355359253</v>
      </c>
      <c r="D230" s="19">
        <f t="shared" si="8"/>
        <v>1.7388589244863837E-3</v>
      </c>
      <c r="E230" s="3">
        <f>Ft!$B$12+Ft!$B$14*(Data!A230-Vars!$B$3)</f>
        <v>0</v>
      </c>
      <c r="F230" s="3">
        <f>IF(($A230-Ft!B$2)&lt;0,Ft!B$3*((1-Ft!B$6)/(1+Ft!B$37*($A230-Ft!B$2)^2)+Ft!B$6*EXP(Ft!B$38*($A230-Ft!B$2)^2)),Ft!B$3*((1-Ft!B$7)/(1+Ft!B$39*($A230-Ft!B$2)^2)+Ft!B$7*EXP(Ft!B$40*($A230-Ft!B$2)^2)))</f>
        <v>9.5805758327523074E-93</v>
      </c>
      <c r="G230" s="3">
        <f>IF(($A230-Ft!C$2)&lt;0,Ft!C$3*((1-Ft!C$6)/(1+Ft!C$37*($A230-Ft!C$2)^2)+Ft!C$6*EXP(Ft!C$38*($A230-Ft!C$2)^2)),Ft!C$3*((1-Ft!C$7)/(1+Ft!C$39*($A230-Ft!C$2)^2)+Ft!C$7*EXP(Ft!C$40*($A230-Ft!C$2)^2)))</f>
        <v>2.555925676756349E-3</v>
      </c>
      <c r="H230" s="3">
        <f>IF(($A230-Ft!D$2)&lt;0,Ft!D$3*((1-Ft!D$6)/(1+Ft!D$37*($A230-Ft!D$2)^2)+Ft!D$6*EXP(Ft!D$38*($A230-Ft!D$2)^2)),Ft!D$3*((1-Ft!D$7)/(1+Ft!D$39*($A230-Ft!D$2)^2)+Ft!D$7*EXP(Ft!D$40*($A230-Ft!D$2)^2)))</f>
        <v>18.701093819146578</v>
      </c>
      <c r="I230" s="3">
        <f>IF(($A230-Ft!E$2)&lt;0,Ft!E$3*((1-Ft!E$6)/(1+Ft!E$37*($A230-Ft!E$2)^2)+Ft!E$6*EXP(Ft!E$38*($A230-Ft!E$2)^2)),Ft!E$3*((1-Ft!E$7)/(1+Ft!E$39*($A230-Ft!E$2)^2)+Ft!E$7*EXP(Ft!E$40*($A230-Ft!E$2)^2)))</f>
        <v>0.52879861053591914</v>
      </c>
      <c r="J230" s="3">
        <f>IF(($A230-Ft!F$2)&lt;0,Ft!F$3*((1-Ft!F$6)/(1+Ft!F$37*($A230-Ft!F$2)^2)+Ft!F$6*EXP(Ft!F$38*($A230-Ft!F$2)^2)),Ft!F$3*((1-Ft!F$7)/(1+Ft!F$39*($A230-Ft!F$2)^2)+Ft!F$7*EXP(Ft!F$40*($A230-Ft!F$2)^2)))</f>
        <v>9.988899040336206E-35</v>
      </c>
      <c r="K230" s="3">
        <f>IF(($A230-Ft!G$2)&lt;0,Ft!G$3*((1-Ft!G$6)/(1+Ft!G$37*($A230-Ft!G$2)^2)+Ft!G$6*EXP(Ft!G$38*($A230-Ft!G$2)^2)),Ft!G$3*((1-Ft!G$7)/(1+Ft!G$39*($A230-Ft!G$2)^2)+Ft!G$7*EXP(Ft!G$40*($A230-Ft!G$2)^2)))</f>
        <v>2.3749453928237217E-143</v>
      </c>
      <c r="L230" s="3">
        <f>IF(($A230-Ft!H$2)&lt;0,Ft!H$3*((1-Ft!H$6)/(1+Ft!H$37*($A230-Ft!H$2)^2)+Ft!H$6*EXP(Ft!H$38*($A230-Ft!H$2)^2)),Ft!H$3*((1-Ft!H$7)/(1+Ft!H$39*($A230-Ft!H$2)^2)+Ft!H$7*EXP(Ft!H$40*($A230-Ft!H$2)^2)))</f>
        <v>0</v>
      </c>
      <c r="M230" s="3">
        <f>IF(($A230-Ft!I$2)&lt;0,Ft!I$3*((1-Ft!I$6)/(1+Ft!I$37*($A230-Ft!I$2)^2)+Ft!I$6*EXP(Ft!I$38*($A230-Ft!I$2)^2)),Ft!I$3*((1-Ft!I$7)/(1+Ft!I$39*($A230-Ft!I$2)^2)+Ft!I$7*EXP(Ft!I$40*($A230-Ft!I$2)^2)))</f>
        <v>0</v>
      </c>
      <c r="N230" s="3">
        <f>IF(($A230-Ft!J$2)&lt;0,Ft!J$3*((1-Ft!J$6)/(1+Ft!J$37*($A230-Ft!J$2)^2)+Ft!J$6*EXP(Ft!J$38*($A230-Ft!J$2)^2)),Ft!J$3*((1-Ft!J$7)/(1+Ft!J$39*($A230-Ft!J$2)^2)+Ft!J$7*EXP(Ft!J$40*($A230-Ft!J$2)^2)))</f>
        <v>0</v>
      </c>
      <c r="O230" s="3">
        <f>IF(($A230-Ft!K$2)&lt;0,Ft!K$3*((1-Ft!K$6)/(1+Ft!K$37*($A230-Ft!K$2)^2)+Ft!K$6*EXP(Ft!K$38*($A230-Ft!K$2)^2)),Ft!K$3*((1-Ft!K$7)/(1+Ft!K$39*($A230-Ft!K$2)^2)+Ft!K$7*EXP(Ft!K$40*($A230-Ft!K$2)^2)))</f>
        <v>0</v>
      </c>
      <c r="P230"/>
      <c r="Q230"/>
    </row>
    <row r="231" spans="1:17">
      <c r="A231">
        <v>458</v>
      </c>
      <c r="B231">
        <v>19.205007897275991</v>
      </c>
      <c r="C231" s="6">
        <f t="shared" si="7"/>
        <v>19.24862423695248</v>
      </c>
      <c r="D231" s="19">
        <f t="shared" si="8"/>
        <v>1.9023850867749298E-3</v>
      </c>
      <c r="E231" s="3">
        <f>Ft!$B$12+Ft!$B$14*(Data!A231-Vars!$B$3)</f>
        <v>0</v>
      </c>
      <c r="F231" s="3">
        <f>IF(($A231-Ft!B$2)&lt;0,Ft!B$3*((1-Ft!B$6)/(1+Ft!B$37*($A231-Ft!B$2)^2)+Ft!B$6*EXP(Ft!B$38*($A231-Ft!B$2)^2)),Ft!B$3*((1-Ft!B$7)/(1+Ft!B$39*($A231-Ft!B$2)^2)+Ft!B$7*EXP(Ft!B$40*($A231-Ft!B$2)^2)))</f>
        <v>1.1961969369078989E-93</v>
      </c>
      <c r="G231" s="3">
        <f>IF(($A231-Ft!C$2)&lt;0,Ft!C$3*((1-Ft!C$6)/(1+Ft!C$37*($A231-Ft!C$2)^2)+Ft!C$6*EXP(Ft!C$38*($A231-Ft!C$2)^2)),Ft!C$3*((1-Ft!C$7)/(1+Ft!C$39*($A231-Ft!C$2)^2)+Ft!C$7*EXP(Ft!C$40*($A231-Ft!C$2)^2)))</f>
        <v>2.3048718843006709E-3</v>
      </c>
      <c r="H231" s="3">
        <f>IF(($A231-Ft!D$2)&lt;0,Ft!D$3*((1-Ft!D$6)/(1+Ft!D$37*($A231-Ft!D$2)^2)+Ft!D$6*EXP(Ft!D$38*($A231-Ft!D$2)^2)),Ft!D$3*((1-Ft!D$7)/(1+Ft!D$39*($A231-Ft!D$2)^2)+Ft!D$7*EXP(Ft!D$40*($A231-Ft!D$2)^2)))</f>
        <v>18.697701234848815</v>
      </c>
      <c r="I231" s="3">
        <f>IF(($A231-Ft!E$2)&lt;0,Ft!E$3*((1-Ft!E$6)/(1+Ft!E$37*($A231-Ft!E$2)^2)+Ft!E$6*EXP(Ft!E$38*($A231-Ft!E$2)^2)),Ft!E$3*((1-Ft!E$7)/(1+Ft!E$39*($A231-Ft!E$2)^2)+Ft!E$7*EXP(Ft!E$40*($A231-Ft!E$2)^2)))</f>
        <v>0.5486181302193649</v>
      </c>
      <c r="J231" s="3">
        <f>IF(($A231-Ft!F$2)&lt;0,Ft!F$3*((1-Ft!F$6)/(1+Ft!F$37*($A231-Ft!F$2)^2)+Ft!F$6*EXP(Ft!F$38*($A231-Ft!F$2)^2)),Ft!F$3*((1-Ft!F$7)/(1+Ft!F$39*($A231-Ft!F$2)^2)+Ft!F$7*EXP(Ft!F$40*($A231-Ft!F$2)^2)))</f>
        <v>1.7934558157649124E-34</v>
      </c>
      <c r="K231" s="3">
        <f>IF(($A231-Ft!G$2)&lt;0,Ft!G$3*((1-Ft!G$6)/(1+Ft!G$37*($A231-Ft!G$2)^2)+Ft!G$6*EXP(Ft!G$38*($A231-Ft!G$2)^2)),Ft!G$3*((1-Ft!G$7)/(1+Ft!G$39*($A231-Ft!G$2)^2)+Ft!G$7*EXP(Ft!G$40*($A231-Ft!G$2)^2)))</f>
        <v>2.2251758694347545E-142</v>
      </c>
      <c r="L231" s="3">
        <f>IF(($A231-Ft!H$2)&lt;0,Ft!H$3*((1-Ft!H$6)/(1+Ft!H$37*($A231-Ft!H$2)^2)+Ft!H$6*EXP(Ft!H$38*($A231-Ft!H$2)^2)),Ft!H$3*((1-Ft!H$7)/(1+Ft!H$39*($A231-Ft!H$2)^2)+Ft!H$7*EXP(Ft!H$40*($A231-Ft!H$2)^2)))</f>
        <v>0</v>
      </c>
      <c r="M231" s="3">
        <f>IF(($A231-Ft!I$2)&lt;0,Ft!I$3*((1-Ft!I$6)/(1+Ft!I$37*($A231-Ft!I$2)^2)+Ft!I$6*EXP(Ft!I$38*($A231-Ft!I$2)^2)),Ft!I$3*((1-Ft!I$7)/(1+Ft!I$39*($A231-Ft!I$2)^2)+Ft!I$7*EXP(Ft!I$40*($A231-Ft!I$2)^2)))</f>
        <v>0</v>
      </c>
      <c r="N231" s="3">
        <f>IF(($A231-Ft!J$2)&lt;0,Ft!J$3*((1-Ft!J$6)/(1+Ft!J$37*($A231-Ft!J$2)^2)+Ft!J$6*EXP(Ft!J$38*($A231-Ft!J$2)^2)),Ft!J$3*((1-Ft!J$7)/(1+Ft!J$39*($A231-Ft!J$2)^2)+Ft!J$7*EXP(Ft!J$40*($A231-Ft!J$2)^2)))</f>
        <v>0</v>
      </c>
      <c r="O231" s="3">
        <f>IF(($A231-Ft!K$2)&lt;0,Ft!K$3*((1-Ft!K$6)/(1+Ft!K$37*($A231-Ft!K$2)^2)+Ft!K$6*EXP(Ft!K$38*($A231-Ft!K$2)^2)),Ft!K$3*((1-Ft!K$7)/(1+Ft!K$39*($A231-Ft!K$2)^2)+Ft!K$7*EXP(Ft!K$40*($A231-Ft!K$2)^2)))</f>
        <v>0</v>
      </c>
      <c r="P231"/>
      <c r="Q231"/>
    </row>
    <row r="232" spans="1:17">
      <c r="A232">
        <v>460</v>
      </c>
      <c r="B232">
        <v>19.218406533614996</v>
      </c>
      <c r="C232" s="6">
        <f t="shared" si="7"/>
        <v>19.262764942138411</v>
      </c>
      <c r="D232" s="19">
        <f t="shared" si="8"/>
        <v>1.9676684067301761E-3</v>
      </c>
      <c r="E232" s="3">
        <f>Ft!$B$12+Ft!$B$14*(Data!A232-Vars!$B$3)</f>
        <v>0</v>
      </c>
      <c r="F232" s="3">
        <f>IF(($A232-Ft!B$2)&lt;0,Ft!B$3*((1-Ft!B$6)/(1+Ft!B$37*($A232-Ft!B$2)^2)+Ft!B$6*EXP(Ft!B$38*($A232-Ft!B$2)^2)),Ft!B$3*((1-Ft!B$7)/(1+Ft!B$39*($A232-Ft!B$2)^2)+Ft!B$7*EXP(Ft!B$40*($A232-Ft!B$2)^2)))</f>
        <v>1.4785051448638498E-94</v>
      </c>
      <c r="G232" s="3">
        <f>IF(($A232-Ft!C$2)&lt;0,Ft!C$3*((1-Ft!C$6)/(1+Ft!C$37*($A232-Ft!C$2)^2)+Ft!C$6*EXP(Ft!C$38*($A232-Ft!C$2)^2)),Ft!C$3*((1-Ft!C$7)/(1+Ft!C$39*($A232-Ft!C$2)^2)+Ft!C$7*EXP(Ft!C$40*($A232-Ft!C$2)^2)))</f>
        <v>2.0771281515923816E-3</v>
      </c>
      <c r="H232" s="3">
        <f>IF(($A232-Ft!D$2)&lt;0,Ft!D$3*((1-Ft!D$6)/(1+Ft!D$37*($A232-Ft!D$2)^2)+Ft!D$6*EXP(Ft!D$38*($A232-Ft!D$2)^2)),Ft!D$3*((1-Ft!D$7)/(1+Ft!D$39*($A232-Ft!D$2)^2)+Ft!D$7*EXP(Ft!D$40*($A232-Ft!D$2)^2)))</f>
        <v>18.691621920500808</v>
      </c>
      <c r="I232" s="3">
        <f>IF(($A232-Ft!E$2)&lt;0,Ft!E$3*((1-Ft!E$6)/(1+Ft!E$37*($A232-Ft!E$2)^2)+Ft!E$6*EXP(Ft!E$38*($A232-Ft!E$2)^2)),Ft!E$3*((1-Ft!E$7)/(1+Ft!E$39*($A232-Ft!E$2)^2)+Ft!E$7*EXP(Ft!E$40*($A232-Ft!E$2)^2)))</f>
        <v>0.56906589348600867</v>
      </c>
      <c r="J232" s="3">
        <f>IF(($A232-Ft!F$2)&lt;0,Ft!F$3*((1-Ft!F$6)/(1+Ft!F$37*($A232-Ft!F$2)^2)+Ft!F$6*EXP(Ft!F$38*($A232-Ft!F$2)^2)),Ft!F$3*((1-Ft!F$7)/(1+Ft!F$39*($A232-Ft!F$2)^2)+Ft!F$7*EXP(Ft!F$40*($A232-Ft!F$2)^2)))</f>
        <v>3.2131353038705088E-34</v>
      </c>
      <c r="K232" s="3">
        <f>IF(($A232-Ft!G$2)&lt;0,Ft!G$3*((1-Ft!G$6)/(1+Ft!G$37*($A232-Ft!G$2)^2)+Ft!G$6*EXP(Ft!G$38*($A232-Ft!G$2)^2)),Ft!G$3*((1-Ft!G$7)/(1+Ft!G$39*($A232-Ft!G$2)^2)+Ft!G$7*EXP(Ft!G$40*($A232-Ft!G$2)^2)))</f>
        <v>2.0690547704345132E-141</v>
      </c>
      <c r="L232" s="3">
        <f>IF(($A232-Ft!H$2)&lt;0,Ft!H$3*((1-Ft!H$6)/(1+Ft!H$37*($A232-Ft!H$2)^2)+Ft!H$6*EXP(Ft!H$38*($A232-Ft!H$2)^2)),Ft!H$3*((1-Ft!H$7)/(1+Ft!H$39*($A232-Ft!H$2)^2)+Ft!H$7*EXP(Ft!H$40*($A232-Ft!H$2)^2)))</f>
        <v>0</v>
      </c>
      <c r="M232" s="3">
        <f>IF(($A232-Ft!I$2)&lt;0,Ft!I$3*((1-Ft!I$6)/(1+Ft!I$37*($A232-Ft!I$2)^2)+Ft!I$6*EXP(Ft!I$38*($A232-Ft!I$2)^2)),Ft!I$3*((1-Ft!I$7)/(1+Ft!I$39*($A232-Ft!I$2)^2)+Ft!I$7*EXP(Ft!I$40*($A232-Ft!I$2)^2)))</f>
        <v>0</v>
      </c>
      <c r="N232" s="3">
        <f>IF(($A232-Ft!J$2)&lt;0,Ft!J$3*((1-Ft!J$6)/(1+Ft!J$37*($A232-Ft!J$2)^2)+Ft!J$6*EXP(Ft!J$38*($A232-Ft!J$2)^2)),Ft!J$3*((1-Ft!J$7)/(1+Ft!J$39*($A232-Ft!J$2)^2)+Ft!J$7*EXP(Ft!J$40*($A232-Ft!J$2)^2)))</f>
        <v>0</v>
      </c>
      <c r="O232" s="3">
        <f>IF(($A232-Ft!K$2)&lt;0,Ft!K$3*((1-Ft!K$6)/(1+Ft!K$37*($A232-Ft!K$2)^2)+Ft!K$6*EXP(Ft!K$38*($A232-Ft!K$2)^2)),Ft!K$3*((1-Ft!K$7)/(1+Ft!K$39*($A232-Ft!K$2)^2)+Ft!K$7*EXP(Ft!K$40*($A232-Ft!K$2)^2)))</f>
        <v>0</v>
      </c>
      <c r="P232"/>
      <c r="Q232"/>
    </row>
    <row r="233" spans="1:17">
      <c r="A233">
        <v>462</v>
      </c>
      <c r="B233">
        <v>19.230700011300002</v>
      </c>
      <c r="C233" s="6">
        <f t="shared" si="7"/>
        <v>19.274886098137696</v>
      </c>
      <c r="D233" s="19">
        <f t="shared" si="8"/>
        <v>1.9524102700282531E-3</v>
      </c>
      <c r="E233" s="3">
        <f>Ft!$B$12+Ft!$B$14*(Data!A233-Vars!$B$3)</f>
        <v>0</v>
      </c>
      <c r="F233" s="3">
        <f>IF(($A233-Ft!B$2)&lt;0,Ft!B$3*((1-Ft!B$6)/(1+Ft!B$37*($A233-Ft!B$2)^2)+Ft!B$6*EXP(Ft!B$38*($A233-Ft!B$2)^2)),Ft!B$3*((1-Ft!B$7)/(1+Ft!B$39*($A233-Ft!B$2)^2)+Ft!B$7*EXP(Ft!B$40*($A233-Ft!B$2)^2)))</f>
        <v>1.8090562680569242E-95</v>
      </c>
      <c r="G233" s="3">
        <f>IF(($A233-Ft!C$2)&lt;0,Ft!C$3*((1-Ft!C$6)/(1+Ft!C$37*($A233-Ft!C$2)^2)+Ft!C$6*EXP(Ft!C$38*($A233-Ft!C$2)^2)),Ft!C$3*((1-Ft!C$7)/(1+Ft!C$39*($A233-Ft!C$2)^2)+Ft!C$7*EXP(Ft!C$40*($A233-Ft!C$2)^2)))</f>
        <v>1.8706723437260414E-3</v>
      </c>
      <c r="H233" s="3">
        <f>IF(($A233-Ft!D$2)&lt;0,Ft!D$3*((1-Ft!D$6)/(1+Ft!D$37*($A233-Ft!D$2)^2)+Ft!D$6*EXP(Ft!D$38*($A233-Ft!D$2)^2)),Ft!D$3*((1-Ft!D$7)/(1+Ft!D$39*($A233-Ft!D$2)^2)+Ft!D$7*EXP(Ft!D$40*($A233-Ft!D$2)^2)))</f>
        <v>18.682858497201693</v>
      </c>
      <c r="I233" s="3">
        <f>IF(($A233-Ft!E$2)&lt;0,Ft!E$3*((1-Ft!E$6)/(1+Ft!E$37*($A233-Ft!E$2)^2)+Ft!E$6*EXP(Ft!E$38*($A233-Ft!E$2)^2)),Ft!E$3*((1-Ft!E$7)/(1+Ft!E$39*($A233-Ft!E$2)^2)+Ft!E$7*EXP(Ft!E$40*($A233-Ft!E$2)^2)))</f>
        <v>0.59015692859227509</v>
      </c>
      <c r="J233" s="3">
        <f>IF(($A233-Ft!F$2)&lt;0,Ft!F$3*((1-Ft!F$6)/(1+Ft!F$37*($A233-Ft!F$2)^2)+Ft!F$6*EXP(Ft!F$38*($A233-Ft!F$2)^2)),Ft!F$3*((1-Ft!F$7)/(1+Ft!F$39*($A233-Ft!F$2)^2)+Ft!F$7*EXP(Ft!F$40*($A233-Ft!F$2)^2)))</f>
        <v>5.7442405739884678E-34</v>
      </c>
      <c r="K233" s="3">
        <f>IF(($A233-Ft!G$2)&lt;0,Ft!G$3*((1-Ft!G$6)/(1+Ft!G$37*($A233-Ft!G$2)^2)+Ft!G$6*EXP(Ft!G$38*($A233-Ft!G$2)^2)),Ft!G$3*((1-Ft!G$7)/(1+Ft!G$39*($A233-Ft!G$2)^2)+Ft!G$7*EXP(Ft!G$40*($A233-Ft!G$2)^2)))</f>
        <v>1.9093105168807418E-140</v>
      </c>
      <c r="L233" s="3">
        <f>IF(($A233-Ft!H$2)&lt;0,Ft!H$3*((1-Ft!H$6)/(1+Ft!H$37*($A233-Ft!H$2)^2)+Ft!H$6*EXP(Ft!H$38*($A233-Ft!H$2)^2)),Ft!H$3*((1-Ft!H$7)/(1+Ft!H$39*($A233-Ft!H$2)^2)+Ft!H$7*EXP(Ft!H$40*($A233-Ft!H$2)^2)))</f>
        <v>0</v>
      </c>
      <c r="M233" s="3">
        <f>IF(($A233-Ft!I$2)&lt;0,Ft!I$3*((1-Ft!I$6)/(1+Ft!I$37*($A233-Ft!I$2)^2)+Ft!I$6*EXP(Ft!I$38*($A233-Ft!I$2)^2)),Ft!I$3*((1-Ft!I$7)/(1+Ft!I$39*($A233-Ft!I$2)^2)+Ft!I$7*EXP(Ft!I$40*($A233-Ft!I$2)^2)))</f>
        <v>0</v>
      </c>
      <c r="N233" s="3">
        <f>IF(($A233-Ft!J$2)&lt;0,Ft!J$3*((1-Ft!J$6)/(1+Ft!J$37*($A233-Ft!J$2)^2)+Ft!J$6*EXP(Ft!J$38*($A233-Ft!J$2)^2)),Ft!J$3*((1-Ft!J$7)/(1+Ft!J$39*($A233-Ft!J$2)^2)+Ft!J$7*EXP(Ft!J$40*($A233-Ft!J$2)^2)))</f>
        <v>0</v>
      </c>
      <c r="O233" s="3">
        <f>IF(($A233-Ft!K$2)&lt;0,Ft!K$3*((1-Ft!K$6)/(1+Ft!K$37*($A233-Ft!K$2)^2)+Ft!K$6*EXP(Ft!K$38*($A233-Ft!K$2)^2)),Ft!K$3*((1-Ft!K$7)/(1+Ft!K$39*($A233-Ft!K$2)^2)+Ft!K$7*EXP(Ft!K$40*($A233-Ft!K$2)^2)))</f>
        <v>0</v>
      </c>
      <c r="P233"/>
      <c r="Q233"/>
    </row>
    <row r="234" spans="1:17">
      <c r="A234">
        <v>464</v>
      </c>
      <c r="B234">
        <v>19.241643704645</v>
      </c>
      <c r="C234" s="6">
        <f t="shared" si="7"/>
        <v>19.285004812231577</v>
      </c>
      <c r="D234" s="19">
        <f t="shared" si="8"/>
        <v>1.8801856511347023E-3</v>
      </c>
      <c r="E234" s="3">
        <f>Ft!$B$12+Ft!$B$14*(Data!A234-Vars!$B$3)</f>
        <v>0</v>
      </c>
      <c r="F234" s="3">
        <f>IF(($A234-Ft!B$2)&lt;0,Ft!B$3*((1-Ft!B$6)/(1+Ft!B$37*($A234-Ft!B$2)^2)+Ft!B$6*EXP(Ft!B$38*($A234-Ft!B$2)^2)),Ft!B$3*((1-Ft!B$7)/(1+Ft!B$39*($A234-Ft!B$2)^2)+Ft!B$7*EXP(Ft!B$40*($A234-Ft!B$2)^2)))</f>
        <v>2.1912422402060649E-96</v>
      </c>
      <c r="G234" s="3">
        <f>IF(($A234-Ft!C$2)&lt;0,Ft!C$3*((1-Ft!C$6)/(1+Ft!C$37*($A234-Ft!C$2)^2)+Ft!C$6*EXP(Ft!C$38*($A234-Ft!C$2)^2)),Ft!C$3*((1-Ft!C$7)/(1+Ft!C$39*($A234-Ft!C$2)^2)+Ft!C$7*EXP(Ft!C$40*($A234-Ft!C$2)^2)))</f>
        <v>1.6836433202724222E-3</v>
      </c>
      <c r="H234" s="3">
        <f>IF(($A234-Ft!D$2)&lt;0,Ft!D$3*((1-Ft!D$6)/(1+Ft!D$37*($A234-Ft!D$2)^2)+Ft!D$6*EXP(Ft!D$38*($A234-Ft!D$2)^2)),Ft!D$3*((1-Ft!D$7)/(1+Ft!D$39*($A234-Ft!D$2)^2)+Ft!D$7*EXP(Ft!D$40*($A234-Ft!D$2)^2)))</f>
        <v>18.671414742305029</v>
      </c>
      <c r="I234" s="3">
        <f>IF(($A234-Ft!E$2)&lt;0,Ft!E$3*((1-Ft!E$6)/(1+Ft!E$37*($A234-Ft!E$2)^2)+Ft!E$6*EXP(Ft!E$38*($A234-Ft!E$2)^2)),Ft!E$3*((1-Ft!E$7)/(1+Ft!E$39*($A234-Ft!E$2)^2)+Ft!E$7*EXP(Ft!E$40*($A234-Ft!E$2)^2)))</f>
        <v>0.61190642660627526</v>
      </c>
      <c r="J234" s="3">
        <f>IF(($A234-Ft!F$2)&lt;0,Ft!F$3*((1-Ft!F$6)/(1+Ft!F$37*($A234-Ft!F$2)^2)+Ft!F$6*EXP(Ft!F$38*($A234-Ft!F$2)^2)),Ft!F$3*((1-Ft!F$7)/(1+Ft!F$39*($A234-Ft!F$2)^2)+Ft!F$7*EXP(Ft!F$40*($A234-Ft!F$2)^2)))</f>
        <v>1.0247112418436441E-33</v>
      </c>
      <c r="K234" s="3">
        <f>IF(($A234-Ft!G$2)&lt;0,Ft!G$3*((1-Ft!G$6)/(1+Ft!G$37*($A234-Ft!G$2)^2)+Ft!G$6*EXP(Ft!G$38*($A234-Ft!G$2)^2)),Ft!G$3*((1-Ft!G$7)/(1+Ft!G$39*($A234-Ft!G$2)^2)+Ft!G$7*EXP(Ft!G$40*($A234-Ft!G$2)^2)))</f>
        <v>1.7485500764521488E-139</v>
      </c>
      <c r="L234" s="3">
        <f>IF(($A234-Ft!H$2)&lt;0,Ft!H$3*((1-Ft!H$6)/(1+Ft!H$37*($A234-Ft!H$2)^2)+Ft!H$6*EXP(Ft!H$38*($A234-Ft!H$2)^2)),Ft!H$3*((1-Ft!H$7)/(1+Ft!H$39*($A234-Ft!H$2)^2)+Ft!H$7*EXP(Ft!H$40*($A234-Ft!H$2)^2)))</f>
        <v>0</v>
      </c>
      <c r="M234" s="3">
        <f>IF(($A234-Ft!I$2)&lt;0,Ft!I$3*((1-Ft!I$6)/(1+Ft!I$37*($A234-Ft!I$2)^2)+Ft!I$6*EXP(Ft!I$38*($A234-Ft!I$2)^2)),Ft!I$3*((1-Ft!I$7)/(1+Ft!I$39*($A234-Ft!I$2)^2)+Ft!I$7*EXP(Ft!I$40*($A234-Ft!I$2)^2)))</f>
        <v>0</v>
      </c>
      <c r="N234" s="3">
        <f>IF(($A234-Ft!J$2)&lt;0,Ft!J$3*((1-Ft!J$6)/(1+Ft!J$37*($A234-Ft!J$2)^2)+Ft!J$6*EXP(Ft!J$38*($A234-Ft!J$2)^2)),Ft!J$3*((1-Ft!J$7)/(1+Ft!J$39*($A234-Ft!J$2)^2)+Ft!J$7*EXP(Ft!J$40*($A234-Ft!J$2)^2)))</f>
        <v>0</v>
      </c>
      <c r="O234" s="3">
        <f>IF(($A234-Ft!K$2)&lt;0,Ft!K$3*((1-Ft!K$6)/(1+Ft!K$37*($A234-Ft!K$2)^2)+Ft!K$6*EXP(Ft!K$38*($A234-Ft!K$2)^2)),Ft!K$3*((1-Ft!K$7)/(1+Ft!K$39*($A234-Ft!K$2)^2)+Ft!K$7*EXP(Ft!K$40*($A234-Ft!K$2)^2)))</f>
        <v>0</v>
      </c>
      <c r="P234"/>
      <c r="Q234"/>
    </row>
    <row r="235" spans="1:17">
      <c r="A235">
        <v>466</v>
      </c>
      <c r="B235">
        <v>19.250992987966001</v>
      </c>
      <c r="C235" s="6">
        <f t="shared" si="7"/>
        <v>19.293139651213096</v>
      </c>
      <c r="D235" s="19">
        <f t="shared" si="8"/>
        <v>1.7763412228640504E-3</v>
      </c>
      <c r="E235" s="3">
        <f>Ft!$B$12+Ft!$B$14*(Data!A235-Vars!$B$3)</f>
        <v>0</v>
      </c>
      <c r="F235" s="3">
        <f>IF(($A235-Ft!B$2)&lt;0,Ft!B$3*((1-Ft!B$6)/(1+Ft!B$37*($A235-Ft!B$2)^2)+Ft!B$6*EXP(Ft!B$38*($A235-Ft!B$2)^2)),Ft!B$3*((1-Ft!B$7)/(1+Ft!B$39*($A235-Ft!B$2)^2)+Ft!B$7*EXP(Ft!B$40*($A235-Ft!B$2)^2)))</f>
        <v>2.62747013326236E-97</v>
      </c>
      <c r="G235" s="3">
        <f>IF(($A235-Ft!C$2)&lt;0,Ft!C$3*((1-Ft!C$6)/(1+Ft!C$37*($A235-Ft!C$2)^2)+Ft!C$6*EXP(Ft!C$38*($A235-Ft!C$2)^2)),Ft!C$3*((1-Ft!C$7)/(1+Ft!C$39*($A235-Ft!C$2)^2)+Ft!C$7*EXP(Ft!C$40*($A235-Ft!C$2)^2)))</f>
        <v>1.514329525006846E-3</v>
      </c>
      <c r="H235" s="3">
        <f>IF(($A235-Ft!D$2)&lt;0,Ft!D$3*((1-Ft!D$6)/(1+Ft!D$37*($A235-Ft!D$2)^2)+Ft!D$6*EXP(Ft!D$38*($A235-Ft!D$2)^2)),Ft!D$3*((1-Ft!D$7)/(1+Ft!D$39*($A235-Ft!D$2)^2)+Ft!D$7*EXP(Ft!D$40*($A235-Ft!D$2)^2)))</f>
        <v>18.657295586705317</v>
      </c>
      <c r="I235" s="3">
        <f>IF(($A235-Ft!E$2)&lt;0,Ft!E$3*((1-Ft!E$6)/(1+Ft!E$37*($A235-Ft!E$2)^2)+Ft!E$6*EXP(Ft!E$38*($A235-Ft!E$2)^2)),Ft!E$3*((1-Ft!E$7)/(1+Ft!E$39*($A235-Ft!E$2)^2)+Ft!E$7*EXP(Ft!E$40*($A235-Ft!E$2)^2)))</f>
        <v>0.63432973498276979</v>
      </c>
      <c r="J235" s="3">
        <f>IF(($A235-Ft!F$2)&lt;0,Ft!F$3*((1-Ft!F$6)/(1+Ft!F$37*($A235-Ft!F$2)^2)+Ft!F$6*EXP(Ft!F$38*($A235-Ft!F$2)^2)),Ft!F$3*((1-Ft!F$7)/(1+Ft!F$39*($A235-Ft!F$2)^2)+Ft!F$7*EXP(Ft!F$40*($A235-Ft!F$2)^2)))</f>
        <v>1.8240454496558785E-33</v>
      </c>
      <c r="K235" s="3">
        <f>IF(($A235-Ft!G$2)&lt;0,Ft!G$3*((1-Ft!G$6)/(1+Ft!G$37*($A235-Ft!G$2)^2)+Ft!G$6*EXP(Ft!G$38*($A235-Ft!G$2)^2)),Ft!G$3*((1-Ft!G$7)/(1+Ft!G$39*($A235-Ft!G$2)^2)+Ft!G$7*EXP(Ft!G$40*($A235-Ft!G$2)^2)))</f>
        <v>1.5891925352777231E-138</v>
      </c>
      <c r="L235" s="3">
        <f>IF(($A235-Ft!H$2)&lt;0,Ft!H$3*((1-Ft!H$6)/(1+Ft!H$37*($A235-Ft!H$2)^2)+Ft!H$6*EXP(Ft!H$38*($A235-Ft!H$2)^2)),Ft!H$3*((1-Ft!H$7)/(1+Ft!H$39*($A235-Ft!H$2)^2)+Ft!H$7*EXP(Ft!H$40*($A235-Ft!H$2)^2)))</f>
        <v>0</v>
      </c>
      <c r="M235" s="3">
        <f>IF(($A235-Ft!I$2)&lt;0,Ft!I$3*((1-Ft!I$6)/(1+Ft!I$37*($A235-Ft!I$2)^2)+Ft!I$6*EXP(Ft!I$38*($A235-Ft!I$2)^2)),Ft!I$3*((1-Ft!I$7)/(1+Ft!I$39*($A235-Ft!I$2)^2)+Ft!I$7*EXP(Ft!I$40*($A235-Ft!I$2)^2)))</f>
        <v>0</v>
      </c>
      <c r="N235" s="3">
        <f>IF(($A235-Ft!J$2)&lt;0,Ft!J$3*((1-Ft!J$6)/(1+Ft!J$37*($A235-Ft!J$2)^2)+Ft!J$6*EXP(Ft!J$38*($A235-Ft!J$2)^2)),Ft!J$3*((1-Ft!J$7)/(1+Ft!J$39*($A235-Ft!J$2)^2)+Ft!J$7*EXP(Ft!J$40*($A235-Ft!J$2)^2)))</f>
        <v>0</v>
      </c>
      <c r="O235" s="3">
        <f>IF(($A235-Ft!K$2)&lt;0,Ft!K$3*((1-Ft!K$6)/(1+Ft!K$37*($A235-Ft!K$2)^2)+Ft!K$6*EXP(Ft!K$38*($A235-Ft!K$2)^2)),Ft!K$3*((1-Ft!K$7)/(1+Ft!K$39*($A235-Ft!K$2)^2)+Ft!K$7*EXP(Ft!K$40*($A235-Ft!K$2)^2)))</f>
        <v>0</v>
      </c>
      <c r="P235"/>
      <c r="Q235"/>
    </row>
    <row r="236" spans="1:17">
      <c r="A236">
        <v>468</v>
      </c>
      <c r="B236">
        <v>19.258503235574992</v>
      </c>
      <c r="C236" s="6">
        <f t="shared" si="7"/>
        <v>19.299310620289436</v>
      </c>
      <c r="D236" s="19">
        <f t="shared" si="8"/>
        <v>1.6652426472326654E-3</v>
      </c>
      <c r="E236" s="3">
        <f>Ft!$B$12+Ft!$B$14*(Data!A236-Vars!$B$3)</f>
        <v>0</v>
      </c>
      <c r="F236" s="3">
        <f>IF(($A236-Ft!B$2)&lt;0,Ft!B$3*((1-Ft!B$6)/(1+Ft!B$37*($A236-Ft!B$2)^2)+Ft!B$6*EXP(Ft!B$38*($A236-Ft!B$2)^2)),Ft!B$3*((1-Ft!B$7)/(1+Ft!B$39*($A236-Ft!B$2)^2)+Ft!B$7*EXP(Ft!B$40*($A236-Ft!B$2)^2)))</f>
        <v>3.1188484048088839E-98</v>
      </c>
      <c r="G236" s="3">
        <f>IF(($A236-Ft!C$2)&lt;0,Ft!C$3*((1-Ft!C$6)/(1+Ft!C$37*($A236-Ft!C$2)^2)+Ft!C$6*EXP(Ft!C$38*($A236-Ft!C$2)^2)),Ft!C$3*((1-Ft!C$7)/(1+Ft!C$39*($A236-Ft!C$2)^2)+Ft!C$7*EXP(Ft!C$40*($A236-Ft!C$2)^2)))</f>
        <v>1.3611582519445875E-3</v>
      </c>
      <c r="H236" s="3">
        <f>IF(($A236-Ft!D$2)&lt;0,Ft!D$3*((1-Ft!D$6)/(1+Ft!D$37*($A236-Ft!D$2)^2)+Ft!D$6*EXP(Ft!D$38*($A236-Ft!D$2)^2)),Ft!D$3*((1-Ft!D$7)/(1+Ft!D$39*($A236-Ft!D$2)^2)+Ft!D$7*EXP(Ft!D$40*($A236-Ft!D$2)^2)))</f>
        <v>18.640507111297108</v>
      </c>
      <c r="I236" s="3">
        <f>IF(($A236-Ft!E$2)&lt;0,Ft!E$3*((1-Ft!E$6)/(1+Ft!E$37*($A236-Ft!E$2)^2)+Ft!E$6*EXP(Ft!E$38*($A236-Ft!E$2)^2)),Ft!E$3*((1-Ft!E$7)/(1+Ft!E$39*($A236-Ft!E$2)^2)+Ft!E$7*EXP(Ft!E$40*($A236-Ft!E$2)^2)))</f>
        <v>0.65744235074038082</v>
      </c>
      <c r="J236" s="3">
        <f>IF(($A236-Ft!F$2)&lt;0,Ft!F$3*((1-Ft!F$6)/(1+Ft!F$37*($A236-Ft!F$2)^2)+Ft!F$6*EXP(Ft!F$38*($A236-Ft!F$2)^2)),Ft!F$3*((1-Ft!F$7)/(1+Ft!F$39*($A236-Ft!F$2)^2)+Ft!F$7*EXP(Ft!F$40*($A236-Ft!F$2)^2)))</f>
        <v>3.2399259493413712E-33</v>
      </c>
      <c r="K236" s="3">
        <f>IF(($A236-Ft!G$2)&lt;0,Ft!G$3*((1-Ft!G$6)/(1+Ft!G$37*($A236-Ft!G$2)^2)+Ft!G$6*EXP(Ft!G$38*($A236-Ft!G$2)^2)),Ft!G$3*((1-Ft!G$7)/(1+Ft!G$39*($A236-Ft!G$2)^2)+Ft!G$7*EXP(Ft!G$40*($A236-Ft!G$2)^2)))</f>
        <v>1.4334148206135917E-137</v>
      </c>
      <c r="L236" s="3">
        <f>IF(($A236-Ft!H$2)&lt;0,Ft!H$3*((1-Ft!H$6)/(1+Ft!H$37*($A236-Ft!H$2)^2)+Ft!H$6*EXP(Ft!H$38*($A236-Ft!H$2)^2)),Ft!H$3*((1-Ft!H$7)/(1+Ft!H$39*($A236-Ft!H$2)^2)+Ft!H$7*EXP(Ft!H$40*($A236-Ft!H$2)^2)))</f>
        <v>0</v>
      </c>
      <c r="M236" s="3">
        <f>IF(($A236-Ft!I$2)&lt;0,Ft!I$3*((1-Ft!I$6)/(1+Ft!I$37*($A236-Ft!I$2)^2)+Ft!I$6*EXP(Ft!I$38*($A236-Ft!I$2)^2)),Ft!I$3*((1-Ft!I$7)/(1+Ft!I$39*($A236-Ft!I$2)^2)+Ft!I$7*EXP(Ft!I$40*($A236-Ft!I$2)^2)))</f>
        <v>0</v>
      </c>
      <c r="N236" s="3">
        <f>IF(($A236-Ft!J$2)&lt;0,Ft!J$3*((1-Ft!J$6)/(1+Ft!J$37*($A236-Ft!J$2)^2)+Ft!J$6*EXP(Ft!J$38*($A236-Ft!J$2)^2)),Ft!J$3*((1-Ft!J$7)/(1+Ft!J$39*($A236-Ft!J$2)^2)+Ft!J$7*EXP(Ft!J$40*($A236-Ft!J$2)^2)))</f>
        <v>0</v>
      </c>
      <c r="O236" s="3">
        <f>IF(($A236-Ft!K$2)&lt;0,Ft!K$3*((1-Ft!K$6)/(1+Ft!K$37*($A236-Ft!K$2)^2)+Ft!K$6*EXP(Ft!K$38*($A236-Ft!K$2)^2)),Ft!K$3*((1-Ft!K$7)/(1+Ft!K$39*($A236-Ft!K$2)^2)+Ft!K$7*EXP(Ft!K$40*($A236-Ft!K$2)^2)))</f>
        <v>0</v>
      </c>
      <c r="P236"/>
      <c r="Q236"/>
    </row>
    <row r="237" spans="1:17">
      <c r="A237">
        <v>470</v>
      </c>
      <c r="B237">
        <v>19.263929821787997</v>
      </c>
      <c r="C237" s="6">
        <f t="shared" si="7"/>
        <v>19.303539141404883</v>
      </c>
      <c r="D237" s="19">
        <f t="shared" si="8"/>
        <v>1.5688982005126536E-3</v>
      </c>
      <c r="E237" s="3">
        <f>Ft!$B$12+Ft!$B$14*(Data!A237-Vars!$B$3)</f>
        <v>0</v>
      </c>
      <c r="F237" s="3">
        <f>IF(($A237-Ft!B$2)&lt;0,Ft!B$3*((1-Ft!B$6)/(1+Ft!B$37*($A237-Ft!B$2)^2)+Ft!B$6*EXP(Ft!B$38*($A237-Ft!B$2)^2)),Ft!B$3*((1-Ft!B$7)/(1+Ft!B$39*($A237-Ft!B$2)^2)+Ft!B$7*EXP(Ft!B$40*($A237-Ft!B$2)^2)))</f>
        <v>3.6648805539565829E-99</v>
      </c>
      <c r="G237" s="3">
        <f>IF(($A237-Ft!C$2)&lt;0,Ft!C$3*((1-Ft!C$6)/(1+Ft!C$37*($A237-Ft!C$2)^2)+Ft!C$6*EXP(Ft!C$38*($A237-Ft!C$2)^2)),Ft!C$3*((1-Ft!C$7)/(1+Ft!C$39*($A237-Ft!C$2)^2)+Ft!C$7*EXP(Ft!C$40*($A237-Ft!C$2)^2)))</f>
        <v>1.2226855597615974E-3</v>
      </c>
      <c r="H237" s="3">
        <f>IF(($A237-Ft!D$2)&lt;0,Ft!D$3*((1-Ft!D$6)/(1+Ft!D$37*($A237-Ft!D$2)^2)+Ft!D$6*EXP(Ft!D$38*($A237-Ft!D$2)^2)),Ft!D$3*((1-Ft!D$7)/(1+Ft!D$39*($A237-Ft!D$2)^2)+Ft!D$7*EXP(Ft!D$40*($A237-Ft!D$2)^2)))</f>
        <v>18.621056542610326</v>
      </c>
      <c r="I237" s="3">
        <f>IF(($A237-Ft!E$2)&lt;0,Ft!E$3*((1-Ft!E$6)/(1+Ft!E$37*($A237-Ft!E$2)^2)+Ft!E$6*EXP(Ft!E$38*($A237-Ft!E$2)^2)),Ft!E$3*((1-Ft!E$7)/(1+Ft!E$39*($A237-Ft!E$2)^2)+Ft!E$7*EXP(Ft!E$40*($A237-Ft!E$2)^2)))</f>
        <v>0.68125991323479584</v>
      </c>
      <c r="J237" s="3">
        <f>IF(($A237-Ft!F$2)&lt;0,Ft!F$3*((1-Ft!F$6)/(1+Ft!F$37*($A237-Ft!F$2)^2)+Ft!F$6*EXP(Ft!F$38*($A237-Ft!F$2)^2)),Ft!F$3*((1-Ft!F$7)/(1+Ft!F$39*($A237-Ft!F$2)^2)+Ft!F$7*EXP(Ft!F$40*($A237-Ft!F$2)^2)))</f>
        <v>5.7424839124175195E-33</v>
      </c>
      <c r="K237" s="3">
        <f>IF(($A237-Ft!G$2)&lt;0,Ft!G$3*((1-Ft!G$6)/(1+Ft!G$37*($A237-Ft!G$2)^2)+Ft!G$6*EXP(Ft!G$38*($A237-Ft!G$2)^2)),Ft!G$3*((1-Ft!G$7)/(1+Ft!G$39*($A237-Ft!G$2)^2)+Ft!G$7*EXP(Ft!G$40*($A237-Ft!G$2)^2)))</f>
        <v>1.283110907044279E-136</v>
      </c>
      <c r="L237" s="3">
        <f>IF(($A237-Ft!H$2)&lt;0,Ft!H$3*((1-Ft!H$6)/(1+Ft!H$37*($A237-Ft!H$2)^2)+Ft!H$6*EXP(Ft!H$38*($A237-Ft!H$2)^2)),Ft!H$3*((1-Ft!H$7)/(1+Ft!H$39*($A237-Ft!H$2)^2)+Ft!H$7*EXP(Ft!H$40*($A237-Ft!H$2)^2)))</f>
        <v>0</v>
      </c>
      <c r="M237" s="3">
        <f>IF(($A237-Ft!I$2)&lt;0,Ft!I$3*((1-Ft!I$6)/(1+Ft!I$37*($A237-Ft!I$2)^2)+Ft!I$6*EXP(Ft!I$38*($A237-Ft!I$2)^2)),Ft!I$3*((1-Ft!I$7)/(1+Ft!I$39*($A237-Ft!I$2)^2)+Ft!I$7*EXP(Ft!I$40*($A237-Ft!I$2)^2)))</f>
        <v>0</v>
      </c>
      <c r="N237" s="3">
        <f>IF(($A237-Ft!J$2)&lt;0,Ft!J$3*((1-Ft!J$6)/(1+Ft!J$37*($A237-Ft!J$2)^2)+Ft!J$6*EXP(Ft!J$38*($A237-Ft!J$2)^2)),Ft!J$3*((1-Ft!J$7)/(1+Ft!J$39*($A237-Ft!J$2)^2)+Ft!J$7*EXP(Ft!J$40*($A237-Ft!J$2)^2)))</f>
        <v>0</v>
      </c>
      <c r="O237" s="3">
        <f>IF(($A237-Ft!K$2)&lt;0,Ft!K$3*((1-Ft!K$6)/(1+Ft!K$37*($A237-Ft!K$2)^2)+Ft!K$6*EXP(Ft!K$38*($A237-Ft!K$2)^2)),Ft!K$3*((1-Ft!K$7)/(1+Ft!K$39*($A237-Ft!K$2)^2)+Ft!K$7*EXP(Ft!K$40*($A237-Ft!K$2)^2)))</f>
        <v>0</v>
      </c>
      <c r="P237"/>
      <c r="Q237"/>
    </row>
    <row r="238" spans="1:17">
      <c r="A238">
        <v>472</v>
      </c>
      <c r="B238">
        <v>19.26702812091699</v>
      </c>
      <c r="C238" s="6">
        <f t="shared" si="7"/>
        <v>19.305848030954849</v>
      </c>
      <c r="D238" s="19">
        <f t="shared" si="8"/>
        <v>1.506985415347432E-3</v>
      </c>
      <c r="E238" s="3">
        <f>Ft!$B$12+Ft!$B$14*(Data!A238-Vars!$B$3)</f>
        <v>0</v>
      </c>
      <c r="F238" s="3">
        <f>IF(($A238-Ft!B$2)&lt;0,Ft!B$3*((1-Ft!B$6)/(1+Ft!B$37*($A238-Ft!B$2)^2)+Ft!B$6*EXP(Ft!B$38*($A238-Ft!B$2)^2)),Ft!B$3*((1-Ft!B$7)/(1+Ft!B$39*($A238-Ft!B$2)^2)+Ft!B$7*EXP(Ft!B$40*($A238-Ft!B$2)^2)))</f>
        <v>4.2631877993015871E-100</v>
      </c>
      <c r="G238" s="3">
        <f>IF(($A238-Ft!C$2)&lt;0,Ft!C$3*((1-Ft!C$6)/(1+Ft!C$37*($A238-Ft!C$2)^2)+Ft!C$6*EXP(Ft!C$38*($A238-Ft!C$2)^2)),Ft!C$3*((1-Ft!C$7)/(1+Ft!C$39*($A238-Ft!C$2)^2)+Ft!C$7*EXP(Ft!C$40*($A238-Ft!C$2)^2)))</f>
        <v>1.0975868066823169E-3</v>
      </c>
      <c r="H238" s="3">
        <f>IF(($A238-Ft!D$2)&lt;0,Ft!D$3*((1-Ft!D$6)/(1+Ft!D$37*($A238-Ft!D$2)^2)+Ft!D$6*EXP(Ft!D$38*($A238-Ft!D$2)^2)),Ft!D$3*((1-Ft!D$7)/(1+Ft!D$39*($A238-Ft!D$2)^2)+Ft!D$7*EXP(Ft!D$40*($A238-Ft!D$2)^2)))</f>
        <v>18.598952247626126</v>
      </c>
      <c r="I238" s="3">
        <f>IF(($A238-Ft!E$2)&lt;0,Ft!E$3*((1-Ft!E$6)/(1+Ft!E$37*($A238-Ft!E$2)^2)+Ft!E$6*EXP(Ft!E$38*($A238-Ft!E$2)^2)),Ft!E$3*((1-Ft!E$7)/(1+Ft!E$39*($A238-Ft!E$2)^2)+Ft!E$7*EXP(Ft!E$40*($A238-Ft!E$2)^2)))</f>
        <v>0.70579819652203946</v>
      </c>
      <c r="J238" s="3">
        <f>IF(($A238-Ft!F$2)&lt;0,Ft!F$3*((1-Ft!F$6)/(1+Ft!F$37*($A238-Ft!F$2)^2)+Ft!F$6*EXP(Ft!F$38*($A238-Ft!F$2)^2)),Ft!F$3*((1-Ft!F$7)/(1+Ft!F$39*($A238-Ft!F$2)^2)+Ft!F$7*EXP(Ft!F$40*($A238-Ft!F$2)^2)))</f>
        <v>1.0156165382839931E-32</v>
      </c>
      <c r="K238" s="3">
        <f>IF(($A238-Ft!G$2)&lt;0,Ft!G$3*((1-Ft!G$6)/(1+Ft!G$37*($A238-Ft!G$2)^2)+Ft!G$6*EXP(Ft!G$38*($A238-Ft!G$2)^2)),Ft!G$3*((1-Ft!G$7)/(1+Ft!G$39*($A238-Ft!G$2)^2)+Ft!G$7*EXP(Ft!G$40*($A238-Ft!G$2)^2)))</f>
        <v>1.1398650429741823E-135</v>
      </c>
      <c r="L238" s="3">
        <f>IF(($A238-Ft!H$2)&lt;0,Ft!H$3*((1-Ft!H$6)/(1+Ft!H$37*($A238-Ft!H$2)^2)+Ft!H$6*EXP(Ft!H$38*($A238-Ft!H$2)^2)),Ft!H$3*((1-Ft!H$7)/(1+Ft!H$39*($A238-Ft!H$2)^2)+Ft!H$7*EXP(Ft!H$40*($A238-Ft!H$2)^2)))</f>
        <v>0</v>
      </c>
      <c r="M238" s="3">
        <f>IF(($A238-Ft!I$2)&lt;0,Ft!I$3*((1-Ft!I$6)/(1+Ft!I$37*($A238-Ft!I$2)^2)+Ft!I$6*EXP(Ft!I$38*($A238-Ft!I$2)^2)),Ft!I$3*((1-Ft!I$7)/(1+Ft!I$39*($A238-Ft!I$2)^2)+Ft!I$7*EXP(Ft!I$40*($A238-Ft!I$2)^2)))</f>
        <v>0</v>
      </c>
      <c r="N238" s="3">
        <f>IF(($A238-Ft!J$2)&lt;0,Ft!J$3*((1-Ft!J$6)/(1+Ft!J$37*($A238-Ft!J$2)^2)+Ft!J$6*EXP(Ft!J$38*($A238-Ft!J$2)^2)),Ft!J$3*((1-Ft!J$7)/(1+Ft!J$39*($A238-Ft!J$2)^2)+Ft!J$7*EXP(Ft!J$40*($A238-Ft!J$2)^2)))</f>
        <v>0</v>
      </c>
      <c r="O238" s="3">
        <f>IF(($A238-Ft!K$2)&lt;0,Ft!K$3*((1-Ft!K$6)/(1+Ft!K$37*($A238-Ft!K$2)^2)+Ft!K$6*EXP(Ft!K$38*($A238-Ft!K$2)^2)),Ft!K$3*((1-Ft!K$7)/(1+Ft!K$39*($A238-Ft!K$2)^2)+Ft!K$7*EXP(Ft!K$40*($A238-Ft!K$2)^2)))</f>
        <v>0</v>
      </c>
      <c r="P238"/>
      <c r="Q238"/>
    </row>
    <row r="239" spans="1:17">
      <c r="A239">
        <v>474</v>
      </c>
      <c r="B239">
        <v>19.268249221822998</v>
      </c>
      <c r="C239" s="6">
        <f t="shared" si="7"/>
        <v>19.306261476862883</v>
      </c>
      <c r="D239" s="19">
        <f t="shared" si="8"/>
        <v>1.444931533217223E-3</v>
      </c>
      <c r="E239" s="3">
        <f>Ft!$B$12+Ft!$B$14*(Data!A239-Vars!$B$3)</f>
        <v>0</v>
      </c>
      <c r="F239" s="3">
        <f>IF(($A239-Ft!B$2)&lt;0,Ft!B$3*((1-Ft!B$6)/(1+Ft!B$37*($A239-Ft!B$2)^2)+Ft!B$6*EXP(Ft!B$38*($A239-Ft!B$2)^2)),Ft!B$3*((1-Ft!B$7)/(1+Ft!B$39*($A239-Ft!B$2)^2)+Ft!B$7*EXP(Ft!B$40*($A239-Ft!B$2)^2)))</f>
        <v>4.9092843207541841E-101</v>
      </c>
      <c r="G239" s="3">
        <f>IF(($A239-Ft!C$2)&lt;0,Ft!C$3*((1-Ft!C$6)/(1+Ft!C$37*($A239-Ft!C$2)^2)+Ft!C$6*EXP(Ft!C$38*($A239-Ft!C$2)^2)),Ft!C$3*((1-Ft!C$7)/(1+Ft!C$39*($A239-Ft!C$2)^2)+Ft!C$7*EXP(Ft!C$40*($A239-Ft!C$2)^2)))</f>
        <v>9.8464777805706144E-4</v>
      </c>
      <c r="H239" s="3">
        <f>IF(($A239-Ft!D$2)&lt;0,Ft!D$3*((1-Ft!D$6)/(1+Ft!D$37*($A239-Ft!D$2)^2)+Ft!D$6*EXP(Ft!D$38*($A239-Ft!D$2)^2)),Ft!D$3*((1-Ft!D$7)/(1+Ft!D$39*($A239-Ft!D$2)^2)+Ft!D$7*EXP(Ft!D$40*($A239-Ft!D$2)^2)))</f>
        <v>18.574203727778549</v>
      </c>
      <c r="I239" s="3">
        <f>IF(($A239-Ft!E$2)&lt;0,Ft!E$3*((1-Ft!E$6)/(1+Ft!E$37*($A239-Ft!E$2)^2)+Ft!E$6*EXP(Ft!E$38*($A239-Ft!E$2)^2)),Ft!E$3*((1-Ft!E$7)/(1+Ft!E$39*($A239-Ft!E$2)^2)+Ft!E$7*EXP(Ft!E$40*($A239-Ft!E$2)^2)))</f>
        <v>0.73107310130627645</v>
      </c>
      <c r="J239" s="3">
        <f>IF(($A239-Ft!F$2)&lt;0,Ft!F$3*((1-Ft!F$6)/(1+Ft!F$37*($A239-Ft!F$2)^2)+Ft!F$6*EXP(Ft!F$38*($A239-Ft!F$2)^2)),Ft!F$3*((1-Ft!F$7)/(1+Ft!F$39*($A239-Ft!F$2)^2)+Ft!F$7*EXP(Ft!F$40*($A239-Ft!F$2)^2)))</f>
        <v>1.7923590604534092E-32</v>
      </c>
      <c r="K239" s="3">
        <f>IF(($A239-Ft!G$2)&lt;0,Ft!G$3*((1-Ft!G$6)/(1+Ft!G$37*($A239-Ft!G$2)^2)+Ft!G$6*EXP(Ft!G$38*($A239-Ft!G$2)^2)),Ft!G$3*((1-Ft!G$7)/(1+Ft!G$39*($A239-Ft!G$2)^2)+Ft!G$7*EXP(Ft!G$40*($A239-Ft!G$2)^2)))</f>
        <v>1.0049387796279548E-134</v>
      </c>
      <c r="L239" s="3">
        <f>IF(($A239-Ft!H$2)&lt;0,Ft!H$3*((1-Ft!H$6)/(1+Ft!H$37*($A239-Ft!H$2)^2)+Ft!H$6*EXP(Ft!H$38*($A239-Ft!H$2)^2)),Ft!H$3*((1-Ft!H$7)/(1+Ft!H$39*($A239-Ft!H$2)^2)+Ft!H$7*EXP(Ft!H$40*($A239-Ft!H$2)^2)))</f>
        <v>0</v>
      </c>
      <c r="M239" s="3">
        <f>IF(($A239-Ft!I$2)&lt;0,Ft!I$3*((1-Ft!I$6)/(1+Ft!I$37*($A239-Ft!I$2)^2)+Ft!I$6*EXP(Ft!I$38*($A239-Ft!I$2)^2)),Ft!I$3*((1-Ft!I$7)/(1+Ft!I$39*($A239-Ft!I$2)^2)+Ft!I$7*EXP(Ft!I$40*($A239-Ft!I$2)^2)))</f>
        <v>0</v>
      </c>
      <c r="N239" s="3">
        <f>IF(($A239-Ft!J$2)&lt;0,Ft!J$3*((1-Ft!J$6)/(1+Ft!J$37*($A239-Ft!J$2)^2)+Ft!J$6*EXP(Ft!J$38*($A239-Ft!J$2)^2)),Ft!J$3*((1-Ft!J$7)/(1+Ft!J$39*($A239-Ft!J$2)^2)+Ft!J$7*EXP(Ft!J$40*($A239-Ft!J$2)^2)))</f>
        <v>0</v>
      </c>
      <c r="O239" s="3">
        <f>IF(($A239-Ft!K$2)&lt;0,Ft!K$3*((1-Ft!K$6)/(1+Ft!K$37*($A239-Ft!K$2)^2)+Ft!K$6*EXP(Ft!K$38*($A239-Ft!K$2)^2)),Ft!K$3*((1-Ft!K$7)/(1+Ft!K$39*($A239-Ft!K$2)^2)+Ft!K$7*EXP(Ft!K$40*($A239-Ft!K$2)^2)))</f>
        <v>0</v>
      </c>
      <c r="P239"/>
      <c r="Q239"/>
    </row>
    <row r="240" spans="1:17">
      <c r="A240">
        <v>476</v>
      </c>
      <c r="B240">
        <v>19.268164939939993</v>
      </c>
      <c r="C240" s="6">
        <f t="shared" si="7"/>
        <v>19.304805014994056</v>
      </c>
      <c r="D240" s="19">
        <f t="shared" si="8"/>
        <v>1.3424950999673512E-3</v>
      </c>
      <c r="E240" s="3">
        <f>Ft!$B$12+Ft!$B$14*(Data!A240-Vars!$B$3)</f>
        <v>0</v>
      </c>
      <c r="F240" s="3">
        <f>IF(($A240-Ft!B$2)&lt;0,Ft!B$3*((1-Ft!B$6)/(1+Ft!B$37*($A240-Ft!B$2)^2)+Ft!B$6*EXP(Ft!B$38*($A240-Ft!B$2)^2)),Ft!B$3*((1-Ft!B$7)/(1+Ft!B$39*($A240-Ft!B$2)^2)+Ft!B$7*EXP(Ft!B$40*($A240-Ft!B$2)^2)))</f>
        <v>5.5964288467822169E-102</v>
      </c>
      <c r="G240" s="3">
        <f>IF(($A240-Ft!C$2)&lt;0,Ft!C$3*((1-Ft!C$6)/(1+Ft!C$37*($A240-Ft!C$2)^2)+Ft!C$6*EXP(Ft!C$38*($A240-Ft!C$2)^2)),Ft!C$3*((1-Ft!C$7)/(1+Ft!C$39*($A240-Ft!C$2)^2)+Ft!C$7*EXP(Ft!C$40*($A240-Ft!C$2)^2)))</f>
        <v>8.8275637911474681E-4</v>
      </c>
      <c r="H240" s="3">
        <f>IF(($A240-Ft!D$2)&lt;0,Ft!D$3*((1-Ft!D$6)/(1+Ft!D$37*($A240-Ft!D$2)^2)+Ft!D$6*EXP(Ft!D$38*($A240-Ft!D$2)^2)),Ft!D$3*((1-Ft!D$7)/(1+Ft!D$39*($A240-Ft!D$2)^2)+Ft!D$7*EXP(Ft!D$40*($A240-Ft!D$2)^2)))</f>
        <v>18.546821612147948</v>
      </c>
      <c r="I240" s="3">
        <f>IF(($A240-Ft!E$2)&lt;0,Ft!E$3*((1-Ft!E$6)/(1+Ft!E$37*($A240-Ft!E$2)^2)+Ft!E$6*EXP(Ft!E$38*($A240-Ft!E$2)^2)),Ft!E$3*((1-Ft!E$7)/(1+Ft!E$39*($A240-Ft!E$2)^2)+Ft!E$7*EXP(Ft!E$40*($A240-Ft!E$2)^2)))</f>
        <v>0.75710064646699082</v>
      </c>
      <c r="J240" s="3">
        <f>IF(($A240-Ft!F$2)&lt;0,Ft!F$3*((1-Ft!F$6)/(1+Ft!F$37*($A240-Ft!F$2)^2)+Ft!F$6*EXP(Ft!F$38*($A240-Ft!F$2)^2)),Ft!F$3*((1-Ft!F$7)/(1+Ft!F$39*($A240-Ft!F$2)^2)+Ft!F$7*EXP(Ft!F$40*($A240-Ft!F$2)^2)))</f>
        <v>3.1563528047301596E-32</v>
      </c>
      <c r="K240" s="3">
        <f>IF(($A240-Ft!G$2)&lt;0,Ft!G$3*((1-Ft!G$6)/(1+Ft!G$37*($A240-Ft!G$2)^2)+Ft!G$6*EXP(Ft!G$38*($A240-Ft!G$2)^2)),Ft!G$3*((1-Ft!G$7)/(1+Ft!G$39*($A240-Ft!G$2)^2)+Ft!G$7*EXP(Ft!G$40*($A240-Ft!G$2)^2)))</f>
        <v>8.7927091629770778E-134</v>
      </c>
      <c r="L240" s="3">
        <f>IF(($A240-Ft!H$2)&lt;0,Ft!H$3*((1-Ft!H$6)/(1+Ft!H$37*($A240-Ft!H$2)^2)+Ft!H$6*EXP(Ft!H$38*($A240-Ft!H$2)^2)),Ft!H$3*((1-Ft!H$7)/(1+Ft!H$39*($A240-Ft!H$2)^2)+Ft!H$7*EXP(Ft!H$40*($A240-Ft!H$2)^2)))</f>
        <v>0</v>
      </c>
      <c r="M240" s="3">
        <f>IF(($A240-Ft!I$2)&lt;0,Ft!I$3*((1-Ft!I$6)/(1+Ft!I$37*($A240-Ft!I$2)^2)+Ft!I$6*EXP(Ft!I$38*($A240-Ft!I$2)^2)),Ft!I$3*((1-Ft!I$7)/(1+Ft!I$39*($A240-Ft!I$2)^2)+Ft!I$7*EXP(Ft!I$40*($A240-Ft!I$2)^2)))</f>
        <v>0</v>
      </c>
      <c r="N240" s="3">
        <f>IF(($A240-Ft!J$2)&lt;0,Ft!J$3*((1-Ft!J$6)/(1+Ft!J$37*($A240-Ft!J$2)^2)+Ft!J$6*EXP(Ft!J$38*($A240-Ft!J$2)^2)),Ft!J$3*((1-Ft!J$7)/(1+Ft!J$39*($A240-Ft!J$2)^2)+Ft!J$7*EXP(Ft!J$40*($A240-Ft!J$2)^2)))</f>
        <v>0</v>
      </c>
      <c r="O240" s="3">
        <f>IF(($A240-Ft!K$2)&lt;0,Ft!K$3*((1-Ft!K$6)/(1+Ft!K$37*($A240-Ft!K$2)^2)+Ft!K$6*EXP(Ft!K$38*($A240-Ft!K$2)^2)),Ft!K$3*((1-Ft!K$7)/(1+Ft!K$39*($A240-Ft!K$2)^2)+Ft!K$7*EXP(Ft!K$40*($A240-Ft!K$2)^2)))</f>
        <v>0</v>
      </c>
      <c r="P240"/>
      <c r="Q240"/>
    </row>
    <row r="241" spans="1:17">
      <c r="A241">
        <v>478</v>
      </c>
      <c r="B241">
        <v>19.266711739442997</v>
      </c>
      <c r="C241" s="6">
        <f t="shared" si="7"/>
        <v>19.301505504879625</v>
      </c>
      <c r="D241" s="19">
        <f t="shared" si="8"/>
        <v>1.2106061132591155E-3</v>
      </c>
      <c r="E241" s="3">
        <f>Ft!$B$12+Ft!$B$14*(Data!A241-Vars!$B$3)</f>
        <v>0</v>
      </c>
      <c r="F241" s="3">
        <f>IF(($A241-Ft!B$2)&lt;0,Ft!B$3*((1-Ft!B$6)/(1+Ft!B$37*($A241-Ft!B$2)^2)+Ft!B$6*EXP(Ft!B$38*($A241-Ft!B$2)^2)),Ft!B$3*((1-Ft!B$7)/(1+Ft!B$39*($A241-Ft!B$2)^2)+Ft!B$7*EXP(Ft!B$40*($A241-Ft!B$2)^2)))</f>
        <v>6.3155745933163306E-103</v>
      </c>
      <c r="G241" s="3">
        <f>IF(($A241-Ft!C$2)&lt;0,Ft!C$3*((1-Ft!C$6)/(1+Ft!C$37*($A241-Ft!C$2)^2)+Ft!C$6*EXP(Ft!C$38*($A241-Ft!C$2)^2)),Ft!C$3*((1-Ft!C$7)/(1+Ft!C$39*($A241-Ft!C$2)^2)+Ft!C$7*EXP(Ft!C$40*($A241-Ft!C$2)^2)))</f>
        <v>7.9089486574862101E-4</v>
      </c>
      <c r="H241" s="3">
        <f>IF(($A241-Ft!D$2)&lt;0,Ft!D$3*((1-Ft!D$6)/(1+Ft!D$37*($A241-Ft!D$2)^2)+Ft!D$6*EXP(Ft!D$38*($A241-Ft!D$2)^2)),Ft!D$3*((1-Ft!D$7)/(1+Ft!D$39*($A241-Ft!D$2)^2)+Ft!D$7*EXP(Ft!D$40*($A241-Ft!D$2)^2)))</f>
        <v>18.51681764985306</v>
      </c>
      <c r="I241" s="3">
        <f>IF(($A241-Ft!E$2)&lt;0,Ft!E$3*((1-Ft!E$6)/(1+Ft!E$37*($A241-Ft!E$2)^2)+Ft!E$6*EXP(Ft!E$38*($A241-Ft!E$2)^2)),Ft!E$3*((1-Ft!E$7)/(1+Ft!E$39*($A241-Ft!E$2)^2)+Ft!E$7*EXP(Ft!E$40*($A241-Ft!E$2)^2)))</f>
        <v>0.783896960160817</v>
      </c>
      <c r="J241" s="3">
        <f>IF(($A241-Ft!F$2)&lt;0,Ft!F$3*((1-Ft!F$6)/(1+Ft!F$37*($A241-Ft!F$2)^2)+Ft!F$6*EXP(Ft!F$38*($A241-Ft!F$2)^2)),Ft!F$3*((1-Ft!F$7)/(1+Ft!F$39*($A241-Ft!F$2)^2)+Ft!F$7*EXP(Ft!F$40*($A241-Ft!F$2)^2)))</f>
        <v>5.5464019585725808E-32</v>
      </c>
      <c r="K241" s="3">
        <f>IF(($A241-Ft!G$2)&lt;0,Ft!G$3*((1-Ft!G$6)/(1+Ft!G$37*($A241-Ft!G$2)^2)+Ft!G$6*EXP(Ft!G$38*($A241-Ft!G$2)^2)),Ft!G$3*((1-Ft!G$7)/(1+Ft!G$39*($A241-Ft!G$2)^2)+Ft!G$7*EXP(Ft!G$40*($A241-Ft!G$2)^2)))</f>
        <v>7.6348892736773279E-133</v>
      </c>
      <c r="L241" s="3">
        <f>IF(($A241-Ft!H$2)&lt;0,Ft!H$3*((1-Ft!H$6)/(1+Ft!H$37*($A241-Ft!H$2)^2)+Ft!H$6*EXP(Ft!H$38*($A241-Ft!H$2)^2)),Ft!H$3*((1-Ft!H$7)/(1+Ft!H$39*($A241-Ft!H$2)^2)+Ft!H$7*EXP(Ft!H$40*($A241-Ft!H$2)^2)))</f>
        <v>0</v>
      </c>
      <c r="M241" s="3">
        <f>IF(($A241-Ft!I$2)&lt;0,Ft!I$3*((1-Ft!I$6)/(1+Ft!I$37*($A241-Ft!I$2)^2)+Ft!I$6*EXP(Ft!I$38*($A241-Ft!I$2)^2)),Ft!I$3*((1-Ft!I$7)/(1+Ft!I$39*($A241-Ft!I$2)^2)+Ft!I$7*EXP(Ft!I$40*($A241-Ft!I$2)^2)))</f>
        <v>0</v>
      </c>
      <c r="N241" s="3">
        <f>IF(($A241-Ft!J$2)&lt;0,Ft!J$3*((1-Ft!J$6)/(1+Ft!J$37*($A241-Ft!J$2)^2)+Ft!J$6*EXP(Ft!J$38*($A241-Ft!J$2)^2)),Ft!J$3*((1-Ft!J$7)/(1+Ft!J$39*($A241-Ft!J$2)^2)+Ft!J$7*EXP(Ft!J$40*($A241-Ft!J$2)^2)))</f>
        <v>0</v>
      </c>
      <c r="O241" s="3">
        <f>IF(($A241-Ft!K$2)&lt;0,Ft!K$3*((1-Ft!K$6)/(1+Ft!K$37*($A241-Ft!K$2)^2)+Ft!K$6*EXP(Ft!K$38*($A241-Ft!K$2)^2)),Ft!K$3*((1-Ft!K$7)/(1+Ft!K$39*($A241-Ft!K$2)^2)+Ft!K$7*EXP(Ft!K$40*($A241-Ft!K$2)^2)))</f>
        <v>0</v>
      </c>
      <c r="P241"/>
      <c r="Q241"/>
    </row>
    <row r="242" spans="1:17">
      <c r="A242">
        <v>480</v>
      </c>
      <c r="B242">
        <v>19.263826084507002</v>
      </c>
      <c r="C242" s="6">
        <f t="shared" si="7"/>
        <v>19.296391104729675</v>
      </c>
      <c r="D242" s="19">
        <f t="shared" si="8"/>
        <v>1.0604805421031191E-3</v>
      </c>
      <c r="E242" s="3">
        <f>Ft!$B$12+Ft!$B$14*(Data!A242-Vars!$B$3)</f>
        <v>0</v>
      </c>
      <c r="F242" s="3">
        <f>IF(($A242-Ft!B$2)&lt;0,Ft!B$3*((1-Ft!B$6)/(1+Ft!B$37*($A242-Ft!B$2)^2)+Ft!B$6*EXP(Ft!B$38*($A242-Ft!B$2)^2)),Ft!B$3*((1-Ft!B$7)/(1+Ft!B$39*($A242-Ft!B$2)^2)+Ft!B$7*EXP(Ft!B$40*($A242-Ft!B$2)^2)))</f>
        <v>7.0554356041567338E-104</v>
      </c>
      <c r="G242" s="3">
        <f>IF(($A242-Ft!C$2)&lt;0,Ft!C$3*((1-Ft!C$6)/(1+Ft!C$37*($A242-Ft!C$2)^2)+Ft!C$6*EXP(Ft!C$38*($A242-Ft!C$2)^2)),Ft!C$3*((1-Ft!C$7)/(1+Ft!C$39*($A242-Ft!C$2)^2)+Ft!C$7*EXP(Ft!C$40*($A242-Ft!C$2)^2)))</f>
        <v>7.081325866601407E-4</v>
      </c>
      <c r="H242" s="3">
        <f>IF(($A242-Ft!D$2)&lt;0,Ft!D$3*((1-Ft!D$6)/(1+Ft!D$37*($A242-Ft!D$2)^2)+Ft!D$6*EXP(Ft!D$38*($A242-Ft!D$2)^2)),Ft!D$3*((1-Ft!D$7)/(1+Ft!D$39*($A242-Ft!D$2)^2)+Ft!D$7*EXP(Ft!D$40*($A242-Ft!D$2)^2)))</f>
        <v>18.48420470164929</v>
      </c>
      <c r="I242" s="3">
        <f>IF(($A242-Ft!E$2)&lt;0,Ft!E$3*((1-Ft!E$6)/(1+Ft!E$37*($A242-Ft!E$2)^2)+Ft!E$6*EXP(Ft!E$38*($A242-Ft!E$2)^2)),Ft!E$3*((1-Ft!E$7)/(1+Ft!E$39*($A242-Ft!E$2)^2)+Ft!E$7*EXP(Ft!E$40*($A242-Ft!E$2)^2)))</f>
        <v>0.81147827049372678</v>
      </c>
      <c r="J242" s="3">
        <f>IF(($A242-Ft!F$2)&lt;0,Ft!F$3*((1-Ft!F$6)/(1+Ft!F$37*($A242-Ft!F$2)^2)+Ft!F$6*EXP(Ft!F$38*($A242-Ft!F$2)^2)),Ft!F$3*((1-Ft!F$7)/(1+Ft!F$39*($A242-Ft!F$2)^2)+Ft!F$7*EXP(Ft!F$40*($A242-Ft!F$2)^2)))</f>
        <v>9.725286725689205E-32</v>
      </c>
      <c r="K242" s="3">
        <f>IF(($A242-Ft!G$2)&lt;0,Ft!G$3*((1-Ft!G$6)/(1+Ft!G$37*($A242-Ft!G$2)^2)+Ft!G$6*EXP(Ft!G$38*($A242-Ft!G$2)^2)),Ft!G$3*((1-Ft!G$7)/(1+Ft!G$39*($A242-Ft!G$2)^2)+Ft!G$7*EXP(Ft!G$40*($A242-Ft!G$2)^2)))</f>
        <v>6.5793003080714272E-132</v>
      </c>
      <c r="L242" s="3">
        <f>IF(($A242-Ft!H$2)&lt;0,Ft!H$3*((1-Ft!H$6)/(1+Ft!H$37*($A242-Ft!H$2)^2)+Ft!H$6*EXP(Ft!H$38*($A242-Ft!H$2)^2)),Ft!H$3*((1-Ft!H$7)/(1+Ft!H$39*($A242-Ft!H$2)^2)+Ft!H$7*EXP(Ft!H$40*($A242-Ft!H$2)^2)))</f>
        <v>0</v>
      </c>
      <c r="M242" s="3">
        <f>IF(($A242-Ft!I$2)&lt;0,Ft!I$3*((1-Ft!I$6)/(1+Ft!I$37*($A242-Ft!I$2)^2)+Ft!I$6*EXP(Ft!I$38*($A242-Ft!I$2)^2)),Ft!I$3*((1-Ft!I$7)/(1+Ft!I$39*($A242-Ft!I$2)^2)+Ft!I$7*EXP(Ft!I$40*($A242-Ft!I$2)^2)))</f>
        <v>0</v>
      </c>
      <c r="N242" s="3">
        <f>IF(($A242-Ft!J$2)&lt;0,Ft!J$3*((1-Ft!J$6)/(1+Ft!J$37*($A242-Ft!J$2)^2)+Ft!J$6*EXP(Ft!J$38*($A242-Ft!J$2)^2)),Ft!J$3*((1-Ft!J$7)/(1+Ft!J$39*($A242-Ft!J$2)^2)+Ft!J$7*EXP(Ft!J$40*($A242-Ft!J$2)^2)))</f>
        <v>0</v>
      </c>
      <c r="O242" s="3">
        <f>IF(($A242-Ft!K$2)&lt;0,Ft!K$3*((1-Ft!K$6)/(1+Ft!K$37*($A242-Ft!K$2)^2)+Ft!K$6*EXP(Ft!K$38*($A242-Ft!K$2)^2)),Ft!K$3*((1-Ft!K$7)/(1+Ft!K$39*($A242-Ft!K$2)^2)+Ft!K$7*EXP(Ft!K$40*($A242-Ft!K$2)^2)))</f>
        <v>0</v>
      </c>
      <c r="P242"/>
      <c r="Q242"/>
    </row>
    <row r="243" spans="1:17">
      <c r="A243">
        <v>482</v>
      </c>
      <c r="B243">
        <v>19.259444439307998</v>
      </c>
      <c r="C243" s="6">
        <f t="shared" si="7"/>
        <v>19.289491245712167</v>
      </c>
      <c r="D243" s="19">
        <f t="shared" si="8"/>
        <v>9.0281057508959865E-4</v>
      </c>
      <c r="E243" s="3">
        <f>Ft!$B$12+Ft!$B$14*(Data!A243-Vars!$B$3)</f>
        <v>0</v>
      </c>
      <c r="F243" s="3">
        <f>IF(($A243-Ft!B$2)&lt;0,Ft!B$3*((1-Ft!B$6)/(1+Ft!B$37*($A243-Ft!B$2)^2)+Ft!B$6*EXP(Ft!B$38*($A243-Ft!B$2)^2)),Ft!B$3*((1-Ft!B$7)/(1+Ft!B$39*($A243-Ft!B$2)^2)+Ft!B$7*EXP(Ft!B$40*($A243-Ft!B$2)^2)))</f>
        <v>7.8026814460226904E-105</v>
      </c>
      <c r="G243" s="3">
        <f>IF(($A243-Ft!C$2)&lt;0,Ft!C$3*((1-Ft!C$6)/(1+Ft!C$37*($A243-Ft!C$2)^2)+Ft!C$6*EXP(Ft!C$38*($A243-Ft!C$2)^2)),Ft!C$3*((1-Ft!C$7)/(1+Ft!C$39*($A243-Ft!C$2)^2)+Ft!C$7*EXP(Ft!C$40*($A243-Ft!C$2)^2)))</f>
        <v>6.3361921073670432E-4</v>
      </c>
      <c r="H243" s="3">
        <f>IF(($A243-Ft!D$2)&lt;0,Ft!D$3*((1-Ft!D$6)/(1+Ft!D$37*($A243-Ft!D$2)^2)+Ft!D$6*EXP(Ft!D$38*($A243-Ft!D$2)^2)),Ft!D$3*((1-Ft!D$7)/(1+Ft!D$39*($A243-Ft!D$2)^2)+Ft!D$7*EXP(Ft!D$40*($A243-Ft!D$2)^2)))</f>
        <v>18.448996730741687</v>
      </c>
      <c r="I243" s="3">
        <f>IF(($A243-Ft!E$2)&lt;0,Ft!E$3*((1-Ft!E$6)/(1+Ft!E$37*($A243-Ft!E$2)^2)+Ft!E$6*EXP(Ft!E$38*($A243-Ft!E$2)^2)),Ft!E$3*((1-Ft!E$7)/(1+Ft!E$39*($A243-Ft!E$2)^2)+Ft!E$7*EXP(Ft!E$40*($A243-Ft!E$2)^2)))</f>
        <v>0.83986089575974232</v>
      </c>
      <c r="J243" s="3">
        <f>IF(($A243-Ft!F$2)&lt;0,Ft!F$3*((1-Ft!F$6)/(1+Ft!F$37*($A243-Ft!F$2)^2)+Ft!F$6*EXP(Ft!F$38*($A243-Ft!F$2)^2)),Ft!F$3*((1-Ft!F$7)/(1+Ft!F$39*($A243-Ft!F$2)^2)+Ft!F$7*EXP(Ft!F$40*($A243-Ft!F$2)^2)))</f>
        <v>1.7016050357041781E-31</v>
      </c>
      <c r="K243" s="3">
        <f>IF(($A243-Ft!G$2)&lt;0,Ft!G$3*((1-Ft!G$6)/(1+Ft!G$37*($A243-Ft!G$2)^2)+Ft!G$6*EXP(Ft!G$38*($A243-Ft!G$2)^2)),Ft!G$3*((1-Ft!G$7)/(1+Ft!G$39*($A243-Ft!G$2)^2)+Ft!G$7*EXP(Ft!G$40*($A243-Ft!G$2)^2)))</f>
        <v>5.6266980390721124E-131</v>
      </c>
      <c r="L243" s="3">
        <f>IF(($A243-Ft!H$2)&lt;0,Ft!H$3*((1-Ft!H$6)/(1+Ft!H$37*($A243-Ft!H$2)^2)+Ft!H$6*EXP(Ft!H$38*($A243-Ft!H$2)^2)),Ft!H$3*((1-Ft!H$7)/(1+Ft!H$39*($A243-Ft!H$2)^2)+Ft!H$7*EXP(Ft!H$40*($A243-Ft!H$2)^2)))</f>
        <v>0</v>
      </c>
      <c r="M243" s="3">
        <f>IF(($A243-Ft!I$2)&lt;0,Ft!I$3*((1-Ft!I$6)/(1+Ft!I$37*($A243-Ft!I$2)^2)+Ft!I$6*EXP(Ft!I$38*($A243-Ft!I$2)^2)),Ft!I$3*((1-Ft!I$7)/(1+Ft!I$39*($A243-Ft!I$2)^2)+Ft!I$7*EXP(Ft!I$40*($A243-Ft!I$2)^2)))</f>
        <v>0</v>
      </c>
      <c r="N243" s="3">
        <f>IF(($A243-Ft!J$2)&lt;0,Ft!J$3*((1-Ft!J$6)/(1+Ft!J$37*($A243-Ft!J$2)^2)+Ft!J$6*EXP(Ft!J$38*($A243-Ft!J$2)^2)),Ft!J$3*((1-Ft!J$7)/(1+Ft!J$39*($A243-Ft!J$2)^2)+Ft!J$7*EXP(Ft!J$40*($A243-Ft!J$2)^2)))</f>
        <v>0</v>
      </c>
      <c r="O243" s="3">
        <f>IF(($A243-Ft!K$2)&lt;0,Ft!K$3*((1-Ft!K$6)/(1+Ft!K$37*($A243-Ft!K$2)^2)+Ft!K$6*EXP(Ft!K$38*($A243-Ft!K$2)^2)),Ft!K$3*((1-Ft!K$7)/(1+Ft!K$39*($A243-Ft!K$2)^2)+Ft!K$7*EXP(Ft!K$40*($A243-Ft!K$2)^2)))</f>
        <v>0</v>
      </c>
      <c r="P243"/>
      <c r="Q243"/>
    </row>
    <row r="244" spans="1:17">
      <c r="A244">
        <v>484</v>
      </c>
      <c r="B244">
        <v>19.253503268020992</v>
      </c>
      <c r="C244" s="6">
        <f t="shared" si="7"/>
        <v>19.280836605478715</v>
      </c>
      <c r="D244" s="19">
        <f t="shared" si="8"/>
        <v>7.4711133657774718E-4</v>
      </c>
      <c r="E244" s="3">
        <f>Ft!$B$12+Ft!$B$14*(Data!A244-Vars!$B$3)</f>
        <v>0</v>
      </c>
      <c r="F244" s="3">
        <f>IF(($A244-Ft!B$2)&lt;0,Ft!B$3*((1-Ft!B$6)/(1+Ft!B$37*($A244-Ft!B$2)^2)+Ft!B$6*EXP(Ft!B$38*($A244-Ft!B$2)^2)),Ft!B$3*((1-Ft!B$7)/(1+Ft!B$39*($A244-Ft!B$2)^2)+Ft!B$7*EXP(Ft!B$40*($A244-Ft!B$2)^2)))</f>
        <v>8.5422642495287162E-106</v>
      </c>
      <c r="G244" s="3">
        <f>IF(($A244-Ft!C$2)&lt;0,Ft!C$3*((1-Ft!C$6)/(1+Ft!C$37*($A244-Ft!C$2)^2)+Ft!C$6*EXP(Ft!C$38*($A244-Ft!C$2)^2)),Ft!C$3*((1-Ft!C$7)/(1+Ft!C$39*($A244-Ft!C$2)^2)+Ft!C$7*EXP(Ft!C$40*($A244-Ft!C$2)^2)))</f>
        <v>5.6657841416108995E-4</v>
      </c>
      <c r="H244" s="3">
        <f>IF(($A244-Ft!D$2)&lt;0,Ft!D$3*((1-Ft!D$6)/(1+Ft!D$37*($A244-Ft!D$2)^2)+Ft!D$6*EXP(Ft!D$38*($A244-Ft!D$2)^2)),Ft!D$3*((1-Ft!D$7)/(1+Ft!D$39*($A244-Ft!D$2)^2)+Ft!D$7*EXP(Ft!D$40*($A244-Ft!D$2)^2)))</f>
        <v>18.411208792821711</v>
      </c>
      <c r="I244" s="3">
        <f>IF(($A244-Ft!E$2)&lt;0,Ft!E$3*((1-Ft!E$6)/(1+Ft!E$37*($A244-Ft!E$2)^2)+Ft!E$6*EXP(Ft!E$38*($A244-Ft!E$2)^2)),Ft!E$3*((1-Ft!E$7)/(1+Ft!E$39*($A244-Ft!E$2)^2)+Ft!E$7*EXP(Ft!E$40*($A244-Ft!E$2)^2)))</f>
        <v>0.86906123424284076</v>
      </c>
      <c r="J244" s="3">
        <f>IF(($A244-Ft!F$2)&lt;0,Ft!F$3*((1-Ft!F$6)/(1+Ft!F$37*($A244-Ft!F$2)^2)+Ft!F$6*EXP(Ft!F$38*($A244-Ft!F$2)^2)),Ft!F$3*((1-Ft!F$7)/(1+Ft!F$39*($A244-Ft!F$2)^2)+Ft!F$7*EXP(Ft!F$40*($A244-Ft!F$2)^2)))</f>
        <v>2.970847671419398E-31</v>
      </c>
      <c r="K244" s="3">
        <f>IF(($A244-Ft!G$2)&lt;0,Ft!G$3*((1-Ft!G$6)/(1+Ft!G$37*($A244-Ft!G$2)^2)+Ft!G$6*EXP(Ft!G$38*($A244-Ft!G$2)^2)),Ft!G$3*((1-Ft!G$7)/(1+Ft!G$39*($A244-Ft!G$2)^2)+Ft!G$7*EXP(Ft!G$40*($A244-Ft!G$2)^2)))</f>
        <v>4.7755614777091375E-130</v>
      </c>
      <c r="L244" s="3">
        <f>IF(($A244-Ft!H$2)&lt;0,Ft!H$3*((1-Ft!H$6)/(1+Ft!H$37*($A244-Ft!H$2)^2)+Ft!H$6*EXP(Ft!H$38*($A244-Ft!H$2)^2)),Ft!H$3*((1-Ft!H$7)/(1+Ft!H$39*($A244-Ft!H$2)^2)+Ft!H$7*EXP(Ft!H$40*($A244-Ft!H$2)^2)))</f>
        <v>0</v>
      </c>
      <c r="M244" s="3">
        <f>IF(($A244-Ft!I$2)&lt;0,Ft!I$3*((1-Ft!I$6)/(1+Ft!I$37*($A244-Ft!I$2)^2)+Ft!I$6*EXP(Ft!I$38*($A244-Ft!I$2)^2)),Ft!I$3*((1-Ft!I$7)/(1+Ft!I$39*($A244-Ft!I$2)^2)+Ft!I$7*EXP(Ft!I$40*($A244-Ft!I$2)^2)))</f>
        <v>0</v>
      </c>
      <c r="N244" s="3">
        <f>IF(($A244-Ft!J$2)&lt;0,Ft!J$3*((1-Ft!J$6)/(1+Ft!J$37*($A244-Ft!J$2)^2)+Ft!J$6*EXP(Ft!J$38*($A244-Ft!J$2)^2)),Ft!J$3*((1-Ft!J$7)/(1+Ft!J$39*($A244-Ft!J$2)^2)+Ft!J$7*EXP(Ft!J$40*($A244-Ft!J$2)^2)))</f>
        <v>0</v>
      </c>
      <c r="O244" s="3">
        <f>IF(($A244-Ft!K$2)&lt;0,Ft!K$3*((1-Ft!K$6)/(1+Ft!K$37*($A244-Ft!K$2)^2)+Ft!K$6*EXP(Ft!K$38*($A244-Ft!K$2)^2)),Ft!K$3*((1-Ft!K$7)/(1+Ft!K$39*($A244-Ft!K$2)^2)+Ft!K$7*EXP(Ft!K$40*($A244-Ft!K$2)^2)))</f>
        <v>0</v>
      </c>
      <c r="P244"/>
      <c r="Q244"/>
    </row>
    <row r="245" spans="1:17">
      <c r="A245">
        <v>486</v>
      </c>
      <c r="B245">
        <v>19.245939034822001</v>
      </c>
      <c r="C245" s="6">
        <f t="shared" si="7"/>
        <v>19.27045908091948</v>
      </c>
      <c r="D245" s="19">
        <f t="shared" si="8"/>
        <v>6.0123266062247539E-4</v>
      </c>
      <c r="E245" s="3">
        <f>Ft!$B$12+Ft!$B$14*(Data!A245-Vars!$B$3)</f>
        <v>0</v>
      </c>
      <c r="F245" s="3">
        <f>IF(($A245-Ft!B$2)&lt;0,Ft!B$3*((1-Ft!B$6)/(1+Ft!B$37*($A245-Ft!B$2)^2)+Ft!B$6*EXP(Ft!B$38*($A245-Ft!B$2)^2)),Ft!B$3*((1-Ft!B$7)/(1+Ft!B$39*($A245-Ft!B$2)^2)+Ft!B$7*EXP(Ft!B$40*($A245-Ft!B$2)^2)))</f>
        <v>9.2578727715672786E-107</v>
      </c>
      <c r="G245" s="3">
        <f>IF(($A245-Ft!C$2)&lt;0,Ft!C$3*((1-Ft!C$6)/(1+Ft!C$37*($A245-Ft!C$2)^2)+Ft!C$6*EXP(Ft!C$38*($A245-Ft!C$2)^2)),Ft!C$3*((1-Ft!C$7)/(1+Ft!C$39*($A245-Ft!C$2)^2)+Ft!C$7*EXP(Ft!C$40*($A245-Ft!C$2)^2)))</f>
        <v>5.0630200243321458E-4</v>
      </c>
      <c r="H245" s="3">
        <f>IF(($A245-Ft!D$2)&lt;0,Ft!D$3*((1-Ft!D$6)/(1+Ft!D$37*($A245-Ft!D$2)^2)+Ft!D$6*EXP(Ft!D$38*($A245-Ft!D$2)^2)),Ft!D$3*((1-Ft!D$7)/(1+Ft!D$39*($A245-Ft!D$2)^2)+Ft!D$7*EXP(Ft!D$40*($A245-Ft!D$2)^2)))</f>
        <v>18.370857025337841</v>
      </c>
      <c r="I245" s="3">
        <f>IF(($A245-Ft!E$2)&lt;0,Ft!E$3*((1-Ft!E$6)/(1+Ft!E$37*($A245-Ft!E$2)^2)+Ft!E$6*EXP(Ft!E$38*($A245-Ft!E$2)^2)),Ft!E$3*((1-Ft!E$7)/(1+Ft!E$39*($A245-Ft!E$2)^2)+Ft!E$7*EXP(Ft!E$40*($A245-Ft!E$2)^2)))</f>
        <v>0.89909575357920701</v>
      </c>
      <c r="J245" s="3">
        <f>IF(($A245-Ft!F$2)&lt;0,Ft!F$3*((1-Ft!F$6)/(1+Ft!F$37*($A245-Ft!F$2)^2)+Ft!F$6*EXP(Ft!F$38*($A245-Ft!F$2)^2)),Ft!F$3*((1-Ft!F$7)/(1+Ft!F$39*($A245-Ft!F$2)^2)+Ft!F$7*EXP(Ft!F$40*($A245-Ft!F$2)^2)))</f>
        <v>5.1756783702156444E-31</v>
      </c>
      <c r="K245" s="3">
        <f>IF(($A245-Ft!G$2)&lt;0,Ft!G$3*((1-Ft!G$6)/(1+Ft!G$37*($A245-Ft!G$2)^2)+Ft!G$6*EXP(Ft!G$38*($A245-Ft!G$2)^2)),Ft!G$3*((1-Ft!G$7)/(1+Ft!G$39*($A245-Ft!G$2)^2)+Ft!G$7*EXP(Ft!G$40*($A245-Ft!G$2)^2)))</f>
        <v>4.0224643492134703E-129</v>
      </c>
      <c r="L245" s="3">
        <f>IF(($A245-Ft!H$2)&lt;0,Ft!H$3*((1-Ft!H$6)/(1+Ft!H$37*($A245-Ft!H$2)^2)+Ft!H$6*EXP(Ft!H$38*($A245-Ft!H$2)^2)),Ft!H$3*((1-Ft!H$7)/(1+Ft!H$39*($A245-Ft!H$2)^2)+Ft!H$7*EXP(Ft!H$40*($A245-Ft!H$2)^2)))</f>
        <v>0</v>
      </c>
      <c r="M245" s="3">
        <f>IF(($A245-Ft!I$2)&lt;0,Ft!I$3*((1-Ft!I$6)/(1+Ft!I$37*($A245-Ft!I$2)^2)+Ft!I$6*EXP(Ft!I$38*($A245-Ft!I$2)^2)),Ft!I$3*((1-Ft!I$7)/(1+Ft!I$39*($A245-Ft!I$2)^2)+Ft!I$7*EXP(Ft!I$40*($A245-Ft!I$2)^2)))</f>
        <v>0</v>
      </c>
      <c r="N245" s="3">
        <f>IF(($A245-Ft!J$2)&lt;0,Ft!J$3*((1-Ft!J$6)/(1+Ft!J$37*($A245-Ft!J$2)^2)+Ft!J$6*EXP(Ft!J$38*($A245-Ft!J$2)^2)),Ft!J$3*((1-Ft!J$7)/(1+Ft!J$39*($A245-Ft!J$2)^2)+Ft!J$7*EXP(Ft!J$40*($A245-Ft!J$2)^2)))</f>
        <v>0</v>
      </c>
      <c r="O245" s="3">
        <f>IF(($A245-Ft!K$2)&lt;0,Ft!K$3*((1-Ft!K$6)/(1+Ft!K$37*($A245-Ft!K$2)^2)+Ft!K$6*EXP(Ft!K$38*($A245-Ft!K$2)^2)),Ft!K$3*((1-Ft!K$7)/(1+Ft!K$39*($A245-Ft!K$2)^2)+Ft!K$7*EXP(Ft!K$40*($A245-Ft!K$2)^2)))</f>
        <v>0</v>
      </c>
      <c r="P245"/>
      <c r="Q245"/>
    </row>
    <row r="246" spans="1:17">
      <c r="A246">
        <v>488</v>
      </c>
      <c r="B246">
        <v>19.236688203886999</v>
      </c>
      <c r="C246" s="6">
        <f t="shared" si="7"/>
        <v>19.258391760131403</v>
      </c>
      <c r="D246" s="19">
        <f t="shared" si="8"/>
        <v>4.7104435365400349E-4</v>
      </c>
      <c r="E246" s="3">
        <f>Ft!$B$12+Ft!$B$14*(Data!A246-Vars!$B$3)</f>
        <v>0</v>
      </c>
      <c r="F246" s="3">
        <f>IF(($A246-Ft!B$2)&lt;0,Ft!B$3*((1-Ft!B$6)/(1+Ft!B$37*($A246-Ft!B$2)^2)+Ft!B$6*EXP(Ft!B$38*($A246-Ft!B$2)^2)),Ft!B$3*((1-Ft!B$7)/(1+Ft!B$39*($A246-Ft!B$2)^2)+Ft!B$7*EXP(Ft!B$40*($A246-Ft!B$2)^2)))</f>
        <v>9.9324982039695226E-108</v>
      </c>
      <c r="G246" s="3">
        <f>IF(($A246-Ft!C$2)&lt;0,Ft!C$3*((1-Ft!C$6)/(1+Ft!C$37*($A246-Ft!C$2)^2)+Ft!C$6*EXP(Ft!C$38*($A246-Ft!C$2)^2)),Ft!C$3*((1-Ft!C$7)/(1+Ft!C$39*($A246-Ft!C$2)^2)+Ft!C$7*EXP(Ft!C$40*($A246-Ft!C$2)^2)))</f>
        <v>4.5214444321814564E-4</v>
      </c>
      <c r="H246" s="3">
        <f>IF(($A246-Ft!D$2)&lt;0,Ft!D$3*((1-Ft!D$6)/(1+Ft!D$37*($A246-Ft!D$2)^2)+Ft!D$6*EXP(Ft!D$38*($A246-Ft!D$2)^2)),Ft!D$3*((1-Ft!D$7)/(1+Ft!D$39*($A246-Ft!D$2)^2)+Ft!D$7*EXP(Ft!D$40*($A246-Ft!D$2)^2)))</f>
        <v>18.327958636010649</v>
      </c>
      <c r="I246" s="3">
        <f>IF(($A246-Ft!E$2)&lt;0,Ft!E$3*((1-Ft!E$6)/(1+Ft!E$37*($A246-Ft!E$2)^2)+Ft!E$6*EXP(Ft!E$38*($A246-Ft!E$2)^2)),Ft!E$3*((1-Ft!E$7)/(1+Ft!E$39*($A246-Ft!E$2)^2)+Ft!E$7*EXP(Ft!E$40*($A246-Ft!E$2)^2)))</f>
        <v>0.92998097967753568</v>
      </c>
      <c r="J246" s="3">
        <f>IF(($A246-Ft!F$2)&lt;0,Ft!F$3*((1-Ft!F$6)/(1+Ft!F$37*($A246-Ft!F$2)^2)+Ft!F$6*EXP(Ft!F$38*($A246-Ft!F$2)^2)),Ft!F$3*((1-Ft!F$7)/(1+Ft!F$39*($A246-Ft!F$2)^2)+Ft!F$7*EXP(Ft!F$40*($A246-Ft!F$2)^2)))</f>
        <v>8.9974501815628115E-31</v>
      </c>
      <c r="K246" s="3">
        <f>IF(($A246-Ft!G$2)&lt;0,Ft!G$3*((1-Ft!G$6)/(1+Ft!G$37*($A246-Ft!G$2)^2)+Ft!G$6*EXP(Ft!G$38*($A246-Ft!G$2)^2)),Ft!G$3*((1-Ft!G$7)/(1+Ft!G$39*($A246-Ft!G$2)^2)+Ft!G$7*EXP(Ft!G$40*($A246-Ft!G$2)^2)))</f>
        <v>3.362458239026772E-128</v>
      </c>
      <c r="L246" s="3">
        <f>IF(($A246-Ft!H$2)&lt;0,Ft!H$3*((1-Ft!H$6)/(1+Ft!H$37*($A246-Ft!H$2)^2)+Ft!H$6*EXP(Ft!H$38*($A246-Ft!H$2)^2)),Ft!H$3*((1-Ft!H$7)/(1+Ft!H$39*($A246-Ft!H$2)^2)+Ft!H$7*EXP(Ft!H$40*($A246-Ft!H$2)^2)))</f>
        <v>0</v>
      </c>
      <c r="M246" s="3">
        <f>IF(($A246-Ft!I$2)&lt;0,Ft!I$3*((1-Ft!I$6)/(1+Ft!I$37*($A246-Ft!I$2)^2)+Ft!I$6*EXP(Ft!I$38*($A246-Ft!I$2)^2)),Ft!I$3*((1-Ft!I$7)/(1+Ft!I$39*($A246-Ft!I$2)^2)+Ft!I$7*EXP(Ft!I$40*($A246-Ft!I$2)^2)))</f>
        <v>0</v>
      </c>
      <c r="N246" s="3">
        <f>IF(($A246-Ft!J$2)&lt;0,Ft!J$3*((1-Ft!J$6)/(1+Ft!J$37*($A246-Ft!J$2)^2)+Ft!J$6*EXP(Ft!J$38*($A246-Ft!J$2)^2)),Ft!J$3*((1-Ft!J$7)/(1+Ft!J$39*($A246-Ft!J$2)^2)+Ft!J$7*EXP(Ft!J$40*($A246-Ft!J$2)^2)))</f>
        <v>0</v>
      </c>
      <c r="O246" s="3">
        <f>IF(($A246-Ft!K$2)&lt;0,Ft!K$3*((1-Ft!K$6)/(1+Ft!K$37*($A246-Ft!K$2)^2)+Ft!K$6*EXP(Ft!K$38*($A246-Ft!K$2)^2)),Ft!K$3*((1-Ft!K$7)/(1+Ft!K$39*($A246-Ft!K$2)^2)+Ft!K$7*EXP(Ft!K$40*($A246-Ft!K$2)^2)))</f>
        <v>0</v>
      </c>
      <c r="P246"/>
      <c r="Q246"/>
    </row>
    <row r="247" spans="1:17">
      <c r="A247">
        <v>490</v>
      </c>
      <c r="B247">
        <v>19.225006533794001</v>
      </c>
      <c r="C247" s="6">
        <f t="shared" si="7"/>
        <v>19.244668893586166</v>
      </c>
      <c r="D247" s="19">
        <f t="shared" si="8"/>
        <v>3.8660839259652141E-4</v>
      </c>
      <c r="E247" s="3">
        <f>Ft!$B$12+Ft!$B$14*(Data!A247-Vars!$B$3)</f>
        <v>0</v>
      </c>
      <c r="F247" s="3">
        <f>IF(($A247-Ft!B$2)&lt;0,Ft!B$3*((1-Ft!B$6)/(1+Ft!B$37*($A247-Ft!B$2)^2)+Ft!B$6*EXP(Ft!B$38*($A247-Ft!B$2)^2)),Ft!B$3*((1-Ft!B$7)/(1+Ft!B$39*($A247-Ft!B$2)^2)+Ft!B$7*EXP(Ft!B$40*($A247-Ft!B$2)^2)))</f>
        <v>1.0549086737276106E-108</v>
      </c>
      <c r="G247" s="3">
        <f>IF(($A247-Ft!C$2)&lt;0,Ft!C$3*((1-Ft!C$6)/(1+Ft!C$37*($A247-Ft!C$2)^2)+Ft!C$6*EXP(Ft!C$38*($A247-Ft!C$2)^2)),Ft!C$3*((1-Ft!C$7)/(1+Ft!C$39*($A247-Ft!C$2)^2)+Ft!C$7*EXP(Ft!C$40*($A247-Ft!C$2)^2)))</f>
        <v>4.0351778670887263E-4</v>
      </c>
      <c r="H247" s="3">
        <f>IF(($A247-Ft!D$2)&lt;0,Ft!D$3*((1-Ft!D$6)/(1+Ft!D$37*($A247-Ft!D$2)^2)+Ft!D$6*EXP(Ft!D$38*($A247-Ft!D$2)^2)),Ft!D$3*((1-Ft!D$7)/(1+Ft!D$39*($A247-Ft!D$2)^2)+Ft!D$7*EXP(Ft!D$40*($A247-Ft!D$2)^2)))</f>
        <v>18.282531890603824</v>
      </c>
      <c r="I247" s="3">
        <f>IF(($A247-Ft!E$2)&lt;0,Ft!E$3*((1-Ft!E$6)/(1+Ft!E$37*($A247-Ft!E$2)^2)+Ft!E$6*EXP(Ft!E$38*($A247-Ft!E$2)^2)),Ft!E$3*((1-Ft!E$7)/(1+Ft!E$39*($A247-Ft!E$2)^2)+Ft!E$7*EXP(Ft!E$40*($A247-Ft!E$2)^2)))</f>
        <v>0.96173348519563528</v>
      </c>
      <c r="J247" s="3">
        <f>IF(($A247-Ft!F$2)&lt;0,Ft!F$3*((1-Ft!F$6)/(1+Ft!F$37*($A247-Ft!F$2)^2)+Ft!F$6*EXP(Ft!F$38*($A247-Ft!F$2)^2)),Ft!F$3*((1-Ft!F$7)/(1+Ft!F$39*($A247-Ft!F$2)^2)+Ft!F$7*EXP(Ft!F$40*($A247-Ft!F$2)^2)))</f>
        <v>1.5607627634305082E-30</v>
      </c>
      <c r="K247" s="3">
        <f>IF(($A247-Ft!G$2)&lt;0,Ft!G$3*((1-Ft!G$6)/(1+Ft!G$37*($A247-Ft!G$2)^2)+Ft!G$6*EXP(Ft!G$38*($A247-Ft!G$2)^2)),Ft!G$3*((1-Ft!G$7)/(1+Ft!G$39*($A247-Ft!G$2)^2)+Ft!G$7*EXP(Ft!G$40*($A247-Ft!G$2)^2)))</f>
        <v>2.789449650974823E-127</v>
      </c>
      <c r="L247" s="3">
        <f>IF(($A247-Ft!H$2)&lt;0,Ft!H$3*((1-Ft!H$6)/(1+Ft!H$37*($A247-Ft!H$2)^2)+Ft!H$6*EXP(Ft!H$38*($A247-Ft!H$2)^2)),Ft!H$3*((1-Ft!H$7)/(1+Ft!H$39*($A247-Ft!H$2)^2)+Ft!H$7*EXP(Ft!H$40*($A247-Ft!H$2)^2)))</f>
        <v>0</v>
      </c>
      <c r="M247" s="3">
        <f>IF(($A247-Ft!I$2)&lt;0,Ft!I$3*((1-Ft!I$6)/(1+Ft!I$37*($A247-Ft!I$2)^2)+Ft!I$6*EXP(Ft!I$38*($A247-Ft!I$2)^2)),Ft!I$3*((1-Ft!I$7)/(1+Ft!I$39*($A247-Ft!I$2)^2)+Ft!I$7*EXP(Ft!I$40*($A247-Ft!I$2)^2)))</f>
        <v>0</v>
      </c>
      <c r="N247" s="3">
        <f>IF(($A247-Ft!J$2)&lt;0,Ft!J$3*((1-Ft!J$6)/(1+Ft!J$37*($A247-Ft!J$2)^2)+Ft!J$6*EXP(Ft!J$38*($A247-Ft!J$2)^2)),Ft!J$3*((1-Ft!J$7)/(1+Ft!J$39*($A247-Ft!J$2)^2)+Ft!J$7*EXP(Ft!J$40*($A247-Ft!J$2)^2)))</f>
        <v>0</v>
      </c>
      <c r="O247" s="3">
        <f>IF(($A247-Ft!K$2)&lt;0,Ft!K$3*((1-Ft!K$6)/(1+Ft!K$37*($A247-Ft!K$2)^2)+Ft!K$6*EXP(Ft!K$38*($A247-Ft!K$2)^2)),Ft!K$3*((1-Ft!K$7)/(1+Ft!K$39*($A247-Ft!K$2)^2)+Ft!K$7*EXP(Ft!K$40*($A247-Ft!K$2)^2)))</f>
        <v>0</v>
      </c>
      <c r="P247"/>
      <c r="Q247"/>
    </row>
    <row r="248" spans="1:17">
      <c r="A248">
        <v>492</v>
      </c>
      <c r="B248">
        <v>19.207366143632996</v>
      </c>
      <c r="C248" s="6">
        <f t="shared" si="7"/>
        <v>19.229325864486448</v>
      </c>
      <c r="D248" s="19">
        <f t="shared" si="8"/>
        <v>4.8222933996154891E-4</v>
      </c>
      <c r="E248" s="3">
        <f>Ft!$B$12+Ft!$B$14*(Data!A248-Vars!$B$3)</f>
        <v>0</v>
      </c>
      <c r="F248" s="3">
        <f>IF(($A248-Ft!B$2)&lt;0,Ft!B$3*((1-Ft!B$6)/(1+Ft!B$37*($A248-Ft!B$2)^2)+Ft!B$6*EXP(Ft!B$38*($A248-Ft!B$2)^2)),Ft!B$3*((1-Ft!B$7)/(1+Ft!B$39*($A248-Ft!B$2)^2)+Ft!B$7*EXP(Ft!B$40*($A248-Ft!B$2)^2)))</f>
        <v>1.1091245343034902E-109</v>
      </c>
      <c r="G248" s="3">
        <f>IF(($A248-Ft!C$2)&lt;0,Ft!C$3*((1-Ft!C$6)/(1+Ft!C$37*($A248-Ft!C$2)^2)+Ft!C$6*EXP(Ft!C$38*($A248-Ft!C$2)^2)),Ft!C$3*((1-Ft!C$7)/(1+Ft!C$39*($A248-Ft!C$2)^2)+Ft!C$7*EXP(Ft!C$40*($A248-Ft!C$2)^2)))</f>
        <v>3.5988695099941834E-4</v>
      </c>
      <c r="H248" s="3">
        <f>IF(($A248-Ft!D$2)&lt;0,Ft!D$3*((1-Ft!D$6)/(1+Ft!D$37*($A248-Ft!D$2)^2)+Ft!D$6*EXP(Ft!D$38*($A248-Ft!D$2)^2)),Ft!D$3*((1-Ft!D$7)/(1+Ft!D$39*($A248-Ft!D$2)^2)+Ft!D$7*EXP(Ft!D$40*($A248-Ft!D$2)^2)))</f>
        <v>18.234596099963294</v>
      </c>
      <c r="I248" s="3">
        <f>IF(($A248-Ft!E$2)&lt;0,Ft!E$3*((1-Ft!E$6)/(1+Ft!E$37*($A248-Ft!E$2)^2)+Ft!E$6*EXP(Ft!E$38*($A248-Ft!E$2)^2)),Ft!E$3*((1-Ft!E$7)/(1+Ft!E$39*($A248-Ft!E$2)^2)+Ft!E$7*EXP(Ft!E$40*($A248-Ft!E$2)^2)))</f>
        <v>0.99436987757215511</v>
      </c>
      <c r="J248" s="3">
        <f>IF(($A248-Ft!F$2)&lt;0,Ft!F$3*((1-Ft!F$6)/(1+Ft!F$37*($A248-Ft!F$2)^2)+Ft!F$6*EXP(Ft!F$38*($A248-Ft!F$2)^2)),Ft!F$3*((1-Ft!F$7)/(1+Ft!F$39*($A248-Ft!F$2)^2)+Ft!F$7*EXP(Ft!F$40*($A248-Ft!F$2)^2)))</f>
        <v>2.7015910804840969E-30</v>
      </c>
      <c r="K248" s="3">
        <f>IF(($A248-Ft!G$2)&lt;0,Ft!G$3*((1-Ft!G$6)/(1+Ft!G$37*($A248-Ft!G$2)^2)+Ft!G$6*EXP(Ft!G$38*($A248-Ft!G$2)^2)),Ft!G$3*((1-Ft!G$7)/(1+Ft!G$39*($A248-Ft!G$2)^2)+Ft!G$7*EXP(Ft!G$40*($A248-Ft!G$2)^2)))</f>
        <v>2.2965562477323703E-126</v>
      </c>
      <c r="L248" s="3">
        <f>IF(($A248-Ft!H$2)&lt;0,Ft!H$3*((1-Ft!H$6)/(1+Ft!H$37*($A248-Ft!H$2)^2)+Ft!H$6*EXP(Ft!H$38*($A248-Ft!H$2)^2)),Ft!H$3*((1-Ft!H$7)/(1+Ft!H$39*($A248-Ft!H$2)^2)+Ft!H$7*EXP(Ft!H$40*($A248-Ft!H$2)^2)))</f>
        <v>0</v>
      </c>
      <c r="M248" s="3">
        <f>IF(($A248-Ft!I$2)&lt;0,Ft!I$3*((1-Ft!I$6)/(1+Ft!I$37*($A248-Ft!I$2)^2)+Ft!I$6*EXP(Ft!I$38*($A248-Ft!I$2)^2)),Ft!I$3*((1-Ft!I$7)/(1+Ft!I$39*($A248-Ft!I$2)^2)+Ft!I$7*EXP(Ft!I$40*($A248-Ft!I$2)^2)))</f>
        <v>0</v>
      </c>
      <c r="N248" s="3">
        <f>IF(($A248-Ft!J$2)&lt;0,Ft!J$3*((1-Ft!J$6)/(1+Ft!J$37*($A248-Ft!J$2)^2)+Ft!J$6*EXP(Ft!J$38*($A248-Ft!J$2)^2)),Ft!J$3*((1-Ft!J$7)/(1+Ft!J$39*($A248-Ft!J$2)^2)+Ft!J$7*EXP(Ft!J$40*($A248-Ft!J$2)^2)))</f>
        <v>0</v>
      </c>
      <c r="O248" s="3">
        <f>IF(($A248-Ft!K$2)&lt;0,Ft!K$3*((1-Ft!K$6)/(1+Ft!K$37*($A248-Ft!K$2)^2)+Ft!K$6*EXP(Ft!K$38*($A248-Ft!K$2)^2)),Ft!K$3*((1-Ft!K$7)/(1+Ft!K$39*($A248-Ft!K$2)^2)+Ft!K$7*EXP(Ft!K$40*($A248-Ft!K$2)^2)))</f>
        <v>0</v>
      </c>
      <c r="P248"/>
      <c r="Q248"/>
    </row>
    <row r="249" spans="1:17">
      <c r="A249">
        <v>494</v>
      </c>
      <c r="B249">
        <v>19.184606951437999</v>
      </c>
      <c r="C249" s="6">
        <f t="shared" si="7"/>
        <v>19.212399158300993</v>
      </c>
      <c r="D249" s="19">
        <f t="shared" si="8"/>
        <v>7.7240676231545675E-4</v>
      </c>
      <c r="E249" s="3">
        <f>Ft!$B$12+Ft!$B$14*(Data!A249-Vars!$B$3)</f>
        <v>0</v>
      </c>
      <c r="F249" s="3">
        <f>IF(($A249-Ft!B$2)&lt;0,Ft!B$3*((1-Ft!B$6)/(1+Ft!B$37*($A249-Ft!B$2)^2)+Ft!B$6*EXP(Ft!B$38*($A249-Ft!B$2)^2)),Ft!B$3*((1-Ft!B$7)/(1+Ft!B$39*($A249-Ft!B$2)^2)+Ft!B$7*EXP(Ft!B$40*($A249-Ft!B$2)^2)))</f>
        <v>1.1543960765672543E-110</v>
      </c>
      <c r="G249" s="3">
        <f>IF(($A249-Ft!C$2)&lt;0,Ft!C$3*((1-Ft!C$6)/(1+Ft!C$37*($A249-Ft!C$2)^2)+Ft!C$6*EXP(Ft!C$38*($A249-Ft!C$2)^2)),Ft!C$3*((1-Ft!C$7)/(1+Ft!C$39*($A249-Ft!C$2)^2)+Ft!C$7*EXP(Ft!C$40*($A249-Ft!C$2)^2)))</f>
        <v>3.2076535079566453E-4</v>
      </c>
      <c r="H249" s="3">
        <f>IF(($A249-Ft!D$2)&lt;0,Ft!D$3*((1-Ft!D$6)/(1+Ft!D$37*($A249-Ft!D$2)^2)+Ft!D$6*EXP(Ft!D$38*($A249-Ft!D$2)^2)),Ft!D$3*((1-Ft!D$7)/(1+Ft!D$39*($A249-Ft!D$2)^2)+Ft!D$7*EXP(Ft!D$40*($A249-Ft!D$2)^2)))</f>
        <v>18.184171606337337</v>
      </c>
      <c r="I249" s="3">
        <f>IF(($A249-Ft!E$2)&lt;0,Ft!E$3*((1-Ft!E$6)/(1+Ft!E$37*($A249-Ft!E$2)^2)+Ft!E$6*EXP(Ft!E$38*($A249-Ft!E$2)^2)),Ft!E$3*((1-Ft!E$7)/(1+Ft!E$39*($A249-Ft!E$2)^2)+Ft!E$7*EXP(Ft!E$40*($A249-Ft!E$2)^2)))</f>
        <v>1.0279067866128593</v>
      </c>
      <c r="J249" s="3">
        <f>IF(($A249-Ft!F$2)&lt;0,Ft!F$3*((1-Ft!F$6)/(1+Ft!F$37*($A249-Ft!F$2)^2)+Ft!F$6*EXP(Ft!F$38*($A249-Ft!F$2)^2)),Ft!F$3*((1-Ft!F$7)/(1+Ft!F$39*($A249-Ft!F$2)^2)+Ft!F$7*EXP(Ft!F$40*($A249-Ft!F$2)^2)))</f>
        <v>4.6662457411153892E-30</v>
      </c>
      <c r="K249" s="3">
        <f>IF(($A249-Ft!G$2)&lt;0,Ft!G$3*((1-Ft!G$6)/(1+Ft!G$37*($A249-Ft!G$2)^2)+Ft!G$6*EXP(Ft!G$38*($A249-Ft!G$2)^2)),Ft!G$3*((1-Ft!G$7)/(1+Ft!G$39*($A249-Ft!G$2)^2)+Ft!G$7*EXP(Ft!G$40*($A249-Ft!G$2)^2)))</f>
        <v>1.8764309114138723E-125</v>
      </c>
      <c r="L249" s="3">
        <f>IF(($A249-Ft!H$2)&lt;0,Ft!H$3*((1-Ft!H$6)/(1+Ft!H$37*($A249-Ft!H$2)^2)+Ft!H$6*EXP(Ft!H$38*($A249-Ft!H$2)^2)),Ft!H$3*((1-Ft!H$7)/(1+Ft!H$39*($A249-Ft!H$2)^2)+Ft!H$7*EXP(Ft!H$40*($A249-Ft!H$2)^2)))</f>
        <v>0</v>
      </c>
      <c r="M249" s="3">
        <f>IF(($A249-Ft!I$2)&lt;0,Ft!I$3*((1-Ft!I$6)/(1+Ft!I$37*($A249-Ft!I$2)^2)+Ft!I$6*EXP(Ft!I$38*($A249-Ft!I$2)^2)),Ft!I$3*((1-Ft!I$7)/(1+Ft!I$39*($A249-Ft!I$2)^2)+Ft!I$7*EXP(Ft!I$40*($A249-Ft!I$2)^2)))</f>
        <v>0</v>
      </c>
      <c r="N249" s="3">
        <f>IF(($A249-Ft!J$2)&lt;0,Ft!J$3*((1-Ft!J$6)/(1+Ft!J$37*($A249-Ft!J$2)^2)+Ft!J$6*EXP(Ft!J$38*($A249-Ft!J$2)^2)),Ft!J$3*((1-Ft!J$7)/(1+Ft!J$39*($A249-Ft!J$2)^2)+Ft!J$7*EXP(Ft!J$40*($A249-Ft!J$2)^2)))</f>
        <v>0</v>
      </c>
      <c r="O249" s="3">
        <f>IF(($A249-Ft!K$2)&lt;0,Ft!K$3*((1-Ft!K$6)/(1+Ft!K$37*($A249-Ft!K$2)^2)+Ft!K$6*EXP(Ft!K$38*($A249-Ft!K$2)^2)),Ft!K$3*((1-Ft!K$7)/(1+Ft!K$39*($A249-Ft!K$2)^2)+Ft!K$7*EXP(Ft!K$40*($A249-Ft!K$2)^2)))</f>
        <v>0</v>
      </c>
      <c r="P249"/>
      <c r="Q249"/>
    </row>
    <row r="250" spans="1:17">
      <c r="A250">
        <v>496</v>
      </c>
      <c r="B250">
        <v>19.158318457335</v>
      </c>
      <c r="C250" s="6">
        <f t="shared" si="7"/>
        <v>19.193926331471356</v>
      </c>
      <c r="D250" s="19">
        <f t="shared" si="8"/>
        <v>1.2679207005106274E-3</v>
      </c>
      <c r="E250" s="3">
        <f>Ft!$B$12+Ft!$B$14*(Data!A250-Vars!$B$3)</f>
        <v>0</v>
      </c>
      <c r="F250" s="3">
        <f>IF(($A250-Ft!B$2)&lt;0,Ft!B$3*((1-Ft!B$6)/(1+Ft!B$37*($A250-Ft!B$2)^2)+Ft!B$6*EXP(Ft!B$38*($A250-Ft!B$2)^2)),Ft!B$3*((1-Ft!B$7)/(1+Ft!B$39*($A250-Ft!B$2)^2)+Ft!B$7*EXP(Ft!B$40*($A250-Ft!B$2)^2)))</f>
        <v>1.1894288078549709E-111</v>
      </c>
      <c r="G250" s="3">
        <f>IF(($A250-Ft!C$2)&lt;0,Ft!C$3*((1-Ft!C$6)/(1+Ft!C$37*($A250-Ft!C$2)^2)+Ft!C$6*EXP(Ft!C$38*($A250-Ft!C$2)^2)),Ft!C$3*((1-Ft!C$7)/(1+Ft!C$39*($A250-Ft!C$2)^2)+Ft!C$7*EXP(Ft!C$40*($A250-Ft!C$2)^2)))</f>
        <v>2.8571084864049837E-4</v>
      </c>
      <c r="H250" s="3">
        <f>IF(($A250-Ft!D$2)&lt;0,Ft!D$3*((1-Ft!D$6)/(1+Ft!D$37*($A250-Ft!D$2)^2)+Ft!D$6*EXP(Ft!D$38*($A250-Ft!D$2)^2)),Ft!D$3*((1-Ft!D$7)/(1+Ft!D$39*($A250-Ft!D$2)^2)+Ft!D$7*EXP(Ft!D$40*($A250-Ft!D$2)^2)))</f>
        <v>18.131279768991227</v>
      </c>
      <c r="I250" s="3">
        <f>IF(($A250-Ft!E$2)&lt;0,Ft!E$3*((1-Ft!E$6)/(1+Ft!E$37*($A250-Ft!E$2)^2)+Ft!E$6*EXP(Ft!E$38*($A250-Ft!E$2)^2)),Ft!E$3*((1-Ft!E$7)/(1+Ft!E$39*($A250-Ft!E$2)^2)+Ft!E$7*EXP(Ft!E$40*($A250-Ft!E$2)^2)))</f>
        <v>1.0623608516314877</v>
      </c>
      <c r="J250" s="3">
        <f>IF(($A250-Ft!F$2)&lt;0,Ft!F$3*((1-Ft!F$6)/(1+Ft!F$37*($A250-Ft!F$2)^2)+Ft!F$6*EXP(Ft!F$38*($A250-Ft!F$2)^2)),Ft!F$3*((1-Ft!F$7)/(1+Ft!F$39*($A250-Ft!F$2)^2)+Ft!F$7*EXP(Ft!F$40*($A250-Ft!F$2)^2)))</f>
        <v>8.0423111855658905E-30</v>
      </c>
      <c r="K250" s="3">
        <f>IF(($A250-Ft!G$2)&lt;0,Ft!G$3*((1-Ft!G$6)/(1+Ft!G$37*($A250-Ft!G$2)^2)+Ft!G$6*EXP(Ft!G$38*($A250-Ft!G$2)^2)),Ft!G$3*((1-Ft!G$7)/(1+Ft!G$39*($A250-Ft!G$2)^2)+Ft!G$7*EXP(Ft!G$40*($A250-Ft!G$2)^2)))</f>
        <v>1.5215457062452605E-124</v>
      </c>
      <c r="L250" s="3">
        <f>IF(($A250-Ft!H$2)&lt;0,Ft!H$3*((1-Ft!H$6)/(1+Ft!H$37*($A250-Ft!H$2)^2)+Ft!H$6*EXP(Ft!H$38*($A250-Ft!H$2)^2)),Ft!H$3*((1-Ft!H$7)/(1+Ft!H$39*($A250-Ft!H$2)^2)+Ft!H$7*EXP(Ft!H$40*($A250-Ft!H$2)^2)))</f>
        <v>0</v>
      </c>
      <c r="M250" s="3">
        <f>IF(($A250-Ft!I$2)&lt;0,Ft!I$3*((1-Ft!I$6)/(1+Ft!I$37*($A250-Ft!I$2)^2)+Ft!I$6*EXP(Ft!I$38*($A250-Ft!I$2)^2)),Ft!I$3*((1-Ft!I$7)/(1+Ft!I$39*($A250-Ft!I$2)^2)+Ft!I$7*EXP(Ft!I$40*($A250-Ft!I$2)^2)))</f>
        <v>0</v>
      </c>
      <c r="N250" s="3">
        <f>IF(($A250-Ft!J$2)&lt;0,Ft!J$3*((1-Ft!J$6)/(1+Ft!J$37*($A250-Ft!J$2)^2)+Ft!J$6*EXP(Ft!J$38*($A250-Ft!J$2)^2)),Ft!J$3*((1-Ft!J$7)/(1+Ft!J$39*($A250-Ft!J$2)^2)+Ft!J$7*EXP(Ft!J$40*($A250-Ft!J$2)^2)))</f>
        <v>0</v>
      </c>
      <c r="O250" s="3">
        <f>IF(($A250-Ft!K$2)&lt;0,Ft!K$3*((1-Ft!K$6)/(1+Ft!K$37*($A250-Ft!K$2)^2)+Ft!K$6*EXP(Ft!K$38*($A250-Ft!K$2)^2)),Ft!K$3*((1-Ft!K$7)/(1+Ft!K$39*($A250-Ft!K$2)^2)+Ft!K$7*EXP(Ft!K$40*($A250-Ft!K$2)^2)))</f>
        <v>0</v>
      </c>
      <c r="P250"/>
      <c r="Q250"/>
    </row>
    <row r="251" spans="1:17">
      <c r="A251">
        <v>498</v>
      </c>
      <c r="B251">
        <v>19.130090161451989</v>
      </c>
      <c r="C251" s="6">
        <f t="shared" si="7"/>
        <v>19.17394597928525</v>
      </c>
      <c r="D251" s="19">
        <f t="shared" si="8"/>
        <v>1.923332757824201E-3</v>
      </c>
      <c r="E251" s="3">
        <f>Ft!$B$12+Ft!$B$14*(Data!A251-Vars!$B$3)</f>
        <v>0</v>
      </c>
      <c r="F251" s="3">
        <f>IF(($A251-Ft!B$2)&lt;0,Ft!B$3*((1-Ft!B$6)/(1+Ft!B$37*($A251-Ft!B$2)^2)+Ft!B$6*EXP(Ft!B$38*($A251-Ft!B$2)^2)),Ft!B$3*((1-Ft!B$7)/(1+Ft!B$39*($A251-Ft!B$2)^2)+Ft!B$7*EXP(Ft!B$40*($A251-Ft!B$2)^2)))</f>
        <v>1.2131964884595643E-112</v>
      </c>
      <c r="G251" s="3">
        <f>IF(($A251-Ft!C$2)&lt;0,Ft!C$3*((1-Ft!C$6)/(1+Ft!C$37*($A251-Ft!C$2)^2)+Ft!C$6*EXP(Ft!C$38*($A251-Ft!C$2)^2)),Ft!C$3*((1-Ft!C$7)/(1+Ft!C$39*($A251-Ft!C$2)^2)+Ft!C$7*EXP(Ft!C$40*($A251-Ft!C$2)^2)))</f>
        <v>2.543220086899514E-4</v>
      </c>
      <c r="H251" s="3">
        <f>IF(($A251-Ft!D$2)&lt;0,Ft!D$3*((1-Ft!D$6)/(1+Ft!D$37*($A251-Ft!D$2)^2)+Ft!D$6*EXP(Ft!D$38*($A251-Ft!D$2)^2)),Ft!D$3*((1-Ft!D$7)/(1+Ft!D$39*($A251-Ft!D$2)^2)+Ft!D$7*EXP(Ft!D$40*($A251-Ft!D$2)^2)))</f>
        <v>18.075942949130667</v>
      </c>
      <c r="I251" s="3">
        <f>IF(($A251-Ft!E$2)&lt;0,Ft!E$3*((1-Ft!E$6)/(1+Ft!E$37*($A251-Ft!E$2)^2)+Ft!E$6*EXP(Ft!E$38*($A251-Ft!E$2)^2)),Ft!E$3*((1-Ft!E$7)/(1+Ft!E$39*($A251-Ft!E$2)^2)+Ft!E$7*EXP(Ft!E$40*($A251-Ft!E$2)^2)))</f>
        <v>1.0977487081458914</v>
      </c>
      <c r="J251" s="3">
        <f>IF(($A251-Ft!F$2)&lt;0,Ft!F$3*((1-Ft!F$6)/(1+Ft!F$37*($A251-Ft!F$2)^2)+Ft!F$6*EXP(Ft!F$38*($A251-Ft!F$2)^2)),Ft!F$3*((1-Ft!F$7)/(1+Ft!F$39*($A251-Ft!F$2)^2)+Ft!F$7*EXP(Ft!F$40*($A251-Ft!F$2)^2)))</f>
        <v>1.3831185773056996E-29</v>
      </c>
      <c r="K251" s="3">
        <f>IF(($A251-Ft!G$2)&lt;0,Ft!G$3*((1-Ft!G$6)/(1+Ft!G$37*($A251-Ft!G$2)^2)+Ft!G$6*EXP(Ft!G$38*($A251-Ft!G$2)^2)),Ft!G$3*((1-Ft!G$7)/(1+Ft!G$39*($A251-Ft!G$2)^2)+Ft!G$7*EXP(Ft!G$40*($A251-Ft!G$2)^2)))</f>
        <v>1.2244311201161735E-123</v>
      </c>
      <c r="L251" s="3">
        <f>IF(($A251-Ft!H$2)&lt;0,Ft!H$3*((1-Ft!H$6)/(1+Ft!H$37*($A251-Ft!H$2)^2)+Ft!H$6*EXP(Ft!H$38*($A251-Ft!H$2)^2)),Ft!H$3*((1-Ft!H$7)/(1+Ft!H$39*($A251-Ft!H$2)^2)+Ft!H$7*EXP(Ft!H$40*($A251-Ft!H$2)^2)))</f>
        <v>0</v>
      </c>
      <c r="M251" s="3">
        <f>IF(($A251-Ft!I$2)&lt;0,Ft!I$3*((1-Ft!I$6)/(1+Ft!I$37*($A251-Ft!I$2)^2)+Ft!I$6*EXP(Ft!I$38*($A251-Ft!I$2)^2)),Ft!I$3*((1-Ft!I$7)/(1+Ft!I$39*($A251-Ft!I$2)^2)+Ft!I$7*EXP(Ft!I$40*($A251-Ft!I$2)^2)))</f>
        <v>0</v>
      </c>
      <c r="N251" s="3">
        <f>IF(($A251-Ft!J$2)&lt;0,Ft!J$3*((1-Ft!J$6)/(1+Ft!J$37*($A251-Ft!J$2)^2)+Ft!J$6*EXP(Ft!J$38*($A251-Ft!J$2)^2)),Ft!J$3*((1-Ft!J$7)/(1+Ft!J$39*($A251-Ft!J$2)^2)+Ft!J$7*EXP(Ft!J$40*($A251-Ft!J$2)^2)))</f>
        <v>0</v>
      </c>
      <c r="O251" s="3">
        <f>IF(($A251-Ft!K$2)&lt;0,Ft!K$3*((1-Ft!K$6)/(1+Ft!K$37*($A251-Ft!K$2)^2)+Ft!K$6*EXP(Ft!K$38*($A251-Ft!K$2)^2)),Ft!K$3*((1-Ft!K$7)/(1+Ft!K$39*($A251-Ft!K$2)^2)+Ft!K$7*EXP(Ft!K$40*($A251-Ft!K$2)^2)))</f>
        <v>0</v>
      </c>
      <c r="P251"/>
      <c r="Q251"/>
    </row>
    <row r="252" spans="1:17">
      <c r="A252">
        <v>500</v>
      </c>
      <c r="B252">
        <v>19.101511563915992</v>
      </c>
      <c r="C252" s="6">
        <f t="shared" si="7"/>
        <v>19.152497702913617</v>
      </c>
      <c r="D252" s="19">
        <f t="shared" si="8"/>
        <v>2.5995863698852215E-3</v>
      </c>
      <c r="E252" s="3">
        <f>Ft!$B$12+Ft!$B$14*(Data!A252-Vars!$B$3)</f>
        <v>0</v>
      </c>
      <c r="F252" s="3">
        <f>IF(($A252-Ft!B$2)&lt;0,Ft!B$3*((1-Ft!B$6)/(1+Ft!B$37*($A252-Ft!B$2)^2)+Ft!B$6*EXP(Ft!B$38*($A252-Ft!B$2)^2)),Ft!B$3*((1-Ft!B$7)/(1+Ft!B$39*($A252-Ft!B$2)^2)+Ft!B$7*EXP(Ft!B$40*($A252-Ft!B$2)^2)))</f>
        <v>1.2249910544410522E-113</v>
      </c>
      <c r="G252" s="3">
        <f>IF(($A252-Ft!C$2)&lt;0,Ft!C$3*((1-Ft!C$6)/(1+Ft!C$37*($A252-Ft!C$2)^2)+Ft!C$6*EXP(Ft!C$38*($A252-Ft!C$2)^2)),Ft!C$3*((1-Ft!C$7)/(1+Ft!C$39*($A252-Ft!C$2)^2)+Ft!C$7*EXP(Ft!C$40*($A252-Ft!C$2)^2)))</f>
        <v>2.2623463394210106E-4</v>
      </c>
      <c r="H252" s="3">
        <f>IF(($A252-Ft!D$2)&lt;0,Ft!D$3*((1-Ft!D$6)/(1+Ft!D$37*($A252-Ft!D$2)^2)+Ft!D$6*EXP(Ft!D$38*($A252-Ft!D$2)^2)),Ft!D$3*((1-Ft!D$7)/(1+Ft!D$39*($A252-Ft!D$2)^2)+Ft!D$7*EXP(Ft!D$40*($A252-Ft!D$2)^2)))</f>
        <v>18.018184494148901</v>
      </c>
      <c r="I252" s="3">
        <f>IF(($A252-Ft!E$2)&lt;0,Ft!E$3*((1-Ft!E$6)/(1+Ft!E$37*($A252-Ft!E$2)^2)+Ft!E$6*EXP(Ft!E$38*($A252-Ft!E$2)^2)),Ft!E$3*((1-Ft!E$7)/(1+Ft!E$39*($A252-Ft!E$2)^2)+Ft!E$7*EXP(Ft!E$40*($A252-Ft!E$2)^2)))</f>
        <v>1.1340869741307738</v>
      </c>
      <c r="J252" s="3">
        <f>IF(($A252-Ft!F$2)&lt;0,Ft!F$3*((1-Ft!F$6)/(1+Ft!F$37*($A252-Ft!F$2)^2)+Ft!F$6*EXP(Ft!F$38*($A252-Ft!F$2)^2)),Ft!F$3*((1-Ft!F$7)/(1+Ft!F$39*($A252-Ft!F$2)^2)+Ft!F$7*EXP(Ft!F$40*($A252-Ft!F$2)^2)))</f>
        <v>2.3735764796992494E-29</v>
      </c>
      <c r="K252" s="3">
        <f>IF(($A252-Ft!G$2)&lt;0,Ft!G$3*((1-Ft!G$6)/(1+Ft!G$37*($A252-Ft!G$2)^2)+Ft!G$6*EXP(Ft!G$38*($A252-Ft!G$2)^2)),Ft!G$3*((1-Ft!G$7)/(1+Ft!G$39*($A252-Ft!G$2)^2)+Ft!G$7*EXP(Ft!G$40*($A252-Ft!G$2)^2)))</f>
        <v>9.7786893015738955E-123</v>
      </c>
      <c r="L252" s="3">
        <f>IF(($A252-Ft!H$2)&lt;0,Ft!H$3*((1-Ft!H$6)/(1+Ft!H$37*($A252-Ft!H$2)^2)+Ft!H$6*EXP(Ft!H$38*($A252-Ft!H$2)^2)),Ft!H$3*((1-Ft!H$7)/(1+Ft!H$39*($A252-Ft!H$2)^2)+Ft!H$7*EXP(Ft!H$40*($A252-Ft!H$2)^2)))</f>
        <v>0</v>
      </c>
      <c r="M252" s="3">
        <f>IF(($A252-Ft!I$2)&lt;0,Ft!I$3*((1-Ft!I$6)/(1+Ft!I$37*($A252-Ft!I$2)^2)+Ft!I$6*EXP(Ft!I$38*($A252-Ft!I$2)^2)),Ft!I$3*((1-Ft!I$7)/(1+Ft!I$39*($A252-Ft!I$2)^2)+Ft!I$7*EXP(Ft!I$40*($A252-Ft!I$2)^2)))</f>
        <v>0</v>
      </c>
      <c r="N252" s="3">
        <f>IF(($A252-Ft!J$2)&lt;0,Ft!J$3*((1-Ft!J$6)/(1+Ft!J$37*($A252-Ft!J$2)^2)+Ft!J$6*EXP(Ft!J$38*($A252-Ft!J$2)^2)),Ft!J$3*((1-Ft!J$7)/(1+Ft!J$39*($A252-Ft!J$2)^2)+Ft!J$7*EXP(Ft!J$40*($A252-Ft!J$2)^2)))</f>
        <v>0</v>
      </c>
      <c r="O252" s="3">
        <f>IF(($A252-Ft!K$2)&lt;0,Ft!K$3*((1-Ft!K$6)/(1+Ft!K$37*($A252-Ft!K$2)^2)+Ft!K$6*EXP(Ft!K$38*($A252-Ft!K$2)^2)),Ft!K$3*((1-Ft!K$7)/(1+Ft!K$39*($A252-Ft!K$2)^2)+Ft!K$7*EXP(Ft!K$40*($A252-Ft!K$2)^2)))</f>
        <v>0</v>
      </c>
      <c r="P252"/>
      <c r="Q252"/>
    </row>
    <row r="253" spans="1:17">
      <c r="A253">
        <v>502</v>
      </c>
      <c r="B253">
        <v>19.074172164855</v>
      </c>
      <c r="C253" s="6">
        <f t="shared" si="7"/>
        <v>19.129622075610801</v>
      </c>
      <c r="D253" s="19">
        <f t="shared" si="8"/>
        <v>3.0746926028262797E-3</v>
      </c>
      <c r="E253" s="3">
        <f>Ft!$B$12+Ft!$B$14*(Data!A253-Vars!$B$3)</f>
        <v>0</v>
      </c>
      <c r="F253" s="3">
        <f>IF(($A253-Ft!B$2)&lt;0,Ft!B$3*((1-Ft!B$6)/(1+Ft!B$37*($A253-Ft!B$2)^2)+Ft!B$6*EXP(Ft!B$38*($A253-Ft!B$2)^2)),Ft!B$3*((1-Ft!B$7)/(1+Ft!B$39*($A253-Ft!B$2)^2)+Ft!B$7*EXP(Ft!B$40*($A253-Ft!B$2)^2)))</f>
        <v>1.2244576555010266E-114</v>
      </c>
      <c r="G253" s="3">
        <f>IF(($A253-Ft!C$2)&lt;0,Ft!C$3*((1-Ft!C$6)/(1+Ft!C$37*($A253-Ft!C$2)^2)+Ft!C$6*EXP(Ft!C$38*($A253-Ft!C$2)^2)),Ft!C$3*((1-Ft!C$7)/(1+Ft!C$39*($A253-Ft!C$2)^2)+Ft!C$7*EXP(Ft!C$40*($A253-Ft!C$2)^2)))</f>
        <v>2.0111856868519469E-4</v>
      </c>
      <c r="H253" s="3">
        <f>IF(($A253-Ft!D$2)&lt;0,Ft!D$3*((1-Ft!D$6)/(1+Ft!D$37*($A253-Ft!D$2)^2)+Ft!D$6*EXP(Ft!D$38*($A253-Ft!D$2)^2)),Ft!D$3*((1-Ft!D$7)/(1+Ft!D$39*($A253-Ft!D$2)^2)+Ft!D$7*EXP(Ft!D$40*($A253-Ft!D$2)^2)))</f>
        <v>17.958028721213047</v>
      </c>
      <c r="I253" s="3">
        <f>IF(($A253-Ft!E$2)&lt;0,Ft!E$3*((1-Ft!E$6)/(1+Ft!E$37*($A253-Ft!E$2)^2)+Ft!E$6*EXP(Ft!E$38*($A253-Ft!E$2)^2)),Ft!E$3*((1-Ft!E$7)/(1+Ft!E$39*($A253-Ft!E$2)^2)+Ft!E$7*EXP(Ft!E$40*($A253-Ft!E$2)^2)))</f>
        <v>1.1713922358290676</v>
      </c>
      <c r="J253" s="3">
        <f>IF(($A253-Ft!F$2)&lt;0,Ft!F$3*((1-Ft!F$6)/(1+Ft!F$37*($A253-Ft!F$2)^2)+Ft!F$6*EXP(Ft!F$38*($A253-Ft!F$2)^2)),Ft!F$3*((1-Ft!F$7)/(1+Ft!F$39*($A253-Ft!F$2)^2)+Ft!F$7*EXP(Ft!F$40*($A253-Ft!F$2)^2)))</f>
        <v>4.0645485850032712E-29</v>
      </c>
      <c r="K253" s="3">
        <f>IF(($A253-Ft!G$2)&lt;0,Ft!G$3*((1-Ft!G$6)/(1+Ft!G$37*($A253-Ft!G$2)^2)+Ft!G$6*EXP(Ft!G$38*($A253-Ft!G$2)^2)),Ft!G$3*((1-Ft!G$7)/(1+Ft!G$39*($A253-Ft!G$2)^2)+Ft!G$7*EXP(Ft!G$40*($A253-Ft!G$2)^2)))</f>
        <v>7.7503955553170913E-122</v>
      </c>
      <c r="L253" s="3">
        <f>IF(($A253-Ft!H$2)&lt;0,Ft!H$3*((1-Ft!H$6)/(1+Ft!H$37*($A253-Ft!H$2)^2)+Ft!H$6*EXP(Ft!H$38*($A253-Ft!H$2)^2)),Ft!H$3*((1-Ft!H$7)/(1+Ft!H$39*($A253-Ft!H$2)^2)+Ft!H$7*EXP(Ft!H$40*($A253-Ft!H$2)^2)))</f>
        <v>0</v>
      </c>
      <c r="M253" s="3">
        <f>IF(($A253-Ft!I$2)&lt;0,Ft!I$3*((1-Ft!I$6)/(1+Ft!I$37*($A253-Ft!I$2)^2)+Ft!I$6*EXP(Ft!I$38*($A253-Ft!I$2)^2)),Ft!I$3*((1-Ft!I$7)/(1+Ft!I$39*($A253-Ft!I$2)^2)+Ft!I$7*EXP(Ft!I$40*($A253-Ft!I$2)^2)))</f>
        <v>0</v>
      </c>
      <c r="N253" s="3">
        <f>IF(($A253-Ft!J$2)&lt;0,Ft!J$3*((1-Ft!J$6)/(1+Ft!J$37*($A253-Ft!J$2)^2)+Ft!J$6*EXP(Ft!J$38*($A253-Ft!J$2)^2)),Ft!J$3*((1-Ft!J$7)/(1+Ft!J$39*($A253-Ft!J$2)^2)+Ft!J$7*EXP(Ft!J$40*($A253-Ft!J$2)^2)))</f>
        <v>0</v>
      </c>
      <c r="O253" s="3">
        <f>IF(($A253-Ft!K$2)&lt;0,Ft!K$3*((1-Ft!K$6)/(1+Ft!K$37*($A253-Ft!K$2)^2)+Ft!K$6*EXP(Ft!K$38*($A253-Ft!K$2)^2)),Ft!K$3*((1-Ft!K$7)/(1+Ft!K$39*($A253-Ft!K$2)^2)+Ft!K$7*EXP(Ft!K$40*($A253-Ft!K$2)^2)))</f>
        <v>0</v>
      </c>
      <c r="P253"/>
      <c r="Q253"/>
    </row>
    <row r="254" spans="1:17">
      <c r="A254">
        <v>504</v>
      </c>
      <c r="B254">
        <v>19.049661464395001</v>
      </c>
      <c r="C254" s="6">
        <f t="shared" si="7"/>
        <v>19.105360608079216</v>
      </c>
      <c r="D254" s="19">
        <f t="shared" si="8"/>
        <v>3.1023946071548677E-3</v>
      </c>
      <c r="E254" s="3">
        <f>Ft!$B$12+Ft!$B$14*(Data!A254-Vars!$B$3)</f>
        <v>0</v>
      </c>
      <c r="F254" s="3">
        <f>IF(($A254-Ft!B$2)&lt;0,Ft!B$3*((1-Ft!B$6)/(1+Ft!B$37*($A254-Ft!B$2)^2)+Ft!B$6*EXP(Ft!B$38*($A254-Ft!B$2)^2)),Ft!B$3*((1-Ft!B$7)/(1+Ft!B$39*($A254-Ft!B$2)^2)+Ft!B$7*EXP(Ft!B$40*($A254-Ft!B$2)^2)))</f>
        <v>1.2116123887606381E-115</v>
      </c>
      <c r="G254" s="3">
        <f>IF(($A254-Ft!C$2)&lt;0,Ft!C$3*((1-Ft!C$6)/(1+Ft!C$37*($A254-Ft!C$2)^2)+Ft!C$6*EXP(Ft!C$38*($A254-Ft!C$2)^2)),Ft!C$3*((1-Ft!C$7)/(1+Ft!C$39*($A254-Ft!C$2)^2)+Ft!C$7*EXP(Ft!C$40*($A254-Ft!C$2)^2)))</f>
        <v>1.7867474879111318E-4</v>
      </c>
      <c r="H254" s="3">
        <f>IF(($A254-Ft!D$2)&lt;0,Ft!D$3*((1-Ft!D$6)/(1+Ft!D$37*($A254-Ft!D$2)^2)+Ft!D$6*EXP(Ft!D$38*($A254-Ft!D$2)^2)),Ft!D$3*((1-Ft!D$7)/(1+Ft!D$39*($A254-Ft!D$2)^2)+Ft!D$7*EXP(Ft!D$40*($A254-Ft!D$2)^2)))</f>
        <v>17.895500900205764</v>
      </c>
      <c r="I254" s="3">
        <f>IF(($A254-Ft!E$2)&lt;0,Ft!E$3*((1-Ft!E$6)/(1+Ft!E$37*($A254-Ft!E$2)^2)+Ft!E$6*EXP(Ft!E$38*($A254-Ft!E$2)^2)),Ft!E$3*((1-Ft!E$7)/(1+Ft!E$39*($A254-Ft!E$2)^2)+Ft!E$7*EXP(Ft!E$40*($A254-Ft!E$2)^2)))</f>
        <v>1.2096810331246601</v>
      </c>
      <c r="J254" s="3">
        <f>IF(($A254-Ft!F$2)&lt;0,Ft!F$3*((1-Ft!F$6)/(1+Ft!F$37*($A254-Ft!F$2)^2)+Ft!F$6*EXP(Ft!F$38*($A254-Ft!F$2)^2)),Ft!F$3*((1-Ft!F$7)/(1+Ft!F$39*($A254-Ft!F$2)^2)+Ft!F$7*EXP(Ft!F$40*($A254-Ft!F$2)^2)))</f>
        <v>6.9452308031110194E-29</v>
      </c>
      <c r="K254" s="3">
        <f>IF(($A254-Ft!G$2)&lt;0,Ft!G$3*((1-Ft!G$6)/(1+Ft!G$37*($A254-Ft!G$2)^2)+Ft!G$6*EXP(Ft!G$38*($A254-Ft!G$2)^2)),Ft!G$3*((1-Ft!G$7)/(1+Ft!G$39*($A254-Ft!G$2)^2)+Ft!G$7*EXP(Ft!G$40*($A254-Ft!G$2)^2)))</f>
        <v>6.0962675770672383E-121</v>
      </c>
      <c r="L254" s="3">
        <f>IF(($A254-Ft!H$2)&lt;0,Ft!H$3*((1-Ft!H$6)/(1+Ft!H$37*($A254-Ft!H$2)^2)+Ft!H$6*EXP(Ft!H$38*($A254-Ft!H$2)^2)),Ft!H$3*((1-Ft!H$7)/(1+Ft!H$39*($A254-Ft!H$2)^2)+Ft!H$7*EXP(Ft!H$40*($A254-Ft!H$2)^2)))</f>
        <v>0</v>
      </c>
      <c r="M254" s="3">
        <f>IF(($A254-Ft!I$2)&lt;0,Ft!I$3*((1-Ft!I$6)/(1+Ft!I$37*($A254-Ft!I$2)^2)+Ft!I$6*EXP(Ft!I$38*($A254-Ft!I$2)^2)),Ft!I$3*((1-Ft!I$7)/(1+Ft!I$39*($A254-Ft!I$2)^2)+Ft!I$7*EXP(Ft!I$40*($A254-Ft!I$2)^2)))</f>
        <v>0</v>
      </c>
      <c r="N254" s="3">
        <f>IF(($A254-Ft!J$2)&lt;0,Ft!J$3*((1-Ft!J$6)/(1+Ft!J$37*($A254-Ft!J$2)^2)+Ft!J$6*EXP(Ft!J$38*($A254-Ft!J$2)^2)),Ft!J$3*((1-Ft!J$7)/(1+Ft!J$39*($A254-Ft!J$2)^2)+Ft!J$7*EXP(Ft!J$40*($A254-Ft!J$2)^2)))</f>
        <v>0</v>
      </c>
      <c r="O254" s="3">
        <f>IF(($A254-Ft!K$2)&lt;0,Ft!K$3*((1-Ft!K$6)/(1+Ft!K$37*($A254-Ft!K$2)^2)+Ft!K$6*EXP(Ft!K$38*($A254-Ft!K$2)^2)),Ft!K$3*((1-Ft!K$7)/(1+Ft!K$39*($A254-Ft!K$2)^2)+Ft!K$7*EXP(Ft!K$40*($A254-Ft!K$2)^2)))</f>
        <v>0</v>
      </c>
      <c r="P254"/>
      <c r="Q254"/>
    </row>
    <row r="255" spans="1:17">
      <c r="A255">
        <v>506</v>
      </c>
      <c r="B255">
        <v>19.029568962664001</v>
      </c>
      <c r="C255" s="6">
        <f t="shared" si="7"/>
        <v>19.079755713002331</v>
      </c>
      <c r="D255" s="19">
        <f t="shared" si="8"/>
        <v>2.5187099095218862E-3</v>
      </c>
      <c r="E255" s="3">
        <f>Ft!$B$12+Ft!$B$14*(Data!A255-Vars!$B$3)</f>
        <v>0</v>
      </c>
      <c r="F255" s="3">
        <f>IF(($A255-Ft!B$2)&lt;0,Ft!B$3*((1-Ft!B$6)/(1+Ft!B$37*($A255-Ft!B$2)^2)+Ft!B$6*EXP(Ft!B$38*($A255-Ft!B$2)^2)),Ft!B$3*((1-Ft!B$7)/(1+Ft!B$39*($A255-Ft!B$2)^2)+Ft!B$7*EXP(Ft!B$40*($A255-Ft!B$2)^2)))</f>
        <v>1.1868414918335904E-116</v>
      </c>
      <c r="G255" s="3">
        <f>IF(($A255-Ft!C$2)&lt;0,Ft!C$3*((1-Ft!C$6)/(1+Ft!C$37*($A255-Ft!C$2)^2)+Ft!C$6*EXP(Ft!C$38*($A255-Ft!C$2)^2)),Ft!C$3*((1-Ft!C$7)/(1+Ft!C$39*($A255-Ft!C$2)^2)+Ft!C$7*EXP(Ft!C$40*($A255-Ft!C$2)^2)))</f>
        <v>1.586324833306565E-4</v>
      </c>
      <c r="H255" s="3">
        <f>IF(($A255-Ft!D$2)&lt;0,Ft!D$3*((1-Ft!D$6)/(1+Ft!D$37*($A255-Ft!D$2)^2)+Ft!D$6*EXP(Ft!D$38*($A255-Ft!D$2)^2)),Ft!D$3*((1-Ft!D$7)/(1+Ft!D$39*($A255-Ft!D$2)^2)+Ft!D$7*EXP(Ft!D$40*($A255-Ft!D$2)^2)))</f>
        <v>17.830627236039081</v>
      </c>
      <c r="I255" s="3">
        <f>IF(($A255-Ft!E$2)&lt;0,Ft!E$3*((1-Ft!E$6)/(1+Ft!E$37*($A255-Ft!E$2)^2)+Ft!E$6*EXP(Ft!E$38*($A255-Ft!E$2)^2)),Ft!E$3*((1-Ft!E$7)/(1+Ft!E$39*($A255-Ft!E$2)^2)+Ft!E$7*EXP(Ft!E$40*($A255-Ft!E$2)^2)))</f>
        <v>1.2489698444799209</v>
      </c>
      <c r="J255" s="3">
        <f>IF(($A255-Ft!F$2)&lt;0,Ft!F$3*((1-Ft!F$6)/(1+Ft!F$37*($A255-Ft!F$2)^2)+Ft!F$6*EXP(Ft!F$38*($A255-Ft!F$2)^2)),Ft!F$3*((1-Ft!F$7)/(1+Ft!F$39*($A255-Ft!F$2)^2)+Ft!F$7*EXP(Ft!F$40*($A255-Ft!F$2)^2)))</f>
        <v>1.1842034457184691E-28</v>
      </c>
      <c r="K255" s="3">
        <f>IF(($A255-Ft!G$2)&lt;0,Ft!G$3*((1-Ft!G$6)/(1+Ft!G$37*($A255-Ft!G$2)^2)+Ft!G$6*EXP(Ft!G$38*($A255-Ft!G$2)^2)),Ft!G$3*((1-Ft!G$7)/(1+Ft!G$39*($A255-Ft!G$2)^2)+Ft!G$7*EXP(Ft!G$40*($A255-Ft!G$2)^2)))</f>
        <v>4.7588400250846288E-120</v>
      </c>
      <c r="L255" s="3">
        <f>IF(($A255-Ft!H$2)&lt;0,Ft!H$3*((1-Ft!H$6)/(1+Ft!H$37*($A255-Ft!H$2)^2)+Ft!H$6*EXP(Ft!H$38*($A255-Ft!H$2)^2)),Ft!H$3*((1-Ft!H$7)/(1+Ft!H$39*($A255-Ft!H$2)^2)+Ft!H$7*EXP(Ft!H$40*($A255-Ft!H$2)^2)))</f>
        <v>0</v>
      </c>
      <c r="M255" s="3">
        <f>IF(($A255-Ft!I$2)&lt;0,Ft!I$3*((1-Ft!I$6)/(1+Ft!I$37*($A255-Ft!I$2)^2)+Ft!I$6*EXP(Ft!I$38*($A255-Ft!I$2)^2)),Ft!I$3*((1-Ft!I$7)/(1+Ft!I$39*($A255-Ft!I$2)^2)+Ft!I$7*EXP(Ft!I$40*($A255-Ft!I$2)^2)))</f>
        <v>0</v>
      </c>
      <c r="N255" s="3">
        <f>IF(($A255-Ft!J$2)&lt;0,Ft!J$3*((1-Ft!J$6)/(1+Ft!J$37*($A255-Ft!J$2)^2)+Ft!J$6*EXP(Ft!J$38*($A255-Ft!J$2)^2)),Ft!J$3*((1-Ft!J$7)/(1+Ft!J$39*($A255-Ft!J$2)^2)+Ft!J$7*EXP(Ft!J$40*($A255-Ft!J$2)^2)))</f>
        <v>0</v>
      </c>
      <c r="O255" s="3">
        <f>IF(($A255-Ft!K$2)&lt;0,Ft!K$3*((1-Ft!K$6)/(1+Ft!K$37*($A255-Ft!K$2)^2)+Ft!K$6*EXP(Ft!K$38*($A255-Ft!K$2)^2)),Ft!K$3*((1-Ft!K$7)/(1+Ft!K$39*($A255-Ft!K$2)^2)+Ft!K$7*EXP(Ft!K$40*($A255-Ft!K$2)^2)))</f>
        <v>0</v>
      </c>
      <c r="P255"/>
      <c r="Q255"/>
    </row>
    <row r="256" spans="1:17">
      <c r="A256">
        <v>508</v>
      </c>
      <c r="B256">
        <v>19.014271839822001</v>
      </c>
      <c r="C256" s="6">
        <f t="shared" si="7"/>
        <v>19.052850668751631</v>
      </c>
      <c r="D256" s="19">
        <f t="shared" si="8"/>
        <v>1.4883260415816603E-3</v>
      </c>
      <c r="E256" s="3">
        <f>Ft!$B$12+Ft!$B$14*(Data!A256-Vars!$B$3)</f>
        <v>0</v>
      </c>
      <c r="F256" s="3">
        <f>IF(($A256-Ft!B$2)&lt;0,Ft!B$3*((1-Ft!B$6)/(1+Ft!B$37*($A256-Ft!B$2)^2)+Ft!B$6*EXP(Ft!B$38*($A256-Ft!B$2)^2)),Ft!B$3*((1-Ft!B$7)/(1+Ft!B$39*($A256-Ft!B$2)^2)+Ft!B$7*EXP(Ft!B$40*($A256-Ft!B$2)^2)))</f>
        <v>1.1508820516340705E-117</v>
      </c>
      <c r="G256" s="3">
        <f>IF(($A256-Ft!C$2)&lt;0,Ft!C$3*((1-Ft!C$6)/(1+Ft!C$37*($A256-Ft!C$2)^2)+Ft!C$6*EXP(Ft!C$38*($A256-Ft!C$2)^2)),Ft!C$3*((1-Ft!C$7)/(1+Ft!C$39*($A256-Ft!C$2)^2)+Ft!C$7*EXP(Ft!C$40*($A256-Ft!C$2)^2)))</f>
        <v>1.4074695182457659E-4</v>
      </c>
      <c r="H256" s="3">
        <f>IF(($A256-Ft!D$2)&lt;0,Ft!D$3*((1-Ft!D$6)/(1+Ft!D$37*($A256-Ft!D$2)^2)+Ft!D$6*EXP(Ft!D$38*($A256-Ft!D$2)^2)),Ft!D$3*((1-Ft!D$7)/(1+Ft!D$39*($A256-Ft!D$2)^2)+Ft!D$7*EXP(Ft!D$40*($A256-Ft!D$2)^2)))</f>
        <v>17.763434850357616</v>
      </c>
      <c r="I256" s="3">
        <f>IF(($A256-Ft!E$2)&lt;0,Ft!E$3*((1-Ft!E$6)/(1+Ft!E$37*($A256-Ft!E$2)^2)+Ft!E$6*EXP(Ft!E$38*($A256-Ft!E$2)^2)),Ft!E$3*((1-Ft!E$7)/(1+Ft!E$39*($A256-Ft!E$2)^2)+Ft!E$7*EXP(Ft!E$40*($A256-Ft!E$2)^2)))</f>
        <v>1.2892750714421899</v>
      </c>
      <c r="J256" s="3">
        <f>IF(($A256-Ft!F$2)&lt;0,Ft!F$3*((1-Ft!F$6)/(1+Ft!F$37*($A256-Ft!F$2)^2)+Ft!F$6*EXP(Ft!F$38*($A256-Ft!F$2)^2)),Ft!F$3*((1-Ft!F$7)/(1+Ft!F$39*($A256-Ft!F$2)^2)+Ft!F$7*EXP(Ft!F$40*($A256-Ft!F$2)^2)))</f>
        <v>2.0147967065441769E-28</v>
      </c>
      <c r="K256" s="3">
        <f>IF(($A256-Ft!G$2)&lt;0,Ft!G$3*((1-Ft!G$6)/(1+Ft!G$37*($A256-Ft!G$2)^2)+Ft!G$6*EXP(Ft!G$38*($A256-Ft!G$2)^2)),Ft!G$3*((1-Ft!G$7)/(1+Ft!G$39*($A256-Ft!G$2)^2)+Ft!G$7*EXP(Ft!G$40*($A256-Ft!G$2)^2)))</f>
        <v>3.6866772811525898E-119</v>
      </c>
      <c r="L256" s="3">
        <f>IF(($A256-Ft!H$2)&lt;0,Ft!H$3*((1-Ft!H$6)/(1+Ft!H$37*($A256-Ft!H$2)^2)+Ft!H$6*EXP(Ft!H$38*($A256-Ft!H$2)^2)),Ft!H$3*((1-Ft!H$7)/(1+Ft!H$39*($A256-Ft!H$2)^2)+Ft!H$7*EXP(Ft!H$40*($A256-Ft!H$2)^2)))</f>
        <v>0</v>
      </c>
      <c r="M256" s="3">
        <f>IF(($A256-Ft!I$2)&lt;0,Ft!I$3*((1-Ft!I$6)/(1+Ft!I$37*($A256-Ft!I$2)^2)+Ft!I$6*EXP(Ft!I$38*($A256-Ft!I$2)^2)),Ft!I$3*((1-Ft!I$7)/(1+Ft!I$39*($A256-Ft!I$2)^2)+Ft!I$7*EXP(Ft!I$40*($A256-Ft!I$2)^2)))</f>
        <v>0</v>
      </c>
      <c r="N256" s="3">
        <f>IF(($A256-Ft!J$2)&lt;0,Ft!J$3*((1-Ft!J$6)/(1+Ft!J$37*($A256-Ft!J$2)^2)+Ft!J$6*EXP(Ft!J$38*($A256-Ft!J$2)^2)),Ft!J$3*((1-Ft!J$7)/(1+Ft!J$39*($A256-Ft!J$2)^2)+Ft!J$7*EXP(Ft!J$40*($A256-Ft!J$2)^2)))</f>
        <v>0</v>
      </c>
      <c r="O256" s="3">
        <f>IF(($A256-Ft!K$2)&lt;0,Ft!K$3*((1-Ft!K$6)/(1+Ft!K$37*($A256-Ft!K$2)^2)+Ft!K$6*EXP(Ft!K$38*($A256-Ft!K$2)^2)),Ft!K$3*((1-Ft!K$7)/(1+Ft!K$39*($A256-Ft!K$2)^2)+Ft!K$7*EXP(Ft!K$40*($A256-Ft!K$2)^2)))</f>
        <v>0</v>
      </c>
      <c r="P256"/>
      <c r="Q256"/>
    </row>
    <row r="257" spans="1:17">
      <c r="A257">
        <v>510</v>
      </c>
      <c r="B257">
        <v>19.00226048540199</v>
      </c>
      <c r="C257" s="6">
        <f t="shared" si="7"/>
        <v>19.02468958227557</v>
      </c>
      <c r="D257" s="19">
        <f t="shared" si="8"/>
        <v>5.0306438656443964E-4</v>
      </c>
      <c r="E257" s="3">
        <f>Ft!$B$12+Ft!$B$14*(Data!A257-Vars!$B$3)</f>
        <v>0</v>
      </c>
      <c r="F257" s="3">
        <f>IF(($A257-Ft!B$2)&lt;0,Ft!B$3*((1-Ft!B$6)/(1+Ft!B$37*($A257-Ft!B$2)^2)+Ft!B$6*EXP(Ft!B$38*($A257-Ft!B$2)^2)),Ft!B$3*((1-Ft!B$7)/(1+Ft!B$39*($A257-Ft!B$2)^2)+Ft!B$7*EXP(Ft!B$40*($A257-Ft!B$2)^2)))</f>
        <v>1.1047855733530623E-118</v>
      </c>
      <c r="G257" s="3">
        <f>IF(($A257-Ft!C$2)&lt;0,Ft!C$3*((1-Ft!C$6)/(1+Ft!C$37*($A257-Ft!C$2)^2)+Ft!C$6*EXP(Ft!C$38*($A257-Ft!C$2)^2)),Ft!C$3*((1-Ft!C$7)/(1+Ft!C$39*($A257-Ft!C$2)^2)+Ft!C$7*EXP(Ft!C$40*($A257-Ft!C$2)^2)))</f>
        <v>1.2479690226563578E-4</v>
      </c>
      <c r="H257" s="3">
        <f>IF(($A257-Ft!D$2)&lt;0,Ft!D$3*((1-Ft!D$6)/(1+Ft!D$37*($A257-Ft!D$2)^2)+Ft!D$6*EXP(Ft!D$38*($A257-Ft!D$2)^2)),Ft!D$3*((1-Ft!D$7)/(1+Ft!D$39*($A257-Ft!D$2)^2)+Ft!D$7*EXP(Ft!D$40*($A257-Ft!D$2)^2)))</f>
        <v>17.693951762649128</v>
      </c>
      <c r="I257" s="3">
        <f>IF(($A257-Ft!E$2)&lt;0,Ft!E$3*((1-Ft!E$6)/(1+Ft!E$37*($A257-Ft!E$2)^2)+Ft!E$6*EXP(Ft!E$38*($A257-Ft!E$2)^2)),Ft!E$3*((1-Ft!E$7)/(1+Ft!E$39*($A257-Ft!E$2)^2)+Ft!E$7*EXP(Ft!E$40*($A257-Ft!E$2)^2)))</f>
        <v>1.3306130227241777</v>
      </c>
      <c r="J257" s="3">
        <f>IF(($A257-Ft!F$2)&lt;0,Ft!F$3*((1-Ft!F$6)/(1+Ft!F$37*($A257-Ft!F$2)^2)+Ft!F$6*EXP(Ft!F$38*($A257-Ft!F$2)^2)),Ft!F$3*((1-Ft!F$7)/(1+Ft!F$39*($A257-Ft!F$2)^2)+Ft!F$7*EXP(Ft!F$40*($A257-Ft!F$2)^2)))</f>
        <v>3.4205931231304885E-28</v>
      </c>
      <c r="K257" s="3">
        <f>IF(($A257-Ft!G$2)&lt;0,Ft!G$3*((1-Ft!G$6)/(1+Ft!G$37*($A257-Ft!G$2)^2)+Ft!G$6*EXP(Ft!G$38*($A257-Ft!G$2)^2)),Ft!G$3*((1-Ft!G$7)/(1+Ft!G$39*($A257-Ft!G$2)^2)+Ft!G$7*EXP(Ft!G$40*($A257-Ft!G$2)^2)))</f>
        <v>2.8344321917392693E-118</v>
      </c>
      <c r="L257" s="3">
        <f>IF(($A257-Ft!H$2)&lt;0,Ft!H$3*((1-Ft!H$6)/(1+Ft!H$37*($A257-Ft!H$2)^2)+Ft!H$6*EXP(Ft!H$38*($A257-Ft!H$2)^2)),Ft!H$3*((1-Ft!H$7)/(1+Ft!H$39*($A257-Ft!H$2)^2)+Ft!H$7*EXP(Ft!H$40*($A257-Ft!H$2)^2)))</f>
        <v>0</v>
      </c>
      <c r="M257" s="3">
        <f>IF(($A257-Ft!I$2)&lt;0,Ft!I$3*((1-Ft!I$6)/(1+Ft!I$37*($A257-Ft!I$2)^2)+Ft!I$6*EXP(Ft!I$38*($A257-Ft!I$2)^2)),Ft!I$3*((1-Ft!I$7)/(1+Ft!I$39*($A257-Ft!I$2)^2)+Ft!I$7*EXP(Ft!I$40*($A257-Ft!I$2)^2)))</f>
        <v>0</v>
      </c>
      <c r="N257" s="3">
        <f>IF(($A257-Ft!J$2)&lt;0,Ft!J$3*((1-Ft!J$6)/(1+Ft!J$37*($A257-Ft!J$2)^2)+Ft!J$6*EXP(Ft!J$38*($A257-Ft!J$2)^2)),Ft!J$3*((1-Ft!J$7)/(1+Ft!J$39*($A257-Ft!J$2)^2)+Ft!J$7*EXP(Ft!J$40*($A257-Ft!J$2)^2)))</f>
        <v>0</v>
      </c>
      <c r="O257" s="3">
        <f>IF(($A257-Ft!K$2)&lt;0,Ft!K$3*((1-Ft!K$6)/(1+Ft!K$37*($A257-Ft!K$2)^2)+Ft!K$6*EXP(Ft!K$38*($A257-Ft!K$2)^2)),Ft!K$3*((1-Ft!K$7)/(1+Ft!K$39*($A257-Ft!K$2)^2)+Ft!K$7*EXP(Ft!K$40*($A257-Ft!K$2)^2)))</f>
        <v>0</v>
      </c>
      <c r="P257"/>
      <c r="Q257"/>
    </row>
    <row r="258" spans="1:17">
      <c r="A258">
        <v>512</v>
      </c>
      <c r="B258">
        <v>18.992294213587996</v>
      </c>
      <c r="C258" s="6">
        <f t="shared" si="7"/>
        <v>18.995317351180596</v>
      </c>
      <c r="D258" s="19">
        <f t="shared" si="8"/>
        <v>9.1393609037871632E-6</v>
      </c>
      <c r="E258" s="3">
        <f>Ft!$B$12+Ft!$B$14*(Data!A258-Vars!$B$3)</f>
        <v>0</v>
      </c>
      <c r="F258" s="3">
        <f>IF(($A258-Ft!B$2)&lt;0,Ft!B$3*((1-Ft!B$6)/(1+Ft!B$37*($A258-Ft!B$2)^2)+Ft!B$6*EXP(Ft!B$38*($A258-Ft!B$2)^2)),Ft!B$3*((1-Ft!B$7)/(1+Ft!B$39*($A258-Ft!B$2)^2)+Ft!B$7*EXP(Ft!B$40*($A258-Ft!B$2)^2)))</f>
        <v>1.0498669219596802E-119</v>
      </c>
      <c r="G258" s="3">
        <f>IF(($A258-Ft!C$2)&lt;0,Ft!C$3*((1-Ft!C$6)/(1+Ft!C$37*($A258-Ft!C$2)^2)+Ft!C$6*EXP(Ft!C$38*($A258-Ft!C$2)^2)),Ft!C$3*((1-Ft!C$7)/(1+Ft!C$39*($A258-Ft!C$2)^2)+Ft!C$7*EXP(Ft!C$40*($A258-Ft!C$2)^2)))</f>
        <v>1.1058253584943814E-4</v>
      </c>
      <c r="H258" s="3">
        <f>IF(($A258-Ft!D$2)&lt;0,Ft!D$3*((1-Ft!D$6)/(1+Ft!D$37*($A258-Ft!D$2)^2)+Ft!D$6*EXP(Ft!D$38*($A258-Ft!D$2)^2)),Ft!D$3*((1-Ft!D$7)/(1+Ft!D$39*($A258-Ft!D$2)^2)+Ft!D$7*EXP(Ft!D$40*($A258-Ft!D$2)^2)))</f>
        <v>17.622206870780786</v>
      </c>
      <c r="I258" s="3">
        <f>IF(($A258-Ft!E$2)&lt;0,Ft!E$3*((1-Ft!E$6)/(1+Ft!E$37*($A258-Ft!E$2)^2)+Ft!E$6*EXP(Ft!E$38*($A258-Ft!E$2)^2)),Ft!E$3*((1-Ft!E$7)/(1+Ft!E$39*($A258-Ft!E$2)^2)+Ft!E$7*EXP(Ft!E$40*($A258-Ft!E$2)^2)))</f>
        <v>1.3729998978639575</v>
      </c>
      <c r="J258" s="3">
        <f>IF(($A258-Ft!F$2)&lt;0,Ft!F$3*((1-Ft!F$6)/(1+Ft!F$37*($A258-Ft!F$2)^2)+Ft!F$6*EXP(Ft!F$38*($A258-Ft!F$2)^2)),Ft!F$3*((1-Ft!F$7)/(1+Ft!F$39*($A258-Ft!F$2)^2)+Ft!F$7*EXP(Ft!F$40*($A258-Ft!F$2)^2)))</f>
        <v>5.7947790110476727E-28</v>
      </c>
      <c r="K258" s="3">
        <f>IF(($A258-Ft!G$2)&lt;0,Ft!G$3*((1-Ft!G$6)/(1+Ft!G$37*($A258-Ft!G$2)^2)+Ft!G$6*EXP(Ft!G$38*($A258-Ft!G$2)^2)),Ft!G$3*((1-Ft!G$7)/(1+Ft!G$39*($A258-Ft!G$2)^2)+Ft!G$7*EXP(Ft!G$40*($A258-Ft!G$2)^2)))</f>
        <v>2.1626884113456964E-117</v>
      </c>
      <c r="L258" s="3">
        <f>IF(($A258-Ft!H$2)&lt;0,Ft!H$3*((1-Ft!H$6)/(1+Ft!H$37*($A258-Ft!H$2)^2)+Ft!H$6*EXP(Ft!H$38*($A258-Ft!H$2)^2)),Ft!H$3*((1-Ft!H$7)/(1+Ft!H$39*($A258-Ft!H$2)^2)+Ft!H$7*EXP(Ft!H$40*($A258-Ft!H$2)^2)))</f>
        <v>0</v>
      </c>
      <c r="M258" s="3">
        <f>IF(($A258-Ft!I$2)&lt;0,Ft!I$3*((1-Ft!I$6)/(1+Ft!I$37*($A258-Ft!I$2)^2)+Ft!I$6*EXP(Ft!I$38*($A258-Ft!I$2)^2)),Ft!I$3*((1-Ft!I$7)/(1+Ft!I$39*($A258-Ft!I$2)^2)+Ft!I$7*EXP(Ft!I$40*($A258-Ft!I$2)^2)))</f>
        <v>0</v>
      </c>
      <c r="N258" s="3">
        <f>IF(($A258-Ft!J$2)&lt;0,Ft!J$3*((1-Ft!J$6)/(1+Ft!J$37*($A258-Ft!J$2)^2)+Ft!J$6*EXP(Ft!J$38*($A258-Ft!J$2)^2)),Ft!J$3*((1-Ft!J$7)/(1+Ft!J$39*($A258-Ft!J$2)^2)+Ft!J$7*EXP(Ft!J$40*($A258-Ft!J$2)^2)))</f>
        <v>0</v>
      </c>
      <c r="O258" s="3">
        <f>IF(($A258-Ft!K$2)&lt;0,Ft!K$3*((1-Ft!K$6)/(1+Ft!K$37*($A258-Ft!K$2)^2)+Ft!K$6*EXP(Ft!K$38*($A258-Ft!K$2)^2)),Ft!K$3*((1-Ft!K$7)/(1+Ft!K$39*($A258-Ft!K$2)^2)+Ft!K$7*EXP(Ft!K$40*($A258-Ft!K$2)^2)))</f>
        <v>0</v>
      </c>
      <c r="P258"/>
      <c r="Q258"/>
    </row>
    <row r="259" spans="1:17">
      <c r="A259">
        <v>514</v>
      </c>
      <c r="B259">
        <v>18.983132338564999</v>
      </c>
      <c r="C259" s="6">
        <f t="shared" ref="C259:C322" si="9">SUM(E259:K259)</f>
        <v>18.964779625016295</v>
      </c>
      <c r="D259" s="19">
        <f t="shared" ref="D259:D322" si="10">(C259-B259)^2</f>
        <v>3.3682209460080958E-4</v>
      </c>
      <c r="E259" s="3">
        <f>Ft!$B$12+Ft!$B$14*(Data!A259-Vars!$B$3)</f>
        <v>0</v>
      </c>
      <c r="F259" s="3">
        <f>IF(($A259-Ft!B$2)&lt;0,Ft!B$3*((1-Ft!B$6)/(1+Ft!B$37*($A259-Ft!B$2)^2)+Ft!B$6*EXP(Ft!B$38*($A259-Ft!B$2)^2)),Ft!B$3*((1-Ft!B$7)/(1+Ft!B$39*($A259-Ft!B$2)^2)+Ft!B$7*EXP(Ft!B$40*($A259-Ft!B$2)^2)))</f>
        <v>9.8764209450835109E-121</v>
      </c>
      <c r="G259" s="3">
        <f>IF(($A259-Ft!C$2)&lt;0,Ft!C$3*((1-Ft!C$6)/(1+Ft!C$37*($A259-Ft!C$2)^2)+Ft!C$6*EXP(Ft!C$38*($A259-Ft!C$2)^2)),Ft!C$3*((1-Ft!C$7)/(1+Ft!C$39*($A259-Ft!C$2)^2)+Ft!C$7*EXP(Ft!C$40*($A259-Ft!C$2)^2)))</f>
        <v>9.7923565133134602E-5</v>
      </c>
      <c r="H259" s="3">
        <f>IF(($A259-Ft!D$2)&lt;0,Ft!D$3*((1-Ft!D$6)/(1+Ft!D$37*($A259-Ft!D$2)^2)+Ft!D$6*EXP(Ft!D$38*($A259-Ft!D$2)^2)),Ft!D$3*((1-Ft!D$7)/(1+Ft!D$39*($A259-Ft!D$2)^2)+Ft!D$7*EXP(Ft!D$40*($A259-Ft!D$2)^2)))</f>
        <v>17.548229930980103</v>
      </c>
      <c r="I259" s="3">
        <f>IF(($A259-Ft!E$2)&lt;0,Ft!E$3*((1-Ft!E$6)/(1+Ft!E$37*($A259-Ft!E$2)^2)+Ft!E$6*EXP(Ft!E$38*($A259-Ft!E$2)^2)),Ft!E$3*((1-Ft!E$7)/(1+Ft!E$39*($A259-Ft!E$2)^2)+Ft!E$7*EXP(Ft!E$40*($A259-Ft!E$2)^2)))</f>
        <v>1.41645177047106</v>
      </c>
      <c r="J259" s="3">
        <f>IF(($A259-Ft!F$2)&lt;0,Ft!F$3*((1-Ft!F$6)/(1+Ft!F$37*($A259-Ft!F$2)^2)+Ft!F$6*EXP(Ft!F$38*($A259-Ft!F$2)^2)),Ft!F$3*((1-Ft!F$7)/(1+Ft!F$39*($A259-Ft!F$2)^2)+Ft!F$7*EXP(Ft!F$40*($A259-Ft!F$2)^2)))</f>
        <v>9.7957481926036609E-28</v>
      </c>
      <c r="K259" s="3">
        <f>IF(($A259-Ft!G$2)&lt;0,Ft!G$3*((1-Ft!G$6)/(1+Ft!G$37*($A259-Ft!G$2)^2)+Ft!G$6*EXP(Ft!G$38*($A259-Ft!G$2)^2)),Ft!G$3*((1-Ft!G$7)/(1+Ft!G$39*($A259-Ft!G$2)^2)+Ft!G$7*EXP(Ft!G$40*($A259-Ft!G$2)^2)))</f>
        <v>1.6376412404325293E-116</v>
      </c>
      <c r="L259" s="3">
        <f>IF(($A259-Ft!H$2)&lt;0,Ft!H$3*((1-Ft!H$6)/(1+Ft!H$37*($A259-Ft!H$2)^2)+Ft!H$6*EXP(Ft!H$38*($A259-Ft!H$2)^2)),Ft!H$3*((1-Ft!H$7)/(1+Ft!H$39*($A259-Ft!H$2)^2)+Ft!H$7*EXP(Ft!H$40*($A259-Ft!H$2)^2)))</f>
        <v>0</v>
      </c>
      <c r="M259" s="3">
        <f>IF(($A259-Ft!I$2)&lt;0,Ft!I$3*((1-Ft!I$6)/(1+Ft!I$37*($A259-Ft!I$2)^2)+Ft!I$6*EXP(Ft!I$38*($A259-Ft!I$2)^2)),Ft!I$3*((1-Ft!I$7)/(1+Ft!I$39*($A259-Ft!I$2)^2)+Ft!I$7*EXP(Ft!I$40*($A259-Ft!I$2)^2)))</f>
        <v>0</v>
      </c>
      <c r="N259" s="3">
        <f>IF(($A259-Ft!J$2)&lt;0,Ft!J$3*((1-Ft!J$6)/(1+Ft!J$37*($A259-Ft!J$2)^2)+Ft!J$6*EXP(Ft!J$38*($A259-Ft!J$2)^2)),Ft!J$3*((1-Ft!J$7)/(1+Ft!J$39*($A259-Ft!J$2)^2)+Ft!J$7*EXP(Ft!J$40*($A259-Ft!J$2)^2)))</f>
        <v>0</v>
      </c>
      <c r="O259" s="3">
        <f>IF(($A259-Ft!K$2)&lt;0,Ft!K$3*((1-Ft!K$6)/(1+Ft!K$37*($A259-Ft!K$2)^2)+Ft!K$6*EXP(Ft!K$38*($A259-Ft!K$2)^2)),Ft!K$3*((1-Ft!K$7)/(1+Ft!K$39*($A259-Ft!K$2)^2)+Ft!K$7*EXP(Ft!K$40*($A259-Ft!K$2)^2)))</f>
        <v>0</v>
      </c>
      <c r="P259"/>
      <c r="Q259"/>
    </row>
    <row r="260" spans="1:17">
      <c r="A260">
        <v>516</v>
      </c>
      <c r="B260">
        <v>18.973534174516999</v>
      </c>
      <c r="C260" s="6">
        <f t="shared" si="9"/>
        <v>18.933122765778922</v>
      </c>
      <c r="D260" s="19">
        <f t="shared" si="10"/>
        <v>1.6330819561959193E-3</v>
      </c>
      <c r="E260" s="3">
        <f>Ft!$B$12+Ft!$B$14*(Data!A260-Vars!$B$3)</f>
        <v>0</v>
      </c>
      <c r="F260" s="3">
        <f>IF(($A260-Ft!B$2)&lt;0,Ft!B$3*((1-Ft!B$6)/(1+Ft!B$37*($A260-Ft!B$2)^2)+Ft!B$6*EXP(Ft!B$38*($A260-Ft!B$2)^2)),Ft!B$3*((1-Ft!B$7)/(1+Ft!B$39*($A260-Ft!B$2)^2)+Ft!B$7*EXP(Ft!B$40*($A260-Ft!B$2)^2)))</f>
        <v>9.1975892739150958E-122</v>
      </c>
      <c r="G260" s="3">
        <f>IF(($A260-Ft!C$2)&lt;0,Ft!C$3*((1-Ft!C$6)/(1+Ft!C$37*($A260-Ft!C$2)^2)+Ft!C$6*EXP(Ft!C$38*($A260-Ft!C$2)^2)),Ft!C$3*((1-Ft!C$7)/(1+Ft!C$39*($A260-Ft!C$2)^2)+Ft!C$7*EXP(Ft!C$40*($A260-Ft!C$2)^2)))</f>
        <v>8.6657433099347585E-5</v>
      </c>
      <c r="H260" s="3">
        <f>IF(($A260-Ft!D$2)&lt;0,Ft!D$3*((1-Ft!D$6)/(1+Ft!D$37*($A260-Ft!D$2)^2)+Ft!D$6*EXP(Ft!D$38*($A260-Ft!D$2)^2)),Ft!D$3*((1-Ft!D$7)/(1+Ft!D$39*($A260-Ft!D$2)^2)+Ft!D$7*EXP(Ft!D$40*($A260-Ft!D$2)^2)))</f>
        <v>17.472051537279878</v>
      </c>
      <c r="I260" s="3">
        <f>IF(($A260-Ft!E$2)&lt;0,Ft!E$3*((1-Ft!E$6)/(1+Ft!E$37*($A260-Ft!E$2)^2)+Ft!E$6*EXP(Ft!E$38*($A260-Ft!E$2)^2)),Ft!E$3*((1-Ft!E$7)/(1+Ft!E$39*($A260-Ft!E$2)^2)+Ft!E$7*EXP(Ft!E$40*($A260-Ft!E$2)^2)))</f>
        <v>1.4609845710659464</v>
      </c>
      <c r="J260" s="3">
        <f>IF(($A260-Ft!F$2)&lt;0,Ft!F$3*((1-Ft!F$6)/(1+Ft!F$37*($A260-Ft!F$2)^2)+Ft!F$6*EXP(Ft!F$38*($A260-Ft!F$2)^2)),Ft!F$3*((1-Ft!F$7)/(1+Ft!F$39*($A260-Ft!F$2)^2)+Ft!F$7*EXP(Ft!F$40*($A260-Ft!F$2)^2)))</f>
        <v>1.6523559976455745E-27</v>
      </c>
      <c r="K260" s="3">
        <f>IF(($A260-Ft!G$2)&lt;0,Ft!G$3*((1-Ft!G$6)/(1+Ft!G$37*($A260-Ft!G$2)^2)+Ft!G$6*EXP(Ft!G$38*($A260-Ft!G$2)^2)),Ft!G$3*((1-Ft!G$7)/(1+Ft!G$39*($A260-Ft!G$2)^2)+Ft!G$7*EXP(Ft!G$40*($A260-Ft!G$2)^2)))</f>
        <v>1.2306668778245851E-115</v>
      </c>
      <c r="L260" s="3">
        <f>IF(($A260-Ft!H$2)&lt;0,Ft!H$3*((1-Ft!H$6)/(1+Ft!H$37*($A260-Ft!H$2)^2)+Ft!H$6*EXP(Ft!H$38*($A260-Ft!H$2)^2)),Ft!H$3*((1-Ft!H$7)/(1+Ft!H$39*($A260-Ft!H$2)^2)+Ft!H$7*EXP(Ft!H$40*($A260-Ft!H$2)^2)))</f>
        <v>0</v>
      </c>
      <c r="M260" s="3">
        <f>IF(($A260-Ft!I$2)&lt;0,Ft!I$3*((1-Ft!I$6)/(1+Ft!I$37*($A260-Ft!I$2)^2)+Ft!I$6*EXP(Ft!I$38*($A260-Ft!I$2)^2)),Ft!I$3*((1-Ft!I$7)/(1+Ft!I$39*($A260-Ft!I$2)^2)+Ft!I$7*EXP(Ft!I$40*($A260-Ft!I$2)^2)))</f>
        <v>0</v>
      </c>
      <c r="N260" s="3">
        <f>IF(($A260-Ft!J$2)&lt;0,Ft!J$3*((1-Ft!J$6)/(1+Ft!J$37*($A260-Ft!J$2)^2)+Ft!J$6*EXP(Ft!J$38*($A260-Ft!J$2)^2)),Ft!J$3*((1-Ft!J$7)/(1+Ft!J$39*($A260-Ft!J$2)^2)+Ft!J$7*EXP(Ft!J$40*($A260-Ft!J$2)^2)))</f>
        <v>0</v>
      </c>
      <c r="O260" s="3">
        <f>IF(($A260-Ft!K$2)&lt;0,Ft!K$3*((1-Ft!K$6)/(1+Ft!K$37*($A260-Ft!K$2)^2)+Ft!K$6*EXP(Ft!K$38*($A260-Ft!K$2)^2)),Ft!K$3*((1-Ft!K$7)/(1+Ft!K$39*($A260-Ft!K$2)^2)+Ft!K$7*EXP(Ft!K$40*($A260-Ft!K$2)^2)))</f>
        <v>0</v>
      </c>
      <c r="P260"/>
      <c r="Q260"/>
    </row>
    <row r="261" spans="1:17">
      <c r="A261">
        <v>518</v>
      </c>
      <c r="B261">
        <v>18.962259035628989</v>
      </c>
      <c r="C261" s="6">
        <f t="shared" si="9"/>
        <v>18.900393807649365</v>
      </c>
      <c r="D261" s="19">
        <f t="shared" si="10"/>
        <v>3.8273064329708128E-3</v>
      </c>
      <c r="E261" s="3">
        <f>Ft!$B$12+Ft!$B$14*(Data!A261-Vars!$B$3)</f>
        <v>0</v>
      </c>
      <c r="F261" s="3">
        <f>IF(($A261-Ft!B$2)&lt;0,Ft!B$3*((1-Ft!B$6)/(1+Ft!B$37*($A261-Ft!B$2)^2)+Ft!B$6*EXP(Ft!B$38*($A261-Ft!B$2)^2)),Ft!B$3*((1-Ft!B$7)/(1+Ft!B$39*($A261-Ft!B$2)^2)+Ft!B$7*EXP(Ft!B$40*($A261-Ft!B$2)^2)))</f>
        <v>8.4792514214570851E-123</v>
      </c>
      <c r="G261" s="3">
        <f>IF(($A261-Ft!C$2)&lt;0,Ft!C$3*((1-Ft!C$6)/(1+Ft!C$37*($A261-Ft!C$2)^2)+Ft!C$6*EXP(Ft!C$38*($A261-Ft!C$2)^2)),Ft!C$3*((1-Ft!C$7)/(1+Ft!C$39*($A261-Ft!C$2)^2)+Ft!C$7*EXP(Ft!C$40*($A261-Ft!C$2)^2)))</f>
        <v>7.6637681336285464E-5</v>
      </c>
      <c r="H261" s="3">
        <f>IF(($A261-Ft!D$2)&lt;0,Ft!D$3*((1-Ft!D$6)/(1+Ft!D$37*($A261-Ft!D$2)^2)+Ft!D$6*EXP(Ft!D$38*($A261-Ft!D$2)^2)),Ft!D$3*((1-Ft!D$7)/(1+Ft!D$39*($A261-Ft!D$2)^2)+Ft!D$7*EXP(Ft!D$40*($A261-Ft!D$2)^2)))</f>
        <v>17.39370310044707</v>
      </c>
      <c r="I261" s="3">
        <f>IF(($A261-Ft!E$2)&lt;0,Ft!E$3*((1-Ft!E$6)/(1+Ft!E$37*($A261-Ft!E$2)^2)+Ft!E$6*EXP(Ft!E$38*($A261-Ft!E$2)^2)),Ft!E$3*((1-Ft!E$7)/(1+Ft!E$39*($A261-Ft!E$2)^2)+Ft!E$7*EXP(Ft!E$40*($A261-Ft!E$2)^2)))</f>
        <v>1.5066140695209616</v>
      </c>
      <c r="J261" s="3">
        <f>IF(($A261-Ft!F$2)&lt;0,Ft!F$3*((1-Ft!F$6)/(1+Ft!F$37*($A261-Ft!F$2)^2)+Ft!F$6*EXP(Ft!F$38*($A261-Ft!F$2)^2)),Ft!F$3*((1-Ft!F$7)/(1+Ft!F$39*($A261-Ft!F$2)^2)+Ft!F$7*EXP(Ft!F$40*($A261-Ft!F$2)^2)))</f>
        <v>2.78121718220547E-27</v>
      </c>
      <c r="K261" s="3">
        <f>IF(($A261-Ft!G$2)&lt;0,Ft!G$3*((1-Ft!G$6)/(1+Ft!G$37*($A261-Ft!G$2)^2)+Ft!G$6*EXP(Ft!G$38*($A261-Ft!G$2)^2)),Ft!G$3*((1-Ft!G$7)/(1+Ft!G$39*($A261-Ft!G$2)^2)+Ft!G$7*EXP(Ft!G$40*($A261-Ft!G$2)^2)))</f>
        <v>9.178235352827138E-115</v>
      </c>
      <c r="L261" s="3">
        <f>IF(($A261-Ft!H$2)&lt;0,Ft!H$3*((1-Ft!H$6)/(1+Ft!H$37*($A261-Ft!H$2)^2)+Ft!H$6*EXP(Ft!H$38*($A261-Ft!H$2)^2)),Ft!H$3*((1-Ft!H$7)/(1+Ft!H$39*($A261-Ft!H$2)^2)+Ft!H$7*EXP(Ft!H$40*($A261-Ft!H$2)^2)))</f>
        <v>0</v>
      </c>
      <c r="M261" s="3">
        <f>IF(($A261-Ft!I$2)&lt;0,Ft!I$3*((1-Ft!I$6)/(1+Ft!I$37*($A261-Ft!I$2)^2)+Ft!I$6*EXP(Ft!I$38*($A261-Ft!I$2)^2)),Ft!I$3*((1-Ft!I$7)/(1+Ft!I$39*($A261-Ft!I$2)^2)+Ft!I$7*EXP(Ft!I$40*($A261-Ft!I$2)^2)))</f>
        <v>0</v>
      </c>
      <c r="N261" s="3">
        <f>IF(($A261-Ft!J$2)&lt;0,Ft!J$3*((1-Ft!J$6)/(1+Ft!J$37*($A261-Ft!J$2)^2)+Ft!J$6*EXP(Ft!J$38*($A261-Ft!J$2)^2)),Ft!J$3*((1-Ft!J$7)/(1+Ft!J$39*($A261-Ft!J$2)^2)+Ft!J$7*EXP(Ft!J$40*($A261-Ft!J$2)^2)))</f>
        <v>0</v>
      </c>
      <c r="O261" s="3">
        <f>IF(($A261-Ft!K$2)&lt;0,Ft!K$3*((1-Ft!K$6)/(1+Ft!K$37*($A261-Ft!K$2)^2)+Ft!K$6*EXP(Ft!K$38*($A261-Ft!K$2)^2)),Ft!K$3*((1-Ft!K$7)/(1+Ft!K$39*($A261-Ft!K$2)^2)+Ft!K$7*EXP(Ft!K$40*($A261-Ft!K$2)^2)))</f>
        <v>0</v>
      </c>
      <c r="P261"/>
      <c r="Q261"/>
    </row>
    <row r="262" spans="1:17">
      <c r="A262">
        <v>520</v>
      </c>
      <c r="B262">
        <v>18.948066236083989</v>
      </c>
      <c r="C262" s="6">
        <f t="shared" si="9"/>
        <v>18.866640415983859</v>
      </c>
      <c r="D262" s="19">
        <f t="shared" si="10"/>
        <v>6.6301641789786436E-3</v>
      </c>
      <c r="E262" s="3">
        <f>Ft!$B$12+Ft!$B$14*(Data!A262-Vars!$B$3)</f>
        <v>0</v>
      </c>
      <c r="F262" s="3">
        <f>IF(($A262-Ft!B$2)&lt;0,Ft!B$3*((1-Ft!B$6)/(1+Ft!B$37*($A262-Ft!B$2)^2)+Ft!B$6*EXP(Ft!B$38*($A262-Ft!B$2)^2)),Ft!B$3*((1-Ft!B$7)/(1+Ft!B$39*($A262-Ft!B$2)^2)+Ft!B$7*EXP(Ft!B$40*($A262-Ft!B$2)^2)))</f>
        <v>7.7383807570100483E-124</v>
      </c>
      <c r="G262" s="3">
        <f>IF(($A262-Ft!C$2)&lt;0,Ft!C$3*((1-Ft!C$6)/(1+Ft!C$37*($A262-Ft!C$2)^2)+Ft!C$6*EXP(Ft!C$38*($A262-Ft!C$2)^2)),Ft!C$3*((1-Ft!C$7)/(1+Ft!C$39*($A262-Ft!C$2)^2)+Ft!C$7*EXP(Ft!C$40*($A262-Ft!C$2)^2)))</f>
        <v>6.7732456252744008E-5</v>
      </c>
      <c r="H262" s="3">
        <f>IF(($A262-Ft!D$2)&lt;0,Ft!D$3*((1-Ft!D$6)/(1+Ft!D$37*($A262-Ft!D$2)^2)+Ft!D$6*EXP(Ft!D$38*($A262-Ft!D$2)^2)),Ft!D$3*((1-Ft!D$7)/(1+Ft!D$39*($A262-Ft!D$2)^2)+Ft!D$7*EXP(Ft!D$40*($A262-Ft!D$2)^2)))</f>
        <v>17.313216826415889</v>
      </c>
      <c r="I262" s="3">
        <f>IF(($A262-Ft!E$2)&lt;0,Ft!E$3*((1-Ft!E$6)/(1+Ft!E$37*($A262-Ft!E$2)^2)+Ft!E$6*EXP(Ft!E$38*($A262-Ft!E$2)^2)),Ft!E$3*((1-Ft!E$7)/(1+Ft!E$39*($A262-Ft!E$2)^2)+Ft!E$7*EXP(Ft!E$40*($A262-Ft!E$2)^2)))</f>
        <v>1.5533558571117194</v>
      </c>
      <c r="J262" s="3">
        <f>IF(($A262-Ft!F$2)&lt;0,Ft!F$3*((1-Ft!F$6)/(1+Ft!F$37*($A262-Ft!F$2)^2)+Ft!F$6*EXP(Ft!F$38*($A262-Ft!F$2)^2)),Ft!F$3*((1-Ft!F$7)/(1+Ft!F$39*($A262-Ft!F$2)^2)+Ft!F$7*EXP(Ft!F$40*($A262-Ft!F$2)^2)))</f>
        <v>4.6712322491202445E-27</v>
      </c>
      <c r="K262" s="3">
        <f>IF(($A262-Ft!G$2)&lt;0,Ft!G$3*((1-Ft!G$6)/(1+Ft!G$37*($A262-Ft!G$2)^2)+Ft!G$6*EXP(Ft!G$38*($A262-Ft!G$2)^2)),Ft!G$3*((1-Ft!G$7)/(1+Ft!G$39*($A262-Ft!G$2)^2)+Ft!G$7*EXP(Ft!G$40*($A262-Ft!G$2)^2)))</f>
        <v>6.7932062388311832E-114</v>
      </c>
      <c r="L262" s="3">
        <f>IF(($A262-Ft!H$2)&lt;0,Ft!H$3*((1-Ft!H$6)/(1+Ft!H$37*($A262-Ft!H$2)^2)+Ft!H$6*EXP(Ft!H$38*($A262-Ft!H$2)^2)),Ft!H$3*((1-Ft!H$7)/(1+Ft!H$39*($A262-Ft!H$2)^2)+Ft!H$7*EXP(Ft!H$40*($A262-Ft!H$2)^2)))</f>
        <v>0</v>
      </c>
      <c r="M262" s="3">
        <f>IF(($A262-Ft!I$2)&lt;0,Ft!I$3*((1-Ft!I$6)/(1+Ft!I$37*($A262-Ft!I$2)^2)+Ft!I$6*EXP(Ft!I$38*($A262-Ft!I$2)^2)),Ft!I$3*((1-Ft!I$7)/(1+Ft!I$39*($A262-Ft!I$2)^2)+Ft!I$7*EXP(Ft!I$40*($A262-Ft!I$2)^2)))</f>
        <v>0</v>
      </c>
      <c r="N262" s="3">
        <f>IF(($A262-Ft!J$2)&lt;0,Ft!J$3*((1-Ft!J$6)/(1+Ft!J$37*($A262-Ft!J$2)^2)+Ft!J$6*EXP(Ft!J$38*($A262-Ft!J$2)^2)),Ft!J$3*((1-Ft!J$7)/(1+Ft!J$39*($A262-Ft!J$2)^2)+Ft!J$7*EXP(Ft!J$40*($A262-Ft!J$2)^2)))</f>
        <v>0</v>
      </c>
      <c r="O262" s="3">
        <f>IF(($A262-Ft!K$2)&lt;0,Ft!K$3*((1-Ft!K$6)/(1+Ft!K$37*($A262-Ft!K$2)^2)+Ft!K$6*EXP(Ft!K$38*($A262-Ft!K$2)^2)),Ft!K$3*((1-Ft!K$7)/(1+Ft!K$39*($A262-Ft!K$2)^2)+Ft!K$7*EXP(Ft!K$40*($A262-Ft!K$2)^2)))</f>
        <v>0</v>
      </c>
      <c r="P262"/>
      <c r="Q262"/>
    </row>
    <row r="263" spans="1:17">
      <c r="A263">
        <v>522</v>
      </c>
      <c r="B263">
        <v>18.929715090066992</v>
      </c>
      <c r="C263" s="6">
        <f t="shared" si="9"/>
        <v>18.83191084557739</v>
      </c>
      <c r="D263" s="19">
        <f t="shared" si="10"/>
        <v>9.5656702401818242E-3</v>
      </c>
      <c r="E263" s="3">
        <f>Ft!$B$12+Ft!$B$14*(Data!A263-Vars!$B$3)</f>
        <v>0</v>
      </c>
      <c r="F263" s="3">
        <f>IF(($A263-Ft!B$2)&lt;0,Ft!B$3*((1-Ft!B$6)/(1+Ft!B$37*($A263-Ft!B$2)^2)+Ft!B$6*EXP(Ft!B$38*($A263-Ft!B$2)^2)),Ft!B$3*((1-Ft!B$7)/(1+Ft!B$39*($A263-Ft!B$2)^2)+Ft!B$7*EXP(Ft!B$40*($A263-Ft!B$2)^2)))</f>
        <v>6.9912005042003326E-125</v>
      </c>
      <c r="G263" s="3">
        <f>IF(($A263-Ft!C$2)&lt;0,Ft!C$3*((1-Ft!C$6)/(1+Ft!C$37*($A263-Ft!C$2)^2)+Ft!C$6*EXP(Ft!C$38*($A263-Ft!C$2)^2)),Ft!C$3*((1-Ft!C$7)/(1+Ft!C$39*($A263-Ft!C$2)^2)+Ft!C$7*EXP(Ft!C$40*($A263-Ft!C$2)^2)))</f>
        <v>5.9823142927609628E-5</v>
      </c>
      <c r="H263" s="3">
        <f>IF(($A263-Ft!D$2)&lt;0,Ft!D$3*((1-Ft!D$6)/(1+Ft!D$37*($A263-Ft!D$2)^2)+Ft!D$6*EXP(Ft!D$38*($A263-Ft!D$2)^2)),Ft!D$3*((1-Ft!D$7)/(1+Ft!D$39*($A263-Ft!D$2)^2)+Ft!D$7*EXP(Ft!D$40*($A263-Ft!D$2)^2)))</f>
        <v>17.230625694245798</v>
      </c>
      <c r="I263" s="3">
        <f>IF(($A263-Ft!E$2)&lt;0,Ft!E$3*((1-Ft!E$6)/(1+Ft!E$37*($A263-Ft!E$2)^2)+Ft!E$6*EXP(Ft!E$38*($A263-Ft!E$2)^2)),Ft!E$3*((1-Ft!E$7)/(1+Ft!E$39*($A263-Ft!E$2)^2)+Ft!E$7*EXP(Ft!E$40*($A263-Ft!E$2)^2)))</f>
        <v>1.6012253281886653</v>
      </c>
      <c r="J263" s="3">
        <f>IF(($A263-Ft!F$2)&lt;0,Ft!F$3*((1-Ft!F$6)/(1+Ft!F$37*($A263-Ft!F$2)^2)+Ft!F$6*EXP(Ft!F$38*($A263-Ft!F$2)^2)),Ft!F$3*((1-Ft!F$7)/(1+Ft!F$39*($A263-Ft!F$2)^2)+Ft!F$7*EXP(Ft!F$40*($A263-Ft!F$2)^2)))</f>
        <v>7.8287656238291696E-27</v>
      </c>
      <c r="K263" s="3">
        <f>IF(($A263-Ft!G$2)&lt;0,Ft!G$3*((1-Ft!G$6)/(1+Ft!G$37*($A263-Ft!G$2)^2)+Ft!G$6*EXP(Ft!G$38*($A263-Ft!G$2)^2)),Ft!G$3*((1-Ft!G$7)/(1+Ft!G$39*($A263-Ft!G$2)^2)+Ft!G$7*EXP(Ft!G$40*($A263-Ft!G$2)^2)))</f>
        <v>4.9898482919726248E-113</v>
      </c>
      <c r="L263" s="3">
        <f>IF(($A263-Ft!H$2)&lt;0,Ft!H$3*((1-Ft!H$6)/(1+Ft!H$37*($A263-Ft!H$2)^2)+Ft!H$6*EXP(Ft!H$38*($A263-Ft!H$2)^2)),Ft!H$3*((1-Ft!H$7)/(1+Ft!H$39*($A263-Ft!H$2)^2)+Ft!H$7*EXP(Ft!H$40*($A263-Ft!H$2)^2)))</f>
        <v>0</v>
      </c>
      <c r="M263" s="3">
        <f>IF(($A263-Ft!I$2)&lt;0,Ft!I$3*((1-Ft!I$6)/(1+Ft!I$37*($A263-Ft!I$2)^2)+Ft!I$6*EXP(Ft!I$38*($A263-Ft!I$2)^2)),Ft!I$3*((1-Ft!I$7)/(1+Ft!I$39*($A263-Ft!I$2)^2)+Ft!I$7*EXP(Ft!I$40*($A263-Ft!I$2)^2)))</f>
        <v>0</v>
      </c>
      <c r="N263" s="3">
        <f>IF(($A263-Ft!J$2)&lt;0,Ft!J$3*((1-Ft!J$6)/(1+Ft!J$37*($A263-Ft!J$2)^2)+Ft!J$6*EXP(Ft!J$38*($A263-Ft!J$2)^2)),Ft!J$3*((1-Ft!J$7)/(1+Ft!J$39*($A263-Ft!J$2)^2)+Ft!J$7*EXP(Ft!J$40*($A263-Ft!J$2)^2)))</f>
        <v>0</v>
      </c>
      <c r="O263" s="3">
        <f>IF(($A263-Ft!K$2)&lt;0,Ft!K$3*((1-Ft!K$6)/(1+Ft!K$37*($A263-Ft!K$2)^2)+Ft!K$6*EXP(Ft!K$38*($A263-Ft!K$2)^2)),Ft!K$3*((1-Ft!K$7)/(1+Ft!K$39*($A263-Ft!K$2)^2)+Ft!K$7*EXP(Ft!K$40*($A263-Ft!K$2)^2)))</f>
        <v>0</v>
      </c>
      <c r="P263"/>
      <c r="Q263"/>
    </row>
    <row r="264" spans="1:17">
      <c r="A264">
        <v>524</v>
      </c>
      <c r="B264">
        <v>18.906937446740002</v>
      </c>
      <c r="C264" s="6">
        <f t="shared" si="9"/>
        <v>18.796253898221853</v>
      </c>
      <c r="D264" s="19">
        <f t="shared" si="10"/>
        <v>1.2250847912569638E-2</v>
      </c>
      <c r="E264" s="3">
        <f>Ft!$B$12+Ft!$B$14*(Data!A264-Vars!$B$3)</f>
        <v>0</v>
      </c>
      <c r="F264" s="3">
        <f>IF(($A264-Ft!B$2)&lt;0,Ft!B$3*((1-Ft!B$6)/(1+Ft!B$37*($A264-Ft!B$2)^2)+Ft!B$6*EXP(Ft!B$38*($A264-Ft!B$2)^2)),Ft!B$3*((1-Ft!B$7)/(1+Ft!B$39*($A264-Ft!B$2)^2)+Ft!B$7*EXP(Ft!B$40*($A264-Ft!B$2)^2)))</f>
        <v>6.2526267090324556E-126</v>
      </c>
      <c r="G264" s="3">
        <f>IF(($A264-Ft!C$2)&lt;0,Ft!C$3*((1-Ft!C$6)/(1+Ft!C$37*($A264-Ft!C$2)^2)+Ft!C$6*EXP(Ft!C$38*($A264-Ft!C$2)^2)),Ft!C$3*((1-Ft!C$7)/(1+Ft!C$39*($A264-Ft!C$2)^2)+Ft!C$7*EXP(Ft!C$40*($A264-Ft!C$2)^2)))</f>
        <v>5.280311684690863E-5</v>
      </c>
      <c r="H264" s="3">
        <f>IF(($A264-Ft!D$2)&lt;0,Ft!D$3*((1-Ft!D$6)/(1+Ft!D$37*($A264-Ft!D$2)^2)+Ft!D$6*EXP(Ft!D$38*($A264-Ft!D$2)^2)),Ft!D$3*((1-Ft!D$7)/(1+Ft!D$39*($A264-Ft!D$2)^2)+Ft!D$7*EXP(Ft!D$40*($A264-Ft!D$2)^2)))</f>
        <v>17.145963433625543</v>
      </c>
      <c r="I264" s="3">
        <f>IF(($A264-Ft!E$2)&lt;0,Ft!E$3*((1-Ft!E$6)/(1+Ft!E$37*($A264-Ft!E$2)^2)+Ft!E$6*EXP(Ft!E$38*($A264-Ft!E$2)^2)),Ft!E$3*((1-Ft!E$7)/(1+Ft!E$39*($A264-Ft!E$2)^2)+Ft!E$7*EXP(Ft!E$40*($A264-Ft!E$2)^2)))</f>
        <v>1.6502376614794612</v>
      </c>
      <c r="J264" s="3">
        <f>IF(($A264-Ft!F$2)&lt;0,Ft!F$3*((1-Ft!F$6)/(1+Ft!F$37*($A264-Ft!F$2)^2)+Ft!F$6*EXP(Ft!F$38*($A264-Ft!F$2)^2)),Ft!F$3*((1-Ft!F$7)/(1+Ft!F$39*($A264-Ft!F$2)^2)+Ft!F$7*EXP(Ft!F$40*($A264-Ft!F$2)^2)))</f>
        <v>1.3092434097114791E-26</v>
      </c>
      <c r="K264" s="3">
        <f>IF(($A264-Ft!G$2)&lt;0,Ft!G$3*((1-Ft!G$6)/(1+Ft!G$37*($A264-Ft!G$2)^2)+Ft!G$6*EXP(Ft!G$38*($A264-Ft!G$2)^2)),Ft!G$3*((1-Ft!G$7)/(1+Ft!G$39*($A264-Ft!G$2)^2)+Ft!G$7*EXP(Ft!G$40*($A264-Ft!G$2)^2)))</f>
        <v>3.6374481887063874E-112</v>
      </c>
      <c r="L264" s="3">
        <f>IF(($A264-Ft!H$2)&lt;0,Ft!H$3*((1-Ft!H$6)/(1+Ft!H$37*($A264-Ft!H$2)^2)+Ft!H$6*EXP(Ft!H$38*($A264-Ft!H$2)^2)),Ft!H$3*((1-Ft!H$7)/(1+Ft!H$39*($A264-Ft!H$2)^2)+Ft!H$7*EXP(Ft!H$40*($A264-Ft!H$2)^2)))</f>
        <v>0</v>
      </c>
      <c r="M264" s="3">
        <f>IF(($A264-Ft!I$2)&lt;0,Ft!I$3*((1-Ft!I$6)/(1+Ft!I$37*($A264-Ft!I$2)^2)+Ft!I$6*EXP(Ft!I$38*($A264-Ft!I$2)^2)),Ft!I$3*((1-Ft!I$7)/(1+Ft!I$39*($A264-Ft!I$2)^2)+Ft!I$7*EXP(Ft!I$40*($A264-Ft!I$2)^2)))</f>
        <v>0</v>
      </c>
      <c r="N264" s="3">
        <f>IF(($A264-Ft!J$2)&lt;0,Ft!J$3*((1-Ft!J$6)/(1+Ft!J$37*($A264-Ft!J$2)^2)+Ft!J$6*EXP(Ft!J$38*($A264-Ft!J$2)^2)),Ft!J$3*((1-Ft!J$7)/(1+Ft!J$39*($A264-Ft!J$2)^2)+Ft!J$7*EXP(Ft!J$40*($A264-Ft!J$2)^2)))</f>
        <v>0</v>
      </c>
      <c r="O264" s="3">
        <f>IF(($A264-Ft!K$2)&lt;0,Ft!K$3*((1-Ft!K$6)/(1+Ft!K$37*($A264-Ft!K$2)^2)+Ft!K$6*EXP(Ft!K$38*($A264-Ft!K$2)^2)),Ft!K$3*((1-Ft!K$7)/(1+Ft!K$39*($A264-Ft!K$2)^2)+Ft!K$7*EXP(Ft!K$40*($A264-Ft!K$2)^2)))</f>
        <v>0</v>
      </c>
      <c r="P264"/>
      <c r="Q264"/>
    </row>
    <row r="265" spans="1:17">
      <c r="A265">
        <v>526</v>
      </c>
      <c r="B265">
        <v>18.884494242595991</v>
      </c>
      <c r="C265" s="6">
        <f t="shared" si="9"/>
        <v>18.75971887958271</v>
      </c>
      <c r="D265" s="19">
        <f t="shared" si="10"/>
        <v>1.5568891215096125E-2</v>
      </c>
      <c r="E265" s="3">
        <f>Ft!$B$12+Ft!$B$14*(Data!A265-Vars!$B$3)</f>
        <v>0</v>
      </c>
      <c r="F265" s="3">
        <f>IF(($A265-Ft!B$2)&lt;0,Ft!B$3*((1-Ft!B$6)/(1+Ft!B$37*($A265-Ft!B$2)^2)+Ft!B$6*EXP(Ft!B$38*($A265-Ft!B$2)^2)),Ft!B$3*((1-Ft!B$7)/(1+Ft!B$39*($A265-Ft!B$2)^2)+Ft!B$7*EXP(Ft!B$40*($A265-Ft!B$2)^2)))</f>
        <v>5.5358246623645644E-127</v>
      </c>
      <c r="G265" s="3">
        <f>IF(($A265-Ft!C$2)&lt;0,Ft!C$3*((1-Ft!C$6)/(1+Ft!C$37*($A265-Ft!C$2)^2)+Ft!C$6*EXP(Ft!C$38*($A265-Ft!C$2)^2)),Ft!C$3*((1-Ft!C$7)/(1+Ft!C$39*($A265-Ft!C$2)^2)+Ft!C$7*EXP(Ft!C$40*($A265-Ft!C$2)^2)))</f>
        <v>4.6576604406967979E-5</v>
      </c>
      <c r="H265" s="3">
        <f>IF(($A265-Ft!D$2)&lt;0,Ft!D$3*((1-Ft!D$6)/(1+Ft!D$37*($A265-Ft!D$2)^2)+Ft!D$6*EXP(Ft!D$38*($A265-Ft!D$2)^2)),Ft!D$3*((1-Ft!D$7)/(1+Ft!D$39*($A265-Ft!D$2)^2)+Ft!D$7*EXP(Ft!D$40*($A265-Ft!D$2)^2)))</f>
        <v>17.059264501944643</v>
      </c>
      <c r="I265" s="3">
        <f>IF(($A265-Ft!E$2)&lt;0,Ft!E$3*((1-Ft!E$6)/(1+Ft!E$37*($A265-Ft!E$2)^2)+Ft!E$6*EXP(Ft!E$38*($A265-Ft!E$2)^2)),Ft!E$3*((1-Ft!E$7)/(1+Ft!E$39*($A265-Ft!E$2)^2)+Ft!E$7*EXP(Ft!E$40*($A265-Ft!E$2)^2)))</f>
        <v>1.7004078010336587</v>
      </c>
      <c r="J265" s="3">
        <f>IF(($A265-Ft!F$2)&lt;0,Ft!F$3*((1-Ft!F$6)/(1+Ft!F$37*($A265-Ft!F$2)^2)+Ft!F$6*EXP(Ft!F$38*($A265-Ft!F$2)^2)),Ft!F$3*((1-Ft!F$7)/(1+Ft!F$39*($A265-Ft!F$2)^2)+Ft!F$7*EXP(Ft!F$40*($A265-Ft!F$2)^2)))</f>
        <v>2.1848054762399719E-26</v>
      </c>
      <c r="K265" s="3">
        <f>IF(($A265-Ft!G$2)&lt;0,Ft!G$3*((1-Ft!G$6)/(1+Ft!G$37*($A265-Ft!G$2)^2)+Ft!G$6*EXP(Ft!G$38*($A265-Ft!G$2)^2)),Ft!G$3*((1-Ft!G$7)/(1+Ft!G$39*($A265-Ft!G$2)^2)+Ft!G$7*EXP(Ft!G$40*($A265-Ft!G$2)^2)))</f>
        <v>2.6314990789267655E-111</v>
      </c>
      <c r="L265" s="3">
        <f>IF(($A265-Ft!H$2)&lt;0,Ft!H$3*((1-Ft!H$6)/(1+Ft!H$37*($A265-Ft!H$2)^2)+Ft!H$6*EXP(Ft!H$38*($A265-Ft!H$2)^2)),Ft!H$3*((1-Ft!H$7)/(1+Ft!H$39*($A265-Ft!H$2)^2)+Ft!H$7*EXP(Ft!H$40*($A265-Ft!H$2)^2)))</f>
        <v>0</v>
      </c>
      <c r="M265" s="3">
        <f>IF(($A265-Ft!I$2)&lt;0,Ft!I$3*((1-Ft!I$6)/(1+Ft!I$37*($A265-Ft!I$2)^2)+Ft!I$6*EXP(Ft!I$38*($A265-Ft!I$2)^2)),Ft!I$3*((1-Ft!I$7)/(1+Ft!I$39*($A265-Ft!I$2)^2)+Ft!I$7*EXP(Ft!I$40*($A265-Ft!I$2)^2)))</f>
        <v>0</v>
      </c>
      <c r="N265" s="3">
        <f>IF(($A265-Ft!J$2)&lt;0,Ft!J$3*((1-Ft!J$6)/(1+Ft!J$37*($A265-Ft!J$2)^2)+Ft!J$6*EXP(Ft!J$38*($A265-Ft!J$2)^2)),Ft!J$3*((1-Ft!J$7)/(1+Ft!J$39*($A265-Ft!J$2)^2)+Ft!J$7*EXP(Ft!J$40*($A265-Ft!J$2)^2)))</f>
        <v>0</v>
      </c>
      <c r="O265" s="3">
        <f>IF(($A265-Ft!K$2)&lt;0,Ft!K$3*((1-Ft!K$6)/(1+Ft!K$37*($A265-Ft!K$2)^2)+Ft!K$6*EXP(Ft!K$38*($A265-Ft!K$2)^2)),Ft!K$3*((1-Ft!K$7)/(1+Ft!K$39*($A265-Ft!K$2)^2)+Ft!K$7*EXP(Ft!K$40*($A265-Ft!K$2)^2)))</f>
        <v>0</v>
      </c>
      <c r="P265"/>
      <c r="Q265"/>
    </row>
    <row r="266" spans="1:17">
      <c r="A266">
        <v>528</v>
      </c>
      <c r="B266">
        <v>18.86254260304699</v>
      </c>
      <c r="C266" s="6">
        <f t="shared" si="9"/>
        <v>18.722355555419846</v>
      </c>
      <c r="D266" s="19">
        <f t="shared" si="10"/>
        <v>1.965240832241516E-2</v>
      </c>
      <c r="E266" s="3">
        <f>Ft!$B$12+Ft!$B$14*(Data!A266-Vars!$B$3)</f>
        <v>0</v>
      </c>
      <c r="F266" s="3">
        <f>IF(($A266-Ft!B$2)&lt;0,Ft!B$3*((1-Ft!B$6)/(1+Ft!B$37*($A266-Ft!B$2)^2)+Ft!B$6*EXP(Ft!B$38*($A266-Ft!B$2)^2)),Ft!B$3*((1-Ft!B$7)/(1+Ft!B$39*($A266-Ft!B$2)^2)+Ft!B$7*EXP(Ft!B$40*($A266-Ft!B$2)^2)))</f>
        <v>4.8518931907903128E-128</v>
      </c>
      <c r="G266" s="3">
        <f>IF(($A266-Ft!C$2)&lt;0,Ft!C$3*((1-Ft!C$6)/(1+Ft!C$37*($A266-Ft!C$2)^2)+Ft!C$6*EXP(Ft!C$38*($A266-Ft!C$2)^2)),Ft!C$3*((1-Ft!C$7)/(1+Ft!C$39*($A266-Ft!C$2)^2)+Ft!C$7*EXP(Ft!C$40*($A266-Ft!C$2)^2)))</f>
        <v>4.1057643659661821E-5</v>
      </c>
      <c r="H266" s="3">
        <f>IF(($A266-Ft!D$2)&lt;0,Ft!D$3*((1-Ft!D$6)/(1+Ft!D$37*($A266-Ft!D$2)^2)+Ft!D$6*EXP(Ft!D$38*($A266-Ft!D$2)^2)),Ft!D$3*((1-Ft!D$7)/(1+Ft!D$39*($A266-Ft!D$2)^2)+Ft!D$7*EXP(Ft!D$40*($A266-Ft!D$2)^2)))</f>
        <v>16.970564060954175</v>
      </c>
      <c r="I266" s="3">
        <f>IF(($A266-Ft!E$2)&lt;0,Ft!E$3*((1-Ft!E$6)/(1+Ft!E$37*($A266-Ft!E$2)^2)+Ft!E$6*EXP(Ft!E$38*($A266-Ft!E$2)^2)),Ft!E$3*((1-Ft!E$7)/(1+Ft!E$39*($A266-Ft!E$2)^2)+Ft!E$7*EXP(Ft!E$40*($A266-Ft!E$2)^2)))</f>
        <v>1.7517504368220125</v>
      </c>
      <c r="J266" s="3">
        <f>IF(($A266-Ft!F$2)&lt;0,Ft!F$3*((1-Ft!F$6)/(1+Ft!F$37*($A266-Ft!F$2)^2)+Ft!F$6*EXP(Ft!F$38*($A266-Ft!F$2)^2)),Ft!F$3*((1-Ft!F$7)/(1+Ft!F$39*($A266-Ft!F$2)^2)+Ft!F$7*EXP(Ft!F$40*($A266-Ft!F$2)^2)))</f>
        <v>3.6380647895568794E-26</v>
      </c>
      <c r="K266" s="3">
        <f>IF(($A266-Ft!G$2)&lt;0,Ft!G$3*((1-Ft!G$6)/(1+Ft!G$37*($A266-Ft!G$2)^2)+Ft!G$6*EXP(Ft!G$38*($A266-Ft!G$2)^2)),Ft!G$3*((1-Ft!G$7)/(1+Ft!G$39*($A266-Ft!G$2)^2)+Ft!G$7*EXP(Ft!G$40*($A266-Ft!G$2)^2)))</f>
        <v>1.8893245193985636E-110</v>
      </c>
      <c r="L266" s="3">
        <f>IF(($A266-Ft!H$2)&lt;0,Ft!H$3*((1-Ft!H$6)/(1+Ft!H$37*($A266-Ft!H$2)^2)+Ft!H$6*EXP(Ft!H$38*($A266-Ft!H$2)^2)),Ft!H$3*((1-Ft!H$7)/(1+Ft!H$39*($A266-Ft!H$2)^2)+Ft!H$7*EXP(Ft!H$40*($A266-Ft!H$2)^2)))</f>
        <v>0</v>
      </c>
      <c r="M266" s="3">
        <f>IF(($A266-Ft!I$2)&lt;0,Ft!I$3*((1-Ft!I$6)/(1+Ft!I$37*($A266-Ft!I$2)^2)+Ft!I$6*EXP(Ft!I$38*($A266-Ft!I$2)^2)),Ft!I$3*((1-Ft!I$7)/(1+Ft!I$39*($A266-Ft!I$2)^2)+Ft!I$7*EXP(Ft!I$40*($A266-Ft!I$2)^2)))</f>
        <v>0</v>
      </c>
      <c r="N266" s="3">
        <f>IF(($A266-Ft!J$2)&lt;0,Ft!J$3*((1-Ft!J$6)/(1+Ft!J$37*($A266-Ft!J$2)^2)+Ft!J$6*EXP(Ft!J$38*($A266-Ft!J$2)^2)),Ft!J$3*((1-Ft!J$7)/(1+Ft!J$39*($A266-Ft!J$2)^2)+Ft!J$7*EXP(Ft!J$40*($A266-Ft!J$2)^2)))</f>
        <v>0</v>
      </c>
      <c r="O266" s="3">
        <f>IF(($A266-Ft!K$2)&lt;0,Ft!K$3*((1-Ft!K$6)/(1+Ft!K$37*($A266-Ft!K$2)^2)+Ft!K$6*EXP(Ft!K$38*($A266-Ft!K$2)^2)),Ft!K$3*((1-Ft!K$7)/(1+Ft!K$39*($A266-Ft!K$2)^2)+Ft!K$7*EXP(Ft!K$40*($A266-Ft!K$2)^2)))</f>
        <v>0</v>
      </c>
      <c r="P266"/>
      <c r="Q266"/>
    </row>
    <row r="267" spans="1:17">
      <c r="A267">
        <v>530</v>
      </c>
      <c r="B267">
        <v>18.840285608798993</v>
      </c>
      <c r="C267" s="6">
        <f t="shared" si="9"/>
        <v>18.684214107179915</v>
      </c>
      <c r="D267" s="19">
        <f t="shared" si="10"/>
        <v>2.4358313617633767E-2</v>
      </c>
      <c r="E267" s="3">
        <f>Ft!$B$12+Ft!$B$14*(Data!A267-Vars!$B$3)</f>
        <v>0</v>
      </c>
      <c r="F267" s="3">
        <f>IF(($A267-Ft!B$2)&lt;0,Ft!B$3*((1-Ft!B$6)/(1+Ft!B$37*($A267-Ft!B$2)^2)+Ft!B$6*EXP(Ft!B$38*($A267-Ft!B$2)^2)),Ft!B$3*((1-Ft!B$7)/(1+Ft!B$39*($A267-Ft!B$2)^2)+Ft!B$7*EXP(Ft!B$40*($A267-Ft!B$2)^2)))</f>
        <v>4.2096813013768522E-129</v>
      </c>
      <c r="G267" s="3">
        <f>IF(($A267-Ft!C$2)&lt;0,Ft!C$3*((1-Ft!C$6)/(1+Ft!C$37*($A267-Ft!C$2)^2)+Ft!C$6*EXP(Ft!C$38*($A267-Ft!C$2)^2)),Ft!C$3*((1-Ft!C$7)/(1+Ft!C$39*($A267-Ft!C$2)^2)+Ft!C$7*EXP(Ft!C$40*($A267-Ft!C$2)^2)))</f>
        <v>3.6169137345007511E-5</v>
      </c>
      <c r="H267" s="3">
        <f>IF(($A267-Ft!D$2)&lt;0,Ft!D$3*((1-Ft!D$6)/(1+Ft!D$37*($A267-Ft!D$2)^2)+Ft!D$6*EXP(Ft!D$38*($A267-Ft!D$2)^2)),Ft!D$3*((1-Ft!D$7)/(1+Ft!D$39*($A267-Ft!D$2)^2)+Ft!D$7*EXP(Ft!D$40*($A267-Ft!D$2)^2)))</f>
        <v>16.879897953038913</v>
      </c>
      <c r="I267" s="3">
        <f>IF(($A267-Ft!E$2)&lt;0,Ft!E$3*((1-Ft!E$6)/(1+Ft!E$37*($A267-Ft!E$2)^2)+Ft!E$6*EXP(Ft!E$38*($A267-Ft!E$2)^2)),Ft!E$3*((1-Ft!E$7)/(1+Ft!E$39*($A267-Ft!E$2)^2)+Ft!E$7*EXP(Ft!E$40*($A267-Ft!E$2)^2)))</f>
        <v>1.8042799850036575</v>
      </c>
      <c r="J267" s="3">
        <f>IF(($A267-Ft!F$2)&lt;0,Ft!F$3*((1-Ft!F$6)/(1+Ft!F$37*($A267-Ft!F$2)^2)+Ft!F$6*EXP(Ft!F$38*($A267-Ft!F$2)^2)),Ft!F$3*((1-Ft!F$7)/(1+Ft!F$39*($A267-Ft!F$2)^2)+Ft!F$7*EXP(Ft!F$40*($A267-Ft!F$2)^2)))</f>
        <v>6.0449589578527914E-26</v>
      </c>
      <c r="K267" s="3">
        <f>IF(($A267-Ft!G$2)&lt;0,Ft!G$3*((1-Ft!G$6)/(1+Ft!G$37*($A267-Ft!G$2)^2)+Ft!G$6*EXP(Ft!G$38*($A267-Ft!G$2)^2)),Ft!G$3*((1-Ft!G$7)/(1+Ft!G$39*($A267-Ft!G$2)^2)+Ft!G$7*EXP(Ft!G$40*($A267-Ft!G$2)^2)))</f>
        <v>1.3461914609541033E-109</v>
      </c>
      <c r="L267" s="3">
        <f>IF(($A267-Ft!H$2)&lt;0,Ft!H$3*((1-Ft!H$6)/(1+Ft!H$37*($A267-Ft!H$2)^2)+Ft!H$6*EXP(Ft!H$38*($A267-Ft!H$2)^2)),Ft!H$3*((1-Ft!H$7)/(1+Ft!H$39*($A267-Ft!H$2)^2)+Ft!H$7*EXP(Ft!H$40*($A267-Ft!H$2)^2)))</f>
        <v>0</v>
      </c>
      <c r="M267" s="3">
        <f>IF(($A267-Ft!I$2)&lt;0,Ft!I$3*((1-Ft!I$6)/(1+Ft!I$37*($A267-Ft!I$2)^2)+Ft!I$6*EXP(Ft!I$38*($A267-Ft!I$2)^2)),Ft!I$3*((1-Ft!I$7)/(1+Ft!I$39*($A267-Ft!I$2)^2)+Ft!I$7*EXP(Ft!I$40*($A267-Ft!I$2)^2)))</f>
        <v>0</v>
      </c>
      <c r="N267" s="3">
        <f>IF(($A267-Ft!J$2)&lt;0,Ft!J$3*((1-Ft!J$6)/(1+Ft!J$37*($A267-Ft!J$2)^2)+Ft!J$6*EXP(Ft!J$38*($A267-Ft!J$2)^2)),Ft!J$3*((1-Ft!J$7)/(1+Ft!J$39*($A267-Ft!J$2)^2)+Ft!J$7*EXP(Ft!J$40*($A267-Ft!J$2)^2)))</f>
        <v>0</v>
      </c>
      <c r="O267" s="3">
        <f>IF(($A267-Ft!K$2)&lt;0,Ft!K$3*((1-Ft!K$6)/(1+Ft!K$37*($A267-Ft!K$2)^2)+Ft!K$6*EXP(Ft!K$38*($A267-Ft!K$2)^2)),Ft!K$3*((1-Ft!K$7)/(1+Ft!K$39*($A267-Ft!K$2)^2)+Ft!K$7*EXP(Ft!K$40*($A267-Ft!K$2)^2)))</f>
        <v>0</v>
      </c>
      <c r="P267"/>
      <c r="Q267"/>
    </row>
    <row r="268" spans="1:17">
      <c r="A268">
        <v>532</v>
      </c>
      <c r="B268">
        <v>18.816926340558993</v>
      </c>
      <c r="C268" s="6">
        <f t="shared" si="9"/>
        <v>18.645345086989231</v>
      </c>
      <c r="D268" s="19">
        <f t="shared" si="10"/>
        <v>2.9440126576571062E-2</v>
      </c>
      <c r="E268" s="3">
        <f>Ft!$B$12+Ft!$B$14*(Data!A268-Vars!$B$3)</f>
        <v>0</v>
      </c>
      <c r="F268" s="3">
        <f>IF(($A268-Ft!B$2)&lt;0,Ft!B$3*((1-Ft!B$6)/(1+Ft!B$37*($A268-Ft!B$2)^2)+Ft!B$6*EXP(Ft!B$38*($A268-Ft!B$2)^2)),Ft!B$3*((1-Ft!B$7)/(1+Ft!B$39*($A268-Ft!B$2)^2)+Ft!B$7*EXP(Ft!B$40*($A268-Ft!B$2)^2)))</f>
        <v>3.6157324409197825E-130</v>
      </c>
      <c r="G268" s="3">
        <f>IF(($A268-Ft!C$2)&lt;0,Ft!C$3*((1-Ft!C$6)/(1+Ft!C$37*($A268-Ft!C$2)^2)+Ft!C$6*EXP(Ft!C$38*($A268-Ft!C$2)^2)),Ft!C$3*((1-Ft!C$7)/(1+Ft!C$39*($A268-Ft!C$2)^2)+Ft!C$7*EXP(Ft!C$40*($A268-Ft!C$2)^2)))</f>
        <v>3.1841990797711774E-5</v>
      </c>
      <c r="H268" s="3">
        <f>IF(($A268-Ft!D$2)&lt;0,Ft!D$3*((1-Ft!D$6)/(1+Ft!D$37*($A268-Ft!D$2)^2)+Ft!D$6*EXP(Ft!D$38*($A268-Ft!D$2)^2)),Ft!D$3*((1-Ft!D$7)/(1+Ft!D$39*($A268-Ft!D$2)^2)+Ft!D$7*EXP(Ft!D$40*($A268-Ft!D$2)^2)))</f>
        <v>16.787302677123193</v>
      </c>
      <c r="I268" s="3">
        <f>IF(($A268-Ft!E$2)&lt;0,Ft!E$3*((1-Ft!E$6)/(1+Ft!E$37*($A268-Ft!E$2)^2)+Ft!E$6*EXP(Ft!E$38*($A268-Ft!E$2)^2)),Ft!E$3*((1-Ft!E$7)/(1+Ft!E$39*($A268-Ft!E$2)^2)+Ft!E$7*EXP(Ft!E$40*($A268-Ft!E$2)^2)))</f>
        <v>1.8580105678752399</v>
      </c>
      <c r="J268" s="3">
        <f>IF(($A268-Ft!F$2)&lt;0,Ft!F$3*((1-Ft!F$6)/(1+Ft!F$37*($A268-Ft!F$2)^2)+Ft!F$6*EXP(Ft!F$38*($A268-Ft!F$2)^2)),Ft!F$3*((1-Ft!F$7)/(1+Ft!F$39*($A268-Ft!F$2)^2)+Ft!F$7*EXP(Ft!F$40*($A268-Ft!F$2)^2)))</f>
        <v>1.0022626773631624E-25</v>
      </c>
      <c r="K268" s="3">
        <f>IF(($A268-Ft!G$2)&lt;0,Ft!G$3*((1-Ft!G$6)/(1+Ft!G$37*($A268-Ft!G$2)^2)+Ft!G$6*EXP(Ft!G$38*($A268-Ft!G$2)^2)),Ft!G$3*((1-Ft!G$7)/(1+Ft!G$39*($A268-Ft!G$2)^2)+Ft!G$7*EXP(Ft!G$40*($A268-Ft!G$2)^2)))</f>
        <v>9.5192785288818121E-109</v>
      </c>
      <c r="L268" s="3">
        <f>IF(($A268-Ft!H$2)&lt;0,Ft!H$3*((1-Ft!H$6)/(1+Ft!H$37*($A268-Ft!H$2)^2)+Ft!H$6*EXP(Ft!H$38*($A268-Ft!H$2)^2)),Ft!H$3*((1-Ft!H$7)/(1+Ft!H$39*($A268-Ft!H$2)^2)+Ft!H$7*EXP(Ft!H$40*($A268-Ft!H$2)^2)))</f>
        <v>0</v>
      </c>
      <c r="M268" s="3">
        <f>IF(($A268-Ft!I$2)&lt;0,Ft!I$3*((1-Ft!I$6)/(1+Ft!I$37*($A268-Ft!I$2)^2)+Ft!I$6*EXP(Ft!I$38*($A268-Ft!I$2)^2)),Ft!I$3*((1-Ft!I$7)/(1+Ft!I$39*($A268-Ft!I$2)^2)+Ft!I$7*EXP(Ft!I$40*($A268-Ft!I$2)^2)))</f>
        <v>0</v>
      </c>
      <c r="N268" s="3">
        <f>IF(($A268-Ft!J$2)&lt;0,Ft!J$3*((1-Ft!J$6)/(1+Ft!J$37*($A268-Ft!J$2)^2)+Ft!J$6*EXP(Ft!J$38*($A268-Ft!J$2)^2)),Ft!J$3*((1-Ft!J$7)/(1+Ft!J$39*($A268-Ft!J$2)^2)+Ft!J$7*EXP(Ft!J$40*($A268-Ft!J$2)^2)))</f>
        <v>0</v>
      </c>
      <c r="O268" s="3">
        <f>IF(($A268-Ft!K$2)&lt;0,Ft!K$3*((1-Ft!K$6)/(1+Ft!K$37*($A268-Ft!K$2)^2)+Ft!K$6*EXP(Ft!K$38*($A268-Ft!K$2)^2)),Ft!K$3*((1-Ft!K$7)/(1+Ft!K$39*($A268-Ft!K$2)^2)+Ft!K$7*EXP(Ft!K$40*($A268-Ft!K$2)^2)))</f>
        <v>0</v>
      </c>
      <c r="P268"/>
      <c r="Q268"/>
    </row>
    <row r="269" spans="1:17">
      <c r="A269">
        <v>534</v>
      </c>
      <c r="B269">
        <v>18.791667879034989</v>
      </c>
      <c r="C269" s="6">
        <f t="shared" si="9"/>
        <v>18.605799372077996</v>
      </c>
      <c r="D269" s="19">
        <f t="shared" si="10"/>
        <v>3.4547101878421749E-2</v>
      </c>
      <c r="E269" s="3">
        <f>Ft!$B$12+Ft!$B$14*(Data!A269-Vars!$B$3)</f>
        <v>0</v>
      </c>
      <c r="F269" s="3">
        <f>IF(($A269-Ft!B$2)&lt;0,Ft!B$3*((1-Ft!B$6)/(1+Ft!B$37*($A269-Ft!B$2)^2)+Ft!B$6*EXP(Ft!B$38*($A269-Ft!B$2)^2)),Ft!B$3*((1-Ft!B$7)/(1+Ft!B$39*($A269-Ft!B$2)^2)+Ft!B$7*EXP(Ft!B$40*($A269-Ft!B$2)^2)))</f>
        <v>3.0743438123266411E-131</v>
      </c>
      <c r="G269" s="3">
        <f>IF(($A269-Ft!C$2)&lt;0,Ft!C$3*((1-Ft!C$6)/(1+Ft!C$37*($A269-Ft!C$2)^2)+Ft!C$6*EXP(Ft!C$38*($A269-Ft!C$2)^2)),Ft!C$3*((1-Ft!C$7)/(1+Ft!C$39*($A269-Ft!C$2)^2)+Ft!C$7*EXP(Ft!C$40*($A269-Ft!C$2)^2)))</f>
        <v>2.8014327827958393E-5</v>
      </c>
      <c r="H269" s="3">
        <f>IF(($A269-Ft!D$2)&lt;0,Ft!D$3*((1-Ft!D$6)/(1+Ft!D$37*($A269-Ft!D$2)^2)+Ft!D$6*EXP(Ft!D$38*($A269-Ft!D$2)^2)),Ft!D$3*((1-Ft!D$7)/(1+Ft!D$39*($A269-Ft!D$2)^2)+Ft!D$7*EXP(Ft!D$40*($A269-Ft!D$2)^2)))</f>
        <v>16.692815364233173</v>
      </c>
      <c r="I269" s="3">
        <f>IF(($A269-Ft!E$2)&lt;0,Ft!E$3*((1-Ft!E$6)/(1+Ft!E$37*($A269-Ft!E$2)^2)+Ft!E$6*EXP(Ft!E$38*($A269-Ft!E$2)^2)),Ft!E$3*((1-Ft!E$7)/(1+Ft!E$39*($A269-Ft!E$2)^2)+Ft!E$7*EXP(Ft!E$40*($A269-Ft!E$2)^2)))</f>
        <v>1.912955993516996</v>
      </c>
      <c r="J269" s="3">
        <f>IF(($A269-Ft!F$2)&lt;0,Ft!F$3*((1-Ft!F$6)/(1+Ft!F$37*($A269-Ft!F$2)^2)+Ft!F$6*EXP(Ft!F$38*($A269-Ft!F$2)^2)),Ft!F$3*((1-Ft!F$7)/(1+Ft!F$39*($A269-Ft!F$2)^2)+Ft!F$7*EXP(Ft!F$40*($A269-Ft!F$2)^2)))</f>
        <v>1.6581928342873676E-25</v>
      </c>
      <c r="K269" s="3">
        <f>IF(($A269-Ft!G$2)&lt;0,Ft!G$3*((1-Ft!G$6)/(1+Ft!G$37*($A269-Ft!G$2)^2)+Ft!G$6*EXP(Ft!G$38*($A269-Ft!G$2)^2)),Ft!G$3*((1-Ft!G$7)/(1+Ft!G$39*($A269-Ft!G$2)^2)+Ft!G$7*EXP(Ft!G$40*($A269-Ft!G$2)^2)))</f>
        <v>6.6803338844850607E-108</v>
      </c>
      <c r="L269" s="3">
        <f>IF(($A269-Ft!H$2)&lt;0,Ft!H$3*((1-Ft!H$6)/(1+Ft!H$37*($A269-Ft!H$2)^2)+Ft!H$6*EXP(Ft!H$38*($A269-Ft!H$2)^2)),Ft!H$3*((1-Ft!H$7)/(1+Ft!H$39*($A269-Ft!H$2)^2)+Ft!H$7*EXP(Ft!H$40*($A269-Ft!H$2)^2)))</f>
        <v>0</v>
      </c>
      <c r="M269" s="3">
        <f>IF(($A269-Ft!I$2)&lt;0,Ft!I$3*((1-Ft!I$6)/(1+Ft!I$37*($A269-Ft!I$2)^2)+Ft!I$6*EXP(Ft!I$38*($A269-Ft!I$2)^2)),Ft!I$3*((1-Ft!I$7)/(1+Ft!I$39*($A269-Ft!I$2)^2)+Ft!I$7*EXP(Ft!I$40*($A269-Ft!I$2)^2)))</f>
        <v>0</v>
      </c>
      <c r="N269" s="3">
        <f>IF(($A269-Ft!J$2)&lt;0,Ft!J$3*((1-Ft!J$6)/(1+Ft!J$37*($A269-Ft!J$2)^2)+Ft!J$6*EXP(Ft!J$38*($A269-Ft!J$2)^2)),Ft!J$3*((1-Ft!J$7)/(1+Ft!J$39*($A269-Ft!J$2)^2)+Ft!J$7*EXP(Ft!J$40*($A269-Ft!J$2)^2)))</f>
        <v>0</v>
      </c>
      <c r="O269" s="3">
        <f>IF(($A269-Ft!K$2)&lt;0,Ft!K$3*((1-Ft!K$6)/(1+Ft!K$37*($A269-Ft!K$2)^2)+Ft!K$6*EXP(Ft!K$38*($A269-Ft!K$2)^2)),Ft!K$3*((1-Ft!K$7)/(1+Ft!K$39*($A269-Ft!K$2)^2)+Ft!K$7*EXP(Ft!K$40*($A269-Ft!K$2)^2)))</f>
        <v>0</v>
      </c>
      <c r="P269"/>
      <c r="Q269"/>
    </row>
    <row r="270" spans="1:17">
      <c r="A270">
        <v>536</v>
      </c>
      <c r="B270">
        <v>18.763713304931997</v>
      </c>
      <c r="C270" s="6">
        <f t="shared" si="9"/>
        <v>18.565628118668105</v>
      </c>
      <c r="D270" s="19">
        <f t="shared" si="10"/>
        <v>3.9237741017200851E-2</v>
      </c>
      <c r="E270" s="3">
        <f>Ft!$B$12+Ft!$B$14*(Data!A270-Vars!$B$3)</f>
        <v>0</v>
      </c>
      <c r="F270" s="3">
        <f>IF(($A270-Ft!B$2)&lt;0,Ft!B$3*((1-Ft!B$6)/(1+Ft!B$37*($A270-Ft!B$2)^2)+Ft!B$6*EXP(Ft!B$38*($A270-Ft!B$2)^2)),Ft!B$3*((1-Ft!B$7)/(1+Ft!B$39*($A270-Ft!B$2)^2)+Ft!B$7*EXP(Ft!B$40*($A270-Ft!B$2)^2)))</f>
        <v>2.5877222710460329E-132</v>
      </c>
      <c r="G270" s="3">
        <f>IF(($A270-Ft!C$2)&lt;0,Ft!C$3*((1-Ft!C$6)/(1+Ft!C$37*($A270-Ft!C$2)^2)+Ft!C$6*EXP(Ft!C$38*($A270-Ft!C$2)^2)),Ft!C$3*((1-Ft!C$7)/(1+Ft!C$39*($A270-Ft!C$2)^2)+Ft!C$7*EXP(Ft!C$40*($A270-Ft!C$2)^2)))</f>
        <v>2.4630778163235739E-5</v>
      </c>
      <c r="H270" s="3">
        <f>IF(($A270-Ft!D$2)&lt;0,Ft!D$3*((1-Ft!D$6)/(1+Ft!D$37*($A270-Ft!D$2)^2)+Ft!D$6*EXP(Ft!D$38*($A270-Ft!D$2)^2)),Ft!D$3*((1-Ft!D$7)/(1+Ft!D$39*($A270-Ft!D$2)^2)+Ft!D$7*EXP(Ft!D$40*($A270-Ft!D$2)^2)))</f>
        <v>16.596473752738316</v>
      </c>
      <c r="I270" s="3">
        <f>IF(($A270-Ft!E$2)&lt;0,Ft!E$3*((1-Ft!E$6)/(1+Ft!E$37*($A270-Ft!E$2)^2)+Ft!E$6*EXP(Ft!E$38*($A270-Ft!E$2)^2)),Ft!E$3*((1-Ft!E$7)/(1+Ft!E$39*($A270-Ft!E$2)^2)+Ft!E$7*EXP(Ft!E$40*($A270-Ft!E$2)^2)))</f>
        <v>1.9691297351516257</v>
      </c>
      <c r="J270" s="3">
        <f>IF(($A270-Ft!F$2)&lt;0,Ft!F$3*((1-Ft!F$6)/(1+Ft!F$37*($A270-Ft!F$2)^2)+Ft!F$6*EXP(Ft!F$38*($A270-Ft!F$2)^2)),Ft!F$3*((1-Ft!F$7)/(1+Ft!F$39*($A270-Ft!F$2)^2)+Ft!F$7*EXP(Ft!F$40*($A270-Ft!F$2)^2)))</f>
        <v>2.7374978327507803E-25</v>
      </c>
      <c r="K270" s="3">
        <f>IF(($A270-Ft!G$2)&lt;0,Ft!G$3*((1-Ft!G$6)/(1+Ft!G$37*($A270-Ft!G$2)^2)+Ft!G$6*EXP(Ft!G$38*($A270-Ft!G$2)^2)),Ft!G$3*((1-Ft!G$7)/(1+Ft!G$39*($A270-Ft!G$2)^2)+Ft!G$7*EXP(Ft!G$40*($A270-Ft!G$2)^2)))</f>
        <v>4.6525305787985586E-107</v>
      </c>
      <c r="L270" s="3">
        <f>IF(($A270-Ft!H$2)&lt;0,Ft!H$3*((1-Ft!H$6)/(1+Ft!H$37*($A270-Ft!H$2)^2)+Ft!H$6*EXP(Ft!H$38*($A270-Ft!H$2)^2)),Ft!H$3*((1-Ft!H$7)/(1+Ft!H$39*($A270-Ft!H$2)^2)+Ft!H$7*EXP(Ft!H$40*($A270-Ft!H$2)^2)))</f>
        <v>0</v>
      </c>
      <c r="M270" s="3">
        <f>IF(($A270-Ft!I$2)&lt;0,Ft!I$3*((1-Ft!I$6)/(1+Ft!I$37*($A270-Ft!I$2)^2)+Ft!I$6*EXP(Ft!I$38*($A270-Ft!I$2)^2)),Ft!I$3*((1-Ft!I$7)/(1+Ft!I$39*($A270-Ft!I$2)^2)+Ft!I$7*EXP(Ft!I$40*($A270-Ft!I$2)^2)))</f>
        <v>0</v>
      </c>
      <c r="N270" s="3">
        <f>IF(($A270-Ft!J$2)&lt;0,Ft!J$3*((1-Ft!J$6)/(1+Ft!J$37*($A270-Ft!J$2)^2)+Ft!J$6*EXP(Ft!J$38*($A270-Ft!J$2)^2)),Ft!J$3*((1-Ft!J$7)/(1+Ft!J$39*($A270-Ft!J$2)^2)+Ft!J$7*EXP(Ft!J$40*($A270-Ft!J$2)^2)))</f>
        <v>0</v>
      </c>
      <c r="O270" s="3">
        <f>IF(($A270-Ft!K$2)&lt;0,Ft!K$3*((1-Ft!K$6)/(1+Ft!K$37*($A270-Ft!K$2)^2)+Ft!K$6*EXP(Ft!K$38*($A270-Ft!K$2)^2)),Ft!K$3*((1-Ft!K$7)/(1+Ft!K$39*($A270-Ft!K$2)^2)+Ft!K$7*EXP(Ft!K$40*($A270-Ft!K$2)^2)))</f>
        <v>0</v>
      </c>
      <c r="P270"/>
      <c r="Q270"/>
    </row>
    <row r="271" spans="1:17">
      <c r="A271">
        <v>538</v>
      </c>
      <c r="B271">
        <v>18.732265698956994</v>
      </c>
      <c r="C271" s="6">
        <f t="shared" si="9"/>
        <v>18.524882715358373</v>
      </c>
      <c r="D271" s="19">
        <f t="shared" si="10"/>
        <v>4.3007701886265612E-2</v>
      </c>
      <c r="E271" s="3">
        <f>Ft!$B$12+Ft!$B$14*(Data!A271-Vars!$B$3)</f>
        <v>0</v>
      </c>
      <c r="F271" s="3">
        <f>IF(($A271-Ft!B$2)&lt;0,Ft!B$3*((1-Ft!B$6)/(1+Ft!B$37*($A271-Ft!B$2)^2)+Ft!B$6*EXP(Ft!B$38*($A271-Ft!B$2)^2)),Ft!B$3*((1-Ft!B$7)/(1+Ft!B$39*($A271-Ft!B$2)^2)+Ft!B$7*EXP(Ft!B$40*($A271-Ft!B$2)^2)))</f>
        <v>2.1562145575560722E-133</v>
      </c>
      <c r="G271" s="3">
        <f>IF(($A271-Ft!C$2)&lt;0,Ft!C$3*((1-Ft!C$6)/(1+Ft!C$37*($A271-Ft!C$2)^2)+Ft!C$6*EXP(Ft!C$38*($A271-Ft!C$2)^2)),Ft!C$3*((1-Ft!C$7)/(1+Ft!C$39*($A271-Ft!C$2)^2)+Ft!C$7*EXP(Ft!C$40*($A271-Ft!C$2)^2)))</f>
        <v>2.1641830497867723E-5</v>
      </c>
      <c r="H271" s="3">
        <f>IF(($A271-Ft!D$2)&lt;0,Ft!D$3*((1-Ft!D$6)/(1+Ft!D$37*($A271-Ft!D$2)^2)+Ft!D$6*EXP(Ft!D$38*($A271-Ft!D$2)^2)),Ft!D$3*((1-Ft!D$7)/(1+Ft!D$39*($A271-Ft!D$2)^2)+Ft!D$7*EXP(Ft!D$40*($A271-Ft!D$2)^2)))</f>
        <v>16.49831616329514</v>
      </c>
      <c r="I271" s="3">
        <f>IF(($A271-Ft!E$2)&lt;0,Ft!E$3*((1-Ft!E$6)/(1+Ft!E$37*($A271-Ft!E$2)^2)+Ft!E$6*EXP(Ft!E$38*($A271-Ft!E$2)^2)),Ft!E$3*((1-Ft!E$7)/(1+Ft!E$39*($A271-Ft!E$2)^2)+Ft!E$7*EXP(Ft!E$40*($A271-Ft!E$2)^2)))</f>
        <v>2.026544910232738</v>
      </c>
      <c r="J271" s="3">
        <f>IF(($A271-Ft!F$2)&lt;0,Ft!F$3*((1-Ft!F$6)/(1+Ft!F$37*($A271-Ft!F$2)^2)+Ft!F$6*EXP(Ft!F$38*($A271-Ft!F$2)^2)),Ft!F$3*((1-Ft!F$7)/(1+Ft!F$39*($A271-Ft!F$2)^2)+Ft!F$7*EXP(Ft!F$40*($A271-Ft!F$2)^2)))</f>
        <v>4.5095977813057763E-25</v>
      </c>
      <c r="K271" s="3">
        <f>IF(($A271-Ft!G$2)&lt;0,Ft!G$3*((1-Ft!G$6)/(1+Ft!G$37*($A271-Ft!G$2)^2)+Ft!G$6*EXP(Ft!G$38*($A271-Ft!G$2)^2)),Ft!G$3*((1-Ft!G$7)/(1+Ft!G$39*($A271-Ft!G$2)^2)+Ft!G$7*EXP(Ft!G$40*($A271-Ft!G$2)^2)))</f>
        <v>3.2157126600442241E-106</v>
      </c>
      <c r="L271" s="3">
        <f>IF(($A271-Ft!H$2)&lt;0,Ft!H$3*((1-Ft!H$6)/(1+Ft!H$37*($A271-Ft!H$2)^2)+Ft!H$6*EXP(Ft!H$38*($A271-Ft!H$2)^2)),Ft!H$3*((1-Ft!H$7)/(1+Ft!H$39*($A271-Ft!H$2)^2)+Ft!H$7*EXP(Ft!H$40*($A271-Ft!H$2)^2)))</f>
        <v>0</v>
      </c>
      <c r="M271" s="3">
        <f>IF(($A271-Ft!I$2)&lt;0,Ft!I$3*((1-Ft!I$6)/(1+Ft!I$37*($A271-Ft!I$2)^2)+Ft!I$6*EXP(Ft!I$38*($A271-Ft!I$2)^2)),Ft!I$3*((1-Ft!I$7)/(1+Ft!I$39*($A271-Ft!I$2)^2)+Ft!I$7*EXP(Ft!I$40*($A271-Ft!I$2)^2)))</f>
        <v>0</v>
      </c>
      <c r="N271" s="3">
        <f>IF(($A271-Ft!J$2)&lt;0,Ft!J$3*((1-Ft!J$6)/(1+Ft!J$37*($A271-Ft!J$2)^2)+Ft!J$6*EXP(Ft!J$38*($A271-Ft!J$2)^2)),Ft!J$3*((1-Ft!J$7)/(1+Ft!J$39*($A271-Ft!J$2)^2)+Ft!J$7*EXP(Ft!J$40*($A271-Ft!J$2)^2)))</f>
        <v>0</v>
      </c>
      <c r="O271" s="3">
        <f>IF(($A271-Ft!K$2)&lt;0,Ft!K$3*((1-Ft!K$6)/(1+Ft!K$37*($A271-Ft!K$2)^2)+Ft!K$6*EXP(Ft!K$38*($A271-Ft!K$2)^2)),Ft!K$3*((1-Ft!K$7)/(1+Ft!K$39*($A271-Ft!K$2)^2)+Ft!K$7*EXP(Ft!K$40*($A271-Ft!K$2)^2)))</f>
        <v>0</v>
      </c>
      <c r="P271"/>
      <c r="Q271"/>
    </row>
    <row r="272" spans="1:17">
      <c r="A272">
        <v>540</v>
      </c>
      <c r="B272">
        <v>18.696375384402998</v>
      </c>
      <c r="C272" s="6">
        <f t="shared" si="9"/>
        <v>18.483614736042576</v>
      </c>
      <c r="D272" s="19">
        <f t="shared" si="10"/>
        <v>4.5267093490747361E-2</v>
      </c>
      <c r="E272" s="3">
        <f>Ft!$B$12+Ft!$B$14*(Data!A272-Vars!$B$3)</f>
        <v>0</v>
      </c>
      <c r="F272" s="3">
        <f>IF(($A272-Ft!B$2)&lt;0,Ft!B$3*((1-Ft!B$6)/(1+Ft!B$37*($A272-Ft!B$2)^2)+Ft!B$6*EXP(Ft!B$38*($A272-Ft!B$2)^2)),Ft!B$3*((1-Ft!B$7)/(1+Ft!B$39*($A272-Ft!B$2)^2)+Ft!B$7*EXP(Ft!B$40*($A272-Ft!B$2)^2)))</f>
        <v>1.7785880294075027E-134</v>
      </c>
      <c r="G272" s="3">
        <f>IF(($A272-Ft!C$2)&lt;0,Ft!C$3*((1-Ft!C$6)/(1+Ft!C$37*($A272-Ft!C$2)^2)+Ft!C$6*EXP(Ft!C$38*($A272-Ft!C$2)^2)),Ft!C$3*((1-Ft!C$7)/(1+Ft!C$39*($A272-Ft!C$2)^2)+Ft!C$7*EXP(Ft!C$40*($A272-Ft!C$2)^2)))</f>
        <v>1.9003245630806643E-5</v>
      </c>
      <c r="H272" s="3">
        <f>IF(($A272-Ft!D$2)&lt;0,Ft!D$3*((1-Ft!D$6)/(1+Ft!D$37*($A272-Ft!D$2)^2)+Ft!D$6*EXP(Ft!D$38*($A272-Ft!D$2)^2)),Ft!D$3*((1-Ft!D$7)/(1+Ft!D$39*($A272-Ft!D$2)^2)+Ft!D$7*EXP(Ft!D$40*($A272-Ft!D$2)^2)))</f>
        <v>16.39838147351648</v>
      </c>
      <c r="I272" s="3">
        <f>IF(($A272-Ft!E$2)&lt;0,Ft!E$3*((1-Ft!E$6)/(1+Ft!E$37*($A272-Ft!E$2)^2)+Ft!E$6*EXP(Ft!E$38*($A272-Ft!E$2)^2)),Ft!E$3*((1-Ft!E$7)/(1+Ft!E$39*($A272-Ft!E$2)^2)+Ft!E$7*EXP(Ft!E$40*($A272-Ft!E$2)^2)))</f>
        <v>2.0852142592804652</v>
      </c>
      <c r="J272" s="3">
        <f>IF(($A272-Ft!F$2)&lt;0,Ft!F$3*((1-Ft!F$6)/(1+Ft!F$37*($A272-Ft!F$2)^2)+Ft!F$6*EXP(Ft!F$38*($A272-Ft!F$2)^2)),Ft!F$3*((1-Ft!F$7)/(1+Ft!F$39*($A272-Ft!F$2)^2)+Ft!F$7*EXP(Ft!F$40*($A272-Ft!F$2)^2)))</f>
        <v>7.4128823317992649E-25</v>
      </c>
      <c r="K272" s="3">
        <f>IF(($A272-Ft!G$2)&lt;0,Ft!G$3*((1-Ft!G$6)/(1+Ft!G$37*($A272-Ft!G$2)^2)+Ft!G$6*EXP(Ft!G$38*($A272-Ft!G$2)^2)),Ft!G$3*((1-Ft!G$7)/(1+Ft!G$39*($A272-Ft!G$2)^2)+Ft!G$7*EXP(Ft!G$40*($A272-Ft!G$2)^2)))</f>
        <v>2.2057798586991149E-105</v>
      </c>
      <c r="L272" s="3">
        <f>IF(($A272-Ft!H$2)&lt;0,Ft!H$3*((1-Ft!H$6)/(1+Ft!H$37*($A272-Ft!H$2)^2)+Ft!H$6*EXP(Ft!H$38*($A272-Ft!H$2)^2)),Ft!H$3*((1-Ft!H$7)/(1+Ft!H$39*($A272-Ft!H$2)^2)+Ft!H$7*EXP(Ft!H$40*($A272-Ft!H$2)^2)))</f>
        <v>0</v>
      </c>
      <c r="M272" s="3">
        <f>IF(($A272-Ft!I$2)&lt;0,Ft!I$3*((1-Ft!I$6)/(1+Ft!I$37*($A272-Ft!I$2)^2)+Ft!I$6*EXP(Ft!I$38*($A272-Ft!I$2)^2)),Ft!I$3*((1-Ft!I$7)/(1+Ft!I$39*($A272-Ft!I$2)^2)+Ft!I$7*EXP(Ft!I$40*($A272-Ft!I$2)^2)))</f>
        <v>0</v>
      </c>
      <c r="N272" s="3">
        <f>IF(($A272-Ft!J$2)&lt;0,Ft!J$3*((1-Ft!J$6)/(1+Ft!J$37*($A272-Ft!J$2)^2)+Ft!J$6*EXP(Ft!J$38*($A272-Ft!J$2)^2)),Ft!J$3*((1-Ft!J$7)/(1+Ft!J$39*($A272-Ft!J$2)^2)+Ft!J$7*EXP(Ft!J$40*($A272-Ft!J$2)^2)))</f>
        <v>0</v>
      </c>
      <c r="O272" s="3">
        <f>IF(($A272-Ft!K$2)&lt;0,Ft!K$3*((1-Ft!K$6)/(1+Ft!K$37*($A272-Ft!K$2)^2)+Ft!K$6*EXP(Ft!K$38*($A272-Ft!K$2)^2)),Ft!K$3*((1-Ft!K$7)/(1+Ft!K$39*($A272-Ft!K$2)^2)+Ft!K$7*EXP(Ft!K$40*($A272-Ft!K$2)^2)))</f>
        <v>0</v>
      </c>
      <c r="P272"/>
      <c r="Q272"/>
    </row>
    <row r="273" spans="1:17">
      <c r="A273">
        <v>542</v>
      </c>
      <c r="B273">
        <v>18.655062263709993</v>
      </c>
      <c r="C273" s="6">
        <f t="shared" si="9"/>
        <v>18.441875892397018</v>
      </c>
      <c r="D273" s="19">
        <f t="shared" si="10"/>
        <v>4.5448428913593804E-2</v>
      </c>
      <c r="E273" s="3">
        <f>Ft!$B$12+Ft!$B$14*(Data!A273-Vars!$B$3)</f>
        <v>0</v>
      </c>
      <c r="F273" s="3">
        <f>IF(($A273-Ft!B$2)&lt;0,Ft!B$3*((1-Ft!B$6)/(1+Ft!B$37*($A273-Ft!B$2)^2)+Ft!B$6*EXP(Ft!B$38*($A273-Ft!B$2)^2)),Ft!B$3*((1-Ft!B$7)/(1+Ft!B$39*($A273-Ft!B$2)^2)+Ft!B$7*EXP(Ft!B$40*($A273-Ft!B$2)^2)))</f>
        <v>1.4523384562640534E-135</v>
      </c>
      <c r="G273" s="3">
        <f>IF(($A273-Ft!C$2)&lt;0,Ft!C$3*((1-Ft!C$6)/(1+Ft!C$37*($A273-Ft!C$2)^2)+Ft!C$6*EXP(Ft!C$38*($A273-Ft!C$2)^2)),Ft!C$3*((1-Ft!C$7)/(1+Ft!C$39*($A273-Ft!C$2)^2)+Ft!C$7*EXP(Ft!C$40*($A273-Ft!C$2)^2)))</f>
        <v>1.6675524580893171E-5</v>
      </c>
      <c r="H273" s="3">
        <f>IF(($A273-Ft!D$2)&lt;0,Ft!D$3*((1-Ft!D$6)/(1+Ft!D$37*($A273-Ft!D$2)^2)+Ft!D$6*EXP(Ft!D$38*($A273-Ft!D$2)^2)),Ft!D$3*((1-Ft!D$7)/(1+Ft!D$39*($A273-Ft!D$2)^2)+Ft!D$7*EXP(Ft!D$40*($A273-Ft!D$2)^2)))</f>
        <v>16.296709092389644</v>
      </c>
      <c r="I273" s="3">
        <f>IF(($A273-Ft!E$2)&lt;0,Ft!E$3*((1-Ft!E$6)/(1+Ft!E$37*($A273-Ft!E$2)^2)+Ft!E$6*EXP(Ft!E$38*($A273-Ft!E$2)^2)),Ft!E$3*((1-Ft!E$7)/(1+Ft!E$39*($A273-Ft!E$2)^2)+Ft!E$7*EXP(Ft!E$40*($A273-Ft!E$2)^2)))</f>
        <v>2.145150124482794</v>
      </c>
      <c r="J273" s="3">
        <f>IF(($A273-Ft!F$2)&lt;0,Ft!F$3*((1-Ft!F$6)/(1+Ft!F$37*($A273-Ft!F$2)^2)+Ft!F$6*EXP(Ft!F$38*($A273-Ft!F$2)^2)),Ft!F$3*((1-Ft!F$7)/(1+Ft!F$39*($A273-Ft!F$2)^2)+Ft!F$7*EXP(Ft!F$40*($A273-Ft!F$2)^2)))</f>
        <v>1.2159106960050958E-24</v>
      </c>
      <c r="K273" s="3">
        <f>IF(($A273-Ft!G$2)&lt;0,Ft!G$3*((1-Ft!G$6)/(1+Ft!G$37*($A273-Ft!G$2)^2)+Ft!G$6*EXP(Ft!G$38*($A273-Ft!G$2)^2)),Ft!G$3*((1-Ft!G$7)/(1+Ft!G$39*($A273-Ft!G$2)^2)+Ft!G$7*EXP(Ft!G$40*($A273-Ft!G$2)^2)))</f>
        <v>1.501564631963869E-104</v>
      </c>
      <c r="L273" s="3">
        <f>IF(($A273-Ft!H$2)&lt;0,Ft!H$3*((1-Ft!H$6)/(1+Ft!H$37*($A273-Ft!H$2)^2)+Ft!H$6*EXP(Ft!H$38*($A273-Ft!H$2)^2)),Ft!H$3*((1-Ft!H$7)/(1+Ft!H$39*($A273-Ft!H$2)^2)+Ft!H$7*EXP(Ft!H$40*($A273-Ft!H$2)^2)))</f>
        <v>0</v>
      </c>
      <c r="M273" s="3">
        <f>IF(($A273-Ft!I$2)&lt;0,Ft!I$3*((1-Ft!I$6)/(1+Ft!I$37*($A273-Ft!I$2)^2)+Ft!I$6*EXP(Ft!I$38*($A273-Ft!I$2)^2)),Ft!I$3*((1-Ft!I$7)/(1+Ft!I$39*($A273-Ft!I$2)^2)+Ft!I$7*EXP(Ft!I$40*($A273-Ft!I$2)^2)))</f>
        <v>0</v>
      </c>
      <c r="N273" s="3">
        <f>IF(($A273-Ft!J$2)&lt;0,Ft!J$3*((1-Ft!J$6)/(1+Ft!J$37*($A273-Ft!J$2)^2)+Ft!J$6*EXP(Ft!J$38*($A273-Ft!J$2)^2)),Ft!J$3*((1-Ft!J$7)/(1+Ft!J$39*($A273-Ft!J$2)^2)+Ft!J$7*EXP(Ft!J$40*($A273-Ft!J$2)^2)))</f>
        <v>0</v>
      </c>
      <c r="O273" s="3">
        <f>IF(($A273-Ft!K$2)&lt;0,Ft!K$3*((1-Ft!K$6)/(1+Ft!K$37*($A273-Ft!K$2)^2)+Ft!K$6*EXP(Ft!K$38*($A273-Ft!K$2)^2)),Ft!K$3*((1-Ft!K$7)/(1+Ft!K$39*($A273-Ft!K$2)^2)+Ft!K$7*EXP(Ft!K$40*($A273-Ft!K$2)^2)))</f>
        <v>0</v>
      </c>
      <c r="P273"/>
      <c r="Q273"/>
    </row>
    <row r="274" spans="1:17">
      <c r="A274">
        <v>544</v>
      </c>
      <c r="B274">
        <v>18.609250818291997</v>
      </c>
      <c r="C274" s="6">
        <f t="shared" si="9"/>
        <v>18.399717985975833</v>
      </c>
      <c r="D274" s="19">
        <f t="shared" si="10"/>
        <v>4.3904007818433628E-2</v>
      </c>
      <c r="E274" s="3">
        <f>Ft!$B$12+Ft!$B$14*(Data!A274-Vars!$B$3)</f>
        <v>0</v>
      </c>
      <c r="F274" s="3">
        <f>IF(($A274-Ft!B$2)&lt;0,Ft!B$3*((1-Ft!B$6)/(1+Ft!B$37*($A274-Ft!B$2)^2)+Ft!B$6*EXP(Ft!B$38*($A274-Ft!B$2)^2)),Ft!B$3*((1-Ft!B$7)/(1+Ft!B$39*($A274-Ft!B$2)^2)+Ft!B$7*EXP(Ft!B$40*($A274-Ft!B$2)^2)))</f>
        <v>1.1740034960088906E-136</v>
      </c>
      <c r="G274" s="3">
        <f>IF(($A274-Ft!C$2)&lt;0,Ft!C$3*((1-Ft!C$6)/(1+Ft!C$37*($A274-Ft!C$2)^2)+Ft!C$6*EXP(Ft!C$38*($A274-Ft!C$2)^2)),Ft!C$3*((1-Ft!C$7)/(1+Ft!C$39*($A274-Ft!C$2)^2)+Ft!C$7*EXP(Ft!C$40*($A274-Ft!C$2)^2)))</f>
        <v>1.4623426952998836E-5</v>
      </c>
      <c r="H274" s="3">
        <f>IF(($A274-Ft!D$2)&lt;0,Ft!D$3*((1-Ft!D$6)/(1+Ft!D$37*($A274-Ft!D$2)^2)+Ft!D$6*EXP(Ft!D$38*($A274-Ft!D$2)^2)),Ft!D$3*((1-Ft!D$7)/(1+Ft!D$39*($A274-Ft!D$2)^2)+Ft!D$7*EXP(Ft!D$40*($A274-Ft!D$2)^2)))</f>
        <v>16.19333893446689</v>
      </c>
      <c r="I274" s="3">
        <f>IF(($A274-Ft!E$2)&lt;0,Ft!E$3*((1-Ft!E$6)/(1+Ft!E$37*($A274-Ft!E$2)^2)+Ft!E$6*EXP(Ft!E$38*($A274-Ft!E$2)^2)),Ft!E$3*((1-Ft!E$7)/(1+Ft!E$39*($A274-Ft!E$2)^2)+Ft!E$7*EXP(Ft!E$40*($A274-Ft!E$2)^2)))</f>
        <v>2.2063644280819914</v>
      </c>
      <c r="J274" s="3">
        <f>IF(($A274-Ft!F$2)&lt;0,Ft!F$3*((1-Ft!F$6)/(1+Ft!F$37*($A274-Ft!F$2)^2)+Ft!F$6*EXP(Ft!F$38*($A274-Ft!F$2)^2)),Ft!F$3*((1-Ft!F$7)/(1+Ft!F$39*($A274-Ft!F$2)^2)+Ft!F$7*EXP(Ft!F$40*($A274-Ft!F$2)^2)))</f>
        <v>1.9901303617096828E-24</v>
      </c>
      <c r="K274" s="3">
        <f>IF(($A274-Ft!G$2)&lt;0,Ft!G$3*((1-Ft!G$6)/(1+Ft!G$37*($A274-Ft!G$2)^2)+Ft!G$6*EXP(Ft!G$38*($A274-Ft!G$2)^2)),Ft!G$3*((1-Ft!G$7)/(1+Ft!G$39*($A274-Ft!G$2)^2)+Ft!G$7*EXP(Ft!G$40*($A274-Ft!G$2)^2)))</f>
        <v>1.0144317325593162E-103</v>
      </c>
      <c r="L274" s="3">
        <f>IF(($A274-Ft!H$2)&lt;0,Ft!H$3*((1-Ft!H$6)/(1+Ft!H$37*($A274-Ft!H$2)^2)+Ft!H$6*EXP(Ft!H$38*($A274-Ft!H$2)^2)),Ft!H$3*((1-Ft!H$7)/(1+Ft!H$39*($A274-Ft!H$2)^2)+Ft!H$7*EXP(Ft!H$40*($A274-Ft!H$2)^2)))</f>
        <v>0</v>
      </c>
      <c r="M274" s="3">
        <f>IF(($A274-Ft!I$2)&lt;0,Ft!I$3*((1-Ft!I$6)/(1+Ft!I$37*($A274-Ft!I$2)^2)+Ft!I$6*EXP(Ft!I$38*($A274-Ft!I$2)^2)),Ft!I$3*((1-Ft!I$7)/(1+Ft!I$39*($A274-Ft!I$2)^2)+Ft!I$7*EXP(Ft!I$40*($A274-Ft!I$2)^2)))</f>
        <v>0</v>
      </c>
      <c r="N274" s="3">
        <f>IF(($A274-Ft!J$2)&lt;0,Ft!J$3*((1-Ft!J$6)/(1+Ft!J$37*($A274-Ft!J$2)^2)+Ft!J$6*EXP(Ft!J$38*($A274-Ft!J$2)^2)),Ft!J$3*((1-Ft!J$7)/(1+Ft!J$39*($A274-Ft!J$2)^2)+Ft!J$7*EXP(Ft!J$40*($A274-Ft!J$2)^2)))</f>
        <v>0</v>
      </c>
      <c r="O274" s="3">
        <f>IF(($A274-Ft!K$2)&lt;0,Ft!K$3*((1-Ft!K$6)/(1+Ft!K$37*($A274-Ft!K$2)^2)+Ft!K$6*EXP(Ft!K$38*($A274-Ft!K$2)^2)),Ft!K$3*((1-Ft!K$7)/(1+Ft!K$39*($A274-Ft!K$2)^2)+Ft!K$7*EXP(Ft!K$40*($A274-Ft!K$2)^2)))</f>
        <v>0</v>
      </c>
      <c r="P274"/>
      <c r="Q274"/>
    </row>
    <row r="275" spans="1:17">
      <c r="A275">
        <v>546</v>
      </c>
      <c r="B275">
        <v>18.560099772111997</v>
      </c>
      <c r="C275" s="6">
        <f t="shared" si="9"/>
        <v>18.357192859953415</v>
      </c>
      <c r="D275" s="19">
        <f t="shared" si="10"/>
        <v>4.1171215001730523E-2</v>
      </c>
      <c r="E275" s="3">
        <f>Ft!$B$12+Ft!$B$14*(Data!A275-Vars!$B$3)</f>
        <v>0</v>
      </c>
      <c r="F275" s="3">
        <f>IF(($A275-Ft!B$2)&lt;0,Ft!B$3*((1-Ft!B$6)/(1+Ft!B$37*($A275-Ft!B$2)^2)+Ft!B$6*EXP(Ft!B$38*($A275-Ft!B$2)^2)),Ft!B$3*((1-Ft!B$7)/(1+Ft!B$39*($A275-Ft!B$2)^2)+Ft!B$7*EXP(Ft!B$40*($A275-Ft!B$2)^2)))</f>
        <v>9.3946374352516334E-138</v>
      </c>
      <c r="G275" s="3">
        <f>IF(($A275-Ft!C$2)&lt;0,Ft!C$3*((1-Ft!C$6)/(1+Ft!C$37*($A275-Ft!C$2)^2)+Ft!C$6*EXP(Ft!C$38*($A275-Ft!C$2)^2)),Ft!C$3*((1-Ft!C$7)/(1+Ft!C$39*($A275-Ft!C$2)^2)+Ft!C$7*EXP(Ft!C$40*($A275-Ft!C$2)^2)))</f>
        <v>1.281553518908421E-5</v>
      </c>
      <c r="H275" s="3">
        <f>IF(($A275-Ft!D$2)&lt;0,Ft!D$3*((1-Ft!D$6)/(1+Ft!D$37*($A275-Ft!D$2)^2)+Ft!D$6*EXP(Ft!D$38*($A275-Ft!D$2)^2)),Ft!D$3*((1-Ft!D$7)/(1+Ft!D$39*($A275-Ft!D$2)^2)+Ft!D$7*EXP(Ft!D$40*($A275-Ft!D$2)^2)))</f>
        <v>16.08831139385185</v>
      </c>
      <c r="I275" s="3">
        <f>IF(($A275-Ft!E$2)&lt;0,Ft!E$3*((1-Ft!E$6)/(1+Ft!E$37*($A275-Ft!E$2)^2)+Ft!E$6*EXP(Ft!E$38*($A275-Ft!E$2)^2)),Ft!E$3*((1-Ft!E$7)/(1+Ft!E$39*($A275-Ft!E$2)^2)+Ft!E$7*EXP(Ft!E$40*($A275-Ft!E$2)^2)))</f>
        <v>2.2688686505663767</v>
      </c>
      <c r="J275" s="3">
        <f>IF(($A275-Ft!F$2)&lt;0,Ft!F$3*((1-Ft!F$6)/(1+Ft!F$37*($A275-Ft!F$2)^2)+Ft!F$6*EXP(Ft!F$38*($A275-Ft!F$2)^2)),Ft!F$3*((1-Ft!F$7)/(1+Ft!F$39*($A275-Ft!F$2)^2)+Ft!F$7*EXP(Ft!F$40*($A275-Ft!F$2)^2)))</f>
        <v>3.2503239363876515E-24</v>
      </c>
      <c r="K275" s="3">
        <f>IF(($A275-Ft!G$2)&lt;0,Ft!G$3*((1-Ft!G$6)/(1+Ft!G$37*($A275-Ft!G$2)^2)+Ft!G$6*EXP(Ft!G$38*($A275-Ft!G$2)^2)),Ft!G$3*((1-Ft!G$7)/(1+Ft!G$39*($A275-Ft!G$2)^2)+Ft!G$7*EXP(Ft!G$40*($A275-Ft!G$2)^2)))</f>
        <v>6.8014037069176288E-103</v>
      </c>
      <c r="L275" s="3">
        <f>IF(($A275-Ft!H$2)&lt;0,Ft!H$3*((1-Ft!H$6)/(1+Ft!H$37*($A275-Ft!H$2)^2)+Ft!H$6*EXP(Ft!H$38*($A275-Ft!H$2)^2)),Ft!H$3*((1-Ft!H$7)/(1+Ft!H$39*($A275-Ft!H$2)^2)+Ft!H$7*EXP(Ft!H$40*($A275-Ft!H$2)^2)))</f>
        <v>0</v>
      </c>
      <c r="M275" s="3">
        <f>IF(($A275-Ft!I$2)&lt;0,Ft!I$3*((1-Ft!I$6)/(1+Ft!I$37*($A275-Ft!I$2)^2)+Ft!I$6*EXP(Ft!I$38*($A275-Ft!I$2)^2)),Ft!I$3*((1-Ft!I$7)/(1+Ft!I$39*($A275-Ft!I$2)^2)+Ft!I$7*EXP(Ft!I$40*($A275-Ft!I$2)^2)))</f>
        <v>0</v>
      </c>
      <c r="N275" s="3">
        <f>IF(($A275-Ft!J$2)&lt;0,Ft!J$3*((1-Ft!J$6)/(1+Ft!J$37*($A275-Ft!J$2)^2)+Ft!J$6*EXP(Ft!J$38*($A275-Ft!J$2)^2)),Ft!J$3*((1-Ft!J$7)/(1+Ft!J$39*($A275-Ft!J$2)^2)+Ft!J$7*EXP(Ft!J$40*($A275-Ft!J$2)^2)))</f>
        <v>0</v>
      </c>
      <c r="O275" s="3">
        <f>IF(($A275-Ft!K$2)&lt;0,Ft!K$3*((1-Ft!K$6)/(1+Ft!K$37*($A275-Ft!K$2)^2)+Ft!K$6*EXP(Ft!K$38*($A275-Ft!K$2)^2)),Ft!K$3*((1-Ft!K$7)/(1+Ft!K$39*($A275-Ft!K$2)^2)+Ft!K$7*EXP(Ft!K$40*($A275-Ft!K$2)^2)))</f>
        <v>0</v>
      </c>
      <c r="P275"/>
      <c r="Q275"/>
    </row>
    <row r="276" spans="1:17">
      <c r="A276">
        <v>548</v>
      </c>
      <c r="B276">
        <v>18.50876784913099</v>
      </c>
      <c r="C276" s="6">
        <f t="shared" si="9"/>
        <v>18.314352350554771</v>
      </c>
      <c r="D276" s="19">
        <f t="shared" si="10"/>
        <v>3.7797386086640065E-2</v>
      </c>
      <c r="E276" s="3">
        <f>Ft!$B$12+Ft!$B$14*(Data!A276-Vars!$B$3)</f>
        <v>0</v>
      </c>
      <c r="F276" s="3">
        <f>IF(($A276-Ft!B$2)&lt;0,Ft!B$3*((1-Ft!B$6)/(1+Ft!B$37*($A276-Ft!B$2)^2)+Ft!B$6*EXP(Ft!B$38*($A276-Ft!B$2)^2)),Ft!B$3*((1-Ft!B$7)/(1+Ft!B$39*($A276-Ft!B$2)^2)+Ft!B$7*EXP(Ft!B$40*($A276-Ft!B$2)^2)))</f>
        <v>7.4421726174588125E-139</v>
      </c>
      <c r="G276" s="3">
        <f>IF(($A276-Ft!C$2)&lt;0,Ft!C$3*((1-Ft!C$6)/(1+Ft!C$37*($A276-Ft!C$2)^2)+Ft!C$6*EXP(Ft!C$38*($A276-Ft!C$2)^2)),Ft!C$3*((1-Ft!C$7)/(1+Ft!C$39*($A276-Ft!C$2)^2)+Ft!C$7*EXP(Ft!C$40*($A276-Ft!C$2)^2)))</f>
        <v>1.122386067613002E-5</v>
      </c>
      <c r="H276" s="3">
        <f>IF(($A276-Ft!D$2)&lt;0,Ft!D$3*((1-Ft!D$6)/(1+Ft!D$37*($A276-Ft!D$2)^2)+Ft!D$6*EXP(Ft!D$38*($A276-Ft!D$2)^2)),Ft!D$3*((1-Ft!D$7)/(1+Ft!D$39*($A276-Ft!D$2)^2)+Ft!D$7*EXP(Ft!D$40*($A276-Ft!D$2)^2)))</f>
        <v>15.981667318005506</v>
      </c>
      <c r="I276" s="3">
        <f>IF(($A276-Ft!E$2)&lt;0,Ft!E$3*((1-Ft!E$6)/(1+Ft!E$37*($A276-Ft!E$2)^2)+Ft!E$6*EXP(Ft!E$38*($A276-Ft!E$2)^2)),Ft!E$3*((1-Ft!E$7)/(1+Ft!E$39*($A276-Ft!E$2)^2)+Ft!E$7*EXP(Ft!E$40*($A276-Ft!E$2)^2)))</f>
        <v>2.3326738086885879</v>
      </c>
      <c r="J276" s="3">
        <f>IF(($A276-Ft!F$2)&lt;0,Ft!F$3*((1-Ft!F$6)/(1+Ft!F$37*($A276-Ft!F$2)^2)+Ft!F$6*EXP(Ft!F$38*($A276-Ft!F$2)^2)),Ft!F$3*((1-Ft!F$7)/(1+Ft!F$39*($A276-Ft!F$2)^2)+Ft!F$7*EXP(Ft!F$40*($A276-Ft!F$2)^2)))</f>
        <v>5.2970862086581363E-24</v>
      </c>
      <c r="K276" s="3">
        <f>IF(($A276-Ft!G$2)&lt;0,Ft!G$3*((1-Ft!G$6)/(1+Ft!G$37*($A276-Ft!G$2)^2)+Ft!G$6*EXP(Ft!G$38*($A276-Ft!G$2)^2)),Ft!G$3*((1-Ft!G$7)/(1+Ft!G$39*($A276-Ft!G$2)^2)+Ft!G$7*EXP(Ft!G$40*($A276-Ft!G$2)^2)))</f>
        <v>4.5255483975258233E-102</v>
      </c>
      <c r="L276" s="3">
        <f>IF(($A276-Ft!H$2)&lt;0,Ft!H$3*((1-Ft!H$6)/(1+Ft!H$37*($A276-Ft!H$2)^2)+Ft!H$6*EXP(Ft!H$38*($A276-Ft!H$2)^2)),Ft!H$3*((1-Ft!H$7)/(1+Ft!H$39*($A276-Ft!H$2)^2)+Ft!H$7*EXP(Ft!H$40*($A276-Ft!H$2)^2)))</f>
        <v>0</v>
      </c>
      <c r="M276" s="3">
        <f>IF(($A276-Ft!I$2)&lt;0,Ft!I$3*((1-Ft!I$6)/(1+Ft!I$37*($A276-Ft!I$2)^2)+Ft!I$6*EXP(Ft!I$38*($A276-Ft!I$2)^2)),Ft!I$3*((1-Ft!I$7)/(1+Ft!I$39*($A276-Ft!I$2)^2)+Ft!I$7*EXP(Ft!I$40*($A276-Ft!I$2)^2)))</f>
        <v>0</v>
      </c>
      <c r="N276" s="3">
        <f>IF(($A276-Ft!J$2)&lt;0,Ft!J$3*((1-Ft!J$6)/(1+Ft!J$37*($A276-Ft!J$2)^2)+Ft!J$6*EXP(Ft!J$38*($A276-Ft!J$2)^2)),Ft!J$3*((1-Ft!J$7)/(1+Ft!J$39*($A276-Ft!J$2)^2)+Ft!J$7*EXP(Ft!J$40*($A276-Ft!J$2)^2)))</f>
        <v>0</v>
      </c>
      <c r="O276" s="3">
        <f>IF(($A276-Ft!K$2)&lt;0,Ft!K$3*((1-Ft!K$6)/(1+Ft!K$37*($A276-Ft!K$2)^2)+Ft!K$6*EXP(Ft!K$38*($A276-Ft!K$2)^2)),Ft!K$3*((1-Ft!K$7)/(1+Ft!K$39*($A276-Ft!K$2)^2)+Ft!K$7*EXP(Ft!K$40*($A276-Ft!K$2)^2)))</f>
        <v>0</v>
      </c>
      <c r="P276"/>
      <c r="Q276"/>
    </row>
    <row r="277" spans="1:17">
      <c r="A277">
        <v>550</v>
      </c>
      <c r="B277">
        <v>18.456413773313997</v>
      </c>
      <c r="C277" s="6">
        <f t="shared" si="9"/>
        <v>18.271248238215666</v>
      </c>
      <c r="D277" s="19">
        <f t="shared" si="10"/>
        <v>3.4286275388251415E-2</v>
      </c>
      <c r="E277" s="3">
        <f>Ft!$B$12+Ft!$B$14*(Data!A277-Vars!$B$3)</f>
        <v>0</v>
      </c>
      <c r="F277" s="3">
        <f>IF(($A277-Ft!B$2)&lt;0,Ft!B$3*((1-Ft!B$6)/(1+Ft!B$37*($A277-Ft!B$2)^2)+Ft!B$6*EXP(Ft!B$38*($A277-Ft!B$2)^2)),Ft!B$3*((1-Ft!B$7)/(1+Ft!B$39*($A277-Ft!B$2)^2)+Ft!B$7*EXP(Ft!B$40*($A277-Ft!B$2)^2)))</f>
        <v>5.8361780768410348E-140</v>
      </c>
      <c r="G277" s="3">
        <f>IF(($A277-Ft!C$2)&lt;0,Ft!C$3*((1-Ft!C$6)/(1+Ft!C$37*($A277-Ft!C$2)^2)+Ft!C$6*EXP(Ft!C$38*($A277-Ft!C$2)^2)),Ft!C$3*((1-Ft!C$7)/(1+Ft!C$39*($A277-Ft!C$2)^2)+Ft!C$7*EXP(Ft!C$40*($A277-Ft!C$2)^2)))</f>
        <v>9.8234879990475679E-6</v>
      </c>
      <c r="H277" s="3">
        <f>IF(($A277-Ft!D$2)&lt;0,Ft!D$3*((1-Ft!D$6)/(1+Ft!D$37*($A277-Ft!D$2)^2)+Ft!D$6*EXP(Ft!D$38*($A277-Ft!D$2)^2)),Ft!D$3*((1-Ft!D$7)/(1+Ft!D$39*($A277-Ft!D$2)^2)+Ft!D$7*EXP(Ft!D$40*($A277-Ft!D$2)^2)))</f>
        <v>15.873447981395374</v>
      </c>
      <c r="I277" s="3">
        <f>IF(($A277-Ft!E$2)&lt;0,Ft!E$3*((1-Ft!E$6)/(1+Ft!E$37*($A277-Ft!E$2)^2)+Ft!E$6*EXP(Ft!E$38*($A277-Ft!E$2)^2)),Ft!E$3*((1-Ft!E$7)/(1+Ft!E$39*($A277-Ft!E$2)^2)+Ft!E$7*EXP(Ft!E$40*($A277-Ft!E$2)^2)))</f>
        <v>2.3977904333322937</v>
      </c>
      <c r="J277" s="3">
        <f>IF(($A277-Ft!F$2)&lt;0,Ft!F$3*((1-Ft!F$6)/(1+Ft!F$37*($A277-Ft!F$2)^2)+Ft!F$6*EXP(Ft!F$38*($A277-Ft!F$2)^2)),Ft!F$3*((1-Ft!F$7)/(1+Ft!F$39*($A277-Ft!F$2)^2)+Ft!F$7*EXP(Ft!F$40*($A277-Ft!F$2)^2)))</f>
        <v>8.6141555556706436E-24</v>
      </c>
      <c r="K277" s="3">
        <f>IF(($A277-Ft!G$2)&lt;0,Ft!G$3*((1-Ft!G$6)/(1+Ft!G$37*($A277-Ft!G$2)^2)+Ft!G$6*EXP(Ft!G$38*($A277-Ft!G$2)^2)),Ft!G$3*((1-Ft!G$7)/(1+Ft!G$39*($A277-Ft!G$2)^2)+Ft!G$7*EXP(Ft!G$40*($A277-Ft!G$2)^2)))</f>
        <v>2.9884142994653681E-101</v>
      </c>
      <c r="L277" s="3">
        <f>IF(($A277-Ft!H$2)&lt;0,Ft!H$3*((1-Ft!H$6)/(1+Ft!H$37*($A277-Ft!H$2)^2)+Ft!H$6*EXP(Ft!H$38*($A277-Ft!H$2)^2)),Ft!H$3*((1-Ft!H$7)/(1+Ft!H$39*($A277-Ft!H$2)^2)+Ft!H$7*EXP(Ft!H$40*($A277-Ft!H$2)^2)))</f>
        <v>0</v>
      </c>
      <c r="M277" s="3">
        <f>IF(($A277-Ft!I$2)&lt;0,Ft!I$3*((1-Ft!I$6)/(1+Ft!I$37*($A277-Ft!I$2)^2)+Ft!I$6*EXP(Ft!I$38*($A277-Ft!I$2)^2)),Ft!I$3*((1-Ft!I$7)/(1+Ft!I$39*($A277-Ft!I$2)^2)+Ft!I$7*EXP(Ft!I$40*($A277-Ft!I$2)^2)))</f>
        <v>0</v>
      </c>
      <c r="N277" s="3">
        <f>IF(($A277-Ft!J$2)&lt;0,Ft!J$3*((1-Ft!J$6)/(1+Ft!J$37*($A277-Ft!J$2)^2)+Ft!J$6*EXP(Ft!J$38*($A277-Ft!J$2)^2)),Ft!J$3*((1-Ft!J$7)/(1+Ft!J$39*($A277-Ft!J$2)^2)+Ft!J$7*EXP(Ft!J$40*($A277-Ft!J$2)^2)))</f>
        <v>0</v>
      </c>
      <c r="O277" s="3">
        <f>IF(($A277-Ft!K$2)&lt;0,Ft!K$3*((1-Ft!K$6)/(1+Ft!K$37*($A277-Ft!K$2)^2)+Ft!K$6*EXP(Ft!K$38*($A277-Ft!K$2)^2)),Ft!K$3*((1-Ft!K$7)/(1+Ft!K$39*($A277-Ft!K$2)^2)+Ft!K$7*EXP(Ft!K$40*($A277-Ft!K$2)^2)))</f>
        <v>0</v>
      </c>
      <c r="P277"/>
      <c r="Q277"/>
    </row>
    <row r="278" spans="1:17">
      <c r="A278">
        <v>552</v>
      </c>
      <c r="B278">
        <v>18.404196268620993</v>
      </c>
      <c r="C278" s="6">
        <f t="shared" si="9"/>
        <v>18.227932198515735</v>
      </c>
      <c r="D278" s="19">
        <f t="shared" si="10"/>
        <v>3.1069022410071392E-2</v>
      </c>
      <c r="E278" s="3">
        <f>Ft!$B$12+Ft!$B$14*(Data!A278-Vars!$B$3)</f>
        <v>0</v>
      </c>
      <c r="F278" s="3">
        <f>IF(($A278-Ft!B$2)&lt;0,Ft!B$3*((1-Ft!B$6)/(1+Ft!B$37*($A278-Ft!B$2)^2)+Ft!B$6*EXP(Ft!B$38*($A278-Ft!B$2)^2)),Ft!B$3*((1-Ft!B$7)/(1+Ft!B$39*($A278-Ft!B$2)^2)+Ft!B$7*EXP(Ft!B$40*($A278-Ft!B$2)^2)))</f>
        <v>4.5307115305140168E-141</v>
      </c>
      <c r="G278" s="3">
        <f>IF(($A278-Ft!C$2)&lt;0,Ft!C$3*((1-Ft!C$6)/(1+Ft!C$37*($A278-Ft!C$2)^2)+Ft!C$6*EXP(Ft!C$38*($A278-Ft!C$2)^2)),Ft!C$3*((1-Ft!C$7)/(1+Ft!C$39*($A278-Ft!C$2)^2)+Ft!C$7*EXP(Ft!C$40*($A278-Ft!C$2)^2)))</f>
        <v>8.59225392199267E-6</v>
      </c>
      <c r="H278" s="3">
        <f>IF(($A278-Ft!D$2)&lt;0,Ft!D$3*((1-Ft!D$6)/(1+Ft!D$37*($A278-Ft!D$2)^2)+Ft!D$6*EXP(Ft!D$38*($A278-Ft!D$2)^2)),Ft!D$3*((1-Ft!D$7)/(1+Ft!D$39*($A278-Ft!D$2)^2)+Ft!D$7*EXP(Ft!D$40*($A278-Ft!D$2)^2)))</f>
        <v>15.763695059011617</v>
      </c>
      <c r="I278" s="3">
        <f>IF(($A278-Ft!E$2)&lt;0,Ft!E$3*((1-Ft!E$6)/(1+Ft!E$37*($A278-Ft!E$2)^2)+Ft!E$6*EXP(Ft!E$38*($A278-Ft!E$2)^2)),Ft!E$3*((1-Ft!E$7)/(1+Ft!E$39*($A278-Ft!E$2)^2)+Ft!E$7*EXP(Ft!E$40*($A278-Ft!E$2)^2)))</f>
        <v>2.4642285472501948</v>
      </c>
      <c r="J278" s="3">
        <f>IF(($A278-Ft!F$2)&lt;0,Ft!F$3*((1-Ft!F$6)/(1+Ft!F$37*($A278-Ft!F$2)^2)+Ft!F$6*EXP(Ft!F$38*($A278-Ft!F$2)^2)),Ft!F$3*((1-Ft!F$7)/(1+Ft!F$39*($A278-Ft!F$2)^2)+Ft!F$7*EXP(Ft!F$40*($A278-Ft!F$2)^2)))</f>
        <v>1.3978277348554808E-23</v>
      </c>
      <c r="K278" s="3">
        <f>IF(($A278-Ft!G$2)&lt;0,Ft!G$3*((1-Ft!G$6)/(1+Ft!G$37*($A278-Ft!G$2)^2)+Ft!G$6*EXP(Ft!G$38*($A278-Ft!G$2)^2)),Ft!G$3*((1-Ft!G$7)/(1+Ft!G$39*($A278-Ft!G$2)^2)+Ft!G$7*EXP(Ft!G$40*($A278-Ft!G$2)^2)))</f>
        <v>1.958426739060543E-100</v>
      </c>
      <c r="L278" s="3">
        <f>IF(($A278-Ft!H$2)&lt;0,Ft!H$3*((1-Ft!H$6)/(1+Ft!H$37*($A278-Ft!H$2)^2)+Ft!H$6*EXP(Ft!H$38*($A278-Ft!H$2)^2)),Ft!H$3*((1-Ft!H$7)/(1+Ft!H$39*($A278-Ft!H$2)^2)+Ft!H$7*EXP(Ft!H$40*($A278-Ft!H$2)^2)))</f>
        <v>0</v>
      </c>
      <c r="M278" s="3">
        <f>IF(($A278-Ft!I$2)&lt;0,Ft!I$3*((1-Ft!I$6)/(1+Ft!I$37*($A278-Ft!I$2)^2)+Ft!I$6*EXP(Ft!I$38*($A278-Ft!I$2)^2)),Ft!I$3*((1-Ft!I$7)/(1+Ft!I$39*($A278-Ft!I$2)^2)+Ft!I$7*EXP(Ft!I$40*($A278-Ft!I$2)^2)))</f>
        <v>0</v>
      </c>
      <c r="N278" s="3">
        <f>IF(($A278-Ft!J$2)&lt;0,Ft!J$3*((1-Ft!J$6)/(1+Ft!J$37*($A278-Ft!J$2)^2)+Ft!J$6*EXP(Ft!J$38*($A278-Ft!J$2)^2)),Ft!J$3*((1-Ft!J$7)/(1+Ft!J$39*($A278-Ft!J$2)^2)+Ft!J$7*EXP(Ft!J$40*($A278-Ft!J$2)^2)))</f>
        <v>0</v>
      </c>
      <c r="O278" s="3">
        <f>IF(($A278-Ft!K$2)&lt;0,Ft!K$3*((1-Ft!K$6)/(1+Ft!K$37*($A278-Ft!K$2)^2)+Ft!K$6*EXP(Ft!K$38*($A278-Ft!K$2)^2)),Ft!K$3*((1-Ft!K$7)/(1+Ft!K$39*($A278-Ft!K$2)^2)+Ft!K$7*EXP(Ft!K$40*($A278-Ft!K$2)^2)))</f>
        <v>0</v>
      </c>
      <c r="P278"/>
      <c r="Q278"/>
    </row>
    <row r="279" spans="1:17">
      <c r="A279">
        <v>554</v>
      </c>
      <c r="B279">
        <v>18.353274059017991</v>
      </c>
      <c r="C279" s="6">
        <f t="shared" si="9"/>
        <v>18.184455752928528</v>
      </c>
      <c r="D279" s="19">
        <f t="shared" si="10"/>
        <v>2.8499620470915629E-2</v>
      </c>
      <c r="E279" s="3">
        <f>Ft!$B$12+Ft!$B$14*(Data!A279-Vars!$B$3)</f>
        <v>0</v>
      </c>
      <c r="F279" s="3">
        <f>IF(($A279-Ft!B$2)&lt;0,Ft!B$3*((1-Ft!B$6)/(1+Ft!B$37*($A279-Ft!B$2)^2)+Ft!B$6*EXP(Ft!B$38*($A279-Ft!B$2)^2)),Ft!B$3*((1-Ft!B$7)/(1+Ft!B$39*($A279-Ft!B$2)^2)+Ft!B$7*EXP(Ft!B$40*($A279-Ft!B$2)^2)))</f>
        <v>3.4818765512734687E-142</v>
      </c>
      <c r="G279" s="3">
        <f>IF(($A279-Ft!C$2)&lt;0,Ft!C$3*((1-Ft!C$6)/(1+Ft!C$37*($A279-Ft!C$2)^2)+Ft!C$6*EXP(Ft!C$38*($A279-Ft!C$2)^2)),Ft!C$3*((1-Ft!C$7)/(1+Ft!C$39*($A279-Ft!C$2)^2)+Ft!C$7*EXP(Ft!C$40*($A279-Ft!C$2)^2)))</f>
        <v>7.5104579569458401E-6</v>
      </c>
      <c r="H279" s="3">
        <f>IF(($A279-Ft!D$2)&lt;0,Ft!D$3*((1-Ft!D$6)/(1+Ft!D$37*($A279-Ft!D$2)^2)+Ft!D$6*EXP(Ft!D$38*($A279-Ft!D$2)^2)),Ft!D$3*((1-Ft!D$7)/(1+Ft!D$39*($A279-Ft!D$2)^2)+Ft!D$7*EXP(Ft!D$40*($A279-Ft!D$2)^2)))</f>
        <v>15.652450599773633</v>
      </c>
      <c r="I279" s="3">
        <f>IF(($A279-Ft!E$2)&lt;0,Ft!E$3*((1-Ft!E$6)/(1+Ft!E$37*($A279-Ft!E$2)^2)+Ft!E$6*EXP(Ft!E$38*($A279-Ft!E$2)^2)),Ft!E$3*((1-Ft!E$7)/(1+Ft!E$39*($A279-Ft!E$2)^2)+Ft!E$7*EXP(Ft!E$40*($A279-Ft!E$2)^2)))</f>
        <v>2.5319976426969366</v>
      </c>
      <c r="J279" s="3">
        <f>IF(($A279-Ft!F$2)&lt;0,Ft!F$3*((1-Ft!F$6)/(1+Ft!F$37*($A279-Ft!F$2)^2)+Ft!F$6*EXP(Ft!F$38*($A279-Ft!F$2)^2)),Ft!F$3*((1-Ft!F$7)/(1+Ft!F$39*($A279-Ft!F$2)^2)+Ft!F$7*EXP(Ft!F$40*($A279-Ft!F$2)^2)))</f>
        <v>2.263392490074409E-23</v>
      </c>
      <c r="K279" s="3">
        <f>IF(($A279-Ft!G$2)&lt;0,Ft!G$3*((1-Ft!G$6)/(1+Ft!G$37*($A279-Ft!G$2)^2)+Ft!G$6*EXP(Ft!G$38*($A279-Ft!G$2)^2)),Ft!G$3*((1-Ft!G$7)/(1+Ft!G$39*($A279-Ft!G$2)^2)+Ft!G$7*EXP(Ft!G$40*($A279-Ft!G$2)^2)))</f>
        <v>1.2737106685833366E-99</v>
      </c>
      <c r="L279" s="3">
        <f>IF(($A279-Ft!H$2)&lt;0,Ft!H$3*((1-Ft!H$6)/(1+Ft!H$37*($A279-Ft!H$2)^2)+Ft!H$6*EXP(Ft!H$38*($A279-Ft!H$2)^2)),Ft!H$3*((1-Ft!H$7)/(1+Ft!H$39*($A279-Ft!H$2)^2)+Ft!H$7*EXP(Ft!H$40*($A279-Ft!H$2)^2)))</f>
        <v>0</v>
      </c>
      <c r="M279" s="3">
        <f>IF(($A279-Ft!I$2)&lt;0,Ft!I$3*((1-Ft!I$6)/(1+Ft!I$37*($A279-Ft!I$2)^2)+Ft!I$6*EXP(Ft!I$38*($A279-Ft!I$2)^2)),Ft!I$3*((1-Ft!I$7)/(1+Ft!I$39*($A279-Ft!I$2)^2)+Ft!I$7*EXP(Ft!I$40*($A279-Ft!I$2)^2)))</f>
        <v>0</v>
      </c>
      <c r="N279" s="3">
        <f>IF(($A279-Ft!J$2)&lt;0,Ft!J$3*((1-Ft!J$6)/(1+Ft!J$37*($A279-Ft!J$2)^2)+Ft!J$6*EXP(Ft!J$38*($A279-Ft!J$2)^2)),Ft!J$3*((1-Ft!J$7)/(1+Ft!J$39*($A279-Ft!J$2)^2)+Ft!J$7*EXP(Ft!J$40*($A279-Ft!J$2)^2)))</f>
        <v>0</v>
      </c>
      <c r="O279" s="3">
        <f>IF(($A279-Ft!K$2)&lt;0,Ft!K$3*((1-Ft!K$6)/(1+Ft!K$37*($A279-Ft!K$2)^2)+Ft!K$6*EXP(Ft!K$38*($A279-Ft!K$2)^2)),Ft!K$3*((1-Ft!K$7)/(1+Ft!K$39*($A279-Ft!K$2)^2)+Ft!K$7*EXP(Ft!K$40*($A279-Ft!K$2)^2)))</f>
        <v>0</v>
      </c>
      <c r="P279"/>
      <c r="Q279"/>
    </row>
    <row r="280" spans="1:17">
      <c r="A280">
        <v>556</v>
      </c>
      <c r="B280">
        <v>18.304805868464996</v>
      </c>
      <c r="C280" s="6">
        <f t="shared" si="9"/>
        <v>18.140870219433882</v>
      </c>
      <c r="D280" s="19">
        <f t="shared" si="10"/>
        <v>2.6874897023252485E-2</v>
      </c>
      <c r="E280" s="3">
        <f>Ft!$B$12+Ft!$B$14*(Data!A280-Vars!$B$3)</f>
        <v>0</v>
      </c>
      <c r="F280" s="3">
        <f>IF(($A280-Ft!B$2)&lt;0,Ft!B$3*((1-Ft!B$6)/(1+Ft!B$37*($A280-Ft!B$2)^2)+Ft!B$6*EXP(Ft!B$38*($A280-Ft!B$2)^2)),Ft!B$3*((1-Ft!B$7)/(1+Ft!B$39*($A280-Ft!B$2)^2)+Ft!B$7*EXP(Ft!B$40*($A280-Ft!B$2)^2)))</f>
        <v>2.6489234493366958E-143</v>
      </c>
      <c r="G280" s="3">
        <f>IF(($A280-Ft!C$2)&lt;0,Ft!C$3*((1-Ft!C$6)/(1+Ft!C$37*($A280-Ft!C$2)^2)+Ft!C$6*EXP(Ft!C$38*($A280-Ft!C$2)^2)),Ft!C$3*((1-Ft!C$7)/(1+Ft!C$39*($A280-Ft!C$2)^2)+Ft!C$7*EXP(Ft!C$40*($A280-Ft!C$2)^2)))</f>
        <v>6.5606016349349822E-6</v>
      </c>
      <c r="H280" s="3">
        <f>IF(($A280-Ft!D$2)&lt;0,Ft!D$3*((1-Ft!D$6)/(1+Ft!D$37*($A280-Ft!D$2)^2)+Ft!D$6*EXP(Ft!D$38*($A280-Ft!D$2)^2)),Ft!D$3*((1-Ft!D$7)/(1+Ft!D$39*($A280-Ft!D$2)^2)+Ft!D$7*EXP(Ft!D$40*($A280-Ft!D$2)^2)))</f>
        <v>15.539756999850828</v>
      </c>
      <c r="I280" s="3">
        <f>IF(($A280-Ft!E$2)&lt;0,Ft!E$3*((1-Ft!E$6)/(1+Ft!E$37*($A280-Ft!E$2)^2)+Ft!E$6*EXP(Ft!E$38*($A280-Ft!E$2)^2)),Ft!E$3*((1-Ft!E$7)/(1+Ft!E$39*($A280-Ft!E$2)^2)+Ft!E$7*EXP(Ft!E$40*($A280-Ft!E$2)^2)))</f>
        <v>2.6011066589814176</v>
      </c>
      <c r="J280" s="3">
        <f>IF(($A280-Ft!F$2)&lt;0,Ft!F$3*((1-Ft!F$6)/(1+Ft!F$37*($A280-Ft!F$2)^2)+Ft!F$6*EXP(Ft!F$38*($A280-Ft!F$2)^2)),Ft!F$3*((1-Ft!F$7)/(1+Ft!F$39*($A280-Ft!F$2)^2)+Ft!F$7*EXP(Ft!F$40*($A280-Ft!F$2)^2)))</f>
        <v>3.657053906381542E-23</v>
      </c>
      <c r="K280" s="3">
        <f>IF(($A280-Ft!G$2)&lt;0,Ft!G$3*((1-Ft!G$6)/(1+Ft!G$37*($A280-Ft!G$2)^2)+Ft!G$6*EXP(Ft!G$38*($A280-Ft!G$2)^2)),Ft!G$3*((1-Ft!G$7)/(1+Ft!G$39*($A280-Ft!G$2)^2)+Ft!G$7*EXP(Ft!G$40*($A280-Ft!G$2)^2)))</f>
        <v>8.2211235504683765E-99</v>
      </c>
      <c r="L280" s="3">
        <f>IF(($A280-Ft!H$2)&lt;0,Ft!H$3*((1-Ft!H$6)/(1+Ft!H$37*($A280-Ft!H$2)^2)+Ft!H$6*EXP(Ft!H$38*($A280-Ft!H$2)^2)),Ft!H$3*((1-Ft!H$7)/(1+Ft!H$39*($A280-Ft!H$2)^2)+Ft!H$7*EXP(Ft!H$40*($A280-Ft!H$2)^2)))</f>
        <v>0</v>
      </c>
      <c r="M280" s="3">
        <f>IF(($A280-Ft!I$2)&lt;0,Ft!I$3*((1-Ft!I$6)/(1+Ft!I$37*($A280-Ft!I$2)^2)+Ft!I$6*EXP(Ft!I$38*($A280-Ft!I$2)^2)),Ft!I$3*((1-Ft!I$7)/(1+Ft!I$39*($A280-Ft!I$2)^2)+Ft!I$7*EXP(Ft!I$40*($A280-Ft!I$2)^2)))</f>
        <v>0</v>
      </c>
      <c r="N280" s="3">
        <f>IF(($A280-Ft!J$2)&lt;0,Ft!J$3*((1-Ft!J$6)/(1+Ft!J$37*($A280-Ft!J$2)^2)+Ft!J$6*EXP(Ft!J$38*($A280-Ft!J$2)^2)),Ft!J$3*((1-Ft!J$7)/(1+Ft!J$39*($A280-Ft!J$2)^2)+Ft!J$7*EXP(Ft!J$40*($A280-Ft!J$2)^2)))</f>
        <v>0</v>
      </c>
      <c r="O280" s="3">
        <f>IF(($A280-Ft!K$2)&lt;0,Ft!K$3*((1-Ft!K$6)/(1+Ft!K$37*($A280-Ft!K$2)^2)+Ft!K$6*EXP(Ft!K$38*($A280-Ft!K$2)^2)),Ft!K$3*((1-Ft!K$7)/(1+Ft!K$39*($A280-Ft!K$2)^2)+Ft!K$7*EXP(Ft!K$40*($A280-Ft!K$2)^2)))</f>
        <v>0</v>
      </c>
      <c r="P280"/>
      <c r="Q280"/>
    </row>
    <row r="281" spans="1:17">
      <c r="A281">
        <v>558</v>
      </c>
      <c r="B281">
        <v>18.256076602484995</v>
      </c>
      <c r="C281" s="6">
        <f t="shared" si="9"/>
        <v>18.09722666303859</v>
      </c>
      <c r="D281" s="19">
        <f t="shared" si="10"/>
        <v>2.5233303262126576E-2</v>
      </c>
      <c r="E281" s="3">
        <f>Ft!$B$12+Ft!$B$14*(Data!A281-Vars!$B$3)</f>
        <v>0</v>
      </c>
      <c r="F281" s="3">
        <f>IF(($A281-Ft!B$2)&lt;0,Ft!B$3*((1-Ft!B$6)/(1+Ft!B$37*($A281-Ft!B$2)^2)+Ft!B$6*EXP(Ft!B$38*($A281-Ft!B$2)^2)),Ft!B$3*((1-Ft!B$7)/(1+Ft!B$39*($A281-Ft!B$2)^2)+Ft!B$7*EXP(Ft!B$40*($A281-Ft!B$2)^2)))</f>
        <v>1.9949615395309142E-144</v>
      </c>
      <c r="G281" s="3">
        <f>IF(($A281-Ft!C$2)&lt;0,Ft!C$3*((1-Ft!C$6)/(1+Ft!C$37*($A281-Ft!C$2)^2)+Ft!C$6*EXP(Ft!C$38*($A281-Ft!C$2)^2)),Ft!C$3*((1-Ft!C$7)/(1+Ft!C$39*($A281-Ft!C$2)^2)+Ft!C$7*EXP(Ft!C$40*($A281-Ft!C$2)^2)))</f>
        <v>5.7271538338203206E-6</v>
      </c>
      <c r="H281" s="3">
        <f>IF(($A281-Ft!D$2)&lt;0,Ft!D$3*((1-Ft!D$6)/(1+Ft!D$37*($A281-Ft!D$2)^2)+Ft!D$6*EXP(Ft!D$38*($A281-Ft!D$2)^2)),Ft!D$3*((1-Ft!D$7)/(1+Ft!D$39*($A281-Ft!D$2)^2)+Ft!D$7*EXP(Ft!D$40*($A281-Ft!D$2)^2)))</f>
        <v>15.425656975921033</v>
      </c>
      <c r="I281" s="3">
        <f>IF(($A281-Ft!E$2)&lt;0,Ft!E$3*((1-Ft!E$6)/(1+Ft!E$37*($A281-Ft!E$2)^2)+Ft!E$6*EXP(Ft!E$38*($A281-Ft!E$2)^2)),Ft!E$3*((1-Ft!E$7)/(1+Ft!E$39*($A281-Ft!E$2)^2)+Ft!E$7*EXP(Ft!E$40*($A281-Ft!E$2)^2)))</f>
        <v>2.6715639599637226</v>
      </c>
      <c r="J281" s="3">
        <f>IF(($A281-Ft!F$2)&lt;0,Ft!F$3*((1-Ft!F$6)/(1+Ft!F$37*($A281-Ft!F$2)^2)+Ft!F$6*EXP(Ft!F$38*($A281-Ft!F$2)^2)),Ft!F$3*((1-Ft!F$7)/(1+Ft!F$39*($A281-Ft!F$2)^2)+Ft!F$7*EXP(Ft!F$40*($A281-Ft!F$2)^2)))</f>
        <v>5.8961446251708642E-23</v>
      </c>
      <c r="K281" s="3">
        <f>IF(($A281-Ft!G$2)&lt;0,Ft!G$3*((1-Ft!G$6)/(1+Ft!G$37*($A281-Ft!G$2)^2)+Ft!G$6*EXP(Ft!G$38*($A281-Ft!G$2)^2)),Ft!G$3*((1-Ft!G$7)/(1+Ft!G$39*($A281-Ft!G$2)^2)+Ft!G$7*EXP(Ft!G$40*($A281-Ft!G$2)^2)))</f>
        <v>5.2660926502746E-98</v>
      </c>
      <c r="L281" s="3">
        <f>IF(($A281-Ft!H$2)&lt;0,Ft!H$3*((1-Ft!H$6)/(1+Ft!H$37*($A281-Ft!H$2)^2)+Ft!H$6*EXP(Ft!H$38*($A281-Ft!H$2)^2)),Ft!H$3*((1-Ft!H$7)/(1+Ft!H$39*($A281-Ft!H$2)^2)+Ft!H$7*EXP(Ft!H$40*($A281-Ft!H$2)^2)))</f>
        <v>0</v>
      </c>
      <c r="M281" s="3">
        <f>IF(($A281-Ft!I$2)&lt;0,Ft!I$3*((1-Ft!I$6)/(1+Ft!I$37*($A281-Ft!I$2)^2)+Ft!I$6*EXP(Ft!I$38*($A281-Ft!I$2)^2)),Ft!I$3*((1-Ft!I$7)/(1+Ft!I$39*($A281-Ft!I$2)^2)+Ft!I$7*EXP(Ft!I$40*($A281-Ft!I$2)^2)))</f>
        <v>0</v>
      </c>
      <c r="N281" s="3">
        <f>IF(($A281-Ft!J$2)&lt;0,Ft!J$3*((1-Ft!J$6)/(1+Ft!J$37*($A281-Ft!J$2)^2)+Ft!J$6*EXP(Ft!J$38*($A281-Ft!J$2)^2)),Ft!J$3*((1-Ft!J$7)/(1+Ft!J$39*($A281-Ft!J$2)^2)+Ft!J$7*EXP(Ft!J$40*($A281-Ft!J$2)^2)))</f>
        <v>0</v>
      </c>
      <c r="O281" s="3">
        <f>IF(($A281-Ft!K$2)&lt;0,Ft!K$3*((1-Ft!K$6)/(1+Ft!K$37*($A281-Ft!K$2)^2)+Ft!K$6*EXP(Ft!K$38*($A281-Ft!K$2)^2)),Ft!K$3*((1-Ft!K$7)/(1+Ft!K$39*($A281-Ft!K$2)^2)+Ft!K$7*EXP(Ft!K$40*($A281-Ft!K$2)^2)))</f>
        <v>0</v>
      </c>
      <c r="P281"/>
      <c r="Q281"/>
    </row>
    <row r="282" spans="1:17">
      <c r="A282">
        <v>560</v>
      </c>
      <c r="B282">
        <v>18.204164069873002</v>
      </c>
      <c r="C282" s="6">
        <f t="shared" si="9"/>
        <v>18.053575846252457</v>
      </c>
      <c r="D282" s="19">
        <f t="shared" si="10"/>
        <v>2.2676813093191309E-2</v>
      </c>
      <c r="E282" s="3">
        <f>Ft!$B$12+Ft!$B$14*(Data!A282-Vars!$B$3)</f>
        <v>0</v>
      </c>
      <c r="F282" s="3">
        <f>IF(($A282-Ft!B$2)&lt;0,Ft!B$3*((1-Ft!B$6)/(1+Ft!B$37*($A282-Ft!B$2)^2)+Ft!B$6*EXP(Ft!B$38*($A282-Ft!B$2)^2)),Ft!B$3*((1-Ft!B$7)/(1+Ft!B$39*($A282-Ft!B$2)^2)+Ft!B$7*EXP(Ft!B$40*($A282-Ft!B$2)^2)))</f>
        <v>1.4873347602529443E-145</v>
      </c>
      <c r="G282" s="3">
        <f>IF(($A282-Ft!C$2)&lt;0,Ft!C$3*((1-Ft!C$6)/(1+Ft!C$37*($A282-Ft!C$2)^2)+Ft!C$6*EXP(Ft!C$38*($A282-Ft!C$2)^2)),Ft!C$3*((1-Ft!C$7)/(1+Ft!C$39*($A282-Ft!C$2)^2)+Ft!C$7*EXP(Ft!C$40*($A282-Ft!C$2)^2)))</f>
        <v>4.9963397380737154E-6</v>
      </c>
      <c r="H282" s="3">
        <f>IF(($A282-Ft!D$2)&lt;0,Ft!D$3*((1-Ft!D$6)/(1+Ft!D$37*($A282-Ft!D$2)^2)+Ft!D$6*EXP(Ft!D$38*($A282-Ft!D$2)^2)),Ft!D$3*((1-Ft!D$7)/(1+Ft!D$39*($A282-Ft!D$2)^2)+Ft!D$7*EXP(Ft!D$40*($A282-Ft!D$2)^2)))</f>
        <v>15.310193538389983</v>
      </c>
      <c r="I282" s="3">
        <f>IF(($A282-Ft!E$2)&lt;0,Ft!E$3*((1-Ft!E$6)/(1+Ft!E$37*($A282-Ft!E$2)^2)+Ft!E$6*EXP(Ft!E$38*($A282-Ft!E$2)^2)),Ft!E$3*((1-Ft!E$7)/(1+Ft!E$39*($A282-Ft!E$2)^2)+Ft!E$7*EXP(Ft!E$40*($A282-Ft!E$2)^2)))</f>
        <v>2.7433773115227371</v>
      </c>
      <c r="J282" s="3">
        <f>IF(($A282-Ft!F$2)&lt;0,Ft!F$3*((1-Ft!F$6)/(1+Ft!F$37*($A282-Ft!F$2)^2)+Ft!F$6*EXP(Ft!F$38*($A282-Ft!F$2)^2)),Ft!F$3*((1-Ft!F$7)/(1+Ft!F$39*($A282-Ft!F$2)^2)+Ft!F$7*EXP(Ft!F$40*($A282-Ft!F$2)^2)))</f>
        <v>9.4857170842120496E-23</v>
      </c>
      <c r="K282" s="3">
        <f>IF(($A282-Ft!G$2)&lt;0,Ft!G$3*((1-Ft!G$6)/(1+Ft!G$37*($A282-Ft!G$2)^2)+Ft!G$6*EXP(Ft!G$38*($A282-Ft!G$2)^2)),Ft!G$3*((1-Ft!G$7)/(1+Ft!G$39*($A282-Ft!G$2)^2)+Ft!G$7*EXP(Ft!G$40*($A282-Ft!G$2)^2)))</f>
        <v>3.3476708335108941E-97</v>
      </c>
      <c r="L282" s="3">
        <f>IF(($A282-Ft!H$2)&lt;0,Ft!H$3*((1-Ft!H$6)/(1+Ft!H$37*($A282-Ft!H$2)^2)+Ft!H$6*EXP(Ft!H$38*($A282-Ft!H$2)^2)),Ft!H$3*((1-Ft!H$7)/(1+Ft!H$39*($A282-Ft!H$2)^2)+Ft!H$7*EXP(Ft!H$40*($A282-Ft!H$2)^2)))</f>
        <v>0</v>
      </c>
      <c r="M282" s="3">
        <f>IF(($A282-Ft!I$2)&lt;0,Ft!I$3*((1-Ft!I$6)/(1+Ft!I$37*($A282-Ft!I$2)^2)+Ft!I$6*EXP(Ft!I$38*($A282-Ft!I$2)^2)),Ft!I$3*((1-Ft!I$7)/(1+Ft!I$39*($A282-Ft!I$2)^2)+Ft!I$7*EXP(Ft!I$40*($A282-Ft!I$2)^2)))</f>
        <v>0</v>
      </c>
      <c r="N282" s="3">
        <f>IF(($A282-Ft!J$2)&lt;0,Ft!J$3*((1-Ft!J$6)/(1+Ft!J$37*($A282-Ft!J$2)^2)+Ft!J$6*EXP(Ft!J$38*($A282-Ft!J$2)^2)),Ft!J$3*((1-Ft!J$7)/(1+Ft!J$39*($A282-Ft!J$2)^2)+Ft!J$7*EXP(Ft!J$40*($A282-Ft!J$2)^2)))</f>
        <v>0</v>
      </c>
      <c r="O282" s="3">
        <f>IF(($A282-Ft!K$2)&lt;0,Ft!K$3*((1-Ft!K$6)/(1+Ft!K$37*($A282-Ft!K$2)^2)+Ft!K$6*EXP(Ft!K$38*($A282-Ft!K$2)^2)),Ft!K$3*((1-Ft!K$7)/(1+Ft!K$39*($A282-Ft!K$2)^2)+Ft!K$7*EXP(Ft!K$40*($A282-Ft!K$2)^2)))</f>
        <v>0</v>
      </c>
      <c r="P282"/>
      <c r="Q282"/>
    </row>
    <row r="283" spans="1:17">
      <c r="A283">
        <v>562</v>
      </c>
      <c r="B283">
        <v>18.149916349506995</v>
      </c>
      <c r="C283" s="6">
        <f t="shared" si="9"/>
        <v>18.009968179567622</v>
      </c>
      <c r="D283" s="19">
        <f t="shared" si="10"/>
        <v>1.9585490269379682E-2</v>
      </c>
      <c r="E283" s="3">
        <f>Ft!$B$12+Ft!$B$14*(Data!A283-Vars!$B$3)</f>
        <v>0</v>
      </c>
      <c r="F283" s="3">
        <f>IF(($A283-Ft!B$2)&lt;0,Ft!B$3*((1-Ft!B$6)/(1+Ft!B$37*($A283-Ft!B$2)^2)+Ft!B$6*EXP(Ft!B$38*($A283-Ft!B$2)^2)),Ft!B$3*((1-Ft!B$7)/(1+Ft!B$39*($A283-Ft!B$2)^2)+Ft!B$7*EXP(Ft!B$40*($A283-Ft!B$2)^2)))</f>
        <v>1.0977210927345791E-146</v>
      </c>
      <c r="G283" s="3">
        <f>IF(($A283-Ft!C$2)&lt;0,Ft!C$3*((1-Ft!C$6)/(1+Ft!C$37*($A283-Ft!C$2)^2)+Ft!C$6*EXP(Ft!C$38*($A283-Ft!C$2)^2)),Ft!C$3*((1-Ft!C$7)/(1+Ft!C$39*($A283-Ft!C$2)^2)+Ft!C$7*EXP(Ft!C$40*($A283-Ft!C$2)^2)))</f>
        <v>4.3559512113964085E-6</v>
      </c>
      <c r="H283" s="3">
        <f>IF(($A283-Ft!D$2)&lt;0,Ft!D$3*((1-Ft!D$6)/(1+Ft!D$37*($A283-Ft!D$2)^2)+Ft!D$6*EXP(Ft!D$38*($A283-Ft!D$2)^2)),Ft!D$3*((1-Ft!D$7)/(1+Ft!D$39*($A283-Ft!D$2)^2)+Ft!D$7*EXP(Ft!D$40*($A283-Ft!D$2)^2)))</f>
        <v>15.193409964595203</v>
      </c>
      <c r="I283" s="3">
        <f>IF(($A283-Ft!E$2)&lt;0,Ft!E$3*((1-Ft!E$6)/(1+Ft!E$37*($A283-Ft!E$2)^2)+Ft!E$6*EXP(Ft!E$38*($A283-Ft!E$2)^2)),Ft!E$3*((1-Ft!E$7)/(1+Ft!E$39*($A283-Ft!E$2)^2)+Ft!E$7*EXP(Ft!E$40*($A283-Ft!E$2)^2)))</f>
        <v>2.816553859021206</v>
      </c>
      <c r="J283" s="3">
        <f>IF(($A283-Ft!F$2)&lt;0,Ft!F$3*((1-Ft!F$6)/(1+Ft!F$37*($A283-Ft!F$2)^2)+Ft!F$6*EXP(Ft!F$38*($A283-Ft!F$2)^2)),Ft!F$3*((1-Ft!F$7)/(1+Ft!F$39*($A283-Ft!F$2)^2)+Ft!F$7*EXP(Ft!F$40*($A283-Ft!F$2)^2)))</f>
        <v>1.5227811122458369E-22</v>
      </c>
      <c r="K283" s="3">
        <f>IF(($A283-Ft!G$2)&lt;0,Ft!G$3*((1-Ft!G$6)/(1+Ft!G$37*($A283-Ft!G$2)^2)+Ft!G$6*EXP(Ft!G$38*($A283-Ft!G$2)^2)),Ft!G$3*((1-Ft!G$7)/(1+Ft!G$39*($A283-Ft!G$2)^2)+Ft!G$7*EXP(Ft!G$40*($A283-Ft!G$2)^2)))</f>
        <v>2.1120000956169866E-96</v>
      </c>
      <c r="L283" s="3">
        <f>IF(($A283-Ft!H$2)&lt;0,Ft!H$3*((1-Ft!H$6)/(1+Ft!H$37*($A283-Ft!H$2)^2)+Ft!H$6*EXP(Ft!H$38*($A283-Ft!H$2)^2)),Ft!H$3*((1-Ft!H$7)/(1+Ft!H$39*($A283-Ft!H$2)^2)+Ft!H$7*EXP(Ft!H$40*($A283-Ft!H$2)^2)))</f>
        <v>0</v>
      </c>
      <c r="M283" s="3">
        <f>IF(($A283-Ft!I$2)&lt;0,Ft!I$3*((1-Ft!I$6)/(1+Ft!I$37*($A283-Ft!I$2)^2)+Ft!I$6*EXP(Ft!I$38*($A283-Ft!I$2)^2)),Ft!I$3*((1-Ft!I$7)/(1+Ft!I$39*($A283-Ft!I$2)^2)+Ft!I$7*EXP(Ft!I$40*($A283-Ft!I$2)^2)))</f>
        <v>0</v>
      </c>
      <c r="N283" s="3">
        <f>IF(($A283-Ft!J$2)&lt;0,Ft!J$3*((1-Ft!J$6)/(1+Ft!J$37*($A283-Ft!J$2)^2)+Ft!J$6*EXP(Ft!J$38*($A283-Ft!J$2)^2)),Ft!J$3*((1-Ft!J$7)/(1+Ft!J$39*($A283-Ft!J$2)^2)+Ft!J$7*EXP(Ft!J$40*($A283-Ft!J$2)^2)))</f>
        <v>0</v>
      </c>
      <c r="O283" s="3">
        <f>IF(($A283-Ft!K$2)&lt;0,Ft!K$3*((1-Ft!K$6)/(1+Ft!K$37*($A283-Ft!K$2)^2)+Ft!K$6*EXP(Ft!K$38*($A283-Ft!K$2)^2)),Ft!K$3*((1-Ft!K$7)/(1+Ft!K$39*($A283-Ft!K$2)^2)+Ft!K$7*EXP(Ft!K$40*($A283-Ft!K$2)^2)))</f>
        <v>0</v>
      </c>
      <c r="P283"/>
      <c r="Q283"/>
    </row>
    <row r="284" spans="1:17">
      <c r="A284">
        <v>564</v>
      </c>
      <c r="B284">
        <v>18.094181520262993</v>
      </c>
      <c r="C284" s="6">
        <f t="shared" si="9"/>
        <v>17.966453671989687</v>
      </c>
      <c r="D284" s="19">
        <f t="shared" si="10"/>
        <v>1.6314403224528672E-2</v>
      </c>
      <c r="E284" s="3">
        <f>Ft!$B$12+Ft!$B$14*(Data!A284-Vars!$B$3)</f>
        <v>0</v>
      </c>
      <c r="F284" s="3">
        <f>IF(($A284-Ft!B$2)&lt;0,Ft!B$3*((1-Ft!B$6)/(1+Ft!B$37*($A284-Ft!B$2)^2)+Ft!B$6*EXP(Ft!B$38*($A284-Ft!B$2)^2)),Ft!B$3*((1-Ft!B$7)/(1+Ft!B$39*($A284-Ft!B$2)^2)+Ft!B$7*EXP(Ft!B$40*($A284-Ft!B$2)^2)))</f>
        <v>8.0201847301913779E-148</v>
      </c>
      <c r="G284" s="3">
        <f>IF(($A284-Ft!C$2)&lt;0,Ft!C$3*((1-Ft!C$6)/(1+Ft!C$37*($A284-Ft!C$2)^2)+Ft!C$6*EXP(Ft!C$38*($A284-Ft!C$2)^2)),Ft!C$3*((1-Ft!C$7)/(1+Ft!C$39*($A284-Ft!C$2)^2)+Ft!C$7*EXP(Ft!C$40*($A284-Ft!C$2)^2)))</f>
        <v>3.795176553237971E-6</v>
      </c>
      <c r="H284" s="3">
        <f>IF(($A284-Ft!D$2)&lt;0,Ft!D$3*((1-Ft!D$6)/(1+Ft!D$37*($A284-Ft!D$2)^2)+Ft!D$6*EXP(Ft!D$38*($A284-Ft!D$2)^2)),Ft!D$3*((1-Ft!D$7)/(1+Ft!D$39*($A284-Ft!D$2)^2)+Ft!D$7*EXP(Ft!D$40*($A284-Ft!D$2)^2)))</f>
        <v>15.075349772017367</v>
      </c>
      <c r="I284" s="3">
        <f>IF(($A284-Ft!E$2)&lt;0,Ft!E$3*((1-Ft!E$6)/(1+Ft!E$37*($A284-Ft!E$2)^2)+Ft!E$6*EXP(Ft!E$38*($A284-Ft!E$2)^2)),Ft!E$3*((1-Ft!E$7)/(1+Ft!E$39*($A284-Ft!E$2)^2)+Ft!E$7*EXP(Ft!E$40*($A284-Ft!E$2)^2)))</f>
        <v>2.8911001047957661</v>
      </c>
      <c r="J284" s="3">
        <f>IF(($A284-Ft!F$2)&lt;0,Ft!F$3*((1-Ft!F$6)/(1+Ft!F$37*($A284-Ft!F$2)^2)+Ft!F$6*EXP(Ft!F$38*($A284-Ft!F$2)^2)),Ft!F$3*((1-Ft!F$7)/(1+Ft!F$39*($A284-Ft!F$2)^2)+Ft!F$7*EXP(Ft!F$40*($A284-Ft!F$2)^2)))</f>
        <v>2.4393272620802913E-22</v>
      </c>
      <c r="K284" s="3">
        <f>IF(($A284-Ft!G$2)&lt;0,Ft!G$3*((1-Ft!G$6)/(1+Ft!G$37*($A284-Ft!G$2)^2)+Ft!G$6*EXP(Ft!G$38*($A284-Ft!G$2)^2)),Ft!G$3*((1-Ft!G$7)/(1+Ft!G$39*($A284-Ft!G$2)^2)+Ft!G$7*EXP(Ft!G$40*($A284-Ft!G$2)^2)))</f>
        <v>1.3223366975231184E-95</v>
      </c>
      <c r="L284" s="3">
        <f>IF(($A284-Ft!H$2)&lt;0,Ft!H$3*((1-Ft!H$6)/(1+Ft!H$37*($A284-Ft!H$2)^2)+Ft!H$6*EXP(Ft!H$38*($A284-Ft!H$2)^2)),Ft!H$3*((1-Ft!H$7)/(1+Ft!H$39*($A284-Ft!H$2)^2)+Ft!H$7*EXP(Ft!H$40*($A284-Ft!H$2)^2)))</f>
        <v>0</v>
      </c>
      <c r="M284" s="3">
        <f>IF(($A284-Ft!I$2)&lt;0,Ft!I$3*((1-Ft!I$6)/(1+Ft!I$37*($A284-Ft!I$2)^2)+Ft!I$6*EXP(Ft!I$38*($A284-Ft!I$2)^2)),Ft!I$3*((1-Ft!I$7)/(1+Ft!I$39*($A284-Ft!I$2)^2)+Ft!I$7*EXP(Ft!I$40*($A284-Ft!I$2)^2)))</f>
        <v>0</v>
      </c>
      <c r="N284" s="3">
        <f>IF(($A284-Ft!J$2)&lt;0,Ft!J$3*((1-Ft!J$6)/(1+Ft!J$37*($A284-Ft!J$2)^2)+Ft!J$6*EXP(Ft!J$38*($A284-Ft!J$2)^2)),Ft!J$3*((1-Ft!J$7)/(1+Ft!J$39*($A284-Ft!J$2)^2)+Ft!J$7*EXP(Ft!J$40*($A284-Ft!J$2)^2)))</f>
        <v>0</v>
      </c>
      <c r="O284" s="3">
        <f>IF(($A284-Ft!K$2)&lt;0,Ft!K$3*((1-Ft!K$6)/(1+Ft!K$37*($A284-Ft!K$2)^2)+Ft!K$6*EXP(Ft!K$38*($A284-Ft!K$2)^2)),Ft!K$3*((1-Ft!K$7)/(1+Ft!K$39*($A284-Ft!K$2)^2)+Ft!K$7*EXP(Ft!K$40*($A284-Ft!K$2)^2)))</f>
        <v>0</v>
      </c>
      <c r="P284"/>
      <c r="Q284"/>
    </row>
    <row r="285" spans="1:17">
      <c r="A285">
        <v>566</v>
      </c>
      <c r="B285">
        <v>18.037807661015989</v>
      </c>
      <c r="C285" s="6">
        <f t="shared" si="9"/>
        <v>17.923081881670139</v>
      </c>
      <c r="D285" s="19">
        <f t="shared" si="10"/>
        <v>1.3162004446512672E-2</v>
      </c>
      <c r="E285" s="3">
        <f>Ft!$B$12+Ft!$B$14*(Data!A285-Vars!$B$3)</f>
        <v>0</v>
      </c>
      <c r="F285" s="3">
        <f>IF(($A285-Ft!B$2)&lt;0,Ft!B$3*((1-Ft!B$6)/(1+Ft!B$37*($A285-Ft!B$2)^2)+Ft!B$6*EXP(Ft!B$38*($A285-Ft!B$2)^2)),Ft!B$3*((1-Ft!B$7)/(1+Ft!B$39*($A285-Ft!B$2)^2)+Ft!B$7*EXP(Ft!B$40*($A285-Ft!B$2)^2)))</f>
        <v>5.8007722537722352E-149</v>
      </c>
      <c r="G285" s="3">
        <f>IF(($A285-Ft!C$2)&lt;0,Ft!C$3*((1-Ft!C$6)/(1+Ft!C$37*($A285-Ft!C$2)^2)+Ft!C$6*EXP(Ft!C$38*($A285-Ft!C$2)^2)),Ft!C$3*((1-Ft!C$7)/(1+Ft!C$39*($A285-Ft!C$2)^2)+Ft!C$7*EXP(Ft!C$40*($A285-Ft!C$2)^2)))</f>
        <v>3.3044477861910207E-6</v>
      </c>
      <c r="H285" s="3">
        <f>IF(($A285-Ft!D$2)&lt;0,Ft!D$3*((1-Ft!D$6)/(1+Ft!D$37*($A285-Ft!D$2)^2)+Ft!D$6*EXP(Ft!D$38*($A285-Ft!D$2)^2)),Ft!D$3*((1-Ft!D$7)/(1+Ft!D$39*($A285-Ft!D$2)^2)+Ft!D$7*EXP(Ft!D$40*($A285-Ft!D$2)^2)))</f>
        <v>14.956056691522173</v>
      </c>
      <c r="I285" s="3">
        <f>IF(($A285-Ft!E$2)&lt;0,Ft!E$3*((1-Ft!E$6)/(1+Ft!E$37*($A285-Ft!E$2)^2)+Ft!E$6*EXP(Ft!E$38*($A285-Ft!E$2)^2)),Ft!E$3*((1-Ft!E$7)/(1+Ft!E$39*($A285-Ft!E$2)^2)+Ft!E$7*EXP(Ft!E$40*($A285-Ft!E$2)^2)))</f>
        <v>2.9670218857001807</v>
      </c>
      <c r="J285" s="3">
        <f>IF(($A285-Ft!F$2)&lt;0,Ft!F$3*((1-Ft!F$6)/(1+Ft!F$37*($A285-Ft!F$2)^2)+Ft!F$6*EXP(Ft!F$38*($A285-Ft!F$2)^2)),Ft!F$3*((1-Ft!F$7)/(1+Ft!F$39*($A285-Ft!F$2)^2)+Ft!F$7*EXP(Ft!F$40*($A285-Ft!F$2)^2)))</f>
        <v>3.8991319448079424E-22</v>
      </c>
      <c r="K285" s="3">
        <f>IF(($A285-Ft!G$2)&lt;0,Ft!G$3*((1-Ft!G$6)/(1+Ft!G$37*($A285-Ft!G$2)^2)+Ft!G$6*EXP(Ft!G$38*($A285-Ft!G$2)^2)),Ft!G$3*((1-Ft!G$7)/(1+Ft!G$39*($A285-Ft!G$2)^2)+Ft!G$7*EXP(Ft!G$40*($A285-Ft!G$2)^2)))</f>
        <v>8.2165045472045805E-95</v>
      </c>
      <c r="L285" s="3">
        <f>IF(($A285-Ft!H$2)&lt;0,Ft!H$3*((1-Ft!H$6)/(1+Ft!H$37*($A285-Ft!H$2)^2)+Ft!H$6*EXP(Ft!H$38*($A285-Ft!H$2)^2)),Ft!H$3*((1-Ft!H$7)/(1+Ft!H$39*($A285-Ft!H$2)^2)+Ft!H$7*EXP(Ft!H$40*($A285-Ft!H$2)^2)))</f>
        <v>0</v>
      </c>
      <c r="M285" s="3">
        <f>IF(($A285-Ft!I$2)&lt;0,Ft!I$3*((1-Ft!I$6)/(1+Ft!I$37*($A285-Ft!I$2)^2)+Ft!I$6*EXP(Ft!I$38*($A285-Ft!I$2)^2)),Ft!I$3*((1-Ft!I$7)/(1+Ft!I$39*($A285-Ft!I$2)^2)+Ft!I$7*EXP(Ft!I$40*($A285-Ft!I$2)^2)))</f>
        <v>0</v>
      </c>
      <c r="N285" s="3">
        <f>IF(($A285-Ft!J$2)&lt;0,Ft!J$3*((1-Ft!J$6)/(1+Ft!J$37*($A285-Ft!J$2)^2)+Ft!J$6*EXP(Ft!J$38*($A285-Ft!J$2)^2)),Ft!J$3*((1-Ft!J$7)/(1+Ft!J$39*($A285-Ft!J$2)^2)+Ft!J$7*EXP(Ft!J$40*($A285-Ft!J$2)^2)))</f>
        <v>0</v>
      </c>
      <c r="O285" s="3">
        <f>IF(($A285-Ft!K$2)&lt;0,Ft!K$3*((1-Ft!K$6)/(1+Ft!K$37*($A285-Ft!K$2)^2)+Ft!K$6*EXP(Ft!K$38*($A285-Ft!K$2)^2)),Ft!K$3*((1-Ft!K$7)/(1+Ft!K$39*($A285-Ft!K$2)^2)+Ft!K$7*EXP(Ft!K$40*($A285-Ft!K$2)^2)))</f>
        <v>0</v>
      </c>
      <c r="P285"/>
      <c r="Q285"/>
    </row>
    <row r="286" spans="1:17">
      <c r="A286">
        <v>568</v>
      </c>
      <c r="B286">
        <v>17.981642850643993</v>
      </c>
      <c r="C286" s="6">
        <f t="shared" si="9"/>
        <v>17.879901866689863</v>
      </c>
      <c r="D286" s="19">
        <f t="shared" si="10"/>
        <v>1.0351227815954562E-2</v>
      </c>
      <c r="E286" s="3">
        <f>Ft!$B$12+Ft!$B$14*(Data!A286-Vars!$B$3)</f>
        <v>0</v>
      </c>
      <c r="F286" s="3">
        <f>IF(($A286-Ft!B$2)&lt;0,Ft!B$3*((1-Ft!B$6)/(1+Ft!B$37*($A286-Ft!B$2)^2)+Ft!B$6*EXP(Ft!B$38*($A286-Ft!B$2)^2)),Ft!B$3*((1-Ft!B$7)/(1+Ft!B$39*($A286-Ft!B$2)^2)+Ft!B$7*EXP(Ft!B$40*($A286-Ft!B$2)^2)))</f>
        <v>4.1533290428809646E-150</v>
      </c>
      <c r="G286" s="3">
        <f>IF(($A286-Ft!C$2)&lt;0,Ft!C$3*((1-Ft!C$6)/(1+Ft!C$37*($A286-Ft!C$2)^2)+Ft!C$6*EXP(Ft!C$38*($A286-Ft!C$2)^2)),Ft!C$3*((1-Ft!C$7)/(1+Ft!C$39*($A286-Ft!C$2)^2)+Ft!C$7*EXP(Ft!C$40*($A286-Ft!C$2)^2)))</f>
        <v>2.8753037837019799E-6</v>
      </c>
      <c r="H286" s="3">
        <f>IF(($A286-Ft!D$2)&lt;0,Ft!D$3*((1-Ft!D$6)/(1+Ft!D$37*($A286-Ft!D$2)^2)+Ft!D$6*EXP(Ft!D$38*($A286-Ft!D$2)^2)),Ft!D$3*((1-Ft!D$7)/(1+Ft!D$39*($A286-Ft!D$2)^2)+Ft!D$7*EXP(Ft!D$40*($A286-Ft!D$2)^2)))</f>
        <v>14.835574640655413</v>
      </c>
      <c r="I286" s="3">
        <f>IF(($A286-Ft!E$2)&lt;0,Ft!E$3*((1-Ft!E$6)/(1+Ft!E$37*($A286-Ft!E$2)^2)+Ft!E$6*EXP(Ft!E$38*($A286-Ft!E$2)^2)),Ft!E$3*((1-Ft!E$7)/(1+Ft!E$39*($A286-Ft!E$2)^2)+Ft!E$7*EXP(Ft!E$40*($A286-Ft!E$2)^2)))</f>
        <v>3.0443243507306681</v>
      </c>
      <c r="J286" s="3">
        <f>IF(($A286-Ft!F$2)&lt;0,Ft!F$3*((1-Ft!F$6)/(1+Ft!F$37*($A286-Ft!F$2)^2)+Ft!F$6*EXP(Ft!F$38*($A286-Ft!F$2)^2)),Ft!F$3*((1-Ft!F$7)/(1+Ft!F$39*($A286-Ft!F$2)^2)+Ft!F$7*EXP(Ft!F$40*($A286-Ft!F$2)^2)))</f>
        <v>6.2191505219002356E-22</v>
      </c>
      <c r="K286" s="3">
        <f>IF(($A286-Ft!G$2)&lt;0,Ft!G$3*((1-Ft!G$6)/(1+Ft!G$37*($A286-Ft!G$2)^2)+Ft!G$6*EXP(Ft!G$38*($A286-Ft!G$2)^2)),Ft!G$3*((1-Ft!G$7)/(1+Ft!G$39*($A286-Ft!G$2)^2)+Ft!G$7*EXP(Ft!G$40*($A286-Ft!G$2)^2)))</f>
        <v>5.0667453939351861E-94</v>
      </c>
      <c r="L286" s="3">
        <f>IF(($A286-Ft!H$2)&lt;0,Ft!H$3*((1-Ft!H$6)/(1+Ft!H$37*($A286-Ft!H$2)^2)+Ft!H$6*EXP(Ft!H$38*($A286-Ft!H$2)^2)),Ft!H$3*((1-Ft!H$7)/(1+Ft!H$39*($A286-Ft!H$2)^2)+Ft!H$7*EXP(Ft!H$40*($A286-Ft!H$2)^2)))</f>
        <v>0</v>
      </c>
      <c r="M286" s="3">
        <f>IF(($A286-Ft!I$2)&lt;0,Ft!I$3*((1-Ft!I$6)/(1+Ft!I$37*($A286-Ft!I$2)^2)+Ft!I$6*EXP(Ft!I$38*($A286-Ft!I$2)^2)),Ft!I$3*((1-Ft!I$7)/(1+Ft!I$39*($A286-Ft!I$2)^2)+Ft!I$7*EXP(Ft!I$40*($A286-Ft!I$2)^2)))</f>
        <v>0</v>
      </c>
      <c r="N286" s="3">
        <f>IF(($A286-Ft!J$2)&lt;0,Ft!J$3*((1-Ft!J$6)/(1+Ft!J$37*($A286-Ft!J$2)^2)+Ft!J$6*EXP(Ft!J$38*($A286-Ft!J$2)^2)),Ft!J$3*((1-Ft!J$7)/(1+Ft!J$39*($A286-Ft!J$2)^2)+Ft!J$7*EXP(Ft!J$40*($A286-Ft!J$2)^2)))</f>
        <v>0</v>
      </c>
      <c r="O286" s="3">
        <f>IF(($A286-Ft!K$2)&lt;0,Ft!K$3*((1-Ft!K$6)/(1+Ft!K$37*($A286-Ft!K$2)^2)+Ft!K$6*EXP(Ft!K$38*($A286-Ft!K$2)^2)),Ft!K$3*((1-Ft!K$7)/(1+Ft!K$39*($A286-Ft!K$2)^2)+Ft!K$7*EXP(Ft!K$40*($A286-Ft!K$2)^2)))</f>
        <v>0</v>
      </c>
      <c r="P286"/>
      <c r="Q286"/>
    </row>
    <row r="287" spans="1:17">
      <c r="A287">
        <v>570</v>
      </c>
      <c r="B287">
        <v>17.926535168021999</v>
      </c>
      <c r="C287" s="6">
        <f t="shared" si="9"/>
        <v>17.836962136044402</v>
      </c>
      <c r="D287" s="19">
        <f t="shared" si="10"/>
        <v>8.0233280576596389E-3</v>
      </c>
      <c r="E287" s="3">
        <f>Ft!$B$12+Ft!$B$14*(Data!A287-Vars!$B$3)</f>
        <v>0</v>
      </c>
      <c r="F287" s="3">
        <f>IF(($A287-Ft!B$2)&lt;0,Ft!B$3*((1-Ft!B$6)/(1+Ft!B$37*($A287-Ft!B$2)^2)+Ft!B$6*EXP(Ft!B$38*($A287-Ft!B$2)^2)),Ft!B$3*((1-Ft!B$7)/(1+Ft!B$39*($A287-Ft!B$2)^2)+Ft!B$7*EXP(Ft!B$40*($A287-Ft!B$2)^2)))</f>
        <v>2.9438518080456146E-151</v>
      </c>
      <c r="G287" s="3">
        <f>IF(($A287-Ft!C$2)&lt;0,Ft!C$3*((1-Ft!C$6)/(1+Ft!C$37*($A287-Ft!C$2)^2)+Ft!C$6*EXP(Ft!C$38*($A287-Ft!C$2)^2)),Ft!C$3*((1-Ft!C$7)/(1+Ft!C$39*($A287-Ft!C$2)^2)+Ft!C$7*EXP(Ft!C$40*($A287-Ft!C$2)^2)))</f>
        <v>2.5002676973894662E-6</v>
      </c>
      <c r="H287" s="3">
        <f>IF(($A287-Ft!D$2)&lt;0,Ft!D$3*((1-Ft!D$6)/(1+Ft!D$37*($A287-Ft!D$2)^2)+Ft!D$6*EXP(Ft!D$38*($A287-Ft!D$2)^2)),Ft!D$3*((1-Ft!D$7)/(1+Ft!D$39*($A287-Ft!D$2)^2)+Ft!D$7*EXP(Ft!D$40*($A287-Ft!D$2)^2)))</f>
        <v>14.713947697013817</v>
      </c>
      <c r="I287" s="3">
        <f>IF(($A287-Ft!E$2)&lt;0,Ft!E$3*((1-Ft!E$6)/(1+Ft!E$37*($A287-Ft!E$2)^2)+Ft!E$6*EXP(Ft!E$38*($A287-Ft!E$2)^2)),Ft!E$3*((1-Ft!E$7)/(1+Ft!E$39*($A287-Ft!E$2)^2)+Ft!E$7*EXP(Ft!E$40*($A287-Ft!E$2)^2)))</f>
        <v>3.1230119387628865</v>
      </c>
      <c r="J287" s="3">
        <f>IF(($A287-Ft!F$2)&lt;0,Ft!F$3*((1-Ft!F$6)/(1+Ft!F$37*($A287-Ft!F$2)^2)+Ft!F$6*EXP(Ft!F$38*($A287-Ft!F$2)^2)),Ft!F$3*((1-Ft!F$7)/(1+Ft!F$39*($A287-Ft!F$2)^2)+Ft!F$7*EXP(Ft!F$40*($A287-Ft!F$2)^2)))</f>
        <v>9.8982741618091391E-22</v>
      </c>
      <c r="K287" s="3">
        <f>IF(($A287-Ft!G$2)&lt;0,Ft!G$3*((1-Ft!G$6)/(1+Ft!G$37*($A287-Ft!G$2)^2)+Ft!G$6*EXP(Ft!G$38*($A287-Ft!G$2)^2)),Ft!G$3*((1-Ft!G$7)/(1+Ft!G$39*($A287-Ft!G$2)^2)+Ft!G$7*EXP(Ft!G$40*($A287-Ft!G$2)^2)))</f>
        <v>3.1007588715857147E-93</v>
      </c>
      <c r="L287" s="3">
        <f>IF(($A287-Ft!H$2)&lt;0,Ft!H$3*((1-Ft!H$6)/(1+Ft!H$37*($A287-Ft!H$2)^2)+Ft!H$6*EXP(Ft!H$38*($A287-Ft!H$2)^2)),Ft!H$3*((1-Ft!H$7)/(1+Ft!H$39*($A287-Ft!H$2)^2)+Ft!H$7*EXP(Ft!H$40*($A287-Ft!H$2)^2)))</f>
        <v>0</v>
      </c>
      <c r="M287" s="3">
        <f>IF(($A287-Ft!I$2)&lt;0,Ft!I$3*((1-Ft!I$6)/(1+Ft!I$37*($A287-Ft!I$2)^2)+Ft!I$6*EXP(Ft!I$38*($A287-Ft!I$2)^2)),Ft!I$3*((1-Ft!I$7)/(1+Ft!I$39*($A287-Ft!I$2)^2)+Ft!I$7*EXP(Ft!I$40*($A287-Ft!I$2)^2)))</f>
        <v>0</v>
      </c>
      <c r="N287" s="3">
        <f>IF(($A287-Ft!J$2)&lt;0,Ft!J$3*((1-Ft!J$6)/(1+Ft!J$37*($A287-Ft!J$2)^2)+Ft!J$6*EXP(Ft!J$38*($A287-Ft!J$2)^2)),Ft!J$3*((1-Ft!J$7)/(1+Ft!J$39*($A287-Ft!J$2)^2)+Ft!J$7*EXP(Ft!J$40*($A287-Ft!J$2)^2)))</f>
        <v>0</v>
      </c>
      <c r="O287" s="3">
        <f>IF(($A287-Ft!K$2)&lt;0,Ft!K$3*((1-Ft!K$6)/(1+Ft!K$37*($A287-Ft!K$2)^2)+Ft!K$6*EXP(Ft!K$38*($A287-Ft!K$2)^2)),Ft!K$3*((1-Ft!K$7)/(1+Ft!K$39*($A287-Ft!K$2)^2)+Ft!K$7*EXP(Ft!K$40*($A287-Ft!K$2)^2)))</f>
        <v>0</v>
      </c>
      <c r="P287"/>
      <c r="Q287"/>
    </row>
    <row r="288" spans="1:17">
      <c r="A288">
        <v>572</v>
      </c>
      <c r="B288">
        <v>17.873332692026992</v>
      </c>
      <c r="C288" s="6">
        <f t="shared" si="9"/>
        <v>17.794310600881975</v>
      </c>
      <c r="D288" s="19">
        <f t="shared" si="10"/>
        <v>6.2444908889313765E-3</v>
      </c>
      <c r="E288" s="3">
        <f>Ft!$B$12+Ft!$B$14*(Data!A288-Vars!$B$3)</f>
        <v>0</v>
      </c>
      <c r="F288" s="3">
        <f>IF(($A288-Ft!B$2)&lt;0,Ft!B$3*((1-Ft!B$6)/(1+Ft!B$37*($A288-Ft!B$2)^2)+Ft!B$6*EXP(Ft!B$38*($A288-Ft!B$2)^2)),Ft!B$3*((1-Ft!B$7)/(1+Ft!B$39*($A288-Ft!B$2)^2)+Ft!B$7*EXP(Ft!B$40*($A288-Ft!B$2)^2)))</f>
        <v>2.0655924145678546E-152</v>
      </c>
      <c r="G288" s="3">
        <f>IF(($A288-Ft!C$2)&lt;0,Ft!C$3*((1-Ft!C$6)/(1+Ft!C$37*($A288-Ft!C$2)^2)+Ft!C$6*EXP(Ft!C$38*($A288-Ft!C$2)^2)),Ft!C$3*((1-Ft!C$7)/(1+Ft!C$39*($A288-Ft!C$2)^2)+Ft!C$7*EXP(Ft!C$40*($A288-Ft!C$2)^2)))</f>
        <v>2.1727372813011905E-6</v>
      </c>
      <c r="H288" s="3">
        <f>IF(($A288-Ft!D$2)&lt;0,Ft!D$3*((1-Ft!D$6)/(1+Ft!D$37*($A288-Ft!D$2)^2)+Ft!D$6*EXP(Ft!D$38*($A288-Ft!D$2)^2)),Ft!D$3*((1-Ft!D$7)/(1+Ft!D$39*($A288-Ft!D$2)^2)+Ft!D$7*EXP(Ft!D$40*($A288-Ft!D$2)^2)))</f>
        <v>14.59122007171394</v>
      </c>
      <c r="I288" s="3">
        <f>IF(($A288-Ft!E$2)&lt;0,Ft!E$3*((1-Ft!E$6)/(1+Ft!E$37*($A288-Ft!E$2)^2)+Ft!E$6*EXP(Ft!E$38*($A288-Ft!E$2)^2)),Ft!E$3*((1-Ft!E$7)/(1+Ft!E$39*($A288-Ft!E$2)^2)+Ft!E$7*EXP(Ft!E$40*($A288-Ft!E$2)^2)))</f>
        <v>3.2030883564307531</v>
      </c>
      <c r="J288" s="3">
        <f>IF(($A288-Ft!F$2)&lt;0,Ft!F$3*((1-Ft!F$6)/(1+Ft!F$37*($A288-Ft!F$2)^2)+Ft!F$6*EXP(Ft!F$38*($A288-Ft!F$2)^2)),Ft!F$3*((1-Ft!F$7)/(1+Ft!F$39*($A288-Ft!F$2)^2)+Ft!F$7*EXP(Ft!F$40*($A288-Ft!F$2)^2)))</f>
        <v>1.572002250350842E-21</v>
      </c>
      <c r="K288" s="3">
        <f>IF(($A288-Ft!G$2)&lt;0,Ft!G$3*((1-Ft!G$6)/(1+Ft!G$37*($A288-Ft!G$2)^2)+Ft!G$6*EXP(Ft!G$38*($A288-Ft!G$2)^2)),Ft!G$3*((1-Ft!G$7)/(1+Ft!G$39*($A288-Ft!G$2)^2)+Ft!G$7*EXP(Ft!G$40*($A288-Ft!G$2)^2)))</f>
        <v>1.8832320673553609E-92</v>
      </c>
      <c r="L288" s="3">
        <f>IF(($A288-Ft!H$2)&lt;0,Ft!H$3*((1-Ft!H$6)/(1+Ft!H$37*($A288-Ft!H$2)^2)+Ft!H$6*EXP(Ft!H$38*($A288-Ft!H$2)^2)),Ft!H$3*((1-Ft!H$7)/(1+Ft!H$39*($A288-Ft!H$2)^2)+Ft!H$7*EXP(Ft!H$40*($A288-Ft!H$2)^2)))</f>
        <v>0</v>
      </c>
      <c r="M288" s="3">
        <f>IF(($A288-Ft!I$2)&lt;0,Ft!I$3*((1-Ft!I$6)/(1+Ft!I$37*($A288-Ft!I$2)^2)+Ft!I$6*EXP(Ft!I$38*($A288-Ft!I$2)^2)),Ft!I$3*((1-Ft!I$7)/(1+Ft!I$39*($A288-Ft!I$2)^2)+Ft!I$7*EXP(Ft!I$40*($A288-Ft!I$2)^2)))</f>
        <v>0</v>
      </c>
      <c r="N288" s="3">
        <f>IF(($A288-Ft!J$2)&lt;0,Ft!J$3*((1-Ft!J$6)/(1+Ft!J$37*($A288-Ft!J$2)^2)+Ft!J$6*EXP(Ft!J$38*($A288-Ft!J$2)^2)),Ft!J$3*((1-Ft!J$7)/(1+Ft!J$39*($A288-Ft!J$2)^2)+Ft!J$7*EXP(Ft!J$40*($A288-Ft!J$2)^2)))</f>
        <v>0</v>
      </c>
      <c r="O288" s="3">
        <f>IF(($A288-Ft!K$2)&lt;0,Ft!K$3*((1-Ft!K$6)/(1+Ft!K$37*($A288-Ft!K$2)^2)+Ft!K$6*EXP(Ft!K$38*($A288-Ft!K$2)^2)),Ft!K$3*((1-Ft!K$7)/(1+Ft!K$39*($A288-Ft!K$2)^2)+Ft!K$7*EXP(Ft!K$40*($A288-Ft!K$2)^2)))</f>
        <v>0</v>
      </c>
      <c r="P288"/>
      <c r="Q288"/>
    </row>
    <row r="289" spans="1:17">
      <c r="A289">
        <v>574</v>
      </c>
      <c r="B289">
        <v>17.82261116592899</v>
      </c>
      <c r="C289" s="6">
        <f t="shared" si="9"/>
        <v>17.751994526045753</v>
      </c>
      <c r="D289" s="19">
        <f t="shared" si="10"/>
        <v>4.9867098283988207E-3</v>
      </c>
      <c r="E289" s="3">
        <f>Ft!$B$12+Ft!$B$14*(Data!A289-Vars!$B$3)</f>
        <v>0</v>
      </c>
      <c r="F289" s="3">
        <f>IF(($A289-Ft!B$2)&lt;0,Ft!B$3*((1-Ft!B$6)/(1+Ft!B$37*($A289-Ft!B$2)^2)+Ft!B$6*EXP(Ft!B$38*($A289-Ft!B$2)^2)),Ft!B$3*((1-Ft!B$7)/(1+Ft!B$39*($A289-Ft!B$2)^2)+Ft!B$7*EXP(Ft!B$40*($A289-Ft!B$2)^2)))</f>
        <v>1.4347703624141865E-153</v>
      </c>
      <c r="G289" s="3">
        <f>IF(($A289-Ft!C$2)&lt;0,Ft!C$3*((1-Ft!C$6)/(1+Ft!C$37*($A289-Ft!C$2)^2)+Ft!C$6*EXP(Ft!C$38*($A289-Ft!C$2)^2)),Ft!C$3*((1-Ft!C$7)/(1+Ft!C$39*($A289-Ft!C$2)^2)+Ft!C$7*EXP(Ft!C$40*($A289-Ft!C$2)^2)))</f>
        <v>1.8868868374375409E-6</v>
      </c>
      <c r="H289" s="3">
        <f>IF(($A289-Ft!D$2)&lt;0,Ft!D$3*((1-Ft!D$6)/(1+Ft!D$37*($A289-Ft!D$2)^2)+Ft!D$6*EXP(Ft!D$38*($A289-Ft!D$2)^2)),Ft!D$3*((1-Ft!D$7)/(1+Ft!D$39*($A289-Ft!D$2)^2)+Ft!D$7*EXP(Ft!D$40*($A289-Ft!D$2)^2)))</f>
        <v>14.46743608298107</v>
      </c>
      <c r="I289" s="3">
        <f>IF(($A289-Ft!E$2)&lt;0,Ft!E$3*((1-Ft!E$6)/(1+Ft!E$37*($A289-Ft!E$2)^2)+Ft!E$6*EXP(Ft!E$38*($A289-Ft!E$2)^2)),Ft!E$3*((1-Ft!E$7)/(1+Ft!E$39*($A289-Ft!E$2)^2)+Ft!E$7*EXP(Ft!E$40*($A289-Ft!E$2)^2)))</f>
        <v>3.2845565561778467</v>
      </c>
      <c r="J289" s="3">
        <f>IF(($A289-Ft!F$2)&lt;0,Ft!F$3*((1-Ft!F$6)/(1+Ft!F$37*($A289-Ft!F$2)^2)+Ft!F$6*EXP(Ft!F$38*($A289-Ft!F$2)^2)),Ft!F$3*((1-Ft!F$7)/(1+Ft!F$39*($A289-Ft!F$2)^2)+Ft!F$7*EXP(Ft!F$40*($A289-Ft!F$2)^2)))</f>
        <v>2.4912202318452695E-21</v>
      </c>
      <c r="K289" s="3">
        <f>IF(($A289-Ft!G$2)&lt;0,Ft!G$3*((1-Ft!G$6)/(1+Ft!G$37*($A289-Ft!G$2)^2)+Ft!G$6*EXP(Ft!G$38*($A289-Ft!G$2)^2)),Ft!G$3*((1-Ft!G$7)/(1+Ft!G$39*($A289-Ft!G$2)^2)+Ft!G$7*EXP(Ft!G$40*($A289-Ft!G$2)^2)))</f>
        <v>1.1351065207151388E-91</v>
      </c>
      <c r="L289" s="3">
        <f>IF(($A289-Ft!H$2)&lt;0,Ft!H$3*((1-Ft!H$6)/(1+Ft!H$37*($A289-Ft!H$2)^2)+Ft!H$6*EXP(Ft!H$38*($A289-Ft!H$2)^2)),Ft!H$3*((1-Ft!H$7)/(1+Ft!H$39*($A289-Ft!H$2)^2)+Ft!H$7*EXP(Ft!H$40*($A289-Ft!H$2)^2)))</f>
        <v>0</v>
      </c>
      <c r="M289" s="3">
        <f>IF(($A289-Ft!I$2)&lt;0,Ft!I$3*((1-Ft!I$6)/(1+Ft!I$37*($A289-Ft!I$2)^2)+Ft!I$6*EXP(Ft!I$38*($A289-Ft!I$2)^2)),Ft!I$3*((1-Ft!I$7)/(1+Ft!I$39*($A289-Ft!I$2)^2)+Ft!I$7*EXP(Ft!I$40*($A289-Ft!I$2)^2)))</f>
        <v>0</v>
      </c>
      <c r="N289" s="3">
        <f>IF(($A289-Ft!J$2)&lt;0,Ft!J$3*((1-Ft!J$6)/(1+Ft!J$37*($A289-Ft!J$2)^2)+Ft!J$6*EXP(Ft!J$38*($A289-Ft!J$2)^2)),Ft!J$3*((1-Ft!J$7)/(1+Ft!J$39*($A289-Ft!J$2)^2)+Ft!J$7*EXP(Ft!J$40*($A289-Ft!J$2)^2)))</f>
        <v>0</v>
      </c>
      <c r="O289" s="3">
        <f>IF(($A289-Ft!K$2)&lt;0,Ft!K$3*((1-Ft!K$6)/(1+Ft!K$37*($A289-Ft!K$2)^2)+Ft!K$6*EXP(Ft!K$38*($A289-Ft!K$2)^2)),Ft!K$3*((1-Ft!K$7)/(1+Ft!K$39*($A289-Ft!K$2)^2)+Ft!K$7*EXP(Ft!K$40*($A289-Ft!K$2)^2)))</f>
        <v>0</v>
      </c>
      <c r="P289"/>
      <c r="Q289"/>
    </row>
    <row r="290" spans="1:17">
      <c r="A290">
        <v>576</v>
      </c>
      <c r="B290">
        <v>17.773198537635992</v>
      </c>
      <c r="C290" s="6">
        <f t="shared" si="9"/>
        <v>17.710060481972217</v>
      </c>
      <c r="D290" s="19">
        <f t="shared" si="10"/>
        <v>3.9864140730018743E-3</v>
      </c>
      <c r="E290" s="3">
        <f>Ft!$B$12+Ft!$B$14*(Data!A290-Vars!$B$3)</f>
        <v>0</v>
      </c>
      <c r="F290" s="3">
        <f>IF(($A290-Ft!B$2)&lt;0,Ft!B$3*((1-Ft!B$6)/(1+Ft!B$37*($A290-Ft!B$2)^2)+Ft!B$6*EXP(Ft!B$38*($A290-Ft!B$2)^2)),Ft!B$3*((1-Ft!B$7)/(1+Ft!B$39*($A290-Ft!B$2)^2)+Ft!B$7*EXP(Ft!B$40*($A290-Ft!B$2)^2)))</f>
        <v>9.8657304346621923E-155</v>
      </c>
      <c r="G290" s="3">
        <f>IF(($A290-Ft!C$2)&lt;0,Ft!C$3*((1-Ft!C$6)/(1+Ft!C$37*($A290-Ft!C$2)^2)+Ft!C$6*EXP(Ft!C$38*($A290-Ft!C$2)^2)),Ft!C$3*((1-Ft!C$7)/(1+Ft!C$39*($A290-Ft!C$2)^2)+Ft!C$7*EXP(Ft!C$40*($A290-Ft!C$2)^2)))</f>
        <v>1.6375796235638161E-6</v>
      </c>
      <c r="H290" s="3">
        <f>IF(($A290-Ft!D$2)&lt;0,Ft!D$3*((1-Ft!D$6)/(1+Ft!D$37*($A290-Ft!D$2)^2)+Ft!D$6*EXP(Ft!D$38*($A290-Ft!D$2)^2)),Ft!D$3*((1-Ft!D$7)/(1+Ft!D$39*($A290-Ft!D$2)^2)+Ft!D$7*EXP(Ft!D$40*($A290-Ft!D$2)^2)))</f>
        <v>14.34264012987987</v>
      </c>
      <c r="I290" s="3">
        <f>IF(($A290-Ft!E$2)&lt;0,Ft!E$3*((1-Ft!E$6)/(1+Ft!E$37*($A290-Ft!E$2)^2)+Ft!E$6*EXP(Ft!E$38*($A290-Ft!E$2)^2)),Ft!E$3*((1-Ft!E$7)/(1+Ft!E$39*($A290-Ft!E$2)^2)+Ft!E$7*EXP(Ft!E$40*($A290-Ft!E$2)^2)))</f>
        <v>3.3674187145127221</v>
      </c>
      <c r="J290" s="3">
        <f>IF(($A290-Ft!F$2)&lt;0,Ft!F$3*((1-Ft!F$6)/(1+Ft!F$37*($A290-Ft!F$2)^2)+Ft!F$6*EXP(Ft!F$38*($A290-Ft!F$2)^2)),Ft!F$3*((1-Ft!F$7)/(1+Ft!F$39*($A290-Ft!F$2)^2)+Ft!F$7*EXP(Ft!F$40*($A290-Ft!F$2)^2)))</f>
        <v>3.9394569168586242E-21</v>
      </c>
      <c r="K290" s="3">
        <f>IF(($A290-Ft!G$2)&lt;0,Ft!G$3*((1-Ft!G$6)/(1+Ft!G$37*($A290-Ft!G$2)^2)+Ft!G$6*EXP(Ft!G$38*($A290-Ft!G$2)^2)),Ft!G$3*((1-Ft!G$7)/(1+Ft!G$39*($A290-Ft!G$2)^2)+Ft!G$7*EXP(Ft!G$40*($A290-Ft!G$2)^2)))</f>
        <v>6.7899461275783974E-91</v>
      </c>
      <c r="L290" s="3">
        <f>IF(($A290-Ft!H$2)&lt;0,Ft!H$3*((1-Ft!H$6)/(1+Ft!H$37*($A290-Ft!H$2)^2)+Ft!H$6*EXP(Ft!H$38*($A290-Ft!H$2)^2)),Ft!H$3*((1-Ft!H$7)/(1+Ft!H$39*($A290-Ft!H$2)^2)+Ft!H$7*EXP(Ft!H$40*($A290-Ft!H$2)^2)))</f>
        <v>0</v>
      </c>
      <c r="M290" s="3">
        <f>IF(($A290-Ft!I$2)&lt;0,Ft!I$3*((1-Ft!I$6)/(1+Ft!I$37*($A290-Ft!I$2)^2)+Ft!I$6*EXP(Ft!I$38*($A290-Ft!I$2)^2)),Ft!I$3*((1-Ft!I$7)/(1+Ft!I$39*($A290-Ft!I$2)^2)+Ft!I$7*EXP(Ft!I$40*($A290-Ft!I$2)^2)))</f>
        <v>0</v>
      </c>
      <c r="N290" s="3">
        <f>IF(($A290-Ft!J$2)&lt;0,Ft!J$3*((1-Ft!J$6)/(1+Ft!J$37*($A290-Ft!J$2)^2)+Ft!J$6*EXP(Ft!J$38*($A290-Ft!J$2)^2)),Ft!J$3*((1-Ft!J$7)/(1+Ft!J$39*($A290-Ft!J$2)^2)+Ft!J$7*EXP(Ft!J$40*($A290-Ft!J$2)^2)))</f>
        <v>0</v>
      </c>
      <c r="O290" s="3">
        <f>IF(($A290-Ft!K$2)&lt;0,Ft!K$3*((1-Ft!K$6)/(1+Ft!K$37*($A290-Ft!K$2)^2)+Ft!K$6*EXP(Ft!K$38*($A290-Ft!K$2)^2)),Ft!K$3*((1-Ft!K$7)/(1+Ft!K$39*($A290-Ft!K$2)^2)+Ft!K$7*EXP(Ft!K$40*($A290-Ft!K$2)^2)))</f>
        <v>0</v>
      </c>
      <c r="P290"/>
      <c r="Q290"/>
    </row>
    <row r="291" spans="1:17">
      <c r="A291">
        <v>578</v>
      </c>
      <c r="B291">
        <v>17.724683806146999</v>
      </c>
      <c r="C291" s="6">
        <f t="shared" si="9"/>
        <v>17.668554296997762</v>
      </c>
      <c r="D291" s="19">
        <f t="shared" si="10"/>
        <v>3.1505217973342653E-3</v>
      </c>
      <c r="E291" s="3">
        <f>Ft!$B$12+Ft!$B$14*(Data!A291-Vars!$B$3)</f>
        <v>0</v>
      </c>
      <c r="F291" s="3">
        <f>IF(($A291-Ft!B$2)&lt;0,Ft!B$3*((1-Ft!B$6)/(1+Ft!B$37*($A291-Ft!B$2)^2)+Ft!B$6*EXP(Ft!B$38*($A291-Ft!B$2)^2)),Ft!B$3*((1-Ft!B$7)/(1+Ft!B$39*($A291-Ft!B$2)^2)+Ft!B$7*EXP(Ft!B$40*($A291-Ft!B$2)^2)))</f>
        <v>6.7156054622739653E-156</v>
      </c>
      <c r="G291" s="3">
        <f>IF(($A291-Ft!C$2)&lt;0,Ft!C$3*((1-Ft!C$6)/(1+Ft!C$37*($A291-Ft!C$2)^2)+Ft!C$6*EXP(Ft!C$38*($A291-Ft!C$2)^2)),Ft!C$3*((1-Ft!C$7)/(1+Ft!C$39*($A291-Ft!C$2)^2)+Ft!C$7*EXP(Ft!C$40*($A291-Ft!C$2)^2)))</f>
        <v>1.4202896714267067E-6</v>
      </c>
      <c r="H291" s="3">
        <f>IF(($A291-Ft!D$2)&lt;0,Ft!D$3*((1-Ft!D$6)/(1+Ft!D$37*($A291-Ft!D$2)^2)+Ft!D$6*EXP(Ft!D$38*($A291-Ft!D$2)^2)),Ft!D$3*((1-Ft!D$7)/(1+Ft!D$39*($A291-Ft!D$2)^2)+Ft!D$7*EXP(Ft!D$40*($A291-Ft!D$2)^2)))</f>
        <v>14.216876666208139</v>
      </c>
      <c r="I291" s="3">
        <f>IF(($A291-Ft!E$2)&lt;0,Ft!E$3*((1-Ft!E$6)/(1+Ft!E$37*($A291-Ft!E$2)^2)+Ft!E$6*EXP(Ft!E$38*($A291-Ft!E$2)^2)),Ft!E$3*((1-Ft!E$7)/(1+Ft!E$39*($A291-Ft!E$2)^2)+Ft!E$7*EXP(Ft!E$40*($A291-Ft!E$2)^2)))</f>
        <v>3.4516762104999512</v>
      </c>
      <c r="J291" s="3">
        <f>IF(($A291-Ft!F$2)&lt;0,Ft!F$3*((1-Ft!F$6)/(1+Ft!F$37*($A291-Ft!F$2)^2)+Ft!F$6*EXP(Ft!F$38*($A291-Ft!F$2)^2)),Ft!F$3*((1-Ft!F$7)/(1+Ft!F$39*($A291-Ft!F$2)^2)+Ft!F$7*EXP(Ft!F$40*($A291-Ft!F$2)^2)))</f>
        <v>6.2162126445289162E-21</v>
      </c>
      <c r="K291" s="3">
        <f>IF(($A291-Ft!G$2)&lt;0,Ft!G$3*((1-Ft!G$6)/(1+Ft!G$37*($A291-Ft!G$2)^2)+Ft!G$6*EXP(Ft!G$38*($A291-Ft!G$2)^2)),Ft!G$3*((1-Ft!G$7)/(1+Ft!G$39*($A291-Ft!G$2)^2)+Ft!G$7*EXP(Ft!G$40*($A291-Ft!G$2)^2)))</f>
        <v>4.0308159713348586E-90</v>
      </c>
      <c r="L291" s="3">
        <f>IF(($A291-Ft!H$2)&lt;0,Ft!H$3*((1-Ft!H$6)/(1+Ft!H$37*($A291-Ft!H$2)^2)+Ft!H$6*EXP(Ft!H$38*($A291-Ft!H$2)^2)),Ft!H$3*((1-Ft!H$7)/(1+Ft!H$39*($A291-Ft!H$2)^2)+Ft!H$7*EXP(Ft!H$40*($A291-Ft!H$2)^2)))</f>
        <v>0</v>
      </c>
      <c r="M291" s="3">
        <f>IF(($A291-Ft!I$2)&lt;0,Ft!I$3*((1-Ft!I$6)/(1+Ft!I$37*($A291-Ft!I$2)^2)+Ft!I$6*EXP(Ft!I$38*($A291-Ft!I$2)^2)),Ft!I$3*((1-Ft!I$7)/(1+Ft!I$39*($A291-Ft!I$2)^2)+Ft!I$7*EXP(Ft!I$40*($A291-Ft!I$2)^2)))</f>
        <v>0</v>
      </c>
      <c r="N291" s="3">
        <f>IF(($A291-Ft!J$2)&lt;0,Ft!J$3*((1-Ft!J$6)/(1+Ft!J$37*($A291-Ft!J$2)^2)+Ft!J$6*EXP(Ft!J$38*($A291-Ft!J$2)^2)),Ft!J$3*((1-Ft!J$7)/(1+Ft!J$39*($A291-Ft!J$2)^2)+Ft!J$7*EXP(Ft!J$40*($A291-Ft!J$2)^2)))</f>
        <v>0</v>
      </c>
      <c r="O291" s="3">
        <f>IF(($A291-Ft!K$2)&lt;0,Ft!K$3*((1-Ft!K$6)/(1+Ft!K$37*($A291-Ft!K$2)^2)+Ft!K$6*EXP(Ft!K$38*($A291-Ft!K$2)^2)),Ft!K$3*((1-Ft!K$7)/(1+Ft!K$39*($A291-Ft!K$2)^2)+Ft!K$7*EXP(Ft!K$40*($A291-Ft!K$2)^2)))</f>
        <v>0</v>
      </c>
      <c r="P291"/>
      <c r="Q291"/>
    </row>
    <row r="292" spans="1:17">
      <c r="A292">
        <v>580</v>
      </c>
      <c r="B292">
        <v>17.676885404136002</v>
      </c>
      <c r="C292" s="6">
        <f t="shared" si="9"/>
        <v>17.627521010125985</v>
      </c>
      <c r="D292" s="19">
        <f t="shared" si="10"/>
        <v>2.4368433959761388E-3</v>
      </c>
      <c r="E292" s="3">
        <f>Ft!$B$12+Ft!$B$14*(Data!A292-Vars!$B$3)</f>
        <v>0</v>
      </c>
      <c r="F292" s="3">
        <f>IF(($A292-Ft!B$2)&lt;0,Ft!B$3*((1-Ft!B$6)/(1+Ft!B$37*($A292-Ft!B$2)^2)+Ft!B$6*EXP(Ft!B$38*($A292-Ft!B$2)^2)),Ft!B$3*((1-Ft!B$7)/(1+Ft!B$39*($A292-Ft!B$2)^2)+Ft!B$7*EXP(Ft!B$40*($A292-Ft!B$2)^2)))</f>
        <v>4.5253292571581256E-157</v>
      </c>
      <c r="G292" s="3">
        <f>IF(($A292-Ft!C$2)&lt;0,Ft!C$3*((1-Ft!C$6)/(1+Ft!C$37*($A292-Ft!C$2)^2)+Ft!C$6*EXP(Ft!C$38*($A292-Ft!C$2)^2)),Ft!C$3*((1-Ft!C$7)/(1+Ft!C$39*($A292-Ft!C$2)^2)+Ft!C$7*EXP(Ft!C$40*($A292-Ft!C$2)^2)))</f>
        <v>1.2310320616558761E-6</v>
      </c>
      <c r="H292" s="3">
        <f>IF(($A292-Ft!D$2)&lt;0,Ft!D$3*((1-Ft!D$6)/(1+Ft!D$37*($A292-Ft!D$2)^2)+Ft!D$6*EXP(Ft!D$38*($A292-Ft!D$2)^2)),Ft!D$3*((1-Ft!D$7)/(1+Ft!D$39*($A292-Ft!D$2)^2)+Ft!D$7*EXP(Ft!D$40*($A292-Ft!D$2)^2)))</f>
        <v>14.090190174574721</v>
      </c>
      <c r="I292" s="3">
        <f>IF(($A292-Ft!E$2)&lt;0,Ft!E$3*((1-Ft!E$6)/(1+Ft!E$37*($A292-Ft!E$2)^2)+Ft!E$6*EXP(Ft!E$38*($A292-Ft!E$2)^2)),Ft!E$3*((1-Ft!E$7)/(1+Ft!E$39*($A292-Ft!E$2)^2)+Ft!E$7*EXP(Ft!E$40*($A292-Ft!E$2)^2)))</f>
        <v>3.5373296045192029</v>
      </c>
      <c r="J292" s="3">
        <f>IF(($A292-Ft!F$2)&lt;0,Ft!F$3*((1-Ft!F$6)/(1+Ft!F$37*($A292-Ft!F$2)^2)+Ft!F$6*EXP(Ft!F$38*($A292-Ft!F$2)^2)),Ft!F$3*((1-Ft!F$7)/(1+Ft!F$39*($A292-Ft!F$2)^2)+Ft!F$7*EXP(Ft!F$40*($A292-Ft!F$2)^2)))</f>
        <v>9.7876998709772547E-21</v>
      </c>
      <c r="K292" s="3">
        <f>IF(($A292-Ft!G$2)&lt;0,Ft!G$3*((1-Ft!G$6)/(1+Ft!G$37*($A292-Ft!G$2)^2)+Ft!G$6*EXP(Ft!G$38*($A292-Ft!G$2)^2)),Ft!G$3*((1-Ft!G$7)/(1+Ft!G$39*($A292-Ft!G$2)^2)+Ft!G$7*EXP(Ft!G$40*($A292-Ft!G$2)^2)))</f>
        <v>2.374742610826684E-89</v>
      </c>
      <c r="L292" s="3">
        <f>IF(($A292-Ft!H$2)&lt;0,Ft!H$3*((1-Ft!H$6)/(1+Ft!H$37*($A292-Ft!H$2)^2)+Ft!H$6*EXP(Ft!H$38*($A292-Ft!H$2)^2)),Ft!H$3*((1-Ft!H$7)/(1+Ft!H$39*($A292-Ft!H$2)^2)+Ft!H$7*EXP(Ft!H$40*($A292-Ft!H$2)^2)))</f>
        <v>0</v>
      </c>
      <c r="M292" s="3">
        <f>IF(($A292-Ft!I$2)&lt;0,Ft!I$3*((1-Ft!I$6)/(1+Ft!I$37*($A292-Ft!I$2)^2)+Ft!I$6*EXP(Ft!I$38*($A292-Ft!I$2)^2)),Ft!I$3*((1-Ft!I$7)/(1+Ft!I$39*($A292-Ft!I$2)^2)+Ft!I$7*EXP(Ft!I$40*($A292-Ft!I$2)^2)))</f>
        <v>0</v>
      </c>
      <c r="N292" s="3">
        <f>IF(($A292-Ft!J$2)&lt;0,Ft!J$3*((1-Ft!J$6)/(1+Ft!J$37*($A292-Ft!J$2)^2)+Ft!J$6*EXP(Ft!J$38*($A292-Ft!J$2)^2)),Ft!J$3*((1-Ft!J$7)/(1+Ft!J$39*($A292-Ft!J$2)^2)+Ft!J$7*EXP(Ft!J$40*($A292-Ft!J$2)^2)))</f>
        <v>0</v>
      </c>
      <c r="O292" s="3">
        <f>IF(($A292-Ft!K$2)&lt;0,Ft!K$3*((1-Ft!K$6)/(1+Ft!K$37*($A292-Ft!K$2)^2)+Ft!K$6*EXP(Ft!K$38*($A292-Ft!K$2)^2)),Ft!K$3*((1-Ft!K$7)/(1+Ft!K$39*($A292-Ft!K$2)^2)+Ft!K$7*EXP(Ft!K$40*($A292-Ft!K$2)^2)))</f>
        <v>0</v>
      </c>
      <c r="P292"/>
      <c r="Q292"/>
    </row>
    <row r="293" spans="1:17">
      <c r="A293">
        <v>582</v>
      </c>
      <c r="B293">
        <v>17.629621764283996</v>
      </c>
      <c r="C293" s="6">
        <f t="shared" si="9"/>
        <v>17.587004824308131</v>
      </c>
      <c r="D293" s="19">
        <f t="shared" si="10"/>
        <v>1.8162035729064727E-3</v>
      </c>
      <c r="E293" s="3">
        <f>Ft!$B$12+Ft!$B$14*(Data!A293-Vars!$B$3)</f>
        <v>0</v>
      </c>
      <c r="F293" s="3">
        <f>IF(($A293-Ft!B$2)&lt;0,Ft!B$3*((1-Ft!B$6)/(1+Ft!B$37*($A293-Ft!B$2)^2)+Ft!B$6*EXP(Ft!B$38*($A293-Ft!B$2)^2)),Ft!B$3*((1-Ft!B$7)/(1+Ft!B$39*($A293-Ft!B$2)^2)+Ft!B$7*EXP(Ft!B$40*($A293-Ft!B$2)^2)))</f>
        <v>3.0187300227712934E-158</v>
      </c>
      <c r="G293" s="3">
        <f>IF(($A293-Ft!C$2)&lt;0,Ft!C$3*((1-Ft!C$6)/(1+Ft!C$37*($A293-Ft!C$2)^2)+Ft!C$6*EXP(Ft!C$38*($A293-Ft!C$2)^2)),Ft!C$3*((1-Ft!C$7)/(1+Ft!C$39*($A293-Ft!C$2)^2)+Ft!C$7*EXP(Ft!C$40*($A293-Ft!C$2)^2)))</f>
        <v>1.0663007915045014E-6</v>
      </c>
      <c r="H293" s="3">
        <f>IF(($A293-Ft!D$2)&lt;0,Ft!D$3*((1-Ft!D$6)/(1+Ft!D$37*($A293-Ft!D$2)^2)+Ft!D$6*EXP(Ft!D$38*($A293-Ft!D$2)^2)),Ft!D$3*((1-Ft!D$7)/(1+Ft!D$39*($A293-Ft!D$2)^2)+Ft!D$7*EXP(Ft!D$40*($A293-Ft!D$2)^2)))</f>
        <v>13.962625140682244</v>
      </c>
      <c r="I293" s="3">
        <f>IF(($A293-Ft!E$2)&lt;0,Ft!E$3*((1-Ft!E$6)/(1+Ft!E$37*($A293-Ft!E$2)^2)+Ft!E$6*EXP(Ft!E$38*($A293-Ft!E$2)^2)),Ft!E$3*((1-Ft!E$7)/(1+Ft!E$39*($A293-Ft!E$2)^2)+Ft!E$7*EXP(Ft!E$40*($A293-Ft!E$2)^2)))</f>
        <v>3.6243786173250951</v>
      </c>
      <c r="J293" s="3">
        <f>IF(($A293-Ft!F$2)&lt;0,Ft!F$3*((1-Ft!F$6)/(1+Ft!F$37*($A293-Ft!F$2)^2)+Ft!F$6*EXP(Ft!F$38*($A293-Ft!F$2)^2)),Ft!F$3*((1-Ft!F$7)/(1+Ft!F$39*($A293-Ft!F$2)^2)+Ft!F$7*EXP(Ft!F$40*($A293-Ft!F$2)^2)))</f>
        <v>1.5378029836262842E-20</v>
      </c>
      <c r="K293" s="3">
        <f>IF(($A293-Ft!G$2)&lt;0,Ft!G$3*((1-Ft!G$6)/(1+Ft!G$37*($A293-Ft!G$2)^2)+Ft!G$6*EXP(Ft!G$38*($A293-Ft!G$2)^2)),Ft!G$3*((1-Ft!G$7)/(1+Ft!G$39*($A293-Ft!G$2)^2)+Ft!G$7*EXP(Ft!G$40*($A293-Ft!G$2)^2)))</f>
        <v>1.3884717611773048E-88</v>
      </c>
      <c r="L293" s="3">
        <f>IF(($A293-Ft!H$2)&lt;0,Ft!H$3*((1-Ft!H$6)/(1+Ft!H$37*($A293-Ft!H$2)^2)+Ft!H$6*EXP(Ft!H$38*($A293-Ft!H$2)^2)),Ft!H$3*((1-Ft!H$7)/(1+Ft!H$39*($A293-Ft!H$2)^2)+Ft!H$7*EXP(Ft!H$40*($A293-Ft!H$2)^2)))</f>
        <v>0</v>
      </c>
      <c r="M293" s="3">
        <f>IF(($A293-Ft!I$2)&lt;0,Ft!I$3*((1-Ft!I$6)/(1+Ft!I$37*($A293-Ft!I$2)^2)+Ft!I$6*EXP(Ft!I$38*($A293-Ft!I$2)^2)),Ft!I$3*((1-Ft!I$7)/(1+Ft!I$39*($A293-Ft!I$2)^2)+Ft!I$7*EXP(Ft!I$40*($A293-Ft!I$2)^2)))</f>
        <v>0</v>
      </c>
      <c r="N293" s="3">
        <f>IF(($A293-Ft!J$2)&lt;0,Ft!J$3*((1-Ft!J$6)/(1+Ft!J$37*($A293-Ft!J$2)^2)+Ft!J$6*EXP(Ft!J$38*($A293-Ft!J$2)^2)),Ft!J$3*((1-Ft!J$7)/(1+Ft!J$39*($A293-Ft!J$2)^2)+Ft!J$7*EXP(Ft!J$40*($A293-Ft!J$2)^2)))</f>
        <v>0</v>
      </c>
      <c r="O293" s="3">
        <f>IF(($A293-Ft!K$2)&lt;0,Ft!K$3*((1-Ft!K$6)/(1+Ft!K$37*($A293-Ft!K$2)^2)+Ft!K$6*EXP(Ft!K$38*($A293-Ft!K$2)^2)),Ft!K$3*((1-Ft!K$7)/(1+Ft!K$39*($A293-Ft!K$2)^2)+Ft!K$7*EXP(Ft!K$40*($A293-Ft!K$2)^2)))</f>
        <v>0</v>
      </c>
      <c r="P293"/>
      <c r="Q293"/>
    </row>
    <row r="294" spans="1:17">
      <c r="A294">
        <v>584</v>
      </c>
      <c r="B294">
        <v>17.582711319265997</v>
      </c>
      <c r="C294" s="6">
        <f t="shared" si="9"/>
        <v>17.547049060289364</v>
      </c>
      <c r="D294" s="19">
        <f t="shared" si="10"/>
        <v>1.2717967153164013E-3</v>
      </c>
      <c r="E294" s="3">
        <f>Ft!$B$12+Ft!$B$14*(Data!A294-Vars!$B$3)</f>
        <v>0</v>
      </c>
      <c r="F294" s="3">
        <f>IF(($A294-Ft!B$2)&lt;0,Ft!B$3*((1-Ft!B$6)/(1+Ft!B$37*($A294-Ft!B$2)^2)+Ft!B$6*EXP(Ft!B$38*($A294-Ft!B$2)^2)),Ft!B$3*((1-Ft!B$7)/(1+Ft!B$39*($A294-Ft!B$2)^2)+Ft!B$7*EXP(Ft!B$40*($A294-Ft!B$2)^2)))</f>
        <v>1.9934596324379452E-159</v>
      </c>
      <c r="G294" s="3">
        <f>IF(($A294-Ft!C$2)&lt;0,Ft!C$3*((1-Ft!C$6)/(1+Ft!C$37*($A294-Ft!C$2)^2)+Ft!C$6*EXP(Ft!C$38*($A294-Ft!C$2)^2)),Ft!C$3*((1-Ft!C$7)/(1+Ft!C$39*($A294-Ft!C$2)^2)+Ft!C$7*EXP(Ft!C$40*($A294-Ft!C$2)^2)))</f>
        <v>9.2301345376713072E-7</v>
      </c>
      <c r="H294" s="3">
        <f>IF(($A294-Ft!D$2)&lt;0,Ft!D$3*((1-Ft!D$6)/(1+Ft!D$37*($A294-Ft!D$2)^2)+Ft!D$6*EXP(Ft!D$38*($A294-Ft!D$2)^2)),Ft!D$3*((1-Ft!D$7)/(1+Ft!D$39*($A294-Ft!D$2)^2)+Ft!D$7*EXP(Ft!D$40*($A294-Ft!D$2)^2)))</f>
        <v>13.834226027834941</v>
      </c>
      <c r="I294" s="3">
        <f>IF(($A294-Ft!E$2)&lt;0,Ft!E$3*((1-Ft!E$6)/(1+Ft!E$37*($A294-Ft!E$2)^2)+Ft!E$6*EXP(Ft!E$38*($A294-Ft!E$2)^2)),Ft!E$3*((1-Ft!E$7)/(1+Ft!E$39*($A294-Ft!E$2)^2)+Ft!E$7*EXP(Ft!E$40*($A294-Ft!E$2)^2)))</f>
        <v>3.7128221094409688</v>
      </c>
      <c r="J294" s="3">
        <f>IF(($A294-Ft!F$2)&lt;0,Ft!F$3*((1-Ft!F$6)/(1+Ft!F$37*($A294-Ft!F$2)^2)+Ft!F$6*EXP(Ft!F$38*($A294-Ft!F$2)^2)),Ft!F$3*((1-Ft!F$7)/(1+Ft!F$39*($A294-Ft!F$2)^2)+Ft!F$7*EXP(Ft!F$40*($A294-Ft!F$2)^2)))</f>
        <v>2.4109379258630238E-20</v>
      </c>
      <c r="K294" s="3">
        <f>IF(($A294-Ft!G$2)&lt;0,Ft!G$3*((1-Ft!G$6)/(1+Ft!G$37*($A294-Ft!G$2)^2)+Ft!G$6*EXP(Ft!G$38*($A294-Ft!G$2)^2)),Ft!G$3*((1-Ft!G$7)/(1+Ft!G$39*($A294-Ft!G$2)^2)+Ft!G$7*EXP(Ft!G$40*($A294-Ft!G$2)^2)))</f>
        <v>8.0566498664802597E-88</v>
      </c>
      <c r="L294" s="3">
        <f>IF(($A294-Ft!H$2)&lt;0,Ft!H$3*((1-Ft!H$6)/(1+Ft!H$37*($A294-Ft!H$2)^2)+Ft!H$6*EXP(Ft!H$38*($A294-Ft!H$2)^2)),Ft!H$3*((1-Ft!H$7)/(1+Ft!H$39*($A294-Ft!H$2)^2)+Ft!H$7*EXP(Ft!H$40*($A294-Ft!H$2)^2)))</f>
        <v>0</v>
      </c>
      <c r="M294" s="3">
        <f>IF(($A294-Ft!I$2)&lt;0,Ft!I$3*((1-Ft!I$6)/(1+Ft!I$37*($A294-Ft!I$2)^2)+Ft!I$6*EXP(Ft!I$38*($A294-Ft!I$2)^2)),Ft!I$3*((1-Ft!I$7)/(1+Ft!I$39*($A294-Ft!I$2)^2)+Ft!I$7*EXP(Ft!I$40*($A294-Ft!I$2)^2)))</f>
        <v>0</v>
      </c>
      <c r="N294" s="3">
        <f>IF(($A294-Ft!J$2)&lt;0,Ft!J$3*((1-Ft!J$6)/(1+Ft!J$37*($A294-Ft!J$2)^2)+Ft!J$6*EXP(Ft!J$38*($A294-Ft!J$2)^2)),Ft!J$3*((1-Ft!J$7)/(1+Ft!J$39*($A294-Ft!J$2)^2)+Ft!J$7*EXP(Ft!J$40*($A294-Ft!J$2)^2)))</f>
        <v>0</v>
      </c>
      <c r="O294" s="3">
        <f>IF(($A294-Ft!K$2)&lt;0,Ft!K$3*((1-Ft!K$6)/(1+Ft!K$37*($A294-Ft!K$2)^2)+Ft!K$6*EXP(Ft!K$38*($A294-Ft!K$2)^2)),Ft!K$3*((1-Ft!K$7)/(1+Ft!K$39*($A294-Ft!K$2)^2)+Ft!K$7*EXP(Ft!K$40*($A294-Ft!K$2)^2)))</f>
        <v>0</v>
      </c>
      <c r="P294"/>
      <c r="Q294"/>
    </row>
    <row r="295" spans="1:17">
      <c r="A295">
        <v>586</v>
      </c>
      <c r="B295">
        <v>17.53597250176</v>
      </c>
      <c r="C295" s="6">
        <f t="shared" si="9"/>
        <v>17.507696111073546</v>
      </c>
      <c r="D295" s="19">
        <f t="shared" si="10"/>
        <v>7.9955427025297252E-4</v>
      </c>
      <c r="E295" s="3">
        <f>Ft!$B$12+Ft!$B$14*(Data!A295-Vars!$B$3)</f>
        <v>0</v>
      </c>
      <c r="F295" s="3">
        <f>IF(($A295-Ft!B$2)&lt;0,Ft!B$3*((1-Ft!B$6)/(1+Ft!B$37*($A295-Ft!B$2)^2)+Ft!B$6*EXP(Ft!B$38*($A295-Ft!B$2)^2)),Ft!B$3*((1-Ft!B$7)/(1+Ft!B$39*($A295-Ft!B$2)^2)+Ft!B$7*EXP(Ft!B$40*($A295-Ft!B$2)^2)))</f>
        <v>1.3031658726283929E-160</v>
      </c>
      <c r="G295" s="3">
        <f>IF(($A295-Ft!C$2)&lt;0,Ft!C$3*((1-Ft!C$6)/(1+Ft!C$37*($A295-Ft!C$2)^2)+Ft!C$6*EXP(Ft!C$38*($A295-Ft!C$2)^2)),Ft!C$3*((1-Ft!C$7)/(1+Ft!C$39*($A295-Ft!C$2)^2)+Ft!C$7*EXP(Ft!C$40*($A295-Ft!C$2)^2)))</f>
        <v>7.9846202027930079E-7</v>
      </c>
      <c r="H295" s="3">
        <f>IF(($A295-Ft!D$2)&lt;0,Ft!D$3*((1-Ft!D$6)/(1+Ft!D$37*($A295-Ft!D$2)^2)+Ft!D$6*EXP(Ft!D$38*($A295-Ft!D$2)^2)),Ft!D$3*((1-Ft!D$7)/(1+Ft!D$39*($A295-Ft!D$2)^2)+Ft!D$7*EXP(Ft!D$40*($A295-Ft!D$2)^2)))</f>
        <v>13.705037251691486</v>
      </c>
      <c r="I295" s="3">
        <f>IF(($A295-Ft!E$2)&lt;0,Ft!E$3*((1-Ft!E$6)/(1+Ft!E$37*($A295-Ft!E$2)^2)+Ft!E$6*EXP(Ft!E$38*($A295-Ft!E$2)^2)),Ft!E$3*((1-Ft!E$7)/(1+Ft!E$39*($A295-Ft!E$2)^2)+Ft!E$7*EXP(Ft!E$40*($A295-Ft!E$2)^2)))</f>
        <v>3.8026580609200407</v>
      </c>
      <c r="J295" s="3">
        <f>IF(($A295-Ft!F$2)&lt;0,Ft!F$3*((1-Ft!F$6)/(1+Ft!F$37*($A295-Ft!F$2)^2)+Ft!F$6*EXP(Ft!F$38*($A295-Ft!F$2)^2)),Ft!F$3*((1-Ft!F$7)/(1+Ft!F$39*($A295-Ft!F$2)^2)+Ft!F$7*EXP(Ft!F$40*($A295-Ft!F$2)^2)))</f>
        <v>3.7716955776121488E-20</v>
      </c>
      <c r="K295" s="3">
        <f>IF(($A295-Ft!G$2)&lt;0,Ft!G$3*((1-Ft!G$6)/(1+Ft!G$37*($A295-Ft!G$2)^2)+Ft!G$6*EXP(Ft!G$38*($A295-Ft!G$2)^2)),Ft!G$3*((1-Ft!G$7)/(1+Ft!G$39*($A295-Ft!G$2)^2)+Ft!G$7*EXP(Ft!G$40*($A295-Ft!G$2)^2)))</f>
        <v>4.6394752347389852E-87</v>
      </c>
      <c r="L295" s="3">
        <f>IF(($A295-Ft!H$2)&lt;0,Ft!H$3*((1-Ft!H$6)/(1+Ft!H$37*($A295-Ft!H$2)^2)+Ft!H$6*EXP(Ft!H$38*($A295-Ft!H$2)^2)),Ft!H$3*((1-Ft!H$7)/(1+Ft!H$39*($A295-Ft!H$2)^2)+Ft!H$7*EXP(Ft!H$40*($A295-Ft!H$2)^2)))</f>
        <v>0</v>
      </c>
      <c r="M295" s="3">
        <f>IF(($A295-Ft!I$2)&lt;0,Ft!I$3*((1-Ft!I$6)/(1+Ft!I$37*($A295-Ft!I$2)^2)+Ft!I$6*EXP(Ft!I$38*($A295-Ft!I$2)^2)),Ft!I$3*((1-Ft!I$7)/(1+Ft!I$39*($A295-Ft!I$2)^2)+Ft!I$7*EXP(Ft!I$40*($A295-Ft!I$2)^2)))</f>
        <v>0</v>
      </c>
      <c r="N295" s="3">
        <f>IF(($A295-Ft!J$2)&lt;0,Ft!J$3*((1-Ft!J$6)/(1+Ft!J$37*($A295-Ft!J$2)^2)+Ft!J$6*EXP(Ft!J$38*($A295-Ft!J$2)^2)),Ft!J$3*((1-Ft!J$7)/(1+Ft!J$39*($A295-Ft!J$2)^2)+Ft!J$7*EXP(Ft!J$40*($A295-Ft!J$2)^2)))</f>
        <v>0</v>
      </c>
      <c r="O295" s="3">
        <f>IF(($A295-Ft!K$2)&lt;0,Ft!K$3*((1-Ft!K$6)/(1+Ft!K$37*($A295-Ft!K$2)^2)+Ft!K$6*EXP(Ft!K$38*($A295-Ft!K$2)^2)),Ft!K$3*((1-Ft!K$7)/(1+Ft!K$39*($A295-Ft!K$2)^2)+Ft!K$7*EXP(Ft!K$40*($A295-Ft!K$2)^2)))</f>
        <v>0</v>
      </c>
      <c r="P295"/>
      <c r="Q295"/>
    </row>
    <row r="296" spans="1:17">
      <c r="A296">
        <v>588</v>
      </c>
      <c r="B296">
        <v>17.489223744444999</v>
      </c>
      <c r="C296" s="6">
        <f t="shared" si="9"/>
        <v>17.468987397059095</v>
      </c>
      <c r="D296" s="19">
        <f t="shared" si="10"/>
        <v>4.0950975552297319E-4</v>
      </c>
      <c r="E296" s="3">
        <f>Ft!$B$12+Ft!$B$14*(Data!A296-Vars!$B$3)</f>
        <v>0</v>
      </c>
      <c r="F296" s="3">
        <f>IF(($A296-Ft!B$2)&lt;0,Ft!B$3*((1-Ft!B$6)/(1+Ft!B$37*($A296-Ft!B$2)^2)+Ft!B$6*EXP(Ft!B$38*($A296-Ft!B$2)^2)),Ft!B$3*((1-Ft!B$7)/(1+Ft!B$39*($A296-Ft!B$2)^2)+Ft!B$7*EXP(Ft!B$40*($A296-Ft!B$2)^2)))</f>
        <v>8.4333676088554434E-162</v>
      </c>
      <c r="G296" s="3">
        <f>IF(($A296-Ft!C$2)&lt;0,Ft!C$3*((1-Ft!C$6)/(1+Ft!C$37*($A296-Ft!C$2)^2)+Ft!C$6*EXP(Ft!C$38*($A296-Ft!C$2)^2)),Ft!C$3*((1-Ft!C$7)/(1+Ft!C$39*($A296-Ft!C$2)^2)+Ft!C$7*EXP(Ft!C$40*($A296-Ft!C$2)^2)))</f>
        <v>6.9026909188849149E-7</v>
      </c>
      <c r="H296" s="3">
        <f>IF(($A296-Ft!D$2)&lt;0,Ft!D$3*((1-Ft!D$6)/(1+Ft!D$37*($A296-Ft!D$2)^2)+Ft!D$6*EXP(Ft!D$38*($A296-Ft!D$2)^2)),Ft!D$3*((1-Ft!D$7)/(1+Ft!D$39*($A296-Ft!D$2)^2)+Ft!D$7*EXP(Ft!D$40*($A296-Ft!D$2)^2)))</f>
        <v>13.575103155282262</v>
      </c>
      <c r="I296" s="3">
        <f>IF(($A296-Ft!E$2)&lt;0,Ft!E$3*((1-Ft!E$6)/(1+Ft!E$37*($A296-Ft!E$2)^2)+Ft!E$6*EXP(Ft!E$38*($A296-Ft!E$2)^2)),Ft!E$3*((1-Ft!E$7)/(1+Ft!E$39*($A296-Ft!E$2)^2)+Ft!E$7*EXP(Ft!E$40*($A296-Ft!E$2)^2)))</f>
        <v>3.8938835515077432</v>
      </c>
      <c r="J296" s="3">
        <f>IF(($A296-Ft!F$2)&lt;0,Ft!F$3*((1-Ft!F$6)/(1+Ft!F$37*($A296-Ft!F$2)^2)+Ft!F$6*EXP(Ft!F$38*($A296-Ft!F$2)^2)),Ft!F$3*((1-Ft!F$7)/(1+Ft!F$39*($A296-Ft!F$2)^2)+Ft!F$7*EXP(Ft!F$40*($A296-Ft!F$2)^2)))</f>
        <v>5.8877926959546918E-20</v>
      </c>
      <c r="K296" s="3">
        <f>IF(($A296-Ft!G$2)&lt;0,Ft!G$3*((1-Ft!G$6)/(1+Ft!G$37*($A296-Ft!G$2)^2)+Ft!G$6*EXP(Ft!G$38*($A296-Ft!G$2)^2)),Ft!G$3*((1-Ft!G$7)/(1+Ft!G$39*($A296-Ft!G$2)^2)+Ft!G$7*EXP(Ft!G$40*($A296-Ft!G$2)^2)))</f>
        <v>2.651429986941539E-86</v>
      </c>
      <c r="L296" s="3">
        <f>IF(($A296-Ft!H$2)&lt;0,Ft!H$3*((1-Ft!H$6)/(1+Ft!H$37*($A296-Ft!H$2)^2)+Ft!H$6*EXP(Ft!H$38*($A296-Ft!H$2)^2)),Ft!H$3*((1-Ft!H$7)/(1+Ft!H$39*($A296-Ft!H$2)^2)+Ft!H$7*EXP(Ft!H$40*($A296-Ft!H$2)^2)))</f>
        <v>0</v>
      </c>
      <c r="M296" s="3">
        <f>IF(($A296-Ft!I$2)&lt;0,Ft!I$3*((1-Ft!I$6)/(1+Ft!I$37*($A296-Ft!I$2)^2)+Ft!I$6*EXP(Ft!I$38*($A296-Ft!I$2)^2)),Ft!I$3*((1-Ft!I$7)/(1+Ft!I$39*($A296-Ft!I$2)^2)+Ft!I$7*EXP(Ft!I$40*($A296-Ft!I$2)^2)))</f>
        <v>0</v>
      </c>
      <c r="N296" s="3">
        <f>IF(($A296-Ft!J$2)&lt;0,Ft!J$3*((1-Ft!J$6)/(1+Ft!J$37*($A296-Ft!J$2)^2)+Ft!J$6*EXP(Ft!J$38*($A296-Ft!J$2)^2)),Ft!J$3*((1-Ft!J$7)/(1+Ft!J$39*($A296-Ft!J$2)^2)+Ft!J$7*EXP(Ft!J$40*($A296-Ft!J$2)^2)))</f>
        <v>0</v>
      </c>
      <c r="O296" s="3">
        <f>IF(($A296-Ft!K$2)&lt;0,Ft!K$3*((1-Ft!K$6)/(1+Ft!K$37*($A296-Ft!K$2)^2)+Ft!K$6*EXP(Ft!K$38*($A296-Ft!K$2)^2)),Ft!K$3*((1-Ft!K$7)/(1+Ft!K$39*($A296-Ft!K$2)^2)+Ft!K$7*EXP(Ft!K$40*($A296-Ft!K$2)^2)))</f>
        <v>0</v>
      </c>
      <c r="P296"/>
      <c r="Q296"/>
    </row>
    <row r="297" spans="1:17">
      <c r="A297">
        <v>590</v>
      </c>
      <c r="B297">
        <v>17.442283479997002</v>
      </c>
      <c r="C297" s="6">
        <f t="shared" si="9"/>
        <v>17.430963321898414</v>
      </c>
      <c r="D297" s="19">
        <f t="shared" si="10"/>
        <v>1.2814597937702739E-4</v>
      </c>
      <c r="E297" s="3">
        <f>Ft!$B$12+Ft!$B$14*(Data!A297-Vars!$B$3)</f>
        <v>0</v>
      </c>
      <c r="F297" s="3">
        <f>IF(($A297-Ft!B$2)&lt;0,Ft!B$3*((1-Ft!B$6)/(1+Ft!B$37*($A297-Ft!B$2)^2)+Ft!B$6*EXP(Ft!B$38*($A297-Ft!B$2)^2)),Ft!B$3*((1-Ft!B$7)/(1+Ft!B$39*($A297-Ft!B$2)^2)+Ft!B$7*EXP(Ft!B$40*($A297-Ft!B$2)^2)))</f>
        <v>5.4027073784067843E-163</v>
      </c>
      <c r="G297" s="3">
        <f>IF(($A297-Ft!C$2)&lt;0,Ft!C$3*((1-Ft!C$6)/(1+Ft!C$37*($A297-Ft!C$2)^2)+Ft!C$6*EXP(Ft!C$38*($A297-Ft!C$2)^2)),Ft!C$3*((1-Ft!C$7)/(1+Ft!C$39*($A297-Ft!C$2)^2)+Ft!C$7*EXP(Ft!C$40*($A297-Ft!C$2)^2)))</f>
        <v>5.9634903919631378E-7</v>
      </c>
      <c r="H297" s="3">
        <f>IF(($A297-Ft!D$2)&lt;0,Ft!D$3*((1-Ft!D$6)/(1+Ft!D$37*($A297-Ft!D$2)^2)+Ft!D$6*EXP(Ft!D$38*($A297-Ft!D$2)^2)),Ft!D$3*((1-Ft!D$7)/(1+Ft!D$39*($A297-Ft!D$2)^2)+Ft!D$7*EXP(Ft!D$40*($A297-Ft!D$2)^2)))</f>
        <v>13.444467984310096</v>
      </c>
      <c r="I297" s="3">
        <f>IF(($A297-Ft!E$2)&lt;0,Ft!E$3*((1-Ft!E$6)/(1+Ft!E$37*($A297-Ft!E$2)^2)+Ft!E$6*EXP(Ft!E$38*($A297-Ft!E$2)^2)),Ft!E$3*((1-Ft!E$7)/(1+Ft!E$39*($A297-Ft!E$2)^2)+Ft!E$7*EXP(Ft!E$40*($A297-Ft!E$2)^2)))</f>
        <v>3.9864947412392771</v>
      </c>
      <c r="J297" s="3">
        <f>IF(($A297-Ft!F$2)&lt;0,Ft!F$3*((1-Ft!F$6)/(1+Ft!F$37*($A297-Ft!F$2)^2)+Ft!F$6*EXP(Ft!F$38*($A297-Ft!F$2)^2)),Ft!F$3*((1-Ft!F$7)/(1+Ft!F$39*($A297-Ft!F$2)^2)+Ft!F$7*EXP(Ft!F$40*($A297-Ft!F$2)^2)))</f>
        <v>9.171358343384998E-20</v>
      </c>
      <c r="K297" s="3">
        <f>IF(($A297-Ft!G$2)&lt;0,Ft!G$3*((1-Ft!G$6)/(1+Ft!G$37*($A297-Ft!G$2)^2)+Ft!G$6*EXP(Ft!G$38*($A297-Ft!G$2)^2)),Ft!G$3*((1-Ft!G$7)/(1+Ft!G$39*($A297-Ft!G$2)^2)+Ft!G$7*EXP(Ft!G$40*($A297-Ft!G$2)^2)))</f>
        <v>1.5037941768462754E-85</v>
      </c>
      <c r="L297" s="3">
        <f>IF(($A297-Ft!H$2)&lt;0,Ft!H$3*((1-Ft!H$6)/(1+Ft!H$37*($A297-Ft!H$2)^2)+Ft!H$6*EXP(Ft!H$38*($A297-Ft!H$2)^2)),Ft!H$3*((1-Ft!H$7)/(1+Ft!H$39*($A297-Ft!H$2)^2)+Ft!H$7*EXP(Ft!H$40*($A297-Ft!H$2)^2)))</f>
        <v>0</v>
      </c>
      <c r="M297" s="3">
        <f>IF(($A297-Ft!I$2)&lt;0,Ft!I$3*((1-Ft!I$6)/(1+Ft!I$37*($A297-Ft!I$2)^2)+Ft!I$6*EXP(Ft!I$38*($A297-Ft!I$2)^2)),Ft!I$3*((1-Ft!I$7)/(1+Ft!I$39*($A297-Ft!I$2)^2)+Ft!I$7*EXP(Ft!I$40*($A297-Ft!I$2)^2)))</f>
        <v>0</v>
      </c>
      <c r="N297" s="3">
        <f>IF(($A297-Ft!J$2)&lt;0,Ft!J$3*((1-Ft!J$6)/(1+Ft!J$37*($A297-Ft!J$2)^2)+Ft!J$6*EXP(Ft!J$38*($A297-Ft!J$2)^2)),Ft!J$3*((1-Ft!J$7)/(1+Ft!J$39*($A297-Ft!J$2)^2)+Ft!J$7*EXP(Ft!J$40*($A297-Ft!J$2)^2)))</f>
        <v>0</v>
      </c>
      <c r="O297" s="3">
        <f>IF(($A297-Ft!K$2)&lt;0,Ft!K$3*((1-Ft!K$6)/(1+Ft!K$37*($A297-Ft!K$2)^2)+Ft!K$6*EXP(Ft!K$38*($A297-Ft!K$2)^2)),Ft!K$3*((1-Ft!K$7)/(1+Ft!K$39*($A297-Ft!K$2)^2)+Ft!K$7*EXP(Ft!K$40*($A297-Ft!K$2)^2)))</f>
        <v>0</v>
      </c>
      <c r="P297"/>
      <c r="Q297"/>
    </row>
    <row r="298" spans="1:17">
      <c r="A298">
        <v>592</v>
      </c>
      <c r="B298">
        <v>17.39367167748</v>
      </c>
      <c r="C298" s="6">
        <f t="shared" si="9"/>
        <v>17.393663229133161</v>
      </c>
      <c r="D298" s="19">
        <f t="shared" si="10"/>
        <v>7.1374564326984386E-11</v>
      </c>
      <c r="E298" s="3">
        <f>Ft!$B$12+Ft!$B$14*(Data!A298-Vars!$B$3)</f>
        <v>0</v>
      </c>
      <c r="F298" s="3">
        <f>IF(($A298-Ft!B$2)&lt;0,Ft!B$3*((1-Ft!B$6)/(1+Ft!B$37*($A298-Ft!B$2)^2)+Ft!B$6*EXP(Ft!B$38*($A298-Ft!B$2)^2)),Ft!B$3*((1-Ft!B$7)/(1+Ft!B$39*($A298-Ft!B$2)^2)+Ft!B$7*EXP(Ft!B$40*($A298-Ft!B$2)^2)))</f>
        <v>3.4263438250748644E-164</v>
      </c>
      <c r="G298" s="3">
        <f>IF(($A298-Ft!C$2)&lt;0,Ft!C$3*((1-Ft!C$6)/(1+Ft!C$37*($A298-Ft!C$2)^2)+Ft!C$6*EXP(Ft!C$38*($A298-Ft!C$2)^2)),Ft!C$3*((1-Ft!C$7)/(1+Ft!C$39*($A298-Ft!C$2)^2)+Ft!C$7*EXP(Ft!C$40*($A298-Ft!C$2)^2)))</f>
        <v>5.1487351518163457E-7</v>
      </c>
      <c r="H298" s="3">
        <f>IF(($A298-Ft!D$2)&lt;0,Ft!D$3*((1-Ft!D$6)/(1+Ft!D$37*($A298-Ft!D$2)^2)+Ft!D$6*EXP(Ft!D$38*($A298-Ft!D$2)^2)),Ft!D$3*((1-Ft!D$7)/(1+Ft!D$39*($A298-Ft!D$2)^2)+Ft!D$7*EXP(Ft!D$40*($A298-Ft!D$2)^2)))</f>
        <v>13.313175862753001</v>
      </c>
      <c r="I298" s="3">
        <f>IF(($A298-Ft!E$2)&lt;0,Ft!E$3*((1-Ft!E$6)/(1+Ft!E$37*($A298-Ft!E$2)^2)+Ft!E$6*EXP(Ft!E$38*($A298-Ft!E$2)^2)),Ft!E$3*((1-Ft!E$7)/(1+Ft!E$39*($A298-Ft!E$2)^2)+Ft!E$7*EXP(Ft!E$40*($A298-Ft!E$2)^2)))</f>
        <v>4.0804868515066461</v>
      </c>
      <c r="J298" s="3">
        <f>IF(($A298-Ft!F$2)&lt;0,Ft!F$3*((1-Ft!F$6)/(1+Ft!F$37*($A298-Ft!F$2)^2)+Ft!F$6*EXP(Ft!F$38*($A298-Ft!F$2)^2)),Ft!F$3*((1-Ft!F$7)/(1+Ft!F$39*($A298-Ft!F$2)^2)+Ft!F$7*EXP(Ft!F$40*($A298-Ft!F$2)^2)))</f>
        <v>1.4255422347815426E-19</v>
      </c>
      <c r="K298" s="3">
        <f>IF(($A298-Ft!G$2)&lt;0,Ft!G$3*((1-Ft!G$6)/(1+Ft!G$37*($A298-Ft!G$2)^2)+Ft!G$6*EXP(Ft!G$38*($A298-Ft!G$2)^2)),Ft!G$3*((1-Ft!G$7)/(1+Ft!G$39*($A298-Ft!G$2)^2)+Ft!G$7*EXP(Ft!G$40*($A298-Ft!G$2)^2)))</f>
        <v>8.4643490814494131E-85</v>
      </c>
      <c r="L298" s="3">
        <f>IF(($A298-Ft!H$2)&lt;0,Ft!H$3*((1-Ft!H$6)/(1+Ft!H$37*($A298-Ft!H$2)^2)+Ft!H$6*EXP(Ft!H$38*($A298-Ft!H$2)^2)),Ft!H$3*((1-Ft!H$7)/(1+Ft!H$39*($A298-Ft!H$2)^2)+Ft!H$7*EXP(Ft!H$40*($A298-Ft!H$2)^2)))</f>
        <v>0</v>
      </c>
      <c r="M298" s="3">
        <f>IF(($A298-Ft!I$2)&lt;0,Ft!I$3*((1-Ft!I$6)/(1+Ft!I$37*($A298-Ft!I$2)^2)+Ft!I$6*EXP(Ft!I$38*($A298-Ft!I$2)^2)),Ft!I$3*((1-Ft!I$7)/(1+Ft!I$39*($A298-Ft!I$2)^2)+Ft!I$7*EXP(Ft!I$40*($A298-Ft!I$2)^2)))</f>
        <v>0</v>
      </c>
      <c r="N298" s="3">
        <f>IF(($A298-Ft!J$2)&lt;0,Ft!J$3*((1-Ft!J$6)/(1+Ft!J$37*($A298-Ft!J$2)^2)+Ft!J$6*EXP(Ft!J$38*($A298-Ft!J$2)^2)),Ft!J$3*((1-Ft!J$7)/(1+Ft!J$39*($A298-Ft!J$2)^2)+Ft!J$7*EXP(Ft!J$40*($A298-Ft!J$2)^2)))</f>
        <v>0</v>
      </c>
      <c r="O298" s="3">
        <f>IF(($A298-Ft!K$2)&lt;0,Ft!K$3*((1-Ft!K$6)/(1+Ft!K$37*($A298-Ft!K$2)^2)+Ft!K$6*EXP(Ft!K$38*($A298-Ft!K$2)^2)),Ft!K$3*((1-Ft!K$7)/(1+Ft!K$39*($A298-Ft!K$2)^2)+Ft!K$7*EXP(Ft!K$40*($A298-Ft!K$2)^2)))</f>
        <v>0</v>
      </c>
      <c r="P298"/>
      <c r="Q298"/>
    </row>
    <row r="299" spans="1:17">
      <c r="A299">
        <v>594</v>
      </c>
      <c r="B299">
        <v>17.342638899621988</v>
      </c>
      <c r="C299" s="6">
        <f t="shared" si="9"/>
        <v>17.357125359657445</v>
      </c>
      <c r="D299" s="19">
        <f t="shared" si="10"/>
        <v>2.0985752435888171E-4</v>
      </c>
      <c r="E299" s="3">
        <f>Ft!$B$12+Ft!$B$14*(Data!A299-Vars!$B$3)</f>
        <v>0</v>
      </c>
      <c r="F299" s="3">
        <f>IF(($A299-Ft!B$2)&lt;0,Ft!B$3*((1-Ft!B$6)/(1+Ft!B$37*($A299-Ft!B$2)^2)+Ft!B$6*EXP(Ft!B$38*($A299-Ft!B$2)^2)),Ft!B$3*((1-Ft!B$7)/(1+Ft!B$39*($A299-Ft!B$2)^2)+Ft!B$7*EXP(Ft!B$40*($A299-Ft!B$2)^2)))</f>
        <v>2.1510946364192175E-165</v>
      </c>
      <c r="G299" s="3">
        <f>IF(($A299-Ft!C$2)&lt;0,Ft!C$3*((1-Ft!C$6)/(1+Ft!C$37*($A299-Ft!C$2)^2)+Ft!C$6*EXP(Ft!C$38*($A299-Ft!C$2)^2)),Ft!C$3*((1-Ft!C$7)/(1+Ft!C$39*($A299-Ft!C$2)^2)+Ft!C$7*EXP(Ft!C$40*($A299-Ft!C$2)^2)))</f>
        <v>4.4424087246916011E-7</v>
      </c>
      <c r="H299" s="3">
        <f>IF(($A299-Ft!D$2)&lt;0,Ft!D$3*((1-Ft!D$6)/(1+Ft!D$37*($A299-Ft!D$2)^2)+Ft!D$6*EXP(Ft!D$38*($A299-Ft!D$2)^2)),Ft!D$3*((1-Ft!D$7)/(1+Ft!D$39*($A299-Ft!D$2)^2)+Ft!D$7*EXP(Ft!D$40*($A299-Ft!D$2)^2)))</f>
        <v>13.181270768787028</v>
      </c>
      <c r="I299" s="3">
        <f>IF(($A299-Ft!E$2)&lt;0,Ft!E$3*((1-Ft!E$6)/(1+Ft!E$37*($A299-Ft!E$2)^2)+Ft!E$6*EXP(Ft!E$38*($A299-Ft!E$2)^2)),Ft!E$3*((1-Ft!E$7)/(1+Ft!E$39*($A299-Ft!E$2)^2)+Ft!E$7*EXP(Ft!E$40*($A299-Ft!E$2)^2)))</f>
        <v>4.1758541466295451</v>
      </c>
      <c r="J299" s="3">
        <f>IF(($A299-Ft!F$2)&lt;0,Ft!F$3*((1-Ft!F$6)/(1+Ft!F$37*($A299-Ft!F$2)^2)+Ft!F$6*EXP(Ft!F$38*($A299-Ft!F$2)^2)),Ft!F$3*((1-Ft!F$7)/(1+Ft!F$39*($A299-Ft!F$2)^2)+Ft!F$7*EXP(Ft!F$40*($A299-Ft!F$2)^2)))</f>
        <v>2.2110155100529289E-19</v>
      </c>
      <c r="K299" s="3">
        <f>IF(($A299-Ft!G$2)&lt;0,Ft!G$3*((1-Ft!G$6)/(1+Ft!G$37*($A299-Ft!G$2)^2)+Ft!G$6*EXP(Ft!G$38*($A299-Ft!G$2)^2)),Ft!G$3*((1-Ft!G$7)/(1+Ft!G$39*($A299-Ft!G$2)^2)+Ft!G$7*EXP(Ft!G$40*($A299-Ft!G$2)^2)))</f>
        <v>4.7281981127286542E-84</v>
      </c>
      <c r="L299" s="3">
        <f>IF(($A299-Ft!H$2)&lt;0,Ft!H$3*((1-Ft!H$6)/(1+Ft!H$37*($A299-Ft!H$2)^2)+Ft!H$6*EXP(Ft!H$38*($A299-Ft!H$2)^2)),Ft!H$3*((1-Ft!H$7)/(1+Ft!H$39*($A299-Ft!H$2)^2)+Ft!H$7*EXP(Ft!H$40*($A299-Ft!H$2)^2)))</f>
        <v>0</v>
      </c>
      <c r="M299" s="3">
        <f>IF(($A299-Ft!I$2)&lt;0,Ft!I$3*((1-Ft!I$6)/(1+Ft!I$37*($A299-Ft!I$2)^2)+Ft!I$6*EXP(Ft!I$38*($A299-Ft!I$2)^2)),Ft!I$3*((1-Ft!I$7)/(1+Ft!I$39*($A299-Ft!I$2)^2)+Ft!I$7*EXP(Ft!I$40*($A299-Ft!I$2)^2)))</f>
        <v>0</v>
      </c>
      <c r="N299" s="3">
        <f>IF(($A299-Ft!J$2)&lt;0,Ft!J$3*((1-Ft!J$6)/(1+Ft!J$37*($A299-Ft!J$2)^2)+Ft!J$6*EXP(Ft!J$38*($A299-Ft!J$2)^2)),Ft!J$3*((1-Ft!J$7)/(1+Ft!J$39*($A299-Ft!J$2)^2)+Ft!J$7*EXP(Ft!J$40*($A299-Ft!J$2)^2)))</f>
        <v>0</v>
      </c>
      <c r="O299" s="3">
        <f>IF(($A299-Ft!K$2)&lt;0,Ft!K$3*((1-Ft!K$6)/(1+Ft!K$37*($A299-Ft!K$2)^2)+Ft!K$6*EXP(Ft!K$38*($A299-Ft!K$2)^2)),Ft!K$3*((1-Ft!K$7)/(1+Ft!K$39*($A299-Ft!K$2)^2)+Ft!K$7*EXP(Ft!K$40*($A299-Ft!K$2)^2)))</f>
        <v>0</v>
      </c>
      <c r="P299"/>
      <c r="Q299"/>
    </row>
    <row r="300" spans="1:17">
      <c r="A300">
        <v>596</v>
      </c>
      <c r="B300">
        <v>17.290099469596996</v>
      </c>
      <c r="C300" s="6">
        <f t="shared" si="9"/>
        <v>17.321386810060496</v>
      </c>
      <c r="D300" s="19">
        <f t="shared" si="10"/>
        <v>9.7889767327895825E-4</v>
      </c>
      <c r="E300" s="3">
        <f>Ft!$B$12+Ft!$B$14*(Data!A300-Vars!$B$3)</f>
        <v>0</v>
      </c>
      <c r="F300" s="3">
        <f>IF(($A300-Ft!B$2)&lt;0,Ft!B$3*((1-Ft!B$6)/(1+Ft!B$37*($A300-Ft!B$2)^2)+Ft!B$6*EXP(Ft!B$38*($A300-Ft!B$2)^2)),Ft!B$3*((1-Ft!B$7)/(1+Ft!B$39*($A300-Ft!B$2)^2)+Ft!B$7*EXP(Ft!B$40*($A300-Ft!B$2)^2)))</f>
        <v>1.3368946167541959E-166</v>
      </c>
      <c r="G300" s="3">
        <f>IF(($A300-Ft!C$2)&lt;0,Ft!C$3*((1-Ft!C$6)/(1+Ft!C$37*($A300-Ft!C$2)^2)+Ft!C$6*EXP(Ft!C$38*($A300-Ft!C$2)^2)),Ft!C$3*((1-Ft!C$7)/(1+Ft!C$39*($A300-Ft!C$2)^2)+Ft!C$7*EXP(Ft!C$40*($A300-Ft!C$2)^2)))</f>
        <v>3.8304906492335652E-7</v>
      </c>
      <c r="H300" s="3">
        <f>IF(($A300-Ft!D$2)&lt;0,Ft!D$3*((1-Ft!D$6)/(1+Ft!D$37*($A300-Ft!D$2)^2)+Ft!D$6*EXP(Ft!D$38*($A300-Ft!D$2)^2)),Ft!D$3*((1-Ft!D$7)/(1+Ft!D$39*($A300-Ft!D$2)^2)+Ft!D$7*EXP(Ft!D$40*($A300-Ft!D$2)^2)))</f>
        <v>13.04879651104679</v>
      </c>
      <c r="I300" s="3">
        <f>IF(($A300-Ft!E$2)&lt;0,Ft!E$3*((1-Ft!E$6)/(1+Ft!E$37*($A300-Ft!E$2)^2)+Ft!E$6*EXP(Ft!E$38*($A300-Ft!E$2)^2)),Ft!E$3*((1-Ft!E$7)/(1+Ft!E$39*($A300-Ft!E$2)^2)+Ft!E$7*EXP(Ft!E$40*($A300-Ft!E$2)^2)))</f>
        <v>4.272589915964641</v>
      </c>
      <c r="J300" s="3">
        <f>IF(($A300-Ft!F$2)&lt;0,Ft!F$3*((1-Ft!F$6)/(1+Ft!F$37*($A300-Ft!F$2)^2)+Ft!F$6*EXP(Ft!F$38*($A300-Ft!F$2)^2)),Ft!F$3*((1-Ft!F$7)/(1+Ft!F$39*($A300-Ft!F$2)^2)+Ft!F$7*EXP(Ft!F$40*($A300-Ft!F$2)^2)))</f>
        <v>3.4219114238630301E-19</v>
      </c>
      <c r="K300" s="3">
        <f>IF(($A300-Ft!G$2)&lt;0,Ft!G$3*((1-Ft!G$6)/(1+Ft!G$37*($A300-Ft!G$2)^2)+Ft!G$6*EXP(Ft!G$38*($A300-Ft!G$2)^2)),Ft!G$3*((1-Ft!G$7)/(1+Ft!G$39*($A300-Ft!G$2)^2)+Ft!G$7*EXP(Ft!G$40*($A300-Ft!G$2)^2)))</f>
        <v>2.6211670311541991E-83</v>
      </c>
      <c r="L300" s="3">
        <f>IF(($A300-Ft!H$2)&lt;0,Ft!H$3*((1-Ft!H$6)/(1+Ft!H$37*($A300-Ft!H$2)^2)+Ft!H$6*EXP(Ft!H$38*($A300-Ft!H$2)^2)),Ft!H$3*((1-Ft!H$7)/(1+Ft!H$39*($A300-Ft!H$2)^2)+Ft!H$7*EXP(Ft!H$40*($A300-Ft!H$2)^2)))</f>
        <v>0</v>
      </c>
      <c r="M300" s="3">
        <f>IF(($A300-Ft!I$2)&lt;0,Ft!I$3*((1-Ft!I$6)/(1+Ft!I$37*($A300-Ft!I$2)^2)+Ft!I$6*EXP(Ft!I$38*($A300-Ft!I$2)^2)),Ft!I$3*((1-Ft!I$7)/(1+Ft!I$39*($A300-Ft!I$2)^2)+Ft!I$7*EXP(Ft!I$40*($A300-Ft!I$2)^2)))</f>
        <v>0</v>
      </c>
      <c r="N300" s="3">
        <f>IF(($A300-Ft!J$2)&lt;0,Ft!J$3*((1-Ft!J$6)/(1+Ft!J$37*($A300-Ft!J$2)^2)+Ft!J$6*EXP(Ft!J$38*($A300-Ft!J$2)^2)),Ft!J$3*((1-Ft!J$7)/(1+Ft!J$39*($A300-Ft!J$2)^2)+Ft!J$7*EXP(Ft!J$40*($A300-Ft!J$2)^2)))</f>
        <v>0</v>
      </c>
      <c r="O300" s="3">
        <f>IF(($A300-Ft!K$2)&lt;0,Ft!K$3*((1-Ft!K$6)/(1+Ft!K$37*($A300-Ft!K$2)^2)+Ft!K$6*EXP(Ft!K$38*($A300-Ft!K$2)^2)),Ft!K$3*((1-Ft!K$7)/(1+Ft!K$39*($A300-Ft!K$2)^2)+Ft!K$7*EXP(Ft!K$40*($A300-Ft!K$2)^2)))</f>
        <v>0</v>
      </c>
      <c r="P300"/>
      <c r="Q300"/>
    </row>
    <row r="301" spans="1:17">
      <c r="A301">
        <v>598</v>
      </c>
      <c r="B301">
        <v>17.236967710580998</v>
      </c>
      <c r="C301" s="6">
        <f t="shared" si="9"/>
        <v>17.286483491900164</v>
      </c>
      <c r="D301" s="19">
        <f t="shared" si="10"/>
        <v>2.4518125996474036E-3</v>
      </c>
      <c r="E301" s="3">
        <f>Ft!$B$12+Ft!$B$14*(Data!A301-Vars!$B$3)</f>
        <v>0</v>
      </c>
      <c r="F301" s="3">
        <f>IF(($A301-Ft!B$2)&lt;0,Ft!B$3*((1-Ft!B$6)/(1+Ft!B$37*($A301-Ft!B$2)^2)+Ft!B$6*EXP(Ft!B$38*($A301-Ft!B$2)^2)),Ft!B$3*((1-Ft!B$7)/(1+Ft!B$39*($A301-Ft!B$2)^2)+Ft!B$7*EXP(Ft!B$40*($A301-Ft!B$2)^2)))</f>
        <v>8.2251516244820654E-168</v>
      </c>
      <c r="G301" s="3">
        <f>IF(($A301-Ft!C$2)&lt;0,Ft!C$3*((1-Ft!C$6)/(1+Ft!C$37*($A301-Ft!C$2)^2)+Ft!C$6*EXP(Ft!C$38*($A301-Ft!C$2)^2)),Ft!C$3*((1-Ft!C$7)/(1+Ft!C$39*($A301-Ft!C$2)^2)+Ft!C$7*EXP(Ft!C$40*($A301-Ft!C$2)^2)))</f>
        <v>3.3007165581207644E-7</v>
      </c>
      <c r="H301" s="3">
        <f>IF(($A301-Ft!D$2)&lt;0,Ft!D$3*((1-Ft!D$6)/(1+Ft!D$37*($A301-Ft!D$2)^2)+Ft!D$6*EXP(Ft!D$38*($A301-Ft!D$2)^2)),Ft!D$3*((1-Ft!D$7)/(1+Ft!D$39*($A301-Ft!D$2)^2)+Ft!D$7*EXP(Ft!D$40*($A301-Ft!D$2)^2)))</f>
        <v>12.915796705240734</v>
      </c>
      <c r="I301" s="3">
        <f>IF(($A301-Ft!E$2)&lt;0,Ft!E$3*((1-Ft!E$6)/(1+Ft!E$37*($A301-Ft!E$2)^2)+Ft!E$6*EXP(Ft!E$38*($A301-Ft!E$2)^2)),Ft!E$3*((1-Ft!E$7)/(1+Ft!E$39*($A301-Ft!E$2)^2)+Ft!E$7*EXP(Ft!E$40*($A301-Ft!E$2)^2)))</f>
        <v>4.3706864565877748</v>
      </c>
      <c r="J301" s="3">
        <f>IF(($A301-Ft!F$2)&lt;0,Ft!F$3*((1-Ft!F$6)/(1+Ft!F$37*($A301-Ft!F$2)^2)+Ft!F$6*EXP(Ft!F$38*($A301-Ft!F$2)^2)),Ft!F$3*((1-Ft!F$7)/(1+Ft!F$39*($A301-Ft!F$2)^2)+Ft!F$7*EXP(Ft!F$40*($A301-Ft!F$2)^2)))</f>
        <v>5.284586516227904E-19</v>
      </c>
      <c r="K301" s="3">
        <f>IF(($A301-Ft!G$2)&lt;0,Ft!G$3*((1-Ft!G$6)/(1+Ft!G$37*($A301-Ft!G$2)^2)+Ft!G$6*EXP(Ft!G$38*($A301-Ft!G$2)^2)),Ft!G$3*((1-Ft!G$7)/(1+Ft!G$39*($A301-Ft!G$2)^2)+Ft!G$7*EXP(Ft!G$40*($A301-Ft!G$2)^2)))</f>
        <v>1.4420843389452973E-82</v>
      </c>
      <c r="L301" s="3">
        <f>IF(($A301-Ft!H$2)&lt;0,Ft!H$3*((1-Ft!H$6)/(1+Ft!H$37*($A301-Ft!H$2)^2)+Ft!H$6*EXP(Ft!H$38*($A301-Ft!H$2)^2)),Ft!H$3*((1-Ft!H$7)/(1+Ft!H$39*($A301-Ft!H$2)^2)+Ft!H$7*EXP(Ft!H$40*($A301-Ft!H$2)^2)))</f>
        <v>0</v>
      </c>
      <c r="M301" s="3">
        <f>IF(($A301-Ft!I$2)&lt;0,Ft!I$3*((1-Ft!I$6)/(1+Ft!I$37*($A301-Ft!I$2)^2)+Ft!I$6*EXP(Ft!I$38*($A301-Ft!I$2)^2)),Ft!I$3*((1-Ft!I$7)/(1+Ft!I$39*($A301-Ft!I$2)^2)+Ft!I$7*EXP(Ft!I$40*($A301-Ft!I$2)^2)))</f>
        <v>0</v>
      </c>
      <c r="N301" s="3">
        <f>IF(($A301-Ft!J$2)&lt;0,Ft!J$3*((1-Ft!J$6)/(1+Ft!J$37*($A301-Ft!J$2)^2)+Ft!J$6*EXP(Ft!J$38*($A301-Ft!J$2)^2)),Ft!J$3*((1-Ft!J$7)/(1+Ft!J$39*($A301-Ft!J$2)^2)+Ft!J$7*EXP(Ft!J$40*($A301-Ft!J$2)^2)))</f>
        <v>0</v>
      </c>
      <c r="O301" s="3">
        <f>IF(($A301-Ft!K$2)&lt;0,Ft!K$3*((1-Ft!K$6)/(1+Ft!K$37*($A301-Ft!K$2)^2)+Ft!K$6*EXP(Ft!K$38*($A301-Ft!K$2)^2)),Ft!K$3*((1-Ft!K$7)/(1+Ft!K$39*($A301-Ft!K$2)^2)+Ft!K$7*EXP(Ft!K$40*($A301-Ft!K$2)^2)))</f>
        <v>0</v>
      </c>
      <c r="P301"/>
      <c r="Q301"/>
    </row>
    <row r="302" spans="1:17">
      <c r="A302">
        <v>600</v>
      </c>
      <c r="B302">
        <v>17.184157945748993</v>
      </c>
      <c r="C302" s="6">
        <f t="shared" si="9"/>
        <v>17.252450091957989</v>
      </c>
      <c r="D302" s="19">
        <f t="shared" si="10"/>
        <v>4.6638172338309527E-3</v>
      </c>
      <c r="E302" s="3">
        <f>Ft!$B$12+Ft!$B$14*(Data!A302-Vars!$B$3)</f>
        <v>0</v>
      </c>
      <c r="F302" s="3">
        <f>IF(($A302-Ft!B$2)&lt;0,Ft!B$3*((1-Ft!B$6)/(1+Ft!B$37*($A302-Ft!B$2)^2)+Ft!B$6*EXP(Ft!B$38*($A302-Ft!B$2)^2)),Ft!B$3*((1-Ft!B$7)/(1+Ft!B$39*($A302-Ft!B$2)^2)+Ft!B$7*EXP(Ft!B$40*($A302-Ft!B$2)^2)))</f>
        <v>5.0095617188628117E-169</v>
      </c>
      <c r="G302" s="3">
        <f>IF(($A302-Ft!C$2)&lt;0,Ft!C$3*((1-Ft!C$6)/(1+Ft!C$37*($A302-Ft!C$2)^2)+Ft!C$6*EXP(Ft!C$38*($A302-Ft!C$2)^2)),Ft!C$3*((1-Ft!C$7)/(1+Ft!C$39*($A302-Ft!C$2)^2)+Ft!C$7*EXP(Ft!C$40*($A302-Ft!C$2)^2)))</f>
        <v>2.8423659335954387E-7</v>
      </c>
      <c r="H302" s="3">
        <f>IF(($A302-Ft!D$2)&lt;0,Ft!D$3*((1-Ft!D$6)/(1+Ft!D$37*($A302-Ft!D$2)^2)+Ft!D$6*EXP(Ft!D$38*($A302-Ft!D$2)^2)),Ft!D$3*((1-Ft!D$7)/(1+Ft!D$39*($A302-Ft!D$2)^2)+Ft!D$7*EXP(Ft!D$40*($A302-Ft!D$2)^2)))</f>
        <v>12.782314751137733</v>
      </c>
      <c r="I302" s="3">
        <f>IF(($A302-Ft!E$2)&lt;0,Ft!E$3*((1-Ft!E$6)/(1+Ft!E$37*($A302-Ft!E$2)^2)+Ft!E$6*EXP(Ft!E$38*($A302-Ft!E$2)^2)),Ft!E$3*((1-Ft!E$7)/(1+Ft!E$39*($A302-Ft!E$2)^2)+Ft!E$7*EXP(Ft!E$40*($A302-Ft!E$2)^2)))</f>
        <v>4.4701350565836622</v>
      </c>
      <c r="J302" s="3">
        <f>IF(($A302-Ft!F$2)&lt;0,Ft!F$3*((1-Ft!F$6)/(1+Ft!F$37*($A302-Ft!F$2)^2)+Ft!F$6*EXP(Ft!F$38*($A302-Ft!F$2)^2)),Ft!F$3*((1-Ft!F$7)/(1+Ft!F$39*($A302-Ft!F$2)^2)+Ft!F$7*EXP(Ft!F$40*($A302-Ft!F$2)^2)))</f>
        <v>8.1436394049341307E-19</v>
      </c>
      <c r="K302" s="3">
        <f>IF(($A302-Ft!G$2)&lt;0,Ft!G$3*((1-Ft!G$6)/(1+Ft!G$37*($A302-Ft!G$2)^2)+Ft!G$6*EXP(Ft!G$38*($A302-Ft!G$2)^2)),Ft!G$3*((1-Ft!G$7)/(1+Ft!G$39*($A302-Ft!G$2)^2)+Ft!G$7*EXP(Ft!G$40*($A302-Ft!G$2)^2)))</f>
        <v>7.8737850789651291E-82</v>
      </c>
      <c r="L302" s="3">
        <f>IF(($A302-Ft!H$2)&lt;0,Ft!H$3*((1-Ft!H$6)/(1+Ft!H$37*($A302-Ft!H$2)^2)+Ft!H$6*EXP(Ft!H$38*($A302-Ft!H$2)^2)),Ft!H$3*((1-Ft!H$7)/(1+Ft!H$39*($A302-Ft!H$2)^2)+Ft!H$7*EXP(Ft!H$40*($A302-Ft!H$2)^2)))</f>
        <v>0</v>
      </c>
      <c r="M302" s="3">
        <f>IF(($A302-Ft!I$2)&lt;0,Ft!I$3*((1-Ft!I$6)/(1+Ft!I$37*($A302-Ft!I$2)^2)+Ft!I$6*EXP(Ft!I$38*($A302-Ft!I$2)^2)),Ft!I$3*((1-Ft!I$7)/(1+Ft!I$39*($A302-Ft!I$2)^2)+Ft!I$7*EXP(Ft!I$40*($A302-Ft!I$2)^2)))</f>
        <v>0</v>
      </c>
      <c r="N302" s="3">
        <f>IF(($A302-Ft!J$2)&lt;0,Ft!J$3*((1-Ft!J$6)/(1+Ft!J$37*($A302-Ft!J$2)^2)+Ft!J$6*EXP(Ft!J$38*($A302-Ft!J$2)^2)),Ft!J$3*((1-Ft!J$7)/(1+Ft!J$39*($A302-Ft!J$2)^2)+Ft!J$7*EXP(Ft!J$40*($A302-Ft!J$2)^2)))</f>
        <v>0</v>
      </c>
      <c r="O302" s="3">
        <f>IF(($A302-Ft!K$2)&lt;0,Ft!K$3*((1-Ft!K$6)/(1+Ft!K$37*($A302-Ft!K$2)^2)+Ft!K$6*EXP(Ft!K$38*($A302-Ft!K$2)^2)),Ft!K$3*((1-Ft!K$7)/(1+Ft!K$39*($A302-Ft!K$2)^2)+Ft!K$7*EXP(Ft!K$40*($A302-Ft!K$2)^2)))</f>
        <v>0</v>
      </c>
      <c r="P302"/>
      <c r="Q302"/>
    </row>
    <row r="303" spans="1:17">
      <c r="A303">
        <v>602</v>
      </c>
      <c r="B303">
        <v>17.132584498274994</v>
      </c>
      <c r="C303" s="6">
        <f t="shared" si="9"/>
        <v>17.219320033526014</v>
      </c>
      <c r="D303" s="19">
        <f t="shared" si="10"/>
        <v>7.5230530752808484E-3</v>
      </c>
      <c r="E303" s="3">
        <f>Ft!$B$12+Ft!$B$14*(Data!A303-Vars!$B$3)</f>
        <v>0</v>
      </c>
      <c r="F303" s="3">
        <f>IF(($A303-Ft!B$2)&lt;0,Ft!B$3*((1-Ft!B$6)/(1+Ft!B$37*($A303-Ft!B$2)^2)+Ft!B$6*EXP(Ft!B$38*($A303-Ft!B$2)^2)),Ft!B$3*((1-Ft!B$7)/(1+Ft!B$39*($A303-Ft!B$2)^2)+Ft!B$7*EXP(Ft!B$40*($A303-Ft!B$2)^2)))</f>
        <v>3.0204011815536916E-170</v>
      </c>
      <c r="G303" s="3">
        <f>IF(($A303-Ft!C$2)&lt;0,Ft!C$3*((1-Ft!C$6)/(1+Ft!C$37*($A303-Ft!C$2)^2)+Ft!C$6*EXP(Ft!C$38*($A303-Ft!C$2)^2)),Ft!C$3*((1-Ft!C$7)/(1+Ft!C$39*($A303-Ft!C$2)^2)+Ft!C$7*EXP(Ft!C$40*($A303-Ft!C$2)^2)))</f>
        <v>2.4460744943082221E-7</v>
      </c>
      <c r="H303" s="3">
        <f>IF(($A303-Ft!D$2)&lt;0,Ft!D$3*((1-Ft!D$6)/(1+Ft!D$37*($A303-Ft!D$2)^2)+Ft!D$6*EXP(Ft!D$38*($A303-Ft!D$2)^2)),Ft!D$3*((1-Ft!D$7)/(1+Ft!D$39*($A303-Ft!D$2)^2)+Ft!D$7*EXP(Ft!D$40*($A303-Ft!D$2)^2)))</f>
        <v>12.648393809941011</v>
      </c>
      <c r="I303" s="3">
        <f>IF(($A303-Ft!E$2)&lt;0,Ft!E$3*((1-Ft!E$6)/(1+Ft!E$37*($A303-Ft!E$2)^2)+Ft!E$6*EXP(Ft!E$38*($A303-Ft!E$2)^2)),Ft!E$3*((1-Ft!E$7)/(1+Ft!E$39*($A303-Ft!E$2)^2)+Ft!E$7*EXP(Ft!E$40*($A303-Ft!E$2)^2)))</f>
        <v>4.5709259789775549</v>
      </c>
      <c r="J303" s="3">
        <f>IF(($A303-Ft!F$2)&lt;0,Ft!F$3*((1-Ft!F$6)/(1+Ft!F$37*($A303-Ft!F$2)^2)+Ft!F$6*EXP(Ft!F$38*($A303-Ft!F$2)^2)),Ft!F$3*((1-Ft!F$7)/(1+Ft!F$39*($A303-Ft!F$2)^2)+Ft!F$7*EXP(Ft!F$40*($A303-Ft!F$2)^2)))</f>
        <v>1.2522508412520769E-18</v>
      </c>
      <c r="K303" s="3">
        <f>IF(($A303-Ft!G$2)&lt;0,Ft!G$3*((1-Ft!G$6)/(1+Ft!G$37*($A303-Ft!G$2)^2)+Ft!G$6*EXP(Ft!G$38*($A303-Ft!G$2)^2)),Ft!G$3*((1-Ft!G$7)/(1+Ft!G$39*($A303-Ft!G$2)^2)+Ft!G$7*EXP(Ft!G$40*($A303-Ft!G$2)^2)))</f>
        <v>4.2665160541307847E-81</v>
      </c>
      <c r="L303" s="3">
        <f>IF(($A303-Ft!H$2)&lt;0,Ft!H$3*((1-Ft!H$6)/(1+Ft!H$37*($A303-Ft!H$2)^2)+Ft!H$6*EXP(Ft!H$38*($A303-Ft!H$2)^2)),Ft!H$3*((1-Ft!H$7)/(1+Ft!H$39*($A303-Ft!H$2)^2)+Ft!H$7*EXP(Ft!H$40*($A303-Ft!H$2)^2)))</f>
        <v>0</v>
      </c>
      <c r="M303" s="3">
        <f>IF(($A303-Ft!I$2)&lt;0,Ft!I$3*((1-Ft!I$6)/(1+Ft!I$37*($A303-Ft!I$2)^2)+Ft!I$6*EXP(Ft!I$38*($A303-Ft!I$2)^2)),Ft!I$3*((1-Ft!I$7)/(1+Ft!I$39*($A303-Ft!I$2)^2)+Ft!I$7*EXP(Ft!I$40*($A303-Ft!I$2)^2)))</f>
        <v>0</v>
      </c>
      <c r="N303" s="3">
        <f>IF(($A303-Ft!J$2)&lt;0,Ft!J$3*((1-Ft!J$6)/(1+Ft!J$37*($A303-Ft!J$2)^2)+Ft!J$6*EXP(Ft!J$38*($A303-Ft!J$2)^2)),Ft!J$3*((1-Ft!J$7)/(1+Ft!J$39*($A303-Ft!J$2)^2)+Ft!J$7*EXP(Ft!J$40*($A303-Ft!J$2)^2)))</f>
        <v>0</v>
      </c>
      <c r="O303" s="3">
        <f>IF(($A303-Ft!K$2)&lt;0,Ft!K$3*((1-Ft!K$6)/(1+Ft!K$37*($A303-Ft!K$2)^2)+Ft!K$6*EXP(Ft!K$38*($A303-Ft!K$2)^2)),Ft!K$3*((1-Ft!K$7)/(1+Ft!K$39*($A303-Ft!K$2)^2)+Ft!K$7*EXP(Ft!K$40*($A303-Ft!K$2)^2)))</f>
        <v>0</v>
      </c>
      <c r="P303"/>
      <c r="Q303"/>
    </row>
    <row r="304" spans="1:17">
      <c r="A304">
        <v>604</v>
      </c>
      <c r="B304">
        <v>17.083161691333999</v>
      </c>
      <c r="C304" s="6">
        <f t="shared" si="9"/>
        <v>17.187125438774927</v>
      </c>
      <c r="D304" s="19">
        <f t="shared" si="10"/>
        <v>1.0808460781961262E-2</v>
      </c>
      <c r="E304" s="3">
        <f>Ft!$B$12+Ft!$B$14*(Data!A304-Vars!$B$3)</f>
        <v>0</v>
      </c>
      <c r="F304" s="3">
        <f>IF(($A304-Ft!B$2)&lt;0,Ft!B$3*((1-Ft!B$6)/(1+Ft!B$37*($A304-Ft!B$2)^2)+Ft!B$6*EXP(Ft!B$38*($A304-Ft!B$2)^2)),Ft!B$3*((1-Ft!B$7)/(1+Ft!B$39*($A304-Ft!B$2)^2)+Ft!B$7*EXP(Ft!B$40*($A304-Ft!B$2)^2)))</f>
        <v>1.8027629017032294E-171</v>
      </c>
      <c r="G304" s="3">
        <f>IF(($A304-Ft!C$2)&lt;0,Ft!C$3*((1-Ft!C$6)/(1+Ft!C$37*($A304-Ft!C$2)^2)+Ft!C$6*EXP(Ft!C$38*($A304-Ft!C$2)^2)),Ft!C$3*((1-Ft!C$7)/(1+Ft!C$39*($A304-Ft!C$2)^2)+Ft!C$7*EXP(Ft!C$40*($A304-Ft!C$2)^2)))</f>
        <v>2.1036684867200042E-7</v>
      </c>
      <c r="H304" s="3">
        <f>IF(($A304-Ft!D$2)&lt;0,Ft!D$3*((1-Ft!D$6)/(1+Ft!D$37*($A304-Ft!D$2)^2)+Ft!D$6*EXP(Ft!D$38*($A304-Ft!D$2)^2)),Ft!D$3*((1-Ft!D$7)/(1+Ft!D$39*($A304-Ft!D$2)^2)+Ft!D$7*EXP(Ft!D$40*($A304-Ft!D$2)^2)))</f>
        <v>12.514076782064832</v>
      </c>
      <c r="I304" s="3">
        <f>IF(($A304-Ft!E$2)&lt;0,Ft!E$3*((1-Ft!E$6)/(1+Ft!E$37*($A304-Ft!E$2)^2)+Ft!E$6*EXP(Ft!E$38*($A304-Ft!E$2)^2)),Ft!E$3*((1-Ft!E$7)/(1+Ft!E$39*($A304-Ft!E$2)^2)+Ft!E$7*EXP(Ft!E$40*($A304-Ft!E$2)^2)))</f>
        <v>4.6730484463432465</v>
      </c>
      <c r="J304" s="3">
        <f>IF(($A304-Ft!F$2)&lt;0,Ft!F$3*((1-Ft!F$6)/(1+Ft!F$37*($A304-Ft!F$2)^2)+Ft!F$6*EXP(Ft!F$38*($A304-Ft!F$2)^2)),Ft!F$3*((1-Ft!F$7)/(1+Ft!F$39*($A304-Ft!F$2)^2)+Ft!F$7*EXP(Ft!F$40*($A304-Ft!F$2)^2)))</f>
        <v>1.9214513959359707E-18</v>
      </c>
      <c r="K304" s="3">
        <f>IF(($A304-Ft!G$2)&lt;0,Ft!G$3*((1-Ft!G$6)/(1+Ft!G$37*($A304-Ft!G$2)^2)+Ft!G$6*EXP(Ft!G$38*($A304-Ft!G$2)^2)),Ft!G$3*((1-Ft!G$7)/(1+Ft!G$39*($A304-Ft!G$2)^2)+Ft!G$7*EXP(Ft!G$40*($A304-Ft!G$2)^2)))</f>
        <v>2.2943525070946549E-80</v>
      </c>
      <c r="L304" s="3">
        <f>IF(($A304-Ft!H$2)&lt;0,Ft!H$3*((1-Ft!H$6)/(1+Ft!H$37*($A304-Ft!H$2)^2)+Ft!H$6*EXP(Ft!H$38*($A304-Ft!H$2)^2)),Ft!H$3*((1-Ft!H$7)/(1+Ft!H$39*($A304-Ft!H$2)^2)+Ft!H$7*EXP(Ft!H$40*($A304-Ft!H$2)^2)))</f>
        <v>0</v>
      </c>
      <c r="M304" s="3">
        <f>IF(($A304-Ft!I$2)&lt;0,Ft!I$3*((1-Ft!I$6)/(1+Ft!I$37*($A304-Ft!I$2)^2)+Ft!I$6*EXP(Ft!I$38*($A304-Ft!I$2)^2)),Ft!I$3*((1-Ft!I$7)/(1+Ft!I$39*($A304-Ft!I$2)^2)+Ft!I$7*EXP(Ft!I$40*($A304-Ft!I$2)^2)))</f>
        <v>0</v>
      </c>
      <c r="N304" s="3">
        <f>IF(($A304-Ft!J$2)&lt;0,Ft!J$3*((1-Ft!J$6)/(1+Ft!J$37*($A304-Ft!J$2)^2)+Ft!J$6*EXP(Ft!J$38*($A304-Ft!J$2)^2)),Ft!J$3*((1-Ft!J$7)/(1+Ft!J$39*($A304-Ft!J$2)^2)+Ft!J$7*EXP(Ft!J$40*($A304-Ft!J$2)^2)))</f>
        <v>0</v>
      </c>
      <c r="O304" s="3">
        <f>IF(($A304-Ft!K$2)&lt;0,Ft!K$3*((1-Ft!K$6)/(1+Ft!K$37*($A304-Ft!K$2)^2)+Ft!K$6*EXP(Ft!K$38*($A304-Ft!K$2)^2)),Ft!K$3*((1-Ft!K$7)/(1+Ft!K$39*($A304-Ft!K$2)^2)+Ft!K$7*EXP(Ft!K$40*($A304-Ft!K$2)^2)))</f>
        <v>0</v>
      </c>
      <c r="P304"/>
      <c r="Q304"/>
    </row>
    <row r="305" spans="1:17">
      <c r="A305">
        <v>606</v>
      </c>
      <c r="B305">
        <v>17.036803848101002</v>
      </c>
      <c r="C305" s="6">
        <f t="shared" si="9"/>
        <v>17.155897092252378</v>
      </c>
      <c r="D305" s="19">
        <f t="shared" si="10"/>
        <v>1.418320080249923E-2</v>
      </c>
      <c r="E305" s="3">
        <f>Ft!$B$12+Ft!$B$14*(Data!A305-Vars!$B$3)</f>
        <v>0</v>
      </c>
      <c r="F305" s="3">
        <f>IF(($A305-Ft!B$2)&lt;0,Ft!B$3*((1-Ft!B$6)/(1+Ft!B$37*($A305-Ft!B$2)^2)+Ft!B$6*EXP(Ft!B$38*($A305-Ft!B$2)^2)),Ft!B$3*((1-Ft!B$7)/(1+Ft!B$39*($A305-Ft!B$2)^2)+Ft!B$7*EXP(Ft!B$40*($A305-Ft!B$2)^2)))</f>
        <v>1.065176739521492E-172</v>
      </c>
      <c r="G305" s="3">
        <f>IF(($A305-Ft!C$2)&lt;0,Ft!C$3*((1-Ft!C$6)/(1+Ft!C$37*($A305-Ft!C$2)^2)+Ft!C$6*EXP(Ft!C$38*($A305-Ft!C$2)^2)),Ft!C$3*((1-Ft!C$7)/(1+Ft!C$39*($A305-Ft!C$2)^2)+Ft!C$7*EXP(Ft!C$40*($A305-Ft!C$2)^2)))</f>
        <v>1.8080184396136685E-7</v>
      </c>
      <c r="H305" s="3">
        <f>IF(($A305-Ft!D$2)&lt;0,Ft!D$3*((1-Ft!D$6)/(1+Ft!D$37*($A305-Ft!D$2)^2)+Ft!D$6*EXP(Ft!D$38*($A305-Ft!D$2)^2)),Ft!D$3*((1-Ft!D$7)/(1+Ft!D$39*($A305-Ft!D$2)^2)+Ft!D$7*EXP(Ft!D$40*($A305-Ft!D$2)^2)))</f>
        <v>12.379406285328916</v>
      </c>
      <c r="I305" s="3">
        <f>IF(($A305-Ft!E$2)&lt;0,Ft!E$3*((1-Ft!E$6)/(1+Ft!E$37*($A305-Ft!E$2)^2)+Ft!E$6*EXP(Ft!E$38*($A305-Ft!E$2)^2)),Ft!E$3*((1-Ft!E$7)/(1+Ft!E$39*($A305-Ft!E$2)^2)+Ft!E$7*EXP(Ft!E$40*($A305-Ft!E$2)^2)))</f>
        <v>4.7764906261216167</v>
      </c>
      <c r="J305" s="3">
        <f>IF(($A305-Ft!F$2)&lt;0,Ft!F$3*((1-Ft!F$6)/(1+Ft!F$37*($A305-Ft!F$2)^2)+Ft!F$6*EXP(Ft!F$38*($A305-Ft!F$2)^2)),Ft!F$3*((1-Ft!F$7)/(1+Ft!F$39*($A305-Ft!F$2)^2)+Ft!F$7*EXP(Ft!F$40*($A305-Ft!F$2)^2)))</f>
        <v>2.9419328015577805E-18</v>
      </c>
      <c r="K305" s="3">
        <f>IF(($A305-Ft!G$2)&lt;0,Ft!G$3*((1-Ft!G$6)/(1+Ft!G$37*($A305-Ft!G$2)^2)+Ft!G$6*EXP(Ft!G$38*($A305-Ft!G$2)^2)),Ft!G$3*((1-Ft!G$7)/(1+Ft!G$39*($A305-Ft!G$2)^2)+Ft!G$7*EXP(Ft!G$40*($A305-Ft!G$2)^2)))</f>
        <v>1.2244578404702444E-79</v>
      </c>
      <c r="L305" s="3">
        <f>IF(($A305-Ft!H$2)&lt;0,Ft!H$3*((1-Ft!H$6)/(1+Ft!H$37*($A305-Ft!H$2)^2)+Ft!H$6*EXP(Ft!H$38*($A305-Ft!H$2)^2)),Ft!H$3*((1-Ft!H$7)/(1+Ft!H$39*($A305-Ft!H$2)^2)+Ft!H$7*EXP(Ft!H$40*($A305-Ft!H$2)^2)))</f>
        <v>0</v>
      </c>
      <c r="M305" s="3">
        <f>IF(($A305-Ft!I$2)&lt;0,Ft!I$3*((1-Ft!I$6)/(1+Ft!I$37*($A305-Ft!I$2)^2)+Ft!I$6*EXP(Ft!I$38*($A305-Ft!I$2)^2)),Ft!I$3*((1-Ft!I$7)/(1+Ft!I$39*($A305-Ft!I$2)^2)+Ft!I$7*EXP(Ft!I$40*($A305-Ft!I$2)^2)))</f>
        <v>0</v>
      </c>
      <c r="N305" s="3">
        <f>IF(($A305-Ft!J$2)&lt;0,Ft!J$3*((1-Ft!J$6)/(1+Ft!J$37*($A305-Ft!J$2)^2)+Ft!J$6*EXP(Ft!J$38*($A305-Ft!J$2)^2)),Ft!J$3*((1-Ft!J$7)/(1+Ft!J$39*($A305-Ft!J$2)^2)+Ft!J$7*EXP(Ft!J$40*($A305-Ft!J$2)^2)))</f>
        <v>0</v>
      </c>
      <c r="O305" s="3">
        <f>IF(($A305-Ft!K$2)&lt;0,Ft!K$3*((1-Ft!K$6)/(1+Ft!K$37*($A305-Ft!K$2)^2)+Ft!K$6*EXP(Ft!K$38*($A305-Ft!K$2)^2)),Ft!K$3*((1-Ft!K$7)/(1+Ft!K$39*($A305-Ft!K$2)^2)+Ft!K$7*EXP(Ft!K$40*($A305-Ft!K$2)^2)))</f>
        <v>0</v>
      </c>
      <c r="P305"/>
      <c r="Q305"/>
    </row>
    <row r="306" spans="1:17">
      <c r="A306">
        <v>608</v>
      </c>
      <c r="B306">
        <v>16.993602854228996</v>
      </c>
      <c r="C306" s="6">
        <f t="shared" si="9"/>
        <v>17.125664405559533</v>
      </c>
      <c r="D306" s="19">
        <f t="shared" si="10"/>
        <v>1.7440253339828054E-2</v>
      </c>
      <c r="E306" s="3">
        <f>Ft!$B$12+Ft!$B$14*(Data!A306-Vars!$B$3)</f>
        <v>0</v>
      </c>
      <c r="F306" s="3">
        <f>IF(($A306-Ft!B$2)&lt;0,Ft!B$3*((1-Ft!B$6)/(1+Ft!B$37*($A306-Ft!B$2)^2)+Ft!B$6*EXP(Ft!B$38*($A306-Ft!B$2)^2)),Ft!B$3*((1-Ft!B$7)/(1+Ft!B$39*($A306-Ft!B$2)^2)+Ft!B$7*EXP(Ft!B$40*($A306-Ft!B$2)^2)))</f>
        <v>6.230369686170104E-174</v>
      </c>
      <c r="G306" s="3">
        <f>IF(($A306-Ft!C$2)&lt;0,Ft!C$3*((1-Ft!C$6)/(1+Ft!C$37*($A306-Ft!C$2)^2)+Ft!C$6*EXP(Ft!C$38*($A306-Ft!C$2)^2)),Ft!C$3*((1-Ft!C$7)/(1+Ft!C$39*($A306-Ft!C$2)^2)+Ft!C$7*EXP(Ft!C$40*($A306-Ft!C$2)^2)))</f>
        <v>1.5529101977484819E-7</v>
      </c>
      <c r="H306" s="3">
        <f>IF(($A306-Ft!D$2)&lt;0,Ft!D$3*((1-Ft!D$6)/(1+Ft!D$37*($A306-Ft!D$2)^2)+Ft!D$6*EXP(Ft!D$38*($A306-Ft!D$2)^2)),Ft!D$3*((1-Ft!D$7)/(1+Ft!D$39*($A306-Ft!D$2)^2)+Ft!D$7*EXP(Ft!D$40*($A306-Ft!D$2)^2)))</f>
        <v>12.244424633584867</v>
      </c>
      <c r="I306" s="3">
        <f>IF(($A306-Ft!E$2)&lt;0,Ft!E$3*((1-Ft!E$6)/(1+Ft!E$37*($A306-Ft!E$2)^2)+Ft!E$6*EXP(Ft!E$38*($A306-Ft!E$2)^2)),Ft!E$3*((1-Ft!E$7)/(1+Ft!E$39*($A306-Ft!E$2)^2)+Ft!E$7*EXP(Ft!E$40*($A306-Ft!E$2)^2)))</f>
        <v>4.881239616683648</v>
      </c>
      <c r="J306" s="3">
        <f>IF(($A306-Ft!F$2)&lt;0,Ft!F$3*((1-Ft!F$6)/(1+Ft!F$37*($A306-Ft!F$2)^2)+Ft!F$6*EXP(Ft!F$38*($A306-Ft!F$2)^2)),Ft!F$3*((1-Ft!F$7)/(1+Ft!F$39*($A306-Ft!F$2)^2)+Ft!F$7*EXP(Ft!F$40*($A306-Ft!F$2)^2)))</f>
        <v>4.4947068102034613E-18</v>
      </c>
      <c r="K306" s="3">
        <f>IF(($A306-Ft!G$2)&lt;0,Ft!G$3*((1-Ft!G$6)/(1+Ft!G$37*($A306-Ft!G$2)^2)+Ft!G$6*EXP(Ft!G$38*($A306-Ft!G$2)^2)),Ft!G$3*((1-Ft!G$7)/(1+Ft!G$39*($A306-Ft!G$2)^2)+Ft!G$7*EXP(Ft!G$40*($A306-Ft!G$2)^2)))</f>
        <v>6.4852162287398674E-79</v>
      </c>
      <c r="L306" s="3">
        <f>IF(($A306-Ft!H$2)&lt;0,Ft!H$3*((1-Ft!H$6)/(1+Ft!H$37*($A306-Ft!H$2)^2)+Ft!H$6*EXP(Ft!H$38*($A306-Ft!H$2)^2)),Ft!H$3*((1-Ft!H$7)/(1+Ft!H$39*($A306-Ft!H$2)^2)+Ft!H$7*EXP(Ft!H$40*($A306-Ft!H$2)^2)))</f>
        <v>0</v>
      </c>
      <c r="M306" s="3">
        <f>IF(($A306-Ft!I$2)&lt;0,Ft!I$3*((1-Ft!I$6)/(1+Ft!I$37*($A306-Ft!I$2)^2)+Ft!I$6*EXP(Ft!I$38*($A306-Ft!I$2)^2)),Ft!I$3*((1-Ft!I$7)/(1+Ft!I$39*($A306-Ft!I$2)^2)+Ft!I$7*EXP(Ft!I$40*($A306-Ft!I$2)^2)))</f>
        <v>0</v>
      </c>
      <c r="N306" s="3">
        <f>IF(($A306-Ft!J$2)&lt;0,Ft!J$3*((1-Ft!J$6)/(1+Ft!J$37*($A306-Ft!J$2)^2)+Ft!J$6*EXP(Ft!J$38*($A306-Ft!J$2)^2)),Ft!J$3*((1-Ft!J$7)/(1+Ft!J$39*($A306-Ft!J$2)^2)+Ft!J$7*EXP(Ft!J$40*($A306-Ft!J$2)^2)))</f>
        <v>0</v>
      </c>
      <c r="O306" s="3">
        <f>IF(($A306-Ft!K$2)&lt;0,Ft!K$3*((1-Ft!K$6)/(1+Ft!K$37*($A306-Ft!K$2)^2)+Ft!K$6*EXP(Ft!K$38*($A306-Ft!K$2)^2)),Ft!K$3*((1-Ft!K$7)/(1+Ft!K$39*($A306-Ft!K$2)^2)+Ft!K$7*EXP(Ft!K$40*($A306-Ft!K$2)^2)))</f>
        <v>0</v>
      </c>
      <c r="P306"/>
      <c r="Q306"/>
    </row>
    <row r="307" spans="1:17">
      <c r="A307">
        <v>610</v>
      </c>
      <c r="B307">
        <v>16.949528045625996</v>
      </c>
      <c r="C307" s="6">
        <f t="shared" si="9"/>
        <v>17.09645538325309</v>
      </c>
      <c r="D307" s="19">
        <f t="shared" si="10"/>
        <v>2.1587642542186099E-2</v>
      </c>
      <c r="E307" s="3">
        <f>Ft!$B$12+Ft!$B$14*(Data!A307-Vars!$B$3)</f>
        <v>0</v>
      </c>
      <c r="F307" s="3">
        <f>IF(($A307-Ft!B$2)&lt;0,Ft!B$3*((1-Ft!B$6)/(1+Ft!B$37*($A307-Ft!B$2)^2)+Ft!B$6*EXP(Ft!B$38*($A307-Ft!B$2)^2)),Ft!B$3*((1-Ft!B$7)/(1+Ft!B$39*($A307-Ft!B$2)^2)+Ft!B$7*EXP(Ft!B$40*($A307-Ft!B$2)^2)))</f>
        <v>3.6075722732631509E-175</v>
      </c>
      <c r="G307" s="3">
        <f>IF(($A307-Ft!C$2)&lt;0,Ft!C$3*((1-Ft!C$6)/(1+Ft!C$37*($A307-Ft!C$2)^2)+Ft!C$6*EXP(Ft!C$38*($A307-Ft!C$2)^2)),Ft!C$3*((1-Ft!C$7)/(1+Ft!C$39*($A307-Ft!C$2)^2)+Ft!C$7*EXP(Ft!C$40*($A307-Ft!C$2)^2)))</f>
        <v>1.3329312828127692E-7</v>
      </c>
      <c r="H307" s="3">
        <f>IF(($A307-Ft!D$2)&lt;0,Ft!D$3*((1-Ft!D$6)/(1+Ft!D$37*($A307-Ft!D$2)^2)+Ft!D$6*EXP(Ft!D$38*($A307-Ft!D$2)^2)),Ft!D$3*((1-Ft!D$7)/(1+Ft!D$39*($A307-Ft!D$2)^2)+Ft!D$7*EXP(Ft!D$40*($A307-Ft!D$2)^2)))</f>
        <v>12.109173815788381</v>
      </c>
      <c r="I307" s="3">
        <f>IF(($A307-Ft!E$2)&lt;0,Ft!E$3*((1-Ft!E$6)/(1+Ft!E$37*($A307-Ft!E$2)^2)+Ft!E$6*EXP(Ft!E$38*($A307-Ft!E$2)^2)),Ft!E$3*((1-Ft!E$7)/(1+Ft!E$39*($A307-Ft!E$2)^2)+Ft!E$7*EXP(Ft!E$40*($A307-Ft!E$2)^2)))</f>
        <v>4.9872814341715808</v>
      </c>
      <c r="J307" s="3">
        <f>IF(($A307-Ft!F$2)&lt;0,Ft!F$3*((1-Ft!F$6)/(1+Ft!F$37*($A307-Ft!F$2)^2)+Ft!F$6*EXP(Ft!F$38*($A307-Ft!F$2)^2)),Ft!F$3*((1-Ft!F$7)/(1+Ft!F$39*($A307-Ft!F$2)^2)+Ft!F$7*EXP(Ft!F$40*($A307-Ft!F$2)^2)))</f>
        <v>6.8522825340709597E-18</v>
      </c>
      <c r="K307" s="3">
        <f>IF(($A307-Ft!G$2)&lt;0,Ft!G$3*((1-Ft!G$6)/(1+Ft!G$37*($A307-Ft!G$2)^2)+Ft!G$6*EXP(Ft!G$38*($A307-Ft!G$2)^2)),Ft!G$3*((1-Ft!G$7)/(1+Ft!G$39*($A307-Ft!G$2)^2)+Ft!G$7*EXP(Ft!G$40*($A307-Ft!G$2)^2)))</f>
        <v>3.4088038942744935E-78</v>
      </c>
      <c r="L307" s="3">
        <f>IF(($A307-Ft!H$2)&lt;0,Ft!H$3*((1-Ft!H$6)/(1+Ft!H$37*($A307-Ft!H$2)^2)+Ft!H$6*EXP(Ft!H$38*($A307-Ft!H$2)^2)),Ft!H$3*((1-Ft!H$7)/(1+Ft!H$39*($A307-Ft!H$2)^2)+Ft!H$7*EXP(Ft!H$40*($A307-Ft!H$2)^2)))</f>
        <v>0</v>
      </c>
      <c r="M307" s="3">
        <f>IF(($A307-Ft!I$2)&lt;0,Ft!I$3*((1-Ft!I$6)/(1+Ft!I$37*($A307-Ft!I$2)^2)+Ft!I$6*EXP(Ft!I$38*($A307-Ft!I$2)^2)),Ft!I$3*((1-Ft!I$7)/(1+Ft!I$39*($A307-Ft!I$2)^2)+Ft!I$7*EXP(Ft!I$40*($A307-Ft!I$2)^2)))</f>
        <v>0</v>
      </c>
      <c r="N307" s="3">
        <f>IF(($A307-Ft!J$2)&lt;0,Ft!J$3*((1-Ft!J$6)/(1+Ft!J$37*($A307-Ft!J$2)^2)+Ft!J$6*EXP(Ft!J$38*($A307-Ft!J$2)^2)),Ft!J$3*((1-Ft!J$7)/(1+Ft!J$39*($A307-Ft!J$2)^2)+Ft!J$7*EXP(Ft!J$40*($A307-Ft!J$2)^2)))</f>
        <v>0</v>
      </c>
      <c r="O307" s="3">
        <f>IF(($A307-Ft!K$2)&lt;0,Ft!K$3*((1-Ft!K$6)/(1+Ft!K$37*($A307-Ft!K$2)^2)+Ft!K$6*EXP(Ft!K$38*($A307-Ft!K$2)^2)),Ft!K$3*((1-Ft!K$7)/(1+Ft!K$39*($A307-Ft!K$2)^2)+Ft!K$7*EXP(Ft!K$40*($A307-Ft!K$2)^2)))</f>
        <v>0</v>
      </c>
      <c r="P307"/>
      <c r="Q307"/>
    </row>
    <row r="308" spans="1:17">
      <c r="A308">
        <v>612</v>
      </c>
      <c r="B308">
        <v>16.904644826932</v>
      </c>
      <c r="C308" s="6">
        <f t="shared" si="9"/>
        <v>17.068296590018971</v>
      </c>
      <c r="D308" s="19">
        <f t="shared" si="10"/>
        <v>2.6781899561474136E-2</v>
      </c>
      <c r="E308" s="3">
        <f>Ft!$B$12+Ft!$B$14*(Data!A308-Vars!$B$3)</f>
        <v>0</v>
      </c>
      <c r="F308" s="3">
        <f>IF(($A308-Ft!B$2)&lt;0,Ft!B$3*((1-Ft!B$6)/(1+Ft!B$37*($A308-Ft!B$2)^2)+Ft!B$6*EXP(Ft!B$38*($A308-Ft!B$2)^2)),Ft!B$3*((1-Ft!B$7)/(1+Ft!B$39*($A308-Ft!B$2)^2)+Ft!B$7*EXP(Ft!B$40*($A308-Ft!B$2)^2)))</f>
        <v>2.0678800576283389E-176</v>
      </c>
      <c r="G308" s="3">
        <f>IF(($A308-Ft!C$2)&lt;0,Ft!C$3*((1-Ft!C$6)/(1+Ft!C$37*($A308-Ft!C$2)^2)+Ft!C$6*EXP(Ft!C$38*($A308-Ft!C$2)^2)),Ft!C$3*((1-Ft!C$7)/(1+Ft!C$39*($A308-Ft!C$2)^2)+Ft!C$7*EXP(Ft!C$40*($A308-Ft!C$2)^2)))</f>
        <v>1.1433708388787043E-7</v>
      </c>
      <c r="H308" s="3">
        <f>IF(($A308-Ft!D$2)&lt;0,Ft!D$3*((1-Ft!D$6)/(1+Ft!D$37*($A308-Ft!D$2)^2)+Ft!D$6*EXP(Ft!D$38*($A308-Ft!D$2)^2)),Ft!D$3*((1-Ft!D$7)/(1+Ft!D$39*($A308-Ft!D$2)^2)+Ft!D$7*EXP(Ft!D$40*($A308-Ft!D$2)^2)))</f>
        <v>11.973695475530382</v>
      </c>
      <c r="I308" s="3">
        <f>IF(($A308-Ft!E$2)&lt;0,Ft!E$3*((1-Ft!E$6)/(1+Ft!E$37*($A308-Ft!E$2)^2)+Ft!E$6*EXP(Ft!E$38*($A308-Ft!E$2)^2)),Ft!E$3*((1-Ft!E$7)/(1+Ft!E$39*($A308-Ft!E$2)^2)+Ft!E$7*EXP(Ft!E$40*($A308-Ft!E$2)^2)))</f>
        <v>5.0946010001515045</v>
      </c>
      <c r="J308" s="3">
        <f>IF(($A308-Ft!F$2)&lt;0,Ft!F$3*((1-Ft!F$6)/(1+Ft!F$37*($A308-Ft!F$2)^2)+Ft!F$6*EXP(Ft!F$38*($A308-Ft!F$2)^2)),Ft!F$3*((1-Ft!F$7)/(1+Ft!F$39*($A308-Ft!F$2)^2)+Ft!F$7*EXP(Ft!F$40*($A308-Ft!F$2)^2)))</f>
        <v>1.0424000637772908E-17</v>
      </c>
      <c r="K308" s="3">
        <f>IF(($A308-Ft!G$2)&lt;0,Ft!G$3*((1-Ft!G$6)/(1+Ft!G$37*($A308-Ft!G$2)^2)+Ft!G$6*EXP(Ft!G$38*($A308-Ft!G$2)^2)),Ft!G$3*((1-Ft!G$7)/(1+Ft!G$39*($A308-Ft!G$2)^2)+Ft!G$7*EXP(Ft!G$40*($A308-Ft!G$2)^2)))</f>
        <v>1.7781832131963515E-77</v>
      </c>
      <c r="L308" s="3">
        <f>IF(($A308-Ft!H$2)&lt;0,Ft!H$3*((1-Ft!H$6)/(1+Ft!H$37*($A308-Ft!H$2)^2)+Ft!H$6*EXP(Ft!H$38*($A308-Ft!H$2)^2)),Ft!H$3*((1-Ft!H$7)/(1+Ft!H$39*($A308-Ft!H$2)^2)+Ft!H$7*EXP(Ft!H$40*($A308-Ft!H$2)^2)))</f>
        <v>0</v>
      </c>
      <c r="M308" s="3">
        <f>IF(($A308-Ft!I$2)&lt;0,Ft!I$3*((1-Ft!I$6)/(1+Ft!I$37*($A308-Ft!I$2)^2)+Ft!I$6*EXP(Ft!I$38*($A308-Ft!I$2)^2)),Ft!I$3*((1-Ft!I$7)/(1+Ft!I$39*($A308-Ft!I$2)^2)+Ft!I$7*EXP(Ft!I$40*($A308-Ft!I$2)^2)))</f>
        <v>0</v>
      </c>
      <c r="N308" s="3">
        <f>IF(($A308-Ft!J$2)&lt;0,Ft!J$3*((1-Ft!J$6)/(1+Ft!J$37*($A308-Ft!J$2)^2)+Ft!J$6*EXP(Ft!J$38*($A308-Ft!J$2)^2)),Ft!J$3*((1-Ft!J$7)/(1+Ft!J$39*($A308-Ft!J$2)^2)+Ft!J$7*EXP(Ft!J$40*($A308-Ft!J$2)^2)))</f>
        <v>0</v>
      </c>
      <c r="O308" s="3">
        <f>IF(($A308-Ft!K$2)&lt;0,Ft!K$3*((1-Ft!K$6)/(1+Ft!K$37*($A308-Ft!K$2)^2)+Ft!K$6*EXP(Ft!K$38*($A308-Ft!K$2)^2)),Ft!K$3*((1-Ft!K$7)/(1+Ft!K$39*($A308-Ft!K$2)^2)+Ft!K$7*EXP(Ft!K$40*($A308-Ft!K$2)^2)))</f>
        <v>0</v>
      </c>
      <c r="P308"/>
      <c r="Q308"/>
    </row>
    <row r="309" spans="1:17">
      <c r="A309">
        <v>614</v>
      </c>
      <c r="B309">
        <v>16.859839888965993</v>
      </c>
      <c r="C309" s="6">
        <f t="shared" si="9"/>
        <v>17.041213119163046</v>
      </c>
      <c r="D309" s="19">
        <f t="shared" si="10"/>
        <v>3.2896248632113254E-2</v>
      </c>
      <c r="E309" s="3">
        <f>Ft!$B$12+Ft!$B$14*(Data!A309-Vars!$B$3)</f>
        <v>0</v>
      </c>
      <c r="F309" s="3">
        <f>IF(($A309-Ft!B$2)&lt;0,Ft!B$3*((1-Ft!B$6)/(1+Ft!B$37*($A309-Ft!B$2)^2)+Ft!B$6*EXP(Ft!B$38*($A309-Ft!B$2)^2)),Ft!B$3*((1-Ft!B$7)/(1+Ft!B$39*($A309-Ft!B$2)^2)+Ft!B$7*EXP(Ft!B$40*($A309-Ft!B$2)^2)))</f>
        <v>1.1733963431709381E-177</v>
      </c>
      <c r="G309" s="3">
        <f>IF(($A309-Ft!C$2)&lt;0,Ft!C$3*((1-Ft!C$6)/(1+Ft!C$37*($A309-Ft!C$2)^2)+Ft!C$6*EXP(Ft!C$38*($A309-Ft!C$2)^2)),Ft!C$3*((1-Ft!C$7)/(1+Ft!C$39*($A309-Ft!C$2)^2)+Ft!C$7*EXP(Ft!C$40*($A309-Ft!C$2)^2)))</f>
        <v>9.8013160763955298E-8</v>
      </c>
      <c r="H309" s="3">
        <f>IF(($A309-Ft!D$2)&lt;0,Ft!D$3*((1-Ft!D$6)/(1+Ft!D$37*($A309-Ft!D$2)^2)+Ft!D$6*EXP(Ft!D$38*($A309-Ft!D$2)^2)),Ft!D$3*((1-Ft!D$7)/(1+Ft!D$39*($A309-Ft!D$2)^2)+Ft!D$7*EXP(Ft!D$40*($A309-Ft!D$2)^2)))</f>
        <v>11.838030891039644</v>
      </c>
      <c r="I309" s="3">
        <f>IF(($A309-Ft!E$2)&lt;0,Ft!E$3*((1-Ft!E$6)/(1+Ft!E$37*($A309-Ft!E$2)^2)+Ft!E$6*EXP(Ft!E$38*($A309-Ft!E$2)^2)),Ft!E$3*((1-Ft!E$7)/(1+Ft!E$39*($A309-Ft!E$2)^2)+Ft!E$7*EXP(Ft!E$40*($A309-Ft!E$2)^2)))</f>
        <v>5.2031821301102426</v>
      </c>
      <c r="J309" s="3">
        <f>IF(($A309-Ft!F$2)&lt;0,Ft!F$3*((1-Ft!F$6)/(1+Ft!F$37*($A309-Ft!F$2)^2)+Ft!F$6*EXP(Ft!F$38*($A309-Ft!F$2)^2)),Ft!F$3*((1-Ft!F$7)/(1+Ft!F$39*($A309-Ft!F$2)^2)+Ft!F$7*EXP(Ft!F$40*($A309-Ft!F$2)^2)))</f>
        <v>1.5823365911862309E-17</v>
      </c>
      <c r="K309" s="3">
        <f>IF(($A309-Ft!G$2)&lt;0,Ft!G$3*((1-Ft!G$6)/(1+Ft!G$37*($A309-Ft!G$2)^2)+Ft!G$6*EXP(Ft!G$38*($A309-Ft!G$2)^2)),Ft!G$3*((1-Ft!G$7)/(1+Ft!G$39*($A309-Ft!G$2)^2)+Ft!G$7*EXP(Ft!G$40*($A309-Ft!G$2)^2)))</f>
        <v>9.2055115410343243E-77</v>
      </c>
      <c r="L309" s="3">
        <f>IF(($A309-Ft!H$2)&lt;0,Ft!H$3*((1-Ft!H$6)/(1+Ft!H$37*($A309-Ft!H$2)^2)+Ft!H$6*EXP(Ft!H$38*($A309-Ft!H$2)^2)),Ft!H$3*((1-Ft!H$7)/(1+Ft!H$39*($A309-Ft!H$2)^2)+Ft!H$7*EXP(Ft!H$40*($A309-Ft!H$2)^2)))</f>
        <v>0</v>
      </c>
      <c r="M309" s="3">
        <f>IF(($A309-Ft!I$2)&lt;0,Ft!I$3*((1-Ft!I$6)/(1+Ft!I$37*($A309-Ft!I$2)^2)+Ft!I$6*EXP(Ft!I$38*($A309-Ft!I$2)^2)),Ft!I$3*((1-Ft!I$7)/(1+Ft!I$39*($A309-Ft!I$2)^2)+Ft!I$7*EXP(Ft!I$40*($A309-Ft!I$2)^2)))</f>
        <v>0</v>
      </c>
      <c r="N309" s="3">
        <f>IF(($A309-Ft!J$2)&lt;0,Ft!J$3*((1-Ft!J$6)/(1+Ft!J$37*($A309-Ft!J$2)^2)+Ft!J$6*EXP(Ft!J$38*($A309-Ft!J$2)^2)),Ft!J$3*((1-Ft!J$7)/(1+Ft!J$39*($A309-Ft!J$2)^2)+Ft!J$7*EXP(Ft!J$40*($A309-Ft!J$2)^2)))</f>
        <v>0</v>
      </c>
      <c r="O309" s="3">
        <f>IF(($A309-Ft!K$2)&lt;0,Ft!K$3*((1-Ft!K$6)/(1+Ft!K$37*($A309-Ft!K$2)^2)+Ft!K$6*EXP(Ft!K$38*($A309-Ft!K$2)^2)),Ft!K$3*((1-Ft!K$7)/(1+Ft!K$39*($A309-Ft!K$2)^2)+Ft!K$7*EXP(Ft!K$40*($A309-Ft!K$2)^2)))</f>
        <v>0</v>
      </c>
      <c r="P309"/>
      <c r="Q309"/>
    </row>
    <row r="310" spans="1:17">
      <c r="A310">
        <v>616</v>
      </c>
      <c r="B310">
        <v>16.815999922541991</v>
      </c>
      <c r="C310" s="6">
        <f t="shared" si="9"/>
        <v>17.015228562463012</v>
      </c>
      <c r="D310" s="19">
        <f t="shared" si="10"/>
        <v>3.9692050964779763E-2</v>
      </c>
      <c r="E310" s="3">
        <f>Ft!$B$12+Ft!$B$14*(Data!A310-Vars!$B$3)</f>
        <v>0</v>
      </c>
      <c r="F310" s="3">
        <f>IF(($A310-Ft!B$2)&lt;0,Ft!B$3*((1-Ft!B$6)/(1+Ft!B$37*($A310-Ft!B$2)^2)+Ft!B$6*EXP(Ft!B$38*($A310-Ft!B$2)^2)),Ft!B$3*((1-Ft!B$7)/(1+Ft!B$39*($A310-Ft!B$2)^2)+Ft!B$7*EXP(Ft!B$40*($A310-Ft!B$2)^2)))</f>
        <v>6.5913321453442447E-179</v>
      </c>
      <c r="G310" s="3">
        <f>IF(($A310-Ft!C$2)&lt;0,Ft!C$3*((1-Ft!C$6)/(1+Ft!C$37*($A310-Ft!C$2)^2)+Ft!C$6*EXP(Ft!C$38*($A310-Ft!C$2)^2)),Ft!C$3*((1-Ft!C$7)/(1+Ft!C$39*($A310-Ft!C$2)^2)+Ft!C$7*EXP(Ft!C$40*($A310-Ft!C$2)^2)))</f>
        <v>8.396525477460134E-8</v>
      </c>
      <c r="H310" s="3">
        <f>IF(($A310-Ft!D$2)&lt;0,Ft!D$3*((1-Ft!D$6)/(1+Ft!D$37*($A310-Ft!D$2)^2)+Ft!D$6*EXP(Ft!D$38*($A310-Ft!D$2)^2)),Ft!D$3*((1-Ft!D$7)/(1+Ft!D$39*($A310-Ft!D$2)^2)+Ft!D$7*EXP(Ft!D$40*($A310-Ft!D$2)^2)))</f>
        <v>11.702220955668842</v>
      </c>
      <c r="I310" s="3">
        <f>IF(($A310-Ft!E$2)&lt;0,Ft!E$3*((1-Ft!E$6)/(1+Ft!E$37*($A310-Ft!E$2)^2)+Ft!E$6*EXP(Ft!E$38*($A310-Ft!E$2)^2)),Ft!E$3*((1-Ft!E$7)/(1+Ft!E$39*($A310-Ft!E$2)^2)+Ft!E$7*EXP(Ft!E$40*($A310-Ft!E$2)^2)))</f>
        <v>5.3130075228289142</v>
      </c>
      <c r="J310" s="3">
        <f>IF(($A310-Ft!F$2)&lt;0,Ft!F$3*((1-Ft!F$6)/(1+Ft!F$37*($A310-Ft!F$2)^2)+Ft!F$6*EXP(Ft!F$38*($A310-Ft!F$2)^2)),Ft!F$3*((1-Ft!F$7)/(1+Ft!F$39*($A310-Ft!F$2)^2)+Ft!F$7*EXP(Ft!F$40*($A310-Ft!F$2)^2)))</f>
        <v>2.3967822911279744E-17</v>
      </c>
      <c r="K310" s="3">
        <f>IF(($A310-Ft!G$2)&lt;0,Ft!G$3*((1-Ft!G$6)/(1+Ft!G$37*($A310-Ft!G$2)^2)+Ft!G$6*EXP(Ft!G$38*($A310-Ft!G$2)^2)),Ft!G$3*((1-Ft!G$7)/(1+Ft!G$39*($A310-Ft!G$2)^2)+Ft!G$7*EXP(Ft!G$40*($A310-Ft!G$2)^2)))</f>
        <v>4.7295114343410615E-76</v>
      </c>
      <c r="L310" s="3">
        <f>IF(($A310-Ft!H$2)&lt;0,Ft!H$3*((1-Ft!H$6)/(1+Ft!H$37*($A310-Ft!H$2)^2)+Ft!H$6*EXP(Ft!H$38*($A310-Ft!H$2)^2)),Ft!H$3*((1-Ft!H$7)/(1+Ft!H$39*($A310-Ft!H$2)^2)+Ft!H$7*EXP(Ft!H$40*($A310-Ft!H$2)^2)))</f>
        <v>0</v>
      </c>
      <c r="M310" s="3">
        <f>IF(($A310-Ft!I$2)&lt;0,Ft!I$3*((1-Ft!I$6)/(1+Ft!I$37*($A310-Ft!I$2)^2)+Ft!I$6*EXP(Ft!I$38*($A310-Ft!I$2)^2)),Ft!I$3*((1-Ft!I$7)/(1+Ft!I$39*($A310-Ft!I$2)^2)+Ft!I$7*EXP(Ft!I$40*($A310-Ft!I$2)^2)))</f>
        <v>0</v>
      </c>
      <c r="N310" s="3">
        <f>IF(($A310-Ft!J$2)&lt;0,Ft!J$3*((1-Ft!J$6)/(1+Ft!J$37*($A310-Ft!J$2)^2)+Ft!J$6*EXP(Ft!J$38*($A310-Ft!J$2)^2)),Ft!J$3*((1-Ft!J$7)/(1+Ft!J$39*($A310-Ft!J$2)^2)+Ft!J$7*EXP(Ft!J$40*($A310-Ft!J$2)^2)))</f>
        <v>0</v>
      </c>
      <c r="O310" s="3">
        <f>IF(($A310-Ft!K$2)&lt;0,Ft!K$3*((1-Ft!K$6)/(1+Ft!K$37*($A310-Ft!K$2)^2)+Ft!K$6*EXP(Ft!K$38*($A310-Ft!K$2)^2)),Ft!K$3*((1-Ft!K$7)/(1+Ft!K$39*($A310-Ft!K$2)^2)+Ft!K$7*EXP(Ft!K$40*($A310-Ft!K$2)^2)))</f>
        <v>0</v>
      </c>
      <c r="P310"/>
      <c r="Q310"/>
    </row>
    <row r="311" spans="1:17">
      <c r="A311">
        <v>618</v>
      </c>
      <c r="B311">
        <v>16.77401161847699</v>
      </c>
      <c r="C311" s="6">
        <f t="shared" si="9"/>
        <v>16.990364981424477</v>
      </c>
      <c r="D311" s="19">
        <f t="shared" si="10"/>
        <v>4.6808777658687031E-2</v>
      </c>
      <c r="E311" s="3">
        <f>Ft!$B$12+Ft!$B$14*(Data!A311-Vars!$B$3)</f>
        <v>0</v>
      </c>
      <c r="F311" s="3">
        <f>IF(($A311-Ft!B$2)&lt;0,Ft!B$3*((1-Ft!B$6)/(1+Ft!B$37*($A311-Ft!B$2)^2)+Ft!B$6*EXP(Ft!B$38*($A311-Ft!B$2)^2)),Ft!B$3*((1-Ft!B$7)/(1+Ft!B$39*($A311-Ft!B$2)^2)+Ft!B$7*EXP(Ft!B$40*($A311-Ft!B$2)^2)))</f>
        <v>3.6653102734938593E-180</v>
      </c>
      <c r="G311" s="3">
        <f>IF(($A311-Ft!C$2)&lt;0,Ft!C$3*((1-Ft!C$6)/(1+Ft!C$37*($A311-Ft!C$2)^2)+Ft!C$6*EXP(Ft!C$38*($A311-Ft!C$2)^2)),Ft!C$3*((1-Ft!C$7)/(1+Ft!C$39*($A311-Ft!C$2)^2)+Ft!C$7*EXP(Ft!C$40*($A311-Ft!C$2)^2)))</f>
        <v>7.1884086433060382E-8</v>
      </c>
      <c r="H311" s="3">
        <f>IF(($A311-Ft!D$2)&lt;0,Ft!D$3*((1-Ft!D$6)/(1+Ft!D$37*($A311-Ft!D$2)^2)+Ft!D$6*EXP(Ft!D$38*($A311-Ft!D$2)^2)),Ft!D$3*((1-Ft!D$7)/(1+Ft!D$39*($A311-Ft!D$2)^2)+Ft!D$7*EXP(Ft!D$40*($A311-Ft!D$2)^2)))</f>
        <v>11.56630615887536</v>
      </c>
      <c r="I311" s="3">
        <f>IF(($A311-Ft!E$2)&lt;0,Ft!E$3*((1-Ft!E$6)/(1+Ft!E$37*($A311-Ft!E$2)^2)+Ft!E$6*EXP(Ft!E$38*($A311-Ft!E$2)^2)),Ft!E$3*((1-Ft!E$7)/(1+Ft!E$39*($A311-Ft!E$2)^2)+Ft!E$7*EXP(Ft!E$40*($A311-Ft!E$2)^2)))</f>
        <v>5.4240587506650302</v>
      </c>
      <c r="J311" s="3">
        <f>IF(($A311-Ft!F$2)&lt;0,Ft!F$3*((1-Ft!F$6)/(1+Ft!F$37*($A311-Ft!F$2)^2)+Ft!F$6*EXP(Ft!F$38*($A311-Ft!F$2)^2)),Ft!F$3*((1-Ft!F$7)/(1+Ft!F$39*($A311-Ft!F$2)^2)+Ft!F$7*EXP(Ft!F$40*($A311-Ft!F$2)^2)))</f>
        <v>3.6226266474339277E-17</v>
      </c>
      <c r="K311" s="3">
        <f>IF(($A311-Ft!G$2)&lt;0,Ft!G$3*((1-Ft!G$6)/(1+Ft!G$37*($A311-Ft!G$2)^2)+Ft!G$6*EXP(Ft!G$38*($A311-Ft!G$2)^2)),Ft!G$3*((1-Ft!G$7)/(1+Ft!G$39*($A311-Ft!G$2)^2)+Ft!G$7*EXP(Ft!G$40*($A311-Ft!G$2)^2)))</f>
        <v>2.4114683423088451E-75</v>
      </c>
      <c r="L311" s="3">
        <f>IF(($A311-Ft!H$2)&lt;0,Ft!H$3*((1-Ft!H$6)/(1+Ft!H$37*($A311-Ft!H$2)^2)+Ft!H$6*EXP(Ft!H$38*($A311-Ft!H$2)^2)),Ft!H$3*((1-Ft!H$7)/(1+Ft!H$39*($A311-Ft!H$2)^2)+Ft!H$7*EXP(Ft!H$40*($A311-Ft!H$2)^2)))</f>
        <v>0</v>
      </c>
      <c r="M311" s="3">
        <f>IF(($A311-Ft!I$2)&lt;0,Ft!I$3*((1-Ft!I$6)/(1+Ft!I$37*($A311-Ft!I$2)^2)+Ft!I$6*EXP(Ft!I$38*($A311-Ft!I$2)^2)),Ft!I$3*((1-Ft!I$7)/(1+Ft!I$39*($A311-Ft!I$2)^2)+Ft!I$7*EXP(Ft!I$40*($A311-Ft!I$2)^2)))</f>
        <v>0</v>
      </c>
      <c r="N311" s="3">
        <f>IF(($A311-Ft!J$2)&lt;0,Ft!J$3*((1-Ft!J$6)/(1+Ft!J$37*($A311-Ft!J$2)^2)+Ft!J$6*EXP(Ft!J$38*($A311-Ft!J$2)^2)),Ft!J$3*((1-Ft!J$7)/(1+Ft!J$39*($A311-Ft!J$2)^2)+Ft!J$7*EXP(Ft!J$40*($A311-Ft!J$2)^2)))</f>
        <v>0</v>
      </c>
      <c r="O311" s="3">
        <f>IF(($A311-Ft!K$2)&lt;0,Ft!K$3*((1-Ft!K$6)/(1+Ft!K$37*($A311-Ft!K$2)^2)+Ft!K$6*EXP(Ft!K$38*($A311-Ft!K$2)^2)),Ft!K$3*((1-Ft!K$7)/(1+Ft!K$39*($A311-Ft!K$2)^2)+Ft!K$7*EXP(Ft!K$40*($A311-Ft!K$2)^2)))</f>
        <v>0</v>
      </c>
      <c r="P311"/>
      <c r="Q311"/>
    </row>
    <row r="312" spans="1:17">
      <c r="A312">
        <v>620</v>
      </c>
      <c r="B312">
        <v>16.734761667586994</v>
      </c>
      <c r="C312" s="6">
        <f t="shared" si="9"/>
        <v>16.966642879983091</v>
      </c>
      <c r="D312" s="19">
        <f t="shared" si="10"/>
        <v>5.3768896662283718E-2</v>
      </c>
      <c r="E312" s="3">
        <f>Ft!$B$12+Ft!$B$14*(Data!A312-Vars!$B$3)</f>
        <v>0</v>
      </c>
      <c r="F312" s="3">
        <f>IF(($A312-Ft!B$2)&lt;0,Ft!B$3*((1-Ft!B$6)/(1+Ft!B$37*($A312-Ft!B$2)^2)+Ft!B$6*EXP(Ft!B$38*($A312-Ft!B$2)^2)),Ft!B$3*((1-Ft!B$7)/(1+Ft!B$39*($A312-Ft!B$2)^2)+Ft!B$7*EXP(Ft!B$40*($A312-Ft!B$2)^2)))</f>
        <v>2.0177036164221514E-181</v>
      </c>
      <c r="G312" s="3">
        <f>IF(($A312-Ft!C$2)&lt;0,Ft!C$3*((1-Ft!C$6)/(1+Ft!C$37*($A312-Ft!C$2)^2)+Ft!C$6*EXP(Ft!C$38*($A312-Ft!C$2)^2)),Ft!C$3*((1-Ft!C$7)/(1+Ft!C$39*($A312-Ft!C$2)^2)+Ft!C$7*EXP(Ft!C$40*($A312-Ft!C$2)^2)))</f>
        <v>6.1501235094433131E-8</v>
      </c>
      <c r="H312" s="3">
        <f>IF(($A312-Ft!D$2)&lt;0,Ft!D$3*((1-Ft!D$6)/(1+Ft!D$37*($A312-Ft!D$2)^2)+Ft!D$6*EXP(Ft!D$38*($A312-Ft!D$2)^2)),Ft!D$3*((1-Ft!D$7)/(1+Ft!D$39*($A312-Ft!D$2)^2)+Ft!D$7*EXP(Ft!D$40*($A312-Ft!D$2)^2)))</f>
        <v>11.430326567707541</v>
      </c>
      <c r="I312" s="3">
        <f>IF(($A312-Ft!E$2)&lt;0,Ft!E$3*((1-Ft!E$6)/(1+Ft!E$37*($A312-Ft!E$2)^2)+Ft!E$6*EXP(Ft!E$38*($A312-Ft!E$2)^2)),Ft!E$3*((1-Ft!E$7)/(1+Ft!E$39*($A312-Ft!E$2)^2)+Ft!E$7*EXP(Ft!E$40*($A312-Ft!E$2)^2)))</f>
        <v>5.536316250774318</v>
      </c>
      <c r="J312" s="3">
        <f>IF(($A312-Ft!F$2)&lt;0,Ft!F$3*((1-Ft!F$6)/(1+Ft!F$37*($A312-Ft!F$2)^2)+Ft!F$6*EXP(Ft!F$38*($A312-Ft!F$2)^2)),Ft!F$3*((1-Ft!F$7)/(1+Ft!F$39*($A312-Ft!F$2)^2)+Ft!F$7*EXP(Ft!F$40*($A312-Ft!F$2)^2)))</f>
        <v>5.4636622152185634E-17</v>
      </c>
      <c r="K312" s="3">
        <f>IF(($A312-Ft!G$2)&lt;0,Ft!G$3*((1-Ft!G$6)/(1+Ft!G$37*($A312-Ft!G$2)^2)+Ft!G$6*EXP(Ft!G$38*($A312-Ft!G$2)^2)),Ft!G$3*((1-Ft!G$7)/(1+Ft!G$39*($A312-Ft!G$2)^2)+Ft!G$7*EXP(Ft!G$40*($A312-Ft!G$2)^2)))</f>
        <v>1.2202358553885727E-74</v>
      </c>
      <c r="L312" s="3">
        <f>IF(($A312-Ft!H$2)&lt;0,Ft!H$3*((1-Ft!H$6)/(1+Ft!H$37*($A312-Ft!H$2)^2)+Ft!H$6*EXP(Ft!H$38*($A312-Ft!H$2)^2)),Ft!H$3*((1-Ft!H$7)/(1+Ft!H$39*($A312-Ft!H$2)^2)+Ft!H$7*EXP(Ft!H$40*($A312-Ft!H$2)^2)))</f>
        <v>0</v>
      </c>
      <c r="M312" s="3">
        <f>IF(($A312-Ft!I$2)&lt;0,Ft!I$3*((1-Ft!I$6)/(1+Ft!I$37*($A312-Ft!I$2)^2)+Ft!I$6*EXP(Ft!I$38*($A312-Ft!I$2)^2)),Ft!I$3*((1-Ft!I$7)/(1+Ft!I$39*($A312-Ft!I$2)^2)+Ft!I$7*EXP(Ft!I$40*($A312-Ft!I$2)^2)))</f>
        <v>0</v>
      </c>
      <c r="N312" s="3">
        <f>IF(($A312-Ft!J$2)&lt;0,Ft!J$3*((1-Ft!J$6)/(1+Ft!J$37*($A312-Ft!J$2)^2)+Ft!J$6*EXP(Ft!J$38*($A312-Ft!J$2)^2)),Ft!J$3*((1-Ft!J$7)/(1+Ft!J$39*($A312-Ft!J$2)^2)+Ft!J$7*EXP(Ft!J$40*($A312-Ft!J$2)^2)))</f>
        <v>0</v>
      </c>
      <c r="O312" s="3">
        <f>IF(($A312-Ft!K$2)&lt;0,Ft!K$3*((1-Ft!K$6)/(1+Ft!K$37*($A312-Ft!K$2)^2)+Ft!K$6*EXP(Ft!K$38*($A312-Ft!K$2)^2)),Ft!K$3*((1-Ft!K$7)/(1+Ft!K$39*($A312-Ft!K$2)^2)+Ft!K$7*EXP(Ft!K$40*($A312-Ft!K$2)^2)))</f>
        <v>0</v>
      </c>
      <c r="P312"/>
      <c r="Q312"/>
    </row>
    <row r="313" spans="1:17">
      <c r="A313">
        <v>622</v>
      </c>
      <c r="B313">
        <v>16.699136760689001</v>
      </c>
      <c r="C313" s="6">
        <f t="shared" si="9"/>
        <v>16.944081178693256</v>
      </c>
      <c r="D313" s="19">
        <f t="shared" si="10"/>
        <v>5.9997767911443435E-2</v>
      </c>
      <c r="E313" s="3">
        <f>Ft!$B$12+Ft!$B$14*(Data!A313-Vars!$B$3)</f>
        <v>0</v>
      </c>
      <c r="F313" s="3">
        <f>IF(($A313-Ft!B$2)&lt;0,Ft!B$3*((1-Ft!B$6)/(1+Ft!B$37*($A313-Ft!B$2)^2)+Ft!B$6*EXP(Ft!B$38*($A313-Ft!B$2)^2)),Ft!B$3*((1-Ft!B$7)/(1+Ft!B$39*($A313-Ft!B$2)^2)+Ft!B$7*EXP(Ft!B$40*($A313-Ft!B$2)^2)))</f>
        <v>1.0995451862832926E-182</v>
      </c>
      <c r="G313" s="3">
        <f>IF(($A313-Ft!C$2)&lt;0,Ft!C$3*((1-Ft!C$6)/(1+Ft!C$37*($A313-Ft!C$2)^2)+Ft!C$6*EXP(Ft!C$38*($A313-Ft!C$2)^2)),Ft!C$3*((1-Ft!C$7)/(1+Ft!C$39*($A313-Ft!C$2)^2)+Ft!C$7*EXP(Ft!C$40*($A313-Ft!C$2)^2)))</f>
        <v>5.2583906811847026E-8</v>
      </c>
      <c r="H313" s="3">
        <f>IF(($A313-Ft!D$2)&lt;0,Ft!D$3*((1-Ft!D$6)/(1+Ft!D$37*($A313-Ft!D$2)^2)+Ft!D$6*EXP(Ft!D$38*($A313-Ft!D$2)^2)),Ft!D$3*((1-Ft!D$7)/(1+Ft!D$39*($A313-Ft!D$2)^2)+Ft!D$7*EXP(Ft!D$40*($A313-Ft!D$2)^2)))</f>
        <v>11.294321808806497</v>
      </c>
      <c r="I313" s="3">
        <f>IF(($A313-Ft!E$2)&lt;0,Ft!E$3*((1-Ft!E$6)/(1+Ft!E$37*($A313-Ft!E$2)^2)+Ft!E$6*EXP(Ft!E$38*($A313-Ft!E$2)^2)),Ft!E$3*((1-Ft!E$7)/(1+Ft!E$39*($A313-Ft!E$2)^2)+Ft!E$7*EXP(Ft!E$40*($A313-Ft!E$2)^2)))</f>
        <v>5.6497593173028511</v>
      </c>
      <c r="J313" s="3">
        <f>IF(($A313-Ft!F$2)&lt;0,Ft!F$3*((1-Ft!F$6)/(1+Ft!F$37*($A313-Ft!F$2)^2)+Ft!F$6*EXP(Ft!F$38*($A313-Ft!F$2)^2)),Ft!F$3*((1-Ft!F$7)/(1+Ft!F$39*($A313-Ft!F$2)^2)+Ft!F$7*EXP(Ft!F$40*($A313-Ft!F$2)^2)))</f>
        <v>8.2226040957288482E-17</v>
      </c>
      <c r="K313" s="3">
        <f>IF(($A313-Ft!G$2)&lt;0,Ft!G$3*((1-Ft!G$6)/(1+Ft!G$37*($A313-Ft!G$2)^2)+Ft!G$6*EXP(Ft!G$38*($A313-Ft!G$2)^2)),Ft!G$3*((1-Ft!G$7)/(1+Ft!G$39*($A313-Ft!G$2)^2)+Ft!G$7*EXP(Ft!G$40*($A313-Ft!G$2)^2)))</f>
        <v>6.1277767084242341E-74</v>
      </c>
      <c r="L313" s="3">
        <f>IF(($A313-Ft!H$2)&lt;0,Ft!H$3*((1-Ft!H$6)/(1+Ft!H$37*($A313-Ft!H$2)^2)+Ft!H$6*EXP(Ft!H$38*($A313-Ft!H$2)^2)),Ft!H$3*((1-Ft!H$7)/(1+Ft!H$39*($A313-Ft!H$2)^2)+Ft!H$7*EXP(Ft!H$40*($A313-Ft!H$2)^2)))</f>
        <v>0</v>
      </c>
      <c r="M313" s="3">
        <f>IF(($A313-Ft!I$2)&lt;0,Ft!I$3*((1-Ft!I$6)/(1+Ft!I$37*($A313-Ft!I$2)^2)+Ft!I$6*EXP(Ft!I$38*($A313-Ft!I$2)^2)),Ft!I$3*((1-Ft!I$7)/(1+Ft!I$39*($A313-Ft!I$2)^2)+Ft!I$7*EXP(Ft!I$40*($A313-Ft!I$2)^2)))</f>
        <v>0</v>
      </c>
      <c r="N313" s="3">
        <f>IF(($A313-Ft!J$2)&lt;0,Ft!J$3*((1-Ft!J$6)/(1+Ft!J$37*($A313-Ft!J$2)^2)+Ft!J$6*EXP(Ft!J$38*($A313-Ft!J$2)^2)),Ft!J$3*((1-Ft!J$7)/(1+Ft!J$39*($A313-Ft!J$2)^2)+Ft!J$7*EXP(Ft!J$40*($A313-Ft!J$2)^2)))</f>
        <v>0</v>
      </c>
      <c r="O313" s="3">
        <f>IF(($A313-Ft!K$2)&lt;0,Ft!K$3*((1-Ft!K$6)/(1+Ft!K$37*($A313-Ft!K$2)^2)+Ft!K$6*EXP(Ft!K$38*($A313-Ft!K$2)^2)),Ft!K$3*((1-Ft!K$7)/(1+Ft!K$39*($A313-Ft!K$2)^2)+Ft!K$7*EXP(Ft!K$40*($A313-Ft!K$2)^2)))</f>
        <v>0</v>
      </c>
      <c r="P313"/>
      <c r="Q313"/>
    </row>
    <row r="314" spans="1:17">
      <c r="A314">
        <v>624</v>
      </c>
      <c r="B314">
        <v>16.66802358859799</v>
      </c>
      <c r="C314" s="6">
        <f t="shared" si="9"/>
        <v>16.922697190442509</v>
      </c>
      <c r="D314" s="19">
        <f t="shared" si="10"/>
        <v>6.4858643476460837E-2</v>
      </c>
      <c r="E314" s="3">
        <f>Ft!$B$12+Ft!$B$14*(Data!A314-Vars!$B$3)</f>
        <v>0</v>
      </c>
      <c r="F314" s="3">
        <f>IF(($A314-Ft!B$2)&lt;0,Ft!B$3*((1-Ft!B$6)/(1+Ft!B$37*($A314-Ft!B$2)^2)+Ft!B$6*EXP(Ft!B$38*($A314-Ft!B$2)^2)),Ft!B$3*((1-Ft!B$7)/(1+Ft!B$39*($A314-Ft!B$2)^2)+Ft!B$7*EXP(Ft!B$40*($A314-Ft!B$2)^2)))</f>
        <v>5.9316821559727707E-184</v>
      </c>
      <c r="G314" s="3">
        <f>IF(($A314-Ft!C$2)&lt;0,Ft!C$3*((1-Ft!C$6)/(1+Ft!C$37*($A314-Ft!C$2)^2)+Ft!C$6*EXP(Ft!C$38*($A314-Ft!C$2)^2)),Ft!C$3*((1-Ft!C$7)/(1+Ft!C$39*($A314-Ft!C$2)^2)+Ft!C$7*EXP(Ft!C$40*($A314-Ft!C$2)^2)))</f>
        <v>4.4930349196877729E-8</v>
      </c>
      <c r="H314" s="3">
        <f>IF(($A314-Ft!D$2)&lt;0,Ft!D$3*((1-Ft!D$6)/(1+Ft!D$37*($A314-Ft!D$2)^2)+Ft!D$6*EXP(Ft!D$38*($A314-Ft!D$2)^2)),Ft!D$3*((1-Ft!D$7)/(1+Ft!D$39*($A314-Ft!D$2)^2)+Ft!D$7*EXP(Ft!D$40*($A314-Ft!D$2)^2)))</f>
        <v>11.158331050932892</v>
      </c>
      <c r="I314" s="3">
        <f>IF(($A314-Ft!E$2)&lt;0,Ft!E$3*((1-Ft!E$6)/(1+Ft!E$37*($A314-Ft!E$2)^2)+Ft!E$6*EXP(Ft!E$38*($A314-Ft!E$2)^2)),Ft!E$3*((1-Ft!E$7)/(1+Ft!E$39*($A314-Ft!E$2)^2)+Ft!E$7*EXP(Ft!E$40*($A314-Ft!E$2)^2)))</f>
        <v>5.7643660945792679</v>
      </c>
      <c r="J314" s="3">
        <f>IF(($A314-Ft!F$2)&lt;0,Ft!F$3*((1-Ft!F$6)/(1+Ft!F$37*($A314-Ft!F$2)^2)+Ft!F$6*EXP(Ft!F$38*($A314-Ft!F$2)^2)),Ft!F$3*((1-Ft!F$7)/(1+Ft!F$39*($A314-Ft!F$2)^2)+Ft!F$7*EXP(Ft!F$40*($A314-Ft!F$2)^2)))</f>
        <v>1.234810156250371E-16</v>
      </c>
      <c r="K314" s="3">
        <f>IF(($A314-Ft!G$2)&lt;0,Ft!G$3*((1-Ft!G$6)/(1+Ft!G$37*($A314-Ft!G$2)^2)+Ft!G$6*EXP(Ft!G$38*($A314-Ft!G$2)^2)),Ft!G$3*((1-Ft!G$7)/(1+Ft!G$39*($A314-Ft!G$2)^2)+Ft!G$7*EXP(Ft!G$40*($A314-Ft!G$2)^2)))</f>
        <v>3.053929541885455E-73</v>
      </c>
      <c r="L314" s="3">
        <f>IF(($A314-Ft!H$2)&lt;0,Ft!H$3*((1-Ft!H$6)/(1+Ft!H$37*($A314-Ft!H$2)^2)+Ft!H$6*EXP(Ft!H$38*($A314-Ft!H$2)^2)),Ft!H$3*((1-Ft!H$7)/(1+Ft!H$39*($A314-Ft!H$2)^2)+Ft!H$7*EXP(Ft!H$40*($A314-Ft!H$2)^2)))</f>
        <v>0</v>
      </c>
      <c r="M314" s="3">
        <f>IF(($A314-Ft!I$2)&lt;0,Ft!I$3*((1-Ft!I$6)/(1+Ft!I$37*($A314-Ft!I$2)^2)+Ft!I$6*EXP(Ft!I$38*($A314-Ft!I$2)^2)),Ft!I$3*((1-Ft!I$7)/(1+Ft!I$39*($A314-Ft!I$2)^2)+Ft!I$7*EXP(Ft!I$40*($A314-Ft!I$2)^2)))</f>
        <v>0</v>
      </c>
      <c r="N314" s="3">
        <f>IF(($A314-Ft!J$2)&lt;0,Ft!J$3*((1-Ft!J$6)/(1+Ft!J$37*($A314-Ft!J$2)^2)+Ft!J$6*EXP(Ft!J$38*($A314-Ft!J$2)^2)),Ft!J$3*((1-Ft!J$7)/(1+Ft!J$39*($A314-Ft!J$2)^2)+Ft!J$7*EXP(Ft!J$40*($A314-Ft!J$2)^2)))</f>
        <v>0</v>
      </c>
      <c r="O314" s="3">
        <f>IF(($A314-Ft!K$2)&lt;0,Ft!K$3*((1-Ft!K$6)/(1+Ft!K$37*($A314-Ft!K$2)^2)+Ft!K$6*EXP(Ft!K$38*($A314-Ft!K$2)^2)),Ft!K$3*((1-Ft!K$7)/(1+Ft!K$39*($A314-Ft!K$2)^2)+Ft!K$7*EXP(Ft!K$40*($A314-Ft!K$2)^2)))</f>
        <v>0</v>
      </c>
      <c r="P314"/>
      <c r="Q314"/>
    </row>
    <row r="315" spans="1:17">
      <c r="A315">
        <v>626</v>
      </c>
      <c r="B315">
        <v>16.640185090849002</v>
      </c>
      <c r="C315" s="6">
        <f t="shared" si="9"/>
        <v>16.902506597729431</v>
      </c>
      <c r="D315" s="19">
        <f t="shared" si="10"/>
        <v>6.8812572972019065E-2</v>
      </c>
      <c r="E315" s="3">
        <f>Ft!$B$12+Ft!$B$14*(Data!A315-Vars!$B$3)</f>
        <v>0</v>
      </c>
      <c r="F315" s="3">
        <f>IF(($A315-Ft!B$2)&lt;0,Ft!B$3*((1-Ft!B$6)/(1+Ft!B$37*($A315-Ft!B$2)^2)+Ft!B$6*EXP(Ft!B$38*($A315-Ft!B$2)^2)),Ft!B$3*((1-Ft!B$7)/(1+Ft!B$39*($A315-Ft!B$2)^2)+Ft!B$7*EXP(Ft!B$40*($A315-Ft!B$2)^2)))</f>
        <v>3.1677561498148453E-185</v>
      </c>
      <c r="G315" s="3">
        <f>IF(($A315-Ft!C$2)&lt;0,Ft!C$3*((1-Ft!C$6)/(1+Ft!C$37*($A315-Ft!C$2)^2)+Ft!C$6*EXP(Ft!C$38*($A315-Ft!C$2)^2)),Ft!C$3*((1-Ft!C$7)/(1+Ft!C$39*($A315-Ft!C$2)^2)+Ft!C$7*EXP(Ft!C$40*($A315-Ft!C$2)^2)))</f>
        <v>3.8365836392439908E-8</v>
      </c>
      <c r="H315" s="3">
        <f>IF(($A315-Ft!D$2)&lt;0,Ft!D$3*((1-Ft!D$6)/(1+Ft!D$37*($A315-Ft!D$2)^2)+Ft!D$6*EXP(Ft!D$38*($A315-Ft!D$2)^2)),Ft!D$3*((1-Ft!D$7)/(1+Ft!D$39*($A315-Ft!D$2)^2)+Ft!D$7*EXP(Ft!D$40*($A315-Ft!D$2)^2)))</f>
        <v>11.022392988027491</v>
      </c>
      <c r="I315" s="3">
        <f>IF(($A315-Ft!E$2)&lt;0,Ft!E$3*((1-Ft!E$6)/(1+Ft!E$37*($A315-Ft!E$2)^2)+Ft!E$6*EXP(Ft!E$38*($A315-Ft!E$2)^2)),Ft!E$3*((1-Ft!E$7)/(1+Ft!E$39*($A315-Ft!E$2)^2)+Ft!E$7*EXP(Ft!E$40*($A315-Ft!E$2)^2)))</f>
        <v>5.8801135713361026</v>
      </c>
      <c r="J315" s="3">
        <f>IF(($A315-Ft!F$2)&lt;0,Ft!F$3*((1-Ft!F$6)/(1+Ft!F$37*($A315-Ft!F$2)^2)+Ft!F$6*EXP(Ft!F$38*($A315-Ft!F$2)^2)),Ft!F$3*((1-Ft!F$7)/(1+Ft!F$39*($A315-Ft!F$2)^2)+Ft!F$7*EXP(Ft!F$40*($A315-Ft!F$2)^2)))</f>
        <v>1.8503602050728097E-16</v>
      </c>
      <c r="K315" s="3">
        <f>IF(($A315-Ft!G$2)&lt;0,Ft!G$3*((1-Ft!G$6)/(1+Ft!G$37*($A315-Ft!G$2)^2)+Ft!G$6*EXP(Ft!G$38*($A315-Ft!G$2)^2)),Ft!G$3*((1-Ft!G$7)/(1+Ft!G$39*($A315-Ft!G$2)^2)+Ft!G$7*EXP(Ft!G$40*($A315-Ft!G$2)^2)))</f>
        <v>1.5104697314456139E-72</v>
      </c>
      <c r="L315" s="3">
        <f>IF(($A315-Ft!H$2)&lt;0,Ft!H$3*((1-Ft!H$6)/(1+Ft!H$37*($A315-Ft!H$2)^2)+Ft!H$6*EXP(Ft!H$38*($A315-Ft!H$2)^2)),Ft!H$3*((1-Ft!H$7)/(1+Ft!H$39*($A315-Ft!H$2)^2)+Ft!H$7*EXP(Ft!H$40*($A315-Ft!H$2)^2)))</f>
        <v>0</v>
      </c>
      <c r="M315" s="3">
        <f>IF(($A315-Ft!I$2)&lt;0,Ft!I$3*((1-Ft!I$6)/(1+Ft!I$37*($A315-Ft!I$2)^2)+Ft!I$6*EXP(Ft!I$38*($A315-Ft!I$2)^2)),Ft!I$3*((1-Ft!I$7)/(1+Ft!I$39*($A315-Ft!I$2)^2)+Ft!I$7*EXP(Ft!I$40*($A315-Ft!I$2)^2)))</f>
        <v>0</v>
      </c>
      <c r="N315" s="3">
        <f>IF(($A315-Ft!J$2)&lt;0,Ft!J$3*((1-Ft!J$6)/(1+Ft!J$37*($A315-Ft!J$2)^2)+Ft!J$6*EXP(Ft!J$38*($A315-Ft!J$2)^2)),Ft!J$3*((1-Ft!J$7)/(1+Ft!J$39*($A315-Ft!J$2)^2)+Ft!J$7*EXP(Ft!J$40*($A315-Ft!J$2)^2)))</f>
        <v>0</v>
      </c>
      <c r="O315" s="3">
        <f>IF(($A315-Ft!K$2)&lt;0,Ft!K$3*((1-Ft!K$6)/(1+Ft!K$37*($A315-Ft!K$2)^2)+Ft!K$6*EXP(Ft!K$38*($A315-Ft!K$2)^2)),Ft!K$3*((1-Ft!K$7)/(1+Ft!K$39*($A315-Ft!K$2)^2)+Ft!K$7*EXP(Ft!K$40*($A315-Ft!K$2)^2)))</f>
        <v>0</v>
      </c>
      <c r="P315"/>
      <c r="Q315"/>
    </row>
    <row r="316" spans="1:17">
      <c r="A316">
        <v>628</v>
      </c>
      <c r="B316">
        <v>16.613926992171997</v>
      </c>
      <c r="C316" s="6">
        <f t="shared" si="9"/>
        <v>16.883523431541221</v>
      </c>
      <c r="D316" s="19">
        <f t="shared" si="10"/>
        <v>7.2682240120563471E-2</v>
      </c>
      <c r="E316" s="3">
        <f>Ft!$B$12+Ft!$B$14*(Data!A316-Vars!$B$3)</f>
        <v>0</v>
      </c>
      <c r="F316" s="3">
        <f>IF(($A316-Ft!B$2)&lt;0,Ft!B$3*((1-Ft!B$6)/(1+Ft!B$37*($A316-Ft!B$2)^2)+Ft!B$6*EXP(Ft!B$38*($A316-Ft!B$2)^2)),Ft!B$3*((1-Ft!B$7)/(1+Ft!B$39*($A316-Ft!B$2)^2)+Ft!B$7*EXP(Ft!B$40*($A316-Ft!B$2)^2)))</f>
        <v>1.6746910320263414E-186</v>
      </c>
      <c r="G316" s="3">
        <f>IF(($A316-Ft!C$2)&lt;0,Ft!C$3*((1-Ft!C$6)/(1+Ft!C$37*($A316-Ft!C$2)^2)+Ft!C$6*EXP(Ft!C$38*($A316-Ft!C$2)^2)),Ft!C$3*((1-Ft!C$7)/(1+Ft!C$39*($A316-Ft!C$2)^2)+Ft!C$7*EXP(Ft!C$40*($A316-Ft!C$2)^2)))</f>
        <v>3.2739155992345327E-8</v>
      </c>
      <c r="H316" s="3">
        <f>IF(($A316-Ft!D$2)&lt;0,Ft!D$3*((1-Ft!D$6)/(1+Ft!D$37*($A316-Ft!D$2)^2)+Ft!D$6*EXP(Ft!D$38*($A316-Ft!D$2)^2)),Ft!D$3*((1-Ft!D$7)/(1+Ft!D$39*($A316-Ft!D$2)^2)+Ft!D$7*EXP(Ft!D$40*($A316-Ft!D$2)^2)))</f>
        <v>10.886545822813712</v>
      </c>
      <c r="I316" s="3">
        <f>IF(($A316-Ft!E$2)&lt;0,Ft!E$3*((1-Ft!E$6)/(1+Ft!E$37*($A316-Ft!E$2)^2)+Ft!E$6*EXP(Ft!E$38*($A316-Ft!E$2)^2)),Ft!E$3*((1-Ft!E$7)/(1+Ft!E$39*($A316-Ft!E$2)^2)+Ft!E$7*EXP(Ft!E$40*($A316-Ft!E$2)^2)))</f>
        <v>5.9969775759883515</v>
      </c>
      <c r="J316" s="3">
        <f>IF(($A316-Ft!F$2)&lt;0,Ft!F$3*((1-Ft!F$6)/(1+Ft!F$37*($A316-Ft!F$2)^2)+Ft!F$6*EXP(Ft!F$38*($A316-Ft!F$2)^2)),Ft!F$3*((1-Ft!F$7)/(1+Ft!F$39*($A316-Ft!F$2)^2)+Ft!F$7*EXP(Ft!F$40*($A316-Ft!F$2)^2)))</f>
        <v>2.7667991948271788E-16</v>
      </c>
      <c r="K316" s="3">
        <f>IF(($A316-Ft!G$2)&lt;0,Ft!G$3*((1-Ft!G$6)/(1+Ft!G$37*($A316-Ft!G$2)^2)+Ft!G$6*EXP(Ft!G$38*($A316-Ft!G$2)^2)),Ft!G$3*((1-Ft!G$7)/(1+Ft!G$39*($A316-Ft!G$2)^2)+Ft!G$7*EXP(Ft!G$40*($A316-Ft!G$2)^2)))</f>
        <v>7.414160318055823E-72</v>
      </c>
      <c r="L316" s="3">
        <f>IF(($A316-Ft!H$2)&lt;0,Ft!H$3*((1-Ft!H$6)/(1+Ft!H$37*($A316-Ft!H$2)^2)+Ft!H$6*EXP(Ft!H$38*($A316-Ft!H$2)^2)),Ft!H$3*((1-Ft!H$7)/(1+Ft!H$39*($A316-Ft!H$2)^2)+Ft!H$7*EXP(Ft!H$40*($A316-Ft!H$2)^2)))</f>
        <v>0</v>
      </c>
      <c r="M316" s="3">
        <f>IF(($A316-Ft!I$2)&lt;0,Ft!I$3*((1-Ft!I$6)/(1+Ft!I$37*($A316-Ft!I$2)^2)+Ft!I$6*EXP(Ft!I$38*($A316-Ft!I$2)^2)),Ft!I$3*((1-Ft!I$7)/(1+Ft!I$39*($A316-Ft!I$2)^2)+Ft!I$7*EXP(Ft!I$40*($A316-Ft!I$2)^2)))</f>
        <v>0</v>
      </c>
      <c r="N316" s="3">
        <f>IF(($A316-Ft!J$2)&lt;0,Ft!J$3*((1-Ft!J$6)/(1+Ft!J$37*($A316-Ft!J$2)^2)+Ft!J$6*EXP(Ft!J$38*($A316-Ft!J$2)^2)),Ft!J$3*((1-Ft!J$7)/(1+Ft!J$39*($A316-Ft!J$2)^2)+Ft!J$7*EXP(Ft!J$40*($A316-Ft!J$2)^2)))</f>
        <v>0</v>
      </c>
      <c r="O316" s="3">
        <f>IF(($A316-Ft!K$2)&lt;0,Ft!K$3*((1-Ft!K$6)/(1+Ft!K$37*($A316-Ft!K$2)^2)+Ft!K$6*EXP(Ft!K$38*($A316-Ft!K$2)^2)),Ft!K$3*((1-Ft!K$7)/(1+Ft!K$39*($A316-Ft!K$2)^2)+Ft!K$7*EXP(Ft!K$40*($A316-Ft!K$2)^2)))</f>
        <v>0</v>
      </c>
      <c r="P316"/>
      <c r="Q316"/>
    </row>
    <row r="317" spans="1:17">
      <c r="A317">
        <v>630</v>
      </c>
      <c r="B317">
        <v>16.589450161174</v>
      </c>
      <c r="C317" s="6">
        <f t="shared" si="9"/>
        <v>16.865760051865657</v>
      </c>
      <c r="D317" s="19">
        <f t="shared" si="10"/>
        <v>7.6347155694035329E-2</v>
      </c>
      <c r="E317" s="3">
        <f>Ft!$B$12+Ft!$B$14*(Data!A317-Vars!$B$3)</f>
        <v>0</v>
      </c>
      <c r="F317" s="3">
        <f>IF(($A317-Ft!B$2)&lt;0,Ft!B$3*((1-Ft!B$6)/(1+Ft!B$37*($A317-Ft!B$2)^2)+Ft!B$6*EXP(Ft!B$38*($A317-Ft!B$2)^2)),Ft!B$3*((1-Ft!B$7)/(1+Ft!B$39*($A317-Ft!B$2)^2)+Ft!B$7*EXP(Ft!B$40*($A317-Ft!B$2)^2)))</f>
        <v>8.7644915683307739E-188</v>
      </c>
      <c r="G317" s="3">
        <f>IF(($A317-Ft!C$2)&lt;0,Ft!C$3*((1-Ft!C$6)/(1+Ft!C$37*($A317-Ft!C$2)^2)+Ft!C$6*EXP(Ft!C$38*($A317-Ft!C$2)^2)),Ft!C$3*((1-Ft!C$7)/(1+Ft!C$39*($A317-Ft!C$2)^2)+Ft!C$7*EXP(Ft!C$40*($A317-Ft!C$2)^2)))</f>
        <v>2.7919537530535549E-8</v>
      </c>
      <c r="H317" s="3">
        <f>IF(($A317-Ft!D$2)&lt;0,Ft!D$3*((1-Ft!D$6)/(1+Ft!D$37*($A317-Ft!D$2)^2)+Ft!D$6*EXP(Ft!D$38*($A317-Ft!D$2)^2)),Ft!D$3*((1-Ft!D$7)/(1+Ft!D$39*($A317-Ft!D$2)^2)+Ft!D$7*EXP(Ft!D$40*($A317-Ft!D$2)^2)))</f>
        <v>10.750827250949635</v>
      </c>
      <c r="I317" s="3">
        <f>IF(($A317-Ft!E$2)&lt;0,Ft!E$3*((1-Ft!E$6)/(1+Ft!E$37*($A317-Ft!E$2)^2)+Ft!E$6*EXP(Ft!E$38*($A317-Ft!E$2)^2)),Ft!E$3*((1-Ft!E$7)/(1+Ft!E$39*($A317-Ft!E$2)^2)+Ft!E$7*EXP(Ft!E$40*($A317-Ft!E$2)^2)))</f>
        <v>6.1149327729964833</v>
      </c>
      <c r="J317" s="3">
        <f>IF(($A317-Ft!F$2)&lt;0,Ft!F$3*((1-Ft!F$6)/(1+Ft!F$37*($A317-Ft!F$2)^2)+Ft!F$6*EXP(Ft!F$38*($A317-Ft!F$2)^2)),Ft!F$3*((1-Ft!F$7)/(1+Ft!F$39*($A317-Ft!F$2)^2)+Ft!F$7*EXP(Ft!F$40*($A317-Ft!F$2)^2)))</f>
        <v>4.1282337087869166E-16</v>
      </c>
      <c r="K317" s="3">
        <f>IF(($A317-Ft!G$2)&lt;0,Ft!G$3*((1-Ft!G$6)/(1+Ft!G$37*($A317-Ft!G$2)^2)+Ft!G$6*EXP(Ft!G$38*($A317-Ft!G$2)^2)),Ft!G$3*((1-Ft!G$7)/(1+Ft!G$39*($A317-Ft!G$2)^2)+Ft!G$7*EXP(Ft!G$40*($A317-Ft!G$2)^2)))</f>
        <v>3.6116765604165416E-71</v>
      </c>
      <c r="L317" s="3">
        <f>IF(($A317-Ft!H$2)&lt;0,Ft!H$3*((1-Ft!H$6)/(1+Ft!H$37*($A317-Ft!H$2)^2)+Ft!H$6*EXP(Ft!H$38*($A317-Ft!H$2)^2)),Ft!H$3*((1-Ft!H$7)/(1+Ft!H$39*($A317-Ft!H$2)^2)+Ft!H$7*EXP(Ft!H$40*($A317-Ft!H$2)^2)))</f>
        <v>0</v>
      </c>
      <c r="M317" s="3">
        <f>IF(($A317-Ft!I$2)&lt;0,Ft!I$3*((1-Ft!I$6)/(1+Ft!I$37*($A317-Ft!I$2)^2)+Ft!I$6*EXP(Ft!I$38*($A317-Ft!I$2)^2)),Ft!I$3*((1-Ft!I$7)/(1+Ft!I$39*($A317-Ft!I$2)^2)+Ft!I$7*EXP(Ft!I$40*($A317-Ft!I$2)^2)))</f>
        <v>0</v>
      </c>
      <c r="N317" s="3">
        <f>IF(($A317-Ft!J$2)&lt;0,Ft!J$3*((1-Ft!J$6)/(1+Ft!J$37*($A317-Ft!J$2)^2)+Ft!J$6*EXP(Ft!J$38*($A317-Ft!J$2)^2)),Ft!J$3*((1-Ft!J$7)/(1+Ft!J$39*($A317-Ft!J$2)^2)+Ft!J$7*EXP(Ft!J$40*($A317-Ft!J$2)^2)))</f>
        <v>0</v>
      </c>
      <c r="O317" s="3">
        <f>IF(($A317-Ft!K$2)&lt;0,Ft!K$3*((1-Ft!K$6)/(1+Ft!K$37*($A317-Ft!K$2)^2)+Ft!K$6*EXP(Ft!K$38*($A317-Ft!K$2)^2)),Ft!K$3*((1-Ft!K$7)/(1+Ft!K$39*($A317-Ft!K$2)^2)+Ft!K$7*EXP(Ft!K$40*($A317-Ft!K$2)^2)))</f>
        <v>0</v>
      </c>
      <c r="P317"/>
      <c r="Q317"/>
    </row>
    <row r="318" spans="1:17">
      <c r="A318">
        <v>632</v>
      </c>
      <c r="B318">
        <v>16.566955466465998</v>
      </c>
      <c r="C318" s="6">
        <f t="shared" si="9"/>
        <v>16.849227129870496</v>
      </c>
      <c r="D318" s="19">
        <f t="shared" si="10"/>
        <v>7.9677291961141802E-2</v>
      </c>
      <c r="E318" s="3">
        <f>Ft!$B$12+Ft!$B$14*(Data!A318-Vars!$B$3)</f>
        <v>0</v>
      </c>
      <c r="F318" s="3">
        <f>IF(($A318-Ft!B$2)&lt;0,Ft!B$3*((1-Ft!B$6)/(1+Ft!B$37*($A318-Ft!B$2)^2)+Ft!B$6*EXP(Ft!B$38*($A318-Ft!B$2)^2)),Ft!B$3*((1-Ft!B$7)/(1+Ft!B$39*($A318-Ft!B$2)^2)+Ft!B$7*EXP(Ft!B$40*($A318-Ft!B$2)^2)))</f>
        <v>4.5407526113610637E-189</v>
      </c>
      <c r="G318" s="3">
        <f>IF(($A318-Ft!C$2)&lt;0,Ft!C$3*((1-Ft!C$6)/(1+Ft!C$37*($A318-Ft!C$2)^2)+Ft!C$6*EXP(Ft!C$38*($A318-Ft!C$2)^2)),Ft!C$3*((1-Ft!C$7)/(1+Ft!C$39*($A318-Ft!C$2)^2)+Ft!C$7*EXP(Ft!C$40*($A318-Ft!C$2)^2)))</f>
        <v>2.3793969108633747E-8</v>
      </c>
      <c r="H318" s="3">
        <f>IF(($A318-Ft!D$2)&lt;0,Ft!D$3*((1-Ft!D$6)/(1+Ft!D$37*($A318-Ft!D$2)^2)+Ft!D$6*EXP(Ft!D$38*($A318-Ft!D$2)^2)),Ft!D$3*((1-Ft!D$7)/(1+Ft!D$39*($A318-Ft!D$2)^2)+Ft!D$7*EXP(Ft!D$40*($A318-Ft!D$2)^2)))</f>
        <v>10.61527444573642</v>
      </c>
      <c r="I318" s="3">
        <f>IF(($A318-Ft!E$2)&lt;0,Ft!E$3*((1-Ft!E$6)/(1+Ft!E$37*($A318-Ft!E$2)^2)+Ft!E$6*EXP(Ft!E$38*($A318-Ft!E$2)^2)),Ft!E$3*((1-Ft!E$7)/(1+Ft!E$39*($A318-Ft!E$2)^2)+Ft!E$7*EXP(Ft!E$40*($A318-Ft!E$2)^2)))</f>
        <v>6.2339526603401065</v>
      </c>
      <c r="J318" s="3">
        <f>IF(($A318-Ft!F$2)&lt;0,Ft!F$3*((1-Ft!F$6)/(1+Ft!F$37*($A318-Ft!F$2)^2)+Ft!F$6*EXP(Ft!F$38*($A318-Ft!F$2)^2)),Ft!F$3*((1-Ft!F$7)/(1+Ft!F$39*($A318-Ft!F$2)^2)+Ft!F$7*EXP(Ft!F$40*($A318-Ft!F$2)^2)))</f>
        <v>6.1463344001135966E-16</v>
      </c>
      <c r="K318" s="3">
        <f>IF(($A318-Ft!G$2)&lt;0,Ft!G$3*((1-Ft!G$6)/(1+Ft!G$37*($A318-Ft!G$2)^2)+Ft!G$6*EXP(Ft!G$38*($A318-Ft!G$2)^2)),Ft!G$3*((1-Ft!G$7)/(1+Ft!G$39*($A318-Ft!G$2)^2)+Ft!G$7*EXP(Ft!G$40*($A318-Ft!G$2)^2)))</f>
        <v>1.7460338570176834E-70</v>
      </c>
      <c r="L318" s="3">
        <f>IF(($A318-Ft!H$2)&lt;0,Ft!H$3*((1-Ft!H$6)/(1+Ft!H$37*($A318-Ft!H$2)^2)+Ft!H$6*EXP(Ft!H$38*($A318-Ft!H$2)^2)),Ft!H$3*((1-Ft!H$7)/(1+Ft!H$39*($A318-Ft!H$2)^2)+Ft!H$7*EXP(Ft!H$40*($A318-Ft!H$2)^2)))</f>
        <v>0</v>
      </c>
      <c r="M318" s="3">
        <f>IF(($A318-Ft!I$2)&lt;0,Ft!I$3*((1-Ft!I$6)/(1+Ft!I$37*($A318-Ft!I$2)^2)+Ft!I$6*EXP(Ft!I$38*($A318-Ft!I$2)^2)),Ft!I$3*((1-Ft!I$7)/(1+Ft!I$39*($A318-Ft!I$2)^2)+Ft!I$7*EXP(Ft!I$40*($A318-Ft!I$2)^2)))</f>
        <v>0</v>
      </c>
      <c r="N318" s="3">
        <f>IF(($A318-Ft!J$2)&lt;0,Ft!J$3*((1-Ft!J$6)/(1+Ft!J$37*($A318-Ft!J$2)^2)+Ft!J$6*EXP(Ft!J$38*($A318-Ft!J$2)^2)),Ft!J$3*((1-Ft!J$7)/(1+Ft!J$39*($A318-Ft!J$2)^2)+Ft!J$7*EXP(Ft!J$40*($A318-Ft!J$2)^2)))</f>
        <v>0</v>
      </c>
      <c r="O318" s="3">
        <f>IF(($A318-Ft!K$2)&lt;0,Ft!K$3*((1-Ft!K$6)/(1+Ft!K$37*($A318-Ft!K$2)^2)+Ft!K$6*EXP(Ft!K$38*($A318-Ft!K$2)^2)),Ft!K$3*((1-Ft!K$7)/(1+Ft!K$39*($A318-Ft!K$2)^2)+Ft!K$7*EXP(Ft!K$40*($A318-Ft!K$2)^2)))</f>
        <v>0</v>
      </c>
      <c r="P318"/>
      <c r="Q318"/>
    </row>
    <row r="319" spans="1:17">
      <c r="A319">
        <v>634</v>
      </c>
      <c r="B319">
        <v>16.546643776654989</v>
      </c>
      <c r="C319" s="6">
        <f t="shared" si="9"/>
        <v>16.83393363178163</v>
      </c>
      <c r="D319" s="19">
        <f t="shared" si="10"/>
        <v>8.2535460858686349E-2</v>
      </c>
      <c r="E319" s="3">
        <f>Ft!$B$12+Ft!$B$14*(Data!A319-Vars!$B$3)</f>
        <v>0</v>
      </c>
      <c r="F319" s="3">
        <f>IF(($A319-Ft!B$2)&lt;0,Ft!B$3*((1-Ft!B$6)/(1+Ft!B$37*($A319-Ft!B$2)^2)+Ft!B$6*EXP(Ft!B$38*($A319-Ft!B$2)^2)),Ft!B$3*((1-Ft!B$7)/(1+Ft!B$39*($A319-Ft!B$2)^2)+Ft!B$7*EXP(Ft!B$40*($A319-Ft!B$2)^2)))</f>
        <v>2.3288313355573421E-190</v>
      </c>
      <c r="G319" s="3">
        <f>IF(($A319-Ft!C$2)&lt;0,Ft!C$3*((1-Ft!C$6)/(1+Ft!C$37*($A319-Ft!C$2)^2)+Ft!C$6*EXP(Ft!C$38*($A319-Ft!C$2)^2)),Ft!C$3*((1-Ft!C$7)/(1+Ft!C$39*($A319-Ft!C$2)^2)+Ft!C$7*EXP(Ft!C$40*($A319-Ft!C$2)^2)))</f>
        <v>2.0264854918287317E-8</v>
      </c>
      <c r="H319" s="3">
        <f>IF(($A319-Ft!D$2)&lt;0,Ft!D$3*((1-Ft!D$6)/(1+Ft!D$37*($A319-Ft!D$2)^2)+Ft!D$6*EXP(Ft!D$38*($A319-Ft!D$2)^2)),Ft!D$3*((1-Ft!D$7)/(1+Ft!D$39*($A319-Ft!D$2)^2)+Ft!D$7*EXP(Ft!D$40*($A319-Ft!D$2)^2)))</f>
        <v>10.479924043389332</v>
      </c>
      <c r="I319" s="3">
        <f>IF(($A319-Ft!E$2)&lt;0,Ft!E$3*((1-Ft!E$6)/(1+Ft!E$37*($A319-Ft!E$2)^2)+Ft!E$6*EXP(Ft!E$38*($A319-Ft!E$2)^2)),Ft!E$3*((1-Ft!E$7)/(1+Ft!E$39*($A319-Ft!E$2)^2)+Ft!E$7*EXP(Ft!E$40*($A319-Ft!E$2)^2)))</f>
        <v>6.3540095681274433</v>
      </c>
      <c r="J319" s="3">
        <f>IF(($A319-Ft!F$2)&lt;0,Ft!F$3*((1-Ft!F$6)/(1+Ft!F$37*($A319-Ft!F$2)^2)+Ft!F$6*EXP(Ft!F$38*($A319-Ft!F$2)^2)),Ft!F$3*((1-Ft!F$7)/(1+Ft!F$39*($A319-Ft!F$2)^2)+Ft!F$7*EXP(Ft!F$40*($A319-Ft!F$2)^2)))</f>
        <v>9.1313159172591566E-16</v>
      </c>
      <c r="K319" s="3">
        <f>IF(($A319-Ft!G$2)&lt;0,Ft!G$3*((1-Ft!G$6)/(1+Ft!G$37*($A319-Ft!G$2)^2)+Ft!G$6*EXP(Ft!G$38*($A319-Ft!G$2)^2)),Ft!G$3*((1-Ft!G$7)/(1+Ft!G$39*($A319-Ft!G$2)^2)+Ft!G$7*EXP(Ft!G$40*($A319-Ft!G$2)^2)))</f>
        <v>8.3770942766260262E-70</v>
      </c>
      <c r="L319" s="3">
        <f>IF(($A319-Ft!H$2)&lt;0,Ft!H$3*((1-Ft!H$6)/(1+Ft!H$37*($A319-Ft!H$2)^2)+Ft!H$6*EXP(Ft!H$38*($A319-Ft!H$2)^2)),Ft!H$3*((1-Ft!H$7)/(1+Ft!H$39*($A319-Ft!H$2)^2)+Ft!H$7*EXP(Ft!H$40*($A319-Ft!H$2)^2)))</f>
        <v>0</v>
      </c>
      <c r="M319" s="3">
        <f>IF(($A319-Ft!I$2)&lt;0,Ft!I$3*((1-Ft!I$6)/(1+Ft!I$37*($A319-Ft!I$2)^2)+Ft!I$6*EXP(Ft!I$38*($A319-Ft!I$2)^2)),Ft!I$3*((1-Ft!I$7)/(1+Ft!I$39*($A319-Ft!I$2)^2)+Ft!I$7*EXP(Ft!I$40*($A319-Ft!I$2)^2)))</f>
        <v>0</v>
      </c>
      <c r="N319" s="3">
        <f>IF(($A319-Ft!J$2)&lt;0,Ft!J$3*((1-Ft!J$6)/(1+Ft!J$37*($A319-Ft!J$2)^2)+Ft!J$6*EXP(Ft!J$38*($A319-Ft!J$2)^2)),Ft!J$3*((1-Ft!J$7)/(1+Ft!J$39*($A319-Ft!J$2)^2)+Ft!J$7*EXP(Ft!J$40*($A319-Ft!J$2)^2)))</f>
        <v>0</v>
      </c>
      <c r="O319" s="3">
        <f>IF(($A319-Ft!K$2)&lt;0,Ft!K$3*((1-Ft!K$6)/(1+Ft!K$37*($A319-Ft!K$2)^2)+Ft!K$6*EXP(Ft!K$38*($A319-Ft!K$2)^2)),Ft!K$3*((1-Ft!K$7)/(1+Ft!K$39*($A319-Ft!K$2)^2)+Ft!K$7*EXP(Ft!K$40*($A319-Ft!K$2)^2)))</f>
        <v>0</v>
      </c>
      <c r="P319"/>
      <c r="Q319"/>
    </row>
    <row r="320" spans="1:17">
      <c r="A320">
        <v>636</v>
      </c>
      <c r="B320">
        <v>16.528715960352002</v>
      </c>
      <c r="C320" s="6">
        <f t="shared" si="9"/>
        <v>16.819886804489659</v>
      </c>
      <c r="D320" s="19">
        <f t="shared" si="10"/>
        <v>8.4780460475835637E-2</v>
      </c>
      <c r="E320" s="3">
        <f>Ft!$B$12+Ft!$B$14*(Data!A320-Vars!$B$3)</f>
        <v>0</v>
      </c>
      <c r="F320" s="3">
        <f>IF(($A320-Ft!B$2)&lt;0,Ft!B$3*((1-Ft!B$6)/(1+Ft!B$37*($A320-Ft!B$2)^2)+Ft!B$6*EXP(Ft!B$38*($A320-Ft!B$2)^2)),Ft!B$3*((1-Ft!B$7)/(1+Ft!B$39*($A320-Ft!B$2)^2)+Ft!B$7*EXP(Ft!B$40*($A320-Ft!B$2)^2)))</f>
        <v>1.1823806446190764E-191</v>
      </c>
      <c r="G320" s="3">
        <f>IF(($A320-Ft!C$2)&lt;0,Ft!C$3*((1-Ft!C$6)/(1+Ft!C$37*($A320-Ft!C$2)^2)+Ft!C$6*EXP(Ft!C$38*($A320-Ft!C$2)^2)),Ft!C$3*((1-Ft!C$7)/(1+Ft!C$39*($A320-Ft!C$2)^2)+Ft!C$7*EXP(Ft!C$40*($A320-Ft!C$2)^2)))</f>
        <v>1.7247971922265994E-8</v>
      </c>
      <c r="H320" s="3">
        <f>IF(($A320-Ft!D$2)&lt;0,Ft!D$3*((1-Ft!D$6)/(1+Ft!D$37*($A320-Ft!D$2)^2)+Ft!D$6*EXP(Ft!D$38*($A320-Ft!D$2)^2)),Ft!D$3*((1-Ft!D$7)/(1+Ft!D$39*($A320-Ft!D$2)^2)+Ft!D$7*EXP(Ft!D$40*($A320-Ft!D$2)^2)))</f>
        <v>10.344812128877034</v>
      </c>
      <c r="I320" s="3">
        <f>IF(($A320-Ft!E$2)&lt;0,Ft!E$3*((1-Ft!E$6)/(1+Ft!E$37*($A320-Ft!E$2)^2)+Ft!E$6*EXP(Ft!E$38*($A320-Ft!E$2)^2)),Ft!E$3*((1-Ft!E$7)/(1+Ft!E$39*($A320-Ft!E$2)^2)+Ft!E$7*EXP(Ft!E$40*($A320-Ft!E$2)^2)))</f>
        <v>6.4750746583646537</v>
      </c>
      <c r="J320" s="3">
        <f>IF(($A320-Ft!F$2)&lt;0,Ft!F$3*((1-Ft!F$6)/(1+Ft!F$37*($A320-Ft!F$2)^2)+Ft!F$6*EXP(Ft!F$38*($A320-Ft!F$2)^2)),Ft!F$3*((1-Ft!F$7)/(1+Ft!F$39*($A320-Ft!F$2)^2)+Ft!F$7*EXP(Ft!F$40*($A320-Ft!F$2)^2)))</f>
        <v>1.3536794186164427E-15</v>
      </c>
      <c r="K320" s="3">
        <f>IF(($A320-Ft!G$2)&lt;0,Ft!G$3*((1-Ft!G$6)/(1+Ft!G$37*($A320-Ft!G$2)^2)+Ft!G$6*EXP(Ft!G$38*($A320-Ft!G$2)^2)),Ft!G$3*((1-Ft!G$7)/(1+Ft!G$39*($A320-Ft!G$2)^2)+Ft!G$7*EXP(Ft!G$40*($A320-Ft!G$2)^2)))</f>
        <v>3.9886972843908235E-69</v>
      </c>
      <c r="L320" s="3">
        <f>IF(($A320-Ft!H$2)&lt;0,Ft!H$3*((1-Ft!H$6)/(1+Ft!H$37*($A320-Ft!H$2)^2)+Ft!H$6*EXP(Ft!H$38*($A320-Ft!H$2)^2)),Ft!H$3*((1-Ft!H$7)/(1+Ft!H$39*($A320-Ft!H$2)^2)+Ft!H$7*EXP(Ft!H$40*($A320-Ft!H$2)^2)))</f>
        <v>0</v>
      </c>
      <c r="M320" s="3">
        <f>IF(($A320-Ft!I$2)&lt;0,Ft!I$3*((1-Ft!I$6)/(1+Ft!I$37*($A320-Ft!I$2)^2)+Ft!I$6*EXP(Ft!I$38*($A320-Ft!I$2)^2)),Ft!I$3*((1-Ft!I$7)/(1+Ft!I$39*($A320-Ft!I$2)^2)+Ft!I$7*EXP(Ft!I$40*($A320-Ft!I$2)^2)))</f>
        <v>0</v>
      </c>
      <c r="N320" s="3">
        <f>IF(($A320-Ft!J$2)&lt;0,Ft!J$3*((1-Ft!J$6)/(1+Ft!J$37*($A320-Ft!J$2)^2)+Ft!J$6*EXP(Ft!J$38*($A320-Ft!J$2)^2)),Ft!J$3*((1-Ft!J$7)/(1+Ft!J$39*($A320-Ft!J$2)^2)+Ft!J$7*EXP(Ft!J$40*($A320-Ft!J$2)^2)))</f>
        <v>0</v>
      </c>
      <c r="O320" s="3">
        <f>IF(($A320-Ft!K$2)&lt;0,Ft!K$3*((1-Ft!K$6)/(1+Ft!K$37*($A320-Ft!K$2)^2)+Ft!K$6*EXP(Ft!K$38*($A320-Ft!K$2)^2)),Ft!K$3*((1-Ft!K$7)/(1+Ft!K$39*($A320-Ft!K$2)^2)+Ft!K$7*EXP(Ft!K$40*($A320-Ft!K$2)^2)))</f>
        <v>0</v>
      </c>
      <c r="P320"/>
      <c r="Q320"/>
    </row>
    <row r="321" spans="1:17">
      <c r="A321">
        <v>638</v>
      </c>
      <c r="B321">
        <v>16.513372886162998</v>
      </c>
      <c r="C321" s="6">
        <f t="shared" si="9"/>
        <v>16.807092162912621</v>
      </c>
      <c r="D321" s="19">
        <f t="shared" si="10"/>
        <v>8.6271013534321928E-2</v>
      </c>
      <c r="E321" s="3">
        <f>Ft!$B$12+Ft!$B$14*(Data!A321-Vars!$B$3)</f>
        <v>0</v>
      </c>
      <c r="F321" s="3">
        <f>IF(($A321-Ft!B$2)&lt;0,Ft!B$3*((1-Ft!B$6)/(1+Ft!B$37*($A321-Ft!B$2)^2)+Ft!B$6*EXP(Ft!B$38*($A321-Ft!B$2)^2)),Ft!B$3*((1-Ft!B$7)/(1+Ft!B$39*($A321-Ft!B$2)^2)+Ft!B$7*EXP(Ft!B$40*($A321-Ft!B$2)^2)))</f>
        <v>5.94272547417409E-193</v>
      </c>
      <c r="G321" s="3">
        <f>IF(($A321-Ft!C$2)&lt;0,Ft!C$3*((1-Ft!C$6)/(1+Ft!C$37*($A321-Ft!C$2)^2)+Ft!C$6*EXP(Ft!C$38*($A321-Ft!C$2)^2)),Ft!C$3*((1-Ft!C$7)/(1+Ft!C$39*($A321-Ft!C$2)^2)+Ft!C$7*EXP(Ft!C$40*($A321-Ft!C$2)^2)))</f>
        <v>1.4670688855614935E-8</v>
      </c>
      <c r="H321" s="3">
        <f>IF(($A321-Ft!D$2)&lt;0,Ft!D$3*((1-Ft!D$6)/(1+Ft!D$37*($A321-Ft!D$2)^2)+Ft!D$6*EXP(Ft!D$38*($A321-Ft!D$2)^2)),Ft!D$3*((1-Ft!D$7)/(1+Ft!D$39*($A321-Ft!D$2)^2)+Ft!D$7*EXP(Ft!D$40*($A321-Ft!D$2)^2)))</f>
        <v>10.20997422233409</v>
      </c>
      <c r="I321" s="3">
        <f>IF(($A321-Ft!E$2)&lt;0,Ft!E$3*((1-Ft!E$6)/(1+Ft!E$37*($A321-Ft!E$2)^2)+Ft!E$6*EXP(Ft!E$38*($A321-Ft!E$2)^2)),Ft!E$3*((1-Ft!E$7)/(1+Ft!E$39*($A321-Ft!E$2)^2)+Ft!E$7*EXP(Ft!E$40*($A321-Ft!E$2)^2)))</f>
        <v>6.5971179259078383</v>
      </c>
      <c r="J321" s="3">
        <f>IF(($A321-Ft!F$2)&lt;0,Ft!F$3*((1-Ft!F$6)/(1+Ft!F$37*($A321-Ft!F$2)^2)+Ft!F$6*EXP(Ft!F$38*($A321-Ft!F$2)^2)),Ft!F$3*((1-Ft!F$7)/(1+Ft!F$39*($A321-Ft!F$2)^2)+Ft!F$7*EXP(Ft!F$40*($A321-Ft!F$2)^2)))</f>
        <v>2.0024586537332894E-15</v>
      </c>
      <c r="K321" s="3">
        <f>IF(($A321-Ft!G$2)&lt;0,Ft!G$3*((1-Ft!G$6)/(1+Ft!G$37*($A321-Ft!G$2)^2)+Ft!G$6*EXP(Ft!G$38*($A321-Ft!G$2)^2)),Ft!G$3*((1-Ft!G$7)/(1+Ft!G$39*($A321-Ft!G$2)^2)+Ft!G$7*EXP(Ft!G$40*($A321-Ft!G$2)^2)))</f>
        <v>1.8848017835790272E-68</v>
      </c>
      <c r="L321" s="3">
        <f>IF(($A321-Ft!H$2)&lt;0,Ft!H$3*((1-Ft!H$6)/(1+Ft!H$37*($A321-Ft!H$2)^2)+Ft!H$6*EXP(Ft!H$38*($A321-Ft!H$2)^2)),Ft!H$3*((1-Ft!H$7)/(1+Ft!H$39*($A321-Ft!H$2)^2)+Ft!H$7*EXP(Ft!H$40*($A321-Ft!H$2)^2)))</f>
        <v>0</v>
      </c>
      <c r="M321" s="3">
        <f>IF(($A321-Ft!I$2)&lt;0,Ft!I$3*((1-Ft!I$6)/(1+Ft!I$37*($A321-Ft!I$2)^2)+Ft!I$6*EXP(Ft!I$38*($A321-Ft!I$2)^2)),Ft!I$3*((1-Ft!I$7)/(1+Ft!I$39*($A321-Ft!I$2)^2)+Ft!I$7*EXP(Ft!I$40*($A321-Ft!I$2)^2)))</f>
        <v>0</v>
      </c>
      <c r="N321" s="3">
        <f>IF(($A321-Ft!J$2)&lt;0,Ft!J$3*((1-Ft!J$6)/(1+Ft!J$37*($A321-Ft!J$2)^2)+Ft!J$6*EXP(Ft!J$38*($A321-Ft!J$2)^2)),Ft!J$3*((1-Ft!J$7)/(1+Ft!J$39*($A321-Ft!J$2)^2)+Ft!J$7*EXP(Ft!J$40*($A321-Ft!J$2)^2)))</f>
        <v>0</v>
      </c>
      <c r="O321" s="3">
        <f>IF(($A321-Ft!K$2)&lt;0,Ft!K$3*((1-Ft!K$6)/(1+Ft!K$37*($A321-Ft!K$2)^2)+Ft!K$6*EXP(Ft!K$38*($A321-Ft!K$2)^2)),Ft!K$3*((1-Ft!K$7)/(1+Ft!K$39*($A321-Ft!K$2)^2)+Ft!K$7*EXP(Ft!K$40*($A321-Ft!K$2)^2)))</f>
        <v>0</v>
      </c>
      <c r="P321"/>
      <c r="Q321"/>
    </row>
    <row r="322" spans="1:17">
      <c r="A322">
        <v>640</v>
      </c>
      <c r="B322">
        <v>16.500815422700001</v>
      </c>
      <c r="C322" s="6">
        <f t="shared" si="9"/>
        <v>16.795553479140786</v>
      </c>
      <c r="D322" s="19">
        <f t="shared" si="10"/>
        <v>8.6870521914491419E-2</v>
      </c>
      <c r="E322" s="3">
        <f>Ft!$B$12+Ft!$B$14*(Data!A322-Vars!$B$3)</f>
        <v>0</v>
      </c>
      <c r="F322" s="3">
        <f>IF(($A322-Ft!B$2)&lt;0,Ft!B$3*((1-Ft!B$6)/(1+Ft!B$37*($A322-Ft!B$2)^2)+Ft!B$6*EXP(Ft!B$38*($A322-Ft!B$2)^2)),Ft!B$3*((1-Ft!B$7)/(1+Ft!B$39*($A322-Ft!B$2)^2)+Ft!B$7*EXP(Ft!B$40*($A322-Ft!B$2)^2)))</f>
        <v>2.956807872750683E-194</v>
      </c>
      <c r="G322" s="3">
        <f>IF(($A322-Ft!C$2)&lt;0,Ft!C$3*((1-Ft!C$6)/(1+Ft!C$37*($A322-Ft!C$2)^2)+Ft!C$6*EXP(Ft!C$38*($A322-Ft!C$2)^2)),Ft!C$3*((1-Ft!C$7)/(1+Ft!C$39*($A322-Ft!C$2)^2)+Ft!C$7*EXP(Ft!C$40*($A322-Ft!C$2)^2)))</f>
        <v>1.2470415058857376E-8</v>
      </c>
      <c r="H322" s="3">
        <f>IF(($A322-Ft!D$2)&lt;0,Ft!D$3*((1-Ft!D$6)/(1+Ft!D$37*($A322-Ft!D$2)^2)+Ft!D$6*EXP(Ft!D$38*($A322-Ft!D$2)^2)),Ft!D$3*((1-Ft!D$7)/(1+Ft!D$39*($A322-Ft!D$2)^2)+Ft!D$7*EXP(Ft!D$40*($A322-Ft!D$2)^2)))</f>
        <v>10.075445266050997</v>
      </c>
      <c r="I322" s="3">
        <f>IF(($A322-Ft!E$2)&lt;0,Ft!E$3*((1-Ft!E$6)/(1+Ft!E$37*($A322-Ft!E$2)^2)+Ft!E$6*EXP(Ft!E$38*($A322-Ft!E$2)^2)),Ft!E$3*((1-Ft!E$7)/(1+Ft!E$39*($A322-Ft!E$2)^2)+Ft!E$7*EXP(Ft!E$40*($A322-Ft!E$2)^2)))</f>
        <v>6.7201082006193706</v>
      </c>
      <c r="J322" s="3">
        <f>IF(($A322-Ft!F$2)&lt;0,Ft!F$3*((1-Ft!F$6)/(1+Ft!F$37*($A322-Ft!F$2)^2)+Ft!F$6*EXP(Ft!F$38*($A322-Ft!F$2)^2)),Ft!F$3*((1-Ft!F$7)/(1+Ft!F$39*($A322-Ft!F$2)^2)+Ft!F$7*EXP(Ft!F$40*($A322-Ft!F$2)^2)))</f>
        <v>2.95581033630028E-15</v>
      </c>
      <c r="K322" s="3">
        <f>IF(($A322-Ft!G$2)&lt;0,Ft!G$3*((1-Ft!G$6)/(1+Ft!G$37*($A322-Ft!G$2)^2)+Ft!G$6*EXP(Ft!G$38*($A322-Ft!G$2)^2)),Ft!G$3*((1-Ft!G$7)/(1+Ft!G$39*($A322-Ft!G$2)^2)+Ft!G$7*EXP(Ft!G$40*($A322-Ft!G$2)^2)))</f>
        <v>8.8388796950252127E-68</v>
      </c>
      <c r="L322" s="3">
        <f>IF(($A322-Ft!H$2)&lt;0,Ft!H$3*((1-Ft!H$6)/(1+Ft!H$37*($A322-Ft!H$2)^2)+Ft!H$6*EXP(Ft!H$38*($A322-Ft!H$2)^2)),Ft!H$3*((1-Ft!H$7)/(1+Ft!H$39*($A322-Ft!H$2)^2)+Ft!H$7*EXP(Ft!H$40*($A322-Ft!H$2)^2)))</f>
        <v>0</v>
      </c>
      <c r="M322" s="3">
        <f>IF(($A322-Ft!I$2)&lt;0,Ft!I$3*((1-Ft!I$6)/(1+Ft!I$37*($A322-Ft!I$2)^2)+Ft!I$6*EXP(Ft!I$38*($A322-Ft!I$2)^2)),Ft!I$3*((1-Ft!I$7)/(1+Ft!I$39*($A322-Ft!I$2)^2)+Ft!I$7*EXP(Ft!I$40*($A322-Ft!I$2)^2)))</f>
        <v>0</v>
      </c>
      <c r="N322" s="3">
        <f>IF(($A322-Ft!J$2)&lt;0,Ft!J$3*((1-Ft!J$6)/(1+Ft!J$37*($A322-Ft!J$2)^2)+Ft!J$6*EXP(Ft!J$38*($A322-Ft!J$2)^2)),Ft!J$3*((1-Ft!J$7)/(1+Ft!J$39*($A322-Ft!J$2)^2)+Ft!J$7*EXP(Ft!J$40*($A322-Ft!J$2)^2)))</f>
        <v>0</v>
      </c>
      <c r="O322" s="3">
        <f>IF(($A322-Ft!K$2)&lt;0,Ft!K$3*((1-Ft!K$6)/(1+Ft!K$37*($A322-Ft!K$2)^2)+Ft!K$6*EXP(Ft!K$38*($A322-Ft!K$2)^2)),Ft!K$3*((1-Ft!K$7)/(1+Ft!K$39*($A322-Ft!K$2)^2)+Ft!K$7*EXP(Ft!K$40*($A322-Ft!K$2)^2)))</f>
        <v>0</v>
      </c>
      <c r="P322"/>
      <c r="Q322"/>
    </row>
    <row r="323" spans="1:17">
      <c r="A323">
        <v>642</v>
      </c>
      <c r="B323">
        <v>16.490938071026989</v>
      </c>
      <c r="C323" s="6">
        <f t="shared" ref="C323:C386" si="11">SUM(E323:K323)</f>
        <v>16.785272773387593</v>
      </c>
      <c r="D323" s="19">
        <f t="shared" ref="D323:D386" si="12">(C323-B323)^2</f>
        <v>8.663291701370561E-2</v>
      </c>
      <c r="E323" s="3">
        <f>Ft!$B$12+Ft!$B$14*(Data!A323-Vars!$B$3)</f>
        <v>0</v>
      </c>
      <c r="F323" s="3">
        <f>IF(($A323-Ft!B$2)&lt;0,Ft!B$3*((1-Ft!B$6)/(1+Ft!B$37*($A323-Ft!B$2)^2)+Ft!B$6*EXP(Ft!B$38*($A323-Ft!B$2)^2)),Ft!B$3*((1-Ft!B$7)/(1+Ft!B$39*($A323-Ft!B$2)^2)+Ft!B$7*EXP(Ft!B$40*($A323-Ft!B$2)^2)))</f>
        <v>1.4563629581105616E-195</v>
      </c>
      <c r="G323" s="3">
        <f>IF(($A323-Ft!C$2)&lt;0,Ft!C$3*((1-Ft!C$6)/(1+Ft!C$37*($A323-Ft!C$2)^2)+Ft!C$6*EXP(Ft!C$38*($A323-Ft!C$2)^2)),Ft!C$3*((1-Ft!C$7)/(1+Ft!C$39*($A323-Ft!C$2)^2)+Ft!C$7*EXP(Ft!C$40*($A323-Ft!C$2)^2)))</f>
        <v>1.0593250516714016E-8</v>
      </c>
      <c r="H323" s="3">
        <f>IF(($A323-Ft!D$2)&lt;0,Ft!D$3*((1-Ft!D$6)/(1+Ft!D$37*($A323-Ft!D$2)^2)+Ft!D$6*EXP(Ft!D$38*($A323-Ft!D$2)^2)),Ft!D$3*((1-Ft!D$7)/(1+Ft!D$39*($A323-Ft!D$2)^2)+Ft!D$7*EXP(Ft!D$40*($A323-Ft!D$2)^2)))</f>
        <v>9.9412596120454939</v>
      </c>
      <c r="I323" s="3">
        <f>IF(($A323-Ft!E$2)&lt;0,Ft!E$3*((1-Ft!E$6)/(1+Ft!E$37*($A323-Ft!E$2)^2)+Ft!E$6*EXP(Ft!E$38*($A323-Ft!E$2)^2)),Ft!E$3*((1-Ft!E$7)/(1+Ft!E$39*($A323-Ft!E$2)^2)+Ft!E$7*EXP(Ft!E$40*($A323-Ft!E$2)^2)))</f>
        <v>6.8440131507488431</v>
      </c>
      <c r="J323" s="3">
        <f>IF(($A323-Ft!F$2)&lt;0,Ft!F$3*((1-Ft!F$6)/(1+Ft!F$37*($A323-Ft!F$2)^2)+Ft!F$6*EXP(Ft!F$38*($A323-Ft!F$2)^2)),Ft!F$3*((1-Ft!F$7)/(1+Ft!F$39*($A323-Ft!F$2)^2)+Ft!F$7*EXP(Ft!F$40*($A323-Ft!F$2)^2)))</f>
        <v>4.3536633463023234E-15</v>
      </c>
      <c r="K323" s="3">
        <f>IF(($A323-Ft!G$2)&lt;0,Ft!G$3*((1-Ft!G$6)/(1+Ft!G$37*($A323-Ft!G$2)^2)+Ft!G$6*EXP(Ft!G$38*($A323-Ft!G$2)^2)),Ft!G$3*((1-Ft!G$7)/(1+Ft!G$39*($A323-Ft!G$2)^2)+Ft!G$7*EXP(Ft!G$40*($A323-Ft!G$2)^2)))</f>
        <v>4.1136344247226663E-67</v>
      </c>
      <c r="L323" s="3">
        <f>IF(($A323-Ft!H$2)&lt;0,Ft!H$3*((1-Ft!H$6)/(1+Ft!H$37*($A323-Ft!H$2)^2)+Ft!H$6*EXP(Ft!H$38*($A323-Ft!H$2)^2)),Ft!H$3*((1-Ft!H$7)/(1+Ft!H$39*($A323-Ft!H$2)^2)+Ft!H$7*EXP(Ft!H$40*($A323-Ft!H$2)^2)))</f>
        <v>0</v>
      </c>
      <c r="M323" s="3">
        <f>IF(($A323-Ft!I$2)&lt;0,Ft!I$3*((1-Ft!I$6)/(1+Ft!I$37*($A323-Ft!I$2)^2)+Ft!I$6*EXP(Ft!I$38*($A323-Ft!I$2)^2)),Ft!I$3*((1-Ft!I$7)/(1+Ft!I$39*($A323-Ft!I$2)^2)+Ft!I$7*EXP(Ft!I$40*($A323-Ft!I$2)^2)))</f>
        <v>0</v>
      </c>
      <c r="N323" s="3">
        <f>IF(($A323-Ft!J$2)&lt;0,Ft!J$3*((1-Ft!J$6)/(1+Ft!J$37*($A323-Ft!J$2)^2)+Ft!J$6*EXP(Ft!J$38*($A323-Ft!J$2)^2)),Ft!J$3*((1-Ft!J$7)/(1+Ft!J$39*($A323-Ft!J$2)^2)+Ft!J$7*EXP(Ft!J$40*($A323-Ft!J$2)^2)))</f>
        <v>0</v>
      </c>
      <c r="O323" s="3">
        <f>IF(($A323-Ft!K$2)&lt;0,Ft!K$3*((1-Ft!K$6)/(1+Ft!K$37*($A323-Ft!K$2)^2)+Ft!K$6*EXP(Ft!K$38*($A323-Ft!K$2)^2)),Ft!K$3*((1-Ft!K$7)/(1+Ft!K$39*($A323-Ft!K$2)^2)+Ft!K$7*EXP(Ft!K$40*($A323-Ft!K$2)^2)))</f>
        <v>0</v>
      </c>
      <c r="P323"/>
      <c r="Q323"/>
    </row>
    <row r="324" spans="1:17">
      <c r="A324">
        <v>644</v>
      </c>
      <c r="B324">
        <v>16.482215533877991</v>
      </c>
      <c r="C324" s="6">
        <f t="shared" si="11"/>
        <v>16.776250306768596</v>
      </c>
      <c r="D324" s="19">
        <f t="shared" si="12"/>
        <v>8.6456447668829511E-2</v>
      </c>
      <c r="E324" s="3">
        <f>Ft!$B$12+Ft!$B$14*(Data!A324-Vars!$B$3)</f>
        <v>0</v>
      </c>
      <c r="F324" s="3">
        <f>IF(($A324-Ft!B$2)&lt;0,Ft!B$3*((1-Ft!B$6)/(1+Ft!B$37*($A324-Ft!B$2)^2)+Ft!B$6*EXP(Ft!B$38*($A324-Ft!B$2)^2)),Ft!B$3*((1-Ft!B$7)/(1+Ft!B$39*($A324-Ft!B$2)^2)+Ft!B$7*EXP(Ft!B$40*($A324-Ft!B$2)^2)))</f>
        <v>7.1010933800955811E-197</v>
      </c>
      <c r="G324" s="3">
        <f>IF(($A324-Ft!C$2)&lt;0,Ft!C$3*((1-Ft!C$6)/(1+Ft!C$37*($A324-Ft!C$2)^2)+Ft!C$6*EXP(Ft!C$38*($A324-Ft!C$2)^2)),Ft!C$3*((1-Ft!C$7)/(1+Ft!C$39*($A324-Ft!C$2)^2)+Ft!C$7*EXP(Ft!C$40*($A324-Ft!C$2)^2)))</f>
        <v>8.9928118998895593E-9</v>
      </c>
      <c r="H324" s="3">
        <f>IF(($A324-Ft!D$2)&lt;0,Ft!D$3*((1-Ft!D$6)/(1+Ft!D$37*($A324-Ft!D$2)^2)+Ft!D$6*EXP(Ft!D$38*($A324-Ft!D$2)^2)),Ft!D$3*((1-Ft!D$7)/(1+Ft!D$39*($A324-Ft!D$2)^2)+Ft!D$7*EXP(Ft!D$40*($A324-Ft!D$2)^2)))</f>
        <v>9.8074510102181804</v>
      </c>
      <c r="I324" s="3">
        <f>IF(($A324-Ft!E$2)&lt;0,Ft!E$3*((1-Ft!E$6)/(1+Ft!E$37*($A324-Ft!E$2)^2)+Ft!E$6*EXP(Ft!E$38*($A324-Ft!E$2)^2)),Ft!E$3*((1-Ft!E$7)/(1+Ft!E$39*($A324-Ft!E$2)^2)+Ft!E$7*EXP(Ft!E$40*($A324-Ft!E$2)^2)))</f>
        <v>6.9687992875575944</v>
      </c>
      <c r="J324" s="3">
        <f>IF(($A324-Ft!F$2)&lt;0,Ft!F$3*((1-Ft!F$6)/(1+Ft!F$37*($A324-Ft!F$2)^2)+Ft!F$6*EXP(Ft!F$38*($A324-Ft!F$2)^2)),Ft!F$3*((1-Ft!F$7)/(1+Ft!F$39*($A324-Ft!F$2)^2)+Ft!F$7*EXP(Ft!F$40*($A324-Ft!F$2)^2)))</f>
        <v>6.3987979600528333E-15</v>
      </c>
      <c r="K324" s="3">
        <f>IF(($A324-Ft!G$2)&lt;0,Ft!G$3*((1-Ft!G$6)/(1+Ft!G$37*($A324-Ft!G$2)^2)+Ft!G$6*EXP(Ft!G$38*($A324-Ft!G$2)^2)),Ft!G$3*((1-Ft!G$7)/(1+Ft!G$39*($A324-Ft!G$2)^2)+Ft!G$7*EXP(Ft!G$40*($A324-Ft!G$2)^2)))</f>
        <v>1.8999890441773701E-66</v>
      </c>
      <c r="L324" s="3">
        <f>IF(($A324-Ft!H$2)&lt;0,Ft!H$3*((1-Ft!H$6)/(1+Ft!H$37*($A324-Ft!H$2)^2)+Ft!H$6*EXP(Ft!H$38*($A324-Ft!H$2)^2)),Ft!H$3*((1-Ft!H$7)/(1+Ft!H$39*($A324-Ft!H$2)^2)+Ft!H$7*EXP(Ft!H$40*($A324-Ft!H$2)^2)))</f>
        <v>0</v>
      </c>
      <c r="M324" s="3">
        <f>IF(($A324-Ft!I$2)&lt;0,Ft!I$3*((1-Ft!I$6)/(1+Ft!I$37*($A324-Ft!I$2)^2)+Ft!I$6*EXP(Ft!I$38*($A324-Ft!I$2)^2)),Ft!I$3*((1-Ft!I$7)/(1+Ft!I$39*($A324-Ft!I$2)^2)+Ft!I$7*EXP(Ft!I$40*($A324-Ft!I$2)^2)))</f>
        <v>0</v>
      </c>
      <c r="N324" s="3">
        <f>IF(($A324-Ft!J$2)&lt;0,Ft!J$3*((1-Ft!J$6)/(1+Ft!J$37*($A324-Ft!J$2)^2)+Ft!J$6*EXP(Ft!J$38*($A324-Ft!J$2)^2)),Ft!J$3*((1-Ft!J$7)/(1+Ft!J$39*($A324-Ft!J$2)^2)+Ft!J$7*EXP(Ft!J$40*($A324-Ft!J$2)^2)))</f>
        <v>0</v>
      </c>
      <c r="O324" s="3">
        <f>IF(($A324-Ft!K$2)&lt;0,Ft!K$3*((1-Ft!K$6)/(1+Ft!K$37*($A324-Ft!K$2)^2)+Ft!K$6*EXP(Ft!K$38*($A324-Ft!K$2)^2)),Ft!K$3*((1-Ft!K$7)/(1+Ft!K$39*($A324-Ft!K$2)^2)+Ft!K$7*EXP(Ft!K$40*($A324-Ft!K$2)^2)))</f>
        <v>0</v>
      </c>
      <c r="P324"/>
      <c r="Q324"/>
    </row>
    <row r="325" spans="1:17">
      <c r="A325">
        <v>646</v>
      </c>
      <c r="B325">
        <v>16.474828635164002</v>
      </c>
      <c r="C325" s="6">
        <f t="shared" si="11"/>
        <v>16.768484575928518</v>
      </c>
      <c r="D325" s="19">
        <f t="shared" si="12"/>
        <v>8.6233811546293102E-2</v>
      </c>
      <c r="E325" s="3">
        <f>Ft!$B$12+Ft!$B$14*(Data!A325-Vars!$B$3)</f>
        <v>0</v>
      </c>
      <c r="F325" s="3">
        <f>IF(($A325-Ft!B$2)&lt;0,Ft!B$3*((1-Ft!B$6)/(1+Ft!B$37*($A325-Ft!B$2)^2)+Ft!B$6*EXP(Ft!B$38*($A325-Ft!B$2)^2)),Ft!B$3*((1-Ft!B$7)/(1+Ft!B$39*($A325-Ft!B$2)^2)+Ft!B$7*EXP(Ft!B$40*($A325-Ft!B$2)^2)))</f>
        <v>3.427598183510234E-198</v>
      </c>
      <c r="G325" s="3">
        <f>IF(($A325-Ft!C$2)&lt;0,Ft!C$3*((1-Ft!C$6)/(1+Ft!C$37*($A325-Ft!C$2)^2)+Ft!C$6*EXP(Ft!C$38*($A325-Ft!C$2)^2)),Ft!C$3*((1-Ft!C$7)/(1+Ft!C$39*($A325-Ft!C$2)^2)+Ft!C$7*EXP(Ft!C$40*($A325-Ft!C$2)^2)))</f>
        <v>7.6292124409132943E-9</v>
      </c>
      <c r="H325" s="3">
        <f>IF(($A325-Ft!D$2)&lt;0,Ft!D$3*((1-Ft!D$6)/(1+Ft!D$37*($A325-Ft!D$2)^2)+Ft!D$6*EXP(Ft!D$38*($A325-Ft!D$2)^2)),Ft!D$3*((1-Ft!D$7)/(1+Ft!D$39*($A325-Ft!D$2)^2)+Ft!D$7*EXP(Ft!D$40*($A325-Ft!D$2)^2)))</f>
        <v>9.6740525970949296</v>
      </c>
      <c r="I325" s="3">
        <f>IF(($A325-Ft!E$2)&lt;0,Ft!E$3*((1-Ft!E$6)/(1+Ft!E$37*($A325-Ft!E$2)^2)+Ft!E$6*EXP(Ft!E$38*($A325-Ft!E$2)^2)),Ft!E$3*((1-Ft!E$7)/(1+Ft!E$39*($A325-Ft!E$2)^2)+Ft!E$7*EXP(Ft!E$40*($A325-Ft!E$2)^2)))</f>
        <v>7.0944319712043651</v>
      </c>
      <c r="J325" s="3">
        <f>IF(($A325-Ft!F$2)&lt;0,Ft!F$3*((1-Ft!F$6)/(1+Ft!F$37*($A325-Ft!F$2)^2)+Ft!F$6*EXP(Ft!F$38*($A325-Ft!F$2)^2)),Ft!F$3*((1-Ft!F$7)/(1+Ft!F$39*($A325-Ft!F$2)^2)+Ft!F$7*EXP(Ft!F$40*($A325-Ft!F$2)^2)))</f>
        <v>9.3844154533689681E-15</v>
      </c>
      <c r="K325" s="3">
        <f>IF(($A325-Ft!G$2)&lt;0,Ft!G$3*((1-Ft!G$6)/(1+Ft!G$37*($A325-Ft!G$2)^2)+Ft!G$6*EXP(Ft!G$38*($A325-Ft!G$2)^2)),Ft!G$3*((1-Ft!G$7)/(1+Ft!G$39*($A325-Ft!G$2)^2)+Ft!G$7*EXP(Ft!G$40*($A325-Ft!G$2)^2)))</f>
        <v>8.7091031007313926E-66</v>
      </c>
      <c r="L325" s="3">
        <f>IF(($A325-Ft!H$2)&lt;0,Ft!H$3*((1-Ft!H$6)/(1+Ft!H$37*($A325-Ft!H$2)^2)+Ft!H$6*EXP(Ft!H$38*($A325-Ft!H$2)^2)),Ft!H$3*((1-Ft!H$7)/(1+Ft!H$39*($A325-Ft!H$2)^2)+Ft!H$7*EXP(Ft!H$40*($A325-Ft!H$2)^2)))</f>
        <v>0</v>
      </c>
      <c r="M325" s="3">
        <f>IF(($A325-Ft!I$2)&lt;0,Ft!I$3*((1-Ft!I$6)/(1+Ft!I$37*($A325-Ft!I$2)^2)+Ft!I$6*EXP(Ft!I$38*($A325-Ft!I$2)^2)),Ft!I$3*((1-Ft!I$7)/(1+Ft!I$39*($A325-Ft!I$2)^2)+Ft!I$7*EXP(Ft!I$40*($A325-Ft!I$2)^2)))</f>
        <v>0</v>
      </c>
      <c r="N325" s="3">
        <f>IF(($A325-Ft!J$2)&lt;0,Ft!J$3*((1-Ft!J$6)/(1+Ft!J$37*($A325-Ft!J$2)^2)+Ft!J$6*EXP(Ft!J$38*($A325-Ft!J$2)^2)),Ft!J$3*((1-Ft!J$7)/(1+Ft!J$39*($A325-Ft!J$2)^2)+Ft!J$7*EXP(Ft!J$40*($A325-Ft!J$2)^2)))</f>
        <v>0</v>
      </c>
      <c r="O325" s="3">
        <f>IF(($A325-Ft!K$2)&lt;0,Ft!K$3*((1-Ft!K$6)/(1+Ft!K$37*($A325-Ft!K$2)^2)+Ft!K$6*EXP(Ft!K$38*($A325-Ft!K$2)^2)),Ft!K$3*((1-Ft!K$7)/(1+Ft!K$39*($A325-Ft!K$2)^2)+Ft!K$7*EXP(Ft!K$40*($A325-Ft!K$2)^2)))</f>
        <v>0</v>
      </c>
      <c r="P325"/>
      <c r="Q325"/>
    </row>
    <row r="326" spans="1:17">
      <c r="A326">
        <v>648</v>
      </c>
      <c r="B326">
        <v>16.469277015159989</v>
      </c>
      <c r="C326" s="6">
        <f t="shared" si="11"/>
        <v>16.761972309534226</v>
      </c>
      <c r="D326" s="19">
        <f t="shared" si="12"/>
        <v>8.5670535348821339E-2</v>
      </c>
      <c r="E326" s="3">
        <f>Ft!$B$12+Ft!$B$14*(Data!A326-Vars!$B$3)</f>
        <v>0</v>
      </c>
      <c r="F326" s="3">
        <f>IF(($A326-Ft!B$2)&lt;0,Ft!B$3*((1-Ft!B$6)/(1+Ft!B$37*($A326-Ft!B$2)^2)+Ft!B$6*EXP(Ft!B$38*($A326-Ft!B$2)^2)),Ft!B$3*((1-Ft!B$7)/(1+Ft!B$39*($A326-Ft!B$2)^2)+Ft!B$7*EXP(Ft!B$40*($A326-Ft!B$2)^2)))</f>
        <v>1.6378105534627766E-199</v>
      </c>
      <c r="G326" s="3">
        <f>IF(($A326-Ft!C$2)&lt;0,Ft!C$3*((1-Ft!C$6)/(1+Ft!C$37*($A326-Ft!C$2)^2)+Ft!C$6*EXP(Ft!C$38*($A326-Ft!C$2)^2)),Ft!C$3*((1-Ft!C$7)/(1+Ft!C$39*($A326-Ft!C$2)^2)+Ft!C$7*EXP(Ft!C$40*($A326-Ft!C$2)^2)))</f>
        <v>6.4681761599147269E-9</v>
      </c>
      <c r="H326" s="3">
        <f>IF(($A326-Ft!D$2)&lt;0,Ft!D$3*((1-Ft!D$6)/(1+Ft!D$37*($A326-Ft!D$2)^2)+Ft!D$6*EXP(Ft!D$38*($A326-Ft!D$2)^2)),Ft!D$3*((1-Ft!D$7)/(1+Ft!D$39*($A326-Ft!D$2)^2)+Ft!D$7*EXP(Ft!D$40*($A326-Ft!D$2)^2)))</f>
        <v>9.5410968851578755</v>
      </c>
      <c r="I326" s="3">
        <f>IF(($A326-Ft!E$2)&lt;0,Ft!E$3*((1-Ft!E$6)/(1+Ft!E$37*($A326-Ft!E$2)^2)+Ft!E$6*EXP(Ft!E$38*($A326-Ft!E$2)^2)),Ft!E$3*((1-Ft!E$7)/(1+Ft!E$39*($A326-Ft!E$2)^2)+Ft!E$7*EXP(Ft!E$40*($A326-Ft!E$2)^2)))</f>
        <v>7.22087541790816</v>
      </c>
      <c r="J326" s="3">
        <f>IF(($A326-Ft!F$2)&lt;0,Ft!F$3*((1-Ft!F$6)/(1+Ft!F$37*($A326-Ft!F$2)^2)+Ft!F$6*EXP(Ft!F$38*($A326-Ft!F$2)^2)),Ft!F$3*((1-Ft!F$7)/(1+Ft!F$39*($A326-Ft!F$2)^2)+Ft!F$7*EXP(Ft!F$40*($A326-Ft!F$2)^2)))</f>
        <v>1.3733503055253011E-14</v>
      </c>
      <c r="K326" s="3">
        <f>IF(($A326-Ft!G$2)&lt;0,Ft!G$3*((1-Ft!G$6)/(1+Ft!G$37*($A326-Ft!G$2)^2)+Ft!G$6*EXP(Ft!G$38*($A326-Ft!G$2)^2)),Ft!G$3*((1-Ft!G$7)/(1+Ft!G$39*($A326-Ft!G$2)^2)+Ft!G$7*EXP(Ft!G$40*($A326-Ft!G$2)^2)))</f>
        <v>3.9618013824018051E-65</v>
      </c>
      <c r="L326" s="3">
        <f>IF(($A326-Ft!H$2)&lt;0,Ft!H$3*((1-Ft!H$6)/(1+Ft!H$37*($A326-Ft!H$2)^2)+Ft!H$6*EXP(Ft!H$38*($A326-Ft!H$2)^2)),Ft!H$3*((1-Ft!H$7)/(1+Ft!H$39*($A326-Ft!H$2)^2)+Ft!H$7*EXP(Ft!H$40*($A326-Ft!H$2)^2)))</f>
        <v>0</v>
      </c>
      <c r="M326" s="3">
        <f>IF(($A326-Ft!I$2)&lt;0,Ft!I$3*((1-Ft!I$6)/(1+Ft!I$37*($A326-Ft!I$2)^2)+Ft!I$6*EXP(Ft!I$38*($A326-Ft!I$2)^2)),Ft!I$3*((1-Ft!I$7)/(1+Ft!I$39*($A326-Ft!I$2)^2)+Ft!I$7*EXP(Ft!I$40*($A326-Ft!I$2)^2)))</f>
        <v>0</v>
      </c>
      <c r="N326" s="3">
        <f>IF(($A326-Ft!J$2)&lt;0,Ft!J$3*((1-Ft!J$6)/(1+Ft!J$37*($A326-Ft!J$2)^2)+Ft!J$6*EXP(Ft!J$38*($A326-Ft!J$2)^2)),Ft!J$3*((1-Ft!J$7)/(1+Ft!J$39*($A326-Ft!J$2)^2)+Ft!J$7*EXP(Ft!J$40*($A326-Ft!J$2)^2)))</f>
        <v>0</v>
      </c>
      <c r="O326" s="3">
        <f>IF(($A326-Ft!K$2)&lt;0,Ft!K$3*((1-Ft!K$6)/(1+Ft!K$37*($A326-Ft!K$2)^2)+Ft!K$6*EXP(Ft!K$38*($A326-Ft!K$2)^2)),Ft!K$3*((1-Ft!K$7)/(1+Ft!K$39*($A326-Ft!K$2)^2)+Ft!K$7*EXP(Ft!K$40*($A326-Ft!K$2)^2)))</f>
        <v>0</v>
      </c>
      <c r="P326"/>
      <c r="Q326"/>
    </row>
    <row r="327" spans="1:17">
      <c r="A327">
        <v>650</v>
      </c>
      <c r="B327">
        <v>16.466060314139</v>
      </c>
      <c r="C327" s="6">
        <f t="shared" si="11"/>
        <v>16.756708466649393</v>
      </c>
      <c r="D327" s="19">
        <f t="shared" si="12"/>
        <v>8.4476348557704542E-2</v>
      </c>
      <c r="E327" s="3">
        <f>Ft!$B$12+Ft!$B$14*(Data!A327-Vars!$B$3)</f>
        <v>0</v>
      </c>
      <c r="F327" s="3">
        <f>IF(($A327-Ft!B$2)&lt;0,Ft!B$3*((1-Ft!B$6)/(1+Ft!B$37*($A327-Ft!B$2)^2)+Ft!B$6*EXP(Ft!B$38*($A327-Ft!B$2)^2)),Ft!B$3*((1-Ft!B$7)/(1+Ft!B$39*($A327-Ft!B$2)^2)+Ft!B$7*EXP(Ft!B$40*($A327-Ft!B$2)^2)))</f>
        <v>7.7472310323029269E-201</v>
      </c>
      <c r="G327" s="3">
        <f>IF(($A327-Ft!C$2)&lt;0,Ft!C$3*((1-Ft!C$6)/(1+Ft!C$37*($A327-Ft!C$2)^2)+Ft!C$6*EXP(Ft!C$38*($A327-Ft!C$2)^2)),Ft!C$3*((1-Ft!C$7)/(1+Ft!C$39*($A327-Ft!C$2)^2)+Ft!C$7*EXP(Ft!C$40*($A327-Ft!C$2)^2)))</f>
        <v>5.4802693304403317E-9</v>
      </c>
      <c r="H327" s="3">
        <f>IF(($A327-Ft!D$2)&lt;0,Ft!D$3*((1-Ft!D$6)/(1+Ft!D$37*($A327-Ft!D$2)^2)+Ft!D$6*EXP(Ft!D$38*($A327-Ft!D$2)^2)),Ft!D$3*((1-Ft!D$7)/(1+Ft!D$39*($A327-Ft!D$2)^2)+Ft!D$7*EXP(Ft!D$40*($A327-Ft!D$2)^2)))</f>
        <v>9.4086157527662468</v>
      </c>
      <c r="I327" s="3">
        <f>IF(($A327-Ft!E$2)&lt;0,Ft!E$3*((1-Ft!E$6)/(1+Ft!E$37*($A327-Ft!E$2)^2)+Ft!E$6*EXP(Ft!E$38*($A327-Ft!E$2)^2)),Ft!E$3*((1-Ft!E$7)/(1+Ft!E$39*($A327-Ft!E$2)^2)+Ft!E$7*EXP(Ft!E$40*($A327-Ft!E$2)^2)))</f>
        <v>7.3480927084028558</v>
      </c>
      <c r="J327" s="3">
        <f>IF(($A327-Ft!F$2)&lt;0,Ft!F$3*((1-Ft!F$6)/(1+Ft!F$37*($A327-Ft!F$2)^2)+Ft!F$6*EXP(Ft!F$38*($A327-Ft!F$2)^2)),Ft!F$3*((1-Ft!F$7)/(1+Ft!F$39*($A327-Ft!F$2)^2)+Ft!F$7*EXP(Ft!F$40*($A327-Ft!F$2)^2)))</f>
        <v>2.0054909433522259E-14</v>
      </c>
      <c r="K327" s="3">
        <f>IF(($A327-Ft!G$2)&lt;0,Ft!G$3*((1-Ft!G$6)/(1+Ft!G$37*($A327-Ft!G$2)^2)+Ft!G$6*EXP(Ft!G$38*($A327-Ft!G$2)^2)),Ft!G$3*((1-Ft!G$7)/(1+Ft!G$39*($A327-Ft!G$2)^2)+Ft!G$7*EXP(Ft!G$40*($A327-Ft!G$2)^2)))</f>
        <v>1.788582176648569E-64</v>
      </c>
      <c r="L327" s="3">
        <f>IF(($A327-Ft!H$2)&lt;0,Ft!H$3*((1-Ft!H$6)/(1+Ft!H$37*($A327-Ft!H$2)^2)+Ft!H$6*EXP(Ft!H$38*($A327-Ft!H$2)^2)),Ft!H$3*((1-Ft!H$7)/(1+Ft!H$39*($A327-Ft!H$2)^2)+Ft!H$7*EXP(Ft!H$40*($A327-Ft!H$2)^2)))</f>
        <v>0</v>
      </c>
      <c r="M327" s="3">
        <f>IF(($A327-Ft!I$2)&lt;0,Ft!I$3*((1-Ft!I$6)/(1+Ft!I$37*($A327-Ft!I$2)^2)+Ft!I$6*EXP(Ft!I$38*($A327-Ft!I$2)^2)),Ft!I$3*((1-Ft!I$7)/(1+Ft!I$39*($A327-Ft!I$2)^2)+Ft!I$7*EXP(Ft!I$40*($A327-Ft!I$2)^2)))</f>
        <v>0</v>
      </c>
      <c r="N327" s="3">
        <f>IF(($A327-Ft!J$2)&lt;0,Ft!J$3*((1-Ft!J$6)/(1+Ft!J$37*($A327-Ft!J$2)^2)+Ft!J$6*EXP(Ft!J$38*($A327-Ft!J$2)^2)),Ft!J$3*((1-Ft!J$7)/(1+Ft!J$39*($A327-Ft!J$2)^2)+Ft!J$7*EXP(Ft!J$40*($A327-Ft!J$2)^2)))</f>
        <v>0</v>
      </c>
      <c r="O327" s="3">
        <f>IF(($A327-Ft!K$2)&lt;0,Ft!K$3*((1-Ft!K$6)/(1+Ft!K$37*($A327-Ft!K$2)^2)+Ft!K$6*EXP(Ft!K$38*($A327-Ft!K$2)^2)),Ft!K$3*((1-Ft!K$7)/(1+Ft!K$39*($A327-Ft!K$2)^2)+Ft!K$7*EXP(Ft!K$40*($A327-Ft!K$2)^2)))</f>
        <v>0</v>
      </c>
      <c r="P327"/>
      <c r="Q327"/>
    </row>
    <row r="328" spans="1:17">
      <c r="A328">
        <v>652</v>
      </c>
      <c r="B328">
        <v>16.465678172374993</v>
      </c>
      <c r="C328" s="6">
        <f t="shared" si="11"/>
        <v>16.752686237004443</v>
      </c>
      <c r="D328" s="19">
        <f t="shared" si="12"/>
        <v>8.2373629162342768E-2</v>
      </c>
      <c r="E328" s="3">
        <f>Ft!$B$12+Ft!$B$14*(Data!A328-Vars!$B$3)</f>
        <v>0</v>
      </c>
      <c r="F328" s="3">
        <f>IF(($A328-Ft!B$2)&lt;0,Ft!B$3*((1-Ft!B$6)/(1+Ft!B$37*($A328-Ft!B$2)^2)+Ft!B$6*EXP(Ft!B$38*($A328-Ft!B$2)^2)),Ft!B$3*((1-Ft!B$7)/(1+Ft!B$39*($A328-Ft!B$2)^2)+Ft!B$7*EXP(Ft!B$40*($A328-Ft!B$2)^2)))</f>
        <v>3.6277590187287288E-202</v>
      </c>
      <c r="G328" s="3">
        <f>IF(($A328-Ft!C$2)&lt;0,Ft!C$3*((1-Ft!C$6)/(1+Ft!C$37*($A328-Ft!C$2)^2)+Ft!C$6*EXP(Ft!C$38*($A328-Ft!C$2)^2)),Ft!C$3*((1-Ft!C$7)/(1+Ft!C$39*($A328-Ft!C$2)^2)+Ft!C$7*EXP(Ft!C$40*($A328-Ft!C$2)^2)))</f>
        <v>4.640234173016288E-9</v>
      </c>
      <c r="H328" s="3">
        <f>IF(($A328-Ft!D$2)&lt;0,Ft!D$3*((1-Ft!D$6)/(1+Ft!D$37*($A328-Ft!D$2)^2)+Ft!D$6*EXP(Ft!D$38*($A328-Ft!D$2)^2)),Ft!D$3*((1-Ft!D$7)/(1+Ft!D$39*($A328-Ft!D$2)^2)+Ft!D$7*EXP(Ft!D$40*($A328-Ft!D$2)^2)))</f>
        <v>9.276640434667625</v>
      </c>
      <c r="I328" s="3">
        <f>IF(($A328-Ft!E$2)&lt;0,Ft!E$3*((1-Ft!E$6)/(1+Ft!E$37*($A328-Ft!E$2)^2)+Ft!E$6*EXP(Ft!E$38*($A328-Ft!E$2)^2)),Ft!E$3*((1-Ft!E$7)/(1+Ft!E$39*($A328-Ft!E$2)^2)+Ft!E$7*EXP(Ft!E$40*($A328-Ft!E$2)^2)))</f>
        <v>7.476045797696556</v>
      </c>
      <c r="J328" s="3">
        <f>IF(($A328-Ft!F$2)&lt;0,Ft!F$3*((1-Ft!F$6)/(1+Ft!F$37*($A328-Ft!F$2)^2)+Ft!F$6*EXP(Ft!F$38*($A328-Ft!F$2)^2)),Ft!F$3*((1-Ft!F$7)/(1+Ft!F$39*($A328-Ft!F$2)^2)+Ft!F$7*EXP(Ft!F$40*($A328-Ft!F$2)^2)))</f>
        <v>2.9223037532554869E-14</v>
      </c>
      <c r="K328" s="3">
        <f>IF(($A328-Ft!G$2)&lt;0,Ft!G$3*((1-Ft!G$6)/(1+Ft!G$37*($A328-Ft!G$2)^2)+Ft!G$6*EXP(Ft!G$38*($A328-Ft!G$2)^2)),Ft!G$3*((1-Ft!G$7)/(1+Ft!G$39*($A328-Ft!G$2)^2)+Ft!G$7*EXP(Ft!G$40*($A328-Ft!G$2)^2)))</f>
        <v>8.0134961068691991E-64</v>
      </c>
      <c r="L328" s="3">
        <f>IF(($A328-Ft!H$2)&lt;0,Ft!H$3*((1-Ft!H$6)/(1+Ft!H$37*($A328-Ft!H$2)^2)+Ft!H$6*EXP(Ft!H$38*($A328-Ft!H$2)^2)),Ft!H$3*((1-Ft!H$7)/(1+Ft!H$39*($A328-Ft!H$2)^2)+Ft!H$7*EXP(Ft!H$40*($A328-Ft!H$2)^2)))</f>
        <v>0</v>
      </c>
      <c r="M328" s="3">
        <f>IF(($A328-Ft!I$2)&lt;0,Ft!I$3*((1-Ft!I$6)/(1+Ft!I$37*($A328-Ft!I$2)^2)+Ft!I$6*EXP(Ft!I$38*($A328-Ft!I$2)^2)),Ft!I$3*((1-Ft!I$7)/(1+Ft!I$39*($A328-Ft!I$2)^2)+Ft!I$7*EXP(Ft!I$40*($A328-Ft!I$2)^2)))</f>
        <v>0</v>
      </c>
      <c r="N328" s="3">
        <f>IF(($A328-Ft!J$2)&lt;0,Ft!J$3*((1-Ft!J$6)/(1+Ft!J$37*($A328-Ft!J$2)^2)+Ft!J$6*EXP(Ft!J$38*($A328-Ft!J$2)^2)),Ft!J$3*((1-Ft!J$7)/(1+Ft!J$39*($A328-Ft!J$2)^2)+Ft!J$7*EXP(Ft!J$40*($A328-Ft!J$2)^2)))</f>
        <v>0</v>
      </c>
      <c r="O328" s="3">
        <f>IF(($A328-Ft!K$2)&lt;0,Ft!K$3*((1-Ft!K$6)/(1+Ft!K$37*($A328-Ft!K$2)^2)+Ft!K$6*EXP(Ft!K$38*($A328-Ft!K$2)^2)),Ft!K$3*((1-Ft!K$7)/(1+Ft!K$39*($A328-Ft!K$2)^2)+Ft!K$7*EXP(Ft!K$40*($A328-Ft!K$2)^2)))</f>
        <v>0</v>
      </c>
      <c r="P328"/>
      <c r="Q328"/>
    </row>
    <row r="329" spans="1:17">
      <c r="A329">
        <v>654</v>
      </c>
      <c r="B329">
        <v>16.468630230141002</v>
      </c>
      <c r="C329" s="6">
        <f t="shared" si="11"/>
        <v>16.749897043173132</v>
      </c>
      <c r="D329" s="19">
        <f t="shared" si="12"/>
        <v>7.9111020113250718E-2</v>
      </c>
      <c r="E329" s="3">
        <f>Ft!$B$12+Ft!$B$14*(Data!A329-Vars!$B$3)</f>
        <v>0</v>
      </c>
      <c r="F329" s="3">
        <f>IF(($A329-Ft!B$2)&lt;0,Ft!B$3*((1-Ft!B$6)/(1+Ft!B$37*($A329-Ft!B$2)^2)+Ft!B$6*EXP(Ft!B$38*($A329-Ft!B$2)^2)),Ft!B$3*((1-Ft!B$7)/(1+Ft!B$39*($A329-Ft!B$2)^2)+Ft!B$7*EXP(Ft!B$40*($A329-Ft!B$2)^2)))</f>
        <v>1.6816648026089634E-203</v>
      </c>
      <c r="G329" s="3">
        <f>IF(($A329-Ft!C$2)&lt;0,Ft!C$3*((1-Ft!C$6)/(1+Ft!C$37*($A329-Ft!C$2)^2)+Ft!C$6*EXP(Ft!C$38*($A329-Ft!C$2)^2)),Ft!C$3*((1-Ft!C$7)/(1+Ft!C$39*($A329-Ft!C$2)^2)+Ft!C$7*EXP(Ft!C$40*($A329-Ft!C$2)^2)))</f>
        <v>3.9264116156865419E-9</v>
      </c>
      <c r="H329" s="3">
        <f>IF(($A329-Ft!D$2)&lt;0,Ft!D$3*((1-Ft!D$6)/(1+Ft!D$37*($A329-Ft!D$2)^2)+Ft!D$6*EXP(Ft!D$38*($A329-Ft!D$2)^2)),Ft!D$3*((1-Ft!D$7)/(1+Ft!D$39*($A329-Ft!D$2)^2)+Ft!D$7*EXP(Ft!D$40*($A329-Ft!D$2)^2)))</f>
        <v>9.1452015130996447</v>
      </c>
      <c r="I329" s="3">
        <f>IF(($A329-Ft!E$2)&lt;0,Ft!E$3*((1-Ft!E$6)/(1+Ft!E$37*($A329-Ft!E$2)^2)+Ft!E$6*EXP(Ft!E$38*($A329-Ft!E$2)^2)),Ft!E$3*((1-Ft!E$7)/(1+Ft!E$39*($A329-Ft!E$2)^2)+Ft!E$7*EXP(Ft!E$40*($A329-Ft!E$2)^2)))</f>
        <v>7.6046955261470321</v>
      </c>
      <c r="J329" s="3">
        <f>IF(($A329-Ft!F$2)&lt;0,Ft!F$3*((1-Ft!F$6)/(1+Ft!F$37*($A329-Ft!F$2)^2)+Ft!F$6*EXP(Ft!F$38*($A329-Ft!F$2)^2)),Ft!F$3*((1-Ft!F$7)/(1+Ft!F$39*($A329-Ft!F$2)^2)+Ft!F$7*EXP(Ft!F$40*($A329-Ft!F$2)^2)))</f>
        <v>4.2490836482275957E-14</v>
      </c>
      <c r="K329" s="3">
        <f>IF(($A329-Ft!G$2)&lt;0,Ft!G$3*((1-Ft!G$6)/(1+Ft!G$37*($A329-Ft!G$2)^2)+Ft!G$6*EXP(Ft!G$38*($A329-Ft!G$2)^2)),Ft!G$3*((1-Ft!G$7)/(1+Ft!G$39*($A329-Ft!G$2)^2)+Ft!G$7*EXP(Ft!G$40*($A329-Ft!G$2)^2)))</f>
        <v>3.5631334971949479E-63</v>
      </c>
      <c r="L329" s="3">
        <f>IF(($A329-Ft!H$2)&lt;0,Ft!H$3*((1-Ft!H$6)/(1+Ft!H$37*($A329-Ft!H$2)^2)+Ft!H$6*EXP(Ft!H$38*($A329-Ft!H$2)^2)),Ft!H$3*((1-Ft!H$7)/(1+Ft!H$39*($A329-Ft!H$2)^2)+Ft!H$7*EXP(Ft!H$40*($A329-Ft!H$2)^2)))</f>
        <v>0</v>
      </c>
      <c r="M329" s="3">
        <f>IF(($A329-Ft!I$2)&lt;0,Ft!I$3*((1-Ft!I$6)/(1+Ft!I$37*($A329-Ft!I$2)^2)+Ft!I$6*EXP(Ft!I$38*($A329-Ft!I$2)^2)),Ft!I$3*((1-Ft!I$7)/(1+Ft!I$39*($A329-Ft!I$2)^2)+Ft!I$7*EXP(Ft!I$40*($A329-Ft!I$2)^2)))</f>
        <v>0</v>
      </c>
      <c r="N329" s="3">
        <f>IF(($A329-Ft!J$2)&lt;0,Ft!J$3*((1-Ft!J$6)/(1+Ft!J$37*($A329-Ft!J$2)^2)+Ft!J$6*EXP(Ft!J$38*($A329-Ft!J$2)^2)),Ft!J$3*((1-Ft!J$7)/(1+Ft!J$39*($A329-Ft!J$2)^2)+Ft!J$7*EXP(Ft!J$40*($A329-Ft!J$2)^2)))</f>
        <v>0</v>
      </c>
      <c r="O329" s="3">
        <f>IF(($A329-Ft!K$2)&lt;0,Ft!K$3*((1-Ft!K$6)/(1+Ft!K$37*($A329-Ft!K$2)^2)+Ft!K$6*EXP(Ft!K$38*($A329-Ft!K$2)^2)),Ft!K$3*((1-Ft!K$7)/(1+Ft!K$39*($A329-Ft!K$2)^2)+Ft!K$7*EXP(Ft!K$40*($A329-Ft!K$2)^2)))</f>
        <v>0</v>
      </c>
      <c r="P329"/>
      <c r="Q329"/>
    </row>
    <row r="330" spans="1:17">
      <c r="A330">
        <v>656</v>
      </c>
      <c r="B330">
        <v>16.475416127711995</v>
      </c>
      <c r="C330" s="6">
        <f t="shared" si="11"/>
        <v>16.748330544664835</v>
      </c>
      <c r="D330" s="19">
        <f t="shared" si="12"/>
        <v>7.4482278980708791E-2</v>
      </c>
      <c r="E330" s="3">
        <f>Ft!$B$12+Ft!$B$14*(Data!A330-Vars!$B$3)</f>
        <v>0</v>
      </c>
      <c r="F330" s="3">
        <f>IF(($A330-Ft!B$2)&lt;0,Ft!B$3*((1-Ft!B$6)/(1+Ft!B$37*($A330-Ft!B$2)^2)+Ft!B$6*EXP(Ft!B$38*($A330-Ft!B$2)^2)),Ft!B$3*((1-Ft!B$7)/(1+Ft!B$39*($A330-Ft!B$2)^2)+Ft!B$7*EXP(Ft!B$40*($A330-Ft!B$2)^2)))</f>
        <v>7.7170181090973445E-205</v>
      </c>
      <c r="G330" s="3">
        <f>IF(($A330-Ft!C$2)&lt;0,Ft!C$3*((1-Ft!C$6)/(1+Ft!C$37*($A330-Ft!C$2)^2)+Ft!C$6*EXP(Ft!C$38*($A330-Ft!C$2)^2)),Ft!C$3*((1-Ft!C$7)/(1+Ft!C$39*($A330-Ft!C$2)^2)+Ft!C$7*EXP(Ft!C$40*($A330-Ft!C$2)^2)))</f>
        <v>3.3202415936006344E-9</v>
      </c>
      <c r="H330" s="3">
        <f>IF(($A330-Ft!D$2)&lt;0,Ft!D$3*((1-Ft!D$6)/(1+Ft!D$37*($A330-Ft!D$2)^2)+Ft!D$6*EXP(Ft!D$38*($A330-Ft!D$2)^2)),Ft!D$3*((1-Ft!D$7)/(1+Ft!D$39*($A330-Ft!D$2)^2)+Ft!D$7*EXP(Ft!D$40*($A330-Ft!D$2)^2)))</f>
        <v>9.0143289094815771</v>
      </c>
      <c r="I330" s="3">
        <f>IF(($A330-Ft!E$2)&lt;0,Ft!E$3*((1-Ft!E$6)/(1+Ft!E$37*($A330-Ft!E$2)^2)+Ft!E$6*EXP(Ft!E$38*($A330-Ft!E$2)^2)),Ft!E$3*((1-Ft!E$7)/(1+Ft!E$39*($A330-Ft!E$2)^2)+Ft!E$7*EXP(Ft!E$40*($A330-Ft!E$2)^2)))</f>
        <v>7.7340016318629567</v>
      </c>
      <c r="J330" s="3">
        <f>IF(($A330-Ft!F$2)&lt;0,Ft!F$3*((1-Ft!F$6)/(1+Ft!F$37*($A330-Ft!F$2)^2)+Ft!F$6*EXP(Ft!F$38*($A330-Ft!F$2)^2)),Ft!F$3*((1-Ft!F$7)/(1+Ft!F$39*($A330-Ft!F$2)^2)+Ft!F$7*EXP(Ft!F$40*($A330-Ft!F$2)^2)))</f>
        <v>6.1649630765784475E-14</v>
      </c>
      <c r="K330" s="3">
        <f>IF(($A330-Ft!G$2)&lt;0,Ft!G$3*((1-Ft!G$6)/(1+Ft!G$37*($A330-Ft!G$2)^2)+Ft!G$6*EXP(Ft!G$38*($A330-Ft!G$2)^2)),Ft!G$3*((1-Ft!G$7)/(1+Ft!G$39*($A330-Ft!G$2)^2)+Ft!G$7*EXP(Ft!G$40*($A330-Ft!G$2)^2)))</f>
        <v>1.5723133067414471E-62</v>
      </c>
      <c r="L330" s="3">
        <f>IF(($A330-Ft!H$2)&lt;0,Ft!H$3*((1-Ft!H$6)/(1+Ft!H$37*($A330-Ft!H$2)^2)+Ft!H$6*EXP(Ft!H$38*($A330-Ft!H$2)^2)),Ft!H$3*((1-Ft!H$7)/(1+Ft!H$39*($A330-Ft!H$2)^2)+Ft!H$7*EXP(Ft!H$40*($A330-Ft!H$2)^2)))</f>
        <v>0</v>
      </c>
      <c r="M330" s="3">
        <f>IF(($A330-Ft!I$2)&lt;0,Ft!I$3*((1-Ft!I$6)/(1+Ft!I$37*($A330-Ft!I$2)^2)+Ft!I$6*EXP(Ft!I$38*($A330-Ft!I$2)^2)),Ft!I$3*((1-Ft!I$7)/(1+Ft!I$39*($A330-Ft!I$2)^2)+Ft!I$7*EXP(Ft!I$40*($A330-Ft!I$2)^2)))</f>
        <v>0</v>
      </c>
      <c r="N330" s="3">
        <f>IF(($A330-Ft!J$2)&lt;0,Ft!J$3*((1-Ft!J$6)/(1+Ft!J$37*($A330-Ft!J$2)^2)+Ft!J$6*EXP(Ft!J$38*($A330-Ft!J$2)^2)),Ft!J$3*((1-Ft!J$7)/(1+Ft!J$39*($A330-Ft!J$2)^2)+Ft!J$7*EXP(Ft!J$40*($A330-Ft!J$2)^2)))</f>
        <v>0</v>
      </c>
      <c r="O330" s="3">
        <f>IF(($A330-Ft!K$2)&lt;0,Ft!K$3*((1-Ft!K$6)/(1+Ft!K$37*($A330-Ft!K$2)^2)+Ft!K$6*EXP(Ft!K$38*($A330-Ft!K$2)^2)),Ft!K$3*((1-Ft!K$7)/(1+Ft!K$39*($A330-Ft!K$2)^2)+Ft!K$7*EXP(Ft!K$40*($A330-Ft!K$2)^2)))</f>
        <v>0</v>
      </c>
      <c r="P330"/>
      <c r="Q330"/>
    </row>
    <row r="331" spans="1:17">
      <c r="A331">
        <v>658</v>
      </c>
      <c r="B331">
        <v>16.48653550536099</v>
      </c>
      <c r="C331" s="6">
        <f t="shared" si="11"/>
        <v>16.747974643939422</v>
      </c>
      <c r="D331" s="19">
        <f t="shared" si="12"/>
        <v>6.8350423180632364E-2</v>
      </c>
      <c r="E331" s="3">
        <f>Ft!$B$12+Ft!$B$14*(Data!A331-Vars!$B$3)</f>
        <v>0</v>
      </c>
      <c r="F331" s="3">
        <f>IF(($A331-Ft!B$2)&lt;0,Ft!B$3*((1-Ft!B$6)/(1+Ft!B$37*($A331-Ft!B$2)^2)+Ft!B$6*EXP(Ft!B$38*($A331-Ft!B$2)^2)),Ft!B$3*((1-Ft!B$7)/(1+Ft!B$39*($A331-Ft!B$2)^2)+Ft!B$7*EXP(Ft!B$40*($A331-Ft!B$2)^2)))</f>
        <v>3.5056510556169908E-206</v>
      </c>
      <c r="G331" s="3">
        <f>IF(($A331-Ft!C$2)&lt;0,Ft!C$3*((1-Ft!C$6)/(1+Ft!C$37*($A331-Ft!C$2)^2)+Ft!C$6*EXP(Ft!C$38*($A331-Ft!C$2)^2)),Ft!C$3*((1-Ft!C$7)/(1+Ft!C$39*($A331-Ft!C$2)^2)+Ft!C$7*EXP(Ft!C$40*($A331-Ft!C$2)^2)))</f>
        <v>2.8058307984290825E-9</v>
      </c>
      <c r="H331" s="3">
        <f>IF(($A331-Ft!D$2)&lt;0,Ft!D$3*((1-Ft!D$6)/(1+Ft!D$37*($A331-Ft!D$2)^2)+Ft!D$6*EXP(Ft!D$38*($A331-Ft!D$2)^2)),Ft!D$3*((1-Ft!D$7)/(1+Ft!D$39*($A331-Ft!D$2)^2)+Ft!D$7*EXP(Ft!D$40*($A331-Ft!D$2)^2)))</f>
        <v>8.8840518766946062</v>
      </c>
      <c r="I331" s="3">
        <f>IF(($A331-Ft!E$2)&lt;0,Ft!E$3*((1-Ft!E$6)/(1+Ft!E$37*($A331-Ft!E$2)^2)+Ft!E$6*EXP(Ft!E$38*($A331-Ft!E$2)^2)),Ft!E$3*((1-Ft!E$7)/(1+Ft!E$39*($A331-Ft!E$2)^2)+Ft!E$7*EXP(Ft!E$40*($A331-Ft!E$2)^2)))</f>
        <v>7.8639227644388967</v>
      </c>
      <c r="J331" s="3">
        <f>IF(($A331-Ft!F$2)&lt;0,Ft!F$3*((1-Ft!F$6)/(1+Ft!F$37*($A331-Ft!F$2)^2)+Ft!F$6*EXP(Ft!F$38*($A331-Ft!F$2)^2)),Ft!F$3*((1-Ft!F$7)/(1+Ft!F$39*($A331-Ft!F$2)^2)+Ft!F$7*EXP(Ft!F$40*($A331-Ft!F$2)^2)))</f>
        <v>8.925467091554677E-14</v>
      </c>
      <c r="K331" s="3">
        <f>IF(($A331-Ft!G$2)&lt;0,Ft!G$3*((1-Ft!G$6)/(1+Ft!G$37*($A331-Ft!G$2)^2)+Ft!G$6*EXP(Ft!G$38*($A331-Ft!G$2)^2)),Ft!G$3*((1-Ft!G$7)/(1+Ft!G$39*($A331-Ft!G$2)^2)+Ft!G$7*EXP(Ft!G$40*($A331-Ft!G$2)^2)))</f>
        <v>6.8856194701972583E-62</v>
      </c>
      <c r="L331" s="3">
        <f>IF(($A331-Ft!H$2)&lt;0,Ft!H$3*((1-Ft!H$6)/(1+Ft!H$37*($A331-Ft!H$2)^2)+Ft!H$6*EXP(Ft!H$38*($A331-Ft!H$2)^2)),Ft!H$3*((1-Ft!H$7)/(1+Ft!H$39*($A331-Ft!H$2)^2)+Ft!H$7*EXP(Ft!H$40*($A331-Ft!H$2)^2)))</f>
        <v>0</v>
      </c>
      <c r="M331" s="3">
        <f>IF(($A331-Ft!I$2)&lt;0,Ft!I$3*((1-Ft!I$6)/(1+Ft!I$37*($A331-Ft!I$2)^2)+Ft!I$6*EXP(Ft!I$38*($A331-Ft!I$2)^2)),Ft!I$3*((1-Ft!I$7)/(1+Ft!I$39*($A331-Ft!I$2)^2)+Ft!I$7*EXP(Ft!I$40*($A331-Ft!I$2)^2)))</f>
        <v>0</v>
      </c>
      <c r="N331" s="3">
        <f>IF(($A331-Ft!J$2)&lt;0,Ft!J$3*((1-Ft!J$6)/(1+Ft!J$37*($A331-Ft!J$2)^2)+Ft!J$6*EXP(Ft!J$38*($A331-Ft!J$2)^2)),Ft!J$3*((1-Ft!J$7)/(1+Ft!J$39*($A331-Ft!J$2)^2)+Ft!J$7*EXP(Ft!J$40*($A331-Ft!J$2)^2)))</f>
        <v>0</v>
      </c>
      <c r="O331" s="3">
        <f>IF(($A331-Ft!K$2)&lt;0,Ft!K$3*((1-Ft!K$6)/(1+Ft!K$37*($A331-Ft!K$2)^2)+Ft!K$6*EXP(Ft!K$38*($A331-Ft!K$2)^2)),Ft!K$3*((1-Ft!K$7)/(1+Ft!K$39*($A331-Ft!K$2)^2)+Ft!K$7*EXP(Ft!K$40*($A331-Ft!K$2)^2)))</f>
        <v>0</v>
      </c>
      <c r="P331"/>
      <c r="Q331"/>
    </row>
    <row r="332" spans="1:17">
      <c r="A332">
        <v>660</v>
      </c>
      <c r="B332">
        <v>16.504004129660999</v>
      </c>
      <c r="C332" s="6">
        <f t="shared" si="11"/>
        <v>16.748815494349074</v>
      </c>
      <c r="D332" s="19">
        <f t="shared" si="12"/>
        <v>5.9932604280437965E-2</v>
      </c>
      <c r="E332" s="3">
        <f>Ft!$B$12+Ft!$B$14*(Data!A332-Vars!$B$3)</f>
        <v>0</v>
      </c>
      <c r="F332" s="3">
        <f>IF(($A332-Ft!B$2)&lt;0,Ft!B$3*((1-Ft!B$6)/(1+Ft!B$37*($A332-Ft!B$2)^2)+Ft!B$6*EXP(Ft!B$38*($A332-Ft!B$2)^2)),Ft!B$3*((1-Ft!B$7)/(1+Ft!B$39*($A332-Ft!B$2)^2)+Ft!B$7*EXP(Ft!B$40*($A332-Ft!B$2)^2)))</f>
        <v>1.5765107338113557E-207</v>
      </c>
      <c r="G332" s="3">
        <f>IF(($A332-Ft!C$2)&lt;0,Ft!C$3*((1-Ft!C$6)/(1+Ft!C$37*($A332-Ft!C$2)^2)+Ft!C$6*EXP(Ft!C$38*($A332-Ft!C$2)^2)),Ft!C$3*((1-Ft!C$7)/(1+Ft!C$39*($A332-Ft!C$2)^2)+Ft!C$7*EXP(Ft!C$40*($A332-Ft!C$2)^2)))</f>
        <v>2.3695790548959134E-9</v>
      </c>
      <c r="H332" s="3">
        <f>IF(($A332-Ft!D$2)&lt;0,Ft!D$3*((1-Ft!D$6)/(1+Ft!D$37*($A332-Ft!D$2)^2)+Ft!D$6*EXP(Ft!D$38*($A332-Ft!D$2)^2)),Ft!D$3*((1-Ft!D$7)/(1+Ft!D$39*($A332-Ft!D$2)^2)+Ft!D$7*EXP(Ft!D$40*($A332-Ft!D$2)^2)))</f>
        <v>8.7543989919490937</v>
      </c>
      <c r="I332" s="3">
        <f>IF(($A332-Ft!E$2)&lt;0,Ft!E$3*((1-Ft!E$6)/(1+Ft!E$37*($A332-Ft!E$2)^2)+Ft!E$6*EXP(Ft!E$38*($A332-Ft!E$2)^2)),Ft!E$3*((1-Ft!E$7)/(1+Ft!E$39*($A332-Ft!E$2)^2)+Ft!E$7*EXP(Ft!E$40*($A332-Ft!E$2)^2)))</f>
        <v>7.9944165000302752</v>
      </c>
      <c r="J332" s="3">
        <f>IF(($A332-Ft!F$2)&lt;0,Ft!F$3*((1-Ft!F$6)/(1+Ft!F$37*($A332-Ft!F$2)^2)+Ft!F$6*EXP(Ft!F$38*($A332-Ft!F$2)^2)),Ft!F$3*((1-Ft!F$7)/(1+Ft!F$39*($A332-Ft!F$2)^2)+Ft!F$7*EXP(Ft!F$40*($A332-Ft!F$2)^2)))</f>
        <v>1.2894268235105478E-13</v>
      </c>
      <c r="K332" s="3">
        <f>IF(($A332-Ft!G$2)&lt;0,Ft!G$3*((1-Ft!G$6)/(1+Ft!G$37*($A332-Ft!G$2)^2)+Ft!G$6*EXP(Ft!G$38*($A332-Ft!G$2)^2)),Ft!G$3*((1-Ft!G$7)/(1+Ft!G$39*($A332-Ft!G$2)^2)+Ft!G$7*EXP(Ft!G$40*($A332-Ft!G$2)^2)))</f>
        <v>2.9925669702119459E-61</v>
      </c>
      <c r="L332" s="3">
        <f>IF(($A332-Ft!H$2)&lt;0,Ft!H$3*((1-Ft!H$6)/(1+Ft!H$37*($A332-Ft!H$2)^2)+Ft!H$6*EXP(Ft!H$38*($A332-Ft!H$2)^2)),Ft!H$3*((1-Ft!H$7)/(1+Ft!H$39*($A332-Ft!H$2)^2)+Ft!H$7*EXP(Ft!H$40*($A332-Ft!H$2)^2)))</f>
        <v>0</v>
      </c>
      <c r="M332" s="3">
        <f>IF(($A332-Ft!I$2)&lt;0,Ft!I$3*((1-Ft!I$6)/(1+Ft!I$37*($A332-Ft!I$2)^2)+Ft!I$6*EXP(Ft!I$38*($A332-Ft!I$2)^2)),Ft!I$3*((1-Ft!I$7)/(1+Ft!I$39*($A332-Ft!I$2)^2)+Ft!I$7*EXP(Ft!I$40*($A332-Ft!I$2)^2)))</f>
        <v>0</v>
      </c>
      <c r="N332" s="3">
        <f>IF(($A332-Ft!J$2)&lt;0,Ft!J$3*((1-Ft!J$6)/(1+Ft!J$37*($A332-Ft!J$2)^2)+Ft!J$6*EXP(Ft!J$38*($A332-Ft!J$2)^2)),Ft!J$3*((1-Ft!J$7)/(1+Ft!J$39*($A332-Ft!J$2)^2)+Ft!J$7*EXP(Ft!J$40*($A332-Ft!J$2)^2)))</f>
        <v>0</v>
      </c>
      <c r="O332" s="3">
        <f>IF(($A332-Ft!K$2)&lt;0,Ft!K$3*((1-Ft!K$6)/(1+Ft!K$37*($A332-Ft!K$2)^2)+Ft!K$6*EXP(Ft!K$38*($A332-Ft!K$2)^2)),Ft!K$3*((1-Ft!K$7)/(1+Ft!K$39*($A332-Ft!K$2)^2)+Ft!K$7*EXP(Ft!K$40*($A332-Ft!K$2)^2)))</f>
        <v>0</v>
      </c>
      <c r="P332"/>
      <c r="Q332"/>
    </row>
    <row r="333" spans="1:17">
      <c r="A333">
        <v>662</v>
      </c>
      <c r="B333">
        <v>16.528404043183997</v>
      </c>
      <c r="C333" s="6">
        <f t="shared" si="11"/>
        <v>16.750837510009326</v>
      </c>
      <c r="D333" s="19">
        <f t="shared" si="12"/>
        <v>4.9476647163934809E-2</v>
      </c>
      <c r="E333" s="3">
        <f>Ft!$B$12+Ft!$B$14*(Data!A333-Vars!$B$3)</f>
        <v>0</v>
      </c>
      <c r="F333" s="3">
        <f>IF(($A333-Ft!B$2)&lt;0,Ft!B$3*((1-Ft!B$6)/(1+Ft!B$37*($A333-Ft!B$2)^2)+Ft!B$6*EXP(Ft!B$38*($A333-Ft!B$2)^2)),Ft!B$3*((1-Ft!B$7)/(1+Ft!B$39*($A333-Ft!B$2)^2)+Ft!B$7*EXP(Ft!B$40*($A333-Ft!B$2)^2)))</f>
        <v>7.0183376755982107E-209</v>
      </c>
      <c r="G333" s="3">
        <f>IF(($A333-Ft!C$2)&lt;0,Ft!C$3*((1-Ft!C$6)/(1+Ft!C$37*($A333-Ft!C$2)^2)+Ft!C$6*EXP(Ft!C$38*($A333-Ft!C$2)^2)),Ft!C$3*((1-Ft!C$7)/(1+Ft!C$39*($A333-Ft!C$2)^2)+Ft!C$7*EXP(Ft!C$40*($A333-Ft!C$2)^2)))</f>
        <v>1.9998566156557401E-9</v>
      </c>
      <c r="H333" s="3">
        <f>IF(($A333-Ft!D$2)&lt;0,Ft!D$3*((1-Ft!D$6)/(1+Ft!D$37*($A333-Ft!D$2)^2)+Ft!D$6*EXP(Ft!D$38*($A333-Ft!D$2)^2)),Ft!D$3*((1-Ft!D$7)/(1+Ft!D$39*($A333-Ft!D$2)^2)+Ft!D$7*EXP(Ft!D$40*($A333-Ft!D$2)^2)))</f>
        <v>8.625398150236542</v>
      </c>
      <c r="I333" s="3">
        <f>IF(($A333-Ft!E$2)&lt;0,Ft!E$3*((1-Ft!E$6)/(1+Ft!E$37*($A333-Ft!E$2)^2)+Ft!E$6*EXP(Ft!E$38*($A333-Ft!E$2)^2)),Ft!E$3*((1-Ft!E$7)/(1+Ft!E$39*($A333-Ft!E$2)^2)+Ft!E$7*EXP(Ft!E$40*($A333-Ft!E$2)^2)))</f>
        <v>8.1254393577727413</v>
      </c>
      <c r="J333" s="3">
        <f>IF(($A333-Ft!F$2)&lt;0,Ft!F$3*((1-Ft!F$6)/(1+Ft!F$37*($A333-Ft!F$2)^2)+Ft!F$6*EXP(Ft!F$38*($A333-Ft!F$2)^2)),Ft!F$3*((1-Ft!F$7)/(1+Ft!F$39*($A333-Ft!F$2)^2)+Ft!F$7*EXP(Ft!F$40*($A333-Ft!F$2)^2)))</f>
        <v>1.8587788488769116E-13</v>
      </c>
      <c r="K333" s="3">
        <f>IF(($A333-Ft!G$2)&lt;0,Ft!G$3*((1-Ft!G$6)/(1+Ft!G$37*($A333-Ft!G$2)^2)+Ft!G$6*EXP(Ft!G$38*($A333-Ft!G$2)^2)),Ft!G$3*((1-Ft!G$7)/(1+Ft!G$39*($A333-Ft!G$2)^2)+Ft!G$7*EXP(Ft!G$40*($A333-Ft!G$2)^2)))</f>
        <v>1.2907486234279351E-60</v>
      </c>
      <c r="L333" s="3">
        <f>IF(($A333-Ft!H$2)&lt;0,Ft!H$3*((1-Ft!H$6)/(1+Ft!H$37*($A333-Ft!H$2)^2)+Ft!H$6*EXP(Ft!H$38*($A333-Ft!H$2)^2)),Ft!H$3*((1-Ft!H$7)/(1+Ft!H$39*($A333-Ft!H$2)^2)+Ft!H$7*EXP(Ft!H$40*($A333-Ft!H$2)^2)))</f>
        <v>0</v>
      </c>
      <c r="M333" s="3">
        <f>IF(($A333-Ft!I$2)&lt;0,Ft!I$3*((1-Ft!I$6)/(1+Ft!I$37*($A333-Ft!I$2)^2)+Ft!I$6*EXP(Ft!I$38*($A333-Ft!I$2)^2)),Ft!I$3*((1-Ft!I$7)/(1+Ft!I$39*($A333-Ft!I$2)^2)+Ft!I$7*EXP(Ft!I$40*($A333-Ft!I$2)^2)))</f>
        <v>0</v>
      </c>
      <c r="N333" s="3">
        <f>IF(($A333-Ft!J$2)&lt;0,Ft!J$3*((1-Ft!J$6)/(1+Ft!J$37*($A333-Ft!J$2)^2)+Ft!J$6*EXP(Ft!J$38*($A333-Ft!J$2)^2)),Ft!J$3*((1-Ft!J$7)/(1+Ft!J$39*($A333-Ft!J$2)^2)+Ft!J$7*EXP(Ft!J$40*($A333-Ft!J$2)^2)))</f>
        <v>0</v>
      </c>
      <c r="O333" s="3">
        <f>IF(($A333-Ft!K$2)&lt;0,Ft!K$3*((1-Ft!K$6)/(1+Ft!K$37*($A333-Ft!K$2)^2)+Ft!K$6*EXP(Ft!K$38*($A333-Ft!K$2)^2)),Ft!K$3*((1-Ft!K$7)/(1+Ft!K$39*($A333-Ft!K$2)^2)+Ft!K$7*EXP(Ft!K$40*($A333-Ft!K$2)^2)))</f>
        <v>0</v>
      </c>
      <c r="P333"/>
      <c r="Q333"/>
    </row>
    <row r="334" spans="1:17">
      <c r="A334">
        <v>664</v>
      </c>
      <c r="B334">
        <v>16.55808430019799</v>
      </c>
      <c r="C334" s="6">
        <f t="shared" si="11"/>
        <v>16.754023377598873</v>
      </c>
      <c r="D334" s="19">
        <f t="shared" si="12"/>
        <v>3.8392122052709268E-2</v>
      </c>
      <c r="E334" s="3">
        <f>Ft!$B$12+Ft!$B$14*(Data!A334-Vars!$B$3)</f>
        <v>0</v>
      </c>
      <c r="F334" s="3">
        <f>IF(($A334-Ft!B$2)&lt;0,Ft!B$3*((1-Ft!B$6)/(1+Ft!B$37*($A334-Ft!B$2)^2)+Ft!B$6*EXP(Ft!B$38*($A334-Ft!B$2)^2)),Ft!B$3*((1-Ft!B$7)/(1+Ft!B$39*($A334-Ft!B$2)^2)+Ft!B$7*EXP(Ft!B$40*($A334-Ft!B$2)^2)))</f>
        <v>3.0930053298114654E-210</v>
      </c>
      <c r="G334" s="3">
        <f>IF(($A334-Ft!C$2)&lt;0,Ft!C$3*((1-Ft!C$6)/(1+Ft!C$37*($A334-Ft!C$2)^2)+Ft!C$6*EXP(Ft!C$38*($A334-Ft!C$2)^2)),Ft!C$3*((1-Ft!C$7)/(1+Ft!C$39*($A334-Ft!C$2)^2)+Ft!C$7*EXP(Ft!C$40*($A334-Ft!C$2)^2)))</f>
        <v>1.6867256446195854E-9</v>
      </c>
      <c r="H334" s="3">
        <f>IF(($A334-Ft!D$2)&lt;0,Ft!D$3*((1-Ft!D$6)/(1+Ft!D$37*($A334-Ft!D$2)^2)+Ft!D$6*EXP(Ft!D$38*($A334-Ft!D$2)^2)),Ft!D$3*((1-Ft!D$7)/(1+Ft!D$39*($A334-Ft!D$2)^2)+Ft!D$7*EXP(Ft!D$40*($A334-Ft!D$2)^2)))</f>
        <v>8.4970765583633785</v>
      </c>
      <c r="I334" s="3">
        <f>IF(($A334-Ft!E$2)&lt;0,Ft!E$3*((1-Ft!E$6)/(1+Ft!E$37*($A334-Ft!E$2)^2)+Ft!E$6*EXP(Ft!E$38*($A334-Ft!E$2)^2)),Ft!E$3*((1-Ft!E$7)/(1+Ft!E$39*($A334-Ft!E$2)^2)+Ft!E$7*EXP(Ft!E$40*($A334-Ft!E$2)^2)))</f>
        <v>8.2569468175485028</v>
      </c>
      <c r="J334" s="3">
        <f>IF(($A334-Ft!F$2)&lt;0,Ft!F$3*((1-Ft!F$6)/(1+Ft!F$37*($A334-Ft!F$2)^2)+Ft!F$6*EXP(Ft!F$38*($A334-Ft!F$2)^2)),Ft!F$3*((1-Ft!F$7)/(1+Ft!F$39*($A334-Ft!F$2)^2)+Ft!F$7*EXP(Ft!F$40*($A334-Ft!F$2)^2)))</f>
        <v>2.6737698246216426E-13</v>
      </c>
      <c r="K334" s="3">
        <f>IF(($A334-Ft!G$2)&lt;0,Ft!G$3*((1-Ft!G$6)/(1+Ft!G$37*($A334-Ft!G$2)^2)+Ft!G$6*EXP(Ft!G$38*($A334-Ft!G$2)^2)),Ft!G$3*((1-Ft!G$7)/(1+Ft!G$39*($A334-Ft!G$2)^2)+Ft!G$7*EXP(Ft!G$40*($A334-Ft!G$2)^2)))</f>
        <v>5.5250523209673047E-60</v>
      </c>
      <c r="L334" s="3">
        <f>IF(($A334-Ft!H$2)&lt;0,Ft!H$3*((1-Ft!H$6)/(1+Ft!H$37*($A334-Ft!H$2)^2)+Ft!H$6*EXP(Ft!H$38*($A334-Ft!H$2)^2)),Ft!H$3*((1-Ft!H$7)/(1+Ft!H$39*($A334-Ft!H$2)^2)+Ft!H$7*EXP(Ft!H$40*($A334-Ft!H$2)^2)))</f>
        <v>0</v>
      </c>
      <c r="M334" s="3">
        <f>IF(($A334-Ft!I$2)&lt;0,Ft!I$3*((1-Ft!I$6)/(1+Ft!I$37*($A334-Ft!I$2)^2)+Ft!I$6*EXP(Ft!I$38*($A334-Ft!I$2)^2)),Ft!I$3*((1-Ft!I$7)/(1+Ft!I$39*($A334-Ft!I$2)^2)+Ft!I$7*EXP(Ft!I$40*($A334-Ft!I$2)^2)))</f>
        <v>0</v>
      </c>
      <c r="N334" s="3">
        <f>IF(($A334-Ft!J$2)&lt;0,Ft!J$3*((1-Ft!J$6)/(1+Ft!J$37*($A334-Ft!J$2)^2)+Ft!J$6*EXP(Ft!J$38*($A334-Ft!J$2)^2)),Ft!J$3*((1-Ft!J$7)/(1+Ft!J$39*($A334-Ft!J$2)^2)+Ft!J$7*EXP(Ft!J$40*($A334-Ft!J$2)^2)))</f>
        <v>0</v>
      </c>
      <c r="O334" s="3">
        <f>IF(($A334-Ft!K$2)&lt;0,Ft!K$3*((1-Ft!K$6)/(1+Ft!K$37*($A334-Ft!K$2)^2)+Ft!K$6*EXP(Ft!K$38*($A334-Ft!K$2)^2)),Ft!K$3*((1-Ft!K$7)/(1+Ft!K$39*($A334-Ft!K$2)^2)+Ft!K$7*EXP(Ft!K$40*($A334-Ft!K$2)^2)))</f>
        <v>0</v>
      </c>
      <c r="P334"/>
      <c r="Q334"/>
    </row>
    <row r="335" spans="1:17">
      <c r="A335">
        <v>666</v>
      </c>
      <c r="B335">
        <v>16.591393954971991</v>
      </c>
      <c r="C335" s="6">
        <f t="shared" si="11"/>
        <v>16.75835407008568</v>
      </c>
      <c r="D335" s="19">
        <f t="shared" si="12"/>
        <v>2.7875680038776215E-2</v>
      </c>
      <c r="E335" s="3">
        <f>Ft!$B$12+Ft!$B$14*(Data!A335-Vars!$B$3)</f>
        <v>0</v>
      </c>
      <c r="F335" s="3">
        <f>IF(($A335-Ft!B$2)&lt;0,Ft!B$3*((1-Ft!B$6)/(1+Ft!B$37*($A335-Ft!B$2)^2)+Ft!B$6*EXP(Ft!B$38*($A335-Ft!B$2)^2)),Ft!B$3*((1-Ft!B$7)/(1+Ft!B$39*($A335-Ft!B$2)^2)+Ft!B$7*EXP(Ft!B$40*($A335-Ft!B$2)^2)))</f>
        <v>1.3493858693058862E-211</v>
      </c>
      <c r="G335" s="3">
        <f>IF(($A335-Ft!C$2)&lt;0,Ft!C$3*((1-Ft!C$6)/(1+Ft!C$37*($A335-Ft!C$2)^2)+Ft!C$6*EXP(Ft!C$38*($A335-Ft!C$2)^2)),Ft!C$3*((1-Ft!C$7)/(1+Ft!C$39*($A335-Ft!C$2)^2)+Ft!C$7*EXP(Ft!C$40*($A335-Ft!C$2)^2)))</f>
        <v>1.4217000182659623E-9</v>
      </c>
      <c r="H335" s="3">
        <f>IF(($A335-Ft!D$2)&lt;0,Ft!D$3*((1-Ft!D$6)/(1+Ft!D$37*($A335-Ft!D$2)^2)+Ft!D$6*EXP(Ft!D$38*($A335-Ft!D$2)^2)),Ft!D$3*((1-Ft!D$7)/(1+Ft!D$39*($A335-Ft!D$2)^2)+Ft!D$7*EXP(Ft!D$40*($A335-Ft!D$2)^2)))</f>
        <v>8.3694607295632384</v>
      </c>
      <c r="I335" s="3">
        <f>IF(($A335-Ft!E$2)&lt;0,Ft!E$3*((1-Ft!E$6)/(1+Ft!E$37*($A335-Ft!E$2)^2)+Ft!E$6*EXP(Ft!E$38*($A335-Ft!E$2)^2)),Ft!E$3*((1-Ft!E$7)/(1+Ft!E$39*($A335-Ft!E$2)^2)+Ft!E$7*EXP(Ft!E$40*($A335-Ft!E$2)^2)))</f>
        <v>8.3888933391003597</v>
      </c>
      <c r="J335" s="3">
        <f>IF(($A335-Ft!F$2)&lt;0,Ft!F$3*((1-Ft!F$6)/(1+Ft!F$37*($A335-Ft!F$2)^2)+Ft!F$6*EXP(Ft!F$38*($A335-Ft!F$2)^2)),Ft!F$3*((1-Ft!F$7)/(1+Ft!F$39*($A335-Ft!F$2)^2)+Ft!F$7*EXP(Ft!F$40*($A335-Ft!F$2)^2)))</f>
        <v>3.8378287108488883E-13</v>
      </c>
      <c r="K335" s="3">
        <f>IF(($A335-Ft!G$2)&lt;0,Ft!G$3*((1-Ft!G$6)/(1+Ft!G$37*($A335-Ft!G$2)^2)+Ft!G$6*EXP(Ft!G$38*($A335-Ft!G$2)^2)),Ft!G$3*((1-Ft!G$7)/(1+Ft!G$39*($A335-Ft!G$2)^2)+Ft!G$7*EXP(Ft!G$40*($A335-Ft!G$2)^2)))</f>
        <v>2.3470808590303542E-59</v>
      </c>
      <c r="L335" s="3">
        <f>IF(($A335-Ft!H$2)&lt;0,Ft!H$3*((1-Ft!H$6)/(1+Ft!H$37*($A335-Ft!H$2)^2)+Ft!H$6*EXP(Ft!H$38*($A335-Ft!H$2)^2)),Ft!H$3*((1-Ft!H$7)/(1+Ft!H$39*($A335-Ft!H$2)^2)+Ft!H$7*EXP(Ft!H$40*($A335-Ft!H$2)^2)))</f>
        <v>0</v>
      </c>
      <c r="M335" s="3">
        <f>IF(($A335-Ft!I$2)&lt;0,Ft!I$3*((1-Ft!I$6)/(1+Ft!I$37*($A335-Ft!I$2)^2)+Ft!I$6*EXP(Ft!I$38*($A335-Ft!I$2)^2)),Ft!I$3*((1-Ft!I$7)/(1+Ft!I$39*($A335-Ft!I$2)^2)+Ft!I$7*EXP(Ft!I$40*($A335-Ft!I$2)^2)))</f>
        <v>0</v>
      </c>
      <c r="N335" s="3">
        <f>IF(($A335-Ft!J$2)&lt;0,Ft!J$3*((1-Ft!J$6)/(1+Ft!J$37*($A335-Ft!J$2)^2)+Ft!J$6*EXP(Ft!J$38*($A335-Ft!J$2)^2)),Ft!J$3*((1-Ft!J$7)/(1+Ft!J$39*($A335-Ft!J$2)^2)+Ft!J$7*EXP(Ft!J$40*($A335-Ft!J$2)^2)))</f>
        <v>0</v>
      </c>
      <c r="O335" s="3">
        <f>IF(($A335-Ft!K$2)&lt;0,Ft!K$3*((1-Ft!K$6)/(1+Ft!K$37*($A335-Ft!K$2)^2)+Ft!K$6*EXP(Ft!K$38*($A335-Ft!K$2)^2)),Ft!K$3*((1-Ft!K$7)/(1+Ft!K$39*($A335-Ft!K$2)^2)+Ft!K$7*EXP(Ft!K$40*($A335-Ft!K$2)^2)))</f>
        <v>0</v>
      </c>
      <c r="P335"/>
      <c r="Q335"/>
    </row>
    <row r="336" spans="1:17">
      <c r="A336">
        <v>668</v>
      </c>
      <c r="B336">
        <v>16.626682061775995</v>
      </c>
      <c r="C336" s="6">
        <f t="shared" si="11"/>
        <v>16.763808862374081</v>
      </c>
      <c r="D336" s="19">
        <f t="shared" si="12"/>
        <v>1.8803759442267212E-2</v>
      </c>
      <c r="E336" s="3">
        <f>Ft!$B$12+Ft!$B$14*(Data!A336-Vars!$B$3)</f>
        <v>0</v>
      </c>
      <c r="F336" s="3">
        <f>IF(($A336-Ft!B$2)&lt;0,Ft!B$3*((1-Ft!B$6)/(1+Ft!B$37*($A336-Ft!B$2)^2)+Ft!B$6*EXP(Ft!B$38*($A336-Ft!B$2)^2)),Ft!B$3*((1-Ft!B$7)/(1+Ft!B$39*($A336-Ft!B$2)^2)+Ft!B$7*EXP(Ft!B$40*($A336-Ft!B$2)^2)))</f>
        <v>5.827747522604911E-213</v>
      </c>
      <c r="G336" s="3">
        <f>IF(($A336-Ft!C$2)&lt;0,Ft!C$3*((1-Ft!C$6)/(1+Ft!C$37*($A336-Ft!C$2)^2)+Ft!C$6*EXP(Ft!C$38*($A336-Ft!C$2)^2)),Ft!C$3*((1-Ft!C$7)/(1+Ft!C$39*($A336-Ft!C$2)^2)+Ft!C$7*EXP(Ft!C$40*($A336-Ft!C$2)^2)))</f>
        <v>1.1975383283734939E-9</v>
      </c>
      <c r="H336" s="3">
        <f>IF(($A336-Ft!D$2)&lt;0,Ft!D$3*((1-Ft!D$6)/(1+Ft!D$37*($A336-Ft!D$2)^2)+Ft!D$6*EXP(Ft!D$38*($A336-Ft!D$2)^2)),Ft!D$3*((1-Ft!D$7)/(1+Ft!D$39*($A336-Ft!D$2)^2)+Ft!D$7*EXP(Ft!D$40*($A336-Ft!D$2)^2)))</f>
        <v>8.2425764786837536</v>
      </c>
      <c r="I336" s="3">
        <f>IF(($A336-Ft!E$2)&lt;0,Ft!E$3*((1-Ft!E$6)/(1+Ft!E$37*($A336-Ft!E$2)^2)+Ft!E$6*EXP(Ft!E$38*($A336-Ft!E$2)^2)),Ft!E$3*((1-Ft!E$7)/(1+Ft!E$39*($A336-Ft!E$2)^2)+Ft!E$7*EXP(Ft!E$40*($A336-Ft!E$2)^2)))</f>
        <v>8.5212323824922365</v>
      </c>
      <c r="J336" s="3">
        <f>IF(($A336-Ft!F$2)&lt;0,Ft!F$3*((1-Ft!F$6)/(1+Ft!F$37*($A336-Ft!F$2)^2)+Ft!F$6*EXP(Ft!F$38*($A336-Ft!F$2)^2)),Ft!F$3*((1-Ft!F$7)/(1+Ft!F$39*($A336-Ft!F$2)^2)+Ft!F$7*EXP(Ft!F$40*($A336-Ft!F$2)^2)))</f>
        <v>5.4968315908933596E-13</v>
      </c>
      <c r="K336" s="3">
        <f>IF(($A336-Ft!G$2)&lt;0,Ft!G$3*((1-Ft!G$6)/(1+Ft!G$37*($A336-Ft!G$2)^2)+Ft!G$6*EXP(Ft!G$38*($A336-Ft!G$2)^2)),Ft!G$3*((1-Ft!G$7)/(1+Ft!G$39*($A336-Ft!G$2)^2)+Ft!G$7*EXP(Ft!G$40*($A336-Ft!G$2)^2)))</f>
        <v>9.8950191827929626E-59</v>
      </c>
      <c r="L336" s="3">
        <f>IF(($A336-Ft!H$2)&lt;0,Ft!H$3*((1-Ft!H$6)/(1+Ft!H$37*($A336-Ft!H$2)^2)+Ft!H$6*EXP(Ft!H$38*($A336-Ft!H$2)^2)),Ft!H$3*((1-Ft!H$7)/(1+Ft!H$39*($A336-Ft!H$2)^2)+Ft!H$7*EXP(Ft!H$40*($A336-Ft!H$2)^2)))</f>
        <v>0</v>
      </c>
      <c r="M336" s="3">
        <f>IF(($A336-Ft!I$2)&lt;0,Ft!I$3*((1-Ft!I$6)/(1+Ft!I$37*($A336-Ft!I$2)^2)+Ft!I$6*EXP(Ft!I$38*($A336-Ft!I$2)^2)),Ft!I$3*((1-Ft!I$7)/(1+Ft!I$39*($A336-Ft!I$2)^2)+Ft!I$7*EXP(Ft!I$40*($A336-Ft!I$2)^2)))</f>
        <v>0</v>
      </c>
      <c r="N336" s="3">
        <f>IF(($A336-Ft!J$2)&lt;0,Ft!J$3*((1-Ft!J$6)/(1+Ft!J$37*($A336-Ft!J$2)^2)+Ft!J$6*EXP(Ft!J$38*($A336-Ft!J$2)^2)),Ft!J$3*((1-Ft!J$7)/(1+Ft!J$39*($A336-Ft!J$2)^2)+Ft!J$7*EXP(Ft!J$40*($A336-Ft!J$2)^2)))</f>
        <v>0</v>
      </c>
      <c r="O336" s="3">
        <f>IF(($A336-Ft!K$2)&lt;0,Ft!K$3*((1-Ft!K$6)/(1+Ft!K$37*($A336-Ft!K$2)^2)+Ft!K$6*EXP(Ft!K$38*($A336-Ft!K$2)^2)),Ft!K$3*((1-Ft!K$7)/(1+Ft!K$39*($A336-Ft!K$2)^2)+Ft!K$7*EXP(Ft!K$40*($A336-Ft!K$2)^2)))</f>
        <v>0</v>
      </c>
      <c r="P336"/>
      <c r="Q336"/>
    </row>
    <row r="337" spans="1:17">
      <c r="A337">
        <v>670</v>
      </c>
      <c r="B337">
        <v>16.662297674877991</v>
      </c>
      <c r="C337" s="6">
        <f t="shared" si="11"/>
        <v>16.770365348865447</v>
      </c>
      <c r="D337" s="19">
        <f t="shared" si="12"/>
        <v>1.1678622161059119E-2</v>
      </c>
      <c r="E337" s="3">
        <f>Ft!$B$12+Ft!$B$14*(Data!A337-Vars!$B$3)</f>
        <v>0</v>
      </c>
      <c r="F337" s="3">
        <f>IF(($A337-Ft!B$2)&lt;0,Ft!B$3*((1-Ft!B$6)/(1+Ft!B$37*($A337-Ft!B$2)^2)+Ft!B$6*EXP(Ft!B$38*($A337-Ft!B$2)^2)),Ft!B$3*((1-Ft!B$7)/(1+Ft!B$39*($A337-Ft!B$2)^2)+Ft!B$7*EXP(Ft!B$40*($A337-Ft!B$2)^2)))</f>
        <v>2.4915773822996283E-214</v>
      </c>
      <c r="G337" s="3">
        <f>IF(($A337-Ft!C$2)&lt;0,Ft!C$3*((1-Ft!C$6)/(1+Ft!C$37*($A337-Ft!C$2)^2)+Ft!C$6*EXP(Ft!C$38*($A337-Ft!C$2)^2)),Ft!C$3*((1-Ft!C$7)/(1+Ft!C$39*($A337-Ft!C$2)^2)+Ft!C$7*EXP(Ft!C$40*($A337-Ft!C$2)^2)))</f>
        <v>1.0080656303590518E-9</v>
      </c>
      <c r="H337" s="3">
        <f>IF(($A337-Ft!D$2)&lt;0,Ft!D$3*((1-Ft!D$6)/(1+Ft!D$37*($A337-Ft!D$2)^2)+Ft!D$6*EXP(Ft!D$38*($A337-Ft!D$2)^2)),Ft!D$3*((1-Ft!D$7)/(1+Ft!D$39*($A337-Ft!D$2)^2)+Ft!D$7*EXP(Ft!D$40*($A337-Ft!D$2)^2)))</f>
        <v>8.1164489179435115</v>
      </c>
      <c r="I337" s="3">
        <f>IF(($A337-Ft!E$2)&lt;0,Ft!E$3*((1-Ft!E$6)/(1+Ft!E$37*($A337-Ft!E$2)^2)+Ft!E$6*EXP(Ft!E$38*($A337-Ft!E$2)^2)),Ft!E$3*((1-Ft!E$7)/(1+Ft!E$39*($A337-Ft!E$2)^2)+Ft!E$7*EXP(Ft!E$40*($A337-Ft!E$2)^2)))</f>
        <v>8.6539164299130853</v>
      </c>
      <c r="J337" s="3">
        <f>IF(($A337-Ft!F$2)&lt;0,Ft!F$3*((1-Ft!F$6)/(1+Ft!F$37*($A337-Ft!F$2)^2)+Ft!F$6*EXP(Ft!F$38*($A337-Ft!F$2)^2)),Ft!F$3*((1-Ft!F$7)/(1+Ft!F$39*($A337-Ft!F$2)^2)+Ft!F$7*EXP(Ft!F$40*($A337-Ft!F$2)^2)))</f>
        <v>7.856055621227823E-13</v>
      </c>
      <c r="K337" s="3">
        <f>IF(($A337-Ft!G$2)&lt;0,Ft!G$3*((1-Ft!G$6)/(1+Ft!G$37*($A337-Ft!G$2)^2)+Ft!G$6*EXP(Ft!G$38*($A337-Ft!G$2)^2)),Ft!G$3*((1-Ft!G$7)/(1+Ft!G$39*($A337-Ft!G$2)^2)+Ft!G$7*EXP(Ft!G$40*($A337-Ft!G$2)^2)))</f>
        <v>4.1400173523924326E-58</v>
      </c>
      <c r="L337" s="3">
        <f>IF(($A337-Ft!H$2)&lt;0,Ft!H$3*((1-Ft!H$6)/(1+Ft!H$37*($A337-Ft!H$2)^2)+Ft!H$6*EXP(Ft!H$38*($A337-Ft!H$2)^2)),Ft!H$3*((1-Ft!H$7)/(1+Ft!H$39*($A337-Ft!H$2)^2)+Ft!H$7*EXP(Ft!H$40*($A337-Ft!H$2)^2)))</f>
        <v>0</v>
      </c>
      <c r="M337" s="3">
        <f>IF(($A337-Ft!I$2)&lt;0,Ft!I$3*((1-Ft!I$6)/(1+Ft!I$37*($A337-Ft!I$2)^2)+Ft!I$6*EXP(Ft!I$38*($A337-Ft!I$2)^2)),Ft!I$3*((1-Ft!I$7)/(1+Ft!I$39*($A337-Ft!I$2)^2)+Ft!I$7*EXP(Ft!I$40*($A337-Ft!I$2)^2)))</f>
        <v>0</v>
      </c>
      <c r="N337" s="3">
        <f>IF(($A337-Ft!J$2)&lt;0,Ft!J$3*((1-Ft!J$6)/(1+Ft!J$37*($A337-Ft!J$2)^2)+Ft!J$6*EXP(Ft!J$38*($A337-Ft!J$2)^2)),Ft!J$3*((1-Ft!J$7)/(1+Ft!J$39*($A337-Ft!J$2)^2)+Ft!J$7*EXP(Ft!J$40*($A337-Ft!J$2)^2)))</f>
        <v>0</v>
      </c>
      <c r="O337" s="3">
        <f>IF(($A337-Ft!K$2)&lt;0,Ft!K$3*((1-Ft!K$6)/(1+Ft!K$37*($A337-Ft!K$2)^2)+Ft!K$6*EXP(Ft!K$38*($A337-Ft!K$2)^2)),Ft!K$3*((1-Ft!K$7)/(1+Ft!K$39*($A337-Ft!K$2)^2)+Ft!K$7*EXP(Ft!K$40*($A337-Ft!K$2)^2)))</f>
        <v>0</v>
      </c>
      <c r="P337"/>
      <c r="Q337"/>
    </row>
    <row r="338" spans="1:17">
      <c r="A338">
        <v>672</v>
      </c>
      <c r="B338">
        <v>16.696589848548996</v>
      </c>
      <c r="C338" s="6">
        <f t="shared" si="11"/>
        <v>16.777999462922406</v>
      </c>
      <c r="D338" s="19">
        <f t="shared" si="12"/>
        <v>6.6275253124272859E-3</v>
      </c>
      <c r="E338" s="3">
        <f>Ft!$B$12+Ft!$B$14*(Data!A338-Vars!$B$3)</f>
        <v>0</v>
      </c>
      <c r="F338" s="3">
        <f>IF(($A338-Ft!B$2)&lt;0,Ft!B$3*((1-Ft!B$6)/(1+Ft!B$37*($A338-Ft!B$2)^2)+Ft!B$6*EXP(Ft!B$38*($A338-Ft!B$2)^2)),Ft!B$3*((1-Ft!B$7)/(1+Ft!B$39*($A338-Ft!B$2)^2)+Ft!B$7*EXP(Ft!B$40*($A338-Ft!B$2)^2)))</f>
        <v>1.0545255633562256E-215</v>
      </c>
      <c r="G338" s="3">
        <f>IF(($A338-Ft!C$2)&lt;0,Ft!C$3*((1-Ft!C$6)/(1+Ft!C$37*($A338-Ft!C$2)^2)+Ft!C$6*EXP(Ft!C$38*($A338-Ft!C$2)^2)),Ft!C$3*((1-Ft!C$7)/(1+Ft!C$39*($A338-Ft!C$2)^2)+Ft!C$7*EXP(Ft!C$40*($A338-Ft!C$2)^2)))</f>
        <v>8.4802006000511404E-10</v>
      </c>
      <c r="H338" s="3">
        <f>IF(($A338-Ft!D$2)&lt;0,Ft!D$3*((1-Ft!D$6)/(1+Ft!D$37*($A338-Ft!D$2)^2)+Ft!D$6*EXP(Ft!D$38*($A338-Ft!D$2)^2)),Ft!D$3*((1-Ft!D$7)/(1+Ft!D$39*($A338-Ft!D$2)^2)+Ft!D$7*EXP(Ft!D$40*($A338-Ft!D$2)^2)))</f>
        <v>7.991102453254177</v>
      </c>
      <c r="I338" s="3">
        <f>IF(($A338-Ft!E$2)&lt;0,Ft!E$3*((1-Ft!E$6)/(1+Ft!E$37*($A338-Ft!E$2)^2)+Ft!E$6*EXP(Ft!E$38*($A338-Ft!E$2)^2)),Ft!E$3*((1-Ft!E$7)/(1+Ft!E$39*($A338-Ft!E$2)^2)+Ft!E$7*EXP(Ft!E$40*($A338-Ft!E$2)^2)))</f>
        <v>8.7868970088190874</v>
      </c>
      <c r="J338" s="3">
        <f>IF(($A338-Ft!F$2)&lt;0,Ft!F$3*((1-Ft!F$6)/(1+Ft!F$37*($A338-Ft!F$2)^2)+Ft!F$6*EXP(Ft!F$38*($A338-Ft!F$2)^2)),Ft!F$3*((1-Ft!F$7)/(1+Ft!F$39*($A338-Ft!F$2)^2)+Ft!F$7*EXP(Ft!F$40*($A338-Ft!F$2)^2)))</f>
        <v>1.1203712141361951E-12</v>
      </c>
      <c r="K338" s="3">
        <f>IF(($A338-Ft!G$2)&lt;0,Ft!G$3*((1-Ft!G$6)/(1+Ft!G$37*($A338-Ft!G$2)^2)+Ft!G$6*EXP(Ft!G$38*($A338-Ft!G$2)^2)),Ft!G$3*((1-Ft!G$7)/(1+Ft!G$39*($A338-Ft!G$2)^2)+Ft!G$7*EXP(Ft!G$40*($A338-Ft!G$2)^2)))</f>
        <v>1.71903458588541E-57</v>
      </c>
      <c r="L338" s="3">
        <f>IF(($A338-Ft!H$2)&lt;0,Ft!H$3*((1-Ft!H$6)/(1+Ft!H$37*($A338-Ft!H$2)^2)+Ft!H$6*EXP(Ft!H$38*($A338-Ft!H$2)^2)),Ft!H$3*((1-Ft!H$7)/(1+Ft!H$39*($A338-Ft!H$2)^2)+Ft!H$7*EXP(Ft!H$40*($A338-Ft!H$2)^2)))</f>
        <v>0</v>
      </c>
      <c r="M338" s="3">
        <f>IF(($A338-Ft!I$2)&lt;0,Ft!I$3*((1-Ft!I$6)/(1+Ft!I$37*($A338-Ft!I$2)^2)+Ft!I$6*EXP(Ft!I$38*($A338-Ft!I$2)^2)),Ft!I$3*((1-Ft!I$7)/(1+Ft!I$39*($A338-Ft!I$2)^2)+Ft!I$7*EXP(Ft!I$40*($A338-Ft!I$2)^2)))</f>
        <v>0</v>
      </c>
      <c r="N338" s="3">
        <f>IF(($A338-Ft!J$2)&lt;0,Ft!J$3*((1-Ft!J$6)/(1+Ft!J$37*($A338-Ft!J$2)^2)+Ft!J$6*EXP(Ft!J$38*($A338-Ft!J$2)^2)),Ft!J$3*((1-Ft!J$7)/(1+Ft!J$39*($A338-Ft!J$2)^2)+Ft!J$7*EXP(Ft!J$40*($A338-Ft!J$2)^2)))</f>
        <v>0</v>
      </c>
      <c r="O338" s="3">
        <f>IF(($A338-Ft!K$2)&lt;0,Ft!K$3*((1-Ft!K$6)/(1+Ft!K$37*($A338-Ft!K$2)^2)+Ft!K$6*EXP(Ft!K$38*($A338-Ft!K$2)^2)),Ft!K$3*((1-Ft!K$7)/(1+Ft!K$39*($A338-Ft!K$2)^2)+Ft!K$7*EXP(Ft!K$40*($A338-Ft!K$2)^2)))</f>
        <v>0</v>
      </c>
      <c r="P338"/>
      <c r="Q338"/>
    </row>
    <row r="339" spans="1:17">
      <c r="A339">
        <v>674</v>
      </c>
      <c r="B339">
        <v>16.727907637057001</v>
      </c>
      <c r="C339" s="6">
        <f t="shared" si="11"/>
        <v>16.786685498224003</v>
      </c>
      <c r="D339" s="19">
        <f t="shared" si="12"/>
        <v>3.4548369633673366E-3</v>
      </c>
      <c r="E339" s="3">
        <f>Ft!$B$12+Ft!$B$14*(Data!A339-Vars!$B$3)</f>
        <v>0</v>
      </c>
      <c r="F339" s="3">
        <f>IF(($A339-Ft!B$2)&lt;0,Ft!B$3*((1-Ft!B$6)/(1+Ft!B$37*($A339-Ft!B$2)^2)+Ft!B$6*EXP(Ft!B$38*($A339-Ft!B$2)^2)),Ft!B$3*((1-Ft!B$7)/(1+Ft!B$39*($A339-Ft!B$2)^2)+Ft!B$7*EXP(Ft!B$40*($A339-Ft!B$2)^2)))</f>
        <v>4.4182361573360505E-217</v>
      </c>
      <c r="G339" s="3">
        <f>IF(($A339-Ft!C$2)&lt;0,Ft!C$3*((1-Ft!C$6)/(1+Ft!C$37*($A339-Ft!C$2)^2)+Ft!C$6*EXP(Ft!C$38*($A339-Ft!C$2)^2)),Ft!C$3*((1-Ft!C$7)/(1+Ft!C$39*($A339-Ft!C$2)^2)+Ft!C$7*EXP(Ft!C$40*($A339-Ft!C$2)^2)))</f>
        <v>7.1292094758561525E-10</v>
      </c>
      <c r="H339" s="3">
        <f>IF(($A339-Ft!D$2)&lt;0,Ft!D$3*((1-Ft!D$6)/(1+Ft!D$37*($A339-Ft!D$2)^2)+Ft!D$6*EXP(Ft!D$38*($A339-Ft!D$2)^2)),Ft!D$3*((1-Ft!D$7)/(1+Ft!D$39*($A339-Ft!D$2)^2)+Ft!D$7*EXP(Ft!D$40*($A339-Ft!D$2)^2)))</f>
        <v>7.8665607811023959</v>
      </c>
      <c r="I339" s="3">
        <f>IF(($A339-Ft!E$2)&lt;0,Ft!E$3*((1-Ft!E$6)/(1+Ft!E$37*($A339-Ft!E$2)^2)+Ft!E$6*EXP(Ft!E$38*($A339-Ft!E$2)^2)),Ft!E$3*((1-Ft!E$7)/(1+Ft!E$39*($A339-Ft!E$2)^2)+Ft!E$7*EXP(Ft!E$40*($A339-Ft!E$2)^2)))</f>
        <v>8.9201247164070914</v>
      </c>
      <c r="J339" s="3">
        <f>IF(($A339-Ft!F$2)&lt;0,Ft!F$3*((1-Ft!F$6)/(1+Ft!F$37*($A339-Ft!F$2)^2)+Ft!F$6*EXP(Ft!F$38*($A339-Ft!F$2)^2)),Ft!F$3*((1-Ft!F$7)/(1+Ft!F$39*($A339-Ft!F$2)^2)+Ft!F$7*EXP(Ft!F$40*($A339-Ft!F$2)^2)))</f>
        <v>1.5943534590625685E-12</v>
      </c>
      <c r="K339" s="3">
        <f>IF(($A339-Ft!G$2)&lt;0,Ft!G$3*((1-Ft!G$6)/(1+Ft!G$37*($A339-Ft!G$2)^2)+Ft!G$6*EXP(Ft!G$38*($A339-Ft!G$2)^2)),Ft!G$3*((1-Ft!G$7)/(1+Ft!G$39*($A339-Ft!G$2)^2)+Ft!G$7*EXP(Ft!G$40*($A339-Ft!G$2)^2)))</f>
        <v>7.0837626261120777E-57</v>
      </c>
      <c r="L339" s="3">
        <f>IF(($A339-Ft!H$2)&lt;0,Ft!H$3*((1-Ft!H$6)/(1+Ft!H$37*($A339-Ft!H$2)^2)+Ft!H$6*EXP(Ft!H$38*($A339-Ft!H$2)^2)),Ft!H$3*((1-Ft!H$7)/(1+Ft!H$39*($A339-Ft!H$2)^2)+Ft!H$7*EXP(Ft!H$40*($A339-Ft!H$2)^2)))</f>
        <v>0</v>
      </c>
      <c r="M339" s="3">
        <f>IF(($A339-Ft!I$2)&lt;0,Ft!I$3*((1-Ft!I$6)/(1+Ft!I$37*($A339-Ft!I$2)^2)+Ft!I$6*EXP(Ft!I$38*($A339-Ft!I$2)^2)),Ft!I$3*((1-Ft!I$7)/(1+Ft!I$39*($A339-Ft!I$2)^2)+Ft!I$7*EXP(Ft!I$40*($A339-Ft!I$2)^2)))</f>
        <v>0</v>
      </c>
      <c r="N339" s="3">
        <f>IF(($A339-Ft!J$2)&lt;0,Ft!J$3*((1-Ft!J$6)/(1+Ft!J$37*($A339-Ft!J$2)^2)+Ft!J$6*EXP(Ft!J$38*($A339-Ft!J$2)^2)),Ft!J$3*((1-Ft!J$7)/(1+Ft!J$39*($A339-Ft!J$2)^2)+Ft!J$7*EXP(Ft!J$40*($A339-Ft!J$2)^2)))</f>
        <v>0</v>
      </c>
      <c r="O339" s="3">
        <f>IF(($A339-Ft!K$2)&lt;0,Ft!K$3*((1-Ft!K$6)/(1+Ft!K$37*($A339-Ft!K$2)^2)+Ft!K$6*EXP(Ft!K$38*($A339-Ft!K$2)^2)),Ft!K$3*((1-Ft!K$7)/(1+Ft!K$39*($A339-Ft!K$2)^2)+Ft!K$7*EXP(Ft!K$40*($A339-Ft!K$2)^2)))</f>
        <v>0</v>
      </c>
      <c r="P339"/>
      <c r="Q339"/>
    </row>
    <row r="340" spans="1:17">
      <c r="A340">
        <v>676</v>
      </c>
      <c r="B340">
        <v>16.759460874616991</v>
      </c>
      <c r="C340" s="6">
        <f t="shared" si="11"/>
        <v>16.796396131997017</v>
      </c>
      <c r="D340" s="19">
        <f t="shared" si="12"/>
        <v>1.3642132377287904E-3</v>
      </c>
      <c r="E340" s="3">
        <f>Ft!$B$12+Ft!$B$14*(Data!A340-Vars!$B$3)</f>
        <v>0</v>
      </c>
      <c r="F340" s="3">
        <f>IF(($A340-Ft!B$2)&lt;0,Ft!B$3*((1-Ft!B$6)/(1+Ft!B$37*($A340-Ft!B$2)^2)+Ft!B$6*EXP(Ft!B$38*($A340-Ft!B$2)^2)),Ft!B$3*((1-Ft!B$7)/(1+Ft!B$39*($A340-Ft!B$2)^2)+Ft!B$7*EXP(Ft!B$40*($A340-Ft!B$2)^2)))</f>
        <v>1.8325246265076939E-218</v>
      </c>
      <c r="G340" s="3">
        <f>IF(($A340-Ft!C$2)&lt;0,Ft!C$3*((1-Ft!C$6)/(1+Ft!C$37*($A340-Ft!C$2)^2)+Ft!C$6*EXP(Ft!C$38*($A340-Ft!C$2)^2)),Ft!C$3*((1-Ft!C$7)/(1+Ft!C$39*($A340-Ft!C$2)^2)+Ft!C$7*EXP(Ft!C$40*($A340-Ft!C$2)^2)))</f>
        <v>5.989555009198395E-10</v>
      </c>
      <c r="H340" s="3">
        <f>IF(($A340-Ft!D$2)&lt;0,Ft!D$3*((1-Ft!D$6)/(1+Ft!D$37*($A340-Ft!D$2)^2)+Ft!D$6*EXP(Ft!D$38*($A340-Ft!D$2)^2)),Ft!D$3*((1-Ft!D$7)/(1+Ft!D$39*($A340-Ft!D$2)^2)+Ft!D$7*EXP(Ft!D$40*($A340-Ft!D$2)^2)))</f>
        <v>7.7428468859855908</v>
      </c>
      <c r="I340" s="3">
        <f>IF(($A340-Ft!E$2)&lt;0,Ft!E$3*((1-Ft!E$6)/(1+Ft!E$37*($A340-Ft!E$2)^2)+Ft!E$6*EXP(Ft!E$38*($A340-Ft!E$2)^2)),Ft!E$3*((1-Ft!E$7)/(1+Ft!E$39*($A340-Ft!E$2)^2)+Ft!E$7*EXP(Ft!E$40*($A340-Ft!E$2)^2)))</f>
        <v>9.0535492454102098</v>
      </c>
      <c r="J340" s="3">
        <f>IF(($A340-Ft!F$2)&lt;0,Ft!F$3*((1-Ft!F$6)/(1+Ft!F$37*($A340-Ft!F$2)^2)+Ft!F$6*EXP(Ft!F$38*($A340-Ft!F$2)^2)),Ft!F$3*((1-Ft!F$7)/(1+Ft!F$39*($A340-Ft!F$2)^2)+Ft!F$7*EXP(Ft!F$40*($A340-Ft!F$2)^2)))</f>
        <v>2.2639798069003436E-12</v>
      </c>
      <c r="K340" s="3">
        <f>IF(($A340-Ft!G$2)&lt;0,Ft!G$3*((1-Ft!G$6)/(1+Ft!G$37*($A340-Ft!G$2)^2)+Ft!G$6*EXP(Ft!G$38*($A340-Ft!G$2)^2)),Ft!G$3*((1-Ft!G$7)/(1+Ft!G$39*($A340-Ft!G$2)^2)+Ft!G$7*EXP(Ft!G$40*($A340-Ft!G$2)^2)))</f>
        <v>2.896945447864628E-56</v>
      </c>
      <c r="L340" s="3">
        <f>IF(($A340-Ft!H$2)&lt;0,Ft!H$3*((1-Ft!H$6)/(1+Ft!H$37*($A340-Ft!H$2)^2)+Ft!H$6*EXP(Ft!H$38*($A340-Ft!H$2)^2)),Ft!H$3*((1-Ft!H$7)/(1+Ft!H$39*($A340-Ft!H$2)^2)+Ft!H$7*EXP(Ft!H$40*($A340-Ft!H$2)^2)))</f>
        <v>0</v>
      </c>
      <c r="M340" s="3">
        <f>IF(($A340-Ft!I$2)&lt;0,Ft!I$3*((1-Ft!I$6)/(1+Ft!I$37*($A340-Ft!I$2)^2)+Ft!I$6*EXP(Ft!I$38*($A340-Ft!I$2)^2)),Ft!I$3*((1-Ft!I$7)/(1+Ft!I$39*($A340-Ft!I$2)^2)+Ft!I$7*EXP(Ft!I$40*($A340-Ft!I$2)^2)))</f>
        <v>0</v>
      </c>
      <c r="N340" s="3">
        <f>IF(($A340-Ft!J$2)&lt;0,Ft!J$3*((1-Ft!J$6)/(1+Ft!J$37*($A340-Ft!J$2)^2)+Ft!J$6*EXP(Ft!J$38*($A340-Ft!J$2)^2)),Ft!J$3*((1-Ft!J$7)/(1+Ft!J$39*($A340-Ft!J$2)^2)+Ft!J$7*EXP(Ft!J$40*($A340-Ft!J$2)^2)))</f>
        <v>0</v>
      </c>
      <c r="O340" s="3">
        <f>IF(($A340-Ft!K$2)&lt;0,Ft!K$3*((1-Ft!K$6)/(1+Ft!K$37*($A340-Ft!K$2)^2)+Ft!K$6*EXP(Ft!K$38*($A340-Ft!K$2)^2)),Ft!K$3*((1-Ft!K$7)/(1+Ft!K$39*($A340-Ft!K$2)^2)+Ft!K$7*EXP(Ft!K$40*($A340-Ft!K$2)^2)))</f>
        <v>0</v>
      </c>
      <c r="P340"/>
      <c r="Q340"/>
    </row>
    <row r="341" spans="1:17">
      <c r="A341">
        <v>678</v>
      </c>
      <c r="B341">
        <v>16.794950285131989</v>
      </c>
      <c r="C341" s="6">
        <f t="shared" si="11"/>
        <v>16.807102450105855</v>
      </c>
      <c r="D341" s="19">
        <f t="shared" si="12"/>
        <v>1.4767511355205721E-4</v>
      </c>
      <c r="E341" s="3">
        <f>Ft!$B$12+Ft!$B$14*(Data!A341-Vars!$B$3)</f>
        <v>0</v>
      </c>
      <c r="F341" s="3">
        <f>IF(($A341-Ft!B$2)&lt;0,Ft!B$3*((1-Ft!B$6)/(1+Ft!B$37*($A341-Ft!B$2)^2)+Ft!B$6*EXP(Ft!B$38*($A341-Ft!B$2)^2)),Ft!B$3*((1-Ft!B$7)/(1+Ft!B$39*($A341-Ft!B$2)^2)+Ft!B$7*EXP(Ft!B$40*($A341-Ft!B$2)^2)))</f>
        <v>7.5241907103040369E-220</v>
      </c>
      <c r="G341" s="3">
        <f>IF(($A341-Ft!C$2)&lt;0,Ft!C$3*((1-Ft!C$6)/(1+Ft!C$37*($A341-Ft!C$2)^2)+Ft!C$6*EXP(Ft!C$38*($A341-Ft!C$2)^2)),Ft!C$3*((1-Ft!C$7)/(1+Ft!C$39*($A341-Ft!C$2)^2)+Ft!C$7*EXP(Ft!C$40*($A341-Ft!C$2)^2)))</f>
        <v>5.028815153825929E-10</v>
      </c>
      <c r="H341" s="3">
        <f>IF(($A341-Ft!D$2)&lt;0,Ft!D$3*((1-Ft!D$6)/(1+Ft!D$37*($A341-Ft!D$2)^2)+Ft!D$6*EXP(Ft!D$38*($A341-Ft!D$2)^2)),Ft!D$3*((1-Ft!D$7)/(1+Ft!D$39*($A341-Ft!D$2)^2)+Ft!D$7*EXP(Ft!D$40*($A341-Ft!D$2)^2)))</f>
        <v>7.6199830383952545</v>
      </c>
      <c r="I341" s="3">
        <f>IF(($A341-Ft!E$2)&lt;0,Ft!E$3*((1-Ft!E$6)/(1+Ft!E$37*($A341-Ft!E$2)^2)+Ft!E$6*EXP(Ft!E$38*($A341-Ft!E$2)^2)),Ft!E$3*((1-Ft!E$7)/(1+Ft!E$39*($A341-Ft!E$2)^2)+Ft!E$7*EXP(Ft!E$40*($A341-Ft!E$2)^2)))</f>
        <v>9.1871194112045131</v>
      </c>
      <c r="J341" s="3">
        <f>IF(($A341-Ft!F$2)&lt;0,Ft!F$3*((1-Ft!F$6)/(1+Ft!F$37*($A341-Ft!F$2)^2)+Ft!F$6*EXP(Ft!F$38*($A341-Ft!F$2)^2)),Ft!F$3*((1-Ft!F$7)/(1+Ft!F$39*($A341-Ft!F$2)^2)+Ft!F$7*EXP(Ft!F$40*($A341-Ft!F$2)^2)))</f>
        <v>3.2079365050948871E-12</v>
      </c>
      <c r="K341" s="3">
        <f>IF(($A341-Ft!G$2)&lt;0,Ft!G$3*((1-Ft!G$6)/(1+Ft!G$37*($A341-Ft!G$2)^2)+Ft!G$6*EXP(Ft!G$38*($A341-Ft!G$2)^2)),Ft!G$3*((1-Ft!G$7)/(1+Ft!G$39*($A341-Ft!G$2)^2)+Ft!G$7*EXP(Ft!G$40*($A341-Ft!G$2)^2)))</f>
        <v>1.1757461535997492E-55</v>
      </c>
      <c r="L341" s="3">
        <f>IF(($A341-Ft!H$2)&lt;0,Ft!H$3*((1-Ft!H$6)/(1+Ft!H$37*($A341-Ft!H$2)^2)+Ft!H$6*EXP(Ft!H$38*($A341-Ft!H$2)^2)),Ft!H$3*((1-Ft!H$7)/(1+Ft!H$39*($A341-Ft!H$2)^2)+Ft!H$7*EXP(Ft!H$40*($A341-Ft!H$2)^2)))</f>
        <v>0</v>
      </c>
      <c r="M341" s="3">
        <f>IF(($A341-Ft!I$2)&lt;0,Ft!I$3*((1-Ft!I$6)/(1+Ft!I$37*($A341-Ft!I$2)^2)+Ft!I$6*EXP(Ft!I$38*($A341-Ft!I$2)^2)),Ft!I$3*((1-Ft!I$7)/(1+Ft!I$39*($A341-Ft!I$2)^2)+Ft!I$7*EXP(Ft!I$40*($A341-Ft!I$2)^2)))</f>
        <v>0</v>
      </c>
      <c r="N341" s="3">
        <f>IF(($A341-Ft!J$2)&lt;0,Ft!J$3*((1-Ft!J$6)/(1+Ft!J$37*($A341-Ft!J$2)^2)+Ft!J$6*EXP(Ft!J$38*($A341-Ft!J$2)^2)),Ft!J$3*((1-Ft!J$7)/(1+Ft!J$39*($A341-Ft!J$2)^2)+Ft!J$7*EXP(Ft!J$40*($A341-Ft!J$2)^2)))</f>
        <v>0</v>
      </c>
      <c r="O341" s="3">
        <f>IF(($A341-Ft!K$2)&lt;0,Ft!K$3*((1-Ft!K$6)/(1+Ft!K$37*($A341-Ft!K$2)^2)+Ft!K$6*EXP(Ft!K$38*($A341-Ft!K$2)^2)),Ft!K$3*((1-Ft!K$7)/(1+Ft!K$39*($A341-Ft!K$2)^2)+Ft!K$7*EXP(Ft!K$40*($A341-Ft!K$2)^2)))</f>
        <v>0</v>
      </c>
      <c r="P341"/>
      <c r="Q341"/>
    </row>
    <row r="342" spans="1:17">
      <c r="A342">
        <v>680</v>
      </c>
      <c r="B342">
        <v>16.833461257404991</v>
      </c>
      <c r="C342" s="6">
        <f t="shared" si="11"/>
        <v>16.818773973981138</v>
      </c>
      <c r="D342" s="19">
        <f t="shared" si="12"/>
        <v>2.1571629437260514E-4</v>
      </c>
      <c r="E342" s="3">
        <f>Ft!$B$12+Ft!$B$14*(Data!A342-Vars!$B$3)</f>
        <v>0</v>
      </c>
      <c r="F342" s="3">
        <f>IF(($A342-Ft!B$2)&lt;0,Ft!B$3*((1-Ft!B$6)/(1+Ft!B$37*($A342-Ft!B$2)^2)+Ft!B$6*EXP(Ft!B$38*($A342-Ft!B$2)^2)),Ft!B$3*((1-Ft!B$7)/(1+Ft!B$39*($A342-Ft!B$2)^2)+Ft!B$7*EXP(Ft!B$40*($A342-Ft!B$2)^2)))</f>
        <v>3.0582913108639455E-221</v>
      </c>
      <c r="G342" s="3">
        <f>IF(($A342-Ft!C$2)&lt;0,Ft!C$3*((1-Ft!C$6)/(1+Ft!C$37*($A342-Ft!C$2)^2)+Ft!C$6*EXP(Ft!C$38*($A342-Ft!C$2)^2)),Ft!C$3*((1-Ft!C$7)/(1+Ft!C$39*($A342-Ft!C$2)^2)+Ft!C$7*EXP(Ft!C$40*($A342-Ft!C$2)^2)))</f>
        <v>4.2194390617793152E-10</v>
      </c>
      <c r="H342" s="3">
        <f>IF(($A342-Ft!D$2)&lt;0,Ft!D$3*((1-Ft!D$6)/(1+Ft!D$37*($A342-Ft!D$2)^2)+Ft!D$6*EXP(Ft!D$38*($A342-Ft!D$2)^2)),Ft!D$3*((1-Ft!D$7)/(1+Ft!D$39*($A342-Ft!D$2)^2)+Ft!D$7*EXP(Ft!D$40*($A342-Ft!D$2)^2)))</f>
        <v>7.4979907933409713</v>
      </c>
      <c r="I342" s="3">
        <f>IF(($A342-Ft!E$2)&lt;0,Ft!E$3*((1-Ft!E$6)/(1+Ft!E$37*($A342-Ft!E$2)^2)+Ft!E$6*EXP(Ft!E$38*($A342-Ft!E$2)^2)),Ft!E$3*((1-Ft!E$7)/(1+Ft!E$39*($A342-Ft!E$2)^2)+Ft!E$7*EXP(Ft!E$40*($A342-Ft!E$2)^2)))</f>
        <v>9.3207831802136862</v>
      </c>
      <c r="J342" s="3">
        <f>IF(($A342-Ft!F$2)&lt;0,Ft!F$3*((1-Ft!F$6)/(1+Ft!F$37*($A342-Ft!F$2)^2)+Ft!F$6*EXP(Ft!F$38*($A342-Ft!F$2)^2)),Ft!F$3*((1-Ft!F$7)/(1+Ft!F$39*($A342-Ft!F$2)^2)+Ft!F$7*EXP(Ft!F$40*($A342-Ft!F$2)^2)))</f>
        <v>4.5356992774657989E-12</v>
      </c>
      <c r="K342" s="3">
        <f>IF(($A342-Ft!G$2)&lt;0,Ft!G$3*((1-Ft!G$6)/(1+Ft!G$37*($A342-Ft!G$2)^2)+Ft!G$6*EXP(Ft!G$38*($A342-Ft!G$2)^2)),Ft!G$3*((1-Ft!G$7)/(1+Ft!G$39*($A342-Ft!G$2)^2)+Ft!G$7*EXP(Ft!G$40*($A342-Ft!G$2)^2)))</f>
        <v>4.7356952640802015E-55</v>
      </c>
      <c r="L342" s="3">
        <f>IF(($A342-Ft!H$2)&lt;0,Ft!H$3*((1-Ft!H$6)/(1+Ft!H$37*($A342-Ft!H$2)^2)+Ft!H$6*EXP(Ft!H$38*($A342-Ft!H$2)^2)),Ft!H$3*((1-Ft!H$7)/(1+Ft!H$39*($A342-Ft!H$2)^2)+Ft!H$7*EXP(Ft!H$40*($A342-Ft!H$2)^2)))</f>
        <v>0</v>
      </c>
      <c r="M342" s="3">
        <f>IF(($A342-Ft!I$2)&lt;0,Ft!I$3*((1-Ft!I$6)/(1+Ft!I$37*($A342-Ft!I$2)^2)+Ft!I$6*EXP(Ft!I$38*($A342-Ft!I$2)^2)),Ft!I$3*((1-Ft!I$7)/(1+Ft!I$39*($A342-Ft!I$2)^2)+Ft!I$7*EXP(Ft!I$40*($A342-Ft!I$2)^2)))</f>
        <v>0</v>
      </c>
      <c r="N342" s="3">
        <f>IF(($A342-Ft!J$2)&lt;0,Ft!J$3*((1-Ft!J$6)/(1+Ft!J$37*($A342-Ft!J$2)^2)+Ft!J$6*EXP(Ft!J$38*($A342-Ft!J$2)^2)),Ft!J$3*((1-Ft!J$7)/(1+Ft!J$39*($A342-Ft!J$2)^2)+Ft!J$7*EXP(Ft!J$40*($A342-Ft!J$2)^2)))</f>
        <v>0</v>
      </c>
      <c r="O342" s="3">
        <f>IF(($A342-Ft!K$2)&lt;0,Ft!K$3*((1-Ft!K$6)/(1+Ft!K$37*($A342-Ft!K$2)^2)+Ft!K$6*EXP(Ft!K$38*($A342-Ft!K$2)^2)),Ft!K$3*((1-Ft!K$7)/(1+Ft!K$39*($A342-Ft!K$2)^2)+Ft!K$7*EXP(Ft!K$40*($A342-Ft!K$2)^2)))</f>
        <v>0</v>
      </c>
      <c r="P342"/>
      <c r="Q342"/>
    </row>
    <row r="343" spans="1:17">
      <c r="A343">
        <v>682</v>
      </c>
      <c r="B343">
        <v>16.874079180233991</v>
      </c>
      <c r="C343" s="6">
        <f t="shared" si="11"/>
        <v>16.83137868936462</v>
      </c>
      <c r="D343" s="19">
        <f t="shared" si="12"/>
        <v>1.8233319204853024E-3</v>
      </c>
      <c r="E343" s="3">
        <f>Ft!$B$12+Ft!$B$14*(Data!A343-Vars!$B$3)</f>
        <v>0</v>
      </c>
      <c r="F343" s="3">
        <f>IF(($A343-Ft!B$2)&lt;0,Ft!B$3*((1-Ft!B$6)/(1+Ft!B$37*($A343-Ft!B$2)^2)+Ft!B$6*EXP(Ft!B$38*($A343-Ft!B$2)^2)),Ft!B$3*((1-Ft!B$7)/(1+Ft!B$39*($A343-Ft!B$2)^2)+Ft!B$7*EXP(Ft!B$40*($A343-Ft!B$2)^2)))</f>
        <v>1.2305718830152697E-222</v>
      </c>
      <c r="G343" s="3">
        <f>IF(($A343-Ft!C$2)&lt;0,Ft!C$3*((1-Ft!C$6)/(1+Ft!C$37*($A343-Ft!C$2)^2)+Ft!C$6*EXP(Ft!C$38*($A343-Ft!C$2)^2)),Ft!C$3*((1-Ft!C$7)/(1+Ft!C$39*($A343-Ft!C$2)^2)+Ft!C$7*EXP(Ft!C$40*($A343-Ft!C$2)^2)))</f>
        <v>3.5380315225859302E-10</v>
      </c>
      <c r="H343" s="3">
        <f>IF(($A343-Ft!D$2)&lt;0,Ft!D$3*((1-Ft!D$6)/(1+Ft!D$37*($A343-Ft!D$2)^2)+Ft!D$6*EXP(Ft!D$38*($A343-Ft!D$2)^2)),Ft!D$3*((1-Ft!D$7)/(1+Ft!D$39*($A343-Ft!D$2)^2)+Ft!D$7*EXP(Ft!D$40*($A343-Ft!D$2)^2)))</f>
        <v>7.3768909894079009</v>
      </c>
      <c r="I343" s="3">
        <f>IF(($A343-Ft!E$2)&lt;0,Ft!E$3*((1-Ft!E$6)/(1+Ft!E$37*($A343-Ft!E$2)^2)+Ft!E$6*EXP(Ft!E$38*($A343-Ft!E$2)^2)),Ft!E$3*((1-Ft!E$7)/(1+Ft!E$39*($A343-Ft!E$2)^2)+Ft!E$7*EXP(Ft!E$40*($A343-Ft!E$2)^2)))</f>
        <v>9.4544876995965161</v>
      </c>
      <c r="J343" s="3">
        <f>IF(($A343-Ft!F$2)&lt;0,Ft!F$3*((1-Ft!F$6)/(1+Ft!F$37*($A343-Ft!F$2)^2)+Ft!F$6*EXP(Ft!F$38*($A343-Ft!F$2)^2)),Ft!F$3*((1-Ft!F$7)/(1+Ft!F$39*($A343-Ft!F$2)^2)+Ft!F$7*EXP(Ft!F$40*($A343-Ft!F$2)^2)))</f>
        <v>6.3992343590389169E-12</v>
      </c>
      <c r="K343" s="3">
        <f>IF(($A343-Ft!G$2)&lt;0,Ft!G$3*((1-Ft!G$6)/(1+Ft!G$37*($A343-Ft!G$2)^2)+Ft!G$6*EXP(Ft!G$38*($A343-Ft!G$2)^2)),Ft!G$3*((1-Ft!G$7)/(1+Ft!G$39*($A343-Ft!G$2)^2)+Ft!G$7*EXP(Ft!G$40*($A343-Ft!G$2)^2)))</f>
        <v>1.8930010817626455E-54</v>
      </c>
      <c r="L343" s="3">
        <f>IF(($A343-Ft!H$2)&lt;0,Ft!H$3*((1-Ft!H$6)/(1+Ft!H$37*($A343-Ft!H$2)^2)+Ft!H$6*EXP(Ft!H$38*($A343-Ft!H$2)^2)),Ft!H$3*((1-Ft!H$7)/(1+Ft!H$39*($A343-Ft!H$2)^2)+Ft!H$7*EXP(Ft!H$40*($A343-Ft!H$2)^2)))</f>
        <v>0</v>
      </c>
      <c r="M343" s="3">
        <f>IF(($A343-Ft!I$2)&lt;0,Ft!I$3*((1-Ft!I$6)/(1+Ft!I$37*($A343-Ft!I$2)^2)+Ft!I$6*EXP(Ft!I$38*($A343-Ft!I$2)^2)),Ft!I$3*((1-Ft!I$7)/(1+Ft!I$39*($A343-Ft!I$2)^2)+Ft!I$7*EXP(Ft!I$40*($A343-Ft!I$2)^2)))</f>
        <v>0</v>
      </c>
      <c r="N343" s="3">
        <f>IF(($A343-Ft!J$2)&lt;0,Ft!J$3*((1-Ft!J$6)/(1+Ft!J$37*($A343-Ft!J$2)^2)+Ft!J$6*EXP(Ft!J$38*($A343-Ft!J$2)^2)),Ft!J$3*((1-Ft!J$7)/(1+Ft!J$39*($A343-Ft!J$2)^2)+Ft!J$7*EXP(Ft!J$40*($A343-Ft!J$2)^2)))</f>
        <v>0</v>
      </c>
      <c r="O343" s="3">
        <f>IF(($A343-Ft!K$2)&lt;0,Ft!K$3*((1-Ft!K$6)/(1+Ft!K$37*($A343-Ft!K$2)^2)+Ft!K$6*EXP(Ft!K$38*($A343-Ft!K$2)^2)),Ft!K$3*((1-Ft!K$7)/(1+Ft!K$39*($A343-Ft!K$2)^2)+Ft!K$7*EXP(Ft!K$40*($A343-Ft!K$2)^2)))</f>
        <v>0</v>
      </c>
      <c r="P343"/>
      <c r="Q343"/>
    </row>
    <row r="344" spans="1:17">
      <c r="A344">
        <v>684</v>
      </c>
      <c r="B344">
        <v>16.915889442421999</v>
      </c>
      <c r="C344" s="6">
        <f t="shared" si="11"/>
        <v>16.844883076845555</v>
      </c>
      <c r="D344" s="19">
        <f t="shared" si="12"/>
        <v>5.0419039523756613E-3</v>
      </c>
      <c r="E344" s="3">
        <f>Ft!$B$12+Ft!$B$14*(Data!A344-Vars!$B$3)</f>
        <v>0</v>
      </c>
      <c r="F344" s="3">
        <f>IF(($A344-Ft!B$2)&lt;0,Ft!B$3*((1-Ft!B$6)/(1+Ft!B$37*($A344-Ft!B$2)^2)+Ft!B$6*EXP(Ft!B$38*($A344-Ft!B$2)^2)),Ft!B$3*((1-Ft!B$7)/(1+Ft!B$39*($A344-Ft!B$2)^2)+Ft!B$7*EXP(Ft!B$40*($A344-Ft!B$2)^2)))</f>
        <v>4.9016715376259431E-224</v>
      </c>
      <c r="G344" s="3">
        <f>IF(($A344-Ft!C$2)&lt;0,Ft!C$3*((1-Ft!C$6)/(1+Ft!C$37*($A344-Ft!C$2)^2)+Ft!C$6*EXP(Ft!C$38*($A344-Ft!C$2)^2)),Ft!C$3*((1-Ft!C$7)/(1+Ft!C$39*($A344-Ft!C$2)^2)+Ft!C$7*EXP(Ft!C$40*($A344-Ft!C$2)^2)))</f>
        <v>2.9647399745998336E-10</v>
      </c>
      <c r="H344" s="3">
        <f>IF(($A344-Ft!D$2)&lt;0,Ft!D$3*((1-Ft!D$6)/(1+Ft!D$37*($A344-Ft!D$2)^2)+Ft!D$6*EXP(Ft!D$38*($A344-Ft!D$2)^2)),Ft!D$3*((1-Ft!D$7)/(1+Ft!D$39*($A344-Ft!D$2)^2)+Ft!D$7*EXP(Ft!D$40*($A344-Ft!D$2)^2)))</f>
        <v>7.2567037483400796</v>
      </c>
      <c r="I344" s="3">
        <f>IF(($A344-Ft!E$2)&lt;0,Ft!E$3*((1-Ft!E$6)/(1+Ft!E$37*($A344-Ft!E$2)^2)+Ft!E$6*EXP(Ft!E$38*($A344-Ft!E$2)^2)),Ft!E$3*((1-Ft!E$7)/(1+Ft!E$39*($A344-Ft!E$2)^2)+Ft!E$7*EXP(Ft!E$40*($A344-Ft!E$2)^2)))</f>
        <v>9.5881793281999919</v>
      </c>
      <c r="J344" s="3">
        <f>IF(($A344-Ft!F$2)&lt;0,Ft!F$3*((1-Ft!F$6)/(1+Ft!F$37*($A344-Ft!F$2)^2)+Ft!F$6*EXP(Ft!F$38*($A344-Ft!F$2)^2)),Ft!F$3*((1-Ft!F$7)/(1+Ft!F$39*($A344-Ft!F$2)^2)+Ft!F$7*EXP(Ft!F$40*($A344-Ft!F$2)^2)))</f>
        <v>9.0090096646068577E-12</v>
      </c>
      <c r="K344" s="3">
        <f>IF(($A344-Ft!G$2)&lt;0,Ft!G$3*((1-Ft!G$6)/(1+Ft!G$37*($A344-Ft!G$2)^2)+Ft!G$6*EXP(Ft!G$38*($A344-Ft!G$2)^2)),Ft!G$3*((1-Ft!G$7)/(1+Ft!G$39*($A344-Ft!G$2)^2)+Ft!G$7*EXP(Ft!G$40*($A344-Ft!G$2)^2)))</f>
        <v>7.5095672025176035E-54</v>
      </c>
      <c r="L344" s="3">
        <f>IF(($A344-Ft!H$2)&lt;0,Ft!H$3*((1-Ft!H$6)/(1+Ft!H$37*($A344-Ft!H$2)^2)+Ft!H$6*EXP(Ft!H$38*($A344-Ft!H$2)^2)),Ft!H$3*((1-Ft!H$7)/(1+Ft!H$39*($A344-Ft!H$2)^2)+Ft!H$7*EXP(Ft!H$40*($A344-Ft!H$2)^2)))</f>
        <v>0</v>
      </c>
      <c r="M344" s="3">
        <f>IF(($A344-Ft!I$2)&lt;0,Ft!I$3*((1-Ft!I$6)/(1+Ft!I$37*($A344-Ft!I$2)^2)+Ft!I$6*EXP(Ft!I$38*($A344-Ft!I$2)^2)),Ft!I$3*((1-Ft!I$7)/(1+Ft!I$39*($A344-Ft!I$2)^2)+Ft!I$7*EXP(Ft!I$40*($A344-Ft!I$2)^2)))</f>
        <v>0</v>
      </c>
      <c r="N344" s="3">
        <f>IF(($A344-Ft!J$2)&lt;0,Ft!J$3*((1-Ft!J$6)/(1+Ft!J$37*($A344-Ft!J$2)^2)+Ft!J$6*EXP(Ft!J$38*($A344-Ft!J$2)^2)),Ft!J$3*((1-Ft!J$7)/(1+Ft!J$39*($A344-Ft!J$2)^2)+Ft!J$7*EXP(Ft!J$40*($A344-Ft!J$2)^2)))</f>
        <v>0</v>
      </c>
      <c r="O344" s="3">
        <f>IF(($A344-Ft!K$2)&lt;0,Ft!K$3*((1-Ft!K$6)/(1+Ft!K$37*($A344-Ft!K$2)^2)+Ft!K$6*EXP(Ft!K$38*($A344-Ft!K$2)^2)),Ft!K$3*((1-Ft!K$7)/(1+Ft!K$39*($A344-Ft!K$2)^2)+Ft!K$7*EXP(Ft!K$40*($A344-Ft!K$2)^2)))</f>
        <v>0</v>
      </c>
      <c r="P344"/>
      <c r="Q344"/>
    </row>
    <row r="345" spans="1:17">
      <c r="A345">
        <v>686</v>
      </c>
      <c r="B345">
        <v>16.95797743276799</v>
      </c>
      <c r="C345" s="6">
        <f t="shared" si="11"/>
        <v>16.859252144161204</v>
      </c>
      <c r="D345" s="19">
        <f t="shared" si="12"/>
        <v>9.7466826104932736E-3</v>
      </c>
      <c r="E345" s="3">
        <f>Ft!$B$12+Ft!$B$14*(Data!A345-Vars!$B$3)</f>
        <v>0</v>
      </c>
      <c r="F345" s="3">
        <f>IF(($A345-Ft!B$2)&lt;0,Ft!B$3*((1-Ft!B$6)/(1+Ft!B$37*($A345-Ft!B$2)^2)+Ft!B$6*EXP(Ft!B$38*($A345-Ft!B$2)^2)),Ft!B$3*((1-Ft!B$7)/(1+Ft!B$39*($A345-Ft!B$2)^2)+Ft!B$7*EXP(Ft!B$40*($A345-Ft!B$2)^2)))</f>
        <v>1.9328159663825151E-225</v>
      </c>
      <c r="G345" s="3">
        <f>IF(($A345-Ft!C$2)&lt;0,Ft!C$3*((1-Ft!C$6)/(1+Ft!C$37*($A345-Ft!C$2)^2)+Ft!C$6*EXP(Ft!C$38*($A345-Ft!C$2)^2)),Ft!C$3*((1-Ft!C$7)/(1+Ft!C$39*($A345-Ft!C$2)^2)+Ft!C$7*EXP(Ft!C$40*($A345-Ft!C$2)^2)))</f>
        <v>2.4827297740705679E-10</v>
      </c>
      <c r="H345" s="3">
        <f>IF(($A345-Ft!D$2)&lt;0,Ft!D$3*((1-Ft!D$6)/(1+Ft!D$37*($A345-Ft!D$2)^2)+Ft!D$6*EXP(Ft!D$38*($A345-Ft!D$2)^2)),Ft!D$3*((1-Ft!D$7)/(1+Ft!D$39*($A345-Ft!D$2)^2)+Ft!D$7*EXP(Ft!D$40*($A345-Ft!D$2)^2)))</f>
        <v>7.1374484751414817</v>
      </c>
      <c r="I345" s="3">
        <f>IF(($A345-Ft!E$2)&lt;0,Ft!E$3*((1-Ft!E$6)/(1+Ft!E$37*($A345-Ft!E$2)^2)+Ft!E$6*EXP(Ft!E$38*($A345-Ft!E$2)^2)),Ft!E$3*((1-Ft!E$7)/(1+Ft!E$39*($A345-Ft!E$2)^2)+Ft!E$7*EXP(Ft!E$40*($A345-Ft!E$2)^2)))</f>
        <v>9.7218036687587919</v>
      </c>
      <c r="J345" s="3">
        <f>IF(($A345-Ft!F$2)&lt;0,Ft!F$3*((1-Ft!F$6)/(1+Ft!F$37*($A345-Ft!F$2)^2)+Ft!F$6*EXP(Ft!F$38*($A345-Ft!F$2)^2)),Ft!F$3*((1-Ft!F$7)/(1+Ft!F$39*($A345-Ft!F$2)^2)+Ft!F$7*EXP(Ft!F$40*($A345-Ft!F$2)^2)))</f>
        <v>1.2655851321270577E-11</v>
      </c>
      <c r="K345" s="3">
        <f>IF(($A345-Ft!G$2)&lt;0,Ft!G$3*((1-Ft!G$6)/(1+Ft!G$37*($A345-Ft!G$2)^2)+Ft!G$6*EXP(Ft!G$38*($A345-Ft!G$2)^2)),Ft!G$3*((1-Ft!G$7)/(1+Ft!G$39*($A345-Ft!G$2)^2)+Ft!G$7*EXP(Ft!G$40*($A345-Ft!G$2)^2)))</f>
        <v>2.9564864045504863E-53</v>
      </c>
      <c r="L345" s="3">
        <f>IF(($A345-Ft!H$2)&lt;0,Ft!H$3*((1-Ft!H$6)/(1+Ft!H$37*($A345-Ft!H$2)^2)+Ft!H$6*EXP(Ft!H$38*($A345-Ft!H$2)^2)),Ft!H$3*((1-Ft!H$7)/(1+Ft!H$39*($A345-Ft!H$2)^2)+Ft!H$7*EXP(Ft!H$40*($A345-Ft!H$2)^2)))</f>
        <v>0</v>
      </c>
      <c r="M345" s="3">
        <f>IF(($A345-Ft!I$2)&lt;0,Ft!I$3*((1-Ft!I$6)/(1+Ft!I$37*($A345-Ft!I$2)^2)+Ft!I$6*EXP(Ft!I$38*($A345-Ft!I$2)^2)),Ft!I$3*((1-Ft!I$7)/(1+Ft!I$39*($A345-Ft!I$2)^2)+Ft!I$7*EXP(Ft!I$40*($A345-Ft!I$2)^2)))</f>
        <v>0</v>
      </c>
      <c r="N345" s="3">
        <f>IF(($A345-Ft!J$2)&lt;0,Ft!J$3*((1-Ft!J$6)/(1+Ft!J$37*($A345-Ft!J$2)^2)+Ft!J$6*EXP(Ft!J$38*($A345-Ft!J$2)^2)),Ft!J$3*((1-Ft!J$7)/(1+Ft!J$39*($A345-Ft!J$2)^2)+Ft!J$7*EXP(Ft!J$40*($A345-Ft!J$2)^2)))</f>
        <v>0</v>
      </c>
      <c r="O345" s="3">
        <f>IF(($A345-Ft!K$2)&lt;0,Ft!K$3*((1-Ft!K$6)/(1+Ft!K$37*($A345-Ft!K$2)^2)+Ft!K$6*EXP(Ft!K$38*($A345-Ft!K$2)^2)),Ft!K$3*((1-Ft!K$7)/(1+Ft!K$39*($A345-Ft!K$2)^2)+Ft!K$7*EXP(Ft!K$40*($A345-Ft!K$2)^2)))</f>
        <v>0</v>
      </c>
      <c r="P345"/>
      <c r="Q345"/>
    </row>
    <row r="346" spans="1:17">
      <c r="A346">
        <v>688</v>
      </c>
      <c r="B346">
        <v>16.999428540075002</v>
      </c>
      <c r="C346" s="6">
        <f t="shared" si="11"/>
        <v>16.87444946023172</v>
      </c>
      <c r="D346" s="19">
        <f t="shared" si="12"/>
        <v>1.5619770398473442E-2</v>
      </c>
      <c r="E346" s="3">
        <f>Ft!$B$12+Ft!$B$14*(Data!A346-Vars!$B$3)</f>
        <v>0</v>
      </c>
      <c r="F346" s="3">
        <f>IF(($A346-Ft!B$2)&lt;0,Ft!B$3*((1-Ft!B$6)/(1+Ft!B$37*($A346-Ft!B$2)^2)+Ft!B$6*EXP(Ft!B$38*($A346-Ft!B$2)^2)),Ft!B$3*((1-Ft!B$7)/(1+Ft!B$39*($A346-Ft!B$2)^2)+Ft!B$7*EXP(Ft!B$40*($A346-Ft!B$2)^2)))</f>
        <v>7.5447679031633061E-227</v>
      </c>
      <c r="G346" s="3">
        <f>IF(($A346-Ft!C$2)&lt;0,Ft!C$3*((1-Ft!C$6)/(1+Ft!C$37*($A346-Ft!C$2)^2)+Ft!C$6*EXP(Ft!C$38*($A346-Ft!C$2)^2)),Ft!C$3*((1-Ft!C$7)/(1+Ft!C$39*($A346-Ft!C$2)^2)+Ft!C$7*EXP(Ft!C$40*($A346-Ft!C$2)^2)))</f>
        <v>2.077735346821262E-10</v>
      </c>
      <c r="H346" s="3">
        <f>IF(($A346-Ft!D$2)&lt;0,Ft!D$3*((1-Ft!D$6)/(1+Ft!D$37*($A346-Ft!D$2)^2)+Ft!D$6*EXP(Ft!D$38*($A346-Ft!D$2)^2)),Ft!D$3*((1-Ft!D$7)/(1+Ft!D$39*($A346-Ft!D$2)^2)+Ft!D$7*EXP(Ft!D$40*($A346-Ft!D$2)^2)))</f>
        <v>7.0191438586863688</v>
      </c>
      <c r="I346" s="3">
        <f>IF(($A346-Ft!E$2)&lt;0,Ft!E$3*((1-Ft!E$6)/(1+Ft!E$37*($A346-Ft!E$2)^2)+Ft!E$6*EXP(Ft!E$38*($A346-Ft!E$2)^2)),Ft!E$3*((1-Ft!E$7)/(1+Ft!E$39*($A346-Ft!E$2)^2)+Ft!E$7*EXP(Ft!E$40*($A346-Ft!E$2)^2)))</f>
        <v>9.8553056013198344</v>
      </c>
      <c r="J346" s="3">
        <f>IF(($A346-Ft!F$2)&lt;0,Ft!F$3*((1-Ft!F$6)/(1+Ft!F$37*($A346-Ft!F$2)^2)+Ft!F$6*EXP(Ft!F$38*($A346-Ft!F$2)^2)),Ft!F$3*((1-Ft!F$7)/(1+Ft!F$39*($A346-Ft!F$2)^2)+Ft!F$7*EXP(Ft!F$40*($A346-Ft!F$2)^2)))</f>
        <v>1.7740708078048404E-11</v>
      </c>
      <c r="K346" s="3">
        <f>IF(($A346-Ft!G$2)&lt;0,Ft!G$3*((1-Ft!G$6)/(1+Ft!G$37*($A346-Ft!G$2)^2)+Ft!G$6*EXP(Ft!G$38*($A346-Ft!G$2)^2)),Ft!G$3*((1-Ft!G$7)/(1+Ft!G$39*($A346-Ft!G$2)^2)+Ft!G$7*EXP(Ft!G$40*($A346-Ft!G$2)^2)))</f>
        <v>1.1551378022039575E-52</v>
      </c>
      <c r="L346" s="3">
        <f>IF(($A346-Ft!H$2)&lt;0,Ft!H$3*((1-Ft!H$6)/(1+Ft!H$37*($A346-Ft!H$2)^2)+Ft!H$6*EXP(Ft!H$38*($A346-Ft!H$2)^2)),Ft!H$3*((1-Ft!H$7)/(1+Ft!H$39*($A346-Ft!H$2)^2)+Ft!H$7*EXP(Ft!H$40*($A346-Ft!H$2)^2)))</f>
        <v>0</v>
      </c>
      <c r="M346" s="3">
        <f>IF(($A346-Ft!I$2)&lt;0,Ft!I$3*((1-Ft!I$6)/(1+Ft!I$37*($A346-Ft!I$2)^2)+Ft!I$6*EXP(Ft!I$38*($A346-Ft!I$2)^2)),Ft!I$3*((1-Ft!I$7)/(1+Ft!I$39*($A346-Ft!I$2)^2)+Ft!I$7*EXP(Ft!I$40*($A346-Ft!I$2)^2)))</f>
        <v>0</v>
      </c>
      <c r="N346" s="3">
        <f>IF(($A346-Ft!J$2)&lt;0,Ft!J$3*((1-Ft!J$6)/(1+Ft!J$37*($A346-Ft!J$2)^2)+Ft!J$6*EXP(Ft!J$38*($A346-Ft!J$2)^2)),Ft!J$3*((1-Ft!J$7)/(1+Ft!J$39*($A346-Ft!J$2)^2)+Ft!J$7*EXP(Ft!J$40*($A346-Ft!J$2)^2)))</f>
        <v>0</v>
      </c>
      <c r="O346" s="3">
        <f>IF(($A346-Ft!K$2)&lt;0,Ft!K$3*((1-Ft!K$6)/(1+Ft!K$37*($A346-Ft!K$2)^2)+Ft!K$6*EXP(Ft!K$38*($A346-Ft!K$2)^2)),Ft!K$3*((1-Ft!K$7)/(1+Ft!K$39*($A346-Ft!K$2)^2)+Ft!K$7*EXP(Ft!K$40*($A346-Ft!K$2)^2)))</f>
        <v>0</v>
      </c>
      <c r="P346"/>
      <c r="Q346"/>
    </row>
    <row r="347" spans="1:17">
      <c r="A347">
        <v>690</v>
      </c>
      <c r="B347">
        <v>17.039328153141994</v>
      </c>
      <c r="C347" s="6">
        <f t="shared" si="11"/>
        <v>16.890437190897327</v>
      </c>
      <c r="D347" s="19">
        <f t="shared" si="12"/>
        <v>2.2168518638143061E-2</v>
      </c>
      <c r="E347" s="3">
        <f>Ft!$B$12+Ft!$B$14*(Data!A347-Vars!$B$3)</f>
        <v>0</v>
      </c>
      <c r="F347" s="3">
        <f>IF(($A347-Ft!B$2)&lt;0,Ft!B$3*((1-Ft!B$6)/(1+Ft!B$37*($A347-Ft!B$2)^2)+Ft!B$6*EXP(Ft!B$38*($A347-Ft!B$2)^2)),Ft!B$3*((1-Ft!B$7)/(1+Ft!B$39*($A347-Ft!B$2)^2)+Ft!B$7*EXP(Ft!B$40*($A347-Ft!B$2)^2)))</f>
        <v>2.9154818691150347E-228</v>
      </c>
      <c r="G347" s="3">
        <f>IF(($A347-Ft!C$2)&lt;0,Ft!C$3*((1-Ft!C$6)/(1+Ft!C$37*($A347-Ft!C$2)^2)+Ft!C$6*EXP(Ft!C$38*($A347-Ft!C$2)^2)),Ft!C$3*((1-Ft!C$7)/(1+Ft!C$39*($A347-Ft!C$2)^2)+Ft!C$7*EXP(Ft!C$40*($A347-Ft!C$2)^2)))</f>
        <v>1.7376765325591771E-10</v>
      </c>
      <c r="H347" s="3">
        <f>IF(($A347-Ft!D$2)&lt;0,Ft!D$3*((1-Ft!D$6)/(1+Ft!D$37*($A347-Ft!D$2)^2)+Ft!D$6*EXP(Ft!D$38*($A347-Ft!D$2)^2)),Ft!D$3*((1-Ft!D$7)/(1+Ft!D$39*($A347-Ft!D$2)^2)+Ft!D$7*EXP(Ft!D$40*($A347-Ft!D$2)^2)))</f>
        <v>6.9018078728301466</v>
      </c>
      <c r="I347" s="3">
        <f>IF(($A347-Ft!E$2)&lt;0,Ft!E$3*((1-Ft!E$6)/(1+Ft!E$37*($A347-Ft!E$2)^2)+Ft!E$6*EXP(Ft!E$38*($A347-Ft!E$2)^2)),Ft!E$3*((1-Ft!E$7)/(1+Ft!E$39*($A347-Ft!E$2)^2)+Ft!E$7*EXP(Ft!E$40*($A347-Ft!E$2)^2)))</f>
        <v>9.9886293178685968</v>
      </c>
      <c r="J347" s="3">
        <f>IF(($A347-Ft!F$2)&lt;0,Ft!F$3*((1-Ft!F$6)/(1+Ft!F$37*($A347-Ft!F$2)^2)+Ft!F$6*EXP(Ft!F$38*($A347-Ft!F$2)^2)),Ft!F$3*((1-Ft!F$7)/(1+Ft!F$39*($A347-Ft!F$2)^2)+Ft!F$7*EXP(Ft!F$40*($A347-Ft!F$2)^2)))</f>
        <v>2.4815087410319394E-11</v>
      </c>
      <c r="K347" s="3">
        <f>IF(($A347-Ft!G$2)&lt;0,Ft!G$3*((1-Ft!G$6)/(1+Ft!G$37*($A347-Ft!G$2)^2)+Ft!G$6*EXP(Ft!G$38*($A347-Ft!G$2)^2)),Ft!G$3*((1-Ft!G$7)/(1+Ft!G$39*($A347-Ft!G$2)^2)+Ft!G$7*EXP(Ft!G$40*($A347-Ft!G$2)^2)))</f>
        <v>4.4790781388322467E-52</v>
      </c>
      <c r="L347" s="3">
        <f>IF(($A347-Ft!H$2)&lt;0,Ft!H$3*((1-Ft!H$6)/(1+Ft!H$37*($A347-Ft!H$2)^2)+Ft!H$6*EXP(Ft!H$38*($A347-Ft!H$2)^2)),Ft!H$3*((1-Ft!H$7)/(1+Ft!H$39*($A347-Ft!H$2)^2)+Ft!H$7*EXP(Ft!H$40*($A347-Ft!H$2)^2)))</f>
        <v>0</v>
      </c>
      <c r="M347" s="3">
        <f>IF(($A347-Ft!I$2)&lt;0,Ft!I$3*((1-Ft!I$6)/(1+Ft!I$37*($A347-Ft!I$2)^2)+Ft!I$6*EXP(Ft!I$38*($A347-Ft!I$2)^2)),Ft!I$3*((1-Ft!I$7)/(1+Ft!I$39*($A347-Ft!I$2)^2)+Ft!I$7*EXP(Ft!I$40*($A347-Ft!I$2)^2)))</f>
        <v>0</v>
      </c>
      <c r="N347" s="3">
        <f>IF(($A347-Ft!J$2)&lt;0,Ft!J$3*((1-Ft!J$6)/(1+Ft!J$37*($A347-Ft!J$2)^2)+Ft!J$6*EXP(Ft!J$38*($A347-Ft!J$2)^2)),Ft!J$3*((1-Ft!J$7)/(1+Ft!J$39*($A347-Ft!J$2)^2)+Ft!J$7*EXP(Ft!J$40*($A347-Ft!J$2)^2)))</f>
        <v>0</v>
      </c>
      <c r="O347" s="3">
        <f>IF(($A347-Ft!K$2)&lt;0,Ft!K$3*((1-Ft!K$6)/(1+Ft!K$37*($A347-Ft!K$2)^2)+Ft!K$6*EXP(Ft!K$38*($A347-Ft!K$2)^2)),Ft!K$3*((1-Ft!K$7)/(1+Ft!K$39*($A347-Ft!K$2)^2)+Ft!K$7*EXP(Ft!K$40*($A347-Ft!K$2)^2)))</f>
        <v>0</v>
      </c>
      <c r="P347"/>
      <c r="Q347"/>
    </row>
    <row r="348" spans="1:17">
      <c r="A348">
        <v>692</v>
      </c>
      <c r="B348">
        <v>17.078010631498998</v>
      </c>
      <c r="C348" s="6">
        <f t="shared" si="11"/>
        <v>16.907176136323148</v>
      </c>
      <c r="D348" s="19">
        <f t="shared" si="12"/>
        <v>2.9184424741987451E-2</v>
      </c>
      <c r="E348" s="3">
        <f>Ft!$B$12+Ft!$B$14*(Data!A348-Vars!$B$3)</f>
        <v>0</v>
      </c>
      <c r="F348" s="3">
        <f>IF(($A348-Ft!B$2)&lt;0,Ft!B$3*((1-Ft!B$6)/(1+Ft!B$37*($A348-Ft!B$2)^2)+Ft!B$6*EXP(Ft!B$38*($A348-Ft!B$2)^2)),Ft!B$3*((1-Ft!B$7)/(1+Ft!B$39*($A348-Ft!B$2)^2)+Ft!B$7*EXP(Ft!B$40*($A348-Ft!B$2)^2)))</f>
        <v>1.1152799290703957E-229</v>
      </c>
      <c r="G348" s="3">
        <f>IF(($A348-Ft!C$2)&lt;0,Ft!C$3*((1-Ft!C$6)/(1+Ft!C$37*($A348-Ft!C$2)^2)+Ft!C$6*EXP(Ft!C$38*($A348-Ft!C$2)^2)),Ft!C$3*((1-Ft!C$7)/(1+Ft!C$39*($A348-Ft!C$2)^2)+Ft!C$7*EXP(Ft!C$40*($A348-Ft!C$2)^2)))</f>
        <v>1.4523308949028028E-10</v>
      </c>
      <c r="H348" s="3">
        <f>IF(($A348-Ft!D$2)&lt;0,Ft!D$3*((1-Ft!D$6)/(1+Ft!D$37*($A348-Ft!D$2)^2)+Ft!D$6*EXP(Ft!D$38*($A348-Ft!D$2)^2)),Ft!D$3*((1-Ft!D$7)/(1+Ft!D$39*($A348-Ft!D$2)^2)+Ft!D$7*EXP(Ft!D$40*($A348-Ft!D$2)^2)))</f>
        <v>6.7854577780115086</v>
      </c>
      <c r="I348" s="3">
        <f>IF(($A348-Ft!E$2)&lt;0,Ft!E$3*((1-Ft!E$6)/(1+Ft!E$37*($A348-Ft!E$2)^2)+Ft!E$6*EXP(Ft!E$38*($A348-Ft!E$2)^2)),Ft!E$3*((1-Ft!E$7)/(1+Ft!E$39*($A348-Ft!E$2)^2)+Ft!E$7*EXP(Ft!E$40*($A348-Ft!E$2)^2)))</f>
        <v>10.121718358131773</v>
      </c>
      <c r="J348" s="3">
        <f>IF(($A348-Ft!F$2)&lt;0,Ft!F$3*((1-Ft!F$6)/(1+Ft!F$37*($A348-Ft!F$2)^2)+Ft!F$6*EXP(Ft!F$38*($A348-Ft!F$2)^2)),Ft!F$3*((1-Ft!F$7)/(1+Ft!F$39*($A348-Ft!F$2)^2)+Ft!F$7*EXP(Ft!F$40*($A348-Ft!F$2)^2)))</f>
        <v>3.4635857415730257E-11</v>
      </c>
      <c r="K348" s="3">
        <f>IF(($A348-Ft!G$2)&lt;0,Ft!G$3*((1-Ft!G$6)/(1+Ft!G$37*($A348-Ft!G$2)^2)+Ft!G$6*EXP(Ft!G$38*($A348-Ft!G$2)^2)),Ft!G$3*((1-Ft!G$7)/(1+Ft!G$39*($A348-Ft!G$2)^2)+Ft!G$7*EXP(Ft!G$40*($A348-Ft!G$2)^2)))</f>
        <v>1.7236155894544256E-51</v>
      </c>
      <c r="L348" s="3">
        <f>IF(($A348-Ft!H$2)&lt;0,Ft!H$3*((1-Ft!H$6)/(1+Ft!H$37*($A348-Ft!H$2)^2)+Ft!H$6*EXP(Ft!H$38*($A348-Ft!H$2)^2)),Ft!H$3*((1-Ft!H$7)/(1+Ft!H$39*($A348-Ft!H$2)^2)+Ft!H$7*EXP(Ft!H$40*($A348-Ft!H$2)^2)))</f>
        <v>0</v>
      </c>
      <c r="M348" s="3">
        <f>IF(($A348-Ft!I$2)&lt;0,Ft!I$3*((1-Ft!I$6)/(1+Ft!I$37*($A348-Ft!I$2)^2)+Ft!I$6*EXP(Ft!I$38*($A348-Ft!I$2)^2)),Ft!I$3*((1-Ft!I$7)/(1+Ft!I$39*($A348-Ft!I$2)^2)+Ft!I$7*EXP(Ft!I$40*($A348-Ft!I$2)^2)))</f>
        <v>0</v>
      </c>
      <c r="N348" s="3">
        <f>IF(($A348-Ft!J$2)&lt;0,Ft!J$3*((1-Ft!J$6)/(1+Ft!J$37*($A348-Ft!J$2)^2)+Ft!J$6*EXP(Ft!J$38*($A348-Ft!J$2)^2)),Ft!J$3*((1-Ft!J$7)/(1+Ft!J$39*($A348-Ft!J$2)^2)+Ft!J$7*EXP(Ft!J$40*($A348-Ft!J$2)^2)))</f>
        <v>0</v>
      </c>
      <c r="O348" s="3">
        <f>IF(($A348-Ft!K$2)&lt;0,Ft!K$3*((1-Ft!K$6)/(1+Ft!K$37*($A348-Ft!K$2)^2)+Ft!K$6*EXP(Ft!K$38*($A348-Ft!K$2)^2)),Ft!K$3*((1-Ft!K$7)/(1+Ft!K$39*($A348-Ft!K$2)^2)+Ft!K$7*EXP(Ft!K$40*($A348-Ft!K$2)^2)))</f>
        <v>0</v>
      </c>
      <c r="P348"/>
      <c r="Q348"/>
    </row>
    <row r="349" spans="1:17">
      <c r="A349">
        <v>694</v>
      </c>
      <c r="B349">
        <v>17.121681911054992</v>
      </c>
      <c r="C349" s="6">
        <f t="shared" si="11"/>
        <v>16.924625770034908</v>
      </c>
      <c r="D349" s="19">
        <f t="shared" si="12"/>
        <v>3.8831122713727385E-2</v>
      </c>
      <c r="E349" s="3">
        <f>Ft!$B$12+Ft!$B$14*(Data!A349-Vars!$B$3)</f>
        <v>0</v>
      </c>
      <c r="F349" s="3">
        <f>IF(($A349-Ft!B$2)&lt;0,Ft!B$3*((1-Ft!B$6)/(1+Ft!B$37*($A349-Ft!B$2)^2)+Ft!B$6*EXP(Ft!B$38*($A349-Ft!B$2)^2)),Ft!B$3*((1-Ft!B$7)/(1+Ft!B$39*($A349-Ft!B$2)^2)+Ft!B$7*EXP(Ft!B$40*($A349-Ft!B$2)^2)))</f>
        <v>4.2234417535436475E-231</v>
      </c>
      <c r="G349" s="3">
        <f>IF(($A349-Ft!C$2)&lt;0,Ft!C$3*((1-Ft!C$6)/(1+Ft!C$37*($A349-Ft!C$2)^2)+Ft!C$6*EXP(Ft!C$38*($A349-Ft!C$2)^2)),Ft!C$3*((1-Ft!C$7)/(1+Ft!C$39*($A349-Ft!C$2)^2)+Ft!C$7*EXP(Ft!C$40*($A349-Ft!C$2)^2)))</f>
        <v>1.2130540393906701E-10</v>
      </c>
      <c r="H349" s="3">
        <f>IF(($A349-Ft!D$2)&lt;0,Ft!D$3*((1-Ft!D$6)/(1+Ft!D$37*($A349-Ft!D$2)^2)+Ft!D$6*EXP(Ft!D$38*($A349-Ft!D$2)^2)),Ft!D$3*((1-Ft!D$7)/(1+Ft!D$39*($A349-Ft!D$2)^2)+Ft!D$7*EXP(Ft!D$40*($A349-Ft!D$2)^2)))</f>
        <v>6.6701101233364053</v>
      </c>
      <c r="I349" s="3">
        <f>IF(($A349-Ft!E$2)&lt;0,Ft!E$3*((1-Ft!E$6)/(1+Ft!E$37*($A349-Ft!E$2)^2)+Ft!E$6*EXP(Ft!E$38*($A349-Ft!E$2)^2)),Ft!E$3*((1-Ft!E$7)/(1+Ft!E$39*($A349-Ft!E$2)^2)+Ft!E$7*EXP(Ft!E$40*($A349-Ft!E$2)^2)))</f>
        <v>10.25451564652896</v>
      </c>
      <c r="J349" s="3">
        <f>IF(($A349-Ft!F$2)&lt;0,Ft!F$3*((1-Ft!F$6)/(1+Ft!F$37*($A349-Ft!F$2)^2)+Ft!F$6*EXP(Ft!F$38*($A349-Ft!F$2)^2)),Ft!F$3*((1-Ft!F$7)/(1+Ft!F$39*($A349-Ft!F$2)^2)+Ft!F$7*EXP(Ft!F$40*($A349-Ft!F$2)^2)))</f>
        <v>4.8239339315265867E-11</v>
      </c>
      <c r="K349" s="3">
        <f>IF(($A349-Ft!G$2)&lt;0,Ft!G$3*((1-Ft!G$6)/(1+Ft!G$37*($A349-Ft!G$2)^2)+Ft!G$6*EXP(Ft!G$38*($A349-Ft!G$2)^2)),Ft!G$3*((1-Ft!G$7)/(1+Ft!G$39*($A349-Ft!G$2)^2)+Ft!G$7*EXP(Ft!G$40*($A349-Ft!G$2)^2)))</f>
        <v>6.5824735119714946E-51</v>
      </c>
      <c r="L349" s="3">
        <f>IF(($A349-Ft!H$2)&lt;0,Ft!H$3*((1-Ft!H$6)/(1+Ft!H$37*($A349-Ft!H$2)^2)+Ft!H$6*EXP(Ft!H$38*($A349-Ft!H$2)^2)),Ft!H$3*((1-Ft!H$7)/(1+Ft!H$39*($A349-Ft!H$2)^2)+Ft!H$7*EXP(Ft!H$40*($A349-Ft!H$2)^2)))</f>
        <v>0</v>
      </c>
      <c r="M349" s="3">
        <f>IF(($A349-Ft!I$2)&lt;0,Ft!I$3*((1-Ft!I$6)/(1+Ft!I$37*($A349-Ft!I$2)^2)+Ft!I$6*EXP(Ft!I$38*($A349-Ft!I$2)^2)),Ft!I$3*((1-Ft!I$7)/(1+Ft!I$39*($A349-Ft!I$2)^2)+Ft!I$7*EXP(Ft!I$40*($A349-Ft!I$2)^2)))</f>
        <v>0</v>
      </c>
      <c r="N349" s="3">
        <f>IF(($A349-Ft!J$2)&lt;0,Ft!J$3*((1-Ft!J$6)/(1+Ft!J$37*($A349-Ft!J$2)^2)+Ft!J$6*EXP(Ft!J$38*($A349-Ft!J$2)^2)),Ft!J$3*((1-Ft!J$7)/(1+Ft!J$39*($A349-Ft!J$2)^2)+Ft!J$7*EXP(Ft!J$40*($A349-Ft!J$2)^2)))</f>
        <v>0</v>
      </c>
      <c r="O349" s="3">
        <f>IF(($A349-Ft!K$2)&lt;0,Ft!K$3*((1-Ft!K$6)/(1+Ft!K$37*($A349-Ft!K$2)^2)+Ft!K$6*EXP(Ft!K$38*($A349-Ft!K$2)^2)),Ft!K$3*((1-Ft!K$7)/(1+Ft!K$39*($A349-Ft!K$2)^2)+Ft!K$7*EXP(Ft!K$40*($A349-Ft!K$2)^2)))</f>
        <v>0</v>
      </c>
      <c r="P349"/>
      <c r="Q349"/>
    </row>
    <row r="350" spans="1:17">
      <c r="A350">
        <v>696</v>
      </c>
      <c r="B350">
        <v>17.169722420572995</v>
      </c>
      <c r="C350" s="6">
        <f t="shared" si="11"/>
        <v>16.942744279546147</v>
      </c>
      <c r="D350" s="19">
        <f t="shared" si="12"/>
        <v>5.1519076504003641E-2</v>
      </c>
      <c r="E350" s="3">
        <f>Ft!$B$12+Ft!$B$14*(Data!A350-Vars!$B$3)</f>
        <v>0</v>
      </c>
      <c r="F350" s="3">
        <f>IF(($A350-Ft!B$2)&lt;0,Ft!B$3*((1-Ft!B$6)/(1+Ft!B$37*($A350-Ft!B$2)^2)+Ft!B$6*EXP(Ft!B$38*($A350-Ft!B$2)^2)),Ft!B$3*((1-Ft!B$7)/(1+Ft!B$39*($A350-Ft!B$2)^2)+Ft!B$7*EXP(Ft!B$40*($A350-Ft!B$2)^2)))</f>
        <v>1.5832817746025331E-232</v>
      </c>
      <c r="G350" s="3">
        <f>IF(($A350-Ft!C$2)&lt;0,Ft!C$3*((1-Ft!C$6)/(1+Ft!C$37*($A350-Ft!C$2)^2)+Ft!C$6*EXP(Ft!C$38*($A350-Ft!C$2)^2)),Ft!C$3*((1-Ft!C$7)/(1+Ft!C$39*($A350-Ft!C$2)^2)+Ft!C$7*EXP(Ft!C$40*($A350-Ft!C$2)^2)))</f>
        <v>1.012541081805904E-10</v>
      </c>
      <c r="H350" s="3">
        <f>IF(($A350-Ft!D$2)&lt;0,Ft!D$3*((1-Ft!D$6)/(1+Ft!D$37*($A350-Ft!D$2)^2)+Ft!D$6*EXP(Ft!D$38*($A350-Ft!D$2)^2)),Ft!D$3*((1-Ft!D$7)/(1+Ft!D$39*($A350-Ft!D$2)^2)+Ft!D$7*EXP(Ft!D$40*($A350-Ft!D$2)^2)))</f>
        <v>6.5557807491339455</v>
      </c>
      <c r="I350" s="3">
        <f>IF(($A350-Ft!E$2)&lt;0,Ft!E$3*((1-Ft!E$6)/(1+Ft!E$37*($A350-Ft!E$2)^2)+Ft!E$6*EXP(Ft!E$38*($A350-Ft!E$2)^2)),Ft!E$3*((1-Ft!E$7)/(1+Ft!E$39*($A350-Ft!E$2)^2)+Ft!E$7*EXP(Ft!E$40*($A350-Ft!E$2)^2)))</f>
        <v>10.386963530243907</v>
      </c>
      <c r="J350" s="3">
        <f>IF(($A350-Ft!F$2)&lt;0,Ft!F$3*((1-Ft!F$6)/(1+Ft!F$37*($A350-Ft!F$2)^2)+Ft!F$6*EXP(Ft!F$38*($A350-Ft!F$2)^2)),Ft!F$3*((1-Ft!F$7)/(1+Ft!F$39*($A350-Ft!F$2)^2)+Ft!F$7*EXP(Ft!F$40*($A350-Ft!F$2)^2)))</f>
        <v>6.704123919033632E-11</v>
      </c>
      <c r="K350" s="3">
        <f>IF(($A350-Ft!G$2)&lt;0,Ft!G$3*((1-Ft!G$6)/(1+Ft!G$37*($A350-Ft!G$2)^2)+Ft!G$6*EXP(Ft!G$38*($A350-Ft!G$2)^2)),Ft!G$3*((1-Ft!G$7)/(1+Ft!G$39*($A350-Ft!G$2)^2)+Ft!G$7*EXP(Ft!G$40*($A350-Ft!G$2)^2)))</f>
        <v>2.4947943913439261E-50</v>
      </c>
      <c r="L350" s="3">
        <f>IF(($A350-Ft!H$2)&lt;0,Ft!H$3*((1-Ft!H$6)/(1+Ft!H$37*($A350-Ft!H$2)^2)+Ft!H$6*EXP(Ft!H$38*($A350-Ft!H$2)^2)),Ft!H$3*((1-Ft!H$7)/(1+Ft!H$39*($A350-Ft!H$2)^2)+Ft!H$7*EXP(Ft!H$40*($A350-Ft!H$2)^2)))</f>
        <v>0</v>
      </c>
      <c r="M350" s="3">
        <f>IF(($A350-Ft!I$2)&lt;0,Ft!I$3*((1-Ft!I$6)/(1+Ft!I$37*($A350-Ft!I$2)^2)+Ft!I$6*EXP(Ft!I$38*($A350-Ft!I$2)^2)),Ft!I$3*((1-Ft!I$7)/(1+Ft!I$39*($A350-Ft!I$2)^2)+Ft!I$7*EXP(Ft!I$40*($A350-Ft!I$2)^2)))</f>
        <v>0</v>
      </c>
      <c r="N350" s="3">
        <f>IF(($A350-Ft!J$2)&lt;0,Ft!J$3*((1-Ft!J$6)/(1+Ft!J$37*($A350-Ft!J$2)^2)+Ft!J$6*EXP(Ft!J$38*($A350-Ft!J$2)^2)),Ft!J$3*((1-Ft!J$7)/(1+Ft!J$39*($A350-Ft!J$2)^2)+Ft!J$7*EXP(Ft!J$40*($A350-Ft!J$2)^2)))</f>
        <v>0</v>
      </c>
      <c r="O350" s="3">
        <f>IF(($A350-Ft!K$2)&lt;0,Ft!K$3*((1-Ft!K$6)/(1+Ft!K$37*($A350-Ft!K$2)^2)+Ft!K$6*EXP(Ft!K$38*($A350-Ft!K$2)^2)),Ft!K$3*((1-Ft!K$7)/(1+Ft!K$39*($A350-Ft!K$2)^2)+Ft!K$7*EXP(Ft!K$40*($A350-Ft!K$2)^2)))</f>
        <v>0</v>
      </c>
      <c r="P350"/>
      <c r="Q350"/>
    </row>
    <row r="351" spans="1:17">
      <c r="A351">
        <v>698</v>
      </c>
      <c r="B351">
        <v>17.220222142835993</v>
      </c>
      <c r="C351" s="6">
        <f t="shared" si="11"/>
        <v>16.961488608535571</v>
      </c>
      <c r="D351" s="19">
        <f t="shared" si="12"/>
        <v>6.694304177158765E-2</v>
      </c>
      <c r="E351" s="3">
        <f>Ft!$B$12+Ft!$B$14*(Data!A351-Vars!$B$3)</f>
        <v>0</v>
      </c>
      <c r="F351" s="3">
        <f>IF(($A351-Ft!B$2)&lt;0,Ft!B$3*((1-Ft!B$6)/(1+Ft!B$37*($A351-Ft!B$2)^2)+Ft!B$6*EXP(Ft!B$38*($A351-Ft!B$2)^2)),Ft!B$3*((1-Ft!B$7)/(1+Ft!B$39*($A351-Ft!B$2)^2)+Ft!B$7*EXP(Ft!B$40*($A351-Ft!B$2)^2)))</f>
        <v>5.8756916573954642E-234</v>
      </c>
      <c r="G351" s="3">
        <f>IF(($A351-Ft!C$2)&lt;0,Ft!C$3*((1-Ft!C$6)/(1+Ft!C$37*($A351-Ft!C$2)^2)+Ft!C$6*EXP(Ft!C$38*($A351-Ft!C$2)^2)),Ft!C$3*((1-Ft!C$7)/(1+Ft!C$39*($A351-Ft!C$2)^2)+Ft!C$7*EXP(Ft!C$40*($A351-Ft!C$2)^2)))</f>
        <v>8.4462336184533115E-11</v>
      </c>
      <c r="H351" s="3">
        <f>IF(($A351-Ft!D$2)&lt;0,Ft!D$3*((1-Ft!D$6)/(1+Ft!D$37*($A351-Ft!D$2)^2)+Ft!D$6*EXP(Ft!D$38*($A351-Ft!D$2)^2)),Ft!D$3*((1-Ft!D$7)/(1+Ft!D$39*($A351-Ft!D$2)^2)+Ft!D$7*EXP(Ft!D$40*($A351-Ft!D$2)^2)))</f>
        <v>6.4424847899741469</v>
      </c>
      <c r="I351" s="3">
        <f>IF(($A351-Ft!E$2)&lt;0,Ft!E$3*((1-Ft!E$6)/(1+Ft!E$37*($A351-Ft!E$2)^2)+Ft!E$6*EXP(Ft!E$38*($A351-Ft!E$2)^2)),Ft!E$3*((1-Ft!E$7)/(1+Ft!E$39*($A351-Ft!E$2)^2)+Ft!E$7*EXP(Ft!E$40*($A351-Ft!E$2)^2)))</f>
        <v>10.51900381838399</v>
      </c>
      <c r="J351" s="3">
        <f>IF(($A351-Ft!F$2)&lt;0,Ft!F$3*((1-Ft!F$6)/(1+Ft!F$37*($A351-Ft!F$2)^2)+Ft!F$6*EXP(Ft!F$38*($A351-Ft!F$2)^2)),Ft!F$3*((1-Ft!F$7)/(1+Ft!F$39*($A351-Ft!F$2)^2)+Ft!F$7*EXP(Ft!F$40*($A351-Ft!F$2)^2)))</f>
        <v>9.2971104293126062E-11</v>
      </c>
      <c r="K351" s="3">
        <f>IF(($A351-Ft!G$2)&lt;0,Ft!G$3*((1-Ft!G$6)/(1+Ft!G$37*($A351-Ft!G$2)^2)+Ft!G$6*EXP(Ft!G$38*($A351-Ft!G$2)^2)),Ft!G$3*((1-Ft!G$7)/(1+Ft!G$39*($A351-Ft!G$2)^2)+Ft!G$7*EXP(Ft!G$40*($A351-Ft!G$2)^2)))</f>
        <v>9.3837694710650771E-50</v>
      </c>
      <c r="L351" s="3">
        <f>IF(($A351-Ft!H$2)&lt;0,Ft!H$3*((1-Ft!H$6)/(1+Ft!H$37*($A351-Ft!H$2)^2)+Ft!H$6*EXP(Ft!H$38*($A351-Ft!H$2)^2)),Ft!H$3*((1-Ft!H$7)/(1+Ft!H$39*($A351-Ft!H$2)^2)+Ft!H$7*EXP(Ft!H$40*($A351-Ft!H$2)^2)))</f>
        <v>0</v>
      </c>
      <c r="M351" s="3">
        <f>IF(($A351-Ft!I$2)&lt;0,Ft!I$3*((1-Ft!I$6)/(1+Ft!I$37*($A351-Ft!I$2)^2)+Ft!I$6*EXP(Ft!I$38*($A351-Ft!I$2)^2)),Ft!I$3*((1-Ft!I$7)/(1+Ft!I$39*($A351-Ft!I$2)^2)+Ft!I$7*EXP(Ft!I$40*($A351-Ft!I$2)^2)))</f>
        <v>0</v>
      </c>
      <c r="N351" s="3">
        <f>IF(($A351-Ft!J$2)&lt;0,Ft!J$3*((1-Ft!J$6)/(1+Ft!J$37*($A351-Ft!J$2)^2)+Ft!J$6*EXP(Ft!J$38*($A351-Ft!J$2)^2)),Ft!J$3*((1-Ft!J$7)/(1+Ft!J$39*($A351-Ft!J$2)^2)+Ft!J$7*EXP(Ft!J$40*($A351-Ft!J$2)^2)))</f>
        <v>0</v>
      </c>
      <c r="O351" s="3">
        <f>IF(($A351-Ft!K$2)&lt;0,Ft!K$3*((1-Ft!K$6)/(1+Ft!K$37*($A351-Ft!K$2)^2)+Ft!K$6*EXP(Ft!K$38*($A351-Ft!K$2)^2)),Ft!K$3*((1-Ft!K$7)/(1+Ft!K$39*($A351-Ft!K$2)^2)+Ft!K$7*EXP(Ft!K$40*($A351-Ft!K$2)^2)))</f>
        <v>0</v>
      </c>
      <c r="P351"/>
      <c r="Q351"/>
    </row>
    <row r="352" spans="1:17">
      <c r="A352">
        <v>700</v>
      </c>
      <c r="B352">
        <v>17.271271060627996</v>
      </c>
      <c r="C352" s="6">
        <f t="shared" si="11"/>
        <v>16.980814500530691</v>
      </c>
      <c r="D352" s="19">
        <f t="shared" si="12"/>
        <v>8.4365013303558986E-2</v>
      </c>
      <c r="E352" s="3">
        <f>Ft!$B$12+Ft!$B$14*(Data!A352-Vars!$B$3)</f>
        <v>0</v>
      </c>
      <c r="F352" s="3">
        <f>IF(($A352-Ft!B$2)&lt;0,Ft!B$3*((1-Ft!B$6)/(1+Ft!B$37*($A352-Ft!B$2)^2)+Ft!B$6*EXP(Ft!B$38*($A352-Ft!B$2)^2)),Ft!B$3*((1-Ft!B$7)/(1+Ft!B$39*($A352-Ft!B$2)^2)+Ft!B$7*EXP(Ft!B$40*($A352-Ft!B$2)^2)))</f>
        <v>2.1585835459021322E-235</v>
      </c>
      <c r="G352" s="3">
        <f>IF(($A352-Ft!C$2)&lt;0,Ft!C$3*((1-Ft!C$6)/(1+Ft!C$37*($A352-Ft!C$2)^2)+Ft!C$6*EXP(Ft!C$38*($A352-Ft!C$2)^2)),Ft!C$3*((1-Ft!C$7)/(1+Ft!C$39*($A352-Ft!C$2)^2)+Ft!C$7*EXP(Ft!C$40*($A352-Ft!C$2)^2)))</f>
        <v>7.0409532153750924E-11</v>
      </c>
      <c r="H352" s="3">
        <f>IF(($A352-Ft!D$2)&lt;0,Ft!D$3*((1-Ft!D$6)/(1+Ft!D$37*($A352-Ft!D$2)^2)+Ft!D$6*EXP(Ft!D$38*($A352-Ft!D$2)^2)),Ft!D$3*((1-Ft!D$7)/(1+Ft!D$39*($A352-Ft!D$2)^2)+Ft!D$7*EXP(Ft!D$40*($A352-Ft!D$2)^2)))</f>
        <v>6.330236678137056</v>
      </c>
      <c r="I352" s="3">
        <f>IF(($A352-Ft!E$2)&lt;0,Ft!E$3*((1-Ft!E$6)/(1+Ft!E$37*($A352-Ft!E$2)^2)+Ft!E$6*EXP(Ft!E$38*($A352-Ft!E$2)^2)),Ft!E$3*((1-Ft!E$7)/(1+Ft!E$39*($A352-Ft!E$2)^2)+Ft!E$7*EXP(Ft!E$40*($A352-Ft!E$2)^2)))</f>
        <v>10.65057782219457</v>
      </c>
      <c r="J352" s="3">
        <f>IF(($A352-Ft!F$2)&lt;0,Ft!F$3*((1-Ft!F$6)/(1+Ft!F$37*($A352-Ft!F$2)^2)+Ft!F$6*EXP(Ft!F$38*($A352-Ft!F$2)^2)),Ft!F$3*((1-Ft!F$7)/(1+Ft!F$39*($A352-Ft!F$2)^2)+Ft!F$7*EXP(Ft!F$40*($A352-Ft!F$2)^2)))</f>
        <v>1.2865279325586929E-10</v>
      </c>
      <c r="K352" s="3">
        <f>IF(($A352-Ft!G$2)&lt;0,Ft!G$3*((1-Ft!G$6)/(1+Ft!G$37*($A352-Ft!G$2)^2)+Ft!G$6*EXP(Ft!G$38*($A352-Ft!G$2)^2)),Ft!G$3*((1-Ft!G$7)/(1+Ft!G$39*($A352-Ft!G$2)^2)+Ft!G$7*EXP(Ft!G$40*($A352-Ft!G$2)^2)))</f>
        <v>3.5028120348438364E-49</v>
      </c>
      <c r="L352" s="3">
        <f>IF(($A352-Ft!H$2)&lt;0,Ft!H$3*((1-Ft!H$6)/(1+Ft!H$37*($A352-Ft!H$2)^2)+Ft!H$6*EXP(Ft!H$38*($A352-Ft!H$2)^2)),Ft!H$3*((1-Ft!H$7)/(1+Ft!H$39*($A352-Ft!H$2)^2)+Ft!H$7*EXP(Ft!H$40*($A352-Ft!H$2)^2)))</f>
        <v>0</v>
      </c>
      <c r="M352" s="3">
        <f>IF(($A352-Ft!I$2)&lt;0,Ft!I$3*((1-Ft!I$6)/(1+Ft!I$37*($A352-Ft!I$2)^2)+Ft!I$6*EXP(Ft!I$38*($A352-Ft!I$2)^2)),Ft!I$3*((1-Ft!I$7)/(1+Ft!I$39*($A352-Ft!I$2)^2)+Ft!I$7*EXP(Ft!I$40*($A352-Ft!I$2)^2)))</f>
        <v>0</v>
      </c>
      <c r="N352" s="3">
        <f>IF(($A352-Ft!J$2)&lt;0,Ft!J$3*((1-Ft!J$6)/(1+Ft!J$37*($A352-Ft!J$2)^2)+Ft!J$6*EXP(Ft!J$38*($A352-Ft!J$2)^2)),Ft!J$3*((1-Ft!J$7)/(1+Ft!J$39*($A352-Ft!J$2)^2)+Ft!J$7*EXP(Ft!J$40*($A352-Ft!J$2)^2)))</f>
        <v>0</v>
      </c>
      <c r="O352" s="3">
        <f>IF(($A352-Ft!K$2)&lt;0,Ft!K$3*((1-Ft!K$6)/(1+Ft!K$37*($A352-Ft!K$2)^2)+Ft!K$6*EXP(Ft!K$38*($A352-Ft!K$2)^2)),Ft!K$3*((1-Ft!K$7)/(1+Ft!K$39*($A352-Ft!K$2)^2)+Ft!K$7*EXP(Ft!K$40*($A352-Ft!K$2)^2)))</f>
        <v>0</v>
      </c>
      <c r="P352"/>
      <c r="Q352"/>
    </row>
    <row r="353" spans="1:17">
      <c r="A353">
        <v>702</v>
      </c>
      <c r="B353">
        <v>17.320959156732002</v>
      </c>
      <c r="C353" s="6">
        <f t="shared" si="11"/>
        <v>17.00067654405186</v>
      </c>
      <c r="D353" s="19">
        <f t="shared" si="12"/>
        <v>0.1025809519852178</v>
      </c>
      <c r="E353" s="3">
        <f>Ft!$B$12+Ft!$B$14*(Data!A353-Vars!$B$3)</f>
        <v>0</v>
      </c>
      <c r="F353" s="3">
        <f>IF(($A353-Ft!B$2)&lt;0,Ft!B$3*((1-Ft!B$6)/(1+Ft!B$37*($A353-Ft!B$2)^2)+Ft!B$6*EXP(Ft!B$38*($A353-Ft!B$2)^2)),Ft!B$3*((1-Ft!B$7)/(1+Ft!B$39*($A353-Ft!B$2)^2)+Ft!B$7*EXP(Ft!B$40*($A353-Ft!B$2)^2)))</f>
        <v>7.8503281053070116E-237</v>
      </c>
      <c r="G353" s="3">
        <f>IF(($A353-Ft!C$2)&lt;0,Ft!C$3*((1-Ft!C$6)/(1+Ft!C$37*($A353-Ft!C$2)^2)+Ft!C$6*EXP(Ft!C$38*($A353-Ft!C$2)^2)),Ft!C$3*((1-Ft!C$7)/(1+Ft!C$39*($A353-Ft!C$2)^2)+Ft!C$7*EXP(Ft!C$40*($A353-Ft!C$2)^2)))</f>
        <v>5.865671805616082E-11</v>
      </c>
      <c r="H353" s="3">
        <f>IF(($A353-Ft!D$2)&lt;0,Ft!D$3*((1-Ft!D$6)/(1+Ft!D$37*($A353-Ft!D$2)^2)+Ft!D$6*EXP(Ft!D$38*($A353-Ft!D$2)^2)),Ft!D$3*((1-Ft!D$7)/(1+Ft!D$39*($A353-Ft!D$2)^2)+Ft!D$7*EXP(Ft!D$40*($A353-Ft!D$2)^2)))</f>
        <v>6.219050147522565</v>
      </c>
      <c r="I353" s="3">
        <f>IF(($A353-Ft!E$2)&lt;0,Ft!E$3*((1-Ft!E$6)/(1+Ft!E$37*($A353-Ft!E$2)^2)+Ft!E$6*EXP(Ft!E$38*($A353-Ft!E$2)^2)),Ft!E$3*((1-Ft!E$7)/(1+Ft!E$39*($A353-Ft!E$2)^2)+Ft!E$7*EXP(Ft!E$40*($A353-Ft!E$2)^2)))</f>
        <v>10.781626396292992</v>
      </c>
      <c r="J353" s="3">
        <f>IF(($A353-Ft!F$2)&lt;0,Ft!F$3*((1-Ft!F$6)/(1+Ft!F$37*($A353-Ft!F$2)^2)+Ft!F$6*EXP(Ft!F$38*($A353-Ft!F$2)^2)),Ft!F$3*((1-Ft!F$7)/(1+Ft!F$39*($A353-Ft!F$2)^2)+Ft!F$7*EXP(Ft!F$40*($A353-Ft!F$2)^2)))</f>
        <v>1.7764611918475055E-10</v>
      </c>
      <c r="K353" s="3">
        <f>IF(($A353-Ft!G$2)&lt;0,Ft!G$3*((1-Ft!G$6)/(1+Ft!G$37*($A353-Ft!G$2)^2)+Ft!G$6*EXP(Ft!G$38*($A353-Ft!G$2)^2)),Ft!G$3*((1-Ft!G$7)/(1+Ft!G$39*($A353-Ft!G$2)^2)+Ft!G$7*EXP(Ft!G$40*($A353-Ft!G$2)^2)))</f>
        <v>1.2976371440964466E-48</v>
      </c>
      <c r="L353" s="3">
        <f>IF(($A353-Ft!H$2)&lt;0,Ft!H$3*((1-Ft!H$6)/(1+Ft!H$37*($A353-Ft!H$2)^2)+Ft!H$6*EXP(Ft!H$38*($A353-Ft!H$2)^2)),Ft!H$3*((1-Ft!H$7)/(1+Ft!H$39*($A353-Ft!H$2)^2)+Ft!H$7*EXP(Ft!H$40*($A353-Ft!H$2)^2)))</f>
        <v>0</v>
      </c>
      <c r="M353" s="3">
        <f>IF(($A353-Ft!I$2)&lt;0,Ft!I$3*((1-Ft!I$6)/(1+Ft!I$37*($A353-Ft!I$2)^2)+Ft!I$6*EXP(Ft!I$38*($A353-Ft!I$2)^2)),Ft!I$3*((1-Ft!I$7)/(1+Ft!I$39*($A353-Ft!I$2)^2)+Ft!I$7*EXP(Ft!I$40*($A353-Ft!I$2)^2)))</f>
        <v>0</v>
      </c>
      <c r="N353" s="3">
        <f>IF(($A353-Ft!J$2)&lt;0,Ft!J$3*((1-Ft!J$6)/(1+Ft!J$37*($A353-Ft!J$2)^2)+Ft!J$6*EXP(Ft!J$38*($A353-Ft!J$2)^2)),Ft!J$3*((1-Ft!J$7)/(1+Ft!J$39*($A353-Ft!J$2)^2)+Ft!J$7*EXP(Ft!J$40*($A353-Ft!J$2)^2)))</f>
        <v>0</v>
      </c>
      <c r="O353" s="3">
        <f>IF(($A353-Ft!K$2)&lt;0,Ft!K$3*((1-Ft!K$6)/(1+Ft!K$37*($A353-Ft!K$2)^2)+Ft!K$6*EXP(Ft!K$38*($A353-Ft!K$2)^2)),Ft!K$3*((1-Ft!K$7)/(1+Ft!K$39*($A353-Ft!K$2)^2)+Ft!K$7*EXP(Ft!K$40*($A353-Ft!K$2)^2)))</f>
        <v>0</v>
      </c>
      <c r="P353"/>
      <c r="Q353"/>
    </row>
    <row r="354" spans="1:17">
      <c r="A354">
        <v>704</v>
      </c>
      <c r="B354">
        <v>17.367376413933002</v>
      </c>
      <c r="C354" s="6">
        <f t="shared" si="11"/>
        <v>17.021028219168567</v>
      </c>
      <c r="D354" s="19">
        <f t="shared" si="12"/>
        <v>0.11995707201658277</v>
      </c>
      <c r="E354" s="3">
        <f>Ft!$B$12+Ft!$B$14*(Data!A354-Vars!$B$3)</f>
        <v>0</v>
      </c>
      <c r="F354" s="3">
        <f>IF(($A354-Ft!B$2)&lt;0,Ft!B$3*((1-Ft!B$6)/(1+Ft!B$37*($A354-Ft!B$2)^2)+Ft!B$6*EXP(Ft!B$38*($A354-Ft!B$2)^2)),Ft!B$3*((1-Ft!B$7)/(1+Ft!B$39*($A354-Ft!B$2)^2)+Ft!B$7*EXP(Ft!B$40*($A354-Ft!B$2)^2)))</f>
        <v>2.8262842327130356E-238</v>
      </c>
      <c r="G354" s="3">
        <f>IF(($A354-Ft!C$2)&lt;0,Ft!C$3*((1-Ft!C$6)/(1+Ft!C$37*($A354-Ft!C$2)^2)+Ft!C$6*EXP(Ft!C$38*($A354-Ft!C$2)^2)),Ft!C$3*((1-Ft!C$7)/(1+Ft!C$39*($A354-Ft!C$2)^2)+Ft!C$7*EXP(Ft!C$40*($A354-Ft!C$2)^2)))</f>
        <v>4.8833965634308359E-11</v>
      </c>
      <c r="H354" s="3">
        <f>IF(($A354-Ft!D$2)&lt;0,Ft!D$3*((1-Ft!D$6)/(1+Ft!D$37*($A354-Ft!D$2)^2)+Ft!D$6*EXP(Ft!D$38*($A354-Ft!D$2)^2)),Ft!D$3*((1-Ft!D$7)/(1+Ft!D$39*($A354-Ft!D$2)^2)+Ft!D$7*EXP(Ft!D$40*($A354-Ft!D$2)^2)))</f>
        <v>6.1089382379899622</v>
      </c>
      <c r="I354" s="3">
        <f>IF(($A354-Ft!E$2)&lt;0,Ft!E$3*((1-Ft!E$6)/(1+Ft!E$37*($A354-Ft!E$2)^2)+Ft!E$6*EXP(Ft!E$38*($A354-Ft!E$2)^2)),Ft!E$3*((1-Ft!E$7)/(1+Ft!E$39*($A354-Ft!E$2)^2)+Ft!E$7*EXP(Ft!E$40*($A354-Ft!E$2)^2)))</f>
        <v>10.912089980885002</v>
      </c>
      <c r="J354" s="3">
        <f>IF(($A354-Ft!F$2)&lt;0,Ft!F$3*((1-Ft!F$6)/(1+Ft!F$37*($A354-Ft!F$2)^2)+Ft!F$6*EXP(Ft!F$38*($A354-Ft!F$2)^2)),Ft!F$3*((1-Ft!F$7)/(1+Ft!F$39*($A354-Ft!F$2)^2)+Ft!F$7*EXP(Ft!F$40*($A354-Ft!F$2)^2)))</f>
        <v>2.4476961410147285E-10</v>
      </c>
      <c r="K354" s="3">
        <f>IF(($A354-Ft!G$2)&lt;0,Ft!G$3*((1-Ft!G$6)/(1+Ft!G$37*($A354-Ft!G$2)^2)+Ft!G$6*EXP(Ft!G$38*($A354-Ft!G$2)^2)),Ft!G$3*((1-Ft!G$7)/(1+Ft!G$39*($A354-Ft!G$2)^2)+Ft!G$7*EXP(Ft!G$40*($A354-Ft!G$2)^2)))</f>
        <v>4.7707497467099943E-48</v>
      </c>
      <c r="L354" s="3">
        <f>IF(($A354-Ft!H$2)&lt;0,Ft!H$3*((1-Ft!H$6)/(1+Ft!H$37*($A354-Ft!H$2)^2)+Ft!H$6*EXP(Ft!H$38*($A354-Ft!H$2)^2)),Ft!H$3*((1-Ft!H$7)/(1+Ft!H$39*($A354-Ft!H$2)^2)+Ft!H$7*EXP(Ft!H$40*($A354-Ft!H$2)^2)))</f>
        <v>0</v>
      </c>
      <c r="M354" s="3">
        <f>IF(($A354-Ft!I$2)&lt;0,Ft!I$3*((1-Ft!I$6)/(1+Ft!I$37*($A354-Ft!I$2)^2)+Ft!I$6*EXP(Ft!I$38*($A354-Ft!I$2)^2)),Ft!I$3*((1-Ft!I$7)/(1+Ft!I$39*($A354-Ft!I$2)^2)+Ft!I$7*EXP(Ft!I$40*($A354-Ft!I$2)^2)))</f>
        <v>0</v>
      </c>
      <c r="N354" s="3">
        <f>IF(($A354-Ft!J$2)&lt;0,Ft!J$3*((1-Ft!J$6)/(1+Ft!J$37*($A354-Ft!J$2)^2)+Ft!J$6*EXP(Ft!J$38*($A354-Ft!J$2)^2)),Ft!J$3*((1-Ft!J$7)/(1+Ft!J$39*($A354-Ft!J$2)^2)+Ft!J$7*EXP(Ft!J$40*($A354-Ft!J$2)^2)))</f>
        <v>0</v>
      </c>
      <c r="O354" s="3">
        <f>IF(($A354-Ft!K$2)&lt;0,Ft!K$3*((1-Ft!K$6)/(1+Ft!K$37*($A354-Ft!K$2)^2)+Ft!K$6*EXP(Ft!K$38*($A354-Ft!K$2)^2)),Ft!K$3*((1-Ft!K$7)/(1+Ft!K$39*($A354-Ft!K$2)^2)+Ft!K$7*EXP(Ft!K$40*($A354-Ft!K$2)^2)))</f>
        <v>0</v>
      </c>
      <c r="P354"/>
      <c r="Q354"/>
    </row>
    <row r="355" spans="1:17">
      <c r="A355">
        <v>706</v>
      </c>
      <c r="B355">
        <v>17.408612815013001</v>
      </c>
      <c r="C355" s="6">
        <f t="shared" si="11"/>
        <v>17.041821945417801</v>
      </c>
      <c r="D355" s="19">
        <f t="shared" si="12"/>
        <v>0.13453554201840254</v>
      </c>
      <c r="E355" s="3">
        <f>Ft!$B$12+Ft!$B$14*(Data!A355-Vars!$B$3)</f>
        <v>0</v>
      </c>
      <c r="F355" s="3">
        <f>IF(($A355-Ft!B$2)&lt;0,Ft!B$3*((1-Ft!B$6)/(1+Ft!B$37*($A355-Ft!B$2)^2)+Ft!B$6*EXP(Ft!B$38*($A355-Ft!B$2)^2)),Ft!B$3*((1-Ft!B$7)/(1+Ft!B$39*($A355-Ft!B$2)^2)+Ft!B$7*EXP(Ft!B$40*($A355-Ft!B$2)^2)))</f>
        <v>1.0072863384439704E-239</v>
      </c>
      <c r="G355" s="3">
        <f>IF(($A355-Ft!C$2)&lt;0,Ft!C$3*((1-Ft!C$6)/(1+Ft!C$37*($A355-Ft!C$2)^2)+Ft!C$6*EXP(Ft!C$38*($A355-Ft!C$2)^2)),Ft!C$3*((1-Ft!C$7)/(1+Ft!C$39*($A355-Ft!C$2)^2)+Ft!C$7*EXP(Ft!C$40*($A355-Ft!C$2)^2)))</f>
        <v>4.0629750827071597E-11</v>
      </c>
      <c r="H355" s="3">
        <f>IF(($A355-Ft!D$2)&lt;0,Ft!D$3*((1-Ft!D$6)/(1+Ft!D$37*($A355-Ft!D$2)^2)+Ft!D$6*EXP(Ft!D$38*($A355-Ft!D$2)^2)),Ft!D$3*((1-Ft!D$7)/(1+Ft!D$39*($A355-Ft!D$2)^2)+Ft!D$7*EXP(Ft!D$40*($A355-Ft!D$2)^2)))</f>
        <v>5.9999133001160052</v>
      </c>
      <c r="I355" s="3">
        <f>IF(($A355-Ft!E$2)&lt;0,Ft!E$3*((1-Ft!E$6)/(1+Ft!E$37*($A355-Ft!E$2)^2)+Ft!E$6*EXP(Ft!E$38*($A355-Ft!E$2)^2)),Ft!E$3*((1-Ft!E$7)/(1+Ft!E$39*($A355-Ft!E$2)^2)+Ft!E$7*EXP(Ft!E$40*($A355-Ft!E$2)^2)))</f>
        <v>11.041908644924636</v>
      </c>
      <c r="J355" s="3">
        <f>IF(($A355-Ft!F$2)&lt;0,Ft!F$3*((1-Ft!F$6)/(1+Ft!F$37*($A355-Ft!F$2)^2)+Ft!F$6*EXP(Ft!F$38*($A355-Ft!F$2)^2)),Ft!F$3*((1-Ft!F$7)/(1+Ft!F$39*($A355-Ft!F$2)^2)+Ft!F$7*EXP(Ft!F$40*($A355-Ft!F$2)^2)))</f>
        <v>3.3653059705876263E-10</v>
      </c>
      <c r="K355" s="3">
        <f>IF(($A355-Ft!G$2)&lt;0,Ft!G$3*((1-Ft!G$6)/(1+Ft!G$37*($A355-Ft!G$2)^2)+Ft!G$6*EXP(Ft!G$38*($A355-Ft!G$2)^2)),Ft!G$3*((1-Ft!G$7)/(1+Ft!G$39*($A355-Ft!G$2)^2)+Ft!G$7*EXP(Ft!G$40*($A355-Ft!G$2)^2)))</f>
        <v>1.7406719682332704E-47</v>
      </c>
      <c r="L355" s="3">
        <f>IF(($A355-Ft!H$2)&lt;0,Ft!H$3*((1-Ft!H$6)/(1+Ft!H$37*($A355-Ft!H$2)^2)+Ft!H$6*EXP(Ft!H$38*($A355-Ft!H$2)^2)),Ft!H$3*((1-Ft!H$7)/(1+Ft!H$39*($A355-Ft!H$2)^2)+Ft!H$7*EXP(Ft!H$40*($A355-Ft!H$2)^2)))</f>
        <v>0</v>
      </c>
      <c r="M355" s="3">
        <f>IF(($A355-Ft!I$2)&lt;0,Ft!I$3*((1-Ft!I$6)/(1+Ft!I$37*($A355-Ft!I$2)^2)+Ft!I$6*EXP(Ft!I$38*($A355-Ft!I$2)^2)),Ft!I$3*((1-Ft!I$7)/(1+Ft!I$39*($A355-Ft!I$2)^2)+Ft!I$7*EXP(Ft!I$40*($A355-Ft!I$2)^2)))</f>
        <v>0</v>
      </c>
      <c r="N355" s="3">
        <f>IF(($A355-Ft!J$2)&lt;0,Ft!J$3*((1-Ft!J$6)/(1+Ft!J$37*($A355-Ft!J$2)^2)+Ft!J$6*EXP(Ft!J$38*($A355-Ft!J$2)^2)),Ft!J$3*((1-Ft!J$7)/(1+Ft!J$39*($A355-Ft!J$2)^2)+Ft!J$7*EXP(Ft!J$40*($A355-Ft!J$2)^2)))</f>
        <v>0</v>
      </c>
      <c r="O355" s="3">
        <f>IF(($A355-Ft!K$2)&lt;0,Ft!K$3*((1-Ft!K$6)/(1+Ft!K$37*($A355-Ft!K$2)^2)+Ft!K$6*EXP(Ft!K$38*($A355-Ft!K$2)^2)),Ft!K$3*((1-Ft!K$7)/(1+Ft!K$39*($A355-Ft!K$2)^2)+Ft!K$7*EXP(Ft!K$40*($A355-Ft!K$2)^2)))</f>
        <v>0</v>
      </c>
      <c r="P355"/>
      <c r="Q355"/>
    </row>
    <row r="356" spans="1:17">
      <c r="A356">
        <v>708</v>
      </c>
      <c r="B356">
        <v>17.442758342756989</v>
      </c>
      <c r="C356" s="6">
        <f t="shared" si="11"/>
        <v>17.06300913103227</v>
      </c>
      <c r="D356" s="19">
        <f t="shared" si="12"/>
        <v>0.14420946380554478</v>
      </c>
      <c r="E356" s="3">
        <f>Ft!$B$12+Ft!$B$14*(Data!A356-Vars!$B$3)</f>
        <v>0</v>
      </c>
      <c r="F356" s="3">
        <f>IF(($A356-Ft!B$2)&lt;0,Ft!B$3*((1-Ft!B$6)/(1+Ft!B$37*($A356-Ft!B$2)^2)+Ft!B$6*EXP(Ft!B$38*($A356-Ft!B$2)^2)),Ft!B$3*((1-Ft!B$7)/(1+Ft!B$39*($A356-Ft!B$2)^2)+Ft!B$7*EXP(Ft!B$40*($A356-Ft!B$2)^2)))</f>
        <v>3.553850323446079E-241</v>
      </c>
      <c r="G356" s="3">
        <f>IF(($A356-Ft!C$2)&lt;0,Ft!C$3*((1-Ft!C$6)/(1+Ft!C$37*($A356-Ft!C$2)^2)+Ft!C$6*EXP(Ft!C$38*($A356-Ft!C$2)^2)),Ft!C$3*((1-Ft!C$7)/(1+Ft!C$39*($A356-Ft!C$2)^2)+Ft!C$7*EXP(Ft!C$40*($A356-Ft!C$2)^2)))</f>
        <v>3.3781914374361568E-11</v>
      </c>
      <c r="H356" s="3">
        <f>IF(($A356-Ft!D$2)&lt;0,Ft!D$3*((1-Ft!D$6)/(1+Ft!D$37*($A356-Ft!D$2)^2)+Ft!D$6*EXP(Ft!D$38*($A356-Ft!D$2)^2)),Ft!D$3*((1-Ft!D$7)/(1+Ft!D$39*($A356-Ft!D$2)^2)+Ft!D$7*EXP(Ft!D$40*($A356-Ft!D$2)^2)))</f>
        <v>5.8919870003601122</v>
      </c>
      <c r="I356" s="3">
        <f>IF(($A356-Ft!E$2)&lt;0,Ft!E$3*((1-Ft!E$6)/(1+Ft!E$37*($A356-Ft!E$2)^2)+Ft!E$6*EXP(Ft!E$38*($A356-Ft!E$2)^2)),Ft!E$3*((1-Ft!E$7)/(1+Ft!E$39*($A356-Ft!E$2)^2)+Ft!E$7*EXP(Ft!E$40*($A356-Ft!E$2)^2)))</f>
        <v>11.171022130176681</v>
      </c>
      <c r="J356" s="3">
        <f>IF(($A356-Ft!F$2)&lt;0,Ft!F$3*((1-Ft!F$6)/(1+Ft!F$37*($A356-Ft!F$2)^2)+Ft!F$6*EXP(Ft!F$38*($A356-Ft!F$2)^2)),Ft!F$3*((1-Ft!F$7)/(1+Ft!F$39*($A356-Ft!F$2)^2)+Ft!F$7*EXP(Ft!F$40*($A356-Ft!F$2)^2)))</f>
        <v>4.6169681972267128E-10</v>
      </c>
      <c r="K356" s="3">
        <f>IF(($A356-Ft!G$2)&lt;0,Ft!G$3*((1-Ft!G$6)/(1+Ft!G$37*($A356-Ft!G$2)^2)+Ft!G$6*EXP(Ft!G$38*($A356-Ft!G$2)^2)),Ft!G$3*((1-Ft!G$7)/(1+Ft!G$39*($A356-Ft!G$2)^2)+Ft!G$7*EXP(Ft!G$40*($A356-Ft!G$2)^2)))</f>
        <v>6.3029544303629011E-47</v>
      </c>
      <c r="L356" s="3">
        <f>IF(($A356-Ft!H$2)&lt;0,Ft!H$3*((1-Ft!H$6)/(1+Ft!H$37*($A356-Ft!H$2)^2)+Ft!H$6*EXP(Ft!H$38*($A356-Ft!H$2)^2)),Ft!H$3*((1-Ft!H$7)/(1+Ft!H$39*($A356-Ft!H$2)^2)+Ft!H$7*EXP(Ft!H$40*($A356-Ft!H$2)^2)))</f>
        <v>0</v>
      </c>
      <c r="M356" s="3">
        <f>IF(($A356-Ft!I$2)&lt;0,Ft!I$3*((1-Ft!I$6)/(1+Ft!I$37*($A356-Ft!I$2)^2)+Ft!I$6*EXP(Ft!I$38*($A356-Ft!I$2)^2)),Ft!I$3*((1-Ft!I$7)/(1+Ft!I$39*($A356-Ft!I$2)^2)+Ft!I$7*EXP(Ft!I$40*($A356-Ft!I$2)^2)))</f>
        <v>0</v>
      </c>
      <c r="N356" s="3">
        <f>IF(($A356-Ft!J$2)&lt;0,Ft!J$3*((1-Ft!J$6)/(1+Ft!J$37*($A356-Ft!J$2)^2)+Ft!J$6*EXP(Ft!J$38*($A356-Ft!J$2)^2)),Ft!J$3*((1-Ft!J$7)/(1+Ft!J$39*($A356-Ft!J$2)^2)+Ft!J$7*EXP(Ft!J$40*($A356-Ft!J$2)^2)))</f>
        <v>0</v>
      </c>
      <c r="O356" s="3">
        <f>IF(($A356-Ft!K$2)&lt;0,Ft!K$3*((1-Ft!K$6)/(1+Ft!K$37*($A356-Ft!K$2)^2)+Ft!K$6*EXP(Ft!K$38*($A356-Ft!K$2)^2)),Ft!K$3*((1-Ft!K$7)/(1+Ft!K$39*($A356-Ft!K$2)^2)+Ft!K$7*EXP(Ft!K$40*($A356-Ft!K$2)^2)))</f>
        <v>0</v>
      </c>
      <c r="P356"/>
      <c r="Q356"/>
    </row>
    <row r="357" spans="1:17">
      <c r="A357">
        <v>710</v>
      </c>
      <c r="B357">
        <v>17.471746947654992</v>
      </c>
      <c r="C357" s="6">
        <f t="shared" si="11"/>
        <v>17.084540223424305</v>
      </c>
      <c r="D357" s="19">
        <f t="shared" si="12"/>
        <v>0.14992904728945922</v>
      </c>
      <c r="E357" s="3">
        <f>Ft!$B$12+Ft!$B$14*(Data!A357-Vars!$B$3)</f>
        <v>0</v>
      </c>
      <c r="F357" s="3">
        <f>IF(($A357-Ft!B$2)&lt;0,Ft!B$3*((1-Ft!B$6)/(1+Ft!B$37*($A357-Ft!B$2)^2)+Ft!B$6*EXP(Ft!B$38*($A357-Ft!B$2)^2)),Ft!B$3*((1-Ft!B$7)/(1+Ft!B$39*($A357-Ft!B$2)^2)+Ft!B$7*EXP(Ft!B$40*($A357-Ft!B$2)^2)))</f>
        <v>1.2412361133194869E-242</v>
      </c>
      <c r="G357" s="3">
        <f>IF(($A357-Ft!C$2)&lt;0,Ft!C$3*((1-Ft!C$6)/(1+Ft!C$37*($A357-Ft!C$2)^2)+Ft!C$6*EXP(Ft!C$38*($A357-Ft!C$2)^2)),Ft!C$3*((1-Ft!C$7)/(1+Ft!C$39*($A357-Ft!C$2)^2)+Ft!C$7*EXP(Ft!C$40*($A357-Ft!C$2)^2)))</f>
        <v>2.8069991874757764E-11</v>
      </c>
      <c r="H357" s="3">
        <f>IF(($A357-Ft!D$2)&lt;0,Ft!D$3*((1-Ft!D$6)/(1+Ft!D$37*($A357-Ft!D$2)^2)+Ft!D$6*EXP(Ft!D$38*($A357-Ft!D$2)^2)),Ft!D$3*((1-Ft!D$7)/(1+Ft!D$39*($A357-Ft!D$2)^2)+Ft!D$7*EXP(Ft!D$40*($A357-Ft!D$2)^2)))</f>
        <v>5.7851703266250531</v>
      </c>
      <c r="I357" s="3">
        <f>IF(($A357-Ft!E$2)&lt;0,Ft!E$3*((1-Ft!E$6)/(1+Ft!E$37*($A357-Ft!E$2)^2)+Ft!E$6*EXP(Ft!E$38*($A357-Ft!E$2)^2)),Ft!E$3*((1-Ft!E$7)/(1+Ft!E$39*($A357-Ft!E$2)^2)+Ft!E$7*EXP(Ft!E$40*($A357-Ft!E$2)^2)))</f>
        <v>11.299369896139126</v>
      </c>
      <c r="J357" s="3">
        <f>IF(($A357-Ft!F$2)&lt;0,Ft!F$3*((1-Ft!F$6)/(1+Ft!F$37*($A357-Ft!F$2)^2)+Ft!F$6*EXP(Ft!F$38*($A357-Ft!F$2)^2)),Ft!F$3*((1-Ft!F$7)/(1+Ft!F$39*($A357-Ft!F$2)^2)+Ft!F$7*EXP(Ft!F$40*($A357-Ft!F$2)^2)))</f>
        <v>6.3205443671279679E-10</v>
      </c>
      <c r="K357" s="3">
        <f>IF(($A357-Ft!G$2)&lt;0,Ft!G$3*((1-Ft!G$6)/(1+Ft!G$37*($A357-Ft!G$2)^2)+Ft!G$6*EXP(Ft!G$38*($A357-Ft!G$2)^2)),Ft!G$3*((1-Ft!G$7)/(1+Ft!G$39*($A357-Ft!G$2)^2)+Ft!G$7*EXP(Ft!G$40*($A357-Ft!G$2)^2)))</f>
        <v>2.2650006507376366E-46</v>
      </c>
      <c r="L357" s="3">
        <f>IF(($A357-Ft!H$2)&lt;0,Ft!H$3*((1-Ft!H$6)/(1+Ft!H$37*($A357-Ft!H$2)^2)+Ft!H$6*EXP(Ft!H$38*($A357-Ft!H$2)^2)),Ft!H$3*((1-Ft!H$7)/(1+Ft!H$39*($A357-Ft!H$2)^2)+Ft!H$7*EXP(Ft!H$40*($A357-Ft!H$2)^2)))</f>
        <v>0</v>
      </c>
      <c r="M357" s="3">
        <f>IF(($A357-Ft!I$2)&lt;0,Ft!I$3*((1-Ft!I$6)/(1+Ft!I$37*($A357-Ft!I$2)^2)+Ft!I$6*EXP(Ft!I$38*($A357-Ft!I$2)^2)),Ft!I$3*((1-Ft!I$7)/(1+Ft!I$39*($A357-Ft!I$2)^2)+Ft!I$7*EXP(Ft!I$40*($A357-Ft!I$2)^2)))</f>
        <v>0</v>
      </c>
      <c r="N357" s="3">
        <f>IF(($A357-Ft!J$2)&lt;0,Ft!J$3*((1-Ft!J$6)/(1+Ft!J$37*($A357-Ft!J$2)^2)+Ft!J$6*EXP(Ft!J$38*($A357-Ft!J$2)^2)),Ft!J$3*((1-Ft!J$7)/(1+Ft!J$39*($A357-Ft!J$2)^2)+Ft!J$7*EXP(Ft!J$40*($A357-Ft!J$2)^2)))</f>
        <v>0</v>
      </c>
      <c r="O357" s="3">
        <f>IF(($A357-Ft!K$2)&lt;0,Ft!K$3*((1-Ft!K$6)/(1+Ft!K$37*($A357-Ft!K$2)^2)+Ft!K$6*EXP(Ft!K$38*($A357-Ft!K$2)^2)),Ft!K$3*((1-Ft!K$7)/(1+Ft!K$39*($A357-Ft!K$2)^2)+Ft!K$7*EXP(Ft!K$40*($A357-Ft!K$2)^2)))</f>
        <v>0</v>
      </c>
      <c r="P357"/>
      <c r="Q357"/>
    </row>
    <row r="358" spans="1:17">
      <c r="A358">
        <v>712</v>
      </c>
      <c r="B358">
        <v>17.498767431145993</v>
      </c>
      <c r="C358" s="6">
        <f t="shared" si="11"/>
        <v>17.106364760869202</v>
      </c>
      <c r="D358" s="19">
        <f t="shared" si="12"/>
        <v>0.15397985564035604</v>
      </c>
      <c r="E358" s="3">
        <f>Ft!$B$12+Ft!$B$14*(Data!A358-Vars!$B$3)</f>
        <v>0</v>
      </c>
      <c r="F358" s="3">
        <f>IF(($A358-Ft!B$2)&lt;0,Ft!B$3*((1-Ft!B$6)/(1+Ft!B$37*($A358-Ft!B$2)^2)+Ft!B$6*EXP(Ft!B$38*($A358-Ft!B$2)^2)),Ft!B$3*((1-Ft!B$7)/(1+Ft!B$39*($A358-Ft!B$2)^2)+Ft!B$7*EXP(Ft!B$40*($A358-Ft!B$2)^2)))</f>
        <v>4.2915952270330902E-244</v>
      </c>
      <c r="G358" s="3">
        <f>IF(($A358-Ft!C$2)&lt;0,Ft!C$3*((1-Ft!C$6)/(1+Ft!C$37*($A358-Ft!C$2)^2)+Ft!C$6*EXP(Ft!C$38*($A358-Ft!C$2)^2)),Ft!C$3*((1-Ft!C$7)/(1+Ft!C$39*($A358-Ft!C$2)^2)+Ft!C$7*EXP(Ft!C$40*($A358-Ft!C$2)^2)))</f>
        <v>2.3308710575984401E-11</v>
      </c>
      <c r="H358" s="3">
        <f>IF(($A358-Ft!D$2)&lt;0,Ft!D$3*((1-Ft!D$6)/(1+Ft!D$37*($A358-Ft!D$2)^2)+Ft!D$6*EXP(Ft!D$38*($A358-Ft!D$2)^2)),Ft!D$3*((1-Ft!D$7)/(1+Ft!D$39*($A358-Ft!D$2)^2)+Ft!D$7*EXP(Ft!D$40*($A358-Ft!D$2)^2)))</f>
        <v>5.6794735942013066</v>
      </c>
      <c r="I358" s="3">
        <f>IF(($A358-Ft!E$2)&lt;0,Ft!E$3*((1-Ft!E$6)/(1+Ft!E$37*($A358-Ft!E$2)^2)+Ft!E$6*EXP(Ft!E$38*($A358-Ft!E$2)^2)),Ft!E$3*((1-Ft!E$7)/(1+Ft!E$39*($A358-Ft!E$2)^2)+Ft!E$7*EXP(Ft!E$40*($A358-Ft!E$2)^2)))</f>
        <v>11.426891165781178</v>
      </c>
      <c r="J358" s="3">
        <f>IF(($A358-Ft!F$2)&lt;0,Ft!F$3*((1-Ft!F$6)/(1+Ft!F$37*($A358-Ft!F$2)^2)+Ft!F$6*EXP(Ft!F$38*($A358-Ft!F$2)^2)),Ft!F$3*((1-Ft!F$7)/(1+Ft!F$39*($A358-Ft!F$2)^2)+Ft!F$7*EXP(Ft!F$40*($A358-Ft!F$2)^2)))</f>
        <v>8.6341056698306941E-10</v>
      </c>
      <c r="K358" s="3">
        <f>IF(($A358-Ft!G$2)&lt;0,Ft!G$3*((1-Ft!G$6)/(1+Ft!G$37*($A358-Ft!G$2)^2)+Ft!G$6*EXP(Ft!G$38*($A358-Ft!G$2)^2)),Ft!G$3*((1-Ft!G$7)/(1+Ft!G$39*($A358-Ft!G$2)^2)+Ft!G$7*EXP(Ft!G$40*($A358-Ft!G$2)^2)))</f>
        <v>8.0777317571352558E-46</v>
      </c>
      <c r="L358" s="3">
        <f>IF(($A358-Ft!H$2)&lt;0,Ft!H$3*((1-Ft!H$6)/(1+Ft!H$37*($A358-Ft!H$2)^2)+Ft!H$6*EXP(Ft!H$38*($A358-Ft!H$2)^2)),Ft!H$3*((1-Ft!H$7)/(1+Ft!H$39*($A358-Ft!H$2)^2)+Ft!H$7*EXP(Ft!H$40*($A358-Ft!H$2)^2)))</f>
        <v>0</v>
      </c>
      <c r="M358" s="3">
        <f>IF(($A358-Ft!I$2)&lt;0,Ft!I$3*((1-Ft!I$6)/(1+Ft!I$37*($A358-Ft!I$2)^2)+Ft!I$6*EXP(Ft!I$38*($A358-Ft!I$2)^2)),Ft!I$3*((1-Ft!I$7)/(1+Ft!I$39*($A358-Ft!I$2)^2)+Ft!I$7*EXP(Ft!I$40*($A358-Ft!I$2)^2)))</f>
        <v>0</v>
      </c>
      <c r="N358" s="3">
        <f>IF(($A358-Ft!J$2)&lt;0,Ft!J$3*((1-Ft!J$6)/(1+Ft!J$37*($A358-Ft!J$2)^2)+Ft!J$6*EXP(Ft!J$38*($A358-Ft!J$2)^2)),Ft!J$3*((1-Ft!J$7)/(1+Ft!J$39*($A358-Ft!J$2)^2)+Ft!J$7*EXP(Ft!J$40*($A358-Ft!J$2)^2)))</f>
        <v>0</v>
      </c>
      <c r="O358" s="3">
        <f>IF(($A358-Ft!K$2)&lt;0,Ft!K$3*((1-Ft!K$6)/(1+Ft!K$37*($A358-Ft!K$2)^2)+Ft!K$6*EXP(Ft!K$38*($A358-Ft!K$2)^2)),Ft!K$3*((1-Ft!K$7)/(1+Ft!K$39*($A358-Ft!K$2)^2)+Ft!K$7*EXP(Ft!K$40*($A358-Ft!K$2)^2)))</f>
        <v>0</v>
      </c>
      <c r="P358"/>
      <c r="Q358"/>
    </row>
    <row r="359" spans="1:17">
      <c r="A359">
        <v>714</v>
      </c>
      <c r="B359">
        <v>17.523792052436988</v>
      </c>
      <c r="C359" s="6">
        <f t="shared" si="11"/>
        <v>17.128431425330326</v>
      </c>
      <c r="D359" s="19">
        <f t="shared" si="12"/>
        <v>0.15631002546617292</v>
      </c>
      <c r="E359" s="3">
        <f>Ft!$B$12+Ft!$B$14*(Data!A359-Vars!$B$3)</f>
        <v>0</v>
      </c>
      <c r="F359" s="3">
        <f>IF(($A359-Ft!B$2)&lt;0,Ft!B$3*((1-Ft!B$6)/(1+Ft!B$37*($A359-Ft!B$2)^2)+Ft!B$6*EXP(Ft!B$38*($A359-Ft!B$2)^2)),Ft!B$3*((1-Ft!B$7)/(1+Ft!B$39*($A359-Ft!B$2)^2)+Ft!B$7*EXP(Ft!B$40*($A359-Ft!B$2)^2)))</f>
        <v>1.4688998463838117E-245</v>
      </c>
      <c r="G359" s="3">
        <f>IF(($A359-Ft!C$2)&lt;0,Ft!C$3*((1-Ft!C$6)/(1+Ft!C$37*($A359-Ft!C$2)^2)+Ft!C$6*EXP(Ft!C$38*($A359-Ft!C$2)^2)),Ft!C$3*((1-Ft!C$7)/(1+Ft!C$39*($A359-Ft!C$2)^2)+Ft!C$7*EXP(Ft!C$40*($A359-Ft!C$2)^2)))</f>
        <v>1.9342479437896777E-11</v>
      </c>
      <c r="H359" s="3">
        <f>IF(($A359-Ft!D$2)&lt;0,Ft!D$3*((1-Ft!D$6)/(1+Ft!D$37*($A359-Ft!D$2)^2)+Ft!D$6*EXP(Ft!D$38*($A359-Ft!D$2)^2)),Ft!D$3*((1-Ft!D$7)/(1+Ft!D$39*($A359-Ft!D$2)^2)+Ft!D$7*EXP(Ft!D$40*($A359-Ft!D$2)^2)))</f>
        <v>5.5749064520831402</v>
      </c>
      <c r="I359" s="3">
        <f>IF(($A359-Ft!E$2)&lt;0,Ft!E$3*((1-Ft!E$6)/(1+Ft!E$37*($A359-Ft!E$2)^2)+Ft!E$6*EXP(Ft!E$38*($A359-Ft!E$2)^2)),Ft!E$3*((1-Ft!E$7)/(1+Ft!E$39*($A359-Ft!E$2)^2)+Ft!E$7*EXP(Ft!E$40*($A359-Ft!E$2)^2)))</f>
        <v>11.553524972050928</v>
      </c>
      <c r="J359" s="3">
        <f>IF(($A359-Ft!F$2)&lt;0,Ft!F$3*((1-Ft!F$6)/(1+Ft!F$37*($A359-Ft!F$2)^2)+Ft!F$6*EXP(Ft!F$38*($A359-Ft!F$2)^2)),Ft!F$3*((1-Ft!F$7)/(1+Ft!F$39*($A359-Ft!F$2)^2)+Ft!F$7*EXP(Ft!F$40*($A359-Ft!F$2)^2)))</f>
        <v>1.1769161136786599E-9</v>
      </c>
      <c r="K359" s="3">
        <f>IF(($A359-Ft!G$2)&lt;0,Ft!G$3*((1-Ft!G$6)/(1+Ft!G$37*($A359-Ft!G$2)^2)+Ft!G$6*EXP(Ft!G$38*($A359-Ft!G$2)^2)),Ft!G$3*((1-Ft!G$7)/(1+Ft!G$39*($A359-Ft!G$2)^2)+Ft!G$7*EXP(Ft!G$40*($A359-Ft!G$2)^2)))</f>
        <v>2.8589558934687598E-45</v>
      </c>
      <c r="L359" s="3">
        <f>IF(($A359-Ft!H$2)&lt;0,Ft!H$3*((1-Ft!H$6)/(1+Ft!H$37*($A359-Ft!H$2)^2)+Ft!H$6*EXP(Ft!H$38*($A359-Ft!H$2)^2)),Ft!H$3*((1-Ft!H$7)/(1+Ft!H$39*($A359-Ft!H$2)^2)+Ft!H$7*EXP(Ft!H$40*($A359-Ft!H$2)^2)))</f>
        <v>0</v>
      </c>
      <c r="M359" s="3">
        <f>IF(($A359-Ft!I$2)&lt;0,Ft!I$3*((1-Ft!I$6)/(1+Ft!I$37*($A359-Ft!I$2)^2)+Ft!I$6*EXP(Ft!I$38*($A359-Ft!I$2)^2)),Ft!I$3*((1-Ft!I$7)/(1+Ft!I$39*($A359-Ft!I$2)^2)+Ft!I$7*EXP(Ft!I$40*($A359-Ft!I$2)^2)))</f>
        <v>0</v>
      </c>
      <c r="N359" s="3">
        <f>IF(($A359-Ft!J$2)&lt;0,Ft!J$3*((1-Ft!J$6)/(1+Ft!J$37*($A359-Ft!J$2)^2)+Ft!J$6*EXP(Ft!J$38*($A359-Ft!J$2)^2)),Ft!J$3*((1-Ft!J$7)/(1+Ft!J$39*($A359-Ft!J$2)^2)+Ft!J$7*EXP(Ft!J$40*($A359-Ft!J$2)^2)))</f>
        <v>0</v>
      </c>
      <c r="O359" s="3">
        <f>IF(($A359-Ft!K$2)&lt;0,Ft!K$3*((1-Ft!K$6)/(1+Ft!K$37*($A359-Ft!K$2)^2)+Ft!K$6*EXP(Ft!K$38*($A359-Ft!K$2)^2)),Ft!K$3*((1-Ft!K$7)/(1+Ft!K$39*($A359-Ft!K$2)^2)+Ft!K$7*EXP(Ft!K$40*($A359-Ft!K$2)^2)))</f>
        <v>0</v>
      </c>
      <c r="P359"/>
      <c r="Q359"/>
    </row>
    <row r="360" spans="1:17">
      <c r="A360">
        <v>716</v>
      </c>
      <c r="B360">
        <v>17.546793070733997</v>
      </c>
      <c r="C360" s="6">
        <f t="shared" si="11"/>
        <v>17.150688096365954</v>
      </c>
      <c r="D360" s="19">
        <f t="shared" si="12"/>
        <v>0.15689915071910829</v>
      </c>
      <c r="E360" s="3">
        <f>Ft!$B$12+Ft!$B$14*(Data!A360-Vars!$B$3)</f>
        <v>0</v>
      </c>
      <c r="F360" s="3">
        <f>IF(($A360-Ft!B$2)&lt;0,Ft!B$3*((1-Ft!B$6)/(1+Ft!B$37*($A360-Ft!B$2)^2)+Ft!B$6*EXP(Ft!B$38*($A360-Ft!B$2)^2)),Ft!B$3*((1-Ft!B$7)/(1+Ft!B$39*($A360-Ft!B$2)^2)+Ft!B$7*EXP(Ft!B$40*($A360-Ft!B$2)^2)))</f>
        <v>4.9770808781602971E-247</v>
      </c>
      <c r="G360" s="3">
        <f>IF(($A360-Ft!C$2)&lt;0,Ft!C$3*((1-Ft!C$6)/(1+Ft!C$37*($A360-Ft!C$2)^2)+Ft!C$6*EXP(Ft!C$38*($A360-Ft!C$2)^2)),Ft!C$3*((1-Ft!C$7)/(1+Ft!C$39*($A360-Ft!C$2)^2)+Ft!C$7*EXP(Ft!C$40*($A360-Ft!C$2)^2)))</f>
        <v>1.6040724160098893E-11</v>
      </c>
      <c r="H360" s="3">
        <f>IF(($A360-Ft!D$2)&lt;0,Ft!D$3*((1-Ft!D$6)/(1+Ft!D$37*($A360-Ft!D$2)^2)+Ft!D$6*EXP(Ft!D$38*($A360-Ft!D$2)^2)),Ft!D$3*((1-Ft!D$7)/(1+Ft!D$39*($A360-Ft!D$2)^2)+Ft!D$7*EXP(Ft!D$40*($A360-Ft!D$2)^2)))</f>
        <v>5.4714778896442233</v>
      </c>
      <c r="I360" s="3">
        <f>IF(($A360-Ft!E$2)&lt;0,Ft!E$3*((1-Ft!E$6)/(1+Ft!E$37*($A360-Ft!E$2)^2)+Ft!E$6*EXP(Ft!E$38*($A360-Ft!E$2)^2)),Ft!E$3*((1-Ft!E$7)/(1+Ft!E$39*($A360-Ft!E$2)^2)+Ft!E$7*EXP(Ft!E$40*($A360-Ft!E$2)^2)))</f>
        <v>11.679210205104884</v>
      </c>
      <c r="J360" s="3">
        <f>IF(($A360-Ft!F$2)&lt;0,Ft!F$3*((1-Ft!F$6)/(1+Ft!F$37*($A360-Ft!F$2)^2)+Ft!F$6*EXP(Ft!F$38*($A360-Ft!F$2)^2)),Ft!F$3*((1-Ft!F$7)/(1+Ft!F$39*($A360-Ft!F$2)^2)+Ft!F$7*EXP(Ft!F$40*($A360-Ft!F$2)^2)))</f>
        <v>1.6008068448989676E-9</v>
      </c>
      <c r="K360" s="3">
        <f>IF(($A360-Ft!G$2)&lt;0,Ft!G$3*((1-Ft!G$6)/(1+Ft!G$37*($A360-Ft!G$2)^2)+Ft!G$6*EXP(Ft!G$38*($A360-Ft!G$2)^2)),Ft!G$3*((1-Ft!G$7)/(1+Ft!G$39*($A360-Ft!G$2)^2)+Ft!G$7*EXP(Ft!G$40*($A360-Ft!G$2)^2)))</f>
        <v>1.0042050837880395E-44</v>
      </c>
      <c r="L360" s="3">
        <f>IF(($A360-Ft!H$2)&lt;0,Ft!H$3*((1-Ft!H$6)/(1+Ft!H$37*($A360-Ft!H$2)^2)+Ft!H$6*EXP(Ft!H$38*($A360-Ft!H$2)^2)),Ft!H$3*((1-Ft!H$7)/(1+Ft!H$39*($A360-Ft!H$2)^2)+Ft!H$7*EXP(Ft!H$40*($A360-Ft!H$2)^2)))</f>
        <v>0</v>
      </c>
      <c r="M360" s="3">
        <f>IF(($A360-Ft!I$2)&lt;0,Ft!I$3*((1-Ft!I$6)/(1+Ft!I$37*($A360-Ft!I$2)^2)+Ft!I$6*EXP(Ft!I$38*($A360-Ft!I$2)^2)),Ft!I$3*((1-Ft!I$7)/(1+Ft!I$39*($A360-Ft!I$2)^2)+Ft!I$7*EXP(Ft!I$40*($A360-Ft!I$2)^2)))</f>
        <v>0</v>
      </c>
      <c r="N360" s="3">
        <f>IF(($A360-Ft!J$2)&lt;0,Ft!J$3*((1-Ft!J$6)/(1+Ft!J$37*($A360-Ft!J$2)^2)+Ft!J$6*EXP(Ft!J$38*($A360-Ft!J$2)^2)),Ft!J$3*((1-Ft!J$7)/(1+Ft!J$39*($A360-Ft!J$2)^2)+Ft!J$7*EXP(Ft!J$40*($A360-Ft!J$2)^2)))</f>
        <v>0</v>
      </c>
      <c r="O360" s="3">
        <f>IF(($A360-Ft!K$2)&lt;0,Ft!K$3*((1-Ft!K$6)/(1+Ft!K$37*($A360-Ft!K$2)^2)+Ft!K$6*EXP(Ft!K$38*($A360-Ft!K$2)^2)),Ft!K$3*((1-Ft!K$7)/(1+Ft!K$39*($A360-Ft!K$2)^2)+Ft!K$7*EXP(Ft!K$40*($A360-Ft!K$2)^2)))</f>
        <v>0</v>
      </c>
      <c r="P360"/>
      <c r="Q360"/>
    </row>
    <row r="361" spans="1:17">
      <c r="A361">
        <v>718</v>
      </c>
      <c r="B361">
        <v>17.567742745242001</v>
      </c>
      <c r="C361" s="6">
        <f t="shared" si="11"/>
        <v>17.17308190605678</v>
      </c>
      <c r="D361" s="19">
        <f t="shared" si="12"/>
        <v>0.15575717798638278</v>
      </c>
      <c r="E361" s="3">
        <f>Ft!$B$12+Ft!$B$14*(Data!A361-Vars!$B$3)</f>
        <v>0</v>
      </c>
      <c r="F361" s="3">
        <f>IF(($A361-Ft!B$2)&lt;0,Ft!B$3*((1-Ft!B$6)/(1+Ft!B$37*($A361-Ft!B$2)^2)+Ft!B$6*EXP(Ft!B$38*($A361-Ft!B$2)^2)),Ft!B$3*((1-Ft!B$7)/(1+Ft!B$39*($A361-Ft!B$2)^2)+Ft!B$7*EXP(Ft!B$40*($A361-Ft!B$2)^2)))</f>
        <v>1.6694226125913253E-248</v>
      </c>
      <c r="G361" s="3">
        <f>IF(($A361-Ft!C$2)&lt;0,Ft!C$3*((1-Ft!C$6)/(1+Ft!C$37*($A361-Ft!C$2)^2)+Ft!C$6*EXP(Ft!C$38*($A361-Ft!C$2)^2)),Ft!C$3*((1-Ft!C$7)/(1+Ft!C$39*($A361-Ft!C$2)^2)+Ft!C$7*EXP(Ft!C$40*($A361-Ft!C$2)^2)))</f>
        <v>1.3293940470423519E-11</v>
      </c>
      <c r="H361" s="3">
        <f>IF(($A361-Ft!D$2)&lt;0,Ft!D$3*((1-Ft!D$6)/(1+Ft!D$37*($A361-Ft!D$2)^2)+Ft!D$6*EXP(Ft!D$38*($A361-Ft!D$2)^2)),Ft!D$3*((1-Ft!D$7)/(1+Ft!D$39*($A361-Ft!D$2)^2)+Ft!D$7*EXP(Ft!D$40*($A361-Ft!D$2)^2)))</f>
        <v>5.3691962436605634</v>
      </c>
      <c r="I361" s="3">
        <f>IF(($A361-Ft!E$2)&lt;0,Ft!E$3*((1-Ft!E$6)/(1+Ft!E$37*($A361-Ft!E$2)^2)+Ft!E$6*EXP(Ft!E$38*($A361-Ft!E$2)^2)),Ft!E$3*((1-Ft!E$7)/(1+Ft!E$39*($A361-Ft!E$2)^2)+Ft!E$7*EXP(Ft!E$40*($A361-Ft!E$2)^2)))</f>
        <v>11.803885660210231</v>
      </c>
      <c r="J361" s="3">
        <f>IF(($A361-Ft!F$2)&lt;0,Ft!F$3*((1-Ft!F$6)/(1+Ft!F$37*($A361-Ft!F$2)^2)+Ft!F$6*EXP(Ft!F$38*($A361-Ft!F$2)^2)),Ft!F$3*((1-Ft!F$7)/(1+Ft!F$39*($A361-Ft!F$2)^2)+Ft!F$7*EXP(Ft!F$40*($A361-Ft!F$2)^2)))</f>
        <v>2.1726893242558816E-9</v>
      </c>
      <c r="K361" s="3">
        <f>IF(($A361-Ft!G$2)&lt;0,Ft!G$3*((1-Ft!G$6)/(1+Ft!G$37*($A361-Ft!G$2)^2)+Ft!G$6*EXP(Ft!G$38*($A361-Ft!G$2)^2)),Ft!G$3*((1-Ft!G$7)/(1+Ft!G$39*($A361-Ft!G$2)^2)+Ft!G$7*EXP(Ft!G$40*($A361-Ft!G$2)^2)))</f>
        <v>3.5005340637390636E-44</v>
      </c>
      <c r="L361" s="3">
        <f>IF(($A361-Ft!H$2)&lt;0,Ft!H$3*((1-Ft!H$6)/(1+Ft!H$37*($A361-Ft!H$2)^2)+Ft!H$6*EXP(Ft!H$38*($A361-Ft!H$2)^2)),Ft!H$3*((1-Ft!H$7)/(1+Ft!H$39*($A361-Ft!H$2)^2)+Ft!H$7*EXP(Ft!H$40*($A361-Ft!H$2)^2)))</f>
        <v>0</v>
      </c>
      <c r="M361" s="3">
        <f>IF(($A361-Ft!I$2)&lt;0,Ft!I$3*((1-Ft!I$6)/(1+Ft!I$37*($A361-Ft!I$2)^2)+Ft!I$6*EXP(Ft!I$38*($A361-Ft!I$2)^2)),Ft!I$3*((1-Ft!I$7)/(1+Ft!I$39*($A361-Ft!I$2)^2)+Ft!I$7*EXP(Ft!I$40*($A361-Ft!I$2)^2)))</f>
        <v>0</v>
      </c>
      <c r="N361" s="3">
        <f>IF(($A361-Ft!J$2)&lt;0,Ft!J$3*((1-Ft!J$6)/(1+Ft!J$37*($A361-Ft!J$2)^2)+Ft!J$6*EXP(Ft!J$38*($A361-Ft!J$2)^2)),Ft!J$3*((1-Ft!J$7)/(1+Ft!J$39*($A361-Ft!J$2)^2)+Ft!J$7*EXP(Ft!J$40*($A361-Ft!J$2)^2)))</f>
        <v>0</v>
      </c>
      <c r="O361" s="3">
        <f>IF(($A361-Ft!K$2)&lt;0,Ft!K$3*((1-Ft!K$6)/(1+Ft!K$37*($A361-Ft!K$2)^2)+Ft!K$6*EXP(Ft!K$38*($A361-Ft!K$2)^2)),Ft!K$3*((1-Ft!K$7)/(1+Ft!K$39*($A361-Ft!K$2)^2)+Ft!K$7*EXP(Ft!K$40*($A361-Ft!K$2)^2)))</f>
        <v>0</v>
      </c>
      <c r="P361"/>
      <c r="Q361"/>
    </row>
    <row r="362" spans="1:17">
      <c r="A362">
        <v>720</v>
      </c>
      <c r="B362">
        <v>17.586613335167002</v>
      </c>
      <c r="C362" s="6">
        <f t="shared" si="11"/>
        <v>17.195559294890927</v>
      </c>
      <c r="D362" s="19">
        <f t="shared" si="12"/>
        <v>0.15292326241624168</v>
      </c>
      <c r="E362" s="3">
        <f>Ft!$B$12+Ft!$B$14*(Data!A362-Vars!$B$3)</f>
        <v>0</v>
      </c>
      <c r="F362" s="3">
        <f>IF(($A362-Ft!B$2)&lt;0,Ft!B$3*((1-Ft!B$6)/(1+Ft!B$37*($A362-Ft!B$2)^2)+Ft!B$6*EXP(Ft!B$38*($A362-Ft!B$2)^2)),Ft!B$3*((1-Ft!B$7)/(1+Ft!B$39*($A362-Ft!B$2)^2)+Ft!B$7*EXP(Ft!B$40*($A362-Ft!B$2)^2)))</f>
        <v>5.5432819185585923E-250</v>
      </c>
      <c r="G362" s="3">
        <f>IF(($A362-Ft!C$2)&lt;0,Ft!C$3*((1-Ft!C$6)/(1+Ft!C$37*($A362-Ft!C$2)^2)+Ft!C$6*EXP(Ft!C$38*($A362-Ft!C$2)^2)),Ft!C$3*((1-Ft!C$7)/(1+Ft!C$39*($A362-Ft!C$2)^2)+Ft!C$7*EXP(Ft!C$40*($A362-Ft!C$2)^2)))</f>
        <v>1.1010357511780915E-11</v>
      </c>
      <c r="H362" s="3">
        <f>IF(($A362-Ft!D$2)&lt;0,Ft!D$3*((1-Ft!D$6)/(1+Ft!D$37*($A362-Ft!D$2)^2)+Ft!D$6*EXP(Ft!D$38*($A362-Ft!D$2)^2)),Ft!D$3*((1-Ft!D$7)/(1+Ft!D$39*($A362-Ft!D$2)^2)+Ft!D$7*EXP(Ft!D$40*($A362-Ft!D$2)^2)))</f>
        <v>5.2680692056683096</v>
      </c>
      <c r="I362" s="3">
        <f>IF(($A362-Ft!E$2)&lt;0,Ft!E$3*((1-Ft!E$6)/(1+Ft!E$37*($A362-Ft!E$2)^2)+Ft!E$6*EXP(Ft!E$38*($A362-Ft!E$2)^2)),Ft!E$3*((1-Ft!E$7)/(1+Ft!E$39*($A362-Ft!E$2)^2)+Ft!E$7*EXP(Ft!E$40*($A362-Ft!E$2)^2)))</f>
        <v>11.927490086269072</v>
      </c>
      <c r="J362" s="3">
        <f>IF(($A362-Ft!F$2)&lt;0,Ft!F$3*((1-Ft!F$6)/(1+Ft!F$37*($A362-Ft!F$2)^2)+Ft!F$6*EXP(Ft!F$38*($A362-Ft!F$2)^2)),Ft!F$3*((1-Ft!F$7)/(1+Ft!F$39*($A362-Ft!F$2)^2)+Ft!F$7*EXP(Ft!F$40*($A362-Ft!F$2)^2)))</f>
        <v>2.9425347633923226E-9</v>
      </c>
      <c r="K362" s="3">
        <f>IF(($A362-Ft!G$2)&lt;0,Ft!G$3*((1-Ft!G$6)/(1+Ft!G$37*($A362-Ft!G$2)^2)+Ft!G$6*EXP(Ft!G$38*($A362-Ft!G$2)^2)),Ft!G$3*((1-Ft!G$7)/(1+Ft!G$39*($A362-Ft!G$2)^2)+Ft!G$7*EXP(Ft!G$40*($A362-Ft!G$2)^2)))</f>
        <v>1.2109971826046429E-43</v>
      </c>
      <c r="L362" s="3">
        <f>IF(($A362-Ft!H$2)&lt;0,Ft!H$3*((1-Ft!H$6)/(1+Ft!H$37*($A362-Ft!H$2)^2)+Ft!H$6*EXP(Ft!H$38*($A362-Ft!H$2)^2)),Ft!H$3*((1-Ft!H$7)/(1+Ft!H$39*($A362-Ft!H$2)^2)+Ft!H$7*EXP(Ft!H$40*($A362-Ft!H$2)^2)))</f>
        <v>0</v>
      </c>
      <c r="M362" s="3">
        <f>IF(($A362-Ft!I$2)&lt;0,Ft!I$3*((1-Ft!I$6)/(1+Ft!I$37*($A362-Ft!I$2)^2)+Ft!I$6*EXP(Ft!I$38*($A362-Ft!I$2)^2)),Ft!I$3*((1-Ft!I$7)/(1+Ft!I$39*($A362-Ft!I$2)^2)+Ft!I$7*EXP(Ft!I$40*($A362-Ft!I$2)^2)))</f>
        <v>0</v>
      </c>
      <c r="N362" s="3">
        <f>IF(($A362-Ft!J$2)&lt;0,Ft!J$3*((1-Ft!J$6)/(1+Ft!J$37*($A362-Ft!J$2)^2)+Ft!J$6*EXP(Ft!J$38*($A362-Ft!J$2)^2)),Ft!J$3*((1-Ft!J$7)/(1+Ft!J$39*($A362-Ft!J$2)^2)+Ft!J$7*EXP(Ft!J$40*($A362-Ft!J$2)^2)))</f>
        <v>0</v>
      </c>
      <c r="O362" s="3">
        <f>IF(($A362-Ft!K$2)&lt;0,Ft!K$3*((1-Ft!K$6)/(1+Ft!K$37*($A362-Ft!K$2)^2)+Ft!K$6*EXP(Ft!K$38*($A362-Ft!K$2)^2)),Ft!K$3*((1-Ft!K$7)/(1+Ft!K$39*($A362-Ft!K$2)^2)+Ft!K$7*EXP(Ft!K$40*($A362-Ft!K$2)^2)))</f>
        <v>0</v>
      </c>
      <c r="P362"/>
      <c r="Q362"/>
    </row>
    <row r="363" spans="1:17">
      <c r="A363">
        <v>722</v>
      </c>
      <c r="B363">
        <v>17.603377099715999</v>
      </c>
      <c r="C363" s="6">
        <f t="shared" si="11"/>
        <v>17.218066068542157</v>
      </c>
      <c r="D363" s="19">
        <f t="shared" si="12"/>
        <v>0.14846459074424936</v>
      </c>
      <c r="E363" s="3">
        <f>Ft!$B$12+Ft!$B$14*(Data!A363-Vars!$B$3)</f>
        <v>0</v>
      </c>
      <c r="F363" s="3">
        <f>IF(($A363-Ft!B$2)&lt;0,Ft!B$3*((1-Ft!B$6)/(1+Ft!B$37*($A363-Ft!B$2)^2)+Ft!B$6*EXP(Ft!B$38*($A363-Ft!B$2)^2)),Ft!B$3*((1-Ft!B$7)/(1+Ft!B$39*($A363-Ft!B$2)^2)+Ft!B$7*EXP(Ft!B$40*($A363-Ft!B$2)^2)))</f>
        <v>1.8221189377379498E-251</v>
      </c>
      <c r="G363" s="3">
        <f>IF(($A363-Ft!C$2)&lt;0,Ft!C$3*((1-Ft!C$6)/(1+Ft!C$37*($A363-Ft!C$2)^2)+Ft!C$6*EXP(Ft!C$38*($A363-Ft!C$2)^2)),Ft!C$3*((1-Ft!C$7)/(1+Ft!C$39*($A363-Ft!C$2)^2)+Ft!C$7*EXP(Ft!C$40*($A363-Ft!C$2)^2)))</f>
        <v>9.1131190646405658E-12</v>
      </c>
      <c r="H363" s="3">
        <f>IF(($A363-Ft!D$2)&lt;0,Ft!D$3*((1-Ft!D$6)/(1+Ft!D$37*($A363-Ft!D$2)^2)+Ft!D$6*EXP(Ft!D$38*($A363-Ft!D$2)^2)),Ft!D$3*((1-Ft!D$7)/(1+Ft!D$39*($A363-Ft!D$2)^2)+Ft!D$7*EXP(Ft!D$40*($A363-Ft!D$2)^2)))</f>
        <v>5.168103829643977</v>
      </c>
      <c r="I363" s="3">
        <f>IF(($A363-Ft!E$2)&lt;0,Ft!E$3*((1-Ft!E$6)/(1+Ft!E$37*($A363-Ft!E$2)^2)+Ft!E$6*EXP(Ft!E$38*($A363-Ft!E$2)^2)),Ft!E$3*((1-Ft!E$7)/(1+Ft!E$39*($A363-Ft!E$2)^2)+Ft!E$7*EXP(Ft!E$40*($A363-Ft!E$2)^2)))</f>
        <v>12.049962234912476</v>
      </c>
      <c r="J363" s="3">
        <f>IF(($A363-Ft!F$2)&lt;0,Ft!F$3*((1-Ft!F$6)/(1+Ft!F$37*($A363-Ft!F$2)^2)+Ft!F$6*EXP(Ft!F$38*($A363-Ft!F$2)^2)),Ft!F$3*((1-Ft!F$7)/(1+Ft!F$39*($A363-Ft!F$2)^2)+Ft!F$7*EXP(Ft!F$40*($A363-Ft!F$2)^2)))</f>
        <v>3.976590296431939E-9</v>
      </c>
      <c r="K363" s="3">
        <f>IF(($A363-Ft!G$2)&lt;0,Ft!G$3*((1-Ft!G$6)/(1+Ft!G$37*($A363-Ft!G$2)^2)+Ft!G$6*EXP(Ft!G$38*($A363-Ft!G$2)^2)),Ft!G$3*((1-Ft!G$7)/(1+Ft!G$39*($A363-Ft!G$2)^2)+Ft!G$7*EXP(Ft!G$40*($A363-Ft!G$2)^2)))</f>
        <v>4.1576592176125162E-43</v>
      </c>
      <c r="L363" s="3">
        <f>IF(($A363-Ft!H$2)&lt;0,Ft!H$3*((1-Ft!H$6)/(1+Ft!H$37*($A363-Ft!H$2)^2)+Ft!H$6*EXP(Ft!H$38*($A363-Ft!H$2)^2)),Ft!H$3*((1-Ft!H$7)/(1+Ft!H$39*($A363-Ft!H$2)^2)+Ft!H$7*EXP(Ft!H$40*($A363-Ft!H$2)^2)))</f>
        <v>0</v>
      </c>
      <c r="M363" s="3">
        <f>IF(($A363-Ft!I$2)&lt;0,Ft!I$3*((1-Ft!I$6)/(1+Ft!I$37*($A363-Ft!I$2)^2)+Ft!I$6*EXP(Ft!I$38*($A363-Ft!I$2)^2)),Ft!I$3*((1-Ft!I$7)/(1+Ft!I$39*($A363-Ft!I$2)^2)+Ft!I$7*EXP(Ft!I$40*($A363-Ft!I$2)^2)))</f>
        <v>0</v>
      </c>
      <c r="N363" s="3">
        <f>IF(($A363-Ft!J$2)&lt;0,Ft!J$3*((1-Ft!J$6)/(1+Ft!J$37*($A363-Ft!J$2)^2)+Ft!J$6*EXP(Ft!J$38*($A363-Ft!J$2)^2)),Ft!J$3*((1-Ft!J$7)/(1+Ft!J$39*($A363-Ft!J$2)^2)+Ft!J$7*EXP(Ft!J$40*($A363-Ft!J$2)^2)))</f>
        <v>0</v>
      </c>
      <c r="O363" s="3">
        <f>IF(($A363-Ft!K$2)&lt;0,Ft!K$3*((1-Ft!K$6)/(1+Ft!K$37*($A363-Ft!K$2)^2)+Ft!K$6*EXP(Ft!K$38*($A363-Ft!K$2)^2)),Ft!K$3*((1-Ft!K$7)/(1+Ft!K$39*($A363-Ft!K$2)^2)+Ft!K$7*EXP(Ft!K$40*($A363-Ft!K$2)^2)))</f>
        <v>0</v>
      </c>
      <c r="P363"/>
      <c r="Q363"/>
    </row>
    <row r="364" spans="1:17">
      <c r="A364">
        <v>724</v>
      </c>
      <c r="B364">
        <v>17.618006298094002</v>
      </c>
      <c r="C364" s="6">
        <f t="shared" si="11"/>
        <v>17.240547455475255</v>
      </c>
      <c r="D364" s="19">
        <f t="shared" si="12"/>
        <v>0.14247517787108407</v>
      </c>
      <c r="E364" s="3">
        <f>Ft!$B$12+Ft!$B$14*(Data!A364-Vars!$B$3)</f>
        <v>0</v>
      </c>
      <c r="F364" s="3">
        <f>IF(($A364-Ft!B$2)&lt;0,Ft!B$3*((1-Ft!B$6)/(1+Ft!B$37*($A364-Ft!B$2)^2)+Ft!B$6*EXP(Ft!B$38*($A364-Ft!B$2)^2)),Ft!B$3*((1-Ft!B$7)/(1+Ft!B$39*($A364-Ft!B$2)^2)+Ft!B$7*EXP(Ft!B$40*($A364-Ft!B$2)^2)))</f>
        <v>5.9291926054633688E-253</v>
      </c>
      <c r="G364" s="3">
        <f>IF(($A364-Ft!C$2)&lt;0,Ft!C$3*((1-Ft!C$6)/(1+Ft!C$37*($A364-Ft!C$2)^2)+Ft!C$6*EXP(Ft!C$38*($A364-Ft!C$2)^2)),Ft!C$3*((1-Ft!C$7)/(1+Ft!C$39*($A364-Ft!C$2)^2)+Ft!C$7*EXP(Ft!C$40*($A364-Ft!C$2)^2)))</f>
        <v>7.5379039659695027E-12</v>
      </c>
      <c r="H364" s="3">
        <f>IF(($A364-Ft!D$2)&lt;0,Ft!D$3*((1-Ft!D$6)/(1+Ft!D$37*($A364-Ft!D$2)^2)+Ft!D$6*EXP(Ft!D$38*($A364-Ft!D$2)^2)),Ft!D$3*((1-Ft!D$7)/(1+Ft!D$39*($A364-Ft!D$2)^2)+Ft!D$7*EXP(Ft!D$40*($A364-Ft!D$2)^2)))</f>
        <v>5.069306539994459</v>
      </c>
      <c r="I364" s="3">
        <f>IF(($A364-Ft!E$2)&lt;0,Ft!E$3*((1-Ft!E$6)/(1+Ft!E$37*($A364-Ft!E$2)^2)+Ft!E$6*EXP(Ft!E$38*($A364-Ft!E$2)^2)),Ft!E$3*((1-Ft!E$7)/(1+Ft!E$39*($A364-Ft!E$2)^2)+Ft!E$7*EXP(Ft!E$40*($A364-Ft!E$2)^2)))</f>
        <v>12.171240910110782</v>
      </c>
      <c r="J364" s="3">
        <f>IF(($A364-Ft!F$2)&lt;0,Ft!F$3*((1-Ft!F$6)/(1+Ft!F$37*($A364-Ft!F$2)^2)+Ft!F$6*EXP(Ft!F$38*($A364-Ft!F$2)^2)),Ft!F$3*((1-Ft!F$7)/(1+Ft!F$39*($A364-Ft!F$2)^2)+Ft!F$7*EXP(Ft!F$40*($A364-Ft!F$2)^2)))</f>
        <v>5.3624760884830931E-9</v>
      </c>
      <c r="K364" s="3">
        <f>IF(($A364-Ft!G$2)&lt;0,Ft!G$3*((1-Ft!G$6)/(1+Ft!G$37*($A364-Ft!G$2)^2)+Ft!G$6*EXP(Ft!G$38*($A364-Ft!G$2)^2)),Ft!G$3*((1-Ft!G$7)/(1+Ft!G$39*($A364-Ft!G$2)^2)+Ft!G$7*EXP(Ft!G$40*($A364-Ft!G$2)^2)))</f>
        <v>1.4166141596486675E-42</v>
      </c>
      <c r="L364" s="3">
        <f>IF(($A364-Ft!H$2)&lt;0,Ft!H$3*((1-Ft!H$6)/(1+Ft!H$37*($A364-Ft!H$2)^2)+Ft!H$6*EXP(Ft!H$38*($A364-Ft!H$2)^2)),Ft!H$3*((1-Ft!H$7)/(1+Ft!H$39*($A364-Ft!H$2)^2)+Ft!H$7*EXP(Ft!H$40*($A364-Ft!H$2)^2)))</f>
        <v>0</v>
      </c>
      <c r="M364" s="3">
        <f>IF(($A364-Ft!I$2)&lt;0,Ft!I$3*((1-Ft!I$6)/(1+Ft!I$37*($A364-Ft!I$2)^2)+Ft!I$6*EXP(Ft!I$38*($A364-Ft!I$2)^2)),Ft!I$3*((1-Ft!I$7)/(1+Ft!I$39*($A364-Ft!I$2)^2)+Ft!I$7*EXP(Ft!I$40*($A364-Ft!I$2)^2)))</f>
        <v>0</v>
      </c>
      <c r="N364" s="3">
        <f>IF(($A364-Ft!J$2)&lt;0,Ft!J$3*((1-Ft!J$6)/(1+Ft!J$37*($A364-Ft!J$2)^2)+Ft!J$6*EXP(Ft!J$38*($A364-Ft!J$2)^2)),Ft!J$3*((1-Ft!J$7)/(1+Ft!J$39*($A364-Ft!J$2)^2)+Ft!J$7*EXP(Ft!J$40*($A364-Ft!J$2)^2)))</f>
        <v>0</v>
      </c>
      <c r="O364" s="3">
        <f>IF(($A364-Ft!K$2)&lt;0,Ft!K$3*((1-Ft!K$6)/(1+Ft!K$37*($A364-Ft!K$2)^2)+Ft!K$6*EXP(Ft!K$38*($A364-Ft!K$2)^2)),Ft!K$3*((1-Ft!K$7)/(1+Ft!K$39*($A364-Ft!K$2)^2)+Ft!K$7*EXP(Ft!K$40*($A364-Ft!K$2)^2)))</f>
        <v>0</v>
      </c>
      <c r="P364"/>
      <c r="Q364"/>
    </row>
    <row r="365" spans="1:17">
      <c r="A365">
        <v>726</v>
      </c>
      <c r="B365">
        <v>17.630278882859002</v>
      </c>
      <c r="C365" s="6">
        <f t="shared" si="11"/>
        <v>17.262948165311641</v>
      </c>
      <c r="D365" s="19">
        <f t="shared" si="12"/>
        <v>0.13493185605385913</v>
      </c>
      <c r="E365" s="3">
        <f>Ft!$B$12+Ft!$B$14*(Data!A365-Vars!$B$3)</f>
        <v>0</v>
      </c>
      <c r="F365" s="3">
        <f>IF(($A365-Ft!B$2)&lt;0,Ft!B$3*((1-Ft!B$6)/(1+Ft!B$37*($A365-Ft!B$2)^2)+Ft!B$6*EXP(Ft!B$38*($A365-Ft!B$2)^2)),Ft!B$3*((1-Ft!B$7)/(1+Ft!B$39*($A365-Ft!B$2)^2)+Ft!B$7*EXP(Ft!B$40*($A365-Ft!B$2)^2)))</f>
        <v>1.9099564979569737E-254</v>
      </c>
      <c r="G365" s="3">
        <f>IF(($A365-Ft!C$2)&lt;0,Ft!C$3*((1-Ft!C$6)/(1+Ft!C$37*($A365-Ft!C$2)^2)+Ft!C$6*EXP(Ft!C$38*($A365-Ft!C$2)^2)),Ft!C$3*((1-Ft!C$7)/(1+Ft!C$39*($A365-Ft!C$2)^2)+Ft!C$7*EXP(Ft!C$40*($A365-Ft!C$2)^2)))</f>
        <v>6.2309187492424031E-12</v>
      </c>
      <c r="H365" s="3">
        <f>IF(($A365-Ft!D$2)&lt;0,Ft!D$3*((1-Ft!D$6)/(1+Ft!D$37*($A365-Ft!D$2)^2)+Ft!D$6*EXP(Ft!D$38*($A365-Ft!D$2)^2)),Ft!D$3*((1-Ft!D$7)/(1+Ft!D$39*($A365-Ft!D$2)^2)+Ft!D$7*EXP(Ft!D$40*($A365-Ft!D$2)^2)))</f>
        <v>4.9716831398442043</v>
      </c>
      <c r="I365" s="3">
        <f>IF(($A365-Ft!E$2)&lt;0,Ft!E$3*((1-Ft!E$6)/(1+Ft!E$37*($A365-Ft!E$2)^2)+Ft!E$6*EXP(Ft!E$38*($A365-Ft!E$2)^2)),Ft!E$3*((1-Ft!E$7)/(1+Ft!E$39*($A365-Ft!E$2)^2)+Ft!E$7*EXP(Ft!E$40*($A365-Ft!E$2)^2)))</f>
        <v>12.291265018245397</v>
      </c>
      <c r="J365" s="3">
        <f>IF(($A365-Ft!F$2)&lt;0,Ft!F$3*((1-Ft!F$6)/(1+Ft!F$37*($A365-Ft!F$2)^2)+Ft!F$6*EXP(Ft!F$38*($A365-Ft!F$2)^2)),Ft!F$3*((1-Ft!F$7)/(1+Ft!F$39*($A365-Ft!F$2)^2)+Ft!F$7*EXP(Ft!F$40*($A365-Ft!F$2)^2)))</f>
        <v>7.215811226163363E-9</v>
      </c>
      <c r="K365" s="3">
        <f>IF(($A365-Ft!G$2)&lt;0,Ft!G$3*((1-Ft!G$6)/(1+Ft!G$37*($A365-Ft!G$2)^2)+Ft!G$6*EXP(Ft!G$38*($A365-Ft!G$2)^2)),Ft!G$3*((1-Ft!G$7)/(1+Ft!G$39*($A365-Ft!G$2)^2)+Ft!G$7*EXP(Ft!G$40*($A365-Ft!G$2)^2)))</f>
        <v>4.7901730109760581E-42</v>
      </c>
      <c r="L365" s="3">
        <f>IF(($A365-Ft!H$2)&lt;0,Ft!H$3*((1-Ft!H$6)/(1+Ft!H$37*($A365-Ft!H$2)^2)+Ft!H$6*EXP(Ft!H$38*($A365-Ft!H$2)^2)),Ft!H$3*((1-Ft!H$7)/(1+Ft!H$39*($A365-Ft!H$2)^2)+Ft!H$7*EXP(Ft!H$40*($A365-Ft!H$2)^2)))</f>
        <v>0</v>
      </c>
      <c r="M365" s="3">
        <f>IF(($A365-Ft!I$2)&lt;0,Ft!I$3*((1-Ft!I$6)/(1+Ft!I$37*($A365-Ft!I$2)^2)+Ft!I$6*EXP(Ft!I$38*($A365-Ft!I$2)^2)),Ft!I$3*((1-Ft!I$7)/(1+Ft!I$39*($A365-Ft!I$2)^2)+Ft!I$7*EXP(Ft!I$40*($A365-Ft!I$2)^2)))</f>
        <v>0</v>
      </c>
      <c r="N365" s="3">
        <f>IF(($A365-Ft!J$2)&lt;0,Ft!J$3*((1-Ft!J$6)/(1+Ft!J$37*($A365-Ft!J$2)^2)+Ft!J$6*EXP(Ft!J$38*($A365-Ft!J$2)^2)),Ft!J$3*((1-Ft!J$7)/(1+Ft!J$39*($A365-Ft!J$2)^2)+Ft!J$7*EXP(Ft!J$40*($A365-Ft!J$2)^2)))</f>
        <v>0</v>
      </c>
      <c r="O365" s="3">
        <f>IF(($A365-Ft!K$2)&lt;0,Ft!K$3*((1-Ft!K$6)/(1+Ft!K$37*($A365-Ft!K$2)^2)+Ft!K$6*EXP(Ft!K$38*($A365-Ft!K$2)^2)),Ft!K$3*((1-Ft!K$7)/(1+Ft!K$39*($A365-Ft!K$2)^2)+Ft!K$7*EXP(Ft!K$40*($A365-Ft!K$2)^2)))</f>
        <v>0</v>
      </c>
      <c r="P365"/>
      <c r="Q365"/>
    </row>
    <row r="366" spans="1:17">
      <c r="A366">
        <v>728</v>
      </c>
      <c r="B366">
        <v>17.639240419651998</v>
      </c>
      <c r="C366" s="6">
        <f t="shared" si="11"/>
        <v>17.285212447886703</v>
      </c>
      <c r="D366" s="19">
        <f t="shared" si="12"/>
        <v>0.12533580479224804</v>
      </c>
      <c r="E366" s="3">
        <f>Ft!$B$12+Ft!$B$14*(Data!A366-Vars!$B$3)</f>
        <v>0</v>
      </c>
      <c r="F366" s="3">
        <f>IF(($A366-Ft!B$2)&lt;0,Ft!B$3*((1-Ft!B$6)/(1+Ft!B$37*($A366-Ft!B$2)^2)+Ft!B$6*EXP(Ft!B$38*($A366-Ft!B$2)^2)),Ft!B$3*((1-Ft!B$7)/(1+Ft!B$39*($A366-Ft!B$2)^2)+Ft!B$7*EXP(Ft!B$40*($A366-Ft!B$2)^2)))</f>
        <v>6.0906055507181625E-256</v>
      </c>
      <c r="G366" s="3">
        <f>IF(($A366-Ft!C$2)&lt;0,Ft!C$3*((1-Ft!C$6)/(1+Ft!C$37*($A366-Ft!C$2)^2)+Ft!C$6*EXP(Ft!C$38*($A366-Ft!C$2)^2)),Ft!C$3*((1-Ft!C$7)/(1+Ft!C$39*($A366-Ft!C$2)^2)+Ft!C$7*EXP(Ft!C$40*($A366-Ft!C$2)^2)))</f>
        <v>5.1472055080503621E-12</v>
      </c>
      <c r="H366" s="3">
        <f>IF(($A366-Ft!D$2)&lt;0,Ft!D$3*((1-Ft!D$6)/(1+Ft!D$37*($A366-Ft!D$2)^2)+Ft!D$6*EXP(Ft!D$38*($A366-Ft!D$2)^2)),Ft!D$3*((1-Ft!D$7)/(1+Ft!D$39*($A366-Ft!D$2)^2)+Ft!D$7*EXP(Ft!D$40*($A366-Ft!D$2)^2)))</f>
        <v>4.8752388196068139</v>
      </c>
      <c r="I366" s="3">
        <f>IF(($A366-Ft!E$2)&lt;0,Ft!E$3*((1-Ft!E$6)/(1+Ft!E$37*($A366-Ft!E$2)^2)+Ft!E$6*EXP(Ft!E$38*($A366-Ft!E$2)^2)),Ft!E$3*((1-Ft!E$7)/(1+Ft!E$39*($A366-Ft!E$2)^2)+Ft!E$7*EXP(Ft!E$40*($A366-Ft!E$2)^2)))</f>
        <v>12.409973618585937</v>
      </c>
      <c r="J366" s="3">
        <f>IF(($A366-Ft!F$2)&lt;0,Ft!F$3*((1-Ft!F$6)/(1+Ft!F$37*($A366-Ft!F$2)^2)+Ft!F$6*EXP(Ft!F$38*($A366-Ft!F$2)^2)),Ft!F$3*((1-Ft!F$7)/(1+Ft!F$39*($A366-Ft!F$2)^2)+Ft!F$7*EXP(Ft!F$40*($A366-Ft!F$2)^2)))</f>
        <v>9.6888053644879608E-9</v>
      </c>
      <c r="K366" s="3">
        <f>IF(($A366-Ft!G$2)&lt;0,Ft!G$3*((1-Ft!G$6)/(1+Ft!G$37*($A366-Ft!G$2)^2)+Ft!G$6*EXP(Ft!G$38*($A366-Ft!G$2)^2)),Ft!G$3*((1-Ft!G$7)/(1+Ft!G$39*($A366-Ft!G$2)^2)+Ft!G$7*EXP(Ft!G$40*($A366-Ft!G$2)^2)))</f>
        <v>1.6074880486324637E-41</v>
      </c>
      <c r="L366" s="3">
        <f>IF(($A366-Ft!H$2)&lt;0,Ft!H$3*((1-Ft!H$6)/(1+Ft!H$37*($A366-Ft!H$2)^2)+Ft!H$6*EXP(Ft!H$38*($A366-Ft!H$2)^2)),Ft!H$3*((1-Ft!H$7)/(1+Ft!H$39*($A366-Ft!H$2)^2)+Ft!H$7*EXP(Ft!H$40*($A366-Ft!H$2)^2)))</f>
        <v>0</v>
      </c>
      <c r="M366" s="3">
        <f>IF(($A366-Ft!I$2)&lt;0,Ft!I$3*((1-Ft!I$6)/(1+Ft!I$37*($A366-Ft!I$2)^2)+Ft!I$6*EXP(Ft!I$38*($A366-Ft!I$2)^2)),Ft!I$3*((1-Ft!I$7)/(1+Ft!I$39*($A366-Ft!I$2)^2)+Ft!I$7*EXP(Ft!I$40*($A366-Ft!I$2)^2)))</f>
        <v>0</v>
      </c>
      <c r="N366" s="3">
        <f>IF(($A366-Ft!J$2)&lt;0,Ft!J$3*((1-Ft!J$6)/(1+Ft!J$37*($A366-Ft!J$2)^2)+Ft!J$6*EXP(Ft!J$38*($A366-Ft!J$2)^2)),Ft!J$3*((1-Ft!J$7)/(1+Ft!J$39*($A366-Ft!J$2)^2)+Ft!J$7*EXP(Ft!J$40*($A366-Ft!J$2)^2)))</f>
        <v>0</v>
      </c>
      <c r="O366" s="3">
        <f>IF(($A366-Ft!K$2)&lt;0,Ft!K$3*((1-Ft!K$6)/(1+Ft!K$37*($A366-Ft!K$2)^2)+Ft!K$6*EXP(Ft!K$38*($A366-Ft!K$2)^2)),Ft!K$3*((1-Ft!K$7)/(1+Ft!K$39*($A366-Ft!K$2)^2)+Ft!K$7*EXP(Ft!K$40*($A366-Ft!K$2)^2)))</f>
        <v>0</v>
      </c>
      <c r="P366"/>
      <c r="Q366"/>
    </row>
    <row r="367" spans="1:17">
      <c r="A367">
        <v>730</v>
      </c>
      <c r="B367">
        <v>17.645280012740002</v>
      </c>
      <c r="C367" s="6">
        <f t="shared" si="11"/>
        <v>17.307284152929526</v>
      </c>
      <c r="D367" s="19">
        <f t="shared" si="12"/>
        <v>0.11424120124902323</v>
      </c>
      <c r="E367" s="3">
        <f>Ft!$B$12+Ft!$B$14*(Data!A367-Vars!$B$3)</f>
        <v>0</v>
      </c>
      <c r="F367" s="3">
        <f>IF(($A367-Ft!B$2)&lt;0,Ft!B$3*((1-Ft!B$6)/(1+Ft!B$37*($A367-Ft!B$2)^2)+Ft!B$6*EXP(Ft!B$38*($A367-Ft!B$2)^2)),Ft!B$3*((1-Ft!B$7)/(1+Ft!B$39*($A367-Ft!B$2)^2)+Ft!B$7*EXP(Ft!B$40*($A367-Ft!B$2)^2)))</f>
        <v>1.9226779831622711E-257</v>
      </c>
      <c r="G367" s="3">
        <f>IF(($A367-Ft!C$2)&lt;0,Ft!C$3*((1-Ft!C$6)/(1+Ft!C$37*($A367-Ft!C$2)^2)+Ft!C$6*EXP(Ft!C$38*($A367-Ft!C$2)^2)),Ft!C$3*((1-Ft!C$7)/(1+Ft!C$39*($A367-Ft!C$2)^2)+Ft!C$7*EXP(Ft!C$40*($A367-Ft!C$2)^2)))</f>
        <v>4.2492165146822426E-12</v>
      </c>
      <c r="H367" s="3">
        <f>IF(($A367-Ft!D$2)&lt;0,Ft!D$3*((1-Ft!D$6)/(1+Ft!D$37*($A367-Ft!D$2)^2)+Ft!D$6*EXP(Ft!D$38*($A367-Ft!D$2)^2)),Ft!D$3*((1-Ft!D$7)/(1+Ft!D$39*($A367-Ft!D$2)^2)+Ft!D$7*EXP(Ft!D$40*($A367-Ft!D$2)^2)))</f>
        <v>4.7799781658283136</v>
      </c>
      <c r="I367" s="3">
        <f>IF(($A367-Ft!E$2)&lt;0,Ft!E$3*((1-Ft!E$6)/(1+Ft!E$37*($A367-Ft!E$2)^2)+Ft!E$6*EXP(Ft!E$38*($A367-Ft!E$2)^2)),Ft!E$3*((1-Ft!E$7)/(1+Ft!E$39*($A367-Ft!E$2)^2)+Ft!E$7*EXP(Ft!E$40*($A367-Ft!E$2)^2)))</f>
        <v>12.527305974115592</v>
      </c>
      <c r="J367" s="3">
        <f>IF(($A367-Ft!F$2)&lt;0,Ft!F$3*((1-Ft!F$6)/(1+Ft!F$37*($A367-Ft!F$2)^2)+Ft!F$6*EXP(Ft!F$38*($A367-Ft!F$2)^2)),Ft!F$3*((1-Ft!F$7)/(1+Ft!F$39*($A367-Ft!F$2)^2)+Ft!F$7*EXP(Ft!F$40*($A367-Ft!F$2)^2)))</f>
        <v>1.2981371367429207E-8</v>
      </c>
      <c r="K367" s="3">
        <f>IF(($A367-Ft!G$2)&lt;0,Ft!G$3*((1-Ft!G$6)/(1+Ft!G$37*($A367-Ft!G$2)^2)+Ft!G$6*EXP(Ft!G$38*($A367-Ft!G$2)^2)),Ft!G$3*((1-Ft!G$7)/(1+Ft!G$39*($A367-Ft!G$2)^2)+Ft!G$7*EXP(Ft!G$40*($A367-Ft!G$2)^2)))</f>
        <v>5.3535422944352149E-41</v>
      </c>
      <c r="L367" s="3">
        <f>IF(($A367-Ft!H$2)&lt;0,Ft!H$3*((1-Ft!H$6)/(1+Ft!H$37*($A367-Ft!H$2)^2)+Ft!H$6*EXP(Ft!H$38*($A367-Ft!H$2)^2)),Ft!H$3*((1-Ft!H$7)/(1+Ft!H$39*($A367-Ft!H$2)^2)+Ft!H$7*EXP(Ft!H$40*($A367-Ft!H$2)^2)))</f>
        <v>0</v>
      </c>
      <c r="M367" s="3">
        <f>IF(($A367-Ft!I$2)&lt;0,Ft!I$3*((1-Ft!I$6)/(1+Ft!I$37*($A367-Ft!I$2)^2)+Ft!I$6*EXP(Ft!I$38*($A367-Ft!I$2)^2)),Ft!I$3*((1-Ft!I$7)/(1+Ft!I$39*($A367-Ft!I$2)^2)+Ft!I$7*EXP(Ft!I$40*($A367-Ft!I$2)^2)))</f>
        <v>0</v>
      </c>
      <c r="N367" s="3">
        <f>IF(($A367-Ft!J$2)&lt;0,Ft!J$3*((1-Ft!J$6)/(1+Ft!J$37*($A367-Ft!J$2)^2)+Ft!J$6*EXP(Ft!J$38*($A367-Ft!J$2)^2)),Ft!J$3*((1-Ft!J$7)/(1+Ft!J$39*($A367-Ft!J$2)^2)+Ft!J$7*EXP(Ft!J$40*($A367-Ft!J$2)^2)))</f>
        <v>0</v>
      </c>
      <c r="O367" s="3">
        <f>IF(($A367-Ft!K$2)&lt;0,Ft!K$3*((1-Ft!K$6)/(1+Ft!K$37*($A367-Ft!K$2)^2)+Ft!K$6*EXP(Ft!K$38*($A367-Ft!K$2)^2)),Ft!K$3*((1-Ft!K$7)/(1+Ft!K$39*($A367-Ft!K$2)^2)+Ft!K$7*EXP(Ft!K$40*($A367-Ft!K$2)^2)))</f>
        <v>0</v>
      </c>
      <c r="P367"/>
      <c r="Q367"/>
    </row>
    <row r="368" spans="1:17">
      <c r="A368">
        <v>732</v>
      </c>
      <c r="B368">
        <v>17.649007644851991</v>
      </c>
      <c r="C368" s="6">
        <f t="shared" si="11"/>
        <v>17.32910679029472</v>
      </c>
      <c r="D368" s="19">
        <f t="shared" si="12"/>
        <v>0.1023365567464727</v>
      </c>
      <c r="E368" s="3">
        <f>Ft!$B$12+Ft!$B$14*(Data!A368-Vars!$B$3)</f>
        <v>0</v>
      </c>
      <c r="F368" s="3">
        <f>IF(($A368-Ft!B$2)&lt;0,Ft!B$3*((1-Ft!B$6)/(1+Ft!B$37*($A368-Ft!B$2)^2)+Ft!B$6*EXP(Ft!B$38*($A368-Ft!B$2)^2)),Ft!B$3*((1-Ft!B$7)/(1+Ft!B$39*($A368-Ft!B$2)^2)+Ft!B$7*EXP(Ft!B$40*($A368-Ft!B$2)^2)))</f>
        <v>6.0084397872539637E-259</v>
      </c>
      <c r="G368" s="3">
        <f>IF(($A368-Ft!C$2)&lt;0,Ft!C$3*((1-Ft!C$6)/(1+Ft!C$37*($A368-Ft!C$2)^2)+Ft!C$6*EXP(Ft!C$38*($A368-Ft!C$2)^2)),Ft!C$3*((1-Ft!C$7)/(1+Ft!C$39*($A368-Ft!C$2)^2)+Ft!C$7*EXP(Ft!C$40*($A368-Ft!C$2)^2)))</f>
        <v>3.5056144094385094E-12</v>
      </c>
      <c r="H368" s="3">
        <f>IF(($A368-Ft!D$2)&lt;0,Ft!D$3*((1-Ft!D$6)/(1+Ft!D$37*($A368-Ft!D$2)^2)+Ft!D$6*EXP(Ft!D$38*($A368-Ft!D$2)^2)),Ft!D$3*((1-Ft!D$7)/(1+Ft!D$39*($A368-Ft!D$2)^2)+Ft!D$7*EXP(Ft!D$40*($A368-Ft!D$2)^2)))</f>
        <v>4.685905170289316</v>
      </c>
      <c r="I368" s="3">
        <f>IF(($A368-Ft!E$2)&lt;0,Ft!E$3*((1-Ft!E$6)/(1+Ft!E$37*($A368-Ft!E$2)^2)+Ft!E$6*EXP(Ft!E$38*($A368-Ft!E$2)^2)),Ft!E$3*((1-Ft!E$7)/(1+Ft!E$39*($A368-Ft!E$2)^2)+Ft!E$7*EXP(Ft!E$40*($A368-Ft!E$2)^2)))</f>
        <v>12.643201602646437</v>
      </c>
      <c r="J368" s="3">
        <f>IF(($A368-Ft!F$2)&lt;0,Ft!F$3*((1-Ft!F$6)/(1+Ft!F$37*($A368-Ft!F$2)^2)+Ft!F$6*EXP(Ft!F$38*($A368-Ft!F$2)^2)),Ft!F$3*((1-Ft!F$7)/(1+Ft!F$39*($A368-Ft!F$2)^2)+Ft!F$7*EXP(Ft!F$40*($A368-Ft!F$2)^2)))</f>
        <v>1.7355462483193026E-8</v>
      </c>
      <c r="K368" s="3">
        <f>IF(($A368-Ft!G$2)&lt;0,Ft!G$3*((1-Ft!G$6)/(1+Ft!G$37*($A368-Ft!G$2)^2)+Ft!G$6*EXP(Ft!G$38*($A368-Ft!G$2)^2)),Ft!G$3*((1-Ft!G$7)/(1+Ft!G$39*($A368-Ft!G$2)^2)+Ft!G$7*EXP(Ft!G$40*($A368-Ft!G$2)^2)))</f>
        <v>1.7694229486107414E-40</v>
      </c>
      <c r="L368" s="3">
        <f>IF(($A368-Ft!H$2)&lt;0,Ft!H$3*((1-Ft!H$6)/(1+Ft!H$37*($A368-Ft!H$2)^2)+Ft!H$6*EXP(Ft!H$38*($A368-Ft!H$2)^2)),Ft!H$3*((1-Ft!H$7)/(1+Ft!H$39*($A368-Ft!H$2)^2)+Ft!H$7*EXP(Ft!H$40*($A368-Ft!H$2)^2)))</f>
        <v>0</v>
      </c>
      <c r="M368" s="3">
        <f>IF(($A368-Ft!I$2)&lt;0,Ft!I$3*((1-Ft!I$6)/(1+Ft!I$37*($A368-Ft!I$2)^2)+Ft!I$6*EXP(Ft!I$38*($A368-Ft!I$2)^2)),Ft!I$3*((1-Ft!I$7)/(1+Ft!I$39*($A368-Ft!I$2)^2)+Ft!I$7*EXP(Ft!I$40*($A368-Ft!I$2)^2)))</f>
        <v>0</v>
      </c>
      <c r="N368" s="3">
        <f>IF(($A368-Ft!J$2)&lt;0,Ft!J$3*((1-Ft!J$6)/(1+Ft!J$37*($A368-Ft!J$2)^2)+Ft!J$6*EXP(Ft!J$38*($A368-Ft!J$2)^2)),Ft!J$3*((1-Ft!J$7)/(1+Ft!J$39*($A368-Ft!J$2)^2)+Ft!J$7*EXP(Ft!J$40*($A368-Ft!J$2)^2)))</f>
        <v>0</v>
      </c>
      <c r="O368" s="3">
        <f>IF(($A368-Ft!K$2)&lt;0,Ft!K$3*((1-Ft!K$6)/(1+Ft!K$37*($A368-Ft!K$2)^2)+Ft!K$6*EXP(Ft!K$38*($A368-Ft!K$2)^2)),Ft!K$3*((1-Ft!K$7)/(1+Ft!K$39*($A368-Ft!K$2)^2)+Ft!K$7*EXP(Ft!K$40*($A368-Ft!K$2)^2)))</f>
        <v>0</v>
      </c>
      <c r="P368"/>
      <c r="Q368"/>
    </row>
    <row r="369" spans="1:17">
      <c r="A369">
        <v>734</v>
      </c>
      <c r="B369">
        <v>17.651033298717991</v>
      </c>
      <c r="C369" s="6">
        <f t="shared" si="11"/>
        <v>17.350623590675095</v>
      </c>
      <c r="D369" s="19">
        <f t="shared" si="12"/>
        <v>9.0245992686417753E-2</v>
      </c>
      <c r="E369" s="3">
        <f>Ft!$B$12+Ft!$B$14*(Data!A369-Vars!$B$3)</f>
        <v>0</v>
      </c>
      <c r="F369" s="3">
        <f>IF(($A369-Ft!B$2)&lt;0,Ft!B$3*((1-Ft!B$6)/(1+Ft!B$37*($A369-Ft!B$2)^2)+Ft!B$6*EXP(Ft!B$38*($A369-Ft!B$2)^2)),Ft!B$3*((1-Ft!B$7)/(1+Ft!B$39*($A369-Ft!B$2)^2)+Ft!B$7*EXP(Ft!B$40*($A369-Ft!B$2)^2)))</f>
        <v>1.8587712835461246E-260</v>
      </c>
      <c r="G369" s="3">
        <f>IF(($A369-Ft!C$2)&lt;0,Ft!C$3*((1-Ft!C$6)/(1+Ft!C$37*($A369-Ft!C$2)^2)+Ft!C$6*EXP(Ft!C$38*($A369-Ft!C$2)^2)),Ft!C$3*((1-Ft!C$7)/(1+Ft!C$39*($A369-Ft!C$2)^2)+Ft!C$7*EXP(Ft!C$40*($A369-Ft!C$2)^2)))</f>
        <v>2.8902629929691142E-12</v>
      </c>
      <c r="H369" s="3">
        <f>IF(($A369-Ft!D$2)&lt;0,Ft!D$3*((1-Ft!D$6)/(1+Ft!D$37*($A369-Ft!D$2)^2)+Ft!D$6*EXP(Ft!D$38*($A369-Ft!D$2)^2)),Ft!D$3*((1-Ft!D$7)/(1+Ft!D$39*($A369-Ft!D$2)^2)+Ft!D$7*EXP(Ft!D$40*($A369-Ft!D$2)^2)))</f>
        <v>4.5930232393532746</v>
      </c>
      <c r="I369" s="3">
        <f>IF(($A369-Ft!E$2)&lt;0,Ft!E$3*((1-Ft!E$6)/(1+Ft!E$37*($A369-Ft!E$2)^2)+Ft!E$6*EXP(Ft!E$38*($A369-Ft!E$2)^2)),Ft!E$3*((1-Ft!E$7)/(1+Ft!E$39*($A369-Ft!E$2)^2)+Ft!E$7*EXP(Ft!E$40*($A369-Ft!E$2)^2)))</f>
        <v>12.75760032816541</v>
      </c>
      <c r="J369" s="3">
        <f>IF(($A369-Ft!F$2)&lt;0,Ft!F$3*((1-Ft!F$6)/(1+Ft!F$37*($A369-Ft!F$2)^2)+Ft!F$6*EXP(Ft!F$38*($A369-Ft!F$2)^2)),Ft!F$3*((1-Ft!F$7)/(1+Ft!F$39*($A369-Ft!F$2)^2)+Ft!F$7*EXP(Ft!F$40*($A369-Ft!F$2)^2)))</f>
        <v>2.3153523012010709E-8</v>
      </c>
      <c r="K369" s="3">
        <f>IF(($A369-Ft!G$2)&lt;0,Ft!G$3*((1-Ft!G$6)/(1+Ft!G$37*($A369-Ft!G$2)^2)+Ft!G$6*EXP(Ft!G$38*($A369-Ft!G$2)^2)),Ft!G$3*((1-Ft!G$7)/(1+Ft!G$39*($A369-Ft!G$2)^2)+Ft!G$7*EXP(Ft!G$40*($A369-Ft!G$2)^2)))</f>
        <v>5.8038877612880064E-40</v>
      </c>
      <c r="L369" s="3">
        <f>IF(($A369-Ft!H$2)&lt;0,Ft!H$3*((1-Ft!H$6)/(1+Ft!H$37*($A369-Ft!H$2)^2)+Ft!H$6*EXP(Ft!H$38*($A369-Ft!H$2)^2)),Ft!H$3*((1-Ft!H$7)/(1+Ft!H$39*($A369-Ft!H$2)^2)+Ft!H$7*EXP(Ft!H$40*($A369-Ft!H$2)^2)))</f>
        <v>0</v>
      </c>
      <c r="M369" s="3">
        <f>IF(($A369-Ft!I$2)&lt;0,Ft!I$3*((1-Ft!I$6)/(1+Ft!I$37*($A369-Ft!I$2)^2)+Ft!I$6*EXP(Ft!I$38*($A369-Ft!I$2)^2)),Ft!I$3*((1-Ft!I$7)/(1+Ft!I$39*($A369-Ft!I$2)^2)+Ft!I$7*EXP(Ft!I$40*($A369-Ft!I$2)^2)))</f>
        <v>0</v>
      </c>
      <c r="N369" s="3">
        <f>IF(($A369-Ft!J$2)&lt;0,Ft!J$3*((1-Ft!J$6)/(1+Ft!J$37*($A369-Ft!J$2)^2)+Ft!J$6*EXP(Ft!J$38*($A369-Ft!J$2)^2)),Ft!J$3*((1-Ft!J$7)/(1+Ft!J$39*($A369-Ft!J$2)^2)+Ft!J$7*EXP(Ft!J$40*($A369-Ft!J$2)^2)))</f>
        <v>0</v>
      </c>
      <c r="O369" s="3">
        <f>IF(($A369-Ft!K$2)&lt;0,Ft!K$3*((1-Ft!K$6)/(1+Ft!K$37*($A369-Ft!K$2)^2)+Ft!K$6*EXP(Ft!K$38*($A369-Ft!K$2)^2)),Ft!K$3*((1-Ft!K$7)/(1+Ft!K$39*($A369-Ft!K$2)^2)+Ft!K$7*EXP(Ft!K$40*($A369-Ft!K$2)^2)))</f>
        <v>0</v>
      </c>
      <c r="P369"/>
      <c r="Q369"/>
    </row>
    <row r="370" spans="1:17">
      <c r="A370">
        <v>736</v>
      </c>
      <c r="B370">
        <v>17.651966957066989</v>
      </c>
      <c r="C370" s="6">
        <f t="shared" si="11"/>
        <v>17.371777566723466</v>
      </c>
      <c r="D370" s="19">
        <f t="shared" si="12"/>
        <v>7.8506094461075024E-2</v>
      </c>
      <c r="E370" s="3">
        <f>Ft!$B$12+Ft!$B$14*(Data!A370-Vars!$B$3)</f>
        <v>0</v>
      </c>
      <c r="F370" s="3">
        <f>IF(($A370-Ft!B$2)&lt;0,Ft!B$3*((1-Ft!B$6)/(1+Ft!B$37*($A370-Ft!B$2)^2)+Ft!B$6*EXP(Ft!B$38*($A370-Ft!B$2)^2)),Ft!B$3*((1-Ft!B$7)/(1+Ft!B$39*($A370-Ft!B$2)^2)+Ft!B$7*EXP(Ft!B$40*($A370-Ft!B$2)^2)))</f>
        <v>5.6924506778556933E-262</v>
      </c>
      <c r="G370" s="3">
        <f>IF(($A370-Ft!C$2)&lt;0,Ft!C$3*((1-Ft!C$6)/(1+Ft!C$37*($A370-Ft!C$2)^2)+Ft!C$6*EXP(Ft!C$38*($A370-Ft!C$2)^2)),Ft!C$3*((1-Ft!C$7)/(1+Ft!C$39*($A370-Ft!C$2)^2)+Ft!C$7*EXP(Ft!C$40*($A370-Ft!C$2)^2)))</f>
        <v>2.3813789549118307E-12</v>
      </c>
      <c r="H370" s="3">
        <f>IF(($A370-Ft!D$2)&lt;0,Ft!D$3*((1-Ft!D$6)/(1+Ft!D$37*($A370-Ft!D$2)^2)+Ft!D$6*EXP(Ft!D$38*($A370-Ft!D$2)^2)),Ft!D$3*((1-Ft!D$7)/(1+Ft!D$39*($A370-Ft!D$2)^2)+Ft!D$7*EXP(Ft!D$40*($A370-Ft!D$2)^2)))</f>
        <v>4.5013352035480345</v>
      </c>
      <c r="I370" s="3">
        <f>IF(($A370-Ft!E$2)&lt;0,Ft!E$3*((1-Ft!E$6)/(1+Ft!E$37*($A370-Ft!E$2)^2)+Ft!E$6*EXP(Ft!E$38*($A370-Ft!E$2)^2)),Ft!E$3*((1-Ft!E$7)/(1+Ft!E$39*($A370-Ft!E$2)^2)+Ft!E$7*EXP(Ft!E$40*($A370-Ft!E$2)^2)))</f>
        <v>12.87044233235088</v>
      </c>
      <c r="J370" s="3">
        <f>IF(($A370-Ft!F$2)&lt;0,Ft!F$3*((1-Ft!F$6)/(1+Ft!F$37*($A370-Ft!F$2)^2)+Ft!F$6*EXP(Ft!F$38*($A370-Ft!F$2)^2)),Ft!F$3*((1-Ft!F$7)/(1+Ft!F$39*($A370-Ft!F$2)^2)+Ft!F$7*EXP(Ft!F$40*($A370-Ft!F$2)^2)))</f>
        <v>3.0822172539199388E-8</v>
      </c>
      <c r="K370" s="3">
        <f>IF(($A370-Ft!G$2)&lt;0,Ft!G$3*((1-Ft!G$6)/(1+Ft!G$37*($A370-Ft!G$2)^2)+Ft!G$6*EXP(Ft!G$38*($A370-Ft!G$2)^2)),Ft!G$3*((1-Ft!G$7)/(1+Ft!G$39*($A370-Ft!G$2)^2)+Ft!G$7*EXP(Ft!G$40*($A370-Ft!G$2)^2)))</f>
        <v>1.8893102773529072E-39</v>
      </c>
      <c r="L370" s="3">
        <f>IF(($A370-Ft!H$2)&lt;0,Ft!H$3*((1-Ft!H$6)/(1+Ft!H$37*($A370-Ft!H$2)^2)+Ft!H$6*EXP(Ft!H$38*($A370-Ft!H$2)^2)),Ft!H$3*((1-Ft!H$7)/(1+Ft!H$39*($A370-Ft!H$2)^2)+Ft!H$7*EXP(Ft!H$40*($A370-Ft!H$2)^2)))</f>
        <v>0</v>
      </c>
      <c r="M370" s="3">
        <f>IF(($A370-Ft!I$2)&lt;0,Ft!I$3*((1-Ft!I$6)/(1+Ft!I$37*($A370-Ft!I$2)^2)+Ft!I$6*EXP(Ft!I$38*($A370-Ft!I$2)^2)),Ft!I$3*((1-Ft!I$7)/(1+Ft!I$39*($A370-Ft!I$2)^2)+Ft!I$7*EXP(Ft!I$40*($A370-Ft!I$2)^2)))</f>
        <v>0</v>
      </c>
      <c r="N370" s="3">
        <f>IF(($A370-Ft!J$2)&lt;0,Ft!J$3*((1-Ft!J$6)/(1+Ft!J$37*($A370-Ft!J$2)^2)+Ft!J$6*EXP(Ft!J$38*($A370-Ft!J$2)^2)),Ft!J$3*((1-Ft!J$7)/(1+Ft!J$39*($A370-Ft!J$2)^2)+Ft!J$7*EXP(Ft!J$40*($A370-Ft!J$2)^2)))</f>
        <v>0</v>
      </c>
      <c r="O370" s="3">
        <f>IF(($A370-Ft!K$2)&lt;0,Ft!K$3*((1-Ft!K$6)/(1+Ft!K$37*($A370-Ft!K$2)^2)+Ft!K$6*EXP(Ft!K$38*($A370-Ft!K$2)^2)),Ft!K$3*((1-Ft!K$7)/(1+Ft!K$39*($A370-Ft!K$2)^2)+Ft!K$7*EXP(Ft!K$40*($A370-Ft!K$2)^2)))</f>
        <v>0</v>
      </c>
      <c r="P370"/>
      <c r="Q370"/>
    </row>
    <row r="371" spans="1:17">
      <c r="A371">
        <v>738</v>
      </c>
      <c r="B371">
        <v>17.652418602628998</v>
      </c>
      <c r="C371" s="6">
        <f t="shared" si="11"/>
        <v>17.392511574511232</v>
      </c>
      <c r="D371" s="19">
        <f t="shared" si="12"/>
        <v>6.7551663265009207E-2</v>
      </c>
      <c r="E371" s="3">
        <f>Ft!$B$12+Ft!$B$14*(Data!A371-Vars!$B$3)</f>
        <v>0</v>
      </c>
      <c r="F371" s="3">
        <f>IF(($A371-Ft!B$2)&lt;0,Ft!B$3*((1-Ft!B$6)/(1+Ft!B$37*($A371-Ft!B$2)^2)+Ft!B$6*EXP(Ft!B$38*($A371-Ft!B$2)^2)),Ft!B$3*((1-Ft!B$7)/(1+Ft!B$39*($A371-Ft!B$2)^2)+Ft!B$7*EXP(Ft!B$40*($A371-Ft!B$2)^2)))</f>
        <v>1.7257650890451685E-263</v>
      </c>
      <c r="G371" s="3">
        <f>IF(($A371-Ft!C$2)&lt;0,Ft!C$3*((1-Ft!C$6)/(1+Ft!C$37*($A371-Ft!C$2)^2)+Ft!C$6*EXP(Ft!C$38*($A371-Ft!C$2)^2)),Ft!C$3*((1-Ft!C$7)/(1+Ft!C$39*($A371-Ft!C$2)^2)+Ft!C$7*EXP(Ft!C$40*($A371-Ft!C$2)^2)))</f>
        <v>1.9608193887829529E-12</v>
      </c>
      <c r="H371" s="3">
        <f>IF(($A371-Ft!D$2)&lt;0,Ft!D$3*((1-Ft!D$6)/(1+Ft!D$37*($A371-Ft!D$2)^2)+Ft!D$6*EXP(Ft!D$38*($A371-Ft!D$2)^2)),Ft!D$3*((1-Ft!D$7)/(1+Ft!D$39*($A371-Ft!D$2)^2)+Ft!D$7*EXP(Ft!D$40*($A371-Ft!D$2)^2)))</f>
        <v>4.4108433273679113</v>
      </c>
      <c r="I371" s="3">
        <f>IF(($A371-Ft!E$2)&lt;0,Ft!E$3*((1-Ft!E$6)/(1+Ft!E$37*($A371-Ft!E$2)^2)+Ft!E$6*EXP(Ft!E$38*($A371-Ft!E$2)^2)),Ft!E$3*((1-Ft!E$7)/(1+Ft!E$39*($A371-Ft!E$2)^2)+Ft!E$7*EXP(Ft!E$40*($A371-Ft!E$2)^2)))</f>
        <v>12.98166820619883</v>
      </c>
      <c r="J371" s="3">
        <f>IF(($A371-Ft!F$2)&lt;0,Ft!F$3*((1-Ft!F$6)/(1+Ft!F$37*($A371-Ft!F$2)^2)+Ft!F$6*EXP(Ft!F$38*($A371-Ft!F$2)^2)),Ft!F$3*((1-Ft!F$7)/(1+Ft!F$39*($A371-Ft!F$2)^2)+Ft!F$7*EXP(Ft!F$40*($A371-Ft!F$2)^2)))</f>
        <v>4.0942531001590289E-8</v>
      </c>
      <c r="K371" s="3">
        <f>IF(($A371-Ft!G$2)&lt;0,Ft!G$3*((1-Ft!G$6)/(1+Ft!G$37*($A371-Ft!G$2)^2)+Ft!G$6*EXP(Ft!G$38*($A371-Ft!G$2)^2)),Ft!G$3*((1-Ft!G$7)/(1+Ft!G$39*($A371-Ft!G$2)^2)+Ft!G$7*EXP(Ft!G$40*($A371-Ft!G$2)^2)))</f>
        <v>6.1035780282400312E-39</v>
      </c>
      <c r="L371" s="3">
        <f>IF(($A371-Ft!H$2)&lt;0,Ft!H$3*((1-Ft!H$6)/(1+Ft!H$37*($A371-Ft!H$2)^2)+Ft!H$6*EXP(Ft!H$38*($A371-Ft!H$2)^2)),Ft!H$3*((1-Ft!H$7)/(1+Ft!H$39*($A371-Ft!H$2)^2)+Ft!H$7*EXP(Ft!H$40*($A371-Ft!H$2)^2)))</f>
        <v>0</v>
      </c>
      <c r="M371" s="3">
        <f>IF(($A371-Ft!I$2)&lt;0,Ft!I$3*((1-Ft!I$6)/(1+Ft!I$37*($A371-Ft!I$2)^2)+Ft!I$6*EXP(Ft!I$38*($A371-Ft!I$2)^2)),Ft!I$3*((1-Ft!I$7)/(1+Ft!I$39*($A371-Ft!I$2)^2)+Ft!I$7*EXP(Ft!I$40*($A371-Ft!I$2)^2)))</f>
        <v>0</v>
      </c>
      <c r="N371" s="3">
        <f>IF(($A371-Ft!J$2)&lt;0,Ft!J$3*((1-Ft!J$6)/(1+Ft!J$37*($A371-Ft!J$2)^2)+Ft!J$6*EXP(Ft!J$38*($A371-Ft!J$2)^2)),Ft!J$3*((1-Ft!J$7)/(1+Ft!J$39*($A371-Ft!J$2)^2)+Ft!J$7*EXP(Ft!J$40*($A371-Ft!J$2)^2)))</f>
        <v>0</v>
      </c>
      <c r="O371" s="3">
        <f>IF(($A371-Ft!K$2)&lt;0,Ft!K$3*((1-Ft!K$6)/(1+Ft!K$37*($A371-Ft!K$2)^2)+Ft!K$6*EXP(Ft!K$38*($A371-Ft!K$2)^2)),Ft!K$3*((1-Ft!K$7)/(1+Ft!K$39*($A371-Ft!K$2)^2)+Ft!K$7*EXP(Ft!K$40*($A371-Ft!K$2)^2)))</f>
        <v>0</v>
      </c>
      <c r="P371"/>
      <c r="Q371"/>
    </row>
    <row r="372" spans="1:17">
      <c r="A372">
        <v>740</v>
      </c>
      <c r="B372">
        <v>17.652998218130989</v>
      </c>
      <c r="C372" s="6">
        <f t="shared" si="11"/>
        <v>17.412768375251165</v>
      </c>
      <c r="D372" s="19">
        <f t="shared" si="12"/>
        <v>5.7710377410064906E-2</v>
      </c>
      <c r="E372" s="3">
        <f>Ft!$B$12+Ft!$B$14*(Data!A372-Vars!$B$3)</f>
        <v>0</v>
      </c>
      <c r="F372" s="3">
        <f>IF(($A372-Ft!B$2)&lt;0,Ft!B$3*((1-Ft!B$6)/(1+Ft!B$37*($A372-Ft!B$2)^2)+Ft!B$6*EXP(Ft!B$38*($A372-Ft!B$2)^2)),Ft!B$3*((1-Ft!B$7)/(1+Ft!B$39*($A372-Ft!B$2)^2)+Ft!B$7*EXP(Ft!B$40*($A372-Ft!B$2)^2)))</f>
        <v>5.1793249940407942E-265</v>
      </c>
      <c r="G372" s="3">
        <f>IF(($A372-Ft!C$2)&lt;0,Ft!C$3*((1-Ft!C$6)/(1+Ft!C$37*($A372-Ft!C$2)^2)+Ft!C$6*EXP(Ft!C$38*($A372-Ft!C$2)^2)),Ft!C$3*((1-Ft!C$7)/(1+Ft!C$39*($A372-Ft!C$2)^2)+Ft!C$7*EXP(Ft!C$40*($A372-Ft!C$2)^2)))</f>
        <v>1.6134837884239319E-12</v>
      </c>
      <c r="H372" s="3">
        <f>IF(($A372-Ft!D$2)&lt;0,Ft!D$3*((1-Ft!D$6)/(1+Ft!D$37*($A372-Ft!D$2)^2)+Ft!D$6*EXP(Ft!D$38*($A372-Ft!D$2)^2)),Ft!D$3*((1-Ft!D$7)/(1+Ft!D$39*($A372-Ft!D$2)^2)+Ft!D$7*EXP(Ft!D$40*($A372-Ft!D$2)^2)))</f>
        <v>4.3215493192835615</v>
      </c>
      <c r="I372" s="3">
        <f>IF(($A372-Ft!E$2)&lt;0,Ft!E$3*((1-Ft!E$6)/(1+Ft!E$37*($A372-Ft!E$2)^2)+Ft!E$6*EXP(Ft!E$38*($A372-Ft!E$2)^2)),Ft!E$3*((1-Ft!E$7)/(1+Ft!E$39*($A372-Ft!E$2)^2)+Ft!E$7*EXP(Ft!E$40*($A372-Ft!E$2)^2)))</f>
        <v>13.09121900169704</v>
      </c>
      <c r="J372" s="3">
        <f>IF(($A372-Ft!F$2)&lt;0,Ft!F$3*((1-Ft!F$6)/(1+Ft!F$37*($A372-Ft!F$2)^2)+Ft!F$6*EXP(Ft!F$38*($A372-Ft!F$2)^2)),Ft!F$3*((1-Ft!F$7)/(1+Ft!F$39*($A372-Ft!F$2)^2)+Ft!F$7*EXP(Ft!F$40*($A372-Ft!F$2)^2)))</f>
        <v>5.4268947637795389E-8</v>
      </c>
      <c r="K372" s="3">
        <f>IF(($A372-Ft!G$2)&lt;0,Ft!G$3*((1-Ft!G$6)/(1+Ft!G$37*($A372-Ft!G$2)^2)+Ft!G$6*EXP(Ft!G$38*($A372-Ft!G$2)^2)),Ft!G$3*((1-Ft!G$7)/(1+Ft!G$39*($A372-Ft!G$2)^2)+Ft!G$7*EXP(Ft!G$40*($A372-Ft!G$2)^2)))</f>
        <v>1.956873026903238E-38</v>
      </c>
      <c r="L372" s="3">
        <f>IF(($A372-Ft!H$2)&lt;0,Ft!H$3*((1-Ft!H$6)/(1+Ft!H$37*($A372-Ft!H$2)^2)+Ft!H$6*EXP(Ft!H$38*($A372-Ft!H$2)^2)),Ft!H$3*((1-Ft!H$7)/(1+Ft!H$39*($A372-Ft!H$2)^2)+Ft!H$7*EXP(Ft!H$40*($A372-Ft!H$2)^2)))</f>
        <v>0</v>
      </c>
      <c r="M372" s="3">
        <f>IF(($A372-Ft!I$2)&lt;0,Ft!I$3*((1-Ft!I$6)/(1+Ft!I$37*($A372-Ft!I$2)^2)+Ft!I$6*EXP(Ft!I$38*($A372-Ft!I$2)^2)),Ft!I$3*((1-Ft!I$7)/(1+Ft!I$39*($A372-Ft!I$2)^2)+Ft!I$7*EXP(Ft!I$40*($A372-Ft!I$2)^2)))</f>
        <v>0</v>
      </c>
      <c r="N372" s="3">
        <f>IF(($A372-Ft!J$2)&lt;0,Ft!J$3*((1-Ft!J$6)/(1+Ft!J$37*($A372-Ft!J$2)^2)+Ft!J$6*EXP(Ft!J$38*($A372-Ft!J$2)^2)),Ft!J$3*((1-Ft!J$7)/(1+Ft!J$39*($A372-Ft!J$2)^2)+Ft!J$7*EXP(Ft!J$40*($A372-Ft!J$2)^2)))</f>
        <v>0</v>
      </c>
      <c r="O372" s="3">
        <f>IF(($A372-Ft!K$2)&lt;0,Ft!K$3*((1-Ft!K$6)/(1+Ft!K$37*($A372-Ft!K$2)^2)+Ft!K$6*EXP(Ft!K$38*($A372-Ft!K$2)^2)),Ft!K$3*((1-Ft!K$7)/(1+Ft!K$39*($A372-Ft!K$2)^2)+Ft!K$7*EXP(Ft!K$40*($A372-Ft!K$2)^2)))</f>
        <v>0</v>
      </c>
      <c r="P372"/>
      <c r="Q372"/>
    </row>
    <row r="373" spans="1:17">
      <c r="A373">
        <v>742</v>
      </c>
      <c r="B373">
        <v>17.654315786304991</v>
      </c>
      <c r="C373" s="6">
        <f t="shared" si="11"/>
        <v>17.43249069721157</v>
      </c>
      <c r="D373" s="19">
        <f t="shared" si="12"/>
        <v>4.9206370151304371E-2</v>
      </c>
      <c r="E373" s="3">
        <f>Ft!$B$12+Ft!$B$14*(Data!A373-Vars!$B$3)</f>
        <v>0</v>
      </c>
      <c r="F373" s="3">
        <f>IF(($A373-Ft!B$2)&lt;0,Ft!B$3*((1-Ft!B$6)/(1+Ft!B$37*($A373-Ft!B$2)^2)+Ft!B$6*EXP(Ft!B$38*($A373-Ft!B$2)^2)),Ft!B$3*((1-Ft!B$7)/(1+Ft!B$39*($A373-Ft!B$2)^2)+Ft!B$7*EXP(Ft!B$40*($A373-Ft!B$2)^2)))</f>
        <v>1.5387700610469519E-266</v>
      </c>
      <c r="G373" s="3">
        <f>IF(($A373-Ft!C$2)&lt;0,Ft!C$3*((1-Ft!C$6)/(1+Ft!C$37*($A373-Ft!C$2)^2)+Ft!C$6*EXP(Ft!C$38*($A373-Ft!C$2)^2)),Ft!C$3*((1-Ft!C$7)/(1+Ft!C$39*($A373-Ft!C$2)^2)+Ft!C$7*EXP(Ft!C$40*($A373-Ft!C$2)^2)))</f>
        <v>1.3268124925172578E-12</v>
      </c>
      <c r="H373" s="3">
        <f>IF(($A373-Ft!D$2)&lt;0,Ft!D$3*((1-Ft!D$6)/(1+Ft!D$37*($A373-Ft!D$2)^2)+Ft!D$6*EXP(Ft!D$38*($A373-Ft!D$2)^2)),Ft!D$3*((1-Ft!D$7)/(1+Ft!D$39*($A373-Ft!D$2)^2)+Ft!D$7*EXP(Ft!D$40*($A373-Ft!D$2)^2)))</f>
        <v>4.2334543419469473</v>
      </c>
      <c r="I373" s="3">
        <f>IF(($A373-Ft!E$2)&lt;0,Ft!E$3*((1-Ft!E$6)/(1+Ft!E$37*($A373-Ft!E$2)^2)+Ft!E$6*EXP(Ft!E$38*($A373-Ft!E$2)^2)),Ft!E$3*((1-Ft!E$7)/(1+Ft!E$39*($A373-Ft!E$2)^2)+Ft!E$7*EXP(Ft!E$40*($A373-Ft!E$2)^2)))</f>
        <v>13.199036283484958</v>
      </c>
      <c r="J373" s="3">
        <f>IF(($A373-Ft!F$2)&lt;0,Ft!F$3*((1-Ft!F$6)/(1+Ft!F$37*($A373-Ft!F$2)^2)+Ft!F$6*EXP(Ft!F$38*($A373-Ft!F$2)^2)),Ft!F$3*((1-Ft!F$7)/(1+Ft!F$39*($A373-Ft!F$2)^2)+Ft!F$7*EXP(Ft!F$40*($A373-Ft!F$2)^2)))</f>
        <v>7.1778336248280204E-8</v>
      </c>
      <c r="K373" s="3">
        <f>IF(($A373-Ft!G$2)&lt;0,Ft!G$3*((1-Ft!G$6)/(1+Ft!G$37*($A373-Ft!G$2)^2)+Ft!G$6*EXP(Ft!G$38*($A373-Ft!G$2)^2)),Ft!G$3*((1-Ft!G$7)/(1+Ft!G$39*($A373-Ft!G$2)^2)+Ft!G$7*EXP(Ft!G$40*($A373-Ft!G$2)^2)))</f>
        <v>6.2264101485636491E-38</v>
      </c>
      <c r="L373" s="3">
        <f>IF(($A373-Ft!H$2)&lt;0,Ft!H$3*((1-Ft!H$6)/(1+Ft!H$37*($A373-Ft!H$2)^2)+Ft!H$6*EXP(Ft!H$38*($A373-Ft!H$2)^2)),Ft!H$3*((1-Ft!H$7)/(1+Ft!H$39*($A373-Ft!H$2)^2)+Ft!H$7*EXP(Ft!H$40*($A373-Ft!H$2)^2)))</f>
        <v>0</v>
      </c>
      <c r="M373" s="3">
        <f>IF(($A373-Ft!I$2)&lt;0,Ft!I$3*((1-Ft!I$6)/(1+Ft!I$37*($A373-Ft!I$2)^2)+Ft!I$6*EXP(Ft!I$38*($A373-Ft!I$2)^2)),Ft!I$3*((1-Ft!I$7)/(1+Ft!I$39*($A373-Ft!I$2)^2)+Ft!I$7*EXP(Ft!I$40*($A373-Ft!I$2)^2)))</f>
        <v>0</v>
      </c>
      <c r="N373" s="3">
        <f>IF(($A373-Ft!J$2)&lt;0,Ft!J$3*((1-Ft!J$6)/(1+Ft!J$37*($A373-Ft!J$2)^2)+Ft!J$6*EXP(Ft!J$38*($A373-Ft!J$2)^2)),Ft!J$3*((1-Ft!J$7)/(1+Ft!J$39*($A373-Ft!J$2)^2)+Ft!J$7*EXP(Ft!J$40*($A373-Ft!J$2)^2)))</f>
        <v>0</v>
      </c>
      <c r="O373" s="3">
        <f>IF(($A373-Ft!K$2)&lt;0,Ft!K$3*((1-Ft!K$6)/(1+Ft!K$37*($A373-Ft!K$2)^2)+Ft!K$6*EXP(Ft!K$38*($A373-Ft!K$2)^2)),Ft!K$3*((1-Ft!K$7)/(1+Ft!K$39*($A373-Ft!K$2)^2)+Ft!K$7*EXP(Ft!K$40*($A373-Ft!K$2)^2)))</f>
        <v>0</v>
      </c>
      <c r="P373"/>
      <c r="Q373"/>
    </row>
    <row r="374" spans="1:17">
      <c r="A374">
        <v>744</v>
      </c>
      <c r="B374">
        <v>17.654360066465998</v>
      </c>
      <c r="C374" s="6">
        <f t="shared" si="11"/>
        <v>17.45162129774922</v>
      </c>
      <c r="D374" s="19">
        <f t="shared" si="12"/>
        <v>4.1103008340794972E-2</v>
      </c>
      <c r="E374" s="3">
        <f>Ft!$B$12+Ft!$B$14*(Data!A374-Vars!$B$3)</f>
        <v>0</v>
      </c>
      <c r="F374" s="3">
        <f>IF(($A374-Ft!B$2)&lt;0,Ft!B$3*((1-Ft!B$6)/(1+Ft!B$37*($A374-Ft!B$2)^2)+Ft!B$6*EXP(Ft!B$38*($A374-Ft!B$2)^2)),Ft!B$3*((1-Ft!B$7)/(1+Ft!B$39*($A374-Ft!B$2)^2)+Ft!B$7*EXP(Ft!B$40*($A374-Ft!B$2)^2)))</f>
        <v>4.5256751107842926E-268</v>
      </c>
      <c r="G374" s="3">
        <f>IF(($A374-Ft!C$2)&lt;0,Ft!C$3*((1-Ft!C$6)/(1+Ft!C$37*($A374-Ft!C$2)^2)+Ft!C$6*EXP(Ft!C$38*($A374-Ft!C$2)^2)),Ft!C$3*((1-Ft!C$7)/(1+Ft!C$39*($A374-Ft!C$2)^2)+Ft!C$7*EXP(Ft!C$40*($A374-Ft!C$2)^2)))</f>
        <v>1.0903663242736615E-12</v>
      </c>
      <c r="H374" s="3">
        <f>IF(($A374-Ft!D$2)&lt;0,Ft!D$3*((1-Ft!D$6)/(1+Ft!D$37*($A374-Ft!D$2)^2)+Ft!D$6*EXP(Ft!D$38*($A374-Ft!D$2)^2)),Ft!D$3*((1-Ft!D$7)/(1+Ft!D$39*($A374-Ft!D$2)^2)+Ft!D$7*EXP(Ft!D$40*($A374-Ft!D$2)^2)))</f>
        <v>4.1465590225787494</v>
      </c>
      <c r="I374" s="3">
        <f>IF(($A374-Ft!E$2)&lt;0,Ft!E$3*((1-Ft!E$6)/(1+Ft!E$37*($A374-Ft!E$2)^2)+Ft!E$6*EXP(Ft!E$38*($A374-Ft!E$2)^2)),Ft!E$3*((1-Ft!E$7)/(1+Ft!E$39*($A374-Ft!E$2)^2)+Ft!E$7*EXP(Ft!E$40*($A374-Ft!E$2)^2)))</f>
        <v>13.305062180436517</v>
      </c>
      <c r="J374" s="3">
        <f>IF(($A374-Ft!F$2)&lt;0,Ft!F$3*((1-Ft!F$6)/(1+Ft!F$37*($A374-Ft!F$2)^2)+Ft!F$6*EXP(Ft!F$38*($A374-Ft!F$2)^2)),Ft!F$3*((1-Ft!F$7)/(1+Ft!F$39*($A374-Ft!F$2)^2)+Ft!F$7*EXP(Ft!F$40*($A374-Ft!F$2)^2)))</f>
        <v>9.4732860091897953E-8</v>
      </c>
      <c r="K374" s="3">
        <f>IF(($A374-Ft!G$2)&lt;0,Ft!G$3*((1-Ft!G$6)/(1+Ft!G$37*($A374-Ft!G$2)^2)+Ft!G$6*EXP(Ft!G$38*($A374-Ft!G$2)^2)),Ft!G$3*((1-Ft!G$7)/(1+Ft!G$39*($A374-Ft!G$2)^2)+Ft!G$7*EXP(Ft!G$40*($A374-Ft!G$2)^2)))</f>
        <v>1.966118708396494E-37</v>
      </c>
      <c r="L374" s="3">
        <f>IF(($A374-Ft!H$2)&lt;0,Ft!H$3*((1-Ft!H$6)/(1+Ft!H$37*($A374-Ft!H$2)^2)+Ft!H$6*EXP(Ft!H$38*($A374-Ft!H$2)^2)),Ft!H$3*((1-Ft!H$7)/(1+Ft!H$39*($A374-Ft!H$2)^2)+Ft!H$7*EXP(Ft!H$40*($A374-Ft!H$2)^2)))</f>
        <v>0</v>
      </c>
      <c r="M374" s="3">
        <f>IF(($A374-Ft!I$2)&lt;0,Ft!I$3*((1-Ft!I$6)/(1+Ft!I$37*($A374-Ft!I$2)^2)+Ft!I$6*EXP(Ft!I$38*($A374-Ft!I$2)^2)),Ft!I$3*((1-Ft!I$7)/(1+Ft!I$39*($A374-Ft!I$2)^2)+Ft!I$7*EXP(Ft!I$40*($A374-Ft!I$2)^2)))</f>
        <v>0</v>
      </c>
      <c r="N374" s="3">
        <f>IF(($A374-Ft!J$2)&lt;0,Ft!J$3*((1-Ft!J$6)/(1+Ft!J$37*($A374-Ft!J$2)^2)+Ft!J$6*EXP(Ft!J$38*($A374-Ft!J$2)^2)),Ft!J$3*((1-Ft!J$7)/(1+Ft!J$39*($A374-Ft!J$2)^2)+Ft!J$7*EXP(Ft!J$40*($A374-Ft!J$2)^2)))</f>
        <v>0</v>
      </c>
      <c r="O374" s="3">
        <f>IF(($A374-Ft!K$2)&lt;0,Ft!K$3*((1-Ft!K$6)/(1+Ft!K$37*($A374-Ft!K$2)^2)+Ft!K$6*EXP(Ft!K$38*($A374-Ft!K$2)^2)),Ft!K$3*((1-Ft!K$7)/(1+Ft!K$39*($A374-Ft!K$2)^2)+Ft!K$7*EXP(Ft!K$40*($A374-Ft!K$2)^2)))</f>
        <v>0</v>
      </c>
      <c r="P374"/>
      <c r="Q374"/>
    </row>
    <row r="375" spans="1:17">
      <c r="A375">
        <v>746</v>
      </c>
      <c r="B375">
        <v>17.65110653178499</v>
      </c>
      <c r="C375" s="6">
        <f t="shared" si="11"/>
        <v>17.470103025388596</v>
      </c>
      <c r="D375" s="19">
        <f t="shared" si="12"/>
        <v>3.2762269327789348E-2</v>
      </c>
      <c r="E375" s="3">
        <f>Ft!$B$12+Ft!$B$14*(Data!A375-Vars!$B$3)</f>
        <v>0</v>
      </c>
      <c r="F375" s="3">
        <f>IF(($A375-Ft!B$2)&lt;0,Ft!B$3*((1-Ft!B$6)/(1+Ft!B$37*($A375-Ft!B$2)^2)+Ft!B$6*EXP(Ft!B$38*($A375-Ft!B$2)^2)),Ft!B$3*((1-Ft!B$7)/(1+Ft!B$39*($A375-Ft!B$2)^2)+Ft!B$7*EXP(Ft!B$40*($A375-Ft!B$2)^2)))</f>
        <v>1.3176561707586152E-269</v>
      </c>
      <c r="G375" s="3">
        <f>IF(($A375-Ft!C$2)&lt;0,Ft!C$3*((1-Ft!C$6)/(1+Ft!C$37*($A375-Ft!C$2)^2)+Ft!C$6*EXP(Ft!C$38*($A375-Ft!C$2)^2)),Ft!C$3*((1-Ft!C$7)/(1+Ft!C$39*($A375-Ft!C$2)^2)+Ft!C$7*EXP(Ft!C$40*($A375-Ft!C$2)^2)))</f>
        <v>8.9547453507769822E-13</v>
      </c>
      <c r="H375" s="3">
        <f>IF(($A375-Ft!D$2)&lt;0,Ft!D$3*((1-Ft!D$6)/(1+Ft!D$37*($A375-Ft!D$2)^2)+Ft!D$6*EXP(Ft!D$38*($A375-Ft!D$2)^2)),Ft!D$3*((1-Ft!D$7)/(1+Ft!D$39*($A375-Ft!D$2)^2)+Ft!D$7*EXP(Ft!D$40*($A375-Ft!D$2)^2)))</f>
        <v>4.0608634635256839</v>
      </c>
      <c r="I375" s="3">
        <f>IF(($A375-Ft!E$2)&lt;0,Ft!E$3*((1-Ft!E$6)/(1+Ft!E$37*($A375-Ft!E$2)^2)+Ft!E$6*EXP(Ft!E$38*($A375-Ft!E$2)^2)),Ft!E$3*((1-Ft!E$7)/(1+Ft!E$39*($A375-Ft!E$2)^2)+Ft!E$7*EXP(Ft!E$40*($A375-Ft!E$2)^2)))</f>
        <v>13.409239437102643</v>
      </c>
      <c r="J375" s="3">
        <f>IF(($A375-Ft!F$2)&lt;0,Ft!F$3*((1-Ft!F$6)/(1+Ft!F$37*($A375-Ft!F$2)^2)+Ft!F$6*EXP(Ft!F$38*($A375-Ft!F$2)^2)),Ft!F$3*((1-Ft!F$7)/(1+Ft!F$39*($A375-Ft!F$2)^2)+Ft!F$7*EXP(Ft!F$40*($A375-Ft!F$2)^2)))</f>
        <v>1.2475937351094363E-7</v>
      </c>
      <c r="K375" s="3">
        <f>IF(($A375-Ft!G$2)&lt;0,Ft!G$3*((1-Ft!G$6)/(1+Ft!G$37*($A375-Ft!G$2)^2)+Ft!G$6*EXP(Ft!G$38*($A375-Ft!G$2)^2)),Ft!G$3*((1-Ft!G$7)/(1+Ft!G$39*($A375-Ft!G$2)^2)+Ft!G$7*EXP(Ft!G$40*($A375-Ft!G$2)^2)))</f>
        <v>6.1613897000093407E-37</v>
      </c>
      <c r="L375" s="3">
        <f>IF(($A375-Ft!H$2)&lt;0,Ft!H$3*((1-Ft!H$6)/(1+Ft!H$37*($A375-Ft!H$2)^2)+Ft!H$6*EXP(Ft!H$38*($A375-Ft!H$2)^2)),Ft!H$3*((1-Ft!H$7)/(1+Ft!H$39*($A375-Ft!H$2)^2)+Ft!H$7*EXP(Ft!H$40*($A375-Ft!H$2)^2)))</f>
        <v>0</v>
      </c>
      <c r="M375" s="3">
        <f>IF(($A375-Ft!I$2)&lt;0,Ft!I$3*((1-Ft!I$6)/(1+Ft!I$37*($A375-Ft!I$2)^2)+Ft!I$6*EXP(Ft!I$38*($A375-Ft!I$2)^2)),Ft!I$3*((1-Ft!I$7)/(1+Ft!I$39*($A375-Ft!I$2)^2)+Ft!I$7*EXP(Ft!I$40*($A375-Ft!I$2)^2)))</f>
        <v>0</v>
      </c>
      <c r="N375" s="3">
        <f>IF(($A375-Ft!J$2)&lt;0,Ft!J$3*((1-Ft!J$6)/(1+Ft!J$37*($A375-Ft!J$2)^2)+Ft!J$6*EXP(Ft!J$38*($A375-Ft!J$2)^2)),Ft!J$3*((1-Ft!J$7)/(1+Ft!J$39*($A375-Ft!J$2)^2)+Ft!J$7*EXP(Ft!J$40*($A375-Ft!J$2)^2)))</f>
        <v>0</v>
      </c>
      <c r="O375" s="3">
        <f>IF(($A375-Ft!K$2)&lt;0,Ft!K$3*((1-Ft!K$6)/(1+Ft!K$37*($A375-Ft!K$2)^2)+Ft!K$6*EXP(Ft!K$38*($A375-Ft!K$2)^2)),Ft!K$3*((1-Ft!K$7)/(1+Ft!K$39*($A375-Ft!K$2)^2)+Ft!K$7*EXP(Ft!K$40*($A375-Ft!K$2)^2)))</f>
        <v>0</v>
      </c>
      <c r="P375"/>
      <c r="Q375"/>
    </row>
    <row r="376" spans="1:17">
      <c r="A376">
        <v>748</v>
      </c>
      <c r="B376">
        <v>17.645145235770997</v>
      </c>
      <c r="C376" s="6">
        <f t="shared" si="11"/>
        <v>17.487878881875744</v>
      </c>
      <c r="D376" s="19">
        <f t="shared" si="12"/>
        <v>2.473270606750682E-2</v>
      </c>
      <c r="E376" s="3">
        <f>Ft!$B$12+Ft!$B$14*(Data!A376-Vars!$B$3)</f>
        <v>0</v>
      </c>
      <c r="F376" s="3">
        <f>IF(($A376-Ft!B$2)&lt;0,Ft!B$3*((1-Ft!B$6)/(1+Ft!B$37*($A376-Ft!B$2)^2)+Ft!B$6*EXP(Ft!B$38*($A376-Ft!B$2)^2)),Ft!B$3*((1-Ft!B$7)/(1+Ft!B$39*($A376-Ft!B$2)^2)+Ft!B$7*EXP(Ft!B$40*($A376-Ft!B$2)^2)))</f>
        <v>3.7977809156566783E-271</v>
      </c>
      <c r="G376" s="3">
        <f>IF(($A376-Ft!C$2)&lt;0,Ft!C$3*((1-Ft!C$6)/(1+Ft!C$37*($A376-Ft!C$2)^2)+Ft!C$6*EXP(Ft!C$38*($A376-Ft!C$2)^2)),Ft!C$3*((1-Ft!C$7)/(1+Ft!C$39*($A376-Ft!C$2)^2)+Ft!C$7*EXP(Ft!C$40*($A376-Ft!C$2)^2)))</f>
        <v>7.3494016518540277E-13</v>
      </c>
      <c r="H376" s="3">
        <f>IF(($A376-Ft!D$2)&lt;0,Ft!D$3*((1-Ft!D$6)/(1+Ft!D$37*($A376-Ft!D$2)^2)+Ft!D$6*EXP(Ft!D$38*($A376-Ft!D$2)^2)),Ft!D$3*((1-Ft!D$7)/(1+Ft!D$39*($A376-Ft!D$2)^2)+Ft!D$7*EXP(Ft!D$40*($A376-Ft!D$2)^2)))</f>
        <v>3.9763672529752512</v>
      </c>
      <c r="I376" s="3">
        <f>IF(($A376-Ft!E$2)&lt;0,Ft!E$3*((1-Ft!E$6)/(1+Ft!E$37*($A376-Ft!E$2)^2)+Ft!E$6*EXP(Ft!E$38*($A376-Ft!E$2)^2)),Ft!E$3*((1-Ft!E$7)/(1+Ft!E$39*($A376-Ft!E$2)^2)+Ft!E$7*EXP(Ft!E$40*($A376-Ft!E$2)^2)))</f>
        <v>13.511511464949919</v>
      </c>
      <c r="J376" s="3">
        <f>IF(($A376-Ft!F$2)&lt;0,Ft!F$3*((1-Ft!F$6)/(1+Ft!F$37*($A376-Ft!F$2)^2)+Ft!F$6*EXP(Ft!F$38*($A376-Ft!F$2)^2)),Ft!F$3*((1-Ft!F$7)/(1+Ft!F$39*($A376-Ft!F$2)^2)+Ft!F$7*EXP(Ft!F$40*($A376-Ft!F$2)^2)))</f>
        <v>1.6394983929306462E-7</v>
      </c>
      <c r="K376" s="3">
        <f>IF(($A376-Ft!G$2)&lt;0,Ft!G$3*((1-Ft!G$6)/(1+Ft!G$37*($A376-Ft!G$2)^2)+Ft!G$6*EXP(Ft!G$38*($A376-Ft!G$2)^2)),Ft!G$3*((1-Ft!G$7)/(1+Ft!G$39*($A376-Ft!G$2)^2)+Ft!G$7*EXP(Ft!G$40*($A376-Ft!G$2)^2)))</f>
        <v>1.916216400644678E-36</v>
      </c>
      <c r="L376" s="3">
        <f>IF(($A376-Ft!H$2)&lt;0,Ft!H$3*((1-Ft!H$6)/(1+Ft!H$37*($A376-Ft!H$2)^2)+Ft!H$6*EXP(Ft!H$38*($A376-Ft!H$2)^2)),Ft!H$3*((1-Ft!H$7)/(1+Ft!H$39*($A376-Ft!H$2)^2)+Ft!H$7*EXP(Ft!H$40*($A376-Ft!H$2)^2)))</f>
        <v>0</v>
      </c>
      <c r="M376" s="3">
        <f>IF(($A376-Ft!I$2)&lt;0,Ft!I$3*((1-Ft!I$6)/(1+Ft!I$37*($A376-Ft!I$2)^2)+Ft!I$6*EXP(Ft!I$38*($A376-Ft!I$2)^2)),Ft!I$3*((1-Ft!I$7)/(1+Ft!I$39*($A376-Ft!I$2)^2)+Ft!I$7*EXP(Ft!I$40*($A376-Ft!I$2)^2)))</f>
        <v>0</v>
      </c>
      <c r="N376" s="3">
        <f>IF(($A376-Ft!J$2)&lt;0,Ft!J$3*((1-Ft!J$6)/(1+Ft!J$37*($A376-Ft!J$2)^2)+Ft!J$6*EXP(Ft!J$38*($A376-Ft!J$2)^2)),Ft!J$3*((1-Ft!J$7)/(1+Ft!J$39*($A376-Ft!J$2)^2)+Ft!J$7*EXP(Ft!J$40*($A376-Ft!J$2)^2)))</f>
        <v>0</v>
      </c>
      <c r="O376" s="3">
        <f>IF(($A376-Ft!K$2)&lt;0,Ft!K$3*((1-Ft!K$6)/(1+Ft!K$37*($A376-Ft!K$2)^2)+Ft!K$6*EXP(Ft!K$38*($A376-Ft!K$2)^2)),Ft!K$3*((1-Ft!K$7)/(1+Ft!K$39*($A376-Ft!K$2)^2)+Ft!K$7*EXP(Ft!K$40*($A376-Ft!K$2)^2)))</f>
        <v>0</v>
      </c>
      <c r="P376"/>
      <c r="Q376"/>
    </row>
    <row r="377" spans="1:17">
      <c r="A377">
        <v>750</v>
      </c>
      <c r="B377">
        <v>17.637066231934</v>
      </c>
      <c r="C377" s="6">
        <f t="shared" si="11"/>
        <v>17.504892084135673</v>
      </c>
      <c r="D377" s="19">
        <f t="shared" si="12"/>
        <v>1.7470005346214089E-2</v>
      </c>
      <c r="E377" s="3">
        <f>Ft!$B$12+Ft!$B$14*(Data!A377-Vars!$B$3)</f>
        <v>0</v>
      </c>
      <c r="F377" s="3">
        <f>IF(($A377-Ft!B$2)&lt;0,Ft!B$3*((1-Ft!B$6)/(1+Ft!B$37*($A377-Ft!B$2)^2)+Ft!B$6*EXP(Ft!B$38*($A377-Ft!B$2)^2)),Ft!B$3*((1-Ft!B$7)/(1+Ft!B$39*($A377-Ft!B$2)^2)+Ft!B$7*EXP(Ft!B$40*($A377-Ft!B$2)^2)))</f>
        <v>1.0835945105707943E-272</v>
      </c>
      <c r="G377" s="3">
        <f>IF(($A377-Ft!C$2)&lt;0,Ft!C$3*((1-Ft!C$6)/(1+Ft!C$37*($A377-Ft!C$2)^2)+Ft!C$6*EXP(Ft!C$38*($A377-Ft!C$2)^2)),Ft!C$3*((1-Ft!C$7)/(1+Ft!C$39*($A377-Ft!C$2)^2)+Ft!C$7*EXP(Ft!C$40*($A377-Ft!C$2)^2)))</f>
        <v>6.0279363423774585E-13</v>
      </c>
      <c r="H377" s="3">
        <f>IF(($A377-Ft!D$2)&lt;0,Ft!D$3*((1-Ft!D$6)/(1+Ft!D$37*($A377-Ft!D$2)^2)+Ft!D$6*EXP(Ft!D$38*($A377-Ft!D$2)^2)),Ft!D$3*((1-Ft!D$7)/(1+Ft!D$39*($A377-Ft!D$2)^2)+Ft!D$7*EXP(Ft!D$40*($A377-Ft!D$2)^2)))</f>
        <v>3.8930694758155098</v>
      </c>
      <c r="I377" s="3">
        <f>IF(($A377-Ft!E$2)&lt;0,Ft!E$3*((1-Ft!E$6)/(1+Ft!E$37*($A377-Ft!E$2)^2)+Ft!E$6*EXP(Ft!E$38*($A377-Ft!E$2)^2)),Ft!E$3*((1-Ft!E$7)/(1+Ft!E$39*($A377-Ft!E$2)^2)+Ft!E$7*EXP(Ft!E$40*($A377-Ft!E$2)^2)))</f>
        <v>13.611822393331629</v>
      </c>
      <c r="J377" s="3">
        <f>IF(($A377-Ft!F$2)&lt;0,Ft!F$3*((1-Ft!F$6)/(1+Ft!F$37*($A377-Ft!F$2)^2)+Ft!F$6*EXP(Ft!F$38*($A377-Ft!F$2)^2)),Ft!F$3*((1-Ft!F$7)/(1+Ft!F$39*($A377-Ft!F$2)^2)+Ft!F$7*EXP(Ft!F$40*($A377-Ft!F$2)^2)))</f>
        <v>2.1498793067672401E-7</v>
      </c>
      <c r="K377" s="3">
        <f>IF(($A377-Ft!G$2)&lt;0,Ft!G$3*((1-Ft!G$6)/(1+Ft!G$37*($A377-Ft!G$2)^2)+Ft!G$6*EXP(Ft!G$38*($A377-Ft!G$2)^2)),Ft!G$3*((1-Ft!G$7)/(1+Ft!G$39*($A377-Ft!G$2)^2)+Ft!G$7*EXP(Ft!G$40*($A377-Ft!G$2)^2)))</f>
        <v>5.9143546039737932E-36</v>
      </c>
      <c r="L377" s="3">
        <f>IF(($A377-Ft!H$2)&lt;0,Ft!H$3*((1-Ft!H$6)/(1+Ft!H$37*($A377-Ft!H$2)^2)+Ft!H$6*EXP(Ft!H$38*($A377-Ft!H$2)^2)),Ft!H$3*((1-Ft!H$7)/(1+Ft!H$39*($A377-Ft!H$2)^2)+Ft!H$7*EXP(Ft!H$40*($A377-Ft!H$2)^2)))</f>
        <v>0</v>
      </c>
      <c r="M377" s="3">
        <f>IF(($A377-Ft!I$2)&lt;0,Ft!I$3*((1-Ft!I$6)/(1+Ft!I$37*($A377-Ft!I$2)^2)+Ft!I$6*EXP(Ft!I$38*($A377-Ft!I$2)^2)),Ft!I$3*((1-Ft!I$7)/(1+Ft!I$39*($A377-Ft!I$2)^2)+Ft!I$7*EXP(Ft!I$40*($A377-Ft!I$2)^2)))</f>
        <v>0</v>
      </c>
      <c r="N377" s="3">
        <f>IF(($A377-Ft!J$2)&lt;0,Ft!J$3*((1-Ft!J$6)/(1+Ft!J$37*($A377-Ft!J$2)^2)+Ft!J$6*EXP(Ft!J$38*($A377-Ft!J$2)^2)),Ft!J$3*((1-Ft!J$7)/(1+Ft!J$39*($A377-Ft!J$2)^2)+Ft!J$7*EXP(Ft!J$40*($A377-Ft!J$2)^2)))</f>
        <v>0</v>
      </c>
      <c r="O377" s="3">
        <f>IF(($A377-Ft!K$2)&lt;0,Ft!K$3*((1-Ft!K$6)/(1+Ft!K$37*($A377-Ft!K$2)^2)+Ft!K$6*EXP(Ft!K$38*($A377-Ft!K$2)^2)),Ft!K$3*((1-Ft!K$7)/(1+Ft!K$39*($A377-Ft!K$2)^2)+Ft!K$7*EXP(Ft!K$40*($A377-Ft!K$2)^2)))</f>
        <v>0</v>
      </c>
      <c r="P377"/>
      <c r="Q377"/>
    </row>
    <row r="378" spans="1:17">
      <c r="A378">
        <v>752</v>
      </c>
      <c r="B378">
        <v>17.627459573783</v>
      </c>
      <c r="C378" s="6">
        <f t="shared" si="11"/>
        <v>17.521086126063661</v>
      </c>
      <c r="D378" s="19">
        <f t="shared" si="12"/>
        <v>1.1315310379698851E-2</v>
      </c>
      <c r="E378" s="3">
        <f>Ft!$B$12+Ft!$B$14*(Data!A378-Vars!$B$3)</f>
        <v>0</v>
      </c>
      <c r="F378" s="3">
        <f>IF(($A378-Ft!B$2)&lt;0,Ft!B$3*((1-Ft!B$6)/(1+Ft!B$37*($A378-Ft!B$2)^2)+Ft!B$6*EXP(Ft!B$38*($A378-Ft!B$2)^2)),Ft!B$3*((1-Ft!B$7)/(1+Ft!B$39*($A378-Ft!B$2)^2)+Ft!B$7*EXP(Ft!B$40*($A378-Ft!B$2)^2)))</f>
        <v>3.0606436353450823E-274</v>
      </c>
      <c r="G378" s="3">
        <f>IF(($A378-Ft!C$2)&lt;0,Ft!C$3*((1-Ft!C$6)/(1+Ft!C$37*($A378-Ft!C$2)^2)+Ft!C$6*EXP(Ft!C$38*($A378-Ft!C$2)^2)),Ft!C$3*((1-Ft!C$7)/(1+Ft!C$39*($A378-Ft!C$2)^2)+Ft!C$7*EXP(Ft!C$40*($A378-Ft!C$2)^2)))</f>
        <v>4.9408681455557295E-13</v>
      </c>
      <c r="H378" s="3">
        <f>IF(($A378-Ft!D$2)&lt;0,Ft!D$3*((1-Ft!D$6)/(1+Ft!D$37*($A378-Ft!D$2)^2)+Ft!D$6*EXP(Ft!D$38*($A378-Ft!D$2)^2)),Ft!D$3*((1-Ft!D$7)/(1+Ft!D$39*($A378-Ft!D$2)^2)+Ft!D$7*EXP(Ft!D$40*($A378-Ft!D$2)^2)))</f>
        <v>3.8109687246276533</v>
      </c>
      <c r="I378" s="3">
        <f>IF(($A378-Ft!E$2)&lt;0,Ft!E$3*((1-Ft!E$6)/(1+Ft!E$37*($A378-Ft!E$2)^2)+Ft!E$6*EXP(Ft!E$38*($A378-Ft!E$2)^2)),Ft!E$3*((1-Ft!E$7)/(1+Ft!E$39*($A378-Ft!E$2)^2)+Ft!E$7*EXP(Ft!E$40*($A378-Ft!E$2)^2)))</f>
        <v>13.710117120127286</v>
      </c>
      <c r="J378" s="3">
        <f>IF(($A378-Ft!F$2)&lt;0,Ft!F$3*((1-Ft!F$6)/(1+Ft!F$37*($A378-Ft!F$2)^2)+Ft!F$6*EXP(Ft!F$38*($A378-Ft!F$2)^2)),Ft!F$3*((1-Ft!F$7)/(1+Ft!F$39*($A378-Ft!F$2)^2)+Ft!F$7*EXP(Ft!F$40*($A378-Ft!F$2)^2)))</f>
        <v>2.8130822982144176E-7</v>
      </c>
      <c r="K378" s="3">
        <f>IF(($A378-Ft!G$2)&lt;0,Ft!G$3*((1-Ft!G$6)/(1+Ft!G$37*($A378-Ft!G$2)^2)+Ft!G$6*EXP(Ft!G$38*($A378-Ft!G$2)^2)),Ft!G$3*((1-Ft!G$7)/(1+Ft!G$39*($A378-Ft!G$2)^2)+Ft!G$7*EXP(Ft!G$40*($A378-Ft!G$2)^2)))</f>
        <v>1.8116199672269393E-35</v>
      </c>
      <c r="L378" s="3">
        <f>IF(($A378-Ft!H$2)&lt;0,Ft!H$3*((1-Ft!H$6)/(1+Ft!H$37*($A378-Ft!H$2)^2)+Ft!H$6*EXP(Ft!H$38*($A378-Ft!H$2)^2)),Ft!H$3*((1-Ft!H$7)/(1+Ft!H$39*($A378-Ft!H$2)^2)+Ft!H$7*EXP(Ft!H$40*($A378-Ft!H$2)^2)))</f>
        <v>0</v>
      </c>
      <c r="M378" s="3">
        <f>IF(($A378-Ft!I$2)&lt;0,Ft!I$3*((1-Ft!I$6)/(1+Ft!I$37*($A378-Ft!I$2)^2)+Ft!I$6*EXP(Ft!I$38*($A378-Ft!I$2)^2)),Ft!I$3*((1-Ft!I$7)/(1+Ft!I$39*($A378-Ft!I$2)^2)+Ft!I$7*EXP(Ft!I$40*($A378-Ft!I$2)^2)))</f>
        <v>0</v>
      </c>
      <c r="N378" s="3">
        <f>IF(($A378-Ft!J$2)&lt;0,Ft!J$3*((1-Ft!J$6)/(1+Ft!J$37*($A378-Ft!J$2)^2)+Ft!J$6*EXP(Ft!J$38*($A378-Ft!J$2)^2)),Ft!J$3*((1-Ft!J$7)/(1+Ft!J$39*($A378-Ft!J$2)^2)+Ft!J$7*EXP(Ft!J$40*($A378-Ft!J$2)^2)))</f>
        <v>0</v>
      </c>
      <c r="O378" s="3">
        <f>IF(($A378-Ft!K$2)&lt;0,Ft!K$3*((1-Ft!K$6)/(1+Ft!K$37*($A378-Ft!K$2)^2)+Ft!K$6*EXP(Ft!K$38*($A378-Ft!K$2)^2)),Ft!K$3*((1-Ft!K$7)/(1+Ft!K$39*($A378-Ft!K$2)^2)+Ft!K$7*EXP(Ft!K$40*($A378-Ft!K$2)^2)))</f>
        <v>0</v>
      </c>
      <c r="P378"/>
      <c r="Q378"/>
    </row>
    <row r="379" spans="1:17">
      <c r="A379">
        <v>754</v>
      </c>
      <c r="B379">
        <v>17.616915314827992</v>
      </c>
      <c r="C379" s="6">
        <f t="shared" si="11"/>
        <v>17.536404840082199</v>
      </c>
      <c r="D379" s="19">
        <f t="shared" si="12"/>
        <v>6.4819365437930052E-3</v>
      </c>
      <c r="E379" s="3">
        <f>Ft!$B$12+Ft!$B$14*(Data!A379-Vars!$B$3)</f>
        <v>0</v>
      </c>
      <c r="F379" s="3">
        <f>IF(($A379-Ft!B$2)&lt;0,Ft!B$3*((1-Ft!B$6)/(1+Ft!B$37*($A379-Ft!B$2)^2)+Ft!B$6*EXP(Ft!B$38*($A379-Ft!B$2)^2)),Ft!B$3*((1-Ft!B$7)/(1+Ft!B$39*($A379-Ft!B$2)^2)+Ft!B$7*EXP(Ft!B$40*($A379-Ft!B$2)^2)))</f>
        <v>8.5579119924924349E-276</v>
      </c>
      <c r="G379" s="3">
        <f>IF(($A379-Ft!C$2)&lt;0,Ft!C$3*((1-Ft!C$6)/(1+Ft!C$37*($A379-Ft!C$2)^2)+Ft!C$6*EXP(Ft!C$38*($A379-Ft!C$2)^2)),Ft!C$3*((1-Ft!C$7)/(1+Ft!C$39*($A379-Ft!C$2)^2)+Ft!C$7*EXP(Ft!C$40*($A379-Ft!C$2)^2)))</f>
        <v>4.0472105956847572E-13</v>
      </c>
      <c r="H379" s="3">
        <f>IF(($A379-Ft!D$2)&lt;0,Ft!D$3*((1-Ft!D$6)/(1+Ft!D$37*($A379-Ft!D$2)^2)+Ft!D$6*EXP(Ft!D$38*($A379-Ft!D$2)^2)),Ft!D$3*((1-Ft!D$7)/(1+Ft!D$39*($A379-Ft!D$2)^2)+Ft!D$7*EXP(Ft!D$40*($A379-Ft!D$2)^2)))</f>
        <v>3.7300631107992048</v>
      </c>
      <c r="I379" s="3">
        <f>IF(($A379-Ft!E$2)&lt;0,Ft!E$3*((1-Ft!E$6)/(1+Ft!E$37*($A379-Ft!E$2)^2)+Ft!E$6*EXP(Ft!E$38*($A379-Ft!E$2)^2)),Ft!E$3*((1-Ft!E$7)/(1+Ft!E$39*($A379-Ft!E$2)^2)+Ft!E$7*EXP(Ft!E$40*($A379-Ft!E$2)^2)))</f>
        <v>13.806341361986698</v>
      </c>
      <c r="J379" s="3">
        <f>IF(($A379-Ft!F$2)&lt;0,Ft!F$3*((1-Ft!F$6)/(1+Ft!F$37*($A379-Ft!F$2)^2)+Ft!F$6*EXP(Ft!F$38*($A379-Ft!F$2)^2)),Ft!F$3*((1-Ft!F$7)/(1+Ft!F$39*($A379-Ft!F$2)^2)+Ft!F$7*EXP(Ft!F$40*($A379-Ft!F$2)^2)))</f>
        <v>3.6729589144693501E-7</v>
      </c>
      <c r="K379" s="3">
        <f>IF(($A379-Ft!G$2)&lt;0,Ft!G$3*((1-Ft!G$6)/(1+Ft!G$37*($A379-Ft!G$2)^2)+Ft!G$6*EXP(Ft!G$38*($A379-Ft!G$2)^2)),Ft!G$3*((1-Ft!G$7)/(1+Ft!G$39*($A379-Ft!G$2)^2)+Ft!G$7*EXP(Ft!G$40*($A379-Ft!G$2)^2)))</f>
        <v>5.507110235924289E-35</v>
      </c>
      <c r="L379" s="3">
        <f>IF(($A379-Ft!H$2)&lt;0,Ft!H$3*((1-Ft!H$6)/(1+Ft!H$37*($A379-Ft!H$2)^2)+Ft!H$6*EXP(Ft!H$38*($A379-Ft!H$2)^2)),Ft!H$3*((1-Ft!H$7)/(1+Ft!H$39*($A379-Ft!H$2)^2)+Ft!H$7*EXP(Ft!H$40*($A379-Ft!H$2)^2)))</f>
        <v>0</v>
      </c>
      <c r="M379" s="3">
        <f>IF(($A379-Ft!I$2)&lt;0,Ft!I$3*((1-Ft!I$6)/(1+Ft!I$37*($A379-Ft!I$2)^2)+Ft!I$6*EXP(Ft!I$38*($A379-Ft!I$2)^2)),Ft!I$3*((1-Ft!I$7)/(1+Ft!I$39*($A379-Ft!I$2)^2)+Ft!I$7*EXP(Ft!I$40*($A379-Ft!I$2)^2)))</f>
        <v>0</v>
      </c>
      <c r="N379" s="3">
        <f>IF(($A379-Ft!J$2)&lt;0,Ft!J$3*((1-Ft!J$6)/(1+Ft!J$37*($A379-Ft!J$2)^2)+Ft!J$6*EXP(Ft!J$38*($A379-Ft!J$2)^2)),Ft!J$3*((1-Ft!J$7)/(1+Ft!J$39*($A379-Ft!J$2)^2)+Ft!J$7*EXP(Ft!J$40*($A379-Ft!J$2)^2)))</f>
        <v>0</v>
      </c>
      <c r="O379" s="3">
        <f>IF(($A379-Ft!K$2)&lt;0,Ft!K$3*((1-Ft!K$6)/(1+Ft!K$37*($A379-Ft!K$2)^2)+Ft!K$6*EXP(Ft!K$38*($A379-Ft!K$2)^2)),Ft!K$3*((1-Ft!K$7)/(1+Ft!K$39*($A379-Ft!K$2)^2)+Ft!K$7*EXP(Ft!K$40*($A379-Ft!K$2)^2)))</f>
        <v>0</v>
      </c>
      <c r="P379"/>
      <c r="Q379"/>
    </row>
    <row r="380" spans="1:17">
      <c r="A380">
        <v>756</v>
      </c>
      <c r="B380">
        <v>17.606023508576996</v>
      </c>
      <c r="C380" s="6">
        <f t="shared" si="11"/>
        <v>17.550792458397314</v>
      </c>
      <c r="D380" s="19">
        <f t="shared" si="12"/>
        <v>3.0504689039505262E-3</v>
      </c>
      <c r="E380" s="3">
        <f>Ft!$B$12+Ft!$B$14*(Data!A380-Vars!$B$3)</f>
        <v>0</v>
      </c>
      <c r="F380" s="3">
        <f>IF(($A380-Ft!B$2)&lt;0,Ft!B$3*((1-Ft!B$6)/(1+Ft!B$37*($A380-Ft!B$2)^2)+Ft!B$6*EXP(Ft!B$38*($A380-Ft!B$2)^2)),Ft!B$3*((1-Ft!B$7)/(1+Ft!B$39*($A380-Ft!B$2)^2)+Ft!B$7*EXP(Ft!B$40*($A380-Ft!B$2)^2)))</f>
        <v>2.3688193787098091E-277</v>
      </c>
      <c r="G380" s="3">
        <f>IF(($A380-Ft!C$2)&lt;0,Ft!C$3*((1-Ft!C$6)/(1+Ft!C$37*($A380-Ft!C$2)^2)+Ft!C$6*EXP(Ft!C$38*($A380-Ft!C$2)^2)),Ft!C$3*((1-Ft!C$7)/(1+Ft!C$39*($A380-Ft!C$2)^2)+Ft!C$7*EXP(Ft!C$40*($A380-Ft!C$2)^2)))</f>
        <v>3.3130369134890413E-13</v>
      </c>
      <c r="H380" s="3">
        <f>IF(($A380-Ft!D$2)&lt;0,Ft!D$3*((1-Ft!D$6)/(1+Ft!D$37*($A380-Ft!D$2)^2)+Ft!D$6*EXP(Ft!D$38*($A380-Ft!D$2)^2)),Ft!D$3*((1-Ft!D$7)/(1+Ft!D$39*($A380-Ft!D$2)^2)+Ft!D$7*EXP(Ft!D$40*($A380-Ft!D$2)^2)))</f>
        <v>3.6503502757458448</v>
      </c>
      <c r="I380" s="3">
        <f>IF(($A380-Ft!E$2)&lt;0,Ft!E$3*((1-Ft!E$6)/(1+Ft!E$37*($A380-Ft!E$2)^2)+Ft!E$6*EXP(Ft!E$38*($A380-Ft!E$2)^2)),Ft!E$3*((1-Ft!E$7)/(1+Ft!E$39*($A380-Ft!E$2)^2)+Ft!E$7*EXP(Ft!E$40*($A380-Ft!E$2)^2)))</f>
        <v>13.900441704114739</v>
      </c>
      <c r="J380" s="3">
        <f>IF(($A380-Ft!F$2)&lt;0,Ft!F$3*((1-Ft!F$6)/(1+Ft!F$37*($A380-Ft!F$2)^2)+Ft!F$6*EXP(Ft!F$38*($A380-Ft!F$2)^2)),Ft!F$3*((1-Ft!F$7)/(1+Ft!F$39*($A380-Ft!F$2)^2)+Ft!F$7*EXP(Ft!F$40*($A380-Ft!F$2)^2)))</f>
        <v>4.7853639883486686E-7</v>
      </c>
      <c r="K380" s="3">
        <f>IF(($A380-Ft!G$2)&lt;0,Ft!G$3*((1-Ft!G$6)/(1+Ft!G$37*($A380-Ft!G$2)^2)+Ft!G$6*EXP(Ft!G$38*($A380-Ft!G$2)^2)),Ft!G$3*((1-Ft!G$7)/(1+Ft!G$39*($A380-Ft!G$2)^2)+Ft!G$7*EXP(Ft!G$40*($A380-Ft!G$2)^2)))</f>
        <v>1.6614121154188873E-34</v>
      </c>
      <c r="L380" s="3">
        <f>IF(($A380-Ft!H$2)&lt;0,Ft!H$3*((1-Ft!H$6)/(1+Ft!H$37*($A380-Ft!H$2)^2)+Ft!H$6*EXP(Ft!H$38*($A380-Ft!H$2)^2)),Ft!H$3*((1-Ft!H$7)/(1+Ft!H$39*($A380-Ft!H$2)^2)+Ft!H$7*EXP(Ft!H$40*($A380-Ft!H$2)^2)))</f>
        <v>0</v>
      </c>
      <c r="M380" s="3">
        <f>IF(($A380-Ft!I$2)&lt;0,Ft!I$3*((1-Ft!I$6)/(1+Ft!I$37*($A380-Ft!I$2)^2)+Ft!I$6*EXP(Ft!I$38*($A380-Ft!I$2)^2)),Ft!I$3*((1-Ft!I$7)/(1+Ft!I$39*($A380-Ft!I$2)^2)+Ft!I$7*EXP(Ft!I$40*($A380-Ft!I$2)^2)))</f>
        <v>0</v>
      </c>
      <c r="N380" s="3">
        <f>IF(($A380-Ft!J$2)&lt;0,Ft!J$3*((1-Ft!J$6)/(1+Ft!J$37*($A380-Ft!J$2)^2)+Ft!J$6*EXP(Ft!J$38*($A380-Ft!J$2)^2)),Ft!J$3*((1-Ft!J$7)/(1+Ft!J$39*($A380-Ft!J$2)^2)+Ft!J$7*EXP(Ft!J$40*($A380-Ft!J$2)^2)))</f>
        <v>0</v>
      </c>
      <c r="O380" s="3">
        <f>IF(($A380-Ft!K$2)&lt;0,Ft!K$3*((1-Ft!K$6)/(1+Ft!K$37*($A380-Ft!K$2)^2)+Ft!K$6*EXP(Ft!K$38*($A380-Ft!K$2)^2)),Ft!K$3*((1-Ft!K$7)/(1+Ft!K$39*($A380-Ft!K$2)^2)+Ft!K$7*EXP(Ft!K$40*($A380-Ft!K$2)^2)))</f>
        <v>0</v>
      </c>
      <c r="P380"/>
      <c r="Q380"/>
    </row>
    <row r="381" spans="1:17">
      <c r="A381">
        <v>758</v>
      </c>
      <c r="B381">
        <v>17.595374208540989</v>
      </c>
      <c r="C381" s="6">
        <f t="shared" si="11"/>
        <v>17.564193673890568</v>
      </c>
      <c r="D381" s="19">
        <f t="shared" si="12"/>
        <v>9.7222574108609284E-4</v>
      </c>
      <c r="E381" s="3">
        <f>Ft!$B$12+Ft!$B$14*(Data!A381-Vars!$B$3)</f>
        <v>0</v>
      </c>
      <c r="F381" s="3">
        <f>IF(($A381-Ft!B$2)&lt;0,Ft!B$3*((1-Ft!B$6)/(1+Ft!B$37*($A381-Ft!B$2)^2)+Ft!B$6*EXP(Ft!B$38*($A381-Ft!B$2)^2)),Ft!B$3*((1-Ft!B$7)/(1+Ft!B$39*($A381-Ft!B$2)^2)+Ft!B$7*EXP(Ft!B$40*($A381-Ft!B$2)^2)))</f>
        <v>6.4909036030110756E-279</v>
      </c>
      <c r="G381" s="3">
        <f>IF(($A381-Ft!C$2)&lt;0,Ft!C$3*((1-Ft!C$6)/(1+Ft!C$37*($A381-Ft!C$2)^2)+Ft!C$6*EXP(Ft!C$38*($A381-Ft!C$2)^2)),Ft!C$3*((1-Ft!C$7)/(1+Ft!C$39*($A381-Ft!C$2)^2)+Ft!C$7*EXP(Ft!C$40*($A381-Ft!C$2)^2)))</f>
        <v>2.7102832330490982E-13</v>
      </c>
      <c r="H381" s="3">
        <f>IF(($A381-Ft!D$2)&lt;0,Ft!D$3*((1-Ft!D$6)/(1+Ft!D$37*($A381-Ft!D$2)^2)+Ft!D$6*EXP(Ft!D$38*($A381-Ft!D$2)^2)),Ft!D$3*((1-Ft!D$7)/(1+Ft!D$39*($A381-Ft!D$2)^2)+Ft!D$7*EXP(Ft!D$40*($A381-Ft!D$2)^2)))</f>
        <v>3.5718274022299972</v>
      </c>
      <c r="I381" s="3">
        <f>IF(($A381-Ft!E$2)&lt;0,Ft!E$3*((1-Ft!E$6)/(1+Ft!E$37*($A381-Ft!E$2)^2)+Ft!E$6*EXP(Ft!E$38*($A381-Ft!E$2)^2)),Ft!E$3*((1-Ft!E$7)/(1+Ft!E$39*($A381-Ft!E$2)^2)+Ft!E$7*EXP(Ft!E$40*($A381-Ft!E$2)^2)))</f>
        <v>13.992365649533147</v>
      </c>
      <c r="J381" s="3">
        <f>IF(($A381-Ft!F$2)&lt;0,Ft!F$3*((1-Ft!F$6)/(1+Ft!F$37*($A381-Ft!F$2)^2)+Ft!F$6*EXP(Ft!F$38*($A381-Ft!F$2)^2)),Ft!F$3*((1-Ft!F$7)/(1+Ft!F$39*($A381-Ft!F$2)^2)+Ft!F$7*EXP(Ft!F$40*($A381-Ft!F$2)^2)))</f>
        <v>6.2212715462074288E-7</v>
      </c>
      <c r="K381" s="3">
        <f>IF(($A381-Ft!G$2)&lt;0,Ft!G$3*((1-Ft!G$6)/(1+Ft!G$37*($A381-Ft!G$2)^2)+Ft!G$6*EXP(Ft!G$38*($A381-Ft!G$2)^2)),Ft!G$3*((1-Ft!G$7)/(1+Ft!G$39*($A381-Ft!G$2)^2)+Ft!G$7*EXP(Ft!G$40*($A381-Ft!G$2)^2)))</f>
        <v>4.9742534352276901E-34</v>
      </c>
      <c r="L381" s="3">
        <f>IF(($A381-Ft!H$2)&lt;0,Ft!H$3*((1-Ft!H$6)/(1+Ft!H$37*($A381-Ft!H$2)^2)+Ft!H$6*EXP(Ft!H$38*($A381-Ft!H$2)^2)),Ft!H$3*((1-Ft!H$7)/(1+Ft!H$39*($A381-Ft!H$2)^2)+Ft!H$7*EXP(Ft!H$40*($A381-Ft!H$2)^2)))</f>
        <v>0</v>
      </c>
      <c r="M381" s="3">
        <f>IF(($A381-Ft!I$2)&lt;0,Ft!I$3*((1-Ft!I$6)/(1+Ft!I$37*($A381-Ft!I$2)^2)+Ft!I$6*EXP(Ft!I$38*($A381-Ft!I$2)^2)),Ft!I$3*((1-Ft!I$7)/(1+Ft!I$39*($A381-Ft!I$2)^2)+Ft!I$7*EXP(Ft!I$40*($A381-Ft!I$2)^2)))</f>
        <v>0</v>
      </c>
      <c r="N381" s="3">
        <f>IF(($A381-Ft!J$2)&lt;0,Ft!J$3*((1-Ft!J$6)/(1+Ft!J$37*($A381-Ft!J$2)^2)+Ft!J$6*EXP(Ft!J$38*($A381-Ft!J$2)^2)),Ft!J$3*((1-Ft!J$7)/(1+Ft!J$39*($A381-Ft!J$2)^2)+Ft!J$7*EXP(Ft!J$40*($A381-Ft!J$2)^2)))</f>
        <v>0</v>
      </c>
      <c r="O381" s="3">
        <f>IF(($A381-Ft!K$2)&lt;0,Ft!K$3*((1-Ft!K$6)/(1+Ft!K$37*($A381-Ft!K$2)^2)+Ft!K$6*EXP(Ft!K$38*($A381-Ft!K$2)^2)),Ft!K$3*((1-Ft!K$7)/(1+Ft!K$39*($A381-Ft!K$2)^2)+Ft!K$7*EXP(Ft!K$40*($A381-Ft!K$2)^2)))</f>
        <v>0</v>
      </c>
      <c r="P381"/>
      <c r="Q381"/>
    </row>
    <row r="382" spans="1:17">
      <c r="A382">
        <v>760</v>
      </c>
      <c r="B382">
        <v>17.585493104712</v>
      </c>
      <c r="C382" s="6">
        <f t="shared" si="11"/>
        <v>17.576553700585848</v>
      </c>
      <c r="D382" s="19">
        <f t="shared" si="12"/>
        <v>7.9912946130677605E-5</v>
      </c>
      <c r="E382" s="3">
        <f>Ft!$B$12+Ft!$B$14*(Data!A382-Vars!$B$3)</f>
        <v>0</v>
      </c>
      <c r="F382" s="3">
        <f>IF(($A382-Ft!B$2)&lt;0,Ft!B$3*((1-Ft!B$6)/(1+Ft!B$37*($A382-Ft!B$2)^2)+Ft!B$6*EXP(Ft!B$38*($A382-Ft!B$2)^2)),Ft!B$3*((1-Ft!B$7)/(1+Ft!B$39*($A382-Ft!B$2)^2)+Ft!B$7*EXP(Ft!B$40*($A382-Ft!B$2)^2)))</f>
        <v>1.760708466368436E-280</v>
      </c>
      <c r="G382" s="3">
        <f>IF(($A382-Ft!C$2)&lt;0,Ft!C$3*((1-Ft!C$6)/(1+Ft!C$37*($A382-Ft!C$2)^2)+Ft!C$6*EXP(Ft!C$38*($A382-Ft!C$2)^2)),Ft!C$3*((1-Ft!C$7)/(1+Ft!C$39*($A382-Ft!C$2)^2)+Ft!C$7*EXP(Ft!C$40*($A382-Ft!C$2)^2)))</f>
        <v>2.2157513072711335E-13</v>
      </c>
      <c r="H382" s="3">
        <f>IF(($A382-Ft!D$2)&lt;0,Ft!D$3*((1-Ft!D$6)/(1+Ft!D$37*($A382-Ft!D$2)^2)+Ft!D$6*EXP(Ft!D$38*($A382-Ft!D$2)^2)),Ft!D$3*((1-Ft!D$7)/(1+Ft!D$39*($A382-Ft!D$2)^2)+Ft!D$7*EXP(Ft!D$40*($A382-Ft!D$2)^2)))</f>
        <v>3.4944912257644636</v>
      </c>
      <c r="I382" s="3">
        <f>IF(($A382-Ft!E$2)&lt;0,Ft!E$3*((1-Ft!E$6)/(1+Ft!E$37*($A382-Ft!E$2)^2)+Ft!E$6*EXP(Ft!E$38*($A382-Ft!E$2)^2)),Ft!E$3*((1-Ft!E$7)/(1+Ft!E$39*($A382-Ft!E$2)^2)+Ft!E$7*EXP(Ft!E$40*($A382-Ft!E$2)^2)))</f>
        <v>14.082061667755978</v>
      </c>
      <c r="J382" s="3">
        <f>IF(($A382-Ft!F$2)&lt;0,Ft!F$3*((1-Ft!F$6)/(1+Ft!F$37*($A382-Ft!F$2)^2)+Ft!F$6*EXP(Ft!F$38*($A382-Ft!F$2)^2)),Ft!F$3*((1-Ft!F$7)/(1+Ft!F$39*($A382-Ft!F$2)^2)+Ft!F$7*EXP(Ft!F$40*($A382-Ft!F$2)^2)))</f>
        <v>8.0706518426446294E-7</v>
      </c>
      <c r="K382" s="3">
        <f>IF(($A382-Ft!G$2)&lt;0,Ft!G$3*((1-Ft!G$6)/(1+Ft!G$37*($A382-Ft!G$2)^2)+Ft!G$6*EXP(Ft!G$38*($A382-Ft!G$2)^2)),Ft!G$3*((1-Ft!G$7)/(1+Ft!G$39*($A382-Ft!G$2)^2)+Ft!G$7*EXP(Ft!G$40*($A382-Ft!G$2)^2)))</f>
        <v>1.4780032060044671E-33</v>
      </c>
      <c r="L382" s="3">
        <f>IF(($A382-Ft!H$2)&lt;0,Ft!H$3*((1-Ft!H$6)/(1+Ft!H$37*($A382-Ft!H$2)^2)+Ft!H$6*EXP(Ft!H$38*($A382-Ft!H$2)^2)),Ft!H$3*((1-Ft!H$7)/(1+Ft!H$39*($A382-Ft!H$2)^2)+Ft!H$7*EXP(Ft!H$40*($A382-Ft!H$2)^2)))</f>
        <v>0</v>
      </c>
      <c r="M382" s="3">
        <f>IF(($A382-Ft!I$2)&lt;0,Ft!I$3*((1-Ft!I$6)/(1+Ft!I$37*($A382-Ft!I$2)^2)+Ft!I$6*EXP(Ft!I$38*($A382-Ft!I$2)^2)),Ft!I$3*((1-Ft!I$7)/(1+Ft!I$39*($A382-Ft!I$2)^2)+Ft!I$7*EXP(Ft!I$40*($A382-Ft!I$2)^2)))</f>
        <v>0</v>
      </c>
      <c r="N382" s="3">
        <f>IF(($A382-Ft!J$2)&lt;0,Ft!J$3*((1-Ft!J$6)/(1+Ft!J$37*($A382-Ft!J$2)^2)+Ft!J$6*EXP(Ft!J$38*($A382-Ft!J$2)^2)),Ft!J$3*((1-Ft!J$7)/(1+Ft!J$39*($A382-Ft!J$2)^2)+Ft!J$7*EXP(Ft!J$40*($A382-Ft!J$2)^2)))</f>
        <v>0</v>
      </c>
      <c r="O382" s="3">
        <f>IF(($A382-Ft!K$2)&lt;0,Ft!K$3*((1-Ft!K$6)/(1+Ft!K$37*($A382-Ft!K$2)^2)+Ft!K$6*EXP(Ft!K$38*($A382-Ft!K$2)^2)),Ft!K$3*((1-Ft!K$7)/(1+Ft!K$39*($A382-Ft!K$2)^2)+Ft!K$7*EXP(Ft!K$40*($A382-Ft!K$2)^2)))</f>
        <v>0</v>
      </c>
      <c r="P382"/>
      <c r="Q382"/>
    </row>
    <row r="383" spans="1:17">
      <c r="A383">
        <v>762</v>
      </c>
      <c r="B383">
        <v>17.576275099480995</v>
      </c>
      <c r="C383" s="6">
        <f t="shared" si="11"/>
        <v>17.587818333633717</v>
      </c>
      <c r="D383" s="19">
        <f t="shared" si="12"/>
        <v>1.3324625470456154E-4</v>
      </c>
      <c r="E383" s="3">
        <f>Ft!$B$12+Ft!$B$14*(Data!A383-Vars!$B$3)</f>
        <v>0</v>
      </c>
      <c r="F383" s="3">
        <f>IF(($A383-Ft!B$2)&lt;0,Ft!B$3*((1-Ft!B$6)/(1+Ft!B$37*($A383-Ft!B$2)^2)+Ft!B$6*EXP(Ft!B$38*($A383-Ft!B$2)^2)),Ft!B$3*((1-Ft!B$7)/(1+Ft!B$39*($A383-Ft!B$2)^2)+Ft!B$7*EXP(Ft!B$40*($A383-Ft!B$2)^2)))</f>
        <v>4.7280147917624499E-282</v>
      </c>
      <c r="G383" s="3">
        <f>IF(($A383-Ft!C$2)&lt;0,Ft!C$3*((1-Ft!C$6)/(1+Ft!C$37*($A383-Ft!C$2)^2)+Ft!C$6*EXP(Ft!C$38*($A383-Ft!C$2)^2)),Ft!C$3*((1-Ft!C$7)/(1+Ft!C$39*($A383-Ft!C$2)^2)+Ft!C$7*EXP(Ft!C$40*($A383-Ft!C$2)^2)))</f>
        <v>1.8102780363726929E-13</v>
      </c>
      <c r="H383" s="3">
        <f>IF(($A383-Ft!D$2)&lt;0,Ft!D$3*((1-Ft!D$6)/(1+Ft!D$37*($A383-Ft!D$2)^2)+Ft!D$6*EXP(Ft!D$38*($A383-Ft!D$2)^2)),Ft!D$3*((1-Ft!D$7)/(1+Ft!D$39*($A383-Ft!D$2)^2)+Ft!D$7*EXP(Ft!D$40*($A383-Ft!D$2)^2)))</f>
        <v>3.4183380460895516</v>
      </c>
      <c r="I383" s="3">
        <f>IF(($A383-Ft!E$2)&lt;0,Ft!E$3*((1-Ft!E$6)/(1+Ft!E$37*($A383-Ft!E$2)^2)+Ft!E$6*EXP(Ft!E$38*($A383-Ft!E$2)^2)),Ft!E$3*((1-Ft!E$7)/(1+Ft!E$39*($A383-Ft!E$2)^2)+Ft!E$7*EXP(Ft!E$40*($A383-Ft!E$2)^2)))</f>
        <v>14.169479242815726</v>
      </c>
      <c r="J383" s="3">
        <f>IF(($A383-Ft!F$2)&lt;0,Ft!F$3*((1-Ft!F$6)/(1+Ft!F$37*($A383-Ft!F$2)^2)+Ft!F$6*EXP(Ft!F$38*($A383-Ft!F$2)^2)),Ft!F$3*((1-Ft!F$7)/(1+Ft!F$39*($A383-Ft!F$2)^2)+Ft!F$7*EXP(Ft!F$40*($A383-Ft!F$2)^2)))</f>
        <v>1.0447282584670984E-6</v>
      </c>
      <c r="K383" s="3">
        <f>IF(($A383-Ft!G$2)&lt;0,Ft!G$3*((1-Ft!G$6)/(1+Ft!G$37*($A383-Ft!G$2)^2)+Ft!G$6*EXP(Ft!G$38*($A383-Ft!G$2)^2)),Ft!G$3*((1-Ft!G$7)/(1+Ft!G$39*($A383-Ft!G$2)^2)+Ft!G$7*EXP(Ft!G$40*($A383-Ft!G$2)^2)))</f>
        <v>4.3583266397301189E-33</v>
      </c>
      <c r="L383" s="3">
        <f>IF(($A383-Ft!H$2)&lt;0,Ft!H$3*((1-Ft!H$6)/(1+Ft!H$37*($A383-Ft!H$2)^2)+Ft!H$6*EXP(Ft!H$38*($A383-Ft!H$2)^2)),Ft!H$3*((1-Ft!H$7)/(1+Ft!H$39*($A383-Ft!H$2)^2)+Ft!H$7*EXP(Ft!H$40*($A383-Ft!H$2)^2)))</f>
        <v>0</v>
      </c>
      <c r="M383" s="3">
        <f>IF(($A383-Ft!I$2)&lt;0,Ft!I$3*((1-Ft!I$6)/(1+Ft!I$37*($A383-Ft!I$2)^2)+Ft!I$6*EXP(Ft!I$38*($A383-Ft!I$2)^2)),Ft!I$3*((1-Ft!I$7)/(1+Ft!I$39*($A383-Ft!I$2)^2)+Ft!I$7*EXP(Ft!I$40*($A383-Ft!I$2)^2)))</f>
        <v>0</v>
      </c>
      <c r="N383" s="3">
        <f>IF(($A383-Ft!J$2)&lt;0,Ft!J$3*((1-Ft!J$6)/(1+Ft!J$37*($A383-Ft!J$2)^2)+Ft!J$6*EXP(Ft!J$38*($A383-Ft!J$2)^2)),Ft!J$3*((1-Ft!J$7)/(1+Ft!J$39*($A383-Ft!J$2)^2)+Ft!J$7*EXP(Ft!J$40*($A383-Ft!J$2)^2)))</f>
        <v>0</v>
      </c>
      <c r="O383" s="3">
        <f>IF(($A383-Ft!K$2)&lt;0,Ft!K$3*((1-Ft!K$6)/(1+Ft!K$37*($A383-Ft!K$2)^2)+Ft!K$6*EXP(Ft!K$38*($A383-Ft!K$2)^2)),Ft!K$3*((1-Ft!K$7)/(1+Ft!K$39*($A383-Ft!K$2)^2)+Ft!K$7*EXP(Ft!K$40*($A383-Ft!K$2)^2)))</f>
        <v>0</v>
      </c>
      <c r="P383"/>
      <c r="Q383"/>
    </row>
    <row r="384" spans="1:17">
      <c r="A384">
        <v>764</v>
      </c>
      <c r="B384">
        <v>17.567456292803996</v>
      </c>
      <c r="C384" s="6">
        <f t="shared" si="11"/>
        <v>17.597934008760411</v>
      </c>
      <c r="D384" s="19">
        <f t="shared" si="12"/>
        <v>9.2889116991993494E-4</v>
      </c>
      <c r="E384" s="3">
        <f>Ft!$B$12+Ft!$B$14*(Data!A384-Vars!$B$3)</f>
        <v>0</v>
      </c>
      <c r="F384" s="3">
        <f>IF(($A384-Ft!B$2)&lt;0,Ft!B$3*((1-Ft!B$6)/(1+Ft!B$37*($A384-Ft!B$2)^2)+Ft!B$6*EXP(Ft!B$38*($A384-Ft!B$2)^2)),Ft!B$3*((1-Ft!B$7)/(1+Ft!B$39*($A384-Ft!B$2)^2)+Ft!B$7*EXP(Ft!B$40*($A384-Ft!B$2)^2)))</f>
        <v>1.2568379380475295E-283</v>
      </c>
      <c r="G384" s="3">
        <f>IF(($A384-Ft!C$2)&lt;0,Ft!C$3*((1-Ft!C$6)/(1+Ft!C$37*($A384-Ft!C$2)^2)+Ft!C$6*EXP(Ft!C$38*($A384-Ft!C$2)^2)),Ft!C$3*((1-Ft!C$7)/(1+Ft!C$39*($A384-Ft!C$2)^2)+Ft!C$7*EXP(Ft!C$40*($A384-Ft!C$2)^2)))</f>
        <v>1.4780444075822172E-13</v>
      </c>
      <c r="H384" s="3">
        <f>IF(($A384-Ft!D$2)&lt;0,Ft!D$3*((1-Ft!D$6)/(1+Ft!D$37*($A384-Ft!D$2)^2)+Ft!D$6*EXP(Ft!D$38*($A384-Ft!D$2)^2)),Ft!D$3*((1-Ft!D$7)/(1+Ft!D$39*($A384-Ft!D$2)^2)+Ft!D$7*EXP(Ft!D$40*($A384-Ft!D$2)^2)))</f>
        <v>3.3433637387123398</v>
      </c>
      <c r="I384" s="3">
        <f>IF(($A384-Ft!E$2)&lt;0,Ft!E$3*((1-Ft!E$6)/(1+Ft!E$37*($A384-Ft!E$2)^2)+Ft!E$6*EXP(Ft!E$38*($A384-Ft!E$2)^2)),Ft!E$3*((1-Ft!E$7)/(1+Ft!E$39*($A384-Ft!E$2)^2)+Ft!E$7*EXP(Ft!E$40*($A384-Ft!E$2)^2)))</f>
        <v>14.254568920577579</v>
      </c>
      <c r="J384" s="3">
        <f>IF(($A384-Ft!F$2)&lt;0,Ft!F$3*((1-Ft!F$6)/(1+Ft!F$37*($A384-Ft!F$2)^2)+Ft!F$6*EXP(Ft!F$38*($A384-Ft!F$2)^2)),Ft!F$3*((1-Ft!F$7)/(1+Ft!F$39*($A384-Ft!F$2)^2)+Ft!F$7*EXP(Ft!F$40*($A384-Ft!F$2)^2)))</f>
        <v>1.3494703448535078E-6</v>
      </c>
      <c r="K384" s="3">
        <f>IF(($A384-Ft!G$2)&lt;0,Ft!G$3*((1-Ft!G$6)/(1+Ft!G$37*($A384-Ft!G$2)^2)+Ft!G$6*EXP(Ft!G$38*($A384-Ft!G$2)^2)),Ft!G$3*((1-Ft!G$7)/(1+Ft!G$39*($A384-Ft!G$2)^2)+Ft!G$7*EXP(Ft!G$40*($A384-Ft!G$2)^2)))</f>
        <v>1.2754431558825708E-32</v>
      </c>
      <c r="L384" s="3">
        <f>IF(($A384-Ft!H$2)&lt;0,Ft!H$3*((1-Ft!H$6)/(1+Ft!H$37*($A384-Ft!H$2)^2)+Ft!H$6*EXP(Ft!H$38*($A384-Ft!H$2)^2)),Ft!H$3*((1-Ft!H$7)/(1+Ft!H$39*($A384-Ft!H$2)^2)+Ft!H$7*EXP(Ft!H$40*($A384-Ft!H$2)^2)))</f>
        <v>0</v>
      </c>
      <c r="M384" s="3">
        <f>IF(($A384-Ft!I$2)&lt;0,Ft!I$3*((1-Ft!I$6)/(1+Ft!I$37*($A384-Ft!I$2)^2)+Ft!I$6*EXP(Ft!I$38*($A384-Ft!I$2)^2)),Ft!I$3*((1-Ft!I$7)/(1+Ft!I$39*($A384-Ft!I$2)^2)+Ft!I$7*EXP(Ft!I$40*($A384-Ft!I$2)^2)))</f>
        <v>0</v>
      </c>
      <c r="N384" s="3">
        <f>IF(($A384-Ft!J$2)&lt;0,Ft!J$3*((1-Ft!J$6)/(1+Ft!J$37*($A384-Ft!J$2)^2)+Ft!J$6*EXP(Ft!J$38*($A384-Ft!J$2)^2)),Ft!J$3*((1-Ft!J$7)/(1+Ft!J$39*($A384-Ft!J$2)^2)+Ft!J$7*EXP(Ft!J$40*($A384-Ft!J$2)^2)))</f>
        <v>0</v>
      </c>
      <c r="O384" s="3">
        <f>IF(($A384-Ft!K$2)&lt;0,Ft!K$3*((1-Ft!K$6)/(1+Ft!K$37*($A384-Ft!K$2)^2)+Ft!K$6*EXP(Ft!K$38*($A384-Ft!K$2)^2)),Ft!K$3*((1-Ft!K$7)/(1+Ft!K$39*($A384-Ft!K$2)^2)+Ft!K$7*EXP(Ft!K$40*($A384-Ft!K$2)^2)))</f>
        <v>0</v>
      </c>
      <c r="P384"/>
      <c r="Q384"/>
    </row>
    <row r="385" spans="1:17">
      <c r="A385">
        <v>766</v>
      </c>
      <c r="B385">
        <v>17.558802818150994</v>
      </c>
      <c r="C385" s="6">
        <f t="shared" si="11"/>
        <v>17.606847861133549</v>
      </c>
      <c r="D385" s="19">
        <f t="shared" si="12"/>
        <v>2.3083261551955113E-3</v>
      </c>
      <c r="E385" s="3">
        <f>Ft!$B$12+Ft!$B$14*(Data!A385-Vars!$B$3)</f>
        <v>0</v>
      </c>
      <c r="F385" s="3">
        <f>IF(($A385-Ft!B$2)&lt;0,Ft!B$3*((1-Ft!B$6)/(1+Ft!B$37*($A385-Ft!B$2)^2)+Ft!B$6*EXP(Ft!B$38*($A385-Ft!B$2)^2)),Ft!B$3*((1-Ft!B$7)/(1+Ft!B$39*($A385-Ft!B$2)^2)+Ft!B$7*EXP(Ft!B$40*($A385-Ft!B$2)^2)))</f>
        <v>3.3074159574827431E-285</v>
      </c>
      <c r="G385" s="3">
        <f>IF(($A385-Ft!C$2)&lt;0,Ft!C$3*((1-Ft!C$6)/(1+Ft!C$37*($A385-Ft!C$2)^2)+Ft!C$6*EXP(Ft!C$38*($A385-Ft!C$2)^2)),Ft!C$3*((1-Ft!C$7)/(1+Ft!C$39*($A385-Ft!C$2)^2)+Ft!C$7*EXP(Ft!C$40*($A385-Ft!C$2)^2)))</f>
        <v>1.2060008532606791E-13</v>
      </c>
      <c r="H385" s="3">
        <f>IF(($A385-Ft!D$2)&lt;0,Ft!D$3*((1-Ft!D$6)/(1+Ft!D$37*($A385-Ft!D$2)^2)+Ft!D$6*EXP(Ft!D$38*($A385-Ft!D$2)^2)),Ft!D$3*((1-Ft!D$7)/(1+Ft!D$39*($A385-Ft!D$2)^2)+Ft!D$7*EXP(Ft!D$40*($A385-Ft!D$2)^2)))</f>
        <v>3.2695637664968729</v>
      </c>
      <c r="I385" s="3">
        <f>IF(($A385-Ft!E$2)&lt;0,Ft!E$3*((1-Ft!E$6)/(1+Ft!E$37*($A385-Ft!E$2)^2)+Ft!E$6*EXP(Ft!E$38*($A385-Ft!E$2)^2)),Ft!E$3*((1-Ft!E$7)/(1+Ft!E$39*($A385-Ft!E$2)^2)+Ft!E$7*EXP(Ft!E$40*($A385-Ft!E$2)^2)))</f>
        <v>14.337282355279983</v>
      </c>
      <c r="J385" s="3">
        <f>IF(($A385-Ft!F$2)&lt;0,Ft!F$3*((1-Ft!F$6)/(1+Ft!F$37*($A385-Ft!F$2)^2)+Ft!F$6*EXP(Ft!F$38*($A385-Ft!F$2)^2)),Ft!F$3*((1-Ft!F$7)/(1+Ft!F$39*($A385-Ft!F$2)^2)+Ft!F$7*EXP(Ft!F$40*($A385-Ft!F$2)^2)))</f>
        <v>1.7393565726065747E-6</v>
      </c>
      <c r="K385" s="3">
        <f>IF(($A385-Ft!G$2)&lt;0,Ft!G$3*((1-Ft!G$6)/(1+Ft!G$37*($A385-Ft!G$2)^2)+Ft!G$6*EXP(Ft!G$38*($A385-Ft!G$2)^2)),Ft!G$3*((1-Ft!G$7)/(1+Ft!G$39*($A385-Ft!G$2)^2)+Ft!G$7*EXP(Ft!G$40*($A385-Ft!G$2)^2)))</f>
        <v>3.7042421712540844E-32</v>
      </c>
      <c r="L385" s="3">
        <f>IF(($A385-Ft!H$2)&lt;0,Ft!H$3*((1-Ft!H$6)/(1+Ft!H$37*($A385-Ft!H$2)^2)+Ft!H$6*EXP(Ft!H$38*($A385-Ft!H$2)^2)),Ft!H$3*((1-Ft!H$7)/(1+Ft!H$39*($A385-Ft!H$2)^2)+Ft!H$7*EXP(Ft!H$40*($A385-Ft!H$2)^2)))</f>
        <v>0</v>
      </c>
      <c r="M385" s="3">
        <f>IF(($A385-Ft!I$2)&lt;0,Ft!I$3*((1-Ft!I$6)/(1+Ft!I$37*($A385-Ft!I$2)^2)+Ft!I$6*EXP(Ft!I$38*($A385-Ft!I$2)^2)),Ft!I$3*((1-Ft!I$7)/(1+Ft!I$39*($A385-Ft!I$2)^2)+Ft!I$7*EXP(Ft!I$40*($A385-Ft!I$2)^2)))</f>
        <v>0</v>
      </c>
      <c r="N385" s="3">
        <f>IF(($A385-Ft!J$2)&lt;0,Ft!J$3*((1-Ft!J$6)/(1+Ft!J$37*($A385-Ft!J$2)^2)+Ft!J$6*EXP(Ft!J$38*($A385-Ft!J$2)^2)),Ft!J$3*((1-Ft!J$7)/(1+Ft!J$39*($A385-Ft!J$2)^2)+Ft!J$7*EXP(Ft!J$40*($A385-Ft!J$2)^2)))</f>
        <v>0</v>
      </c>
      <c r="O385" s="3">
        <f>IF(($A385-Ft!K$2)&lt;0,Ft!K$3*((1-Ft!K$6)/(1+Ft!K$37*($A385-Ft!K$2)^2)+Ft!K$6*EXP(Ft!K$38*($A385-Ft!K$2)^2)),Ft!K$3*((1-Ft!K$7)/(1+Ft!K$39*($A385-Ft!K$2)^2)+Ft!K$7*EXP(Ft!K$40*($A385-Ft!K$2)^2)))</f>
        <v>0</v>
      </c>
      <c r="P385"/>
      <c r="Q385"/>
    </row>
    <row r="386" spans="1:17">
      <c r="A386">
        <v>768</v>
      </c>
      <c r="B386">
        <v>17.550080808991993</v>
      </c>
      <c r="C386" s="6">
        <f t="shared" si="11"/>
        <v>17.614507783602594</v>
      </c>
      <c r="D386" s="19">
        <f t="shared" si="12"/>
        <v>4.1508350574750528E-3</v>
      </c>
      <c r="E386" s="3">
        <f>Ft!$B$12+Ft!$B$14*(Data!A386-Vars!$B$3)</f>
        <v>0</v>
      </c>
      <c r="F386" s="3">
        <f>IF(($A386-Ft!B$2)&lt;0,Ft!B$3*((1-Ft!B$6)/(1+Ft!B$37*($A386-Ft!B$2)^2)+Ft!B$6*EXP(Ft!B$38*($A386-Ft!B$2)^2)),Ft!B$3*((1-Ft!B$7)/(1+Ft!B$39*($A386-Ft!B$2)^2)+Ft!B$7*EXP(Ft!B$40*($A386-Ft!B$2)^2)))</f>
        <v>8.616034598669952E-287</v>
      </c>
      <c r="G386" s="3">
        <f>IF(($A386-Ft!C$2)&lt;0,Ft!C$3*((1-Ft!C$6)/(1+Ft!C$37*($A386-Ft!C$2)^2)+Ft!C$6*EXP(Ft!C$38*($A386-Ft!C$2)^2)),Ft!C$3*((1-Ft!C$7)/(1+Ft!C$39*($A386-Ft!C$2)^2)+Ft!C$7*EXP(Ft!C$40*($A386-Ft!C$2)^2)))</f>
        <v>9.8338975577259092E-14</v>
      </c>
      <c r="H386" s="3">
        <f>IF(($A386-Ft!D$2)&lt;0,Ft!D$3*((1-Ft!D$6)/(1+Ft!D$37*($A386-Ft!D$2)^2)+Ft!D$6*EXP(Ft!D$38*($A386-Ft!D$2)^2)),Ft!D$3*((1-Ft!D$7)/(1+Ft!D$39*($A386-Ft!D$2)^2)+Ft!D$7*EXP(Ft!D$40*($A386-Ft!D$2)^2)))</f>
        <v>3.1969331912943075</v>
      </c>
      <c r="I386" s="3">
        <f>IF(($A386-Ft!E$2)&lt;0,Ft!E$3*((1-Ft!E$6)/(1+Ft!E$37*($A386-Ft!E$2)^2)+Ft!E$6*EXP(Ft!E$38*($A386-Ft!E$2)^2)),Ft!E$3*((1-Ft!E$7)/(1+Ft!E$39*($A386-Ft!E$2)^2)+Ft!E$7*EXP(Ft!E$40*($A386-Ft!E$2)^2)))</f>
        <v>14.417572355240248</v>
      </c>
      <c r="J386" s="3">
        <f>IF(($A386-Ft!F$2)&lt;0,Ft!F$3*((1-Ft!F$6)/(1+Ft!F$37*($A386-Ft!F$2)^2)+Ft!F$6*EXP(Ft!F$38*($A386-Ft!F$2)^2)),Ft!F$3*((1-Ft!F$7)/(1+Ft!F$39*($A386-Ft!F$2)^2)+Ft!F$7*EXP(Ft!F$40*($A386-Ft!F$2)^2)))</f>
        <v>2.2370679416933035E-6</v>
      </c>
      <c r="K386" s="3">
        <f>IF(($A386-Ft!G$2)&lt;0,Ft!G$3*((1-Ft!G$6)/(1+Ft!G$37*($A386-Ft!G$2)^2)+Ft!G$6*EXP(Ft!G$38*($A386-Ft!G$2)^2)),Ft!G$3*((1-Ft!G$7)/(1+Ft!G$39*($A386-Ft!G$2)^2)+Ft!G$7*EXP(Ft!G$40*($A386-Ft!G$2)^2)))</f>
        <v>1.067663922869213E-31</v>
      </c>
      <c r="L386" s="3">
        <f>IF(($A386-Ft!H$2)&lt;0,Ft!H$3*((1-Ft!H$6)/(1+Ft!H$37*($A386-Ft!H$2)^2)+Ft!H$6*EXP(Ft!H$38*($A386-Ft!H$2)^2)),Ft!H$3*((1-Ft!H$7)/(1+Ft!H$39*($A386-Ft!H$2)^2)+Ft!H$7*EXP(Ft!H$40*($A386-Ft!H$2)^2)))</f>
        <v>0</v>
      </c>
      <c r="M386" s="3">
        <f>IF(($A386-Ft!I$2)&lt;0,Ft!I$3*((1-Ft!I$6)/(1+Ft!I$37*($A386-Ft!I$2)^2)+Ft!I$6*EXP(Ft!I$38*($A386-Ft!I$2)^2)),Ft!I$3*((1-Ft!I$7)/(1+Ft!I$39*($A386-Ft!I$2)^2)+Ft!I$7*EXP(Ft!I$40*($A386-Ft!I$2)^2)))</f>
        <v>0</v>
      </c>
      <c r="N386" s="3">
        <f>IF(($A386-Ft!J$2)&lt;0,Ft!J$3*((1-Ft!J$6)/(1+Ft!J$37*($A386-Ft!J$2)^2)+Ft!J$6*EXP(Ft!J$38*($A386-Ft!J$2)^2)),Ft!J$3*((1-Ft!J$7)/(1+Ft!J$39*($A386-Ft!J$2)^2)+Ft!J$7*EXP(Ft!J$40*($A386-Ft!J$2)^2)))</f>
        <v>0</v>
      </c>
      <c r="O386" s="3">
        <f>IF(($A386-Ft!K$2)&lt;0,Ft!K$3*((1-Ft!K$6)/(1+Ft!K$37*($A386-Ft!K$2)^2)+Ft!K$6*EXP(Ft!K$38*($A386-Ft!K$2)^2)),Ft!K$3*((1-Ft!K$7)/(1+Ft!K$39*($A386-Ft!K$2)^2)+Ft!K$7*EXP(Ft!K$40*($A386-Ft!K$2)^2)))</f>
        <v>0</v>
      </c>
      <c r="P386"/>
      <c r="Q386"/>
    </row>
    <row r="387" spans="1:17">
      <c r="A387">
        <v>770</v>
      </c>
      <c r="B387">
        <v>17.541056398797991</v>
      </c>
      <c r="C387" s="6">
        <f t="shared" ref="C387:C450" si="13">SUM(E387:K387)</f>
        <v>17.620862484279094</v>
      </c>
      <c r="D387" s="19">
        <f t="shared" ref="D387:D450" si="14">(C387-B387)^2</f>
        <v>6.3690112798170688E-3</v>
      </c>
      <c r="E387" s="3">
        <f>Ft!$B$12+Ft!$B$14*(Data!A387-Vars!$B$3)</f>
        <v>0</v>
      </c>
      <c r="F387" s="3">
        <f>IF(($A387-Ft!B$2)&lt;0,Ft!B$3*((1-Ft!B$6)/(1+Ft!B$37*($A387-Ft!B$2)^2)+Ft!B$6*EXP(Ft!B$38*($A387-Ft!B$2)^2)),Ft!B$3*((1-Ft!B$7)/(1+Ft!B$39*($A387-Ft!B$2)^2)+Ft!B$7*EXP(Ft!B$40*($A387-Ft!B$2)^2)))</f>
        <v>2.2219543493321584E-288</v>
      </c>
      <c r="G387" s="3">
        <f>IF(($A387-Ft!C$2)&lt;0,Ft!C$3*((1-Ft!C$6)/(1+Ft!C$37*($A387-Ft!C$2)^2)+Ft!C$6*EXP(Ft!C$38*($A387-Ft!C$2)^2)),Ft!C$3*((1-Ft!C$7)/(1+Ft!C$39*($A387-Ft!C$2)^2)+Ft!C$7*EXP(Ft!C$40*($A387-Ft!C$2)^2)))</f>
        <v>8.0134895845189844E-14</v>
      </c>
      <c r="H387" s="3">
        <f>IF(($A387-Ft!D$2)&lt;0,Ft!D$3*((1-Ft!D$6)/(1+Ft!D$37*($A387-Ft!D$2)^2)+Ft!D$6*EXP(Ft!D$38*($A387-Ft!D$2)^2)),Ft!D$3*((1-Ft!D$7)/(1+Ft!D$39*($A387-Ft!D$2)^2)+Ft!D$7*EXP(Ft!D$40*($A387-Ft!D$2)^2)))</f>
        <v>3.1254666856021962</v>
      </c>
      <c r="I387" s="3">
        <f>IF(($A387-Ft!E$2)&lt;0,Ft!E$3*((1-Ft!E$6)/(1+Ft!E$37*($A387-Ft!E$2)^2)+Ft!E$6*EXP(Ft!E$38*($A387-Ft!E$2)^2)),Ft!E$3*((1-Ft!E$7)/(1+Ft!E$39*($A387-Ft!E$2)^2)+Ft!E$7*EXP(Ft!E$40*($A387-Ft!E$2)^2)))</f>
        <v>14.49539292766487</v>
      </c>
      <c r="J387" s="3">
        <f>IF(($A387-Ft!F$2)&lt;0,Ft!F$3*((1-Ft!F$6)/(1+Ft!F$37*($A387-Ft!F$2)^2)+Ft!F$6*EXP(Ft!F$38*($A387-Ft!F$2)^2)),Ft!F$3*((1-Ft!F$7)/(1+Ft!F$39*($A387-Ft!F$2)^2)+Ft!F$7*EXP(Ft!F$40*($A387-Ft!F$2)^2)))</f>
        <v>2.8710119484065604E-6</v>
      </c>
      <c r="K387" s="3">
        <f>IF(($A387-Ft!G$2)&lt;0,Ft!G$3*((1-Ft!G$6)/(1+Ft!G$37*($A387-Ft!G$2)^2)+Ft!G$6*EXP(Ft!G$38*($A387-Ft!G$2)^2)),Ft!G$3*((1-Ft!G$7)/(1+Ft!G$39*($A387-Ft!G$2)^2)+Ft!G$7*EXP(Ft!G$40*($A387-Ft!G$2)^2)))</f>
        <v>3.0539835690770648E-31</v>
      </c>
      <c r="L387" s="3">
        <f>IF(($A387-Ft!H$2)&lt;0,Ft!H$3*((1-Ft!H$6)/(1+Ft!H$37*($A387-Ft!H$2)^2)+Ft!H$6*EXP(Ft!H$38*($A387-Ft!H$2)^2)),Ft!H$3*((1-Ft!H$7)/(1+Ft!H$39*($A387-Ft!H$2)^2)+Ft!H$7*EXP(Ft!H$40*($A387-Ft!H$2)^2)))</f>
        <v>0</v>
      </c>
      <c r="M387" s="3">
        <f>IF(($A387-Ft!I$2)&lt;0,Ft!I$3*((1-Ft!I$6)/(1+Ft!I$37*($A387-Ft!I$2)^2)+Ft!I$6*EXP(Ft!I$38*($A387-Ft!I$2)^2)),Ft!I$3*((1-Ft!I$7)/(1+Ft!I$39*($A387-Ft!I$2)^2)+Ft!I$7*EXP(Ft!I$40*($A387-Ft!I$2)^2)))</f>
        <v>0</v>
      </c>
      <c r="N387" s="3">
        <f>IF(($A387-Ft!J$2)&lt;0,Ft!J$3*((1-Ft!J$6)/(1+Ft!J$37*($A387-Ft!J$2)^2)+Ft!J$6*EXP(Ft!J$38*($A387-Ft!J$2)^2)),Ft!J$3*((1-Ft!J$7)/(1+Ft!J$39*($A387-Ft!J$2)^2)+Ft!J$7*EXP(Ft!J$40*($A387-Ft!J$2)^2)))</f>
        <v>0</v>
      </c>
      <c r="O387" s="3">
        <f>IF(($A387-Ft!K$2)&lt;0,Ft!K$3*((1-Ft!K$6)/(1+Ft!K$37*($A387-Ft!K$2)^2)+Ft!K$6*EXP(Ft!K$38*($A387-Ft!K$2)^2)),Ft!K$3*((1-Ft!K$7)/(1+Ft!K$39*($A387-Ft!K$2)^2)+Ft!K$7*EXP(Ft!K$40*($A387-Ft!K$2)^2)))</f>
        <v>0</v>
      </c>
      <c r="P387"/>
      <c r="Q387"/>
    </row>
    <row r="388" spans="1:17">
      <c r="A388">
        <v>772</v>
      </c>
      <c r="B388">
        <v>17.531495721037999</v>
      </c>
      <c r="C388" s="6">
        <f t="shared" si="13"/>
        <v>17.625861543429711</v>
      </c>
      <c r="D388" s="19">
        <f t="shared" si="14"/>
        <v>8.9049084356641103E-3</v>
      </c>
      <c r="E388" s="3">
        <f>Ft!$B$12+Ft!$B$14*(Data!A388-Vars!$B$3)</f>
        <v>0</v>
      </c>
      <c r="F388" s="3">
        <f>IF(($A388-Ft!B$2)&lt;0,Ft!B$3*((1-Ft!B$6)/(1+Ft!B$37*($A388-Ft!B$2)^2)+Ft!B$6*EXP(Ft!B$38*($A388-Ft!B$2)^2)),Ft!B$3*((1-Ft!B$7)/(1+Ft!B$39*($A388-Ft!B$2)^2)+Ft!B$7*EXP(Ft!B$40*($A388-Ft!B$2)^2)))</f>
        <v>5.6724661202195964E-290</v>
      </c>
      <c r="G388" s="3">
        <f>IF(($A388-Ft!C$2)&lt;0,Ft!C$3*((1-Ft!C$6)/(1+Ft!C$37*($A388-Ft!C$2)^2)+Ft!C$6*EXP(Ft!C$38*($A388-Ft!C$2)^2)),Ft!C$3*((1-Ft!C$7)/(1+Ft!C$39*($A388-Ft!C$2)^2)+Ft!C$7*EXP(Ft!C$40*($A388-Ft!C$2)^2)))</f>
        <v>6.5258277446994317E-14</v>
      </c>
      <c r="H388" s="3">
        <f>IF(($A388-Ft!D$2)&lt;0,Ft!D$3*((1-Ft!D$6)/(1+Ft!D$37*($A388-Ft!D$2)^2)+Ft!D$6*EXP(Ft!D$38*($A388-Ft!D$2)^2)),Ft!D$3*((1-Ft!D$7)/(1+Ft!D$39*($A388-Ft!D$2)^2)+Ft!D$7*EXP(Ft!D$40*($A388-Ft!D$2)^2)))</f>
        <v>3.055158544242337</v>
      </c>
      <c r="I388" s="3">
        <f>IF(($A388-Ft!E$2)&lt;0,Ft!E$3*((1-Ft!E$6)/(1+Ft!E$37*($A388-Ft!E$2)^2)+Ft!E$6*EXP(Ft!E$38*($A388-Ft!E$2)^2)),Ft!E$3*((1-Ft!E$7)/(1+Ft!E$39*($A388-Ft!E$2)^2)+Ft!E$7*EXP(Ft!E$40*($A388-Ft!E$2)^2)))</f>
        <v>14.570699322505048</v>
      </c>
      <c r="J388" s="3">
        <f>IF(($A388-Ft!F$2)&lt;0,Ft!F$3*((1-Ft!F$6)/(1+Ft!F$37*($A388-Ft!F$2)^2)+Ft!F$6*EXP(Ft!F$38*($A388-Ft!F$2)^2)),Ft!F$3*((1-Ft!F$7)/(1+Ft!F$39*($A388-Ft!F$2)^2)+Ft!F$7*EXP(Ft!F$40*($A388-Ft!F$2)^2)))</f>
        <v>3.6766822614218934E-6</v>
      </c>
      <c r="K388" s="3">
        <f>IF(($A388-Ft!G$2)&lt;0,Ft!G$3*((1-Ft!G$6)/(1+Ft!G$37*($A388-Ft!G$2)^2)+Ft!G$6*EXP(Ft!G$38*($A388-Ft!G$2)^2)),Ft!G$3*((1-Ft!G$7)/(1+Ft!G$39*($A388-Ft!G$2)^2)+Ft!G$7*EXP(Ft!G$40*($A388-Ft!G$2)^2)))</f>
        <v>8.669534049041781E-31</v>
      </c>
      <c r="L388" s="3">
        <f>IF(($A388-Ft!H$2)&lt;0,Ft!H$3*((1-Ft!H$6)/(1+Ft!H$37*($A388-Ft!H$2)^2)+Ft!H$6*EXP(Ft!H$38*($A388-Ft!H$2)^2)),Ft!H$3*((1-Ft!H$7)/(1+Ft!H$39*($A388-Ft!H$2)^2)+Ft!H$7*EXP(Ft!H$40*($A388-Ft!H$2)^2)))</f>
        <v>0</v>
      </c>
      <c r="M388" s="3">
        <f>IF(($A388-Ft!I$2)&lt;0,Ft!I$3*((1-Ft!I$6)/(1+Ft!I$37*($A388-Ft!I$2)^2)+Ft!I$6*EXP(Ft!I$38*($A388-Ft!I$2)^2)),Ft!I$3*((1-Ft!I$7)/(1+Ft!I$39*($A388-Ft!I$2)^2)+Ft!I$7*EXP(Ft!I$40*($A388-Ft!I$2)^2)))</f>
        <v>0</v>
      </c>
      <c r="N388" s="3">
        <f>IF(($A388-Ft!J$2)&lt;0,Ft!J$3*((1-Ft!J$6)/(1+Ft!J$37*($A388-Ft!J$2)^2)+Ft!J$6*EXP(Ft!J$38*($A388-Ft!J$2)^2)),Ft!J$3*((1-Ft!J$7)/(1+Ft!J$39*($A388-Ft!J$2)^2)+Ft!J$7*EXP(Ft!J$40*($A388-Ft!J$2)^2)))</f>
        <v>0</v>
      </c>
      <c r="O388" s="3">
        <f>IF(($A388-Ft!K$2)&lt;0,Ft!K$3*((1-Ft!K$6)/(1+Ft!K$37*($A388-Ft!K$2)^2)+Ft!K$6*EXP(Ft!K$38*($A388-Ft!K$2)^2)),Ft!K$3*((1-Ft!K$7)/(1+Ft!K$39*($A388-Ft!K$2)^2)+Ft!K$7*EXP(Ft!K$40*($A388-Ft!K$2)^2)))</f>
        <v>0</v>
      </c>
      <c r="P388"/>
      <c r="Q388"/>
    </row>
    <row r="389" spans="1:17">
      <c r="A389">
        <v>774</v>
      </c>
      <c r="B389">
        <v>17.521164909183994</v>
      </c>
      <c r="C389" s="6">
        <f t="shared" si="13"/>
        <v>17.629455469664531</v>
      </c>
      <c r="D389" s="19">
        <f t="shared" si="14"/>
        <v>1.1726845489188814E-2</v>
      </c>
      <c r="E389" s="3">
        <f>Ft!$B$12+Ft!$B$14*(Data!A389-Vars!$B$3)</f>
        <v>0</v>
      </c>
      <c r="F389" s="3">
        <f>IF(($A389-Ft!B$2)&lt;0,Ft!B$3*((1-Ft!B$6)/(1+Ft!B$37*($A389-Ft!B$2)^2)+Ft!B$6*EXP(Ft!B$38*($A389-Ft!B$2)^2)),Ft!B$3*((1-Ft!B$7)/(1+Ft!B$39*($A389-Ft!B$2)^2)+Ft!B$7*EXP(Ft!B$40*($A389-Ft!B$2)^2)))</f>
        <v>1.4335662575360343E-291</v>
      </c>
      <c r="G389" s="3">
        <f>IF(($A389-Ft!C$2)&lt;0,Ft!C$3*((1-Ft!C$6)/(1+Ft!C$37*($A389-Ft!C$2)^2)+Ft!C$6*EXP(Ft!C$38*($A389-Ft!C$2)^2)),Ft!C$3*((1-Ft!C$7)/(1+Ft!C$39*($A389-Ft!C$2)^2)+Ft!C$7*EXP(Ft!C$40*($A389-Ft!C$2)^2)))</f>
        <v>5.3108919699483519E-14</v>
      </c>
      <c r="H389" s="3">
        <f>IF(($A389-Ft!D$2)&lt;0,Ft!D$3*((1-Ft!D$6)/(1+Ft!D$37*($A389-Ft!D$2)^2)+Ft!D$6*EXP(Ft!D$38*($A389-Ft!D$2)^2)),Ft!D$3*((1-Ft!D$7)/(1+Ft!D$39*($A389-Ft!D$2)^2)+Ft!D$7*EXP(Ft!D$40*($A389-Ft!D$2)^2)))</f>
        <v>2.9860026960468096</v>
      </c>
      <c r="I389" s="3">
        <f>IF(($A389-Ft!E$2)&lt;0,Ft!E$3*((1-Ft!E$6)/(1+Ft!E$37*($A389-Ft!E$2)^2)+Ft!E$6*EXP(Ft!E$38*($A389-Ft!E$2)^2)),Ft!E$3*((1-Ft!E$7)/(1+Ft!E$39*($A389-Ft!E$2)^2)+Ft!E$7*EXP(Ft!E$40*($A389-Ft!E$2)^2)))</f>
        <v>14.643448075298958</v>
      </c>
      <c r="J389" s="3">
        <f>IF(($A389-Ft!F$2)&lt;0,Ft!F$3*((1-Ft!F$6)/(1+Ft!F$37*($A389-Ft!F$2)^2)+Ft!F$6*EXP(Ft!F$38*($A389-Ft!F$2)^2)),Ft!F$3*((1-Ft!F$7)/(1+Ft!F$39*($A389-Ft!F$2)^2)+Ft!F$7*EXP(Ft!F$40*($A389-Ft!F$2)^2)))</f>
        <v>4.698318710643163E-6</v>
      </c>
      <c r="K389" s="3">
        <f>IF(($A389-Ft!G$2)&lt;0,Ft!G$3*((1-Ft!G$6)/(1+Ft!G$37*($A389-Ft!G$2)^2)+Ft!G$6*EXP(Ft!G$38*($A389-Ft!G$2)^2)),Ft!G$3*((1-Ft!G$7)/(1+Ft!G$39*($A389-Ft!G$2)^2)+Ft!G$7*EXP(Ft!G$40*($A389-Ft!G$2)^2)))</f>
        <v>2.442427882625862E-30</v>
      </c>
      <c r="L389" s="3">
        <f>IF(($A389-Ft!H$2)&lt;0,Ft!H$3*((1-Ft!H$6)/(1+Ft!H$37*($A389-Ft!H$2)^2)+Ft!H$6*EXP(Ft!H$38*($A389-Ft!H$2)^2)),Ft!H$3*((1-Ft!H$7)/(1+Ft!H$39*($A389-Ft!H$2)^2)+Ft!H$7*EXP(Ft!H$40*($A389-Ft!H$2)^2)))</f>
        <v>0</v>
      </c>
      <c r="M389" s="3">
        <f>IF(($A389-Ft!I$2)&lt;0,Ft!I$3*((1-Ft!I$6)/(1+Ft!I$37*($A389-Ft!I$2)^2)+Ft!I$6*EXP(Ft!I$38*($A389-Ft!I$2)^2)),Ft!I$3*((1-Ft!I$7)/(1+Ft!I$39*($A389-Ft!I$2)^2)+Ft!I$7*EXP(Ft!I$40*($A389-Ft!I$2)^2)))</f>
        <v>0</v>
      </c>
      <c r="N389" s="3">
        <f>IF(($A389-Ft!J$2)&lt;0,Ft!J$3*((1-Ft!J$6)/(1+Ft!J$37*($A389-Ft!J$2)^2)+Ft!J$6*EXP(Ft!J$38*($A389-Ft!J$2)^2)),Ft!J$3*((1-Ft!J$7)/(1+Ft!J$39*($A389-Ft!J$2)^2)+Ft!J$7*EXP(Ft!J$40*($A389-Ft!J$2)^2)))</f>
        <v>0</v>
      </c>
      <c r="O389" s="3">
        <f>IF(($A389-Ft!K$2)&lt;0,Ft!K$3*((1-Ft!K$6)/(1+Ft!K$37*($A389-Ft!K$2)^2)+Ft!K$6*EXP(Ft!K$38*($A389-Ft!K$2)^2)),Ft!K$3*((1-Ft!K$7)/(1+Ft!K$39*($A389-Ft!K$2)^2)+Ft!K$7*EXP(Ft!K$40*($A389-Ft!K$2)^2)))</f>
        <v>0</v>
      </c>
      <c r="P389"/>
      <c r="Q389"/>
    </row>
    <row r="390" spans="1:17">
      <c r="A390">
        <v>776</v>
      </c>
      <c r="B390">
        <v>17.509830096705002</v>
      </c>
      <c r="C390" s="6">
        <f t="shared" si="13"/>
        <v>17.631595755413798</v>
      </c>
      <c r="D390" s="19">
        <f t="shared" si="14"/>
        <v>1.4826875640786951E-2</v>
      </c>
      <c r="E390" s="3">
        <f>Ft!$B$12+Ft!$B$14*(Data!A390-Vars!$B$3)</f>
        <v>0</v>
      </c>
      <c r="F390" s="3">
        <f>IF(($A390-Ft!B$2)&lt;0,Ft!B$3*((1-Ft!B$6)/(1+Ft!B$37*($A390-Ft!B$2)^2)+Ft!B$6*EXP(Ft!B$38*($A390-Ft!B$2)^2)),Ft!B$3*((1-Ft!B$7)/(1+Ft!B$39*($A390-Ft!B$2)^2)+Ft!B$7*EXP(Ft!B$40*($A390-Ft!B$2)^2)))</f>
        <v>3.5865154892738555E-293</v>
      </c>
      <c r="G390" s="3">
        <f>IF(($A390-Ft!C$2)&lt;0,Ft!C$3*((1-Ft!C$6)/(1+Ft!C$37*($A390-Ft!C$2)^2)+Ft!C$6*EXP(Ft!C$38*($A390-Ft!C$2)^2)),Ft!C$3*((1-Ft!C$7)/(1+Ft!C$39*($A390-Ft!C$2)^2)+Ft!C$7*EXP(Ft!C$40*($A390-Ft!C$2)^2)))</f>
        <v>4.3193387059356809E-14</v>
      </c>
      <c r="H390" s="3">
        <f>IF(($A390-Ft!D$2)&lt;0,Ft!D$3*((1-Ft!D$6)/(1+Ft!D$37*($A390-Ft!D$2)^2)+Ft!D$6*EXP(Ft!D$38*($A390-Ft!D$2)^2)),Ft!D$3*((1-Ft!D$7)/(1+Ft!D$39*($A390-Ft!D$2)^2)+Ft!D$7*EXP(Ft!D$40*($A390-Ft!D$2)^2)))</f>
        <v>2.9179927155420451</v>
      </c>
      <c r="I390" s="3">
        <f>IF(($A390-Ft!E$2)&lt;0,Ft!E$3*((1-Ft!E$6)/(1+Ft!E$37*($A390-Ft!E$2)^2)+Ft!E$6*EXP(Ft!E$38*($A390-Ft!E$2)^2)),Ft!E$3*((1-Ft!E$7)/(1+Ft!E$39*($A390-Ft!E$2)^2)+Ft!E$7*EXP(Ft!E$40*($A390-Ft!E$2)^2)))</f>
        <v>14.713597048943408</v>
      </c>
      <c r="J390" s="3">
        <f>IF(($A390-Ft!F$2)&lt;0,Ft!F$3*((1-Ft!F$6)/(1+Ft!F$37*($A390-Ft!F$2)^2)+Ft!F$6*EXP(Ft!F$38*($A390-Ft!F$2)^2)),Ft!F$3*((1-Ft!F$7)/(1+Ft!F$39*($A390-Ft!F$2)^2)+Ft!F$7*EXP(Ft!F$40*($A390-Ft!F$2)^2)))</f>
        <v>5.9909283008365097E-6</v>
      </c>
      <c r="K390" s="3">
        <f>IF(($A390-Ft!G$2)&lt;0,Ft!G$3*((1-Ft!G$6)/(1+Ft!G$37*($A390-Ft!G$2)^2)+Ft!G$6*EXP(Ft!G$38*($A390-Ft!G$2)^2)),Ft!G$3*((1-Ft!G$7)/(1+Ft!G$39*($A390-Ft!G$2)^2)+Ft!G$7*EXP(Ft!G$40*($A390-Ft!G$2)^2)))</f>
        <v>6.8288044111589581E-30</v>
      </c>
      <c r="L390" s="3">
        <f>IF(($A390-Ft!H$2)&lt;0,Ft!H$3*((1-Ft!H$6)/(1+Ft!H$37*($A390-Ft!H$2)^2)+Ft!H$6*EXP(Ft!H$38*($A390-Ft!H$2)^2)),Ft!H$3*((1-Ft!H$7)/(1+Ft!H$39*($A390-Ft!H$2)^2)+Ft!H$7*EXP(Ft!H$40*($A390-Ft!H$2)^2)))</f>
        <v>0</v>
      </c>
      <c r="M390" s="3">
        <f>IF(($A390-Ft!I$2)&lt;0,Ft!I$3*((1-Ft!I$6)/(1+Ft!I$37*($A390-Ft!I$2)^2)+Ft!I$6*EXP(Ft!I$38*($A390-Ft!I$2)^2)),Ft!I$3*((1-Ft!I$7)/(1+Ft!I$39*($A390-Ft!I$2)^2)+Ft!I$7*EXP(Ft!I$40*($A390-Ft!I$2)^2)))</f>
        <v>0</v>
      </c>
      <c r="N390" s="3">
        <f>IF(($A390-Ft!J$2)&lt;0,Ft!J$3*((1-Ft!J$6)/(1+Ft!J$37*($A390-Ft!J$2)^2)+Ft!J$6*EXP(Ft!J$38*($A390-Ft!J$2)^2)),Ft!J$3*((1-Ft!J$7)/(1+Ft!J$39*($A390-Ft!J$2)^2)+Ft!J$7*EXP(Ft!J$40*($A390-Ft!J$2)^2)))</f>
        <v>0</v>
      </c>
      <c r="O390" s="3">
        <f>IF(($A390-Ft!K$2)&lt;0,Ft!K$3*((1-Ft!K$6)/(1+Ft!K$37*($A390-Ft!K$2)^2)+Ft!K$6*EXP(Ft!K$38*($A390-Ft!K$2)^2)),Ft!K$3*((1-Ft!K$7)/(1+Ft!K$39*($A390-Ft!K$2)^2)+Ft!K$7*EXP(Ft!K$40*($A390-Ft!K$2)^2)))</f>
        <v>0</v>
      </c>
      <c r="P390"/>
      <c r="Q390"/>
    </row>
    <row r="391" spans="1:17">
      <c r="A391">
        <v>778</v>
      </c>
      <c r="B391">
        <v>17.497865497522994</v>
      </c>
      <c r="C391" s="6">
        <f t="shared" si="13"/>
        <v>17.632234931698708</v>
      </c>
      <c r="D391" s="19">
        <f t="shared" si="14"/>
        <v>1.805514484070142E-2</v>
      </c>
      <c r="E391" s="3">
        <f>Ft!$B$12+Ft!$B$14*(Data!A391-Vars!$B$3)</f>
        <v>0</v>
      </c>
      <c r="F391" s="3">
        <f>IF(($A391-Ft!B$2)&lt;0,Ft!B$3*((1-Ft!B$6)/(1+Ft!B$37*($A391-Ft!B$2)^2)+Ft!B$6*EXP(Ft!B$38*($A391-Ft!B$2)^2)),Ft!B$3*((1-Ft!B$7)/(1+Ft!B$39*($A391-Ft!B$2)^2)+Ft!B$7*EXP(Ft!B$40*($A391-Ft!B$2)^2)))</f>
        <v>8.8825310078888697E-295</v>
      </c>
      <c r="G391" s="3">
        <f>IF(($A391-Ft!C$2)&lt;0,Ft!C$3*((1-Ft!C$6)/(1+Ft!C$37*($A391-Ft!C$2)^2)+Ft!C$6*EXP(Ft!C$38*($A391-Ft!C$2)^2)),Ft!C$3*((1-Ft!C$7)/(1+Ft!C$39*($A391-Ft!C$2)^2)+Ft!C$7*EXP(Ft!C$40*($A391-Ft!C$2)^2)))</f>
        <v>3.5106294116134474E-14</v>
      </c>
      <c r="H391" s="3">
        <f>IF(($A391-Ft!D$2)&lt;0,Ft!D$3*((1-Ft!D$6)/(1+Ft!D$37*($A391-Ft!D$2)^2)+Ft!D$6*EXP(Ft!D$38*($A391-Ft!D$2)^2)),Ft!D$3*((1-Ft!D$7)/(1+Ft!D$39*($A391-Ft!D$2)^2)+Ft!D$7*EXP(Ft!D$40*($A391-Ft!D$2)^2)))</f>
        <v>2.8511218346210252</v>
      </c>
      <c r="I391" s="3">
        <f>IF(($A391-Ft!E$2)&lt;0,Ft!E$3*((1-Ft!E$6)/(1+Ft!E$37*($A391-Ft!E$2)^2)+Ft!E$6*EXP(Ft!E$38*($A391-Ft!E$2)^2)),Ft!E$3*((1-Ft!E$7)/(1+Ft!E$39*($A391-Ft!E$2)^2)+Ft!E$7*EXP(Ft!E$40*($A391-Ft!E$2)^2)))</f>
        <v>14.781105474338746</v>
      </c>
      <c r="J391" s="3">
        <f>IF(($A391-Ft!F$2)&lt;0,Ft!F$3*((1-Ft!F$6)/(1+Ft!F$37*($A391-Ft!F$2)^2)+Ft!F$6*EXP(Ft!F$38*($A391-Ft!F$2)^2)),Ft!F$3*((1-Ft!F$7)/(1+Ft!F$39*($A391-Ft!F$2)^2)+Ft!F$7*EXP(Ft!F$40*($A391-Ft!F$2)^2)))</f>
        <v>7.6227389018309955E-6</v>
      </c>
      <c r="K391" s="3">
        <f>IF(($A391-Ft!G$2)&lt;0,Ft!G$3*((1-Ft!G$6)/(1+Ft!G$37*($A391-Ft!G$2)^2)+Ft!G$6*EXP(Ft!G$38*($A391-Ft!G$2)^2)),Ft!G$3*((1-Ft!G$7)/(1+Ft!G$39*($A391-Ft!G$2)^2)+Ft!G$7*EXP(Ft!G$40*($A391-Ft!G$2)^2)))</f>
        <v>1.8948050382565249E-29</v>
      </c>
      <c r="L391" s="3">
        <f>IF(($A391-Ft!H$2)&lt;0,Ft!H$3*((1-Ft!H$6)/(1+Ft!H$37*($A391-Ft!H$2)^2)+Ft!H$6*EXP(Ft!H$38*($A391-Ft!H$2)^2)),Ft!H$3*((1-Ft!H$7)/(1+Ft!H$39*($A391-Ft!H$2)^2)+Ft!H$7*EXP(Ft!H$40*($A391-Ft!H$2)^2)))</f>
        <v>0</v>
      </c>
      <c r="M391" s="3">
        <f>IF(($A391-Ft!I$2)&lt;0,Ft!I$3*((1-Ft!I$6)/(1+Ft!I$37*($A391-Ft!I$2)^2)+Ft!I$6*EXP(Ft!I$38*($A391-Ft!I$2)^2)),Ft!I$3*((1-Ft!I$7)/(1+Ft!I$39*($A391-Ft!I$2)^2)+Ft!I$7*EXP(Ft!I$40*($A391-Ft!I$2)^2)))</f>
        <v>0</v>
      </c>
      <c r="N391" s="3">
        <f>IF(($A391-Ft!J$2)&lt;0,Ft!J$3*((1-Ft!J$6)/(1+Ft!J$37*($A391-Ft!J$2)^2)+Ft!J$6*EXP(Ft!J$38*($A391-Ft!J$2)^2)),Ft!J$3*((1-Ft!J$7)/(1+Ft!J$39*($A391-Ft!J$2)^2)+Ft!J$7*EXP(Ft!J$40*($A391-Ft!J$2)^2)))</f>
        <v>0</v>
      </c>
      <c r="O391" s="3">
        <f>IF(($A391-Ft!K$2)&lt;0,Ft!K$3*((1-Ft!K$6)/(1+Ft!K$37*($A391-Ft!K$2)^2)+Ft!K$6*EXP(Ft!K$38*($A391-Ft!K$2)^2)),Ft!K$3*((1-Ft!K$7)/(1+Ft!K$39*($A391-Ft!K$2)^2)+Ft!K$7*EXP(Ft!K$40*($A391-Ft!K$2)^2)))</f>
        <v>0</v>
      </c>
      <c r="P391"/>
      <c r="Q391"/>
    </row>
    <row r="392" spans="1:17">
      <c r="A392">
        <v>780</v>
      </c>
      <c r="B392">
        <v>17.485613556811998</v>
      </c>
      <c r="C392" s="6">
        <f t="shared" si="13"/>
        <v>17.631326622215965</v>
      </c>
      <c r="D392" s="19">
        <f t="shared" si="14"/>
        <v>2.1232297429420861E-2</v>
      </c>
      <c r="E392" s="3">
        <f>Ft!$B$12+Ft!$B$14*(Data!A392-Vars!$B$3)</f>
        <v>0</v>
      </c>
      <c r="F392" s="3">
        <f>IF(($A392-Ft!B$2)&lt;0,Ft!B$3*((1-Ft!B$6)/(1+Ft!B$37*($A392-Ft!B$2)^2)+Ft!B$6*EXP(Ft!B$38*($A392-Ft!B$2)^2)),Ft!B$3*((1-Ft!B$7)/(1+Ft!B$39*($A392-Ft!B$2)^2)+Ft!B$7*EXP(Ft!B$40*($A392-Ft!B$2)^2)))</f>
        <v>2.1777590872172496E-296</v>
      </c>
      <c r="G392" s="3">
        <f>IF(($A392-Ft!C$2)&lt;0,Ft!C$3*((1-Ft!C$6)/(1+Ft!C$37*($A392-Ft!C$2)^2)+Ft!C$6*EXP(Ft!C$38*($A392-Ft!C$2)^2)),Ft!C$3*((1-Ft!C$7)/(1+Ft!C$39*($A392-Ft!C$2)^2)+Ft!C$7*EXP(Ft!C$40*($A392-Ft!C$2)^2)))</f>
        <v>2.8514820699114831E-14</v>
      </c>
      <c r="H392" s="3">
        <f>IF(($A392-Ft!D$2)&lt;0,Ft!D$3*((1-Ft!D$6)/(1+Ft!D$37*($A392-Ft!D$2)^2)+Ft!D$6*EXP(Ft!D$38*($A392-Ft!D$2)^2)),Ft!D$3*((1-Ft!D$7)/(1+Ft!D$39*($A392-Ft!D$2)^2)+Ft!D$7*EXP(Ft!D$40*($A392-Ft!D$2)^2)))</f>
        <v>2.7853829541939099</v>
      </c>
      <c r="I392" s="3">
        <f>IF(($A392-Ft!E$2)&lt;0,Ft!E$3*((1-Ft!E$6)/(1+Ft!E$37*($A392-Ft!E$2)^2)+Ft!E$6*EXP(Ft!E$38*($A392-Ft!E$2)^2)),Ft!E$3*((1-Ft!E$7)/(1+Ft!E$39*($A392-Ft!E$2)^2)+Ft!E$7*EXP(Ft!E$40*($A392-Ft!E$2)^2)))</f>
        <v>14.845933989852149</v>
      </c>
      <c r="J392" s="3">
        <f>IF(($A392-Ft!F$2)&lt;0,Ft!F$3*((1-Ft!F$6)/(1+Ft!F$37*($A392-Ft!F$2)^2)+Ft!F$6*EXP(Ft!F$38*($A392-Ft!F$2)^2)),Ft!F$3*((1-Ft!F$7)/(1+Ft!F$39*($A392-Ft!F$2)^2)+Ft!F$7*EXP(Ft!F$40*($A392-Ft!F$2)^2)))</f>
        <v>9.6781698766407571E-6</v>
      </c>
      <c r="K392" s="3">
        <f>IF(($A392-Ft!G$2)&lt;0,Ft!G$3*((1-Ft!G$6)/(1+Ft!G$37*($A392-Ft!G$2)^2)+Ft!G$6*EXP(Ft!G$38*($A392-Ft!G$2)^2)),Ft!G$3*((1-Ft!G$7)/(1+Ft!G$39*($A392-Ft!G$2)^2)+Ft!G$7*EXP(Ft!G$40*($A392-Ft!G$2)^2)))</f>
        <v>5.2177266097492252E-29</v>
      </c>
      <c r="L392" s="3">
        <f>IF(($A392-Ft!H$2)&lt;0,Ft!H$3*((1-Ft!H$6)/(1+Ft!H$37*($A392-Ft!H$2)^2)+Ft!H$6*EXP(Ft!H$38*($A392-Ft!H$2)^2)),Ft!H$3*((1-Ft!H$7)/(1+Ft!H$39*($A392-Ft!H$2)^2)+Ft!H$7*EXP(Ft!H$40*($A392-Ft!H$2)^2)))</f>
        <v>0</v>
      </c>
      <c r="M392" s="3">
        <f>IF(($A392-Ft!I$2)&lt;0,Ft!I$3*((1-Ft!I$6)/(1+Ft!I$37*($A392-Ft!I$2)^2)+Ft!I$6*EXP(Ft!I$38*($A392-Ft!I$2)^2)),Ft!I$3*((1-Ft!I$7)/(1+Ft!I$39*($A392-Ft!I$2)^2)+Ft!I$7*EXP(Ft!I$40*($A392-Ft!I$2)^2)))</f>
        <v>0</v>
      </c>
      <c r="N392" s="3">
        <f>IF(($A392-Ft!J$2)&lt;0,Ft!J$3*((1-Ft!J$6)/(1+Ft!J$37*($A392-Ft!J$2)^2)+Ft!J$6*EXP(Ft!J$38*($A392-Ft!J$2)^2)),Ft!J$3*((1-Ft!J$7)/(1+Ft!J$39*($A392-Ft!J$2)^2)+Ft!J$7*EXP(Ft!J$40*($A392-Ft!J$2)^2)))</f>
        <v>0</v>
      </c>
      <c r="O392" s="3">
        <f>IF(($A392-Ft!K$2)&lt;0,Ft!K$3*((1-Ft!K$6)/(1+Ft!K$37*($A392-Ft!K$2)^2)+Ft!K$6*EXP(Ft!K$38*($A392-Ft!K$2)^2)),Ft!K$3*((1-Ft!K$7)/(1+Ft!K$39*($A392-Ft!K$2)^2)+Ft!K$7*EXP(Ft!K$40*($A392-Ft!K$2)^2)))</f>
        <v>0</v>
      </c>
      <c r="P392"/>
      <c r="Q392"/>
    </row>
    <row r="393" spans="1:17">
      <c r="A393">
        <v>782</v>
      </c>
      <c r="B393">
        <v>17.472792754919993</v>
      </c>
      <c r="C393" s="6">
        <f t="shared" si="13"/>
        <v>17.628825596771961</v>
      </c>
      <c r="D393" s="19">
        <f t="shared" si="14"/>
        <v>2.4346247736401077E-2</v>
      </c>
      <c r="E393" s="3">
        <f>Ft!$B$12+Ft!$B$14*(Data!A393-Vars!$B$3)</f>
        <v>0</v>
      </c>
      <c r="F393" s="3">
        <f>IF(($A393-Ft!B$2)&lt;0,Ft!B$3*((1-Ft!B$6)/(1+Ft!B$37*($A393-Ft!B$2)^2)+Ft!B$6*EXP(Ft!B$38*($A393-Ft!B$2)^2)),Ft!B$3*((1-Ft!B$7)/(1+Ft!B$39*($A393-Ft!B$2)^2)+Ft!B$7*EXP(Ft!B$40*($A393-Ft!B$2)^2)))</f>
        <v>5.2855723013109723E-298</v>
      </c>
      <c r="G393" s="3">
        <f>IF(($A393-Ft!C$2)&lt;0,Ft!C$3*((1-Ft!C$6)/(1+Ft!C$37*($A393-Ft!C$2)^2)+Ft!C$6*EXP(Ft!C$38*($A393-Ft!C$2)^2)),Ft!C$3*((1-Ft!C$7)/(1+Ft!C$39*($A393-Ft!C$2)^2)+Ft!C$7*EXP(Ft!C$40*($A393-Ft!C$2)^2)))</f>
        <v>2.3145908686019324E-14</v>
      </c>
      <c r="H393" s="3">
        <f>IF(($A393-Ft!D$2)&lt;0,Ft!D$3*((1-Ft!D$6)/(1+Ft!D$37*($A393-Ft!D$2)^2)+Ft!D$6*EXP(Ft!D$38*($A393-Ft!D$2)^2)),Ft!D$3*((1-Ft!D$7)/(1+Ft!D$39*($A393-Ft!D$2)^2)+Ft!D$7*EXP(Ft!D$40*($A393-Ft!D$2)^2)))</f>
        <v>2.7207686558076651</v>
      </c>
      <c r="I393" s="3">
        <f>IF(($A393-Ft!E$2)&lt;0,Ft!E$3*((1-Ft!E$6)/(1+Ft!E$37*($A393-Ft!E$2)^2)+Ft!E$6*EXP(Ft!E$38*($A393-Ft!E$2)^2)),Ft!E$3*((1-Ft!E$7)/(1+Ft!E$39*($A393-Ft!E$2)^2)+Ft!E$7*EXP(Ft!E$40*($A393-Ft!E$2)^2)))</f>
        <v>14.908044679545897</v>
      </c>
      <c r="J393" s="3">
        <f>IF(($A393-Ft!F$2)&lt;0,Ft!F$3*((1-Ft!F$6)/(1+Ft!F$37*($A393-Ft!F$2)^2)+Ft!F$6*EXP(Ft!F$38*($A393-Ft!F$2)^2)),Ft!F$3*((1-Ft!F$7)/(1+Ft!F$39*($A393-Ft!F$2)^2)+Ft!F$7*EXP(Ft!F$40*($A393-Ft!F$2)^2)))</f>
        <v>1.226141837771179E-5</v>
      </c>
      <c r="K393" s="3">
        <f>IF(($A393-Ft!G$2)&lt;0,Ft!G$3*((1-Ft!G$6)/(1+Ft!G$37*($A393-Ft!G$2)^2)+Ft!G$6*EXP(Ft!G$38*($A393-Ft!G$2)^2)),Ft!G$3*((1-Ft!G$7)/(1+Ft!G$39*($A393-Ft!G$2)^2)+Ft!G$7*EXP(Ft!G$40*($A393-Ft!G$2)^2)))</f>
        <v>1.4259196079125402E-28</v>
      </c>
      <c r="L393" s="3">
        <f>IF(($A393-Ft!H$2)&lt;0,Ft!H$3*((1-Ft!H$6)/(1+Ft!H$37*($A393-Ft!H$2)^2)+Ft!H$6*EXP(Ft!H$38*($A393-Ft!H$2)^2)),Ft!H$3*((1-Ft!H$7)/(1+Ft!H$39*($A393-Ft!H$2)^2)+Ft!H$7*EXP(Ft!H$40*($A393-Ft!H$2)^2)))</f>
        <v>0</v>
      </c>
      <c r="M393" s="3">
        <f>IF(($A393-Ft!I$2)&lt;0,Ft!I$3*((1-Ft!I$6)/(1+Ft!I$37*($A393-Ft!I$2)^2)+Ft!I$6*EXP(Ft!I$38*($A393-Ft!I$2)^2)),Ft!I$3*((1-Ft!I$7)/(1+Ft!I$39*($A393-Ft!I$2)^2)+Ft!I$7*EXP(Ft!I$40*($A393-Ft!I$2)^2)))</f>
        <v>0</v>
      </c>
      <c r="N393" s="3">
        <f>IF(($A393-Ft!J$2)&lt;0,Ft!J$3*((1-Ft!J$6)/(1+Ft!J$37*($A393-Ft!J$2)^2)+Ft!J$6*EXP(Ft!J$38*($A393-Ft!J$2)^2)),Ft!J$3*((1-Ft!J$7)/(1+Ft!J$39*($A393-Ft!J$2)^2)+Ft!J$7*EXP(Ft!J$40*($A393-Ft!J$2)^2)))</f>
        <v>0</v>
      </c>
      <c r="O393" s="3">
        <f>IF(($A393-Ft!K$2)&lt;0,Ft!K$3*((1-Ft!K$6)/(1+Ft!K$37*($A393-Ft!K$2)^2)+Ft!K$6*EXP(Ft!K$38*($A393-Ft!K$2)^2)),Ft!K$3*((1-Ft!K$7)/(1+Ft!K$39*($A393-Ft!K$2)^2)+Ft!K$7*EXP(Ft!K$40*($A393-Ft!K$2)^2)))</f>
        <v>0</v>
      </c>
      <c r="P393"/>
      <c r="Q393"/>
    </row>
    <row r="394" spans="1:17">
      <c r="A394">
        <v>784</v>
      </c>
      <c r="B394">
        <v>17.459121572198995</v>
      </c>
      <c r="C394" s="6">
        <f t="shared" si="13"/>
        <v>17.624687824120706</v>
      </c>
      <c r="D394" s="19">
        <f t="shared" si="14"/>
        <v>2.7412183775403227E-2</v>
      </c>
      <c r="E394" s="3">
        <f>Ft!$B$12+Ft!$B$14*(Data!A394-Vars!$B$3)</f>
        <v>0</v>
      </c>
      <c r="F394" s="3">
        <f>IF(($A394-Ft!B$2)&lt;0,Ft!B$3*((1-Ft!B$6)/(1+Ft!B$37*($A394-Ft!B$2)^2)+Ft!B$6*EXP(Ft!B$38*($A394-Ft!B$2)^2)),Ft!B$3*((1-Ft!B$7)/(1+Ft!B$39*($A394-Ft!B$2)^2)+Ft!B$7*EXP(Ft!B$40*($A394-Ft!B$2)^2)))</f>
        <v>1.2699402325356008E-299</v>
      </c>
      <c r="G394" s="3">
        <f>IF(($A394-Ft!C$2)&lt;0,Ft!C$3*((1-Ft!C$6)/(1+Ft!C$37*($A394-Ft!C$2)^2)+Ft!C$6*EXP(Ft!C$38*($A394-Ft!C$2)^2)),Ft!C$3*((1-Ft!C$7)/(1+Ft!C$39*($A394-Ft!C$2)^2)+Ft!C$7*EXP(Ft!C$40*($A394-Ft!C$2)^2)))</f>
        <v>1.8775683595939352E-14</v>
      </c>
      <c r="H394" s="3">
        <f>IF(($A394-Ft!D$2)&lt;0,Ft!D$3*((1-Ft!D$6)/(1+Ft!D$37*($A394-Ft!D$2)^2)+Ft!D$6*EXP(Ft!D$38*($A394-Ft!D$2)^2)),Ft!D$3*((1-Ft!D$7)/(1+Ft!D$39*($A394-Ft!D$2)^2)+Ft!D$7*EXP(Ft!D$40*($A394-Ft!D$2)^2)))</f>
        <v>2.6572712132254912</v>
      </c>
      <c r="I394" s="3">
        <f>IF(($A394-Ft!E$2)&lt;0,Ft!E$3*((1-Ft!E$6)/(1+Ft!E$37*($A394-Ft!E$2)^2)+Ft!E$6*EXP(Ft!E$38*($A394-Ft!E$2)^2)),Ft!E$3*((1-Ft!E$7)/(1+Ft!E$39*($A394-Ft!E$2)^2)+Ft!E$7*EXP(Ft!E$40*($A394-Ft!E$2)^2)))</f>
        <v>14.96740111011863</v>
      </c>
      <c r="J394" s="3">
        <f>IF(($A394-Ft!F$2)&lt;0,Ft!F$3*((1-Ft!F$6)/(1+Ft!F$37*($A394-Ft!F$2)^2)+Ft!F$6*EXP(Ft!F$38*($A394-Ft!F$2)^2)),Ft!F$3*((1-Ft!F$7)/(1+Ft!F$39*($A394-Ft!F$2)^2)+Ft!F$7*EXP(Ft!F$40*($A394-Ft!F$2)^2)))</f>
        <v>1.5500776566461849E-5</v>
      </c>
      <c r="K394" s="3">
        <f>IF(($A394-Ft!G$2)&lt;0,Ft!G$3*((1-Ft!G$6)/(1+Ft!G$37*($A394-Ft!G$2)^2)+Ft!G$6*EXP(Ft!G$38*($A394-Ft!G$2)^2)),Ft!G$3*((1-Ft!G$7)/(1+Ft!G$39*($A394-Ft!G$2)^2)+Ft!G$7*EXP(Ft!G$40*($A394-Ft!G$2)^2)))</f>
        <v>3.867280688042884E-28</v>
      </c>
      <c r="L394" s="3">
        <f>IF(($A394-Ft!H$2)&lt;0,Ft!H$3*((1-Ft!H$6)/(1+Ft!H$37*($A394-Ft!H$2)^2)+Ft!H$6*EXP(Ft!H$38*($A394-Ft!H$2)^2)),Ft!H$3*((1-Ft!H$7)/(1+Ft!H$39*($A394-Ft!H$2)^2)+Ft!H$7*EXP(Ft!H$40*($A394-Ft!H$2)^2)))</f>
        <v>0</v>
      </c>
      <c r="M394" s="3">
        <f>IF(($A394-Ft!I$2)&lt;0,Ft!I$3*((1-Ft!I$6)/(1+Ft!I$37*($A394-Ft!I$2)^2)+Ft!I$6*EXP(Ft!I$38*($A394-Ft!I$2)^2)),Ft!I$3*((1-Ft!I$7)/(1+Ft!I$39*($A394-Ft!I$2)^2)+Ft!I$7*EXP(Ft!I$40*($A394-Ft!I$2)^2)))</f>
        <v>0</v>
      </c>
      <c r="N394" s="3">
        <f>IF(($A394-Ft!J$2)&lt;0,Ft!J$3*((1-Ft!J$6)/(1+Ft!J$37*($A394-Ft!J$2)^2)+Ft!J$6*EXP(Ft!J$38*($A394-Ft!J$2)^2)),Ft!J$3*((1-Ft!J$7)/(1+Ft!J$39*($A394-Ft!J$2)^2)+Ft!J$7*EXP(Ft!J$40*($A394-Ft!J$2)^2)))</f>
        <v>0</v>
      </c>
      <c r="O394" s="3">
        <f>IF(($A394-Ft!K$2)&lt;0,Ft!K$3*((1-Ft!K$6)/(1+Ft!K$37*($A394-Ft!K$2)^2)+Ft!K$6*EXP(Ft!K$38*($A394-Ft!K$2)^2)),Ft!K$3*((1-Ft!K$7)/(1+Ft!K$39*($A394-Ft!K$2)^2)+Ft!K$7*EXP(Ft!K$40*($A394-Ft!K$2)^2)))</f>
        <v>0</v>
      </c>
      <c r="P394"/>
      <c r="Q394"/>
    </row>
    <row r="395" spans="1:17">
      <c r="A395">
        <v>786</v>
      </c>
      <c r="B395">
        <v>17.444318488996998</v>
      </c>
      <c r="C395" s="6">
        <f t="shared" si="13"/>
        <v>17.618870524280183</v>
      </c>
      <c r="D395" s="19">
        <f t="shared" si="14"/>
        <v>3.0468413021502133E-2</v>
      </c>
      <c r="E395" s="3">
        <f>Ft!$B$12+Ft!$B$14*(Data!A395-Vars!$B$3)</f>
        <v>0</v>
      </c>
      <c r="F395" s="3">
        <f>IF(($A395-Ft!B$2)&lt;0,Ft!B$3*((1-Ft!B$6)/(1+Ft!B$37*($A395-Ft!B$2)^2)+Ft!B$6*EXP(Ft!B$38*($A395-Ft!B$2)^2)),Ft!B$3*((1-Ft!B$7)/(1+Ft!B$39*($A395-Ft!B$2)^2)+Ft!B$7*EXP(Ft!B$40*($A395-Ft!B$2)^2)))</f>
        <v>3.0205332952022413E-301</v>
      </c>
      <c r="G395" s="3">
        <f>IF(($A395-Ft!C$2)&lt;0,Ft!C$3*((1-Ft!C$6)/(1+Ft!C$37*($A395-Ft!C$2)^2)+Ft!C$6*EXP(Ft!C$38*($A395-Ft!C$2)^2)),Ft!C$3*((1-Ft!C$7)/(1+Ft!C$39*($A395-Ft!C$2)^2)+Ft!C$7*EXP(Ft!C$40*($A395-Ft!C$2)^2)))</f>
        <v>1.5220720562512566E-14</v>
      </c>
      <c r="H395" s="3">
        <f>IF(($A395-Ft!D$2)&lt;0,Ft!D$3*((1-Ft!D$6)/(1+Ft!D$37*($A395-Ft!D$2)^2)+Ft!D$6*EXP(Ft!D$38*($A395-Ft!D$2)^2)),Ft!D$3*((1-Ft!D$7)/(1+Ft!D$39*($A395-Ft!D$2)^2)+Ft!D$7*EXP(Ft!D$40*($A395-Ft!D$2)^2)))</f>
        <v>2.5948826039570969</v>
      </c>
      <c r="I395" s="3">
        <f>IF(($A395-Ft!E$2)&lt;0,Ft!E$3*((1-Ft!E$6)/(1+Ft!E$37*($A395-Ft!E$2)^2)+Ft!E$6*EXP(Ft!E$38*($A395-Ft!E$2)^2)),Ft!E$3*((1-Ft!E$7)/(1+Ft!E$39*($A395-Ft!E$2)^2)+Ft!E$7*EXP(Ft!E$40*($A395-Ft!E$2)^2)))</f>
        <v>15.023968366509278</v>
      </c>
      <c r="J395" s="3">
        <f>IF(($A395-Ft!F$2)&lt;0,Ft!F$3*((1-Ft!F$6)/(1+Ft!F$37*($A395-Ft!F$2)^2)+Ft!F$6*EXP(Ft!F$38*($A395-Ft!F$2)^2)),Ft!F$3*((1-Ft!F$7)/(1+Ft!F$39*($A395-Ft!F$2)^2)+Ft!F$7*EXP(Ft!F$40*($A395-Ft!F$2)^2)))</f>
        <v>1.95538137933628E-5</v>
      </c>
      <c r="K395" s="3">
        <f>IF(($A395-Ft!G$2)&lt;0,Ft!G$3*((1-Ft!G$6)/(1+Ft!G$37*($A395-Ft!G$2)^2)+Ft!G$6*EXP(Ft!G$38*($A395-Ft!G$2)^2)),Ft!G$3*((1-Ft!G$7)/(1+Ft!G$39*($A395-Ft!G$2)^2)+Ft!G$7*EXP(Ft!G$40*($A395-Ft!G$2)^2)))</f>
        <v>1.0409102374481085E-27</v>
      </c>
      <c r="L395" s="3">
        <f>IF(($A395-Ft!H$2)&lt;0,Ft!H$3*((1-Ft!H$6)/(1+Ft!H$37*($A395-Ft!H$2)^2)+Ft!H$6*EXP(Ft!H$38*($A395-Ft!H$2)^2)),Ft!H$3*((1-Ft!H$7)/(1+Ft!H$39*($A395-Ft!H$2)^2)+Ft!H$7*EXP(Ft!H$40*($A395-Ft!H$2)^2)))</f>
        <v>0</v>
      </c>
      <c r="M395" s="3">
        <f>IF(($A395-Ft!I$2)&lt;0,Ft!I$3*((1-Ft!I$6)/(1+Ft!I$37*($A395-Ft!I$2)^2)+Ft!I$6*EXP(Ft!I$38*($A395-Ft!I$2)^2)),Ft!I$3*((1-Ft!I$7)/(1+Ft!I$39*($A395-Ft!I$2)^2)+Ft!I$7*EXP(Ft!I$40*($A395-Ft!I$2)^2)))</f>
        <v>0</v>
      </c>
      <c r="N395" s="3">
        <f>IF(($A395-Ft!J$2)&lt;0,Ft!J$3*((1-Ft!J$6)/(1+Ft!J$37*($A395-Ft!J$2)^2)+Ft!J$6*EXP(Ft!J$38*($A395-Ft!J$2)^2)),Ft!J$3*((1-Ft!J$7)/(1+Ft!J$39*($A395-Ft!J$2)^2)+Ft!J$7*EXP(Ft!J$40*($A395-Ft!J$2)^2)))</f>
        <v>0</v>
      </c>
      <c r="O395" s="3">
        <f>IF(($A395-Ft!K$2)&lt;0,Ft!K$3*((1-Ft!K$6)/(1+Ft!K$37*($A395-Ft!K$2)^2)+Ft!K$6*EXP(Ft!K$38*($A395-Ft!K$2)^2)),Ft!K$3*((1-Ft!K$7)/(1+Ft!K$39*($A395-Ft!K$2)^2)+Ft!K$7*EXP(Ft!K$40*($A395-Ft!K$2)^2)))</f>
        <v>0</v>
      </c>
      <c r="P395"/>
      <c r="Q395"/>
    </row>
    <row r="396" spans="1:17">
      <c r="A396">
        <v>788</v>
      </c>
      <c r="B396">
        <v>17.428101985662991</v>
      </c>
      <c r="C396" s="6">
        <f t="shared" si="13"/>
        <v>17.611332220425115</v>
      </c>
      <c r="D396" s="19">
        <f t="shared" si="14"/>
        <v>3.3573318930983226E-2</v>
      </c>
      <c r="E396" s="3">
        <f>Ft!$B$12+Ft!$B$14*(Data!A396-Vars!$B$3)</f>
        <v>0</v>
      </c>
      <c r="F396" s="3">
        <f>IF(($A396-Ft!B$2)&lt;0,Ft!B$3*((1-Ft!B$6)/(1+Ft!B$37*($A396-Ft!B$2)^2)+Ft!B$6*EXP(Ft!B$38*($A396-Ft!B$2)^2)),Ft!B$3*((1-Ft!B$7)/(1+Ft!B$39*($A396-Ft!B$2)^2)+Ft!B$7*EXP(Ft!B$40*($A396-Ft!B$2)^2)))</f>
        <v>7.1120213775814077E-303</v>
      </c>
      <c r="G396" s="3">
        <f>IF(($A396-Ft!C$2)&lt;0,Ft!C$3*((1-Ft!C$6)/(1+Ft!C$37*($A396-Ft!C$2)^2)+Ft!C$6*EXP(Ft!C$38*($A396-Ft!C$2)^2)),Ft!C$3*((1-Ft!C$7)/(1+Ft!C$39*($A396-Ft!C$2)^2)+Ft!C$7*EXP(Ft!C$40*($A396-Ft!C$2)^2)))</f>
        <v>1.2330838219205524E-14</v>
      </c>
      <c r="H396" s="3">
        <f>IF(($A396-Ft!D$2)&lt;0,Ft!D$3*((1-Ft!D$6)/(1+Ft!D$37*($A396-Ft!D$2)^2)+Ft!D$6*EXP(Ft!D$38*($A396-Ft!D$2)^2)),Ft!D$3*((1-Ft!D$7)/(1+Ft!D$39*($A396-Ft!D$2)^2)+Ft!D$7*EXP(Ft!D$40*($A396-Ft!D$2)^2)))</f>
        <v>2.533594520731155</v>
      </c>
      <c r="I396" s="3">
        <f>IF(($A396-Ft!E$2)&lt;0,Ft!E$3*((1-Ft!E$6)/(1+Ft!E$37*($A396-Ft!E$2)^2)+Ft!E$6*EXP(Ft!E$38*($A396-Ft!E$2)^2)),Ft!E$3*((1-Ft!E$7)/(1+Ft!E$39*($A396-Ft!E$2)^2)+Ft!E$7*EXP(Ft!E$40*($A396-Ft!E$2)^2)))</f>
        <v>15.077713086114933</v>
      </c>
      <c r="J396" s="3">
        <f>IF(($A396-Ft!F$2)&lt;0,Ft!F$3*((1-Ft!F$6)/(1+Ft!F$37*($A396-Ft!F$2)^2)+Ft!F$6*EXP(Ft!F$38*($A396-Ft!F$2)^2)),Ft!F$3*((1-Ft!F$7)/(1+Ft!F$39*($A396-Ft!F$2)^2)+Ft!F$7*EXP(Ft!F$40*($A396-Ft!F$2)^2)))</f>
        <v>2.461357901593683E-5</v>
      </c>
      <c r="K396" s="3">
        <f>IF(($A396-Ft!G$2)&lt;0,Ft!G$3*((1-Ft!G$6)/(1+Ft!G$37*($A396-Ft!G$2)^2)+Ft!G$6*EXP(Ft!G$38*($A396-Ft!G$2)^2)),Ft!G$3*((1-Ft!G$7)/(1+Ft!G$39*($A396-Ft!G$2)^2)+Ft!G$7*EXP(Ft!G$40*($A396-Ft!G$2)^2)))</f>
        <v>2.780467336102878E-27</v>
      </c>
      <c r="L396" s="3">
        <f>IF(($A396-Ft!H$2)&lt;0,Ft!H$3*((1-Ft!H$6)/(1+Ft!H$37*($A396-Ft!H$2)^2)+Ft!H$6*EXP(Ft!H$38*($A396-Ft!H$2)^2)),Ft!H$3*((1-Ft!H$7)/(1+Ft!H$39*($A396-Ft!H$2)^2)+Ft!H$7*EXP(Ft!H$40*($A396-Ft!H$2)^2)))</f>
        <v>0</v>
      </c>
      <c r="M396" s="3">
        <f>IF(($A396-Ft!I$2)&lt;0,Ft!I$3*((1-Ft!I$6)/(1+Ft!I$37*($A396-Ft!I$2)^2)+Ft!I$6*EXP(Ft!I$38*($A396-Ft!I$2)^2)),Ft!I$3*((1-Ft!I$7)/(1+Ft!I$39*($A396-Ft!I$2)^2)+Ft!I$7*EXP(Ft!I$40*($A396-Ft!I$2)^2)))</f>
        <v>0</v>
      </c>
      <c r="N396" s="3">
        <f>IF(($A396-Ft!J$2)&lt;0,Ft!J$3*((1-Ft!J$6)/(1+Ft!J$37*($A396-Ft!J$2)^2)+Ft!J$6*EXP(Ft!J$38*($A396-Ft!J$2)^2)),Ft!J$3*((1-Ft!J$7)/(1+Ft!J$39*($A396-Ft!J$2)^2)+Ft!J$7*EXP(Ft!J$40*($A396-Ft!J$2)^2)))</f>
        <v>0</v>
      </c>
      <c r="O396" s="3">
        <f>IF(($A396-Ft!K$2)&lt;0,Ft!K$3*((1-Ft!K$6)/(1+Ft!K$37*($A396-Ft!K$2)^2)+Ft!K$6*EXP(Ft!K$38*($A396-Ft!K$2)^2)),Ft!K$3*((1-Ft!K$7)/(1+Ft!K$39*($A396-Ft!K$2)^2)+Ft!K$7*EXP(Ft!K$40*($A396-Ft!K$2)^2)))</f>
        <v>0</v>
      </c>
      <c r="P396"/>
      <c r="Q396"/>
    </row>
    <row r="397" spans="1:17">
      <c r="A397">
        <v>790</v>
      </c>
      <c r="B397">
        <v>17.410190542547994</v>
      </c>
      <c r="C397" s="6">
        <f t="shared" si="13"/>
        <v>17.602032790479875</v>
      </c>
      <c r="D397" s="19">
        <f t="shared" si="14"/>
        <v>3.6803448091557167E-2</v>
      </c>
      <c r="E397" s="3">
        <f>Ft!$B$12+Ft!$B$14*(Data!A397-Vars!$B$3)</f>
        <v>0</v>
      </c>
      <c r="F397" s="3">
        <f>IF(($A397-Ft!B$2)&lt;0,Ft!B$3*((1-Ft!B$6)/(1+Ft!B$37*($A397-Ft!B$2)^2)+Ft!B$6*EXP(Ft!B$38*($A397-Ft!B$2)^2)),Ft!B$3*((1-Ft!B$7)/(1+Ft!B$39*($A397-Ft!B$2)^2)+Ft!B$7*EXP(Ft!B$40*($A397-Ft!B$2)^2)))</f>
        <v>1.657721462794542E-304</v>
      </c>
      <c r="G397" s="3">
        <f>IF(($A397-Ft!C$2)&lt;0,Ft!C$3*((1-Ft!C$6)/(1+Ft!C$37*($A397-Ft!C$2)^2)+Ft!C$6*EXP(Ft!C$38*($A397-Ft!C$2)^2)),Ft!C$3*((1-Ft!C$7)/(1+Ft!C$39*($A397-Ft!C$2)^2)+Ft!C$7*EXP(Ft!C$40*($A397-Ft!C$2)^2)))</f>
        <v>9.9831574138723698E-15</v>
      </c>
      <c r="H397" s="3">
        <f>IF(($A397-Ft!D$2)&lt;0,Ft!D$3*((1-Ft!D$6)/(1+Ft!D$37*($A397-Ft!D$2)^2)+Ft!D$6*EXP(Ft!D$38*($A397-Ft!D$2)^2)),Ft!D$3*((1-Ft!D$7)/(1+Ft!D$39*($A397-Ft!D$2)^2)+Ft!D$7*EXP(Ft!D$40*($A397-Ft!D$2)^2)))</f>
        <v>2.4733983829014834</v>
      </c>
      <c r="I397" s="3">
        <f>IF(($A397-Ft!E$2)&lt;0,Ft!E$3*((1-Ft!E$6)/(1+Ft!E$37*($A397-Ft!E$2)^2)+Ft!E$6*EXP(Ft!E$38*($A397-Ft!E$2)^2)),Ft!E$3*((1-Ft!E$7)/(1+Ft!E$39*($A397-Ft!E$2)^2)+Ft!E$7*EXP(Ft!E$40*($A397-Ft!E$2)^2)))</f>
        <v>15.128603491575756</v>
      </c>
      <c r="J397" s="3">
        <f>IF(($A397-Ft!F$2)&lt;0,Ft!F$3*((1-Ft!F$6)/(1+Ft!F$37*($A397-Ft!F$2)^2)+Ft!F$6*EXP(Ft!F$38*($A397-Ft!F$2)^2)),Ft!F$3*((1-Ft!F$7)/(1+Ft!F$39*($A397-Ft!F$2)^2)+Ft!F$7*EXP(Ft!F$40*($A397-Ft!F$2)^2)))</f>
        <v>3.0916002625675251E-5</v>
      </c>
      <c r="K397" s="3">
        <f>IF(($A397-Ft!G$2)&lt;0,Ft!G$3*((1-Ft!G$6)/(1+Ft!G$37*($A397-Ft!G$2)^2)+Ft!G$6*EXP(Ft!G$38*($A397-Ft!G$2)^2)),Ft!G$3*((1-Ft!G$7)/(1+Ft!G$39*($A397-Ft!G$2)^2)+Ft!G$7*EXP(Ft!G$40*($A397-Ft!G$2)^2)))</f>
        <v>7.3708784125719411E-27</v>
      </c>
      <c r="L397" s="3">
        <f>IF(($A397-Ft!H$2)&lt;0,Ft!H$3*((1-Ft!H$6)/(1+Ft!H$37*($A397-Ft!H$2)^2)+Ft!H$6*EXP(Ft!H$38*($A397-Ft!H$2)^2)),Ft!H$3*((1-Ft!H$7)/(1+Ft!H$39*($A397-Ft!H$2)^2)+Ft!H$7*EXP(Ft!H$40*($A397-Ft!H$2)^2)))</f>
        <v>0</v>
      </c>
      <c r="M397" s="3">
        <f>IF(($A397-Ft!I$2)&lt;0,Ft!I$3*((1-Ft!I$6)/(1+Ft!I$37*($A397-Ft!I$2)^2)+Ft!I$6*EXP(Ft!I$38*($A397-Ft!I$2)^2)),Ft!I$3*((1-Ft!I$7)/(1+Ft!I$39*($A397-Ft!I$2)^2)+Ft!I$7*EXP(Ft!I$40*($A397-Ft!I$2)^2)))</f>
        <v>0</v>
      </c>
      <c r="N397" s="3">
        <f>IF(($A397-Ft!J$2)&lt;0,Ft!J$3*((1-Ft!J$6)/(1+Ft!J$37*($A397-Ft!J$2)^2)+Ft!J$6*EXP(Ft!J$38*($A397-Ft!J$2)^2)),Ft!J$3*((1-Ft!J$7)/(1+Ft!J$39*($A397-Ft!J$2)^2)+Ft!J$7*EXP(Ft!J$40*($A397-Ft!J$2)^2)))</f>
        <v>0</v>
      </c>
      <c r="O397" s="3">
        <f>IF(($A397-Ft!K$2)&lt;0,Ft!K$3*((1-Ft!K$6)/(1+Ft!K$37*($A397-Ft!K$2)^2)+Ft!K$6*EXP(Ft!K$38*($A397-Ft!K$2)^2)),Ft!K$3*((1-Ft!K$7)/(1+Ft!K$39*($A397-Ft!K$2)^2)+Ft!K$7*EXP(Ft!K$40*($A397-Ft!K$2)^2)))</f>
        <v>0</v>
      </c>
      <c r="P397"/>
      <c r="Q397"/>
    </row>
    <row r="398" spans="1:17">
      <c r="A398">
        <v>792</v>
      </c>
      <c r="B398">
        <v>17.390302640001991</v>
      </c>
      <c r="C398" s="6">
        <f t="shared" si="13"/>
        <v>17.590933518564224</v>
      </c>
      <c r="D398" s="19">
        <f t="shared" si="14"/>
        <v>4.0252749432653508E-2</v>
      </c>
      <c r="E398" s="3">
        <f>Ft!$B$12+Ft!$B$14*(Data!A398-Vars!$B$3)</f>
        <v>0</v>
      </c>
      <c r="F398" s="3">
        <f>IF(($A398-Ft!B$2)&lt;0,Ft!B$3*((1-Ft!B$6)/(1+Ft!B$37*($A398-Ft!B$2)^2)+Ft!B$6*EXP(Ft!B$38*($A398-Ft!B$2)^2)),Ft!B$3*((1-Ft!B$7)/(1+Ft!B$39*($A398-Ft!B$2)^2)+Ft!B$7*EXP(Ft!B$40*($A398-Ft!B$2)^2)))</f>
        <v>3.8250678953286362E-306</v>
      </c>
      <c r="G398" s="3">
        <f>IF(($A398-Ft!C$2)&lt;0,Ft!C$3*((1-Ft!C$6)/(1+Ft!C$37*($A398-Ft!C$2)^2)+Ft!C$6*EXP(Ft!C$38*($A398-Ft!C$2)^2)),Ft!C$3*((1-Ft!C$7)/(1+Ft!C$39*($A398-Ft!C$2)^2)+Ft!C$7*EXP(Ft!C$40*($A398-Ft!C$2)^2)))</f>
        <v>8.0772062115240509E-15</v>
      </c>
      <c r="H398" s="3">
        <f>IF(($A398-Ft!D$2)&lt;0,Ft!D$3*((1-Ft!D$6)/(1+Ft!D$37*($A398-Ft!D$2)^2)+Ft!D$6*EXP(Ft!D$38*($A398-Ft!D$2)^2)),Ft!D$3*((1-Ft!D$7)/(1+Ft!D$39*($A398-Ft!D$2)^2)+Ft!D$7*EXP(Ft!D$40*($A398-Ft!D$2)^2)))</f>
        <v>2.4142853477788053</v>
      </c>
      <c r="I398" s="3">
        <f>IF(($A398-Ft!E$2)&lt;0,Ft!E$3*((1-Ft!E$6)/(1+Ft!E$37*($A398-Ft!E$2)^2)+Ft!E$6*EXP(Ft!E$38*($A398-Ft!E$2)^2)),Ft!E$3*((1-Ft!E$7)/(1+Ft!E$39*($A398-Ft!E$2)^2)+Ft!E$7*EXP(Ft!E$40*($A398-Ft!E$2)^2)))</f>
        <v>15.176609422081825</v>
      </c>
      <c r="J398" s="3">
        <f>IF(($A398-Ft!F$2)&lt;0,Ft!F$3*((1-Ft!F$6)/(1+Ft!F$37*($A398-Ft!F$2)^2)+Ft!F$6*EXP(Ft!F$38*($A398-Ft!F$2)^2)),Ft!F$3*((1-Ft!F$7)/(1+Ft!F$39*($A398-Ft!F$2)^2)+Ft!F$7*EXP(Ft!F$40*($A398-Ft!F$2)^2)))</f>
        <v>3.8748703585416005E-5</v>
      </c>
      <c r="K398" s="3">
        <f>IF(($A398-Ft!G$2)&lt;0,Ft!G$3*((1-Ft!G$6)/(1+Ft!G$37*($A398-Ft!G$2)^2)+Ft!G$6*EXP(Ft!G$38*($A398-Ft!G$2)^2)),Ft!G$3*((1-Ft!G$7)/(1+Ft!G$39*($A398-Ft!G$2)^2)+Ft!G$7*EXP(Ft!G$40*($A398-Ft!G$2)^2)))</f>
        <v>1.9391777936020097E-26</v>
      </c>
      <c r="L398" s="3">
        <f>IF(($A398-Ft!H$2)&lt;0,Ft!H$3*((1-Ft!H$6)/(1+Ft!H$37*($A398-Ft!H$2)^2)+Ft!H$6*EXP(Ft!H$38*($A398-Ft!H$2)^2)),Ft!H$3*((1-Ft!H$7)/(1+Ft!H$39*($A398-Ft!H$2)^2)+Ft!H$7*EXP(Ft!H$40*($A398-Ft!H$2)^2)))</f>
        <v>0</v>
      </c>
      <c r="M398" s="3">
        <f>IF(($A398-Ft!I$2)&lt;0,Ft!I$3*((1-Ft!I$6)/(1+Ft!I$37*($A398-Ft!I$2)^2)+Ft!I$6*EXP(Ft!I$38*($A398-Ft!I$2)^2)),Ft!I$3*((1-Ft!I$7)/(1+Ft!I$39*($A398-Ft!I$2)^2)+Ft!I$7*EXP(Ft!I$40*($A398-Ft!I$2)^2)))</f>
        <v>0</v>
      </c>
      <c r="N398" s="3">
        <f>IF(($A398-Ft!J$2)&lt;0,Ft!J$3*((1-Ft!J$6)/(1+Ft!J$37*($A398-Ft!J$2)^2)+Ft!J$6*EXP(Ft!J$38*($A398-Ft!J$2)^2)),Ft!J$3*((1-Ft!J$7)/(1+Ft!J$39*($A398-Ft!J$2)^2)+Ft!J$7*EXP(Ft!J$40*($A398-Ft!J$2)^2)))</f>
        <v>0</v>
      </c>
      <c r="O398" s="3">
        <f>IF(($A398-Ft!K$2)&lt;0,Ft!K$3*((1-Ft!K$6)/(1+Ft!K$37*($A398-Ft!K$2)^2)+Ft!K$6*EXP(Ft!K$38*($A398-Ft!K$2)^2)),Ft!K$3*((1-Ft!K$7)/(1+Ft!K$39*($A398-Ft!K$2)^2)+Ft!K$7*EXP(Ft!K$40*($A398-Ft!K$2)^2)))</f>
        <v>0</v>
      </c>
      <c r="P398"/>
      <c r="Q398"/>
    </row>
    <row r="399" spans="1:17">
      <c r="A399">
        <v>794</v>
      </c>
      <c r="B399">
        <v>17.368414490335994</v>
      </c>
      <c r="C399" s="6">
        <f t="shared" si="13"/>
        <v>17.577997146476434</v>
      </c>
      <c r="D399" s="19">
        <f t="shared" si="14"/>
        <v>4.3924889754882249E-2</v>
      </c>
      <c r="E399" s="3">
        <f>Ft!$B$12+Ft!$B$14*(Data!A399-Vars!$B$3)</f>
        <v>0</v>
      </c>
      <c r="F399" s="3">
        <f>IF(($A399-Ft!B$2)&lt;0,Ft!B$3*((1-Ft!B$6)/(1+Ft!B$37*($A399-Ft!B$2)^2)+Ft!B$6*EXP(Ft!B$38*($A399-Ft!B$2)^2)),Ft!B$3*((1-Ft!B$7)/(1+Ft!B$39*($A399-Ft!B$2)^2)+Ft!B$7*EXP(Ft!B$40*($A399-Ft!B$2)^2)))</f>
        <v>8.7372712203481548E-308</v>
      </c>
      <c r="G399" s="3">
        <f>IF(($A399-Ft!C$2)&lt;0,Ft!C$3*((1-Ft!C$6)/(1+Ft!C$37*($A399-Ft!C$2)^2)+Ft!C$6*EXP(Ft!C$38*($A399-Ft!C$2)^2)),Ft!C$3*((1-Ft!C$7)/(1+Ft!C$39*($A399-Ft!C$2)^2)+Ft!C$7*EXP(Ft!C$40*($A399-Ft!C$2)^2)))</f>
        <v>6.5308897791610274E-15</v>
      </c>
      <c r="H399" s="3">
        <f>IF(($A399-Ft!D$2)&lt;0,Ft!D$3*((1-Ft!D$6)/(1+Ft!D$37*($A399-Ft!D$2)^2)+Ft!D$6*EXP(Ft!D$38*($A399-Ft!D$2)^2)),Ft!D$3*((1-Ft!D$7)/(1+Ft!D$39*($A399-Ft!D$2)^2)+Ft!D$7*EXP(Ft!D$40*($A399-Ft!D$2)^2)))</f>
        <v>2.3562463218801808</v>
      </c>
      <c r="I399" s="3">
        <f>IF(($A399-Ft!E$2)&lt;0,Ft!E$3*((1-Ft!E$6)/(1+Ft!E$37*($A399-Ft!E$2)^2)+Ft!E$6*EXP(Ft!E$38*($A399-Ft!E$2)^2)),Ft!E$3*((1-Ft!E$7)/(1+Ft!E$39*($A399-Ft!E$2)^2)+Ft!E$7*EXP(Ft!E$40*($A399-Ft!E$2)^2)))</f>
        <v>15.221702363158737</v>
      </c>
      <c r="J399" s="3">
        <f>IF(($A399-Ft!F$2)&lt;0,Ft!F$3*((1-Ft!F$6)/(1+Ft!F$37*($A399-Ft!F$2)^2)+Ft!F$6*EXP(Ft!F$38*($A399-Ft!F$2)^2)),Ft!F$3*((1-Ft!F$7)/(1+Ft!F$39*($A399-Ft!F$2)^2)+Ft!F$7*EXP(Ft!F$40*($A399-Ft!F$2)^2)))</f>
        <v>4.8461437509316281E-5</v>
      </c>
      <c r="K399" s="3">
        <f>IF(($A399-Ft!G$2)&lt;0,Ft!G$3*((1-Ft!G$6)/(1+Ft!G$37*($A399-Ft!G$2)^2)+Ft!G$6*EXP(Ft!G$38*($A399-Ft!G$2)^2)),Ft!G$3*((1-Ft!G$7)/(1+Ft!G$39*($A399-Ft!G$2)^2)+Ft!G$7*EXP(Ft!G$40*($A399-Ft!G$2)^2)))</f>
        <v>5.0630584756098791E-26</v>
      </c>
      <c r="L399" s="3">
        <f>IF(($A399-Ft!H$2)&lt;0,Ft!H$3*((1-Ft!H$6)/(1+Ft!H$37*($A399-Ft!H$2)^2)+Ft!H$6*EXP(Ft!H$38*($A399-Ft!H$2)^2)),Ft!H$3*((1-Ft!H$7)/(1+Ft!H$39*($A399-Ft!H$2)^2)+Ft!H$7*EXP(Ft!H$40*($A399-Ft!H$2)^2)))</f>
        <v>0</v>
      </c>
      <c r="M399" s="3">
        <f>IF(($A399-Ft!I$2)&lt;0,Ft!I$3*((1-Ft!I$6)/(1+Ft!I$37*($A399-Ft!I$2)^2)+Ft!I$6*EXP(Ft!I$38*($A399-Ft!I$2)^2)),Ft!I$3*((1-Ft!I$7)/(1+Ft!I$39*($A399-Ft!I$2)^2)+Ft!I$7*EXP(Ft!I$40*($A399-Ft!I$2)^2)))</f>
        <v>0</v>
      </c>
      <c r="N399" s="3">
        <f>IF(($A399-Ft!J$2)&lt;0,Ft!J$3*((1-Ft!J$6)/(1+Ft!J$37*($A399-Ft!J$2)^2)+Ft!J$6*EXP(Ft!J$38*($A399-Ft!J$2)^2)),Ft!J$3*((1-Ft!J$7)/(1+Ft!J$39*($A399-Ft!J$2)^2)+Ft!J$7*EXP(Ft!J$40*($A399-Ft!J$2)^2)))</f>
        <v>0</v>
      </c>
      <c r="O399" s="3">
        <f>IF(($A399-Ft!K$2)&lt;0,Ft!K$3*((1-Ft!K$6)/(1+Ft!K$37*($A399-Ft!K$2)^2)+Ft!K$6*EXP(Ft!K$38*($A399-Ft!K$2)^2)),Ft!K$3*((1-Ft!K$7)/(1+Ft!K$39*($A399-Ft!K$2)^2)+Ft!K$7*EXP(Ft!K$40*($A399-Ft!K$2)^2)))</f>
        <v>0</v>
      </c>
      <c r="P399"/>
      <c r="Q399"/>
    </row>
    <row r="400" spans="1:17">
      <c r="A400">
        <v>796</v>
      </c>
      <c r="B400">
        <v>17.345804817692994</v>
      </c>
      <c r="C400" s="6">
        <f t="shared" si="13"/>
        <v>17.563187925433496</v>
      </c>
      <c r="D400" s="19">
        <f t="shared" si="14"/>
        <v>4.7255415530918971E-2</v>
      </c>
      <c r="E400" s="3">
        <f>Ft!$B$12+Ft!$B$14*(Data!A400-Vars!$B$3)</f>
        <v>0</v>
      </c>
      <c r="F400" s="3">
        <f>IF(($A400-Ft!B$2)&lt;0,Ft!B$3*((1-Ft!B$6)/(1+Ft!B$37*($A400-Ft!B$2)^2)+Ft!B$6*EXP(Ft!B$38*($A400-Ft!B$2)^2)),Ft!B$3*((1-Ft!B$7)/(1+Ft!B$39*($A400-Ft!B$2)^2)+Ft!B$7*EXP(Ft!B$40*($A400-Ft!B$2)^2)))</f>
        <v>0</v>
      </c>
      <c r="G400" s="3">
        <f>IF(($A400-Ft!C$2)&lt;0,Ft!C$3*((1-Ft!C$6)/(1+Ft!C$37*($A400-Ft!C$2)^2)+Ft!C$6*EXP(Ft!C$38*($A400-Ft!C$2)^2)),Ft!C$3*((1-Ft!C$7)/(1+Ft!C$39*($A400-Ft!C$2)^2)+Ft!C$7*EXP(Ft!C$40*($A400-Ft!C$2)^2)))</f>
        <v>5.2771746827628856E-15</v>
      </c>
      <c r="H400" s="3">
        <f>IF(($A400-Ft!D$2)&lt;0,Ft!D$3*((1-Ft!D$6)/(1+Ft!D$37*($A400-Ft!D$2)^2)+Ft!D$6*EXP(Ft!D$38*($A400-Ft!D$2)^2)),Ft!D$3*((1-Ft!D$7)/(1+Ft!D$39*($A400-Ft!D$2)^2)+Ft!D$7*EXP(Ft!D$40*($A400-Ft!D$2)^2)))</f>
        <v>2.29927197208848</v>
      </c>
      <c r="I400" s="3">
        <f>IF(($A400-Ft!E$2)&lt;0,Ft!E$3*((1-Ft!E$6)/(1+Ft!E$37*($A400-Ft!E$2)^2)+Ft!E$6*EXP(Ft!E$38*($A400-Ft!E$2)^2)),Ft!E$3*((1-Ft!E$7)/(1+Ft!E$39*($A400-Ft!E$2)^2)+Ft!E$7*EXP(Ft!E$40*($A400-Ft!E$2)^2)))</f>
        <v>15.263855474890832</v>
      </c>
      <c r="J400" s="3">
        <f>IF(($A400-Ft!F$2)&lt;0,Ft!F$3*((1-Ft!F$6)/(1+Ft!F$37*($A400-Ft!F$2)^2)+Ft!F$6*EXP(Ft!F$38*($A400-Ft!F$2)^2)),Ft!F$3*((1-Ft!F$7)/(1+Ft!F$39*($A400-Ft!F$2)^2)+Ft!F$7*EXP(Ft!F$40*($A400-Ft!F$2)^2)))</f>
        <v>6.047845418159574E-5</v>
      </c>
      <c r="K400" s="3">
        <f>IF(($A400-Ft!G$2)&lt;0,Ft!G$3*((1-Ft!G$6)/(1+Ft!G$37*($A400-Ft!G$2)^2)+Ft!G$6*EXP(Ft!G$38*($A400-Ft!G$2)^2)),Ft!G$3*((1-Ft!G$7)/(1+Ft!G$39*($A400-Ft!G$2)^2)+Ft!G$7*EXP(Ft!G$40*($A400-Ft!G$2)^2)))</f>
        <v>1.3119134649258031E-25</v>
      </c>
      <c r="L400" s="3">
        <f>IF(($A400-Ft!H$2)&lt;0,Ft!H$3*((1-Ft!H$6)/(1+Ft!H$37*($A400-Ft!H$2)^2)+Ft!H$6*EXP(Ft!H$38*($A400-Ft!H$2)^2)),Ft!H$3*((1-Ft!H$7)/(1+Ft!H$39*($A400-Ft!H$2)^2)+Ft!H$7*EXP(Ft!H$40*($A400-Ft!H$2)^2)))</f>
        <v>0</v>
      </c>
      <c r="M400" s="3">
        <f>IF(($A400-Ft!I$2)&lt;0,Ft!I$3*((1-Ft!I$6)/(1+Ft!I$37*($A400-Ft!I$2)^2)+Ft!I$6*EXP(Ft!I$38*($A400-Ft!I$2)^2)),Ft!I$3*((1-Ft!I$7)/(1+Ft!I$39*($A400-Ft!I$2)^2)+Ft!I$7*EXP(Ft!I$40*($A400-Ft!I$2)^2)))</f>
        <v>0</v>
      </c>
      <c r="N400" s="3">
        <f>IF(($A400-Ft!J$2)&lt;0,Ft!J$3*((1-Ft!J$6)/(1+Ft!J$37*($A400-Ft!J$2)^2)+Ft!J$6*EXP(Ft!J$38*($A400-Ft!J$2)^2)),Ft!J$3*((1-Ft!J$7)/(1+Ft!J$39*($A400-Ft!J$2)^2)+Ft!J$7*EXP(Ft!J$40*($A400-Ft!J$2)^2)))</f>
        <v>0</v>
      </c>
      <c r="O400" s="3">
        <f>IF(($A400-Ft!K$2)&lt;0,Ft!K$3*((1-Ft!K$6)/(1+Ft!K$37*($A400-Ft!K$2)^2)+Ft!K$6*EXP(Ft!K$38*($A400-Ft!K$2)^2)),Ft!K$3*((1-Ft!K$7)/(1+Ft!K$39*($A400-Ft!K$2)^2)+Ft!K$7*EXP(Ft!K$40*($A400-Ft!K$2)^2)))</f>
        <v>0</v>
      </c>
      <c r="P400"/>
      <c r="Q400"/>
    </row>
    <row r="401" spans="1:17">
      <c r="A401">
        <v>798</v>
      </c>
      <c r="B401">
        <v>17.322485233956996</v>
      </c>
      <c r="C401" s="6">
        <f t="shared" si="13"/>
        <v>17.546471668326515</v>
      </c>
      <c r="D401" s="19">
        <f t="shared" si="14"/>
        <v>5.016992278157046E-2</v>
      </c>
      <c r="E401" s="3">
        <f>Ft!$B$12+Ft!$B$14*(Data!A401-Vars!$B$3)</f>
        <v>0</v>
      </c>
      <c r="F401" s="3">
        <f>IF(($A401-Ft!B$2)&lt;0,Ft!B$3*((1-Ft!B$6)/(1+Ft!B$37*($A401-Ft!B$2)^2)+Ft!B$6*EXP(Ft!B$38*($A401-Ft!B$2)^2)),Ft!B$3*((1-Ft!B$7)/(1+Ft!B$39*($A401-Ft!B$2)^2)+Ft!B$7*EXP(Ft!B$40*($A401-Ft!B$2)^2)))</f>
        <v>0</v>
      </c>
      <c r="G401" s="3">
        <f>IF(($A401-Ft!C$2)&lt;0,Ft!C$3*((1-Ft!C$6)/(1+Ft!C$37*($A401-Ft!C$2)^2)+Ft!C$6*EXP(Ft!C$38*($A401-Ft!C$2)^2)),Ft!C$3*((1-Ft!C$7)/(1+Ft!C$39*($A401-Ft!C$2)^2)+Ft!C$7*EXP(Ft!C$40*($A401-Ft!C$2)^2)))</f>
        <v>4.2613628792417033E-15</v>
      </c>
      <c r="H401" s="3">
        <f>IF(($A401-Ft!D$2)&lt;0,Ft!D$3*((1-Ft!D$6)/(1+Ft!D$37*($A401-Ft!D$2)^2)+Ft!D$6*EXP(Ft!D$38*($A401-Ft!D$2)^2)),Ft!D$3*((1-Ft!D$7)/(1+Ft!D$39*($A401-Ft!D$2)^2)+Ft!D$7*EXP(Ft!D$40*($A401-Ft!D$2)^2)))</f>
        <v>2.2433527367145434</v>
      </c>
      <c r="I401" s="3">
        <f>IF(($A401-Ft!E$2)&lt;0,Ft!E$3*((1-Ft!E$6)/(1+Ft!E$37*($A401-Ft!E$2)^2)+Ft!E$6*EXP(Ft!E$38*($A401-Ft!E$2)^2)),Ft!E$3*((1-Ft!E$7)/(1+Ft!E$39*($A401-Ft!E$2)^2)+Ft!E$7*EXP(Ft!E$40*($A401-Ft!E$2)^2)))</f>
        <v>15.303043618542866</v>
      </c>
      <c r="J401" s="3">
        <f>IF(($A401-Ft!F$2)&lt;0,Ft!F$3*((1-Ft!F$6)/(1+Ft!F$37*($A401-Ft!F$2)^2)+Ft!F$6*EXP(Ft!F$38*($A401-Ft!F$2)^2)),Ft!F$3*((1-Ft!F$7)/(1+Ft!F$39*($A401-Ft!F$2)^2)+Ft!F$7*EXP(Ft!F$40*($A401-Ft!F$2)^2)))</f>
        <v>7.5313069099990529E-5</v>
      </c>
      <c r="K401" s="3">
        <f>IF(($A401-Ft!G$2)&lt;0,Ft!G$3*((1-Ft!G$6)/(1+Ft!G$37*($A401-Ft!G$2)^2)+Ft!G$6*EXP(Ft!G$38*($A401-Ft!G$2)^2)),Ft!G$3*((1-Ft!G$7)/(1+Ft!G$39*($A401-Ft!G$2)^2)+Ft!G$7*EXP(Ft!G$40*($A401-Ft!G$2)^2)))</f>
        <v>3.3736060579701982E-25</v>
      </c>
      <c r="L401" s="3">
        <f>IF(($A401-Ft!H$2)&lt;0,Ft!H$3*((1-Ft!H$6)/(1+Ft!H$37*($A401-Ft!H$2)^2)+Ft!H$6*EXP(Ft!H$38*($A401-Ft!H$2)^2)),Ft!H$3*((1-Ft!H$7)/(1+Ft!H$39*($A401-Ft!H$2)^2)+Ft!H$7*EXP(Ft!H$40*($A401-Ft!H$2)^2)))</f>
        <v>0</v>
      </c>
      <c r="M401" s="3">
        <f>IF(($A401-Ft!I$2)&lt;0,Ft!I$3*((1-Ft!I$6)/(1+Ft!I$37*($A401-Ft!I$2)^2)+Ft!I$6*EXP(Ft!I$38*($A401-Ft!I$2)^2)),Ft!I$3*((1-Ft!I$7)/(1+Ft!I$39*($A401-Ft!I$2)^2)+Ft!I$7*EXP(Ft!I$40*($A401-Ft!I$2)^2)))</f>
        <v>0</v>
      </c>
      <c r="N401" s="3">
        <f>IF(($A401-Ft!J$2)&lt;0,Ft!J$3*((1-Ft!J$6)/(1+Ft!J$37*($A401-Ft!J$2)^2)+Ft!J$6*EXP(Ft!J$38*($A401-Ft!J$2)^2)),Ft!J$3*((1-Ft!J$7)/(1+Ft!J$39*($A401-Ft!J$2)^2)+Ft!J$7*EXP(Ft!J$40*($A401-Ft!J$2)^2)))</f>
        <v>0</v>
      </c>
      <c r="O401" s="3">
        <f>IF(($A401-Ft!K$2)&lt;0,Ft!K$3*((1-Ft!K$6)/(1+Ft!K$37*($A401-Ft!K$2)^2)+Ft!K$6*EXP(Ft!K$38*($A401-Ft!K$2)^2)),Ft!K$3*((1-Ft!K$7)/(1+Ft!K$39*($A401-Ft!K$2)^2)+Ft!K$7*EXP(Ft!K$40*($A401-Ft!K$2)^2)))</f>
        <v>0</v>
      </c>
      <c r="P401"/>
      <c r="Q401"/>
    </row>
    <row r="402" spans="1:17">
      <c r="A402">
        <v>800</v>
      </c>
      <c r="B402">
        <v>17.298211158160996</v>
      </c>
      <c r="C402" s="6">
        <f t="shared" si="13"/>
        <v>17.527815802791196</v>
      </c>
      <c r="D402" s="19">
        <f t="shared" si="14"/>
        <v>5.271829283576044E-2</v>
      </c>
      <c r="E402" s="3">
        <f>Ft!$B$12+Ft!$B$14*(Data!A402-Vars!$B$3)</f>
        <v>0</v>
      </c>
      <c r="F402" s="3">
        <f>IF(($A402-Ft!B$2)&lt;0,Ft!B$3*((1-Ft!B$6)/(1+Ft!B$37*($A402-Ft!B$2)^2)+Ft!B$6*EXP(Ft!B$38*($A402-Ft!B$2)^2)),Ft!B$3*((1-Ft!B$7)/(1+Ft!B$39*($A402-Ft!B$2)^2)+Ft!B$7*EXP(Ft!B$40*($A402-Ft!B$2)^2)))</f>
        <v>0</v>
      </c>
      <c r="G402" s="3">
        <f>IF(($A402-Ft!C$2)&lt;0,Ft!C$3*((1-Ft!C$6)/(1+Ft!C$37*($A402-Ft!C$2)^2)+Ft!C$6*EXP(Ft!C$38*($A402-Ft!C$2)^2)),Ft!C$3*((1-Ft!C$7)/(1+Ft!C$39*($A402-Ft!C$2)^2)+Ft!C$7*EXP(Ft!C$40*($A402-Ft!C$2)^2)))</f>
        <v>3.438852107626756E-15</v>
      </c>
      <c r="H402" s="3">
        <f>IF(($A402-Ft!D$2)&lt;0,Ft!D$3*((1-Ft!D$6)/(1+Ft!D$37*($A402-Ft!D$2)^2)+Ft!D$6*EXP(Ft!D$38*($A402-Ft!D$2)^2)),Ft!D$3*((1-Ft!D$7)/(1+Ft!D$39*($A402-Ft!D$2)^2)+Ft!D$7*EXP(Ft!D$40*($A402-Ft!D$2)^2)))</f>
        <v>2.1884788364549359</v>
      </c>
      <c r="I402" s="3">
        <f>IF(($A402-Ft!E$2)&lt;0,Ft!E$3*((1-Ft!E$6)/(1+Ft!E$37*($A402-Ft!E$2)^2)+Ft!E$6*EXP(Ft!E$38*($A402-Ft!E$2)^2)),Ft!E$3*((1-Ft!E$7)/(1+Ft!E$39*($A402-Ft!E$2)^2)+Ft!E$7*EXP(Ft!E$40*($A402-Ft!E$2)^2)))</f>
        <v>15.33924338154327</v>
      </c>
      <c r="J402" s="3">
        <f>IF(($A402-Ft!F$2)&lt;0,Ft!F$3*((1-Ft!F$6)/(1+Ft!F$37*($A402-Ft!F$2)^2)+Ft!F$6*EXP(Ft!F$38*($A402-Ft!F$2)^2)),Ft!F$3*((1-Ft!F$7)/(1+Ft!F$39*($A402-Ft!F$2)^2)+Ft!F$7*EXP(Ft!F$40*($A402-Ft!F$2)^2)))</f>
        <v>9.3584792983535394E-5</v>
      </c>
      <c r="K402" s="3">
        <f>IF(($A402-Ft!G$2)&lt;0,Ft!G$3*((1-Ft!G$6)/(1+Ft!G$37*($A402-Ft!G$2)^2)+Ft!G$6*EXP(Ft!G$38*($A402-Ft!G$2)^2)),Ft!G$3*((1-Ft!G$7)/(1+Ft!G$39*($A402-Ft!G$2)^2)+Ft!G$7*EXP(Ft!G$40*($A402-Ft!G$2)^2)))</f>
        <v>8.6095505122320074E-25</v>
      </c>
      <c r="L402" s="3">
        <f>IF(($A402-Ft!H$2)&lt;0,Ft!H$3*((1-Ft!H$6)/(1+Ft!H$37*($A402-Ft!H$2)^2)+Ft!H$6*EXP(Ft!H$38*($A402-Ft!H$2)^2)),Ft!H$3*((1-Ft!H$7)/(1+Ft!H$39*($A402-Ft!H$2)^2)+Ft!H$7*EXP(Ft!H$40*($A402-Ft!H$2)^2)))</f>
        <v>0</v>
      </c>
      <c r="M402" s="3">
        <f>IF(($A402-Ft!I$2)&lt;0,Ft!I$3*((1-Ft!I$6)/(1+Ft!I$37*($A402-Ft!I$2)^2)+Ft!I$6*EXP(Ft!I$38*($A402-Ft!I$2)^2)),Ft!I$3*((1-Ft!I$7)/(1+Ft!I$39*($A402-Ft!I$2)^2)+Ft!I$7*EXP(Ft!I$40*($A402-Ft!I$2)^2)))</f>
        <v>0</v>
      </c>
      <c r="N402" s="3">
        <f>IF(($A402-Ft!J$2)&lt;0,Ft!J$3*((1-Ft!J$6)/(1+Ft!J$37*($A402-Ft!J$2)^2)+Ft!J$6*EXP(Ft!J$38*($A402-Ft!J$2)^2)),Ft!J$3*((1-Ft!J$7)/(1+Ft!J$39*($A402-Ft!J$2)^2)+Ft!J$7*EXP(Ft!J$40*($A402-Ft!J$2)^2)))</f>
        <v>0</v>
      </c>
      <c r="O402" s="3">
        <f>IF(($A402-Ft!K$2)&lt;0,Ft!K$3*((1-Ft!K$6)/(1+Ft!K$37*($A402-Ft!K$2)^2)+Ft!K$6*EXP(Ft!K$38*($A402-Ft!K$2)^2)),Ft!K$3*((1-Ft!K$7)/(1+Ft!K$39*($A402-Ft!K$2)^2)+Ft!K$7*EXP(Ft!K$40*($A402-Ft!K$2)^2)))</f>
        <v>0</v>
      </c>
      <c r="P402"/>
      <c r="Q402"/>
    </row>
    <row r="403" spans="1:17">
      <c r="A403">
        <v>802</v>
      </c>
      <c r="B403">
        <v>17.272738009339989</v>
      </c>
      <c r="C403" s="6">
        <f t="shared" si="13"/>
        <v>17.507189425438405</v>
      </c>
      <c r="D403" s="19">
        <f t="shared" si="14"/>
        <v>5.4967466510552662E-2</v>
      </c>
      <c r="E403" s="3">
        <f>Ft!$B$12+Ft!$B$14*(Data!A403-Vars!$B$3)</f>
        <v>0</v>
      </c>
      <c r="F403" s="3">
        <f>IF(($A403-Ft!B$2)&lt;0,Ft!B$3*((1-Ft!B$6)/(1+Ft!B$37*($A403-Ft!B$2)^2)+Ft!B$6*EXP(Ft!B$38*($A403-Ft!B$2)^2)),Ft!B$3*((1-Ft!B$7)/(1+Ft!B$39*($A403-Ft!B$2)^2)+Ft!B$7*EXP(Ft!B$40*($A403-Ft!B$2)^2)))</f>
        <v>0</v>
      </c>
      <c r="G403" s="3">
        <f>IF(($A403-Ft!C$2)&lt;0,Ft!C$3*((1-Ft!C$6)/(1+Ft!C$37*($A403-Ft!C$2)^2)+Ft!C$6*EXP(Ft!C$38*($A403-Ft!C$2)^2)),Ft!C$3*((1-Ft!C$7)/(1+Ft!C$39*($A403-Ft!C$2)^2)+Ft!C$7*EXP(Ft!C$40*($A403-Ft!C$2)^2)))</f>
        <v>2.7732971889326614E-15</v>
      </c>
      <c r="H403" s="3">
        <f>IF(($A403-Ft!D$2)&lt;0,Ft!D$3*((1-Ft!D$6)/(1+Ft!D$37*($A403-Ft!D$2)^2)+Ft!D$6*EXP(Ft!D$38*($A403-Ft!D$2)^2)),Ft!D$3*((1-Ft!D$7)/(1+Ft!D$39*($A403-Ft!D$2)^2)+Ft!D$7*EXP(Ft!D$40*($A403-Ft!D$2)^2)))</f>
        <v>2.1346402852384871</v>
      </c>
      <c r="I403" s="3">
        <f>IF(($A403-Ft!E$2)&lt;0,Ft!E$3*((1-Ft!E$6)/(1+Ft!E$37*($A403-Ft!E$2)^2)+Ft!E$6*EXP(Ft!E$38*($A403-Ft!E$2)^2)),Ft!E$3*((1-Ft!E$7)/(1+Ft!E$39*($A403-Ft!E$2)^2)+Ft!E$7*EXP(Ft!E$40*($A403-Ft!E$2)^2)))</f>
        <v>15.372433100794144</v>
      </c>
      <c r="J403" s="3">
        <f>IF(($A403-Ft!F$2)&lt;0,Ft!F$3*((1-Ft!F$6)/(1+Ft!F$37*($A403-Ft!F$2)^2)+Ft!F$6*EXP(Ft!F$38*($A403-Ft!F$2)^2)),Ft!F$3*((1-Ft!F$7)/(1+Ft!F$39*($A403-Ft!F$2)^2)+Ft!F$7*EXP(Ft!F$40*($A403-Ft!F$2)^2)))</f>
        <v>1.1603940577122685E-4</v>
      </c>
      <c r="K403" s="3">
        <f>IF(($A403-Ft!G$2)&lt;0,Ft!G$3*((1-Ft!G$6)/(1+Ft!G$37*($A403-Ft!G$2)^2)+Ft!G$6*EXP(Ft!G$38*($A403-Ft!G$2)^2)),Ft!G$3*((1-Ft!G$7)/(1+Ft!G$39*($A403-Ft!G$2)^2)+Ft!G$7*EXP(Ft!G$40*($A403-Ft!G$2)^2)))</f>
        <v>2.1805373049265087E-24</v>
      </c>
      <c r="L403" s="3">
        <f>IF(($A403-Ft!H$2)&lt;0,Ft!H$3*((1-Ft!H$6)/(1+Ft!H$37*($A403-Ft!H$2)^2)+Ft!H$6*EXP(Ft!H$38*($A403-Ft!H$2)^2)),Ft!H$3*((1-Ft!H$7)/(1+Ft!H$39*($A403-Ft!H$2)^2)+Ft!H$7*EXP(Ft!H$40*($A403-Ft!H$2)^2)))</f>
        <v>0</v>
      </c>
      <c r="M403" s="3">
        <f>IF(($A403-Ft!I$2)&lt;0,Ft!I$3*((1-Ft!I$6)/(1+Ft!I$37*($A403-Ft!I$2)^2)+Ft!I$6*EXP(Ft!I$38*($A403-Ft!I$2)^2)),Ft!I$3*((1-Ft!I$7)/(1+Ft!I$39*($A403-Ft!I$2)^2)+Ft!I$7*EXP(Ft!I$40*($A403-Ft!I$2)^2)))</f>
        <v>0</v>
      </c>
      <c r="N403" s="3">
        <f>IF(($A403-Ft!J$2)&lt;0,Ft!J$3*((1-Ft!J$6)/(1+Ft!J$37*($A403-Ft!J$2)^2)+Ft!J$6*EXP(Ft!J$38*($A403-Ft!J$2)^2)),Ft!J$3*((1-Ft!J$7)/(1+Ft!J$39*($A403-Ft!J$2)^2)+Ft!J$7*EXP(Ft!J$40*($A403-Ft!J$2)^2)))</f>
        <v>0</v>
      </c>
      <c r="O403" s="3">
        <f>IF(($A403-Ft!K$2)&lt;0,Ft!K$3*((1-Ft!K$6)/(1+Ft!K$37*($A403-Ft!K$2)^2)+Ft!K$6*EXP(Ft!K$38*($A403-Ft!K$2)^2)),Ft!K$3*((1-Ft!K$7)/(1+Ft!K$39*($A403-Ft!K$2)^2)+Ft!K$7*EXP(Ft!K$40*($A403-Ft!K$2)^2)))</f>
        <v>0</v>
      </c>
      <c r="P403"/>
      <c r="Q403"/>
    </row>
    <row r="404" spans="1:17">
      <c r="A404">
        <v>804</v>
      </c>
      <c r="B404">
        <v>17.245821206525989</v>
      </c>
      <c r="C404" s="6">
        <f t="shared" si="13"/>
        <v>17.484563357637985</v>
      </c>
      <c r="D404" s="19">
        <f t="shared" si="14"/>
        <v>5.6997814717583153E-2</v>
      </c>
      <c r="E404" s="3">
        <f>Ft!$B$12+Ft!$B$14*(Data!A404-Vars!$B$3)</f>
        <v>0</v>
      </c>
      <c r="F404" s="3">
        <f>IF(($A404-Ft!B$2)&lt;0,Ft!B$3*((1-Ft!B$6)/(1+Ft!B$37*($A404-Ft!B$2)^2)+Ft!B$6*EXP(Ft!B$38*($A404-Ft!B$2)^2)),Ft!B$3*((1-Ft!B$7)/(1+Ft!B$39*($A404-Ft!B$2)^2)+Ft!B$7*EXP(Ft!B$40*($A404-Ft!B$2)^2)))</f>
        <v>0</v>
      </c>
      <c r="G404" s="3">
        <f>IF(($A404-Ft!C$2)&lt;0,Ft!C$3*((1-Ft!C$6)/(1+Ft!C$37*($A404-Ft!C$2)^2)+Ft!C$6*EXP(Ft!C$38*($A404-Ft!C$2)^2)),Ft!C$3*((1-Ft!C$7)/(1+Ft!C$39*($A404-Ft!C$2)^2)+Ft!C$7*EXP(Ft!C$40*($A404-Ft!C$2)^2)))</f>
        <v>2.2351015323660077E-15</v>
      </c>
      <c r="H404" s="3">
        <f>IF(($A404-Ft!D$2)&lt;0,Ft!D$3*((1-Ft!D$6)/(1+Ft!D$37*($A404-Ft!D$2)^2)+Ft!D$6*EXP(Ft!D$38*($A404-Ft!D$2)^2)),Ft!D$3*((1-Ft!D$7)/(1+Ft!D$39*($A404-Ft!D$2)^2)+Ft!D$7*EXP(Ft!D$40*($A404-Ft!D$2)^2)))</f>
        <v>2.0818269009550887</v>
      </c>
      <c r="I404" s="3">
        <f>IF(($A404-Ft!E$2)&lt;0,Ft!E$3*((1-Ft!E$6)/(1+Ft!E$37*($A404-Ft!E$2)^2)+Ft!E$6*EXP(Ft!E$38*($A404-Ft!E$2)^2)),Ft!E$3*((1-Ft!E$7)/(1+Ft!E$39*($A404-Ft!E$2)^2)+Ft!E$7*EXP(Ft!E$40*($A404-Ft!E$2)^2)))</f>
        <v>15.402592884275553</v>
      </c>
      <c r="J404" s="3">
        <f>IF(($A404-Ft!F$2)&lt;0,Ft!F$3*((1-Ft!F$6)/(1+Ft!F$37*($A404-Ft!F$2)^2)+Ft!F$6*EXP(Ft!F$38*($A404-Ft!F$2)^2)),Ft!F$3*((1-Ft!F$7)/(1+Ft!F$39*($A404-Ft!F$2)^2)+Ft!F$7*EXP(Ft!F$40*($A404-Ft!F$2)^2)))</f>
        <v>1.4357240734233379E-4</v>
      </c>
      <c r="K404" s="3">
        <f>IF(($A404-Ft!G$2)&lt;0,Ft!G$3*((1-Ft!G$6)/(1+Ft!G$37*($A404-Ft!G$2)^2)+Ft!G$6*EXP(Ft!G$38*($A404-Ft!G$2)^2)),Ft!G$3*((1-Ft!G$7)/(1+Ft!G$39*($A404-Ft!G$2)^2)+Ft!G$7*EXP(Ft!G$40*($A404-Ft!G$2)^2)))</f>
        <v>5.480794211683581E-24</v>
      </c>
      <c r="L404" s="3">
        <f>IF(($A404-Ft!H$2)&lt;0,Ft!H$3*((1-Ft!H$6)/(1+Ft!H$37*($A404-Ft!H$2)^2)+Ft!H$6*EXP(Ft!H$38*($A404-Ft!H$2)^2)),Ft!H$3*((1-Ft!H$7)/(1+Ft!H$39*($A404-Ft!H$2)^2)+Ft!H$7*EXP(Ft!H$40*($A404-Ft!H$2)^2)))</f>
        <v>0</v>
      </c>
      <c r="M404" s="3">
        <f>IF(($A404-Ft!I$2)&lt;0,Ft!I$3*((1-Ft!I$6)/(1+Ft!I$37*($A404-Ft!I$2)^2)+Ft!I$6*EXP(Ft!I$38*($A404-Ft!I$2)^2)),Ft!I$3*((1-Ft!I$7)/(1+Ft!I$39*($A404-Ft!I$2)^2)+Ft!I$7*EXP(Ft!I$40*($A404-Ft!I$2)^2)))</f>
        <v>0</v>
      </c>
      <c r="N404" s="3">
        <f>IF(($A404-Ft!J$2)&lt;0,Ft!J$3*((1-Ft!J$6)/(1+Ft!J$37*($A404-Ft!J$2)^2)+Ft!J$6*EXP(Ft!J$38*($A404-Ft!J$2)^2)),Ft!J$3*((1-Ft!J$7)/(1+Ft!J$39*($A404-Ft!J$2)^2)+Ft!J$7*EXP(Ft!J$40*($A404-Ft!J$2)^2)))</f>
        <v>0</v>
      </c>
      <c r="O404" s="3">
        <f>IF(($A404-Ft!K$2)&lt;0,Ft!K$3*((1-Ft!K$6)/(1+Ft!K$37*($A404-Ft!K$2)^2)+Ft!K$6*EXP(Ft!K$38*($A404-Ft!K$2)^2)),Ft!K$3*((1-Ft!K$7)/(1+Ft!K$39*($A404-Ft!K$2)^2)+Ft!K$7*EXP(Ft!K$40*($A404-Ft!K$2)^2)))</f>
        <v>0</v>
      </c>
      <c r="P404"/>
      <c r="Q404"/>
    </row>
    <row r="405" spans="1:17">
      <c r="A405">
        <v>806</v>
      </c>
      <c r="B405">
        <v>17.217216168752998</v>
      </c>
      <c r="C405" s="6">
        <f t="shared" si="13"/>
        <v>17.45991020330024</v>
      </c>
      <c r="D405" s="19">
        <f t="shared" si="14"/>
        <v>5.8900394404817751E-2</v>
      </c>
      <c r="E405" s="3">
        <f>Ft!$B$12+Ft!$B$14*(Data!A405-Vars!$B$3)</f>
        <v>0</v>
      </c>
      <c r="F405" s="3">
        <f>IF(($A405-Ft!B$2)&lt;0,Ft!B$3*((1-Ft!B$6)/(1+Ft!B$37*($A405-Ft!B$2)^2)+Ft!B$6*EXP(Ft!B$38*($A405-Ft!B$2)^2)),Ft!B$3*((1-Ft!B$7)/(1+Ft!B$39*($A405-Ft!B$2)^2)+Ft!B$7*EXP(Ft!B$40*($A405-Ft!B$2)^2)))</f>
        <v>0</v>
      </c>
      <c r="G405" s="3">
        <f>IF(($A405-Ft!C$2)&lt;0,Ft!C$3*((1-Ft!C$6)/(1+Ft!C$37*($A405-Ft!C$2)^2)+Ft!C$6*EXP(Ft!C$38*($A405-Ft!C$2)^2)),Ft!C$3*((1-Ft!C$7)/(1+Ft!C$39*($A405-Ft!C$2)^2)+Ft!C$7*EXP(Ft!C$40*($A405-Ft!C$2)^2)))</f>
        <v>1.8001804186839449E-15</v>
      </c>
      <c r="H405" s="3">
        <f>IF(($A405-Ft!D$2)&lt;0,Ft!D$3*((1-Ft!D$6)/(1+Ft!D$37*($A405-Ft!D$2)^2)+Ft!D$6*EXP(Ft!D$38*($A405-Ft!D$2)^2)),Ft!D$3*((1-Ft!D$7)/(1+Ft!D$39*($A405-Ft!D$2)^2)+Ft!D$7*EXP(Ft!D$40*($A405-Ft!D$2)^2)))</f>
        <v>2.030028316060474</v>
      </c>
      <c r="I405" s="3">
        <f>IF(($A405-Ft!E$2)&lt;0,Ft!E$3*((1-Ft!E$6)/(1+Ft!E$37*($A405-Ft!E$2)^2)+Ft!E$6*EXP(Ft!E$38*($A405-Ft!E$2)^2)),Ft!E$3*((1-Ft!E$7)/(1+Ft!E$39*($A405-Ft!E$2)^2)+Ft!E$7*EXP(Ft!E$40*($A405-Ft!E$2)^2)))</f>
        <v>15.429704630913971</v>
      </c>
      <c r="J405" s="3">
        <f>IF(($A405-Ft!F$2)&lt;0,Ft!F$3*((1-Ft!F$6)/(1+Ft!F$37*($A405-Ft!F$2)^2)+Ft!F$6*EXP(Ft!F$38*($A405-Ft!F$2)^2)),Ft!F$3*((1-Ft!F$7)/(1+Ft!F$39*($A405-Ft!F$2)^2)+Ft!F$7*EXP(Ft!F$40*($A405-Ft!F$2)^2)))</f>
        <v>1.7725632579107989E-4</v>
      </c>
      <c r="K405" s="3">
        <f>IF(($A405-Ft!G$2)&lt;0,Ft!G$3*((1-Ft!G$6)/(1+Ft!G$37*($A405-Ft!G$2)^2)+Ft!G$6*EXP(Ft!G$38*($A405-Ft!G$2)^2)),Ft!G$3*((1-Ft!G$7)/(1+Ft!G$39*($A405-Ft!G$2)^2)+Ft!G$7*EXP(Ft!G$40*($A405-Ft!G$2)^2)))</f>
        <v>1.3671633349248256E-23</v>
      </c>
      <c r="L405" s="3">
        <f>IF(($A405-Ft!H$2)&lt;0,Ft!H$3*((1-Ft!H$6)/(1+Ft!H$37*($A405-Ft!H$2)^2)+Ft!H$6*EXP(Ft!H$38*($A405-Ft!H$2)^2)),Ft!H$3*((1-Ft!H$7)/(1+Ft!H$39*($A405-Ft!H$2)^2)+Ft!H$7*EXP(Ft!H$40*($A405-Ft!H$2)^2)))</f>
        <v>0</v>
      </c>
      <c r="M405" s="3">
        <f>IF(($A405-Ft!I$2)&lt;0,Ft!I$3*((1-Ft!I$6)/(1+Ft!I$37*($A405-Ft!I$2)^2)+Ft!I$6*EXP(Ft!I$38*($A405-Ft!I$2)^2)),Ft!I$3*((1-Ft!I$7)/(1+Ft!I$39*($A405-Ft!I$2)^2)+Ft!I$7*EXP(Ft!I$40*($A405-Ft!I$2)^2)))</f>
        <v>0</v>
      </c>
      <c r="N405" s="3">
        <f>IF(($A405-Ft!J$2)&lt;0,Ft!J$3*((1-Ft!J$6)/(1+Ft!J$37*($A405-Ft!J$2)^2)+Ft!J$6*EXP(Ft!J$38*($A405-Ft!J$2)^2)),Ft!J$3*((1-Ft!J$7)/(1+Ft!J$39*($A405-Ft!J$2)^2)+Ft!J$7*EXP(Ft!J$40*($A405-Ft!J$2)^2)))</f>
        <v>0</v>
      </c>
      <c r="O405" s="3">
        <f>IF(($A405-Ft!K$2)&lt;0,Ft!K$3*((1-Ft!K$6)/(1+Ft!K$37*($A405-Ft!K$2)^2)+Ft!K$6*EXP(Ft!K$38*($A405-Ft!K$2)^2)),Ft!K$3*((1-Ft!K$7)/(1+Ft!K$39*($A405-Ft!K$2)^2)+Ft!K$7*EXP(Ft!K$40*($A405-Ft!K$2)^2)))</f>
        <v>0</v>
      </c>
      <c r="P405"/>
      <c r="Q405"/>
    </row>
    <row r="406" spans="1:17">
      <c r="A406">
        <v>808</v>
      </c>
      <c r="B406">
        <v>17.186678315054991</v>
      </c>
      <c r="C406" s="6">
        <f t="shared" si="13"/>
        <v>17.433204409153287</v>
      </c>
      <c r="D406" s="19">
        <f t="shared" si="14"/>
        <v>6.0775115071362143E-2</v>
      </c>
      <c r="E406" s="3">
        <f>Ft!$B$12+Ft!$B$14*(Data!A406-Vars!$B$3)</f>
        <v>0</v>
      </c>
      <c r="F406" s="3">
        <f>IF(($A406-Ft!B$2)&lt;0,Ft!B$3*((1-Ft!B$6)/(1+Ft!B$37*($A406-Ft!B$2)^2)+Ft!B$6*EXP(Ft!B$38*($A406-Ft!B$2)^2)),Ft!B$3*((1-Ft!B$7)/(1+Ft!B$39*($A406-Ft!B$2)^2)+Ft!B$7*EXP(Ft!B$40*($A406-Ft!B$2)^2)))</f>
        <v>0</v>
      </c>
      <c r="G406" s="3">
        <f>IF(($A406-Ft!C$2)&lt;0,Ft!C$3*((1-Ft!C$6)/(1+Ft!C$37*($A406-Ft!C$2)^2)+Ft!C$6*EXP(Ft!C$38*($A406-Ft!C$2)^2)),Ft!C$3*((1-Ft!C$7)/(1+Ft!C$39*($A406-Ft!C$2)^2)+Ft!C$7*EXP(Ft!C$40*($A406-Ft!C$2)^2)))</f>
        <v>1.4489478096881733E-15</v>
      </c>
      <c r="H406" s="3">
        <f>IF(($A406-Ft!D$2)&lt;0,Ft!D$3*((1-Ft!D$6)/(1+Ft!D$37*($A406-Ft!D$2)^2)+Ft!D$6*EXP(Ft!D$38*($A406-Ft!D$2)^2)),Ft!D$3*((1-Ft!D$7)/(1+Ft!D$39*($A406-Ft!D$2)^2)+Ft!D$7*EXP(Ft!D$40*($A406-Ft!D$2)^2)))</f>
        <v>1.979233988051009</v>
      </c>
      <c r="I406" s="3">
        <f>IF(($A406-Ft!E$2)&lt;0,Ft!E$3*((1-Ft!E$6)/(1+Ft!E$37*($A406-Ft!E$2)^2)+Ft!E$6*EXP(Ft!E$38*($A406-Ft!E$2)^2)),Ft!E$3*((1-Ft!E$7)/(1+Ft!E$39*($A406-Ft!E$2)^2)+Ft!E$7*EXP(Ft!E$40*($A406-Ft!E$2)^2)))</f>
        <v>15.453752048687033</v>
      </c>
      <c r="J406" s="3">
        <f>IF(($A406-Ft!F$2)&lt;0,Ft!F$3*((1-Ft!F$6)/(1+Ft!F$37*($A406-Ft!F$2)^2)+Ft!F$6*EXP(Ft!F$38*($A406-Ft!F$2)^2)),Ft!F$3*((1-Ft!F$7)/(1+Ft!F$39*($A406-Ft!F$2)^2)+Ft!F$7*EXP(Ft!F$40*($A406-Ft!F$2)^2)))</f>
        <v>2.1837241524543677E-4</v>
      </c>
      <c r="K406" s="3">
        <f>IF(($A406-Ft!G$2)&lt;0,Ft!G$3*((1-Ft!G$6)/(1+Ft!G$37*($A406-Ft!G$2)^2)+Ft!G$6*EXP(Ft!G$38*($A406-Ft!G$2)^2)),Ft!G$3*((1-Ft!G$7)/(1+Ft!G$39*($A406-Ft!G$2)^2)+Ft!G$7*EXP(Ft!G$40*($A406-Ft!G$2)^2)))</f>
        <v>3.3844978449990052E-23</v>
      </c>
      <c r="L406" s="3">
        <f>IF(($A406-Ft!H$2)&lt;0,Ft!H$3*((1-Ft!H$6)/(1+Ft!H$37*($A406-Ft!H$2)^2)+Ft!H$6*EXP(Ft!H$38*($A406-Ft!H$2)^2)),Ft!H$3*((1-Ft!H$7)/(1+Ft!H$39*($A406-Ft!H$2)^2)+Ft!H$7*EXP(Ft!H$40*($A406-Ft!H$2)^2)))</f>
        <v>0</v>
      </c>
      <c r="M406" s="3">
        <f>IF(($A406-Ft!I$2)&lt;0,Ft!I$3*((1-Ft!I$6)/(1+Ft!I$37*($A406-Ft!I$2)^2)+Ft!I$6*EXP(Ft!I$38*($A406-Ft!I$2)^2)),Ft!I$3*((1-Ft!I$7)/(1+Ft!I$39*($A406-Ft!I$2)^2)+Ft!I$7*EXP(Ft!I$40*($A406-Ft!I$2)^2)))</f>
        <v>0</v>
      </c>
      <c r="N406" s="3">
        <f>IF(($A406-Ft!J$2)&lt;0,Ft!J$3*((1-Ft!J$6)/(1+Ft!J$37*($A406-Ft!J$2)^2)+Ft!J$6*EXP(Ft!J$38*($A406-Ft!J$2)^2)),Ft!J$3*((1-Ft!J$7)/(1+Ft!J$39*($A406-Ft!J$2)^2)+Ft!J$7*EXP(Ft!J$40*($A406-Ft!J$2)^2)))</f>
        <v>0</v>
      </c>
      <c r="O406" s="3">
        <f>IF(($A406-Ft!K$2)&lt;0,Ft!K$3*((1-Ft!K$6)/(1+Ft!K$37*($A406-Ft!K$2)^2)+Ft!K$6*EXP(Ft!K$38*($A406-Ft!K$2)^2)),Ft!K$3*((1-Ft!K$7)/(1+Ft!K$39*($A406-Ft!K$2)^2)+Ft!K$7*EXP(Ft!K$40*($A406-Ft!K$2)^2)))</f>
        <v>0</v>
      </c>
      <c r="P406"/>
      <c r="Q406"/>
    </row>
    <row r="407" spans="1:17">
      <c r="A407">
        <v>810</v>
      </c>
      <c r="B407">
        <v>17.154160899711997</v>
      </c>
      <c r="C407" s="6">
        <f t="shared" si="13"/>
        <v>17.404422328070559</v>
      </c>
      <c r="D407" s="19">
        <f t="shared" si="14"/>
        <v>6.2630782524068118E-2</v>
      </c>
      <c r="E407" s="3">
        <f>Ft!$B$12+Ft!$B$14*(Data!A407-Vars!$B$3)</f>
        <v>0</v>
      </c>
      <c r="F407" s="3">
        <f>IF(($A407-Ft!B$2)&lt;0,Ft!B$3*((1-Ft!B$6)/(1+Ft!B$37*($A407-Ft!B$2)^2)+Ft!B$6*EXP(Ft!B$38*($A407-Ft!B$2)^2)),Ft!B$3*((1-Ft!B$7)/(1+Ft!B$39*($A407-Ft!B$2)^2)+Ft!B$7*EXP(Ft!B$40*($A407-Ft!B$2)^2)))</f>
        <v>0</v>
      </c>
      <c r="G407" s="3">
        <f>IF(($A407-Ft!C$2)&lt;0,Ft!C$3*((1-Ft!C$6)/(1+Ft!C$37*($A407-Ft!C$2)^2)+Ft!C$6*EXP(Ft!C$38*($A407-Ft!C$2)^2)),Ft!C$3*((1-Ft!C$7)/(1+Ft!C$39*($A407-Ft!C$2)^2)+Ft!C$7*EXP(Ft!C$40*($A407-Ft!C$2)^2)))</f>
        <v>1.1654868672682582E-15</v>
      </c>
      <c r="H407" s="3">
        <f>IF(($A407-Ft!D$2)&lt;0,Ft!D$3*((1-Ft!D$6)/(1+Ft!D$37*($A407-Ft!D$2)^2)+Ft!D$6*EXP(Ft!D$38*($A407-Ft!D$2)^2)),Ft!D$3*((1-Ft!D$7)/(1+Ft!D$39*($A407-Ft!D$2)^2)+Ft!D$7*EXP(Ft!D$40*($A407-Ft!D$2)^2)))</f>
        <v>1.9294332098027935</v>
      </c>
      <c r="I407" s="3">
        <f>IF(($A407-Ft!E$2)&lt;0,Ft!E$3*((1-Ft!E$6)/(1+Ft!E$37*($A407-Ft!E$2)^2)+Ft!E$6*EXP(Ft!E$38*($A407-Ft!E$2)^2)),Ft!E$3*((1-Ft!E$7)/(1+Ft!E$39*($A407-Ft!E$2)^2)+Ft!E$7*EXP(Ft!E$40*($A407-Ft!E$2)^2)))</f>
        <v>15.474720670939321</v>
      </c>
      <c r="J407" s="3">
        <f>IF(($A407-Ft!F$2)&lt;0,Ft!F$3*((1-Ft!F$6)/(1+Ft!F$37*($A407-Ft!F$2)^2)+Ft!F$6*EXP(Ft!F$38*($A407-Ft!F$2)^2)),Ft!F$3*((1-Ft!F$7)/(1+Ft!F$39*($A407-Ft!F$2)^2)+Ft!F$7*EXP(Ft!F$40*($A407-Ft!F$2)^2)))</f>
        <v>2.6844732844497483E-4</v>
      </c>
      <c r="K407" s="3">
        <f>IF(($A407-Ft!G$2)&lt;0,Ft!G$3*((1-Ft!G$6)/(1+Ft!G$37*($A407-Ft!G$2)^2)+Ft!G$6*EXP(Ft!G$38*($A407-Ft!G$2)^2)),Ft!G$3*((1-Ft!G$7)/(1+Ft!G$39*($A407-Ft!G$2)^2)+Ft!G$7*EXP(Ft!G$40*($A407-Ft!G$2)^2)))</f>
        <v>8.3150528354624489E-23</v>
      </c>
      <c r="L407" s="3">
        <f>IF(($A407-Ft!H$2)&lt;0,Ft!H$3*((1-Ft!H$6)/(1+Ft!H$37*($A407-Ft!H$2)^2)+Ft!H$6*EXP(Ft!H$38*($A407-Ft!H$2)^2)),Ft!H$3*((1-Ft!H$7)/(1+Ft!H$39*($A407-Ft!H$2)^2)+Ft!H$7*EXP(Ft!H$40*($A407-Ft!H$2)^2)))</f>
        <v>0</v>
      </c>
      <c r="M407" s="3">
        <f>IF(($A407-Ft!I$2)&lt;0,Ft!I$3*((1-Ft!I$6)/(1+Ft!I$37*($A407-Ft!I$2)^2)+Ft!I$6*EXP(Ft!I$38*($A407-Ft!I$2)^2)),Ft!I$3*((1-Ft!I$7)/(1+Ft!I$39*($A407-Ft!I$2)^2)+Ft!I$7*EXP(Ft!I$40*($A407-Ft!I$2)^2)))</f>
        <v>0</v>
      </c>
      <c r="N407" s="3">
        <f>IF(($A407-Ft!J$2)&lt;0,Ft!J$3*((1-Ft!J$6)/(1+Ft!J$37*($A407-Ft!J$2)^2)+Ft!J$6*EXP(Ft!J$38*($A407-Ft!J$2)^2)),Ft!J$3*((1-Ft!J$7)/(1+Ft!J$39*($A407-Ft!J$2)^2)+Ft!J$7*EXP(Ft!J$40*($A407-Ft!J$2)^2)))</f>
        <v>0</v>
      </c>
      <c r="O407" s="3">
        <f>IF(($A407-Ft!K$2)&lt;0,Ft!K$3*((1-Ft!K$6)/(1+Ft!K$37*($A407-Ft!K$2)^2)+Ft!K$6*EXP(Ft!K$38*($A407-Ft!K$2)^2)),Ft!K$3*((1-Ft!K$7)/(1+Ft!K$39*($A407-Ft!K$2)^2)+Ft!K$7*EXP(Ft!K$40*($A407-Ft!K$2)^2)))</f>
        <v>0</v>
      </c>
      <c r="P407"/>
      <c r="Q407"/>
    </row>
    <row r="408" spans="1:17">
      <c r="A408">
        <v>812</v>
      </c>
      <c r="B408">
        <v>17.120665874167997</v>
      </c>
      <c r="C408" s="6">
        <f t="shared" si="13"/>
        <v>17.37354228605982</v>
      </c>
      <c r="D408" s="19">
        <f t="shared" si="14"/>
        <v>6.3946479691282684E-2</v>
      </c>
      <c r="E408" s="3">
        <f>Ft!$B$12+Ft!$B$14*(Data!A408-Vars!$B$3)</f>
        <v>0</v>
      </c>
      <c r="F408" s="3">
        <f>IF(($A408-Ft!B$2)&lt;0,Ft!B$3*((1-Ft!B$6)/(1+Ft!B$37*($A408-Ft!B$2)^2)+Ft!B$6*EXP(Ft!B$38*($A408-Ft!B$2)^2)),Ft!B$3*((1-Ft!B$7)/(1+Ft!B$39*($A408-Ft!B$2)^2)+Ft!B$7*EXP(Ft!B$40*($A408-Ft!B$2)^2)))</f>
        <v>0</v>
      </c>
      <c r="G408" s="3">
        <f>IF(($A408-Ft!C$2)&lt;0,Ft!C$3*((1-Ft!C$6)/(1+Ft!C$37*($A408-Ft!C$2)^2)+Ft!C$6*EXP(Ft!C$38*($A408-Ft!C$2)^2)),Ft!C$3*((1-Ft!C$7)/(1+Ft!C$39*($A408-Ft!C$2)^2)+Ft!C$7*EXP(Ft!C$40*($A408-Ft!C$2)^2)))</f>
        <v>9.3687134958431757E-16</v>
      </c>
      <c r="H408" s="3">
        <f>IF(($A408-Ft!D$2)&lt;0,Ft!D$3*((1-Ft!D$6)/(1+Ft!D$37*($A408-Ft!D$2)^2)+Ft!D$6*EXP(Ft!D$38*($A408-Ft!D$2)^2)),Ft!D$3*((1-Ft!D$7)/(1+Ft!D$39*($A408-Ft!D$2)^2)+Ft!D$7*EXP(Ft!D$40*($A408-Ft!D$2)^2)))</f>
        <v>1.8806151197696244</v>
      </c>
      <c r="I408" s="3">
        <f>IF(($A408-Ft!E$2)&lt;0,Ft!E$3*((1-Ft!E$6)/(1+Ft!E$37*($A408-Ft!E$2)^2)+Ft!E$6*EXP(Ft!E$38*($A408-Ft!E$2)^2)),Ft!E$3*((1-Ft!E$7)/(1+Ft!E$39*($A408-Ft!E$2)^2)+Ft!E$7*EXP(Ft!E$40*($A408-Ft!E$2)^2)))</f>
        <v>15.492597870886261</v>
      </c>
      <c r="J408" s="3">
        <f>IF(($A408-Ft!F$2)&lt;0,Ft!F$3*((1-Ft!F$6)/(1+Ft!F$37*($A408-Ft!F$2)^2)+Ft!F$6*EXP(Ft!F$38*($A408-Ft!F$2)^2)),Ft!F$3*((1-Ft!F$7)/(1+Ft!F$39*($A408-Ft!F$2)^2)+Ft!F$7*EXP(Ft!F$40*($A408-Ft!F$2)^2)))</f>
        <v>3.2929540393318335E-4</v>
      </c>
      <c r="K408" s="3">
        <f>IF(($A408-Ft!G$2)&lt;0,Ft!G$3*((1-Ft!G$6)/(1+Ft!G$37*($A408-Ft!G$2)^2)+Ft!G$6*EXP(Ft!G$38*($A408-Ft!G$2)^2)),Ft!G$3*((1-Ft!G$7)/(1+Ft!G$39*($A408-Ft!G$2)^2)+Ft!G$7*EXP(Ft!G$40*($A408-Ft!G$2)^2)))</f>
        <v>2.0273686033595498E-22</v>
      </c>
      <c r="L408" s="3">
        <f>IF(($A408-Ft!H$2)&lt;0,Ft!H$3*((1-Ft!H$6)/(1+Ft!H$37*($A408-Ft!H$2)^2)+Ft!H$6*EXP(Ft!H$38*($A408-Ft!H$2)^2)),Ft!H$3*((1-Ft!H$7)/(1+Ft!H$39*($A408-Ft!H$2)^2)+Ft!H$7*EXP(Ft!H$40*($A408-Ft!H$2)^2)))</f>
        <v>0</v>
      </c>
      <c r="M408" s="3">
        <f>IF(($A408-Ft!I$2)&lt;0,Ft!I$3*((1-Ft!I$6)/(1+Ft!I$37*($A408-Ft!I$2)^2)+Ft!I$6*EXP(Ft!I$38*($A408-Ft!I$2)^2)),Ft!I$3*((1-Ft!I$7)/(1+Ft!I$39*($A408-Ft!I$2)^2)+Ft!I$7*EXP(Ft!I$40*($A408-Ft!I$2)^2)))</f>
        <v>0</v>
      </c>
      <c r="N408" s="3">
        <f>IF(($A408-Ft!J$2)&lt;0,Ft!J$3*((1-Ft!J$6)/(1+Ft!J$37*($A408-Ft!J$2)^2)+Ft!J$6*EXP(Ft!J$38*($A408-Ft!J$2)^2)),Ft!J$3*((1-Ft!J$7)/(1+Ft!J$39*($A408-Ft!J$2)^2)+Ft!J$7*EXP(Ft!J$40*($A408-Ft!J$2)^2)))</f>
        <v>0</v>
      </c>
      <c r="O408" s="3">
        <f>IF(($A408-Ft!K$2)&lt;0,Ft!K$3*((1-Ft!K$6)/(1+Ft!K$37*($A408-Ft!K$2)^2)+Ft!K$6*EXP(Ft!K$38*($A408-Ft!K$2)^2)),Ft!K$3*((1-Ft!K$7)/(1+Ft!K$39*($A408-Ft!K$2)^2)+Ft!K$7*EXP(Ft!K$40*($A408-Ft!K$2)^2)))</f>
        <v>0</v>
      </c>
      <c r="P408"/>
      <c r="Q408"/>
    </row>
    <row r="409" spans="1:17">
      <c r="A409">
        <v>814</v>
      </c>
      <c r="B409">
        <v>17.086298601745</v>
      </c>
      <c r="C409" s="6">
        <f t="shared" si="13"/>
        <v>17.340544653583404</v>
      </c>
      <c r="D409" s="19">
        <f t="shared" si="14"/>
        <v>6.4641054875416409E-2</v>
      </c>
      <c r="E409" s="3">
        <f>Ft!$B$12+Ft!$B$14*(Data!A409-Vars!$B$3)</f>
        <v>0</v>
      </c>
      <c r="F409" s="3">
        <f>IF(($A409-Ft!B$2)&lt;0,Ft!B$3*((1-Ft!B$6)/(1+Ft!B$37*($A409-Ft!B$2)^2)+Ft!B$6*EXP(Ft!B$38*($A409-Ft!B$2)^2)),Ft!B$3*((1-Ft!B$7)/(1+Ft!B$39*($A409-Ft!B$2)^2)+Ft!B$7*EXP(Ft!B$40*($A409-Ft!B$2)^2)))</f>
        <v>0</v>
      </c>
      <c r="G409" s="3">
        <f>IF(($A409-Ft!C$2)&lt;0,Ft!C$3*((1-Ft!C$6)/(1+Ft!C$37*($A409-Ft!C$2)^2)+Ft!C$6*EXP(Ft!C$38*($A409-Ft!C$2)^2)),Ft!C$3*((1-Ft!C$7)/(1+Ft!C$39*($A409-Ft!C$2)^2)+Ft!C$7*EXP(Ft!C$40*($A409-Ft!C$2)^2)))</f>
        <v>7.5261083091558763E-16</v>
      </c>
      <c r="H409" s="3">
        <f>IF(($A409-Ft!D$2)&lt;0,Ft!D$3*((1-Ft!D$6)/(1+Ft!D$37*($A409-Ft!D$2)^2)+Ft!D$6*EXP(Ft!D$38*($A409-Ft!D$2)^2)),Ft!D$3*((1-Ft!D$7)/(1+Ft!D$39*($A409-Ft!D$2)^2)+Ft!D$7*EXP(Ft!D$40*($A409-Ft!D$2)^2)))</f>
        <v>1.8327687120346887</v>
      </c>
      <c r="I409" s="3">
        <f>IF(($A409-Ft!E$2)&lt;0,Ft!E$3*((1-Ft!E$6)/(1+Ft!E$37*($A409-Ft!E$2)^2)+Ft!E$6*EXP(Ft!E$38*($A409-Ft!E$2)^2)),Ft!E$3*((1-Ft!E$7)/(1+Ft!E$39*($A409-Ft!E$2)^2)+Ft!E$7*EXP(Ft!E$40*($A409-Ft!E$2)^2)))</f>
        <v>15.507372874285782</v>
      </c>
      <c r="J409" s="3">
        <f>IF(($A409-Ft!F$2)&lt;0,Ft!F$3*((1-Ft!F$6)/(1+Ft!F$37*($A409-Ft!F$2)^2)+Ft!F$6*EXP(Ft!F$38*($A409-Ft!F$2)^2)),Ft!F$3*((1-Ft!F$7)/(1+Ft!F$39*($A409-Ft!F$2)^2)+Ft!F$7*EXP(Ft!F$40*($A409-Ft!F$2)^2)))</f>
        <v>4.0306726293408424E-4</v>
      </c>
      <c r="K409" s="3">
        <f>IF(($A409-Ft!G$2)&lt;0,Ft!G$3*((1-Ft!G$6)/(1+Ft!G$37*($A409-Ft!G$2)^2)+Ft!G$6*EXP(Ft!G$38*($A409-Ft!G$2)^2)),Ft!G$3*((1-Ft!G$7)/(1+Ft!G$39*($A409-Ft!G$2)^2)+Ft!G$7*EXP(Ft!G$40*($A409-Ft!G$2)^2)))</f>
        <v>4.9056589510143022E-22</v>
      </c>
      <c r="L409" s="3">
        <f>IF(($A409-Ft!H$2)&lt;0,Ft!H$3*((1-Ft!H$6)/(1+Ft!H$37*($A409-Ft!H$2)^2)+Ft!H$6*EXP(Ft!H$38*($A409-Ft!H$2)^2)),Ft!H$3*((1-Ft!H$7)/(1+Ft!H$39*($A409-Ft!H$2)^2)+Ft!H$7*EXP(Ft!H$40*($A409-Ft!H$2)^2)))</f>
        <v>0</v>
      </c>
      <c r="M409" s="3">
        <f>IF(($A409-Ft!I$2)&lt;0,Ft!I$3*((1-Ft!I$6)/(1+Ft!I$37*($A409-Ft!I$2)^2)+Ft!I$6*EXP(Ft!I$38*($A409-Ft!I$2)^2)),Ft!I$3*((1-Ft!I$7)/(1+Ft!I$39*($A409-Ft!I$2)^2)+Ft!I$7*EXP(Ft!I$40*($A409-Ft!I$2)^2)))</f>
        <v>0</v>
      </c>
      <c r="N409" s="3">
        <f>IF(($A409-Ft!J$2)&lt;0,Ft!J$3*((1-Ft!J$6)/(1+Ft!J$37*($A409-Ft!J$2)^2)+Ft!J$6*EXP(Ft!J$38*($A409-Ft!J$2)^2)),Ft!J$3*((1-Ft!J$7)/(1+Ft!J$39*($A409-Ft!J$2)^2)+Ft!J$7*EXP(Ft!J$40*($A409-Ft!J$2)^2)))</f>
        <v>0</v>
      </c>
      <c r="O409" s="3">
        <f>IF(($A409-Ft!K$2)&lt;0,Ft!K$3*((1-Ft!K$6)/(1+Ft!K$37*($A409-Ft!K$2)^2)+Ft!K$6*EXP(Ft!K$38*($A409-Ft!K$2)^2)),Ft!K$3*((1-Ft!K$7)/(1+Ft!K$39*($A409-Ft!K$2)^2)+Ft!K$7*EXP(Ft!K$40*($A409-Ft!K$2)^2)))</f>
        <v>0</v>
      </c>
      <c r="P409"/>
      <c r="Q409"/>
    </row>
    <row r="410" spans="1:17">
      <c r="A410">
        <v>816</v>
      </c>
      <c r="B410">
        <v>17.050973223953989</v>
      </c>
      <c r="C410" s="6">
        <f t="shared" si="13"/>
        <v>17.305411921936766</v>
      </c>
      <c r="D410" s="19">
        <f t="shared" si="14"/>
        <v>6.4739051031171183E-2</v>
      </c>
      <c r="E410" s="3">
        <f>Ft!$B$12+Ft!$B$14*(Data!A410-Vars!$B$3)</f>
        <v>0</v>
      </c>
      <c r="F410" s="3">
        <f>IF(($A410-Ft!B$2)&lt;0,Ft!B$3*((1-Ft!B$6)/(1+Ft!B$37*($A410-Ft!B$2)^2)+Ft!B$6*EXP(Ft!B$38*($A410-Ft!B$2)^2)),Ft!B$3*((1-Ft!B$7)/(1+Ft!B$39*($A410-Ft!B$2)^2)+Ft!B$7*EXP(Ft!B$40*($A410-Ft!B$2)^2)))</f>
        <v>0</v>
      </c>
      <c r="G410" s="3">
        <f>IF(($A410-Ft!C$2)&lt;0,Ft!C$3*((1-Ft!C$6)/(1+Ft!C$37*($A410-Ft!C$2)^2)+Ft!C$6*EXP(Ft!C$38*($A410-Ft!C$2)^2)),Ft!C$3*((1-Ft!C$7)/(1+Ft!C$39*($A410-Ft!C$2)^2)+Ft!C$7*EXP(Ft!C$40*($A410-Ft!C$2)^2)))</f>
        <v>6.0419746979672642E-16</v>
      </c>
      <c r="H410" s="3">
        <f>IF(($A410-Ft!D$2)&lt;0,Ft!D$3*((1-Ft!D$6)/(1+Ft!D$37*($A410-Ft!D$2)^2)+Ft!D$6*EXP(Ft!D$38*($A410-Ft!D$2)^2)),Ft!D$3*((1-Ft!D$7)/(1+Ft!D$39*($A410-Ft!D$2)^2)+Ft!D$7*EXP(Ft!D$40*($A410-Ft!D$2)^2)))</f>
        <v>1.7858828462110872</v>
      </c>
      <c r="I410" s="3">
        <f>IF(($A410-Ft!E$2)&lt;0,Ft!E$3*((1-Ft!E$6)/(1+Ft!E$37*($A410-Ft!E$2)^2)+Ft!E$6*EXP(Ft!E$38*($A410-Ft!E$2)^2)),Ft!E$3*((1-Ft!E$7)/(1+Ft!E$39*($A410-Ft!E$2)^2)+Ft!E$7*EXP(Ft!E$40*($A410-Ft!E$2)^2)))</f>
        <v>15.519036770259959</v>
      </c>
      <c r="J410" s="3">
        <f>IF(($A410-Ft!F$2)&lt;0,Ft!F$3*((1-Ft!F$6)/(1+Ft!F$37*($A410-Ft!F$2)^2)+Ft!F$6*EXP(Ft!F$38*($A410-Ft!F$2)^2)),Ft!F$3*((1-Ft!F$7)/(1+Ft!F$39*($A410-Ft!F$2)^2)+Ft!F$7*EXP(Ft!F$40*($A410-Ft!F$2)^2)))</f>
        <v>4.9230546571928373E-4</v>
      </c>
      <c r="K410" s="3">
        <f>IF(($A410-Ft!G$2)&lt;0,Ft!G$3*((1-Ft!G$6)/(1+Ft!G$37*($A410-Ft!G$2)^2)+Ft!G$6*EXP(Ft!G$38*($A410-Ft!G$2)^2)),Ft!G$3*((1-Ft!G$7)/(1+Ft!G$39*($A410-Ft!G$2)^2)+Ft!G$7*EXP(Ft!G$40*($A410-Ft!G$2)^2)))</f>
        <v>1.1780369694107602E-21</v>
      </c>
      <c r="L410" s="3">
        <f>IF(($A410-Ft!H$2)&lt;0,Ft!H$3*((1-Ft!H$6)/(1+Ft!H$37*($A410-Ft!H$2)^2)+Ft!H$6*EXP(Ft!H$38*($A410-Ft!H$2)^2)),Ft!H$3*((1-Ft!H$7)/(1+Ft!H$39*($A410-Ft!H$2)^2)+Ft!H$7*EXP(Ft!H$40*($A410-Ft!H$2)^2)))</f>
        <v>0</v>
      </c>
      <c r="M410" s="3">
        <f>IF(($A410-Ft!I$2)&lt;0,Ft!I$3*((1-Ft!I$6)/(1+Ft!I$37*($A410-Ft!I$2)^2)+Ft!I$6*EXP(Ft!I$38*($A410-Ft!I$2)^2)),Ft!I$3*((1-Ft!I$7)/(1+Ft!I$39*($A410-Ft!I$2)^2)+Ft!I$7*EXP(Ft!I$40*($A410-Ft!I$2)^2)))</f>
        <v>0</v>
      </c>
      <c r="N410" s="3">
        <f>IF(($A410-Ft!J$2)&lt;0,Ft!J$3*((1-Ft!J$6)/(1+Ft!J$37*($A410-Ft!J$2)^2)+Ft!J$6*EXP(Ft!J$38*($A410-Ft!J$2)^2)),Ft!J$3*((1-Ft!J$7)/(1+Ft!J$39*($A410-Ft!J$2)^2)+Ft!J$7*EXP(Ft!J$40*($A410-Ft!J$2)^2)))</f>
        <v>0</v>
      </c>
      <c r="O410" s="3">
        <f>IF(($A410-Ft!K$2)&lt;0,Ft!K$3*((1-Ft!K$6)/(1+Ft!K$37*($A410-Ft!K$2)^2)+Ft!K$6*EXP(Ft!K$38*($A410-Ft!K$2)^2)),Ft!K$3*((1-Ft!K$7)/(1+Ft!K$39*($A410-Ft!K$2)^2)+Ft!K$7*EXP(Ft!K$40*($A410-Ft!K$2)^2)))</f>
        <v>0</v>
      </c>
      <c r="P410"/>
      <c r="Q410"/>
    </row>
    <row r="411" spans="1:17">
      <c r="A411">
        <v>818</v>
      </c>
      <c r="B411">
        <v>17.01460388230899</v>
      </c>
      <c r="C411" s="6">
        <f t="shared" si="13"/>
        <v>17.268128785468239</v>
      </c>
      <c r="D411" s="19">
        <f t="shared" si="14"/>
        <v>6.4274876521906707E-2</v>
      </c>
      <c r="E411" s="3">
        <f>Ft!$B$12+Ft!$B$14*(Data!A411-Vars!$B$3)</f>
        <v>0</v>
      </c>
      <c r="F411" s="3">
        <f>IF(($A411-Ft!B$2)&lt;0,Ft!B$3*((1-Ft!B$6)/(1+Ft!B$37*($A411-Ft!B$2)^2)+Ft!B$6*EXP(Ft!B$38*($A411-Ft!B$2)^2)),Ft!B$3*((1-Ft!B$7)/(1+Ft!B$39*($A411-Ft!B$2)^2)+Ft!B$7*EXP(Ft!B$40*($A411-Ft!B$2)^2)))</f>
        <v>0</v>
      </c>
      <c r="G411" s="3">
        <f>IF(($A411-Ft!C$2)&lt;0,Ft!C$3*((1-Ft!C$6)/(1+Ft!C$37*($A411-Ft!C$2)^2)+Ft!C$6*EXP(Ft!C$38*($A411-Ft!C$2)^2)),Ft!C$3*((1-Ft!C$7)/(1+Ft!C$39*($A411-Ft!C$2)^2)+Ft!C$7*EXP(Ft!C$40*($A411-Ft!C$2)^2)))</f>
        <v>4.8473599768897271E-16</v>
      </c>
      <c r="H411" s="3">
        <f>IF(($A411-Ft!D$2)&lt;0,Ft!D$3*((1-Ft!D$6)/(1+Ft!D$37*($A411-Ft!D$2)^2)+Ft!D$6*EXP(Ft!D$38*($A411-Ft!D$2)^2)),Ft!D$3*((1-Ft!D$7)/(1+Ft!D$39*($A411-Ft!D$2)^2)+Ft!D$7*EXP(Ft!D$40*($A411-Ft!D$2)^2)))</f>
        <v>1.7399462571866064</v>
      </c>
      <c r="I411" s="3">
        <f>IF(($A411-Ft!E$2)&lt;0,Ft!E$3*((1-Ft!E$6)/(1+Ft!E$37*($A411-Ft!E$2)^2)+Ft!E$6*EXP(Ft!E$38*($A411-Ft!E$2)^2)),Ft!E$3*((1-Ft!E$7)/(1+Ft!E$39*($A411-Ft!E$2)^2)+Ft!E$7*EXP(Ft!E$40*($A411-Ft!E$2)^2)))</f>
        <v>15.527582520251386</v>
      </c>
      <c r="J411" s="3">
        <f>IF(($A411-Ft!F$2)&lt;0,Ft!F$3*((1-Ft!F$6)/(1+Ft!F$37*($A411-Ft!F$2)^2)+Ft!F$6*EXP(Ft!F$38*($A411-Ft!F$2)^2)),Ft!F$3*((1-Ft!F$7)/(1+Ft!F$39*($A411-Ft!F$2)^2)+Ft!F$7*EXP(Ft!F$40*($A411-Ft!F$2)^2)))</f>
        <v>6.0000803024560102E-4</v>
      </c>
      <c r="K411" s="3">
        <f>IF(($A411-Ft!G$2)&lt;0,Ft!G$3*((1-Ft!G$6)/(1+Ft!G$37*($A411-Ft!G$2)^2)+Ft!G$6*EXP(Ft!G$38*($A411-Ft!G$2)^2)),Ft!G$3*((1-Ft!G$7)/(1+Ft!G$39*($A411-Ft!G$2)^2)+Ft!G$7*EXP(Ft!G$40*($A411-Ft!G$2)^2)))</f>
        <v>2.8074848387888201E-21</v>
      </c>
      <c r="L411" s="3">
        <f>IF(($A411-Ft!H$2)&lt;0,Ft!H$3*((1-Ft!H$6)/(1+Ft!H$37*($A411-Ft!H$2)^2)+Ft!H$6*EXP(Ft!H$38*($A411-Ft!H$2)^2)),Ft!H$3*((1-Ft!H$7)/(1+Ft!H$39*($A411-Ft!H$2)^2)+Ft!H$7*EXP(Ft!H$40*($A411-Ft!H$2)^2)))</f>
        <v>0</v>
      </c>
      <c r="M411" s="3">
        <f>IF(($A411-Ft!I$2)&lt;0,Ft!I$3*((1-Ft!I$6)/(1+Ft!I$37*($A411-Ft!I$2)^2)+Ft!I$6*EXP(Ft!I$38*($A411-Ft!I$2)^2)),Ft!I$3*((1-Ft!I$7)/(1+Ft!I$39*($A411-Ft!I$2)^2)+Ft!I$7*EXP(Ft!I$40*($A411-Ft!I$2)^2)))</f>
        <v>0</v>
      </c>
      <c r="N411" s="3">
        <f>IF(($A411-Ft!J$2)&lt;0,Ft!J$3*((1-Ft!J$6)/(1+Ft!J$37*($A411-Ft!J$2)^2)+Ft!J$6*EXP(Ft!J$38*($A411-Ft!J$2)^2)),Ft!J$3*((1-Ft!J$7)/(1+Ft!J$39*($A411-Ft!J$2)^2)+Ft!J$7*EXP(Ft!J$40*($A411-Ft!J$2)^2)))</f>
        <v>0</v>
      </c>
      <c r="O411" s="3">
        <f>IF(($A411-Ft!K$2)&lt;0,Ft!K$3*((1-Ft!K$6)/(1+Ft!K$37*($A411-Ft!K$2)^2)+Ft!K$6*EXP(Ft!K$38*($A411-Ft!K$2)^2)),Ft!K$3*((1-Ft!K$7)/(1+Ft!K$39*($A411-Ft!K$2)^2)+Ft!K$7*EXP(Ft!K$40*($A411-Ft!K$2)^2)))</f>
        <v>0</v>
      </c>
      <c r="P411"/>
      <c r="Q411"/>
    </row>
    <row r="412" spans="1:17">
      <c r="A412">
        <v>820</v>
      </c>
      <c r="B412">
        <v>16.977104718319993</v>
      </c>
      <c r="C412" s="6">
        <f t="shared" si="13"/>
        <v>17.228682230475613</v>
      </c>
      <c r="D412" s="19">
        <f t="shared" si="14"/>
        <v>6.3291244622411272E-2</v>
      </c>
      <c r="E412" s="3">
        <f>Ft!$B$12+Ft!$B$14*(Data!A412-Vars!$B$3)</f>
        <v>0</v>
      </c>
      <c r="F412" s="3">
        <f>IF(($A412-Ft!B$2)&lt;0,Ft!B$3*((1-Ft!B$6)/(1+Ft!B$37*($A412-Ft!B$2)^2)+Ft!B$6*EXP(Ft!B$38*($A412-Ft!B$2)^2)),Ft!B$3*((1-Ft!B$7)/(1+Ft!B$39*($A412-Ft!B$2)^2)+Ft!B$7*EXP(Ft!B$40*($A412-Ft!B$2)^2)))</f>
        <v>0</v>
      </c>
      <c r="G412" s="3">
        <f>IF(($A412-Ft!C$2)&lt;0,Ft!C$3*((1-Ft!C$6)/(1+Ft!C$37*($A412-Ft!C$2)^2)+Ft!C$6*EXP(Ft!C$38*($A412-Ft!C$2)^2)),Ft!C$3*((1-Ft!C$7)/(1+Ft!C$39*($A412-Ft!C$2)^2)+Ft!C$7*EXP(Ft!C$40*($A412-Ft!C$2)^2)))</f>
        <v>3.886418594879817E-16</v>
      </c>
      <c r="H412" s="3">
        <f>IF(($A412-Ft!D$2)&lt;0,Ft!D$3*((1-Ft!D$6)/(1+Ft!D$37*($A412-Ft!D$2)^2)+Ft!D$6*EXP(Ft!D$38*($A412-Ft!D$2)^2)),Ft!D$3*((1-Ft!D$7)/(1+Ft!D$39*($A412-Ft!D$2)^2)+Ft!D$7*EXP(Ft!D$40*($A412-Ft!D$2)^2)))</f>
        <v>1.6949475647083794</v>
      </c>
      <c r="I412" s="3">
        <f>IF(($A412-Ft!E$2)&lt;0,Ft!E$3*((1-Ft!E$6)/(1+Ft!E$37*($A412-Ft!E$2)^2)+Ft!E$6*EXP(Ft!E$38*($A412-Ft!E$2)^2)),Ft!E$3*((1-Ft!E$7)/(1+Ft!E$39*($A412-Ft!E$2)^2)+Ft!E$7*EXP(Ft!E$40*($A412-Ft!E$2)^2)))</f>
        <v>15.533004965101714</v>
      </c>
      <c r="J412" s="3">
        <f>IF(($A412-Ft!F$2)&lt;0,Ft!F$3*((1-Ft!F$6)/(1+Ft!F$37*($A412-Ft!F$2)^2)+Ft!F$6*EXP(Ft!F$38*($A412-Ft!F$2)^2)),Ft!F$3*((1-Ft!F$7)/(1+Ft!F$39*($A412-Ft!F$2)^2)+Ft!F$7*EXP(Ft!F$40*($A412-Ft!F$2)^2)))</f>
        <v>7.2970066551913244E-4</v>
      </c>
      <c r="K412" s="3">
        <f>IF(($A412-Ft!G$2)&lt;0,Ft!G$3*((1-Ft!G$6)/(1+Ft!G$37*($A412-Ft!G$2)^2)+Ft!G$6*EXP(Ft!G$38*($A412-Ft!G$2)^2)),Ft!G$3*((1-Ft!G$7)/(1+Ft!G$39*($A412-Ft!G$2)^2)+Ft!G$7*EXP(Ft!G$40*($A412-Ft!G$2)^2)))</f>
        <v>6.6400729640413369E-21</v>
      </c>
      <c r="L412" s="3">
        <f>IF(($A412-Ft!H$2)&lt;0,Ft!H$3*((1-Ft!H$6)/(1+Ft!H$37*($A412-Ft!H$2)^2)+Ft!H$6*EXP(Ft!H$38*($A412-Ft!H$2)^2)),Ft!H$3*((1-Ft!H$7)/(1+Ft!H$39*($A412-Ft!H$2)^2)+Ft!H$7*EXP(Ft!H$40*($A412-Ft!H$2)^2)))</f>
        <v>0</v>
      </c>
      <c r="M412" s="3">
        <f>IF(($A412-Ft!I$2)&lt;0,Ft!I$3*((1-Ft!I$6)/(1+Ft!I$37*($A412-Ft!I$2)^2)+Ft!I$6*EXP(Ft!I$38*($A412-Ft!I$2)^2)),Ft!I$3*((1-Ft!I$7)/(1+Ft!I$39*($A412-Ft!I$2)^2)+Ft!I$7*EXP(Ft!I$40*($A412-Ft!I$2)^2)))</f>
        <v>0</v>
      </c>
      <c r="N412" s="3">
        <f>IF(($A412-Ft!J$2)&lt;0,Ft!J$3*((1-Ft!J$6)/(1+Ft!J$37*($A412-Ft!J$2)^2)+Ft!J$6*EXP(Ft!J$38*($A412-Ft!J$2)^2)),Ft!J$3*((1-Ft!J$7)/(1+Ft!J$39*($A412-Ft!J$2)^2)+Ft!J$7*EXP(Ft!J$40*($A412-Ft!J$2)^2)))</f>
        <v>0</v>
      </c>
      <c r="O412" s="3">
        <f>IF(($A412-Ft!K$2)&lt;0,Ft!K$3*((1-Ft!K$6)/(1+Ft!K$37*($A412-Ft!K$2)^2)+Ft!K$6*EXP(Ft!K$38*($A412-Ft!K$2)^2)),Ft!K$3*((1-Ft!K$7)/(1+Ft!K$39*($A412-Ft!K$2)^2)+Ft!K$7*EXP(Ft!K$40*($A412-Ft!K$2)^2)))</f>
        <v>0</v>
      </c>
      <c r="P412"/>
      <c r="Q412"/>
    </row>
    <row r="413" spans="1:17">
      <c r="A413">
        <v>822</v>
      </c>
      <c r="B413">
        <v>16.938389873498991</v>
      </c>
      <c r="C413" s="6">
        <f t="shared" si="13"/>
        <v>17.187061631662456</v>
      </c>
      <c r="D413" s="19">
        <f t="shared" si="14"/>
        <v>6.1837643308108481E-2</v>
      </c>
      <c r="E413" s="3">
        <f>Ft!$B$12+Ft!$B$14*(Data!A413-Vars!$B$3)</f>
        <v>0</v>
      </c>
      <c r="F413" s="3">
        <f>IF(($A413-Ft!B$2)&lt;0,Ft!B$3*((1-Ft!B$6)/(1+Ft!B$37*($A413-Ft!B$2)^2)+Ft!B$6*EXP(Ft!B$38*($A413-Ft!B$2)^2)),Ft!B$3*((1-Ft!B$7)/(1+Ft!B$39*($A413-Ft!B$2)^2)+Ft!B$7*EXP(Ft!B$40*($A413-Ft!B$2)^2)))</f>
        <v>0</v>
      </c>
      <c r="G413" s="3">
        <f>IF(($A413-Ft!C$2)&lt;0,Ft!C$3*((1-Ft!C$6)/(1+Ft!C$37*($A413-Ft!C$2)^2)+Ft!C$6*EXP(Ft!C$38*($A413-Ft!C$2)^2)),Ft!C$3*((1-Ft!C$7)/(1+Ft!C$39*($A413-Ft!C$2)^2)+Ft!C$7*EXP(Ft!C$40*($A413-Ft!C$2)^2)))</f>
        <v>3.1139512574766761E-16</v>
      </c>
      <c r="H413" s="3">
        <f>IF(($A413-Ft!D$2)&lt;0,Ft!D$3*((1-Ft!D$6)/(1+Ft!D$37*($A413-Ft!D$2)^2)+Ft!D$6*EXP(Ft!D$38*($A413-Ft!D$2)^2)),Ft!D$3*((1-Ft!D$7)/(1+Ft!D$39*($A413-Ft!D$2)^2)+Ft!D$7*EXP(Ft!D$40*($A413-Ft!D$2)^2)))</f>
        <v>1.650875282803385</v>
      </c>
      <c r="I413" s="3">
        <f>IF(($A413-Ft!E$2)&lt;0,Ft!E$3*((1-Ft!E$6)/(1+Ft!E$37*($A413-Ft!E$2)^2)+Ft!E$6*EXP(Ft!E$38*($A413-Ft!E$2)^2)),Ft!E$3*((1-Ft!E$7)/(1+Ft!E$39*($A413-Ft!E$2)^2)+Ft!E$7*EXP(Ft!E$40*($A413-Ft!E$2)^2)))</f>
        <v>15.535300830242358</v>
      </c>
      <c r="J413" s="3">
        <f>IF(($A413-Ft!F$2)&lt;0,Ft!F$3*((1-Ft!F$6)/(1+Ft!F$37*($A413-Ft!F$2)^2)+Ft!F$6*EXP(Ft!F$38*($A413-Ft!F$2)^2)),Ft!F$3*((1-Ft!F$7)/(1+Ft!F$39*($A413-Ft!F$2)^2)+Ft!F$7*EXP(Ft!F$40*($A413-Ft!F$2)^2)))</f>
        <v>8.8551861671365374E-4</v>
      </c>
      <c r="K413" s="3">
        <f>IF(($A413-Ft!G$2)&lt;0,Ft!G$3*((1-Ft!G$6)/(1+Ft!G$37*($A413-Ft!G$2)^2)+Ft!G$6*EXP(Ft!G$38*($A413-Ft!G$2)^2)),Ft!G$3*((1-Ft!G$7)/(1+Ft!G$39*($A413-Ft!G$2)^2)+Ft!G$7*EXP(Ft!G$40*($A413-Ft!G$2)^2)))</f>
        <v>1.5585660640273183E-20</v>
      </c>
      <c r="L413" s="3">
        <f>IF(($A413-Ft!H$2)&lt;0,Ft!H$3*((1-Ft!H$6)/(1+Ft!H$37*($A413-Ft!H$2)^2)+Ft!H$6*EXP(Ft!H$38*($A413-Ft!H$2)^2)),Ft!H$3*((1-Ft!H$7)/(1+Ft!H$39*($A413-Ft!H$2)^2)+Ft!H$7*EXP(Ft!H$40*($A413-Ft!H$2)^2)))</f>
        <v>0</v>
      </c>
      <c r="M413" s="3">
        <f>IF(($A413-Ft!I$2)&lt;0,Ft!I$3*((1-Ft!I$6)/(1+Ft!I$37*($A413-Ft!I$2)^2)+Ft!I$6*EXP(Ft!I$38*($A413-Ft!I$2)^2)),Ft!I$3*((1-Ft!I$7)/(1+Ft!I$39*($A413-Ft!I$2)^2)+Ft!I$7*EXP(Ft!I$40*($A413-Ft!I$2)^2)))</f>
        <v>0</v>
      </c>
      <c r="N413" s="3">
        <f>IF(($A413-Ft!J$2)&lt;0,Ft!J$3*((1-Ft!J$6)/(1+Ft!J$37*($A413-Ft!J$2)^2)+Ft!J$6*EXP(Ft!J$38*($A413-Ft!J$2)^2)),Ft!J$3*((1-Ft!J$7)/(1+Ft!J$39*($A413-Ft!J$2)^2)+Ft!J$7*EXP(Ft!J$40*($A413-Ft!J$2)^2)))</f>
        <v>0</v>
      </c>
      <c r="O413" s="3">
        <f>IF(($A413-Ft!K$2)&lt;0,Ft!K$3*((1-Ft!K$6)/(1+Ft!K$37*($A413-Ft!K$2)^2)+Ft!K$6*EXP(Ft!K$38*($A413-Ft!K$2)^2)),Ft!K$3*((1-Ft!K$7)/(1+Ft!K$39*($A413-Ft!K$2)^2)+Ft!K$7*EXP(Ft!K$40*($A413-Ft!K$2)^2)))</f>
        <v>0</v>
      </c>
      <c r="P413"/>
      <c r="Q413"/>
    </row>
    <row r="414" spans="1:17">
      <c r="A414">
        <v>824</v>
      </c>
      <c r="B414">
        <v>16.898373489358988</v>
      </c>
      <c r="C414" s="6">
        <f t="shared" si="13"/>
        <v>17.143258857077537</v>
      </c>
      <c r="D414" s="19">
        <f t="shared" si="14"/>
        <v>5.9968843322648943E-2</v>
      </c>
      <c r="E414" s="3">
        <f>Ft!$B$12+Ft!$B$14*(Data!A414-Vars!$B$3)</f>
        <v>0</v>
      </c>
      <c r="F414" s="3">
        <f>IF(($A414-Ft!B$2)&lt;0,Ft!B$3*((1-Ft!B$6)/(1+Ft!B$37*($A414-Ft!B$2)^2)+Ft!B$6*EXP(Ft!B$38*($A414-Ft!B$2)^2)),Ft!B$3*((1-Ft!B$7)/(1+Ft!B$39*($A414-Ft!B$2)^2)+Ft!B$7*EXP(Ft!B$40*($A414-Ft!B$2)^2)))</f>
        <v>0</v>
      </c>
      <c r="G414" s="3">
        <f>IF(($A414-Ft!C$2)&lt;0,Ft!C$3*((1-Ft!C$6)/(1+Ft!C$37*($A414-Ft!C$2)^2)+Ft!C$6*EXP(Ft!C$38*($A414-Ft!C$2)^2)),Ft!C$3*((1-Ft!C$7)/(1+Ft!C$39*($A414-Ft!C$2)^2)+Ft!C$7*EXP(Ft!C$40*($A414-Ft!C$2)^2)))</f>
        <v>2.4934001280032252E-16</v>
      </c>
      <c r="H414" s="3">
        <f>IF(($A414-Ft!D$2)&lt;0,Ft!D$3*((1-Ft!D$6)/(1+Ft!D$37*($A414-Ft!D$2)^2)+Ft!D$6*EXP(Ft!D$38*($A414-Ft!D$2)^2)),Ft!D$3*((1-Ft!D$7)/(1+Ft!D$39*($A414-Ft!D$2)^2)+Ft!D$7*EXP(Ft!D$40*($A414-Ft!D$2)^2)))</f>
        <v>1.6077178290309944</v>
      </c>
      <c r="I414" s="3">
        <f>IF(($A414-Ft!E$2)&lt;0,Ft!E$3*((1-Ft!E$6)/(1+Ft!E$37*($A414-Ft!E$2)^2)+Ft!E$6*EXP(Ft!E$38*($A414-Ft!E$2)^2)),Ft!E$3*((1-Ft!E$7)/(1+Ft!E$39*($A414-Ft!E$2)^2)+Ft!E$7*EXP(Ft!E$40*($A414-Ft!E$2)^2)))</f>
        <v>15.53446872899009</v>
      </c>
      <c r="J414" s="3">
        <f>IF(($A414-Ft!F$2)&lt;0,Ft!F$3*((1-Ft!F$6)/(1+Ft!F$37*($A414-Ft!F$2)^2)+Ft!F$6*EXP(Ft!F$38*($A414-Ft!F$2)^2)),Ft!F$3*((1-Ft!F$7)/(1+Ft!F$39*($A414-Ft!F$2)^2)+Ft!F$7*EXP(Ft!F$40*($A414-Ft!F$2)^2)))</f>
        <v>1.0722990564523919E-3</v>
      </c>
      <c r="K414" s="3">
        <f>IF(($A414-Ft!G$2)&lt;0,Ft!G$3*((1-Ft!G$6)/(1+Ft!G$37*($A414-Ft!G$2)^2)+Ft!G$6*EXP(Ft!G$38*($A414-Ft!G$2)^2)),Ft!G$3*((1-Ft!G$7)/(1+Ft!G$39*($A414-Ft!G$2)^2)+Ft!G$7*EXP(Ft!G$40*($A414-Ft!G$2)^2)))</f>
        <v>3.6305674698809433E-20</v>
      </c>
      <c r="L414" s="3">
        <f>IF(($A414-Ft!H$2)&lt;0,Ft!H$3*((1-Ft!H$6)/(1+Ft!H$37*($A414-Ft!H$2)^2)+Ft!H$6*EXP(Ft!H$38*($A414-Ft!H$2)^2)),Ft!H$3*((1-Ft!H$7)/(1+Ft!H$39*($A414-Ft!H$2)^2)+Ft!H$7*EXP(Ft!H$40*($A414-Ft!H$2)^2)))</f>
        <v>0</v>
      </c>
      <c r="M414" s="3">
        <f>IF(($A414-Ft!I$2)&lt;0,Ft!I$3*((1-Ft!I$6)/(1+Ft!I$37*($A414-Ft!I$2)^2)+Ft!I$6*EXP(Ft!I$38*($A414-Ft!I$2)^2)),Ft!I$3*((1-Ft!I$7)/(1+Ft!I$39*($A414-Ft!I$2)^2)+Ft!I$7*EXP(Ft!I$40*($A414-Ft!I$2)^2)))</f>
        <v>0</v>
      </c>
      <c r="N414" s="3">
        <f>IF(($A414-Ft!J$2)&lt;0,Ft!J$3*((1-Ft!J$6)/(1+Ft!J$37*($A414-Ft!J$2)^2)+Ft!J$6*EXP(Ft!J$38*($A414-Ft!J$2)^2)),Ft!J$3*((1-Ft!J$7)/(1+Ft!J$39*($A414-Ft!J$2)^2)+Ft!J$7*EXP(Ft!J$40*($A414-Ft!J$2)^2)))</f>
        <v>0</v>
      </c>
      <c r="O414" s="3">
        <f>IF(($A414-Ft!K$2)&lt;0,Ft!K$3*((1-Ft!K$6)/(1+Ft!K$37*($A414-Ft!K$2)^2)+Ft!K$6*EXP(Ft!K$38*($A414-Ft!K$2)^2)),Ft!K$3*((1-Ft!K$7)/(1+Ft!K$39*($A414-Ft!K$2)^2)+Ft!K$7*EXP(Ft!K$40*($A414-Ft!K$2)^2)))</f>
        <v>0</v>
      </c>
      <c r="P414"/>
      <c r="Q414"/>
    </row>
    <row r="415" spans="1:17">
      <c r="A415">
        <v>826</v>
      </c>
      <c r="B415">
        <v>16.856969707410002</v>
      </c>
      <c r="C415" s="6">
        <f t="shared" si="13"/>
        <v>17.097268382491336</v>
      </c>
      <c r="D415" s="19">
        <f t="shared" si="14"/>
        <v>5.774345324584456E-2</v>
      </c>
      <c r="E415" s="3">
        <f>Ft!$B$12+Ft!$B$14*(Data!A415-Vars!$B$3)</f>
        <v>0</v>
      </c>
      <c r="F415" s="3">
        <f>IF(($A415-Ft!B$2)&lt;0,Ft!B$3*((1-Ft!B$6)/(1+Ft!B$37*($A415-Ft!B$2)^2)+Ft!B$6*EXP(Ft!B$38*($A415-Ft!B$2)^2)),Ft!B$3*((1-Ft!B$7)/(1+Ft!B$39*($A415-Ft!B$2)^2)+Ft!B$7*EXP(Ft!B$40*($A415-Ft!B$2)^2)))</f>
        <v>0</v>
      </c>
      <c r="G415" s="3">
        <f>IF(($A415-Ft!C$2)&lt;0,Ft!C$3*((1-Ft!C$6)/(1+Ft!C$37*($A415-Ft!C$2)^2)+Ft!C$6*EXP(Ft!C$38*($A415-Ft!C$2)^2)),Ft!C$3*((1-Ft!C$7)/(1+Ft!C$39*($A415-Ft!C$2)^2)+Ft!C$7*EXP(Ft!C$40*($A415-Ft!C$2)^2)))</f>
        <v>1.9952167257460655E-16</v>
      </c>
      <c r="H415" s="3">
        <f>IF(($A415-Ft!D$2)&lt;0,Ft!D$3*((1-Ft!D$6)/(1+Ft!D$37*($A415-Ft!D$2)^2)+Ft!D$6*EXP(Ft!D$38*($A415-Ft!D$2)^2)),Ft!D$3*((1-Ft!D$7)/(1+Ft!D$39*($A415-Ft!D$2)^2)+Ft!D$7*EXP(Ft!D$40*($A415-Ft!D$2)^2)))</f>
        <v>1.5654635335640106</v>
      </c>
      <c r="I415" s="3">
        <f>IF(($A415-Ft!E$2)&lt;0,Ft!E$3*((1-Ft!E$6)/(1+Ft!E$37*($A415-Ft!E$2)^2)+Ft!E$6*EXP(Ft!E$38*($A415-Ft!E$2)^2)),Ft!E$3*((1-Ft!E$7)/(1+Ft!E$39*($A415-Ft!E$2)^2)+Ft!E$7*EXP(Ft!E$40*($A415-Ft!E$2)^2)))</f>
        <v>15.530509163942851</v>
      </c>
      <c r="J415" s="3">
        <f>IF(($A415-Ft!F$2)&lt;0,Ft!F$3*((1-Ft!F$6)/(1+Ft!F$37*($A415-Ft!F$2)^2)+Ft!F$6*EXP(Ft!F$38*($A415-Ft!F$2)^2)),Ft!F$3*((1-Ft!F$7)/(1+Ft!F$39*($A415-Ft!F$2)^2)+Ft!F$7*EXP(Ft!F$40*($A415-Ft!F$2)^2)))</f>
        <v>1.2956849844741327E-3</v>
      </c>
      <c r="K415" s="3">
        <f>IF(($A415-Ft!G$2)&lt;0,Ft!G$3*((1-Ft!G$6)/(1+Ft!G$37*($A415-Ft!G$2)^2)+Ft!G$6*EXP(Ft!G$38*($A415-Ft!G$2)^2)),Ft!G$3*((1-Ft!G$7)/(1+Ft!G$39*($A415-Ft!G$2)^2)+Ft!G$7*EXP(Ft!G$40*($A415-Ft!G$2)^2)))</f>
        <v>8.393067975002427E-20</v>
      </c>
      <c r="L415" s="3">
        <f>IF(($A415-Ft!H$2)&lt;0,Ft!H$3*((1-Ft!H$6)/(1+Ft!H$37*($A415-Ft!H$2)^2)+Ft!H$6*EXP(Ft!H$38*($A415-Ft!H$2)^2)),Ft!H$3*((1-Ft!H$7)/(1+Ft!H$39*($A415-Ft!H$2)^2)+Ft!H$7*EXP(Ft!H$40*($A415-Ft!H$2)^2)))</f>
        <v>0</v>
      </c>
      <c r="M415" s="3">
        <f>IF(($A415-Ft!I$2)&lt;0,Ft!I$3*((1-Ft!I$6)/(1+Ft!I$37*($A415-Ft!I$2)^2)+Ft!I$6*EXP(Ft!I$38*($A415-Ft!I$2)^2)),Ft!I$3*((1-Ft!I$7)/(1+Ft!I$39*($A415-Ft!I$2)^2)+Ft!I$7*EXP(Ft!I$40*($A415-Ft!I$2)^2)))</f>
        <v>0</v>
      </c>
      <c r="N415" s="3">
        <f>IF(($A415-Ft!J$2)&lt;0,Ft!J$3*((1-Ft!J$6)/(1+Ft!J$37*($A415-Ft!J$2)^2)+Ft!J$6*EXP(Ft!J$38*($A415-Ft!J$2)^2)),Ft!J$3*((1-Ft!J$7)/(1+Ft!J$39*($A415-Ft!J$2)^2)+Ft!J$7*EXP(Ft!J$40*($A415-Ft!J$2)^2)))</f>
        <v>0</v>
      </c>
      <c r="O415" s="3">
        <f>IF(($A415-Ft!K$2)&lt;0,Ft!K$3*((1-Ft!K$6)/(1+Ft!K$37*($A415-Ft!K$2)^2)+Ft!K$6*EXP(Ft!K$38*($A415-Ft!K$2)^2)),Ft!K$3*((1-Ft!K$7)/(1+Ft!K$39*($A415-Ft!K$2)^2)+Ft!K$7*EXP(Ft!K$40*($A415-Ft!K$2)^2)))</f>
        <v>0</v>
      </c>
      <c r="P415"/>
      <c r="Q415"/>
    </row>
    <row r="416" spans="1:17">
      <c r="A416">
        <v>828</v>
      </c>
      <c r="B416">
        <v>16.812310820332996</v>
      </c>
      <c r="C416" s="6">
        <f t="shared" si="13"/>
        <v>17.04908741618226</v>
      </c>
      <c r="D416" s="19">
        <f t="shared" si="14"/>
        <v>5.6063156341965716E-2</v>
      </c>
      <c r="E416" s="3">
        <f>Ft!$B$12+Ft!$B$14*(Data!A416-Vars!$B$3)</f>
        <v>0</v>
      </c>
      <c r="F416" s="3">
        <f>IF(($A416-Ft!B$2)&lt;0,Ft!B$3*((1-Ft!B$6)/(1+Ft!B$37*($A416-Ft!B$2)^2)+Ft!B$6*EXP(Ft!B$38*($A416-Ft!B$2)^2)),Ft!B$3*((1-Ft!B$7)/(1+Ft!B$39*($A416-Ft!B$2)^2)+Ft!B$7*EXP(Ft!B$40*($A416-Ft!B$2)^2)))</f>
        <v>0</v>
      </c>
      <c r="G416" s="3">
        <f>IF(($A416-Ft!C$2)&lt;0,Ft!C$3*((1-Ft!C$6)/(1+Ft!C$37*($A416-Ft!C$2)^2)+Ft!C$6*EXP(Ft!C$38*($A416-Ft!C$2)^2)),Ft!C$3*((1-Ft!C$7)/(1+Ft!C$39*($A416-Ft!C$2)^2)+Ft!C$7*EXP(Ft!C$40*($A416-Ft!C$2)^2)))</f>
        <v>1.5955341660097183E-16</v>
      </c>
      <c r="H416" s="3">
        <f>IF(($A416-Ft!D$2)&lt;0,Ft!D$3*((1-Ft!D$6)/(1+Ft!D$37*($A416-Ft!D$2)^2)+Ft!D$6*EXP(Ft!D$38*($A416-Ft!D$2)^2)),Ft!D$3*((1-Ft!D$7)/(1+Ft!D$39*($A416-Ft!D$2)^2)+Ft!D$7*EXP(Ft!D$40*($A416-Ft!D$2)^2)))</f>
        <v>1.524100648094955</v>
      </c>
      <c r="I416" s="3">
        <f>IF(($A416-Ft!E$2)&lt;0,Ft!E$3*((1-Ft!E$6)/(1+Ft!E$37*($A416-Ft!E$2)^2)+Ft!E$6*EXP(Ft!E$38*($A416-Ft!E$2)^2)),Ft!E$3*((1-Ft!E$7)/(1+Ft!E$39*($A416-Ft!E$2)^2)+Ft!E$7*EXP(Ft!E$40*($A416-Ft!E$2)^2)))</f>
        <v>15.523424526473827</v>
      </c>
      <c r="J416" s="3">
        <f>IF(($A416-Ft!F$2)&lt;0,Ft!F$3*((1-Ft!F$6)/(1+Ft!F$37*($A416-Ft!F$2)^2)+Ft!F$6*EXP(Ft!F$38*($A416-Ft!F$2)^2)),Ft!F$3*((1-Ft!F$7)/(1+Ft!F$39*($A416-Ft!F$2)^2)+Ft!F$7*EXP(Ft!F$40*($A416-Ft!F$2)^2)))</f>
        <v>1.5622416134769394E-3</v>
      </c>
      <c r="K416" s="3">
        <f>IF(($A416-Ft!G$2)&lt;0,Ft!G$3*((1-Ft!G$6)/(1+Ft!G$37*($A416-Ft!G$2)^2)+Ft!G$6*EXP(Ft!G$38*($A416-Ft!G$2)^2)),Ft!G$3*((1-Ft!G$7)/(1+Ft!G$39*($A416-Ft!G$2)^2)+Ft!G$7*EXP(Ft!G$40*($A416-Ft!G$2)^2)))</f>
        <v>1.9255903508988735E-19</v>
      </c>
      <c r="L416" s="3">
        <f>IF(($A416-Ft!H$2)&lt;0,Ft!H$3*((1-Ft!H$6)/(1+Ft!H$37*($A416-Ft!H$2)^2)+Ft!H$6*EXP(Ft!H$38*($A416-Ft!H$2)^2)),Ft!H$3*((1-Ft!H$7)/(1+Ft!H$39*($A416-Ft!H$2)^2)+Ft!H$7*EXP(Ft!H$40*($A416-Ft!H$2)^2)))</f>
        <v>0</v>
      </c>
      <c r="M416" s="3">
        <f>IF(($A416-Ft!I$2)&lt;0,Ft!I$3*((1-Ft!I$6)/(1+Ft!I$37*($A416-Ft!I$2)^2)+Ft!I$6*EXP(Ft!I$38*($A416-Ft!I$2)^2)),Ft!I$3*((1-Ft!I$7)/(1+Ft!I$39*($A416-Ft!I$2)^2)+Ft!I$7*EXP(Ft!I$40*($A416-Ft!I$2)^2)))</f>
        <v>0</v>
      </c>
      <c r="N416" s="3">
        <f>IF(($A416-Ft!J$2)&lt;0,Ft!J$3*((1-Ft!J$6)/(1+Ft!J$37*($A416-Ft!J$2)^2)+Ft!J$6*EXP(Ft!J$38*($A416-Ft!J$2)^2)),Ft!J$3*((1-Ft!J$7)/(1+Ft!J$39*($A416-Ft!J$2)^2)+Ft!J$7*EXP(Ft!J$40*($A416-Ft!J$2)^2)))</f>
        <v>0</v>
      </c>
      <c r="O416" s="3">
        <f>IF(($A416-Ft!K$2)&lt;0,Ft!K$3*((1-Ft!K$6)/(1+Ft!K$37*($A416-Ft!K$2)^2)+Ft!K$6*EXP(Ft!K$38*($A416-Ft!K$2)^2)),Ft!K$3*((1-Ft!K$7)/(1+Ft!K$39*($A416-Ft!K$2)^2)+Ft!K$7*EXP(Ft!K$40*($A416-Ft!K$2)^2)))</f>
        <v>0</v>
      </c>
      <c r="P416"/>
      <c r="Q416"/>
    </row>
    <row r="417" spans="1:17">
      <c r="A417">
        <v>830</v>
      </c>
      <c r="B417">
        <v>16.763252814254997</v>
      </c>
      <c r="C417" s="6">
        <f t="shared" si="13"/>
        <v>16.99871603510838</v>
      </c>
      <c r="D417" s="19">
        <f t="shared" si="14"/>
        <v>5.5442928374648967E-2</v>
      </c>
      <c r="E417" s="3">
        <f>Ft!$B$12+Ft!$B$14*(Data!A417-Vars!$B$3)</f>
        <v>0</v>
      </c>
      <c r="F417" s="3">
        <f>IF(($A417-Ft!B$2)&lt;0,Ft!B$3*((1-Ft!B$6)/(1+Ft!B$37*($A417-Ft!B$2)^2)+Ft!B$6*EXP(Ft!B$38*($A417-Ft!B$2)^2)),Ft!B$3*((1-Ft!B$7)/(1+Ft!B$39*($A417-Ft!B$2)^2)+Ft!B$7*EXP(Ft!B$40*($A417-Ft!B$2)^2)))</f>
        <v>0</v>
      </c>
      <c r="G417" s="3">
        <f>IF(($A417-Ft!C$2)&lt;0,Ft!C$3*((1-Ft!C$6)/(1+Ft!C$37*($A417-Ft!C$2)^2)+Ft!C$6*EXP(Ft!C$38*($A417-Ft!C$2)^2)),Ft!C$3*((1-Ft!C$7)/(1+Ft!C$39*($A417-Ft!C$2)^2)+Ft!C$7*EXP(Ft!C$40*($A417-Ft!C$2)^2)))</f>
        <v>1.2750877465078072E-16</v>
      </c>
      <c r="H417" s="3">
        <f>IF(($A417-Ft!D$2)&lt;0,Ft!D$3*((1-Ft!D$6)/(1+Ft!D$37*($A417-Ft!D$2)^2)+Ft!D$6*EXP(Ft!D$38*($A417-Ft!D$2)^2)),Ft!D$3*((1-Ft!D$7)/(1+Ft!D$39*($A417-Ft!D$2)^2)+Ft!D$7*EXP(Ft!D$40*($A417-Ft!D$2)^2)))</f>
        <v>1.4836173545645692</v>
      </c>
      <c r="I417" s="3">
        <f>IF(($A417-Ft!E$2)&lt;0,Ft!E$3*((1-Ft!E$6)/(1+Ft!E$37*($A417-Ft!E$2)^2)+Ft!E$6*EXP(Ft!E$38*($A417-Ft!E$2)^2)),Ft!E$3*((1-Ft!E$7)/(1+Ft!E$39*($A417-Ft!E$2)^2)+Ft!E$7*EXP(Ft!E$40*($A417-Ft!E$2)^2)))</f>
        <v>15.5132190943245</v>
      </c>
      <c r="J417" s="3">
        <f>IF(($A417-Ft!F$2)&lt;0,Ft!F$3*((1-Ft!F$6)/(1+Ft!F$37*($A417-Ft!F$2)^2)+Ft!F$6*EXP(Ft!F$38*($A417-Ft!F$2)^2)),Ft!F$3*((1-Ft!F$7)/(1+Ft!F$39*($A417-Ft!F$2)^2)+Ft!F$7*EXP(Ft!F$40*($A417-Ft!F$2)^2)))</f>
        <v>1.8795862193086816E-3</v>
      </c>
      <c r="K417" s="3">
        <f>IF(($A417-Ft!G$2)&lt;0,Ft!G$3*((1-Ft!G$6)/(1+Ft!G$37*($A417-Ft!G$2)^2)+Ft!G$6*EXP(Ft!G$38*($A417-Ft!G$2)^2)),Ft!G$3*((1-Ft!G$7)/(1+Ft!G$39*($A417-Ft!G$2)^2)+Ft!G$7*EXP(Ft!G$40*($A417-Ft!G$2)^2)))</f>
        <v>4.384337657732324E-19</v>
      </c>
      <c r="L417" s="3">
        <f>IF(($A417-Ft!H$2)&lt;0,Ft!H$3*((1-Ft!H$6)/(1+Ft!H$37*($A417-Ft!H$2)^2)+Ft!H$6*EXP(Ft!H$38*($A417-Ft!H$2)^2)),Ft!H$3*((1-Ft!H$7)/(1+Ft!H$39*($A417-Ft!H$2)^2)+Ft!H$7*EXP(Ft!H$40*($A417-Ft!H$2)^2)))</f>
        <v>0</v>
      </c>
      <c r="M417" s="3">
        <f>IF(($A417-Ft!I$2)&lt;0,Ft!I$3*((1-Ft!I$6)/(1+Ft!I$37*($A417-Ft!I$2)^2)+Ft!I$6*EXP(Ft!I$38*($A417-Ft!I$2)^2)),Ft!I$3*((1-Ft!I$7)/(1+Ft!I$39*($A417-Ft!I$2)^2)+Ft!I$7*EXP(Ft!I$40*($A417-Ft!I$2)^2)))</f>
        <v>0</v>
      </c>
      <c r="N417" s="3">
        <f>IF(($A417-Ft!J$2)&lt;0,Ft!J$3*((1-Ft!J$6)/(1+Ft!J$37*($A417-Ft!J$2)^2)+Ft!J$6*EXP(Ft!J$38*($A417-Ft!J$2)^2)),Ft!J$3*((1-Ft!J$7)/(1+Ft!J$39*($A417-Ft!J$2)^2)+Ft!J$7*EXP(Ft!J$40*($A417-Ft!J$2)^2)))</f>
        <v>0</v>
      </c>
      <c r="O417" s="3">
        <f>IF(($A417-Ft!K$2)&lt;0,Ft!K$3*((1-Ft!K$6)/(1+Ft!K$37*($A417-Ft!K$2)^2)+Ft!K$6*EXP(Ft!K$38*($A417-Ft!K$2)^2)),Ft!K$3*((1-Ft!K$7)/(1+Ft!K$39*($A417-Ft!K$2)^2)+Ft!K$7*EXP(Ft!K$40*($A417-Ft!K$2)^2)))</f>
        <v>0</v>
      </c>
      <c r="P417"/>
      <c r="Q417"/>
    </row>
    <row r="418" spans="1:17">
      <c r="A418">
        <v>832</v>
      </c>
      <c r="B418">
        <v>16.710795370852992</v>
      </c>
      <c r="C418" s="6">
        <f t="shared" si="13"/>
        <v>16.946157333425486</v>
      </c>
      <c r="D418" s="19">
        <f t="shared" si="14"/>
        <v>5.5395253425976003E-2</v>
      </c>
      <c r="E418" s="3">
        <f>Ft!$B$12+Ft!$B$14*(Data!A418-Vars!$B$3)</f>
        <v>0</v>
      </c>
      <c r="F418" s="3">
        <f>IF(($A418-Ft!B$2)&lt;0,Ft!B$3*((1-Ft!B$6)/(1+Ft!B$37*($A418-Ft!B$2)^2)+Ft!B$6*EXP(Ft!B$38*($A418-Ft!B$2)^2)),Ft!B$3*((1-Ft!B$7)/(1+Ft!B$39*($A418-Ft!B$2)^2)+Ft!B$7*EXP(Ft!B$40*($A418-Ft!B$2)^2)))</f>
        <v>0</v>
      </c>
      <c r="G418" s="3">
        <f>IF(($A418-Ft!C$2)&lt;0,Ft!C$3*((1-Ft!C$6)/(1+Ft!C$37*($A418-Ft!C$2)^2)+Ft!C$6*EXP(Ft!C$38*($A418-Ft!C$2)^2)),Ft!C$3*((1-Ft!C$7)/(1+Ft!C$39*($A418-Ft!C$2)^2)+Ft!C$7*EXP(Ft!C$40*($A418-Ft!C$2)^2)))</f>
        <v>1.0183380427023283E-16</v>
      </c>
      <c r="H418" s="3">
        <f>IF(($A418-Ft!D$2)&lt;0,Ft!D$3*((1-Ft!D$6)/(1+Ft!D$37*($A418-Ft!D$2)^2)+Ft!D$6*EXP(Ft!D$38*($A418-Ft!D$2)^2)),Ft!D$3*((1-Ft!D$7)/(1+Ft!D$39*($A418-Ft!D$2)^2)+Ft!D$7*EXP(Ft!D$40*($A418-Ft!D$2)^2)))</f>
        <v>1.4440017737097901</v>
      </c>
      <c r="I418" s="3">
        <f>IF(($A418-Ft!E$2)&lt;0,Ft!E$3*((1-Ft!E$6)/(1+Ft!E$37*($A418-Ft!E$2)^2)+Ft!E$6*EXP(Ft!E$38*($A418-Ft!E$2)^2)),Ft!E$3*((1-Ft!E$7)/(1+Ft!E$39*($A418-Ft!E$2)^2)+Ft!E$7*EXP(Ft!E$40*($A418-Ft!E$2)^2)))</f>
        <v>15.499899027300071</v>
      </c>
      <c r="J418" s="3">
        <f>IF(($A418-Ft!F$2)&lt;0,Ft!F$3*((1-Ft!F$6)/(1+Ft!F$37*($A418-Ft!F$2)^2)+Ft!F$6*EXP(Ft!F$38*($A418-Ft!F$2)^2)),Ft!F$3*((1-Ft!F$7)/(1+Ft!F$39*($A418-Ft!F$2)^2)+Ft!F$7*EXP(Ft!F$40*($A418-Ft!F$2)^2)))</f>
        <v>2.2565324156257364E-3</v>
      </c>
      <c r="K418" s="3">
        <f>IF(($A418-Ft!G$2)&lt;0,Ft!G$3*((1-Ft!G$6)/(1+Ft!G$37*($A418-Ft!G$2)^2)+Ft!G$6*EXP(Ft!G$38*($A418-Ft!G$2)^2)),Ft!G$3*((1-Ft!G$7)/(1+Ft!G$39*($A418-Ft!G$2)^2)+Ft!G$7*EXP(Ft!G$40*($A418-Ft!G$2)^2)))</f>
        <v>9.9069738949926689E-19</v>
      </c>
      <c r="L418" s="3">
        <f>IF(($A418-Ft!H$2)&lt;0,Ft!H$3*((1-Ft!H$6)/(1+Ft!H$37*($A418-Ft!H$2)^2)+Ft!H$6*EXP(Ft!H$38*($A418-Ft!H$2)^2)),Ft!H$3*((1-Ft!H$7)/(1+Ft!H$39*($A418-Ft!H$2)^2)+Ft!H$7*EXP(Ft!H$40*($A418-Ft!H$2)^2)))</f>
        <v>0</v>
      </c>
      <c r="M418" s="3">
        <f>IF(($A418-Ft!I$2)&lt;0,Ft!I$3*((1-Ft!I$6)/(1+Ft!I$37*($A418-Ft!I$2)^2)+Ft!I$6*EXP(Ft!I$38*($A418-Ft!I$2)^2)),Ft!I$3*((1-Ft!I$7)/(1+Ft!I$39*($A418-Ft!I$2)^2)+Ft!I$7*EXP(Ft!I$40*($A418-Ft!I$2)^2)))</f>
        <v>0</v>
      </c>
      <c r="N418" s="3">
        <f>IF(($A418-Ft!J$2)&lt;0,Ft!J$3*((1-Ft!J$6)/(1+Ft!J$37*($A418-Ft!J$2)^2)+Ft!J$6*EXP(Ft!J$38*($A418-Ft!J$2)^2)),Ft!J$3*((1-Ft!J$7)/(1+Ft!J$39*($A418-Ft!J$2)^2)+Ft!J$7*EXP(Ft!J$40*($A418-Ft!J$2)^2)))</f>
        <v>0</v>
      </c>
      <c r="O418" s="3">
        <f>IF(($A418-Ft!K$2)&lt;0,Ft!K$3*((1-Ft!K$6)/(1+Ft!K$37*($A418-Ft!K$2)^2)+Ft!K$6*EXP(Ft!K$38*($A418-Ft!K$2)^2)),Ft!K$3*((1-Ft!K$7)/(1+Ft!K$39*($A418-Ft!K$2)^2)+Ft!K$7*EXP(Ft!K$40*($A418-Ft!K$2)^2)))</f>
        <v>0</v>
      </c>
      <c r="P418"/>
      <c r="Q418"/>
    </row>
    <row r="419" spans="1:17">
      <c r="A419">
        <v>834</v>
      </c>
      <c r="B419">
        <v>16.655938171806994</v>
      </c>
      <c r="C419" s="6">
        <f t="shared" si="13"/>
        <v>16.891417584275175</v>
      </c>
      <c r="D419" s="19">
        <f t="shared" si="14"/>
        <v>5.5450553696359373E-2</v>
      </c>
      <c r="E419" s="3">
        <f>Ft!$B$12+Ft!$B$14*(Data!A419-Vars!$B$3)</f>
        <v>0</v>
      </c>
      <c r="F419" s="3">
        <f>IF(($A419-Ft!B$2)&lt;0,Ft!B$3*((1-Ft!B$6)/(1+Ft!B$37*($A419-Ft!B$2)^2)+Ft!B$6*EXP(Ft!B$38*($A419-Ft!B$2)^2)),Ft!B$3*((1-Ft!B$7)/(1+Ft!B$39*($A419-Ft!B$2)^2)+Ft!B$7*EXP(Ft!B$40*($A419-Ft!B$2)^2)))</f>
        <v>0</v>
      </c>
      <c r="G419" s="3">
        <f>IF(($A419-Ft!C$2)&lt;0,Ft!C$3*((1-Ft!C$6)/(1+Ft!C$37*($A419-Ft!C$2)^2)+Ft!C$6*EXP(Ft!C$38*($A419-Ft!C$2)^2)),Ft!C$3*((1-Ft!C$7)/(1+Ft!C$39*($A419-Ft!C$2)^2)+Ft!C$7*EXP(Ft!C$40*($A419-Ft!C$2)^2)))</f>
        <v>8.1275901733136392E-17</v>
      </c>
      <c r="H419" s="3">
        <f>IF(($A419-Ft!D$2)&lt;0,Ft!D$3*((1-Ft!D$6)/(1+Ft!D$37*($A419-Ft!D$2)^2)+Ft!D$6*EXP(Ft!D$38*($A419-Ft!D$2)^2)),Ft!D$3*((1-Ft!D$7)/(1+Ft!D$39*($A419-Ft!D$2)^2)+Ft!D$7*EXP(Ft!D$40*($A419-Ft!D$2)^2)))</f>
        <v>1.4052419734286823</v>
      </c>
      <c r="I419" s="3">
        <f>IF(($A419-Ft!E$2)&lt;0,Ft!E$3*((1-Ft!E$6)/(1+Ft!E$37*($A419-Ft!E$2)^2)+Ft!E$6*EXP(Ft!E$38*($A419-Ft!E$2)^2)),Ft!E$3*((1-Ft!E$7)/(1+Ft!E$39*($A419-Ft!E$2)^2)+Ft!E$7*EXP(Ft!E$40*($A419-Ft!E$2)^2)))</f>
        <v>15.483472361073293</v>
      </c>
      <c r="J419" s="3">
        <f>IF(($A419-Ft!F$2)&lt;0,Ft!F$3*((1-Ft!F$6)/(1+Ft!F$37*($A419-Ft!F$2)^2)+Ft!F$6*EXP(Ft!F$38*($A419-Ft!F$2)^2)),Ft!F$3*((1-Ft!F$7)/(1+Ft!F$39*($A419-Ft!F$2)^2)+Ft!F$7*EXP(Ft!F$40*($A419-Ft!F$2)^2)))</f>
        <v>2.7032497731979141E-3</v>
      </c>
      <c r="K419" s="3">
        <f>IF(($A419-Ft!G$2)&lt;0,Ft!G$3*((1-Ft!G$6)/(1+Ft!G$37*($A419-Ft!G$2)^2)+Ft!G$6*EXP(Ft!G$38*($A419-Ft!G$2)^2)),Ft!G$3*((1-Ft!G$7)/(1+Ft!G$39*($A419-Ft!G$2)^2)+Ft!G$7*EXP(Ft!G$40*($A419-Ft!G$2)^2)))</f>
        <v>2.221646596351601E-18</v>
      </c>
      <c r="L419" s="3">
        <f>IF(($A419-Ft!H$2)&lt;0,Ft!H$3*((1-Ft!H$6)/(1+Ft!H$37*($A419-Ft!H$2)^2)+Ft!H$6*EXP(Ft!H$38*($A419-Ft!H$2)^2)),Ft!H$3*((1-Ft!H$7)/(1+Ft!H$39*($A419-Ft!H$2)^2)+Ft!H$7*EXP(Ft!H$40*($A419-Ft!H$2)^2)))</f>
        <v>0</v>
      </c>
      <c r="M419" s="3">
        <f>IF(($A419-Ft!I$2)&lt;0,Ft!I$3*((1-Ft!I$6)/(1+Ft!I$37*($A419-Ft!I$2)^2)+Ft!I$6*EXP(Ft!I$38*($A419-Ft!I$2)^2)),Ft!I$3*((1-Ft!I$7)/(1+Ft!I$39*($A419-Ft!I$2)^2)+Ft!I$7*EXP(Ft!I$40*($A419-Ft!I$2)^2)))</f>
        <v>0</v>
      </c>
      <c r="N419" s="3">
        <f>IF(($A419-Ft!J$2)&lt;0,Ft!J$3*((1-Ft!J$6)/(1+Ft!J$37*($A419-Ft!J$2)^2)+Ft!J$6*EXP(Ft!J$38*($A419-Ft!J$2)^2)),Ft!J$3*((1-Ft!J$7)/(1+Ft!J$39*($A419-Ft!J$2)^2)+Ft!J$7*EXP(Ft!J$40*($A419-Ft!J$2)^2)))</f>
        <v>0</v>
      </c>
      <c r="O419" s="3">
        <f>IF(($A419-Ft!K$2)&lt;0,Ft!K$3*((1-Ft!K$6)/(1+Ft!K$37*($A419-Ft!K$2)^2)+Ft!K$6*EXP(Ft!K$38*($A419-Ft!K$2)^2)),Ft!K$3*((1-Ft!K$7)/(1+Ft!K$39*($A419-Ft!K$2)^2)+Ft!K$7*EXP(Ft!K$40*($A419-Ft!K$2)^2)))</f>
        <v>0</v>
      </c>
      <c r="P419"/>
      <c r="Q419"/>
    </row>
    <row r="420" spans="1:17">
      <c r="A420">
        <v>836</v>
      </c>
      <c r="B420">
        <v>16.599680898793991</v>
      </c>
      <c r="C420" s="6">
        <f t="shared" si="13"/>
        <v>16.834506415704094</v>
      </c>
      <c r="D420" s="19">
        <f t="shared" si="14"/>
        <v>5.5143023392097069E-2</v>
      </c>
      <c r="E420" s="3">
        <f>Ft!$B$12+Ft!$B$14*(Data!A420-Vars!$B$3)</f>
        <v>0</v>
      </c>
      <c r="F420" s="3">
        <f>IF(($A420-Ft!B$2)&lt;0,Ft!B$3*((1-Ft!B$6)/(1+Ft!B$37*($A420-Ft!B$2)^2)+Ft!B$6*EXP(Ft!B$38*($A420-Ft!B$2)^2)),Ft!B$3*((1-Ft!B$7)/(1+Ft!B$39*($A420-Ft!B$2)^2)+Ft!B$7*EXP(Ft!B$40*($A420-Ft!B$2)^2)))</f>
        <v>0</v>
      </c>
      <c r="G420" s="3">
        <f>IF(($A420-Ft!C$2)&lt;0,Ft!C$3*((1-Ft!C$6)/(1+Ft!C$37*($A420-Ft!C$2)^2)+Ft!C$6*EXP(Ft!C$38*($A420-Ft!C$2)^2)),Ft!C$3*((1-Ft!C$7)/(1+Ft!C$39*($A420-Ft!C$2)^2)+Ft!C$7*EXP(Ft!C$40*($A420-Ft!C$2)^2)))</f>
        <v>6.4826049586741157E-17</v>
      </c>
      <c r="H420" s="3">
        <f>IF(($A420-Ft!D$2)&lt;0,Ft!D$3*((1-Ft!D$6)/(1+Ft!D$37*($A420-Ft!D$2)^2)+Ft!D$6*EXP(Ft!D$38*($A420-Ft!D$2)^2)),Ft!D$3*((1-Ft!D$7)/(1+Ft!D$39*($A420-Ft!D$2)^2)+Ft!D$7*EXP(Ft!D$40*($A420-Ft!D$2)^2)))</f>
        <v>1.3673259769600794</v>
      </c>
      <c r="I420" s="3">
        <f>IF(($A420-Ft!E$2)&lt;0,Ft!E$3*((1-Ft!E$6)/(1+Ft!E$37*($A420-Ft!E$2)^2)+Ft!E$6*EXP(Ft!E$38*($A420-Ft!E$2)^2)),Ft!E$3*((1-Ft!E$7)/(1+Ft!E$39*($A420-Ft!E$2)^2)+Ft!E$7*EXP(Ft!E$40*($A420-Ft!E$2)^2)))</f>
        <v>15.463948999105494</v>
      </c>
      <c r="J420" s="3">
        <f>IF(($A420-Ft!F$2)&lt;0,Ft!F$3*((1-Ft!F$6)/(1+Ft!F$37*($A420-Ft!F$2)^2)+Ft!F$6*EXP(Ft!F$38*($A420-Ft!F$2)^2)),Ft!F$3*((1-Ft!F$7)/(1+Ft!F$39*($A420-Ft!F$2)^2)+Ft!F$7*EXP(Ft!F$40*($A420-Ft!F$2)^2)))</f>
        <v>3.2314396385224736E-3</v>
      </c>
      <c r="K420" s="3">
        <f>IF(($A420-Ft!G$2)&lt;0,Ft!G$3*((1-Ft!G$6)/(1+Ft!G$37*($A420-Ft!G$2)^2)+Ft!G$6*EXP(Ft!G$38*($A420-Ft!G$2)^2)),Ft!G$3*((1-Ft!G$7)/(1+Ft!G$39*($A420-Ft!G$2)^2)+Ft!G$7*EXP(Ft!G$40*($A420-Ft!G$2)^2)))</f>
        <v>4.9443119619129152E-18</v>
      </c>
      <c r="L420" s="3">
        <f>IF(($A420-Ft!H$2)&lt;0,Ft!H$3*((1-Ft!H$6)/(1+Ft!H$37*($A420-Ft!H$2)^2)+Ft!H$6*EXP(Ft!H$38*($A420-Ft!H$2)^2)),Ft!H$3*((1-Ft!H$7)/(1+Ft!H$39*($A420-Ft!H$2)^2)+Ft!H$7*EXP(Ft!H$40*($A420-Ft!H$2)^2)))</f>
        <v>0</v>
      </c>
      <c r="M420" s="3">
        <f>IF(($A420-Ft!I$2)&lt;0,Ft!I$3*((1-Ft!I$6)/(1+Ft!I$37*($A420-Ft!I$2)^2)+Ft!I$6*EXP(Ft!I$38*($A420-Ft!I$2)^2)),Ft!I$3*((1-Ft!I$7)/(1+Ft!I$39*($A420-Ft!I$2)^2)+Ft!I$7*EXP(Ft!I$40*($A420-Ft!I$2)^2)))</f>
        <v>0</v>
      </c>
      <c r="N420" s="3">
        <f>IF(($A420-Ft!J$2)&lt;0,Ft!J$3*((1-Ft!J$6)/(1+Ft!J$37*($A420-Ft!J$2)^2)+Ft!J$6*EXP(Ft!J$38*($A420-Ft!J$2)^2)),Ft!J$3*((1-Ft!J$7)/(1+Ft!J$39*($A420-Ft!J$2)^2)+Ft!J$7*EXP(Ft!J$40*($A420-Ft!J$2)^2)))</f>
        <v>0</v>
      </c>
      <c r="O420" s="3">
        <f>IF(($A420-Ft!K$2)&lt;0,Ft!K$3*((1-Ft!K$6)/(1+Ft!K$37*($A420-Ft!K$2)^2)+Ft!K$6*EXP(Ft!K$38*($A420-Ft!K$2)^2)),Ft!K$3*((1-Ft!K$7)/(1+Ft!K$39*($A420-Ft!K$2)^2)+Ft!K$7*EXP(Ft!K$40*($A420-Ft!K$2)^2)))</f>
        <v>0</v>
      </c>
      <c r="P420"/>
      <c r="Q420"/>
    </row>
    <row r="421" spans="1:17">
      <c r="A421">
        <v>838</v>
      </c>
      <c r="B421">
        <v>16.543023233494992</v>
      </c>
      <c r="C421" s="6">
        <f t="shared" si="13"/>
        <v>16.775437001483503</v>
      </c>
      <c r="D421" s="19">
        <f t="shared" si="14"/>
        <v>5.4016159550617518E-2</v>
      </c>
      <c r="E421" s="3">
        <f>Ft!$B$12+Ft!$B$14*(Data!A421-Vars!$B$3)</f>
        <v>0</v>
      </c>
      <c r="F421" s="3">
        <f>IF(($A421-Ft!B$2)&lt;0,Ft!B$3*((1-Ft!B$6)/(1+Ft!B$37*($A421-Ft!B$2)^2)+Ft!B$6*EXP(Ft!B$38*($A421-Ft!B$2)^2)),Ft!B$3*((1-Ft!B$7)/(1+Ft!B$39*($A421-Ft!B$2)^2)+Ft!B$7*EXP(Ft!B$40*($A421-Ft!B$2)^2)))</f>
        <v>0</v>
      </c>
      <c r="G421" s="3">
        <f>IF(($A421-Ft!C$2)&lt;0,Ft!C$3*((1-Ft!C$6)/(1+Ft!C$37*($A421-Ft!C$2)^2)+Ft!C$6*EXP(Ft!C$38*($A421-Ft!C$2)^2)),Ft!C$3*((1-Ft!C$7)/(1+Ft!C$39*($A421-Ft!C$2)^2)+Ft!C$7*EXP(Ft!C$40*($A421-Ft!C$2)^2)))</f>
        <v>5.1671997416495019E-17</v>
      </c>
      <c r="H421" s="3">
        <f>IF(($A421-Ft!D$2)&lt;0,Ft!D$3*((1-Ft!D$6)/(1+Ft!D$37*($A421-Ft!D$2)^2)+Ft!D$6*EXP(Ft!D$38*($A421-Ft!D$2)^2)),Ft!D$3*((1-Ft!D$7)/(1+Ft!D$39*($A421-Ft!D$2)^2)+Ft!D$7*EXP(Ft!D$40*($A421-Ft!D$2)^2)))</f>
        <v>1.3302417708759207</v>
      </c>
      <c r="I421" s="3">
        <f>IF(($A421-Ft!E$2)&lt;0,Ft!E$3*((1-Ft!E$6)/(1+Ft!E$37*($A421-Ft!E$2)^2)+Ft!E$6*EXP(Ft!E$38*($A421-Ft!E$2)^2)),Ft!E$3*((1-Ft!E$7)/(1+Ft!E$39*($A421-Ft!E$2)^2)+Ft!E$7*EXP(Ft!E$40*($A421-Ft!E$2)^2)))</f>
        <v>15.441340702696088</v>
      </c>
      <c r="J421" s="3">
        <f>IF(($A421-Ft!F$2)&lt;0,Ft!F$3*((1-Ft!F$6)/(1+Ft!F$37*($A421-Ft!F$2)^2)+Ft!F$6*EXP(Ft!F$38*($A421-Ft!F$2)^2)),Ft!F$3*((1-Ft!F$7)/(1+Ft!F$39*($A421-Ft!F$2)^2)+Ft!F$7*EXP(Ft!F$40*($A421-Ft!F$2)^2)))</f>
        <v>3.8545279114943027E-3</v>
      </c>
      <c r="K421" s="3">
        <f>IF(($A421-Ft!G$2)&lt;0,Ft!G$3*((1-Ft!G$6)/(1+Ft!G$37*($A421-Ft!G$2)^2)+Ft!G$6*EXP(Ft!G$38*($A421-Ft!G$2)^2)),Ft!G$3*((1-Ft!G$7)/(1+Ft!G$39*($A421-Ft!G$2)^2)+Ft!G$7*EXP(Ft!G$40*($A421-Ft!G$2)^2)))</f>
        <v>1.0920277790612844E-17</v>
      </c>
      <c r="L421" s="3">
        <f>IF(($A421-Ft!H$2)&lt;0,Ft!H$3*((1-Ft!H$6)/(1+Ft!H$37*($A421-Ft!H$2)^2)+Ft!H$6*EXP(Ft!H$38*($A421-Ft!H$2)^2)),Ft!H$3*((1-Ft!H$7)/(1+Ft!H$39*($A421-Ft!H$2)^2)+Ft!H$7*EXP(Ft!H$40*($A421-Ft!H$2)^2)))</f>
        <v>0</v>
      </c>
      <c r="M421" s="3">
        <f>IF(($A421-Ft!I$2)&lt;0,Ft!I$3*((1-Ft!I$6)/(1+Ft!I$37*($A421-Ft!I$2)^2)+Ft!I$6*EXP(Ft!I$38*($A421-Ft!I$2)^2)),Ft!I$3*((1-Ft!I$7)/(1+Ft!I$39*($A421-Ft!I$2)^2)+Ft!I$7*EXP(Ft!I$40*($A421-Ft!I$2)^2)))</f>
        <v>0</v>
      </c>
      <c r="N421" s="3">
        <f>IF(($A421-Ft!J$2)&lt;0,Ft!J$3*((1-Ft!J$6)/(1+Ft!J$37*($A421-Ft!J$2)^2)+Ft!J$6*EXP(Ft!J$38*($A421-Ft!J$2)^2)),Ft!J$3*((1-Ft!J$7)/(1+Ft!J$39*($A421-Ft!J$2)^2)+Ft!J$7*EXP(Ft!J$40*($A421-Ft!J$2)^2)))</f>
        <v>0</v>
      </c>
      <c r="O421" s="3">
        <f>IF(($A421-Ft!K$2)&lt;0,Ft!K$3*((1-Ft!K$6)/(1+Ft!K$37*($A421-Ft!K$2)^2)+Ft!K$6*EXP(Ft!K$38*($A421-Ft!K$2)^2)),Ft!K$3*((1-Ft!K$7)/(1+Ft!K$39*($A421-Ft!K$2)^2)+Ft!K$7*EXP(Ft!K$40*($A421-Ft!K$2)^2)))</f>
        <v>0</v>
      </c>
      <c r="P421"/>
      <c r="Q421"/>
    </row>
    <row r="422" spans="1:17">
      <c r="A422">
        <v>840</v>
      </c>
      <c r="B422">
        <v>16.486964857586997</v>
      </c>
      <c r="C422" s="6">
        <f t="shared" si="13"/>
        <v>16.714226267472792</v>
      </c>
      <c r="D422" s="19">
        <f t="shared" si="14"/>
        <v>5.1647748423279329E-2</v>
      </c>
      <c r="E422" s="3">
        <f>Ft!$B$12+Ft!$B$14*(Data!A422-Vars!$B$3)</f>
        <v>0</v>
      </c>
      <c r="F422" s="3">
        <f>IF(($A422-Ft!B$2)&lt;0,Ft!B$3*((1-Ft!B$6)/(1+Ft!B$37*($A422-Ft!B$2)^2)+Ft!B$6*EXP(Ft!B$38*($A422-Ft!B$2)^2)),Ft!B$3*((1-Ft!B$7)/(1+Ft!B$39*($A422-Ft!B$2)^2)+Ft!B$7*EXP(Ft!B$40*($A422-Ft!B$2)^2)))</f>
        <v>0</v>
      </c>
      <c r="G422" s="3">
        <f>IF(($A422-Ft!C$2)&lt;0,Ft!C$3*((1-Ft!C$6)/(1+Ft!C$37*($A422-Ft!C$2)^2)+Ft!C$6*EXP(Ft!C$38*($A422-Ft!C$2)^2)),Ft!C$3*((1-Ft!C$7)/(1+Ft!C$39*($A422-Ft!C$2)^2)+Ft!C$7*EXP(Ft!C$40*($A422-Ft!C$2)^2)))</f>
        <v>4.1160332536224186E-17</v>
      </c>
      <c r="H422" s="3">
        <f>IF(($A422-Ft!D$2)&lt;0,Ft!D$3*((1-Ft!D$6)/(1+Ft!D$37*($A422-Ft!D$2)^2)+Ft!D$6*EXP(Ft!D$38*($A422-Ft!D$2)^2)),Ft!D$3*((1-Ft!D$7)/(1+Ft!D$39*($A422-Ft!D$2)^2)+Ft!D$7*EXP(Ft!D$40*($A422-Ft!D$2)^2)))</f>
        <v>1.293977312884502</v>
      </c>
      <c r="I422" s="3">
        <f>IF(($A422-Ft!E$2)&lt;0,Ft!E$3*((1-Ft!E$6)/(1+Ft!E$37*($A422-Ft!E$2)^2)+Ft!E$6*EXP(Ft!E$38*($A422-Ft!E$2)^2)),Ft!E$3*((1-Ft!E$7)/(1+Ft!E$39*($A422-Ft!E$2)^2)+Ft!E$7*EXP(Ft!E$40*($A422-Ft!E$2)^2)))</f>
        <v>15.41566107917464</v>
      </c>
      <c r="J422" s="3">
        <f>IF(($A422-Ft!F$2)&lt;0,Ft!F$3*((1-Ft!F$6)/(1+Ft!F$37*($A422-Ft!F$2)^2)+Ft!F$6*EXP(Ft!F$38*($A422-Ft!F$2)^2)),Ft!F$3*((1-Ft!F$7)/(1+Ft!F$39*($A422-Ft!F$2)^2)+Ft!F$7*EXP(Ft!F$40*($A422-Ft!F$2)^2)))</f>
        <v>4.5878754136504593E-3</v>
      </c>
      <c r="K422" s="3">
        <f>IF(($A422-Ft!G$2)&lt;0,Ft!G$3*((1-Ft!G$6)/(1+Ft!G$37*($A422-Ft!G$2)^2)+Ft!G$6*EXP(Ft!G$38*($A422-Ft!G$2)^2)),Ft!G$3*((1-Ft!G$7)/(1+Ft!G$39*($A422-Ft!G$2)^2)+Ft!G$7*EXP(Ft!G$40*($A422-Ft!G$2)^2)))</f>
        <v>2.3936378276523327E-17</v>
      </c>
      <c r="L422" s="3">
        <f>IF(($A422-Ft!H$2)&lt;0,Ft!H$3*((1-Ft!H$6)/(1+Ft!H$37*($A422-Ft!H$2)^2)+Ft!H$6*EXP(Ft!H$38*($A422-Ft!H$2)^2)),Ft!H$3*((1-Ft!H$7)/(1+Ft!H$39*($A422-Ft!H$2)^2)+Ft!H$7*EXP(Ft!H$40*($A422-Ft!H$2)^2)))</f>
        <v>0</v>
      </c>
      <c r="M422" s="3">
        <f>IF(($A422-Ft!I$2)&lt;0,Ft!I$3*((1-Ft!I$6)/(1+Ft!I$37*($A422-Ft!I$2)^2)+Ft!I$6*EXP(Ft!I$38*($A422-Ft!I$2)^2)),Ft!I$3*((1-Ft!I$7)/(1+Ft!I$39*($A422-Ft!I$2)^2)+Ft!I$7*EXP(Ft!I$40*($A422-Ft!I$2)^2)))</f>
        <v>0</v>
      </c>
      <c r="N422" s="3">
        <f>IF(($A422-Ft!J$2)&lt;0,Ft!J$3*((1-Ft!J$6)/(1+Ft!J$37*($A422-Ft!J$2)^2)+Ft!J$6*EXP(Ft!J$38*($A422-Ft!J$2)^2)),Ft!J$3*((1-Ft!J$7)/(1+Ft!J$39*($A422-Ft!J$2)^2)+Ft!J$7*EXP(Ft!J$40*($A422-Ft!J$2)^2)))</f>
        <v>0</v>
      </c>
      <c r="O422" s="3">
        <f>IF(($A422-Ft!K$2)&lt;0,Ft!K$3*((1-Ft!K$6)/(1+Ft!K$37*($A422-Ft!K$2)^2)+Ft!K$6*EXP(Ft!K$38*($A422-Ft!K$2)^2)),Ft!K$3*((1-Ft!K$7)/(1+Ft!K$39*($A422-Ft!K$2)^2)+Ft!K$7*EXP(Ft!K$40*($A422-Ft!K$2)^2)))</f>
        <v>0</v>
      </c>
      <c r="P422"/>
      <c r="Q422"/>
    </row>
    <row r="423" spans="1:17">
      <c r="A423">
        <v>842</v>
      </c>
      <c r="B423">
        <v>16.432505452748998</v>
      </c>
      <c r="C423" s="6">
        <f t="shared" si="13"/>
        <v>16.650895114008197</v>
      </c>
      <c r="D423" s="19">
        <f t="shared" si="14"/>
        <v>4.7694044144907542E-2</v>
      </c>
      <c r="E423" s="3">
        <f>Ft!$B$12+Ft!$B$14*(Data!A423-Vars!$B$3)</f>
        <v>0</v>
      </c>
      <c r="F423" s="3">
        <f>IF(($A423-Ft!B$2)&lt;0,Ft!B$3*((1-Ft!B$6)/(1+Ft!B$37*($A423-Ft!B$2)^2)+Ft!B$6*EXP(Ft!B$38*($A423-Ft!B$2)^2)),Ft!B$3*((1-Ft!B$7)/(1+Ft!B$39*($A423-Ft!B$2)^2)+Ft!B$7*EXP(Ft!B$40*($A423-Ft!B$2)^2)))</f>
        <v>0</v>
      </c>
      <c r="G423" s="3">
        <f>IF(($A423-Ft!C$2)&lt;0,Ft!C$3*((1-Ft!C$6)/(1+Ft!C$37*($A423-Ft!C$2)^2)+Ft!C$6*EXP(Ft!C$38*($A423-Ft!C$2)^2)),Ft!C$3*((1-Ft!C$7)/(1+Ft!C$39*($A423-Ft!C$2)^2)+Ft!C$7*EXP(Ft!C$40*($A423-Ft!C$2)^2)))</f>
        <v>3.2765774043592641E-17</v>
      </c>
      <c r="H423" s="3">
        <f>IF(($A423-Ft!D$2)&lt;0,Ft!D$3*((1-Ft!D$6)/(1+Ft!D$37*($A423-Ft!D$2)^2)+Ft!D$6*EXP(Ft!D$38*($A423-Ft!D$2)^2)),Ft!D$3*((1-Ft!D$7)/(1+Ft!D$39*($A423-Ft!D$2)^2)+Ft!D$7*EXP(Ft!D$40*($A423-Ft!D$2)^2)))</f>
        <v>1.2585205394431203</v>
      </c>
      <c r="I423" s="3">
        <f>IF(($A423-Ft!E$2)&lt;0,Ft!E$3*((1-Ft!E$6)/(1+Ft!E$37*($A423-Ft!E$2)^2)+Ft!E$6*EXP(Ft!E$38*($A423-Ft!E$2)^2)),Ft!E$3*((1-Ft!E$7)/(1+Ft!E$39*($A423-Ft!E$2)^2)+Ft!E$7*EXP(Ft!E$40*($A423-Ft!E$2)^2)))</f>
        <v>15.386925568252023</v>
      </c>
      <c r="J423" s="3">
        <f>IF(($A423-Ft!F$2)&lt;0,Ft!F$3*((1-Ft!F$6)/(1+Ft!F$37*($A423-Ft!F$2)^2)+Ft!F$6*EXP(Ft!F$38*($A423-Ft!F$2)^2)),Ft!F$3*((1-Ft!F$7)/(1+Ft!F$39*($A423-Ft!F$2)^2)+Ft!F$7*EXP(Ft!F$40*($A423-Ft!F$2)^2)))</f>
        <v>5.4490063130535225E-3</v>
      </c>
      <c r="K423" s="3">
        <f>IF(($A423-Ft!G$2)&lt;0,Ft!G$3*((1-Ft!G$6)/(1+Ft!G$37*($A423-Ft!G$2)^2)+Ft!G$6*EXP(Ft!G$38*($A423-Ft!G$2)^2)),Ft!G$3*((1-Ft!G$7)/(1+Ft!G$39*($A423-Ft!G$2)^2)+Ft!G$7*EXP(Ft!G$40*($A423-Ft!G$2)^2)))</f>
        <v>5.206910648629059E-17</v>
      </c>
      <c r="L423" s="3">
        <f>IF(($A423-Ft!H$2)&lt;0,Ft!H$3*((1-Ft!H$6)/(1+Ft!H$37*($A423-Ft!H$2)^2)+Ft!H$6*EXP(Ft!H$38*($A423-Ft!H$2)^2)),Ft!H$3*((1-Ft!H$7)/(1+Ft!H$39*($A423-Ft!H$2)^2)+Ft!H$7*EXP(Ft!H$40*($A423-Ft!H$2)^2)))</f>
        <v>0</v>
      </c>
      <c r="M423" s="3">
        <f>IF(($A423-Ft!I$2)&lt;0,Ft!I$3*((1-Ft!I$6)/(1+Ft!I$37*($A423-Ft!I$2)^2)+Ft!I$6*EXP(Ft!I$38*($A423-Ft!I$2)^2)),Ft!I$3*((1-Ft!I$7)/(1+Ft!I$39*($A423-Ft!I$2)^2)+Ft!I$7*EXP(Ft!I$40*($A423-Ft!I$2)^2)))</f>
        <v>0</v>
      </c>
      <c r="N423" s="3">
        <f>IF(($A423-Ft!J$2)&lt;0,Ft!J$3*((1-Ft!J$6)/(1+Ft!J$37*($A423-Ft!J$2)^2)+Ft!J$6*EXP(Ft!J$38*($A423-Ft!J$2)^2)),Ft!J$3*((1-Ft!J$7)/(1+Ft!J$39*($A423-Ft!J$2)^2)+Ft!J$7*EXP(Ft!J$40*($A423-Ft!J$2)^2)))</f>
        <v>0</v>
      </c>
      <c r="O423" s="3">
        <f>IF(($A423-Ft!K$2)&lt;0,Ft!K$3*((1-Ft!K$6)/(1+Ft!K$37*($A423-Ft!K$2)^2)+Ft!K$6*EXP(Ft!K$38*($A423-Ft!K$2)^2)),Ft!K$3*((1-Ft!K$7)/(1+Ft!K$39*($A423-Ft!K$2)^2)+Ft!K$7*EXP(Ft!K$40*($A423-Ft!K$2)^2)))</f>
        <v>0</v>
      </c>
      <c r="P423"/>
      <c r="Q423"/>
    </row>
    <row r="424" spans="1:17">
      <c r="A424">
        <v>844</v>
      </c>
      <c r="B424">
        <v>16.380682305178993</v>
      </c>
      <c r="C424" s="6">
        <f t="shared" si="13"/>
        <v>16.585468654594049</v>
      </c>
      <c r="D424" s="19">
        <f t="shared" si="14"/>
        <v>4.1937448906745188E-2</v>
      </c>
      <c r="E424" s="3">
        <f>Ft!$B$12+Ft!$B$14*(Data!A424-Vars!$B$3)</f>
        <v>0</v>
      </c>
      <c r="F424" s="3">
        <f>IF(($A424-Ft!B$2)&lt;0,Ft!B$3*((1-Ft!B$6)/(1+Ft!B$37*($A424-Ft!B$2)^2)+Ft!B$6*EXP(Ft!B$38*($A424-Ft!B$2)^2)),Ft!B$3*((1-Ft!B$7)/(1+Ft!B$39*($A424-Ft!B$2)^2)+Ft!B$7*EXP(Ft!B$40*($A424-Ft!B$2)^2)))</f>
        <v>0</v>
      </c>
      <c r="G424" s="3">
        <f>IF(($A424-Ft!C$2)&lt;0,Ft!C$3*((1-Ft!C$6)/(1+Ft!C$37*($A424-Ft!C$2)^2)+Ft!C$6*EXP(Ft!C$38*($A424-Ft!C$2)^2)),Ft!C$3*((1-Ft!C$7)/(1+Ft!C$39*($A424-Ft!C$2)^2)+Ft!C$7*EXP(Ft!C$40*($A424-Ft!C$2)^2)))</f>
        <v>2.6066331937582457E-17</v>
      </c>
      <c r="H424" s="3">
        <f>IF(($A424-Ft!D$2)&lt;0,Ft!D$3*((1-Ft!D$6)/(1+Ft!D$37*($A424-Ft!D$2)^2)+Ft!D$6*EXP(Ft!D$38*($A424-Ft!D$2)^2)),Ft!D$3*((1-Ft!D$7)/(1+Ft!D$39*($A424-Ft!D$2)^2)+Ft!D$7*EXP(Ft!D$40*($A424-Ft!D$2)^2)))</f>
        <v>1.223859373178783</v>
      </c>
      <c r="I424" s="3">
        <f>IF(($A424-Ft!E$2)&lt;0,Ft!E$3*((1-Ft!E$6)/(1+Ft!E$37*($A424-Ft!E$2)^2)+Ft!E$6*EXP(Ft!E$38*($A424-Ft!E$2)^2)),Ft!E$3*((1-Ft!E$7)/(1+Ft!E$39*($A424-Ft!E$2)^2)+Ft!E$7*EXP(Ft!E$40*($A424-Ft!E$2)^2)))</f>
        <v>15.355151426549877</v>
      </c>
      <c r="J424" s="3">
        <f>IF(($A424-Ft!F$2)&lt;0,Ft!F$3*((1-Ft!F$6)/(1+Ft!F$37*($A424-Ft!F$2)^2)+Ft!F$6*EXP(Ft!F$38*($A424-Ft!F$2)^2)),Ft!F$3*((1-Ft!F$7)/(1+Ft!F$39*($A424-Ft!F$2)^2)+Ft!F$7*EXP(Ft!F$40*($A424-Ft!F$2)^2)))</f>
        <v>6.4578548653890103E-3</v>
      </c>
      <c r="K424" s="3">
        <f>IF(($A424-Ft!G$2)&lt;0,Ft!G$3*((1-Ft!G$6)/(1+Ft!G$37*($A424-Ft!G$2)^2)+Ft!G$6*EXP(Ft!G$38*($A424-Ft!G$2)^2)),Ft!G$3*((1-Ft!G$7)/(1+Ft!G$39*($A424-Ft!G$2)^2)+Ft!G$7*EXP(Ft!G$40*($A424-Ft!G$2)^2)))</f>
        <v>1.1240839398038136E-16</v>
      </c>
      <c r="L424" s="3">
        <f>IF(($A424-Ft!H$2)&lt;0,Ft!H$3*((1-Ft!H$6)/(1+Ft!H$37*($A424-Ft!H$2)^2)+Ft!H$6*EXP(Ft!H$38*($A424-Ft!H$2)^2)),Ft!H$3*((1-Ft!H$7)/(1+Ft!H$39*($A424-Ft!H$2)^2)+Ft!H$7*EXP(Ft!H$40*($A424-Ft!H$2)^2)))</f>
        <v>0</v>
      </c>
      <c r="M424" s="3">
        <f>IF(($A424-Ft!I$2)&lt;0,Ft!I$3*((1-Ft!I$6)/(1+Ft!I$37*($A424-Ft!I$2)^2)+Ft!I$6*EXP(Ft!I$38*($A424-Ft!I$2)^2)),Ft!I$3*((1-Ft!I$7)/(1+Ft!I$39*($A424-Ft!I$2)^2)+Ft!I$7*EXP(Ft!I$40*($A424-Ft!I$2)^2)))</f>
        <v>0</v>
      </c>
      <c r="N424" s="3">
        <f>IF(($A424-Ft!J$2)&lt;0,Ft!J$3*((1-Ft!J$6)/(1+Ft!J$37*($A424-Ft!J$2)^2)+Ft!J$6*EXP(Ft!J$38*($A424-Ft!J$2)^2)),Ft!J$3*((1-Ft!J$7)/(1+Ft!J$39*($A424-Ft!J$2)^2)+Ft!J$7*EXP(Ft!J$40*($A424-Ft!J$2)^2)))</f>
        <v>0</v>
      </c>
      <c r="O424" s="3">
        <f>IF(($A424-Ft!K$2)&lt;0,Ft!K$3*((1-Ft!K$6)/(1+Ft!K$37*($A424-Ft!K$2)^2)+Ft!K$6*EXP(Ft!K$38*($A424-Ft!K$2)^2)),Ft!K$3*((1-Ft!K$7)/(1+Ft!K$39*($A424-Ft!K$2)^2)+Ft!K$7*EXP(Ft!K$40*($A424-Ft!K$2)^2)))</f>
        <v>0</v>
      </c>
      <c r="P424"/>
      <c r="Q424"/>
    </row>
    <row r="425" spans="1:17">
      <c r="A425">
        <v>846</v>
      </c>
      <c r="B425">
        <v>16.331956221578992</v>
      </c>
      <c r="C425" s="6">
        <f t="shared" si="13"/>
        <v>16.517976470925703</v>
      </c>
      <c r="D425" s="19">
        <f t="shared" si="14"/>
        <v>3.4603533167012666E-2</v>
      </c>
      <c r="E425" s="3">
        <f>Ft!$B$12+Ft!$B$14*(Data!A425-Vars!$B$3)</f>
        <v>0</v>
      </c>
      <c r="F425" s="3">
        <f>IF(($A425-Ft!B$2)&lt;0,Ft!B$3*((1-Ft!B$6)/(1+Ft!B$37*($A425-Ft!B$2)^2)+Ft!B$6*EXP(Ft!B$38*($A425-Ft!B$2)^2)),Ft!B$3*((1-Ft!B$7)/(1+Ft!B$39*($A425-Ft!B$2)^2)+Ft!B$7*EXP(Ft!B$40*($A425-Ft!B$2)^2)))</f>
        <v>0</v>
      </c>
      <c r="G425" s="3">
        <f>IF(($A425-Ft!C$2)&lt;0,Ft!C$3*((1-Ft!C$6)/(1+Ft!C$37*($A425-Ft!C$2)^2)+Ft!C$6*EXP(Ft!C$38*($A425-Ft!C$2)^2)),Ft!C$3*((1-Ft!C$7)/(1+Ft!C$39*($A425-Ft!C$2)^2)+Ft!C$7*EXP(Ft!C$40*($A425-Ft!C$2)^2)))</f>
        <v>2.0723225035396915E-17</v>
      </c>
      <c r="H425" s="3">
        <f>IF(($A425-Ft!D$2)&lt;0,Ft!D$3*((1-Ft!D$6)/(1+Ft!D$37*($A425-Ft!D$2)^2)+Ft!D$6*EXP(Ft!D$38*($A425-Ft!D$2)^2)),Ft!D$3*((1-Ft!D$7)/(1+Ft!D$39*($A425-Ft!D$2)^2)+Ft!D$7*EXP(Ft!D$40*($A425-Ft!D$2)^2)))</f>
        <v>1.189981730115925</v>
      </c>
      <c r="I425" s="3">
        <f>IF(($A425-Ft!E$2)&lt;0,Ft!E$3*((1-Ft!E$6)/(1+Ft!E$37*($A425-Ft!E$2)^2)+Ft!E$6*EXP(Ft!E$38*($A425-Ft!E$2)^2)),Ft!E$3*((1-Ft!E$7)/(1+Ft!E$39*($A425-Ft!E$2)^2)+Ft!E$7*EXP(Ft!E$40*($A425-Ft!E$2)^2)))</f>
        <v>15.320357710330038</v>
      </c>
      <c r="J425" s="3">
        <f>IF(($A425-Ft!F$2)&lt;0,Ft!F$3*((1-Ft!F$6)/(1+Ft!F$37*($A425-Ft!F$2)^2)+Ft!F$6*EXP(Ft!F$38*($A425-Ft!F$2)^2)),Ft!F$3*((1-Ft!F$7)/(1+Ft!F$39*($A425-Ft!F$2)^2)+Ft!F$7*EXP(Ft!F$40*($A425-Ft!F$2)^2)))</f>
        <v>7.6370304797378436E-3</v>
      </c>
      <c r="K425" s="3">
        <f>IF(($A425-Ft!G$2)&lt;0,Ft!G$3*((1-Ft!G$6)/(1+Ft!G$37*($A425-Ft!G$2)^2)+Ft!G$6*EXP(Ft!G$38*($A425-Ft!G$2)^2)),Ft!G$3*((1-Ft!G$7)/(1+Ft!G$39*($A425-Ft!G$2)^2)+Ft!G$7*EXP(Ft!G$40*($A425-Ft!G$2)^2)))</f>
        <v>2.4083205574846372E-16</v>
      </c>
      <c r="L425" s="3">
        <f>IF(($A425-Ft!H$2)&lt;0,Ft!H$3*((1-Ft!H$6)/(1+Ft!H$37*($A425-Ft!H$2)^2)+Ft!H$6*EXP(Ft!H$38*($A425-Ft!H$2)^2)),Ft!H$3*((1-Ft!H$7)/(1+Ft!H$39*($A425-Ft!H$2)^2)+Ft!H$7*EXP(Ft!H$40*($A425-Ft!H$2)^2)))</f>
        <v>0</v>
      </c>
      <c r="M425" s="3">
        <f>IF(($A425-Ft!I$2)&lt;0,Ft!I$3*((1-Ft!I$6)/(1+Ft!I$37*($A425-Ft!I$2)^2)+Ft!I$6*EXP(Ft!I$38*($A425-Ft!I$2)^2)),Ft!I$3*((1-Ft!I$7)/(1+Ft!I$39*($A425-Ft!I$2)^2)+Ft!I$7*EXP(Ft!I$40*($A425-Ft!I$2)^2)))</f>
        <v>0</v>
      </c>
      <c r="N425" s="3">
        <f>IF(($A425-Ft!J$2)&lt;0,Ft!J$3*((1-Ft!J$6)/(1+Ft!J$37*($A425-Ft!J$2)^2)+Ft!J$6*EXP(Ft!J$38*($A425-Ft!J$2)^2)),Ft!J$3*((1-Ft!J$7)/(1+Ft!J$39*($A425-Ft!J$2)^2)+Ft!J$7*EXP(Ft!J$40*($A425-Ft!J$2)^2)))</f>
        <v>0</v>
      </c>
      <c r="O425" s="3">
        <f>IF(($A425-Ft!K$2)&lt;0,Ft!K$3*((1-Ft!K$6)/(1+Ft!K$37*($A425-Ft!K$2)^2)+Ft!K$6*EXP(Ft!K$38*($A425-Ft!K$2)^2)),Ft!K$3*((1-Ft!K$7)/(1+Ft!K$39*($A425-Ft!K$2)^2)+Ft!K$7*EXP(Ft!K$40*($A425-Ft!K$2)^2)))</f>
        <v>0</v>
      </c>
      <c r="P425"/>
      <c r="Q425"/>
    </row>
    <row r="426" spans="1:17">
      <c r="A426">
        <v>848</v>
      </c>
      <c r="B426">
        <v>16.285410760576994</v>
      </c>
      <c r="C426" s="6">
        <f t="shared" si="13"/>
        <v>16.448452883976923</v>
      </c>
      <c r="D426" s="19">
        <f t="shared" si="14"/>
        <v>2.6582734002757773E-2</v>
      </c>
      <c r="E426" s="3">
        <f>Ft!$B$12+Ft!$B$14*(Data!A426-Vars!$B$3)</f>
        <v>0</v>
      </c>
      <c r="F426" s="3">
        <f>IF(($A426-Ft!B$2)&lt;0,Ft!B$3*((1-Ft!B$6)/(1+Ft!B$37*($A426-Ft!B$2)^2)+Ft!B$6*EXP(Ft!B$38*($A426-Ft!B$2)^2)),Ft!B$3*((1-Ft!B$7)/(1+Ft!B$39*($A426-Ft!B$2)^2)+Ft!B$7*EXP(Ft!B$40*($A426-Ft!B$2)^2)))</f>
        <v>0</v>
      </c>
      <c r="G426" s="3">
        <f>IF(($A426-Ft!C$2)&lt;0,Ft!C$3*((1-Ft!C$6)/(1+Ft!C$37*($A426-Ft!C$2)^2)+Ft!C$6*EXP(Ft!C$38*($A426-Ft!C$2)^2)),Ft!C$3*((1-Ft!C$7)/(1+Ft!C$39*($A426-Ft!C$2)^2)+Ft!C$7*EXP(Ft!C$40*($A426-Ft!C$2)^2)))</f>
        <v>1.6464657350544773E-17</v>
      </c>
      <c r="H426" s="3">
        <f>IF(($A426-Ft!D$2)&lt;0,Ft!D$3*((1-Ft!D$6)/(1+Ft!D$37*($A426-Ft!D$2)^2)+Ft!D$6*EXP(Ft!D$38*($A426-Ft!D$2)^2)),Ft!D$3*((1-Ft!D$7)/(1+Ft!D$39*($A426-Ft!D$2)^2)+Ft!D$7*EXP(Ft!D$40*($A426-Ft!D$2)^2)))</f>
        <v>1.1568755267102575</v>
      </c>
      <c r="I426" s="3">
        <f>IF(($A426-Ft!E$2)&lt;0,Ft!E$3*((1-Ft!E$6)/(1+Ft!E$37*($A426-Ft!E$2)^2)+Ft!E$6*EXP(Ft!E$38*($A426-Ft!E$2)^2)),Ft!E$3*((1-Ft!E$7)/(1+Ft!E$39*($A426-Ft!E$2)^2)+Ft!E$7*EXP(Ft!E$40*($A426-Ft!E$2)^2)))</f>
        <v>15.282565256448155</v>
      </c>
      <c r="J426" s="3">
        <f>IF(($A426-Ft!F$2)&lt;0,Ft!F$3*((1-Ft!F$6)/(1+Ft!F$37*($A426-Ft!F$2)^2)+Ft!F$6*EXP(Ft!F$38*($A426-Ft!F$2)^2)),Ft!F$3*((1-Ft!F$7)/(1+Ft!F$39*($A426-Ft!F$2)^2)+Ft!F$7*EXP(Ft!F$40*($A426-Ft!F$2)^2)))</f>
        <v>9.0121008185104316E-3</v>
      </c>
      <c r="K426" s="3">
        <f>IF(($A426-Ft!G$2)&lt;0,Ft!G$3*((1-Ft!G$6)/(1+Ft!G$37*($A426-Ft!G$2)^2)+Ft!G$6*EXP(Ft!G$38*($A426-Ft!G$2)^2)),Ft!G$3*((1-Ft!G$7)/(1+Ft!G$39*($A426-Ft!G$2)^2)+Ft!G$7*EXP(Ft!G$40*($A426-Ft!G$2)^2)))</f>
        <v>5.1206698363616186E-16</v>
      </c>
      <c r="L426" s="3">
        <f>IF(($A426-Ft!H$2)&lt;0,Ft!H$3*((1-Ft!H$6)/(1+Ft!H$37*($A426-Ft!H$2)^2)+Ft!H$6*EXP(Ft!H$38*($A426-Ft!H$2)^2)),Ft!H$3*((1-Ft!H$7)/(1+Ft!H$39*($A426-Ft!H$2)^2)+Ft!H$7*EXP(Ft!H$40*($A426-Ft!H$2)^2)))</f>
        <v>0</v>
      </c>
      <c r="M426" s="3">
        <f>IF(($A426-Ft!I$2)&lt;0,Ft!I$3*((1-Ft!I$6)/(1+Ft!I$37*($A426-Ft!I$2)^2)+Ft!I$6*EXP(Ft!I$38*($A426-Ft!I$2)^2)),Ft!I$3*((1-Ft!I$7)/(1+Ft!I$39*($A426-Ft!I$2)^2)+Ft!I$7*EXP(Ft!I$40*($A426-Ft!I$2)^2)))</f>
        <v>0</v>
      </c>
      <c r="N426" s="3">
        <f>IF(($A426-Ft!J$2)&lt;0,Ft!J$3*((1-Ft!J$6)/(1+Ft!J$37*($A426-Ft!J$2)^2)+Ft!J$6*EXP(Ft!J$38*($A426-Ft!J$2)^2)),Ft!J$3*((1-Ft!J$7)/(1+Ft!J$39*($A426-Ft!J$2)^2)+Ft!J$7*EXP(Ft!J$40*($A426-Ft!J$2)^2)))</f>
        <v>0</v>
      </c>
      <c r="O426" s="3">
        <f>IF(($A426-Ft!K$2)&lt;0,Ft!K$3*((1-Ft!K$6)/(1+Ft!K$37*($A426-Ft!K$2)^2)+Ft!K$6*EXP(Ft!K$38*($A426-Ft!K$2)^2)),Ft!K$3*((1-Ft!K$7)/(1+Ft!K$39*($A426-Ft!K$2)^2)+Ft!K$7*EXP(Ft!K$40*($A426-Ft!K$2)^2)))</f>
        <v>0</v>
      </c>
      <c r="P426"/>
      <c r="Q426"/>
    </row>
    <row r="427" spans="1:17">
      <c r="A427">
        <v>850</v>
      </c>
      <c r="B427">
        <v>16.240006931602991</v>
      </c>
      <c r="C427" s="6">
        <f t="shared" si="13"/>
        <v>16.376937240537707</v>
      </c>
      <c r="D427" s="19">
        <f t="shared" si="14"/>
        <v>1.8749909504956652E-2</v>
      </c>
      <c r="E427" s="3">
        <f>Ft!$B$12+Ft!$B$14*(Data!A427-Vars!$B$3)</f>
        <v>0</v>
      </c>
      <c r="F427" s="3">
        <f>IF(($A427-Ft!B$2)&lt;0,Ft!B$3*((1-Ft!B$6)/(1+Ft!B$37*($A427-Ft!B$2)^2)+Ft!B$6*EXP(Ft!B$38*($A427-Ft!B$2)^2)),Ft!B$3*((1-Ft!B$7)/(1+Ft!B$39*($A427-Ft!B$2)^2)+Ft!B$7*EXP(Ft!B$40*($A427-Ft!B$2)^2)))</f>
        <v>0</v>
      </c>
      <c r="G427" s="3">
        <f>IF(($A427-Ft!C$2)&lt;0,Ft!C$3*((1-Ft!C$6)/(1+Ft!C$37*($A427-Ft!C$2)^2)+Ft!C$6*EXP(Ft!C$38*($A427-Ft!C$2)^2)),Ft!C$3*((1-Ft!C$7)/(1+Ft!C$39*($A427-Ft!C$2)^2)+Ft!C$7*EXP(Ft!C$40*($A427-Ft!C$2)^2)))</f>
        <v>1.3072720715810335E-17</v>
      </c>
      <c r="H427" s="3">
        <f>IF(($A427-Ft!D$2)&lt;0,Ft!D$3*((1-Ft!D$6)/(1+Ft!D$37*($A427-Ft!D$2)^2)+Ft!D$6*EXP(Ft!D$38*($A427-Ft!D$2)^2)),Ft!D$3*((1-Ft!D$7)/(1+Ft!D$39*($A427-Ft!D$2)^2)+Ft!D$7*EXP(Ft!D$40*($A427-Ft!D$2)^2)))</f>
        <v>1.124528686688109</v>
      </c>
      <c r="I427" s="3">
        <f>IF(($A427-Ft!E$2)&lt;0,Ft!E$3*((1-Ft!E$6)/(1+Ft!E$37*($A427-Ft!E$2)^2)+Ft!E$6*EXP(Ft!E$38*($A427-Ft!E$2)^2)),Ft!E$3*((1-Ft!E$7)/(1+Ft!E$39*($A427-Ft!E$2)^2)+Ft!E$7*EXP(Ft!E$40*($A427-Ft!E$2)^2)))</f>
        <v>15.241796661558134</v>
      </c>
      <c r="J427" s="3">
        <f>IF(($A427-Ft!F$2)&lt;0,Ft!F$3*((1-Ft!F$6)/(1+Ft!F$37*($A427-Ft!F$2)^2)+Ft!F$6*EXP(Ft!F$38*($A427-Ft!F$2)^2)),Ft!F$3*((1-Ft!F$7)/(1+Ft!F$39*($A427-Ft!F$2)^2)+Ft!F$7*EXP(Ft!F$40*($A427-Ft!F$2)^2)))</f>
        <v>1.06118922914662E-2</v>
      </c>
      <c r="K427" s="3">
        <f>IF(($A427-Ft!G$2)&lt;0,Ft!G$3*((1-Ft!G$6)/(1+Ft!G$37*($A427-Ft!G$2)^2)+Ft!G$6*EXP(Ft!G$38*($A427-Ft!G$2)^2)),Ft!G$3*((1-Ft!G$7)/(1+Ft!G$39*($A427-Ft!G$2)^2)+Ft!G$7*EXP(Ft!G$40*($A427-Ft!G$2)^2)))</f>
        <v>1.0805284073602463E-15</v>
      </c>
      <c r="L427" s="3">
        <f>IF(($A427-Ft!H$2)&lt;0,Ft!H$3*((1-Ft!H$6)/(1+Ft!H$37*($A427-Ft!H$2)^2)+Ft!H$6*EXP(Ft!H$38*($A427-Ft!H$2)^2)),Ft!H$3*((1-Ft!H$7)/(1+Ft!H$39*($A427-Ft!H$2)^2)+Ft!H$7*EXP(Ft!H$40*($A427-Ft!H$2)^2)))</f>
        <v>0</v>
      </c>
      <c r="M427" s="3">
        <f>IF(($A427-Ft!I$2)&lt;0,Ft!I$3*((1-Ft!I$6)/(1+Ft!I$37*($A427-Ft!I$2)^2)+Ft!I$6*EXP(Ft!I$38*($A427-Ft!I$2)^2)),Ft!I$3*((1-Ft!I$7)/(1+Ft!I$39*($A427-Ft!I$2)^2)+Ft!I$7*EXP(Ft!I$40*($A427-Ft!I$2)^2)))</f>
        <v>0</v>
      </c>
      <c r="N427" s="3">
        <f>IF(($A427-Ft!J$2)&lt;0,Ft!J$3*((1-Ft!J$6)/(1+Ft!J$37*($A427-Ft!J$2)^2)+Ft!J$6*EXP(Ft!J$38*($A427-Ft!J$2)^2)),Ft!J$3*((1-Ft!J$7)/(1+Ft!J$39*($A427-Ft!J$2)^2)+Ft!J$7*EXP(Ft!J$40*($A427-Ft!J$2)^2)))</f>
        <v>0</v>
      </c>
      <c r="O427" s="3">
        <f>IF(($A427-Ft!K$2)&lt;0,Ft!K$3*((1-Ft!K$6)/(1+Ft!K$37*($A427-Ft!K$2)^2)+Ft!K$6*EXP(Ft!K$38*($A427-Ft!K$2)^2)),Ft!K$3*((1-Ft!K$7)/(1+Ft!K$39*($A427-Ft!K$2)^2)+Ft!K$7*EXP(Ft!K$40*($A427-Ft!K$2)^2)))</f>
        <v>0</v>
      </c>
      <c r="P427"/>
      <c r="Q427"/>
    </row>
    <row r="428" spans="1:17">
      <c r="A428">
        <v>852</v>
      </c>
      <c r="B428">
        <v>16.194705744088992</v>
      </c>
      <c r="C428" s="6">
        <f t="shared" si="13"/>
        <v>16.303474214188817</v>
      </c>
      <c r="D428" s="19">
        <f t="shared" si="14"/>
        <v>1.1830580087856583E-2</v>
      </c>
      <c r="E428" s="3">
        <f>Ft!$B$12+Ft!$B$14*(Data!A428-Vars!$B$3)</f>
        <v>0</v>
      </c>
      <c r="F428" s="3">
        <f>IF(($A428-Ft!B$2)&lt;0,Ft!B$3*((1-Ft!B$6)/(1+Ft!B$37*($A428-Ft!B$2)^2)+Ft!B$6*EXP(Ft!B$38*($A428-Ft!B$2)^2)),Ft!B$3*((1-Ft!B$7)/(1+Ft!B$39*($A428-Ft!B$2)^2)+Ft!B$7*EXP(Ft!B$40*($A428-Ft!B$2)^2)))</f>
        <v>0</v>
      </c>
      <c r="G428" s="3">
        <f>IF(($A428-Ft!C$2)&lt;0,Ft!C$3*((1-Ft!C$6)/(1+Ft!C$37*($A428-Ft!C$2)^2)+Ft!C$6*EXP(Ft!C$38*($A428-Ft!C$2)^2)),Ft!C$3*((1-Ft!C$7)/(1+Ft!C$39*($A428-Ft!C$2)^2)+Ft!C$7*EXP(Ft!C$40*($A428-Ft!C$2)^2)))</f>
        <v>1.0372828592804765E-17</v>
      </c>
      <c r="H428" s="3">
        <f>IF(($A428-Ft!D$2)&lt;0,Ft!D$3*((1-Ft!D$6)/(1+Ft!D$37*($A428-Ft!D$2)^2)+Ft!D$6*EXP(Ft!D$38*($A428-Ft!D$2)^2)),Ft!D$3*((1-Ft!D$7)/(1+Ft!D$39*($A428-Ft!D$2)^2)+Ft!D$7*EXP(Ft!D$40*($A428-Ft!D$2)^2)))</f>
        <v>1.0929291476908298</v>
      </c>
      <c r="I428" s="3">
        <f>IF(($A428-Ft!E$2)&lt;0,Ft!E$3*((1-Ft!E$6)/(1+Ft!E$37*($A428-Ft!E$2)^2)+Ft!E$6*EXP(Ft!E$38*($A428-Ft!E$2)^2)),Ft!E$3*((1-Ft!E$7)/(1+Ft!E$39*($A428-Ft!E$2)^2)+Ft!E$7*EXP(Ft!E$40*($A428-Ft!E$2)^2)))</f>
        <v>15.19807625959645</v>
      </c>
      <c r="J428" s="3">
        <f>IF(($A428-Ft!F$2)&lt;0,Ft!F$3*((1-Ft!F$6)/(1+Ft!F$37*($A428-Ft!F$2)^2)+Ft!F$6*EXP(Ft!F$38*($A428-Ft!F$2)^2)),Ft!F$3*((1-Ft!F$7)/(1+Ft!F$39*($A428-Ft!F$2)^2)+Ft!F$7*EXP(Ft!F$40*($A428-Ft!F$2)^2)))</f>
        <v>1.2468806901535462E-2</v>
      </c>
      <c r="K428" s="3">
        <f>IF(($A428-Ft!G$2)&lt;0,Ft!G$3*((1-Ft!G$6)/(1+Ft!G$37*($A428-Ft!G$2)^2)+Ft!G$6*EXP(Ft!G$38*($A428-Ft!G$2)^2)),Ft!G$3*((1-Ft!G$7)/(1+Ft!G$39*($A428-Ft!G$2)^2)+Ft!G$7*EXP(Ft!G$40*($A428-Ft!G$2)^2)))</f>
        <v>2.2627810625191053E-15</v>
      </c>
      <c r="L428" s="3">
        <f>IF(($A428-Ft!H$2)&lt;0,Ft!H$3*((1-Ft!H$6)/(1+Ft!H$37*($A428-Ft!H$2)^2)+Ft!H$6*EXP(Ft!H$38*($A428-Ft!H$2)^2)),Ft!H$3*((1-Ft!H$7)/(1+Ft!H$39*($A428-Ft!H$2)^2)+Ft!H$7*EXP(Ft!H$40*($A428-Ft!H$2)^2)))</f>
        <v>0</v>
      </c>
      <c r="M428" s="3">
        <f>IF(($A428-Ft!I$2)&lt;0,Ft!I$3*((1-Ft!I$6)/(1+Ft!I$37*($A428-Ft!I$2)^2)+Ft!I$6*EXP(Ft!I$38*($A428-Ft!I$2)^2)),Ft!I$3*((1-Ft!I$7)/(1+Ft!I$39*($A428-Ft!I$2)^2)+Ft!I$7*EXP(Ft!I$40*($A428-Ft!I$2)^2)))</f>
        <v>0</v>
      </c>
      <c r="N428" s="3">
        <f>IF(($A428-Ft!J$2)&lt;0,Ft!J$3*((1-Ft!J$6)/(1+Ft!J$37*($A428-Ft!J$2)^2)+Ft!J$6*EXP(Ft!J$38*($A428-Ft!J$2)^2)),Ft!J$3*((1-Ft!J$7)/(1+Ft!J$39*($A428-Ft!J$2)^2)+Ft!J$7*EXP(Ft!J$40*($A428-Ft!J$2)^2)))</f>
        <v>0</v>
      </c>
      <c r="O428" s="3">
        <f>IF(($A428-Ft!K$2)&lt;0,Ft!K$3*((1-Ft!K$6)/(1+Ft!K$37*($A428-Ft!K$2)^2)+Ft!K$6*EXP(Ft!K$38*($A428-Ft!K$2)^2)),Ft!K$3*((1-Ft!K$7)/(1+Ft!K$39*($A428-Ft!K$2)^2)+Ft!K$7*EXP(Ft!K$40*($A428-Ft!K$2)^2)))</f>
        <v>0</v>
      </c>
      <c r="P428"/>
      <c r="Q428"/>
    </row>
    <row r="429" spans="1:17">
      <c r="A429">
        <v>854</v>
      </c>
      <c r="B429">
        <v>16.148468207466991</v>
      </c>
      <c r="C429" s="6">
        <f t="shared" si="13"/>
        <v>16.228114119245912</v>
      </c>
      <c r="D429" s="19">
        <f t="shared" si="14"/>
        <v>6.343471263095808E-3</v>
      </c>
      <c r="E429" s="3">
        <f>Ft!$B$12+Ft!$B$14*(Data!A429-Vars!$B$3)</f>
        <v>0</v>
      </c>
      <c r="F429" s="3">
        <f>IF(($A429-Ft!B$2)&lt;0,Ft!B$3*((1-Ft!B$6)/(1+Ft!B$37*($A429-Ft!B$2)^2)+Ft!B$6*EXP(Ft!B$38*($A429-Ft!B$2)^2)),Ft!B$3*((1-Ft!B$7)/(1+Ft!B$39*($A429-Ft!B$2)^2)+Ft!B$7*EXP(Ft!B$40*($A429-Ft!B$2)^2)))</f>
        <v>0</v>
      </c>
      <c r="G429" s="3">
        <f>IF(($A429-Ft!C$2)&lt;0,Ft!C$3*((1-Ft!C$6)/(1+Ft!C$37*($A429-Ft!C$2)^2)+Ft!C$6*EXP(Ft!C$38*($A429-Ft!C$2)^2)),Ft!C$3*((1-Ft!C$7)/(1+Ft!C$39*($A429-Ft!C$2)^2)+Ft!C$7*EXP(Ft!C$40*($A429-Ft!C$2)^2)))</f>
        <v>8.2251978242463133E-18</v>
      </c>
      <c r="H429" s="3">
        <f>IF(($A429-Ft!D$2)&lt;0,Ft!D$3*((1-Ft!D$6)/(1+Ft!D$37*($A429-Ft!D$2)^2)+Ft!D$6*EXP(Ft!D$38*($A429-Ft!D$2)^2)),Ft!D$3*((1-Ft!D$7)/(1+Ft!D$39*($A429-Ft!D$2)^2)+Ft!D$7*EXP(Ft!D$40*($A429-Ft!D$2)^2)))</f>
        <v>1.062064867724029</v>
      </c>
      <c r="I429" s="3">
        <f>IF(($A429-Ft!E$2)&lt;0,Ft!E$3*((1-Ft!E$6)/(1+Ft!E$37*($A429-Ft!E$2)^2)+Ft!E$6*EXP(Ft!E$38*($A429-Ft!E$2)^2)),Ft!E$3*((1-Ft!E$7)/(1+Ft!E$39*($A429-Ft!E$2)^2)+Ft!E$7*EXP(Ft!E$40*($A429-Ft!E$2)^2)))</f>
        <v>15.151430097577775</v>
      </c>
      <c r="J429" s="3">
        <f>IF(($A429-Ft!F$2)&lt;0,Ft!F$3*((1-Ft!F$6)/(1+Ft!F$37*($A429-Ft!F$2)^2)+Ft!F$6*EXP(Ft!F$38*($A429-Ft!F$2)^2)),Ft!F$3*((1-Ft!F$7)/(1+Ft!F$39*($A429-Ft!F$2)^2)+Ft!F$7*EXP(Ft!F$40*($A429-Ft!F$2)^2)))</f>
        <v>1.4619153944104466E-2</v>
      </c>
      <c r="K429" s="3">
        <f>IF(($A429-Ft!G$2)&lt;0,Ft!G$3*((1-Ft!G$6)/(1+Ft!G$37*($A429-Ft!G$2)^2)+Ft!G$6*EXP(Ft!G$38*($A429-Ft!G$2)^2)),Ft!G$3*((1-Ft!G$7)/(1+Ft!G$39*($A429-Ft!G$2)^2)+Ft!G$7*EXP(Ft!G$40*($A429-Ft!G$2)^2)))</f>
        <v>4.702684182934461E-15</v>
      </c>
      <c r="L429" s="3">
        <f>IF(($A429-Ft!H$2)&lt;0,Ft!H$3*((1-Ft!H$6)/(1+Ft!H$37*($A429-Ft!H$2)^2)+Ft!H$6*EXP(Ft!H$38*($A429-Ft!H$2)^2)),Ft!H$3*((1-Ft!H$7)/(1+Ft!H$39*($A429-Ft!H$2)^2)+Ft!H$7*EXP(Ft!H$40*($A429-Ft!H$2)^2)))</f>
        <v>0</v>
      </c>
      <c r="M429" s="3">
        <f>IF(($A429-Ft!I$2)&lt;0,Ft!I$3*((1-Ft!I$6)/(1+Ft!I$37*($A429-Ft!I$2)^2)+Ft!I$6*EXP(Ft!I$38*($A429-Ft!I$2)^2)),Ft!I$3*((1-Ft!I$7)/(1+Ft!I$39*($A429-Ft!I$2)^2)+Ft!I$7*EXP(Ft!I$40*($A429-Ft!I$2)^2)))</f>
        <v>0</v>
      </c>
      <c r="N429" s="3">
        <f>IF(($A429-Ft!J$2)&lt;0,Ft!J$3*((1-Ft!J$6)/(1+Ft!J$37*($A429-Ft!J$2)^2)+Ft!J$6*EXP(Ft!J$38*($A429-Ft!J$2)^2)),Ft!J$3*((1-Ft!J$7)/(1+Ft!J$39*($A429-Ft!J$2)^2)+Ft!J$7*EXP(Ft!J$40*($A429-Ft!J$2)^2)))</f>
        <v>0</v>
      </c>
      <c r="O429" s="3">
        <f>IF(($A429-Ft!K$2)&lt;0,Ft!K$3*((1-Ft!K$6)/(1+Ft!K$37*($A429-Ft!K$2)^2)+Ft!K$6*EXP(Ft!K$38*($A429-Ft!K$2)^2)),Ft!K$3*((1-Ft!K$7)/(1+Ft!K$39*($A429-Ft!K$2)^2)+Ft!K$7*EXP(Ft!K$40*($A429-Ft!K$2)^2)))</f>
        <v>0</v>
      </c>
      <c r="P429"/>
      <c r="Q429"/>
    </row>
    <row r="430" spans="1:17">
      <c r="A430">
        <v>856</v>
      </c>
      <c r="B430">
        <v>16.100255331168</v>
      </c>
      <c r="C430" s="6">
        <f t="shared" si="13"/>
        <v>16.150913235698543</v>
      </c>
      <c r="D430" s="19">
        <f t="shared" si="14"/>
        <v>2.5662232914255277E-3</v>
      </c>
      <c r="E430" s="3">
        <f>Ft!$B$12+Ft!$B$14*(Data!A430-Vars!$B$3)</f>
        <v>0</v>
      </c>
      <c r="F430" s="3">
        <f>IF(($A430-Ft!B$2)&lt;0,Ft!B$3*((1-Ft!B$6)/(1+Ft!B$37*($A430-Ft!B$2)^2)+Ft!B$6*EXP(Ft!B$38*($A430-Ft!B$2)^2)),Ft!B$3*((1-Ft!B$7)/(1+Ft!B$39*($A430-Ft!B$2)^2)+Ft!B$7*EXP(Ft!B$40*($A430-Ft!B$2)^2)))</f>
        <v>0</v>
      </c>
      <c r="G430" s="3">
        <f>IF(($A430-Ft!C$2)&lt;0,Ft!C$3*((1-Ft!C$6)/(1+Ft!C$37*($A430-Ft!C$2)^2)+Ft!C$6*EXP(Ft!C$38*($A430-Ft!C$2)^2)),Ft!C$3*((1-Ft!C$7)/(1+Ft!C$39*($A430-Ft!C$2)^2)+Ft!C$7*EXP(Ft!C$40*($A430-Ft!C$2)^2)))</f>
        <v>6.5179861718876138E-18</v>
      </c>
      <c r="H430" s="3">
        <f>IF(($A430-Ft!D$2)&lt;0,Ft!D$3*((1-Ft!D$6)/(1+Ft!D$37*($A430-Ft!D$2)^2)+Ft!D$6*EXP(Ft!D$38*($A430-Ft!D$2)^2)),Ft!D$3*((1-Ft!D$7)/(1+Ft!D$39*($A430-Ft!D$2)^2)+Ft!D$7*EXP(Ft!D$40*($A430-Ft!D$2)^2)))</f>
        <v>1.0319238314116175</v>
      </c>
      <c r="I430" s="3">
        <f>IF(($A430-Ft!E$2)&lt;0,Ft!E$3*((1-Ft!E$6)/(1+Ft!E$37*($A430-Ft!E$2)^2)+Ft!E$6*EXP(Ft!E$38*($A430-Ft!E$2)^2)),Ft!E$3*((1-Ft!E$7)/(1+Ft!E$39*($A430-Ft!E$2)^2)+Ft!E$7*EXP(Ft!E$40*($A430-Ft!E$2)^2)))</f>
        <v>15.101885909735566</v>
      </c>
      <c r="J430" s="3">
        <f>IF(($A430-Ft!F$2)&lt;0,Ft!F$3*((1-Ft!F$6)/(1+Ft!F$37*($A430-Ft!F$2)^2)+Ft!F$6*EXP(Ft!F$38*($A430-Ft!F$2)^2)),Ft!F$3*((1-Ft!F$7)/(1+Ft!F$39*($A430-Ft!F$2)^2)+Ft!F$7*EXP(Ft!F$40*($A430-Ft!F$2)^2)))</f>
        <v>1.7103494551349421E-2</v>
      </c>
      <c r="K430" s="3">
        <f>IF(($A430-Ft!G$2)&lt;0,Ft!G$3*((1-Ft!G$6)/(1+Ft!G$37*($A430-Ft!G$2)^2)+Ft!G$6*EXP(Ft!G$38*($A430-Ft!G$2)^2)),Ft!G$3*((1-Ft!G$7)/(1+Ft!G$39*($A430-Ft!G$2)^2)+Ft!G$7*EXP(Ft!G$40*($A430-Ft!G$2)^2)))</f>
        <v>9.699425788534279E-15</v>
      </c>
      <c r="L430" s="3">
        <f>IF(($A430-Ft!H$2)&lt;0,Ft!H$3*((1-Ft!H$6)/(1+Ft!H$37*($A430-Ft!H$2)^2)+Ft!H$6*EXP(Ft!H$38*($A430-Ft!H$2)^2)),Ft!H$3*((1-Ft!H$7)/(1+Ft!H$39*($A430-Ft!H$2)^2)+Ft!H$7*EXP(Ft!H$40*($A430-Ft!H$2)^2)))</f>
        <v>0</v>
      </c>
      <c r="M430" s="3">
        <f>IF(($A430-Ft!I$2)&lt;0,Ft!I$3*((1-Ft!I$6)/(1+Ft!I$37*($A430-Ft!I$2)^2)+Ft!I$6*EXP(Ft!I$38*($A430-Ft!I$2)^2)),Ft!I$3*((1-Ft!I$7)/(1+Ft!I$39*($A430-Ft!I$2)^2)+Ft!I$7*EXP(Ft!I$40*($A430-Ft!I$2)^2)))</f>
        <v>0</v>
      </c>
      <c r="N430" s="3">
        <f>IF(($A430-Ft!J$2)&lt;0,Ft!J$3*((1-Ft!J$6)/(1+Ft!J$37*($A430-Ft!J$2)^2)+Ft!J$6*EXP(Ft!J$38*($A430-Ft!J$2)^2)),Ft!J$3*((1-Ft!J$7)/(1+Ft!J$39*($A430-Ft!J$2)^2)+Ft!J$7*EXP(Ft!J$40*($A430-Ft!J$2)^2)))</f>
        <v>0</v>
      </c>
      <c r="O430" s="3">
        <f>IF(($A430-Ft!K$2)&lt;0,Ft!K$3*((1-Ft!K$6)/(1+Ft!K$37*($A430-Ft!K$2)^2)+Ft!K$6*EXP(Ft!K$38*($A430-Ft!K$2)^2)),Ft!K$3*((1-Ft!K$7)/(1+Ft!K$39*($A430-Ft!K$2)^2)+Ft!K$7*EXP(Ft!K$40*($A430-Ft!K$2)^2)))</f>
        <v>0</v>
      </c>
      <c r="P430"/>
      <c r="Q430"/>
    </row>
    <row r="431" spans="1:17">
      <c r="A431">
        <v>858</v>
      </c>
      <c r="B431">
        <v>16.049028124622993</v>
      </c>
      <c r="C431" s="6">
        <f t="shared" si="13"/>
        <v>16.071934142608608</v>
      </c>
      <c r="D431" s="19">
        <f t="shared" si="14"/>
        <v>5.2468565995734235E-4</v>
      </c>
      <c r="E431" s="3">
        <f>Ft!$B$12+Ft!$B$14*(Data!A431-Vars!$B$3)</f>
        <v>0</v>
      </c>
      <c r="F431" s="3">
        <f>IF(($A431-Ft!B$2)&lt;0,Ft!B$3*((1-Ft!B$6)/(1+Ft!B$37*($A431-Ft!B$2)^2)+Ft!B$6*EXP(Ft!B$38*($A431-Ft!B$2)^2)),Ft!B$3*((1-Ft!B$7)/(1+Ft!B$39*($A431-Ft!B$2)^2)+Ft!B$7*EXP(Ft!B$40*($A431-Ft!B$2)^2)))</f>
        <v>0</v>
      </c>
      <c r="G431" s="3">
        <f>IF(($A431-Ft!C$2)&lt;0,Ft!C$3*((1-Ft!C$6)/(1+Ft!C$37*($A431-Ft!C$2)^2)+Ft!C$6*EXP(Ft!C$38*($A431-Ft!C$2)^2)),Ft!C$3*((1-Ft!C$7)/(1+Ft!C$39*($A431-Ft!C$2)^2)+Ft!C$7*EXP(Ft!C$40*($A431-Ft!C$2)^2)))</f>
        <v>5.1617676299933674E-18</v>
      </c>
      <c r="H431" s="3">
        <f>IF(($A431-Ft!D$2)&lt;0,Ft!D$3*((1-Ft!D$6)/(1+Ft!D$37*($A431-Ft!D$2)^2)+Ft!D$6*EXP(Ft!D$38*($A431-Ft!D$2)^2)),Ft!D$3*((1-Ft!D$7)/(1+Ft!D$39*($A431-Ft!D$2)^2)+Ft!D$7*EXP(Ft!D$40*($A431-Ft!D$2)^2)))</f>
        <v>1.0024940560548252</v>
      </c>
      <c r="I431" s="3">
        <f>IF(($A431-Ft!E$2)&lt;0,Ft!E$3*((1-Ft!E$6)/(1+Ft!E$37*($A431-Ft!E$2)^2)+Ft!E$6*EXP(Ft!E$38*($A431-Ft!E$2)^2)),Ft!E$3*((1-Ft!E$7)/(1+Ft!E$39*($A431-Ft!E$2)^2)+Ft!E$7*EXP(Ft!E$40*($A431-Ft!E$2)^2)))</f>
        <v>15.049473090043588</v>
      </c>
      <c r="J431" s="3">
        <f>IF(($A431-Ft!F$2)&lt;0,Ft!F$3*((1-Ft!F$6)/(1+Ft!F$37*($A431-Ft!F$2)^2)+Ft!F$6*EXP(Ft!F$38*($A431-Ft!F$2)^2)),Ft!F$3*((1-Ft!F$7)/(1+Ft!F$39*($A431-Ft!F$2)^2)+Ft!F$7*EXP(Ft!F$40*($A431-Ft!F$2)^2)))</f>
        <v>1.9966996510174397E-2</v>
      </c>
      <c r="K431" s="3">
        <f>IF(($A431-Ft!G$2)&lt;0,Ft!G$3*((1-Ft!G$6)/(1+Ft!G$37*($A431-Ft!G$2)^2)+Ft!G$6*EXP(Ft!G$38*($A431-Ft!G$2)^2)),Ft!G$3*((1-Ft!G$7)/(1+Ft!G$39*($A431-Ft!G$2)^2)+Ft!G$7*EXP(Ft!G$40*($A431-Ft!G$2)^2)))</f>
        <v>1.9853778271376797E-14</v>
      </c>
      <c r="L431" s="3">
        <f>IF(($A431-Ft!H$2)&lt;0,Ft!H$3*((1-Ft!H$6)/(1+Ft!H$37*($A431-Ft!H$2)^2)+Ft!H$6*EXP(Ft!H$38*($A431-Ft!H$2)^2)),Ft!H$3*((1-Ft!H$7)/(1+Ft!H$39*($A431-Ft!H$2)^2)+Ft!H$7*EXP(Ft!H$40*($A431-Ft!H$2)^2)))</f>
        <v>0</v>
      </c>
      <c r="M431" s="3">
        <f>IF(($A431-Ft!I$2)&lt;0,Ft!I$3*((1-Ft!I$6)/(1+Ft!I$37*($A431-Ft!I$2)^2)+Ft!I$6*EXP(Ft!I$38*($A431-Ft!I$2)^2)),Ft!I$3*((1-Ft!I$7)/(1+Ft!I$39*($A431-Ft!I$2)^2)+Ft!I$7*EXP(Ft!I$40*($A431-Ft!I$2)^2)))</f>
        <v>0</v>
      </c>
      <c r="N431" s="3">
        <f>IF(($A431-Ft!J$2)&lt;0,Ft!J$3*((1-Ft!J$6)/(1+Ft!J$37*($A431-Ft!J$2)^2)+Ft!J$6*EXP(Ft!J$38*($A431-Ft!J$2)^2)),Ft!J$3*((1-Ft!J$7)/(1+Ft!J$39*($A431-Ft!J$2)^2)+Ft!J$7*EXP(Ft!J$40*($A431-Ft!J$2)^2)))</f>
        <v>0</v>
      </c>
      <c r="O431" s="3">
        <f>IF(($A431-Ft!K$2)&lt;0,Ft!K$3*((1-Ft!K$6)/(1+Ft!K$37*($A431-Ft!K$2)^2)+Ft!K$6*EXP(Ft!K$38*($A431-Ft!K$2)^2)),Ft!K$3*((1-Ft!K$7)/(1+Ft!K$39*($A431-Ft!K$2)^2)+Ft!K$7*EXP(Ft!K$40*($A431-Ft!K$2)^2)))</f>
        <v>0</v>
      </c>
      <c r="P431"/>
      <c r="Q431"/>
    </row>
    <row r="432" spans="1:17">
      <c r="A432">
        <v>860</v>
      </c>
      <c r="B432">
        <v>15.99374759726399</v>
      </c>
      <c r="C432" s="6">
        <f t="shared" si="13"/>
        <v>15.991246056821867</v>
      </c>
      <c r="D432" s="19">
        <f t="shared" si="14"/>
        <v>6.2577045835798572E-6</v>
      </c>
      <c r="E432" s="3">
        <f>Ft!$B$12+Ft!$B$14*(Data!A432-Vars!$B$3)</f>
        <v>0</v>
      </c>
      <c r="F432" s="3">
        <f>IF(($A432-Ft!B$2)&lt;0,Ft!B$3*((1-Ft!B$6)/(1+Ft!B$37*($A432-Ft!B$2)^2)+Ft!B$6*EXP(Ft!B$38*($A432-Ft!B$2)^2)),Ft!B$3*((1-Ft!B$7)/(1+Ft!B$39*($A432-Ft!B$2)^2)+Ft!B$7*EXP(Ft!B$40*($A432-Ft!B$2)^2)))</f>
        <v>0</v>
      </c>
      <c r="G432" s="3">
        <f>IF(($A432-Ft!C$2)&lt;0,Ft!C$3*((1-Ft!C$6)/(1+Ft!C$37*($A432-Ft!C$2)^2)+Ft!C$6*EXP(Ft!C$38*($A432-Ft!C$2)^2)),Ft!C$3*((1-Ft!C$7)/(1+Ft!C$39*($A432-Ft!C$2)^2)+Ft!C$7*EXP(Ft!C$40*($A432-Ft!C$2)^2)))</f>
        <v>4.0850878175117241E-18</v>
      </c>
      <c r="H432" s="3">
        <f>IF(($A432-Ft!D$2)&lt;0,Ft!D$3*((1-Ft!D$6)/(1+Ft!D$37*($A432-Ft!D$2)^2)+Ft!D$6*EXP(Ft!D$38*($A432-Ft!D$2)^2)),Ft!D$3*((1-Ft!D$7)/(1+Ft!D$39*($A432-Ft!D$2)^2)+Ft!D$7*EXP(Ft!D$40*($A432-Ft!D$2)^2)))</f>
        <v>0.97376359749654251</v>
      </c>
      <c r="I432" s="3">
        <f>IF(($A432-Ft!E$2)&lt;0,Ft!E$3*((1-Ft!E$6)/(1+Ft!E$37*($A432-Ft!E$2)^2)+Ft!E$6*EXP(Ft!E$38*($A432-Ft!E$2)^2)),Ft!E$3*((1-Ft!E$7)/(1+Ft!E$39*($A432-Ft!E$2)^2)+Ft!E$7*EXP(Ft!E$40*($A432-Ft!E$2)^2)))</f>
        <v>14.994222663156483</v>
      </c>
      <c r="J432" s="3">
        <f>IF(($A432-Ft!F$2)&lt;0,Ft!F$3*((1-Ft!F$6)/(1+Ft!F$37*($A432-Ft!F$2)^2)+Ft!F$6*EXP(Ft!F$38*($A432-Ft!F$2)^2)),Ft!F$3*((1-Ft!F$7)/(1+Ft!F$39*($A432-Ft!F$2)^2)+Ft!F$7*EXP(Ft!F$40*($A432-Ft!F$2)^2)))</f>
        <v>2.3259796168800546E-2</v>
      </c>
      <c r="K432" s="3">
        <f>IF(($A432-Ft!G$2)&lt;0,Ft!G$3*((1-Ft!G$6)/(1+Ft!G$37*($A432-Ft!G$2)^2)+Ft!G$6*EXP(Ft!G$38*($A432-Ft!G$2)^2)),Ft!G$3*((1-Ft!G$7)/(1+Ft!G$39*($A432-Ft!G$2)^2)+Ft!G$7*EXP(Ft!G$40*($A432-Ft!G$2)^2)))</f>
        <v>4.0330837659289509E-14</v>
      </c>
      <c r="L432" s="3">
        <f>IF(($A432-Ft!H$2)&lt;0,Ft!H$3*((1-Ft!H$6)/(1+Ft!H$37*($A432-Ft!H$2)^2)+Ft!H$6*EXP(Ft!H$38*($A432-Ft!H$2)^2)),Ft!H$3*((1-Ft!H$7)/(1+Ft!H$39*($A432-Ft!H$2)^2)+Ft!H$7*EXP(Ft!H$40*($A432-Ft!H$2)^2)))</f>
        <v>0</v>
      </c>
      <c r="M432" s="3">
        <f>IF(($A432-Ft!I$2)&lt;0,Ft!I$3*((1-Ft!I$6)/(1+Ft!I$37*($A432-Ft!I$2)^2)+Ft!I$6*EXP(Ft!I$38*($A432-Ft!I$2)^2)),Ft!I$3*((1-Ft!I$7)/(1+Ft!I$39*($A432-Ft!I$2)^2)+Ft!I$7*EXP(Ft!I$40*($A432-Ft!I$2)^2)))</f>
        <v>0</v>
      </c>
      <c r="N432" s="3">
        <f>IF(($A432-Ft!J$2)&lt;0,Ft!J$3*((1-Ft!J$6)/(1+Ft!J$37*($A432-Ft!J$2)^2)+Ft!J$6*EXP(Ft!J$38*($A432-Ft!J$2)^2)),Ft!J$3*((1-Ft!J$7)/(1+Ft!J$39*($A432-Ft!J$2)^2)+Ft!J$7*EXP(Ft!J$40*($A432-Ft!J$2)^2)))</f>
        <v>0</v>
      </c>
      <c r="O432" s="3">
        <f>IF(($A432-Ft!K$2)&lt;0,Ft!K$3*((1-Ft!K$6)/(1+Ft!K$37*($A432-Ft!K$2)^2)+Ft!K$6*EXP(Ft!K$38*($A432-Ft!K$2)^2)),Ft!K$3*((1-Ft!K$7)/(1+Ft!K$39*($A432-Ft!K$2)^2)+Ft!K$7*EXP(Ft!K$40*($A432-Ft!K$2)^2)))</f>
        <v>0</v>
      </c>
      <c r="P432"/>
      <c r="Q432"/>
    </row>
    <row r="433" spans="1:17">
      <c r="A433">
        <v>862</v>
      </c>
      <c r="B433">
        <v>15.936492307164002</v>
      </c>
      <c r="C433" s="6">
        <f t="shared" si="13"/>
        <v>15.90892517318836</v>
      </c>
      <c r="D433" s="19">
        <f t="shared" si="14"/>
        <v>7.5994687563102185E-4</v>
      </c>
      <c r="E433" s="3">
        <f>Ft!$B$12+Ft!$B$14*(Data!A433-Vars!$B$3)</f>
        <v>0</v>
      </c>
      <c r="F433" s="3">
        <f>IF(($A433-Ft!B$2)&lt;0,Ft!B$3*((1-Ft!B$6)/(1+Ft!B$37*($A433-Ft!B$2)^2)+Ft!B$6*EXP(Ft!B$38*($A433-Ft!B$2)^2)),Ft!B$3*((1-Ft!B$7)/(1+Ft!B$39*($A433-Ft!B$2)^2)+Ft!B$7*EXP(Ft!B$40*($A433-Ft!B$2)^2)))</f>
        <v>0</v>
      </c>
      <c r="G433" s="3">
        <f>IF(($A433-Ft!C$2)&lt;0,Ft!C$3*((1-Ft!C$6)/(1+Ft!C$37*($A433-Ft!C$2)^2)+Ft!C$6*EXP(Ft!C$38*($A433-Ft!C$2)^2)),Ft!C$3*((1-Ft!C$7)/(1+Ft!C$39*($A433-Ft!C$2)^2)+Ft!C$7*EXP(Ft!C$40*($A433-Ft!C$2)^2)))</f>
        <v>3.2308907765958381E-18</v>
      </c>
      <c r="H433" s="3">
        <f>IF(($A433-Ft!D$2)&lt;0,Ft!D$3*((1-Ft!D$6)/(1+Ft!D$37*($A433-Ft!D$2)^2)+Ft!D$6*EXP(Ft!D$38*($A433-Ft!D$2)^2)),Ft!D$3*((1-Ft!D$7)/(1+Ft!D$39*($A433-Ft!D$2)^2)+Ft!D$7*EXP(Ft!D$40*($A433-Ft!D$2)^2)))</f>
        <v>0.94572055579153635</v>
      </c>
      <c r="I433" s="3">
        <f>IF(($A433-Ft!E$2)&lt;0,Ft!E$3*((1-Ft!E$6)/(1+Ft!E$37*($A433-Ft!E$2)^2)+Ft!E$6*EXP(Ft!E$38*($A433-Ft!E$2)^2)),Ft!E$3*((1-Ft!E$7)/(1+Ft!E$39*($A433-Ft!E$2)^2)+Ft!E$7*EXP(Ft!E$40*($A433-Ft!E$2)^2)))</f>
        <v>14.936167253809577</v>
      </c>
      <c r="J433" s="3">
        <f>IF(($A433-Ft!F$2)&lt;0,Ft!F$3*((1-Ft!F$6)/(1+Ft!F$37*($A433-Ft!F$2)^2)+Ft!F$6*EXP(Ft!F$38*($A433-Ft!F$2)^2)),Ft!F$3*((1-Ft!F$7)/(1+Ft!F$39*($A433-Ft!F$2)^2)+Ft!F$7*EXP(Ft!F$40*($A433-Ft!F$2)^2)))</f>
        <v>2.7037363587163389E-2</v>
      </c>
      <c r="K433" s="3">
        <f>IF(($A433-Ft!G$2)&lt;0,Ft!G$3*((1-Ft!G$6)/(1+Ft!G$37*($A433-Ft!G$2)^2)+Ft!G$6*EXP(Ft!G$38*($A433-Ft!G$2)^2)),Ft!G$3*((1-Ft!G$7)/(1+Ft!G$39*($A433-Ft!G$2)^2)+Ft!G$7*EXP(Ft!G$40*($A433-Ft!G$2)^2)))</f>
        <v>8.1307058454998747E-14</v>
      </c>
      <c r="L433" s="3">
        <f>IF(($A433-Ft!H$2)&lt;0,Ft!H$3*((1-Ft!H$6)/(1+Ft!H$37*($A433-Ft!H$2)^2)+Ft!H$6*EXP(Ft!H$38*($A433-Ft!H$2)^2)),Ft!H$3*((1-Ft!H$7)/(1+Ft!H$39*($A433-Ft!H$2)^2)+Ft!H$7*EXP(Ft!H$40*($A433-Ft!H$2)^2)))</f>
        <v>0</v>
      </c>
      <c r="M433" s="3">
        <f>IF(($A433-Ft!I$2)&lt;0,Ft!I$3*((1-Ft!I$6)/(1+Ft!I$37*($A433-Ft!I$2)^2)+Ft!I$6*EXP(Ft!I$38*($A433-Ft!I$2)^2)),Ft!I$3*((1-Ft!I$7)/(1+Ft!I$39*($A433-Ft!I$2)^2)+Ft!I$7*EXP(Ft!I$40*($A433-Ft!I$2)^2)))</f>
        <v>0</v>
      </c>
      <c r="N433" s="3">
        <f>IF(($A433-Ft!J$2)&lt;0,Ft!J$3*((1-Ft!J$6)/(1+Ft!J$37*($A433-Ft!J$2)^2)+Ft!J$6*EXP(Ft!J$38*($A433-Ft!J$2)^2)),Ft!J$3*((1-Ft!J$7)/(1+Ft!J$39*($A433-Ft!J$2)^2)+Ft!J$7*EXP(Ft!J$40*($A433-Ft!J$2)^2)))</f>
        <v>0</v>
      </c>
      <c r="O433" s="3">
        <f>IF(($A433-Ft!K$2)&lt;0,Ft!K$3*((1-Ft!K$6)/(1+Ft!K$37*($A433-Ft!K$2)^2)+Ft!K$6*EXP(Ft!K$38*($A433-Ft!K$2)^2)),Ft!K$3*((1-Ft!K$7)/(1+Ft!K$39*($A433-Ft!K$2)^2)+Ft!K$7*EXP(Ft!K$40*($A433-Ft!K$2)^2)))</f>
        <v>0</v>
      </c>
      <c r="P433"/>
      <c r="Q433"/>
    </row>
    <row r="434" spans="1:17">
      <c r="A434">
        <v>864</v>
      </c>
      <c r="B434">
        <v>15.879523861591991</v>
      </c>
      <c r="C434" s="6">
        <f t="shared" si="13"/>
        <v>15.825055001789439</v>
      </c>
      <c r="D434" s="19">
        <f t="shared" si="14"/>
        <v>2.966856688190138E-3</v>
      </c>
      <c r="E434" s="3">
        <f>Ft!$B$12+Ft!$B$14*(Data!A434-Vars!$B$3)</f>
        <v>0</v>
      </c>
      <c r="F434" s="3">
        <f>IF(($A434-Ft!B$2)&lt;0,Ft!B$3*((1-Ft!B$6)/(1+Ft!B$37*($A434-Ft!B$2)^2)+Ft!B$6*EXP(Ft!B$38*($A434-Ft!B$2)^2)),Ft!B$3*((1-Ft!B$7)/(1+Ft!B$39*($A434-Ft!B$2)^2)+Ft!B$7*EXP(Ft!B$40*($A434-Ft!B$2)^2)))</f>
        <v>0</v>
      </c>
      <c r="G434" s="3">
        <f>IF(($A434-Ft!C$2)&lt;0,Ft!C$3*((1-Ft!C$6)/(1+Ft!C$37*($A434-Ft!C$2)^2)+Ft!C$6*EXP(Ft!C$38*($A434-Ft!C$2)^2)),Ft!C$3*((1-Ft!C$7)/(1+Ft!C$39*($A434-Ft!C$2)^2)+Ft!C$7*EXP(Ft!C$40*($A434-Ft!C$2)^2)))</f>
        <v>2.5536483245989473E-18</v>
      </c>
      <c r="H434" s="3">
        <f>IF(($A434-Ft!D$2)&lt;0,Ft!D$3*((1-Ft!D$6)/(1+Ft!D$37*($A434-Ft!D$2)^2)+Ft!D$6*EXP(Ft!D$38*($A434-Ft!D$2)^2)),Ft!D$3*((1-Ft!D$7)/(1+Ft!D$39*($A434-Ft!D$2)^2)+Ft!D$7*EXP(Ft!D$40*($A434-Ft!D$2)^2)))</f>
        <v>0.91835308068324306</v>
      </c>
      <c r="I434" s="3">
        <f>IF(($A434-Ft!E$2)&lt;0,Ft!E$3*((1-Ft!E$6)/(1+Ft!E$37*($A434-Ft!E$2)^2)+Ft!E$6*EXP(Ft!E$38*($A434-Ft!E$2)^2)),Ft!E$3*((1-Ft!E$7)/(1+Ft!E$39*($A434-Ft!E$2)^2)+Ft!E$7*EXP(Ft!E$40*($A434-Ft!E$2)^2)))</f>
        <v>14.875341054720163</v>
      </c>
      <c r="J434" s="3">
        <f>IF(($A434-Ft!F$2)&lt;0,Ft!F$3*((1-Ft!F$6)/(1+Ft!F$37*($A434-Ft!F$2)^2)+Ft!F$6*EXP(Ft!F$38*($A434-Ft!F$2)^2)),Ft!F$3*((1-Ft!F$7)/(1+Ft!F$39*($A434-Ft!F$2)^2)+Ft!F$7*EXP(Ft!F$40*($A434-Ft!F$2)^2)))</f>
        <v>3.1360866385868998E-2</v>
      </c>
      <c r="K434" s="3">
        <f>IF(($A434-Ft!G$2)&lt;0,Ft!G$3*((1-Ft!G$6)/(1+Ft!G$37*($A434-Ft!G$2)^2)+Ft!G$6*EXP(Ft!G$38*($A434-Ft!G$2)^2)),Ft!G$3*((1-Ft!G$7)/(1+Ft!G$39*($A434-Ft!G$2)^2)+Ft!G$7*EXP(Ft!G$40*($A434-Ft!G$2)^2)))</f>
        <v>1.6267326692209222E-13</v>
      </c>
      <c r="L434" s="3">
        <f>IF(($A434-Ft!H$2)&lt;0,Ft!H$3*((1-Ft!H$6)/(1+Ft!H$37*($A434-Ft!H$2)^2)+Ft!H$6*EXP(Ft!H$38*($A434-Ft!H$2)^2)),Ft!H$3*((1-Ft!H$7)/(1+Ft!H$39*($A434-Ft!H$2)^2)+Ft!H$7*EXP(Ft!H$40*($A434-Ft!H$2)^2)))</f>
        <v>0</v>
      </c>
      <c r="M434" s="3">
        <f>IF(($A434-Ft!I$2)&lt;0,Ft!I$3*((1-Ft!I$6)/(1+Ft!I$37*($A434-Ft!I$2)^2)+Ft!I$6*EXP(Ft!I$38*($A434-Ft!I$2)^2)),Ft!I$3*((1-Ft!I$7)/(1+Ft!I$39*($A434-Ft!I$2)^2)+Ft!I$7*EXP(Ft!I$40*($A434-Ft!I$2)^2)))</f>
        <v>0</v>
      </c>
      <c r="N434" s="3">
        <f>IF(($A434-Ft!J$2)&lt;0,Ft!J$3*((1-Ft!J$6)/(1+Ft!J$37*($A434-Ft!J$2)^2)+Ft!J$6*EXP(Ft!J$38*($A434-Ft!J$2)^2)),Ft!J$3*((1-Ft!J$7)/(1+Ft!J$39*($A434-Ft!J$2)^2)+Ft!J$7*EXP(Ft!J$40*($A434-Ft!J$2)^2)))</f>
        <v>0</v>
      </c>
      <c r="O434" s="3">
        <f>IF(($A434-Ft!K$2)&lt;0,Ft!K$3*((1-Ft!K$6)/(1+Ft!K$37*($A434-Ft!K$2)^2)+Ft!K$6*EXP(Ft!K$38*($A434-Ft!K$2)^2)),Ft!K$3*((1-Ft!K$7)/(1+Ft!K$39*($A434-Ft!K$2)^2)+Ft!K$7*EXP(Ft!K$40*($A434-Ft!K$2)^2)))</f>
        <v>0</v>
      </c>
      <c r="P434"/>
      <c r="Q434"/>
    </row>
    <row r="435" spans="1:17">
      <c r="A435">
        <v>866</v>
      </c>
      <c r="B435">
        <v>15.822077843773002</v>
      </c>
      <c r="C435" s="6">
        <f t="shared" si="13"/>
        <v>15.739726696938224</v>
      </c>
      <c r="D435" s="19">
        <f t="shared" si="14"/>
        <v>6.7817113850031962E-3</v>
      </c>
      <c r="E435" s="3">
        <f>Ft!$B$12+Ft!$B$14*(Data!A435-Vars!$B$3)</f>
        <v>0</v>
      </c>
      <c r="F435" s="3">
        <f>IF(($A435-Ft!B$2)&lt;0,Ft!B$3*((1-Ft!B$6)/(1+Ft!B$37*($A435-Ft!B$2)^2)+Ft!B$6*EXP(Ft!B$38*($A435-Ft!B$2)^2)),Ft!B$3*((1-Ft!B$7)/(1+Ft!B$39*($A435-Ft!B$2)^2)+Ft!B$7*EXP(Ft!B$40*($A435-Ft!B$2)^2)))</f>
        <v>0</v>
      </c>
      <c r="G435" s="3">
        <f>IF(($A435-Ft!C$2)&lt;0,Ft!C$3*((1-Ft!C$6)/(1+Ft!C$37*($A435-Ft!C$2)^2)+Ft!C$6*EXP(Ft!C$38*($A435-Ft!C$2)^2)),Ft!C$3*((1-Ft!C$7)/(1+Ft!C$39*($A435-Ft!C$2)^2)+Ft!C$7*EXP(Ft!C$40*($A435-Ft!C$2)^2)))</f>
        <v>2.0170554257884361E-18</v>
      </c>
      <c r="H435" s="3">
        <f>IF(($A435-Ft!D$2)&lt;0,Ft!D$3*((1-Ft!D$6)/(1+Ft!D$37*($A435-Ft!D$2)^2)+Ft!D$6*EXP(Ft!D$38*($A435-Ft!D$2)^2)),Ft!D$3*((1-Ft!D$7)/(1+Ft!D$39*($A435-Ft!D$2)^2)+Ft!D$7*EXP(Ft!D$40*($A435-Ft!D$2)^2)))</f>
        <v>0.89164937688803747</v>
      </c>
      <c r="I435" s="3">
        <f>IF(($A435-Ft!E$2)&lt;0,Ft!E$3*((1-Ft!E$6)/(1+Ft!E$37*($A435-Ft!E$2)^2)+Ft!E$6*EXP(Ft!E$38*($A435-Ft!E$2)^2)),Ft!E$3*((1-Ft!E$7)/(1+Ft!E$39*($A435-Ft!E$2)^2)+Ft!E$7*EXP(Ft!E$40*($A435-Ft!E$2)^2)))</f>
        <v>14.811779793034511</v>
      </c>
      <c r="J435" s="3">
        <f>IF(($A435-Ft!F$2)&lt;0,Ft!F$3*((1-Ft!F$6)/(1+Ft!F$37*($A435-Ft!F$2)^2)+Ft!F$6*EXP(Ft!F$38*($A435-Ft!F$2)^2)),Ft!F$3*((1-Ft!F$7)/(1+Ft!F$39*($A435-Ft!F$2)^2)+Ft!F$7*EXP(Ft!F$40*($A435-Ft!F$2)^2)))</f>
        <v>3.6297527015351522E-2</v>
      </c>
      <c r="K435" s="3">
        <f>IF(($A435-Ft!G$2)&lt;0,Ft!G$3*((1-Ft!G$6)/(1+Ft!G$37*($A435-Ft!G$2)^2)+Ft!G$6*EXP(Ft!G$38*($A435-Ft!G$2)^2)),Ft!G$3*((1-Ft!G$7)/(1+Ft!G$39*($A435-Ft!G$2)^2)+Ft!G$7*EXP(Ft!G$40*($A435-Ft!G$2)^2)))</f>
        <v>3.2299891237490207E-13</v>
      </c>
      <c r="L435" s="3">
        <f>IF(($A435-Ft!H$2)&lt;0,Ft!H$3*((1-Ft!H$6)/(1+Ft!H$37*($A435-Ft!H$2)^2)+Ft!H$6*EXP(Ft!H$38*($A435-Ft!H$2)^2)),Ft!H$3*((1-Ft!H$7)/(1+Ft!H$39*($A435-Ft!H$2)^2)+Ft!H$7*EXP(Ft!H$40*($A435-Ft!H$2)^2)))</f>
        <v>0</v>
      </c>
      <c r="M435" s="3">
        <f>IF(($A435-Ft!I$2)&lt;0,Ft!I$3*((1-Ft!I$6)/(1+Ft!I$37*($A435-Ft!I$2)^2)+Ft!I$6*EXP(Ft!I$38*($A435-Ft!I$2)^2)),Ft!I$3*((1-Ft!I$7)/(1+Ft!I$39*($A435-Ft!I$2)^2)+Ft!I$7*EXP(Ft!I$40*($A435-Ft!I$2)^2)))</f>
        <v>0</v>
      </c>
      <c r="N435" s="3">
        <f>IF(($A435-Ft!J$2)&lt;0,Ft!J$3*((1-Ft!J$6)/(1+Ft!J$37*($A435-Ft!J$2)^2)+Ft!J$6*EXP(Ft!J$38*($A435-Ft!J$2)^2)),Ft!J$3*((1-Ft!J$7)/(1+Ft!J$39*($A435-Ft!J$2)^2)+Ft!J$7*EXP(Ft!J$40*($A435-Ft!J$2)^2)))</f>
        <v>0</v>
      </c>
      <c r="O435" s="3">
        <f>IF(($A435-Ft!K$2)&lt;0,Ft!K$3*((1-Ft!K$6)/(1+Ft!K$37*($A435-Ft!K$2)^2)+Ft!K$6*EXP(Ft!K$38*($A435-Ft!K$2)^2)),Ft!K$3*((1-Ft!K$7)/(1+Ft!K$39*($A435-Ft!K$2)^2)+Ft!K$7*EXP(Ft!K$40*($A435-Ft!K$2)^2)))</f>
        <v>0</v>
      </c>
      <c r="P435"/>
      <c r="Q435"/>
    </row>
    <row r="436" spans="1:17">
      <c r="A436">
        <v>868</v>
      </c>
      <c r="B436">
        <v>15.763389836931992</v>
      </c>
      <c r="C436" s="6">
        <f t="shared" si="13"/>
        <v>15.653039371966196</v>
      </c>
      <c r="D436" s="19">
        <f t="shared" si="14"/>
        <v>1.2177225118167379E-2</v>
      </c>
      <c r="E436" s="3">
        <f>Ft!$B$12+Ft!$B$14*(Data!A436-Vars!$B$3)</f>
        <v>0</v>
      </c>
      <c r="F436" s="3">
        <f>IF(($A436-Ft!B$2)&lt;0,Ft!B$3*((1-Ft!B$6)/(1+Ft!B$37*($A436-Ft!B$2)^2)+Ft!B$6*EXP(Ft!B$38*($A436-Ft!B$2)^2)),Ft!B$3*((1-Ft!B$7)/(1+Ft!B$39*($A436-Ft!B$2)^2)+Ft!B$7*EXP(Ft!B$40*($A436-Ft!B$2)^2)))</f>
        <v>0</v>
      </c>
      <c r="G436" s="3">
        <f>IF(($A436-Ft!C$2)&lt;0,Ft!C$3*((1-Ft!C$6)/(1+Ft!C$37*($A436-Ft!C$2)^2)+Ft!C$6*EXP(Ft!C$38*($A436-Ft!C$2)^2)),Ft!C$3*((1-Ft!C$7)/(1+Ft!C$39*($A436-Ft!C$2)^2)+Ft!C$7*EXP(Ft!C$40*($A436-Ft!C$2)^2)))</f>
        <v>1.5921812613645318E-18</v>
      </c>
      <c r="H436" s="3">
        <f>IF(($A436-Ft!D$2)&lt;0,Ft!D$3*((1-Ft!D$6)/(1+Ft!D$37*($A436-Ft!D$2)^2)+Ft!D$6*EXP(Ft!D$38*($A436-Ft!D$2)^2)),Ft!D$3*((1-Ft!D$7)/(1+Ft!D$39*($A436-Ft!D$2)^2)+Ft!D$7*EXP(Ft!D$40*($A436-Ft!D$2)^2)))</f>
        <v>0.86559770918802137</v>
      </c>
      <c r="I436" s="3">
        <f>IF(($A436-Ft!E$2)&lt;0,Ft!E$3*((1-Ft!E$6)/(1+Ft!E$37*($A436-Ft!E$2)^2)+Ft!E$6*EXP(Ft!E$38*($A436-Ft!E$2)^2)),Ft!E$3*((1-Ft!E$7)/(1+Ft!E$39*($A436-Ft!E$2)^2)+Ft!E$7*EXP(Ft!E$40*($A436-Ft!E$2)^2)))</f>
        <v>14.74552069536661</v>
      </c>
      <c r="J436" s="3">
        <f>IF(($A436-Ft!F$2)&lt;0,Ft!F$3*((1-Ft!F$6)/(1+Ft!F$37*($A436-Ft!F$2)^2)+Ft!F$6*EXP(Ft!F$38*($A436-Ft!F$2)^2)),Ft!F$3*((1-Ft!F$7)/(1+Ft!F$39*($A436-Ft!F$2)^2)+Ft!F$7*EXP(Ft!F$40*($A436-Ft!F$2)^2)))</f>
        <v>4.1920967410929294E-2</v>
      </c>
      <c r="K436" s="3">
        <f>IF(($A436-Ft!G$2)&lt;0,Ft!G$3*((1-Ft!G$6)/(1+Ft!G$37*($A436-Ft!G$2)^2)+Ft!G$6*EXP(Ft!G$38*($A436-Ft!G$2)^2)),Ft!G$3*((1-Ft!G$7)/(1+Ft!G$39*($A436-Ft!G$2)^2)+Ft!G$7*EXP(Ft!G$40*($A436-Ft!G$2)^2)))</f>
        <v>6.3647721842697137E-13</v>
      </c>
      <c r="L436" s="3">
        <f>IF(($A436-Ft!H$2)&lt;0,Ft!H$3*((1-Ft!H$6)/(1+Ft!H$37*($A436-Ft!H$2)^2)+Ft!H$6*EXP(Ft!H$38*($A436-Ft!H$2)^2)),Ft!H$3*((1-Ft!H$7)/(1+Ft!H$39*($A436-Ft!H$2)^2)+Ft!H$7*EXP(Ft!H$40*($A436-Ft!H$2)^2)))</f>
        <v>0</v>
      </c>
      <c r="M436" s="3">
        <f>IF(($A436-Ft!I$2)&lt;0,Ft!I$3*((1-Ft!I$6)/(1+Ft!I$37*($A436-Ft!I$2)^2)+Ft!I$6*EXP(Ft!I$38*($A436-Ft!I$2)^2)),Ft!I$3*((1-Ft!I$7)/(1+Ft!I$39*($A436-Ft!I$2)^2)+Ft!I$7*EXP(Ft!I$40*($A436-Ft!I$2)^2)))</f>
        <v>0</v>
      </c>
      <c r="N436" s="3">
        <f>IF(($A436-Ft!J$2)&lt;0,Ft!J$3*((1-Ft!J$6)/(1+Ft!J$37*($A436-Ft!J$2)^2)+Ft!J$6*EXP(Ft!J$38*($A436-Ft!J$2)^2)),Ft!J$3*((1-Ft!J$7)/(1+Ft!J$39*($A436-Ft!J$2)^2)+Ft!J$7*EXP(Ft!J$40*($A436-Ft!J$2)^2)))</f>
        <v>0</v>
      </c>
      <c r="O436" s="3">
        <f>IF(($A436-Ft!K$2)&lt;0,Ft!K$3*((1-Ft!K$6)/(1+Ft!K$37*($A436-Ft!K$2)^2)+Ft!K$6*EXP(Ft!K$38*($A436-Ft!K$2)^2)),Ft!K$3*((1-Ft!K$7)/(1+Ft!K$39*($A436-Ft!K$2)^2)+Ft!K$7*EXP(Ft!K$40*($A436-Ft!K$2)^2)))</f>
        <v>0</v>
      </c>
      <c r="P436"/>
      <c r="Q436"/>
    </row>
    <row r="437" spans="1:17">
      <c r="A437">
        <v>870</v>
      </c>
      <c r="B437">
        <v>15.702695424293992</v>
      </c>
      <c r="C437" s="6">
        <f t="shared" si="13"/>
        <v>15.5651003930441</v>
      </c>
      <c r="D437" s="19">
        <f t="shared" si="14"/>
        <v>1.8932392624658918E-2</v>
      </c>
      <c r="E437" s="3">
        <f>Ft!$B$12+Ft!$B$14*(Data!A437-Vars!$B$3)</f>
        <v>0</v>
      </c>
      <c r="F437" s="3">
        <f>IF(($A437-Ft!B$2)&lt;0,Ft!B$3*((1-Ft!B$6)/(1+Ft!B$37*($A437-Ft!B$2)^2)+Ft!B$6*EXP(Ft!B$38*($A437-Ft!B$2)^2)),Ft!B$3*((1-Ft!B$7)/(1+Ft!B$39*($A437-Ft!B$2)^2)+Ft!B$7*EXP(Ft!B$40*($A437-Ft!B$2)^2)))</f>
        <v>0</v>
      </c>
      <c r="G437" s="3">
        <f>IF(($A437-Ft!C$2)&lt;0,Ft!C$3*((1-Ft!C$6)/(1+Ft!C$37*($A437-Ft!C$2)^2)+Ft!C$6*EXP(Ft!C$38*($A437-Ft!C$2)^2)),Ft!C$3*((1-Ft!C$7)/(1+Ft!C$39*($A437-Ft!C$2)^2)+Ft!C$7*EXP(Ft!C$40*($A437-Ft!C$2)^2)))</f>
        <v>1.2559869202816317E-18</v>
      </c>
      <c r="H437" s="3">
        <f>IF(($A437-Ft!D$2)&lt;0,Ft!D$3*((1-Ft!D$6)/(1+Ft!D$37*($A437-Ft!D$2)^2)+Ft!D$6*EXP(Ft!D$38*($A437-Ft!D$2)^2)),Ft!D$3*((1-Ft!D$7)/(1+Ft!D$39*($A437-Ft!D$2)^2)+Ft!D$7*EXP(Ft!D$40*($A437-Ft!D$2)^2)))</f>
        <v>0.84018640733355066</v>
      </c>
      <c r="I437" s="3">
        <f>IF(($A437-Ft!E$2)&lt;0,Ft!E$3*((1-Ft!E$6)/(1+Ft!E$37*($A437-Ft!E$2)^2)+Ft!E$6*EXP(Ft!E$38*($A437-Ft!E$2)^2)),Ft!E$3*((1-Ft!E$7)/(1+Ft!E$39*($A437-Ft!E$2)^2)+Ft!E$7*EXP(Ft!E$40*($A437-Ft!E$2)^2)))</f>
        <v>14.676602451476597</v>
      </c>
      <c r="J437" s="3">
        <f>IF(($A437-Ft!F$2)&lt;0,Ft!F$3*((1-Ft!F$6)/(1+Ft!F$37*($A437-Ft!F$2)^2)+Ft!F$6*EXP(Ft!F$38*($A437-Ft!F$2)^2)),Ft!F$3*((1-Ft!F$7)/(1+Ft!F$39*($A437-Ft!F$2)^2)+Ft!F$7*EXP(Ft!F$40*($A437-Ft!F$2)^2)))</f>
        <v>4.8311534232705469E-2</v>
      </c>
      <c r="K437" s="3">
        <f>IF(($A437-Ft!G$2)&lt;0,Ft!G$3*((1-Ft!G$6)/(1+Ft!G$37*($A437-Ft!G$2)^2)+Ft!G$6*EXP(Ft!G$38*($A437-Ft!G$2)^2)),Ft!G$3*((1-Ft!G$7)/(1+Ft!G$39*($A437-Ft!G$2)^2)+Ft!G$7*EXP(Ft!G$40*($A437-Ft!G$2)^2)))</f>
        <v>1.2446911428227288E-12</v>
      </c>
      <c r="L437" s="3">
        <f>IF(($A437-Ft!H$2)&lt;0,Ft!H$3*((1-Ft!H$6)/(1+Ft!H$37*($A437-Ft!H$2)^2)+Ft!H$6*EXP(Ft!H$38*($A437-Ft!H$2)^2)),Ft!H$3*((1-Ft!H$7)/(1+Ft!H$39*($A437-Ft!H$2)^2)+Ft!H$7*EXP(Ft!H$40*($A437-Ft!H$2)^2)))</f>
        <v>0</v>
      </c>
      <c r="M437" s="3">
        <f>IF(($A437-Ft!I$2)&lt;0,Ft!I$3*((1-Ft!I$6)/(1+Ft!I$37*($A437-Ft!I$2)^2)+Ft!I$6*EXP(Ft!I$38*($A437-Ft!I$2)^2)),Ft!I$3*((1-Ft!I$7)/(1+Ft!I$39*($A437-Ft!I$2)^2)+Ft!I$7*EXP(Ft!I$40*($A437-Ft!I$2)^2)))</f>
        <v>0</v>
      </c>
      <c r="N437" s="3">
        <f>IF(($A437-Ft!J$2)&lt;0,Ft!J$3*((1-Ft!J$6)/(1+Ft!J$37*($A437-Ft!J$2)^2)+Ft!J$6*EXP(Ft!J$38*($A437-Ft!J$2)^2)),Ft!J$3*((1-Ft!J$7)/(1+Ft!J$39*($A437-Ft!J$2)^2)+Ft!J$7*EXP(Ft!J$40*($A437-Ft!J$2)^2)))</f>
        <v>0</v>
      </c>
      <c r="O437" s="3">
        <f>IF(($A437-Ft!K$2)&lt;0,Ft!K$3*((1-Ft!K$6)/(1+Ft!K$37*($A437-Ft!K$2)^2)+Ft!K$6*EXP(Ft!K$38*($A437-Ft!K$2)^2)),Ft!K$3*((1-Ft!K$7)/(1+Ft!K$39*($A437-Ft!K$2)^2)+Ft!K$7*EXP(Ft!K$40*($A437-Ft!K$2)^2)))</f>
        <v>0</v>
      </c>
      <c r="P437"/>
      <c r="Q437"/>
    </row>
    <row r="438" spans="1:17">
      <c r="A438">
        <v>872</v>
      </c>
      <c r="B438">
        <v>15.639230189084998</v>
      </c>
      <c r="C438" s="6">
        <f t="shared" si="13"/>
        <v>15.476025644523599</v>
      </c>
      <c r="D438" s="19">
        <f t="shared" si="14"/>
        <v>2.663572336549367E-2</v>
      </c>
      <c r="E438" s="3">
        <f>Ft!$B$12+Ft!$B$14*(Data!A438-Vars!$B$3)</f>
        <v>0</v>
      </c>
      <c r="F438" s="3">
        <f>IF(($A438-Ft!B$2)&lt;0,Ft!B$3*((1-Ft!B$6)/(1+Ft!B$37*($A438-Ft!B$2)^2)+Ft!B$6*EXP(Ft!B$38*($A438-Ft!B$2)^2)),Ft!B$3*((1-Ft!B$7)/(1+Ft!B$39*($A438-Ft!B$2)^2)+Ft!B$7*EXP(Ft!B$40*($A438-Ft!B$2)^2)))</f>
        <v>0</v>
      </c>
      <c r="G438" s="3">
        <f>IF(($A438-Ft!C$2)&lt;0,Ft!C$3*((1-Ft!C$6)/(1+Ft!C$37*($A438-Ft!C$2)^2)+Ft!C$6*EXP(Ft!C$38*($A438-Ft!C$2)^2)),Ft!C$3*((1-Ft!C$7)/(1+Ft!C$39*($A438-Ft!C$2)^2)+Ft!C$7*EXP(Ft!C$40*($A438-Ft!C$2)^2)))</f>
        <v>9.9013783802042389E-19</v>
      </c>
      <c r="H438" s="3">
        <f>IF(($A438-Ft!D$2)&lt;0,Ft!D$3*((1-Ft!D$6)/(1+Ft!D$37*($A438-Ft!D$2)^2)+Ft!D$6*EXP(Ft!D$38*($A438-Ft!D$2)^2)),Ft!D$3*((1-Ft!D$7)/(1+Ft!D$39*($A438-Ft!D$2)^2)+Ft!D$7*EXP(Ft!D$40*($A438-Ft!D$2)^2)))</f>
        <v>0.8154038707568626</v>
      </c>
      <c r="I438" s="3">
        <f>IF(($A438-Ft!E$2)&lt;0,Ft!E$3*((1-Ft!E$6)/(1+Ft!E$37*($A438-Ft!E$2)^2)+Ft!E$6*EXP(Ft!E$38*($A438-Ft!E$2)^2)),Ft!E$3*((1-Ft!E$7)/(1+Ft!E$39*($A438-Ft!E$2)^2)+Ft!E$7*EXP(Ft!E$40*($A438-Ft!E$2)^2)))</f>
        <v>14.6050651766384</v>
      </c>
      <c r="J438" s="3">
        <f>IF(($A438-Ft!F$2)&lt;0,Ft!F$3*((1-Ft!F$6)/(1+Ft!F$37*($A438-Ft!F$2)^2)+Ft!F$6*EXP(Ft!F$38*($A438-Ft!F$2)^2)),Ft!F$3*((1-Ft!F$7)/(1+Ft!F$39*($A438-Ft!F$2)^2)+Ft!F$7*EXP(Ft!F$40*($A438-Ft!F$2)^2)))</f>
        <v>5.5556597125921516E-2</v>
      </c>
      <c r="K438" s="3">
        <f>IF(($A438-Ft!G$2)&lt;0,Ft!G$3*((1-Ft!G$6)/(1+Ft!G$37*($A438-Ft!G$2)^2)+Ft!G$6*EXP(Ft!G$38*($A438-Ft!G$2)^2)),Ft!G$3*((1-Ft!G$7)/(1+Ft!G$39*($A438-Ft!G$2)^2)+Ft!G$7*EXP(Ft!G$40*($A438-Ft!G$2)^2)))</f>
        <v>2.4156681148226388E-12</v>
      </c>
      <c r="L438" s="3">
        <f>IF(($A438-Ft!H$2)&lt;0,Ft!H$3*((1-Ft!H$6)/(1+Ft!H$37*($A438-Ft!H$2)^2)+Ft!H$6*EXP(Ft!H$38*($A438-Ft!H$2)^2)),Ft!H$3*((1-Ft!H$7)/(1+Ft!H$39*($A438-Ft!H$2)^2)+Ft!H$7*EXP(Ft!H$40*($A438-Ft!H$2)^2)))</f>
        <v>0</v>
      </c>
      <c r="M438" s="3">
        <f>IF(($A438-Ft!I$2)&lt;0,Ft!I$3*((1-Ft!I$6)/(1+Ft!I$37*($A438-Ft!I$2)^2)+Ft!I$6*EXP(Ft!I$38*($A438-Ft!I$2)^2)),Ft!I$3*((1-Ft!I$7)/(1+Ft!I$39*($A438-Ft!I$2)^2)+Ft!I$7*EXP(Ft!I$40*($A438-Ft!I$2)^2)))</f>
        <v>0</v>
      </c>
      <c r="N438" s="3">
        <f>IF(($A438-Ft!J$2)&lt;0,Ft!J$3*((1-Ft!J$6)/(1+Ft!J$37*($A438-Ft!J$2)^2)+Ft!J$6*EXP(Ft!J$38*($A438-Ft!J$2)^2)),Ft!J$3*((1-Ft!J$7)/(1+Ft!J$39*($A438-Ft!J$2)^2)+Ft!J$7*EXP(Ft!J$40*($A438-Ft!J$2)^2)))</f>
        <v>0</v>
      </c>
      <c r="O438" s="3">
        <f>IF(($A438-Ft!K$2)&lt;0,Ft!K$3*((1-Ft!K$6)/(1+Ft!K$37*($A438-Ft!K$2)^2)+Ft!K$6*EXP(Ft!K$38*($A438-Ft!K$2)^2)),Ft!K$3*((1-Ft!K$7)/(1+Ft!K$39*($A438-Ft!K$2)^2)+Ft!K$7*EXP(Ft!K$40*($A438-Ft!K$2)^2)))</f>
        <v>0</v>
      </c>
      <c r="P438"/>
      <c r="Q438"/>
    </row>
    <row r="439" spans="1:17">
      <c r="A439">
        <v>874</v>
      </c>
      <c r="B439">
        <v>15.572229714529001</v>
      </c>
      <c r="C439" s="6">
        <f t="shared" si="13"/>
        <v>15.38593975754468</v>
      </c>
      <c r="D439" s="19">
        <f t="shared" si="14"/>
        <v>3.4703948073220352E-2</v>
      </c>
      <c r="E439" s="3">
        <f>Ft!$B$12+Ft!$B$14*(Data!A439-Vars!$B$3)</f>
        <v>0</v>
      </c>
      <c r="F439" s="3">
        <f>IF(($A439-Ft!B$2)&lt;0,Ft!B$3*((1-Ft!B$6)/(1+Ft!B$37*($A439-Ft!B$2)^2)+Ft!B$6*EXP(Ft!B$38*($A439-Ft!B$2)^2)),Ft!B$3*((1-Ft!B$7)/(1+Ft!B$39*($A439-Ft!B$2)^2)+Ft!B$7*EXP(Ft!B$40*($A439-Ft!B$2)^2)))</f>
        <v>0</v>
      </c>
      <c r="G439" s="3">
        <f>IF(($A439-Ft!C$2)&lt;0,Ft!C$3*((1-Ft!C$6)/(1+Ft!C$37*($A439-Ft!C$2)^2)+Ft!C$6*EXP(Ft!C$38*($A439-Ft!C$2)^2)),Ft!C$3*((1-Ft!C$7)/(1+Ft!C$39*($A439-Ft!C$2)^2)+Ft!C$7*EXP(Ft!C$40*($A439-Ft!C$2)^2)))</f>
        <v>7.8005303369567436E-19</v>
      </c>
      <c r="H439" s="3">
        <f>IF(($A439-Ft!D$2)&lt;0,Ft!D$3*((1-Ft!D$6)/(1+Ft!D$37*($A439-Ft!D$2)^2)+Ft!D$6*EXP(Ft!D$38*($A439-Ft!D$2)^2)),Ft!D$3*((1-Ft!D$7)/(1+Ft!D$39*($A439-Ft!D$2)^2)+Ft!D$7*EXP(Ft!D$40*($A439-Ft!D$2)^2)))</f>
        <v>0.79123857309831858</v>
      </c>
      <c r="I439" s="3">
        <f>IF(($A439-Ft!E$2)&lt;0,Ft!E$3*((1-Ft!E$6)/(1+Ft!E$37*($A439-Ft!E$2)^2)+Ft!E$6*EXP(Ft!E$38*($A439-Ft!E$2)^2)),Ft!E$3*((1-Ft!E$7)/(1+Ft!E$39*($A439-Ft!E$2)^2)+Ft!E$7*EXP(Ft!E$40*($A439-Ft!E$2)^2)))</f>
        <v>14.530950372747842</v>
      </c>
      <c r="J439" s="3">
        <f>IF(($A439-Ft!F$2)&lt;0,Ft!F$3*((1-Ft!F$6)/(1+Ft!F$37*($A439-Ft!F$2)^2)+Ft!F$6*EXP(Ft!F$38*($A439-Ft!F$2)^2)),Ft!F$3*((1-Ft!F$7)/(1+Ft!F$39*($A439-Ft!F$2)^2)+Ft!F$7*EXP(Ft!F$40*($A439-Ft!F$2)^2)))</f>
        <v>6.3750811693865789E-2</v>
      </c>
      <c r="K439" s="3">
        <f>IF(($A439-Ft!G$2)&lt;0,Ft!G$3*((1-Ft!G$6)/(1+Ft!G$37*($A439-Ft!G$2)^2)+Ft!G$6*EXP(Ft!G$38*($A439-Ft!G$2)^2)),Ft!G$3*((1-Ft!G$7)/(1+Ft!G$39*($A439-Ft!G$2)^2)+Ft!G$7*EXP(Ft!G$40*($A439-Ft!G$2)^2)))</f>
        <v>4.6527515975724439E-12</v>
      </c>
      <c r="L439" s="3">
        <f>IF(($A439-Ft!H$2)&lt;0,Ft!H$3*((1-Ft!H$6)/(1+Ft!H$37*($A439-Ft!H$2)^2)+Ft!H$6*EXP(Ft!H$38*($A439-Ft!H$2)^2)),Ft!H$3*((1-Ft!H$7)/(1+Ft!H$39*($A439-Ft!H$2)^2)+Ft!H$7*EXP(Ft!H$40*($A439-Ft!H$2)^2)))</f>
        <v>0</v>
      </c>
      <c r="M439" s="3">
        <f>IF(($A439-Ft!I$2)&lt;0,Ft!I$3*((1-Ft!I$6)/(1+Ft!I$37*($A439-Ft!I$2)^2)+Ft!I$6*EXP(Ft!I$38*($A439-Ft!I$2)^2)),Ft!I$3*((1-Ft!I$7)/(1+Ft!I$39*($A439-Ft!I$2)^2)+Ft!I$7*EXP(Ft!I$40*($A439-Ft!I$2)^2)))</f>
        <v>0</v>
      </c>
      <c r="N439" s="3">
        <f>IF(($A439-Ft!J$2)&lt;0,Ft!J$3*((1-Ft!J$6)/(1+Ft!J$37*($A439-Ft!J$2)^2)+Ft!J$6*EXP(Ft!J$38*($A439-Ft!J$2)^2)),Ft!J$3*((1-Ft!J$7)/(1+Ft!J$39*($A439-Ft!J$2)^2)+Ft!J$7*EXP(Ft!J$40*($A439-Ft!J$2)^2)))</f>
        <v>0</v>
      </c>
      <c r="O439" s="3">
        <f>IF(($A439-Ft!K$2)&lt;0,Ft!K$3*((1-Ft!K$6)/(1+Ft!K$37*($A439-Ft!K$2)^2)+Ft!K$6*EXP(Ft!K$38*($A439-Ft!K$2)^2)),Ft!K$3*((1-Ft!K$7)/(1+Ft!K$39*($A439-Ft!K$2)^2)+Ft!K$7*EXP(Ft!K$40*($A439-Ft!K$2)^2)))</f>
        <v>0</v>
      </c>
      <c r="P439"/>
      <c r="Q439"/>
    </row>
    <row r="440" spans="1:17">
      <c r="A440">
        <v>876</v>
      </c>
      <c r="B440">
        <v>15.500929583851999</v>
      </c>
      <c r="C440" s="6">
        <f t="shared" si="13"/>
        <v>15.29497629295008</v>
      </c>
      <c r="D440" s="19">
        <f t="shared" si="14"/>
        <v>4.241675803333031E-2</v>
      </c>
      <c r="E440" s="3">
        <f>Ft!$B$12+Ft!$B$14*(Data!A440-Vars!$B$3)</f>
        <v>0</v>
      </c>
      <c r="F440" s="3">
        <f>IF(($A440-Ft!B$2)&lt;0,Ft!B$3*((1-Ft!B$6)/(1+Ft!B$37*($A440-Ft!B$2)^2)+Ft!B$6*EXP(Ft!B$38*($A440-Ft!B$2)^2)),Ft!B$3*((1-Ft!B$7)/(1+Ft!B$39*($A440-Ft!B$2)^2)+Ft!B$7*EXP(Ft!B$40*($A440-Ft!B$2)^2)))</f>
        <v>0</v>
      </c>
      <c r="G440" s="3">
        <f>IF(($A440-Ft!C$2)&lt;0,Ft!C$3*((1-Ft!C$6)/(1+Ft!C$37*($A440-Ft!C$2)^2)+Ft!C$6*EXP(Ft!C$38*($A440-Ft!C$2)^2)),Ft!C$3*((1-Ft!C$7)/(1+Ft!C$39*($A440-Ft!C$2)^2)+Ft!C$7*EXP(Ft!C$40*($A440-Ft!C$2)^2)))</f>
        <v>6.1414445534850563E-19</v>
      </c>
      <c r="H440" s="3">
        <f>IF(($A440-Ft!D$2)&lt;0,Ft!D$3*((1-Ft!D$6)/(1+Ft!D$37*($A440-Ft!D$2)^2)+Ft!D$6*EXP(Ft!D$38*($A440-Ft!D$2)^2)),Ft!D$3*((1-Ft!D$7)/(1+Ft!D$39*($A440-Ft!D$2)^2)+Ft!D$7*EXP(Ft!D$40*($A440-Ft!D$2)^2)))</f>
        <v>0.76767906654691564</v>
      </c>
      <c r="I440" s="3">
        <f>IF(($A440-Ft!E$2)&lt;0,Ft!E$3*((1-Ft!E$6)/(1+Ft!E$37*($A440-Ft!E$2)^2)+Ft!E$6*EXP(Ft!E$38*($A440-Ft!E$2)^2)),Ft!E$3*((1-Ft!E$7)/(1+Ft!E$39*($A440-Ft!E$2)^2)+Ft!E$7*EXP(Ft!E$40*($A440-Ft!E$2)^2)))</f>
        <v>14.454300888223973</v>
      </c>
      <c r="J440" s="3">
        <f>IF(($A440-Ft!F$2)&lt;0,Ft!F$3*((1-Ft!F$6)/(1+Ft!F$37*($A440-Ft!F$2)^2)+Ft!F$6*EXP(Ft!F$38*($A440-Ft!F$2)^2)),Ft!F$3*((1-Ft!F$7)/(1+Ft!F$39*($A440-Ft!F$2)^2)+Ft!F$7*EXP(Ft!F$40*($A440-Ft!F$2)^2)))</f>
        <v>7.2996338170299477E-2</v>
      </c>
      <c r="K440" s="3">
        <f>IF(($A440-Ft!G$2)&lt;0,Ft!G$3*((1-Ft!G$6)/(1+Ft!G$37*($A440-Ft!G$2)^2)+Ft!G$6*EXP(Ft!G$38*($A440-Ft!G$2)^2)),Ft!G$3*((1-Ft!G$7)/(1+Ft!G$39*($A440-Ft!G$2)^2)+Ft!G$7*EXP(Ft!G$40*($A440-Ft!G$2)^2)))</f>
        <v>8.8936369914555267E-12</v>
      </c>
      <c r="L440" s="3">
        <f>IF(($A440-Ft!H$2)&lt;0,Ft!H$3*((1-Ft!H$6)/(1+Ft!H$37*($A440-Ft!H$2)^2)+Ft!H$6*EXP(Ft!H$38*($A440-Ft!H$2)^2)),Ft!H$3*((1-Ft!H$7)/(1+Ft!H$39*($A440-Ft!H$2)^2)+Ft!H$7*EXP(Ft!H$40*($A440-Ft!H$2)^2)))</f>
        <v>0</v>
      </c>
      <c r="M440" s="3">
        <f>IF(($A440-Ft!I$2)&lt;0,Ft!I$3*((1-Ft!I$6)/(1+Ft!I$37*($A440-Ft!I$2)^2)+Ft!I$6*EXP(Ft!I$38*($A440-Ft!I$2)^2)),Ft!I$3*((1-Ft!I$7)/(1+Ft!I$39*($A440-Ft!I$2)^2)+Ft!I$7*EXP(Ft!I$40*($A440-Ft!I$2)^2)))</f>
        <v>0</v>
      </c>
      <c r="N440" s="3">
        <f>IF(($A440-Ft!J$2)&lt;0,Ft!J$3*((1-Ft!J$6)/(1+Ft!J$37*($A440-Ft!J$2)^2)+Ft!J$6*EXP(Ft!J$38*($A440-Ft!J$2)^2)),Ft!J$3*((1-Ft!J$7)/(1+Ft!J$39*($A440-Ft!J$2)^2)+Ft!J$7*EXP(Ft!J$40*($A440-Ft!J$2)^2)))</f>
        <v>0</v>
      </c>
      <c r="O440" s="3">
        <f>IF(($A440-Ft!K$2)&lt;0,Ft!K$3*((1-Ft!K$6)/(1+Ft!K$37*($A440-Ft!K$2)^2)+Ft!K$6*EXP(Ft!K$38*($A440-Ft!K$2)^2)),Ft!K$3*((1-Ft!K$7)/(1+Ft!K$39*($A440-Ft!K$2)^2)+Ft!K$7*EXP(Ft!K$40*($A440-Ft!K$2)^2)))</f>
        <v>0</v>
      </c>
      <c r="P440"/>
      <c r="Q440"/>
    </row>
    <row r="441" spans="1:17">
      <c r="A441">
        <v>878</v>
      </c>
      <c r="B441">
        <v>15.424061711796995</v>
      </c>
      <c r="C441" s="6">
        <f t="shared" si="13"/>
        <v>15.203277868903621</v>
      </c>
      <c r="D441" s="19">
        <f t="shared" si="14"/>
        <v>4.874550528276593E-2</v>
      </c>
      <c r="E441" s="3">
        <f>Ft!$B$12+Ft!$B$14*(Data!A441-Vars!$B$3)</f>
        <v>0</v>
      </c>
      <c r="F441" s="3">
        <f>IF(($A441-Ft!B$2)&lt;0,Ft!B$3*((1-Ft!B$6)/(1+Ft!B$37*($A441-Ft!B$2)^2)+Ft!B$6*EXP(Ft!B$38*($A441-Ft!B$2)^2)),Ft!B$3*((1-Ft!B$7)/(1+Ft!B$39*($A441-Ft!B$2)^2)+Ft!B$7*EXP(Ft!B$40*($A441-Ft!B$2)^2)))</f>
        <v>0</v>
      </c>
      <c r="G441" s="3">
        <f>IF(($A441-Ft!C$2)&lt;0,Ft!C$3*((1-Ft!C$6)/(1+Ft!C$37*($A441-Ft!C$2)^2)+Ft!C$6*EXP(Ft!C$38*($A441-Ft!C$2)^2)),Ft!C$3*((1-Ft!C$7)/(1+Ft!C$39*($A441-Ft!C$2)^2)+Ft!C$7*EXP(Ft!C$40*($A441-Ft!C$2)^2)))</f>
        <v>4.8320884195924735E-19</v>
      </c>
      <c r="H441" s="3">
        <f>IF(($A441-Ft!D$2)&lt;0,Ft!D$3*((1-Ft!D$6)/(1+Ft!D$37*($A441-Ft!D$2)^2)+Ft!D$6*EXP(Ft!D$38*($A441-Ft!D$2)^2)),Ft!D$3*((1-Ft!D$7)/(1+Ft!D$39*($A441-Ft!D$2)^2)+Ft!D$7*EXP(Ft!D$40*($A441-Ft!D$2)^2)))</f>
        <v>0.7447139859968579</v>
      </c>
      <c r="I441" s="3">
        <f>IF(($A441-Ft!E$2)&lt;0,Ft!E$3*((1-Ft!E$6)/(1+Ft!E$37*($A441-Ft!E$2)^2)+Ft!E$6*EXP(Ft!E$38*($A441-Ft!E$2)^2)),Ft!E$3*((1-Ft!E$7)/(1+Ft!E$39*($A441-Ft!E$2)^2)+Ft!E$7*EXP(Ft!E$40*($A441-Ft!E$2)^2)))</f>
        <v>14.375160876757782</v>
      </c>
      <c r="J441" s="3">
        <f>IF(($A441-Ft!F$2)&lt;0,Ft!F$3*((1-Ft!F$6)/(1+Ft!F$37*($A441-Ft!F$2)^2)+Ft!F$6*EXP(Ft!F$38*($A441-Ft!F$2)^2)),Ft!F$3*((1-Ft!F$7)/(1+Ft!F$39*($A441-Ft!F$2)^2)+Ft!F$7*EXP(Ft!F$40*($A441-Ft!F$2)^2)))</f>
        <v>8.340300613210884E-2</v>
      </c>
      <c r="K441" s="3">
        <f>IF(($A441-Ft!G$2)&lt;0,Ft!G$3*((1-Ft!G$6)/(1+Ft!G$37*($A441-Ft!G$2)^2)+Ft!G$6*EXP(Ft!G$38*($A441-Ft!G$2)^2)),Ft!G$3*((1-Ft!G$7)/(1+Ft!G$39*($A441-Ft!G$2)^2)+Ft!G$7*EXP(Ft!G$40*($A441-Ft!G$2)^2)))</f>
        <v>1.6871195706429657E-11</v>
      </c>
      <c r="L441" s="3">
        <f>IF(($A441-Ft!H$2)&lt;0,Ft!H$3*((1-Ft!H$6)/(1+Ft!H$37*($A441-Ft!H$2)^2)+Ft!H$6*EXP(Ft!H$38*($A441-Ft!H$2)^2)),Ft!H$3*((1-Ft!H$7)/(1+Ft!H$39*($A441-Ft!H$2)^2)+Ft!H$7*EXP(Ft!H$40*($A441-Ft!H$2)^2)))</f>
        <v>0</v>
      </c>
      <c r="M441" s="3">
        <f>IF(($A441-Ft!I$2)&lt;0,Ft!I$3*((1-Ft!I$6)/(1+Ft!I$37*($A441-Ft!I$2)^2)+Ft!I$6*EXP(Ft!I$38*($A441-Ft!I$2)^2)),Ft!I$3*((1-Ft!I$7)/(1+Ft!I$39*($A441-Ft!I$2)^2)+Ft!I$7*EXP(Ft!I$40*($A441-Ft!I$2)^2)))</f>
        <v>0</v>
      </c>
      <c r="N441" s="3">
        <f>IF(($A441-Ft!J$2)&lt;0,Ft!J$3*((1-Ft!J$6)/(1+Ft!J$37*($A441-Ft!J$2)^2)+Ft!J$6*EXP(Ft!J$38*($A441-Ft!J$2)^2)),Ft!J$3*((1-Ft!J$7)/(1+Ft!J$39*($A441-Ft!J$2)^2)+Ft!J$7*EXP(Ft!J$40*($A441-Ft!J$2)^2)))</f>
        <v>0</v>
      </c>
      <c r="O441" s="3">
        <f>IF(($A441-Ft!K$2)&lt;0,Ft!K$3*((1-Ft!K$6)/(1+Ft!K$37*($A441-Ft!K$2)^2)+Ft!K$6*EXP(Ft!K$38*($A441-Ft!K$2)^2)),Ft!K$3*((1-Ft!K$7)/(1+Ft!K$39*($A441-Ft!K$2)^2)+Ft!K$7*EXP(Ft!K$40*($A441-Ft!K$2)^2)))</f>
        <v>0</v>
      </c>
      <c r="P441"/>
      <c r="Q441"/>
    </row>
    <row r="442" spans="1:17">
      <c r="A442">
        <v>880</v>
      </c>
      <c r="B442">
        <v>15.338935483775998</v>
      </c>
      <c r="C442" s="6">
        <f t="shared" si="13"/>
        <v>15.110996223045568</v>
      </c>
      <c r="D442" s="19">
        <f t="shared" si="14"/>
        <v>5.1956306582335063E-2</v>
      </c>
      <c r="E442" s="3">
        <f>Ft!$B$12+Ft!$B$14*(Data!A442-Vars!$B$3)</f>
        <v>0</v>
      </c>
      <c r="F442" s="3">
        <f>IF(($A442-Ft!B$2)&lt;0,Ft!B$3*((1-Ft!B$6)/(1+Ft!B$37*($A442-Ft!B$2)^2)+Ft!B$6*EXP(Ft!B$38*($A442-Ft!B$2)^2)),Ft!B$3*((1-Ft!B$7)/(1+Ft!B$39*($A442-Ft!B$2)^2)+Ft!B$7*EXP(Ft!B$40*($A442-Ft!B$2)^2)))</f>
        <v>0</v>
      </c>
      <c r="G442" s="3">
        <f>IF(($A442-Ft!C$2)&lt;0,Ft!C$3*((1-Ft!C$6)/(1+Ft!C$37*($A442-Ft!C$2)^2)+Ft!C$6*EXP(Ft!C$38*($A442-Ft!C$2)^2)),Ft!C$3*((1-Ft!C$7)/(1+Ft!C$39*($A442-Ft!C$2)^2)+Ft!C$7*EXP(Ft!C$40*($A442-Ft!C$2)^2)))</f>
        <v>3.7994185794302592E-19</v>
      </c>
      <c r="H442" s="3">
        <f>IF(($A442-Ft!D$2)&lt;0,Ft!D$3*((1-Ft!D$6)/(1+Ft!D$37*($A442-Ft!D$2)^2)+Ft!D$6*EXP(Ft!D$38*($A442-Ft!D$2)^2)),Ft!D$3*((1-Ft!D$7)/(1+Ft!D$39*($A442-Ft!D$2)^2)+Ft!D$7*EXP(Ft!D$40*($A442-Ft!D$2)^2)))</f>
        <v>0.72233205302210635</v>
      </c>
      <c r="I442" s="3">
        <f>IF(($A442-Ft!E$2)&lt;0,Ft!E$3*((1-Ft!E$6)/(1+Ft!E$37*($A442-Ft!E$2)^2)+Ft!E$6*EXP(Ft!E$38*($A442-Ft!E$2)^2)),Ft!E$3*((1-Ft!E$7)/(1+Ft!E$39*($A442-Ft!E$2)^2)+Ft!E$7*EXP(Ft!E$40*($A442-Ft!E$2)^2)))</f>
        <v>14.293575754963893</v>
      </c>
      <c r="J442" s="3">
        <f>IF(($A442-Ft!F$2)&lt;0,Ft!F$3*((1-Ft!F$6)/(1+Ft!F$37*($A442-Ft!F$2)^2)+Ft!F$6*EXP(Ft!F$38*($A442-Ft!F$2)^2)),Ft!F$3*((1-Ft!F$7)/(1+Ft!F$39*($A442-Ft!F$2)^2)+Ft!F$7*EXP(Ft!F$40*($A442-Ft!F$2)^2)))</f>
        <v>9.5088415027808001E-2</v>
      </c>
      <c r="K442" s="3">
        <f>IF(($A442-Ft!G$2)&lt;0,Ft!G$3*((1-Ft!G$6)/(1+Ft!G$37*($A442-Ft!G$2)^2)+Ft!G$6*EXP(Ft!G$38*($A442-Ft!G$2)^2)),Ft!G$3*((1-Ft!G$7)/(1+Ft!G$39*($A442-Ft!G$2)^2)+Ft!G$7*EXP(Ft!G$40*($A442-Ft!G$2)^2)))</f>
        <v>3.1762103725282179E-11</v>
      </c>
      <c r="L442" s="3">
        <f>IF(($A442-Ft!H$2)&lt;0,Ft!H$3*((1-Ft!H$6)/(1+Ft!H$37*($A442-Ft!H$2)^2)+Ft!H$6*EXP(Ft!H$38*($A442-Ft!H$2)^2)),Ft!H$3*((1-Ft!H$7)/(1+Ft!H$39*($A442-Ft!H$2)^2)+Ft!H$7*EXP(Ft!H$40*($A442-Ft!H$2)^2)))</f>
        <v>0</v>
      </c>
      <c r="M442" s="3">
        <f>IF(($A442-Ft!I$2)&lt;0,Ft!I$3*((1-Ft!I$6)/(1+Ft!I$37*($A442-Ft!I$2)^2)+Ft!I$6*EXP(Ft!I$38*($A442-Ft!I$2)^2)),Ft!I$3*((1-Ft!I$7)/(1+Ft!I$39*($A442-Ft!I$2)^2)+Ft!I$7*EXP(Ft!I$40*($A442-Ft!I$2)^2)))</f>
        <v>0</v>
      </c>
      <c r="N442" s="3">
        <f>IF(($A442-Ft!J$2)&lt;0,Ft!J$3*((1-Ft!J$6)/(1+Ft!J$37*($A442-Ft!J$2)^2)+Ft!J$6*EXP(Ft!J$38*($A442-Ft!J$2)^2)),Ft!J$3*((1-Ft!J$7)/(1+Ft!J$39*($A442-Ft!J$2)^2)+Ft!J$7*EXP(Ft!J$40*($A442-Ft!J$2)^2)))</f>
        <v>0</v>
      </c>
      <c r="O442" s="3">
        <f>IF(($A442-Ft!K$2)&lt;0,Ft!K$3*((1-Ft!K$6)/(1+Ft!K$37*($A442-Ft!K$2)^2)+Ft!K$6*EXP(Ft!K$38*($A442-Ft!K$2)^2)),Ft!K$3*((1-Ft!K$7)/(1+Ft!K$39*($A442-Ft!K$2)^2)+Ft!K$7*EXP(Ft!K$40*($A442-Ft!K$2)^2)))</f>
        <v>0</v>
      </c>
      <c r="P442"/>
      <c r="Q442"/>
    </row>
    <row r="443" spans="1:17">
      <c r="A443">
        <v>882</v>
      </c>
      <c r="B443">
        <v>15.24708322571999</v>
      </c>
      <c r="C443" s="6">
        <f t="shared" si="13"/>
        <v>15.018292198559648</v>
      </c>
      <c r="D443" s="19">
        <f t="shared" si="14"/>
        <v>5.2345334109084631E-2</v>
      </c>
      <c r="E443" s="3">
        <f>Ft!$B$12+Ft!$B$14*(Data!A443-Vars!$B$3)</f>
        <v>0</v>
      </c>
      <c r="F443" s="3">
        <f>IF(($A443-Ft!B$2)&lt;0,Ft!B$3*((1-Ft!B$6)/(1+Ft!B$37*($A443-Ft!B$2)^2)+Ft!B$6*EXP(Ft!B$38*($A443-Ft!B$2)^2)),Ft!B$3*((1-Ft!B$7)/(1+Ft!B$39*($A443-Ft!B$2)^2)+Ft!B$7*EXP(Ft!B$40*($A443-Ft!B$2)^2)))</f>
        <v>0</v>
      </c>
      <c r="G443" s="3">
        <f>IF(($A443-Ft!C$2)&lt;0,Ft!C$3*((1-Ft!C$6)/(1+Ft!C$37*($A443-Ft!C$2)^2)+Ft!C$6*EXP(Ft!C$38*($A443-Ft!C$2)^2)),Ft!C$3*((1-Ft!C$7)/(1+Ft!C$39*($A443-Ft!C$2)^2)+Ft!C$7*EXP(Ft!C$40*($A443-Ft!C$2)^2)))</f>
        <v>2.9855018448982046E-19</v>
      </c>
      <c r="H443" s="3">
        <f>IF(($A443-Ft!D$2)&lt;0,Ft!D$3*((1-Ft!D$6)/(1+Ft!D$37*($A443-Ft!D$2)^2)+Ft!D$6*EXP(Ft!D$38*($A443-Ft!D$2)^2)),Ft!D$3*((1-Ft!D$7)/(1+Ft!D$39*($A443-Ft!D$2)^2)+Ft!D$7*EXP(Ft!D$40*($A443-Ft!D$2)^2)))</f>
        <v>0.70052207967095037</v>
      </c>
      <c r="I443" s="3">
        <f>IF(($A443-Ft!E$2)&lt;0,Ft!E$3*((1-Ft!E$6)/(1+Ft!E$37*($A443-Ft!E$2)^2)+Ft!E$6*EXP(Ft!E$38*($A443-Ft!E$2)^2)),Ft!E$3*((1-Ft!E$7)/(1+Ft!E$39*($A443-Ft!E$2)^2)+Ft!E$7*EXP(Ft!E$40*($A443-Ft!E$2)^2)))</f>
        <v>14.209592158992002</v>
      </c>
      <c r="J443" s="3">
        <f>IF(($A443-Ft!F$2)&lt;0,Ft!F$3*((1-Ft!F$6)/(1+Ft!F$37*($A443-Ft!F$2)^2)+Ft!F$6*EXP(Ft!F$38*($A443-Ft!F$2)^2)),Ft!F$3*((1-Ft!F$7)/(1+Ft!F$39*($A443-Ft!F$2)^2)+Ft!F$7*EXP(Ft!F$40*($A443-Ft!F$2)^2)))</f>
        <v>0.10817795983735166</v>
      </c>
      <c r="K443" s="3">
        <f>IF(($A443-Ft!G$2)&lt;0,Ft!G$3*((1-Ft!G$6)/(1+Ft!G$37*($A443-Ft!G$2)^2)+Ft!G$6*EXP(Ft!G$38*($A443-Ft!G$2)^2)),Ft!G$3*((1-Ft!G$7)/(1+Ft!G$39*($A443-Ft!G$2)^2)+Ft!G$7*EXP(Ft!G$40*($A443-Ft!G$2)^2)))</f>
        <v>5.9343012375902089E-11</v>
      </c>
      <c r="L443" s="3">
        <f>IF(($A443-Ft!H$2)&lt;0,Ft!H$3*((1-Ft!H$6)/(1+Ft!H$37*($A443-Ft!H$2)^2)+Ft!H$6*EXP(Ft!H$38*($A443-Ft!H$2)^2)),Ft!H$3*((1-Ft!H$7)/(1+Ft!H$39*($A443-Ft!H$2)^2)+Ft!H$7*EXP(Ft!H$40*($A443-Ft!H$2)^2)))</f>
        <v>0</v>
      </c>
      <c r="M443" s="3">
        <f>IF(($A443-Ft!I$2)&lt;0,Ft!I$3*((1-Ft!I$6)/(1+Ft!I$37*($A443-Ft!I$2)^2)+Ft!I$6*EXP(Ft!I$38*($A443-Ft!I$2)^2)),Ft!I$3*((1-Ft!I$7)/(1+Ft!I$39*($A443-Ft!I$2)^2)+Ft!I$7*EXP(Ft!I$40*($A443-Ft!I$2)^2)))</f>
        <v>0</v>
      </c>
      <c r="N443" s="3">
        <f>IF(($A443-Ft!J$2)&lt;0,Ft!J$3*((1-Ft!J$6)/(1+Ft!J$37*($A443-Ft!J$2)^2)+Ft!J$6*EXP(Ft!J$38*($A443-Ft!J$2)^2)),Ft!J$3*((1-Ft!J$7)/(1+Ft!J$39*($A443-Ft!J$2)^2)+Ft!J$7*EXP(Ft!J$40*($A443-Ft!J$2)^2)))</f>
        <v>0</v>
      </c>
      <c r="O443" s="3">
        <f>IF(($A443-Ft!K$2)&lt;0,Ft!K$3*((1-Ft!K$6)/(1+Ft!K$37*($A443-Ft!K$2)^2)+Ft!K$6*EXP(Ft!K$38*($A443-Ft!K$2)^2)),Ft!K$3*((1-Ft!K$7)/(1+Ft!K$39*($A443-Ft!K$2)^2)+Ft!K$7*EXP(Ft!K$40*($A443-Ft!K$2)^2)))</f>
        <v>0</v>
      </c>
      <c r="P443"/>
      <c r="Q443"/>
    </row>
    <row r="444" spans="1:17">
      <c r="A444">
        <v>884</v>
      </c>
      <c r="B444">
        <v>15.150662689049</v>
      </c>
      <c r="C444" s="6">
        <f t="shared" si="13"/>
        <v>14.925335643197153</v>
      </c>
      <c r="D444" s="19">
        <f t="shared" si="14"/>
        <v>5.0772277592320281E-2</v>
      </c>
      <c r="E444" s="3">
        <f>Ft!$B$12+Ft!$B$14*(Data!A444-Vars!$B$3)</f>
        <v>0</v>
      </c>
      <c r="F444" s="3">
        <f>IF(($A444-Ft!B$2)&lt;0,Ft!B$3*((1-Ft!B$6)/(1+Ft!B$37*($A444-Ft!B$2)^2)+Ft!B$6*EXP(Ft!B$38*($A444-Ft!B$2)^2)),Ft!B$3*((1-Ft!B$7)/(1+Ft!B$39*($A444-Ft!B$2)^2)+Ft!B$7*EXP(Ft!B$40*($A444-Ft!B$2)^2)))</f>
        <v>0</v>
      </c>
      <c r="G444" s="3">
        <f>IF(($A444-Ft!C$2)&lt;0,Ft!C$3*((1-Ft!C$6)/(1+Ft!C$37*($A444-Ft!C$2)^2)+Ft!C$6*EXP(Ft!C$38*($A444-Ft!C$2)^2)),Ft!C$3*((1-Ft!C$7)/(1+Ft!C$39*($A444-Ft!C$2)^2)+Ft!C$7*EXP(Ft!C$40*($A444-Ft!C$2)^2)))</f>
        <v>2.3444203251831459E-19</v>
      </c>
      <c r="H444" s="3">
        <f>IF(($A444-Ft!D$2)&lt;0,Ft!D$3*((1-Ft!D$6)/(1+Ft!D$37*($A444-Ft!D$2)^2)+Ft!D$6*EXP(Ft!D$38*($A444-Ft!D$2)^2)),Ft!D$3*((1-Ft!D$7)/(1+Ft!D$39*($A444-Ft!D$2)^2)+Ft!D$7*EXP(Ft!D$40*($A444-Ft!D$2)^2)))</f>
        <v>0.67927297208276283</v>
      </c>
      <c r="I444" s="3">
        <f>IF(($A444-Ft!E$2)&lt;0,Ft!E$3*((1-Ft!E$6)/(1+Ft!E$37*($A444-Ft!E$2)^2)+Ft!E$6*EXP(Ft!E$38*($A444-Ft!E$2)^2)),Ft!E$3*((1-Ft!E$7)/(1+Ft!E$39*($A444-Ft!E$2)^2)+Ft!E$7*EXP(Ft!E$40*($A444-Ft!E$2)^2)))</f>
        <v>14.123257900156046</v>
      </c>
      <c r="J444" s="3">
        <f>IF(($A444-Ft!F$2)&lt;0,Ft!F$3*((1-Ft!F$6)/(1+Ft!F$37*($A444-Ft!F$2)^2)+Ft!F$6*EXP(Ft!F$38*($A444-Ft!F$2)^2)),Ft!F$3*((1-Ft!F$7)/(1+Ft!F$39*($A444-Ft!F$2)^2)+Ft!F$7*EXP(Ft!F$40*($A444-Ft!F$2)^2)))</f>
        <v>0.12280477084830924</v>
      </c>
      <c r="K444" s="3">
        <f>IF(($A444-Ft!G$2)&lt;0,Ft!G$3*((1-Ft!G$6)/(1+Ft!G$37*($A444-Ft!G$2)^2)+Ft!G$6*EXP(Ft!G$38*($A444-Ft!G$2)^2)),Ft!G$3*((1-Ft!G$7)/(1+Ft!G$39*($A444-Ft!G$2)^2)+Ft!G$7*EXP(Ft!G$40*($A444-Ft!G$2)^2)))</f>
        <v>1.1003398683695815E-10</v>
      </c>
      <c r="L444" s="3">
        <f>IF(($A444-Ft!H$2)&lt;0,Ft!H$3*((1-Ft!H$6)/(1+Ft!H$37*($A444-Ft!H$2)^2)+Ft!H$6*EXP(Ft!H$38*($A444-Ft!H$2)^2)),Ft!H$3*((1-Ft!H$7)/(1+Ft!H$39*($A444-Ft!H$2)^2)+Ft!H$7*EXP(Ft!H$40*($A444-Ft!H$2)^2)))</f>
        <v>0</v>
      </c>
      <c r="M444" s="3">
        <f>IF(($A444-Ft!I$2)&lt;0,Ft!I$3*((1-Ft!I$6)/(1+Ft!I$37*($A444-Ft!I$2)^2)+Ft!I$6*EXP(Ft!I$38*($A444-Ft!I$2)^2)),Ft!I$3*((1-Ft!I$7)/(1+Ft!I$39*($A444-Ft!I$2)^2)+Ft!I$7*EXP(Ft!I$40*($A444-Ft!I$2)^2)))</f>
        <v>0</v>
      </c>
      <c r="N444" s="3">
        <f>IF(($A444-Ft!J$2)&lt;0,Ft!J$3*((1-Ft!J$6)/(1+Ft!J$37*($A444-Ft!J$2)^2)+Ft!J$6*EXP(Ft!J$38*($A444-Ft!J$2)^2)),Ft!J$3*((1-Ft!J$7)/(1+Ft!J$39*($A444-Ft!J$2)^2)+Ft!J$7*EXP(Ft!J$40*($A444-Ft!J$2)^2)))</f>
        <v>0</v>
      </c>
      <c r="O444" s="3">
        <f>IF(($A444-Ft!K$2)&lt;0,Ft!K$3*((1-Ft!K$6)/(1+Ft!K$37*($A444-Ft!K$2)^2)+Ft!K$6*EXP(Ft!K$38*($A444-Ft!K$2)^2)),Ft!K$3*((1-Ft!K$7)/(1+Ft!K$39*($A444-Ft!K$2)^2)+Ft!K$7*EXP(Ft!K$40*($A444-Ft!K$2)^2)))</f>
        <v>0</v>
      </c>
      <c r="P444"/>
      <c r="Q444"/>
    </row>
    <row r="445" spans="1:17">
      <c r="A445">
        <v>886</v>
      </c>
      <c r="B445">
        <v>15.051831625180995</v>
      </c>
      <c r="C445" s="6">
        <f t="shared" si="13"/>
        <v>14.832305210130039</v>
      </c>
      <c r="D445" s="19">
        <f t="shared" si="14"/>
        <v>4.8191846905124375E-2</v>
      </c>
      <c r="E445" s="3">
        <f>Ft!$B$12+Ft!$B$14*(Data!A445-Vars!$B$3)</f>
        <v>0</v>
      </c>
      <c r="F445" s="3">
        <f>IF(($A445-Ft!B$2)&lt;0,Ft!B$3*((1-Ft!B$6)/(1+Ft!B$37*($A445-Ft!B$2)^2)+Ft!B$6*EXP(Ft!B$38*($A445-Ft!B$2)^2)),Ft!B$3*((1-Ft!B$7)/(1+Ft!B$39*($A445-Ft!B$2)^2)+Ft!B$7*EXP(Ft!B$40*($A445-Ft!B$2)^2)))</f>
        <v>0</v>
      </c>
      <c r="G445" s="3">
        <f>IF(($A445-Ft!C$2)&lt;0,Ft!C$3*((1-Ft!C$6)/(1+Ft!C$37*($A445-Ft!C$2)^2)+Ft!C$6*EXP(Ft!C$38*($A445-Ft!C$2)^2)),Ft!C$3*((1-Ft!C$7)/(1+Ft!C$39*($A445-Ft!C$2)^2)+Ft!C$7*EXP(Ft!C$40*($A445-Ft!C$2)^2)))</f>
        <v>1.839803938000559E-19</v>
      </c>
      <c r="H445" s="3">
        <f>IF(($A445-Ft!D$2)&lt;0,Ft!D$3*((1-Ft!D$6)/(1+Ft!D$37*($A445-Ft!D$2)^2)+Ft!D$6*EXP(Ft!D$38*($A445-Ft!D$2)^2)),Ft!D$3*((1-Ft!D$7)/(1+Ft!D$39*($A445-Ft!D$2)^2)+Ft!D$7*EXP(Ft!D$40*($A445-Ft!D$2)^2)))</f>
        <v>0.65857373392920637</v>
      </c>
      <c r="I445" s="3">
        <f>IF(($A445-Ft!E$2)&lt;0,Ft!E$3*((1-Ft!E$6)/(1+Ft!E$37*($A445-Ft!E$2)^2)+Ft!E$6*EXP(Ft!E$38*($A445-Ft!E$2)^2)),Ft!E$3*((1-Ft!E$7)/(1+Ft!E$39*($A445-Ft!E$2)^2)+Ft!E$7*EXP(Ft!E$40*($A445-Ft!E$2)^2)))</f>
        <v>14.034621919640101</v>
      </c>
      <c r="J445" s="3">
        <f>IF(($A445-Ft!F$2)&lt;0,Ft!F$3*((1-Ft!F$6)/(1+Ft!F$37*($A445-Ft!F$2)^2)+Ft!F$6*EXP(Ft!F$38*($A445-Ft!F$2)^2)),Ft!F$3*((1-Ft!F$7)/(1+Ft!F$39*($A445-Ft!F$2)^2)+Ft!F$7*EXP(Ft!F$40*($A445-Ft!F$2)^2)))</f>
        <v>0.13910955635825234</v>
      </c>
      <c r="K445" s="3">
        <f>IF(($A445-Ft!G$2)&lt;0,Ft!G$3*((1-Ft!G$6)/(1+Ft!G$37*($A445-Ft!G$2)^2)+Ft!G$6*EXP(Ft!G$38*($A445-Ft!G$2)^2)),Ft!G$3*((1-Ft!G$7)/(1+Ft!G$39*($A445-Ft!G$2)^2)+Ft!G$7*EXP(Ft!G$40*($A445-Ft!G$2)^2)))</f>
        <v>2.0247949164323318E-10</v>
      </c>
      <c r="L445" s="3">
        <f>IF(($A445-Ft!H$2)&lt;0,Ft!H$3*((1-Ft!H$6)/(1+Ft!H$37*($A445-Ft!H$2)^2)+Ft!H$6*EXP(Ft!H$38*($A445-Ft!H$2)^2)),Ft!H$3*((1-Ft!H$7)/(1+Ft!H$39*($A445-Ft!H$2)^2)+Ft!H$7*EXP(Ft!H$40*($A445-Ft!H$2)^2)))</f>
        <v>0</v>
      </c>
      <c r="M445" s="3">
        <f>IF(($A445-Ft!I$2)&lt;0,Ft!I$3*((1-Ft!I$6)/(1+Ft!I$37*($A445-Ft!I$2)^2)+Ft!I$6*EXP(Ft!I$38*($A445-Ft!I$2)^2)),Ft!I$3*((1-Ft!I$7)/(1+Ft!I$39*($A445-Ft!I$2)^2)+Ft!I$7*EXP(Ft!I$40*($A445-Ft!I$2)^2)))</f>
        <v>0</v>
      </c>
      <c r="N445" s="3">
        <f>IF(($A445-Ft!J$2)&lt;0,Ft!J$3*((1-Ft!J$6)/(1+Ft!J$37*($A445-Ft!J$2)^2)+Ft!J$6*EXP(Ft!J$38*($A445-Ft!J$2)^2)),Ft!J$3*((1-Ft!J$7)/(1+Ft!J$39*($A445-Ft!J$2)^2)+Ft!J$7*EXP(Ft!J$40*($A445-Ft!J$2)^2)))</f>
        <v>0</v>
      </c>
      <c r="O445" s="3">
        <f>IF(($A445-Ft!K$2)&lt;0,Ft!K$3*((1-Ft!K$6)/(1+Ft!K$37*($A445-Ft!K$2)^2)+Ft!K$6*EXP(Ft!K$38*($A445-Ft!K$2)^2)),Ft!K$3*((1-Ft!K$7)/(1+Ft!K$39*($A445-Ft!K$2)^2)+Ft!K$7*EXP(Ft!K$40*($A445-Ft!K$2)^2)))</f>
        <v>0</v>
      </c>
      <c r="P445"/>
      <c r="Q445"/>
    </row>
    <row r="446" spans="1:17">
      <c r="A446">
        <v>888</v>
      </c>
      <c r="B446">
        <v>14.952747785537994</v>
      </c>
      <c r="C446" s="6">
        <f t="shared" si="13"/>
        <v>14.739388049511767</v>
      </c>
      <c r="D446" s="19">
        <f t="shared" si="14"/>
        <v>4.5522376957181331E-2</v>
      </c>
      <c r="E446" s="3">
        <f>Ft!$B$12+Ft!$B$14*(Data!A446-Vars!$B$3)</f>
        <v>0</v>
      </c>
      <c r="F446" s="3">
        <f>IF(($A446-Ft!B$2)&lt;0,Ft!B$3*((1-Ft!B$6)/(1+Ft!B$37*($A446-Ft!B$2)^2)+Ft!B$6*EXP(Ft!B$38*($A446-Ft!B$2)^2)),Ft!B$3*((1-Ft!B$7)/(1+Ft!B$39*($A446-Ft!B$2)^2)+Ft!B$7*EXP(Ft!B$40*($A446-Ft!B$2)^2)))</f>
        <v>0</v>
      </c>
      <c r="G446" s="3">
        <f>IF(($A446-Ft!C$2)&lt;0,Ft!C$3*((1-Ft!C$6)/(1+Ft!C$37*($A446-Ft!C$2)^2)+Ft!C$6*EXP(Ft!C$38*($A446-Ft!C$2)^2)),Ft!C$3*((1-Ft!C$7)/(1+Ft!C$39*($A446-Ft!C$2)^2)+Ft!C$7*EXP(Ft!C$40*($A446-Ft!C$2)^2)))</f>
        <v>1.4428644811370818E-19</v>
      </c>
      <c r="H446" s="3">
        <f>IF(($A446-Ft!D$2)&lt;0,Ft!D$3*((1-Ft!D$6)/(1+Ft!D$37*($A446-Ft!D$2)^2)+Ft!D$6*EXP(Ft!D$38*($A446-Ft!D$2)^2)),Ft!D$3*((1-Ft!D$7)/(1+Ft!D$39*($A446-Ft!D$2)^2)+Ft!D$7*EXP(Ft!D$40*($A446-Ft!D$2)^2)))</f>
        <v>0.63841346968227253</v>
      </c>
      <c r="I446" s="3">
        <f>IF(($A446-Ft!E$2)&lt;0,Ft!E$3*((1-Ft!E$6)/(1+Ft!E$37*($A446-Ft!E$2)^2)+Ft!E$6*EXP(Ft!E$38*($A446-Ft!E$2)^2)),Ft!E$3*((1-Ft!E$7)/(1+Ft!E$39*($A446-Ft!E$2)^2)+Ft!E$7*EXP(Ft!E$40*($A446-Ft!E$2)^2)))</f>
        <v>13.943734242340991</v>
      </c>
      <c r="J446" s="3">
        <f>IF(($A446-Ft!F$2)&lt;0,Ft!F$3*((1-Ft!F$6)/(1+Ft!F$37*($A446-Ft!F$2)^2)+Ft!F$6*EXP(Ft!F$38*($A446-Ft!F$2)^2)),Ft!F$3*((1-Ft!F$7)/(1+Ft!F$39*($A446-Ft!F$2)^2)+Ft!F$7*EXP(Ft!F$40*($A446-Ft!F$2)^2)))</f>
        <v>0.15724033711873189</v>
      </c>
      <c r="K446" s="3">
        <f>IF(($A446-Ft!G$2)&lt;0,Ft!G$3*((1-Ft!G$6)/(1+Ft!G$37*($A446-Ft!G$2)^2)+Ft!G$6*EXP(Ft!G$38*($A446-Ft!G$2)^2)),Ft!G$3*((1-Ft!G$7)/(1+Ft!G$39*($A446-Ft!G$2)^2)+Ft!G$7*EXP(Ft!G$40*($A446-Ft!G$2)^2)))</f>
        <v>3.6977042017714545E-10</v>
      </c>
      <c r="L446" s="3">
        <f>IF(($A446-Ft!H$2)&lt;0,Ft!H$3*((1-Ft!H$6)/(1+Ft!H$37*($A446-Ft!H$2)^2)+Ft!H$6*EXP(Ft!H$38*($A446-Ft!H$2)^2)),Ft!H$3*((1-Ft!H$7)/(1+Ft!H$39*($A446-Ft!H$2)^2)+Ft!H$7*EXP(Ft!H$40*($A446-Ft!H$2)^2)))</f>
        <v>0</v>
      </c>
      <c r="M446" s="3">
        <f>IF(($A446-Ft!I$2)&lt;0,Ft!I$3*((1-Ft!I$6)/(1+Ft!I$37*($A446-Ft!I$2)^2)+Ft!I$6*EXP(Ft!I$38*($A446-Ft!I$2)^2)),Ft!I$3*((1-Ft!I$7)/(1+Ft!I$39*($A446-Ft!I$2)^2)+Ft!I$7*EXP(Ft!I$40*($A446-Ft!I$2)^2)))</f>
        <v>0</v>
      </c>
      <c r="N446" s="3">
        <f>IF(($A446-Ft!J$2)&lt;0,Ft!J$3*((1-Ft!J$6)/(1+Ft!J$37*($A446-Ft!J$2)^2)+Ft!J$6*EXP(Ft!J$38*($A446-Ft!J$2)^2)),Ft!J$3*((1-Ft!J$7)/(1+Ft!J$39*($A446-Ft!J$2)^2)+Ft!J$7*EXP(Ft!J$40*($A446-Ft!J$2)^2)))</f>
        <v>0</v>
      </c>
      <c r="O446" s="3">
        <f>IF(($A446-Ft!K$2)&lt;0,Ft!K$3*((1-Ft!K$6)/(1+Ft!K$37*($A446-Ft!K$2)^2)+Ft!K$6*EXP(Ft!K$38*($A446-Ft!K$2)^2)),Ft!K$3*((1-Ft!K$7)/(1+Ft!K$39*($A446-Ft!K$2)^2)+Ft!K$7*EXP(Ft!K$40*($A446-Ft!K$2)^2)))</f>
        <v>0</v>
      </c>
      <c r="P446"/>
      <c r="Q446"/>
    </row>
    <row r="447" spans="1:17">
      <c r="A447">
        <v>890</v>
      </c>
      <c r="B447">
        <v>14.855568921537994</v>
      </c>
      <c r="C447" s="6">
        <f t="shared" si="13"/>
        <v>14.646779379837641</v>
      </c>
      <c r="D447" s="19">
        <f t="shared" si="14"/>
        <v>4.3593072723443593E-2</v>
      </c>
      <c r="E447" s="3">
        <f>Ft!$B$12+Ft!$B$14*(Data!A447-Vars!$B$3)</f>
        <v>0</v>
      </c>
      <c r="F447" s="3">
        <f>IF(($A447-Ft!B$2)&lt;0,Ft!B$3*((1-Ft!B$6)/(1+Ft!B$37*($A447-Ft!B$2)^2)+Ft!B$6*EXP(Ft!B$38*($A447-Ft!B$2)^2)),Ft!B$3*((1-Ft!B$7)/(1+Ft!B$39*($A447-Ft!B$2)^2)+Ft!B$7*EXP(Ft!B$40*($A447-Ft!B$2)^2)))</f>
        <v>0</v>
      </c>
      <c r="G447" s="3">
        <f>IF(($A447-Ft!C$2)&lt;0,Ft!C$3*((1-Ft!C$6)/(1+Ft!C$37*($A447-Ft!C$2)^2)+Ft!C$6*EXP(Ft!C$38*($A447-Ft!C$2)^2)),Ft!C$3*((1-Ft!C$7)/(1+Ft!C$39*($A447-Ft!C$2)^2)+Ft!C$7*EXP(Ft!C$40*($A447-Ft!C$2)^2)))</f>
        <v>1.1308303952255349E-19</v>
      </c>
      <c r="H447" s="3">
        <f>IF(($A447-Ft!D$2)&lt;0,Ft!D$3*((1-Ft!D$6)/(1+Ft!D$37*($A447-Ft!D$2)^2)+Ft!D$6*EXP(Ft!D$38*($A447-Ft!D$2)^2)),Ft!D$3*((1-Ft!D$7)/(1+Ft!D$39*($A447-Ft!D$2)^2)+Ft!D$7*EXP(Ft!D$40*($A447-Ft!D$2)^2)))</f>
        <v>0.61878138771162827</v>
      </c>
      <c r="I447" s="3">
        <f>IF(($A447-Ft!E$2)&lt;0,Ft!E$3*((1-Ft!E$6)/(1+Ft!E$37*($A447-Ft!E$2)^2)+Ft!E$6*EXP(Ft!E$38*($A447-Ft!E$2)^2)),Ft!E$3*((1-Ft!E$7)/(1+Ft!E$39*($A447-Ft!E$2)^2)+Ft!E$7*EXP(Ft!E$40*($A447-Ft!E$2)^2)))</f>
        <v>13.850645929908442</v>
      </c>
      <c r="J447" s="3">
        <f>IF(($A447-Ft!F$2)&lt;0,Ft!F$3*((1-Ft!F$6)/(1+Ft!F$37*($A447-Ft!F$2)^2)+Ft!F$6*EXP(Ft!F$38*($A447-Ft!F$2)^2)),Ft!F$3*((1-Ft!F$7)/(1+Ft!F$39*($A447-Ft!F$2)^2)+Ft!F$7*EXP(Ft!F$40*($A447-Ft!F$2)^2)))</f>
        <v>0.17735206154740729</v>
      </c>
      <c r="K447" s="3">
        <f>IF(($A447-Ft!G$2)&lt;0,Ft!G$3*((1-Ft!G$6)/(1+Ft!G$37*($A447-Ft!G$2)^2)+Ft!G$6*EXP(Ft!G$38*($A447-Ft!G$2)^2)),Ft!G$3*((1-Ft!G$7)/(1+Ft!G$39*($A447-Ft!G$2)^2)+Ft!G$7*EXP(Ft!G$40*($A447-Ft!G$2)^2)))</f>
        <v>6.7016265643412442E-10</v>
      </c>
      <c r="L447" s="3">
        <f>IF(($A447-Ft!H$2)&lt;0,Ft!H$3*((1-Ft!H$6)/(1+Ft!H$37*($A447-Ft!H$2)^2)+Ft!H$6*EXP(Ft!H$38*($A447-Ft!H$2)^2)),Ft!H$3*((1-Ft!H$7)/(1+Ft!H$39*($A447-Ft!H$2)^2)+Ft!H$7*EXP(Ft!H$40*($A447-Ft!H$2)^2)))</f>
        <v>0</v>
      </c>
      <c r="M447" s="3">
        <f>IF(($A447-Ft!I$2)&lt;0,Ft!I$3*((1-Ft!I$6)/(1+Ft!I$37*($A447-Ft!I$2)^2)+Ft!I$6*EXP(Ft!I$38*($A447-Ft!I$2)^2)),Ft!I$3*((1-Ft!I$7)/(1+Ft!I$39*($A447-Ft!I$2)^2)+Ft!I$7*EXP(Ft!I$40*($A447-Ft!I$2)^2)))</f>
        <v>0</v>
      </c>
      <c r="N447" s="3">
        <f>IF(($A447-Ft!J$2)&lt;0,Ft!J$3*((1-Ft!J$6)/(1+Ft!J$37*($A447-Ft!J$2)^2)+Ft!J$6*EXP(Ft!J$38*($A447-Ft!J$2)^2)),Ft!J$3*((1-Ft!J$7)/(1+Ft!J$39*($A447-Ft!J$2)^2)+Ft!J$7*EXP(Ft!J$40*($A447-Ft!J$2)^2)))</f>
        <v>0</v>
      </c>
      <c r="O447" s="3">
        <f>IF(($A447-Ft!K$2)&lt;0,Ft!K$3*((1-Ft!K$6)/(1+Ft!K$37*($A447-Ft!K$2)^2)+Ft!K$6*EXP(Ft!K$38*($A447-Ft!K$2)^2)),Ft!K$3*((1-Ft!K$7)/(1+Ft!K$39*($A447-Ft!K$2)^2)+Ft!K$7*EXP(Ft!K$40*($A447-Ft!K$2)^2)))</f>
        <v>0</v>
      </c>
      <c r="P447"/>
      <c r="Q447"/>
    </row>
    <row r="448" spans="1:17">
      <c r="A448">
        <v>892</v>
      </c>
      <c r="B448">
        <v>14.76245278460199</v>
      </c>
      <c r="C448" s="6">
        <f t="shared" si="13"/>
        <v>14.554681928638979</v>
      </c>
      <c r="D448" s="19">
        <f t="shared" si="14"/>
        <v>4.3168728587602137E-2</v>
      </c>
      <c r="E448" s="3">
        <f>Ft!$B$12+Ft!$B$14*(Data!A448-Vars!$B$3)</f>
        <v>0</v>
      </c>
      <c r="F448" s="3">
        <f>IF(($A448-Ft!B$2)&lt;0,Ft!B$3*((1-Ft!B$6)/(1+Ft!B$37*($A448-Ft!B$2)^2)+Ft!B$6*EXP(Ft!B$38*($A448-Ft!B$2)^2)),Ft!B$3*((1-Ft!B$7)/(1+Ft!B$39*($A448-Ft!B$2)^2)+Ft!B$7*EXP(Ft!B$40*($A448-Ft!B$2)^2)))</f>
        <v>0</v>
      </c>
      <c r="G448" s="3">
        <f>IF(($A448-Ft!C$2)&lt;0,Ft!C$3*((1-Ft!C$6)/(1+Ft!C$37*($A448-Ft!C$2)^2)+Ft!C$6*EXP(Ft!C$38*($A448-Ft!C$2)^2)),Ft!C$3*((1-Ft!C$7)/(1+Ft!C$39*($A448-Ft!C$2)^2)+Ft!C$7*EXP(Ft!C$40*($A448-Ft!C$2)^2)))</f>
        <v>8.8570141017464672E-20</v>
      </c>
      <c r="H448" s="3">
        <f>IF(($A448-Ft!D$2)&lt;0,Ft!D$3*((1-Ft!D$6)/(1+Ft!D$37*($A448-Ft!D$2)^2)+Ft!D$6*EXP(Ft!D$38*($A448-Ft!D$2)^2)),Ft!D$3*((1-Ft!D$7)/(1+Ft!D$39*($A448-Ft!D$2)^2)+Ft!D$7*EXP(Ft!D$40*($A448-Ft!D$2)^2)))</f>
        <v>0.59966680321384025</v>
      </c>
      <c r="I448" s="3">
        <f>IF(($A448-Ft!E$2)&lt;0,Ft!E$3*((1-Ft!E$6)/(1+Ft!E$37*($A448-Ft!E$2)^2)+Ft!E$6*EXP(Ft!E$38*($A448-Ft!E$2)^2)),Ft!E$3*((1-Ft!E$7)/(1+Ft!E$39*($A448-Ft!E$2)^2)+Ft!E$7*EXP(Ft!E$40*($A448-Ft!E$2)^2)))</f>
        <v>13.755409033044346</v>
      </c>
      <c r="J448" s="3">
        <f>IF(($A448-Ft!F$2)&lt;0,Ft!F$3*((1-Ft!F$6)/(1+Ft!F$37*($A448-Ft!F$2)^2)+Ft!F$6*EXP(Ft!F$38*($A448-Ft!F$2)^2)),Ft!F$3*((1-Ft!F$7)/(1+Ft!F$39*($A448-Ft!F$2)^2)+Ft!F$7*EXP(Ft!F$40*($A448-Ft!F$2)^2)))</f>
        <v>0.19960609117540984</v>
      </c>
      <c r="K448" s="3">
        <f>IF(($A448-Ft!G$2)&lt;0,Ft!G$3*((1-Ft!G$6)/(1+Ft!G$37*($A448-Ft!G$2)^2)+Ft!G$6*EXP(Ft!G$38*($A448-Ft!G$2)^2)),Ft!G$3*((1-Ft!G$7)/(1+Ft!G$39*($A448-Ft!G$2)^2)+Ft!G$7*EXP(Ft!G$40*($A448-Ft!G$2)^2)))</f>
        <v>1.2053834192815183E-9</v>
      </c>
      <c r="L448" s="3">
        <f>IF(($A448-Ft!H$2)&lt;0,Ft!H$3*((1-Ft!H$6)/(1+Ft!H$37*($A448-Ft!H$2)^2)+Ft!H$6*EXP(Ft!H$38*($A448-Ft!H$2)^2)),Ft!H$3*((1-Ft!H$7)/(1+Ft!H$39*($A448-Ft!H$2)^2)+Ft!H$7*EXP(Ft!H$40*($A448-Ft!H$2)^2)))</f>
        <v>0</v>
      </c>
      <c r="M448" s="3">
        <f>IF(($A448-Ft!I$2)&lt;0,Ft!I$3*((1-Ft!I$6)/(1+Ft!I$37*($A448-Ft!I$2)^2)+Ft!I$6*EXP(Ft!I$38*($A448-Ft!I$2)^2)),Ft!I$3*((1-Ft!I$7)/(1+Ft!I$39*($A448-Ft!I$2)^2)+Ft!I$7*EXP(Ft!I$40*($A448-Ft!I$2)^2)))</f>
        <v>0</v>
      </c>
      <c r="N448" s="3">
        <f>IF(($A448-Ft!J$2)&lt;0,Ft!J$3*((1-Ft!J$6)/(1+Ft!J$37*($A448-Ft!J$2)^2)+Ft!J$6*EXP(Ft!J$38*($A448-Ft!J$2)^2)),Ft!J$3*((1-Ft!J$7)/(1+Ft!J$39*($A448-Ft!J$2)^2)+Ft!J$7*EXP(Ft!J$40*($A448-Ft!J$2)^2)))</f>
        <v>0</v>
      </c>
      <c r="O448" s="3">
        <f>IF(($A448-Ft!K$2)&lt;0,Ft!K$3*((1-Ft!K$6)/(1+Ft!K$37*($A448-Ft!K$2)^2)+Ft!K$6*EXP(Ft!K$38*($A448-Ft!K$2)^2)),Ft!K$3*((1-Ft!K$7)/(1+Ft!K$39*($A448-Ft!K$2)^2)+Ft!K$7*EXP(Ft!K$40*($A448-Ft!K$2)^2)))</f>
        <v>0</v>
      </c>
      <c r="P448"/>
      <c r="Q448"/>
    </row>
    <row r="449" spans="1:17">
      <c r="A449">
        <v>894</v>
      </c>
      <c r="B449">
        <v>14.675557126149002</v>
      </c>
      <c r="C449" s="6">
        <f t="shared" si="13"/>
        <v>14.463305232739618</v>
      </c>
      <c r="D449" s="19">
        <f t="shared" si="14"/>
        <v>4.5050866255868509E-2</v>
      </c>
      <c r="E449" s="3">
        <f>Ft!$B$12+Ft!$B$14*(Data!A449-Vars!$B$3)</f>
        <v>0</v>
      </c>
      <c r="F449" s="3">
        <f>IF(($A449-Ft!B$2)&lt;0,Ft!B$3*((1-Ft!B$6)/(1+Ft!B$37*($A449-Ft!B$2)^2)+Ft!B$6*EXP(Ft!B$38*($A449-Ft!B$2)^2)),Ft!B$3*((1-Ft!B$7)/(1+Ft!B$39*($A449-Ft!B$2)^2)+Ft!B$7*EXP(Ft!B$40*($A449-Ft!B$2)^2)))</f>
        <v>0</v>
      </c>
      <c r="G449" s="3">
        <f>IF(($A449-Ft!C$2)&lt;0,Ft!C$3*((1-Ft!C$6)/(1+Ft!C$37*($A449-Ft!C$2)^2)+Ft!C$6*EXP(Ft!C$38*($A449-Ft!C$2)^2)),Ft!C$3*((1-Ft!C$7)/(1+Ft!C$39*($A449-Ft!C$2)^2)+Ft!C$7*EXP(Ft!C$40*($A449-Ft!C$2)^2)))</f>
        <v>6.9325838528732805E-20</v>
      </c>
      <c r="H449" s="3">
        <f>IF(($A449-Ft!D$2)&lt;0,Ft!D$3*((1-Ft!D$6)/(1+Ft!D$37*($A449-Ft!D$2)^2)+Ft!D$6*EXP(Ft!D$38*($A449-Ft!D$2)^2)),Ft!D$3*((1-Ft!D$7)/(1+Ft!D$39*($A449-Ft!D$2)^2)+Ft!D$7*EXP(Ft!D$40*($A449-Ft!D$2)^2)))</f>
        <v>0.58105914097613742</v>
      </c>
      <c r="I449" s="3">
        <f>IF(($A449-Ft!E$2)&lt;0,Ft!E$3*((1-Ft!E$6)/(1+Ft!E$37*($A449-Ft!E$2)^2)+Ft!E$6*EXP(Ft!E$38*($A449-Ft!E$2)^2)),Ft!E$3*((1-Ft!E$7)/(1+Ft!E$39*($A449-Ft!E$2)^2)+Ft!E$7*EXP(Ft!E$40*($A449-Ft!E$2)^2)))</f>
        <v>13.658076543123377</v>
      </c>
      <c r="J449" s="3">
        <f>IF(($A449-Ft!F$2)&lt;0,Ft!F$3*((1-Ft!F$6)/(1+Ft!F$37*($A449-Ft!F$2)^2)+Ft!F$6*EXP(Ft!F$38*($A449-Ft!F$2)^2)),Ft!F$3*((1-Ft!F$7)/(1+Ft!F$39*($A449-Ft!F$2)^2)+Ft!F$7*EXP(Ft!F$40*($A449-Ft!F$2)^2)))</f>
        <v>0.22416954648847512</v>
      </c>
      <c r="K449" s="3">
        <f>IF(($A449-Ft!G$2)&lt;0,Ft!G$3*((1-Ft!G$6)/(1+Ft!G$37*($A449-Ft!G$2)^2)+Ft!G$6*EXP(Ft!G$38*($A449-Ft!G$2)^2)),Ft!G$3*((1-Ft!G$7)/(1+Ft!G$39*($A449-Ft!G$2)^2)+Ft!G$7*EXP(Ft!G$40*($A449-Ft!G$2)^2)))</f>
        <v>2.15162773916576E-9</v>
      </c>
      <c r="L449" s="3">
        <f>IF(($A449-Ft!H$2)&lt;0,Ft!H$3*((1-Ft!H$6)/(1+Ft!H$37*($A449-Ft!H$2)^2)+Ft!H$6*EXP(Ft!H$38*($A449-Ft!H$2)^2)),Ft!H$3*((1-Ft!H$7)/(1+Ft!H$39*($A449-Ft!H$2)^2)+Ft!H$7*EXP(Ft!H$40*($A449-Ft!H$2)^2)))</f>
        <v>0</v>
      </c>
      <c r="M449" s="3">
        <f>IF(($A449-Ft!I$2)&lt;0,Ft!I$3*((1-Ft!I$6)/(1+Ft!I$37*($A449-Ft!I$2)^2)+Ft!I$6*EXP(Ft!I$38*($A449-Ft!I$2)^2)),Ft!I$3*((1-Ft!I$7)/(1+Ft!I$39*($A449-Ft!I$2)^2)+Ft!I$7*EXP(Ft!I$40*($A449-Ft!I$2)^2)))</f>
        <v>0</v>
      </c>
      <c r="N449" s="3">
        <f>IF(($A449-Ft!J$2)&lt;0,Ft!J$3*((1-Ft!J$6)/(1+Ft!J$37*($A449-Ft!J$2)^2)+Ft!J$6*EXP(Ft!J$38*($A449-Ft!J$2)^2)),Ft!J$3*((1-Ft!J$7)/(1+Ft!J$39*($A449-Ft!J$2)^2)+Ft!J$7*EXP(Ft!J$40*($A449-Ft!J$2)^2)))</f>
        <v>0</v>
      </c>
      <c r="O449" s="3">
        <f>IF(($A449-Ft!K$2)&lt;0,Ft!K$3*((1-Ft!K$6)/(1+Ft!K$37*($A449-Ft!K$2)^2)+Ft!K$6*EXP(Ft!K$38*($A449-Ft!K$2)^2)),Ft!K$3*((1-Ft!K$7)/(1+Ft!K$39*($A449-Ft!K$2)^2)+Ft!K$7*EXP(Ft!K$40*($A449-Ft!K$2)^2)))</f>
        <v>0</v>
      </c>
      <c r="P449"/>
      <c r="Q449"/>
    </row>
    <row r="450" spans="1:17">
      <c r="A450">
        <v>896</v>
      </c>
      <c r="B450">
        <v>14.589456386525001</v>
      </c>
      <c r="C450" s="6">
        <f t="shared" si="13"/>
        <v>14.372864789268277</v>
      </c>
      <c r="D450" s="19">
        <f t="shared" si="14"/>
        <v>4.6911920002218666E-2</v>
      </c>
      <c r="E450" s="3">
        <f>Ft!$B$12+Ft!$B$14*(Data!A450-Vars!$B$3)</f>
        <v>0</v>
      </c>
      <c r="F450" s="3">
        <f>IF(($A450-Ft!B$2)&lt;0,Ft!B$3*((1-Ft!B$6)/(1+Ft!B$37*($A450-Ft!B$2)^2)+Ft!B$6*EXP(Ft!B$38*($A450-Ft!B$2)^2)),Ft!B$3*((1-Ft!B$7)/(1+Ft!B$39*($A450-Ft!B$2)^2)+Ft!B$7*EXP(Ft!B$40*($A450-Ft!B$2)^2)))</f>
        <v>0</v>
      </c>
      <c r="G450" s="3">
        <f>IF(($A450-Ft!C$2)&lt;0,Ft!C$3*((1-Ft!C$6)/(1+Ft!C$37*($A450-Ft!C$2)^2)+Ft!C$6*EXP(Ft!C$38*($A450-Ft!C$2)^2)),Ft!C$3*((1-Ft!C$7)/(1+Ft!C$39*($A450-Ft!C$2)^2)+Ft!C$7*EXP(Ft!C$40*($A450-Ft!C$2)^2)))</f>
        <v>5.4227659278521946E-20</v>
      </c>
      <c r="H450" s="3">
        <f>IF(($A450-Ft!D$2)&lt;0,Ft!D$3*((1-Ft!D$6)/(1+Ft!D$37*($A450-Ft!D$2)^2)+Ft!D$6*EXP(Ft!D$38*($A450-Ft!D$2)^2)),Ft!D$3*((1-Ft!D$7)/(1+Ft!D$39*($A450-Ft!D$2)^2)+Ft!D$7*EXP(Ft!D$40*($A450-Ft!D$2)^2)))</f>
        <v>0.56294793797745191</v>
      </c>
      <c r="I450" s="3">
        <f>IF(($A450-Ft!E$2)&lt;0,Ft!E$3*((1-Ft!E$6)/(1+Ft!E$37*($A450-Ft!E$2)^2)+Ft!E$6*EXP(Ft!E$38*($A450-Ft!E$2)^2)),Ft!E$3*((1-Ft!E$7)/(1+Ft!E$39*($A450-Ft!E$2)^2)+Ft!E$7*EXP(Ft!E$40*($A450-Ft!E$2)^2)))</f>
        <v>13.558702343197707</v>
      </c>
      <c r="J450" s="3">
        <f>IF(($A450-Ft!F$2)&lt;0,Ft!F$3*((1-Ft!F$6)/(1+Ft!F$37*($A450-Ft!F$2)^2)+Ft!F$6*EXP(Ft!F$38*($A450-Ft!F$2)^2)),Ft!F$3*((1-Ft!F$7)/(1+Ft!F$39*($A450-Ft!F$2)^2)+Ft!F$7*EXP(Ft!F$40*($A450-Ft!F$2)^2)))</f>
        <v>0.25121450428153147</v>
      </c>
      <c r="K450" s="3">
        <f>IF(($A450-Ft!G$2)&lt;0,Ft!G$3*((1-Ft!G$6)/(1+Ft!G$37*($A450-Ft!G$2)^2)+Ft!G$6*EXP(Ft!G$38*($A450-Ft!G$2)^2)),Ft!G$3*((1-Ft!G$7)/(1+Ft!G$39*($A450-Ft!G$2)^2)+Ft!G$7*EXP(Ft!G$40*($A450-Ft!G$2)^2)))</f>
        <v>3.8115883268312211E-9</v>
      </c>
      <c r="L450" s="3">
        <f>IF(($A450-Ft!H$2)&lt;0,Ft!H$3*((1-Ft!H$6)/(1+Ft!H$37*($A450-Ft!H$2)^2)+Ft!H$6*EXP(Ft!H$38*($A450-Ft!H$2)^2)),Ft!H$3*((1-Ft!H$7)/(1+Ft!H$39*($A450-Ft!H$2)^2)+Ft!H$7*EXP(Ft!H$40*($A450-Ft!H$2)^2)))</f>
        <v>0</v>
      </c>
      <c r="M450" s="3">
        <f>IF(($A450-Ft!I$2)&lt;0,Ft!I$3*((1-Ft!I$6)/(1+Ft!I$37*($A450-Ft!I$2)^2)+Ft!I$6*EXP(Ft!I$38*($A450-Ft!I$2)^2)),Ft!I$3*((1-Ft!I$7)/(1+Ft!I$39*($A450-Ft!I$2)^2)+Ft!I$7*EXP(Ft!I$40*($A450-Ft!I$2)^2)))</f>
        <v>0</v>
      </c>
      <c r="N450" s="3">
        <f>IF(($A450-Ft!J$2)&lt;0,Ft!J$3*((1-Ft!J$6)/(1+Ft!J$37*($A450-Ft!J$2)^2)+Ft!J$6*EXP(Ft!J$38*($A450-Ft!J$2)^2)),Ft!J$3*((1-Ft!J$7)/(1+Ft!J$39*($A450-Ft!J$2)^2)+Ft!J$7*EXP(Ft!J$40*($A450-Ft!J$2)^2)))</f>
        <v>0</v>
      </c>
      <c r="O450" s="3">
        <f>IF(($A450-Ft!K$2)&lt;0,Ft!K$3*((1-Ft!K$6)/(1+Ft!K$37*($A450-Ft!K$2)^2)+Ft!K$6*EXP(Ft!K$38*($A450-Ft!K$2)^2)),Ft!K$3*((1-Ft!K$7)/(1+Ft!K$39*($A450-Ft!K$2)^2)+Ft!K$7*EXP(Ft!K$40*($A450-Ft!K$2)^2)))</f>
        <v>0</v>
      </c>
      <c r="P450"/>
      <c r="Q450"/>
    </row>
    <row r="451" spans="1:17">
      <c r="A451">
        <v>898</v>
      </c>
      <c r="B451">
        <v>14.498457241343999</v>
      </c>
      <c r="C451" s="6">
        <f t="shared" ref="C451:C514" si="15">SUM(E451:K451)</f>
        <v>14.283581049871968</v>
      </c>
      <c r="D451" s="19">
        <f t="shared" ref="D451:D514" si="16">(C451-B451)^2</f>
        <v>4.6171777661525103E-2</v>
      </c>
      <c r="E451" s="3">
        <f>Ft!$B$12+Ft!$B$14*(Data!A451-Vars!$B$3)</f>
        <v>0</v>
      </c>
      <c r="F451" s="3">
        <f>IF(($A451-Ft!B$2)&lt;0,Ft!B$3*((1-Ft!B$6)/(1+Ft!B$37*($A451-Ft!B$2)^2)+Ft!B$6*EXP(Ft!B$38*($A451-Ft!B$2)^2)),Ft!B$3*((1-Ft!B$7)/(1+Ft!B$39*($A451-Ft!B$2)^2)+Ft!B$7*EXP(Ft!B$40*($A451-Ft!B$2)^2)))</f>
        <v>0</v>
      </c>
      <c r="G451" s="3">
        <f>IF(($A451-Ft!C$2)&lt;0,Ft!C$3*((1-Ft!C$6)/(1+Ft!C$37*($A451-Ft!C$2)^2)+Ft!C$6*EXP(Ft!C$38*($A451-Ft!C$2)^2)),Ft!C$3*((1-Ft!C$7)/(1+Ft!C$39*($A451-Ft!C$2)^2)+Ft!C$7*EXP(Ft!C$40*($A451-Ft!C$2)^2)))</f>
        <v>4.2390107530034863E-20</v>
      </c>
      <c r="H451" s="3">
        <f>IF(($A451-Ft!D$2)&lt;0,Ft!D$3*((1-Ft!D$6)/(1+Ft!D$37*($A451-Ft!D$2)^2)+Ft!D$6*EXP(Ft!D$38*($A451-Ft!D$2)^2)),Ft!D$3*((1-Ft!D$7)/(1+Ft!D$39*($A451-Ft!D$2)^2)+Ft!D$7*EXP(Ft!D$40*($A451-Ft!D$2)^2)))</f>
        <v>0.5453228458295547</v>
      </c>
      <c r="I451" s="3">
        <f>IF(($A451-Ft!E$2)&lt;0,Ft!E$3*((1-Ft!E$6)/(1+Ft!E$37*($A451-Ft!E$2)^2)+Ft!E$6*EXP(Ft!E$38*($A451-Ft!E$2)^2)),Ft!E$3*((1-Ft!E$7)/(1+Ft!E$39*($A451-Ft!E$2)^2)+Ft!E$7*EXP(Ft!E$40*($A451-Ft!E$2)^2)))</f>
        <v>13.457341158449083</v>
      </c>
      <c r="J451" s="3">
        <f>IF(($A451-Ft!F$2)&lt;0,Ft!F$3*((1-Ft!F$6)/(1+Ft!F$37*($A451-Ft!F$2)^2)+Ft!F$6*EXP(Ft!F$38*($A451-Ft!F$2)^2)),Ft!F$3*((1-Ft!F$7)/(1+Ft!F$39*($A451-Ft!F$2)^2)+Ft!F$7*EXP(Ft!F$40*($A451-Ft!F$2)^2)))</f>
        <v>0.28091703889229808</v>
      </c>
      <c r="K451" s="3">
        <f>IF(($A451-Ft!G$2)&lt;0,Ft!G$3*((1-Ft!G$6)/(1+Ft!G$37*($A451-Ft!G$2)^2)+Ft!G$6*EXP(Ft!G$38*($A451-Ft!G$2)^2)),Ft!G$3*((1-Ft!G$7)/(1+Ft!G$39*($A451-Ft!G$2)^2)+Ft!G$7*EXP(Ft!G$40*($A451-Ft!G$2)^2)))</f>
        <v>6.701033266741778E-9</v>
      </c>
      <c r="L451" s="3">
        <f>IF(($A451-Ft!H$2)&lt;0,Ft!H$3*((1-Ft!H$6)/(1+Ft!H$37*($A451-Ft!H$2)^2)+Ft!H$6*EXP(Ft!H$38*($A451-Ft!H$2)^2)),Ft!H$3*((1-Ft!H$7)/(1+Ft!H$39*($A451-Ft!H$2)^2)+Ft!H$7*EXP(Ft!H$40*($A451-Ft!H$2)^2)))</f>
        <v>0</v>
      </c>
      <c r="M451" s="3">
        <f>IF(($A451-Ft!I$2)&lt;0,Ft!I$3*((1-Ft!I$6)/(1+Ft!I$37*($A451-Ft!I$2)^2)+Ft!I$6*EXP(Ft!I$38*($A451-Ft!I$2)^2)),Ft!I$3*((1-Ft!I$7)/(1+Ft!I$39*($A451-Ft!I$2)^2)+Ft!I$7*EXP(Ft!I$40*($A451-Ft!I$2)^2)))</f>
        <v>0</v>
      </c>
      <c r="N451" s="3">
        <f>IF(($A451-Ft!J$2)&lt;0,Ft!J$3*((1-Ft!J$6)/(1+Ft!J$37*($A451-Ft!J$2)^2)+Ft!J$6*EXP(Ft!J$38*($A451-Ft!J$2)^2)),Ft!J$3*((1-Ft!J$7)/(1+Ft!J$39*($A451-Ft!J$2)^2)+Ft!J$7*EXP(Ft!J$40*($A451-Ft!J$2)^2)))</f>
        <v>0</v>
      </c>
      <c r="O451" s="3">
        <f>IF(($A451-Ft!K$2)&lt;0,Ft!K$3*((1-Ft!K$6)/(1+Ft!K$37*($A451-Ft!K$2)^2)+Ft!K$6*EXP(Ft!K$38*($A451-Ft!K$2)^2)),Ft!K$3*((1-Ft!K$7)/(1+Ft!K$39*($A451-Ft!K$2)^2)+Ft!K$7*EXP(Ft!K$40*($A451-Ft!K$2)^2)))</f>
        <v>0</v>
      </c>
      <c r="P451"/>
      <c r="Q451"/>
    </row>
    <row r="452" spans="1:17">
      <c r="A452">
        <v>900</v>
      </c>
      <c r="B452">
        <v>14.40431579492099</v>
      </c>
      <c r="C452" s="6">
        <f t="shared" si="15"/>
        <v>14.195678252125058</v>
      </c>
      <c r="D452" s="19">
        <f t="shared" si="16"/>
        <v>4.3529624263924427E-2</v>
      </c>
      <c r="E452" s="3">
        <f>Ft!$B$12+Ft!$B$14*(Data!A452-Vars!$B$3)</f>
        <v>0</v>
      </c>
      <c r="F452" s="3">
        <f>IF(($A452-Ft!B$2)&lt;0,Ft!B$3*((1-Ft!B$6)/(1+Ft!B$37*($A452-Ft!B$2)^2)+Ft!B$6*EXP(Ft!B$38*($A452-Ft!B$2)^2)),Ft!B$3*((1-Ft!B$7)/(1+Ft!B$39*($A452-Ft!B$2)^2)+Ft!B$7*EXP(Ft!B$40*($A452-Ft!B$2)^2)))</f>
        <v>0</v>
      </c>
      <c r="G452" s="3">
        <f>IF(($A452-Ft!C$2)&lt;0,Ft!C$3*((1-Ft!C$6)/(1+Ft!C$37*($A452-Ft!C$2)^2)+Ft!C$6*EXP(Ft!C$38*($A452-Ft!C$2)^2)),Ft!C$3*((1-Ft!C$7)/(1+Ft!C$39*($A452-Ft!C$2)^2)+Ft!C$7*EXP(Ft!C$40*($A452-Ft!C$2)^2)))</f>
        <v>3.3115102989084299E-20</v>
      </c>
      <c r="H452" s="3">
        <f>IF(($A452-Ft!D$2)&lt;0,Ft!D$3*((1-Ft!D$6)/(1+Ft!D$37*($A452-Ft!D$2)^2)+Ft!D$6*EXP(Ft!D$38*($A452-Ft!D$2)^2)),Ft!D$3*((1-Ft!D$7)/(1+Ft!D$39*($A452-Ft!D$2)^2)+Ft!D$7*EXP(Ft!D$40*($A452-Ft!D$2)^2)))</f>
        <v>0.52817363306117926</v>
      </c>
      <c r="I452" s="3">
        <f>IF(($A452-Ft!E$2)&lt;0,Ft!E$3*((1-Ft!E$6)/(1+Ft!E$37*($A452-Ft!E$2)^2)+Ft!E$6*EXP(Ft!E$38*($A452-Ft!E$2)^2)),Ft!E$3*((1-Ft!E$7)/(1+Ft!E$39*($A452-Ft!E$2)^2)+Ft!E$7*EXP(Ft!E$40*($A452-Ft!E$2)^2)))</f>
        <v>13.354048506151743</v>
      </c>
      <c r="J452" s="3">
        <f>IF(($A452-Ft!F$2)&lt;0,Ft!F$3*((1-Ft!F$6)/(1+Ft!F$37*($A452-Ft!F$2)^2)+Ft!F$6*EXP(Ft!F$38*($A452-Ft!F$2)^2)),Ft!F$3*((1-Ft!F$7)/(1+Ft!F$39*($A452-Ft!F$2)^2)+Ft!F$7*EXP(Ft!F$40*($A452-Ft!F$2)^2)))</f>
        <v>0.3134561012205212</v>
      </c>
      <c r="K452" s="3">
        <f>IF(($A452-Ft!G$2)&lt;0,Ft!G$3*((1-Ft!G$6)/(1+Ft!G$37*($A452-Ft!G$2)^2)+Ft!G$6*EXP(Ft!G$38*($A452-Ft!G$2)^2)),Ft!G$3*((1-Ft!G$7)/(1+Ft!G$39*($A452-Ft!G$2)^2)+Ft!G$7*EXP(Ft!G$40*($A452-Ft!G$2)^2)))</f>
        <v>1.1691614624572791E-8</v>
      </c>
      <c r="L452" s="3">
        <f>IF(($A452-Ft!H$2)&lt;0,Ft!H$3*((1-Ft!H$6)/(1+Ft!H$37*($A452-Ft!H$2)^2)+Ft!H$6*EXP(Ft!H$38*($A452-Ft!H$2)^2)),Ft!H$3*((1-Ft!H$7)/(1+Ft!H$39*($A452-Ft!H$2)^2)+Ft!H$7*EXP(Ft!H$40*($A452-Ft!H$2)^2)))</f>
        <v>0</v>
      </c>
      <c r="M452" s="3">
        <f>IF(($A452-Ft!I$2)&lt;0,Ft!I$3*((1-Ft!I$6)/(1+Ft!I$37*($A452-Ft!I$2)^2)+Ft!I$6*EXP(Ft!I$38*($A452-Ft!I$2)^2)),Ft!I$3*((1-Ft!I$7)/(1+Ft!I$39*($A452-Ft!I$2)^2)+Ft!I$7*EXP(Ft!I$40*($A452-Ft!I$2)^2)))</f>
        <v>0</v>
      </c>
      <c r="N452" s="3">
        <f>IF(($A452-Ft!J$2)&lt;0,Ft!J$3*((1-Ft!J$6)/(1+Ft!J$37*($A452-Ft!J$2)^2)+Ft!J$6*EXP(Ft!J$38*($A452-Ft!J$2)^2)),Ft!J$3*((1-Ft!J$7)/(1+Ft!J$39*($A452-Ft!J$2)^2)+Ft!J$7*EXP(Ft!J$40*($A452-Ft!J$2)^2)))</f>
        <v>0</v>
      </c>
      <c r="O452" s="3">
        <f>IF(($A452-Ft!K$2)&lt;0,Ft!K$3*((1-Ft!K$6)/(1+Ft!K$37*($A452-Ft!K$2)^2)+Ft!K$6*EXP(Ft!K$38*($A452-Ft!K$2)^2)),Ft!K$3*((1-Ft!K$7)/(1+Ft!K$39*($A452-Ft!K$2)^2)+Ft!K$7*EXP(Ft!K$40*($A452-Ft!K$2)^2)))</f>
        <v>0</v>
      </c>
      <c r="P452"/>
      <c r="Q452"/>
    </row>
    <row r="453" spans="1:17">
      <c r="A453">
        <v>902</v>
      </c>
      <c r="B453">
        <v>14.308788151573992</v>
      </c>
      <c r="C453" s="6">
        <f t="shared" si="15"/>
        <v>14.109383083983253</v>
      </c>
      <c r="D453" s="19">
        <f t="shared" si="16"/>
        <v>3.9762380980867124E-2</v>
      </c>
      <c r="E453" s="3">
        <f>Ft!$B$12+Ft!$B$14*(Data!A453-Vars!$B$3)</f>
        <v>0</v>
      </c>
      <c r="F453" s="3">
        <f>IF(($A453-Ft!B$2)&lt;0,Ft!B$3*((1-Ft!B$6)/(1+Ft!B$37*($A453-Ft!B$2)^2)+Ft!B$6*EXP(Ft!B$38*($A453-Ft!B$2)^2)),Ft!B$3*((1-Ft!B$7)/(1+Ft!B$39*($A453-Ft!B$2)^2)+Ft!B$7*EXP(Ft!B$40*($A453-Ft!B$2)^2)))</f>
        <v>0</v>
      </c>
      <c r="G453" s="3">
        <f>IF(($A453-Ft!C$2)&lt;0,Ft!C$3*((1-Ft!C$6)/(1+Ft!C$37*($A453-Ft!C$2)^2)+Ft!C$6*EXP(Ft!C$38*($A453-Ft!C$2)^2)),Ft!C$3*((1-Ft!C$7)/(1+Ft!C$39*($A453-Ft!C$2)^2)+Ft!C$7*EXP(Ft!C$40*($A453-Ft!C$2)^2)))</f>
        <v>2.5852683780450876E-20</v>
      </c>
      <c r="H453" s="3">
        <f>IF(($A453-Ft!D$2)&lt;0,Ft!D$3*((1-Ft!D$6)/(1+Ft!D$37*($A453-Ft!D$2)^2)+Ft!D$6*EXP(Ft!D$38*($A453-Ft!D$2)^2)),Ft!D$3*((1-Ft!D$7)/(1+Ft!D$39*($A453-Ft!D$2)^2)+Ft!D$7*EXP(Ft!D$40*($A453-Ft!D$2)^2)))</f>
        <v>0.51149018724808204</v>
      </c>
      <c r="I453" s="3">
        <f>IF(($A453-Ft!E$2)&lt;0,Ft!E$3*((1-Ft!E$6)/(1+Ft!E$37*($A453-Ft!E$2)^2)+Ft!E$6*EXP(Ft!E$38*($A453-Ft!E$2)^2)),Ft!E$3*((1-Ft!E$7)/(1+Ft!E$39*($A453-Ft!E$2)^2)+Ft!E$7*EXP(Ft!E$40*($A453-Ft!E$2)^2)))</f>
        <v>13.248880645210017</v>
      </c>
      <c r="J453" s="3">
        <f>IF(($A453-Ft!F$2)&lt;0,Ft!F$3*((1-Ft!F$6)/(1+Ft!F$37*($A453-Ft!F$2)^2)+Ft!F$6*EXP(Ft!F$38*($A453-Ft!F$2)^2)),Ft!F$3*((1-Ft!F$7)/(1+Ft!F$39*($A453-Ft!F$2)^2)+Ft!F$7*EXP(Ft!F$40*($A453-Ft!F$2)^2)))</f>
        <v>0.34901223128079001</v>
      </c>
      <c r="K453" s="3">
        <f>IF(($A453-Ft!G$2)&lt;0,Ft!G$3*((1-Ft!G$6)/(1+Ft!G$37*($A453-Ft!G$2)^2)+Ft!G$6*EXP(Ft!G$38*($A453-Ft!G$2)^2)),Ft!G$3*((1-Ft!G$7)/(1+Ft!G$39*($A453-Ft!G$2)^2)+Ft!G$7*EXP(Ft!G$40*($A453-Ft!G$2)^2)))</f>
        <v>2.0244364205430778E-8</v>
      </c>
      <c r="L453" s="3">
        <f>IF(($A453-Ft!H$2)&lt;0,Ft!H$3*((1-Ft!H$6)/(1+Ft!H$37*($A453-Ft!H$2)^2)+Ft!H$6*EXP(Ft!H$38*($A453-Ft!H$2)^2)),Ft!H$3*((1-Ft!H$7)/(1+Ft!H$39*($A453-Ft!H$2)^2)+Ft!H$7*EXP(Ft!H$40*($A453-Ft!H$2)^2)))</f>
        <v>0</v>
      </c>
      <c r="M453" s="3">
        <f>IF(($A453-Ft!I$2)&lt;0,Ft!I$3*((1-Ft!I$6)/(1+Ft!I$37*($A453-Ft!I$2)^2)+Ft!I$6*EXP(Ft!I$38*($A453-Ft!I$2)^2)),Ft!I$3*((1-Ft!I$7)/(1+Ft!I$39*($A453-Ft!I$2)^2)+Ft!I$7*EXP(Ft!I$40*($A453-Ft!I$2)^2)))</f>
        <v>0</v>
      </c>
      <c r="N453" s="3">
        <f>IF(($A453-Ft!J$2)&lt;0,Ft!J$3*((1-Ft!J$6)/(1+Ft!J$37*($A453-Ft!J$2)^2)+Ft!J$6*EXP(Ft!J$38*($A453-Ft!J$2)^2)),Ft!J$3*((1-Ft!J$7)/(1+Ft!J$39*($A453-Ft!J$2)^2)+Ft!J$7*EXP(Ft!J$40*($A453-Ft!J$2)^2)))</f>
        <v>0</v>
      </c>
      <c r="O453" s="3">
        <f>IF(($A453-Ft!K$2)&lt;0,Ft!K$3*((1-Ft!K$6)/(1+Ft!K$37*($A453-Ft!K$2)^2)+Ft!K$6*EXP(Ft!K$38*($A453-Ft!K$2)^2)),Ft!K$3*((1-Ft!K$7)/(1+Ft!K$39*($A453-Ft!K$2)^2)+Ft!K$7*EXP(Ft!K$40*($A453-Ft!K$2)^2)))</f>
        <v>0</v>
      </c>
      <c r="P453"/>
      <c r="Q453"/>
    </row>
    <row r="454" spans="1:17">
      <c r="A454">
        <v>904</v>
      </c>
      <c r="B454">
        <v>14.213630415620997</v>
      </c>
      <c r="C454" s="6">
        <f t="shared" si="15"/>
        <v>14.024923179291932</v>
      </c>
      <c r="D454" s="19">
        <f t="shared" si="16"/>
        <v>3.5610421042953817E-2</v>
      </c>
      <c r="E454" s="3">
        <f>Ft!$B$12+Ft!$B$14*(Data!A454-Vars!$B$3)</f>
        <v>0</v>
      </c>
      <c r="F454" s="3">
        <f>IF(($A454-Ft!B$2)&lt;0,Ft!B$3*((1-Ft!B$6)/(1+Ft!B$37*($A454-Ft!B$2)^2)+Ft!B$6*EXP(Ft!B$38*($A454-Ft!B$2)^2)),Ft!B$3*((1-Ft!B$7)/(1+Ft!B$39*($A454-Ft!B$2)^2)+Ft!B$7*EXP(Ft!B$40*($A454-Ft!B$2)^2)))</f>
        <v>0</v>
      </c>
      <c r="G454" s="3">
        <f>IF(($A454-Ft!C$2)&lt;0,Ft!C$3*((1-Ft!C$6)/(1+Ft!C$37*($A454-Ft!C$2)^2)+Ft!C$6*EXP(Ft!C$38*($A454-Ft!C$2)^2)),Ft!C$3*((1-Ft!C$7)/(1+Ft!C$39*($A454-Ft!C$2)^2)+Ft!C$7*EXP(Ft!C$40*($A454-Ft!C$2)^2)))</f>
        <v>2.0169869595950288E-20</v>
      </c>
      <c r="H454" s="3">
        <f>IF(($A454-Ft!D$2)&lt;0,Ft!D$3*((1-Ft!D$6)/(1+Ft!D$37*($A454-Ft!D$2)^2)+Ft!D$6*EXP(Ft!D$38*($A454-Ft!D$2)^2)),Ft!D$3*((1-Ft!D$7)/(1+Ft!D$39*($A454-Ft!D$2)^2)+Ft!D$7*EXP(Ft!D$40*($A454-Ft!D$2)^2)))</f>
        <v>0.49526251699205909</v>
      </c>
      <c r="I454" s="3">
        <f>IF(($A454-Ft!E$2)&lt;0,Ft!E$3*((1-Ft!E$6)/(1+Ft!E$37*($A454-Ft!E$2)^2)+Ft!E$6*EXP(Ft!E$38*($A454-Ft!E$2)^2)),Ft!E$3*((1-Ft!E$7)/(1+Ft!E$39*($A454-Ft!E$2)^2)+Ft!E$7*EXP(Ft!E$40*($A454-Ft!E$2)^2)))</f>
        <v>13.141894525334452</v>
      </c>
      <c r="J454" s="3">
        <f>IF(($A454-Ft!F$2)&lt;0,Ft!F$3*((1-Ft!F$6)/(1+Ft!F$37*($A454-Ft!F$2)^2)+Ft!F$6*EXP(Ft!F$38*($A454-Ft!F$2)^2)),Ft!F$3*((1-Ft!F$7)/(1+Ft!F$39*($A454-Ft!F$2)^2)+Ft!F$7*EXP(Ft!F$40*($A454-Ft!F$2)^2)))</f>
        <v>0.3877661021773201</v>
      </c>
      <c r="K454" s="3">
        <f>IF(($A454-Ft!G$2)&lt;0,Ft!G$3*((1-Ft!G$6)/(1+Ft!G$37*($A454-Ft!G$2)^2)+Ft!G$6*EXP(Ft!G$38*($A454-Ft!G$2)^2)),Ft!G$3*((1-Ft!G$7)/(1+Ft!G$39*($A454-Ft!G$2)^2)+Ft!G$7*EXP(Ft!G$40*($A454-Ft!G$2)^2)))</f>
        <v>3.4788101140125159E-8</v>
      </c>
      <c r="L454" s="3">
        <f>IF(($A454-Ft!H$2)&lt;0,Ft!H$3*((1-Ft!H$6)/(1+Ft!H$37*($A454-Ft!H$2)^2)+Ft!H$6*EXP(Ft!H$38*($A454-Ft!H$2)^2)),Ft!H$3*((1-Ft!H$7)/(1+Ft!H$39*($A454-Ft!H$2)^2)+Ft!H$7*EXP(Ft!H$40*($A454-Ft!H$2)^2)))</f>
        <v>0</v>
      </c>
      <c r="M454" s="3">
        <f>IF(($A454-Ft!I$2)&lt;0,Ft!I$3*((1-Ft!I$6)/(1+Ft!I$37*($A454-Ft!I$2)^2)+Ft!I$6*EXP(Ft!I$38*($A454-Ft!I$2)^2)),Ft!I$3*((1-Ft!I$7)/(1+Ft!I$39*($A454-Ft!I$2)^2)+Ft!I$7*EXP(Ft!I$40*($A454-Ft!I$2)^2)))</f>
        <v>0</v>
      </c>
      <c r="N454" s="3">
        <f>IF(($A454-Ft!J$2)&lt;0,Ft!J$3*((1-Ft!J$6)/(1+Ft!J$37*($A454-Ft!J$2)^2)+Ft!J$6*EXP(Ft!J$38*($A454-Ft!J$2)^2)),Ft!J$3*((1-Ft!J$7)/(1+Ft!J$39*($A454-Ft!J$2)^2)+Ft!J$7*EXP(Ft!J$40*($A454-Ft!J$2)^2)))</f>
        <v>0</v>
      </c>
      <c r="O454" s="3">
        <f>IF(($A454-Ft!K$2)&lt;0,Ft!K$3*((1-Ft!K$6)/(1+Ft!K$37*($A454-Ft!K$2)^2)+Ft!K$6*EXP(Ft!K$38*($A454-Ft!K$2)^2)),Ft!K$3*((1-Ft!K$7)/(1+Ft!K$39*($A454-Ft!K$2)^2)+Ft!K$7*EXP(Ft!K$40*($A454-Ft!K$2)^2)))</f>
        <v>0</v>
      </c>
      <c r="P454"/>
      <c r="Q454"/>
    </row>
    <row r="455" spans="1:17">
      <c r="A455">
        <v>906</v>
      </c>
      <c r="B455">
        <v>14.120598691379001</v>
      </c>
      <c r="C455" s="6">
        <f t="shared" si="15"/>
        <v>13.942525444820239</v>
      </c>
      <c r="D455" s="19">
        <f t="shared" si="16"/>
        <v>3.1710081139977718E-2</v>
      </c>
      <c r="E455" s="3">
        <f>Ft!$B$12+Ft!$B$14*(Data!A455-Vars!$B$3)</f>
        <v>0</v>
      </c>
      <c r="F455" s="3">
        <f>IF(($A455-Ft!B$2)&lt;0,Ft!B$3*((1-Ft!B$6)/(1+Ft!B$37*($A455-Ft!B$2)^2)+Ft!B$6*EXP(Ft!B$38*($A455-Ft!B$2)^2)),Ft!B$3*((1-Ft!B$7)/(1+Ft!B$39*($A455-Ft!B$2)^2)+Ft!B$7*EXP(Ft!B$40*($A455-Ft!B$2)^2)))</f>
        <v>0</v>
      </c>
      <c r="G455" s="3">
        <f>IF(($A455-Ft!C$2)&lt;0,Ft!C$3*((1-Ft!C$6)/(1+Ft!C$37*($A455-Ft!C$2)^2)+Ft!C$6*EXP(Ft!C$38*($A455-Ft!C$2)^2)),Ft!C$3*((1-Ft!C$7)/(1+Ft!C$39*($A455-Ft!C$2)^2)+Ft!C$7*EXP(Ft!C$40*($A455-Ft!C$2)^2)))</f>
        <v>1.5726007515769379E-20</v>
      </c>
      <c r="H455" s="3">
        <f>IF(($A455-Ft!D$2)&lt;0,Ft!D$3*((1-Ft!D$6)/(1+Ft!D$37*($A455-Ft!D$2)^2)+Ft!D$6*EXP(Ft!D$38*($A455-Ft!D$2)^2)),Ft!D$3*((1-Ft!D$7)/(1+Ft!D$39*($A455-Ft!D$2)^2)+Ft!D$7*EXP(Ft!D$40*($A455-Ft!D$2)^2)))</f>
        <v>0.47948075375198801</v>
      </c>
      <c r="I455" s="3">
        <f>IF(($A455-Ft!E$2)&lt;0,Ft!E$3*((1-Ft!E$6)/(1+Ft!E$37*($A455-Ft!E$2)^2)+Ft!E$6*EXP(Ft!E$38*($A455-Ft!E$2)^2)),Ft!E$3*((1-Ft!E$7)/(1+Ft!E$39*($A455-Ft!E$2)^2)+Ft!E$7*EXP(Ft!E$40*($A455-Ft!E$2)^2)))</f>
        <v>13.033147735920442</v>
      </c>
      <c r="J455" s="3">
        <f>IF(($A455-Ft!F$2)&lt;0,Ft!F$3*((1-Ft!F$6)/(1+Ft!F$37*($A455-Ft!F$2)^2)+Ft!F$6*EXP(Ft!F$38*($A455-Ft!F$2)^2)),Ft!F$3*((1-Ft!F$7)/(1+Ft!F$39*($A455-Ft!F$2)^2)+Ft!F$7*EXP(Ft!F$40*($A455-Ft!F$2)^2)))</f>
        <v>0.42989689582055751</v>
      </c>
      <c r="K455" s="3">
        <f>IF(($A455-Ft!G$2)&lt;0,Ft!G$3*((1-Ft!G$6)/(1+Ft!G$37*($A455-Ft!G$2)^2)+Ft!G$6*EXP(Ft!G$38*($A455-Ft!G$2)^2)),Ft!G$3*((1-Ft!G$7)/(1+Ft!G$39*($A455-Ft!G$2)^2)+Ft!G$7*EXP(Ft!G$40*($A455-Ft!G$2)^2)))</f>
        <v>5.9327252791467798E-8</v>
      </c>
      <c r="L455" s="3">
        <f>IF(($A455-Ft!H$2)&lt;0,Ft!H$3*((1-Ft!H$6)/(1+Ft!H$37*($A455-Ft!H$2)^2)+Ft!H$6*EXP(Ft!H$38*($A455-Ft!H$2)^2)),Ft!H$3*((1-Ft!H$7)/(1+Ft!H$39*($A455-Ft!H$2)^2)+Ft!H$7*EXP(Ft!H$40*($A455-Ft!H$2)^2)))</f>
        <v>0</v>
      </c>
      <c r="M455" s="3">
        <f>IF(($A455-Ft!I$2)&lt;0,Ft!I$3*((1-Ft!I$6)/(1+Ft!I$37*($A455-Ft!I$2)^2)+Ft!I$6*EXP(Ft!I$38*($A455-Ft!I$2)^2)),Ft!I$3*((1-Ft!I$7)/(1+Ft!I$39*($A455-Ft!I$2)^2)+Ft!I$7*EXP(Ft!I$40*($A455-Ft!I$2)^2)))</f>
        <v>0</v>
      </c>
      <c r="N455" s="3">
        <f>IF(($A455-Ft!J$2)&lt;0,Ft!J$3*((1-Ft!J$6)/(1+Ft!J$37*($A455-Ft!J$2)^2)+Ft!J$6*EXP(Ft!J$38*($A455-Ft!J$2)^2)),Ft!J$3*((1-Ft!J$7)/(1+Ft!J$39*($A455-Ft!J$2)^2)+Ft!J$7*EXP(Ft!J$40*($A455-Ft!J$2)^2)))</f>
        <v>0</v>
      </c>
      <c r="O455" s="3">
        <f>IF(($A455-Ft!K$2)&lt;0,Ft!K$3*((1-Ft!K$6)/(1+Ft!K$37*($A455-Ft!K$2)^2)+Ft!K$6*EXP(Ft!K$38*($A455-Ft!K$2)^2)),Ft!K$3*((1-Ft!K$7)/(1+Ft!K$39*($A455-Ft!K$2)^2)+Ft!K$7*EXP(Ft!K$40*($A455-Ft!K$2)^2)))</f>
        <v>0</v>
      </c>
      <c r="P455"/>
      <c r="Q455"/>
    </row>
    <row r="456" spans="1:17">
      <c r="A456">
        <v>908</v>
      </c>
      <c r="B456">
        <v>14.031449083163992</v>
      </c>
      <c r="C456" s="6">
        <f t="shared" si="15"/>
        <v>13.862414222045038</v>
      </c>
      <c r="D456" s="19">
        <f t="shared" si="16"/>
        <v>2.8572784273504008E-2</v>
      </c>
      <c r="E456" s="3">
        <f>Ft!$B$12+Ft!$B$14*(Data!A456-Vars!$B$3)</f>
        <v>0</v>
      </c>
      <c r="F456" s="3">
        <f>IF(($A456-Ft!B$2)&lt;0,Ft!B$3*((1-Ft!B$6)/(1+Ft!B$37*($A456-Ft!B$2)^2)+Ft!B$6*EXP(Ft!B$38*($A456-Ft!B$2)^2)),Ft!B$3*((1-Ft!B$7)/(1+Ft!B$39*($A456-Ft!B$2)^2)+Ft!B$7*EXP(Ft!B$40*($A456-Ft!B$2)^2)))</f>
        <v>0</v>
      </c>
      <c r="G456" s="3">
        <f>IF(($A456-Ft!C$2)&lt;0,Ft!C$3*((1-Ft!C$6)/(1+Ft!C$37*($A456-Ft!C$2)^2)+Ft!C$6*EXP(Ft!C$38*($A456-Ft!C$2)^2)),Ft!C$3*((1-Ft!C$7)/(1+Ft!C$39*($A456-Ft!C$2)^2)+Ft!C$7*EXP(Ft!C$40*($A456-Ft!C$2)^2)))</f>
        <v>1.2253264254326686E-20</v>
      </c>
      <c r="H456" s="3">
        <f>IF(($A456-Ft!D$2)&lt;0,Ft!D$3*((1-Ft!D$6)/(1+Ft!D$37*($A456-Ft!D$2)^2)+Ft!D$6*EXP(Ft!D$38*($A456-Ft!D$2)^2)),Ft!D$3*((1-Ft!D$7)/(1+Ft!D$39*($A456-Ft!D$2)^2)+Ft!D$7*EXP(Ft!D$40*($A456-Ft!D$2)^2)))</f>
        <v>0.4641351535300125</v>
      </c>
      <c r="I456" s="3">
        <f>IF(($A456-Ft!E$2)&lt;0,Ft!E$3*((1-Ft!E$6)/(1+Ft!E$37*($A456-Ft!E$2)^2)+Ft!E$6*EXP(Ft!E$38*($A456-Ft!E$2)^2)),Ft!E$3*((1-Ft!E$7)/(1+Ft!E$39*($A456-Ft!E$2)^2)+Ft!E$7*EXP(Ft!E$40*($A456-Ft!E$2)^2)))</f>
        <v>12.922698454693196</v>
      </c>
      <c r="J456" s="3">
        <f>IF(($A456-Ft!F$2)&lt;0,Ft!F$3*((1-Ft!F$6)/(1+Ft!F$37*($A456-Ft!F$2)^2)+Ft!F$6*EXP(Ft!F$38*($A456-Ft!F$2)^2)),Ft!F$3*((1-Ft!F$7)/(1+Ft!F$39*($A456-Ft!F$2)^2)+Ft!F$7*EXP(Ft!F$40*($A456-Ft!F$2)^2)))</f>
        <v>0.47558051341235624</v>
      </c>
      <c r="K456" s="3">
        <f>IF(($A456-Ft!G$2)&lt;0,Ft!G$3*((1-Ft!G$6)/(1+Ft!G$37*($A456-Ft!G$2)^2)+Ft!G$6*EXP(Ft!G$38*($A456-Ft!G$2)^2)),Ft!G$3*((1-Ft!G$7)/(1+Ft!G$39*($A456-Ft!G$2)^2)+Ft!G$7*EXP(Ft!G$40*($A456-Ft!G$2)^2)))</f>
        <v>1.0040947233861677E-7</v>
      </c>
      <c r="L456" s="3">
        <f>IF(($A456-Ft!H$2)&lt;0,Ft!H$3*((1-Ft!H$6)/(1+Ft!H$37*($A456-Ft!H$2)^2)+Ft!H$6*EXP(Ft!H$38*($A456-Ft!H$2)^2)),Ft!H$3*((1-Ft!H$7)/(1+Ft!H$39*($A456-Ft!H$2)^2)+Ft!H$7*EXP(Ft!H$40*($A456-Ft!H$2)^2)))</f>
        <v>0</v>
      </c>
      <c r="M456" s="3">
        <f>IF(($A456-Ft!I$2)&lt;0,Ft!I$3*((1-Ft!I$6)/(1+Ft!I$37*($A456-Ft!I$2)^2)+Ft!I$6*EXP(Ft!I$38*($A456-Ft!I$2)^2)),Ft!I$3*((1-Ft!I$7)/(1+Ft!I$39*($A456-Ft!I$2)^2)+Ft!I$7*EXP(Ft!I$40*($A456-Ft!I$2)^2)))</f>
        <v>0</v>
      </c>
      <c r="N456" s="3">
        <f>IF(($A456-Ft!J$2)&lt;0,Ft!J$3*((1-Ft!J$6)/(1+Ft!J$37*($A456-Ft!J$2)^2)+Ft!J$6*EXP(Ft!J$38*($A456-Ft!J$2)^2)),Ft!J$3*((1-Ft!J$7)/(1+Ft!J$39*($A456-Ft!J$2)^2)+Ft!J$7*EXP(Ft!J$40*($A456-Ft!J$2)^2)))</f>
        <v>0</v>
      </c>
      <c r="O456" s="3">
        <f>IF(($A456-Ft!K$2)&lt;0,Ft!K$3*((1-Ft!K$6)/(1+Ft!K$37*($A456-Ft!K$2)^2)+Ft!K$6*EXP(Ft!K$38*($A456-Ft!K$2)^2)),Ft!K$3*((1-Ft!K$7)/(1+Ft!K$39*($A456-Ft!K$2)^2)+Ft!K$7*EXP(Ft!K$40*($A456-Ft!K$2)^2)))</f>
        <v>0</v>
      </c>
      <c r="P456"/>
      <c r="Q456"/>
    </row>
    <row r="457" spans="1:17">
      <c r="A457">
        <v>910</v>
      </c>
      <c r="B457">
        <v>13.947937695294996</v>
      </c>
      <c r="C457" s="6">
        <f t="shared" si="15"/>
        <v>13.784809289936041</v>
      </c>
      <c r="D457" s="19">
        <f t="shared" si="16"/>
        <v>2.661087663495576E-2</v>
      </c>
      <c r="E457" s="3">
        <f>Ft!$B$12+Ft!$B$14*(Data!A457-Vars!$B$3)</f>
        <v>0</v>
      </c>
      <c r="F457" s="3">
        <f>IF(($A457-Ft!B$2)&lt;0,Ft!B$3*((1-Ft!B$6)/(1+Ft!B$37*($A457-Ft!B$2)^2)+Ft!B$6*EXP(Ft!B$38*($A457-Ft!B$2)^2)),Ft!B$3*((1-Ft!B$7)/(1+Ft!B$39*($A457-Ft!B$2)^2)+Ft!B$7*EXP(Ft!B$40*($A457-Ft!B$2)^2)))</f>
        <v>0</v>
      </c>
      <c r="G457" s="3">
        <f>IF(($A457-Ft!C$2)&lt;0,Ft!C$3*((1-Ft!C$6)/(1+Ft!C$37*($A457-Ft!C$2)^2)+Ft!C$6*EXP(Ft!C$38*($A457-Ft!C$2)^2)),Ft!C$3*((1-Ft!C$7)/(1+Ft!C$39*($A457-Ft!C$2)^2)+Ft!C$7*EXP(Ft!C$40*($A457-Ft!C$2)^2)))</f>
        <v>9.5412011661378918E-21</v>
      </c>
      <c r="H457" s="3">
        <f>IF(($A457-Ft!D$2)&lt;0,Ft!D$3*((1-Ft!D$6)/(1+Ft!D$37*($A457-Ft!D$2)^2)+Ft!D$6*EXP(Ft!D$38*($A457-Ft!D$2)^2)),Ft!D$3*((1-Ft!D$7)/(1+Ft!D$39*($A457-Ft!D$2)^2)+Ft!D$7*EXP(Ft!D$40*($A457-Ft!D$2)^2)))</f>
        <v>0.44921609841603743</v>
      </c>
      <c r="I457" s="3">
        <f>IF(($A457-Ft!E$2)&lt;0,Ft!E$3*((1-Ft!E$6)/(1+Ft!E$37*($A457-Ft!E$2)^2)+Ft!E$6*EXP(Ft!E$38*($A457-Ft!E$2)^2)),Ft!E$3*((1-Ft!E$7)/(1+Ft!E$39*($A457-Ft!E$2)^2)+Ft!E$7*EXP(Ft!E$40*($A457-Ft!E$2)^2)))</f>
        <v>12.810605396182684</v>
      </c>
      <c r="J457" s="3">
        <f>IF(($A457-Ft!F$2)&lt;0,Ft!F$3*((1-Ft!F$6)/(1+Ft!F$37*($A457-Ft!F$2)^2)+Ft!F$6*EXP(Ft!F$38*($A457-Ft!F$2)^2)),Ft!F$3*((1-Ft!F$7)/(1+Ft!F$39*($A457-Ft!F$2)^2)+Ft!F$7*EXP(Ft!F$40*($A457-Ft!F$2)^2)))</f>
        <v>0.52498762668509802</v>
      </c>
      <c r="K457" s="3">
        <f>IF(($A457-Ft!G$2)&lt;0,Ft!G$3*((1-Ft!G$6)/(1+Ft!G$37*($A457-Ft!G$2)^2)+Ft!G$6*EXP(Ft!G$38*($A457-Ft!G$2)^2)),Ft!G$3*((1-Ft!G$7)/(1+Ft!G$39*($A457-Ft!G$2)^2)+Ft!G$7*EXP(Ft!G$40*($A457-Ft!G$2)^2)))</f>
        <v>1.6865222045761294E-7</v>
      </c>
      <c r="L457" s="3">
        <f>IF(($A457-Ft!H$2)&lt;0,Ft!H$3*((1-Ft!H$6)/(1+Ft!H$37*($A457-Ft!H$2)^2)+Ft!H$6*EXP(Ft!H$38*($A457-Ft!H$2)^2)),Ft!H$3*((1-Ft!H$7)/(1+Ft!H$39*($A457-Ft!H$2)^2)+Ft!H$7*EXP(Ft!H$40*($A457-Ft!H$2)^2)))</f>
        <v>0</v>
      </c>
      <c r="M457" s="3">
        <f>IF(($A457-Ft!I$2)&lt;0,Ft!I$3*((1-Ft!I$6)/(1+Ft!I$37*($A457-Ft!I$2)^2)+Ft!I$6*EXP(Ft!I$38*($A457-Ft!I$2)^2)),Ft!I$3*((1-Ft!I$7)/(1+Ft!I$39*($A457-Ft!I$2)^2)+Ft!I$7*EXP(Ft!I$40*($A457-Ft!I$2)^2)))</f>
        <v>0</v>
      </c>
      <c r="N457" s="3">
        <f>IF(($A457-Ft!J$2)&lt;0,Ft!J$3*((1-Ft!J$6)/(1+Ft!J$37*($A457-Ft!J$2)^2)+Ft!J$6*EXP(Ft!J$38*($A457-Ft!J$2)^2)),Ft!J$3*((1-Ft!J$7)/(1+Ft!J$39*($A457-Ft!J$2)^2)+Ft!J$7*EXP(Ft!J$40*($A457-Ft!J$2)^2)))</f>
        <v>0</v>
      </c>
      <c r="O457" s="3">
        <f>IF(($A457-Ft!K$2)&lt;0,Ft!K$3*((1-Ft!K$6)/(1+Ft!K$37*($A457-Ft!K$2)^2)+Ft!K$6*EXP(Ft!K$38*($A457-Ft!K$2)^2)),Ft!K$3*((1-Ft!K$7)/(1+Ft!K$39*($A457-Ft!K$2)^2)+Ft!K$7*EXP(Ft!K$40*($A457-Ft!K$2)^2)))</f>
        <v>0</v>
      </c>
      <c r="P457"/>
      <c r="Q457"/>
    </row>
    <row r="458" spans="1:17">
      <c r="A458">
        <v>912</v>
      </c>
      <c r="B458">
        <v>13.870804435886996</v>
      </c>
      <c r="C458" s="6">
        <f t="shared" si="15"/>
        <v>13.709923718273634</v>
      </c>
      <c r="D458" s="19">
        <f t="shared" si="16"/>
        <v>2.5882605299790105E-2</v>
      </c>
      <c r="E458" s="3">
        <f>Ft!$B$12+Ft!$B$14*(Data!A458-Vars!$B$3)</f>
        <v>0</v>
      </c>
      <c r="F458" s="3">
        <f>IF(($A458-Ft!B$2)&lt;0,Ft!B$3*((1-Ft!B$6)/(1+Ft!B$37*($A458-Ft!B$2)^2)+Ft!B$6*EXP(Ft!B$38*($A458-Ft!B$2)^2)),Ft!B$3*((1-Ft!B$7)/(1+Ft!B$39*($A458-Ft!B$2)^2)+Ft!B$7*EXP(Ft!B$40*($A458-Ft!B$2)^2)))</f>
        <v>0</v>
      </c>
      <c r="G458" s="3">
        <f>IF(($A458-Ft!C$2)&lt;0,Ft!C$3*((1-Ft!C$6)/(1+Ft!C$37*($A458-Ft!C$2)^2)+Ft!C$6*EXP(Ft!C$38*($A458-Ft!C$2)^2)),Ft!C$3*((1-Ft!C$7)/(1+Ft!C$39*($A458-Ft!C$2)^2)+Ft!C$7*EXP(Ft!C$40*($A458-Ft!C$2)^2)))</f>
        <v>7.4245859259746141E-21</v>
      </c>
      <c r="H458" s="3">
        <f>IF(($A458-Ft!D$2)&lt;0,Ft!D$3*((1-Ft!D$6)/(1+Ft!D$37*($A458-Ft!D$2)^2)+Ft!D$6*EXP(Ft!D$38*($A458-Ft!D$2)^2)),Ft!D$3*((1-Ft!D$7)/(1+Ft!D$39*($A458-Ft!D$2)^2)+Ft!D$7*EXP(Ft!D$40*($A458-Ft!D$2)^2)))</f>
        <v>0.43471409799373417</v>
      </c>
      <c r="I458" s="3">
        <f>IF(($A458-Ft!E$2)&lt;0,Ft!E$3*((1-Ft!E$6)/(1+Ft!E$37*($A458-Ft!E$2)^2)+Ft!E$6*EXP(Ft!E$38*($A458-Ft!E$2)^2)),Ft!E$3*((1-Ft!E$7)/(1+Ft!E$39*($A458-Ft!E$2)^2)+Ft!E$7*EXP(Ft!E$40*($A458-Ft!E$2)^2)))</f>
        <v>12.696927760091981</v>
      </c>
      <c r="J458" s="3">
        <f>IF(($A458-Ft!F$2)&lt;0,Ft!F$3*((1-Ft!F$6)/(1+Ft!F$37*($A458-Ft!F$2)^2)+Ft!F$6*EXP(Ft!F$38*($A458-Ft!F$2)^2)),Ft!F$3*((1-Ft!F$7)/(1+Ft!F$39*($A458-Ft!F$2)^2)+Ft!F$7*EXP(Ft!F$40*($A458-Ft!F$2)^2)))</f>
        <v>0.57828157905845012</v>
      </c>
      <c r="K458" s="3">
        <f>IF(($A458-Ft!G$2)&lt;0,Ft!G$3*((1-Ft!G$6)/(1+Ft!G$37*($A458-Ft!G$2)^2)+Ft!G$6*EXP(Ft!G$38*($A458-Ft!G$2)^2)),Ft!G$3*((1-Ft!G$7)/(1+Ft!G$39*($A458-Ft!G$2)^2)+Ft!G$7*EXP(Ft!G$40*($A458-Ft!G$2)^2)))</f>
        <v>2.8112947023034813E-7</v>
      </c>
      <c r="L458" s="3">
        <f>IF(($A458-Ft!H$2)&lt;0,Ft!H$3*((1-Ft!H$6)/(1+Ft!H$37*($A458-Ft!H$2)^2)+Ft!H$6*EXP(Ft!H$38*($A458-Ft!H$2)^2)),Ft!H$3*((1-Ft!H$7)/(1+Ft!H$39*($A458-Ft!H$2)^2)+Ft!H$7*EXP(Ft!H$40*($A458-Ft!H$2)^2)))</f>
        <v>0</v>
      </c>
      <c r="M458" s="3">
        <f>IF(($A458-Ft!I$2)&lt;0,Ft!I$3*((1-Ft!I$6)/(1+Ft!I$37*($A458-Ft!I$2)^2)+Ft!I$6*EXP(Ft!I$38*($A458-Ft!I$2)^2)),Ft!I$3*((1-Ft!I$7)/(1+Ft!I$39*($A458-Ft!I$2)^2)+Ft!I$7*EXP(Ft!I$40*($A458-Ft!I$2)^2)))</f>
        <v>0</v>
      </c>
      <c r="N458" s="3">
        <f>IF(($A458-Ft!J$2)&lt;0,Ft!J$3*((1-Ft!J$6)/(1+Ft!J$37*($A458-Ft!J$2)^2)+Ft!J$6*EXP(Ft!J$38*($A458-Ft!J$2)^2)),Ft!J$3*((1-Ft!J$7)/(1+Ft!J$39*($A458-Ft!J$2)^2)+Ft!J$7*EXP(Ft!J$40*($A458-Ft!J$2)^2)))</f>
        <v>0</v>
      </c>
      <c r="O458" s="3">
        <f>IF(($A458-Ft!K$2)&lt;0,Ft!K$3*((1-Ft!K$6)/(1+Ft!K$37*($A458-Ft!K$2)^2)+Ft!K$6*EXP(Ft!K$38*($A458-Ft!K$2)^2)),Ft!K$3*((1-Ft!K$7)/(1+Ft!K$39*($A458-Ft!K$2)^2)+Ft!K$7*EXP(Ft!K$40*($A458-Ft!K$2)^2)))</f>
        <v>0</v>
      </c>
      <c r="P458"/>
      <c r="Q458"/>
    </row>
    <row r="459" spans="1:17">
      <c r="A459">
        <v>914</v>
      </c>
      <c r="B459">
        <v>13.795256080187002</v>
      </c>
      <c r="C459" s="6">
        <f t="shared" si="15"/>
        <v>13.6379615845374</v>
      </c>
      <c r="D459" s="19">
        <f t="shared" si="16"/>
        <v>2.4741558361662547E-2</v>
      </c>
      <c r="E459" s="3">
        <f>Ft!$B$12+Ft!$B$14*(Data!A459-Vars!$B$3)</f>
        <v>0</v>
      </c>
      <c r="F459" s="3">
        <f>IF(($A459-Ft!B$2)&lt;0,Ft!B$3*((1-Ft!B$6)/(1+Ft!B$37*($A459-Ft!B$2)^2)+Ft!B$6*EXP(Ft!B$38*($A459-Ft!B$2)^2)),Ft!B$3*((1-Ft!B$7)/(1+Ft!B$39*($A459-Ft!B$2)^2)+Ft!B$7*EXP(Ft!B$40*($A459-Ft!B$2)^2)))</f>
        <v>0</v>
      </c>
      <c r="G459" s="3">
        <f>IF(($A459-Ft!C$2)&lt;0,Ft!C$3*((1-Ft!C$6)/(1+Ft!C$37*($A459-Ft!C$2)^2)+Ft!C$6*EXP(Ft!C$38*($A459-Ft!C$2)^2)),Ft!C$3*((1-Ft!C$7)/(1+Ft!C$39*($A459-Ft!C$2)^2)+Ft!C$7*EXP(Ft!C$40*($A459-Ft!C$2)^2)))</f>
        <v>5.7737683457330174E-21</v>
      </c>
      <c r="H459" s="3">
        <f>IF(($A459-Ft!D$2)&lt;0,Ft!D$3*((1-Ft!D$6)/(1+Ft!D$37*($A459-Ft!D$2)^2)+Ft!D$6*EXP(Ft!D$38*($A459-Ft!D$2)^2)),Ft!D$3*((1-Ft!D$7)/(1+Ft!D$39*($A459-Ft!D$2)^2)+Ft!D$7*EXP(Ft!D$40*($A459-Ft!D$2)^2)))</f>
        <v>0.42061979061130111</v>
      </c>
      <c r="I459" s="3">
        <f>IF(($A459-Ft!E$2)&lt;0,Ft!E$3*((1-Ft!E$6)/(1+Ft!E$37*($A459-Ft!E$2)^2)+Ft!E$6*EXP(Ft!E$38*($A459-Ft!E$2)^2)),Ft!E$3*((1-Ft!E$7)/(1+Ft!E$39*($A459-Ft!E$2)^2)+Ft!E$7*EXP(Ft!E$40*($A459-Ft!E$2)^2)))</f>
        <v>12.581725179621989</v>
      </c>
      <c r="J459" s="3">
        <f>IF(($A459-Ft!F$2)&lt;0,Ft!F$3*((1-Ft!F$6)/(1+Ft!F$37*($A459-Ft!F$2)^2)+Ft!F$6*EXP(Ft!F$38*($A459-Ft!F$2)^2)),Ft!F$3*((1-Ft!F$7)/(1+Ft!F$39*($A459-Ft!F$2)^2)+Ft!F$7*EXP(Ft!F$40*($A459-Ft!F$2)^2)))</f>
        <v>0.63561614923486864</v>
      </c>
      <c r="K459" s="3">
        <f>IF(($A459-Ft!G$2)&lt;0,Ft!G$3*((1-Ft!G$6)/(1+Ft!G$37*($A459-Ft!G$2)^2)+Ft!G$6*EXP(Ft!G$38*($A459-Ft!G$2)^2)),Ft!G$3*((1-Ft!G$7)/(1+Ft!G$39*($A459-Ft!G$2)^2)+Ft!G$7*EXP(Ft!G$40*($A459-Ft!G$2)^2)))</f>
        <v>4.6506924126863297E-7</v>
      </c>
      <c r="L459" s="3">
        <f>IF(($A459-Ft!H$2)&lt;0,Ft!H$3*((1-Ft!H$6)/(1+Ft!H$37*($A459-Ft!H$2)^2)+Ft!H$6*EXP(Ft!H$38*($A459-Ft!H$2)^2)),Ft!H$3*((1-Ft!H$7)/(1+Ft!H$39*($A459-Ft!H$2)^2)+Ft!H$7*EXP(Ft!H$40*($A459-Ft!H$2)^2)))</f>
        <v>0</v>
      </c>
      <c r="M459" s="3">
        <f>IF(($A459-Ft!I$2)&lt;0,Ft!I$3*((1-Ft!I$6)/(1+Ft!I$37*($A459-Ft!I$2)^2)+Ft!I$6*EXP(Ft!I$38*($A459-Ft!I$2)^2)),Ft!I$3*((1-Ft!I$7)/(1+Ft!I$39*($A459-Ft!I$2)^2)+Ft!I$7*EXP(Ft!I$40*($A459-Ft!I$2)^2)))</f>
        <v>0</v>
      </c>
      <c r="N459" s="3">
        <f>IF(($A459-Ft!J$2)&lt;0,Ft!J$3*((1-Ft!J$6)/(1+Ft!J$37*($A459-Ft!J$2)^2)+Ft!J$6*EXP(Ft!J$38*($A459-Ft!J$2)^2)),Ft!J$3*((1-Ft!J$7)/(1+Ft!J$39*($A459-Ft!J$2)^2)+Ft!J$7*EXP(Ft!J$40*($A459-Ft!J$2)^2)))</f>
        <v>0</v>
      </c>
      <c r="O459" s="3">
        <f>IF(($A459-Ft!K$2)&lt;0,Ft!K$3*((1-Ft!K$6)/(1+Ft!K$37*($A459-Ft!K$2)^2)+Ft!K$6*EXP(Ft!K$38*($A459-Ft!K$2)^2)),Ft!K$3*((1-Ft!K$7)/(1+Ft!K$39*($A459-Ft!K$2)^2)+Ft!K$7*EXP(Ft!K$40*($A459-Ft!K$2)^2)))</f>
        <v>0</v>
      </c>
      <c r="P459"/>
      <c r="Q459"/>
    </row>
    <row r="460" spans="1:17">
      <c r="A460">
        <v>916</v>
      </c>
      <c r="B460">
        <v>13.720877037123998</v>
      </c>
      <c r="C460" s="6">
        <f t="shared" si="15"/>
        <v>13.569115571107275</v>
      </c>
      <c r="D460" s="19">
        <f t="shared" si="16"/>
        <v>2.3031542567544843E-2</v>
      </c>
      <c r="E460" s="3">
        <f>Ft!$B$12+Ft!$B$14*(Data!A460-Vars!$B$3)</f>
        <v>0</v>
      </c>
      <c r="F460" s="3">
        <f>IF(($A460-Ft!B$2)&lt;0,Ft!B$3*((1-Ft!B$6)/(1+Ft!B$37*($A460-Ft!B$2)^2)+Ft!B$6*EXP(Ft!B$38*($A460-Ft!B$2)^2)),Ft!B$3*((1-Ft!B$7)/(1+Ft!B$39*($A460-Ft!B$2)^2)+Ft!B$7*EXP(Ft!B$40*($A460-Ft!B$2)^2)))</f>
        <v>0</v>
      </c>
      <c r="G460" s="3">
        <f>IF(($A460-Ft!C$2)&lt;0,Ft!C$3*((1-Ft!C$6)/(1+Ft!C$37*($A460-Ft!C$2)^2)+Ft!C$6*EXP(Ft!C$38*($A460-Ft!C$2)^2)),Ft!C$3*((1-Ft!C$7)/(1+Ft!C$39*($A460-Ft!C$2)^2)+Ft!C$7*EXP(Ft!C$40*($A460-Ft!C$2)^2)))</f>
        <v>4.4870861187552094E-21</v>
      </c>
      <c r="H460" s="3">
        <f>IF(($A460-Ft!D$2)&lt;0,Ft!D$3*((1-Ft!D$6)/(1+Ft!D$37*($A460-Ft!D$2)^2)+Ft!D$6*EXP(Ft!D$38*($A460-Ft!D$2)^2)),Ft!D$3*((1-Ft!D$7)/(1+Ft!D$39*($A460-Ft!D$2)^2)+Ft!D$7*EXP(Ft!D$40*($A460-Ft!D$2)^2)))</f>
        <v>0.40692394452024033</v>
      </c>
      <c r="I460" s="3">
        <f>IF(($A460-Ft!E$2)&lt;0,Ft!E$3*((1-Ft!E$6)/(1+Ft!E$37*($A460-Ft!E$2)^2)+Ft!E$6*EXP(Ft!E$38*($A460-Ft!E$2)^2)),Ft!E$3*((1-Ft!E$7)/(1+Ft!E$39*($A460-Ft!E$2)^2)+Ft!E$7*EXP(Ft!E$40*($A460-Ft!E$2)^2)))</f>
        <v>12.465057669815094</v>
      </c>
      <c r="J460" s="3">
        <f>IF(($A460-Ft!F$2)&lt;0,Ft!F$3*((1-Ft!F$6)/(1+Ft!F$37*($A460-Ft!F$2)^2)+Ft!F$6*EXP(Ft!F$38*($A460-Ft!F$2)^2)),Ft!F$3*((1-Ft!F$7)/(1+Ft!F$39*($A460-Ft!F$2)^2)+Ft!F$7*EXP(Ft!F$40*($A460-Ft!F$2)^2)))</f>
        <v>0.69713319324249223</v>
      </c>
      <c r="K460" s="3">
        <f>IF(($A460-Ft!G$2)&lt;0,Ft!G$3*((1-Ft!G$6)/(1+Ft!G$37*($A460-Ft!G$2)^2)+Ft!G$6*EXP(Ft!G$38*($A460-Ft!G$2)^2)),Ft!G$3*((1-Ft!G$7)/(1+Ft!G$39*($A460-Ft!G$2)^2)+Ft!G$7*EXP(Ft!G$40*($A460-Ft!G$2)^2)))</f>
        <v>7.6352944882549022E-7</v>
      </c>
      <c r="L460" s="3">
        <f>IF(($A460-Ft!H$2)&lt;0,Ft!H$3*((1-Ft!H$6)/(1+Ft!H$37*($A460-Ft!H$2)^2)+Ft!H$6*EXP(Ft!H$38*($A460-Ft!H$2)^2)),Ft!H$3*((1-Ft!H$7)/(1+Ft!H$39*($A460-Ft!H$2)^2)+Ft!H$7*EXP(Ft!H$40*($A460-Ft!H$2)^2)))</f>
        <v>0</v>
      </c>
      <c r="M460" s="3">
        <f>IF(($A460-Ft!I$2)&lt;0,Ft!I$3*((1-Ft!I$6)/(1+Ft!I$37*($A460-Ft!I$2)^2)+Ft!I$6*EXP(Ft!I$38*($A460-Ft!I$2)^2)),Ft!I$3*((1-Ft!I$7)/(1+Ft!I$39*($A460-Ft!I$2)^2)+Ft!I$7*EXP(Ft!I$40*($A460-Ft!I$2)^2)))</f>
        <v>0</v>
      </c>
      <c r="N460" s="3">
        <f>IF(($A460-Ft!J$2)&lt;0,Ft!J$3*((1-Ft!J$6)/(1+Ft!J$37*($A460-Ft!J$2)^2)+Ft!J$6*EXP(Ft!J$38*($A460-Ft!J$2)^2)),Ft!J$3*((1-Ft!J$7)/(1+Ft!J$39*($A460-Ft!J$2)^2)+Ft!J$7*EXP(Ft!J$40*($A460-Ft!J$2)^2)))</f>
        <v>0</v>
      </c>
      <c r="O460" s="3">
        <f>IF(($A460-Ft!K$2)&lt;0,Ft!K$3*((1-Ft!K$6)/(1+Ft!K$37*($A460-Ft!K$2)^2)+Ft!K$6*EXP(Ft!K$38*($A460-Ft!K$2)^2)),Ft!K$3*((1-Ft!K$7)/(1+Ft!K$39*($A460-Ft!K$2)^2)+Ft!K$7*EXP(Ft!K$40*($A460-Ft!K$2)^2)))</f>
        <v>0</v>
      </c>
      <c r="P460"/>
      <c r="Q460"/>
    </row>
    <row r="461" spans="1:17">
      <c r="A461">
        <v>918</v>
      </c>
      <c r="B461">
        <v>13.648217672733992</v>
      </c>
      <c r="C461" s="6">
        <f t="shared" si="15"/>
        <v>13.503564463389765</v>
      </c>
      <c r="D461" s="19">
        <f t="shared" si="16"/>
        <v>2.092455097358482E-2</v>
      </c>
      <c r="E461" s="3">
        <f>Ft!$B$12+Ft!$B$14*(Data!A461-Vars!$B$3)</f>
        <v>0</v>
      </c>
      <c r="F461" s="3">
        <f>IF(($A461-Ft!B$2)&lt;0,Ft!B$3*((1-Ft!B$6)/(1+Ft!B$37*($A461-Ft!B$2)^2)+Ft!B$6*EXP(Ft!B$38*($A461-Ft!B$2)^2)),Ft!B$3*((1-Ft!B$7)/(1+Ft!B$39*($A461-Ft!B$2)^2)+Ft!B$7*EXP(Ft!B$40*($A461-Ft!B$2)^2)))</f>
        <v>0</v>
      </c>
      <c r="G461" s="3">
        <f>IF(($A461-Ft!C$2)&lt;0,Ft!C$3*((1-Ft!C$6)/(1+Ft!C$37*($A461-Ft!C$2)^2)+Ft!C$6*EXP(Ft!C$38*($A461-Ft!C$2)^2)),Ft!C$3*((1-Ft!C$7)/(1+Ft!C$39*($A461-Ft!C$2)^2)+Ft!C$7*EXP(Ft!C$40*($A461-Ft!C$2)^2)))</f>
        <v>3.4848764591487769E-21</v>
      </c>
      <c r="H461" s="3">
        <f>IF(($A461-Ft!D$2)&lt;0,Ft!D$3*((1-Ft!D$6)/(1+Ft!D$37*($A461-Ft!D$2)^2)+Ft!D$6*EXP(Ft!D$38*($A461-Ft!D$2)^2)),Ft!D$3*((1-Ft!D$7)/(1+Ft!D$39*($A461-Ft!D$2)^2)+Ft!D$7*EXP(Ft!D$40*($A461-Ft!D$2)^2)))</f>
        <v>0.39361745888545258</v>
      </c>
      <c r="I461" s="3">
        <f>IF(($A461-Ft!E$2)&lt;0,Ft!E$3*((1-Ft!E$6)/(1+Ft!E$37*($A461-Ft!E$2)^2)+Ft!E$6*EXP(Ft!E$38*($A461-Ft!E$2)^2)),Ft!E$3*((1-Ft!E$7)/(1+Ft!E$39*($A461-Ft!E$2)^2)+Ft!E$7*EXP(Ft!E$40*($A461-Ft!E$2)^2)))</f>
        <v>12.346985575979655</v>
      </c>
      <c r="J461" s="3">
        <f>IF(($A461-Ft!F$2)&lt;0,Ft!F$3*((1-Ft!F$6)/(1+Ft!F$37*($A461-Ft!F$2)^2)+Ft!F$6*EXP(Ft!F$38*($A461-Ft!F$2)^2)),Ft!F$3*((1-Ft!F$7)/(1+Ft!F$39*($A461-Ft!F$2)^2)+Ft!F$7*EXP(Ft!F$40*($A461-Ft!F$2)^2)))</f>
        <v>0.76296018449452507</v>
      </c>
      <c r="K461" s="3">
        <f>IF(($A461-Ft!G$2)&lt;0,Ft!G$3*((1-Ft!G$6)/(1+Ft!G$37*($A461-Ft!G$2)^2)+Ft!G$6*EXP(Ft!G$38*($A461-Ft!G$2)^2)),Ft!G$3*((1-Ft!G$7)/(1+Ft!G$39*($A461-Ft!G$2)^2)+Ft!G$7*EXP(Ft!G$40*($A461-Ft!G$2)^2)))</f>
        <v>1.2440301311985471E-6</v>
      </c>
      <c r="L461" s="3">
        <f>IF(($A461-Ft!H$2)&lt;0,Ft!H$3*((1-Ft!H$6)/(1+Ft!H$37*($A461-Ft!H$2)^2)+Ft!H$6*EXP(Ft!H$38*($A461-Ft!H$2)^2)),Ft!H$3*((1-Ft!H$7)/(1+Ft!H$39*($A461-Ft!H$2)^2)+Ft!H$7*EXP(Ft!H$40*($A461-Ft!H$2)^2)))</f>
        <v>0</v>
      </c>
      <c r="M461" s="3">
        <f>IF(($A461-Ft!I$2)&lt;0,Ft!I$3*((1-Ft!I$6)/(1+Ft!I$37*($A461-Ft!I$2)^2)+Ft!I$6*EXP(Ft!I$38*($A461-Ft!I$2)^2)),Ft!I$3*((1-Ft!I$7)/(1+Ft!I$39*($A461-Ft!I$2)^2)+Ft!I$7*EXP(Ft!I$40*($A461-Ft!I$2)^2)))</f>
        <v>0</v>
      </c>
      <c r="N461" s="3">
        <f>IF(($A461-Ft!J$2)&lt;0,Ft!J$3*((1-Ft!J$6)/(1+Ft!J$37*($A461-Ft!J$2)^2)+Ft!J$6*EXP(Ft!J$38*($A461-Ft!J$2)^2)),Ft!J$3*((1-Ft!J$7)/(1+Ft!J$39*($A461-Ft!J$2)^2)+Ft!J$7*EXP(Ft!J$40*($A461-Ft!J$2)^2)))</f>
        <v>0</v>
      </c>
      <c r="O461" s="3">
        <f>IF(($A461-Ft!K$2)&lt;0,Ft!K$3*((1-Ft!K$6)/(1+Ft!K$37*($A461-Ft!K$2)^2)+Ft!K$6*EXP(Ft!K$38*($A461-Ft!K$2)^2)),Ft!K$3*((1-Ft!K$7)/(1+Ft!K$39*($A461-Ft!K$2)^2)+Ft!K$7*EXP(Ft!K$40*($A461-Ft!K$2)^2)))</f>
        <v>0</v>
      </c>
      <c r="P461"/>
      <c r="Q461"/>
    </row>
    <row r="462" spans="1:17">
      <c r="A462">
        <v>920</v>
      </c>
      <c r="B462">
        <v>13.577828353051999</v>
      </c>
      <c r="C462" s="6">
        <f t="shared" si="15"/>
        <v>13.441470573489292</v>
      </c>
      <c r="D462" s="19">
        <f t="shared" si="16"/>
        <v>1.8593444047271583E-2</v>
      </c>
      <c r="E462" s="3">
        <f>Ft!$B$12+Ft!$B$14*(Data!A462-Vars!$B$3)</f>
        <v>0</v>
      </c>
      <c r="F462" s="3">
        <f>IF(($A462-Ft!B$2)&lt;0,Ft!B$3*((1-Ft!B$6)/(1+Ft!B$37*($A462-Ft!B$2)^2)+Ft!B$6*EXP(Ft!B$38*($A462-Ft!B$2)^2)),Ft!B$3*((1-Ft!B$7)/(1+Ft!B$39*($A462-Ft!B$2)^2)+Ft!B$7*EXP(Ft!B$40*($A462-Ft!B$2)^2)))</f>
        <v>0</v>
      </c>
      <c r="G462" s="3">
        <f>IF(($A462-Ft!C$2)&lt;0,Ft!C$3*((1-Ft!C$6)/(1+Ft!C$37*($A462-Ft!C$2)^2)+Ft!C$6*EXP(Ft!C$38*($A462-Ft!C$2)^2)),Ft!C$3*((1-Ft!C$7)/(1+Ft!C$39*($A462-Ft!C$2)^2)+Ft!C$7*EXP(Ft!C$40*($A462-Ft!C$2)^2)))</f>
        <v>2.7047572951429717E-21</v>
      </c>
      <c r="H462" s="3">
        <f>IF(($A462-Ft!D$2)&lt;0,Ft!D$3*((1-Ft!D$6)/(1+Ft!D$37*($A462-Ft!D$2)^2)+Ft!D$6*EXP(Ft!D$38*($A462-Ft!D$2)^2)),Ft!D$3*((1-Ft!D$7)/(1+Ft!D$39*($A462-Ft!D$2)^2)+Ft!D$7*EXP(Ft!D$40*($A462-Ft!D$2)^2)))</f>
        <v>0.38069136466995934</v>
      </c>
      <c r="I462" s="3">
        <f>IF(($A462-Ft!E$2)&lt;0,Ft!E$3*((1-Ft!E$6)/(1+Ft!E$37*($A462-Ft!E$2)^2)+Ft!E$6*EXP(Ft!E$38*($A462-Ft!E$2)^2)),Ft!E$3*((1-Ft!E$7)/(1+Ft!E$39*($A462-Ft!E$2)^2)+Ft!E$7*EXP(Ft!E$40*($A462-Ft!E$2)^2)))</f>
        <v>12.22756952225666</v>
      </c>
      <c r="J462" s="3">
        <f>IF(($A462-Ft!F$2)&lt;0,Ft!F$3*((1-Ft!F$6)/(1+Ft!F$37*($A462-Ft!F$2)^2)+Ft!F$6*EXP(Ft!F$38*($A462-Ft!F$2)^2)),Ft!F$3*((1-Ft!F$7)/(1+Ft!F$39*($A462-Ft!F$2)^2)+Ft!F$7*EXP(Ft!F$40*($A462-Ft!F$2)^2)))</f>
        <v>0.83320767500291537</v>
      </c>
      <c r="K462" s="3">
        <f>IF(($A462-Ft!G$2)&lt;0,Ft!G$3*((1-Ft!G$6)/(1+Ft!G$37*($A462-Ft!G$2)^2)+Ft!G$6*EXP(Ft!G$38*($A462-Ft!G$2)^2)),Ft!G$3*((1-Ft!G$7)/(1+Ft!G$39*($A462-Ft!G$2)^2)+Ft!G$7*EXP(Ft!G$40*($A462-Ft!G$2)^2)))</f>
        <v>2.0115597575715943E-6</v>
      </c>
      <c r="L462" s="3">
        <f>IF(($A462-Ft!H$2)&lt;0,Ft!H$3*((1-Ft!H$6)/(1+Ft!H$37*($A462-Ft!H$2)^2)+Ft!H$6*EXP(Ft!H$38*($A462-Ft!H$2)^2)),Ft!H$3*((1-Ft!H$7)/(1+Ft!H$39*($A462-Ft!H$2)^2)+Ft!H$7*EXP(Ft!H$40*($A462-Ft!H$2)^2)))</f>
        <v>0</v>
      </c>
      <c r="M462" s="3">
        <f>IF(($A462-Ft!I$2)&lt;0,Ft!I$3*((1-Ft!I$6)/(1+Ft!I$37*($A462-Ft!I$2)^2)+Ft!I$6*EXP(Ft!I$38*($A462-Ft!I$2)^2)),Ft!I$3*((1-Ft!I$7)/(1+Ft!I$39*($A462-Ft!I$2)^2)+Ft!I$7*EXP(Ft!I$40*($A462-Ft!I$2)^2)))</f>
        <v>0</v>
      </c>
      <c r="N462" s="3">
        <f>IF(($A462-Ft!J$2)&lt;0,Ft!J$3*((1-Ft!J$6)/(1+Ft!J$37*($A462-Ft!J$2)^2)+Ft!J$6*EXP(Ft!J$38*($A462-Ft!J$2)^2)),Ft!J$3*((1-Ft!J$7)/(1+Ft!J$39*($A462-Ft!J$2)^2)+Ft!J$7*EXP(Ft!J$40*($A462-Ft!J$2)^2)))</f>
        <v>0</v>
      </c>
      <c r="O462" s="3">
        <f>IF(($A462-Ft!K$2)&lt;0,Ft!K$3*((1-Ft!K$6)/(1+Ft!K$37*($A462-Ft!K$2)^2)+Ft!K$6*EXP(Ft!K$38*($A462-Ft!K$2)^2)),Ft!K$3*((1-Ft!K$7)/(1+Ft!K$39*($A462-Ft!K$2)^2)+Ft!K$7*EXP(Ft!K$40*($A462-Ft!K$2)^2)))</f>
        <v>0</v>
      </c>
      <c r="P462"/>
      <c r="Q462"/>
    </row>
    <row r="463" spans="1:17">
      <c r="A463">
        <v>922</v>
      </c>
      <c r="B463">
        <v>13.510259444114993</v>
      </c>
      <c r="C463" s="6">
        <f t="shared" si="15"/>
        <v>13.382977118164181</v>
      </c>
      <c r="D463" s="19">
        <f t="shared" si="16"/>
        <v>1.6200790499448808E-2</v>
      </c>
      <c r="E463" s="3">
        <f>Ft!$B$12+Ft!$B$14*(Data!A463-Vars!$B$3)</f>
        <v>0</v>
      </c>
      <c r="F463" s="3">
        <f>IF(($A463-Ft!B$2)&lt;0,Ft!B$3*((1-Ft!B$6)/(1+Ft!B$37*($A463-Ft!B$2)^2)+Ft!B$6*EXP(Ft!B$38*($A463-Ft!B$2)^2)),Ft!B$3*((1-Ft!B$7)/(1+Ft!B$39*($A463-Ft!B$2)^2)+Ft!B$7*EXP(Ft!B$40*($A463-Ft!B$2)^2)))</f>
        <v>0</v>
      </c>
      <c r="G463" s="3">
        <f>IF(($A463-Ft!C$2)&lt;0,Ft!C$3*((1-Ft!C$6)/(1+Ft!C$37*($A463-Ft!C$2)^2)+Ft!C$6*EXP(Ft!C$38*($A463-Ft!C$2)^2)),Ft!C$3*((1-Ft!C$7)/(1+Ft!C$39*($A463-Ft!C$2)^2)+Ft!C$7*EXP(Ft!C$40*($A463-Ft!C$2)^2)))</f>
        <v>2.0979114205142723E-21</v>
      </c>
      <c r="H463" s="3">
        <f>IF(($A463-Ft!D$2)&lt;0,Ft!D$3*((1-Ft!D$6)/(1+Ft!D$37*($A463-Ft!D$2)^2)+Ft!D$6*EXP(Ft!D$38*($A463-Ft!D$2)^2)),Ft!D$3*((1-Ft!D$7)/(1+Ft!D$39*($A463-Ft!D$2)^2)+Ft!D$7*EXP(Ft!D$40*($A463-Ft!D$2)^2)))</f>
        <v>0.36813682539758708</v>
      </c>
      <c r="I463" s="3">
        <f>IF(($A463-Ft!E$2)&lt;0,Ft!E$3*((1-Ft!E$6)/(1+Ft!E$37*($A463-Ft!E$2)^2)+Ft!E$6*EXP(Ft!E$38*($A463-Ft!E$2)^2)),Ft!E$3*((1-Ft!E$7)/(1+Ft!E$39*($A463-Ft!E$2)^2)+Ft!E$7*EXP(Ft!E$40*($A463-Ft!E$2)^2)))</f>
        <v>12.106870360389037</v>
      </c>
      <c r="J463" s="3">
        <f>IF(($A463-Ft!F$2)&lt;0,Ft!F$3*((1-Ft!F$6)/(1+Ft!F$37*($A463-Ft!F$2)^2)+Ft!F$6*EXP(Ft!F$38*($A463-Ft!F$2)^2)),Ft!F$3*((1-Ft!F$7)/(1+Ft!F$39*($A463-Ft!F$2)^2)+Ft!F$7*EXP(Ft!F$40*($A463-Ft!F$2)^2)))</f>
        <v>0.90796670438956695</v>
      </c>
      <c r="K463" s="3">
        <f>IF(($A463-Ft!G$2)&lt;0,Ft!G$3*((1-Ft!G$6)/(1+Ft!G$37*($A463-Ft!G$2)^2)+Ft!G$6*EXP(Ft!G$38*($A463-Ft!G$2)^2)),Ft!G$3*((1-Ft!G$7)/(1+Ft!G$39*($A463-Ft!G$2)^2)+Ft!G$7*EXP(Ft!G$40*($A463-Ft!G$2)^2)))</f>
        <v>3.227987989964368E-6</v>
      </c>
      <c r="L463" s="3">
        <f>IF(($A463-Ft!H$2)&lt;0,Ft!H$3*((1-Ft!H$6)/(1+Ft!H$37*($A463-Ft!H$2)^2)+Ft!H$6*EXP(Ft!H$38*($A463-Ft!H$2)^2)),Ft!H$3*((1-Ft!H$7)/(1+Ft!H$39*($A463-Ft!H$2)^2)+Ft!H$7*EXP(Ft!H$40*($A463-Ft!H$2)^2)))</f>
        <v>0</v>
      </c>
      <c r="M463" s="3">
        <f>IF(($A463-Ft!I$2)&lt;0,Ft!I$3*((1-Ft!I$6)/(1+Ft!I$37*($A463-Ft!I$2)^2)+Ft!I$6*EXP(Ft!I$38*($A463-Ft!I$2)^2)),Ft!I$3*((1-Ft!I$7)/(1+Ft!I$39*($A463-Ft!I$2)^2)+Ft!I$7*EXP(Ft!I$40*($A463-Ft!I$2)^2)))</f>
        <v>0</v>
      </c>
      <c r="N463" s="3">
        <f>IF(($A463-Ft!J$2)&lt;0,Ft!J$3*((1-Ft!J$6)/(1+Ft!J$37*($A463-Ft!J$2)^2)+Ft!J$6*EXP(Ft!J$38*($A463-Ft!J$2)^2)),Ft!J$3*((1-Ft!J$7)/(1+Ft!J$39*($A463-Ft!J$2)^2)+Ft!J$7*EXP(Ft!J$40*($A463-Ft!J$2)^2)))</f>
        <v>0</v>
      </c>
      <c r="O463" s="3">
        <f>IF(($A463-Ft!K$2)&lt;0,Ft!K$3*((1-Ft!K$6)/(1+Ft!K$37*($A463-Ft!K$2)^2)+Ft!K$6*EXP(Ft!K$38*($A463-Ft!K$2)^2)),Ft!K$3*((1-Ft!K$7)/(1+Ft!K$39*($A463-Ft!K$2)^2)+Ft!K$7*EXP(Ft!K$40*($A463-Ft!K$2)^2)))</f>
        <v>0</v>
      </c>
      <c r="P463"/>
      <c r="Q463"/>
    </row>
    <row r="464" spans="1:17">
      <c r="A464">
        <v>924</v>
      </c>
      <c r="B464">
        <v>13.44606131195799</v>
      </c>
      <c r="C464" s="6">
        <f t="shared" si="15"/>
        <v>13.328205584019418</v>
      </c>
      <c r="D464" s="19">
        <f t="shared" si="16"/>
        <v>1.3889972607930732E-2</v>
      </c>
      <c r="E464" s="3">
        <f>Ft!$B$12+Ft!$B$14*(Data!A464-Vars!$B$3)</f>
        <v>0</v>
      </c>
      <c r="F464" s="3">
        <f>IF(($A464-Ft!B$2)&lt;0,Ft!B$3*((1-Ft!B$6)/(1+Ft!B$37*($A464-Ft!B$2)^2)+Ft!B$6*EXP(Ft!B$38*($A464-Ft!B$2)^2)),Ft!B$3*((1-Ft!B$7)/(1+Ft!B$39*($A464-Ft!B$2)^2)+Ft!B$7*EXP(Ft!B$40*($A464-Ft!B$2)^2)))</f>
        <v>0</v>
      </c>
      <c r="G464" s="3">
        <f>IF(($A464-Ft!C$2)&lt;0,Ft!C$3*((1-Ft!C$6)/(1+Ft!C$37*($A464-Ft!C$2)^2)+Ft!C$6*EXP(Ft!C$38*($A464-Ft!C$2)^2)),Ft!C$3*((1-Ft!C$7)/(1+Ft!C$39*($A464-Ft!C$2)^2)+Ft!C$7*EXP(Ft!C$40*($A464-Ft!C$2)^2)))</f>
        <v>1.6261624396864296E-21</v>
      </c>
      <c r="H464" s="3">
        <f>IF(($A464-Ft!D$2)&lt;0,Ft!D$3*((1-Ft!D$6)/(1+Ft!D$37*($A464-Ft!D$2)^2)+Ft!D$6*EXP(Ft!D$38*($A464-Ft!D$2)^2)),Ft!D$3*((1-Ft!D$7)/(1+Ft!D$39*($A464-Ft!D$2)^2)+Ft!D$7*EXP(Ft!D$40*($A464-Ft!D$2)^2)))</f>
        <v>0.35594513779695575</v>
      </c>
      <c r="I464" s="3">
        <f>IF(($A464-Ft!E$2)&lt;0,Ft!E$3*((1-Ft!E$6)/(1+Ft!E$37*($A464-Ft!E$2)^2)+Ft!E$6*EXP(Ft!E$38*($A464-Ft!E$2)^2)),Ft!E$3*((1-Ft!E$7)/(1+Ft!E$39*($A464-Ft!E$2)^2)+Ft!E$7*EXP(Ft!E$40*($A464-Ft!E$2)^2)))</f>
        <v>11.984949118753285</v>
      </c>
      <c r="J464" s="3">
        <f>IF(($A464-Ft!F$2)&lt;0,Ft!F$3*((1-Ft!F$6)/(1+Ft!F$37*($A464-Ft!F$2)^2)+Ft!F$6*EXP(Ft!F$38*($A464-Ft!F$2)^2)),Ft!F$3*((1-Ft!F$7)/(1+Ft!F$39*($A464-Ft!F$2)^2)+Ft!F$7*EXP(Ft!F$40*($A464-Ft!F$2)^2)))</f>
        <v>0.98730618670343762</v>
      </c>
      <c r="K464" s="3">
        <f>IF(($A464-Ft!G$2)&lt;0,Ft!G$3*((1-Ft!G$6)/(1+Ft!G$37*($A464-Ft!G$2)^2)+Ft!G$6*EXP(Ft!G$38*($A464-Ft!G$2)^2)),Ft!G$3*((1-Ft!G$7)/(1+Ft!G$39*($A464-Ft!G$2)^2)+Ft!G$7*EXP(Ft!G$40*($A464-Ft!G$2)^2)))</f>
        <v>5.1407657394057511E-6</v>
      </c>
      <c r="L464" s="3">
        <f>IF(($A464-Ft!H$2)&lt;0,Ft!H$3*((1-Ft!H$6)/(1+Ft!H$37*($A464-Ft!H$2)^2)+Ft!H$6*EXP(Ft!H$38*($A464-Ft!H$2)^2)),Ft!H$3*((1-Ft!H$7)/(1+Ft!H$39*($A464-Ft!H$2)^2)+Ft!H$7*EXP(Ft!H$40*($A464-Ft!H$2)^2)))</f>
        <v>0</v>
      </c>
      <c r="M464" s="3">
        <f>IF(($A464-Ft!I$2)&lt;0,Ft!I$3*((1-Ft!I$6)/(1+Ft!I$37*($A464-Ft!I$2)^2)+Ft!I$6*EXP(Ft!I$38*($A464-Ft!I$2)^2)),Ft!I$3*((1-Ft!I$7)/(1+Ft!I$39*($A464-Ft!I$2)^2)+Ft!I$7*EXP(Ft!I$40*($A464-Ft!I$2)^2)))</f>
        <v>0</v>
      </c>
      <c r="N464" s="3">
        <f>IF(($A464-Ft!J$2)&lt;0,Ft!J$3*((1-Ft!J$6)/(1+Ft!J$37*($A464-Ft!J$2)^2)+Ft!J$6*EXP(Ft!J$38*($A464-Ft!J$2)^2)),Ft!J$3*((1-Ft!J$7)/(1+Ft!J$39*($A464-Ft!J$2)^2)+Ft!J$7*EXP(Ft!J$40*($A464-Ft!J$2)^2)))</f>
        <v>0</v>
      </c>
      <c r="O464" s="3">
        <f>IF(($A464-Ft!K$2)&lt;0,Ft!K$3*((1-Ft!K$6)/(1+Ft!K$37*($A464-Ft!K$2)^2)+Ft!K$6*EXP(Ft!K$38*($A464-Ft!K$2)^2)),Ft!K$3*((1-Ft!K$7)/(1+Ft!K$39*($A464-Ft!K$2)^2)+Ft!K$7*EXP(Ft!K$40*($A464-Ft!K$2)^2)))</f>
        <v>0</v>
      </c>
      <c r="P464"/>
      <c r="Q464"/>
    </row>
    <row r="465" spans="1:17">
      <c r="A465">
        <v>926</v>
      </c>
      <c r="B465">
        <v>13.38578432261599</v>
      </c>
      <c r="C465" s="6">
        <f t="shared" si="15"/>
        <v>13.277253117186621</v>
      </c>
      <c r="D465" s="19">
        <f t="shared" si="16"/>
        <v>1.1779022551951847E-2</v>
      </c>
      <c r="E465" s="3">
        <f>Ft!$B$12+Ft!$B$14*(Data!A465-Vars!$B$3)</f>
        <v>0</v>
      </c>
      <c r="F465" s="3">
        <f>IF(($A465-Ft!B$2)&lt;0,Ft!B$3*((1-Ft!B$6)/(1+Ft!B$37*($A465-Ft!B$2)^2)+Ft!B$6*EXP(Ft!B$38*($A465-Ft!B$2)^2)),Ft!B$3*((1-Ft!B$7)/(1+Ft!B$39*($A465-Ft!B$2)^2)+Ft!B$7*EXP(Ft!B$40*($A465-Ft!B$2)^2)))</f>
        <v>0</v>
      </c>
      <c r="G465" s="3">
        <f>IF(($A465-Ft!C$2)&lt;0,Ft!C$3*((1-Ft!C$6)/(1+Ft!C$37*($A465-Ft!C$2)^2)+Ft!C$6*EXP(Ft!C$38*($A465-Ft!C$2)^2)),Ft!C$3*((1-Ft!C$7)/(1+Ft!C$39*($A465-Ft!C$2)^2)+Ft!C$7*EXP(Ft!C$40*($A465-Ft!C$2)^2)))</f>
        <v>1.2596753661735618E-21</v>
      </c>
      <c r="H465" s="3">
        <f>IF(($A465-Ft!D$2)&lt;0,Ft!D$3*((1-Ft!D$6)/(1+Ft!D$37*($A465-Ft!D$2)^2)+Ft!D$6*EXP(Ft!D$38*($A465-Ft!D$2)^2)),Ft!D$3*((1-Ft!D$7)/(1+Ft!D$39*($A465-Ft!D$2)^2)+Ft!D$7*EXP(Ft!D$40*($A465-Ft!D$2)^2)))</f>
        <v>0.34410773233012232</v>
      </c>
      <c r="I465" s="3">
        <f>IF(($A465-Ft!E$2)&lt;0,Ft!E$3*((1-Ft!E$6)/(1+Ft!E$37*($A465-Ft!E$2)^2)+Ft!E$6*EXP(Ft!E$38*($A465-Ft!E$2)^2)),Ft!E$3*((1-Ft!E$7)/(1+Ft!E$39*($A465-Ft!E$2)^2)+Ft!E$7*EXP(Ft!E$40*($A465-Ft!E$2)^2)))</f>
        <v>11.861866951712194</v>
      </c>
      <c r="J465" s="3">
        <f>IF(($A465-Ft!F$2)&lt;0,Ft!F$3*((1-Ft!F$6)/(1+Ft!F$37*($A465-Ft!F$2)^2)+Ft!F$6*EXP(Ft!F$38*($A465-Ft!F$2)^2)),Ft!F$3*((1-Ft!F$7)/(1+Ft!F$39*($A465-Ft!F$2)^2)+Ft!F$7*EXP(Ft!F$40*($A465-Ft!F$2)^2)))</f>
        <v>1.0712703081951906</v>
      </c>
      <c r="K465" s="3">
        <f>IF(($A465-Ft!G$2)&lt;0,Ft!G$3*((1-Ft!G$6)/(1+Ft!G$37*($A465-Ft!G$2)^2)+Ft!G$6*EXP(Ft!G$38*($A465-Ft!G$2)^2)),Ft!G$3*((1-Ft!G$7)/(1+Ft!G$39*($A465-Ft!G$2)^2)+Ft!G$7*EXP(Ft!G$40*($A465-Ft!G$2)^2)))</f>
        <v>8.124949113156007E-6</v>
      </c>
      <c r="L465" s="3">
        <f>IF(($A465-Ft!H$2)&lt;0,Ft!H$3*((1-Ft!H$6)/(1+Ft!H$37*($A465-Ft!H$2)^2)+Ft!H$6*EXP(Ft!H$38*($A465-Ft!H$2)^2)),Ft!H$3*((1-Ft!H$7)/(1+Ft!H$39*($A465-Ft!H$2)^2)+Ft!H$7*EXP(Ft!H$40*($A465-Ft!H$2)^2)))</f>
        <v>0</v>
      </c>
      <c r="M465" s="3">
        <f>IF(($A465-Ft!I$2)&lt;0,Ft!I$3*((1-Ft!I$6)/(1+Ft!I$37*($A465-Ft!I$2)^2)+Ft!I$6*EXP(Ft!I$38*($A465-Ft!I$2)^2)),Ft!I$3*((1-Ft!I$7)/(1+Ft!I$39*($A465-Ft!I$2)^2)+Ft!I$7*EXP(Ft!I$40*($A465-Ft!I$2)^2)))</f>
        <v>0</v>
      </c>
      <c r="N465" s="3">
        <f>IF(($A465-Ft!J$2)&lt;0,Ft!J$3*((1-Ft!J$6)/(1+Ft!J$37*($A465-Ft!J$2)^2)+Ft!J$6*EXP(Ft!J$38*($A465-Ft!J$2)^2)),Ft!J$3*((1-Ft!J$7)/(1+Ft!J$39*($A465-Ft!J$2)^2)+Ft!J$7*EXP(Ft!J$40*($A465-Ft!J$2)^2)))</f>
        <v>0</v>
      </c>
      <c r="O465" s="3">
        <f>IF(($A465-Ft!K$2)&lt;0,Ft!K$3*((1-Ft!K$6)/(1+Ft!K$37*($A465-Ft!K$2)^2)+Ft!K$6*EXP(Ft!K$38*($A465-Ft!K$2)^2)),Ft!K$3*((1-Ft!K$7)/(1+Ft!K$39*($A465-Ft!K$2)^2)+Ft!K$7*EXP(Ft!K$40*($A465-Ft!K$2)^2)))</f>
        <v>0</v>
      </c>
      <c r="P465"/>
      <c r="Q465"/>
    </row>
    <row r="466" spans="1:17">
      <c r="A466">
        <v>928</v>
      </c>
      <c r="B466">
        <v>13.329978842125996</v>
      </c>
      <c r="C466" s="6">
        <f t="shared" si="15"/>
        <v>13.230189979130653</v>
      </c>
      <c r="D466" s="19">
        <f t="shared" si="16"/>
        <v>9.9578171779033265E-3</v>
      </c>
      <c r="E466" s="3">
        <f>Ft!$B$12+Ft!$B$14*(Data!A466-Vars!$B$3)</f>
        <v>0</v>
      </c>
      <c r="F466" s="3">
        <f>IF(($A466-Ft!B$2)&lt;0,Ft!B$3*((1-Ft!B$6)/(1+Ft!B$37*($A466-Ft!B$2)^2)+Ft!B$6*EXP(Ft!B$38*($A466-Ft!B$2)^2)),Ft!B$3*((1-Ft!B$7)/(1+Ft!B$39*($A466-Ft!B$2)^2)+Ft!B$7*EXP(Ft!B$40*($A466-Ft!B$2)^2)))</f>
        <v>0</v>
      </c>
      <c r="G466" s="3">
        <f>IF(($A466-Ft!C$2)&lt;0,Ft!C$3*((1-Ft!C$6)/(1+Ft!C$37*($A466-Ft!C$2)^2)+Ft!C$6*EXP(Ft!C$38*($A466-Ft!C$2)^2)),Ft!C$3*((1-Ft!C$7)/(1+Ft!C$39*($A466-Ft!C$2)^2)+Ft!C$7*EXP(Ft!C$40*($A466-Ft!C$2)^2)))</f>
        <v>9.7514967315069285E-22</v>
      </c>
      <c r="H466" s="3">
        <f>IF(($A466-Ft!D$2)&lt;0,Ft!D$3*((1-Ft!D$6)/(1+Ft!D$37*($A466-Ft!D$2)^2)+Ft!D$6*EXP(Ft!D$38*($A466-Ft!D$2)^2)),Ft!D$3*((1-Ft!D$7)/(1+Ft!D$39*($A466-Ft!D$2)^2)+Ft!D$7*EXP(Ft!D$40*($A466-Ft!D$2)^2)))</f>
        <v>0.3326161736092369</v>
      </c>
      <c r="I466" s="3">
        <f>IF(($A466-Ft!E$2)&lt;0,Ft!E$3*((1-Ft!E$6)/(1+Ft!E$37*($A466-Ft!E$2)^2)+Ft!E$6*EXP(Ft!E$38*($A466-Ft!E$2)^2)),Ft!E$3*((1-Ft!E$7)/(1+Ft!E$39*($A466-Ft!E$2)^2)+Ft!E$7*EXP(Ft!E$40*($A466-Ft!E$2)^2)))</f>
        <v>11.737685089346293</v>
      </c>
      <c r="J466" s="3">
        <f>IF(($A466-Ft!F$2)&lt;0,Ft!F$3*((1-Ft!F$6)/(1+Ft!F$37*($A466-Ft!F$2)^2)+Ft!F$6*EXP(Ft!F$38*($A466-Ft!F$2)^2)),Ft!F$3*((1-Ft!F$7)/(1+Ft!F$39*($A466-Ft!F$2)^2)+Ft!F$7*EXP(Ft!F$40*($A466-Ft!F$2)^2)))</f>
        <v>1.1598759720385314</v>
      </c>
      <c r="K466" s="3">
        <f>IF(($A466-Ft!G$2)&lt;0,Ft!G$3*((1-Ft!G$6)/(1+Ft!G$37*($A466-Ft!G$2)^2)+Ft!G$6*EXP(Ft!G$38*($A466-Ft!G$2)^2)),Ft!G$3*((1-Ft!G$7)/(1+Ft!G$39*($A466-Ft!G$2)^2)+Ft!G$7*EXP(Ft!G$40*($A466-Ft!G$2)^2)))</f>
        <v>1.2744136591997446E-5</v>
      </c>
      <c r="L466" s="3">
        <f>IF(($A466-Ft!H$2)&lt;0,Ft!H$3*((1-Ft!H$6)/(1+Ft!H$37*($A466-Ft!H$2)^2)+Ft!H$6*EXP(Ft!H$38*($A466-Ft!H$2)^2)),Ft!H$3*((1-Ft!H$7)/(1+Ft!H$39*($A466-Ft!H$2)^2)+Ft!H$7*EXP(Ft!H$40*($A466-Ft!H$2)^2)))</f>
        <v>0</v>
      </c>
      <c r="M466" s="3">
        <f>IF(($A466-Ft!I$2)&lt;0,Ft!I$3*((1-Ft!I$6)/(1+Ft!I$37*($A466-Ft!I$2)^2)+Ft!I$6*EXP(Ft!I$38*($A466-Ft!I$2)^2)),Ft!I$3*((1-Ft!I$7)/(1+Ft!I$39*($A466-Ft!I$2)^2)+Ft!I$7*EXP(Ft!I$40*($A466-Ft!I$2)^2)))</f>
        <v>0</v>
      </c>
      <c r="N466" s="3">
        <f>IF(($A466-Ft!J$2)&lt;0,Ft!J$3*((1-Ft!J$6)/(1+Ft!J$37*($A466-Ft!J$2)^2)+Ft!J$6*EXP(Ft!J$38*($A466-Ft!J$2)^2)),Ft!J$3*((1-Ft!J$7)/(1+Ft!J$39*($A466-Ft!J$2)^2)+Ft!J$7*EXP(Ft!J$40*($A466-Ft!J$2)^2)))</f>
        <v>0</v>
      </c>
      <c r="O466" s="3">
        <f>IF(($A466-Ft!K$2)&lt;0,Ft!K$3*((1-Ft!K$6)/(1+Ft!K$37*($A466-Ft!K$2)^2)+Ft!K$6*EXP(Ft!K$38*($A466-Ft!K$2)^2)),Ft!K$3*((1-Ft!K$7)/(1+Ft!K$39*($A466-Ft!K$2)^2)+Ft!K$7*EXP(Ft!K$40*($A466-Ft!K$2)^2)))</f>
        <v>0</v>
      </c>
      <c r="P466"/>
      <c r="Q466"/>
    </row>
    <row r="467" spans="1:17">
      <c r="A467">
        <v>930</v>
      </c>
      <c r="B467">
        <v>13.279534219862995</v>
      </c>
      <c r="C467" s="6">
        <f t="shared" si="15"/>
        <v>13.187057114724107</v>
      </c>
      <c r="D467" s="19">
        <f t="shared" si="16"/>
        <v>8.5520149748690207E-3</v>
      </c>
      <c r="E467" s="3">
        <f>Ft!$B$12+Ft!$B$14*(Data!A467-Vars!$B$3)</f>
        <v>0</v>
      </c>
      <c r="F467" s="3">
        <f>IF(($A467-Ft!B$2)&lt;0,Ft!B$3*((1-Ft!B$6)/(1+Ft!B$37*($A467-Ft!B$2)^2)+Ft!B$6*EXP(Ft!B$38*($A467-Ft!B$2)^2)),Ft!B$3*((1-Ft!B$7)/(1+Ft!B$39*($A467-Ft!B$2)^2)+Ft!B$7*EXP(Ft!B$40*($A467-Ft!B$2)^2)))</f>
        <v>0</v>
      </c>
      <c r="G467" s="3">
        <f>IF(($A467-Ft!C$2)&lt;0,Ft!C$3*((1-Ft!C$6)/(1+Ft!C$37*($A467-Ft!C$2)^2)+Ft!C$6*EXP(Ft!C$38*($A467-Ft!C$2)^2)),Ft!C$3*((1-Ft!C$7)/(1+Ft!C$39*($A467-Ft!C$2)^2)+Ft!C$7*EXP(Ft!C$40*($A467-Ft!C$2)^2)))</f>
        <v>7.5440030406824958E-22</v>
      </c>
      <c r="H467" s="3">
        <f>IF(($A467-Ft!D$2)&lt;0,Ft!D$3*((1-Ft!D$6)/(1+Ft!D$37*($A467-Ft!D$2)^2)+Ft!D$6*EXP(Ft!D$38*($A467-Ft!D$2)^2)),Ft!D$3*((1-Ft!D$7)/(1+Ft!D$39*($A467-Ft!D$2)^2)+Ft!D$7*EXP(Ft!D$40*($A467-Ft!D$2)^2)))</f>
        <v>0.32146216070456307</v>
      </c>
      <c r="I467" s="3">
        <f>IF(($A467-Ft!E$2)&lt;0,Ft!E$3*((1-Ft!E$6)/(1+Ft!E$37*($A467-Ft!E$2)^2)+Ft!E$6*EXP(Ft!E$38*($A467-Ft!E$2)^2)),Ft!E$3*((1-Ft!E$7)/(1+Ft!E$39*($A467-Ft!E$2)^2)+Ft!E$7*EXP(Ft!E$40*($A467-Ft!E$2)^2)))</f>
        <v>11.612464787620681</v>
      </c>
      <c r="J467" s="3">
        <f>IF(($A467-Ft!F$2)&lt;0,Ft!F$3*((1-Ft!F$6)/(1+Ft!F$37*($A467-Ft!F$2)^2)+Ft!F$6*EXP(Ft!F$38*($A467-Ft!F$2)^2)),Ft!F$3*((1-Ft!F$7)/(1+Ft!F$39*($A467-Ft!F$2)^2)+Ft!F$7*EXP(Ft!F$40*($A467-Ft!F$2)^2)))</f>
        <v>1.2531103284339551</v>
      </c>
      <c r="K467" s="3">
        <f>IF(($A467-Ft!G$2)&lt;0,Ft!G$3*((1-Ft!G$6)/(1+Ft!G$37*($A467-Ft!G$2)^2)+Ft!G$6*EXP(Ft!G$38*($A467-Ft!G$2)^2)),Ft!G$3*((1-Ft!G$7)/(1+Ft!G$39*($A467-Ft!G$2)^2)+Ft!G$7*EXP(Ft!G$40*($A467-Ft!G$2)^2)))</f>
        <v>1.9837964907826576E-5</v>
      </c>
      <c r="L467" s="3">
        <f>IF(($A467-Ft!H$2)&lt;0,Ft!H$3*((1-Ft!H$6)/(1+Ft!H$37*($A467-Ft!H$2)^2)+Ft!H$6*EXP(Ft!H$38*($A467-Ft!H$2)^2)),Ft!H$3*((1-Ft!H$7)/(1+Ft!H$39*($A467-Ft!H$2)^2)+Ft!H$7*EXP(Ft!H$40*($A467-Ft!H$2)^2)))</f>
        <v>0</v>
      </c>
      <c r="M467" s="3">
        <f>IF(($A467-Ft!I$2)&lt;0,Ft!I$3*((1-Ft!I$6)/(1+Ft!I$37*($A467-Ft!I$2)^2)+Ft!I$6*EXP(Ft!I$38*($A467-Ft!I$2)^2)),Ft!I$3*((1-Ft!I$7)/(1+Ft!I$39*($A467-Ft!I$2)^2)+Ft!I$7*EXP(Ft!I$40*($A467-Ft!I$2)^2)))</f>
        <v>0</v>
      </c>
      <c r="N467" s="3">
        <f>IF(($A467-Ft!J$2)&lt;0,Ft!J$3*((1-Ft!J$6)/(1+Ft!J$37*($A467-Ft!J$2)^2)+Ft!J$6*EXP(Ft!J$38*($A467-Ft!J$2)^2)),Ft!J$3*((1-Ft!J$7)/(1+Ft!J$39*($A467-Ft!J$2)^2)+Ft!J$7*EXP(Ft!J$40*($A467-Ft!J$2)^2)))</f>
        <v>0</v>
      </c>
      <c r="O467" s="3">
        <f>IF(($A467-Ft!K$2)&lt;0,Ft!K$3*((1-Ft!K$6)/(1+Ft!K$37*($A467-Ft!K$2)^2)+Ft!K$6*EXP(Ft!K$38*($A467-Ft!K$2)^2)),Ft!K$3*((1-Ft!K$7)/(1+Ft!K$39*($A467-Ft!K$2)^2)+Ft!K$7*EXP(Ft!K$40*($A467-Ft!K$2)^2)))</f>
        <v>0</v>
      </c>
      <c r="P467"/>
      <c r="Q467"/>
    </row>
    <row r="468" spans="1:17">
      <c r="A468">
        <v>932</v>
      </c>
      <c r="B468">
        <v>13.234312571061992</v>
      </c>
      <c r="C468" s="6">
        <f t="shared" si="15"/>
        <v>13.147863883383005</v>
      </c>
      <c r="D468" s="19">
        <f t="shared" si="16"/>
        <v>7.4733756014189528E-3</v>
      </c>
      <c r="E468" s="3">
        <f>Ft!$B$12+Ft!$B$14*(Data!A468-Vars!$B$3)</f>
        <v>0</v>
      </c>
      <c r="F468" s="3">
        <f>IF(($A468-Ft!B$2)&lt;0,Ft!B$3*((1-Ft!B$6)/(1+Ft!B$37*($A468-Ft!B$2)^2)+Ft!B$6*EXP(Ft!B$38*($A468-Ft!B$2)^2)),Ft!B$3*((1-Ft!B$7)/(1+Ft!B$39*($A468-Ft!B$2)^2)+Ft!B$7*EXP(Ft!B$40*($A468-Ft!B$2)^2)))</f>
        <v>0</v>
      </c>
      <c r="G468" s="3">
        <f>IF(($A468-Ft!C$2)&lt;0,Ft!C$3*((1-Ft!C$6)/(1+Ft!C$37*($A468-Ft!C$2)^2)+Ft!C$6*EXP(Ft!C$38*($A468-Ft!C$2)^2)),Ft!C$3*((1-Ft!C$7)/(1+Ft!C$39*($A468-Ft!C$2)^2)+Ft!C$7*EXP(Ft!C$40*($A468-Ft!C$2)^2)))</f>
        <v>5.8324411076206668E-22</v>
      </c>
      <c r="H468" s="3">
        <f>IF(($A468-Ft!D$2)&lt;0,Ft!D$3*((1-Ft!D$6)/(1+Ft!D$37*($A468-Ft!D$2)^2)+Ft!D$6*EXP(Ft!D$38*($A468-Ft!D$2)^2)),Ft!D$3*((1-Ft!D$7)/(1+Ft!D$39*($A468-Ft!D$2)^2)+Ft!D$7*EXP(Ft!D$40*($A468-Ft!D$2)^2)))</f>
        <v>0.31063752734721783</v>
      </c>
      <c r="I468" s="3">
        <f>IF(($A468-Ft!E$2)&lt;0,Ft!E$3*((1-Ft!E$6)/(1+Ft!E$37*($A468-Ft!E$2)^2)+Ft!E$6*EXP(Ft!E$38*($A468-Ft!E$2)^2)),Ft!E$3*((1-Ft!E$7)/(1+Ft!E$39*($A468-Ft!E$2)^2)+Ft!E$7*EXP(Ft!E$40*($A468-Ft!E$2)^2)))</f>
        <v>11.486267279042634</v>
      </c>
      <c r="J468" s="3">
        <f>IF(($A468-Ft!F$2)&lt;0,Ft!F$3*((1-Ft!F$6)/(1+Ft!F$37*($A468-Ft!F$2)^2)+Ft!F$6*EXP(Ft!F$38*($A468-Ft!F$2)^2)),Ft!F$3*((1-Ft!F$7)/(1+Ft!F$39*($A468-Ft!F$2)^2)+Ft!F$7*EXP(Ft!F$40*($A468-Ft!F$2)^2)))</f>
        <v>1.3509284305025333</v>
      </c>
      <c r="K468" s="3">
        <f>IF(($A468-Ft!G$2)&lt;0,Ft!G$3*((1-Ft!G$6)/(1+Ft!G$37*($A468-Ft!G$2)^2)+Ft!G$6*EXP(Ft!G$38*($A468-Ft!G$2)^2)),Ft!G$3*((1-Ft!G$7)/(1+Ft!G$39*($A468-Ft!G$2)^2)+Ft!G$7*EXP(Ft!G$40*($A468-Ft!G$2)^2)))</f>
        <v>3.0646490619529484E-5</v>
      </c>
      <c r="L468" s="3">
        <f>IF(($A468-Ft!H$2)&lt;0,Ft!H$3*((1-Ft!H$6)/(1+Ft!H$37*($A468-Ft!H$2)^2)+Ft!H$6*EXP(Ft!H$38*($A468-Ft!H$2)^2)),Ft!H$3*((1-Ft!H$7)/(1+Ft!H$39*($A468-Ft!H$2)^2)+Ft!H$7*EXP(Ft!H$40*($A468-Ft!H$2)^2)))</f>
        <v>0</v>
      </c>
      <c r="M468" s="3">
        <f>IF(($A468-Ft!I$2)&lt;0,Ft!I$3*((1-Ft!I$6)/(1+Ft!I$37*($A468-Ft!I$2)^2)+Ft!I$6*EXP(Ft!I$38*($A468-Ft!I$2)^2)),Ft!I$3*((1-Ft!I$7)/(1+Ft!I$39*($A468-Ft!I$2)^2)+Ft!I$7*EXP(Ft!I$40*($A468-Ft!I$2)^2)))</f>
        <v>0</v>
      </c>
      <c r="N468" s="3">
        <f>IF(($A468-Ft!J$2)&lt;0,Ft!J$3*((1-Ft!J$6)/(1+Ft!J$37*($A468-Ft!J$2)^2)+Ft!J$6*EXP(Ft!J$38*($A468-Ft!J$2)^2)),Ft!J$3*((1-Ft!J$7)/(1+Ft!J$39*($A468-Ft!J$2)^2)+Ft!J$7*EXP(Ft!J$40*($A468-Ft!J$2)^2)))</f>
        <v>0</v>
      </c>
      <c r="O468" s="3">
        <f>IF(($A468-Ft!K$2)&lt;0,Ft!K$3*((1-Ft!K$6)/(1+Ft!K$37*($A468-Ft!K$2)^2)+Ft!K$6*EXP(Ft!K$38*($A468-Ft!K$2)^2)),Ft!K$3*((1-Ft!K$7)/(1+Ft!K$39*($A468-Ft!K$2)^2)+Ft!K$7*EXP(Ft!K$40*($A468-Ft!K$2)^2)))</f>
        <v>0</v>
      </c>
      <c r="P468"/>
      <c r="Q468"/>
    </row>
    <row r="469" spans="1:17">
      <c r="A469">
        <v>934</v>
      </c>
      <c r="B469">
        <v>13.19332341054799</v>
      </c>
      <c r="C469" s="6">
        <f t="shared" si="15"/>
        <v>13.112586008913494</v>
      </c>
      <c r="D469" s="19">
        <f t="shared" si="16"/>
        <v>6.5185280226898361E-3</v>
      </c>
      <c r="E469" s="3">
        <f>Ft!$B$12+Ft!$B$14*(Data!A469-Vars!$B$3)</f>
        <v>0</v>
      </c>
      <c r="F469" s="3">
        <f>IF(($A469-Ft!B$2)&lt;0,Ft!B$3*((1-Ft!B$6)/(1+Ft!B$37*($A469-Ft!B$2)^2)+Ft!B$6*EXP(Ft!B$38*($A469-Ft!B$2)^2)),Ft!B$3*((1-Ft!B$7)/(1+Ft!B$39*($A469-Ft!B$2)^2)+Ft!B$7*EXP(Ft!B$40*($A469-Ft!B$2)^2)))</f>
        <v>0</v>
      </c>
      <c r="G469" s="3">
        <f>IF(($A469-Ft!C$2)&lt;0,Ft!C$3*((1-Ft!C$6)/(1+Ft!C$37*($A469-Ft!C$2)^2)+Ft!C$6*EXP(Ft!C$38*($A469-Ft!C$2)^2)),Ft!C$3*((1-Ft!C$7)/(1+Ft!C$39*($A469-Ft!C$2)^2)+Ft!C$7*EXP(Ft!C$40*($A469-Ft!C$2)^2)))</f>
        <v>4.5062657704565446E-22</v>
      </c>
      <c r="H469" s="3">
        <f>IF(($A469-Ft!D$2)&lt;0,Ft!D$3*((1-Ft!D$6)/(1+Ft!D$37*($A469-Ft!D$2)^2)+Ft!D$6*EXP(Ft!D$38*($A469-Ft!D$2)^2)),Ft!D$3*((1-Ft!D$7)/(1+Ft!D$39*($A469-Ft!D$2)^2)+Ft!D$7*EXP(Ft!D$40*($A469-Ft!D$2)^2)))</f>
        <v>0.30013424202996958</v>
      </c>
      <c r="I469" s="3">
        <f>IF(($A469-Ft!E$2)&lt;0,Ft!E$3*((1-Ft!E$6)/(1+Ft!E$37*($A469-Ft!E$2)^2)+Ft!E$6*EXP(Ft!E$38*($A469-Ft!E$2)^2)),Ft!E$3*((1-Ft!E$7)/(1+Ft!E$39*($A469-Ft!E$2)^2)+Ft!E$7*EXP(Ft!E$40*($A469-Ft!E$2)^2)))</f>
        <v>11.359153723864132</v>
      </c>
      <c r="J469" s="3">
        <f>IF(($A469-Ft!F$2)&lt;0,Ft!F$3*((1-Ft!F$6)/(1+Ft!F$37*($A469-Ft!F$2)^2)+Ft!F$6*EXP(Ft!F$38*($A469-Ft!F$2)^2)),Ft!F$3*((1-Ft!F$7)/(1+Ft!F$39*($A469-Ft!F$2)^2)+Ft!F$7*EXP(Ft!F$40*($A469-Ft!F$2)^2)))</f>
        <v>1.453251057794027</v>
      </c>
      <c r="K469" s="3">
        <f>IF(($A469-Ft!G$2)&lt;0,Ft!G$3*((1-Ft!G$6)/(1+Ft!G$37*($A469-Ft!G$2)^2)+Ft!G$6*EXP(Ft!G$38*($A469-Ft!G$2)^2)),Ft!G$3*((1-Ft!G$7)/(1+Ft!G$39*($A469-Ft!G$2)^2)+Ft!G$7*EXP(Ft!G$40*($A469-Ft!G$2)^2)))</f>
        <v>4.6985225365982588E-5</v>
      </c>
      <c r="L469" s="3">
        <f>IF(($A469-Ft!H$2)&lt;0,Ft!H$3*((1-Ft!H$6)/(1+Ft!H$37*($A469-Ft!H$2)^2)+Ft!H$6*EXP(Ft!H$38*($A469-Ft!H$2)^2)),Ft!H$3*((1-Ft!H$7)/(1+Ft!H$39*($A469-Ft!H$2)^2)+Ft!H$7*EXP(Ft!H$40*($A469-Ft!H$2)^2)))</f>
        <v>0</v>
      </c>
      <c r="M469" s="3">
        <f>IF(($A469-Ft!I$2)&lt;0,Ft!I$3*((1-Ft!I$6)/(1+Ft!I$37*($A469-Ft!I$2)^2)+Ft!I$6*EXP(Ft!I$38*($A469-Ft!I$2)^2)),Ft!I$3*((1-Ft!I$7)/(1+Ft!I$39*($A469-Ft!I$2)^2)+Ft!I$7*EXP(Ft!I$40*($A469-Ft!I$2)^2)))</f>
        <v>0</v>
      </c>
      <c r="N469" s="3">
        <f>IF(($A469-Ft!J$2)&lt;0,Ft!J$3*((1-Ft!J$6)/(1+Ft!J$37*($A469-Ft!J$2)^2)+Ft!J$6*EXP(Ft!J$38*($A469-Ft!J$2)^2)),Ft!J$3*((1-Ft!J$7)/(1+Ft!J$39*($A469-Ft!J$2)^2)+Ft!J$7*EXP(Ft!J$40*($A469-Ft!J$2)^2)))</f>
        <v>0</v>
      </c>
      <c r="O469" s="3">
        <f>IF(($A469-Ft!K$2)&lt;0,Ft!K$3*((1-Ft!K$6)/(1+Ft!K$37*($A469-Ft!K$2)^2)+Ft!K$6*EXP(Ft!K$38*($A469-Ft!K$2)^2)),Ft!K$3*((1-Ft!K$7)/(1+Ft!K$39*($A469-Ft!K$2)^2)+Ft!K$7*EXP(Ft!K$40*($A469-Ft!K$2)^2)))</f>
        <v>0</v>
      </c>
      <c r="P469"/>
      <c r="Q469"/>
    </row>
    <row r="470" spans="1:17">
      <c r="A470">
        <v>936</v>
      </c>
      <c r="B470">
        <v>13.155576253145995</v>
      </c>
      <c r="C470" s="6">
        <f t="shared" si="15"/>
        <v>13.081163808843923</v>
      </c>
      <c r="D470" s="19">
        <f t="shared" si="16"/>
        <v>5.5372118670088608E-3</v>
      </c>
      <c r="E470" s="3">
        <f>Ft!$B$12+Ft!$B$14*(Data!A470-Vars!$B$3)</f>
        <v>0</v>
      </c>
      <c r="F470" s="3">
        <f>IF(($A470-Ft!B$2)&lt;0,Ft!B$3*((1-Ft!B$6)/(1+Ft!B$37*($A470-Ft!B$2)^2)+Ft!B$6*EXP(Ft!B$38*($A470-Ft!B$2)^2)),Ft!B$3*((1-Ft!B$7)/(1+Ft!B$39*($A470-Ft!B$2)^2)+Ft!B$7*EXP(Ft!B$40*($A470-Ft!B$2)^2)))</f>
        <v>0</v>
      </c>
      <c r="G470" s="3">
        <f>IF(($A470-Ft!C$2)&lt;0,Ft!C$3*((1-Ft!C$6)/(1+Ft!C$37*($A470-Ft!C$2)^2)+Ft!C$6*EXP(Ft!C$38*($A470-Ft!C$2)^2)),Ft!C$3*((1-Ft!C$7)/(1+Ft!C$39*($A470-Ft!C$2)^2)+Ft!C$7*EXP(Ft!C$40*($A470-Ft!C$2)^2)))</f>
        <v>3.4793744811388569E-22</v>
      </c>
      <c r="H470" s="3">
        <f>IF(($A470-Ft!D$2)&lt;0,Ft!D$3*((1-Ft!D$6)/(1+Ft!D$37*($A470-Ft!D$2)^2)+Ft!D$6*EXP(Ft!D$38*($A470-Ft!D$2)^2)),Ft!D$3*((1-Ft!D$7)/(1+Ft!D$39*($A470-Ft!D$2)^2)+Ft!D$7*EXP(Ft!D$40*($A470-Ft!D$2)^2)))</f>
        <v>0.28994440800943438</v>
      </c>
      <c r="I470" s="3">
        <f>IF(($A470-Ft!E$2)&lt;0,Ft!E$3*((1-Ft!E$6)/(1+Ft!E$37*($A470-Ft!E$2)^2)+Ft!E$6*EXP(Ft!E$38*($A470-Ft!E$2)^2)),Ft!E$3*((1-Ft!E$7)/(1+Ft!E$39*($A470-Ft!E$2)^2)+Ft!E$7*EXP(Ft!E$40*($A470-Ft!E$2)^2)))</f>
        <v>11.231185161882117</v>
      </c>
      <c r="J470" s="3">
        <f>IF(($A470-Ft!F$2)&lt;0,Ft!F$3*((1-Ft!F$6)/(1+Ft!F$37*($A470-Ft!F$2)^2)+Ft!F$6*EXP(Ft!F$38*($A470-Ft!F$2)^2)),Ft!F$3*((1-Ft!F$7)/(1+Ft!F$39*($A470-Ft!F$2)^2)+Ft!F$7*EXP(Ft!F$40*($A470-Ft!F$2)^2)))</f>
        <v>1.5599627500200752</v>
      </c>
      <c r="K470" s="3">
        <f>IF(($A470-Ft!G$2)&lt;0,Ft!G$3*((1-Ft!G$6)/(1+Ft!G$37*($A470-Ft!G$2)^2)+Ft!G$6*EXP(Ft!G$38*($A470-Ft!G$2)^2)),Ft!G$3*((1-Ft!G$7)/(1+Ft!G$39*($A470-Ft!G$2)^2)+Ft!G$7*EXP(Ft!G$40*($A470-Ft!G$2)^2)))</f>
        <v>7.148893229719927E-5</v>
      </c>
      <c r="L470" s="3">
        <f>IF(($A470-Ft!H$2)&lt;0,Ft!H$3*((1-Ft!H$6)/(1+Ft!H$37*($A470-Ft!H$2)^2)+Ft!H$6*EXP(Ft!H$38*($A470-Ft!H$2)^2)),Ft!H$3*((1-Ft!H$7)/(1+Ft!H$39*($A470-Ft!H$2)^2)+Ft!H$7*EXP(Ft!H$40*($A470-Ft!H$2)^2)))</f>
        <v>0</v>
      </c>
      <c r="M470" s="3">
        <f>IF(($A470-Ft!I$2)&lt;0,Ft!I$3*((1-Ft!I$6)/(1+Ft!I$37*($A470-Ft!I$2)^2)+Ft!I$6*EXP(Ft!I$38*($A470-Ft!I$2)^2)),Ft!I$3*((1-Ft!I$7)/(1+Ft!I$39*($A470-Ft!I$2)^2)+Ft!I$7*EXP(Ft!I$40*($A470-Ft!I$2)^2)))</f>
        <v>0</v>
      </c>
      <c r="N470" s="3">
        <f>IF(($A470-Ft!J$2)&lt;0,Ft!J$3*((1-Ft!J$6)/(1+Ft!J$37*($A470-Ft!J$2)^2)+Ft!J$6*EXP(Ft!J$38*($A470-Ft!J$2)^2)),Ft!J$3*((1-Ft!J$7)/(1+Ft!J$39*($A470-Ft!J$2)^2)+Ft!J$7*EXP(Ft!J$40*($A470-Ft!J$2)^2)))</f>
        <v>0</v>
      </c>
      <c r="O470" s="3">
        <f>IF(($A470-Ft!K$2)&lt;0,Ft!K$3*((1-Ft!K$6)/(1+Ft!K$37*($A470-Ft!K$2)^2)+Ft!K$6*EXP(Ft!K$38*($A470-Ft!K$2)^2)),Ft!K$3*((1-Ft!K$7)/(1+Ft!K$39*($A470-Ft!K$2)^2)+Ft!K$7*EXP(Ft!K$40*($A470-Ft!K$2)^2)))</f>
        <v>0</v>
      </c>
      <c r="P470"/>
      <c r="Q470"/>
    </row>
    <row r="471" spans="1:17">
      <c r="A471">
        <v>938</v>
      </c>
      <c r="B471">
        <v>13.120080613679988</v>
      </c>
      <c r="C471" s="6">
        <f t="shared" si="15"/>
        <v>13.05350076947499</v>
      </c>
      <c r="D471" s="19">
        <f t="shared" si="16"/>
        <v>4.4328756543618453E-3</v>
      </c>
      <c r="E471" s="3">
        <f>Ft!$B$12+Ft!$B$14*(Data!A471-Vars!$B$3)</f>
        <v>0</v>
      </c>
      <c r="F471" s="3">
        <f>IF(($A471-Ft!B$2)&lt;0,Ft!B$3*((1-Ft!B$6)/(1+Ft!B$37*($A471-Ft!B$2)^2)+Ft!B$6*EXP(Ft!B$38*($A471-Ft!B$2)^2)),Ft!B$3*((1-Ft!B$7)/(1+Ft!B$39*($A471-Ft!B$2)^2)+Ft!B$7*EXP(Ft!B$40*($A471-Ft!B$2)^2)))</f>
        <v>0</v>
      </c>
      <c r="G471" s="3">
        <f>IF(($A471-Ft!C$2)&lt;0,Ft!C$3*((1-Ft!C$6)/(1+Ft!C$37*($A471-Ft!C$2)^2)+Ft!C$6*EXP(Ft!C$38*($A471-Ft!C$2)^2)),Ft!C$3*((1-Ft!C$7)/(1+Ft!C$39*($A471-Ft!C$2)^2)+Ft!C$7*EXP(Ft!C$40*($A471-Ft!C$2)^2)))</f>
        <v>2.6847476941474393E-22</v>
      </c>
      <c r="H471" s="3">
        <f>IF(($A471-Ft!D$2)&lt;0,Ft!D$3*((1-Ft!D$6)/(1+Ft!D$37*($A471-Ft!D$2)^2)+Ft!D$6*EXP(Ft!D$38*($A471-Ft!D$2)^2)),Ft!D$3*((1-Ft!D$7)/(1+Ft!D$39*($A471-Ft!D$2)^2)+Ft!D$7*EXP(Ft!D$40*($A471-Ft!D$2)^2)))</f>
        <v>0.28006026321298116</v>
      </c>
      <c r="I471" s="3">
        <f>IF(($A471-Ft!E$2)&lt;0,Ft!E$3*((1-Ft!E$6)/(1+Ft!E$37*($A471-Ft!E$2)^2)+Ft!E$6*EXP(Ft!E$38*($A471-Ft!E$2)^2)),Ft!E$3*((1-Ft!E$7)/(1+Ft!E$39*($A471-Ft!E$2)^2)+Ft!E$7*EXP(Ft!E$40*($A471-Ft!E$2)^2)))</f>
        <v>11.102422464887921</v>
      </c>
      <c r="J471" s="3">
        <f>IF(($A471-Ft!F$2)&lt;0,Ft!F$3*((1-Ft!F$6)/(1+Ft!F$37*($A471-Ft!F$2)^2)+Ft!F$6*EXP(Ft!F$38*($A471-Ft!F$2)^2)),Ft!F$3*((1-Ft!F$7)/(1+Ft!F$39*($A471-Ft!F$2)^2)+Ft!F$7*EXP(Ft!F$40*($A471-Ft!F$2)^2)))</f>
        <v>1.6709100937123451</v>
      </c>
      <c r="K471" s="3">
        <f>IF(($A471-Ft!G$2)&lt;0,Ft!G$3*((1-Ft!G$6)/(1+Ft!G$37*($A471-Ft!G$2)^2)+Ft!G$6*EXP(Ft!G$38*($A471-Ft!G$2)^2)),Ft!G$3*((1-Ft!G$7)/(1+Ft!G$39*($A471-Ft!G$2)^2)+Ft!G$7*EXP(Ft!G$40*($A471-Ft!G$2)^2)))</f>
        <v>1.0794766174297872E-4</v>
      </c>
      <c r="L471" s="3">
        <f>IF(($A471-Ft!H$2)&lt;0,Ft!H$3*((1-Ft!H$6)/(1+Ft!H$37*($A471-Ft!H$2)^2)+Ft!H$6*EXP(Ft!H$38*($A471-Ft!H$2)^2)),Ft!H$3*((1-Ft!H$7)/(1+Ft!H$39*($A471-Ft!H$2)^2)+Ft!H$7*EXP(Ft!H$40*($A471-Ft!H$2)^2)))</f>
        <v>0</v>
      </c>
      <c r="M471" s="3">
        <f>IF(($A471-Ft!I$2)&lt;0,Ft!I$3*((1-Ft!I$6)/(1+Ft!I$37*($A471-Ft!I$2)^2)+Ft!I$6*EXP(Ft!I$38*($A471-Ft!I$2)^2)),Ft!I$3*((1-Ft!I$7)/(1+Ft!I$39*($A471-Ft!I$2)^2)+Ft!I$7*EXP(Ft!I$40*($A471-Ft!I$2)^2)))</f>
        <v>0</v>
      </c>
      <c r="N471" s="3">
        <f>IF(($A471-Ft!J$2)&lt;0,Ft!J$3*((1-Ft!J$6)/(1+Ft!J$37*($A471-Ft!J$2)^2)+Ft!J$6*EXP(Ft!J$38*($A471-Ft!J$2)^2)),Ft!J$3*((1-Ft!J$7)/(1+Ft!J$39*($A471-Ft!J$2)^2)+Ft!J$7*EXP(Ft!J$40*($A471-Ft!J$2)^2)))</f>
        <v>0</v>
      </c>
      <c r="O471" s="3">
        <f>IF(($A471-Ft!K$2)&lt;0,Ft!K$3*((1-Ft!K$6)/(1+Ft!K$37*($A471-Ft!K$2)^2)+Ft!K$6*EXP(Ft!K$38*($A471-Ft!K$2)^2)),Ft!K$3*((1-Ft!K$7)/(1+Ft!K$39*($A471-Ft!K$2)^2)+Ft!K$7*EXP(Ft!K$40*($A471-Ft!K$2)^2)))</f>
        <v>0</v>
      </c>
      <c r="P471"/>
      <c r="Q471"/>
    </row>
    <row r="472" spans="1:17">
      <c r="A472">
        <v>940</v>
      </c>
      <c r="B472">
        <v>13.085846006973995</v>
      </c>
      <c r="C472" s="6">
        <f t="shared" si="15"/>
        <v>13.029462538724099</v>
      </c>
      <c r="D472" s="19">
        <f t="shared" si="16"/>
        <v>3.1790954918870348E-3</v>
      </c>
      <c r="E472" s="3">
        <f>Ft!$B$12+Ft!$B$14*(Data!A472-Vars!$B$3)</f>
        <v>0</v>
      </c>
      <c r="F472" s="3">
        <f>IF(($A472-Ft!B$2)&lt;0,Ft!B$3*((1-Ft!B$6)/(1+Ft!B$37*($A472-Ft!B$2)^2)+Ft!B$6*EXP(Ft!B$38*($A472-Ft!B$2)^2)),Ft!B$3*((1-Ft!B$7)/(1+Ft!B$39*($A472-Ft!B$2)^2)+Ft!B$7*EXP(Ft!B$40*($A472-Ft!B$2)^2)))</f>
        <v>0</v>
      </c>
      <c r="G472" s="3">
        <f>IF(($A472-Ft!C$2)&lt;0,Ft!C$3*((1-Ft!C$6)/(1+Ft!C$37*($A472-Ft!C$2)^2)+Ft!C$6*EXP(Ft!C$38*($A472-Ft!C$2)^2)),Ft!C$3*((1-Ft!C$7)/(1+Ft!C$39*($A472-Ft!C$2)^2)+Ft!C$7*EXP(Ft!C$40*($A472-Ft!C$2)^2)))</f>
        <v>2.0702543909263957E-22</v>
      </c>
      <c r="H472" s="3">
        <f>IF(($A472-Ft!D$2)&lt;0,Ft!D$3*((1-Ft!D$6)/(1+Ft!D$37*($A472-Ft!D$2)^2)+Ft!D$6*EXP(Ft!D$38*($A472-Ft!D$2)^2)),Ft!D$3*((1-Ft!D$7)/(1+Ft!D$39*($A472-Ft!D$2)^2)+Ft!D$7*EXP(Ft!D$40*($A472-Ft!D$2)^2)))</f>
        <v>0.27047418005364987</v>
      </c>
      <c r="I472" s="3">
        <f>IF(($A472-Ft!E$2)&lt;0,Ft!E$3*((1-Ft!E$6)/(1+Ft!E$37*($A472-Ft!E$2)^2)+Ft!E$6*EXP(Ft!E$38*($A472-Ft!E$2)^2)),Ft!E$3*((1-Ft!E$7)/(1+Ft!E$39*($A472-Ft!E$2)^2)+Ft!E$7*EXP(Ft!E$40*($A472-Ft!E$2)^2)))</f>
        <v>10.972926289815748</v>
      </c>
      <c r="J472" s="3">
        <f>IF(($A472-Ft!F$2)&lt;0,Ft!F$3*((1-Ft!F$6)/(1+Ft!F$37*($A472-Ft!F$2)^2)+Ft!F$6*EXP(Ft!F$38*($A472-Ft!F$2)^2)),Ft!F$3*((1-Ft!F$7)/(1+Ft!F$39*($A472-Ft!F$2)^2)+Ft!F$7*EXP(Ft!F$40*($A472-Ft!F$2)^2)))</f>
        <v>1.7859003038404508</v>
      </c>
      <c r="K472" s="3">
        <f>IF(($A472-Ft!G$2)&lt;0,Ft!G$3*((1-Ft!G$6)/(1+Ft!G$37*($A472-Ft!G$2)^2)+Ft!G$6*EXP(Ft!G$38*($A472-Ft!G$2)^2)),Ft!G$3*((1-Ft!G$7)/(1+Ft!G$39*($A472-Ft!G$2)^2)+Ft!G$7*EXP(Ft!G$40*($A472-Ft!G$2)^2)))</f>
        <v>1.6176501424906557E-4</v>
      </c>
      <c r="L472" s="3">
        <f>IF(($A472-Ft!H$2)&lt;0,Ft!H$3*((1-Ft!H$6)/(1+Ft!H$37*($A472-Ft!H$2)^2)+Ft!H$6*EXP(Ft!H$38*($A472-Ft!H$2)^2)),Ft!H$3*((1-Ft!H$7)/(1+Ft!H$39*($A472-Ft!H$2)^2)+Ft!H$7*EXP(Ft!H$40*($A472-Ft!H$2)^2)))</f>
        <v>0</v>
      </c>
      <c r="M472" s="3">
        <f>IF(($A472-Ft!I$2)&lt;0,Ft!I$3*((1-Ft!I$6)/(1+Ft!I$37*($A472-Ft!I$2)^2)+Ft!I$6*EXP(Ft!I$38*($A472-Ft!I$2)^2)),Ft!I$3*((1-Ft!I$7)/(1+Ft!I$39*($A472-Ft!I$2)^2)+Ft!I$7*EXP(Ft!I$40*($A472-Ft!I$2)^2)))</f>
        <v>0</v>
      </c>
      <c r="N472" s="3">
        <f>IF(($A472-Ft!J$2)&lt;0,Ft!J$3*((1-Ft!J$6)/(1+Ft!J$37*($A472-Ft!J$2)^2)+Ft!J$6*EXP(Ft!J$38*($A472-Ft!J$2)^2)),Ft!J$3*((1-Ft!J$7)/(1+Ft!J$39*($A472-Ft!J$2)^2)+Ft!J$7*EXP(Ft!J$40*($A472-Ft!J$2)^2)))</f>
        <v>0</v>
      </c>
      <c r="O472" s="3">
        <f>IF(($A472-Ft!K$2)&lt;0,Ft!K$3*((1-Ft!K$6)/(1+Ft!K$37*($A472-Ft!K$2)^2)+Ft!K$6*EXP(Ft!K$38*($A472-Ft!K$2)^2)),Ft!K$3*((1-Ft!K$7)/(1+Ft!K$39*($A472-Ft!K$2)^2)+Ft!K$7*EXP(Ft!K$40*($A472-Ft!K$2)^2)))</f>
        <v>0</v>
      </c>
      <c r="P472"/>
      <c r="Q472"/>
    </row>
    <row r="473" spans="1:17">
      <c r="A473">
        <v>942</v>
      </c>
      <c r="B473">
        <v>13.051881947852991</v>
      </c>
      <c r="C473" s="6">
        <f t="shared" si="15"/>
        <v>13.008876415084362</v>
      </c>
      <c r="D473" s="19">
        <f t="shared" si="16"/>
        <v>1.8494758487135612E-3</v>
      </c>
      <c r="E473" s="3">
        <f>Ft!$B$12+Ft!$B$14*(Data!A473-Vars!$B$3)</f>
        <v>0</v>
      </c>
      <c r="F473" s="3">
        <f>IF(($A473-Ft!B$2)&lt;0,Ft!B$3*((1-Ft!B$6)/(1+Ft!B$37*($A473-Ft!B$2)^2)+Ft!B$6*EXP(Ft!B$38*($A473-Ft!B$2)^2)),Ft!B$3*((1-Ft!B$7)/(1+Ft!B$39*($A473-Ft!B$2)^2)+Ft!B$7*EXP(Ft!B$40*($A473-Ft!B$2)^2)))</f>
        <v>0</v>
      </c>
      <c r="G473" s="3">
        <f>IF(($A473-Ft!C$2)&lt;0,Ft!C$3*((1-Ft!C$6)/(1+Ft!C$37*($A473-Ft!C$2)^2)+Ft!C$6*EXP(Ft!C$38*($A473-Ft!C$2)^2)),Ft!C$3*((1-Ft!C$7)/(1+Ft!C$39*($A473-Ft!C$2)^2)+Ft!C$7*EXP(Ft!C$40*($A473-Ft!C$2)^2)))</f>
        <v>1.5953716968359258E-22</v>
      </c>
      <c r="H473" s="3">
        <f>IF(($A473-Ft!D$2)&lt;0,Ft!D$3*((1-Ft!D$6)/(1+Ft!D$37*($A473-Ft!D$2)^2)+Ft!D$6*EXP(Ft!D$38*($A473-Ft!D$2)^2)),Ft!D$3*((1-Ft!D$7)/(1+Ft!D$39*($A473-Ft!D$2)^2)+Ft!D$7*EXP(Ft!D$40*($A473-Ft!D$2)^2)))</f>
        <v>0.26117866515636456</v>
      </c>
      <c r="I473" s="3">
        <f>IF(($A473-Ft!E$2)&lt;0,Ft!E$3*((1-Ft!E$6)/(1+Ft!E$37*($A473-Ft!E$2)^2)+Ft!E$6*EXP(Ft!E$38*($A473-Ft!E$2)^2)),Ft!E$3*((1-Ft!E$7)/(1+Ft!E$39*($A473-Ft!E$2)^2)+Ft!E$7*EXP(Ft!E$40*($A473-Ft!E$2)^2)))</f>
        <v>10.842757032638659</v>
      </c>
      <c r="J473" s="3">
        <f>IF(($A473-Ft!F$2)&lt;0,Ft!F$3*((1-Ft!F$6)/(1+Ft!F$37*($A473-Ft!F$2)^2)+Ft!F$6*EXP(Ft!F$38*($A473-Ft!F$2)^2)),Ft!F$3*((1-Ft!F$7)/(1+Ft!F$39*($A473-Ft!F$2)^2)+Ft!F$7*EXP(Ft!F$40*($A473-Ft!F$2)^2)))</f>
        <v>1.9047001409605129</v>
      </c>
      <c r="K473" s="3">
        <f>IF(($A473-Ft!G$2)&lt;0,Ft!G$3*((1-Ft!G$6)/(1+Ft!G$37*($A473-Ft!G$2)^2)+Ft!G$6*EXP(Ft!G$38*($A473-Ft!G$2)^2)),Ft!G$3*((1-Ft!G$7)/(1+Ft!G$39*($A473-Ft!G$2)^2)+Ft!G$7*EXP(Ft!G$40*($A473-Ft!G$2)^2)))</f>
        <v>2.4057632882632576E-4</v>
      </c>
      <c r="L473" s="3">
        <f>IF(($A473-Ft!H$2)&lt;0,Ft!H$3*((1-Ft!H$6)/(1+Ft!H$37*($A473-Ft!H$2)^2)+Ft!H$6*EXP(Ft!H$38*($A473-Ft!H$2)^2)),Ft!H$3*((1-Ft!H$7)/(1+Ft!H$39*($A473-Ft!H$2)^2)+Ft!H$7*EXP(Ft!H$40*($A473-Ft!H$2)^2)))</f>
        <v>0</v>
      </c>
      <c r="M473" s="3">
        <f>IF(($A473-Ft!I$2)&lt;0,Ft!I$3*((1-Ft!I$6)/(1+Ft!I$37*($A473-Ft!I$2)^2)+Ft!I$6*EXP(Ft!I$38*($A473-Ft!I$2)^2)),Ft!I$3*((1-Ft!I$7)/(1+Ft!I$39*($A473-Ft!I$2)^2)+Ft!I$7*EXP(Ft!I$40*($A473-Ft!I$2)^2)))</f>
        <v>0</v>
      </c>
      <c r="N473" s="3">
        <f>IF(($A473-Ft!J$2)&lt;0,Ft!J$3*((1-Ft!J$6)/(1+Ft!J$37*($A473-Ft!J$2)^2)+Ft!J$6*EXP(Ft!J$38*($A473-Ft!J$2)^2)),Ft!J$3*((1-Ft!J$7)/(1+Ft!J$39*($A473-Ft!J$2)^2)+Ft!J$7*EXP(Ft!J$40*($A473-Ft!J$2)^2)))</f>
        <v>0</v>
      </c>
      <c r="O473" s="3">
        <f>IF(($A473-Ft!K$2)&lt;0,Ft!K$3*((1-Ft!K$6)/(1+Ft!K$37*($A473-Ft!K$2)^2)+Ft!K$6*EXP(Ft!K$38*($A473-Ft!K$2)^2)),Ft!K$3*((1-Ft!K$7)/(1+Ft!K$39*($A473-Ft!K$2)^2)+Ft!K$7*EXP(Ft!K$40*($A473-Ft!K$2)^2)))</f>
        <v>0</v>
      </c>
      <c r="P473"/>
      <c r="Q473"/>
    </row>
    <row r="474" spans="1:17">
      <c r="A474">
        <v>944</v>
      </c>
      <c r="B474">
        <v>13.017197951141</v>
      </c>
      <c r="C474" s="6">
        <f t="shared" si="15"/>
        <v>12.991531417613219</v>
      </c>
      <c r="D474" s="19">
        <f t="shared" si="16"/>
        <v>6.5877094333271927E-4</v>
      </c>
      <c r="E474" s="3">
        <f>Ft!$B$12+Ft!$B$14*(Data!A474-Vars!$B$3)</f>
        <v>0</v>
      </c>
      <c r="F474" s="3">
        <f>IF(($A474-Ft!B$2)&lt;0,Ft!B$3*((1-Ft!B$6)/(1+Ft!B$37*($A474-Ft!B$2)^2)+Ft!B$6*EXP(Ft!B$38*($A474-Ft!B$2)^2)),Ft!B$3*((1-Ft!B$7)/(1+Ft!B$39*($A474-Ft!B$2)^2)+Ft!B$7*EXP(Ft!B$40*($A474-Ft!B$2)^2)))</f>
        <v>0</v>
      </c>
      <c r="G474" s="3">
        <f>IF(($A474-Ft!C$2)&lt;0,Ft!C$3*((1-Ft!C$6)/(1+Ft!C$37*($A474-Ft!C$2)^2)+Ft!C$6*EXP(Ft!C$38*($A474-Ft!C$2)^2)),Ft!C$3*((1-Ft!C$7)/(1+Ft!C$39*($A474-Ft!C$2)^2)+Ft!C$7*EXP(Ft!C$40*($A474-Ft!C$2)^2)))</f>
        <v>1.2286211407323889E-22</v>
      </c>
      <c r="H474" s="3">
        <f>IF(($A474-Ft!D$2)&lt;0,Ft!D$3*((1-Ft!D$6)/(1+Ft!D$37*($A474-Ft!D$2)^2)+Ft!D$6*EXP(Ft!D$38*($A474-Ft!D$2)^2)),Ft!D$3*((1-Ft!D$7)/(1+Ft!D$39*($A474-Ft!D$2)^2)+Ft!D$7*EXP(Ft!D$40*($A474-Ft!D$2)^2)))</f>
        <v>0.25216635899869161</v>
      </c>
      <c r="I474" s="3">
        <f>IF(($A474-Ft!E$2)&lt;0,Ft!E$3*((1-Ft!E$6)/(1+Ft!E$37*($A474-Ft!E$2)^2)+Ft!E$6*EXP(Ft!E$38*($A474-Ft!E$2)^2)),Ft!E$3*((1-Ft!E$7)/(1+Ft!E$39*($A474-Ft!E$2)^2)+Ft!E$7*EXP(Ft!E$40*($A474-Ft!E$2)^2)))</f>
        <v>10.711974783058807</v>
      </c>
      <c r="J474" s="3">
        <f>IF(($A474-Ft!F$2)&lt;0,Ft!F$3*((1-Ft!F$6)/(1+Ft!F$37*($A474-Ft!F$2)^2)+Ft!F$6*EXP(Ft!F$38*($A474-Ft!F$2)^2)),Ft!F$3*((1-Ft!F$7)/(1+Ft!F$39*($A474-Ft!F$2)^2)+Ft!F$7*EXP(Ft!F$40*($A474-Ft!F$2)^2)))</f>
        <v>2.0270352021723377</v>
      </c>
      <c r="K474" s="3">
        <f>IF(($A474-Ft!G$2)&lt;0,Ft!G$3*((1-Ft!G$6)/(1+Ft!G$37*($A474-Ft!G$2)^2)+Ft!G$6*EXP(Ft!G$38*($A474-Ft!G$2)^2)),Ft!G$3*((1-Ft!G$7)/(1+Ft!G$39*($A474-Ft!G$2)^2)+Ft!G$7*EXP(Ft!G$40*($A474-Ft!G$2)^2)))</f>
        <v>3.5507338338436659E-4</v>
      </c>
      <c r="L474" s="3">
        <f>IF(($A474-Ft!H$2)&lt;0,Ft!H$3*((1-Ft!H$6)/(1+Ft!H$37*($A474-Ft!H$2)^2)+Ft!H$6*EXP(Ft!H$38*($A474-Ft!H$2)^2)),Ft!H$3*((1-Ft!H$7)/(1+Ft!H$39*($A474-Ft!H$2)^2)+Ft!H$7*EXP(Ft!H$40*($A474-Ft!H$2)^2)))</f>
        <v>0</v>
      </c>
      <c r="M474" s="3">
        <f>IF(($A474-Ft!I$2)&lt;0,Ft!I$3*((1-Ft!I$6)/(1+Ft!I$37*($A474-Ft!I$2)^2)+Ft!I$6*EXP(Ft!I$38*($A474-Ft!I$2)^2)),Ft!I$3*((1-Ft!I$7)/(1+Ft!I$39*($A474-Ft!I$2)^2)+Ft!I$7*EXP(Ft!I$40*($A474-Ft!I$2)^2)))</f>
        <v>0</v>
      </c>
      <c r="N474" s="3">
        <f>IF(($A474-Ft!J$2)&lt;0,Ft!J$3*((1-Ft!J$6)/(1+Ft!J$37*($A474-Ft!J$2)^2)+Ft!J$6*EXP(Ft!J$38*($A474-Ft!J$2)^2)),Ft!J$3*((1-Ft!J$7)/(1+Ft!J$39*($A474-Ft!J$2)^2)+Ft!J$7*EXP(Ft!J$40*($A474-Ft!J$2)^2)))</f>
        <v>0</v>
      </c>
      <c r="O474" s="3">
        <f>IF(($A474-Ft!K$2)&lt;0,Ft!K$3*((1-Ft!K$6)/(1+Ft!K$37*($A474-Ft!K$2)^2)+Ft!K$6*EXP(Ft!K$38*($A474-Ft!K$2)^2)),Ft!K$3*((1-Ft!K$7)/(1+Ft!K$39*($A474-Ft!K$2)^2)+Ft!K$7*EXP(Ft!K$40*($A474-Ft!K$2)^2)))</f>
        <v>0</v>
      </c>
      <c r="P474"/>
      <c r="Q474"/>
    </row>
    <row r="475" spans="1:17">
      <c r="A475">
        <v>946</v>
      </c>
      <c r="B475">
        <v>12.981685264812</v>
      </c>
      <c r="C475" s="6">
        <f t="shared" si="15"/>
        <v>12.977179028656096</v>
      </c>
      <c r="D475" s="19">
        <f t="shared" si="16"/>
        <v>2.0306164292783041E-5</v>
      </c>
      <c r="E475" s="3">
        <f>Ft!$B$12+Ft!$B$14*(Data!A475-Vars!$B$3)</f>
        <v>0</v>
      </c>
      <c r="F475" s="3">
        <f>IF(($A475-Ft!B$2)&lt;0,Ft!B$3*((1-Ft!B$6)/(1+Ft!B$37*($A475-Ft!B$2)^2)+Ft!B$6*EXP(Ft!B$38*($A475-Ft!B$2)^2)),Ft!B$3*((1-Ft!B$7)/(1+Ft!B$39*($A475-Ft!B$2)^2)+Ft!B$7*EXP(Ft!B$40*($A475-Ft!B$2)^2)))</f>
        <v>0</v>
      </c>
      <c r="G475" s="3">
        <f>IF(($A475-Ft!C$2)&lt;0,Ft!C$3*((1-Ft!C$6)/(1+Ft!C$37*($A475-Ft!C$2)^2)+Ft!C$6*EXP(Ft!C$38*($A475-Ft!C$2)^2)),Ft!C$3*((1-Ft!C$7)/(1+Ft!C$39*($A475-Ft!C$2)^2)+Ft!C$7*EXP(Ft!C$40*($A475-Ft!C$2)^2)))</f>
        <v>9.4556636841720456E-23</v>
      </c>
      <c r="H475" s="3">
        <f>IF(($A475-Ft!D$2)&lt;0,Ft!D$3*((1-Ft!D$6)/(1+Ft!D$37*($A475-Ft!D$2)^2)+Ft!D$6*EXP(Ft!D$38*($A475-Ft!D$2)^2)),Ft!D$3*((1-Ft!D$7)/(1+Ft!D$39*($A475-Ft!D$2)^2)+Ft!D$7*EXP(Ft!D$40*($A475-Ft!D$2)^2)))</f>
        <v>0.24343003546937853</v>
      </c>
      <c r="I475" s="3">
        <f>IF(($A475-Ft!E$2)&lt;0,Ft!E$3*((1-Ft!E$6)/(1+Ft!E$37*($A475-Ft!E$2)^2)+Ft!E$6*EXP(Ft!E$38*($A475-Ft!E$2)^2)),Ft!E$3*((1-Ft!E$7)/(1+Ft!E$39*($A475-Ft!E$2)^2)+Ft!E$7*EXP(Ft!E$40*($A475-Ft!E$2)^2)))</f>
        <v>10.580639280037127</v>
      </c>
      <c r="J475" s="3">
        <f>IF(($A475-Ft!F$2)&lt;0,Ft!F$3*((1-Ft!F$6)/(1+Ft!F$37*($A475-Ft!F$2)^2)+Ft!F$6*EXP(Ft!F$38*($A475-Ft!F$2)^2)),Ft!F$3*((1-Ft!F$7)/(1+Ft!F$39*($A475-Ft!F$2)^2)+Ft!F$7*EXP(Ft!F$40*($A475-Ft!F$2)^2)))</f>
        <v>2.1525896210272788</v>
      </c>
      <c r="K475" s="3">
        <f>IF(($A475-Ft!G$2)&lt;0,Ft!G$3*((1-Ft!G$6)/(1+Ft!G$37*($A475-Ft!G$2)^2)+Ft!G$6*EXP(Ft!G$38*($A475-Ft!G$2)^2)),Ft!G$3*((1-Ft!G$7)/(1+Ft!G$39*($A475-Ft!G$2)^2)+Ft!G$7*EXP(Ft!G$40*($A475-Ft!G$2)^2)))</f>
        <v>5.2009212231082444E-4</v>
      </c>
      <c r="L475" s="3">
        <f>IF(($A475-Ft!H$2)&lt;0,Ft!H$3*((1-Ft!H$6)/(1+Ft!H$37*($A475-Ft!H$2)^2)+Ft!H$6*EXP(Ft!H$38*($A475-Ft!H$2)^2)),Ft!H$3*((1-Ft!H$7)/(1+Ft!H$39*($A475-Ft!H$2)^2)+Ft!H$7*EXP(Ft!H$40*($A475-Ft!H$2)^2)))</f>
        <v>0</v>
      </c>
      <c r="M475" s="3">
        <f>IF(($A475-Ft!I$2)&lt;0,Ft!I$3*((1-Ft!I$6)/(1+Ft!I$37*($A475-Ft!I$2)^2)+Ft!I$6*EXP(Ft!I$38*($A475-Ft!I$2)^2)),Ft!I$3*((1-Ft!I$7)/(1+Ft!I$39*($A475-Ft!I$2)^2)+Ft!I$7*EXP(Ft!I$40*($A475-Ft!I$2)^2)))</f>
        <v>0</v>
      </c>
      <c r="N475" s="3">
        <f>IF(($A475-Ft!J$2)&lt;0,Ft!J$3*((1-Ft!J$6)/(1+Ft!J$37*($A475-Ft!J$2)^2)+Ft!J$6*EXP(Ft!J$38*($A475-Ft!J$2)^2)),Ft!J$3*((1-Ft!J$7)/(1+Ft!J$39*($A475-Ft!J$2)^2)+Ft!J$7*EXP(Ft!J$40*($A475-Ft!J$2)^2)))</f>
        <v>0</v>
      </c>
      <c r="O475" s="3">
        <f>IF(($A475-Ft!K$2)&lt;0,Ft!K$3*((1-Ft!K$6)/(1+Ft!K$37*($A475-Ft!K$2)^2)+Ft!K$6*EXP(Ft!K$38*($A475-Ft!K$2)^2)),Ft!K$3*((1-Ft!K$7)/(1+Ft!K$39*($A475-Ft!K$2)^2)+Ft!K$7*EXP(Ft!K$40*($A475-Ft!K$2)^2)))</f>
        <v>0</v>
      </c>
      <c r="P475"/>
      <c r="Q475"/>
    </row>
    <row r="476" spans="1:17">
      <c r="A476">
        <v>948</v>
      </c>
      <c r="B476">
        <v>12.946292274488997</v>
      </c>
      <c r="C476" s="6">
        <f t="shared" si="15"/>
        <v>12.965534707692441</v>
      </c>
      <c r="D476" s="19">
        <f t="shared" si="16"/>
        <v>3.7027123558903779E-4</v>
      </c>
      <c r="E476" s="3">
        <f>Ft!$B$12+Ft!$B$14*(Data!A476-Vars!$B$3)</f>
        <v>0</v>
      </c>
      <c r="F476" s="3">
        <f>IF(($A476-Ft!B$2)&lt;0,Ft!B$3*((1-Ft!B$6)/(1+Ft!B$37*($A476-Ft!B$2)^2)+Ft!B$6*EXP(Ft!B$38*($A476-Ft!B$2)^2)),Ft!B$3*((1-Ft!B$7)/(1+Ft!B$39*($A476-Ft!B$2)^2)+Ft!B$7*EXP(Ft!B$40*($A476-Ft!B$2)^2)))</f>
        <v>0</v>
      </c>
      <c r="G476" s="3">
        <f>IF(($A476-Ft!C$2)&lt;0,Ft!C$3*((1-Ft!C$6)/(1+Ft!C$37*($A476-Ft!C$2)^2)+Ft!C$6*EXP(Ft!C$38*($A476-Ft!C$2)^2)),Ft!C$3*((1-Ft!C$7)/(1+Ft!C$39*($A476-Ft!C$2)^2)+Ft!C$7*EXP(Ft!C$40*($A476-Ft!C$2)^2)))</f>
        <v>7.2725042258579063E-23</v>
      </c>
      <c r="H476" s="3">
        <f>IF(($A476-Ft!D$2)&lt;0,Ft!D$3*((1-Ft!D$6)/(1+Ft!D$37*($A476-Ft!D$2)^2)+Ft!D$6*EXP(Ft!D$38*($A476-Ft!D$2)^2)),Ft!D$3*((1-Ft!D$7)/(1+Ft!D$39*($A476-Ft!D$2)^2)+Ft!D$7*EXP(Ft!D$40*($A476-Ft!D$2)^2)))</f>
        <v>0.23496260134786798</v>
      </c>
      <c r="I476" s="3">
        <f>IF(($A476-Ft!E$2)&lt;0,Ft!E$3*((1-Ft!E$6)/(1+Ft!E$37*($A476-Ft!E$2)^2)+Ft!E$6*EXP(Ft!E$38*($A476-Ft!E$2)^2)),Ft!E$3*((1-Ft!E$7)/(1+Ft!E$39*($A476-Ft!E$2)^2)+Ft!E$7*EXP(Ft!E$40*($A476-Ft!E$2)^2)))</f>
        <v>10.448809868205858</v>
      </c>
      <c r="J476" s="3">
        <f>IF(($A476-Ft!F$2)&lt;0,Ft!F$3*((1-Ft!F$6)/(1+Ft!F$37*($A476-Ft!F$2)^2)+Ft!F$6*EXP(Ft!F$38*($A476-Ft!F$2)^2)),Ft!F$3*((1-Ft!F$7)/(1+Ft!F$39*($A476-Ft!F$2)^2)+Ft!F$7*EXP(Ft!F$40*($A476-Ft!F$2)^2)))</f>
        <v>2.2810062075537392</v>
      </c>
      <c r="K476" s="3">
        <f>IF(($A476-Ft!G$2)&lt;0,Ft!G$3*((1-Ft!G$6)/(1+Ft!G$37*($A476-Ft!G$2)^2)+Ft!G$6*EXP(Ft!G$38*($A476-Ft!G$2)^2)),Ft!G$3*((1-Ft!G$7)/(1+Ft!G$39*($A476-Ft!G$2)^2)+Ft!G$7*EXP(Ft!G$40*($A476-Ft!G$2)^2)))</f>
        <v>7.5603058497630599E-4</v>
      </c>
      <c r="L476" s="3">
        <f>IF(($A476-Ft!H$2)&lt;0,Ft!H$3*((1-Ft!H$6)/(1+Ft!H$37*($A476-Ft!H$2)^2)+Ft!H$6*EXP(Ft!H$38*($A476-Ft!H$2)^2)),Ft!H$3*((1-Ft!H$7)/(1+Ft!H$39*($A476-Ft!H$2)^2)+Ft!H$7*EXP(Ft!H$40*($A476-Ft!H$2)^2)))</f>
        <v>0</v>
      </c>
      <c r="M476" s="3">
        <f>IF(($A476-Ft!I$2)&lt;0,Ft!I$3*((1-Ft!I$6)/(1+Ft!I$37*($A476-Ft!I$2)^2)+Ft!I$6*EXP(Ft!I$38*($A476-Ft!I$2)^2)),Ft!I$3*((1-Ft!I$7)/(1+Ft!I$39*($A476-Ft!I$2)^2)+Ft!I$7*EXP(Ft!I$40*($A476-Ft!I$2)^2)))</f>
        <v>0</v>
      </c>
      <c r="N476" s="3">
        <f>IF(($A476-Ft!J$2)&lt;0,Ft!J$3*((1-Ft!J$6)/(1+Ft!J$37*($A476-Ft!J$2)^2)+Ft!J$6*EXP(Ft!J$38*($A476-Ft!J$2)^2)),Ft!J$3*((1-Ft!J$7)/(1+Ft!J$39*($A476-Ft!J$2)^2)+Ft!J$7*EXP(Ft!J$40*($A476-Ft!J$2)^2)))</f>
        <v>0</v>
      </c>
      <c r="O476" s="3">
        <f>IF(($A476-Ft!K$2)&lt;0,Ft!K$3*((1-Ft!K$6)/(1+Ft!K$37*($A476-Ft!K$2)^2)+Ft!K$6*EXP(Ft!K$38*($A476-Ft!K$2)^2)),Ft!K$3*((1-Ft!K$7)/(1+Ft!K$39*($A476-Ft!K$2)^2)+Ft!K$7*EXP(Ft!K$40*($A476-Ft!K$2)^2)))</f>
        <v>0</v>
      </c>
      <c r="P476"/>
      <c r="Q476"/>
    </row>
    <row r="477" spans="1:17">
      <c r="A477">
        <v>950</v>
      </c>
      <c r="B477">
        <v>12.911614201471991</v>
      </c>
      <c r="C477" s="6">
        <f t="shared" si="15"/>
        <v>12.956280280759753</v>
      </c>
      <c r="D477" s="19">
        <f t="shared" si="16"/>
        <v>1.9950586389406023E-3</v>
      </c>
      <c r="E477" s="3">
        <f>Ft!$B$12+Ft!$B$14*(Data!A477-Vars!$B$3)</f>
        <v>0</v>
      </c>
      <c r="F477" s="3">
        <f>IF(($A477-Ft!B$2)&lt;0,Ft!B$3*((1-Ft!B$6)/(1+Ft!B$37*($A477-Ft!B$2)^2)+Ft!B$6*EXP(Ft!B$38*($A477-Ft!B$2)^2)),Ft!B$3*((1-Ft!B$7)/(1+Ft!B$39*($A477-Ft!B$2)^2)+Ft!B$7*EXP(Ft!B$40*($A477-Ft!B$2)^2)))</f>
        <v>0</v>
      </c>
      <c r="G477" s="3">
        <f>IF(($A477-Ft!C$2)&lt;0,Ft!C$3*((1-Ft!C$6)/(1+Ft!C$37*($A477-Ft!C$2)^2)+Ft!C$6*EXP(Ft!C$38*($A477-Ft!C$2)^2)),Ft!C$3*((1-Ft!C$7)/(1+Ft!C$39*($A477-Ft!C$2)^2)+Ft!C$7*EXP(Ft!C$40*($A477-Ft!C$2)^2)))</f>
        <v>5.5897692443735991E-23</v>
      </c>
      <c r="H477" s="3">
        <f>IF(($A477-Ft!D$2)&lt;0,Ft!D$3*((1-Ft!D$6)/(1+Ft!D$37*($A477-Ft!D$2)^2)+Ft!D$6*EXP(Ft!D$38*($A477-Ft!D$2)^2)),Ft!D$3*((1-Ft!D$7)/(1+Ft!D$39*($A477-Ft!D$2)^2)+Ft!D$7*EXP(Ft!D$40*($A477-Ft!D$2)^2)))</f>
        <v>0.22675709570795835</v>
      </c>
      <c r="I477" s="3">
        <f>IF(($A477-Ft!E$2)&lt;0,Ft!E$3*((1-Ft!E$6)/(1+Ft!E$37*($A477-Ft!E$2)^2)+Ft!E$6*EXP(Ft!E$38*($A477-Ft!E$2)^2)),Ft!E$3*((1-Ft!E$7)/(1+Ft!E$39*($A477-Ft!E$2)^2)+Ft!E$7*EXP(Ft!E$40*($A477-Ft!E$2)^2)))</f>
        <v>10.316545455205643</v>
      </c>
      <c r="J477" s="3">
        <f>IF(($A477-Ft!F$2)&lt;0,Ft!F$3*((1-Ft!F$6)/(1+Ft!F$37*($A477-Ft!F$2)^2)+Ft!F$6*EXP(Ft!F$38*($A477-Ft!F$2)^2)),Ft!F$3*((1-Ft!F$7)/(1+Ft!F$39*($A477-Ft!F$2)^2)+Ft!F$7*EXP(Ft!F$40*($A477-Ft!F$2)^2)))</f>
        <v>2.4118870547755042</v>
      </c>
      <c r="K477" s="3">
        <f>IF(($A477-Ft!G$2)&lt;0,Ft!G$3*((1-Ft!G$6)/(1+Ft!G$37*($A477-Ft!G$2)^2)+Ft!G$6*EXP(Ft!G$38*($A477-Ft!G$2)^2)),Ft!G$3*((1-Ft!G$7)/(1+Ft!G$39*($A477-Ft!G$2)^2)+Ft!G$7*EXP(Ft!G$40*($A477-Ft!G$2)^2)))</f>
        <v>1.0906750706456069E-3</v>
      </c>
      <c r="L477" s="3">
        <f>IF(($A477-Ft!H$2)&lt;0,Ft!H$3*((1-Ft!H$6)/(1+Ft!H$37*($A477-Ft!H$2)^2)+Ft!H$6*EXP(Ft!H$38*($A477-Ft!H$2)^2)),Ft!H$3*((1-Ft!H$7)/(1+Ft!H$39*($A477-Ft!H$2)^2)+Ft!H$7*EXP(Ft!H$40*($A477-Ft!H$2)^2)))</f>
        <v>0</v>
      </c>
      <c r="M477" s="3">
        <f>IF(($A477-Ft!I$2)&lt;0,Ft!I$3*((1-Ft!I$6)/(1+Ft!I$37*($A477-Ft!I$2)^2)+Ft!I$6*EXP(Ft!I$38*($A477-Ft!I$2)^2)),Ft!I$3*((1-Ft!I$7)/(1+Ft!I$39*($A477-Ft!I$2)^2)+Ft!I$7*EXP(Ft!I$40*($A477-Ft!I$2)^2)))</f>
        <v>0</v>
      </c>
      <c r="N477" s="3">
        <f>IF(($A477-Ft!J$2)&lt;0,Ft!J$3*((1-Ft!J$6)/(1+Ft!J$37*($A477-Ft!J$2)^2)+Ft!J$6*EXP(Ft!J$38*($A477-Ft!J$2)^2)),Ft!J$3*((1-Ft!J$7)/(1+Ft!J$39*($A477-Ft!J$2)^2)+Ft!J$7*EXP(Ft!J$40*($A477-Ft!J$2)^2)))</f>
        <v>0</v>
      </c>
      <c r="O477" s="3">
        <f>IF(($A477-Ft!K$2)&lt;0,Ft!K$3*((1-Ft!K$6)/(1+Ft!K$37*($A477-Ft!K$2)^2)+Ft!K$6*EXP(Ft!K$38*($A477-Ft!K$2)^2)),Ft!K$3*((1-Ft!K$7)/(1+Ft!K$39*($A477-Ft!K$2)^2)+Ft!K$7*EXP(Ft!K$40*($A477-Ft!K$2)^2)))</f>
        <v>0</v>
      </c>
      <c r="P477"/>
      <c r="Q477"/>
    </row>
    <row r="478" spans="1:17">
      <c r="A478">
        <v>952</v>
      </c>
      <c r="B478">
        <v>12.878246267058998</v>
      </c>
      <c r="C478" s="6">
        <f t="shared" si="15"/>
        <v>12.949067314605685</v>
      </c>
      <c r="D478" s="19">
        <f t="shared" si="16"/>
        <v>5.0156207756101084E-3</v>
      </c>
      <c r="E478" s="3">
        <f>Ft!$B$12+Ft!$B$14*(Data!A478-Vars!$B$3)</f>
        <v>0</v>
      </c>
      <c r="F478" s="3">
        <f>IF(($A478-Ft!B$2)&lt;0,Ft!B$3*((1-Ft!B$6)/(1+Ft!B$37*($A478-Ft!B$2)^2)+Ft!B$6*EXP(Ft!B$38*($A478-Ft!B$2)^2)),Ft!B$3*((1-Ft!B$7)/(1+Ft!B$39*($A478-Ft!B$2)^2)+Ft!B$7*EXP(Ft!B$40*($A478-Ft!B$2)^2)))</f>
        <v>0</v>
      </c>
      <c r="G478" s="3">
        <f>IF(($A478-Ft!C$2)&lt;0,Ft!C$3*((1-Ft!C$6)/(1+Ft!C$37*($A478-Ft!C$2)^2)+Ft!C$6*EXP(Ft!C$38*($A478-Ft!C$2)^2)),Ft!C$3*((1-Ft!C$7)/(1+Ft!C$39*($A478-Ft!C$2)^2)+Ft!C$7*EXP(Ft!C$40*($A478-Ft!C$2)^2)))</f>
        <v>4.2936012584119632E-23</v>
      </c>
      <c r="H478" s="3">
        <f>IF(($A478-Ft!D$2)&lt;0,Ft!D$3*((1-Ft!D$6)/(1+Ft!D$37*($A478-Ft!D$2)^2)+Ft!D$6*EXP(Ft!D$38*($A478-Ft!D$2)^2)),Ft!D$3*((1-Ft!D$7)/(1+Ft!D$39*($A478-Ft!D$2)^2)+Ft!D$7*EXP(Ft!D$40*($A478-Ft!D$2)^2)))</f>
        <v>0.21880668924874039</v>
      </c>
      <c r="I478" s="3">
        <f>IF(($A478-Ft!E$2)&lt;0,Ft!E$3*((1-Ft!E$6)/(1+Ft!E$37*($A478-Ft!E$2)^2)+Ft!E$6*EXP(Ft!E$38*($A478-Ft!E$2)^2)),Ft!E$3*((1-Ft!E$7)/(1+Ft!E$39*($A478-Ft!E$2)^2)+Ft!E$7*EXP(Ft!E$40*($A478-Ft!E$2)^2)))</f>
        <v>10.183904469987018</v>
      </c>
      <c r="J478" s="3">
        <f>IF(($A478-Ft!F$2)&lt;0,Ft!F$3*((1-Ft!F$6)/(1+Ft!F$37*($A478-Ft!F$2)^2)+Ft!F$6*EXP(Ft!F$38*($A478-Ft!F$2)^2)),Ft!F$3*((1-Ft!F$7)/(1+Ft!F$39*($A478-Ft!F$2)^2)+Ft!F$7*EXP(Ft!F$40*($A478-Ft!F$2)^2)))</f>
        <v>2.5447946325319335</v>
      </c>
      <c r="K478" s="3">
        <f>IF(($A478-Ft!G$2)&lt;0,Ft!G$3*((1-Ft!G$6)/(1+Ft!G$37*($A478-Ft!G$2)^2)+Ft!G$6*EXP(Ft!G$38*($A478-Ft!G$2)^2)),Ft!G$3*((1-Ft!G$7)/(1+Ft!G$39*($A478-Ft!G$2)^2)+Ft!G$7*EXP(Ft!G$40*($A478-Ft!G$2)^2)))</f>
        <v>1.5615228379915031E-3</v>
      </c>
      <c r="L478" s="3">
        <f>IF(($A478-Ft!H$2)&lt;0,Ft!H$3*((1-Ft!H$6)/(1+Ft!H$37*($A478-Ft!H$2)^2)+Ft!H$6*EXP(Ft!H$38*($A478-Ft!H$2)^2)),Ft!H$3*((1-Ft!H$7)/(1+Ft!H$39*($A478-Ft!H$2)^2)+Ft!H$7*EXP(Ft!H$40*($A478-Ft!H$2)^2)))</f>
        <v>0</v>
      </c>
      <c r="M478" s="3">
        <f>IF(($A478-Ft!I$2)&lt;0,Ft!I$3*((1-Ft!I$6)/(1+Ft!I$37*($A478-Ft!I$2)^2)+Ft!I$6*EXP(Ft!I$38*($A478-Ft!I$2)^2)),Ft!I$3*((1-Ft!I$7)/(1+Ft!I$39*($A478-Ft!I$2)^2)+Ft!I$7*EXP(Ft!I$40*($A478-Ft!I$2)^2)))</f>
        <v>0</v>
      </c>
      <c r="N478" s="3">
        <f>IF(($A478-Ft!J$2)&lt;0,Ft!J$3*((1-Ft!J$6)/(1+Ft!J$37*($A478-Ft!J$2)^2)+Ft!J$6*EXP(Ft!J$38*($A478-Ft!J$2)^2)),Ft!J$3*((1-Ft!J$7)/(1+Ft!J$39*($A478-Ft!J$2)^2)+Ft!J$7*EXP(Ft!J$40*($A478-Ft!J$2)^2)))</f>
        <v>0</v>
      </c>
      <c r="O478" s="3">
        <f>IF(($A478-Ft!K$2)&lt;0,Ft!K$3*((1-Ft!K$6)/(1+Ft!K$37*($A478-Ft!K$2)^2)+Ft!K$6*EXP(Ft!K$38*($A478-Ft!K$2)^2)),Ft!K$3*((1-Ft!K$7)/(1+Ft!K$39*($A478-Ft!K$2)^2)+Ft!K$7*EXP(Ft!K$40*($A478-Ft!K$2)^2)))</f>
        <v>0</v>
      </c>
      <c r="P478"/>
      <c r="Q478"/>
    </row>
    <row r="479" spans="1:17">
      <c r="A479">
        <v>954</v>
      </c>
      <c r="B479">
        <v>12.846783692548996</v>
      </c>
      <c r="C479" s="6">
        <f t="shared" si="15"/>
        <v>12.943521586976185</v>
      </c>
      <c r="D479" s="19">
        <f t="shared" si="16"/>
        <v>9.3582202182060179E-3</v>
      </c>
      <c r="E479" s="3">
        <f>Ft!$B$12+Ft!$B$14*(Data!A479-Vars!$B$3)</f>
        <v>0</v>
      </c>
      <c r="F479" s="3">
        <f>IF(($A479-Ft!B$2)&lt;0,Ft!B$3*((1-Ft!B$6)/(1+Ft!B$37*($A479-Ft!B$2)^2)+Ft!B$6*EXP(Ft!B$38*($A479-Ft!B$2)^2)),Ft!B$3*((1-Ft!B$7)/(1+Ft!B$39*($A479-Ft!B$2)^2)+Ft!B$7*EXP(Ft!B$40*($A479-Ft!B$2)^2)))</f>
        <v>0</v>
      </c>
      <c r="G479" s="3">
        <f>IF(($A479-Ft!C$2)&lt;0,Ft!C$3*((1-Ft!C$6)/(1+Ft!C$37*($A479-Ft!C$2)^2)+Ft!C$6*EXP(Ft!C$38*($A479-Ft!C$2)^2)),Ft!C$3*((1-Ft!C$7)/(1+Ft!C$39*($A479-Ft!C$2)^2)+Ft!C$7*EXP(Ft!C$40*($A479-Ft!C$2)^2)))</f>
        <v>3.2958502549457433E-23</v>
      </c>
      <c r="H479" s="3">
        <f>IF(($A479-Ft!D$2)&lt;0,Ft!D$3*((1-Ft!D$6)/(1+Ft!D$37*($A479-Ft!D$2)^2)+Ft!D$6*EXP(Ft!D$38*($A479-Ft!D$2)^2)),Ft!D$3*((1-Ft!D$7)/(1+Ft!D$39*($A479-Ft!D$2)^2)+Ft!D$7*EXP(Ft!D$40*($A479-Ft!D$2)^2)))</f>
        <v>0.211104683555911</v>
      </c>
      <c r="I479" s="3">
        <f>IF(($A479-Ft!E$2)&lt;0,Ft!E$3*((1-Ft!E$6)/(1+Ft!E$37*($A479-Ft!E$2)^2)+Ft!E$6*EXP(Ft!E$38*($A479-Ft!E$2)^2)),Ft!E$3*((1-Ft!E$7)/(1+Ft!E$39*($A479-Ft!E$2)^2)+Ft!E$7*EXP(Ft!E$40*($A479-Ft!E$2)^2)))</f>
        <v>10.050944822114399</v>
      </c>
      <c r="J479" s="3">
        <f>IF(($A479-Ft!F$2)&lt;0,Ft!F$3*((1-Ft!F$6)/(1+Ft!F$37*($A479-Ft!F$2)^2)+Ft!F$6*EXP(Ft!F$38*($A479-Ft!F$2)^2)),Ft!F$3*((1-Ft!F$7)/(1+Ft!F$39*($A479-Ft!F$2)^2)+Ft!F$7*EXP(Ft!F$40*($A479-Ft!F$2)^2)))</f>
        <v>2.6792533831304444</v>
      </c>
      <c r="K479" s="3">
        <f>IF(($A479-Ft!G$2)&lt;0,Ft!G$3*((1-Ft!G$6)/(1+Ft!G$37*($A479-Ft!G$2)^2)+Ft!G$6*EXP(Ft!G$38*($A479-Ft!G$2)^2)),Ft!G$3*((1-Ft!G$7)/(1+Ft!G$39*($A479-Ft!G$2)^2)+Ft!G$7*EXP(Ft!G$40*($A479-Ft!G$2)^2)))</f>
        <v>2.2186981754317926E-3</v>
      </c>
      <c r="L479" s="3">
        <f>IF(($A479-Ft!H$2)&lt;0,Ft!H$3*((1-Ft!H$6)/(1+Ft!H$37*($A479-Ft!H$2)^2)+Ft!H$6*EXP(Ft!H$38*($A479-Ft!H$2)^2)),Ft!H$3*((1-Ft!H$7)/(1+Ft!H$39*($A479-Ft!H$2)^2)+Ft!H$7*EXP(Ft!H$40*($A479-Ft!H$2)^2)))</f>
        <v>0</v>
      </c>
      <c r="M479" s="3">
        <f>IF(($A479-Ft!I$2)&lt;0,Ft!I$3*((1-Ft!I$6)/(1+Ft!I$37*($A479-Ft!I$2)^2)+Ft!I$6*EXP(Ft!I$38*($A479-Ft!I$2)^2)),Ft!I$3*((1-Ft!I$7)/(1+Ft!I$39*($A479-Ft!I$2)^2)+Ft!I$7*EXP(Ft!I$40*($A479-Ft!I$2)^2)))</f>
        <v>0</v>
      </c>
      <c r="N479" s="3">
        <f>IF(($A479-Ft!J$2)&lt;0,Ft!J$3*((1-Ft!J$6)/(1+Ft!J$37*($A479-Ft!J$2)^2)+Ft!J$6*EXP(Ft!J$38*($A479-Ft!J$2)^2)),Ft!J$3*((1-Ft!J$7)/(1+Ft!J$39*($A479-Ft!J$2)^2)+Ft!J$7*EXP(Ft!J$40*($A479-Ft!J$2)^2)))</f>
        <v>0</v>
      </c>
      <c r="O479" s="3">
        <f>IF(($A479-Ft!K$2)&lt;0,Ft!K$3*((1-Ft!K$6)/(1+Ft!K$37*($A479-Ft!K$2)^2)+Ft!K$6*EXP(Ft!K$38*($A479-Ft!K$2)^2)),Ft!K$3*((1-Ft!K$7)/(1+Ft!K$39*($A479-Ft!K$2)^2)+Ft!K$7*EXP(Ft!K$40*($A479-Ft!K$2)^2)))</f>
        <v>0</v>
      </c>
      <c r="P479"/>
      <c r="Q479"/>
    </row>
    <row r="480" spans="1:17">
      <c r="A480">
        <v>956</v>
      </c>
      <c r="B480">
        <v>12.817821699238991</v>
      </c>
      <c r="C480" s="6">
        <f t="shared" si="15"/>
        <v>12.939248762861881</v>
      </c>
      <c r="D480" s="19">
        <f t="shared" si="16"/>
        <v>1.4744531780077542E-2</v>
      </c>
      <c r="E480" s="3">
        <f>Ft!$B$12+Ft!$B$14*(Data!A480-Vars!$B$3)</f>
        <v>0</v>
      </c>
      <c r="F480" s="3">
        <f>IF(($A480-Ft!B$2)&lt;0,Ft!B$3*((1-Ft!B$6)/(1+Ft!B$37*($A480-Ft!B$2)^2)+Ft!B$6*EXP(Ft!B$38*($A480-Ft!B$2)^2)),Ft!B$3*((1-Ft!B$7)/(1+Ft!B$39*($A480-Ft!B$2)^2)+Ft!B$7*EXP(Ft!B$40*($A480-Ft!B$2)^2)))</f>
        <v>0</v>
      </c>
      <c r="G480" s="3">
        <f>IF(($A480-Ft!C$2)&lt;0,Ft!C$3*((1-Ft!C$6)/(1+Ft!C$37*($A480-Ft!C$2)^2)+Ft!C$6*EXP(Ft!C$38*($A480-Ft!C$2)^2)),Ft!C$3*((1-Ft!C$7)/(1+Ft!C$39*($A480-Ft!C$2)^2)+Ft!C$7*EXP(Ft!C$40*($A480-Ft!C$2)^2)))</f>
        <v>2.5283149098496872E-23</v>
      </c>
      <c r="H480" s="3">
        <f>IF(($A480-Ft!D$2)&lt;0,Ft!D$3*((1-Ft!D$6)/(1+Ft!D$37*($A480-Ft!D$2)^2)+Ft!D$6*EXP(Ft!D$38*($A480-Ft!D$2)^2)),Ft!D$3*((1-Ft!D$7)/(1+Ft!D$39*($A480-Ft!D$2)^2)+Ft!D$7*EXP(Ft!D$40*($A480-Ft!D$2)^2)))</f>
        <v>0.20364451029651653</v>
      </c>
      <c r="I480" s="3">
        <f>IF(($A480-Ft!E$2)&lt;0,Ft!E$3*((1-Ft!E$6)/(1+Ft!E$37*($A480-Ft!E$2)^2)+Ft!E$6*EXP(Ft!E$38*($A480-Ft!E$2)^2)),Ft!E$3*((1-Ft!E$7)/(1+Ft!E$39*($A480-Ft!E$2)^2)+Ft!E$7*EXP(Ft!E$40*($A480-Ft!E$2)^2)))</f>
        <v>9.9177238621086641</v>
      </c>
      <c r="J480" s="3">
        <f>IF(($A480-Ft!F$2)&lt;0,Ft!F$3*((1-Ft!F$6)/(1+Ft!F$37*($A480-Ft!F$2)^2)+Ft!F$6*EXP(Ft!F$38*($A480-Ft!F$2)^2)),Ft!F$3*((1-Ft!F$7)/(1+Ft!F$39*($A480-Ft!F$2)^2)+Ft!F$7*EXP(Ft!F$40*($A480-Ft!F$2)^2)))</f>
        <v>2.8147518264523503</v>
      </c>
      <c r="K480" s="3">
        <f>IF(($A480-Ft!G$2)&lt;0,Ft!G$3*((1-Ft!G$6)/(1+Ft!G$37*($A480-Ft!G$2)^2)+Ft!G$6*EXP(Ft!G$38*($A480-Ft!G$2)^2)),Ft!G$3*((1-Ft!G$7)/(1+Ft!G$39*($A480-Ft!G$2)^2)+Ft!G$7*EXP(Ft!G$40*($A480-Ft!G$2)^2)))</f>
        <v>3.1285640043516639E-3</v>
      </c>
      <c r="L480" s="3">
        <f>IF(($A480-Ft!H$2)&lt;0,Ft!H$3*((1-Ft!H$6)/(1+Ft!H$37*($A480-Ft!H$2)^2)+Ft!H$6*EXP(Ft!H$38*($A480-Ft!H$2)^2)),Ft!H$3*((1-Ft!H$7)/(1+Ft!H$39*($A480-Ft!H$2)^2)+Ft!H$7*EXP(Ft!H$40*($A480-Ft!H$2)^2)))</f>
        <v>0</v>
      </c>
      <c r="M480" s="3">
        <f>IF(($A480-Ft!I$2)&lt;0,Ft!I$3*((1-Ft!I$6)/(1+Ft!I$37*($A480-Ft!I$2)^2)+Ft!I$6*EXP(Ft!I$38*($A480-Ft!I$2)^2)),Ft!I$3*((1-Ft!I$7)/(1+Ft!I$39*($A480-Ft!I$2)^2)+Ft!I$7*EXP(Ft!I$40*($A480-Ft!I$2)^2)))</f>
        <v>0</v>
      </c>
      <c r="N480" s="3">
        <f>IF(($A480-Ft!J$2)&lt;0,Ft!J$3*((1-Ft!J$6)/(1+Ft!J$37*($A480-Ft!J$2)^2)+Ft!J$6*EXP(Ft!J$38*($A480-Ft!J$2)^2)),Ft!J$3*((1-Ft!J$7)/(1+Ft!J$39*($A480-Ft!J$2)^2)+Ft!J$7*EXP(Ft!J$40*($A480-Ft!J$2)^2)))</f>
        <v>0</v>
      </c>
      <c r="O480" s="3">
        <f>IF(($A480-Ft!K$2)&lt;0,Ft!K$3*((1-Ft!K$6)/(1+Ft!K$37*($A480-Ft!K$2)^2)+Ft!K$6*EXP(Ft!K$38*($A480-Ft!K$2)^2)),Ft!K$3*((1-Ft!K$7)/(1+Ft!K$39*($A480-Ft!K$2)^2)+Ft!K$7*EXP(Ft!K$40*($A480-Ft!K$2)^2)))</f>
        <v>0</v>
      </c>
      <c r="P480"/>
      <c r="Q480"/>
    </row>
    <row r="481" spans="1:17">
      <c r="A481">
        <v>958</v>
      </c>
      <c r="B481">
        <v>12.791955508428998</v>
      </c>
      <c r="C481" s="6">
        <f t="shared" si="15"/>
        <v>12.935841379331851</v>
      </c>
      <c r="D481" s="19">
        <f t="shared" si="16"/>
        <v>2.0703143845472477E-2</v>
      </c>
      <c r="E481" s="3">
        <f>Ft!$B$12+Ft!$B$14*(Data!A481-Vars!$B$3)</f>
        <v>0</v>
      </c>
      <c r="F481" s="3">
        <f>IF(($A481-Ft!B$2)&lt;0,Ft!B$3*((1-Ft!B$6)/(1+Ft!B$37*($A481-Ft!B$2)^2)+Ft!B$6*EXP(Ft!B$38*($A481-Ft!B$2)^2)),Ft!B$3*((1-Ft!B$7)/(1+Ft!B$39*($A481-Ft!B$2)^2)+Ft!B$7*EXP(Ft!B$40*($A481-Ft!B$2)^2)))</f>
        <v>0</v>
      </c>
      <c r="G481" s="3">
        <f>IF(($A481-Ft!C$2)&lt;0,Ft!C$3*((1-Ft!C$6)/(1+Ft!C$37*($A481-Ft!C$2)^2)+Ft!C$6*EXP(Ft!C$38*($A481-Ft!C$2)^2)),Ft!C$3*((1-Ft!C$7)/(1+Ft!C$39*($A481-Ft!C$2)^2)+Ft!C$7*EXP(Ft!C$40*($A481-Ft!C$2)^2)))</f>
        <v>1.9382633870989268E-23</v>
      </c>
      <c r="H481" s="3">
        <f>IF(($A481-Ft!D$2)&lt;0,Ft!D$3*((1-Ft!D$6)/(1+Ft!D$37*($A481-Ft!D$2)^2)+Ft!D$6*EXP(Ft!D$38*($A481-Ft!D$2)^2)),Ft!D$3*((1-Ft!D$7)/(1+Ft!D$39*($A481-Ft!D$2)^2)+Ft!D$7*EXP(Ft!D$40*($A481-Ft!D$2)^2)))</f>
        <v>0.19641973035014487</v>
      </c>
      <c r="I481" s="3">
        <f>IF(($A481-Ft!E$2)&lt;0,Ft!E$3*((1-Ft!E$6)/(1+Ft!E$37*($A481-Ft!E$2)^2)+Ft!E$6*EXP(Ft!E$38*($A481-Ft!E$2)^2)),Ft!E$3*((1-Ft!E$7)/(1+Ft!E$39*($A481-Ft!E$2)^2)+Ft!E$7*EXP(Ft!E$40*($A481-Ft!E$2)^2)))</f>
        <v>9.784298342862618</v>
      </c>
      <c r="J481" s="3">
        <f>IF(($A481-Ft!F$2)&lt;0,Ft!F$3*((1-Ft!F$6)/(1+Ft!F$37*($A481-Ft!F$2)^2)+Ft!F$6*EXP(Ft!F$38*($A481-Ft!F$2)^2)),Ft!F$3*((1-Ft!F$7)/(1+Ft!F$39*($A481-Ft!F$2)^2)+Ft!F$7*EXP(Ft!F$40*($A481-Ft!F$2)^2)))</f>
        <v>2.950745174693338</v>
      </c>
      <c r="K481" s="3">
        <f>IF(($A481-Ft!G$2)&lt;0,Ft!G$3*((1-Ft!G$6)/(1+Ft!G$37*($A481-Ft!G$2)^2)+Ft!G$6*EXP(Ft!G$38*($A481-Ft!G$2)^2)),Ft!G$3*((1-Ft!G$7)/(1+Ft!G$39*($A481-Ft!G$2)^2)+Ft!G$7*EXP(Ft!G$40*($A481-Ft!G$2)^2)))</f>
        <v>4.3781314257487986E-3</v>
      </c>
      <c r="L481" s="3">
        <f>IF(($A481-Ft!H$2)&lt;0,Ft!H$3*((1-Ft!H$6)/(1+Ft!H$37*($A481-Ft!H$2)^2)+Ft!H$6*EXP(Ft!H$38*($A481-Ft!H$2)^2)),Ft!H$3*((1-Ft!H$7)/(1+Ft!H$39*($A481-Ft!H$2)^2)+Ft!H$7*EXP(Ft!H$40*($A481-Ft!H$2)^2)))</f>
        <v>0</v>
      </c>
      <c r="M481" s="3">
        <f>IF(($A481-Ft!I$2)&lt;0,Ft!I$3*((1-Ft!I$6)/(1+Ft!I$37*($A481-Ft!I$2)^2)+Ft!I$6*EXP(Ft!I$38*($A481-Ft!I$2)^2)),Ft!I$3*((1-Ft!I$7)/(1+Ft!I$39*($A481-Ft!I$2)^2)+Ft!I$7*EXP(Ft!I$40*($A481-Ft!I$2)^2)))</f>
        <v>0</v>
      </c>
      <c r="N481" s="3">
        <f>IF(($A481-Ft!J$2)&lt;0,Ft!J$3*((1-Ft!J$6)/(1+Ft!J$37*($A481-Ft!J$2)^2)+Ft!J$6*EXP(Ft!J$38*($A481-Ft!J$2)^2)),Ft!J$3*((1-Ft!J$7)/(1+Ft!J$39*($A481-Ft!J$2)^2)+Ft!J$7*EXP(Ft!J$40*($A481-Ft!J$2)^2)))</f>
        <v>0</v>
      </c>
      <c r="O481" s="3">
        <f>IF(($A481-Ft!K$2)&lt;0,Ft!K$3*((1-Ft!K$6)/(1+Ft!K$37*($A481-Ft!K$2)^2)+Ft!K$6*EXP(Ft!K$38*($A481-Ft!K$2)^2)),Ft!K$3*((1-Ft!K$7)/(1+Ft!K$39*($A481-Ft!K$2)^2)+Ft!K$7*EXP(Ft!K$40*($A481-Ft!K$2)^2)))</f>
        <v>0</v>
      </c>
      <c r="P481"/>
      <c r="Q481"/>
    </row>
    <row r="482" spans="1:17">
      <c r="A482">
        <v>960</v>
      </c>
      <c r="B482">
        <v>12.769780341415995</v>
      </c>
      <c r="C482" s="6">
        <f t="shared" si="15"/>
        <v>12.932887226675769</v>
      </c>
      <c r="D482" s="19">
        <f t="shared" si="16"/>
        <v>2.6603856019145049E-2</v>
      </c>
      <c r="E482" s="3">
        <f>Ft!$B$12+Ft!$B$14*(Data!A482-Vars!$B$3)</f>
        <v>0</v>
      </c>
      <c r="F482" s="3">
        <f>IF(($A482-Ft!B$2)&lt;0,Ft!B$3*((1-Ft!B$6)/(1+Ft!B$37*($A482-Ft!B$2)^2)+Ft!B$6*EXP(Ft!B$38*($A482-Ft!B$2)^2)),Ft!B$3*((1-Ft!B$7)/(1+Ft!B$39*($A482-Ft!B$2)^2)+Ft!B$7*EXP(Ft!B$40*($A482-Ft!B$2)^2)))</f>
        <v>0</v>
      </c>
      <c r="G482" s="3">
        <f>IF(($A482-Ft!C$2)&lt;0,Ft!C$3*((1-Ft!C$6)/(1+Ft!C$37*($A482-Ft!C$2)^2)+Ft!C$6*EXP(Ft!C$38*($A482-Ft!C$2)^2)),Ft!C$3*((1-Ft!C$7)/(1+Ft!C$39*($A482-Ft!C$2)^2)+Ft!C$7*EXP(Ft!C$40*($A482-Ft!C$2)^2)))</f>
        <v>1.4849517786494484E-23</v>
      </c>
      <c r="H482" s="3">
        <f>IF(($A482-Ft!D$2)&lt;0,Ft!D$3*((1-Ft!D$6)/(1+Ft!D$37*($A482-Ft!D$2)^2)+Ft!D$6*EXP(Ft!D$38*($A482-Ft!D$2)^2)),Ft!D$3*((1-Ft!D$7)/(1+Ft!D$39*($A482-Ft!D$2)^2)+Ft!D$7*EXP(Ft!D$40*($A482-Ft!D$2)^2)))</f>
        <v>0.18942403287953771</v>
      </c>
      <c r="I482" s="3">
        <f>IF(($A482-Ft!E$2)&lt;0,Ft!E$3*((1-Ft!E$6)/(1+Ft!E$37*($A482-Ft!E$2)^2)+Ft!E$6*EXP(Ft!E$38*($A482-Ft!E$2)^2)),Ft!E$3*((1-Ft!E$7)/(1+Ft!E$39*($A482-Ft!E$2)^2)+Ft!E$7*EXP(Ft!E$40*($A482-Ft!E$2)^2)))</f>
        <v>9.6507243821615845</v>
      </c>
      <c r="J482" s="3">
        <f>IF(($A482-Ft!F$2)&lt;0,Ft!F$3*((1-Ft!F$6)/(1+Ft!F$37*($A482-Ft!F$2)^2)+Ft!F$6*EXP(Ft!F$38*($A482-Ft!F$2)^2)),Ft!F$3*((1-Ft!F$7)/(1+Ft!F$39*($A482-Ft!F$2)^2)+Ft!F$7*EXP(Ft!F$40*($A482-Ft!F$2)^2)))</f>
        <v>3.0866584490675408</v>
      </c>
      <c r="K482" s="3">
        <f>IF(($A482-Ft!G$2)&lt;0,Ft!G$3*((1-Ft!G$6)/(1+Ft!G$37*($A482-Ft!G$2)^2)+Ft!G$6*EXP(Ft!G$38*($A482-Ft!G$2)^2)),Ft!G$3*((1-Ft!G$7)/(1+Ft!G$39*($A482-Ft!G$2)^2)+Ft!G$7*EXP(Ft!G$40*($A482-Ft!G$2)^2)))</f>
        <v>6.0803625671068586E-3</v>
      </c>
      <c r="L482" s="3">
        <f>IF(($A482-Ft!H$2)&lt;0,Ft!H$3*((1-Ft!H$6)/(1+Ft!H$37*($A482-Ft!H$2)^2)+Ft!H$6*EXP(Ft!H$38*($A482-Ft!H$2)^2)),Ft!H$3*((1-Ft!H$7)/(1+Ft!H$39*($A482-Ft!H$2)^2)+Ft!H$7*EXP(Ft!H$40*($A482-Ft!H$2)^2)))</f>
        <v>0</v>
      </c>
      <c r="M482" s="3">
        <f>IF(($A482-Ft!I$2)&lt;0,Ft!I$3*((1-Ft!I$6)/(1+Ft!I$37*($A482-Ft!I$2)^2)+Ft!I$6*EXP(Ft!I$38*($A482-Ft!I$2)^2)),Ft!I$3*((1-Ft!I$7)/(1+Ft!I$39*($A482-Ft!I$2)^2)+Ft!I$7*EXP(Ft!I$40*($A482-Ft!I$2)^2)))</f>
        <v>0</v>
      </c>
      <c r="N482" s="3">
        <f>IF(($A482-Ft!J$2)&lt;0,Ft!J$3*((1-Ft!J$6)/(1+Ft!J$37*($A482-Ft!J$2)^2)+Ft!J$6*EXP(Ft!J$38*($A482-Ft!J$2)^2)),Ft!J$3*((1-Ft!J$7)/(1+Ft!J$39*($A482-Ft!J$2)^2)+Ft!J$7*EXP(Ft!J$40*($A482-Ft!J$2)^2)))</f>
        <v>0</v>
      </c>
      <c r="O482" s="3">
        <f>IF(($A482-Ft!K$2)&lt;0,Ft!K$3*((1-Ft!K$6)/(1+Ft!K$37*($A482-Ft!K$2)^2)+Ft!K$6*EXP(Ft!K$38*($A482-Ft!K$2)^2)),Ft!K$3*((1-Ft!K$7)/(1+Ft!K$39*($A482-Ft!K$2)^2)+Ft!K$7*EXP(Ft!K$40*($A482-Ft!K$2)^2)))</f>
        <v>0</v>
      </c>
      <c r="P482"/>
      <c r="Q482"/>
    </row>
    <row r="483" spans="1:17">
      <c r="A483">
        <v>962</v>
      </c>
      <c r="B483">
        <v>12.751174458747002</v>
      </c>
      <c r="C483" s="6">
        <f t="shared" si="15"/>
        <v>12.929979188566485</v>
      </c>
      <c r="D483" s="19">
        <f t="shared" si="16"/>
        <v>3.1971131405818164E-2</v>
      </c>
      <c r="E483" s="3">
        <f>Ft!$B$12+Ft!$B$14*(Data!A483-Vars!$B$3)</f>
        <v>0</v>
      </c>
      <c r="F483" s="3">
        <f>IF(($A483-Ft!B$2)&lt;0,Ft!B$3*((1-Ft!B$6)/(1+Ft!B$37*($A483-Ft!B$2)^2)+Ft!B$6*EXP(Ft!B$38*($A483-Ft!B$2)^2)),Ft!B$3*((1-Ft!B$7)/(1+Ft!B$39*($A483-Ft!B$2)^2)+Ft!B$7*EXP(Ft!B$40*($A483-Ft!B$2)^2)))</f>
        <v>0</v>
      </c>
      <c r="G483" s="3">
        <f>IF(($A483-Ft!C$2)&lt;0,Ft!C$3*((1-Ft!C$6)/(1+Ft!C$37*($A483-Ft!C$2)^2)+Ft!C$6*EXP(Ft!C$38*($A483-Ft!C$2)^2)),Ft!C$3*((1-Ft!C$7)/(1+Ft!C$39*($A483-Ft!C$2)^2)+Ft!C$7*EXP(Ft!C$40*($A483-Ft!C$2)^2)))</f>
        <v>1.1369198308764444E-23</v>
      </c>
      <c r="H483" s="3">
        <f>IF(($A483-Ft!D$2)&lt;0,Ft!D$3*((1-Ft!D$6)/(1+Ft!D$37*($A483-Ft!D$2)^2)+Ft!D$6*EXP(Ft!D$38*($A483-Ft!D$2)^2)),Ft!D$3*((1-Ft!D$7)/(1+Ft!D$39*($A483-Ft!D$2)^2)+Ft!D$7*EXP(Ft!D$40*($A483-Ft!D$2)^2)))</f>
        <v>0.18265123434355165</v>
      </c>
      <c r="I483" s="3">
        <f>IF(($A483-Ft!E$2)&lt;0,Ft!E$3*((1-Ft!E$6)/(1+Ft!E$37*($A483-Ft!E$2)^2)+Ft!E$6*EXP(Ft!E$38*($A483-Ft!E$2)^2)),Ft!E$3*((1-Ft!E$7)/(1+Ft!E$39*($A483-Ft!E$2)^2)+Ft!E$7*EXP(Ft!E$40*($A483-Ft!E$2)^2)))</f>
        <v>9.5170574263395107</v>
      </c>
      <c r="J483" s="3">
        <f>IF(($A483-Ft!F$2)&lt;0,Ft!F$3*((1-Ft!F$6)/(1+Ft!F$37*($A483-Ft!F$2)^2)+Ft!F$6*EXP(Ft!F$38*($A483-Ft!F$2)^2)),Ft!F$3*((1-Ft!F$7)/(1+Ft!F$39*($A483-Ft!F$2)^2)+Ft!F$7*EXP(Ft!F$40*($A483-Ft!F$2)^2)))</f>
        <v>3.2218900826726418</v>
      </c>
      <c r="K483" s="3">
        <f>IF(($A483-Ft!G$2)&lt;0,Ft!G$3*((1-Ft!G$6)/(1+Ft!G$37*($A483-Ft!G$2)^2)+Ft!G$6*EXP(Ft!G$38*($A483-Ft!G$2)^2)),Ft!G$3*((1-Ft!G$7)/(1+Ft!G$39*($A483-Ft!G$2)^2)+Ft!G$7*EXP(Ft!G$40*($A483-Ft!G$2)^2)))</f>
        <v>8.3804452107794913E-3</v>
      </c>
      <c r="L483" s="3">
        <f>IF(($A483-Ft!H$2)&lt;0,Ft!H$3*((1-Ft!H$6)/(1+Ft!H$37*($A483-Ft!H$2)^2)+Ft!H$6*EXP(Ft!H$38*($A483-Ft!H$2)^2)),Ft!H$3*((1-Ft!H$7)/(1+Ft!H$39*($A483-Ft!H$2)^2)+Ft!H$7*EXP(Ft!H$40*($A483-Ft!H$2)^2)))</f>
        <v>0</v>
      </c>
      <c r="M483" s="3">
        <f>IF(($A483-Ft!I$2)&lt;0,Ft!I$3*((1-Ft!I$6)/(1+Ft!I$37*($A483-Ft!I$2)^2)+Ft!I$6*EXP(Ft!I$38*($A483-Ft!I$2)^2)),Ft!I$3*((1-Ft!I$7)/(1+Ft!I$39*($A483-Ft!I$2)^2)+Ft!I$7*EXP(Ft!I$40*($A483-Ft!I$2)^2)))</f>
        <v>0</v>
      </c>
      <c r="N483" s="3">
        <f>IF(($A483-Ft!J$2)&lt;0,Ft!J$3*((1-Ft!J$6)/(1+Ft!J$37*($A483-Ft!J$2)^2)+Ft!J$6*EXP(Ft!J$38*($A483-Ft!J$2)^2)),Ft!J$3*((1-Ft!J$7)/(1+Ft!J$39*($A483-Ft!J$2)^2)+Ft!J$7*EXP(Ft!J$40*($A483-Ft!J$2)^2)))</f>
        <v>0</v>
      </c>
      <c r="O483" s="3">
        <f>IF(($A483-Ft!K$2)&lt;0,Ft!K$3*((1-Ft!K$6)/(1+Ft!K$37*($A483-Ft!K$2)^2)+Ft!K$6*EXP(Ft!K$38*($A483-Ft!K$2)^2)),Ft!K$3*((1-Ft!K$7)/(1+Ft!K$39*($A483-Ft!K$2)^2)+Ft!K$7*EXP(Ft!K$40*($A483-Ft!K$2)^2)))</f>
        <v>0</v>
      </c>
      <c r="P483"/>
      <c r="Q483"/>
    </row>
    <row r="484" spans="1:17">
      <c r="A484">
        <v>964</v>
      </c>
      <c r="B484">
        <v>12.732595314403994</v>
      </c>
      <c r="C484" s="6">
        <f t="shared" si="15"/>
        <v>12.926726566301626</v>
      </c>
      <c r="D484" s="19">
        <f t="shared" si="16"/>
        <v>3.76869429633419E-2</v>
      </c>
      <c r="E484" s="3">
        <f>Ft!$B$12+Ft!$B$14*(Data!A484-Vars!$B$3)</f>
        <v>0</v>
      </c>
      <c r="F484" s="3">
        <f>IF(($A484-Ft!B$2)&lt;0,Ft!B$3*((1-Ft!B$6)/(1+Ft!B$37*($A484-Ft!B$2)^2)+Ft!B$6*EXP(Ft!B$38*($A484-Ft!B$2)^2)),Ft!B$3*((1-Ft!B$7)/(1+Ft!B$39*($A484-Ft!B$2)^2)+Ft!B$7*EXP(Ft!B$40*($A484-Ft!B$2)^2)))</f>
        <v>0</v>
      </c>
      <c r="G484" s="3">
        <f>IF(($A484-Ft!C$2)&lt;0,Ft!C$3*((1-Ft!C$6)/(1+Ft!C$37*($A484-Ft!C$2)^2)+Ft!C$6*EXP(Ft!C$38*($A484-Ft!C$2)^2)),Ft!C$3*((1-Ft!C$7)/(1+Ft!C$39*($A484-Ft!C$2)^2)+Ft!C$7*EXP(Ft!C$40*($A484-Ft!C$2)^2)))</f>
        <v>8.698918559152139E-24</v>
      </c>
      <c r="H484" s="3">
        <f>IF(($A484-Ft!D$2)&lt;0,Ft!D$3*((1-Ft!D$6)/(1+Ft!D$37*($A484-Ft!D$2)^2)+Ft!D$6*EXP(Ft!D$38*($A484-Ft!D$2)^2)),Ft!D$3*((1-Ft!D$7)/(1+Ft!D$39*($A484-Ft!D$2)^2)+Ft!D$7*EXP(Ft!D$40*($A484-Ft!D$2)^2)))</f>
        <v>0.17609527745534964</v>
      </c>
      <c r="I484" s="3">
        <f>IF(($A484-Ft!E$2)&lt;0,Ft!E$3*((1-Ft!E$6)/(1+Ft!E$37*($A484-Ft!E$2)^2)+Ft!E$6*EXP(Ft!E$38*($A484-Ft!E$2)^2)),Ft!E$3*((1-Ft!E$7)/(1+Ft!E$39*($A484-Ft!E$2)^2)+Ft!E$7*EXP(Ft!E$40*($A484-Ft!E$2)^2)))</f>
        <v>9.3833522150988564</v>
      </c>
      <c r="J484" s="3">
        <f>IF(($A484-Ft!F$2)&lt;0,Ft!F$3*((1-Ft!F$6)/(1+Ft!F$37*($A484-Ft!F$2)^2)+Ft!F$6*EXP(Ft!F$38*($A484-Ft!F$2)^2)),Ft!F$3*((1-Ft!F$7)/(1+Ft!F$39*($A484-Ft!F$2)^2)+Ft!F$7*EXP(Ft!F$40*($A484-Ft!F$2)^2)))</f>
        <v>3.3558159854494036</v>
      </c>
      <c r="K484" s="3">
        <f>IF(($A484-Ft!G$2)&lt;0,Ft!G$3*((1-Ft!G$6)/(1+Ft!G$37*($A484-Ft!G$2)^2)+Ft!G$6*EXP(Ft!G$38*($A484-Ft!G$2)^2)),Ft!G$3*((1-Ft!G$7)/(1+Ft!G$39*($A484-Ft!G$2)^2)+Ft!G$7*EXP(Ft!G$40*($A484-Ft!G$2)^2)))</f>
        <v>1.146308829801662E-2</v>
      </c>
      <c r="L484" s="3">
        <f>IF(($A484-Ft!H$2)&lt;0,Ft!H$3*((1-Ft!H$6)/(1+Ft!H$37*($A484-Ft!H$2)^2)+Ft!H$6*EXP(Ft!H$38*($A484-Ft!H$2)^2)),Ft!H$3*((1-Ft!H$7)/(1+Ft!H$39*($A484-Ft!H$2)^2)+Ft!H$7*EXP(Ft!H$40*($A484-Ft!H$2)^2)))</f>
        <v>0</v>
      </c>
      <c r="M484" s="3">
        <f>IF(($A484-Ft!I$2)&lt;0,Ft!I$3*((1-Ft!I$6)/(1+Ft!I$37*($A484-Ft!I$2)^2)+Ft!I$6*EXP(Ft!I$38*($A484-Ft!I$2)^2)),Ft!I$3*((1-Ft!I$7)/(1+Ft!I$39*($A484-Ft!I$2)^2)+Ft!I$7*EXP(Ft!I$40*($A484-Ft!I$2)^2)))</f>
        <v>0</v>
      </c>
      <c r="N484" s="3">
        <f>IF(($A484-Ft!J$2)&lt;0,Ft!J$3*((1-Ft!J$6)/(1+Ft!J$37*($A484-Ft!J$2)^2)+Ft!J$6*EXP(Ft!J$38*($A484-Ft!J$2)^2)),Ft!J$3*((1-Ft!J$7)/(1+Ft!J$39*($A484-Ft!J$2)^2)+Ft!J$7*EXP(Ft!J$40*($A484-Ft!J$2)^2)))</f>
        <v>0</v>
      </c>
      <c r="O484" s="3">
        <f>IF(($A484-Ft!K$2)&lt;0,Ft!K$3*((1-Ft!K$6)/(1+Ft!K$37*($A484-Ft!K$2)^2)+Ft!K$6*EXP(Ft!K$38*($A484-Ft!K$2)^2)),Ft!K$3*((1-Ft!K$7)/(1+Ft!K$39*($A484-Ft!K$2)^2)+Ft!K$7*EXP(Ft!K$40*($A484-Ft!K$2)^2)))</f>
        <v>0</v>
      </c>
      <c r="P484"/>
      <c r="Q484"/>
    </row>
    <row r="485" spans="1:17">
      <c r="A485">
        <v>966</v>
      </c>
      <c r="B485">
        <v>12.71434027291599</v>
      </c>
      <c r="C485" s="6">
        <f t="shared" si="15"/>
        <v>12.922767859377132</v>
      </c>
      <c r="D485" s="19">
        <f t="shared" si="16"/>
        <v>4.3442058798016554E-2</v>
      </c>
      <c r="E485" s="3">
        <f>Ft!$B$12+Ft!$B$14*(Data!A485-Vars!$B$3)</f>
        <v>0</v>
      </c>
      <c r="F485" s="3">
        <f>IF(($A485-Ft!B$2)&lt;0,Ft!B$3*((1-Ft!B$6)/(1+Ft!B$37*($A485-Ft!B$2)^2)+Ft!B$6*EXP(Ft!B$38*($A485-Ft!B$2)^2)),Ft!B$3*((1-Ft!B$7)/(1+Ft!B$39*($A485-Ft!B$2)^2)+Ft!B$7*EXP(Ft!B$40*($A485-Ft!B$2)^2)))</f>
        <v>0</v>
      </c>
      <c r="G485" s="3">
        <f>IF(($A485-Ft!C$2)&lt;0,Ft!C$3*((1-Ft!C$6)/(1+Ft!C$37*($A485-Ft!C$2)^2)+Ft!C$6*EXP(Ft!C$38*($A485-Ft!C$2)^2)),Ft!C$3*((1-Ft!C$7)/(1+Ft!C$39*($A485-Ft!C$2)^2)+Ft!C$7*EXP(Ft!C$40*($A485-Ft!C$2)^2)))</f>
        <v>6.6514850651111585E-24</v>
      </c>
      <c r="H485" s="3">
        <f>IF(($A485-Ft!D$2)&lt;0,Ft!D$3*((1-Ft!D$6)/(1+Ft!D$37*($A485-Ft!D$2)^2)+Ft!D$6*EXP(Ft!D$38*($A485-Ft!D$2)^2)),Ft!D$3*((1-Ft!D$7)/(1+Ft!D$39*($A485-Ft!D$2)^2)+Ft!D$7*EXP(Ft!D$40*($A485-Ft!D$2)^2)))</f>
        <v>0.16975023008865348</v>
      </c>
      <c r="I485" s="3">
        <f>IF(($A485-Ft!E$2)&lt;0,Ft!E$3*((1-Ft!E$6)/(1+Ft!E$37*($A485-Ft!E$2)^2)+Ft!E$6*EXP(Ft!E$38*($A485-Ft!E$2)^2)),Ft!E$3*((1-Ft!E$7)/(1+Ft!E$39*($A485-Ft!E$2)^2)+Ft!E$7*EXP(Ft!E$40*($A485-Ft!E$2)^2)))</f>
        <v>9.2496627475206061</v>
      </c>
      <c r="J485" s="3">
        <f>IF(($A485-Ft!F$2)&lt;0,Ft!F$3*((1-Ft!F$6)/(1+Ft!F$37*($A485-Ft!F$2)^2)+Ft!F$6*EXP(Ft!F$38*($A485-Ft!F$2)^2)),Ft!F$3*((1-Ft!F$7)/(1+Ft!F$39*($A485-Ft!F$2)^2)+Ft!F$7*EXP(Ft!F$40*($A485-Ft!F$2)^2)))</f>
        <v>3.4877940389292474</v>
      </c>
      <c r="K485" s="3">
        <f>IF(($A485-Ft!G$2)&lt;0,Ft!G$3*((1-Ft!G$6)/(1+Ft!G$37*($A485-Ft!G$2)^2)+Ft!G$6*EXP(Ft!G$38*($A485-Ft!G$2)^2)),Ft!G$3*((1-Ft!G$7)/(1+Ft!G$39*($A485-Ft!G$2)^2)+Ft!G$7*EXP(Ft!G$40*($A485-Ft!G$2)^2)))</f>
        <v>1.5560842838624755E-2</v>
      </c>
      <c r="L485" s="3">
        <f>IF(($A485-Ft!H$2)&lt;0,Ft!H$3*((1-Ft!H$6)/(1+Ft!H$37*($A485-Ft!H$2)^2)+Ft!H$6*EXP(Ft!H$38*($A485-Ft!H$2)^2)),Ft!H$3*((1-Ft!H$7)/(1+Ft!H$39*($A485-Ft!H$2)^2)+Ft!H$7*EXP(Ft!H$40*($A485-Ft!H$2)^2)))</f>
        <v>0</v>
      </c>
      <c r="M485" s="3">
        <f>IF(($A485-Ft!I$2)&lt;0,Ft!I$3*((1-Ft!I$6)/(1+Ft!I$37*($A485-Ft!I$2)^2)+Ft!I$6*EXP(Ft!I$38*($A485-Ft!I$2)^2)),Ft!I$3*((1-Ft!I$7)/(1+Ft!I$39*($A485-Ft!I$2)^2)+Ft!I$7*EXP(Ft!I$40*($A485-Ft!I$2)^2)))</f>
        <v>0</v>
      </c>
      <c r="N485" s="3">
        <f>IF(($A485-Ft!J$2)&lt;0,Ft!J$3*((1-Ft!J$6)/(1+Ft!J$37*($A485-Ft!J$2)^2)+Ft!J$6*EXP(Ft!J$38*($A485-Ft!J$2)^2)),Ft!J$3*((1-Ft!J$7)/(1+Ft!J$39*($A485-Ft!J$2)^2)+Ft!J$7*EXP(Ft!J$40*($A485-Ft!J$2)^2)))</f>
        <v>0</v>
      </c>
      <c r="O485" s="3">
        <f>IF(($A485-Ft!K$2)&lt;0,Ft!K$3*((1-Ft!K$6)/(1+Ft!K$37*($A485-Ft!K$2)^2)+Ft!K$6*EXP(Ft!K$38*($A485-Ft!K$2)^2)),Ft!K$3*((1-Ft!K$7)/(1+Ft!K$39*($A485-Ft!K$2)^2)+Ft!K$7*EXP(Ft!K$40*($A485-Ft!K$2)^2)))</f>
        <v>0</v>
      </c>
      <c r="P485"/>
      <c r="Q485"/>
    </row>
    <row r="486" spans="1:17">
      <c r="A486">
        <v>968</v>
      </c>
      <c r="B486">
        <v>12.69744188147699</v>
      </c>
      <c r="C486" s="6">
        <f t="shared" si="15"/>
        <v>12.917784904481065</v>
      </c>
      <c r="D486" s="19">
        <f t="shared" si="16"/>
        <v>4.8551047786574243E-2</v>
      </c>
      <c r="E486" s="3">
        <f>Ft!$B$12+Ft!$B$14*(Data!A486-Vars!$B$3)</f>
        <v>0</v>
      </c>
      <c r="F486" s="3">
        <f>IF(($A486-Ft!B$2)&lt;0,Ft!B$3*((1-Ft!B$6)/(1+Ft!B$37*($A486-Ft!B$2)^2)+Ft!B$6*EXP(Ft!B$38*($A486-Ft!B$2)^2)),Ft!B$3*((1-Ft!B$7)/(1+Ft!B$39*($A486-Ft!B$2)^2)+Ft!B$7*EXP(Ft!B$40*($A486-Ft!B$2)^2)))</f>
        <v>0</v>
      </c>
      <c r="G486" s="3">
        <f>IF(($A486-Ft!C$2)&lt;0,Ft!C$3*((1-Ft!C$6)/(1+Ft!C$37*($A486-Ft!C$2)^2)+Ft!C$6*EXP(Ft!C$38*($A486-Ft!C$2)^2)),Ft!C$3*((1-Ft!C$7)/(1+Ft!C$39*($A486-Ft!C$2)^2)+Ft!C$7*EXP(Ft!C$40*($A486-Ft!C$2)^2)))</f>
        <v>5.0826465287611769E-24</v>
      </c>
      <c r="H486" s="3">
        <f>IF(($A486-Ft!D$2)&lt;0,Ft!D$3*((1-Ft!D$6)/(1+Ft!D$37*($A486-Ft!D$2)^2)+Ft!D$6*EXP(Ft!D$38*($A486-Ft!D$2)^2)),Ft!D$3*((1-Ft!D$7)/(1+Ft!D$39*($A486-Ft!D$2)^2)+Ft!D$7*EXP(Ft!D$40*($A486-Ft!D$2)^2)))</f>
        <v>0.16361028413484474</v>
      </c>
      <c r="I486" s="3">
        <f>IF(($A486-Ft!E$2)&lt;0,Ft!E$3*((1-Ft!E$6)/(1+Ft!E$37*($A486-Ft!E$2)^2)+Ft!E$6*EXP(Ft!E$38*($A486-Ft!E$2)^2)),Ft!E$3*((1-Ft!E$7)/(1+Ft!E$39*($A486-Ft!E$2)^2)+Ft!E$7*EXP(Ft!E$40*($A486-Ft!E$2)^2)))</f>
        <v>9.1160422492887214</v>
      </c>
      <c r="J486" s="3">
        <f>IF(($A486-Ft!F$2)&lt;0,Ft!F$3*((1-Ft!F$6)/(1+Ft!F$37*($A486-Ft!F$2)^2)+Ft!F$6*EXP(Ft!F$38*($A486-Ft!F$2)^2)),Ft!F$3*((1-Ft!F$7)/(1+Ft!F$39*($A486-Ft!F$2)^2)+Ft!F$7*EXP(Ft!F$40*($A486-Ft!F$2)^2)))</f>
        <v>3.6171689804120306</v>
      </c>
      <c r="K486" s="3">
        <f>IF(($A486-Ft!G$2)&lt;0,Ft!G$3*((1-Ft!G$6)/(1+Ft!G$37*($A486-Ft!G$2)^2)+Ft!G$6*EXP(Ft!G$38*($A486-Ft!G$2)^2)),Ft!G$3*((1-Ft!G$7)/(1+Ft!G$39*($A486-Ft!G$2)^2)+Ft!G$7*EXP(Ft!G$40*($A486-Ft!G$2)^2)))</f>
        <v>2.0963390645470356E-2</v>
      </c>
      <c r="L486" s="3">
        <f>IF(($A486-Ft!H$2)&lt;0,Ft!H$3*((1-Ft!H$6)/(1+Ft!H$37*($A486-Ft!H$2)^2)+Ft!H$6*EXP(Ft!H$38*($A486-Ft!H$2)^2)),Ft!H$3*((1-Ft!H$7)/(1+Ft!H$39*($A486-Ft!H$2)^2)+Ft!H$7*EXP(Ft!H$40*($A486-Ft!H$2)^2)))</f>
        <v>0</v>
      </c>
      <c r="M486" s="3">
        <f>IF(($A486-Ft!I$2)&lt;0,Ft!I$3*((1-Ft!I$6)/(1+Ft!I$37*($A486-Ft!I$2)^2)+Ft!I$6*EXP(Ft!I$38*($A486-Ft!I$2)^2)),Ft!I$3*((1-Ft!I$7)/(1+Ft!I$39*($A486-Ft!I$2)^2)+Ft!I$7*EXP(Ft!I$40*($A486-Ft!I$2)^2)))</f>
        <v>0</v>
      </c>
      <c r="N486" s="3">
        <f>IF(($A486-Ft!J$2)&lt;0,Ft!J$3*((1-Ft!J$6)/(1+Ft!J$37*($A486-Ft!J$2)^2)+Ft!J$6*EXP(Ft!J$38*($A486-Ft!J$2)^2)),Ft!J$3*((1-Ft!J$7)/(1+Ft!J$39*($A486-Ft!J$2)^2)+Ft!J$7*EXP(Ft!J$40*($A486-Ft!J$2)^2)))</f>
        <v>0</v>
      </c>
      <c r="O486" s="3">
        <f>IF(($A486-Ft!K$2)&lt;0,Ft!K$3*((1-Ft!K$6)/(1+Ft!K$37*($A486-Ft!K$2)^2)+Ft!K$6*EXP(Ft!K$38*($A486-Ft!K$2)^2)),Ft!K$3*((1-Ft!K$7)/(1+Ft!K$39*($A486-Ft!K$2)^2)+Ft!K$7*EXP(Ft!K$40*($A486-Ft!K$2)^2)))</f>
        <v>0</v>
      </c>
      <c r="P486"/>
      <c r="Q486"/>
    </row>
    <row r="487" spans="1:17">
      <c r="A487">
        <v>970</v>
      </c>
      <c r="B487">
        <v>12.682932687281991</v>
      </c>
      <c r="C487" s="6">
        <f t="shared" si="15"/>
        <v>12.911518185913861</v>
      </c>
      <c r="D487" s="19">
        <f t="shared" si="16"/>
        <v>5.2251330184780974E-2</v>
      </c>
      <c r="E487" s="3">
        <f>Ft!$B$12+Ft!$B$14*(Data!A487-Vars!$B$3)</f>
        <v>0</v>
      </c>
      <c r="F487" s="3">
        <f>IF(($A487-Ft!B$2)&lt;0,Ft!B$3*((1-Ft!B$6)/(1+Ft!B$37*($A487-Ft!B$2)^2)+Ft!B$6*EXP(Ft!B$38*($A487-Ft!B$2)^2)),Ft!B$3*((1-Ft!B$7)/(1+Ft!B$39*($A487-Ft!B$2)^2)+Ft!B$7*EXP(Ft!B$40*($A487-Ft!B$2)^2)))</f>
        <v>0</v>
      </c>
      <c r="G487" s="3">
        <f>IF(($A487-Ft!C$2)&lt;0,Ft!C$3*((1-Ft!C$6)/(1+Ft!C$37*($A487-Ft!C$2)^2)+Ft!C$6*EXP(Ft!C$38*($A487-Ft!C$2)^2)),Ft!C$3*((1-Ft!C$7)/(1+Ft!C$39*($A487-Ft!C$2)^2)+Ft!C$7*EXP(Ft!C$40*($A487-Ft!C$2)^2)))</f>
        <v>3.8813171181773735E-24</v>
      </c>
      <c r="H487" s="3">
        <f>IF(($A487-Ft!D$2)&lt;0,Ft!D$3*((1-Ft!D$6)/(1+Ft!D$37*($A487-Ft!D$2)^2)+Ft!D$6*EXP(Ft!D$38*($A487-Ft!D$2)^2)),Ft!D$3*((1-Ft!D$7)/(1+Ft!D$39*($A487-Ft!D$2)^2)+Ft!D$7*EXP(Ft!D$40*($A487-Ft!D$2)^2)))</f>
        <v>0.15766975431364141</v>
      </c>
      <c r="I487" s="3">
        <f>IF(($A487-Ft!E$2)&lt;0,Ft!E$3*((1-Ft!E$6)/(1+Ft!E$37*($A487-Ft!E$2)^2)+Ft!E$6*EXP(Ft!E$38*($A487-Ft!E$2)^2)),Ft!E$3*((1-Ft!E$7)/(1+Ft!E$39*($A487-Ft!E$2)^2)+Ft!E$7*EXP(Ft!E$40*($A487-Ft!E$2)^2)))</f>
        <v>8.9825431411512149</v>
      </c>
      <c r="J487" s="3">
        <f>IF(($A487-Ft!F$2)&lt;0,Ft!F$3*((1-Ft!F$6)/(1+Ft!F$37*($A487-Ft!F$2)^2)+Ft!F$6*EXP(Ft!F$38*($A487-Ft!F$2)^2)),Ft!F$3*((1-Ft!F$7)/(1+Ft!F$39*($A487-Ft!F$2)^2)+Ft!F$7*EXP(Ft!F$40*($A487-Ft!F$2)^2)))</f>
        <v>3.7432776285202567</v>
      </c>
      <c r="K487" s="3">
        <f>IF(($A487-Ft!G$2)&lt;0,Ft!G$3*((1-Ft!G$6)/(1+Ft!G$37*($A487-Ft!G$2)^2)+Ft!G$6*EXP(Ft!G$38*($A487-Ft!G$2)^2)),Ft!G$3*((1-Ft!G$7)/(1+Ft!G$39*($A487-Ft!G$2)^2)+Ft!G$7*EXP(Ft!G$40*($A487-Ft!G$2)^2)))</f>
        <v>2.802766192874755E-2</v>
      </c>
      <c r="L487" s="3">
        <f>IF(($A487-Ft!H$2)&lt;0,Ft!H$3*((1-Ft!H$6)/(1+Ft!H$37*($A487-Ft!H$2)^2)+Ft!H$6*EXP(Ft!H$38*($A487-Ft!H$2)^2)),Ft!H$3*((1-Ft!H$7)/(1+Ft!H$39*($A487-Ft!H$2)^2)+Ft!H$7*EXP(Ft!H$40*($A487-Ft!H$2)^2)))</f>
        <v>0</v>
      </c>
      <c r="M487" s="3">
        <f>IF(($A487-Ft!I$2)&lt;0,Ft!I$3*((1-Ft!I$6)/(1+Ft!I$37*($A487-Ft!I$2)^2)+Ft!I$6*EXP(Ft!I$38*($A487-Ft!I$2)^2)),Ft!I$3*((1-Ft!I$7)/(1+Ft!I$39*($A487-Ft!I$2)^2)+Ft!I$7*EXP(Ft!I$40*($A487-Ft!I$2)^2)))</f>
        <v>0</v>
      </c>
      <c r="N487" s="3">
        <f>IF(($A487-Ft!J$2)&lt;0,Ft!J$3*((1-Ft!J$6)/(1+Ft!J$37*($A487-Ft!J$2)^2)+Ft!J$6*EXP(Ft!J$38*($A487-Ft!J$2)^2)),Ft!J$3*((1-Ft!J$7)/(1+Ft!J$39*($A487-Ft!J$2)^2)+Ft!J$7*EXP(Ft!J$40*($A487-Ft!J$2)^2)))</f>
        <v>0</v>
      </c>
      <c r="O487" s="3">
        <f>IF(($A487-Ft!K$2)&lt;0,Ft!K$3*((1-Ft!K$6)/(1+Ft!K$37*($A487-Ft!K$2)^2)+Ft!K$6*EXP(Ft!K$38*($A487-Ft!K$2)^2)),Ft!K$3*((1-Ft!K$7)/(1+Ft!K$39*($A487-Ft!K$2)^2)+Ft!K$7*EXP(Ft!K$40*($A487-Ft!K$2)^2)))</f>
        <v>0</v>
      </c>
      <c r="P487"/>
      <c r="Q487"/>
    </row>
    <row r="488" spans="1:17">
      <c r="A488">
        <v>972</v>
      </c>
      <c r="B488">
        <v>12.671845237526</v>
      </c>
      <c r="C488" s="6">
        <f t="shared" si="15"/>
        <v>12.903783021936327</v>
      </c>
      <c r="D488" s="19">
        <f t="shared" si="16"/>
        <v>5.3795135837171416E-2</v>
      </c>
      <c r="E488" s="3">
        <f>Ft!$B$12+Ft!$B$14*(Data!A488-Vars!$B$3)</f>
        <v>0</v>
      </c>
      <c r="F488" s="3">
        <f>IF(($A488-Ft!B$2)&lt;0,Ft!B$3*((1-Ft!B$6)/(1+Ft!B$37*($A488-Ft!B$2)^2)+Ft!B$6*EXP(Ft!B$38*($A488-Ft!B$2)^2)),Ft!B$3*((1-Ft!B$7)/(1+Ft!B$39*($A488-Ft!B$2)^2)+Ft!B$7*EXP(Ft!B$40*($A488-Ft!B$2)^2)))</f>
        <v>0</v>
      </c>
      <c r="G488" s="3">
        <f>IF(($A488-Ft!C$2)&lt;0,Ft!C$3*((1-Ft!C$6)/(1+Ft!C$37*($A488-Ft!C$2)^2)+Ft!C$6*EXP(Ft!C$38*($A488-Ft!C$2)^2)),Ft!C$3*((1-Ft!C$7)/(1+Ft!C$39*($A488-Ft!C$2)^2)+Ft!C$7*EXP(Ft!C$40*($A488-Ft!C$2)^2)))</f>
        <v>2.9620083584907327E-24</v>
      </c>
      <c r="H488" s="3">
        <f>IF(($A488-Ft!D$2)&lt;0,Ft!D$3*((1-Ft!D$6)/(1+Ft!D$37*($A488-Ft!D$2)^2)+Ft!D$6*EXP(Ft!D$38*($A488-Ft!D$2)^2)),Ft!D$3*((1-Ft!D$7)/(1+Ft!D$39*($A488-Ft!D$2)^2)+Ft!D$7*EXP(Ft!D$40*($A488-Ft!D$2)^2)))</f>
        <v>0.15192307694003404</v>
      </c>
      <c r="I488" s="3">
        <f>IF(($A488-Ft!E$2)&lt;0,Ft!E$3*((1-Ft!E$6)/(1+Ft!E$37*($A488-Ft!E$2)^2)+Ft!E$6*EXP(Ft!E$38*($A488-Ft!E$2)^2)),Ft!E$3*((1-Ft!E$7)/(1+Ft!E$39*($A488-Ft!E$2)^2)+Ft!E$7*EXP(Ft!E$40*($A488-Ft!E$2)^2)))</f>
        <v>8.8492170086381368</v>
      </c>
      <c r="J488" s="3">
        <f>IF(($A488-Ft!F$2)&lt;0,Ft!F$3*((1-Ft!F$6)/(1+Ft!F$37*($A488-Ft!F$2)^2)+Ft!F$6*EXP(Ft!F$38*($A488-Ft!F$2)^2)),Ft!F$3*((1-Ft!F$7)/(1+Ft!F$39*($A488-Ft!F$2)^2)+Ft!F$7*EXP(Ft!F$40*($A488-Ft!F$2)^2)))</f>
        <v>3.8654543949025313</v>
      </c>
      <c r="K488" s="3">
        <f>IF(($A488-Ft!G$2)&lt;0,Ft!G$3*((1-Ft!G$6)/(1+Ft!G$37*($A488-Ft!G$2)^2)+Ft!G$6*EXP(Ft!G$38*($A488-Ft!G$2)^2)),Ft!G$3*((1-Ft!G$7)/(1+Ft!G$39*($A488-Ft!G$2)^2)+Ft!G$7*EXP(Ft!G$40*($A488-Ft!G$2)^2)))</f>
        <v>3.7188541455623211E-2</v>
      </c>
      <c r="L488" s="3">
        <f>IF(($A488-Ft!H$2)&lt;0,Ft!H$3*((1-Ft!H$6)/(1+Ft!H$37*($A488-Ft!H$2)^2)+Ft!H$6*EXP(Ft!H$38*($A488-Ft!H$2)^2)),Ft!H$3*((1-Ft!H$7)/(1+Ft!H$39*($A488-Ft!H$2)^2)+Ft!H$7*EXP(Ft!H$40*($A488-Ft!H$2)^2)))</f>
        <v>0</v>
      </c>
      <c r="M488" s="3">
        <f>IF(($A488-Ft!I$2)&lt;0,Ft!I$3*((1-Ft!I$6)/(1+Ft!I$37*($A488-Ft!I$2)^2)+Ft!I$6*EXP(Ft!I$38*($A488-Ft!I$2)^2)),Ft!I$3*((1-Ft!I$7)/(1+Ft!I$39*($A488-Ft!I$2)^2)+Ft!I$7*EXP(Ft!I$40*($A488-Ft!I$2)^2)))</f>
        <v>0</v>
      </c>
      <c r="N488" s="3">
        <f>IF(($A488-Ft!J$2)&lt;0,Ft!J$3*((1-Ft!J$6)/(1+Ft!J$37*($A488-Ft!J$2)^2)+Ft!J$6*EXP(Ft!J$38*($A488-Ft!J$2)^2)),Ft!J$3*((1-Ft!J$7)/(1+Ft!J$39*($A488-Ft!J$2)^2)+Ft!J$7*EXP(Ft!J$40*($A488-Ft!J$2)^2)))</f>
        <v>0</v>
      </c>
      <c r="O488" s="3">
        <f>IF(($A488-Ft!K$2)&lt;0,Ft!K$3*((1-Ft!K$6)/(1+Ft!K$37*($A488-Ft!K$2)^2)+Ft!K$6*EXP(Ft!K$38*($A488-Ft!K$2)^2)),Ft!K$3*((1-Ft!K$7)/(1+Ft!K$39*($A488-Ft!K$2)^2)+Ft!K$7*EXP(Ft!K$40*($A488-Ft!K$2)^2)))</f>
        <v>0</v>
      </c>
      <c r="P488"/>
      <c r="Q488"/>
    </row>
    <row r="489" spans="1:17">
      <c r="A489">
        <v>974</v>
      </c>
      <c r="B489">
        <v>12.665212079401002</v>
      </c>
      <c r="C489" s="6">
        <f t="shared" si="15"/>
        <v>12.894486204621051</v>
      </c>
      <c r="D489" s="19">
        <f t="shared" si="16"/>
        <v>5.2566624495419004E-2</v>
      </c>
      <c r="E489" s="3">
        <f>Ft!$B$12+Ft!$B$14*(Data!A489-Vars!$B$3)</f>
        <v>0</v>
      </c>
      <c r="F489" s="3">
        <f>IF(($A489-Ft!B$2)&lt;0,Ft!B$3*((1-Ft!B$6)/(1+Ft!B$37*($A489-Ft!B$2)^2)+Ft!B$6*EXP(Ft!B$38*($A489-Ft!B$2)^2)),Ft!B$3*((1-Ft!B$7)/(1+Ft!B$39*($A489-Ft!B$2)^2)+Ft!B$7*EXP(Ft!B$40*($A489-Ft!B$2)^2)))</f>
        <v>0</v>
      </c>
      <c r="G489" s="3">
        <f>IF(($A489-Ft!C$2)&lt;0,Ft!C$3*((1-Ft!C$6)/(1+Ft!C$37*($A489-Ft!C$2)^2)+Ft!C$6*EXP(Ft!C$38*($A489-Ft!C$2)^2)),Ft!C$3*((1-Ft!C$7)/(1+Ft!C$39*($A489-Ft!C$2)^2)+Ft!C$7*EXP(Ft!C$40*($A489-Ft!C$2)^2)))</f>
        <v>2.2589746846324207E-24</v>
      </c>
      <c r="H489" s="3">
        <f>IF(($A489-Ft!D$2)&lt;0,Ft!D$3*((1-Ft!D$6)/(1+Ft!D$37*($A489-Ft!D$2)^2)+Ft!D$6*EXP(Ft!D$38*($A489-Ft!D$2)^2)),Ft!D$3*((1-Ft!D$7)/(1+Ft!D$39*($A489-Ft!D$2)^2)+Ft!D$7*EXP(Ft!D$40*($A489-Ft!D$2)^2)))</f>
        <v>0.14636480865010515</v>
      </c>
      <c r="I489" s="3">
        <f>IF(($A489-Ft!E$2)&lt;0,Ft!E$3*((1-Ft!E$6)/(1+Ft!E$37*($A489-Ft!E$2)^2)+Ft!E$6*EXP(Ft!E$38*($A489-Ft!E$2)^2)),Ft!E$3*((1-Ft!E$7)/(1+Ft!E$39*($A489-Ft!E$2)^2)+Ft!E$7*EXP(Ft!E$40*($A489-Ft!E$2)^2)))</f>
        <v>8.7161145730545559</v>
      </c>
      <c r="J489" s="3">
        <f>IF(($A489-Ft!F$2)&lt;0,Ft!F$3*((1-Ft!F$6)/(1+Ft!F$37*($A489-Ft!F$2)^2)+Ft!F$6*EXP(Ft!F$38*($A489-Ft!F$2)^2)),Ft!F$3*((1-Ft!F$7)/(1+Ft!F$39*($A489-Ft!F$2)^2)+Ft!F$7*EXP(Ft!F$40*($A489-Ft!F$2)^2)))</f>
        <v>3.9830370203704279</v>
      </c>
      <c r="K489" s="3">
        <f>IF(($A489-Ft!G$2)&lt;0,Ft!G$3*((1-Ft!G$6)/(1+Ft!G$37*($A489-Ft!G$2)^2)+Ft!G$6*EXP(Ft!G$38*($A489-Ft!G$2)^2)),Ft!G$3*((1-Ft!G$7)/(1+Ft!G$39*($A489-Ft!G$2)^2)+Ft!G$7*EXP(Ft!G$40*($A489-Ft!G$2)^2)))</f>
        <v>4.8969802545962483E-2</v>
      </c>
      <c r="L489" s="3">
        <f>IF(($A489-Ft!H$2)&lt;0,Ft!H$3*((1-Ft!H$6)/(1+Ft!H$37*($A489-Ft!H$2)^2)+Ft!H$6*EXP(Ft!H$38*($A489-Ft!H$2)^2)),Ft!H$3*((1-Ft!H$7)/(1+Ft!H$39*($A489-Ft!H$2)^2)+Ft!H$7*EXP(Ft!H$40*($A489-Ft!H$2)^2)))</f>
        <v>0</v>
      </c>
      <c r="M489" s="3">
        <f>IF(($A489-Ft!I$2)&lt;0,Ft!I$3*((1-Ft!I$6)/(1+Ft!I$37*($A489-Ft!I$2)^2)+Ft!I$6*EXP(Ft!I$38*($A489-Ft!I$2)^2)),Ft!I$3*((1-Ft!I$7)/(1+Ft!I$39*($A489-Ft!I$2)^2)+Ft!I$7*EXP(Ft!I$40*($A489-Ft!I$2)^2)))</f>
        <v>0</v>
      </c>
      <c r="N489" s="3">
        <f>IF(($A489-Ft!J$2)&lt;0,Ft!J$3*((1-Ft!J$6)/(1+Ft!J$37*($A489-Ft!J$2)^2)+Ft!J$6*EXP(Ft!J$38*($A489-Ft!J$2)^2)),Ft!J$3*((1-Ft!J$7)/(1+Ft!J$39*($A489-Ft!J$2)^2)+Ft!J$7*EXP(Ft!J$40*($A489-Ft!J$2)^2)))</f>
        <v>0</v>
      </c>
      <c r="O489" s="3">
        <f>IF(($A489-Ft!K$2)&lt;0,Ft!K$3*((1-Ft!K$6)/(1+Ft!K$37*($A489-Ft!K$2)^2)+Ft!K$6*EXP(Ft!K$38*($A489-Ft!K$2)^2)),Ft!K$3*((1-Ft!K$7)/(1+Ft!K$39*($A489-Ft!K$2)^2)+Ft!K$7*EXP(Ft!K$40*($A489-Ft!K$2)^2)))</f>
        <v>0</v>
      </c>
      <c r="P489"/>
      <c r="Q489"/>
    </row>
    <row r="490" spans="1:17">
      <c r="A490">
        <v>976</v>
      </c>
      <c r="B490">
        <v>12.664065760103</v>
      </c>
      <c r="C490" s="6">
        <f t="shared" si="15"/>
        <v>12.88364252840308</v>
      </c>
      <c r="D490" s="19">
        <f t="shared" si="16"/>
        <v>4.8213957177106817E-2</v>
      </c>
      <c r="E490" s="3">
        <f>Ft!$B$12+Ft!$B$14*(Data!A490-Vars!$B$3)</f>
        <v>0</v>
      </c>
      <c r="F490" s="3">
        <f>IF(($A490-Ft!B$2)&lt;0,Ft!B$3*((1-Ft!B$6)/(1+Ft!B$37*($A490-Ft!B$2)^2)+Ft!B$6*EXP(Ft!B$38*($A490-Ft!B$2)^2)),Ft!B$3*((1-Ft!B$7)/(1+Ft!B$39*($A490-Ft!B$2)^2)+Ft!B$7*EXP(Ft!B$40*($A490-Ft!B$2)^2)))</f>
        <v>0</v>
      </c>
      <c r="G490" s="3">
        <f>IF(($A490-Ft!C$2)&lt;0,Ft!C$3*((1-Ft!C$6)/(1+Ft!C$37*($A490-Ft!C$2)^2)+Ft!C$6*EXP(Ft!C$38*($A490-Ft!C$2)^2)),Ft!C$3*((1-Ft!C$7)/(1+Ft!C$39*($A490-Ft!C$2)^2)+Ft!C$7*EXP(Ft!C$40*($A490-Ft!C$2)^2)))</f>
        <v>1.7216877146004318E-24</v>
      </c>
      <c r="H490" s="3">
        <f>IF(($A490-Ft!D$2)&lt;0,Ft!D$3*((1-Ft!D$6)/(1+Ft!D$37*($A490-Ft!D$2)^2)+Ft!D$6*EXP(Ft!D$38*($A490-Ft!D$2)^2)),Ft!D$3*((1-Ft!D$7)/(1+Ft!D$39*($A490-Ft!D$2)^2)+Ft!D$7*EXP(Ft!D$40*($A490-Ft!D$2)^2)))</f>
        <v>0.14098962508830332</v>
      </c>
      <c r="I490" s="3">
        <f>IF(($A490-Ft!E$2)&lt;0,Ft!E$3*((1-Ft!E$6)/(1+Ft!E$37*($A490-Ft!E$2)^2)+Ft!E$6*EXP(Ft!E$38*($A490-Ft!E$2)^2)),Ft!E$3*((1-Ft!E$7)/(1+Ft!E$39*($A490-Ft!E$2)^2)+Ft!E$7*EXP(Ft!E$40*($A490-Ft!E$2)^2)))</f>
        <v>8.5832856637647019</v>
      </c>
      <c r="J490" s="3">
        <f>IF(($A490-Ft!F$2)&lt;0,Ft!F$3*((1-Ft!F$6)/(1+Ft!F$37*($A490-Ft!F$2)^2)+Ft!F$6*EXP(Ft!F$38*($A490-Ft!F$2)^2)),Ft!F$3*((1-Ft!F$7)/(1+Ft!F$39*($A490-Ft!F$2)^2)+Ft!F$7*EXP(Ft!F$40*($A490-Ft!F$2)^2)))</f>
        <v>4.0953724681028918</v>
      </c>
      <c r="K490" s="3">
        <f>IF(($A490-Ft!G$2)&lt;0,Ft!G$3*((1-Ft!G$6)/(1+Ft!G$37*($A490-Ft!G$2)^2)+Ft!G$6*EXP(Ft!G$38*($A490-Ft!G$2)^2)),Ft!G$3*((1-Ft!G$7)/(1+Ft!G$39*($A490-Ft!G$2)^2)+Ft!G$7*EXP(Ft!G$40*($A490-Ft!G$2)^2)))</f>
        <v>6.399477144718109E-2</v>
      </c>
      <c r="L490" s="3">
        <f>IF(($A490-Ft!H$2)&lt;0,Ft!H$3*((1-Ft!H$6)/(1+Ft!H$37*($A490-Ft!H$2)^2)+Ft!H$6*EXP(Ft!H$38*($A490-Ft!H$2)^2)),Ft!H$3*((1-Ft!H$7)/(1+Ft!H$39*($A490-Ft!H$2)^2)+Ft!H$7*EXP(Ft!H$40*($A490-Ft!H$2)^2)))</f>
        <v>0</v>
      </c>
      <c r="M490" s="3">
        <f>IF(($A490-Ft!I$2)&lt;0,Ft!I$3*((1-Ft!I$6)/(1+Ft!I$37*($A490-Ft!I$2)^2)+Ft!I$6*EXP(Ft!I$38*($A490-Ft!I$2)^2)),Ft!I$3*((1-Ft!I$7)/(1+Ft!I$39*($A490-Ft!I$2)^2)+Ft!I$7*EXP(Ft!I$40*($A490-Ft!I$2)^2)))</f>
        <v>0</v>
      </c>
      <c r="N490" s="3">
        <f>IF(($A490-Ft!J$2)&lt;0,Ft!J$3*((1-Ft!J$6)/(1+Ft!J$37*($A490-Ft!J$2)^2)+Ft!J$6*EXP(Ft!J$38*($A490-Ft!J$2)^2)),Ft!J$3*((1-Ft!J$7)/(1+Ft!J$39*($A490-Ft!J$2)^2)+Ft!J$7*EXP(Ft!J$40*($A490-Ft!J$2)^2)))</f>
        <v>0</v>
      </c>
      <c r="O490" s="3">
        <f>IF(($A490-Ft!K$2)&lt;0,Ft!K$3*((1-Ft!K$6)/(1+Ft!K$37*($A490-Ft!K$2)^2)+Ft!K$6*EXP(Ft!K$38*($A490-Ft!K$2)^2)),Ft!K$3*((1-Ft!K$7)/(1+Ft!K$39*($A490-Ft!K$2)^2)+Ft!K$7*EXP(Ft!K$40*($A490-Ft!K$2)^2)))</f>
        <v>0</v>
      </c>
      <c r="P490"/>
      <c r="Q490"/>
    </row>
    <row r="491" spans="1:17">
      <c r="A491">
        <v>978</v>
      </c>
      <c r="B491">
        <v>12.66943882682699</v>
      </c>
      <c r="C491" s="6">
        <f t="shared" si="15"/>
        <v>12.871390490038342</v>
      </c>
      <c r="D491" s="19">
        <f t="shared" si="16"/>
        <v>4.0784474273831278E-2</v>
      </c>
      <c r="E491" s="3">
        <f>Ft!$B$12+Ft!$B$14*(Data!A491-Vars!$B$3)</f>
        <v>0</v>
      </c>
      <c r="F491" s="3">
        <f>IF(($A491-Ft!B$2)&lt;0,Ft!B$3*((1-Ft!B$6)/(1+Ft!B$37*($A491-Ft!B$2)^2)+Ft!B$6*EXP(Ft!B$38*($A491-Ft!B$2)^2)),Ft!B$3*((1-Ft!B$7)/(1+Ft!B$39*($A491-Ft!B$2)^2)+Ft!B$7*EXP(Ft!B$40*($A491-Ft!B$2)^2)))</f>
        <v>0</v>
      </c>
      <c r="G491" s="3">
        <f>IF(($A491-Ft!C$2)&lt;0,Ft!C$3*((1-Ft!C$6)/(1+Ft!C$37*($A491-Ft!C$2)^2)+Ft!C$6*EXP(Ft!C$38*($A491-Ft!C$2)^2)),Ft!C$3*((1-Ft!C$7)/(1+Ft!C$39*($A491-Ft!C$2)^2)+Ft!C$7*EXP(Ft!C$40*($A491-Ft!C$2)^2)))</f>
        <v>1.3113400617854194E-24</v>
      </c>
      <c r="H491" s="3">
        <f>IF(($A491-Ft!D$2)&lt;0,Ft!D$3*((1-Ft!D$6)/(1+Ft!D$37*($A491-Ft!D$2)^2)+Ft!D$6*EXP(Ft!D$38*($A491-Ft!D$2)^2)),Ft!D$3*((1-Ft!D$7)/(1+Ft!D$39*($A491-Ft!D$2)^2)+Ft!D$7*EXP(Ft!D$40*($A491-Ft!D$2)^2)))</f>
        <v>0.13579231955869048</v>
      </c>
      <c r="I491" s="3">
        <f>IF(($A491-Ft!E$2)&lt;0,Ft!E$3*((1-Ft!E$6)/(1+Ft!E$37*($A491-Ft!E$2)^2)+Ft!E$6*EXP(Ft!E$38*($A491-Ft!E$2)^2)),Ft!E$3*((1-Ft!E$7)/(1+Ft!E$39*($A491-Ft!E$2)^2)+Ft!E$7*EXP(Ft!E$40*($A491-Ft!E$2)^2)))</f>
        <v>8.4507791917812867</v>
      </c>
      <c r="J491" s="3">
        <f>IF(($A491-Ft!F$2)&lt;0,Ft!F$3*((1-Ft!F$6)/(1+Ft!F$37*($A491-Ft!F$2)^2)+Ft!F$6*EXP(Ft!F$38*($A491-Ft!F$2)^2)),Ft!F$3*((1-Ft!F$7)/(1+Ft!F$39*($A491-Ft!F$2)^2)+Ft!F$7*EXP(Ft!F$40*($A491-Ft!F$2)^2)))</f>
        <v>4.2018229018819673</v>
      </c>
      <c r="K491" s="3">
        <f>IF(($A491-Ft!G$2)&lt;0,Ft!G$3*((1-Ft!G$6)/(1+Ft!G$37*($A491-Ft!G$2)^2)+Ft!G$6*EXP(Ft!G$38*($A491-Ft!G$2)^2)),Ft!G$3*((1-Ft!G$7)/(1+Ft!G$39*($A491-Ft!G$2)^2)+Ft!G$7*EXP(Ft!G$40*($A491-Ft!G$2)^2)))</f>
        <v>8.2996076816397993E-2</v>
      </c>
      <c r="L491" s="3">
        <f>IF(($A491-Ft!H$2)&lt;0,Ft!H$3*((1-Ft!H$6)/(1+Ft!H$37*($A491-Ft!H$2)^2)+Ft!H$6*EXP(Ft!H$38*($A491-Ft!H$2)^2)),Ft!H$3*((1-Ft!H$7)/(1+Ft!H$39*($A491-Ft!H$2)^2)+Ft!H$7*EXP(Ft!H$40*($A491-Ft!H$2)^2)))</f>
        <v>0</v>
      </c>
      <c r="M491" s="3">
        <f>IF(($A491-Ft!I$2)&lt;0,Ft!I$3*((1-Ft!I$6)/(1+Ft!I$37*($A491-Ft!I$2)^2)+Ft!I$6*EXP(Ft!I$38*($A491-Ft!I$2)^2)),Ft!I$3*((1-Ft!I$7)/(1+Ft!I$39*($A491-Ft!I$2)^2)+Ft!I$7*EXP(Ft!I$40*($A491-Ft!I$2)^2)))</f>
        <v>0</v>
      </c>
      <c r="N491" s="3">
        <f>IF(($A491-Ft!J$2)&lt;0,Ft!J$3*((1-Ft!J$6)/(1+Ft!J$37*($A491-Ft!J$2)^2)+Ft!J$6*EXP(Ft!J$38*($A491-Ft!J$2)^2)),Ft!J$3*((1-Ft!J$7)/(1+Ft!J$39*($A491-Ft!J$2)^2)+Ft!J$7*EXP(Ft!J$40*($A491-Ft!J$2)^2)))</f>
        <v>0</v>
      </c>
      <c r="O491" s="3">
        <f>IF(($A491-Ft!K$2)&lt;0,Ft!K$3*((1-Ft!K$6)/(1+Ft!K$37*($A491-Ft!K$2)^2)+Ft!K$6*EXP(Ft!K$38*($A491-Ft!K$2)^2)),Ft!K$3*((1-Ft!K$7)/(1+Ft!K$39*($A491-Ft!K$2)^2)+Ft!K$7*EXP(Ft!K$40*($A491-Ft!K$2)^2)))</f>
        <v>0</v>
      </c>
      <c r="P491"/>
      <c r="Q491"/>
    </row>
    <row r="492" spans="1:17">
      <c r="A492">
        <v>980</v>
      </c>
      <c r="B492">
        <v>12.681619645460998</v>
      </c>
      <c r="C492" s="6">
        <f t="shared" si="15"/>
        <v>12.858006288119991</v>
      </c>
      <c r="D492" s="19">
        <f t="shared" si="16"/>
        <v>3.1112247708511467E-2</v>
      </c>
      <c r="E492" s="3">
        <f>Ft!$B$12+Ft!$B$14*(Data!A492-Vars!$B$3)</f>
        <v>0</v>
      </c>
      <c r="F492" s="3">
        <f>IF(($A492-Ft!B$2)&lt;0,Ft!B$3*((1-Ft!B$6)/(1+Ft!B$37*($A492-Ft!B$2)^2)+Ft!B$6*EXP(Ft!B$38*($A492-Ft!B$2)^2)),Ft!B$3*((1-Ft!B$7)/(1+Ft!B$39*($A492-Ft!B$2)^2)+Ft!B$7*EXP(Ft!B$40*($A492-Ft!B$2)^2)))</f>
        <v>0</v>
      </c>
      <c r="G492" s="3">
        <f>IF(($A492-Ft!C$2)&lt;0,Ft!C$3*((1-Ft!C$6)/(1+Ft!C$37*($A492-Ft!C$2)^2)+Ft!C$6*EXP(Ft!C$38*($A492-Ft!C$2)^2)),Ft!C$3*((1-Ft!C$7)/(1+Ft!C$39*($A492-Ft!C$2)^2)+Ft!C$7*EXP(Ft!C$40*($A492-Ft!C$2)^2)))</f>
        <v>9.981463205627708E-25</v>
      </c>
      <c r="H492" s="3">
        <f>IF(($A492-Ft!D$2)&lt;0,Ft!D$3*((1-Ft!D$6)/(1+Ft!D$37*($A492-Ft!D$2)^2)+Ft!D$6*EXP(Ft!D$38*($A492-Ft!D$2)^2)),Ft!D$3*((1-Ft!D$7)/(1+Ft!D$39*($A492-Ft!D$2)^2)+Ft!D$7*EXP(Ft!D$40*($A492-Ft!D$2)^2)))</f>
        <v>0.13076780164261956</v>
      </c>
      <c r="I492" s="3">
        <f>IF(($A492-Ft!E$2)&lt;0,Ft!E$3*((1-Ft!E$6)/(1+Ft!E$37*($A492-Ft!E$2)^2)+Ft!E$6*EXP(Ft!E$38*($A492-Ft!E$2)^2)),Ft!E$3*((1-Ft!E$7)/(1+Ft!E$39*($A492-Ft!E$2)^2)+Ft!E$7*EXP(Ft!E$40*($A492-Ft!E$2)^2)))</f>
        <v>8.3186431246720893</v>
      </c>
      <c r="J492" s="3">
        <f>IF(($A492-Ft!F$2)&lt;0,Ft!F$3*((1-Ft!F$6)/(1+Ft!F$37*($A492-Ft!F$2)^2)+Ft!F$6*EXP(Ft!F$38*($A492-Ft!F$2)^2)),Ft!F$3*((1-Ft!F$7)/(1+Ft!F$39*($A492-Ft!F$2)^2)+Ft!F$7*EXP(Ft!F$40*($A492-Ft!F$2)^2)))</f>
        <v>4.3017716737576883</v>
      </c>
      <c r="K492" s="3">
        <f>IF(($A492-Ft!G$2)&lt;0,Ft!G$3*((1-Ft!G$6)/(1+Ft!G$37*($A492-Ft!G$2)^2)+Ft!G$6*EXP(Ft!G$38*($A492-Ft!G$2)^2)),Ft!G$3*((1-Ft!G$7)/(1+Ft!G$39*($A492-Ft!G$2)^2)+Ft!G$7*EXP(Ft!G$40*($A492-Ft!G$2)^2)))</f>
        <v>0.10682368804759473</v>
      </c>
      <c r="L492" s="3">
        <f>IF(($A492-Ft!H$2)&lt;0,Ft!H$3*((1-Ft!H$6)/(1+Ft!H$37*($A492-Ft!H$2)^2)+Ft!H$6*EXP(Ft!H$38*($A492-Ft!H$2)^2)),Ft!H$3*((1-Ft!H$7)/(1+Ft!H$39*($A492-Ft!H$2)^2)+Ft!H$7*EXP(Ft!H$40*($A492-Ft!H$2)^2)))</f>
        <v>0</v>
      </c>
      <c r="M492" s="3">
        <f>IF(($A492-Ft!I$2)&lt;0,Ft!I$3*((1-Ft!I$6)/(1+Ft!I$37*($A492-Ft!I$2)^2)+Ft!I$6*EXP(Ft!I$38*($A492-Ft!I$2)^2)),Ft!I$3*((1-Ft!I$7)/(1+Ft!I$39*($A492-Ft!I$2)^2)+Ft!I$7*EXP(Ft!I$40*($A492-Ft!I$2)^2)))</f>
        <v>0</v>
      </c>
      <c r="N492" s="3">
        <f>IF(($A492-Ft!J$2)&lt;0,Ft!J$3*((1-Ft!J$6)/(1+Ft!J$37*($A492-Ft!J$2)^2)+Ft!J$6*EXP(Ft!J$38*($A492-Ft!J$2)^2)),Ft!J$3*((1-Ft!J$7)/(1+Ft!J$39*($A492-Ft!J$2)^2)+Ft!J$7*EXP(Ft!J$40*($A492-Ft!J$2)^2)))</f>
        <v>0</v>
      </c>
      <c r="O492" s="3">
        <f>IF(($A492-Ft!K$2)&lt;0,Ft!K$3*((1-Ft!K$6)/(1+Ft!K$37*($A492-Ft!K$2)^2)+Ft!K$6*EXP(Ft!K$38*($A492-Ft!K$2)^2)),Ft!K$3*((1-Ft!K$7)/(1+Ft!K$39*($A492-Ft!K$2)^2)+Ft!K$7*EXP(Ft!K$40*($A492-Ft!K$2)^2)))</f>
        <v>0</v>
      </c>
      <c r="P492"/>
      <c r="Q492"/>
    </row>
    <row r="493" spans="1:17">
      <c r="A493">
        <v>982</v>
      </c>
      <c r="B493">
        <v>12.699661417314999</v>
      </c>
      <c r="C493" s="6">
        <f t="shared" si="15"/>
        <v>12.843915104531591</v>
      </c>
      <c r="D493" s="19">
        <f t="shared" si="16"/>
        <v>2.080912627558237E-2</v>
      </c>
      <c r="E493" s="3">
        <f>Ft!$B$12+Ft!$B$14*(Data!A493-Vars!$B$3)</f>
        <v>0</v>
      </c>
      <c r="F493" s="3">
        <f>IF(($A493-Ft!B$2)&lt;0,Ft!B$3*((1-Ft!B$6)/(1+Ft!B$37*($A493-Ft!B$2)^2)+Ft!B$6*EXP(Ft!B$38*($A493-Ft!B$2)^2)),Ft!B$3*((1-Ft!B$7)/(1+Ft!B$39*($A493-Ft!B$2)^2)+Ft!B$7*EXP(Ft!B$40*($A493-Ft!B$2)^2)))</f>
        <v>0</v>
      </c>
      <c r="G493" s="3">
        <f>IF(($A493-Ft!C$2)&lt;0,Ft!C$3*((1-Ft!C$6)/(1+Ft!C$37*($A493-Ft!C$2)^2)+Ft!C$6*EXP(Ft!C$38*($A493-Ft!C$2)^2)),Ft!C$3*((1-Ft!C$7)/(1+Ft!C$39*($A493-Ft!C$2)^2)+Ft!C$7*EXP(Ft!C$40*($A493-Ft!C$2)^2)))</f>
        <v>7.5926087896870822E-25</v>
      </c>
      <c r="H493" s="3">
        <f>IF(($A493-Ft!D$2)&lt;0,Ft!D$3*((1-Ft!D$6)/(1+Ft!D$37*($A493-Ft!D$2)^2)+Ft!D$6*EXP(Ft!D$38*($A493-Ft!D$2)^2)),Ft!D$3*((1-Ft!D$7)/(1+Ft!D$39*($A493-Ft!D$2)^2)+Ft!D$7*EXP(Ft!D$40*($A493-Ft!D$2)^2)))</f>
        <v>0.12591109578524673</v>
      </c>
      <c r="I493" s="3">
        <f>IF(($A493-Ft!E$2)&lt;0,Ft!E$3*((1-Ft!E$6)/(1+Ft!E$37*($A493-Ft!E$2)^2)+Ft!E$6*EXP(Ft!E$38*($A493-Ft!E$2)^2)),Ft!E$3*((1-Ft!E$7)/(1+Ft!E$39*($A493-Ft!E$2)^2)+Ft!E$7*EXP(Ft!E$40*($A493-Ft!E$2)^2)))</f>
        <v>8.1869244627937512</v>
      </c>
      <c r="J493" s="3">
        <f>IF(($A493-Ft!F$2)&lt;0,Ft!F$3*((1-Ft!F$6)/(1+Ft!F$37*($A493-Ft!F$2)^2)+Ft!F$6*EXP(Ft!F$38*($A493-Ft!F$2)^2)),Ft!F$3*((1-Ft!F$7)/(1+Ft!F$39*($A493-Ft!F$2)^2)+Ft!F$7*EXP(Ft!F$40*($A493-Ft!F$2)^2)))</f>
        <v>4.3946292431831262</v>
      </c>
      <c r="K493" s="3">
        <f>IF(($A493-Ft!G$2)&lt;0,Ft!G$3*((1-Ft!G$6)/(1+Ft!G$37*($A493-Ft!G$2)^2)+Ft!G$6*EXP(Ft!G$38*($A493-Ft!G$2)^2)),Ft!G$3*((1-Ft!G$7)/(1+Ft!G$39*($A493-Ft!G$2)^2)+Ft!G$7*EXP(Ft!G$40*($A493-Ft!G$2)^2)))</f>
        <v>0.13645030276946632</v>
      </c>
      <c r="L493" s="3">
        <f>IF(($A493-Ft!H$2)&lt;0,Ft!H$3*((1-Ft!H$6)/(1+Ft!H$37*($A493-Ft!H$2)^2)+Ft!H$6*EXP(Ft!H$38*($A493-Ft!H$2)^2)),Ft!H$3*((1-Ft!H$7)/(1+Ft!H$39*($A493-Ft!H$2)^2)+Ft!H$7*EXP(Ft!H$40*($A493-Ft!H$2)^2)))</f>
        <v>0</v>
      </c>
      <c r="M493" s="3">
        <f>IF(($A493-Ft!I$2)&lt;0,Ft!I$3*((1-Ft!I$6)/(1+Ft!I$37*($A493-Ft!I$2)^2)+Ft!I$6*EXP(Ft!I$38*($A493-Ft!I$2)^2)),Ft!I$3*((1-Ft!I$7)/(1+Ft!I$39*($A493-Ft!I$2)^2)+Ft!I$7*EXP(Ft!I$40*($A493-Ft!I$2)^2)))</f>
        <v>0</v>
      </c>
      <c r="N493" s="3">
        <f>IF(($A493-Ft!J$2)&lt;0,Ft!J$3*((1-Ft!J$6)/(1+Ft!J$37*($A493-Ft!J$2)^2)+Ft!J$6*EXP(Ft!J$38*($A493-Ft!J$2)^2)),Ft!J$3*((1-Ft!J$7)/(1+Ft!J$39*($A493-Ft!J$2)^2)+Ft!J$7*EXP(Ft!J$40*($A493-Ft!J$2)^2)))</f>
        <v>0</v>
      </c>
      <c r="O493" s="3">
        <f>IF(($A493-Ft!K$2)&lt;0,Ft!K$3*((1-Ft!K$6)/(1+Ft!K$37*($A493-Ft!K$2)^2)+Ft!K$6*EXP(Ft!K$38*($A493-Ft!K$2)^2)),Ft!K$3*((1-Ft!K$7)/(1+Ft!K$39*($A493-Ft!K$2)^2)+Ft!K$7*EXP(Ft!K$40*($A493-Ft!K$2)^2)))</f>
        <v>0</v>
      </c>
      <c r="P493"/>
      <c r="Q493"/>
    </row>
    <row r="494" spans="1:17">
      <c r="A494">
        <v>984</v>
      </c>
      <c r="B494">
        <v>12.722743942714999</v>
      </c>
      <c r="C494" s="6">
        <f t="shared" si="15"/>
        <v>12.829698526796598</v>
      </c>
      <c r="D494" s="19">
        <f t="shared" si="16"/>
        <v>1.1439283056067848E-2</v>
      </c>
      <c r="E494" s="3">
        <f>Ft!$B$12+Ft!$B$14*(Data!A494-Vars!$B$3)</f>
        <v>0</v>
      </c>
      <c r="F494" s="3">
        <f>IF(($A494-Ft!B$2)&lt;0,Ft!B$3*((1-Ft!B$6)/(1+Ft!B$37*($A494-Ft!B$2)^2)+Ft!B$6*EXP(Ft!B$38*($A494-Ft!B$2)^2)),Ft!B$3*((1-Ft!B$7)/(1+Ft!B$39*($A494-Ft!B$2)^2)+Ft!B$7*EXP(Ft!B$40*($A494-Ft!B$2)^2)))</f>
        <v>0</v>
      </c>
      <c r="G494" s="3">
        <f>IF(($A494-Ft!C$2)&lt;0,Ft!C$3*((1-Ft!C$6)/(1+Ft!C$37*($A494-Ft!C$2)^2)+Ft!C$6*EXP(Ft!C$38*($A494-Ft!C$2)^2)),Ft!C$3*((1-Ft!C$7)/(1+Ft!C$39*($A494-Ft!C$2)^2)+Ft!C$7*EXP(Ft!C$40*($A494-Ft!C$2)^2)))</f>
        <v>5.771726837851888E-25</v>
      </c>
      <c r="H494" s="3">
        <f>IF(($A494-Ft!D$2)&lt;0,Ft!D$3*((1-Ft!D$6)/(1+Ft!D$37*($A494-Ft!D$2)^2)+Ft!D$6*EXP(Ft!D$38*($A494-Ft!D$2)^2)),Ft!D$3*((1-Ft!D$7)/(1+Ft!D$39*($A494-Ft!D$2)^2)+Ft!D$7*EXP(Ft!D$40*($A494-Ft!D$2)^2)))</f>
        <v>0.12121733985322382</v>
      </c>
      <c r="I494" s="3">
        <f>IF(($A494-Ft!E$2)&lt;0,Ft!E$3*((1-Ft!E$6)/(1+Ft!E$37*($A494-Ft!E$2)^2)+Ft!E$6*EXP(Ft!E$38*($A494-Ft!E$2)^2)),Ft!E$3*((1-Ft!E$7)/(1+Ft!E$39*($A494-Ft!E$2)^2)+Ft!E$7*EXP(Ft!E$40*($A494-Ft!E$2)^2)))</f>
        <v>8.0556692168608297</v>
      </c>
      <c r="J494" s="3">
        <f>IF(($A494-Ft!F$2)&lt;0,Ft!F$3*((1-Ft!F$6)/(1+Ft!F$37*($A494-Ft!F$2)^2)+Ft!F$6*EXP(Ft!F$38*($A494-Ft!F$2)^2)),Ft!F$3*((1-Ft!F$7)/(1+Ft!F$39*($A494-Ft!F$2)^2)+Ft!F$7*EXP(Ft!F$40*($A494-Ft!F$2)^2)))</f>
        <v>4.4798389485943249</v>
      </c>
      <c r="K494" s="3">
        <f>IF(($A494-Ft!G$2)&lt;0,Ft!G$3*((1-Ft!G$6)/(1+Ft!G$37*($A494-Ft!G$2)^2)+Ft!G$6*EXP(Ft!G$38*($A494-Ft!G$2)^2)),Ft!G$3*((1-Ft!G$7)/(1+Ft!G$39*($A494-Ft!G$2)^2)+Ft!G$7*EXP(Ft!G$40*($A494-Ft!G$2)^2)))</f>
        <v>0.17297302148821811</v>
      </c>
      <c r="L494" s="3">
        <f>IF(($A494-Ft!H$2)&lt;0,Ft!H$3*((1-Ft!H$6)/(1+Ft!H$37*($A494-Ft!H$2)^2)+Ft!H$6*EXP(Ft!H$38*($A494-Ft!H$2)^2)),Ft!H$3*((1-Ft!H$7)/(1+Ft!H$39*($A494-Ft!H$2)^2)+Ft!H$7*EXP(Ft!H$40*($A494-Ft!H$2)^2)))</f>
        <v>0</v>
      </c>
      <c r="M494" s="3">
        <f>IF(($A494-Ft!I$2)&lt;0,Ft!I$3*((1-Ft!I$6)/(1+Ft!I$37*($A494-Ft!I$2)^2)+Ft!I$6*EXP(Ft!I$38*($A494-Ft!I$2)^2)),Ft!I$3*((1-Ft!I$7)/(1+Ft!I$39*($A494-Ft!I$2)^2)+Ft!I$7*EXP(Ft!I$40*($A494-Ft!I$2)^2)))</f>
        <v>0</v>
      </c>
      <c r="N494" s="3">
        <f>IF(($A494-Ft!J$2)&lt;0,Ft!J$3*((1-Ft!J$6)/(1+Ft!J$37*($A494-Ft!J$2)^2)+Ft!J$6*EXP(Ft!J$38*($A494-Ft!J$2)^2)),Ft!J$3*((1-Ft!J$7)/(1+Ft!J$39*($A494-Ft!J$2)^2)+Ft!J$7*EXP(Ft!J$40*($A494-Ft!J$2)^2)))</f>
        <v>0</v>
      </c>
      <c r="O494" s="3">
        <f>IF(($A494-Ft!K$2)&lt;0,Ft!K$3*((1-Ft!K$6)/(1+Ft!K$37*($A494-Ft!K$2)^2)+Ft!K$6*EXP(Ft!K$38*($A494-Ft!K$2)^2)),Ft!K$3*((1-Ft!K$7)/(1+Ft!K$39*($A494-Ft!K$2)^2)+Ft!K$7*EXP(Ft!K$40*($A494-Ft!K$2)^2)))</f>
        <v>0</v>
      </c>
      <c r="P494"/>
      <c r="Q494"/>
    </row>
    <row r="495" spans="1:17">
      <c r="A495">
        <v>986</v>
      </c>
      <c r="B495">
        <v>12.750047021987001</v>
      </c>
      <c r="C495" s="6">
        <f t="shared" si="15"/>
        <v>12.816096885048916</v>
      </c>
      <c r="D495" s="19">
        <f t="shared" si="16"/>
        <v>4.3625844104977036E-3</v>
      </c>
      <c r="E495" s="3">
        <f>Ft!$B$12+Ft!$B$14*(Data!A495-Vars!$B$3)</f>
        <v>0</v>
      </c>
      <c r="F495" s="3">
        <f>IF(($A495-Ft!B$2)&lt;0,Ft!B$3*((1-Ft!B$6)/(1+Ft!B$37*($A495-Ft!B$2)^2)+Ft!B$6*EXP(Ft!B$38*($A495-Ft!B$2)^2)),Ft!B$3*((1-Ft!B$7)/(1+Ft!B$39*($A495-Ft!B$2)^2)+Ft!B$7*EXP(Ft!B$40*($A495-Ft!B$2)^2)))</f>
        <v>0</v>
      </c>
      <c r="G495" s="3">
        <f>IF(($A495-Ft!C$2)&lt;0,Ft!C$3*((1-Ft!C$6)/(1+Ft!C$37*($A495-Ft!C$2)^2)+Ft!C$6*EXP(Ft!C$38*($A495-Ft!C$2)^2)),Ft!C$3*((1-Ft!C$7)/(1+Ft!C$39*($A495-Ft!C$2)^2)+Ft!C$7*EXP(Ft!C$40*($A495-Ft!C$2)^2)))</f>
        <v>4.3846854819243542E-25</v>
      </c>
      <c r="H495" s="3">
        <f>IF(($A495-Ft!D$2)&lt;0,Ft!D$3*((1-Ft!D$6)/(1+Ft!D$37*($A495-Ft!D$2)^2)+Ft!D$6*EXP(Ft!D$38*($A495-Ft!D$2)^2)),Ft!D$3*((1-Ft!D$7)/(1+Ft!D$39*($A495-Ft!D$2)^2)+Ft!D$7*EXP(Ft!D$40*($A495-Ft!D$2)^2)))</f>
        <v>0.11668178366585602</v>
      </c>
      <c r="I495" s="3">
        <f>IF(($A495-Ft!E$2)&lt;0,Ft!E$3*((1-Ft!E$6)/(1+Ft!E$37*($A495-Ft!E$2)^2)+Ft!E$6*EXP(Ft!E$38*($A495-Ft!E$2)^2)),Ft!E$3*((1-Ft!E$7)/(1+Ft!E$39*($A495-Ft!E$2)^2)+Ft!E$7*EXP(Ft!E$40*($A495-Ft!E$2)^2)))</f>
        <v>7.924922386856089</v>
      </c>
      <c r="J495" s="3">
        <f>IF(($A495-Ft!F$2)&lt;0,Ft!F$3*((1-Ft!F$6)/(1+Ft!F$37*($A495-Ft!F$2)^2)+Ft!F$6*EXP(Ft!F$38*($A495-Ft!F$2)^2)),Ft!F$3*((1-Ft!F$7)/(1+Ft!F$39*($A495-Ft!F$2)^2)+Ft!F$7*EXP(Ft!F$40*($A495-Ft!F$2)^2)))</f>
        <v>4.5568825526900172</v>
      </c>
      <c r="K495" s="3">
        <f>IF(($A495-Ft!G$2)&lt;0,Ft!G$3*((1-Ft!G$6)/(1+Ft!G$37*($A495-Ft!G$2)^2)+Ft!G$6*EXP(Ft!G$38*($A495-Ft!G$2)^2)),Ft!G$3*((1-Ft!G$7)/(1+Ft!G$39*($A495-Ft!G$2)^2)+Ft!G$7*EXP(Ft!G$40*($A495-Ft!G$2)^2)))</f>
        <v>0.21761016183695317</v>
      </c>
      <c r="L495" s="3">
        <f>IF(($A495-Ft!H$2)&lt;0,Ft!H$3*((1-Ft!H$6)/(1+Ft!H$37*($A495-Ft!H$2)^2)+Ft!H$6*EXP(Ft!H$38*($A495-Ft!H$2)^2)),Ft!H$3*((1-Ft!H$7)/(1+Ft!H$39*($A495-Ft!H$2)^2)+Ft!H$7*EXP(Ft!H$40*($A495-Ft!H$2)^2)))</f>
        <v>0</v>
      </c>
      <c r="M495" s="3">
        <f>IF(($A495-Ft!I$2)&lt;0,Ft!I$3*((1-Ft!I$6)/(1+Ft!I$37*($A495-Ft!I$2)^2)+Ft!I$6*EXP(Ft!I$38*($A495-Ft!I$2)^2)),Ft!I$3*((1-Ft!I$7)/(1+Ft!I$39*($A495-Ft!I$2)^2)+Ft!I$7*EXP(Ft!I$40*($A495-Ft!I$2)^2)))</f>
        <v>0</v>
      </c>
      <c r="N495" s="3">
        <f>IF(($A495-Ft!J$2)&lt;0,Ft!J$3*((1-Ft!J$6)/(1+Ft!J$37*($A495-Ft!J$2)^2)+Ft!J$6*EXP(Ft!J$38*($A495-Ft!J$2)^2)),Ft!J$3*((1-Ft!J$7)/(1+Ft!J$39*($A495-Ft!J$2)^2)+Ft!J$7*EXP(Ft!J$40*($A495-Ft!J$2)^2)))</f>
        <v>0</v>
      </c>
      <c r="O495" s="3">
        <f>IF(($A495-Ft!K$2)&lt;0,Ft!K$3*((1-Ft!K$6)/(1+Ft!K$37*($A495-Ft!K$2)^2)+Ft!K$6*EXP(Ft!K$38*($A495-Ft!K$2)^2)),Ft!K$3*((1-Ft!K$7)/(1+Ft!K$39*($A495-Ft!K$2)^2)+Ft!K$7*EXP(Ft!K$40*($A495-Ft!K$2)^2)))</f>
        <v>0</v>
      </c>
      <c r="P495"/>
      <c r="Q495"/>
    </row>
    <row r="496" spans="1:17">
      <c r="A496">
        <v>988</v>
      </c>
      <c r="B496">
        <v>12.780750455456996</v>
      </c>
      <c r="C496" s="6">
        <f t="shared" si="15"/>
        <v>12.804005247602655</v>
      </c>
      <c r="D496" s="19">
        <f t="shared" si="16"/>
        <v>5.407853577378013E-4</v>
      </c>
      <c r="E496" s="3">
        <f>Ft!$B$12+Ft!$B$14*(Data!A496-Vars!$B$3)</f>
        <v>0</v>
      </c>
      <c r="F496" s="3">
        <f>IF(($A496-Ft!B$2)&lt;0,Ft!B$3*((1-Ft!B$6)/(1+Ft!B$37*($A496-Ft!B$2)^2)+Ft!B$6*EXP(Ft!B$38*($A496-Ft!B$2)^2)),Ft!B$3*((1-Ft!B$7)/(1+Ft!B$39*($A496-Ft!B$2)^2)+Ft!B$7*EXP(Ft!B$40*($A496-Ft!B$2)^2)))</f>
        <v>0</v>
      </c>
      <c r="G496" s="3">
        <f>IF(($A496-Ft!C$2)&lt;0,Ft!C$3*((1-Ft!C$6)/(1+Ft!C$37*($A496-Ft!C$2)^2)+Ft!C$6*EXP(Ft!C$38*($A496-Ft!C$2)^2)),Ft!C$3*((1-Ft!C$7)/(1+Ft!C$39*($A496-Ft!C$2)^2)+Ft!C$7*EXP(Ft!C$40*($A496-Ft!C$2)^2)))</f>
        <v>3.328810374443097E-25</v>
      </c>
      <c r="H496" s="3">
        <f>IF(($A496-Ft!D$2)&lt;0,Ft!D$3*((1-Ft!D$6)/(1+Ft!D$37*($A496-Ft!D$2)^2)+Ft!D$6*EXP(Ft!D$38*($A496-Ft!D$2)^2)),Ft!D$3*((1-Ft!D$7)/(1+Ft!D$39*($A496-Ft!D$2)^2)+Ft!D$7*EXP(Ft!D$40*($A496-Ft!D$2)^2)))</f>
        <v>0.11229978750195649</v>
      </c>
      <c r="I496" s="3">
        <f>IF(($A496-Ft!E$2)&lt;0,Ft!E$3*((1-Ft!E$6)/(1+Ft!E$37*($A496-Ft!E$2)^2)+Ft!E$6*EXP(Ft!E$38*($A496-Ft!E$2)^2)),Ft!E$3*((1-Ft!E$7)/(1+Ft!E$39*($A496-Ft!E$2)^2)+Ft!E$7*EXP(Ft!E$40*($A496-Ft!E$2)^2)))</f>
        <v>7.7947279422860687</v>
      </c>
      <c r="J496" s="3">
        <f>IF(($A496-Ft!F$2)&lt;0,Ft!F$3*((1-Ft!F$6)/(1+Ft!F$37*($A496-Ft!F$2)^2)+Ft!F$6*EXP(Ft!F$38*($A496-Ft!F$2)^2)),Ft!F$3*((1-Ft!F$7)/(1+Ft!F$39*($A496-Ft!F$2)^2)+Ft!F$7*EXP(Ft!F$40*($A496-Ft!F$2)^2)))</f>
        <v>4.6252854843205427</v>
      </c>
      <c r="K496" s="3">
        <f>IF(($A496-Ft!G$2)&lt;0,Ft!G$3*((1-Ft!G$6)/(1+Ft!G$37*($A496-Ft!G$2)^2)+Ft!G$6*EXP(Ft!G$38*($A496-Ft!G$2)^2)),Ft!G$3*((1-Ft!G$7)/(1+Ft!G$39*($A496-Ft!G$2)^2)+Ft!G$7*EXP(Ft!G$40*($A496-Ft!G$2)^2)))</f>
        <v>0.27169203349408683</v>
      </c>
      <c r="L496" s="3">
        <f>IF(($A496-Ft!H$2)&lt;0,Ft!H$3*((1-Ft!H$6)/(1+Ft!H$37*($A496-Ft!H$2)^2)+Ft!H$6*EXP(Ft!H$38*($A496-Ft!H$2)^2)),Ft!H$3*((1-Ft!H$7)/(1+Ft!H$39*($A496-Ft!H$2)^2)+Ft!H$7*EXP(Ft!H$40*($A496-Ft!H$2)^2)))</f>
        <v>0</v>
      </c>
      <c r="M496" s="3">
        <f>IF(($A496-Ft!I$2)&lt;0,Ft!I$3*((1-Ft!I$6)/(1+Ft!I$37*($A496-Ft!I$2)^2)+Ft!I$6*EXP(Ft!I$38*($A496-Ft!I$2)^2)),Ft!I$3*((1-Ft!I$7)/(1+Ft!I$39*($A496-Ft!I$2)^2)+Ft!I$7*EXP(Ft!I$40*($A496-Ft!I$2)^2)))</f>
        <v>0</v>
      </c>
      <c r="N496" s="3">
        <f>IF(($A496-Ft!J$2)&lt;0,Ft!J$3*((1-Ft!J$6)/(1+Ft!J$37*($A496-Ft!J$2)^2)+Ft!J$6*EXP(Ft!J$38*($A496-Ft!J$2)^2)),Ft!J$3*((1-Ft!J$7)/(1+Ft!J$39*($A496-Ft!J$2)^2)+Ft!J$7*EXP(Ft!J$40*($A496-Ft!J$2)^2)))</f>
        <v>0</v>
      </c>
      <c r="O496" s="3">
        <f>IF(($A496-Ft!K$2)&lt;0,Ft!K$3*((1-Ft!K$6)/(1+Ft!K$37*($A496-Ft!K$2)^2)+Ft!K$6*EXP(Ft!K$38*($A496-Ft!K$2)^2)),Ft!K$3*((1-Ft!K$7)/(1+Ft!K$39*($A496-Ft!K$2)^2)+Ft!K$7*EXP(Ft!K$40*($A496-Ft!K$2)^2)))</f>
        <v>0</v>
      </c>
      <c r="P496"/>
      <c r="Q496"/>
    </row>
    <row r="497" spans="1:17">
      <c r="A497">
        <v>990</v>
      </c>
      <c r="B497">
        <v>12.814034043451002</v>
      </c>
      <c r="C497" s="6">
        <f t="shared" si="15"/>
        <v>12.794461862421592</v>
      </c>
      <c r="D497" s="19">
        <f t="shared" si="16"/>
        <v>3.8307027024800741E-4</v>
      </c>
      <c r="E497" s="3">
        <f>Ft!$B$12+Ft!$B$14*(Data!A497-Vars!$B$3)</f>
        <v>0</v>
      </c>
      <c r="F497" s="3">
        <f>IF(($A497-Ft!B$2)&lt;0,Ft!B$3*((1-Ft!B$6)/(1+Ft!B$37*($A497-Ft!B$2)^2)+Ft!B$6*EXP(Ft!B$38*($A497-Ft!B$2)^2)),Ft!B$3*((1-Ft!B$7)/(1+Ft!B$39*($A497-Ft!B$2)^2)+Ft!B$7*EXP(Ft!B$40*($A497-Ft!B$2)^2)))</f>
        <v>0</v>
      </c>
      <c r="G497" s="3">
        <f>IF(($A497-Ft!C$2)&lt;0,Ft!C$3*((1-Ft!C$6)/(1+Ft!C$37*($A497-Ft!C$2)^2)+Ft!C$6*EXP(Ft!C$38*($A497-Ft!C$2)^2)),Ft!C$3*((1-Ft!C$7)/(1+Ft!C$39*($A497-Ft!C$2)^2)+Ft!C$7*EXP(Ft!C$40*($A497-Ft!C$2)^2)))</f>
        <v>2.5255594640611933E-25</v>
      </c>
      <c r="H497" s="3">
        <f>IF(($A497-Ft!D$2)&lt;0,Ft!D$3*((1-Ft!D$6)/(1+Ft!D$37*($A497-Ft!D$2)^2)+Ft!D$6*EXP(Ft!D$38*($A497-Ft!D$2)^2)),Ft!D$3*((1-Ft!D$7)/(1+Ft!D$39*($A497-Ft!D$2)^2)+Ft!D$7*EXP(Ft!D$40*($A497-Ft!D$2)^2)))</f>
        <v>0.10806682058456418</v>
      </c>
      <c r="I497" s="3">
        <f>IF(($A497-Ft!E$2)&lt;0,Ft!E$3*((1-Ft!E$6)/(1+Ft!E$37*($A497-Ft!E$2)^2)+Ft!E$6*EXP(Ft!E$38*($A497-Ft!E$2)^2)),Ft!E$3*((1-Ft!E$7)/(1+Ft!E$39*($A497-Ft!E$2)^2)+Ft!E$7*EXP(Ft!E$40*($A497-Ft!E$2)^2)))</f>
        <v>7.6651288037840306</v>
      </c>
      <c r="J497" s="3">
        <f>IF(($A497-Ft!F$2)&lt;0,Ft!F$3*((1-Ft!F$6)/(1+Ft!F$37*($A497-Ft!F$2)^2)+Ft!F$6*EXP(Ft!F$38*($A497-Ft!F$2)^2)),Ft!F$3*((1-Ft!F$7)/(1+Ft!F$39*($A497-Ft!F$2)^2)+Ft!F$7*EXP(Ft!F$40*($A497-Ft!F$2)^2)))</f>
        <v>4.6846217029231312</v>
      </c>
      <c r="K497" s="3">
        <f>IF(($A497-Ft!G$2)&lt;0,Ft!G$3*((1-Ft!G$6)/(1+Ft!G$37*($A497-Ft!G$2)^2)+Ft!G$6*EXP(Ft!G$38*($A497-Ft!G$2)^2)),Ft!G$3*((1-Ft!G$7)/(1+Ft!G$39*($A497-Ft!G$2)^2)+Ft!G$7*EXP(Ft!G$40*($A497-Ft!G$2)^2)))</f>
        <v>0.33664453512986675</v>
      </c>
      <c r="L497" s="3">
        <f>IF(($A497-Ft!H$2)&lt;0,Ft!H$3*((1-Ft!H$6)/(1+Ft!H$37*($A497-Ft!H$2)^2)+Ft!H$6*EXP(Ft!H$38*($A497-Ft!H$2)^2)),Ft!H$3*((1-Ft!H$7)/(1+Ft!H$39*($A497-Ft!H$2)^2)+Ft!H$7*EXP(Ft!H$40*($A497-Ft!H$2)^2)))</f>
        <v>0</v>
      </c>
      <c r="M497" s="3">
        <f>IF(($A497-Ft!I$2)&lt;0,Ft!I$3*((1-Ft!I$6)/(1+Ft!I$37*($A497-Ft!I$2)^2)+Ft!I$6*EXP(Ft!I$38*($A497-Ft!I$2)^2)),Ft!I$3*((1-Ft!I$7)/(1+Ft!I$39*($A497-Ft!I$2)^2)+Ft!I$7*EXP(Ft!I$40*($A497-Ft!I$2)^2)))</f>
        <v>0</v>
      </c>
      <c r="N497" s="3">
        <f>IF(($A497-Ft!J$2)&lt;0,Ft!J$3*((1-Ft!J$6)/(1+Ft!J$37*($A497-Ft!J$2)^2)+Ft!J$6*EXP(Ft!J$38*($A497-Ft!J$2)^2)),Ft!J$3*((1-Ft!J$7)/(1+Ft!J$39*($A497-Ft!J$2)^2)+Ft!J$7*EXP(Ft!J$40*($A497-Ft!J$2)^2)))</f>
        <v>0</v>
      </c>
      <c r="O497" s="3">
        <f>IF(($A497-Ft!K$2)&lt;0,Ft!K$3*((1-Ft!K$6)/(1+Ft!K$37*($A497-Ft!K$2)^2)+Ft!K$6*EXP(Ft!K$38*($A497-Ft!K$2)^2)),Ft!K$3*((1-Ft!K$7)/(1+Ft!K$39*($A497-Ft!K$2)^2)+Ft!K$7*EXP(Ft!K$40*($A497-Ft!K$2)^2)))</f>
        <v>0</v>
      </c>
      <c r="P497"/>
      <c r="Q497"/>
    </row>
    <row r="498" spans="1:17">
      <c r="A498">
        <v>992</v>
      </c>
      <c r="B498">
        <v>12.849077586294996</v>
      </c>
      <c r="C498" s="6">
        <f t="shared" si="15"/>
        <v>12.788627964481401</v>
      </c>
      <c r="D498" s="19">
        <f t="shared" si="16"/>
        <v>3.6541567774066109E-3</v>
      </c>
      <c r="E498" s="3">
        <f>Ft!$B$12+Ft!$B$14*(Data!A498-Vars!$B$3)</f>
        <v>0</v>
      </c>
      <c r="F498" s="3">
        <f>IF(($A498-Ft!B$2)&lt;0,Ft!B$3*((1-Ft!B$6)/(1+Ft!B$37*($A498-Ft!B$2)^2)+Ft!B$6*EXP(Ft!B$38*($A498-Ft!B$2)^2)),Ft!B$3*((1-Ft!B$7)/(1+Ft!B$39*($A498-Ft!B$2)^2)+Ft!B$7*EXP(Ft!B$40*($A498-Ft!B$2)^2)))</f>
        <v>0</v>
      </c>
      <c r="G498" s="3">
        <f>IF(($A498-Ft!C$2)&lt;0,Ft!C$3*((1-Ft!C$6)/(1+Ft!C$37*($A498-Ft!C$2)^2)+Ft!C$6*EXP(Ft!C$38*($A498-Ft!C$2)^2)),Ft!C$3*((1-Ft!C$7)/(1+Ft!C$39*($A498-Ft!C$2)^2)+Ft!C$7*EXP(Ft!C$40*($A498-Ft!C$2)^2)))</f>
        <v>1.9148910650435163E-25</v>
      </c>
      <c r="H498" s="3">
        <f>IF(($A498-Ft!D$2)&lt;0,Ft!D$3*((1-Ft!D$6)/(1+Ft!D$37*($A498-Ft!D$2)^2)+Ft!D$6*EXP(Ft!D$38*($A498-Ft!D$2)^2)),Ft!D$3*((1-Ft!D$7)/(1+Ft!D$39*($A498-Ft!D$2)^2)+Ft!D$7*EXP(Ft!D$40*($A498-Ft!D$2)^2)))</f>
        <v>0.10397845954563753</v>
      </c>
      <c r="I498" s="3">
        <f>IF(($A498-Ft!E$2)&lt;0,Ft!E$3*((1-Ft!E$6)/(1+Ft!E$37*($A498-Ft!E$2)^2)+Ft!E$6*EXP(Ft!E$38*($A498-Ft!E$2)^2)),Ft!E$3*((1-Ft!E$7)/(1+Ft!E$39*($A498-Ft!E$2)^2)+Ft!E$7*EXP(Ft!E$40*($A498-Ft!E$2)^2)))</f>
        <v>7.536166826060442</v>
      </c>
      <c r="J498" s="3">
        <f>IF(($A498-Ft!F$2)&lt;0,Ft!F$3*((1-Ft!F$6)/(1+Ft!F$37*($A498-Ft!F$2)^2)+Ft!F$6*EXP(Ft!F$38*($A498-Ft!F$2)^2)),Ft!F$3*((1-Ft!F$7)/(1+Ft!F$39*($A498-Ft!F$2)^2)+Ft!F$7*EXP(Ft!F$40*($A498-Ft!F$2)^2)))</f>
        <v>4.7345181158106628</v>
      </c>
      <c r="K498" s="3">
        <f>IF(($A498-Ft!G$2)&lt;0,Ft!G$3*((1-Ft!G$6)/(1+Ft!G$37*($A498-Ft!G$2)^2)+Ft!G$6*EXP(Ft!G$38*($A498-Ft!G$2)^2)),Ft!G$3*((1-Ft!G$7)/(1+Ft!G$39*($A498-Ft!G$2)^2)+Ft!G$7*EXP(Ft!G$40*($A498-Ft!G$2)^2)))</f>
        <v>0.41396456306465723</v>
      </c>
      <c r="L498" s="3">
        <f>IF(($A498-Ft!H$2)&lt;0,Ft!H$3*((1-Ft!H$6)/(1+Ft!H$37*($A498-Ft!H$2)^2)+Ft!H$6*EXP(Ft!H$38*($A498-Ft!H$2)^2)),Ft!H$3*((1-Ft!H$7)/(1+Ft!H$39*($A498-Ft!H$2)^2)+Ft!H$7*EXP(Ft!H$40*($A498-Ft!H$2)^2)))</f>
        <v>0</v>
      </c>
      <c r="M498" s="3">
        <f>IF(($A498-Ft!I$2)&lt;0,Ft!I$3*((1-Ft!I$6)/(1+Ft!I$37*($A498-Ft!I$2)^2)+Ft!I$6*EXP(Ft!I$38*($A498-Ft!I$2)^2)),Ft!I$3*((1-Ft!I$7)/(1+Ft!I$39*($A498-Ft!I$2)^2)+Ft!I$7*EXP(Ft!I$40*($A498-Ft!I$2)^2)))</f>
        <v>0</v>
      </c>
      <c r="N498" s="3">
        <f>IF(($A498-Ft!J$2)&lt;0,Ft!J$3*((1-Ft!J$6)/(1+Ft!J$37*($A498-Ft!J$2)^2)+Ft!J$6*EXP(Ft!J$38*($A498-Ft!J$2)^2)),Ft!J$3*((1-Ft!J$7)/(1+Ft!J$39*($A498-Ft!J$2)^2)+Ft!J$7*EXP(Ft!J$40*($A498-Ft!J$2)^2)))</f>
        <v>0</v>
      </c>
      <c r="O498" s="3">
        <f>IF(($A498-Ft!K$2)&lt;0,Ft!K$3*((1-Ft!K$6)/(1+Ft!K$37*($A498-Ft!K$2)^2)+Ft!K$6*EXP(Ft!K$38*($A498-Ft!K$2)^2)),Ft!K$3*((1-Ft!K$7)/(1+Ft!K$39*($A498-Ft!K$2)^2)+Ft!K$7*EXP(Ft!K$40*($A498-Ft!K$2)^2)))</f>
        <v>0</v>
      </c>
      <c r="P498"/>
      <c r="Q498"/>
    </row>
    <row r="499" spans="1:17">
      <c r="A499">
        <v>994</v>
      </c>
      <c r="B499">
        <v>12.885060884314001</v>
      </c>
      <c r="C499" s="6">
        <f t="shared" si="15"/>
        <v>12.787758104242092</v>
      </c>
      <c r="D499" s="19">
        <f t="shared" si="16"/>
        <v>9.4678310097221739E-3</v>
      </c>
      <c r="E499" s="3">
        <f>Ft!$B$12+Ft!$B$14*(Data!A499-Vars!$B$3)</f>
        <v>0</v>
      </c>
      <c r="F499" s="3">
        <f>IF(($A499-Ft!B$2)&lt;0,Ft!B$3*((1-Ft!B$6)/(1+Ft!B$37*($A499-Ft!B$2)^2)+Ft!B$6*EXP(Ft!B$38*($A499-Ft!B$2)^2)),Ft!B$3*((1-Ft!B$7)/(1+Ft!B$39*($A499-Ft!B$2)^2)+Ft!B$7*EXP(Ft!B$40*($A499-Ft!B$2)^2)))</f>
        <v>0</v>
      </c>
      <c r="G499" s="3">
        <f>IF(($A499-Ft!C$2)&lt;0,Ft!C$3*((1-Ft!C$6)/(1+Ft!C$37*($A499-Ft!C$2)^2)+Ft!C$6*EXP(Ft!C$38*($A499-Ft!C$2)^2)),Ft!C$3*((1-Ft!C$7)/(1+Ft!C$39*($A499-Ft!C$2)^2)+Ft!C$7*EXP(Ft!C$40*($A499-Ft!C$2)^2)))</f>
        <v>1.4509367447174462E-25</v>
      </c>
      <c r="H499" s="3">
        <f>IF(($A499-Ft!D$2)&lt;0,Ft!D$3*((1-Ft!D$6)/(1+Ft!D$37*($A499-Ft!D$2)^2)+Ft!D$6*EXP(Ft!D$38*($A499-Ft!D$2)^2)),Ft!D$3*((1-Ft!D$7)/(1+Ft!D$39*($A499-Ft!D$2)^2)+Ft!D$7*EXP(Ft!D$40*($A499-Ft!D$2)^2)))</f>
        <v>0.10003038687277414</v>
      </c>
      <c r="I499" s="3">
        <f>IF(($A499-Ft!E$2)&lt;0,Ft!E$3*((1-Ft!E$6)/(1+Ft!E$37*($A499-Ft!E$2)^2)+Ft!E$6*EXP(Ft!E$38*($A499-Ft!E$2)^2)),Ft!E$3*((1-Ft!E$7)/(1+Ft!E$39*($A499-Ft!E$2)^2)+Ft!E$7*EXP(Ft!E$40*($A499-Ft!E$2)^2)))</f>
        <v>7.4078827821993114</v>
      </c>
      <c r="J499" s="3">
        <f>IF(($A499-Ft!F$2)&lt;0,Ft!F$3*((1-Ft!F$6)/(1+Ft!F$37*($A499-Ft!F$2)^2)+Ft!F$6*EXP(Ft!F$38*($A499-Ft!F$2)^2)),Ft!F$3*((1-Ft!F$7)/(1+Ft!F$39*($A499-Ft!F$2)^2)+Ft!F$7*EXP(Ft!F$40*($A499-Ft!F$2)^2)))</f>
        <v>4.7746584842726669</v>
      </c>
      <c r="K499" s="3">
        <f>IF(($A499-Ft!G$2)&lt;0,Ft!G$3*((1-Ft!G$6)/(1+Ft!G$37*($A499-Ft!G$2)^2)+Ft!G$6*EXP(Ft!G$38*($A499-Ft!G$2)^2)),Ft!G$3*((1-Ft!G$7)/(1+Ft!G$39*($A499-Ft!G$2)^2)+Ft!G$7*EXP(Ft!G$40*($A499-Ft!G$2)^2)))</f>
        <v>0.50518645089733838</v>
      </c>
      <c r="L499" s="3">
        <f>IF(($A499-Ft!H$2)&lt;0,Ft!H$3*((1-Ft!H$6)/(1+Ft!H$37*($A499-Ft!H$2)^2)+Ft!H$6*EXP(Ft!H$38*($A499-Ft!H$2)^2)),Ft!H$3*((1-Ft!H$7)/(1+Ft!H$39*($A499-Ft!H$2)^2)+Ft!H$7*EXP(Ft!H$40*($A499-Ft!H$2)^2)))</f>
        <v>0</v>
      </c>
      <c r="M499" s="3">
        <f>IF(($A499-Ft!I$2)&lt;0,Ft!I$3*((1-Ft!I$6)/(1+Ft!I$37*($A499-Ft!I$2)^2)+Ft!I$6*EXP(Ft!I$38*($A499-Ft!I$2)^2)),Ft!I$3*((1-Ft!I$7)/(1+Ft!I$39*($A499-Ft!I$2)^2)+Ft!I$7*EXP(Ft!I$40*($A499-Ft!I$2)^2)))</f>
        <v>0</v>
      </c>
      <c r="N499" s="3">
        <f>IF(($A499-Ft!J$2)&lt;0,Ft!J$3*((1-Ft!J$6)/(1+Ft!J$37*($A499-Ft!J$2)^2)+Ft!J$6*EXP(Ft!J$38*($A499-Ft!J$2)^2)),Ft!J$3*((1-Ft!J$7)/(1+Ft!J$39*($A499-Ft!J$2)^2)+Ft!J$7*EXP(Ft!J$40*($A499-Ft!J$2)^2)))</f>
        <v>0</v>
      </c>
      <c r="O499" s="3">
        <f>IF(($A499-Ft!K$2)&lt;0,Ft!K$3*((1-Ft!K$6)/(1+Ft!K$37*($A499-Ft!K$2)^2)+Ft!K$6*EXP(Ft!K$38*($A499-Ft!K$2)^2)),Ft!K$3*((1-Ft!K$7)/(1+Ft!K$39*($A499-Ft!K$2)^2)+Ft!K$7*EXP(Ft!K$40*($A499-Ft!K$2)^2)))</f>
        <v>0</v>
      </c>
      <c r="P499"/>
      <c r="Q499"/>
    </row>
    <row r="500" spans="1:17">
      <c r="A500">
        <v>996</v>
      </c>
      <c r="B500">
        <v>12.92379689836099</v>
      </c>
      <c r="C500" s="6">
        <f t="shared" si="15"/>
        <v>12.793160498189087</v>
      </c>
      <c r="D500" s="19">
        <f t="shared" si="16"/>
        <v>1.7065869049873731E-2</v>
      </c>
      <c r="E500" s="3">
        <f>Ft!$B$12+Ft!$B$14*(Data!A500-Vars!$B$3)</f>
        <v>0</v>
      </c>
      <c r="F500" s="3">
        <f>IF(($A500-Ft!B$2)&lt;0,Ft!B$3*((1-Ft!B$6)/(1+Ft!B$37*($A500-Ft!B$2)^2)+Ft!B$6*EXP(Ft!B$38*($A500-Ft!B$2)^2)),Ft!B$3*((1-Ft!B$7)/(1+Ft!B$39*($A500-Ft!B$2)^2)+Ft!B$7*EXP(Ft!B$40*($A500-Ft!B$2)^2)))</f>
        <v>0</v>
      </c>
      <c r="G500" s="3">
        <f>IF(($A500-Ft!C$2)&lt;0,Ft!C$3*((1-Ft!C$6)/(1+Ft!C$37*($A500-Ft!C$2)^2)+Ft!C$6*EXP(Ft!C$38*($A500-Ft!C$2)^2)),Ft!C$3*((1-Ft!C$7)/(1+Ft!C$39*($A500-Ft!C$2)^2)+Ft!C$7*EXP(Ft!C$40*($A500-Ft!C$2)^2)))</f>
        <v>1.0986789861103381E-25</v>
      </c>
      <c r="H500" s="3">
        <f>IF(($A500-Ft!D$2)&lt;0,Ft!D$3*((1-Ft!D$6)/(1+Ft!D$37*($A500-Ft!D$2)^2)+Ft!D$6*EXP(Ft!D$38*($A500-Ft!D$2)^2)),Ft!D$3*((1-Ft!D$7)/(1+Ft!D$39*($A500-Ft!D$2)^2)+Ft!D$7*EXP(Ft!D$40*($A500-Ft!D$2)^2)))</f>
        <v>9.6218389339948293E-2</v>
      </c>
      <c r="I500" s="3">
        <f>IF(($A500-Ft!E$2)&lt;0,Ft!E$3*((1-Ft!E$6)/(1+Ft!E$37*($A500-Ft!E$2)^2)+Ft!E$6*EXP(Ft!E$38*($A500-Ft!E$2)^2)),Ft!E$3*((1-Ft!E$7)/(1+Ft!E$39*($A500-Ft!E$2)^2)+Ft!E$7*EXP(Ft!E$40*($A500-Ft!E$2)^2)))</f>
        <v>7.2803163492967657</v>
      </c>
      <c r="J500" s="3">
        <f>IF(($A500-Ft!F$2)&lt;0,Ft!F$3*((1-Ft!F$6)/(1+Ft!F$37*($A500-Ft!F$2)^2)+Ft!F$6*EXP(Ft!F$38*($A500-Ft!F$2)^2)),Ft!F$3*((1-Ft!F$7)/(1+Ft!F$39*($A500-Ft!F$2)^2)+Ft!F$7*EXP(Ft!F$40*($A500-Ft!F$2)^2)))</f>
        <v>4.8047867612911475</v>
      </c>
      <c r="K500" s="3">
        <f>IF(($A500-Ft!G$2)&lt;0,Ft!G$3*((1-Ft!G$6)/(1+Ft!G$37*($A500-Ft!G$2)^2)+Ft!G$6*EXP(Ft!G$38*($A500-Ft!G$2)^2)),Ft!G$3*((1-Ft!G$7)/(1+Ft!G$39*($A500-Ft!G$2)^2)+Ft!G$7*EXP(Ft!G$40*($A500-Ft!G$2)^2)))</f>
        <v>0.61183899826122612</v>
      </c>
      <c r="L500" s="3">
        <f>IF(($A500-Ft!H$2)&lt;0,Ft!H$3*((1-Ft!H$6)/(1+Ft!H$37*($A500-Ft!H$2)^2)+Ft!H$6*EXP(Ft!H$38*($A500-Ft!H$2)^2)),Ft!H$3*((1-Ft!H$7)/(1+Ft!H$39*($A500-Ft!H$2)^2)+Ft!H$7*EXP(Ft!H$40*($A500-Ft!H$2)^2)))</f>
        <v>0</v>
      </c>
      <c r="M500" s="3">
        <f>IF(($A500-Ft!I$2)&lt;0,Ft!I$3*((1-Ft!I$6)/(1+Ft!I$37*($A500-Ft!I$2)^2)+Ft!I$6*EXP(Ft!I$38*($A500-Ft!I$2)^2)),Ft!I$3*((1-Ft!I$7)/(1+Ft!I$39*($A500-Ft!I$2)^2)+Ft!I$7*EXP(Ft!I$40*($A500-Ft!I$2)^2)))</f>
        <v>0</v>
      </c>
      <c r="N500" s="3">
        <f>IF(($A500-Ft!J$2)&lt;0,Ft!J$3*((1-Ft!J$6)/(1+Ft!J$37*($A500-Ft!J$2)^2)+Ft!J$6*EXP(Ft!J$38*($A500-Ft!J$2)^2)),Ft!J$3*((1-Ft!J$7)/(1+Ft!J$39*($A500-Ft!J$2)^2)+Ft!J$7*EXP(Ft!J$40*($A500-Ft!J$2)^2)))</f>
        <v>0</v>
      </c>
      <c r="O500" s="3">
        <f>IF(($A500-Ft!K$2)&lt;0,Ft!K$3*((1-Ft!K$6)/(1+Ft!K$37*($A500-Ft!K$2)^2)+Ft!K$6*EXP(Ft!K$38*($A500-Ft!K$2)^2)),Ft!K$3*((1-Ft!K$7)/(1+Ft!K$39*($A500-Ft!K$2)^2)+Ft!K$7*EXP(Ft!K$40*($A500-Ft!K$2)^2)))</f>
        <v>0</v>
      </c>
      <c r="P500"/>
      <c r="Q500"/>
    </row>
    <row r="501" spans="1:17">
      <c r="A501">
        <v>998</v>
      </c>
      <c r="B501">
        <v>12.978637310248999</v>
      </c>
      <c r="C501" s="6">
        <f t="shared" si="15"/>
        <v>12.80614735942881</v>
      </c>
      <c r="D501" s="19">
        <f t="shared" si="16"/>
        <v>2.9752783133951344E-2</v>
      </c>
      <c r="E501" s="3">
        <f>Ft!$B$12+Ft!$B$14*(Data!A501-Vars!$B$3)</f>
        <v>0</v>
      </c>
      <c r="F501" s="3">
        <f>IF(($A501-Ft!B$2)&lt;0,Ft!B$3*((1-Ft!B$6)/(1+Ft!B$37*($A501-Ft!B$2)^2)+Ft!B$6*EXP(Ft!B$38*($A501-Ft!B$2)^2)),Ft!B$3*((1-Ft!B$7)/(1+Ft!B$39*($A501-Ft!B$2)^2)+Ft!B$7*EXP(Ft!B$40*($A501-Ft!B$2)^2)))</f>
        <v>0</v>
      </c>
      <c r="G501" s="3">
        <f>IF(($A501-Ft!C$2)&lt;0,Ft!C$3*((1-Ft!C$6)/(1+Ft!C$37*($A501-Ft!C$2)^2)+Ft!C$6*EXP(Ft!C$38*($A501-Ft!C$2)^2)),Ft!C$3*((1-Ft!C$7)/(1+Ft!C$39*($A501-Ft!C$2)^2)+Ft!C$7*EXP(Ft!C$40*($A501-Ft!C$2)^2)))</f>
        <v>8.3140204627556819E-26</v>
      </c>
      <c r="H501" s="3">
        <f>IF(($A501-Ft!D$2)&lt;0,Ft!D$3*((1-Ft!D$6)/(1+Ft!D$37*($A501-Ft!D$2)^2)+Ft!D$6*EXP(Ft!D$38*($A501-Ft!D$2)^2)),Ft!D$3*((1-Ft!D$7)/(1+Ft!D$39*($A501-Ft!D$2)^2)+Ft!D$7*EXP(Ft!D$40*($A501-Ft!D$2)^2)))</f>
        <v>9.2538356424198859E-2</v>
      </c>
      <c r="I501" s="3">
        <f>IF(($A501-Ft!E$2)&lt;0,Ft!E$3*((1-Ft!E$6)/(1+Ft!E$37*($A501-Ft!E$2)^2)+Ft!E$6*EXP(Ft!E$38*($A501-Ft!E$2)^2)),Ft!E$3*((1-Ft!E$7)/(1+Ft!E$39*($A501-Ft!E$2)^2)+Ft!E$7*EXP(Ft!E$40*($A501-Ft!E$2)^2)))</f>
        <v>7.1535060954365486</v>
      </c>
      <c r="J501" s="3">
        <f>IF(($A501-Ft!F$2)&lt;0,Ft!F$3*((1-Ft!F$6)/(1+Ft!F$37*($A501-Ft!F$2)^2)+Ft!F$6*EXP(Ft!F$38*($A501-Ft!F$2)^2)),Ft!F$3*((1-Ft!F$7)/(1+Ft!F$39*($A501-Ft!F$2)^2)+Ft!F$7*EXP(Ft!F$40*($A501-Ft!F$2)^2)))</f>
        <v>4.8247098115935199</v>
      </c>
      <c r="K501" s="3">
        <f>IF(($A501-Ft!G$2)&lt;0,Ft!G$3*((1-Ft!G$6)/(1+Ft!G$37*($A501-Ft!G$2)^2)+Ft!G$6*EXP(Ft!G$38*($A501-Ft!G$2)^2)),Ft!G$3*((1-Ft!G$7)/(1+Ft!G$39*($A501-Ft!G$2)^2)+Ft!G$7*EXP(Ft!G$40*($A501-Ft!G$2)^2)))</f>
        <v>0.73539309597454305</v>
      </c>
      <c r="L501" s="3">
        <f>IF(($A501-Ft!H$2)&lt;0,Ft!H$3*((1-Ft!H$6)/(1+Ft!H$37*($A501-Ft!H$2)^2)+Ft!H$6*EXP(Ft!H$38*($A501-Ft!H$2)^2)),Ft!H$3*((1-Ft!H$7)/(1+Ft!H$39*($A501-Ft!H$2)^2)+Ft!H$7*EXP(Ft!H$40*($A501-Ft!H$2)^2)))</f>
        <v>0</v>
      </c>
      <c r="M501" s="3">
        <f>IF(($A501-Ft!I$2)&lt;0,Ft!I$3*((1-Ft!I$6)/(1+Ft!I$37*($A501-Ft!I$2)^2)+Ft!I$6*EXP(Ft!I$38*($A501-Ft!I$2)^2)),Ft!I$3*((1-Ft!I$7)/(1+Ft!I$39*($A501-Ft!I$2)^2)+Ft!I$7*EXP(Ft!I$40*($A501-Ft!I$2)^2)))</f>
        <v>0</v>
      </c>
      <c r="N501" s="3">
        <f>IF(($A501-Ft!J$2)&lt;0,Ft!J$3*((1-Ft!J$6)/(1+Ft!J$37*($A501-Ft!J$2)^2)+Ft!J$6*EXP(Ft!J$38*($A501-Ft!J$2)^2)),Ft!J$3*((1-Ft!J$7)/(1+Ft!J$39*($A501-Ft!J$2)^2)+Ft!J$7*EXP(Ft!J$40*($A501-Ft!J$2)^2)))</f>
        <v>0</v>
      </c>
      <c r="O501" s="3">
        <f>IF(($A501-Ft!K$2)&lt;0,Ft!K$3*((1-Ft!K$6)/(1+Ft!K$37*($A501-Ft!K$2)^2)+Ft!K$6*EXP(Ft!K$38*($A501-Ft!K$2)^2)),Ft!K$3*((1-Ft!K$7)/(1+Ft!K$39*($A501-Ft!K$2)^2)+Ft!K$7*EXP(Ft!K$40*($A501-Ft!K$2)^2)))</f>
        <v>0</v>
      </c>
      <c r="P501"/>
      <c r="Q501"/>
    </row>
    <row r="502" spans="1:17">
      <c r="A502">
        <v>1000</v>
      </c>
      <c r="B502">
        <v>13.047236983234001</v>
      </c>
      <c r="C502" s="6">
        <f t="shared" si="15"/>
        <v>12.82797572637498</v>
      </c>
      <c r="D502" s="19">
        <f t="shared" si="16"/>
        <v>4.8075498759397428E-2</v>
      </c>
      <c r="E502" s="3">
        <f>Ft!$B$12+Ft!$B$14*(Data!A502-Vars!$B$3)</f>
        <v>0</v>
      </c>
      <c r="F502" s="3">
        <f>IF(($A502-Ft!B$2)&lt;0,Ft!B$3*((1-Ft!B$6)/(1+Ft!B$37*($A502-Ft!B$2)^2)+Ft!B$6*EXP(Ft!B$38*($A502-Ft!B$2)^2)),Ft!B$3*((1-Ft!B$7)/(1+Ft!B$39*($A502-Ft!B$2)^2)+Ft!B$7*EXP(Ft!B$40*($A502-Ft!B$2)^2)))</f>
        <v>0</v>
      </c>
      <c r="G502" s="3">
        <f>IF(($A502-Ft!C$2)&lt;0,Ft!C$3*((1-Ft!C$6)/(1+Ft!C$37*($A502-Ft!C$2)^2)+Ft!C$6*EXP(Ft!C$38*($A502-Ft!C$2)^2)),Ft!C$3*((1-Ft!C$7)/(1+Ft!C$39*($A502-Ft!C$2)^2)+Ft!C$7*EXP(Ft!C$40*($A502-Ft!C$2)^2)))</f>
        <v>6.2873739637249348E-26</v>
      </c>
      <c r="H502" s="3">
        <f>IF(($A502-Ft!D$2)&lt;0,Ft!D$3*((1-Ft!D$6)/(1+Ft!D$37*($A502-Ft!D$2)^2)+Ft!D$6*EXP(Ft!D$38*($A502-Ft!D$2)^2)),Ft!D$3*((1-Ft!D$7)/(1+Ft!D$39*($A502-Ft!D$2)^2)+Ft!D$7*EXP(Ft!D$40*($A502-Ft!D$2)^2)))</f>
        <v>8.898627871013931E-2</v>
      </c>
      <c r="I502" s="3">
        <f>IF(($A502-Ft!E$2)&lt;0,Ft!E$3*((1-Ft!E$6)/(1+Ft!E$37*($A502-Ft!E$2)^2)+Ft!E$6*EXP(Ft!E$38*($A502-Ft!E$2)^2)),Ft!E$3*((1-Ft!E$7)/(1+Ft!E$39*($A502-Ft!E$2)^2)+Ft!E$7*EXP(Ft!E$40*($A502-Ft!E$2)^2)))</f>
        <v>7.0274894679952311</v>
      </c>
      <c r="J502" s="3">
        <f>IF(($A502-Ft!F$2)&lt;0,Ft!F$3*((1-Ft!F$6)/(1+Ft!F$37*($A502-Ft!F$2)^2)+Ft!F$6*EXP(Ft!F$38*($A502-Ft!F$2)^2)),Ft!F$3*((1-Ft!F$7)/(1+Ft!F$39*($A502-Ft!F$2)^2)+Ft!F$7*EXP(Ft!F$40*($A502-Ft!F$2)^2)))</f>
        <v>4.8342994736191907</v>
      </c>
      <c r="K502" s="3">
        <f>IF(($A502-Ft!G$2)&lt;0,Ft!G$3*((1-Ft!G$6)/(1+Ft!G$37*($A502-Ft!G$2)^2)+Ft!G$6*EXP(Ft!G$38*($A502-Ft!G$2)^2)),Ft!G$3*((1-Ft!G$7)/(1+Ft!G$39*($A502-Ft!G$2)^2)+Ft!G$7*EXP(Ft!G$40*($A502-Ft!G$2)^2)))</f>
        <v>0.87720050605041788</v>
      </c>
      <c r="L502" s="3">
        <f>IF(($A502-Ft!H$2)&lt;0,Ft!H$3*((1-Ft!H$6)/(1+Ft!H$37*($A502-Ft!H$2)^2)+Ft!H$6*EXP(Ft!H$38*($A502-Ft!H$2)^2)),Ft!H$3*((1-Ft!H$7)/(1+Ft!H$39*($A502-Ft!H$2)^2)+Ft!H$7*EXP(Ft!H$40*($A502-Ft!H$2)^2)))</f>
        <v>0</v>
      </c>
      <c r="M502" s="3">
        <f>IF(($A502-Ft!I$2)&lt;0,Ft!I$3*((1-Ft!I$6)/(1+Ft!I$37*($A502-Ft!I$2)^2)+Ft!I$6*EXP(Ft!I$38*($A502-Ft!I$2)^2)),Ft!I$3*((1-Ft!I$7)/(1+Ft!I$39*($A502-Ft!I$2)^2)+Ft!I$7*EXP(Ft!I$40*($A502-Ft!I$2)^2)))</f>
        <v>0</v>
      </c>
      <c r="N502" s="3">
        <f>IF(($A502-Ft!J$2)&lt;0,Ft!J$3*((1-Ft!J$6)/(1+Ft!J$37*($A502-Ft!J$2)^2)+Ft!J$6*EXP(Ft!J$38*($A502-Ft!J$2)^2)),Ft!J$3*((1-Ft!J$7)/(1+Ft!J$39*($A502-Ft!J$2)^2)+Ft!J$7*EXP(Ft!J$40*($A502-Ft!J$2)^2)))</f>
        <v>0</v>
      </c>
      <c r="O502" s="3">
        <f>IF(($A502-Ft!K$2)&lt;0,Ft!K$3*((1-Ft!K$6)/(1+Ft!K$37*($A502-Ft!K$2)^2)+Ft!K$6*EXP(Ft!K$38*($A502-Ft!K$2)^2)),Ft!K$3*((1-Ft!K$7)/(1+Ft!K$39*($A502-Ft!K$2)^2)+Ft!K$7*EXP(Ft!K$40*($A502-Ft!K$2)^2)))</f>
        <v>0</v>
      </c>
      <c r="P502"/>
      <c r="Q502"/>
    </row>
    <row r="503" spans="1:17">
      <c r="A503">
        <v>1002</v>
      </c>
      <c r="B503">
        <v>13.124436833196</v>
      </c>
      <c r="C503" s="6">
        <f t="shared" si="15"/>
        <v>12.859779951991634</v>
      </c>
      <c r="D503" s="19">
        <f t="shared" si="16"/>
        <v>7.0043264768822333E-2</v>
      </c>
      <c r="E503" s="3">
        <f>Ft!$B$12+Ft!$B$14*(Data!A503-Vars!$B$3)</f>
        <v>0</v>
      </c>
      <c r="F503" s="3">
        <f>IF(($A503-Ft!B$2)&lt;0,Ft!B$3*((1-Ft!B$6)/(1+Ft!B$37*($A503-Ft!B$2)^2)+Ft!B$6*EXP(Ft!B$38*($A503-Ft!B$2)^2)),Ft!B$3*((1-Ft!B$7)/(1+Ft!B$39*($A503-Ft!B$2)^2)+Ft!B$7*EXP(Ft!B$40*($A503-Ft!B$2)^2)))</f>
        <v>0</v>
      </c>
      <c r="G503" s="3">
        <f>IF(($A503-Ft!C$2)&lt;0,Ft!C$3*((1-Ft!C$6)/(1+Ft!C$37*($A503-Ft!C$2)^2)+Ft!C$6*EXP(Ft!C$38*($A503-Ft!C$2)^2)),Ft!C$3*((1-Ft!C$7)/(1+Ft!C$39*($A503-Ft!C$2)^2)+Ft!C$7*EXP(Ft!C$40*($A503-Ft!C$2)^2)))</f>
        <v>4.7516607678441128E-26</v>
      </c>
      <c r="H503" s="3">
        <f>IF(($A503-Ft!D$2)&lt;0,Ft!D$3*((1-Ft!D$6)/(1+Ft!D$37*($A503-Ft!D$2)^2)+Ft!D$6*EXP(Ft!D$38*($A503-Ft!D$2)^2)),Ft!D$3*((1-Ft!D$7)/(1+Ft!D$39*($A503-Ft!D$2)^2)+Ft!D$7*EXP(Ft!D$40*($A503-Ft!D$2)^2)))</f>
        <v>8.5558246284105341E-2</v>
      </c>
      <c r="I503" s="3">
        <f>IF(($A503-Ft!E$2)&lt;0,Ft!E$3*((1-Ft!E$6)/(1+Ft!E$37*($A503-Ft!E$2)^2)+Ft!E$6*EXP(Ft!E$38*($A503-Ft!E$2)^2)),Ft!E$3*((1-Ft!E$7)/(1+Ft!E$39*($A503-Ft!E$2)^2)+Ft!E$7*EXP(Ft!E$40*($A503-Ft!E$2)^2)))</f>
        <v>6.9023027832682731</v>
      </c>
      <c r="J503" s="3">
        <f>IF(($A503-Ft!F$2)&lt;0,Ft!F$3*((1-Ft!F$6)/(1+Ft!F$37*($A503-Ft!F$2)^2)+Ft!F$6*EXP(Ft!F$38*($A503-Ft!F$2)^2)),Ft!F$3*((1-Ft!F$7)/(1+Ft!F$39*($A503-Ft!F$2)^2)+Ft!F$7*EXP(Ft!F$40*($A503-Ft!F$2)^2)))</f>
        <v>4.8334939326024005</v>
      </c>
      <c r="K503" s="3">
        <f>IF(($A503-Ft!G$2)&lt;0,Ft!G$3*((1-Ft!G$6)/(1+Ft!G$37*($A503-Ft!G$2)^2)+Ft!G$6*EXP(Ft!G$38*($A503-Ft!G$2)^2)),Ft!G$3*((1-Ft!G$7)/(1+Ft!G$39*($A503-Ft!G$2)^2)+Ft!G$7*EXP(Ft!G$40*($A503-Ft!G$2)^2)))</f>
        <v>1.0384249898368552</v>
      </c>
      <c r="L503" s="3">
        <f>IF(($A503-Ft!H$2)&lt;0,Ft!H$3*((1-Ft!H$6)/(1+Ft!H$37*($A503-Ft!H$2)^2)+Ft!H$6*EXP(Ft!H$38*($A503-Ft!H$2)^2)),Ft!H$3*((1-Ft!H$7)/(1+Ft!H$39*($A503-Ft!H$2)^2)+Ft!H$7*EXP(Ft!H$40*($A503-Ft!H$2)^2)))</f>
        <v>0</v>
      </c>
      <c r="M503" s="3">
        <f>IF(($A503-Ft!I$2)&lt;0,Ft!I$3*((1-Ft!I$6)/(1+Ft!I$37*($A503-Ft!I$2)^2)+Ft!I$6*EXP(Ft!I$38*($A503-Ft!I$2)^2)),Ft!I$3*((1-Ft!I$7)/(1+Ft!I$39*($A503-Ft!I$2)^2)+Ft!I$7*EXP(Ft!I$40*($A503-Ft!I$2)^2)))</f>
        <v>0</v>
      </c>
      <c r="N503" s="3">
        <f>IF(($A503-Ft!J$2)&lt;0,Ft!J$3*((1-Ft!J$6)/(1+Ft!J$37*($A503-Ft!J$2)^2)+Ft!J$6*EXP(Ft!J$38*($A503-Ft!J$2)^2)),Ft!J$3*((1-Ft!J$7)/(1+Ft!J$39*($A503-Ft!J$2)^2)+Ft!J$7*EXP(Ft!J$40*($A503-Ft!J$2)^2)))</f>
        <v>0</v>
      </c>
      <c r="O503" s="3">
        <f>IF(($A503-Ft!K$2)&lt;0,Ft!K$3*((1-Ft!K$6)/(1+Ft!K$37*($A503-Ft!K$2)^2)+Ft!K$6*EXP(Ft!K$38*($A503-Ft!K$2)^2)),Ft!K$3*((1-Ft!K$7)/(1+Ft!K$39*($A503-Ft!K$2)^2)+Ft!K$7*EXP(Ft!K$40*($A503-Ft!K$2)^2)))</f>
        <v>0</v>
      </c>
      <c r="P503"/>
      <c r="Q503"/>
    </row>
    <row r="504" spans="1:17">
      <c r="A504">
        <v>1004</v>
      </c>
      <c r="B504">
        <v>13.205077776015997</v>
      </c>
      <c r="C504" s="6">
        <f t="shared" si="15"/>
        <v>12.902497715223124</v>
      </c>
      <c r="D504" s="19">
        <f t="shared" si="16"/>
        <v>9.155469318941914E-2</v>
      </c>
      <c r="E504" s="3">
        <f>Ft!$B$12+Ft!$B$14*(Data!A504-Vars!$B$3)</f>
        <v>0</v>
      </c>
      <c r="F504" s="3">
        <f>IF(($A504-Ft!B$2)&lt;0,Ft!B$3*((1-Ft!B$6)/(1+Ft!B$37*($A504-Ft!B$2)^2)+Ft!B$6*EXP(Ft!B$38*($A504-Ft!B$2)^2)),Ft!B$3*((1-Ft!B$7)/(1+Ft!B$39*($A504-Ft!B$2)^2)+Ft!B$7*EXP(Ft!B$40*($A504-Ft!B$2)^2)))</f>
        <v>0</v>
      </c>
      <c r="G504" s="3">
        <f>IF(($A504-Ft!C$2)&lt;0,Ft!C$3*((1-Ft!C$6)/(1+Ft!C$37*($A504-Ft!C$2)^2)+Ft!C$6*EXP(Ft!C$38*($A504-Ft!C$2)^2)),Ft!C$3*((1-Ft!C$7)/(1+Ft!C$39*($A504-Ft!C$2)^2)+Ft!C$7*EXP(Ft!C$40*($A504-Ft!C$2)^2)))</f>
        <v>3.5887193427122711E-26</v>
      </c>
      <c r="H504" s="3">
        <f>IF(($A504-Ft!D$2)&lt;0,Ft!D$3*((1-Ft!D$6)/(1+Ft!D$37*($A504-Ft!D$2)^2)+Ft!D$6*EXP(Ft!D$38*($A504-Ft!D$2)^2)),Ft!D$3*((1-Ft!D$7)/(1+Ft!D$39*($A504-Ft!D$2)^2)+Ft!D$7*EXP(Ft!D$40*($A504-Ft!D$2)^2)))</f>
        <v>8.2250447119692913E-2</v>
      </c>
      <c r="I504" s="3">
        <f>IF(($A504-Ft!E$2)&lt;0,Ft!E$3*((1-Ft!E$6)/(1+Ft!E$37*($A504-Ft!E$2)^2)+Ft!E$6*EXP(Ft!E$38*($A504-Ft!E$2)^2)),Ft!E$3*((1-Ft!E$7)/(1+Ft!E$39*($A504-Ft!E$2)^2)+Ft!E$7*EXP(Ft!E$40*($A504-Ft!E$2)^2)))</f>
        <v>6.7779812174063387</v>
      </c>
      <c r="J504" s="3">
        <f>IF(($A504-Ft!F$2)&lt;0,Ft!F$3*((1-Ft!F$6)/(1+Ft!F$37*($A504-Ft!F$2)^2)+Ft!F$6*EXP(Ft!F$38*($A504-Ft!F$2)^2)),Ft!F$3*((1-Ft!F$7)/(1+Ft!F$39*($A504-Ft!F$2)^2)+Ft!F$7*EXP(Ft!F$40*($A504-Ft!F$2)^2)))</f>
        <v>4.8222983841910256</v>
      </c>
      <c r="K504" s="3">
        <f>IF(($A504-Ft!G$2)&lt;0,Ft!G$3*((1-Ft!G$6)/(1+Ft!G$37*($A504-Ft!G$2)^2)+Ft!G$6*EXP(Ft!G$38*($A504-Ft!G$2)^2)),Ft!G$3*((1-Ft!G$7)/(1+Ft!G$39*($A504-Ft!G$2)^2)+Ft!G$7*EXP(Ft!G$40*($A504-Ft!G$2)^2)))</f>
        <v>1.2199676665060666</v>
      </c>
      <c r="L504" s="3">
        <f>IF(($A504-Ft!H$2)&lt;0,Ft!H$3*((1-Ft!H$6)/(1+Ft!H$37*($A504-Ft!H$2)^2)+Ft!H$6*EXP(Ft!H$38*($A504-Ft!H$2)^2)),Ft!H$3*((1-Ft!H$7)/(1+Ft!H$39*($A504-Ft!H$2)^2)+Ft!H$7*EXP(Ft!H$40*($A504-Ft!H$2)^2)))</f>
        <v>0</v>
      </c>
      <c r="M504" s="3">
        <f>IF(($A504-Ft!I$2)&lt;0,Ft!I$3*((1-Ft!I$6)/(1+Ft!I$37*($A504-Ft!I$2)^2)+Ft!I$6*EXP(Ft!I$38*($A504-Ft!I$2)^2)),Ft!I$3*((1-Ft!I$7)/(1+Ft!I$39*($A504-Ft!I$2)^2)+Ft!I$7*EXP(Ft!I$40*($A504-Ft!I$2)^2)))</f>
        <v>0</v>
      </c>
      <c r="N504" s="3">
        <f>IF(($A504-Ft!J$2)&lt;0,Ft!J$3*((1-Ft!J$6)/(1+Ft!J$37*($A504-Ft!J$2)^2)+Ft!J$6*EXP(Ft!J$38*($A504-Ft!J$2)^2)),Ft!J$3*((1-Ft!J$7)/(1+Ft!J$39*($A504-Ft!J$2)^2)+Ft!J$7*EXP(Ft!J$40*($A504-Ft!J$2)^2)))</f>
        <v>0</v>
      </c>
      <c r="O504" s="3">
        <f>IF(($A504-Ft!K$2)&lt;0,Ft!K$3*((1-Ft!K$6)/(1+Ft!K$37*($A504-Ft!K$2)^2)+Ft!K$6*EXP(Ft!K$38*($A504-Ft!K$2)^2)),Ft!K$3*((1-Ft!K$7)/(1+Ft!K$39*($A504-Ft!K$2)^2)+Ft!K$7*EXP(Ft!K$40*($A504-Ft!K$2)^2)))</f>
        <v>0</v>
      </c>
      <c r="P504"/>
      <c r="Q504"/>
    </row>
    <row r="505" spans="1:17">
      <c r="A505">
        <v>1006</v>
      </c>
      <c r="B505">
        <v>13.284000727573996</v>
      </c>
      <c r="C505" s="6">
        <f t="shared" si="15"/>
        <v>12.956792129827988</v>
      </c>
      <c r="D505" s="19">
        <f t="shared" si="16"/>
        <v>0.10706546643890885</v>
      </c>
      <c r="E505" s="3">
        <f>Ft!$B$12+Ft!$B$14*(Data!A505-Vars!$B$3)</f>
        <v>0</v>
      </c>
      <c r="F505" s="3">
        <f>IF(($A505-Ft!B$2)&lt;0,Ft!B$3*((1-Ft!B$6)/(1+Ft!B$37*($A505-Ft!B$2)^2)+Ft!B$6*EXP(Ft!B$38*($A505-Ft!B$2)^2)),Ft!B$3*((1-Ft!B$7)/(1+Ft!B$39*($A505-Ft!B$2)^2)+Ft!B$7*EXP(Ft!B$40*($A505-Ft!B$2)^2)))</f>
        <v>0</v>
      </c>
      <c r="G505" s="3">
        <f>IF(($A505-Ft!C$2)&lt;0,Ft!C$3*((1-Ft!C$6)/(1+Ft!C$37*($A505-Ft!C$2)^2)+Ft!C$6*EXP(Ft!C$38*($A505-Ft!C$2)^2)),Ft!C$3*((1-Ft!C$7)/(1+Ft!C$39*($A505-Ft!C$2)^2)+Ft!C$7*EXP(Ft!C$40*($A505-Ft!C$2)^2)))</f>
        <v>2.7086412957828642E-26</v>
      </c>
      <c r="H505" s="3">
        <f>IF(($A505-Ft!D$2)&lt;0,Ft!D$3*((1-Ft!D$6)/(1+Ft!D$37*($A505-Ft!D$2)^2)+Ft!D$6*EXP(Ft!D$38*($A505-Ft!D$2)^2)),Ft!D$3*((1-Ft!D$7)/(1+Ft!D$39*($A505-Ft!D$2)^2)+Ft!D$7*EXP(Ft!D$40*($A505-Ft!D$2)^2)))</f>
        <v>7.9059165456383959E-2</v>
      </c>
      <c r="I505" s="3">
        <f>IF(($A505-Ft!E$2)&lt;0,Ft!E$3*((1-Ft!E$6)/(1+Ft!E$37*($A505-Ft!E$2)^2)+Ft!E$6*EXP(Ft!E$38*($A505-Ft!E$2)^2)),Ft!E$3*((1-Ft!E$7)/(1+Ft!E$39*($A505-Ft!E$2)^2)+Ft!E$7*EXP(Ft!E$40*($A505-Ft!E$2)^2)))</f>
        <v>6.6545587986496431</v>
      </c>
      <c r="J505" s="3">
        <f>IF(($A505-Ft!F$2)&lt;0,Ft!F$3*((1-Ft!F$6)/(1+Ft!F$37*($A505-Ft!F$2)^2)+Ft!F$6*EXP(Ft!F$38*($A505-Ft!F$2)^2)),Ft!F$3*((1-Ft!F$7)/(1+Ft!F$39*($A505-Ft!F$2)^2)+Ft!F$7*EXP(Ft!F$40*($A505-Ft!F$2)^2)))</f>
        <v>4.8007849786343675</v>
      </c>
      <c r="K505" s="3">
        <f>IF(($A505-Ft!G$2)&lt;0,Ft!G$3*((1-Ft!G$6)/(1+Ft!G$37*($A505-Ft!G$2)^2)+Ft!G$6*EXP(Ft!G$38*($A505-Ft!G$2)^2)),Ft!G$3*((1-Ft!G$7)/(1+Ft!G$39*($A505-Ft!G$2)^2)+Ft!G$7*EXP(Ft!G$40*($A505-Ft!G$2)^2)))</f>
        <v>1.4223891870875947</v>
      </c>
      <c r="L505" s="3">
        <f>IF(($A505-Ft!H$2)&lt;0,Ft!H$3*((1-Ft!H$6)/(1+Ft!H$37*($A505-Ft!H$2)^2)+Ft!H$6*EXP(Ft!H$38*($A505-Ft!H$2)^2)),Ft!H$3*((1-Ft!H$7)/(1+Ft!H$39*($A505-Ft!H$2)^2)+Ft!H$7*EXP(Ft!H$40*($A505-Ft!H$2)^2)))</f>
        <v>0</v>
      </c>
      <c r="M505" s="3">
        <f>IF(($A505-Ft!I$2)&lt;0,Ft!I$3*((1-Ft!I$6)/(1+Ft!I$37*($A505-Ft!I$2)^2)+Ft!I$6*EXP(Ft!I$38*($A505-Ft!I$2)^2)),Ft!I$3*((1-Ft!I$7)/(1+Ft!I$39*($A505-Ft!I$2)^2)+Ft!I$7*EXP(Ft!I$40*($A505-Ft!I$2)^2)))</f>
        <v>0</v>
      </c>
      <c r="N505" s="3">
        <f>IF(($A505-Ft!J$2)&lt;0,Ft!J$3*((1-Ft!J$6)/(1+Ft!J$37*($A505-Ft!J$2)^2)+Ft!J$6*EXP(Ft!J$38*($A505-Ft!J$2)^2)),Ft!J$3*((1-Ft!J$7)/(1+Ft!J$39*($A505-Ft!J$2)^2)+Ft!J$7*EXP(Ft!J$40*($A505-Ft!J$2)^2)))</f>
        <v>0</v>
      </c>
      <c r="O505" s="3">
        <f>IF(($A505-Ft!K$2)&lt;0,Ft!K$3*((1-Ft!K$6)/(1+Ft!K$37*($A505-Ft!K$2)^2)+Ft!K$6*EXP(Ft!K$38*($A505-Ft!K$2)^2)),Ft!K$3*((1-Ft!K$7)/(1+Ft!K$39*($A505-Ft!K$2)^2)+Ft!K$7*EXP(Ft!K$40*($A505-Ft!K$2)^2)))</f>
        <v>0</v>
      </c>
      <c r="P505"/>
      <c r="Q505"/>
    </row>
    <row r="506" spans="1:17">
      <c r="A506">
        <v>1008</v>
      </c>
      <c r="B506">
        <v>13.356046603747998</v>
      </c>
      <c r="C506" s="6">
        <f t="shared" si="15"/>
        <v>13.022973204321147</v>
      </c>
      <c r="D506" s="19">
        <f t="shared" si="16"/>
        <v>0.11093788940575884</v>
      </c>
      <c r="E506" s="3">
        <f>Ft!$B$12+Ft!$B$14*(Data!A506-Vars!$B$3)</f>
        <v>0</v>
      </c>
      <c r="F506" s="3">
        <f>IF(($A506-Ft!B$2)&lt;0,Ft!B$3*((1-Ft!B$6)/(1+Ft!B$37*($A506-Ft!B$2)^2)+Ft!B$6*EXP(Ft!B$38*($A506-Ft!B$2)^2)),Ft!B$3*((1-Ft!B$7)/(1+Ft!B$39*($A506-Ft!B$2)^2)+Ft!B$7*EXP(Ft!B$40*($A506-Ft!B$2)^2)))</f>
        <v>0</v>
      </c>
      <c r="G506" s="3">
        <f>IF(($A506-Ft!C$2)&lt;0,Ft!C$3*((1-Ft!C$6)/(1+Ft!C$37*($A506-Ft!C$2)^2)+Ft!C$6*EXP(Ft!C$38*($A506-Ft!C$2)^2)),Ft!C$3*((1-Ft!C$7)/(1+Ft!C$39*($A506-Ft!C$2)^2)+Ft!C$7*EXP(Ft!C$40*($A506-Ft!C$2)^2)))</f>
        <v>2.0430614419047445E-26</v>
      </c>
      <c r="H506" s="3">
        <f>IF(($A506-Ft!D$2)&lt;0,Ft!D$3*((1-Ft!D$6)/(1+Ft!D$37*($A506-Ft!D$2)^2)+Ft!D$6*EXP(Ft!D$38*($A506-Ft!D$2)^2)),Ft!D$3*((1-Ft!D$7)/(1+Ft!D$39*($A506-Ft!D$2)^2)+Ft!D$7*EXP(Ft!D$40*($A506-Ft!D$2)^2)))</f>
        <v>7.5980780172895945E-2</v>
      </c>
      <c r="I506" s="3">
        <f>IF(($A506-Ft!E$2)&lt;0,Ft!E$3*((1-Ft!E$6)/(1+Ft!E$37*($A506-Ft!E$2)^2)+Ft!E$6*EXP(Ft!E$38*($A506-Ft!E$2)^2)),Ft!E$3*((1-Ft!E$7)/(1+Ft!E$39*($A506-Ft!E$2)^2)+Ft!E$7*EXP(Ft!E$40*($A506-Ft!E$2)^2)))</f>
        <v>6.5320684008464962</v>
      </c>
      <c r="J506" s="3">
        <f>IF(($A506-Ft!F$2)&lt;0,Ft!F$3*((1-Ft!F$6)/(1+Ft!F$37*($A506-Ft!F$2)^2)+Ft!F$6*EXP(Ft!F$38*($A506-Ft!F$2)^2)),Ft!F$3*((1-Ft!F$7)/(1+Ft!F$39*($A506-Ft!F$2)^2)+Ft!F$7*EXP(Ft!F$40*($A506-Ft!F$2)^2)))</f>
        <v>4.7690920463787165</v>
      </c>
      <c r="K506" s="3">
        <f>IF(($A506-Ft!G$2)&lt;0,Ft!G$3*((1-Ft!G$6)/(1+Ft!G$37*($A506-Ft!G$2)^2)+Ft!G$6*EXP(Ft!G$38*($A506-Ft!G$2)^2)),Ft!G$3*((1-Ft!G$7)/(1+Ft!G$39*($A506-Ft!G$2)^2)+Ft!G$7*EXP(Ft!G$40*($A506-Ft!G$2)^2)))</f>
        <v>1.6458319769230383</v>
      </c>
      <c r="L506" s="3">
        <f>IF(($A506-Ft!H$2)&lt;0,Ft!H$3*((1-Ft!H$6)/(1+Ft!H$37*($A506-Ft!H$2)^2)+Ft!H$6*EXP(Ft!H$38*($A506-Ft!H$2)^2)),Ft!H$3*((1-Ft!H$7)/(1+Ft!H$39*($A506-Ft!H$2)^2)+Ft!H$7*EXP(Ft!H$40*($A506-Ft!H$2)^2)))</f>
        <v>0</v>
      </c>
      <c r="M506" s="3">
        <f>IF(($A506-Ft!I$2)&lt;0,Ft!I$3*((1-Ft!I$6)/(1+Ft!I$37*($A506-Ft!I$2)^2)+Ft!I$6*EXP(Ft!I$38*($A506-Ft!I$2)^2)),Ft!I$3*((1-Ft!I$7)/(1+Ft!I$39*($A506-Ft!I$2)^2)+Ft!I$7*EXP(Ft!I$40*($A506-Ft!I$2)^2)))</f>
        <v>0</v>
      </c>
      <c r="N506" s="3">
        <f>IF(($A506-Ft!J$2)&lt;0,Ft!J$3*((1-Ft!J$6)/(1+Ft!J$37*($A506-Ft!J$2)^2)+Ft!J$6*EXP(Ft!J$38*($A506-Ft!J$2)^2)),Ft!J$3*((1-Ft!J$7)/(1+Ft!J$39*($A506-Ft!J$2)^2)+Ft!J$7*EXP(Ft!J$40*($A506-Ft!J$2)^2)))</f>
        <v>0</v>
      </c>
      <c r="O506" s="3">
        <f>IF(($A506-Ft!K$2)&lt;0,Ft!K$3*((1-Ft!K$6)/(1+Ft!K$37*($A506-Ft!K$2)^2)+Ft!K$6*EXP(Ft!K$38*($A506-Ft!K$2)^2)),Ft!K$3*((1-Ft!K$7)/(1+Ft!K$39*($A506-Ft!K$2)^2)+Ft!K$7*EXP(Ft!K$40*($A506-Ft!K$2)^2)))</f>
        <v>0</v>
      </c>
      <c r="P506"/>
      <c r="Q506"/>
    </row>
    <row r="507" spans="1:17">
      <c r="A507">
        <v>1010</v>
      </c>
      <c r="B507">
        <v>13.416056320419997</v>
      </c>
      <c r="C507" s="6">
        <f t="shared" si="15"/>
        <v>13.100922494041031</v>
      </c>
      <c r="D507" s="19">
        <f t="shared" si="16"/>
        <v>9.9309328528248586E-2</v>
      </c>
      <c r="E507" s="3">
        <f>Ft!$B$12+Ft!$B$14*(Data!A507-Vars!$B$3)</f>
        <v>0</v>
      </c>
      <c r="F507" s="3">
        <f>IF(($A507-Ft!B$2)&lt;0,Ft!B$3*((1-Ft!B$6)/(1+Ft!B$37*($A507-Ft!B$2)^2)+Ft!B$6*EXP(Ft!B$38*($A507-Ft!B$2)^2)),Ft!B$3*((1-Ft!B$7)/(1+Ft!B$39*($A507-Ft!B$2)^2)+Ft!B$7*EXP(Ft!B$40*($A507-Ft!B$2)^2)))</f>
        <v>0</v>
      </c>
      <c r="G507" s="3">
        <f>IF(($A507-Ft!C$2)&lt;0,Ft!C$3*((1-Ft!C$6)/(1+Ft!C$37*($A507-Ft!C$2)^2)+Ft!C$6*EXP(Ft!C$38*($A507-Ft!C$2)^2)),Ft!C$3*((1-Ft!C$7)/(1+Ft!C$39*($A507-Ft!C$2)^2)+Ft!C$7*EXP(Ft!C$40*($A507-Ft!C$2)^2)))</f>
        <v>1.5400303932887E-26</v>
      </c>
      <c r="H507" s="3">
        <f>IF(($A507-Ft!D$2)&lt;0,Ft!D$3*((1-Ft!D$6)/(1+Ft!D$37*($A507-Ft!D$2)^2)+Ft!D$6*EXP(Ft!D$38*($A507-Ft!D$2)^2)),Ft!D$3*((1-Ft!D$7)/(1+Ft!D$39*($A507-Ft!D$2)^2)+Ft!D$7*EXP(Ft!D$40*($A507-Ft!D$2)^2)))</f>
        <v>7.3011763156836801E-2</v>
      </c>
      <c r="I507" s="3">
        <f>IF(($A507-Ft!E$2)&lt;0,Ft!E$3*((1-Ft!E$6)/(1+Ft!E$37*($A507-Ft!E$2)^2)+Ft!E$6*EXP(Ft!E$38*($A507-Ft!E$2)^2)),Ft!E$3*((1-Ft!E$7)/(1+Ft!E$39*($A507-Ft!E$2)^2)+Ft!E$7*EXP(Ft!E$40*($A507-Ft!E$2)^2)))</f>
        <v>6.4105417382407017</v>
      </c>
      <c r="J507" s="3">
        <f>IF(($A507-Ft!F$2)&lt;0,Ft!F$3*((1-Ft!F$6)/(1+Ft!F$37*($A507-Ft!F$2)^2)+Ft!F$6*EXP(Ft!F$38*($A507-Ft!F$2)^2)),Ft!F$3*((1-Ft!F$7)/(1+Ft!F$39*($A507-Ft!F$2)^2)+Ft!F$7*EXP(Ft!F$40*($A507-Ft!F$2)^2)))</f>
        <v>4.7274226166989228</v>
      </c>
      <c r="K507" s="3">
        <f>IF(($A507-Ft!G$2)&lt;0,Ft!G$3*((1-Ft!G$6)/(1+Ft!G$37*($A507-Ft!G$2)^2)+Ft!G$6*EXP(Ft!G$38*($A507-Ft!G$2)^2)),Ft!G$3*((1-Ft!G$7)/(1+Ft!G$39*($A507-Ft!G$2)^2)+Ft!G$7*EXP(Ft!G$40*($A507-Ft!G$2)^2)))</f>
        <v>1.8899463759445703</v>
      </c>
      <c r="L507" s="3">
        <f>IF(($A507-Ft!H$2)&lt;0,Ft!H$3*((1-Ft!H$6)/(1+Ft!H$37*($A507-Ft!H$2)^2)+Ft!H$6*EXP(Ft!H$38*($A507-Ft!H$2)^2)),Ft!H$3*((1-Ft!H$7)/(1+Ft!H$39*($A507-Ft!H$2)^2)+Ft!H$7*EXP(Ft!H$40*($A507-Ft!H$2)^2)))</f>
        <v>0</v>
      </c>
      <c r="M507" s="3">
        <f>IF(($A507-Ft!I$2)&lt;0,Ft!I$3*((1-Ft!I$6)/(1+Ft!I$37*($A507-Ft!I$2)^2)+Ft!I$6*EXP(Ft!I$38*($A507-Ft!I$2)^2)),Ft!I$3*((1-Ft!I$7)/(1+Ft!I$39*($A507-Ft!I$2)^2)+Ft!I$7*EXP(Ft!I$40*($A507-Ft!I$2)^2)))</f>
        <v>0</v>
      </c>
      <c r="N507" s="3">
        <f>IF(($A507-Ft!J$2)&lt;0,Ft!J$3*((1-Ft!J$6)/(1+Ft!J$37*($A507-Ft!J$2)^2)+Ft!J$6*EXP(Ft!J$38*($A507-Ft!J$2)^2)),Ft!J$3*((1-Ft!J$7)/(1+Ft!J$39*($A507-Ft!J$2)^2)+Ft!J$7*EXP(Ft!J$40*($A507-Ft!J$2)^2)))</f>
        <v>0</v>
      </c>
      <c r="O507" s="3">
        <f>IF(($A507-Ft!K$2)&lt;0,Ft!K$3*((1-Ft!K$6)/(1+Ft!K$37*($A507-Ft!K$2)^2)+Ft!K$6*EXP(Ft!K$38*($A507-Ft!K$2)^2)),Ft!K$3*((1-Ft!K$7)/(1+Ft!K$39*($A507-Ft!K$2)^2)+Ft!K$7*EXP(Ft!K$40*($A507-Ft!K$2)^2)))</f>
        <v>0</v>
      </c>
      <c r="P507"/>
      <c r="Q507"/>
    </row>
    <row r="508" spans="1:17">
      <c r="A508">
        <v>1012</v>
      </c>
      <c r="B508">
        <v>13.458870793467995</v>
      </c>
      <c r="C508" s="6">
        <f t="shared" si="15"/>
        <v>13.190025223671292</v>
      </c>
      <c r="D508" s="19">
        <f t="shared" si="16"/>
        <v>7.2277940399313872E-2</v>
      </c>
      <c r="E508" s="3">
        <f>Ft!$B$12+Ft!$B$14*(Data!A508-Vars!$B$3)</f>
        <v>0</v>
      </c>
      <c r="F508" s="3">
        <f>IF(($A508-Ft!B$2)&lt;0,Ft!B$3*((1-Ft!B$6)/(1+Ft!B$37*($A508-Ft!B$2)^2)+Ft!B$6*EXP(Ft!B$38*($A508-Ft!B$2)^2)),Ft!B$3*((1-Ft!B$7)/(1+Ft!B$39*($A508-Ft!B$2)^2)+Ft!B$7*EXP(Ft!B$40*($A508-Ft!B$2)^2)))</f>
        <v>0</v>
      </c>
      <c r="G508" s="3">
        <f>IF(($A508-Ft!C$2)&lt;0,Ft!C$3*((1-Ft!C$6)/(1+Ft!C$37*($A508-Ft!C$2)^2)+Ft!C$6*EXP(Ft!C$38*($A508-Ft!C$2)^2)),Ft!C$3*((1-Ft!C$7)/(1+Ft!C$39*($A508-Ft!C$2)^2)+Ft!C$7*EXP(Ft!C$40*($A508-Ft!C$2)^2)))</f>
        <v>1.1600990964944743E-26</v>
      </c>
      <c r="H508" s="3">
        <f>IF(($A508-Ft!D$2)&lt;0,Ft!D$3*((1-Ft!D$6)/(1+Ft!D$37*($A508-Ft!D$2)^2)+Ft!D$6*EXP(Ft!D$38*($A508-Ft!D$2)^2)),Ft!D$3*((1-Ft!D$7)/(1+Ft!D$39*($A508-Ft!D$2)^2)+Ft!D$7*EXP(Ft!D$40*($A508-Ft!D$2)^2)))</f>
        <v>7.0148677672184565E-2</v>
      </c>
      <c r="I508" s="3">
        <f>IF(($A508-Ft!E$2)&lt;0,Ft!E$3*((1-Ft!E$6)/(1+Ft!E$37*($A508-Ft!E$2)^2)+Ft!E$6*EXP(Ft!E$38*($A508-Ft!E$2)^2)),Ft!E$3*((1-Ft!E$7)/(1+Ft!E$39*($A508-Ft!E$2)^2)+Ft!E$7*EXP(Ft!E$40*($A508-Ft!E$2)^2)))</f>
        <v>6.2900093615109052</v>
      </c>
      <c r="J508" s="3">
        <f>IF(($A508-Ft!F$2)&lt;0,Ft!F$3*((1-Ft!F$6)/(1+Ft!F$37*($A508-Ft!F$2)^2)+Ft!F$6*EXP(Ft!F$38*($A508-Ft!F$2)^2)),Ft!F$3*((1-Ft!F$7)/(1+Ft!F$39*($A508-Ft!F$2)^2)+Ft!F$7*EXP(Ft!F$40*($A508-Ft!F$2)^2)))</f>
        <v>4.6760422515594273</v>
      </c>
      <c r="K508" s="3">
        <f>IF(($A508-Ft!G$2)&lt;0,Ft!G$3*((1-Ft!G$6)/(1+Ft!G$37*($A508-Ft!G$2)^2)+Ft!G$6*EXP(Ft!G$38*($A508-Ft!G$2)^2)),Ft!G$3*((1-Ft!G$7)/(1+Ft!G$39*($A508-Ft!G$2)^2)+Ft!G$7*EXP(Ft!G$40*($A508-Ft!G$2)^2)))</f>
        <v>2.1538249329287749</v>
      </c>
      <c r="L508" s="3">
        <f>IF(($A508-Ft!H$2)&lt;0,Ft!H$3*((1-Ft!H$6)/(1+Ft!H$37*($A508-Ft!H$2)^2)+Ft!H$6*EXP(Ft!H$38*($A508-Ft!H$2)^2)),Ft!H$3*((1-Ft!H$7)/(1+Ft!H$39*($A508-Ft!H$2)^2)+Ft!H$7*EXP(Ft!H$40*($A508-Ft!H$2)^2)))</f>
        <v>0</v>
      </c>
      <c r="M508" s="3">
        <f>IF(($A508-Ft!I$2)&lt;0,Ft!I$3*((1-Ft!I$6)/(1+Ft!I$37*($A508-Ft!I$2)^2)+Ft!I$6*EXP(Ft!I$38*($A508-Ft!I$2)^2)),Ft!I$3*((1-Ft!I$7)/(1+Ft!I$39*($A508-Ft!I$2)^2)+Ft!I$7*EXP(Ft!I$40*($A508-Ft!I$2)^2)))</f>
        <v>0</v>
      </c>
      <c r="N508" s="3">
        <f>IF(($A508-Ft!J$2)&lt;0,Ft!J$3*((1-Ft!J$6)/(1+Ft!J$37*($A508-Ft!J$2)^2)+Ft!J$6*EXP(Ft!J$38*($A508-Ft!J$2)^2)),Ft!J$3*((1-Ft!J$7)/(1+Ft!J$39*($A508-Ft!J$2)^2)+Ft!J$7*EXP(Ft!J$40*($A508-Ft!J$2)^2)))</f>
        <v>0</v>
      </c>
      <c r="O508" s="3">
        <f>IF(($A508-Ft!K$2)&lt;0,Ft!K$3*((1-Ft!K$6)/(1+Ft!K$37*($A508-Ft!K$2)^2)+Ft!K$6*EXP(Ft!K$38*($A508-Ft!K$2)^2)),Ft!K$3*((1-Ft!K$7)/(1+Ft!K$39*($A508-Ft!K$2)^2)+Ft!K$7*EXP(Ft!K$40*($A508-Ft!K$2)^2)))</f>
        <v>0</v>
      </c>
      <c r="P508"/>
      <c r="Q508"/>
    </row>
    <row r="509" spans="1:17">
      <c r="A509">
        <v>1014</v>
      </c>
      <c r="B509">
        <v>13.503163796118002</v>
      </c>
      <c r="C509" s="6">
        <f t="shared" si="15"/>
        <v>13.289114389054966</v>
      </c>
      <c r="D509" s="19">
        <f t="shared" si="16"/>
        <v>4.5817148664037612E-2</v>
      </c>
      <c r="E509" s="3">
        <f>Ft!$B$12+Ft!$B$14*(Data!A509-Vars!$B$3)</f>
        <v>0</v>
      </c>
      <c r="F509" s="3">
        <f>IF(($A509-Ft!B$2)&lt;0,Ft!B$3*((1-Ft!B$6)/(1+Ft!B$37*($A509-Ft!B$2)^2)+Ft!B$6*EXP(Ft!B$38*($A509-Ft!B$2)^2)),Ft!B$3*((1-Ft!B$7)/(1+Ft!B$39*($A509-Ft!B$2)^2)+Ft!B$7*EXP(Ft!B$40*($A509-Ft!B$2)^2)))</f>
        <v>0</v>
      </c>
      <c r="G509" s="3">
        <f>IF(($A509-Ft!C$2)&lt;0,Ft!C$3*((1-Ft!C$6)/(1+Ft!C$37*($A509-Ft!C$2)^2)+Ft!C$6*EXP(Ft!C$38*($A509-Ft!C$2)^2)),Ft!C$3*((1-Ft!C$7)/(1+Ft!C$39*($A509-Ft!C$2)^2)+Ft!C$7*EXP(Ft!C$40*($A509-Ft!C$2)^2)))</f>
        <v>8.7333088161102495E-27</v>
      </c>
      <c r="H509" s="3">
        <f>IF(($A509-Ft!D$2)&lt;0,Ft!D$3*((1-Ft!D$6)/(1+Ft!D$37*($A509-Ft!D$2)^2)+Ft!D$6*EXP(Ft!D$38*($A509-Ft!D$2)^2)),Ft!D$3*((1-Ft!D$7)/(1+Ft!D$39*($A509-Ft!D$2)^2)+Ft!D$7*EXP(Ft!D$40*($A509-Ft!D$2)^2)))</f>
        <v>6.7388176726059526E-2</v>
      </c>
      <c r="I509" s="3">
        <f>IF(($A509-Ft!E$2)&lt;0,Ft!E$3*((1-Ft!E$6)/(1+Ft!E$37*($A509-Ft!E$2)^2)+Ft!E$6*EXP(Ft!E$38*($A509-Ft!E$2)^2)),Ft!E$3*((1-Ft!E$7)/(1+Ft!E$39*($A509-Ft!E$2)^2)+Ft!E$7*EXP(Ft!E$40*($A509-Ft!E$2)^2)))</f>
        <v>6.1705006550436208</v>
      </c>
      <c r="J509" s="3">
        <f>IF(($A509-Ft!F$2)&lt;0,Ft!F$3*((1-Ft!F$6)/(1+Ft!F$37*($A509-Ft!F$2)^2)+Ft!F$6*EXP(Ft!F$38*($A509-Ft!F$2)^2)),Ft!F$3*((1-Ft!F$7)/(1+Ft!F$39*($A509-Ft!F$2)^2)+Ft!F$7*EXP(Ft!F$40*($A509-Ft!F$2)^2)))</f>
        <v>4.6152762270361629</v>
      </c>
      <c r="K509" s="3">
        <f>IF(($A509-Ft!G$2)&lt;0,Ft!G$3*((1-Ft!G$6)/(1+Ft!G$37*($A509-Ft!G$2)^2)+Ft!G$6*EXP(Ft!G$38*($A509-Ft!G$2)^2)),Ft!G$3*((1-Ft!G$7)/(1+Ft!G$39*($A509-Ft!G$2)^2)+Ft!G$7*EXP(Ft!G$40*($A509-Ft!G$2)^2)))</f>
        <v>2.4359493302491235</v>
      </c>
      <c r="L509" s="3">
        <f>IF(($A509-Ft!H$2)&lt;0,Ft!H$3*((1-Ft!H$6)/(1+Ft!H$37*($A509-Ft!H$2)^2)+Ft!H$6*EXP(Ft!H$38*($A509-Ft!H$2)^2)),Ft!H$3*((1-Ft!H$7)/(1+Ft!H$39*($A509-Ft!H$2)^2)+Ft!H$7*EXP(Ft!H$40*($A509-Ft!H$2)^2)))</f>
        <v>0</v>
      </c>
      <c r="M509" s="3">
        <f>IF(($A509-Ft!I$2)&lt;0,Ft!I$3*((1-Ft!I$6)/(1+Ft!I$37*($A509-Ft!I$2)^2)+Ft!I$6*EXP(Ft!I$38*($A509-Ft!I$2)^2)),Ft!I$3*((1-Ft!I$7)/(1+Ft!I$39*($A509-Ft!I$2)^2)+Ft!I$7*EXP(Ft!I$40*($A509-Ft!I$2)^2)))</f>
        <v>0</v>
      </c>
      <c r="N509" s="3">
        <f>IF(($A509-Ft!J$2)&lt;0,Ft!J$3*((1-Ft!J$6)/(1+Ft!J$37*($A509-Ft!J$2)^2)+Ft!J$6*EXP(Ft!J$38*($A509-Ft!J$2)^2)),Ft!J$3*((1-Ft!J$7)/(1+Ft!J$39*($A509-Ft!J$2)^2)+Ft!J$7*EXP(Ft!J$40*($A509-Ft!J$2)^2)))</f>
        <v>0</v>
      </c>
      <c r="O509" s="3">
        <f>IF(($A509-Ft!K$2)&lt;0,Ft!K$3*((1-Ft!K$6)/(1+Ft!K$37*($A509-Ft!K$2)^2)+Ft!K$6*EXP(Ft!K$38*($A509-Ft!K$2)^2)),Ft!K$3*((1-Ft!K$7)/(1+Ft!K$39*($A509-Ft!K$2)^2)+Ft!K$7*EXP(Ft!K$40*($A509-Ft!K$2)^2)))</f>
        <v>0</v>
      </c>
      <c r="P509"/>
      <c r="Q509"/>
    </row>
    <row r="510" spans="1:17">
      <c r="A510">
        <v>1016</v>
      </c>
      <c r="B510">
        <v>13.565762815584989</v>
      </c>
      <c r="C510" s="6">
        <f t="shared" si="15"/>
        <v>13.396431321453079</v>
      </c>
      <c r="D510" s="19">
        <f t="shared" si="16"/>
        <v>2.8673154904945132E-2</v>
      </c>
      <c r="E510" s="3">
        <f>Ft!$B$12+Ft!$B$14*(Data!A510-Vars!$B$3)</f>
        <v>0</v>
      </c>
      <c r="F510" s="3">
        <f>IF(($A510-Ft!B$2)&lt;0,Ft!B$3*((1-Ft!B$6)/(1+Ft!B$37*($A510-Ft!B$2)^2)+Ft!B$6*EXP(Ft!B$38*($A510-Ft!B$2)^2)),Ft!B$3*((1-Ft!B$7)/(1+Ft!B$39*($A510-Ft!B$2)^2)+Ft!B$7*EXP(Ft!B$40*($A510-Ft!B$2)^2)))</f>
        <v>0</v>
      </c>
      <c r="G510" s="3">
        <f>IF(($A510-Ft!C$2)&lt;0,Ft!C$3*((1-Ft!C$6)/(1+Ft!C$37*($A510-Ft!C$2)^2)+Ft!C$6*EXP(Ft!C$38*($A510-Ft!C$2)^2)),Ft!C$3*((1-Ft!C$7)/(1+Ft!C$39*($A510-Ft!C$2)^2)+Ft!C$7*EXP(Ft!C$40*($A510-Ft!C$2)^2)))</f>
        <v>6.5702285712546064E-27</v>
      </c>
      <c r="H510" s="3">
        <f>IF(($A510-Ft!D$2)&lt;0,Ft!D$3*((1-Ft!D$6)/(1+Ft!D$37*($A510-Ft!D$2)^2)+Ft!D$6*EXP(Ft!D$38*($A510-Ft!D$2)^2)),Ft!D$3*((1-Ft!D$7)/(1+Ft!D$39*($A510-Ft!D$2)^2)+Ft!D$7*EXP(Ft!D$40*($A510-Ft!D$2)^2)))</f>
        <v>6.4727001436195392E-2</v>
      </c>
      <c r="I510" s="3">
        <f>IF(($A510-Ft!E$2)&lt;0,Ft!E$3*((1-Ft!E$6)/(1+Ft!E$37*($A510-Ft!E$2)^2)+Ft!E$6*EXP(Ft!E$38*($A510-Ft!E$2)^2)),Ft!E$3*((1-Ft!E$7)/(1+Ft!E$39*($A510-Ft!E$2)^2)+Ft!E$7*EXP(Ft!E$40*($A510-Ft!E$2)^2)))</f>
        <v>6.0520438354202399</v>
      </c>
      <c r="J510" s="3">
        <f>IF(($A510-Ft!F$2)&lt;0,Ft!F$3*((1-Ft!F$6)/(1+Ft!F$37*($A510-Ft!F$2)^2)+Ft!F$6*EXP(Ft!F$38*($A510-Ft!F$2)^2)),Ft!F$3*((1-Ft!F$7)/(1+Ft!F$39*($A510-Ft!F$2)^2)+Ft!F$7*EXP(Ft!F$40*($A510-Ft!F$2)^2)))</f>
        <v>4.545506104148731</v>
      </c>
      <c r="K510" s="3">
        <f>IF(($A510-Ft!G$2)&lt;0,Ft!G$3*((1-Ft!G$6)/(1+Ft!G$37*($A510-Ft!G$2)^2)+Ft!G$6*EXP(Ft!G$38*($A510-Ft!G$2)^2)),Ft!G$3*((1-Ft!G$7)/(1+Ft!G$39*($A510-Ft!G$2)^2)+Ft!G$7*EXP(Ft!G$40*($A510-Ft!G$2)^2)))</f>
        <v>2.734154380447912</v>
      </c>
      <c r="L510" s="3">
        <f>IF(($A510-Ft!H$2)&lt;0,Ft!H$3*((1-Ft!H$6)/(1+Ft!H$37*($A510-Ft!H$2)^2)+Ft!H$6*EXP(Ft!H$38*($A510-Ft!H$2)^2)),Ft!H$3*((1-Ft!H$7)/(1+Ft!H$39*($A510-Ft!H$2)^2)+Ft!H$7*EXP(Ft!H$40*($A510-Ft!H$2)^2)))</f>
        <v>0</v>
      </c>
      <c r="M510" s="3">
        <f>IF(($A510-Ft!I$2)&lt;0,Ft!I$3*((1-Ft!I$6)/(1+Ft!I$37*($A510-Ft!I$2)^2)+Ft!I$6*EXP(Ft!I$38*($A510-Ft!I$2)^2)),Ft!I$3*((1-Ft!I$7)/(1+Ft!I$39*($A510-Ft!I$2)^2)+Ft!I$7*EXP(Ft!I$40*($A510-Ft!I$2)^2)))</f>
        <v>0</v>
      </c>
      <c r="N510" s="3">
        <f>IF(($A510-Ft!J$2)&lt;0,Ft!J$3*((1-Ft!J$6)/(1+Ft!J$37*($A510-Ft!J$2)^2)+Ft!J$6*EXP(Ft!J$38*($A510-Ft!J$2)^2)),Ft!J$3*((1-Ft!J$7)/(1+Ft!J$39*($A510-Ft!J$2)^2)+Ft!J$7*EXP(Ft!J$40*($A510-Ft!J$2)^2)))</f>
        <v>0</v>
      </c>
      <c r="O510" s="3">
        <f>IF(($A510-Ft!K$2)&lt;0,Ft!K$3*((1-Ft!K$6)/(1+Ft!K$37*($A510-Ft!K$2)^2)+Ft!K$6*EXP(Ft!K$38*($A510-Ft!K$2)^2)),Ft!K$3*((1-Ft!K$7)/(1+Ft!K$39*($A510-Ft!K$2)^2)+Ft!K$7*EXP(Ft!K$40*($A510-Ft!K$2)^2)))</f>
        <v>0</v>
      </c>
      <c r="P510"/>
      <c r="Q510"/>
    </row>
    <row r="511" spans="1:17">
      <c r="A511">
        <v>1018</v>
      </c>
      <c r="B511">
        <v>13.638739338736002</v>
      </c>
      <c r="C511" s="6">
        <f t="shared" si="15"/>
        <v>13.509606879110716</v>
      </c>
      <c r="D511" s="19">
        <f t="shared" si="16"/>
        <v>1.6675192128876023E-2</v>
      </c>
      <c r="E511" s="3">
        <f>Ft!$B$12+Ft!$B$14*(Data!A511-Vars!$B$3)</f>
        <v>0</v>
      </c>
      <c r="F511" s="3">
        <f>IF(($A511-Ft!B$2)&lt;0,Ft!B$3*((1-Ft!B$6)/(1+Ft!B$37*($A511-Ft!B$2)^2)+Ft!B$6*EXP(Ft!B$38*($A511-Ft!B$2)^2)),Ft!B$3*((1-Ft!B$7)/(1+Ft!B$39*($A511-Ft!B$2)^2)+Ft!B$7*EXP(Ft!B$40*($A511-Ft!B$2)^2)))</f>
        <v>0</v>
      </c>
      <c r="G511" s="3">
        <f>IF(($A511-Ft!C$2)&lt;0,Ft!C$3*((1-Ft!C$6)/(1+Ft!C$37*($A511-Ft!C$2)^2)+Ft!C$6*EXP(Ft!C$38*($A511-Ft!C$2)^2)),Ft!C$3*((1-Ft!C$7)/(1+Ft!C$39*($A511-Ft!C$2)^2)+Ft!C$7*EXP(Ft!C$40*($A511-Ft!C$2)^2)))</f>
        <v>4.9396942879170442E-27</v>
      </c>
      <c r="H511" s="3">
        <f>IF(($A511-Ft!D$2)&lt;0,Ft!D$3*((1-Ft!D$6)/(1+Ft!D$37*($A511-Ft!D$2)^2)+Ft!D$6*EXP(Ft!D$38*($A511-Ft!D$2)^2)),Ft!D$3*((1-Ft!D$7)/(1+Ft!D$39*($A511-Ft!D$2)^2)+Ft!D$7*EXP(Ft!D$40*($A511-Ft!D$2)^2)))</f>
        <v>6.2161979400462773E-2</v>
      </c>
      <c r="I511" s="3">
        <f>IF(($A511-Ft!E$2)&lt;0,Ft!E$3*((1-Ft!E$6)/(1+Ft!E$37*($A511-Ft!E$2)^2)+Ft!E$6*EXP(Ft!E$38*($A511-Ft!E$2)^2)),Ft!E$3*((1-Ft!E$7)/(1+Ft!E$39*($A511-Ft!E$2)^2)+Ft!E$7*EXP(Ft!E$40*($A511-Ft!E$2)^2)))</f>
        <v>5.9346659510970117</v>
      </c>
      <c r="J511" s="3">
        <f>IF(($A511-Ft!F$2)&lt;0,Ft!F$3*((1-Ft!F$6)/(1+Ft!F$37*($A511-Ft!F$2)^2)+Ft!F$6*EXP(Ft!F$38*($A511-Ft!F$2)^2)),Ft!F$3*((1-Ft!F$7)/(1+Ft!F$39*($A511-Ft!F$2)^2)+Ft!F$7*EXP(Ft!F$40*($A511-Ft!F$2)^2)))</f>
        <v>4.4671657396719509</v>
      </c>
      <c r="K511" s="3">
        <f>IF(($A511-Ft!G$2)&lt;0,Ft!G$3*((1-Ft!G$6)/(1+Ft!G$37*($A511-Ft!G$2)^2)+Ft!G$6*EXP(Ft!G$38*($A511-Ft!G$2)^2)),Ft!G$3*((1-Ft!G$7)/(1+Ft!G$39*($A511-Ft!G$2)^2)+Ft!G$7*EXP(Ft!G$40*($A511-Ft!G$2)^2)))</f>
        <v>3.0456132089412904</v>
      </c>
      <c r="L511" s="3">
        <f>IF(($A511-Ft!H$2)&lt;0,Ft!H$3*((1-Ft!H$6)/(1+Ft!H$37*($A511-Ft!H$2)^2)+Ft!H$6*EXP(Ft!H$38*($A511-Ft!H$2)^2)),Ft!H$3*((1-Ft!H$7)/(1+Ft!H$39*($A511-Ft!H$2)^2)+Ft!H$7*EXP(Ft!H$40*($A511-Ft!H$2)^2)))</f>
        <v>0</v>
      </c>
      <c r="M511" s="3">
        <f>IF(($A511-Ft!I$2)&lt;0,Ft!I$3*((1-Ft!I$6)/(1+Ft!I$37*($A511-Ft!I$2)^2)+Ft!I$6*EXP(Ft!I$38*($A511-Ft!I$2)^2)),Ft!I$3*((1-Ft!I$7)/(1+Ft!I$39*($A511-Ft!I$2)^2)+Ft!I$7*EXP(Ft!I$40*($A511-Ft!I$2)^2)))</f>
        <v>0</v>
      </c>
      <c r="N511" s="3">
        <f>IF(($A511-Ft!J$2)&lt;0,Ft!J$3*((1-Ft!J$6)/(1+Ft!J$37*($A511-Ft!J$2)^2)+Ft!J$6*EXP(Ft!J$38*($A511-Ft!J$2)^2)),Ft!J$3*((1-Ft!J$7)/(1+Ft!J$39*($A511-Ft!J$2)^2)+Ft!J$7*EXP(Ft!J$40*($A511-Ft!J$2)^2)))</f>
        <v>0</v>
      </c>
      <c r="O511" s="3">
        <f>IF(($A511-Ft!K$2)&lt;0,Ft!K$3*((1-Ft!K$6)/(1+Ft!K$37*($A511-Ft!K$2)^2)+Ft!K$6*EXP(Ft!K$38*($A511-Ft!K$2)^2)),Ft!K$3*((1-Ft!K$7)/(1+Ft!K$39*($A511-Ft!K$2)^2)+Ft!K$7*EXP(Ft!K$40*($A511-Ft!K$2)^2)))</f>
        <v>0</v>
      </c>
      <c r="P511"/>
      <c r="Q511"/>
    </row>
    <row r="512" spans="1:17">
      <c r="A512">
        <v>1020</v>
      </c>
      <c r="B512">
        <v>13.714164852435999</v>
      </c>
      <c r="C512" s="6">
        <f t="shared" si="15"/>
        <v>13.625666801851768</v>
      </c>
      <c r="D512" s="19">
        <f t="shared" si="16"/>
        <v>7.8319049572091858E-3</v>
      </c>
      <c r="E512" s="3">
        <f>Ft!$B$12+Ft!$B$14*(Data!A512-Vars!$B$3)</f>
        <v>0</v>
      </c>
      <c r="F512" s="3">
        <f>IF(($A512-Ft!B$2)&lt;0,Ft!B$3*((1-Ft!B$6)/(1+Ft!B$37*($A512-Ft!B$2)^2)+Ft!B$6*EXP(Ft!B$38*($A512-Ft!B$2)^2)),Ft!B$3*((1-Ft!B$7)/(1+Ft!B$39*($A512-Ft!B$2)^2)+Ft!B$7*EXP(Ft!B$40*($A512-Ft!B$2)^2)))</f>
        <v>0</v>
      </c>
      <c r="G512" s="3">
        <f>IF(($A512-Ft!C$2)&lt;0,Ft!C$3*((1-Ft!C$6)/(1+Ft!C$37*($A512-Ft!C$2)^2)+Ft!C$6*EXP(Ft!C$38*($A512-Ft!C$2)^2)),Ft!C$3*((1-Ft!C$7)/(1+Ft!C$39*($A512-Ft!C$2)^2)+Ft!C$7*EXP(Ft!C$40*($A512-Ft!C$2)^2)))</f>
        <v>3.7113985803335499E-27</v>
      </c>
      <c r="H512" s="3">
        <f>IF(($A512-Ft!D$2)&lt;0,Ft!D$3*((1-Ft!D$6)/(1+Ft!D$37*($A512-Ft!D$2)^2)+Ft!D$6*EXP(Ft!D$38*($A512-Ft!D$2)^2)),Ft!D$3*((1-Ft!D$7)/(1+Ft!D$39*($A512-Ft!D$2)^2)+Ft!D$7*EXP(Ft!D$40*($A512-Ft!D$2)^2)))</f>
        <v>5.9690023069743088E-2</v>
      </c>
      <c r="I512" s="3">
        <f>IF(($A512-Ft!E$2)&lt;0,Ft!E$3*((1-Ft!E$6)/(1+Ft!E$37*($A512-Ft!E$2)^2)+Ft!E$6*EXP(Ft!E$38*($A512-Ft!E$2)^2)),Ft!E$3*((1-Ft!E$7)/(1+Ft!E$39*($A512-Ft!E$2)^2)+Ft!E$7*EXP(Ft!E$40*($A512-Ft!E$2)^2)))</f>
        <v>5.8183928832557008</v>
      </c>
      <c r="J512" s="3">
        <f>IF(($A512-Ft!F$2)&lt;0,Ft!F$3*((1-Ft!F$6)/(1+Ft!F$37*($A512-Ft!F$2)^2)+Ft!F$6*EXP(Ft!F$38*($A512-Ft!F$2)^2)),Ft!F$3*((1-Ft!F$7)/(1+Ft!F$39*($A512-Ft!F$2)^2)+Ft!F$7*EXP(Ft!F$40*($A512-Ft!F$2)^2)))</f>
        <v>4.3807367952576168</v>
      </c>
      <c r="K512" s="3">
        <f>IF(($A512-Ft!G$2)&lt;0,Ft!G$3*((1-Ft!G$6)/(1+Ft!G$37*($A512-Ft!G$2)^2)+Ft!G$6*EXP(Ft!G$38*($A512-Ft!G$2)^2)),Ft!G$3*((1-Ft!G$7)/(1+Ft!G$39*($A512-Ft!G$2)^2)+Ft!G$7*EXP(Ft!G$40*($A512-Ft!G$2)^2)))</f>
        <v>3.3668471002687066</v>
      </c>
      <c r="L512" s="3">
        <f>IF(($A512-Ft!H$2)&lt;0,Ft!H$3*((1-Ft!H$6)/(1+Ft!H$37*($A512-Ft!H$2)^2)+Ft!H$6*EXP(Ft!H$38*($A512-Ft!H$2)^2)),Ft!H$3*((1-Ft!H$7)/(1+Ft!H$39*($A512-Ft!H$2)^2)+Ft!H$7*EXP(Ft!H$40*($A512-Ft!H$2)^2)))</f>
        <v>0</v>
      </c>
      <c r="M512" s="3">
        <f>IF(($A512-Ft!I$2)&lt;0,Ft!I$3*((1-Ft!I$6)/(1+Ft!I$37*($A512-Ft!I$2)^2)+Ft!I$6*EXP(Ft!I$38*($A512-Ft!I$2)^2)),Ft!I$3*((1-Ft!I$7)/(1+Ft!I$39*($A512-Ft!I$2)^2)+Ft!I$7*EXP(Ft!I$40*($A512-Ft!I$2)^2)))</f>
        <v>0</v>
      </c>
      <c r="N512" s="3">
        <f>IF(($A512-Ft!J$2)&lt;0,Ft!J$3*((1-Ft!J$6)/(1+Ft!J$37*($A512-Ft!J$2)^2)+Ft!J$6*EXP(Ft!J$38*($A512-Ft!J$2)^2)),Ft!J$3*((1-Ft!J$7)/(1+Ft!J$39*($A512-Ft!J$2)^2)+Ft!J$7*EXP(Ft!J$40*($A512-Ft!J$2)^2)))</f>
        <v>0</v>
      </c>
      <c r="O512" s="3">
        <f>IF(($A512-Ft!K$2)&lt;0,Ft!K$3*((1-Ft!K$6)/(1+Ft!K$37*($A512-Ft!K$2)^2)+Ft!K$6*EXP(Ft!K$38*($A512-Ft!K$2)^2)),Ft!K$3*((1-Ft!K$7)/(1+Ft!K$39*($A512-Ft!K$2)^2)+Ft!K$7*EXP(Ft!K$40*($A512-Ft!K$2)^2)))</f>
        <v>0</v>
      </c>
      <c r="P512"/>
      <c r="Q512"/>
    </row>
    <row r="513" spans="1:17">
      <c r="A513">
        <v>1022</v>
      </c>
      <c r="B513">
        <v>13.784110843549996</v>
      </c>
      <c r="C513" s="6">
        <f t="shared" si="15"/>
        <v>13.741063828528755</v>
      </c>
      <c r="D513" s="19">
        <f t="shared" si="16"/>
        <v>1.8530455022389271E-3</v>
      </c>
      <c r="E513" s="3">
        <f>Ft!$B$12+Ft!$B$14*(Data!A513-Vars!$B$3)</f>
        <v>0</v>
      </c>
      <c r="F513" s="3">
        <f>IF(($A513-Ft!B$2)&lt;0,Ft!B$3*((1-Ft!B$6)/(1+Ft!B$37*($A513-Ft!B$2)^2)+Ft!B$6*EXP(Ft!B$38*($A513-Ft!B$2)^2)),Ft!B$3*((1-Ft!B$7)/(1+Ft!B$39*($A513-Ft!B$2)^2)+Ft!B$7*EXP(Ft!B$40*($A513-Ft!B$2)^2)))</f>
        <v>0</v>
      </c>
      <c r="G513" s="3">
        <f>IF(($A513-Ft!C$2)&lt;0,Ft!C$3*((1-Ft!C$6)/(1+Ft!C$37*($A513-Ft!C$2)^2)+Ft!C$6*EXP(Ft!C$38*($A513-Ft!C$2)^2)),Ft!C$3*((1-Ft!C$7)/(1+Ft!C$39*($A513-Ft!C$2)^2)+Ft!C$7*EXP(Ft!C$40*($A513-Ft!C$2)^2)))</f>
        <v>2.7867182068316449E-27</v>
      </c>
      <c r="H513" s="3">
        <f>IF(($A513-Ft!D$2)&lt;0,Ft!D$3*((1-Ft!D$6)/(1+Ft!D$37*($A513-Ft!D$2)^2)+Ft!D$6*EXP(Ft!D$38*($A513-Ft!D$2)^2)),Ft!D$3*((1-Ft!D$7)/(1+Ft!D$39*($A513-Ft!D$2)^2)+Ft!D$7*EXP(Ft!D$40*($A513-Ft!D$2)^2)))</f>
        <v>5.7308128125395659E-2</v>
      </c>
      <c r="I513" s="3">
        <f>IF(($A513-Ft!E$2)&lt;0,Ft!E$3*((1-Ft!E$6)/(1+Ft!E$37*($A513-Ft!E$2)^2)+Ft!E$6*EXP(Ft!E$38*($A513-Ft!E$2)^2)),Ft!E$3*((1-Ft!E$7)/(1+Ft!E$39*($A513-Ft!E$2)^2)+Ft!E$7*EXP(Ft!E$40*($A513-Ft!E$2)^2)))</f>
        <v>5.7032493478014592</v>
      </c>
      <c r="J513" s="3">
        <f>IF(($A513-Ft!F$2)&lt;0,Ft!F$3*((1-Ft!F$6)/(1+Ft!F$37*($A513-Ft!F$2)^2)+Ft!F$6*EXP(Ft!F$38*($A513-Ft!F$2)^2)),Ft!F$3*((1-Ft!F$7)/(1+Ft!F$39*($A513-Ft!F$2)^2)+Ft!F$7*EXP(Ft!F$40*($A513-Ft!F$2)^2)))</f>
        <v>4.2867438098634558</v>
      </c>
      <c r="K513" s="3">
        <f>IF(($A513-Ft!G$2)&lt;0,Ft!G$3*((1-Ft!G$6)/(1+Ft!G$37*($A513-Ft!G$2)^2)+Ft!G$6*EXP(Ft!G$38*($A513-Ft!G$2)^2)),Ft!G$3*((1-Ft!G$7)/(1+Ft!G$39*($A513-Ft!G$2)^2)+Ft!G$7*EXP(Ft!G$40*($A513-Ft!G$2)^2)))</f>
        <v>3.6937625427384435</v>
      </c>
      <c r="L513" s="3">
        <f>IF(($A513-Ft!H$2)&lt;0,Ft!H$3*((1-Ft!H$6)/(1+Ft!H$37*($A513-Ft!H$2)^2)+Ft!H$6*EXP(Ft!H$38*($A513-Ft!H$2)^2)),Ft!H$3*((1-Ft!H$7)/(1+Ft!H$39*($A513-Ft!H$2)^2)+Ft!H$7*EXP(Ft!H$40*($A513-Ft!H$2)^2)))</f>
        <v>0</v>
      </c>
      <c r="M513" s="3">
        <f>IF(($A513-Ft!I$2)&lt;0,Ft!I$3*((1-Ft!I$6)/(1+Ft!I$37*($A513-Ft!I$2)^2)+Ft!I$6*EXP(Ft!I$38*($A513-Ft!I$2)^2)),Ft!I$3*((1-Ft!I$7)/(1+Ft!I$39*($A513-Ft!I$2)^2)+Ft!I$7*EXP(Ft!I$40*($A513-Ft!I$2)^2)))</f>
        <v>0</v>
      </c>
      <c r="N513" s="3">
        <f>IF(($A513-Ft!J$2)&lt;0,Ft!J$3*((1-Ft!J$6)/(1+Ft!J$37*($A513-Ft!J$2)^2)+Ft!J$6*EXP(Ft!J$38*($A513-Ft!J$2)^2)),Ft!J$3*((1-Ft!J$7)/(1+Ft!J$39*($A513-Ft!J$2)^2)+Ft!J$7*EXP(Ft!J$40*($A513-Ft!J$2)^2)))</f>
        <v>0</v>
      </c>
      <c r="O513" s="3">
        <f>IF(($A513-Ft!K$2)&lt;0,Ft!K$3*((1-Ft!K$6)/(1+Ft!K$37*($A513-Ft!K$2)^2)+Ft!K$6*EXP(Ft!K$38*($A513-Ft!K$2)^2)),Ft!K$3*((1-Ft!K$7)/(1+Ft!K$39*($A513-Ft!K$2)^2)+Ft!K$7*EXP(Ft!K$40*($A513-Ft!K$2)^2)))</f>
        <v>0</v>
      </c>
      <c r="P513"/>
      <c r="Q513"/>
    </row>
    <row r="514" spans="1:17">
      <c r="A514">
        <v>1024</v>
      </c>
      <c r="B514">
        <v>13.840648798944002</v>
      </c>
      <c r="C514" s="6">
        <f t="shared" si="15"/>
        <v>13.851737963586203</v>
      </c>
      <c r="D514" s="19">
        <f t="shared" si="16"/>
        <v>1.2296957246182852E-4</v>
      </c>
      <c r="E514" s="3">
        <f>Ft!$B$12+Ft!$B$14*(Data!A514-Vars!$B$3)</f>
        <v>0</v>
      </c>
      <c r="F514" s="3">
        <f>IF(($A514-Ft!B$2)&lt;0,Ft!B$3*((1-Ft!B$6)/(1+Ft!B$37*($A514-Ft!B$2)^2)+Ft!B$6*EXP(Ft!B$38*($A514-Ft!B$2)^2)),Ft!B$3*((1-Ft!B$7)/(1+Ft!B$39*($A514-Ft!B$2)^2)+Ft!B$7*EXP(Ft!B$40*($A514-Ft!B$2)^2)))</f>
        <v>0</v>
      </c>
      <c r="G514" s="3">
        <f>IF(($A514-Ft!C$2)&lt;0,Ft!C$3*((1-Ft!C$6)/(1+Ft!C$37*($A514-Ft!C$2)^2)+Ft!C$6*EXP(Ft!C$38*($A514-Ft!C$2)^2)),Ft!C$3*((1-Ft!C$7)/(1+Ft!C$39*($A514-Ft!C$2)^2)+Ft!C$7*EXP(Ft!C$40*($A514-Ft!C$2)^2)))</f>
        <v>2.0910597619652521E-27</v>
      </c>
      <c r="H514" s="3">
        <f>IF(($A514-Ft!D$2)&lt;0,Ft!D$3*((1-Ft!D$6)/(1+Ft!D$37*($A514-Ft!D$2)^2)+Ft!D$6*EXP(Ft!D$38*($A514-Ft!D$2)^2)),Ft!D$3*((1-Ft!D$7)/(1+Ft!D$39*($A514-Ft!D$2)^2)+Ft!D$7*EXP(Ft!D$40*($A514-Ft!D$2)^2)))</f>
        <v>5.5013371862506974E-2</v>
      </c>
      <c r="I514" s="3">
        <f>IF(($A514-Ft!E$2)&lt;0,Ft!E$3*((1-Ft!E$6)/(1+Ft!E$37*($A514-Ft!E$2)^2)+Ft!E$6*EXP(Ft!E$38*($A514-Ft!E$2)^2)),Ft!E$3*((1-Ft!E$7)/(1+Ft!E$39*($A514-Ft!E$2)^2)+Ft!E$7*EXP(Ft!E$40*($A514-Ft!E$2)^2)))</f>
        <v>5.5892588984832461</v>
      </c>
      <c r="J514" s="3">
        <f>IF(($A514-Ft!F$2)&lt;0,Ft!F$3*((1-Ft!F$6)/(1+Ft!F$37*($A514-Ft!F$2)^2)+Ft!F$6*EXP(Ft!F$38*($A514-Ft!F$2)^2)),Ft!F$3*((1-Ft!F$7)/(1+Ft!F$39*($A514-Ft!F$2)^2)+Ft!F$7*EXP(Ft!F$40*($A514-Ft!F$2)^2)))</f>
        <v>4.1857489059446324</v>
      </c>
      <c r="K514" s="3">
        <f>IF(($A514-Ft!G$2)&lt;0,Ft!G$3*((1-Ft!G$6)/(1+Ft!G$37*($A514-Ft!G$2)^2)+Ft!G$6*EXP(Ft!G$38*($A514-Ft!G$2)^2)),Ft!G$3*((1-Ft!G$7)/(1+Ft!G$39*($A514-Ft!G$2)^2)+Ft!G$7*EXP(Ft!G$40*($A514-Ft!G$2)^2)))</f>
        <v>4.0217167872958175</v>
      </c>
      <c r="L514" s="3">
        <f>IF(($A514-Ft!H$2)&lt;0,Ft!H$3*((1-Ft!H$6)/(1+Ft!H$37*($A514-Ft!H$2)^2)+Ft!H$6*EXP(Ft!H$38*($A514-Ft!H$2)^2)),Ft!H$3*((1-Ft!H$7)/(1+Ft!H$39*($A514-Ft!H$2)^2)+Ft!H$7*EXP(Ft!H$40*($A514-Ft!H$2)^2)))</f>
        <v>0</v>
      </c>
      <c r="M514" s="3">
        <f>IF(($A514-Ft!I$2)&lt;0,Ft!I$3*((1-Ft!I$6)/(1+Ft!I$37*($A514-Ft!I$2)^2)+Ft!I$6*EXP(Ft!I$38*($A514-Ft!I$2)^2)),Ft!I$3*((1-Ft!I$7)/(1+Ft!I$39*($A514-Ft!I$2)^2)+Ft!I$7*EXP(Ft!I$40*($A514-Ft!I$2)^2)))</f>
        <v>0</v>
      </c>
      <c r="N514" s="3">
        <f>IF(($A514-Ft!J$2)&lt;0,Ft!J$3*((1-Ft!J$6)/(1+Ft!J$37*($A514-Ft!J$2)^2)+Ft!J$6*EXP(Ft!J$38*($A514-Ft!J$2)^2)),Ft!J$3*((1-Ft!J$7)/(1+Ft!J$39*($A514-Ft!J$2)^2)+Ft!J$7*EXP(Ft!J$40*($A514-Ft!J$2)^2)))</f>
        <v>0</v>
      </c>
      <c r="O514" s="3">
        <f>IF(($A514-Ft!K$2)&lt;0,Ft!K$3*((1-Ft!K$6)/(1+Ft!K$37*($A514-Ft!K$2)^2)+Ft!K$6*EXP(Ft!K$38*($A514-Ft!K$2)^2)),Ft!K$3*((1-Ft!K$7)/(1+Ft!K$39*($A514-Ft!K$2)^2)+Ft!K$7*EXP(Ft!K$40*($A514-Ft!K$2)^2)))</f>
        <v>0</v>
      </c>
      <c r="P514"/>
      <c r="Q514"/>
    </row>
    <row r="515" spans="1:17">
      <c r="A515">
        <v>1026</v>
      </c>
      <c r="B515">
        <v>13.87585020548299</v>
      </c>
      <c r="C515" s="6">
        <f t="shared" ref="C515:C542" si="17">SUM(E515:K515)</f>
        <v>13.953204842398668</v>
      </c>
      <c r="D515" s="19">
        <f t="shared" ref="D515:D542" si="18">(C515-B515)^2</f>
        <v>5.9837398523562551E-3</v>
      </c>
      <c r="E515" s="3">
        <f>Ft!$B$12+Ft!$B$14*(Data!A515-Vars!$B$3)</f>
        <v>0</v>
      </c>
      <c r="F515" s="3">
        <f>IF(($A515-Ft!B$2)&lt;0,Ft!B$3*((1-Ft!B$6)/(1+Ft!B$37*($A515-Ft!B$2)^2)+Ft!B$6*EXP(Ft!B$38*($A515-Ft!B$2)^2)),Ft!B$3*((1-Ft!B$7)/(1+Ft!B$39*($A515-Ft!B$2)^2)+Ft!B$7*EXP(Ft!B$40*($A515-Ft!B$2)^2)))</f>
        <v>0</v>
      </c>
      <c r="G515" s="3">
        <f>IF(($A515-Ft!C$2)&lt;0,Ft!C$3*((1-Ft!C$6)/(1+Ft!C$37*($A515-Ft!C$2)^2)+Ft!C$6*EXP(Ft!C$38*($A515-Ft!C$2)^2)),Ft!C$3*((1-Ft!C$7)/(1+Ft!C$39*($A515-Ft!C$2)^2)+Ft!C$7*EXP(Ft!C$40*($A515-Ft!C$2)^2)))</f>
        <v>1.5680422749530598E-27</v>
      </c>
      <c r="H515" s="3">
        <f>IF(($A515-Ft!D$2)&lt;0,Ft!D$3*((1-Ft!D$6)/(1+Ft!D$37*($A515-Ft!D$2)^2)+Ft!D$6*EXP(Ft!D$38*($A515-Ft!D$2)^2)),Ft!D$3*((1-Ft!D$7)/(1+Ft!D$39*($A515-Ft!D$2)^2)+Ft!D$7*EXP(Ft!D$40*($A515-Ft!D$2)^2)))</f>
        <v>5.2802911580059356E-2</v>
      </c>
      <c r="I515" s="3">
        <f>IF(($A515-Ft!E$2)&lt;0,Ft!E$3*((1-Ft!E$6)/(1+Ft!E$37*($A515-Ft!E$2)^2)+Ft!E$6*EXP(Ft!E$38*($A515-Ft!E$2)^2)),Ft!E$3*((1-Ft!E$7)/(1+Ft!E$39*($A515-Ft!E$2)^2)+Ft!E$7*EXP(Ft!E$40*($A515-Ft!E$2)^2)))</f>
        <v>5.4764439311110946</v>
      </c>
      <c r="J515" s="3">
        <f>IF(($A515-Ft!F$2)&lt;0,Ft!F$3*((1-Ft!F$6)/(1+Ft!F$37*($A515-Ft!F$2)^2)+Ft!F$6*EXP(Ft!F$38*($A515-Ft!F$2)^2)),Ft!F$3*((1-Ft!F$7)/(1+Ft!F$39*($A515-Ft!F$2)^2)+Ft!F$7*EXP(Ft!F$40*($A515-Ft!F$2)^2)))</f>
        <v>4.0783462040284206</v>
      </c>
      <c r="K515" s="3">
        <f>IF(($A515-Ft!G$2)&lt;0,Ft!G$3*((1-Ft!G$6)/(1+Ft!G$37*($A515-Ft!G$2)^2)+Ft!G$6*EXP(Ft!G$38*($A515-Ft!G$2)^2)),Ft!G$3*((1-Ft!G$7)/(1+Ft!G$39*($A515-Ft!G$2)^2)+Ft!G$7*EXP(Ft!G$40*($A515-Ft!G$2)^2)))</f>
        <v>4.3456117956790923</v>
      </c>
      <c r="L515" s="3">
        <f>IF(($A515-Ft!H$2)&lt;0,Ft!H$3*((1-Ft!H$6)/(1+Ft!H$37*($A515-Ft!H$2)^2)+Ft!H$6*EXP(Ft!H$38*($A515-Ft!H$2)^2)),Ft!H$3*((1-Ft!H$7)/(1+Ft!H$39*($A515-Ft!H$2)^2)+Ft!H$7*EXP(Ft!H$40*($A515-Ft!H$2)^2)))</f>
        <v>0</v>
      </c>
      <c r="M515" s="3">
        <f>IF(($A515-Ft!I$2)&lt;0,Ft!I$3*((1-Ft!I$6)/(1+Ft!I$37*($A515-Ft!I$2)^2)+Ft!I$6*EXP(Ft!I$38*($A515-Ft!I$2)^2)),Ft!I$3*((1-Ft!I$7)/(1+Ft!I$39*($A515-Ft!I$2)^2)+Ft!I$7*EXP(Ft!I$40*($A515-Ft!I$2)^2)))</f>
        <v>0</v>
      </c>
      <c r="N515" s="3">
        <f>IF(($A515-Ft!J$2)&lt;0,Ft!J$3*((1-Ft!J$6)/(1+Ft!J$37*($A515-Ft!J$2)^2)+Ft!J$6*EXP(Ft!J$38*($A515-Ft!J$2)^2)),Ft!J$3*((1-Ft!J$7)/(1+Ft!J$39*($A515-Ft!J$2)^2)+Ft!J$7*EXP(Ft!J$40*($A515-Ft!J$2)^2)))</f>
        <v>0</v>
      </c>
      <c r="O515" s="3">
        <f>IF(($A515-Ft!K$2)&lt;0,Ft!K$3*((1-Ft!K$6)/(1+Ft!K$37*($A515-Ft!K$2)^2)+Ft!K$6*EXP(Ft!K$38*($A515-Ft!K$2)^2)),Ft!K$3*((1-Ft!K$7)/(1+Ft!K$39*($A515-Ft!K$2)^2)+Ft!K$7*EXP(Ft!K$40*($A515-Ft!K$2)^2)))</f>
        <v>0</v>
      </c>
      <c r="P515"/>
      <c r="Q515"/>
    </row>
    <row r="516" spans="1:17">
      <c r="A516">
        <v>1028</v>
      </c>
      <c r="B516">
        <v>13.881786550033993</v>
      </c>
      <c r="C516" s="6">
        <f t="shared" si="17"/>
        <v>14.040670563850888</v>
      </c>
      <c r="D516" s="19">
        <f t="shared" si="18"/>
        <v>2.5244129846567206E-2</v>
      </c>
      <c r="E516" s="3">
        <f>Ft!$B$12+Ft!$B$14*(Data!A516-Vars!$B$3)</f>
        <v>0</v>
      </c>
      <c r="F516" s="3">
        <f>IF(($A516-Ft!B$2)&lt;0,Ft!B$3*((1-Ft!B$6)/(1+Ft!B$37*($A516-Ft!B$2)^2)+Ft!B$6*EXP(Ft!B$38*($A516-Ft!B$2)^2)),Ft!B$3*((1-Ft!B$7)/(1+Ft!B$39*($A516-Ft!B$2)^2)+Ft!B$7*EXP(Ft!B$40*($A516-Ft!B$2)^2)))</f>
        <v>0</v>
      </c>
      <c r="G516" s="3">
        <f>IF(($A516-Ft!C$2)&lt;0,Ft!C$3*((1-Ft!C$6)/(1+Ft!C$37*($A516-Ft!C$2)^2)+Ft!C$6*EXP(Ft!C$38*($A516-Ft!C$2)^2)),Ft!C$3*((1-Ft!C$7)/(1+Ft!C$39*($A516-Ft!C$2)^2)+Ft!C$7*EXP(Ft!C$40*($A516-Ft!C$2)^2)))</f>
        <v>1.1750788827670403E-27</v>
      </c>
      <c r="H516" s="3">
        <f>IF(($A516-Ft!D$2)&lt;0,Ft!D$3*((1-Ft!D$6)/(1+Ft!D$37*($A516-Ft!D$2)^2)+Ft!D$6*EXP(Ft!D$38*($A516-Ft!D$2)^2)),Ft!D$3*((1-Ft!D$7)/(1+Ft!D$39*($A516-Ft!D$2)^2)+Ft!D$7*EXP(Ft!D$40*($A516-Ft!D$2)^2)))</f>
        <v>5.0673982979102944E-2</v>
      </c>
      <c r="I516" s="3">
        <f>IF(($A516-Ft!E$2)&lt;0,Ft!E$3*((1-Ft!E$6)/(1+Ft!E$37*($A516-Ft!E$2)^2)+Ft!E$6*EXP(Ft!E$38*($A516-Ft!E$2)^2)),Ft!E$3*((1-Ft!E$7)/(1+Ft!E$39*($A516-Ft!E$2)^2)+Ft!E$7*EXP(Ft!E$40*($A516-Ft!E$2)^2)))</f>
        <v>5.3648256888434585</v>
      </c>
      <c r="J516" s="3">
        <f>IF(($A516-Ft!F$2)&lt;0,Ft!F$3*((1-Ft!F$6)/(1+Ft!F$37*($A516-Ft!F$2)^2)+Ft!F$6*EXP(Ft!F$38*($A516-Ft!F$2)^2)),Ft!F$3*((1-Ft!F$7)/(1+Ft!F$39*($A516-Ft!F$2)^2)+Ft!F$7*EXP(Ft!F$40*($A516-Ft!F$2)^2)))</f>
        <v>3.9651560231090963</v>
      </c>
      <c r="K516" s="3">
        <f>IF(($A516-Ft!G$2)&lt;0,Ft!G$3*((1-Ft!G$6)/(1+Ft!G$37*($A516-Ft!G$2)^2)+Ft!G$6*EXP(Ft!G$38*($A516-Ft!G$2)^2)),Ft!G$3*((1-Ft!G$7)/(1+Ft!G$39*($A516-Ft!G$2)^2)+Ft!G$7*EXP(Ft!G$40*($A516-Ft!G$2)^2)))</f>
        <v>4.6600148689192302</v>
      </c>
      <c r="L516" s="3">
        <f>IF(($A516-Ft!H$2)&lt;0,Ft!H$3*((1-Ft!H$6)/(1+Ft!H$37*($A516-Ft!H$2)^2)+Ft!H$6*EXP(Ft!H$38*($A516-Ft!H$2)^2)),Ft!H$3*((1-Ft!H$7)/(1+Ft!H$39*($A516-Ft!H$2)^2)+Ft!H$7*EXP(Ft!H$40*($A516-Ft!H$2)^2)))</f>
        <v>0</v>
      </c>
      <c r="M516" s="3">
        <f>IF(($A516-Ft!I$2)&lt;0,Ft!I$3*((1-Ft!I$6)/(1+Ft!I$37*($A516-Ft!I$2)^2)+Ft!I$6*EXP(Ft!I$38*($A516-Ft!I$2)^2)),Ft!I$3*((1-Ft!I$7)/(1+Ft!I$39*($A516-Ft!I$2)^2)+Ft!I$7*EXP(Ft!I$40*($A516-Ft!I$2)^2)))</f>
        <v>0</v>
      </c>
      <c r="N516" s="3">
        <f>IF(($A516-Ft!J$2)&lt;0,Ft!J$3*((1-Ft!J$6)/(1+Ft!J$37*($A516-Ft!J$2)^2)+Ft!J$6*EXP(Ft!J$38*($A516-Ft!J$2)^2)),Ft!J$3*((1-Ft!J$7)/(1+Ft!J$39*($A516-Ft!J$2)^2)+Ft!J$7*EXP(Ft!J$40*($A516-Ft!J$2)^2)))</f>
        <v>0</v>
      </c>
      <c r="O516" s="3">
        <f>IF(($A516-Ft!K$2)&lt;0,Ft!K$3*((1-Ft!K$6)/(1+Ft!K$37*($A516-Ft!K$2)^2)+Ft!K$6*EXP(Ft!K$38*($A516-Ft!K$2)^2)),Ft!K$3*((1-Ft!K$7)/(1+Ft!K$39*($A516-Ft!K$2)^2)+Ft!K$7*EXP(Ft!K$40*($A516-Ft!K$2)^2)))</f>
        <v>0</v>
      </c>
      <c r="P516"/>
      <c r="Q516"/>
    </row>
    <row r="517" spans="1:17">
      <c r="A517">
        <v>1030</v>
      </c>
      <c r="B517">
        <v>13.857983728801997</v>
      </c>
      <c r="C517" s="6">
        <f t="shared" si="17"/>
        <v>14.109169730829034</v>
      </c>
      <c r="D517" s="19">
        <f t="shared" si="18"/>
        <v>6.3094407614326581E-2</v>
      </c>
      <c r="E517" s="3">
        <f>Ft!$B$12+Ft!$B$14*(Data!A517-Vars!$B$3)</f>
        <v>0</v>
      </c>
      <c r="F517" s="3">
        <f>IF(($A517-Ft!B$2)&lt;0,Ft!B$3*((1-Ft!B$6)/(1+Ft!B$37*($A517-Ft!B$2)^2)+Ft!B$6*EXP(Ft!B$38*($A517-Ft!B$2)^2)),Ft!B$3*((1-Ft!B$7)/(1+Ft!B$39*($A517-Ft!B$2)^2)+Ft!B$7*EXP(Ft!B$40*($A517-Ft!B$2)^2)))</f>
        <v>0</v>
      </c>
      <c r="G517" s="3">
        <f>IF(($A517-Ft!C$2)&lt;0,Ft!C$3*((1-Ft!C$6)/(1+Ft!C$37*($A517-Ft!C$2)^2)+Ft!C$6*EXP(Ft!C$38*($A517-Ft!C$2)^2)),Ft!C$3*((1-Ft!C$7)/(1+Ft!C$39*($A517-Ft!C$2)^2)+Ft!C$7*EXP(Ft!C$40*($A517-Ft!C$2)^2)))</f>
        <v>8.8002337580073055E-28</v>
      </c>
      <c r="H517" s="3">
        <f>IF(($A517-Ft!D$2)&lt;0,Ft!D$3*((1-Ft!D$6)/(1+Ft!D$37*($A517-Ft!D$2)^2)+Ft!D$6*EXP(Ft!D$38*($A517-Ft!D$2)^2)),Ft!D$3*((1-Ft!D$7)/(1+Ft!D$39*($A517-Ft!D$2)^2)+Ft!D$7*EXP(Ft!D$40*($A517-Ft!D$2)^2)))</f>
        <v>4.8623898569964616E-2</v>
      </c>
      <c r="I517" s="3">
        <f>IF(($A517-Ft!E$2)&lt;0,Ft!E$3*((1-Ft!E$6)/(1+Ft!E$37*($A517-Ft!E$2)^2)+Ft!E$6*EXP(Ft!E$38*($A517-Ft!E$2)^2)),Ft!E$3*((1-Ft!E$7)/(1+Ft!E$39*($A517-Ft!E$2)^2)+Ft!E$7*EXP(Ft!E$40*($A517-Ft!E$2)^2)))</f>
        <v>5.2544242685169618</v>
      </c>
      <c r="J517" s="3">
        <f>IF(($A517-Ft!F$2)&lt;0,Ft!F$3*((1-Ft!F$6)/(1+Ft!F$37*($A517-Ft!F$2)^2)+Ft!F$6*EXP(Ft!F$38*($A517-Ft!F$2)^2)),Ft!F$3*((1-Ft!F$7)/(1+Ft!F$39*($A517-Ft!F$2)^2)+Ft!F$7*EXP(Ft!F$40*($A517-Ft!F$2)^2)))</f>
        <v>3.846818945741084</v>
      </c>
      <c r="K517" s="3">
        <f>IF(($A517-Ft!G$2)&lt;0,Ft!G$3*((1-Ft!G$6)/(1+Ft!G$37*($A517-Ft!G$2)^2)+Ft!G$6*EXP(Ft!G$38*($A517-Ft!G$2)^2)),Ft!G$3*((1-Ft!G$7)/(1+Ft!G$39*($A517-Ft!G$2)^2)+Ft!G$7*EXP(Ft!G$40*($A517-Ft!G$2)^2)))</f>
        <v>4.9593026180010238</v>
      </c>
      <c r="L517" s="3">
        <f>IF(($A517-Ft!H$2)&lt;0,Ft!H$3*((1-Ft!H$6)/(1+Ft!H$37*($A517-Ft!H$2)^2)+Ft!H$6*EXP(Ft!H$38*($A517-Ft!H$2)^2)),Ft!H$3*((1-Ft!H$7)/(1+Ft!H$39*($A517-Ft!H$2)^2)+Ft!H$7*EXP(Ft!H$40*($A517-Ft!H$2)^2)))</f>
        <v>0</v>
      </c>
      <c r="M517" s="3">
        <f>IF(($A517-Ft!I$2)&lt;0,Ft!I$3*((1-Ft!I$6)/(1+Ft!I$37*($A517-Ft!I$2)^2)+Ft!I$6*EXP(Ft!I$38*($A517-Ft!I$2)^2)),Ft!I$3*((1-Ft!I$7)/(1+Ft!I$39*($A517-Ft!I$2)^2)+Ft!I$7*EXP(Ft!I$40*($A517-Ft!I$2)^2)))</f>
        <v>0</v>
      </c>
      <c r="N517" s="3">
        <f>IF(($A517-Ft!J$2)&lt;0,Ft!J$3*((1-Ft!J$6)/(1+Ft!J$37*($A517-Ft!J$2)^2)+Ft!J$6*EXP(Ft!J$38*($A517-Ft!J$2)^2)),Ft!J$3*((1-Ft!J$7)/(1+Ft!J$39*($A517-Ft!J$2)^2)+Ft!J$7*EXP(Ft!J$40*($A517-Ft!J$2)^2)))</f>
        <v>0</v>
      </c>
      <c r="O517" s="3">
        <f>IF(($A517-Ft!K$2)&lt;0,Ft!K$3*((1-Ft!K$6)/(1+Ft!K$37*($A517-Ft!K$2)^2)+Ft!K$6*EXP(Ft!K$38*($A517-Ft!K$2)^2)),Ft!K$3*((1-Ft!K$7)/(1+Ft!K$39*($A517-Ft!K$2)^2)+Ft!K$7*EXP(Ft!K$40*($A517-Ft!K$2)^2)))</f>
        <v>0</v>
      </c>
      <c r="P517"/>
      <c r="Q517"/>
    </row>
    <row r="518" spans="1:17">
      <c r="A518">
        <v>1032</v>
      </c>
      <c r="B518">
        <v>13.840573750345996</v>
      </c>
      <c r="C518" s="6">
        <f t="shared" si="17"/>
        <v>14.15372187591986</v>
      </c>
      <c r="D518" s="19">
        <f t="shared" si="18"/>
        <v>9.8061748550424613E-2</v>
      </c>
      <c r="E518" s="3">
        <f>Ft!$B$12+Ft!$B$14*(Data!A518-Vars!$B$3)</f>
        <v>0</v>
      </c>
      <c r="F518" s="3">
        <f>IF(($A518-Ft!B$2)&lt;0,Ft!B$3*((1-Ft!B$6)/(1+Ft!B$37*($A518-Ft!B$2)^2)+Ft!B$6*EXP(Ft!B$38*($A518-Ft!B$2)^2)),Ft!B$3*((1-Ft!B$7)/(1+Ft!B$39*($A518-Ft!B$2)^2)+Ft!B$7*EXP(Ft!B$40*($A518-Ft!B$2)^2)))</f>
        <v>0</v>
      </c>
      <c r="G518" s="3">
        <f>IF(($A518-Ft!C$2)&lt;0,Ft!C$3*((1-Ft!C$6)/(1+Ft!C$37*($A518-Ft!C$2)^2)+Ft!C$6*EXP(Ft!C$38*($A518-Ft!C$2)^2)),Ft!C$3*((1-Ft!C$7)/(1+Ft!C$39*($A518-Ft!C$2)^2)+Ft!C$7*EXP(Ft!C$40*($A518-Ft!C$2)^2)))</f>
        <v>6.5862669193637542E-28</v>
      </c>
      <c r="H518" s="3">
        <f>IF(($A518-Ft!D$2)&lt;0,Ft!D$3*((1-Ft!D$6)/(1+Ft!D$37*($A518-Ft!D$2)^2)+Ft!D$6*EXP(Ft!D$38*($A518-Ft!D$2)^2)),Ft!D$3*((1-Ft!D$7)/(1+Ft!D$39*($A518-Ft!D$2)^2)+Ft!D$7*EXP(Ft!D$40*($A518-Ft!D$2)^2)))</f>
        <v>4.6650046089475893E-2</v>
      </c>
      <c r="I518" s="3">
        <f>IF(($A518-Ft!E$2)&lt;0,Ft!E$3*((1-Ft!E$6)/(1+Ft!E$37*($A518-Ft!E$2)^2)+Ft!E$6*EXP(Ft!E$38*($A518-Ft!E$2)^2)),Ft!E$3*((1-Ft!E$7)/(1+Ft!E$39*($A518-Ft!E$2)^2)+Ft!E$7*EXP(Ft!E$40*($A518-Ft!E$2)^2)))</f>
        <v>5.1452586279899002</v>
      </c>
      <c r="J518" s="3">
        <f>IF(($A518-Ft!F$2)&lt;0,Ft!F$3*((1-Ft!F$6)/(1+Ft!F$37*($A518-Ft!F$2)^2)+Ft!F$6*EXP(Ft!F$38*($A518-Ft!F$2)^2)),Ft!F$3*((1-Ft!F$7)/(1+Ft!F$39*($A518-Ft!F$2)^2)+Ft!F$7*EXP(Ft!F$40*($A518-Ft!F$2)^2)))</f>
        <v>3.72398982677753</v>
      </c>
      <c r="K518" s="3">
        <f>IF(($A518-Ft!G$2)&lt;0,Ft!G$3*((1-Ft!G$6)/(1+Ft!G$37*($A518-Ft!G$2)^2)+Ft!G$6*EXP(Ft!G$38*($A518-Ft!G$2)^2)),Ft!G$3*((1-Ft!G$7)/(1+Ft!G$39*($A518-Ft!G$2)^2)+Ft!G$7*EXP(Ft!G$40*($A518-Ft!G$2)^2)))</f>
        <v>5.2378233750629537</v>
      </c>
      <c r="L518" s="3">
        <f>IF(($A518-Ft!H$2)&lt;0,Ft!H$3*((1-Ft!H$6)/(1+Ft!H$37*($A518-Ft!H$2)^2)+Ft!H$6*EXP(Ft!H$38*($A518-Ft!H$2)^2)),Ft!H$3*((1-Ft!H$7)/(1+Ft!H$39*($A518-Ft!H$2)^2)+Ft!H$7*EXP(Ft!H$40*($A518-Ft!H$2)^2)))</f>
        <v>0</v>
      </c>
      <c r="M518" s="3">
        <f>IF(($A518-Ft!I$2)&lt;0,Ft!I$3*((1-Ft!I$6)/(1+Ft!I$37*($A518-Ft!I$2)^2)+Ft!I$6*EXP(Ft!I$38*($A518-Ft!I$2)^2)),Ft!I$3*((1-Ft!I$7)/(1+Ft!I$39*($A518-Ft!I$2)^2)+Ft!I$7*EXP(Ft!I$40*($A518-Ft!I$2)^2)))</f>
        <v>0</v>
      </c>
      <c r="N518" s="3">
        <f>IF(($A518-Ft!J$2)&lt;0,Ft!J$3*((1-Ft!J$6)/(1+Ft!J$37*($A518-Ft!J$2)^2)+Ft!J$6*EXP(Ft!J$38*($A518-Ft!J$2)^2)),Ft!J$3*((1-Ft!J$7)/(1+Ft!J$39*($A518-Ft!J$2)^2)+Ft!J$7*EXP(Ft!J$40*($A518-Ft!J$2)^2)))</f>
        <v>0</v>
      </c>
      <c r="O518" s="3">
        <f>IF(($A518-Ft!K$2)&lt;0,Ft!K$3*((1-Ft!K$6)/(1+Ft!K$37*($A518-Ft!K$2)^2)+Ft!K$6*EXP(Ft!K$38*($A518-Ft!K$2)^2)),Ft!K$3*((1-Ft!K$7)/(1+Ft!K$39*($A518-Ft!K$2)^2)+Ft!K$7*EXP(Ft!K$40*($A518-Ft!K$2)^2)))</f>
        <v>0</v>
      </c>
      <c r="P518"/>
      <c r="Q518"/>
    </row>
    <row r="519" spans="1:17">
      <c r="A519">
        <v>1034</v>
      </c>
      <c r="B519">
        <v>13.827380678623996</v>
      </c>
      <c r="C519" s="6">
        <f t="shared" si="17"/>
        <v>14.169500066369414</v>
      </c>
      <c r="D519" s="19">
        <f t="shared" si="18"/>
        <v>0.11704567547129986</v>
      </c>
      <c r="E519" s="3">
        <f>Ft!$B$12+Ft!$B$14*(Data!A519-Vars!$B$3)</f>
        <v>0</v>
      </c>
      <c r="F519" s="3">
        <f>IF(($A519-Ft!B$2)&lt;0,Ft!B$3*((1-Ft!B$6)/(1+Ft!B$37*($A519-Ft!B$2)^2)+Ft!B$6*EXP(Ft!B$38*($A519-Ft!B$2)^2)),Ft!B$3*((1-Ft!B$7)/(1+Ft!B$39*($A519-Ft!B$2)^2)+Ft!B$7*EXP(Ft!B$40*($A519-Ft!B$2)^2)))</f>
        <v>0</v>
      </c>
      <c r="G519" s="3">
        <f>IF(($A519-Ft!C$2)&lt;0,Ft!C$3*((1-Ft!C$6)/(1+Ft!C$37*($A519-Ft!C$2)^2)+Ft!C$6*EXP(Ft!C$38*($A519-Ft!C$2)^2)),Ft!C$3*((1-Ft!C$7)/(1+Ft!C$39*($A519-Ft!C$2)^2)+Ft!C$7*EXP(Ft!C$40*($A519-Ft!C$2)^2)))</f>
        <v>4.9260904105355144E-28</v>
      </c>
      <c r="H519" s="3">
        <f>IF(($A519-Ft!D$2)&lt;0,Ft!D$3*((1-Ft!D$6)/(1+Ft!D$37*($A519-Ft!D$2)^2)+Ft!D$6*EXP(Ft!D$38*($A519-Ft!D$2)^2)),Ft!D$3*((1-Ft!D$7)/(1+Ft!D$39*($A519-Ft!D$2)^2)+Ft!D$7*EXP(Ft!D$40*($A519-Ft!D$2)^2)))</f>
        <v>4.4749886929154388E-2</v>
      </c>
      <c r="I519" s="3">
        <f>IF(($A519-Ft!E$2)&lt;0,Ft!E$3*((1-Ft!E$6)/(1+Ft!E$37*($A519-Ft!E$2)^2)+Ft!E$6*EXP(Ft!E$38*($A519-Ft!E$2)^2)),Ft!E$3*((1-Ft!E$7)/(1+Ft!E$39*($A519-Ft!E$2)^2)+Ft!E$7*EXP(Ft!E$40*($A519-Ft!E$2)^2)))</f>
        <v>5.0373465944701028</v>
      </c>
      <c r="J519" s="3">
        <f>IF(($A519-Ft!F$2)&lt;0,Ft!F$3*((1-Ft!F$6)/(1+Ft!F$37*($A519-Ft!F$2)^2)+Ft!F$6*EXP(Ft!F$38*($A519-Ft!F$2)^2)),Ft!F$3*((1-Ft!F$7)/(1+Ft!F$39*($A519-Ft!F$2)^2)+Ft!F$7*EXP(Ft!F$40*($A519-Ft!F$2)^2)))</f>
        <v>3.5973318234310332</v>
      </c>
      <c r="K519" s="3">
        <f>IF(($A519-Ft!G$2)&lt;0,Ft!G$3*((1-Ft!G$6)/(1+Ft!G$37*($A519-Ft!G$2)^2)+Ft!G$6*EXP(Ft!G$38*($A519-Ft!G$2)^2)),Ft!G$3*((1-Ft!G$7)/(1+Ft!G$39*($A519-Ft!G$2)^2)+Ft!G$7*EXP(Ft!G$40*($A519-Ft!G$2)^2)))</f>
        <v>5.4900717615391237</v>
      </c>
      <c r="L519" s="3">
        <f>IF(($A519-Ft!H$2)&lt;0,Ft!H$3*((1-Ft!H$6)/(1+Ft!H$37*($A519-Ft!H$2)^2)+Ft!H$6*EXP(Ft!H$38*($A519-Ft!H$2)^2)),Ft!H$3*((1-Ft!H$7)/(1+Ft!H$39*($A519-Ft!H$2)^2)+Ft!H$7*EXP(Ft!H$40*($A519-Ft!H$2)^2)))</f>
        <v>0</v>
      </c>
      <c r="M519" s="3">
        <f>IF(($A519-Ft!I$2)&lt;0,Ft!I$3*((1-Ft!I$6)/(1+Ft!I$37*($A519-Ft!I$2)^2)+Ft!I$6*EXP(Ft!I$38*($A519-Ft!I$2)^2)),Ft!I$3*((1-Ft!I$7)/(1+Ft!I$39*($A519-Ft!I$2)^2)+Ft!I$7*EXP(Ft!I$40*($A519-Ft!I$2)^2)))</f>
        <v>0</v>
      </c>
      <c r="N519" s="3">
        <f>IF(($A519-Ft!J$2)&lt;0,Ft!J$3*((1-Ft!J$6)/(1+Ft!J$37*($A519-Ft!J$2)^2)+Ft!J$6*EXP(Ft!J$38*($A519-Ft!J$2)^2)),Ft!J$3*((1-Ft!J$7)/(1+Ft!J$39*($A519-Ft!J$2)^2)+Ft!J$7*EXP(Ft!J$40*($A519-Ft!J$2)^2)))</f>
        <v>0</v>
      </c>
      <c r="O519" s="3">
        <f>IF(($A519-Ft!K$2)&lt;0,Ft!K$3*((1-Ft!K$6)/(1+Ft!K$37*($A519-Ft!K$2)^2)+Ft!K$6*EXP(Ft!K$38*($A519-Ft!K$2)^2)),Ft!K$3*((1-Ft!K$7)/(1+Ft!K$39*($A519-Ft!K$2)^2)+Ft!K$7*EXP(Ft!K$40*($A519-Ft!K$2)^2)))</f>
        <v>0</v>
      </c>
      <c r="P519"/>
      <c r="Q519"/>
    </row>
    <row r="520" spans="1:17">
      <c r="A520">
        <v>1036</v>
      </c>
      <c r="B520">
        <v>13.808700175548992</v>
      </c>
      <c r="C520" s="6">
        <f t="shared" si="17"/>
        <v>14.152004390058588</v>
      </c>
      <c r="D520" s="19">
        <f t="shared" si="18"/>
        <v>0.1178577837000505</v>
      </c>
      <c r="E520" s="3">
        <f>Ft!$B$12+Ft!$B$14*(Data!A520-Vars!$B$3)</f>
        <v>0</v>
      </c>
      <c r="F520" s="3">
        <f>IF(($A520-Ft!B$2)&lt;0,Ft!B$3*((1-Ft!B$6)/(1+Ft!B$37*($A520-Ft!B$2)^2)+Ft!B$6*EXP(Ft!B$38*($A520-Ft!B$2)^2)),Ft!B$3*((1-Ft!B$7)/(1+Ft!B$39*($A520-Ft!B$2)^2)+Ft!B$7*EXP(Ft!B$40*($A520-Ft!B$2)^2)))</f>
        <v>0</v>
      </c>
      <c r="G520" s="3">
        <f>IF(($A520-Ft!C$2)&lt;0,Ft!C$3*((1-Ft!C$6)/(1+Ft!C$37*($A520-Ft!C$2)^2)+Ft!C$6*EXP(Ft!C$38*($A520-Ft!C$2)^2)),Ft!C$3*((1-Ft!C$7)/(1+Ft!C$39*($A520-Ft!C$2)^2)+Ft!C$7*EXP(Ft!C$40*($A520-Ft!C$2)^2)))</f>
        <v>3.6819964183655428E-28</v>
      </c>
      <c r="H520" s="3">
        <f>IF(($A520-Ft!D$2)&lt;0,Ft!D$3*((1-Ft!D$6)/(1+Ft!D$37*($A520-Ft!D$2)^2)+Ft!D$6*EXP(Ft!D$38*($A520-Ft!D$2)^2)),Ft!D$3*((1-Ft!D$7)/(1+Ft!D$39*($A520-Ft!D$2)^2)+Ft!D$7*EXP(Ft!D$40*($A520-Ft!D$2)^2)))</f>
        <v>4.2920954575222561E-2</v>
      </c>
      <c r="I520" s="3">
        <f>IF(($A520-Ft!E$2)&lt;0,Ft!E$3*((1-Ft!E$6)/(1+Ft!E$37*($A520-Ft!E$2)^2)+Ft!E$6*EXP(Ft!E$38*($A520-Ft!E$2)^2)),Ft!E$3*((1-Ft!E$7)/(1+Ft!E$39*($A520-Ft!E$2)^2)+Ft!E$7*EXP(Ft!E$40*($A520-Ft!E$2)^2)))</f>
        <v>4.930704873796909</v>
      </c>
      <c r="J520" s="3">
        <f>IF(($A520-Ft!F$2)&lt;0,Ft!F$3*((1-Ft!F$6)/(1+Ft!F$37*($A520-Ft!F$2)^2)+Ft!F$6*EXP(Ft!F$38*($A520-Ft!F$2)^2)),Ft!F$3*((1-Ft!F$7)/(1+Ft!F$39*($A520-Ft!F$2)^2)+Ft!F$7*EXP(Ft!F$40*($A520-Ft!F$2)^2)))</f>
        <v>3.4675105217832338</v>
      </c>
      <c r="K520" s="3">
        <f>IF(($A520-Ft!G$2)&lt;0,Ft!G$3*((1-Ft!G$6)/(1+Ft!G$37*($A520-Ft!G$2)^2)+Ft!G$6*EXP(Ft!G$38*($A520-Ft!G$2)^2)),Ft!G$3*((1-Ft!G$7)/(1+Ft!G$39*($A520-Ft!G$2)^2)+Ft!G$7*EXP(Ft!G$40*($A520-Ft!G$2)^2)))</f>
        <v>5.7108680399032217</v>
      </c>
      <c r="L520" s="3">
        <f>IF(($A520-Ft!H$2)&lt;0,Ft!H$3*((1-Ft!H$6)/(1+Ft!H$37*($A520-Ft!H$2)^2)+Ft!H$6*EXP(Ft!H$38*($A520-Ft!H$2)^2)),Ft!H$3*((1-Ft!H$7)/(1+Ft!H$39*($A520-Ft!H$2)^2)+Ft!H$7*EXP(Ft!H$40*($A520-Ft!H$2)^2)))</f>
        <v>0</v>
      </c>
      <c r="M520" s="3">
        <f>IF(($A520-Ft!I$2)&lt;0,Ft!I$3*((1-Ft!I$6)/(1+Ft!I$37*($A520-Ft!I$2)^2)+Ft!I$6*EXP(Ft!I$38*($A520-Ft!I$2)^2)),Ft!I$3*((1-Ft!I$7)/(1+Ft!I$39*($A520-Ft!I$2)^2)+Ft!I$7*EXP(Ft!I$40*($A520-Ft!I$2)^2)))</f>
        <v>0</v>
      </c>
      <c r="N520" s="3">
        <f>IF(($A520-Ft!J$2)&lt;0,Ft!J$3*((1-Ft!J$6)/(1+Ft!J$37*($A520-Ft!J$2)^2)+Ft!J$6*EXP(Ft!J$38*($A520-Ft!J$2)^2)),Ft!J$3*((1-Ft!J$7)/(1+Ft!J$39*($A520-Ft!J$2)^2)+Ft!J$7*EXP(Ft!J$40*($A520-Ft!J$2)^2)))</f>
        <v>0</v>
      </c>
      <c r="O520" s="3">
        <f>IF(($A520-Ft!K$2)&lt;0,Ft!K$3*((1-Ft!K$6)/(1+Ft!K$37*($A520-Ft!K$2)^2)+Ft!K$6*EXP(Ft!K$38*($A520-Ft!K$2)^2)),Ft!K$3*((1-Ft!K$7)/(1+Ft!K$39*($A520-Ft!K$2)^2)+Ft!K$7*EXP(Ft!K$40*($A520-Ft!K$2)^2)))</f>
        <v>0</v>
      </c>
      <c r="P520"/>
      <c r="Q520"/>
    </row>
    <row r="521" spans="1:17">
      <c r="A521">
        <v>1038</v>
      </c>
      <c r="B521">
        <v>13.774827903030001</v>
      </c>
      <c r="C521" s="6">
        <f t="shared" si="17"/>
        <v>14.097232319008334</v>
      </c>
      <c r="D521" s="19">
        <f t="shared" si="18"/>
        <v>0.10394460744233014</v>
      </c>
      <c r="E521" s="3">
        <f>Ft!$B$12+Ft!$B$14*(Data!A521-Vars!$B$3)</f>
        <v>0</v>
      </c>
      <c r="F521" s="3">
        <f>IF(($A521-Ft!B$2)&lt;0,Ft!B$3*((1-Ft!B$6)/(1+Ft!B$37*($A521-Ft!B$2)^2)+Ft!B$6*EXP(Ft!B$38*($A521-Ft!B$2)^2)),Ft!B$3*((1-Ft!B$7)/(1+Ft!B$39*($A521-Ft!B$2)^2)+Ft!B$7*EXP(Ft!B$40*($A521-Ft!B$2)^2)))</f>
        <v>0</v>
      </c>
      <c r="G521" s="3">
        <f>IF(($A521-Ft!C$2)&lt;0,Ft!C$3*((1-Ft!C$6)/(1+Ft!C$37*($A521-Ft!C$2)^2)+Ft!C$6*EXP(Ft!C$38*($A521-Ft!C$2)^2)),Ft!C$3*((1-Ft!C$7)/(1+Ft!C$39*($A521-Ft!C$2)^2)+Ft!C$7*EXP(Ft!C$40*($A521-Ft!C$2)^2)))</f>
        <v>2.7503139858105673E-28</v>
      </c>
      <c r="H521" s="3">
        <f>IF(($A521-Ft!D$2)&lt;0,Ft!D$3*((1-Ft!D$6)/(1+Ft!D$37*($A521-Ft!D$2)^2)+Ft!D$6*EXP(Ft!D$38*($A521-Ft!D$2)^2)),Ft!D$3*((1-Ft!D$7)/(1+Ft!D$39*($A521-Ft!D$2)^2)+Ft!D$7*EXP(Ft!D$40*($A521-Ft!D$2)^2)))</f>
        <v>4.1160853061301871E-2</v>
      </c>
      <c r="I521" s="3">
        <f>IF(($A521-Ft!E$2)&lt;0,Ft!E$3*((1-Ft!E$6)/(1+Ft!E$37*($A521-Ft!E$2)^2)+Ft!E$6*EXP(Ft!E$38*($A521-Ft!E$2)^2)),Ft!E$3*((1-Ft!E$7)/(1+Ft!E$39*($A521-Ft!E$2)^2)+Ft!E$7*EXP(Ft!E$40*($A521-Ft!E$2)^2)))</f>
        <v>4.8253490606463521</v>
      </c>
      <c r="J521" s="3">
        <f>IF(($A521-Ft!F$2)&lt;0,Ft!F$3*((1-Ft!F$6)/(1+Ft!F$37*($A521-Ft!F$2)^2)+Ft!F$6*EXP(Ft!F$38*($A521-Ft!F$2)^2)),Ft!F$3*((1-Ft!F$7)/(1+Ft!F$39*($A521-Ft!F$2)^2)+Ft!F$7*EXP(Ft!F$40*($A521-Ft!F$2)^2)))</f>
        <v>3.3351882311255898</v>
      </c>
      <c r="K521" s="3">
        <f>IF(($A521-Ft!G$2)&lt;0,Ft!G$3*((1-Ft!G$6)/(1+Ft!G$37*($A521-Ft!G$2)^2)+Ft!G$6*EXP(Ft!G$38*($A521-Ft!G$2)^2)),Ft!G$3*((1-Ft!G$7)/(1+Ft!G$39*($A521-Ft!G$2)^2)+Ft!G$7*EXP(Ft!G$40*($A521-Ft!G$2)^2)))</f>
        <v>5.8955341741750908</v>
      </c>
      <c r="L521" s="3">
        <f>IF(($A521-Ft!H$2)&lt;0,Ft!H$3*((1-Ft!H$6)/(1+Ft!H$37*($A521-Ft!H$2)^2)+Ft!H$6*EXP(Ft!H$38*($A521-Ft!H$2)^2)),Ft!H$3*((1-Ft!H$7)/(1+Ft!H$39*($A521-Ft!H$2)^2)+Ft!H$7*EXP(Ft!H$40*($A521-Ft!H$2)^2)))</f>
        <v>0</v>
      </c>
      <c r="M521" s="3">
        <f>IF(($A521-Ft!I$2)&lt;0,Ft!I$3*((1-Ft!I$6)/(1+Ft!I$37*($A521-Ft!I$2)^2)+Ft!I$6*EXP(Ft!I$38*($A521-Ft!I$2)^2)),Ft!I$3*((1-Ft!I$7)/(1+Ft!I$39*($A521-Ft!I$2)^2)+Ft!I$7*EXP(Ft!I$40*($A521-Ft!I$2)^2)))</f>
        <v>0</v>
      </c>
      <c r="N521" s="3">
        <f>IF(($A521-Ft!J$2)&lt;0,Ft!J$3*((1-Ft!J$6)/(1+Ft!J$37*($A521-Ft!J$2)^2)+Ft!J$6*EXP(Ft!J$38*($A521-Ft!J$2)^2)),Ft!J$3*((1-Ft!J$7)/(1+Ft!J$39*($A521-Ft!J$2)^2)+Ft!J$7*EXP(Ft!J$40*($A521-Ft!J$2)^2)))</f>
        <v>0</v>
      </c>
      <c r="O521" s="3">
        <f>IF(($A521-Ft!K$2)&lt;0,Ft!K$3*((1-Ft!K$6)/(1+Ft!K$37*($A521-Ft!K$2)^2)+Ft!K$6*EXP(Ft!K$38*($A521-Ft!K$2)^2)),Ft!K$3*((1-Ft!K$7)/(1+Ft!K$39*($A521-Ft!K$2)^2)+Ft!K$7*EXP(Ft!K$40*($A521-Ft!K$2)^2)))</f>
        <v>0</v>
      </c>
      <c r="P521"/>
      <c r="Q521"/>
    </row>
    <row r="522" spans="1:17">
      <c r="A522">
        <v>1040</v>
      </c>
      <c r="B522">
        <v>13.716059522978995</v>
      </c>
      <c r="C522" s="6">
        <f t="shared" si="17"/>
        <v>14.001837700921396</v>
      </c>
      <c r="D522" s="19">
        <f t="shared" si="18"/>
        <v>8.1669166988078551E-2</v>
      </c>
      <c r="E522" s="3">
        <f>Ft!$B$12+Ft!$B$14*(Data!A522-Vars!$B$3)</f>
        <v>0</v>
      </c>
      <c r="F522" s="3">
        <f>IF(($A522-Ft!B$2)&lt;0,Ft!B$3*((1-Ft!B$6)/(1+Ft!B$37*($A522-Ft!B$2)^2)+Ft!B$6*EXP(Ft!B$38*($A522-Ft!B$2)^2)),Ft!B$3*((1-Ft!B$7)/(1+Ft!B$39*($A522-Ft!B$2)^2)+Ft!B$7*EXP(Ft!B$40*($A522-Ft!B$2)^2)))</f>
        <v>0</v>
      </c>
      <c r="G522" s="3">
        <f>IF(($A522-Ft!C$2)&lt;0,Ft!C$3*((1-Ft!C$6)/(1+Ft!C$37*($A522-Ft!C$2)^2)+Ft!C$6*EXP(Ft!C$38*($A522-Ft!C$2)^2)),Ft!C$3*((1-Ft!C$7)/(1+Ft!C$39*($A522-Ft!C$2)^2)+Ft!C$7*EXP(Ft!C$40*($A522-Ft!C$2)^2)))</f>
        <v>2.0530481033526979E-28</v>
      </c>
      <c r="H522" s="3">
        <f>IF(($A522-Ft!D$2)&lt;0,Ft!D$3*((1-Ft!D$6)/(1+Ft!D$37*($A522-Ft!D$2)^2)+Ft!D$6*EXP(Ft!D$38*($A522-Ft!D$2)^2)),Ft!D$3*((1-Ft!D$7)/(1+Ft!D$39*($A522-Ft!D$2)^2)+Ft!D$7*EXP(Ft!D$40*($A522-Ft!D$2)^2)))</f>
        <v>3.9467255434572919E-2</v>
      </c>
      <c r="I522" s="3">
        <f>IF(($A522-Ft!E$2)&lt;0,Ft!E$3*((1-Ft!E$6)/(1+Ft!E$37*($A522-Ft!E$2)^2)+Ft!E$6*EXP(Ft!E$38*($A522-Ft!E$2)^2)),Ft!E$3*((1-Ft!E$7)/(1+Ft!E$39*($A522-Ft!E$2)^2)+Ft!E$7*EXP(Ft!E$40*($A522-Ft!E$2)^2)))</f>
        <v>4.7212936496280156</v>
      </c>
      <c r="J522" s="3">
        <f>IF(($A522-Ft!F$2)&lt;0,Ft!F$3*((1-Ft!F$6)/(1+Ft!F$37*($A522-Ft!F$2)^2)+Ft!F$6*EXP(Ft!F$38*($A522-Ft!F$2)^2)),Ft!F$3*((1-Ft!F$7)/(1+Ft!F$39*($A522-Ft!F$2)^2)+Ft!F$7*EXP(Ft!F$40*($A522-Ft!F$2)^2)))</f>
        <v>3.2010185126830244</v>
      </c>
      <c r="K522" s="3">
        <f>IF(($A522-Ft!G$2)&lt;0,Ft!G$3*((1-Ft!G$6)/(1+Ft!G$37*($A522-Ft!G$2)^2)+Ft!G$6*EXP(Ft!G$38*($A522-Ft!G$2)^2)),Ft!G$3*((1-Ft!G$7)/(1+Ft!G$39*($A522-Ft!G$2)^2)+Ft!G$7*EXP(Ft!G$40*($A522-Ft!G$2)^2)))</f>
        <v>6.0400582831757816</v>
      </c>
      <c r="L522" s="3">
        <f>IF(($A522-Ft!H$2)&lt;0,Ft!H$3*((1-Ft!H$6)/(1+Ft!H$37*($A522-Ft!H$2)^2)+Ft!H$6*EXP(Ft!H$38*($A522-Ft!H$2)^2)),Ft!H$3*((1-Ft!H$7)/(1+Ft!H$39*($A522-Ft!H$2)^2)+Ft!H$7*EXP(Ft!H$40*($A522-Ft!H$2)^2)))</f>
        <v>0</v>
      </c>
      <c r="M522" s="3">
        <f>IF(($A522-Ft!I$2)&lt;0,Ft!I$3*((1-Ft!I$6)/(1+Ft!I$37*($A522-Ft!I$2)^2)+Ft!I$6*EXP(Ft!I$38*($A522-Ft!I$2)^2)),Ft!I$3*((1-Ft!I$7)/(1+Ft!I$39*($A522-Ft!I$2)^2)+Ft!I$7*EXP(Ft!I$40*($A522-Ft!I$2)^2)))</f>
        <v>0</v>
      </c>
      <c r="N522" s="3">
        <f>IF(($A522-Ft!J$2)&lt;0,Ft!J$3*((1-Ft!J$6)/(1+Ft!J$37*($A522-Ft!J$2)^2)+Ft!J$6*EXP(Ft!J$38*($A522-Ft!J$2)^2)),Ft!J$3*((1-Ft!J$7)/(1+Ft!J$39*($A522-Ft!J$2)^2)+Ft!J$7*EXP(Ft!J$40*($A522-Ft!J$2)^2)))</f>
        <v>0</v>
      </c>
      <c r="O522" s="3">
        <f>IF(($A522-Ft!K$2)&lt;0,Ft!K$3*((1-Ft!K$6)/(1+Ft!K$37*($A522-Ft!K$2)^2)+Ft!K$6*EXP(Ft!K$38*($A522-Ft!K$2)^2)),Ft!K$3*((1-Ft!K$7)/(1+Ft!K$39*($A522-Ft!K$2)^2)+Ft!K$7*EXP(Ft!K$40*($A522-Ft!K$2)^2)))</f>
        <v>0</v>
      </c>
      <c r="P522"/>
      <c r="Q522"/>
    </row>
    <row r="523" spans="1:17">
      <c r="A523">
        <v>1042</v>
      </c>
      <c r="B523">
        <v>13.622690697306993</v>
      </c>
      <c r="C523" s="6">
        <f t="shared" si="17"/>
        <v>13.863270383224769</v>
      </c>
      <c r="D523" s="19">
        <f t="shared" si="18"/>
        <v>5.7878585276295857E-2</v>
      </c>
      <c r="E523" s="3">
        <f>Ft!$B$12+Ft!$B$14*(Data!A523-Vars!$B$3)</f>
        <v>0</v>
      </c>
      <c r="F523" s="3">
        <f>IF(($A523-Ft!B$2)&lt;0,Ft!B$3*((1-Ft!B$6)/(1+Ft!B$37*($A523-Ft!B$2)^2)+Ft!B$6*EXP(Ft!B$38*($A523-Ft!B$2)^2)),Ft!B$3*((1-Ft!B$7)/(1+Ft!B$39*($A523-Ft!B$2)^2)+Ft!B$7*EXP(Ft!B$40*($A523-Ft!B$2)^2)))</f>
        <v>0</v>
      </c>
      <c r="G523" s="3">
        <f>IF(($A523-Ft!C$2)&lt;0,Ft!C$3*((1-Ft!C$6)/(1+Ft!C$37*($A523-Ft!C$2)^2)+Ft!C$6*EXP(Ft!C$38*($A523-Ft!C$2)^2)),Ft!C$3*((1-Ft!C$7)/(1+Ft!C$39*($A523-Ft!C$2)^2)+Ft!C$7*EXP(Ft!C$40*($A523-Ft!C$2)^2)))</f>
        <v>1.5315596115676645E-28</v>
      </c>
      <c r="H523" s="3">
        <f>IF(($A523-Ft!D$2)&lt;0,Ft!D$3*((1-Ft!D$6)/(1+Ft!D$37*($A523-Ft!D$2)^2)+Ft!D$6*EXP(Ft!D$38*($A523-Ft!D$2)^2)),Ft!D$3*((1-Ft!D$7)/(1+Ft!D$39*($A523-Ft!D$2)^2)+Ft!D$7*EXP(Ft!D$40*($A523-Ft!D$2)^2)))</f>
        <v>3.7837902236147039E-2</v>
      </c>
      <c r="I523" s="3">
        <f>IF(($A523-Ft!E$2)&lt;0,Ft!E$3*((1-Ft!E$6)/(1+Ft!E$37*($A523-Ft!E$2)^2)+Ft!E$6*EXP(Ft!E$38*($A523-Ft!E$2)^2)),Ft!E$3*((1-Ft!E$7)/(1+Ft!E$39*($A523-Ft!E$2)^2)+Ft!E$7*EXP(Ft!E$40*($A523-Ft!E$2)^2)))</f>
        <v>4.6185520472413906</v>
      </c>
      <c r="J523" s="3">
        <f>IF(($A523-Ft!F$2)&lt;0,Ft!F$3*((1-Ft!F$6)/(1+Ft!F$37*($A523-Ft!F$2)^2)+Ft!F$6*EXP(Ft!F$38*($A523-Ft!F$2)^2)),Ft!F$3*((1-Ft!F$7)/(1+Ft!F$39*($A523-Ft!F$2)^2)+Ft!F$7*EXP(Ft!F$40*($A523-Ft!F$2)^2)))</f>
        <v>3.0656410034826136</v>
      </c>
      <c r="K523" s="3">
        <f>IF(($A523-Ft!G$2)&lt;0,Ft!G$3*((1-Ft!G$6)/(1+Ft!G$37*($A523-Ft!G$2)^2)+Ft!G$6*EXP(Ft!G$38*($A523-Ft!G$2)^2)),Ft!G$3*((1-Ft!G$7)/(1+Ft!G$39*($A523-Ft!G$2)^2)+Ft!G$7*EXP(Ft!G$40*($A523-Ft!G$2)^2)))</f>
        <v>6.1412394302646174</v>
      </c>
      <c r="L523" s="3">
        <f>IF(($A523-Ft!H$2)&lt;0,Ft!H$3*((1-Ft!H$6)/(1+Ft!H$37*($A523-Ft!H$2)^2)+Ft!H$6*EXP(Ft!H$38*($A523-Ft!H$2)^2)),Ft!H$3*((1-Ft!H$7)/(1+Ft!H$39*($A523-Ft!H$2)^2)+Ft!H$7*EXP(Ft!H$40*($A523-Ft!H$2)^2)))</f>
        <v>0</v>
      </c>
      <c r="M523" s="3">
        <f>IF(($A523-Ft!I$2)&lt;0,Ft!I$3*((1-Ft!I$6)/(1+Ft!I$37*($A523-Ft!I$2)^2)+Ft!I$6*EXP(Ft!I$38*($A523-Ft!I$2)^2)),Ft!I$3*((1-Ft!I$7)/(1+Ft!I$39*($A523-Ft!I$2)^2)+Ft!I$7*EXP(Ft!I$40*($A523-Ft!I$2)^2)))</f>
        <v>0</v>
      </c>
      <c r="N523" s="3">
        <f>IF(($A523-Ft!J$2)&lt;0,Ft!J$3*((1-Ft!J$6)/(1+Ft!J$37*($A523-Ft!J$2)^2)+Ft!J$6*EXP(Ft!J$38*($A523-Ft!J$2)^2)),Ft!J$3*((1-Ft!J$7)/(1+Ft!J$39*($A523-Ft!J$2)^2)+Ft!J$7*EXP(Ft!J$40*($A523-Ft!J$2)^2)))</f>
        <v>0</v>
      </c>
      <c r="O523" s="3">
        <f>IF(($A523-Ft!K$2)&lt;0,Ft!K$3*((1-Ft!K$6)/(1+Ft!K$37*($A523-Ft!K$2)^2)+Ft!K$6*EXP(Ft!K$38*($A523-Ft!K$2)^2)),Ft!K$3*((1-Ft!K$7)/(1+Ft!K$39*($A523-Ft!K$2)^2)+Ft!K$7*EXP(Ft!K$40*($A523-Ft!K$2)^2)))</f>
        <v>0</v>
      </c>
      <c r="P523"/>
      <c r="Q523"/>
    </row>
    <row r="524" spans="1:17">
      <c r="A524">
        <v>1044</v>
      </c>
      <c r="B524">
        <v>13.485017087925002</v>
      </c>
      <c r="C524" s="6">
        <f t="shared" si="17"/>
        <v>13.679889232193641</v>
      </c>
      <c r="D524" s="19">
        <f t="shared" si="18"/>
        <v>3.7975152611857584E-2</v>
      </c>
      <c r="E524" s="3">
        <f>Ft!$B$12+Ft!$B$14*(Data!A524-Vars!$B$3)</f>
        <v>0</v>
      </c>
      <c r="F524" s="3">
        <f>IF(($A524-Ft!B$2)&lt;0,Ft!B$3*((1-Ft!B$6)/(1+Ft!B$37*($A524-Ft!B$2)^2)+Ft!B$6*EXP(Ft!B$38*($A524-Ft!B$2)^2)),Ft!B$3*((1-Ft!B$7)/(1+Ft!B$39*($A524-Ft!B$2)^2)+Ft!B$7*EXP(Ft!B$40*($A524-Ft!B$2)^2)))</f>
        <v>0</v>
      </c>
      <c r="G524" s="3">
        <f>IF(($A524-Ft!C$2)&lt;0,Ft!C$3*((1-Ft!C$6)/(1+Ft!C$37*($A524-Ft!C$2)^2)+Ft!C$6*EXP(Ft!C$38*($A524-Ft!C$2)^2)),Ft!C$3*((1-Ft!C$7)/(1+Ft!C$39*($A524-Ft!C$2)^2)+Ft!C$7*EXP(Ft!C$40*($A524-Ft!C$2)^2)))</f>
        <v>1.1417910052156388E-28</v>
      </c>
      <c r="H524" s="3">
        <f>IF(($A524-Ft!D$2)&lt;0,Ft!D$3*((1-Ft!D$6)/(1+Ft!D$37*($A524-Ft!D$2)^2)+Ft!D$6*EXP(Ft!D$38*($A524-Ft!D$2)^2)),Ft!D$3*((1-Ft!D$7)/(1+Ft!D$39*($A524-Ft!D$2)^2)+Ft!D$7*EXP(Ft!D$40*($A524-Ft!D$2)^2)))</f>
        <v>3.6270599996349746E-2</v>
      </c>
      <c r="I524" s="3">
        <f>IF(($A524-Ft!E$2)&lt;0,Ft!E$3*((1-Ft!E$6)/(1+Ft!E$37*($A524-Ft!E$2)^2)+Ft!E$6*EXP(Ft!E$38*($A524-Ft!E$2)^2)),Ft!E$3*((1-Ft!E$7)/(1+Ft!E$39*($A524-Ft!E$2)^2)+Ft!E$7*EXP(Ft!E$40*($A524-Ft!E$2)^2)))</f>
        <v>4.5171365846591112</v>
      </c>
      <c r="J524" s="3">
        <f>IF(($A524-Ft!F$2)&lt;0,Ft!F$3*((1-Ft!F$6)/(1+Ft!F$37*($A524-Ft!F$2)^2)+Ft!F$6*EXP(Ft!F$38*($A524-Ft!F$2)^2)),Ft!F$3*((1-Ft!F$7)/(1+Ft!F$39*($A524-Ft!F$2)^2)+Ft!F$7*EXP(Ft!F$40*($A524-Ft!F$2)^2)))</f>
        <v>2.9296765895244721</v>
      </c>
      <c r="K524" s="3">
        <f>IF(($A524-Ft!G$2)&lt;0,Ft!G$3*((1-Ft!G$6)/(1+Ft!G$37*($A524-Ft!G$2)^2)+Ft!G$6*EXP(Ft!G$38*($A524-Ft!G$2)^2)),Ft!G$3*((1-Ft!G$7)/(1+Ft!G$39*($A524-Ft!G$2)^2)+Ft!G$7*EXP(Ft!G$40*($A524-Ft!G$2)^2)))</f>
        <v>6.1968054580137082</v>
      </c>
      <c r="L524" s="3">
        <f>IF(($A524-Ft!H$2)&lt;0,Ft!H$3*((1-Ft!H$6)/(1+Ft!H$37*($A524-Ft!H$2)^2)+Ft!H$6*EXP(Ft!H$38*($A524-Ft!H$2)^2)),Ft!H$3*((1-Ft!H$7)/(1+Ft!H$39*($A524-Ft!H$2)^2)+Ft!H$7*EXP(Ft!H$40*($A524-Ft!H$2)^2)))</f>
        <v>0</v>
      </c>
      <c r="M524" s="3">
        <f>IF(($A524-Ft!I$2)&lt;0,Ft!I$3*((1-Ft!I$6)/(1+Ft!I$37*($A524-Ft!I$2)^2)+Ft!I$6*EXP(Ft!I$38*($A524-Ft!I$2)^2)),Ft!I$3*((1-Ft!I$7)/(1+Ft!I$39*($A524-Ft!I$2)^2)+Ft!I$7*EXP(Ft!I$40*($A524-Ft!I$2)^2)))</f>
        <v>0</v>
      </c>
      <c r="N524" s="3">
        <f>IF(($A524-Ft!J$2)&lt;0,Ft!J$3*((1-Ft!J$6)/(1+Ft!J$37*($A524-Ft!J$2)^2)+Ft!J$6*EXP(Ft!J$38*($A524-Ft!J$2)^2)),Ft!J$3*((1-Ft!J$7)/(1+Ft!J$39*($A524-Ft!J$2)^2)+Ft!J$7*EXP(Ft!J$40*($A524-Ft!J$2)^2)))</f>
        <v>0</v>
      </c>
      <c r="O524" s="3">
        <f>IF(($A524-Ft!K$2)&lt;0,Ft!K$3*((1-Ft!K$6)/(1+Ft!K$37*($A524-Ft!K$2)^2)+Ft!K$6*EXP(Ft!K$38*($A524-Ft!K$2)^2)),Ft!K$3*((1-Ft!K$7)/(1+Ft!K$39*($A524-Ft!K$2)^2)+Ft!K$7*EXP(Ft!K$40*($A524-Ft!K$2)^2)))</f>
        <v>0</v>
      </c>
      <c r="P524"/>
      <c r="Q524"/>
    </row>
    <row r="525" spans="1:17">
      <c r="A525">
        <v>1046</v>
      </c>
      <c r="B525">
        <v>13.293334356744992</v>
      </c>
      <c r="C525" s="6">
        <f t="shared" si="17"/>
        <v>13.45104253772876</v>
      </c>
      <c r="D525" s="19">
        <f t="shared" si="18"/>
        <v>2.4871870349208902E-2</v>
      </c>
      <c r="E525" s="3">
        <f>Ft!$B$12+Ft!$B$14*(Data!A525-Vars!$B$3)</f>
        <v>0</v>
      </c>
      <c r="F525" s="3">
        <f>IF(($A525-Ft!B$2)&lt;0,Ft!B$3*((1-Ft!B$6)/(1+Ft!B$37*($A525-Ft!B$2)^2)+Ft!B$6*EXP(Ft!B$38*($A525-Ft!B$2)^2)),Ft!B$3*((1-Ft!B$7)/(1+Ft!B$39*($A525-Ft!B$2)^2)+Ft!B$7*EXP(Ft!B$40*($A525-Ft!B$2)^2)))</f>
        <v>0</v>
      </c>
      <c r="G525" s="3">
        <f>IF(($A525-Ft!C$2)&lt;0,Ft!C$3*((1-Ft!C$6)/(1+Ft!C$37*($A525-Ft!C$2)^2)+Ft!C$6*EXP(Ft!C$38*($A525-Ft!C$2)^2)),Ft!C$3*((1-Ft!C$7)/(1+Ft!C$39*($A525-Ft!C$2)^2)+Ft!C$7*EXP(Ft!C$40*($A525-Ft!C$2)^2)))</f>
        <v>8.5066244868506384E-29</v>
      </c>
      <c r="H525" s="3">
        <f>IF(($A525-Ft!D$2)&lt;0,Ft!D$3*((1-Ft!D$6)/(1+Ft!D$37*($A525-Ft!D$2)^2)+Ft!D$6*EXP(Ft!D$38*($A525-Ft!D$2)^2)),Ft!D$3*((1-Ft!D$7)/(1+Ft!D$39*($A525-Ft!D$2)^2)+Ft!D$7*EXP(Ft!D$40*($A525-Ft!D$2)^2)))</f>
        <v>3.4763219745573996E-2</v>
      </c>
      <c r="I525" s="3">
        <f>IF(($A525-Ft!E$2)&lt;0,Ft!E$3*((1-Ft!E$6)/(1+Ft!E$37*($A525-Ft!E$2)^2)+Ft!E$6*EXP(Ft!E$38*($A525-Ft!E$2)^2)),Ft!E$3*((1-Ft!E$7)/(1+Ft!E$39*($A525-Ft!E$2)^2)+Ft!E$7*EXP(Ft!E$40*($A525-Ft!E$2)^2)))</f>
        <v>4.4170585313039483</v>
      </c>
      <c r="J525" s="3">
        <f>IF(($A525-Ft!F$2)&lt;0,Ft!F$3*((1-Ft!F$6)/(1+Ft!F$37*($A525-Ft!F$2)^2)+Ft!F$6*EXP(Ft!F$38*($A525-Ft!F$2)^2)),Ft!F$3*((1-Ft!F$7)/(1+Ft!F$39*($A525-Ft!F$2)^2)+Ft!F$7*EXP(Ft!F$40*($A525-Ft!F$2)^2)))</f>
        <v>2.7937229751468915</v>
      </c>
      <c r="K525" s="3">
        <f>IF(($A525-Ft!G$2)&lt;0,Ft!G$3*((1-Ft!G$6)/(1+Ft!G$37*($A525-Ft!G$2)^2)+Ft!G$6*EXP(Ft!G$38*($A525-Ft!G$2)^2)),Ft!G$3*((1-Ft!G$7)/(1+Ft!G$39*($A525-Ft!G$2)^2)+Ft!G$7*EXP(Ft!G$40*($A525-Ft!G$2)^2)))</f>
        <v>6.2054978115323465</v>
      </c>
      <c r="L525" s="3">
        <f>IF(($A525-Ft!H$2)&lt;0,Ft!H$3*((1-Ft!H$6)/(1+Ft!H$37*($A525-Ft!H$2)^2)+Ft!H$6*EXP(Ft!H$38*($A525-Ft!H$2)^2)),Ft!H$3*((1-Ft!H$7)/(1+Ft!H$39*($A525-Ft!H$2)^2)+Ft!H$7*EXP(Ft!H$40*($A525-Ft!H$2)^2)))</f>
        <v>0</v>
      </c>
      <c r="M525" s="3">
        <f>IF(($A525-Ft!I$2)&lt;0,Ft!I$3*((1-Ft!I$6)/(1+Ft!I$37*($A525-Ft!I$2)^2)+Ft!I$6*EXP(Ft!I$38*($A525-Ft!I$2)^2)),Ft!I$3*((1-Ft!I$7)/(1+Ft!I$39*($A525-Ft!I$2)^2)+Ft!I$7*EXP(Ft!I$40*($A525-Ft!I$2)^2)))</f>
        <v>0</v>
      </c>
      <c r="N525" s="3">
        <f>IF(($A525-Ft!J$2)&lt;0,Ft!J$3*((1-Ft!J$6)/(1+Ft!J$37*($A525-Ft!J$2)^2)+Ft!J$6*EXP(Ft!J$38*($A525-Ft!J$2)^2)),Ft!J$3*((1-Ft!J$7)/(1+Ft!J$39*($A525-Ft!J$2)^2)+Ft!J$7*EXP(Ft!J$40*($A525-Ft!J$2)^2)))</f>
        <v>0</v>
      </c>
      <c r="O525" s="3">
        <f>IF(($A525-Ft!K$2)&lt;0,Ft!K$3*((1-Ft!K$6)/(1+Ft!K$37*($A525-Ft!K$2)^2)+Ft!K$6*EXP(Ft!K$38*($A525-Ft!K$2)^2)),Ft!K$3*((1-Ft!K$7)/(1+Ft!K$39*($A525-Ft!K$2)^2)+Ft!K$7*EXP(Ft!K$40*($A525-Ft!K$2)^2)))</f>
        <v>0</v>
      </c>
      <c r="P525"/>
      <c r="Q525"/>
    </row>
    <row r="526" spans="1:17">
      <c r="A526">
        <v>1048</v>
      </c>
      <c r="B526">
        <v>13.061352381657997</v>
      </c>
      <c r="C526" s="6">
        <f t="shared" si="17"/>
        <v>13.177111420963683</v>
      </c>
      <c r="D526" s="19">
        <f t="shared" si="18"/>
        <v>1.3400155180975456E-2</v>
      </c>
      <c r="E526" s="3">
        <f>Ft!$B$12+Ft!$B$14*(Data!A526-Vars!$B$3)</f>
        <v>0</v>
      </c>
      <c r="F526" s="3">
        <f>IF(($A526-Ft!B$2)&lt;0,Ft!B$3*((1-Ft!B$6)/(1+Ft!B$37*($A526-Ft!B$2)^2)+Ft!B$6*EXP(Ft!B$38*($A526-Ft!B$2)^2)),Ft!B$3*((1-Ft!B$7)/(1+Ft!B$39*($A526-Ft!B$2)^2)+Ft!B$7*EXP(Ft!B$40*($A526-Ft!B$2)^2)))</f>
        <v>0</v>
      </c>
      <c r="G526" s="3">
        <f>IF(($A526-Ft!C$2)&lt;0,Ft!C$3*((1-Ft!C$6)/(1+Ft!C$37*($A526-Ft!C$2)^2)+Ft!C$6*EXP(Ft!C$38*($A526-Ft!C$2)^2)),Ft!C$3*((1-Ft!C$7)/(1+Ft!C$39*($A526-Ft!C$2)^2)+Ft!C$7*EXP(Ft!C$40*($A526-Ft!C$2)^2)))</f>
        <v>6.3335300964344251E-29</v>
      </c>
      <c r="H526" s="3">
        <f>IF(($A526-Ft!D$2)&lt;0,Ft!D$3*((1-Ft!D$6)/(1+Ft!D$37*($A526-Ft!D$2)^2)+Ft!D$6*EXP(Ft!D$38*($A526-Ft!D$2)^2)),Ft!D$3*((1-Ft!D$7)/(1+Ft!D$39*($A526-Ft!D$2)^2)+Ft!D$7*EXP(Ft!D$40*($A526-Ft!D$2)^2)))</f>
        <v>3.3313695541317481E-2</v>
      </c>
      <c r="I526" s="3">
        <f>IF(($A526-Ft!E$2)&lt;0,Ft!E$3*((1-Ft!E$6)/(1+Ft!E$37*($A526-Ft!E$2)^2)+Ft!E$6*EXP(Ft!E$38*($A526-Ft!E$2)^2)),Ft!E$3*((1-Ft!E$7)/(1+Ft!E$39*($A526-Ft!E$2)^2)+Ft!E$7*EXP(Ft!E$40*($A526-Ft!E$2)^2)))</f>
        <v>4.3183281091860781</v>
      </c>
      <c r="J526" s="3">
        <f>IF(($A526-Ft!F$2)&lt;0,Ft!F$3*((1-Ft!F$6)/(1+Ft!F$37*($A526-Ft!F$2)^2)+Ft!F$6*EXP(Ft!F$38*($A526-Ft!F$2)^2)),Ft!F$3*((1-Ft!F$7)/(1+Ft!F$39*($A526-Ft!F$2)^2)+Ft!F$7*EXP(Ft!F$40*($A526-Ft!F$2)^2)))</f>
        <v>2.6583506877158145</v>
      </c>
      <c r="K526" s="3">
        <f>IF(($A526-Ft!G$2)&lt;0,Ft!G$3*((1-Ft!G$6)/(1+Ft!G$37*($A526-Ft!G$2)^2)+Ft!G$6*EXP(Ft!G$38*($A526-Ft!G$2)^2)),Ft!G$3*((1-Ft!G$7)/(1+Ft!G$39*($A526-Ft!G$2)^2)+Ft!G$7*EXP(Ft!G$40*($A526-Ft!G$2)^2)))</f>
        <v>6.1671189285204724</v>
      </c>
      <c r="L526" s="3">
        <f>IF(($A526-Ft!H$2)&lt;0,Ft!H$3*((1-Ft!H$6)/(1+Ft!H$37*($A526-Ft!H$2)^2)+Ft!H$6*EXP(Ft!H$38*($A526-Ft!H$2)^2)),Ft!H$3*((1-Ft!H$7)/(1+Ft!H$39*($A526-Ft!H$2)^2)+Ft!H$7*EXP(Ft!H$40*($A526-Ft!H$2)^2)))</f>
        <v>0</v>
      </c>
      <c r="M526" s="3">
        <f>IF(($A526-Ft!I$2)&lt;0,Ft!I$3*((1-Ft!I$6)/(1+Ft!I$37*($A526-Ft!I$2)^2)+Ft!I$6*EXP(Ft!I$38*($A526-Ft!I$2)^2)),Ft!I$3*((1-Ft!I$7)/(1+Ft!I$39*($A526-Ft!I$2)^2)+Ft!I$7*EXP(Ft!I$40*($A526-Ft!I$2)^2)))</f>
        <v>0</v>
      </c>
      <c r="N526" s="3">
        <f>IF(($A526-Ft!J$2)&lt;0,Ft!J$3*((1-Ft!J$6)/(1+Ft!J$37*($A526-Ft!J$2)^2)+Ft!J$6*EXP(Ft!J$38*($A526-Ft!J$2)^2)),Ft!J$3*((1-Ft!J$7)/(1+Ft!J$39*($A526-Ft!J$2)^2)+Ft!J$7*EXP(Ft!J$40*($A526-Ft!J$2)^2)))</f>
        <v>0</v>
      </c>
      <c r="O526" s="3">
        <f>IF(($A526-Ft!K$2)&lt;0,Ft!K$3*((1-Ft!K$6)/(1+Ft!K$37*($A526-Ft!K$2)^2)+Ft!K$6*EXP(Ft!K$38*($A526-Ft!K$2)^2)),Ft!K$3*((1-Ft!K$7)/(1+Ft!K$39*($A526-Ft!K$2)^2)+Ft!K$7*EXP(Ft!K$40*($A526-Ft!K$2)^2)))</f>
        <v>0</v>
      </c>
      <c r="P526"/>
      <c r="Q526"/>
    </row>
    <row r="527" spans="1:17">
      <c r="A527">
        <v>1050</v>
      </c>
      <c r="B527">
        <v>12.808233398005996</v>
      </c>
      <c r="C527" s="6">
        <f t="shared" si="17"/>
        <v>12.859513783779654</v>
      </c>
      <c r="D527" s="19">
        <f t="shared" si="18"/>
        <v>2.6296779650952437E-3</v>
      </c>
      <c r="E527" s="3">
        <f>Ft!$B$12+Ft!$B$14*(Data!A527-Vars!$B$3)</f>
        <v>0</v>
      </c>
      <c r="F527" s="3">
        <f>IF(($A527-Ft!B$2)&lt;0,Ft!B$3*((1-Ft!B$6)/(1+Ft!B$37*($A527-Ft!B$2)^2)+Ft!B$6*EXP(Ft!B$38*($A527-Ft!B$2)^2)),Ft!B$3*((1-Ft!B$7)/(1+Ft!B$39*($A527-Ft!B$2)^2)+Ft!B$7*EXP(Ft!B$40*($A527-Ft!B$2)^2)))</f>
        <v>0</v>
      </c>
      <c r="G527" s="3">
        <f>IF(($A527-Ft!C$2)&lt;0,Ft!C$3*((1-Ft!C$6)/(1+Ft!C$37*($A527-Ft!C$2)^2)+Ft!C$6*EXP(Ft!C$38*($A527-Ft!C$2)^2)),Ft!C$3*((1-Ft!C$7)/(1+Ft!C$39*($A527-Ft!C$2)^2)+Ft!C$7*EXP(Ft!C$40*($A527-Ft!C$2)^2)))</f>
        <v>4.7125106812398596E-29</v>
      </c>
      <c r="H527" s="3">
        <f>IF(($A527-Ft!D$2)&lt;0,Ft!D$3*((1-Ft!D$6)/(1+Ft!D$37*($A527-Ft!D$2)^2)+Ft!D$6*EXP(Ft!D$38*($A527-Ft!D$2)^2)),Ft!D$3*((1-Ft!D$7)/(1+Ft!D$39*($A527-Ft!D$2)^2)+Ft!D$7*EXP(Ft!D$40*($A527-Ft!D$2)^2)))</f>
        <v>3.1920023011977924E-2</v>
      </c>
      <c r="I527" s="3">
        <f>IF(($A527-Ft!E$2)&lt;0,Ft!E$3*((1-Ft!E$6)/(1+Ft!E$37*($A527-Ft!E$2)^2)+Ft!E$6*EXP(Ft!E$38*($A527-Ft!E$2)^2)),Ft!E$3*((1-Ft!E$7)/(1+Ft!E$39*($A527-Ft!E$2)^2)+Ft!E$7*EXP(Ft!E$40*($A527-Ft!E$2)^2)))</f>
        <v>4.2209545079668098</v>
      </c>
      <c r="J527" s="3">
        <f>IF(($A527-Ft!F$2)&lt;0,Ft!F$3*((1-Ft!F$6)/(1+Ft!F$37*($A527-Ft!F$2)^2)+Ft!F$6*EXP(Ft!F$38*($A527-Ft!F$2)^2)),Ft!F$3*((1-Ft!F$7)/(1+Ft!F$39*($A527-Ft!F$2)^2)+Ft!F$7*EXP(Ft!F$40*($A527-Ft!F$2)^2)))</f>
        <v>2.5240995486772024</v>
      </c>
      <c r="K527" s="3">
        <f>IF(($A527-Ft!G$2)&lt;0,Ft!G$3*((1-Ft!G$6)/(1+Ft!G$37*($A527-Ft!G$2)^2)+Ft!G$6*EXP(Ft!G$38*($A527-Ft!G$2)^2)),Ft!G$3*((1-Ft!G$7)/(1+Ft!G$39*($A527-Ft!G$2)^2)+Ft!G$7*EXP(Ft!G$40*($A527-Ft!G$2)^2)))</f>
        <v>6.0825397041236648</v>
      </c>
      <c r="L527" s="3">
        <f>IF(($A527-Ft!H$2)&lt;0,Ft!H$3*((1-Ft!H$6)/(1+Ft!H$37*($A527-Ft!H$2)^2)+Ft!H$6*EXP(Ft!H$38*($A527-Ft!H$2)^2)),Ft!H$3*((1-Ft!H$7)/(1+Ft!H$39*($A527-Ft!H$2)^2)+Ft!H$7*EXP(Ft!H$40*($A527-Ft!H$2)^2)))</f>
        <v>0</v>
      </c>
      <c r="M527" s="3">
        <f>IF(($A527-Ft!I$2)&lt;0,Ft!I$3*((1-Ft!I$6)/(1+Ft!I$37*($A527-Ft!I$2)^2)+Ft!I$6*EXP(Ft!I$38*($A527-Ft!I$2)^2)),Ft!I$3*((1-Ft!I$7)/(1+Ft!I$39*($A527-Ft!I$2)^2)+Ft!I$7*EXP(Ft!I$40*($A527-Ft!I$2)^2)))</f>
        <v>0</v>
      </c>
      <c r="N527" s="3">
        <f>IF(($A527-Ft!J$2)&lt;0,Ft!J$3*((1-Ft!J$6)/(1+Ft!J$37*($A527-Ft!J$2)^2)+Ft!J$6*EXP(Ft!J$38*($A527-Ft!J$2)^2)),Ft!J$3*((1-Ft!J$7)/(1+Ft!J$39*($A527-Ft!J$2)^2)+Ft!J$7*EXP(Ft!J$40*($A527-Ft!J$2)^2)))</f>
        <v>0</v>
      </c>
      <c r="O527" s="3">
        <f>IF(($A527-Ft!K$2)&lt;0,Ft!K$3*((1-Ft!K$6)/(1+Ft!K$37*($A527-Ft!K$2)^2)+Ft!K$6*EXP(Ft!K$38*($A527-Ft!K$2)^2)),Ft!K$3*((1-Ft!K$7)/(1+Ft!K$39*($A527-Ft!K$2)^2)+Ft!K$7*EXP(Ft!K$40*($A527-Ft!K$2)^2)))</f>
        <v>0</v>
      </c>
      <c r="P527"/>
      <c r="Q527"/>
    </row>
    <row r="528" spans="1:17">
      <c r="A528">
        <v>1052</v>
      </c>
      <c r="B528">
        <v>12.532451603879991</v>
      </c>
      <c r="C528" s="6">
        <f t="shared" si="17"/>
        <v>12.500668429093256</v>
      </c>
      <c r="D528" s="19">
        <f t="shared" si="18"/>
        <v>1.0101701995241603E-3</v>
      </c>
      <c r="E528" s="3">
        <f>Ft!$B$12+Ft!$B$14*(Data!A528-Vars!$B$3)</f>
        <v>0</v>
      </c>
      <c r="F528" s="3">
        <f>IF(($A528-Ft!B$2)&lt;0,Ft!B$3*((1-Ft!B$6)/(1+Ft!B$37*($A528-Ft!B$2)^2)+Ft!B$6*EXP(Ft!B$38*($A528-Ft!B$2)^2)),Ft!B$3*((1-Ft!B$7)/(1+Ft!B$39*($A528-Ft!B$2)^2)+Ft!B$7*EXP(Ft!B$40*($A528-Ft!B$2)^2)))</f>
        <v>0</v>
      </c>
      <c r="G528" s="3">
        <f>IF(($A528-Ft!C$2)&lt;0,Ft!C$3*((1-Ft!C$6)/(1+Ft!C$37*($A528-Ft!C$2)^2)+Ft!C$6*EXP(Ft!C$38*($A528-Ft!C$2)^2)),Ft!C$3*((1-Ft!C$7)/(1+Ft!C$39*($A528-Ft!C$2)^2)+Ft!C$7*EXP(Ft!C$40*($A528-Ft!C$2)^2)))</f>
        <v>3.5041023978415213E-29</v>
      </c>
      <c r="H528" s="3">
        <f>IF(($A528-Ft!D$2)&lt;0,Ft!D$3*((1-Ft!D$6)/(1+Ft!D$37*($A528-Ft!D$2)^2)+Ft!D$6*EXP(Ft!D$38*($A528-Ft!D$2)^2)),Ft!D$3*((1-Ft!D$7)/(1+Ft!D$39*($A528-Ft!D$2)^2)+Ft!D$7*EXP(Ft!D$40*($A528-Ft!D$2)^2)))</f>
        <v>3.0580257917939373E-2</v>
      </c>
      <c r="I528" s="3">
        <f>IF(($A528-Ft!E$2)&lt;0,Ft!E$3*((1-Ft!E$6)/(1+Ft!E$37*($A528-Ft!E$2)^2)+Ft!E$6*EXP(Ft!E$38*($A528-Ft!E$2)^2)),Ft!E$3*((1-Ft!E$7)/(1+Ft!E$39*($A528-Ft!E$2)^2)+Ft!E$7*EXP(Ft!E$40*($A528-Ft!E$2)^2)))</f>
        <v>4.1249459007146685</v>
      </c>
      <c r="J528" s="3">
        <f>IF(($A528-Ft!F$2)&lt;0,Ft!F$3*((1-Ft!F$6)/(1+Ft!F$37*($A528-Ft!F$2)^2)+Ft!F$6*EXP(Ft!F$38*($A528-Ft!F$2)^2)),Ft!F$3*((1-Ft!F$7)/(1+Ft!F$39*($A528-Ft!F$2)^2)+Ft!F$7*EXP(Ft!F$40*($A528-Ft!F$2)^2)))</f>
        <v>2.3914756337567264</v>
      </c>
      <c r="K528" s="3">
        <f>IF(($A528-Ft!G$2)&lt;0,Ft!G$3*((1-Ft!G$6)/(1+Ft!G$37*($A528-Ft!G$2)^2)+Ft!G$6*EXP(Ft!G$38*($A528-Ft!G$2)^2)),Ft!G$3*((1-Ft!G$7)/(1+Ft!G$39*($A528-Ft!G$2)^2)+Ft!G$7*EXP(Ft!G$40*($A528-Ft!G$2)^2)))</f>
        <v>5.9536666367039208</v>
      </c>
      <c r="L528" s="3">
        <f>IF(($A528-Ft!H$2)&lt;0,Ft!H$3*((1-Ft!H$6)/(1+Ft!H$37*($A528-Ft!H$2)^2)+Ft!H$6*EXP(Ft!H$38*($A528-Ft!H$2)^2)),Ft!H$3*((1-Ft!H$7)/(1+Ft!H$39*($A528-Ft!H$2)^2)+Ft!H$7*EXP(Ft!H$40*($A528-Ft!H$2)^2)))</f>
        <v>0</v>
      </c>
      <c r="M528" s="3">
        <f>IF(($A528-Ft!I$2)&lt;0,Ft!I$3*((1-Ft!I$6)/(1+Ft!I$37*($A528-Ft!I$2)^2)+Ft!I$6*EXP(Ft!I$38*($A528-Ft!I$2)^2)),Ft!I$3*((1-Ft!I$7)/(1+Ft!I$39*($A528-Ft!I$2)^2)+Ft!I$7*EXP(Ft!I$40*($A528-Ft!I$2)^2)))</f>
        <v>0</v>
      </c>
      <c r="N528" s="3">
        <f>IF(($A528-Ft!J$2)&lt;0,Ft!J$3*((1-Ft!J$6)/(1+Ft!J$37*($A528-Ft!J$2)^2)+Ft!J$6*EXP(Ft!J$38*($A528-Ft!J$2)^2)),Ft!J$3*((1-Ft!J$7)/(1+Ft!J$39*($A528-Ft!J$2)^2)+Ft!J$7*EXP(Ft!J$40*($A528-Ft!J$2)^2)))</f>
        <v>0</v>
      </c>
      <c r="O528" s="3">
        <f>IF(($A528-Ft!K$2)&lt;0,Ft!K$3*((1-Ft!K$6)/(1+Ft!K$37*($A528-Ft!K$2)^2)+Ft!K$6*EXP(Ft!K$38*($A528-Ft!K$2)^2)),Ft!K$3*((1-Ft!K$7)/(1+Ft!K$39*($A528-Ft!K$2)^2)+Ft!K$7*EXP(Ft!K$40*($A528-Ft!K$2)^2)))</f>
        <v>0</v>
      </c>
      <c r="P528"/>
      <c r="Q528"/>
    </row>
    <row r="529" spans="1:17">
      <c r="A529">
        <v>1054</v>
      </c>
      <c r="B529">
        <v>12.232481197367989</v>
      </c>
      <c r="C529" s="6">
        <f t="shared" si="17"/>
        <v>12.103921097224395</v>
      </c>
      <c r="D529" s="19">
        <f t="shared" si="18"/>
        <v>1.6527699348930714E-2</v>
      </c>
      <c r="E529" s="3">
        <f>Ft!$B$12+Ft!$B$14*(Data!A529-Vars!$B$3)</f>
        <v>0</v>
      </c>
      <c r="F529" s="3">
        <f>IF(($A529-Ft!B$2)&lt;0,Ft!B$3*((1-Ft!B$6)/(1+Ft!B$37*($A529-Ft!B$2)^2)+Ft!B$6*EXP(Ft!B$38*($A529-Ft!B$2)^2)),Ft!B$3*((1-Ft!B$7)/(1+Ft!B$39*($A529-Ft!B$2)^2)+Ft!B$7*EXP(Ft!B$40*($A529-Ft!B$2)^2)))</f>
        <v>0</v>
      </c>
      <c r="G529" s="3">
        <f>IF(($A529-Ft!C$2)&lt;0,Ft!C$3*((1-Ft!C$6)/(1+Ft!C$37*($A529-Ft!C$2)^2)+Ft!C$6*EXP(Ft!C$38*($A529-Ft!C$2)^2)),Ft!C$3*((1-Ft!C$7)/(1+Ft!C$39*($A529-Ft!C$2)^2)+Ft!C$7*EXP(Ft!C$40*($A529-Ft!C$2)^2)))</f>
        <v>2.60386918564526E-29</v>
      </c>
      <c r="H529" s="3">
        <f>IF(($A529-Ft!D$2)&lt;0,Ft!D$3*((1-Ft!D$6)/(1+Ft!D$37*($A529-Ft!D$2)^2)+Ft!D$6*EXP(Ft!D$38*($A529-Ft!D$2)^2)),Ft!D$3*((1-Ft!D$7)/(1+Ft!D$39*($A529-Ft!D$2)^2)+Ft!D$7*EXP(Ft!D$40*($A529-Ft!D$2)^2)))</f>
        <v>2.9292514730443663E-2</v>
      </c>
      <c r="I529" s="3">
        <f>IF(($A529-Ft!E$2)&lt;0,Ft!E$3*((1-Ft!E$6)/(1+Ft!E$37*($A529-Ft!E$2)^2)+Ft!E$6*EXP(Ft!E$38*($A529-Ft!E$2)^2)),Ft!E$3*((1-Ft!E$7)/(1+Ft!E$39*($A529-Ft!E$2)^2)+Ft!E$7*EXP(Ft!E$40*($A529-Ft!E$2)^2)))</f>
        <v>4.0303094603195699</v>
      </c>
      <c r="J529" s="3">
        <f>IF(($A529-Ft!F$2)&lt;0,Ft!F$3*((1-Ft!F$6)/(1+Ft!F$37*($A529-Ft!F$2)^2)+Ft!F$6*EXP(Ft!F$38*($A529-Ft!F$2)^2)),Ft!F$3*((1-Ft!F$7)/(1+Ft!F$39*($A529-Ft!F$2)^2)+Ft!F$7*EXP(Ft!F$40*($A529-Ft!F$2)^2)))</f>
        <v>2.2609487368376522</v>
      </c>
      <c r="K529" s="3">
        <f>IF(($A529-Ft!G$2)&lt;0,Ft!G$3*((1-Ft!G$6)/(1+Ft!G$37*($A529-Ft!G$2)^2)+Ft!G$6*EXP(Ft!G$38*($A529-Ft!G$2)^2)),Ft!G$3*((1-Ft!G$7)/(1+Ft!G$39*($A529-Ft!G$2)^2)+Ft!G$7*EXP(Ft!G$40*($A529-Ft!G$2)^2)))</f>
        <v>5.7833703853367293</v>
      </c>
      <c r="L529" s="3">
        <f>IF(($A529-Ft!H$2)&lt;0,Ft!H$3*((1-Ft!H$6)/(1+Ft!H$37*($A529-Ft!H$2)^2)+Ft!H$6*EXP(Ft!H$38*($A529-Ft!H$2)^2)),Ft!H$3*((1-Ft!H$7)/(1+Ft!H$39*($A529-Ft!H$2)^2)+Ft!H$7*EXP(Ft!H$40*($A529-Ft!H$2)^2)))</f>
        <v>0</v>
      </c>
      <c r="M529" s="3">
        <f>IF(($A529-Ft!I$2)&lt;0,Ft!I$3*((1-Ft!I$6)/(1+Ft!I$37*($A529-Ft!I$2)^2)+Ft!I$6*EXP(Ft!I$38*($A529-Ft!I$2)^2)),Ft!I$3*((1-Ft!I$7)/(1+Ft!I$39*($A529-Ft!I$2)^2)+Ft!I$7*EXP(Ft!I$40*($A529-Ft!I$2)^2)))</f>
        <v>0</v>
      </c>
      <c r="N529" s="3">
        <f>IF(($A529-Ft!J$2)&lt;0,Ft!J$3*((1-Ft!J$6)/(1+Ft!J$37*($A529-Ft!J$2)^2)+Ft!J$6*EXP(Ft!J$38*($A529-Ft!J$2)^2)),Ft!J$3*((1-Ft!J$7)/(1+Ft!J$39*($A529-Ft!J$2)^2)+Ft!J$7*EXP(Ft!J$40*($A529-Ft!J$2)^2)))</f>
        <v>0</v>
      </c>
      <c r="O529" s="3">
        <f>IF(($A529-Ft!K$2)&lt;0,Ft!K$3*((1-Ft!K$6)/(1+Ft!K$37*($A529-Ft!K$2)^2)+Ft!K$6*EXP(Ft!K$38*($A529-Ft!K$2)^2)),Ft!K$3*((1-Ft!K$7)/(1+Ft!K$39*($A529-Ft!K$2)^2)+Ft!K$7*EXP(Ft!K$40*($A529-Ft!K$2)^2)))</f>
        <v>0</v>
      </c>
      <c r="P529"/>
      <c r="Q529"/>
    </row>
    <row r="530" spans="1:17">
      <c r="A530">
        <v>1056</v>
      </c>
      <c r="B530">
        <v>11.906796376559001</v>
      </c>
      <c r="C530" s="6">
        <f t="shared" si="17"/>
        <v>11.673436163311884</v>
      </c>
      <c r="D530" s="19">
        <f t="shared" si="18"/>
        <v>5.4456989126739963E-2</v>
      </c>
      <c r="E530" s="3">
        <f>Ft!$B$12+Ft!$B$14*(Data!A530-Vars!$B$3)</f>
        <v>0</v>
      </c>
      <c r="F530" s="3">
        <f>IF(($A530-Ft!B$2)&lt;0,Ft!B$3*((1-Ft!B$6)/(1+Ft!B$37*($A530-Ft!B$2)^2)+Ft!B$6*EXP(Ft!B$38*($A530-Ft!B$2)^2)),Ft!B$3*((1-Ft!B$7)/(1+Ft!B$39*($A530-Ft!B$2)^2)+Ft!B$7*EXP(Ft!B$40*($A530-Ft!B$2)^2)))</f>
        <v>0</v>
      </c>
      <c r="G530" s="3">
        <f>IF(($A530-Ft!C$2)&lt;0,Ft!C$3*((1-Ft!C$6)/(1+Ft!C$37*($A530-Ft!C$2)^2)+Ft!C$6*EXP(Ft!C$38*($A530-Ft!C$2)^2)),Ft!C$3*((1-Ft!C$7)/(1+Ft!C$39*($A530-Ft!C$2)^2)+Ft!C$7*EXP(Ft!C$40*($A530-Ft!C$2)^2)))</f>
        <v>1.9336571253541592E-29</v>
      </c>
      <c r="H530" s="3">
        <f>IF(($A530-Ft!D$2)&lt;0,Ft!D$3*((1-Ft!D$6)/(1+Ft!D$37*($A530-Ft!D$2)^2)+Ft!D$6*EXP(Ft!D$38*($A530-Ft!D$2)^2)),Ft!D$3*((1-Ft!D$7)/(1+Ft!D$39*($A530-Ft!D$2)^2)+Ft!D$7*EXP(Ft!D$40*($A530-Ft!D$2)^2)))</f>
        <v>2.8054965228702603E-2</v>
      </c>
      <c r="I530" s="3">
        <f>IF(($A530-Ft!E$2)&lt;0,Ft!E$3*((1-Ft!E$6)/(1+Ft!E$37*($A530-Ft!E$2)^2)+Ft!E$6*EXP(Ft!E$38*($A530-Ft!E$2)^2)),Ft!E$3*((1-Ft!E$7)/(1+Ft!E$39*($A530-Ft!E$2)^2)+Ft!E$7*EXP(Ft!E$40*($A530-Ft!E$2)^2)))</f>
        <v>3.9370513765306074</v>
      </c>
      <c r="J530" s="3">
        <f>IF(($A530-Ft!F$2)&lt;0,Ft!F$3*((1-Ft!F$6)/(1+Ft!F$37*($A530-Ft!F$2)^2)+Ft!F$6*EXP(Ft!F$38*($A530-Ft!F$2)^2)),Ft!F$3*((1-Ft!F$7)/(1+Ft!F$39*($A530-Ft!F$2)^2)+Ft!F$7*EXP(Ft!F$40*($A530-Ft!F$2)^2)))</f>
        <v>2.1329503439502058</v>
      </c>
      <c r="K530" s="3">
        <f>IF(($A530-Ft!G$2)&lt;0,Ft!G$3*((1-Ft!G$6)/(1+Ft!G$37*($A530-Ft!G$2)^2)+Ft!G$6*EXP(Ft!G$38*($A530-Ft!G$2)^2)),Ft!G$3*((1-Ft!G$7)/(1+Ft!G$39*($A530-Ft!G$2)^2)+Ft!G$7*EXP(Ft!G$40*($A530-Ft!G$2)^2)))</f>
        <v>5.5753794776023673</v>
      </c>
      <c r="L530" s="3">
        <f>IF(($A530-Ft!H$2)&lt;0,Ft!H$3*((1-Ft!H$6)/(1+Ft!H$37*($A530-Ft!H$2)^2)+Ft!H$6*EXP(Ft!H$38*($A530-Ft!H$2)^2)),Ft!H$3*((1-Ft!H$7)/(1+Ft!H$39*($A530-Ft!H$2)^2)+Ft!H$7*EXP(Ft!H$40*($A530-Ft!H$2)^2)))</f>
        <v>0</v>
      </c>
      <c r="M530" s="3">
        <f>IF(($A530-Ft!I$2)&lt;0,Ft!I$3*((1-Ft!I$6)/(1+Ft!I$37*($A530-Ft!I$2)^2)+Ft!I$6*EXP(Ft!I$38*($A530-Ft!I$2)^2)),Ft!I$3*((1-Ft!I$7)/(1+Ft!I$39*($A530-Ft!I$2)^2)+Ft!I$7*EXP(Ft!I$40*($A530-Ft!I$2)^2)))</f>
        <v>0</v>
      </c>
      <c r="N530" s="3">
        <f>IF(($A530-Ft!J$2)&lt;0,Ft!J$3*((1-Ft!J$6)/(1+Ft!J$37*($A530-Ft!J$2)^2)+Ft!J$6*EXP(Ft!J$38*($A530-Ft!J$2)^2)),Ft!J$3*((1-Ft!J$7)/(1+Ft!J$39*($A530-Ft!J$2)^2)+Ft!J$7*EXP(Ft!J$40*($A530-Ft!J$2)^2)))</f>
        <v>0</v>
      </c>
      <c r="O530" s="3">
        <f>IF(($A530-Ft!K$2)&lt;0,Ft!K$3*((1-Ft!K$6)/(1+Ft!K$37*($A530-Ft!K$2)^2)+Ft!K$6*EXP(Ft!K$38*($A530-Ft!K$2)^2)),Ft!K$3*((1-Ft!K$7)/(1+Ft!K$39*($A530-Ft!K$2)^2)+Ft!K$7*EXP(Ft!K$40*($A530-Ft!K$2)^2)))</f>
        <v>0</v>
      </c>
      <c r="P530"/>
      <c r="Q530"/>
    </row>
    <row r="531" spans="1:17">
      <c r="A531">
        <v>1058</v>
      </c>
      <c r="B531">
        <v>11.553871339541999</v>
      </c>
      <c r="C531" s="6">
        <f t="shared" si="17"/>
        <v>11.214059489804486</v>
      </c>
      <c r="D531" s="19">
        <f t="shared" si="18"/>
        <v>0.11547209322203034</v>
      </c>
      <c r="E531" s="3">
        <f>Ft!$B$12+Ft!$B$14*(Data!A531-Vars!$B$3)</f>
        <v>0</v>
      </c>
      <c r="F531" s="3">
        <f>IF(($A531-Ft!B$2)&lt;0,Ft!B$3*((1-Ft!B$6)/(1+Ft!B$37*($A531-Ft!B$2)^2)+Ft!B$6*EXP(Ft!B$38*($A531-Ft!B$2)^2)),Ft!B$3*((1-Ft!B$7)/(1+Ft!B$39*($A531-Ft!B$2)^2)+Ft!B$7*EXP(Ft!B$40*($A531-Ft!B$2)^2)))</f>
        <v>0</v>
      </c>
      <c r="G531" s="3">
        <f>IF(($A531-Ft!C$2)&lt;0,Ft!C$3*((1-Ft!C$6)/(1+Ft!C$37*($A531-Ft!C$2)^2)+Ft!C$6*EXP(Ft!C$38*($A531-Ft!C$2)^2)),Ft!C$3*((1-Ft!C$7)/(1+Ft!C$39*($A531-Ft!C$2)^2)+Ft!C$7*EXP(Ft!C$40*($A531-Ft!C$2)^2)))</f>
        <v>1.4350191797221093E-29</v>
      </c>
      <c r="H531" s="3">
        <f>IF(($A531-Ft!D$2)&lt;0,Ft!D$3*((1-Ft!D$6)/(1+Ft!D$37*($A531-Ft!D$2)^2)+Ft!D$6*EXP(Ft!D$38*($A531-Ft!D$2)^2)),Ft!D$3*((1-Ft!D$7)/(1+Ft!D$39*($A531-Ft!D$2)^2)+Ft!D$7*EXP(Ft!D$40*($A531-Ft!D$2)^2)))</f>
        <v>2.6865837115669929E-2</v>
      </c>
      <c r="I531" s="3">
        <f>IF(($A531-Ft!E$2)&lt;0,Ft!E$3*((1-Ft!E$6)/(1+Ft!E$37*($A531-Ft!E$2)^2)+Ft!E$6*EXP(Ft!E$38*($A531-Ft!E$2)^2)),Ft!E$3*((1-Ft!E$7)/(1+Ft!E$39*($A531-Ft!E$2)^2)+Ft!E$7*EXP(Ft!E$40*($A531-Ft!E$2)^2)))</f>
        <v>3.845176873582969</v>
      </c>
      <c r="J531" s="3">
        <f>IF(($A531-Ft!F$2)&lt;0,Ft!F$3*((1-Ft!F$6)/(1+Ft!F$37*($A531-Ft!F$2)^2)+Ft!F$6*EXP(Ft!F$38*($A531-Ft!F$2)^2)),Ft!F$3*((1-Ft!F$7)/(1+Ft!F$39*($A531-Ft!F$2)^2)+Ft!F$7*EXP(Ft!F$40*($A531-Ft!F$2)^2)))</f>
        <v>2.0078721160089104</v>
      </c>
      <c r="K531" s="3">
        <f>IF(($A531-Ft!G$2)&lt;0,Ft!G$3*((1-Ft!G$6)/(1+Ft!G$37*($A531-Ft!G$2)^2)+Ft!G$6*EXP(Ft!G$38*($A531-Ft!G$2)^2)),Ft!G$3*((1-Ft!G$7)/(1+Ft!G$39*($A531-Ft!G$2)^2)+Ft!G$7*EXP(Ft!G$40*($A531-Ft!G$2)^2)))</f>
        <v>5.3341446630969358</v>
      </c>
      <c r="L531" s="3">
        <f>IF(($A531-Ft!H$2)&lt;0,Ft!H$3*((1-Ft!H$6)/(1+Ft!H$37*($A531-Ft!H$2)^2)+Ft!H$6*EXP(Ft!H$38*($A531-Ft!H$2)^2)),Ft!H$3*((1-Ft!H$7)/(1+Ft!H$39*($A531-Ft!H$2)^2)+Ft!H$7*EXP(Ft!H$40*($A531-Ft!H$2)^2)))</f>
        <v>0</v>
      </c>
      <c r="M531" s="3">
        <f>IF(($A531-Ft!I$2)&lt;0,Ft!I$3*((1-Ft!I$6)/(1+Ft!I$37*($A531-Ft!I$2)^2)+Ft!I$6*EXP(Ft!I$38*($A531-Ft!I$2)^2)),Ft!I$3*((1-Ft!I$7)/(1+Ft!I$39*($A531-Ft!I$2)^2)+Ft!I$7*EXP(Ft!I$40*($A531-Ft!I$2)^2)))</f>
        <v>0</v>
      </c>
      <c r="N531" s="3">
        <f>IF(($A531-Ft!J$2)&lt;0,Ft!J$3*((1-Ft!J$6)/(1+Ft!J$37*($A531-Ft!J$2)^2)+Ft!J$6*EXP(Ft!J$38*($A531-Ft!J$2)^2)),Ft!J$3*((1-Ft!J$7)/(1+Ft!J$39*($A531-Ft!J$2)^2)+Ft!J$7*EXP(Ft!J$40*($A531-Ft!J$2)^2)))</f>
        <v>0</v>
      </c>
      <c r="O531" s="3">
        <f>IF(($A531-Ft!K$2)&lt;0,Ft!K$3*((1-Ft!K$6)/(1+Ft!K$37*($A531-Ft!K$2)^2)+Ft!K$6*EXP(Ft!K$38*($A531-Ft!K$2)^2)),Ft!K$3*((1-Ft!K$7)/(1+Ft!K$39*($A531-Ft!K$2)^2)+Ft!K$7*EXP(Ft!K$40*($A531-Ft!K$2)^2)))</f>
        <v>0</v>
      </c>
      <c r="P531"/>
      <c r="Q531"/>
    </row>
    <row r="532" spans="1:17">
      <c r="A532">
        <v>1060</v>
      </c>
      <c r="B532">
        <v>11.172180284405997</v>
      </c>
      <c r="C532" s="6">
        <f t="shared" si="17"/>
        <v>10.731159313215297</v>
      </c>
      <c r="D532" s="19">
        <f t="shared" si="18"/>
        <v>0.1944994970299877</v>
      </c>
      <c r="E532" s="3">
        <f>Ft!$B$12+Ft!$B$14*(Data!A532-Vars!$B$3)</f>
        <v>0</v>
      </c>
      <c r="F532" s="3">
        <f>IF(($A532-Ft!B$2)&lt;0,Ft!B$3*((1-Ft!B$6)/(1+Ft!B$37*($A532-Ft!B$2)^2)+Ft!B$6*EXP(Ft!B$38*($A532-Ft!B$2)^2)),Ft!B$3*((1-Ft!B$7)/(1+Ft!B$39*($A532-Ft!B$2)^2)+Ft!B$7*EXP(Ft!B$40*($A532-Ft!B$2)^2)))</f>
        <v>0</v>
      </c>
      <c r="G532" s="3">
        <f>IF(($A532-Ft!C$2)&lt;0,Ft!C$3*((1-Ft!C$6)/(1+Ft!C$37*($A532-Ft!C$2)^2)+Ft!C$6*EXP(Ft!C$38*($A532-Ft!C$2)^2)),Ft!C$3*((1-Ft!C$7)/(1+Ft!C$39*($A532-Ft!C$2)^2)+Ft!C$7*EXP(Ft!C$40*($A532-Ft!C$2)^2)))</f>
        <v>1.0642750370946051E-29</v>
      </c>
      <c r="H532" s="3">
        <f>IF(($A532-Ft!D$2)&lt;0,Ft!D$3*((1-Ft!D$6)/(1+Ft!D$37*($A532-Ft!D$2)^2)+Ft!D$6*EXP(Ft!D$38*($A532-Ft!D$2)^2)),Ft!D$3*((1-Ft!D$7)/(1+Ft!D$39*($A532-Ft!D$2)^2)+Ft!D$7*EXP(Ft!D$40*($A532-Ft!D$2)^2)))</f>
        <v>2.5723412652855694E-2</v>
      </c>
      <c r="I532" s="3">
        <f>IF(($A532-Ft!E$2)&lt;0,Ft!E$3*((1-Ft!E$6)/(1+Ft!E$37*($A532-Ft!E$2)^2)+Ft!E$6*EXP(Ft!E$38*($A532-Ft!E$2)^2)),Ft!E$3*((1-Ft!E$7)/(1+Ft!E$39*($A532-Ft!E$2)^2)+Ft!E$7*EXP(Ft!E$40*($A532-Ft!E$2)^2)))</f>
        <v>3.7546902283793888</v>
      </c>
      <c r="J532" s="3">
        <f>IF(($A532-Ft!F$2)&lt;0,Ft!F$3*((1-Ft!F$6)/(1+Ft!F$37*($A532-Ft!F$2)^2)+Ft!F$6*EXP(Ft!F$38*($A532-Ft!F$2)^2)),Ft!F$3*((1-Ft!F$7)/(1+Ft!F$39*($A532-Ft!F$2)^2)+Ft!F$7*EXP(Ft!F$40*($A532-Ft!F$2)^2)))</f>
        <v>1.886064871569447</v>
      </c>
      <c r="K532" s="3">
        <f>IF(($A532-Ft!G$2)&lt;0,Ft!G$3*((1-Ft!G$6)/(1+Ft!G$37*($A532-Ft!G$2)^2)+Ft!G$6*EXP(Ft!G$38*($A532-Ft!G$2)^2)),Ft!G$3*((1-Ft!G$7)/(1+Ft!G$39*($A532-Ft!G$2)^2)+Ft!G$7*EXP(Ft!G$40*($A532-Ft!G$2)^2)))</f>
        <v>5.0646808006136048</v>
      </c>
      <c r="L532" s="3">
        <f>IF(($A532-Ft!H$2)&lt;0,Ft!H$3*((1-Ft!H$6)/(1+Ft!H$37*($A532-Ft!H$2)^2)+Ft!H$6*EXP(Ft!H$38*($A532-Ft!H$2)^2)),Ft!H$3*((1-Ft!H$7)/(1+Ft!H$39*($A532-Ft!H$2)^2)+Ft!H$7*EXP(Ft!H$40*($A532-Ft!H$2)^2)))</f>
        <v>0</v>
      </c>
      <c r="M532" s="3">
        <f>IF(($A532-Ft!I$2)&lt;0,Ft!I$3*((1-Ft!I$6)/(1+Ft!I$37*($A532-Ft!I$2)^2)+Ft!I$6*EXP(Ft!I$38*($A532-Ft!I$2)^2)),Ft!I$3*((1-Ft!I$7)/(1+Ft!I$39*($A532-Ft!I$2)^2)+Ft!I$7*EXP(Ft!I$40*($A532-Ft!I$2)^2)))</f>
        <v>0</v>
      </c>
      <c r="N532" s="3">
        <f>IF(($A532-Ft!J$2)&lt;0,Ft!J$3*((1-Ft!J$6)/(1+Ft!J$37*($A532-Ft!J$2)^2)+Ft!J$6*EXP(Ft!J$38*($A532-Ft!J$2)^2)),Ft!J$3*((1-Ft!J$7)/(1+Ft!J$39*($A532-Ft!J$2)^2)+Ft!J$7*EXP(Ft!J$40*($A532-Ft!J$2)^2)))</f>
        <v>0</v>
      </c>
      <c r="O532" s="3">
        <f>IF(($A532-Ft!K$2)&lt;0,Ft!K$3*((1-Ft!K$6)/(1+Ft!K$37*($A532-Ft!K$2)^2)+Ft!K$6*EXP(Ft!K$38*($A532-Ft!K$2)^2)),Ft!K$3*((1-Ft!K$7)/(1+Ft!K$39*($A532-Ft!K$2)^2)+Ft!K$7*EXP(Ft!K$40*($A532-Ft!K$2)^2)))</f>
        <v>0</v>
      </c>
      <c r="P532"/>
      <c r="Q532"/>
    </row>
    <row r="533" spans="1:17">
      <c r="A533">
        <v>1062</v>
      </c>
      <c r="B533">
        <v>10.760197409239993</v>
      </c>
      <c r="C533" s="6">
        <f t="shared" si="17"/>
        <v>10.230452981712897</v>
      </c>
      <c r="D533" s="19">
        <f t="shared" si="18"/>
        <v>0.28062915849601011</v>
      </c>
      <c r="E533" s="3">
        <f>Ft!$B$12+Ft!$B$14*(Data!A533-Vars!$B$3)</f>
        <v>0</v>
      </c>
      <c r="F533" s="3">
        <f>IF(($A533-Ft!B$2)&lt;0,Ft!B$3*((1-Ft!B$6)/(1+Ft!B$37*($A533-Ft!B$2)^2)+Ft!B$6*EXP(Ft!B$38*($A533-Ft!B$2)^2)),Ft!B$3*((1-Ft!B$7)/(1+Ft!B$39*($A533-Ft!B$2)^2)+Ft!B$7*EXP(Ft!B$40*($A533-Ft!B$2)^2)))</f>
        <v>0</v>
      </c>
      <c r="G533" s="3">
        <f>IF(($A533-Ft!C$2)&lt;0,Ft!C$3*((1-Ft!C$6)/(1+Ft!C$37*($A533-Ft!C$2)^2)+Ft!C$6*EXP(Ft!C$38*($A533-Ft!C$2)^2)),Ft!C$3*((1-Ft!C$7)/(1+Ft!C$39*($A533-Ft!C$2)^2)+Ft!C$7*EXP(Ft!C$40*($A533-Ft!C$2)^2)))</f>
        <v>7.8880195458318322E-30</v>
      </c>
      <c r="H533" s="3">
        <f>IF(($A533-Ft!D$2)&lt;0,Ft!D$3*((1-Ft!D$6)/(1+Ft!D$37*($A533-Ft!D$2)^2)+Ft!D$6*EXP(Ft!D$38*($A533-Ft!D$2)^2)),Ft!D$3*((1-Ft!D$7)/(1+Ft!D$39*($A533-Ft!D$2)^2)+Ft!D$7*EXP(Ft!D$40*($A533-Ft!D$2)^2)))</f>
        <v>2.4626027314530993E-2</v>
      </c>
      <c r="I533" s="3">
        <f>IF(($A533-Ft!E$2)&lt;0,Ft!E$3*((1-Ft!E$6)/(1+Ft!E$37*($A533-Ft!E$2)^2)+Ft!E$6*EXP(Ft!E$38*($A533-Ft!E$2)^2)),Ft!E$3*((1-Ft!E$7)/(1+Ft!E$39*($A533-Ft!E$2)^2)+Ft!E$7*EXP(Ft!E$40*($A533-Ft!E$2)^2)))</f>
        <v>3.6655947891916107</v>
      </c>
      <c r="J533" s="3">
        <f>IF(($A533-Ft!F$2)&lt;0,Ft!F$3*((1-Ft!F$6)/(1+Ft!F$37*($A533-Ft!F$2)^2)+Ft!F$6*EXP(Ft!F$38*($A533-Ft!F$2)^2)),Ft!F$3*((1-Ft!F$7)/(1+Ft!F$39*($A533-Ft!F$2)^2)+Ft!F$7*EXP(Ft!F$40*($A533-Ft!F$2)^2)))</f>
        <v>1.7678380540587748</v>
      </c>
      <c r="K533" s="3">
        <f>IF(($A533-Ft!G$2)&lt;0,Ft!G$3*((1-Ft!G$6)/(1+Ft!G$37*($A533-Ft!G$2)^2)+Ft!G$6*EXP(Ft!G$38*($A533-Ft!G$2)^2)),Ft!G$3*((1-Ft!G$7)/(1+Ft!G$39*($A533-Ft!G$2)^2)+Ft!G$7*EXP(Ft!G$40*($A533-Ft!G$2)^2)))</f>
        <v>4.77239411114798</v>
      </c>
      <c r="L533" s="3">
        <f>IF(($A533-Ft!H$2)&lt;0,Ft!H$3*((1-Ft!H$6)/(1+Ft!H$37*($A533-Ft!H$2)^2)+Ft!H$6*EXP(Ft!H$38*($A533-Ft!H$2)^2)),Ft!H$3*((1-Ft!H$7)/(1+Ft!H$39*($A533-Ft!H$2)^2)+Ft!H$7*EXP(Ft!H$40*($A533-Ft!H$2)^2)))</f>
        <v>0</v>
      </c>
      <c r="M533" s="3">
        <f>IF(($A533-Ft!I$2)&lt;0,Ft!I$3*((1-Ft!I$6)/(1+Ft!I$37*($A533-Ft!I$2)^2)+Ft!I$6*EXP(Ft!I$38*($A533-Ft!I$2)^2)),Ft!I$3*((1-Ft!I$7)/(1+Ft!I$39*($A533-Ft!I$2)^2)+Ft!I$7*EXP(Ft!I$40*($A533-Ft!I$2)^2)))</f>
        <v>0</v>
      </c>
      <c r="N533" s="3">
        <f>IF(($A533-Ft!J$2)&lt;0,Ft!J$3*((1-Ft!J$6)/(1+Ft!J$37*($A533-Ft!J$2)^2)+Ft!J$6*EXP(Ft!J$38*($A533-Ft!J$2)^2)),Ft!J$3*((1-Ft!J$7)/(1+Ft!J$39*($A533-Ft!J$2)^2)+Ft!J$7*EXP(Ft!J$40*($A533-Ft!J$2)^2)))</f>
        <v>0</v>
      </c>
      <c r="O533" s="3">
        <f>IF(($A533-Ft!K$2)&lt;0,Ft!K$3*((1-Ft!K$6)/(1+Ft!K$37*($A533-Ft!K$2)^2)+Ft!K$6*EXP(Ft!K$38*($A533-Ft!K$2)^2)),Ft!K$3*((1-Ft!K$7)/(1+Ft!K$39*($A533-Ft!K$2)^2)+Ft!K$7*EXP(Ft!K$40*($A533-Ft!K$2)^2)))</f>
        <v>0</v>
      </c>
      <c r="P533"/>
      <c r="Q533"/>
    </row>
    <row r="534" spans="1:17">
      <c r="A534">
        <v>1064</v>
      </c>
      <c r="B534">
        <v>10.316309092556992</v>
      </c>
      <c r="C534" s="6">
        <f t="shared" si="17"/>
        <v>9.7178278013980872</v>
      </c>
      <c r="D534" s="19">
        <f t="shared" si="18"/>
        <v>0.3581798558672295</v>
      </c>
      <c r="E534" s="3">
        <f>Ft!$B$12+Ft!$B$14*(Data!A534-Vars!$B$3)</f>
        <v>0</v>
      </c>
      <c r="F534" s="3">
        <f>IF(($A534-Ft!B$2)&lt;0,Ft!B$3*((1-Ft!B$6)/(1+Ft!B$37*($A534-Ft!B$2)^2)+Ft!B$6*EXP(Ft!B$38*($A534-Ft!B$2)^2)),Ft!B$3*((1-Ft!B$7)/(1+Ft!B$39*($A534-Ft!B$2)^2)+Ft!B$7*EXP(Ft!B$40*($A534-Ft!B$2)^2)))</f>
        <v>0</v>
      </c>
      <c r="G534" s="3">
        <f>IF(($A534-Ft!C$2)&lt;0,Ft!C$3*((1-Ft!C$6)/(1+Ft!C$37*($A534-Ft!C$2)^2)+Ft!C$6*EXP(Ft!C$38*($A534-Ft!C$2)^2)),Ft!C$3*((1-Ft!C$7)/(1+Ft!C$39*($A534-Ft!C$2)^2)+Ft!C$7*EXP(Ft!C$40*($A534-Ft!C$2)^2)))</f>
        <v>5.8425173752559014E-30</v>
      </c>
      <c r="H534" s="3">
        <f>IF(($A534-Ft!D$2)&lt;0,Ft!D$3*((1-Ft!D$6)/(1+Ft!D$37*($A534-Ft!D$2)^2)+Ft!D$6*EXP(Ft!D$38*($A534-Ft!D$2)^2)),Ft!D$3*((1-Ft!D$7)/(1+Ft!D$39*($A534-Ft!D$2)^2)+Ft!D$7*EXP(Ft!D$40*($A534-Ft!D$2)^2)))</f>
        <v>2.3572068461637112E-2</v>
      </c>
      <c r="I534" s="3">
        <f>IF(($A534-Ft!E$2)&lt;0,Ft!E$3*((1-Ft!E$6)/(1+Ft!E$37*($A534-Ft!E$2)^2)+Ft!E$6*EXP(Ft!E$38*($A534-Ft!E$2)^2)),Ft!E$3*((1-Ft!E$7)/(1+Ft!E$39*($A534-Ft!E$2)^2)+Ft!E$7*EXP(Ft!E$40*($A534-Ft!E$2)^2)))</f>
        <v>3.5778929948473994</v>
      </c>
      <c r="J534" s="3">
        <f>IF(($A534-Ft!F$2)&lt;0,Ft!F$3*((1-Ft!F$6)/(1+Ft!F$37*($A534-Ft!F$2)^2)+Ft!F$6*EXP(Ft!F$38*($A534-Ft!F$2)^2)),Ft!F$3*((1-Ft!F$7)/(1+Ft!F$39*($A534-Ft!F$2)^2)+Ft!F$7*EXP(Ft!F$40*($A534-Ft!F$2)^2)))</f>
        <v>1.6534596617591557</v>
      </c>
      <c r="K534" s="3">
        <f>IF(($A534-Ft!G$2)&lt;0,Ft!G$3*((1-Ft!G$6)/(1+Ft!G$37*($A534-Ft!G$2)^2)+Ft!G$6*EXP(Ft!G$38*($A534-Ft!G$2)^2)),Ft!G$3*((1-Ft!G$7)/(1+Ft!G$39*($A534-Ft!G$2)^2)+Ft!G$7*EXP(Ft!G$40*($A534-Ft!G$2)^2)))</f>
        <v>4.4629030763298942</v>
      </c>
      <c r="L534" s="3">
        <f>IF(($A534-Ft!H$2)&lt;0,Ft!H$3*((1-Ft!H$6)/(1+Ft!H$37*($A534-Ft!H$2)^2)+Ft!H$6*EXP(Ft!H$38*($A534-Ft!H$2)^2)),Ft!H$3*((1-Ft!H$7)/(1+Ft!H$39*($A534-Ft!H$2)^2)+Ft!H$7*EXP(Ft!H$40*($A534-Ft!H$2)^2)))</f>
        <v>0</v>
      </c>
      <c r="M534" s="3">
        <f>IF(($A534-Ft!I$2)&lt;0,Ft!I$3*((1-Ft!I$6)/(1+Ft!I$37*($A534-Ft!I$2)^2)+Ft!I$6*EXP(Ft!I$38*($A534-Ft!I$2)^2)),Ft!I$3*((1-Ft!I$7)/(1+Ft!I$39*($A534-Ft!I$2)^2)+Ft!I$7*EXP(Ft!I$40*($A534-Ft!I$2)^2)))</f>
        <v>0</v>
      </c>
      <c r="N534" s="3">
        <f>IF(($A534-Ft!J$2)&lt;0,Ft!J$3*((1-Ft!J$6)/(1+Ft!J$37*($A534-Ft!J$2)^2)+Ft!J$6*EXP(Ft!J$38*($A534-Ft!J$2)^2)),Ft!J$3*((1-Ft!J$7)/(1+Ft!J$39*($A534-Ft!J$2)^2)+Ft!J$7*EXP(Ft!J$40*($A534-Ft!J$2)^2)))</f>
        <v>0</v>
      </c>
      <c r="O534" s="3">
        <f>IF(($A534-Ft!K$2)&lt;0,Ft!K$3*((1-Ft!K$6)/(1+Ft!K$37*($A534-Ft!K$2)^2)+Ft!K$6*EXP(Ft!K$38*($A534-Ft!K$2)^2)),Ft!K$3*((1-Ft!K$7)/(1+Ft!K$39*($A534-Ft!K$2)^2)+Ft!K$7*EXP(Ft!K$40*($A534-Ft!K$2)^2)))</f>
        <v>0</v>
      </c>
      <c r="P534"/>
      <c r="Q534"/>
    </row>
    <row r="535" spans="1:17">
      <c r="A535">
        <v>1066</v>
      </c>
      <c r="B535">
        <v>9.8393817215669941</v>
      </c>
      <c r="C535" s="6">
        <f t="shared" si="17"/>
        <v>9.1991641842693106</v>
      </c>
      <c r="D535" s="19">
        <f t="shared" si="18"/>
        <v>0.40987849506351076</v>
      </c>
      <c r="E535" s="3">
        <f>Ft!$B$12+Ft!$B$14*(Data!A535-Vars!$B$3)</f>
        <v>0</v>
      </c>
      <c r="F535" s="3">
        <f>IF(($A535-Ft!B$2)&lt;0,Ft!B$3*((1-Ft!B$6)/(1+Ft!B$37*($A535-Ft!B$2)^2)+Ft!B$6*EXP(Ft!B$38*($A535-Ft!B$2)^2)),Ft!B$3*((1-Ft!B$7)/(1+Ft!B$39*($A535-Ft!B$2)^2)+Ft!B$7*EXP(Ft!B$40*($A535-Ft!B$2)^2)))</f>
        <v>0</v>
      </c>
      <c r="G535" s="3">
        <f>IF(($A535-Ft!C$2)&lt;0,Ft!C$3*((1-Ft!C$6)/(1+Ft!C$37*($A535-Ft!C$2)^2)+Ft!C$6*EXP(Ft!C$38*($A535-Ft!C$2)^2)),Ft!C$3*((1-Ft!C$7)/(1+Ft!C$39*($A535-Ft!C$2)^2)+Ft!C$7*EXP(Ft!C$40*($A535-Ft!C$2)^2)))</f>
        <v>4.3246401840063578E-30</v>
      </c>
      <c r="H535" s="3">
        <f>IF(($A535-Ft!D$2)&lt;0,Ft!D$3*((1-Ft!D$6)/(1+Ft!D$37*($A535-Ft!D$2)^2)+Ft!D$6*EXP(Ft!D$38*($A535-Ft!D$2)^2)),Ft!D$3*((1-Ft!D$7)/(1+Ft!D$39*($A535-Ft!D$2)^2)+Ft!D$7*EXP(Ft!D$40*($A535-Ft!D$2)^2)))</f>
        <v>2.2559974035680507E-2</v>
      </c>
      <c r="I535" s="3">
        <f>IF(($A535-Ft!E$2)&lt;0,Ft!E$3*((1-Ft!E$6)/(1+Ft!E$37*($A535-Ft!E$2)^2)+Ft!E$6*EXP(Ft!E$38*($A535-Ft!E$2)^2)),Ft!E$3*((1-Ft!E$7)/(1+Ft!E$39*($A535-Ft!E$2)^2)+Ft!E$7*EXP(Ft!E$40*($A535-Ft!E$2)^2)))</f>
        <v>3.4915863943687899</v>
      </c>
      <c r="J535" s="3">
        <f>IF(($A535-Ft!F$2)&lt;0,Ft!F$3*((1-Ft!F$6)/(1+Ft!F$37*($A535-Ft!F$2)^2)+Ft!F$6*EXP(Ft!F$38*($A535-Ft!F$2)^2)),Ft!F$3*((1-Ft!F$7)/(1+Ft!F$39*($A535-Ft!F$2)^2)+Ft!F$7*EXP(Ft!F$40*($A535-Ft!F$2)^2)))</f>
        <v>1.5431566133768861</v>
      </c>
      <c r="K535" s="3">
        <f>IF(($A535-Ft!G$2)&lt;0,Ft!G$3*((1-Ft!G$6)/(1+Ft!G$37*($A535-Ft!G$2)^2)+Ft!G$6*EXP(Ft!G$38*($A535-Ft!G$2)^2)),Ft!G$3*((1-Ft!G$7)/(1+Ft!G$39*($A535-Ft!G$2)^2)+Ft!G$7*EXP(Ft!G$40*($A535-Ft!G$2)^2)))</f>
        <v>4.141861202487954</v>
      </c>
      <c r="L535" s="3">
        <f>IF(($A535-Ft!H$2)&lt;0,Ft!H$3*((1-Ft!H$6)/(1+Ft!H$37*($A535-Ft!H$2)^2)+Ft!H$6*EXP(Ft!H$38*($A535-Ft!H$2)^2)),Ft!H$3*((1-Ft!H$7)/(1+Ft!H$39*($A535-Ft!H$2)^2)+Ft!H$7*EXP(Ft!H$40*($A535-Ft!H$2)^2)))</f>
        <v>0</v>
      </c>
      <c r="M535" s="3">
        <f>IF(($A535-Ft!I$2)&lt;0,Ft!I$3*((1-Ft!I$6)/(1+Ft!I$37*($A535-Ft!I$2)^2)+Ft!I$6*EXP(Ft!I$38*($A535-Ft!I$2)^2)),Ft!I$3*((1-Ft!I$7)/(1+Ft!I$39*($A535-Ft!I$2)^2)+Ft!I$7*EXP(Ft!I$40*($A535-Ft!I$2)^2)))</f>
        <v>0</v>
      </c>
      <c r="N535" s="3">
        <f>IF(($A535-Ft!J$2)&lt;0,Ft!J$3*((1-Ft!J$6)/(1+Ft!J$37*($A535-Ft!J$2)^2)+Ft!J$6*EXP(Ft!J$38*($A535-Ft!J$2)^2)),Ft!J$3*((1-Ft!J$7)/(1+Ft!J$39*($A535-Ft!J$2)^2)+Ft!J$7*EXP(Ft!J$40*($A535-Ft!J$2)^2)))</f>
        <v>0</v>
      </c>
      <c r="O535" s="3">
        <f>IF(($A535-Ft!K$2)&lt;0,Ft!K$3*((1-Ft!K$6)/(1+Ft!K$37*($A535-Ft!K$2)^2)+Ft!K$6*EXP(Ft!K$38*($A535-Ft!K$2)^2)),Ft!K$3*((1-Ft!K$7)/(1+Ft!K$39*($A535-Ft!K$2)^2)+Ft!K$7*EXP(Ft!K$40*($A535-Ft!K$2)^2)))</f>
        <v>0</v>
      </c>
      <c r="P535"/>
      <c r="Q535"/>
    </row>
    <row r="536" spans="1:17">
      <c r="A536">
        <v>1068</v>
      </c>
      <c r="B536">
        <v>9.3301505026799987</v>
      </c>
      <c r="C536" s="6">
        <f t="shared" si="17"/>
        <v>8.6801687475333509</v>
      </c>
      <c r="D536" s="19">
        <f t="shared" si="18"/>
        <v>0.42247628202351684</v>
      </c>
      <c r="E536" s="3">
        <f>Ft!$B$12+Ft!$B$14*(Data!A536-Vars!$B$3)</f>
        <v>0</v>
      </c>
      <c r="F536" s="3">
        <f>IF(($A536-Ft!B$2)&lt;0,Ft!B$3*((1-Ft!B$6)/(1+Ft!B$37*($A536-Ft!B$2)^2)+Ft!B$6*EXP(Ft!B$38*($A536-Ft!B$2)^2)),Ft!B$3*((1-Ft!B$7)/(1+Ft!B$39*($A536-Ft!B$2)^2)+Ft!B$7*EXP(Ft!B$40*($A536-Ft!B$2)^2)))</f>
        <v>0</v>
      </c>
      <c r="G536" s="3">
        <f>IF(($A536-Ft!C$2)&lt;0,Ft!C$3*((1-Ft!C$6)/(1+Ft!C$37*($A536-Ft!C$2)^2)+Ft!C$6*EXP(Ft!C$38*($A536-Ft!C$2)^2)),Ft!C$3*((1-Ft!C$7)/(1+Ft!C$39*($A536-Ft!C$2)^2)+Ft!C$7*EXP(Ft!C$40*($A536-Ft!C$2)^2)))</f>
        <v>3.1990267999437882E-30</v>
      </c>
      <c r="H536" s="3">
        <f>IF(($A536-Ft!D$2)&lt;0,Ft!D$3*((1-Ft!D$6)/(1+Ft!D$37*($A536-Ft!D$2)^2)+Ft!D$6*EXP(Ft!D$38*($A536-Ft!D$2)^2)),Ft!D$3*((1-Ft!D$7)/(1+Ft!D$39*($A536-Ft!D$2)^2)+Ft!D$7*EXP(Ft!D$40*($A536-Ft!D$2)^2)))</f>
        <v>2.1588231272863152E-2</v>
      </c>
      <c r="I536" s="3">
        <f>IF(($A536-Ft!E$2)&lt;0,Ft!E$3*((1-Ft!E$6)/(1+Ft!E$37*($A536-Ft!E$2)^2)+Ft!E$6*EXP(Ft!E$38*($A536-Ft!E$2)^2)),Ft!E$3*((1-Ft!E$7)/(1+Ft!E$39*($A536-Ft!E$2)^2)+Ft!E$7*EXP(Ft!E$40*($A536-Ft!E$2)^2)))</f>
        <v>3.4066756670274003</v>
      </c>
      <c r="J536" s="3">
        <f>IF(($A536-Ft!F$2)&lt;0,Ft!F$3*((1-Ft!F$6)/(1+Ft!F$37*($A536-Ft!F$2)^2)+Ft!F$6*EXP(Ft!F$38*($A536-Ft!F$2)^2)),Ft!F$3*((1-Ft!F$7)/(1+Ft!F$39*($A536-Ft!F$2)^2)+Ft!F$7*EXP(Ft!F$40*($A536-Ft!F$2)^2)))</f>
        <v>1.4371155173589967</v>
      </c>
      <c r="K536" s="3">
        <f>IF(($A536-Ft!G$2)&lt;0,Ft!G$3*((1-Ft!G$6)/(1+Ft!G$37*($A536-Ft!G$2)^2)+Ft!G$6*EXP(Ft!G$38*($A536-Ft!G$2)^2)),Ft!G$3*((1-Ft!G$7)/(1+Ft!G$39*($A536-Ft!G$2)^2)+Ft!G$7*EXP(Ft!G$40*($A536-Ft!G$2)^2)))</f>
        <v>3.8147893318740906</v>
      </c>
      <c r="L536" s="3">
        <f>IF(($A536-Ft!H$2)&lt;0,Ft!H$3*((1-Ft!H$6)/(1+Ft!H$37*($A536-Ft!H$2)^2)+Ft!H$6*EXP(Ft!H$38*($A536-Ft!H$2)^2)),Ft!H$3*((1-Ft!H$7)/(1+Ft!H$39*($A536-Ft!H$2)^2)+Ft!H$7*EXP(Ft!H$40*($A536-Ft!H$2)^2)))</f>
        <v>0</v>
      </c>
      <c r="M536" s="3">
        <f>IF(($A536-Ft!I$2)&lt;0,Ft!I$3*((1-Ft!I$6)/(1+Ft!I$37*($A536-Ft!I$2)^2)+Ft!I$6*EXP(Ft!I$38*($A536-Ft!I$2)^2)),Ft!I$3*((1-Ft!I$7)/(1+Ft!I$39*($A536-Ft!I$2)^2)+Ft!I$7*EXP(Ft!I$40*($A536-Ft!I$2)^2)))</f>
        <v>0</v>
      </c>
      <c r="N536" s="3">
        <f>IF(($A536-Ft!J$2)&lt;0,Ft!J$3*((1-Ft!J$6)/(1+Ft!J$37*($A536-Ft!J$2)^2)+Ft!J$6*EXP(Ft!J$38*($A536-Ft!J$2)^2)),Ft!J$3*((1-Ft!J$7)/(1+Ft!J$39*($A536-Ft!J$2)^2)+Ft!J$7*EXP(Ft!J$40*($A536-Ft!J$2)^2)))</f>
        <v>0</v>
      </c>
      <c r="O536" s="3">
        <f>IF(($A536-Ft!K$2)&lt;0,Ft!K$3*((1-Ft!K$6)/(1+Ft!K$37*($A536-Ft!K$2)^2)+Ft!K$6*EXP(Ft!K$38*($A536-Ft!K$2)^2)),Ft!K$3*((1-Ft!K$7)/(1+Ft!K$39*($A536-Ft!K$2)^2)+Ft!K$7*EXP(Ft!K$40*($A536-Ft!K$2)^2)))</f>
        <v>0</v>
      </c>
      <c r="P536"/>
      <c r="Q536"/>
    </row>
    <row r="537" spans="1:17">
      <c r="A537">
        <v>1070</v>
      </c>
      <c r="B537">
        <v>8.78954058483599</v>
      </c>
      <c r="C537" s="6">
        <f t="shared" si="17"/>
        <v>8.1662240533488948</v>
      </c>
      <c r="D537" s="19">
        <f t="shared" si="18"/>
        <v>0.38852349842510292</v>
      </c>
      <c r="E537" s="3">
        <f>Ft!$B$12+Ft!$B$14*(Data!A537-Vars!$B$3)</f>
        <v>0</v>
      </c>
      <c r="F537" s="3">
        <f>IF(($A537-Ft!B$2)&lt;0,Ft!B$3*((1-Ft!B$6)/(1+Ft!B$37*($A537-Ft!B$2)^2)+Ft!B$6*EXP(Ft!B$38*($A537-Ft!B$2)^2)),Ft!B$3*((1-Ft!B$7)/(1+Ft!B$39*($A537-Ft!B$2)^2)+Ft!B$7*EXP(Ft!B$40*($A537-Ft!B$2)^2)))</f>
        <v>0</v>
      </c>
      <c r="G537" s="3">
        <f>IF(($A537-Ft!C$2)&lt;0,Ft!C$3*((1-Ft!C$6)/(1+Ft!C$37*($A537-Ft!C$2)^2)+Ft!C$6*EXP(Ft!C$38*($A537-Ft!C$2)^2)),Ft!C$3*((1-Ft!C$7)/(1+Ft!C$39*($A537-Ft!C$2)^2)+Ft!C$7*EXP(Ft!C$40*($A537-Ft!C$2)^2)))</f>
        <v>2.3648506019973241E-30</v>
      </c>
      <c r="H537" s="3">
        <f>IF(($A537-Ft!D$2)&lt;0,Ft!D$3*((1-Ft!D$6)/(1+Ft!D$37*($A537-Ft!D$2)^2)+Ft!D$6*EXP(Ft!D$38*($A537-Ft!D$2)^2)),Ft!D$3*((1-Ft!D$7)/(1+Ft!D$39*($A537-Ft!D$2)^2)+Ft!D$7*EXP(Ft!D$40*($A537-Ft!D$2)^2)))</f>
        <v>2.0655375438667408E-2</v>
      </c>
      <c r="I537" s="3">
        <f>IF(($A537-Ft!E$2)&lt;0,Ft!E$3*((1-Ft!E$6)/(1+Ft!E$37*($A537-Ft!E$2)^2)+Ft!E$6*EXP(Ft!E$38*($A537-Ft!E$2)^2)),Ft!E$3*((1-Ft!E$7)/(1+Ft!E$39*($A537-Ft!E$2)^2)+Ft!E$7*EXP(Ft!E$40*($A537-Ft!E$2)^2)))</f>
        <v>3.3231606427829266</v>
      </c>
      <c r="J537" s="3">
        <f>IF(($A537-Ft!F$2)&lt;0,Ft!F$3*((1-Ft!F$6)/(1+Ft!F$37*($A537-Ft!F$2)^2)+Ft!F$6*EXP(Ft!F$38*($A537-Ft!F$2)^2)),Ft!F$3*((1-Ft!F$7)/(1+Ft!F$39*($A537-Ft!F$2)^2)+Ft!F$7*EXP(Ft!F$40*($A537-Ft!F$2)^2)))</f>
        <v>1.3354838092750172</v>
      </c>
      <c r="K537" s="3">
        <f>IF(($A537-Ft!G$2)&lt;0,Ft!G$3*((1-Ft!G$6)/(1+Ft!G$37*($A537-Ft!G$2)^2)+Ft!G$6*EXP(Ft!G$38*($A537-Ft!G$2)^2)),Ft!G$3*((1-Ft!G$7)/(1+Ft!G$39*($A537-Ft!G$2)^2)+Ft!G$7*EXP(Ft!G$40*($A537-Ft!G$2)^2)))</f>
        <v>3.4869242258522837</v>
      </c>
      <c r="L537" s="3">
        <f>IF(($A537-Ft!H$2)&lt;0,Ft!H$3*((1-Ft!H$6)/(1+Ft!H$37*($A537-Ft!H$2)^2)+Ft!H$6*EXP(Ft!H$38*($A537-Ft!H$2)^2)),Ft!H$3*((1-Ft!H$7)/(1+Ft!H$39*($A537-Ft!H$2)^2)+Ft!H$7*EXP(Ft!H$40*($A537-Ft!H$2)^2)))</f>
        <v>0</v>
      </c>
      <c r="M537" s="3">
        <f>IF(($A537-Ft!I$2)&lt;0,Ft!I$3*((1-Ft!I$6)/(1+Ft!I$37*($A537-Ft!I$2)^2)+Ft!I$6*EXP(Ft!I$38*($A537-Ft!I$2)^2)),Ft!I$3*((1-Ft!I$7)/(1+Ft!I$39*($A537-Ft!I$2)^2)+Ft!I$7*EXP(Ft!I$40*($A537-Ft!I$2)^2)))</f>
        <v>0</v>
      </c>
      <c r="N537" s="3">
        <f>IF(($A537-Ft!J$2)&lt;0,Ft!J$3*((1-Ft!J$6)/(1+Ft!J$37*($A537-Ft!J$2)^2)+Ft!J$6*EXP(Ft!J$38*($A537-Ft!J$2)^2)),Ft!J$3*((1-Ft!J$7)/(1+Ft!J$39*($A537-Ft!J$2)^2)+Ft!J$7*EXP(Ft!J$40*($A537-Ft!J$2)^2)))</f>
        <v>0</v>
      </c>
      <c r="O537" s="3">
        <f>IF(($A537-Ft!K$2)&lt;0,Ft!K$3*((1-Ft!K$6)/(1+Ft!K$37*($A537-Ft!K$2)^2)+Ft!K$6*EXP(Ft!K$38*($A537-Ft!K$2)^2)),Ft!K$3*((1-Ft!K$7)/(1+Ft!K$39*($A537-Ft!K$2)^2)+Ft!K$7*EXP(Ft!K$40*($A537-Ft!K$2)^2)))</f>
        <v>0</v>
      </c>
      <c r="P537"/>
      <c r="Q537"/>
    </row>
    <row r="538" spans="1:17">
      <c r="A538">
        <v>1072</v>
      </c>
      <c r="B538">
        <v>8.2184771169740003</v>
      </c>
      <c r="C538" s="6">
        <f t="shared" si="17"/>
        <v>7.6622603885122844</v>
      </c>
      <c r="D538" s="19">
        <f t="shared" si="18"/>
        <v>0.30937704902065416</v>
      </c>
      <c r="E538" s="3">
        <f>Ft!$B$12+Ft!$B$14*(Data!A538-Vars!$B$3)</f>
        <v>0</v>
      </c>
      <c r="F538" s="3">
        <f>IF(($A538-Ft!B$2)&lt;0,Ft!B$3*((1-Ft!B$6)/(1+Ft!B$37*($A538-Ft!B$2)^2)+Ft!B$6*EXP(Ft!B$38*($A538-Ft!B$2)^2)),Ft!B$3*((1-Ft!B$7)/(1+Ft!B$39*($A538-Ft!B$2)^2)+Ft!B$7*EXP(Ft!B$40*($A538-Ft!B$2)^2)))</f>
        <v>0</v>
      </c>
      <c r="G538" s="3">
        <f>IF(($A538-Ft!C$2)&lt;0,Ft!C$3*((1-Ft!C$6)/(1+Ft!C$37*($A538-Ft!C$2)^2)+Ft!C$6*EXP(Ft!C$38*($A538-Ft!C$2)^2)),Ft!C$3*((1-Ft!C$7)/(1+Ft!C$39*($A538-Ft!C$2)^2)+Ft!C$7*EXP(Ft!C$40*($A538-Ft!C$2)^2)))</f>
        <v>1.7470586029811812E-30</v>
      </c>
      <c r="H538" s="3">
        <f>IF(($A538-Ft!D$2)&lt;0,Ft!D$3*((1-Ft!D$6)/(1+Ft!D$37*($A538-Ft!D$2)^2)+Ft!D$6*EXP(Ft!D$38*($A538-Ft!D$2)^2)),Ft!D$3*((1-Ft!D$7)/(1+Ft!D$39*($A538-Ft!D$2)^2)+Ft!D$7*EXP(Ft!D$40*($A538-Ft!D$2)^2)))</f>
        <v>1.9759988583085246E-2</v>
      </c>
      <c r="I538" s="3">
        <f>IF(($A538-Ft!E$2)&lt;0,Ft!E$3*((1-Ft!E$6)/(1+Ft!E$37*($A538-Ft!E$2)^2)+Ft!E$6*EXP(Ft!E$38*($A538-Ft!E$2)^2)),Ft!E$3*((1-Ft!E$7)/(1+Ft!E$39*($A538-Ft!E$2)^2)+Ft!E$7*EXP(Ft!E$40*($A538-Ft!E$2)^2)))</f>
        <v>3.2410403230711666</v>
      </c>
      <c r="J538" s="3">
        <f>IF(($A538-Ft!F$2)&lt;0,Ft!F$3*((1-Ft!F$6)/(1+Ft!F$37*($A538-Ft!F$2)^2)+Ft!F$6*EXP(Ft!F$38*($A538-Ft!F$2)^2)),Ft!F$3*((1-Ft!F$7)/(1+Ft!F$39*($A538-Ft!F$2)^2)+Ft!F$7*EXP(Ft!F$40*($A538-Ft!F$2)^2)))</f>
        <v>1.2383712185757669</v>
      </c>
      <c r="K538" s="3">
        <f>IF(($A538-Ft!G$2)&lt;0,Ft!G$3*((1-Ft!G$6)/(1+Ft!G$37*($A538-Ft!G$2)^2)+Ft!G$6*EXP(Ft!G$38*($A538-Ft!G$2)^2)),Ft!G$3*((1-Ft!G$7)/(1+Ft!G$39*($A538-Ft!G$2)^2)+Ft!G$7*EXP(Ft!G$40*($A538-Ft!G$2)^2)))</f>
        <v>3.1630888582822658</v>
      </c>
      <c r="L538" s="3">
        <f>IF(($A538-Ft!H$2)&lt;0,Ft!H$3*((1-Ft!H$6)/(1+Ft!H$37*($A538-Ft!H$2)^2)+Ft!H$6*EXP(Ft!H$38*($A538-Ft!H$2)^2)),Ft!H$3*((1-Ft!H$7)/(1+Ft!H$39*($A538-Ft!H$2)^2)+Ft!H$7*EXP(Ft!H$40*($A538-Ft!H$2)^2)))</f>
        <v>0</v>
      </c>
      <c r="M538" s="3">
        <f>IF(($A538-Ft!I$2)&lt;0,Ft!I$3*((1-Ft!I$6)/(1+Ft!I$37*($A538-Ft!I$2)^2)+Ft!I$6*EXP(Ft!I$38*($A538-Ft!I$2)^2)),Ft!I$3*((1-Ft!I$7)/(1+Ft!I$39*($A538-Ft!I$2)^2)+Ft!I$7*EXP(Ft!I$40*($A538-Ft!I$2)^2)))</f>
        <v>0</v>
      </c>
      <c r="N538" s="3">
        <f>IF(($A538-Ft!J$2)&lt;0,Ft!J$3*((1-Ft!J$6)/(1+Ft!J$37*($A538-Ft!J$2)^2)+Ft!J$6*EXP(Ft!J$38*($A538-Ft!J$2)^2)),Ft!J$3*((1-Ft!J$7)/(1+Ft!J$39*($A538-Ft!J$2)^2)+Ft!J$7*EXP(Ft!J$40*($A538-Ft!J$2)^2)))</f>
        <v>0</v>
      </c>
      <c r="O538" s="3">
        <f>IF(($A538-Ft!K$2)&lt;0,Ft!K$3*((1-Ft!K$6)/(1+Ft!K$37*($A538-Ft!K$2)^2)+Ft!K$6*EXP(Ft!K$38*($A538-Ft!K$2)^2)),Ft!K$3*((1-Ft!K$7)/(1+Ft!K$39*($A538-Ft!K$2)^2)+Ft!K$7*EXP(Ft!K$40*($A538-Ft!K$2)^2)))</f>
        <v>0</v>
      </c>
      <c r="P538"/>
      <c r="Q538"/>
    </row>
    <row r="539" spans="1:17">
      <c r="A539">
        <v>1074</v>
      </c>
      <c r="B539">
        <v>7.6178852480349946</v>
      </c>
      <c r="C539" s="6">
        <f t="shared" si="17"/>
        <v>7.1726534714674912</v>
      </c>
      <c r="D539" s="19">
        <f t="shared" si="18"/>
        <v>0.19823133486545522</v>
      </c>
      <c r="E539" s="3">
        <f>Ft!$B$12+Ft!$B$14*(Data!A539-Vars!$B$3)</f>
        <v>0</v>
      </c>
      <c r="F539" s="3">
        <f>IF(($A539-Ft!B$2)&lt;0,Ft!B$3*((1-Ft!B$6)/(1+Ft!B$37*($A539-Ft!B$2)^2)+Ft!B$6*EXP(Ft!B$38*($A539-Ft!B$2)^2)),Ft!B$3*((1-Ft!B$7)/(1+Ft!B$39*($A539-Ft!B$2)^2)+Ft!B$7*EXP(Ft!B$40*($A539-Ft!B$2)^2)))</f>
        <v>0</v>
      </c>
      <c r="G539" s="3">
        <f>IF(($A539-Ft!C$2)&lt;0,Ft!C$3*((1-Ft!C$6)/(1+Ft!C$37*($A539-Ft!C$2)^2)+Ft!C$6*EXP(Ft!C$38*($A539-Ft!C$2)^2)),Ft!C$3*((1-Ft!C$7)/(1+Ft!C$39*($A539-Ft!C$2)^2)+Ft!C$7*EXP(Ft!C$40*($A539-Ft!C$2)^2)))</f>
        <v>1.2898201840310217E-30</v>
      </c>
      <c r="H539" s="3">
        <f>IF(($A539-Ft!D$2)&lt;0,Ft!D$3*((1-Ft!D$6)/(1+Ft!D$37*($A539-Ft!D$2)^2)+Ft!D$6*EXP(Ft!D$38*($A539-Ft!D$2)^2)),Ft!D$3*((1-Ft!D$7)/(1+Ft!D$39*($A539-Ft!D$2)^2)+Ft!D$7*EXP(Ft!D$40*($A539-Ft!D$2)^2)))</f>
        <v>1.8900698316652368E-2</v>
      </c>
      <c r="I539" s="3">
        <f>IF(($A539-Ft!E$2)&lt;0,Ft!E$3*((1-Ft!E$6)/(1+Ft!E$37*($A539-Ft!E$2)^2)+Ft!E$6*EXP(Ft!E$38*($A539-Ft!E$2)^2)),Ft!E$3*((1-Ft!E$7)/(1+Ft!E$39*($A539-Ft!E$2)^2)+Ft!E$7*EXP(Ft!E$40*($A539-Ft!E$2)^2)))</f>
        <v>3.160312901908287</v>
      </c>
      <c r="J539" s="3">
        <f>IF(($A539-Ft!F$2)&lt;0,Ft!F$3*((1-Ft!F$6)/(1+Ft!F$37*($A539-Ft!F$2)^2)+Ft!F$6*EXP(Ft!F$38*($A539-Ft!F$2)^2)),Ft!F$3*((1-Ft!F$7)/(1+Ft!F$39*($A539-Ft!F$2)^2)+Ft!F$7*EXP(Ft!F$40*($A539-Ft!F$2)^2)))</f>
        <v>1.1458515238779292</v>
      </c>
      <c r="K539" s="3">
        <f>IF(($A539-Ft!G$2)&lt;0,Ft!G$3*((1-Ft!G$6)/(1+Ft!G$37*($A539-Ft!G$2)^2)+Ft!G$6*EXP(Ft!G$38*($A539-Ft!G$2)^2)),Ft!G$3*((1-Ft!G$7)/(1+Ft!G$39*($A539-Ft!G$2)^2)+Ft!G$7*EXP(Ft!G$40*($A539-Ft!G$2)^2)))</f>
        <v>2.847588347364622</v>
      </c>
      <c r="L539" s="3">
        <f>IF(($A539-Ft!H$2)&lt;0,Ft!H$3*((1-Ft!H$6)/(1+Ft!H$37*($A539-Ft!H$2)^2)+Ft!H$6*EXP(Ft!H$38*($A539-Ft!H$2)^2)),Ft!H$3*((1-Ft!H$7)/(1+Ft!H$39*($A539-Ft!H$2)^2)+Ft!H$7*EXP(Ft!H$40*($A539-Ft!H$2)^2)))</f>
        <v>0</v>
      </c>
      <c r="M539" s="3">
        <f>IF(($A539-Ft!I$2)&lt;0,Ft!I$3*((1-Ft!I$6)/(1+Ft!I$37*($A539-Ft!I$2)^2)+Ft!I$6*EXP(Ft!I$38*($A539-Ft!I$2)^2)),Ft!I$3*((1-Ft!I$7)/(1+Ft!I$39*($A539-Ft!I$2)^2)+Ft!I$7*EXP(Ft!I$40*($A539-Ft!I$2)^2)))</f>
        <v>0</v>
      </c>
      <c r="N539" s="3">
        <f>IF(($A539-Ft!J$2)&lt;0,Ft!J$3*((1-Ft!J$6)/(1+Ft!J$37*($A539-Ft!J$2)^2)+Ft!J$6*EXP(Ft!J$38*($A539-Ft!J$2)^2)),Ft!J$3*((1-Ft!J$7)/(1+Ft!J$39*($A539-Ft!J$2)^2)+Ft!J$7*EXP(Ft!J$40*($A539-Ft!J$2)^2)))</f>
        <v>0</v>
      </c>
      <c r="O539" s="3">
        <f>IF(($A539-Ft!K$2)&lt;0,Ft!K$3*((1-Ft!K$6)/(1+Ft!K$37*($A539-Ft!K$2)^2)+Ft!K$6*EXP(Ft!K$38*($A539-Ft!K$2)^2)),Ft!K$3*((1-Ft!K$7)/(1+Ft!K$39*($A539-Ft!K$2)^2)+Ft!K$7*EXP(Ft!K$40*($A539-Ft!K$2)^2)))</f>
        <v>0</v>
      </c>
      <c r="P539"/>
      <c r="Q539"/>
    </row>
    <row r="540" spans="1:17">
      <c r="A540">
        <v>1076</v>
      </c>
      <c r="B540">
        <v>6.9886901269560013</v>
      </c>
      <c r="C540" s="6">
        <f t="shared" si="17"/>
        <v>6.701150354336721</v>
      </c>
      <c r="D540" s="19">
        <f t="shared" si="18"/>
        <v>8.2679120837947429E-2</v>
      </c>
      <c r="E540" s="3">
        <f>Ft!$B$12+Ft!$B$14*(Data!A540-Vars!$B$3)</f>
        <v>0</v>
      </c>
      <c r="F540" s="3">
        <f>IF(($A540-Ft!B$2)&lt;0,Ft!B$3*((1-Ft!B$6)/(1+Ft!B$37*($A540-Ft!B$2)^2)+Ft!B$6*EXP(Ft!B$38*($A540-Ft!B$2)^2)),Ft!B$3*((1-Ft!B$7)/(1+Ft!B$39*($A540-Ft!B$2)^2)+Ft!B$7*EXP(Ft!B$40*($A540-Ft!B$2)^2)))</f>
        <v>0</v>
      </c>
      <c r="G540" s="3">
        <f>IF(($A540-Ft!C$2)&lt;0,Ft!C$3*((1-Ft!C$6)/(1+Ft!C$37*($A540-Ft!C$2)^2)+Ft!C$6*EXP(Ft!C$38*($A540-Ft!C$2)^2)),Ft!C$3*((1-Ft!C$7)/(1+Ft!C$39*($A540-Ft!C$2)^2)+Ft!C$7*EXP(Ft!C$40*($A540-Ft!C$2)^2)))</f>
        <v>9.5163147265560869E-31</v>
      </c>
      <c r="H540" s="3">
        <f>IF(($A540-Ft!D$2)&lt;0,Ft!D$3*((1-Ft!D$6)/(1+Ft!D$37*($A540-Ft!D$2)^2)+Ft!D$6*EXP(Ft!D$38*($A540-Ft!D$2)^2)),Ft!D$3*((1-Ft!D$7)/(1+Ft!D$39*($A540-Ft!D$2)^2)+Ft!D$7*EXP(Ft!D$40*($A540-Ft!D$2)^2)))</f>
        <v>1.8076176607421383E-2</v>
      </c>
      <c r="I540" s="3">
        <f>IF(($A540-Ft!E$2)&lt;0,Ft!E$3*((1-Ft!E$6)/(1+Ft!E$37*($A540-Ft!E$2)^2)+Ft!E$6*EXP(Ft!E$38*($A540-Ft!E$2)^2)),Ft!E$3*((1-Ft!E$7)/(1+Ft!E$39*($A540-Ft!E$2)^2)+Ft!E$7*EXP(Ft!E$40*($A540-Ft!E$2)^2)))</f>
        <v>3.0809757872783954</v>
      </c>
      <c r="J540" s="3">
        <f>IF(($A540-Ft!F$2)&lt;0,Ft!F$3*((1-Ft!F$6)/(1+Ft!F$37*($A540-Ft!F$2)^2)+Ft!F$6*EXP(Ft!F$38*($A540-Ft!F$2)^2)),Ft!F$3*((1-Ft!F$7)/(1+Ft!F$39*($A540-Ft!F$2)^2)+Ft!F$7*EXP(Ft!F$40*($A540-Ft!F$2)^2)))</f>
        <v>1.0579645545853076</v>
      </c>
      <c r="K540" s="3">
        <f>IF(($A540-Ft!G$2)&lt;0,Ft!G$3*((1-Ft!G$6)/(1+Ft!G$37*($A540-Ft!G$2)^2)+Ft!G$6*EXP(Ft!G$38*($A540-Ft!G$2)^2)),Ft!G$3*((1-Ft!G$7)/(1+Ft!G$39*($A540-Ft!G$2)^2)+Ft!G$7*EXP(Ft!G$40*($A540-Ft!G$2)^2)))</f>
        <v>2.5441338358655967</v>
      </c>
      <c r="L540" s="3">
        <f>IF(($A540-Ft!H$2)&lt;0,Ft!H$3*((1-Ft!H$6)/(1+Ft!H$37*($A540-Ft!H$2)^2)+Ft!H$6*EXP(Ft!H$38*($A540-Ft!H$2)^2)),Ft!H$3*((1-Ft!H$7)/(1+Ft!H$39*($A540-Ft!H$2)^2)+Ft!H$7*EXP(Ft!H$40*($A540-Ft!H$2)^2)))</f>
        <v>0</v>
      </c>
      <c r="M540" s="3">
        <f>IF(($A540-Ft!I$2)&lt;0,Ft!I$3*((1-Ft!I$6)/(1+Ft!I$37*($A540-Ft!I$2)^2)+Ft!I$6*EXP(Ft!I$38*($A540-Ft!I$2)^2)),Ft!I$3*((1-Ft!I$7)/(1+Ft!I$39*($A540-Ft!I$2)^2)+Ft!I$7*EXP(Ft!I$40*($A540-Ft!I$2)^2)))</f>
        <v>0</v>
      </c>
      <c r="N540" s="3">
        <f>IF(($A540-Ft!J$2)&lt;0,Ft!J$3*((1-Ft!J$6)/(1+Ft!J$37*($A540-Ft!J$2)^2)+Ft!J$6*EXP(Ft!J$38*($A540-Ft!J$2)^2)),Ft!J$3*((1-Ft!J$7)/(1+Ft!J$39*($A540-Ft!J$2)^2)+Ft!J$7*EXP(Ft!J$40*($A540-Ft!J$2)^2)))</f>
        <v>0</v>
      </c>
      <c r="O540" s="3">
        <f>IF(($A540-Ft!K$2)&lt;0,Ft!K$3*((1-Ft!K$6)/(1+Ft!K$37*($A540-Ft!K$2)^2)+Ft!K$6*EXP(Ft!K$38*($A540-Ft!K$2)^2)),Ft!K$3*((1-Ft!K$7)/(1+Ft!K$39*($A540-Ft!K$2)^2)+Ft!K$7*EXP(Ft!K$40*($A540-Ft!K$2)^2)))</f>
        <v>0</v>
      </c>
      <c r="P540"/>
      <c r="Q540"/>
    </row>
    <row r="541" spans="1:17">
      <c r="A541">
        <v>1078</v>
      </c>
      <c r="B541">
        <v>6.3318169026769908</v>
      </c>
      <c r="C541" s="6">
        <f t="shared" si="17"/>
        <v>6.2508241741831192</v>
      </c>
      <c r="D541" s="19">
        <f t="shared" si="18"/>
        <v>6.5598220688820041E-3</v>
      </c>
      <c r="E541" s="3">
        <f>Ft!$B$12+Ft!$B$14*(Data!A541-Vars!$B$3)</f>
        <v>0</v>
      </c>
      <c r="F541" s="3">
        <f>IF(($A541-Ft!B$2)&lt;0,Ft!B$3*((1-Ft!B$6)/(1+Ft!B$37*($A541-Ft!B$2)^2)+Ft!B$6*EXP(Ft!B$38*($A541-Ft!B$2)^2)),Ft!B$3*((1-Ft!B$7)/(1+Ft!B$39*($A541-Ft!B$2)^2)+Ft!B$7*EXP(Ft!B$40*($A541-Ft!B$2)^2)))</f>
        <v>0</v>
      </c>
      <c r="G541" s="3">
        <f>IF(($A541-Ft!C$2)&lt;0,Ft!C$3*((1-Ft!C$6)/(1+Ft!C$37*($A541-Ft!C$2)^2)+Ft!C$6*EXP(Ft!C$38*($A541-Ft!C$2)^2)),Ft!C$3*((1-Ft!C$7)/(1+Ft!C$39*($A541-Ft!C$2)^2)+Ft!C$7*EXP(Ft!C$40*($A541-Ft!C$2)^2)))</f>
        <v>7.01659414748155E-31</v>
      </c>
      <c r="H541" s="3">
        <f>IF(($A541-Ft!D$2)&lt;0,Ft!D$3*((1-Ft!D$6)/(1+Ft!D$37*($A541-Ft!D$2)^2)+Ft!D$6*EXP(Ft!D$38*($A541-Ft!D$2)^2)),Ft!D$3*((1-Ft!D$7)/(1+Ft!D$39*($A541-Ft!D$2)^2)+Ft!D$7*EXP(Ft!D$40*($A541-Ft!D$2)^2)))</f>
        <v>1.7285138598981169E-2</v>
      </c>
      <c r="I541" s="3">
        <f>IF(($A541-Ft!E$2)&lt;0,Ft!E$3*((1-Ft!E$6)/(1+Ft!E$37*($A541-Ft!E$2)^2)+Ft!E$6*EXP(Ft!E$38*($A541-Ft!E$2)^2)),Ft!E$3*((1-Ft!E$7)/(1+Ft!E$39*($A541-Ft!E$2)^2)+Ft!E$7*EXP(Ft!E$40*($A541-Ft!E$2)^2)))</f>
        <v>3.0030256227719008</v>
      </c>
      <c r="J541" s="3">
        <f>IF(($A541-Ft!F$2)&lt;0,Ft!F$3*((1-Ft!F$6)/(1+Ft!F$37*($A541-Ft!F$2)^2)+Ft!F$6*EXP(Ft!F$38*($A541-Ft!F$2)^2)),Ft!F$3*((1-Ft!F$7)/(1+Ft!F$39*($A541-Ft!F$2)^2)+Ft!F$7*EXP(Ft!F$40*($A541-Ft!F$2)^2)))</f>
        <v>0.97471839611262834</v>
      </c>
      <c r="K541" s="3">
        <f>IF(($A541-Ft!G$2)&lt;0,Ft!G$3*((1-Ft!G$6)/(1+Ft!G$37*($A541-Ft!G$2)^2)+Ft!G$6*EXP(Ft!G$38*($A541-Ft!G$2)^2)),Ft!G$3*((1-Ft!G$7)/(1+Ft!G$39*($A541-Ft!G$2)^2)+Ft!G$7*EXP(Ft!G$40*($A541-Ft!G$2)^2)))</f>
        <v>2.2557950166996092</v>
      </c>
      <c r="L541" s="3">
        <f>IF(($A541-Ft!H$2)&lt;0,Ft!H$3*((1-Ft!H$6)/(1+Ft!H$37*($A541-Ft!H$2)^2)+Ft!H$6*EXP(Ft!H$38*($A541-Ft!H$2)^2)),Ft!H$3*((1-Ft!H$7)/(1+Ft!H$39*($A541-Ft!H$2)^2)+Ft!H$7*EXP(Ft!H$40*($A541-Ft!H$2)^2)))</f>
        <v>0</v>
      </c>
      <c r="M541" s="3">
        <f>IF(($A541-Ft!I$2)&lt;0,Ft!I$3*((1-Ft!I$6)/(1+Ft!I$37*($A541-Ft!I$2)^2)+Ft!I$6*EXP(Ft!I$38*($A541-Ft!I$2)^2)),Ft!I$3*((1-Ft!I$7)/(1+Ft!I$39*($A541-Ft!I$2)^2)+Ft!I$7*EXP(Ft!I$40*($A541-Ft!I$2)^2)))</f>
        <v>0</v>
      </c>
      <c r="N541" s="3">
        <f>IF(($A541-Ft!J$2)&lt;0,Ft!J$3*((1-Ft!J$6)/(1+Ft!J$37*($A541-Ft!J$2)^2)+Ft!J$6*EXP(Ft!J$38*($A541-Ft!J$2)^2)),Ft!J$3*((1-Ft!J$7)/(1+Ft!J$39*($A541-Ft!J$2)^2)+Ft!J$7*EXP(Ft!J$40*($A541-Ft!J$2)^2)))</f>
        <v>0</v>
      </c>
      <c r="O541" s="3">
        <f>IF(($A541-Ft!K$2)&lt;0,Ft!K$3*((1-Ft!K$6)/(1+Ft!K$37*($A541-Ft!K$2)^2)+Ft!K$6*EXP(Ft!K$38*($A541-Ft!K$2)^2)),Ft!K$3*((1-Ft!K$7)/(1+Ft!K$39*($A541-Ft!K$2)^2)+Ft!K$7*EXP(Ft!K$40*($A541-Ft!K$2)^2)))</f>
        <v>0</v>
      </c>
      <c r="P541"/>
      <c r="Q541"/>
    </row>
    <row r="542" spans="1:17">
      <c r="A542">
        <v>1080</v>
      </c>
      <c r="B542">
        <v>0</v>
      </c>
      <c r="C542" s="6">
        <f t="shared" si="17"/>
        <v>5.8240569040685557</v>
      </c>
      <c r="D542" s="19">
        <f t="shared" si="18"/>
        <v>33.919638821828613</v>
      </c>
      <c r="E542" s="3">
        <f>Ft!$B$12+Ft!$B$14*(Data!A542-Vars!$B$3)</f>
        <v>0</v>
      </c>
      <c r="F542" s="3">
        <f>IF(($A542-Ft!B$2)&lt;0,Ft!B$3*((1-Ft!B$6)/(1+Ft!B$37*($A542-Ft!B$2)^2)+Ft!B$6*EXP(Ft!B$38*($A542-Ft!B$2)^2)),Ft!B$3*((1-Ft!B$7)/(1+Ft!B$39*($A542-Ft!B$2)^2)+Ft!B$7*EXP(Ft!B$40*($A542-Ft!B$2)^2)))</f>
        <v>0</v>
      </c>
      <c r="G542" s="3">
        <f>IF(($A542-Ft!C$2)&lt;0,Ft!C$3*((1-Ft!C$6)/(1+Ft!C$37*($A542-Ft!C$2)^2)+Ft!C$6*EXP(Ft!C$38*($A542-Ft!C$2)^2)),Ft!C$3*((1-Ft!C$7)/(1+Ft!C$39*($A542-Ft!C$2)^2)+Ft!C$7*EXP(Ft!C$40*($A542-Ft!C$2)^2)))</f>
        <v>5.1701345943956551E-31</v>
      </c>
      <c r="H542" s="3">
        <f>IF(($A542-Ft!D$2)&lt;0,Ft!D$3*((1-Ft!D$6)/(1+Ft!D$37*($A542-Ft!D$2)^2)+Ft!D$6*EXP(Ft!D$38*($A542-Ft!D$2)^2)),Ft!D$3*((1-Ft!D$7)/(1+Ft!D$39*($A542-Ft!D$2)^2)+Ft!D$7*EXP(Ft!D$40*($A542-Ft!D$2)^2)))</f>
        <v>1.6526341449604177E-2</v>
      </c>
      <c r="I542" s="3">
        <f>IF(($A542-Ft!E$2)&lt;0,Ft!E$3*((1-Ft!E$6)/(1+Ft!E$37*($A542-Ft!E$2)^2)+Ft!E$6*EXP(Ft!E$38*($A542-Ft!E$2)^2)),Ft!E$3*((1-Ft!E$7)/(1+Ft!E$39*($A542-Ft!E$2)^2)+Ft!E$7*EXP(Ft!E$40*($A542-Ft!E$2)^2)))</f>
        <v>2.9264583094426162</v>
      </c>
      <c r="J542" s="3">
        <f>IF(($A542-Ft!F$2)&lt;0,Ft!F$3*((1-Ft!F$6)/(1+Ft!F$37*($A542-Ft!F$2)^2)+Ft!F$6*EXP(Ft!F$38*($A542-Ft!F$2)^2)),Ft!F$3*((1-Ft!F$7)/(1+Ft!F$39*($A542-Ft!F$2)^2)+Ft!F$7*EXP(Ft!F$40*($A542-Ft!F$2)^2)))</f>
        <v>0.89609175617888026</v>
      </c>
      <c r="K542" s="3">
        <f>IF(($A542-Ft!G$2)&lt;0,Ft!G$3*((1-Ft!G$6)/(1+Ft!G$37*($A542-Ft!G$2)^2)+Ft!G$6*EXP(Ft!G$38*($A542-Ft!G$2)^2)),Ft!G$3*((1-Ft!G$7)/(1+Ft!G$39*($A542-Ft!G$2)^2)+Ft!G$7*EXP(Ft!G$40*($A542-Ft!G$2)^2)))</f>
        <v>1.9849804969974554</v>
      </c>
      <c r="L542" s="3">
        <f>IF(($A542-Ft!H$2)&lt;0,Ft!H$3*((1-Ft!H$6)/(1+Ft!H$37*($A542-Ft!H$2)^2)+Ft!H$6*EXP(Ft!H$38*($A542-Ft!H$2)^2)),Ft!H$3*((1-Ft!H$7)/(1+Ft!H$39*($A542-Ft!H$2)^2)+Ft!H$7*EXP(Ft!H$40*($A542-Ft!H$2)^2)))</f>
        <v>0</v>
      </c>
      <c r="M542" s="3">
        <f>IF(($A542-Ft!I$2)&lt;0,Ft!I$3*((1-Ft!I$6)/(1+Ft!I$37*($A542-Ft!I$2)^2)+Ft!I$6*EXP(Ft!I$38*($A542-Ft!I$2)^2)),Ft!I$3*((1-Ft!I$7)/(1+Ft!I$39*($A542-Ft!I$2)^2)+Ft!I$7*EXP(Ft!I$40*($A542-Ft!I$2)^2)))</f>
        <v>0</v>
      </c>
      <c r="N542" s="3">
        <f>IF(($A542-Ft!J$2)&lt;0,Ft!J$3*((1-Ft!J$6)/(1+Ft!J$37*($A542-Ft!J$2)^2)+Ft!J$6*EXP(Ft!J$38*($A542-Ft!J$2)^2)),Ft!J$3*((1-Ft!J$7)/(1+Ft!J$39*($A542-Ft!J$2)^2)+Ft!J$7*EXP(Ft!J$40*($A542-Ft!J$2)^2)))</f>
        <v>0</v>
      </c>
      <c r="O542" s="3">
        <f>IF(($A542-Ft!K$2)&lt;0,Ft!K$3*((1-Ft!K$6)/(1+Ft!K$37*($A542-Ft!K$2)^2)+Ft!K$6*EXP(Ft!K$38*($A542-Ft!K$2)^2)),Ft!K$3*((1-Ft!K$7)/(1+Ft!K$39*($A542-Ft!K$2)^2)+Ft!K$7*EXP(Ft!K$40*($A542-Ft!K$2)^2)))</f>
        <v>0</v>
      </c>
      <c r="P542"/>
      <c r="Q542"/>
    </row>
    <row r="543" spans="1:17">
      <c r="A543"/>
      <c r="B543"/>
      <c r="P543"/>
      <c r="Q543"/>
    </row>
    <row r="544" spans="1:17">
      <c r="A544"/>
      <c r="B544"/>
      <c r="P544"/>
      <c r="Q544"/>
    </row>
    <row r="545" spans="1:17">
      <c r="A545"/>
      <c r="B545"/>
      <c r="P545"/>
      <c r="Q545"/>
    </row>
    <row r="546" spans="1:17">
      <c r="A546"/>
      <c r="B546"/>
      <c r="P546"/>
      <c r="Q546"/>
    </row>
    <row r="547" spans="1:17">
      <c r="A547"/>
      <c r="B547"/>
      <c r="P547"/>
      <c r="Q547"/>
    </row>
    <row r="548" spans="1:17">
      <c r="A548"/>
      <c r="B548"/>
      <c r="P548"/>
      <c r="Q548"/>
    </row>
    <row r="549" spans="1:17">
      <c r="A549"/>
      <c r="B549"/>
      <c r="P549"/>
      <c r="Q549"/>
    </row>
    <row r="550" spans="1:17">
      <c r="A550"/>
      <c r="B550"/>
      <c r="P550"/>
      <c r="Q550"/>
    </row>
    <row r="551" spans="1:17">
      <c r="A551"/>
      <c r="B551"/>
      <c r="P551"/>
      <c r="Q551"/>
    </row>
    <row r="552" spans="1:17">
      <c r="A552"/>
      <c r="B552"/>
      <c r="P552"/>
      <c r="Q552"/>
    </row>
    <row r="553" spans="1:17">
      <c r="A553"/>
      <c r="B553"/>
      <c r="P553"/>
      <c r="Q553"/>
    </row>
    <row r="554" spans="1:17">
      <c r="A554"/>
      <c r="B554"/>
      <c r="P554"/>
      <c r="Q554"/>
    </row>
    <row r="555" spans="1:17">
      <c r="A555"/>
      <c r="B555"/>
      <c r="P555"/>
      <c r="Q555"/>
    </row>
    <row r="556" spans="1:17">
      <c r="A556"/>
      <c r="B556"/>
      <c r="P556"/>
      <c r="Q556"/>
    </row>
    <row r="557" spans="1:17">
      <c r="A557"/>
      <c r="B557"/>
      <c r="P557"/>
      <c r="Q557"/>
    </row>
    <row r="558" spans="1:17">
      <c r="A558"/>
      <c r="B558"/>
      <c r="P558"/>
      <c r="Q558"/>
    </row>
    <row r="559" spans="1:17">
      <c r="A559"/>
      <c r="B559"/>
      <c r="P559"/>
      <c r="Q559"/>
    </row>
    <row r="560" spans="1:17">
      <c r="A560"/>
      <c r="B560"/>
      <c r="P560"/>
      <c r="Q560"/>
    </row>
    <row r="561" spans="1:17">
      <c r="A561"/>
      <c r="B561"/>
      <c r="P561"/>
      <c r="Q561"/>
    </row>
    <row r="562" spans="1:17">
      <c r="A562"/>
      <c r="B562"/>
      <c r="P562"/>
      <c r="Q562"/>
    </row>
    <row r="563" spans="1:17">
      <c r="A563"/>
      <c r="B563"/>
      <c r="P563"/>
      <c r="Q563"/>
    </row>
    <row r="564" spans="1:17">
      <c r="A564"/>
      <c r="B564"/>
      <c r="P564"/>
      <c r="Q564"/>
    </row>
    <row r="565" spans="1:17">
      <c r="A565"/>
      <c r="B565"/>
      <c r="P565"/>
      <c r="Q565"/>
    </row>
    <row r="566" spans="1:17">
      <c r="A566"/>
      <c r="B566"/>
      <c r="P566"/>
      <c r="Q566"/>
    </row>
    <row r="567" spans="1:17">
      <c r="A567"/>
      <c r="B567"/>
      <c r="P567"/>
      <c r="Q567"/>
    </row>
    <row r="568" spans="1:17">
      <c r="A568"/>
      <c r="B568"/>
      <c r="P568"/>
      <c r="Q568"/>
    </row>
    <row r="569" spans="1:17">
      <c r="A569"/>
      <c r="B569"/>
      <c r="P569"/>
      <c r="Q569"/>
    </row>
    <row r="570" spans="1:17">
      <c r="A570"/>
      <c r="B570"/>
      <c r="P570"/>
      <c r="Q570"/>
    </row>
    <row r="571" spans="1:17">
      <c r="A571"/>
      <c r="B571"/>
      <c r="P571"/>
      <c r="Q571"/>
    </row>
    <row r="572" spans="1:17">
      <c r="A572"/>
      <c r="B572"/>
      <c r="P572"/>
      <c r="Q572"/>
    </row>
    <row r="573" spans="1:17">
      <c r="A573"/>
      <c r="B573"/>
      <c r="P573"/>
      <c r="Q573"/>
    </row>
    <row r="574" spans="1:17">
      <c r="A574"/>
      <c r="B574"/>
      <c r="P574"/>
      <c r="Q574"/>
    </row>
    <row r="575" spans="1:17">
      <c r="A575"/>
      <c r="B575"/>
      <c r="P575"/>
      <c r="Q575"/>
    </row>
    <row r="576" spans="1:17">
      <c r="A576"/>
      <c r="B576"/>
      <c r="P576"/>
      <c r="Q576"/>
    </row>
    <row r="577" spans="1:17">
      <c r="A577"/>
      <c r="B577"/>
      <c r="P577"/>
      <c r="Q577"/>
    </row>
    <row r="578" spans="1:17">
      <c r="A578"/>
      <c r="B578"/>
      <c r="P578"/>
      <c r="Q578"/>
    </row>
    <row r="579" spans="1:17">
      <c r="A579"/>
      <c r="B579"/>
      <c r="P579"/>
      <c r="Q579"/>
    </row>
    <row r="580" spans="1:17">
      <c r="A580"/>
      <c r="B580"/>
      <c r="P580"/>
      <c r="Q580"/>
    </row>
    <row r="581" spans="1:17">
      <c r="A581"/>
      <c r="B581"/>
      <c r="P581"/>
      <c r="Q581"/>
    </row>
    <row r="582" spans="1:17">
      <c r="A582"/>
      <c r="B582"/>
      <c r="P582"/>
      <c r="Q582"/>
    </row>
    <row r="583" spans="1:17">
      <c r="A583"/>
      <c r="B583"/>
      <c r="P583"/>
      <c r="Q583"/>
    </row>
    <row r="584" spans="1:17">
      <c r="A584"/>
      <c r="B584"/>
      <c r="P584"/>
      <c r="Q584"/>
    </row>
    <row r="585" spans="1:17">
      <c r="A585"/>
      <c r="B585"/>
      <c r="P585"/>
      <c r="Q585"/>
    </row>
    <row r="586" spans="1:17">
      <c r="A586"/>
      <c r="B586"/>
      <c r="P586"/>
      <c r="Q586"/>
    </row>
    <row r="587" spans="1:17">
      <c r="A587"/>
      <c r="B587"/>
      <c r="P587"/>
      <c r="Q587"/>
    </row>
    <row r="588" spans="1:17">
      <c r="A588"/>
      <c r="B588"/>
      <c r="P588"/>
      <c r="Q588"/>
    </row>
    <row r="589" spans="1:17">
      <c r="A589"/>
      <c r="B589"/>
      <c r="P589"/>
      <c r="Q589"/>
    </row>
    <row r="590" spans="1:17">
      <c r="A590"/>
      <c r="B590"/>
      <c r="P590"/>
      <c r="Q590"/>
    </row>
    <row r="591" spans="1:17">
      <c r="A591"/>
      <c r="B591"/>
      <c r="P591"/>
      <c r="Q591"/>
    </row>
    <row r="592" spans="1:17">
      <c r="A592"/>
      <c r="B592"/>
      <c r="P592"/>
      <c r="Q592"/>
    </row>
    <row r="593" spans="1:17">
      <c r="A593"/>
      <c r="B593"/>
      <c r="P593"/>
      <c r="Q593"/>
    </row>
    <row r="594" spans="1:17">
      <c r="A594"/>
      <c r="B594"/>
      <c r="P594"/>
      <c r="Q594"/>
    </row>
    <row r="595" spans="1:17">
      <c r="A595"/>
      <c r="B595"/>
      <c r="P595"/>
      <c r="Q595"/>
    </row>
    <row r="596" spans="1:17">
      <c r="A596"/>
      <c r="B596"/>
      <c r="P596"/>
      <c r="Q596"/>
    </row>
    <row r="597" spans="1:17">
      <c r="A597"/>
      <c r="B597"/>
      <c r="P597"/>
      <c r="Q597"/>
    </row>
    <row r="598" spans="1:17">
      <c r="A598"/>
      <c r="B598"/>
      <c r="P598"/>
      <c r="Q598"/>
    </row>
    <row r="599" spans="1:17">
      <c r="A599"/>
      <c r="B599"/>
      <c r="P599"/>
      <c r="Q599"/>
    </row>
    <row r="600" spans="1:17">
      <c r="A600"/>
      <c r="B600"/>
      <c r="P600"/>
      <c r="Q600"/>
    </row>
    <row r="601" spans="1:17">
      <c r="A601"/>
      <c r="B601"/>
      <c r="P601"/>
      <c r="Q601"/>
    </row>
    <row r="602" spans="1:17">
      <c r="A602"/>
      <c r="B602"/>
      <c r="P602"/>
      <c r="Q602"/>
    </row>
    <row r="603" spans="1:17">
      <c r="A603"/>
      <c r="B603"/>
      <c r="P603"/>
      <c r="Q603"/>
    </row>
    <row r="604" spans="1:17">
      <c r="A604"/>
      <c r="B604"/>
      <c r="P604"/>
      <c r="Q604"/>
    </row>
    <row r="605" spans="1:17">
      <c r="A605"/>
      <c r="B605"/>
      <c r="P605"/>
      <c r="Q605"/>
    </row>
    <row r="606" spans="1:17">
      <c r="A606"/>
      <c r="B606"/>
      <c r="P606"/>
      <c r="Q606"/>
    </row>
    <row r="607" spans="1:17">
      <c r="A607"/>
      <c r="B607"/>
      <c r="P607"/>
      <c r="Q607"/>
    </row>
    <row r="608" spans="1:17">
      <c r="A608"/>
      <c r="B608"/>
      <c r="P608"/>
      <c r="Q608"/>
    </row>
    <row r="609" spans="1:17">
      <c r="A609"/>
      <c r="B609"/>
      <c r="P609"/>
      <c r="Q609"/>
    </row>
    <row r="610" spans="1:17">
      <c r="A610"/>
      <c r="B610"/>
      <c r="P610"/>
      <c r="Q610"/>
    </row>
    <row r="611" spans="1:17">
      <c r="A611"/>
      <c r="B611"/>
      <c r="P611"/>
      <c r="Q611"/>
    </row>
    <row r="612" spans="1:17">
      <c r="A612"/>
      <c r="B612"/>
      <c r="P612"/>
      <c r="Q612"/>
    </row>
    <row r="613" spans="1:17">
      <c r="A613"/>
      <c r="B613"/>
      <c r="P613"/>
      <c r="Q613"/>
    </row>
    <row r="614" spans="1:17">
      <c r="A614"/>
      <c r="B614"/>
      <c r="P614"/>
      <c r="Q614"/>
    </row>
    <row r="615" spans="1:17">
      <c r="A615"/>
      <c r="B615"/>
      <c r="P615"/>
      <c r="Q615"/>
    </row>
    <row r="616" spans="1:17">
      <c r="A616"/>
      <c r="B616"/>
      <c r="P616"/>
      <c r="Q616"/>
    </row>
    <row r="617" spans="1:17">
      <c r="A617"/>
      <c r="B617"/>
      <c r="P617"/>
      <c r="Q617"/>
    </row>
    <row r="618" spans="1:17">
      <c r="A618"/>
      <c r="B618"/>
      <c r="P618"/>
      <c r="Q618"/>
    </row>
    <row r="619" spans="1:17">
      <c r="A619"/>
      <c r="B619"/>
      <c r="P619"/>
      <c r="Q619"/>
    </row>
    <row r="620" spans="1:17">
      <c r="A620"/>
      <c r="B620"/>
      <c r="P620"/>
      <c r="Q620"/>
    </row>
    <row r="621" spans="1:17">
      <c r="A621"/>
      <c r="B621"/>
      <c r="P621"/>
      <c r="Q621"/>
    </row>
    <row r="622" spans="1:17">
      <c r="A622"/>
      <c r="B622"/>
      <c r="P622"/>
      <c r="Q622"/>
    </row>
    <row r="623" spans="1:17">
      <c r="A623"/>
      <c r="B623"/>
      <c r="P623"/>
      <c r="Q623"/>
    </row>
    <row r="624" spans="1:17">
      <c r="A624"/>
      <c r="B624"/>
      <c r="P624"/>
      <c r="Q624"/>
    </row>
    <row r="625" spans="1:17">
      <c r="A625"/>
      <c r="B625"/>
      <c r="P625"/>
      <c r="Q625"/>
    </row>
    <row r="626" spans="1:17">
      <c r="A626"/>
      <c r="B626"/>
      <c r="P626"/>
      <c r="Q626"/>
    </row>
    <row r="627" spans="1:17">
      <c r="A627"/>
      <c r="B627"/>
      <c r="P627"/>
      <c r="Q627"/>
    </row>
    <row r="628" spans="1:17">
      <c r="A628"/>
      <c r="B628"/>
      <c r="P628"/>
      <c r="Q628"/>
    </row>
    <row r="629" spans="1:17">
      <c r="A629"/>
      <c r="B629"/>
      <c r="P629"/>
      <c r="Q629"/>
    </row>
    <row r="630" spans="1:17">
      <c r="A630"/>
      <c r="B630"/>
      <c r="P630"/>
      <c r="Q630"/>
    </row>
    <row r="631" spans="1:17">
      <c r="A631"/>
      <c r="B631"/>
      <c r="P631"/>
      <c r="Q631"/>
    </row>
    <row r="632" spans="1:17">
      <c r="A632"/>
      <c r="B632"/>
      <c r="P632"/>
      <c r="Q632"/>
    </row>
    <row r="633" spans="1:17">
      <c r="A633"/>
      <c r="B633"/>
      <c r="P633"/>
      <c r="Q633"/>
    </row>
    <row r="634" spans="1:17">
      <c r="A634"/>
      <c r="B634"/>
      <c r="P634"/>
      <c r="Q634"/>
    </row>
    <row r="635" spans="1:17">
      <c r="A635"/>
      <c r="B635"/>
      <c r="P635"/>
      <c r="Q635"/>
    </row>
    <row r="636" spans="1:17">
      <c r="A636"/>
      <c r="B636"/>
      <c r="P636"/>
      <c r="Q636"/>
    </row>
    <row r="637" spans="1:17">
      <c r="A637"/>
      <c r="B637"/>
      <c r="P637"/>
      <c r="Q637"/>
    </row>
    <row r="638" spans="1:17">
      <c r="A638"/>
      <c r="B638"/>
      <c r="P638"/>
      <c r="Q638"/>
    </row>
    <row r="639" spans="1:17">
      <c r="A639"/>
      <c r="B639"/>
      <c r="P639"/>
      <c r="Q639"/>
    </row>
    <row r="640" spans="1:17">
      <c r="A640"/>
      <c r="B640"/>
      <c r="P640"/>
      <c r="Q640"/>
    </row>
    <row r="641" spans="1:17">
      <c r="A641"/>
      <c r="B641"/>
      <c r="P641"/>
      <c r="Q641"/>
    </row>
    <row r="642" spans="1:17">
      <c r="A642"/>
      <c r="B642"/>
      <c r="P642"/>
      <c r="Q642"/>
    </row>
    <row r="643" spans="1:17">
      <c r="A643"/>
      <c r="B643"/>
      <c r="P643"/>
      <c r="Q643"/>
    </row>
    <row r="644" spans="1:17">
      <c r="A644"/>
      <c r="B644"/>
      <c r="P644"/>
      <c r="Q644"/>
    </row>
    <row r="645" spans="1:17">
      <c r="A645"/>
      <c r="B645"/>
      <c r="P645"/>
      <c r="Q645"/>
    </row>
    <row r="646" spans="1:17">
      <c r="A646"/>
      <c r="B646"/>
      <c r="P646"/>
      <c r="Q646"/>
    </row>
    <row r="647" spans="1:17">
      <c r="A647"/>
      <c r="B647"/>
      <c r="P647"/>
      <c r="Q647"/>
    </row>
    <row r="648" spans="1:17">
      <c r="A648"/>
      <c r="B648"/>
      <c r="P648"/>
      <c r="Q648"/>
    </row>
    <row r="649" spans="1:17">
      <c r="A649"/>
      <c r="B649"/>
      <c r="P649"/>
      <c r="Q649"/>
    </row>
    <row r="650" spans="1:17">
      <c r="A650"/>
      <c r="B650"/>
      <c r="P650"/>
      <c r="Q650"/>
    </row>
    <row r="651" spans="1:17">
      <c r="A651"/>
      <c r="B651"/>
      <c r="P651"/>
      <c r="Q651"/>
    </row>
    <row r="652" spans="1:17">
      <c r="A652"/>
      <c r="B652"/>
      <c r="P652"/>
      <c r="Q652"/>
    </row>
    <row r="653" spans="1:17">
      <c r="A653"/>
      <c r="B653"/>
      <c r="P653"/>
      <c r="Q653"/>
    </row>
    <row r="654" spans="1:17">
      <c r="A654"/>
      <c r="B654"/>
      <c r="P654"/>
      <c r="Q654"/>
    </row>
    <row r="655" spans="1:17">
      <c r="A655"/>
      <c r="B655"/>
      <c r="P655"/>
      <c r="Q655"/>
    </row>
    <row r="656" spans="1:17">
      <c r="A656"/>
      <c r="B656"/>
      <c r="P656"/>
      <c r="Q656"/>
    </row>
    <row r="657" spans="1:17">
      <c r="A657"/>
      <c r="B657"/>
      <c r="P657"/>
      <c r="Q657"/>
    </row>
    <row r="658" spans="1:17">
      <c r="A658"/>
      <c r="B658"/>
      <c r="P658"/>
      <c r="Q658"/>
    </row>
    <row r="659" spans="1:17">
      <c r="A659"/>
      <c r="B659"/>
      <c r="P659"/>
      <c r="Q659"/>
    </row>
    <row r="660" spans="1:17">
      <c r="A660"/>
      <c r="B660"/>
      <c r="P660"/>
      <c r="Q660"/>
    </row>
    <row r="661" spans="1:17">
      <c r="A661"/>
      <c r="B661"/>
      <c r="P661"/>
      <c r="Q661"/>
    </row>
    <row r="662" spans="1:17">
      <c r="A662"/>
      <c r="B662"/>
      <c r="P662"/>
      <c r="Q662"/>
    </row>
    <row r="663" spans="1:17">
      <c r="A663"/>
      <c r="B663"/>
      <c r="P663"/>
      <c r="Q663"/>
    </row>
    <row r="664" spans="1:17">
      <c r="A664"/>
      <c r="B664"/>
      <c r="P664"/>
      <c r="Q664"/>
    </row>
    <row r="665" spans="1:17">
      <c r="A665"/>
      <c r="B665"/>
      <c r="P665"/>
      <c r="Q665"/>
    </row>
    <row r="666" spans="1:17">
      <c r="A666"/>
      <c r="B666"/>
      <c r="P666"/>
      <c r="Q666"/>
    </row>
    <row r="667" spans="1:17">
      <c r="A667"/>
      <c r="B667"/>
      <c r="P667"/>
      <c r="Q667"/>
    </row>
    <row r="668" spans="1:17">
      <c r="A668"/>
      <c r="B668"/>
      <c r="P668"/>
      <c r="Q668"/>
    </row>
    <row r="669" spans="1:17">
      <c r="A669"/>
      <c r="B669"/>
      <c r="P669"/>
      <c r="Q669"/>
    </row>
    <row r="670" spans="1:17">
      <c r="A670"/>
      <c r="B670"/>
      <c r="P670"/>
      <c r="Q670"/>
    </row>
    <row r="671" spans="1:17">
      <c r="A671"/>
      <c r="B671"/>
      <c r="P671"/>
      <c r="Q671"/>
    </row>
    <row r="672" spans="1:17">
      <c r="A672"/>
      <c r="B672"/>
      <c r="P672"/>
      <c r="Q672"/>
    </row>
    <row r="673" spans="1:17">
      <c r="A673"/>
      <c r="B673"/>
      <c r="P673"/>
      <c r="Q673"/>
    </row>
    <row r="674" spans="1:17">
      <c r="A674"/>
      <c r="B674"/>
      <c r="P674"/>
      <c r="Q674"/>
    </row>
    <row r="675" spans="1:17">
      <c r="A675"/>
      <c r="B675"/>
      <c r="P675"/>
      <c r="Q675"/>
    </row>
    <row r="676" spans="1:17">
      <c r="A676"/>
      <c r="B676"/>
      <c r="P676"/>
      <c r="Q676"/>
    </row>
    <row r="677" spans="1:17">
      <c r="A677"/>
      <c r="B677"/>
      <c r="P677"/>
      <c r="Q677"/>
    </row>
    <row r="678" spans="1:17">
      <c r="A678"/>
      <c r="B678"/>
      <c r="P678"/>
      <c r="Q678"/>
    </row>
    <row r="679" spans="1:17">
      <c r="A679"/>
      <c r="B679"/>
      <c r="P679"/>
      <c r="Q679"/>
    </row>
    <row r="680" spans="1:17">
      <c r="A680"/>
      <c r="B680"/>
      <c r="P680"/>
      <c r="Q680"/>
    </row>
    <row r="681" spans="1:17">
      <c r="A681"/>
      <c r="B681"/>
      <c r="P681"/>
      <c r="Q681"/>
    </row>
    <row r="682" spans="1:17">
      <c r="A682"/>
      <c r="B682"/>
      <c r="P682"/>
      <c r="Q682"/>
    </row>
    <row r="683" spans="1:17">
      <c r="A683"/>
      <c r="B683"/>
      <c r="P683"/>
      <c r="Q683"/>
    </row>
    <row r="684" spans="1:17">
      <c r="A684"/>
      <c r="B684"/>
      <c r="P684"/>
      <c r="Q684"/>
    </row>
    <row r="685" spans="1:17">
      <c r="A685"/>
      <c r="B685"/>
      <c r="P685"/>
      <c r="Q685"/>
    </row>
    <row r="686" spans="1:17">
      <c r="A686"/>
      <c r="B686"/>
      <c r="P686"/>
      <c r="Q686"/>
    </row>
    <row r="687" spans="1:17">
      <c r="A687"/>
      <c r="B687"/>
      <c r="P687"/>
      <c r="Q687"/>
    </row>
    <row r="688" spans="1:17">
      <c r="A688"/>
      <c r="B688"/>
      <c r="P688"/>
      <c r="Q688"/>
    </row>
    <row r="689" spans="1:17">
      <c r="A689"/>
      <c r="B689"/>
      <c r="P689"/>
      <c r="Q689"/>
    </row>
    <row r="690" spans="1:17">
      <c r="A690"/>
      <c r="B690"/>
      <c r="P690"/>
      <c r="Q690"/>
    </row>
    <row r="691" spans="1:17">
      <c r="A691"/>
      <c r="B691"/>
      <c r="P691"/>
      <c r="Q691"/>
    </row>
    <row r="692" spans="1:17">
      <c r="A692"/>
      <c r="B692"/>
      <c r="P692"/>
      <c r="Q692"/>
    </row>
    <row r="693" spans="1:17">
      <c r="A693"/>
      <c r="B693"/>
      <c r="P693"/>
      <c r="Q693"/>
    </row>
    <row r="694" spans="1:17">
      <c r="A694"/>
      <c r="B694"/>
      <c r="P694"/>
      <c r="Q694"/>
    </row>
    <row r="695" spans="1:17">
      <c r="A695"/>
      <c r="B695"/>
      <c r="P695"/>
      <c r="Q695"/>
    </row>
    <row r="696" spans="1:17">
      <c r="A696"/>
      <c r="B696"/>
      <c r="P696"/>
      <c r="Q696"/>
    </row>
    <row r="697" spans="1:17">
      <c r="A697"/>
      <c r="B697"/>
      <c r="P697"/>
      <c r="Q697"/>
    </row>
    <row r="698" spans="1:17">
      <c r="A698"/>
      <c r="B698"/>
      <c r="P698"/>
      <c r="Q698"/>
    </row>
    <row r="699" spans="1:17">
      <c r="A699"/>
      <c r="B699"/>
      <c r="P699"/>
      <c r="Q699"/>
    </row>
    <row r="700" spans="1:17">
      <c r="A700"/>
      <c r="B700"/>
      <c r="P700"/>
      <c r="Q700"/>
    </row>
    <row r="701" spans="1:17">
      <c r="A701"/>
      <c r="B701"/>
      <c r="P701"/>
      <c r="Q701"/>
    </row>
    <row r="702" spans="1:17">
      <c r="A702"/>
      <c r="B702"/>
      <c r="P702"/>
      <c r="Q702"/>
    </row>
    <row r="703" spans="1:17">
      <c r="A703"/>
      <c r="B703"/>
      <c r="E703"/>
      <c r="F703"/>
      <c r="G703"/>
      <c r="H703"/>
      <c r="I703"/>
      <c r="J703"/>
      <c r="K703"/>
      <c r="L703"/>
      <c r="M703"/>
      <c r="N703"/>
      <c r="O703"/>
      <c r="P703"/>
      <c r="Q703"/>
    </row>
    <row r="704" spans="1:17">
      <c r="A704"/>
      <c r="B704"/>
      <c r="E704"/>
      <c r="F704"/>
      <c r="G704"/>
      <c r="H704"/>
      <c r="I704"/>
      <c r="J704"/>
      <c r="K704"/>
      <c r="L704"/>
      <c r="M704"/>
      <c r="N704"/>
      <c r="O704"/>
      <c r="P704"/>
      <c r="Q704"/>
    </row>
    <row r="705" spans="1:17">
      <c r="A705"/>
      <c r="B705"/>
      <c r="E705"/>
      <c r="F705"/>
      <c r="G705"/>
      <c r="H705"/>
      <c r="I705"/>
      <c r="J705"/>
      <c r="K705"/>
      <c r="L705"/>
      <c r="M705"/>
      <c r="N705"/>
      <c r="O705"/>
      <c r="P705"/>
      <c r="Q705"/>
    </row>
    <row r="706" spans="1:17">
      <c r="A706"/>
      <c r="B706"/>
      <c r="E706"/>
      <c r="F706"/>
      <c r="G706"/>
      <c r="H706"/>
      <c r="I706"/>
      <c r="J706"/>
      <c r="K706"/>
      <c r="L706"/>
      <c r="M706"/>
      <c r="N706"/>
      <c r="O706"/>
      <c r="P706"/>
      <c r="Q706"/>
    </row>
    <row r="707" spans="1:17">
      <c r="A707"/>
      <c r="B707"/>
      <c r="E707"/>
      <c r="F707"/>
      <c r="G707"/>
      <c r="H707"/>
      <c r="I707"/>
      <c r="J707"/>
      <c r="K707"/>
      <c r="L707"/>
      <c r="M707"/>
      <c r="N707"/>
      <c r="O707"/>
      <c r="P707"/>
      <c r="Q707"/>
    </row>
    <row r="708" spans="1:17">
      <c r="A708"/>
      <c r="B708"/>
      <c r="E708"/>
      <c r="F708"/>
      <c r="G708"/>
      <c r="H708"/>
      <c r="I708"/>
      <c r="J708"/>
      <c r="K708"/>
      <c r="L708"/>
      <c r="M708"/>
      <c r="N708"/>
      <c r="O708"/>
      <c r="P708"/>
      <c r="Q708"/>
    </row>
    <row r="709" spans="1:17">
      <c r="A709"/>
      <c r="B709"/>
      <c r="E709"/>
      <c r="F709"/>
      <c r="G709"/>
      <c r="H709"/>
      <c r="I709"/>
      <c r="J709"/>
      <c r="K709"/>
      <c r="L709"/>
      <c r="M709"/>
      <c r="N709"/>
      <c r="O709"/>
      <c r="P709"/>
      <c r="Q709"/>
    </row>
    <row r="710" spans="1:17">
      <c r="A710"/>
      <c r="B710"/>
      <c r="E710"/>
      <c r="F710"/>
      <c r="G710"/>
      <c r="H710"/>
      <c r="I710"/>
      <c r="J710"/>
      <c r="K710"/>
      <c r="L710"/>
      <c r="M710"/>
      <c r="N710"/>
      <c r="O710"/>
      <c r="P710"/>
      <c r="Q710"/>
    </row>
    <row r="711" spans="1:17">
      <c r="A711"/>
      <c r="B711"/>
      <c r="E711"/>
      <c r="F711"/>
      <c r="G711"/>
      <c r="H711"/>
      <c r="I711"/>
      <c r="J711"/>
      <c r="K711"/>
      <c r="L711"/>
      <c r="M711"/>
      <c r="N711"/>
      <c r="O711"/>
      <c r="P711"/>
      <c r="Q711"/>
    </row>
    <row r="712" spans="1:17">
      <c r="A712"/>
      <c r="B712"/>
      <c r="E712"/>
      <c r="F712"/>
      <c r="G712"/>
      <c r="H712"/>
      <c r="I712"/>
      <c r="J712"/>
      <c r="K712"/>
      <c r="L712"/>
      <c r="M712"/>
      <c r="N712"/>
      <c r="O712"/>
      <c r="P712"/>
      <c r="Q712"/>
    </row>
    <row r="713" spans="1:17">
      <c r="A713"/>
      <c r="B713"/>
      <c r="E713"/>
      <c r="F713"/>
      <c r="G713"/>
      <c r="H713"/>
      <c r="I713"/>
      <c r="J713"/>
      <c r="K713"/>
      <c r="L713"/>
      <c r="M713"/>
      <c r="N713"/>
      <c r="O713"/>
      <c r="P713"/>
      <c r="Q713"/>
    </row>
    <row r="714" spans="1:17">
      <c r="A714"/>
      <c r="B714"/>
      <c r="E714"/>
      <c r="F714"/>
      <c r="G714"/>
      <c r="H714"/>
      <c r="I714"/>
      <c r="J714"/>
      <c r="K714"/>
      <c r="L714"/>
      <c r="M714"/>
      <c r="N714"/>
      <c r="O714"/>
      <c r="P714"/>
      <c r="Q714"/>
    </row>
    <row r="715" spans="1:17">
      <c r="A715"/>
      <c r="B715"/>
      <c r="E715"/>
      <c r="F715"/>
      <c r="G715"/>
      <c r="H715"/>
      <c r="I715"/>
      <c r="J715"/>
      <c r="K715"/>
      <c r="L715"/>
      <c r="M715"/>
      <c r="N715"/>
      <c r="O715"/>
      <c r="P715"/>
      <c r="Q715"/>
    </row>
    <row r="716" spans="1:17">
      <c r="A716"/>
      <c r="B716"/>
      <c r="E716"/>
      <c r="F716"/>
      <c r="G716"/>
      <c r="H716"/>
      <c r="I716"/>
      <c r="J716"/>
      <c r="K716"/>
      <c r="L716"/>
      <c r="M716"/>
      <c r="N716"/>
      <c r="O716"/>
      <c r="P716"/>
      <c r="Q716"/>
    </row>
    <row r="717" spans="1:17">
      <c r="A717"/>
      <c r="B717"/>
      <c r="E717"/>
      <c r="F717"/>
      <c r="G717"/>
      <c r="H717"/>
      <c r="I717"/>
      <c r="J717"/>
      <c r="K717"/>
      <c r="L717"/>
      <c r="M717"/>
      <c r="N717"/>
      <c r="O717"/>
      <c r="P717"/>
      <c r="Q717"/>
    </row>
    <row r="718" spans="1:17">
      <c r="A718"/>
      <c r="B718"/>
      <c r="E718"/>
      <c r="F718"/>
      <c r="G718"/>
      <c r="H718"/>
      <c r="I718"/>
      <c r="J718"/>
      <c r="K718"/>
      <c r="L718"/>
      <c r="M718"/>
      <c r="N718"/>
      <c r="O718"/>
      <c r="P718"/>
      <c r="Q718"/>
    </row>
    <row r="719" spans="1:17">
      <c r="A719"/>
      <c r="B719"/>
      <c r="E719"/>
      <c r="F719"/>
      <c r="G719"/>
      <c r="H719"/>
      <c r="I719"/>
      <c r="J719"/>
      <c r="K719"/>
      <c r="L719"/>
      <c r="M719"/>
      <c r="N719"/>
      <c r="O719"/>
      <c r="P719"/>
      <c r="Q719"/>
    </row>
    <row r="720" spans="1:17">
      <c r="A720"/>
      <c r="B720"/>
      <c r="E720"/>
      <c r="F720"/>
      <c r="G720"/>
      <c r="H720"/>
      <c r="I720"/>
      <c r="J720"/>
      <c r="K720"/>
      <c r="L720"/>
      <c r="M720"/>
      <c r="N720"/>
      <c r="O720"/>
      <c r="P720"/>
      <c r="Q720"/>
    </row>
    <row r="721" spans="1:17">
      <c r="A721"/>
      <c r="B721"/>
      <c r="E721"/>
      <c r="F721"/>
      <c r="G721"/>
      <c r="H721"/>
      <c r="I721"/>
      <c r="J721"/>
      <c r="K721"/>
      <c r="L721"/>
      <c r="M721"/>
      <c r="N721"/>
      <c r="O721"/>
      <c r="P721"/>
      <c r="Q721"/>
    </row>
    <row r="722" spans="1:17">
      <c r="A722"/>
      <c r="B722"/>
      <c r="E722"/>
      <c r="F722"/>
      <c r="G722"/>
      <c r="H722"/>
      <c r="I722"/>
      <c r="J722"/>
      <c r="K722"/>
      <c r="L722"/>
      <c r="M722"/>
      <c r="N722"/>
      <c r="O722"/>
      <c r="P722"/>
      <c r="Q722"/>
    </row>
    <row r="723" spans="1:17">
      <c r="A723"/>
      <c r="B723"/>
      <c r="E723"/>
      <c r="F723"/>
      <c r="G723"/>
      <c r="H723"/>
      <c r="I723"/>
      <c r="J723"/>
      <c r="K723"/>
      <c r="L723"/>
      <c r="M723"/>
      <c r="N723"/>
      <c r="O723"/>
      <c r="P723"/>
      <c r="Q723"/>
    </row>
    <row r="724" spans="1:17">
      <c r="A724"/>
      <c r="B724"/>
      <c r="E724"/>
      <c r="F724"/>
      <c r="G724"/>
      <c r="H724"/>
      <c r="I724"/>
      <c r="J724"/>
      <c r="K724"/>
      <c r="L724"/>
      <c r="M724"/>
      <c r="N724"/>
      <c r="O724"/>
      <c r="P724"/>
      <c r="Q724"/>
    </row>
    <row r="725" spans="1:17">
      <c r="A725"/>
      <c r="B725"/>
      <c r="E725"/>
      <c r="F725"/>
      <c r="G725"/>
      <c r="H725"/>
      <c r="I725"/>
      <c r="J725"/>
      <c r="K725"/>
      <c r="L725"/>
      <c r="M725"/>
      <c r="N725"/>
      <c r="O725"/>
      <c r="P725"/>
      <c r="Q725"/>
    </row>
    <row r="726" spans="1:17">
      <c r="A726"/>
      <c r="B726"/>
      <c r="E726"/>
      <c r="F726"/>
      <c r="G726"/>
      <c r="H726"/>
      <c r="I726"/>
      <c r="J726"/>
      <c r="K726"/>
      <c r="L726"/>
      <c r="M726"/>
      <c r="N726"/>
      <c r="O726"/>
      <c r="P726"/>
      <c r="Q726"/>
    </row>
    <row r="727" spans="1:17">
      <c r="A727"/>
      <c r="B727"/>
      <c r="E727"/>
      <c r="F727"/>
      <c r="G727"/>
      <c r="H727"/>
      <c r="I727"/>
      <c r="J727"/>
      <c r="K727"/>
      <c r="L727"/>
      <c r="M727"/>
      <c r="N727"/>
      <c r="O727"/>
      <c r="P727"/>
      <c r="Q727"/>
    </row>
    <row r="728" spans="1:17">
      <c r="A728"/>
      <c r="B728"/>
      <c r="E728"/>
      <c r="F728"/>
      <c r="G728"/>
      <c r="H728"/>
      <c r="I728"/>
      <c r="J728"/>
      <c r="K728"/>
      <c r="L728"/>
      <c r="M728"/>
      <c r="N728"/>
      <c r="O728"/>
      <c r="P728"/>
      <c r="Q728"/>
    </row>
    <row r="729" spans="1:17">
      <c r="A729"/>
      <c r="B729"/>
      <c r="E729"/>
      <c r="F729"/>
      <c r="G729"/>
      <c r="H729"/>
      <c r="I729"/>
      <c r="J729"/>
      <c r="K729"/>
      <c r="L729"/>
      <c r="M729"/>
      <c r="N729"/>
      <c r="O729"/>
      <c r="P729"/>
      <c r="Q729"/>
    </row>
    <row r="730" spans="1:17">
      <c r="A730"/>
      <c r="B730"/>
      <c r="E730"/>
      <c r="F730"/>
      <c r="G730"/>
      <c r="H730"/>
      <c r="I730"/>
      <c r="J730"/>
      <c r="K730"/>
      <c r="L730"/>
      <c r="M730"/>
      <c r="N730"/>
      <c r="O730"/>
      <c r="P730"/>
      <c r="Q730"/>
    </row>
    <row r="731" spans="1:17">
      <c r="A731"/>
      <c r="B731"/>
      <c r="E731"/>
      <c r="F731"/>
      <c r="G731"/>
      <c r="H731"/>
      <c r="I731"/>
      <c r="J731"/>
      <c r="K731"/>
      <c r="L731"/>
      <c r="M731"/>
      <c r="N731"/>
      <c r="O731"/>
      <c r="P731"/>
      <c r="Q731"/>
    </row>
    <row r="732" spans="1:17">
      <c r="A732"/>
      <c r="B732"/>
      <c r="E732"/>
      <c r="F732"/>
      <c r="G732"/>
      <c r="H732"/>
      <c r="I732"/>
      <c r="J732"/>
      <c r="K732"/>
      <c r="L732"/>
      <c r="M732"/>
      <c r="N732"/>
      <c r="O732"/>
      <c r="P732"/>
      <c r="Q732"/>
    </row>
    <row r="733" spans="1:17">
      <c r="A733"/>
      <c r="B733"/>
      <c r="E733"/>
      <c r="F733"/>
      <c r="G733"/>
      <c r="H733"/>
      <c r="I733"/>
      <c r="J733"/>
      <c r="K733"/>
      <c r="L733"/>
      <c r="M733"/>
      <c r="N733"/>
      <c r="O733"/>
      <c r="P733"/>
      <c r="Q733"/>
    </row>
    <row r="734" spans="1:17">
      <c r="A734"/>
      <c r="B734"/>
      <c r="E734"/>
      <c r="F734"/>
      <c r="G734"/>
      <c r="H734"/>
      <c r="I734"/>
      <c r="J734"/>
      <c r="K734"/>
      <c r="L734"/>
      <c r="M734"/>
      <c r="N734"/>
      <c r="O734"/>
      <c r="P734"/>
      <c r="Q734"/>
    </row>
    <row r="735" spans="1:17">
      <c r="A735"/>
      <c r="B735"/>
      <c r="E735"/>
      <c r="F735"/>
      <c r="G735"/>
      <c r="H735"/>
      <c r="I735"/>
      <c r="J735"/>
      <c r="K735"/>
      <c r="L735"/>
      <c r="M735"/>
      <c r="N735"/>
      <c r="O735"/>
      <c r="P735"/>
      <c r="Q735"/>
    </row>
    <row r="736" spans="1:17">
      <c r="A736"/>
      <c r="B736"/>
      <c r="E736"/>
      <c r="F736"/>
      <c r="G736"/>
      <c r="H736"/>
      <c r="I736"/>
      <c r="J736"/>
      <c r="K736"/>
      <c r="L736"/>
      <c r="M736"/>
      <c r="N736"/>
      <c r="O736"/>
      <c r="P736"/>
      <c r="Q736"/>
    </row>
    <row r="737" spans="1:17">
      <c r="A737"/>
      <c r="B737"/>
      <c r="E737"/>
      <c r="F737"/>
      <c r="G737"/>
      <c r="H737"/>
      <c r="I737"/>
      <c r="J737"/>
      <c r="K737"/>
      <c r="L737"/>
      <c r="M737"/>
      <c r="N737"/>
      <c r="O737"/>
      <c r="P737"/>
      <c r="Q737"/>
    </row>
    <row r="738" spans="1:17">
      <c r="A738"/>
      <c r="B738"/>
      <c r="E738"/>
      <c r="F738"/>
      <c r="G738"/>
      <c r="H738"/>
      <c r="I738"/>
      <c r="J738"/>
      <c r="K738"/>
      <c r="L738"/>
      <c r="M738"/>
      <c r="N738"/>
      <c r="O738"/>
      <c r="P738"/>
      <c r="Q738"/>
    </row>
    <row r="739" spans="1:17">
      <c r="A739"/>
      <c r="B739"/>
      <c r="E739"/>
      <c r="F739"/>
      <c r="G739"/>
      <c r="H739"/>
      <c r="I739"/>
      <c r="J739"/>
      <c r="K739"/>
      <c r="L739"/>
      <c r="M739"/>
      <c r="N739"/>
      <c r="O739"/>
      <c r="P739"/>
      <c r="Q739"/>
    </row>
    <row r="740" spans="1:17">
      <c r="A740"/>
      <c r="B740"/>
      <c r="E740"/>
      <c r="F740"/>
      <c r="G740"/>
      <c r="H740"/>
      <c r="I740"/>
      <c r="J740"/>
      <c r="K740"/>
      <c r="L740"/>
      <c r="M740"/>
      <c r="N740"/>
      <c r="O740"/>
      <c r="P740"/>
      <c r="Q740"/>
    </row>
    <row r="741" spans="1:17">
      <c r="A741"/>
      <c r="B741"/>
      <c r="E741"/>
      <c r="F741"/>
      <c r="G741"/>
      <c r="H741"/>
      <c r="I741"/>
      <c r="J741"/>
      <c r="K741"/>
      <c r="L741"/>
      <c r="M741"/>
      <c r="N741"/>
      <c r="O741"/>
      <c r="P741"/>
      <c r="Q741"/>
    </row>
    <row r="742" spans="1:17">
      <c r="A742"/>
      <c r="B742"/>
      <c r="E742"/>
      <c r="F742"/>
      <c r="G742"/>
      <c r="H742"/>
      <c r="I742"/>
      <c r="J742"/>
      <c r="K742"/>
      <c r="L742"/>
      <c r="M742"/>
      <c r="N742"/>
      <c r="O742"/>
      <c r="P742"/>
      <c r="Q742"/>
    </row>
    <row r="743" spans="1:17">
      <c r="A743"/>
      <c r="B743"/>
      <c r="E743"/>
      <c r="F743"/>
      <c r="G743"/>
      <c r="H743"/>
      <c r="I743"/>
      <c r="J743"/>
      <c r="K743"/>
      <c r="L743"/>
      <c r="M743"/>
      <c r="N743"/>
      <c r="O743"/>
      <c r="P743"/>
      <c r="Q743"/>
    </row>
    <row r="744" spans="1:17">
      <c r="A744"/>
      <c r="B744"/>
      <c r="E744"/>
      <c r="F744"/>
      <c r="G744"/>
      <c r="H744"/>
      <c r="I744"/>
      <c r="J744"/>
      <c r="K744"/>
      <c r="L744"/>
      <c r="M744"/>
      <c r="N744"/>
      <c r="O744"/>
      <c r="P744"/>
      <c r="Q744"/>
    </row>
    <row r="745" spans="1:17">
      <c r="A745"/>
      <c r="B745"/>
      <c r="E745"/>
      <c r="F745"/>
      <c r="G745"/>
      <c r="H745"/>
      <c r="I745"/>
      <c r="J745"/>
      <c r="K745"/>
      <c r="L745"/>
      <c r="M745"/>
      <c r="N745"/>
      <c r="O745"/>
      <c r="P745"/>
      <c r="Q745"/>
    </row>
    <row r="746" spans="1:17">
      <c r="A746"/>
      <c r="B746"/>
      <c r="E746"/>
      <c r="F746"/>
      <c r="G746"/>
      <c r="H746"/>
      <c r="I746"/>
      <c r="J746"/>
      <c r="K746"/>
      <c r="L746"/>
      <c r="M746"/>
      <c r="N746"/>
      <c r="O746"/>
      <c r="P746"/>
      <c r="Q746"/>
    </row>
    <row r="747" spans="1:17">
      <c r="A747"/>
      <c r="B747"/>
      <c r="E747"/>
      <c r="F747"/>
      <c r="G747"/>
      <c r="H747"/>
      <c r="I747"/>
      <c r="J747"/>
      <c r="K747"/>
      <c r="L747"/>
      <c r="M747"/>
      <c r="N747"/>
      <c r="O747"/>
      <c r="P747"/>
      <c r="Q747"/>
    </row>
    <row r="748" spans="1:17">
      <c r="A748"/>
      <c r="B748"/>
      <c r="E748"/>
      <c r="F748"/>
      <c r="G748"/>
      <c r="H748"/>
      <c r="I748"/>
      <c r="J748"/>
      <c r="K748"/>
      <c r="L748"/>
      <c r="M748"/>
      <c r="N748"/>
      <c r="O748"/>
      <c r="P748"/>
      <c r="Q748"/>
    </row>
    <row r="749" spans="1:17">
      <c r="A749"/>
      <c r="B749"/>
      <c r="E749"/>
      <c r="F749"/>
      <c r="G749"/>
      <c r="H749"/>
      <c r="I749"/>
      <c r="J749"/>
      <c r="K749"/>
      <c r="L749"/>
      <c r="M749"/>
      <c r="N749"/>
      <c r="O749"/>
      <c r="P749"/>
      <c r="Q749"/>
    </row>
    <row r="750" spans="1:17">
      <c r="A750"/>
      <c r="B750"/>
      <c r="E750"/>
      <c r="F750"/>
      <c r="G750"/>
      <c r="H750"/>
      <c r="I750"/>
      <c r="J750"/>
      <c r="K750"/>
      <c r="L750"/>
      <c r="M750"/>
      <c r="N750"/>
      <c r="O750"/>
      <c r="P750"/>
      <c r="Q750"/>
    </row>
    <row r="751" spans="1:17">
      <c r="A751"/>
      <c r="B751"/>
      <c r="E751"/>
      <c r="F751"/>
      <c r="G751"/>
      <c r="H751"/>
      <c r="I751"/>
      <c r="J751"/>
      <c r="K751"/>
      <c r="L751"/>
      <c r="M751"/>
      <c r="N751"/>
      <c r="O751"/>
      <c r="P751"/>
      <c r="Q751"/>
    </row>
    <row r="752" spans="1:17">
      <c r="A752"/>
      <c r="B752"/>
      <c r="E752"/>
      <c r="F752"/>
      <c r="G752"/>
      <c r="H752"/>
      <c r="I752"/>
      <c r="J752"/>
      <c r="K752"/>
      <c r="L752"/>
      <c r="M752"/>
      <c r="N752"/>
      <c r="O752"/>
      <c r="P752"/>
      <c r="Q752"/>
    </row>
    <row r="753" spans="1:17">
      <c r="A753"/>
      <c r="B753"/>
      <c r="E753"/>
      <c r="F753"/>
      <c r="G753"/>
      <c r="H753"/>
      <c r="I753"/>
      <c r="J753"/>
      <c r="K753"/>
      <c r="L753"/>
      <c r="M753"/>
      <c r="N753"/>
      <c r="O753"/>
      <c r="P753"/>
      <c r="Q753"/>
    </row>
    <row r="754" spans="1:17">
      <c r="A754"/>
      <c r="B754"/>
      <c r="E754"/>
      <c r="F754"/>
      <c r="G754"/>
      <c r="H754"/>
      <c r="I754"/>
      <c r="J754"/>
      <c r="K754"/>
      <c r="L754"/>
      <c r="M754"/>
      <c r="N754"/>
      <c r="O754"/>
      <c r="P754"/>
      <c r="Q754"/>
    </row>
    <row r="755" spans="1:17">
      <c r="A755"/>
      <c r="B755"/>
      <c r="E755"/>
      <c r="F755"/>
      <c r="G755"/>
      <c r="H755"/>
      <c r="I755"/>
      <c r="J755"/>
      <c r="K755"/>
      <c r="L755"/>
      <c r="M755"/>
      <c r="N755"/>
      <c r="O755"/>
      <c r="P755"/>
      <c r="Q755"/>
    </row>
    <row r="756" spans="1:17">
      <c r="A756"/>
      <c r="B756"/>
      <c r="E756"/>
      <c r="F756"/>
      <c r="G756"/>
      <c r="H756"/>
      <c r="I756"/>
      <c r="J756"/>
      <c r="K756"/>
      <c r="L756"/>
      <c r="M756"/>
      <c r="N756"/>
      <c r="O756"/>
      <c r="P756"/>
      <c r="Q756"/>
    </row>
    <row r="757" spans="1:17">
      <c r="A757"/>
      <c r="B757"/>
      <c r="E757"/>
      <c r="F757"/>
      <c r="G757"/>
      <c r="H757"/>
      <c r="I757"/>
      <c r="J757"/>
      <c r="K757"/>
      <c r="L757"/>
      <c r="M757"/>
      <c r="N757"/>
      <c r="O757"/>
      <c r="P757"/>
      <c r="Q757"/>
    </row>
    <row r="758" spans="1:17">
      <c r="A758"/>
      <c r="B758"/>
      <c r="E758"/>
      <c r="F758"/>
      <c r="G758"/>
      <c r="H758"/>
      <c r="I758"/>
      <c r="J758"/>
      <c r="K758"/>
      <c r="L758"/>
      <c r="M758"/>
      <c r="N758"/>
      <c r="O758"/>
      <c r="P758"/>
      <c r="Q758"/>
    </row>
    <row r="759" spans="1:17">
      <c r="A759"/>
      <c r="B759"/>
      <c r="E759"/>
      <c r="F759"/>
      <c r="G759"/>
      <c r="H759"/>
      <c r="I759"/>
      <c r="J759"/>
      <c r="K759"/>
      <c r="L759"/>
      <c r="M759"/>
      <c r="N759"/>
      <c r="O759"/>
      <c r="P759"/>
      <c r="Q759"/>
    </row>
    <row r="760" spans="1:17">
      <c r="A760"/>
      <c r="B760"/>
      <c r="E760"/>
      <c r="F760"/>
      <c r="G760"/>
      <c r="H760"/>
      <c r="I760"/>
      <c r="J760"/>
      <c r="K760"/>
      <c r="L760"/>
      <c r="M760"/>
      <c r="N760"/>
      <c r="O760"/>
      <c r="P760"/>
      <c r="Q760"/>
    </row>
    <row r="761" spans="1:17">
      <c r="A761"/>
      <c r="B761"/>
      <c r="E761"/>
      <c r="F761"/>
      <c r="G761"/>
      <c r="H761"/>
      <c r="I761"/>
      <c r="J761"/>
      <c r="K761"/>
      <c r="L761"/>
      <c r="M761"/>
      <c r="N761"/>
      <c r="O761"/>
      <c r="P761"/>
      <c r="Q761"/>
    </row>
    <row r="762" spans="1:17">
      <c r="A762"/>
      <c r="B762"/>
      <c r="E762"/>
      <c r="F762"/>
      <c r="G762"/>
      <c r="H762"/>
      <c r="I762"/>
      <c r="J762"/>
      <c r="K762"/>
      <c r="L762"/>
      <c r="M762"/>
      <c r="N762"/>
      <c r="O762"/>
      <c r="P762"/>
      <c r="Q762"/>
    </row>
    <row r="763" spans="1:17">
      <c r="A763"/>
      <c r="B763"/>
      <c r="E763"/>
      <c r="F763"/>
      <c r="G763"/>
      <c r="H763"/>
      <c r="I763"/>
      <c r="J763"/>
      <c r="K763"/>
      <c r="L763"/>
      <c r="M763"/>
      <c r="N763"/>
      <c r="O763"/>
      <c r="P763"/>
      <c r="Q763"/>
    </row>
    <row r="764" spans="1:17">
      <c r="A764"/>
      <c r="B764"/>
      <c r="E764"/>
      <c r="F764"/>
      <c r="G764"/>
      <c r="H764"/>
      <c r="I764"/>
      <c r="J764"/>
      <c r="K764"/>
      <c r="L764"/>
      <c r="M764"/>
      <c r="N764"/>
      <c r="O764"/>
      <c r="P764"/>
      <c r="Q764"/>
    </row>
    <row r="765" spans="1:17">
      <c r="A765"/>
      <c r="B765"/>
      <c r="E765"/>
      <c r="F765"/>
      <c r="G765"/>
      <c r="H765"/>
      <c r="I765"/>
      <c r="J765"/>
      <c r="K765"/>
      <c r="L765"/>
      <c r="M765"/>
      <c r="N765"/>
      <c r="O765"/>
      <c r="P765"/>
      <c r="Q765"/>
    </row>
    <row r="766" spans="1:17">
      <c r="A766"/>
      <c r="B766"/>
      <c r="E766"/>
      <c r="F766"/>
      <c r="G766"/>
      <c r="H766"/>
      <c r="I766"/>
      <c r="J766"/>
      <c r="K766"/>
      <c r="L766"/>
      <c r="M766"/>
      <c r="N766"/>
      <c r="O766"/>
      <c r="P766"/>
      <c r="Q766"/>
    </row>
    <row r="767" spans="1:17">
      <c r="A767"/>
      <c r="B767"/>
      <c r="E767"/>
      <c r="F767"/>
      <c r="G767"/>
      <c r="H767"/>
      <c r="I767"/>
      <c r="J767"/>
      <c r="K767"/>
      <c r="L767"/>
      <c r="M767"/>
      <c r="N767"/>
      <c r="O767"/>
      <c r="P767"/>
      <c r="Q767"/>
    </row>
    <row r="768" spans="1:17">
      <c r="A768"/>
      <c r="B768"/>
      <c r="E768"/>
      <c r="F768"/>
      <c r="G768"/>
      <c r="H768"/>
      <c r="I768"/>
      <c r="J768"/>
      <c r="K768"/>
      <c r="L768"/>
      <c r="M768"/>
      <c r="N768"/>
      <c r="O768"/>
      <c r="P768"/>
      <c r="Q768"/>
    </row>
    <row r="769" spans="1:17">
      <c r="A769"/>
      <c r="B769"/>
      <c r="E769"/>
      <c r="F769"/>
      <c r="G769"/>
      <c r="H769"/>
      <c r="I769"/>
      <c r="J769"/>
      <c r="K769"/>
      <c r="L769"/>
      <c r="M769"/>
      <c r="N769"/>
      <c r="O769"/>
      <c r="P769"/>
      <c r="Q769"/>
    </row>
    <row r="770" spans="1:17">
      <c r="A770"/>
      <c r="B770"/>
      <c r="E770"/>
      <c r="F770"/>
      <c r="G770"/>
      <c r="H770"/>
      <c r="I770"/>
      <c r="J770"/>
      <c r="K770"/>
      <c r="L770"/>
      <c r="M770"/>
      <c r="N770"/>
      <c r="O770"/>
      <c r="P770"/>
      <c r="Q770"/>
    </row>
    <row r="771" spans="1:17">
      <c r="A771"/>
      <c r="B771"/>
      <c r="E771"/>
      <c r="F771"/>
      <c r="G771"/>
      <c r="H771"/>
      <c r="I771"/>
      <c r="J771"/>
      <c r="K771"/>
      <c r="L771"/>
      <c r="M771"/>
      <c r="N771"/>
      <c r="O771"/>
      <c r="P771"/>
      <c r="Q771"/>
    </row>
    <row r="772" spans="1:17">
      <c r="A772"/>
      <c r="B772"/>
      <c r="E772"/>
      <c r="F772"/>
      <c r="G772"/>
      <c r="H772"/>
      <c r="I772"/>
      <c r="J772"/>
      <c r="K772"/>
      <c r="L772"/>
      <c r="M772"/>
      <c r="N772"/>
      <c r="O772"/>
      <c r="P772"/>
      <c r="Q772"/>
    </row>
    <row r="773" spans="1:17">
      <c r="A773"/>
      <c r="B773"/>
      <c r="E773"/>
      <c r="F773"/>
      <c r="G773"/>
      <c r="H773"/>
      <c r="I773"/>
      <c r="J773"/>
      <c r="K773"/>
      <c r="L773"/>
      <c r="M773"/>
      <c r="N773"/>
      <c r="O773"/>
      <c r="P773"/>
      <c r="Q773"/>
    </row>
    <row r="774" spans="1:17">
      <c r="A774"/>
      <c r="B774"/>
      <c r="E774"/>
      <c r="F774"/>
      <c r="G774"/>
      <c r="H774"/>
      <c r="I774"/>
      <c r="J774"/>
      <c r="K774"/>
      <c r="L774"/>
      <c r="M774"/>
      <c r="N774"/>
      <c r="O774"/>
      <c r="P774"/>
      <c r="Q774"/>
    </row>
    <row r="775" spans="1:17">
      <c r="A775"/>
      <c r="B775"/>
      <c r="E775"/>
      <c r="F775"/>
      <c r="G775"/>
      <c r="H775"/>
      <c r="I775"/>
      <c r="J775"/>
      <c r="K775"/>
      <c r="L775"/>
      <c r="M775"/>
      <c r="N775"/>
      <c r="O775"/>
      <c r="P775"/>
      <c r="Q775"/>
    </row>
    <row r="776" spans="1:17">
      <c r="A776"/>
      <c r="B776"/>
      <c r="E776"/>
      <c r="F776"/>
      <c r="G776"/>
      <c r="H776"/>
      <c r="I776"/>
      <c r="J776"/>
      <c r="K776"/>
      <c r="L776"/>
      <c r="M776"/>
      <c r="N776"/>
      <c r="O776"/>
      <c r="P776"/>
      <c r="Q776"/>
    </row>
    <row r="777" spans="1:17">
      <c r="A777"/>
      <c r="B777"/>
      <c r="E777"/>
      <c r="F777"/>
      <c r="G777"/>
      <c r="H777"/>
      <c r="I777"/>
      <c r="J777"/>
      <c r="K777"/>
      <c r="L777"/>
      <c r="M777"/>
      <c r="N777"/>
      <c r="O777"/>
      <c r="P777"/>
      <c r="Q777"/>
    </row>
    <row r="778" spans="1:17">
      <c r="A778"/>
      <c r="B778"/>
      <c r="E778"/>
      <c r="F778"/>
      <c r="G778"/>
      <c r="H778"/>
      <c r="I778"/>
      <c r="J778"/>
      <c r="K778"/>
      <c r="L778"/>
      <c r="M778"/>
      <c r="N778"/>
      <c r="O778"/>
      <c r="P778"/>
      <c r="Q778"/>
    </row>
    <row r="779" spans="1:17">
      <c r="A779"/>
      <c r="B779"/>
      <c r="E779"/>
      <c r="F779"/>
      <c r="G779"/>
      <c r="H779"/>
      <c r="I779"/>
      <c r="J779"/>
      <c r="K779"/>
      <c r="L779"/>
      <c r="M779"/>
      <c r="N779"/>
      <c r="O779"/>
      <c r="P779"/>
      <c r="Q779"/>
    </row>
    <row r="780" spans="1:17">
      <c r="A780"/>
      <c r="B780"/>
      <c r="E780"/>
      <c r="F780"/>
      <c r="G780"/>
      <c r="H780"/>
      <c r="I780"/>
      <c r="J780"/>
      <c r="K780"/>
      <c r="L780"/>
      <c r="M780"/>
      <c r="N780"/>
      <c r="O780"/>
      <c r="P780"/>
      <c r="Q780"/>
    </row>
    <row r="781" spans="1:17">
      <c r="A781"/>
      <c r="B781"/>
      <c r="E781"/>
      <c r="F781"/>
      <c r="G781"/>
      <c r="H781"/>
      <c r="I781"/>
      <c r="J781"/>
      <c r="K781"/>
      <c r="L781"/>
      <c r="M781"/>
      <c r="N781"/>
      <c r="O781"/>
      <c r="P781"/>
      <c r="Q781"/>
    </row>
    <row r="782" spans="1:17">
      <c r="A782"/>
      <c r="B782"/>
      <c r="E782"/>
      <c r="F782"/>
      <c r="G782"/>
      <c r="H782"/>
      <c r="I782"/>
      <c r="J782"/>
      <c r="K782"/>
      <c r="L782"/>
      <c r="M782"/>
      <c r="N782"/>
      <c r="O782"/>
      <c r="P782"/>
      <c r="Q782"/>
    </row>
    <row r="783" spans="1:17">
      <c r="A783"/>
      <c r="B783"/>
      <c r="E783"/>
      <c r="F783"/>
      <c r="G783"/>
      <c r="H783"/>
      <c r="I783"/>
      <c r="J783"/>
      <c r="K783"/>
      <c r="L783"/>
      <c r="M783"/>
      <c r="N783"/>
      <c r="O783"/>
      <c r="P783"/>
      <c r="Q783"/>
    </row>
    <row r="784" spans="1:17">
      <c r="A784"/>
      <c r="B784"/>
      <c r="E784"/>
      <c r="F784"/>
      <c r="G784"/>
      <c r="H784"/>
      <c r="I784"/>
      <c r="J784"/>
      <c r="K784"/>
      <c r="L784"/>
      <c r="M784"/>
      <c r="N784"/>
      <c r="O784"/>
      <c r="P784"/>
      <c r="Q784"/>
    </row>
    <row r="785" spans="1:17">
      <c r="A785"/>
      <c r="B785"/>
      <c r="E785"/>
      <c r="F785"/>
      <c r="G785"/>
      <c r="H785"/>
      <c r="I785"/>
      <c r="J785"/>
      <c r="K785"/>
      <c r="L785"/>
      <c r="M785"/>
      <c r="N785"/>
      <c r="O785"/>
      <c r="P785"/>
      <c r="Q785"/>
    </row>
    <row r="786" spans="1:17">
      <c r="A786"/>
      <c r="B786"/>
      <c r="E786"/>
      <c r="F786"/>
      <c r="G786"/>
      <c r="H786"/>
      <c r="I786"/>
      <c r="J786"/>
      <c r="K786"/>
      <c r="L786"/>
      <c r="M786"/>
      <c r="N786"/>
      <c r="O786"/>
      <c r="P786"/>
      <c r="Q786"/>
    </row>
    <row r="787" spans="1:17">
      <c r="A787"/>
      <c r="B787"/>
      <c r="E787"/>
      <c r="F787"/>
      <c r="G787"/>
      <c r="H787"/>
      <c r="I787"/>
      <c r="J787"/>
      <c r="K787"/>
      <c r="L787"/>
      <c r="M787"/>
      <c r="N787"/>
      <c r="O787"/>
      <c r="P787"/>
      <c r="Q787"/>
    </row>
    <row r="788" spans="1:17">
      <c r="A788"/>
      <c r="B788"/>
      <c r="E788"/>
      <c r="F788"/>
      <c r="G788"/>
      <c r="H788"/>
      <c r="I788"/>
      <c r="J788"/>
      <c r="K788"/>
      <c r="L788"/>
      <c r="M788"/>
      <c r="N788"/>
      <c r="O788"/>
      <c r="P788"/>
      <c r="Q788"/>
    </row>
    <row r="789" spans="1:17">
      <c r="A789"/>
      <c r="B789"/>
      <c r="E789"/>
      <c r="F789"/>
      <c r="G789"/>
      <c r="H789"/>
      <c r="I789"/>
      <c r="J789"/>
      <c r="K789"/>
      <c r="L789"/>
      <c r="M789"/>
      <c r="N789"/>
      <c r="O789"/>
      <c r="P789"/>
      <c r="Q789"/>
    </row>
    <row r="790" spans="1:17">
      <c r="A790"/>
      <c r="B790"/>
      <c r="E790"/>
      <c r="F790"/>
      <c r="G790"/>
      <c r="H790"/>
      <c r="I790"/>
      <c r="J790"/>
      <c r="K790"/>
      <c r="L790"/>
      <c r="M790"/>
      <c r="N790"/>
      <c r="O790"/>
      <c r="P790"/>
      <c r="Q790"/>
    </row>
    <row r="791" spans="1:17">
      <c r="A791"/>
      <c r="B791"/>
      <c r="E791"/>
      <c r="F791"/>
      <c r="G791"/>
      <c r="H791"/>
      <c r="I791"/>
      <c r="J791"/>
      <c r="K791"/>
      <c r="L791"/>
      <c r="M791"/>
      <c r="N791"/>
      <c r="O791"/>
      <c r="P791"/>
      <c r="Q791"/>
    </row>
    <row r="792" spans="1:17">
      <c r="A792"/>
      <c r="B792"/>
      <c r="E792"/>
      <c r="F792"/>
      <c r="G792"/>
      <c r="H792"/>
      <c r="I792"/>
      <c r="J792"/>
      <c r="K792"/>
      <c r="L792"/>
      <c r="M792"/>
      <c r="N792"/>
      <c r="O792"/>
      <c r="P792"/>
      <c r="Q792"/>
    </row>
    <row r="793" spans="1:17">
      <c r="A793"/>
      <c r="B793"/>
      <c r="E793"/>
      <c r="F793"/>
      <c r="G793"/>
      <c r="H793"/>
      <c r="I793"/>
      <c r="J793"/>
      <c r="K793"/>
      <c r="L793"/>
      <c r="M793"/>
      <c r="N793"/>
      <c r="O793"/>
      <c r="P793"/>
      <c r="Q793"/>
    </row>
    <row r="794" spans="1:17">
      <c r="A794"/>
      <c r="B794"/>
      <c r="E794"/>
      <c r="F794"/>
      <c r="G794"/>
      <c r="H794"/>
      <c r="I794"/>
      <c r="J794"/>
      <c r="K794"/>
      <c r="L794"/>
      <c r="M794"/>
      <c r="N794"/>
      <c r="O794"/>
      <c r="P794"/>
      <c r="Q794"/>
    </row>
    <row r="795" spans="1:17">
      <c r="A795"/>
      <c r="B795"/>
      <c r="E795"/>
      <c r="F795"/>
      <c r="G795"/>
      <c r="H795"/>
      <c r="I795"/>
      <c r="J795"/>
      <c r="K795"/>
      <c r="L795"/>
      <c r="M795"/>
      <c r="N795"/>
      <c r="O795"/>
      <c r="P795"/>
      <c r="Q795"/>
    </row>
    <row r="796" spans="1:17">
      <c r="A796"/>
      <c r="B796"/>
      <c r="E796"/>
      <c r="F796"/>
      <c r="G796"/>
      <c r="H796"/>
      <c r="I796"/>
      <c r="J796"/>
      <c r="K796"/>
      <c r="L796"/>
      <c r="M796"/>
      <c r="N796"/>
      <c r="O796"/>
      <c r="P796"/>
      <c r="Q796"/>
    </row>
    <row r="797" spans="1:17">
      <c r="A797"/>
      <c r="B797"/>
      <c r="E797"/>
      <c r="F797"/>
      <c r="G797"/>
      <c r="H797"/>
      <c r="I797"/>
      <c r="J797"/>
      <c r="K797"/>
      <c r="L797"/>
      <c r="M797"/>
      <c r="N797"/>
      <c r="O797"/>
      <c r="P797"/>
      <c r="Q797"/>
    </row>
    <row r="798" spans="1:17">
      <c r="A798"/>
      <c r="B798"/>
      <c r="E798"/>
      <c r="F798"/>
      <c r="G798"/>
      <c r="H798"/>
      <c r="I798"/>
      <c r="J798"/>
      <c r="K798"/>
      <c r="L798"/>
      <c r="M798"/>
      <c r="N798"/>
      <c r="O798"/>
      <c r="P798"/>
      <c r="Q798"/>
    </row>
    <row r="799" spans="1:17">
      <c r="A799"/>
      <c r="B799"/>
      <c r="E799"/>
      <c r="F799"/>
      <c r="G799"/>
      <c r="H799"/>
      <c r="I799"/>
      <c r="J799"/>
      <c r="K799"/>
      <c r="L799"/>
      <c r="M799"/>
      <c r="N799"/>
      <c r="O799"/>
      <c r="P799"/>
      <c r="Q799"/>
    </row>
    <row r="800" spans="1:17">
      <c r="A800"/>
      <c r="B800"/>
      <c r="E800"/>
      <c r="F800"/>
      <c r="G800"/>
      <c r="H800"/>
      <c r="I800"/>
      <c r="J800"/>
      <c r="K800"/>
      <c r="L800"/>
      <c r="M800"/>
      <c r="N800"/>
      <c r="O800"/>
      <c r="P800"/>
      <c r="Q800"/>
    </row>
    <row r="801" spans="1:17">
      <c r="A801"/>
      <c r="B801"/>
      <c r="E801"/>
      <c r="F801"/>
      <c r="G801"/>
      <c r="H801"/>
      <c r="I801"/>
      <c r="J801"/>
      <c r="K801"/>
      <c r="L801"/>
      <c r="M801"/>
      <c r="N801"/>
      <c r="O801"/>
      <c r="P801"/>
      <c r="Q801"/>
    </row>
    <row r="802" spans="1:17">
      <c r="A802"/>
      <c r="B802"/>
      <c r="E802"/>
      <c r="F802"/>
      <c r="G802"/>
      <c r="H802"/>
      <c r="I802"/>
      <c r="J802"/>
      <c r="K802"/>
      <c r="L802"/>
      <c r="M802"/>
      <c r="N802"/>
      <c r="O802"/>
      <c r="P802"/>
      <c r="Q802"/>
    </row>
    <row r="803" spans="1:17">
      <c r="A803"/>
      <c r="B803"/>
      <c r="E803"/>
      <c r="F803"/>
      <c r="G803"/>
      <c r="H803"/>
      <c r="I803"/>
      <c r="J803"/>
      <c r="K803"/>
      <c r="L803"/>
      <c r="M803"/>
      <c r="N803"/>
      <c r="O803"/>
      <c r="P803"/>
      <c r="Q803"/>
    </row>
    <row r="804" spans="1:17">
      <c r="A804"/>
      <c r="B804"/>
      <c r="E804"/>
      <c r="F804"/>
      <c r="G804"/>
      <c r="H804"/>
      <c r="I804"/>
      <c r="J804"/>
      <c r="K804"/>
      <c r="L804"/>
      <c r="M804"/>
      <c r="N804"/>
      <c r="O804"/>
      <c r="P804"/>
      <c r="Q804"/>
    </row>
    <row r="805" spans="1:17">
      <c r="A805"/>
      <c r="B805"/>
      <c r="E805"/>
      <c r="F805"/>
      <c r="G805"/>
      <c r="H805"/>
      <c r="I805"/>
      <c r="J805"/>
      <c r="K805"/>
      <c r="L805"/>
      <c r="M805"/>
      <c r="N805"/>
      <c r="O805"/>
      <c r="P805"/>
      <c r="Q805"/>
    </row>
    <row r="806" spans="1:17">
      <c r="A806"/>
      <c r="B806"/>
      <c r="E806"/>
      <c r="F806"/>
      <c r="G806"/>
      <c r="H806"/>
      <c r="I806"/>
      <c r="J806"/>
      <c r="K806"/>
      <c r="L806"/>
      <c r="M806"/>
      <c r="N806"/>
      <c r="O806"/>
      <c r="P806"/>
      <c r="Q806"/>
    </row>
    <row r="807" spans="1:17">
      <c r="A807"/>
      <c r="B807"/>
      <c r="E807"/>
      <c r="F807"/>
      <c r="G807"/>
      <c r="H807"/>
      <c r="I807"/>
      <c r="J807"/>
      <c r="K807"/>
      <c r="L807"/>
      <c r="M807"/>
      <c r="N807"/>
      <c r="O807"/>
      <c r="P807"/>
      <c r="Q807"/>
    </row>
    <row r="808" spans="1:17">
      <c r="A808"/>
      <c r="B808"/>
      <c r="E808"/>
      <c r="F808"/>
      <c r="G808"/>
      <c r="H808"/>
      <c r="I808"/>
      <c r="J808"/>
      <c r="K808"/>
      <c r="L808"/>
      <c r="M808"/>
      <c r="N808"/>
      <c r="O808"/>
      <c r="P808"/>
      <c r="Q808"/>
    </row>
    <row r="809" spans="1:17">
      <c r="A809"/>
      <c r="B809"/>
      <c r="E809"/>
      <c r="F809"/>
      <c r="G809"/>
      <c r="H809"/>
      <c r="I809"/>
      <c r="J809"/>
      <c r="K809"/>
      <c r="L809"/>
      <c r="M809"/>
      <c r="N809"/>
      <c r="O809"/>
      <c r="P809"/>
      <c r="Q809"/>
    </row>
    <row r="810" spans="1:17">
      <c r="A810"/>
      <c r="B810"/>
      <c r="E810"/>
      <c r="F810"/>
      <c r="G810"/>
      <c r="H810"/>
      <c r="I810"/>
      <c r="J810"/>
      <c r="K810"/>
      <c r="L810"/>
      <c r="M810"/>
      <c r="N810"/>
      <c r="O810"/>
      <c r="P810"/>
      <c r="Q810"/>
    </row>
    <row r="811" spans="1:17">
      <c r="A811"/>
      <c r="B811"/>
      <c r="E811"/>
      <c r="F811"/>
      <c r="G811"/>
      <c r="H811"/>
      <c r="I811"/>
      <c r="J811"/>
      <c r="K811"/>
      <c r="L811"/>
      <c r="M811"/>
      <c r="N811"/>
      <c r="O811"/>
      <c r="P811"/>
      <c r="Q811"/>
    </row>
    <row r="812" spans="1:17">
      <c r="A812"/>
      <c r="B812"/>
      <c r="E812"/>
      <c r="F812"/>
      <c r="G812"/>
      <c r="H812"/>
      <c r="I812"/>
      <c r="J812"/>
      <c r="K812"/>
      <c r="L812"/>
      <c r="M812"/>
      <c r="N812"/>
      <c r="O812"/>
      <c r="P812"/>
      <c r="Q812"/>
    </row>
    <row r="813" spans="1:17">
      <c r="A813"/>
      <c r="B813"/>
      <c r="E813"/>
      <c r="F813"/>
      <c r="G813"/>
      <c r="H813"/>
      <c r="I813"/>
      <c r="J813"/>
      <c r="K813"/>
      <c r="L813"/>
      <c r="M813"/>
      <c r="N813"/>
      <c r="O813"/>
      <c r="P813"/>
      <c r="Q813"/>
    </row>
    <row r="814" spans="1:17">
      <c r="A814"/>
      <c r="B814"/>
      <c r="E814"/>
      <c r="F814"/>
      <c r="G814"/>
      <c r="H814"/>
      <c r="I814"/>
      <c r="J814"/>
      <c r="K814"/>
      <c r="L814"/>
      <c r="M814"/>
      <c r="N814"/>
      <c r="O814"/>
      <c r="P814"/>
      <c r="Q814"/>
    </row>
    <row r="815" spans="1:17">
      <c r="A815"/>
      <c r="B815"/>
      <c r="E815"/>
      <c r="F815"/>
      <c r="G815"/>
      <c r="H815"/>
      <c r="I815"/>
      <c r="J815"/>
      <c r="K815"/>
      <c r="L815"/>
      <c r="M815"/>
      <c r="N815"/>
      <c r="O815"/>
      <c r="P815"/>
      <c r="Q815"/>
    </row>
    <row r="816" spans="1:17">
      <c r="A816"/>
      <c r="B816"/>
      <c r="E816"/>
      <c r="F816"/>
      <c r="G816"/>
      <c r="H816"/>
      <c r="I816"/>
      <c r="J816"/>
      <c r="K816"/>
      <c r="L816"/>
      <c r="M816"/>
      <c r="N816"/>
      <c r="O816"/>
      <c r="P816"/>
      <c r="Q816"/>
    </row>
    <row r="817" spans="1:17">
      <c r="A817"/>
      <c r="B817"/>
      <c r="E817"/>
      <c r="F817"/>
      <c r="G817"/>
      <c r="H817"/>
      <c r="I817"/>
      <c r="J817"/>
      <c r="K817"/>
      <c r="L817"/>
      <c r="M817"/>
      <c r="N817"/>
      <c r="O817"/>
      <c r="P817"/>
      <c r="Q817"/>
    </row>
    <row r="818" spans="1:17">
      <c r="A818"/>
      <c r="B818"/>
      <c r="E818"/>
      <c r="F818"/>
      <c r="G818"/>
      <c r="H818"/>
      <c r="I818"/>
      <c r="J818"/>
      <c r="K818"/>
      <c r="L818"/>
      <c r="M818"/>
      <c r="N818"/>
      <c r="O818"/>
      <c r="P818"/>
      <c r="Q818"/>
    </row>
    <row r="819" spans="1:17">
      <c r="A819"/>
      <c r="B819"/>
      <c r="E819"/>
      <c r="F819"/>
      <c r="G819"/>
      <c r="H819"/>
      <c r="I819"/>
      <c r="J819"/>
      <c r="K819"/>
      <c r="L819"/>
      <c r="M819"/>
      <c r="N819"/>
      <c r="O819"/>
      <c r="P819"/>
      <c r="Q819"/>
    </row>
    <row r="820" spans="1:17">
      <c r="A820"/>
      <c r="B820"/>
      <c r="E820"/>
      <c r="F820"/>
      <c r="G820"/>
      <c r="H820"/>
      <c r="I820"/>
      <c r="J820"/>
      <c r="K820"/>
      <c r="L820"/>
      <c r="M820"/>
      <c r="N820"/>
      <c r="O820"/>
      <c r="P820"/>
      <c r="Q820"/>
    </row>
    <row r="821" spans="1:17">
      <c r="A821"/>
      <c r="B821"/>
      <c r="E821"/>
      <c r="F821"/>
      <c r="G821"/>
      <c r="H821"/>
      <c r="I821"/>
      <c r="J821"/>
      <c r="K821"/>
      <c r="L821"/>
      <c r="M821"/>
      <c r="N821"/>
      <c r="O821"/>
      <c r="P821"/>
      <c r="Q821"/>
    </row>
    <row r="822" spans="1:17">
      <c r="A822"/>
      <c r="B822"/>
      <c r="E822"/>
      <c r="F822"/>
      <c r="G822"/>
      <c r="H822"/>
      <c r="I822"/>
      <c r="J822"/>
      <c r="K822"/>
      <c r="L822"/>
      <c r="M822"/>
      <c r="N822"/>
      <c r="O822"/>
      <c r="P822"/>
      <c r="Q822"/>
    </row>
    <row r="823" spans="1:17">
      <c r="A823"/>
      <c r="B823"/>
      <c r="E823"/>
      <c r="F823"/>
      <c r="G823"/>
      <c r="H823"/>
      <c r="I823"/>
      <c r="J823"/>
      <c r="K823"/>
      <c r="L823"/>
      <c r="M823"/>
      <c r="N823"/>
      <c r="O823"/>
      <c r="P823"/>
      <c r="Q823"/>
    </row>
    <row r="824" spans="1:17">
      <c r="A824"/>
      <c r="B824"/>
      <c r="E824"/>
      <c r="F824"/>
      <c r="G824"/>
      <c r="H824"/>
      <c r="I824"/>
      <c r="J824"/>
      <c r="K824"/>
      <c r="L824"/>
      <c r="M824"/>
      <c r="N824"/>
      <c r="O824"/>
      <c r="P824"/>
      <c r="Q824"/>
    </row>
    <row r="825" spans="1:17">
      <c r="A825"/>
      <c r="B825"/>
      <c r="E825"/>
      <c r="F825"/>
      <c r="G825"/>
      <c r="H825"/>
      <c r="I825"/>
      <c r="J825"/>
      <c r="K825"/>
      <c r="L825"/>
      <c r="M825"/>
      <c r="N825"/>
      <c r="O825"/>
      <c r="P825"/>
      <c r="Q825"/>
    </row>
    <row r="826" spans="1:17">
      <c r="A826"/>
      <c r="B826"/>
      <c r="E826"/>
      <c r="F826"/>
      <c r="G826"/>
      <c r="H826"/>
      <c r="I826"/>
      <c r="J826"/>
      <c r="K826"/>
      <c r="L826"/>
      <c r="M826"/>
      <c r="N826"/>
      <c r="O826"/>
      <c r="P826"/>
      <c r="Q826"/>
    </row>
    <row r="827" spans="1:17">
      <c r="A827"/>
      <c r="B827"/>
      <c r="E827"/>
      <c r="F827"/>
      <c r="G827"/>
      <c r="H827"/>
      <c r="I827"/>
      <c r="J827"/>
      <c r="K827"/>
      <c r="L827"/>
      <c r="M827"/>
      <c r="N827"/>
      <c r="O827"/>
      <c r="P827"/>
      <c r="Q827"/>
    </row>
    <row r="828" spans="1:17">
      <c r="A828"/>
      <c r="B828"/>
      <c r="E828"/>
      <c r="F828"/>
      <c r="G828"/>
      <c r="H828"/>
      <c r="I828"/>
      <c r="J828"/>
      <c r="K828"/>
      <c r="L828"/>
      <c r="M828"/>
      <c r="N828"/>
      <c r="O828"/>
      <c r="P828"/>
      <c r="Q828"/>
    </row>
    <row r="829" spans="1:17">
      <c r="A829"/>
      <c r="B829"/>
      <c r="E829"/>
      <c r="F829"/>
      <c r="G829"/>
      <c r="H829"/>
      <c r="I829"/>
      <c r="J829"/>
      <c r="K829"/>
      <c r="L829"/>
      <c r="M829"/>
      <c r="N829"/>
      <c r="O829"/>
      <c r="P829"/>
      <c r="Q829"/>
    </row>
    <row r="830" spans="1:17">
      <c r="A830"/>
      <c r="B830"/>
      <c r="E830"/>
      <c r="F830"/>
      <c r="G830"/>
      <c r="H830"/>
      <c r="I830"/>
      <c r="J830"/>
      <c r="K830"/>
      <c r="L830"/>
      <c r="M830"/>
      <c r="N830"/>
      <c r="O830"/>
      <c r="P830"/>
      <c r="Q830"/>
    </row>
    <row r="831" spans="1:17">
      <c r="A831"/>
      <c r="B831"/>
      <c r="E831"/>
      <c r="F831"/>
      <c r="G831"/>
      <c r="H831"/>
      <c r="I831"/>
      <c r="J831"/>
      <c r="K831"/>
      <c r="L831"/>
      <c r="M831"/>
      <c r="N831"/>
      <c r="O831"/>
      <c r="P831"/>
      <c r="Q831"/>
    </row>
    <row r="832" spans="1:17">
      <c r="A832"/>
      <c r="B832"/>
      <c r="E832"/>
      <c r="F832"/>
      <c r="G832"/>
      <c r="H832"/>
      <c r="I832"/>
      <c r="J832"/>
      <c r="K832"/>
      <c r="L832"/>
      <c r="M832"/>
      <c r="N832"/>
      <c r="O832"/>
      <c r="P832"/>
      <c r="Q832"/>
    </row>
    <row r="833" spans="1:17">
      <c r="A833"/>
      <c r="B833"/>
      <c r="E833"/>
      <c r="F833"/>
      <c r="G833"/>
      <c r="H833"/>
      <c r="I833"/>
      <c r="J833"/>
      <c r="K833"/>
      <c r="L833"/>
      <c r="M833"/>
      <c r="N833"/>
      <c r="O833"/>
      <c r="P833"/>
      <c r="Q833"/>
    </row>
    <row r="834" spans="1:17">
      <c r="A834"/>
      <c r="B834"/>
      <c r="E834"/>
      <c r="F834"/>
      <c r="G834"/>
      <c r="H834"/>
      <c r="I834"/>
      <c r="J834"/>
      <c r="K834"/>
      <c r="L834"/>
      <c r="M834"/>
      <c r="N834"/>
      <c r="O834"/>
      <c r="P834"/>
      <c r="Q834"/>
    </row>
    <row r="835" spans="1:17">
      <c r="A835"/>
      <c r="B835"/>
      <c r="E835"/>
      <c r="F835"/>
      <c r="G835"/>
      <c r="H835"/>
      <c r="I835"/>
      <c r="J835"/>
      <c r="K835"/>
      <c r="L835"/>
      <c r="M835"/>
      <c r="N835"/>
      <c r="O835"/>
      <c r="P835"/>
      <c r="Q835"/>
    </row>
    <row r="836" spans="1:17">
      <c r="A836"/>
      <c r="B836"/>
      <c r="E836"/>
      <c r="F836"/>
      <c r="G836"/>
      <c r="H836"/>
      <c r="I836"/>
      <c r="J836"/>
      <c r="K836"/>
      <c r="L836"/>
      <c r="M836"/>
      <c r="N836"/>
      <c r="O836"/>
      <c r="P836"/>
      <c r="Q836"/>
    </row>
    <row r="837" spans="1:17">
      <c r="A837"/>
      <c r="B837"/>
      <c r="E837"/>
      <c r="F837"/>
      <c r="G837"/>
      <c r="H837"/>
      <c r="I837"/>
      <c r="J837"/>
      <c r="K837"/>
      <c r="L837"/>
      <c r="M837"/>
      <c r="N837"/>
      <c r="O837"/>
      <c r="P837"/>
      <c r="Q837"/>
    </row>
    <row r="838" spans="1:17">
      <c r="A838"/>
      <c r="B838"/>
      <c r="E838"/>
      <c r="F838"/>
      <c r="G838"/>
      <c r="H838"/>
      <c r="I838"/>
      <c r="J838"/>
      <c r="K838"/>
      <c r="L838"/>
      <c r="M838"/>
      <c r="N838"/>
      <c r="O838"/>
      <c r="P838"/>
      <c r="Q838"/>
    </row>
    <row r="839" spans="1:17">
      <c r="A839"/>
      <c r="B839"/>
      <c r="E839"/>
      <c r="F839"/>
      <c r="G839"/>
      <c r="H839"/>
      <c r="I839"/>
      <c r="J839"/>
      <c r="K839"/>
      <c r="L839"/>
      <c r="M839"/>
      <c r="N839"/>
      <c r="O839"/>
      <c r="P839"/>
      <c r="Q839"/>
    </row>
    <row r="840" spans="1:17">
      <c r="A840"/>
      <c r="B840"/>
      <c r="E840"/>
      <c r="F840"/>
      <c r="G840"/>
      <c r="H840"/>
      <c r="I840"/>
      <c r="J840"/>
      <c r="K840"/>
      <c r="L840"/>
      <c r="M840"/>
      <c r="N840"/>
      <c r="O840"/>
      <c r="P840"/>
      <c r="Q840"/>
    </row>
    <row r="841" spans="1:17">
      <c r="A841"/>
      <c r="B841"/>
      <c r="E841"/>
      <c r="F841"/>
      <c r="G841"/>
      <c r="H841"/>
      <c r="I841"/>
      <c r="J841"/>
      <c r="K841"/>
      <c r="L841"/>
      <c r="M841"/>
      <c r="N841"/>
      <c r="O841"/>
      <c r="P841"/>
      <c r="Q841"/>
    </row>
    <row r="842" spans="1:17">
      <c r="A842"/>
      <c r="B842"/>
      <c r="E842"/>
      <c r="F842"/>
      <c r="G842"/>
      <c r="H842"/>
      <c r="I842"/>
      <c r="J842"/>
      <c r="K842"/>
      <c r="L842"/>
      <c r="M842"/>
      <c r="N842"/>
      <c r="O842"/>
      <c r="P842"/>
      <c r="Q842"/>
    </row>
    <row r="843" spans="1:17">
      <c r="A843"/>
      <c r="B843"/>
      <c r="E843"/>
      <c r="F843"/>
      <c r="G843"/>
      <c r="H843"/>
      <c r="I843"/>
      <c r="J843"/>
      <c r="K843"/>
      <c r="L843"/>
      <c r="M843"/>
      <c r="N843"/>
      <c r="O843"/>
      <c r="P843"/>
      <c r="Q843"/>
    </row>
    <row r="844" spans="1:17">
      <c r="A844"/>
      <c r="B844"/>
      <c r="E844"/>
      <c r="F844"/>
      <c r="G844"/>
      <c r="H844"/>
      <c r="I844"/>
      <c r="J844"/>
      <c r="K844"/>
      <c r="L844"/>
      <c r="M844"/>
      <c r="N844"/>
      <c r="O844"/>
      <c r="P844"/>
      <c r="Q844"/>
    </row>
    <row r="845" spans="1:17">
      <c r="A845"/>
      <c r="B845"/>
      <c r="E845"/>
      <c r="F845"/>
      <c r="G845"/>
      <c r="H845"/>
      <c r="I845"/>
      <c r="J845"/>
      <c r="K845"/>
      <c r="L845"/>
      <c r="M845"/>
      <c r="N845"/>
      <c r="O845"/>
      <c r="P845"/>
      <c r="Q845"/>
    </row>
    <row r="846" spans="1:17">
      <c r="A846"/>
      <c r="B846"/>
      <c r="E846"/>
      <c r="F846"/>
      <c r="G846"/>
      <c r="H846"/>
      <c r="I846"/>
      <c r="J846"/>
      <c r="K846"/>
      <c r="L846"/>
      <c r="M846"/>
      <c r="N846"/>
      <c r="O846"/>
      <c r="P846"/>
      <c r="Q846"/>
    </row>
    <row r="847" spans="1:17">
      <c r="A847"/>
      <c r="B847"/>
      <c r="E847"/>
      <c r="F847"/>
      <c r="G847"/>
      <c r="H847"/>
      <c r="I847"/>
      <c r="J847"/>
      <c r="K847"/>
      <c r="L847"/>
      <c r="M847"/>
      <c r="N847"/>
      <c r="O847"/>
      <c r="P847"/>
      <c r="Q847"/>
    </row>
    <row r="848" spans="1:17">
      <c r="A848"/>
      <c r="B848"/>
      <c r="E848"/>
      <c r="F848"/>
      <c r="G848"/>
      <c r="H848"/>
      <c r="I848"/>
      <c r="J848"/>
      <c r="K848"/>
      <c r="L848"/>
      <c r="M848"/>
      <c r="N848"/>
      <c r="O848"/>
      <c r="P848"/>
      <c r="Q848"/>
    </row>
    <row r="849" spans="1:17">
      <c r="A849"/>
      <c r="B849"/>
      <c r="E849"/>
      <c r="F849"/>
      <c r="G849"/>
      <c r="H849"/>
      <c r="I849"/>
      <c r="J849"/>
      <c r="K849"/>
      <c r="L849"/>
      <c r="M849"/>
      <c r="N849"/>
      <c r="O849"/>
      <c r="P849"/>
      <c r="Q849"/>
    </row>
    <row r="850" spans="1:17">
      <c r="A850"/>
      <c r="B850"/>
      <c r="E850"/>
      <c r="F850"/>
      <c r="G850"/>
      <c r="H850"/>
      <c r="I850"/>
      <c r="J850"/>
      <c r="K850"/>
      <c r="L850"/>
      <c r="M850"/>
      <c r="N850"/>
      <c r="O850"/>
      <c r="P850"/>
      <c r="Q850"/>
    </row>
    <row r="851" spans="1:17">
      <c r="A851"/>
      <c r="B851"/>
      <c r="E851"/>
      <c r="F851"/>
      <c r="G851"/>
      <c r="H851"/>
      <c r="I851"/>
      <c r="J851"/>
      <c r="K851"/>
      <c r="L851"/>
      <c r="M851"/>
      <c r="N851"/>
      <c r="O851"/>
      <c r="P851"/>
      <c r="Q851"/>
    </row>
    <row r="852" spans="1:17">
      <c r="A852"/>
      <c r="B852"/>
      <c r="E852"/>
      <c r="F852"/>
      <c r="G852"/>
      <c r="H852"/>
      <c r="I852"/>
      <c r="J852"/>
      <c r="K852"/>
      <c r="L852"/>
      <c r="M852"/>
      <c r="N852"/>
      <c r="O852"/>
      <c r="P852"/>
      <c r="Q852"/>
    </row>
    <row r="853" spans="1:17">
      <c r="A853"/>
      <c r="B853"/>
      <c r="E853"/>
      <c r="F853"/>
      <c r="G853"/>
      <c r="H853"/>
      <c r="I853"/>
      <c r="J853"/>
      <c r="K853"/>
      <c r="L853"/>
      <c r="M853"/>
      <c r="N853"/>
      <c r="O853"/>
      <c r="P853"/>
      <c r="Q853"/>
    </row>
    <row r="854" spans="1:17">
      <c r="A854"/>
      <c r="B854"/>
      <c r="E854"/>
      <c r="F854"/>
      <c r="G854"/>
      <c r="H854"/>
      <c r="I854"/>
      <c r="J854"/>
      <c r="K854"/>
      <c r="L854"/>
      <c r="M854"/>
      <c r="N854"/>
      <c r="O854"/>
      <c r="P854"/>
      <c r="Q854"/>
    </row>
    <row r="855" spans="1:17">
      <c r="A855"/>
      <c r="B855"/>
      <c r="E855"/>
      <c r="F855"/>
      <c r="G855"/>
      <c r="H855"/>
      <c r="I855"/>
      <c r="J855"/>
      <c r="K855"/>
      <c r="L855"/>
      <c r="M855"/>
      <c r="N855"/>
      <c r="O855"/>
      <c r="P855"/>
      <c r="Q855"/>
    </row>
    <row r="856" spans="1:17">
      <c r="A856"/>
      <c r="B856"/>
      <c r="E856"/>
      <c r="F856"/>
      <c r="G856"/>
      <c r="H856"/>
      <c r="I856"/>
      <c r="J856"/>
      <c r="K856"/>
      <c r="L856"/>
      <c r="M856"/>
      <c r="N856"/>
      <c r="O856"/>
      <c r="P856"/>
      <c r="Q856"/>
    </row>
    <row r="857" spans="1:17">
      <c r="A857"/>
      <c r="B857"/>
      <c r="E857"/>
      <c r="F857"/>
      <c r="G857"/>
      <c r="H857"/>
      <c r="I857"/>
      <c r="J857"/>
      <c r="K857"/>
      <c r="L857"/>
      <c r="M857"/>
      <c r="N857"/>
      <c r="O857"/>
      <c r="P857"/>
      <c r="Q857"/>
    </row>
    <row r="858" spans="1:17">
      <c r="A858"/>
      <c r="B858"/>
      <c r="E858"/>
      <c r="F858"/>
      <c r="G858"/>
      <c r="H858"/>
      <c r="I858"/>
      <c r="J858"/>
      <c r="K858"/>
      <c r="L858"/>
      <c r="M858"/>
      <c r="N858"/>
      <c r="O858"/>
      <c r="P858"/>
      <c r="Q858"/>
    </row>
    <row r="859" spans="1:17">
      <c r="A859"/>
      <c r="B859"/>
      <c r="E859"/>
      <c r="F859"/>
      <c r="G859"/>
      <c r="H859"/>
      <c r="I859"/>
      <c r="J859"/>
      <c r="K859"/>
      <c r="L859"/>
      <c r="M859"/>
      <c r="N859"/>
      <c r="O859"/>
      <c r="P859"/>
      <c r="Q859"/>
    </row>
    <row r="860" spans="1:17">
      <c r="A860"/>
      <c r="B860"/>
      <c r="E860"/>
      <c r="F860"/>
      <c r="G860"/>
      <c r="H860"/>
      <c r="I860"/>
      <c r="J860"/>
      <c r="K860"/>
      <c r="L860"/>
      <c r="M860"/>
      <c r="N860"/>
      <c r="O860"/>
      <c r="P860"/>
      <c r="Q860"/>
    </row>
    <row r="861" spans="1:17">
      <c r="A861"/>
      <c r="B861"/>
      <c r="E861"/>
      <c r="F861"/>
      <c r="G861"/>
      <c r="H861"/>
      <c r="I861"/>
      <c r="J861"/>
      <c r="K861"/>
      <c r="L861"/>
      <c r="M861"/>
      <c r="N861"/>
      <c r="O861"/>
      <c r="P861"/>
      <c r="Q861"/>
    </row>
    <row r="862" spans="1:17">
      <c r="A862"/>
      <c r="B862"/>
      <c r="E862"/>
      <c r="F862"/>
      <c r="G862"/>
      <c r="H862"/>
      <c r="I862"/>
      <c r="J862"/>
      <c r="K862"/>
      <c r="L862"/>
      <c r="M862"/>
      <c r="N862"/>
      <c r="O862"/>
      <c r="P862"/>
      <c r="Q862"/>
    </row>
    <row r="863" spans="1:17">
      <c r="A863"/>
      <c r="B863"/>
      <c r="E863"/>
      <c r="F863"/>
      <c r="G863"/>
      <c r="H863"/>
      <c r="I863"/>
      <c r="J863"/>
      <c r="K863"/>
      <c r="L863"/>
      <c r="M863"/>
      <c r="N863"/>
      <c r="O863"/>
      <c r="P863"/>
      <c r="Q863"/>
    </row>
    <row r="864" spans="1:17">
      <c r="A864"/>
      <c r="B864"/>
      <c r="E864"/>
      <c r="F864"/>
      <c r="G864"/>
      <c r="H864"/>
      <c r="I864"/>
      <c r="J864"/>
      <c r="K864"/>
      <c r="L864"/>
      <c r="M864"/>
      <c r="N864"/>
      <c r="O864"/>
      <c r="P864"/>
      <c r="Q864"/>
    </row>
    <row r="865" spans="1:17">
      <c r="A865"/>
      <c r="B865"/>
      <c r="E865"/>
      <c r="F865"/>
      <c r="G865"/>
      <c r="H865"/>
      <c r="I865"/>
      <c r="J865"/>
      <c r="K865"/>
      <c r="L865"/>
      <c r="M865"/>
      <c r="N865"/>
      <c r="O865"/>
      <c r="P865"/>
      <c r="Q865"/>
    </row>
    <row r="866" spans="1:17">
      <c r="A866"/>
      <c r="B866"/>
      <c r="E866"/>
      <c r="F866"/>
      <c r="G866"/>
      <c r="H866"/>
      <c r="I866"/>
      <c r="J866"/>
      <c r="K866"/>
      <c r="L866"/>
      <c r="M866"/>
      <c r="N866"/>
      <c r="O866"/>
      <c r="P866"/>
      <c r="Q866"/>
    </row>
    <row r="867" spans="1:17">
      <c r="A867"/>
      <c r="B867"/>
      <c r="E867"/>
      <c r="F867"/>
      <c r="G867"/>
      <c r="H867"/>
      <c r="I867"/>
      <c r="J867"/>
      <c r="K867"/>
      <c r="L867"/>
      <c r="M867"/>
      <c r="N867"/>
      <c r="O867"/>
      <c r="P867"/>
      <c r="Q867"/>
    </row>
    <row r="868" spans="1:17">
      <c r="A868"/>
      <c r="B868"/>
      <c r="E868"/>
      <c r="F868"/>
      <c r="G868"/>
      <c r="H868"/>
      <c r="I868"/>
      <c r="J868"/>
      <c r="K868"/>
      <c r="L868"/>
      <c r="M868"/>
      <c r="N868"/>
      <c r="O868"/>
      <c r="P868"/>
      <c r="Q868"/>
    </row>
    <row r="869" spans="1:17">
      <c r="A869"/>
      <c r="B869"/>
      <c r="E869"/>
      <c r="F869"/>
      <c r="G869"/>
      <c r="H869"/>
      <c r="I869"/>
      <c r="J869"/>
      <c r="K869"/>
      <c r="L869"/>
      <c r="M869"/>
      <c r="N869"/>
      <c r="O869"/>
      <c r="P869"/>
      <c r="Q869"/>
    </row>
    <row r="870" spans="1:17">
      <c r="A870"/>
      <c r="B870"/>
      <c r="E870"/>
      <c r="F870"/>
      <c r="G870"/>
      <c r="H870"/>
      <c r="I870"/>
      <c r="J870"/>
      <c r="K870"/>
      <c r="L870"/>
      <c r="M870"/>
      <c r="N870"/>
      <c r="O870"/>
      <c r="P870"/>
      <c r="Q870"/>
    </row>
    <row r="871" spans="1:17">
      <c r="A871"/>
      <c r="B871"/>
      <c r="E871"/>
      <c r="F871"/>
      <c r="G871"/>
      <c r="H871"/>
      <c r="I871"/>
      <c r="J871"/>
      <c r="K871"/>
      <c r="L871"/>
      <c r="M871"/>
      <c r="N871"/>
      <c r="O871"/>
      <c r="P871"/>
      <c r="Q871"/>
    </row>
    <row r="872" spans="1:17">
      <c r="A872"/>
      <c r="B872"/>
      <c r="E872"/>
      <c r="F872"/>
      <c r="G872"/>
      <c r="H872"/>
      <c r="I872"/>
      <c r="J872"/>
      <c r="K872"/>
      <c r="L872"/>
      <c r="M872"/>
      <c r="N872"/>
      <c r="O872"/>
      <c r="P872"/>
      <c r="Q872"/>
    </row>
    <row r="873" spans="1:17">
      <c r="A873"/>
      <c r="B873"/>
      <c r="E873"/>
      <c r="F873"/>
      <c r="G873"/>
      <c r="H873"/>
      <c r="I873"/>
      <c r="J873"/>
      <c r="K873"/>
      <c r="L873"/>
      <c r="M873"/>
      <c r="N873"/>
      <c r="O873"/>
      <c r="P873"/>
      <c r="Q873"/>
    </row>
    <row r="874" spans="1:17">
      <c r="A874"/>
      <c r="B874"/>
      <c r="E874"/>
      <c r="F874"/>
      <c r="G874"/>
      <c r="H874"/>
      <c r="I874"/>
      <c r="J874"/>
      <c r="K874"/>
      <c r="L874"/>
      <c r="M874"/>
      <c r="N874"/>
      <c r="O874"/>
      <c r="P874"/>
      <c r="Q874"/>
    </row>
    <row r="875" spans="1:17">
      <c r="A875"/>
      <c r="B875"/>
      <c r="E875"/>
      <c r="F875"/>
      <c r="G875"/>
      <c r="H875"/>
      <c r="I875"/>
      <c r="J875"/>
      <c r="K875"/>
      <c r="L875"/>
      <c r="M875"/>
      <c r="N875"/>
      <c r="O875"/>
      <c r="P875"/>
      <c r="Q875"/>
    </row>
    <row r="876" spans="1:17">
      <c r="A876"/>
      <c r="B876"/>
      <c r="E876"/>
      <c r="F876"/>
      <c r="G876"/>
      <c r="H876"/>
      <c r="I876"/>
      <c r="J876"/>
      <c r="K876"/>
      <c r="L876"/>
      <c r="M876"/>
      <c r="N876"/>
      <c r="O876"/>
      <c r="P876"/>
      <c r="Q876"/>
    </row>
    <row r="877" spans="1:17">
      <c r="A877"/>
      <c r="B877"/>
      <c r="E877"/>
      <c r="F877"/>
      <c r="G877"/>
      <c r="H877"/>
      <c r="I877"/>
      <c r="J877"/>
      <c r="K877"/>
      <c r="L877"/>
      <c r="M877"/>
      <c r="N877"/>
      <c r="O877"/>
      <c r="P877"/>
      <c r="Q877"/>
    </row>
    <row r="878" spans="1:17">
      <c r="A878"/>
      <c r="B878"/>
      <c r="E878"/>
      <c r="F878"/>
      <c r="G878"/>
      <c r="H878"/>
      <c r="I878"/>
      <c r="J878"/>
      <c r="K878"/>
      <c r="L878"/>
      <c r="M878"/>
      <c r="N878"/>
      <c r="O878"/>
      <c r="P878"/>
      <c r="Q878"/>
    </row>
    <row r="879" spans="1:17">
      <c r="A879"/>
      <c r="B879"/>
      <c r="E879"/>
      <c r="F879"/>
      <c r="G879"/>
      <c r="H879"/>
      <c r="I879"/>
      <c r="J879"/>
      <c r="K879"/>
      <c r="L879"/>
      <c r="M879"/>
      <c r="N879"/>
      <c r="O879"/>
      <c r="P879"/>
      <c r="Q879"/>
    </row>
    <row r="880" spans="1:17">
      <c r="A880"/>
      <c r="B880"/>
      <c r="E880"/>
      <c r="F880"/>
      <c r="G880"/>
      <c r="H880"/>
      <c r="I880"/>
      <c r="J880"/>
      <c r="K880"/>
      <c r="L880"/>
      <c r="M880"/>
      <c r="N880"/>
      <c r="O880"/>
      <c r="P880"/>
      <c r="Q880"/>
    </row>
    <row r="881" spans="1:17">
      <c r="A881"/>
      <c r="B881"/>
      <c r="E881"/>
      <c r="F881"/>
      <c r="G881"/>
      <c r="H881"/>
      <c r="I881"/>
      <c r="J881"/>
      <c r="K881"/>
      <c r="L881"/>
      <c r="M881"/>
      <c r="N881"/>
      <c r="O881"/>
      <c r="P881"/>
      <c r="Q881"/>
    </row>
    <row r="882" spans="1:17">
      <c r="A882"/>
      <c r="B882"/>
      <c r="E882"/>
      <c r="F882"/>
      <c r="G882"/>
      <c r="H882"/>
      <c r="I882"/>
      <c r="J882"/>
      <c r="K882"/>
      <c r="L882"/>
      <c r="M882"/>
      <c r="N882"/>
      <c r="O882"/>
      <c r="P882"/>
      <c r="Q882"/>
    </row>
    <row r="883" spans="1:17">
      <c r="A883"/>
      <c r="B883"/>
      <c r="E883"/>
      <c r="F883"/>
      <c r="G883"/>
      <c r="H883"/>
      <c r="I883"/>
      <c r="J883"/>
      <c r="K883"/>
      <c r="L883"/>
      <c r="M883"/>
      <c r="N883"/>
      <c r="O883"/>
      <c r="P883"/>
      <c r="Q883"/>
    </row>
    <row r="884" spans="1:17">
      <c r="A884"/>
      <c r="B884"/>
      <c r="E884"/>
      <c r="F884"/>
      <c r="G884"/>
      <c r="H884"/>
      <c r="I884"/>
      <c r="J884"/>
      <c r="K884"/>
      <c r="L884"/>
      <c r="M884"/>
      <c r="N884"/>
      <c r="O884"/>
      <c r="P884"/>
      <c r="Q884"/>
    </row>
    <row r="885" spans="1:17">
      <c r="A885"/>
      <c r="B885"/>
      <c r="E885"/>
      <c r="F885"/>
      <c r="G885"/>
      <c r="H885"/>
      <c r="I885"/>
      <c r="J885"/>
      <c r="K885"/>
      <c r="L885"/>
      <c r="M885"/>
      <c r="N885"/>
      <c r="O885"/>
      <c r="P885"/>
      <c r="Q885"/>
    </row>
    <row r="886" spans="1:17">
      <c r="A886"/>
      <c r="B886"/>
      <c r="E886"/>
      <c r="F886"/>
      <c r="G886"/>
      <c r="H886"/>
      <c r="I886"/>
      <c r="J886"/>
      <c r="K886"/>
      <c r="L886"/>
      <c r="M886"/>
      <c r="N886"/>
      <c r="O886"/>
      <c r="P886"/>
      <c r="Q886"/>
    </row>
    <row r="887" spans="1:17">
      <c r="A887"/>
      <c r="B887"/>
      <c r="E887"/>
      <c r="F887"/>
      <c r="G887"/>
      <c r="H887"/>
      <c r="I887"/>
      <c r="J887"/>
      <c r="K887"/>
      <c r="L887"/>
      <c r="M887"/>
      <c r="N887"/>
      <c r="O887"/>
      <c r="P887"/>
      <c r="Q887"/>
    </row>
    <row r="888" spans="1:17">
      <c r="A888"/>
      <c r="B888"/>
      <c r="E888"/>
      <c r="F888"/>
      <c r="G888"/>
      <c r="H888"/>
      <c r="I888"/>
      <c r="J888"/>
      <c r="K888"/>
      <c r="L888"/>
      <c r="M888"/>
      <c r="N888"/>
      <c r="O888"/>
      <c r="P888"/>
      <c r="Q888"/>
    </row>
    <row r="889" spans="1:17">
      <c r="A889"/>
      <c r="B889"/>
      <c r="E889"/>
      <c r="F889"/>
      <c r="G889"/>
      <c r="H889"/>
      <c r="I889"/>
      <c r="J889"/>
      <c r="K889"/>
      <c r="L889"/>
      <c r="M889"/>
      <c r="N889"/>
      <c r="O889"/>
      <c r="P889"/>
      <c r="Q889"/>
    </row>
    <row r="890" spans="1:17">
      <c r="A890"/>
      <c r="B890"/>
      <c r="E890"/>
      <c r="F890"/>
      <c r="G890"/>
      <c r="H890"/>
      <c r="I890"/>
      <c r="J890"/>
      <c r="K890"/>
      <c r="L890"/>
      <c r="M890"/>
      <c r="N890"/>
      <c r="O890"/>
      <c r="P890"/>
      <c r="Q890"/>
    </row>
    <row r="891" spans="1:17">
      <c r="A891"/>
      <c r="B891"/>
      <c r="E891"/>
      <c r="F891"/>
      <c r="G891"/>
      <c r="H891"/>
      <c r="I891"/>
      <c r="J891"/>
      <c r="K891"/>
      <c r="L891"/>
      <c r="M891"/>
      <c r="N891"/>
      <c r="O891"/>
      <c r="P891"/>
      <c r="Q891"/>
    </row>
    <row r="892" spans="1:17">
      <c r="A892"/>
      <c r="B892"/>
      <c r="E892"/>
      <c r="F892"/>
      <c r="G892"/>
      <c r="H892"/>
      <c r="I892"/>
      <c r="J892"/>
      <c r="K892"/>
      <c r="L892"/>
      <c r="M892"/>
      <c r="N892"/>
      <c r="O892"/>
      <c r="P892"/>
      <c r="Q892"/>
    </row>
    <row r="893" spans="1:17">
      <c r="A893"/>
      <c r="B893"/>
      <c r="E893"/>
      <c r="F893"/>
      <c r="G893"/>
      <c r="H893"/>
      <c r="I893"/>
      <c r="J893"/>
      <c r="K893"/>
      <c r="L893"/>
      <c r="M893"/>
      <c r="N893"/>
      <c r="O893"/>
      <c r="P893"/>
      <c r="Q893"/>
    </row>
    <row r="894" spans="1:17">
      <c r="A894"/>
      <c r="B894"/>
      <c r="E894"/>
      <c r="F894"/>
      <c r="G894"/>
      <c r="H894"/>
      <c r="I894"/>
      <c r="J894"/>
      <c r="K894"/>
      <c r="L894"/>
      <c r="M894"/>
      <c r="N894"/>
      <c r="O894"/>
      <c r="P894"/>
      <c r="Q894"/>
    </row>
    <row r="895" spans="1:17">
      <c r="A895"/>
      <c r="B895"/>
      <c r="E895"/>
      <c r="F895"/>
      <c r="G895"/>
      <c r="H895"/>
      <c r="I895"/>
      <c r="J895"/>
      <c r="K895"/>
      <c r="L895"/>
      <c r="M895"/>
      <c r="N895"/>
      <c r="O895"/>
      <c r="P895"/>
      <c r="Q895"/>
    </row>
    <row r="896" spans="1:17">
      <c r="A896"/>
      <c r="B896"/>
      <c r="E896"/>
      <c r="F896"/>
      <c r="G896"/>
      <c r="H896"/>
      <c r="I896"/>
      <c r="J896"/>
      <c r="K896"/>
      <c r="L896"/>
      <c r="M896"/>
      <c r="N896"/>
      <c r="O896"/>
      <c r="P896"/>
      <c r="Q896"/>
    </row>
    <row r="897" spans="1:17">
      <c r="A897"/>
      <c r="B897"/>
      <c r="E897"/>
      <c r="F897"/>
      <c r="G897"/>
      <c r="H897"/>
      <c r="I897"/>
      <c r="J897"/>
      <c r="K897"/>
      <c r="L897"/>
      <c r="M897"/>
      <c r="N897"/>
      <c r="O897"/>
      <c r="P897"/>
      <c r="Q897"/>
    </row>
    <row r="898" spans="1:17">
      <c r="A898"/>
      <c r="B898"/>
      <c r="E898"/>
      <c r="F898"/>
      <c r="G898"/>
      <c r="H898"/>
      <c r="I898"/>
      <c r="J898"/>
      <c r="K898"/>
      <c r="L898"/>
      <c r="M898"/>
      <c r="N898"/>
      <c r="O898"/>
      <c r="P898"/>
      <c r="Q898"/>
    </row>
    <row r="899" spans="1:17">
      <c r="A899"/>
      <c r="B899"/>
      <c r="E899"/>
      <c r="F899"/>
      <c r="G899"/>
      <c r="H899"/>
      <c r="I899"/>
      <c r="J899"/>
      <c r="K899"/>
      <c r="L899"/>
      <c r="M899"/>
      <c r="N899"/>
      <c r="O899"/>
      <c r="P899"/>
      <c r="Q899"/>
    </row>
    <row r="900" spans="1:17">
      <c r="A900"/>
      <c r="B900"/>
      <c r="E900"/>
      <c r="F900"/>
      <c r="G900"/>
      <c r="H900"/>
      <c r="I900"/>
      <c r="J900"/>
      <c r="K900"/>
      <c r="L900"/>
      <c r="M900"/>
      <c r="N900"/>
      <c r="O900"/>
      <c r="P900"/>
      <c r="Q900"/>
    </row>
    <row r="901" spans="1:17">
      <c r="A901"/>
      <c r="B901"/>
      <c r="E901"/>
      <c r="F901"/>
      <c r="G901"/>
      <c r="H901"/>
      <c r="I901"/>
      <c r="J901"/>
      <c r="K901"/>
      <c r="L901"/>
      <c r="M901"/>
      <c r="N901"/>
      <c r="O901"/>
      <c r="P901"/>
      <c r="Q901"/>
    </row>
    <row r="902" spans="1:17">
      <c r="A902"/>
      <c r="B902"/>
      <c r="E902"/>
      <c r="F902"/>
      <c r="G902"/>
      <c r="H902"/>
      <c r="I902"/>
      <c r="J902"/>
      <c r="K902"/>
      <c r="L902"/>
      <c r="M902"/>
      <c r="N902"/>
      <c r="O902"/>
      <c r="P902"/>
      <c r="Q902"/>
    </row>
    <row r="903" spans="1:17">
      <c r="A903"/>
      <c r="B903"/>
      <c r="E903"/>
      <c r="F903"/>
      <c r="G903"/>
      <c r="H903"/>
      <c r="I903"/>
      <c r="J903"/>
      <c r="K903"/>
      <c r="L903"/>
      <c r="M903"/>
      <c r="N903"/>
      <c r="O903"/>
      <c r="P903"/>
      <c r="Q903"/>
    </row>
    <row r="904" spans="1:17">
      <c r="A904"/>
      <c r="B904"/>
      <c r="E904"/>
      <c r="F904"/>
      <c r="G904"/>
      <c r="H904"/>
      <c r="I904"/>
      <c r="J904"/>
      <c r="K904"/>
      <c r="L904"/>
      <c r="M904"/>
      <c r="N904"/>
      <c r="O904"/>
      <c r="P904"/>
      <c r="Q904"/>
    </row>
    <row r="905" spans="1:17">
      <c r="A905"/>
      <c r="B905"/>
      <c r="E905"/>
      <c r="F905"/>
      <c r="G905"/>
      <c r="H905"/>
      <c r="I905"/>
      <c r="J905"/>
      <c r="K905"/>
      <c r="L905"/>
      <c r="M905"/>
      <c r="N905"/>
      <c r="O905"/>
      <c r="P905"/>
      <c r="Q905"/>
    </row>
    <row r="906" spans="1:17">
      <c r="A906"/>
      <c r="B906"/>
      <c r="E906"/>
      <c r="F906"/>
      <c r="G906"/>
      <c r="H906"/>
      <c r="I906"/>
      <c r="J906"/>
      <c r="K906"/>
      <c r="L906"/>
      <c r="M906"/>
      <c r="N906"/>
      <c r="O906"/>
      <c r="P906"/>
      <c r="Q906"/>
    </row>
    <row r="907" spans="1:17">
      <c r="A907"/>
      <c r="B907"/>
      <c r="E907"/>
      <c r="F907"/>
      <c r="G907"/>
      <c r="H907"/>
      <c r="I907"/>
      <c r="J907"/>
      <c r="K907"/>
      <c r="L907"/>
      <c r="M907"/>
      <c r="N907"/>
      <c r="O907"/>
      <c r="P907"/>
      <c r="Q907"/>
    </row>
    <row r="908" spans="1:17">
      <c r="A908"/>
      <c r="B908"/>
      <c r="E908"/>
      <c r="F908"/>
      <c r="G908"/>
      <c r="H908"/>
      <c r="I908"/>
      <c r="J908"/>
      <c r="K908"/>
      <c r="L908"/>
      <c r="M908"/>
      <c r="N908"/>
      <c r="O908"/>
      <c r="P908"/>
      <c r="Q908"/>
    </row>
    <row r="909" spans="1:17">
      <c r="A909"/>
      <c r="B909"/>
      <c r="E909"/>
      <c r="F909"/>
      <c r="G909"/>
      <c r="H909"/>
      <c r="I909"/>
      <c r="J909"/>
      <c r="K909"/>
      <c r="L909"/>
      <c r="M909"/>
      <c r="N909"/>
      <c r="O909"/>
      <c r="P909"/>
      <c r="Q909"/>
    </row>
    <row r="910" spans="1:17">
      <c r="A910"/>
      <c r="B910"/>
      <c r="E910"/>
      <c r="F910"/>
      <c r="G910"/>
      <c r="H910"/>
      <c r="I910"/>
      <c r="J910"/>
      <c r="K910"/>
      <c r="L910"/>
      <c r="M910"/>
      <c r="N910"/>
      <c r="O910"/>
      <c r="P910"/>
      <c r="Q910"/>
    </row>
    <row r="911" spans="1:17">
      <c r="A911"/>
      <c r="B911"/>
      <c r="E911"/>
      <c r="F911"/>
      <c r="G911"/>
      <c r="H911"/>
      <c r="I911"/>
      <c r="J911"/>
      <c r="K911"/>
      <c r="L911"/>
      <c r="M911"/>
      <c r="N911"/>
      <c r="O911"/>
      <c r="P911"/>
      <c r="Q911"/>
    </row>
    <row r="912" spans="1:17">
      <c r="A912"/>
      <c r="B912"/>
      <c r="E912"/>
      <c r="F912"/>
      <c r="G912"/>
      <c r="H912"/>
      <c r="I912"/>
      <c r="J912"/>
      <c r="K912"/>
      <c r="L912"/>
      <c r="M912"/>
      <c r="N912"/>
      <c r="O912"/>
      <c r="P912"/>
      <c r="Q912"/>
    </row>
    <row r="913" spans="1:17">
      <c r="A913"/>
      <c r="B913"/>
      <c r="E913"/>
      <c r="F913"/>
      <c r="G913"/>
      <c r="H913"/>
      <c r="I913"/>
      <c r="J913"/>
      <c r="K913"/>
      <c r="L913"/>
      <c r="M913"/>
      <c r="N913"/>
      <c r="O913"/>
      <c r="P913"/>
      <c r="Q913"/>
    </row>
    <row r="914" spans="1:17">
      <c r="A914"/>
      <c r="B914"/>
      <c r="E914"/>
      <c r="F914"/>
      <c r="G914"/>
      <c r="H914"/>
      <c r="I914"/>
      <c r="J914"/>
      <c r="K914"/>
      <c r="L914"/>
      <c r="M914"/>
      <c r="N914"/>
      <c r="O914"/>
      <c r="P914"/>
      <c r="Q914"/>
    </row>
    <row r="915" spans="1:17">
      <c r="A915"/>
      <c r="B915"/>
      <c r="E915"/>
      <c r="F915"/>
      <c r="G915"/>
      <c r="H915"/>
      <c r="I915"/>
      <c r="J915"/>
      <c r="K915"/>
      <c r="L915"/>
      <c r="M915"/>
      <c r="N915"/>
      <c r="O915"/>
      <c r="P915"/>
      <c r="Q915"/>
    </row>
    <row r="916" spans="1:17">
      <c r="A916"/>
      <c r="B916"/>
      <c r="E916"/>
      <c r="F916"/>
      <c r="G916"/>
      <c r="H916"/>
      <c r="I916"/>
      <c r="J916"/>
      <c r="K916"/>
      <c r="L916"/>
      <c r="M916"/>
      <c r="N916"/>
      <c r="O916"/>
      <c r="P916"/>
      <c r="Q916"/>
    </row>
    <row r="917" spans="1:17">
      <c r="A917"/>
      <c r="B917"/>
      <c r="E917"/>
      <c r="F917"/>
      <c r="G917"/>
      <c r="H917"/>
      <c r="I917"/>
      <c r="J917"/>
      <c r="K917"/>
      <c r="L917"/>
      <c r="M917"/>
      <c r="N917"/>
      <c r="O917"/>
      <c r="P917"/>
      <c r="Q917"/>
    </row>
    <row r="918" spans="1:17">
      <c r="A918"/>
      <c r="B918"/>
      <c r="E918"/>
      <c r="F918"/>
      <c r="G918"/>
      <c r="H918"/>
      <c r="I918"/>
      <c r="J918"/>
      <c r="K918"/>
      <c r="L918"/>
      <c r="M918"/>
      <c r="N918"/>
      <c r="O918"/>
      <c r="P918"/>
      <c r="Q918"/>
    </row>
    <row r="919" spans="1:17">
      <c r="A919"/>
      <c r="B919"/>
      <c r="E919"/>
      <c r="F919"/>
      <c r="G919"/>
      <c r="H919"/>
      <c r="I919"/>
      <c r="J919"/>
      <c r="K919"/>
      <c r="L919"/>
      <c r="M919"/>
      <c r="N919"/>
      <c r="O919"/>
      <c r="P919"/>
      <c r="Q919"/>
    </row>
    <row r="920" spans="1:17">
      <c r="A920"/>
      <c r="B920"/>
      <c r="E920"/>
      <c r="F920"/>
      <c r="G920"/>
      <c r="H920"/>
      <c r="I920"/>
      <c r="J920"/>
      <c r="K920"/>
      <c r="L920"/>
      <c r="M920"/>
      <c r="N920"/>
      <c r="O920"/>
      <c r="P920"/>
      <c r="Q920"/>
    </row>
    <row r="921" spans="1:17">
      <c r="A921"/>
      <c r="B921"/>
      <c r="E921"/>
      <c r="F921"/>
      <c r="G921"/>
      <c r="H921"/>
      <c r="I921"/>
      <c r="J921"/>
      <c r="K921"/>
      <c r="L921"/>
      <c r="M921"/>
      <c r="N921"/>
      <c r="O921"/>
      <c r="P921"/>
      <c r="Q921"/>
    </row>
    <row r="922" spans="1:17">
      <c r="A922"/>
      <c r="B922"/>
      <c r="E922"/>
      <c r="F922"/>
      <c r="G922"/>
      <c r="H922"/>
      <c r="I922"/>
      <c r="J922"/>
      <c r="K922"/>
      <c r="L922"/>
      <c r="M922"/>
      <c r="N922"/>
      <c r="O922"/>
      <c r="P922"/>
      <c r="Q922"/>
    </row>
    <row r="923" spans="1:17">
      <c r="A923"/>
      <c r="B923"/>
      <c r="E923"/>
      <c r="F923"/>
      <c r="G923"/>
      <c r="H923"/>
      <c r="I923"/>
      <c r="J923"/>
      <c r="K923"/>
      <c r="L923"/>
      <c r="M923"/>
      <c r="N923"/>
      <c r="O923"/>
      <c r="P923"/>
      <c r="Q923"/>
    </row>
    <row r="924" spans="1:17">
      <c r="A924"/>
      <c r="B924"/>
      <c r="E924"/>
      <c r="F924"/>
      <c r="G924"/>
      <c r="H924"/>
      <c r="I924"/>
      <c r="J924"/>
      <c r="K924"/>
      <c r="L924"/>
      <c r="M924"/>
      <c r="N924"/>
      <c r="O924"/>
      <c r="P924"/>
      <c r="Q924"/>
    </row>
    <row r="925" spans="1:17">
      <c r="A925"/>
      <c r="B925"/>
      <c r="E925"/>
      <c r="F925"/>
      <c r="G925"/>
      <c r="H925"/>
      <c r="I925"/>
      <c r="J925"/>
      <c r="K925"/>
      <c r="L925"/>
      <c r="M925"/>
      <c r="N925"/>
      <c r="O925"/>
      <c r="P925"/>
      <c r="Q925"/>
    </row>
    <row r="926" spans="1:17">
      <c r="A926"/>
      <c r="B926"/>
      <c r="E926"/>
      <c r="F926"/>
      <c r="G926"/>
      <c r="H926"/>
      <c r="I926"/>
      <c r="J926"/>
      <c r="K926"/>
      <c r="L926"/>
      <c r="M926"/>
      <c r="N926"/>
      <c r="O926"/>
      <c r="P926"/>
      <c r="Q926"/>
    </row>
    <row r="927" spans="1:17">
      <c r="A927"/>
      <c r="B927"/>
      <c r="E927"/>
      <c r="F927"/>
      <c r="G927"/>
      <c r="H927"/>
      <c r="I927"/>
      <c r="J927"/>
      <c r="K927"/>
      <c r="L927"/>
      <c r="M927"/>
      <c r="N927"/>
      <c r="O927"/>
      <c r="P927"/>
      <c r="Q927"/>
    </row>
    <row r="928" spans="1:17">
      <c r="A928"/>
      <c r="B928"/>
      <c r="E928"/>
      <c r="F928"/>
      <c r="G928"/>
      <c r="H928"/>
      <c r="I928"/>
      <c r="J928"/>
      <c r="K928"/>
      <c r="L928"/>
      <c r="M928"/>
      <c r="N928"/>
      <c r="O928"/>
      <c r="P928"/>
      <c r="Q928"/>
    </row>
    <row r="929" spans="1:17">
      <c r="A929"/>
      <c r="B929"/>
      <c r="E929"/>
      <c r="F929"/>
      <c r="G929"/>
      <c r="H929"/>
      <c r="I929"/>
      <c r="J929"/>
      <c r="K929"/>
      <c r="L929"/>
      <c r="M929"/>
      <c r="N929"/>
      <c r="O929"/>
      <c r="P929"/>
      <c r="Q929"/>
    </row>
    <row r="930" spans="1:17">
      <c r="A930"/>
      <c r="B930"/>
      <c r="E930"/>
      <c r="F930"/>
      <c r="G930"/>
      <c r="H930"/>
      <c r="I930"/>
      <c r="J930"/>
      <c r="K930"/>
      <c r="L930"/>
      <c r="M930"/>
      <c r="N930"/>
      <c r="O930"/>
      <c r="P930"/>
      <c r="Q930"/>
    </row>
    <row r="931" spans="1:17">
      <c r="A931"/>
      <c r="B931"/>
      <c r="E931"/>
      <c r="F931"/>
      <c r="G931"/>
      <c r="H931"/>
      <c r="I931"/>
      <c r="J931"/>
      <c r="K931"/>
      <c r="L931"/>
      <c r="M931"/>
      <c r="N931"/>
      <c r="O931"/>
      <c r="P931"/>
      <c r="Q931"/>
    </row>
    <row r="932" spans="1:17">
      <c r="A932"/>
      <c r="B932"/>
      <c r="E932"/>
      <c r="F932"/>
      <c r="G932"/>
      <c r="H932"/>
      <c r="I932"/>
      <c r="J932"/>
      <c r="K932"/>
      <c r="L932"/>
      <c r="M932"/>
      <c r="N932"/>
      <c r="O932"/>
      <c r="P932"/>
      <c r="Q932"/>
    </row>
    <row r="933" spans="1:17">
      <c r="A933"/>
      <c r="B933"/>
      <c r="E933"/>
      <c r="F933"/>
      <c r="G933"/>
      <c r="H933"/>
      <c r="I933"/>
      <c r="J933"/>
      <c r="K933"/>
      <c r="L933"/>
      <c r="M933"/>
      <c r="N933"/>
      <c r="O933"/>
      <c r="P933"/>
      <c r="Q933"/>
    </row>
    <row r="934" spans="1:17">
      <c r="A934"/>
      <c r="B934"/>
      <c r="E934"/>
      <c r="F934"/>
      <c r="G934"/>
      <c r="H934"/>
      <c r="I934"/>
      <c r="J934"/>
      <c r="K934"/>
      <c r="L934"/>
      <c r="M934"/>
      <c r="N934"/>
      <c r="O934"/>
      <c r="P934"/>
      <c r="Q934"/>
    </row>
    <row r="935" spans="1:17">
      <c r="A935"/>
      <c r="B935"/>
      <c r="E935"/>
      <c r="F935"/>
      <c r="G935"/>
      <c r="H935"/>
      <c r="I935"/>
      <c r="J935"/>
      <c r="K935"/>
      <c r="L935"/>
      <c r="M935"/>
      <c r="N935"/>
      <c r="O935"/>
      <c r="P935"/>
      <c r="Q935"/>
    </row>
    <row r="936" spans="1:17">
      <c r="A936"/>
      <c r="B936"/>
      <c r="E936"/>
      <c r="F936"/>
      <c r="G936"/>
      <c r="H936"/>
      <c r="I936"/>
      <c r="J936"/>
      <c r="K936"/>
      <c r="L936"/>
      <c r="M936"/>
      <c r="N936"/>
      <c r="O936"/>
      <c r="P936"/>
      <c r="Q936"/>
    </row>
    <row r="937" spans="1:17">
      <c r="A937"/>
      <c r="B937"/>
      <c r="E937"/>
      <c r="F937"/>
      <c r="G937"/>
      <c r="H937"/>
      <c r="I937"/>
      <c r="J937"/>
      <c r="K937"/>
      <c r="L937"/>
      <c r="M937"/>
      <c r="N937"/>
      <c r="O937"/>
      <c r="P937"/>
      <c r="Q937"/>
    </row>
    <row r="938" spans="1:17">
      <c r="A938"/>
      <c r="B938"/>
      <c r="E938"/>
      <c r="F938"/>
      <c r="G938"/>
      <c r="H938"/>
      <c r="I938"/>
      <c r="J938"/>
      <c r="K938"/>
      <c r="L938"/>
      <c r="M938"/>
      <c r="N938"/>
      <c r="O938"/>
      <c r="P938"/>
      <c r="Q938"/>
    </row>
    <row r="939" spans="1:17">
      <c r="A939"/>
      <c r="B939"/>
      <c r="E939"/>
      <c r="F939"/>
      <c r="G939"/>
      <c r="H939"/>
      <c r="I939"/>
      <c r="J939"/>
      <c r="K939"/>
      <c r="L939"/>
      <c r="M939"/>
      <c r="N939"/>
      <c r="O939"/>
      <c r="P939"/>
      <c r="Q939"/>
    </row>
    <row r="940" spans="1:17">
      <c r="A940"/>
      <c r="B940"/>
      <c r="E940"/>
      <c r="F940"/>
      <c r="G940"/>
      <c r="H940"/>
      <c r="I940"/>
      <c r="J940"/>
      <c r="K940"/>
      <c r="L940"/>
      <c r="M940"/>
      <c r="N940"/>
      <c r="O940"/>
      <c r="P940"/>
      <c r="Q940"/>
    </row>
    <row r="941" spans="1:17">
      <c r="A941"/>
      <c r="B941"/>
      <c r="E941"/>
      <c r="F941"/>
      <c r="G941"/>
      <c r="H941"/>
      <c r="I941"/>
      <c r="J941"/>
      <c r="K941"/>
      <c r="L941"/>
      <c r="M941"/>
      <c r="N941"/>
      <c r="O941"/>
      <c r="P941"/>
      <c r="Q941"/>
    </row>
    <row r="942" spans="1:17">
      <c r="A942"/>
      <c r="B942"/>
      <c r="E942"/>
      <c r="F942"/>
      <c r="G942"/>
      <c r="H942"/>
      <c r="I942"/>
      <c r="J942"/>
      <c r="K942"/>
      <c r="L942"/>
      <c r="M942"/>
      <c r="N942"/>
      <c r="O942"/>
      <c r="P942"/>
      <c r="Q942"/>
    </row>
    <row r="943" spans="1:17">
      <c r="A943"/>
      <c r="B943"/>
      <c r="E943"/>
      <c r="F943"/>
      <c r="G943"/>
      <c r="H943"/>
      <c r="I943"/>
      <c r="J943"/>
      <c r="K943"/>
      <c r="L943"/>
      <c r="M943"/>
      <c r="N943"/>
      <c r="O943"/>
      <c r="P943"/>
      <c r="Q943"/>
    </row>
    <row r="944" spans="1:17">
      <c r="A944"/>
      <c r="B944"/>
      <c r="E944"/>
      <c r="F944"/>
      <c r="G944"/>
      <c r="H944"/>
      <c r="I944"/>
      <c r="J944"/>
      <c r="K944"/>
      <c r="L944"/>
      <c r="M944"/>
      <c r="N944"/>
      <c r="O944"/>
      <c r="P944"/>
      <c r="Q944"/>
    </row>
    <row r="945" spans="1:17">
      <c r="A945"/>
      <c r="B945"/>
      <c r="E945"/>
      <c r="F945"/>
      <c r="G945"/>
      <c r="H945"/>
      <c r="I945"/>
      <c r="J945"/>
      <c r="K945"/>
      <c r="L945"/>
      <c r="M945"/>
      <c r="N945"/>
      <c r="O945"/>
      <c r="P945"/>
      <c r="Q945"/>
    </row>
    <row r="946" spans="1:17">
      <c r="A946"/>
      <c r="B946"/>
      <c r="E946"/>
      <c r="F946"/>
      <c r="G946"/>
      <c r="H946"/>
      <c r="I946"/>
      <c r="J946"/>
      <c r="K946"/>
      <c r="L946"/>
      <c r="M946"/>
      <c r="N946"/>
      <c r="O946"/>
      <c r="P946"/>
      <c r="Q946"/>
    </row>
    <row r="947" spans="1:17">
      <c r="A947"/>
      <c r="B947"/>
      <c r="E947"/>
      <c r="F947"/>
      <c r="G947"/>
      <c r="H947"/>
      <c r="I947"/>
      <c r="J947"/>
      <c r="K947"/>
      <c r="L947"/>
      <c r="M947"/>
      <c r="N947"/>
      <c r="O947"/>
      <c r="P947"/>
      <c r="Q947"/>
    </row>
    <row r="948" spans="1:17">
      <c r="A948"/>
      <c r="B948"/>
      <c r="E948"/>
      <c r="F948"/>
      <c r="G948"/>
      <c r="H948"/>
      <c r="I948"/>
      <c r="J948"/>
      <c r="K948"/>
      <c r="L948"/>
      <c r="M948"/>
      <c r="N948"/>
      <c r="O948"/>
      <c r="P948"/>
      <c r="Q948"/>
    </row>
    <row r="949" spans="1:17">
      <c r="A949"/>
      <c r="B949"/>
      <c r="E949"/>
      <c r="F949"/>
      <c r="G949"/>
      <c r="H949"/>
      <c r="I949"/>
      <c r="J949"/>
      <c r="K949"/>
      <c r="L949"/>
      <c r="M949"/>
      <c r="N949"/>
      <c r="O949"/>
      <c r="P949"/>
      <c r="Q949"/>
    </row>
    <row r="950" spans="1:17">
      <c r="A950"/>
      <c r="B950"/>
      <c r="E950"/>
      <c r="F950"/>
      <c r="G950"/>
      <c r="H950"/>
      <c r="I950"/>
      <c r="J950"/>
      <c r="K950"/>
      <c r="L950"/>
      <c r="M950"/>
      <c r="N950"/>
      <c r="O950"/>
      <c r="P950"/>
      <c r="Q950"/>
    </row>
    <row r="951" spans="1:17">
      <c r="A951"/>
      <c r="B951"/>
      <c r="E951"/>
      <c r="F951"/>
      <c r="G951"/>
      <c r="H951"/>
      <c r="I951"/>
      <c r="J951"/>
      <c r="K951"/>
      <c r="L951"/>
      <c r="M951"/>
      <c r="N951"/>
      <c r="O951"/>
      <c r="P951"/>
      <c r="Q951"/>
    </row>
    <row r="952" spans="1:17">
      <c r="A952"/>
      <c r="B952"/>
      <c r="E952"/>
      <c r="F952"/>
      <c r="G952"/>
      <c r="H952"/>
      <c r="I952"/>
      <c r="J952"/>
      <c r="K952"/>
      <c r="L952"/>
      <c r="M952"/>
      <c r="N952"/>
      <c r="O952"/>
      <c r="P952"/>
      <c r="Q952"/>
    </row>
    <row r="953" spans="1:17">
      <c r="A953"/>
      <c r="B953"/>
      <c r="E953"/>
      <c r="F953"/>
      <c r="G953"/>
      <c r="H953"/>
      <c r="I953"/>
      <c r="J953"/>
      <c r="K953"/>
      <c r="L953"/>
      <c r="M953"/>
      <c r="N953"/>
      <c r="O953"/>
      <c r="P953"/>
      <c r="Q953"/>
    </row>
    <row r="954" spans="1:17">
      <c r="A954"/>
      <c r="B954"/>
      <c r="E954"/>
      <c r="F954"/>
      <c r="G954"/>
      <c r="H954"/>
      <c r="I954"/>
      <c r="J954"/>
      <c r="K954"/>
      <c r="L954"/>
      <c r="M954"/>
      <c r="N954"/>
      <c r="O954"/>
      <c r="P954"/>
      <c r="Q954"/>
    </row>
    <row r="955" spans="1:17">
      <c r="A955"/>
      <c r="B955"/>
      <c r="E955"/>
      <c r="F955"/>
      <c r="G955"/>
      <c r="H955"/>
      <c r="I955"/>
      <c r="J955"/>
      <c r="K955"/>
      <c r="L955"/>
      <c r="M955"/>
      <c r="N955"/>
      <c r="O955"/>
      <c r="P955"/>
      <c r="Q955"/>
    </row>
    <row r="956" spans="1:17">
      <c r="A956"/>
      <c r="B956"/>
      <c r="E956"/>
      <c r="F956"/>
      <c r="G956"/>
      <c r="H956"/>
      <c r="I956"/>
      <c r="J956"/>
      <c r="K956"/>
      <c r="L956"/>
      <c r="M956"/>
      <c r="N956"/>
      <c r="O956"/>
      <c r="P956"/>
      <c r="Q956"/>
    </row>
    <row r="957" spans="1:17">
      <c r="A957"/>
      <c r="B957"/>
      <c r="E957"/>
      <c r="F957"/>
      <c r="G957"/>
      <c r="H957"/>
      <c r="I957"/>
      <c r="J957"/>
      <c r="K957"/>
      <c r="L957"/>
      <c r="M957"/>
      <c r="N957"/>
      <c r="O957"/>
      <c r="P957"/>
      <c r="Q957"/>
    </row>
    <row r="958" spans="1:17">
      <c r="A958"/>
      <c r="B958"/>
      <c r="E958"/>
      <c r="F958"/>
      <c r="G958"/>
      <c r="H958"/>
      <c r="I958"/>
      <c r="J958"/>
      <c r="K958"/>
      <c r="L958"/>
      <c r="M958"/>
      <c r="N958"/>
      <c r="O958"/>
      <c r="P958"/>
      <c r="Q958"/>
    </row>
    <row r="959" spans="1:17">
      <c r="A959"/>
      <c r="B959"/>
      <c r="E959"/>
      <c r="F959"/>
      <c r="G959"/>
      <c r="H959"/>
      <c r="I959"/>
      <c r="J959"/>
      <c r="K959"/>
      <c r="L959"/>
      <c r="M959"/>
      <c r="N959"/>
      <c r="O959"/>
      <c r="P959"/>
      <c r="Q959"/>
    </row>
    <row r="960" spans="1:17">
      <c r="A960"/>
      <c r="B960"/>
      <c r="E960"/>
      <c r="F960"/>
      <c r="G960"/>
      <c r="H960"/>
      <c r="I960"/>
      <c r="J960"/>
      <c r="K960"/>
      <c r="L960"/>
      <c r="M960"/>
      <c r="N960"/>
      <c r="O960"/>
      <c r="P960"/>
      <c r="Q960"/>
    </row>
    <row r="961" spans="1:17">
      <c r="A961"/>
      <c r="B961"/>
      <c r="E961"/>
      <c r="F961"/>
      <c r="G961"/>
      <c r="H961"/>
      <c r="I961"/>
      <c r="J961"/>
      <c r="K961"/>
      <c r="L961"/>
      <c r="M961"/>
      <c r="N961"/>
      <c r="O961"/>
      <c r="P961"/>
      <c r="Q961"/>
    </row>
    <row r="962" spans="1:17">
      <c r="A962"/>
      <c r="B962"/>
      <c r="E962"/>
      <c r="F962"/>
      <c r="G962"/>
      <c r="H962"/>
      <c r="I962"/>
      <c r="J962"/>
      <c r="K962"/>
      <c r="L962"/>
      <c r="M962"/>
      <c r="N962"/>
      <c r="O962"/>
      <c r="P962"/>
      <c r="Q962"/>
    </row>
    <row r="963" spans="1:17">
      <c r="A963"/>
      <c r="B963"/>
      <c r="E963"/>
      <c r="F963"/>
      <c r="G963"/>
      <c r="H963"/>
      <c r="I963"/>
      <c r="J963"/>
      <c r="K963"/>
      <c r="L963"/>
      <c r="M963"/>
      <c r="N963"/>
      <c r="O963"/>
      <c r="P963"/>
      <c r="Q963"/>
    </row>
    <row r="964" spans="1:17">
      <c r="A964"/>
      <c r="B964"/>
      <c r="E964"/>
      <c r="F964"/>
      <c r="G964"/>
      <c r="H964"/>
      <c r="I964"/>
      <c r="J964"/>
      <c r="K964"/>
      <c r="L964"/>
      <c r="M964"/>
      <c r="N964"/>
      <c r="O964"/>
      <c r="P964"/>
      <c r="Q964"/>
    </row>
    <row r="965" spans="1:17">
      <c r="A965"/>
      <c r="B965"/>
      <c r="E965"/>
      <c r="F965"/>
      <c r="G965"/>
      <c r="H965"/>
      <c r="I965"/>
      <c r="J965"/>
      <c r="K965"/>
      <c r="L965"/>
      <c r="M965"/>
      <c r="N965"/>
      <c r="O965"/>
      <c r="P965"/>
      <c r="Q965"/>
    </row>
    <row r="966" spans="1:17">
      <c r="A966"/>
      <c r="B966"/>
      <c r="E966"/>
      <c r="F966"/>
      <c r="G966"/>
      <c r="H966"/>
      <c r="I966"/>
      <c r="J966"/>
      <c r="K966"/>
      <c r="L966"/>
      <c r="M966"/>
      <c r="N966"/>
      <c r="O966"/>
      <c r="P966"/>
      <c r="Q966"/>
    </row>
    <row r="967" spans="1:17">
      <c r="A967"/>
      <c r="B967"/>
      <c r="E967"/>
      <c r="F967"/>
      <c r="G967"/>
      <c r="H967"/>
      <c r="I967"/>
      <c r="J967"/>
      <c r="K967"/>
      <c r="L967"/>
      <c r="M967"/>
      <c r="N967"/>
      <c r="O967"/>
      <c r="P967"/>
      <c r="Q967"/>
    </row>
    <row r="968" spans="1:17">
      <c r="A968"/>
      <c r="B968"/>
      <c r="E968"/>
      <c r="F968"/>
      <c r="G968"/>
      <c r="H968"/>
      <c r="I968"/>
      <c r="J968"/>
      <c r="K968"/>
      <c r="L968"/>
      <c r="M968"/>
      <c r="N968"/>
      <c r="O968"/>
      <c r="P968"/>
      <c r="Q968"/>
    </row>
    <row r="969" spans="1:17">
      <c r="A969"/>
      <c r="B969"/>
      <c r="E969"/>
      <c r="F969"/>
      <c r="G969"/>
      <c r="H969"/>
      <c r="I969"/>
      <c r="J969"/>
      <c r="K969"/>
      <c r="L969"/>
      <c r="M969"/>
      <c r="N969"/>
      <c r="O969"/>
      <c r="P969"/>
      <c r="Q969"/>
    </row>
    <row r="970" spans="1:17">
      <c r="A970"/>
      <c r="B970"/>
      <c r="E970"/>
      <c r="F970"/>
      <c r="G970"/>
      <c r="H970"/>
      <c r="I970"/>
      <c r="J970"/>
      <c r="K970"/>
      <c r="L970"/>
      <c r="M970"/>
      <c r="N970"/>
      <c r="O970"/>
      <c r="P970"/>
      <c r="Q970"/>
    </row>
    <row r="971" spans="1:17">
      <c r="A971"/>
      <c r="B971"/>
      <c r="E971"/>
      <c r="F971"/>
      <c r="G971"/>
      <c r="H971"/>
      <c r="I971"/>
      <c r="J971"/>
      <c r="K971"/>
      <c r="L971"/>
      <c r="M971"/>
      <c r="N971"/>
      <c r="O971"/>
      <c r="P971"/>
      <c r="Q971"/>
    </row>
    <row r="972" spans="1:17">
      <c r="A972"/>
      <c r="B972"/>
      <c r="E972"/>
      <c r="F972"/>
      <c r="G972"/>
      <c r="H972"/>
      <c r="I972"/>
      <c r="J972"/>
      <c r="K972"/>
      <c r="L972"/>
      <c r="M972"/>
      <c r="N972"/>
      <c r="O972"/>
      <c r="P972"/>
      <c r="Q972"/>
    </row>
    <row r="973" spans="1:17">
      <c r="A973"/>
      <c r="B973"/>
      <c r="E973"/>
      <c r="F973"/>
      <c r="G973"/>
      <c r="H973"/>
      <c r="I973"/>
      <c r="J973"/>
      <c r="K973"/>
      <c r="L973"/>
      <c r="M973"/>
      <c r="N973"/>
      <c r="O973"/>
      <c r="P973"/>
      <c r="Q973"/>
    </row>
    <row r="974" spans="1:17">
      <c r="A974"/>
      <c r="B974"/>
      <c r="E974"/>
      <c r="F974"/>
      <c r="G974"/>
      <c r="H974"/>
      <c r="I974"/>
      <c r="J974"/>
      <c r="K974"/>
      <c r="L974"/>
      <c r="M974"/>
      <c r="N974"/>
      <c r="O974"/>
      <c r="P974"/>
      <c r="Q974"/>
    </row>
    <row r="975" spans="1:17">
      <c r="A975"/>
      <c r="B975"/>
      <c r="E975"/>
      <c r="F975"/>
      <c r="G975"/>
      <c r="H975"/>
      <c r="I975"/>
      <c r="J975"/>
      <c r="K975"/>
      <c r="L975"/>
      <c r="M975"/>
      <c r="N975"/>
      <c r="O975"/>
      <c r="P975"/>
      <c r="Q975"/>
    </row>
    <row r="976" spans="1:17">
      <c r="A976"/>
      <c r="B976"/>
      <c r="E976"/>
      <c r="F976"/>
      <c r="G976"/>
      <c r="H976"/>
      <c r="I976"/>
      <c r="J976"/>
      <c r="K976"/>
      <c r="L976"/>
      <c r="M976"/>
      <c r="N976"/>
      <c r="O976"/>
      <c r="P976"/>
      <c r="Q976"/>
    </row>
    <row r="977" spans="1:17">
      <c r="A977"/>
      <c r="B977"/>
      <c r="E977"/>
      <c r="F977"/>
      <c r="G977"/>
      <c r="H977"/>
      <c r="I977"/>
      <c r="J977"/>
      <c r="K977"/>
      <c r="L977"/>
      <c r="M977"/>
      <c r="N977"/>
      <c r="O977"/>
      <c r="P977"/>
      <c r="Q977"/>
    </row>
    <row r="978" spans="1:17">
      <c r="A978"/>
      <c r="B978"/>
      <c r="E978"/>
      <c r="F978"/>
      <c r="G978"/>
      <c r="H978"/>
      <c r="I978"/>
      <c r="J978"/>
      <c r="K978"/>
      <c r="L978"/>
      <c r="M978"/>
      <c r="N978"/>
      <c r="O978"/>
      <c r="P978"/>
      <c r="Q978"/>
    </row>
    <row r="979" spans="1:17">
      <c r="A979"/>
      <c r="B979"/>
      <c r="E979"/>
      <c r="F979"/>
      <c r="G979"/>
      <c r="H979"/>
      <c r="I979"/>
      <c r="J979"/>
      <c r="K979"/>
      <c r="L979"/>
      <c r="M979"/>
      <c r="N979"/>
      <c r="O979"/>
      <c r="P979"/>
      <c r="Q979"/>
    </row>
    <row r="980" spans="1:17">
      <c r="A980"/>
      <c r="B980"/>
      <c r="E980"/>
      <c r="F980"/>
      <c r="G980"/>
      <c r="H980"/>
      <c r="I980"/>
      <c r="J980"/>
      <c r="K980"/>
      <c r="L980"/>
      <c r="M980"/>
      <c r="N980"/>
      <c r="O980"/>
      <c r="P980"/>
      <c r="Q980"/>
    </row>
    <row r="981" spans="1:17">
      <c r="A981"/>
      <c r="B981"/>
      <c r="E981"/>
      <c r="F981"/>
      <c r="G981"/>
      <c r="H981"/>
      <c r="I981"/>
      <c r="J981"/>
      <c r="K981"/>
      <c r="L981"/>
      <c r="M981"/>
      <c r="N981"/>
      <c r="O981"/>
      <c r="P981"/>
      <c r="Q981"/>
    </row>
    <row r="982" spans="1:17">
      <c r="A982"/>
      <c r="B982"/>
      <c r="E982"/>
      <c r="F982"/>
      <c r="G982"/>
      <c r="H982"/>
      <c r="I982"/>
      <c r="J982"/>
      <c r="K982"/>
      <c r="L982"/>
      <c r="M982"/>
      <c r="N982"/>
      <c r="O982"/>
      <c r="P982"/>
      <c r="Q982"/>
    </row>
    <row r="983" spans="1:17">
      <c r="A983"/>
      <c r="B983"/>
      <c r="E983"/>
      <c r="F983"/>
      <c r="G983"/>
      <c r="H983"/>
      <c r="I983"/>
      <c r="J983"/>
      <c r="K983"/>
      <c r="L983"/>
      <c r="M983"/>
      <c r="N983"/>
      <c r="O983"/>
      <c r="P983"/>
      <c r="Q983"/>
    </row>
    <row r="984" spans="1:17">
      <c r="A984"/>
      <c r="B984"/>
      <c r="E984"/>
      <c r="F984"/>
      <c r="G984"/>
      <c r="H984"/>
      <c r="I984"/>
      <c r="J984"/>
      <c r="K984"/>
      <c r="L984"/>
      <c r="M984"/>
      <c r="N984"/>
      <c r="O984"/>
      <c r="P984"/>
      <c r="Q984"/>
    </row>
    <row r="985" spans="1:17">
      <c r="A985"/>
      <c r="B985"/>
      <c r="E985"/>
      <c r="F985"/>
      <c r="G985"/>
      <c r="H985"/>
      <c r="I985"/>
      <c r="J985"/>
      <c r="K985"/>
      <c r="L985"/>
      <c r="M985"/>
      <c r="N985"/>
      <c r="O985"/>
      <c r="P985"/>
      <c r="Q985"/>
    </row>
    <row r="986" spans="1:17">
      <c r="A986"/>
      <c r="B986"/>
      <c r="E986"/>
      <c r="F986"/>
      <c r="G986"/>
      <c r="H986"/>
      <c r="I986"/>
      <c r="J986"/>
      <c r="K986"/>
      <c r="L986"/>
      <c r="M986"/>
      <c r="N986"/>
      <c r="O986"/>
      <c r="P986"/>
      <c r="Q986"/>
    </row>
    <row r="987" spans="1:17">
      <c r="A987"/>
      <c r="B987"/>
      <c r="E987"/>
      <c r="F987"/>
      <c r="G987"/>
      <c r="H987"/>
      <c r="I987"/>
      <c r="J987"/>
      <c r="K987"/>
      <c r="L987"/>
      <c r="M987"/>
      <c r="N987"/>
      <c r="O987"/>
      <c r="P987"/>
      <c r="Q987"/>
    </row>
    <row r="988" spans="1:17">
      <c r="A988"/>
      <c r="B988"/>
      <c r="E988"/>
      <c r="F988"/>
      <c r="G988"/>
      <c r="H988"/>
      <c r="I988"/>
      <c r="J988"/>
      <c r="K988"/>
      <c r="L988"/>
      <c r="M988"/>
      <c r="N988"/>
      <c r="O988"/>
      <c r="P988"/>
      <c r="Q988"/>
    </row>
    <row r="989" spans="1:17">
      <c r="A989"/>
      <c r="B989"/>
      <c r="E989"/>
      <c r="F989"/>
      <c r="G989"/>
      <c r="H989"/>
      <c r="I989"/>
      <c r="J989"/>
      <c r="K989"/>
      <c r="L989"/>
      <c r="M989"/>
      <c r="N989"/>
      <c r="O989"/>
      <c r="P989"/>
      <c r="Q989"/>
    </row>
    <row r="990" spans="1:17">
      <c r="A990"/>
      <c r="B990"/>
      <c r="E990"/>
      <c r="F990"/>
      <c r="G990"/>
      <c r="H990"/>
      <c r="I990"/>
      <c r="J990"/>
      <c r="K990"/>
      <c r="L990"/>
      <c r="M990"/>
      <c r="N990"/>
      <c r="O990"/>
      <c r="P990"/>
      <c r="Q990"/>
    </row>
    <row r="991" spans="1:17">
      <c r="A991"/>
      <c r="B991"/>
      <c r="E991"/>
      <c r="F991"/>
      <c r="G991"/>
      <c r="H991"/>
      <c r="I991"/>
      <c r="J991"/>
      <c r="K991"/>
      <c r="L991"/>
      <c r="M991"/>
      <c r="N991"/>
      <c r="O991"/>
      <c r="P991"/>
      <c r="Q991"/>
    </row>
    <row r="992" spans="1:17">
      <c r="A992"/>
      <c r="B992"/>
      <c r="E992"/>
      <c r="F992"/>
      <c r="G992"/>
      <c r="H992"/>
      <c r="I992"/>
      <c r="J992"/>
      <c r="K992"/>
      <c r="L992"/>
      <c r="M992"/>
      <c r="N992"/>
      <c r="O992"/>
      <c r="P992"/>
      <c r="Q992"/>
    </row>
    <row r="993" spans="1:17">
      <c r="A993"/>
      <c r="B993"/>
      <c r="E993"/>
      <c r="F993"/>
      <c r="G993"/>
      <c r="H993"/>
      <c r="I993"/>
      <c r="J993"/>
      <c r="K993"/>
      <c r="L993"/>
      <c r="M993"/>
      <c r="N993"/>
      <c r="O993"/>
      <c r="P993"/>
      <c r="Q993"/>
    </row>
    <row r="994" spans="1:17">
      <c r="A994"/>
      <c r="B994"/>
      <c r="E994"/>
      <c r="F994"/>
      <c r="G994"/>
      <c r="H994"/>
      <c r="I994"/>
      <c r="J994"/>
      <c r="K994"/>
      <c r="L994"/>
      <c r="M994"/>
      <c r="N994"/>
      <c r="O994"/>
      <c r="P994"/>
      <c r="Q994"/>
    </row>
    <row r="995" spans="1:17">
      <c r="A995"/>
      <c r="B995"/>
      <c r="E995"/>
      <c r="F995"/>
      <c r="G995"/>
      <c r="H995"/>
      <c r="I995"/>
      <c r="J995"/>
      <c r="K995"/>
      <c r="L995"/>
      <c r="M995"/>
      <c r="N995"/>
      <c r="O995"/>
      <c r="P995"/>
      <c r="Q995"/>
    </row>
    <row r="996" spans="1:17">
      <c r="A996"/>
      <c r="B996"/>
      <c r="E996"/>
      <c r="F996"/>
      <c r="G996"/>
      <c r="H996"/>
      <c r="I996"/>
      <c r="J996"/>
      <c r="K996"/>
      <c r="L996"/>
      <c r="M996"/>
      <c r="N996"/>
      <c r="O996"/>
      <c r="P996"/>
      <c r="Q996"/>
    </row>
    <row r="997" spans="1:17">
      <c r="A997"/>
      <c r="B997"/>
      <c r="E997"/>
      <c r="F997"/>
      <c r="G997"/>
      <c r="H997"/>
      <c r="I997"/>
      <c r="J997"/>
      <c r="K997"/>
      <c r="L997"/>
      <c r="M997"/>
      <c r="N997"/>
      <c r="O997"/>
      <c r="P997"/>
      <c r="Q997"/>
    </row>
    <row r="998" spans="1:17">
      <c r="A998"/>
      <c r="B998"/>
      <c r="E998"/>
      <c r="F998"/>
      <c r="G998"/>
      <c r="H998"/>
      <c r="I998"/>
      <c r="J998"/>
      <c r="K998"/>
      <c r="L998"/>
      <c r="M998"/>
      <c r="N998"/>
      <c r="O998"/>
      <c r="P998"/>
      <c r="Q998"/>
    </row>
    <row r="999" spans="1:17">
      <c r="A999"/>
      <c r="B999"/>
      <c r="E999"/>
      <c r="F999"/>
      <c r="G999"/>
      <c r="H999"/>
      <c r="I999"/>
      <c r="J999"/>
      <c r="K999"/>
      <c r="L999"/>
      <c r="M999"/>
      <c r="N999"/>
      <c r="O999"/>
      <c r="P999"/>
      <c r="Q999"/>
    </row>
    <row r="1000" spans="1:17">
      <c r="A1000"/>
      <c r="B1000"/>
      <c r="E1000"/>
      <c r="F1000"/>
      <c r="G1000"/>
      <c r="H1000"/>
      <c r="I1000"/>
      <c r="J1000"/>
      <c r="K1000"/>
      <c r="L1000"/>
      <c r="M1000"/>
      <c r="N1000"/>
      <c r="O1000"/>
      <c r="P1000"/>
      <c r="Q1000"/>
    </row>
    <row r="1001" spans="1:17">
      <c r="A1001"/>
      <c r="B1001"/>
      <c r="E1001"/>
      <c r="F1001"/>
      <c r="G1001"/>
      <c r="H1001"/>
      <c r="I1001"/>
      <c r="J1001"/>
      <c r="K1001"/>
      <c r="L1001"/>
      <c r="M1001"/>
      <c r="N1001"/>
      <c r="O1001"/>
      <c r="P1001"/>
      <c r="Q1001"/>
    </row>
    <row r="1002" spans="1:17">
      <c r="A1002"/>
      <c r="B1002"/>
    </row>
    <row r="1003" spans="1:17">
      <c r="A1003"/>
      <c r="B1003"/>
    </row>
    <row r="1004" spans="1:17">
      <c r="A1004"/>
      <c r="B1004"/>
    </row>
    <row r="1005" spans="1:17">
      <c r="A1005"/>
      <c r="B1005"/>
    </row>
    <row r="1006" spans="1:17">
      <c r="A1006"/>
      <c r="B1006"/>
    </row>
    <row r="1007" spans="1:17">
      <c r="A1007"/>
      <c r="B1007"/>
    </row>
    <row r="1008" spans="1:17">
      <c r="A1008"/>
      <c r="B1008"/>
    </row>
    <row r="1009" spans="1:2">
      <c r="A1009"/>
      <c r="B1009"/>
    </row>
    <row r="1010" spans="1:2">
      <c r="A1010"/>
      <c r="B1010"/>
    </row>
    <row r="1011" spans="1:2">
      <c r="A1011"/>
      <c r="B1011"/>
    </row>
    <row r="1012" spans="1:2">
      <c r="A1012"/>
      <c r="B1012"/>
    </row>
    <row r="1013" spans="1:2">
      <c r="A1013"/>
      <c r="B1013"/>
    </row>
    <row r="1014" spans="1:2">
      <c r="A1014"/>
      <c r="B1014"/>
    </row>
    <row r="1015" spans="1:2">
      <c r="A1015"/>
      <c r="B1015"/>
    </row>
    <row r="1016" spans="1:2">
      <c r="A1016"/>
      <c r="B1016"/>
    </row>
    <row r="1017" spans="1:2">
      <c r="A1017"/>
      <c r="B1017"/>
    </row>
    <row r="1018" spans="1:2">
      <c r="A1018"/>
      <c r="B1018"/>
    </row>
    <row r="1019" spans="1:2">
      <c r="A1019"/>
      <c r="B1019"/>
    </row>
    <row r="1020" spans="1:2">
      <c r="A1020"/>
      <c r="B1020"/>
    </row>
    <row r="1021" spans="1:2">
      <c r="A1021"/>
      <c r="B1021"/>
    </row>
    <row r="1022" spans="1:2">
      <c r="A1022"/>
      <c r="B1022"/>
    </row>
    <row r="1023" spans="1:2">
      <c r="A1023"/>
      <c r="B1023"/>
    </row>
    <row r="1024" spans="1:2">
      <c r="A1024"/>
      <c r="B1024"/>
    </row>
    <row r="1025" spans="1:2">
      <c r="A1025"/>
      <c r="B1025"/>
    </row>
    <row r="1026" spans="1:2">
      <c r="A1026"/>
      <c r="B1026"/>
    </row>
    <row r="1027" spans="1:2">
      <c r="A1027"/>
      <c r="B1027"/>
    </row>
    <row r="1028" spans="1:2">
      <c r="A1028"/>
      <c r="B1028"/>
    </row>
    <row r="1029" spans="1:2">
      <c r="A1029"/>
      <c r="B1029"/>
    </row>
    <row r="1030" spans="1:2">
      <c r="A1030"/>
      <c r="B1030"/>
    </row>
    <row r="1031" spans="1:2">
      <c r="A1031"/>
      <c r="B1031"/>
    </row>
    <row r="1032" spans="1:2">
      <c r="A1032"/>
      <c r="B1032"/>
    </row>
    <row r="1033" spans="1:2">
      <c r="A1033"/>
      <c r="B1033"/>
    </row>
    <row r="1034" spans="1:2">
      <c r="A1034"/>
      <c r="B1034"/>
    </row>
    <row r="1035" spans="1:2">
      <c r="A1035"/>
      <c r="B1035"/>
    </row>
    <row r="1036" spans="1:2">
      <c r="A1036"/>
      <c r="B1036"/>
    </row>
    <row r="1037" spans="1:2">
      <c r="A1037"/>
      <c r="B1037"/>
    </row>
    <row r="1038" spans="1:2">
      <c r="A1038"/>
      <c r="B1038"/>
    </row>
    <row r="1039" spans="1:2">
      <c r="A1039"/>
      <c r="B1039"/>
    </row>
    <row r="1040" spans="1:2">
      <c r="A1040"/>
      <c r="B1040"/>
    </row>
    <row r="1041" spans="1:2">
      <c r="A1041"/>
      <c r="B1041"/>
    </row>
    <row r="1042" spans="1:2">
      <c r="A1042"/>
      <c r="B1042"/>
    </row>
    <row r="1043" spans="1:2">
      <c r="A1043"/>
      <c r="B1043"/>
    </row>
    <row r="1044" spans="1:2">
      <c r="A1044"/>
      <c r="B1044"/>
    </row>
    <row r="1045" spans="1:2">
      <c r="A1045"/>
      <c r="B1045"/>
    </row>
    <row r="1046" spans="1:2">
      <c r="A1046"/>
      <c r="B1046"/>
    </row>
    <row r="1047" spans="1:2">
      <c r="A1047"/>
      <c r="B1047"/>
    </row>
    <row r="1048" spans="1:2">
      <c r="A1048"/>
      <c r="B1048"/>
    </row>
    <row r="1049" spans="1:2">
      <c r="A1049"/>
      <c r="B1049"/>
    </row>
    <row r="1050" spans="1:2">
      <c r="A1050"/>
      <c r="B1050"/>
    </row>
    <row r="1051" spans="1:2">
      <c r="A1051"/>
      <c r="B1051"/>
    </row>
    <row r="1052" spans="1:2">
      <c r="A1052"/>
      <c r="B1052"/>
    </row>
    <row r="1053" spans="1:2">
      <c r="A1053"/>
      <c r="B1053"/>
    </row>
    <row r="1054" spans="1:2">
      <c r="A1054"/>
      <c r="B1054"/>
    </row>
    <row r="1055" spans="1:2">
      <c r="A1055"/>
      <c r="B1055"/>
    </row>
    <row r="1056" spans="1:2">
      <c r="A1056"/>
      <c r="B1056"/>
    </row>
    <row r="1057" spans="1:2">
      <c r="A1057"/>
      <c r="B1057"/>
    </row>
    <row r="1058" spans="1:2">
      <c r="A1058"/>
      <c r="B1058"/>
    </row>
    <row r="1059" spans="1:2">
      <c r="A1059"/>
      <c r="B1059"/>
    </row>
    <row r="1060" spans="1:2">
      <c r="A1060"/>
      <c r="B1060"/>
    </row>
    <row r="1061" spans="1:2">
      <c r="A1061"/>
      <c r="B1061"/>
    </row>
    <row r="1062" spans="1:2">
      <c r="A1062"/>
      <c r="B1062"/>
    </row>
    <row r="1063" spans="1:2">
      <c r="A1063"/>
      <c r="B1063"/>
    </row>
    <row r="1064" spans="1:2">
      <c r="A1064"/>
      <c r="B1064"/>
    </row>
    <row r="1065" spans="1:2">
      <c r="A1065"/>
      <c r="B1065"/>
    </row>
    <row r="1066" spans="1:2">
      <c r="A1066"/>
      <c r="B1066"/>
    </row>
    <row r="1067" spans="1:2">
      <c r="A1067"/>
      <c r="B1067"/>
    </row>
    <row r="1068" spans="1:2">
      <c r="A1068"/>
      <c r="B1068"/>
    </row>
    <row r="1069" spans="1:2">
      <c r="A1069"/>
      <c r="B1069"/>
    </row>
    <row r="1070" spans="1:2">
      <c r="A1070"/>
      <c r="B1070"/>
    </row>
    <row r="1071" spans="1:2">
      <c r="A1071"/>
      <c r="B1071"/>
    </row>
    <row r="1072" spans="1:2">
      <c r="A1072"/>
      <c r="B1072"/>
    </row>
    <row r="1073" spans="1:2">
      <c r="A1073"/>
      <c r="B1073"/>
    </row>
    <row r="1074" spans="1:2">
      <c r="A1074"/>
      <c r="B1074"/>
    </row>
    <row r="1075" spans="1:2">
      <c r="A1075"/>
      <c r="B1075"/>
    </row>
    <row r="1076" spans="1:2">
      <c r="A1076"/>
      <c r="B1076"/>
    </row>
    <row r="1077" spans="1:2">
      <c r="A1077"/>
      <c r="B1077"/>
    </row>
    <row r="1078" spans="1:2">
      <c r="A1078"/>
      <c r="B1078"/>
    </row>
    <row r="1079" spans="1:2">
      <c r="A1079"/>
      <c r="B1079"/>
    </row>
    <row r="1080" spans="1:2">
      <c r="A1080"/>
      <c r="B1080"/>
    </row>
    <row r="1081" spans="1:2">
      <c r="A1081"/>
      <c r="B1081"/>
    </row>
    <row r="1082" spans="1:2">
      <c r="A1082"/>
      <c r="B1082"/>
    </row>
  </sheetData>
  <pageMargins left="0.75" right="0.75" top="1" bottom="1" header="0.5" footer="0.5"/>
  <headerFooter alignWithMargins="0">
    <oddHeader>&amp;A</oddHeader>
    <oddFooter>Page &amp;P</oddFooter>
  </headerFooter>
</worksheet>
</file>

<file path=xl/worksheets/sheet5.xml><?xml version="1.0" encoding="utf-8"?>
<worksheet xmlns="http://schemas.openxmlformats.org/spreadsheetml/2006/main" xmlns:r="http://schemas.openxmlformats.org/officeDocument/2006/relationships">
  <sheetPr codeName="Sheet5"/>
  <dimension ref="A1:F677"/>
  <sheetViews>
    <sheetView workbookViewId="0">
      <selection activeCell="B1" sqref="B1"/>
    </sheetView>
  </sheetViews>
  <sheetFormatPr defaultRowHeight="12.75"/>
  <cols>
    <col min="1" max="1" width="9.140625" style="1"/>
    <col min="5" max="5" width="11.85546875" customWidth="1"/>
  </cols>
  <sheetData>
    <row r="1" spans="1:6">
      <c r="A1" s="1" t="s">
        <v>1</v>
      </c>
      <c r="B1" t="s">
        <v>40</v>
      </c>
      <c r="C1" s="13" t="s">
        <v>42</v>
      </c>
      <c r="D1" s="13" t="s">
        <v>37</v>
      </c>
      <c r="E1" s="2" t="s">
        <v>38</v>
      </c>
      <c r="F1" t="s">
        <v>39</v>
      </c>
    </row>
    <row r="2" spans="1:6">
      <c r="A2" s="1">
        <v>0</v>
      </c>
      <c r="B2">
        <v>0</v>
      </c>
      <c r="C2">
        <v>0</v>
      </c>
      <c r="D2">
        <v>0</v>
      </c>
      <c r="E2">
        <v>0</v>
      </c>
      <c r="F2">
        <v>1</v>
      </c>
    </row>
    <row r="3" spans="1:6">
      <c r="A3" s="1">
        <v>1</v>
      </c>
      <c r="B3">
        <v>0</v>
      </c>
      <c r="C3">
        <v>0</v>
      </c>
      <c r="D3">
        <v>0</v>
      </c>
      <c r="E3">
        <v>0</v>
      </c>
    </row>
    <row r="4" spans="1:6">
      <c r="A4" s="1">
        <v>2</v>
      </c>
      <c r="B4">
        <v>0</v>
      </c>
      <c r="C4">
        <v>0</v>
      </c>
      <c r="D4">
        <v>0</v>
      </c>
      <c r="E4">
        <v>0</v>
      </c>
    </row>
    <row r="5" spans="1:6">
      <c r="A5" s="1">
        <v>3</v>
      </c>
      <c r="B5">
        <v>0</v>
      </c>
      <c r="C5">
        <v>0</v>
      </c>
      <c r="D5">
        <v>0</v>
      </c>
      <c r="E5">
        <v>0</v>
      </c>
    </row>
    <row r="6" spans="1:6">
      <c r="A6" s="1">
        <v>4</v>
      </c>
      <c r="B6">
        <v>0</v>
      </c>
      <c r="C6">
        <v>0</v>
      </c>
      <c r="D6">
        <v>0</v>
      </c>
      <c r="E6">
        <v>0</v>
      </c>
    </row>
    <row r="7" spans="1:6">
      <c r="A7" s="1">
        <v>5</v>
      </c>
      <c r="B7">
        <v>0</v>
      </c>
      <c r="C7">
        <v>0</v>
      </c>
      <c r="D7">
        <v>0</v>
      </c>
      <c r="E7">
        <v>0</v>
      </c>
    </row>
    <row r="8" spans="1:6">
      <c r="A8" s="1">
        <v>6</v>
      </c>
      <c r="B8">
        <v>0</v>
      </c>
      <c r="C8">
        <v>0</v>
      </c>
      <c r="D8">
        <v>0</v>
      </c>
      <c r="E8">
        <v>0</v>
      </c>
    </row>
    <row r="9" spans="1:6">
      <c r="A9" s="1">
        <v>7</v>
      </c>
      <c r="B9">
        <v>0</v>
      </c>
      <c r="C9">
        <v>0</v>
      </c>
      <c r="D9">
        <v>0</v>
      </c>
      <c r="E9">
        <v>0</v>
      </c>
    </row>
    <row r="10" spans="1:6">
      <c r="A10" s="1">
        <v>8</v>
      </c>
      <c r="B10">
        <v>0</v>
      </c>
      <c r="C10">
        <v>0</v>
      </c>
      <c r="D10">
        <v>0</v>
      </c>
      <c r="E10">
        <v>0</v>
      </c>
    </row>
    <row r="11" spans="1:6">
      <c r="A11" s="1">
        <v>9</v>
      </c>
      <c r="B11">
        <v>0</v>
      </c>
      <c r="C11">
        <v>0</v>
      </c>
      <c r="D11">
        <v>0</v>
      </c>
      <c r="E11">
        <v>0</v>
      </c>
    </row>
    <row r="12" spans="1:6">
      <c r="A12" s="1">
        <v>10</v>
      </c>
      <c r="B12">
        <v>0</v>
      </c>
      <c r="C12">
        <v>0</v>
      </c>
      <c r="D12">
        <v>0</v>
      </c>
      <c r="E12">
        <v>0</v>
      </c>
    </row>
    <row r="13" spans="1:6">
      <c r="A13" s="1">
        <v>11</v>
      </c>
      <c r="B13">
        <v>0</v>
      </c>
      <c r="C13">
        <v>0</v>
      </c>
      <c r="D13">
        <v>0</v>
      </c>
      <c r="E13">
        <v>0</v>
      </c>
    </row>
    <row r="14" spans="1:6">
      <c r="A14" s="1">
        <v>12</v>
      </c>
      <c r="B14">
        <v>0</v>
      </c>
      <c r="C14">
        <v>0</v>
      </c>
      <c r="D14">
        <v>0</v>
      </c>
      <c r="E14">
        <v>0</v>
      </c>
    </row>
    <row r="15" spans="1:6">
      <c r="A15" s="1">
        <v>13</v>
      </c>
      <c r="B15">
        <v>0</v>
      </c>
      <c r="C15">
        <v>0</v>
      </c>
      <c r="D15">
        <v>0</v>
      </c>
      <c r="E15">
        <v>0</v>
      </c>
    </row>
    <row r="16" spans="1:6">
      <c r="A16" s="1">
        <v>14</v>
      </c>
      <c r="B16">
        <v>0</v>
      </c>
      <c r="C16">
        <v>0</v>
      </c>
      <c r="D16">
        <v>0</v>
      </c>
      <c r="E16">
        <v>0</v>
      </c>
    </row>
    <row r="17" spans="1:5">
      <c r="A17" s="1">
        <v>15</v>
      </c>
      <c r="B17">
        <v>0</v>
      </c>
      <c r="C17">
        <v>0</v>
      </c>
      <c r="D17">
        <v>0</v>
      </c>
      <c r="E17">
        <v>0</v>
      </c>
    </row>
    <row r="18" spans="1:5">
      <c r="A18" s="1">
        <v>16</v>
      </c>
      <c r="B18">
        <v>0</v>
      </c>
      <c r="C18">
        <v>0</v>
      </c>
      <c r="D18">
        <v>0</v>
      </c>
      <c r="E18">
        <v>0</v>
      </c>
    </row>
    <row r="19" spans="1:5">
      <c r="A19" s="1">
        <v>17</v>
      </c>
      <c r="B19">
        <v>0</v>
      </c>
      <c r="C19">
        <v>0</v>
      </c>
      <c r="D19">
        <v>0</v>
      </c>
      <c r="E19">
        <v>0</v>
      </c>
    </row>
    <row r="20" spans="1:5">
      <c r="A20" s="1">
        <v>18</v>
      </c>
      <c r="B20">
        <v>0</v>
      </c>
      <c r="C20">
        <v>0</v>
      </c>
      <c r="D20">
        <v>0</v>
      </c>
      <c r="E20">
        <v>0</v>
      </c>
    </row>
    <row r="21" spans="1:5">
      <c r="A21" s="1">
        <v>19</v>
      </c>
      <c r="B21">
        <v>0</v>
      </c>
      <c r="C21">
        <v>0</v>
      </c>
      <c r="D21">
        <v>0</v>
      </c>
      <c r="E21">
        <v>0</v>
      </c>
    </row>
    <row r="22" spans="1:5">
      <c r="A22" s="1">
        <v>20</v>
      </c>
      <c r="B22">
        <v>0</v>
      </c>
      <c r="C22">
        <v>0</v>
      </c>
      <c r="D22">
        <v>0</v>
      </c>
      <c r="E22">
        <v>0</v>
      </c>
    </row>
    <row r="23" spans="1:5">
      <c r="A23" s="1">
        <v>21</v>
      </c>
      <c r="B23">
        <v>0</v>
      </c>
      <c r="C23">
        <v>0</v>
      </c>
      <c r="D23">
        <v>0</v>
      </c>
      <c r="E23">
        <v>0</v>
      </c>
    </row>
    <row r="24" spans="1:5">
      <c r="A24" s="1">
        <v>22</v>
      </c>
      <c r="B24">
        <v>0</v>
      </c>
      <c r="C24">
        <v>0</v>
      </c>
      <c r="D24">
        <v>0</v>
      </c>
      <c r="E24">
        <v>0</v>
      </c>
    </row>
    <row r="25" spans="1:5">
      <c r="A25" s="1">
        <v>23</v>
      </c>
      <c r="B25">
        <v>0</v>
      </c>
      <c r="C25">
        <v>0</v>
      </c>
      <c r="D25">
        <v>0</v>
      </c>
      <c r="E25">
        <v>0</v>
      </c>
    </row>
    <row r="26" spans="1:5">
      <c r="A26" s="1">
        <v>24</v>
      </c>
      <c r="B26">
        <v>0</v>
      </c>
      <c r="C26">
        <v>0</v>
      </c>
      <c r="D26">
        <v>0</v>
      </c>
      <c r="E26">
        <v>0</v>
      </c>
    </row>
    <row r="27" spans="1:5">
      <c r="A27" s="1">
        <v>25</v>
      </c>
      <c r="B27">
        <v>0</v>
      </c>
      <c r="C27">
        <v>0</v>
      </c>
      <c r="D27">
        <v>0</v>
      </c>
      <c r="E27">
        <v>0</v>
      </c>
    </row>
    <row r="28" spans="1:5">
      <c r="A28" s="1">
        <v>26</v>
      </c>
      <c r="B28">
        <v>0</v>
      </c>
      <c r="C28">
        <v>0</v>
      </c>
      <c r="D28">
        <v>0</v>
      </c>
      <c r="E28">
        <v>0</v>
      </c>
    </row>
    <row r="29" spans="1:5">
      <c r="A29" s="1">
        <v>27</v>
      </c>
      <c r="B29">
        <v>0</v>
      </c>
      <c r="C29">
        <v>0</v>
      </c>
      <c r="D29">
        <v>0</v>
      </c>
      <c r="E29">
        <v>0</v>
      </c>
    </row>
    <row r="30" spans="1:5">
      <c r="A30" s="1">
        <v>28</v>
      </c>
      <c r="B30">
        <v>0</v>
      </c>
      <c r="C30">
        <v>0</v>
      </c>
      <c r="D30">
        <v>0</v>
      </c>
      <c r="E30">
        <v>0</v>
      </c>
    </row>
    <row r="31" spans="1:5">
      <c r="A31" s="1">
        <v>29</v>
      </c>
      <c r="B31">
        <v>0</v>
      </c>
      <c r="C31">
        <v>0</v>
      </c>
      <c r="D31">
        <v>0</v>
      </c>
      <c r="E31">
        <v>0</v>
      </c>
    </row>
    <row r="32" spans="1:5">
      <c r="A32" s="1">
        <v>30</v>
      </c>
      <c r="B32">
        <v>0</v>
      </c>
      <c r="C32">
        <v>0</v>
      </c>
      <c r="D32">
        <v>0</v>
      </c>
      <c r="E32">
        <v>0</v>
      </c>
    </row>
    <row r="33" spans="1:5">
      <c r="A33" s="1">
        <v>31</v>
      </c>
      <c r="B33">
        <v>0</v>
      </c>
      <c r="C33">
        <v>0</v>
      </c>
      <c r="D33">
        <v>0</v>
      </c>
      <c r="E33">
        <v>0</v>
      </c>
    </row>
    <row r="34" spans="1:5">
      <c r="A34" s="1">
        <v>32</v>
      </c>
      <c r="B34">
        <v>0</v>
      </c>
      <c r="C34">
        <v>0</v>
      </c>
      <c r="D34">
        <v>0</v>
      </c>
      <c r="E34">
        <v>0</v>
      </c>
    </row>
    <row r="35" spans="1:5">
      <c r="A35" s="1">
        <v>33</v>
      </c>
      <c r="B35">
        <v>0</v>
      </c>
      <c r="C35">
        <v>0</v>
      </c>
      <c r="D35">
        <v>0</v>
      </c>
      <c r="E35">
        <v>0</v>
      </c>
    </row>
    <row r="36" spans="1:5">
      <c r="A36" s="1">
        <v>34</v>
      </c>
      <c r="B36">
        <v>0</v>
      </c>
      <c r="C36">
        <v>0</v>
      </c>
      <c r="D36">
        <v>0</v>
      </c>
      <c r="E36">
        <v>0</v>
      </c>
    </row>
    <row r="37" spans="1:5">
      <c r="A37" s="1">
        <v>35</v>
      </c>
      <c r="B37">
        <v>0</v>
      </c>
      <c r="C37">
        <v>0</v>
      </c>
      <c r="D37">
        <v>0</v>
      </c>
      <c r="E37">
        <v>0</v>
      </c>
    </row>
    <row r="38" spans="1:5">
      <c r="A38" s="1">
        <v>36</v>
      </c>
      <c r="B38">
        <v>1</v>
      </c>
      <c r="C38">
        <v>0</v>
      </c>
      <c r="D38">
        <v>0</v>
      </c>
      <c r="E38">
        <v>1</v>
      </c>
    </row>
    <row r="39" spans="1:5">
      <c r="A39" s="1">
        <v>37</v>
      </c>
      <c r="B39">
        <v>1</v>
      </c>
      <c r="C39">
        <v>0</v>
      </c>
      <c r="D39">
        <v>0</v>
      </c>
      <c r="E39">
        <v>1</v>
      </c>
    </row>
    <row r="40" spans="1:5">
      <c r="A40" s="1">
        <v>38</v>
      </c>
      <c r="B40">
        <v>1</v>
      </c>
      <c r="C40">
        <v>0</v>
      </c>
      <c r="D40">
        <v>0</v>
      </c>
      <c r="E40">
        <v>1</v>
      </c>
    </row>
    <row r="41" spans="1:5">
      <c r="A41" s="1">
        <v>39</v>
      </c>
      <c r="B41">
        <v>1</v>
      </c>
      <c r="C41">
        <v>0</v>
      </c>
      <c r="D41">
        <v>0</v>
      </c>
      <c r="E41">
        <v>1</v>
      </c>
    </row>
    <row r="42" spans="1:5">
      <c r="A42" s="1">
        <v>40</v>
      </c>
      <c r="B42">
        <v>1</v>
      </c>
      <c r="C42">
        <v>0</v>
      </c>
      <c r="D42">
        <v>0</v>
      </c>
      <c r="E42">
        <v>1</v>
      </c>
    </row>
    <row r="43" spans="1:5">
      <c r="A43" s="1">
        <v>41</v>
      </c>
      <c r="B43">
        <v>1</v>
      </c>
      <c r="C43">
        <v>0</v>
      </c>
      <c r="D43">
        <v>0</v>
      </c>
      <c r="E43">
        <v>1</v>
      </c>
    </row>
    <row r="44" spans="1:5">
      <c r="A44" s="1">
        <v>42</v>
      </c>
      <c r="B44">
        <v>1</v>
      </c>
      <c r="C44">
        <v>0</v>
      </c>
      <c r="D44">
        <v>0</v>
      </c>
      <c r="E44">
        <v>1</v>
      </c>
    </row>
    <row r="45" spans="1:5">
      <c r="A45" s="1">
        <v>43</v>
      </c>
      <c r="B45">
        <v>1</v>
      </c>
      <c r="C45">
        <v>0</v>
      </c>
      <c r="D45">
        <v>0</v>
      </c>
      <c r="E45">
        <v>1</v>
      </c>
    </row>
    <row r="46" spans="1:5">
      <c r="A46" s="1">
        <v>44</v>
      </c>
      <c r="B46">
        <v>1</v>
      </c>
      <c r="C46">
        <v>0</v>
      </c>
      <c r="D46">
        <v>0</v>
      </c>
      <c r="E46">
        <v>1</v>
      </c>
    </row>
    <row r="47" spans="1:5">
      <c r="A47" s="1">
        <v>45</v>
      </c>
      <c r="B47">
        <v>1</v>
      </c>
      <c r="C47">
        <v>0</v>
      </c>
      <c r="D47">
        <v>0</v>
      </c>
      <c r="E47">
        <v>1</v>
      </c>
    </row>
    <row r="48" spans="1:5">
      <c r="A48" s="1">
        <v>46</v>
      </c>
      <c r="B48">
        <v>1</v>
      </c>
      <c r="C48">
        <v>0</v>
      </c>
      <c r="D48">
        <v>0</v>
      </c>
      <c r="E48">
        <v>1</v>
      </c>
    </row>
    <row r="49" spans="1:5">
      <c r="A49" s="1">
        <v>47</v>
      </c>
      <c r="B49">
        <v>1</v>
      </c>
      <c r="C49">
        <v>0</v>
      </c>
      <c r="D49">
        <v>0</v>
      </c>
      <c r="E49">
        <v>1</v>
      </c>
    </row>
    <row r="50" spans="1:5">
      <c r="A50" s="1">
        <v>48</v>
      </c>
      <c r="B50">
        <v>1</v>
      </c>
      <c r="C50">
        <v>0</v>
      </c>
      <c r="D50">
        <v>0</v>
      </c>
      <c r="E50">
        <v>1</v>
      </c>
    </row>
    <row r="51" spans="1:5">
      <c r="A51" s="1">
        <v>49</v>
      </c>
      <c r="B51">
        <v>2</v>
      </c>
      <c r="C51">
        <v>0</v>
      </c>
      <c r="D51">
        <v>0</v>
      </c>
      <c r="E51">
        <v>2</v>
      </c>
    </row>
    <row r="52" spans="1:5">
      <c r="A52" s="1">
        <v>50</v>
      </c>
      <c r="B52">
        <v>2</v>
      </c>
      <c r="C52">
        <v>0</v>
      </c>
      <c r="D52">
        <v>0</v>
      </c>
      <c r="E52">
        <v>2</v>
      </c>
    </row>
    <row r="53" spans="1:5">
      <c r="A53" s="1">
        <v>51</v>
      </c>
      <c r="B53">
        <v>2</v>
      </c>
      <c r="C53">
        <v>0</v>
      </c>
      <c r="D53">
        <v>0</v>
      </c>
      <c r="E53">
        <v>2</v>
      </c>
    </row>
    <row r="54" spans="1:5">
      <c r="A54" s="1">
        <v>52</v>
      </c>
      <c r="B54">
        <v>2</v>
      </c>
      <c r="C54">
        <v>0</v>
      </c>
      <c r="D54">
        <v>0</v>
      </c>
      <c r="E54">
        <v>2</v>
      </c>
    </row>
    <row r="55" spans="1:5">
      <c r="A55" s="1">
        <v>53</v>
      </c>
      <c r="B55">
        <v>2</v>
      </c>
      <c r="C55">
        <v>0</v>
      </c>
      <c r="D55">
        <v>0</v>
      </c>
      <c r="E55">
        <v>2</v>
      </c>
    </row>
    <row r="56" spans="1:5">
      <c r="A56" s="1">
        <v>54</v>
      </c>
      <c r="B56">
        <v>2</v>
      </c>
      <c r="C56">
        <v>0</v>
      </c>
      <c r="D56">
        <v>0</v>
      </c>
      <c r="E56">
        <v>2</v>
      </c>
    </row>
    <row r="57" spans="1:5">
      <c r="A57" s="1">
        <v>55</v>
      </c>
      <c r="B57">
        <v>2</v>
      </c>
      <c r="C57">
        <v>0</v>
      </c>
      <c r="D57">
        <v>0</v>
      </c>
      <c r="E57">
        <v>2</v>
      </c>
    </row>
    <row r="58" spans="1:5">
      <c r="A58" s="1">
        <v>56</v>
      </c>
      <c r="B58">
        <v>2</v>
      </c>
      <c r="C58">
        <v>0</v>
      </c>
      <c r="D58">
        <v>0</v>
      </c>
      <c r="E58">
        <v>2</v>
      </c>
    </row>
    <row r="59" spans="1:5">
      <c r="A59" s="1">
        <v>57</v>
      </c>
      <c r="B59">
        <v>2</v>
      </c>
      <c r="C59">
        <v>0</v>
      </c>
      <c r="D59">
        <v>0</v>
      </c>
      <c r="E59">
        <v>2</v>
      </c>
    </row>
    <row r="60" spans="1:5">
      <c r="A60" s="1">
        <v>58</v>
      </c>
      <c r="B60">
        <v>3</v>
      </c>
      <c r="C60">
        <v>0</v>
      </c>
      <c r="D60">
        <v>0</v>
      </c>
      <c r="E60">
        <v>3</v>
      </c>
    </row>
    <row r="61" spans="1:5">
      <c r="A61" s="1">
        <v>59</v>
      </c>
      <c r="B61">
        <v>3</v>
      </c>
      <c r="C61">
        <v>0</v>
      </c>
      <c r="D61">
        <v>0</v>
      </c>
      <c r="E61">
        <v>3</v>
      </c>
    </row>
    <row r="62" spans="1:5">
      <c r="A62" s="1">
        <v>60</v>
      </c>
      <c r="B62">
        <v>3</v>
      </c>
      <c r="C62">
        <v>0</v>
      </c>
      <c r="D62">
        <v>0</v>
      </c>
      <c r="E62">
        <v>3</v>
      </c>
    </row>
    <row r="63" spans="1:5">
      <c r="A63" s="1">
        <v>61</v>
      </c>
      <c r="B63">
        <v>3</v>
      </c>
      <c r="C63">
        <v>0</v>
      </c>
      <c r="D63">
        <v>0</v>
      </c>
      <c r="E63">
        <v>3</v>
      </c>
    </row>
    <row r="64" spans="1:5">
      <c r="A64" s="1">
        <v>62</v>
      </c>
      <c r="B64">
        <v>3</v>
      </c>
      <c r="C64">
        <v>0</v>
      </c>
      <c r="D64">
        <v>0</v>
      </c>
      <c r="E64">
        <v>3</v>
      </c>
    </row>
    <row r="65" spans="1:5">
      <c r="A65" s="1">
        <v>63</v>
      </c>
      <c r="B65">
        <v>3</v>
      </c>
      <c r="C65">
        <v>0</v>
      </c>
      <c r="D65">
        <v>0</v>
      </c>
      <c r="E65">
        <v>3</v>
      </c>
    </row>
    <row r="66" spans="1:5">
      <c r="A66" s="1">
        <v>64</v>
      </c>
      <c r="B66">
        <v>3</v>
      </c>
      <c r="C66">
        <v>0</v>
      </c>
      <c r="D66">
        <v>0</v>
      </c>
      <c r="E66">
        <v>3</v>
      </c>
    </row>
    <row r="67" spans="1:5">
      <c r="A67" s="1">
        <v>65</v>
      </c>
      <c r="B67">
        <v>3</v>
      </c>
      <c r="C67">
        <v>0</v>
      </c>
      <c r="D67">
        <v>0</v>
      </c>
      <c r="E67">
        <v>3</v>
      </c>
    </row>
    <row r="68" spans="1:5">
      <c r="A68" s="1">
        <v>66</v>
      </c>
      <c r="B68">
        <v>3</v>
      </c>
      <c r="C68">
        <v>0</v>
      </c>
      <c r="D68">
        <v>0</v>
      </c>
      <c r="E68">
        <v>3</v>
      </c>
    </row>
    <row r="69" spans="1:5">
      <c r="A69" s="1">
        <v>67</v>
      </c>
      <c r="B69">
        <v>4</v>
      </c>
      <c r="C69">
        <v>0</v>
      </c>
      <c r="D69">
        <v>0</v>
      </c>
      <c r="E69">
        <v>4</v>
      </c>
    </row>
    <row r="70" spans="1:5">
      <c r="A70" s="1">
        <v>68</v>
      </c>
      <c r="B70">
        <v>4</v>
      </c>
      <c r="C70">
        <v>0</v>
      </c>
      <c r="D70">
        <v>0</v>
      </c>
      <c r="E70">
        <v>4</v>
      </c>
    </row>
    <row r="71" spans="1:5">
      <c r="A71" s="1">
        <v>69</v>
      </c>
      <c r="B71">
        <v>4</v>
      </c>
      <c r="C71">
        <v>0</v>
      </c>
      <c r="D71">
        <v>0</v>
      </c>
      <c r="E71">
        <v>4</v>
      </c>
    </row>
    <row r="72" spans="1:5">
      <c r="A72" s="1">
        <v>70</v>
      </c>
      <c r="B72">
        <v>4</v>
      </c>
      <c r="C72">
        <v>0</v>
      </c>
      <c r="D72">
        <v>0</v>
      </c>
      <c r="E72">
        <v>4</v>
      </c>
    </row>
    <row r="73" spans="1:5">
      <c r="A73" s="1">
        <v>71</v>
      </c>
      <c r="B73">
        <v>4</v>
      </c>
      <c r="C73">
        <v>0</v>
      </c>
      <c r="D73">
        <v>0</v>
      </c>
      <c r="E73">
        <v>4</v>
      </c>
    </row>
    <row r="74" spans="1:5">
      <c r="A74" s="1">
        <v>72</v>
      </c>
      <c r="B74">
        <v>4</v>
      </c>
      <c r="C74">
        <v>0</v>
      </c>
      <c r="D74">
        <v>0</v>
      </c>
      <c r="E74">
        <v>4</v>
      </c>
    </row>
    <row r="75" spans="1:5">
      <c r="A75" s="1">
        <v>73</v>
      </c>
      <c r="B75">
        <v>5</v>
      </c>
      <c r="C75">
        <v>0</v>
      </c>
      <c r="D75">
        <v>0</v>
      </c>
      <c r="E75">
        <v>5</v>
      </c>
    </row>
    <row r="76" spans="1:5">
      <c r="A76" s="1">
        <v>74</v>
      </c>
      <c r="B76">
        <v>5</v>
      </c>
      <c r="C76">
        <v>0</v>
      </c>
      <c r="D76">
        <v>0</v>
      </c>
      <c r="E76">
        <v>5</v>
      </c>
    </row>
    <row r="77" spans="1:5">
      <c r="A77" s="1">
        <v>75</v>
      </c>
      <c r="B77">
        <v>5</v>
      </c>
      <c r="C77">
        <v>0</v>
      </c>
      <c r="D77">
        <v>0</v>
      </c>
      <c r="E77">
        <v>5</v>
      </c>
    </row>
    <row r="78" spans="1:5">
      <c r="A78" s="1">
        <v>76</v>
      </c>
      <c r="B78">
        <v>5</v>
      </c>
      <c r="C78">
        <v>0</v>
      </c>
      <c r="D78">
        <v>0</v>
      </c>
      <c r="E78">
        <v>5</v>
      </c>
    </row>
    <row r="79" spans="1:5">
      <c r="A79" s="1">
        <v>77</v>
      </c>
      <c r="B79">
        <v>5</v>
      </c>
      <c r="C79">
        <v>0</v>
      </c>
      <c r="D79">
        <v>0</v>
      </c>
      <c r="E79">
        <v>5</v>
      </c>
    </row>
    <row r="80" spans="1:5">
      <c r="A80" s="1">
        <v>78</v>
      </c>
      <c r="B80">
        <v>5</v>
      </c>
      <c r="C80">
        <v>0</v>
      </c>
      <c r="D80">
        <v>0</v>
      </c>
      <c r="E80">
        <v>5</v>
      </c>
    </row>
    <row r="81" spans="1:5">
      <c r="A81" s="1">
        <v>79</v>
      </c>
      <c r="B81">
        <v>5</v>
      </c>
      <c r="C81">
        <v>0</v>
      </c>
      <c r="D81">
        <v>0</v>
      </c>
      <c r="E81">
        <v>5</v>
      </c>
    </row>
    <row r="82" spans="1:5">
      <c r="A82" s="1">
        <v>80</v>
      </c>
      <c r="B82">
        <v>6</v>
      </c>
      <c r="C82">
        <v>0</v>
      </c>
      <c r="D82">
        <v>0</v>
      </c>
      <c r="E82">
        <v>6</v>
      </c>
    </row>
    <row r="83" spans="1:5">
      <c r="A83" s="1">
        <v>81</v>
      </c>
      <c r="B83">
        <v>6</v>
      </c>
      <c r="C83">
        <v>0</v>
      </c>
      <c r="D83">
        <v>0</v>
      </c>
      <c r="E83">
        <v>6</v>
      </c>
    </row>
    <row r="84" spans="1:5">
      <c r="A84" s="1">
        <v>82</v>
      </c>
      <c r="B84">
        <v>6</v>
      </c>
      <c r="C84">
        <v>0</v>
      </c>
      <c r="D84">
        <v>0</v>
      </c>
      <c r="E84">
        <v>6</v>
      </c>
    </row>
    <row r="85" spans="1:5">
      <c r="A85" s="1">
        <v>83</v>
      </c>
      <c r="B85">
        <v>6</v>
      </c>
      <c r="C85">
        <v>0</v>
      </c>
      <c r="D85">
        <v>0</v>
      </c>
      <c r="E85">
        <v>6</v>
      </c>
    </row>
    <row r="86" spans="1:5">
      <c r="A86" s="1">
        <v>84</v>
      </c>
      <c r="B86">
        <v>6</v>
      </c>
      <c r="C86">
        <v>0</v>
      </c>
      <c r="D86">
        <v>0</v>
      </c>
      <c r="E86">
        <v>6</v>
      </c>
    </row>
    <row r="87" spans="1:5">
      <c r="A87" s="1">
        <v>85</v>
      </c>
      <c r="B87">
        <v>6</v>
      </c>
      <c r="C87">
        <v>0</v>
      </c>
      <c r="D87">
        <v>0</v>
      </c>
      <c r="E87">
        <v>6</v>
      </c>
    </row>
    <row r="88" spans="1:5">
      <c r="A88" s="1">
        <v>86</v>
      </c>
      <c r="B88">
        <v>7</v>
      </c>
      <c r="C88">
        <v>0</v>
      </c>
      <c r="D88">
        <v>0</v>
      </c>
      <c r="E88">
        <v>7</v>
      </c>
    </row>
    <row r="89" spans="1:5">
      <c r="A89" s="1">
        <v>87</v>
      </c>
      <c r="B89">
        <v>7</v>
      </c>
      <c r="C89">
        <v>0</v>
      </c>
      <c r="D89">
        <v>0</v>
      </c>
      <c r="E89">
        <v>7</v>
      </c>
    </row>
    <row r="90" spans="1:5">
      <c r="A90" s="1">
        <v>88</v>
      </c>
      <c r="B90">
        <v>7</v>
      </c>
      <c r="C90">
        <v>0</v>
      </c>
      <c r="D90">
        <v>0</v>
      </c>
      <c r="E90">
        <v>7</v>
      </c>
    </row>
    <row r="91" spans="1:5">
      <c r="A91" s="1">
        <v>89</v>
      </c>
      <c r="B91">
        <v>7</v>
      </c>
      <c r="C91">
        <v>0</v>
      </c>
      <c r="D91">
        <v>0</v>
      </c>
      <c r="E91">
        <v>7</v>
      </c>
    </row>
    <row r="92" spans="1:5">
      <c r="A92" s="1">
        <v>90</v>
      </c>
      <c r="B92">
        <v>7</v>
      </c>
      <c r="C92">
        <v>0</v>
      </c>
      <c r="D92">
        <v>0</v>
      </c>
      <c r="E92">
        <v>7</v>
      </c>
    </row>
    <row r="93" spans="1:5">
      <c r="A93" s="1">
        <v>91</v>
      </c>
      <c r="B93">
        <v>7</v>
      </c>
      <c r="C93">
        <v>0</v>
      </c>
      <c r="D93">
        <v>0</v>
      </c>
      <c r="E93">
        <v>7</v>
      </c>
    </row>
    <row r="94" spans="1:5">
      <c r="A94" s="1">
        <v>92</v>
      </c>
      <c r="B94">
        <v>7</v>
      </c>
      <c r="C94">
        <v>0</v>
      </c>
      <c r="D94">
        <v>0</v>
      </c>
      <c r="E94">
        <v>7</v>
      </c>
    </row>
    <row r="95" spans="1:5">
      <c r="A95" s="1">
        <v>93</v>
      </c>
      <c r="B95">
        <v>7</v>
      </c>
      <c r="C95">
        <v>0</v>
      </c>
      <c r="D95">
        <v>0</v>
      </c>
      <c r="E95">
        <v>7</v>
      </c>
    </row>
    <row r="96" spans="1:5">
      <c r="A96" s="1">
        <v>94</v>
      </c>
      <c r="B96">
        <v>8</v>
      </c>
      <c r="C96">
        <v>0</v>
      </c>
      <c r="D96">
        <v>0</v>
      </c>
      <c r="E96">
        <v>8</v>
      </c>
    </row>
    <row r="97" spans="1:5">
      <c r="A97" s="1">
        <v>95</v>
      </c>
      <c r="B97">
        <v>8</v>
      </c>
      <c r="C97">
        <v>0</v>
      </c>
      <c r="D97">
        <v>0</v>
      </c>
      <c r="E97">
        <v>8</v>
      </c>
    </row>
    <row r="98" spans="1:5">
      <c r="A98" s="1">
        <v>96</v>
      </c>
      <c r="B98">
        <v>8</v>
      </c>
      <c r="C98">
        <v>0</v>
      </c>
      <c r="D98">
        <v>0</v>
      </c>
      <c r="E98">
        <v>8</v>
      </c>
    </row>
    <row r="99" spans="1:5">
      <c r="A99" s="1">
        <v>97</v>
      </c>
      <c r="B99">
        <v>8</v>
      </c>
      <c r="C99">
        <v>0</v>
      </c>
      <c r="D99">
        <v>0</v>
      </c>
      <c r="E99">
        <v>8</v>
      </c>
    </row>
    <row r="100" spans="1:5">
      <c r="A100" s="1">
        <v>98</v>
      </c>
      <c r="B100">
        <v>8</v>
      </c>
      <c r="C100">
        <v>0</v>
      </c>
      <c r="D100">
        <v>0</v>
      </c>
      <c r="E100">
        <v>8</v>
      </c>
    </row>
    <row r="101" spans="1:5">
      <c r="A101" s="1">
        <v>99</v>
      </c>
      <c r="B101">
        <v>8</v>
      </c>
      <c r="C101">
        <v>0</v>
      </c>
      <c r="D101">
        <v>0</v>
      </c>
      <c r="E101">
        <v>8</v>
      </c>
    </row>
    <row r="102" spans="1:5">
      <c r="A102" s="1">
        <v>100</v>
      </c>
      <c r="B102">
        <v>9</v>
      </c>
      <c r="C102">
        <v>0</v>
      </c>
      <c r="D102">
        <v>0</v>
      </c>
      <c r="E102">
        <v>9</v>
      </c>
    </row>
    <row r="103" spans="1:5">
      <c r="A103" s="1">
        <v>101</v>
      </c>
      <c r="B103">
        <v>9</v>
      </c>
      <c r="C103">
        <v>0</v>
      </c>
      <c r="D103">
        <v>0</v>
      </c>
      <c r="E103">
        <v>9</v>
      </c>
    </row>
    <row r="104" spans="1:5">
      <c r="A104" s="1">
        <v>102</v>
      </c>
      <c r="B104">
        <v>9</v>
      </c>
      <c r="C104">
        <v>0</v>
      </c>
      <c r="D104">
        <v>0</v>
      </c>
      <c r="E104">
        <v>9</v>
      </c>
    </row>
    <row r="105" spans="1:5">
      <c r="A105" s="1">
        <v>103</v>
      </c>
      <c r="B105">
        <v>9</v>
      </c>
      <c r="C105">
        <v>0</v>
      </c>
      <c r="D105">
        <v>0</v>
      </c>
      <c r="E105">
        <v>9</v>
      </c>
    </row>
    <row r="106" spans="1:5">
      <c r="A106" s="1">
        <v>104</v>
      </c>
      <c r="B106">
        <v>9</v>
      </c>
      <c r="C106">
        <v>0</v>
      </c>
      <c r="D106">
        <v>0</v>
      </c>
      <c r="E106">
        <v>9</v>
      </c>
    </row>
    <row r="107" spans="1:5">
      <c r="A107" s="1">
        <v>105</v>
      </c>
      <c r="B107">
        <v>9</v>
      </c>
      <c r="C107">
        <v>0</v>
      </c>
      <c r="D107">
        <v>0</v>
      </c>
      <c r="E107">
        <v>9</v>
      </c>
    </row>
    <row r="108" spans="1:5">
      <c r="A108" s="1">
        <v>106</v>
      </c>
      <c r="B108">
        <v>10</v>
      </c>
      <c r="C108">
        <v>0</v>
      </c>
      <c r="D108">
        <v>0</v>
      </c>
      <c r="E108">
        <v>10</v>
      </c>
    </row>
    <row r="109" spans="1:5">
      <c r="A109" s="1">
        <v>107</v>
      </c>
      <c r="B109">
        <v>10</v>
      </c>
      <c r="C109">
        <v>0</v>
      </c>
      <c r="D109">
        <v>0</v>
      </c>
      <c r="E109">
        <v>10</v>
      </c>
    </row>
    <row r="110" spans="1:5">
      <c r="A110" s="1">
        <v>108</v>
      </c>
      <c r="B110">
        <v>10</v>
      </c>
      <c r="C110">
        <v>0</v>
      </c>
      <c r="D110">
        <v>0</v>
      </c>
      <c r="E110">
        <v>10</v>
      </c>
    </row>
    <row r="111" spans="1:5">
      <c r="A111" s="1">
        <v>109</v>
      </c>
      <c r="B111">
        <v>10</v>
      </c>
      <c r="C111">
        <v>0</v>
      </c>
      <c r="D111">
        <v>0</v>
      </c>
      <c r="E111">
        <v>10</v>
      </c>
    </row>
    <row r="112" spans="1:5">
      <c r="A112" s="1">
        <v>110</v>
      </c>
      <c r="B112">
        <v>10</v>
      </c>
      <c r="C112">
        <v>0</v>
      </c>
      <c r="D112">
        <v>0</v>
      </c>
      <c r="E112">
        <v>10</v>
      </c>
    </row>
    <row r="113" spans="1:5">
      <c r="A113" s="1">
        <v>111</v>
      </c>
      <c r="B113">
        <v>11</v>
      </c>
      <c r="C113">
        <v>0</v>
      </c>
      <c r="D113">
        <v>0</v>
      </c>
      <c r="E113">
        <v>11</v>
      </c>
    </row>
    <row r="114" spans="1:5">
      <c r="A114" s="1">
        <v>112</v>
      </c>
      <c r="B114">
        <v>11</v>
      </c>
      <c r="C114">
        <v>0</v>
      </c>
      <c r="D114">
        <v>0</v>
      </c>
      <c r="E114">
        <v>11</v>
      </c>
    </row>
    <row r="115" spans="1:5">
      <c r="A115" s="1">
        <v>113</v>
      </c>
      <c r="B115">
        <v>11</v>
      </c>
      <c r="C115">
        <v>0</v>
      </c>
      <c r="D115">
        <v>0</v>
      </c>
      <c r="E115">
        <v>11</v>
      </c>
    </row>
    <row r="116" spans="1:5">
      <c r="A116" s="1">
        <v>114</v>
      </c>
      <c r="B116">
        <v>11</v>
      </c>
      <c r="C116">
        <v>0</v>
      </c>
      <c r="D116">
        <v>0</v>
      </c>
      <c r="E116">
        <v>11</v>
      </c>
    </row>
    <row r="117" spans="1:5">
      <c r="A117" s="1">
        <v>115</v>
      </c>
      <c r="B117">
        <v>11</v>
      </c>
      <c r="C117">
        <v>0</v>
      </c>
      <c r="D117">
        <v>0</v>
      </c>
      <c r="E117">
        <v>11</v>
      </c>
    </row>
    <row r="118" spans="1:5">
      <c r="A118" s="1">
        <v>116</v>
      </c>
      <c r="B118">
        <v>11</v>
      </c>
      <c r="C118">
        <v>0</v>
      </c>
      <c r="D118">
        <v>0</v>
      </c>
      <c r="E118">
        <v>11</v>
      </c>
    </row>
    <row r="119" spans="1:5">
      <c r="A119" s="1">
        <v>117</v>
      </c>
      <c r="B119">
        <v>12</v>
      </c>
      <c r="C119">
        <v>0</v>
      </c>
      <c r="D119">
        <v>0</v>
      </c>
      <c r="E119">
        <v>12</v>
      </c>
    </row>
    <row r="120" spans="1:5">
      <c r="A120" s="1">
        <v>118</v>
      </c>
      <c r="B120">
        <v>12</v>
      </c>
      <c r="C120">
        <v>0</v>
      </c>
      <c r="D120">
        <v>0</v>
      </c>
      <c r="E120">
        <v>12</v>
      </c>
    </row>
    <row r="121" spans="1:5">
      <c r="A121" s="1">
        <v>119</v>
      </c>
      <c r="B121">
        <v>12</v>
      </c>
      <c r="C121">
        <v>0</v>
      </c>
      <c r="D121">
        <v>0</v>
      </c>
      <c r="E121">
        <v>12</v>
      </c>
    </row>
    <row r="122" spans="1:5">
      <c r="A122" s="1">
        <v>120</v>
      </c>
      <c r="B122">
        <v>12</v>
      </c>
      <c r="C122">
        <v>0</v>
      </c>
      <c r="D122">
        <v>0</v>
      </c>
      <c r="E122">
        <v>12</v>
      </c>
    </row>
    <row r="123" spans="1:5">
      <c r="A123" s="1">
        <v>121</v>
      </c>
      <c r="B123">
        <v>12</v>
      </c>
      <c r="C123">
        <v>0</v>
      </c>
      <c r="D123">
        <v>0</v>
      </c>
      <c r="E123">
        <v>12</v>
      </c>
    </row>
    <row r="124" spans="1:5">
      <c r="A124" s="1">
        <v>122</v>
      </c>
      <c r="B124">
        <v>13</v>
      </c>
      <c r="C124">
        <v>0</v>
      </c>
      <c r="D124">
        <v>0</v>
      </c>
      <c r="E124">
        <v>13</v>
      </c>
    </row>
    <row r="125" spans="1:5">
      <c r="A125" s="1">
        <v>123</v>
      </c>
      <c r="B125">
        <v>13</v>
      </c>
      <c r="C125">
        <v>0</v>
      </c>
      <c r="D125">
        <v>0</v>
      </c>
      <c r="E125">
        <v>13</v>
      </c>
    </row>
    <row r="126" spans="1:5">
      <c r="A126" s="1">
        <v>124</v>
      </c>
      <c r="B126">
        <v>13</v>
      </c>
      <c r="C126">
        <v>0</v>
      </c>
      <c r="D126">
        <v>0</v>
      </c>
      <c r="E126">
        <v>13</v>
      </c>
    </row>
    <row r="127" spans="1:5">
      <c r="A127" s="1">
        <v>125</v>
      </c>
      <c r="B127">
        <v>13</v>
      </c>
      <c r="C127">
        <v>0</v>
      </c>
      <c r="D127">
        <v>0</v>
      </c>
      <c r="E127">
        <v>13</v>
      </c>
    </row>
    <row r="128" spans="1:5">
      <c r="A128" s="1">
        <v>126</v>
      </c>
      <c r="B128">
        <v>13</v>
      </c>
      <c r="C128">
        <v>0</v>
      </c>
      <c r="D128">
        <v>0</v>
      </c>
      <c r="E128">
        <v>13</v>
      </c>
    </row>
    <row r="129" spans="1:5">
      <c r="A129" s="1">
        <v>127</v>
      </c>
      <c r="B129">
        <v>13</v>
      </c>
      <c r="C129">
        <v>0</v>
      </c>
      <c r="D129">
        <v>0</v>
      </c>
      <c r="E129">
        <v>13</v>
      </c>
    </row>
    <row r="130" spans="1:5">
      <c r="A130" s="1">
        <v>128</v>
      </c>
      <c r="B130">
        <v>14</v>
      </c>
      <c r="C130">
        <v>0</v>
      </c>
      <c r="D130">
        <v>0</v>
      </c>
      <c r="E130">
        <v>14</v>
      </c>
    </row>
    <row r="131" spans="1:5">
      <c r="A131" s="1">
        <v>129</v>
      </c>
      <c r="B131">
        <v>14</v>
      </c>
      <c r="C131">
        <v>0</v>
      </c>
      <c r="D131">
        <v>0</v>
      </c>
      <c r="E131">
        <v>14</v>
      </c>
    </row>
    <row r="132" spans="1:5">
      <c r="A132" s="1">
        <v>130</v>
      </c>
      <c r="B132">
        <v>14</v>
      </c>
      <c r="C132">
        <v>0</v>
      </c>
      <c r="D132">
        <v>0</v>
      </c>
      <c r="E132">
        <v>14</v>
      </c>
    </row>
    <row r="133" spans="1:5">
      <c r="A133" s="1">
        <v>131</v>
      </c>
      <c r="B133">
        <v>14</v>
      </c>
      <c r="C133">
        <v>0</v>
      </c>
      <c r="D133">
        <v>0</v>
      </c>
      <c r="E133">
        <v>14</v>
      </c>
    </row>
    <row r="134" spans="1:5">
      <c r="A134" s="1">
        <v>132</v>
      </c>
      <c r="B134">
        <v>14</v>
      </c>
      <c r="C134">
        <v>0</v>
      </c>
      <c r="D134">
        <v>0</v>
      </c>
      <c r="E134">
        <v>14</v>
      </c>
    </row>
    <row r="135" spans="1:5">
      <c r="A135" s="1">
        <v>133</v>
      </c>
      <c r="B135">
        <v>15</v>
      </c>
      <c r="C135">
        <v>0</v>
      </c>
      <c r="D135">
        <v>0</v>
      </c>
      <c r="E135">
        <v>15</v>
      </c>
    </row>
    <row r="136" spans="1:5">
      <c r="A136" s="1">
        <v>134</v>
      </c>
      <c r="B136">
        <v>15</v>
      </c>
      <c r="C136">
        <v>0</v>
      </c>
      <c r="D136">
        <v>0</v>
      </c>
      <c r="E136">
        <v>15</v>
      </c>
    </row>
    <row r="137" spans="1:5">
      <c r="A137" s="1">
        <v>135</v>
      </c>
      <c r="B137">
        <v>15</v>
      </c>
      <c r="C137">
        <v>0</v>
      </c>
      <c r="D137">
        <v>0</v>
      </c>
      <c r="E137">
        <v>15</v>
      </c>
    </row>
    <row r="138" spans="1:5">
      <c r="A138" s="1">
        <v>136</v>
      </c>
      <c r="B138">
        <v>15</v>
      </c>
      <c r="C138">
        <v>0</v>
      </c>
      <c r="D138">
        <v>0</v>
      </c>
      <c r="E138">
        <v>15</v>
      </c>
    </row>
    <row r="139" spans="1:5">
      <c r="A139" s="1">
        <v>137</v>
      </c>
      <c r="B139">
        <v>15</v>
      </c>
      <c r="C139">
        <v>0</v>
      </c>
      <c r="D139">
        <v>0</v>
      </c>
      <c r="E139">
        <v>15</v>
      </c>
    </row>
    <row r="140" spans="1:5">
      <c r="A140" s="1">
        <v>138</v>
      </c>
      <c r="B140">
        <v>15</v>
      </c>
      <c r="C140">
        <v>0</v>
      </c>
      <c r="D140">
        <v>0</v>
      </c>
      <c r="E140">
        <v>15</v>
      </c>
    </row>
    <row r="141" spans="1:5">
      <c r="A141" s="1">
        <v>139</v>
      </c>
      <c r="B141">
        <v>16</v>
      </c>
      <c r="C141">
        <v>0</v>
      </c>
      <c r="D141">
        <v>0</v>
      </c>
      <c r="E141">
        <v>16</v>
      </c>
    </row>
    <row r="142" spans="1:5">
      <c r="A142" s="1">
        <v>140</v>
      </c>
      <c r="B142">
        <v>16</v>
      </c>
      <c r="C142">
        <v>0</v>
      </c>
      <c r="D142">
        <v>0</v>
      </c>
      <c r="E142">
        <v>16</v>
      </c>
    </row>
    <row r="143" spans="1:5">
      <c r="A143" s="1">
        <v>141</v>
      </c>
      <c r="B143">
        <v>16</v>
      </c>
      <c r="C143">
        <v>0</v>
      </c>
      <c r="D143">
        <v>0</v>
      </c>
      <c r="E143">
        <v>16</v>
      </c>
    </row>
    <row r="144" spans="1:5">
      <c r="A144" s="1">
        <v>142</v>
      </c>
      <c r="B144">
        <v>16</v>
      </c>
      <c r="C144">
        <v>0</v>
      </c>
      <c r="D144">
        <v>0</v>
      </c>
      <c r="E144">
        <v>16</v>
      </c>
    </row>
    <row r="145" spans="1:5">
      <c r="A145" s="1">
        <v>143</v>
      </c>
      <c r="B145">
        <v>16</v>
      </c>
      <c r="C145">
        <v>0</v>
      </c>
      <c r="D145">
        <v>0</v>
      </c>
      <c r="E145">
        <v>16</v>
      </c>
    </row>
    <row r="146" spans="1:5">
      <c r="A146" s="1">
        <v>144</v>
      </c>
      <c r="B146">
        <v>17</v>
      </c>
      <c r="C146">
        <v>0</v>
      </c>
      <c r="D146">
        <v>0</v>
      </c>
      <c r="E146">
        <v>17</v>
      </c>
    </row>
    <row r="147" spans="1:5">
      <c r="A147" s="1">
        <v>145</v>
      </c>
      <c r="B147">
        <v>17</v>
      </c>
      <c r="C147">
        <v>0</v>
      </c>
      <c r="D147">
        <v>0</v>
      </c>
      <c r="E147">
        <v>17</v>
      </c>
    </row>
    <row r="148" spans="1:5">
      <c r="A148" s="1">
        <v>146</v>
      </c>
      <c r="B148">
        <v>17</v>
      </c>
      <c r="C148">
        <v>0</v>
      </c>
      <c r="D148">
        <v>0</v>
      </c>
      <c r="E148">
        <v>17</v>
      </c>
    </row>
    <row r="149" spans="1:5">
      <c r="A149" s="1">
        <v>147</v>
      </c>
      <c r="B149">
        <v>17</v>
      </c>
      <c r="C149">
        <v>0</v>
      </c>
      <c r="D149">
        <v>0</v>
      </c>
      <c r="E149">
        <v>17</v>
      </c>
    </row>
    <row r="150" spans="1:5">
      <c r="A150" s="1">
        <v>148</v>
      </c>
      <c r="B150">
        <v>17</v>
      </c>
      <c r="C150">
        <v>0</v>
      </c>
      <c r="D150">
        <v>0</v>
      </c>
      <c r="E150">
        <v>17</v>
      </c>
    </row>
    <row r="151" spans="1:5">
      <c r="A151" s="1">
        <v>149</v>
      </c>
      <c r="B151">
        <v>18</v>
      </c>
      <c r="C151">
        <v>0</v>
      </c>
      <c r="D151">
        <v>0</v>
      </c>
      <c r="E151">
        <v>18</v>
      </c>
    </row>
    <row r="152" spans="1:5">
      <c r="A152" s="1">
        <v>150</v>
      </c>
      <c r="B152">
        <v>18</v>
      </c>
      <c r="C152">
        <v>0</v>
      </c>
      <c r="D152">
        <v>0</v>
      </c>
      <c r="E152">
        <v>18</v>
      </c>
    </row>
    <row r="153" spans="1:5">
      <c r="A153" s="1">
        <v>151</v>
      </c>
      <c r="B153">
        <v>18</v>
      </c>
      <c r="C153">
        <v>0</v>
      </c>
      <c r="D153">
        <v>0</v>
      </c>
      <c r="E153">
        <v>18</v>
      </c>
    </row>
    <row r="154" spans="1:5">
      <c r="A154" s="1">
        <v>152</v>
      </c>
      <c r="B154">
        <v>18</v>
      </c>
      <c r="C154">
        <v>0</v>
      </c>
      <c r="D154">
        <v>0</v>
      </c>
      <c r="E154">
        <v>18</v>
      </c>
    </row>
    <row r="155" spans="1:5">
      <c r="A155" s="1">
        <v>153</v>
      </c>
      <c r="B155">
        <v>18</v>
      </c>
      <c r="C155">
        <v>0</v>
      </c>
      <c r="D155">
        <v>0</v>
      </c>
      <c r="E155">
        <v>18</v>
      </c>
    </row>
    <row r="156" spans="1:5">
      <c r="A156" s="1">
        <v>154</v>
      </c>
      <c r="B156">
        <v>18</v>
      </c>
      <c r="C156">
        <v>0</v>
      </c>
      <c r="D156">
        <v>0</v>
      </c>
      <c r="E156">
        <v>18</v>
      </c>
    </row>
    <row r="157" spans="1:5">
      <c r="A157" s="1">
        <v>155</v>
      </c>
      <c r="B157">
        <v>19</v>
      </c>
      <c r="C157">
        <v>0</v>
      </c>
      <c r="D157">
        <v>0</v>
      </c>
      <c r="E157">
        <v>19</v>
      </c>
    </row>
    <row r="158" spans="1:5">
      <c r="A158" s="1">
        <v>156</v>
      </c>
      <c r="B158">
        <v>19</v>
      </c>
      <c r="C158">
        <v>0</v>
      </c>
      <c r="D158">
        <v>0</v>
      </c>
      <c r="E158">
        <v>19</v>
      </c>
    </row>
    <row r="159" spans="1:5">
      <c r="A159" s="1">
        <v>157</v>
      </c>
      <c r="B159">
        <v>19</v>
      </c>
      <c r="C159">
        <v>0</v>
      </c>
      <c r="D159">
        <v>0</v>
      </c>
      <c r="E159">
        <v>19</v>
      </c>
    </row>
    <row r="160" spans="1:5">
      <c r="A160" s="1">
        <v>158</v>
      </c>
      <c r="B160">
        <v>19</v>
      </c>
      <c r="C160">
        <v>0</v>
      </c>
      <c r="D160">
        <v>0</v>
      </c>
      <c r="E160">
        <v>19</v>
      </c>
    </row>
    <row r="161" spans="1:5">
      <c r="A161" s="1">
        <v>159</v>
      </c>
      <c r="B161">
        <v>19</v>
      </c>
      <c r="C161">
        <v>0</v>
      </c>
      <c r="D161">
        <v>0</v>
      </c>
      <c r="E161">
        <v>19</v>
      </c>
    </row>
    <row r="162" spans="1:5">
      <c r="A162" s="1">
        <v>160</v>
      </c>
      <c r="B162">
        <v>20</v>
      </c>
      <c r="C162">
        <v>0</v>
      </c>
      <c r="D162">
        <v>0</v>
      </c>
      <c r="E162">
        <v>20</v>
      </c>
    </row>
    <row r="163" spans="1:5">
      <c r="A163" s="1">
        <v>161</v>
      </c>
      <c r="B163">
        <v>20</v>
      </c>
      <c r="C163">
        <v>0</v>
      </c>
      <c r="D163">
        <v>0</v>
      </c>
      <c r="E163">
        <v>20</v>
      </c>
    </row>
    <row r="164" spans="1:5">
      <c r="A164" s="1">
        <v>162</v>
      </c>
      <c r="B164">
        <v>20</v>
      </c>
      <c r="C164">
        <v>0</v>
      </c>
      <c r="D164">
        <v>0</v>
      </c>
      <c r="E164">
        <v>20</v>
      </c>
    </row>
    <row r="165" spans="1:5">
      <c r="A165" s="1">
        <v>163</v>
      </c>
      <c r="B165">
        <v>20</v>
      </c>
      <c r="C165">
        <v>0</v>
      </c>
      <c r="D165">
        <v>0</v>
      </c>
      <c r="E165">
        <v>20</v>
      </c>
    </row>
    <row r="166" spans="1:5">
      <c r="A166" s="1">
        <v>164</v>
      </c>
      <c r="B166">
        <v>20</v>
      </c>
      <c r="C166">
        <v>0</v>
      </c>
      <c r="D166">
        <v>0</v>
      </c>
      <c r="E166">
        <v>20</v>
      </c>
    </row>
    <row r="167" spans="1:5">
      <c r="A167" s="1">
        <v>165</v>
      </c>
      <c r="B167">
        <v>21</v>
      </c>
      <c r="C167">
        <v>0</v>
      </c>
      <c r="D167">
        <v>0</v>
      </c>
      <c r="E167">
        <v>21</v>
      </c>
    </row>
    <row r="168" spans="1:5">
      <c r="A168" s="1">
        <v>166</v>
      </c>
      <c r="B168">
        <v>21</v>
      </c>
      <c r="C168">
        <v>0</v>
      </c>
      <c r="D168">
        <v>0</v>
      </c>
      <c r="E168">
        <v>21</v>
      </c>
    </row>
    <row r="169" spans="1:5">
      <c r="A169" s="1">
        <v>167</v>
      </c>
      <c r="B169">
        <v>21</v>
      </c>
      <c r="C169">
        <v>0</v>
      </c>
      <c r="D169">
        <v>0</v>
      </c>
      <c r="E169">
        <v>21</v>
      </c>
    </row>
    <row r="170" spans="1:5">
      <c r="A170" s="1">
        <v>168</v>
      </c>
      <c r="B170">
        <v>21</v>
      </c>
      <c r="C170">
        <v>0</v>
      </c>
      <c r="D170">
        <v>0</v>
      </c>
      <c r="E170">
        <v>21</v>
      </c>
    </row>
    <row r="171" spans="1:5">
      <c r="A171" s="1">
        <v>169</v>
      </c>
      <c r="B171">
        <v>21</v>
      </c>
      <c r="C171">
        <v>0</v>
      </c>
      <c r="D171">
        <v>0</v>
      </c>
      <c r="E171">
        <v>21</v>
      </c>
    </row>
    <row r="172" spans="1:5">
      <c r="A172" s="1">
        <v>170</v>
      </c>
      <c r="B172">
        <v>22</v>
      </c>
      <c r="C172">
        <v>0</v>
      </c>
      <c r="D172">
        <v>0</v>
      </c>
      <c r="E172">
        <v>22</v>
      </c>
    </row>
    <row r="173" spans="1:5">
      <c r="A173" s="1">
        <v>171</v>
      </c>
      <c r="B173">
        <v>22</v>
      </c>
      <c r="C173">
        <v>0</v>
      </c>
      <c r="D173">
        <v>0</v>
      </c>
      <c r="E173">
        <v>22</v>
      </c>
    </row>
    <row r="174" spans="1:5">
      <c r="A174" s="1">
        <v>172</v>
      </c>
      <c r="B174">
        <v>22</v>
      </c>
      <c r="C174">
        <v>0</v>
      </c>
      <c r="D174">
        <v>0</v>
      </c>
      <c r="E174">
        <v>22</v>
      </c>
    </row>
    <row r="175" spans="1:5">
      <c r="A175" s="1">
        <v>173</v>
      </c>
      <c r="B175">
        <v>22</v>
      </c>
      <c r="C175">
        <v>0</v>
      </c>
      <c r="D175">
        <v>0</v>
      </c>
      <c r="E175">
        <v>22</v>
      </c>
    </row>
    <row r="176" spans="1:5">
      <c r="A176" s="1">
        <v>174</v>
      </c>
      <c r="B176">
        <v>22</v>
      </c>
      <c r="C176">
        <v>0</v>
      </c>
      <c r="D176">
        <v>0</v>
      </c>
      <c r="E176">
        <v>22</v>
      </c>
    </row>
    <row r="177" spans="1:5">
      <c r="A177" s="1">
        <v>175</v>
      </c>
      <c r="B177">
        <v>23</v>
      </c>
      <c r="C177">
        <v>0</v>
      </c>
      <c r="D177">
        <v>0</v>
      </c>
      <c r="E177">
        <v>23</v>
      </c>
    </row>
    <row r="178" spans="1:5">
      <c r="A178" s="1">
        <v>176</v>
      </c>
      <c r="B178">
        <v>23</v>
      </c>
      <c r="C178">
        <v>0</v>
      </c>
      <c r="D178">
        <v>0</v>
      </c>
      <c r="E178">
        <v>23</v>
      </c>
    </row>
    <row r="179" spans="1:5">
      <c r="A179" s="1">
        <v>177</v>
      </c>
      <c r="B179">
        <v>23</v>
      </c>
      <c r="C179">
        <v>0</v>
      </c>
      <c r="D179">
        <v>0</v>
      </c>
      <c r="E179">
        <v>23</v>
      </c>
    </row>
    <row r="180" spans="1:5">
      <c r="A180" s="1">
        <v>178</v>
      </c>
      <c r="B180">
        <v>23</v>
      </c>
      <c r="C180">
        <v>0</v>
      </c>
      <c r="D180">
        <v>0</v>
      </c>
      <c r="E180">
        <v>23</v>
      </c>
    </row>
    <row r="181" spans="1:5">
      <c r="A181" s="1">
        <v>179</v>
      </c>
      <c r="B181">
        <v>23</v>
      </c>
      <c r="C181">
        <v>0</v>
      </c>
      <c r="D181">
        <v>0</v>
      </c>
      <c r="E181">
        <v>23</v>
      </c>
    </row>
    <row r="182" spans="1:5">
      <c r="A182" s="1">
        <v>180</v>
      </c>
      <c r="B182">
        <v>24</v>
      </c>
      <c r="C182">
        <v>0</v>
      </c>
      <c r="D182">
        <v>0</v>
      </c>
      <c r="E182">
        <v>24</v>
      </c>
    </row>
    <row r="183" spans="1:5">
      <c r="A183" s="1">
        <v>181</v>
      </c>
      <c r="B183">
        <v>24</v>
      </c>
      <c r="C183">
        <v>0</v>
      </c>
      <c r="D183">
        <v>0</v>
      </c>
      <c r="E183">
        <v>24</v>
      </c>
    </row>
    <row r="184" spans="1:5">
      <c r="A184" s="1">
        <v>182</v>
      </c>
      <c r="B184">
        <v>24</v>
      </c>
      <c r="C184">
        <v>0</v>
      </c>
      <c r="D184">
        <v>0</v>
      </c>
      <c r="E184">
        <v>24</v>
      </c>
    </row>
    <row r="185" spans="1:5">
      <c r="A185" s="1">
        <v>183</v>
      </c>
      <c r="B185">
        <v>24</v>
      </c>
      <c r="C185">
        <v>0</v>
      </c>
      <c r="D185">
        <v>0</v>
      </c>
      <c r="E185">
        <v>24</v>
      </c>
    </row>
    <row r="186" spans="1:5">
      <c r="A186" s="1">
        <v>184</v>
      </c>
      <c r="B186">
        <v>25</v>
      </c>
      <c r="C186">
        <v>0</v>
      </c>
      <c r="D186">
        <v>0</v>
      </c>
      <c r="E186">
        <v>25</v>
      </c>
    </row>
    <row r="187" spans="1:5">
      <c r="A187" s="1">
        <v>185</v>
      </c>
      <c r="B187">
        <v>25</v>
      </c>
      <c r="C187">
        <v>0</v>
      </c>
      <c r="D187">
        <v>0</v>
      </c>
      <c r="E187">
        <v>25</v>
      </c>
    </row>
    <row r="188" spans="1:5">
      <c r="A188" s="1">
        <v>186</v>
      </c>
      <c r="B188">
        <v>25</v>
      </c>
      <c r="C188">
        <v>0</v>
      </c>
      <c r="D188">
        <v>0</v>
      </c>
      <c r="E188">
        <v>25</v>
      </c>
    </row>
    <row r="189" spans="1:5">
      <c r="A189" s="1">
        <v>187</v>
      </c>
      <c r="B189">
        <v>25</v>
      </c>
      <c r="C189">
        <v>0</v>
      </c>
      <c r="D189">
        <v>0</v>
      </c>
      <c r="E189">
        <v>25</v>
      </c>
    </row>
    <row r="190" spans="1:5">
      <c r="A190" s="1">
        <v>188</v>
      </c>
      <c r="B190">
        <v>25</v>
      </c>
      <c r="C190">
        <v>0</v>
      </c>
      <c r="D190">
        <v>0</v>
      </c>
      <c r="E190">
        <v>25</v>
      </c>
    </row>
    <row r="191" spans="1:5">
      <c r="A191" s="1">
        <v>189</v>
      </c>
      <c r="B191">
        <v>26</v>
      </c>
      <c r="C191">
        <v>0</v>
      </c>
      <c r="D191">
        <v>0</v>
      </c>
      <c r="E191">
        <v>26</v>
      </c>
    </row>
    <row r="192" spans="1:5">
      <c r="A192" s="1">
        <v>190</v>
      </c>
      <c r="B192">
        <v>26</v>
      </c>
      <c r="C192">
        <v>0</v>
      </c>
      <c r="D192">
        <v>0</v>
      </c>
      <c r="E192">
        <v>26</v>
      </c>
    </row>
    <row r="193" spans="1:5">
      <c r="A193" s="1">
        <v>191</v>
      </c>
      <c r="B193">
        <v>26</v>
      </c>
      <c r="C193">
        <v>0</v>
      </c>
      <c r="D193">
        <v>0</v>
      </c>
      <c r="E193">
        <v>26</v>
      </c>
    </row>
    <row r="194" spans="1:5">
      <c r="A194" s="1">
        <v>192</v>
      </c>
      <c r="B194">
        <v>26</v>
      </c>
      <c r="C194">
        <v>0</v>
      </c>
      <c r="D194">
        <v>0</v>
      </c>
      <c r="E194">
        <v>26</v>
      </c>
    </row>
    <row r="195" spans="1:5">
      <c r="A195" s="1">
        <v>193</v>
      </c>
      <c r="B195">
        <v>26</v>
      </c>
      <c r="C195">
        <v>0</v>
      </c>
      <c r="D195">
        <v>0</v>
      </c>
      <c r="E195">
        <v>26</v>
      </c>
    </row>
    <row r="196" spans="1:5">
      <c r="A196" s="1">
        <v>194</v>
      </c>
      <c r="B196">
        <v>27</v>
      </c>
      <c r="C196">
        <v>0</v>
      </c>
      <c r="D196">
        <v>0</v>
      </c>
      <c r="E196">
        <v>27</v>
      </c>
    </row>
    <row r="197" spans="1:5">
      <c r="A197" s="1">
        <v>195</v>
      </c>
      <c r="B197">
        <v>27</v>
      </c>
      <c r="C197">
        <v>0</v>
      </c>
      <c r="D197">
        <v>0</v>
      </c>
      <c r="E197">
        <v>27</v>
      </c>
    </row>
    <row r="198" spans="1:5">
      <c r="A198" s="1">
        <v>196</v>
      </c>
      <c r="B198">
        <v>27</v>
      </c>
      <c r="C198">
        <v>0</v>
      </c>
      <c r="D198">
        <v>0</v>
      </c>
      <c r="E198">
        <v>27</v>
      </c>
    </row>
    <row r="199" spans="1:5">
      <c r="A199" s="1">
        <v>197</v>
      </c>
      <c r="B199">
        <v>27</v>
      </c>
      <c r="C199">
        <v>0</v>
      </c>
      <c r="D199">
        <v>0</v>
      </c>
      <c r="E199">
        <v>27</v>
      </c>
    </row>
    <row r="200" spans="1:5">
      <c r="A200" s="1">
        <v>198</v>
      </c>
      <c r="B200">
        <v>28</v>
      </c>
      <c r="C200">
        <v>0</v>
      </c>
      <c r="D200">
        <v>0</v>
      </c>
      <c r="E200">
        <v>28</v>
      </c>
    </row>
    <row r="201" spans="1:5">
      <c r="A201" s="1">
        <v>199</v>
      </c>
      <c r="B201">
        <v>28</v>
      </c>
      <c r="C201">
        <v>0</v>
      </c>
      <c r="D201">
        <v>0</v>
      </c>
      <c r="E201">
        <v>28</v>
      </c>
    </row>
    <row r="202" spans="1:5">
      <c r="A202" s="1">
        <v>200</v>
      </c>
      <c r="B202">
        <v>28</v>
      </c>
      <c r="C202">
        <v>0</v>
      </c>
      <c r="D202">
        <v>0</v>
      </c>
      <c r="E202">
        <v>28</v>
      </c>
    </row>
    <row r="203" spans="1:5">
      <c r="A203" s="1">
        <v>201</v>
      </c>
      <c r="B203">
        <v>28</v>
      </c>
      <c r="C203">
        <v>0</v>
      </c>
      <c r="D203">
        <v>0</v>
      </c>
      <c r="E203">
        <v>28</v>
      </c>
    </row>
    <row r="204" spans="1:5">
      <c r="A204" s="1">
        <v>202</v>
      </c>
      <c r="B204">
        <v>29</v>
      </c>
      <c r="C204">
        <v>0</v>
      </c>
      <c r="D204">
        <v>0</v>
      </c>
      <c r="E204">
        <v>29</v>
      </c>
    </row>
    <row r="205" spans="1:5">
      <c r="A205" s="1">
        <v>203</v>
      </c>
      <c r="B205">
        <v>29</v>
      </c>
      <c r="C205">
        <v>0</v>
      </c>
      <c r="D205">
        <v>0</v>
      </c>
      <c r="E205">
        <v>29</v>
      </c>
    </row>
    <row r="206" spans="1:5">
      <c r="A206" s="1">
        <v>204</v>
      </c>
      <c r="B206">
        <v>29</v>
      </c>
      <c r="C206">
        <v>0</v>
      </c>
      <c r="D206">
        <v>0</v>
      </c>
      <c r="E206">
        <v>29</v>
      </c>
    </row>
    <row r="207" spans="1:5">
      <c r="A207" s="1">
        <v>205</v>
      </c>
      <c r="B207">
        <v>29</v>
      </c>
      <c r="C207">
        <v>0</v>
      </c>
      <c r="D207">
        <v>0</v>
      </c>
      <c r="E207">
        <v>29</v>
      </c>
    </row>
    <row r="208" spans="1:5">
      <c r="A208" s="1">
        <v>206</v>
      </c>
      <c r="B208">
        <v>29</v>
      </c>
      <c r="C208">
        <v>0</v>
      </c>
      <c r="D208">
        <v>0</v>
      </c>
      <c r="E208">
        <v>29</v>
      </c>
    </row>
    <row r="209" spans="1:5">
      <c r="A209" s="1">
        <v>207</v>
      </c>
      <c r="B209">
        <v>30</v>
      </c>
      <c r="C209">
        <v>0</v>
      </c>
      <c r="D209">
        <v>0</v>
      </c>
      <c r="E209">
        <v>30</v>
      </c>
    </row>
    <row r="210" spans="1:5">
      <c r="A210" s="1">
        <v>208</v>
      </c>
      <c r="B210">
        <v>30</v>
      </c>
      <c r="C210">
        <v>0</v>
      </c>
      <c r="D210">
        <v>0</v>
      </c>
      <c r="E210">
        <v>30</v>
      </c>
    </row>
    <row r="211" spans="1:5">
      <c r="A211" s="1">
        <v>209</v>
      </c>
      <c r="B211">
        <v>30</v>
      </c>
      <c r="C211">
        <v>0</v>
      </c>
      <c r="D211">
        <v>0</v>
      </c>
      <c r="E211">
        <v>30</v>
      </c>
    </row>
    <row r="212" spans="1:5">
      <c r="A212" s="1">
        <v>210</v>
      </c>
      <c r="B212">
        <v>30</v>
      </c>
      <c r="C212">
        <v>0</v>
      </c>
      <c r="D212">
        <v>0</v>
      </c>
      <c r="E212">
        <v>30</v>
      </c>
    </row>
    <row r="213" spans="1:5">
      <c r="A213" s="1">
        <v>211</v>
      </c>
      <c r="B213">
        <v>31</v>
      </c>
      <c r="C213">
        <v>0</v>
      </c>
      <c r="D213">
        <v>0</v>
      </c>
      <c r="E213">
        <v>31</v>
      </c>
    </row>
    <row r="214" spans="1:5">
      <c r="A214" s="1">
        <v>212</v>
      </c>
      <c r="B214">
        <v>31</v>
      </c>
      <c r="C214">
        <v>0</v>
      </c>
      <c r="D214">
        <v>0</v>
      </c>
      <c r="E214">
        <v>31</v>
      </c>
    </row>
    <row r="215" spans="1:5">
      <c r="A215" s="1">
        <v>213</v>
      </c>
      <c r="B215">
        <v>31</v>
      </c>
      <c r="C215">
        <v>0</v>
      </c>
      <c r="D215">
        <v>0</v>
      </c>
      <c r="E215">
        <v>31</v>
      </c>
    </row>
    <row r="216" spans="1:5">
      <c r="A216" s="1">
        <v>214</v>
      </c>
      <c r="B216">
        <v>31</v>
      </c>
      <c r="C216">
        <v>0</v>
      </c>
      <c r="D216">
        <v>0</v>
      </c>
      <c r="E216">
        <v>31</v>
      </c>
    </row>
    <row r="217" spans="1:5">
      <c r="A217" s="1">
        <v>215</v>
      </c>
      <c r="B217">
        <v>32</v>
      </c>
      <c r="C217">
        <v>0</v>
      </c>
      <c r="D217">
        <v>0</v>
      </c>
      <c r="E217">
        <v>32</v>
      </c>
    </row>
    <row r="218" spans="1:5">
      <c r="A218" s="1">
        <v>216</v>
      </c>
      <c r="B218">
        <v>32</v>
      </c>
      <c r="C218">
        <v>0</v>
      </c>
      <c r="D218">
        <v>0</v>
      </c>
      <c r="E218">
        <v>32</v>
      </c>
    </row>
    <row r="219" spans="1:5">
      <c r="A219" s="1">
        <v>217</v>
      </c>
      <c r="B219">
        <v>32</v>
      </c>
      <c r="C219">
        <v>0</v>
      </c>
      <c r="D219">
        <v>0</v>
      </c>
      <c r="E219">
        <v>32</v>
      </c>
    </row>
    <row r="220" spans="1:5">
      <c r="A220" s="1">
        <v>218</v>
      </c>
      <c r="B220">
        <v>32</v>
      </c>
      <c r="C220">
        <v>0</v>
      </c>
      <c r="D220">
        <v>0</v>
      </c>
      <c r="E220">
        <v>32</v>
      </c>
    </row>
    <row r="221" spans="1:5">
      <c r="A221" s="1">
        <v>219</v>
      </c>
      <c r="B221">
        <v>33</v>
      </c>
      <c r="C221">
        <v>0</v>
      </c>
      <c r="D221">
        <v>0</v>
      </c>
      <c r="E221">
        <v>33</v>
      </c>
    </row>
    <row r="222" spans="1:5">
      <c r="A222" s="1">
        <v>220</v>
      </c>
      <c r="B222">
        <v>33</v>
      </c>
      <c r="C222">
        <v>0</v>
      </c>
      <c r="D222">
        <v>0</v>
      </c>
      <c r="E222">
        <v>33</v>
      </c>
    </row>
    <row r="223" spans="1:5">
      <c r="A223" s="1">
        <v>221</v>
      </c>
      <c r="B223">
        <v>33</v>
      </c>
      <c r="C223">
        <v>0</v>
      </c>
      <c r="D223">
        <v>0</v>
      </c>
      <c r="E223">
        <v>33</v>
      </c>
    </row>
    <row r="224" spans="1:5">
      <c r="A224" s="1">
        <v>222</v>
      </c>
      <c r="B224">
        <v>33</v>
      </c>
      <c r="C224">
        <v>0</v>
      </c>
      <c r="D224">
        <v>0</v>
      </c>
      <c r="E224">
        <v>33</v>
      </c>
    </row>
    <row r="225" spans="1:5">
      <c r="A225" s="1">
        <v>223</v>
      </c>
      <c r="B225">
        <v>34</v>
      </c>
      <c r="C225">
        <v>0</v>
      </c>
      <c r="D225">
        <v>0</v>
      </c>
      <c r="E225">
        <v>34</v>
      </c>
    </row>
    <row r="226" spans="1:5">
      <c r="A226" s="1">
        <v>224</v>
      </c>
      <c r="B226">
        <v>34</v>
      </c>
      <c r="C226">
        <v>0</v>
      </c>
      <c r="D226">
        <v>0</v>
      </c>
      <c r="E226">
        <v>34</v>
      </c>
    </row>
    <row r="227" spans="1:5">
      <c r="A227" s="1">
        <v>225</v>
      </c>
      <c r="B227">
        <v>34</v>
      </c>
      <c r="C227">
        <v>0</v>
      </c>
      <c r="D227">
        <v>0</v>
      </c>
      <c r="E227">
        <v>34</v>
      </c>
    </row>
    <row r="228" spans="1:5">
      <c r="A228" s="1">
        <v>226</v>
      </c>
      <c r="B228">
        <v>35</v>
      </c>
      <c r="C228">
        <v>0</v>
      </c>
      <c r="D228">
        <v>0</v>
      </c>
      <c r="E228">
        <v>35</v>
      </c>
    </row>
    <row r="229" spans="1:5">
      <c r="A229" s="1">
        <v>227</v>
      </c>
      <c r="B229">
        <v>35</v>
      </c>
      <c r="C229">
        <v>0</v>
      </c>
      <c r="D229">
        <v>0</v>
      </c>
      <c r="E229">
        <v>35</v>
      </c>
    </row>
    <row r="230" spans="1:5">
      <c r="A230" s="1">
        <v>228</v>
      </c>
      <c r="B230">
        <v>35</v>
      </c>
      <c r="C230">
        <v>0</v>
      </c>
      <c r="D230">
        <v>0</v>
      </c>
      <c r="E230">
        <v>35</v>
      </c>
    </row>
    <row r="231" spans="1:5">
      <c r="A231" s="1">
        <v>229</v>
      </c>
      <c r="B231">
        <v>35</v>
      </c>
      <c r="C231">
        <v>0</v>
      </c>
      <c r="D231">
        <v>0</v>
      </c>
      <c r="E231">
        <v>35</v>
      </c>
    </row>
    <row r="232" spans="1:5">
      <c r="A232" s="1">
        <v>230</v>
      </c>
      <c r="B232">
        <v>36</v>
      </c>
      <c r="C232">
        <v>0</v>
      </c>
      <c r="D232">
        <v>0</v>
      </c>
      <c r="E232">
        <v>36</v>
      </c>
    </row>
    <row r="233" spans="1:5">
      <c r="A233" s="1">
        <v>231</v>
      </c>
      <c r="B233">
        <v>36</v>
      </c>
      <c r="C233">
        <v>0</v>
      </c>
      <c r="D233">
        <v>0</v>
      </c>
      <c r="E233">
        <v>36</v>
      </c>
    </row>
    <row r="234" spans="1:5">
      <c r="A234" s="1">
        <v>232</v>
      </c>
      <c r="B234">
        <v>36</v>
      </c>
      <c r="C234">
        <v>0</v>
      </c>
      <c r="D234">
        <v>0</v>
      </c>
      <c r="E234">
        <v>36</v>
      </c>
    </row>
    <row r="235" spans="1:5">
      <c r="A235" s="1">
        <v>233</v>
      </c>
      <c r="B235">
        <v>37</v>
      </c>
      <c r="C235">
        <v>0</v>
      </c>
      <c r="D235">
        <v>0</v>
      </c>
      <c r="E235">
        <v>37</v>
      </c>
    </row>
    <row r="236" spans="1:5">
      <c r="A236" s="1">
        <v>234</v>
      </c>
      <c r="B236">
        <v>37</v>
      </c>
      <c r="C236">
        <v>0</v>
      </c>
      <c r="D236">
        <v>0</v>
      </c>
      <c r="E236">
        <v>37</v>
      </c>
    </row>
    <row r="237" spans="1:5">
      <c r="A237" s="1">
        <v>235</v>
      </c>
      <c r="B237">
        <v>37</v>
      </c>
      <c r="C237">
        <v>0</v>
      </c>
      <c r="D237">
        <v>0</v>
      </c>
      <c r="E237">
        <v>37</v>
      </c>
    </row>
    <row r="238" spans="1:5">
      <c r="A238" s="1">
        <v>236</v>
      </c>
      <c r="B238">
        <v>37</v>
      </c>
      <c r="C238">
        <v>0</v>
      </c>
      <c r="D238">
        <v>0</v>
      </c>
      <c r="E238">
        <v>37</v>
      </c>
    </row>
    <row r="239" spans="1:5">
      <c r="A239" s="1">
        <v>237</v>
      </c>
      <c r="B239">
        <v>38</v>
      </c>
      <c r="C239">
        <v>0</v>
      </c>
      <c r="D239">
        <v>0</v>
      </c>
      <c r="E239">
        <v>38</v>
      </c>
    </row>
    <row r="240" spans="1:5">
      <c r="A240" s="1">
        <v>238</v>
      </c>
      <c r="B240">
        <v>38</v>
      </c>
      <c r="C240">
        <v>0</v>
      </c>
      <c r="D240">
        <v>0</v>
      </c>
      <c r="E240">
        <v>38</v>
      </c>
    </row>
    <row r="241" spans="1:5">
      <c r="A241" s="1">
        <v>239</v>
      </c>
      <c r="B241">
        <v>38</v>
      </c>
      <c r="C241">
        <v>0</v>
      </c>
      <c r="D241">
        <v>0</v>
      </c>
      <c r="E241">
        <v>38</v>
      </c>
    </row>
    <row r="242" spans="1:5">
      <c r="A242" s="1">
        <v>240</v>
      </c>
      <c r="B242">
        <v>38</v>
      </c>
      <c r="C242">
        <v>0</v>
      </c>
      <c r="D242">
        <v>0</v>
      </c>
      <c r="E242">
        <v>38</v>
      </c>
    </row>
    <row r="243" spans="1:5">
      <c r="A243" s="1">
        <v>241</v>
      </c>
      <c r="B243">
        <v>39</v>
      </c>
      <c r="C243">
        <v>0</v>
      </c>
      <c r="D243">
        <v>0</v>
      </c>
      <c r="E243">
        <v>39</v>
      </c>
    </row>
    <row r="244" spans="1:5">
      <c r="A244" s="1">
        <v>242</v>
      </c>
      <c r="B244">
        <v>39</v>
      </c>
      <c r="C244">
        <v>0</v>
      </c>
      <c r="D244">
        <v>0</v>
      </c>
      <c r="E244">
        <v>39</v>
      </c>
    </row>
    <row r="245" spans="1:5">
      <c r="A245" s="1">
        <v>243</v>
      </c>
      <c r="B245">
        <v>39</v>
      </c>
      <c r="C245">
        <v>0</v>
      </c>
      <c r="D245">
        <v>0</v>
      </c>
      <c r="E245">
        <v>39</v>
      </c>
    </row>
    <row r="246" spans="1:5">
      <c r="A246" s="1">
        <v>244</v>
      </c>
      <c r="B246">
        <v>39</v>
      </c>
      <c r="C246">
        <v>0</v>
      </c>
      <c r="D246">
        <v>0</v>
      </c>
      <c r="E246">
        <v>39</v>
      </c>
    </row>
    <row r="247" spans="1:5">
      <c r="A247" s="1">
        <v>245</v>
      </c>
      <c r="B247">
        <v>39</v>
      </c>
      <c r="C247">
        <v>0</v>
      </c>
      <c r="D247">
        <v>0</v>
      </c>
      <c r="E247">
        <v>39</v>
      </c>
    </row>
    <row r="248" spans="1:5">
      <c r="A248" s="1">
        <v>246</v>
      </c>
      <c r="B248">
        <v>39</v>
      </c>
      <c r="C248">
        <v>0</v>
      </c>
      <c r="D248">
        <v>0</v>
      </c>
      <c r="E248">
        <v>39</v>
      </c>
    </row>
    <row r="249" spans="1:5">
      <c r="A249" s="1">
        <v>247</v>
      </c>
      <c r="B249">
        <v>39</v>
      </c>
      <c r="C249">
        <v>0</v>
      </c>
      <c r="D249">
        <v>0</v>
      </c>
      <c r="E249">
        <v>39</v>
      </c>
    </row>
    <row r="250" spans="1:5">
      <c r="A250" s="1">
        <v>248</v>
      </c>
      <c r="B250">
        <v>40</v>
      </c>
      <c r="C250">
        <v>0</v>
      </c>
      <c r="D250">
        <v>0</v>
      </c>
      <c r="E250">
        <v>40</v>
      </c>
    </row>
    <row r="251" spans="1:5">
      <c r="A251" s="1">
        <v>249</v>
      </c>
      <c r="B251">
        <v>40</v>
      </c>
      <c r="C251">
        <v>0</v>
      </c>
      <c r="D251">
        <v>0</v>
      </c>
      <c r="E251">
        <v>40</v>
      </c>
    </row>
    <row r="252" spans="1:5">
      <c r="A252" s="1">
        <v>250</v>
      </c>
      <c r="B252">
        <v>40</v>
      </c>
      <c r="C252">
        <v>0</v>
      </c>
      <c r="D252">
        <v>0</v>
      </c>
      <c r="E252">
        <v>40</v>
      </c>
    </row>
    <row r="253" spans="1:5">
      <c r="A253" s="1">
        <v>251</v>
      </c>
      <c r="B253">
        <v>40</v>
      </c>
      <c r="C253">
        <v>0</v>
      </c>
      <c r="D253">
        <v>0</v>
      </c>
      <c r="E253">
        <v>40</v>
      </c>
    </row>
    <row r="254" spans="1:5">
      <c r="A254" s="1">
        <v>252</v>
      </c>
      <c r="B254">
        <v>40</v>
      </c>
      <c r="C254">
        <v>0</v>
      </c>
      <c r="D254">
        <v>0</v>
      </c>
      <c r="E254">
        <v>40</v>
      </c>
    </row>
    <row r="255" spans="1:5">
      <c r="A255" s="1">
        <v>253</v>
      </c>
      <c r="B255">
        <v>40</v>
      </c>
      <c r="C255">
        <v>0</v>
      </c>
      <c r="D255">
        <v>0</v>
      </c>
      <c r="E255">
        <v>40</v>
      </c>
    </row>
    <row r="256" spans="1:5">
      <c r="A256" s="1">
        <v>254</v>
      </c>
      <c r="B256">
        <v>40</v>
      </c>
      <c r="C256">
        <v>0</v>
      </c>
      <c r="D256">
        <v>0</v>
      </c>
      <c r="E256">
        <v>40</v>
      </c>
    </row>
    <row r="257" spans="1:5">
      <c r="A257" s="1">
        <v>255</v>
      </c>
      <c r="B257">
        <v>40</v>
      </c>
      <c r="C257">
        <v>0</v>
      </c>
      <c r="D257">
        <v>0</v>
      </c>
      <c r="E257">
        <v>40</v>
      </c>
    </row>
    <row r="258" spans="1:5">
      <c r="A258" s="1">
        <v>256</v>
      </c>
      <c r="B258">
        <v>40</v>
      </c>
      <c r="C258">
        <v>0</v>
      </c>
      <c r="D258">
        <v>0</v>
      </c>
      <c r="E258">
        <v>40</v>
      </c>
    </row>
    <row r="259" spans="1:5">
      <c r="A259" s="1">
        <v>257</v>
      </c>
      <c r="B259">
        <v>40</v>
      </c>
      <c r="C259">
        <v>0</v>
      </c>
      <c r="D259">
        <v>0</v>
      </c>
      <c r="E259">
        <v>40</v>
      </c>
    </row>
    <row r="260" spans="1:5">
      <c r="A260" s="1">
        <v>258</v>
      </c>
      <c r="B260">
        <v>40</v>
      </c>
      <c r="C260">
        <v>0</v>
      </c>
      <c r="D260">
        <v>0</v>
      </c>
      <c r="E260">
        <v>40</v>
      </c>
    </row>
    <row r="261" spans="1:5">
      <c r="A261" s="1">
        <v>259</v>
      </c>
      <c r="B261">
        <v>40</v>
      </c>
      <c r="C261">
        <v>0</v>
      </c>
      <c r="D261">
        <v>0</v>
      </c>
      <c r="E261">
        <v>40</v>
      </c>
    </row>
    <row r="262" spans="1:5">
      <c r="A262" s="1">
        <v>260</v>
      </c>
      <c r="B262">
        <v>41</v>
      </c>
      <c r="C262">
        <v>0</v>
      </c>
      <c r="D262">
        <v>0</v>
      </c>
      <c r="E262">
        <v>41</v>
      </c>
    </row>
    <row r="263" spans="1:5">
      <c r="A263" s="1">
        <v>261</v>
      </c>
      <c r="B263">
        <v>41</v>
      </c>
      <c r="C263">
        <v>0</v>
      </c>
      <c r="D263">
        <v>0</v>
      </c>
      <c r="E263">
        <v>41</v>
      </c>
    </row>
    <row r="264" spans="1:5">
      <c r="A264" s="1">
        <v>262</v>
      </c>
      <c r="B264">
        <v>41</v>
      </c>
      <c r="C264">
        <v>0</v>
      </c>
      <c r="D264">
        <v>0</v>
      </c>
      <c r="E264">
        <v>41</v>
      </c>
    </row>
    <row r="265" spans="1:5">
      <c r="A265" s="1">
        <v>263</v>
      </c>
      <c r="B265">
        <v>41</v>
      </c>
      <c r="C265">
        <v>0</v>
      </c>
      <c r="D265">
        <v>0</v>
      </c>
      <c r="E265">
        <v>41</v>
      </c>
    </row>
    <row r="266" spans="1:5">
      <c r="A266" s="1">
        <v>264</v>
      </c>
      <c r="B266">
        <v>42</v>
      </c>
      <c r="C266">
        <v>0</v>
      </c>
      <c r="D266">
        <v>0</v>
      </c>
      <c r="E266">
        <v>42</v>
      </c>
    </row>
    <row r="267" spans="1:5">
      <c r="A267" s="1">
        <v>265</v>
      </c>
      <c r="B267">
        <v>42</v>
      </c>
      <c r="C267">
        <v>0</v>
      </c>
      <c r="D267">
        <v>0</v>
      </c>
      <c r="E267">
        <v>42</v>
      </c>
    </row>
    <row r="268" spans="1:5">
      <c r="A268" s="1">
        <v>266</v>
      </c>
      <c r="B268">
        <v>42</v>
      </c>
      <c r="C268">
        <v>0</v>
      </c>
      <c r="D268">
        <v>0</v>
      </c>
      <c r="E268">
        <v>42</v>
      </c>
    </row>
    <row r="269" spans="1:5">
      <c r="A269" s="1">
        <v>267</v>
      </c>
      <c r="B269">
        <v>42</v>
      </c>
      <c r="C269">
        <v>0</v>
      </c>
      <c r="D269">
        <v>0</v>
      </c>
      <c r="E269">
        <v>42</v>
      </c>
    </row>
    <row r="270" spans="1:5">
      <c r="A270" s="1">
        <v>268</v>
      </c>
      <c r="B270">
        <v>42</v>
      </c>
      <c r="C270">
        <v>0</v>
      </c>
      <c r="D270">
        <v>0</v>
      </c>
      <c r="E270">
        <v>42</v>
      </c>
    </row>
    <row r="271" spans="1:5">
      <c r="A271" s="1">
        <v>269</v>
      </c>
      <c r="B271">
        <v>43</v>
      </c>
      <c r="C271">
        <v>0</v>
      </c>
      <c r="D271">
        <v>0</v>
      </c>
      <c r="E271">
        <v>43</v>
      </c>
    </row>
    <row r="272" spans="1:5">
      <c r="A272" s="1">
        <v>270</v>
      </c>
      <c r="B272">
        <v>43</v>
      </c>
      <c r="C272">
        <v>0</v>
      </c>
      <c r="D272">
        <v>0</v>
      </c>
      <c r="E272">
        <v>43</v>
      </c>
    </row>
    <row r="273" spans="1:5">
      <c r="A273" s="1">
        <v>271</v>
      </c>
      <c r="B273">
        <v>43</v>
      </c>
      <c r="C273">
        <v>0</v>
      </c>
      <c r="D273">
        <v>0</v>
      </c>
      <c r="E273">
        <v>43</v>
      </c>
    </row>
    <row r="274" spans="1:5">
      <c r="A274" s="1">
        <v>272</v>
      </c>
      <c r="B274">
        <v>43</v>
      </c>
      <c r="C274">
        <v>0</v>
      </c>
      <c r="D274">
        <v>0</v>
      </c>
      <c r="E274">
        <v>43</v>
      </c>
    </row>
    <row r="275" spans="1:5">
      <c r="A275" s="1">
        <v>273</v>
      </c>
      <c r="B275">
        <v>44</v>
      </c>
      <c r="C275">
        <v>0</v>
      </c>
      <c r="D275">
        <v>0</v>
      </c>
      <c r="E275">
        <v>44</v>
      </c>
    </row>
    <row r="276" spans="1:5">
      <c r="A276" s="1">
        <v>274</v>
      </c>
      <c r="B276">
        <v>44</v>
      </c>
      <c r="C276">
        <v>0</v>
      </c>
      <c r="D276">
        <v>0</v>
      </c>
      <c r="E276">
        <v>44</v>
      </c>
    </row>
    <row r="277" spans="1:5">
      <c r="A277" s="1">
        <v>275</v>
      </c>
      <c r="B277">
        <v>44</v>
      </c>
      <c r="C277">
        <v>0</v>
      </c>
      <c r="D277">
        <v>0</v>
      </c>
      <c r="E277">
        <v>44</v>
      </c>
    </row>
    <row r="278" spans="1:5">
      <c r="A278" s="1">
        <v>276</v>
      </c>
      <c r="B278">
        <v>44</v>
      </c>
      <c r="C278">
        <v>0</v>
      </c>
      <c r="D278">
        <v>0</v>
      </c>
      <c r="E278">
        <v>44</v>
      </c>
    </row>
    <row r="279" spans="1:5">
      <c r="A279" s="1">
        <v>277</v>
      </c>
      <c r="B279">
        <v>44</v>
      </c>
      <c r="C279">
        <v>0</v>
      </c>
      <c r="D279">
        <v>0</v>
      </c>
      <c r="E279">
        <v>44</v>
      </c>
    </row>
    <row r="280" spans="1:5">
      <c r="A280" s="1">
        <v>278</v>
      </c>
      <c r="B280">
        <v>45</v>
      </c>
      <c r="C280">
        <v>0</v>
      </c>
      <c r="D280">
        <v>0</v>
      </c>
      <c r="E280">
        <v>45</v>
      </c>
    </row>
    <row r="281" spans="1:5">
      <c r="A281" s="1">
        <v>279</v>
      </c>
      <c r="B281">
        <v>45</v>
      </c>
      <c r="C281">
        <v>0</v>
      </c>
      <c r="D281">
        <v>0</v>
      </c>
      <c r="E281">
        <v>45</v>
      </c>
    </row>
    <row r="282" spans="1:5">
      <c r="A282" s="1">
        <v>280</v>
      </c>
      <c r="B282">
        <v>45</v>
      </c>
      <c r="C282">
        <v>0</v>
      </c>
      <c r="D282">
        <v>0</v>
      </c>
      <c r="E282">
        <v>45</v>
      </c>
    </row>
    <row r="283" spans="1:5">
      <c r="A283" s="1">
        <v>281</v>
      </c>
      <c r="B283">
        <v>45</v>
      </c>
      <c r="C283">
        <v>0</v>
      </c>
      <c r="D283">
        <v>0</v>
      </c>
      <c r="E283">
        <v>45</v>
      </c>
    </row>
    <row r="284" spans="1:5">
      <c r="A284" s="1">
        <v>282</v>
      </c>
      <c r="B284">
        <v>45</v>
      </c>
      <c r="C284">
        <v>0</v>
      </c>
      <c r="D284">
        <v>0</v>
      </c>
      <c r="E284">
        <v>45</v>
      </c>
    </row>
    <row r="285" spans="1:5">
      <c r="A285" s="1">
        <v>283</v>
      </c>
      <c r="B285">
        <v>45</v>
      </c>
      <c r="C285">
        <v>0</v>
      </c>
      <c r="D285">
        <v>0</v>
      </c>
      <c r="E285">
        <v>45</v>
      </c>
    </row>
    <row r="286" spans="1:5">
      <c r="A286" s="1">
        <v>284</v>
      </c>
      <c r="B286">
        <v>46</v>
      </c>
      <c r="C286">
        <v>0</v>
      </c>
      <c r="D286">
        <v>0</v>
      </c>
      <c r="E286">
        <v>46</v>
      </c>
    </row>
    <row r="287" spans="1:5">
      <c r="A287" s="1">
        <v>285</v>
      </c>
      <c r="B287">
        <v>46</v>
      </c>
      <c r="C287">
        <v>0</v>
      </c>
      <c r="D287">
        <v>0</v>
      </c>
      <c r="E287">
        <v>46</v>
      </c>
    </row>
    <row r="288" spans="1:5">
      <c r="A288" s="1">
        <v>286</v>
      </c>
      <c r="B288">
        <v>46</v>
      </c>
      <c r="C288">
        <v>0</v>
      </c>
      <c r="D288">
        <v>0</v>
      </c>
      <c r="E288">
        <v>46</v>
      </c>
    </row>
    <row r="289" spans="1:5">
      <c r="A289" s="1">
        <v>287</v>
      </c>
      <c r="B289">
        <v>46</v>
      </c>
      <c r="C289">
        <v>0</v>
      </c>
      <c r="D289">
        <v>0</v>
      </c>
      <c r="E289">
        <v>46</v>
      </c>
    </row>
    <row r="290" spans="1:5">
      <c r="A290" s="1">
        <v>288</v>
      </c>
      <c r="B290">
        <v>46</v>
      </c>
      <c r="C290">
        <v>0</v>
      </c>
      <c r="D290">
        <v>0</v>
      </c>
      <c r="E290">
        <v>46</v>
      </c>
    </row>
    <row r="291" spans="1:5">
      <c r="A291" s="1">
        <v>289</v>
      </c>
      <c r="B291">
        <v>46</v>
      </c>
      <c r="C291">
        <v>0</v>
      </c>
      <c r="D291">
        <v>0</v>
      </c>
      <c r="E291">
        <v>46</v>
      </c>
    </row>
    <row r="292" spans="1:5">
      <c r="A292" s="1">
        <v>290</v>
      </c>
      <c r="B292">
        <v>46</v>
      </c>
      <c r="C292">
        <v>0</v>
      </c>
      <c r="D292">
        <v>0</v>
      </c>
      <c r="E292">
        <v>46</v>
      </c>
    </row>
    <row r="293" spans="1:5">
      <c r="A293" s="1">
        <v>291</v>
      </c>
      <c r="B293">
        <v>46</v>
      </c>
      <c r="C293">
        <v>0</v>
      </c>
      <c r="D293">
        <v>0</v>
      </c>
      <c r="E293">
        <v>46</v>
      </c>
    </row>
    <row r="294" spans="1:5">
      <c r="A294" s="1">
        <v>292</v>
      </c>
      <c r="B294">
        <v>46</v>
      </c>
      <c r="C294">
        <v>0</v>
      </c>
      <c r="D294">
        <v>0</v>
      </c>
      <c r="E294">
        <v>46</v>
      </c>
    </row>
    <row r="295" spans="1:5">
      <c r="A295" s="1">
        <v>293</v>
      </c>
      <c r="B295">
        <v>47</v>
      </c>
      <c r="C295">
        <v>0</v>
      </c>
      <c r="D295">
        <v>0</v>
      </c>
      <c r="E295">
        <v>47</v>
      </c>
    </row>
    <row r="296" spans="1:5">
      <c r="A296" s="1">
        <v>294</v>
      </c>
      <c r="B296">
        <v>47</v>
      </c>
      <c r="C296">
        <v>0</v>
      </c>
      <c r="D296">
        <v>0</v>
      </c>
      <c r="E296">
        <v>47</v>
      </c>
    </row>
    <row r="297" spans="1:5">
      <c r="A297" s="1">
        <v>295</v>
      </c>
      <c r="B297">
        <v>47</v>
      </c>
      <c r="C297">
        <v>0</v>
      </c>
      <c r="D297">
        <v>0</v>
      </c>
      <c r="E297">
        <v>47</v>
      </c>
    </row>
    <row r="298" spans="1:5">
      <c r="A298" s="1">
        <v>296</v>
      </c>
      <c r="B298">
        <v>47</v>
      </c>
      <c r="C298">
        <v>0</v>
      </c>
      <c r="D298">
        <v>0</v>
      </c>
      <c r="E298">
        <v>47</v>
      </c>
    </row>
    <row r="299" spans="1:5">
      <c r="A299" s="1">
        <v>297</v>
      </c>
      <c r="B299">
        <v>47</v>
      </c>
      <c r="C299">
        <v>0</v>
      </c>
      <c r="D299">
        <v>0</v>
      </c>
      <c r="E299">
        <v>47</v>
      </c>
    </row>
    <row r="300" spans="1:5">
      <c r="A300" s="1">
        <v>298</v>
      </c>
      <c r="B300">
        <v>47</v>
      </c>
      <c r="C300">
        <v>0</v>
      </c>
      <c r="D300">
        <v>0</v>
      </c>
      <c r="E300">
        <v>47</v>
      </c>
    </row>
    <row r="301" spans="1:5">
      <c r="A301" s="1">
        <v>299</v>
      </c>
      <c r="B301">
        <v>47</v>
      </c>
      <c r="C301">
        <v>0</v>
      </c>
      <c r="D301">
        <v>0</v>
      </c>
      <c r="E301">
        <v>47</v>
      </c>
    </row>
    <row r="302" spans="1:5">
      <c r="A302" s="1">
        <v>300</v>
      </c>
      <c r="B302">
        <v>47</v>
      </c>
      <c r="C302">
        <v>0</v>
      </c>
      <c r="D302">
        <v>0</v>
      </c>
      <c r="E302">
        <v>47</v>
      </c>
    </row>
    <row r="303" spans="1:5">
      <c r="A303" s="1">
        <v>301</v>
      </c>
      <c r="B303">
        <v>47</v>
      </c>
      <c r="C303">
        <v>0</v>
      </c>
      <c r="D303">
        <v>0</v>
      </c>
      <c r="E303">
        <v>47</v>
      </c>
    </row>
    <row r="304" spans="1:5">
      <c r="A304" s="1">
        <v>302</v>
      </c>
      <c r="B304">
        <v>47</v>
      </c>
      <c r="C304">
        <v>0</v>
      </c>
      <c r="D304">
        <v>0</v>
      </c>
      <c r="E304">
        <v>47</v>
      </c>
    </row>
    <row r="305" spans="1:5">
      <c r="A305" s="1">
        <v>303</v>
      </c>
      <c r="B305">
        <v>47</v>
      </c>
      <c r="C305">
        <v>0</v>
      </c>
      <c r="D305">
        <v>0</v>
      </c>
      <c r="E305">
        <v>47</v>
      </c>
    </row>
    <row r="306" spans="1:5">
      <c r="A306" s="1">
        <v>304</v>
      </c>
      <c r="B306">
        <v>47</v>
      </c>
      <c r="C306">
        <v>0</v>
      </c>
      <c r="D306">
        <v>0</v>
      </c>
      <c r="E306">
        <v>47</v>
      </c>
    </row>
    <row r="307" spans="1:5">
      <c r="A307" s="1">
        <v>305</v>
      </c>
      <c r="B307">
        <v>47</v>
      </c>
      <c r="C307">
        <v>0</v>
      </c>
      <c r="D307">
        <v>0</v>
      </c>
      <c r="E307">
        <v>47</v>
      </c>
    </row>
    <row r="308" spans="1:5">
      <c r="A308" s="1">
        <v>306</v>
      </c>
      <c r="B308">
        <v>47</v>
      </c>
      <c r="C308">
        <v>0</v>
      </c>
      <c r="D308">
        <v>0</v>
      </c>
      <c r="E308">
        <v>47</v>
      </c>
    </row>
    <row r="309" spans="1:5">
      <c r="A309" s="1">
        <v>307</v>
      </c>
      <c r="B309">
        <v>47</v>
      </c>
      <c r="C309">
        <v>0</v>
      </c>
      <c r="D309">
        <v>0</v>
      </c>
      <c r="E309">
        <v>47</v>
      </c>
    </row>
    <row r="310" spans="1:5">
      <c r="A310" s="1">
        <v>308</v>
      </c>
      <c r="B310">
        <v>47</v>
      </c>
      <c r="C310">
        <v>0</v>
      </c>
      <c r="D310">
        <v>0</v>
      </c>
      <c r="E310">
        <v>47</v>
      </c>
    </row>
    <row r="311" spans="1:5">
      <c r="A311" s="1">
        <v>309</v>
      </c>
      <c r="B311">
        <v>47</v>
      </c>
      <c r="C311">
        <v>0</v>
      </c>
      <c r="D311">
        <v>0</v>
      </c>
      <c r="E311">
        <v>47</v>
      </c>
    </row>
    <row r="312" spans="1:5">
      <c r="A312" s="1">
        <v>310</v>
      </c>
      <c r="B312">
        <v>47</v>
      </c>
      <c r="C312">
        <v>0</v>
      </c>
      <c r="D312">
        <v>0</v>
      </c>
      <c r="E312">
        <v>47</v>
      </c>
    </row>
    <row r="313" spans="1:5">
      <c r="A313" s="1">
        <v>311</v>
      </c>
      <c r="B313">
        <v>47</v>
      </c>
      <c r="C313">
        <v>0</v>
      </c>
      <c r="D313">
        <v>0</v>
      </c>
      <c r="E313">
        <v>47</v>
      </c>
    </row>
    <row r="314" spans="1:5">
      <c r="A314" s="1">
        <v>312</v>
      </c>
      <c r="B314">
        <v>47</v>
      </c>
      <c r="C314">
        <v>0</v>
      </c>
      <c r="D314">
        <v>0</v>
      </c>
      <c r="E314">
        <v>47</v>
      </c>
    </row>
    <row r="315" spans="1:5">
      <c r="A315" s="1">
        <v>313</v>
      </c>
      <c r="B315">
        <v>47</v>
      </c>
      <c r="C315">
        <v>0</v>
      </c>
      <c r="D315">
        <v>0</v>
      </c>
      <c r="E315">
        <v>47</v>
      </c>
    </row>
    <row r="316" spans="1:5">
      <c r="A316" s="1">
        <v>314</v>
      </c>
      <c r="B316">
        <v>47</v>
      </c>
      <c r="C316">
        <v>0</v>
      </c>
      <c r="D316">
        <v>0</v>
      </c>
      <c r="E316">
        <v>47</v>
      </c>
    </row>
    <row r="317" spans="1:5">
      <c r="A317" s="1">
        <v>315</v>
      </c>
      <c r="B317">
        <v>47</v>
      </c>
      <c r="C317">
        <v>0</v>
      </c>
      <c r="D317">
        <v>0</v>
      </c>
      <c r="E317">
        <v>47</v>
      </c>
    </row>
    <row r="318" spans="1:5">
      <c r="A318" s="1">
        <v>316</v>
      </c>
      <c r="B318">
        <v>47</v>
      </c>
      <c r="C318">
        <v>0</v>
      </c>
      <c r="D318">
        <v>0</v>
      </c>
      <c r="E318">
        <v>47</v>
      </c>
    </row>
    <row r="319" spans="1:5">
      <c r="A319" s="1">
        <v>317</v>
      </c>
      <c r="B319">
        <v>47</v>
      </c>
      <c r="C319">
        <v>0</v>
      </c>
      <c r="D319">
        <v>0</v>
      </c>
      <c r="E319">
        <v>47</v>
      </c>
    </row>
    <row r="320" spans="1:5">
      <c r="A320" s="1">
        <v>318</v>
      </c>
      <c r="B320">
        <v>47</v>
      </c>
      <c r="C320">
        <v>0</v>
      </c>
      <c r="D320">
        <v>0</v>
      </c>
      <c r="E320">
        <v>47</v>
      </c>
    </row>
    <row r="321" spans="1:5">
      <c r="A321" s="1">
        <v>319</v>
      </c>
      <c r="B321">
        <v>47</v>
      </c>
      <c r="C321">
        <v>0</v>
      </c>
      <c r="D321">
        <v>0</v>
      </c>
      <c r="E321">
        <v>47</v>
      </c>
    </row>
    <row r="322" spans="1:5">
      <c r="A322" s="1">
        <v>320</v>
      </c>
      <c r="B322">
        <v>47</v>
      </c>
      <c r="C322">
        <v>0</v>
      </c>
      <c r="D322">
        <v>0</v>
      </c>
      <c r="E322">
        <v>47</v>
      </c>
    </row>
    <row r="323" spans="1:5">
      <c r="A323" s="1">
        <v>321</v>
      </c>
      <c r="B323">
        <v>47</v>
      </c>
      <c r="C323">
        <v>0</v>
      </c>
      <c r="D323">
        <v>0</v>
      </c>
      <c r="E323">
        <v>47</v>
      </c>
    </row>
    <row r="324" spans="1:5">
      <c r="A324" s="1">
        <v>322</v>
      </c>
      <c r="B324">
        <v>47</v>
      </c>
      <c r="C324">
        <v>0</v>
      </c>
      <c r="D324">
        <v>0</v>
      </c>
      <c r="E324">
        <v>47</v>
      </c>
    </row>
    <row r="325" spans="1:5">
      <c r="A325" s="1">
        <v>323</v>
      </c>
      <c r="B325">
        <v>47</v>
      </c>
      <c r="C325">
        <v>0</v>
      </c>
      <c r="D325">
        <v>0</v>
      </c>
      <c r="E325">
        <v>47</v>
      </c>
    </row>
    <row r="326" spans="1:5">
      <c r="A326" s="1">
        <v>324</v>
      </c>
      <c r="B326">
        <v>47</v>
      </c>
      <c r="C326">
        <v>0</v>
      </c>
      <c r="D326">
        <v>0</v>
      </c>
      <c r="E326">
        <v>47</v>
      </c>
    </row>
    <row r="327" spans="1:5">
      <c r="A327" s="1">
        <v>325</v>
      </c>
      <c r="B327">
        <v>47</v>
      </c>
      <c r="C327">
        <v>0</v>
      </c>
      <c r="D327">
        <v>0</v>
      </c>
      <c r="E327">
        <v>47</v>
      </c>
    </row>
    <row r="328" spans="1:5">
      <c r="A328" s="1">
        <v>326</v>
      </c>
      <c r="B328">
        <v>47</v>
      </c>
      <c r="C328">
        <v>0</v>
      </c>
      <c r="D328">
        <v>0</v>
      </c>
      <c r="E328">
        <v>47</v>
      </c>
    </row>
    <row r="329" spans="1:5">
      <c r="A329" s="1">
        <v>327</v>
      </c>
      <c r="B329">
        <v>47</v>
      </c>
      <c r="C329">
        <v>0</v>
      </c>
      <c r="D329">
        <v>0</v>
      </c>
      <c r="E329">
        <v>47</v>
      </c>
    </row>
    <row r="330" spans="1:5">
      <c r="A330" s="1">
        <v>328</v>
      </c>
      <c r="B330">
        <v>47</v>
      </c>
      <c r="C330">
        <v>0</v>
      </c>
      <c r="D330">
        <v>0</v>
      </c>
      <c r="E330">
        <v>47</v>
      </c>
    </row>
    <row r="331" spans="1:5">
      <c r="A331" s="1">
        <v>329</v>
      </c>
      <c r="B331">
        <v>47</v>
      </c>
      <c r="C331">
        <v>0</v>
      </c>
      <c r="D331">
        <v>0</v>
      </c>
      <c r="E331">
        <v>47</v>
      </c>
    </row>
    <row r="332" spans="1:5">
      <c r="A332" s="1">
        <v>330</v>
      </c>
      <c r="B332">
        <v>47</v>
      </c>
      <c r="C332">
        <v>0</v>
      </c>
      <c r="D332">
        <v>0</v>
      </c>
      <c r="E332">
        <v>47</v>
      </c>
    </row>
    <row r="333" spans="1:5">
      <c r="A333" s="1">
        <v>331</v>
      </c>
      <c r="B333">
        <v>47</v>
      </c>
      <c r="C333">
        <v>0</v>
      </c>
      <c r="D333">
        <v>0</v>
      </c>
      <c r="E333">
        <v>47</v>
      </c>
    </row>
    <row r="334" spans="1:5">
      <c r="A334" s="1">
        <v>332</v>
      </c>
      <c r="B334">
        <v>47</v>
      </c>
      <c r="C334">
        <v>0</v>
      </c>
      <c r="D334">
        <v>0</v>
      </c>
      <c r="E334">
        <v>47</v>
      </c>
    </row>
    <row r="335" spans="1:5">
      <c r="A335" s="1">
        <v>333</v>
      </c>
      <c r="B335">
        <v>47</v>
      </c>
      <c r="C335">
        <v>0</v>
      </c>
      <c r="D335">
        <v>0</v>
      </c>
      <c r="E335">
        <v>47</v>
      </c>
    </row>
    <row r="336" spans="1:5">
      <c r="A336" s="1">
        <v>334</v>
      </c>
      <c r="B336">
        <v>47</v>
      </c>
      <c r="C336">
        <v>0</v>
      </c>
      <c r="D336">
        <v>0</v>
      </c>
      <c r="E336">
        <v>47</v>
      </c>
    </row>
    <row r="337" spans="1:5">
      <c r="A337" s="1">
        <v>335</v>
      </c>
      <c r="B337">
        <v>47</v>
      </c>
      <c r="C337">
        <v>0</v>
      </c>
      <c r="D337">
        <v>0</v>
      </c>
      <c r="E337">
        <v>47</v>
      </c>
    </row>
    <row r="338" spans="1:5">
      <c r="A338" s="1">
        <v>336</v>
      </c>
      <c r="B338">
        <v>47</v>
      </c>
      <c r="C338">
        <v>0</v>
      </c>
      <c r="D338">
        <v>0</v>
      </c>
      <c r="E338">
        <v>47</v>
      </c>
    </row>
    <row r="339" spans="1:5">
      <c r="A339" s="1">
        <v>337</v>
      </c>
      <c r="B339">
        <v>47</v>
      </c>
      <c r="C339">
        <v>0</v>
      </c>
      <c r="D339">
        <v>0</v>
      </c>
      <c r="E339">
        <v>47</v>
      </c>
    </row>
    <row r="340" spans="1:5">
      <c r="A340" s="1">
        <v>338</v>
      </c>
      <c r="B340">
        <v>47</v>
      </c>
      <c r="C340">
        <v>0</v>
      </c>
      <c r="D340">
        <v>0</v>
      </c>
      <c r="E340">
        <v>47</v>
      </c>
    </row>
    <row r="341" spans="1:5">
      <c r="A341" s="1">
        <v>339</v>
      </c>
      <c r="B341">
        <v>47</v>
      </c>
      <c r="C341">
        <v>0</v>
      </c>
      <c r="D341">
        <v>0</v>
      </c>
      <c r="E341">
        <v>47</v>
      </c>
    </row>
    <row r="342" spans="1:5">
      <c r="A342" s="1">
        <v>340</v>
      </c>
      <c r="B342">
        <v>47</v>
      </c>
      <c r="C342">
        <v>0</v>
      </c>
      <c r="D342">
        <v>0</v>
      </c>
      <c r="E342">
        <v>47</v>
      </c>
    </row>
    <row r="343" spans="1:5">
      <c r="A343" s="1">
        <v>341</v>
      </c>
      <c r="B343">
        <v>47</v>
      </c>
      <c r="C343">
        <v>0</v>
      </c>
      <c r="D343">
        <v>0</v>
      </c>
      <c r="E343">
        <v>47</v>
      </c>
    </row>
    <row r="344" spans="1:5">
      <c r="A344" s="1">
        <v>342</v>
      </c>
      <c r="B344">
        <v>47</v>
      </c>
      <c r="C344">
        <v>0</v>
      </c>
      <c r="D344">
        <v>0</v>
      </c>
      <c r="E344">
        <v>47</v>
      </c>
    </row>
    <row r="345" spans="1:5">
      <c r="A345" s="1">
        <v>343</v>
      </c>
      <c r="B345">
        <v>47</v>
      </c>
      <c r="C345">
        <v>0</v>
      </c>
      <c r="D345">
        <v>0</v>
      </c>
      <c r="E345">
        <v>47</v>
      </c>
    </row>
    <row r="346" spans="1:5">
      <c r="A346" s="1">
        <v>344</v>
      </c>
      <c r="B346">
        <v>47</v>
      </c>
      <c r="C346">
        <v>0</v>
      </c>
      <c r="D346">
        <v>0</v>
      </c>
      <c r="E346">
        <v>47</v>
      </c>
    </row>
    <row r="347" spans="1:5">
      <c r="A347" s="1">
        <v>345</v>
      </c>
      <c r="B347">
        <v>47</v>
      </c>
      <c r="C347">
        <v>0</v>
      </c>
      <c r="D347">
        <v>0</v>
      </c>
      <c r="E347">
        <v>47</v>
      </c>
    </row>
    <row r="348" spans="1:5">
      <c r="A348" s="1">
        <v>346</v>
      </c>
      <c r="B348">
        <v>47</v>
      </c>
      <c r="C348">
        <v>0</v>
      </c>
      <c r="D348">
        <v>0</v>
      </c>
      <c r="E348">
        <v>47</v>
      </c>
    </row>
    <row r="349" spans="1:5">
      <c r="A349" s="1">
        <v>347</v>
      </c>
      <c r="B349">
        <v>47</v>
      </c>
      <c r="C349">
        <v>0</v>
      </c>
      <c r="D349">
        <v>0</v>
      </c>
      <c r="E349">
        <v>47</v>
      </c>
    </row>
    <row r="350" spans="1:5">
      <c r="A350" s="1">
        <v>348</v>
      </c>
      <c r="B350">
        <v>47</v>
      </c>
      <c r="C350">
        <v>0</v>
      </c>
      <c r="D350">
        <v>0</v>
      </c>
      <c r="E350">
        <v>47</v>
      </c>
    </row>
    <row r="351" spans="1:5">
      <c r="A351" s="1">
        <v>349</v>
      </c>
      <c r="B351">
        <v>47</v>
      </c>
      <c r="C351">
        <v>0</v>
      </c>
      <c r="D351">
        <v>0</v>
      </c>
      <c r="E351">
        <v>47</v>
      </c>
    </row>
    <row r="352" spans="1:5">
      <c r="A352" s="1">
        <v>350</v>
      </c>
      <c r="B352">
        <v>48</v>
      </c>
      <c r="C352">
        <v>0</v>
      </c>
      <c r="D352">
        <v>0</v>
      </c>
      <c r="E352">
        <v>48</v>
      </c>
    </row>
    <row r="353" spans="1:5">
      <c r="A353" s="1">
        <v>351</v>
      </c>
      <c r="B353">
        <v>48</v>
      </c>
      <c r="C353">
        <v>0</v>
      </c>
      <c r="D353">
        <v>0</v>
      </c>
      <c r="E353">
        <v>48</v>
      </c>
    </row>
    <row r="354" spans="1:5">
      <c r="A354" s="1">
        <v>352</v>
      </c>
      <c r="B354">
        <v>48</v>
      </c>
      <c r="C354">
        <v>0</v>
      </c>
      <c r="D354">
        <v>0</v>
      </c>
      <c r="E354">
        <v>48</v>
      </c>
    </row>
    <row r="355" spans="1:5">
      <c r="A355" s="1">
        <v>353</v>
      </c>
      <c r="B355">
        <v>48</v>
      </c>
      <c r="C355">
        <v>0</v>
      </c>
      <c r="D355">
        <v>0</v>
      </c>
      <c r="E355">
        <v>48</v>
      </c>
    </row>
    <row r="356" spans="1:5">
      <c r="A356" s="1">
        <v>354</v>
      </c>
      <c r="B356">
        <v>47</v>
      </c>
      <c r="C356">
        <v>0</v>
      </c>
      <c r="D356">
        <v>0</v>
      </c>
      <c r="E356">
        <v>47</v>
      </c>
    </row>
    <row r="357" spans="1:5">
      <c r="A357" s="1">
        <v>355</v>
      </c>
      <c r="B357">
        <v>47</v>
      </c>
      <c r="C357">
        <v>0</v>
      </c>
      <c r="D357">
        <v>0</v>
      </c>
      <c r="E357">
        <v>47</v>
      </c>
    </row>
    <row r="358" spans="1:5">
      <c r="A358" s="1">
        <v>356</v>
      </c>
      <c r="B358">
        <v>47</v>
      </c>
      <c r="C358">
        <v>0</v>
      </c>
      <c r="D358">
        <v>0</v>
      </c>
      <c r="E358">
        <v>47</v>
      </c>
    </row>
    <row r="359" spans="1:5">
      <c r="A359" s="1">
        <v>357</v>
      </c>
      <c r="B359">
        <v>47</v>
      </c>
      <c r="C359">
        <v>0</v>
      </c>
      <c r="D359">
        <v>0</v>
      </c>
      <c r="E359">
        <v>47</v>
      </c>
    </row>
    <row r="360" spans="1:5">
      <c r="A360" s="1">
        <v>358</v>
      </c>
      <c r="B360">
        <v>47</v>
      </c>
      <c r="C360">
        <v>0</v>
      </c>
      <c r="D360">
        <v>0</v>
      </c>
      <c r="E360">
        <v>47</v>
      </c>
    </row>
    <row r="361" spans="1:5">
      <c r="A361" s="1">
        <v>359</v>
      </c>
      <c r="B361">
        <v>47</v>
      </c>
      <c r="C361">
        <v>0</v>
      </c>
      <c r="D361">
        <v>0</v>
      </c>
      <c r="E361">
        <v>47</v>
      </c>
    </row>
    <row r="362" spans="1:5">
      <c r="A362" s="1">
        <v>360</v>
      </c>
      <c r="B362">
        <v>47</v>
      </c>
      <c r="C362">
        <v>0</v>
      </c>
      <c r="D362">
        <v>0</v>
      </c>
      <c r="E362">
        <v>47</v>
      </c>
    </row>
    <row r="363" spans="1:5">
      <c r="A363" s="1">
        <v>361</v>
      </c>
      <c r="B363">
        <v>47</v>
      </c>
      <c r="C363">
        <v>0</v>
      </c>
      <c r="D363">
        <v>0</v>
      </c>
      <c r="E363">
        <v>47</v>
      </c>
    </row>
    <row r="364" spans="1:5">
      <c r="A364" s="1">
        <v>362</v>
      </c>
      <c r="B364">
        <v>47</v>
      </c>
      <c r="C364">
        <v>0</v>
      </c>
      <c r="D364">
        <v>0</v>
      </c>
      <c r="E364">
        <v>47</v>
      </c>
    </row>
    <row r="365" spans="1:5">
      <c r="A365" s="1">
        <v>363</v>
      </c>
      <c r="B365">
        <v>47</v>
      </c>
      <c r="C365">
        <v>0</v>
      </c>
      <c r="D365">
        <v>0</v>
      </c>
      <c r="E365">
        <v>47</v>
      </c>
    </row>
    <row r="366" spans="1:5">
      <c r="A366" s="1">
        <v>364</v>
      </c>
      <c r="B366">
        <v>47</v>
      </c>
      <c r="C366">
        <v>0</v>
      </c>
      <c r="D366">
        <v>0</v>
      </c>
      <c r="E366">
        <v>47</v>
      </c>
    </row>
    <row r="367" spans="1:5">
      <c r="A367" s="1">
        <v>365</v>
      </c>
      <c r="B367">
        <v>47</v>
      </c>
      <c r="C367">
        <v>0</v>
      </c>
      <c r="D367">
        <v>0</v>
      </c>
      <c r="E367">
        <v>47</v>
      </c>
    </row>
    <row r="368" spans="1:5">
      <c r="A368" s="1">
        <v>366</v>
      </c>
      <c r="B368">
        <v>47</v>
      </c>
      <c r="C368">
        <v>0</v>
      </c>
      <c r="D368">
        <v>0</v>
      </c>
      <c r="E368">
        <v>47</v>
      </c>
    </row>
    <row r="369" spans="1:5">
      <c r="A369" s="1">
        <v>367</v>
      </c>
      <c r="B369">
        <v>47</v>
      </c>
      <c r="C369">
        <v>0</v>
      </c>
      <c r="D369">
        <v>0</v>
      </c>
      <c r="E369">
        <v>47</v>
      </c>
    </row>
    <row r="370" spans="1:5">
      <c r="A370" s="1">
        <v>368</v>
      </c>
      <c r="B370">
        <v>47</v>
      </c>
      <c r="C370">
        <v>0</v>
      </c>
      <c r="D370">
        <v>0</v>
      </c>
      <c r="E370">
        <v>47</v>
      </c>
    </row>
    <row r="371" spans="1:5">
      <c r="A371" s="1">
        <v>369</v>
      </c>
      <c r="B371">
        <v>47</v>
      </c>
      <c r="C371">
        <v>0</v>
      </c>
      <c r="D371">
        <v>0</v>
      </c>
      <c r="E371">
        <v>47</v>
      </c>
    </row>
    <row r="372" spans="1:5">
      <c r="A372" s="1">
        <v>370</v>
      </c>
      <c r="B372">
        <v>47</v>
      </c>
      <c r="C372">
        <v>0</v>
      </c>
      <c r="D372">
        <v>0</v>
      </c>
      <c r="E372">
        <v>47</v>
      </c>
    </row>
    <row r="373" spans="1:5">
      <c r="A373" s="1">
        <v>371</v>
      </c>
      <c r="B373">
        <v>47</v>
      </c>
      <c r="C373">
        <v>0</v>
      </c>
      <c r="D373">
        <v>0</v>
      </c>
      <c r="E373">
        <v>47</v>
      </c>
    </row>
    <row r="374" spans="1:5">
      <c r="A374" s="1">
        <v>372</v>
      </c>
      <c r="B374">
        <v>47</v>
      </c>
      <c r="C374">
        <v>0</v>
      </c>
      <c r="D374">
        <v>0</v>
      </c>
      <c r="E374">
        <v>47</v>
      </c>
    </row>
    <row r="375" spans="1:5">
      <c r="A375" s="1">
        <v>373</v>
      </c>
      <c r="B375">
        <v>47</v>
      </c>
      <c r="C375">
        <v>0</v>
      </c>
      <c r="D375">
        <v>0</v>
      </c>
      <c r="E375">
        <v>47</v>
      </c>
    </row>
    <row r="376" spans="1:5">
      <c r="A376" s="1">
        <v>374</v>
      </c>
      <c r="B376">
        <v>47</v>
      </c>
      <c r="C376">
        <v>0</v>
      </c>
      <c r="D376">
        <v>0</v>
      </c>
      <c r="E376">
        <v>47</v>
      </c>
    </row>
    <row r="377" spans="1:5">
      <c r="A377" s="1">
        <v>375</v>
      </c>
      <c r="B377">
        <v>47</v>
      </c>
      <c r="C377">
        <v>0</v>
      </c>
      <c r="D377">
        <v>0</v>
      </c>
      <c r="E377">
        <v>47</v>
      </c>
    </row>
    <row r="378" spans="1:5">
      <c r="A378" s="1">
        <v>376</v>
      </c>
      <c r="B378">
        <v>47</v>
      </c>
      <c r="C378">
        <v>0</v>
      </c>
      <c r="D378">
        <v>0</v>
      </c>
      <c r="E378">
        <v>47</v>
      </c>
    </row>
    <row r="379" spans="1:5">
      <c r="A379" s="1">
        <v>377</v>
      </c>
      <c r="B379">
        <v>47</v>
      </c>
      <c r="C379">
        <v>0</v>
      </c>
      <c r="D379">
        <v>0</v>
      </c>
      <c r="E379">
        <v>47</v>
      </c>
    </row>
    <row r="380" spans="1:5">
      <c r="A380" s="1">
        <v>378</v>
      </c>
      <c r="B380">
        <v>47</v>
      </c>
      <c r="C380">
        <v>0</v>
      </c>
      <c r="D380">
        <v>0</v>
      </c>
      <c r="E380">
        <v>47</v>
      </c>
    </row>
    <row r="381" spans="1:5">
      <c r="A381" s="1">
        <v>379</v>
      </c>
      <c r="B381">
        <v>47</v>
      </c>
      <c r="C381">
        <v>0</v>
      </c>
      <c r="D381">
        <v>0</v>
      </c>
      <c r="E381">
        <v>47</v>
      </c>
    </row>
    <row r="382" spans="1:5">
      <c r="A382" s="1">
        <v>380</v>
      </c>
      <c r="B382">
        <v>47</v>
      </c>
      <c r="C382">
        <v>0</v>
      </c>
      <c r="D382">
        <v>0</v>
      </c>
      <c r="E382">
        <v>47</v>
      </c>
    </row>
    <row r="383" spans="1:5">
      <c r="A383" s="1">
        <v>381</v>
      </c>
      <c r="B383">
        <v>47</v>
      </c>
      <c r="C383">
        <v>0</v>
      </c>
      <c r="D383">
        <v>0</v>
      </c>
      <c r="E383">
        <v>47</v>
      </c>
    </row>
    <row r="384" spans="1:5">
      <c r="A384" s="1">
        <v>382</v>
      </c>
      <c r="B384">
        <v>47</v>
      </c>
      <c r="C384">
        <v>0</v>
      </c>
      <c r="D384">
        <v>0</v>
      </c>
      <c r="E384">
        <v>47</v>
      </c>
    </row>
    <row r="385" spans="1:5">
      <c r="A385" s="1">
        <v>383</v>
      </c>
      <c r="B385">
        <v>47</v>
      </c>
      <c r="C385">
        <v>0</v>
      </c>
      <c r="D385">
        <v>0</v>
      </c>
      <c r="E385">
        <v>47</v>
      </c>
    </row>
    <row r="386" spans="1:5">
      <c r="A386" s="1">
        <v>384</v>
      </c>
      <c r="B386">
        <v>47</v>
      </c>
      <c r="C386">
        <v>0</v>
      </c>
      <c r="D386">
        <v>0</v>
      </c>
      <c r="E386">
        <v>47</v>
      </c>
    </row>
    <row r="387" spans="1:5">
      <c r="A387" s="1">
        <v>385</v>
      </c>
      <c r="B387">
        <v>47</v>
      </c>
      <c r="C387">
        <v>0</v>
      </c>
      <c r="D387">
        <v>0</v>
      </c>
      <c r="E387">
        <v>47</v>
      </c>
    </row>
    <row r="388" spans="1:5">
      <c r="A388" s="1">
        <v>386</v>
      </c>
      <c r="B388">
        <v>47</v>
      </c>
      <c r="C388">
        <v>0</v>
      </c>
      <c r="D388">
        <v>0</v>
      </c>
      <c r="E388">
        <v>47</v>
      </c>
    </row>
    <row r="389" spans="1:5">
      <c r="A389" s="1">
        <v>387</v>
      </c>
      <c r="B389">
        <v>47</v>
      </c>
      <c r="C389">
        <v>0</v>
      </c>
      <c r="D389">
        <v>0</v>
      </c>
      <c r="E389">
        <v>47</v>
      </c>
    </row>
    <row r="390" spans="1:5">
      <c r="A390" s="1">
        <v>388</v>
      </c>
      <c r="B390">
        <v>47</v>
      </c>
      <c r="C390">
        <v>0</v>
      </c>
      <c r="D390">
        <v>0</v>
      </c>
      <c r="E390">
        <v>47</v>
      </c>
    </row>
    <row r="391" spans="1:5">
      <c r="A391" s="1">
        <v>389</v>
      </c>
      <c r="B391">
        <v>47</v>
      </c>
      <c r="C391">
        <v>0</v>
      </c>
      <c r="D391">
        <v>0</v>
      </c>
      <c r="E391">
        <v>47</v>
      </c>
    </row>
    <row r="392" spans="1:5">
      <c r="A392" s="1">
        <v>390</v>
      </c>
      <c r="B392">
        <v>47</v>
      </c>
      <c r="C392">
        <v>0</v>
      </c>
      <c r="D392">
        <v>0</v>
      </c>
      <c r="E392">
        <v>47</v>
      </c>
    </row>
    <row r="393" spans="1:5">
      <c r="A393" s="1">
        <v>391</v>
      </c>
      <c r="B393">
        <v>47</v>
      </c>
      <c r="C393">
        <v>0</v>
      </c>
      <c r="D393">
        <v>0</v>
      </c>
      <c r="E393">
        <v>47</v>
      </c>
    </row>
    <row r="394" spans="1:5">
      <c r="A394" s="1">
        <v>392</v>
      </c>
      <c r="B394">
        <v>46</v>
      </c>
      <c r="C394">
        <v>0</v>
      </c>
      <c r="D394">
        <v>0</v>
      </c>
      <c r="E394">
        <v>46</v>
      </c>
    </row>
    <row r="395" spans="1:5">
      <c r="A395" s="1">
        <v>393</v>
      </c>
      <c r="B395">
        <v>46</v>
      </c>
      <c r="C395">
        <v>0</v>
      </c>
      <c r="D395">
        <v>0</v>
      </c>
      <c r="E395">
        <v>46</v>
      </c>
    </row>
    <row r="396" spans="1:5">
      <c r="A396" s="1">
        <v>394</v>
      </c>
      <c r="B396">
        <v>46</v>
      </c>
      <c r="C396">
        <v>0</v>
      </c>
      <c r="D396">
        <v>0</v>
      </c>
      <c r="E396">
        <v>46</v>
      </c>
    </row>
    <row r="397" spans="1:5">
      <c r="A397" s="1">
        <v>395</v>
      </c>
      <c r="B397">
        <v>46</v>
      </c>
      <c r="C397">
        <v>0</v>
      </c>
      <c r="D397">
        <v>0</v>
      </c>
      <c r="E397">
        <v>46</v>
      </c>
    </row>
    <row r="398" spans="1:5">
      <c r="A398" s="1">
        <v>396</v>
      </c>
      <c r="B398">
        <v>46</v>
      </c>
      <c r="C398">
        <v>0</v>
      </c>
      <c r="D398">
        <v>0</v>
      </c>
      <c r="E398">
        <v>46</v>
      </c>
    </row>
    <row r="399" spans="1:5">
      <c r="A399" s="1">
        <v>397</v>
      </c>
      <c r="B399">
        <v>46</v>
      </c>
      <c r="C399">
        <v>0</v>
      </c>
      <c r="D399">
        <v>0</v>
      </c>
      <c r="E399">
        <v>46</v>
      </c>
    </row>
    <row r="400" spans="1:5">
      <c r="A400" s="1">
        <v>398</v>
      </c>
      <c r="B400">
        <v>46</v>
      </c>
      <c r="C400">
        <v>0</v>
      </c>
      <c r="D400">
        <v>0</v>
      </c>
      <c r="E400">
        <v>46</v>
      </c>
    </row>
    <row r="401" spans="1:5">
      <c r="A401" s="1">
        <v>399</v>
      </c>
      <c r="B401">
        <v>46</v>
      </c>
      <c r="C401">
        <v>0</v>
      </c>
      <c r="D401">
        <v>0</v>
      </c>
      <c r="E401">
        <v>46</v>
      </c>
    </row>
    <row r="402" spans="1:5">
      <c r="A402" s="1">
        <v>400</v>
      </c>
      <c r="B402">
        <v>46</v>
      </c>
      <c r="C402">
        <v>0</v>
      </c>
      <c r="D402">
        <v>0</v>
      </c>
      <c r="E402">
        <v>46</v>
      </c>
    </row>
    <row r="403" spans="1:5">
      <c r="A403" s="1">
        <v>401</v>
      </c>
      <c r="B403">
        <v>45</v>
      </c>
      <c r="C403">
        <v>0</v>
      </c>
      <c r="D403">
        <v>0</v>
      </c>
      <c r="E403">
        <v>45</v>
      </c>
    </row>
    <row r="404" spans="1:5">
      <c r="A404" s="1">
        <v>402</v>
      </c>
      <c r="B404">
        <v>45</v>
      </c>
      <c r="C404">
        <v>0</v>
      </c>
      <c r="D404">
        <v>0</v>
      </c>
      <c r="E404">
        <v>45</v>
      </c>
    </row>
    <row r="405" spans="1:5">
      <c r="A405" s="1">
        <v>403</v>
      </c>
      <c r="B405">
        <v>45</v>
      </c>
      <c r="C405">
        <v>0</v>
      </c>
      <c r="D405">
        <v>0</v>
      </c>
      <c r="E405">
        <v>45</v>
      </c>
    </row>
    <row r="406" spans="1:5">
      <c r="A406" s="1">
        <v>404</v>
      </c>
      <c r="B406">
        <v>45</v>
      </c>
      <c r="C406">
        <v>0</v>
      </c>
      <c r="D406">
        <v>0</v>
      </c>
      <c r="E406">
        <v>45</v>
      </c>
    </row>
    <row r="407" spans="1:5">
      <c r="A407" s="1">
        <v>405</v>
      </c>
      <c r="B407">
        <v>45</v>
      </c>
      <c r="C407">
        <v>0</v>
      </c>
      <c r="D407">
        <v>0</v>
      </c>
      <c r="E407">
        <v>45</v>
      </c>
    </row>
    <row r="408" spans="1:5">
      <c r="A408" s="1">
        <v>406</v>
      </c>
      <c r="B408">
        <v>45</v>
      </c>
      <c r="C408">
        <v>0</v>
      </c>
      <c r="D408">
        <v>0</v>
      </c>
      <c r="E408">
        <v>45</v>
      </c>
    </row>
    <row r="409" spans="1:5">
      <c r="A409" s="1">
        <v>407</v>
      </c>
      <c r="B409">
        <v>44</v>
      </c>
      <c r="C409">
        <v>0</v>
      </c>
      <c r="D409">
        <v>0</v>
      </c>
      <c r="E409">
        <v>44</v>
      </c>
    </row>
    <row r="410" spans="1:5">
      <c r="A410" s="1">
        <v>408</v>
      </c>
      <c r="B410">
        <v>44</v>
      </c>
      <c r="C410">
        <v>0</v>
      </c>
      <c r="D410">
        <v>0</v>
      </c>
      <c r="E410">
        <v>44</v>
      </c>
    </row>
    <row r="411" spans="1:5">
      <c r="A411" s="1">
        <v>409</v>
      </c>
      <c r="B411">
        <v>44</v>
      </c>
      <c r="C411">
        <v>0</v>
      </c>
      <c r="D411">
        <v>0</v>
      </c>
      <c r="E411">
        <v>44</v>
      </c>
    </row>
    <row r="412" spans="1:5">
      <c r="A412" s="1">
        <v>410</v>
      </c>
      <c r="B412">
        <v>44</v>
      </c>
      <c r="C412">
        <v>0</v>
      </c>
      <c r="D412">
        <v>0</v>
      </c>
      <c r="E412">
        <v>44</v>
      </c>
    </row>
    <row r="413" spans="1:5">
      <c r="A413" s="1">
        <v>411</v>
      </c>
      <c r="B413">
        <v>44</v>
      </c>
      <c r="C413">
        <v>0</v>
      </c>
      <c r="D413">
        <v>0</v>
      </c>
      <c r="E413">
        <v>44</v>
      </c>
    </row>
    <row r="414" spans="1:5">
      <c r="A414" s="1">
        <v>412</v>
      </c>
      <c r="B414">
        <v>43</v>
      </c>
      <c r="C414">
        <v>0</v>
      </c>
      <c r="D414">
        <v>0</v>
      </c>
      <c r="E414">
        <v>43</v>
      </c>
    </row>
    <row r="415" spans="1:5">
      <c r="A415" s="1">
        <v>413</v>
      </c>
      <c r="B415">
        <v>43</v>
      </c>
      <c r="C415">
        <v>0</v>
      </c>
      <c r="D415">
        <v>0</v>
      </c>
      <c r="E415">
        <v>43</v>
      </c>
    </row>
    <row r="416" spans="1:5">
      <c r="A416" s="1">
        <v>414</v>
      </c>
      <c r="B416">
        <v>43</v>
      </c>
      <c r="C416">
        <v>0</v>
      </c>
      <c r="D416">
        <v>0</v>
      </c>
      <c r="E416">
        <v>43</v>
      </c>
    </row>
    <row r="417" spans="1:5">
      <c r="A417" s="1">
        <v>415</v>
      </c>
      <c r="B417">
        <v>43</v>
      </c>
      <c r="C417">
        <v>0</v>
      </c>
      <c r="D417">
        <v>0</v>
      </c>
      <c r="E417">
        <v>43</v>
      </c>
    </row>
    <row r="418" spans="1:5">
      <c r="A418" s="1">
        <v>416</v>
      </c>
      <c r="B418">
        <v>43</v>
      </c>
      <c r="C418">
        <v>0</v>
      </c>
      <c r="D418">
        <v>0</v>
      </c>
      <c r="E418">
        <v>43</v>
      </c>
    </row>
    <row r="419" spans="1:5">
      <c r="A419" s="1">
        <v>417</v>
      </c>
      <c r="B419">
        <v>42</v>
      </c>
      <c r="C419">
        <v>0</v>
      </c>
      <c r="D419">
        <v>0</v>
      </c>
      <c r="E419">
        <v>42</v>
      </c>
    </row>
    <row r="420" spans="1:5">
      <c r="A420" s="1">
        <v>418</v>
      </c>
      <c r="B420">
        <v>42</v>
      </c>
      <c r="C420">
        <v>0</v>
      </c>
      <c r="D420">
        <v>0</v>
      </c>
      <c r="E420">
        <v>42</v>
      </c>
    </row>
    <row r="421" spans="1:5">
      <c r="A421" s="1">
        <v>419</v>
      </c>
      <c r="B421">
        <v>42</v>
      </c>
      <c r="C421">
        <v>0</v>
      </c>
      <c r="D421">
        <v>0</v>
      </c>
      <c r="E421">
        <v>42</v>
      </c>
    </row>
    <row r="422" spans="1:5">
      <c r="A422" s="1">
        <v>420</v>
      </c>
      <c r="B422">
        <v>42</v>
      </c>
      <c r="C422">
        <v>0</v>
      </c>
      <c r="D422">
        <v>0</v>
      </c>
      <c r="E422">
        <v>42</v>
      </c>
    </row>
    <row r="423" spans="1:5">
      <c r="A423" s="1">
        <v>421</v>
      </c>
      <c r="B423">
        <v>42</v>
      </c>
      <c r="C423">
        <v>0</v>
      </c>
      <c r="D423">
        <v>0</v>
      </c>
      <c r="E423">
        <v>42</v>
      </c>
    </row>
    <row r="424" spans="1:5">
      <c r="A424" s="1">
        <v>422</v>
      </c>
      <c r="B424">
        <v>41</v>
      </c>
      <c r="C424">
        <v>0</v>
      </c>
      <c r="D424">
        <v>0</v>
      </c>
      <c r="E424">
        <v>41</v>
      </c>
    </row>
    <row r="425" spans="1:5">
      <c r="A425" s="1">
        <v>423</v>
      </c>
      <c r="B425">
        <v>41</v>
      </c>
      <c r="C425">
        <v>0</v>
      </c>
      <c r="D425">
        <v>0</v>
      </c>
      <c r="E425">
        <v>41</v>
      </c>
    </row>
    <row r="426" spans="1:5">
      <c r="A426" s="1">
        <v>424</v>
      </c>
      <c r="B426">
        <v>41</v>
      </c>
      <c r="C426">
        <v>0</v>
      </c>
      <c r="D426">
        <v>0</v>
      </c>
      <c r="E426">
        <v>41</v>
      </c>
    </row>
    <row r="427" spans="1:5">
      <c r="A427" s="1">
        <v>425</v>
      </c>
      <c r="B427">
        <v>41</v>
      </c>
      <c r="C427">
        <v>0</v>
      </c>
      <c r="D427">
        <v>0</v>
      </c>
      <c r="E427">
        <v>41</v>
      </c>
    </row>
    <row r="428" spans="1:5">
      <c r="A428" s="1">
        <v>426</v>
      </c>
      <c r="B428">
        <v>40</v>
      </c>
      <c r="C428">
        <v>0</v>
      </c>
      <c r="D428">
        <v>0</v>
      </c>
      <c r="E428">
        <v>40</v>
      </c>
    </row>
    <row r="429" spans="1:5">
      <c r="A429" s="1">
        <v>427</v>
      </c>
      <c r="B429">
        <v>40</v>
      </c>
      <c r="C429">
        <v>0</v>
      </c>
      <c r="D429">
        <v>0</v>
      </c>
      <c r="E429">
        <v>40</v>
      </c>
    </row>
    <row r="430" spans="1:5">
      <c r="A430" s="1">
        <v>428</v>
      </c>
      <c r="B430">
        <v>40</v>
      </c>
      <c r="C430">
        <v>0</v>
      </c>
      <c r="D430">
        <v>0</v>
      </c>
      <c r="E430">
        <v>40</v>
      </c>
    </row>
    <row r="431" spans="1:5">
      <c r="A431" s="1">
        <v>429</v>
      </c>
      <c r="B431">
        <v>40</v>
      </c>
      <c r="C431">
        <v>0</v>
      </c>
      <c r="D431">
        <v>0</v>
      </c>
      <c r="E431">
        <v>40</v>
      </c>
    </row>
    <row r="432" spans="1:5">
      <c r="A432" s="1">
        <v>430</v>
      </c>
      <c r="B432">
        <v>39</v>
      </c>
      <c r="C432">
        <v>0</v>
      </c>
      <c r="D432">
        <v>0</v>
      </c>
      <c r="E432">
        <v>39</v>
      </c>
    </row>
    <row r="433" spans="1:5">
      <c r="A433" s="1">
        <v>431</v>
      </c>
      <c r="B433">
        <v>39</v>
      </c>
      <c r="C433">
        <v>0</v>
      </c>
      <c r="D433">
        <v>0</v>
      </c>
      <c r="E433">
        <v>39</v>
      </c>
    </row>
    <row r="434" spans="1:5">
      <c r="A434" s="1">
        <v>432</v>
      </c>
      <c r="B434">
        <v>39</v>
      </c>
      <c r="C434">
        <v>0</v>
      </c>
      <c r="D434">
        <v>0</v>
      </c>
      <c r="E434">
        <v>39</v>
      </c>
    </row>
    <row r="435" spans="1:5">
      <c r="A435" s="1">
        <v>433</v>
      </c>
      <c r="B435">
        <v>39</v>
      </c>
      <c r="C435">
        <v>0</v>
      </c>
      <c r="D435">
        <v>0</v>
      </c>
      <c r="E435">
        <v>39</v>
      </c>
    </row>
    <row r="436" spans="1:5">
      <c r="A436" s="1">
        <v>434</v>
      </c>
      <c r="B436">
        <v>38</v>
      </c>
      <c r="C436">
        <v>0</v>
      </c>
      <c r="D436">
        <v>0</v>
      </c>
      <c r="E436">
        <v>38</v>
      </c>
    </row>
    <row r="437" spans="1:5">
      <c r="A437" s="1">
        <v>435</v>
      </c>
      <c r="B437">
        <v>38</v>
      </c>
      <c r="C437">
        <v>0</v>
      </c>
      <c r="D437">
        <v>0</v>
      </c>
      <c r="E437">
        <v>38</v>
      </c>
    </row>
    <row r="438" spans="1:5">
      <c r="A438" s="1">
        <v>436</v>
      </c>
      <c r="B438">
        <v>38</v>
      </c>
      <c r="C438">
        <v>0</v>
      </c>
      <c r="D438">
        <v>0</v>
      </c>
      <c r="E438">
        <v>38</v>
      </c>
    </row>
    <row r="439" spans="1:5">
      <c r="A439" s="1">
        <v>437</v>
      </c>
      <c r="B439">
        <v>38</v>
      </c>
      <c r="C439">
        <v>0</v>
      </c>
      <c r="D439">
        <v>0</v>
      </c>
      <c r="E439">
        <v>38</v>
      </c>
    </row>
    <row r="440" spans="1:5">
      <c r="A440" s="1">
        <v>438</v>
      </c>
      <c r="B440">
        <v>38</v>
      </c>
      <c r="C440">
        <v>0</v>
      </c>
      <c r="D440">
        <v>0</v>
      </c>
      <c r="E440">
        <v>38</v>
      </c>
    </row>
    <row r="441" spans="1:5">
      <c r="A441" s="1">
        <v>439</v>
      </c>
      <c r="B441">
        <v>37</v>
      </c>
      <c r="C441">
        <v>0</v>
      </c>
      <c r="D441">
        <v>0</v>
      </c>
      <c r="E441">
        <v>37</v>
      </c>
    </row>
    <row r="442" spans="1:5">
      <c r="A442" s="1">
        <v>440</v>
      </c>
      <c r="B442">
        <v>37</v>
      </c>
      <c r="C442">
        <v>0</v>
      </c>
      <c r="D442">
        <v>0</v>
      </c>
      <c r="E442">
        <v>37</v>
      </c>
    </row>
    <row r="443" spans="1:5">
      <c r="A443" s="1">
        <v>441</v>
      </c>
      <c r="B443">
        <v>37</v>
      </c>
      <c r="C443">
        <v>0</v>
      </c>
      <c r="D443">
        <v>0</v>
      </c>
      <c r="E443">
        <v>37</v>
      </c>
    </row>
    <row r="444" spans="1:5">
      <c r="A444" s="1">
        <v>442</v>
      </c>
      <c r="B444">
        <v>37</v>
      </c>
      <c r="C444">
        <v>0</v>
      </c>
      <c r="D444">
        <v>0</v>
      </c>
      <c r="E444">
        <v>37</v>
      </c>
    </row>
    <row r="445" spans="1:5">
      <c r="A445" s="1">
        <v>443</v>
      </c>
      <c r="B445">
        <v>36</v>
      </c>
      <c r="C445">
        <v>0</v>
      </c>
      <c r="D445">
        <v>0</v>
      </c>
      <c r="E445">
        <v>36</v>
      </c>
    </row>
    <row r="446" spans="1:5">
      <c r="A446" s="1">
        <v>444</v>
      </c>
      <c r="B446">
        <v>36</v>
      </c>
      <c r="C446">
        <v>0</v>
      </c>
      <c r="D446">
        <v>0</v>
      </c>
      <c r="E446">
        <v>36</v>
      </c>
    </row>
    <row r="447" spans="1:5">
      <c r="A447" s="1">
        <v>445</v>
      </c>
      <c r="B447">
        <v>36</v>
      </c>
      <c r="C447">
        <v>0</v>
      </c>
      <c r="D447">
        <v>0</v>
      </c>
      <c r="E447">
        <v>36</v>
      </c>
    </row>
    <row r="448" spans="1:5">
      <c r="A448" s="1">
        <v>446</v>
      </c>
      <c r="B448">
        <v>36</v>
      </c>
      <c r="C448">
        <v>0</v>
      </c>
      <c r="D448">
        <v>0</v>
      </c>
      <c r="E448">
        <v>36</v>
      </c>
    </row>
    <row r="449" spans="1:5">
      <c r="A449" s="1">
        <v>447</v>
      </c>
      <c r="B449">
        <v>36</v>
      </c>
      <c r="C449">
        <v>0</v>
      </c>
      <c r="D449">
        <v>0</v>
      </c>
      <c r="E449">
        <v>36</v>
      </c>
    </row>
    <row r="450" spans="1:5">
      <c r="A450" s="1">
        <v>448</v>
      </c>
      <c r="B450">
        <v>35</v>
      </c>
      <c r="C450">
        <v>0</v>
      </c>
      <c r="D450">
        <v>0</v>
      </c>
      <c r="E450">
        <v>35</v>
      </c>
    </row>
    <row r="451" spans="1:5">
      <c r="A451" s="1">
        <v>449</v>
      </c>
      <c r="B451">
        <v>35</v>
      </c>
      <c r="C451">
        <v>0</v>
      </c>
      <c r="D451">
        <v>0</v>
      </c>
      <c r="E451">
        <v>35</v>
      </c>
    </row>
    <row r="452" spans="1:5">
      <c r="A452" s="1">
        <v>450</v>
      </c>
      <c r="B452">
        <v>35</v>
      </c>
      <c r="C452">
        <v>0</v>
      </c>
      <c r="D452">
        <v>0</v>
      </c>
      <c r="E452">
        <v>35</v>
      </c>
    </row>
    <row r="453" spans="1:5">
      <c r="A453" s="1">
        <v>451</v>
      </c>
      <c r="B453">
        <v>34</v>
      </c>
      <c r="C453">
        <v>0</v>
      </c>
      <c r="D453">
        <v>0</v>
      </c>
      <c r="E453">
        <v>34</v>
      </c>
    </row>
    <row r="454" spans="1:5">
      <c r="A454" s="1">
        <v>452</v>
      </c>
      <c r="B454">
        <v>34</v>
      </c>
      <c r="C454">
        <v>0</v>
      </c>
      <c r="D454">
        <v>0</v>
      </c>
      <c r="E454">
        <v>34</v>
      </c>
    </row>
    <row r="455" spans="1:5">
      <c r="A455" s="1">
        <v>453</v>
      </c>
      <c r="B455">
        <v>34</v>
      </c>
      <c r="C455">
        <v>0</v>
      </c>
      <c r="D455">
        <v>0</v>
      </c>
      <c r="E455">
        <v>34</v>
      </c>
    </row>
    <row r="456" spans="1:5">
      <c r="A456" s="1">
        <v>454</v>
      </c>
      <c r="B456">
        <v>34</v>
      </c>
      <c r="C456">
        <v>0</v>
      </c>
      <c r="D456">
        <v>0</v>
      </c>
      <c r="E456">
        <v>34</v>
      </c>
    </row>
    <row r="457" spans="1:5">
      <c r="A457" s="1">
        <v>455</v>
      </c>
      <c r="B457">
        <v>34</v>
      </c>
      <c r="C457">
        <v>0</v>
      </c>
      <c r="D457">
        <v>0</v>
      </c>
      <c r="E457">
        <v>34</v>
      </c>
    </row>
    <row r="458" spans="1:5">
      <c r="A458" s="1">
        <v>456</v>
      </c>
      <c r="B458">
        <v>33</v>
      </c>
      <c r="C458">
        <v>0</v>
      </c>
      <c r="D458">
        <v>0</v>
      </c>
      <c r="E458">
        <v>33</v>
      </c>
    </row>
    <row r="459" spans="1:5">
      <c r="A459" s="1">
        <v>457</v>
      </c>
      <c r="B459">
        <v>33</v>
      </c>
      <c r="C459">
        <v>0</v>
      </c>
      <c r="D459">
        <v>0</v>
      </c>
      <c r="E459">
        <v>33</v>
      </c>
    </row>
    <row r="460" spans="1:5">
      <c r="A460" s="1">
        <v>458</v>
      </c>
      <c r="B460">
        <v>33</v>
      </c>
      <c r="C460">
        <v>0</v>
      </c>
      <c r="D460">
        <v>0</v>
      </c>
      <c r="E460">
        <v>33</v>
      </c>
    </row>
    <row r="461" spans="1:5">
      <c r="A461" s="1">
        <v>459</v>
      </c>
      <c r="B461">
        <v>33</v>
      </c>
      <c r="C461">
        <v>0</v>
      </c>
      <c r="D461">
        <v>0</v>
      </c>
      <c r="E461">
        <v>33</v>
      </c>
    </row>
    <row r="462" spans="1:5">
      <c r="A462" s="1">
        <v>460</v>
      </c>
      <c r="B462">
        <v>32</v>
      </c>
      <c r="C462">
        <v>0</v>
      </c>
      <c r="D462">
        <v>0</v>
      </c>
      <c r="E462">
        <v>32</v>
      </c>
    </row>
    <row r="463" spans="1:5">
      <c r="A463" s="1">
        <v>461</v>
      </c>
      <c r="B463">
        <v>32</v>
      </c>
      <c r="C463">
        <v>0</v>
      </c>
      <c r="D463">
        <v>0</v>
      </c>
      <c r="E463">
        <v>32</v>
      </c>
    </row>
    <row r="464" spans="1:5">
      <c r="A464" s="1">
        <v>462</v>
      </c>
      <c r="B464">
        <v>32</v>
      </c>
      <c r="C464">
        <v>0</v>
      </c>
      <c r="D464">
        <v>0</v>
      </c>
      <c r="E464">
        <v>32</v>
      </c>
    </row>
    <row r="465" spans="1:5">
      <c r="A465" s="1">
        <v>463</v>
      </c>
      <c r="B465">
        <v>32</v>
      </c>
      <c r="C465">
        <v>0</v>
      </c>
      <c r="D465">
        <v>0</v>
      </c>
      <c r="E465">
        <v>32</v>
      </c>
    </row>
    <row r="466" spans="1:5">
      <c r="A466" s="1">
        <v>464</v>
      </c>
      <c r="B466">
        <v>31</v>
      </c>
      <c r="C466">
        <v>0</v>
      </c>
      <c r="D466">
        <v>0</v>
      </c>
      <c r="E466">
        <v>31</v>
      </c>
    </row>
    <row r="467" spans="1:5">
      <c r="A467" s="1">
        <v>465</v>
      </c>
      <c r="B467">
        <v>31</v>
      </c>
      <c r="C467">
        <v>0</v>
      </c>
      <c r="D467">
        <v>0</v>
      </c>
      <c r="E467">
        <v>31</v>
      </c>
    </row>
    <row r="468" spans="1:5">
      <c r="A468" s="1">
        <v>466</v>
      </c>
      <c r="B468">
        <v>31</v>
      </c>
      <c r="C468">
        <v>0</v>
      </c>
      <c r="D468">
        <v>0</v>
      </c>
      <c r="E468">
        <v>31</v>
      </c>
    </row>
    <row r="469" spans="1:5">
      <c r="A469" s="1">
        <v>467</v>
      </c>
      <c r="B469">
        <v>31</v>
      </c>
      <c r="C469">
        <v>0</v>
      </c>
      <c r="D469">
        <v>0</v>
      </c>
      <c r="E469">
        <v>31</v>
      </c>
    </row>
    <row r="470" spans="1:5">
      <c r="A470" s="1">
        <v>468</v>
      </c>
      <c r="B470">
        <v>31</v>
      </c>
      <c r="C470">
        <v>0</v>
      </c>
      <c r="D470">
        <v>0</v>
      </c>
      <c r="E470">
        <v>31</v>
      </c>
    </row>
    <row r="471" spans="1:5">
      <c r="A471" s="1">
        <v>469</v>
      </c>
      <c r="B471">
        <v>30</v>
      </c>
      <c r="C471">
        <v>0</v>
      </c>
      <c r="D471">
        <v>0</v>
      </c>
      <c r="E471">
        <v>30</v>
      </c>
    </row>
    <row r="472" spans="1:5">
      <c r="A472" s="1">
        <v>470</v>
      </c>
      <c r="B472">
        <v>30</v>
      </c>
      <c r="C472">
        <v>0</v>
      </c>
      <c r="D472">
        <v>0</v>
      </c>
      <c r="E472">
        <v>30</v>
      </c>
    </row>
    <row r="473" spans="1:5">
      <c r="A473" s="1">
        <v>471</v>
      </c>
      <c r="B473">
        <v>30</v>
      </c>
      <c r="C473">
        <v>0</v>
      </c>
      <c r="D473">
        <v>0</v>
      </c>
      <c r="E473">
        <v>30</v>
      </c>
    </row>
    <row r="474" spans="1:5">
      <c r="A474" s="1">
        <v>472</v>
      </c>
      <c r="B474">
        <v>30</v>
      </c>
      <c r="C474">
        <v>0</v>
      </c>
      <c r="D474">
        <v>0</v>
      </c>
      <c r="E474">
        <v>30</v>
      </c>
    </row>
    <row r="475" spans="1:5">
      <c r="A475" s="1">
        <v>473</v>
      </c>
      <c r="B475">
        <v>29</v>
      </c>
      <c r="C475">
        <v>0</v>
      </c>
      <c r="D475">
        <v>0</v>
      </c>
      <c r="E475">
        <v>29</v>
      </c>
    </row>
    <row r="476" spans="1:5">
      <c r="A476" s="1">
        <v>474</v>
      </c>
      <c r="B476">
        <v>29</v>
      </c>
      <c r="C476">
        <v>0</v>
      </c>
      <c r="D476">
        <v>0</v>
      </c>
      <c r="E476">
        <v>29</v>
      </c>
    </row>
    <row r="477" spans="1:5">
      <c r="A477" s="1">
        <v>475</v>
      </c>
      <c r="B477">
        <v>29</v>
      </c>
      <c r="C477">
        <v>0</v>
      </c>
      <c r="D477">
        <v>0</v>
      </c>
      <c r="E477">
        <v>29</v>
      </c>
    </row>
    <row r="478" spans="1:5">
      <c r="A478" s="1">
        <v>476</v>
      </c>
      <c r="B478">
        <v>29</v>
      </c>
      <c r="C478">
        <v>0</v>
      </c>
      <c r="D478">
        <v>0</v>
      </c>
      <c r="E478">
        <v>29</v>
      </c>
    </row>
    <row r="479" spans="1:5">
      <c r="A479" s="1">
        <v>477</v>
      </c>
      <c r="B479">
        <v>28</v>
      </c>
      <c r="C479">
        <v>0</v>
      </c>
      <c r="D479">
        <v>0</v>
      </c>
      <c r="E479">
        <v>28</v>
      </c>
    </row>
    <row r="480" spans="1:5">
      <c r="A480" s="1">
        <v>478</v>
      </c>
      <c r="B480">
        <v>28</v>
      </c>
      <c r="C480">
        <v>0</v>
      </c>
      <c r="D480">
        <v>0</v>
      </c>
      <c r="E480">
        <v>28</v>
      </c>
    </row>
    <row r="481" spans="1:5">
      <c r="A481" s="1">
        <v>479</v>
      </c>
      <c r="B481">
        <v>28</v>
      </c>
      <c r="C481">
        <v>0</v>
      </c>
      <c r="D481">
        <v>0</v>
      </c>
      <c r="E481">
        <v>28</v>
      </c>
    </row>
    <row r="482" spans="1:5">
      <c r="A482" s="1">
        <v>480</v>
      </c>
      <c r="B482">
        <v>28</v>
      </c>
      <c r="C482">
        <v>0</v>
      </c>
      <c r="D482">
        <v>0</v>
      </c>
      <c r="E482">
        <v>28</v>
      </c>
    </row>
    <row r="483" spans="1:5">
      <c r="A483" s="1">
        <v>481</v>
      </c>
      <c r="B483">
        <v>28</v>
      </c>
      <c r="C483">
        <v>0</v>
      </c>
      <c r="D483">
        <v>0</v>
      </c>
      <c r="E483">
        <v>28</v>
      </c>
    </row>
    <row r="484" spans="1:5">
      <c r="A484" s="1">
        <v>482</v>
      </c>
      <c r="B484">
        <v>27</v>
      </c>
      <c r="C484">
        <v>0</v>
      </c>
      <c r="D484">
        <v>0</v>
      </c>
      <c r="E484">
        <v>27</v>
      </c>
    </row>
    <row r="485" spans="1:5">
      <c r="A485" s="1">
        <v>483</v>
      </c>
      <c r="B485">
        <v>27</v>
      </c>
      <c r="C485">
        <v>0</v>
      </c>
      <c r="D485">
        <v>0</v>
      </c>
      <c r="E485">
        <v>27</v>
      </c>
    </row>
    <row r="486" spans="1:5">
      <c r="A486" s="1">
        <v>484</v>
      </c>
      <c r="B486">
        <v>27</v>
      </c>
      <c r="C486">
        <v>0</v>
      </c>
      <c r="D486">
        <v>0</v>
      </c>
      <c r="E486">
        <v>27</v>
      </c>
    </row>
    <row r="487" spans="1:5">
      <c r="A487" s="1">
        <v>485</v>
      </c>
      <c r="B487">
        <v>27</v>
      </c>
      <c r="C487">
        <v>0</v>
      </c>
      <c r="D487">
        <v>0</v>
      </c>
      <c r="E487">
        <v>27</v>
      </c>
    </row>
    <row r="488" spans="1:5">
      <c r="A488" s="1">
        <v>486</v>
      </c>
      <c r="B488">
        <v>26</v>
      </c>
      <c r="C488">
        <v>0</v>
      </c>
      <c r="D488">
        <v>0</v>
      </c>
      <c r="E488">
        <v>26</v>
      </c>
    </row>
    <row r="489" spans="1:5">
      <c r="A489" s="1">
        <v>487</v>
      </c>
      <c r="B489">
        <v>26</v>
      </c>
      <c r="C489">
        <v>0</v>
      </c>
      <c r="D489">
        <v>0</v>
      </c>
      <c r="E489">
        <v>26</v>
      </c>
    </row>
    <row r="490" spans="1:5">
      <c r="A490" s="1">
        <v>488</v>
      </c>
      <c r="B490">
        <v>26</v>
      </c>
      <c r="C490">
        <v>0</v>
      </c>
      <c r="D490">
        <v>0</v>
      </c>
      <c r="E490">
        <v>26</v>
      </c>
    </row>
    <row r="491" spans="1:5">
      <c r="A491" s="1">
        <v>489</v>
      </c>
      <c r="B491">
        <v>26</v>
      </c>
      <c r="C491">
        <v>0</v>
      </c>
      <c r="D491">
        <v>0</v>
      </c>
      <c r="E491">
        <v>26</v>
      </c>
    </row>
    <row r="492" spans="1:5">
      <c r="A492" s="1">
        <v>490</v>
      </c>
      <c r="B492">
        <v>26</v>
      </c>
      <c r="C492">
        <v>0</v>
      </c>
      <c r="D492">
        <v>0</v>
      </c>
      <c r="E492">
        <v>26</v>
      </c>
    </row>
    <row r="493" spans="1:5">
      <c r="A493" s="1">
        <v>491</v>
      </c>
      <c r="B493">
        <v>25</v>
      </c>
      <c r="C493">
        <v>0</v>
      </c>
      <c r="D493">
        <v>0</v>
      </c>
      <c r="E493">
        <v>25</v>
      </c>
    </row>
    <row r="494" spans="1:5">
      <c r="A494" s="1">
        <v>492</v>
      </c>
      <c r="B494">
        <v>25</v>
      </c>
      <c r="C494">
        <v>0</v>
      </c>
      <c r="D494">
        <v>0</v>
      </c>
      <c r="E494">
        <v>25</v>
      </c>
    </row>
    <row r="495" spans="1:5">
      <c r="A495" s="1">
        <v>493</v>
      </c>
      <c r="B495">
        <v>25</v>
      </c>
      <c r="C495">
        <v>0</v>
      </c>
      <c r="D495">
        <v>0</v>
      </c>
      <c r="E495">
        <v>25</v>
      </c>
    </row>
    <row r="496" spans="1:5">
      <c r="A496" s="1">
        <v>494</v>
      </c>
      <c r="B496">
        <v>25</v>
      </c>
      <c r="C496">
        <v>0</v>
      </c>
      <c r="D496">
        <v>0</v>
      </c>
      <c r="E496">
        <v>25</v>
      </c>
    </row>
    <row r="497" spans="1:5">
      <c r="A497" s="1">
        <v>495</v>
      </c>
      <c r="B497">
        <v>24</v>
      </c>
      <c r="C497">
        <v>0</v>
      </c>
      <c r="D497">
        <v>0</v>
      </c>
      <c r="E497">
        <v>24</v>
      </c>
    </row>
    <row r="498" spans="1:5">
      <c r="A498" s="1">
        <v>496</v>
      </c>
      <c r="B498">
        <v>24</v>
      </c>
      <c r="C498">
        <v>0</v>
      </c>
      <c r="D498">
        <v>0</v>
      </c>
      <c r="E498">
        <v>24</v>
      </c>
    </row>
    <row r="499" spans="1:5">
      <c r="A499" s="1">
        <v>497</v>
      </c>
      <c r="B499">
        <v>24</v>
      </c>
      <c r="C499">
        <v>0</v>
      </c>
      <c r="D499">
        <v>0</v>
      </c>
      <c r="E499">
        <v>24</v>
      </c>
    </row>
    <row r="500" spans="1:5">
      <c r="A500" s="1">
        <v>498</v>
      </c>
      <c r="B500">
        <v>24</v>
      </c>
      <c r="C500">
        <v>0</v>
      </c>
      <c r="D500">
        <v>0</v>
      </c>
      <c r="E500">
        <v>24</v>
      </c>
    </row>
    <row r="501" spans="1:5">
      <c r="A501" s="1">
        <v>499</v>
      </c>
      <c r="B501">
        <v>24</v>
      </c>
      <c r="C501">
        <v>0</v>
      </c>
      <c r="D501">
        <v>0</v>
      </c>
      <c r="E501">
        <v>24</v>
      </c>
    </row>
    <row r="502" spans="1:5">
      <c r="A502" s="1">
        <v>500</v>
      </c>
      <c r="B502">
        <v>23</v>
      </c>
      <c r="C502">
        <v>0</v>
      </c>
      <c r="D502">
        <v>0</v>
      </c>
      <c r="E502">
        <v>23</v>
      </c>
    </row>
    <row r="503" spans="1:5">
      <c r="A503" s="1">
        <v>501</v>
      </c>
      <c r="B503">
        <v>23</v>
      </c>
      <c r="C503">
        <v>0</v>
      </c>
      <c r="D503">
        <v>0</v>
      </c>
      <c r="E503">
        <v>23</v>
      </c>
    </row>
    <row r="504" spans="1:5">
      <c r="A504" s="1">
        <v>502</v>
      </c>
      <c r="B504">
        <v>23</v>
      </c>
      <c r="C504">
        <v>0</v>
      </c>
      <c r="D504">
        <v>0</v>
      </c>
      <c r="E504">
        <v>23</v>
      </c>
    </row>
    <row r="505" spans="1:5">
      <c r="A505" s="1">
        <v>503</v>
      </c>
      <c r="B505">
        <v>23</v>
      </c>
      <c r="C505">
        <v>0</v>
      </c>
      <c r="D505">
        <v>0</v>
      </c>
      <c r="E505">
        <v>23</v>
      </c>
    </row>
    <row r="506" spans="1:5">
      <c r="A506" s="1">
        <v>504</v>
      </c>
      <c r="B506">
        <v>23</v>
      </c>
      <c r="C506">
        <v>0</v>
      </c>
      <c r="D506">
        <v>0</v>
      </c>
      <c r="E506">
        <v>23</v>
      </c>
    </row>
    <row r="507" spans="1:5">
      <c r="A507" s="1">
        <v>505</v>
      </c>
      <c r="B507">
        <v>23</v>
      </c>
      <c r="C507">
        <v>0</v>
      </c>
      <c r="D507">
        <v>0</v>
      </c>
      <c r="E507">
        <v>23</v>
      </c>
    </row>
    <row r="508" spans="1:5">
      <c r="A508" s="1">
        <v>506</v>
      </c>
      <c r="B508">
        <v>22</v>
      </c>
      <c r="C508">
        <v>0</v>
      </c>
      <c r="D508">
        <v>0</v>
      </c>
      <c r="E508">
        <v>22</v>
      </c>
    </row>
    <row r="509" spans="1:5">
      <c r="A509" s="1">
        <v>507</v>
      </c>
      <c r="B509">
        <v>22</v>
      </c>
      <c r="C509">
        <v>0</v>
      </c>
      <c r="D509">
        <v>0</v>
      </c>
      <c r="E509">
        <v>22</v>
      </c>
    </row>
    <row r="510" spans="1:5">
      <c r="A510" s="1">
        <v>508</v>
      </c>
      <c r="B510">
        <v>22</v>
      </c>
      <c r="C510">
        <v>0</v>
      </c>
      <c r="D510">
        <v>0</v>
      </c>
      <c r="E510">
        <v>22</v>
      </c>
    </row>
    <row r="511" spans="1:5">
      <c r="A511" s="1">
        <v>509</v>
      </c>
      <c r="B511">
        <v>22</v>
      </c>
      <c r="C511">
        <v>0</v>
      </c>
      <c r="D511">
        <v>0</v>
      </c>
      <c r="E511">
        <v>22</v>
      </c>
    </row>
    <row r="512" spans="1:5">
      <c r="A512" s="1">
        <v>510</v>
      </c>
      <c r="B512">
        <v>22</v>
      </c>
      <c r="C512">
        <v>0</v>
      </c>
      <c r="D512">
        <v>0</v>
      </c>
      <c r="E512">
        <v>22</v>
      </c>
    </row>
    <row r="513" spans="1:5">
      <c r="A513" s="1">
        <v>511</v>
      </c>
      <c r="B513">
        <v>21</v>
      </c>
      <c r="C513">
        <v>0</v>
      </c>
      <c r="D513">
        <v>0</v>
      </c>
      <c r="E513">
        <v>21</v>
      </c>
    </row>
    <row r="514" spans="1:5">
      <c r="A514" s="1">
        <v>512</v>
      </c>
      <c r="B514">
        <v>21</v>
      </c>
      <c r="C514">
        <v>0</v>
      </c>
      <c r="D514">
        <v>0</v>
      </c>
      <c r="E514">
        <v>21</v>
      </c>
    </row>
    <row r="515" spans="1:5">
      <c r="A515" s="1">
        <v>513</v>
      </c>
      <c r="B515">
        <v>21</v>
      </c>
      <c r="C515">
        <v>0</v>
      </c>
      <c r="D515">
        <v>0</v>
      </c>
      <c r="E515">
        <v>21</v>
      </c>
    </row>
    <row r="516" spans="1:5">
      <c r="A516" s="1">
        <v>514</v>
      </c>
      <c r="B516">
        <v>21</v>
      </c>
      <c r="C516">
        <v>0</v>
      </c>
      <c r="D516">
        <v>0</v>
      </c>
      <c r="E516">
        <v>21</v>
      </c>
    </row>
    <row r="517" spans="1:5">
      <c r="A517" s="1">
        <v>515</v>
      </c>
      <c r="B517">
        <v>21</v>
      </c>
      <c r="C517">
        <v>0</v>
      </c>
      <c r="D517">
        <v>0</v>
      </c>
      <c r="E517">
        <v>21</v>
      </c>
    </row>
    <row r="518" spans="1:5">
      <c r="A518" s="1">
        <v>516</v>
      </c>
      <c r="B518">
        <v>20</v>
      </c>
      <c r="C518">
        <v>0</v>
      </c>
      <c r="D518">
        <v>0</v>
      </c>
      <c r="E518">
        <v>20</v>
      </c>
    </row>
    <row r="519" spans="1:5">
      <c r="A519" s="1">
        <v>517</v>
      </c>
      <c r="B519">
        <v>20</v>
      </c>
      <c r="C519">
        <v>0</v>
      </c>
      <c r="D519">
        <v>0</v>
      </c>
      <c r="E519">
        <v>20</v>
      </c>
    </row>
    <row r="520" spans="1:5">
      <c r="A520" s="1">
        <v>518</v>
      </c>
      <c r="B520">
        <v>20</v>
      </c>
      <c r="C520">
        <v>0</v>
      </c>
      <c r="D520">
        <v>0</v>
      </c>
      <c r="E520">
        <v>20</v>
      </c>
    </row>
    <row r="521" spans="1:5">
      <c r="A521" s="1">
        <v>519</v>
      </c>
      <c r="B521">
        <v>20</v>
      </c>
      <c r="C521">
        <v>0</v>
      </c>
      <c r="D521">
        <v>0</v>
      </c>
      <c r="E521">
        <v>20</v>
      </c>
    </row>
    <row r="522" spans="1:5">
      <c r="A522" s="1">
        <v>520</v>
      </c>
      <c r="B522">
        <v>20</v>
      </c>
      <c r="C522">
        <v>0</v>
      </c>
      <c r="D522">
        <v>0</v>
      </c>
      <c r="E522">
        <v>20</v>
      </c>
    </row>
    <row r="523" spans="1:5">
      <c r="A523" s="1">
        <v>521</v>
      </c>
      <c r="B523">
        <v>20</v>
      </c>
      <c r="C523">
        <v>0</v>
      </c>
      <c r="D523">
        <v>0</v>
      </c>
      <c r="E523">
        <v>20</v>
      </c>
    </row>
    <row r="524" spans="1:5">
      <c r="A524" s="1">
        <v>522</v>
      </c>
      <c r="B524">
        <v>19</v>
      </c>
      <c r="C524">
        <v>0</v>
      </c>
      <c r="D524">
        <v>0</v>
      </c>
      <c r="E524">
        <v>19</v>
      </c>
    </row>
    <row r="525" spans="1:5">
      <c r="A525" s="1">
        <v>523</v>
      </c>
      <c r="B525">
        <v>19</v>
      </c>
      <c r="C525">
        <v>0</v>
      </c>
      <c r="D525">
        <v>0</v>
      </c>
      <c r="E525">
        <v>19</v>
      </c>
    </row>
    <row r="526" spans="1:5">
      <c r="A526" s="1">
        <v>524</v>
      </c>
      <c r="B526">
        <v>19</v>
      </c>
      <c r="C526">
        <v>0</v>
      </c>
      <c r="D526">
        <v>0</v>
      </c>
      <c r="E526">
        <v>19</v>
      </c>
    </row>
    <row r="527" spans="1:5">
      <c r="A527" s="1">
        <v>525</v>
      </c>
      <c r="B527">
        <v>19</v>
      </c>
      <c r="C527">
        <v>0</v>
      </c>
      <c r="D527">
        <v>0</v>
      </c>
      <c r="E527">
        <v>19</v>
      </c>
    </row>
    <row r="528" spans="1:5">
      <c r="A528" s="1">
        <v>526</v>
      </c>
      <c r="B528">
        <v>19</v>
      </c>
      <c r="C528">
        <v>0</v>
      </c>
      <c r="D528">
        <v>0</v>
      </c>
      <c r="E528">
        <v>19</v>
      </c>
    </row>
    <row r="529" spans="1:5">
      <c r="A529" s="1">
        <v>527</v>
      </c>
      <c r="B529">
        <v>18</v>
      </c>
      <c r="C529">
        <v>0</v>
      </c>
      <c r="D529">
        <v>0</v>
      </c>
      <c r="E529">
        <v>18</v>
      </c>
    </row>
    <row r="530" spans="1:5">
      <c r="A530" s="1">
        <v>528</v>
      </c>
      <c r="B530">
        <v>18</v>
      </c>
      <c r="C530">
        <v>0</v>
      </c>
      <c r="D530">
        <v>0</v>
      </c>
      <c r="E530">
        <v>18</v>
      </c>
    </row>
    <row r="531" spans="1:5">
      <c r="A531" s="1">
        <v>529</v>
      </c>
      <c r="B531">
        <v>18</v>
      </c>
      <c r="C531">
        <v>0</v>
      </c>
      <c r="D531">
        <v>0</v>
      </c>
      <c r="E531">
        <v>18</v>
      </c>
    </row>
    <row r="532" spans="1:5">
      <c r="A532" s="1">
        <v>530</v>
      </c>
      <c r="B532">
        <v>18</v>
      </c>
      <c r="C532">
        <v>0</v>
      </c>
      <c r="D532">
        <v>0</v>
      </c>
      <c r="E532">
        <v>18</v>
      </c>
    </row>
    <row r="533" spans="1:5">
      <c r="A533" s="1">
        <v>531</v>
      </c>
      <c r="B533">
        <v>18</v>
      </c>
      <c r="C533">
        <v>0</v>
      </c>
      <c r="D533">
        <v>0</v>
      </c>
      <c r="E533">
        <v>18</v>
      </c>
    </row>
    <row r="534" spans="1:5">
      <c r="A534" s="1">
        <v>532</v>
      </c>
      <c r="B534">
        <v>17</v>
      </c>
      <c r="C534">
        <v>0</v>
      </c>
      <c r="D534">
        <v>0</v>
      </c>
      <c r="E534">
        <v>17</v>
      </c>
    </row>
    <row r="535" spans="1:5">
      <c r="A535" s="1">
        <v>533</v>
      </c>
      <c r="B535">
        <v>17</v>
      </c>
      <c r="C535">
        <v>0</v>
      </c>
      <c r="D535">
        <v>0</v>
      </c>
      <c r="E535">
        <v>17</v>
      </c>
    </row>
    <row r="536" spans="1:5">
      <c r="A536" s="1">
        <v>534</v>
      </c>
      <c r="B536">
        <v>17</v>
      </c>
      <c r="C536">
        <v>0</v>
      </c>
      <c r="D536">
        <v>0</v>
      </c>
      <c r="E536">
        <v>17</v>
      </c>
    </row>
    <row r="537" spans="1:5">
      <c r="A537" s="1">
        <v>535</v>
      </c>
      <c r="B537">
        <v>17</v>
      </c>
      <c r="C537">
        <v>0</v>
      </c>
      <c r="D537">
        <v>0</v>
      </c>
      <c r="E537">
        <v>17</v>
      </c>
    </row>
    <row r="538" spans="1:5">
      <c r="A538" s="1">
        <v>536</v>
      </c>
      <c r="B538">
        <v>17</v>
      </c>
      <c r="C538">
        <v>0</v>
      </c>
      <c r="D538">
        <v>0</v>
      </c>
      <c r="E538">
        <v>17</v>
      </c>
    </row>
    <row r="539" spans="1:5">
      <c r="A539" s="1">
        <v>537</v>
      </c>
      <c r="B539">
        <v>16</v>
      </c>
      <c r="C539">
        <v>0</v>
      </c>
      <c r="D539">
        <v>0</v>
      </c>
      <c r="E539">
        <v>16</v>
      </c>
    </row>
    <row r="540" spans="1:5">
      <c r="A540" s="1">
        <v>538</v>
      </c>
      <c r="B540">
        <v>16</v>
      </c>
      <c r="C540">
        <v>0</v>
      </c>
      <c r="D540">
        <v>0</v>
      </c>
      <c r="E540">
        <v>16</v>
      </c>
    </row>
    <row r="541" spans="1:5">
      <c r="A541" s="1">
        <v>539</v>
      </c>
      <c r="B541">
        <v>16</v>
      </c>
      <c r="C541">
        <v>0</v>
      </c>
      <c r="D541">
        <v>0</v>
      </c>
      <c r="E541">
        <v>16</v>
      </c>
    </row>
    <row r="542" spans="1:5">
      <c r="A542" s="1">
        <v>540</v>
      </c>
      <c r="B542">
        <v>16</v>
      </c>
      <c r="C542">
        <v>0</v>
      </c>
      <c r="D542">
        <v>0</v>
      </c>
      <c r="E542">
        <v>16</v>
      </c>
    </row>
    <row r="543" spans="1:5">
      <c r="A543" s="1">
        <v>541</v>
      </c>
      <c r="B543">
        <v>16</v>
      </c>
      <c r="C543">
        <v>0</v>
      </c>
      <c r="D543">
        <v>0</v>
      </c>
      <c r="E543">
        <v>16</v>
      </c>
    </row>
    <row r="544" spans="1:5">
      <c r="A544" s="1">
        <v>542</v>
      </c>
      <c r="B544">
        <v>15</v>
      </c>
      <c r="C544">
        <v>0</v>
      </c>
      <c r="D544">
        <v>0</v>
      </c>
      <c r="E544">
        <v>15</v>
      </c>
    </row>
    <row r="545" spans="1:5">
      <c r="A545" s="1">
        <v>543</v>
      </c>
      <c r="B545">
        <v>15</v>
      </c>
      <c r="C545">
        <v>0</v>
      </c>
      <c r="D545">
        <v>0</v>
      </c>
      <c r="E545">
        <v>15</v>
      </c>
    </row>
    <row r="546" spans="1:5">
      <c r="A546" s="1">
        <v>544</v>
      </c>
      <c r="B546">
        <v>15</v>
      </c>
      <c r="C546">
        <v>0</v>
      </c>
      <c r="D546">
        <v>0</v>
      </c>
      <c r="E546">
        <v>15</v>
      </c>
    </row>
    <row r="547" spans="1:5">
      <c r="A547" s="1">
        <v>545</v>
      </c>
      <c r="B547">
        <v>15</v>
      </c>
      <c r="C547">
        <v>0</v>
      </c>
      <c r="D547">
        <v>0</v>
      </c>
      <c r="E547">
        <v>15</v>
      </c>
    </row>
    <row r="548" spans="1:5">
      <c r="A548" s="1">
        <v>546</v>
      </c>
      <c r="B548">
        <v>15</v>
      </c>
      <c r="C548">
        <v>0</v>
      </c>
      <c r="D548">
        <v>0</v>
      </c>
      <c r="E548">
        <v>15</v>
      </c>
    </row>
    <row r="549" spans="1:5">
      <c r="A549" s="1">
        <v>547</v>
      </c>
      <c r="B549">
        <v>14</v>
      </c>
      <c r="C549">
        <v>0</v>
      </c>
      <c r="D549">
        <v>0</v>
      </c>
      <c r="E549">
        <v>14</v>
      </c>
    </row>
    <row r="550" spans="1:5">
      <c r="A550" s="1">
        <v>548</v>
      </c>
      <c r="B550">
        <v>14</v>
      </c>
      <c r="C550">
        <v>0</v>
      </c>
      <c r="D550">
        <v>0</v>
      </c>
      <c r="E550">
        <v>14</v>
      </c>
    </row>
    <row r="551" spans="1:5">
      <c r="A551" s="1">
        <v>549</v>
      </c>
      <c r="B551">
        <v>14</v>
      </c>
      <c r="C551">
        <v>0</v>
      </c>
      <c r="D551">
        <v>0</v>
      </c>
      <c r="E551">
        <v>14</v>
      </c>
    </row>
    <row r="552" spans="1:5">
      <c r="A552" s="1">
        <v>550</v>
      </c>
      <c r="B552">
        <v>14</v>
      </c>
      <c r="C552">
        <v>0</v>
      </c>
      <c r="D552">
        <v>0</v>
      </c>
      <c r="E552">
        <v>14</v>
      </c>
    </row>
    <row r="553" spans="1:5">
      <c r="A553" s="1">
        <v>551</v>
      </c>
      <c r="B553">
        <v>14</v>
      </c>
      <c r="C553">
        <v>0</v>
      </c>
      <c r="D553">
        <v>0</v>
      </c>
      <c r="E553">
        <v>14</v>
      </c>
    </row>
    <row r="554" spans="1:5">
      <c r="A554" s="1">
        <v>552</v>
      </c>
      <c r="B554">
        <v>13</v>
      </c>
      <c r="C554">
        <v>0</v>
      </c>
      <c r="D554">
        <v>0</v>
      </c>
      <c r="E554">
        <v>13</v>
      </c>
    </row>
    <row r="555" spans="1:5">
      <c r="A555" s="1">
        <v>553</v>
      </c>
      <c r="B555">
        <v>13</v>
      </c>
      <c r="C555">
        <v>0</v>
      </c>
      <c r="D555">
        <v>0</v>
      </c>
      <c r="E555">
        <v>13</v>
      </c>
    </row>
    <row r="556" spans="1:5">
      <c r="A556" s="1">
        <v>554</v>
      </c>
      <c r="B556">
        <v>13</v>
      </c>
      <c r="C556">
        <v>0</v>
      </c>
      <c r="D556">
        <v>0</v>
      </c>
      <c r="E556">
        <v>13</v>
      </c>
    </row>
    <row r="557" spans="1:5">
      <c r="A557" s="1">
        <v>555</v>
      </c>
      <c r="B557">
        <v>13</v>
      </c>
      <c r="C557">
        <v>0</v>
      </c>
      <c r="D557">
        <v>0</v>
      </c>
      <c r="E557">
        <v>13</v>
      </c>
    </row>
    <row r="558" spans="1:5">
      <c r="A558" s="1">
        <v>556</v>
      </c>
      <c r="B558">
        <v>13</v>
      </c>
      <c r="C558">
        <v>0</v>
      </c>
      <c r="D558">
        <v>0</v>
      </c>
      <c r="E558">
        <v>13</v>
      </c>
    </row>
    <row r="559" spans="1:5">
      <c r="A559" s="1">
        <v>557</v>
      </c>
      <c r="B559">
        <v>12</v>
      </c>
      <c r="C559">
        <v>0</v>
      </c>
      <c r="D559">
        <v>0</v>
      </c>
      <c r="E559">
        <v>12</v>
      </c>
    </row>
    <row r="560" spans="1:5">
      <c r="A560" s="1">
        <v>558</v>
      </c>
      <c r="B560">
        <v>12</v>
      </c>
      <c r="C560">
        <v>0</v>
      </c>
      <c r="D560">
        <v>0</v>
      </c>
      <c r="E560">
        <v>12</v>
      </c>
    </row>
    <row r="561" spans="1:5">
      <c r="A561" s="1">
        <v>559</v>
      </c>
      <c r="B561">
        <v>12</v>
      </c>
      <c r="C561">
        <v>0</v>
      </c>
      <c r="D561">
        <v>0</v>
      </c>
      <c r="E561">
        <v>12</v>
      </c>
    </row>
    <row r="562" spans="1:5">
      <c r="A562" s="1">
        <v>560</v>
      </c>
      <c r="B562">
        <v>12</v>
      </c>
      <c r="C562">
        <v>0</v>
      </c>
      <c r="D562">
        <v>0</v>
      </c>
      <c r="E562">
        <v>12</v>
      </c>
    </row>
    <row r="563" spans="1:5">
      <c r="A563" s="1">
        <v>561</v>
      </c>
      <c r="B563">
        <v>11</v>
      </c>
      <c r="C563">
        <v>0</v>
      </c>
      <c r="D563">
        <v>0</v>
      </c>
      <c r="E563">
        <v>11</v>
      </c>
    </row>
    <row r="564" spans="1:5">
      <c r="A564" s="1">
        <v>562</v>
      </c>
      <c r="B564">
        <v>11</v>
      </c>
      <c r="C564">
        <v>0</v>
      </c>
      <c r="D564">
        <v>0</v>
      </c>
      <c r="E564">
        <v>11</v>
      </c>
    </row>
    <row r="565" spans="1:5">
      <c r="A565" s="1">
        <v>563</v>
      </c>
      <c r="B565">
        <v>11</v>
      </c>
      <c r="C565">
        <v>0</v>
      </c>
      <c r="D565">
        <v>0</v>
      </c>
      <c r="E565">
        <v>11</v>
      </c>
    </row>
    <row r="566" spans="1:5">
      <c r="A566" s="1">
        <v>564</v>
      </c>
      <c r="B566">
        <v>11</v>
      </c>
      <c r="C566">
        <v>0</v>
      </c>
      <c r="D566">
        <v>0</v>
      </c>
      <c r="E566">
        <v>11</v>
      </c>
    </row>
    <row r="567" spans="1:5">
      <c r="A567" s="1">
        <v>565</v>
      </c>
      <c r="B567">
        <v>11</v>
      </c>
      <c r="C567">
        <v>0</v>
      </c>
      <c r="D567">
        <v>0</v>
      </c>
      <c r="E567">
        <v>11</v>
      </c>
    </row>
    <row r="568" spans="1:5">
      <c r="A568" s="1">
        <v>566</v>
      </c>
      <c r="B568">
        <v>10</v>
      </c>
      <c r="C568">
        <v>0</v>
      </c>
      <c r="D568">
        <v>0</v>
      </c>
      <c r="E568">
        <v>10</v>
      </c>
    </row>
    <row r="569" spans="1:5">
      <c r="A569" s="1">
        <v>567</v>
      </c>
      <c r="B569">
        <v>10</v>
      </c>
      <c r="C569">
        <v>0</v>
      </c>
      <c r="D569">
        <v>0</v>
      </c>
      <c r="E569">
        <v>10</v>
      </c>
    </row>
    <row r="570" spans="1:5">
      <c r="A570" s="1">
        <v>568</v>
      </c>
      <c r="B570">
        <v>10</v>
      </c>
      <c r="C570">
        <v>0</v>
      </c>
      <c r="D570">
        <v>0</v>
      </c>
      <c r="E570">
        <v>10</v>
      </c>
    </row>
    <row r="571" spans="1:5">
      <c r="A571" s="1">
        <v>569</v>
      </c>
      <c r="B571">
        <v>10</v>
      </c>
      <c r="C571">
        <v>0</v>
      </c>
      <c r="D571">
        <v>0</v>
      </c>
      <c r="E571">
        <v>10</v>
      </c>
    </row>
    <row r="572" spans="1:5">
      <c r="A572" s="1">
        <v>570</v>
      </c>
      <c r="B572">
        <v>10</v>
      </c>
      <c r="C572">
        <v>0</v>
      </c>
      <c r="D572">
        <v>0</v>
      </c>
      <c r="E572">
        <v>10</v>
      </c>
    </row>
    <row r="573" spans="1:5">
      <c r="A573" s="1">
        <v>571</v>
      </c>
      <c r="B573">
        <v>9</v>
      </c>
      <c r="C573">
        <v>0</v>
      </c>
      <c r="D573">
        <v>0</v>
      </c>
      <c r="E573">
        <v>9</v>
      </c>
    </row>
    <row r="574" spans="1:5">
      <c r="A574" s="1">
        <v>572</v>
      </c>
      <c r="B574">
        <v>9</v>
      </c>
      <c r="C574">
        <v>0</v>
      </c>
      <c r="D574">
        <v>0</v>
      </c>
      <c r="E574">
        <v>9</v>
      </c>
    </row>
    <row r="575" spans="1:5">
      <c r="A575" s="1">
        <v>573</v>
      </c>
      <c r="B575">
        <v>9</v>
      </c>
      <c r="C575">
        <v>0</v>
      </c>
      <c r="D575">
        <v>0</v>
      </c>
      <c r="E575">
        <v>9</v>
      </c>
    </row>
    <row r="576" spans="1:5">
      <c r="A576" s="1">
        <v>574</v>
      </c>
      <c r="B576">
        <v>9</v>
      </c>
      <c r="C576">
        <v>0</v>
      </c>
      <c r="D576">
        <v>0</v>
      </c>
      <c r="E576">
        <v>9</v>
      </c>
    </row>
    <row r="577" spans="1:5">
      <c r="A577" s="1">
        <v>575</v>
      </c>
      <c r="B577">
        <v>9</v>
      </c>
      <c r="C577">
        <v>0</v>
      </c>
      <c r="D577">
        <v>0</v>
      </c>
      <c r="E577">
        <v>9</v>
      </c>
    </row>
    <row r="578" spans="1:5">
      <c r="A578" s="1">
        <v>576</v>
      </c>
      <c r="B578">
        <v>9</v>
      </c>
      <c r="C578">
        <v>0</v>
      </c>
      <c r="D578">
        <v>0</v>
      </c>
      <c r="E578">
        <v>9</v>
      </c>
    </row>
    <row r="579" spans="1:5">
      <c r="A579" s="1">
        <v>577</v>
      </c>
      <c r="B579">
        <v>8</v>
      </c>
      <c r="C579">
        <v>0</v>
      </c>
      <c r="D579">
        <v>0</v>
      </c>
      <c r="E579">
        <v>8</v>
      </c>
    </row>
    <row r="580" spans="1:5">
      <c r="A580" s="1">
        <v>578</v>
      </c>
      <c r="B580">
        <v>8</v>
      </c>
      <c r="C580">
        <v>0</v>
      </c>
      <c r="D580">
        <v>0</v>
      </c>
      <c r="E580">
        <v>8</v>
      </c>
    </row>
    <row r="581" spans="1:5">
      <c r="A581" s="1">
        <v>579</v>
      </c>
      <c r="B581">
        <v>8</v>
      </c>
      <c r="C581">
        <v>0</v>
      </c>
      <c r="D581">
        <v>0</v>
      </c>
      <c r="E581">
        <v>8</v>
      </c>
    </row>
    <row r="582" spans="1:5">
      <c r="A582" s="1">
        <v>580</v>
      </c>
      <c r="B582">
        <v>8</v>
      </c>
      <c r="C582">
        <v>0</v>
      </c>
      <c r="D582">
        <v>0</v>
      </c>
      <c r="E582">
        <v>8</v>
      </c>
    </row>
    <row r="583" spans="1:5">
      <c r="A583" s="1">
        <v>581</v>
      </c>
      <c r="B583">
        <v>8</v>
      </c>
      <c r="C583">
        <v>0</v>
      </c>
      <c r="D583">
        <v>0</v>
      </c>
      <c r="E583">
        <v>8</v>
      </c>
    </row>
    <row r="584" spans="1:5">
      <c r="A584" s="1">
        <v>582</v>
      </c>
      <c r="B584">
        <v>8</v>
      </c>
      <c r="C584">
        <v>0</v>
      </c>
      <c r="D584">
        <v>0</v>
      </c>
      <c r="E584">
        <v>8</v>
      </c>
    </row>
    <row r="585" spans="1:5">
      <c r="A585" s="1">
        <v>583</v>
      </c>
      <c r="B585">
        <v>8</v>
      </c>
      <c r="C585">
        <v>0</v>
      </c>
      <c r="D585">
        <v>0</v>
      </c>
      <c r="E585">
        <v>8</v>
      </c>
    </row>
    <row r="586" spans="1:5">
      <c r="A586" s="1">
        <v>584</v>
      </c>
      <c r="B586">
        <v>8</v>
      </c>
      <c r="C586">
        <v>0</v>
      </c>
      <c r="D586">
        <v>0</v>
      </c>
      <c r="E586">
        <v>8</v>
      </c>
    </row>
    <row r="587" spans="1:5">
      <c r="A587" s="1">
        <v>585</v>
      </c>
      <c r="B587">
        <v>8</v>
      </c>
      <c r="C587">
        <v>0</v>
      </c>
      <c r="D587">
        <v>0</v>
      </c>
      <c r="E587">
        <v>8</v>
      </c>
    </row>
    <row r="588" spans="1:5">
      <c r="A588" s="1">
        <v>586</v>
      </c>
      <c r="B588">
        <v>8</v>
      </c>
      <c r="C588">
        <v>0</v>
      </c>
      <c r="D588">
        <v>0</v>
      </c>
      <c r="E588">
        <v>8</v>
      </c>
    </row>
    <row r="589" spans="1:5">
      <c r="A589" s="1">
        <v>587</v>
      </c>
      <c r="B589">
        <v>8</v>
      </c>
      <c r="C589">
        <v>0</v>
      </c>
      <c r="D589">
        <v>0</v>
      </c>
      <c r="E589">
        <v>8</v>
      </c>
    </row>
    <row r="590" spans="1:5">
      <c r="A590" s="1">
        <v>588</v>
      </c>
      <c r="B590">
        <v>8</v>
      </c>
      <c r="C590">
        <v>0</v>
      </c>
      <c r="D590">
        <v>0</v>
      </c>
      <c r="E590">
        <v>8</v>
      </c>
    </row>
    <row r="591" spans="1:5">
      <c r="A591" s="1">
        <v>589</v>
      </c>
      <c r="B591">
        <v>8</v>
      </c>
      <c r="C591">
        <v>0</v>
      </c>
      <c r="D591">
        <v>0</v>
      </c>
      <c r="E591">
        <v>8</v>
      </c>
    </row>
    <row r="592" spans="1:5">
      <c r="A592" s="1">
        <v>590</v>
      </c>
      <c r="B592">
        <v>7</v>
      </c>
      <c r="C592">
        <v>0</v>
      </c>
      <c r="D592">
        <v>0</v>
      </c>
      <c r="E592">
        <v>7</v>
      </c>
    </row>
    <row r="593" spans="1:5">
      <c r="A593" s="1">
        <v>591</v>
      </c>
      <c r="B593">
        <v>7</v>
      </c>
      <c r="C593">
        <v>0</v>
      </c>
      <c r="D593">
        <v>0</v>
      </c>
      <c r="E593">
        <v>7</v>
      </c>
    </row>
    <row r="594" spans="1:5">
      <c r="A594" s="1">
        <v>592</v>
      </c>
      <c r="B594">
        <v>7</v>
      </c>
      <c r="C594">
        <v>0</v>
      </c>
      <c r="D594">
        <v>0</v>
      </c>
      <c r="E594">
        <v>7</v>
      </c>
    </row>
    <row r="595" spans="1:5">
      <c r="A595" s="1">
        <v>593</v>
      </c>
      <c r="B595">
        <v>7</v>
      </c>
      <c r="C595">
        <v>0</v>
      </c>
      <c r="D595">
        <v>0</v>
      </c>
      <c r="E595">
        <v>7</v>
      </c>
    </row>
    <row r="596" spans="1:5">
      <c r="A596" s="1">
        <v>594</v>
      </c>
      <c r="B596">
        <v>7</v>
      </c>
      <c r="C596">
        <v>0</v>
      </c>
      <c r="D596">
        <v>0</v>
      </c>
      <c r="E596">
        <v>7</v>
      </c>
    </row>
    <row r="597" spans="1:5">
      <c r="A597" s="1">
        <v>595</v>
      </c>
      <c r="B597">
        <v>7</v>
      </c>
      <c r="C597">
        <v>0</v>
      </c>
      <c r="D597">
        <v>0</v>
      </c>
      <c r="E597">
        <v>7</v>
      </c>
    </row>
    <row r="598" spans="1:5">
      <c r="A598" s="1">
        <v>596</v>
      </c>
      <c r="B598">
        <v>7</v>
      </c>
      <c r="C598">
        <v>0</v>
      </c>
      <c r="D598">
        <v>0</v>
      </c>
      <c r="E598">
        <v>7</v>
      </c>
    </row>
    <row r="599" spans="1:5">
      <c r="A599" s="1">
        <v>597</v>
      </c>
      <c r="B599">
        <v>7</v>
      </c>
      <c r="C599">
        <v>0</v>
      </c>
      <c r="D599">
        <v>0</v>
      </c>
      <c r="E599">
        <v>7</v>
      </c>
    </row>
    <row r="600" spans="1:5">
      <c r="A600" s="1">
        <v>598</v>
      </c>
      <c r="B600">
        <v>7</v>
      </c>
      <c r="C600">
        <v>0</v>
      </c>
      <c r="D600">
        <v>0</v>
      </c>
      <c r="E600">
        <v>7</v>
      </c>
    </row>
    <row r="601" spans="1:5">
      <c r="A601" s="1">
        <v>599</v>
      </c>
      <c r="B601">
        <v>7</v>
      </c>
      <c r="C601">
        <v>0</v>
      </c>
      <c r="D601">
        <v>0</v>
      </c>
      <c r="E601">
        <v>7</v>
      </c>
    </row>
    <row r="602" spans="1:5">
      <c r="A602" s="1">
        <v>600</v>
      </c>
      <c r="B602">
        <v>7</v>
      </c>
      <c r="C602">
        <v>0</v>
      </c>
      <c r="D602">
        <v>0</v>
      </c>
      <c r="E602">
        <v>7</v>
      </c>
    </row>
    <row r="603" spans="1:5">
      <c r="A603" s="1">
        <v>601</v>
      </c>
      <c r="B603">
        <v>7</v>
      </c>
      <c r="C603">
        <v>0</v>
      </c>
      <c r="D603">
        <v>0</v>
      </c>
      <c r="E603">
        <v>7</v>
      </c>
    </row>
    <row r="604" spans="1:5">
      <c r="A604" s="1">
        <v>602</v>
      </c>
      <c r="B604">
        <v>6</v>
      </c>
      <c r="C604">
        <v>0</v>
      </c>
      <c r="D604">
        <v>0</v>
      </c>
      <c r="E604">
        <v>6</v>
      </c>
    </row>
    <row r="605" spans="1:5">
      <c r="A605" s="1">
        <v>603</v>
      </c>
      <c r="B605">
        <v>6</v>
      </c>
      <c r="C605">
        <v>0</v>
      </c>
      <c r="D605">
        <v>0</v>
      </c>
      <c r="E605">
        <v>6</v>
      </c>
    </row>
    <row r="606" spans="1:5">
      <c r="A606" s="1">
        <v>604</v>
      </c>
      <c r="B606">
        <v>6</v>
      </c>
      <c r="C606">
        <v>0</v>
      </c>
      <c r="D606">
        <v>0</v>
      </c>
      <c r="E606">
        <v>6</v>
      </c>
    </row>
    <row r="607" spans="1:5">
      <c r="A607" s="1">
        <v>605</v>
      </c>
      <c r="B607">
        <v>6</v>
      </c>
      <c r="C607">
        <v>0</v>
      </c>
      <c r="D607">
        <v>0</v>
      </c>
      <c r="E607">
        <v>6</v>
      </c>
    </row>
    <row r="608" spans="1:5">
      <c r="A608" s="1">
        <v>606</v>
      </c>
      <c r="B608">
        <v>6</v>
      </c>
      <c r="C608">
        <v>0</v>
      </c>
      <c r="D608">
        <v>0</v>
      </c>
      <c r="E608">
        <v>6</v>
      </c>
    </row>
    <row r="609" spans="1:5">
      <c r="A609" s="1">
        <v>607</v>
      </c>
      <c r="B609">
        <v>6</v>
      </c>
      <c r="C609">
        <v>0</v>
      </c>
      <c r="D609">
        <v>0</v>
      </c>
      <c r="E609">
        <v>6</v>
      </c>
    </row>
    <row r="610" spans="1:5">
      <c r="A610" s="1">
        <v>608</v>
      </c>
      <c r="B610">
        <v>6</v>
      </c>
      <c r="C610">
        <v>0</v>
      </c>
      <c r="D610">
        <v>0</v>
      </c>
      <c r="E610">
        <v>6</v>
      </c>
    </row>
    <row r="611" spans="1:5">
      <c r="A611" s="1">
        <v>609</v>
      </c>
      <c r="B611">
        <v>5</v>
      </c>
      <c r="C611">
        <v>0</v>
      </c>
      <c r="D611">
        <v>0</v>
      </c>
      <c r="E611">
        <v>5</v>
      </c>
    </row>
    <row r="612" spans="1:5">
      <c r="A612" s="1">
        <v>610</v>
      </c>
      <c r="B612">
        <v>5</v>
      </c>
      <c r="C612">
        <v>0</v>
      </c>
      <c r="D612">
        <v>0</v>
      </c>
      <c r="E612">
        <v>5</v>
      </c>
    </row>
    <row r="613" spans="1:5">
      <c r="A613" s="1">
        <v>611</v>
      </c>
      <c r="B613">
        <v>5</v>
      </c>
      <c r="C613">
        <v>0</v>
      </c>
      <c r="D613">
        <v>0</v>
      </c>
      <c r="E613">
        <v>5</v>
      </c>
    </row>
    <row r="614" spans="1:5">
      <c r="A614" s="1">
        <v>612</v>
      </c>
      <c r="B614">
        <v>5</v>
      </c>
      <c r="C614">
        <v>0</v>
      </c>
      <c r="D614">
        <v>0</v>
      </c>
      <c r="E614">
        <v>5</v>
      </c>
    </row>
    <row r="615" spans="1:5">
      <c r="A615" s="1">
        <v>613</v>
      </c>
      <c r="B615">
        <v>5</v>
      </c>
      <c r="C615">
        <v>0</v>
      </c>
      <c r="D615">
        <v>0</v>
      </c>
      <c r="E615">
        <v>5</v>
      </c>
    </row>
    <row r="616" spans="1:5">
      <c r="A616" s="1">
        <v>614</v>
      </c>
      <c r="B616">
        <v>5</v>
      </c>
      <c r="C616">
        <v>0</v>
      </c>
      <c r="D616">
        <v>0</v>
      </c>
      <c r="E616">
        <v>5</v>
      </c>
    </row>
    <row r="617" spans="1:5">
      <c r="A617" s="1">
        <v>615</v>
      </c>
      <c r="B617">
        <v>4</v>
      </c>
      <c r="C617">
        <v>0</v>
      </c>
      <c r="D617">
        <v>0</v>
      </c>
      <c r="E617">
        <v>4</v>
      </c>
    </row>
    <row r="618" spans="1:5">
      <c r="A618" s="1">
        <v>616</v>
      </c>
      <c r="B618">
        <v>4</v>
      </c>
      <c r="C618">
        <v>0</v>
      </c>
      <c r="D618">
        <v>0</v>
      </c>
      <c r="E618">
        <v>4</v>
      </c>
    </row>
    <row r="619" spans="1:5">
      <c r="A619" s="1">
        <v>617</v>
      </c>
      <c r="B619">
        <v>4</v>
      </c>
      <c r="C619">
        <v>0</v>
      </c>
      <c r="D619">
        <v>0</v>
      </c>
      <c r="E619">
        <v>4</v>
      </c>
    </row>
    <row r="620" spans="1:5">
      <c r="A620" s="1">
        <v>618</v>
      </c>
      <c r="B620">
        <v>4</v>
      </c>
      <c r="C620">
        <v>0</v>
      </c>
      <c r="D620">
        <v>0</v>
      </c>
      <c r="E620">
        <v>4</v>
      </c>
    </row>
    <row r="621" spans="1:5">
      <c r="A621" s="1">
        <v>619</v>
      </c>
      <c r="B621">
        <v>4</v>
      </c>
      <c r="C621">
        <v>0</v>
      </c>
      <c r="D621">
        <v>0</v>
      </c>
      <c r="E621">
        <v>4</v>
      </c>
    </row>
    <row r="622" spans="1:5">
      <c r="A622" s="1">
        <v>620</v>
      </c>
      <c r="B622">
        <v>4</v>
      </c>
      <c r="C622">
        <v>0</v>
      </c>
      <c r="D622">
        <v>0</v>
      </c>
      <c r="E622">
        <v>4</v>
      </c>
    </row>
    <row r="623" spans="1:5">
      <c r="A623" s="1">
        <v>621</v>
      </c>
      <c r="B623">
        <v>3</v>
      </c>
      <c r="C623">
        <v>0</v>
      </c>
      <c r="D623">
        <v>0</v>
      </c>
      <c r="E623">
        <v>3</v>
      </c>
    </row>
    <row r="624" spans="1:5">
      <c r="A624" s="1">
        <v>622</v>
      </c>
      <c r="B624">
        <v>3</v>
      </c>
      <c r="C624">
        <v>0</v>
      </c>
      <c r="D624">
        <v>0</v>
      </c>
      <c r="E624">
        <v>3</v>
      </c>
    </row>
    <row r="625" spans="1:5">
      <c r="A625" s="1">
        <v>623</v>
      </c>
      <c r="B625">
        <v>3</v>
      </c>
      <c r="C625">
        <v>0</v>
      </c>
      <c r="D625">
        <v>0</v>
      </c>
      <c r="E625">
        <v>3</v>
      </c>
    </row>
    <row r="626" spans="1:5">
      <c r="A626" s="1">
        <v>624</v>
      </c>
      <c r="B626">
        <v>3</v>
      </c>
      <c r="C626">
        <v>0</v>
      </c>
      <c r="D626">
        <v>0</v>
      </c>
      <c r="E626">
        <v>3</v>
      </c>
    </row>
    <row r="627" spans="1:5">
      <c r="A627" s="1">
        <v>625</v>
      </c>
      <c r="B627">
        <v>3</v>
      </c>
      <c r="C627">
        <v>0</v>
      </c>
      <c r="D627">
        <v>0</v>
      </c>
      <c r="E627">
        <v>3</v>
      </c>
    </row>
    <row r="628" spans="1:5">
      <c r="A628" s="1">
        <v>626</v>
      </c>
      <c r="B628">
        <v>3</v>
      </c>
      <c r="C628">
        <v>0</v>
      </c>
      <c r="D628">
        <v>0</v>
      </c>
      <c r="E628">
        <v>3</v>
      </c>
    </row>
    <row r="629" spans="1:5">
      <c r="A629" s="1">
        <v>627</v>
      </c>
      <c r="B629">
        <v>2</v>
      </c>
      <c r="C629">
        <v>0</v>
      </c>
      <c r="D629">
        <v>0</v>
      </c>
      <c r="E629">
        <v>2</v>
      </c>
    </row>
    <row r="630" spans="1:5">
      <c r="A630" s="1">
        <v>628</v>
      </c>
      <c r="B630">
        <v>2</v>
      </c>
      <c r="C630">
        <v>0</v>
      </c>
      <c r="D630">
        <v>0</v>
      </c>
      <c r="E630">
        <v>2</v>
      </c>
    </row>
    <row r="631" spans="1:5">
      <c r="A631" s="1">
        <v>629</v>
      </c>
      <c r="B631">
        <v>2</v>
      </c>
      <c r="C631">
        <v>0</v>
      </c>
      <c r="D631">
        <v>0</v>
      </c>
      <c r="E631">
        <v>2</v>
      </c>
    </row>
    <row r="632" spans="1:5">
      <c r="A632" s="1">
        <v>630</v>
      </c>
      <c r="B632">
        <v>2</v>
      </c>
      <c r="C632">
        <v>0</v>
      </c>
      <c r="D632">
        <v>0</v>
      </c>
      <c r="E632">
        <v>2</v>
      </c>
    </row>
    <row r="633" spans="1:5">
      <c r="A633" s="1">
        <v>631</v>
      </c>
      <c r="B633">
        <v>2</v>
      </c>
      <c r="C633">
        <v>0</v>
      </c>
      <c r="D633">
        <v>0</v>
      </c>
      <c r="E633">
        <v>2</v>
      </c>
    </row>
    <row r="634" spans="1:5">
      <c r="A634" s="1">
        <v>632</v>
      </c>
      <c r="B634">
        <v>2</v>
      </c>
      <c r="C634">
        <v>0</v>
      </c>
      <c r="D634">
        <v>0</v>
      </c>
      <c r="E634">
        <v>2</v>
      </c>
    </row>
    <row r="635" spans="1:5">
      <c r="A635" s="1">
        <v>633</v>
      </c>
      <c r="B635">
        <v>2</v>
      </c>
      <c r="C635">
        <v>0</v>
      </c>
      <c r="D635">
        <v>0</v>
      </c>
      <c r="E635">
        <v>2</v>
      </c>
    </row>
    <row r="636" spans="1:5">
      <c r="A636" s="1">
        <v>634</v>
      </c>
      <c r="B636">
        <v>2</v>
      </c>
      <c r="C636">
        <v>0</v>
      </c>
      <c r="D636">
        <v>0</v>
      </c>
      <c r="E636">
        <v>2</v>
      </c>
    </row>
    <row r="637" spans="1:5">
      <c r="A637" s="1">
        <v>635</v>
      </c>
      <c r="B637">
        <v>1</v>
      </c>
      <c r="C637">
        <v>0</v>
      </c>
      <c r="D637">
        <v>0</v>
      </c>
      <c r="E637">
        <v>1</v>
      </c>
    </row>
    <row r="638" spans="1:5">
      <c r="A638" s="1">
        <v>636</v>
      </c>
      <c r="B638">
        <v>1</v>
      </c>
      <c r="C638">
        <v>0</v>
      </c>
      <c r="D638">
        <v>0</v>
      </c>
      <c r="E638">
        <v>1</v>
      </c>
    </row>
    <row r="639" spans="1:5">
      <c r="A639" s="1">
        <v>637</v>
      </c>
      <c r="B639">
        <v>1</v>
      </c>
      <c r="C639">
        <v>0</v>
      </c>
      <c r="D639">
        <v>0</v>
      </c>
      <c r="E639">
        <v>1</v>
      </c>
    </row>
    <row r="640" spans="1:5">
      <c r="A640" s="1">
        <v>638</v>
      </c>
      <c r="B640">
        <v>1</v>
      </c>
      <c r="C640">
        <v>0</v>
      </c>
      <c r="D640">
        <v>0</v>
      </c>
      <c r="E640">
        <v>1</v>
      </c>
    </row>
    <row r="641" spans="1:5">
      <c r="A641" s="1">
        <v>639</v>
      </c>
      <c r="B641">
        <v>1</v>
      </c>
      <c r="C641">
        <v>0</v>
      </c>
      <c r="D641">
        <v>0</v>
      </c>
      <c r="E641">
        <v>1</v>
      </c>
    </row>
    <row r="642" spans="1:5">
      <c r="A642" s="1">
        <v>640</v>
      </c>
      <c r="B642">
        <v>1</v>
      </c>
      <c r="C642">
        <v>0</v>
      </c>
      <c r="D642">
        <v>0</v>
      </c>
      <c r="E642">
        <v>1</v>
      </c>
    </row>
    <row r="643" spans="1:5">
      <c r="A643" s="1">
        <v>641</v>
      </c>
      <c r="B643">
        <v>1</v>
      </c>
      <c r="C643">
        <v>0</v>
      </c>
      <c r="D643">
        <v>0</v>
      </c>
      <c r="E643">
        <v>1</v>
      </c>
    </row>
    <row r="644" spans="1:5">
      <c r="A644" s="1">
        <v>642</v>
      </c>
      <c r="B644">
        <v>1</v>
      </c>
      <c r="C644">
        <v>0</v>
      </c>
      <c r="D644">
        <v>0</v>
      </c>
      <c r="E644">
        <v>1</v>
      </c>
    </row>
    <row r="645" spans="1:5">
      <c r="A645" s="1">
        <v>643</v>
      </c>
      <c r="B645">
        <v>1</v>
      </c>
      <c r="C645">
        <v>0</v>
      </c>
      <c r="D645">
        <v>0</v>
      </c>
      <c r="E645">
        <v>1</v>
      </c>
    </row>
    <row r="646" spans="1:5">
      <c r="A646" s="1">
        <v>644</v>
      </c>
      <c r="B646">
        <v>1</v>
      </c>
      <c r="C646">
        <v>0</v>
      </c>
      <c r="D646">
        <v>0</v>
      </c>
      <c r="E646">
        <v>1</v>
      </c>
    </row>
    <row r="647" spans="1:5">
      <c r="A647" s="1">
        <v>645</v>
      </c>
      <c r="B647">
        <v>1</v>
      </c>
      <c r="C647">
        <v>0</v>
      </c>
      <c r="D647">
        <v>0</v>
      </c>
      <c r="E647">
        <v>1</v>
      </c>
    </row>
    <row r="648" spans="1:5">
      <c r="A648" s="1">
        <v>646</v>
      </c>
      <c r="B648">
        <v>1</v>
      </c>
      <c r="C648">
        <v>0</v>
      </c>
      <c r="D648">
        <v>0</v>
      </c>
      <c r="E648">
        <v>1</v>
      </c>
    </row>
    <row r="649" spans="1:5">
      <c r="A649" s="1">
        <v>647</v>
      </c>
      <c r="B649">
        <v>0</v>
      </c>
      <c r="C649">
        <v>0</v>
      </c>
      <c r="D649">
        <v>0</v>
      </c>
      <c r="E649">
        <v>0</v>
      </c>
    </row>
    <row r="650" spans="1:5">
      <c r="A650" s="1">
        <v>648</v>
      </c>
      <c r="B650">
        <v>0</v>
      </c>
      <c r="C650">
        <v>0</v>
      </c>
      <c r="D650">
        <v>0</v>
      </c>
      <c r="E650">
        <v>0</v>
      </c>
    </row>
    <row r="651" spans="1:5">
      <c r="A651" s="1">
        <v>649</v>
      </c>
      <c r="B651">
        <v>0</v>
      </c>
      <c r="C651">
        <v>0</v>
      </c>
      <c r="D651">
        <v>0</v>
      </c>
      <c r="E651">
        <v>0</v>
      </c>
    </row>
    <row r="652" spans="1:5">
      <c r="A652" s="1">
        <v>650</v>
      </c>
      <c r="B652">
        <v>0</v>
      </c>
      <c r="C652">
        <v>0</v>
      </c>
      <c r="D652">
        <v>0</v>
      </c>
      <c r="E652">
        <v>0</v>
      </c>
    </row>
    <row r="653" spans="1:5">
      <c r="A653" s="1">
        <v>651</v>
      </c>
      <c r="B653">
        <v>0</v>
      </c>
      <c r="C653">
        <v>0</v>
      </c>
      <c r="D653">
        <v>0</v>
      </c>
      <c r="E653">
        <v>0</v>
      </c>
    </row>
    <row r="654" spans="1:5">
      <c r="A654" s="1">
        <v>652</v>
      </c>
      <c r="B654">
        <v>0</v>
      </c>
      <c r="C654">
        <v>0</v>
      </c>
      <c r="D654">
        <v>0</v>
      </c>
      <c r="E654">
        <v>0</v>
      </c>
    </row>
    <row r="655" spans="1:5">
      <c r="A655" s="1">
        <v>653</v>
      </c>
      <c r="B655">
        <v>0</v>
      </c>
      <c r="C655">
        <v>0</v>
      </c>
      <c r="D655">
        <v>0</v>
      </c>
      <c r="E655">
        <v>0</v>
      </c>
    </row>
    <row r="656" spans="1:5">
      <c r="A656" s="1">
        <v>654</v>
      </c>
      <c r="B656">
        <v>0</v>
      </c>
      <c r="C656">
        <v>0</v>
      </c>
      <c r="D656">
        <v>0</v>
      </c>
      <c r="E656">
        <v>0</v>
      </c>
    </row>
    <row r="657" spans="1:5">
      <c r="A657" s="1">
        <v>655</v>
      </c>
      <c r="B657">
        <v>0</v>
      </c>
      <c r="C657">
        <v>0</v>
      </c>
      <c r="D657">
        <v>0</v>
      </c>
      <c r="E657">
        <v>0</v>
      </c>
    </row>
    <row r="658" spans="1:5">
      <c r="A658" s="1">
        <v>656</v>
      </c>
      <c r="B658">
        <v>0</v>
      </c>
      <c r="C658">
        <v>0</v>
      </c>
      <c r="D658">
        <v>0</v>
      </c>
      <c r="E658">
        <v>0</v>
      </c>
    </row>
    <row r="659" spans="1:5">
      <c r="A659" s="1">
        <v>657</v>
      </c>
      <c r="B659">
        <v>0</v>
      </c>
      <c r="C659">
        <v>0</v>
      </c>
      <c r="D659">
        <v>0</v>
      </c>
      <c r="E659">
        <v>0</v>
      </c>
    </row>
    <row r="660" spans="1:5">
      <c r="A660" s="1">
        <v>658</v>
      </c>
      <c r="B660">
        <v>0</v>
      </c>
      <c r="C660">
        <v>0</v>
      </c>
      <c r="D660">
        <v>0</v>
      </c>
      <c r="E660">
        <v>0</v>
      </c>
    </row>
    <row r="661" spans="1:5">
      <c r="A661" s="1">
        <v>659</v>
      </c>
      <c r="B661">
        <v>0</v>
      </c>
      <c r="C661">
        <v>0</v>
      </c>
      <c r="D661">
        <v>0</v>
      </c>
      <c r="E661">
        <v>0</v>
      </c>
    </row>
    <row r="662" spans="1:5">
      <c r="A662" s="1">
        <v>660</v>
      </c>
      <c r="B662">
        <v>0</v>
      </c>
      <c r="C662">
        <v>0</v>
      </c>
      <c r="D662">
        <v>0</v>
      </c>
      <c r="E662">
        <v>0</v>
      </c>
    </row>
    <row r="663" spans="1:5">
      <c r="A663" s="1">
        <v>661</v>
      </c>
      <c r="B663">
        <v>0</v>
      </c>
      <c r="C663">
        <v>0</v>
      </c>
      <c r="D663">
        <v>0</v>
      </c>
      <c r="E663">
        <v>0</v>
      </c>
    </row>
    <row r="664" spans="1:5">
      <c r="A664" s="1">
        <v>662</v>
      </c>
      <c r="B664">
        <v>0</v>
      </c>
      <c r="C664">
        <v>0</v>
      </c>
      <c r="D664">
        <v>0</v>
      </c>
      <c r="E664">
        <v>0</v>
      </c>
    </row>
    <row r="665" spans="1:5">
      <c r="A665" s="1">
        <v>663</v>
      </c>
      <c r="B665">
        <v>0</v>
      </c>
      <c r="C665">
        <v>0</v>
      </c>
      <c r="D665">
        <v>0</v>
      </c>
      <c r="E665">
        <v>0</v>
      </c>
    </row>
    <row r="666" spans="1:5">
      <c r="A666" s="1">
        <v>664</v>
      </c>
      <c r="B666">
        <v>0</v>
      </c>
      <c r="C666">
        <v>0</v>
      </c>
      <c r="D666">
        <v>0</v>
      </c>
      <c r="E666">
        <v>0</v>
      </c>
    </row>
    <row r="667" spans="1:5">
      <c r="A667" s="1">
        <v>665</v>
      </c>
      <c r="B667">
        <v>0</v>
      </c>
      <c r="C667">
        <v>0</v>
      </c>
      <c r="D667">
        <v>0</v>
      </c>
      <c r="E667">
        <v>0</v>
      </c>
    </row>
    <row r="668" spans="1:5">
      <c r="A668" s="1">
        <v>666</v>
      </c>
      <c r="B668">
        <v>0</v>
      </c>
      <c r="C668">
        <v>0</v>
      </c>
      <c r="D668">
        <v>0</v>
      </c>
      <c r="E668">
        <v>0</v>
      </c>
    </row>
    <row r="669" spans="1:5">
      <c r="A669" s="1">
        <v>667</v>
      </c>
      <c r="B669">
        <v>0</v>
      </c>
      <c r="C669">
        <v>0</v>
      </c>
      <c r="D669">
        <v>0</v>
      </c>
      <c r="E669">
        <v>0</v>
      </c>
    </row>
    <row r="670" spans="1:5">
      <c r="A670" s="1">
        <v>668</v>
      </c>
      <c r="B670">
        <v>0</v>
      </c>
      <c r="C670">
        <v>0</v>
      </c>
      <c r="D670">
        <v>0</v>
      </c>
      <c r="E670">
        <v>0</v>
      </c>
    </row>
    <row r="671" spans="1:5">
      <c r="A671" s="1">
        <v>669</v>
      </c>
      <c r="B671">
        <v>0</v>
      </c>
      <c r="C671">
        <v>0</v>
      </c>
      <c r="D671">
        <v>0</v>
      </c>
      <c r="E671">
        <v>0</v>
      </c>
    </row>
    <row r="672" spans="1:5">
      <c r="A672" s="1">
        <v>670</v>
      </c>
      <c r="B672">
        <v>0</v>
      </c>
      <c r="C672">
        <v>0</v>
      </c>
      <c r="D672">
        <v>0</v>
      </c>
      <c r="E672">
        <v>0</v>
      </c>
    </row>
    <row r="673" spans="1:5">
      <c r="A673" s="1">
        <v>671</v>
      </c>
      <c r="B673">
        <v>0</v>
      </c>
      <c r="C673">
        <v>0</v>
      </c>
      <c r="D673">
        <v>0</v>
      </c>
      <c r="E673">
        <v>0</v>
      </c>
    </row>
    <row r="674" spans="1:5">
      <c r="A674" s="1">
        <v>672</v>
      </c>
      <c r="B674">
        <v>0</v>
      </c>
      <c r="C674">
        <v>0</v>
      </c>
      <c r="D674">
        <v>0</v>
      </c>
      <c r="E674">
        <v>0</v>
      </c>
    </row>
    <row r="675" spans="1:5">
      <c r="A675" s="1">
        <v>673</v>
      </c>
      <c r="B675">
        <v>0</v>
      </c>
      <c r="C675">
        <v>0</v>
      </c>
      <c r="D675">
        <v>0</v>
      </c>
      <c r="E675">
        <v>0</v>
      </c>
    </row>
    <row r="676" spans="1:5">
      <c r="A676" s="1">
        <v>674</v>
      </c>
      <c r="B676">
        <v>0</v>
      </c>
      <c r="C676">
        <v>0</v>
      </c>
      <c r="D676">
        <v>0</v>
      </c>
      <c r="E676">
        <v>0</v>
      </c>
    </row>
    <row r="677" spans="1:5">
      <c r="A677" s="1">
        <v>675</v>
      </c>
      <c r="B677">
        <v>0</v>
      </c>
      <c r="C677">
        <v>0</v>
      </c>
      <c r="D677">
        <v>0</v>
      </c>
      <c r="E677">
        <v>0</v>
      </c>
    </row>
  </sheetData>
  <pageMargins left="0.75" right="0.75" top="1" bottom="1" header="0.5" footer="0.5"/>
  <headerFooter alignWithMargins="0">
    <oddHeader>&amp;A</oddHeader>
    <oddFooter>Page &amp;P</oddFooter>
  </headerFooter>
</worksheet>
</file>

<file path=xl/worksheets/sheet6.xml><?xml version="1.0" encoding="utf-8"?>
<worksheet xmlns="http://schemas.openxmlformats.org/spreadsheetml/2006/main" xmlns:r="http://schemas.openxmlformats.org/officeDocument/2006/relationships">
  <sheetPr codeName="Sheet6"/>
  <dimension ref="A1:J1353"/>
  <sheetViews>
    <sheetView topLeftCell="C1" workbookViewId="0">
      <selection activeCell="G3" sqref="G3"/>
    </sheetView>
  </sheetViews>
  <sheetFormatPr defaultRowHeight="12.75"/>
  <cols>
    <col min="4" max="4" width="19.5703125" bestFit="1" customWidth="1"/>
    <col min="5" max="5" width="18.140625" customWidth="1"/>
    <col min="6" max="6" width="21.140625" customWidth="1"/>
    <col min="7" max="7" width="19.5703125" customWidth="1"/>
    <col min="8" max="8" width="19.7109375" customWidth="1"/>
    <col min="9" max="9" width="19.5703125" bestFit="1" customWidth="1"/>
    <col min="10" max="10" width="19.7109375" customWidth="1"/>
  </cols>
  <sheetData>
    <row r="1" spans="1:10" ht="25.5">
      <c r="A1" s="23" t="s">
        <v>43</v>
      </c>
      <c r="B1" s="25" t="s">
        <v>44</v>
      </c>
      <c r="D1" s="30" t="s">
        <v>45</v>
      </c>
    </row>
    <row r="2" spans="1:10">
      <c r="A2" s="19">
        <v>0</v>
      </c>
      <c r="B2" s="28">
        <v>0.9473817611813331</v>
      </c>
      <c r="C2" s="27">
        <f ca="1">OFFSET($B2,1*(ROWS(C$2:C2)-1),0)</f>
        <v>0.9473817611813331</v>
      </c>
      <c r="D2" s="26">
        <f>Ft!B$3*EXP(Ft!B$38*($A2-Ft!B$2)^2) +Ft!C$3*EXP(Ft!C$38*($A2-Ft!C$2)^2) + Ft!D$3*EXP(Ft!D$38*($A2-Ft!D$2)^2)+Ft!E$3*EXP(Ft!E$38*($A2-Ft!E$2)^2) +Ft!F$3*EXP(Ft!F$38*($A2-Ft!F$2)^2) + Ft!G$3*EXP(Ft!G$38*($A2-Ft!G$2)^2)</f>
        <v>2.6032556353186056</v>
      </c>
      <c r="E2" s="26">
        <f>Ft!B$3*EXP(Ft!B$38*($A2-Ft!B$2)^2)</f>
        <v>0.23460301613990292</v>
      </c>
      <c r="F2" s="26">
        <f>Ft!C$3*EXP(Ft!C$38*($A2-Ft!C$2)^2)</f>
        <v>1.9116710598966618</v>
      </c>
      <c r="G2" s="26">
        <f>Ft!D$3*EXP(Ft!D$38*($A2-Ft!D$2)^2)</f>
        <v>0.45698093274234325</v>
      </c>
      <c r="H2" s="26">
        <f>Ft!E$3*EXP(Ft!E$38*($A2-Ft!E$2)^2)</f>
        <v>6.2653969799103211E-7</v>
      </c>
      <c r="I2" s="26">
        <f>Ft!F$3*EXP(Ft!F$38*($A2-Ft!F$2)^2)</f>
        <v>4.4269783094853116E-117</v>
      </c>
      <c r="J2" s="26">
        <f>Ft!G$3*EXP(Ft!G$38*($A2-Ft!G$2)^2)</f>
        <v>0</v>
      </c>
    </row>
    <row r="3" spans="1:10">
      <c r="A3" s="19">
        <v>1</v>
      </c>
      <c r="B3" s="28">
        <v>0.96170225908088014</v>
      </c>
      <c r="C3" s="27">
        <f ca="1">OFFSET($B3,1*(ROWS(C$2:C3)-1),0)</f>
        <v>0.97179617465477008</v>
      </c>
      <c r="D3" s="26">
        <f>Ft!B$3*EXP(Ft!B$38*($A3-Ft!B$2)^2) +Ft!C$3*EXP(Ft!C$38*($A3-Ft!C$2)^2) + Ft!D$3*EXP(Ft!D$38*($A3-Ft!D$2)^2)+Ft!E$3*EXP(Ft!E$38*($A3-Ft!E$2)^2) +Ft!F$3*EXP(Ft!F$38*($A3-Ft!F$2)^2) + Ft!G$3*EXP(Ft!G$38*($A3-Ft!G$2)^2)</f>
        <v>2.6823455479068548</v>
      </c>
      <c r="E3" s="26">
        <f>Ft!B$3*EXP(Ft!B$38*($A3-Ft!B$2)^2)</f>
        <v>0.26281658456407453</v>
      </c>
      <c r="F3" s="26">
        <f>Ft!C$3*EXP(Ft!C$38*($A3-Ft!C$2)^2)</f>
        <v>1.955030038863981</v>
      </c>
      <c r="G3" s="26">
        <f>Ft!D$3*EXP(Ft!D$38*($A3-Ft!D$2)^2)</f>
        <v>0.46449827147064904</v>
      </c>
      <c r="H3" s="26">
        <f>Ft!E$3*EXP(Ft!E$38*($A3-Ft!E$2)^2)</f>
        <v>6.5300815025732835E-7</v>
      </c>
      <c r="I3" s="26">
        <f>Ft!F$3*EXP(Ft!F$38*($A3-Ft!F$2)^2)</f>
        <v>7.5834968474565329E-117</v>
      </c>
      <c r="J3" s="26">
        <f>Ft!G$3*EXP(Ft!G$38*($A3-Ft!G$2)^2)</f>
        <v>0</v>
      </c>
    </row>
    <row r="4" spans="1:10">
      <c r="A4" s="19">
        <v>2</v>
      </c>
      <c r="B4" s="28">
        <v>0.97179617465477008</v>
      </c>
      <c r="C4" s="27">
        <f ca="1">OFFSET($B4,1*(ROWS(C$2:C4)-1),0)</f>
        <v>0.99194486307237639</v>
      </c>
      <c r="D4" s="26">
        <f>Ft!B$3*EXP(Ft!B$38*($A4-Ft!B$2)^2) +Ft!C$3*EXP(Ft!C$38*($A4-Ft!C$2)^2) + Ft!D$3*EXP(Ft!D$38*($A4-Ft!D$2)^2)+Ft!E$3*EXP(Ft!E$38*($A4-Ft!E$2)^2) +Ft!F$3*EXP(Ft!F$38*($A4-Ft!F$2)^2) + Ft!G$3*EXP(Ft!G$38*($A4-Ft!G$2)^2)</f>
        <v>2.7648507122197321</v>
      </c>
      <c r="E4" s="26">
        <f>Ft!B$3*EXP(Ft!B$38*($A4-Ft!B$2)^2)</f>
        <v>0.29367989296236052</v>
      </c>
      <c r="F4" s="26">
        <f>Ft!C$3*EXP(Ft!C$38*($A4-Ft!C$2)^2)</f>
        <v>1.9990478368997571</v>
      </c>
      <c r="G4" s="26">
        <f>Ft!D$3*EXP(Ft!D$38*($A4-Ft!D$2)^2)</f>
        <v>0.47212230179710046</v>
      </c>
      <c r="H4" s="26">
        <f>Ft!E$3*EXP(Ft!E$38*($A4-Ft!E$2)^2)</f>
        <v>6.8056051428158722E-7</v>
      </c>
      <c r="I4" s="26">
        <f>Ft!F$3*EXP(Ft!F$38*($A4-Ft!F$2)^2)</f>
        <v>1.2983684256226789E-116</v>
      </c>
      <c r="J4" s="26">
        <f>Ft!G$3*EXP(Ft!G$38*($A4-Ft!G$2)^2)</f>
        <v>0</v>
      </c>
    </row>
    <row r="5" spans="1:10">
      <c r="A5" s="19">
        <v>3</v>
      </c>
      <c r="B5" s="28">
        <v>0.9763906471486905</v>
      </c>
      <c r="C5" s="27">
        <f ca="1">OFFSET($B5,1*(ROWS(C$2:C5)-1),0)</f>
        <v>0.99958649406190148</v>
      </c>
      <c r="D5" s="26">
        <f>Ft!B$3*EXP(Ft!B$38*($A5-Ft!B$2)^2) +Ft!C$3*EXP(Ft!C$38*($A5-Ft!C$2)^2) + Ft!D$3*EXP(Ft!D$38*($A5-Ft!D$2)^2)+Ft!E$3*EXP(Ft!E$38*($A5-Ft!E$2)^2) +Ft!F$3*EXP(Ft!F$38*($A5-Ft!F$2)^2) + Ft!G$3*EXP(Ft!G$38*($A5-Ft!G$2)^2)</f>
        <v>2.8509188991540837</v>
      </c>
      <c r="E5" s="26">
        <f>Ft!B$3*EXP(Ft!B$38*($A5-Ft!B$2)^2)</f>
        <v>0.32733913430776168</v>
      </c>
      <c r="F5" s="26">
        <f>Ft!C$3*EXP(Ft!C$38*($A5-Ft!C$2)^2)</f>
        <v>2.0437248332171496</v>
      </c>
      <c r="G5" s="26">
        <f>Ft!D$3*EXP(Ft!D$38*($A5-Ft!D$2)^2)</f>
        <v>0.47985422238948156</v>
      </c>
      <c r="H5" s="26">
        <f>Ft!E$3*EXP(Ft!E$38*($A5-Ft!E$2)^2)</f>
        <v>7.0923969114312761E-7</v>
      </c>
      <c r="I5" s="26">
        <f>Ft!F$3*EXP(Ft!F$38*($A5-Ft!F$2)^2)</f>
        <v>2.2217372630299072E-116</v>
      </c>
      <c r="J5" s="26">
        <f>Ft!G$3*EXP(Ft!G$38*($A5-Ft!G$2)^2)</f>
        <v>0</v>
      </c>
    </row>
    <row r="6" spans="1:10">
      <c r="A6" s="19">
        <v>4</v>
      </c>
      <c r="B6" s="28">
        <v>0.99194486307237639</v>
      </c>
      <c r="C6" s="27">
        <f ca="1">OFFSET($B6,1*(ROWS(C$2:C6)-1),0)</f>
        <v>1.0143720987520624</v>
      </c>
      <c r="D6" s="26">
        <f>Ft!B$3*EXP(Ft!B$38*($A6-Ft!B$2)^2) +Ft!C$3*EXP(Ft!C$38*($A6-Ft!C$2)^2) + Ft!D$3*EXP(Ft!D$38*($A6-Ft!D$2)^2)+Ft!E$3*EXP(Ft!E$38*($A6-Ft!E$2)^2) +Ft!F$3*EXP(Ft!F$38*($A6-Ft!F$2)^2) + Ft!G$3*EXP(Ft!G$38*($A6-Ft!G$2)^2)</f>
        <v>2.940692146853634</v>
      </c>
      <c r="E6" s="26">
        <f>Ft!B$3*EXP(Ft!B$38*($A6-Ft!B$2)^2)</f>
        <v>0.36393507704973993</v>
      </c>
      <c r="F6" s="26">
        <f>Ft!C$3*EXP(Ft!C$38*($A6-Ft!C$2)^2)</f>
        <v>2.0890610908736491</v>
      </c>
      <c r="G6" s="26">
        <f>Ft!D$3*EXP(Ft!D$38*($A6-Ft!D$2)^2)</f>
        <v>0.48769523984002788</v>
      </c>
      <c r="H6" s="26">
        <f>Ft!E$3*EXP(Ft!E$38*($A6-Ft!E$2)^2)</f>
        <v>7.3909021716975983E-7</v>
      </c>
      <c r="I6" s="26">
        <f>Ft!F$3*EXP(Ft!F$38*($A6-Ft!F$2)^2)</f>
        <v>3.7997390414408062E-116</v>
      </c>
      <c r="J6" s="26">
        <f>Ft!G$3*EXP(Ft!G$38*($A6-Ft!G$2)^2)</f>
        <v>0</v>
      </c>
    </row>
    <row r="7" spans="1:10">
      <c r="A7" s="19">
        <v>5</v>
      </c>
      <c r="B7" s="28">
        <v>0.99712947285610198</v>
      </c>
      <c r="C7" s="27">
        <f ca="1">OFFSET($B7,1*(ROWS(C$2:C7)-1),0)</f>
        <v>1.0260371374365036</v>
      </c>
      <c r="D7" s="26">
        <f>Ft!B$3*EXP(Ft!B$38*($A7-Ft!B$2)^2) +Ft!C$3*EXP(Ft!C$38*($A7-Ft!C$2)^2) + Ft!D$3*EXP(Ft!D$38*($A7-Ft!D$2)^2)+Ft!E$3*EXP(Ft!E$38*($A7-Ft!E$2)^2) +Ft!F$3*EXP(Ft!F$38*($A7-Ft!F$2)^2) + Ft!G$3*EXP(Ft!G$38*($A7-Ft!G$2)^2)</f>
        <v>3.034304631989452</v>
      </c>
      <c r="E7" s="26">
        <f>Ft!B$3*EXP(Ft!B$38*($A7-Ft!B$2)^2)</f>
        <v>0.4036009435465549</v>
      </c>
      <c r="F7" s="26">
        <f>Ft!C$3*EXP(Ft!C$38*($A7-Ft!C$2)^2)</f>
        <v>2.1350563496642443</v>
      </c>
      <c r="G7" s="26">
        <f>Ft!D$3*EXP(Ft!D$38*($A7-Ft!D$2)^2)</f>
        <v>0.4956465686203288</v>
      </c>
      <c r="H7" s="26">
        <f>Ft!E$3*EXP(Ft!E$38*($A7-Ft!E$2)^2)</f>
        <v>7.7015832369179961E-7</v>
      </c>
      <c r="I7" s="26">
        <f>Ft!F$3*EXP(Ft!F$38*($A7-Ft!F$2)^2)</f>
        <v>6.495030005666621E-116</v>
      </c>
      <c r="J7" s="26">
        <f>Ft!G$3*EXP(Ft!G$38*($A7-Ft!G$2)^2)</f>
        <v>0</v>
      </c>
    </row>
    <row r="8" spans="1:10">
      <c r="A8" s="19">
        <v>6</v>
      </c>
      <c r="B8" s="28">
        <v>0.99958649406190148</v>
      </c>
      <c r="C8" s="27">
        <f ca="1">OFFSET($B8,1*(ROWS(C$2:C8)-1),0)</f>
        <v>1.0375608214797012</v>
      </c>
      <c r="D8" s="26">
        <f>Ft!B$3*EXP(Ft!B$38*($A8-Ft!B$2)^2) +Ft!C$3*EXP(Ft!C$38*($A8-Ft!C$2)^2) + Ft!D$3*EXP(Ft!D$38*($A8-Ft!D$2)^2)+Ft!E$3*EXP(Ft!E$38*($A8-Ft!E$2)^2) +Ft!F$3*EXP(Ft!F$38*($A8-Ft!F$2)^2) + Ft!G$3*EXP(Ft!G$38*($A8-Ft!G$2)^2)</f>
        <v>3.1318804016725794</v>
      </c>
      <c r="E8" s="26">
        <f>Ft!B$3*EXP(Ft!B$38*($A8-Ft!B$2)^2)</f>
        <v>0.44646014902483294</v>
      </c>
      <c r="F8" s="26">
        <f>Ft!C$3*EXP(Ft!C$38*($A8-Ft!C$2)^2)</f>
        <v>2.1817100191216827</v>
      </c>
      <c r="G8" s="26">
        <f>Ft!D$3*EXP(Ft!D$38*($A8-Ft!D$2)^2)</f>
        <v>0.50370943103406474</v>
      </c>
      <c r="H8" s="26">
        <f>Ft!E$3*EXP(Ft!E$38*($A8-Ft!E$2)^2)</f>
        <v>8.0249199887696744E-7</v>
      </c>
      <c r="I8" s="26">
        <f>Ft!F$3*EXP(Ft!F$38*($A8-Ft!F$2)^2)</f>
        <v>1.1096215201365016E-115</v>
      </c>
      <c r="J8" s="26">
        <f>Ft!G$3*EXP(Ft!G$38*($A8-Ft!G$2)^2)</f>
        <v>0</v>
      </c>
    </row>
    <row r="9" spans="1:10">
      <c r="A9" s="19">
        <v>7</v>
      </c>
      <c r="B9" s="28">
        <v>1.0002786351847135</v>
      </c>
      <c r="C9" s="27">
        <f ca="1">OFFSET($B9,1*(ROWS(C$2:C9)-1),0)</f>
        <v>1.0630038880129291</v>
      </c>
      <c r="D9" s="26">
        <f>Ft!B$3*EXP(Ft!B$38*($A9-Ft!B$2)^2) +Ft!C$3*EXP(Ft!C$38*($A9-Ft!C$2)^2) + Ft!D$3*EXP(Ft!D$38*($A9-Ft!D$2)^2)+Ft!E$3*EXP(Ft!E$38*($A9-Ft!E$2)^2) +Ft!F$3*EXP(Ft!F$38*($A9-Ft!F$2)^2) + Ft!G$3*EXP(Ft!G$38*($A9-Ft!G$2)^2)</f>
        <v>3.2335309865079136</v>
      </c>
      <c r="E9" s="26">
        <f>Ft!B$3*EXP(Ft!B$38*($A9-Ft!B$2)^2)</f>
        <v>0.49262392156622631</v>
      </c>
      <c r="F9" s="26">
        <f>Ft!C$3*EXP(Ft!C$38*($A9-Ft!C$2)^2)</f>
        <v>2.2290211716330814</v>
      </c>
      <c r="G9" s="26">
        <f>Ft!D$3*EXP(Ft!D$38*($A9-Ft!D$2)^2)</f>
        <v>0.51188505716755439</v>
      </c>
      <c r="H9" s="26">
        <f>Ft!E$3*EXP(Ft!E$38*($A9-Ft!E$2)^2)</f>
        <v>8.3614105171472817E-7</v>
      </c>
      <c r="I9" s="26">
        <f>Ft!F$3*EXP(Ft!F$38*($A9-Ft!F$2)^2)</f>
        <v>1.8946757586515082E-115</v>
      </c>
      <c r="J9" s="26">
        <f>Ft!G$3*EXP(Ft!G$38*($A9-Ft!G$2)^2)</f>
        <v>0</v>
      </c>
    </row>
    <row r="10" spans="1:10">
      <c r="A10" s="19">
        <v>8</v>
      </c>
      <c r="B10" s="28">
        <v>1.0143720987520624</v>
      </c>
      <c r="C10" s="27">
        <f ca="1">OFFSET($B10,1*(ROWS(C$2:C10)-1),0)</f>
        <v>1.0919651284577583</v>
      </c>
      <c r="D10" s="26">
        <f>Ft!B$3*EXP(Ft!B$38*($A10-Ft!B$2)^2) +Ft!C$3*EXP(Ft!C$38*($A10-Ft!C$2)^2) + Ft!D$3*EXP(Ft!D$38*($A10-Ft!D$2)^2)+Ft!E$3*EXP(Ft!E$38*($A10-Ft!E$2)^2) +Ft!F$3*EXP(Ft!F$38*($A10-Ft!F$2)^2) + Ft!G$3*EXP(Ft!G$38*($A10-Ft!G$2)^2)</f>
        <v>3.339352919770084</v>
      </c>
      <c r="E10" s="26">
        <f>Ft!B$3*EXP(Ft!B$38*($A10-Ft!B$2)^2)</f>
        <v>0.54218882809259517</v>
      </c>
      <c r="F10" s="26">
        <f>Ft!C$3*EXP(Ft!C$38*($A10-Ft!C$2)^2)</f>
        <v>2.2769885356822246</v>
      </c>
      <c r="G10" s="26">
        <f>Ft!D$3*EXP(Ft!D$38*($A10-Ft!D$2)^2)</f>
        <v>0.52017468483808571</v>
      </c>
      <c r="H10" s="26">
        <f>Ft!E$3*EXP(Ft!E$38*($A10-Ft!E$2)^2)</f>
        <v>8.7115717822067718E-7</v>
      </c>
      <c r="I10" s="26">
        <f>Ft!F$3*EXP(Ft!F$38*($A10-Ft!F$2)^2)</f>
        <v>3.2334134819960403E-115</v>
      </c>
      <c r="J10" s="26">
        <f>Ft!G$3*EXP(Ft!G$38*($A10-Ft!G$2)^2)</f>
        <v>0</v>
      </c>
    </row>
    <row r="11" spans="1:10">
      <c r="A11" s="19">
        <v>9</v>
      </c>
      <c r="B11" s="28">
        <v>1.0154577826339448</v>
      </c>
      <c r="C11" s="27">
        <f ca="1">OFFSET($B11,1*(ROWS(C$2:C11)-1),0)</f>
        <v>1.135284763524453</v>
      </c>
      <c r="D11" s="26">
        <f>Ft!B$3*EXP(Ft!B$38*($A11-Ft!B$2)^2) +Ft!C$3*EXP(Ft!C$38*($A11-Ft!C$2)^2) + Ft!D$3*EXP(Ft!D$38*($A11-Ft!D$2)^2)+Ft!E$3*EXP(Ft!E$38*($A11-Ft!E$2)^2) +Ft!F$3*EXP(Ft!F$38*($A11-Ft!F$2)^2) + Ft!G$3*EXP(Ft!G$38*($A11-Ft!G$2)^2)</f>
        <v>3.4494251921101688</v>
      </c>
      <c r="E11" s="26">
        <f>Ft!B$3*EXP(Ft!B$38*($A11-Ft!B$2)^2)</f>
        <v>0.59523423574916934</v>
      </c>
      <c r="F11" s="26">
        <f>Ft!C$3*EXP(Ft!C$38*($A11-Ft!C$2)^2)</f>
        <v>2.3256104892269613</v>
      </c>
      <c r="G11" s="26">
        <f>Ft!D$3*EXP(Ft!D$38*($A11-Ft!D$2)^2)</f>
        <v>0.52857955954000813</v>
      </c>
      <c r="H11" s="26">
        <f>Ft!E$3*EXP(Ft!E$38*($A11-Ft!E$2)^2)</f>
        <v>9.075940299337608E-7</v>
      </c>
      <c r="I11" s="26">
        <f>Ft!F$3*EXP(Ft!F$38*($A11-Ft!F$2)^2)</f>
        <v>5.5151065790855498E-115</v>
      </c>
      <c r="J11" s="26">
        <f>Ft!G$3*EXP(Ft!G$38*($A11-Ft!G$2)^2)</f>
        <v>0</v>
      </c>
    </row>
    <row r="12" spans="1:10">
      <c r="A12" s="19">
        <v>10</v>
      </c>
      <c r="B12" s="28">
        <v>1.0260371374365036</v>
      </c>
      <c r="C12" s="27">
        <f ca="1">OFFSET($B12,1*(ROWS(C$2:C12)-1),0)</f>
        <v>1.1756650453954194</v>
      </c>
      <c r="D12" s="26">
        <f>Ft!B$3*EXP(Ft!B$38*($A12-Ft!B$2)^2) +Ft!C$3*EXP(Ft!C$38*($A12-Ft!C$2)^2) + Ft!D$3*EXP(Ft!D$38*($A12-Ft!D$2)^2)+Ft!E$3*EXP(Ft!E$38*($A12-Ft!E$2)^2) +Ft!F$3*EXP(Ft!F$38*($A12-Ft!F$2)^2) + Ft!G$3*EXP(Ft!G$38*($A12-Ft!G$2)^2)</f>
        <v>3.5638066754763247</v>
      </c>
      <c r="E12" s="26">
        <f>Ft!B$3*EXP(Ft!B$38*($A12-Ft!B$2)^2)</f>
        <v>0.65181974235934392</v>
      </c>
      <c r="F12" s="26">
        <f>Ft!C$3*EXP(Ft!C$38*($A12-Ft!C$2)^2)</f>
        <v>2.3748850532211372</v>
      </c>
      <c r="G12" s="26">
        <f>Ft!D$3*EXP(Ft!D$38*($A12-Ft!D$2)^2)</f>
        <v>0.53710093438855877</v>
      </c>
      <c r="H12" s="26">
        <f>Ft!E$3*EXP(Ft!E$38*($A12-Ft!E$2)^2)</f>
        <v>9.4550728478138508E-7</v>
      </c>
      <c r="I12" s="26">
        <f>Ft!F$3*EXP(Ft!F$38*($A12-Ft!F$2)^2)</f>
        <v>9.4018407956323513E-115</v>
      </c>
      <c r="J12" s="26">
        <f>Ft!G$3*EXP(Ft!G$38*($A12-Ft!G$2)^2)</f>
        <v>0</v>
      </c>
    </row>
    <row r="13" spans="1:10">
      <c r="A13" s="19">
        <v>11</v>
      </c>
      <c r="B13" s="28">
        <v>1.0286450660695436</v>
      </c>
      <c r="C13" s="27">
        <f ca="1">OFFSET($B13,1*(ROWS(C$2:C13)-1),0)</f>
        <v>1.2476498507832048</v>
      </c>
      <c r="D13" s="26">
        <f>Ft!B$3*EXP(Ft!B$38*($A13-Ft!B$2)^2) +Ft!C$3*EXP(Ft!C$38*($A13-Ft!C$2)^2) + Ft!D$3*EXP(Ft!D$38*($A13-Ft!D$2)^2)+Ft!E$3*EXP(Ft!E$38*($A13-Ft!E$2)^2) +Ft!F$3*EXP(Ft!F$38*($A13-Ft!F$2)^2) + Ft!G$3*EXP(Ft!G$38*($A13-Ft!G$2)^2)</f>
        <v>3.6825335539338706</v>
      </c>
      <c r="E13" s="26">
        <f>Ft!B$3*EXP(Ft!B$38*($A13-Ft!B$2)^2)</f>
        <v>0.71198261362718729</v>
      </c>
      <c r="F13" s="26">
        <f>Ft!C$3*EXP(Ft!C$38*($A13-Ft!C$2)^2)</f>
        <v>2.424809885290562</v>
      </c>
      <c r="G13" s="26">
        <f>Ft!D$3*EXP(Ft!D$38*($A13-Ft!D$2)^2)</f>
        <v>0.54574007006140113</v>
      </c>
      <c r="H13" s="26">
        <f>Ft!E$3*EXP(Ft!E$38*($A13-Ft!E$2)^2)</f>
        <v>9.8495472038964104E-7</v>
      </c>
      <c r="I13" s="26">
        <f>Ft!F$3*EXP(Ft!F$38*($A13-Ft!F$2)^2)</f>
        <v>1.6019103032196501E-114</v>
      </c>
      <c r="J13" s="26">
        <f>Ft!G$3*EXP(Ft!G$38*($A13-Ft!G$2)^2)</f>
        <v>0</v>
      </c>
    </row>
    <row r="14" spans="1:10">
      <c r="A14" s="19">
        <v>12</v>
      </c>
      <c r="B14" s="28">
        <v>1.0375608214797012</v>
      </c>
      <c r="C14" s="27">
        <f ca="1">OFFSET($B14,1*(ROWS(C$2:C14)-1),0)</f>
        <v>1.3300808917291249</v>
      </c>
      <c r="D14" s="26">
        <f>Ft!B$3*EXP(Ft!B$38*($A14-Ft!B$2)^2) +Ft!C$3*EXP(Ft!C$38*($A14-Ft!C$2)^2) + Ft!D$3*EXP(Ft!D$38*($A14-Ft!D$2)^2)+Ft!E$3*EXP(Ft!E$38*($A14-Ft!E$2)^2) +Ft!F$3*EXP(Ft!F$38*($A14-Ft!F$2)^2) + Ft!G$3*EXP(Ft!G$38*($A14-Ft!G$2)^2)</f>
        <v>3.8056168026781916</v>
      </c>
      <c r="E14" s="26">
        <f>Ft!B$3*EXP(Ft!B$38*($A14-Ft!B$2)^2)</f>
        <v>0.77573526837153262</v>
      </c>
      <c r="F14" s="26">
        <f>Ft!C$3*EXP(Ft!C$38*($A14-Ft!C$2)^2)</f>
        <v>2.4753822735725208</v>
      </c>
      <c r="G14" s="26">
        <f>Ft!D$3*EXP(Ft!D$38*($A14-Ft!D$2)^2)</f>
        <v>0.55449823473784843</v>
      </c>
      <c r="H14" s="26">
        <f>Ft!E$3*EXP(Ft!E$38*($A14-Ft!E$2)^2)</f>
        <v>1.0259962899184281E-6</v>
      </c>
      <c r="I14" s="26">
        <f>Ft!F$3*EXP(Ft!F$38*($A14-Ft!F$2)^2)</f>
        <v>2.7279086006913671E-114</v>
      </c>
      <c r="J14" s="26">
        <f>Ft!G$3*EXP(Ft!G$38*($A14-Ft!G$2)^2)</f>
        <v>0</v>
      </c>
    </row>
    <row r="15" spans="1:10">
      <c r="A15" s="19">
        <v>13</v>
      </c>
      <c r="B15" s="28">
        <v>1.051216892362163</v>
      </c>
      <c r="C15" s="27">
        <f ca="1">OFFSET($B15,1*(ROWS(C$2:C15)-1),0)</f>
        <v>1.4050154910238746</v>
      </c>
      <c r="D15" s="26">
        <f>Ft!B$3*EXP(Ft!B$38*($A15-Ft!B$2)^2) +Ft!C$3*EXP(Ft!C$38*($A15-Ft!C$2)^2) + Ft!D$3*EXP(Ft!D$38*($A15-Ft!D$2)^2)+Ft!E$3*EXP(Ft!E$38*($A15-Ft!E$2)^2) +Ft!F$3*EXP(Ft!F$38*($A15-Ft!F$2)^2) + Ft!G$3*EXP(Ft!G$38*($A15-Ft!G$2)^2)</f>
        <v>3.9330397596221482</v>
      </c>
      <c r="E15" s="26">
        <f>Ft!B$3*EXP(Ft!B$38*($A15-Ft!B$2)^2)</f>
        <v>0.84306285616384258</v>
      </c>
      <c r="F15" s="26">
        <f>Ft!C$3*EXP(Ft!C$38*($A15-Ft!C$2)^2)</f>
        <v>2.5265991307283535</v>
      </c>
      <c r="G15" s="26">
        <f>Ft!D$3*EXP(Ft!D$38*($A15-Ft!D$2)^2)</f>
        <v>0.56337670403575124</v>
      </c>
      <c r="H15" s="26">
        <f>Ft!E$3*EXP(Ft!E$38*($A15-Ft!E$2)^2)</f>
        <v>1.0686942005034638E-6</v>
      </c>
      <c r="I15" s="26">
        <f>Ft!F$3*EXP(Ft!F$38*($A15-Ft!F$2)^2)</f>
        <v>4.6428831533235941E-114</v>
      </c>
      <c r="J15" s="26">
        <f>Ft!G$3*EXP(Ft!G$38*($A15-Ft!G$2)^2)</f>
        <v>0</v>
      </c>
    </row>
    <row r="16" spans="1:10">
      <c r="A16" s="19">
        <v>14</v>
      </c>
      <c r="B16" s="28">
        <v>1.0630038880129291</v>
      </c>
      <c r="C16" s="27">
        <f ca="1">OFFSET($B16,1*(ROWS(C$2:C16)-1),0)</f>
        <v>1.4492486361786519</v>
      </c>
      <c r="D16" s="26">
        <f>Ft!B$3*EXP(Ft!B$38*($A16-Ft!B$2)^2) +Ft!C$3*EXP(Ft!C$38*($A16-Ft!C$2)^2) + Ft!D$3*EXP(Ft!D$38*($A16-Ft!D$2)^2)+Ft!E$3*EXP(Ft!E$38*($A16-Ft!E$2)^2) +Ft!F$3*EXP(Ft!F$38*($A16-Ft!F$2)^2) + Ft!G$3*EXP(Ft!G$38*($A16-Ft!G$2)^2)</f>
        <v>4.0647558363852818</v>
      </c>
      <c r="E16" s="26">
        <f>Ft!B$3*EXP(Ft!B$38*($A16-Ft!B$2)^2)</f>
        <v>0.91392097418762031</v>
      </c>
      <c r="F16" s="26">
        <f>Ft!C$3*EXP(Ft!C$38*($A16-Ft!C$2)^2)</f>
        <v>2.5784569881386434</v>
      </c>
      <c r="G16" s="26">
        <f>Ft!D$3*EXP(Ft!D$38*($A16-Ft!D$2)^2)</f>
        <v>0.57237676094602286</v>
      </c>
      <c r="H16" s="26">
        <f>Ft!E$3*EXP(Ft!E$38*($A16-Ft!E$2)^2)</f>
        <v>1.1131129943898208E-6</v>
      </c>
      <c r="I16" s="26">
        <f>Ft!F$3*EXP(Ft!F$38*($A16-Ft!F$2)^2)</f>
        <v>7.8979069261563009E-114</v>
      </c>
      <c r="J16" s="26">
        <f>Ft!G$3*EXP(Ft!G$38*($A16-Ft!G$2)^2)</f>
        <v>0</v>
      </c>
    </row>
    <row r="17" spans="1:10">
      <c r="A17" s="19">
        <v>15</v>
      </c>
      <c r="B17" s="28">
        <v>1.0760280179390236</v>
      </c>
      <c r="C17" s="27">
        <f ca="1">OFFSET($B17,1*(ROWS(C$2:C17)-1),0)</f>
        <v>1.5368713877024049</v>
      </c>
      <c r="D17" s="26">
        <f>Ft!B$3*EXP(Ft!B$38*($A17-Ft!B$2)^2) +Ft!C$3*EXP(Ft!C$38*($A17-Ft!C$2)^2) + Ft!D$3*EXP(Ft!D$38*($A17-Ft!D$2)^2)+Ft!E$3*EXP(Ft!E$38*($A17-Ft!E$2)^2) +Ft!F$3*EXP(Ft!F$38*($A17-Ft!F$2)^2) + Ft!G$3*EXP(Ft!G$38*($A17-Ft!G$2)^2)</f>
        <v>4.2006864171968363</v>
      </c>
      <c r="E17" s="26">
        <f>Ft!B$3*EXP(Ft!B$38*($A17-Ft!B$2)^2)</f>
        <v>0.98823357182189397</v>
      </c>
      <c r="F17" s="26">
        <f>Ft!C$3*EXP(Ft!C$38*($A17-Ft!C$2)^2)</f>
        <v>2.6309519902905296</v>
      </c>
      <c r="G17" s="26">
        <f>Ft!D$3*EXP(Ft!D$38*($A17-Ft!D$2)^2)</f>
        <v>0.58149969576477922</v>
      </c>
      <c r="H17" s="26">
        <f>Ft!E$3*EXP(Ft!E$38*($A17-Ft!E$2)^2)</f>
        <v>1.1593196328440964E-6</v>
      </c>
      <c r="I17" s="26">
        <f>Ft!F$3*EXP(Ft!F$38*($A17-Ft!F$2)^2)</f>
        <v>1.3427729610297626E-113</v>
      </c>
      <c r="J17" s="26">
        <f>Ft!G$3*EXP(Ft!G$38*($A17-Ft!G$2)^2)</f>
        <v>0</v>
      </c>
    </row>
    <row r="18" spans="1:10">
      <c r="A18" s="19">
        <v>16</v>
      </c>
      <c r="B18" s="28">
        <v>1.0919651284577583</v>
      </c>
      <c r="C18" s="27">
        <f ca="1">OFFSET($B18,1*(ROWS(C$2:C18)-1),0)</f>
        <v>1.6308469684382203</v>
      </c>
      <c r="D18" s="26">
        <f>Ft!B$3*EXP(Ft!B$38*($A18-Ft!B$2)^2) +Ft!C$3*EXP(Ft!C$38*($A18-Ft!C$2)^2) + Ft!D$3*EXP(Ft!D$38*($A18-Ft!D$2)^2)+Ft!E$3*EXP(Ft!E$38*($A18-Ft!E$2)^2) +Ft!F$3*EXP(Ft!F$38*($A18-Ft!F$2)^2) + Ft!G$3*EXP(Ft!G$38*($A18-Ft!G$2)^2)</f>
        <v>4.3407189950396612</v>
      </c>
      <c r="E18" s="26">
        <f>Ft!B$3*EXP(Ft!B$38*($A18-Ft!B$2)^2)</f>
        <v>1.0658910922663616</v>
      </c>
      <c r="F18" s="26">
        <f>Ft!C$3*EXP(Ft!C$38*($A18-Ft!C$2)^2)</f>
        <v>2.6840798893666444</v>
      </c>
      <c r="G18" s="26">
        <f>Ft!D$3*EXP(Ft!D$38*($A18-Ft!D$2)^2)</f>
        <v>0.59074680602307139</v>
      </c>
      <c r="H18" s="26">
        <f>Ft!E$3*EXP(Ft!E$38*($A18-Ft!E$2)^2)</f>
        <v>1.2073835829350158E-6</v>
      </c>
      <c r="I18" s="26">
        <f>Ft!F$3*EXP(Ft!F$38*($A18-Ft!F$2)^2)</f>
        <v>2.2817049361955176E-113</v>
      </c>
      <c r="J18" s="26">
        <f>Ft!G$3*EXP(Ft!G$38*($A18-Ft!G$2)^2)</f>
        <v>0</v>
      </c>
    </row>
    <row r="19" spans="1:10">
      <c r="A19" s="19">
        <v>17</v>
      </c>
      <c r="B19" s="28">
        <v>1.1207934707887262</v>
      </c>
      <c r="C19" s="27">
        <f ca="1">OFFSET($B19,1*(ROWS(C$2:C19)-1),0)</f>
        <v>1.8202667496568665</v>
      </c>
      <c r="D19" s="26">
        <f>Ft!B$3*EXP(Ft!B$38*($A19-Ft!B$2)^2) +Ft!C$3*EXP(Ft!C$38*($A19-Ft!C$2)^2) + Ft!D$3*EXP(Ft!D$38*($A19-Ft!D$2)^2)+Ft!E$3*EXP(Ft!E$38*($A19-Ft!E$2)^2) +Ft!F$3*EXP(Ft!F$38*($A19-Ft!F$2)^2) + Ft!G$3*EXP(Ft!G$38*($A19-Ft!G$2)^2)</f>
        <v>4.4847055942115048</v>
      </c>
      <c r="E19" s="26">
        <f>Ft!B$3*EXP(Ft!B$38*($A19-Ft!B$2)^2)</f>
        <v>1.1467489003752809</v>
      </c>
      <c r="F19" s="26">
        <f>Ft!C$3*EXP(Ft!C$38*($A19-Ft!C$2)^2)</f>
        <v>2.7378360400451309</v>
      </c>
      <c r="G19" s="26">
        <f>Ft!D$3*EXP(Ft!D$38*($A19-Ft!D$2)^2)</f>
        <v>0.60011939641418544</v>
      </c>
      <c r="H19" s="26">
        <f>Ft!E$3*EXP(Ft!E$38*($A19-Ft!E$2)^2)</f>
        <v>1.2573769072748626E-6</v>
      </c>
      <c r="I19" s="26">
        <f>Ft!F$3*EXP(Ft!F$38*($A19-Ft!F$2)^2)</f>
        <v>3.8750980433400971E-113</v>
      </c>
      <c r="J19" s="26">
        <f>Ft!G$3*EXP(Ft!G$38*($A19-Ft!G$2)^2)</f>
        <v>0</v>
      </c>
    </row>
    <row r="20" spans="1:10">
      <c r="A20" s="19">
        <v>18</v>
      </c>
      <c r="B20" s="28">
        <v>1.135284763524453</v>
      </c>
      <c r="C20" s="27">
        <f ca="1">OFFSET($B20,1*(ROWS(C$2:C20)-1),0)</f>
        <v>2.0200351726556391</v>
      </c>
      <c r="D20" s="26">
        <f>Ft!B$3*EXP(Ft!B$38*($A20-Ft!B$2)^2) +Ft!C$3*EXP(Ft!C$38*($A20-Ft!C$2)^2) + Ft!D$3*EXP(Ft!D$38*($A20-Ft!D$2)^2)+Ft!E$3*EXP(Ft!E$38*($A20-Ft!E$2)^2) +Ft!F$3*EXP(Ft!F$38*($A20-Ft!F$2)^2) + Ft!G$3*EXP(Ft!G$38*($A20-Ft!G$2)^2)</f>
        <v>4.6324615272854635</v>
      </c>
      <c r="E20" s="26">
        <f>Ft!B$3*EXP(Ft!B$38*($A20-Ft!B$2)^2)</f>
        <v>1.2306260446724477</v>
      </c>
      <c r="F20" s="26">
        <f>Ft!C$3*EXP(Ft!C$38*($A20-Ft!C$2)^2)</f>
        <v>2.7922153945201713</v>
      </c>
      <c r="G20" s="26">
        <f>Ft!D$3*EXP(Ft!D$38*($A20-Ft!D$2)^2)</f>
        <v>0.60961877871848813</v>
      </c>
      <c r="H20" s="26">
        <f>Ft!E$3*EXP(Ft!E$38*($A20-Ft!E$2)^2)</f>
        <v>1.3093743568171111E-6</v>
      </c>
      <c r="I20" s="26">
        <f>Ft!F$3*EXP(Ft!F$38*($A20-Ft!F$2)^2)</f>
        <v>6.5776722015281439E-113</v>
      </c>
      <c r="J20" s="26">
        <f>Ft!G$3*EXP(Ft!G$38*($A20-Ft!G$2)^2)</f>
        <v>0</v>
      </c>
    </row>
    <row r="21" spans="1:10">
      <c r="A21" s="19">
        <v>19</v>
      </c>
      <c r="B21" s="28">
        <v>1.1549577488627278</v>
      </c>
      <c r="C21" s="27">
        <f ca="1">OFFSET($B21,1*(ROWS(C$2:C21)-1),0)</f>
        <v>2.2068991824084492</v>
      </c>
      <c r="D21" s="26">
        <f>Ft!B$3*EXP(Ft!B$38*($A21-Ft!B$2)^2) +Ft!C$3*EXP(Ft!C$38*($A21-Ft!C$2)^2) + Ft!D$3*EXP(Ft!D$38*($A21-Ft!D$2)^2)+Ft!E$3*EXP(Ft!E$38*($A21-Ft!E$2)^2) +Ft!F$3*EXP(Ft!F$38*($A21-Ft!F$2)^2) + Ft!G$3*EXP(Ft!G$38*($A21-Ft!G$2)^2)</f>
        <v>4.7837645321541737</v>
      </c>
      <c r="E21" s="26">
        <f>Ft!B$3*EXP(Ft!B$38*($A21-Ft!B$2)^2)</f>
        <v>1.3173043992225562</v>
      </c>
      <c r="F21" s="26">
        <f>Ft!C$3*EXP(Ft!C$38*($A21-Ft!C$2)^2)</f>
        <v>2.8472124977523561</v>
      </c>
      <c r="G21" s="26">
        <f>Ft!D$3*EXP(Ft!D$38*($A21-Ft!D$2)^2)</f>
        <v>0.61924627172579538</v>
      </c>
      <c r="H21" s="26">
        <f>Ft!E$3*EXP(Ft!E$38*($A21-Ft!E$2)^2)</f>
        <v>1.3634534668081845E-6</v>
      </c>
      <c r="I21" s="26">
        <f>Ft!F$3*EXP(Ft!F$38*($A21-Ft!F$2)^2)</f>
        <v>1.115907192351444E-112</v>
      </c>
      <c r="J21" s="26">
        <f>Ft!G$3*EXP(Ft!G$38*($A21-Ft!G$2)^2)</f>
        <v>0</v>
      </c>
    </row>
    <row r="22" spans="1:10">
      <c r="A22" s="19">
        <v>20</v>
      </c>
      <c r="B22" s="28">
        <v>1.1756650453954194</v>
      </c>
      <c r="C22" s="27">
        <f ca="1">OFFSET($B22,1*(ROWS(C$2:C22)-1),0)</f>
        <v>2.371052613505924</v>
      </c>
      <c r="D22" s="26">
        <f>Ft!B$3*EXP(Ft!B$38*($A22-Ft!B$2)^2) +Ft!C$3*EXP(Ft!C$38*($A22-Ft!C$2)^2) + Ft!D$3*EXP(Ft!D$38*($A22-Ft!D$2)^2)+Ft!E$3*EXP(Ft!E$38*($A22-Ft!E$2)^2) +Ft!F$3*EXP(Ft!F$38*($A22-Ft!F$2)^2) + Ft!G$3*EXP(Ft!G$38*($A22-Ft!G$2)^2)</f>
        <v>4.9383543314091449</v>
      </c>
      <c r="E22" s="26">
        <f>Ft!B$3*EXP(Ft!B$38*($A22-Ft!B$2)^2)</f>
        <v>1.4065282276010656</v>
      </c>
      <c r="F22" s="26">
        <f>Ft!C$3*EXP(Ft!C$38*($A22-Ft!C$2)^2)</f>
        <v>2.9028214829581831</v>
      </c>
      <c r="G22" s="26">
        <f>Ft!D$3*EXP(Ft!D$38*($A22-Ft!D$2)^2)</f>
        <v>0.62900320115524033</v>
      </c>
      <c r="H22" s="26">
        <f>Ft!E$3*EXP(Ft!E$38*($A22-Ft!E$2)^2)</f>
        <v>1.4196946559945314E-6</v>
      </c>
      <c r="I22" s="26">
        <f>Ft!F$3*EXP(Ft!F$38*($A22-Ft!F$2)^2)</f>
        <v>1.8921268363313562E-112</v>
      </c>
      <c r="J22" s="26">
        <f>Ft!G$3*EXP(Ft!G$38*($A22-Ft!G$2)^2)</f>
        <v>0</v>
      </c>
    </row>
    <row r="23" spans="1:10">
      <c r="A23" s="19">
        <v>21</v>
      </c>
      <c r="B23" s="28">
        <v>1.2189107232988192</v>
      </c>
      <c r="C23" s="27">
        <f ca="1">OFFSET($B23,1*(ROWS(C$2:C23)-1),0)</f>
        <v>2.4958820834738162</v>
      </c>
      <c r="D23" s="26">
        <f>Ft!B$3*EXP(Ft!B$38*($A23-Ft!B$2)^2) +Ft!C$3*EXP(Ft!C$38*($A23-Ft!C$2)^2) + Ft!D$3*EXP(Ft!D$38*($A23-Ft!D$2)^2)+Ft!E$3*EXP(Ft!E$38*($A23-Ft!E$2)^2) +Ft!F$3*EXP(Ft!F$38*($A23-Ft!F$2)^2) + Ft!G$3*EXP(Ft!G$38*($A23-Ft!G$2)^2)</f>
        <v>5.0959326517304104</v>
      </c>
      <c r="E23" s="26">
        <f>Ft!B$3*EXP(Ft!B$38*($A23-Ft!B$2)^2)</f>
        <v>1.4980042066285852</v>
      </c>
      <c r="F23" s="26">
        <f>Ft!C$3*EXP(Ft!C$38*($A23-Ft!C$2)^2)</f>
        <v>2.9590360673478755</v>
      </c>
      <c r="G23" s="26">
        <f>Ft!D$3*EXP(Ft!D$38*($A23-Ft!D$2)^2)</f>
        <v>0.63889089957262069</v>
      </c>
      <c r="H23" s="26">
        <f>Ft!E$3*EXP(Ft!E$38*($A23-Ft!E$2)^2)</f>
        <v>1.478181329188957E-6</v>
      </c>
      <c r="I23" s="26">
        <f>Ft!F$3*EXP(Ft!F$38*($A23-Ft!F$2)^2)</f>
        <v>3.2065552890086462E-112</v>
      </c>
      <c r="J23" s="26">
        <f>Ft!G$3*EXP(Ft!G$38*($A23-Ft!G$2)^2)</f>
        <v>0</v>
      </c>
    </row>
    <row r="24" spans="1:10">
      <c r="A24" s="19">
        <v>22</v>
      </c>
      <c r="B24" s="28">
        <v>1.2476498507832048</v>
      </c>
      <c r="C24" s="27">
        <f ca="1">OFFSET($B24,1*(ROWS(C$2:C24)-1),0)</f>
        <v>2.5921188377053568</v>
      </c>
      <c r="D24" s="26">
        <f>Ft!B$3*EXP(Ft!B$38*($A24-Ft!B$2)^2) +Ft!C$3*EXP(Ft!C$38*($A24-Ft!C$2)^2) + Ft!D$3*EXP(Ft!D$38*($A24-Ft!D$2)^2)+Ft!E$3*EXP(Ft!E$38*($A24-Ft!E$2)^2) +Ft!F$3*EXP(Ft!F$38*($A24-Ft!F$2)^2) + Ft!G$3*EXP(Ft!G$38*($A24-Ft!G$2)^2)</f>
        <v>5.2561637352650097</v>
      </c>
      <c r="E24" s="26">
        <f>Ft!B$3*EXP(Ft!B$38*($A24-Ft!B$2)^2)</f>
        <v>1.5914019418392429</v>
      </c>
      <c r="F24" s="26">
        <f>Ft!C$3*EXP(Ft!C$38*($A24-Ft!C$2)^2)</f>
        <v>3.0158495481205834</v>
      </c>
      <c r="G24" s="26">
        <f>Ft!D$3*EXP(Ft!D$38*($A24-Ft!D$2)^2)</f>
        <v>0.64891070630519998</v>
      </c>
      <c r="H24" s="26">
        <f>Ft!E$3*EXP(Ft!E$38*($A24-Ft!E$2)^2)</f>
        <v>1.5389999833033268E-6</v>
      </c>
      <c r="I24" s="26">
        <f>Ft!F$3*EXP(Ft!F$38*($A24-Ft!F$2)^2)</f>
        <v>5.4311717710234914E-112</v>
      </c>
      <c r="J24" s="26">
        <f>Ft!G$3*EXP(Ft!G$38*($A24-Ft!G$2)^2)</f>
        <v>0</v>
      </c>
    </row>
    <row r="25" spans="1:10">
      <c r="A25" s="19">
        <v>23</v>
      </c>
      <c r="B25" s="28">
        <v>1.2893384630175149</v>
      </c>
      <c r="C25" s="27">
        <f ca="1">OFFSET($B25,1*(ROWS(C$2:C25)-1),0)</f>
        <v>2.7603583577131872</v>
      </c>
      <c r="D25" s="26">
        <f>Ft!B$3*EXP(Ft!B$38*($A25-Ft!B$2)^2) +Ft!C$3*EXP(Ft!C$38*($A25-Ft!C$2)^2) + Ft!D$3*EXP(Ft!D$38*($A25-Ft!D$2)^2)+Ft!E$3*EXP(Ft!E$38*($A25-Ft!E$2)^2) +Ft!F$3*EXP(Ft!F$38*($A25-Ft!F$2)^2) + Ft!G$3*EXP(Ft!G$38*($A25-Ft!G$2)^2)</f>
        <v>5.4186753682091107</v>
      </c>
      <c r="E25" s="26">
        <f>Ft!B$3*EXP(Ft!B$38*($A25-Ft!B$2)^2)</f>
        <v>1.6863549998888872</v>
      </c>
      <c r="F25" s="26">
        <f>Ft!C$3*EXP(Ft!C$38*($A25-Ft!C$2)^2)</f>
        <v>3.0732547987259595</v>
      </c>
      <c r="G25" s="26">
        <f>Ft!D$3*EXP(Ft!D$38*($A25-Ft!D$2)^2)</f>
        <v>0.65906396735394679</v>
      </c>
      <c r="H25" s="26">
        <f>Ft!E$3*EXP(Ft!E$38*($A25-Ft!E$2)^2)</f>
        <v>1.6022403169580464E-6</v>
      </c>
      <c r="I25" s="26">
        <f>Ft!F$3*EXP(Ft!F$38*($A25-Ft!F$2)^2)</f>
        <v>9.1942151585181247E-112</v>
      </c>
      <c r="J25" s="26">
        <f>Ft!G$3*EXP(Ft!G$38*($A25-Ft!G$2)^2)</f>
        <v>0</v>
      </c>
    </row>
    <row r="26" spans="1:10">
      <c r="A26" s="19">
        <v>24</v>
      </c>
      <c r="B26" s="28">
        <v>1.3300808917291249</v>
      </c>
      <c r="C26" s="27">
        <f ca="1">OFFSET($B26,1*(ROWS(C$2:C26)-1),0)</f>
        <v>2.9508699050124108</v>
      </c>
      <c r="D26" s="26">
        <f>Ft!B$3*EXP(Ft!B$38*($A26-Ft!B$2)^2) +Ft!C$3*EXP(Ft!C$38*($A26-Ft!C$2)^2) + Ft!D$3*EXP(Ft!D$38*($A26-Ft!D$2)^2)+Ft!E$3*EXP(Ft!E$38*($A26-Ft!E$2)^2) +Ft!F$3*EXP(Ft!F$38*($A26-Ft!F$2)^2) + Ft!G$3*EXP(Ft!G$38*($A26-Ft!G$2)^2)</f>
        <v>5.5830604440626486</v>
      </c>
      <c r="E26" s="26">
        <f>Ft!B$3*EXP(Ft!B$38*($A26-Ft!B$2)^2)</f>
        <v>1.7824624753631988</v>
      </c>
      <c r="F26" s="26">
        <f>Ft!C$3*EXP(Ft!C$38*($A26-Ft!C$2)^2)</f>
        <v>3.1312442654009218</v>
      </c>
      <c r="G26" s="26">
        <f>Ft!D$3*EXP(Ft!D$38*($A26-Ft!D$2)^2)</f>
        <v>0.66935203530318421</v>
      </c>
      <c r="H26" s="26">
        <f>Ft!E$3*EXP(Ft!E$38*($A26-Ft!E$2)^2)</f>
        <v>1.6679953437817558E-6</v>
      </c>
      <c r="I26" s="26">
        <f>Ft!F$3*EXP(Ft!F$38*($A26-Ft!F$2)^2)</f>
        <v>1.5556149402988586E-111</v>
      </c>
      <c r="J26" s="26">
        <f>Ft!G$3*EXP(Ft!G$38*($A26-Ft!G$2)^2)</f>
        <v>0</v>
      </c>
    </row>
    <row r="27" spans="1:10">
      <c r="A27" s="19">
        <v>25</v>
      </c>
      <c r="B27" s="28">
        <v>1.361703555709596</v>
      </c>
      <c r="C27" s="27">
        <f ca="1">OFFSET($B27,1*(ROWS(C$2:C27)-1),0)</f>
        <v>3.1501615817441859</v>
      </c>
      <c r="D27" s="26">
        <f>Ft!B$3*EXP(Ft!B$38*($A27-Ft!B$2)^2) +Ft!C$3*EXP(Ft!C$38*($A27-Ft!C$2)^2) + Ft!D$3*EXP(Ft!D$38*($A27-Ft!D$2)^2)+Ft!E$3*EXP(Ft!E$38*($A27-Ft!E$2)^2) +Ft!F$3*EXP(Ft!F$38*($A27-Ft!F$2)^2) + Ft!G$3*EXP(Ft!G$38*($A27-Ft!G$2)^2)</f>
        <v>5.7488790704134631</v>
      </c>
      <c r="E27" s="26">
        <f>Ft!B$3*EXP(Ft!B$38*($A27-Ft!B$2)^2)</f>
        <v>1.8792911008340127</v>
      </c>
      <c r="F27" s="26">
        <f>Ft!C$3*EXP(Ft!C$38*($A27-Ft!C$2)^2)</f>
        <v>3.1898099639903075</v>
      </c>
      <c r="G27" s="26">
        <f>Ft!D$3*EXP(Ft!D$38*($A27-Ft!D$2)^2)</f>
        <v>0.67977626922763335</v>
      </c>
      <c r="H27" s="26">
        <f>Ft!E$3*EXP(Ft!E$38*($A27-Ft!E$2)^2)</f>
        <v>1.7363615095182362E-6</v>
      </c>
      <c r="I27" s="26">
        <f>Ft!F$3*EXP(Ft!F$38*($A27-Ft!F$2)^2)</f>
        <v>2.630606366680691E-111</v>
      </c>
      <c r="J27" s="26">
        <f>Ft!G$3*EXP(Ft!G$38*($A27-Ft!G$2)^2)</f>
        <v>0</v>
      </c>
    </row>
    <row r="28" spans="1:10">
      <c r="A28" s="19">
        <v>26</v>
      </c>
      <c r="B28" s="28">
        <v>1.4050154910238746</v>
      </c>
      <c r="C28" s="27">
        <f ca="1">OFFSET($B28,1*(ROWS(C$2:C28)-1),0)</f>
        <v>3.3243625965870365</v>
      </c>
      <c r="D28" s="26">
        <f>Ft!B$3*EXP(Ft!B$38*($A28-Ft!B$2)^2) +Ft!C$3*EXP(Ft!C$38*($A28-Ft!C$2)^2) + Ft!D$3*EXP(Ft!D$38*($A28-Ft!D$2)^2)+Ft!E$3*EXP(Ft!E$38*($A28-Ft!E$2)^2) +Ft!F$3*EXP(Ft!F$38*($A28-Ft!F$2)^2) + Ft!G$3*EXP(Ft!G$38*($A28-Ft!G$2)^2)</f>
        <v>5.9156612187762194</v>
      </c>
      <c r="E28" s="26">
        <f>Ft!B$3*EXP(Ft!B$38*($A28-Ft!B$2)^2)</f>
        <v>1.9763778996806445</v>
      </c>
      <c r="F28" s="26">
        <f>Ft!C$3*EXP(Ft!C$38*($A28-Ft!C$2)^2)</f>
        <v>3.2489434770599326</v>
      </c>
      <c r="G28" s="26">
        <f>Ft!D$3*EXP(Ft!D$38*($A28-Ft!D$2)^2)</f>
        <v>0.69033803459682941</v>
      </c>
      <c r="H28" s="26">
        <f>Ft!E$3*EXP(Ft!E$38*($A28-Ft!E$2)^2)</f>
        <v>1.8074388130608319E-6</v>
      </c>
      <c r="I28" s="26">
        <f>Ft!F$3*EXP(Ft!F$38*($A28-Ft!F$2)^2)</f>
        <v>4.4460664243028196E-111</v>
      </c>
      <c r="J28" s="26">
        <f>Ft!G$3*EXP(Ft!G$38*($A28-Ft!G$2)^2)</f>
        <v>0</v>
      </c>
    </row>
    <row r="29" spans="1:10">
      <c r="A29" s="19">
        <v>27</v>
      </c>
      <c r="B29" s="28">
        <v>1.4238662720605078</v>
      </c>
      <c r="C29" s="27">
        <f ca="1">OFFSET($B29,1*(ROWS(C$2:C29)-1),0)</f>
        <v>3.5637574580262026</v>
      </c>
      <c r="D29" s="26">
        <f>Ft!B$3*EXP(Ft!B$38*($A29-Ft!B$2)^2) +Ft!C$3*EXP(Ft!C$38*($A29-Ft!C$2)^2) + Ft!D$3*EXP(Ft!D$38*($A29-Ft!D$2)^2)+Ft!E$3*EXP(Ft!E$38*($A29-Ft!E$2)^2) +Ft!F$3*EXP(Ft!F$38*($A29-Ft!F$2)^2) + Ft!G$3*EXP(Ft!G$38*($A29-Ft!G$2)^2)</f>
        <v>6.0829099071339083</v>
      </c>
      <c r="E29" s="26">
        <f>Ft!B$3*EXP(Ft!B$38*($A29-Ft!B$2)^2)</f>
        <v>2.0732333713156574</v>
      </c>
      <c r="F29" s="26">
        <f>Ft!C$3*EXP(Ft!C$38*($A29-Ft!C$2)^2)</f>
        <v>3.308635951310432</v>
      </c>
      <c r="G29" s="26">
        <f>Ft!D$3*EXP(Ft!D$38*($A29-Ft!D$2)^2)</f>
        <v>0.70103870317688699</v>
      </c>
      <c r="H29" s="26">
        <f>Ft!E$3*EXP(Ft!E$38*($A29-Ft!E$2)^2)</f>
        <v>1.8813309315383288E-6</v>
      </c>
      <c r="I29" s="26">
        <f>Ft!F$3*EXP(Ft!F$38*($A29-Ft!F$2)^2)</f>
        <v>7.5103875021389364E-111</v>
      </c>
      <c r="J29" s="26">
        <f>Ft!G$3*EXP(Ft!G$38*($A29-Ft!G$2)^2)</f>
        <v>0</v>
      </c>
    </row>
    <row r="30" spans="1:10">
      <c r="A30" s="19">
        <v>28</v>
      </c>
      <c r="B30" s="28">
        <v>1.4492486361786519</v>
      </c>
      <c r="C30" s="27">
        <f ca="1">OFFSET($B30,1*(ROWS(C$2:C30)-1),0)</f>
        <v>3.8172766562090885</v>
      </c>
      <c r="D30" s="26">
        <f>Ft!B$3*EXP(Ft!B$38*($A30-Ft!B$2)^2) +Ft!C$3*EXP(Ft!C$38*($A30-Ft!C$2)^2) + Ft!D$3*EXP(Ft!D$38*($A30-Ft!D$2)^2)+Ft!E$3*EXP(Ft!E$38*($A30-Ft!E$2)^2) +Ft!F$3*EXP(Ft!F$38*($A30-Ft!F$2)^2) + Ft!G$3*EXP(Ft!G$38*($A30-Ft!G$2)^2)</f>
        <v>6.25010489460489</v>
      </c>
      <c r="E30" s="26">
        <f>Ft!B$3*EXP(Ft!B$38*($A30-Ft!B$2)^2)</f>
        <v>2.1693451882299102</v>
      </c>
      <c r="F30" s="26">
        <f>Ft!C$3*EXP(Ft!C$38*($A30-Ft!C$2)^2)</f>
        <v>3.368878095300031</v>
      </c>
      <c r="G30" s="26">
        <f>Ft!D$3*EXP(Ft!D$38*($A30-Ft!D$2)^2)</f>
        <v>0.71187965292959932</v>
      </c>
      <c r="H30" s="26">
        <f>Ft!E$3*EXP(Ft!E$38*($A30-Ft!E$2)^2)</f>
        <v>1.9581453495796763E-6</v>
      </c>
      <c r="I30" s="26">
        <f>Ft!F$3*EXP(Ft!F$38*($A30-Ft!F$2)^2)</f>
        <v>1.2679877626784134E-110</v>
      </c>
      <c r="J30" s="26">
        <f>Ft!G$3*EXP(Ft!G$38*($A30-Ft!G$2)^2)</f>
        <v>0</v>
      </c>
    </row>
    <row r="31" spans="1:10">
      <c r="A31" s="19">
        <v>29</v>
      </c>
      <c r="B31" s="28">
        <v>1.4828855934443652</v>
      </c>
      <c r="C31" s="27">
        <f ca="1">OFFSET($B31,1*(ROWS(C$2:C31)-1),0)</f>
        <v>4.0635912179145635</v>
      </c>
      <c r="D31" s="26">
        <f>Ft!B$3*EXP(Ft!B$38*($A31-Ft!B$2)^2) +Ft!C$3*EXP(Ft!C$38*($A31-Ft!C$2)^2) + Ft!D$3*EXP(Ft!D$38*($A31-Ft!D$2)^2)+Ft!E$3*EXP(Ft!E$38*($A31-Ft!E$2)^2) +Ft!F$3*EXP(Ft!F$38*($A31-Ft!F$2)^2) + Ft!G$3*EXP(Ft!G$38*($A31-Ft!G$2)^2)</f>
        <v>6.416706857305063</v>
      </c>
      <c r="E31" s="26">
        <f>Ft!B$3*EXP(Ft!B$38*($A31-Ft!B$2)^2)</f>
        <v>2.2641823739185054</v>
      </c>
      <c r="F31" s="26">
        <f>Ft!C$3*EXP(Ft!C$38*($A31-Ft!C$2)^2)</f>
        <v>3.4296601774842155</v>
      </c>
      <c r="G31" s="26">
        <f>Ft!D$3*EXP(Ft!D$38*($A31-Ft!D$2)^2)</f>
        <v>0.72286226790884911</v>
      </c>
      <c r="H31" s="26">
        <f>Ft!E$3*EXP(Ft!E$38*($A31-Ft!E$2)^2)</f>
        <v>2.0379934928889148E-6</v>
      </c>
      <c r="I31" s="26">
        <f>Ft!F$3*EXP(Ft!F$38*($A31-Ft!F$2)^2)</f>
        <v>2.1396074317779704E-110</v>
      </c>
      <c r="J31" s="26">
        <f>Ft!G$3*EXP(Ft!G$38*($A31-Ft!G$2)^2)</f>
        <v>0</v>
      </c>
    </row>
    <row r="32" spans="1:10">
      <c r="A32" s="19">
        <v>30</v>
      </c>
      <c r="B32" s="28">
        <v>1.5368713877024049</v>
      </c>
      <c r="C32" s="27">
        <f ca="1">OFFSET($B32,1*(ROWS(C$2:C32)-1),0)</f>
        <v>4.2823507860106531</v>
      </c>
      <c r="D32" s="26">
        <f>Ft!B$3*EXP(Ft!B$38*($A32-Ft!B$2)^2) +Ft!C$3*EXP(Ft!C$38*($A32-Ft!C$2)^2) + Ft!D$3*EXP(Ft!D$38*($A32-Ft!D$2)^2)+Ft!E$3*EXP(Ft!E$38*($A32-Ft!E$2)^2) +Ft!F$3*EXP(Ft!F$38*($A32-Ft!F$2)^2) + Ft!G$3*EXP(Ft!G$38*($A32-Ft!G$2)^2)</f>
        <v>6.582162004226686</v>
      </c>
      <c r="E32" s="26">
        <f>Ft!B$3*EXP(Ft!B$38*($A32-Ft!B$2)^2)</f>
        <v>2.3571999205014422</v>
      </c>
      <c r="F32" s="26">
        <f>Ft!C$3*EXP(Ft!C$38*($A32-Ft!C$2)^2)</f>
        <v>3.4909720245800657</v>
      </c>
      <c r="G32" s="26">
        <f>Ft!D$3*EXP(Ft!D$38*($A32-Ft!D$2)^2)</f>
        <v>0.73398793815431174</v>
      </c>
      <c r="H32" s="26">
        <f>Ft!E$3*EXP(Ft!E$38*($A32-Ft!E$2)^2)</f>
        <v>2.12099086626526E-6</v>
      </c>
      <c r="I32" s="26">
        <f>Ft!F$3*EXP(Ft!F$38*($A32-Ft!F$2)^2)</f>
        <v>3.6084396958221297E-110</v>
      </c>
      <c r="J32" s="26">
        <f>Ft!G$3*EXP(Ft!G$38*($A32-Ft!G$2)^2)</f>
        <v>0</v>
      </c>
    </row>
    <row r="33" spans="1:10">
      <c r="A33" s="19">
        <v>31</v>
      </c>
      <c r="B33" s="28">
        <v>1.5834185676403081</v>
      </c>
      <c r="C33" s="27">
        <f ca="1">OFFSET($B33,1*(ROWS(C$2:C33)-1),0)</f>
        <v>4.5695920522557572</v>
      </c>
      <c r="D33" s="26">
        <f>Ft!B$3*EXP(Ft!B$38*($A33-Ft!B$2)^2) +Ft!C$3*EXP(Ft!C$38*($A33-Ft!C$2)^2) + Ft!D$3*EXP(Ft!D$38*($A33-Ft!D$2)^2)+Ft!E$3*EXP(Ft!E$38*($A33-Ft!E$2)^2) +Ft!F$3*EXP(Ft!F$38*($A33-Ft!F$2)^2) + Ft!G$3*EXP(Ft!G$38*($A33-Ft!G$2)^2)</f>
        <v>6.7459070820559894</v>
      </c>
      <c r="E33" s="26">
        <f>Ft!B$3*EXP(Ft!B$38*($A33-Ft!B$2)^2)</f>
        <v>2.4478437949536138</v>
      </c>
      <c r="F33" s="26">
        <f>Ft!C$3*EXP(Ft!C$38*($A33-Ft!C$2)^2)</f>
        <v>3.5528030202627461</v>
      </c>
      <c r="G33" s="26">
        <f>Ft!D$3*EXP(Ft!D$38*($A33-Ft!D$2)^2)</f>
        <v>0.74525805958243252</v>
      </c>
      <c r="H33" s="26">
        <f>Ft!E$3*EXP(Ft!E$38*($A33-Ft!E$2)^2)</f>
        <v>2.2072571962073195E-6</v>
      </c>
      <c r="I33" s="26">
        <f>Ft!F$3*EXP(Ft!F$38*($A33-Ft!F$2)^2)</f>
        <v>6.0823460364671082E-110</v>
      </c>
      <c r="J33" s="26">
        <f>Ft!G$3*EXP(Ft!G$38*($A33-Ft!G$2)^2)</f>
        <v>0</v>
      </c>
    </row>
    <row r="34" spans="1:10">
      <c r="A34" s="19">
        <v>32</v>
      </c>
      <c r="B34" s="28">
        <v>1.6308469684382203</v>
      </c>
      <c r="C34" s="27">
        <f ca="1">OFFSET($B34,1*(ROWS(C$2:C34)-1),0)</f>
        <v>4.7505049174518774</v>
      </c>
      <c r="D34" s="26">
        <f>Ft!B$3*EXP(Ft!B$38*($A34-Ft!B$2)^2) +Ft!C$3*EXP(Ft!C$38*($A34-Ft!C$2)^2) + Ft!D$3*EXP(Ft!D$38*($A34-Ft!D$2)^2)+Ft!E$3*EXP(Ft!E$38*($A34-Ft!E$2)^2) +Ft!F$3*EXP(Ft!F$38*($A34-Ft!F$2)^2) + Ft!G$3*EXP(Ft!G$38*($A34-Ft!G$2)^2)</f>
        <v>6.9073747085470938</v>
      </c>
      <c r="E34" s="26">
        <f>Ft!B$3*EXP(Ft!B$38*($A34-Ft!B$2)^2)</f>
        <v>2.5355562735544028</v>
      </c>
      <c r="F34" s="26">
        <f>Ft!C$3*EXP(Ft!C$38*($A34-Ft!C$2)^2)</f>
        <v>3.6151421042014507</v>
      </c>
      <c r="G34" s="26">
        <f>Ft!D$3*EXP(Ft!D$38*($A34-Ft!D$2)^2)</f>
        <v>0.75667403387466281</v>
      </c>
      <c r="H34" s="26">
        <f>Ft!E$3*EXP(Ft!E$38*($A34-Ft!E$2)^2)</f>
        <v>2.2969165782444721E-6</v>
      </c>
      <c r="I34" s="26">
        <f>Ft!F$3*EXP(Ft!F$38*($A34-Ft!F$2)^2)</f>
        <v>1.0246820194095132E-109</v>
      </c>
      <c r="J34" s="26">
        <f>Ft!G$3*EXP(Ft!G$38*($A34-Ft!G$2)^2)</f>
        <v>0</v>
      </c>
    </row>
    <row r="35" spans="1:10">
      <c r="A35" s="19">
        <v>33</v>
      </c>
      <c r="B35" s="28">
        <v>1.6962694846097008</v>
      </c>
      <c r="C35" s="27">
        <f ca="1">OFFSET($B35,1*(ROWS(C$2:C35)-1),0)</f>
        <v>4.9867759017905087</v>
      </c>
      <c r="D35" s="26">
        <f>Ft!B$3*EXP(Ft!B$38*($A35-Ft!B$2)^2) +Ft!C$3*EXP(Ft!C$38*($A35-Ft!C$2)^2) + Ft!D$3*EXP(Ft!D$38*($A35-Ft!D$2)^2)+Ft!E$3*EXP(Ft!E$38*($A35-Ft!E$2)^2) +Ft!F$3*EXP(Ft!F$38*($A35-Ft!F$2)^2) + Ft!G$3*EXP(Ft!G$38*($A35-Ft!G$2)^2)</f>
        <v>7.0659989656022359</v>
      </c>
      <c r="E35" s="26">
        <f>Ft!B$3*EXP(Ft!B$38*($A35-Ft!B$2)^2)</f>
        <v>2.6197815356998793</v>
      </c>
      <c r="F35" s="26">
        <f>Ft!C$3*EXP(Ft!C$38*($A35-Ft!C$2)^2)</f>
        <v>3.6779777714417992</v>
      </c>
      <c r="G35" s="26">
        <f>Ft!D$3*EXP(Ft!D$38*($A35-Ft!D$2)^2)</f>
        <v>0.7682372683629286</v>
      </c>
      <c r="H35" s="26">
        <f>Ft!E$3*EXP(Ft!E$38*($A35-Ft!E$2)^2)</f>
        <v>2.3900976291424112E-6</v>
      </c>
      <c r="I35" s="26">
        <f>Ft!F$3*EXP(Ft!F$38*($A35-Ft!F$2)^2)</f>
        <v>1.7253349709985962E-109</v>
      </c>
      <c r="J35" s="26">
        <f>Ft!G$3*EXP(Ft!G$38*($A35-Ft!G$2)^2)</f>
        <v>0</v>
      </c>
    </row>
    <row r="36" spans="1:10">
      <c r="A36" s="19">
        <v>34</v>
      </c>
      <c r="B36" s="28">
        <v>1.8202667496568665</v>
      </c>
      <c r="C36" s="27">
        <f ca="1">OFFSET($B36,1*(ROWS(C$2:C36)-1),0)</f>
        <v>5.2369768814498627</v>
      </c>
      <c r="D36" s="26">
        <f>Ft!B$3*EXP(Ft!B$38*($A36-Ft!B$2)^2) +Ft!C$3*EXP(Ft!C$38*($A36-Ft!C$2)^2) + Ft!D$3*EXP(Ft!D$38*($A36-Ft!D$2)^2)+Ft!E$3*EXP(Ft!E$38*($A36-Ft!E$2)^2) +Ft!F$3*EXP(Ft!F$38*($A36-Ft!F$2)^2) + Ft!G$3*EXP(Ft!G$38*($A36-Ft!G$2)^2)</f>
        <v>7.2212211758091014</v>
      </c>
      <c r="E36" s="26">
        <f>Ft!B$3*EXP(Ft!B$38*($A36-Ft!B$2)^2)</f>
        <v>2.6999714408216922</v>
      </c>
      <c r="F36" s="26">
        <f>Ft!C$3*EXP(Ft!C$38*($A36-Ft!C$2)^2)</f>
        <v>3.7412980721414399</v>
      </c>
      <c r="G36" s="26">
        <f>Ft!D$3*EXP(Ft!D$38*($A36-Ft!D$2)^2)</f>
        <v>0.77994917591232582</v>
      </c>
      <c r="H36" s="26">
        <f>Ft!E$3*EXP(Ft!E$38*($A36-Ft!E$2)^2)</f>
        <v>2.4869336441343817E-6</v>
      </c>
      <c r="I36" s="26">
        <f>Ft!F$3*EXP(Ft!F$38*($A36-Ft!F$2)^2)</f>
        <v>2.9035148620681221E-109</v>
      </c>
      <c r="J36" s="26">
        <f>Ft!G$3*EXP(Ft!G$38*($A36-Ft!G$2)^2)</f>
        <v>0</v>
      </c>
    </row>
    <row r="37" spans="1:10">
      <c r="A37" s="19">
        <v>35</v>
      </c>
      <c r="B37" s="28">
        <v>1.9172634496794103</v>
      </c>
      <c r="C37" s="27">
        <f ca="1">OFFSET($B37,1*(ROWS(C$2:C37)-1),0)</f>
        <v>5.5561225587664183</v>
      </c>
      <c r="D37" s="26">
        <f>Ft!B$3*EXP(Ft!B$38*($A37-Ft!B$2)^2) +Ft!C$3*EXP(Ft!C$38*($A37-Ft!C$2)^2) + Ft!D$3*EXP(Ft!D$38*($A37-Ft!D$2)^2)+Ft!E$3*EXP(Ft!E$38*($A37-Ft!E$2)^2) +Ft!F$3*EXP(Ft!F$38*($A37-Ft!F$2)^2) + Ft!G$3*EXP(Ft!G$38*($A37-Ft!G$2)^2)</f>
        <v>7.3724957800686743</v>
      </c>
      <c r="E37" s="26">
        <f>Ft!B$3*EXP(Ft!B$38*($A37-Ft!B$2)^2)</f>
        <v>2.7755914060395934</v>
      </c>
      <c r="F37" s="26">
        <f>Ft!C$3*EXP(Ft!C$38*($A37-Ft!C$2)^2)</f>
        <v>3.8050906116653067</v>
      </c>
      <c r="G37" s="26">
        <f>Ft!D$3*EXP(Ft!D$38*($A37-Ft!D$2)^2)</f>
        <v>0.79181117480101437</v>
      </c>
      <c r="H37" s="26">
        <f>Ft!E$3*EXP(Ft!E$38*($A37-Ft!E$2)^2)</f>
        <v>2.5875627593335939E-6</v>
      </c>
      <c r="I37" s="26">
        <f>Ft!F$3*EXP(Ft!F$38*($A37-Ft!F$2)^2)</f>
        <v>4.8836102897515036E-109</v>
      </c>
      <c r="J37" s="26">
        <f>Ft!G$3*EXP(Ft!G$38*($A37-Ft!G$2)^2)</f>
        <v>0</v>
      </c>
    </row>
    <row r="38" spans="1:10">
      <c r="A38" s="19">
        <v>36</v>
      </c>
      <c r="B38" s="28">
        <v>2.0200351726556391</v>
      </c>
      <c r="C38" s="27">
        <f ca="1">OFFSET($B38,1*(ROWS(C$2:C38)-1),0)</f>
        <v>5.8714795976146945</v>
      </c>
      <c r="D38" s="26">
        <f>Ft!B$3*EXP(Ft!B$38*($A38-Ft!B$2)^2) +Ft!C$3*EXP(Ft!C$38*($A38-Ft!C$2)^2) + Ft!D$3*EXP(Ft!D$38*($A38-Ft!D$2)^2)+Ft!E$3*EXP(Ft!E$38*($A38-Ft!E$2)^2) +Ft!F$3*EXP(Ft!F$38*($A38-Ft!F$2)^2) + Ft!G$3*EXP(Ft!G$38*($A38-Ft!G$2)^2)</f>
        <v>7.5192962292998935</v>
      </c>
      <c r="E38" s="26">
        <f>Ft!B$3*EXP(Ft!B$38*($A38-Ft!B$2)^2)</f>
        <v>2.8461262975277792</v>
      </c>
      <c r="F38" s="26">
        <f>Ft!C$3*EXP(Ft!C$38*($A38-Ft!C$2)^2)</f>
        <v>3.869342551046695</v>
      </c>
      <c r="G38" s="26">
        <f>Ft!D$3*EXP(Ft!D$38*($A38-Ft!D$2)^2)</f>
        <v>0.8038246885972995</v>
      </c>
      <c r="H38" s="26">
        <f>Ft!E$3*EXP(Ft!E$38*($A38-Ft!E$2)^2)</f>
        <v>2.6921281194870919E-6</v>
      </c>
      <c r="I38" s="26">
        <f>Ft!F$3*EXP(Ft!F$38*($A38-Ft!F$2)^2)</f>
        <v>8.209642874553942E-109</v>
      </c>
      <c r="J38" s="26">
        <f>Ft!G$3*EXP(Ft!G$38*($A38-Ft!G$2)^2)</f>
        <v>0</v>
      </c>
    </row>
    <row r="39" spans="1:10">
      <c r="A39" s="19">
        <v>37</v>
      </c>
      <c r="B39" s="28">
        <v>2.1161167334557831</v>
      </c>
      <c r="C39" s="27">
        <f ca="1">OFFSET($B39,1*(ROWS(C$2:C39)-1),0)</f>
        <v>6.178612119866159</v>
      </c>
      <c r="D39" s="26">
        <f>Ft!B$3*EXP(Ft!B$38*($A39-Ft!B$2)^2) +Ft!C$3*EXP(Ft!C$38*($A39-Ft!C$2)^2) + Ft!D$3*EXP(Ft!D$38*($A39-Ft!D$2)^2)+Ft!E$3*EXP(Ft!E$38*($A39-Ft!E$2)^2) +Ft!F$3*EXP(Ft!F$38*($A39-Ft!F$2)^2) + Ft!G$3*EXP(Ft!G$38*($A39-Ft!G$2)^2)</f>
        <v>7.6611208001885762</v>
      </c>
      <c r="E39" s="26">
        <f>Ft!B$3*EXP(Ft!B$38*($A39-Ft!B$2)^2)</f>
        <v>2.9110862455566417</v>
      </c>
      <c r="F39" s="26">
        <f>Ft!C$3*EXP(Ft!C$38*($A39-Ft!C$2)^2)</f>
        <v>3.9340406078199952</v>
      </c>
      <c r="G39" s="26">
        <f>Ft!D$3*EXP(Ft!D$38*($A39-Ft!D$2)^2)</f>
        <v>0.81599114603388745</v>
      </c>
      <c r="H39" s="26">
        <f>Ft!E$3*EXP(Ft!E$38*($A39-Ft!E$2)^2)</f>
        <v>2.8007780512357539E-6</v>
      </c>
      <c r="I39" s="26">
        <f>Ft!F$3*EXP(Ft!F$38*($A39-Ft!F$2)^2)</f>
        <v>1.3793479991066896E-108</v>
      </c>
      <c r="J39" s="26">
        <f>Ft!G$3*EXP(Ft!G$38*($A39-Ft!G$2)^2)</f>
        <v>0</v>
      </c>
    </row>
    <row r="40" spans="1:10">
      <c r="A40" s="19">
        <v>38</v>
      </c>
      <c r="B40" s="28">
        <v>2.2068991824084492</v>
      </c>
      <c r="C40" s="27">
        <f ca="1">OFFSET($B40,1*(ROWS(C$2:C40)-1),0)</f>
        <v>6.4864274404777689</v>
      </c>
      <c r="D40" s="26">
        <f>Ft!B$3*EXP(Ft!B$38*($A40-Ft!B$2)^2) +Ft!C$3*EXP(Ft!C$38*($A40-Ft!C$2)^2) + Ft!D$3*EXP(Ft!D$38*($A40-Ft!D$2)^2)+Ft!E$3*EXP(Ft!E$38*($A40-Ft!E$2)^2) +Ft!F$3*EXP(Ft!F$38*($A40-Ft!F$2)^2) + Ft!G$3*EXP(Ft!G$38*($A40-Ft!G$2)^2)</f>
        <v>7.7974982436785645</v>
      </c>
      <c r="E40" s="26">
        <f>Ft!B$3*EXP(Ft!B$38*($A40-Ft!B$2)^2)</f>
        <v>2.9700122919024254</v>
      </c>
      <c r="F40" s="26">
        <f>Ft!C$3*EXP(Ft!C$38*($A40-Ft!C$2)^2)</f>
        <v>3.9991710572306074</v>
      </c>
      <c r="G40" s="26">
        <f>Ft!D$3*EXP(Ft!D$38*($A40-Ft!D$2)^2)</f>
        <v>0.82831198087928959</v>
      </c>
      <c r="H40" s="26">
        <f>Ft!E$3*EXP(Ft!E$38*($A40-Ft!E$2)^2)</f>
        <v>2.9136662420498829E-6</v>
      </c>
      <c r="I40" s="26">
        <f>Ft!F$3*EXP(Ft!F$38*($A40-Ft!F$2)^2)</f>
        <v>2.3162730362815588E-108</v>
      </c>
      <c r="J40" s="26">
        <f>Ft!G$3*EXP(Ft!G$38*($A40-Ft!G$2)^2)</f>
        <v>0</v>
      </c>
    </row>
    <row r="41" spans="1:10">
      <c r="A41" s="19">
        <v>39</v>
      </c>
      <c r="B41" s="28">
        <v>2.2952077843763732</v>
      </c>
      <c r="C41" s="27">
        <f ca="1">OFFSET($B41,1*(ROWS(C$2:C41)-1),0)</f>
        <v>6.7686960378715071</v>
      </c>
      <c r="D41" s="26">
        <f>Ft!B$3*EXP(Ft!B$38*($A41-Ft!B$2)^2) +Ft!C$3*EXP(Ft!C$38*($A41-Ft!C$2)^2) + Ft!D$3*EXP(Ft!D$38*($A41-Ft!D$2)^2)+Ft!E$3*EXP(Ft!E$38*($A41-Ft!E$2)^2) +Ft!F$3*EXP(Ft!F$38*($A41-Ft!F$2)^2) + Ft!G$3*EXP(Ft!G$38*($A41-Ft!G$2)^2)</f>
        <v>7.9279931754635422</v>
      </c>
      <c r="E41" s="26">
        <f>Ft!B$3*EXP(Ft!B$38*($A41-Ft!B$2)^2)</f>
        <v>3.0224817788780327</v>
      </c>
      <c r="F41" s="26">
        <f>Ft!C$3*EXP(Ft!C$38*($A41-Ft!C$2)^2)</f>
        <v>4.0647197338272107</v>
      </c>
      <c r="G41" s="26">
        <f>Ft!D$3*EXP(Ft!D$38*($A41-Ft!D$2)^2)</f>
        <v>0.84078863180637298</v>
      </c>
      <c r="H41" s="26">
        <f>Ft!E$3*EXP(Ft!E$38*($A41-Ft!E$2)^2)</f>
        <v>3.0309519250144845E-6</v>
      </c>
      <c r="I41" s="26">
        <f>Ft!F$3*EXP(Ft!F$38*($A41-Ft!F$2)^2)</f>
        <v>3.8875140575646243E-108</v>
      </c>
      <c r="J41" s="26">
        <f>Ft!G$3*EXP(Ft!G$38*($A41-Ft!G$2)^2)</f>
        <v>0</v>
      </c>
    </row>
    <row r="42" spans="1:10">
      <c r="A42" s="19">
        <v>40</v>
      </c>
      <c r="B42" s="28">
        <v>2.371052613505924</v>
      </c>
      <c r="C42" s="27">
        <f ca="1">OFFSET($B42,1*(ROWS(C$2:C42)-1),0)</f>
        <v>7.0641778348127104</v>
      </c>
      <c r="D42" s="26">
        <f>Ft!B$3*EXP(Ft!B$38*($A42-Ft!B$2)^2) +Ft!C$3*EXP(Ft!C$38*($A42-Ft!C$2)^2) + Ft!D$3*EXP(Ft!D$38*($A42-Ft!D$2)^2)+Ft!E$3*EXP(Ft!E$38*($A42-Ft!E$2)^2) +Ft!F$3*EXP(Ft!F$38*($A42-Ft!F$2)^2) + Ft!G$3*EXP(Ft!G$38*($A42-Ft!G$2)^2)</f>
        <v>8.0522111201640687</v>
      </c>
      <c r="E42" s="26">
        <f>Ft!B$3*EXP(Ft!B$38*($A42-Ft!B$2)^2)</f>
        <v>3.0681133916647463</v>
      </c>
      <c r="F42" s="26">
        <f>Ft!C$3*EXP(Ft!C$38*($A42-Ft!C$2)^2)</f>
        <v>4.1306720334412228</v>
      </c>
      <c r="G42" s="26">
        <f>Ft!D$3*EXP(Ft!D$38*($A42-Ft!D$2)^2)</f>
        <v>0.85342254225803005</v>
      </c>
      <c r="H42" s="26">
        <f>Ft!E$3*EXP(Ft!E$38*($A42-Ft!E$2)^2)</f>
        <v>3.1528000696435708E-6</v>
      </c>
      <c r="I42" s="26">
        <f>Ft!F$3*EXP(Ft!F$38*($A42-Ft!F$2)^2)</f>
        <v>6.5210947719968039E-108</v>
      </c>
      <c r="J42" s="26">
        <f>Ft!G$3*EXP(Ft!G$38*($A42-Ft!G$2)^2)</f>
        <v>0</v>
      </c>
    </row>
    <row r="43" spans="1:10">
      <c r="A43" s="19">
        <v>41</v>
      </c>
      <c r="B43" s="28">
        <v>2.4336054109384122</v>
      </c>
      <c r="C43" s="27">
        <f ca="1">OFFSET($B43,1*(ROWS(C$2:C43)-1),0)</f>
        <v>7.3964267172944176</v>
      </c>
      <c r="D43" s="26">
        <f>Ft!B$3*EXP(Ft!B$38*($A43-Ft!B$2)^2) +Ft!C$3*EXP(Ft!C$38*($A43-Ft!C$2)^2) + Ft!D$3*EXP(Ft!D$38*($A43-Ft!D$2)^2)+Ft!E$3*EXP(Ft!E$38*($A43-Ft!E$2)^2) +Ft!F$3*EXP(Ft!F$38*($A43-Ft!F$2)^2) + Ft!G$3*EXP(Ft!G$38*($A43-Ft!G$2)^2)</f>
        <v>8.1698031251555925</v>
      </c>
      <c r="E43" s="26">
        <f>Ft!B$3*EXP(Ft!B$38*($A43-Ft!B$2)^2)</f>
        <v>3.1065717699061417</v>
      </c>
      <c r="F43" s="26">
        <f>Ft!C$3*EXP(Ft!C$38*($A43-Ft!C$2)^2)</f>
        <v>4.1970129155579112</v>
      </c>
      <c r="G43" s="26">
        <f>Ft!D$3*EXP(Ft!D$38*($A43-Ft!D$2)^2)</f>
        <v>0.86621516030996193</v>
      </c>
      <c r="H43" s="26">
        <f>Ft!E$3*EXP(Ft!E$38*($A43-Ft!E$2)^2)</f>
        <v>3.2793815789075278E-6</v>
      </c>
      <c r="I43" s="26">
        <f>Ft!F$3*EXP(Ft!F$38*($A43-Ft!F$2)^2)</f>
        <v>1.0932899852227053E-107</v>
      </c>
      <c r="J43" s="26">
        <f>Ft!G$3*EXP(Ft!G$38*($A43-Ft!G$2)^2)</f>
        <v>0</v>
      </c>
    </row>
    <row r="44" spans="1:10">
      <c r="A44" s="19">
        <v>42</v>
      </c>
      <c r="B44" s="28">
        <v>2.4958820834738162</v>
      </c>
      <c r="C44" s="27">
        <f ca="1">OFFSET($B44,1*(ROWS(C$2:C44)-1),0)</f>
        <v>7.7141521591006494</v>
      </c>
      <c r="D44" s="26">
        <f>Ft!B$3*EXP(Ft!B$38*($A44-Ft!B$2)^2) +Ft!C$3*EXP(Ft!C$38*($A44-Ft!C$2)^2) + Ft!D$3*EXP(Ft!D$38*($A44-Ft!D$2)^2)+Ft!E$3*EXP(Ft!E$38*($A44-Ft!E$2)^2) +Ft!F$3*EXP(Ft!F$38*($A44-Ft!F$2)^2) + Ft!G$3*EXP(Ft!G$38*($A44-Ft!G$2)^2)</f>
        <v>8.280469866091158</v>
      </c>
      <c r="E44" s="26">
        <f>Ft!B$3*EXP(Ft!B$38*($A44-Ft!B$2)^2)</f>
        <v>3.137571610603854</v>
      </c>
      <c r="F44" s="26">
        <f>Ft!C$3*EXP(Ft!C$38*($A44-Ft!C$2)^2)</f>
        <v>4.263726906083253</v>
      </c>
      <c r="G44" s="26">
        <f>Ft!D$3*EXP(Ft!D$38*($A44-Ft!D$2)^2)</f>
        <v>0.87916793853055852</v>
      </c>
      <c r="H44" s="26">
        <f>Ft!E$3*EXP(Ft!E$38*($A44-Ft!E$2)^2)</f>
        <v>3.4108734926629975E-6</v>
      </c>
      <c r="I44" s="26">
        <f>Ft!F$3*EXP(Ft!F$38*($A44-Ft!F$2)^2)</f>
        <v>1.8319623604662299E-107</v>
      </c>
      <c r="J44" s="26">
        <f>Ft!G$3*EXP(Ft!G$38*($A44-Ft!G$2)^2)</f>
        <v>0</v>
      </c>
    </row>
    <row r="45" spans="1:10">
      <c r="A45" s="19">
        <v>43</v>
      </c>
      <c r="B45" s="28">
        <v>2.5252779718411205</v>
      </c>
      <c r="C45" s="27">
        <f ca="1">OFFSET($B45,1*(ROWS(C$2:C45)-1),0)</f>
        <v>7.992637002132966</v>
      </c>
      <c r="D45" s="26">
        <f>Ft!B$3*EXP(Ft!B$38*($A45-Ft!B$2)^2) +Ft!C$3*EXP(Ft!C$38*($A45-Ft!C$2)^2) + Ft!D$3*EXP(Ft!D$38*($A45-Ft!D$2)^2)+Ft!E$3*EXP(Ft!E$38*($A45-Ft!E$2)^2) +Ft!F$3*EXP(Ft!F$38*($A45-Ft!F$2)^2) + Ft!G$3*EXP(Ft!G$38*($A45-Ft!G$2)^2)</f>
        <v>8.3839651739323386</v>
      </c>
      <c r="E45" s="26">
        <f>Ft!B$3*EXP(Ft!B$38*($A45-Ft!B$2)^2)</f>
        <v>3.1608811921250504</v>
      </c>
      <c r="F45" s="26">
        <f>Ft!C$3*EXP(Ft!C$38*($A45-Ft!C$2)^2)</f>
        <v>4.3307981005102283</v>
      </c>
      <c r="G45" s="26">
        <f>Ft!D$3*EXP(Ft!D$38*($A45-Ft!D$2)^2)</f>
        <v>0.89228233383786193</v>
      </c>
      <c r="H45" s="26">
        <f>Ft!E$3*EXP(Ft!E$38*($A45-Ft!E$2)^2)</f>
        <v>3.5474591976801315E-6</v>
      </c>
      <c r="I45" s="26">
        <f>Ft!F$3*EXP(Ft!F$38*($A45-Ft!F$2)^2)</f>
        <v>3.0680613626134524E-107</v>
      </c>
      <c r="J45" s="26">
        <f>Ft!G$3*EXP(Ft!G$38*($A45-Ft!G$2)^2)</f>
        <v>0</v>
      </c>
    </row>
    <row r="46" spans="1:10">
      <c r="A46" s="19">
        <v>44</v>
      </c>
      <c r="B46" s="28">
        <v>2.5921188377053568</v>
      </c>
      <c r="C46" s="27">
        <f ca="1">OFFSET($B46,1*(ROWS(C$2:C46)-1),0)</f>
        <v>8.2469018850756015</v>
      </c>
      <c r="D46" s="26">
        <f>Ft!B$3*EXP(Ft!B$38*($A46-Ft!B$2)^2) +Ft!C$3*EXP(Ft!C$38*($A46-Ft!C$2)^2) + Ft!D$3*EXP(Ft!D$38*($A46-Ft!D$2)^2)+Ft!E$3*EXP(Ft!E$38*($A46-Ft!E$2)^2) +Ft!F$3*EXP(Ft!F$38*($A46-Ft!F$2)^2) + Ft!G$3*EXP(Ft!G$38*($A46-Ft!G$2)^2)</f>
        <v>8.480098922613756</v>
      </c>
      <c r="E46" s="26">
        <f>Ft!B$3*EXP(Ft!B$38*($A46-Ft!B$2)^2)</f>
        <v>3.1763252584436241</v>
      </c>
      <c r="F46" s="26">
        <f>Ft!C$3*EXP(Ft!C$38*($A46-Ft!C$2)^2)</f>
        <v>4.3982101674878864</v>
      </c>
      <c r="G46" s="26">
        <f>Ft!D$3*EXP(Ft!D$38*($A46-Ft!D$2)^2)</f>
        <v>0.90555980735359987</v>
      </c>
      <c r="H46" s="26">
        <f>Ft!E$3*EXP(Ft!E$38*($A46-Ft!E$2)^2)</f>
        <v>3.6893286444671443E-6</v>
      </c>
      <c r="I46" s="26">
        <f>Ft!F$3*EXP(Ft!F$38*($A46-Ft!F$2)^2)</f>
        <v>5.1354423121999363E-107</v>
      </c>
      <c r="J46" s="26">
        <f>Ft!G$3*EXP(Ft!G$38*($A46-Ft!G$2)^2)</f>
        <v>0</v>
      </c>
    </row>
    <row r="47" spans="1:10">
      <c r="A47" s="19">
        <v>45</v>
      </c>
      <c r="B47" s="28">
        <v>2.6680189673701591</v>
      </c>
      <c r="C47" s="27">
        <f ca="1">OFFSET($B47,1*(ROWS(C$2:C47)-1),0)</f>
        <v>8.5076102389976427</v>
      </c>
      <c r="D47" s="26">
        <f>Ft!B$3*EXP(Ft!B$38*($A47-Ft!B$2)^2) +Ft!C$3*EXP(Ft!C$38*($A47-Ft!C$2)^2) + Ft!D$3*EXP(Ft!D$38*($A47-Ft!D$2)^2)+Ft!E$3*EXP(Ft!E$38*($A47-Ft!E$2)^2) +Ft!F$3*EXP(Ft!F$38*($A47-Ft!F$2)^2) + Ft!G$3*EXP(Ft!G$38*($A47-Ft!G$2)^2)</f>
        <v>8.568739227128999</v>
      </c>
      <c r="E47" s="26">
        <f>Ft!B$3*EXP(Ft!B$38*($A47-Ft!B$2)^2)</f>
        <v>3.1837872134001075</v>
      </c>
      <c r="F47" s="26">
        <f>Ft!C$3*EXP(Ft!C$38*($A47-Ft!C$2)^2)</f>
        <v>4.4659463527960401</v>
      </c>
      <c r="G47" s="26">
        <f>Ft!D$3*EXP(Ft!D$38*($A47-Ft!D$2)^2)</f>
        <v>0.91900182425427979</v>
      </c>
      <c r="H47" s="26">
        <f>Ft!E$3*EXP(Ft!E$38*($A47-Ft!E$2)^2)</f>
        <v>3.8366785710980783E-6</v>
      </c>
      <c r="I47" s="26">
        <f>Ft!F$3*EXP(Ft!F$38*($A47-Ft!F$2)^2)</f>
        <v>8.5912822496884997E-107</v>
      </c>
      <c r="J47" s="26">
        <f>Ft!G$3*EXP(Ft!G$38*($A47-Ft!G$2)^2)</f>
        <v>0</v>
      </c>
    </row>
    <row r="48" spans="1:10">
      <c r="A48" s="19">
        <v>46</v>
      </c>
      <c r="B48" s="28">
        <v>2.7603583577131872</v>
      </c>
      <c r="C48" s="27">
        <f ca="1">OFFSET($B48,1*(ROWS(C$2:C48)-1),0)</f>
        <v>8.7885767445847591</v>
      </c>
      <c r="D48" s="26">
        <f>Ft!B$3*EXP(Ft!B$38*($A48-Ft!B$2)^2) +Ft!C$3*EXP(Ft!C$38*($A48-Ft!C$2)^2) + Ft!D$3*EXP(Ft!D$38*($A48-Ft!D$2)^2)+Ft!E$3*EXP(Ft!E$38*($A48-Ft!E$2)^2) +Ft!F$3*EXP(Ft!F$38*($A48-Ft!F$2)^2) + Ft!G$3*EXP(Ft!G$38*($A48-Ft!G$2)^2)</f>
        <v>8.649813913611462</v>
      </c>
      <c r="E48" s="26">
        <f>Ft!B$3*EXP(Ft!B$38*($A48-Ft!B$2)^2)</f>
        <v>3.1832105865512812</v>
      </c>
      <c r="F48" s="26">
        <f>Ft!C$3*EXP(Ft!C$38*($A48-Ft!C$2)^2)</f>
        <v>4.5339894837281145</v>
      </c>
      <c r="G48" s="26">
        <f>Ft!D$3*EXP(Ft!D$38*($A48-Ft!D$2)^2)</f>
        <v>0.93260985361933157</v>
      </c>
      <c r="H48" s="26">
        <f>Ft!E$3*EXP(Ft!E$38*($A48-Ft!E$2)^2)</f>
        <v>3.9897127342552601E-6</v>
      </c>
      <c r="I48" s="26">
        <f>Ft!F$3*EXP(Ft!F$38*($A48-Ft!F$2)^2)</f>
        <v>1.4364960556037758E-106</v>
      </c>
      <c r="J48" s="26">
        <f>Ft!G$3*EXP(Ft!G$38*($A48-Ft!G$2)^2)</f>
        <v>0</v>
      </c>
    </row>
    <row r="49" spans="1:10">
      <c r="A49" s="19">
        <v>47</v>
      </c>
      <c r="B49" s="28">
        <v>2.8621251566917181</v>
      </c>
      <c r="C49" s="27">
        <f ca="1">OFFSET($B49,1*(ROWS(C$2:C49)-1),0)</f>
        <v>9.1133830614483031</v>
      </c>
      <c r="D49" s="26">
        <f>Ft!B$3*EXP(Ft!B$38*($A49-Ft!B$2)^2) +Ft!C$3*EXP(Ft!C$38*($A49-Ft!C$2)^2) + Ft!D$3*EXP(Ft!D$38*($A49-Ft!D$2)^2)+Ft!E$3*EXP(Ft!E$38*($A49-Ft!E$2)^2) +Ft!F$3*EXP(Ft!F$38*($A49-Ft!F$2)^2) + Ft!G$3*EXP(Ft!G$38*($A49-Ft!G$2)^2)</f>
        <v>8.7233112356336306</v>
      </c>
      <c r="E49" s="26">
        <f>Ft!B$3*EXP(Ft!B$38*($A49-Ft!B$2)^2)</f>
        <v>3.1745997448310548</v>
      </c>
      <c r="F49" s="26">
        <f>Ft!C$3*EXP(Ft!C$38*($A49-Ft!C$2)^2)</f>
        <v>4.6023219738841465</v>
      </c>
      <c r="G49" s="26">
        <f>Ft!D$3*EXP(Ft!D$38*($A49-Ft!D$2)^2)</f>
        <v>0.94638536827628128</v>
      </c>
      <c r="H49" s="26">
        <f>Ft!E$3*EXP(Ft!E$38*($A49-Ft!E$2)^2)</f>
        <v>4.1486421477037227E-6</v>
      </c>
      <c r="I49" s="26">
        <f>Ft!F$3*EXP(Ft!F$38*($A49-Ft!F$2)^2)</f>
        <v>2.4005856574064619E-106</v>
      </c>
      <c r="J49" s="26">
        <f>Ft!G$3*EXP(Ft!G$38*($A49-Ft!G$2)^2)</f>
        <v>0</v>
      </c>
    </row>
    <row r="50" spans="1:10">
      <c r="A50" s="19">
        <v>48</v>
      </c>
      <c r="B50" s="28">
        <v>2.9508699050124108</v>
      </c>
      <c r="C50" s="27">
        <f ca="1">OFFSET($B50,1*(ROWS(C$2:C50)-1),0)</f>
        <v>9.4320488532431455</v>
      </c>
      <c r="D50" s="26">
        <f>Ft!B$3*EXP(Ft!B$38*($A50-Ft!B$2)^2) +Ft!C$3*EXP(Ft!C$38*($A50-Ft!C$2)^2) + Ft!D$3*EXP(Ft!D$38*($A50-Ft!D$2)^2)+Ft!E$3*EXP(Ft!E$38*($A50-Ft!E$2)^2) +Ft!F$3*EXP(Ft!F$38*($A50-Ft!F$2)^2) + Ft!G$3*EXP(Ft!G$38*($A50-Ft!G$2)^2)</f>
        <v>8.7892798241810013</v>
      </c>
      <c r="E50" s="26">
        <f>Ft!B$3*EXP(Ft!B$38*($A50-Ft!B$2)^2)</f>
        <v>3.1580198374771102</v>
      </c>
      <c r="F50" s="26">
        <f>Ft!C$3*EXP(Ft!C$38*($A50-Ft!C$2)^2)</f>
        <v>4.6709258283756059</v>
      </c>
      <c r="G50" s="26">
        <f>Ft!D$3*EXP(Ft!D$38*($A50-Ft!D$2)^2)</f>
        <v>0.96032984464295701</v>
      </c>
      <c r="H50" s="26">
        <f>Ft!E$3*EXP(Ft!E$38*($A50-Ft!E$2)^2)</f>
        <v>4.3136853284210669E-6</v>
      </c>
      <c r="I50" s="26">
        <f>Ft!F$3*EXP(Ft!F$38*($A50-Ft!F$2)^2)</f>
        <v>4.0095561041114851E-106</v>
      </c>
      <c r="J50" s="26">
        <f>Ft!G$3*EXP(Ft!G$38*($A50-Ft!G$2)^2)</f>
        <v>0</v>
      </c>
    </row>
    <row r="51" spans="1:10">
      <c r="A51" s="19">
        <v>49</v>
      </c>
      <c r="B51" s="28">
        <v>3.0509638103258112</v>
      </c>
      <c r="C51" s="27">
        <f ca="1">OFFSET($B51,1*(ROWS(C$2:C51)-1),0)</f>
        <v>9.7876246534981419</v>
      </c>
      <c r="D51" s="26">
        <f>Ft!B$3*EXP(Ft!B$38*($A51-Ft!B$2)^2) +Ft!C$3*EXP(Ft!C$38*($A51-Ft!C$2)^2) + Ft!D$3*EXP(Ft!D$38*($A51-Ft!D$2)^2)+Ft!E$3*EXP(Ft!E$38*($A51-Ft!E$2)^2) +Ft!F$3*EXP(Ft!F$38*($A51-Ft!F$2)^2) + Ft!G$3*EXP(Ft!G$38*($A51-Ft!G$2)^2)</f>
        <v>8.8478278722732835</v>
      </c>
      <c r="E51" s="26">
        <f>Ft!B$3*EXP(Ft!B$38*($A51-Ft!B$2)^2)</f>
        <v>3.1335959751948774</v>
      </c>
      <c r="F51" s="26">
        <f>Ft!C$3*EXP(Ft!C$38*($A51-Ft!C$2)^2)</f>
        <v>4.7397826494431436</v>
      </c>
      <c r="G51" s="26">
        <f>Ft!D$3*EXP(Ft!D$38*($A51-Ft!D$2)^2)</f>
        <v>0.97444476256671053</v>
      </c>
      <c r="H51" s="26">
        <f>Ft!E$3*EXP(Ft!E$38*($A51-Ft!E$2)^2)</f>
        <v>4.4850685506121889E-6</v>
      </c>
      <c r="I51" s="26">
        <f>Ft!F$3*EXP(Ft!F$38*($A51-Ft!F$2)^2)</f>
        <v>6.6933217325470982E-106</v>
      </c>
      <c r="J51" s="26">
        <f>Ft!G$3*EXP(Ft!G$38*($A51-Ft!G$2)^2)</f>
        <v>0</v>
      </c>
    </row>
    <row r="52" spans="1:10">
      <c r="A52" s="19">
        <v>50</v>
      </c>
      <c r="B52" s="28">
        <v>3.1501615817441859</v>
      </c>
      <c r="C52" s="27">
        <f ca="1">OFFSET($B52,1*(ROWS(C$2:C52)-1),0)</f>
        <v>10.099000759053354</v>
      </c>
      <c r="D52" s="26">
        <f>Ft!B$3*EXP(Ft!B$38*($A52-Ft!B$2)^2) +Ft!C$3*EXP(Ft!C$38*($A52-Ft!C$2)^2) + Ft!D$3*EXP(Ft!D$38*($A52-Ft!D$2)^2)+Ft!E$3*EXP(Ft!E$38*($A52-Ft!E$2)^2) +Ft!F$3*EXP(Ft!F$38*($A52-Ft!F$2)^2) + Ft!G$3*EXP(Ft!G$38*($A52-Ft!G$2)^2)</f>
        <v>8.8991215687002079</v>
      </c>
      <c r="E52" s="26">
        <f>Ft!B$3*EXP(Ft!B$38*($A52-Ft!B$2)^2)</f>
        <v>3.1015116580254269</v>
      </c>
      <c r="F52" s="26">
        <f>Ft!C$3*EXP(Ft!C$38*($A52-Ft!C$2)^2)</f>
        <v>4.8088736424880318</v>
      </c>
      <c r="G52" s="26">
        <f>Ft!D$3*EXP(Ft!D$38*($A52-Ft!D$2)^2)</f>
        <v>0.98873160516064063</v>
      </c>
      <c r="H52" s="26">
        <f>Ft!E$3*EXP(Ft!E$38*($A52-Ft!E$2)^2)</f>
        <v>4.6630261078448104E-6</v>
      </c>
      <c r="I52" s="26">
        <f>Ft!F$3*EXP(Ft!F$38*($A52-Ft!F$2)^2)</f>
        <v>1.1167434807454759E-105</v>
      </c>
      <c r="J52" s="26">
        <f>Ft!G$3*EXP(Ft!G$38*($A52-Ft!G$2)^2)</f>
        <v>0</v>
      </c>
    </row>
    <row r="53" spans="1:10">
      <c r="A53" s="19">
        <v>51</v>
      </c>
      <c r="B53" s="28">
        <v>3.227246970057422</v>
      </c>
      <c r="C53" s="27">
        <f ca="1">OFFSET($B53,1*(ROWS(C$2:C53)-1),0)</f>
        <v>10.439505247681268</v>
      </c>
      <c r="D53" s="26">
        <f>Ft!B$3*EXP(Ft!B$38*($A53-Ft!B$2)^2) +Ft!C$3*EXP(Ft!C$38*($A53-Ft!C$2)^2) + Ft!D$3*EXP(Ft!D$38*($A53-Ft!D$2)^2)+Ft!E$3*EXP(Ft!E$38*($A53-Ft!E$2)^2) +Ft!F$3*EXP(Ft!F$38*($A53-Ft!F$2)^2) + Ft!G$3*EXP(Ft!G$38*($A53-Ft!G$2)^2)</f>
        <v>8.9433828085062927</v>
      </c>
      <c r="E53" s="26">
        <f>Ft!B$3*EXP(Ft!B$38*($A53-Ft!B$2)^2)</f>
        <v>3.0620064795513833</v>
      </c>
      <c r="F53" s="26">
        <f>Ft!C$3*EXP(Ft!C$38*($A53-Ft!C$2)^2)</f>
        <v>4.8781796225175018</v>
      </c>
      <c r="G53" s="26">
        <f>Ft!D$3*EXP(Ft!D$38*($A53-Ft!D$2)^2)</f>
        <v>1.0031918586368238</v>
      </c>
      <c r="H53" s="26">
        <f>Ft!E$3*EXP(Ft!E$38*($A53-Ft!E$2)^2)</f>
        <v>4.8478005835480884E-6</v>
      </c>
      <c r="I53" s="26">
        <f>Ft!F$3*EXP(Ft!F$38*($A53-Ft!F$2)^2)</f>
        <v>1.8622220693658172E-105</v>
      </c>
      <c r="J53" s="26">
        <f>Ft!G$3*EXP(Ft!G$38*($A53-Ft!G$2)^2)</f>
        <v>0</v>
      </c>
    </row>
    <row r="54" spans="1:10">
      <c r="A54" s="19">
        <v>52</v>
      </c>
      <c r="B54" s="28">
        <v>3.3243625965870365</v>
      </c>
      <c r="C54" s="27">
        <f ca="1">OFFSET($B54,1*(ROWS(C$2:C54)-1),0)</f>
        <v>10.802473385059983</v>
      </c>
      <c r="D54" s="26">
        <f>Ft!B$3*EXP(Ft!B$38*($A54-Ft!B$2)^2) +Ft!C$3*EXP(Ft!C$38*($A54-Ft!C$2)^2) + Ft!D$3*EXP(Ft!D$38*($A54-Ft!D$2)^2)+Ft!E$3*EXP(Ft!E$38*($A54-Ft!E$2)^2) +Ft!F$3*EXP(Ft!F$38*($A54-Ft!F$2)^2) + Ft!G$3*EXP(Ft!G$38*($A54-Ft!G$2)^2)</f>
        <v>8.9808862204018922</v>
      </c>
      <c r="E54" s="26">
        <f>Ft!B$3*EXP(Ft!B$38*($A54-Ft!B$2)^2)</f>
        <v>3.0153731476184569</v>
      </c>
      <c r="F54" s="26">
        <f>Ft!C$3*EXP(Ft!C$38*($A54-Ft!C$2)^2)</f>
        <v>4.9476810210037776</v>
      </c>
      <c r="G54" s="26">
        <f>Ft!D$3*EXP(Ft!D$38*($A54-Ft!D$2)^2)</f>
        <v>1.0178270121365285</v>
      </c>
      <c r="H54" s="26">
        <f>Ft!E$3*EXP(Ft!E$38*($A54-Ft!E$2)^2)</f>
        <v>5.0396431301233148E-6</v>
      </c>
      <c r="I54" s="26">
        <f>Ft!F$3*EXP(Ft!F$38*($A54-Ft!F$2)^2)</f>
        <v>3.1036720920365954E-105</v>
      </c>
      <c r="J54" s="26">
        <f>Ft!G$3*EXP(Ft!G$38*($A54-Ft!G$2)^2)</f>
        <v>0</v>
      </c>
    </row>
    <row r="55" spans="1:10">
      <c r="A55" s="19">
        <v>53</v>
      </c>
      <c r="B55" s="28">
        <v>3.43401787253012</v>
      </c>
      <c r="C55" s="27">
        <f ca="1">OFFSET($B55,1*(ROWS(C$2:C55)-1),0)</f>
        <v>11.163340480703027</v>
      </c>
      <c r="D55" s="26">
        <f>Ft!B$3*EXP(Ft!B$38*($A55-Ft!B$2)^2) +Ft!C$3*EXP(Ft!C$38*($A55-Ft!C$2)^2) + Ft!D$3*EXP(Ft!D$38*($A55-Ft!D$2)^2)+Ft!E$3*EXP(Ft!E$38*($A55-Ft!E$2)^2) +Ft!F$3*EXP(Ft!F$38*($A55-Ft!F$2)^2) + Ft!G$3*EXP(Ft!G$38*($A55-Ft!G$2)^2)</f>
        <v>9.0119555629177412</v>
      </c>
      <c r="E55" s="26">
        <f>Ft!B$3*EXP(Ft!B$38*($A55-Ft!B$2)^2)</f>
        <v>2.9619538733904687</v>
      </c>
      <c r="F55" s="26">
        <f>Ft!C$3*EXP(Ft!C$38*($A55-Ft!C$2)^2)</f>
        <v>5.0173578931561007</v>
      </c>
      <c r="G55" s="26">
        <f>Ft!D$3*EXP(Ft!D$38*($A55-Ft!D$2)^2)</f>
        <v>1.0326385575574155</v>
      </c>
      <c r="H55" s="26">
        <f>Ft!E$3*EXP(Ft!E$38*($A55-Ft!E$2)^2)</f>
        <v>5.2388137569222622E-6</v>
      </c>
      <c r="I55" s="26">
        <f>Ft!F$3*EXP(Ft!F$38*($A55-Ft!F$2)^2)</f>
        <v>5.1699520069609572E-105</v>
      </c>
      <c r="J55" s="26">
        <f>Ft!G$3*EXP(Ft!G$38*($A55-Ft!G$2)^2)</f>
        <v>0</v>
      </c>
    </row>
    <row r="56" spans="1:10">
      <c r="A56" s="19">
        <v>54</v>
      </c>
      <c r="B56" s="28">
        <v>3.5637574580262026</v>
      </c>
      <c r="C56" s="27">
        <f ca="1">OFFSET($B56,1*(ROWS(C$2:C56)-1),0)</f>
        <v>11.52182957950356</v>
      </c>
      <c r="D56" s="26">
        <f>Ft!B$3*EXP(Ft!B$38*($A56-Ft!B$2)^2) +Ft!C$3*EXP(Ft!C$38*($A56-Ft!C$2)^2) + Ft!D$3*EXP(Ft!D$38*($A56-Ft!D$2)^2)+Ft!E$3*EXP(Ft!E$38*($A56-Ft!E$2)^2) +Ft!F$3*EXP(Ft!F$38*($A56-Ft!F$2)^2) + Ft!G$3*EXP(Ft!G$38*($A56-Ft!G$2)^2)</f>
        <v>9.0369595516021981</v>
      </c>
      <c r="E56" s="26">
        <f>Ft!B$3*EXP(Ft!B$38*($A56-Ft!B$2)^2)</f>
        <v>2.9021361910382875</v>
      </c>
      <c r="F56" s="26">
        <f>Ft!C$3*EXP(Ft!C$38*($A56-Ft!C$2)^2)</f>
        <v>5.0871899256045667</v>
      </c>
      <c r="G56" s="26">
        <f>Ft!D$3*EXP(Ft!D$38*($A56-Ft!D$2)^2)</f>
        <v>1.0476279893777181</v>
      </c>
      <c r="H56" s="26">
        <f>Ft!E$3*EXP(Ft!E$38*($A56-Ft!E$2)^2)</f>
        <v>5.4455816273561947E-6</v>
      </c>
      <c r="I56" s="26">
        <f>Ft!F$3*EXP(Ft!F$38*($A56-Ft!F$2)^2)</f>
        <v>8.6072320269762823E-105</v>
      </c>
      <c r="J56" s="26">
        <f>Ft!G$3*EXP(Ft!G$38*($A56-Ft!G$2)^2)</f>
        <v>0</v>
      </c>
    </row>
    <row r="57" spans="1:10">
      <c r="A57" s="19">
        <v>55</v>
      </c>
      <c r="B57" s="28">
        <v>3.6903880591168274</v>
      </c>
      <c r="C57" s="27">
        <f ca="1">OFFSET($B57,1*(ROWS(C$2:C57)-1),0)</f>
        <v>11.896485039986999</v>
      </c>
      <c r="D57" s="26">
        <f>Ft!B$3*EXP(Ft!B$38*($A57-Ft!B$2)^2) +Ft!C$3*EXP(Ft!C$38*($A57-Ft!C$2)^2) + Ft!D$3*EXP(Ft!D$38*($A57-Ft!D$2)^2)+Ft!E$3*EXP(Ft!E$38*($A57-Ft!E$2)^2) +Ft!F$3*EXP(Ft!F$38*($A57-Ft!F$2)^2) + Ft!G$3*EXP(Ft!G$38*($A57-Ft!G$2)^2)</f>
        <v>9.0563071886619451</v>
      </c>
      <c r="E57" s="26">
        <f>Ft!B$3*EXP(Ft!B$38*($A57-Ft!B$2)^2)</f>
        <v>2.8363482794651027</v>
      </c>
      <c r="F57" s="26">
        <f>Ft!C$3*EXP(Ft!C$38*($A57-Ft!C$2)^2)</f>
        <v>5.1571564444940883</v>
      </c>
      <c r="G57" s="26">
        <f>Ft!D$3*EXP(Ft!D$38*($A57-Ft!D$2)^2)</f>
        <v>1.0627968044773886</v>
      </c>
      <c r="H57" s="26">
        <f>Ft!E$3*EXP(Ft!E$38*($A57-Ft!E$2)^2)</f>
        <v>5.6602253654049597E-6</v>
      </c>
      <c r="I57" s="26">
        <f>Ft!F$3*EXP(Ft!F$38*($A57-Ft!F$2)^2)</f>
        <v>1.4322104163684251E-104</v>
      </c>
      <c r="J57" s="26">
        <f>Ft!G$3*EXP(Ft!G$38*($A57-Ft!G$2)^2)</f>
        <v>0</v>
      </c>
    </row>
    <row r="58" spans="1:10">
      <c r="A58" s="19">
        <v>56</v>
      </c>
      <c r="B58" s="28">
        <v>3.8172766562090885</v>
      </c>
      <c r="C58" s="27">
        <f ca="1">OFFSET($B58,1*(ROWS(C$2:C58)-1),0)</f>
        <v>12.230686157111478</v>
      </c>
      <c r="D58" s="26">
        <f>Ft!B$3*EXP(Ft!B$38*($A58-Ft!B$2)^2) +Ft!C$3*EXP(Ft!C$38*($A58-Ft!C$2)^2) + Ft!D$3*EXP(Ft!D$38*($A58-Ft!D$2)^2)+Ft!E$3*EXP(Ft!E$38*($A58-Ft!E$2)^2) +Ft!F$3*EXP(Ft!F$38*($A58-Ft!F$2)^2) + Ft!G$3*EXP(Ft!G$38*($A58-Ft!G$2)^2)</f>
        <v>9.0704426739822814</v>
      </c>
      <c r="E58" s="26">
        <f>Ft!B$3*EXP(Ft!B$38*($A58-Ft!B$2)^2)</f>
        <v>2.765053865006347</v>
      </c>
      <c r="F58" s="26">
        <f>Ft!C$3*EXP(Ft!C$38*($A58-Ft!C$2)^2)</f>
        <v>5.227236423986346</v>
      </c>
      <c r="G58" s="26">
        <f>Ft!D$3*EXP(Ft!D$38*($A58-Ft!D$2)^2)</f>
        <v>1.0781465019562151</v>
      </c>
      <c r="H58" s="26">
        <f>Ft!E$3*EXP(Ft!E$38*($A58-Ft!E$2)^2)</f>
        <v>5.8830333718036779E-6</v>
      </c>
      <c r="I58" s="26">
        <f>Ft!F$3*EXP(Ft!F$38*($A58-Ft!F$2)^2)</f>
        <v>2.3818612774673041E-104</v>
      </c>
      <c r="J58" s="26">
        <f>Ft!G$3*EXP(Ft!G$38*($A58-Ft!G$2)^2)</f>
        <v>0</v>
      </c>
    </row>
    <row r="59" spans="1:10">
      <c r="A59" s="19">
        <v>57</v>
      </c>
      <c r="B59" s="28">
        <v>3.9466178352534484</v>
      </c>
      <c r="C59" s="27">
        <f ca="1">OFFSET($B59,1*(ROWS(C$2:C59)-1),0)</f>
        <v>12.610685455559974</v>
      </c>
      <c r="D59" s="26">
        <f>Ft!B$3*EXP(Ft!B$38*($A59-Ft!B$2)^2) +Ft!C$3*EXP(Ft!C$38*($A59-Ft!C$2)^2) + Ft!D$3*EXP(Ft!D$38*($A59-Ft!D$2)^2)+Ft!E$3*EXP(Ft!E$38*($A59-Ft!E$2)^2) +Ft!F$3*EXP(Ft!F$38*($A59-Ft!F$2)^2) + Ft!G$3*EXP(Ft!G$38*($A59-Ft!G$2)^2)</f>
        <v>9.0798399822888793</v>
      </c>
      <c r="E59" s="26">
        <f>Ft!B$3*EXP(Ft!B$38*($A59-Ft!B$2)^2)</f>
        <v>2.6887467898687931</v>
      </c>
      <c r="F59" s="26">
        <f>Ft!C$3*EXP(Ft!C$38*($A59-Ft!C$2)^2)</f>
        <v>5.2974084951670379</v>
      </c>
      <c r="G59" s="26">
        <f>Ft!D$3*EXP(Ft!D$38*($A59-Ft!D$2)^2)</f>
        <v>1.0936785829488969</v>
      </c>
      <c r="H59" s="26">
        <f>Ft!E$3*EXP(Ft!E$38*($A59-Ft!E$2)^2)</f>
        <v>6.1143041501912457E-6</v>
      </c>
      <c r="I59" s="26">
        <f>Ft!F$3*EXP(Ft!F$38*($A59-Ft!F$2)^2)</f>
        <v>3.9590630541983954E-104</v>
      </c>
      <c r="J59" s="26">
        <f>Ft!G$3*EXP(Ft!G$38*($A59-Ft!G$2)^2)</f>
        <v>0</v>
      </c>
    </row>
    <row r="60" spans="1:10">
      <c r="A60" s="19">
        <v>58</v>
      </c>
      <c r="B60" s="28">
        <v>4.0635912179145635</v>
      </c>
      <c r="C60" s="27">
        <f ca="1">OFFSET($B60,1*(ROWS(C$2:C60)-1),0)</f>
        <v>12.96845858955993</v>
      </c>
      <c r="D60" s="26">
        <f>Ft!B$3*EXP(Ft!B$38*($A60-Ft!B$2)^2) +Ft!C$3*EXP(Ft!C$38*($A60-Ft!C$2)^2) + Ft!D$3*EXP(Ft!D$38*($A60-Ft!D$2)^2)+Ft!E$3*EXP(Ft!E$38*($A60-Ft!E$2)^2) +Ft!F$3*EXP(Ft!F$38*($A60-Ft!F$2)^2) + Ft!G$3*EXP(Ft!G$38*($A60-Ft!G$2)^2)</f>
        <v>9.084997195230498</v>
      </c>
      <c r="E60" s="26">
        <f>Ft!B$3*EXP(Ft!B$38*($A60-Ft!B$2)^2)</f>
        <v>2.607945335091487</v>
      </c>
      <c r="F60" s="26">
        <f>Ft!C$3*EXP(Ft!C$38*($A60-Ft!C$2)^2)</f>
        <v>5.3676509553552902</v>
      </c>
      <c r="G60" s="26">
        <f>Ft!D$3*EXP(Ft!D$38*($A60-Ft!D$2)^2)</f>
        <v>1.1093945504370772</v>
      </c>
      <c r="H60" s="26">
        <f>Ft!E$3*EXP(Ft!E$38*($A60-Ft!E$2)^2)</f>
        <v>6.3543466435131065E-6</v>
      </c>
      <c r="I60" s="26">
        <f>Ft!F$3*EXP(Ft!F$38*($A60-Ft!F$2)^2)</f>
        <v>6.5771037360539174E-104</v>
      </c>
      <c r="J60" s="26">
        <f>Ft!G$3*EXP(Ft!G$38*($A60-Ft!G$2)^2)</f>
        <v>0</v>
      </c>
    </row>
    <row r="61" spans="1:10">
      <c r="A61" s="19">
        <v>59</v>
      </c>
      <c r="B61" s="28">
        <v>4.1554433538397859</v>
      </c>
      <c r="C61" s="27">
        <f ca="1">OFFSET($B61,1*(ROWS(C$2:C61)-1),0)</f>
        <v>13.328736845980472</v>
      </c>
      <c r="D61" s="26">
        <f>Ft!B$3*EXP(Ft!B$38*($A61-Ft!B$2)^2) +Ft!C$3*EXP(Ft!C$38*($A61-Ft!C$2)^2) + Ft!D$3*EXP(Ft!D$38*($A61-Ft!D$2)^2)+Ft!E$3*EXP(Ft!E$38*($A61-Ft!E$2)^2) +Ft!F$3*EXP(Ft!F$38*($A61-Ft!F$2)^2) + Ft!G$3*EXP(Ft!G$38*($A61-Ft!G$2)^2)</f>
        <v>9.0864306793202942</v>
      </c>
      <c r="E61" s="26">
        <f>Ft!B$3*EXP(Ft!B$38*($A61-Ft!B$2)^2)</f>
        <v>2.5231863889698407</v>
      </c>
      <c r="F61" s="26">
        <f>Ft!C$3*EXP(Ft!C$38*($A61-Ft!C$2)^2)</f>
        <v>5.4379417778115418</v>
      </c>
      <c r="G61" s="26">
        <f>Ft!D$3*EXP(Ft!D$38*($A61-Ft!D$2)^2)</f>
        <v>1.1252959090583325</v>
      </c>
      <c r="H61" s="26">
        <f>Ft!E$3*EXP(Ft!E$38*($A61-Ft!E$2)^2)</f>
        <v>6.6034805809782119E-6</v>
      </c>
      <c r="I61" s="26">
        <f>Ft!F$3*EXP(Ft!F$38*($A61-Ft!F$2)^2)</f>
        <v>1.0920519115539443E-103</v>
      </c>
      <c r="J61" s="26">
        <f>Ft!G$3*EXP(Ft!G$38*($A61-Ft!G$2)^2)</f>
        <v>0</v>
      </c>
    </row>
    <row r="62" spans="1:10">
      <c r="A62" s="19">
        <v>60</v>
      </c>
      <c r="B62" s="28">
        <v>4.2823507860106531</v>
      </c>
      <c r="C62" s="27">
        <f ca="1">OFFSET($B62,1*(ROWS(C$2:C62)-1),0)</f>
        <v>13.6951030192362</v>
      </c>
      <c r="D62" s="26">
        <f>Ft!B$3*EXP(Ft!B$38*($A62-Ft!B$2)^2) +Ft!C$3*EXP(Ft!C$38*($A62-Ft!C$2)^2) + Ft!D$3*EXP(Ft!D$38*($A62-Ft!D$2)^2)+Ft!E$3*EXP(Ft!E$38*($A62-Ft!E$2)^2) +Ft!F$3*EXP(Ft!F$38*($A62-Ft!F$2)^2) + Ft!G$3*EXP(Ft!G$38*($A62-Ft!G$2)^2)</f>
        <v>9.0846692009681203</v>
      </c>
      <c r="E62" s="26">
        <f>Ft!B$3*EXP(Ft!B$38*($A62-Ft!B$2)^2)</f>
        <v>2.4350195521794116</v>
      </c>
      <c r="F62" s="26">
        <f>Ft!C$3*EXP(Ft!C$38*($A62-Ft!C$2)^2)</f>
        <v>5.5082586218397589</v>
      </c>
      <c r="G62" s="26">
        <f>Ft!D$3*EXP(Ft!D$38*($A62-Ft!D$2)^2)</f>
        <v>1.1413841649121139</v>
      </c>
      <c r="H62" s="26">
        <f>Ft!E$3*EXP(Ft!E$38*($A62-Ft!E$2)^2)</f>
        <v>6.8620368358783821E-6</v>
      </c>
      <c r="I62" s="26">
        <f>Ft!F$3*EXP(Ft!F$38*($A62-Ft!F$2)^2)</f>
        <v>1.8122503553680859E-103</v>
      </c>
      <c r="J62" s="26">
        <f>Ft!G$3*EXP(Ft!G$38*($A62-Ft!G$2)^2)</f>
        <v>0</v>
      </c>
    </row>
    <row r="63" spans="1:10">
      <c r="A63" s="19">
        <v>61</v>
      </c>
      <c r="B63" s="28">
        <v>4.4353012911035989</v>
      </c>
      <c r="C63" s="27">
        <f ca="1">OFFSET($B63,1*(ROWS(C$2:C63)-1),0)</f>
        <v>14.046353878849629</v>
      </c>
      <c r="D63" s="26">
        <f>Ft!B$3*EXP(Ft!B$38*($A63-Ft!B$2)^2) +Ft!C$3*EXP(Ft!C$38*($A63-Ft!C$2)^2) + Ft!D$3*EXP(Ft!D$38*($A63-Ft!D$2)^2)+Ft!E$3*EXP(Ft!E$38*($A63-Ft!E$2)^2) +Ft!F$3*EXP(Ft!F$38*($A63-Ft!F$2)^2) + Ft!G$3*EXP(Ft!G$38*($A63-Ft!G$2)^2)</f>
        <v>9.0802480683098512</v>
      </c>
      <c r="E63" s="26">
        <f>Ft!B$3*EXP(Ft!B$38*($A63-Ft!B$2)^2)</f>
        <v>2.3440012693101453</v>
      </c>
      <c r="F63" s="26">
        <f>Ft!C$3*EXP(Ft!C$38*($A63-Ft!C$2)^2)</f>
        <v>5.5785788432792769</v>
      </c>
      <c r="G63" s="26">
        <f>Ft!D$3*EXP(Ft!D$38*($A63-Ft!D$2)^2)</f>
        <v>1.1576608253626357</v>
      </c>
      <c r="H63" s="26">
        <f>Ft!E$3*EXP(Ft!E$38*($A63-Ft!E$2)^2)</f>
        <v>7.1303577945860616E-6</v>
      </c>
      <c r="I63" s="26">
        <f>Ft!F$3*EXP(Ft!F$38*($A63-Ft!F$2)^2)</f>
        <v>3.0057954473204054E-103</v>
      </c>
      <c r="J63" s="26">
        <f>Ft!G$3*EXP(Ft!G$38*($A63-Ft!G$2)^2)</f>
        <v>0</v>
      </c>
    </row>
    <row r="64" spans="1:10">
      <c r="A64" s="19">
        <v>62</v>
      </c>
      <c r="B64" s="28">
        <v>4.5695920522557572</v>
      </c>
      <c r="C64" s="27">
        <f ca="1">OFFSET($B64,1*(ROWS(C$2:C64)-1),0)</f>
        <v>14.387525308725145</v>
      </c>
      <c r="D64" s="26">
        <f>Ft!B$3*EXP(Ft!B$38*($A64-Ft!B$2)^2) +Ft!C$3*EXP(Ft!C$38*($A64-Ft!C$2)^2) + Ft!D$3*EXP(Ft!D$38*($A64-Ft!D$2)^2)+Ft!E$3*EXP(Ft!E$38*($A64-Ft!E$2)^2) +Ft!F$3*EXP(Ft!F$38*($A64-Ft!F$2)^2) + Ft!G$3*EXP(Ft!G$38*($A64-Ft!G$2)^2)</f>
        <v>9.0737033862791101</v>
      </c>
      <c r="E64" s="26">
        <f>Ft!B$3*EXP(Ft!B$38*($A64-Ft!B$2)^2)</f>
        <v>2.2506890732615612</v>
      </c>
      <c r="F64" s="26">
        <f>Ft!C$3*EXP(Ft!C$38*($A64-Ft!C$2)^2)</f>
        <v>5.6488795053810943</v>
      </c>
      <c r="G64" s="26">
        <f>Ft!D$3*EXP(Ft!D$38*($A64-Ft!D$2)^2)</f>
        <v>1.1741273988387173</v>
      </c>
      <c r="H64" s="26">
        <f>Ft!E$3*EXP(Ft!E$38*($A64-Ft!E$2)^2)</f>
        <v>7.4087977370554094E-6</v>
      </c>
      <c r="I64" s="26">
        <f>Ft!F$3*EXP(Ft!F$38*($A64-Ft!F$2)^2)</f>
        <v>4.9827255824296908E-103</v>
      </c>
      <c r="J64" s="26">
        <f>Ft!G$3*EXP(Ft!G$38*($A64-Ft!G$2)^2)</f>
        <v>0</v>
      </c>
    </row>
    <row r="65" spans="1:10">
      <c r="A65" s="19">
        <v>63</v>
      </c>
      <c r="B65" s="28">
        <v>4.6582821590243952</v>
      </c>
      <c r="C65" s="27">
        <f ca="1">OFFSET($B65,1*(ROWS(C$2:C65)-1),0)</f>
        <v>14.777167821591888</v>
      </c>
      <c r="D65" s="26">
        <f>Ft!B$3*EXP(Ft!B$38*($A65-Ft!B$2)^2) +Ft!C$3*EXP(Ft!C$38*($A65-Ft!C$2)^2) + Ft!D$3*EXP(Ft!D$38*($A65-Ft!D$2)^2)+Ft!E$3*EXP(Ft!E$38*($A65-Ft!E$2)^2) +Ft!F$3*EXP(Ft!F$38*($A65-Ft!F$2)^2) + Ft!G$3*EXP(Ft!G$38*($A65-Ft!G$2)^2)</f>
        <v>9.0655665064981115</v>
      </c>
      <c r="E65" s="26">
        <f>Ft!B$3*EXP(Ft!B$38*($A65-Ft!B$2)^2)</f>
        <v>2.155636024081375</v>
      </c>
      <c r="F65" s="26">
        <f>Ft!C$3*EXP(Ft!C$38*($A65-Ft!C$2)^2)</f>
        <v>5.7191373900629374</v>
      </c>
      <c r="G65" s="26">
        <f>Ft!D$3*EXP(Ft!D$38*($A65-Ft!D$2)^2)</f>
        <v>1.19078539463057</v>
      </c>
      <c r="H65" s="26">
        <f>Ft!E$3*EXP(Ft!E$38*($A65-Ft!E$2)^2)</f>
        <v>7.6977232291597312E-6</v>
      </c>
      <c r="I65" s="26">
        <f>Ft!F$3*EXP(Ft!F$38*($A65-Ft!F$2)^2)</f>
        <v>8.2554515967459206E-103</v>
      </c>
      <c r="J65" s="26">
        <f>Ft!G$3*EXP(Ft!G$38*($A65-Ft!G$2)^2)</f>
        <v>0</v>
      </c>
    </row>
    <row r="66" spans="1:10">
      <c r="A66" s="19">
        <v>64</v>
      </c>
      <c r="B66" s="28">
        <v>4.7505049174518774</v>
      </c>
      <c r="C66" s="27">
        <f ca="1">OFFSET($B66,1*(ROWS(C$2:C66)-1),0)</f>
        <v>15.149173782330706</v>
      </c>
      <c r="D66" s="26">
        <f>Ft!B$3*EXP(Ft!B$38*($A66-Ft!B$2)^2) +Ft!C$3*EXP(Ft!C$38*($A66-Ft!C$2)^2) + Ft!D$3*EXP(Ft!D$38*($A66-Ft!D$2)^2)+Ft!E$3*EXP(Ft!E$38*($A66-Ft!E$2)^2) +Ft!F$3*EXP(Ft!F$38*($A66-Ft!F$2)^2) + Ft!G$3*EXP(Ft!G$38*($A66-Ft!G$2)^2)</f>
        <v>9.0563587472509397</v>
      </c>
      <c r="E66" s="26">
        <f>Ft!B$3*EXP(Ft!B$38*($A66-Ft!B$2)^2)</f>
        <v>2.0593854175169919</v>
      </c>
      <c r="F66" s="26">
        <f>Ft!C$3*EXP(Ft!C$38*($A66-Ft!C$2)^2)</f>
        <v>5.7893290095368783</v>
      </c>
      <c r="G66" s="26">
        <f>Ft!D$3*EXP(Ft!D$38*($A66-Ft!D$2)^2)</f>
        <v>1.207636322683542</v>
      </c>
      <c r="H66" s="26">
        <f>Ft!E$3*EXP(Ft!E$38*($A66-Ft!E$2)^2)</f>
        <v>7.9975135272074465E-6</v>
      </c>
      <c r="I66" s="26">
        <f>Ft!F$3*EXP(Ft!F$38*($A66-Ft!F$2)^2)</f>
        <v>1.3670393622726951E-102</v>
      </c>
      <c r="J66" s="26">
        <f>Ft!G$3*EXP(Ft!G$38*($A66-Ft!G$2)^2)</f>
        <v>0</v>
      </c>
    </row>
    <row r="67" spans="1:10">
      <c r="A67" s="19">
        <v>65</v>
      </c>
      <c r="B67" s="28">
        <v>4.8679723122635323</v>
      </c>
      <c r="C67" s="27">
        <f ca="1">OFFSET($B67,1*(ROWS(C$2:C67)-1),0)</f>
        <v>15.483601489081508</v>
      </c>
      <c r="D67" s="26">
        <f>Ft!B$3*EXP(Ft!B$38*($A67-Ft!B$2)^2) +Ft!C$3*EXP(Ft!C$38*($A67-Ft!C$2)^2) + Ft!D$3*EXP(Ft!D$38*($A67-Ft!D$2)^2)+Ft!E$3*EXP(Ft!E$38*($A67-Ft!E$2)^2) +Ft!F$3*EXP(Ft!F$38*($A67-Ft!F$2)^2) + Ft!G$3*EXP(Ft!G$38*($A67-Ft!G$2)^2)</f>
        <v>9.0465864512362995</v>
      </c>
      <c r="E67" s="26">
        <f>Ft!B$3*EXP(Ft!B$38*($A67-Ft!B$2)^2)</f>
        <v>1.9624658309836716</v>
      </c>
      <c r="F67" s="26">
        <f>Ft!C$3*EXP(Ft!C$38*($A67-Ft!C$2)^2)</f>
        <v>5.85943061830283</v>
      </c>
      <c r="G67" s="26">
        <f>Ft!D$3*EXP(Ft!D$38*($A67-Ft!D$2)^2)</f>
        <v>1.2246816933888029</v>
      </c>
      <c r="H67" s="26">
        <f>Ft!E$3*EXP(Ft!E$38*($A67-Ft!E$2)^2)</f>
        <v>8.3085609949874999E-6</v>
      </c>
      <c r="I67" s="26">
        <f>Ft!F$3*EXP(Ft!F$38*($A67-Ft!F$2)^2)</f>
        <v>2.2624944504678289E-102</v>
      </c>
      <c r="J67" s="26">
        <f>Ft!G$3*EXP(Ft!G$38*($A67-Ft!G$2)^2)</f>
        <v>0</v>
      </c>
    </row>
    <row r="68" spans="1:10">
      <c r="A68" s="19">
        <v>66</v>
      </c>
      <c r="B68" s="28">
        <v>4.9867759017905087</v>
      </c>
      <c r="C68" s="27">
        <f ca="1">OFFSET($B68,1*(ROWS(C$2:C68)-1),0)</f>
        <v>15.816000534660589</v>
      </c>
      <c r="D68" s="26">
        <f>Ft!B$3*EXP(Ft!B$38*($A68-Ft!B$2)^2) +Ft!C$3*EXP(Ft!C$38*($A68-Ft!C$2)^2) + Ft!D$3*EXP(Ft!D$38*($A68-Ft!D$2)^2)+Ft!E$3*EXP(Ft!E$38*($A68-Ft!E$2)^2) +Ft!F$3*EXP(Ft!F$38*($A68-Ft!F$2)^2) + Ft!G$3*EXP(Ft!G$38*($A68-Ft!G$2)^2)</f>
        <v>9.0367364401946002</v>
      </c>
      <c r="E68" s="26">
        <f>Ft!B$3*EXP(Ft!B$38*($A68-Ft!B$2)^2)</f>
        <v>1.8653865660513977</v>
      </c>
      <c r="F68" s="26">
        <f>Ft!C$3*EXP(Ft!C$38*($A68-Ft!C$2)^2)</f>
        <v>5.9294182255006769</v>
      </c>
      <c r="G68" s="26">
        <f>Ft!D$3*EXP(Ft!D$38*($A68-Ft!D$2)^2)</f>
        <v>1.2419230173709923</v>
      </c>
      <c r="H68" s="26">
        <f>Ft!E$3*EXP(Ft!E$38*($A68-Ft!E$2)^2)</f>
        <v>8.6312715337044424E-6</v>
      </c>
      <c r="I68" s="26">
        <f>Ft!F$3*EXP(Ft!F$38*($A68-Ft!F$2)^2)</f>
        <v>3.7424873757613925E-102</v>
      </c>
      <c r="J68" s="26">
        <f>Ft!G$3*EXP(Ft!G$38*($A68-Ft!G$2)^2)</f>
        <v>0</v>
      </c>
    </row>
    <row r="69" spans="1:10">
      <c r="A69" s="19">
        <v>67</v>
      </c>
      <c r="B69" s="28">
        <v>5.0832946642760248</v>
      </c>
      <c r="C69" s="27">
        <f ca="1">OFFSET($B69,1*(ROWS(C$2:C69)-1),0)</f>
        <v>16.179396027476258</v>
      </c>
      <c r="D69" s="26">
        <f>Ft!B$3*EXP(Ft!B$38*($A69-Ft!B$2)^2) +Ft!C$3*EXP(Ft!C$38*($A69-Ft!C$2)^2) + Ft!D$3*EXP(Ft!D$38*($A69-Ft!D$2)^2)+Ft!E$3*EXP(Ft!E$38*($A69-Ft!E$2)^2) +Ft!F$3*EXP(Ft!F$38*($A69-Ft!F$2)^2) + Ft!G$3*EXP(Ft!G$38*($A69-Ft!G$2)^2)</f>
        <v>9.0272719160990569</v>
      </c>
      <c r="E69" s="26">
        <f>Ft!B$3*EXP(Ft!B$38*($A69-Ft!B$2)^2)</f>
        <v>1.7686335371478361</v>
      </c>
      <c r="F69" s="26">
        <f>Ft!C$3*EXP(Ft!C$38*($A69-Ft!C$2)^2)</f>
        <v>5.9992676076133771</v>
      </c>
      <c r="G69" s="26">
        <f>Ft!D$3*EXP(Ft!D$38*($A69-Ft!D$2)^2)</f>
        <v>1.2593618052728195</v>
      </c>
      <c r="H69" s="26">
        <f>Ft!E$3*EXP(Ft!E$38*($A69-Ft!E$2)^2)</f>
        <v>8.9660650251727669E-6</v>
      </c>
      <c r="I69" s="26">
        <f>Ft!F$3*EXP(Ft!F$38*($A69-Ft!F$2)^2)</f>
        <v>6.1872759242950079E-102</v>
      </c>
      <c r="J69" s="26">
        <f>Ft!G$3*EXP(Ft!G$38*($A69-Ft!G$2)^2)</f>
        <v>0</v>
      </c>
    </row>
    <row r="70" spans="1:10">
      <c r="A70" s="19">
        <v>68</v>
      </c>
      <c r="B70" s="28">
        <v>5.2369768814498627</v>
      </c>
      <c r="C70" s="27">
        <f ca="1">OFFSET($B70,1*(ROWS(C$2:C70)-1),0)</f>
        <v>16.527629289316621</v>
      </c>
      <c r="D70" s="26">
        <f>Ft!B$3*EXP(Ft!B$38*($A70-Ft!B$2)^2) +Ft!C$3*EXP(Ft!C$38*($A70-Ft!C$2)^2) + Ft!D$3*EXP(Ft!D$38*($A70-Ft!D$2)^2)+Ft!E$3*EXP(Ft!E$38*($A70-Ft!E$2)^2) +Ft!F$3*EXP(Ft!F$38*($A70-Ft!F$2)^2) + Ft!G$3*EXP(Ft!G$38*($A70-Ft!G$2)^2)</f>
        <v>9.0186288486357196</v>
      </c>
      <c r="E70" s="26">
        <f>Ft!B$3*EXP(Ft!B$38*($A70-Ft!B$2)^2)</f>
        <v>1.6726656462104932</v>
      </c>
      <c r="F70" s="26">
        <f>Ft!C$3*EXP(Ft!C$38*($A70-Ft!C$2)^2)</f>
        <v>6.0689543215128117</v>
      </c>
      <c r="G70" s="26">
        <f>Ft!D$3*EXP(Ft!D$38*($A70-Ft!D$2)^2)</f>
        <v>1.2769995675366264</v>
      </c>
      <c r="H70" s="26">
        <f>Ft!E$3*EXP(Ft!E$38*($A70-Ft!E$2)^2)</f>
        <v>9.3133757886499541E-6</v>
      </c>
      <c r="I70" s="26">
        <f>Ft!F$3*EXP(Ft!F$38*($A70-Ft!F$2)^2)</f>
        <v>1.0223625734687389E-101</v>
      </c>
      <c r="J70" s="26">
        <f>Ft!G$3*EXP(Ft!G$38*($A70-Ft!G$2)^2)</f>
        <v>0</v>
      </c>
    </row>
    <row r="71" spans="1:10">
      <c r="A71" s="19">
        <v>69</v>
      </c>
      <c r="B71" s="28">
        <v>5.4029527669019899</v>
      </c>
      <c r="C71" s="27">
        <f ca="1">OFFSET($B71,1*(ROWS(C$2:C71)-1),0)</f>
        <v>16.904902499082766</v>
      </c>
      <c r="D71" s="26">
        <f>Ft!B$3*EXP(Ft!B$38*($A71-Ft!B$2)^2) +Ft!C$3*EXP(Ft!C$38*($A71-Ft!C$2)^2) + Ft!D$3*EXP(Ft!D$38*($A71-Ft!D$2)^2)+Ft!E$3*EXP(Ft!E$38*($A71-Ft!E$2)^2) +Ft!F$3*EXP(Ft!F$38*($A71-Ft!F$2)^2) + Ft!G$3*EXP(Ft!G$38*($A71-Ft!G$2)^2)</f>
        <v>9.0112128784191423</v>
      </c>
      <c r="E71" s="26">
        <f>Ft!B$3*EXP(Ft!B$38*($A71-Ft!B$2)^2)</f>
        <v>1.5779116727434881</v>
      </c>
      <c r="F71" s="26">
        <f>Ft!C$3*EXP(Ft!C$38*($A71-Ft!C$2)^2)</f>
        <v>6.138453717839691</v>
      </c>
      <c r="G71" s="26">
        <f>Ft!D$3*EXP(Ft!D$38*($A71-Ft!D$2)^2)</f>
        <v>1.2948378141829116</v>
      </c>
      <c r="H71" s="26">
        <f>Ft!E$3*EXP(Ft!E$38*($A71-Ft!E$2)^2)</f>
        <v>9.6736530516969873E-6</v>
      </c>
      <c r="I71" s="26">
        <f>Ft!F$3*EXP(Ft!F$38*($A71-Ft!F$2)^2)</f>
        <v>1.6884053496801247E-101</v>
      </c>
      <c r="J71" s="26">
        <f>Ft!G$3*EXP(Ft!G$38*($A71-Ft!G$2)^2)</f>
        <v>0</v>
      </c>
    </row>
    <row r="72" spans="1:10">
      <c r="A72" s="19">
        <v>70</v>
      </c>
      <c r="B72" s="28">
        <v>5.5561225587664183</v>
      </c>
      <c r="C72" s="27">
        <f ca="1">OFFSET($B72,1*(ROWS(C$2:C72)-1),0)</f>
        <v>17.267720281426762</v>
      </c>
      <c r="D72" s="26">
        <f>Ft!B$3*EXP(Ft!B$38*($A72-Ft!B$2)^2) +Ft!C$3*EXP(Ft!C$38*($A72-Ft!C$2)^2) + Ft!D$3*EXP(Ft!D$38*($A72-Ft!D$2)^2)+Ft!E$3*EXP(Ft!E$38*($A72-Ft!E$2)^2) +Ft!F$3*EXP(Ft!F$38*($A72-Ft!F$2)^2) + Ft!G$3*EXP(Ft!G$38*($A72-Ft!G$2)^2)</f>
        <v>9.0053967550411436</v>
      </c>
      <c r="E72" s="26">
        <f>Ft!B$3*EXP(Ft!B$38*($A72-Ft!B$2)^2)</f>
        <v>1.4847676983855136</v>
      </c>
      <c r="F72" s="26">
        <f>Ft!C$3*EXP(Ft!C$38*($A72-Ft!C$2)^2)</f>
        <v>6.2077409547083651</v>
      </c>
      <c r="G72" s="26">
        <f>Ft!D$3*EXP(Ft!D$38*($A72-Ft!D$2)^2)</f>
        <v>1.3128780545858296</v>
      </c>
      <c r="H72" s="26">
        <f>Ft!E$3*EXP(Ft!E$38*($A72-Ft!E$2)^2)</f>
        <v>1.0047361435465699E-5</v>
      </c>
      <c r="I72" s="26">
        <f>Ft!F$3*EXP(Ft!F$38*($A72-Ft!F$2)^2)</f>
        <v>2.7868578372147583E-101</v>
      </c>
      <c r="J72" s="26">
        <f>Ft!G$3*EXP(Ft!G$38*($A72-Ft!G$2)^2)</f>
        <v>0</v>
      </c>
    </row>
    <row r="73" spans="1:10">
      <c r="A73" s="19">
        <v>71</v>
      </c>
      <c r="B73" s="28">
        <v>5.7081216887532094</v>
      </c>
      <c r="C73" s="27">
        <f ca="1">OFFSET($B73,1*(ROWS(C$2:C73)-1),0)</f>
        <v>17.665299644178816</v>
      </c>
      <c r="D73" s="26">
        <f>Ft!B$3*EXP(Ft!B$38*($A73-Ft!B$2)^2) +Ft!C$3*EXP(Ft!C$38*($A73-Ft!C$2)^2) + Ft!D$3*EXP(Ft!D$38*($A73-Ft!D$2)^2)+Ft!E$3*EXP(Ft!E$38*($A73-Ft!E$2)^2) +Ft!F$3*EXP(Ft!F$38*($A73-Ft!F$2)^2) + Ft!G$3*EXP(Ft!G$38*($A73-Ft!G$2)^2)</f>
        <v>9.0015183188616703</v>
      </c>
      <c r="E73" s="26">
        <f>Ft!B$3*EXP(Ft!B$38*($A73-Ft!B$2)^2)</f>
        <v>1.3935950749076924</v>
      </c>
      <c r="F73" s="26">
        <f>Ft!C$3*EXP(Ft!C$38*($A73-Ft!C$2)^2)</f>
        <v>6.2767910117268579</v>
      </c>
      <c r="G73" s="26">
        <f>Ft!D$3*EXP(Ft!D$38*($A73-Ft!D$2)^2)</f>
        <v>1.3311217972456642</v>
      </c>
      <c r="H73" s="26">
        <f>Ft!E$3*EXP(Ft!E$38*($A73-Ft!E$2)^2)</f>
        <v>1.0434981454822294E-5</v>
      </c>
      <c r="I73" s="26">
        <f>Ft!F$3*EXP(Ft!F$38*($A73-Ft!F$2)^2)</f>
        <v>4.5974734427748373E-101</v>
      </c>
      <c r="J73" s="26">
        <f>Ft!G$3*EXP(Ft!G$38*($A73-Ft!G$2)^2)</f>
        <v>0</v>
      </c>
    </row>
    <row r="74" spans="1:10">
      <c r="A74" s="19">
        <v>72</v>
      </c>
      <c r="B74" s="28">
        <v>5.8714795976146945</v>
      </c>
      <c r="C74" s="27">
        <f ca="1">OFFSET($B74,1*(ROWS(C$2:C74)-1),0)</f>
        <v>18.041167608967839</v>
      </c>
      <c r="D74" s="26">
        <f>Ft!B$3*EXP(Ft!B$38*($A74-Ft!B$2)^2) +Ft!C$3*EXP(Ft!C$38*($A74-Ft!C$2)^2) + Ft!D$3*EXP(Ft!D$38*($A74-Ft!D$2)^2)+Ft!E$3*EXP(Ft!E$38*($A74-Ft!E$2)^2) +Ft!F$3*EXP(Ft!F$38*($A74-Ft!F$2)^2) + Ft!G$3*EXP(Ft!G$38*($A74-Ft!G$2)^2)</f>
        <v>8.9998790256396433</v>
      </c>
      <c r="E74" s="26">
        <f>Ft!B$3*EXP(Ft!B$38*($A74-Ft!B$2)^2)</f>
        <v>1.3047189347492965</v>
      </c>
      <c r="F74" s="26">
        <f>Ft!C$3*EXP(Ft!C$38*($A74-Ft!C$2)^2)</f>
        <v>6.3455787043220262</v>
      </c>
      <c r="G74" s="26">
        <f>Ft!D$3*EXP(Ft!D$38*($A74-Ft!D$2)^2)</f>
        <v>1.3495705495582866</v>
      </c>
      <c r="H74" s="26">
        <f>Ft!E$3*EXP(Ft!E$38*($A74-Ft!E$2)^2)</f>
        <v>1.0837010033727047E-5</v>
      </c>
      <c r="I74" s="26">
        <f>Ft!F$3*EXP(Ft!F$38*($A74-Ft!F$2)^2)</f>
        <v>7.580362279663227E-101</v>
      </c>
      <c r="J74" s="26">
        <f>Ft!G$3*EXP(Ft!G$38*($A74-Ft!G$2)^2)</f>
        <v>0</v>
      </c>
    </row>
    <row r="75" spans="1:10">
      <c r="A75" s="19">
        <v>73</v>
      </c>
      <c r="B75" s="28">
        <v>6.0299192346290624</v>
      </c>
      <c r="C75" s="27">
        <f ca="1">OFFSET($B75,1*(ROWS(C$2:C75)-1),0)</f>
        <v>18.406214207687611</v>
      </c>
      <c r="D75" s="26">
        <f>Ft!B$3*EXP(Ft!B$38*($A75-Ft!B$2)^2) +Ft!C$3*EXP(Ft!C$38*($A75-Ft!C$2)^2) + Ft!D$3*EXP(Ft!D$38*($A75-Ft!D$2)^2)+Ft!E$3*EXP(Ft!E$38*($A75-Ft!E$2)^2) +Ft!F$3*EXP(Ft!F$38*($A75-Ft!F$2)^2) + Ft!G$3*EXP(Ft!G$38*($A75-Ft!G$2)^2)</f>
        <v>9.0007430038627145</v>
      </c>
      <c r="E75" s="26">
        <f>Ft!B$3*EXP(Ft!B$38*($A75-Ft!B$2)^2)</f>
        <v>1.2184272339608484</v>
      </c>
      <c r="F75" s="26">
        <f>Ft!C$3*EXP(Ft!C$38*($A75-Ft!C$2)^2)</f>
        <v>6.4140786983592237</v>
      </c>
      <c r="G75" s="26">
        <f>Ft!D$3*EXP(Ft!D$38*($A75-Ft!D$2)^2)</f>
        <v>1.3682258175816064</v>
      </c>
      <c r="H75" s="26">
        <f>Ft!E$3*EXP(Ft!E$38*($A75-Ft!E$2)^2)</f>
        <v>1.1253961036300923E-5</v>
      </c>
      <c r="I75" s="26">
        <f>Ft!F$3*EXP(Ft!F$38*($A75-Ft!F$2)^2)</f>
        <v>1.249185726002451E-100</v>
      </c>
      <c r="J75" s="26">
        <f>Ft!G$3*EXP(Ft!G$38*($A75-Ft!G$2)^2)</f>
        <v>0</v>
      </c>
    </row>
    <row r="76" spans="1:10">
      <c r="A76" s="19">
        <v>74</v>
      </c>
      <c r="B76" s="28">
        <v>6.178612119866159</v>
      </c>
      <c r="C76" s="27">
        <f ca="1">OFFSET($B76,1*(ROWS(C$2:C76)-1),0)</f>
        <v>18.771690158042844</v>
      </c>
      <c r="D76" s="26">
        <f>Ft!B$3*EXP(Ft!B$38*($A76-Ft!B$2)^2) +Ft!C$3*EXP(Ft!C$38*($A76-Ft!C$2)^2) + Ft!D$3*EXP(Ft!D$38*($A76-Ft!D$2)^2)+Ft!E$3*EXP(Ft!E$38*($A76-Ft!E$2)^2) +Ft!F$3*EXP(Ft!F$38*($A76-Ft!F$2)^2) + Ft!G$3*EXP(Ft!G$38*($A76-Ft!G$2)^2)</f>
        <v>9.0043366261384943</v>
      </c>
      <c r="E76" s="26">
        <f>Ft!B$3*EXP(Ft!B$38*($A76-Ft!B$2)^2)</f>
        <v>1.134970308928188</v>
      </c>
      <c r="F76" s="26">
        <f>Ft!C$3*EXP(Ft!C$38*($A76-Ft!C$2)^2)</f>
        <v>6.4822655250454719</v>
      </c>
      <c r="G76" s="26">
        <f>Ft!D$3*EXP(Ft!D$38*($A76-Ft!D$2)^2)</f>
        <v>1.3870891057990196</v>
      </c>
      <c r="H76" s="26">
        <f>Ft!E$3*EXP(Ft!E$38*($A76-Ft!E$2)^2)</f>
        <v>1.1686365814020761E-5</v>
      </c>
      <c r="I76" s="26">
        <f>Ft!F$3*EXP(Ft!F$38*($A76-Ft!F$2)^2)</f>
        <v>2.0574551778751689E-100</v>
      </c>
      <c r="J76" s="26">
        <f>Ft!G$3*EXP(Ft!G$38*($A76-Ft!G$2)^2)</f>
        <v>0</v>
      </c>
    </row>
    <row r="77" spans="1:10">
      <c r="A77" s="19">
        <v>75</v>
      </c>
      <c r="B77" s="28">
        <v>6.3337201953216038</v>
      </c>
      <c r="C77" s="27">
        <f ca="1">OFFSET($B77,1*(ROWS(C$2:C77)-1),0)</f>
        <v>19.124989979269742</v>
      </c>
      <c r="D77" s="26">
        <f>Ft!B$3*EXP(Ft!B$38*($A77-Ft!B$2)^2) +Ft!C$3*EXP(Ft!C$38*($A77-Ft!C$2)^2) + Ft!D$3*EXP(Ft!D$38*($A77-Ft!D$2)^2)+Ft!E$3*EXP(Ft!E$38*($A77-Ft!E$2)^2) +Ft!F$3*EXP(Ft!F$38*($A77-Ft!F$2)^2) + Ft!G$3*EXP(Ft!G$38*($A77-Ft!G$2)^2)</f>
        <v>9.0108485683978987</v>
      </c>
      <c r="E77" s="26">
        <f>Ft!B$3*EXP(Ft!B$38*($A77-Ft!B$2)^2)</f>
        <v>1.0545609206396616</v>
      </c>
      <c r="F77" s="26">
        <f>Ft!C$3*EXP(Ft!C$38*($A77-Ft!C$2)^2)</f>
        <v>6.5501135961045938</v>
      </c>
      <c r="G77" s="26">
        <f>Ft!D$3*EXP(Ft!D$38*($A77-Ft!D$2)^2)</f>
        <v>1.4061619168798745</v>
      </c>
      <c r="H77" s="26">
        <f>Ft!E$3*EXP(Ft!E$38*($A77-Ft!E$2)^2)</f>
        <v>1.2134773769495838E-5</v>
      </c>
      <c r="I77" s="26">
        <f>Ft!F$3*EXP(Ft!F$38*($A77-Ft!F$2)^2)</f>
        <v>3.386882039701925E-100</v>
      </c>
      <c r="J77" s="26">
        <f>Ft!G$3*EXP(Ft!G$38*($A77-Ft!G$2)^2)</f>
        <v>0</v>
      </c>
    </row>
    <row r="78" spans="1:10">
      <c r="A78" s="19">
        <v>76</v>
      </c>
      <c r="B78" s="28">
        <v>6.4864274404777689</v>
      </c>
      <c r="C78" s="27">
        <f ca="1">OFFSET($B78,1*(ROWS(C$2:C78)-1),0)</f>
        <v>19.510738182804175</v>
      </c>
      <c r="D78" s="26">
        <f>Ft!B$3*EXP(Ft!B$38*($A78-Ft!B$2)^2) +Ft!C$3*EXP(Ft!C$38*($A78-Ft!C$2)^2) + Ft!D$3*EXP(Ft!D$38*($A78-Ft!D$2)^2)+Ft!E$3*EXP(Ft!E$38*($A78-Ft!E$2)^2) +Ft!F$3*EXP(Ft!F$38*($A78-Ft!F$2)^2) + Ft!G$3*EXP(Ft!G$38*($A78-Ft!G$2)^2)</f>
        <v>9.0204303240457655</v>
      </c>
      <c r="E78" s="26">
        <f>Ft!B$3*EXP(Ft!B$38*($A78-Ft!B$2)^2)</f>
        <v>0.97737475364344162</v>
      </c>
      <c r="F78" s="26">
        <f>Ft!C$3*EXP(Ft!C$38*($A78-Ft!C$2)^2)</f>
        <v>6.6175972192124357</v>
      </c>
      <c r="G78" s="26">
        <f>Ft!D$3*EXP(Ft!D$38*($A78-Ft!D$2)^2)</f>
        <v>1.4254457514369523</v>
      </c>
      <c r="H78" s="26">
        <f>Ft!E$3*EXP(Ft!E$38*($A78-Ft!E$2)^2)</f>
        <v>1.2599752937290601E-5</v>
      </c>
      <c r="I78" s="26">
        <f>Ft!F$3*EXP(Ft!F$38*($A78-Ft!F$2)^2)</f>
        <v>5.5723203756472105E-100</v>
      </c>
      <c r="J78" s="26">
        <f>Ft!G$3*EXP(Ft!G$38*($A78-Ft!G$2)^2)</f>
        <v>0</v>
      </c>
    </row>
    <row r="79" spans="1:10">
      <c r="A79" s="19">
        <v>77</v>
      </c>
      <c r="B79" s="28">
        <v>6.6234343387646391</v>
      </c>
      <c r="C79" s="27">
        <f ca="1">OFFSET($B79,1*(ROWS(C$2:C79)-1),0)</f>
        <v>19.896422495919637</v>
      </c>
      <c r="D79" s="26">
        <f>Ft!B$3*EXP(Ft!B$38*($A79-Ft!B$2)^2) +Ft!C$3*EXP(Ft!C$38*($A79-Ft!C$2)^2) + Ft!D$3*EXP(Ft!D$38*($A79-Ft!D$2)^2)+Ft!E$3*EXP(Ft!E$38*($A79-Ft!E$2)^2) +Ft!F$3*EXP(Ft!F$38*($A79-Ft!F$2)^2) + Ft!G$3*EXP(Ft!G$38*($A79-Ft!G$2)^2)</f>
        <v>9.0331971346548237</v>
      </c>
      <c r="E79" s="26">
        <f>Ft!B$3*EXP(Ft!B$38*($A79-Ft!B$2)^2)</f>
        <v>0.90355133130346976</v>
      </c>
      <c r="F79" s="26">
        <f>Ft!C$3*EXP(Ft!C$38*($A79-Ft!C$2)^2)</f>
        <v>6.6846906136797868</v>
      </c>
      <c r="G79" s="26">
        <f>Ft!D$3*EXP(Ft!D$38*($A79-Ft!D$2)^2)</f>
        <v>1.4449421077809861</v>
      </c>
      <c r="H79" s="26">
        <f>Ft!E$3*EXP(Ft!E$38*($A79-Ft!E$2)^2)</f>
        <v>1.3081890582269452E-5</v>
      </c>
      <c r="I79" s="26">
        <f>Ft!F$3*EXP(Ft!F$38*($A79-Ft!F$2)^2)</f>
        <v>9.1630151197232105E-100</v>
      </c>
      <c r="J79" s="26">
        <f>Ft!G$3*EXP(Ft!G$38*($A79-Ft!G$2)^2)</f>
        <v>0</v>
      </c>
    </row>
    <row r="80" spans="1:10">
      <c r="A80" s="19">
        <v>78</v>
      </c>
      <c r="B80" s="28">
        <v>6.7686960378715071</v>
      </c>
      <c r="C80" s="27">
        <f ca="1">OFFSET($B80,1*(ROWS(C$2:C80)-1),0)</f>
        <v>20.285245962246563</v>
      </c>
      <c r="D80" s="26">
        <f>Ft!B$3*EXP(Ft!B$38*($A80-Ft!B$2)^2) +Ft!C$3*EXP(Ft!C$38*($A80-Ft!C$2)^2) + Ft!D$3*EXP(Ft!D$38*($A80-Ft!D$2)^2)+Ft!E$3*EXP(Ft!E$38*($A80-Ft!E$2)^2) +Ft!F$3*EXP(Ft!F$38*($A80-Ft!F$2)^2) + Ft!G$3*EXP(Ft!G$38*($A80-Ft!G$2)^2)</f>
        <v>9.0492292943858388</v>
      </c>
      <c r="E80" s="26">
        <f>Ft!B$3*EXP(Ft!B$38*($A80-Ft!B$2)^2)</f>
        <v>0.83319530454954205</v>
      </c>
      <c r="F80" s="26">
        <f>Ft!C$3*EXP(Ft!C$38*($A80-Ft!C$2)^2)</f>
        <v>6.7513679263702624</v>
      </c>
      <c r="G80" s="26">
        <f>Ft!D$3*EXP(Ft!D$38*($A80-Ft!D$2)^2)</f>
        <v>1.4646524816722186</v>
      </c>
      <c r="H80" s="26">
        <f>Ft!E$3*EXP(Ft!E$38*($A80-Ft!E$2)^2)</f>
        <v>1.3581793815951649E-5</v>
      </c>
      <c r="I80" s="26">
        <f>Ft!F$3*EXP(Ft!F$38*($A80-Ft!F$2)^2)</f>
        <v>1.5059378435733452E-99</v>
      </c>
      <c r="J80" s="26">
        <f>Ft!G$3*EXP(Ft!G$38*($A80-Ft!G$2)^2)</f>
        <v>0</v>
      </c>
    </row>
    <row r="81" spans="1:10">
      <c r="A81" s="19">
        <v>79</v>
      </c>
      <c r="B81" s="28">
        <v>6.9018393749587688</v>
      </c>
      <c r="C81" s="27">
        <f ca="1">OFFSET($B81,1*(ROWS(C$2:C81)-1),0)</f>
        <v>20.67976577465339</v>
      </c>
      <c r="D81" s="26">
        <f>Ft!B$3*EXP(Ft!B$38*($A81-Ft!B$2)^2) +Ft!C$3*EXP(Ft!C$38*($A81-Ft!C$2)^2) + Ft!D$3*EXP(Ft!D$38*($A81-Ft!D$2)^2)+Ft!E$3*EXP(Ft!E$38*($A81-Ft!E$2)^2) +Ft!F$3*EXP(Ft!F$38*($A81-Ft!F$2)^2) + Ft!G$3*EXP(Ft!G$38*($A81-Ft!G$2)^2)</f>
        <v>9.0685737820470198</v>
      </c>
      <c r="E81" s="26">
        <f>Ft!B$3*EXP(Ft!B$38*($A81-Ft!B$2)^2)</f>
        <v>0.76637806804778585</v>
      </c>
      <c r="F81" s="26">
        <f>Ft!C$3*EXP(Ft!C$38*($A81-Ft!C$2)^2)</f>
        <v>6.8176032478399735</v>
      </c>
      <c r="G81" s="26">
        <f>Ft!D$3*EXP(Ft!D$38*($A81-Ft!D$2)^2)</f>
        <v>1.4845783660690284</v>
      </c>
      <c r="H81" s="26">
        <f>Ft!E$3*EXP(Ft!E$38*($A81-Ft!E$2)^2)</f>
        <v>1.4100090231376995E-5</v>
      </c>
      <c r="I81" s="26">
        <f>Ft!F$3*EXP(Ft!F$38*($A81-Ft!F$2)^2)</f>
        <v>2.4736714090703138E-99</v>
      </c>
      <c r="J81" s="26">
        <f>Ft!G$3*EXP(Ft!G$38*($A81-Ft!G$2)^2)</f>
        <v>0</v>
      </c>
    </row>
    <row r="82" spans="1:10">
      <c r="A82" s="19">
        <v>80</v>
      </c>
      <c r="B82" s="28">
        <v>7.0641778348127104</v>
      </c>
      <c r="C82" s="27">
        <f ca="1">OFFSET($B82,1*(ROWS(C$2:C82)-1),0)</f>
        <v>21.070432870060131</v>
      </c>
      <c r="D82" s="26">
        <f>Ft!B$3*EXP(Ft!B$38*($A82-Ft!B$2)^2) +Ft!C$3*EXP(Ft!C$38*($A82-Ft!C$2)^2) + Ft!D$3*EXP(Ft!D$38*($A82-Ft!D$2)^2)+Ft!E$3*EXP(Ft!E$38*($A82-Ft!E$2)^2) +Ft!F$3*EXP(Ft!F$38*($A82-Ft!F$2)^2) + Ft!G$3*EXP(Ft!G$38*($A82-Ft!G$2)^2)</f>
        <v>9.0912461725690097</v>
      </c>
      <c r="E82" s="26">
        <f>Ft!B$3*EXP(Ft!B$38*($A82-Ft!B$2)^2)</f>
        <v>0.70313965558140779</v>
      </c>
      <c r="F82" s="26">
        <f>Ft!C$3*EXP(Ft!C$38*($A82-Ft!C$2)^2)</f>
        <v>6.8833706286854266</v>
      </c>
      <c r="G82" s="26">
        <f>Ft!D$3*EXP(Ft!D$38*($A82-Ft!D$2)^2)</f>
        <v>1.504721250873619</v>
      </c>
      <c r="H82" s="26">
        <f>Ft!E$3*EXP(Ft!E$38*($A82-Ft!E$2)^2)</f>
        <v>1.4637428556995124E-5</v>
      </c>
      <c r="I82" s="26">
        <f>Ft!F$3*EXP(Ft!F$38*($A82-Ft!F$2)^2)</f>
        <v>4.0610963231630422E-99</v>
      </c>
      <c r="J82" s="26">
        <f>Ft!G$3*EXP(Ft!G$38*($A82-Ft!G$2)^2)</f>
        <v>0</v>
      </c>
    </row>
    <row r="83" spans="1:10">
      <c r="A83" s="19">
        <v>81</v>
      </c>
      <c r="B83" s="28">
        <v>7.2316837788396811</v>
      </c>
      <c r="C83" s="27">
        <f ca="1">OFFSET($B83,1*(ROWS(C$2:C83)-1),0)</f>
        <v>21.47195862469394</v>
      </c>
      <c r="D83" s="26">
        <f>Ft!B$3*EXP(Ft!B$38*($A83-Ft!B$2)^2) +Ft!C$3*EXP(Ft!C$38*($A83-Ft!C$2)^2) + Ft!D$3*EXP(Ft!D$38*($A83-Ft!D$2)^2)+Ft!E$3*EXP(Ft!E$38*($A83-Ft!E$2)^2) +Ft!F$3*EXP(Ft!F$38*($A83-Ft!F$2)^2) + Ft!G$3*EXP(Ft!G$38*($A83-Ft!G$2)^2)</f>
        <v>9.1172327786304397</v>
      </c>
      <c r="E83" s="26">
        <f>Ft!B$3*EXP(Ft!B$38*($A83-Ft!B$2)^2)</f>
        <v>0.64349086539056422</v>
      </c>
      <c r="F83" s="26">
        <f>Ft!C$3*EXP(Ft!C$38*($A83-Ft!C$2)^2)</f>
        <v>6.9486440960857374</v>
      </c>
      <c r="G83" s="26">
        <f>Ft!D$3*EXP(Ft!D$38*($A83-Ft!D$2)^2)</f>
        <v>1.5250826226748087</v>
      </c>
      <c r="H83" s="26">
        <f>Ft!E$3*EXP(Ft!E$38*($A83-Ft!E$2)^2)</f>
        <v>1.5194479330104029E-5</v>
      </c>
      <c r="I83" s="26">
        <f>Ft!F$3*EXP(Ft!F$38*($A83-Ft!F$2)^2)</f>
        <v>6.663630232937915E-99</v>
      </c>
      <c r="J83" s="26">
        <f>Ft!G$3*EXP(Ft!G$38*($A83-Ft!G$2)^2)</f>
        <v>0</v>
      </c>
    </row>
    <row r="84" spans="1:10">
      <c r="A84" s="19">
        <v>82</v>
      </c>
      <c r="B84" s="28">
        <v>7.3964267172944176</v>
      </c>
      <c r="C84" s="27">
        <f ca="1">OFFSET($B84,1*(ROWS(C$2:C84)-1),0)</f>
        <v>21.870875198535799</v>
      </c>
      <c r="D84" s="26">
        <f>Ft!B$3*EXP(Ft!B$38*($A84-Ft!B$2)^2) +Ft!C$3*EXP(Ft!C$38*($A84-Ft!C$2)^2) + Ft!D$3*EXP(Ft!D$38*($A84-Ft!D$2)^2)+Ft!E$3*EXP(Ft!E$38*($A84-Ft!E$2)^2) +Ft!F$3*EXP(Ft!F$38*($A84-Ft!F$2)^2) + Ft!G$3*EXP(Ft!G$38*($A84-Ft!G$2)^2)</f>
        <v>9.1464929731617683</v>
      </c>
      <c r="E84" s="26">
        <f>Ft!B$3*EXP(Ft!B$38*($A84-Ft!B$2)^2)</f>
        <v>0.58741556621340152</v>
      </c>
      <c r="F84" s="26">
        <f>Ft!C$3*EXP(Ft!C$38*($A84-Ft!C$2)^2)</f>
        <v>7.0133976705248671</v>
      </c>
      <c r="G84" s="26">
        <f>Ft!D$3*EXP(Ft!D$38*($A84-Ft!D$2)^2)</f>
        <v>1.5456639644879098</v>
      </c>
      <c r="H84" s="26">
        <f>Ft!E$3*EXP(Ft!E$38*($A84-Ft!E$2)^2)</f>
        <v>1.5771935590376553E-5</v>
      </c>
      <c r="I84" s="26">
        <f>Ft!F$3*EXP(Ft!F$38*($A84-Ft!F$2)^2)</f>
        <v>1.0928103711195247E-98</v>
      </c>
      <c r="J84" s="26">
        <f>Ft!G$3*EXP(Ft!G$38*($A84-Ft!G$2)^2)</f>
        <v>0</v>
      </c>
    </row>
    <row r="85" spans="1:10">
      <c r="A85" s="19">
        <v>83</v>
      </c>
      <c r="B85" s="28">
        <v>7.5441696910785652</v>
      </c>
      <c r="C85" s="27">
        <f ca="1">OFFSET($B85,1*(ROWS(C$2:C85)-1),0)</f>
        <v>22.244750409105109</v>
      </c>
      <c r="D85" s="26">
        <f>Ft!B$3*EXP(Ft!B$38*($A85-Ft!B$2)^2) +Ft!C$3*EXP(Ft!C$38*($A85-Ft!C$2)^2) + Ft!D$3*EXP(Ft!D$38*($A85-Ft!D$2)^2)+Ft!E$3*EXP(Ft!E$38*($A85-Ft!E$2)^2) +Ft!F$3*EXP(Ft!F$38*($A85-Ft!F$2)^2) + Ft!G$3*EXP(Ft!G$38*($A85-Ft!G$2)^2)</f>
        <v>9.1789616444008129</v>
      </c>
      <c r="E85" s="26">
        <f>Ft!B$3*EXP(Ft!B$38*($A85-Ft!B$2)^2)</f>
        <v>0.53487313571621942</v>
      </c>
      <c r="F85" s="26">
        <f>Ft!C$3*EXP(Ft!C$38*($A85-Ft!C$2)^2)</f>
        <v>7.0776053826792547</v>
      </c>
      <c r="G85" s="26">
        <f>Ft!D$3*EXP(Ft!D$38*($A85-Ft!D$2)^2)</f>
        <v>1.5664667554917451</v>
      </c>
      <c r="H85" s="26">
        <f>Ft!E$3*EXP(Ft!E$38*($A85-Ft!E$2)^2)</f>
        <v>1.6370513594027198E-5</v>
      </c>
      <c r="I85" s="26">
        <f>Ft!F$3*EXP(Ft!F$38*($A85-Ft!F$2)^2)</f>
        <v>1.7912039756937015E-98</v>
      </c>
      <c r="J85" s="26">
        <f>Ft!G$3*EXP(Ft!G$38*($A85-Ft!G$2)^2)</f>
        <v>0</v>
      </c>
    </row>
    <row r="86" spans="1:10">
      <c r="A86" s="19">
        <v>84</v>
      </c>
      <c r="B86" s="28">
        <v>7.7141521591006494</v>
      </c>
      <c r="C86" s="27">
        <f ca="1">OFFSET($B86,1*(ROWS(C$2:C86)-1),0)</f>
        <v>22.645533232781503</v>
      </c>
      <c r="D86" s="26">
        <f>Ft!B$3*EXP(Ft!B$38*($A86-Ft!B$2)^2) +Ft!C$3*EXP(Ft!C$38*($A86-Ft!C$2)^2) + Ft!D$3*EXP(Ft!D$38*($A86-Ft!D$2)^2)+Ft!E$3*EXP(Ft!E$38*($A86-Ft!E$2)^2) +Ft!F$3*EXP(Ft!F$38*($A86-Ft!F$2)^2) + Ft!G$3*EXP(Ft!G$38*($A86-Ft!G$2)^2)</f>
        <v>9.2145517369736947</v>
      </c>
      <c r="E86" s="26">
        <f>Ft!B$3*EXP(Ft!B$38*($A86-Ft!B$2)^2)</f>
        <v>0.48580098480146777</v>
      </c>
      <c r="F86" s="26">
        <f>Ft!C$3*EXP(Ft!C$38*($A86-Ft!C$2)^2)</f>
        <v>7.1412412904558815</v>
      </c>
      <c r="G86" s="26">
        <f>Ft!D$3*EXP(Ft!D$38*($A86-Ft!D$2)^2)</f>
        <v>1.5874924707627951</v>
      </c>
      <c r="H86" s="26">
        <f>Ft!E$3*EXP(Ft!E$38*($A86-Ft!E$2)^2)</f>
        <v>1.6990953549184384E-5</v>
      </c>
      <c r="I86" s="26">
        <f>Ft!F$3*EXP(Ft!F$38*($A86-Ft!F$2)^2)</f>
        <v>2.9343478767446854E-98</v>
      </c>
      <c r="J86" s="26">
        <f>Ft!G$3*EXP(Ft!G$38*($A86-Ft!G$2)^2)</f>
        <v>0</v>
      </c>
    </row>
    <row r="87" spans="1:10">
      <c r="A87" s="19">
        <v>85</v>
      </c>
      <c r="B87" s="28">
        <v>7.8827262081648257</v>
      </c>
      <c r="C87" s="27">
        <f ca="1">OFFSET($B87,1*(ROWS(C$2:C87)-1),0)</f>
        <v>23.02990260638478</v>
      </c>
      <c r="D87" s="26">
        <f>Ft!B$3*EXP(Ft!B$38*($A87-Ft!B$2)^2) +Ft!C$3*EXP(Ft!C$38*($A87-Ft!C$2)^2) + Ft!D$3*EXP(Ft!D$38*($A87-Ft!D$2)^2)+Ft!E$3*EXP(Ft!E$38*($A87-Ft!E$2)^2) +Ft!F$3*EXP(Ft!F$38*($A87-Ft!F$2)^2) + Ft!G$3*EXP(Ft!G$38*($A87-Ft!G$2)^2)</f>
        <v>9.2531568350197713</v>
      </c>
      <c r="E87" s="26">
        <f>Ft!B$3*EXP(Ft!B$38*($A87-Ft!B$2)^2)</f>
        <v>0.44011712382739054</v>
      </c>
      <c r="F87" s="26">
        <f>Ft!C$3*EXP(Ft!C$38*($A87-Ft!C$2)^2)</f>
        <v>7.2042794961654959</v>
      </c>
      <c r="G87" s="26">
        <f>Ft!D$3*EXP(Ft!D$38*($A87-Ft!D$2)^2)</f>
        <v>1.6087425810065106</v>
      </c>
      <c r="H87" s="26">
        <f>Ft!E$3*EXP(Ft!E$38*($A87-Ft!E$2)^2)</f>
        <v>1.7634020373048664E-5</v>
      </c>
      <c r="I87" s="26">
        <f>Ft!F$3*EXP(Ft!F$38*($A87-Ft!F$2)^2)</f>
        <v>4.8044587973787386E-98</v>
      </c>
      <c r="J87" s="26">
        <f>Ft!G$3*EXP(Ft!G$38*($A87-Ft!G$2)^2)</f>
        <v>0</v>
      </c>
    </row>
    <row r="88" spans="1:10">
      <c r="A88" s="19">
        <v>86</v>
      </c>
      <c r="B88" s="28">
        <v>7.992637002132966</v>
      </c>
      <c r="C88" s="27">
        <f ca="1">OFFSET($B88,1*(ROWS(C$2:C88)-1),0)</f>
        <v>23.408598188949128</v>
      </c>
      <c r="D88" s="26">
        <f>Ft!B$3*EXP(Ft!B$38*($A88-Ft!B$2)^2) +Ft!C$3*EXP(Ft!C$38*($A88-Ft!C$2)^2) + Ft!D$3*EXP(Ft!D$38*($A88-Ft!D$2)^2)+Ft!E$3*EXP(Ft!E$38*($A88-Ft!E$2)^2) +Ft!F$3*EXP(Ft!F$38*($A88-Ft!F$2)^2) + Ft!G$3*EXP(Ft!G$38*($A88-Ft!G$2)^2)</f>
        <v>9.2946537465492636</v>
      </c>
      <c r="E88" s="26">
        <f>Ft!B$3*EXP(Ft!B$38*($A88-Ft!B$2)^2)</f>
        <v>0.3977227299435534</v>
      </c>
      <c r="F88" s="26">
        <f>Ft!C$3*EXP(Ft!C$38*($A88-Ft!C$2)^2)</f>
        <v>7.2666941638154414</v>
      </c>
      <c r="G88" s="26">
        <f>Ft!D$3*EXP(Ft!D$38*($A88-Ft!D$2)^2)</f>
        <v>1.6302185522857962</v>
      </c>
      <c r="H88" s="26">
        <f>Ft!E$3*EXP(Ft!E$38*($A88-Ft!E$2)^2)</f>
        <v>1.830050447142961E-5</v>
      </c>
      <c r="I88" s="26">
        <f>Ft!F$3*EXP(Ft!F$38*($A88-Ft!F$2)^2)</f>
        <v>7.8621923632990074E-98</v>
      </c>
      <c r="J88" s="26">
        <f>Ft!G$3*EXP(Ft!G$38*($A88-Ft!G$2)^2)</f>
        <v>0</v>
      </c>
    </row>
    <row r="89" spans="1:10">
      <c r="A89" s="19">
        <v>87</v>
      </c>
      <c r="B89" s="28">
        <v>8.1120957961436204</v>
      </c>
      <c r="C89" s="27">
        <f ca="1">OFFSET($B89,1*(ROWS(C$2:C89)-1),0)</f>
        <v>23.812698239267917</v>
      </c>
      <c r="D89" s="26">
        <f>Ft!B$3*EXP(Ft!B$38*($A89-Ft!B$2)^2) +Ft!C$3*EXP(Ft!C$38*($A89-Ft!C$2)^2) + Ft!D$3*EXP(Ft!D$38*($A89-Ft!D$2)^2)+Ft!E$3*EXP(Ft!E$38*($A89-Ft!E$2)^2) +Ft!F$3*EXP(Ft!F$38*($A89-Ft!F$2)^2) + Ft!G$3*EXP(Ft!G$38*($A89-Ft!G$2)^2)</f>
        <v>9.338905051893958</v>
      </c>
      <c r="E89" s="26">
        <f>Ft!B$3*EXP(Ft!B$38*($A89-Ft!B$2)^2)</f>
        <v>0.35850467841848443</v>
      </c>
      <c r="F89" s="26">
        <f>Ft!C$3*EXP(Ft!C$38*($A89-Ft!C$2)^2)</f>
        <v>7.3284595365062275</v>
      </c>
      <c r="G89" s="26">
        <f>Ft!D$3*EXP(Ft!D$38*($A89-Ft!D$2)^2)</f>
        <v>1.6519218457467035</v>
      </c>
      <c r="H89" s="26">
        <f>Ft!E$3*EXP(Ft!E$38*($A89-Ft!E$2)^2)</f>
        <v>1.8991222541270685E-5</v>
      </c>
      <c r="I89" s="26">
        <f>Ft!F$3*EXP(Ft!F$38*($A89-Ft!F$2)^2)</f>
        <v>1.2859058621167021E-97</v>
      </c>
      <c r="J89" s="26">
        <f>Ft!G$3*EXP(Ft!G$38*($A89-Ft!G$2)^2)</f>
        <v>0</v>
      </c>
    </row>
    <row r="90" spans="1:10">
      <c r="A90" s="19">
        <v>88</v>
      </c>
      <c r="B90" s="28">
        <v>8.2469018850756015</v>
      </c>
      <c r="C90" s="27">
        <f ca="1">OFFSET($B90,1*(ROWS(C$2:C90)-1),0)</f>
        <v>24.24048730529779</v>
      </c>
      <c r="D90" s="26">
        <f>Ft!B$3*EXP(Ft!B$38*($A90-Ft!B$2)^2) +Ft!C$3*EXP(Ft!C$38*($A90-Ft!C$2)^2) + Ft!D$3*EXP(Ft!D$38*($A90-Ft!D$2)^2)+Ft!E$3*EXP(Ft!E$38*($A90-Ft!E$2)^2) +Ft!F$3*EXP(Ft!F$38*($A90-Ft!F$2)^2) + Ft!G$3*EXP(Ft!G$38*($A90-Ft!G$2)^2)</f>
        <v>9.3857615831600025</v>
      </c>
      <c r="E90" s="26">
        <f>Ft!B$3*EXP(Ft!B$38*($A90-Ft!B$2)^2)</f>
        <v>0.3223380048845027</v>
      </c>
      <c r="F90" s="26">
        <f>Ft!C$3*EXP(Ft!C$38*($A90-Ft!C$2)^2)</f>
        <v>7.3895499539157594</v>
      </c>
      <c r="G90" s="26">
        <f>Ft!D$3*EXP(Ft!D$38*($A90-Ft!D$2)^2)</f>
        <v>1.6738539173413425</v>
      </c>
      <c r="H90" s="26">
        <f>Ft!E$3*EXP(Ft!E$38*($A90-Ft!E$2)^2)</f>
        <v>1.9707018396784109E-5</v>
      </c>
      <c r="I90" s="26">
        <f>Ft!F$3*EXP(Ft!F$38*($A90-Ft!F$2)^2)</f>
        <v>2.102040142299447E-97</v>
      </c>
      <c r="J90" s="26">
        <f>Ft!G$3*EXP(Ft!G$38*($A90-Ft!G$2)^2)</f>
        <v>0</v>
      </c>
    </row>
    <row r="91" spans="1:10">
      <c r="A91" s="19">
        <v>89</v>
      </c>
      <c r="B91" s="28">
        <v>8.3738897956557139</v>
      </c>
      <c r="C91" s="27">
        <f ca="1">OFFSET($B91,1*(ROWS(C$2:C91)-1),0)</f>
        <v>24.67964745736748</v>
      </c>
      <c r="D91" s="26">
        <f>Ft!B$3*EXP(Ft!B$38*($A91-Ft!B$2)^2) +Ft!C$3*EXP(Ft!C$38*($A91-Ft!C$2)^2) + Ft!D$3*EXP(Ft!D$38*($A91-Ft!D$2)^2)+Ft!E$3*EXP(Ft!E$38*($A91-Ft!E$2)^2) +Ft!F$3*EXP(Ft!F$38*($A91-Ft!F$2)^2) + Ft!G$3*EXP(Ft!G$38*($A91-Ft!G$2)^2)</f>
        <v>9.4350648058948483</v>
      </c>
      <c r="E91" s="26">
        <f>Ft!B$3*EXP(Ft!B$38*($A91-Ft!B$2)^2)</f>
        <v>0.2890882697281329</v>
      </c>
      <c r="F91" s="26">
        <f>Ft!C$3*EXP(Ft!C$38*($A91-Ft!C$2)^2)</f>
        <v>7.4499398698548571</v>
      </c>
      <c r="G91" s="26">
        <f>Ft!D$3*EXP(Ft!D$38*($A91-Ft!D$2)^2)</f>
        <v>1.6960162175480382</v>
      </c>
      <c r="H91" s="26">
        <f>Ft!E$3*EXP(Ft!E$38*($A91-Ft!E$2)^2)</f>
        <v>2.0448763819834972E-5</v>
      </c>
      <c r="I91" s="26">
        <f>Ft!F$3*EXP(Ft!F$38*($A91-Ft!F$2)^2)</f>
        <v>3.4343073016496135E-97</v>
      </c>
      <c r="J91" s="26">
        <f>Ft!G$3*EXP(Ft!G$38*($A91-Ft!G$2)^2)</f>
        <v>0</v>
      </c>
    </row>
    <row r="92" spans="1:10">
      <c r="A92" s="19">
        <v>90</v>
      </c>
      <c r="B92" s="28">
        <v>8.5076102389976427</v>
      </c>
      <c r="C92" s="27">
        <f ca="1">OFFSET($B92,1*(ROWS(C$2:C92)-1),0)</f>
        <v>25.087396458903925</v>
      </c>
      <c r="D92" s="26">
        <f>Ft!B$3*EXP(Ft!B$38*($A92-Ft!B$2)^2) +Ft!C$3*EXP(Ft!C$38*($A92-Ft!C$2)^2) + Ft!D$3*EXP(Ft!D$38*($A92-Ft!D$2)^2)+Ft!E$3*EXP(Ft!E$38*($A92-Ft!E$2)^2) +Ft!F$3*EXP(Ft!F$38*($A92-Ft!F$2)^2) + Ft!G$3*EXP(Ft!G$38*($A92-Ft!G$2)^2)</f>
        <v>9.4866490786210491</v>
      </c>
      <c r="E92" s="26">
        <f>Ft!B$3*EXP(Ft!B$38*($A92-Ft!B$2)^2)</f>
        <v>0.25861380029533709</v>
      </c>
      <c r="F92" s="26">
        <f>Ft!C$3*EXP(Ft!C$38*($A92-Ft!C$2)^2)</f>
        <v>7.5096038698775169</v>
      </c>
      <c r="G92" s="26">
        <f>Ft!D$3*EXP(Ft!D$38*($A92-Ft!D$2)^2)</f>
        <v>1.7184101910887597</v>
      </c>
      <c r="H92" s="26">
        <f>Ft!E$3*EXP(Ft!E$38*($A92-Ft!E$2)^2)</f>
        <v>2.1217359435227282E-5</v>
      </c>
      <c r="I92" s="26">
        <f>Ft!F$3*EXP(Ft!F$38*($A92-Ft!F$2)^2)</f>
        <v>5.6079433718875497E-97</v>
      </c>
      <c r="J92" s="26">
        <f>Ft!G$3*EXP(Ft!G$38*($A92-Ft!G$2)^2)</f>
        <v>0</v>
      </c>
    </row>
    <row r="93" spans="1:10">
      <c r="A93" s="19">
        <v>91</v>
      </c>
      <c r="B93" s="28">
        <v>8.6344773123532832</v>
      </c>
      <c r="C93" s="27">
        <f ca="1">OFFSET($B93,1*(ROWS(C$2:C93)-1),0)</f>
        <v>25.513182195821116</v>
      </c>
      <c r="D93" s="26">
        <f>Ft!B$3*EXP(Ft!B$38*($A93-Ft!B$2)^2) +Ft!C$3*EXP(Ft!C$38*($A93-Ft!C$2)^2) + Ft!D$3*EXP(Ft!D$38*($A93-Ft!D$2)^2)+Ft!E$3*EXP(Ft!E$38*($A93-Ft!E$2)^2) +Ft!F$3*EXP(Ft!F$38*($A93-Ft!F$2)^2) + Ft!G$3*EXP(Ft!G$38*($A93-Ft!G$2)^2)</f>
        <v>9.5403437703587208</v>
      </c>
      <c r="E93" s="26">
        <f>Ft!B$3*EXP(Ft!B$38*($A93-Ft!B$2)^2)</f>
        <v>0.23076779105012371</v>
      </c>
      <c r="F93" s="26">
        <f>Ft!C$3*EXP(Ft!C$38*($A93-Ft!C$2)^2)</f>
        <v>7.5685166889291455</v>
      </c>
      <c r="G93" s="26">
        <f>Ft!D$3*EXP(Ft!D$38*($A93-Ft!D$2)^2)</f>
        <v>1.7410372766438409</v>
      </c>
      <c r="H93" s="26">
        <f>Ft!E$3*EXP(Ft!E$38*($A93-Ft!E$2)^2)</f>
        <v>2.201373561156173E-5</v>
      </c>
      <c r="I93" s="26">
        <f>Ft!F$3*EXP(Ft!F$38*($A93-Ft!F$2)^2)</f>
        <v>9.1523876079361287E-97</v>
      </c>
      <c r="J93" s="26">
        <f>Ft!G$3*EXP(Ft!G$38*($A93-Ft!G$2)^2)</f>
        <v>0</v>
      </c>
    </row>
    <row r="94" spans="1:10">
      <c r="A94" s="19">
        <v>92</v>
      </c>
      <c r="B94" s="28">
        <v>8.7885767445847591</v>
      </c>
      <c r="C94" s="27">
        <f ca="1">OFFSET($B94,1*(ROWS(C$2:C94)-1),0)</f>
        <v>25.946852757409033</v>
      </c>
      <c r="D94" s="26">
        <f>Ft!B$3*EXP(Ft!B$38*($A94-Ft!B$2)^2) +Ft!C$3*EXP(Ft!C$38*($A94-Ft!C$2)^2) + Ft!D$3*EXP(Ft!D$38*($A94-Ft!D$2)^2)+Ft!E$3*EXP(Ft!E$38*($A94-Ft!E$2)^2) +Ft!F$3*EXP(Ft!F$38*($A94-Ft!F$2)^2) + Ft!G$3*EXP(Ft!G$38*($A94-Ft!G$2)^2)</f>
        <v>9.595975220657138</v>
      </c>
      <c r="E94" s="26">
        <f>Ft!B$3*EXP(Ft!B$38*($A94-Ft!B$2)^2)</f>
        <v>0.20540024622393152</v>
      </c>
      <c r="F94" s="26">
        <f>Ft!C$3*EXP(Ft!C$38*($A94-Ft!C$2)^2)</f>
        <v>7.6266532290157967</v>
      </c>
      <c r="G94" s="26">
        <f>Ft!D$3*EXP(Ft!D$38*($A94-Ft!D$2)^2)</f>
        <v>1.763898906564022</v>
      </c>
      <c r="H94" s="26">
        <f>Ft!E$3*EXP(Ft!E$38*($A94-Ft!E$2)^2)</f>
        <v>2.2838853388349719E-5</v>
      </c>
      <c r="I94" s="26">
        <f>Ft!F$3*EXP(Ft!F$38*($A94-Ft!F$2)^2)</f>
        <v>1.4929027149104671E-96</v>
      </c>
      <c r="J94" s="26">
        <f>Ft!G$3*EXP(Ft!G$38*($A94-Ft!G$2)^2)</f>
        <v>0</v>
      </c>
    </row>
    <row r="95" spans="1:10">
      <c r="A95" s="19">
        <v>93</v>
      </c>
      <c r="B95" s="28">
        <v>8.9464760474274385</v>
      </c>
      <c r="C95" s="27">
        <f ca="1">OFFSET($B95,1*(ROWS(C$2:C95)-1),0)</f>
        <v>26.388888023433736</v>
      </c>
      <c r="D95" s="26">
        <f>Ft!B$3*EXP(Ft!B$38*($A95-Ft!B$2)^2) +Ft!C$3*EXP(Ft!C$38*($A95-Ft!C$2)^2) + Ft!D$3*EXP(Ft!D$38*($A95-Ft!D$2)^2)+Ft!E$3*EXP(Ft!E$38*($A95-Ft!E$2)^2) +Ft!F$3*EXP(Ft!F$38*($A95-Ft!F$2)^2) + Ft!G$3*EXP(Ft!G$38*($A95-Ft!G$2)^2)</f>
        <v>9.653368530896838</v>
      </c>
      <c r="E95" s="26">
        <f>Ft!B$3*EXP(Ft!B$38*($A95-Ft!B$2)^2)</f>
        <v>0.1823597537342298</v>
      </c>
      <c r="F95" s="26">
        <f>Ft!C$3*EXP(Ft!C$38*($A95-Ft!C$2)^2)</f>
        <v>7.6839885768773337</v>
      </c>
      <c r="G95" s="26">
        <f>Ft!D$3*EXP(Ft!D$38*($A95-Ft!D$2)^2)</f>
        <v>1.786996506579845</v>
      </c>
      <c r="H95" s="26">
        <f>Ft!E$3*EXP(Ft!E$38*($A95-Ft!E$2)^2)</f>
        <v>2.3693705430086658E-5</v>
      </c>
      <c r="I95" s="26">
        <f>Ft!F$3*EXP(Ft!F$38*($A95-Ft!F$2)^2)</f>
        <v>2.4338562819444019E-96</v>
      </c>
      <c r="J95" s="26">
        <f>Ft!G$3*EXP(Ft!G$38*($A95-Ft!G$2)^2)</f>
        <v>0</v>
      </c>
    </row>
    <row r="96" spans="1:10">
      <c r="A96" s="19">
        <v>94</v>
      </c>
      <c r="B96" s="28">
        <v>9.1133830614483031</v>
      </c>
      <c r="C96" s="27">
        <f ca="1">OFFSET($B96,1*(ROWS(C$2:C96)-1),0)</f>
        <v>26.780087100169624</v>
      </c>
      <c r="D96" s="26">
        <f>Ft!B$3*EXP(Ft!B$38*($A96-Ft!B$2)^2) +Ft!C$3*EXP(Ft!C$38*($A96-Ft!C$2)^2) + Ft!D$3*EXP(Ft!D$38*($A96-Ft!D$2)^2)+Ft!E$3*EXP(Ft!E$38*($A96-Ft!E$2)^2) +Ft!F$3*EXP(Ft!F$38*($A96-Ft!F$2)^2) + Ft!G$3*EXP(Ft!G$38*($A96-Ft!G$2)^2)</f>
        <v>9.7123491796320707</v>
      </c>
      <c r="E96" s="26">
        <f>Ft!B$3*EXP(Ft!B$38*($A96-Ft!B$2)^2)</f>
        <v>0.16149508315942354</v>
      </c>
      <c r="F96" s="26">
        <f>Ft!C$3*EXP(Ft!C$38*($A96-Ft!C$2)^2)</f>
        <v>7.7404980216472241</v>
      </c>
      <c r="G96" s="26">
        <f>Ft!D$3*EXP(Ft!D$38*($A96-Ft!D$2)^2)</f>
        <v>1.8103314955084147</v>
      </c>
      <c r="H96" s="26">
        <f>Ft!E$3*EXP(Ft!E$38*($A96-Ft!E$2)^2)</f>
        <v>2.4579317008001534E-5</v>
      </c>
      <c r="I96" s="26">
        <f>Ft!F$3*EXP(Ft!F$38*($A96-Ft!F$2)^2)</f>
        <v>3.9657439490136934E-96</v>
      </c>
      <c r="J96" s="26">
        <f>Ft!G$3*EXP(Ft!G$38*($A96-Ft!G$2)^2)</f>
        <v>0</v>
      </c>
    </row>
    <row r="97" spans="1:10">
      <c r="A97" s="19">
        <v>95</v>
      </c>
      <c r="B97" s="28">
        <v>9.2632725513311698</v>
      </c>
      <c r="C97" s="27">
        <f ca="1">OFFSET($B97,1*(ROWS(C$2:C97)-1),0)</f>
        <v>27.198130802772084</v>
      </c>
      <c r="D97" s="26">
        <f>Ft!B$3*EXP(Ft!B$38*($A97-Ft!B$2)^2) +Ft!C$3*EXP(Ft!C$38*($A97-Ft!C$2)^2) + Ft!D$3*EXP(Ft!D$38*($A97-Ft!D$2)^2)+Ft!E$3*EXP(Ft!E$38*($A97-Ft!E$2)^2) +Ft!F$3*EXP(Ft!F$38*($A97-Ft!F$2)^2) + Ft!G$3*EXP(Ft!G$38*($A97-Ft!G$2)^2)</f>
        <v>9.7727444584584724</v>
      </c>
      <c r="E97" s="26">
        <f>Ft!B$3*EXP(Ft!B$38*($A97-Ft!B$2)^2)</f>
        <v>0.14265660427224772</v>
      </c>
      <c r="F97" s="26">
        <f>Ft!C$3*EXP(Ft!C$38*($A97-Ft!C$2)^2)</f>
        <v>7.7961570724816358</v>
      </c>
      <c r="G97" s="26">
        <f>Ft!D$3*EXP(Ft!D$38*($A97-Ft!D$2)^2)</f>
        <v>1.833905284957579</v>
      </c>
      <c r="H97" s="26">
        <f>Ft!E$3*EXP(Ft!E$38*($A97-Ft!E$2)^2)</f>
        <v>2.5496747010218244E-5</v>
      </c>
      <c r="I97" s="26">
        <f>Ft!F$3*EXP(Ft!F$38*($A97-Ft!F$2)^2)</f>
        <v>6.4583373903371144E-96</v>
      </c>
      <c r="J97" s="26">
        <f>Ft!G$3*EXP(Ft!G$38*($A97-Ft!G$2)^2)</f>
        <v>0</v>
      </c>
    </row>
    <row r="98" spans="1:10">
      <c r="A98" s="19">
        <v>96</v>
      </c>
      <c r="B98" s="28">
        <v>9.4320488532431455</v>
      </c>
      <c r="C98" s="27">
        <f ca="1">OFFSET($B98,1*(ROWS(C$2:C98)-1),0)</f>
        <v>27.641328953002471</v>
      </c>
      <c r="D98" s="26">
        <f>Ft!B$3*EXP(Ft!B$38*($A98-Ft!B$2)^2) +Ft!C$3*EXP(Ft!C$38*($A98-Ft!C$2)^2) + Ft!D$3*EXP(Ft!D$38*($A98-Ft!D$2)^2)+Ft!E$3*EXP(Ft!E$38*($A98-Ft!E$2)^2) +Ft!F$3*EXP(Ft!F$38*($A98-Ft!F$2)^2) + Ft!G$3*EXP(Ft!G$38*($A98-Ft!G$2)^2)</f>
        <v>9.8343847282645598</v>
      </c>
      <c r="E98" s="26">
        <f>Ft!B$3*EXP(Ft!B$38*($A98-Ft!B$2)^2)</f>
        <v>0.12569752600770701</v>
      </c>
      <c r="F98" s="26">
        <f>Ft!C$3*EXP(Ft!C$38*($A98-Ft!C$2)^2)</f>
        <v>7.8509414761403393</v>
      </c>
      <c r="G98" s="26">
        <f>Ft!D$3*EXP(Ft!D$38*($A98-Ft!D$2)^2)</f>
        <v>1.8577192790275319</v>
      </c>
      <c r="H98" s="26">
        <f>Ft!E$3*EXP(Ft!E$38*($A98-Ft!E$2)^2)</f>
        <v>2.6447088981082278E-5</v>
      </c>
      <c r="I98" s="26">
        <f>Ft!F$3*EXP(Ft!F$38*($A98-Ft!F$2)^2)</f>
        <v>1.0511945651182026E-95</v>
      </c>
      <c r="J98" s="26">
        <f>Ft!G$3*EXP(Ft!G$38*($A98-Ft!G$2)^2)</f>
        <v>0</v>
      </c>
    </row>
    <row r="99" spans="1:10">
      <c r="A99" s="19">
        <v>97</v>
      </c>
      <c r="B99" s="28">
        <v>9.6051338966068158</v>
      </c>
      <c r="C99" s="27">
        <f ca="1">OFFSET($B99,1*(ROWS(C$2:C99)-1),0)</f>
        <v>28.066420625154336</v>
      </c>
      <c r="D99" s="26">
        <f>Ft!B$3*EXP(Ft!B$38*($A99-Ft!B$2)^2) +Ft!C$3*EXP(Ft!C$38*($A99-Ft!C$2)^2) + Ft!D$3*EXP(Ft!D$38*($A99-Ft!D$2)^2)+Ft!E$3*EXP(Ft!E$38*($A99-Ft!E$2)^2) +Ft!F$3*EXP(Ft!F$38*($A99-Ft!F$2)^2) + Ft!G$3*EXP(Ft!G$38*($A99-Ft!G$2)^2)</f>
        <v>9.8971044987239747</v>
      </c>
      <c r="E99" s="26">
        <f>Ft!B$3*EXP(Ft!B$38*($A99-Ft!B$2)^2)</f>
        <v>0.11047495874000035</v>
      </c>
      <c r="F99" s="26">
        <f>Ft!C$3*EXP(Ft!C$38*($A99-Ft!C$2)^2)</f>
        <v>7.9048272345018953</v>
      </c>
      <c r="G99" s="26">
        <f>Ft!D$3*EXP(Ft!D$38*($A99-Ft!D$2)^2)</f>
        <v>1.8817748740098883</v>
      </c>
      <c r="H99" s="26">
        <f>Ft!E$3*EXP(Ft!E$38*($A99-Ft!E$2)^2)</f>
        <v>2.7431472190422107E-5</v>
      </c>
      <c r="I99" s="26">
        <f>Ft!F$3*EXP(Ft!F$38*($A99-Ft!F$2)^2)</f>
        <v>1.7100617892431121E-95</v>
      </c>
      <c r="J99" s="26">
        <f>Ft!G$3*EXP(Ft!G$38*($A99-Ft!G$2)^2)</f>
        <v>0</v>
      </c>
    </row>
    <row r="100" spans="1:10">
      <c r="A100" s="19">
        <v>98</v>
      </c>
      <c r="B100" s="28">
        <v>9.7876246534981419</v>
      </c>
      <c r="C100" s="27">
        <f ca="1">OFFSET($B100,1*(ROWS(C$2:C100)-1),0)</f>
        <v>28.511654506547842</v>
      </c>
      <c r="D100" s="26">
        <f>Ft!B$3*EXP(Ft!B$38*($A100-Ft!B$2)^2) +Ft!C$3*EXP(Ft!C$38*($A100-Ft!C$2)^2) + Ft!D$3*EXP(Ft!D$38*($A100-Ft!D$2)^2)+Ft!E$3*EXP(Ft!E$38*($A100-Ft!E$2)^2) +Ft!F$3*EXP(Ft!F$38*($A100-Ft!F$2)^2) + Ft!G$3*EXP(Ft!G$38*($A100-Ft!G$2)^2)</f>
        <v>9.9607433364866846</v>
      </c>
      <c r="E100" s="26">
        <f>Ft!B$3*EXP(Ft!B$38*($A100-Ft!B$2)^2)</f>
        <v>9.6850805344179447E-2</v>
      </c>
      <c r="F100" s="26">
        <f>Ft!C$3*EXP(Ft!C$38*($A100-Ft!C$2)^2)</f>
        <v>7.9577906219955095</v>
      </c>
      <c r="G100" s="26">
        <f>Ft!D$3*EXP(Ft!D$38*($A100-Ft!D$2)^2)</f>
        <v>1.9060734580842618</v>
      </c>
      <c r="H100" s="26">
        <f>Ft!E$3*EXP(Ft!E$38*($A100-Ft!E$2)^2)</f>
        <v>2.8451062733534156E-5</v>
      </c>
      <c r="I100" s="26">
        <f>Ft!F$3*EXP(Ft!F$38*($A100-Ft!F$2)^2)</f>
        <v>2.780397040496888E-95</v>
      </c>
      <c r="J100" s="26">
        <f>Ft!G$3*EXP(Ft!G$38*($A100-Ft!G$2)^2)</f>
        <v>0</v>
      </c>
    </row>
    <row r="101" spans="1:10">
      <c r="A101" s="19">
        <v>99</v>
      </c>
      <c r="B101" s="28">
        <v>9.942575092701702</v>
      </c>
      <c r="C101" s="27">
        <f ca="1">OFFSET($B101,1*(ROWS(C$2:C101)-1),0)</f>
        <v>28.999358702288845</v>
      </c>
      <c r="D101" s="26">
        <f>Ft!B$3*EXP(Ft!B$38*($A101-Ft!B$2)^2) +Ft!C$3*EXP(Ft!C$38*($A101-Ft!C$2)^2) + Ft!D$3*EXP(Ft!D$38*($A101-Ft!D$2)^2)+Ft!E$3*EXP(Ft!E$38*($A101-Ft!E$2)^2) +Ft!F$3*EXP(Ft!F$38*($A101-Ft!F$2)^2) + Ft!G$3*EXP(Ft!G$38*($A101-Ft!G$2)^2)</f>
        <v>10.025146609721867</v>
      </c>
      <c r="E101" s="26">
        <f>Ft!B$3*EXP(Ft!B$38*($A101-Ft!B$2)^2)</f>
        <v>8.4692488712879641E-2</v>
      </c>
      <c r="F101" s="26">
        <f>Ft!C$3*EXP(Ft!C$38*($A101-Ft!C$2)^2)</f>
        <v>8.0098082029319553</v>
      </c>
      <c r="G101" s="26">
        <f>Ft!D$3*EXP(Ft!D$38*($A101-Ft!D$2)^2)</f>
        <v>1.9306164110123702</v>
      </c>
      <c r="H101" s="26">
        <f>Ft!E$3*EXP(Ft!E$38*($A101-Ft!E$2)^2)</f>
        <v>2.9507064662697882E-5</v>
      </c>
      <c r="I101" s="26">
        <f>Ft!F$3*EXP(Ft!F$38*($A101-Ft!F$2)^2)</f>
        <v>4.5182280844983231E-95</v>
      </c>
      <c r="J101" s="26">
        <f>Ft!G$3*EXP(Ft!G$38*($A101-Ft!G$2)^2)</f>
        <v>0</v>
      </c>
    </row>
    <row r="102" spans="1:10">
      <c r="A102" s="19">
        <v>100</v>
      </c>
      <c r="B102" s="28">
        <v>10.099000759053354</v>
      </c>
      <c r="C102" s="27">
        <f ca="1">OFFSET($B102,1*(ROWS(C$2:C102)-1),0)</f>
        <v>29.466522888956916</v>
      </c>
      <c r="D102" s="26">
        <f>Ft!B$3*EXP(Ft!B$38*($A102-Ft!B$2)^2) +Ft!C$3*EXP(Ft!C$38*($A102-Ft!C$2)^2) + Ft!D$3*EXP(Ft!D$38*($A102-Ft!D$2)^2)+Ft!E$3*EXP(Ft!E$38*($A102-Ft!E$2)^2) +Ft!F$3*EXP(Ft!F$38*($A102-Ft!F$2)^2) + Ft!G$3*EXP(Ft!G$38*($A102-Ft!G$2)^2)</f>
        <v>10.090166078454144</v>
      </c>
      <c r="E102" s="26">
        <f>Ft!B$3*EXP(Ft!B$38*($A102-Ft!B$2)^2)</f>
        <v>7.3873525187372058E-2</v>
      </c>
      <c r="F102" s="26">
        <f>Ft!C$3*EXP(Ft!C$38*($A102-Ft!C$2)^2)</f>
        <v>8.0608568487159129</v>
      </c>
      <c r="G102" s="26">
        <f>Ft!D$3*EXP(Ft!D$38*($A102-Ft!D$2)^2)</f>
        <v>1.9554051038297091</v>
      </c>
      <c r="H102" s="26">
        <f>Ft!E$3*EXP(Ft!E$38*($A102-Ft!E$2)^2)</f>
        <v>3.0600721151046416E-5</v>
      </c>
      <c r="I102" s="26">
        <f>Ft!F$3*EXP(Ft!F$38*($A102-Ft!F$2)^2)</f>
        <v>7.3383057467200884E-95</v>
      </c>
      <c r="J102" s="26">
        <f>Ft!G$3*EXP(Ft!G$38*($A102-Ft!G$2)^2)</f>
        <v>0</v>
      </c>
    </row>
    <row r="103" spans="1:10">
      <c r="A103" s="19">
        <v>101</v>
      </c>
      <c r="B103" s="28">
        <v>10.273225602924725</v>
      </c>
      <c r="C103" s="27">
        <f ca="1">OFFSET($B103,1*(ROWS(C$2:C103)-1),0)</f>
        <v>29.900043858489028</v>
      </c>
      <c r="D103" s="26">
        <f>Ft!B$3*EXP(Ft!B$38*($A103-Ft!B$2)^2) +Ft!C$3*EXP(Ft!C$38*($A103-Ft!C$2)^2) + Ft!D$3*EXP(Ft!D$38*($A103-Ft!D$2)^2)+Ft!E$3*EXP(Ft!E$38*($A103-Ft!E$2)^2) +Ft!F$3*EXP(Ft!F$38*($A103-Ft!F$2)^2) + Ft!G$3*EXP(Ft!G$38*($A103-Ft!G$2)^2)</f>
        <v>10.155660341528622</v>
      </c>
      <c r="E103" s="26">
        <f>Ft!B$3*EXP(Ft!B$38*($A103-Ft!B$2)^2)</f>
        <v>6.4273954755980828E-2</v>
      </c>
      <c r="F103" s="26">
        <f>Ft!C$3*EXP(Ft!C$38*($A103-Ft!C$2)^2)</f>
        <v>8.1109137549221213</v>
      </c>
      <c r="G103" s="26">
        <f>Ft!D$3*EXP(Ft!D$38*($A103-Ft!D$2)^2)</f>
        <v>1.9804408985348294</v>
      </c>
      <c r="H103" s="26">
        <f>Ft!E$3*EXP(Ft!E$38*($A103-Ft!E$2)^2)</f>
        <v>3.1733315689638055E-5</v>
      </c>
      <c r="I103" s="26">
        <f>Ft!F$3*EXP(Ft!F$38*($A103-Ft!F$2)^2)</f>
        <v>1.1912139555320011E-94</v>
      </c>
      <c r="J103" s="26">
        <f>Ft!G$3*EXP(Ft!G$38*($A103-Ft!G$2)^2)</f>
        <v>0</v>
      </c>
    </row>
    <row r="104" spans="1:10">
      <c r="A104" s="19">
        <v>102</v>
      </c>
      <c r="B104" s="28">
        <v>10.439505247681268</v>
      </c>
      <c r="C104" s="27">
        <f ca="1">OFFSET($B104,1*(ROWS(C$2:C104)-1),0)</f>
        <v>30.344535046934908</v>
      </c>
      <c r="D104" s="26">
        <f>Ft!B$3*EXP(Ft!B$38*($A104-Ft!B$2)^2) +Ft!C$3*EXP(Ft!C$38*($A104-Ft!C$2)^2) + Ft!D$3*EXP(Ft!D$38*($A104-Ft!D$2)^2)+Ft!E$3*EXP(Ft!E$38*($A104-Ft!E$2)^2) +Ft!F$3*EXP(Ft!F$38*($A104-Ft!F$2)^2) + Ft!G$3*EXP(Ft!G$38*($A104-Ft!G$2)^2)</f>
        <v>10.221495152057487</v>
      </c>
      <c r="E104" s="26">
        <f>Ft!B$3*EXP(Ft!B$38*($A104-Ft!B$2)^2)</f>
        <v>5.5780639890163027E-2</v>
      </c>
      <c r="F104" s="26">
        <f>Ft!C$3*EXP(Ft!C$38*($A104-Ft!C$2)^2)</f>
        <v>8.1599564582177546</v>
      </c>
      <c r="G104" s="26">
        <f>Ft!D$3*EXP(Ft!D$38*($A104-Ft!D$2)^2)</f>
        <v>2.0057251477762517</v>
      </c>
      <c r="H104" s="26">
        <f>Ft!E$3*EXP(Ft!E$38*($A104-Ft!E$2)^2)</f>
        <v>3.2906173318591554E-5</v>
      </c>
      <c r="I104" s="26">
        <f>Ft!F$3*EXP(Ft!F$38*($A104-Ft!F$2)^2)</f>
        <v>1.9326359841119078E-94</v>
      </c>
      <c r="J104" s="26">
        <f>Ft!G$3*EXP(Ft!G$38*($A104-Ft!G$2)^2)</f>
        <v>0</v>
      </c>
    </row>
    <row r="105" spans="1:10">
      <c r="A105" s="19">
        <v>103</v>
      </c>
      <c r="B105" s="28">
        <v>10.619584116897244</v>
      </c>
      <c r="C105" s="27">
        <f ca="1">OFFSET($B105,1*(ROWS(C$2:C105)-1),0)</f>
        <v>30.843894465265123</v>
      </c>
      <c r="D105" s="26">
        <f>Ft!B$3*EXP(Ft!B$38*($A105-Ft!B$2)^2) +Ft!C$3*EXP(Ft!C$38*($A105-Ft!C$2)^2) + Ft!D$3*EXP(Ft!D$38*($A105-Ft!D$2)^2)+Ft!E$3*EXP(Ft!E$38*($A105-Ft!E$2)^2) +Ft!F$3*EXP(Ft!F$38*($A105-Ft!F$2)^2) + Ft!G$3*EXP(Ft!G$38*($A105-Ft!G$2)^2)</f>
        <v>10.287543613866928</v>
      </c>
      <c r="E105" s="26">
        <f>Ft!B$3*EXP(Ft!B$38*($A105-Ft!B$2)^2)</f>
        <v>4.8287445554457922E-2</v>
      </c>
      <c r="F105" s="26">
        <f>Ft!C$3*EXP(Ft!C$38*($A105-Ft!C$2)^2)</f>
        <v>8.2079628531135178</v>
      </c>
      <c r="G105" s="26">
        <f>Ft!D$3*EXP(Ft!D$38*($A105-Ft!D$2)^2)</f>
        <v>2.0312591945370602</v>
      </c>
      <c r="H105" s="26">
        <f>Ft!E$3*EXP(Ft!E$38*($A105-Ft!E$2)^2)</f>
        <v>3.4120661893169409E-5</v>
      </c>
      <c r="I105" s="26">
        <f>Ft!F$3*EXP(Ft!F$38*($A105-Ft!F$2)^2)</f>
        <v>3.1338389123410538E-94</v>
      </c>
      <c r="J105" s="26">
        <f>Ft!G$3*EXP(Ft!G$38*($A105-Ft!G$2)^2)</f>
        <v>0</v>
      </c>
    </row>
    <row r="106" spans="1:10">
      <c r="A106" s="19">
        <v>104</v>
      </c>
      <c r="B106" s="28">
        <v>10.802473385059983</v>
      </c>
      <c r="C106" s="27">
        <f ca="1">OFFSET($B106,1*(ROWS(C$2:C106)-1),0)</f>
        <v>31.294135625455283</v>
      </c>
      <c r="D106" s="26">
        <f>Ft!B$3*EXP(Ft!B$38*($A106-Ft!B$2)^2) +Ft!C$3*EXP(Ft!C$38*($A106-Ft!C$2)^2) + Ft!D$3*EXP(Ft!D$38*($A106-Ft!D$2)^2)+Ft!E$3*EXP(Ft!E$38*($A106-Ft!E$2)^2) +Ft!F$3*EXP(Ft!F$38*($A106-Ft!F$2)^2) + Ft!G$3*EXP(Ft!G$38*($A106-Ft!G$2)^2)</f>
        <v>10.353686271807993</v>
      </c>
      <c r="E106" s="26">
        <f>Ft!B$3*EXP(Ft!B$38*($A106-Ft!B$2)^2)</f>
        <v>4.1695313271368765E-2</v>
      </c>
      <c r="F106" s="26">
        <f>Ft!C$3*EXP(Ft!C$38*($A106-Ft!C$2)^2)</f>
        <v>8.2549112085260248</v>
      </c>
      <c r="G106" s="26">
        <f>Ft!D$3*EXP(Ft!D$38*($A106-Ft!D$2)^2)</f>
        <v>2.057044371817212</v>
      </c>
      <c r="H106" s="26">
        <f>Ft!E$3*EXP(Ft!E$38*($A106-Ft!E$2)^2)</f>
        <v>3.5378193385714146E-5</v>
      </c>
      <c r="I106" s="26">
        <f>Ft!F$3*EXP(Ft!F$38*($A106-Ft!F$2)^2)</f>
        <v>5.0788992131914628E-94</v>
      </c>
      <c r="J106" s="26">
        <f>Ft!G$3*EXP(Ft!G$38*($A106-Ft!G$2)^2)</f>
        <v>0</v>
      </c>
    </row>
    <row r="107" spans="1:10">
      <c r="A107" s="19">
        <v>105</v>
      </c>
      <c r="B107" s="28">
        <v>10.969696392148194</v>
      </c>
      <c r="C107" s="27">
        <f ca="1">OFFSET($B107,1*(ROWS(C$2:C107)-1),0)</f>
        <v>31.781898328716949</v>
      </c>
      <c r="D107" s="26">
        <f>Ft!B$3*EXP(Ft!B$38*($A107-Ft!B$2)^2) +Ft!C$3*EXP(Ft!C$38*($A107-Ft!C$2)^2) + Ft!D$3*EXP(Ft!D$38*($A107-Ft!D$2)^2)+Ft!E$3*EXP(Ft!E$38*($A107-Ft!E$2)^2) +Ft!F$3*EXP(Ft!F$38*($A107-Ft!F$2)^2) + Ft!G$3*EXP(Ft!G$38*($A107-Ft!G$2)^2)</f>
        <v>10.419811108852995</v>
      </c>
      <c r="E107" s="26">
        <f>Ft!B$3*EXP(Ft!B$38*($A107-Ft!B$2)^2)</f>
        <v>3.5912242180048654E-2</v>
      </c>
      <c r="F107" s="26">
        <f>Ft!C$3*EXP(Ft!C$38*($A107-Ft!C$2)^2)</f>
        <v>8.3007801841341262</v>
      </c>
      <c r="G107" s="26">
        <f>Ft!D$3*EXP(Ft!D$38*($A107-Ft!D$2)^2)</f>
        <v>2.0830820023135961</v>
      </c>
      <c r="H107" s="26">
        <f>Ft!E$3*EXP(Ft!E$38*($A107-Ft!E$2)^2)</f>
        <v>3.6680225224360816E-5</v>
      </c>
      <c r="I107" s="26">
        <f>Ft!F$3*EXP(Ft!F$38*($A107-Ft!F$2)^2)</f>
        <v>8.2267602140393944E-94</v>
      </c>
      <c r="J107" s="26">
        <f>Ft!G$3*EXP(Ft!G$38*($A107-Ft!G$2)^2)</f>
        <v>0</v>
      </c>
    </row>
    <row r="108" spans="1:10">
      <c r="A108" s="19">
        <v>106</v>
      </c>
      <c r="B108" s="28">
        <v>11.163340480703027</v>
      </c>
      <c r="C108" s="27">
        <f ca="1">OFFSET($B108,1*(ROWS(C$2:C108)-1),0)</f>
        <v>32.256779118562747</v>
      </c>
      <c r="D108" s="26">
        <f>Ft!B$3*EXP(Ft!B$38*($A108-Ft!B$2)^2) +Ft!C$3*EXP(Ft!C$38*($A108-Ft!C$2)^2) + Ft!D$3*EXP(Ft!D$38*($A108-Ft!D$2)^2)+Ft!E$3*EXP(Ft!E$38*($A108-Ft!E$2)^2) +Ft!F$3*EXP(Ft!F$38*($A108-Ft!F$2)^2) + Ft!G$3*EXP(Ft!G$38*($A108-Ft!G$2)^2)</f>
        <v>10.485813462706343</v>
      </c>
      <c r="E108" s="26">
        <f>Ft!B$3*EXP(Ft!B$38*($A108-Ft!B$2)^2)</f>
        <v>3.085318983474071E-2</v>
      </c>
      <c r="F108" s="26">
        <f>Ft!C$3*EXP(Ft!C$38*($A108-Ft!C$2)^2)</f>
        <v>8.3455488465120347</v>
      </c>
      <c r="G108" s="26">
        <f>Ft!D$3*EXP(Ft!D$38*($A108-Ft!D$2)^2)</f>
        <v>2.1093733980978975</v>
      </c>
      <c r="H108" s="26">
        <f>Ft!E$3*EXP(Ft!E$38*($A108-Ft!E$2)^2)</f>
        <v>3.8028261669472063E-5</v>
      </c>
      <c r="I108" s="26">
        <f>Ft!F$3*EXP(Ft!F$38*($A108-Ft!F$2)^2)</f>
        <v>1.3318472000273759E-93</v>
      </c>
      <c r="J108" s="26">
        <f>Ft!G$3*EXP(Ft!G$38*($A108-Ft!G$2)^2)</f>
        <v>0</v>
      </c>
    </row>
    <row r="109" spans="1:10">
      <c r="A109" s="19">
        <v>107</v>
      </c>
      <c r="B109" s="28">
        <v>11.332259808034649</v>
      </c>
      <c r="C109" s="27">
        <f ca="1">OFFSET($B109,1*(ROWS(C$2:C109)-1),0)</f>
        <v>32.740730746427261</v>
      </c>
      <c r="D109" s="26">
        <f>Ft!B$3*EXP(Ft!B$38*($A109-Ft!B$2)^2) +Ft!C$3*EXP(Ft!C$38*($A109-Ft!C$2)^2) + Ft!D$3*EXP(Ft!D$38*($A109-Ft!D$2)^2)+Ft!E$3*EXP(Ft!E$38*($A109-Ft!E$2)^2) +Ft!F$3*EXP(Ft!F$38*($A109-Ft!F$2)^2) + Ft!G$3*EXP(Ft!G$38*($A109-Ft!G$2)^2)</f>
        <v>10.551595874252373</v>
      </c>
      <c r="E109" s="26">
        <f>Ft!B$3*EXP(Ft!B$38*($A109-Ft!B$2)^2)</f>
        <v>2.6439905082700194E-2</v>
      </c>
      <c r="F109" s="26">
        <f>Ft!C$3*EXP(Ft!C$38*($A109-Ft!C$2)^2)</f>
        <v>8.3891966850221529</v>
      </c>
      <c r="G109" s="26">
        <f>Ft!D$3*EXP(Ft!D$38*($A109-Ft!D$2)^2)</f>
        <v>2.1359198602922906</v>
      </c>
      <c r="H109" s="26">
        <f>Ft!E$3*EXP(Ft!E$38*($A109-Ft!E$2)^2)</f>
        <v>3.9423855228762326E-5</v>
      </c>
      <c r="I109" s="26">
        <f>Ft!F$3*EXP(Ft!F$38*($A109-Ft!F$2)^2)</f>
        <v>2.1549950825843094E-93</v>
      </c>
      <c r="J109" s="26">
        <f>Ft!G$3*EXP(Ft!G$38*($A109-Ft!G$2)^2)</f>
        <v>0</v>
      </c>
    </row>
    <row r="110" spans="1:10">
      <c r="A110" s="19">
        <v>108</v>
      </c>
      <c r="B110" s="28">
        <v>11.52182957950356</v>
      </c>
      <c r="C110" s="27">
        <f ca="1">OFFSET($B110,1*(ROWS(C$2:C110)-1),0)</f>
        <v>33.230181546578848</v>
      </c>
      <c r="D110" s="26">
        <f>Ft!B$3*EXP(Ft!B$38*($A110-Ft!B$2)^2) +Ft!C$3*EXP(Ft!C$38*($A110-Ft!C$2)^2) + Ft!D$3*EXP(Ft!D$38*($A110-Ft!D$2)^2)+Ft!E$3*EXP(Ft!E$38*($A110-Ft!E$2)^2) +Ft!F$3*EXP(Ft!F$38*($A110-Ft!F$2)^2) + Ft!G$3*EXP(Ft!G$38*($A110-Ft!G$2)^2)</f>
        <v>10.617067879581134</v>
      </c>
      <c r="E110" s="26">
        <f>Ft!B$3*EXP(Ft!B$38*($A110-Ft!B$2)^2)</f>
        <v>2.2600704779200169E-2</v>
      </c>
      <c r="F110" s="26">
        <f>Ft!C$3*EXP(Ft!C$38*($A110-Ft!C$2)^2)</f>
        <v>8.4317036274508013</v>
      </c>
      <c r="G110" s="26">
        <f>Ft!D$3*EXP(Ft!D$38*($A110-Ft!D$2)^2)</f>
        <v>2.1627226787430192</v>
      </c>
      <c r="H110" s="26">
        <f>Ft!E$3*EXP(Ft!E$38*($A110-Ft!E$2)^2)</f>
        <v>4.086860811210075E-5</v>
      </c>
      <c r="I110" s="26">
        <f>Ft!F$3*EXP(Ft!F$38*($A110-Ft!F$2)^2)</f>
        <v>3.4850136503256285E-93</v>
      </c>
      <c r="J110" s="26">
        <f>Ft!G$3*EXP(Ft!G$38*($A110-Ft!G$2)^2)</f>
        <v>0</v>
      </c>
    </row>
    <row r="111" spans="1:10">
      <c r="A111" s="19">
        <v>109</v>
      </c>
      <c r="B111" s="28">
        <v>11.712910322262445</v>
      </c>
      <c r="C111" s="27">
        <f ca="1">OFFSET($B111,1*(ROWS(C$2:C111)-1),0)</f>
        <v>33.722828164831469</v>
      </c>
      <c r="D111" s="26">
        <f>Ft!B$3*EXP(Ft!B$38*($A111-Ft!B$2)^2) +Ft!C$3*EXP(Ft!C$38*($A111-Ft!C$2)^2) + Ft!D$3*EXP(Ft!D$38*($A111-Ft!D$2)^2)+Ft!E$3*EXP(Ft!E$38*($A111-Ft!E$2)^2) +Ft!F$3*EXP(Ft!F$38*($A111-Ft!F$2)^2) + Ft!G$3*EXP(Ft!G$38*($A111-Ft!G$2)^2)</f>
        <v>10.682145756611391</v>
      </c>
      <c r="E111" s="26">
        <f>Ft!B$3*EXP(Ft!B$38*($A111-Ft!B$2)^2)</f>
        <v>1.9270205375621744E-2</v>
      </c>
      <c r="F111" s="26">
        <f>Ft!C$3*EXP(Ft!C$38*($A111-Ft!C$2)^2)</f>
        <v>8.4730500553701429</v>
      </c>
      <c r="G111" s="26">
        <f>Ft!D$3*EXP(Ft!D$38*($A111-Ft!D$2)^2)</f>
        <v>2.1897831316919008</v>
      </c>
      <c r="H111" s="26">
        <f>Ft!E$3*EXP(Ft!E$38*($A111-Ft!E$2)^2)</f>
        <v>4.2364173727002174E-5</v>
      </c>
      <c r="I111" s="26">
        <f>Ft!F$3*EXP(Ft!F$38*($A111-Ft!F$2)^2)</f>
        <v>5.6328605799938948E-93</v>
      </c>
      <c r="J111" s="26">
        <f>Ft!G$3*EXP(Ft!G$38*($A111-Ft!G$2)^2)</f>
        <v>0</v>
      </c>
    </row>
    <row r="112" spans="1:10">
      <c r="A112" s="19">
        <v>110</v>
      </c>
      <c r="B112" s="28">
        <v>11.896485039986999</v>
      </c>
      <c r="C112" s="27">
        <f ca="1">OFFSET($B112,1*(ROWS(C$2:C112)-1),0)</f>
        <v>34.225237407233976</v>
      </c>
      <c r="D112" s="26">
        <f>Ft!B$3*EXP(Ft!B$38*($A112-Ft!B$2)^2) +Ft!C$3*EXP(Ft!C$38*($A112-Ft!C$2)^2) + Ft!D$3*EXP(Ft!D$38*($A112-Ft!D$2)^2)+Ft!E$3*EXP(Ft!E$38*($A112-Ft!E$2)^2) +Ft!F$3*EXP(Ft!F$38*($A112-Ft!F$2)^2) + Ft!G$3*EXP(Ft!G$38*($A112-Ft!G$2)^2)</f>
        <v>10.74675223650412</v>
      </c>
      <c r="E112" s="26">
        <f>Ft!B$3*EXP(Ft!B$38*($A112-Ft!B$2)^2)</f>
        <v>1.6389019590193427E-2</v>
      </c>
      <c r="F112" s="26">
        <f>Ft!C$3*EXP(Ft!C$38*($A112-Ft!C$2)^2)</f>
        <v>8.513216819209914</v>
      </c>
      <c r="G112" s="26">
        <f>Ft!D$3*EXP(Ft!D$38*($A112-Ft!D$2)^2)</f>
        <v>2.2171024854457979</v>
      </c>
      <c r="H112" s="26">
        <f>Ft!E$3*EXP(Ft!E$38*($A112-Ft!E$2)^2)</f>
        <v>4.3912258215840158E-5</v>
      </c>
      <c r="I112" s="26">
        <f>Ft!F$3*EXP(Ft!F$38*($A112-Ft!F$2)^2)</f>
        <v>9.0995483963892561E-93</v>
      </c>
      <c r="J112" s="26">
        <f>Ft!G$3*EXP(Ft!G$38*($A112-Ft!G$2)^2)</f>
        <v>0</v>
      </c>
    </row>
    <row r="113" spans="1:10">
      <c r="A113" s="19">
        <v>111</v>
      </c>
      <c r="B113" s="28">
        <v>12.052797268720155</v>
      </c>
      <c r="C113" s="27">
        <f ca="1">OFFSET($B113,1*(ROWS(C$2:C113)-1),0)</f>
        <v>34.815680286828268</v>
      </c>
      <c r="D113" s="26">
        <f>Ft!B$3*EXP(Ft!B$38*($A113-Ft!B$2)^2) +Ft!C$3*EXP(Ft!C$38*($A113-Ft!C$2)^2) + Ft!D$3*EXP(Ft!D$38*($A113-Ft!D$2)^2)+Ft!E$3*EXP(Ft!E$38*($A113-Ft!E$2)^2) +Ft!F$3*EXP(Ft!F$38*($A113-Ft!F$2)^2) + Ft!G$3*EXP(Ft!G$38*($A113-Ft!G$2)^2)</f>
        <v>10.81081618916078</v>
      </c>
      <c r="E113" s="26">
        <f>Ft!B$3*EXP(Ft!B$38*($A113-Ft!B$2)^2)</f>
        <v>1.3903427471898348E-2</v>
      </c>
      <c r="F113" s="26">
        <f>Ft!C$3*EXP(Ft!C$38*($A113-Ft!C$2)^2)</f>
        <v>8.5521852530227349</v>
      </c>
      <c r="G113" s="26">
        <f>Ft!D$3*EXP(Ft!D$38*($A113-Ft!D$2)^2)</f>
        <v>2.2446819940441118</v>
      </c>
      <c r="H113" s="26">
        <f>Ft!E$3*EXP(Ft!E$38*($A113-Ft!E$2)^2)</f>
        <v>4.5514622035838513E-5</v>
      </c>
      <c r="I113" s="26">
        <f>Ft!F$3*EXP(Ft!F$38*($A113-Ft!F$2)^2)</f>
        <v>1.469186722319536E-92</v>
      </c>
      <c r="J113" s="26">
        <f>Ft!G$3*EXP(Ft!G$38*($A113-Ft!G$2)^2)</f>
        <v>0</v>
      </c>
    </row>
    <row r="114" spans="1:10">
      <c r="A114" s="19">
        <v>112</v>
      </c>
      <c r="B114" s="28">
        <v>12.230686157111478</v>
      </c>
      <c r="C114" s="27">
        <f ca="1">OFFSET($B114,1*(ROWS(C$2:C114)-1),0)</f>
        <v>35.381788283027902</v>
      </c>
      <c r="D114" s="26">
        <f>Ft!B$3*EXP(Ft!B$38*($A114-Ft!B$2)^2) +Ft!C$3*EXP(Ft!C$38*($A114-Ft!C$2)^2) + Ft!D$3*EXP(Ft!D$38*($A114-Ft!D$2)^2)+Ft!E$3*EXP(Ft!E$38*($A114-Ft!E$2)^2) +Ft!F$3*EXP(Ft!F$38*($A114-Ft!F$2)^2) + Ft!G$3*EXP(Ft!G$38*($A114-Ft!G$2)^2)</f>
        <v>10.874272291158732</v>
      </c>
      <c r="E114" s="26">
        <f>Ft!B$3*EXP(Ft!B$38*($A114-Ft!B$2)^2)</f>
        <v>1.1765030225719841E-2</v>
      </c>
      <c r="F114" s="26">
        <f>Ft!C$3*EXP(Ft!C$38*($A114-Ft!C$2)^2)</f>
        <v>8.5899371889270988</v>
      </c>
      <c r="G114" s="26">
        <f>Ft!D$3*EXP(Ft!D$38*($A114-Ft!D$2)^2)</f>
        <v>2.2725228989243313</v>
      </c>
      <c r="H114" s="26">
        <f>Ft!E$3*EXP(Ft!E$38*($A114-Ft!E$2)^2)</f>
        <v>4.7173081582920619E-5</v>
      </c>
      <c r="I114" s="26">
        <f>Ft!F$3*EXP(Ft!F$38*($A114-Ft!F$2)^2)</f>
        <v>2.3708302995572146E-92</v>
      </c>
      <c r="J114" s="26">
        <f>Ft!G$3*EXP(Ft!G$38*($A114-Ft!G$2)^2)</f>
        <v>0</v>
      </c>
    </row>
    <row r="115" spans="1:10">
      <c r="A115" s="19">
        <v>113</v>
      </c>
      <c r="B115" s="28">
        <v>12.409584681204421</v>
      </c>
      <c r="C115" s="27">
        <f ca="1">OFFSET($B115,1*(ROWS(C$2:C115)-1),0)</f>
        <v>35.9312302595755</v>
      </c>
      <c r="D115" s="26">
        <f>Ft!B$3*EXP(Ft!B$38*($A115-Ft!B$2)^2) +Ft!C$3*EXP(Ft!C$38*($A115-Ft!C$2)^2) + Ft!D$3*EXP(Ft!D$38*($A115-Ft!D$2)^2)+Ft!E$3*EXP(Ft!E$38*($A115-Ft!E$2)^2) +Ft!F$3*EXP(Ft!F$38*($A115-Ft!F$2)^2) + Ft!G$3*EXP(Ft!G$38*($A115-Ft!G$2)^2)</f>
        <v>10.937060683516799</v>
      </c>
      <c r="E115" s="26">
        <f>Ft!B$3*EXP(Ft!B$38*($A115-Ft!B$2)^2)</f>
        <v>9.9303942078264717E-3</v>
      </c>
      <c r="F115" s="26">
        <f>Ft!C$3*EXP(Ft!C$38*($A115-Ft!C$2)^2)</f>
        <v>8.626454971212409</v>
      </c>
      <c r="G115" s="26">
        <f>Ft!D$3*EXP(Ft!D$38*($A115-Ft!D$2)^2)</f>
        <v>2.3006264285857037</v>
      </c>
      <c r="H115" s="26">
        <f>Ft!E$3*EXP(Ft!E$38*($A115-Ft!E$2)^2)</f>
        <v>4.8889510860519651E-5</v>
      </c>
      <c r="I115" s="26">
        <f>Ft!F$3*EXP(Ft!F$38*($A115-Ft!F$2)^2)</f>
        <v>3.8237567941052233E-92</v>
      </c>
      <c r="J115" s="26">
        <f>Ft!G$3*EXP(Ft!G$38*($A115-Ft!G$2)^2)</f>
        <v>0</v>
      </c>
    </row>
    <row r="116" spans="1:10">
      <c r="A116" s="19">
        <v>114</v>
      </c>
      <c r="B116" s="28">
        <v>12.610685455559974</v>
      </c>
      <c r="C116" s="27">
        <f ca="1">OFFSET($B116,1*(ROWS(C$2:C116)-1),0)</f>
        <v>36.494787646648575</v>
      </c>
      <c r="D116" s="26">
        <f>Ft!B$3*EXP(Ft!B$38*($A116-Ft!B$2)^2) +Ft!C$3*EXP(Ft!C$38*($A116-Ft!C$2)^2) + Ft!D$3*EXP(Ft!D$38*($A116-Ft!D$2)^2)+Ft!E$3*EXP(Ft!E$38*($A116-Ft!E$2)^2) +Ft!F$3*EXP(Ft!F$38*($A116-Ft!F$2)^2) + Ft!G$3*EXP(Ft!G$38*($A116-Ft!G$2)^2)</f>
        <v>10.999126625730144</v>
      </c>
      <c r="E116" s="26">
        <f>Ft!B$3*EXP(Ft!B$38*($A116-Ft!B$2)^2)</f>
        <v>8.360691545141857E-3</v>
      </c>
      <c r="F116" s="26">
        <f>Ft!C$3*EXP(Ft!C$38*($A116-Ft!C$2)^2)</f>
        <v>8.661721470090745</v>
      </c>
      <c r="G116" s="26">
        <f>Ft!D$3*EXP(Ft!D$38*($A116-Ft!D$2)^2)</f>
        <v>2.3289937982510618</v>
      </c>
      <c r="H116" s="26">
        <f>Ft!E$3*EXP(Ft!E$38*($A116-Ft!E$2)^2)</f>
        <v>5.0665843194477562E-5</v>
      </c>
      <c r="I116" s="26">
        <f>Ft!F$3*EXP(Ft!F$38*($A116-Ft!F$2)^2)</f>
        <v>6.1637692644055031E-92</v>
      </c>
      <c r="J116" s="26">
        <f>Ft!G$3*EXP(Ft!G$38*($A116-Ft!G$2)^2)</f>
        <v>0</v>
      </c>
    </row>
    <row r="117" spans="1:10">
      <c r="A117" s="19">
        <v>115</v>
      </c>
      <c r="B117" s="28">
        <v>12.778784954560876</v>
      </c>
      <c r="C117" s="27">
        <f ca="1">OFFSET($B117,1*(ROWS(C$2:C117)-1),0)</f>
        <v>37.062424050000743</v>
      </c>
      <c r="D117" s="26">
        <f>Ft!B$3*EXP(Ft!B$38*($A117-Ft!B$2)^2) +Ft!C$3*EXP(Ft!C$38*($A117-Ft!C$2)^2) + Ft!D$3*EXP(Ft!D$38*($A117-Ft!D$2)^2)+Ft!E$3*EXP(Ft!E$38*($A117-Ft!E$2)^2) +Ft!F$3*EXP(Ft!F$38*($A117-Ft!F$2)^2) + Ft!G$3*EXP(Ft!G$38*($A117-Ft!G$2)^2)</f>
        <v>11.060420151584372</v>
      </c>
      <c r="E117" s="26">
        <f>Ft!B$3*EXP(Ft!B$38*($A117-Ft!B$2)^2)</f>
        <v>7.0213429041420814E-3</v>
      </c>
      <c r="F117" s="26">
        <f>Ft!C$3*EXP(Ft!C$38*($A117-Ft!C$2)^2)</f>
        <v>8.6957200950803717</v>
      </c>
      <c r="G117" s="26">
        <f>Ft!D$3*EXP(Ft!D$38*($A117-Ft!D$2)^2)</f>
        <v>2.3576262095268627</v>
      </c>
      <c r="H117" s="26">
        <f>Ft!E$3*EXP(Ft!E$38*($A117-Ft!E$2)^2)</f>
        <v>5.2504072995183714E-5</v>
      </c>
      <c r="I117" s="26">
        <f>Ft!F$3*EXP(Ft!F$38*($A117-Ft!F$2)^2)</f>
        <v>9.9304471099798456E-92</v>
      </c>
      <c r="J117" s="26">
        <f>Ft!G$3*EXP(Ft!G$38*($A117-Ft!G$2)^2)</f>
        <v>0</v>
      </c>
    </row>
    <row r="118" spans="1:10">
      <c r="A118" s="19">
        <v>116</v>
      </c>
      <c r="B118" s="28">
        <v>12.96845858955993</v>
      </c>
      <c r="C118" s="27">
        <f ca="1">OFFSET($B118,1*(ROWS(C$2:C118)-1),0)</f>
        <v>37.600718472417498</v>
      </c>
      <c r="D118" s="26">
        <f>Ft!B$3*EXP(Ft!B$38*($A118-Ft!B$2)^2) +Ft!C$3*EXP(Ft!C$38*($A118-Ft!C$2)^2) + Ft!D$3*EXP(Ft!D$38*($A118-Ft!D$2)^2)+Ft!E$3*EXP(Ft!E$38*($A118-Ft!E$2)^2) +Ft!F$3*EXP(Ft!F$38*($A118-Ft!F$2)^2) + Ft!G$3*EXP(Ft!G$38*($A118-Ft!G$2)^2)</f>
        <v>11.120895731369771</v>
      </c>
      <c r="E118" s="26">
        <f>Ft!B$3*EXP(Ft!B$38*($A118-Ft!B$2)^2)</f>
        <v>5.8816670443414361E-3</v>
      </c>
      <c r="F118" s="26">
        <f>Ft!C$3*EXP(Ft!C$38*($A118-Ft!C$2)^2)</f>
        <v>8.7284348080063658</v>
      </c>
      <c r="G118" s="26">
        <f>Ft!D$3*EXP(Ft!D$38*($A118-Ft!D$2)^2)</f>
        <v>2.3865248500614937</v>
      </c>
      <c r="H118" s="26">
        <f>Ft!E$3*EXP(Ft!E$38*($A118-Ft!E$2)^2)</f>
        <v>5.4406257568132587E-5</v>
      </c>
      <c r="I118" s="26">
        <f>Ft!F$3*EXP(Ft!F$38*($A118-Ft!F$2)^2)</f>
        <v>1.5990334580902341E-91</v>
      </c>
      <c r="J118" s="26">
        <f>Ft!G$3*EXP(Ft!G$38*($A118-Ft!G$2)^2)</f>
        <v>0</v>
      </c>
    </row>
    <row r="119" spans="1:10">
      <c r="A119" s="19">
        <v>117</v>
      </c>
      <c r="B119" s="28">
        <v>13.160353711689652</v>
      </c>
      <c r="C119" s="27">
        <f ca="1">OFFSET($B119,1*(ROWS(C$2:C119)-1),0)</f>
        <v>38.162255768047714</v>
      </c>
      <c r="D119" s="26">
        <f>Ft!B$3*EXP(Ft!B$38*($A119-Ft!B$2)^2) +Ft!C$3*EXP(Ft!C$38*($A119-Ft!C$2)^2) + Ft!D$3*EXP(Ft!D$38*($A119-Ft!D$2)^2)+Ft!E$3*EXP(Ft!E$38*($A119-Ft!E$2)^2) +Ft!F$3*EXP(Ft!F$38*($A119-Ft!F$2)^2) + Ft!G$3*EXP(Ft!G$38*($A119-Ft!G$2)^2)</f>
        <v>11.180511944280065</v>
      </c>
      <c r="E119" s="26">
        <f>Ft!B$3*EXP(Ft!B$38*($A119-Ft!B$2)^2)</f>
        <v>4.9145409550983713E-3</v>
      </c>
      <c r="F119" s="26">
        <f>Ft!C$3*EXP(Ft!C$38*($A119-Ft!C$2)^2)</f>
        <v>8.7598501356041005</v>
      </c>
      <c r="G119" s="26">
        <f>Ft!D$3*EXP(Ft!D$38*($A119-Ft!D$2)^2)</f>
        <v>2.4156908932018917</v>
      </c>
      <c r="H119" s="26">
        <f>Ft!E$3*EXP(Ft!E$38*($A119-Ft!E$2)^2)</f>
        <v>5.6374518974099839E-5</v>
      </c>
      <c r="I119" s="26">
        <f>Ft!F$3*EXP(Ft!F$38*($A119-Ft!F$2)^2)</f>
        <v>2.5734315309919148E-91</v>
      </c>
      <c r="J119" s="26">
        <f>Ft!G$3*EXP(Ft!G$38*($A119-Ft!G$2)^2)</f>
        <v>0</v>
      </c>
    </row>
    <row r="120" spans="1:10">
      <c r="A120" s="19">
        <v>118</v>
      </c>
      <c r="B120" s="28">
        <v>13.328736845980472</v>
      </c>
      <c r="C120" s="27">
        <f ca="1">OFFSET($B120,1*(ROWS(C$2:C120)-1),0)</f>
        <v>38.724273346300777</v>
      </c>
      <c r="D120" s="26">
        <f>Ft!B$3*EXP(Ft!B$38*($A120-Ft!B$2)^2) +Ft!C$3*EXP(Ft!C$38*($A120-Ft!C$2)^2) + Ft!D$3*EXP(Ft!D$38*($A120-Ft!D$2)^2)+Ft!E$3*EXP(Ft!E$38*($A120-Ft!E$2)^2) +Ft!F$3*EXP(Ft!F$38*($A120-Ft!F$2)^2) + Ft!G$3*EXP(Ft!G$38*($A120-Ft!G$2)^2)</f>
        <v>11.239231164005512</v>
      </c>
      <c r="E120" s="26">
        <f>Ft!B$3*EXP(Ft!B$38*($A120-Ft!B$2)^2)</f>
        <v>4.0960735992939066E-3</v>
      </c>
      <c r="F120" s="26">
        <f>Ft!C$3*EXP(Ft!C$38*($A120-Ft!C$2)^2)</f>
        <v>8.7899511817117393</v>
      </c>
      <c r="G120" s="26">
        <f>Ft!D$3*EXP(Ft!D$38*($A120-Ft!D$2)^2)</f>
        <v>2.4451254976485375</v>
      </c>
      <c r="H120" s="26">
        <f>Ft!E$3*EXP(Ft!E$38*($A120-Ft!E$2)^2)</f>
        <v>5.8411045940167896E-5</v>
      </c>
      <c r="I120" s="26">
        <f>Ft!F$3*EXP(Ft!F$38*($A120-Ft!F$2)^2)</f>
        <v>4.1393676690889107E-91</v>
      </c>
      <c r="J120" s="26">
        <f>Ft!G$3*EXP(Ft!G$38*($A120-Ft!G$2)^2)</f>
        <v>0</v>
      </c>
    </row>
    <row r="121" spans="1:10">
      <c r="A121" s="19">
        <v>119</v>
      </c>
      <c r="B121" s="28">
        <v>13.499949574380963</v>
      </c>
      <c r="C121" s="27">
        <f ca="1">OFFSET($B121,1*(ROWS(C$2:C121)-1),0)</f>
        <v>39.291900589379082</v>
      </c>
      <c r="D121" s="26">
        <f>Ft!B$3*EXP(Ft!B$38*($A121-Ft!B$2)^2) +Ft!C$3*EXP(Ft!C$38*($A121-Ft!C$2)^2) + Ft!D$3*EXP(Ft!D$38*($A121-Ft!D$2)^2)+Ft!E$3*EXP(Ft!E$38*($A121-Ft!E$2)^2) +Ft!F$3*EXP(Ft!F$38*($A121-Ft!F$2)^2) + Ft!G$3*EXP(Ft!G$38*($A121-Ft!G$2)^2)</f>
        <v>11.297019259823392</v>
      </c>
      <c r="E121" s="26">
        <f>Ft!B$3*EXP(Ft!B$38*($A121-Ft!B$2)^2)</f>
        <v>3.4052955804206512E-3</v>
      </c>
      <c r="F121" s="26">
        <f>Ft!C$3*EXP(Ft!C$38*($A121-Ft!C$2)^2)</f>
        <v>8.8187236390382768</v>
      </c>
      <c r="G121" s="26">
        <f>Ft!D$3*EXP(Ft!D$38*($A121-Ft!D$2)^2)</f>
        <v>2.4748298071088697</v>
      </c>
      <c r="H121" s="26">
        <f>Ft!E$3*EXP(Ft!E$38*($A121-Ft!E$2)^2)</f>
        <v>6.0518095822853015E-5</v>
      </c>
      <c r="I121" s="26">
        <f>Ft!F$3*EXP(Ft!F$38*($A121-Ft!F$2)^2)</f>
        <v>6.6545961923280043E-91</v>
      </c>
      <c r="J121" s="26">
        <f>Ft!G$3*EXP(Ft!G$38*($A121-Ft!G$2)^2)</f>
        <v>0</v>
      </c>
    </row>
    <row r="122" spans="1:10">
      <c r="A122" s="19">
        <v>120</v>
      </c>
      <c r="B122" s="28">
        <v>13.6951030192362</v>
      </c>
      <c r="C122" s="27">
        <f ca="1">OFFSET($B122,1*(ROWS(C$2:C122)-1),0)</f>
        <v>39.770823437660511</v>
      </c>
      <c r="D122" s="26">
        <f>Ft!B$3*EXP(Ft!B$38*($A122-Ft!B$2)^2) +Ft!C$3*EXP(Ft!C$38*($A122-Ft!C$2)^2) + Ft!D$3*EXP(Ft!D$38*($A122-Ft!D$2)^2)+Ft!E$3*EXP(Ft!E$38*($A122-Ft!E$2)^2) +Ft!F$3*EXP(Ft!F$38*($A122-Ft!F$2)^2) + Ft!G$3*EXP(Ft!G$38*($A122-Ft!G$2)^2)</f>
        <v>11.353845314854341</v>
      </c>
      <c r="E122" s="26">
        <f>Ft!B$3*EXP(Ft!B$38*($A122-Ft!B$2)^2)</f>
        <v>2.8238664144083583E-3</v>
      </c>
      <c r="F122" s="26">
        <f>Ft!C$3*EXP(Ft!C$38*($A122-Ft!C$2)^2)</f>
        <v>8.8461538004941254</v>
      </c>
      <c r="G122" s="26">
        <f>Ft!D$3*EXP(Ft!D$38*($A122-Ft!D$2)^2)</f>
        <v>2.5048049499491838</v>
      </c>
      <c r="H122" s="26">
        <f>Ft!E$3*EXP(Ft!E$38*($A122-Ft!E$2)^2)</f>
        <v>6.2697996624618186E-5</v>
      </c>
      <c r="I122" s="26">
        <f>Ft!F$3*EXP(Ft!F$38*($A122-Ft!F$2)^2)</f>
        <v>1.0692413108107369E-90</v>
      </c>
      <c r="J122" s="26">
        <f>Ft!G$3*EXP(Ft!G$38*($A122-Ft!G$2)^2)</f>
        <v>0</v>
      </c>
    </row>
    <row r="123" spans="1:10">
      <c r="A123" s="19">
        <v>121</v>
      </c>
      <c r="B123" s="28">
        <v>13.866163896867732</v>
      </c>
      <c r="C123" s="27">
        <f ca="1">OFFSET($B123,1*(ROWS(C$2:C123)-1),0)</f>
        <v>40.168874241063747</v>
      </c>
      <c r="D123" s="26">
        <f>Ft!B$3*EXP(Ft!B$38*($A123-Ft!B$2)^2) +Ft!C$3*EXP(Ft!C$38*($A123-Ft!C$2)^2) + Ft!D$3*EXP(Ft!D$38*($A123-Ft!D$2)^2)+Ft!E$3*EXP(Ft!E$38*($A123-Ft!E$2)^2) +Ft!F$3*EXP(Ft!F$38*($A123-Ft!F$2)^2) + Ft!G$3*EXP(Ft!G$38*($A123-Ft!G$2)^2)</f>
        <v>11.409681362591426</v>
      </c>
      <c r="E123" s="26">
        <f>Ft!B$3*EXP(Ft!B$38*($A123-Ft!B$2)^2)</f>
        <v>2.33580052557468E-3</v>
      </c>
      <c r="F123" s="26">
        <f>Ft!C$3*EXP(Ft!C$38*($A123-Ft!C$2)^2)</f>
        <v>8.8722285700717123</v>
      </c>
      <c r="G123" s="26">
        <f>Ft!D$3*EXP(Ft!D$38*($A123-Ft!D$2)^2)</f>
        <v>2.5350520388450728</v>
      </c>
      <c r="H123" s="26">
        <f>Ft!E$3*EXP(Ft!E$38*($A123-Ft!E$2)^2)</f>
        <v>6.4953149065077434E-5</v>
      </c>
      <c r="I123" s="26">
        <f>Ft!F$3*EXP(Ft!F$38*($A123-Ft!F$2)^2)</f>
        <v>1.7171019074444825E-90</v>
      </c>
      <c r="J123" s="26">
        <f>Ft!G$3*EXP(Ft!G$38*($A123-Ft!G$2)^2)</f>
        <v>0</v>
      </c>
    </row>
    <row r="124" spans="1:10">
      <c r="A124" s="19">
        <v>122</v>
      </c>
      <c r="B124" s="28">
        <v>14.046353878849629</v>
      </c>
      <c r="C124" s="27">
        <f ca="1">OFFSET($B124,1*(ROWS(C$2:C124)-1),0)</f>
        <v>40.446895427419491</v>
      </c>
      <c r="D124" s="26">
        <f>Ft!B$3*EXP(Ft!B$38*($A124-Ft!B$2)^2) +Ft!C$3*EXP(Ft!C$38*($A124-Ft!C$2)^2) + Ft!D$3*EXP(Ft!D$38*($A124-Ft!D$2)^2)+Ft!E$3*EXP(Ft!E$38*($A124-Ft!E$2)^2) +Ft!F$3*EXP(Ft!F$38*($A124-Ft!F$2)^2) + Ft!G$3*EXP(Ft!G$38*($A124-Ft!G$2)^2)</f>
        <v>11.46450214232007</v>
      </c>
      <c r="E124" s="26">
        <f>Ft!B$3*EXP(Ft!B$38*($A124-Ft!B$2)^2)</f>
        <v>1.9272125969715549E-3</v>
      </c>
      <c r="F124" s="26">
        <f>Ft!C$3*EXP(Ft!C$38*($A124-Ft!C$2)^2)</f>
        <v>8.8969354732639374</v>
      </c>
      <c r="G124" s="26">
        <f>Ft!D$3*EXP(Ft!D$38*($A124-Ft!D$2)^2)</f>
        <v>2.5655721704304524</v>
      </c>
      <c r="H124" s="26">
        <f>Ft!E$3*EXP(Ft!E$38*($A124-Ft!E$2)^2)</f>
        <v>6.7286028708229105E-5</v>
      </c>
      <c r="I124" s="26">
        <f>Ft!F$3*EXP(Ft!F$38*($A124-Ft!F$2)^2)</f>
        <v>2.756022318503686E-90</v>
      </c>
      <c r="J124" s="26">
        <f>Ft!G$3*EXP(Ft!G$38*($A124-Ft!G$2)^2)</f>
        <v>0</v>
      </c>
    </row>
    <row r="125" spans="1:10">
      <c r="A125" s="19">
        <v>123</v>
      </c>
      <c r="B125" s="28">
        <v>14.210347087207793</v>
      </c>
      <c r="C125" s="27">
        <f ca="1">OFFSET($B125,1*(ROWS(C$2:C125)-1),0)</f>
        <v>40.674191523788522</v>
      </c>
      <c r="D125" s="26">
        <f>Ft!B$3*EXP(Ft!B$38*($A125-Ft!B$2)^2) +Ft!C$3*EXP(Ft!C$38*($A125-Ft!C$2)^2) + Ft!D$3*EXP(Ft!D$38*($A125-Ft!D$2)^2)+Ft!E$3*EXP(Ft!E$38*($A125-Ft!E$2)^2) +Ft!F$3*EXP(Ft!F$38*($A125-Ft!F$2)^2) + Ft!G$3*EXP(Ft!G$38*($A125-Ft!G$2)^2)</f>
        <v>11.518284873629415</v>
      </c>
      <c r="E125" s="26">
        <f>Ft!B$3*EXP(Ft!B$38*($A125-Ft!B$2)^2)</f>
        <v>1.5860824870430601E-3</v>
      </c>
      <c r="F125" s="26">
        <f>Ft!C$3*EXP(Ft!C$38*($A125-Ft!C$2)^2)</f>
        <v>8.9202626670089664</v>
      </c>
      <c r="G125" s="26">
        <f>Ft!D$3*EXP(Ft!D$38*($A125-Ft!D$2)^2)</f>
        <v>2.5963664249452592</v>
      </c>
      <c r="H125" s="26">
        <f>Ft!E$3*EXP(Ft!E$38*($A125-Ft!E$2)^2)</f>
        <v>6.9699188147082181E-5</v>
      </c>
      <c r="I125" s="26">
        <f>Ft!F$3*EXP(Ft!F$38*($A125-Ft!F$2)^2)</f>
        <v>4.4211546672098953E-90</v>
      </c>
      <c r="J125" s="26">
        <f>Ft!G$3*EXP(Ft!G$38*($A125-Ft!G$2)^2)</f>
        <v>0</v>
      </c>
    </row>
    <row r="126" spans="1:10">
      <c r="A126" s="19">
        <v>124</v>
      </c>
      <c r="B126" s="28">
        <v>14.387525308725145</v>
      </c>
      <c r="C126" s="27">
        <f ca="1">OFFSET($B126,1*(ROWS(C$2:C126)-1),0)</f>
        <v>40.823291326657966</v>
      </c>
      <c r="D126" s="26">
        <f>Ft!B$3*EXP(Ft!B$38*($A126-Ft!B$2)^2) +Ft!C$3*EXP(Ft!C$38*($A126-Ft!C$2)^2) + Ft!D$3*EXP(Ft!D$38*($A126-Ft!D$2)^2)+Ft!E$3*EXP(Ft!E$38*($A126-Ft!E$2)^2) +Ft!F$3*EXP(Ft!F$38*($A126-Ft!F$2)^2) + Ft!G$3*EXP(Ft!G$38*($A126-Ft!G$2)^2)</f>
        <v>11.571009049864877</v>
      </c>
      <c r="E126" s="26">
        <f>Ft!B$3*EXP(Ft!B$38*($A126-Ft!B$2)^2)</f>
        <v>1.3020395735826016E-3</v>
      </c>
      <c r="F126" s="26">
        <f>Ft!C$3*EXP(Ft!C$38*($A126-Ft!C$2)^2)</f>
        <v>8.9421989491502014</v>
      </c>
      <c r="G126" s="26">
        <f>Ft!D$3*EXP(Ft!D$38*($A126-Ft!D$2)^2)</f>
        <v>2.6274358658818455</v>
      </c>
      <c r="H126" s="26">
        <f>Ft!E$3*EXP(Ft!E$38*($A126-Ft!E$2)^2)</f>
        <v>7.219525924706851E-5</v>
      </c>
      <c r="I126" s="26">
        <f>Ft!F$3*EXP(Ft!F$38*($A126-Ft!F$2)^2)</f>
        <v>7.0885107922563953E-90</v>
      </c>
      <c r="J126" s="26">
        <f>Ft!G$3*EXP(Ft!G$38*($A126-Ft!G$2)^2)</f>
        <v>0</v>
      </c>
    </row>
    <row r="127" spans="1:10">
      <c r="A127" s="19">
        <v>125</v>
      </c>
      <c r="B127" s="28">
        <v>14.574217688715834</v>
      </c>
      <c r="C127" s="27">
        <f ca="1">OFFSET($B127,1*(ROWS(C$2:C127)-1),0)</f>
        <v>40.951537460333725</v>
      </c>
      <c r="D127" s="26">
        <f>Ft!B$3*EXP(Ft!B$38*($A127-Ft!B$2)^2) +Ft!C$3*EXP(Ft!C$38*($A127-Ft!C$2)^2) + Ft!D$3*EXP(Ft!D$38*($A127-Ft!D$2)^2)+Ft!E$3*EXP(Ft!E$38*($A127-Ft!E$2)^2) +Ft!F$3*EXP(Ft!F$38*($A127-Ft!F$2)^2) + Ft!G$3*EXP(Ft!G$38*($A127-Ft!G$2)^2)</f>
        <v>11.622656250084658</v>
      </c>
      <c r="E127" s="26">
        <f>Ft!B$3*EXP(Ft!B$38*($A127-Ft!B$2)^2)</f>
        <v>1.0661660981616838E-3</v>
      </c>
      <c r="F127" s="26">
        <f>Ft!C$3*EXP(Ft!C$38*($A127-Ft!C$2)^2)</f>
        <v>8.9627337674008771</v>
      </c>
      <c r="G127" s="26">
        <f>Ft!D$3*EXP(Ft!D$38*($A127-Ft!D$2)^2)</f>
        <v>2.6587815396301684</v>
      </c>
      <c r="H127" s="26">
        <f>Ft!E$3*EXP(Ft!E$38*($A127-Ft!E$2)^2)</f>
        <v>7.4776955449661476E-5</v>
      </c>
      <c r="I127" s="26">
        <f>Ft!F$3*EXP(Ft!F$38*($A127-Ft!F$2)^2)</f>
        <v>1.1359013614385591E-89</v>
      </c>
      <c r="J127" s="26">
        <f>Ft!G$3*EXP(Ft!G$38*($A127-Ft!G$2)^2)</f>
        <v>0</v>
      </c>
    </row>
    <row r="128" spans="1:10">
      <c r="A128" s="19">
        <v>126</v>
      </c>
      <c r="B128" s="28">
        <v>14.777167821591888</v>
      </c>
      <c r="C128" s="27">
        <f ca="1">OFFSET($B128,1*(ROWS(C$2:C128)-1),0)</f>
        <v>41.067580417233387</v>
      </c>
      <c r="D128" s="26">
        <f>Ft!B$3*EXP(Ft!B$38*($A128-Ft!B$2)^2) +Ft!C$3*EXP(Ft!C$38*($A128-Ft!C$2)^2) + Ft!D$3*EXP(Ft!D$38*($A128-Ft!D$2)^2)+Ft!E$3*EXP(Ft!E$38*($A128-Ft!E$2)^2) +Ft!F$3*EXP(Ft!F$38*($A128-Ft!F$2)^2) + Ft!G$3*EXP(Ft!G$38*($A128-Ft!G$2)^2)</f>
        <v>11.673209968853678</v>
      </c>
      <c r="E128" s="26">
        <f>Ft!B$3*EXP(Ft!B$38*($A128-Ft!B$2)^2)</f>
        <v>8.7081885448068888E-4</v>
      </c>
      <c r="F128" s="26">
        <f>Ft!C$3*EXP(Ft!C$38*($A128-Ft!C$2)^2)</f>
        <v>8.9818572278032551</v>
      </c>
      <c r="G128" s="26">
        <f>Ft!D$3*EXP(Ft!D$38*($A128-Ft!D$2)^2)</f>
        <v>2.6904044751218059</v>
      </c>
      <c r="H128" s="26">
        <f>Ft!E$3*EXP(Ft!E$38*($A128-Ft!E$2)^2)</f>
        <v>7.7447074137654314E-5</v>
      </c>
      <c r="I128" s="26">
        <f>Ft!F$3*EXP(Ft!F$38*($A128-Ft!F$2)^2)</f>
        <v>1.8192507128555738E-89</v>
      </c>
      <c r="J128" s="26">
        <f>Ft!G$3*EXP(Ft!G$38*($A128-Ft!G$2)^2)</f>
        <v>0</v>
      </c>
    </row>
    <row r="129" spans="1:10">
      <c r="A129" s="19">
        <v>127</v>
      </c>
      <c r="B129" s="28">
        <v>14.961044230915292</v>
      </c>
      <c r="C129" s="27">
        <f ca="1">OFFSET($B129,1*(ROWS(C$2:C129)-1),0)</f>
        <v>41.200496818677607</v>
      </c>
      <c r="D129" s="26">
        <f>Ft!B$3*EXP(Ft!B$38*($A129-Ft!B$2)^2) +Ft!C$3*EXP(Ft!C$38*($A129-Ft!C$2)^2) + Ft!D$3*EXP(Ft!D$38*($A129-Ft!D$2)^2)+Ft!E$3*EXP(Ft!E$38*($A129-Ft!E$2)^2) +Ft!F$3*EXP(Ft!F$38*($A129-Ft!F$2)^2) + Ft!G$3*EXP(Ft!G$38*($A129-Ft!G$2)^2)</f>
        <v>11.72265546303182</v>
      </c>
      <c r="E129" s="26">
        <f>Ft!B$3*EXP(Ft!B$38*($A129-Ft!B$2)^2)</f>
        <v>7.0946838699254564E-4</v>
      </c>
      <c r="F129" s="26">
        <f>Ft!C$3*EXP(Ft!C$38*($A129-Ft!C$2)^2)</f>
        <v>8.9995601026728806</v>
      </c>
      <c r="G129" s="26">
        <f>Ft!D$3*EXP(Ft!D$38*($A129-Ft!D$2)^2)</f>
        <v>2.722305683472884</v>
      </c>
      <c r="H129" s="26">
        <f>Ft!E$3*EXP(Ft!E$38*($A129-Ft!E$2)^2)</f>
        <v>8.020849906357645E-5</v>
      </c>
      <c r="I129" s="26">
        <f>Ft!F$3*EXP(Ft!F$38*($A129-Ft!F$2)^2)</f>
        <v>2.9121303195046819E-89</v>
      </c>
      <c r="J129" s="26">
        <f>Ft!G$3*EXP(Ft!G$38*($A129-Ft!G$2)^2)</f>
        <v>0</v>
      </c>
    </row>
    <row r="130" spans="1:10">
      <c r="A130" s="19">
        <v>128</v>
      </c>
      <c r="B130" s="28">
        <v>15.149173782330706</v>
      </c>
      <c r="C130" s="27">
        <f ca="1">OFFSET($B130,1*(ROWS(C$2:C130)-1),0)</f>
        <v>41.34079029367183</v>
      </c>
      <c r="D130" s="26">
        <f>Ft!B$3*EXP(Ft!B$38*($A130-Ft!B$2)^2) +Ft!C$3*EXP(Ft!C$38*($A130-Ft!C$2)^2) + Ft!D$3*EXP(Ft!D$38*($A130-Ft!D$2)^2)+Ft!E$3*EXP(Ft!E$38*($A130-Ft!E$2)^2) +Ft!F$3*EXP(Ft!F$38*($A130-Ft!F$2)^2) + Ft!G$3*EXP(Ft!G$38*($A130-Ft!G$2)^2)</f>
        <v>11.770979614583796</v>
      </c>
      <c r="E130" s="26">
        <f>Ft!B$3*EXP(Ft!B$38*($A130-Ft!B$2)^2)</f>
        <v>5.7655473596412152E-4</v>
      </c>
      <c r="F130" s="26">
        <f>Ft!C$3*EXP(Ft!C$38*($A130-Ft!C$2)^2)</f>
        <v>9.0158338380190255</v>
      </c>
      <c r="G130" s="26">
        <f>Ft!D$3*EXP(Ft!D$38*($A130-Ft!D$2)^2)</f>
        <v>2.7544861576259634</v>
      </c>
      <c r="H130" s="26">
        <f>Ft!E$3*EXP(Ft!E$38*($A130-Ft!E$2)^2)</f>
        <v>8.3064202842760468E-5</v>
      </c>
      <c r="I130" s="26">
        <f>Ft!F$3*EXP(Ft!F$38*($A130-Ft!F$2)^2)</f>
        <v>4.6590286037824865E-89</v>
      </c>
      <c r="J130" s="26">
        <f>Ft!G$3*EXP(Ft!G$38*($A130-Ft!G$2)^2)</f>
        <v>0</v>
      </c>
    </row>
    <row r="131" spans="1:10">
      <c r="A131" s="19">
        <v>129</v>
      </c>
      <c r="B131" s="28">
        <v>15.321722432805302</v>
      </c>
      <c r="C131" s="27">
        <f ca="1">OFFSET($B131,1*(ROWS(C$2:C131)-1),0)</f>
        <v>41.525005033410423</v>
      </c>
      <c r="D131" s="26">
        <f>Ft!B$3*EXP(Ft!B$38*($A131-Ft!B$2)^2) +Ft!C$3*EXP(Ft!C$38*($A131-Ft!C$2)^2) + Ft!D$3*EXP(Ft!D$38*($A131-Ft!D$2)^2)+Ft!E$3*EXP(Ft!E$38*($A131-Ft!E$2)^2) +Ft!F$3*EXP(Ft!F$38*($A131-Ft!F$2)^2) + Ft!G$3*EXP(Ft!G$38*($A131-Ft!G$2)^2)</f>
        <v>11.818170808349498</v>
      </c>
      <c r="E131" s="26">
        <f>Ft!B$3*EXP(Ft!B$38*($A131-Ft!B$2)^2)</f>
        <v>4.6735867610772744E-4</v>
      </c>
      <c r="F131" s="26">
        <f>Ft!C$3*EXP(Ft!C$38*($A131-Ft!C$2)^2)</f>
        <v>9.0306705604329132</v>
      </c>
      <c r="G131" s="26">
        <f>Ft!D$3*EXP(Ft!D$38*($A131-Ft!D$2)^2)</f>
        <v>2.7869468719909634</v>
      </c>
      <c r="H131" s="26">
        <f>Ft!E$3*EXP(Ft!E$38*($A131-Ft!E$2)^2)</f>
        <v>8.6017249512603531E-5</v>
      </c>
      <c r="I131" s="26">
        <f>Ft!F$3*EXP(Ft!F$38*($A131-Ft!F$2)^2)</f>
        <v>7.4498283451518765E-89</v>
      </c>
      <c r="J131" s="26">
        <f>Ft!G$3*EXP(Ft!G$38*($A131-Ft!G$2)^2)</f>
        <v>0</v>
      </c>
    </row>
    <row r="132" spans="1:10">
      <c r="A132" s="19">
        <v>130</v>
      </c>
      <c r="B132" s="28">
        <v>15.483601489081508</v>
      </c>
      <c r="C132" s="27">
        <f ca="1">OFFSET($B132,1*(ROWS(C$2:C132)-1),0)</f>
        <v>41.886978421684432</v>
      </c>
      <c r="D132" s="26">
        <f>Ft!B$3*EXP(Ft!B$38*($A132-Ft!B$2)^2) +Ft!C$3*EXP(Ft!C$38*($A132-Ft!C$2)^2) + Ft!D$3*EXP(Ft!D$38*($A132-Ft!D$2)^2)+Ft!E$3*EXP(Ft!E$38*($A132-Ft!E$2)^2) +Ft!F$3*EXP(Ft!F$38*($A132-Ft!F$2)^2) + Ft!G$3*EXP(Ft!G$38*($A132-Ft!G$2)^2)</f>
        <v>11.864218823660728</v>
      </c>
      <c r="E132" s="26">
        <f>Ft!B$3*EXP(Ft!B$38*($A132-Ft!B$2)^2)</f>
        <v>3.778873423789244E-4</v>
      </c>
      <c r="F132" s="26">
        <f>Ft!C$3*EXP(Ft!C$38*($A132-Ft!C$2)^2)</f>
        <v>9.0440630834360025</v>
      </c>
      <c r="G132" s="26">
        <f>Ft!D$3*EXP(Ft!D$38*($A132-Ft!D$2)^2)</f>
        <v>2.8196887820851861</v>
      </c>
      <c r="H132" s="26">
        <f>Ft!E$3*EXP(Ft!E$38*($A132-Ft!E$2)^2)</f>
        <v>8.9070797159593502E-5</v>
      </c>
      <c r="I132" s="26">
        <f>Ft!F$3*EXP(Ft!F$38*($A132-Ft!F$2)^2)</f>
        <v>1.1905934087939732E-88</v>
      </c>
      <c r="J132" s="26">
        <f>Ft!G$3*EXP(Ft!G$38*($A132-Ft!G$2)^2)</f>
        <v>0</v>
      </c>
    </row>
    <row r="133" spans="1:10">
      <c r="A133" s="19">
        <v>131</v>
      </c>
      <c r="B133" s="28">
        <v>15.643859764964049</v>
      </c>
      <c r="C133" s="27">
        <f ca="1">OFFSET($B133,1*(ROWS(C$2:C133)-1),0)</f>
        <v>42.303395582887475</v>
      </c>
      <c r="D133" s="26">
        <f>Ft!B$3*EXP(Ft!B$38*($A133-Ft!B$2)^2) +Ft!C$3*EXP(Ft!C$38*($A133-Ft!C$2)^2) + Ft!D$3*EXP(Ft!D$38*($A133-Ft!D$2)^2)+Ft!E$3*EXP(Ft!E$38*($A133-Ft!E$2)^2) +Ft!F$3*EXP(Ft!F$38*($A133-Ft!F$2)^2) + Ft!G$3*EXP(Ft!G$38*($A133-Ft!G$2)^2)</f>
        <v>11.909114738667318</v>
      </c>
      <c r="E133" s="26">
        <f>Ft!B$3*EXP(Ft!B$38*($A133-Ft!B$2)^2)</f>
        <v>3.0477311306545559E-4</v>
      </c>
      <c r="F133" s="26">
        <f>Ft!C$3*EXP(Ft!C$38*($A133-Ft!C$2)^2)</f>
        <v>9.0560049132811358</v>
      </c>
      <c r="G133" s="26">
        <f>Ft!D$3*EXP(Ft!D$38*($A133-Ft!D$2)^2)</f>
        <v>2.8527128241725008</v>
      </c>
      <c r="H133" s="26">
        <f>Ft!E$3*EXP(Ft!E$38*($A133-Ft!E$2)^2)</f>
        <v>9.2228100615706642E-5</v>
      </c>
      <c r="I133" s="26">
        <f>Ft!F$3*EXP(Ft!F$38*($A133-Ft!F$2)^2)</f>
        <v>1.9017218672587884E-88</v>
      </c>
      <c r="J133" s="26">
        <f>Ft!G$3*EXP(Ft!G$38*($A133-Ft!G$2)^2)</f>
        <v>0</v>
      </c>
    </row>
    <row r="134" spans="1:10">
      <c r="A134" s="19">
        <v>132</v>
      </c>
      <c r="B134" s="28">
        <v>15.816000534660589</v>
      </c>
      <c r="C134" s="27">
        <f ca="1">OFFSET($B134,1*(ROWS(C$2:C134)-1),0)</f>
        <v>42.741564736196779</v>
      </c>
      <c r="D134" s="26">
        <f>Ft!B$3*EXP(Ft!B$38*($A134-Ft!B$2)^2) +Ft!C$3*EXP(Ft!C$38*($A134-Ft!C$2)^2) + Ft!D$3*EXP(Ft!D$38*($A134-Ft!D$2)^2)+Ft!E$3*EXP(Ft!E$38*($A134-Ft!E$2)^2) +Ft!F$3*EXP(Ft!F$38*($A134-Ft!F$2)^2) + Ft!G$3*EXP(Ft!G$38*($A134-Ft!G$2)^2)</f>
        <v>11.95285084623778</v>
      </c>
      <c r="E134" s="26">
        <f>Ft!B$3*EXP(Ft!B$38*($A134-Ft!B$2)^2)</f>
        <v>2.4518462177412829E-4</v>
      </c>
      <c r="F134" s="26">
        <f>Ft!C$3*EXP(Ft!C$38*($A134-Ft!C$2)^2)</f>
        <v>9.0664902542000121</v>
      </c>
      <c r="G134" s="26">
        <f>Ft!D$3*EXP(Ft!D$38*($A134-Ft!D$2)^2)</f>
        <v>2.8860199149017678</v>
      </c>
      <c r="H134" s="26">
        <f>Ft!E$3*EXP(Ft!E$38*($A134-Ft!E$2)^2)</f>
        <v>9.5492514225814517E-5</v>
      </c>
      <c r="I134" s="26">
        <f>Ft!F$3*EXP(Ft!F$38*($A134-Ft!F$2)^2)</f>
        <v>3.0359655924218774E-88</v>
      </c>
      <c r="J134" s="26">
        <f>Ft!G$3*EXP(Ft!G$38*($A134-Ft!G$2)^2)</f>
        <v>0</v>
      </c>
    </row>
    <row r="135" spans="1:10">
      <c r="A135" s="19">
        <v>133</v>
      </c>
      <c r="B135" s="28">
        <v>15.998081767926834</v>
      </c>
      <c r="C135" s="27">
        <f ca="1">OFFSET($B135,1*(ROWS(C$2:C135)-1),0)</f>
        <v>43.209688971873959</v>
      </c>
      <c r="D135" s="26">
        <f>Ft!B$3*EXP(Ft!B$38*($A135-Ft!B$2)^2) +Ft!C$3*EXP(Ft!C$38*($A135-Ft!C$2)^2) + Ft!D$3*EXP(Ft!D$38*($A135-Ft!D$2)^2)+Ft!E$3*EXP(Ft!E$38*($A135-Ft!E$2)^2) +Ft!F$3*EXP(Ft!F$38*($A135-Ft!F$2)^2) + Ft!G$3*EXP(Ft!G$38*($A135-Ft!G$2)^2)</f>
        <v>11.995420580321932</v>
      </c>
      <c r="E135" s="26">
        <f>Ft!B$3*EXP(Ft!B$38*($A135-Ft!B$2)^2)</f>
        <v>1.9674879163517962E-4</v>
      </c>
      <c r="F135" s="26">
        <f>Ft!C$3*EXP(Ft!C$38*($A135-Ft!C$2)^2)</f>
        <v>9.0755140130910448</v>
      </c>
      <c r="G135" s="26">
        <f>Ft!D$3*EXP(Ft!D$38*($A135-Ft!D$2)^2)</f>
        <v>2.9196109509445649</v>
      </c>
      <c r="H135" s="26">
        <f>Ft!E$3*EXP(Ft!E$38*($A135-Ft!E$2)^2)</f>
        <v>9.8867494687770118E-5</v>
      </c>
      <c r="I135" s="26">
        <f>Ft!F$3*EXP(Ft!F$38*($A135-Ft!F$2)^2)</f>
        <v>4.8440989818664351E-88</v>
      </c>
      <c r="J135" s="26">
        <f>Ft!G$3*EXP(Ft!G$38*($A135-Ft!G$2)^2)</f>
        <v>0</v>
      </c>
    </row>
    <row r="136" spans="1:10">
      <c r="A136" s="19">
        <v>134</v>
      </c>
      <c r="B136" s="28">
        <v>16.179396027476258</v>
      </c>
      <c r="C136" s="27">
        <f ca="1">OFFSET($B136,1*(ROWS(C$2:C136)-1),0)</f>
        <v>43.648573448791581</v>
      </c>
      <c r="D136" s="26">
        <f>Ft!B$3*EXP(Ft!B$38*($A136-Ft!B$2)^2) +Ft!C$3*EXP(Ft!C$38*($A136-Ft!C$2)^2) + Ft!D$3*EXP(Ft!D$38*($A136-Ft!D$2)^2)+Ft!E$3*EXP(Ft!E$38*($A136-Ft!E$2)^2) +Ft!F$3*EXP(Ft!F$38*($A136-Ft!F$2)^2) + Ft!G$3*EXP(Ft!G$38*($A136-Ft!G$2)^2)</f>
        <v>12.036818451701247</v>
      </c>
      <c r="E136" s="26">
        <f>Ft!B$3*EXP(Ft!B$38*($A136-Ft!B$2)^2)</f>
        <v>1.5748282269775651E-4</v>
      </c>
      <c r="F136" s="26">
        <f>Ft!C$3*EXP(Ft!C$38*($A136-Ft!C$2)^2)</f>
        <v>9.0830718036422926</v>
      </c>
      <c r="G136" s="26">
        <f>Ft!D$3*EXP(Ft!D$38*($A136-Ft!D$2)^2)</f>
        <v>2.9534868086322894</v>
      </c>
      <c r="H136" s="26">
        <f>Ft!E$3*EXP(Ft!E$38*($A136-Ft!E$2)^2)</f>
        <v>1.023566039668759E-4</v>
      </c>
      <c r="I136" s="26">
        <f>Ft!F$3*EXP(Ft!F$38*($A136-Ft!F$2)^2)</f>
        <v>7.724946684374531E-88</v>
      </c>
      <c r="J136" s="26">
        <f>Ft!G$3*EXP(Ft!G$38*($A136-Ft!G$2)^2)</f>
        <v>0</v>
      </c>
    </row>
    <row r="137" spans="1:10">
      <c r="A137" s="19">
        <v>135</v>
      </c>
      <c r="B137" s="28">
        <v>16.3579838798656</v>
      </c>
      <c r="C137" s="27">
        <f ca="1">OFFSET($B137,1*(ROWS(C$2:C137)-1),0)</f>
        <v>44.083119291530693</v>
      </c>
      <c r="D137" s="26">
        <f>Ft!B$3*EXP(Ft!B$38*($A137-Ft!B$2)^2) +Ft!C$3*EXP(Ft!C$38*($A137-Ft!C$2)^2) + Ft!D$3*EXP(Ft!D$38*($A137-Ft!D$2)^2)+Ft!E$3*EXP(Ft!E$38*($A137-Ft!E$2)^2) +Ft!F$3*EXP(Ft!F$38*($A137-Ft!F$2)^2) + Ft!G$3*EXP(Ft!G$38*($A137-Ft!G$2)^2)</f>
        <v>12.077039992103034</v>
      </c>
      <c r="E137" s="26">
        <f>Ft!B$3*EXP(Ft!B$38*($A137-Ft!B$2)^2)</f>
        <v>1.2573511325439696E-4</v>
      </c>
      <c r="F137" s="26">
        <f>Ft!C$3*EXP(Ft!C$38*($A137-Ft!C$2)^2)</f>
        <v>9.0891599498847899</v>
      </c>
      <c r="G137" s="26">
        <f>Ft!D$3*EXP(Ft!D$38*($A137-Ft!D$2)^2)</f>
        <v>2.9876483435927033</v>
      </c>
      <c r="H137" s="26">
        <f>Ft!E$3*EXP(Ft!E$38*($A137-Ft!E$2)^2)</f>
        <v>1.0596351228647157E-4</v>
      </c>
      <c r="I137" s="26">
        <f>Ft!F$3*EXP(Ft!F$38*($A137-Ft!F$2)^2)</f>
        <v>1.2312444652718091E-87</v>
      </c>
      <c r="J137" s="26">
        <f>Ft!G$3*EXP(Ft!G$38*($A137-Ft!G$2)^2)</f>
        <v>0</v>
      </c>
    </row>
    <row r="138" spans="1:10">
      <c r="A138" s="19">
        <v>136</v>
      </c>
      <c r="B138" s="28">
        <v>16.527629289316621</v>
      </c>
      <c r="C138" s="27">
        <f ca="1">OFFSET($B138,1*(ROWS(C$2:C138)-1),0)</f>
        <v>44.505324269654693</v>
      </c>
      <c r="D138" s="26">
        <f>Ft!B$3*EXP(Ft!B$38*($A138-Ft!B$2)^2) +Ft!C$3*EXP(Ft!C$38*($A138-Ft!C$2)^2) + Ft!D$3*EXP(Ft!D$38*($A138-Ft!D$2)^2)+Ft!E$3*EXP(Ft!E$38*($A138-Ft!E$2)^2) +Ft!F$3*EXP(Ft!F$38*($A138-Ft!F$2)^2) + Ft!G$3*EXP(Ft!G$38*($A138-Ft!G$2)^2)</f>
        <v>12.116081705713798</v>
      </c>
      <c r="E138" s="26">
        <f>Ft!B$3*EXP(Ft!B$38*($A138-Ft!B$2)^2)</f>
        <v>1.0013415434132074E-4</v>
      </c>
      <c r="F138" s="26">
        <f>Ft!C$3*EXP(Ft!C$38*($A138-Ft!C$2)^2)</f>
        <v>9.0937754891722609</v>
      </c>
      <c r="G138" s="26">
        <f>Ft!D$3*EXP(Ft!D$38*($A138-Ft!D$2)^2)</f>
        <v>3.0220963903860003</v>
      </c>
      <c r="H138" s="26">
        <f>Ft!E$3*EXP(Ft!E$38*($A138-Ft!E$2)^2)</f>
        <v>1.0969200119641073E-4</v>
      </c>
      <c r="I138" s="26">
        <f>Ft!F$3*EXP(Ft!F$38*($A138-Ft!F$2)^2)</f>
        <v>1.9613694672664508E-87</v>
      </c>
      <c r="J138" s="26">
        <f>Ft!G$3*EXP(Ft!G$38*($A138-Ft!G$2)^2)</f>
        <v>0</v>
      </c>
    </row>
    <row r="139" spans="1:10">
      <c r="A139" s="19">
        <v>137</v>
      </c>
      <c r="B139" s="28">
        <v>16.712178988837252</v>
      </c>
      <c r="C139" s="27">
        <f ca="1">OFFSET($B139,1*(ROWS(C$2:C139)-1),0)</f>
        <v>44.919079122290896</v>
      </c>
      <c r="D139" s="26">
        <f>Ft!B$3*EXP(Ft!B$38*($A139-Ft!B$2)^2) +Ft!C$3*EXP(Ft!C$38*($A139-Ft!C$2)^2) + Ft!D$3*EXP(Ft!D$38*($A139-Ft!D$2)^2)+Ft!E$3*EXP(Ft!E$38*($A139-Ft!E$2)^2) +Ft!F$3*EXP(Ft!F$38*($A139-Ft!F$2)^2) + Ft!G$3*EXP(Ft!G$38*($A139-Ft!G$2)^2)</f>
        <v>12.153941027192008</v>
      </c>
      <c r="E139" s="26">
        <f>Ft!B$3*EXP(Ft!B$38*($A139-Ft!B$2)^2)</f>
        <v>7.954450100820695E-5</v>
      </c>
      <c r="F139" s="26">
        <f>Ft!C$3*EXP(Ft!C$38*($A139-Ft!C$2)^2)</f>
        <v>9.0969161745838178</v>
      </c>
      <c r="G139" s="26">
        <f>Ft!D$3*EXP(Ft!D$38*($A139-Ft!D$2)^2)</f>
        <v>3.0568317621404621</v>
      </c>
      <c r="H139" s="26">
        <f>Ft!E$3*EXP(Ft!E$38*($A139-Ft!E$2)^2)</f>
        <v>1.1354596672123668E-4</v>
      </c>
      <c r="I139" s="26">
        <f>Ft!F$3*EXP(Ft!F$38*($A139-Ft!F$2)^2)</f>
        <v>3.1227761078581455E-87</v>
      </c>
      <c r="J139" s="26">
        <f>Ft!G$3*EXP(Ft!G$38*($A139-Ft!G$2)^2)</f>
        <v>0</v>
      </c>
    </row>
    <row r="140" spans="1:10">
      <c r="A140" s="19">
        <v>138</v>
      </c>
      <c r="B140" s="28">
        <v>16.904902499082766</v>
      </c>
      <c r="C140" s="27">
        <f ca="1">OFFSET($B140,1*(ROWS(C$2:C140)-1),0)</f>
        <v>45.316940648405136</v>
      </c>
      <c r="D140" s="26">
        <f>Ft!B$3*EXP(Ft!B$38*($A140-Ft!B$2)^2) +Ft!C$3*EXP(Ft!C$38*($A140-Ft!C$2)^2) + Ft!D$3*EXP(Ft!D$38*($A140-Ft!D$2)^2)+Ft!E$3*EXP(Ft!E$38*($A140-Ft!E$2)^2) +Ft!F$3*EXP(Ft!F$38*($A140-Ft!F$2)^2) + Ft!G$3*EXP(Ft!G$38*($A140-Ft!G$2)^2)</f>
        <v>12.190616285348971</v>
      </c>
      <c r="E140" s="26">
        <f>Ft!B$3*EXP(Ft!B$38*($A140-Ft!B$2)^2)</f>
        <v>6.3028991670656731E-5</v>
      </c>
      <c r="F140" s="26">
        <f>Ft!C$3*EXP(Ft!C$38*($A140-Ft!C$2)^2)</f>
        <v>9.0985804767469265</v>
      </c>
      <c r="G140" s="26">
        <f>Ft!D$3*EXP(Ft!D$38*($A140-Ft!D$2)^2)</f>
        <v>3.0918552501877836</v>
      </c>
      <c r="H140" s="26">
        <f>Ft!E$3*EXP(Ft!E$38*($A140-Ft!E$2)^2)</f>
        <v>1.1752942258989193E-4</v>
      </c>
      <c r="I140" s="26">
        <f>Ft!F$3*EXP(Ft!F$38*($A140-Ft!F$2)^2)</f>
        <v>4.9692243435198952E-87</v>
      </c>
      <c r="J140" s="26">
        <f>Ft!G$3*EXP(Ft!G$38*($A140-Ft!G$2)^2)</f>
        <v>0</v>
      </c>
    </row>
    <row r="141" spans="1:10">
      <c r="A141" s="19">
        <v>139</v>
      </c>
      <c r="B141" s="28">
        <v>17.080868993172373</v>
      </c>
      <c r="C141" s="27">
        <f ca="1">OFFSET($B141,1*(ROWS(C$2:C141)-1),0)</f>
        <v>45.727465960365095</v>
      </c>
      <c r="D141" s="26">
        <f>Ft!B$3*EXP(Ft!B$38*($A141-Ft!B$2)^2) +Ft!C$3*EXP(Ft!C$38*($A141-Ft!C$2)^2) + Ft!D$3*EXP(Ft!D$38*($A141-Ft!D$2)^2)+Ft!E$3*EXP(Ft!E$38*($A141-Ft!E$2)^2) +Ft!F$3*EXP(Ft!F$38*($A141-Ft!F$2)^2) + Ft!G$3*EXP(Ft!G$38*($A141-Ft!G$2)^2)</f>
        <v>12.22610667173614</v>
      </c>
      <c r="E141" s="26">
        <f>Ft!B$3*EXP(Ft!B$38*($A141-Ft!B$2)^2)</f>
        <v>4.9816455900267596E-5</v>
      </c>
      <c r="F141" s="26">
        <f>Ft!C$3*EXP(Ft!C$38*($A141-Ft!C$2)^2)</f>
        <v>9.0987675850785585</v>
      </c>
      <c r="G141" s="26">
        <f>Ft!D$3*EXP(Ft!D$38*($A141-Ft!D$2)^2)</f>
        <v>3.1271676236981314</v>
      </c>
      <c r="H141" s="26">
        <f>Ft!E$3*EXP(Ft!E$38*($A141-Ft!E$2)^2)</f>
        <v>1.2164650354884385E-4</v>
      </c>
      <c r="I141" s="26">
        <f>Ft!F$3*EXP(Ft!F$38*($A141-Ft!F$2)^2)</f>
        <v>7.9031946565743601E-87</v>
      </c>
      <c r="J141" s="26">
        <f>Ft!G$3*EXP(Ft!G$38*($A141-Ft!G$2)^2)</f>
        <v>0</v>
      </c>
    </row>
    <row r="142" spans="1:10">
      <c r="A142" s="19">
        <v>140</v>
      </c>
      <c r="B142" s="28">
        <v>17.267720281426762</v>
      </c>
      <c r="C142" s="27">
        <f ca="1">OFFSET($B142,1*(ROWS(C$2:C142)-1),0)</f>
        <v>46.095295073247314</v>
      </c>
      <c r="D142" s="26">
        <f>Ft!B$3*EXP(Ft!B$38*($A142-Ft!B$2)^2) +Ft!C$3*EXP(Ft!C$38*($A142-Ft!C$2)^2) + Ft!D$3*EXP(Ft!D$38*($A142-Ft!D$2)^2)+Ft!E$3*EXP(Ft!E$38*($A142-Ft!E$2)^2) +Ft!F$3*EXP(Ft!F$38*($A142-Ft!F$2)^2) + Ft!G$3*EXP(Ft!G$38*($A142-Ft!G$2)^2)</f>
        <v>12.260412213446646</v>
      </c>
      <c r="E142" s="26">
        <f>Ft!B$3*EXP(Ft!B$38*($A142-Ft!B$2)^2)</f>
        <v>3.9274219703594189E-5</v>
      </c>
      <c r="F142" s="26">
        <f>Ft!C$3*EXP(Ft!C$38*($A142-Ft!C$2)^2)</f>
        <v>9.0974774084431491</v>
      </c>
      <c r="G142" s="26">
        <f>Ft!D$3*EXP(Ft!D$38*($A142-Ft!D$2)^2)</f>
        <v>3.162769629315032</v>
      </c>
      <c r="H142" s="26">
        <f>Ft!E$3*EXP(Ft!E$38*($A142-Ft!E$2)^2)</f>
        <v>1.2590146876053331E-4</v>
      </c>
      <c r="I142" s="26">
        <f>Ft!F$3*EXP(Ft!F$38*($A142-Ft!F$2)^2)</f>
        <v>1.2562702405875308E-86</v>
      </c>
      <c r="J142" s="26">
        <f>Ft!G$3*EXP(Ft!G$38*($A142-Ft!G$2)^2)</f>
        <v>0</v>
      </c>
    </row>
    <row r="143" spans="1:10">
      <c r="A143" s="19">
        <v>141</v>
      </c>
      <c r="B143" s="28">
        <v>17.471769508058856</v>
      </c>
      <c r="C143" s="27">
        <f ca="1">OFFSET($B143,1*(ROWS(C$2:C143)-1),0)</f>
        <v>46.427428060986159</v>
      </c>
      <c r="D143" s="26">
        <f>Ft!B$3*EXP(Ft!B$38*($A143-Ft!B$2)^2) +Ft!C$3*EXP(Ft!C$38*($A143-Ft!C$2)^2) + Ft!D$3*EXP(Ft!D$38*($A143-Ft!D$2)^2)+Ft!E$3*EXP(Ft!E$38*($A143-Ft!E$2)^2) +Ft!F$3*EXP(Ft!F$38*($A143-Ft!F$2)^2) + Ft!G$3*EXP(Ft!G$38*($A143-Ft!G$2)^2)</f>
        <v>12.293533749506363</v>
      </c>
      <c r="E143" s="26">
        <f>Ft!B$3*EXP(Ft!B$38*($A143-Ft!B$2)^2)</f>
        <v>3.088478437127908E-5</v>
      </c>
      <c r="F143" s="26">
        <f>Ft!C$3*EXP(Ft!C$38*($A143-Ft!C$2)^2)</f>
        <v>9.0947105752265607</v>
      </c>
      <c r="G143" s="26">
        <f>Ft!D$3*EXP(Ft!D$38*($A143-Ft!D$2)^2)</f>
        <v>3.1986619907901432</v>
      </c>
      <c r="H143" s="26">
        <f>Ft!E$3*EXP(Ft!E$38*($A143-Ft!E$2)^2)</f>
        <v>1.302987052891022E-4</v>
      </c>
      <c r="I143" s="26">
        <f>Ft!F$3*EXP(Ft!F$38*($A143-Ft!F$2)^2)</f>
        <v>1.9958586647049768E-86</v>
      </c>
      <c r="J143" s="26">
        <f>Ft!G$3*EXP(Ft!G$38*($A143-Ft!G$2)^2)</f>
        <v>0</v>
      </c>
    </row>
    <row r="144" spans="1:10">
      <c r="A144" s="19">
        <v>142</v>
      </c>
      <c r="B144" s="28">
        <v>17.665299644178816</v>
      </c>
      <c r="C144" s="27">
        <f ca="1">OFFSET($B144,1*(ROWS(C$2:C144)-1),0)</f>
        <v>46.681655639424719</v>
      </c>
      <c r="D144" s="26">
        <f>Ft!B$3*EXP(Ft!B$38*($A144-Ft!B$2)^2) +Ft!C$3*EXP(Ft!C$38*($A144-Ft!C$2)^2) + Ft!D$3*EXP(Ft!D$38*($A144-Ft!D$2)^2)+Ft!E$3*EXP(Ft!E$38*($A144-Ft!E$2)^2) +Ft!F$3*EXP(Ft!F$38*($A144-Ft!F$2)^2) + Ft!G$3*EXP(Ft!G$38*($A144-Ft!G$2)^2)</f>
        <v>12.325472910295034</v>
      </c>
      <c r="E144" s="26">
        <f>Ft!B$3*EXP(Ft!B$38*($A144-Ft!B$2)^2)</f>
        <v>2.4226119329967567E-5</v>
      </c>
      <c r="F144" s="26">
        <f>Ft!C$3*EXP(Ft!C$38*($A144-Ft!C$2)^2)</f>
        <v>9.0904684328260235</v>
      </c>
      <c r="G144" s="26">
        <f>Ft!D$3*EXP(Ft!D$38*($A144-Ft!D$2)^2)</f>
        <v>3.2348454086180056</v>
      </c>
      <c r="H144" s="26">
        <f>Ft!E$3*EXP(Ft!E$38*($A144-Ft!E$2)^2)</f>
        <v>1.3484273167537806E-4</v>
      </c>
      <c r="I144" s="26">
        <f>Ft!F$3*EXP(Ft!F$38*($A144-Ft!F$2)^2)</f>
        <v>3.1691501364096505E-86</v>
      </c>
      <c r="J144" s="26">
        <f>Ft!G$3*EXP(Ft!G$38*($A144-Ft!G$2)^2)</f>
        <v>0</v>
      </c>
    </row>
    <row r="145" spans="1:10">
      <c r="A145" s="19">
        <v>143</v>
      </c>
      <c r="B145" s="28">
        <v>17.854093999957456</v>
      </c>
      <c r="C145" s="27">
        <f ca="1">OFFSET($B145,1*(ROWS(C$2:C145)-1),0)</f>
        <v>46.931584327113484</v>
      </c>
      <c r="D145" s="26">
        <f>Ft!B$3*EXP(Ft!B$38*($A145-Ft!B$2)^2) +Ft!C$3*EXP(Ft!C$38*($A145-Ft!C$2)^2) + Ft!D$3*EXP(Ft!D$38*($A145-Ft!D$2)^2)+Ft!E$3*EXP(Ft!E$38*($A145-Ft!E$2)^2) +Ft!F$3*EXP(Ft!F$38*($A145-Ft!F$2)^2) + Ft!G$3*EXP(Ft!G$38*($A145-Ft!G$2)^2)</f>
        <v>12.356232099499392</v>
      </c>
      <c r="E145" s="26">
        <f>Ft!B$3*EXP(Ft!B$38*($A145-Ft!B$2)^2)</f>
        <v>1.8955070359838795E-5</v>
      </c>
      <c r="F145" s="26">
        <f>Ft!C$3*EXP(Ft!C$38*($A145-Ft!C$2)^2)</f>
        <v>9.0847530465565889</v>
      </c>
      <c r="G145" s="26">
        <f>Ft!D$3*EXP(Ft!D$38*($A145-Ft!D$2)^2)</f>
        <v>3.2713205596708397</v>
      </c>
      <c r="H145" s="26">
        <f>Ft!E$3*EXP(Ft!E$38*($A145-Ft!E$2)^2)</f>
        <v>1.3953820160314602E-4</v>
      </c>
      <c r="I145" s="26">
        <f>Ft!F$3*EXP(Ft!F$38*($A145-Ft!F$2)^2)</f>
        <v>5.0294693160750855E-86</v>
      </c>
      <c r="J145" s="26">
        <f>Ft!G$3*EXP(Ft!G$38*($A145-Ft!G$2)^2)</f>
        <v>0</v>
      </c>
    </row>
    <row r="146" spans="1:10">
      <c r="A146" s="19">
        <v>144</v>
      </c>
      <c r="B146" s="28">
        <v>18.041167608967839</v>
      </c>
      <c r="C146" s="27">
        <f ca="1">OFFSET($B146,1*(ROWS(C$2:C146)-1),0)</f>
        <v>47.167427282568724</v>
      </c>
      <c r="D146" s="26">
        <f>Ft!B$3*EXP(Ft!B$38*($A146-Ft!B$2)^2) +Ft!C$3*EXP(Ft!C$38*($A146-Ft!C$2)^2) + Ft!D$3*EXP(Ft!D$38*($A146-Ft!D$2)^2)+Ft!E$3*EXP(Ft!E$38*($A146-Ft!E$2)^2) +Ft!F$3*EXP(Ft!F$38*($A146-Ft!F$2)^2) + Ft!G$3*EXP(Ft!G$38*($A146-Ft!G$2)^2)</f>
        <v>12.385814478158059</v>
      </c>
      <c r="E146" s="26">
        <f>Ft!B$3*EXP(Ft!B$38*($A146-Ft!B$2)^2)</f>
        <v>1.4793441539367684E-5</v>
      </c>
      <c r="F146" s="26">
        <f>Ft!C$3*EXP(Ft!C$38*($A146-Ft!C$2)^2)</f>
        <v>9.0775671979753803</v>
      </c>
      <c r="G146" s="26">
        <f>Ft!D$3*EXP(Ft!D$38*($A146-Ft!D$2)^2)</f>
        <v>3.3080880968334792</v>
      </c>
      <c r="H146" s="26">
        <f>Ft!E$3*EXP(Ft!E$38*($A146-Ft!E$2)^2)</f>
        <v>1.4438990765876645E-4</v>
      </c>
      <c r="I146" s="26">
        <f>Ft!F$3*EXP(Ft!F$38*($A146-Ft!F$2)^2)</f>
        <v>7.9775186894706302E-86</v>
      </c>
      <c r="J146" s="26">
        <f>Ft!G$3*EXP(Ft!G$38*($A146-Ft!G$2)^2)</f>
        <v>0</v>
      </c>
    </row>
    <row r="147" spans="1:10">
      <c r="A147" s="19">
        <v>145</v>
      </c>
      <c r="B147" s="28">
        <v>18.227747084390387</v>
      </c>
      <c r="C147" s="27">
        <f ca="1">OFFSET($B147,1*(ROWS(C$2:C147)-1),0)</f>
        <v>47.417087667751957</v>
      </c>
      <c r="D147" s="26">
        <f>Ft!B$3*EXP(Ft!B$38*($A147-Ft!B$2)^2) +Ft!C$3*EXP(Ft!C$38*($A147-Ft!C$2)^2) + Ft!D$3*EXP(Ft!D$38*($A147-Ft!D$2)^2)+Ft!E$3*EXP(Ft!E$38*($A147-Ft!E$2)^2) +Ft!F$3*EXP(Ft!F$38*($A147-Ft!F$2)^2) + Ft!G$3*EXP(Ft!G$38*($A147-Ft!G$2)^2)</f>
        <v>12.414223950411225</v>
      </c>
      <c r="E147" s="26">
        <f>Ft!B$3*EXP(Ft!B$38*($A147-Ft!B$2)^2)</f>
        <v>1.1516362031798071E-5</v>
      </c>
      <c r="F147" s="26">
        <f>Ft!C$3*EXP(Ft!C$38*($A147-Ft!C$2)^2)</f>
        <v>9.0689143826254952</v>
      </c>
      <c r="G147" s="26">
        <f>Ft!D$3*EXP(Ft!D$38*($A147-Ft!D$2)^2)</f>
        <v>3.3451486486385122</v>
      </c>
      <c r="H147" s="26">
        <f>Ft!E$3*EXP(Ft!E$38*($A147-Ft!E$2)^2)</f>
        <v>1.4940278518623702E-4</v>
      </c>
      <c r="I147" s="26">
        <f>Ft!F$3*EXP(Ft!F$38*($A147-Ft!F$2)^2)</f>
        <v>1.2646775704263518E-85</v>
      </c>
      <c r="J147" s="26">
        <f>Ft!G$3*EXP(Ft!G$38*($A147-Ft!G$2)^2)</f>
        <v>0</v>
      </c>
    </row>
    <row r="148" spans="1:10">
      <c r="A148" s="19">
        <v>146</v>
      </c>
      <c r="B148" s="28">
        <v>18.406214207687611</v>
      </c>
      <c r="C148" s="27">
        <f ca="1">OFFSET($B148,1*(ROWS(C$2:C148)-1),0)</f>
        <v>47.575802466907845</v>
      </c>
      <c r="D148" s="26">
        <f>Ft!B$3*EXP(Ft!B$38*($A148-Ft!B$2)^2) +Ft!C$3*EXP(Ft!C$38*($A148-Ft!C$2)^2) + Ft!D$3*EXP(Ft!D$38*($A148-Ft!D$2)^2)+Ft!E$3*EXP(Ft!E$38*($A148-Ft!E$2)^2) +Ft!F$3*EXP(Ft!F$38*($A148-Ft!F$2)^2) + Ft!G$3*EXP(Ft!G$38*($A148-Ft!G$2)^2)</f>
        <v>12.441465150617304</v>
      </c>
      <c r="E148" s="26">
        <f>Ft!B$3*EXP(Ft!B$38*($A148-Ft!B$2)^2)</f>
        <v>8.9425971823508486E-6</v>
      </c>
      <c r="F148" s="26">
        <f>Ft!C$3*EXP(Ft!C$38*($A148-Ft!C$2)^2)</f>
        <v>9.0587988072021659</v>
      </c>
      <c r="G148" s="26">
        <f>Ft!D$3*EXP(Ft!D$38*($A148-Ft!D$2)^2)</f>
        <v>3.3825028189017172</v>
      </c>
      <c r="H148" s="26">
        <f>Ft!E$3*EXP(Ft!E$38*($A148-Ft!E$2)^2)</f>
        <v>1.5458191623984429E-4</v>
      </c>
      <c r="I148" s="26">
        <f>Ft!F$3*EXP(Ft!F$38*($A148-Ft!F$2)^2)</f>
        <v>2.0038172950011533E-85</v>
      </c>
      <c r="J148" s="26">
        <f>Ft!G$3*EXP(Ft!G$38*($A148-Ft!G$2)^2)</f>
        <v>0</v>
      </c>
    </row>
    <row r="149" spans="1:10">
      <c r="A149" s="19">
        <v>147</v>
      </c>
      <c r="B149" s="28">
        <v>18.57920047253242</v>
      </c>
      <c r="C149" s="27">
        <f ca="1">OFFSET($B149,1*(ROWS(C$2:C149)-1),0)</f>
        <v>47.727399033613892</v>
      </c>
      <c r="D149" s="26">
        <f>Ft!B$3*EXP(Ft!B$38*($A149-Ft!B$2)^2) +Ft!C$3*EXP(Ft!C$38*($A149-Ft!C$2)^2) + Ft!D$3*EXP(Ft!D$38*($A149-Ft!D$2)^2)+Ft!E$3*EXP(Ft!E$38*($A149-Ft!E$2)^2) +Ft!F$3*EXP(Ft!F$38*($A149-Ft!F$2)^2) + Ft!G$3*EXP(Ft!G$38*($A149-Ft!G$2)^2)</f>
        <v>12.467543431543207</v>
      </c>
      <c r="E149" s="26">
        <f>Ft!B$3*EXP(Ft!B$38*($A149-Ft!B$2)^2)</f>
        <v>6.926507330073756E-6</v>
      </c>
      <c r="F149" s="26">
        <f>Ft!C$3*EXP(Ft!C$38*($A149-Ft!C$2)^2)</f>
        <v>9.0472253861443637</v>
      </c>
      <c r="G149" s="26">
        <f>Ft!D$3*EXP(Ft!D$38*($A149-Ft!D$2)^2)</f>
        <v>3.4201511863578777</v>
      </c>
      <c r="H149" s="26">
        <f>Ft!E$3*EXP(Ft!E$38*($A149-Ft!E$2)^2)</f>
        <v>1.5993253363657492E-4</v>
      </c>
      <c r="I149" s="26">
        <f>Ft!F$3*EXP(Ft!F$38*($A149-Ft!F$2)^2)</f>
        <v>3.1732387109452524E-85</v>
      </c>
      <c r="J149" s="26">
        <f>Ft!G$3*EXP(Ft!G$38*($A149-Ft!G$2)^2)</f>
        <v>0</v>
      </c>
    </row>
    <row r="150" spans="1:10">
      <c r="A150" s="19">
        <v>148</v>
      </c>
      <c r="B150" s="28">
        <v>18.771690158042844</v>
      </c>
      <c r="C150" s="27">
        <f ca="1">OFFSET($B150,1*(ROWS(C$2:C150)-1),0)</f>
        <v>47.947038208703447</v>
      </c>
      <c r="D150" s="26">
        <f>Ft!B$3*EXP(Ft!B$38*($A150-Ft!B$2)^2) +Ft!C$3*EXP(Ft!C$38*($A150-Ft!C$2)^2) + Ft!D$3*EXP(Ft!D$38*($A150-Ft!D$2)^2)+Ft!E$3*EXP(Ft!E$38*($A150-Ft!E$2)^2) +Ft!F$3*EXP(Ft!F$38*($A150-Ft!F$2)^2) + Ft!G$3*EXP(Ft!G$38*($A150-Ft!G$2)^2)</f>
        <v>12.492464853375234</v>
      </c>
      <c r="E150" s="26">
        <f>Ft!B$3*EXP(Ft!B$38*($A150-Ft!B$2)^2)</f>
        <v>5.3513973354313383E-6</v>
      </c>
      <c r="F150" s="26">
        <f>Ft!C$3*EXP(Ft!C$38*($A150-Ft!C$2)^2)</f>
        <v>9.0341997376557401</v>
      </c>
      <c r="G150" s="26">
        <f>Ft!D$3*EXP(Ft!D$38*($A150-Ft!D$2)^2)</f>
        <v>3.4580943042970471</v>
      </c>
      <c r="H150" s="26">
        <f>Ft!E$3*EXP(Ft!E$38*($A150-Ft!E$2)^2)</f>
        <v>1.6546002511051252E-4</v>
      </c>
      <c r="I150" s="26">
        <f>Ft!F$3*EXP(Ft!F$38*($A150-Ft!F$2)^2)</f>
        <v>5.0224276029775002E-85</v>
      </c>
      <c r="J150" s="26">
        <f>Ft!G$3*EXP(Ft!G$38*($A150-Ft!G$2)^2)</f>
        <v>0</v>
      </c>
    </row>
    <row r="151" spans="1:10">
      <c r="A151" s="19">
        <v>149</v>
      </c>
      <c r="B151" s="28">
        <v>18.958025828641865</v>
      </c>
      <c r="C151" s="27">
        <f ca="1">OFFSET($B151,1*(ROWS(C$2:C151)-1),0)</f>
        <v>48.10180977345297</v>
      </c>
      <c r="D151" s="26">
        <f>Ft!B$3*EXP(Ft!B$38*($A151-Ft!B$2)^2) +Ft!C$3*EXP(Ft!C$38*($A151-Ft!C$2)^2) + Ft!D$3*EXP(Ft!D$38*($A151-Ft!D$2)^2)+Ft!E$3*EXP(Ft!E$38*($A151-Ft!E$2)^2) +Ft!F$3*EXP(Ft!F$38*($A151-Ft!F$2)^2) + Ft!G$3*EXP(Ft!G$38*($A151-Ft!G$2)^2)</f>
        <v>12.516236173333557</v>
      </c>
      <c r="E151" s="26">
        <f>Ft!B$3*EXP(Ft!B$38*($A151-Ft!B$2)^2)</f>
        <v>4.1240352449275673E-6</v>
      </c>
      <c r="F151" s="26">
        <f>Ft!C$3*EXP(Ft!C$38*($A151-Ft!C$2)^2)</f>
        <v>9.0197281791593742</v>
      </c>
      <c r="G151" s="26">
        <f>Ft!D$3*EXP(Ft!D$38*($A151-Ft!D$2)^2)</f>
        <v>3.496332700201366</v>
      </c>
      <c r="H151" s="26">
        <f>Ft!E$3*EXP(Ft!E$38*($A151-Ft!E$2)^2)</f>
        <v>1.7116993757147343E-4</v>
      </c>
      <c r="I151" s="26">
        <f>Ft!F$3*EXP(Ft!F$38*($A151-Ft!F$2)^2)</f>
        <v>7.9449459183870272E-85</v>
      </c>
      <c r="J151" s="26">
        <f>Ft!G$3*EXP(Ft!G$38*($A151-Ft!G$2)^2)</f>
        <v>0</v>
      </c>
    </row>
    <row r="152" spans="1:10">
      <c r="A152" s="19">
        <v>150</v>
      </c>
      <c r="B152" s="28">
        <v>19.124989979269742</v>
      </c>
      <c r="C152" s="27">
        <f ca="1">OFFSET($B152,1*(ROWS(C$2:C152)-1),0)</f>
        <v>48.226219882416245</v>
      </c>
      <c r="D152" s="26">
        <f>Ft!B$3*EXP(Ft!B$38*($A152-Ft!B$2)^2) +Ft!C$3*EXP(Ft!C$38*($A152-Ft!C$2)^2) + Ft!D$3*EXP(Ft!D$38*($A152-Ft!D$2)^2)+Ft!E$3*EXP(Ft!E$38*($A152-Ft!E$2)^2) +Ft!F$3*EXP(Ft!F$38*($A152-Ft!F$2)^2) + Ft!G$3*EXP(Ft!G$38*($A152-Ft!G$2)^2)</f>
        <v>12.53886483570548</v>
      </c>
      <c r="E152" s="26">
        <f>Ft!B$3*EXP(Ft!B$38*($A152-Ft!B$2)^2)</f>
        <v>3.1701499754290739E-6</v>
      </c>
      <c r="F152" s="26">
        <f>Ft!C$3*EXP(Ft!C$38*($A152-Ft!C$2)^2)</f>
        <v>9.0038177221915312</v>
      </c>
      <c r="G152" s="26">
        <f>Ft!D$3*EXP(Ft!D$38*($A152-Ft!D$2)^2)</f>
        <v>3.5348668753825025</v>
      </c>
      <c r="H152" s="26">
        <f>Ft!E$3*EXP(Ft!E$38*($A152-Ft!E$2)^2)</f>
        <v>1.7706798147018579E-4</v>
      </c>
      <c r="I152" s="26">
        <f>Ft!F$3*EXP(Ft!F$38*($A152-Ft!F$2)^2)</f>
        <v>1.2561298147809404E-84</v>
      </c>
      <c r="J152" s="26">
        <f>Ft!G$3*EXP(Ft!G$38*($A152-Ft!G$2)^2)</f>
        <v>0</v>
      </c>
    </row>
    <row r="153" spans="1:10">
      <c r="A153" s="19">
        <v>151</v>
      </c>
      <c r="B153" s="28">
        <v>19.301110173817591</v>
      </c>
      <c r="C153" s="27">
        <f ca="1">OFFSET($B153,1*(ROWS(C$2:C153)-1),0)</f>
        <v>48.338221628167645</v>
      </c>
      <c r="D153" s="26">
        <f>Ft!B$3*EXP(Ft!B$38*($A153-Ft!B$2)^2) +Ft!C$3*EXP(Ft!C$38*($A153-Ft!C$2)^2) + Ft!D$3*EXP(Ft!D$38*($A153-Ft!D$2)^2)+Ft!E$3*EXP(Ft!E$38*($A153-Ft!E$2)^2) +Ft!F$3*EXP(Ft!F$38*($A153-Ft!F$2)^2) + Ft!G$3*EXP(Ft!G$38*($A153-Ft!G$2)^2)</f>
        <v>12.560358962140887</v>
      </c>
      <c r="E153" s="26">
        <f>Ft!B$3*EXP(Ft!B$38*($A153-Ft!B$2)^2)</f>
        <v>2.4307456609660228E-6</v>
      </c>
      <c r="F153" s="26">
        <f>Ft!C$3*EXP(Ft!C$38*($A153-Ft!C$2)^2)</f>
        <v>8.9864760667401473</v>
      </c>
      <c r="G153" s="26">
        <f>Ft!D$3*EXP(Ft!D$38*($A153-Ft!D$2)^2)</f>
        <v>3.5736973046198059</v>
      </c>
      <c r="H153" s="26">
        <f>Ft!E$3*EXP(Ft!E$38*($A153-Ft!E$2)^2)</f>
        <v>1.8316003527234782E-4</v>
      </c>
      <c r="I153" s="26">
        <f>Ft!F$3*EXP(Ft!F$38*($A153-Ft!F$2)^2)</f>
        <v>1.9849264596590793E-84</v>
      </c>
      <c r="J153" s="26">
        <f>Ft!G$3*EXP(Ft!G$38*($A153-Ft!G$2)^2)</f>
        <v>0</v>
      </c>
    </row>
    <row r="154" spans="1:10">
      <c r="A154" s="19">
        <v>152</v>
      </c>
      <c r="B154" s="28">
        <v>19.510738182804175</v>
      </c>
      <c r="C154" s="27">
        <f ca="1">OFFSET($B154,1*(ROWS(C$2:C154)-1),0)</f>
        <v>48.305268424173534</v>
      </c>
      <c r="D154" s="26">
        <f>Ft!B$3*EXP(Ft!B$38*($A154-Ft!B$2)^2) +Ft!C$3*EXP(Ft!C$38*($A154-Ft!C$2)^2) + Ft!D$3*EXP(Ft!D$38*($A154-Ft!D$2)^2)+Ft!E$3*EXP(Ft!E$38*($A154-Ft!E$2)^2) +Ft!F$3*EXP(Ft!F$38*($A154-Ft!F$2)^2) + Ft!G$3*EXP(Ft!G$38*($A154-Ft!G$2)^2)</f>
        <v>12.58072734207845</v>
      </c>
      <c r="E154" s="26">
        <f>Ft!B$3*EXP(Ft!B$38*($A154-Ft!B$2)^2)</f>
        <v>1.8590946454405419E-6</v>
      </c>
      <c r="F154" s="26">
        <f>Ft!C$3*EXP(Ft!C$38*($A154-Ft!C$2)^2)</f>
        <v>8.9677115950344994</v>
      </c>
      <c r="G154" s="26">
        <f>Ft!D$3*EXP(Ft!D$38*($A154-Ft!D$2)^2)</f>
        <v>3.6128244357992609</v>
      </c>
      <c r="H154" s="26">
        <f>Ft!E$3*EXP(Ft!E$38*($A154-Ft!E$2)^2)</f>
        <v>1.8945215004395521E-4</v>
      </c>
      <c r="I154" s="26">
        <f>Ft!F$3*EXP(Ft!F$38*($A154-Ft!F$2)^2)</f>
        <v>3.1348779470633359E-84</v>
      </c>
      <c r="J154" s="26">
        <f>Ft!G$3*EXP(Ft!G$38*($A154-Ft!G$2)^2)</f>
        <v>0</v>
      </c>
    </row>
    <row r="155" spans="1:10">
      <c r="A155" s="19">
        <v>153</v>
      </c>
      <c r="B155" s="28">
        <v>19.714770750985053</v>
      </c>
      <c r="C155" s="27">
        <f ca="1">OFFSET($B155,1*(ROWS(C$2:C155)-1),0)</f>
        <v>48.288242600902038</v>
      </c>
      <c r="D155" s="26">
        <f>Ft!B$3*EXP(Ft!B$38*($A155-Ft!B$2)^2) +Ft!C$3*EXP(Ft!C$38*($A155-Ft!C$2)^2) + Ft!D$3*EXP(Ft!D$38*($A155-Ft!D$2)^2)+Ft!E$3*EXP(Ft!E$38*($A155-Ft!E$2)^2) +Ft!F$3*EXP(Ft!F$38*($A155-Ft!F$2)^2) + Ft!G$3*EXP(Ft!G$38*($A155-Ft!G$2)^2)</f>
        <v>12.599979423192813</v>
      </c>
      <c r="E155" s="26">
        <f>Ft!B$3*EXP(Ft!B$38*($A155-Ft!B$2)^2)</f>
        <v>1.4182923195805081E-6</v>
      </c>
      <c r="F155" s="26">
        <f>Ft!C$3*EXP(Ft!C$38*($A155-Ft!C$2)^2)</f>
        <v>8.9475333647930189</v>
      </c>
      <c r="G155" s="26">
        <f>Ft!D$3*EXP(Ft!D$38*($A155-Ft!D$2)^2)</f>
        <v>3.6522486895533244</v>
      </c>
      <c r="H155" s="26">
        <f>Ft!E$3*EXP(Ft!E$38*($A155-Ft!E$2)^2)</f>
        <v>1.9595055415031333E-4</v>
      </c>
      <c r="I155" s="26">
        <f>Ft!F$3*EXP(Ft!F$38*($A155-Ft!F$2)^2)</f>
        <v>4.9483814586861887E-84</v>
      </c>
      <c r="J155" s="26">
        <f>Ft!G$3*EXP(Ft!G$38*($A155-Ft!G$2)^2)</f>
        <v>0</v>
      </c>
    </row>
    <row r="156" spans="1:10">
      <c r="A156" s="19">
        <v>154</v>
      </c>
      <c r="B156" s="28">
        <v>19.896422495919637</v>
      </c>
      <c r="C156" s="27">
        <f ca="1">OFFSET($B156,1*(ROWS(C$2:C156)-1),0)</f>
        <v>48.277677120078778</v>
      </c>
      <c r="D156" s="26">
        <f>Ft!B$3*EXP(Ft!B$38*($A156-Ft!B$2)^2) +Ft!C$3*EXP(Ft!C$38*($A156-Ft!C$2)^2) + Ft!D$3*EXP(Ft!D$38*($A156-Ft!D$2)^2)+Ft!E$3*EXP(Ft!E$38*($A156-Ft!E$2)^2) +Ft!F$3*EXP(Ft!F$38*($A156-Ft!F$2)^2) + Ft!G$3*EXP(Ft!G$38*($A156-Ft!G$2)^2)</f>
        <v>12.618125301772107</v>
      </c>
      <c r="E156" s="26">
        <f>Ft!B$3*EXP(Ft!B$38*($A156-Ft!B$2)^2)</f>
        <v>1.0792753853746879E-6</v>
      </c>
      <c r="F156" s="26">
        <f>Ft!C$3*EXP(Ft!C$38*($A156-Ft!C$2)^2)</f>
        <v>8.9259511019369064</v>
      </c>
      <c r="G156" s="26">
        <f>Ft!D$3*EXP(Ft!D$38*($A156-Ft!D$2)^2)</f>
        <v>3.6919704589017446</v>
      </c>
      <c r="H156" s="26">
        <f>Ft!E$3*EXP(Ft!E$38*($A156-Ft!E$2)^2)</f>
        <v>2.0266165807121241E-4</v>
      </c>
      <c r="I156" s="26">
        <f>Ft!F$3*EXP(Ft!F$38*($A156-Ft!F$2)^2)</f>
        <v>7.8067814896310237E-84</v>
      </c>
      <c r="J156" s="26">
        <f>Ft!G$3*EXP(Ft!G$38*($A156-Ft!G$2)^2)</f>
        <v>0</v>
      </c>
    </row>
    <row r="157" spans="1:10">
      <c r="A157" s="19">
        <v>155</v>
      </c>
      <c r="B157" s="28">
        <v>20.083078953001973</v>
      </c>
      <c r="C157" s="27">
        <f ca="1">OFFSET($B157,1*(ROWS(C$2:C157)-1),0)</f>
        <v>48.289875596066395</v>
      </c>
      <c r="D157" s="26">
        <f>Ft!B$3*EXP(Ft!B$38*($A157-Ft!B$2)^2) +Ft!C$3*EXP(Ft!C$38*($A157-Ft!C$2)^2) + Ft!D$3*EXP(Ft!D$38*($A157-Ft!D$2)^2)+Ft!E$3*EXP(Ft!E$38*($A157-Ft!E$2)^2) +Ft!F$3*EXP(Ft!F$38*($A157-Ft!F$2)^2) + Ft!G$3*EXP(Ft!G$38*($A157-Ft!G$2)^2)</f>
        <v>12.635175712951476</v>
      </c>
      <c r="E157" s="26">
        <f>Ft!B$3*EXP(Ft!B$38*($A157-Ft!B$2)^2)</f>
        <v>8.1922097620959025E-7</v>
      </c>
      <c r="F157" s="26">
        <f>Ft!C$3*EXP(Ft!C$38*($A157-Ft!C$2)^2)</f>
        <v>8.9029751927777294</v>
      </c>
      <c r="G157" s="26">
        <f>Ft!D$3*EXP(Ft!D$38*($A157-Ft!D$2)^2)</f>
        <v>3.7319901088934366</v>
      </c>
      <c r="H157" s="26">
        <f>Ft!E$3*EXP(Ft!E$38*($A157-Ft!E$2)^2)</f>
        <v>2.0959205933476993E-4</v>
      </c>
      <c r="I157" s="26">
        <f>Ft!F$3*EXP(Ft!F$38*($A157-Ft!F$2)^2)</f>
        <v>1.2309692238017613E-83</v>
      </c>
      <c r="J157" s="26">
        <f>Ft!G$3*EXP(Ft!G$38*($A157-Ft!G$2)^2)</f>
        <v>0</v>
      </c>
    </row>
    <row r="158" spans="1:10">
      <c r="A158" s="19">
        <v>156</v>
      </c>
      <c r="B158" s="28">
        <v>20.285245962246563</v>
      </c>
      <c r="C158" s="27">
        <f ca="1">OFFSET($B158,1*(ROWS(C$2:C158)-1),0)</f>
        <v>48.272978543089778</v>
      </c>
      <c r="D158" s="26">
        <f>Ft!B$3*EXP(Ft!B$38*($A158-Ft!B$2)^2) +Ft!C$3*EXP(Ft!C$38*($A158-Ft!C$2)^2) + Ft!D$3*EXP(Ft!D$38*($A158-Ft!D$2)^2)+Ft!E$3*EXP(Ft!E$38*($A158-Ft!E$2)^2) +Ft!F$3*EXP(Ft!F$38*($A158-Ft!F$2)^2) + Ft!G$3*EXP(Ft!G$38*($A158-Ft!G$2)^2)</f>
        <v>12.651142020742515</v>
      </c>
      <c r="E158" s="26">
        <f>Ft!B$3*EXP(Ft!B$38*($A158-Ft!B$2)^2)</f>
        <v>6.2025764470377501E-7</v>
      </c>
      <c r="F158" s="26">
        <f>Ft!C$3*EXP(Ft!C$38*($A158-Ft!C$2)^2)</f>
        <v>8.8786166756877858</v>
      </c>
      <c r="G158" s="26">
        <f>Ft!D$3*EXP(Ft!D$38*($A158-Ft!D$2)^2)</f>
        <v>3.7723079762495124</v>
      </c>
      <c r="H158" s="26">
        <f>Ft!E$3*EXP(Ft!E$38*($A158-Ft!E$2)^2)</f>
        <v>2.1674854757249668E-4</v>
      </c>
      <c r="I158" s="26">
        <f>Ft!F$3*EXP(Ft!F$38*($A158-Ft!F$2)^2)</f>
        <v>1.9399417282912669E-83</v>
      </c>
      <c r="J158" s="26">
        <f>Ft!G$3*EXP(Ft!G$38*($A158-Ft!G$2)^2)</f>
        <v>0</v>
      </c>
    </row>
    <row r="159" spans="1:10">
      <c r="A159" s="19">
        <v>157</v>
      </c>
      <c r="B159" s="28">
        <v>20.488708486909786</v>
      </c>
      <c r="C159" s="27">
        <f ca="1">OFFSET($B159,1*(ROWS(C$2:C159)-1),0)</f>
        <v>48.293325054205866</v>
      </c>
      <c r="D159" s="26">
        <f>Ft!B$3*EXP(Ft!B$38*($A159-Ft!B$2)^2) +Ft!C$3*EXP(Ft!C$38*($A159-Ft!C$2)^2) + Ft!D$3*EXP(Ft!D$38*($A159-Ft!D$2)^2)+Ft!E$3*EXP(Ft!E$38*($A159-Ft!E$2)^2) +Ft!F$3*EXP(Ft!F$38*($A159-Ft!F$2)^2) + Ft!G$3*EXP(Ft!G$38*($A159-Ft!G$2)^2)</f>
        <v>12.666036207810668</v>
      </c>
      <c r="E159" s="26">
        <f>Ft!B$3*EXP(Ft!B$38*($A159-Ft!B$2)^2)</f>
        <v>4.6843081601010215E-7</v>
      </c>
      <c r="F159" s="26">
        <f>Ft!C$3*EXP(Ft!C$38*($A159-Ft!C$2)^2)</f>
        <v>8.8528872322626011</v>
      </c>
      <c r="G159" s="26">
        <f>Ft!D$3*EXP(Ft!D$38*($A159-Ft!D$2)^2)</f>
        <v>3.8129243690075514</v>
      </c>
      <c r="H159" s="26">
        <f>Ft!E$3*EXP(Ft!E$38*($A159-Ft!E$2)^2)</f>
        <v>2.2413810969818625E-4</v>
      </c>
      <c r="I159" s="26">
        <f>Ft!F$3*EXP(Ft!F$38*($A159-Ft!F$2)^2)</f>
        <v>3.0555999427660585E-83</v>
      </c>
      <c r="J159" s="26">
        <f>Ft!G$3*EXP(Ft!G$38*($A159-Ft!G$2)^2)</f>
        <v>0</v>
      </c>
    </row>
    <row r="160" spans="1:10">
      <c r="A160" s="19">
        <v>158</v>
      </c>
      <c r="B160" s="28">
        <v>20.67976577465339</v>
      </c>
      <c r="C160" s="27">
        <f ca="1">OFFSET($B160,1*(ROWS(C$2:C160)-1),0)</f>
        <v>48.264178407994535</v>
      </c>
      <c r="D160" s="26">
        <f>Ft!B$3*EXP(Ft!B$38*($A160-Ft!B$2)^2) +Ft!C$3*EXP(Ft!C$38*($A160-Ft!C$2)^2) + Ft!D$3*EXP(Ft!D$38*($A160-Ft!D$2)^2)+Ft!E$3*EXP(Ft!E$38*($A160-Ft!E$2)^2) +Ft!F$3*EXP(Ft!F$38*($A160-Ft!F$2)^2) + Ft!G$3*EXP(Ft!G$38*($A160-Ft!G$2)^2)</f>
        <v>12.679870864963013</v>
      </c>
      <c r="E160" s="26">
        <f>Ft!B$3*EXP(Ft!B$38*($A160-Ft!B$2)^2)</f>
        <v>3.5287513710625595E-7</v>
      </c>
      <c r="F160" s="26">
        <f>Ft!C$3*EXP(Ft!C$38*($A160-Ft!C$2)^2)</f>
        <v>8.8257991779854539</v>
      </c>
      <c r="G160" s="26">
        <f>Ft!D$3*EXP(Ft!D$38*($A160-Ft!D$2)^2)</f>
        <v>3.853839566167208</v>
      </c>
      <c r="H160" s="26">
        <f>Ft!E$3*EXP(Ft!E$38*($A160-Ft!E$2)^2)</f>
        <v>2.3176793521327351E-4</v>
      </c>
      <c r="I160" s="26">
        <f>Ft!F$3*EXP(Ft!F$38*($A160-Ft!F$2)^2)</f>
        <v>4.8102829165456387E-83</v>
      </c>
      <c r="J160" s="26">
        <f>Ft!G$3*EXP(Ft!G$38*($A160-Ft!G$2)^2)</f>
        <v>0</v>
      </c>
    </row>
    <row r="161" spans="1:10">
      <c r="A161" s="19">
        <v>159</v>
      </c>
      <c r="B161" s="28">
        <v>20.872649090115061</v>
      </c>
      <c r="C161" s="27">
        <f ca="1">OFFSET($B161,1*(ROWS(C$2:C161)-1),0)</f>
        <v>48.280126515757331</v>
      </c>
      <c r="D161" s="26">
        <f>Ft!B$3*EXP(Ft!B$38*($A161-Ft!B$2)^2) +Ft!C$3*EXP(Ft!C$38*($A161-Ft!C$2)^2) + Ft!D$3*EXP(Ft!D$38*($A161-Ft!D$2)^2)+Ft!E$3*EXP(Ft!E$38*($A161-Ft!E$2)^2) +Ft!F$3*EXP(Ft!F$38*($A161-Ft!F$2)^2) + Ft!G$3*EXP(Ft!G$38*($A161-Ft!G$2)^2)</f>
        <v>12.692659180317698</v>
      </c>
      <c r="E161" s="26">
        <f>Ft!B$3*EXP(Ft!B$38*($A161-Ft!B$2)^2)</f>
        <v>2.6515445745825836E-7</v>
      </c>
      <c r="F161" s="26">
        <f>Ft!C$3*EXP(Ft!C$38*($A161-Ft!C$2)^2)</f>
        <v>8.7973654524043621</v>
      </c>
      <c r="G161" s="26">
        <f>Ft!D$3*EXP(Ft!D$38*($A161-Ft!D$2)^2)</f>
        <v>3.8950538173372373</v>
      </c>
      <c r="H161" s="26">
        <f>Ft!E$3*EXP(Ft!E$38*($A161-Ft!E$2)^2)</f>
        <v>2.3964542164134396E-4</v>
      </c>
      <c r="I161" s="26">
        <f>Ft!F$3*EXP(Ft!F$38*($A161-Ft!F$2)^2)</f>
        <v>7.5685217894960869E-83</v>
      </c>
      <c r="J161" s="26">
        <f>Ft!G$3*EXP(Ft!G$38*($A161-Ft!G$2)^2)</f>
        <v>0</v>
      </c>
    </row>
    <row r="162" spans="1:10">
      <c r="A162" s="19">
        <v>160</v>
      </c>
      <c r="B162" s="28">
        <v>21.070432870060131</v>
      </c>
      <c r="C162" s="27">
        <f ca="1">OFFSET($B162,1*(ROWS(C$2:C162)-1),0)</f>
        <v>48.289552414484945</v>
      </c>
      <c r="D162" s="26">
        <f>Ft!B$3*EXP(Ft!B$38*($A162-Ft!B$2)^2) +Ft!C$3*EXP(Ft!C$38*($A162-Ft!C$2)^2) + Ft!D$3*EXP(Ft!D$38*($A162-Ft!D$2)^2)+Ft!E$3*EXP(Ft!E$38*($A162-Ft!E$2)^2) +Ft!F$3*EXP(Ft!F$38*($A162-Ft!F$2)^2) + Ft!G$3*EXP(Ft!G$38*($A162-Ft!G$2)^2)</f>
        <v>12.704414928133817</v>
      </c>
      <c r="E162" s="26">
        <f>Ft!B$3*EXP(Ft!B$38*($A162-Ft!B$2)^2)</f>
        <v>1.9873715802411456E-7</v>
      </c>
      <c r="F162" s="26">
        <f>Ft!C$3*EXP(Ft!C$38*($A162-Ft!C$2)^2)</f>
        <v>8.767599608832521</v>
      </c>
      <c r="G162" s="26">
        <f>Ft!D$3*EXP(Ft!D$38*($A162-Ft!D$2)^2)</f>
        <v>3.936567342384043</v>
      </c>
      <c r="H162" s="26">
        <f>Ft!E$3*EXP(Ft!E$38*($A162-Ft!E$2)^2)</f>
        <v>2.4777818009453687E-4</v>
      </c>
      <c r="I162" s="26">
        <f>Ft!F$3*EXP(Ft!F$38*($A162-Ft!F$2)^2)</f>
        <v>1.1901942000570381E-82</v>
      </c>
      <c r="J162" s="26">
        <f>Ft!G$3*EXP(Ft!G$38*($A162-Ft!G$2)^2)</f>
        <v>0</v>
      </c>
    </row>
    <row r="163" spans="1:10">
      <c r="A163" s="19">
        <v>161</v>
      </c>
      <c r="B163" s="28">
        <v>21.274646962691065</v>
      </c>
      <c r="C163" s="27">
        <f ca="1">OFFSET($B163,1*(ROWS(C$2:C163)-1),0)</f>
        <v>48.305956844259612</v>
      </c>
      <c r="D163" s="26">
        <f>Ft!B$3*EXP(Ft!B$38*($A163-Ft!B$2)^2) +Ft!C$3*EXP(Ft!C$38*($A163-Ft!C$2)^2) + Ft!D$3*EXP(Ft!D$38*($A163-Ft!D$2)^2)+Ft!E$3*EXP(Ft!E$38*($A163-Ft!E$2)^2) +Ft!F$3*EXP(Ft!F$38*($A163-Ft!F$2)^2) + Ft!G$3*EXP(Ft!G$38*($A163-Ft!G$2)^2)</f>
        <v>12.715152457286836</v>
      </c>
      <c r="E163" s="26">
        <f>Ft!B$3*EXP(Ft!B$38*($A163-Ft!B$2)^2)</f>
        <v>1.4858038794522188E-7</v>
      </c>
      <c r="F163" s="26">
        <f>Ft!C$3*EXP(Ft!C$38*($A163-Ft!C$2)^2)</f>
        <v>8.7365158035836501</v>
      </c>
      <c r="G163" s="26">
        <f>Ft!D$3*EXP(Ft!D$38*($A163-Ft!D$2)^2)</f>
        <v>3.9783803310818247</v>
      </c>
      <c r="H163" s="26">
        <f>Ft!E$3*EXP(Ft!E$38*($A163-Ft!E$2)^2)</f>
        <v>2.5617404097461174E-4</v>
      </c>
      <c r="I163" s="26">
        <f>Ft!F$3*EXP(Ft!F$38*($A163-Ft!F$2)^2)</f>
        <v>1.8706429954962372E-82</v>
      </c>
      <c r="J163" s="26">
        <f>Ft!G$3*EXP(Ft!G$38*($A163-Ft!G$2)^2)</f>
        <v>0</v>
      </c>
    </row>
    <row r="164" spans="1:10">
      <c r="A164" s="19">
        <v>162</v>
      </c>
      <c r="B164" s="28">
        <v>21.47195862469394</v>
      </c>
      <c r="C164" s="27">
        <f ca="1">OFFSET($B164,1*(ROWS(C$2:C164)-1),0)</f>
        <v>48.341075081633392</v>
      </c>
      <c r="D164" s="26">
        <f>Ft!B$3*EXP(Ft!B$38*($A164-Ft!B$2)^2) +Ft!C$3*EXP(Ft!C$38*($A164-Ft!C$2)^2) + Ft!D$3*EXP(Ft!D$38*($A164-Ft!D$2)^2)+Ft!E$3*EXP(Ft!E$38*($A164-Ft!E$2)^2) +Ft!F$3*EXP(Ft!F$38*($A164-Ft!F$2)^2) + Ft!G$3*EXP(Ft!G$38*($A164-Ft!G$2)^2)</f>
        <v>12.724886679380104</v>
      </c>
      <c r="E164" s="26">
        <f>Ft!B$3*EXP(Ft!B$38*($A164-Ft!B$2)^2)</f>
        <v>1.1080163555669543E-7</v>
      </c>
      <c r="F164" s="26">
        <f>Ft!C$3*EXP(Ft!C$38*($A164-Ft!C$2)^2)</f>
        <v>8.7041287847542179</v>
      </c>
      <c r="G164" s="26">
        <f>Ft!D$3*EXP(Ft!D$38*($A164-Ft!D$2)^2)</f>
        <v>4.0204929427644389</v>
      </c>
      <c r="H164" s="26">
        <f>Ft!E$3*EXP(Ft!E$38*($A164-Ft!E$2)^2)</f>
        <v>2.6484105981151797E-4</v>
      </c>
      <c r="I164" s="26">
        <f>Ft!F$3*EXP(Ft!F$38*($A164-Ft!F$2)^2)</f>
        <v>2.9385312469728963E-82</v>
      </c>
      <c r="J164" s="26">
        <f>Ft!G$3*EXP(Ft!G$38*($A164-Ft!G$2)^2)</f>
        <v>0</v>
      </c>
    </row>
    <row r="165" spans="1:10">
      <c r="A165" s="19">
        <v>163</v>
      </c>
      <c r="B165" s="28">
        <v>21.668753884764527</v>
      </c>
      <c r="C165" s="27">
        <f ca="1">OFFSET($B165,1*(ROWS(C$2:C165)-1),0)</f>
        <v>48.359415642141528</v>
      </c>
      <c r="D165" s="26">
        <f>Ft!B$3*EXP(Ft!B$38*($A165-Ft!B$2)^2) +Ft!C$3*EXP(Ft!C$38*($A165-Ft!C$2)^2) + Ft!D$3*EXP(Ft!D$38*($A165-Ft!D$2)^2)+Ft!E$3*EXP(Ft!E$38*($A165-Ft!E$2)^2) +Ft!F$3*EXP(Ft!F$38*($A165-Ft!F$2)^2) + Ft!G$3*EXP(Ft!G$38*($A165-Ft!G$2)^2)</f>
        <v>12.733633056487372</v>
      </c>
      <c r="E165" s="26">
        <f>Ft!B$3*EXP(Ft!B$38*($A165-Ft!B$2)^2)</f>
        <v>8.2420097605257571E-8</v>
      </c>
      <c r="F165" s="26">
        <f>Ft!C$3*EXP(Ft!C$38*($A165-Ft!C$2)^2)</f>
        <v>8.67045388056499</v>
      </c>
      <c r="G165" s="26">
        <f>Ft!D$3*EXP(Ft!D$38*($A165-Ft!D$2)^2)</f>
        <v>4.062905305979041</v>
      </c>
      <c r="H165" s="26">
        <f>Ft!E$3*EXP(Ft!E$38*($A165-Ft!E$2)^2)</f>
        <v>2.7378752324232447E-4</v>
      </c>
      <c r="I165" s="26">
        <f>Ft!F$3*EXP(Ft!F$38*($A165-Ft!F$2)^2)</f>
        <v>4.6135585097564883E-82</v>
      </c>
      <c r="J165" s="26">
        <f>Ft!G$3*EXP(Ft!G$38*($A165-Ft!G$2)^2)</f>
        <v>0</v>
      </c>
    </row>
    <row r="166" spans="1:10">
      <c r="A166" s="19">
        <v>164</v>
      </c>
      <c r="B166" s="28">
        <v>21.870875198535799</v>
      </c>
      <c r="C166" s="27">
        <f ca="1">OFFSET($B166,1*(ROWS(C$2:C166)-1),0)</f>
        <v>48.374165882144581</v>
      </c>
      <c r="D166" s="26">
        <f>Ft!B$3*EXP(Ft!B$38*($A166-Ft!B$2)^2) +Ft!C$3*EXP(Ft!C$38*($A166-Ft!C$2)^2) + Ft!D$3*EXP(Ft!D$38*($A166-Ft!D$2)^2)+Ft!E$3*EXP(Ft!E$38*($A166-Ft!E$2)^2) +Ft!F$3*EXP(Ft!F$38*($A166-Ft!F$2)^2) + Ft!G$3*EXP(Ft!G$38*($A166-Ft!G$2)^2)</f>
        <v>12.74140758852521</v>
      </c>
      <c r="E166" s="26">
        <f>Ft!B$3*EXP(Ft!B$38*($A166-Ft!B$2)^2)</f>
        <v>6.1153645041491977E-8</v>
      </c>
      <c r="F166" s="26">
        <f>Ft!C$3*EXP(Ft!C$38*($A166-Ft!C$2)^2)</f>
        <v>8.6355069872747983</v>
      </c>
      <c r="G166" s="26">
        <f>Ft!D$3*EXP(Ft!D$38*($A166-Ft!D$2)^2)</f>
        <v>4.1056175181416315</v>
      </c>
      <c r="H166" s="26">
        <f>Ft!E$3*EXP(Ft!E$38*($A166-Ft!E$2)^2)</f>
        <v>2.8302195513344299E-4</v>
      </c>
      <c r="I166" s="26">
        <f>Ft!F$3*EXP(Ft!F$38*($A166-Ft!F$2)^2)</f>
        <v>7.2394916394340482E-82</v>
      </c>
      <c r="J166" s="26">
        <f>Ft!G$3*EXP(Ft!G$38*($A166-Ft!G$2)^2)</f>
        <v>0</v>
      </c>
    </row>
    <row r="167" spans="1:10">
      <c r="A167" s="19">
        <v>165</v>
      </c>
      <c r="B167" s="28">
        <v>22.046010970139406</v>
      </c>
      <c r="C167" s="27">
        <f ca="1">OFFSET($B167,1*(ROWS(C$2:C167)-1),0)</f>
        <v>48.359759389472401</v>
      </c>
      <c r="D167" s="26">
        <f>Ft!B$3*EXP(Ft!B$38*($A167-Ft!B$2)^2) +Ft!C$3*EXP(Ft!C$38*($A167-Ft!C$2)^2) + Ft!D$3*EXP(Ft!D$38*($A167-Ft!D$2)^2)+Ft!E$3*EXP(Ft!E$38*($A167-Ft!E$2)^2) +Ft!F$3*EXP(Ft!F$38*($A167-Ft!F$2)^2) + Ft!G$3*EXP(Ft!G$38*($A167-Ft!G$2)^2)</f>
        <v>12.748226800257209</v>
      </c>
      <c r="E167" s="26">
        <f>Ft!B$3*EXP(Ft!B$38*($A167-Ft!B$2)^2)</f>
        <v>4.5259926251464269E-8</v>
      </c>
      <c r="F167" s="26">
        <f>Ft!C$3*EXP(Ft!C$38*($A167-Ft!C$2)^2)</f>
        <v>8.5993045566798667</v>
      </c>
      <c r="G167" s="26">
        <f>Ft!D$3*EXP(Ft!D$38*($A167-Ft!D$2)^2)</f>
        <v>4.1486296451945677</v>
      </c>
      <c r="H167" s="26">
        <f>Ft!E$3*EXP(Ft!E$38*($A167-Ft!E$2)^2)</f>
        <v>2.9255312284910538E-4</v>
      </c>
      <c r="I167" s="26">
        <f>Ft!F$3*EXP(Ft!F$38*($A167-Ft!F$2)^2)</f>
        <v>1.1353935626647774E-81</v>
      </c>
      <c r="J167" s="26">
        <f>Ft!G$3*EXP(Ft!G$38*($A167-Ft!G$2)^2)</f>
        <v>0</v>
      </c>
    </row>
    <row r="168" spans="1:10">
      <c r="A168" s="19">
        <v>166</v>
      </c>
      <c r="B168" s="28">
        <v>22.244750409105109</v>
      </c>
      <c r="C168" s="27">
        <f ca="1">OFFSET($B168,1*(ROWS(C$2:C168)-1),0)</f>
        <v>48.372280859713925</v>
      </c>
      <c r="D168" s="26">
        <f>Ft!B$3*EXP(Ft!B$38*($A168-Ft!B$2)^2) +Ft!C$3*EXP(Ft!C$38*($A168-Ft!C$2)^2) + Ft!D$3*EXP(Ft!D$38*($A168-Ft!D$2)^2)+Ft!E$3*EXP(Ft!E$38*($A168-Ft!E$2)^2) +Ft!F$3*EXP(Ft!F$38*($A168-Ft!F$2)^2) + Ft!G$3*EXP(Ft!G$38*($A168-Ft!G$2)^2)</f>
        <v>12.754107727934688</v>
      </c>
      <c r="E168" s="26">
        <f>Ft!B$3*EXP(Ft!B$38*($A168-Ft!B$2)^2)</f>
        <v>3.3412394927910996E-8</v>
      </c>
      <c r="F168" s="26">
        <f>Ft!C$3*EXP(Ft!C$38*($A168-Ft!C$2)^2)</f>
        <v>8.5618635832124497</v>
      </c>
      <c r="G168" s="26">
        <f>Ft!D$3*EXP(Ft!D$38*($A168-Ft!D$2)^2)</f>
        <v>4.1919417212661738</v>
      </c>
      <c r="H168" s="26">
        <f>Ft!E$3*EXP(Ft!E$38*($A168-Ft!E$2)^2)</f>
        <v>3.0239004366910873E-4</v>
      </c>
      <c r="I168" s="26">
        <f>Ft!F$3*EXP(Ft!F$38*($A168-Ft!F$2)^2)</f>
        <v>1.7797176307489699E-81</v>
      </c>
      <c r="J168" s="26">
        <f>Ft!G$3*EXP(Ft!G$38*($A168-Ft!G$2)^2)</f>
        <v>0</v>
      </c>
    </row>
    <row r="169" spans="1:10">
      <c r="A169" s="19">
        <v>167</v>
      </c>
      <c r="B169" s="28">
        <v>22.444256069080467</v>
      </c>
      <c r="C169" s="27">
        <f ca="1">OFFSET($B169,1*(ROWS(C$2:C169)-1),0)</f>
        <v>48.391775708381658</v>
      </c>
      <c r="D169" s="26">
        <f>Ft!B$3*EXP(Ft!B$38*($A169-Ft!B$2)^2) +Ft!C$3*EXP(Ft!C$38*($A169-Ft!C$2)^2) + Ft!D$3*EXP(Ft!D$38*($A169-Ft!D$2)^2)+Ft!E$3*EXP(Ft!E$38*($A169-Ft!E$2)^2) +Ft!F$3*EXP(Ft!F$38*($A169-Ft!F$2)^2) + Ft!G$3*EXP(Ft!G$38*($A169-Ft!G$2)^2)</f>
        <v>12.759067905580682</v>
      </c>
      <c r="E169" s="26">
        <f>Ft!B$3*EXP(Ft!B$38*($A169-Ft!B$2)^2)</f>
        <v>2.4603882275627944E-8</v>
      </c>
      <c r="F169" s="26">
        <f>Ft!C$3*EXP(Ft!C$38*($A169-Ft!C$2)^2)</f>
        <v>8.5232015906529295</v>
      </c>
      <c r="G169" s="26">
        <f>Ft!D$3*EXP(Ft!D$38*($A169-Ft!D$2)^2)</f>
        <v>4.2355537483325127</v>
      </c>
      <c r="H169" s="26">
        <f>Ft!E$3*EXP(Ft!E$38*($A169-Ft!E$2)^2)</f>
        <v>3.1254199135890301E-4</v>
      </c>
      <c r="I169" s="26">
        <f>Ft!F$3*EXP(Ft!F$38*($A169-Ft!F$2)^2)</f>
        <v>2.7881882749622051E-81</v>
      </c>
      <c r="J169" s="26">
        <f>Ft!G$3*EXP(Ft!G$38*($A169-Ft!G$2)^2)</f>
        <v>0</v>
      </c>
    </row>
    <row r="170" spans="1:10">
      <c r="A170" s="19">
        <v>168</v>
      </c>
      <c r="B170" s="28">
        <v>22.645533232781503</v>
      </c>
      <c r="C170" s="27">
        <f ca="1">OFFSET($B170,1*(ROWS(C$2:C170)-1),0)</f>
        <v>48.394815286262883</v>
      </c>
      <c r="D170" s="26">
        <f>Ft!B$3*EXP(Ft!B$38*($A170-Ft!B$2)^2) +Ft!C$3*EXP(Ft!C$38*($A170-Ft!C$2)^2) + Ft!D$3*EXP(Ft!D$38*($A170-Ft!D$2)^2)+Ft!E$3*EXP(Ft!E$38*($A170-Ft!E$2)^2) +Ft!F$3*EXP(Ft!F$38*($A170-Ft!F$2)^2) + Ft!G$3*EXP(Ft!G$38*($A170-Ft!G$2)^2)</f>
        <v>12.763125350926083</v>
      </c>
      <c r="E170" s="26">
        <f>Ft!B$3*EXP(Ft!B$38*($A170-Ft!B$2)^2)</f>
        <v>1.8071822190569262E-8</v>
      </c>
      <c r="F170" s="26">
        <f>Ft!C$3*EXP(Ft!C$38*($A170-Ft!C$2)^2)</f>
        <v>8.4833366184699397</v>
      </c>
      <c r="G170" s="26">
        <f>Ft!D$3*EXP(Ft!D$38*($A170-Ft!D$2)^2)</f>
        <v>4.2794656958814272</v>
      </c>
      <c r="H170" s="26">
        <f>Ft!E$3*EXP(Ft!E$38*($A170-Ft!E$2)^2)</f>
        <v>3.2301850289511748E-4</v>
      </c>
      <c r="I170" s="26">
        <f>Ft!F$3*EXP(Ft!F$38*($A170-Ft!F$2)^2)</f>
        <v>4.3657554903115672E-81</v>
      </c>
      <c r="J170" s="26">
        <f>Ft!G$3*EXP(Ft!G$38*($A170-Ft!G$2)^2)</f>
        <v>0</v>
      </c>
    </row>
    <row r="171" spans="1:10">
      <c r="A171" s="19">
        <v>169</v>
      </c>
      <c r="B171" s="28">
        <v>22.852752629772567</v>
      </c>
      <c r="C171" s="27">
        <f ca="1">OFFSET($B171,1*(ROWS(C$2:C171)-1),0)</f>
        <v>48.400337738302653</v>
      </c>
      <c r="D171" s="26">
        <f>Ft!B$3*EXP(Ft!B$38*($A171-Ft!B$2)^2) +Ft!C$3*EXP(Ft!C$38*($A171-Ft!C$2)^2) + Ft!D$3*EXP(Ft!D$38*($A171-Ft!D$2)^2)+Ft!E$3*EXP(Ft!E$38*($A171-Ft!E$2)^2) +Ft!F$3*EXP(Ft!F$38*($A171-Ft!F$2)^2) + Ft!G$3*EXP(Ft!G$38*($A171-Ft!G$2)^2)</f>
        <v>12.766298551008122</v>
      </c>
      <c r="E171" s="26">
        <f>Ft!B$3*EXP(Ft!B$38*($A171-Ft!B$2)^2)</f>
        <v>1.3240443111342266E-8</v>
      </c>
      <c r="F171" s="26">
        <f>Ft!C$3*EXP(Ft!C$38*($A171-Ft!C$2)^2)</f>
        <v>8.4422872078033677</v>
      </c>
      <c r="G171" s="26">
        <f>Ft!D$3*EXP(Ft!D$38*($A171-Ft!D$2)^2)</f>
        <v>4.3236775005789623</v>
      </c>
      <c r="H171" s="26">
        <f>Ft!E$3*EXP(Ft!E$38*($A171-Ft!E$2)^2)</f>
        <v>3.338293853497024E-4</v>
      </c>
      <c r="I171" s="26">
        <f>Ft!F$3*EXP(Ft!F$38*($A171-Ft!F$2)^2)</f>
        <v>6.832238835992845E-81</v>
      </c>
      <c r="J171" s="26">
        <f>Ft!G$3*EXP(Ft!G$38*($A171-Ft!G$2)^2)</f>
        <v>0</v>
      </c>
    </row>
    <row r="172" spans="1:10">
      <c r="A172" s="19">
        <v>170</v>
      </c>
      <c r="B172" s="28">
        <v>23.02990260638478</v>
      </c>
      <c r="C172" s="27">
        <f ca="1">OFFSET($B172,1*(ROWS(C$2:C172)-1),0)</f>
        <v>48.401883319571766</v>
      </c>
      <c r="D172" s="26">
        <f>Ft!B$3*EXP(Ft!B$38*($A172-Ft!B$2)^2) +Ft!C$3*EXP(Ft!C$38*($A172-Ft!C$2)^2) + Ft!D$3*EXP(Ft!D$38*($A172-Ft!D$2)^2)+Ft!E$3*EXP(Ft!E$38*($A172-Ft!E$2)^2) +Ft!F$3*EXP(Ft!F$38*($A172-Ft!F$2)^2) + Ft!G$3*EXP(Ft!G$38*($A172-Ft!G$2)^2)</f>
        <v>12.768606447442885</v>
      </c>
      <c r="E172" s="26">
        <f>Ft!B$3*EXP(Ft!B$38*($A172-Ft!B$2)^2)</f>
        <v>9.6762117715032985E-9</v>
      </c>
      <c r="F172" s="26">
        <f>Ft!C$3*EXP(Ft!C$38*($A172-Ft!C$2)^2)</f>
        <v>8.4000723871055012</v>
      </c>
      <c r="G172" s="26">
        <f>Ft!D$3*EXP(Ft!D$38*($A172-Ft!D$2)^2)</f>
        <v>4.3681890659382345</v>
      </c>
      <c r="H172" s="26">
        <f>Ft!E$3*EXP(Ft!E$38*($A172-Ft!E$2)^2)</f>
        <v>3.4498472293588542E-4</v>
      </c>
      <c r="I172" s="26">
        <f>Ft!F$3*EXP(Ft!F$38*($A172-Ft!F$2)^2)</f>
        <v>1.0686438457704621E-80</v>
      </c>
      <c r="J172" s="26">
        <f>Ft!G$3*EXP(Ft!G$38*($A172-Ft!G$2)^2)</f>
        <v>0</v>
      </c>
    </row>
    <row r="173" spans="1:10">
      <c r="A173" s="19">
        <v>171</v>
      </c>
      <c r="B173" s="28">
        <v>23.211968217850483</v>
      </c>
      <c r="C173" s="27">
        <f ca="1">OFFSET($B173,1*(ROWS(C$2:C173)-1),0)</f>
        <v>48.422298806964363</v>
      </c>
      <c r="D173" s="26">
        <f>Ft!B$3*EXP(Ft!B$38*($A173-Ft!B$2)^2) +Ft!C$3*EXP(Ft!C$38*($A173-Ft!C$2)^2) + Ft!D$3*EXP(Ft!D$38*($A173-Ft!D$2)^2)+Ft!E$3*EXP(Ft!E$38*($A173-Ft!E$2)^2) +Ft!F$3*EXP(Ft!F$38*($A173-Ft!F$2)^2) + Ft!G$3*EXP(Ft!G$38*($A173-Ft!G$2)^2)</f>
        <v>12.770068421384561</v>
      </c>
      <c r="E173" s="26">
        <f>Ft!B$3*EXP(Ft!B$38*($A173-Ft!B$2)^2)</f>
        <v>7.0535943499479856E-9</v>
      </c>
      <c r="F173" s="26">
        <f>Ft!C$3*EXP(Ft!C$38*($A173-Ft!C$2)^2)</f>
        <v>8.3567116574558735</v>
      </c>
      <c r="G173" s="26">
        <f>Ft!D$3*EXP(Ft!D$38*($A173-Ft!D$2)^2)</f>
        <v>4.4130002619908746</v>
      </c>
      <c r="H173" s="26">
        <f>Ft!E$3*EXP(Ft!E$38*($A173-Ft!E$2)^2)</f>
        <v>3.5649488421921332E-4</v>
      </c>
      <c r="I173" s="26">
        <f>Ft!F$3*EXP(Ft!F$38*($A173-Ft!F$2)^2)</f>
        <v>1.6705876131815146E-80</v>
      </c>
      <c r="J173" s="26">
        <f>Ft!G$3*EXP(Ft!G$38*($A173-Ft!G$2)^2)</f>
        <v>0</v>
      </c>
    </row>
    <row r="174" spans="1:10">
      <c r="A174" s="19">
        <v>172</v>
      </c>
      <c r="B174" s="28">
        <v>23.408598188949128</v>
      </c>
      <c r="C174" s="27">
        <f ca="1">OFFSET($B174,1*(ROWS(C$2:C174)-1),0)</f>
        <v>48.426950072791385</v>
      </c>
      <c r="D174" s="26">
        <f>Ft!B$3*EXP(Ft!B$38*($A174-Ft!B$2)^2) +Ft!C$3*EXP(Ft!C$38*($A174-Ft!C$2)^2) + Ft!D$3*EXP(Ft!D$38*($A174-Ft!D$2)^2)+Ft!E$3*EXP(Ft!E$38*($A174-Ft!E$2)^2) +Ft!F$3*EXP(Ft!F$38*($A174-Ft!F$2)^2) + Ft!G$3*EXP(Ft!G$38*($A174-Ft!G$2)^2)</f>
        <v>12.770704278185065</v>
      </c>
      <c r="E174" s="26">
        <f>Ft!B$3*EXP(Ft!B$38*($A174-Ft!B$2)^2)</f>
        <v>5.1288248177173141E-9</v>
      </c>
      <c r="F174" s="26">
        <f>Ft!C$3*EXP(Ft!C$38*($A174-Ft!C$2)^2)</f>
        <v>8.3122249775656201</v>
      </c>
      <c r="G174" s="26">
        <f>Ft!D$3*EXP(Ft!D$38*($A174-Ft!D$2)^2)</f>
        <v>4.4581109249611224</v>
      </c>
      <c r="H174" s="26">
        <f>Ft!E$3*EXP(Ft!E$38*($A174-Ft!E$2)^2)</f>
        <v>3.6837052949697895E-4</v>
      </c>
      <c r="I174" s="26">
        <f>Ft!F$3*EXP(Ft!F$38*($A174-Ft!F$2)^2)</f>
        <v>2.6101883285060644E-80</v>
      </c>
      <c r="J174" s="26">
        <f>Ft!G$3*EXP(Ft!G$38*($A174-Ft!G$2)^2)</f>
        <v>0</v>
      </c>
    </row>
    <row r="175" spans="1:10">
      <c r="A175" s="19">
        <v>173</v>
      </c>
      <c r="B175" s="28">
        <v>23.604040543179281</v>
      </c>
      <c r="C175" s="27">
        <f ca="1">OFFSET($B175,1*(ROWS(C$2:C175)-1),0)</f>
        <v>48.435566412793861</v>
      </c>
      <c r="D175" s="26">
        <f>Ft!B$3*EXP(Ft!B$38*($A175-Ft!B$2)^2) +Ft!C$3*EXP(Ft!C$38*($A175-Ft!C$2)^2) + Ft!D$3*EXP(Ft!D$38*($A175-Ft!D$2)^2)+Ft!E$3*EXP(Ft!E$38*($A175-Ft!E$2)^2) +Ft!F$3*EXP(Ft!F$38*($A175-Ft!F$2)^2) + Ft!G$3*EXP(Ft!G$38*($A175-Ft!G$2)^2)</f>
        <v>12.77053423176843</v>
      </c>
      <c r="E175" s="26">
        <f>Ft!B$3*EXP(Ft!B$38*($A175-Ft!B$2)^2)</f>
        <v>3.719867930760899E-9</v>
      </c>
      <c r="F175" s="26">
        <f>Ft!C$3*EXP(Ft!C$38*($A175-Ft!C$2)^2)</f>
        <v>8.2666327484875275</v>
      </c>
      <c r="G175" s="26">
        <f>Ft!D$3*EXP(Ft!D$38*($A175-Ft!D$2)^2)</f>
        <v>4.5035208569426857</v>
      </c>
      <c r="H175" s="26">
        <f>Ft!E$3*EXP(Ft!E$38*($A175-Ft!E$2)^2)</f>
        <v>3.8062261834940629E-4</v>
      </c>
      <c r="I175" s="26">
        <f>Ft!F$3*EXP(Ft!F$38*($A175-Ft!F$2)^2)</f>
        <v>4.0760616905773914E-80</v>
      </c>
      <c r="J175" s="26">
        <f>Ft!G$3*EXP(Ft!G$38*($A175-Ft!G$2)^2)</f>
        <v>0</v>
      </c>
    </row>
    <row r="176" spans="1:10">
      <c r="A176" s="19">
        <v>174</v>
      </c>
      <c r="B176" s="28">
        <v>23.812698239267917</v>
      </c>
      <c r="C176" s="27">
        <f ca="1">OFFSET($B176,1*(ROWS(C$2:C176)-1),0)</f>
        <v>48.452640616931717</v>
      </c>
      <c r="D176" s="26">
        <f>Ft!B$3*EXP(Ft!B$38*($A176-Ft!B$2)^2) +Ft!C$3*EXP(Ft!C$38*($A176-Ft!C$2)^2) + Ft!D$3*EXP(Ft!D$38*($A176-Ft!D$2)^2)+Ft!E$3*EXP(Ft!E$38*($A176-Ft!E$2)^2) +Ft!F$3*EXP(Ft!F$38*($A176-Ft!F$2)^2) + Ft!G$3*EXP(Ft!G$38*($A176-Ft!G$2)^2)</f>
        <v>12.769578888735055</v>
      </c>
      <c r="E176" s="26">
        <f>Ft!B$3*EXP(Ft!B$38*($A176-Ft!B$2)^2)</f>
        <v>2.6911595536465334E-9</v>
      </c>
      <c r="F176" s="26">
        <f>Ft!C$3*EXP(Ft!C$38*($A176-Ft!C$2)^2)</f>
        <v>8.2199557980480833</v>
      </c>
      <c r="G176" s="26">
        <f>Ft!D$3*EXP(Ft!D$38*($A176-Ft!D$2)^2)</f>
        <v>4.5492298255784451</v>
      </c>
      <c r="H176" s="26">
        <f>Ft!E$3*EXP(Ft!E$38*($A176-Ft!E$2)^2)</f>
        <v>3.9326241736599259E-4</v>
      </c>
      <c r="I176" s="26">
        <f>Ft!F$3*EXP(Ft!F$38*($A176-Ft!F$2)^2)</f>
        <v>6.3617408213592498E-80</v>
      </c>
      <c r="J176" s="26">
        <f>Ft!G$3*EXP(Ft!G$38*($A176-Ft!G$2)^2)</f>
        <v>0</v>
      </c>
    </row>
    <row r="177" spans="1:10">
      <c r="A177" s="19">
        <v>175</v>
      </c>
      <c r="B177" s="28">
        <v>24.016438978127496</v>
      </c>
      <c r="C177" s="27">
        <f ca="1">OFFSET($B177,1*(ROWS(C$2:C177)-1),0)</f>
        <v>48.476703941441542</v>
      </c>
      <c r="D177" s="26">
        <f>Ft!B$3*EXP(Ft!B$38*($A177-Ft!B$2)^2) +Ft!C$3*EXP(Ft!C$38*($A177-Ft!C$2)^2) + Ft!D$3*EXP(Ft!D$38*($A177-Ft!D$2)^2)+Ft!E$3*EXP(Ft!E$38*($A177-Ft!E$2)^2) +Ft!F$3*EXP(Ft!F$38*($A177-Ft!F$2)^2) + Ft!G$3*EXP(Ft!G$38*($A177-Ft!G$2)^2)</f>
        <v>12.767859232211382</v>
      </c>
      <c r="E177" s="26">
        <f>Ft!B$3*EXP(Ft!B$38*($A177-Ft!B$2)^2)</f>
        <v>1.9420197539237054E-9</v>
      </c>
      <c r="F177" s="26">
        <f>Ft!C$3*EXP(Ft!C$38*($A177-Ft!C$2)^2)</f>
        <v>8.1722153650181859</v>
      </c>
      <c r="G177" s="26">
        <f>Ft!D$3*EXP(Ft!D$38*($A177-Ft!D$2)^2)</f>
        <v>4.5952375637431251</v>
      </c>
      <c r="H177" s="26">
        <f>Ft!E$3*EXP(Ft!E$38*($A177-Ft!E$2)^2)</f>
        <v>4.0630150805048653E-4</v>
      </c>
      <c r="I177" s="26">
        <f>Ft!F$3*EXP(Ft!F$38*($A177-Ft!F$2)^2)</f>
        <v>9.9237888224478147E-80</v>
      </c>
      <c r="J177" s="26">
        <f>Ft!G$3*EXP(Ft!G$38*($A177-Ft!G$2)^2)</f>
        <v>0</v>
      </c>
    </row>
    <row r="178" spans="1:10">
      <c r="A178" s="19">
        <v>176</v>
      </c>
      <c r="B178" s="28">
        <v>24.24048730529779</v>
      </c>
      <c r="C178" s="27">
        <f ca="1">OFFSET($B178,1*(ROWS(C$2:C178)-1),0)</f>
        <v>48.469473069139269</v>
      </c>
      <c r="D178" s="26">
        <f>Ft!B$3*EXP(Ft!B$38*($A178-Ft!B$2)^2) +Ft!C$3*EXP(Ft!C$38*($A178-Ft!C$2)^2) + Ft!D$3*EXP(Ft!D$38*($A178-Ft!D$2)^2)+Ft!E$3*EXP(Ft!E$38*($A178-Ft!E$2)^2) +Ft!F$3*EXP(Ft!F$38*($A178-Ft!F$2)^2) + Ft!G$3*EXP(Ft!G$38*($A178-Ft!G$2)^2)</f>
        <v>12.765396605461079</v>
      </c>
      <c r="E178" s="26">
        <f>Ft!B$3*EXP(Ft!B$38*($A178-Ft!B$2)^2)</f>
        <v>1.3978807024968515E-9</v>
      </c>
      <c r="F178" s="26">
        <f>Ft!C$3*EXP(Ft!C$38*($A178-Ft!C$2)^2)</f>
        <v>8.123433083039286</v>
      </c>
      <c r="G178" s="26">
        <f>Ft!D$3*EXP(Ft!D$38*($A178-Ft!D$2)^2)</f>
        <v>4.6415437692290045</v>
      </c>
      <c r="H178" s="26">
        <f>Ft!E$3*EXP(Ft!E$38*($A178-Ft!E$2)^2)</f>
        <v>4.197517949079936E-4</v>
      </c>
      <c r="I178" s="26">
        <f>Ft!F$3*EXP(Ft!F$38*($A178-Ft!F$2)^2)</f>
        <v>1.5471961445934113E-79</v>
      </c>
      <c r="J178" s="26">
        <f>Ft!G$3*EXP(Ft!G$38*($A178-Ft!G$2)^2)</f>
        <v>0</v>
      </c>
    </row>
    <row r="179" spans="1:10">
      <c r="A179" s="19">
        <v>177</v>
      </c>
      <c r="B179" s="28">
        <v>24.464185792617684</v>
      </c>
      <c r="C179" s="27">
        <f ca="1">OFFSET($B179,1*(ROWS(C$2:C179)-1),0)</f>
        <v>48.4449965426343</v>
      </c>
      <c r="D179" s="26">
        <f>Ft!B$3*EXP(Ft!B$38*($A179-Ft!B$2)^2) +Ft!C$3*EXP(Ft!C$38*($A179-Ft!C$2)^2) + Ft!D$3*EXP(Ft!D$38*($A179-Ft!D$2)^2)+Ft!E$3*EXP(Ft!E$38*($A179-Ft!E$2)^2) +Ft!F$3*EXP(Ft!F$38*($A179-Ft!F$2)^2) + Ft!G$3*EXP(Ft!G$38*($A179-Ft!G$2)^2)</f>
        <v>12.762212695274144</v>
      </c>
      <c r="E179" s="26">
        <f>Ft!B$3*EXP(Ft!B$38*($A179-Ft!B$2)^2)</f>
        <v>1.0036651538668845E-9</v>
      </c>
      <c r="F179" s="26">
        <f>Ft!C$3*EXP(Ft!C$38*($A179-Ft!C$2)^2)</f>
        <v>8.073630964321973</v>
      </c>
      <c r="G179" s="26">
        <f>Ft!D$3*EXP(Ft!D$38*($A179-Ft!D$2)^2)</f>
        <v>4.6881481044347879</v>
      </c>
      <c r="H179" s="26">
        <f>Ft!E$3*EXP(Ft!E$38*($A179-Ft!E$2)^2)</f>
        <v>4.336255137178039E-4</v>
      </c>
      <c r="I179" s="26">
        <f>Ft!F$3*EXP(Ft!F$38*($A179-Ft!F$2)^2)</f>
        <v>2.410901980199804E-79</v>
      </c>
      <c r="J179" s="26">
        <f>Ft!G$3*EXP(Ft!G$38*($A179-Ft!G$2)^2)</f>
        <v>0</v>
      </c>
    </row>
    <row r="180" spans="1:10">
      <c r="A180" s="19">
        <v>178</v>
      </c>
      <c r="B180" s="28">
        <v>24.67964745736748</v>
      </c>
      <c r="C180" s="27">
        <f ca="1">OFFSET($B180,1*(ROWS(C$2:C180)-1),0)</f>
        <v>48.407827599763266</v>
      </c>
      <c r="D180" s="26">
        <f>Ft!B$3*EXP(Ft!B$38*($A180-Ft!B$2)^2) +Ft!C$3*EXP(Ft!C$38*($A180-Ft!C$2)^2) + Ft!D$3*EXP(Ft!D$38*($A180-Ft!D$2)^2)+Ft!E$3*EXP(Ft!E$38*($A180-Ft!E$2)^2) +Ft!F$3*EXP(Ft!F$38*($A180-Ft!F$2)^2) + Ft!G$3*EXP(Ft!G$38*($A180-Ft!G$2)^2)</f>
        <v>12.758329515150686</v>
      </c>
      <c r="E180" s="26">
        <f>Ft!B$3*EXP(Ft!B$38*($A180-Ft!B$2)^2)</f>
        <v>7.1880295371668601E-10</v>
      </c>
      <c r="F180" s="26">
        <f>Ft!C$3*EXP(Ft!C$38*($A180-Ft!C$2)^2)</f>
        <v>8.0228313831341591</v>
      </c>
      <c r="G180" s="26">
        <f>Ft!D$3*EXP(Ft!D$38*($A180-Ft!D$2)^2)</f>
        <v>4.7350501960577294</v>
      </c>
      <c r="H180" s="26">
        <f>Ft!E$3*EXP(Ft!E$38*($A180-Ft!E$2)^2)</f>
        <v>4.479352399955273E-4</v>
      </c>
      <c r="I180" s="26">
        <f>Ft!F$3*EXP(Ft!F$38*($A180-Ft!F$2)^2)</f>
        <v>3.7547415737629828E-79</v>
      </c>
      <c r="J180" s="26">
        <f>Ft!G$3*EXP(Ft!G$38*($A180-Ft!G$2)^2)</f>
        <v>0</v>
      </c>
    </row>
    <row r="181" spans="1:10">
      <c r="A181" s="19">
        <v>179</v>
      </c>
      <c r="B181" s="28">
        <v>24.884306241262578</v>
      </c>
      <c r="C181" s="27">
        <f ca="1">OFFSET($B181,1*(ROWS(C$2:C181)-1),0)</f>
        <v>48.401364996853658</v>
      </c>
      <c r="D181" s="26">
        <f>Ft!B$3*EXP(Ft!B$38*($A181-Ft!B$2)^2) +Ft!C$3*EXP(Ft!C$38*($A181-Ft!C$2)^2) + Ft!D$3*EXP(Ft!D$38*($A181-Ft!D$2)^2)+Ft!E$3*EXP(Ft!E$38*($A181-Ft!E$2)^2) +Ft!F$3*EXP(Ft!F$38*($A181-Ft!F$2)^2) + Ft!G$3*EXP(Ft!G$38*($A181-Ft!G$2)^2)</f>
        <v>12.753769388296375</v>
      </c>
      <c r="E181" s="26">
        <f>Ft!B$3*EXP(Ft!B$38*($A181-Ft!B$2)^2)</f>
        <v>5.1349134767963313E-10</v>
      </c>
      <c r="F181" s="26">
        <f>Ft!C$3*EXP(Ft!C$38*($A181-Ft!C$2)^2)</f>
        <v>7.9710570590961369</v>
      </c>
      <c r="G181" s="26">
        <f>Ft!D$3*EXP(Ft!D$38*($A181-Ft!D$2)^2)</f>
        <v>4.7822496347890988</v>
      </c>
      <c r="H181" s="26">
        <f>Ft!E$3*EXP(Ft!E$38*($A181-Ft!E$2)^2)</f>
        <v>4.6269389764823371E-4</v>
      </c>
      <c r="I181" s="26">
        <f>Ft!F$3*EXP(Ft!F$38*($A181-Ft!F$2)^2)</f>
        <v>5.8444933329003701E-79</v>
      </c>
      <c r="J181" s="26">
        <f>Ft!G$3*EXP(Ft!G$38*($A181-Ft!G$2)^2)</f>
        <v>0</v>
      </c>
    </row>
    <row r="182" spans="1:10">
      <c r="A182" s="19">
        <v>180</v>
      </c>
      <c r="B182" s="28">
        <v>25.087396458903925</v>
      </c>
      <c r="C182" s="27">
        <f ca="1">OFFSET($B182,1*(ROWS(C$2:C182)-1),0)</f>
        <v>48.36602451640249</v>
      </c>
      <c r="D182" s="26">
        <f>Ft!B$3*EXP(Ft!B$38*($A182-Ft!B$2)^2) +Ft!C$3*EXP(Ft!C$38*($A182-Ft!C$2)^2) + Ft!D$3*EXP(Ft!D$38*($A182-Ft!D$2)^2)+Ft!E$3*EXP(Ft!E$38*($A182-Ft!E$2)^2) +Ft!F$3*EXP(Ft!F$38*($A182-Ft!F$2)^2) + Ft!G$3*EXP(Ft!G$38*($A182-Ft!G$2)^2)</f>
        <v>12.748554930446769</v>
      </c>
      <c r="E182" s="26">
        <f>Ft!B$3*EXP(Ft!B$38*($A182-Ft!B$2)^2)</f>
        <v>3.6589685572346266E-10</v>
      </c>
      <c r="F182" s="26">
        <f>Ft!C$3*EXP(Ft!C$38*($A182-Ft!C$2)^2)</f>
        <v>7.9183310402999396</v>
      </c>
      <c r="G182" s="26">
        <f>Ft!D$3*EXP(Ft!D$38*($A182-Ft!D$2)^2)</f>
        <v>4.8297459750131067</v>
      </c>
      <c r="H182" s="26">
        <f>Ft!E$3*EXP(Ft!E$38*($A182-Ft!E$2)^2)</f>
        <v>4.7791476782630684E-4</v>
      </c>
      <c r="I182" s="26">
        <f>Ft!F$3*EXP(Ft!F$38*($A182-Ft!F$2)^2)</f>
        <v>9.0924307550357028E-79</v>
      </c>
      <c r="J182" s="26">
        <f>Ft!G$3*EXP(Ft!G$38*($A182-Ft!G$2)^2)</f>
        <v>0</v>
      </c>
    </row>
    <row r="183" spans="1:10">
      <c r="A183" s="19">
        <v>181</v>
      </c>
      <c r="B183" s="28">
        <v>25.29156542677552</v>
      </c>
      <c r="C183" s="27">
        <f ca="1">OFFSET($B183,1*(ROWS(C$2:C183)-1),0)</f>
        <v>48.346763123046742</v>
      </c>
      <c r="D183" s="26">
        <f>Ft!B$3*EXP(Ft!B$38*($A183-Ft!B$2)^2) +Ft!C$3*EXP(Ft!C$38*($A183-Ft!C$2)^2) + Ft!D$3*EXP(Ft!D$38*($A183-Ft!D$2)^2)+Ft!E$3*EXP(Ft!E$38*($A183-Ft!E$2)^2) +Ft!F$3*EXP(Ft!F$38*($A183-Ft!F$2)^2) + Ft!G$3*EXP(Ft!G$38*($A183-Ft!G$2)^2)</f>
        <v>12.742709032537894</v>
      </c>
      <c r="E183" s="26">
        <f>Ft!B$3*EXP(Ft!B$38*($A183-Ft!B$2)^2)</f>
        <v>2.6006774680605669E-10</v>
      </c>
      <c r="F183" s="26">
        <f>Ft!C$3*EXP(Ft!C$38*($A183-Ft!C$2)^2)</f>
        <v>7.8646766862704744</v>
      </c>
      <c r="G183" s="26">
        <f>Ft!D$3*EXP(Ft!D$38*($A183-Ft!D$2)^2)</f>
        <v>4.8775387345093755</v>
      </c>
      <c r="H183" s="26">
        <f>Ft!E$3*EXP(Ft!E$38*($A183-Ft!E$2)^2)</f>
        <v>4.9361149797577674E-4</v>
      </c>
      <c r="I183" s="26">
        <f>Ft!F$3*EXP(Ft!F$38*($A183-Ft!F$2)^2)</f>
        <v>1.4137722586265596E-78</v>
      </c>
      <c r="J183" s="26">
        <f>Ft!G$3*EXP(Ft!G$38*($A183-Ft!G$2)^2)</f>
        <v>0</v>
      </c>
    </row>
    <row r="184" spans="1:10">
      <c r="A184" s="19">
        <v>182</v>
      </c>
      <c r="B184" s="28">
        <v>25.513182195821116</v>
      </c>
      <c r="C184" s="27">
        <f ca="1">OFFSET($B184,1*(ROWS(C$2:C184)-1),0)</f>
        <v>48.335573358999739</v>
      </c>
      <c r="D184" s="26">
        <f>Ft!B$3*EXP(Ft!B$38*($A184-Ft!B$2)^2) +Ft!C$3*EXP(Ft!C$38*($A184-Ft!C$2)^2) + Ft!D$3*EXP(Ft!D$38*($A184-Ft!D$2)^2)+Ft!E$3*EXP(Ft!E$38*($A184-Ft!E$2)^2) +Ft!F$3*EXP(Ft!F$38*($A184-Ft!F$2)^2) + Ft!G$3*EXP(Ft!G$38*($A184-Ft!G$2)^2)</f>
        <v>12.736254843240559</v>
      </c>
      <c r="E184" s="26">
        <f>Ft!B$3*EXP(Ft!B$38*($A184-Ft!B$2)^2)</f>
        <v>1.8438117692604195E-10</v>
      </c>
      <c r="F184" s="26">
        <f>Ft!C$3*EXP(Ft!C$38*($A184-Ft!C$2)^2)</f>
        <v>7.8101176507860224</v>
      </c>
      <c r="G184" s="26">
        <f>Ft!D$3*EXP(Ft!D$38*($A184-Ft!D$2)^2)</f>
        <v>4.9256273941590605</v>
      </c>
      <c r="H184" s="26">
        <f>Ft!E$3*EXP(Ft!E$38*($A184-Ft!E$2)^2)</f>
        <v>5.0979811109498065E-4</v>
      </c>
      <c r="I184" s="26">
        <f>Ft!F$3*EXP(Ft!F$38*($A184-Ft!F$2)^2)</f>
        <v>2.1970767454626103E-78</v>
      </c>
      <c r="J184" s="26">
        <f>Ft!G$3*EXP(Ft!G$38*($A184-Ft!G$2)^2)</f>
        <v>1.0650879990349283E-307</v>
      </c>
    </row>
    <row r="185" spans="1:10">
      <c r="A185" s="19">
        <v>183</v>
      </c>
      <c r="B185" s="28">
        <v>25.724492713317119</v>
      </c>
      <c r="C185" s="27">
        <f ca="1">OFFSET($B185,1*(ROWS(C$2:C185)-1),0)</f>
        <v>48.342509756216572</v>
      </c>
      <c r="D185" s="26">
        <f>Ft!B$3*EXP(Ft!B$38*($A185-Ft!B$2)^2) +Ft!C$3*EXP(Ft!C$38*($A185-Ft!C$2)^2) + Ft!D$3*EXP(Ft!D$38*($A185-Ft!D$2)^2)+Ft!E$3*EXP(Ft!E$38*($A185-Ft!E$2)^2) +Ft!F$3*EXP(Ft!F$38*($A185-Ft!F$2)^2) + Ft!G$3*EXP(Ft!G$38*($A185-Ft!G$2)^2)</f>
        <v>12.729215751375992</v>
      </c>
      <c r="E185" s="26">
        <f>Ft!B$3*EXP(Ft!B$38*($A185-Ft!B$2)^2)</f>
        <v>1.3039139774396296E-10</v>
      </c>
      <c r="F185" s="26">
        <f>Ft!C$3*EXP(Ft!C$38*($A185-Ft!C$2)^2)</f>
        <v>7.7546778645756795</v>
      </c>
      <c r="G185" s="26">
        <f>Ft!D$3*EXP(Ft!D$38*($A185-Ft!D$2)^2)</f>
        <v>4.9740113976547224</v>
      </c>
      <c r="H185" s="26">
        <f>Ft!E$3*EXP(Ft!E$38*($A185-Ft!E$2)^2)</f>
        <v>5.2648901519941388E-4</v>
      </c>
      <c r="I185" s="26">
        <f>Ft!F$3*EXP(Ft!F$38*($A185-Ft!F$2)^2)</f>
        <v>3.4125365985184904E-78</v>
      </c>
      <c r="J185" s="26">
        <f>Ft!G$3*EXP(Ft!G$38*($A185-Ft!G$2)^2)</f>
        <v>5.4943191059770053E-307</v>
      </c>
    </row>
    <row r="186" spans="1:10">
      <c r="A186" s="19">
        <v>184</v>
      </c>
      <c r="B186" s="28">
        <v>25.946852757409033</v>
      </c>
      <c r="C186" s="27">
        <f ca="1">OFFSET($B186,1*(ROWS(C$2:C186)-1),0)</f>
        <v>48.32330910097113</v>
      </c>
      <c r="D186" s="26">
        <f>Ft!B$3*EXP(Ft!B$38*($A186-Ft!B$2)^2) +Ft!C$3*EXP(Ft!C$38*($A186-Ft!C$2)^2) + Ft!D$3*EXP(Ft!D$38*($A186-Ft!D$2)^2)+Ft!E$3*EXP(Ft!E$38*($A186-Ft!E$2)^2) +Ft!F$3*EXP(Ft!F$38*($A186-Ft!F$2)^2) + Ft!G$3*EXP(Ft!G$38*($A186-Ft!G$2)^2)</f>
        <v>12.721615368230431</v>
      </c>
      <c r="E186" s="26">
        <f>Ft!B$3*EXP(Ft!B$38*($A186-Ft!B$2)^2)</f>
        <v>9.1977916802936376E-11</v>
      </c>
      <c r="F186" s="26">
        <f>Ft!C$3*EXP(Ft!C$38*($A186-Ft!C$2)^2)</f>
        <v>7.6983815179114057</v>
      </c>
      <c r="G186" s="26">
        <f>Ft!D$3*EXP(Ft!D$38*($A186-Ft!D$2)^2)</f>
        <v>5.0226901512140483</v>
      </c>
      <c r="H186" s="26">
        <f>Ft!E$3*EXP(Ft!E$38*($A186-Ft!E$2)^2)</f>
        <v>5.4369901299870555E-4</v>
      </c>
      <c r="I186" s="26">
        <f>Ft!F$3*EXP(Ft!F$38*($A186-Ft!F$2)^2)</f>
        <v>5.2975580781293975E-78</v>
      </c>
      <c r="J186" s="26">
        <f>Ft!G$3*EXP(Ft!G$38*($A186-Ft!G$2)^2)</f>
        <v>2.8288928657410183E-306</v>
      </c>
    </row>
    <row r="187" spans="1:10">
      <c r="A187" s="19">
        <v>185</v>
      </c>
      <c r="B187" s="28">
        <v>26.17278656989231</v>
      </c>
      <c r="C187" s="27">
        <f ca="1">OFFSET($B187,1*(ROWS(C$2:C187)-1),0)</f>
        <v>48.320407294650408</v>
      </c>
      <c r="D187" s="26">
        <f>Ft!B$3*EXP(Ft!B$38*($A187-Ft!B$2)^2) +Ft!C$3*EXP(Ft!C$38*($A187-Ft!C$2)^2) + Ft!D$3*EXP(Ft!D$38*($A187-Ft!D$2)^2)+Ft!E$3*EXP(Ft!E$38*($A187-Ft!E$2)^2) +Ft!F$3*EXP(Ft!F$38*($A187-Ft!F$2)^2) + Ft!G$3*EXP(Ft!G$38*($A187-Ft!G$2)^2)</f>
        <v>12.713477509786314</v>
      </c>
      <c r="E187" s="26">
        <f>Ft!B$3*EXP(Ft!B$38*($A187-Ft!B$2)^2)</f>
        <v>6.4717311517427351E-11</v>
      </c>
      <c r="F187" s="26">
        <f>Ft!C$3*EXP(Ft!C$38*($A187-Ft!C$2)^2)</f>
        <v>7.6412530431122763</v>
      </c>
      <c r="G187" s="26">
        <f>Ft!D$3*EXP(Ft!D$38*($A187-Ft!D$2)^2)</f>
        <v>5.0716630232975302</v>
      </c>
      <c r="H187" s="26">
        <f>Ft!E$3*EXP(Ft!E$38*($A187-Ft!E$2)^2)</f>
        <v>5.6144331178971407E-4</v>
      </c>
      <c r="I187" s="26">
        <f>Ft!F$3*EXP(Ft!F$38*($A187-Ft!F$2)^2)</f>
        <v>8.2194063977366262E-78</v>
      </c>
      <c r="J187" s="26">
        <f>Ft!G$3*EXP(Ft!G$38*($A187-Ft!G$2)^2)</f>
        <v>1.4537621403401681E-305</v>
      </c>
    </row>
    <row r="188" spans="1:10">
      <c r="A188" s="19">
        <v>186</v>
      </c>
      <c r="B188" s="28">
        <v>26.388888023433736</v>
      </c>
      <c r="C188" s="27">
        <f ca="1">OFFSET($B188,1*(ROWS(C$2:C188)-1),0)</f>
        <v>48.28720799505669</v>
      </c>
      <c r="D188" s="26">
        <f>Ft!B$3*EXP(Ft!B$38*($A188-Ft!B$2)^2) +Ft!C$3*EXP(Ft!C$38*($A188-Ft!C$2)^2) + Ft!D$3*EXP(Ft!D$38*($A188-Ft!D$2)^2)+Ft!E$3*EXP(Ft!E$38*($A188-Ft!E$2)^2) +Ft!F$3*EXP(Ft!F$38*($A188-Ft!F$2)^2) + Ft!G$3*EXP(Ft!G$38*($A188-Ft!G$2)^2)</f>
        <v>12.704826178887725</v>
      </c>
      <c r="E188" s="26">
        <f>Ft!B$3*EXP(Ft!B$38*($A188-Ft!B$2)^2)</f>
        <v>4.5421307977921188E-11</v>
      </c>
      <c r="F188" s="26">
        <f>Ft!C$3*EXP(Ft!C$38*($A188-Ft!C$2)^2)</f>
        <v>7.5833170969785613</v>
      </c>
      <c r="G188" s="26">
        <f>Ft!D$3*EXP(Ft!D$38*($A188-Ft!D$2)^2)</f>
        <v>5.1209293443301727</v>
      </c>
      <c r="H188" s="26">
        <f>Ft!E$3*EXP(Ft!E$38*($A188-Ft!E$2)^2)</f>
        <v>5.7973753356976951E-4</v>
      </c>
      <c r="I188" s="26">
        <f>Ft!F$3*EXP(Ft!F$38*($A188-Ft!F$2)^2)</f>
        <v>1.2745929150206125E-77</v>
      </c>
      <c r="J188" s="26">
        <f>Ft!G$3*EXP(Ft!G$38*($A188-Ft!G$2)^2)</f>
        <v>7.4566617273852088E-305</v>
      </c>
    </row>
    <row r="189" spans="1:10">
      <c r="A189" s="19">
        <v>187</v>
      </c>
      <c r="B189" s="28">
        <v>26.596628887817019</v>
      </c>
      <c r="C189" s="27">
        <f ca="1">OFFSET($B189,1*(ROWS(C$2:C189)-1),0)</f>
        <v>48.25630755941387</v>
      </c>
      <c r="D189" s="26">
        <f>Ft!B$3*EXP(Ft!B$38*($A189-Ft!B$2)^2) +Ft!C$3*EXP(Ft!C$38*($A189-Ft!C$2)^2) + Ft!D$3*EXP(Ft!D$38*($A189-Ft!D$2)^2)+Ft!E$3*EXP(Ft!E$38*($A189-Ft!E$2)^2) +Ft!F$3*EXP(Ft!F$38*($A189-Ft!F$2)^2) + Ft!G$3*EXP(Ft!G$38*($A189-Ft!G$2)^2)</f>
        <v>12.695685547357741</v>
      </c>
      <c r="E189" s="26">
        <f>Ft!B$3*EXP(Ft!B$38*($A189-Ft!B$2)^2)</f>
        <v>3.1798093000517189E-11</v>
      </c>
      <c r="F189" s="26">
        <f>Ft!C$3*EXP(Ft!C$38*($A189-Ft!C$2)^2)</f>
        <v>7.5245985431731901</v>
      </c>
      <c r="G189" s="26">
        <f>Ft!D$3*EXP(Ft!D$38*($A189-Ft!D$2)^2)</f>
        <v>5.1704884064273795</v>
      </c>
      <c r="H189" s="26">
        <f>Ft!E$3*EXP(Ft!E$38*($A189-Ft!E$2)^2)</f>
        <v>5.9859772537416555E-4</v>
      </c>
      <c r="I189" s="26">
        <f>Ft!F$3*EXP(Ft!F$38*($A189-Ft!F$2)^2)</f>
        <v>1.9754628395840864E-77</v>
      </c>
      <c r="J189" s="26">
        <f>Ft!G$3*EXP(Ft!G$38*($A189-Ft!G$2)^2)</f>
        <v>3.8174183949394043E-304</v>
      </c>
    </row>
    <row r="190" spans="1:10">
      <c r="A190" s="19">
        <v>188</v>
      </c>
      <c r="B190" s="28">
        <v>26.780087100169624</v>
      </c>
      <c r="C190" s="27">
        <f ca="1">OFFSET($B190,1*(ROWS(C$2:C190)-1),0)</f>
        <v>48.221646833844176</v>
      </c>
      <c r="D190" s="26">
        <f>Ft!B$3*EXP(Ft!B$38*($A190-Ft!B$2)^2) +Ft!C$3*EXP(Ft!C$38*($A190-Ft!C$2)^2) + Ft!D$3*EXP(Ft!D$38*($A190-Ft!D$2)^2)+Ft!E$3*EXP(Ft!E$38*($A190-Ft!E$2)^2) +Ft!F$3*EXP(Ft!F$38*($A190-Ft!F$2)^2) + Ft!G$3*EXP(Ft!G$38*($A190-Ft!G$2)^2)</f>
        <v>12.686079938085191</v>
      </c>
      <c r="E190" s="26">
        <f>Ft!B$3*EXP(Ft!B$38*($A190-Ft!B$2)^2)</f>
        <v>2.2204693579633695E-11</v>
      </c>
      <c r="F190" s="26">
        <f>Ft!C$3*EXP(Ft!C$38*($A190-Ft!C$2)^2)</f>
        <v>7.4651224345680776</v>
      </c>
      <c r="G190" s="26">
        <f>Ft!D$3*EXP(Ft!D$38*($A190-Ft!D$2)^2)</f>
        <v>5.2203394631250672</v>
      </c>
      <c r="H190" s="26">
        <f>Ft!E$3*EXP(Ft!E$38*($A190-Ft!E$2)^2)</f>
        <v>6.1804036984203421E-4</v>
      </c>
      <c r="I190" s="26">
        <f>Ft!F$3*EXP(Ft!F$38*($A190-Ft!F$2)^2)</f>
        <v>3.0600783596493414E-77</v>
      </c>
      <c r="J190" s="26">
        <f>Ft!G$3*EXP(Ft!G$38*($A190-Ft!G$2)^2)</f>
        <v>1.9506049192843505E-303</v>
      </c>
    </row>
    <row r="191" spans="1:10">
      <c r="A191" s="19">
        <v>189</v>
      </c>
      <c r="B191" s="28">
        <v>26.987400062018907</v>
      </c>
      <c r="C191" s="27">
        <f ca="1">OFFSET($B191,1*(ROWS(C$2:C191)-1),0)</f>
        <v>48.156115602810814</v>
      </c>
      <c r="D191" s="26">
        <f>Ft!B$3*EXP(Ft!B$38*($A191-Ft!B$2)^2) +Ft!C$3*EXP(Ft!C$38*($A191-Ft!C$2)^2) + Ft!D$3*EXP(Ft!D$38*($A191-Ft!D$2)^2)+Ft!E$3*EXP(Ft!E$38*($A191-Ft!E$2)^2) +Ft!F$3*EXP(Ft!F$38*($A191-Ft!F$2)^2) + Ft!G$3*EXP(Ft!G$38*($A191-Ft!G$2)^2)</f>
        <v>12.676033807098335</v>
      </c>
      <c r="E191" s="26">
        <f>Ft!B$3*EXP(Ft!B$38*($A191-Ft!B$2)^2)</f>
        <v>1.5466454339554356E-11</v>
      </c>
      <c r="F191" s="26">
        <f>Ft!C$3*EXP(Ft!C$38*($A191-Ft!C$2)^2)</f>
        <v>7.4049139955727172</v>
      </c>
      <c r="G191" s="26">
        <f>Ft!D$3*EXP(Ft!D$38*($A191-Ft!D$2)^2)</f>
        <v>5.2704817291141364</v>
      </c>
      <c r="H191" s="26">
        <f>Ft!E$3*EXP(Ft!E$38*($A191-Ft!E$2)^2)</f>
        <v>6.3808239601482292E-4</v>
      </c>
      <c r="I191" s="26">
        <f>Ft!F$3*EXP(Ft!F$38*($A191-Ft!F$2)^2)</f>
        <v>4.7376453715473065E-77</v>
      </c>
      <c r="J191" s="26">
        <f>Ft!G$3*EXP(Ft!G$38*($A191-Ft!G$2)^2)</f>
        <v>9.9481677845350968E-303</v>
      </c>
    </row>
    <row r="192" spans="1:10">
      <c r="A192" s="19">
        <v>190</v>
      </c>
      <c r="B192" s="28">
        <v>27.198130802772084</v>
      </c>
      <c r="C192" s="27">
        <f ca="1">OFFSET($B192,1*(ROWS(C$2:C192)-1),0)</f>
        <v>48.11100132036205</v>
      </c>
      <c r="D192" s="26">
        <f>Ft!B$3*EXP(Ft!B$38*($A192-Ft!B$2)^2) +Ft!C$3*EXP(Ft!C$38*($A192-Ft!C$2)^2) + Ft!D$3*EXP(Ft!D$38*($A192-Ft!D$2)^2)+Ft!E$3*EXP(Ft!E$38*($A192-Ft!E$2)^2) +Ft!F$3*EXP(Ft!F$38*($A192-Ft!F$2)^2) + Ft!G$3*EXP(Ft!G$38*($A192-Ft!G$2)^2)</f>
        <v>12.665571725642835</v>
      </c>
      <c r="E192" s="26">
        <f>Ft!B$3*EXP(Ft!B$38*($A192-Ft!B$2)^2)</f>
        <v>1.0745806437296643E-11</v>
      </c>
      <c r="F192" s="26">
        <f>Ft!C$3*EXP(Ft!C$38*($A192-Ft!C$2)^2)</f>
        <v>7.3439986044623211</v>
      </c>
      <c r="G192" s="26">
        <f>Ft!D$3*EXP(Ft!D$38*($A192-Ft!D$2)^2)</f>
        <v>5.3209143799793956</v>
      </c>
      <c r="H192" s="26">
        <f>Ft!E$3*EXP(Ft!E$38*($A192-Ft!E$2)^2)</f>
        <v>6.5874119037159296E-4</v>
      </c>
      <c r="I192" s="26">
        <f>Ft!F$3*EXP(Ft!F$38*($A192-Ft!F$2)^2)</f>
        <v>7.3309265686152382E-77</v>
      </c>
      <c r="J192" s="26">
        <f>Ft!G$3*EXP(Ft!G$38*($A192-Ft!G$2)^2)</f>
        <v>5.0639699598877713E-302</v>
      </c>
    </row>
    <row r="193" spans="1:10">
      <c r="A193" s="19">
        <v>191</v>
      </c>
      <c r="B193" s="28">
        <v>27.41029673779974</v>
      </c>
      <c r="C193" s="27">
        <f ca="1">OFFSET($B193,1*(ROWS(C$2:C193)-1),0)</f>
        <v>48.069702528254226</v>
      </c>
      <c r="D193" s="26">
        <f>Ft!B$3*EXP(Ft!B$38*($A193-Ft!B$2)^2) +Ft!C$3*EXP(Ft!C$38*($A193-Ft!C$2)^2) + Ft!D$3*EXP(Ft!D$38*($A193-Ft!D$2)^2)+Ft!E$3*EXP(Ft!E$38*($A193-Ft!E$2)^2) +Ft!F$3*EXP(Ft!F$38*($A193-Ft!F$2)^2) + Ft!G$3*EXP(Ft!G$38*($A193-Ft!G$2)^2)</f>
        <v>12.654718362281232</v>
      </c>
      <c r="E193" s="26">
        <f>Ft!B$3*EXP(Ft!B$38*($A193-Ft!B$2)^2)</f>
        <v>7.4471402571156526E-12</v>
      </c>
      <c r="F193" s="26">
        <f>Ft!C$3*EXP(Ft!C$38*($A193-Ft!C$2)^2)</f>
        <v>7.282401775722656</v>
      </c>
      <c r="G193" s="26">
        <f>Ft!D$3*EXP(Ft!D$38*($A193-Ft!D$2)^2)</f>
        <v>5.3716365519430225</v>
      </c>
      <c r="H193" s="26">
        <f>Ft!E$3*EXP(Ft!E$38*($A193-Ft!E$2)^2)</f>
        <v>6.8003460810548452E-4</v>
      </c>
      <c r="I193" s="26">
        <f>Ft!F$3*EXP(Ft!F$38*($A193-Ft!F$2)^2)</f>
        <v>1.1337609851270655E-76</v>
      </c>
      <c r="J193" s="26">
        <f>Ft!G$3*EXP(Ft!G$38*($A193-Ft!G$2)^2)</f>
        <v>2.5728435187826021E-301</v>
      </c>
    </row>
    <row r="194" spans="1:10">
      <c r="A194" s="19">
        <v>192</v>
      </c>
      <c r="B194" s="28">
        <v>27.641328953002471</v>
      </c>
      <c r="C194" s="27">
        <f ca="1">OFFSET($B194,1*(ROWS(C$2:C194)-1),0)</f>
        <v>47.96400863924427</v>
      </c>
      <c r="D194" s="26">
        <f>Ft!B$3*EXP(Ft!B$38*($A194-Ft!B$2)^2) +Ft!C$3*EXP(Ft!C$38*($A194-Ft!C$2)^2) + Ft!D$3*EXP(Ft!D$38*($A194-Ft!D$2)^2)+Ft!E$3*EXP(Ft!E$38*($A194-Ft!E$2)^2) +Ft!F$3*EXP(Ft!F$38*($A194-Ft!F$2)^2) + Ft!G$3*EXP(Ft!G$38*($A194-Ft!G$2)^2)</f>
        <v>12.643498465031064</v>
      </c>
      <c r="E194" s="26">
        <f>Ft!B$3*EXP(Ft!B$38*($A194-Ft!B$2)^2)</f>
        <v>5.1480448683296635E-12</v>
      </c>
      <c r="F194" s="26">
        <f>Ft!C$3*EXP(Ft!C$38*($A194-Ft!C$2)^2)</f>
        <v>7.2201491424285802</v>
      </c>
      <c r="G194" s="26">
        <f>Ft!D$3*EXP(Ft!D$38*($A194-Ft!D$2)^2)</f>
        <v>5.4226473416126906</v>
      </c>
      <c r="H194" s="26">
        <f>Ft!E$3*EXP(Ft!E$38*($A194-Ft!E$2)^2)</f>
        <v>7.0198098464567776E-4</v>
      </c>
      <c r="I194" s="26">
        <f>Ft!F$3*EXP(Ft!F$38*($A194-Ft!F$2)^2)</f>
        <v>1.7524694877988815E-76</v>
      </c>
      <c r="J194" s="26">
        <f>Ft!G$3*EXP(Ft!G$38*($A194-Ft!G$2)^2)</f>
        <v>1.3046975848671112E-300</v>
      </c>
    </row>
    <row r="195" spans="1:10">
      <c r="A195" s="19">
        <v>193</v>
      </c>
      <c r="B195" s="28">
        <v>27.853985892147989</v>
      </c>
      <c r="C195" s="27">
        <f ca="1">OFFSET($B195,1*(ROWS(C$2:C195)-1),0)</f>
        <v>47.857055126556617</v>
      </c>
      <c r="D195" s="26">
        <f>Ft!B$3*EXP(Ft!B$38*($A195-Ft!B$2)^2) +Ft!C$3*EXP(Ft!C$38*($A195-Ft!C$2)^2) + Ft!D$3*EXP(Ft!D$38*($A195-Ft!D$2)^2)+Ft!E$3*EXP(Ft!E$38*($A195-Ft!E$2)^2) +Ft!F$3*EXP(Ft!F$38*($A195-Ft!F$2)^2) + Ft!G$3*EXP(Ft!G$38*($A195-Ft!G$2)^2)</f>
        <v>12.631936843558474</v>
      </c>
      <c r="E195" s="26">
        <f>Ft!B$3*EXP(Ft!B$38*($A195-Ft!B$2)^2)</f>
        <v>3.5497468602063333E-12</v>
      </c>
      <c r="F195" s="26">
        <f>Ft!C$3*EXP(Ft!C$38*($A195-Ft!C$2)^2)</f>
        <v>7.1572664386730684</v>
      </c>
      <c r="G195" s="26">
        <f>Ft!D$3*EXP(Ft!D$38*($A195-Ft!D$2)^2)</f>
        <v>5.4739458057344264</v>
      </c>
      <c r="H195" s="26">
        <f>Ft!E$3*EXP(Ft!E$38*($A195-Ft!E$2)^2)</f>
        <v>7.2459914742927043E-4</v>
      </c>
      <c r="I195" s="26">
        <f>Ft!F$3*EXP(Ft!F$38*($A195-Ft!F$2)^2)</f>
        <v>2.7073583344904938E-76</v>
      </c>
      <c r="J195" s="26">
        <f>Ft!G$3*EXP(Ft!G$38*($A195-Ft!G$2)^2)</f>
        <v>6.6035972329954946E-300</v>
      </c>
    </row>
    <row r="196" spans="1:10">
      <c r="A196" s="19">
        <v>194</v>
      </c>
      <c r="B196" s="28">
        <v>28.066420625154336</v>
      </c>
      <c r="C196" s="27">
        <f ca="1">OFFSET($B196,1*(ROWS(C$2:C196)-1),0)</f>
        <v>47.677563043943167</v>
      </c>
      <c r="D196" s="26">
        <f>Ft!B$3*EXP(Ft!B$38*($A196-Ft!B$2)^2) +Ft!C$3*EXP(Ft!C$38*($A196-Ft!C$2)^2) + Ft!D$3*EXP(Ft!D$38*($A196-Ft!D$2)^2)+Ft!E$3*EXP(Ft!E$38*($A196-Ft!E$2)^2) +Ft!F$3*EXP(Ft!F$38*($A196-Ft!F$2)^2) + Ft!G$3*EXP(Ft!G$38*($A196-Ft!G$2)^2)</f>
        <v>12.620058351444062</v>
      </c>
      <c r="E196" s="26">
        <f>Ft!B$3*EXP(Ft!B$38*($A196-Ft!B$2)^2)</f>
        <v>2.441488675918246E-12</v>
      </c>
      <c r="F196" s="26">
        <f>Ft!C$3*EXP(Ft!C$38*($A196-Ft!C$2)^2)</f>
        <v>7.0937794820633773</v>
      </c>
      <c r="G196" s="26">
        <f>Ft!D$3*EXP(Ft!D$38*($A196-Ft!D$2)^2)</f>
        <v>5.5255309609503156</v>
      </c>
      <c r="H196" s="26">
        <f>Ft!E$3*EXP(Ft!E$38*($A196-Ft!E$2)^2)</f>
        <v>7.4790842792755443E-4</v>
      </c>
      <c r="I196" s="26">
        <f>Ft!F$3*EXP(Ft!F$38*($A196-Ft!F$2)^2)</f>
        <v>4.1802988941766961E-76</v>
      </c>
      <c r="J196" s="26">
        <f>Ft!G$3*EXP(Ft!G$38*($A196-Ft!G$2)^2)</f>
        <v>3.3359960546417485E-299</v>
      </c>
    </row>
    <row r="197" spans="1:10">
      <c r="A197" s="19">
        <v>195</v>
      </c>
      <c r="B197" s="28">
        <v>28.283016946908901</v>
      </c>
      <c r="C197" s="27">
        <f ca="1">OFFSET($B197,1*(ROWS(C$2:C197)-1),0)</f>
        <v>47.488682887182762</v>
      </c>
      <c r="D197" s="26">
        <f>Ft!B$3*EXP(Ft!B$38*($A197-Ft!B$2)^2) +Ft!C$3*EXP(Ft!C$38*($A197-Ft!C$2)^2) + Ft!D$3*EXP(Ft!D$38*($A197-Ft!D$2)^2)+Ft!E$3*EXP(Ft!E$38*($A197-Ft!E$2)^2) +Ft!F$3*EXP(Ft!F$38*($A197-Ft!F$2)^2) + Ft!G$3*EXP(Ft!G$38*($A197-Ft!G$2)^2)</f>
        <v>12.607887868537514</v>
      </c>
      <c r="E197" s="26">
        <f>Ft!B$3*EXP(Ft!B$38*($A197-Ft!B$2)^2)</f>
        <v>1.6749980858907455E-12</v>
      </c>
      <c r="F197" s="26">
        <f>Ft!C$3*EXP(Ft!C$38*($A197-Ft!C$2)^2)</f>
        <v>7.0297141563007388</v>
      </c>
      <c r="G197" s="26">
        <f>Ft!D$3*EXP(Ft!D$38*($A197-Ft!D$2)^2)</f>
        <v>5.577401783561168</v>
      </c>
      <c r="H197" s="26">
        <f>Ft!E$3*EXP(Ft!E$38*($A197-Ft!E$2)^2)</f>
        <v>7.7192867393116723E-4</v>
      </c>
      <c r="I197" s="26">
        <f>Ft!F$3*EXP(Ft!F$38*($A197-Ft!F$2)^2)</f>
        <v>6.4511218951679732E-76</v>
      </c>
      <c r="J197" s="26">
        <f>Ft!G$3*EXP(Ft!G$38*($A197-Ft!G$2)^2)</f>
        <v>1.682072508480886E-298</v>
      </c>
    </row>
    <row r="198" spans="1:10">
      <c r="A198" s="19">
        <v>196</v>
      </c>
      <c r="B198" s="28">
        <v>28.511654506547842</v>
      </c>
      <c r="C198" s="27">
        <f ca="1">OFFSET($B198,1*(ROWS(C$2:C198)-1),0)</f>
        <v>47.31430612842837</v>
      </c>
      <c r="D198" s="26">
        <f>Ft!B$3*EXP(Ft!B$38*($A198-Ft!B$2)^2) +Ft!C$3*EXP(Ft!C$38*($A198-Ft!C$2)^2) + Ft!D$3*EXP(Ft!D$38*($A198-Ft!D$2)^2)+Ft!E$3*EXP(Ft!E$38*($A198-Ft!E$2)^2) +Ft!F$3*EXP(Ft!F$38*($A198-Ft!F$2)^2) + Ft!G$3*EXP(Ft!G$38*($A198-Ft!G$2)^2)</f>
        <v>12.595450283417183</v>
      </c>
      <c r="E198" s="26">
        <f>Ft!B$3*EXP(Ft!B$38*($A198-Ft!B$2)^2)</f>
        <v>1.1462416529425415E-12</v>
      </c>
      <c r="F198" s="26">
        <f>Ft!C$3*EXP(Ft!C$38*($A198-Ft!C$2)^2)</f>
        <v>6.9650963938597412</v>
      </c>
      <c r="G198" s="26">
        <f>Ft!D$3*EXP(Ft!D$38*($A198-Ft!D$2)^2)</f>
        <v>5.6295572092941972</v>
      </c>
      <c r="H198" s="26">
        <f>Ft!E$3*EXP(Ft!E$38*($A198-Ft!E$2)^2)</f>
        <v>7.9668026209875917E-4</v>
      </c>
      <c r="I198" s="26">
        <f>Ft!F$3*EXP(Ft!F$38*($A198-Ft!F$2)^2)</f>
        <v>9.9501465989039284E-76</v>
      </c>
      <c r="J198" s="26">
        <f>Ft!G$3*EXP(Ft!G$38*($A198-Ft!G$2)^2)</f>
        <v>8.4652176811124439E-298</v>
      </c>
    </row>
    <row r="199" spans="1:10">
      <c r="A199" s="19">
        <v>197</v>
      </c>
      <c r="B199" s="28">
        <v>28.756223867808188</v>
      </c>
      <c r="C199" s="27">
        <f ca="1">OFFSET($B199,1*(ROWS(C$2:C199)-1),0)</f>
        <v>47.148857546451381</v>
      </c>
      <c r="D199" s="26">
        <f>Ft!B$3*EXP(Ft!B$38*($A199-Ft!B$2)^2) +Ft!C$3*EXP(Ft!C$38*($A199-Ft!C$2)^2) + Ft!D$3*EXP(Ft!D$38*($A199-Ft!D$2)^2)+Ft!E$3*EXP(Ft!E$38*($A199-Ft!E$2)^2) +Ft!F$3*EXP(Ft!F$38*($A199-Ft!F$2)^2) + Ft!G$3*EXP(Ft!G$38*($A199-Ft!G$2)^2)</f>
        <v>12.582770475970758</v>
      </c>
      <c r="E199" s="26">
        <f>Ft!B$3*EXP(Ft!B$38*($A199-Ft!B$2)^2)</f>
        <v>7.8242069205190191E-13</v>
      </c>
      <c r="F199" s="26">
        <f>Ft!C$3*EXP(Ft!C$38*($A199-Ft!C$2)^2)</f>
        <v>6.8999521587833303</v>
      </c>
      <c r="G199" s="26">
        <f>Ft!D$3*EXP(Ft!D$38*($A199-Ft!D$2)^2)</f>
        <v>5.681996133075871</v>
      </c>
      <c r="H199" s="26">
        <f>Ft!E$3*EXP(Ft!E$38*($A199-Ft!E$2)^2)</f>
        <v>8.2218411077371735E-4</v>
      </c>
      <c r="I199" s="26">
        <f>Ft!F$3*EXP(Ft!F$38*($A199-Ft!F$2)^2)</f>
        <v>1.5338752125383143E-75</v>
      </c>
      <c r="J199" s="26">
        <f>Ft!G$3*EXP(Ft!G$38*($A199-Ft!G$2)^2)</f>
        <v>4.2521226298000677E-297</v>
      </c>
    </row>
    <row r="200" spans="1:10">
      <c r="A200" s="19">
        <v>198</v>
      </c>
      <c r="B200" s="28">
        <v>28.999358702288845</v>
      </c>
      <c r="C200" s="27">
        <f ca="1">OFFSET($B200,1*(ROWS(C$2:C200)-1),0)</f>
        <v>46.93345971747928</v>
      </c>
      <c r="D200" s="26">
        <f>Ft!B$3*EXP(Ft!B$38*($A200-Ft!B$2)^2) +Ft!C$3*EXP(Ft!C$38*($A200-Ft!C$2)^2) + Ft!D$3*EXP(Ft!D$38*($A200-Ft!D$2)^2)+Ft!E$3*EXP(Ft!E$38*($A200-Ft!E$2)^2) +Ft!F$3*EXP(Ft!F$38*($A200-Ft!F$2)^2) + Ft!G$3*EXP(Ft!G$38*($A200-Ft!G$2)^2)</f>
        <v>12.569873300112633</v>
      </c>
      <c r="E200" s="26">
        <f>Ft!B$3*EXP(Ft!B$38*($A200-Ft!B$2)^2)</f>
        <v>5.3272949051497458E-13</v>
      </c>
      <c r="F200" s="26">
        <f>Ft!C$3*EXP(Ft!C$38*($A200-Ft!C$2)^2)</f>
        <v>6.8343074296090451</v>
      </c>
      <c r="G200" s="26">
        <f>Ft!D$3*EXP(Ft!D$38*($A200-Ft!D$2)^2)</f>
        <v>5.7347174088099795</v>
      </c>
      <c r="H200" s="26">
        <f>Ft!E$3*EXP(Ft!E$38*($A200-Ft!E$2)^2)</f>
        <v>8.4846169307370705E-4</v>
      </c>
      <c r="I200" s="26">
        <f>Ft!F$3*EXP(Ft!F$38*($A200-Ft!F$2)^2)</f>
        <v>2.3632893492780682E-75</v>
      </c>
      <c r="J200" s="26">
        <f>Ft!G$3*EXP(Ft!G$38*($A200-Ft!G$2)^2)</f>
        <v>2.1318059231464667E-296</v>
      </c>
    </row>
    <row r="201" spans="1:10">
      <c r="A201" s="19">
        <v>199</v>
      </c>
      <c r="B201" s="28">
        <v>29.233908493545499</v>
      </c>
      <c r="C201" s="27">
        <f ca="1">OFFSET($B201,1*(ROWS(C$2:C201)-1),0)</f>
        <v>46.677944563617729</v>
      </c>
      <c r="D201" s="26">
        <f>Ft!B$3*EXP(Ft!B$38*($A201-Ft!B$2)^2) +Ft!C$3*EXP(Ft!C$38*($A201-Ft!C$2)^2) + Ft!D$3*EXP(Ft!D$38*($A201-Ft!D$2)^2)+Ft!E$3*EXP(Ft!E$38*($A201-Ft!E$2)^2) +Ft!F$3*EXP(Ft!F$38*($A201-Ft!F$2)^2) + Ft!G$3*EXP(Ft!G$38*($A201-Ft!G$2)^2)</f>
        <v>12.55678356665352</v>
      </c>
      <c r="E201" s="26">
        <f>Ft!B$3*EXP(Ft!B$38*($A201-Ft!B$2)^2)</f>
        <v>3.6180571332443144E-13</v>
      </c>
      <c r="F201" s="26">
        <f>Ft!C$3*EXP(Ft!C$38*($A201-Ft!C$2)^2)</f>
        <v>6.7681881824418619</v>
      </c>
      <c r="G201" s="26">
        <f>Ft!D$3*EXP(Ft!D$38*($A201-Ft!D$2)^2)</f>
        <v>5.7877198491610402</v>
      </c>
      <c r="H201" s="26">
        <f>Ft!E$3*EXP(Ft!E$38*($A201-Ft!E$2)^2)</f>
        <v>8.7553505025768472E-4</v>
      </c>
      <c r="I201" s="26">
        <f>Ft!F$3*EXP(Ft!F$38*($A201-Ft!F$2)^2)</f>
        <v>3.6392348664455092E-75</v>
      </c>
      <c r="J201" s="26">
        <f>Ft!G$3*EXP(Ft!G$38*($A201-Ft!G$2)^2)</f>
        <v>1.0667527747632434E-295</v>
      </c>
    </row>
    <row r="202" spans="1:10">
      <c r="A202" s="19">
        <v>200</v>
      </c>
      <c r="B202" s="28">
        <v>29.466522888956916</v>
      </c>
      <c r="C202" s="27">
        <f ca="1">OFFSET($B202,1*(ROWS(C$2:C202)-1),0)</f>
        <v>46.435639732551465</v>
      </c>
      <c r="D202" s="26">
        <f>Ft!B$3*EXP(Ft!B$38*($A202-Ft!B$2)^2) +Ft!C$3*EXP(Ft!C$38*($A202-Ft!C$2)^2) + Ft!D$3*EXP(Ft!D$38*($A202-Ft!D$2)^2)+Ft!E$3*EXP(Ft!E$38*($A202-Ft!E$2)^2) +Ft!F$3*EXP(Ft!F$38*($A202-Ft!F$2)^2) + Ft!G$3*EXP(Ft!G$38*($A202-Ft!G$2)^2)</f>
        <v>12.543526026337425</v>
      </c>
      <c r="E202" s="26">
        <f>Ft!B$3*EXP(Ft!B$38*($A202-Ft!B$2)^2)</f>
        <v>2.4510172768384371E-13</v>
      </c>
      <c r="F202" s="26">
        <f>Ft!C$3*EXP(Ft!C$38*($A202-Ft!C$2)^2)</f>
        <v>6.7016203741886606</v>
      </c>
      <c r="G202" s="26">
        <f>Ft!D$3*EXP(Ft!D$38*($A202-Ft!D$2)^2)</f>
        <v>5.8410022253431437</v>
      </c>
      <c r="H202" s="26">
        <f>Ft!E$3*EXP(Ft!E$38*($A202-Ft!E$2)^2)</f>
        <v>9.034268053752278E-4</v>
      </c>
      <c r="I202" s="26">
        <f>Ft!F$3*EXP(Ft!F$38*($A202-Ft!F$2)^2)</f>
        <v>5.6010518133984641E-75</v>
      </c>
      <c r="J202" s="26">
        <f>Ft!G$3*EXP(Ft!G$38*($A202-Ft!G$2)^2)</f>
        <v>5.3278762733164019E-295</v>
      </c>
    </row>
    <row r="203" spans="1:10">
      <c r="A203" s="19">
        <v>201</v>
      </c>
      <c r="B203" s="28">
        <v>29.683936743779981</v>
      </c>
      <c r="C203" s="27">
        <f ca="1">OFFSET($B203,1*(ROWS(C$2:C203)-1),0)</f>
        <v>46.156090619620954</v>
      </c>
      <c r="D203" s="26">
        <f>Ft!B$3*EXP(Ft!B$38*($A203-Ft!B$2)^2) +Ft!C$3*EXP(Ft!C$38*($A203-Ft!C$2)^2) + Ft!D$3*EXP(Ft!D$38*($A203-Ft!D$2)^2)+Ft!E$3*EXP(Ft!E$38*($A203-Ft!E$2)^2) +Ft!F$3*EXP(Ft!F$38*($A203-Ft!F$2)^2) + Ft!G$3*EXP(Ft!G$38*($A203-Ft!G$2)^2)</f>
        <v>12.530125353060736</v>
      </c>
      <c r="E203" s="26">
        <f>Ft!B$3*EXP(Ft!B$38*($A203-Ft!B$2)^2)</f>
        <v>1.6562259872642725E-13</v>
      </c>
      <c r="F203" s="26">
        <f>Ft!C$3*EXP(Ft!C$38*($A203-Ft!C$2)^2)</f>
        <v>6.6346299259690511</v>
      </c>
      <c r="G203" s="26">
        <f>Ft!D$3*EXP(Ft!D$38*($A203-Ft!D$2)^2)</f>
        <v>5.8945632669143162</v>
      </c>
      <c r="H203" s="26">
        <f>Ft!E$3*EXP(Ft!E$38*($A203-Ft!E$2)^2)</f>
        <v>9.3216017720298234E-4</v>
      </c>
      <c r="I203" s="26">
        <f>Ft!F$3*EXP(Ft!F$38*($A203-Ft!F$2)^2)</f>
        <v>8.6157961350892509E-75</v>
      </c>
      <c r="J203" s="26">
        <f>Ft!G$3*EXP(Ft!G$38*($A203-Ft!G$2)^2)</f>
        <v>2.6559427756585882E-294</v>
      </c>
    </row>
    <row r="204" spans="1:10">
      <c r="A204" s="19">
        <v>202</v>
      </c>
      <c r="B204" s="28">
        <v>29.900043858489028</v>
      </c>
      <c r="C204" s="27">
        <f ca="1">OFFSET($B204,1*(ROWS(C$2:C204)-1),0)</f>
        <v>45.838370172396765</v>
      </c>
      <c r="D204" s="26">
        <f>Ft!B$3*EXP(Ft!B$38*($A204-Ft!B$2)^2) +Ft!C$3*EXP(Ft!C$38*($A204-Ft!C$2)^2) + Ft!D$3*EXP(Ft!D$38*($A204-Ft!D$2)^2)+Ft!E$3*EXP(Ft!E$38*($A204-Ft!E$2)^2) +Ft!F$3*EXP(Ft!F$38*($A204-Ft!F$2)^2) + Ft!G$3*EXP(Ft!G$38*($A204-Ft!G$2)^2)</f>
        <v>12.516606127288016</v>
      </c>
      <c r="E204" s="26">
        <f>Ft!B$3*EXP(Ft!B$38*($A204-Ft!B$2)^2)</f>
        <v>1.1163364032809775E-13</v>
      </c>
      <c r="F204" s="26">
        <f>Ft!C$3*EXP(Ft!C$38*($A204-Ft!C$2)^2)</f>
        <v>6.5672427067169155</v>
      </c>
      <c r="G204" s="26">
        <f>Ft!D$3*EXP(Ft!D$38*($A204-Ft!D$2)^2)</f>
        <v>5.9484016615765167</v>
      </c>
      <c r="H204" s="26">
        <f>Ft!E$3*EXP(Ft!E$38*($A204-Ft!E$2)^2)</f>
        <v>9.6175899447310223E-4</v>
      </c>
      <c r="I204" s="26">
        <f>Ft!F$3*EXP(Ft!F$38*($A204-Ft!F$2)^2)</f>
        <v>1.3246085586738398E-74</v>
      </c>
      <c r="J204" s="26">
        <f>Ft!G$3*EXP(Ft!G$38*($A204-Ft!G$2)^2)</f>
        <v>1.3214706727918503E-293</v>
      </c>
    </row>
    <row r="205" spans="1:10">
      <c r="A205" s="19">
        <v>203</v>
      </c>
      <c r="B205" s="28">
        <v>30.111746603634799</v>
      </c>
      <c r="C205" s="27">
        <f ca="1">OFFSET($B205,1*(ROWS(C$2:C205)-1),0)</f>
        <v>45.479591484384599</v>
      </c>
      <c r="D205" s="26">
        <f>Ft!B$3*EXP(Ft!B$38*($A205-Ft!B$2)^2) +Ft!C$3*EXP(Ft!C$38*($A205-Ft!C$2)^2) + Ft!D$3*EXP(Ft!D$38*($A205-Ft!D$2)^2)+Ft!E$3*EXP(Ft!E$38*($A205-Ft!E$2)^2) +Ft!F$3*EXP(Ft!F$38*($A205-Ft!F$2)^2) + Ft!G$3*EXP(Ft!G$38*($A205-Ft!G$2)^2)</f>
        <v>12.502992819678514</v>
      </c>
      <c r="E205" s="26">
        <f>Ft!B$3*EXP(Ft!B$38*($A205-Ft!B$2)^2)</f>
        <v>7.5053828372019897E-14</v>
      </c>
      <c r="F205" s="26">
        <f>Ft!C$3*EXP(Ft!C$38*($A205-Ft!C$2)^2)</f>
        <v>6.4994845169867004</v>
      </c>
      <c r="G205" s="26">
        <f>Ft!D$3*EXP(Ft!D$38*($A205-Ft!D$2)^2)</f>
        <v>6.0025160549813403</v>
      </c>
      <c r="H205" s="26">
        <f>Ft!E$3*EXP(Ft!E$38*($A205-Ft!E$2)^2)</f>
        <v>9.9224771039866126E-4</v>
      </c>
      <c r="I205" s="26">
        <f>Ft!F$3*EXP(Ft!F$38*($A205-Ft!F$2)^2)</f>
        <v>2.0353824145138731E-74</v>
      </c>
      <c r="J205" s="26">
        <f>Ft!G$3*EXP(Ft!G$38*($A205-Ft!G$2)^2)</f>
        <v>6.5625190654625182E-293</v>
      </c>
    </row>
    <row r="206" spans="1:10">
      <c r="A206" s="19">
        <v>204</v>
      </c>
      <c r="B206" s="28">
        <v>30.344535046934908</v>
      </c>
      <c r="C206" s="27">
        <f ca="1">OFFSET($B206,1*(ROWS(C$2:C206)-1),0)</f>
        <v>45.075007713297225</v>
      </c>
      <c r="D206" s="26">
        <f>Ft!B$3*EXP(Ft!B$38*($A206-Ft!B$2)^2) +Ft!C$3*EXP(Ft!C$38*($A206-Ft!C$2)^2) + Ft!D$3*EXP(Ft!D$38*($A206-Ft!D$2)^2)+Ft!E$3*EXP(Ft!E$38*($A206-Ft!E$2)^2) +Ft!F$3*EXP(Ft!F$38*($A206-Ft!F$2)^2) + Ft!G$3*EXP(Ft!G$38*($A206-Ft!G$2)^2)</f>
        <v>12.489309774937194</v>
      </c>
      <c r="E206" s="26">
        <f>Ft!B$3*EXP(Ft!B$38*($A206-Ft!B$2)^2)</f>
        <v>5.0333007675668516E-14</v>
      </c>
      <c r="F206" s="26">
        <f>Ft!C$3*EXP(Ft!C$38*($A206-Ft!C$2)^2)</f>
        <v>6.4313810729781009</v>
      </c>
      <c r="G206" s="26">
        <f>Ft!D$3*EXP(Ft!D$38*($A206-Ft!D$2)^2)</f>
        <v>6.0569050505415403</v>
      </c>
      <c r="H206" s="26">
        <f>Ft!E$3*EXP(Ft!E$38*($A206-Ft!E$2)^2)</f>
        <v>1.0236514175009752E-3</v>
      </c>
      <c r="I206" s="26">
        <f>Ft!F$3*EXP(Ft!F$38*($A206-Ft!F$2)^2)</f>
        <v>3.125869173432216E-74</v>
      </c>
      <c r="J206" s="26">
        <f>Ft!G$3*EXP(Ft!G$38*($A206-Ft!G$2)^2)</f>
        <v>3.2528037349171801E-292</v>
      </c>
    </row>
    <row r="207" spans="1:10">
      <c r="A207" s="19">
        <v>205</v>
      </c>
      <c r="B207" s="28">
        <v>30.605404495897062</v>
      </c>
      <c r="C207" s="27">
        <f ca="1">OFFSET($B207,1*(ROWS(C$2:C207)-1),0)</f>
        <v>44.680738646947077</v>
      </c>
      <c r="D207" s="26">
        <f>Ft!B$3*EXP(Ft!B$38*($A207-Ft!B$2)^2) +Ft!C$3*EXP(Ft!C$38*($A207-Ft!C$2)^2) + Ft!D$3*EXP(Ft!D$38*($A207-Ft!D$2)^2)+Ft!E$3*EXP(Ft!E$38*($A207-Ft!E$2)^2) +Ft!F$3*EXP(Ft!F$38*($A207-Ft!F$2)^2) + Ft!G$3*EXP(Ft!G$38*($A207-Ft!G$2)^2)</f>
        <v>12.475581195903624</v>
      </c>
      <c r="E207" s="26">
        <f>Ft!B$3*EXP(Ft!B$38*($A207-Ft!B$2)^2)</f>
        <v>3.3669385161344245E-14</v>
      </c>
      <c r="F207" s="26">
        <f>Ft!C$3*EXP(Ft!C$38*($A207-Ft!C$2)^2)</f>
        <v>6.3629579907923892</v>
      </c>
      <c r="G207" s="26">
        <f>Ft!D$3*EXP(Ft!D$38*($A207-Ft!D$2)^2)</f>
        <v>6.1115672092484576</v>
      </c>
      <c r="H207" s="26">
        <f>Ft!E$3*EXP(Ft!E$38*($A207-Ft!E$2)^2)</f>
        <v>1.0559958627439209E-3</v>
      </c>
      <c r="I207" s="26">
        <f>Ft!F$3*EXP(Ft!F$38*($A207-Ft!F$2)^2)</f>
        <v>4.7980182527769043E-74</v>
      </c>
      <c r="J207" s="26">
        <f>Ft!G$3*EXP(Ft!G$38*($A207-Ft!G$2)^2)</f>
        <v>1.6092346485321162E-291</v>
      </c>
    </row>
    <row r="208" spans="1:10">
      <c r="A208" s="19">
        <v>206</v>
      </c>
      <c r="B208" s="28">
        <v>30.843894465265123</v>
      </c>
      <c r="C208" s="27">
        <f ca="1">OFFSET($B208,1*(ROWS(C$2:C208)-1),0)</f>
        <v>44.27695556373726</v>
      </c>
      <c r="D208" s="26">
        <f>Ft!B$3*EXP(Ft!B$38*($A208-Ft!B$2)^2) +Ft!C$3*EXP(Ft!C$38*($A208-Ft!C$2)^2) + Ft!D$3*EXP(Ft!D$38*($A208-Ft!D$2)^2)+Ft!E$3*EXP(Ft!E$38*($A208-Ft!E$2)^2) +Ft!F$3*EXP(Ft!F$38*($A208-Ft!F$2)^2) + Ft!G$3*EXP(Ft!G$38*($A208-Ft!G$2)^2)</f>
        <v>12.461831127891735</v>
      </c>
      <c r="E208" s="26">
        <f>Ft!B$3*EXP(Ft!B$38*($A208-Ft!B$2)^2)</f>
        <v>2.2465689859766621E-14</v>
      </c>
      <c r="F208" s="26">
        <f>Ft!C$3*EXP(Ft!C$38*($A208-Ft!C$2)^2)</f>
        <v>6.2942407709332802</v>
      </c>
      <c r="G208" s="26">
        <f>Ft!D$3*EXP(Ft!D$38*($A208-Ft!D$2)^2)</f>
        <v>6.1665010494954533</v>
      </c>
      <c r="H208" s="26">
        <f>Ft!E$3*EXP(Ft!E$38*($A208-Ft!E$2)^2)</f>
        <v>1.0893074629802894E-3</v>
      </c>
      <c r="I208" s="26">
        <f>Ft!F$3*EXP(Ft!F$38*($A208-Ft!F$2)^2)</f>
        <v>7.3607033044789222E-74</v>
      </c>
      <c r="J208" s="26">
        <f>Ft!G$3*EXP(Ft!G$38*($A208-Ft!G$2)^2)</f>
        <v>7.946120061555678E-291</v>
      </c>
    </row>
    <row r="209" spans="1:10">
      <c r="A209" s="19">
        <v>207</v>
      </c>
      <c r="B209" s="28">
        <v>31.065992115417941</v>
      </c>
      <c r="C209" s="27">
        <f ca="1">OFFSET($B209,1*(ROWS(C$2:C209)-1),0)</f>
        <v>43.86200492500052</v>
      </c>
      <c r="D209" s="26">
        <f>Ft!B$3*EXP(Ft!B$38*($A209-Ft!B$2)^2) +Ft!C$3*EXP(Ft!C$38*($A209-Ft!C$2)^2) + Ft!D$3*EXP(Ft!D$38*($A209-Ft!D$2)^2)+Ft!E$3*EXP(Ft!E$38*($A209-Ft!E$2)^2) +Ft!F$3*EXP(Ft!F$38*($A209-Ft!F$2)^2) + Ft!G$3*EXP(Ft!G$38*($A209-Ft!G$2)^2)</f>
        <v>12.448083443292909</v>
      </c>
      <c r="E209" s="26">
        <f>Ft!B$3*EXP(Ft!B$38*($A209-Ft!B$2)^2)</f>
        <v>1.4952251821792015E-14</v>
      </c>
      <c r="F209" s="26">
        <f>Ft!C$3*EXP(Ft!C$38*($A209-Ft!C$2)^2)</f>
        <v>6.2252547830647575</v>
      </c>
      <c r="G209" s="26">
        <f>Ft!D$3*EXP(Ft!D$38*($A209-Ft!D$2)^2)</f>
        <v>6.2217050469074202</v>
      </c>
      <c r="H209" s="26">
        <f>Ft!E$3*EXP(Ft!E$38*($A209-Ft!E$2)^2)</f>
        <v>1.1236133207153545E-3</v>
      </c>
      <c r="I209" s="26">
        <f>Ft!F$3*EXP(Ft!F$38*($A209-Ft!F$2)^2)</f>
        <v>1.1286078009589109E-73</v>
      </c>
      <c r="J209" s="26">
        <f>Ft!G$3*EXP(Ft!G$38*($A209-Ft!G$2)^2)</f>
        <v>3.9162021694087644E-290</v>
      </c>
    </row>
    <row r="210" spans="1:10">
      <c r="A210" s="19">
        <v>208</v>
      </c>
      <c r="B210" s="28">
        <v>31.294135625455283</v>
      </c>
      <c r="C210" s="27">
        <f ca="1">OFFSET($B210,1*(ROWS(C$2:C210)-1),0)</f>
        <v>43.44321437089738</v>
      </c>
      <c r="D210" s="26">
        <f>Ft!B$3*EXP(Ft!B$38*($A210-Ft!B$2)^2) +Ft!C$3*EXP(Ft!C$38*($A210-Ft!C$2)^2) + Ft!D$3*EXP(Ft!D$38*($A210-Ft!D$2)^2)+Ft!E$3*EXP(Ft!E$38*($A210-Ft!E$2)^2) +Ft!F$3*EXP(Ft!F$38*($A210-Ft!F$2)^2) + Ft!G$3*EXP(Ft!G$38*($A210-Ft!G$2)^2)</f>
        <v>12.434361826454625</v>
      </c>
      <c r="E210" s="26">
        <f>Ft!B$3*EXP(Ft!B$38*($A210-Ft!B$2)^2)</f>
        <v>9.9264901622668353E-15</v>
      </c>
      <c r="F210" s="26">
        <f>Ft!C$3*EXP(Ft!C$38*($A210-Ft!C$2)^2)</f>
        <v>6.1560252510379234</v>
      </c>
      <c r="G210" s="26">
        <f>Ft!D$3*EXP(Ft!D$38*($A210-Ft!D$2)^2)</f>
        <v>6.2771776341764971</v>
      </c>
      <c r="H210" s="26">
        <f>Ft!E$3*EXP(Ft!E$38*($A210-Ft!E$2)^2)</f>
        <v>1.1589412401928148E-3</v>
      </c>
      <c r="I210" s="26">
        <f>Ft!F$3*EXP(Ft!F$38*($A210-Ft!F$2)^2)</f>
        <v>1.7295499201279458E-73</v>
      </c>
      <c r="J210" s="26">
        <f>Ft!G$3*EXP(Ft!G$38*($A210-Ft!G$2)^2)</f>
        <v>1.9264126331680304E-289</v>
      </c>
    </row>
    <row r="211" spans="1:10">
      <c r="A211" s="19">
        <v>209</v>
      </c>
      <c r="B211" s="28">
        <v>31.52916244299908</v>
      </c>
      <c r="C211" s="27">
        <f ca="1">OFFSET($B211,1*(ROWS(C$2:C211)-1),0)</f>
        <v>42.97750070280938</v>
      </c>
      <c r="D211" s="26">
        <f>Ft!B$3*EXP(Ft!B$38*($A211-Ft!B$2)^2) +Ft!C$3*EXP(Ft!C$38*($A211-Ft!C$2)^2) + Ft!D$3*EXP(Ft!D$38*($A211-Ft!D$2)^2)+Ft!E$3*EXP(Ft!E$38*($A211-Ft!E$2)^2) +Ft!F$3*EXP(Ft!F$38*($A211-Ft!F$2)^2) + Ft!G$3*EXP(Ft!G$38*($A211-Ft!G$2)^2)</f>
        <v>12.420689758846315</v>
      </c>
      <c r="E211" s="26">
        <f>Ft!B$3*EXP(Ft!B$38*($A211-Ft!B$2)^2)</f>
        <v>6.5733551993088459E-15</v>
      </c>
      <c r="F211" s="26">
        <f>Ft!C$3*EXP(Ft!C$38*($A211-Ft!C$2)^2)</f>
        <v>6.086577238198454</v>
      </c>
      <c r="G211" s="26">
        <f>Ft!D$3*EXP(Ft!D$38*($A211-Ft!D$2)^2)</f>
        <v>6.3329172009040473</v>
      </c>
      <c r="H211" s="26">
        <f>Ft!E$3*EXP(Ft!E$38*($A211-Ft!E$2)^2)</f>
        <v>1.1953197438083743E-3</v>
      </c>
      <c r="I211" s="26">
        <f>Ft!F$3*EXP(Ft!F$38*($A211-Ft!F$2)^2)</f>
        <v>2.6490458424937831E-73</v>
      </c>
      <c r="J211" s="26">
        <f>Ft!G$3*EXP(Ft!G$38*($A211-Ft!G$2)^2)</f>
        <v>9.4581841327897265E-289</v>
      </c>
    </row>
    <row r="212" spans="1:10">
      <c r="A212" s="19">
        <v>210</v>
      </c>
      <c r="B212" s="28">
        <v>31.781898328716949</v>
      </c>
      <c r="C212" s="27">
        <f ca="1">OFFSET($B212,1*(ROWS(C$2:C212)-1),0)</f>
        <v>42.53850859007494</v>
      </c>
      <c r="D212" s="26">
        <f>Ft!B$3*EXP(Ft!B$38*($A212-Ft!B$2)^2) +Ft!C$3*EXP(Ft!C$38*($A212-Ft!C$2)^2) + Ft!D$3*EXP(Ft!D$38*($A212-Ft!D$2)^2)+Ft!E$3*EXP(Ft!E$38*($A212-Ft!E$2)^2) +Ft!F$3*EXP(Ft!F$38*($A212-Ft!F$2)^2) + Ft!G$3*EXP(Ft!G$38*($A212-Ft!G$2)^2)</f>
        <v>12.407090504523685</v>
      </c>
      <c r="E212" s="26">
        <f>Ft!B$3*EXP(Ft!B$38*($A212-Ft!B$2)^2)</f>
        <v>4.3419093776813813E-15</v>
      </c>
      <c r="F212" s="26">
        <f>Ft!C$3*EXP(Ft!C$38*($A212-Ft!C$2)^2)</f>
        <v>6.0169356329858239</v>
      </c>
      <c r="G212" s="26">
        <f>Ft!D$3*EXP(Ft!D$38*($A212-Ft!D$2)^2)</f>
        <v>6.3889220934490014</v>
      </c>
      <c r="H212" s="26">
        <f>Ft!E$3*EXP(Ft!E$38*($A212-Ft!E$2)^2)</f>
        <v>1.2327780888561958E-3</v>
      </c>
      <c r="I212" s="26">
        <f>Ft!F$3*EXP(Ft!F$38*($A212-Ft!F$2)^2)</f>
        <v>4.0551989413359415E-73</v>
      </c>
      <c r="J212" s="26">
        <f>Ft!G$3*EXP(Ft!G$38*($A212-Ft!G$2)^2)</f>
        <v>4.6349008132974932E-288</v>
      </c>
    </row>
    <row r="213" spans="1:10">
      <c r="A213" s="19">
        <v>211</v>
      </c>
      <c r="B213" s="28">
        <v>32.020493814731623</v>
      </c>
      <c r="C213" s="27">
        <f ca="1">OFFSET($B213,1*(ROWS(C$2:C213)-1),0)</f>
        <v>42.08118861262011</v>
      </c>
      <c r="D213" s="26">
        <f>Ft!B$3*EXP(Ft!B$38*($A213-Ft!B$2)^2) +Ft!C$3*EXP(Ft!C$38*($A213-Ft!C$2)^2) + Ft!D$3*EXP(Ft!D$38*($A213-Ft!D$2)^2)+Ft!E$3*EXP(Ft!E$38*($A213-Ft!E$2)^2) +Ft!F$3*EXP(Ft!F$38*($A213-Ft!F$2)^2) + Ft!G$3*EXP(Ft!G$38*($A213-Ft!G$2)^2)</f>
        <v>12.393587095902291</v>
      </c>
      <c r="E213" s="26">
        <f>Ft!B$3*EXP(Ft!B$38*($A213-Ft!B$2)^2)</f>
        <v>2.860728741534794E-15</v>
      </c>
      <c r="F213" s="26">
        <f>Ft!C$3*EXP(Ft!C$38*($A213-Ft!C$2)^2)</f>
        <v>5.9471251348350052</v>
      </c>
      <c r="G213" s="26">
        <f>Ft!D$3*EXP(Ft!D$38*($A213-Ft!D$2)^2)</f>
        <v>6.4451906147826685</v>
      </c>
      <c r="H213" s="26">
        <f>Ft!E$3*EXP(Ft!E$38*($A213-Ft!E$2)^2)</f>
        <v>1.2713462846136124E-3</v>
      </c>
      <c r="I213" s="26">
        <f>Ft!F$3*EXP(Ft!F$38*($A213-Ft!F$2)^2)</f>
        <v>6.2044197876062675E-73</v>
      </c>
      <c r="J213" s="26">
        <f>Ft!G$3*EXP(Ft!G$38*($A213-Ft!G$2)^2)</f>
        <v>2.2669782728170547E-287</v>
      </c>
    </row>
    <row r="214" spans="1:10">
      <c r="A214" s="19">
        <v>212</v>
      </c>
      <c r="B214" s="28">
        <v>32.256779118562747</v>
      </c>
      <c r="C214" s="27">
        <f ca="1">OFFSET($B214,1*(ROWS(C$2:C214)-1),0)</f>
        <v>41.595778396664144</v>
      </c>
      <c r="D214" s="26">
        <f>Ft!B$3*EXP(Ft!B$38*($A214-Ft!B$2)^2) +Ft!C$3*EXP(Ft!C$38*($A214-Ft!C$2)^2) + Ft!D$3*EXP(Ft!D$38*($A214-Ft!D$2)^2)+Ft!E$3*EXP(Ft!E$38*($A214-Ft!E$2)^2) +Ft!F$3*EXP(Ft!F$38*($A214-Ft!F$2)^2) + Ft!G$3*EXP(Ft!G$38*($A214-Ft!G$2)^2)</f>
        <v>12.380202319850731</v>
      </c>
      <c r="E214" s="26">
        <f>Ft!B$3*EXP(Ft!B$38*($A214-Ft!B$2)^2)</f>
        <v>1.8800736993877681E-15</v>
      </c>
      <c r="F214" s="26">
        <f>Ft!C$3*EXP(Ft!C$38*($A214-Ft!C$2)^2)</f>
        <v>5.8771702403908863</v>
      </c>
      <c r="G214" s="26">
        <f>Ft!D$3*EXP(Ft!D$38*($A214-Ft!D$2)^2)</f>
        <v>6.5017210243500747</v>
      </c>
      <c r="H214" s="26">
        <f>Ft!E$3*EXP(Ft!E$38*($A214-Ft!E$2)^2)</f>
        <v>1.3110551097694303E-3</v>
      </c>
      <c r="I214" s="26">
        <f>Ft!F$3*EXP(Ft!F$38*($A214-Ft!F$2)^2)</f>
        <v>9.487602966625508E-73</v>
      </c>
      <c r="J214" s="26">
        <f>Ft!G$3*EXP(Ft!G$38*($A214-Ft!G$2)^2)</f>
        <v>1.1066964170218199E-286</v>
      </c>
    </row>
    <row r="215" spans="1:10">
      <c r="A215" s="19">
        <v>213</v>
      </c>
      <c r="B215" s="28">
        <v>32.50201741983517</v>
      </c>
      <c r="C215" s="27">
        <f ca="1">OFFSET($B215,1*(ROWS(C$2:C215)-1),0)</f>
        <v>41.085308271360418</v>
      </c>
      <c r="D215" s="26">
        <f>Ft!B$3*EXP(Ft!B$38*($A215-Ft!B$2)^2) +Ft!C$3*EXP(Ft!C$38*($A215-Ft!C$2)^2) + Ft!D$3*EXP(Ft!D$38*($A215-Ft!D$2)^2)+Ft!E$3*EXP(Ft!E$38*($A215-Ft!E$2)^2) +Ft!F$3*EXP(Ft!F$38*($A215-Ft!F$2)^2) + Ft!G$3*EXP(Ft!G$38*($A215-Ft!G$2)^2)</f>
        <v>12.366958704113321</v>
      </c>
      <c r="E215" s="26">
        <f>Ft!B$3*EXP(Ft!B$38*($A215-Ft!B$2)^2)</f>
        <v>1.2324671118030404E-15</v>
      </c>
      <c r="F215" s="26">
        <f>Ft!C$3*EXP(Ft!C$38*($A215-Ft!C$2)^2)</f>
        <v>5.8070952300451699</v>
      </c>
      <c r="G215" s="26">
        <f>Ft!D$3*EXP(Ft!D$38*($A215-Ft!D$2)^2)</f>
        <v>6.5585115379379504</v>
      </c>
      <c r="H215" s="26">
        <f>Ft!E$3*EXP(Ft!E$38*($A215-Ft!E$2)^2)</f>
        <v>1.3519361302012625E-3</v>
      </c>
      <c r="I215" s="26">
        <f>Ft!F$3*EXP(Ft!F$38*($A215-Ft!F$2)^2)</f>
        <v>1.450033876953389E-72</v>
      </c>
      <c r="J215" s="26">
        <f>Ft!G$3*EXP(Ft!G$38*($A215-Ft!G$2)^2)</f>
        <v>5.3924221390426507E-286</v>
      </c>
    </row>
    <row r="216" spans="1:10">
      <c r="A216" s="19">
        <v>214</v>
      </c>
      <c r="B216" s="28">
        <v>32.740730746427261</v>
      </c>
      <c r="C216" s="27">
        <f ca="1">OFFSET($B216,1*(ROWS(C$2:C216)-1),0)</f>
        <v>40.572886352871137</v>
      </c>
      <c r="D216" s="26">
        <f>Ft!B$3*EXP(Ft!B$38*($A216-Ft!B$2)^2) +Ft!C$3*EXP(Ft!C$38*($A216-Ft!C$2)^2) + Ft!D$3*EXP(Ft!D$38*($A216-Ft!D$2)^2)+Ft!E$3*EXP(Ft!E$38*($A216-Ft!E$2)^2) +Ft!F$3*EXP(Ft!F$38*($A216-Ft!F$2)^2) + Ft!G$3*EXP(Ft!G$38*($A216-Ft!G$2)^2)</f>
        <v>12.353878504071613</v>
      </c>
      <c r="E216" s="26">
        <f>Ft!B$3*EXP(Ft!B$38*($A216-Ft!B$2)^2)</f>
        <v>8.0589428172608898E-16</v>
      </c>
      <c r="F216" s="26">
        <f>Ft!C$3*EXP(Ft!C$38*($A216-Ft!C$2)^2)</f>
        <v>5.7369241548050773</v>
      </c>
      <c r="G216" s="26">
        <f>Ft!D$3*EXP(Ft!D$38*($A216-Ft!D$2)^2)</f>
        <v>6.6155603275494261</v>
      </c>
      <c r="H216" s="26">
        <f>Ft!E$3*EXP(Ft!E$38*($A216-Ft!E$2)^2)</f>
        <v>1.3940217171073783E-3</v>
      </c>
      <c r="I216" s="26">
        <f>Ft!F$3*EXP(Ft!F$38*($A216-Ft!F$2)^2)</f>
        <v>2.2149611529224403E-72</v>
      </c>
      <c r="J216" s="26">
        <f>Ft!G$3*EXP(Ft!G$38*($A216-Ft!G$2)^2)</f>
        <v>2.6224879132467465E-285</v>
      </c>
    </row>
    <row r="217" spans="1:10">
      <c r="A217" s="19">
        <v>215</v>
      </c>
      <c r="B217" s="28">
        <v>32.984602537828778</v>
      </c>
      <c r="C217" s="27">
        <f ca="1">OFFSET($B217,1*(ROWS(C$2:C217)-1),0)</f>
        <v>40.07334535779637</v>
      </c>
      <c r="D217" s="26">
        <f>Ft!B$3*EXP(Ft!B$38*($A217-Ft!B$2)^2) +Ft!C$3*EXP(Ft!C$38*($A217-Ft!C$2)^2) + Ft!D$3*EXP(Ft!D$38*($A217-Ft!D$2)^2)+Ft!E$3*EXP(Ft!E$38*($A217-Ft!E$2)^2) +Ft!F$3*EXP(Ft!F$38*($A217-Ft!F$2)^2) + Ft!G$3*EXP(Ft!G$38*($A217-Ft!G$2)^2)</f>
        <v>12.34098368985366</v>
      </c>
      <c r="E217" s="26">
        <f>Ft!B$3*EXP(Ft!B$38*($A217-Ft!B$2)^2)</f>
        <v>5.256335526355251E-16</v>
      </c>
      <c r="F217" s="26">
        <f>Ft!C$3*EXP(Ft!C$38*($A217-Ft!C$2)^2)</f>
        <v>5.6666808235026238</v>
      </c>
      <c r="G217" s="26">
        <f>Ft!D$3*EXP(Ft!D$38*($A217-Ft!D$2)^2)</f>
        <v>6.6728655212855372</v>
      </c>
      <c r="H217" s="26">
        <f>Ft!E$3*EXP(Ft!E$38*($A217-Ft!E$2)^2)</f>
        <v>1.4373450654985307E-3</v>
      </c>
      <c r="I217" s="26">
        <f>Ft!F$3*EXP(Ft!F$38*($A217-Ft!F$2)^2)</f>
        <v>3.3815856925531152E-72</v>
      </c>
      <c r="J217" s="26">
        <f>Ft!G$3*EXP(Ft!G$38*($A217-Ft!G$2)^2)</f>
        <v>1.2729675721629357E-284</v>
      </c>
    </row>
    <row r="218" spans="1:10">
      <c r="A218" s="19">
        <v>216</v>
      </c>
      <c r="B218" s="28">
        <v>33.230181546578848</v>
      </c>
      <c r="C218" s="27">
        <f ca="1">OFFSET($B218,1*(ROWS(C$2:C218)-1),0)</f>
        <v>39.567849215907785</v>
      </c>
      <c r="D218" s="26">
        <f>Ft!B$3*EXP(Ft!B$38*($A218-Ft!B$2)^2) +Ft!C$3*EXP(Ft!C$38*($A218-Ft!C$2)^2) + Ft!D$3*EXP(Ft!D$38*($A218-Ft!D$2)^2)+Ft!E$3*EXP(Ft!E$38*($A218-Ft!E$2)^2) +Ft!F$3*EXP(Ft!F$38*($A218-Ft!F$2)^2) + Ft!G$3*EXP(Ft!G$38*($A218-Ft!G$2)^2)</f>
        <v>12.328295933799518</v>
      </c>
      <c r="E218" s="26">
        <f>Ft!B$3*EXP(Ft!B$38*($A218-Ft!B$2)^2)</f>
        <v>3.4197184801330851E-16</v>
      </c>
      <c r="F218" s="26">
        <f>Ft!C$3*EXP(Ft!C$38*($A218-Ft!C$2)^2)</f>
        <v>5.5963887903528446</v>
      </c>
      <c r="G218" s="26">
        <f>Ft!D$3*EXP(Ft!D$38*($A218-Ft!D$2)^2)</f>
        <v>6.7304252032336169</v>
      </c>
      <c r="H218" s="26">
        <f>Ft!E$3*EXP(Ft!E$38*($A218-Ft!E$2)^2)</f>
        <v>1.4819402130553589E-3</v>
      </c>
      <c r="I218" s="26">
        <f>Ft!F$3*EXP(Ft!F$38*($A218-Ft!F$2)^2)</f>
        <v>5.1598966074320732E-72</v>
      </c>
      <c r="J218" s="26">
        <f>Ft!G$3*EXP(Ft!G$38*($A218-Ft!G$2)^2)</f>
        <v>6.1673048871397963E-284</v>
      </c>
    </row>
    <row r="219" spans="1:10">
      <c r="A219" s="19">
        <v>217</v>
      </c>
      <c r="B219" s="28">
        <v>33.463410101556804</v>
      </c>
      <c r="C219" s="27">
        <f ca="1">OFFSET($B219,1*(ROWS(C$2:C219)-1),0)</f>
        <v>39.089556002880272</v>
      </c>
      <c r="D219" s="26">
        <f>Ft!B$3*EXP(Ft!B$38*($A219-Ft!B$2)^2) +Ft!C$3*EXP(Ft!C$38*($A219-Ft!C$2)^2) + Ft!D$3*EXP(Ft!D$38*($A219-Ft!D$2)^2)+Ft!E$3*EXP(Ft!E$38*($A219-Ft!E$2)^2) +Ft!F$3*EXP(Ft!F$38*($A219-Ft!F$2)^2) + Ft!G$3*EXP(Ft!G$38*($A219-Ft!G$2)^2)</f>
        <v>12.315836598290781</v>
      </c>
      <c r="E219" s="26">
        <f>Ft!B$3*EXP(Ft!B$38*($A219-Ft!B$2)^2)</f>
        <v>2.2192176673923816E-16</v>
      </c>
      <c r="F219" s="26">
        <f>Ft!C$3*EXP(Ft!C$38*($A219-Ft!C$2)^2)</f>
        <v>5.5260713428687538</v>
      </c>
      <c r="G219" s="26">
        <f>Ft!D$3*EXP(Ft!D$38*($A219-Ft!D$2)^2)</f>
        <v>6.7882374133626708</v>
      </c>
      <c r="H219" s="26">
        <f>Ft!E$3*EXP(Ft!E$38*($A219-Ft!E$2)^2)</f>
        <v>1.5278420593569527E-3</v>
      </c>
      <c r="I219" s="26">
        <f>Ft!F$3*EXP(Ft!F$38*($A219-Ft!F$2)^2)</f>
        <v>7.8691517445124306E-72</v>
      </c>
      <c r="J219" s="26">
        <f>Ft!G$3*EXP(Ft!G$38*($A219-Ft!G$2)^2)</f>
        <v>2.9822752895194163E-283</v>
      </c>
    </row>
    <row r="220" spans="1:10">
      <c r="A220" s="19">
        <v>218</v>
      </c>
      <c r="B220" s="28">
        <v>33.722828164831469</v>
      </c>
      <c r="C220" s="27">
        <f ca="1">OFFSET($B220,1*(ROWS(C$2:C220)-1),0)</f>
        <v>38.691684827276561</v>
      </c>
      <c r="D220" s="26">
        <f>Ft!B$3*EXP(Ft!B$38*($A220-Ft!B$2)^2) +Ft!C$3*EXP(Ft!C$38*($A220-Ft!C$2)^2) + Ft!D$3*EXP(Ft!D$38*($A220-Ft!D$2)^2)+Ft!E$3*EXP(Ft!E$38*($A220-Ft!E$2)^2) +Ft!F$3*EXP(Ft!F$38*($A220-Ft!F$2)^2) + Ft!G$3*EXP(Ft!G$38*($A220-Ft!G$2)^2)</f>
        <v>12.303626723951684</v>
      </c>
      <c r="E220" s="26">
        <f>Ft!B$3*EXP(Ft!B$38*($A220-Ft!B$2)^2)</f>
        <v>1.4365201338768155E-16</v>
      </c>
      <c r="F220" s="26">
        <f>Ft!C$3*EXP(Ft!C$38*($A220-Ft!C$2)^2)</f>
        <v>5.455751490140397</v>
      </c>
      <c r="G220" s="26">
        <f>Ft!D$3*EXP(Ft!D$38*($A220-Ft!D$2)^2)</f>
        <v>6.8463001474258007</v>
      </c>
      <c r="H220" s="26">
        <f>Ft!E$3*EXP(Ft!E$38*($A220-Ft!E$2)^2)</f>
        <v>1.5750863854862055E-3</v>
      </c>
      <c r="I220" s="26">
        <f>Ft!F$3*EXP(Ft!F$38*($A220-Ft!F$2)^2)</f>
        <v>1.1994472671706953E-71</v>
      </c>
      <c r="J220" s="26">
        <f>Ft!G$3*EXP(Ft!G$38*($A220-Ft!G$2)^2)</f>
        <v>1.4393760575798225E-282</v>
      </c>
    </row>
    <row r="221" spans="1:10">
      <c r="A221" s="19">
        <v>219</v>
      </c>
      <c r="B221" s="28">
        <v>33.959485107395551</v>
      </c>
      <c r="C221" s="27">
        <f ca="1">OFFSET($B221,1*(ROWS(C$2:C221)-1),0)</f>
        <v>38.298910082573002</v>
      </c>
      <c r="D221" s="26">
        <f>Ft!B$3*EXP(Ft!B$38*($A221-Ft!B$2)^2) +Ft!C$3*EXP(Ft!C$38*($A221-Ft!C$2)^2) + Ft!D$3*EXP(Ft!D$38*($A221-Ft!D$2)^2)+Ft!E$3*EXP(Ft!E$38*($A221-Ft!E$2)^2) +Ft!F$3*EXP(Ft!F$38*($A221-Ft!F$2)^2) + Ft!G$3*EXP(Ft!G$38*($A221-Ft!G$2)^2)</f>
        <v>12.291687018228604</v>
      </c>
      <c r="E221" s="26">
        <f>Ft!B$3*EXP(Ft!B$38*($A221-Ft!B$2)^2)</f>
        <v>9.2752538335859034E-17</v>
      </c>
      <c r="F221" s="26">
        <f>Ft!C$3*EXP(Ft!C$38*($A221-Ft!C$2)^2)</f>
        <v>5.3854519514848107</v>
      </c>
      <c r="G221" s="26">
        <f>Ft!D$3*EXP(Ft!D$38*($A221-Ft!D$2)^2)</f>
        <v>6.9046113568697747</v>
      </c>
      <c r="H221" s="26">
        <f>Ft!E$3*EXP(Ft!E$38*($A221-Ft!E$2)^2)</f>
        <v>1.6237098740176333E-3</v>
      </c>
      <c r="I221" s="26">
        <f>Ft!F$3*EXP(Ft!F$38*($A221-Ft!F$2)^2)</f>
        <v>1.8272615554543195E-71</v>
      </c>
      <c r="J221" s="26">
        <f>Ft!G$3*EXP(Ft!G$38*($A221-Ft!G$2)^2)</f>
        <v>6.9338597304692507E-282</v>
      </c>
    </row>
    <row r="222" spans="1:10">
      <c r="A222" s="19">
        <v>220</v>
      </c>
      <c r="B222" s="28">
        <v>34.225237407233976</v>
      </c>
      <c r="C222" s="27">
        <f ca="1">OFFSET($B222,1*(ROWS(C$2:C222)-1),0)</f>
        <v>37.875318610909375</v>
      </c>
      <c r="D222" s="26">
        <f>Ft!B$3*EXP(Ft!B$38*($A222-Ft!B$2)^2) +Ft!C$3*EXP(Ft!C$38*($A222-Ft!C$2)^2) + Ft!D$3*EXP(Ft!D$38*($A222-Ft!D$2)^2)+Ft!E$3*EXP(Ft!E$38*($A222-Ft!E$2)^2) +Ft!F$3*EXP(Ft!F$38*($A222-Ft!F$2)^2) + Ft!G$3*EXP(Ft!G$38*($A222-Ft!G$2)^2)</f>
        <v>12.280037844354434</v>
      </c>
      <c r="E222" s="26">
        <f>Ft!B$3*EXP(Ft!B$38*($A222-Ft!B$2)^2)</f>
        <v>5.9736828307778963E-17</v>
      </c>
      <c r="F222" s="26">
        <f>Ft!C$3*EXP(Ft!C$38*($A222-Ft!C$2)^2)</f>
        <v>5.3151951454732309</v>
      </c>
      <c r="G222" s="26">
        <f>Ft!D$3*EXP(Ft!D$38*($A222-Ft!D$2)^2)</f>
        <v>6.96316894875181</v>
      </c>
      <c r="H222" s="26">
        <f>Ft!E$3*EXP(Ft!E$38*($A222-Ft!E$2)^2)</f>
        <v>1.6737501293933831E-3</v>
      </c>
      <c r="I222" s="26">
        <f>Ft!F$3*EXP(Ft!F$38*($A222-Ft!F$2)^2)</f>
        <v>2.782188769815636E-71</v>
      </c>
      <c r="J222" s="26">
        <f>Ft!G$3*EXP(Ft!G$38*($A222-Ft!G$2)^2)</f>
        <v>3.3338807558806669E-281</v>
      </c>
    </row>
    <row r="223" spans="1:10">
      <c r="A223" s="19">
        <v>221</v>
      </c>
      <c r="B223" s="28">
        <v>34.514597642993493</v>
      </c>
      <c r="C223" s="27">
        <f ca="1">OFFSET($B223,1*(ROWS(C$2:C223)-1),0)</f>
        <v>37.433789607017843</v>
      </c>
      <c r="D223" s="26">
        <f>Ft!B$3*EXP(Ft!B$38*($A223-Ft!B$2)^2) +Ft!C$3*EXP(Ft!C$38*($A223-Ft!C$2)^2) + Ft!D$3*EXP(Ft!D$38*($A223-Ft!D$2)^2)+Ft!E$3*EXP(Ft!E$38*($A223-Ft!E$2)^2) +Ft!F$3*EXP(Ft!F$38*($A223-Ft!F$2)^2) + Ft!G$3*EXP(Ft!G$38*($A223-Ft!G$2)^2)</f>
        <v>12.268699210703717</v>
      </c>
      <c r="E223" s="26">
        <f>Ft!B$3*EXP(Ft!B$38*($A223-Ft!B$2)^2)</f>
        <v>3.8376095577072726E-17</v>
      </c>
      <c r="F223" s="26">
        <f>Ft!C$3*EXP(Ft!C$38*($A223-Ft!C$2)^2)</f>
        <v>5.2450031793413538</v>
      </c>
      <c r="G223" s="26">
        <f>Ft!D$3*EXP(Ft!D$38*($A223-Ft!D$2)^2)</f>
        <v>7.0219707856636697</v>
      </c>
      <c r="H223" s="26">
        <f>Ft!E$3*EXP(Ft!E$38*($A223-Ft!E$2)^2)</f>
        <v>1.7252456986932068E-3</v>
      </c>
      <c r="I223" s="26">
        <f>Ft!F$3*EXP(Ft!F$38*($A223-Ft!F$2)^2)</f>
        <v>4.2338823722580731E-71</v>
      </c>
      <c r="J223" s="26">
        <f>Ft!G$3*EXP(Ft!G$38*($A223-Ft!G$2)^2)</f>
        <v>1.5999238249273233E-280</v>
      </c>
    </row>
    <row r="224" spans="1:10">
      <c r="A224" s="19">
        <v>222</v>
      </c>
      <c r="B224" s="28">
        <v>34.815680286828268</v>
      </c>
      <c r="C224" s="27">
        <f ca="1">OFFSET($B224,1*(ROWS(C$2:C224)-1),0)</f>
        <v>36.952033647619999</v>
      </c>
      <c r="D224" s="26">
        <f>Ft!B$3*EXP(Ft!B$38*($A224-Ft!B$2)^2) +Ft!C$3*EXP(Ft!C$38*($A224-Ft!C$2)^2) + Ft!D$3*EXP(Ft!D$38*($A224-Ft!D$2)^2)+Ft!E$3*EXP(Ft!E$38*($A224-Ft!E$2)^2) +Ft!F$3*EXP(Ft!F$38*($A224-Ft!F$2)^2) + Ft!G$3*EXP(Ft!G$38*($A224-Ft!G$2)^2)</f>
        <v>12.257690760543895</v>
      </c>
      <c r="E224" s="26">
        <f>Ft!B$3*EXP(Ft!B$38*($A224-Ft!B$2)^2)</f>
        <v>2.4591311106676146E-17</v>
      </c>
      <c r="F224" s="26">
        <f>Ft!C$3*EXP(Ft!C$38*($A224-Ft!C$2)^2)</f>
        <v>5.1748978387879694</v>
      </c>
      <c r="G224" s="26">
        <f>Ft!D$3*EXP(Ft!D$38*($A224-Ft!D$2)^2)</f>
        <v>7.0810146856631224</v>
      </c>
      <c r="H224" s="26">
        <f>Ft!E$3*EXP(Ft!E$38*($A224-Ft!E$2)^2)</f>
        <v>1.7782360928041327E-3</v>
      </c>
      <c r="I224" s="26">
        <f>Ft!F$3*EXP(Ft!F$38*($A224-Ft!F$2)^2)</f>
        <v>6.4395764195821689E-71</v>
      </c>
      <c r="J224" s="26">
        <f>Ft!G$3*EXP(Ft!G$38*($A224-Ft!G$2)^2)</f>
        <v>7.6634227187069976E-280</v>
      </c>
    </row>
    <row r="225" spans="1:10">
      <c r="A225" s="19">
        <v>223</v>
      </c>
      <c r="B225" s="28">
        <v>35.094321346902177</v>
      </c>
      <c r="C225" s="27">
        <f ca="1">OFFSET($B225,1*(ROWS(C$2:C225)-1),0)</f>
        <v>36.457009445204164</v>
      </c>
      <c r="D225" s="26">
        <f>Ft!B$3*EXP(Ft!B$38*($A225-Ft!B$2)^2) +Ft!C$3*EXP(Ft!C$38*($A225-Ft!C$2)^2) + Ft!D$3*EXP(Ft!D$38*($A225-Ft!D$2)^2)+Ft!E$3*EXP(Ft!E$38*($A225-Ft!E$2)^2) +Ft!F$3*EXP(Ft!F$38*($A225-Ft!F$2)^2) + Ft!G$3*EXP(Ft!G$38*($A225-Ft!G$2)^2)</f>
        <v>12.247031762187644</v>
      </c>
      <c r="E225" s="26">
        <f>Ft!B$3*EXP(Ft!B$38*($A225-Ft!B$2)^2)</f>
        <v>1.5718273866788465E-17</v>
      </c>
      <c r="F225" s="26">
        <f>Ft!C$3*EXP(Ft!C$38*($A225-Ft!C$2)^2)</f>
        <v>5.1049005781667773</v>
      </c>
      <c r="G225" s="26">
        <f>Ft!D$3*EXP(Ft!D$38*($A225-Ft!D$2)^2)</f>
        <v>7.1402984222128705</v>
      </c>
      <c r="H225" s="26">
        <f>Ft!E$3*EXP(Ft!E$38*($A225-Ft!E$2)^2)</f>
        <v>1.8327618079957218E-3</v>
      </c>
      <c r="I225" s="26">
        <f>Ft!F$3*EXP(Ft!F$38*($A225-Ft!F$2)^2)</f>
        <v>9.7890857602498191E-71</v>
      </c>
      <c r="J225" s="26">
        <f>Ft!G$3*EXP(Ft!G$38*($A225-Ft!G$2)^2)</f>
        <v>3.6637049534277076E-279</v>
      </c>
    </row>
    <row r="226" spans="1:10">
      <c r="A226" s="19">
        <v>224</v>
      </c>
      <c r="B226" s="28">
        <v>35.381788283027902</v>
      </c>
      <c r="C226" s="27">
        <f ca="1">OFFSET($B226,1*(ROWS(C$2:C226)-1),0)</f>
        <v>35.958586007026895</v>
      </c>
      <c r="D226" s="26">
        <f>Ft!B$3*EXP(Ft!B$38*($A226-Ft!B$2)^2) +Ft!C$3*EXP(Ft!C$38*($A226-Ft!C$2)^2) + Ft!D$3*EXP(Ft!D$38*($A226-Ft!D$2)^2)+Ft!E$3*EXP(Ft!E$38*($A226-Ft!E$2)^2) +Ft!F$3*EXP(Ft!F$38*($A226-Ft!F$2)^2) + Ft!G$3*EXP(Ft!G$38*($A226-Ft!G$2)^2)</f>
        <v>12.23674109955059</v>
      </c>
      <c r="E226" s="26">
        <f>Ft!B$3*EXP(Ft!B$38*($A226-Ft!B$2)^2)</f>
        <v>1.002144365295343E-17</v>
      </c>
      <c r="F226" s="26">
        <f>Ft!C$3*EXP(Ft!C$38*($A226-Ft!C$2)^2)</f>
        <v>5.0350325110756815</v>
      </c>
      <c r="G226" s="26">
        <f>Ft!D$3*EXP(Ft!D$38*($A226-Ft!D$2)^2)</f>
        <v>7.1998197241270026</v>
      </c>
      <c r="H226" s="26">
        <f>Ft!E$3*EXP(Ft!E$38*($A226-Ft!E$2)^2)</f>
        <v>1.8888643479067462E-3</v>
      </c>
      <c r="I226" s="26">
        <f>Ft!F$3*EXP(Ft!F$38*($A226-Ft!F$2)^2)</f>
        <v>1.4872818693034315E-70</v>
      </c>
      <c r="J226" s="26">
        <f>Ft!G$3*EXP(Ft!G$38*($A226-Ft!G$2)^2)</f>
        <v>1.7482053068099899E-278</v>
      </c>
    </row>
    <row r="227" spans="1:10">
      <c r="A227" s="19">
        <v>225</v>
      </c>
      <c r="B227" s="28">
        <v>35.654763421029799</v>
      </c>
      <c r="C227" s="27">
        <f ca="1">OFFSET($B227,1*(ROWS(C$2:C227)-1),0)</f>
        <v>35.429958249440546</v>
      </c>
      <c r="D227" s="26">
        <f>Ft!B$3*EXP(Ft!B$38*($A227-Ft!B$2)^2) +Ft!C$3*EXP(Ft!C$38*($A227-Ft!C$2)^2) + Ft!D$3*EXP(Ft!D$38*($A227-Ft!D$2)^2)+Ft!E$3*EXP(Ft!E$38*($A227-Ft!E$2)^2) +Ft!F$3*EXP(Ft!F$38*($A227-Ft!F$2)^2) + Ft!G$3*EXP(Ft!G$38*($A227-Ft!G$2)^2)</f>
        <v>12.226837263118359</v>
      </c>
      <c r="E227" s="26">
        <f>Ft!B$3*EXP(Ft!B$38*($A227-Ft!B$2)^2)</f>
        <v>6.3732065920843552E-18</v>
      </c>
      <c r="F227" s="26">
        <f>Ft!C$3*EXP(Ft!C$38*($A227-Ft!C$2)^2)</f>
        <v>4.965314401347344</v>
      </c>
      <c r="G227" s="26">
        <f>Ft!D$3*EXP(Ft!D$38*($A227-Ft!D$2)^2)</f>
        <v>7.2595762755250641</v>
      </c>
      <c r="H227" s="26">
        <f>Ft!E$3*EXP(Ft!E$38*($A227-Ft!E$2)^2)</f>
        <v>1.9465862459491856E-3</v>
      </c>
      <c r="I227" s="26">
        <f>Ft!F$3*EXP(Ft!F$38*($A227-Ft!F$2)^2)</f>
        <v>2.2584514172719236E-70</v>
      </c>
      <c r="J227" s="26">
        <f>Ft!G$3*EXP(Ft!G$38*($A227-Ft!G$2)^2)</f>
        <v>8.3260422400115443E-278</v>
      </c>
    </row>
    <row r="228" spans="1:10">
      <c r="A228" s="19">
        <v>226</v>
      </c>
      <c r="B228" s="28">
        <v>35.9312302595755</v>
      </c>
      <c r="C228" s="27">
        <f ca="1">OFFSET($B228,1*(ROWS(C$2:C228)-1),0)</f>
        <v>34.94002472427627</v>
      </c>
      <c r="D228" s="26">
        <f>Ft!B$3*EXP(Ft!B$38*($A228-Ft!B$2)^2) +Ft!C$3*EXP(Ft!C$38*($A228-Ft!C$2)^2) + Ft!D$3*EXP(Ft!D$38*($A228-Ft!D$2)^2)+Ft!E$3*EXP(Ft!E$38*($A228-Ft!E$2)^2) +Ft!F$3*EXP(Ft!F$38*($A228-Ft!F$2)^2) + Ft!G$3*EXP(Ft!G$38*($A228-Ft!G$2)^2)</f>
        <v>12.217338341326244</v>
      </c>
      <c r="E228" s="26">
        <f>Ft!B$3*EXP(Ft!B$38*($A228-Ft!B$2)^2)</f>
        <v>4.0428532250961877E-18</v>
      </c>
      <c r="F228" s="26">
        <f>Ft!C$3*EXP(Ft!C$38*($A228-Ft!C$2)^2)</f>
        <v>4.8957666544443104</v>
      </c>
      <c r="G228" s="26">
        <f>Ft!D$3*EXP(Ft!D$38*($A228-Ft!D$2)^2)</f>
        <v>7.3195657157937974</v>
      </c>
      <c r="H228" s="26">
        <f>Ft!E$3*EXP(Ft!E$38*($A228-Ft!E$2)^2)</f>
        <v>2.0059710881354504E-3</v>
      </c>
      <c r="I228" s="26">
        <f>Ft!F$3*EXP(Ft!F$38*($A228-Ft!F$2)^2)</f>
        <v>3.4276347737945579E-70</v>
      </c>
      <c r="J228" s="26">
        <f>Ft!G$3*EXP(Ft!G$38*($A228-Ft!G$2)^2)</f>
        <v>3.9578471546195181E-277</v>
      </c>
    </row>
    <row r="229" spans="1:10">
      <c r="A229" s="19">
        <v>227</v>
      </c>
      <c r="B229" s="28">
        <v>36.20870614768836</v>
      </c>
      <c r="C229" s="27">
        <f ca="1">OFFSET($B229,1*(ROWS(C$2:C229)-1),0)</f>
        <v>34.47027656864438</v>
      </c>
      <c r="D229" s="26">
        <f>Ft!B$3*EXP(Ft!B$38*($A229-Ft!B$2)^2) +Ft!C$3*EXP(Ft!C$38*($A229-Ft!C$2)^2) + Ft!D$3*EXP(Ft!D$38*($A229-Ft!D$2)^2)+Ft!E$3*EXP(Ft!E$38*($A229-Ft!E$2)^2) +Ft!F$3*EXP(Ft!F$38*($A229-Ft!F$2)^2) + Ft!G$3*EXP(Ft!G$38*($A229-Ft!G$2)^2)</f>
        <v>12.208262012354448</v>
      </c>
      <c r="E229" s="26">
        <f>Ft!B$3*EXP(Ft!B$38*($A229-Ft!B$2)^2)</f>
        <v>2.5581159340936513E-18</v>
      </c>
      <c r="F229" s="26">
        <f>Ft!C$3*EXP(Ft!C$38*($A229-Ft!C$2)^2)</f>
        <v>4.8264093092614715</v>
      </c>
      <c r="G229" s="26">
        <f>Ft!D$3*EXP(Ft!D$38*($A229-Ft!D$2)^2)</f>
        <v>7.3797856395566406</v>
      </c>
      <c r="H229" s="26">
        <f>Ft!E$3*EXP(Ft!E$38*($A229-Ft!E$2)^2)</f>
        <v>2.0670635363348355E-3</v>
      </c>
      <c r="I229" s="26">
        <f>Ft!F$3*EXP(Ft!F$38*($A229-Ft!F$2)^2)</f>
        <v>5.1992972369431741E-70</v>
      </c>
      <c r="J229" s="26">
        <f>Ft!G$3*EXP(Ft!G$38*($A229-Ft!G$2)^2)</f>
        <v>1.8778187023394291E-276</v>
      </c>
    </row>
    <row r="230" spans="1:10">
      <c r="A230" s="19">
        <v>228</v>
      </c>
      <c r="B230" s="28">
        <v>36.494787646648575</v>
      </c>
      <c r="C230" s="27">
        <f ca="1">OFFSET($B230,1*(ROWS(C$2:C230)-1),0)</f>
        <v>34.034167147488688</v>
      </c>
      <c r="D230" s="26">
        <f>Ft!B$3*EXP(Ft!B$38*($A230-Ft!B$2)^2) +Ft!C$3*EXP(Ft!C$38*($A230-Ft!C$2)^2) + Ft!D$3*EXP(Ft!D$38*($A230-Ft!D$2)^2)+Ft!E$3*EXP(Ft!E$38*($A230-Ft!E$2)^2) +Ft!F$3*EXP(Ft!F$38*($A230-Ft!F$2)^2) + Ft!G$3*EXP(Ft!G$38*($A230-Ft!G$2)^2)</f>
        <v>12.199625536341188</v>
      </c>
      <c r="E230" s="26">
        <f>Ft!B$3*EXP(Ft!B$38*($A230-Ft!B$2)^2)</f>
        <v>1.6145620539073563E-18</v>
      </c>
      <c r="F230" s="26">
        <f>Ft!C$3*EXP(Ft!C$38*($A230-Ft!C$2)^2)</f>
        <v>4.7572620303381674</v>
      </c>
      <c r="G230" s="26">
        <f>Ft!D$3*EXP(Ft!D$38*($A230-Ft!D$2)^2)</f>
        <v>7.4402335966510558</v>
      </c>
      <c r="H230" s="26">
        <f>Ft!E$3*EXP(Ft!E$38*($A230-Ft!E$2)^2)</f>
        <v>2.1299093519651295E-3</v>
      </c>
      <c r="I230" s="26">
        <f>Ft!F$3*EXP(Ft!F$38*($A230-Ft!F$2)^2)</f>
        <v>7.8824472074829569E-70</v>
      </c>
      <c r="J230" s="26">
        <f>Ft!G$3*EXP(Ft!G$38*($A230-Ft!G$2)^2)</f>
        <v>8.892472583058048E-276</v>
      </c>
    </row>
    <row r="231" spans="1:10">
      <c r="A231" s="19">
        <v>229</v>
      </c>
      <c r="B231" s="28">
        <v>36.787111215541046</v>
      </c>
      <c r="C231" s="27">
        <f ca="1">OFFSET($B231,1*(ROWS(C$2:C231)-1),0)</f>
        <v>33.58880136099242</v>
      </c>
      <c r="D231" s="26">
        <f>Ft!B$3*EXP(Ft!B$38*($A231-Ft!B$2)^2) +Ft!C$3*EXP(Ft!C$38*($A231-Ft!C$2)^2) + Ft!D$3*EXP(Ft!D$38*($A231-Ft!D$2)^2)+Ft!E$3*EXP(Ft!E$38*($A231-Ft!E$2)^2) +Ft!F$3*EXP(Ft!F$38*($A231-Ft!F$2)^2) + Ft!G$3*EXP(Ft!G$38*($A231-Ft!G$2)^2)</f>
        <v>12.191445748015592</v>
      </c>
      <c r="E231" s="26">
        <f>Ft!B$3*EXP(Ft!B$38*($A231-Ft!B$2)^2)</f>
        <v>1.0164628954979632E-18</v>
      </c>
      <c r="F231" s="26">
        <f>Ft!C$3*EXP(Ft!C$38*($A231-Ft!C$2)^2)</f>
        <v>4.6883441004817232</v>
      </c>
      <c r="G231" s="26">
        <f>Ft!D$3*EXP(Ft!D$38*($A231-Ft!D$2)^2)</f>
        <v>7.5009070921137431</v>
      </c>
      <c r="H231" s="26">
        <f>Ft!E$3*EXP(Ft!E$38*($A231-Ft!E$2)^2)</f>
        <v>2.1945554201254305E-3</v>
      </c>
      <c r="I231" s="26">
        <f>Ft!F$3*EXP(Ft!F$38*($A231-Ft!F$2)^2)</f>
        <v>1.1943835515082343E-69</v>
      </c>
      <c r="J231" s="26">
        <f>Ft!G$3*EXP(Ft!G$38*($A231-Ft!G$2)^2)</f>
        <v>4.2030605116464245E-275</v>
      </c>
    </row>
    <row r="232" spans="1:10">
      <c r="A232" s="19">
        <v>230</v>
      </c>
      <c r="B232" s="28">
        <v>37.062424050000743</v>
      </c>
      <c r="C232" s="27">
        <f ca="1">OFFSET($B232,1*(ROWS(C$2:C232)-1),0)</f>
        <v>33.120123772505281</v>
      </c>
      <c r="D232" s="26">
        <f>Ft!B$3*EXP(Ft!B$38*($A232-Ft!B$2)^2) +Ft!C$3*EXP(Ft!C$38*($A232-Ft!C$2)^2) + Ft!D$3*EXP(Ft!D$38*($A232-Ft!D$2)^2)+Ft!E$3*EXP(Ft!E$38*($A232-Ft!E$2)^2) +Ft!F$3*EXP(Ft!F$38*($A232-Ft!F$2)^2) + Ft!G$3*EXP(Ft!G$38*($A232-Ft!G$2)^2)</f>
        <v>12.18373904975171</v>
      </c>
      <c r="E232" s="26">
        <f>Ft!B$3*EXP(Ft!B$38*($A232-Ft!B$2)^2)</f>
        <v>6.3830844290059176E-19</v>
      </c>
      <c r="F232" s="26">
        <f>Ft!C$3*EXP(Ft!C$38*($A232-Ft!C$2)^2)</f>
        <v>4.6196744138037129</v>
      </c>
      <c r="G232" s="26">
        <f>Ft!D$3*EXP(Ft!D$38*($A232-Ft!D$2)^2)</f>
        <v>7.56180358617382</v>
      </c>
      <c r="H232" s="26">
        <f>Ft!E$3*EXP(Ft!E$38*($A232-Ft!E$2)^2)</f>
        <v>2.2610497741762229E-3</v>
      </c>
      <c r="I232" s="26">
        <f>Ft!F$3*EXP(Ft!F$38*($A232-Ft!F$2)^2)</f>
        <v>1.8088096883032608E-69</v>
      </c>
      <c r="J232" s="26">
        <f>Ft!G$3*EXP(Ft!G$38*($A232-Ft!G$2)^2)</f>
        <v>1.9828185963611903E-274</v>
      </c>
    </row>
    <row r="233" spans="1:10">
      <c r="A233" s="19">
        <v>231</v>
      </c>
      <c r="B233" s="28">
        <v>37.328147688365732</v>
      </c>
      <c r="C233" s="27">
        <f ca="1">OFFSET($B233,1*(ROWS(C$2:C233)-1),0)</f>
        <v>32.658346541734232</v>
      </c>
      <c r="D233" s="26">
        <f>Ft!B$3*EXP(Ft!B$38*($A233-Ft!B$2)^2) +Ft!C$3*EXP(Ft!C$38*($A233-Ft!C$2)^2) + Ft!D$3*EXP(Ft!D$38*($A233-Ft!D$2)^2)+Ft!E$3*EXP(Ft!E$38*($A233-Ft!E$2)^2) +Ft!F$3*EXP(Ft!F$38*($A233-Ft!F$2)^2) + Ft!G$3*EXP(Ft!G$38*($A233-Ft!G$2)^2)</f>
        <v>12.176521405044596</v>
      </c>
      <c r="E233" s="26">
        <f>Ft!B$3*EXP(Ft!B$38*($A233-Ft!B$2)^2)</f>
        <v>3.9982681557679826E-19</v>
      </c>
      <c r="F233" s="26">
        <f>Ft!C$3*EXP(Ft!C$38*($A233-Ft!C$2)^2)</f>
        <v>4.5512714691697944</v>
      </c>
      <c r="G233" s="26">
        <f>Ft!D$3*EXP(Ft!D$38*($A233-Ft!D$2)^2)</f>
        <v>7.6229204942540276</v>
      </c>
      <c r="H233" s="26">
        <f>Ft!E$3*EXP(Ft!E$38*($A233-Ft!E$2)^2)</f>
        <v>2.3294416207727E-3</v>
      </c>
      <c r="I233" s="26">
        <f>Ft!F$3*EXP(Ft!F$38*($A233-Ft!F$2)^2)</f>
        <v>2.7378412066875973E-69</v>
      </c>
      <c r="J233" s="26">
        <f>Ft!G$3*EXP(Ft!G$38*($A233-Ft!G$2)^2)</f>
        <v>9.3362948173980467E-274</v>
      </c>
    </row>
    <row r="234" spans="1:10">
      <c r="A234" s="19">
        <v>232</v>
      </c>
      <c r="B234" s="28">
        <v>37.600718472417498</v>
      </c>
      <c r="C234" s="27">
        <f ca="1">OFFSET($B234,1*(ROWS(C$2:C234)-1),0)</f>
        <v>32.156624336797051</v>
      </c>
      <c r="D234" s="26">
        <f>Ft!B$3*EXP(Ft!B$38*($A234-Ft!B$2)^2) +Ft!C$3*EXP(Ft!C$38*($A234-Ft!C$2)^2) + Ft!D$3*EXP(Ft!D$38*($A234-Ft!D$2)^2)+Ft!E$3*EXP(Ft!E$38*($A234-Ft!E$2)^2) +Ft!F$3*EXP(Ft!F$38*($A234-Ft!F$2)^2) + Ft!G$3*EXP(Ft!G$38*($A234-Ft!G$2)^2)</f>
        <v>12.169808332408836</v>
      </c>
      <c r="E234" s="26">
        <f>Ft!B$3*EXP(Ft!B$38*($A234-Ft!B$2)^2)</f>
        <v>2.4981327756182247E-19</v>
      </c>
      <c r="F234" s="26">
        <f>Ft!C$3*EXP(Ft!C$38*($A234-Ft!C$2)^2)</f>
        <v>4.4831533640634369</v>
      </c>
      <c r="G234" s="26">
        <f>Ft!D$3*EXP(Ft!D$38*($A234-Ft!D$2)^2)</f>
        <v>7.6842551869800424</v>
      </c>
      <c r="H234" s="26">
        <f>Ft!E$3*EXP(Ft!E$38*($A234-Ft!E$2)^2)</f>
        <v>2.3997813653575087E-3</v>
      </c>
      <c r="I234" s="26">
        <f>Ft!F$3*EXP(Ft!F$38*($A234-Ft!F$2)^2)</f>
        <v>4.1418079216028521E-69</v>
      </c>
      <c r="J234" s="26">
        <f>Ft!G$3*EXP(Ft!G$38*($A234-Ft!G$2)^2)</f>
        <v>4.3877347359435384E-273</v>
      </c>
    </row>
    <row r="235" spans="1:10">
      <c r="A235" s="19">
        <v>233</v>
      </c>
      <c r="B235" s="28">
        <v>37.885111905793536</v>
      </c>
      <c r="C235" s="27">
        <f ca="1">OFFSET($B235,1*(ROWS(C$2:C235)-1),0)</f>
        <v>31.690635397729523</v>
      </c>
      <c r="D235" s="26">
        <f>Ft!B$3*EXP(Ft!B$38*($A235-Ft!B$2)^2) +Ft!C$3*EXP(Ft!C$38*($A235-Ft!C$2)^2) + Ft!D$3*EXP(Ft!D$38*($A235-Ft!D$2)^2)+Ft!E$3*EXP(Ft!E$38*($A235-Ft!E$2)^2) +Ft!F$3*EXP(Ft!F$38*($A235-Ft!F$2)^2) + Ft!G$3*EXP(Ft!G$38*($A235-Ft!G$2)^2)</f>
        <v>12.163614899699477</v>
      </c>
      <c r="E235" s="26">
        <f>Ft!B$3*EXP(Ft!B$38*($A235-Ft!B$2)^2)</f>
        <v>1.5569023959140222E-19</v>
      </c>
      <c r="F235" s="26">
        <f>Ft!C$3*EXP(Ft!C$38*($A235-Ft!C$2)^2)</f>
        <v>4.4153377888634298</v>
      </c>
      <c r="G235" s="26">
        <f>Ft!D$3*EXP(Ft!D$38*($A235-Ft!D$2)^2)</f>
        <v>7.7458049901979278</v>
      </c>
      <c r="H235" s="26">
        <f>Ft!E$3*EXP(Ft!E$38*($A235-Ft!E$2)^2)</f>
        <v>2.4721206381189526E-3</v>
      </c>
      <c r="I235" s="26">
        <f>Ft!F$3*EXP(Ft!F$38*($A235-Ft!F$2)^2)</f>
        <v>6.2623591589310174E-69</v>
      </c>
      <c r="J235" s="26">
        <f>Ft!G$3*EXP(Ft!G$38*($A235-Ft!G$2)^2)</f>
        <v>2.0581660208395868E-272</v>
      </c>
    </row>
    <row r="236" spans="1:10">
      <c r="A236" s="19">
        <v>234</v>
      </c>
      <c r="B236" s="28">
        <v>38.162255768047714</v>
      </c>
      <c r="C236" s="27">
        <f ca="1">OFFSET($B236,1*(ROWS(C$2:C236)-1),0)</f>
        <v>31.209981851266406</v>
      </c>
      <c r="D236" s="26">
        <f>Ft!B$3*EXP(Ft!B$38*($A236-Ft!B$2)^2) +Ft!C$3*EXP(Ft!C$38*($A236-Ft!C$2)^2) + Ft!D$3*EXP(Ft!D$38*($A236-Ft!D$2)^2)+Ft!E$3*EXP(Ft!E$38*($A236-Ft!E$2)^2) +Ft!F$3*EXP(Ft!F$38*($A236-Ft!F$2)^2) + Ft!G$3*EXP(Ft!G$38*($A236-Ft!G$2)^2)</f>
        <v>12.157955718854801</v>
      </c>
      <c r="E236" s="26">
        <f>Ft!B$3*EXP(Ft!B$38*($A236-Ft!B$2)^2)</f>
        <v>9.6785328136054525E-20</v>
      </c>
      <c r="F236" s="26">
        <f>Ft!C$3*EXP(Ft!C$38*($A236-Ft!C$2)^2)</f>
        <v>4.3478420215345608</v>
      </c>
      <c r="G236" s="26">
        <f>Ft!D$3*EXP(Ft!D$38*($A236-Ft!D$2)^2)</f>
        <v>7.8075671849998196</v>
      </c>
      <c r="H236" s="26">
        <f>Ft!E$3*EXP(Ft!E$38*($A236-Ft!E$2)^2)</f>
        <v>2.5465123204207948E-3</v>
      </c>
      <c r="I236" s="26">
        <f>Ft!F$3*EXP(Ft!F$38*($A236-Ft!F$2)^2)</f>
        <v>9.4635113527244366E-69</v>
      </c>
      <c r="J236" s="26">
        <f>Ft!G$3*EXP(Ft!G$38*($A236-Ft!G$2)^2)</f>
        <v>9.6359530858117749E-272</v>
      </c>
    </row>
    <row r="237" spans="1:10">
      <c r="A237" s="19">
        <v>235</v>
      </c>
      <c r="B237" s="28">
        <v>38.435688106450186</v>
      </c>
      <c r="C237" s="27">
        <f ca="1">OFFSET($B237,1*(ROWS(C$2:C237)-1),0)</f>
        <v>30.705751763205797</v>
      </c>
      <c r="D237" s="26">
        <f>Ft!B$3*EXP(Ft!B$38*($A237-Ft!B$2)^2) +Ft!C$3*EXP(Ft!C$38*($A237-Ft!C$2)^2) + Ft!D$3*EXP(Ft!D$38*($A237-Ft!D$2)^2)+Ft!E$3*EXP(Ft!E$38*($A237-Ft!E$2)^2) +Ft!F$3*EXP(Ft!F$38*($A237-Ft!F$2)^2) + Ft!G$3*EXP(Ft!G$38*($A237-Ft!G$2)^2)</f>
        <v>12.152844941060032</v>
      </c>
      <c r="E237" s="26">
        <f>Ft!B$3*EXP(Ft!B$38*($A237-Ft!B$2)^2)</f>
        <v>6.0015017471924813E-20</v>
      </c>
      <c r="F237" s="26">
        <f>Ft!C$3*EXP(Ft!C$38*($A237-Ft!C$2)^2)</f>
        <v>4.2806829227304375</v>
      </c>
      <c r="G237" s="26">
        <f>Ft!D$3*EXP(Ft!D$38*($A237-Ft!D$2)^2)</f>
        <v>7.8695390077578828</v>
      </c>
      <c r="H237" s="26">
        <f>Ft!E$3*EXP(Ft!E$38*($A237-Ft!E$2)^2)</f>
        <v>2.6230105717098447E-3</v>
      </c>
      <c r="I237" s="26">
        <f>Ft!F$3*EXP(Ft!F$38*($A237-Ft!F$2)^2)</f>
        <v>1.4293314897031591E-68</v>
      </c>
      <c r="J237" s="26">
        <f>Ft!G$3*EXP(Ft!G$38*($A237-Ft!G$2)^2)</f>
        <v>4.5028054479186695E-271</v>
      </c>
    </row>
    <row r="238" spans="1:10">
      <c r="A238" s="19">
        <v>236</v>
      </c>
      <c r="B238" s="28">
        <v>38.724273346300777</v>
      </c>
      <c r="C238" s="27">
        <f ca="1">OFFSET($B238,1*(ROWS(C$2:C238)-1),0)</f>
        <v>30.214520604384973</v>
      </c>
      <c r="D238" s="26">
        <f>Ft!B$3*EXP(Ft!B$38*($A238-Ft!B$2)^2) +Ft!C$3*EXP(Ft!C$38*($A238-Ft!C$2)^2) + Ft!D$3*EXP(Ft!D$38*($A238-Ft!D$2)^2)+Ft!E$3*EXP(Ft!E$38*($A238-Ft!E$2)^2) +Ft!F$3*EXP(Ft!F$38*($A238-Ft!F$2)^2) + Ft!G$3*EXP(Ft!G$38*($A238-Ft!G$2)^2)</f>
        <v>12.14829625233045</v>
      </c>
      <c r="E238" s="26">
        <f>Ft!B$3*EXP(Ft!B$38*($A238-Ft!B$2)^2)</f>
        <v>3.7120397413870052E-20</v>
      </c>
      <c r="F238" s="26">
        <f>Ft!C$3*EXP(Ft!C$38*($A238-Ft!C$2)^2)</f>
        <v>4.213876931306924</v>
      </c>
      <c r="G238" s="26">
        <f>Ft!D$3*EXP(Ft!D$38*($A238-Ft!D$2)^2)</f>
        <v>7.9317176501666173</v>
      </c>
      <c r="H238" s="26">
        <f>Ft!E$3*EXP(Ft!E$38*($A238-Ft!E$2)^2)</f>
        <v>2.7016708569073769E-3</v>
      </c>
      <c r="I238" s="26">
        <f>Ft!F$3*EXP(Ft!F$38*($A238-Ft!F$2)^2)</f>
        <v>2.1576447190180413E-68</v>
      </c>
      <c r="J238" s="26">
        <f>Ft!G$3*EXP(Ft!G$38*($A238-Ft!G$2)^2)</f>
        <v>2.100128757581449E-270</v>
      </c>
    </row>
    <row r="239" spans="1:10">
      <c r="A239" s="19">
        <v>237</v>
      </c>
      <c r="B239" s="28">
        <v>39.008443976413616</v>
      </c>
      <c r="C239" s="27">
        <f ca="1">OFFSET($B239,1*(ROWS(C$2:C239)-1),0)</f>
        <v>29.760220705111607</v>
      </c>
      <c r="D239" s="26">
        <f>Ft!B$3*EXP(Ft!B$38*($A239-Ft!B$2)^2) +Ft!C$3*EXP(Ft!C$38*($A239-Ft!C$2)^2) + Ft!D$3*EXP(Ft!D$38*($A239-Ft!D$2)^2)+Ft!E$3*EXP(Ft!E$38*($A239-Ft!E$2)^2) +Ft!F$3*EXP(Ft!F$38*($A239-Ft!F$2)^2) + Ft!G$3*EXP(Ft!G$38*($A239-Ft!G$2)^2)</f>
        <v>12.144322869512115</v>
      </c>
      <c r="E239" s="26">
        <f>Ft!B$3*EXP(Ft!B$38*($A239-Ft!B$2)^2)</f>
        <v>2.2901691897148527E-20</v>
      </c>
      <c r="F239" s="26">
        <f>Ft!C$3*EXP(Ft!C$38*($A239-Ft!C$2)^2)</f>
        <v>4.1474400602442731</v>
      </c>
      <c r="G239" s="26">
        <f>Ft!D$3*EXP(Ft!D$38*($A239-Ft!D$2)^2)</f>
        <v>7.9941002592935524</v>
      </c>
      <c r="H239" s="26">
        <f>Ft!E$3*EXP(Ft!E$38*($A239-Ft!E$2)^2)</f>
        <v>2.782549974290643E-3</v>
      </c>
      <c r="I239" s="26">
        <f>Ft!F$3*EXP(Ft!F$38*($A239-Ft!F$2)^2)</f>
        <v>3.2553165493499974E-68</v>
      </c>
      <c r="J239" s="26">
        <f>Ft!G$3*EXP(Ft!G$38*($A239-Ft!G$2)^2)</f>
        <v>9.7764885036663664E-270</v>
      </c>
    </row>
    <row r="240" spans="1:10">
      <c r="A240" s="19">
        <v>238</v>
      </c>
      <c r="B240" s="28">
        <v>39.291900589379082</v>
      </c>
      <c r="C240" s="27">
        <f ca="1">OFFSET($B240,1*(ROWS(C$2:C240)-1),0)</f>
        <v>29.313176042282464</v>
      </c>
      <c r="D240" s="26">
        <f>Ft!B$3*EXP(Ft!B$38*($A240-Ft!B$2)^2) +Ft!C$3*EXP(Ft!C$38*($A240-Ft!C$2)^2) + Ft!D$3*EXP(Ft!D$38*($A240-Ft!D$2)^2)+Ft!E$3*EXP(Ft!E$38*($A240-Ft!E$2)^2) +Ft!F$3*EXP(Ft!F$38*($A240-Ft!F$2)^2) + Ft!G$3*EXP(Ft!G$38*($A240-Ft!G$2)^2)</f>
        <v>12.140937536697848</v>
      </c>
      <c r="E240" s="26">
        <f>Ft!B$3*EXP(Ft!B$38*($A240-Ft!B$2)^2)</f>
        <v>1.4093692394003123E-20</v>
      </c>
      <c r="F240" s="26">
        <f>Ft!C$3*EXP(Ft!C$38*($A240-Ft!C$2)^2)</f>
        <v>4.0813878929755836</v>
      </c>
      <c r="G240" s="26">
        <f>Ft!D$3*EXP(Ft!D$38*($A240-Ft!D$2)^2)</f>
        <v>8.056683937638395</v>
      </c>
      <c r="H240" s="26">
        <f>Ft!E$3*EXP(Ft!E$38*($A240-Ft!E$2)^2)</f>
        <v>2.8657060838706205E-3</v>
      </c>
      <c r="I240" s="26">
        <f>Ft!F$3*EXP(Ft!F$38*($A240-Ft!F$2)^2)</f>
        <v>4.9087717210935103E-68</v>
      </c>
      <c r="J240" s="26">
        <f>Ft!G$3*EXP(Ft!G$38*($A240-Ft!G$2)^2)</f>
        <v>4.5424912455711335E-269</v>
      </c>
    </row>
    <row r="241" spans="1:10">
      <c r="A241" s="19">
        <v>239</v>
      </c>
      <c r="B241" s="28">
        <v>39.544485799248832</v>
      </c>
      <c r="C241" s="27">
        <f ca="1">OFFSET($B241,1*(ROWS(C$2:C241)-1),0)</f>
        <v>28.836474228874977</v>
      </c>
      <c r="D241" s="26">
        <f>Ft!B$3*EXP(Ft!B$38*($A241-Ft!B$2)^2) +Ft!C$3*EXP(Ft!C$38*($A241-Ft!C$2)^2) + Ft!D$3*EXP(Ft!D$38*($A241-Ft!D$2)^2)+Ft!E$3*EXP(Ft!E$38*($A241-Ft!E$2)^2) +Ft!F$3*EXP(Ft!F$38*($A241-Ft!F$2)^2) + Ft!G$3*EXP(Ft!G$38*($A241-Ft!G$2)^2)</f>
        <v>12.138152522055732</v>
      </c>
      <c r="E241" s="26">
        <f>Ft!B$3*EXP(Ft!B$38*($A241-Ft!B$2)^2)</f>
        <v>8.6513579122559812E-21</v>
      </c>
      <c r="F241" s="26">
        <f>Ft!C$3*EXP(Ft!C$38*($A241-Ft!C$2)^2)</f>
        <v>4.0157355801187684</v>
      </c>
      <c r="G241" s="26">
        <f>Ft!D$3*EXP(Ft!D$38*($A241-Ft!D$2)^2)</f>
        <v>8.119465743200692</v>
      </c>
      <c r="H241" s="26">
        <f>Ft!E$3*EXP(Ft!E$38*($A241-Ft!E$2)^2)</f>
        <v>2.9511987362721699E-3</v>
      </c>
      <c r="I241" s="26">
        <f>Ft!F$3*EXP(Ft!F$38*($A241-Ft!F$2)^2)</f>
        <v>7.3980755914627465E-68</v>
      </c>
      <c r="J241" s="26">
        <f>Ft!G$3*EXP(Ft!G$38*($A241-Ft!G$2)^2)</f>
        <v>2.1065876661674398E-268</v>
      </c>
    </row>
    <row r="242" spans="1:10">
      <c r="A242" s="19">
        <v>240</v>
      </c>
      <c r="B242" s="28">
        <v>39.770823437660511</v>
      </c>
      <c r="C242" s="27">
        <f ca="1">OFFSET($B242,1*(ROWS(C$2:C242)-1),0)</f>
        <v>28.39318765417832</v>
      </c>
      <c r="D242" s="26">
        <f>Ft!B$3*EXP(Ft!B$38*($A242-Ft!B$2)^2) +Ft!C$3*EXP(Ft!C$38*($A242-Ft!C$2)^2) + Ft!D$3*EXP(Ft!D$38*($A242-Ft!D$2)^2)+Ft!E$3*EXP(Ft!E$38*($A242-Ft!E$2)^2) +Ft!F$3*EXP(Ft!F$38*($A242-Ft!F$2)^2) + Ft!G$3*EXP(Ft!G$38*($A242-Ft!G$2)^2)</f>
        <v>12.135979615067024</v>
      </c>
      <c r="E242" s="26">
        <f>Ft!B$3*EXP(Ft!B$38*($A242-Ft!B$2)^2)</f>
        <v>5.2971959782361007E-21</v>
      </c>
      <c r="F242" s="26">
        <f>Ft!C$3*EXP(Ft!C$38*($A242-Ft!C$2)^2)</f>
        <v>3.9504978366088626</v>
      </c>
      <c r="G242" s="26">
        <f>Ft!D$3*EXP(Ft!D$38*($A242-Ft!D$2)^2)</f>
        <v>8.1824426895560389</v>
      </c>
      <c r="H242" s="26">
        <f>Ft!E$3*EXP(Ft!E$38*($A242-Ft!E$2)^2)</f>
        <v>3.0390889021227785E-3</v>
      </c>
      <c r="I242" s="26">
        <f>Ft!F$3*EXP(Ft!F$38*($A242-Ft!F$2)^2)</f>
        <v>1.1143741044988593E-67</v>
      </c>
      <c r="J242" s="26">
        <f>Ft!G$3*EXP(Ft!G$38*($A242-Ft!G$2)^2)</f>
        <v>9.7507766411099315E-268</v>
      </c>
    </row>
    <row r="243" spans="1:10">
      <c r="A243" s="19">
        <v>241</v>
      </c>
      <c r="B243" s="28">
        <v>39.977000574541137</v>
      </c>
      <c r="C243" s="27">
        <f ca="1">OFFSET($B243,1*(ROWS(C$2:C243)-1),0)</f>
        <v>27.909408362453973</v>
      </c>
      <c r="D243" s="26">
        <f>Ft!B$3*EXP(Ft!B$38*($A243-Ft!B$2)^2) +Ft!C$3*EXP(Ft!C$38*($A243-Ft!C$2)^2) + Ft!D$3*EXP(Ft!D$38*($A243-Ft!D$2)^2)+Ft!E$3*EXP(Ft!E$38*($A243-Ft!E$2)^2) +Ft!F$3*EXP(Ft!F$38*($A243-Ft!F$2)^2) + Ft!G$3*EXP(Ft!G$38*($A243-Ft!G$2)^2)</f>
        <v>12.134430124169899</v>
      </c>
      <c r="E243" s="26">
        <f>Ft!B$3*EXP(Ft!B$38*($A243-Ft!B$2)^2)</f>
        <v>3.2352665841685612E-21</v>
      </c>
      <c r="F243" s="26">
        <f>Ft!C$3*EXP(Ft!C$38*($A243-Ft!C$2)^2)</f>
        <v>3.8856889392270313</v>
      </c>
      <c r="G243" s="26">
        <f>Ft!D$3*EXP(Ft!D$38*($A243-Ft!D$2)^2)</f>
        <v>8.2456117459409128</v>
      </c>
      <c r="H243" s="26">
        <f>Ft!E$3*EXP(Ft!E$38*($A243-Ft!E$2)^2)</f>
        <v>3.129439001956114E-3</v>
      </c>
      <c r="I243" s="26">
        <f>Ft!F$3*EXP(Ft!F$38*($A243-Ft!F$2)^2)</f>
        <v>1.6776817377569065E-67</v>
      </c>
      <c r="J243" s="26">
        <f>Ft!G$3*EXP(Ft!G$38*($A243-Ft!G$2)^2)</f>
        <v>4.5047750861347543E-267</v>
      </c>
    </row>
    <row r="244" spans="1:10">
      <c r="A244" s="19">
        <v>242</v>
      </c>
      <c r="B244" s="28">
        <v>40.168874241063747</v>
      </c>
      <c r="C244" s="27">
        <f ca="1">OFFSET($B244,1*(ROWS(C$2:C244)-1),0)</f>
        <v>27.441482310751269</v>
      </c>
      <c r="D244" s="26">
        <f>Ft!B$3*EXP(Ft!B$38*($A244-Ft!B$2)^2) +Ft!C$3*EXP(Ft!C$38*($A244-Ft!C$2)^2) + Ft!D$3*EXP(Ft!D$38*($A244-Ft!D$2)^2)+Ft!E$3*EXP(Ft!E$38*($A244-Ft!E$2)^2) +Ft!F$3*EXP(Ft!F$38*($A244-Ft!F$2)^2) + Ft!G$3*EXP(Ft!G$38*($A244-Ft!G$2)^2)</f>
        <v>12.133514874805098</v>
      </c>
      <c r="E244" s="26">
        <f>Ft!B$3*EXP(Ft!B$38*($A244-Ft!B$2)^2)</f>
        <v>1.9709534797594022E-21</v>
      </c>
      <c r="F244" s="26">
        <f>Ft!C$3*EXP(Ft!C$38*($A244-Ft!C$2)^2)</f>
        <v>3.8213227245223229</v>
      </c>
      <c r="G244" s="26">
        <f>Ft!D$3*EXP(Ft!D$38*($A244-Ft!D$2)^2)</f>
        <v>8.3089698373461385</v>
      </c>
      <c r="H244" s="26">
        <f>Ft!E$3*EXP(Ft!E$38*($A244-Ft!E$2)^2)</f>
        <v>3.222312936636574E-3</v>
      </c>
      <c r="I244" s="26">
        <f>Ft!F$3*EXP(Ft!F$38*($A244-Ft!F$2)^2)</f>
        <v>2.5243784333250383E-67</v>
      </c>
      <c r="J244" s="26">
        <f>Ft!G$3*EXP(Ft!G$38*($A244-Ft!G$2)^2)</f>
        <v>2.0772140415702472E-266</v>
      </c>
    </row>
    <row r="245" spans="1:10">
      <c r="A245" s="19">
        <v>243</v>
      </c>
      <c r="B245" s="28">
        <v>40.318019688919719</v>
      </c>
      <c r="C245" s="27">
        <f ca="1">OFFSET($B245,1*(ROWS(C$2:C245)-1),0)</f>
        <v>27.011308933925108</v>
      </c>
      <c r="D245" s="26">
        <f>Ft!B$3*EXP(Ft!B$38*($A245-Ft!B$2)^2) +Ft!C$3*EXP(Ft!C$38*($A245-Ft!C$2)^2) + Ft!D$3*EXP(Ft!D$38*($A245-Ft!D$2)^2)+Ft!E$3*EXP(Ft!E$38*($A245-Ft!E$2)^2) +Ft!F$3*EXP(Ft!F$38*($A245-Ft!F$2)^2) + Ft!G$3*EXP(Ft!G$38*($A245-Ft!G$2)^2)</f>
        <v>12.133244207859173</v>
      </c>
      <c r="E245" s="26">
        <f>Ft!B$3*EXP(Ft!B$38*($A245-Ft!B$2)^2)</f>
        <v>1.1976914402016143E-21</v>
      </c>
      <c r="F245" s="26">
        <f>Ft!C$3*EXP(Ft!C$38*($A245-Ft!C$2)^2)</f>
        <v>3.7574125871217601</v>
      </c>
      <c r="G245" s="26">
        <f>Ft!D$3*EXP(Ft!D$38*($A245-Ft!D$2)^2)</f>
        <v>8.3725138446191014</v>
      </c>
      <c r="H245" s="26">
        <f>Ft!E$3*EXP(Ft!E$38*($A245-Ft!E$2)^2)</f>
        <v>3.3177761183109927E-3</v>
      </c>
      <c r="I245" s="26">
        <f>Ft!F$3*EXP(Ft!F$38*($A245-Ft!F$2)^2)</f>
        <v>3.7963449208348085E-67</v>
      </c>
      <c r="J245" s="26">
        <f>Ft!G$3*EXP(Ft!G$38*($A245-Ft!G$2)^2)</f>
        <v>9.5601260823467946E-266</v>
      </c>
    </row>
    <row r="246" spans="1:10">
      <c r="A246" s="19">
        <v>244</v>
      </c>
      <c r="B246" s="28">
        <v>40.446895427419491</v>
      </c>
      <c r="C246" s="27">
        <f ca="1">OFFSET($B246,1*(ROWS(C$2:C246)-1),0)</f>
        <v>26.559207367792681</v>
      </c>
      <c r="D246" s="26">
        <f>Ft!B$3*EXP(Ft!B$38*($A246-Ft!B$2)^2) +Ft!C$3*EXP(Ft!C$38*($A246-Ft!C$2)^2) + Ft!D$3*EXP(Ft!D$38*($A246-Ft!D$2)^2)+Ft!E$3*EXP(Ft!E$38*($A246-Ft!E$2)^2) +Ft!F$3*EXP(Ft!F$38*($A246-Ft!F$2)^2) + Ft!G$3*EXP(Ft!G$38*($A246-Ft!G$2)^2)</f>
        <v>12.133627978500602</v>
      </c>
      <c r="E246" s="26">
        <f>Ft!B$3*EXP(Ft!B$38*($A246-Ft!B$2)^2)</f>
        <v>7.2596517503894763E-22</v>
      </c>
      <c r="F246" s="26">
        <f>Ft!C$3*EXP(Ft!C$38*($A246-Ft!C$2)^2)</f>
        <v>3.69397147842405</v>
      </c>
      <c r="G246" s="26">
        <f>Ft!D$3*EXP(Ft!D$38*($A246-Ft!D$2)^2)</f>
        <v>8.4362406045746585</v>
      </c>
      <c r="H246" s="26">
        <f>Ft!E$3*EXP(Ft!E$38*($A246-Ft!E$2)^2)</f>
        <v>3.4158955018937292E-3</v>
      </c>
      <c r="I246" s="26">
        <f>Ft!F$3*EXP(Ft!F$38*($A246-Ft!F$2)^2)</f>
        <v>5.7061500136702535E-67</v>
      </c>
      <c r="J246" s="26">
        <f>Ft!G$3*EXP(Ft!G$38*($A246-Ft!G$2)^2)</f>
        <v>4.3915741823889911E-265</v>
      </c>
    </row>
    <row r="247" spans="1:10">
      <c r="A247" s="19">
        <v>245</v>
      </c>
      <c r="B247" s="28">
        <v>40.573178001857372</v>
      </c>
      <c r="C247" s="27">
        <f ca="1">OFFSET($B247,1*(ROWS(C$2:C247)-1),0)</f>
        <v>26.137393392759435</v>
      </c>
      <c r="D247" s="26">
        <f>Ft!B$3*EXP(Ft!B$38*($A247-Ft!B$2)^2) +Ft!C$3*EXP(Ft!C$38*($A247-Ft!C$2)^2) + Ft!D$3*EXP(Ft!D$38*($A247-Ft!D$2)^2)+Ft!E$3*EXP(Ft!E$38*($A247-Ft!E$2)^2) +Ft!F$3*EXP(Ft!F$38*($A247-Ft!F$2)^2) + Ft!G$3*EXP(Ft!G$38*($A247-Ft!G$2)^2)</f>
        <v>12.134675555403803</v>
      </c>
      <c r="E247" s="26">
        <f>Ft!B$3*EXP(Ft!B$38*($A247-Ft!B$2)^2)</f>
        <v>4.389235673056024E-22</v>
      </c>
      <c r="F247" s="26">
        <f>Ft!C$3*EXP(Ft!C$38*($A247-Ft!C$2)^2)</f>
        <v>3.6310119056718242</v>
      </c>
      <c r="G247" s="26">
        <f>Ft!D$3*EXP(Ft!D$38*($A247-Ft!D$2)^2)</f>
        <v>8.5001469101148874</v>
      </c>
      <c r="H247" s="26">
        <f>Ft!E$3*EXP(Ft!E$38*($A247-Ft!E$2)^2)</f>
        <v>3.5167396170912449E-3</v>
      </c>
      <c r="I247" s="26">
        <f>Ft!F$3*EXP(Ft!F$38*($A247-Ft!F$2)^2)</f>
        <v>8.5720959722121536E-67</v>
      </c>
      <c r="J247" s="26">
        <f>Ft!G$3*EXP(Ft!G$38*($A247-Ft!G$2)^2)</f>
        <v>2.0134973371129663E-264</v>
      </c>
    </row>
    <row r="248" spans="1:10">
      <c r="A248" s="19">
        <v>246</v>
      </c>
      <c r="B248" s="28">
        <v>40.674191523788522</v>
      </c>
      <c r="C248" s="27">
        <f ca="1">OFFSET($B248,1*(ROWS(C$2:C248)-1),0)</f>
        <v>25.718337759072369</v>
      </c>
      <c r="D248" s="26">
        <f>Ft!B$3*EXP(Ft!B$38*($A248-Ft!B$2)^2) +Ft!C$3*EXP(Ft!C$38*($A248-Ft!C$2)^2) + Ft!D$3*EXP(Ft!D$38*($A248-Ft!D$2)^2)+Ft!E$3*EXP(Ft!E$38*($A248-Ft!E$2)^2) +Ft!F$3*EXP(Ft!F$38*($A248-Ft!F$2)^2) + Ft!G$3*EXP(Ft!G$38*($A248-Ft!G$2)^2)</f>
        <v>12.136395820355572</v>
      </c>
      <c r="E248" s="26">
        <f>Ft!B$3*EXP(Ft!B$38*($A248-Ft!B$2)^2)</f>
        <v>2.6470630318049906E-22</v>
      </c>
      <c r="F248" s="26">
        <f>Ft!C$3*EXP(Ft!C$38*($A248-Ft!C$2)^2)</f>
        <v>3.5685459313969567</v>
      </c>
      <c r="G248" s="26">
        <f>Ft!D$3*EXP(Ft!D$38*($A248-Ft!D$2)^2)</f>
        <v>8.5642295103576433</v>
      </c>
      <c r="H248" s="26">
        <f>Ft!E$3*EXP(Ft!E$38*($A248-Ft!E$2)^2)</f>
        <v>3.6203786009724901E-3</v>
      </c>
      <c r="I248" s="26">
        <f>Ft!F$3*EXP(Ft!F$38*($A248-Ft!F$2)^2)</f>
        <v>1.2870552277736444E-66</v>
      </c>
      <c r="J248" s="26">
        <f>Ft!G$3*EXP(Ft!G$38*($A248-Ft!G$2)^2)</f>
        <v>9.2141680544405769E-264</v>
      </c>
    </row>
    <row r="249" spans="1:10">
      <c r="A249" s="19">
        <v>247</v>
      </c>
      <c r="B249" s="28">
        <v>40.749499380212313</v>
      </c>
      <c r="C249" s="27">
        <f ca="1">OFFSET($B249,1*(ROWS(C$2:C249)-1),0)</f>
        <v>25.256592003740337</v>
      </c>
      <c r="D249" s="26">
        <f>Ft!B$3*EXP(Ft!B$38*($A249-Ft!B$2)^2) +Ft!C$3*EXP(Ft!C$38*($A249-Ft!C$2)^2) + Ft!D$3*EXP(Ft!D$38*($A249-Ft!D$2)^2)+Ft!E$3*EXP(Ft!E$38*($A249-Ft!E$2)^2) +Ft!F$3*EXP(Ft!F$38*($A249-Ft!F$2)^2) + Ft!G$3*EXP(Ft!G$38*($A249-Ft!G$2)^2)</f>
        <v>12.138797168238311</v>
      </c>
      <c r="E249" s="26">
        <f>Ft!B$3*EXP(Ft!B$38*($A249-Ft!B$2)^2)</f>
        <v>1.5923624788855587E-22</v>
      </c>
      <c r="F249" s="26">
        <f>Ft!C$3*EXP(Ft!C$38*($A249-Ft!C$2)^2)</f>
        <v>3.5065851732332196</v>
      </c>
      <c r="G249" s="26">
        <f>Ft!D$3*EXP(Ft!D$38*($A249-Ft!D$2)^2)</f>
        <v>8.628485110774001</v>
      </c>
      <c r="H249" s="26">
        <f>Ft!E$3*EXP(Ft!E$38*($A249-Ft!E$2)^2)</f>
        <v>3.7268842310910488E-3</v>
      </c>
      <c r="I249" s="26">
        <f>Ft!F$3*EXP(Ft!F$38*($A249-Ft!F$2)^2)</f>
        <v>1.9314063714376145E-66</v>
      </c>
      <c r="J249" s="26">
        <f>Ft!G$3*EXP(Ft!G$38*($A249-Ft!G$2)^2)</f>
        <v>4.2085784917963571E-263</v>
      </c>
    </row>
    <row r="250" spans="1:10">
      <c r="A250" s="19">
        <v>248</v>
      </c>
      <c r="B250" s="28">
        <v>40.823291326657966</v>
      </c>
      <c r="C250" s="27">
        <f ca="1">OFFSET($B250,1*(ROWS(C$2:C250)-1),0)</f>
        <v>24.847955631176518</v>
      </c>
      <c r="D250" s="26">
        <f>Ft!B$3*EXP(Ft!B$38*($A250-Ft!B$2)^2) +Ft!C$3*EXP(Ft!C$38*($A250-Ft!C$2)^2) + Ft!D$3*EXP(Ft!D$38*($A250-Ft!D$2)^2)+Ft!E$3*EXP(Ft!E$38*($A250-Ft!E$2)^2) +Ft!F$3*EXP(Ft!F$38*($A250-Ft!F$2)^2) + Ft!G$3*EXP(Ft!G$38*($A250-Ft!G$2)^2)</f>
        <v>12.141887507383943</v>
      </c>
      <c r="E250" s="26">
        <f>Ft!B$3*EXP(Ft!B$38*($A250-Ft!B$2)^2)</f>
        <v>9.554805673247337E-23</v>
      </c>
      <c r="F250" s="26">
        <f>Ft!C$3*EXP(Ft!C$38*($A250-Ft!C$2)^2)</f>
        <v>3.4451408040901752</v>
      </c>
      <c r="G250" s="26">
        <f>Ft!D$3*EXP(Ft!D$38*($A250-Ft!D$2)^2)</f>
        <v>8.6929103733346018</v>
      </c>
      <c r="H250" s="26">
        <f>Ft!E$3*EXP(Ft!E$38*($A250-Ft!E$2)^2)</f>
        <v>3.8363299591653668E-3</v>
      </c>
      <c r="I250" s="26">
        <f>Ft!F$3*EXP(Ft!F$38*($A250-Ft!F$2)^2)</f>
        <v>2.8967862813494806E-66</v>
      </c>
      <c r="J250" s="26">
        <f>Ft!G$3*EXP(Ft!G$38*($A250-Ft!G$2)^2)</f>
        <v>1.9186199977971473E-262</v>
      </c>
    </row>
    <row r="251" spans="1:10">
      <c r="A251" s="19">
        <v>249</v>
      </c>
      <c r="B251" s="28">
        <v>40.894697580466612</v>
      </c>
      <c r="C251" s="27">
        <f ca="1">OFFSET($B251,1*(ROWS(C$2:C251)-1),0)</f>
        <v>24.44826161878197</v>
      </c>
      <c r="D251" s="26">
        <f>Ft!B$3*EXP(Ft!B$38*($A251-Ft!B$2)^2) +Ft!C$3*EXP(Ft!C$38*($A251-Ft!C$2)^2) + Ft!D$3*EXP(Ft!D$38*($A251-Ft!D$2)^2)+Ft!E$3*EXP(Ft!E$38*($A251-Ft!E$2)^2) +Ft!F$3*EXP(Ft!F$38*($A251-Ft!F$2)^2) + Ft!G$3*EXP(Ft!G$38*($A251-Ft!G$2)^2)</f>
        <v>12.145674260292221</v>
      </c>
      <c r="E251" s="26">
        <f>Ft!B$3*EXP(Ft!B$38*($A251-Ft!B$2)^2)</f>
        <v>5.7187887222491767E-23</v>
      </c>
      <c r="F251" s="26">
        <f>Ft!C$3*EXP(Ft!C$38*($A251-Ft!C$2)^2)</f>
        <v>3.3842235526819402</v>
      </c>
      <c r="G251" s="26">
        <f>Ft!D$3*EXP(Ft!D$38*($A251-Ft!D$2)^2)</f>
        <v>8.7575019166649586</v>
      </c>
      <c r="H251" s="26">
        <f>Ft!E$3*EXP(Ft!E$38*($A251-Ft!E$2)^2)</f>
        <v>3.9487909453230939E-3</v>
      </c>
      <c r="I251" s="26">
        <f>Ft!F$3*EXP(Ft!F$38*($A251-Ft!F$2)^2)</f>
        <v>4.3423574351426527E-66</v>
      </c>
      <c r="J251" s="26">
        <f>Ft!G$3*EXP(Ft!G$38*($A251-Ft!G$2)^2)</f>
        <v>8.7300500850587255E-262</v>
      </c>
    </row>
    <row r="252" spans="1:10">
      <c r="A252" s="19">
        <v>250</v>
      </c>
      <c r="B252" s="28">
        <v>40.951537460333725</v>
      </c>
      <c r="C252" s="27">
        <f ca="1">OFFSET($B252,1*(ROWS(C$2:C252)-1),0)</f>
        <v>24.055348679655111</v>
      </c>
      <c r="D252" s="26">
        <f>Ft!B$3*EXP(Ft!B$38*($A252-Ft!B$2)^2) +Ft!C$3*EXP(Ft!C$38*($A252-Ft!C$2)^2) + Ft!D$3*EXP(Ft!D$38*($A252-Ft!D$2)^2)+Ft!E$3*EXP(Ft!E$38*($A252-Ft!E$2)^2) +Ft!F$3*EXP(Ft!F$38*($A252-Ft!F$2)^2) + Ft!G$3*EXP(Ft!G$38*($A252-Ft!G$2)^2)</f>
        <v>12.150164364706775</v>
      </c>
      <c r="E252" s="26">
        <f>Ft!B$3*EXP(Ft!B$38*($A252-Ft!B$2)^2)</f>
        <v>3.4141965219468731E-23</v>
      </c>
      <c r="F252" s="26">
        <f>Ft!C$3*EXP(Ft!C$38*($A252-Ft!C$2)^2)</f>
        <v>3.3238437044041382</v>
      </c>
      <c r="G252" s="26">
        <f>Ft!D$3*EXP(Ft!D$38*($A252-Ft!D$2)^2)</f>
        <v>8.8222563162097209</v>
      </c>
      <c r="H252" s="26">
        <f>Ft!E$3*EXP(Ft!E$38*($A252-Ft!E$2)^2)</f>
        <v>4.0643440929155989E-3</v>
      </c>
      <c r="I252" s="26">
        <f>Ft!F$3*EXP(Ft!F$38*($A252-Ft!F$2)^2)</f>
        <v>6.5058043919492607E-66</v>
      </c>
      <c r="J252" s="26">
        <f>Ft!G$3*EXP(Ft!G$38*($A252-Ft!G$2)^2)</f>
        <v>3.9647767397641339E-261</v>
      </c>
    </row>
    <row r="253" spans="1:10">
      <c r="A253" s="19">
        <v>251</v>
      </c>
      <c r="B253" s="28">
        <v>41.004068250215226</v>
      </c>
      <c r="C253" s="27">
        <f ca="1">OFFSET($B253,1*(ROWS(C$2:C253)-1),0)</f>
        <v>23.67706939693764</v>
      </c>
      <c r="D253" s="26">
        <f>Ft!B$3*EXP(Ft!B$38*($A253-Ft!B$2)^2) +Ft!C$3*EXP(Ft!C$38*($A253-Ft!C$2)^2) + Ft!D$3*EXP(Ft!D$38*($A253-Ft!D$2)^2)+Ft!E$3*EXP(Ft!E$38*($A253-Ft!E$2)^2) +Ft!F$3*EXP(Ft!F$38*($A253-Ft!F$2)^2) + Ft!G$3*EXP(Ft!G$38*($A253-Ft!G$2)^2)</f>
        <v>12.155364275041993</v>
      </c>
      <c r="E253" s="26">
        <f>Ft!B$3*EXP(Ft!B$38*($A253-Ft!B$2)^2)</f>
        <v>2.0331772864561704E-23</v>
      </c>
      <c r="F253" s="26">
        <f>Ft!C$3*EXP(Ft!C$38*($A253-Ft!C$2)^2)</f>
        <v>3.2640111025521024</v>
      </c>
      <c r="G253" s="26">
        <f>Ft!D$3*EXP(Ft!D$38*($A253-Ft!D$2)^2)</f>
        <v>8.8871701044059819</v>
      </c>
      <c r="H253" s="26">
        <f>Ft!E$3*EXP(Ft!E$38*($A253-Ft!E$2)^2)</f>
        <v>4.1830680839089179E-3</v>
      </c>
      <c r="I253" s="26">
        <f>Ft!F$3*EXP(Ft!F$38*($A253-Ft!F$2)^2)</f>
        <v>9.7418794758039004E-66</v>
      </c>
      <c r="J253" s="26">
        <f>Ft!G$3*EXP(Ft!G$38*($A253-Ft!G$2)^2)</f>
        <v>1.7971940470197524E-260</v>
      </c>
    </row>
    <row r="254" spans="1:10">
      <c r="A254" s="19">
        <v>252</v>
      </c>
      <c r="B254" s="28">
        <v>41.067580417233387</v>
      </c>
      <c r="C254" s="27">
        <f ca="1">OFFSET($B254,1*(ROWS(C$2:C254)-1),0)</f>
        <v>23.314125247529432</v>
      </c>
      <c r="D254" s="26">
        <f>Ft!B$3*EXP(Ft!B$38*($A254-Ft!B$2)^2) +Ft!C$3*EXP(Ft!C$38*($A254-Ft!C$2)^2) + Ft!D$3*EXP(Ft!D$38*($A254-Ft!D$2)^2)+Ft!E$3*EXP(Ft!E$38*($A254-Ft!E$2)^2) +Ft!F$3*EXP(Ft!F$38*($A254-Ft!F$2)^2) + Ft!G$3*EXP(Ft!G$38*($A254-Ft!G$2)^2)</f>
        <v>12.161279964153561</v>
      </c>
      <c r="E254" s="26">
        <f>Ft!B$3*EXP(Ft!B$38*($A254-Ft!B$2)^2)</f>
        <v>1.207714424418876E-23</v>
      </c>
      <c r="F254" s="26">
        <f>Ft!C$3*EXP(Ft!C$38*($A254-Ft!C$2)^2)</f>
        <v>3.204735149873108</v>
      </c>
      <c r="G254" s="26">
        <f>Ft!D$3*EXP(Ft!D$38*($A254-Ft!D$2)^2)</f>
        <v>8.9522397708655959</v>
      </c>
      <c r="H254" s="26">
        <f>Ft!E$3*EXP(Ft!E$38*($A254-Ft!E$2)^2)</f>
        <v>4.3050434148569402E-3</v>
      </c>
      <c r="I254" s="26">
        <f>Ft!F$3*EXP(Ft!F$38*($A254-Ft!F$2)^2)</f>
        <v>1.4579774996818369E-65</v>
      </c>
      <c r="J254" s="26">
        <f>Ft!G$3*EXP(Ft!G$38*($A254-Ft!G$2)^2)</f>
        <v>8.1310276699058517E-260</v>
      </c>
    </row>
    <row r="255" spans="1:10">
      <c r="A255" s="19">
        <v>253</v>
      </c>
      <c r="B255" s="28">
        <v>41.133574986018857</v>
      </c>
      <c r="C255" s="27">
        <f ca="1">OFFSET($B255,1*(ROWS(C$2:C255)-1),0)</f>
        <v>22.938932097123057</v>
      </c>
      <c r="D255" s="26">
        <f>Ft!B$3*EXP(Ft!B$38*($A255-Ft!B$2)^2) +Ft!C$3*EXP(Ft!C$38*($A255-Ft!C$2)^2) + Ft!D$3*EXP(Ft!D$38*($A255-Ft!D$2)^2)+Ft!E$3*EXP(Ft!E$38*($A255-Ft!E$2)^2) +Ft!F$3*EXP(Ft!F$38*($A255-Ft!F$2)^2) + Ft!G$3*EXP(Ft!G$38*($A255-Ft!G$2)^2)</f>
        <v>12.167916925445235</v>
      </c>
      <c r="E255" s="26">
        <f>Ft!B$3*EXP(Ft!B$38*($A255-Ft!B$2)^2)</f>
        <v>7.1557560691609979E-24</v>
      </c>
      <c r="F255" s="26">
        <f>Ft!C$3*EXP(Ft!C$38*($A255-Ft!C$2)^2)</f>
        <v>3.1460248104451902</v>
      </c>
      <c r="G255" s="26">
        <f>Ft!D$3*EXP(Ft!D$38*($A255-Ft!D$2)^2)</f>
        <v>9.0174617625665814</v>
      </c>
      <c r="H255" s="26">
        <f>Ft!E$3*EXP(Ft!E$38*($A255-Ft!E$2)^2)</f>
        <v>4.4303524334630244E-3</v>
      </c>
      <c r="I255" s="26">
        <f>Ft!F$3*EXP(Ft!F$38*($A255-Ft!F$2)^2)</f>
        <v>2.1808470582091578E-65</v>
      </c>
      <c r="J255" s="26">
        <f>Ft!G$3*EXP(Ft!G$38*($A255-Ft!G$2)^2)</f>
        <v>3.6717249414099433E-259</v>
      </c>
    </row>
    <row r="256" spans="1:10">
      <c r="A256" s="19">
        <v>254</v>
      </c>
      <c r="B256" s="28">
        <v>41.200496818677607</v>
      </c>
      <c r="C256" s="27">
        <f ca="1">OFFSET($B256,1*(ROWS(C$2:C256)-1),0)</f>
        <v>22.534910423374157</v>
      </c>
      <c r="D256" s="26">
        <f>Ft!B$3*EXP(Ft!B$38*($A256-Ft!B$2)^2) +Ft!C$3*EXP(Ft!C$38*($A256-Ft!C$2)^2) + Ft!D$3*EXP(Ft!D$38*($A256-Ft!D$2)^2)+Ft!E$3*EXP(Ft!E$38*($A256-Ft!E$2)^2) +Ft!F$3*EXP(Ft!F$38*($A256-Ft!F$2)^2) + Ft!G$3*EXP(Ft!G$38*($A256-Ft!G$2)^2)</f>
        <v>12.175280175304199</v>
      </c>
      <c r="E256" s="26">
        <f>Ft!B$3*EXP(Ft!B$38*($A256-Ft!B$2)^2)</f>
        <v>4.2291108829371403E-24</v>
      </c>
      <c r="F256" s="26">
        <f>Ft!C$3*EXP(Ft!C$38*($A256-Ft!C$2)^2)</f>
        <v>3.0878886118748441</v>
      </c>
      <c r="G256" s="26">
        <f>Ft!D$3*EXP(Ft!D$38*($A256-Ft!D$2)^2)</f>
        <v>9.0828324840536183</v>
      </c>
      <c r="H256" s="26">
        <f>Ft!E$3*EXP(Ft!E$38*($A256-Ft!E$2)^2)</f>
        <v>4.5590793757359846E-3</v>
      </c>
      <c r="I256" s="26">
        <f>Ft!F$3*EXP(Ft!F$38*($A256-Ft!F$2)^2)</f>
        <v>3.2603627026933647E-65</v>
      </c>
      <c r="J256" s="26">
        <f>Ft!G$3*EXP(Ft!G$38*($A256-Ft!G$2)^2)</f>
        <v>1.6548897775191973E-258</v>
      </c>
    </row>
    <row r="257" spans="1:10">
      <c r="A257" s="19">
        <v>255</v>
      </c>
      <c r="B257" s="28">
        <v>41.269574845021225</v>
      </c>
      <c r="C257" s="27">
        <f ca="1">OFFSET($B257,1*(ROWS(C$2:C257)-1),0)</f>
        <v>22.153934795339836</v>
      </c>
      <c r="D257" s="26">
        <f>Ft!B$3*EXP(Ft!B$38*($A257-Ft!B$2)^2) +Ft!C$3*EXP(Ft!C$38*($A257-Ft!C$2)^2) + Ft!D$3*EXP(Ft!D$38*($A257-Ft!D$2)^2)+Ft!E$3*EXP(Ft!E$38*($A257-Ft!E$2)^2) +Ft!F$3*EXP(Ft!F$38*($A257-Ft!F$2)^2) + Ft!G$3*EXP(Ft!G$38*($A257-Ft!G$2)^2)</f>
        <v>12.1833742558571</v>
      </c>
      <c r="E257" s="26">
        <f>Ft!B$3*EXP(Ft!B$38*($A257-Ft!B$2)^2)</f>
        <v>2.493129782475027E-24</v>
      </c>
      <c r="F257" s="26">
        <f>Ft!C$3*EXP(Ft!C$38*($A257-Ft!C$2)^2)</f>
        <v>3.0303346478056978</v>
      </c>
      <c r="G257" s="26">
        <f>Ft!D$3*EXP(Ft!D$38*($A257-Ft!D$2)^2)</f>
        <v>9.1483482976476562</v>
      </c>
      <c r="H257" s="26">
        <f>Ft!E$3*EXP(Ft!E$38*($A257-Ft!E$2)^2)</f>
        <v>4.6913104037463755E-3</v>
      </c>
      <c r="I257" s="26">
        <f>Ft!F$3*EXP(Ft!F$38*($A257-Ft!F$2)^2)</f>
        <v>4.8716148025959503E-65</v>
      </c>
      <c r="J257" s="26">
        <f>Ft!G$3*EXP(Ft!G$38*($A257-Ft!G$2)^2)</f>
        <v>7.4446149477016235E-258</v>
      </c>
    </row>
    <row r="258" spans="1:10">
      <c r="A258" s="19">
        <v>256</v>
      </c>
      <c r="B258" s="28">
        <v>41.34079029367183</v>
      </c>
      <c r="C258" s="27">
        <f ca="1">OFFSET($B258,1*(ROWS(C$2:C258)-1),0)</f>
        <v>21.781066004622971</v>
      </c>
      <c r="D258" s="26">
        <f>Ft!B$3*EXP(Ft!B$38*($A258-Ft!B$2)^2) +Ft!C$3*EXP(Ft!C$38*($A258-Ft!C$2)^2) + Ft!D$3*EXP(Ft!D$38*($A258-Ft!D$2)^2)+Ft!E$3*EXP(Ft!E$38*($A258-Ft!E$2)^2) +Ft!F$3*EXP(Ft!F$38*($A258-Ft!F$2)^2) + Ft!G$3*EXP(Ft!G$38*($A258-Ft!G$2)^2)</f>
        <v>12.192203238038712</v>
      </c>
      <c r="E258" s="26">
        <f>Ft!B$3*EXP(Ft!B$38*($A258-Ft!B$2)^2)</f>
        <v>1.4660303852336903E-24</v>
      </c>
      <c r="F258" s="26">
        <f>Ft!C$3*EXP(Ft!C$38*($A258-Ft!C$2)^2)</f>
        <v>2.973370580730053</v>
      </c>
      <c r="G258" s="26">
        <f>Ft!D$3*EXP(Ft!D$38*($A258-Ft!D$2)^2)</f>
        <v>9.2140055236646692</v>
      </c>
      <c r="H258" s="26">
        <f>Ft!E$3*EXP(Ft!E$38*($A258-Ft!E$2)^2)</f>
        <v>4.827133643988955E-3</v>
      </c>
      <c r="I258" s="26">
        <f>Ft!F$3*EXP(Ft!F$38*($A258-Ft!F$2)^2)</f>
        <v>7.2752225846295041E-65</v>
      </c>
      <c r="J258" s="26">
        <f>Ft!G$3*EXP(Ft!G$38*($A258-Ft!G$2)^2)</f>
        <v>3.3426402603179014E-257</v>
      </c>
    </row>
    <row r="259" spans="1:10">
      <c r="A259" s="19">
        <v>257</v>
      </c>
      <c r="B259" s="28">
        <v>41.425150136803694</v>
      </c>
      <c r="C259" s="27">
        <f ca="1">OFFSET($B259,1*(ROWS(C$2:C259)-1),0)</f>
        <v>21.404072852153035</v>
      </c>
      <c r="D259" s="26">
        <f>Ft!B$3*EXP(Ft!B$38*($A259-Ft!B$2)^2) +Ft!C$3*EXP(Ft!C$38*($A259-Ft!C$2)^2) + Ft!D$3*EXP(Ft!D$38*($A259-Ft!D$2)^2)+Ft!E$3*EXP(Ft!E$38*($A259-Ft!E$2)^2) +Ft!F$3*EXP(Ft!F$38*($A259-Ft!F$2)^2) + Ft!G$3*EXP(Ft!G$38*($A259-Ft!G$2)^2)</f>
        <v>12.201770724964868</v>
      </c>
      <c r="E259" s="26">
        <f>Ft!B$3*EXP(Ft!B$38*($A259-Ft!B$2)^2)</f>
        <v>8.5989084828337628E-25</v>
      </c>
      <c r="F259" s="26">
        <f>Ft!C$3*EXP(Ft!C$38*($A259-Ft!C$2)^2)</f>
        <v>2.917003645094955</v>
      </c>
      <c r="G259" s="26">
        <f>Ft!D$3*EXP(Ft!D$38*($A259-Ft!D$2)^2)</f>
        <v>9.279800440643557</v>
      </c>
      <c r="H259" s="26">
        <f>Ft!E$3*EXP(Ft!E$38*($A259-Ft!E$2)^2)</f>
        <v>4.9666392263572803E-3</v>
      </c>
      <c r="I259" s="26">
        <f>Ft!F$3*EXP(Ft!F$38*($A259-Ft!F$2)^2)</f>
        <v>1.0858902838105377E-64</v>
      </c>
      <c r="J259" s="26">
        <f>Ft!G$3*EXP(Ft!G$38*($A259-Ft!G$2)^2)</f>
        <v>1.4979981344115492E-256</v>
      </c>
    </row>
    <row r="260" spans="1:10">
      <c r="A260" s="19">
        <v>258</v>
      </c>
      <c r="B260" s="28">
        <v>41.525005033410423</v>
      </c>
      <c r="C260" s="27">
        <f ca="1">OFFSET($B260,1*(ROWS(C$2:C260)-1),0)</f>
        <v>21.013562463341771</v>
      </c>
      <c r="D260" s="26">
        <f>Ft!B$3*EXP(Ft!B$38*($A260-Ft!B$2)^2) +Ft!C$3*EXP(Ft!C$38*($A260-Ft!C$2)^2) + Ft!D$3*EXP(Ft!D$38*($A260-Ft!D$2)^2)+Ft!E$3*EXP(Ft!E$38*($A260-Ft!E$2)^2) +Ft!F$3*EXP(Ft!F$38*($A260-Ft!F$2)^2) + Ft!G$3*EXP(Ft!G$38*($A260-Ft!G$2)^2)</f>
        <v>12.212079855601312</v>
      </c>
      <c r="E260" s="26">
        <f>Ft!B$3*EXP(Ft!B$38*($A260-Ft!B$2)^2)</f>
        <v>5.0309030969689257E-25</v>
      </c>
      <c r="F260" s="26">
        <f>Ft!C$3*EXP(Ft!C$38*($A260-Ft!C$2)^2)</f>
        <v>2.8612406506943464</v>
      </c>
      <c r="G260" s="26">
        <f>Ft!D$3*EXP(Ft!D$38*($A260-Ft!D$2)^2)</f>
        <v>9.3457292855832286</v>
      </c>
      <c r="H260" s="26">
        <f>Ft!E$3*EXP(Ft!E$38*($A260-Ft!E$2)^2)</f>
        <v>5.1099193237361196E-3</v>
      </c>
      <c r="I260" s="26">
        <f>Ft!F$3*EXP(Ft!F$38*($A260-Ft!F$2)^2)</f>
        <v>1.6199138848748826E-64</v>
      </c>
      <c r="J260" s="26">
        <f>Ft!G$3*EXP(Ft!G$38*($A260-Ft!G$2)^2)</f>
        <v>6.7004988704365206E-256</v>
      </c>
    </row>
    <row r="261" spans="1:10">
      <c r="A261" s="19">
        <v>259</v>
      </c>
      <c r="B261" s="28">
        <v>41.691572781039099</v>
      </c>
      <c r="C261" s="27">
        <f ca="1">OFFSET($B261,1*(ROWS(C$2:C261)-1),0)</f>
        <v>20.641151346705755</v>
      </c>
      <c r="D261" s="26">
        <f>Ft!B$3*EXP(Ft!B$38*($A261-Ft!B$2)^2) +Ft!C$3*EXP(Ft!C$38*($A261-Ft!C$2)^2) + Ft!D$3*EXP(Ft!D$38*($A261-Ft!D$2)^2)+Ft!E$3*EXP(Ft!E$38*($A261-Ft!E$2)^2) +Ft!F$3*EXP(Ft!F$38*($A261-Ft!F$2)^2) + Ft!G$3*EXP(Ft!G$38*($A261-Ft!G$2)^2)</f>
        <v>12.223133308719696</v>
      </c>
      <c r="E261" s="26">
        <f>Ft!B$3*EXP(Ft!B$38*($A261-Ft!B$2)^2)</f>
        <v>2.9359648231637479E-25</v>
      </c>
      <c r="F261" s="26">
        <f>Ft!C$3*EXP(Ft!C$38*($A261-Ft!C$2)^2)</f>
        <v>2.806087986338607</v>
      </c>
      <c r="G261" s="26">
        <f>Ft!D$3*EXP(Ft!D$38*($A261-Ft!D$2)^2)</f>
        <v>9.4117882541888704</v>
      </c>
      <c r="H261" s="26">
        <f>Ft!E$3*EXP(Ft!E$38*($A261-Ft!E$2)^2)</f>
        <v>5.2570681922175667E-3</v>
      </c>
      <c r="I261" s="26">
        <f>Ft!F$3*EXP(Ft!F$38*($A261-Ft!F$2)^2)</f>
        <v>2.4152618811696831E-64</v>
      </c>
      <c r="J261" s="26">
        <f>Ft!G$3*EXP(Ft!G$38*($A261-Ft!G$2)^2)</f>
        <v>2.9914189271063875E-255</v>
      </c>
    </row>
    <row r="262" spans="1:10">
      <c r="A262" s="19">
        <v>260</v>
      </c>
      <c r="B262" s="28">
        <v>41.886978421684432</v>
      </c>
      <c r="C262" s="27">
        <f ca="1">OFFSET($B262,1*(ROWS(C$2:C262)-1),0)</f>
        <v>20.279577940908041</v>
      </c>
      <c r="D262" s="26">
        <f>Ft!B$3*EXP(Ft!B$38*($A262-Ft!B$2)^2) +Ft!C$3*EXP(Ft!C$38*($A262-Ft!C$2)^2) + Ft!D$3*EXP(Ft!D$38*($A262-Ft!D$2)^2)+Ft!E$3*EXP(Ft!E$38*($A262-Ft!E$2)^2) +Ft!F$3*EXP(Ft!F$38*($A262-Ft!F$2)^2) + Ft!G$3*EXP(Ft!G$38*($A262-Ft!G$2)^2)</f>
        <v>12.234933307132094</v>
      </c>
      <c r="E262" s="26">
        <f>Ft!B$3*EXP(Ft!B$38*($A262-Ft!B$2)^2)</f>
        <v>1.7090627701035627E-25</v>
      </c>
      <c r="F262" s="26">
        <f>Ft!C$3*EXP(Ft!C$38*($A262-Ft!C$2)^2)</f>
        <v>2.7515516237927291</v>
      </c>
      <c r="G262" s="26">
        <f>Ft!D$3*EXP(Ft!D$38*($A262-Ft!D$2)^2)</f>
        <v>9.4779735011274191</v>
      </c>
      <c r="H262" s="26">
        <f>Ft!E$3*EXP(Ft!E$38*($A262-Ft!E$2)^2)</f>
        <v>5.4081822119464449E-3</v>
      </c>
      <c r="I262" s="26">
        <f>Ft!F$3*EXP(Ft!F$38*($A262-Ft!F$2)^2)</f>
        <v>3.5991740171942736E-64</v>
      </c>
      <c r="J262" s="26">
        <f>Ft!G$3*EXP(Ft!G$38*($A262-Ft!G$2)^2)</f>
        <v>1.3329736641757327E-254</v>
      </c>
    </row>
    <row r="263" spans="1:10">
      <c r="A263" s="19">
        <v>261</v>
      </c>
      <c r="B263" s="28">
        <v>42.090254402968412</v>
      </c>
      <c r="C263" s="27">
        <f ca="1">OFFSET($B263,1*(ROWS(C$2:C263)-1),0)</f>
        <v>19.875594201563047</v>
      </c>
      <c r="D263" s="26">
        <f>Ft!B$3*EXP(Ft!B$38*($A263-Ft!B$2)^2) +Ft!C$3*EXP(Ft!C$38*($A263-Ft!C$2)^2) + Ft!D$3*EXP(Ft!D$38*($A263-Ft!D$2)^2)+Ft!E$3*EXP(Ft!E$38*($A263-Ft!E$2)^2) +Ft!F$3*EXP(Ft!F$38*($A263-Ft!F$2)^2) + Ft!G$3*EXP(Ft!G$38*($A263-Ft!G$2)^2)</f>
        <v>12.247481622194996</v>
      </c>
      <c r="E263" s="26">
        <f>Ft!B$3*EXP(Ft!B$38*($A263-Ft!B$2)^2)</f>
        <v>9.9235588552189069E-26</v>
      </c>
      <c r="F263" s="26">
        <f>Ft!C$3*EXP(Ft!C$38*($A263-Ft!C$2)^2)</f>
        <v>2.6976371219741559</v>
      </c>
      <c r="G263" s="26">
        <f>Ft!D$3*EXP(Ft!D$38*($A263-Ft!D$2)^2)</f>
        <v>9.5442811402922398</v>
      </c>
      <c r="H263" s="26">
        <f>Ft!E$3*EXP(Ft!E$38*($A263-Ft!E$2)^2)</f>
        <v>5.5633599286007513E-3</v>
      </c>
      <c r="I263" s="26">
        <f>Ft!F$3*EXP(Ft!F$38*($A263-Ft!F$2)^2)</f>
        <v>5.3605306221507489E-64</v>
      </c>
      <c r="J263" s="26">
        <f>Ft!G$3*EXP(Ft!G$38*($A263-Ft!G$2)^2)</f>
        <v>5.9284359747394222E-254</v>
      </c>
    </row>
    <row r="264" spans="1:10">
      <c r="A264" s="19">
        <v>262</v>
      </c>
      <c r="B264" s="28">
        <v>42.303395582887475</v>
      </c>
      <c r="C264" s="27">
        <f ca="1">OFFSET($B264,1*(ROWS(C$2:C264)-1),0)</f>
        <v>19.444158818929907</v>
      </c>
      <c r="D264" s="26">
        <f>Ft!B$3*EXP(Ft!B$38*($A264-Ft!B$2)^2) +Ft!C$3*EXP(Ft!C$38*($A264-Ft!C$2)^2) + Ft!D$3*EXP(Ft!D$38*($A264-Ft!D$2)^2)+Ft!E$3*EXP(Ft!E$38*($A264-Ft!E$2)^2) +Ft!F$3*EXP(Ft!F$38*($A264-Ft!F$2)^2) + Ft!G$3*EXP(Ft!G$38*($A264-Ft!G$2)^2)</f>
        <v>12.260779578573787</v>
      </c>
      <c r="E264" s="26">
        <f>Ft!B$3*EXP(Ft!B$38*($A264-Ft!B$2)^2)</f>
        <v>5.7475023311906456E-26</v>
      </c>
      <c r="F264" s="26">
        <f>Ft!C$3*EXP(Ft!C$38*($A264-Ft!C$2)^2)</f>
        <v>2.6443496314012487</v>
      </c>
      <c r="G264" s="26">
        <f>Ft!D$3*EXP(Ft!D$38*($A264-Ft!D$2)^2)</f>
        <v>9.610707245077025</v>
      </c>
      <c r="H264" s="26">
        <f>Ft!E$3*EXP(Ft!E$38*($A264-Ft!E$2)^2)</f>
        <v>5.7227020955125758E-3</v>
      </c>
      <c r="I264" s="26">
        <f>Ft!F$3*EXP(Ft!F$38*($A264-Ft!F$2)^2)</f>
        <v>7.97956168120635E-64</v>
      </c>
      <c r="J264" s="26">
        <f>Ft!G$3*EXP(Ft!G$38*($A264-Ft!G$2)^2)</f>
        <v>2.6316791030175724E-253</v>
      </c>
    </row>
    <row r="265" spans="1:10">
      <c r="A265" s="19">
        <v>263</v>
      </c>
      <c r="B265" s="28">
        <v>42.515526577290501</v>
      </c>
      <c r="C265" s="27">
        <f ca="1">OFFSET($B265,1*(ROWS(C$2:C265)-1),0)</f>
        <v>19.0746168260753</v>
      </c>
      <c r="D265" s="26">
        <f>Ft!B$3*EXP(Ft!B$38*($A265-Ft!B$2)^2) +Ft!C$3*EXP(Ft!C$38*($A265-Ft!C$2)^2) + Ft!D$3*EXP(Ft!D$38*($A265-Ft!D$2)^2)+Ft!E$3*EXP(Ft!E$38*($A265-Ft!E$2)^2) +Ft!F$3*EXP(Ft!F$38*($A265-Ft!F$2)^2) + Ft!G$3*EXP(Ft!G$38*($A265-Ft!G$2)^2)</f>
        <v>12.27482805925858</v>
      </c>
      <c r="E265" s="26">
        <f>Ft!B$3*EXP(Ft!B$38*($A265-Ft!B$2)^2)</f>
        <v>3.3204208527968081E-26</v>
      </c>
      <c r="F265" s="26">
        <f>Ft!C$3*EXP(Ft!C$38*($A265-Ft!C$2)^2)</f>
        <v>2.5916938988832192</v>
      </c>
      <c r="G265" s="26">
        <f>Ft!D$3*EXP(Ft!D$38*($A265-Ft!D$2)^2)</f>
        <v>9.677247848658924</v>
      </c>
      <c r="H265" s="26">
        <f>Ft!E$3*EXP(Ft!E$38*($A265-Ft!E$2)^2)</f>
        <v>5.8863117164352141E-3</v>
      </c>
      <c r="I265" s="26">
        <f>Ft!F$3*EXP(Ft!F$38*($A265-Ft!F$2)^2)</f>
        <v>1.187180103695774E-63</v>
      </c>
      <c r="J265" s="26">
        <f>Ft!G$3*EXP(Ft!G$38*($A265-Ft!G$2)^2)</f>
        <v>1.1660037923679842E-252</v>
      </c>
    </row>
    <row r="266" spans="1:10">
      <c r="A266" s="19">
        <v>264</v>
      </c>
      <c r="B266" s="28">
        <v>42.741564736196779</v>
      </c>
      <c r="C266" s="27">
        <f ca="1">OFFSET($B266,1*(ROWS(C$2:C266)-1),0)</f>
        <v>18.707452047603397</v>
      </c>
      <c r="D266" s="26">
        <f>Ft!B$3*EXP(Ft!B$38*($A266-Ft!B$2)^2) +Ft!C$3*EXP(Ft!C$38*($A266-Ft!C$2)^2) + Ft!D$3*EXP(Ft!D$38*($A266-Ft!D$2)^2)+Ft!E$3*EXP(Ft!E$38*($A266-Ft!E$2)^2) +Ft!F$3*EXP(Ft!F$38*($A266-Ft!F$2)^2) + Ft!G$3*EXP(Ft!G$38*($A266-Ft!G$2)^2)</f>
        <v>12.28962751082212</v>
      </c>
      <c r="E266" s="26">
        <f>Ft!B$3*EXP(Ft!B$38*($A266-Ft!B$2)^2)</f>
        <v>1.9134159039635411E-26</v>
      </c>
      <c r="F266" s="26">
        <f>Ft!C$3*EXP(Ft!C$38*($A266-Ft!C$2)^2)</f>
        <v>2.5396742724422654</v>
      </c>
      <c r="G266" s="26">
        <f>Ft!D$3*EXP(Ft!D$38*($A266-Ft!D$2)^2)</f>
        <v>9.7438989442908923</v>
      </c>
      <c r="H266" s="26">
        <f>Ft!E$3*EXP(Ft!E$38*($A266-Ft!E$2)^2)</f>
        <v>6.0542940889616774E-3</v>
      </c>
      <c r="I266" s="26">
        <f>Ft!F$3*EXP(Ft!F$38*($A266-Ft!F$2)^2)</f>
        <v>1.7653080492430308E-63</v>
      </c>
      <c r="J266" s="26">
        <f>Ft!G$3*EXP(Ft!G$38*($A266-Ft!G$2)^2)</f>
        <v>5.1563362094808622E-252</v>
      </c>
    </row>
    <row r="267" spans="1:10">
      <c r="A267" s="19">
        <v>265</v>
      </c>
      <c r="B267" s="28">
        <v>42.96386402221674</v>
      </c>
      <c r="C267" s="27">
        <f ca="1">OFFSET($B267,1*(ROWS(C$2:C267)-1),0)</f>
        <v>18.32138400004203</v>
      </c>
      <c r="D267" s="26">
        <f>Ft!B$3*EXP(Ft!B$38*($A267-Ft!B$2)^2) +Ft!C$3*EXP(Ft!C$38*($A267-Ft!C$2)^2) + Ft!D$3*EXP(Ft!D$38*($A267-Ft!D$2)^2)+Ft!E$3*EXP(Ft!E$38*($A267-Ft!E$2)^2) +Ft!F$3*EXP(Ft!F$38*($A267-Ft!F$2)^2) + Ft!G$3*EXP(Ft!G$38*($A267-Ft!G$2)^2)</f>
        <v>12.305177948910453</v>
      </c>
      <c r="E267" s="26">
        <f>Ft!B$3*EXP(Ft!B$38*($A267-Ft!B$2)^2)</f>
        <v>1.0998359125207824E-26</v>
      </c>
      <c r="F267" s="26">
        <f>Ft!C$3*EXP(Ft!C$38*($A267-Ft!C$2)^2)</f>
        <v>2.4882947064585843</v>
      </c>
      <c r="G267" s="26">
        <f>Ft!D$3*EXP(Ft!D$38*($A267-Ft!D$2)^2)</f>
        <v>9.8106564856032694</v>
      </c>
      <c r="H267" s="26">
        <f>Ft!E$3*EXP(Ft!E$38*($A267-Ft!E$2)^2)</f>
        <v>6.2267568486001372E-3</v>
      </c>
      <c r="I267" s="26">
        <f>Ft!F$3*EXP(Ft!F$38*($A267-Ft!F$2)^2)</f>
        <v>2.6235582547842178E-63</v>
      </c>
      <c r="J267" s="26">
        <f>Ft!G$3*EXP(Ft!G$38*($A267-Ft!G$2)^2)</f>
        <v>2.2759185944223263E-251</v>
      </c>
    </row>
    <row r="268" spans="1:10">
      <c r="A268" s="19">
        <v>266</v>
      </c>
      <c r="B268" s="28">
        <v>43.209688971873959</v>
      </c>
      <c r="C268" s="27">
        <f ca="1">OFFSET($B268,1*(ROWS(C$2:C268)-1),0)</f>
        <v>17.937824779081382</v>
      </c>
      <c r="D268" s="26">
        <f>Ft!B$3*EXP(Ft!B$38*($A268-Ft!B$2)^2) +Ft!C$3*EXP(Ft!C$38*($A268-Ft!C$2)^2) + Ft!D$3*EXP(Ft!D$38*($A268-Ft!D$2)^2)+Ft!E$3*EXP(Ft!E$38*($A268-Ft!E$2)^2) +Ft!F$3*EXP(Ft!F$38*($A268-Ft!F$2)^2) + Ft!G$3*EXP(Ft!G$38*($A268-Ft!G$2)^2)</f>
        <v>12.321478963956963</v>
      </c>
      <c r="E268" s="26">
        <f>Ft!B$3*EXP(Ft!B$38*($A268-Ft!B$2)^2)</f>
        <v>6.3059232945339374E-27</v>
      </c>
      <c r="F268" s="26">
        <f>Ft!C$3*EXP(Ft!C$38*($A268-Ft!C$2)^2)</f>
        <v>2.4375587670288641</v>
      </c>
      <c r="G268" s="26">
        <f>Ft!D$3*EXP(Ft!D$38*($A268-Ft!D$2)^2)</f>
        <v>9.8775163869145874</v>
      </c>
      <c r="H268" s="26">
        <f>Ft!E$3*EXP(Ft!E$38*($A268-Ft!E$2)^2)</f>
        <v>6.4038100135114587E-3</v>
      </c>
      <c r="I268" s="26">
        <f>Ft!F$3*EXP(Ft!F$38*($A268-Ft!F$2)^2)</f>
        <v>3.8969716013312762E-63</v>
      </c>
      <c r="J268" s="26">
        <f>Ft!G$3*EXP(Ft!G$38*($A268-Ft!G$2)^2)</f>
        <v>1.0026432956358967E-250</v>
      </c>
    </row>
    <row r="269" spans="1:10">
      <c r="A269" s="19">
        <v>267</v>
      </c>
      <c r="B269" s="28">
        <v>43.423010279734143</v>
      </c>
      <c r="C269" s="27">
        <f ca="1">OFFSET($B269,1*(ROWS(C$2:C269)-1),0)</f>
        <v>17.564103574889884</v>
      </c>
      <c r="D269" s="26">
        <f>Ft!B$3*EXP(Ft!B$38*($A269-Ft!B$2)^2) +Ft!C$3*EXP(Ft!C$38*($A269-Ft!C$2)^2) + Ft!D$3*EXP(Ft!D$38*($A269-Ft!D$2)^2)+Ft!E$3*EXP(Ft!E$38*($A269-Ft!E$2)^2) +Ft!F$3*EXP(Ft!F$38*($A269-Ft!F$2)^2) + Ft!G$3*EXP(Ft!G$38*($A269-Ft!G$2)^2)</f>
        <v>12.338529727110314</v>
      </c>
      <c r="E269" s="26">
        <f>Ft!B$3*EXP(Ft!B$38*($A269-Ft!B$2)^2)</f>
        <v>3.6063821196057946E-27</v>
      </c>
      <c r="F269" s="26">
        <f>Ft!C$3*EXP(Ft!C$38*($A269-Ft!C$2)^2)</f>
        <v>2.3874696375287945</v>
      </c>
      <c r="G269" s="26">
        <f>Ft!D$3*EXP(Ft!D$38*($A269-Ft!D$2)^2)</f>
        <v>9.9444745235516052</v>
      </c>
      <c r="H269" s="26">
        <f>Ft!E$3*EXP(Ft!E$38*($A269-Ft!E$2)^2)</f>
        <v>6.5855660299141408E-3</v>
      </c>
      <c r="I269" s="26">
        <f>Ft!F$3*EXP(Ft!F$38*($A269-Ft!F$2)^2)</f>
        <v>5.7853560027694418E-63</v>
      </c>
      <c r="J269" s="26">
        <f>Ft!G$3*EXP(Ft!G$38*($A269-Ft!G$2)^2)</f>
        <v>4.4086986806841545E-250</v>
      </c>
    </row>
    <row r="270" spans="1:10">
      <c r="A270" s="19">
        <v>268</v>
      </c>
      <c r="B270" s="28">
        <v>43.648573448791581</v>
      </c>
      <c r="C270" s="27">
        <f ca="1">OFFSET($B270,1*(ROWS(C$2:C270)-1),0)</f>
        <v>17.184596176401811</v>
      </c>
      <c r="D270" s="26">
        <f>Ft!B$3*EXP(Ft!B$38*($A270-Ft!B$2)^2) +Ft!C$3*EXP(Ft!C$38*($A270-Ft!C$2)^2) + Ft!D$3*EXP(Ft!D$38*($A270-Ft!D$2)^2)+Ft!E$3*EXP(Ft!E$38*($A270-Ft!E$2)^2) +Ft!F$3*EXP(Ft!F$38*($A270-Ft!F$2)^2) + Ft!G$3*EXP(Ft!G$38*($A270-Ft!G$2)^2)</f>
        <v>12.356328996366829</v>
      </c>
      <c r="E270" s="26">
        <f>Ft!B$3*EXP(Ft!B$38*($A270-Ft!B$2)^2)</f>
        <v>2.057297360313953E-27</v>
      </c>
      <c r="F270" s="26">
        <f>Ft!C$3*EXP(Ft!C$38*($A270-Ft!C$2)^2)</f>
        <v>2.3380301243701154</v>
      </c>
      <c r="G270" s="26">
        <f>Ft!D$3*EXP(Ft!D$38*($A270-Ft!D$2)^2)</f>
        <v>10.011526732178551</v>
      </c>
      <c r="H270" s="26">
        <f>Ft!E$3*EXP(Ft!E$38*($A270-Ft!E$2)^2)</f>
        <v>6.772139818161659E-3</v>
      </c>
      <c r="I270" s="26">
        <f>Ft!F$3*EXP(Ft!F$38*($A270-Ft!F$2)^2)</f>
        <v>8.5841886748828087E-63</v>
      </c>
      <c r="J270" s="26">
        <f>Ft!G$3*EXP(Ft!G$38*($A270-Ft!G$2)^2)</f>
        <v>1.9348558437798732E-249</v>
      </c>
    </row>
    <row r="271" spans="1:10">
      <c r="A271" s="19">
        <v>269</v>
      </c>
      <c r="B271" s="28">
        <v>43.865755115550968</v>
      </c>
      <c r="C271" s="27">
        <f ca="1">OFFSET($B271,1*(ROWS(C$2:C271)-1),0)</f>
        <v>16.801105309908081</v>
      </c>
      <c r="D271" s="26">
        <f>Ft!B$3*EXP(Ft!B$38*($A271-Ft!B$2)^2) +Ft!C$3*EXP(Ft!C$38*($A271-Ft!C$2)^2) + Ft!D$3*EXP(Ft!D$38*($A271-Ft!D$2)^2)+Ft!E$3*EXP(Ft!E$38*($A271-Ft!E$2)^2) +Ft!F$3*EXP(Ft!F$38*($A271-Ft!F$2)^2) + Ft!G$3*EXP(Ft!G$38*($A271-Ft!G$2)^2)</f>
        <v>12.374875122897757</v>
      </c>
      <c r="E271" s="26">
        <f>Ft!B$3*EXP(Ft!B$38*($A271-Ft!B$2)^2)</f>
        <v>1.1706435235582252E-27</v>
      </c>
      <c r="F271" s="26">
        <f>Ft!C$3*EXP(Ft!C$38*($A271-Ft!C$2)^2)</f>
        <v>2.2892426629426788</v>
      </c>
      <c r="G271" s="26">
        <f>Ft!D$3*EXP(Ft!D$38*($A271-Ft!D$2)^2)</f>
        <v>10.078668811135582</v>
      </c>
      <c r="H271" s="26">
        <f>Ft!E$3*EXP(Ft!E$38*($A271-Ft!E$2)^2)</f>
        <v>6.9636488194972099E-3</v>
      </c>
      <c r="I271" s="26">
        <f>Ft!F$3*EXP(Ft!F$38*($A271-Ft!F$2)^2)</f>
        <v>1.2730185708198306E-62</v>
      </c>
      <c r="J271" s="26">
        <f>Ft!G$3*EXP(Ft!G$38*($A271-Ft!G$2)^2)</f>
        <v>8.4754163666023416E-249</v>
      </c>
    </row>
    <row r="272" spans="1:10">
      <c r="A272" s="19">
        <v>270</v>
      </c>
      <c r="B272" s="28">
        <v>44.083119291530693</v>
      </c>
      <c r="C272" s="27">
        <f ca="1">OFFSET($B272,1*(ROWS(C$2:C272)-1),0)</f>
        <v>16.36265177355375</v>
      </c>
      <c r="D272" s="26">
        <f>Ft!B$3*EXP(Ft!B$38*($A272-Ft!B$2)^2) +Ft!C$3*EXP(Ft!C$38*($A272-Ft!C$2)^2) + Ft!D$3*EXP(Ft!D$38*($A272-Ft!D$2)^2)+Ft!E$3*EXP(Ft!E$38*($A272-Ft!E$2)^2) +Ft!F$3*EXP(Ft!F$38*($A272-Ft!F$2)^2) + Ft!G$3*EXP(Ft!G$38*($A272-Ft!G$2)^2)</f>
        <v>12.394166057561943</v>
      </c>
      <c r="E272" s="26">
        <f>Ft!B$3*EXP(Ft!B$38*($A272-Ft!B$2)^2)</f>
        <v>6.6443811114759869E-28</v>
      </c>
      <c r="F272" s="26">
        <f>Ft!C$3*EXP(Ft!C$38*($A272-Ft!C$2)^2)</f>
        <v>2.2411093237320077</v>
      </c>
      <c r="G272" s="26">
        <f>Ft!D$3*EXP(Ft!D$38*($A272-Ft!D$2)^2)</f>
        <v>10.145896520786444</v>
      </c>
      <c r="H272" s="26">
        <f>Ft!E$3*EXP(Ft!E$38*($A272-Ft!E$2)^2)</f>
        <v>7.1602130434909169E-3</v>
      </c>
      <c r="I272" s="26">
        <f>Ft!F$3*EXP(Ft!F$38*($A272-Ft!F$2)^2)</f>
        <v>1.8868463773557406E-62</v>
      </c>
      <c r="J272" s="26">
        <f>Ft!G$3*EXP(Ft!G$38*($A272-Ft!G$2)^2)</f>
        <v>3.7055075712844609E-248</v>
      </c>
    </row>
    <row r="273" spans="1:10">
      <c r="A273" s="19">
        <v>271</v>
      </c>
      <c r="B273" s="28">
        <v>44.301098849589408</v>
      </c>
      <c r="C273" s="27">
        <f ca="1">OFFSET($B273,1*(ROWS(C$2:C273)-1),0)</f>
        <v>15.94761556496104</v>
      </c>
      <c r="D273" s="26">
        <f>Ft!B$3*EXP(Ft!B$38*($A273-Ft!B$2)^2) +Ft!C$3*EXP(Ft!C$38*($A273-Ft!C$2)^2) + Ft!D$3*EXP(Ft!D$38*($A273-Ft!D$2)^2)+Ft!E$3*EXP(Ft!E$38*($A273-Ft!E$2)^2) +Ft!F$3*EXP(Ft!F$38*($A273-Ft!F$2)^2) + Ft!G$3*EXP(Ft!G$38*($A273-Ft!G$2)^2)</f>
        <v>12.414199357594271</v>
      </c>
      <c r="E273" s="26">
        <f>Ft!B$3*EXP(Ft!B$38*($A273-Ft!B$2)^2)</f>
        <v>3.7617217949693003E-28</v>
      </c>
      <c r="F273" s="26">
        <f>Ft!C$3*EXP(Ft!C$38*($A273-Ft!C$2)^2)</f>
        <v>2.193631818602797</v>
      </c>
      <c r="G273" s="26">
        <f>Ft!D$3*EXP(Ft!D$38*($A273-Ft!D$2)^2)</f>
        <v>10.213205583875309</v>
      </c>
      <c r="H273" s="26">
        <f>Ft!E$3*EXP(Ft!E$38*($A273-Ft!E$2)^2)</f>
        <v>7.361955116164034E-3</v>
      </c>
      <c r="I273" s="26">
        <f>Ft!F$3*EXP(Ft!F$38*($A273-Ft!F$2)^2)</f>
        <v>2.795147071997858E-62</v>
      </c>
      <c r="J273" s="26">
        <f>Ft!G$3*EXP(Ft!G$38*($A273-Ft!G$2)^2)</f>
        <v>1.6169947143088699E-247</v>
      </c>
    </row>
    <row r="274" spans="1:10">
      <c r="A274" s="19">
        <v>272</v>
      </c>
      <c r="B274" s="28">
        <v>44.505324269654693</v>
      </c>
      <c r="C274" s="27">
        <f ca="1">OFFSET($B274,1*(ROWS(C$2:C274)-1),0)</f>
        <v>15.507058607605018</v>
      </c>
      <c r="D274" s="26">
        <f>Ft!B$3*EXP(Ft!B$38*($A274-Ft!B$2)^2) +Ft!C$3*EXP(Ft!C$38*($A274-Ft!C$2)^2) + Ft!D$3*EXP(Ft!D$38*($A274-Ft!D$2)^2)+Ft!E$3*EXP(Ft!E$38*($A274-Ft!E$2)^2) +Ft!F$3*EXP(Ft!F$38*($A274-Ft!F$2)^2) + Ft!G$3*EXP(Ft!G$38*($A274-Ft!G$2)^2)</f>
        <v>12.43497219346045</v>
      </c>
      <c r="E274" s="26">
        <f>Ft!B$3*EXP(Ft!B$38*($A274-Ft!B$2)^2)</f>
        <v>2.1243255961831228E-28</v>
      </c>
      <c r="F274" s="26">
        <f>Ft!C$3*EXP(Ft!C$38*($A274-Ft!C$2)^2)</f>
        <v>2.146811507238866</v>
      </c>
      <c r="G274" s="26">
        <f>Ft!D$3*EXP(Ft!D$38*($A274-Ft!D$2)^2)</f>
        <v>10.280591685892778</v>
      </c>
      <c r="H274" s="26">
        <f>Ft!E$3*EXP(Ft!E$38*($A274-Ft!E$2)^2)</f>
        <v>7.5690003288052046E-3</v>
      </c>
      <c r="I274" s="26">
        <f>Ft!F$3*EXP(Ft!F$38*($A274-Ft!F$2)^2)</f>
        <v>4.1384632626131069E-62</v>
      </c>
      <c r="J274" s="26">
        <f>Ft!G$3*EXP(Ft!G$38*($A274-Ft!G$2)^2)</f>
        <v>7.0427736162357513E-247</v>
      </c>
    </row>
    <row r="275" spans="1:10">
      <c r="A275" s="19">
        <v>273</v>
      </c>
      <c r="B275" s="28">
        <v>44.705679309245738</v>
      </c>
      <c r="C275" s="27">
        <f ca="1">OFFSET($B275,1*(ROWS(C$2:C275)-1),0)</f>
        <v>15.097407080060833</v>
      </c>
      <c r="D275" s="26">
        <f>Ft!B$3*EXP(Ft!B$38*($A275-Ft!B$2)^2) +Ft!C$3*EXP(Ft!C$38*($A275-Ft!C$2)^2) + Ft!D$3*EXP(Ft!D$38*($A275-Ft!D$2)^2)+Ft!E$3*EXP(Ft!E$38*($A275-Ft!E$2)^2) +Ft!F$3*EXP(Ft!F$38*($A275-Ft!F$2)^2) + Ft!G$3*EXP(Ft!G$38*($A275-Ft!G$2)^2)</f>
        <v>12.456481355868581</v>
      </c>
      <c r="E275" s="26">
        <f>Ft!B$3*EXP(Ft!B$38*($A275-Ft!B$2)^2)</f>
        <v>1.1966241429059277E-28</v>
      </c>
      <c r="F275" s="26">
        <f>Ft!C$3*EXP(Ft!C$38*($A275-Ft!C$2)^2)</f>
        <v>2.1006494037300478</v>
      </c>
      <c r="G275" s="26">
        <f>Ft!D$3*EXP(Ft!D$38*($A275-Ft!D$2)^2)</f>
        <v>10.34805047545105</v>
      </c>
      <c r="H275" s="26">
        <f>Ft!E$3*EXP(Ft!E$38*($A275-Ft!E$2)^2)</f>
        <v>7.7814766874829281E-3</v>
      </c>
      <c r="I275" s="26">
        <f>Ft!F$3*EXP(Ft!F$38*($A275-Ft!F$2)^2)</f>
        <v>6.1240660078832964E-62</v>
      </c>
      <c r="J275" s="26">
        <f>Ft!G$3*EXP(Ft!G$38*($A275-Ft!G$2)^2)</f>
        <v>3.0616327156102339E-246</v>
      </c>
    </row>
    <row r="276" spans="1:10">
      <c r="A276" s="19">
        <v>274</v>
      </c>
      <c r="B276" s="28">
        <v>44.919079122290896</v>
      </c>
      <c r="C276" s="27">
        <f ca="1">OFFSET($B276,1*(ROWS(C$2:C276)-1),0)</f>
        <v>14.692284460500616</v>
      </c>
      <c r="D276" s="26">
        <f>Ft!B$3*EXP(Ft!B$38*($A276-Ft!B$2)^2) +Ft!C$3*EXP(Ft!C$38*($A276-Ft!C$2)^2) + Ft!D$3*EXP(Ft!D$38*($A276-Ft!D$2)^2)+Ft!E$3*EXP(Ft!E$38*($A276-Ft!E$2)^2) +Ft!F$3*EXP(Ft!F$38*($A276-Ft!F$2)^2) + Ft!G$3*EXP(Ft!G$38*($A276-Ft!G$2)^2)</f>
        <v>12.478723262928032</v>
      </c>
      <c r="E276" s="26">
        <f>Ft!B$3*EXP(Ft!B$38*($A276-Ft!B$2)^2)</f>
        <v>6.7235201373009044E-29</v>
      </c>
      <c r="F276" s="26">
        <f>Ft!C$3*EXP(Ft!C$38*($A276-Ft!C$2)^2)</f>
        <v>2.0551461832965563</v>
      </c>
      <c r="G276" s="26">
        <f>Ft!D$3*EXP(Ft!D$38*($A276-Ft!D$2)^2)</f>
        <v>10.415577564668215</v>
      </c>
      <c r="H276" s="26">
        <f>Ft!E$3*EXP(Ft!E$38*($A276-Ft!E$2)^2)</f>
        <v>7.9995149632590603E-3</v>
      </c>
      <c r="I276" s="26">
        <f>Ft!F$3*EXP(Ft!F$38*($A276-Ft!F$2)^2)</f>
        <v>9.0574707536330163E-62</v>
      </c>
      <c r="J276" s="26">
        <f>Ft!G$3*EXP(Ft!G$38*($A276-Ft!G$2)^2)</f>
        <v>1.3284239118698668E-245</v>
      </c>
    </row>
    <row r="277" spans="1:10">
      <c r="A277" s="19">
        <v>275</v>
      </c>
      <c r="B277" s="28">
        <v>45.116650043154948</v>
      </c>
      <c r="C277" s="27">
        <f ca="1">OFFSET($B277,1*(ROWS(C$2:C277)-1),0)</f>
        <v>14.273863731271319</v>
      </c>
      <c r="D277" s="26">
        <f>Ft!B$3*EXP(Ft!B$38*($A277-Ft!B$2)^2) +Ft!C$3*EXP(Ft!C$38*($A277-Ft!C$2)^2) + Ft!D$3*EXP(Ft!D$38*($A277-Ft!D$2)^2)+Ft!E$3*EXP(Ft!E$38*($A277-Ft!E$2)^2) +Ft!F$3*EXP(Ft!F$38*($A277-Ft!F$2)^2) + Ft!G$3*EXP(Ft!G$38*($A277-Ft!G$2)^2)</f>
        <v>12.501693967446185</v>
      </c>
      <c r="E277" s="26">
        <f>Ft!B$3*EXP(Ft!B$38*($A277-Ft!B$2)^2)</f>
        <v>3.7682345681101912E-29</v>
      </c>
      <c r="F277" s="26">
        <f>Ft!C$3*EXP(Ft!C$38*($A277-Ft!C$2)^2)</f>
        <v>2.0103021891414277</v>
      </c>
      <c r="G277" s="26">
        <f>Ft!D$3*EXP(Ft!D$38*($A277-Ft!D$2)^2)</f>
        <v>10.483168529561651</v>
      </c>
      <c r="H277" s="26">
        <f>Ft!E$3*EXP(Ft!E$38*($A277-Ft!E$2)^2)</f>
        <v>8.2232487431074322E-3</v>
      </c>
      <c r="I277" s="26">
        <f>Ft!F$3*EXP(Ft!F$38*($A277-Ft!F$2)^2)</f>
        <v>1.3388759369288921E-61</v>
      </c>
      <c r="J277" s="26">
        <f>Ft!G$3*EXP(Ft!G$38*($A277-Ft!G$2)^2)</f>
        <v>5.7530018253000394E-245</v>
      </c>
    </row>
    <row r="278" spans="1:10">
      <c r="A278" s="19">
        <v>276</v>
      </c>
      <c r="B278" s="28">
        <v>45.316940648405136</v>
      </c>
      <c r="C278" s="27">
        <f ca="1">OFFSET($B278,1*(ROWS(C$2:C278)-1),0)</f>
        <v>13.865480582505</v>
      </c>
      <c r="D278" s="26">
        <f>Ft!B$3*EXP(Ft!B$38*($A278-Ft!B$2)^2) +Ft!C$3*EXP(Ft!C$38*($A278-Ft!C$2)^2) + Ft!D$3*EXP(Ft!D$38*($A278-Ft!D$2)^2)+Ft!E$3*EXP(Ft!E$38*($A278-Ft!E$2)^2) +Ft!F$3*EXP(Ft!F$38*($A278-Ft!F$2)^2) + Ft!G$3*EXP(Ft!G$38*($A278-Ft!G$2)^2)</f>
        <v>12.525389164353715</v>
      </c>
      <c r="E278" s="26">
        <f>Ft!B$3*EXP(Ft!B$38*($A278-Ft!B$2)^2)</f>
        <v>2.1065967936702877E-29</v>
      </c>
      <c r="F278" s="26">
        <f>Ft!C$3*EXP(Ft!C$38*($A278-Ft!C$2)^2)</f>
        <v>1.9661174394216712</v>
      </c>
      <c r="G278" s="26">
        <f>Ft!D$3*EXP(Ft!D$38*($A278-Ft!D$2)^2)</f>
        <v>10.550818910450502</v>
      </c>
      <c r="H278" s="26">
        <f>Ft!E$3*EXP(Ft!E$38*($A278-Ft!E$2)^2)</f>
        <v>8.4528144815420002E-3</v>
      </c>
      <c r="I278" s="26">
        <f>Ft!F$3*EXP(Ft!F$38*($A278-Ft!F$2)^2)</f>
        <v>1.9780626864018063E-61</v>
      </c>
      <c r="J278" s="26">
        <f>Ft!G$3*EXP(Ft!G$38*($A278-Ft!G$2)^2)</f>
        <v>2.4867181964390067E-244</v>
      </c>
    </row>
    <row r="279" spans="1:10">
      <c r="A279" s="19">
        <v>277</v>
      </c>
      <c r="B279" s="28">
        <v>45.519996145658808</v>
      </c>
      <c r="C279" s="27">
        <f ca="1">OFFSET($B279,1*(ROWS(C$2:C279)-1),0)</f>
        <v>13.471934130958971</v>
      </c>
      <c r="D279" s="26">
        <f>Ft!B$3*EXP(Ft!B$38*($A279-Ft!B$2)^2) +Ft!C$3*EXP(Ft!C$38*($A279-Ft!C$2)^2) + Ft!D$3*EXP(Ft!D$38*($A279-Ft!D$2)^2)+Ft!E$3*EXP(Ft!E$38*($A279-Ft!E$2)^2) +Ft!F$3*EXP(Ft!F$38*($A279-Ft!F$2)^2) + Ft!G$3*EXP(Ft!G$38*($A279-Ft!G$2)^2)</f>
        <v>12.549804198249022</v>
      </c>
      <c r="E279" s="26">
        <f>Ft!B$3*EXP(Ft!B$38*($A279-Ft!B$2)^2)</f>
        <v>1.1747005676738317E-29</v>
      </c>
      <c r="F279" s="26">
        <f>Ft!C$3*EXP(Ft!C$38*($A279-Ft!C$2)^2)</f>
        <v>1.9225916343288409</v>
      </c>
      <c r="G279" s="26">
        <f>Ft!D$3*EXP(Ft!D$38*($A279-Ft!D$2)^2)</f>
        <v>10.618524212367223</v>
      </c>
      <c r="H279" s="26">
        <f>Ft!E$3*EXP(Ft!E$38*($A279-Ft!E$2)^2)</f>
        <v>8.6883515529583687E-3</v>
      </c>
      <c r="I279" s="26">
        <f>Ft!F$3*EXP(Ft!F$38*($A279-Ft!F$2)^2)</f>
        <v>2.9208286745613688E-61</v>
      </c>
      <c r="J279" s="26">
        <f>Ft!G$3*EXP(Ft!G$38*($A279-Ft!G$2)^2)</f>
        <v>1.0728348329642561E-243</v>
      </c>
    </row>
    <row r="280" spans="1:10">
      <c r="A280" s="19">
        <v>278</v>
      </c>
      <c r="B280" s="28">
        <v>45.727465960365095</v>
      </c>
      <c r="C280" s="27">
        <f ca="1">OFFSET($B280,1*(ROWS(C$2:C280)-1),0)</f>
        <v>13.053026659486818</v>
      </c>
      <c r="D280" s="26">
        <f>Ft!B$3*EXP(Ft!B$38*($A280-Ft!B$2)^2) +Ft!C$3*EXP(Ft!C$38*($A280-Ft!C$2)^2) + Ft!D$3*EXP(Ft!D$38*($A280-Ft!D$2)^2)+Ft!E$3*EXP(Ft!E$38*($A280-Ft!E$2)^2) +Ft!F$3*EXP(Ft!F$38*($A280-Ft!F$2)^2) + Ft!G$3*EXP(Ft!G$38*($A280-Ft!G$2)^2)</f>
        <v>12.57493407105266</v>
      </c>
      <c r="E280" s="26">
        <f>Ft!B$3*EXP(Ft!B$38*($A280-Ft!B$2)^2)</f>
        <v>6.5339410010600948E-30</v>
      </c>
      <c r="F280" s="26">
        <f>Ft!C$3*EXP(Ft!C$38*($A280-Ft!C$2)^2)</f>
        <v>1.8797241632698269</v>
      </c>
      <c r="G280" s="26">
        <f>Ft!D$3*EXP(Ft!D$38*($A280-Ft!D$2)^2)</f>
        <v>10.686279905478139</v>
      </c>
      <c r="H280" s="26">
        <f>Ft!E$3*EXP(Ft!E$38*($A280-Ft!E$2)^2)</f>
        <v>8.9300023046927669E-3</v>
      </c>
      <c r="I280" s="26">
        <f>Ft!F$3*EXP(Ft!F$38*($A280-Ft!F$2)^2)</f>
        <v>4.3106070514126589E-61</v>
      </c>
      <c r="J280" s="26">
        <f>Ft!G$3*EXP(Ft!G$38*($A280-Ft!G$2)^2)</f>
        <v>4.6196959436332187E-243</v>
      </c>
    </row>
    <row r="281" spans="1:10">
      <c r="A281" s="19">
        <v>279</v>
      </c>
      <c r="B281" s="28">
        <v>45.911822018396492</v>
      </c>
      <c r="C281" s="27">
        <f ca="1">OFFSET($B281,1*(ROWS(C$2:C281)-1),0)</f>
        <v>12.626010003957106</v>
      </c>
      <c r="D281" s="26">
        <f>Ft!B$3*EXP(Ft!B$38*($A281-Ft!B$2)^2) +Ft!C$3*EXP(Ft!C$38*($A281-Ft!C$2)^2) + Ft!D$3*EXP(Ft!D$38*($A281-Ft!D$2)^2)+Ft!E$3*EXP(Ft!E$38*($A281-Ft!E$2)^2) +Ft!F$3*EXP(Ft!F$38*($A281-Ft!F$2)^2) + Ft!G$3*EXP(Ft!G$38*($A281-Ft!G$2)^2)</f>
        <v>12.600773449762535</v>
      </c>
      <c r="E281" s="26">
        <f>Ft!B$3*EXP(Ft!B$38*($A281-Ft!B$2)^2)</f>
        <v>3.6251460564395779E-30</v>
      </c>
      <c r="F281" s="26">
        <f>Ft!C$3*EXP(Ft!C$38*($A281-Ft!C$2)^2)</f>
        <v>1.8375141121387357</v>
      </c>
      <c r="G281" s="26">
        <f>Ft!D$3*EXP(Ft!D$38*($A281-Ft!D$2)^2)</f>
        <v>10.754081425512997</v>
      </c>
      <c r="H281" s="26">
        <f>Ft!E$3*EXP(Ft!E$38*($A281-Ft!E$2)^2)</f>
        <v>9.1779121108022284E-3</v>
      </c>
      <c r="I281" s="26">
        <f>Ft!F$3*EXP(Ft!F$38*($A281-Ft!F$2)^2)</f>
        <v>6.3582427541546243E-61</v>
      </c>
      <c r="J281" s="26">
        <f>Ft!G$3*EXP(Ft!G$38*($A281-Ft!G$2)^2)</f>
        <v>1.9854920476429233E-242</v>
      </c>
    </row>
    <row r="282" spans="1:10">
      <c r="A282" s="19">
        <v>280</v>
      </c>
      <c r="B282" s="28">
        <v>46.095295073247314</v>
      </c>
      <c r="C282" s="27">
        <f ca="1">OFFSET($B282,1*(ROWS(C$2:C282)-1),0)</f>
        <v>12.205130534359682</v>
      </c>
      <c r="D282" s="26">
        <f>Ft!B$3*EXP(Ft!B$38*($A282-Ft!B$2)^2) +Ft!C$3*EXP(Ft!C$38*($A282-Ft!C$2)^2) + Ft!D$3*EXP(Ft!D$38*($A282-Ft!D$2)^2)+Ft!E$3*EXP(Ft!E$38*($A282-Ft!E$2)^2) +Ft!F$3*EXP(Ft!F$38*($A282-Ft!F$2)^2) + Ft!G$3*EXP(Ft!G$38*($A282-Ft!G$2)^2)</f>
        <v>12.627316674300904</v>
      </c>
      <c r="E282" s="26">
        <f>Ft!B$3*EXP(Ft!B$38*($A282-Ft!B$2)^2)</f>
        <v>2.0062178002401662E-30</v>
      </c>
      <c r="F282" s="26">
        <f>Ft!C$3*EXP(Ft!C$38*($A282-Ft!C$2)^2)</f>
        <v>1.7959602706708531</v>
      </c>
      <c r="G282" s="26">
        <f>Ft!D$3*EXP(Ft!D$38*($A282-Ft!D$2)^2)</f>
        <v>10.821924174203481</v>
      </c>
      <c r="H282" s="26">
        <f>Ft!E$3*EXP(Ft!E$38*($A282-Ft!E$2)^2)</f>
        <v>9.4322294265696098E-3</v>
      </c>
      <c r="I282" s="26">
        <f>Ft!F$3*EXP(Ft!F$38*($A282-Ft!F$2)^2)</f>
        <v>9.3735066872239151E-61</v>
      </c>
      <c r="J282" s="26">
        <f>Ft!G$3*EXP(Ft!G$38*($A282-Ft!G$2)^2)</f>
        <v>8.5172058669257691E-242</v>
      </c>
    </row>
    <row r="283" spans="1:10">
      <c r="A283" s="19">
        <v>281</v>
      </c>
      <c r="B283" s="28">
        <v>46.25660378396384</v>
      </c>
      <c r="C283" s="27">
        <f ca="1">OFFSET($B283,1*(ROWS(C$2:C283)-1),0)</f>
        <v>11.760402279798257</v>
      </c>
      <c r="D283" s="26">
        <f>Ft!B$3*EXP(Ft!B$38*($A283-Ft!B$2)^2) +Ft!C$3*EXP(Ft!C$38*($A283-Ft!C$2)^2) + Ft!D$3*EXP(Ft!D$38*($A283-Ft!D$2)^2)+Ft!E$3*EXP(Ft!E$38*($A283-Ft!E$2)^2) +Ft!F$3*EXP(Ft!F$38*($A283-Ft!F$2)^2) + Ft!G$3*EXP(Ft!G$38*($A283-Ft!G$2)^2)</f>
        <v>12.65455776544413</v>
      </c>
      <c r="E283" s="26">
        <f>Ft!B$3*EXP(Ft!B$38*($A283-Ft!B$2)^2)</f>
        <v>1.1074724214019042E-30</v>
      </c>
      <c r="F283" s="26">
        <f>Ft!C$3*EXP(Ft!C$38*($A283-Ft!C$2)^2)</f>
        <v>1.75506113986976</v>
      </c>
      <c r="G283" s="26">
        <f>Ft!D$3*EXP(Ft!D$38*($A283-Ft!D$2)^2)</f>
        <v>10.889803519730634</v>
      </c>
      <c r="H283" s="26">
        <f>Ft!E$3*EXP(Ft!E$38*($A283-Ft!E$2)^2)</f>
        <v>9.6931058437368343E-3</v>
      </c>
      <c r="I283" s="26">
        <f>Ft!F$3*EXP(Ft!F$38*($A283-Ft!F$2)^2)</f>
        <v>1.3811263167527149E-60</v>
      </c>
      <c r="J283" s="26">
        <f>Ft!G$3*EXP(Ft!G$38*($A283-Ft!G$2)^2)</f>
        <v>3.6467027978036571E-241</v>
      </c>
    </row>
    <row r="284" spans="1:10">
      <c r="A284" s="19">
        <v>282</v>
      </c>
      <c r="B284" s="28">
        <v>46.427428060986159</v>
      </c>
      <c r="C284" s="27">
        <f ca="1">OFFSET($B284,1*(ROWS(C$2:C284)-1),0)</f>
        <v>11.296225708633585</v>
      </c>
      <c r="D284" s="26">
        <f>Ft!B$3*EXP(Ft!B$38*($A284-Ft!B$2)^2) +Ft!C$3*EXP(Ft!C$38*($A284-Ft!C$2)^2) + Ft!D$3*EXP(Ft!D$38*($A284-Ft!D$2)^2)+Ft!E$3*EXP(Ft!E$38*($A284-Ft!E$2)^2) +Ft!F$3*EXP(Ft!F$38*($A284-Ft!F$2)^2) + Ft!G$3*EXP(Ft!G$38*($A284-Ft!G$2)^2)</f>
        <v>12.68249043282646</v>
      </c>
      <c r="E284" s="26">
        <f>Ft!B$3*EXP(Ft!B$38*($A284-Ft!B$2)^2)</f>
        <v>6.0980366619029516E-31</v>
      </c>
      <c r="F284" s="26">
        <f>Ft!C$3*EXP(Ft!C$38*($A284-Ft!C$2)^2)</f>
        <v>1.7148149394988179</v>
      </c>
      <c r="G284" s="26">
        <f>Ft!D$3*EXP(Ft!D$38*($A284-Ft!D$2)^2)</f>
        <v>10.957714797181174</v>
      </c>
      <c r="H284" s="26">
        <f>Ft!E$3*EXP(Ft!E$38*($A284-Ft!E$2)^2)</f>
        <v>9.96069614646981E-3</v>
      </c>
      <c r="I284" s="26">
        <f>Ft!F$3*EXP(Ft!F$38*($A284-Ft!F$2)^2)</f>
        <v>2.0339066967185469E-60</v>
      </c>
      <c r="J284" s="26">
        <f>Ft!G$3*EXP(Ft!G$38*($A284-Ft!G$2)^2)</f>
        <v>1.558396014809809E-240</v>
      </c>
    </row>
    <row r="285" spans="1:10">
      <c r="A285" s="19">
        <v>283</v>
      </c>
      <c r="B285" s="28">
        <v>46.555420674615846</v>
      </c>
      <c r="C285" s="27">
        <f ca="1">OFFSET($B285,1*(ROWS(C$2:C285)-1),0)</f>
        <v>10.897232741333823</v>
      </c>
      <c r="D285" s="26">
        <f>Ft!B$3*EXP(Ft!B$38*($A285-Ft!B$2)^2) +Ft!C$3*EXP(Ft!C$38*($A285-Ft!C$2)^2) + Ft!D$3*EXP(Ft!D$38*($A285-Ft!D$2)^2)+Ft!E$3*EXP(Ft!E$38*($A285-Ft!E$2)^2) +Ft!F$3*EXP(Ft!F$38*($A285-Ft!F$2)^2) + Ft!G$3*EXP(Ft!G$38*($A285-Ft!G$2)^2)</f>
        <v>12.711108083009041</v>
      </c>
      <c r="E285" s="26">
        <f>Ft!B$3*EXP(Ft!B$38*($A285-Ft!B$2)^2)</f>
        <v>3.3492642377128697E-31</v>
      </c>
      <c r="F285" s="26">
        <f>Ft!C$3*EXP(Ft!C$38*($A285-Ft!C$2)^2)</f>
        <v>1.675219615628353</v>
      </c>
      <c r="G285" s="26">
        <f>Ft!D$3*EXP(Ft!D$38*($A285-Ft!D$2)^2)</f>
        <v>11.025653309012631</v>
      </c>
      <c r="H285" s="26">
        <f>Ft!E$3*EXP(Ft!E$38*($A285-Ft!E$2)^2)</f>
        <v>1.023515836805796E-2</v>
      </c>
      <c r="I285" s="26">
        <f>Ft!F$3*EXP(Ft!F$38*($A285-Ft!F$2)^2)</f>
        <v>2.9936082733577268E-60</v>
      </c>
      <c r="J285" s="26">
        <f>Ft!G$3*EXP(Ft!G$38*($A285-Ft!G$2)^2)</f>
        <v>6.6470588016835926E-240</v>
      </c>
    </row>
    <row r="286" spans="1:10">
      <c r="A286" s="19">
        <v>284</v>
      </c>
      <c r="B286" s="28">
        <v>46.681655639424719</v>
      </c>
      <c r="C286" s="27">
        <f ca="1">OFFSET($B286,1*(ROWS(C$2:C286)-1),0)</f>
        <v>10.506295649836488</v>
      </c>
      <c r="D286" s="26">
        <f>Ft!B$3*EXP(Ft!B$38*($A286-Ft!B$2)^2) +Ft!C$3*EXP(Ft!C$38*($A286-Ft!C$2)^2) + Ft!D$3*EXP(Ft!D$38*($A286-Ft!D$2)^2)+Ft!E$3*EXP(Ft!E$38*($A286-Ft!E$2)^2) +Ft!F$3*EXP(Ft!F$38*($A286-Ft!F$2)^2) + Ft!G$3*EXP(Ft!G$38*($A286-Ft!G$2)^2)</f>
        <v>12.740403827605629</v>
      </c>
      <c r="E286" s="26">
        <f>Ft!B$3*EXP(Ft!B$38*($A286-Ft!B$2)^2)</f>
        <v>1.8348943510592195E-31</v>
      </c>
      <c r="F286" s="26">
        <f>Ft!C$3*EXP(Ft!C$38*($A286-Ft!C$2)^2)</f>
        <v>1.6362728482299917</v>
      </c>
      <c r="G286" s="26">
        <f>Ft!D$3*EXP(Ft!D$38*($A286-Ft!D$2)^2)</f>
        <v>11.093614325527286</v>
      </c>
      <c r="H286" s="26">
        <f>Ft!E$3*EXP(Ft!E$38*($A286-Ft!E$2)^2)</f>
        <v>1.0516653848351619E-2</v>
      </c>
      <c r="I286" s="26">
        <f>Ft!F$3*EXP(Ft!F$38*($A286-Ft!F$2)^2)</f>
        <v>4.4037761299593554E-60</v>
      </c>
      <c r="J286" s="26">
        <f>Ft!G$3*EXP(Ft!G$38*($A286-Ft!G$2)^2)</f>
        <v>2.8297980661007489E-239</v>
      </c>
    </row>
    <row r="287" spans="1:10">
      <c r="A287" s="19">
        <v>285</v>
      </c>
      <c r="B287" s="28">
        <v>46.802011425425519</v>
      </c>
      <c r="C287" s="27">
        <f ca="1">OFFSET($B287,1*(ROWS(C$2:C287)-1),0)</f>
        <v>10.141444825596807</v>
      </c>
      <c r="D287" s="26">
        <f>Ft!B$3*EXP(Ft!B$38*($A287-Ft!B$2)^2) +Ft!C$3*EXP(Ft!C$38*($A287-Ft!C$2)^2) + Ft!D$3*EXP(Ft!D$38*($A287-Ft!D$2)^2)+Ft!E$3*EXP(Ft!E$38*($A287-Ft!E$2)^2) +Ft!F$3*EXP(Ft!F$38*($A287-Ft!F$2)^2) + Ft!G$3*EXP(Ft!G$38*($A287-Ft!G$2)^2)</f>
        <v>12.770370491456557</v>
      </c>
      <c r="E287" s="26">
        <f>Ft!B$3*EXP(Ft!B$38*($A287-Ft!B$2)^2)</f>
        <v>1.0027091667845891E-31</v>
      </c>
      <c r="F287" s="26">
        <f>Ft!C$3*EXP(Ft!C$38*($A287-Ft!C$2)^2)</f>
        <v>1.5979720588097723</v>
      </c>
      <c r="G287" s="26">
        <f>Ft!D$3*EXP(Ft!D$38*($A287-Ft!D$2)^2)</f>
        <v>11.161593085354845</v>
      </c>
      <c r="H287" s="26">
        <f>Ft!E$3*EXP(Ft!E$38*($A287-Ft!E$2)^2)</f>
        <v>1.0805347291939729E-2</v>
      </c>
      <c r="I287" s="26">
        <f>Ft!F$3*EXP(Ft!F$38*($A287-Ft!F$2)^2)</f>
        <v>6.4747322591012666E-60</v>
      </c>
      <c r="J287" s="26">
        <f>Ft!G$3*EXP(Ft!G$38*($A287-Ft!G$2)^2)</f>
        <v>1.2024183718783157E-238</v>
      </c>
    </row>
    <row r="288" spans="1:10">
      <c r="A288" s="19">
        <v>286</v>
      </c>
      <c r="B288" s="28">
        <v>46.931584327113484</v>
      </c>
      <c r="C288" s="27">
        <f ca="1">OFFSET($B288,1*(ROWS(C$2:C288)-1),0)</f>
        <v>9.7288480790247718</v>
      </c>
      <c r="D288" s="26">
        <f>Ft!B$3*EXP(Ft!B$38*($A288-Ft!B$2)^2) +Ft!C$3*EXP(Ft!C$38*($A288-Ft!C$2)^2) + Ft!D$3*EXP(Ft!D$38*($A288-Ft!D$2)^2)+Ft!E$3*EXP(Ft!E$38*($A288-Ft!E$2)^2) +Ft!F$3*EXP(Ft!F$38*($A288-Ft!F$2)^2) + Ft!G$3*EXP(Ft!G$38*($A288-Ft!G$2)^2)</f>
        <v>12.801000620842668</v>
      </c>
      <c r="E288" s="26">
        <f>Ft!B$3*EXP(Ft!B$38*($A288-Ft!B$2)^2)</f>
        <v>5.465641939570986E-32</v>
      </c>
      <c r="F288" s="26">
        <f>Ft!C$3*EXP(Ft!C$38*($A288-Ft!C$2)^2)</f>
        <v>1.5603144180717754</v>
      </c>
      <c r="G288" s="26">
        <f>Ft!D$3*EXP(Ft!D$38*($A288-Ft!D$2)^2)</f>
        <v>11.229584795943824</v>
      </c>
      <c r="H288" s="26">
        <f>Ft!E$3*EXP(Ft!E$38*($A288-Ft!E$2)^2)</f>
        <v>1.1101406827070717E-2</v>
      </c>
      <c r="I288" s="26">
        <f>Ft!F$3*EXP(Ft!F$38*($A288-Ft!F$2)^2)</f>
        <v>9.5144724758575164E-60</v>
      </c>
      <c r="J288" s="26">
        <f>Ft!G$3*EXP(Ft!G$38*($A288-Ft!G$2)^2)</f>
        <v>5.099528157328892E-238</v>
      </c>
    </row>
    <row r="289" spans="1:10">
      <c r="A289" s="19">
        <v>287</v>
      </c>
      <c r="B289" s="28">
        <v>47.055527682790569</v>
      </c>
      <c r="C289" s="27">
        <f ca="1">OFFSET($B289,1*(ROWS(C$2:C289)-1),0)</f>
        <v>9.403741790189116</v>
      </c>
      <c r="D289" s="26">
        <f>Ft!B$3*EXP(Ft!B$38*($A289-Ft!B$2)^2) +Ft!C$3*EXP(Ft!C$38*($A289-Ft!C$2)^2) + Ft!D$3*EXP(Ft!D$38*($A289-Ft!D$2)^2)+Ft!E$3*EXP(Ft!E$38*($A289-Ft!E$2)^2) +Ft!F$3*EXP(Ft!F$38*($A289-Ft!F$2)^2) + Ft!G$3*EXP(Ft!G$38*($A289-Ft!G$2)^2)</f>
        <v>12.832286491731034</v>
      </c>
      <c r="E289" s="26">
        <f>Ft!B$3*EXP(Ft!B$38*($A289-Ft!B$2)^2)</f>
        <v>2.9717319893028666E-32</v>
      </c>
      <c r="F289" s="26">
        <f>Ft!C$3*EXP(Ft!C$38*($A289-Ft!C$2)^2)</f>
        <v>1.5232968536041875</v>
      </c>
      <c r="G289" s="26">
        <f>Ft!D$3*EXP(Ft!D$38*($A289-Ft!D$2)^2)</f>
        <v>11.297584634061527</v>
      </c>
      <c r="H289" s="26">
        <f>Ft!E$3*EXP(Ft!E$38*($A289-Ft!E$2)^2)</f>
        <v>1.1405004065318684E-2</v>
      </c>
      <c r="I289" s="26">
        <f>Ft!F$3*EXP(Ft!F$38*($A289-Ft!F$2)^2)</f>
        <v>1.3973780993079925E-59</v>
      </c>
      <c r="J289" s="26">
        <f>Ft!G$3*EXP(Ft!G$38*($A289-Ft!G$2)^2)</f>
        <v>2.1586320355370554E-237</v>
      </c>
    </row>
    <row r="290" spans="1:10">
      <c r="A290" s="19">
        <v>288</v>
      </c>
      <c r="B290" s="28">
        <v>47.167427282568724</v>
      </c>
      <c r="C290" s="27">
        <f ca="1">OFFSET($B290,1*(ROWS(C$2:C290)-1),0)</f>
        <v>9.1299562006545898</v>
      </c>
      <c r="D290" s="26">
        <f>Ft!B$3*EXP(Ft!B$38*($A290-Ft!B$2)^2) +Ft!C$3*EXP(Ft!C$38*($A290-Ft!C$2)^2) + Ft!D$3*EXP(Ft!D$38*($A290-Ft!D$2)^2)+Ft!E$3*EXP(Ft!E$38*($A290-Ft!E$2)^2) +Ft!F$3*EXP(Ft!F$38*($A290-Ft!F$2)^2) + Ft!G$3*EXP(Ft!G$38*($A290-Ft!G$2)^2)</f>
        <v>12.86422011804456</v>
      </c>
      <c r="E290" s="26">
        <f>Ft!B$3*EXP(Ft!B$38*($A290-Ft!B$2)^2)</f>
        <v>1.6116857706651344E-32</v>
      </c>
      <c r="F290" s="26">
        <f>Ft!C$3*EXP(Ft!C$38*($A290-Ft!C$2)^2)</f>
        <v>1.4869160575798821</v>
      </c>
      <c r="G290" s="26">
        <f>Ft!D$3*EXP(Ft!D$38*($A290-Ft!D$2)^2)</f>
        <v>11.365587746302682</v>
      </c>
      <c r="H290" s="26">
        <f>Ft!E$3*EXP(Ft!E$38*($A290-Ft!E$2)^2)</f>
        <v>1.1716314161997508E-2</v>
      </c>
      <c r="I290" s="26">
        <f>Ft!F$3*EXP(Ft!F$38*($A290-Ft!F$2)^2)</f>
        <v>2.0512069023359703E-59</v>
      </c>
      <c r="J290" s="26">
        <f>Ft!G$3*EXP(Ft!G$38*($A290-Ft!G$2)^2)</f>
        <v>9.1201393665141337E-237</v>
      </c>
    </row>
    <row r="291" spans="1:10">
      <c r="A291" s="19">
        <v>289</v>
      </c>
      <c r="B291" s="28">
        <v>47.297613390502192</v>
      </c>
      <c r="C291" s="27">
        <f ca="1">OFFSET($B291,1*(ROWS(C$2:C291)-1),0)</f>
        <v>8.8866553598045641</v>
      </c>
      <c r="D291" s="26">
        <f>Ft!B$3*EXP(Ft!B$38*($A291-Ft!B$2)^2) +Ft!C$3*EXP(Ft!C$38*($A291-Ft!C$2)^2) + Ft!D$3*EXP(Ft!D$38*($A291-Ft!D$2)^2)+Ft!E$3*EXP(Ft!E$38*($A291-Ft!E$2)^2) +Ft!F$3*EXP(Ft!F$38*($A291-Ft!F$2)^2) + Ft!G$3*EXP(Ft!G$38*($A291-Ft!G$2)^2)</f>
        <v>12.896793259947614</v>
      </c>
      <c r="E291" s="26">
        <f>Ft!B$3*EXP(Ft!B$38*($A291-Ft!B$2)^2)</f>
        <v>8.7187329201204089E-33</v>
      </c>
      <c r="F291" s="26">
        <f>Ft!C$3*EXP(Ft!C$38*($A291-Ft!C$2)^2)</f>
        <v>1.4511684944637504</v>
      </c>
      <c r="G291" s="26">
        <f>Ft!D$3*EXP(Ft!D$38*($A291-Ft!D$2)^2)</f>
        <v>11.433589249606539</v>
      </c>
      <c r="H291" s="26">
        <f>Ft!E$3*EXP(Ft!E$38*($A291-Ft!E$2)^2)</f>
        <v>1.2035515877324267E-2</v>
      </c>
      <c r="I291" s="26">
        <f>Ft!F$3*EXP(Ft!F$38*($A291-Ft!F$2)^2)</f>
        <v>3.0093404631436246E-59</v>
      </c>
      <c r="J291" s="26">
        <f>Ft!G$3*EXP(Ft!G$38*($A291-Ft!G$2)^2)</f>
        <v>3.8459051116021152E-236</v>
      </c>
    </row>
    <row r="292" spans="1:10">
      <c r="A292" s="19">
        <v>290</v>
      </c>
      <c r="B292" s="28">
        <v>47.417087667751957</v>
      </c>
      <c r="C292" s="27">
        <f ca="1">OFFSET($B292,1*(ROWS(C$2:C292)-1),0)</f>
        <v>8.6865705767644101</v>
      </c>
      <c r="D292" s="26">
        <f>Ft!B$3*EXP(Ft!B$38*($A292-Ft!B$2)^2) +Ft!C$3*EXP(Ft!C$38*($A292-Ft!C$2)^2) + Ft!D$3*EXP(Ft!D$38*($A292-Ft!D$2)^2)+Ft!E$3*EXP(Ft!E$38*($A292-Ft!E$2)^2) +Ft!F$3*EXP(Ft!F$38*($A292-Ft!F$2)^2) + Ft!G$3*EXP(Ft!G$38*($A292-Ft!G$2)^2)</f>
        <v>12.929997432140018</v>
      </c>
      <c r="E292" s="26">
        <f>Ft!B$3*EXP(Ft!B$38*($A292-Ft!B$2)^2)</f>
        <v>4.7046643766010758E-33</v>
      </c>
      <c r="F292" s="26">
        <f>Ft!C$3*EXP(Ft!C$38*($A292-Ft!C$2)^2)</f>
        <v>1.4160504087192189</v>
      </c>
      <c r="G292" s="26">
        <f>Ft!D$3*EXP(Ft!D$38*($A292-Ft!D$2)^2)</f>
        <v>11.501584231782465</v>
      </c>
      <c r="H292" s="26">
        <f>Ft!E$3*EXP(Ft!E$38*($A292-Ft!E$2)^2)</f>
        <v>1.2362791638334357E-2</v>
      </c>
      <c r="I292" s="26">
        <f>Ft!F$3*EXP(Ft!F$38*($A292-Ft!F$2)^2)</f>
        <v>4.4126501712321457E-59</v>
      </c>
      <c r="J292" s="26">
        <f>Ft!G$3*EXP(Ft!G$38*($A292-Ft!G$2)^2)</f>
        <v>1.6187131240534285E-235</v>
      </c>
    </row>
    <row r="293" spans="1:10">
      <c r="A293" s="19">
        <v>291</v>
      </c>
      <c r="B293" s="28">
        <v>47.5053881276543</v>
      </c>
      <c r="C293" s="27">
        <f ca="1">OFFSET($B293,1*(ROWS(C$2:C293)-1),0)</f>
        <v>8.4965434086334994</v>
      </c>
      <c r="D293" s="26">
        <f>Ft!B$3*EXP(Ft!B$38*($A293-Ft!B$2)^2) +Ft!C$3*EXP(Ft!C$38*($A293-Ft!C$2)^2) + Ft!D$3*EXP(Ft!D$38*($A293-Ft!D$2)^2)+Ft!E$3*EXP(Ft!E$38*($A293-Ft!E$2)^2) +Ft!F$3*EXP(Ft!F$38*($A293-Ft!F$2)^2) + Ft!G$3*EXP(Ft!G$38*($A293-Ft!G$2)^2)</f>
        <v>12.963823912152035</v>
      </c>
      <c r="E293" s="26">
        <f>Ft!B$3*EXP(Ft!B$38*($A293-Ft!B$2)^2)</f>
        <v>2.5322477272276728E-33</v>
      </c>
      <c r="F293" s="26">
        <f>Ft!C$3*EXP(Ft!C$38*($A293-Ft!C$2)^2)</f>
        <v>1.3815578325065472</v>
      </c>
      <c r="G293" s="26">
        <f>Ft!D$3*EXP(Ft!D$38*($A293-Ft!D$2)^2)</f>
        <v>11.569567752043938</v>
      </c>
      <c r="H293" s="26">
        <f>Ft!E$3*EXP(Ft!E$38*($A293-Ft!E$2)^2)</f>
        <v>1.2698327601549429E-2</v>
      </c>
      <c r="I293" s="26">
        <f>Ft!F$3*EXP(Ft!F$38*($A293-Ft!F$2)^2)</f>
        <v>6.4668679206928575E-59</v>
      </c>
      <c r="J293" s="26">
        <f>Ft!G$3*EXP(Ft!G$38*($A293-Ft!G$2)^2)</f>
        <v>6.8001022633705005E-235</v>
      </c>
    </row>
    <row r="294" spans="1:10">
      <c r="A294" s="19">
        <v>292</v>
      </c>
      <c r="B294" s="28">
        <v>47.575802466907845</v>
      </c>
      <c r="C294" s="27">
        <f ca="1">OFFSET($B294,1*(ROWS(C$2:C294)-1),0)</f>
        <v>8.3536964811592611</v>
      </c>
      <c r="D294" s="26">
        <f>Ft!B$3*EXP(Ft!B$38*($A294-Ft!B$2)^2) +Ft!C$3*EXP(Ft!C$38*($A294-Ft!C$2)^2) + Ft!D$3*EXP(Ft!D$38*($A294-Ft!D$2)^2)+Ft!E$3*EXP(Ft!E$38*($A294-Ft!E$2)^2) +Ft!F$3*EXP(Ft!F$38*($A294-Ft!F$2)^2) + Ft!G$3*EXP(Ft!G$38*($A294-Ft!G$2)^2)</f>
        <v>12.998263748632981</v>
      </c>
      <c r="E294" s="26">
        <f>Ft!B$3*EXP(Ft!B$38*($A294-Ft!B$2)^2)</f>
        <v>1.3595212595789608E-33</v>
      </c>
      <c r="F294" s="26">
        <f>Ft!C$3*EXP(Ft!C$38*($A294-Ft!C$2)^2)</f>
        <v>1.347686593365693</v>
      </c>
      <c r="G294" s="26">
        <f>Ft!D$3*EXP(Ft!D$38*($A294-Ft!D$2)^2)</f>
        <v>11.637534841550888</v>
      </c>
      <c r="H294" s="26">
        <f>Ft!E$3*EXP(Ft!E$38*($A294-Ft!E$2)^2)</f>
        <v>1.3042313716399618E-2</v>
      </c>
      <c r="I294" s="26">
        <f>Ft!F$3*EXP(Ft!F$38*($A294-Ft!F$2)^2)</f>
        <v>9.4722859917850531E-59</v>
      </c>
      <c r="J294" s="26">
        <f>Ft!G$3*EXP(Ft!G$38*($A294-Ft!G$2)^2)</f>
        <v>2.8512495711455933E-234</v>
      </c>
    </row>
    <row r="295" spans="1:10">
      <c r="A295" s="19">
        <v>293</v>
      </c>
      <c r="B295" s="28">
        <v>47.659015172282437</v>
      </c>
      <c r="C295" s="27">
        <f ca="1">OFFSET($B295,1*(ROWS(C$2:C295)-1),0)</f>
        <v>8.2190457204678466</v>
      </c>
      <c r="D295" s="26">
        <f>Ft!B$3*EXP(Ft!B$38*($A295-Ft!B$2)^2) +Ft!C$3*EXP(Ft!C$38*($A295-Ft!C$2)^2) + Ft!D$3*EXP(Ft!D$38*($A295-Ft!D$2)^2)+Ft!E$3*EXP(Ft!E$38*($A295-Ft!E$2)^2) +Ft!F$3*EXP(Ft!F$38*($A295-Ft!F$2)^2) + Ft!G$3*EXP(Ft!G$38*($A295-Ft!G$2)^2)</f>
        <v>13.033307769626438</v>
      </c>
      <c r="E295" s="26">
        <f>Ft!B$3*EXP(Ft!B$38*($A295-Ft!B$2)^2)</f>
        <v>7.2806153465465683E-34</v>
      </c>
      <c r="F295" s="26">
        <f>Ft!C$3*EXP(Ft!C$38*($A295-Ft!C$2)^2)</f>
        <v>1.3144323218767371</v>
      </c>
      <c r="G295" s="26">
        <f>Ft!D$3*EXP(Ft!D$38*($A295-Ft!D$2)^2)</f>
        <v>11.705480503960299</v>
      </c>
      <c r="H295" s="26">
        <f>Ft!E$3*EXP(Ft!E$38*($A295-Ft!E$2)^2)</f>
        <v>1.3394943789401356E-2</v>
      </c>
      <c r="I295" s="26">
        <f>Ft!F$3*EXP(Ft!F$38*($A295-Ft!F$2)^2)</f>
        <v>1.3866981352424106E-58</v>
      </c>
      <c r="J295" s="26">
        <f>Ft!G$3*EXP(Ft!G$38*($A295-Ft!G$2)^2)</f>
        <v>1.193243988434868E-233</v>
      </c>
    </row>
    <row r="296" spans="1:10">
      <c r="A296" s="19">
        <v>294</v>
      </c>
      <c r="B296" s="28">
        <v>47.727399033613892</v>
      </c>
      <c r="C296" s="27">
        <f ca="1">OFFSET($B296,1*(ROWS(C$2:C296)-1),0)</f>
        <v>8.1148999630058825</v>
      </c>
      <c r="D296" s="26">
        <f>Ft!B$3*EXP(Ft!B$38*($A296-Ft!B$2)^2) +Ft!C$3*EXP(Ft!C$38*($A296-Ft!C$2)^2) + Ft!D$3*EXP(Ft!D$38*($A296-Ft!D$2)^2)+Ft!E$3*EXP(Ft!E$38*($A296-Ft!E$2)^2) +Ft!F$3*EXP(Ft!F$38*($A296-Ft!F$2)^2) + Ft!G$3*EXP(Ft!G$38*($A296-Ft!G$2)^2)</f>
        <v>13.06894659082513</v>
      </c>
      <c r="E296" s="26">
        <f>Ft!B$3*EXP(Ft!B$38*($A296-Ft!B$2)^2)</f>
        <v>3.889129822404078E-34</v>
      </c>
      <c r="F296" s="26">
        <f>Ft!C$3*EXP(Ft!C$38*($A296-Ft!C$2)^2)</f>
        <v>1.2817904592910321</v>
      </c>
      <c r="G296" s="26">
        <f>Ft!D$3*EXP(Ft!D$38*($A296-Ft!D$2)^2)</f>
        <v>11.773399715985006</v>
      </c>
      <c r="H296" s="26">
        <f>Ft!E$3*EXP(Ft!E$38*($A296-Ft!E$2)^2)</f>
        <v>1.3756415549091234E-2</v>
      </c>
      <c r="I296" s="26">
        <f>Ft!F$3*EXP(Ft!F$38*($A296-Ft!F$2)^2)</f>
        <v>2.0289688503980125E-58</v>
      </c>
      <c r="J296" s="26">
        <f>Ft!G$3*EXP(Ft!G$38*($A296-Ft!G$2)^2)</f>
        <v>4.9842235196285523E-233</v>
      </c>
    </row>
    <row r="297" spans="1:10">
      <c r="A297" s="19">
        <v>295</v>
      </c>
      <c r="B297" s="28">
        <v>47.835509013016917</v>
      </c>
      <c r="C297" s="27">
        <f ca="1">OFFSET($B297,1*(ROWS(C$2:C297)-1),0)</f>
        <v>8.0080245946963373</v>
      </c>
      <c r="D297" s="26">
        <f>Ft!B$3*EXP(Ft!B$38*($A297-Ft!B$2)^2) +Ft!C$3*EXP(Ft!C$38*($A297-Ft!C$2)^2) + Ft!D$3*EXP(Ft!D$38*($A297-Ft!D$2)^2)+Ft!E$3*EXP(Ft!E$38*($A297-Ft!E$2)^2) +Ft!F$3*EXP(Ft!F$38*($A297-Ft!F$2)^2) + Ft!G$3*EXP(Ft!G$38*($A297-Ft!G$2)^2)</f>
        <v>13.105170623798815</v>
      </c>
      <c r="E297" s="26">
        <f>Ft!B$3*EXP(Ft!B$38*($A297-Ft!B$2)^2)</f>
        <v>2.0722352853818306E-34</v>
      </c>
      <c r="F297" s="26">
        <f>Ft!C$3*EXP(Ft!C$38*($A297-Ft!C$2)^2)</f>
        <v>1.2497562651264544</v>
      </c>
      <c r="G297" s="26">
        <f>Ft!D$3*EXP(Ft!D$38*($A297-Ft!D$2)^2)</f>
        <v>11.841287427960644</v>
      </c>
      <c r="H297" s="26">
        <f>Ft!E$3*EXP(Ft!E$38*($A297-Ft!E$2)^2)</f>
        <v>1.4126930711716869E-2</v>
      </c>
      <c r="I297" s="26">
        <f>Ft!F$3*EXP(Ft!F$38*($A297-Ft!F$2)^2)</f>
        <v>2.9671202409172439E-58</v>
      </c>
      <c r="J297" s="26">
        <f>Ft!G$3*EXP(Ft!G$38*($A297-Ft!G$2)^2)</f>
        <v>2.0779734694048235E-232</v>
      </c>
    </row>
    <row r="298" spans="1:10">
      <c r="A298" s="19">
        <v>296</v>
      </c>
      <c r="B298" s="28">
        <v>47.947038208703447</v>
      </c>
      <c r="C298" s="27">
        <f ca="1">OFFSET($B298,1*(ROWS(C$2:C298)-1),0)</f>
        <v>7.8875015152045478</v>
      </c>
      <c r="D298" s="26">
        <f>Ft!B$3*EXP(Ft!B$38*($A298-Ft!B$2)^2) +Ft!C$3*EXP(Ft!C$38*($A298-Ft!C$2)^2) + Ft!D$3*EXP(Ft!D$38*($A298-Ft!D$2)^2)+Ft!E$3*EXP(Ft!E$38*($A298-Ft!E$2)^2) +Ft!F$3*EXP(Ft!F$38*($A298-Ft!F$2)^2) + Ft!G$3*EXP(Ft!G$38*($A298-Ft!G$2)^2)</f>
        <v>13.14197008418866</v>
      </c>
      <c r="E298" s="26">
        <f>Ft!B$3*EXP(Ft!B$38*($A298-Ft!B$2)^2)</f>
        <v>1.1013565998897702E-34</v>
      </c>
      <c r="F298" s="26">
        <f>Ft!C$3*EXP(Ft!C$38*($A298-Ft!C$2)^2)</f>
        <v>1.2183248247203495</v>
      </c>
      <c r="G298" s="26">
        <f>Ft!D$3*EXP(Ft!D$38*($A298-Ft!D$2)^2)</f>
        <v>11.909138564420626</v>
      </c>
      <c r="H298" s="26">
        <f>Ft!E$3*EXP(Ft!E$38*($A298-Ft!E$2)^2)</f>
        <v>1.450669504768488E-2</v>
      </c>
      <c r="I298" s="26">
        <f>Ft!F$3*EXP(Ft!F$38*($A298-Ft!F$2)^2)</f>
        <v>4.3367184872007483E-58</v>
      </c>
      <c r="J298" s="26">
        <f>Ft!G$3*EXP(Ft!G$38*($A298-Ft!G$2)^2)</f>
        <v>8.6468259968695625E-232</v>
      </c>
    </row>
    <row r="299" spans="1:10">
      <c r="A299" s="19">
        <v>297</v>
      </c>
      <c r="B299" s="28">
        <v>48.02881043605629</v>
      </c>
      <c r="C299" s="27">
        <f ca="1">OFFSET($B299,1*(ROWS(C$2:C299)-1),0)</f>
        <v>7.7665382062700701</v>
      </c>
      <c r="D299" s="26">
        <f>Ft!B$3*EXP(Ft!B$38*($A299-Ft!B$2)^2) +Ft!C$3*EXP(Ft!C$38*($A299-Ft!C$2)^2) + Ft!D$3*EXP(Ft!D$38*($A299-Ft!D$2)^2)+Ft!E$3*EXP(Ft!E$38*($A299-Ft!E$2)^2) +Ft!F$3*EXP(Ft!F$38*($A299-Ft!F$2)^2) + Ft!G$3*EXP(Ft!G$38*($A299-Ft!G$2)^2)</f>
        <v>13.179334999861815</v>
      </c>
      <c r="E299" s="26">
        <f>Ft!B$3*EXP(Ft!B$38*($A299-Ft!B$2)^2)</f>
        <v>5.8387398197890424E-35</v>
      </c>
      <c r="F299" s="26">
        <f>Ft!C$3*EXP(Ft!C$38*($A299-Ft!C$2)^2)</f>
        <v>1.1874910567339334</v>
      </c>
      <c r="G299" s="26">
        <f>Ft!D$3*EXP(Ft!D$38*($A299-Ft!D$2)^2)</f>
        <v>11.976948024679116</v>
      </c>
      <c r="H299" s="26">
        <f>Ft!E$3*EXP(Ft!E$38*($A299-Ft!E$2)^2)</f>
        <v>1.489591844876639E-2</v>
      </c>
      <c r="I299" s="26">
        <f>Ft!F$3*EXP(Ft!F$38*($A299-Ft!F$2)^2)</f>
        <v>6.3351023399091275E-58</v>
      </c>
      <c r="J299" s="26">
        <f>Ft!G$3*EXP(Ft!G$38*($A299-Ft!G$2)^2)</f>
        <v>3.5912668265740508E-231</v>
      </c>
    </row>
    <row r="300" spans="1:10">
      <c r="A300" s="19">
        <v>298</v>
      </c>
      <c r="B300" s="28">
        <v>48.10180977345297</v>
      </c>
      <c r="C300" s="27">
        <f ca="1">OFFSET($B300,1*(ROWS(C$2:C300)-1),0)</f>
        <v>7.5748915398404222</v>
      </c>
      <c r="D300" s="26">
        <f>Ft!B$3*EXP(Ft!B$38*($A300-Ft!B$2)^2) +Ft!C$3*EXP(Ft!C$38*($A300-Ft!C$2)^2) + Ft!D$3*EXP(Ft!D$38*($A300-Ft!D$2)^2)+Ft!E$3*EXP(Ft!E$38*($A300-Ft!E$2)^2) +Ft!F$3*EXP(Ft!F$38*($A300-Ft!F$2)^2) + Ft!G$3*EXP(Ft!G$38*($A300-Ft!G$2)^2)</f>
        <v>13.217255219020107</v>
      </c>
      <c r="E300" s="26">
        <f>Ft!B$3*EXP(Ft!B$38*($A300-Ft!B$2)^2)</f>
        <v>3.0875397512658808E-35</v>
      </c>
      <c r="F300" s="26">
        <f>Ft!C$3*EXP(Ft!C$38*($A300-Ft!C$2)^2)</f>
        <v>1.1572497206021661</v>
      </c>
      <c r="G300" s="26">
        <f>Ft!D$3*EXP(Ft!D$38*($A300-Ft!D$2)^2)</f>
        <v>12.044710683421881</v>
      </c>
      <c r="H300" s="26">
        <f>Ft!E$3*EXP(Ft!E$38*($A300-Ft!E$2)^2)</f>
        <v>1.5294814996059405E-2</v>
      </c>
      <c r="I300" s="26">
        <f>Ft!F$3*EXP(Ft!F$38*($A300-Ft!F$2)^2)</f>
        <v>9.2493743557431448E-58</v>
      </c>
      <c r="J300" s="26">
        <f>Ft!G$3*EXP(Ft!G$38*($A300-Ft!G$2)^2)</f>
        <v>1.4887194455939477E-230</v>
      </c>
    </row>
    <row r="301" spans="1:10">
      <c r="A301" s="19">
        <v>299</v>
      </c>
      <c r="B301" s="28">
        <v>48.157371816330283</v>
      </c>
      <c r="C301" s="27">
        <f ca="1">OFFSET($B301,1*(ROWS(C$2:C301)-1),0)</f>
        <v>7.3814340263830331</v>
      </c>
      <c r="D301" s="26">
        <f>Ft!B$3*EXP(Ft!B$38*($A301-Ft!B$2)^2) +Ft!C$3*EXP(Ft!C$38*($A301-Ft!C$2)^2) + Ft!D$3*EXP(Ft!D$38*($A301-Ft!D$2)^2)+Ft!E$3*EXP(Ft!E$38*($A301-Ft!E$2)^2) +Ft!F$3*EXP(Ft!F$38*($A301-Ft!F$2)^2) + Ft!G$3*EXP(Ft!G$38*($A301-Ft!G$2)^2)</f>
        <v>13.255720418256981</v>
      </c>
      <c r="E301" s="26">
        <f>Ft!B$3*EXP(Ft!B$38*($A301-Ft!B$2)^2)</f>
        <v>1.6285768708293092E-35</v>
      </c>
      <c r="F301" s="26">
        <f>Ft!C$3*EXP(Ft!C$38*($A301-Ft!C$2)^2)</f>
        <v>1.1275954239232986</v>
      </c>
      <c r="G301" s="26">
        <f>Ft!D$3*EXP(Ft!D$38*($A301-Ft!D$2)^2)</f>
        <v>12.112421391304974</v>
      </c>
      <c r="H301" s="26">
        <f>Ft!E$3*EXP(Ft!E$38*($A301-Ft!E$2)^2)</f>
        <v>1.570360302870815E-2</v>
      </c>
      <c r="I301" s="26">
        <f>Ft!F$3*EXP(Ft!F$38*($A301-Ft!F$2)^2)</f>
        <v>1.3497004666415216E-57</v>
      </c>
      <c r="J301" s="26">
        <f>Ft!G$3*EXP(Ft!G$38*($A301-Ft!G$2)^2)</f>
        <v>6.1595967543692252E-230</v>
      </c>
    </row>
    <row r="302" spans="1:10">
      <c r="A302" s="19">
        <v>300</v>
      </c>
      <c r="B302" s="28">
        <v>48.226219882416245</v>
      </c>
      <c r="C302" s="27">
        <f ca="1">OFFSET($B302,1*(ROWS(C$2:C302)-1),0)</f>
        <v>7.1614522016893147</v>
      </c>
      <c r="D302" s="26">
        <f>Ft!B$3*EXP(Ft!B$38*($A302-Ft!B$2)^2) +Ft!C$3*EXP(Ft!C$38*($A302-Ft!C$2)^2) + Ft!D$3*EXP(Ft!D$38*($A302-Ft!D$2)^2)+Ft!E$3*EXP(Ft!E$38*($A302-Ft!E$2)^2) +Ft!F$3*EXP(Ft!F$38*($A302-Ft!F$2)^2) + Ft!G$3*EXP(Ft!G$38*($A302-Ft!G$2)^2)</f>
        <v>13.294720110556996</v>
      </c>
      <c r="E302" s="26">
        <f>Ft!B$3*EXP(Ft!B$38*($A302-Ft!B$2)^2)</f>
        <v>8.5685283450996982E-36</v>
      </c>
      <c r="F302" s="26">
        <f>Ft!C$3*EXP(Ft!C$38*($A302-Ft!C$2)^2)</f>
        <v>1.0985226297824997</v>
      </c>
      <c r="G302" s="26">
        <f>Ft!D$3*EXP(Ft!D$38*($A302-Ft!D$2)^2)</f>
        <v>12.180074975561119</v>
      </c>
      <c r="H302" s="26">
        <f>Ft!E$3*EXP(Ft!E$38*($A302-Ft!E$2)^2)</f>
        <v>1.6122505213378178E-2</v>
      </c>
      <c r="I302" s="26">
        <f>Ft!F$3*EXP(Ft!F$38*($A302-Ft!F$2)^2)</f>
        <v>1.9684698047446955E-57</v>
      </c>
      <c r="J302" s="26">
        <f>Ft!G$3*EXP(Ft!G$38*($A302-Ft!G$2)^2)</f>
        <v>2.5437002626716193E-229</v>
      </c>
    </row>
    <row r="303" spans="1:10">
      <c r="A303" s="19">
        <v>301</v>
      </c>
      <c r="B303" s="28">
        <v>48.292257834274039</v>
      </c>
      <c r="C303" s="27">
        <f ca="1">OFFSET($B303,1*(ROWS(C$2:C303)-1),0)</f>
        <v>6.8944704357864453</v>
      </c>
      <c r="D303" s="26">
        <f>Ft!B$3*EXP(Ft!B$38*($A303-Ft!B$2)^2) +Ft!C$3*EXP(Ft!C$38*($A303-Ft!C$2)^2) + Ft!D$3*EXP(Ft!D$38*($A303-Ft!D$2)^2)+Ft!E$3*EXP(Ft!E$38*($A303-Ft!E$2)^2) +Ft!F$3*EXP(Ft!F$38*($A303-Ft!F$2)^2) + Ft!G$3*EXP(Ft!G$38*($A303-Ft!G$2)^2)</f>
        <v>13.33424365323248</v>
      </c>
      <c r="E303" s="26">
        <f>Ft!B$3*EXP(Ft!B$38*($A303-Ft!B$2)^2)</f>
        <v>4.4968301393017414E-36</v>
      </c>
      <c r="F303" s="26">
        <f>Ft!C$3*EXP(Ft!C$38*($A303-Ft!C$2)^2)</f>
        <v>1.0700256640042225</v>
      </c>
      <c r="G303" s="26">
        <f>Ft!D$3*EXP(Ft!D$38*($A303-Ft!D$2)^2)</f>
        <v>12.247666240613773</v>
      </c>
      <c r="H303" s="26">
        <f>Ft!E$3*EXP(Ft!E$38*($A303-Ft!E$2)^2)</f>
        <v>1.6551748614486585E-2</v>
      </c>
      <c r="I303" s="26">
        <f>Ft!F$3*EXP(Ft!F$38*($A303-Ft!F$2)^2)</f>
        <v>2.8693692193188102E-57</v>
      </c>
      <c r="J303" s="26">
        <f>Ft!G$3*EXP(Ft!G$38*($A303-Ft!G$2)^2)</f>
        <v>1.0484647196275177E-228</v>
      </c>
    </row>
    <row r="304" spans="1:10">
      <c r="A304" s="19">
        <v>302</v>
      </c>
      <c r="B304" s="28">
        <v>48.338221628167645</v>
      </c>
      <c r="C304" s="27">
        <f ca="1">OFFSET($B304,1*(ROWS(C$2:C304)-1),0)</f>
        <v>6.6404165064416816</v>
      </c>
      <c r="D304" s="26">
        <f>Ft!B$3*EXP(Ft!B$38*($A304-Ft!B$2)^2) +Ft!C$3*EXP(Ft!C$38*($A304-Ft!C$2)^2) + Ft!D$3*EXP(Ft!D$38*($A304-Ft!D$2)^2)+Ft!E$3*EXP(Ft!E$38*($A304-Ft!E$2)^2) +Ft!F$3*EXP(Ft!F$38*($A304-Ft!F$2)^2) + Ft!G$3*EXP(Ft!G$38*($A304-Ft!G$2)^2)</f>
        <v>13.374280255792034</v>
      </c>
      <c r="E304" s="26">
        <f>Ft!B$3*EXP(Ft!B$38*($A304-Ft!B$2)^2)</f>
        <v>2.3540137684293523E-36</v>
      </c>
      <c r="F304" s="26">
        <f>Ft!C$3*EXP(Ft!C$38*($A304-Ft!C$2)^2)</f>
        <v>1.0420987223281395</v>
      </c>
      <c r="G304" s="26">
        <f>Ft!D$3*EXP(Ft!D$38*($A304-Ft!D$2)^2)</f>
        <v>12.315189968698707</v>
      </c>
      <c r="H304" s="26">
        <f>Ft!E$3*EXP(Ft!E$38*($A304-Ft!E$2)^2)</f>
        <v>1.6991564765185756E-2</v>
      </c>
      <c r="I304" s="26">
        <f>Ft!F$3*EXP(Ft!F$38*($A304-Ft!F$2)^2)</f>
        <v>4.1803286978621788E-57</v>
      </c>
      <c r="J304" s="26">
        <f>Ft!G$3*EXP(Ft!G$38*($A304-Ft!G$2)^2)</f>
        <v>4.3133623249379721E-228</v>
      </c>
    </row>
    <row r="305" spans="1:10">
      <c r="A305" s="19">
        <v>303</v>
      </c>
      <c r="B305" s="28">
        <v>48.323014388127916</v>
      </c>
      <c r="C305" s="27">
        <f ca="1">OFFSET($B305,1*(ROWS(C$2:C305)-1),0)</f>
        <v>6.3676882512875181</v>
      </c>
      <c r="D305" s="26">
        <f>Ft!B$3*EXP(Ft!B$38*($A305-Ft!B$2)^2) +Ft!C$3*EXP(Ft!C$38*($A305-Ft!C$2)^2) + Ft!D$3*EXP(Ft!D$38*($A305-Ft!D$2)^2)+Ft!E$3*EXP(Ft!E$38*($A305-Ft!E$2)^2) +Ft!F$3*EXP(Ft!F$38*($A305-Ft!F$2)^2) + Ft!G$3*EXP(Ft!G$38*($A305-Ft!G$2)^2)</f>
        <v>13.414818987735901</v>
      </c>
      <c r="E305" s="26">
        <f>Ft!B$3*EXP(Ft!B$38*($A305-Ft!B$2)^2)</f>
        <v>1.2291751863849703E-36</v>
      </c>
      <c r="F305" s="26">
        <f>Ft!C$3*EXP(Ft!C$38*($A305-Ft!C$2)^2)</f>
        <v>1.0147358775037374</v>
      </c>
      <c r="G305" s="26">
        <f>Ft!D$3*EXP(Ft!D$38*($A305-Ft!D$2)^2)</f>
        <v>12.382640920493063</v>
      </c>
      <c r="H305" s="26">
        <f>Ft!E$3*EXP(Ft!E$38*($A305-Ft!E$2)^2)</f>
        <v>1.744218973909924E-2</v>
      </c>
      <c r="I305" s="26">
        <f>Ft!F$3*EXP(Ft!F$38*($A305-Ft!F$2)^2)</f>
        <v>6.0869641855712241E-57</v>
      </c>
      <c r="J305" s="26">
        <f>Ft!G$3*EXP(Ft!G$38*($A305-Ft!G$2)^2)</f>
        <v>1.7711375601240388E-227</v>
      </c>
    </row>
    <row r="306" spans="1:10">
      <c r="A306" s="19">
        <v>304</v>
      </c>
      <c r="B306" s="28">
        <v>48.305268424173534</v>
      </c>
      <c r="C306" s="27">
        <f ca="1">OFFSET($B306,1*(ROWS(C$2:C306)-1),0)</f>
        <v>6.0931337613878611</v>
      </c>
      <c r="D306" s="26">
        <f>Ft!B$3*EXP(Ft!B$38*($A306-Ft!B$2)^2) +Ft!C$3*EXP(Ft!C$38*($A306-Ft!C$2)^2) + Ft!D$3*EXP(Ft!D$38*($A306-Ft!D$2)^2)+Ft!E$3*EXP(Ft!E$38*($A306-Ft!E$2)^2) +Ft!F$3*EXP(Ft!F$38*($A306-Ft!F$2)^2) + Ft!G$3*EXP(Ft!G$38*($A306-Ft!G$2)^2)</f>
        <v>13.455848786273418</v>
      </c>
      <c r="E306" s="26">
        <f>Ft!B$3*EXP(Ft!B$38*($A306-Ft!B$2)^2)</f>
        <v>6.4020762227574218E-37</v>
      </c>
      <c r="F306" s="26">
        <f>Ft!C$3*EXP(Ft!C$38*($A306-Ft!C$2)^2)</f>
        <v>0.98793108629884807</v>
      </c>
      <c r="G306" s="26">
        <f>Ft!D$3*EXP(Ft!D$38*($A306-Ft!D$2)^2)</f>
        <v>12.450013835751761</v>
      </c>
      <c r="H306" s="26">
        <f>Ft!E$3*EXP(Ft!E$38*($A306-Ft!E$2)^2)</f>
        <v>1.7903864222807517E-2</v>
      </c>
      <c r="I306" s="26">
        <f>Ft!F$3*EXP(Ft!F$38*($A306-Ft!F$2)^2)</f>
        <v>8.8584426916105157E-57</v>
      </c>
      <c r="J306" s="26">
        <f>Ft!G$3*EXP(Ft!G$38*($A306-Ft!G$2)^2)</f>
        <v>7.2587673759153182E-227</v>
      </c>
    </row>
    <row r="307" spans="1:10">
      <c r="A307" s="19">
        <v>305</v>
      </c>
      <c r="B307" s="28">
        <v>48.284450351471776</v>
      </c>
      <c r="C307" s="27">
        <f ca="1">OFFSET($B307,1*(ROWS(C$2:C307)-1),0)</f>
        <v>5.7872068303655908</v>
      </c>
      <c r="D307" s="26">
        <f>Ft!B$3*EXP(Ft!B$38*($A307-Ft!B$2)^2) +Ft!C$3*EXP(Ft!C$38*($A307-Ft!C$2)^2) + Ft!D$3*EXP(Ft!D$38*($A307-Ft!D$2)^2)+Ft!E$3*EXP(Ft!E$38*($A307-Ft!E$2)^2) +Ft!F$3*EXP(Ft!F$38*($A307-Ft!F$2)^2) + Ft!G$3*EXP(Ft!G$38*($A307-Ft!G$2)^2)</f>
        <v>13.497358463957909</v>
      </c>
      <c r="E307" s="26">
        <f>Ft!B$3*EXP(Ft!B$38*($A307-Ft!B$2)^2)</f>
        <v>3.3260606697479856E-37</v>
      </c>
      <c r="F307" s="26">
        <f>Ft!C$3*EXP(Ft!C$38*($A307-Ft!C$2)^2)</f>
        <v>0.96167819641762453</v>
      </c>
      <c r="G307" s="26">
        <f>Ft!D$3*EXP(Ft!D$38*($A307-Ft!D$2)^2)</f>
        <v>12.517303433951202</v>
      </c>
      <c r="H307" s="26">
        <f>Ft!E$3*EXP(Ft!E$38*($A307-Ft!E$2)^2)</f>
        <v>1.8376833589081834E-2</v>
      </c>
      <c r="I307" s="26">
        <f>Ft!F$3*EXP(Ft!F$38*($A307-Ft!F$2)^2)</f>
        <v>1.2884878625938993E-56</v>
      </c>
      <c r="J307" s="26">
        <f>Ft!G$3*EXP(Ft!G$38*($A307-Ft!G$2)^2)</f>
        <v>2.9692563724011421E-226</v>
      </c>
    </row>
    <row r="308" spans="1:10">
      <c r="A308" s="19">
        <v>306</v>
      </c>
      <c r="B308" s="28">
        <v>48.288242600902038</v>
      </c>
      <c r="C308" s="27">
        <f ca="1">OFFSET($B308,1*(ROWS(C$2:C308)-1),0)</f>
        <v>5.4743202600646157</v>
      </c>
      <c r="D308" s="26">
        <f>Ft!B$3*EXP(Ft!B$38*($A308-Ft!B$2)^2) +Ft!C$3*EXP(Ft!C$38*($A308-Ft!C$2)^2) + Ft!D$3*EXP(Ft!D$38*($A308-Ft!D$2)^2)+Ft!E$3*EXP(Ft!E$38*($A308-Ft!E$2)^2) +Ft!F$3*EXP(Ft!F$38*($A308-Ft!F$2)^2) + Ft!G$3*EXP(Ft!G$38*($A308-Ft!G$2)^2)</f>
        <v>13.539336716234665</v>
      </c>
      <c r="E308" s="26">
        <f>Ft!B$3*EXP(Ft!B$38*($A308-Ft!B$2)^2)</f>
        <v>1.7236209466862426E-37</v>
      </c>
      <c r="F308" s="26">
        <f>Ft!C$3*EXP(Ft!C$38*($A308-Ft!C$2)^2)</f>
        <v>0.9359709533237045</v>
      </c>
      <c r="G308" s="26">
        <f>Ft!D$3*EXP(Ft!D$38*($A308-Ft!D$2)^2)</f>
        <v>12.584504414940097</v>
      </c>
      <c r="H308" s="26">
        <f>Ft!E$3*EXP(Ft!E$38*($A308-Ft!E$2)^2)</f>
        <v>1.8861347970863182E-2</v>
      </c>
      <c r="I308" s="26">
        <f>Ft!F$3*EXP(Ft!F$38*($A308-Ft!F$2)^2)</f>
        <v>1.8731372582740491E-56</v>
      </c>
      <c r="J308" s="26">
        <f>Ft!G$3*EXP(Ft!G$38*($A308-Ft!G$2)^2)</f>
        <v>1.2122906309487286E-225</v>
      </c>
    </row>
    <row r="309" spans="1:10">
      <c r="A309" s="19">
        <v>307</v>
      </c>
      <c r="B309" s="28">
        <v>48.279102920564469</v>
      </c>
      <c r="C309" s="27">
        <f ca="1">OFFSET($B309,1*(ROWS(C$2:C309)-1),0)</f>
        <v>5.0960320213044952</v>
      </c>
      <c r="D309" s="26">
        <f>Ft!B$3*EXP(Ft!B$38*($A309-Ft!B$2)^2) +Ft!C$3*EXP(Ft!C$38*($A309-Ft!C$2)^2) + Ft!D$3*EXP(Ft!D$38*($A309-Ft!D$2)^2)+Ft!E$3*EXP(Ft!E$38*($A309-Ft!E$2)^2) +Ft!F$3*EXP(Ft!F$38*($A309-Ft!F$2)^2) + Ft!G$3*EXP(Ft!G$38*($A309-Ft!G$2)^2)</f>
        <v>13.581772128897867</v>
      </c>
      <c r="E309" s="26">
        <f>Ft!B$3*EXP(Ft!B$38*($A309-Ft!B$2)^2)</f>
        <v>8.9095471408211853E-38</v>
      </c>
      <c r="F309" s="26">
        <f>Ft!C$3*EXP(Ft!C$38*($A309-Ft!C$2)^2)</f>
        <v>0.91080300696448513</v>
      </c>
      <c r="G309" s="26">
        <f>Ft!D$3*EXP(Ft!D$38*($A309-Ft!D$2)^2)</f>
        <v>12.651611459597399</v>
      </c>
      <c r="H309" s="26">
        <f>Ft!E$3*EXP(Ft!E$38*($A309-Ft!E$2)^2)</f>
        <v>1.9357662335983603E-2</v>
      </c>
      <c r="I309" s="26">
        <f>Ft!F$3*EXP(Ft!F$38*($A309-Ft!F$2)^2)</f>
        <v>2.7216056101335372E-56</v>
      </c>
      <c r="J309" s="26">
        <f>Ft!G$3*EXP(Ft!G$38*($A309-Ft!G$2)^2)</f>
        <v>4.9401488351516869E-225</v>
      </c>
    </row>
    <row r="310" spans="1:10">
      <c r="A310" s="19">
        <v>308</v>
      </c>
      <c r="B310" s="28">
        <v>48.277677120078778</v>
      </c>
      <c r="C310" s="27">
        <f ca="1">OFFSET($B310,1*(ROWS(C$2:C310)-1),0)</f>
        <v>4.755012261594743</v>
      </c>
      <c r="D310" s="26">
        <f>Ft!B$3*EXP(Ft!B$38*($A310-Ft!B$2)^2) +Ft!C$3*EXP(Ft!C$38*($A310-Ft!C$2)^2) + Ft!D$3*EXP(Ft!D$38*($A310-Ft!D$2)^2)+Ft!E$3*EXP(Ft!E$38*($A310-Ft!E$2)^2) +Ft!F$3*EXP(Ft!F$38*($A310-Ft!F$2)^2) + Ft!G$3*EXP(Ft!G$38*($A310-Ft!G$2)^2)</f>
        <v>13.624653185452495</v>
      </c>
      <c r="E310" s="26">
        <f>Ft!B$3*EXP(Ft!B$38*($A310-Ft!B$2)^2)</f>
        <v>4.5937966532631466E-38</v>
      </c>
      <c r="F310" s="26">
        <f>Ft!C$3*EXP(Ft!C$38*($A310-Ft!C$2)^2)</f>
        <v>0.8861679183926946</v>
      </c>
      <c r="G310" s="26">
        <f>Ft!D$3*EXP(Ft!D$38*($A310-Ft!D$2)^2)</f>
        <v>12.718619230497174</v>
      </c>
      <c r="H310" s="26">
        <f>Ft!E$3*EXP(Ft!E$38*($A310-Ft!E$2)^2)</f>
        <v>1.986603656262657E-2</v>
      </c>
      <c r="I310" s="26">
        <f>Ft!F$3*EXP(Ft!F$38*($A310-Ft!F$2)^2)</f>
        <v>3.9522744889468384E-56</v>
      </c>
      <c r="J310" s="26">
        <f>Ft!G$3*EXP(Ft!G$38*($A310-Ft!G$2)^2)</f>
        <v>2.0093128009358274E-224</v>
      </c>
    </row>
    <row r="311" spans="1:10">
      <c r="A311" s="19">
        <v>309</v>
      </c>
      <c r="B311" s="28">
        <v>48.272871020068692</v>
      </c>
      <c r="C311" s="27">
        <f ca="1">OFFSET($B311,1*(ROWS(C$2:C311)-1),0)</f>
        <v>4.4290079885812474</v>
      </c>
      <c r="D311" s="26">
        <f>Ft!B$3*EXP(Ft!B$38*($A311-Ft!B$2)^2) +Ft!C$3*EXP(Ft!C$38*($A311-Ft!C$2)^2) + Ft!D$3*EXP(Ft!D$38*($A311-Ft!D$2)^2)+Ft!E$3*EXP(Ft!E$38*($A311-Ft!E$2)^2) +Ft!F$3*EXP(Ft!F$38*($A311-Ft!F$2)^2) + Ft!G$3*EXP(Ft!G$38*($A311-Ft!G$2)^2)</f>
        <v>13.667968274377493</v>
      </c>
      <c r="E311" s="26">
        <f>Ft!B$3*EXP(Ft!B$38*($A311-Ft!B$2)^2)</f>
        <v>2.3625998617916953E-38</v>
      </c>
      <c r="F311" s="26">
        <f>Ft!C$3*EXP(Ft!C$38*($A311-Ft!C$2)^2)</f>
        <v>0.86205916628163115</v>
      </c>
      <c r="G311" s="26">
        <f>Ft!D$3*EXP(Ft!D$38*($A311-Ft!D$2)^2)</f>
        <v>12.78552237258034</v>
      </c>
      <c r="H311" s="26">
        <f>Ft!E$3*EXP(Ft!E$38*($A311-Ft!E$2)^2)</f>
        <v>2.0386735515523002E-2</v>
      </c>
      <c r="I311" s="26">
        <f>Ft!F$3*EXP(Ft!F$38*($A311-Ft!F$2)^2)</f>
        <v>5.7363458201865639E-56</v>
      </c>
      <c r="J311" s="26">
        <f>Ft!G$3*EXP(Ft!G$38*($A311-Ft!G$2)^2)</f>
        <v>8.1569782022379433E-224</v>
      </c>
    </row>
    <row r="312" spans="1:10">
      <c r="A312" s="19">
        <v>310</v>
      </c>
      <c r="B312" s="28">
        <v>48.289875596066395</v>
      </c>
      <c r="C312" s="27">
        <f ca="1">OFFSET($B312,1*(ROWS(C$2:C312)-1),0)</f>
        <v>4.143488832414107</v>
      </c>
      <c r="D312" s="26">
        <f>Ft!B$3*EXP(Ft!B$38*($A312-Ft!B$2)^2) +Ft!C$3*EXP(Ft!C$38*($A312-Ft!C$2)^2) + Ft!D$3*EXP(Ft!D$38*($A312-Ft!D$2)^2)+Ft!E$3*EXP(Ft!E$38*($A312-Ft!E$2)^2) +Ft!F$3*EXP(Ft!F$38*($A312-Ft!F$2)^2) + Ft!G$3*EXP(Ft!G$38*($A312-Ft!G$2)^2)</f>
        <v>13.711705696286694</v>
      </c>
      <c r="E312" s="26">
        <f>Ft!B$3*EXP(Ft!B$38*($A312-Ft!B$2)^2)</f>
        <v>1.2120229730475019E-38</v>
      </c>
      <c r="F312" s="26">
        <f>Ft!C$3*EXP(Ft!C$38*($A312-Ft!C$2)^2)</f>
        <v>0.83847015333067065</v>
      </c>
      <c r="G312" s="26">
        <f>Ft!D$3*EXP(Ft!D$38*($A312-Ft!D$2)^2)</f>
        <v>12.852315513833146</v>
      </c>
      <c r="H312" s="26">
        <f>Ft!E$3*EXP(Ft!E$38*($A312-Ft!E$2)^2)</f>
        <v>2.092002912287861E-2</v>
      </c>
      <c r="I312" s="26">
        <f>Ft!F$3*EXP(Ft!F$38*($A312-Ft!F$2)^2)</f>
        <v>8.3212749077261585E-56</v>
      </c>
      <c r="J312" s="26">
        <f>Ft!G$3*EXP(Ft!G$38*($A312-Ft!G$2)^2)</f>
        <v>3.305105185107756E-223</v>
      </c>
    </row>
    <row r="313" spans="1:10">
      <c r="A313" s="19">
        <v>311</v>
      </c>
      <c r="B313" s="28">
        <v>48.27411620300731</v>
      </c>
      <c r="C313" s="27">
        <f ca="1">OFFSET($B313,1*(ROWS(C$2:C313)-1),0)</f>
        <v>3.7753173940984937</v>
      </c>
      <c r="D313" s="26">
        <f>Ft!B$3*EXP(Ft!B$38*($A313-Ft!B$2)^2) +Ft!C$3*EXP(Ft!C$38*($A313-Ft!C$2)^2) + Ft!D$3*EXP(Ft!D$38*($A313-Ft!D$2)^2)+Ft!E$3*EXP(Ft!E$38*($A313-Ft!E$2)^2) +Ft!F$3*EXP(Ft!F$38*($A313-Ft!F$2)^2) + Ft!G$3*EXP(Ft!G$38*($A313-Ft!G$2)^2)</f>
        <v>13.755853670984173</v>
      </c>
      <c r="E313" s="26">
        <f>Ft!B$3*EXP(Ft!B$38*($A313-Ft!B$2)^2)</f>
        <v>6.2020290957305912E-39</v>
      </c>
      <c r="F313" s="26">
        <f>Ft!C$3*EXP(Ft!C$38*($A313-Ft!C$2)^2)</f>
        <v>0.81539421255785804</v>
      </c>
      <c r="G313" s="26">
        <f>Ft!D$3*EXP(Ft!D$38*($A313-Ft!D$2)^2)</f>
        <v>12.918993265972286</v>
      </c>
      <c r="H313" s="26">
        <f>Ft!E$3*EXP(Ft!E$38*($A313-Ft!E$2)^2)</f>
        <v>2.1466192454028619E-2</v>
      </c>
      <c r="I313" s="26">
        <f>Ft!F$3*EXP(Ft!F$38*($A313-Ft!F$2)^2)</f>
        <v>1.2064539040753978E-55</v>
      </c>
      <c r="J313" s="26">
        <f>Ft!G$3*EXP(Ft!G$38*($A313-Ft!G$2)^2)</f>
        <v>1.3366432275050365E-222</v>
      </c>
    </row>
    <row r="314" spans="1:10">
      <c r="A314" s="19">
        <v>312</v>
      </c>
      <c r="B314" s="28">
        <v>48.272978543089778</v>
      </c>
      <c r="C314" s="27">
        <f ca="1">OFFSET($B314,1*(ROWS(C$2:C314)-1),0)</f>
        <v>3.4020476343703194</v>
      </c>
      <c r="D314" s="26">
        <f>Ft!B$3*EXP(Ft!B$38*($A314-Ft!B$2)^2) +Ft!C$3*EXP(Ft!C$38*($A314-Ft!C$2)^2) + Ft!D$3*EXP(Ft!D$38*($A314-Ft!D$2)^2)+Ft!E$3*EXP(Ft!E$38*($A314-Ft!E$2)^2) +Ft!F$3*EXP(Ft!F$38*($A314-Ft!F$2)^2) + Ft!G$3*EXP(Ft!G$38*($A314-Ft!G$2)^2)</f>
        <v>13.800400344410976</v>
      </c>
      <c r="E314" s="26">
        <f>Ft!B$3*EXP(Ft!B$38*($A314-Ft!B$2)^2)</f>
        <v>3.165621721207183E-39</v>
      </c>
      <c r="F314" s="26">
        <f>Ft!C$3*EXP(Ft!C$38*($A314-Ft!C$2)^2)</f>
        <v>0.7928246134766046</v>
      </c>
      <c r="G314" s="26">
        <f>Ft!D$3*EXP(Ft!D$38*($A314-Ft!D$2)^2)</f>
        <v>12.985550225136556</v>
      </c>
      <c r="H314" s="26">
        <f>Ft!E$3*EXP(Ft!E$38*($A314-Ft!E$2)^2)</f>
        <v>2.2025505797814801E-2</v>
      </c>
      <c r="I314" s="26">
        <f>Ft!F$3*EXP(Ft!F$38*($A314-Ft!F$2)^2)</f>
        <v>1.7482273687222929E-55</v>
      </c>
      <c r="J314" s="26">
        <f>Ft!G$3*EXP(Ft!G$38*($A314-Ft!G$2)^2)</f>
        <v>5.3953540890389406E-222</v>
      </c>
    </row>
    <row r="315" spans="1:10">
      <c r="A315" s="19">
        <v>313</v>
      </c>
      <c r="B315" s="28">
        <v>48.285653082453535</v>
      </c>
      <c r="C315" s="27">
        <f ca="1">OFFSET($B315,1*(ROWS(C$2:C315)-1),0)</f>
        <v>3.101959773675361</v>
      </c>
      <c r="D315" s="26">
        <f>Ft!B$3*EXP(Ft!B$38*($A315-Ft!B$2)^2) +Ft!C$3*EXP(Ft!C$38*($A315-Ft!C$2)^2) + Ft!D$3*EXP(Ft!D$38*($A315-Ft!D$2)^2)+Ft!E$3*EXP(Ft!E$38*($A315-Ft!E$2)^2) +Ft!F$3*EXP(Ft!F$38*($A315-Ft!F$2)^2) + Ft!G$3*EXP(Ft!G$38*($A315-Ft!G$2)^2)</f>
        <v>13.84533379548029</v>
      </c>
      <c r="E315" s="26">
        <f>Ft!B$3*EXP(Ft!B$38*($A315-Ft!B$2)^2)</f>
        <v>1.6117085334097687E-39</v>
      </c>
      <c r="F315" s="26">
        <f>Ft!C$3*EXP(Ft!C$38*($A315-Ft!C$2)^2)</f>
        <v>0.77075456815373222</v>
      </c>
      <c r="G315" s="26">
        <f>Ft!D$3*EXP(Ft!D$38*($A315-Ft!D$2)^2)</f>
        <v>13.051980972584877</v>
      </c>
      <c r="H315" s="26">
        <f>Ft!E$3*EXP(Ft!E$38*($A315-Ft!E$2)^2)</f>
        <v>2.2598254741680184E-2</v>
      </c>
      <c r="I315" s="26">
        <f>Ft!F$3*EXP(Ft!F$38*($A315-Ft!F$2)^2)</f>
        <v>2.5319283708903628E-55</v>
      </c>
      <c r="J315" s="26">
        <f>Ft!G$3*EXP(Ft!G$38*($A315-Ft!G$2)^2)</f>
        <v>2.1736951426312971E-221</v>
      </c>
    </row>
    <row r="316" spans="1:10">
      <c r="A316" s="19">
        <v>314</v>
      </c>
      <c r="B316" s="28">
        <v>48.293325054205866</v>
      </c>
      <c r="C316" s="27">
        <f ca="1">OFFSET($B316,1*(ROWS(C$2:C316)-1),0)</f>
        <v>2.8482086619251277</v>
      </c>
      <c r="D316" s="26">
        <f>Ft!B$3*EXP(Ft!B$38*($A316-Ft!B$2)^2) +Ft!C$3*EXP(Ft!C$38*($A316-Ft!C$2)^2) + Ft!D$3*EXP(Ft!D$38*($A316-Ft!D$2)^2)+Ft!E$3*EXP(Ft!E$38*($A316-Ft!E$2)^2) +Ft!F$3*EXP(Ft!F$38*($A316-Ft!F$2)^2) + Ft!G$3*EXP(Ft!G$38*($A316-Ft!G$2)^2)</f>
        <v>13.890642042798435</v>
      </c>
      <c r="E316" s="26">
        <f>Ft!B$3*EXP(Ft!B$38*($A316-Ft!B$2)^2)</f>
        <v>8.184954390503981E-40</v>
      </c>
      <c r="F316" s="26">
        <f>Ft!C$3*EXP(Ft!C$38*($A316-Ft!C$2)^2)</f>
        <v>0.74917723714631224</v>
      </c>
      <c r="G316" s="26">
        <f>Ft!D$3*EXP(Ft!D$38*($A316-Ft!D$2)^2)</f>
        <v>13.118280075400646</v>
      </c>
      <c r="H316" s="26">
        <f>Ft!E$3*EXP(Ft!E$38*($A316-Ft!E$2)^2)</f>
        <v>2.3184730251475386E-2</v>
      </c>
      <c r="I316" s="26">
        <f>Ft!F$3*EXP(Ft!F$38*($A316-Ft!F$2)^2)</f>
        <v>3.6649768353823796E-55</v>
      </c>
      <c r="J316" s="26">
        <f>Ft!G$3*EXP(Ft!G$38*($A316-Ft!G$2)^2)</f>
        <v>8.7408073985179872E-221</v>
      </c>
    </row>
    <row r="317" spans="1:10">
      <c r="A317" s="19">
        <v>315</v>
      </c>
      <c r="B317" s="28">
        <v>48.272801797548652</v>
      </c>
      <c r="C317" s="27">
        <f ca="1">OFFSET($B317,1*(ROWS(C$2:C317)-1),0)</f>
        <v>2.5800705780271471</v>
      </c>
      <c r="D317" s="26">
        <f>Ft!B$3*EXP(Ft!B$38*($A317-Ft!B$2)^2) +Ft!C$3*EXP(Ft!C$38*($A317-Ft!C$2)^2) + Ft!D$3*EXP(Ft!D$38*($A317-Ft!D$2)^2)+Ft!E$3*EXP(Ft!E$38*($A317-Ft!E$2)^2) +Ft!F$3*EXP(Ft!F$38*($A317-Ft!F$2)^2) + Ft!G$3*EXP(Ft!G$38*($A317-Ft!G$2)^2)</f>
        <v>13.936313051269154</v>
      </c>
      <c r="E317" s="26">
        <f>Ft!B$3*EXP(Ft!B$38*($A317-Ft!B$2)^2)</f>
        <v>4.1461813357285874E-40</v>
      </c>
      <c r="F317" s="26">
        <f>Ft!C$3*EXP(Ft!C$38*($A317-Ft!C$2)^2)</f>
        <v>0.72808573531494003</v>
      </c>
      <c r="G317" s="26">
        <f>Ft!D$3*EXP(Ft!D$38*($A317-Ft!D$2)^2)</f>
        <v>13.184442087202243</v>
      </c>
      <c r="H317" s="26">
        <f>Ft!E$3*EXP(Ft!E$38*($A317-Ft!E$2)^2)</f>
        <v>2.3785228751971404E-2</v>
      </c>
      <c r="I317" s="26">
        <f>Ft!F$3*EXP(Ft!F$38*($A317-Ft!F$2)^2)</f>
        <v>5.3022154563621499E-55</v>
      </c>
      <c r="J317" s="26">
        <f>Ft!G$3*EXP(Ft!G$38*($A317-Ft!G$2)^2)</f>
        <v>3.5081544041528746E-220</v>
      </c>
    </row>
    <row r="318" spans="1:10">
      <c r="A318" s="19">
        <v>316</v>
      </c>
      <c r="B318" s="28">
        <v>48.264178407994535</v>
      </c>
      <c r="C318" s="27">
        <f ca="1">OFFSET($B318,1*(ROWS(C$2:C318)-1),0)</f>
        <v>2.3264812278350746</v>
      </c>
      <c r="D318" s="26">
        <f>Ft!B$3*EXP(Ft!B$38*($A318-Ft!B$2)^2) +Ft!C$3*EXP(Ft!C$38*($A318-Ft!C$2)^2) + Ft!D$3*EXP(Ft!D$38*($A318-Ft!D$2)^2)+Ft!E$3*EXP(Ft!E$38*($A318-Ft!E$2)^2) +Ft!F$3*EXP(Ft!F$38*($A318-Ft!F$2)^2) + Ft!G$3*EXP(Ft!G$38*($A318-Ft!G$2)^2)</f>
        <v>13.982334738578965</v>
      </c>
      <c r="E318" s="26">
        <f>Ft!B$3*EXP(Ft!B$38*($A318-Ft!B$2)^2)</f>
        <v>2.0949930720237211E-40</v>
      </c>
      <c r="F318" s="26">
        <f>Ft!C$3*EXP(Ft!C$38*($A318-Ft!C$2)^2)</f>
        <v>0.7074731375113178</v>
      </c>
      <c r="G318" s="26">
        <f>Ft!D$3*EXP(Ft!D$38*($A318-Ft!D$2)^2)</f>
        <v>13.250461548859574</v>
      </c>
      <c r="H318" s="26">
        <f>Ft!E$3*EXP(Ft!E$38*($A318-Ft!E$2)^2)</f>
        <v>2.4400052208071819E-2</v>
      </c>
      <c r="I318" s="26">
        <f>Ft!F$3*EXP(Ft!F$38*($A318-Ft!F$2)^2)</f>
        <v>7.6667239688192904E-55</v>
      </c>
      <c r="J318" s="26">
        <f>Ft!G$3*EXP(Ft!G$38*($A318-Ft!G$2)^2)</f>
        <v>1.4053357089838416E-219</v>
      </c>
    </row>
    <row r="319" spans="1:10">
      <c r="A319" s="19">
        <v>317</v>
      </c>
      <c r="B319" s="28">
        <v>48.279542851968529</v>
      </c>
      <c r="C319" s="27">
        <f ca="1">OFFSET($B319,1*(ROWS(C$2:C319)-1),0)</f>
        <v>2.0727790975968219</v>
      </c>
      <c r="D319" s="26">
        <f>Ft!B$3*EXP(Ft!B$38*($A319-Ft!B$2)^2) +Ft!C$3*EXP(Ft!C$38*($A319-Ft!C$2)^2) + Ft!D$3*EXP(Ft!D$38*($A319-Ft!D$2)^2)+Ft!E$3*EXP(Ft!E$38*($A319-Ft!E$2)^2) +Ft!F$3*EXP(Ft!F$38*($A319-Ft!F$2)^2) + Ft!G$3*EXP(Ft!G$38*($A319-Ft!G$2)^2)</f>
        <v>14.028694981561481</v>
      </c>
      <c r="E319" s="26">
        <f>Ft!B$3*EXP(Ft!B$38*($A319-Ft!B$2)^2)</f>
        <v>1.0558911751586192E-40</v>
      </c>
      <c r="F319" s="26">
        <f>Ft!C$3*EXP(Ft!C$38*($A319-Ft!C$2)^2)</f>
        <v>0.6873324841381887</v>
      </c>
      <c r="G319" s="26">
        <f>Ft!D$3*EXP(Ft!D$38*($A319-Ft!D$2)^2)</f>
        <v>13.316332989216573</v>
      </c>
      <c r="H319" s="26">
        <f>Ft!E$3*EXP(Ft!E$38*($A319-Ft!E$2)^2)</f>
        <v>2.5029508206718593E-2</v>
      </c>
      <c r="I319" s="26">
        <f>Ft!F$3*EXP(Ft!F$38*($A319-Ft!F$2)^2)</f>
        <v>1.1079715316722826E-54</v>
      </c>
      <c r="J319" s="26">
        <f>Ft!G$3*EXP(Ft!G$38*($A319-Ft!G$2)^2)</f>
        <v>5.618956845133248E-219</v>
      </c>
    </row>
    <row r="320" spans="1:10">
      <c r="A320" s="19">
        <v>318</v>
      </c>
      <c r="B320" s="28">
        <v>48.280126515757331</v>
      </c>
      <c r="C320" s="27">
        <f ca="1">OFFSET($B320,1*(ROWS(C$2:C320)-1),0)</f>
        <v>1.8788834231988858</v>
      </c>
      <c r="D320" s="26">
        <f>Ft!B$3*EXP(Ft!B$38*($A320-Ft!B$2)^2) +Ft!C$3*EXP(Ft!C$38*($A320-Ft!C$2)^2) + Ft!D$3*EXP(Ft!D$38*($A320-Ft!D$2)^2)+Ft!E$3*EXP(Ft!E$38*($A320-Ft!E$2)^2) +Ft!F$3*EXP(Ft!F$38*($A320-Ft!F$2)^2) + Ft!G$3*EXP(Ft!G$38*($A320-Ft!G$2)^2)</f>
        <v>14.075381622438812</v>
      </c>
      <c r="E320" s="26">
        <f>Ft!B$3*EXP(Ft!B$38*($A320-Ft!B$2)^2)</f>
        <v>5.3083310498887602E-41</v>
      </c>
      <c r="F320" s="26">
        <f>Ft!C$3*EXP(Ft!C$38*($A320-Ft!C$2)^2)</f>
        <v>0.66765678657988248</v>
      </c>
      <c r="G320" s="26">
        <f>Ft!D$3*EXP(Ft!D$38*($A320-Ft!D$2)^2)</f>
        <v>13.382050925819446</v>
      </c>
      <c r="H320" s="26">
        <f>Ft!E$3*EXP(Ft!E$38*($A320-Ft!E$2)^2)</f>
        <v>2.5673910039483341E-2</v>
      </c>
      <c r="I320" s="26">
        <f>Ft!F$3*EXP(Ft!F$38*($A320-Ft!F$2)^2)</f>
        <v>1.6003452852309856E-54</v>
      </c>
      <c r="J320" s="26">
        <f>Ft!G$3*EXP(Ft!G$38*($A320-Ft!G$2)^2)</f>
        <v>2.2423610684146069E-218</v>
      </c>
    </row>
    <row r="321" spans="1:10">
      <c r="A321" s="19">
        <v>319</v>
      </c>
      <c r="B321" s="28">
        <v>48.278774277689308</v>
      </c>
      <c r="C321" s="27">
        <f ca="1">OFFSET($B321,1*(ROWS(C$2:C321)-1),0)</f>
        <v>1.6822352364906692</v>
      </c>
      <c r="D321" s="26">
        <f>Ft!B$3*EXP(Ft!B$38*($A321-Ft!B$2)^2) +Ft!C$3*EXP(Ft!C$38*($A321-Ft!C$2)^2) + Ft!D$3*EXP(Ft!D$38*($A321-Ft!D$2)^2)+Ft!E$3*EXP(Ft!E$38*($A321-Ft!E$2)^2) +Ft!F$3*EXP(Ft!F$38*($A321-Ft!F$2)^2) + Ft!G$3*EXP(Ft!G$38*($A321-Ft!G$2)^2)</f>
        <v>14.122382474938398</v>
      </c>
      <c r="E321" s="26">
        <f>Ft!B$3*EXP(Ft!B$38*($A321-Ft!B$2)^2)</f>
        <v>2.6619451898278127E-41</v>
      </c>
      <c r="F321" s="26">
        <f>Ft!C$3*EXP(Ft!C$38*($A321-Ft!C$2)^2)</f>
        <v>0.64843903250192125</v>
      </c>
      <c r="G321" s="26">
        <f>Ft!D$3*EXP(Ft!D$38*($A321-Ft!D$2)^2)</f>
        <v>13.447609865650639</v>
      </c>
      <c r="H321" s="26">
        <f>Ft!E$3*EXP(Ft!E$38*($A321-Ft!E$2)^2)</f>
        <v>2.6333576785837687E-2</v>
      </c>
      <c r="I321" s="26">
        <f>Ft!F$3*EXP(Ft!F$38*($A321-Ft!F$2)^2)</f>
        <v>2.310282594785643E-54</v>
      </c>
      <c r="J321" s="26">
        <f>Ft!G$3*EXP(Ft!G$38*($A321-Ft!G$2)^2)</f>
        <v>8.9316074175661039E-218</v>
      </c>
    </row>
    <row r="322" spans="1:10">
      <c r="A322" s="19">
        <v>320</v>
      </c>
      <c r="B322" s="28">
        <v>48.289552414484945</v>
      </c>
      <c r="C322" s="27">
        <f ca="1">OFFSET($B322,1*(ROWS(C$2:C322)-1),0)</f>
        <v>1.507841347211837</v>
      </c>
      <c r="D322" s="26">
        <f>Ft!B$3*EXP(Ft!B$38*($A322-Ft!B$2)^2) +Ft!C$3*EXP(Ft!C$38*($A322-Ft!C$2)^2) + Ft!D$3*EXP(Ft!D$38*($A322-Ft!D$2)^2)+Ft!E$3*EXP(Ft!E$38*($A322-Ft!E$2)^2) +Ft!F$3*EXP(Ft!F$38*($A322-Ft!F$2)^2) + Ft!G$3*EXP(Ft!G$38*($A322-Ft!G$2)^2)</f>
        <v>14.169685330283718</v>
      </c>
      <c r="E322" s="26">
        <f>Ft!B$3*EXP(Ft!B$38*($A322-Ft!B$2)^2)</f>
        <v>1.3315040407462985E-41</v>
      </c>
      <c r="F322" s="26">
        <f>Ft!C$3*EXP(Ft!C$38*($A322-Ft!C$2)^2)</f>
        <v>0.62967219101832006</v>
      </c>
      <c r="G322" s="26">
        <f>Ft!D$3*EXP(Ft!D$38*($A322-Ft!D$2)^2)</f>
        <v>13.513004305868304</v>
      </c>
      <c r="H322" s="26">
        <f>Ft!E$3*EXP(Ft!E$38*($A322-Ft!E$2)^2)</f>
        <v>2.7008833397093625E-2</v>
      </c>
      <c r="I322" s="26">
        <f>Ft!F$3*EXP(Ft!F$38*($A322-Ft!F$2)^2)</f>
        <v>3.3333647331573305E-54</v>
      </c>
      <c r="J322" s="26">
        <f>Ft!G$3*EXP(Ft!G$38*($A322-Ft!G$2)^2)</f>
        <v>3.5508141331389737E-217</v>
      </c>
    </row>
    <row r="323" spans="1:10">
      <c r="A323" s="19">
        <v>321</v>
      </c>
      <c r="B323" s="28">
        <v>48.297014071910382</v>
      </c>
      <c r="C323" s="27">
        <f ca="1">OFFSET($B323,1*(ROWS(C$2:C323)-1),0)</f>
        <v>1.3393127867776968</v>
      </c>
      <c r="D323" s="26">
        <f>Ft!B$3*EXP(Ft!B$38*($A323-Ft!B$2)^2) +Ft!C$3*EXP(Ft!C$38*($A323-Ft!C$2)^2) + Ft!D$3*EXP(Ft!D$38*($A323-Ft!D$2)^2)+Ft!E$3*EXP(Ft!E$38*($A323-Ft!E$2)^2) +Ft!F$3*EXP(Ft!F$38*($A323-Ft!F$2)^2) + Ft!G$3*EXP(Ft!G$38*($A323-Ft!G$2)^2)</f>
        <v>14.21727796305762</v>
      </c>
      <c r="E323" s="26">
        <f>Ft!B$3*EXP(Ft!B$38*($A323-Ft!B$2)^2)</f>
        <v>6.6433653763463947E-42</v>
      </c>
      <c r="F323" s="26">
        <f>Ft!C$3*EXP(Ft!C$38*($A323-Ft!C$2)^2)</f>
        <v>0.61134921772541617</v>
      </c>
      <c r="G323" s="26">
        <f>Ft!D$3*EXP(Ft!D$38*($A323-Ft!D$2)^2)</f>
        <v>13.578228734551198</v>
      </c>
      <c r="H323" s="26">
        <f>Ft!E$3*EXP(Ft!E$38*($A323-Ft!E$2)^2)</f>
        <v>2.7700010781006389E-2</v>
      </c>
      <c r="I323" s="26">
        <f>Ft!F$3*EXP(Ft!F$38*($A323-Ft!F$2)^2)</f>
        <v>4.8069198950807693E-54</v>
      </c>
      <c r="J323" s="26">
        <f>Ft!G$3*EXP(Ft!G$38*($A323-Ft!G$2)^2)</f>
        <v>1.4089659148321224E-216</v>
      </c>
    </row>
    <row r="324" spans="1:10">
      <c r="A324" s="19">
        <v>322</v>
      </c>
      <c r="B324" s="28">
        <v>48.305956844259612</v>
      </c>
      <c r="C324" s="27">
        <f ca="1">OFFSET($B324,1*(ROWS(C$2:C324)-1),0)</f>
        <v>1.1909848262066873</v>
      </c>
      <c r="D324" s="26">
        <f>Ft!B$3*EXP(Ft!B$38*($A324-Ft!B$2)^2) +Ft!C$3*EXP(Ft!C$38*($A324-Ft!C$2)^2) + Ft!D$3*EXP(Ft!D$38*($A324-Ft!D$2)^2)+Ft!E$3*EXP(Ft!E$38*($A324-Ft!E$2)^2) +Ft!F$3*EXP(Ft!F$38*($A324-Ft!F$2)^2) + Ft!G$3*EXP(Ft!G$38*($A324-Ft!G$2)^2)</f>
        <v>14.265148136937094</v>
      </c>
      <c r="E324" s="26">
        <f>Ft!B$3*EXP(Ft!B$38*($A324-Ft!B$2)^2)</f>
        <v>3.3062528134155104E-42</v>
      </c>
      <c r="F324" s="26">
        <f>Ft!C$3*EXP(Ft!C$38*($A324-Ft!C$2)^2)</f>
        <v>0.59346305960122669</v>
      </c>
      <c r="G324" s="26">
        <f>Ft!D$3*EXP(Ft!D$38*($A324-Ft!D$2)^2)</f>
        <v>13.643277631448838</v>
      </c>
      <c r="H324" s="26">
        <f>Ft!E$3*EXP(Ft!E$38*($A324-Ft!E$2)^2)</f>
        <v>2.8407445887030199E-2</v>
      </c>
      <c r="I324" s="26">
        <f>Ft!F$3*EXP(Ft!F$38*($A324-Ft!F$2)^2)</f>
        <v>6.9281495228199903E-54</v>
      </c>
      <c r="J324" s="26">
        <f>Ft!G$3*EXP(Ft!G$38*($A324-Ft!G$2)^2)</f>
        <v>5.5801679081117192E-216</v>
      </c>
    </row>
    <row r="325" spans="1:10">
      <c r="A325" s="19">
        <v>323</v>
      </c>
      <c r="B325" s="28">
        <v>48.327434500597178</v>
      </c>
      <c r="C325" s="27">
        <f ca="1">OFFSET($B325,1*(ROWS(C$2:C325)-1),0)</f>
        <v>1.0262170257561252</v>
      </c>
      <c r="D325" s="26">
        <f>Ft!B$3*EXP(Ft!B$38*($A325-Ft!B$2)^2) +Ft!C$3*EXP(Ft!C$38*($A325-Ft!C$2)^2) + Ft!D$3*EXP(Ft!D$38*($A325-Ft!D$2)^2)+Ft!E$3*EXP(Ft!E$38*($A325-Ft!E$2)^2) +Ft!F$3*EXP(Ft!F$38*($A325-Ft!F$2)^2) + Ft!G$3*EXP(Ft!G$38*($A325-Ft!G$2)^2)</f>
        <v>14.313283610298539</v>
      </c>
      <c r="E325" s="26">
        <f>Ft!B$3*EXP(Ft!B$38*($A325-Ft!B$2)^2)</f>
        <v>1.6412934992998786E-42</v>
      </c>
      <c r="F325" s="26">
        <f>Ft!C$3*EXP(Ft!C$38*($A325-Ft!C$2)^2)</f>
        <v>0.5760066597695328</v>
      </c>
      <c r="G325" s="26">
        <f>Ft!D$3*EXP(Ft!D$38*($A325-Ft!D$2)^2)</f>
        <v>13.708145468736788</v>
      </c>
      <c r="H325" s="26">
        <f>Ft!E$3*EXP(Ft!E$38*($A325-Ft!E$2)^2)</f>
        <v>2.913148179221843E-2</v>
      </c>
      <c r="I325" s="26">
        <f>Ft!F$3*EXP(Ft!F$38*($A325-Ft!F$2)^2)</f>
        <v>9.9800780490577397E-54</v>
      </c>
      <c r="J325" s="26">
        <f>Ft!G$3*EXP(Ft!G$38*($A325-Ft!G$2)^2)</f>
        <v>2.2058109095319725E-215</v>
      </c>
    </row>
    <row r="326" spans="1:10">
      <c r="A326" s="19">
        <v>324</v>
      </c>
      <c r="B326" s="28">
        <v>48.341075081633392</v>
      </c>
      <c r="C326" s="27">
        <f ca="1">OFFSET($B326,1*(ROWS(C$2:C326)-1),0)</f>
        <v>0.92084087289555328</v>
      </c>
      <c r="D326" s="26">
        <f>Ft!B$3*EXP(Ft!B$38*($A326-Ft!B$2)^2) +Ft!C$3*EXP(Ft!C$38*($A326-Ft!C$2)^2) + Ft!D$3*EXP(Ft!D$38*($A326-Ft!D$2)^2)+Ft!E$3*EXP(Ft!E$38*($A326-Ft!E$2)^2) +Ft!F$3*EXP(Ft!F$38*($A326-Ft!F$2)^2) + Ft!G$3*EXP(Ft!G$38*($A326-Ft!G$2)^2)</f>
        <v>14.361672141692766</v>
      </c>
      <c r="E326" s="26">
        <f>Ft!B$3*EXP(Ft!B$38*($A326-Ft!B$2)^2)</f>
        <v>8.1271581330589545E-43</v>
      </c>
      <c r="F326" s="26">
        <f>Ft!C$3*EXP(Ft!C$38*($A326-Ft!C$2)^2)</f>
        <v>0.55897296212804415</v>
      </c>
      <c r="G326" s="26">
        <f>Ft!D$3*EXP(Ft!D$38*($A326-Ft!D$2)^2)</f>
        <v>13.772826711776965</v>
      </c>
      <c r="H326" s="26">
        <f>Ft!E$3*EXP(Ft!E$38*($A326-Ft!E$2)^2)</f>
        <v>2.9872467787757186E-2</v>
      </c>
      <c r="I326" s="26">
        <f>Ft!F$3*EXP(Ft!F$38*($A326-Ft!F$2)^2)</f>
        <v>1.4368682284242854E-53</v>
      </c>
      <c r="J326" s="26">
        <f>Ft!G$3*EXP(Ft!G$38*($A326-Ft!G$2)^2)</f>
        <v>8.7028906468019161E-215</v>
      </c>
    </row>
    <row r="327" spans="1:10">
      <c r="A327" s="19">
        <v>325</v>
      </c>
      <c r="B327" s="28">
        <v>48.361065034668258</v>
      </c>
      <c r="C327" s="27">
        <f ca="1">OFFSET($B327,1*(ROWS(C$2:C327)-1),0)</f>
        <v>0.81692990215560712</v>
      </c>
      <c r="D327" s="26">
        <f>Ft!B$3*EXP(Ft!B$38*($A327-Ft!B$2)^2) +Ft!C$3*EXP(Ft!C$38*($A327-Ft!C$2)^2) + Ft!D$3*EXP(Ft!D$38*($A327-Ft!D$2)^2)+Ft!E$3*EXP(Ft!E$38*($A327-Ft!E$2)^2) +Ft!F$3*EXP(Ft!F$38*($A327-Ft!F$2)^2) + Ft!G$3*EXP(Ft!G$38*($A327-Ft!G$2)^2)</f>
        <v>14.41030149518908</v>
      </c>
      <c r="E327" s="26">
        <f>Ft!B$3*EXP(Ft!B$38*($A327-Ft!B$2)^2)</f>
        <v>4.0141485569958236E-43</v>
      </c>
      <c r="F327" s="26">
        <f>Ft!C$3*EXP(Ft!C$38*($A327-Ft!C$2)^2)</f>
        <v>0.5423549158401898</v>
      </c>
      <c r="G327" s="26">
        <f>Ft!D$3*EXP(Ft!D$38*($A327-Ft!D$2)^2)</f>
        <v>13.837315819882766</v>
      </c>
      <c r="H327" s="26">
        <f>Ft!E$3*EXP(Ft!E$38*($A327-Ft!E$2)^2)</f>
        <v>3.0630759466123529E-2</v>
      </c>
      <c r="I327" s="26">
        <f>Ft!F$3*EXP(Ft!F$38*($A327-Ft!F$2)^2)</f>
        <v>2.0675987676926327E-53</v>
      </c>
      <c r="J327" s="26">
        <f>Ft!G$3*EXP(Ft!G$38*($A327-Ft!G$2)^2)</f>
        <v>3.4271491536644419E-214</v>
      </c>
    </row>
    <row r="328" spans="1:10">
      <c r="A328" s="19">
        <v>326</v>
      </c>
      <c r="B328" s="28">
        <v>48.359415642141528</v>
      </c>
      <c r="C328" s="27">
        <f ca="1">OFFSET($B328,1*(ROWS(C$2:C328)-1),0)</f>
        <v>0.71387491394747826</v>
      </c>
      <c r="D328" s="26">
        <f>Ft!B$3*EXP(Ft!B$38*($A328-Ft!B$2)^2) +Ft!C$3*EXP(Ft!C$38*($A328-Ft!C$2)^2) + Ft!D$3*EXP(Ft!D$38*($A328-Ft!D$2)^2)+Ft!E$3*EXP(Ft!E$38*($A328-Ft!E$2)^2) +Ft!F$3*EXP(Ft!F$38*($A328-Ft!F$2)^2) + Ft!G$3*EXP(Ft!G$38*($A328-Ft!G$2)^2)</f>
        <v>14.459159445588018</v>
      </c>
      <c r="E328" s="26">
        <f>Ft!B$3*EXP(Ft!B$38*($A328-Ft!B$2)^2)</f>
        <v>1.9776545924094118E-43</v>
      </c>
      <c r="F328" s="26">
        <f>Ft!C$3*EXP(Ft!C$38*($A328-Ft!C$2)^2)</f>
        <v>0.52614547969022196</v>
      </c>
      <c r="G328" s="26">
        <f>Ft!D$3*EXP(Ft!D$38*($A328-Ft!D$2)^2)</f>
        <v>13.90160724708894</v>
      </c>
      <c r="H328" s="26">
        <f>Ft!E$3*EXP(Ft!E$38*($A328-Ft!E$2)^2)</f>
        <v>3.1406718808856121E-2</v>
      </c>
      <c r="I328" s="26">
        <f>Ft!F$3*EXP(Ft!F$38*($A328-Ft!F$2)^2)</f>
        <v>2.973595603226896E-53</v>
      </c>
      <c r="J328" s="26">
        <f>Ft!G$3*EXP(Ft!G$38*($A328-Ft!G$2)^2)</f>
        <v>1.3470282943489067E-213</v>
      </c>
    </row>
    <row r="329" spans="1:10">
      <c r="A329" s="19">
        <v>327</v>
      </c>
      <c r="B329" s="28">
        <v>48.353530610988201</v>
      </c>
      <c r="C329" s="27">
        <f ca="1">OFFSET($B329,1*(ROWS(C$2:C329)-1),0)</f>
        <v>0.65368201983238805</v>
      </c>
      <c r="D329" s="26">
        <f>Ft!B$3*EXP(Ft!B$38*($A329-Ft!B$2)^2) +Ft!C$3*EXP(Ft!C$38*($A329-Ft!C$2)^2) + Ft!D$3*EXP(Ft!D$38*($A329-Ft!D$2)^2)+Ft!E$3*EXP(Ft!E$38*($A329-Ft!E$2)^2) +Ft!F$3*EXP(Ft!F$38*($A329-Ft!F$2)^2) + Ft!G$3*EXP(Ft!G$38*($A329-Ft!G$2)^2)</f>
        <v>14.508233783502453</v>
      </c>
      <c r="E329" s="26">
        <f>Ft!B$3*EXP(Ft!B$38*($A329-Ft!B$2)^2)</f>
        <v>9.7187343973368172E-44</v>
      </c>
      <c r="F329" s="26">
        <f>Ft!C$3*EXP(Ft!C$38*($A329-Ft!C$2)^2)</f>
        <v>0.51033762630150825</v>
      </c>
      <c r="G329" s="26">
        <f>Ft!D$3*EXP(Ft!D$38*($A329-Ft!D$2)^2)</f>
        <v>13.965695442926016</v>
      </c>
      <c r="H329" s="26">
        <f>Ft!E$3*EXP(Ft!E$38*($A329-Ft!E$2)^2)</f>
        <v>3.2200714274928093E-2</v>
      </c>
      <c r="I329" s="26">
        <f>Ft!F$3*EXP(Ft!F$38*($A329-Ft!F$2)^2)</f>
        <v>4.2742888300751863E-53</v>
      </c>
      <c r="J329" s="26">
        <f>Ft!G$3*EXP(Ft!G$38*($A329-Ft!G$2)^2)</f>
        <v>5.284387584599135E-213</v>
      </c>
    </row>
    <row r="330" spans="1:10">
      <c r="A330" s="19">
        <v>328</v>
      </c>
      <c r="B330" s="28">
        <v>48.374165882144581</v>
      </c>
      <c r="C330" s="27">
        <f ca="1">OFFSET($B330,1*(ROWS(C$2:C330)-1),0)</f>
        <v>0.57161239652640461</v>
      </c>
      <c r="D330" s="26">
        <f>Ft!B$3*EXP(Ft!B$38*($A330-Ft!B$2)^2) +Ft!C$3*EXP(Ft!C$38*($A330-Ft!C$2)^2) + Ft!D$3*EXP(Ft!D$38*($A330-Ft!D$2)^2)+Ft!E$3*EXP(Ft!E$38*($A330-Ft!E$2)^2) +Ft!F$3*EXP(Ft!F$38*($A330-Ft!F$2)^2) + Ft!G$3*EXP(Ft!G$38*($A330-Ft!G$2)^2)</f>
        <v>14.557512320306877</v>
      </c>
      <c r="E330" s="26">
        <f>Ft!B$3*EXP(Ft!B$38*($A330-Ft!B$2)^2)</f>
        <v>4.7639945402014061E-44</v>
      </c>
      <c r="F330" s="26">
        <f>Ft!C$3*EXP(Ft!C$38*($A330-Ft!C$2)^2)</f>
        <v>0.49492434621802378</v>
      </c>
      <c r="G330" s="26">
        <f>Ft!D$3*EXP(Ft!D$38*($A330-Ft!D$2)^2)</f>
        <v>14.029574853199144</v>
      </c>
      <c r="H330" s="26">
        <f>Ft!E$3*EXP(Ft!E$38*($A330-Ft!E$2)^2)</f>
        <v>3.3013120889709792E-2</v>
      </c>
      <c r="I330" s="26">
        <f>Ft!F$3*EXP(Ft!F$38*($A330-Ft!F$2)^2)</f>
        <v>6.1406188880335918E-53</v>
      </c>
      <c r="J330" s="26">
        <f>Ft!G$3*EXP(Ft!G$38*($A330-Ft!G$2)^2)</f>
        <v>2.0691255425158981E-212</v>
      </c>
    </row>
    <row r="331" spans="1:10">
      <c r="A331" s="19">
        <v>329</v>
      </c>
      <c r="B331" s="28">
        <v>48.363922962596178</v>
      </c>
      <c r="C331" s="27">
        <f ca="1">OFFSET($B331,1*(ROWS(C$2:C331)-1),0)</f>
        <v>0.47012508433968492</v>
      </c>
      <c r="D331" s="26">
        <f>Ft!B$3*EXP(Ft!B$38*($A331-Ft!B$2)^2) +Ft!C$3*EXP(Ft!C$38*($A331-Ft!C$2)^2) + Ft!D$3*EXP(Ft!D$38*($A331-Ft!D$2)^2)+Ft!E$3*EXP(Ft!E$38*($A331-Ft!E$2)^2) +Ft!F$3*EXP(Ft!F$38*($A331-Ft!F$2)^2) + Ft!G$3*EXP(Ft!G$38*($A331-Ft!G$2)^2)</f>
        <v>14.606982892954967</v>
      </c>
      <c r="E331" s="26">
        <f>Ft!B$3*EXP(Ft!B$38*($A331-Ft!B$2)^2)</f>
        <v>2.3293517051231696E-44</v>
      </c>
      <c r="F331" s="26">
        <f>Ft!C$3*EXP(Ft!C$38*($A331-Ft!C$2)^2)</f>
        <v>0.47989865184922015</v>
      </c>
      <c r="G331" s="26">
        <f>Ft!D$3*EXP(Ft!D$38*($A331-Ft!D$2)^2)</f>
        <v>14.093239920771238</v>
      </c>
      <c r="H331" s="26">
        <f>Ft!E$3*EXP(Ft!E$38*($A331-Ft!E$2)^2)</f>
        <v>3.384432033450975E-2</v>
      </c>
      <c r="I331" s="26">
        <f>Ft!F$3*EXP(Ft!F$38*($A331-Ft!F$2)^2)</f>
        <v>8.8171197866730702E-53</v>
      </c>
      <c r="J331" s="26">
        <f>Ft!G$3*EXP(Ft!G$38*($A331-Ft!G$2)^2)</f>
        <v>8.0863633775453112E-212</v>
      </c>
    </row>
    <row r="332" spans="1:10">
      <c r="A332" s="19">
        <v>330</v>
      </c>
      <c r="B332" s="28">
        <v>48.359759389472401</v>
      </c>
      <c r="C332" s="27">
        <f ca="1">OFFSET($B332,1*(ROWS(C$2:C332)-1),0)</f>
        <v>0.3984439894373395</v>
      </c>
      <c r="D332" s="26">
        <f>Ft!B$3*EXP(Ft!B$38*($A332-Ft!B$2)^2) +Ft!C$3*EXP(Ft!C$38*($A332-Ft!C$2)^2) + Ft!D$3*EXP(Ft!D$38*($A332-Ft!D$2)^2)+Ft!E$3*EXP(Ft!E$38*($A332-Ft!E$2)^2) +Ft!F$3*EXP(Ft!F$38*($A332-Ft!F$2)^2) + Ft!G$3*EXP(Ft!G$38*($A332-Ft!G$2)^2)</f>
        <v>14.656633368665483</v>
      </c>
      <c r="E332" s="26">
        <f>Ft!B$3*EXP(Ft!B$38*($A332-Ft!B$2)^2)</f>
        <v>1.1360596864360533E-44</v>
      </c>
      <c r="F332" s="26">
        <f>Ft!C$3*EXP(Ft!C$38*($A332-Ft!C$2)^2)</f>
        <v>0.46525358127858502</v>
      </c>
      <c r="G332" s="26">
        <f>Ft!D$3*EXP(Ft!D$38*($A332-Ft!D$2)^2)</f>
        <v>14.156685086350219</v>
      </c>
      <c r="H332" s="26">
        <f>Ft!E$3*EXP(Ft!E$38*($A332-Ft!E$2)^2)</f>
        <v>3.4694701036679966E-2</v>
      </c>
      <c r="I332" s="26">
        <f>Ft!F$3*EXP(Ft!F$38*($A332-Ft!F$2)^2)</f>
        <v>1.2653412215438306E-52</v>
      </c>
      <c r="J332" s="26">
        <f>Ft!G$3*EXP(Ft!G$38*($A332-Ft!G$2)^2)</f>
        <v>3.1542339206206989E-211</v>
      </c>
    </row>
    <row r="333" spans="1:10">
      <c r="A333" s="19">
        <v>331</v>
      </c>
      <c r="B333" s="28">
        <v>48.361458504501542</v>
      </c>
      <c r="C333" s="27">
        <f ca="1">OFFSET($B333,1*(ROWS(C$2:C333)-1),0)</f>
        <v>0.32828284781126627</v>
      </c>
      <c r="D333" s="26">
        <f>Ft!B$3*EXP(Ft!B$38*($A333-Ft!B$2)^2) +Ft!C$3*EXP(Ft!C$38*($A333-Ft!C$2)^2) + Ft!D$3*EXP(Ft!D$38*($A333-Ft!D$2)^2)+Ft!E$3*EXP(Ft!E$38*($A333-Ft!E$2)^2) +Ft!F$3*EXP(Ft!F$38*($A333-Ft!F$2)^2) + Ft!G$3*EXP(Ft!G$38*($A333-Ft!G$2)^2)</f>
        <v>14.706451649476888</v>
      </c>
      <c r="E333" s="26">
        <f>Ft!B$3*EXP(Ft!B$38*($A333-Ft!B$2)^2)</f>
        <v>5.5267459452110056E-45</v>
      </c>
      <c r="F333" s="26">
        <f>Ft!C$3*EXP(Ft!C$38*($A333-Ft!C$2)^2)</f>
        <v>0.45098220193636529</v>
      </c>
      <c r="G333" s="26">
        <f>Ft!D$3*EXP(Ft!D$38*($A333-Ft!D$2)^2)</f>
        <v>14.219904789280248</v>
      </c>
      <c r="H333" s="26">
        <f>Ft!E$3*EXP(Ft!E$38*($A333-Ft!E$2)^2)</f>
        <v>3.556465826027376E-2</v>
      </c>
      <c r="I333" s="26">
        <f>Ft!F$3*EXP(Ft!F$38*($A333-Ft!F$2)^2)</f>
        <v>1.8149091510893653E-52</v>
      </c>
      <c r="J333" s="26">
        <f>Ft!G$3*EXP(Ft!G$38*($A333-Ft!G$2)^2)</f>
        <v>1.2280294312393967E-210</v>
      </c>
    </row>
    <row r="334" spans="1:10">
      <c r="A334" s="19">
        <v>332</v>
      </c>
      <c r="B334" s="28">
        <v>48.372280859713925</v>
      </c>
      <c r="C334" s="27">
        <f ca="1">OFFSET($B334,1*(ROWS(C$2:C334)-1),0)</f>
        <v>0.28441712144260123</v>
      </c>
      <c r="D334" s="26">
        <f>Ft!B$3*EXP(Ft!B$38*($A334-Ft!B$2)^2) +Ft!C$3*EXP(Ft!C$38*($A334-Ft!C$2)^2) + Ft!D$3*EXP(Ft!D$38*($A334-Ft!D$2)^2)+Ft!E$3*EXP(Ft!E$38*($A334-Ft!E$2)^2) +Ft!F$3*EXP(Ft!F$38*($A334-Ft!F$2)^2) + Ft!G$3*EXP(Ft!G$38*($A334-Ft!G$2)^2)</f>
        <v>14.756425676671061</v>
      </c>
      <c r="E334" s="26">
        <f>Ft!B$3*EXP(Ft!B$38*($A334-Ft!B$2)^2)</f>
        <v>2.6818848306439759E-45</v>
      </c>
      <c r="F334" s="26">
        <f>Ft!C$3*EXP(Ft!C$38*($A334-Ft!C$2)^2)</f>
        <v>0.43707761413704521</v>
      </c>
      <c r="G334" s="26">
        <f>Ft!D$3*EXP(Ft!D$38*($A334-Ft!D$2)^2)</f>
        <v>14.282893468336773</v>
      </c>
      <c r="H334" s="26">
        <f>Ft!E$3*EXP(Ft!E$38*($A334-Ft!E$2)^2)</f>
        <v>3.6454594197240953E-2</v>
      </c>
      <c r="I334" s="26">
        <f>Ft!F$3*EXP(Ft!F$38*($A334-Ft!F$2)^2)</f>
        <v>2.6017672517197625E-52</v>
      </c>
      <c r="J334" s="26">
        <f>Ft!G$3*EXP(Ft!G$38*($A334-Ft!G$2)^2)</f>
        <v>4.7719719904610669E-210</v>
      </c>
    </row>
    <row r="335" spans="1:10">
      <c r="A335" s="19">
        <v>333</v>
      </c>
      <c r="B335" s="28">
        <v>48.384795199355153</v>
      </c>
      <c r="C335" s="27">
        <f ca="1">OFFSET($B335,1*(ROWS(C$2:C335)-1),0)</f>
        <v>0.26003628025463854</v>
      </c>
      <c r="D335" s="26">
        <f>Ft!B$3*EXP(Ft!B$38*($A335-Ft!B$2)^2) +Ft!C$3*EXP(Ft!C$38*($A335-Ft!C$2)^2) + Ft!D$3*EXP(Ft!D$38*($A335-Ft!D$2)^2)+Ft!E$3*EXP(Ft!E$38*($A335-Ft!E$2)^2) +Ft!F$3*EXP(Ft!F$38*($A335-Ft!F$2)^2) + Ft!G$3*EXP(Ft!G$38*($A335-Ft!G$2)^2)</f>
        <v>14.806543435066718</v>
      </c>
      <c r="E335" s="26">
        <f>Ft!B$3*EXP(Ft!B$38*($A335-Ft!B$2)^2)</f>
        <v>1.2981145464627994E-45</v>
      </c>
      <c r="F335" s="26">
        <f>Ft!C$3*EXP(Ft!C$38*($A335-Ft!C$2)^2)</f>
        <v>0.42353295448231654</v>
      </c>
      <c r="G335" s="26">
        <f>Ft!D$3*EXP(Ft!D$38*($A335-Ft!D$2)^2)</f>
        <v>14.345645562525254</v>
      </c>
      <c r="H335" s="26">
        <f>Ft!E$3*EXP(Ft!E$38*($A335-Ft!E$2)^2)</f>
        <v>3.7364918059147018E-2</v>
      </c>
      <c r="I335" s="26">
        <f>Ft!F$3*EXP(Ft!F$38*($A335-Ft!F$2)^2)</f>
        <v>3.7277631766782623E-52</v>
      </c>
      <c r="J335" s="26">
        <f>Ft!G$3*EXP(Ft!G$38*($A335-Ft!G$2)^2)</f>
        <v>1.8508074093742556E-209</v>
      </c>
    </row>
    <row r="336" spans="1:10">
      <c r="A336" s="19">
        <v>334</v>
      </c>
      <c r="B336" s="28">
        <v>48.391775708381658</v>
      </c>
      <c r="C336" s="27">
        <f ca="1">OFFSET($B336,1*(ROWS(C$2:C336)-1),0)</f>
        <v>0.24947691697451546</v>
      </c>
      <c r="D336" s="26">
        <f>Ft!B$3*EXP(Ft!B$38*($A336-Ft!B$2)^2) +Ft!C$3*EXP(Ft!C$38*($A336-Ft!C$2)^2) + Ft!D$3*EXP(Ft!D$38*($A336-Ft!D$2)^2)+Ft!E$3*EXP(Ft!E$38*($A336-Ft!E$2)^2) +Ft!F$3*EXP(Ft!F$38*($A336-Ft!F$2)^2) + Ft!G$3*EXP(Ft!G$38*($A336-Ft!G$2)^2)</f>
        <v>14.856792957183186</v>
      </c>
      <c r="E336" s="26">
        <f>Ft!B$3*EXP(Ft!B$38*($A336-Ft!B$2)^2)</f>
        <v>6.2674110587724277E-46</v>
      </c>
      <c r="F336" s="26">
        <f>Ft!C$3*EXP(Ft!C$38*($A336-Ft!C$2)^2)</f>
        <v>0.4103413991304064</v>
      </c>
      <c r="G336" s="26">
        <f>Ft!D$3*EXP(Ft!D$38*($A336-Ft!D$2)^2)</f>
        <v>14.408155511883381</v>
      </c>
      <c r="H336" s="26">
        <f>Ft!E$3*EXP(Ft!E$38*($A336-Ft!E$2)^2)</f>
        <v>3.8296046169400424E-2</v>
      </c>
      <c r="I336" s="26">
        <f>Ft!F$3*EXP(Ft!F$38*($A336-Ft!F$2)^2)</f>
        <v>5.3381958532742892E-52</v>
      </c>
      <c r="J336" s="26">
        <f>Ft!G$3*EXP(Ft!G$38*($A336-Ft!G$2)^2)</f>
        <v>7.1647131271165363E-209</v>
      </c>
    </row>
    <row r="337" spans="1:10">
      <c r="A337" s="19">
        <v>335</v>
      </c>
      <c r="B337" s="28">
        <v>48.381282435059489</v>
      </c>
      <c r="C337" s="27">
        <f ca="1">OFFSET($B337,1*(ROWS(C$2:C337)-1),0)</f>
        <v>0.25037827357076026</v>
      </c>
      <c r="D337" s="26">
        <f>Ft!B$3*EXP(Ft!B$38*($A337-Ft!B$2)^2) +Ft!C$3*EXP(Ft!C$38*($A337-Ft!C$2)^2) + Ft!D$3*EXP(Ft!D$38*($A337-Ft!D$2)^2)+Ft!E$3*EXP(Ft!E$38*($A337-Ft!E$2)^2) +Ft!F$3*EXP(Ft!F$38*($A337-Ft!F$2)^2) + Ft!G$3*EXP(Ft!G$38*($A337-Ft!G$2)^2)</f>
        <v>14.907162327275378</v>
      </c>
      <c r="E337" s="26">
        <f>Ft!B$3*EXP(Ft!B$38*($A337-Ft!B$2)^2)</f>
        <v>3.0183223028375341E-46</v>
      </c>
      <c r="F337" s="26">
        <f>Ft!C$3*EXP(Ft!C$38*($A337-Ft!C$2)^2)</f>
        <v>0.39749616693274259</v>
      </c>
      <c r="G337" s="26">
        <f>Ft!D$3*EXP(Ft!D$38*($A337-Ft!D$2)^2)</f>
        <v>14.470417758286661</v>
      </c>
      <c r="H337" s="26">
        <f>Ft!E$3*EXP(Ft!E$38*($A337-Ft!E$2)^2)</f>
        <v>3.9248402055973595E-2</v>
      </c>
      <c r="I337" s="26">
        <f>Ft!F$3*EXP(Ft!F$38*($A337-Ft!F$2)^2)</f>
        <v>7.6402401864460423E-52</v>
      </c>
      <c r="J337" s="26">
        <f>Ft!G$3*EXP(Ft!G$38*($A337-Ft!G$2)^2)</f>
        <v>2.7682838285467195E-208</v>
      </c>
    </row>
    <row r="338" spans="1:10">
      <c r="A338" s="19">
        <v>336</v>
      </c>
      <c r="B338" s="28">
        <v>48.394815286262883</v>
      </c>
      <c r="C338" s="27">
        <f ca="1">OFFSET($B338,1*(ROWS(C$2:C338)-1),0)</f>
        <v>0.22501574242667743</v>
      </c>
      <c r="D338" s="26">
        <f>Ft!B$3*EXP(Ft!B$38*($A338-Ft!B$2)^2) +Ft!C$3*EXP(Ft!C$38*($A338-Ft!C$2)^2) + Ft!D$3*EXP(Ft!D$38*($A338-Ft!D$2)^2)+Ft!E$3*EXP(Ft!E$38*($A338-Ft!E$2)^2) +Ft!F$3*EXP(Ft!F$38*($A338-Ft!F$2)^2) + Ft!G$3*EXP(Ft!G$38*($A338-Ft!G$2)^2)</f>
        <v>14.95763968524086</v>
      </c>
      <c r="E338" s="26">
        <f>Ft!B$3*EXP(Ft!B$38*($A338-Ft!B$2)^2)</f>
        <v>1.4499242592018909E-46</v>
      </c>
      <c r="F338" s="26">
        <f>Ft!C$3*EXP(Ft!C$38*($A338-Ft!C$2)^2)</f>
        <v>0.38499052243906245</v>
      </c>
      <c r="G338" s="26">
        <f>Ft!D$3*EXP(Ft!D$38*($A338-Ft!D$2)^2)</f>
        <v>14.532426746257196</v>
      </c>
      <c r="H338" s="26">
        <f>Ft!E$3*EXP(Ft!E$38*($A338-Ft!E$2)^2)</f>
        <v>4.0222416544600702E-2</v>
      </c>
      <c r="I338" s="26">
        <f>Ft!F$3*EXP(Ft!F$38*($A338-Ft!F$2)^2)</f>
        <v>1.0929136204186959E-51</v>
      </c>
      <c r="J338" s="26">
        <f>Ft!G$3*EXP(Ft!G$38*($A338-Ft!G$2)^2)</f>
        <v>1.0675707308513538E-207</v>
      </c>
    </row>
    <row r="339" spans="1:10">
      <c r="A339" s="19">
        <v>337</v>
      </c>
      <c r="B339" s="28">
        <v>48.405775431905823</v>
      </c>
      <c r="C339" s="27">
        <f ca="1">OFFSET($B339,1*(ROWS(C$2:C339)-1),0)</f>
        <v>0.21234658109906945</v>
      </c>
      <c r="D339" s="26">
        <f>Ft!B$3*EXP(Ft!B$38*($A339-Ft!B$2)^2) +Ft!C$3*EXP(Ft!C$38*($A339-Ft!C$2)^2) + Ft!D$3*EXP(Ft!D$38*($A339-Ft!D$2)^2)+Ft!E$3*EXP(Ft!E$38*($A339-Ft!E$2)^2) +Ft!F$3*EXP(Ft!F$38*($A339-Ft!F$2)^2) + Ft!G$3*EXP(Ft!G$38*($A339-Ft!G$2)^2)</f>
        <v>15.008213230400102</v>
      </c>
      <c r="E339" s="26">
        <f>Ft!B$3*EXP(Ft!B$38*($A339-Ft!B$2)^2)</f>
        <v>6.9474797554805524E-47</v>
      </c>
      <c r="F339" s="26">
        <f>Ft!C$3*EXP(Ft!C$38*($A339-Ft!C$2)^2)</f>
        <v>0.37281777877217975</v>
      </c>
      <c r="G339" s="26">
        <f>Ft!D$3*EXP(Ft!D$38*($A339-Ft!D$2)^2)</f>
        <v>14.594176923775485</v>
      </c>
      <c r="H339" s="26">
        <f>Ft!E$3*EXP(Ft!E$38*($A339-Ft!E$2)^2)</f>
        <v>4.1218527852435856E-2</v>
      </c>
      <c r="I339" s="26">
        <f>Ft!F$3*EXP(Ft!F$38*($A339-Ft!F$2)^2)</f>
        <v>1.5625394235261792E-51</v>
      </c>
      <c r="J339" s="26">
        <f>Ft!G$3*EXP(Ft!G$38*($A339-Ft!G$2)^2)</f>
        <v>4.1091967327337929E-207</v>
      </c>
    </row>
    <row r="340" spans="1:10">
      <c r="A340" s="19">
        <v>338</v>
      </c>
      <c r="B340" s="28">
        <v>48.400337738302653</v>
      </c>
      <c r="C340" s="27">
        <f ca="1">OFFSET($B340,1*(ROWS(C$2:C340)-1),0)</f>
        <v>0</v>
      </c>
      <c r="D340" s="26">
        <f>Ft!B$3*EXP(Ft!B$38*($A340-Ft!B$2)^2) +Ft!C$3*EXP(Ft!C$38*($A340-Ft!C$2)^2) + Ft!D$3*EXP(Ft!D$38*($A340-Ft!D$2)^2)+Ft!E$3*EXP(Ft!E$38*($A340-Ft!E$2)^2) +Ft!F$3*EXP(Ft!F$38*($A340-Ft!F$2)^2) + Ft!G$3*EXP(Ft!G$38*($A340-Ft!G$2)^2)</f>
        <v>15.058871225150998</v>
      </c>
      <c r="E340" s="26">
        <f>Ft!B$3*EXP(Ft!B$38*($A340-Ft!B$2)^2)</f>
        <v>3.3205615432975642E-47</v>
      </c>
      <c r="F340" s="26">
        <f>Ft!C$3*EXP(Ft!C$38*($A340-Ft!C$2)^2)</f>
        <v>0.3609713003737347</v>
      </c>
      <c r="G340" s="26">
        <f>Ft!D$3*EXP(Ft!D$38*($A340-Ft!D$2)^2)</f>
        <v>14.655662743095109</v>
      </c>
      <c r="H340" s="26">
        <f>Ft!E$3*EXP(Ft!E$38*($A340-Ft!E$2)^2)</f>
        <v>4.2237181682155109E-2</v>
      </c>
      <c r="I340" s="26">
        <f>Ft!F$3*EXP(Ft!F$38*($A340-Ft!F$2)^2)</f>
        <v>2.2327620779565724E-51</v>
      </c>
      <c r="J340" s="26">
        <f>Ft!G$3*EXP(Ft!G$38*($A340-Ft!G$2)^2)</f>
        <v>1.5786703158496635E-206</v>
      </c>
    </row>
    <row r="341" spans="1:10">
      <c r="A341" s="19">
        <v>339</v>
      </c>
      <c r="B341" s="28">
        <v>48.385986351267064</v>
      </c>
      <c r="C341" s="27">
        <f ca="1">OFFSET($B341,1*(ROWS(C$2:C341)-1),0)</f>
        <v>0</v>
      </c>
      <c r="D341" s="26">
        <f>Ft!B$3*EXP(Ft!B$38*($A341-Ft!B$2)^2) +Ft!C$3*EXP(Ft!C$38*($A341-Ft!C$2)^2) + Ft!D$3*EXP(Ft!D$38*($A341-Ft!D$2)^2)+Ft!E$3*EXP(Ft!E$38*($A341-Ft!E$2)^2) +Ft!F$3*EXP(Ft!F$38*($A341-Ft!F$2)^2) + Ft!G$3*EXP(Ft!G$38*($A341-Ft!G$2)^2)</f>
        <v>15.109601998498952</v>
      </c>
      <c r="E341" s="26">
        <f>Ft!B$3*EXP(Ft!B$38*($A341-Ft!B$2)^2)</f>
        <v>1.5830624514454001E-47</v>
      </c>
      <c r="F341" s="26">
        <f>Ft!C$3*EXP(Ft!C$38*($A341-Ft!C$2)^2)</f>
        <v>0.3494445056223523</v>
      </c>
      <c r="G341" s="26">
        <f>Ft!D$3*EXP(Ft!D$38*($A341-Ft!D$2)^2)</f>
        <v>14.716878661560116</v>
      </c>
      <c r="H341" s="26">
        <f>Ft!E$3*EXP(Ft!E$38*($A341-Ft!E$2)^2)</f>
        <v>4.3278831316483447E-2</v>
      </c>
      <c r="I341" s="26">
        <f>Ft!F$3*EXP(Ft!F$38*($A341-Ft!F$2)^2)</f>
        <v>3.1887482230663046E-51</v>
      </c>
      <c r="J341" s="26">
        <f>Ft!G$3*EXP(Ft!G$38*($A341-Ft!G$2)^2)</f>
        <v>6.0534113218460408E-206</v>
      </c>
    </row>
    <row r="342" spans="1:10">
      <c r="A342" s="19">
        <v>340</v>
      </c>
      <c r="B342" s="28">
        <v>48.401883319571766</v>
      </c>
      <c r="C342" s="27">
        <f ca="1">OFFSET($B342,1*(ROWS(C$2:C342)-1),0)</f>
        <v>0</v>
      </c>
      <c r="D342" s="26">
        <f>Ft!B$3*EXP(Ft!B$38*($A342-Ft!B$2)^2) +Ft!C$3*EXP(Ft!C$38*($A342-Ft!C$2)^2) + Ft!D$3*EXP(Ft!D$38*($A342-Ft!D$2)^2)+Ft!E$3*EXP(Ft!E$38*($A342-Ft!E$2)^2) +Ft!F$3*EXP(Ft!F$38*($A342-Ft!F$2)^2) + Ft!G$3*EXP(Ft!G$38*($A342-Ft!G$2)^2)</f>
        <v>15.160393949463799</v>
      </c>
      <c r="E342" s="26">
        <f>Ft!B$3*EXP(Ft!B$38*($A342-Ft!B$2)^2)</f>
        <v>7.5281251858509917E-48</v>
      </c>
      <c r="F342" s="26">
        <f>Ft!C$3*EXP(Ft!C$38*($A342-Ft!C$2)^2)</f>
        <v>0.33823086932573271</v>
      </c>
      <c r="G342" s="26">
        <f>Ft!D$3*EXP(Ft!D$38*($A342-Ft!D$2)^2)</f>
        <v>14.777819142424937</v>
      </c>
      <c r="H342" s="26">
        <f>Ft!E$3*EXP(Ft!E$38*($A342-Ft!E$2)^2)</f>
        <v>4.4343937713129493E-2</v>
      </c>
      <c r="I342" s="26">
        <f>Ft!F$3*EXP(Ft!F$38*($A342-Ft!F$2)^2)</f>
        <v>4.5516025328457789E-51</v>
      </c>
      <c r="J342" s="26">
        <f>Ft!G$3*EXP(Ft!G$38*($A342-Ft!G$2)^2)</f>
        <v>2.3167712732475279E-205</v>
      </c>
    </row>
    <row r="343" spans="1:10">
      <c r="A343" s="19">
        <v>341</v>
      </c>
      <c r="B343" s="28">
        <v>48.410934404255556</v>
      </c>
      <c r="C343" s="27">
        <f ca="1">OFFSET($B343,1*(ROWS(C$2:C343)-1),0)</f>
        <v>0</v>
      </c>
      <c r="D343" s="26">
        <f>Ft!B$3*EXP(Ft!B$38*($A343-Ft!B$2)^2) +Ft!C$3*EXP(Ft!C$38*($A343-Ft!C$2)^2) + Ft!D$3*EXP(Ft!D$38*($A343-Ft!D$2)^2)+Ft!E$3*EXP(Ft!E$38*($A343-Ft!E$2)^2) +Ft!F$3*EXP(Ft!F$38*($A343-Ft!F$2)^2) + Ft!G$3*EXP(Ft!G$38*($A343-Ft!G$2)^2)</f>
        <v>15.211235550365112</v>
      </c>
      <c r="E343" s="26">
        <f>Ft!B$3*EXP(Ft!B$38*($A343-Ft!B$2)^2)</f>
        <v>3.5709016337525438E-48</v>
      </c>
      <c r="F343" s="26">
        <f>Ft!C$3*EXP(Ft!C$38*($A343-Ft!C$2)^2)</f>
        <v>0.32732392508829439</v>
      </c>
      <c r="G343" s="26">
        <f>Ft!D$3*EXP(Ft!D$38*($A343-Ft!D$2)^2)</f>
        <v>14.83847865567671</v>
      </c>
      <c r="H343" s="26">
        <f>Ft!E$3*EXP(Ft!E$38*($A343-Ft!E$2)^2)</f>
        <v>4.5432969600107759E-2</v>
      </c>
      <c r="I343" s="26">
        <f>Ft!F$3*EXP(Ft!F$38*($A343-Ft!F$2)^2)</f>
        <v>6.4934387711722577E-51</v>
      </c>
      <c r="J343" s="26">
        <f>Ft!G$3*EXP(Ft!G$38*($A343-Ft!G$2)^2)</f>
        <v>8.8499408371122194E-205</v>
      </c>
    </row>
    <row r="344" spans="1:10">
      <c r="A344" s="19">
        <v>342</v>
      </c>
      <c r="B344" s="28">
        <v>48.422298806964363</v>
      </c>
      <c r="C344" s="27">
        <f ca="1">OFFSET($B344,1*(ROWS(C$2:C344)-1),0)</f>
        <v>0</v>
      </c>
      <c r="D344" s="26">
        <f>Ft!B$3*EXP(Ft!B$38*($A344-Ft!B$2)^2) +Ft!C$3*EXP(Ft!C$38*($A344-Ft!C$2)^2) + Ft!D$3*EXP(Ft!D$38*($A344-Ft!D$2)^2)+Ft!E$3*EXP(Ft!E$38*($A344-Ft!E$2)^2) +Ft!F$3*EXP(Ft!F$38*($A344-Ft!F$2)^2) + Ft!G$3*EXP(Ft!G$38*($A344-Ft!G$2)^2)</f>
        <v>15.262115349987267</v>
      </c>
      <c r="E344" s="26">
        <f>Ft!B$3*EXP(Ft!B$38*($A344-Ft!B$2)^2)</f>
        <v>1.6895506348619402E-48</v>
      </c>
      <c r="F344" s="26">
        <f>Ft!C$3*EXP(Ft!C$38*($A344-Ft!C$2)^2)</f>
        <v>0.31671726755606794</v>
      </c>
      <c r="G344" s="26">
        <f>Ft!D$3*EXP(Ft!D$38*($A344-Ft!D$2)^2)</f>
        <v>14.898851678859769</v>
      </c>
      <c r="H344" s="26">
        <f>Ft!E$3*EXP(Ft!E$38*($A344-Ft!E$2)^2)</f>
        <v>4.6546403571430472E-2</v>
      </c>
      <c r="I344" s="26">
        <f>Ft!F$3*EXP(Ft!F$38*($A344-Ft!F$2)^2)</f>
        <v>9.2587314526925546E-51</v>
      </c>
      <c r="J344" s="26">
        <f>Ft!G$3*EXP(Ft!G$38*($A344-Ft!G$2)^2)</f>
        <v>3.3742076700997117E-204</v>
      </c>
    </row>
    <row r="345" spans="1:10">
      <c r="A345" s="19">
        <v>343</v>
      </c>
      <c r="B345" s="28">
        <v>48.422806331468422</v>
      </c>
      <c r="C345" s="27">
        <f ca="1">OFFSET($B345,1*(ROWS(C$2:C345)-1),0)</f>
        <v>0</v>
      </c>
      <c r="D345" s="26">
        <f>Ft!B$3*EXP(Ft!B$38*($A345-Ft!B$2)^2) +Ft!C$3*EXP(Ft!C$38*($A345-Ft!C$2)^2) + Ft!D$3*EXP(Ft!D$38*($A345-Ft!D$2)^2)+Ft!E$3*EXP(Ft!E$38*($A345-Ft!E$2)^2) +Ft!F$3*EXP(Ft!F$38*($A345-Ft!F$2)^2) + Ft!G$3*EXP(Ft!G$38*($A345-Ft!G$2)^2)</f>
        <v>15.313021976625985</v>
      </c>
      <c r="E345" s="26">
        <f>Ft!B$3*EXP(Ft!B$38*($A345-Ft!B$2)^2)</f>
        <v>7.9738269624864984E-49</v>
      </c>
      <c r="F345" s="26">
        <f>Ft!C$3*EXP(Ft!C$38*($A345-Ft!C$2)^2)</f>
        <v>0.30640455454063414</v>
      </c>
      <c r="G345" s="26">
        <f>Ft!D$3*EXP(Ft!D$38*($A345-Ft!D$2)^2)</f>
        <v>14.958932697902203</v>
      </c>
      <c r="H345" s="26">
        <f>Ft!E$3*EXP(Ft!E$38*($A345-Ft!E$2)^2)</f>
        <v>4.7684724183147099E-2</v>
      </c>
      <c r="I345" s="26">
        <f>Ft!F$3*EXP(Ft!F$38*($A345-Ft!F$2)^2)</f>
        <v>1.3194548812170002E-50</v>
      </c>
      <c r="J345" s="26">
        <f>Ft!G$3*EXP(Ft!G$38*($A345-Ft!G$2)^2)</f>
        <v>1.2840368343838588E-203</v>
      </c>
    </row>
    <row r="346" spans="1:10">
      <c r="A346" s="19">
        <v>344</v>
      </c>
      <c r="B346" s="28">
        <v>48.426950072791385</v>
      </c>
      <c r="C346" s="27">
        <f ca="1">OFFSET($B346,1*(ROWS(C$2:C346)-1),0)</f>
        <v>0</v>
      </c>
      <c r="D346" s="26">
        <f>Ft!B$3*EXP(Ft!B$38*($A346-Ft!B$2)^2) +Ft!C$3*EXP(Ft!C$38*($A346-Ft!C$2)^2) + Ft!D$3*EXP(Ft!D$38*($A346-Ft!D$2)^2)+Ft!E$3*EXP(Ft!E$38*($A346-Ft!E$2)^2) +Ft!F$3*EXP(Ft!F$38*($A346-Ft!F$2)^2) + Ft!G$3*EXP(Ft!G$38*($A346-Ft!G$2)^2)</f>
        <v>15.363944141017953</v>
      </c>
      <c r="E346" s="26">
        <f>Ft!B$3*EXP(Ft!B$38*($A346-Ft!B$2)^2)</f>
        <v>3.7537441834209235E-49</v>
      </c>
      <c r="F346" s="26">
        <f>Ft!C$3*EXP(Ft!C$38*($A346-Ft!C$2)^2)</f>
        <v>0.29637950902396731</v>
      </c>
      <c r="G346" s="26">
        <f>Ft!D$3*EXP(Ft!D$38*($A346-Ft!D$2)^2)</f>
        <v>15.018716207944273</v>
      </c>
      <c r="H346" s="26">
        <f>Ft!E$3*EXP(Ft!E$38*($A346-Ft!E$2)^2)</f>
        <v>4.8848424049711917E-2</v>
      </c>
      <c r="I346" s="26">
        <f>Ft!F$3*EXP(Ft!F$38*($A346-Ft!F$2)^2)</f>
        <v>1.8793337758254193E-50</v>
      </c>
      <c r="J346" s="26">
        <f>Ft!G$3*EXP(Ft!G$38*($A346-Ft!G$2)^2)</f>
        <v>4.8770520347491651E-203</v>
      </c>
    </row>
    <row r="347" spans="1:10">
      <c r="A347" s="19">
        <v>345</v>
      </c>
      <c r="B347" s="28">
        <v>48.410894037725512</v>
      </c>
      <c r="C347" s="27">
        <f ca="1">OFFSET($B347,1*(ROWS(C$2:C347)-1),0)</f>
        <v>0</v>
      </c>
      <c r="D347" s="26">
        <f>Ft!B$3*EXP(Ft!B$38*($A347-Ft!B$2)^2) +Ft!C$3*EXP(Ft!C$38*($A347-Ft!C$2)^2) + Ft!D$3*EXP(Ft!D$38*($A347-Ft!D$2)^2)+Ft!E$3*EXP(Ft!E$38*($A347-Ft!E$2)^2) +Ft!F$3*EXP(Ft!F$38*($A347-Ft!F$2)^2) + Ft!G$3*EXP(Ft!G$38*($A347-Ft!G$2)^2)</f>
        <v>15.414870639155307</v>
      </c>
      <c r="E347" s="26">
        <f>Ft!B$3*EXP(Ft!B$38*($A347-Ft!B$2)^2)</f>
        <v>1.7626448149548962E-49</v>
      </c>
      <c r="F347" s="26">
        <f>Ft!C$3*EXP(Ft!C$38*($A347-Ft!C$2)^2)</f>
        <v>0.28663592104612334</v>
      </c>
      <c r="G347" s="26">
        <f>Ft!D$3*EXP(Ft!D$38*($A347-Ft!D$2)^2)</f>
        <v>15.078196714168525</v>
      </c>
      <c r="H347" s="26">
        <f>Ft!E$3*EXP(Ft!E$38*($A347-Ft!E$2)^2)</f>
        <v>5.0038003940657591E-2</v>
      </c>
      <c r="I347" s="26">
        <f>Ft!F$3*EXP(Ft!F$38*($A347-Ft!F$2)^2)</f>
        <v>2.6753438789696107E-50</v>
      </c>
      <c r="J347" s="26">
        <f>Ft!G$3*EXP(Ft!G$38*($A347-Ft!G$2)^2)</f>
        <v>1.8488919402149023E-202</v>
      </c>
    </row>
    <row r="348" spans="1:10">
      <c r="A348" s="19">
        <v>346</v>
      </c>
      <c r="B348" s="28">
        <v>48.435566412793861</v>
      </c>
      <c r="C348" s="27">
        <f ca="1">OFFSET($B348,1*(ROWS(C$2:C348)-1),0)</f>
        <v>0</v>
      </c>
      <c r="D348" s="26">
        <f>Ft!B$3*EXP(Ft!B$38*($A348-Ft!B$2)^2) +Ft!C$3*EXP(Ft!C$38*($A348-Ft!C$2)^2) + Ft!D$3*EXP(Ft!D$38*($A348-Ft!D$2)^2)+Ft!E$3*EXP(Ft!E$38*($A348-Ft!E$2)^2) +Ft!F$3*EXP(Ft!F$38*($A348-Ft!F$2)^2) + Ft!G$3*EXP(Ft!G$38*($A348-Ft!G$2)^2)</f>
        <v>15.465790354986757</v>
      </c>
      <c r="E348" s="26">
        <f>Ft!B$3*EXP(Ft!B$38*($A348-Ft!B$2)^2)</f>
        <v>8.255953031442813E-50</v>
      </c>
      <c r="F348" s="26">
        <f>Ft!C$3*EXP(Ft!C$38*($A348-Ft!C$2)^2)</f>
        <v>0.27716764947777783</v>
      </c>
      <c r="G348" s="26">
        <f>Ft!D$3*EXP(Ft!D$38*($A348-Ft!D$2)^2)</f>
        <v>15.137368732631424</v>
      </c>
      <c r="H348" s="26">
        <f>Ft!E$3*EXP(Ft!E$38*($A348-Ft!E$2)^2)</f>
        <v>5.1253972877553504E-2</v>
      </c>
      <c r="I348" s="26">
        <f>Ft!F$3*EXP(Ft!F$38*($A348-Ft!F$2)^2)</f>
        <v>3.8064631047357173E-50</v>
      </c>
      <c r="J348" s="26">
        <f>Ft!G$3*EXP(Ft!G$38*($A348-Ft!G$2)^2)</f>
        <v>6.9958405481017383E-202</v>
      </c>
    </row>
    <row r="349" spans="1:10">
      <c r="A349" s="19">
        <v>347</v>
      </c>
      <c r="B349" s="28">
        <v>48.450051106279886</v>
      </c>
      <c r="C349" s="27">
        <f ca="1">OFFSET($B349,1*(ROWS(C$2:C349)-1),0)</f>
        <v>0</v>
      </c>
      <c r="D349" s="26">
        <f>Ft!B$3*EXP(Ft!B$38*($A349-Ft!B$2)^2) +Ft!C$3*EXP(Ft!C$38*($A349-Ft!C$2)^2) + Ft!D$3*EXP(Ft!D$38*($A349-Ft!D$2)^2)+Ft!E$3*EXP(Ft!E$38*($A349-Ft!E$2)^2) +Ft!F$3*EXP(Ft!F$38*($A349-Ft!F$2)^2) + Ft!G$3*EXP(Ft!G$38*($A349-Ft!G$2)^2)</f>
        <v>15.516692263007254</v>
      </c>
      <c r="E349" s="26">
        <f>Ft!B$3*EXP(Ft!B$38*($A349-Ft!B$2)^2)</f>
        <v>3.8571976151434851E-50</v>
      </c>
      <c r="F349" s="26">
        <f>Ft!C$3*EXP(Ft!C$38*($A349-Ft!C$2)^2)</f>
        <v>0.26796862367968349</v>
      </c>
      <c r="G349" s="26">
        <f>Ft!D$3*EXP(Ft!D$38*($A349-Ft!D$2)^2)</f>
        <v>15.196226791096345</v>
      </c>
      <c r="H349" s="26">
        <f>Ft!E$3*EXP(Ft!E$38*($A349-Ft!E$2)^2)</f>
        <v>5.2496848231224698E-2</v>
      </c>
      <c r="I349" s="26">
        <f>Ft!F$3*EXP(Ft!F$38*($A349-Ft!F$2)^2)</f>
        <v>5.4128993938123491E-50</v>
      </c>
      <c r="J349" s="26">
        <f>Ft!G$3*EXP(Ft!G$38*($A349-Ft!G$2)^2)</f>
        <v>2.6420589802810626E-201</v>
      </c>
    </row>
    <row r="350" spans="1:10">
      <c r="A350" s="19">
        <v>348</v>
      </c>
      <c r="B350" s="28">
        <v>48.452640616931717</v>
      </c>
      <c r="C350" s="27">
        <f ca="1">OFFSET($B350,1*(ROWS(C$2:C350)-1),0)</f>
        <v>0</v>
      </c>
      <c r="D350" s="26">
        <f>Ft!B$3*EXP(Ft!B$38*($A350-Ft!B$2)^2) +Ft!C$3*EXP(Ft!C$38*($A350-Ft!C$2)^2) + Ft!D$3*EXP(Ft!D$38*($A350-Ft!D$2)^2)+Ft!E$3*EXP(Ft!E$38*($A350-Ft!E$2)^2) +Ft!F$3*EXP(Ft!F$38*($A350-Ft!F$2)^2) + Ft!G$3*EXP(Ft!G$38*($A350-Ft!G$2)^2)</f>
        <v>15.567565430738119</v>
      </c>
      <c r="E350" s="26">
        <f>Ft!B$3*EXP(Ft!B$38*($A350-Ft!B$2)^2)</f>
        <v>1.7975411276622914E-50</v>
      </c>
      <c r="F350" s="26">
        <f>Ft!C$3*EXP(Ft!C$38*($A350-Ft!C$2)^2)</f>
        <v>0.25903284505117385</v>
      </c>
      <c r="G350" s="26">
        <f>Ft!D$3*EXP(Ft!D$38*($A350-Ft!D$2)^2)</f>
        <v>15.254765429867735</v>
      </c>
      <c r="H350" s="26">
        <f>Ft!E$3*EXP(Ft!E$38*($A350-Ft!E$2)^2)</f>
        <v>5.3767155819209683E-2</v>
      </c>
      <c r="I350" s="26">
        <f>Ft!F$3*EXP(Ft!F$38*($A350-Ft!F$2)^2)</f>
        <v>7.6931571563402442E-50</v>
      </c>
      <c r="J350" s="26">
        <f>Ft!G$3*EXP(Ft!G$38*($A350-Ft!G$2)^2)</f>
        <v>9.9590829012855026E-201</v>
      </c>
    </row>
    <row r="351" spans="1:10">
      <c r="A351" s="19">
        <v>349</v>
      </c>
      <c r="B351" s="28">
        <v>48.462693638557425</v>
      </c>
      <c r="C351" s="27">
        <f ca="1">OFFSET($B351,1*(ROWS(C$2:C351)-1),0)</f>
        <v>0</v>
      </c>
      <c r="D351" s="26">
        <f>Ft!B$3*EXP(Ft!B$38*($A351-Ft!B$2)^2) +Ft!C$3*EXP(Ft!C$38*($A351-Ft!C$2)^2) + Ft!D$3*EXP(Ft!D$38*($A351-Ft!D$2)^2)+Ft!E$3*EXP(Ft!E$38*($A351-Ft!E$2)^2) +Ft!F$3*EXP(Ft!F$38*($A351-Ft!F$2)^2) + Ft!G$3*EXP(Ft!G$38*($A351-Ft!G$2)^2)</f>
        <v>15.618399021099616</v>
      </c>
      <c r="E351" s="26">
        <f>Ft!B$3*EXP(Ft!B$38*($A351-Ft!B$2)^2)</f>
        <v>8.3558003056351018E-51</v>
      </c>
      <c r="F351" s="26">
        <f>Ft!C$3*EXP(Ft!C$38*($A351-Ft!C$2)^2)</f>
        <v>0.25035438846989594</v>
      </c>
      <c r="G351" s="26">
        <f>Ft!D$3*EXP(Ft!D$38*($A351-Ft!D$2)^2)</f>
        <v>15.312979202626288</v>
      </c>
      <c r="H351" s="26">
        <f>Ft!E$3*EXP(Ft!E$38*($A351-Ft!E$2)^2)</f>
        <v>5.5065430003431955E-2</v>
      </c>
      <c r="I351" s="26">
        <f>Ft!F$3*EXP(Ft!F$38*($A351-Ft!F$2)^2)</f>
        <v>1.0928122936509807E-49</v>
      </c>
      <c r="J351" s="26">
        <f>Ft!G$3*EXP(Ft!G$38*($A351-Ft!G$2)^2)</f>
        <v>3.7468854817626982E-200</v>
      </c>
    </row>
    <row r="352" spans="1:10">
      <c r="A352" s="19">
        <v>350</v>
      </c>
      <c r="B352" s="28">
        <v>48.476703941441542</v>
      </c>
      <c r="C352" s="27">
        <f ca="1">OFFSET($B352,1*(ROWS(C$2:C352)-1),0)</f>
        <v>0</v>
      </c>
      <c r="D352" s="26">
        <f>Ft!B$3*EXP(Ft!B$38*($A352-Ft!B$2)^2) +Ft!C$3*EXP(Ft!C$38*($A352-Ft!C$2)^2) + Ft!D$3*EXP(Ft!D$38*($A352-Ft!D$2)^2)+Ft!E$3*EXP(Ft!E$38*($A352-Ft!E$2)^2) +Ft!F$3*EXP(Ft!F$38*($A352-Ft!F$2)^2) + Ft!G$3*EXP(Ft!G$38*($A352-Ft!G$2)^2)</f>
        <v>15.669182294677983</v>
      </c>
      <c r="E352" s="26">
        <f>Ft!B$3*EXP(Ft!B$38*($A352-Ft!B$2)^2)</f>
        <v>3.8743561344623059E-51</v>
      </c>
      <c r="F352" s="26">
        <f>Ft!C$3*EXP(Ft!C$38*($A352-Ft!C$2)^2)</f>
        <v>0.24192740362500118</v>
      </c>
      <c r="G352" s="26">
        <f>Ft!D$3*EXP(Ft!D$38*($A352-Ft!D$2)^2)</f>
        <v>15.37086267726492</v>
      </c>
      <c r="H352" s="26">
        <f>Ft!E$3*EXP(Ft!E$38*($A352-Ft!E$2)^2)</f>
        <v>5.6392213788061252E-2</v>
      </c>
      <c r="I352" s="26">
        <f>Ft!F$3*EXP(Ft!F$38*($A352-Ft!F$2)^2)</f>
        <v>1.5515038520478122E-49</v>
      </c>
      <c r="J352" s="26">
        <f>Ft!G$3*EXP(Ft!G$38*($A352-Ft!G$2)^2)</f>
        <v>1.4070052725884518E-199</v>
      </c>
    </row>
    <row r="353" spans="1:10">
      <c r="A353" s="19">
        <v>351</v>
      </c>
      <c r="B353" s="28">
        <v>48.46853756695694</v>
      </c>
      <c r="C353" s="27">
        <f ca="1">OFFSET($B353,1*(ROWS(C$2:C353)-1),0)</f>
        <v>0</v>
      </c>
      <c r="D353" s="26">
        <f>Ft!B$3*EXP(Ft!B$38*($A353-Ft!B$2)^2) +Ft!C$3*EXP(Ft!C$38*($A353-Ft!C$2)^2) + Ft!D$3*EXP(Ft!D$38*($A353-Ft!D$2)^2)+Ft!E$3*EXP(Ft!E$38*($A353-Ft!E$2)^2) +Ft!F$3*EXP(Ft!F$38*($A353-Ft!F$2)^2) + Ft!G$3*EXP(Ft!G$38*($A353-Ft!G$2)^2)</f>
        <v>15.719904611889028</v>
      </c>
      <c r="E353" s="26">
        <f>Ft!B$3*EXP(Ft!B$38*($A353-Ft!B$2)^2)</f>
        <v>1.7918980460927567E-51</v>
      </c>
      <c r="F353" s="26">
        <f>Ft!C$3*EXP(Ft!C$38*($A353-Ft!C$2)^2)</f>
        <v>0.23374611624607175</v>
      </c>
      <c r="G353" s="26">
        <f>Ft!D$3*EXP(Ft!D$38*($A353-Ft!D$2)^2)</f>
        <v>15.428410436725416</v>
      </c>
      <c r="H353" s="26">
        <f>Ft!E$3*EXP(Ft!E$38*($A353-Ft!E$2)^2)</f>
        <v>5.7748058917538682E-2</v>
      </c>
      <c r="I353" s="26">
        <f>Ft!F$3*EXP(Ft!F$38*($A353-Ft!F$2)^2)</f>
        <v>2.2015394033915157E-49</v>
      </c>
      <c r="J353" s="26">
        <f>Ft!G$3*EXP(Ft!G$38*($A353-Ft!G$2)^2)</f>
        <v>5.2734552276890663E-199</v>
      </c>
    </row>
    <row r="354" spans="1:10">
      <c r="A354" s="19">
        <v>352</v>
      </c>
      <c r="B354" s="28">
        <v>48.469473069139269</v>
      </c>
      <c r="C354" s="27">
        <f ca="1">OFFSET($B354,1*(ROWS(C$2:C354)-1),0)</f>
        <v>0</v>
      </c>
      <c r="D354" s="26">
        <f>Ft!B$3*EXP(Ft!B$38*($A354-Ft!B$2)^2) +Ft!C$3*EXP(Ft!C$38*($A354-Ft!C$2)^2) + Ft!D$3*EXP(Ft!D$38*($A354-Ft!D$2)^2)+Ft!E$3*EXP(Ft!E$38*($A354-Ft!E$2)^2) +Ft!F$3*EXP(Ft!F$38*($A354-Ft!F$2)^2) + Ft!G$3*EXP(Ft!G$38*($A354-Ft!G$2)^2)</f>
        <v>15.770555435040363</v>
      </c>
      <c r="E354" s="26">
        <f>Ft!B$3*EXP(Ft!B$38*($A354-Ft!B$2)^2)</f>
        <v>8.266645670724059E-52</v>
      </c>
      <c r="F354" s="26">
        <f>Ft!C$3*EXP(Ft!C$38*($A354-Ft!C$2)^2)</f>
        <v>0.22580482923009759</v>
      </c>
      <c r="G354" s="26">
        <f>Ft!D$3*EXP(Ft!D$38*($A354-Ft!D$2)^2)</f>
        <v>15.485617079835524</v>
      </c>
      <c r="H354" s="26">
        <f>Ft!E$3*EXP(Ft!E$38*($A354-Ft!E$2)^2)</f>
        <v>5.913352597474017E-2</v>
      </c>
      <c r="I354" s="26">
        <f>Ft!F$3*EXP(Ft!F$38*($A354-Ft!F$2)^2)</f>
        <v>3.1222407396085089E-49</v>
      </c>
      <c r="J354" s="26">
        <f>Ft!G$3*EXP(Ft!G$38*($A354-Ft!G$2)^2)</f>
        <v>1.9727362926884409E-198</v>
      </c>
    </row>
    <row r="355" spans="1:10">
      <c r="A355" s="19">
        <v>353</v>
      </c>
      <c r="B355" s="28">
        <v>48.464350837322087</v>
      </c>
      <c r="C355" s="27">
        <f ca="1">OFFSET($B355,1*(ROWS(C$2:C355)-1),0)</f>
        <v>0</v>
      </c>
      <c r="D355" s="26">
        <f>Ft!B$3*EXP(Ft!B$38*($A355-Ft!B$2)^2) +Ft!C$3*EXP(Ft!C$38*($A355-Ft!C$2)^2) + Ft!D$3*EXP(Ft!D$38*($A355-Ft!D$2)^2)+Ft!E$3*EXP(Ft!E$38*($A355-Ft!E$2)^2) +Ft!F$3*EXP(Ft!F$38*($A355-Ft!F$2)^2) + Ft!G$3*EXP(Ft!G$38*($A355-Ft!G$2)^2)</f>
        <v>15.821124330294461</v>
      </c>
      <c r="E355" s="26">
        <f>Ft!B$3*EXP(Ft!B$38*($A355-Ft!B$2)^2)</f>
        <v>3.8040622965066779E-52</v>
      </c>
      <c r="F355" s="26">
        <f>Ft!C$3*EXP(Ft!C$38*($A355-Ft!C$2)^2)</f>
        <v>0.21809792366885536</v>
      </c>
      <c r="G355" s="26">
        <f>Ft!D$3*EXP(Ft!D$38*($A355-Ft!D$2)^2)</f>
        <v>15.542477222146355</v>
      </c>
      <c r="H355" s="26">
        <f>Ft!E$3*EXP(Ft!E$38*($A355-Ft!E$2)^2)</f>
        <v>6.0549184479251263E-2</v>
      </c>
      <c r="I355" s="26">
        <f>Ft!F$3*EXP(Ft!F$38*($A355-Ft!F$2)^2)</f>
        <v>4.425604785053473E-49</v>
      </c>
      <c r="J355" s="26">
        <f>Ft!G$3*EXP(Ft!G$38*($A355-Ft!G$2)^2)</f>
        <v>7.3657510906052358E-198</v>
      </c>
    </row>
    <row r="356" spans="1:10">
      <c r="A356" s="19">
        <v>354</v>
      </c>
      <c r="B356" s="28">
        <v>48.4449965426343</v>
      </c>
      <c r="C356" s="27">
        <f ca="1">OFFSET($B356,1*(ROWS(C$2:C356)-1),0)</f>
        <v>0</v>
      </c>
      <c r="D356" s="26">
        <f>Ft!B$3*EXP(Ft!B$38*($A356-Ft!B$2)^2) +Ft!C$3*EXP(Ft!C$38*($A356-Ft!C$2)^2) + Ft!D$3*EXP(Ft!D$38*($A356-Ft!D$2)^2)+Ft!E$3*EXP(Ft!E$38*($A356-Ft!E$2)^2) +Ft!F$3*EXP(Ft!F$38*($A356-Ft!F$2)^2) + Ft!G$3*EXP(Ft!G$38*($A356-Ft!G$2)^2)</f>
        <v>15.871600969534679</v>
      </c>
      <c r="E356" s="26">
        <f>Ft!B$3*EXP(Ft!B$38*($A356-Ft!B$2)^2)</f>
        <v>1.7460962840266396E-52</v>
      </c>
      <c r="F356" s="26">
        <f>Ft!C$3*EXP(Ft!C$38*($A356-Ft!C$2)^2)</f>
        <v>0.21061985977907607</v>
      </c>
      <c r="G356" s="26">
        <f>Ft!D$3*EXP(Ft!D$38*($A356-Ft!D$2)^2)</f>
        <v>15.598985496769878</v>
      </c>
      <c r="H356" s="26">
        <f>Ft!E$3*EXP(Ft!E$38*($A356-Ft!E$2)^2)</f>
        <v>6.1995612985726048E-2</v>
      </c>
      <c r="I356" s="26">
        <f>Ft!F$3*EXP(Ft!F$38*($A356-Ft!F$2)^2)</f>
        <v>6.2696773008159804E-49</v>
      </c>
      <c r="J356" s="26">
        <f>Ft!G$3*EXP(Ft!G$38*($A356-Ft!G$2)^2)</f>
        <v>2.7449805787906855E-197</v>
      </c>
    </row>
    <row r="357" spans="1:10">
      <c r="A357" s="19">
        <v>355</v>
      </c>
      <c r="B357" s="28">
        <v>48.429167722512091</v>
      </c>
      <c r="C357" s="27">
        <f ca="1">OFFSET($B357,1*(ROWS(C$2:C357)-1),0)</f>
        <v>0</v>
      </c>
      <c r="D357" s="26">
        <f>Ft!B$3*EXP(Ft!B$38*($A357-Ft!B$2)^2) +Ft!C$3*EXP(Ft!C$38*($A357-Ft!C$2)^2) + Ft!D$3*EXP(Ft!D$38*($A357-Ft!D$2)^2)+Ft!E$3*EXP(Ft!E$38*($A357-Ft!E$2)^2) +Ft!F$3*EXP(Ft!F$38*($A357-Ft!F$2)^2) + Ft!G$3*EXP(Ft!G$38*($A357-Ft!G$2)^2)</f>
        <v>15.921975132136476</v>
      </c>
      <c r="E357" s="26">
        <f>Ft!B$3*EXP(Ft!B$38*($A357-Ft!B$2)^2)</f>
        <v>7.9944948291351144E-53</v>
      </c>
      <c r="F357" s="26">
        <f>Ft!C$3*EXP(Ft!C$38*($A357-Ft!C$2)^2)</f>
        <v>0.20336517773781065</v>
      </c>
      <c r="G357" s="26">
        <f>Ft!D$3*EXP(Ft!D$38*($A357-Ft!D$2)^2)</f>
        <v>15.655136555216364</v>
      </c>
      <c r="H357" s="26">
        <f>Ft!E$3*EXP(Ft!E$38*($A357-Ft!E$2)^2)</f>
        <v>6.3473399182302409E-2</v>
      </c>
      <c r="I357" s="26">
        <f>Ft!F$3*EXP(Ft!F$38*($A357-Ft!F$2)^2)</f>
        <v>8.8773648082136179E-49</v>
      </c>
      <c r="J357" s="26">
        <f>Ft!G$3*EXP(Ft!G$38*($A357-Ft!G$2)^2)</f>
        <v>1.0210235199847989E-196</v>
      </c>
    </row>
    <row r="358" spans="1:10">
      <c r="A358" s="19">
        <v>356</v>
      </c>
      <c r="B358" s="28">
        <v>48.407827599763266</v>
      </c>
      <c r="C358" s="27">
        <f ca="1">OFFSET($B358,1*(ROWS(C$2:C358)-1),0)</f>
        <v>0</v>
      </c>
      <c r="D358" s="26">
        <f>Ft!B$3*EXP(Ft!B$38*($A358-Ft!B$2)^2) +Ft!C$3*EXP(Ft!C$38*($A358-Ft!C$2)^2) + Ft!D$3*EXP(Ft!D$38*($A358-Ft!D$2)^2)+Ft!E$3*EXP(Ft!E$38*($A358-Ft!E$2)^2) +Ft!F$3*EXP(Ft!F$38*($A358-Ft!F$2)^2) + Ft!G$3*EXP(Ft!G$38*($A358-Ft!G$2)^2)</f>
        <v>15.972236706646022</v>
      </c>
      <c r="E358" s="26">
        <f>Ft!B$3*EXP(Ft!B$38*($A358-Ft!B$2)^2)</f>
        <v>3.6510361583132521E-53</v>
      </c>
      <c r="F358" s="26">
        <f>Ft!C$3*EXP(Ft!C$38*($A358-Ft!C$2)^2)</f>
        <v>0.19632849842543001</v>
      </c>
      <c r="G358" s="26">
        <f>Ft!D$3*EXP(Ft!D$38*($A358-Ft!D$2)^2)</f>
        <v>15.710925068231548</v>
      </c>
      <c r="H358" s="26">
        <f>Ft!E$3*EXP(Ft!E$38*($A358-Ft!E$2)^2)</f>
        <v>6.4983139989043898E-2</v>
      </c>
      <c r="I358" s="26">
        <f>Ft!F$3*EXP(Ft!F$38*($A358-Ft!F$2)^2)</f>
        <v>1.2562881539557848E-48</v>
      </c>
      <c r="J358" s="26">
        <f>Ft!G$3*EXP(Ft!G$38*($A358-Ft!G$2)^2)</f>
        <v>3.7905868347089375E-196</v>
      </c>
    </row>
    <row r="359" spans="1:10">
      <c r="A359" s="19">
        <v>357</v>
      </c>
      <c r="B359" s="28">
        <v>48.400304749261238</v>
      </c>
      <c r="C359" s="27">
        <f ca="1">OFFSET($B359,1*(ROWS(C$2:C359)-1),0)</f>
        <v>0</v>
      </c>
      <c r="D359" s="26">
        <f>Ft!B$3*EXP(Ft!B$38*($A359-Ft!B$2)^2) +Ft!C$3*EXP(Ft!C$38*($A359-Ft!C$2)^2) + Ft!D$3*EXP(Ft!D$38*($A359-Ft!D$2)^2)+Ft!E$3*EXP(Ft!E$38*($A359-Ft!E$2)^2) +Ft!F$3*EXP(Ft!F$38*($A359-Ft!F$2)^2) + Ft!G$3*EXP(Ft!G$38*($A359-Ft!G$2)^2)</f>
        <v>16.022375692368477</v>
      </c>
      <c r="E359" s="26">
        <f>Ft!B$3*EXP(Ft!B$38*($A359-Ft!B$2)^2)</f>
        <v>1.6631963083551155E-53</v>
      </c>
      <c r="F359" s="26">
        <f>Ft!C$3*EXP(Ft!C$38*($A359-Ft!C$2)^2)</f>
        <v>0.18950452407871579</v>
      </c>
      <c r="G359" s="26">
        <f>Ft!D$3*EXP(Ft!D$38*($A359-Ft!D$2)^2)</f>
        <v>15.76634572663338</v>
      </c>
      <c r="H359" s="26">
        <f>Ft!E$3*EXP(Ft!E$38*($A359-Ft!E$2)^2)</f>
        <v>6.6525441656380482E-2</v>
      </c>
      <c r="I359" s="26">
        <f>Ft!F$3*EXP(Ft!F$38*($A359-Ft!F$2)^2)</f>
        <v>1.7768909712152276E-48</v>
      </c>
      <c r="J359" s="26">
        <f>Ft!G$3*EXP(Ft!G$38*($A359-Ft!G$2)^2)</f>
        <v>1.4045958675982524E-195</v>
      </c>
    </row>
    <row r="360" spans="1:10">
      <c r="A360" s="19">
        <v>358</v>
      </c>
      <c r="B360" s="28">
        <v>48.401364996853658</v>
      </c>
      <c r="C360" s="27">
        <f ca="1">OFFSET($B360,1*(ROWS(C$2:C360)-1),0)</f>
        <v>0</v>
      </c>
      <c r="D360" s="26">
        <f>Ft!B$3*EXP(Ft!B$38*($A360-Ft!B$2)^2) +Ft!C$3*EXP(Ft!C$38*($A360-Ft!C$2)^2) + Ft!D$3*EXP(Ft!D$38*($A360-Ft!D$2)^2)+Ft!E$3*EXP(Ft!E$38*($A360-Ft!E$2)^2) +Ft!F$3*EXP(Ft!F$38*($A360-Ft!F$2)^2) + Ft!G$3*EXP(Ft!G$38*($A360-Ft!G$2)^2)</f>
        <v>16.072382200868187</v>
      </c>
      <c r="E360" s="26">
        <f>Ft!B$3*EXP(Ft!B$38*($A360-Ft!B$2)^2)</f>
        <v>7.5574130796856867E-54</v>
      </c>
      <c r="F360" s="26">
        <f>Ft!C$3*EXP(Ft!C$38*($A360-Ft!C$2)^2)</f>
        <v>0.18288803885651256</v>
      </c>
      <c r="G360" s="26">
        <f>Ft!D$3*EXP(Ft!D$38*($A360-Ft!D$2)^2)</f>
        <v>15.821393242148162</v>
      </c>
      <c r="H360" s="26">
        <f>Ft!E$3*EXP(Ft!E$38*($A360-Ft!E$2)^2)</f>
        <v>6.8100919863516018E-2</v>
      </c>
      <c r="I360" s="26">
        <f>Ft!F$3*EXP(Ft!F$38*($A360-Ft!F$2)^2)</f>
        <v>2.5118784215953453E-48</v>
      </c>
      <c r="J360" s="26">
        <f>Ft!G$3*EXP(Ft!G$38*($A360-Ft!G$2)^2)</f>
        <v>5.1948206216176349E-195</v>
      </c>
    </row>
    <row r="361" spans="1:10">
      <c r="A361" s="19">
        <v>359</v>
      </c>
      <c r="B361" s="28">
        <v>48.379848653955577</v>
      </c>
      <c r="C361" s="27">
        <f ca="1">OFFSET($B361,1*(ROWS(C$2:C361)-1),0)</f>
        <v>0</v>
      </c>
      <c r="D361" s="26">
        <f>Ft!B$3*EXP(Ft!B$38*($A361-Ft!B$2)^2) +Ft!C$3*EXP(Ft!C$38*($A361-Ft!C$2)^2) + Ft!D$3*EXP(Ft!D$38*($A361-Ft!D$2)^2)+Ft!E$3*EXP(Ft!E$38*($A361-Ft!E$2)^2) +Ft!F$3*EXP(Ft!F$38*($A361-Ft!F$2)^2) + Ft!G$3*EXP(Ft!G$38*($A361-Ft!G$2)^2)</f>
        <v>16.122246457383056</v>
      </c>
      <c r="E361" s="26">
        <f>Ft!B$3*EXP(Ft!B$38*($A361-Ft!B$2)^2)</f>
        <v>3.425350991253376E-54</v>
      </c>
      <c r="F361" s="26">
        <f>Ft!C$3*EXP(Ft!C$38*($A361-Ft!C$2)^2)</f>
        <v>0.17647390932042548</v>
      </c>
      <c r="G361" s="26">
        <f>Ft!D$3*EXP(Ft!D$38*($A361-Ft!D$2)^2)</f>
        <v>15.876062348245854</v>
      </c>
      <c r="H361" s="26">
        <f>Ft!E$3*EXP(Ft!E$38*($A361-Ft!E$2)^2)</f>
        <v>6.9710199816773774E-2</v>
      </c>
      <c r="I361" s="26">
        <f>Ft!F$3*EXP(Ft!F$38*($A361-Ft!F$2)^2)</f>
        <v>3.5489735952023913E-48</v>
      </c>
      <c r="J361" s="26">
        <f>Ft!G$3*EXP(Ft!G$38*($A361-Ft!G$2)^2)</f>
        <v>1.9176262162663333E-194</v>
      </c>
    </row>
    <row r="362" spans="1:10">
      <c r="A362" s="19">
        <v>360</v>
      </c>
      <c r="B362" s="28">
        <v>48.36602451640249</v>
      </c>
      <c r="C362" s="27">
        <f ca="1">OFFSET($B362,1*(ROWS(C$2:C362)-1),0)</f>
        <v>0</v>
      </c>
      <c r="D362" s="26">
        <f>Ft!B$3*EXP(Ft!B$38*($A362-Ft!B$2)^2) +Ft!C$3*EXP(Ft!C$38*($A362-Ft!C$2)^2) + Ft!D$3*EXP(Ft!D$38*($A362-Ft!D$2)^2)+Ft!E$3*EXP(Ft!E$38*($A362-Ft!E$2)^2) +Ft!F$3*EXP(Ft!F$38*($A362-Ft!F$2)^2) + Ft!G$3*EXP(Ft!G$38*($A362-Ft!G$2)^2)</f>
        <v>16.171958802155345</v>
      </c>
      <c r="E362" s="26">
        <f>Ft!B$3*EXP(Ft!B$38*($A362-Ft!B$2)^2)</f>
        <v>1.5486000491618616E-54</v>
      </c>
      <c r="F362" s="26">
        <f>Ft!C$3*EXP(Ft!C$38*($A362-Ft!C$2)^2)</f>
        <v>0.17025708483305554</v>
      </c>
      <c r="G362" s="26">
        <f>Ft!D$3*EXP(Ft!D$38*($A362-Ft!D$2)^2)</f>
        <v>15.930347800974445</v>
      </c>
      <c r="H362" s="26">
        <f>Ft!E$3*EXP(Ft!E$38*($A362-Ft!E$2)^2)</f>
        <v>7.1353916347845922E-2</v>
      </c>
      <c r="I362" s="26">
        <f>Ft!F$3*EXP(Ft!F$38*($A362-Ft!F$2)^2)</f>
        <v>5.0115635252613953E-48</v>
      </c>
      <c r="J362" s="26">
        <f>Ft!G$3*EXP(Ft!G$38*($A362-Ft!G$2)^2)</f>
        <v>7.065316053661696E-194</v>
      </c>
    </row>
    <row r="363" spans="1:10">
      <c r="A363" s="19">
        <v>361</v>
      </c>
      <c r="B363" s="28">
        <v>48.354268138202769</v>
      </c>
      <c r="C363" s="27">
        <f ca="1">OFFSET($B363,1*(ROWS(C$2:C363)-1),0)</f>
        <v>0</v>
      </c>
      <c r="D363" s="26">
        <f>Ft!B$3*EXP(Ft!B$38*($A363-Ft!B$2)^2) +Ft!C$3*EXP(Ft!C$38*($A363-Ft!C$2)^2) + Ft!D$3*EXP(Ft!D$38*($A363-Ft!D$2)^2)+Ft!E$3*EXP(Ft!E$38*($A363-Ft!E$2)^2) +Ft!F$3*EXP(Ft!F$38*($A363-Ft!F$2)^2) + Ft!G$3*EXP(Ft!G$38*($A363-Ft!G$2)^2)</f>
        <v>16.221509691681302</v>
      </c>
      <c r="E363" s="26">
        <f>Ft!B$3*EXP(Ft!B$38*($A363-Ft!B$2)^2)</f>
        <v>6.9835416553118634E-55</v>
      </c>
      <c r="F363" s="26">
        <f>Ft!C$3*EXP(Ft!C$38*($A363-Ft!C$2)^2)</f>
        <v>0.16423259787627142</v>
      </c>
      <c r="G363" s="26">
        <f>Ft!D$3*EXP(Ft!D$38*($A363-Ft!D$2)^2)</f>
        <v>15.984244379793111</v>
      </c>
      <c r="H363" s="26">
        <f>Ft!E$3*EXP(Ft!E$38*($A363-Ft!E$2)^2)</f>
        <v>7.3032714011917674E-2</v>
      </c>
      <c r="I363" s="26">
        <f>Ft!F$3*EXP(Ft!F$38*($A363-Ft!F$2)^2)</f>
        <v>7.0731037724624462E-48</v>
      </c>
      <c r="J363" s="26">
        <f>Ft!G$3*EXP(Ft!G$38*($A363-Ft!G$2)^2)</f>
        <v>2.5982052894479948E-193</v>
      </c>
    </row>
    <row r="364" spans="1:10">
      <c r="A364" s="19">
        <v>362</v>
      </c>
      <c r="B364" s="28">
        <v>48.346763123046742</v>
      </c>
      <c r="C364" s="27">
        <f ca="1">OFFSET($B364,1*(ROWS(C$2:C364)-1),0)</f>
        <v>0</v>
      </c>
      <c r="D364" s="26">
        <f>Ft!B$3*EXP(Ft!B$38*($A364-Ft!B$2)^2) +Ft!C$3*EXP(Ft!C$38*($A364-Ft!C$2)^2) + Ft!D$3*EXP(Ft!D$38*($A364-Ft!D$2)^2)+Ft!E$3*EXP(Ft!E$38*($A364-Ft!E$2)^2) +Ft!F$3*EXP(Ft!F$38*($A364-Ft!F$2)^2) + Ft!G$3*EXP(Ft!G$38*($A364-Ft!G$2)^2)</f>
        <v>16.270889699881707</v>
      </c>
      <c r="E364" s="26">
        <f>Ft!B$3*EXP(Ft!B$38*($A364-Ft!B$2)^2)</f>
        <v>3.141336477737003E-55</v>
      </c>
      <c r="F364" s="26">
        <f>Ft!C$3*EXP(Ft!C$38*($A364-Ft!C$2)^2)</f>
        <v>0.15839556429201659</v>
      </c>
      <c r="G364" s="26">
        <f>Ft!D$3*EXP(Ft!D$38*($A364-Ft!D$2)^2)</f>
        <v>16.037746888404058</v>
      </c>
      <c r="H364" s="26">
        <f>Ft!E$3*EXP(Ft!E$38*($A364-Ft!E$2)^2)</f>
        <v>7.4747247185630264E-2</v>
      </c>
      <c r="I364" s="26">
        <f>Ft!F$3*EXP(Ft!F$38*($A364-Ft!F$2)^2)</f>
        <v>9.9773024720711741E-48</v>
      </c>
      <c r="J364" s="26">
        <f>Ft!G$3*EXP(Ft!G$38*($A364-Ft!G$2)^2)</f>
        <v>9.5365121016211722E-193</v>
      </c>
    </row>
    <row r="365" spans="1:10">
      <c r="A365" s="19">
        <v>363</v>
      </c>
      <c r="B365" s="28">
        <v>48.337620508657835</v>
      </c>
      <c r="C365" s="27">
        <f ca="1">OFFSET($B365,1*(ROWS(C$2:C365)-1),0)</f>
        <v>0</v>
      </c>
      <c r="D365" s="26">
        <f>Ft!B$3*EXP(Ft!B$38*($A365-Ft!B$2)^2) +Ft!C$3*EXP(Ft!C$38*($A365-Ft!C$2)^2) + Ft!D$3*EXP(Ft!D$38*($A365-Ft!D$2)^2)+Ft!E$3*EXP(Ft!E$38*($A365-Ft!E$2)^2) +Ft!F$3*EXP(Ft!F$38*($A365-Ft!F$2)^2) + Ft!G$3*EXP(Ft!G$38*($A365-Ft!G$2)^2)</f>
        <v>16.320089519195818</v>
      </c>
      <c r="E365" s="26">
        <f>Ft!B$3*EXP(Ft!B$38*($A365-Ft!B$2)^2)</f>
        <v>1.4094687687839522E-55</v>
      </c>
      <c r="F365" s="26">
        <f>Ft!C$3*EXP(Ft!C$38*($A365-Ft!C$2)^2)</f>
        <v>0.15274118344814924</v>
      </c>
      <c r="G365" s="26">
        <f>Ft!D$3*EXP(Ft!D$38*($A365-Ft!D$2)^2)</f>
        <v>16.090850155582817</v>
      </c>
      <c r="H365" s="26">
        <f>Ft!E$3*EXP(Ft!E$38*($A365-Ft!E$2)^2)</f>
        <v>7.6498180164850937E-2</v>
      </c>
      <c r="I365" s="26">
        <f>Ft!F$3*EXP(Ft!F$38*($A365-Ft!F$2)^2)</f>
        <v>1.406638712836334E-47</v>
      </c>
      <c r="J365" s="26">
        <f>Ft!G$3*EXP(Ft!G$38*($A365-Ft!G$2)^2)</f>
        <v>3.4936540581232182E-192</v>
      </c>
    </row>
    <row r="366" spans="1:10">
      <c r="A366" s="19">
        <v>364</v>
      </c>
      <c r="B366" s="28">
        <v>48.335573358999739</v>
      </c>
      <c r="C366" s="27">
        <f ca="1">OFFSET($B366,1*(ROWS(C$2:C366)-1),0)</f>
        <v>0</v>
      </c>
      <c r="D366" s="26">
        <f>Ft!B$3*EXP(Ft!B$38*($A366-Ft!B$2)^2) +Ft!C$3*EXP(Ft!C$38*($A366-Ft!C$2)^2) + Ft!D$3*EXP(Ft!D$38*($A366-Ft!D$2)^2)+Ft!E$3*EXP(Ft!E$38*($A366-Ft!E$2)^2) +Ft!F$3*EXP(Ft!F$38*($A366-Ft!F$2)^2) + Ft!G$3*EXP(Ft!G$38*($A366-Ft!G$2)^2)</f>
        <v>16.369099961600831</v>
      </c>
      <c r="E366" s="26">
        <f>Ft!B$3*EXP(Ft!B$38*($A366-Ft!B$2)^2)</f>
        <v>6.3081022901945764E-56</v>
      </c>
      <c r="F366" s="26">
        <f>Ft!C$3*EXP(Ft!C$38*($A366-Ft!C$2)^2)</f>
        <v>0.14726473833181219</v>
      </c>
      <c r="G366" s="26">
        <f>Ft!D$3*EXP(Ft!D$38*($A366-Ft!D$2)^2)</f>
        <v>16.143549036006803</v>
      </c>
      <c r="H366" s="26">
        <f>Ft!E$3*EXP(Ft!E$38*($A366-Ft!E$2)^2)</f>
        <v>7.828618726221509E-2</v>
      </c>
      <c r="I366" s="26">
        <f>Ft!F$3*EXP(Ft!F$38*($A366-Ft!F$2)^2)</f>
        <v>1.982066911089974E-47</v>
      </c>
      <c r="J366" s="26">
        <f>Ft!G$3*EXP(Ft!G$38*($A366-Ft!G$2)^2)</f>
        <v>1.2774516353731861E-191</v>
      </c>
    </row>
    <row r="367" spans="1:10">
      <c r="A367" s="19">
        <v>365</v>
      </c>
      <c r="B367" s="28">
        <v>48.341415236859348</v>
      </c>
      <c r="C367" s="27">
        <f ca="1">OFFSET($B367,1*(ROWS(C$2:C367)-1),0)</f>
        <v>0</v>
      </c>
      <c r="D367" s="26">
        <f>Ft!B$3*EXP(Ft!B$38*($A367-Ft!B$2)^2) +Ft!C$3*EXP(Ft!C$38*($A367-Ft!C$2)^2) + Ft!D$3*EXP(Ft!D$38*($A367-Ft!D$2)^2)+Ft!E$3*EXP(Ft!E$38*($A367-Ft!E$2)^2) +Ft!F$3*EXP(Ft!F$38*($A367-Ft!F$2)^2) + Ft!G$3*EXP(Ft!G$38*($A367-Ft!G$2)^2)</f>
        <v>16.417911959559227</v>
      </c>
      <c r="E367" s="26">
        <f>Ft!B$3*EXP(Ft!B$38*($A367-Ft!B$2)^2)</f>
        <v>2.8160753252670154E-56</v>
      </c>
      <c r="F367" s="26">
        <f>Ft!C$3*EXP(Ft!C$38*($A367-Ft!C$2)^2)</f>
        <v>0.1419615955728136</v>
      </c>
      <c r="G367" s="26">
        <f>Ft!D$3*EXP(Ft!D$38*($A367-Ft!D$2)^2)</f>
        <v>16.195838411082008</v>
      </c>
      <c r="H367" s="26">
        <f>Ft!E$3*EXP(Ft!E$38*($A367-Ft!E$2)^2)</f>
        <v>8.0111952904404871E-2</v>
      </c>
      <c r="I367" s="26">
        <f>Ft!F$3*EXP(Ft!F$38*($A367-Ft!F$2)^2)</f>
        <v>2.7913890831355106E-47</v>
      </c>
      <c r="J367" s="26">
        <f>Ft!G$3*EXP(Ft!G$38*($A367-Ft!G$2)^2)</f>
        <v>4.6621180632957808E-191</v>
      </c>
    </row>
    <row r="368" spans="1:10">
      <c r="A368" s="19">
        <v>366</v>
      </c>
      <c r="B368" s="28">
        <v>48.342509756216572</v>
      </c>
      <c r="C368" s="27">
        <f ca="1">OFFSET($B368,1*(ROWS(C$2:C368)-1),0)</f>
        <v>0</v>
      </c>
      <c r="D368" s="26">
        <f>Ft!B$3*EXP(Ft!B$38*($A368-Ft!B$2)^2) +Ft!C$3*EXP(Ft!C$38*($A368-Ft!C$2)^2) + Ft!D$3*EXP(Ft!D$38*($A368-Ft!D$2)^2)+Ft!E$3*EXP(Ft!E$38*($A368-Ft!E$2)^2) +Ft!F$3*EXP(Ft!F$38*($A368-Ft!F$2)^2) + Ft!G$3*EXP(Ft!G$38*($A368-Ft!G$2)^2)</f>
        <v>16.466516566896196</v>
      </c>
      <c r="E368" s="26">
        <f>Ft!B$3*EXP(Ft!B$38*($A368-Ft!B$2)^2)</f>
        <v>1.2539842380803109E-56</v>
      </c>
      <c r="F368" s="26">
        <f>Ft!C$3*EXP(Ft!C$38*($A368-Ft!C$2)^2)</f>
        <v>0.13682720539950025</v>
      </c>
      <c r="G368" s="26">
        <f>Ft!D$3*EXP(Ft!D$38*($A368-Ft!D$2)^2)</f>
        <v>16.24771318976757</v>
      </c>
      <c r="H368" s="26">
        <f>Ft!E$3*EXP(Ft!E$38*($A368-Ft!E$2)^2)</f>
        <v>8.1976171729128439E-2</v>
      </c>
      <c r="I368" s="26">
        <f>Ft!F$3*EXP(Ft!F$38*($A368-Ft!F$2)^2)</f>
        <v>3.9290608828427257E-47</v>
      </c>
      <c r="J368" s="26">
        <f>Ft!G$3*EXP(Ft!G$38*($A368-Ft!G$2)^2)</f>
        <v>1.6982291888140885E-190</v>
      </c>
    </row>
    <row r="369" spans="1:10">
      <c r="A369" s="19">
        <v>367</v>
      </c>
      <c r="B369" s="28">
        <v>48.332330066268213</v>
      </c>
      <c r="C369" s="27">
        <f ca="1">OFFSET($B369,1*(ROWS(C$2:C369)-1),0)</f>
        <v>0</v>
      </c>
      <c r="D369" s="26">
        <f>Ft!B$3*EXP(Ft!B$38*($A369-Ft!B$2)^2) +Ft!C$3*EXP(Ft!C$38*($A369-Ft!C$2)^2) + Ft!D$3*EXP(Ft!D$38*($A369-Ft!D$2)^2)+Ft!E$3*EXP(Ft!E$38*($A369-Ft!E$2)^2) +Ft!F$3*EXP(Ft!F$38*($A369-Ft!F$2)^2) + Ft!G$3*EXP(Ft!G$38*($A369-Ft!G$2)^2)</f>
        <v>16.514904959609432</v>
      </c>
      <c r="E369" s="26">
        <f>Ft!B$3*EXP(Ft!B$38*($A369-Ft!B$2)^2)</f>
        <v>5.5698327995879407E-57</v>
      </c>
      <c r="F369" s="26">
        <f>Ft!C$3*EXP(Ft!C$38*($A369-Ft!C$2)^2)</f>
        <v>0.13185710152958033</v>
      </c>
      <c r="G369" s="26">
        <f>Ft!D$3*EXP(Ft!D$38*($A369-Ft!D$2)^2)</f>
        <v>16.299168309398087</v>
      </c>
      <c r="H369" s="26">
        <f>Ft!E$3*EXP(Ft!E$38*($A369-Ft!E$2)^2)</f>
        <v>8.3879548681764851E-2</v>
      </c>
      <c r="I369" s="26">
        <f>Ft!F$3*EXP(Ft!F$38*($A369-Ft!F$2)^2)</f>
        <v>5.5274326535731307E-47</v>
      </c>
      <c r="J369" s="26">
        <f>Ft!G$3*EXP(Ft!G$38*($A369-Ft!G$2)^2)</f>
        <v>6.1742408670686518E-190</v>
      </c>
    </row>
    <row r="370" spans="1:10">
      <c r="A370" s="19">
        <v>368</v>
      </c>
      <c r="B370" s="28">
        <v>48.32330910097113</v>
      </c>
      <c r="C370" s="27">
        <f ca="1">OFFSET($B370,1*(ROWS(C$2:C370)-1),0)</f>
        <v>0</v>
      </c>
      <c r="D370" s="26">
        <f>Ft!B$3*EXP(Ft!B$38*($A370-Ft!B$2)^2) +Ft!C$3*EXP(Ft!C$38*($A370-Ft!C$2)^2) + Ft!D$3*EXP(Ft!D$38*($A370-Ft!D$2)^2)+Ft!E$3*EXP(Ft!E$38*($A370-Ft!E$2)^2) +Ft!F$3*EXP(Ft!F$38*($A370-Ft!F$2)^2) + Ft!G$3*EXP(Ft!G$38*($A370-Ft!G$2)^2)</f>
        <v>16.563068436613456</v>
      </c>
      <c r="E370" s="26">
        <f>Ft!B$3*EXP(Ft!B$38*($A370-Ft!B$2)^2)</f>
        <v>2.4677122056968554E-57</v>
      </c>
      <c r="F370" s="26">
        <f>Ft!C$3*EXP(Ft!C$38*($A370-Ft!C$2)^2)</f>
        <v>0.12704690099834734</v>
      </c>
      <c r="G370" s="26">
        <f>Ft!D$3*EXP(Ft!D$38*($A370-Ft!D$2)^2)</f>
        <v>16.350198736503476</v>
      </c>
      <c r="H370" s="26">
        <f>Ft!E$3*EXP(Ft!E$38*($A370-Ft!E$2)^2)</f>
        <v>8.5822799111633902E-2</v>
      </c>
      <c r="I370" s="26">
        <f>Ft!F$3*EXP(Ft!F$38*($A370-Ft!F$2)^2)</f>
        <v>7.7718512484261393E-47</v>
      </c>
      <c r="J370" s="26">
        <f>Ft!G$3*EXP(Ft!G$38*($A370-Ft!G$2)^2)</f>
        <v>2.2405006171149538E-189</v>
      </c>
    </row>
    <row r="371" spans="1:10">
      <c r="A371" s="19">
        <v>369</v>
      </c>
      <c r="B371" s="28">
        <v>48.326443150586897</v>
      </c>
      <c r="C371" s="27">
        <f ca="1">OFFSET($B371,1*(ROWS(C$2:C371)-1),0)</f>
        <v>0</v>
      </c>
      <c r="D371" s="26">
        <f>Ft!B$3*EXP(Ft!B$38*($A371-Ft!B$2)^2) +Ft!C$3*EXP(Ft!C$38*($A371-Ft!C$2)^2) + Ft!D$3*EXP(Ft!D$38*($A371-Ft!D$2)^2)+Ft!E$3*EXP(Ft!E$38*($A371-Ft!E$2)^2) +Ft!F$3*EXP(Ft!F$38*($A371-Ft!F$2)^2) + Ft!G$3*EXP(Ft!G$38*($A371-Ft!G$2)^2)</f>
        <v>16.610998420420742</v>
      </c>
      <c r="E371" s="26">
        <f>Ft!B$3*EXP(Ft!B$38*($A371-Ft!B$2)^2)</f>
        <v>1.0905589098542753E-57</v>
      </c>
      <c r="F371" s="26">
        <f>Ft!C$3*EXP(Ft!C$38*($A371-Ft!C$2)^2)</f>
        <v>0.12239230392672965</v>
      </c>
      <c r="G371" s="26">
        <f>Ft!D$3*EXP(Ft!D$38*($A371-Ft!D$2)^2)</f>
        <v>16.400799467626154</v>
      </c>
      <c r="H371" s="26">
        <f>Ft!E$3*EXP(Ft!E$38*($A371-Ft!E$2)^2)</f>
        <v>8.7806648867857023E-2</v>
      </c>
      <c r="I371" s="26">
        <f>Ft!F$3*EXP(Ft!F$38*($A371-Ft!F$2)^2)</f>
        <v>1.0921739610094918E-46</v>
      </c>
      <c r="J371" s="26">
        <f>Ft!G$3*EXP(Ft!G$38*($A371-Ft!G$2)^2)</f>
        <v>8.1148556860604815E-189</v>
      </c>
    </row>
    <row r="372" spans="1:10">
      <c r="A372" s="19">
        <v>370</v>
      </c>
      <c r="B372" s="28">
        <v>48.320407294650408</v>
      </c>
      <c r="C372" s="27">
        <f ca="1">OFFSET($B372,1*(ROWS(C$2:C372)-1),0)</f>
        <v>0</v>
      </c>
      <c r="D372" s="26">
        <f>Ft!B$3*EXP(Ft!B$38*($A372-Ft!B$2)^2) +Ft!C$3*EXP(Ft!C$38*($A372-Ft!C$2)^2) + Ft!D$3*EXP(Ft!D$38*($A372-Ft!D$2)^2)+Ft!E$3*EXP(Ft!E$38*($A372-Ft!E$2)^2) +Ft!F$3*EXP(Ft!F$38*($A372-Ft!F$2)^2) + Ft!G$3*EXP(Ft!G$38*($A372-Ft!G$2)^2)</f>
        <v>16.658686457761792</v>
      </c>
      <c r="E372" s="26">
        <f>Ft!B$3*EXP(Ft!B$38*($A372-Ft!B$2)^2)</f>
        <v>4.8073530933065646E-58</v>
      </c>
      <c r="F372" s="26">
        <f>Ft!C$3*EXP(Ft!C$38*($A372-Ft!C$2)^2)</f>
        <v>0.11788909323157483</v>
      </c>
      <c r="G372" s="26">
        <f>Ft!D$3*EXP(Ft!D$38*($A372-Ft!D$2)^2)</f>
        <v>16.450965530135452</v>
      </c>
      <c r="H372" s="26">
        <f>Ft!E$3*EXP(Ft!E$38*($A372-Ft!E$2)^2)</f>
        <v>8.9831834394766316E-2</v>
      </c>
      <c r="I372" s="26">
        <f>Ft!F$3*EXP(Ft!F$38*($A372-Ft!F$2)^2)</f>
        <v>1.5340004078349055E-46</v>
      </c>
      <c r="J372" s="26">
        <f>Ft!G$3*EXP(Ft!G$38*($A372-Ft!G$2)^2)</f>
        <v>2.9335315724118589E-188</v>
      </c>
    </row>
    <row r="373" spans="1:10">
      <c r="A373" s="19">
        <v>371</v>
      </c>
      <c r="B373" s="28">
        <v>48.301589266440459</v>
      </c>
      <c r="C373" s="27">
        <f ca="1">OFFSET($B373,1*(ROWS(C$2:C373)-1),0)</f>
        <v>0</v>
      </c>
      <c r="D373" s="26">
        <f>Ft!B$3*EXP(Ft!B$38*($A373-Ft!B$2)^2) +Ft!C$3*EXP(Ft!C$38*($A373-Ft!C$2)^2) + Ft!D$3*EXP(Ft!D$38*($A373-Ft!D$2)^2)+Ft!E$3*EXP(Ft!E$38*($A373-Ft!E$2)^2) +Ft!F$3*EXP(Ft!F$38*($A373-Ft!F$2)^2) + Ft!G$3*EXP(Ft!G$38*($A373-Ft!G$2)^2)</f>
        <v>16.706124220146336</v>
      </c>
      <c r="E373" s="26">
        <f>Ft!B$3*EXP(Ft!B$38*($A373-Ft!B$2)^2)</f>
        <v>2.1138062768383504E-58</v>
      </c>
      <c r="F373" s="26">
        <f>Ft!C$3*EXP(Ft!C$38*($A373-Ft!C$2)^2)</f>
        <v>0.11353313428055277</v>
      </c>
      <c r="G373" s="26">
        <f>Ft!D$3*EXP(Ft!D$38*($A373-Ft!D$2)^2)</f>
        <v>16.500691983038958</v>
      </c>
      <c r="H373" s="26">
        <f>Ft!E$3*EXP(Ft!E$38*($A373-Ft!E$2)^2)</f>
        <v>9.1899102826825424E-2</v>
      </c>
      <c r="I373" s="26">
        <f>Ft!F$3*EXP(Ft!F$38*($A373-Ft!F$2)^2)</f>
        <v>2.1534036783939288E-46</v>
      </c>
      <c r="J373" s="26">
        <f>Ft!G$3*EXP(Ft!G$38*($A373-Ft!G$2)^2)</f>
        <v>1.0584612559841006E-187</v>
      </c>
    </row>
    <row r="374" spans="1:10">
      <c r="A374" s="19">
        <v>372</v>
      </c>
      <c r="B374" s="28">
        <v>48.28720799505669</v>
      </c>
      <c r="C374" s="27">
        <f ca="1">OFFSET($B374,1*(ROWS(C$2:C374)-1),0)</f>
        <v>0</v>
      </c>
      <c r="D374" s="26">
        <f>Ft!B$3*EXP(Ft!B$38*($A374-Ft!B$2)^2) +Ft!C$3*EXP(Ft!C$38*($A374-Ft!C$2)^2) + Ft!D$3*EXP(Ft!D$38*($A374-Ft!D$2)^2)+Ft!E$3*EXP(Ft!E$38*($A374-Ft!E$2)^2) +Ft!F$3*EXP(Ft!F$38*($A374-Ft!F$2)^2) + Ft!G$3*EXP(Ft!G$38*($A374-Ft!G$2)^2)</f>
        <v>16.753303504367743</v>
      </c>
      <c r="E374" s="26">
        <f>Ft!B$3*EXP(Ft!B$38*($A374-Ft!B$2)^2)</f>
        <v>9.2710007237001875E-59</v>
      </c>
      <c r="F374" s="26">
        <f>Ft!C$3*EXP(Ft!C$38*($A374-Ft!C$2)^2)</f>
        <v>0.10932037449403625</v>
      </c>
      <c r="G374" s="26">
        <f>Ft!D$3*EXP(Ft!D$38*($A374-Ft!D$2)^2)</f>
        <v>16.549973917790687</v>
      </c>
      <c r="H374" s="26">
        <f>Ft!E$3*EXP(Ft!E$38*($A374-Ft!E$2)^2)</f>
        <v>9.4009212083019614E-2</v>
      </c>
      <c r="I374" s="26">
        <f>Ft!F$3*EXP(Ft!F$38*($A374-Ft!F$2)^2)</f>
        <v>3.0212853484085396E-46</v>
      </c>
      <c r="J374" s="26">
        <f>Ft!G$3*EXP(Ft!G$38*($A374-Ft!G$2)^2)</f>
        <v>3.8118288938420342E-187</v>
      </c>
    </row>
    <row r="375" spans="1:10">
      <c r="A375" s="19">
        <v>373</v>
      </c>
      <c r="B375" s="28">
        <v>48.262675832741877</v>
      </c>
      <c r="C375" s="27">
        <f ca="1">OFFSET($B375,1*(ROWS(C$2:C375)-1),0)</f>
        <v>0</v>
      </c>
      <c r="D375" s="26">
        <f>Ft!B$3*EXP(Ft!B$38*($A375-Ft!B$2)^2) +Ft!C$3*EXP(Ft!C$38*($A375-Ft!C$2)^2) + Ft!D$3*EXP(Ft!D$38*($A375-Ft!D$2)^2)+Ft!E$3*EXP(Ft!E$38*($A375-Ft!E$2)^2) +Ft!F$3*EXP(Ft!F$38*($A375-Ft!F$2)^2) + Ft!G$3*EXP(Ft!G$38*($A375-Ft!G$2)^2)</f>
        <v>16.800216232952845</v>
      </c>
      <c r="E375" s="26">
        <f>Ft!B$3*EXP(Ft!B$38*($A375-Ft!B$2)^2)</f>
        <v>4.0559287482310312E-59</v>
      </c>
      <c r="F375" s="26">
        <f>Ft!C$3*EXP(Ft!C$38*($A375-Ft!C$2)^2)</f>
        <v>0.10524684289628937</v>
      </c>
      <c r="G375" s="26">
        <f>Ft!D$3*EXP(Ft!D$38*($A375-Ft!D$2)^2)</f>
        <v>16.598806459095879</v>
      </c>
      <c r="H375" s="26">
        <f>Ft!E$3*EXP(Ft!E$38*($A375-Ft!E$2)^2)</f>
        <v>9.6162930960675727E-2</v>
      </c>
      <c r="I375" s="26">
        <f>Ft!F$3*EXP(Ft!F$38*($A375-Ft!F$2)^2)</f>
        <v>4.23666726500694E-46</v>
      </c>
      <c r="J375" s="26">
        <f>Ft!G$3*EXP(Ft!G$38*($A375-Ft!G$2)^2)</f>
        <v>1.3701435252736446E-186</v>
      </c>
    </row>
    <row r="376" spans="1:10">
      <c r="A376" s="19">
        <v>374</v>
      </c>
      <c r="B376" s="28">
        <v>48.25630755941387</v>
      </c>
      <c r="C376" s="27">
        <f ca="1">OFFSET($B376,1*(ROWS(C$2:C376)-1),0)</f>
        <v>0</v>
      </c>
      <c r="D376" s="26">
        <f>Ft!B$3*EXP(Ft!B$38*($A376-Ft!B$2)^2) +Ft!C$3*EXP(Ft!C$38*($A376-Ft!C$2)^2) + Ft!D$3*EXP(Ft!D$38*($A376-Ft!D$2)^2)+Ft!E$3*EXP(Ft!E$38*($A376-Ft!E$2)^2) +Ft!F$3*EXP(Ft!F$38*($A376-Ft!F$2)^2) + Ft!G$3*EXP(Ft!G$38*($A376-Ft!G$2)^2)</f>
        <v>16.846854454559139</v>
      </c>
      <c r="E376" s="26">
        <f>Ft!B$3*EXP(Ft!B$38*($A376-Ft!B$2)^2)</f>
        <v>1.7699308099085371E-59</v>
      </c>
      <c r="F376" s="26">
        <f>Ft!C$3*EXP(Ft!C$38*($A376-Ft!C$2)^2)</f>
        <v>0.10130864961826791</v>
      </c>
      <c r="G376" s="26">
        <f>Ft!D$3*EXP(Ft!D$38*($A376-Ft!D$2)^2)</f>
        <v>16.647184765712204</v>
      </c>
      <c r="H376" s="26">
        <f>Ft!E$3*EXP(Ft!E$38*($A376-Ft!E$2)^2)</f>
        <v>9.8361039228668845E-2</v>
      </c>
      <c r="I376" s="26">
        <f>Ft!F$3*EXP(Ft!F$38*($A376-Ft!F$2)^2)</f>
        <v>5.9377688668771799E-46</v>
      </c>
      <c r="J376" s="26">
        <f>Ft!G$3*EXP(Ft!G$38*($A376-Ft!G$2)^2)</f>
        <v>4.9155595394916108E-186</v>
      </c>
    </row>
    <row r="377" spans="1:10">
      <c r="A377" s="19">
        <v>375</v>
      </c>
      <c r="B377" s="28">
        <v>48.235405729576314</v>
      </c>
      <c r="C377" s="27">
        <f ca="1">OFFSET($B377,1*(ROWS(C$2:C377)-1),0)</f>
        <v>0</v>
      </c>
      <c r="D377" s="26">
        <f>Ft!B$3*EXP(Ft!B$38*($A377-Ft!B$2)^2) +Ft!C$3*EXP(Ft!C$38*($A377-Ft!C$2)^2) + Ft!D$3*EXP(Ft!D$38*($A377-Ft!D$2)^2)+Ft!E$3*EXP(Ft!E$38*($A377-Ft!E$2)^2) +Ft!F$3*EXP(Ft!F$38*($A377-Ft!F$2)^2) + Ft!G$3*EXP(Ft!G$38*($A377-Ft!G$2)^2)</f>
        <v>16.893210344321513</v>
      </c>
      <c r="E377" s="26">
        <f>Ft!B$3*EXP(Ft!B$38*($A377-Ft!B$2)^2)</f>
        <v>7.7041464846025406E-60</v>
      </c>
      <c r="F377" s="26">
        <f>Ft!C$3*EXP(Ft!C$38*($A377-Ft!C$2)^2)</f>
        <v>9.750198535429995E-2</v>
      </c>
      <c r="G377" s="26">
        <f>Ft!D$3*EXP(Ft!D$38*($A377-Ft!D$2)^2)</f>
        <v>16.69510403124724</v>
      </c>
      <c r="H377" s="26">
        <f>Ft!E$3*EXP(Ft!E$38*($A377-Ft!E$2)^2)</f>
        <v>0.10060432771997391</v>
      </c>
      <c r="I377" s="26">
        <f>Ft!F$3*EXP(Ft!F$38*($A377-Ft!F$2)^2)</f>
        <v>8.3174181914036675E-46</v>
      </c>
      <c r="J377" s="26">
        <f>Ft!G$3*EXP(Ft!G$38*($A377-Ft!G$2)^2)</f>
        <v>1.7601678814448986E-185</v>
      </c>
    </row>
    <row r="378" spans="1:10">
      <c r="A378" s="19">
        <v>376</v>
      </c>
      <c r="B378" s="28">
        <v>48.221646833844176</v>
      </c>
      <c r="C378" s="27">
        <f ca="1">OFFSET($B378,1*(ROWS(C$2:C378)-1),0)</f>
        <v>0</v>
      </c>
      <c r="D378" s="26">
        <f>Ft!B$3*EXP(Ft!B$38*($A378-Ft!B$2)^2) +Ft!C$3*EXP(Ft!C$38*($A378-Ft!C$2)^2) + Ft!D$3*EXP(Ft!D$38*($A378-Ft!D$2)^2)+Ft!E$3*EXP(Ft!E$38*($A378-Ft!E$2)^2) +Ft!F$3*EXP(Ft!F$38*($A378-Ft!F$2)^2) + Ft!G$3*EXP(Ft!G$38*($A378-Ft!G$2)^2)</f>
        <v>16.939276204150421</v>
      </c>
      <c r="E378" s="26">
        <f>Ft!B$3*EXP(Ft!B$38*($A378-Ft!B$2)^2)</f>
        <v>3.3449916999760783E-60</v>
      </c>
      <c r="F378" s="26">
        <f>Ft!C$3*EXP(Ft!C$38*($A378-Ft!C$2)^2)</f>
        <v>9.3823120774885471E-2</v>
      </c>
      <c r="G378" s="26">
        <f>Ft!D$3*EXP(Ft!D$38*($A378-Ft!D$2)^2)</f>
        <v>16.742559484952015</v>
      </c>
      <c r="H378" s="26">
        <f>Ft!E$3*EXP(Ft!E$38*($A378-Ft!E$2)^2)</f>
        <v>0.10289359842351919</v>
      </c>
      <c r="I378" s="26">
        <f>Ft!F$3*EXP(Ft!F$38*($A378-Ft!F$2)^2)</f>
        <v>1.1644480182529285E-45</v>
      </c>
      <c r="J378" s="26">
        <f>Ft!G$3*EXP(Ft!G$38*($A378-Ft!G$2)^2)</f>
        <v>6.2908518280910449E-185</v>
      </c>
    </row>
    <row r="379" spans="1:10">
      <c r="A379" s="19">
        <v>377</v>
      </c>
      <c r="B379" s="28">
        <v>48.183278628614829</v>
      </c>
      <c r="C379" s="27">
        <f ca="1">OFFSET($B379,1*(ROWS(C$2:C379)-1),0)</f>
        <v>0</v>
      </c>
      <c r="D379" s="26">
        <f>Ft!B$3*EXP(Ft!B$38*($A379-Ft!B$2)^2) +Ft!C$3*EXP(Ft!C$38*($A379-Ft!C$2)^2) + Ft!D$3*EXP(Ft!D$38*($A379-Ft!D$2)^2)+Ft!E$3*EXP(Ft!E$38*($A379-Ft!E$2)^2) +Ft!F$3*EXP(Ft!F$38*($A379-Ft!F$2)^2) + Ft!G$3*EXP(Ft!G$38*($A379-Ft!G$2)^2)</f>
        <v>16.985044462983538</v>
      </c>
      <c r="E379" s="26">
        <f>Ft!B$3*EXP(Ft!B$38*($A379-Ft!B$2)^2)</f>
        <v>1.4486645323914777E-60</v>
      </c>
      <c r="F379" s="26">
        <f>Ft!C$3*EXP(Ft!C$38*($A379-Ft!C$2)^2)</f>
        <v>9.0268405897818663E-2</v>
      </c>
      <c r="G379" s="26">
        <f>Ft!D$3*EXP(Ft!D$38*($A379-Ft!D$2)^2)</f>
        <v>16.78954639251042</v>
      </c>
      <c r="H379" s="26">
        <f>Ft!E$3*EXP(Ft!E$38*($A379-Ft!E$2)^2)</f>
        <v>0.1052296645752963</v>
      </c>
      <c r="I379" s="26">
        <f>Ft!F$3*EXP(Ft!F$38*($A379-Ft!F$2)^2)</f>
        <v>1.6293635357892318E-45</v>
      </c>
      <c r="J379" s="26">
        <f>Ft!G$3*EXP(Ft!G$38*($A379-Ft!G$2)^2)</f>
        <v>2.2440837108076435E-184</v>
      </c>
    </row>
    <row r="380" spans="1:10">
      <c r="A380" s="19">
        <v>378</v>
      </c>
      <c r="B380" s="28">
        <v>48.156115602810814</v>
      </c>
      <c r="C380" s="27">
        <f ca="1">OFFSET($B380,1*(ROWS(C$2:C380)-1),0)</f>
        <v>0</v>
      </c>
      <c r="D380" s="26">
        <f>Ft!B$3*EXP(Ft!B$38*($A380-Ft!B$2)^2) +Ft!C$3*EXP(Ft!C$38*($A380-Ft!C$2)^2) + Ft!D$3*EXP(Ft!D$38*($A380-Ft!D$2)^2)+Ft!E$3*EXP(Ft!E$38*($A380-Ft!E$2)^2) +Ft!F$3*EXP(Ft!F$38*($A380-Ft!F$2)^2) + Ft!G$3*EXP(Ft!G$38*($A380-Ft!G$2)^2)</f>
        <v>17.030507676992819</v>
      </c>
      <c r="E380" s="26">
        <f>Ft!B$3*EXP(Ft!B$38*($A380-Ft!B$2)^2)</f>
        <v>6.2581055050421454E-61</v>
      </c>
      <c r="F380" s="26">
        <f>Ft!C$3*EXP(Ft!C$38*($A380-Ft!C$2)^2)</f>
        <v>8.6834269419798535E-2</v>
      </c>
      <c r="G380" s="26">
        <f>Ft!D$3*EXP(Ft!D$38*($A380-Ft!D$2)^2)</f>
        <v>16.836060056824333</v>
      </c>
      <c r="H380" s="26">
        <f>Ft!E$3*EXP(Ft!E$38*($A380-Ft!E$2)^2)</f>
        <v>0.10761335074868407</v>
      </c>
      <c r="I380" s="26">
        <f>Ft!F$3*EXP(Ft!F$38*($A380-Ft!F$2)^2)</f>
        <v>2.2786740056969182E-45</v>
      </c>
      <c r="J380" s="26">
        <f>Ft!G$3*EXP(Ft!G$38*($A380-Ft!G$2)^2)</f>
        <v>7.9899283275904426E-184</v>
      </c>
    </row>
    <row r="381" spans="1:10">
      <c r="A381" s="19">
        <v>379</v>
      </c>
      <c r="B381" s="28">
        <v>48.141573038451753</v>
      </c>
      <c r="C381" s="27">
        <f ca="1">OFFSET($B381,1*(ROWS(C$2:C381)-1),0)</f>
        <v>0</v>
      </c>
      <c r="D381" s="26">
        <f>Ft!B$3*EXP(Ft!B$38*($A381-Ft!B$2)^2) +Ft!C$3*EXP(Ft!C$38*($A381-Ft!C$2)^2) + Ft!D$3*EXP(Ft!D$38*($A381-Ft!D$2)^2)+Ft!E$3*EXP(Ft!E$38*($A381-Ft!E$2)^2) +Ft!F$3*EXP(Ft!F$38*($A381-Ft!F$2)^2) + Ft!G$3*EXP(Ft!G$38*($A381-Ft!G$2)^2)</f>
        <v>17.075658529748875</v>
      </c>
      <c r="E381" s="26">
        <f>Ft!B$3*EXP(Ft!B$38*($A381-Ft!B$2)^2)</f>
        <v>2.6966228115903836E-61</v>
      </c>
      <c r="F381" s="26">
        <f>Ft!C$3*EXP(Ft!C$38*($A381-Ft!C$2)^2)</f>
        <v>8.3517218010657535E-2</v>
      </c>
      <c r="G381" s="26">
        <f>Ft!D$3*EXP(Ft!D$38*($A381-Ft!D$2)^2)</f>
        <v>16.882095818794276</v>
      </c>
      <c r="H381" s="26">
        <f>Ft!E$3*EXP(Ft!E$38*($A381-Ft!E$2)^2)</f>
        <v>0.11004549294393833</v>
      </c>
      <c r="I381" s="26">
        <f>Ft!F$3*EXP(Ft!F$38*($A381-Ft!F$2)^2)</f>
        <v>3.1850240929371125E-45</v>
      </c>
      <c r="J381" s="26">
        <f>Ft!G$3*EXP(Ft!G$38*($A381-Ft!G$2)^2)</f>
        <v>2.8393631838985598E-183</v>
      </c>
    </row>
    <row r="382" spans="1:10">
      <c r="A382" s="19">
        <v>380</v>
      </c>
      <c r="B382" s="28">
        <v>48.11100132036205</v>
      </c>
      <c r="C382" s="27">
        <f ca="1">OFFSET($B382,1*(ROWS(C$2:C382)-1),0)</f>
        <v>0</v>
      </c>
      <c r="D382" s="26">
        <f>Ft!B$3*EXP(Ft!B$38*($A382-Ft!B$2)^2) +Ft!C$3*EXP(Ft!C$38*($A382-Ft!C$2)^2) + Ft!D$3*EXP(Ft!D$38*($A382-Ft!D$2)^2)+Ft!E$3*EXP(Ft!E$38*($A382-Ft!E$2)^2) +Ft!F$3*EXP(Ft!F$38*($A382-Ft!F$2)^2) + Ft!G$3*EXP(Ft!G$38*($A382-Ft!G$2)^2)</f>
        <v>17.120489832344479</v>
      </c>
      <c r="E382" s="26">
        <f>Ft!B$3*EXP(Ft!B$38*($A382-Ft!B$2)^2)</f>
        <v>1.1590436652825931E-61</v>
      </c>
      <c r="F382" s="26">
        <f>Ft!C$3*EXP(Ft!C$38*($A382-Ft!C$2)^2)</f>
        <v>8.0313835572299416E-2</v>
      </c>
      <c r="G382" s="26">
        <f>Ft!D$3*EXP(Ft!D$38*($A382-Ft!D$2)^2)</f>
        <v>16.927649058095376</v>
      </c>
      <c r="H382" s="26">
        <f>Ft!E$3*EXP(Ft!E$38*($A382-Ft!E$2)^2)</f>
        <v>0.11252693867680433</v>
      </c>
      <c r="I382" s="26">
        <f>Ft!F$3*EXP(Ft!F$38*($A382-Ft!F$2)^2)</f>
        <v>4.4494831270457768E-45</v>
      </c>
      <c r="J382" s="26">
        <f>Ft!G$3*EXP(Ft!G$38*($A382-Ft!G$2)^2)</f>
        <v>1.0071015007516752E-182</v>
      </c>
    </row>
    <row r="383" spans="1:10">
      <c r="A383" s="19">
        <v>381</v>
      </c>
      <c r="B383" s="28">
        <v>48.089665797792236</v>
      </c>
      <c r="C383" s="27">
        <f ca="1">OFFSET($B383,1*(ROWS(C$2:C383)-1),0)</f>
        <v>0</v>
      </c>
      <c r="D383" s="26">
        <f>Ft!B$3*EXP(Ft!B$38*($A383-Ft!B$2)^2) +Ft!C$3*EXP(Ft!C$38*($A383-Ft!C$2)^2) + Ft!D$3*EXP(Ft!D$38*($A383-Ft!D$2)^2)+Ft!E$3*EXP(Ft!E$38*($A383-Ft!E$2)^2) +Ft!F$3*EXP(Ft!F$38*($A383-Ft!F$2)^2) + Ft!G$3*EXP(Ft!G$38*($A383-Ft!G$2)^2)</f>
        <v>17.16499452347912</v>
      </c>
      <c r="E383" s="26">
        <f>Ft!B$3*EXP(Ft!B$38*($A383-Ft!B$2)^2)</f>
        <v>4.969144907216153E-62</v>
      </c>
      <c r="F383" s="26">
        <f>Ft!C$3*EXP(Ft!C$38*($A383-Ft!C$2)^2)</f>
        <v>7.7220782464396537E-2</v>
      </c>
      <c r="G383" s="26">
        <f>Ft!D$3*EXP(Ft!D$38*($A383-Ft!D$2)^2)</f>
        <v>16.97271519394852</v>
      </c>
      <c r="H383" s="26">
        <f>Ft!E$3*EXP(Ft!E$38*($A383-Ft!E$2)^2)</f>
        <v>0.11505854706620072</v>
      </c>
      <c r="I383" s="26">
        <f>Ft!F$3*EXP(Ft!F$38*($A383-Ft!F$2)^2)</f>
        <v>6.212590454919846E-45</v>
      </c>
      <c r="J383" s="26">
        <f>Ft!G$3*EXP(Ft!G$38*($A383-Ft!G$2)^2)</f>
        <v>3.5653303200553956E-182</v>
      </c>
    </row>
    <row r="384" spans="1:10">
      <c r="A384" s="19">
        <v>382</v>
      </c>
      <c r="B384" s="28">
        <v>48.069702528254226</v>
      </c>
      <c r="C384" s="27">
        <f ca="1">OFFSET($B384,1*(ROWS(C$2:C384)-1),0)</f>
        <v>0</v>
      </c>
      <c r="D384" s="26">
        <f>Ft!B$3*EXP(Ft!B$38*($A384-Ft!B$2)^2) +Ft!C$3*EXP(Ft!C$38*($A384-Ft!C$2)^2) + Ft!D$3*EXP(Ft!D$38*($A384-Ft!D$2)^2)+Ft!E$3*EXP(Ft!E$38*($A384-Ft!E$2)^2) +Ft!F$3*EXP(Ft!F$38*($A384-Ft!F$2)^2) + Ft!G$3*EXP(Ft!G$38*($A384-Ft!G$2)^2)</f>
        <v>17.209165669506262</v>
      </c>
      <c r="E384" s="26">
        <f>Ft!B$3*EXP(Ft!B$38*($A384-Ft!B$2)^2)</f>
        <v>2.1250335725149796E-62</v>
      </c>
      <c r="F384" s="26">
        <f>Ft!C$3*EXP(Ft!C$38*($A384-Ft!C$2)^2)</f>
        <v>7.423479469885523E-2</v>
      </c>
      <c r="G384" s="26">
        <f>Ft!D$3*EXP(Ft!D$38*($A384-Ft!D$2)^2)</f>
        <v>17.017289685886475</v>
      </c>
      <c r="H384" s="26">
        <f>Ft!E$3*EXP(Ft!E$38*($A384-Ft!E$2)^2)</f>
        <v>0.11764118892093274</v>
      </c>
      <c r="I384" s="26">
        <f>Ft!F$3*EXP(Ft!F$38*($A384-Ft!F$2)^2)</f>
        <v>8.6696627650579288E-45</v>
      </c>
      <c r="J384" s="26">
        <f>Ft!G$3*EXP(Ft!G$38*($A384-Ft!G$2)^2)</f>
        <v>1.2597968986284126E-181</v>
      </c>
    </row>
    <row r="385" spans="1:10">
      <c r="A385" s="19">
        <v>383</v>
      </c>
      <c r="B385" s="28">
        <v>48.029981557008512</v>
      </c>
      <c r="C385" s="27">
        <f ca="1">OFFSET($B385,1*(ROWS(C$2:C385)-1),0)</f>
        <v>0</v>
      </c>
      <c r="D385" s="26">
        <f>Ft!B$3*EXP(Ft!B$38*($A385-Ft!B$2)^2) +Ft!C$3*EXP(Ft!C$38*($A385-Ft!C$2)^2) + Ft!D$3*EXP(Ft!D$38*($A385-Ft!D$2)^2)+Ft!E$3*EXP(Ft!E$38*($A385-Ft!E$2)^2) +Ft!F$3*EXP(Ft!F$38*($A385-Ft!F$2)^2) + Ft!G$3*EXP(Ft!G$38*($A385-Ft!G$2)^2)</f>
        <v>17.252996464445204</v>
      </c>
      <c r="E385" s="26">
        <f>Ft!B$3*EXP(Ft!B$38*($A385-Ft!B$2)^2)</f>
        <v>9.0646742125338945E-63</v>
      </c>
      <c r="F385" s="26">
        <f>Ft!C$3*EXP(Ft!C$38*($A385-Ft!C$2)^2)</f>
        <v>7.1352683105017495E-2</v>
      </c>
      <c r="G385" s="26">
        <f>Ft!D$3*EXP(Ft!D$38*($A385-Ft!D$2)^2)</f>
        <v>17.061368034514803</v>
      </c>
      <c r="H385" s="26">
        <f>Ft!E$3*EXP(Ft!E$38*($A385-Ft!E$2)^2)</f>
        <v>0.12027574682538011</v>
      </c>
      <c r="I385" s="26">
        <f>Ft!F$3*EXP(Ft!F$38*($A385-Ft!F$2)^2)</f>
        <v>1.2091996211713194E-44</v>
      </c>
      <c r="J385" s="26">
        <f>Ft!G$3*EXP(Ft!G$38*($A385-Ft!G$2)^2)</f>
        <v>4.4429919900842981E-181</v>
      </c>
    </row>
    <row r="386" spans="1:10">
      <c r="A386" s="19">
        <v>384</v>
      </c>
      <c r="B386" s="28">
        <v>47.96400863924427</v>
      </c>
      <c r="C386" s="27">
        <f ca="1">OFFSET($B386,1*(ROWS(C$2:C386)-1),0)</f>
        <v>0</v>
      </c>
      <c r="D386" s="26">
        <f>Ft!B$3*EXP(Ft!B$38*($A386-Ft!B$2)^2) +Ft!C$3*EXP(Ft!C$38*($A386-Ft!C$2)^2) + Ft!D$3*EXP(Ft!D$38*($A386-Ft!D$2)^2)+Ft!E$3*EXP(Ft!E$38*($A386-Ft!E$2)^2) +Ft!F$3*EXP(Ft!F$38*($A386-Ft!F$2)^2) + Ft!G$3*EXP(Ft!G$38*($A386-Ft!G$2)^2)</f>
        <v>17.296480229959041</v>
      </c>
      <c r="E386" s="26">
        <f>Ft!B$3*EXP(Ft!B$38*($A386-Ft!B$2)^2)</f>
        <v>3.8569221646887603E-63</v>
      </c>
      <c r="F386" s="26">
        <f>Ft!C$3*EXP(Ft!C$38*($A386-Ft!C$2)^2)</f>
        <v>6.8571332467523269E-2</v>
      </c>
      <c r="G386" s="26">
        <f>Ft!D$3*EXP(Ft!D$38*($A386-Ft!D$2)^2)</f>
        <v>17.1049457822674</v>
      </c>
      <c r="H386" s="26">
        <f>Ft!E$3*EXP(Ft!E$38*($A386-Ft!E$2)^2)</f>
        <v>0.12296311522411658</v>
      </c>
      <c r="I386" s="26">
        <f>Ft!F$3*EXP(Ft!F$38*($A386-Ft!F$2)^2)</f>
        <v>1.6856217208352197E-44</v>
      </c>
      <c r="J386" s="26">
        <f>Ft!G$3*EXP(Ft!G$38*($A386-Ft!G$2)^2)</f>
        <v>1.5639568217585393E-180</v>
      </c>
    </row>
    <row r="387" spans="1:10">
      <c r="A387" s="19">
        <v>385</v>
      </c>
      <c r="B387" s="28">
        <v>47.906205968730461</v>
      </c>
      <c r="C387" s="27">
        <f ca="1">OFFSET($B387,1*(ROWS(C$2:C387)-1),0)</f>
        <v>0</v>
      </c>
      <c r="D387" s="26">
        <f>Ft!B$3*EXP(Ft!B$38*($A387-Ft!B$2)^2) +Ft!C$3*EXP(Ft!C$38*($A387-Ft!C$2)^2) + Ft!D$3*EXP(Ft!D$38*($A387-Ft!D$2)^2)+Ft!E$3*EXP(Ft!E$38*($A387-Ft!E$2)^2) +Ft!F$3*EXP(Ft!F$38*($A387-Ft!F$2)^2) + Ft!G$3*EXP(Ft!G$38*($A387-Ft!G$2)^2)</f>
        <v>17.339610415300609</v>
      </c>
      <c r="E387" s="26">
        <f>Ft!B$3*EXP(Ft!B$38*($A387-Ft!B$2)^2)</f>
        <v>1.6369364502688152E-63</v>
      </c>
      <c r="F387" s="26">
        <f>Ft!C$3*EXP(Ft!C$38*($A387-Ft!C$2)^2)</f>
        <v>6.5887700638713298E-2</v>
      </c>
      <c r="G387" s="26">
        <f>Ft!D$3*EXP(Ft!D$38*($A387-Ft!D$2)^2)</f>
        <v>17.14801851415649</v>
      </c>
      <c r="H387" s="26">
        <f>Ft!E$3*EXP(Ft!E$38*($A387-Ft!E$2)^2)</f>
        <v>0.12570420050540568</v>
      </c>
      <c r="I387" s="26">
        <f>Ft!F$3*EXP(Ft!F$38*($A387-Ft!F$2)^2)</f>
        <v>2.348489127665504E-44</v>
      </c>
      <c r="J387" s="26">
        <f>Ft!G$3*EXP(Ft!G$38*($A387-Ft!G$2)^2)</f>
        <v>5.4947535748052904E-180</v>
      </c>
    </row>
    <row r="388" spans="1:10">
      <c r="A388" s="19">
        <v>386</v>
      </c>
      <c r="B388" s="28">
        <v>47.857055126556617</v>
      </c>
      <c r="C388" s="27">
        <f ca="1">OFFSET($B388,1*(ROWS(C$2:C388)-1),0)</f>
        <v>0</v>
      </c>
      <c r="D388" s="26">
        <f>Ft!B$3*EXP(Ft!B$38*($A388-Ft!B$2)^2) +Ft!C$3*EXP(Ft!C$38*($A388-Ft!C$2)^2) + Ft!D$3*EXP(Ft!D$38*($A388-Ft!D$2)^2)+Ft!E$3*EXP(Ft!E$38*($A388-Ft!E$2)^2) +Ft!F$3*EXP(Ft!F$38*($A388-Ft!F$2)^2) + Ft!G$3*EXP(Ft!G$38*($A388-Ft!G$2)^2)</f>
        <v>17.382380597227804</v>
      </c>
      <c r="E388" s="26">
        <f>Ft!B$3*EXP(Ft!B$38*($A388-Ft!B$2)^2)</f>
        <v>6.9298691518357661E-64</v>
      </c>
      <c r="F388" s="26">
        <f>Ft!C$3*EXP(Ft!C$38*($A388-Ft!C$2)^2)</f>
        <v>6.3298817627408563E-2</v>
      </c>
      <c r="G388" s="26">
        <f>Ft!D$3*EXP(Ft!D$38*($A388-Ft!D$2)^2)</f>
        <v>17.190581858516868</v>
      </c>
      <c r="H388" s="26">
        <f>Ft!E$3*EXP(Ft!E$38*($A388-Ft!E$2)^2)</f>
        <v>0.12849992108352645</v>
      </c>
      <c r="I388" s="26">
        <f>Ft!F$3*EXP(Ft!F$38*($A388-Ft!F$2)^2)</f>
        <v>3.2702677196061E-44</v>
      </c>
      <c r="J388" s="26">
        <f>Ft!G$3*EXP(Ft!G$38*($A388-Ft!G$2)^2)</f>
        <v>1.9268411595136516E-179</v>
      </c>
    </row>
    <row r="389" spans="1:10">
      <c r="A389" s="19">
        <v>387</v>
      </c>
      <c r="B389" s="28">
        <v>47.785835090555395</v>
      </c>
      <c r="C389" s="27">
        <f ca="1">OFFSET($B389,1*(ROWS(C$2:C389)-1),0)</f>
        <v>0</v>
      </c>
      <c r="D389" s="26">
        <f>Ft!B$3*EXP(Ft!B$38*($A389-Ft!B$2)^2) +Ft!C$3*EXP(Ft!C$38*($A389-Ft!C$2)^2) + Ft!D$3*EXP(Ft!D$38*($A389-Ft!D$2)^2)+Ft!E$3*EXP(Ft!E$38*($A389-Ft!E$2)^2) +Ft!F$3*EXP(Ft!F$38*($A389-Ft!F$2)^2) + Ft!G$3*EXP(Ft!G$38*($A389-Ft!G$2)^2)</f>
        <v>17.424784479889997</v>
      </c>
      <c r="E389" s="26">
        <f>Ft!B$3*EXP(Ft!B$38*($A389-Ft!B$2)^2)</f>
        <v>2.926311268783447E-64</v>
      </c>
      <c r="F389" s="26">
        <f>Ft!C$3*EXP(Ft!C$38*($A389-Ft!C$2)^2)</f>
        <v>6.0801784665857998E-2</v>
      </c>
      <c r="G389" s="26">
        <f>Ft!D$3*EXP(Ft!D$38*($A389-Ft!D$2)^2)</f>
        <v>17.232631487744264</v>
      </c>
      <c r="H389" s="26">
        <f>Ft!E$3*EXP(Ft!E$38*($A389-Ft!E$2)^2)</f>
        <v>0.13135120747987497</v>
      </c>
      <c r="I389" s="26">
        <f>Ft!F$3*EXP(Ft!F$38*($A389-Ft!F$2)^2)</f>
        <v>4.5513934441962531E-44</v>
      </c>
      <c r="J389" s="26">
        <f>Ft!G$3*EXP(Ft!G$38*($A389-Ft!G$2)^2)</f>
        <v>6.744004359105807E-179</v>
      </c>
    </row>
    <row r="390" spans="1:10">
      <c r="A390" s="19">
        <v>388</v>
      </c>
      <c r="B390" s="28">
        <v>47.677563043943167</v>
      </c>
      <c r="C390" s="27">
        <f ca="1">OFFSET($B390,1*(ROWS(C$2:C390)-1),0)</f>
        <v>0</v>
      </c>
      <c r="D390" s="26">
        <f>Ft!B$3*EXP(Ft!B$38*($A390-Ft!B$2)^2) +Ft!C$3*EXP(Ft!C$38*($A390-Ft!C$2)^2) + Ft!D$3*EXP(Ft!D$38*($A390-Ft!D$2)^2)+Ft!E$3*EXP(Ft!E$38*($A390-Ft!E$2)^2) +Ft!F$3*EXP(Ft!F$38*($A390-Ft!F$2)^2) + Ft!G$3*EXP(Ft!G$38*($A390-Ft!G$2)^2)</f>
        <v>17.46681589468697</v>
      </c>
      <c r="E390" s="26">
        <f>Ft!B$3*EXP(Ft!B$38*($A390-Ft!B$2)^2)</f>
        <v>1.2325889647493499E-64</v>
      </c>
      <c r="F390" s="26">
        <f>Ft!C$3*EXP(Ft!C$38*($A390-Ft!C$2)^2)</f>
        <v>5.8393773256599217E-2</v>
      </c>
      <c r="G390" s="26">
        <f>Ft!D$3*EXP(Ft!D$38*($A390-Ft!D$2)^2)</f>
        <v>17.274163119027577</v>
      </c>
      <c r="H390" s="26">
        <f>Ft!E$3*EXP(Ft!E$38*($A390-Ft!E$2)^2)</f>
        <v>0.13425900240279121</v>
      </c>
      <c r="I390" s="26">
        <f>Ft!F$3*EXP(Ft!F$38*($A390-Ft!F$2)^2)</f>
        <v>6.3309920804825495E-44</v>
      </c>
      <c r="J390" s="26">
        <f>Ft!G$3*EXP(Ft!G$38*($A390-Ft!G$2)^2)</f>
        <v>2.3559387907720402E-178</v>
      </c>
    </row>
    <row r="391" spans="1:10">
      <c r="A391" s="19">
        <v>389</v>
      </c>
      <c r="B391" s="28">
        <v>47.585430478980726</v>
      </c>
      <c r="C391" s="27">
        <f ca="1">OFFSET($B391,1*(ROWS(C$2:C391)-1),0)</f>
        <v>0</v>
      </c>
      <c r="D391" s="26">
        <f>Ft!B$3*EXP(Ft!B$38*($A391-Ft!B$2)^2) +Ft!C$3*EXP(Ft!C$38*($A391-Ft!C$2)^2) + Ft!D$3*EXP(Ft!D$38*($A391-Ft!D$2)^2)+Ft!E$3*EXP(Ft!E$38*($A391-Ft!E$2)^2) +Ft!F$3*EXP(Ft!F$38*($A391-Ft!F$2)^2) + Ft!G$3*EXP(Ft!G$38*($A391-Ft!G$2)^2)</f>
        <v>17.508468800101909</v>
      </c>
      <c r="E391" s="26">
        <f>Ft!B$3*EXP(Ft!B$38*($A391-Ft!B$2)^2)</f>
        <v>5.1786707579597019E-65</v>
      </c>
      <c r="F391" s="26">
        <f>Ft!C$3*EXP(Ft!C$38*($A391-Ft!C$2)^2)</f>
        <v>5.6072024200931374E-2</v>
      </c>
      <c r="G391" s="26">
        <f>Ft!D$3*EXP(Ft!D$38*($A391-Ft!D$2)^2)</f>
        <v>17.31517251507492</v>
      </c>
      <c r="H391" s="26">
        <f>Ft!E$3*EXP(Ft!E$38*($A391-Ft!E$2)^2)</f>
        <v>0.13722426082605746</v>
      </c>
      <c r="I391" s="26">
        <f>Ft!F$3*EXP(Ft!F$38*($A391-Ft!F$2)^2)</f>
        <v>8.8016780631550232E-44</v>
      </c>
      <c r="J391" s="26">
        <f>Ft!G$3*EXP(Ft!G$38*($A391-Ft!G$2)^2)</f>
        <v>8.2145617114247536E-178</v>
      </c>
    </row>
    <row r="392" spans="1:10">
      <c r="A392" s="19">
        <v>390</v>
      </c>
      <c r="B392" s="28">
        <v>47.488682887182762</v>
      </c>
      <c r="C392" s="27">
        <f ca="1">OFFSET($B392,1*(ROWS(C$2:C392)-1),0)</f>
        <v>0</v>
      </c>
      <c r="D392" s="26">
        <f>Ft!B$3*EXP(Ft!B$38*($A392-Ft!B$2)^2) +Ft!C$3*EXP(Ft!C$38*($A392-Ft!C$2)^2) + Ft!D$3*EXP(Ft!D$38*($A392-Ft!D$2)^2)+Ft!E$3*EXP(Ft!E$38*($A392-Ft!E$2)^2) +Ft!F$3*EXP(Ft!F$38*($A392-Ft!F$2)^2) + Ft!G$3*EXP(Ft!G$38*($A392-Ft!G$2)^2)</f>
        <v>17.549737281509845</v>
      </c>
      <c r="E392" s="26">
        <f>Ft!B$3*EXP(Ft!B$38*($A392-Ft!B$2)^2)</f>
        <v>2.1703041302928837E-65</v>
      </c>
      <c r="F392" s="26">
        <f>Ft!C$3*EXP(Ft!C$38*($A392-Ft!C$2)^2)</f>
        <v>5.3833846610653213E-2</v>
      </c>
      <c r="G392" s="26">
        <f>Ft!D$3*EXP(Ft!D$38*($A392-Ft!D$2)^2)</f>
        <v>17.355655484833175</v>
      </c>
      <c r="H392" s="26">
        <f>Ft!E$3*EXP(Ft!E$38*($A392-Ft!E$2)^2)</f>
        <v>0.14024795006601609</v>
      </c>
      <c r="I392" s="26">
        <f>Ft!F$3*EXP(Ft!F$38*($A392-Ft!F$2)^2)</f>
        <v>1.2229973250574577E-43</v>
      </c>
      <c r="J392" s="26">
        <f>Ft!G$3*EXP(Ft!G$38*($A392-Ft!G$2)^2)</f>
        <v>2.8587687314998002E-177</v>
      </c>
    </row>
    <row r="393" spans="1:10">
      <c r="A393" s="19">
        <v>391</v>
      </c>
      <c r="B393" s="28">
        <v>47.377772451248944</v>
      </c>
      <c r="C393" s="27">
        <f ca="1">OFFSET($B393,1*(ROWS(C$2:C393)-1),0)</f>
        <v>0</v>
      </c>
      <c r="D393" s="26">
        <f>Ft!B$3*EXP(Ft!B$38*($A393-Ft!B$2)^2) +Ft!C$3*EXP(Ft!C$38*($A393-Ft!C$2)^2) + Ft!D$3*EXP(Ft!D$38*($A393-Ft!D$2)^2)+Ft!E$3*EXP(Ft!E$38*($A393-Ft!E$2)^2) +Ft!F$3*EXP(Ft!F$38*($A393-Ft!F$2)^2) + Ft!G$3*EXP(Ft!G$38*($A393-Ft!G$2)^2)</f>
        <v>17.590615550962927</v>
      </c>
      <c r="E393" s="26">
        <f>Ft!B$3*EXP(Ft!B$38*($A393-Ft!B$2)^2)</f>
        <v>9.0724621102408244E-66</v>
      </c>
      <c r="F393" s="26">
        <f>Ft!C$3*EXP(Ft!C$38*($A393-Ft!C$2)^2)</f>
        <v>5.167661690467288E-2</v>
      </c>
      <c r="G393" s="26">
        <f>Ft!D$3*EXP(Ft!D$38*($A393-Ft!D$2)^2)</f>
        <v>17.395607884201002</v>
      </c>
      <c r="H393" s="26">
        <f>Ft!E$3*EXP(Ft!E$38*($A393-Ft!E$2)^2)</f>
        <v>0.14333104985725093</v>
      </c>
      <c r="I393" s="26">
        <f>Ft!F$3*EXP(Ft!F$38*($A393-Ft!F$2)^2)</f>
        <v>1.6984464295341142E-43</v>
      </c>
      <c r="J393" s="26">
        <f>Ft!G$3*EXP(Ft!G$38*($A393-Ft!G$2)^2)</f>
        <v>9.9299687776199168E-177</v>
      </c>
    </row>
    <row r="394" spans="1:10">
      <c r="A394" s="19">
        <v>392</v>
      </c>
      <c r="B394" s="28">
        <v>47.31430612842837</v>
      </c>
      <c r="C394" s="27">
        <f ca="1">OFFSET($B394,1*(ROWS(C$2:C394)-1),0)</f>
        <v>0</v>
      </c>
      <c r="D394" s="26">
        <f>Ft!B$3*EXP(Ft!B$38*($A394-Ft!B$2)^2) +Ft!C$3*EXP(Ft!C$38*($A394-Ft!C$2)^2) + Ft!D$3*EXP(Ft!D$38*($A394-Ft!D$2)^2)+Ft!E$3*EXP(Ft!E$38*($A394-Ft!E$2)^2) +Ft!F$3*EXP(Ft!F$38*($A394-Ft!F$2)^2) + Ft!G$3*EXP(Ft!G$38*($A394-Ft!G$2)^2)</f>
        <v>17.631097946953862</v>
      </c>
      <c r="E394" s="26">
        <f>Ft!B$3*EXP(Ft!B$38*($A394-Ft!B$2)^2)</f>
        <v>3.7829621805742161E-66</v>
      </c>
      <c r="F394" s="26">
        <f>Ft!C$3*EXP(Ft!C$38*($A394-Ft!C$2)^2)</f>
        <v>4.9597777792047874E-2</v>
      </c>
      <c r="G394" s="26">
        <f>Ft!D$3*EXP(Ft!D$38*($A394-Ft!D$2)^2)</f>
        <v>17.435025616735032</v>
      </c>
      <c r="H394" s="26">
        <f>Ft!E$3*EXP(Ft!E$38*($A394-Ft!E$2)^2)</f>
        <v>0.14647455242677956</v>
      </c>
      <c r="I394" s="26">
        <f>Ft!F$3*EXP(Ft!F$38*($A394-Ft!F$2)^2)</f>
        <v>2.3574610073300764E-43</v>
      </c>
      <c r="J394" s="26">
        <f>Ft!G$3*EXP(Ft!G$38*($A394-Ft!G$2)^2)</f>
        <v>3.4426349679985426E-176</v>
      </c>
    </row>
    <row r="395" spans="1:10">
      <c r="A395" s="19">
        <v>393</v>
      </c>
      <c r="B395" s="28">
        <v>47.231074745728478</v>
      </c>
      <c r="C395" s="27">
        <f ca="1">OFFSET($B395,1*(ROWS(C$2:C395)-1),0)</f>
        <v>0</v>
      </c>
      <c r="D395" s="26">
        <f>Ft!B$3*EXP(Ft!B$38*($A395-Ft!B$2)^2) +Ft!C$3*EXP(Ft!C$38*($A395-Ft!C$2)^2) + Ft!D$3*EXP(Ft!D$38*($A395-Ft!D$2)^2)+Ft!E$3*EXP(Ft!E$38*($A395-Ft!E$2)^2) +Ft!F$3*EXP(Ft!F$38*($A395-Ft!F$2)^2) + Ft!G$3*EXP(Ft!G$38*($A395-Ft!G$2)^2)</f>
        <v>17.671178934158839</v>
      </c>
      <c r="E395" s="26">
        <f>Ft!B$3*EXP(Ft!B$38*($A395-Ft!B$2)^2)</f>
        <v>1.573407102206197E-66</v>
      </c>
      <c r="F395" s="26">
        <f>Ft!C$3*EXP(Ft!C$38*($A395-Ft!C$2)^2)</f>
        <v>4.759483724296807E-2</v>
      </c>
      <c r="G395" s="26">
        <f>Ft!D$3*EXP(Ft!D$38*($A395-Ft!D$2)^2)</f>
        <v>17.473904634349172</v>
      </c>
      <c r="H395" s="26">
        <f>Ft!E$3*EXP(Ft!E$38*($A395-Ft!E$2)^2)</f>
        <v>0.1496794625666979</v>
      </c>
      <c r="I395" s="26">
        <f>Ft!F$3*EXP(Ft!F$38*($A395-Ft!F$2)^2)</f>
        <v>3.2704197853537396E-43</v>
      </c>
      <c r="J395" s="26">
        <f>Ft!G$3*EXP(Ft!G$38*($A395-Ft!G$2)^2)</f>
        <v>1.1912647787325947E-175</v>
      </c>
    </row>
    <row r="396" spans="1:10">
      <c r="A396" s="19">
        <v>394</v>
      </c>
      <c r="B396" s="28">
        <v>47.148857546451381</v>
      </c>
      <c r="C396" s="27">
        <f ca="1">OFFSET($B396,1*(ROWS(C$2:C396)-1),0)</f>
        <v>0</v>
      </c>
      <c r="D396" s="26">
        <f>Ft!B$3*EXP(Ft!B$38*($A396-Ft!B$2)^2) +Ft!C$3*EXP(Ft!C$38*($A396-Ft!C$2)^2) + Ft!D$3*EXP(Ft!D$38*($A396-Ft!D$2)^2)+Ft!E$3*EXP(Ft!E$38*($A396-Ft!E$2)^2) +Ft!F$3*EXP(Ft!F$38*($A396-Ft!F$2)^2) + Ft!G$3*EXP(Ft!G$38*($A396-Ft!G$2)^2)</f>
        <v>17.710853103161149</v>
      </c>
      <c r="E396" s="26">
        <f>Ft!B$3*EXP(Ft!B$38*($A396-Ft!B$2)^2)</f>
        <v>6.5275842082785104E-67</v>
      </c>
      <c r="F396" s="26">
        <f>Ft!C$3*EXP(Ft!C$38*($A396-Ft!C$2)^2)</f>
        <v>4.5665367449146836E-2</v>
      </c>
      <c r="G396" s="26">
        <f>Ft!D$3*EXP(Ft!D$38*($A396-Ft!D$2)^2)</f>
        <v>17.512240938006777</v>
      </c>
      <c r="H396" s="26">
        <f>Ft!E$3*EXP(Ft!E$38*($A396-Ft!E$2)^2)</f>
        <v>0.15294679770522554</v>
      </c>
      <c r="I396" s="26">
        <f>Ft!F$3*EXP(Ft!F$38*($A396-Ft!F$2)^2)</f>
        <v>4.5344937055969969E-43</v>
      </c>
      <c r="J396" s="26">
        <f>Ft!G$3*EXP(Ft!G$38*($A396-Ft!G$2)^2)</f>
        <v>4.1143369906468892E-175</v>
      </c>
    </row>
    <row r="397" spans="1:10">
      <c r="A397" s="19">
        <v>395</v>
      </c>
      <c r="B397" s="28">
        <v>47.038645042506715</v>
      </c>
      <c r="C397" s="27">
        <f ca="1">OFFSET($B397,1*(ROWS(C$2:C397)-1),0)</f>
        <v>0</v>
      </c>
      <c r="D397" s="26">
        <f>Ft!B$3*EXP(Ft!B$38*($A397-Ft!B$2)^2) +Ft!C$3*EXP(Ft!C$38*($A397-Ft!C$2)^2) + Ft!D$3*EXP(Ft!D$38*($A397-Ft!D$2)^2)+Ft!E$3*EXP(Ft!E$38*($A397-Ft!E$2)^2) +Ft!F$3*EXP(Ft!F$38*($A397-Ft!F$2)^2) + Ft!G$3*EXP(Ft!G$38*($A397-Ft!G$2)^2)</f>
        <v>17.750115170156679</v>
      </c>
      <c r="E397" s="26">
        <f>Ft!B$3*EXP(Ft!B$38*($A397-Ft!B$2)^2)</f>
        <v>2.7012583988409916E-67</v>
      </c>
      <c r="F397" s="26">
        <f>Ft!C$3*EXP(Ft!C$38*($A397-Ft!C$2)^2)</f>
        <v>4.3807003775038621E-2</v>
      </c>
      <c r="G397" s="26">
        <f>Ft!D$3*EXP(Ft!D$38*($A397-Ft!D$2)^2)</f>
        <v>17.550030578405551</v>
      </c>
      <c r="H397" s="26">
        <f>Ft!E$3*EXP(Ft!E$38*($A397-Ft!E$2)^2)</f>
        <v>0.15627758797608904</v>
      </c>
      <c r="I397" s="26">
        <f>Ft!F$3*EXP(Ft!F$38*($A397-Ft!F$2)^2)</f>
        <v>6.2837720730275429E-43</v>
      </c>
      <c r="J397" s="26">
        <f>Ft!G$3*EXP(Ft!G$38*($A397-Ft!G$2)^2)</f>
        <v>1.4182919966037209E-174</v>
      </c>
    </row>
    <row r="398" spans="1:10">
      <c r="A398" s="19">
        <v>396</v>
      </c>
      <c r="B398" s="28">
        <v>46.93345971747928</v>
      </c>
      <c r="C398" s="27">
        <f ca="1">OFFSET($B398,1*(ROWS(C$2:C398)-1),0)</f>
        <v>0</v>
      </c>
      <c r="D398" s="26">
        <f>Ft!B$3*EXP(Ft!B$38*($A398-Ft!B$2)^2) +Ft!C$3*EXP(Ft!C$38*($A398-Ft!C$2)^2) + Ft!D$3*EXP(Ft!D$38*($A398-Ft!D$2)^2)+Ft!E$3*EXP(Ft!E$38*($A398-Ft!E$2)^2) +Ft!F$3*EXP(Ft!F$38*($A398-Ft!F$2)^2) + Ft!G$3*EXP(Ft!G$38*($A398-Ft!G$2)^2)</f>
        <v>17.788959976642495</v>
      </c>
      <c r="E398" s="26">
        <f>Ft!B$3*EXP(Ft!B$38*($A398-Ft!B$2)^2)</f>
        <v>1.1150184344381211E-67</v>
      </c>
      <c r="F398" s="26">
        <f>Ft!C$3*EXP(Ft!C$38*($A398-Ft!C$2)^2)</f>
        <v>4.2017443701253536E-2</v>
      </c>
      <c r="G398" s="26">
        <f>Ft!D$3*EXP(Ft!D$38*($A398-Ft!D$2)^2)</f>
        <v>17.587269656655049</v>
      </c>
      <c r="H398" s="26">
        <f>Ft!E$3*EXP(Ft!E$38*($A398-Ft!E$2)^2)</f>
        <v>0.15967287628619195</v>
      </c>
      <c r="I398" s="26">
        <f>Ft!F$3*EXP(Ft!F$38*($A398-Ft!F$2)^2)</f>
        <v>8.7031879556684538E-43</v>
      </c>
      <c r="J398" s="26">
        <f>Ft!G$3*EXP(Ft!G$38*($A398-Ft!G$2)^2)</f>
        <v>4.8798410615765852E-174</v>
      </c>
    </row>
    <row r="399" spans="1:10">
      <c r="A399" s="19">
        <v>397</v>
      </c>
      <c r="B399" s="28">
        <v>46.804791210408155</v>
      </c>
      <c r="C399" s="27">
        <f ca="1">OFFSET($B399,1*(ROWS(C$2:C399)-1),0)</f>
        <v>0</v>
      </c>
      <c r="D399" s="26">
        <f>Ft!B$3*EXP(Ft!B$38*($A399-Ft!B$2)^2) +Ft!C$3*EXP(Ft!C$38*($A399-Ft!C$2)^2) + Ft!D$3*EXP(Ft!D$38*($A399-Ft!D$2)^2)+Ft!E$3*EXP(Ft!E$38*($A399-Ft!E$2)^2) +Ft!F$3*EXP(Ft!F$38*($A399-Ft!F$2)^2) + Ft!G$3*EXP(Ft!G$38*($A399-Ft!G$2)^2)</f>
        <v>17.827382489089548</v>
      </c>
      <c r="E399" s="26">
        <f>Ft!B$3*EXP(Ft!B$38*($A399-Ft!B$2)^2)</f>
        <v>4.5909253934460759E-68</v>
      </c>
      <c r="F399" s="26">
        <f>Ft!C$3*EXP(Ft!C$38*($A399-Ft!C$2)^2)</f>
        <v>4.0294445761494539E-2</v>
      </c>
      <c r="G399" s="26">
        <f>Ft!D$3*EXP(Ft!D$38*($A399-Ft!D$2)^2)</f>
        <v>17.623954324946546</v>
      </c>
      <c r="H399" s="26">
        <f>Ft!E$3*EXP(Ft!E$38*($A399-Ft!E$2)^2)</f>
        <v>0.16313371838150842</v>
      </c>
      <c r="I399" s="26">
        <f>Ft!F$3*EXP(Ft!F$38*($A399-Ft!F$2)^2)</f>
        <v>1.2047657711676133E-42</v>
      </c>
      <c r="J399" s="26">
        <f>Ft!G$3*EXP(Ft!G$38*($A399-Ft!G$2)^2)</f>
        <v>1.6757913138954604E-173</v>
      </c>
    </row>
    <row r="400" spans="1:10">
      <c r="A400" s="19">
        <v>398</v>
      </c>
      <c r="B400" s="28">
        <v>46.677944563617729</v>
      </c>
      <c r="C400" s="27">
        <f ca="1">OFFSET($B400,1*(ROWS(C$2:C400)-1),0)</f>
        <v>0</v>
      </c>
      <c r="D400" s="26">
        <f>Ft!B$3*EXP(Ft!B$38*($A400-Ft!B$2)^2) +Ft!C$3*EXP(Ft!C$38*($A400-Ft!C$2)^2) + Ft!D$3*EXP(Ft!D$38*($A400-Ft!D$2)^2)+Ft!E$3*EXP(Ft!E$38*($A400-Ft!E$2)^2) +Ft!F$3*EXP(Ft!F$38*($A400-Ft!F$2)^2) + Ft!G$3*EXP(Ft!G$38*($A400-Ft!G$2)^2)</f>
        <v>17.865377798600615</v>
      </c>
      <c r="E400" s="26">
        <f>Ft!B$3*EXP(Ft!B$38*($A400-Ft!B$2)^2)</f>
        <v>1.8854746293233814E-68</v>
      </c>
      <c r="F400" s="26">
        <f>Ft!C$3*EXP(Ft!C$38*($A400-Ft!C$2)^2)</f>
        <v>3.8635828474294066E-2</v>
      </c>
      <c r="G400" s="26">
        <f>Ft!D$3*EXP(Ft!D$38*($A400-Ft!D$2)^2)</f>
        <v>17.660080787215175</v>
      </c>
      <c r="H400" s="26">
        <f>Ft!E$3*EXP(Ft!E$38*($A400-Ft!E$2)^2)</f>
        <v>0.16666118291114498</v>
      </c>
      <c r="I400" s="26">
        <f>Ft!F$3*EXP(Ft!F$38*($A400-Ft!F$2)^2)</f>
        <v>1.666837245560271E-42</v>
      </c>
      <c r="J400" s="26">
        <f>Ft!G$3*EXP(Ft!G$38*($A400-Ft!G$2)^2)</f>
        <v>5.7439205748896604E-173</v>
      </c>
    </row>
    <row r="401" spans="1:10">
      <c r="A401" s="19">
        <v>399</v>
      </c>
      <c r="B401" s="28">
        <v>46.553084159282491</v>
      </c>
      <c r="C401" s="27">
        <f ca="1">OFFSET($B401,1*(ROWS(C$2:C401)-1),0)</f>
        <v>0</v>
      </c>
      <c r="D401" s="26">
        <f>Ft!B$3*EXP(Ft!B$38*($A401-Ft!B$2)^2) +Ft!C$3*EXP(Ft!C$38*($A401-Ft!C$2)^2) + Ft!D$3*EXP(Ft!D$38*($A401-Ft!D$2)^2)+Ft!E$3*EXP(Ft!E$38*($A401-Ft!E$2)^2) +Ft!F$3*EXP(Ft!F$38*($A401-Ft!F$2)^2) + Ft!G$3*EXP(Ft!G$38*($A401-Ft!G$2)^2)</f>
        <v>17.902941120554424</v>
      </c>
      <c r="E401" s="26">
        <f>Ft!B$3*EXP(Ft!B$38*($A401-Ft!B$2)^2)</f>
        <v>7.7240205582470541E-69</v>
      </c>
      <c r="F401" s="26">
        <f>Ft!C$3*EXP(Ft!C$38*($A401-Ft!C$2)^2)</f>
        <v>3.7039469270782326E-2</v>
      </c>
      <c r="G401" s="26">
        <f>Ft!D$3*EXP(Ft!D$38*($A401-Ft!D$2)^2)</f>
        <v>17.69564529979413</v>
      </c>
      <c r="H401" s="26">
        <f>Ft!E$3*EXP(Ft!E$38*($A401-Ft!E$2)^2)</f>
        <v>0.17025635148950877</v>
      </c>
      <c r="I401" s="26">
        <f>Ft!F$3*EXP(Ft!F$38*($A401-Ft!F$2)^2)</f>
        <v>2.3048894008149224E-42</v>
      </c>
      <c r="J401" s="26">
        <f>Ft!G$3*EXP(Ft!G$38*($A401-Ft!G$2)^2)</f>
        <v>1.9650388904425629E-172</v>
      </c>
    </row>
    <row r="402" spans="1:10">
      <c r="A402" s="19">
        <v>400</v>
      </c>
      <c r="B402" s="28">
        <v>46.435639732551465</v>
      </c>
      <c r="C402" s="27">
        <f ca="1">OFFSET($B402,1*(ROWS(C$2:C402)-1),0)</f>
        <v>0</v>
      </c>
      <c r="D402" s="26">
        <f>Ft!B$3*EXP(Ft!B$38*($A402-Ft!B$2)^2) +Ft!C$3*EXP(Ft!C$38*($A402-Ft!C$2)^2) + Ft!D$3*EXP(Ft!D$38*($A402-Ft!D$2)^2)+Ft!E$3*EXP(Ft!E$38*($A402-Ft!E$2)^2) +Ft!F$3*EXP(Ft!F$38*($A402-Ft!F$2)^2) + Ft!G$3*EXP(Ft!G$38*($A402-Ft!G$2)^2)</f>
        <v>17.940067794237031</v>
      </c>
      <c r="E402" s="26">
        <f>Ft!B$3*EXP(Ft!B$38*($A402-Ft!B$2)^2)</f>
        <v>3.1562283707715465E-69</v>
      </c>
      <c r="F402" s="26">
        <f>Ft!C$3*EXP(Ft!C$38*($A402-Ft!C$2)^2)</f>
        <v>3.5503303419672477E-2</v>
      </c>
      <c r="G402" s="26">
        <f>Ft!D$3*EXP(Ft!D$38*($A402-Ft!D$2)^2)</f>
        <v>17.730644172060835</v>
      </c>
      <c r="H402" s="26">
        <f>Ft!E$3*EXP(Ft!E$38*($A402-Ft!E$2)^2)</f>
        <v>0.1739203187565235</v>
      </c>
      <c r="I402" s="26">
        <f>Ft!F$3*EXP(Ft!F$38*($A402-Ft!F$2)^2)</f>
        <v>3.1854684194874214E-42</v>
      </c>
      <c r="J402" s="26">
        <f>Ft!G$3*EXP(Ft!G$38*($A402-Ft!G$2)^2)</f>
        <v>6.7097773159060338E-172</v>
      </c>
    </row>
    <row r="403" spans="1:10">
      <c r="A403" s="19">
        <v>401</v>
      </c>
      <c r="B403" s="28">
        <v>46.30065837376074</v>
      </c>
      <c r="C403" s="27">
        <f ca="1">OFFSET($B403,1*(ROWS(C$2:C403)-1),0)</f>
        <v>0</v>
      </c>
      <c r="D403" s="26">
        <f>Ft!B$3*EXP(Ft!B$38*($A403-Ft!B$2)^2) +Ft!C$3*EXP(Ft!C$38*($A403-Ft!C$2)^2) + Ft!D$3*EXP(Ft!D$38*($A403-Ft!D$2)^2)+Ft!E$3*EXP(Ft!E$38*($A403-Ft!E$2)^2) +Ft!F$3*EXP(Ft!F$38*($A403-Ft!F$2)^2) + Ft!G$3*EXP(Ft!G$38*($A403-Ft!G$2)^2)</f>
        <v>17.976753282461257</v>
      </c>
      <c r="E403" s="26">
        <f>Ft!B$3*EXP(Ft!B$38*($A403-Ft!B$2)^2)</f>
        <v>1.2864582245200851E-69</v>
      </c>
      <c r="F403" s="26">
        <f>Ft!C$3*EXP(Ft!C$38*($A403-Ft!C$2)^2)</f>
        <v>3.4025322950602621E-2</v>
      </c>
      <c r="G403" s="26">
        <f>Ft!D$3*EXP(Ft!D$38*($A403-Ft!D$2)^2)</f>
        <v>17.765073767074821</v>
      </c>
      <c r="H403" s="26">
        <f>Ft!E$3*EXP(Ft!E$38*($A403-Ft!E$2)^2)</f>
        <v>0.17765419243583308</v>
      </c>
      <c r="I403" s="26">
        <f>Ft!F$3*EXP(Ft!F$38*($A403-Ft!F$2)^2)</f>
        <v>4.400102926031252E-42</v>
      </c>
      <c r="J403" s="26">
        <f>Ft!G$3*EXP(Ft!G$38*($A403-Ft!G$2)^2)</f>
        <v>2.2867532085871518E-171</v>
      </c>
    </row>
    <row r="404" spans="1:10">
      <c r="A404" s="19">
        <v>402</v>
      </c>
      <c r="B404" s="28">
        <v>46.156090619620954</v>
      </c>
      <c r="C404" s="27">
        <f ca="1">OFFSET($B404,1*(ROWS(C$2:C404)-1),0)</f>
        <v>0</v>
      </c>
      <c r="D404" s="26">
        <f>Ft!B$3*EXP(Ft!B$38*($A404-Ft!B$2)^2) +Ft!C$3*EXP(Ft!C$38*($A404-Ft!C$2)^2) + Ft!D$3*EXP(Ft!D$38*($A404-Ft!D$2)^2)+Ft!E$3*EXP(Ft!E$38*($A404-Ft!E$2)^2) +Ft!F$3*EXP(Ft!F$38*($A404-Ft!F$2)^2) + Ft!G$3*EXP(Ft!G$38*($A404-Ft!G$2)^2)</f>
        <v>18.012993171175147</v>
      </c>
      <c r="E404" s="26">
        <f>Ft!B$3*EXP(Ft!B$38*($A404-Ft!B$2)^2)</f>
        <v>5.2302834609017017E-70</v>
      </c>
      <c r="F404" s="26">
        <f>Ft!C$3*EXP(Ft!C$38*($A404-Ft!C$2)^2)</f>
        <v>3.260357557692993E-2</v>
      </c>
      <c r="G404" s="26">
        <f>Ft!D$3*EXP(Ft!D$38*($A404-Ft!D$2)^2)</f>
        <v>17.798930502207288</v>
      </c>
      <c r="H404" s="26">
        <f>Ft!E$3*EXP(Ft!E$38*($A404-Ft!E$2)^2)</f>
        <v>0.18145909339092983</v>
      </c>
      <c r="I404" s="26">
        <f>Ft!F$3*EXP(Ft!F$38*($A404-Ft!F$2)^2)</f>
        <v>6.0746139854424392E-42</v>
      </c>
      <c r="J404" s="26">
        <f>Ft!G$3*EXP(Ft!G$38*($A404-Ft!G$2)^2)</f>
        <v>7.7786587651960108E-171</v>
      </c>
    </row>
    <row r="405" spans="1:10">
      <c r="A405" s="19">
        <v>403</v>
      </c>
      <c r="B405" s="28">
        <v>46.003354120414258</v>
      </c>
      <c r="C405" s="27">
        <f ca="1">OFFSET($B405,1*(ROWS(C$2:C405)-1),0)</f>
        <v>0</v>
      </c>
      <c r="D405" s="26">
        <f>Ft!B$3*EXP(Ft!B$38*($A405-Ft!B$2)^2) +Ft!C$3*EXP(Ft!C$38*($A405-Ft!C$2)^2) + Ft!D$3*EXP(Ft!D$38*($A405-Ft!D$2)^2)+Ft!E$3*EXP(Ft!E$38*($A405-Ft!E$2)^2) +Ft!F$3*EXP(Ft!F$38*($A405-Ft!F$2)^2) + Ft!G$3*EXP(Ft!G$38*($A405-Ft!G$2)^2)</f>
        <v>18.048783169060254</v>
      </c>
      <c r="E405" s="26">
        <f>Ft!B$3*EXP(Ft!B$38*($A405-Ft!B$2)^2)</f>
        <v>2.1210799345146885E-70</v>
      </c>
      <c r="F405" s="26">
        <f>Ft!C$3*EXP(Ft!C$38*($A405-Ft!C$2)^2)</f>
        <v>3.1236163619026206E-2</v>
      </c>
      <c r="G405" s="26">
        <f>Ft!D$3*EXP(Ft!D$38*($A405-Ft!D$2)^2)</f>
        <v>17.832210849762081</v>
      </c>
      <c r="H405" s="26">
        <f>Ft!E$3*EXP(Ft!E$38*($A405-Ft!E$2)^2)</f>
        <v>0.18533615567914724</v>
      </c>
      <c r="I405" s="26">
        <f>Ft!F$3*EXP(Ft!F$38*($A405-Ft!F$2)^2)</f>
        <v>8.3818687183659694E-42</v>
      </c>
      <c r="J405" s="26">
        <f>Ft!G$3*EXP(Ft!G$38*($A405-Ft!G$2)^2)</f>
        <v>2.6409755247406918E-170</v>
      </c>
    </row>
    <row r="406" spans="1:10">
      <c r="A406" s="19">
        <v>404</v>
      </c>
      <c r="B406" s="28">
        <v>45.838370172396765</v>
      </c>
      <c r="C406" s="27">
        <f ca="1">OFFSET($B406,1*(ROWS(C$2:C406)-1),0)</f>
        <v>0</v>
      </c>
      <c r="D406" s="26">
        <f>Ft!B$3*EXP(Ft!B$38*($A406-Ft!B$2)^2) +Ft!C$3*EXP(Ft!C$38*($A406-Ft!C$2)^2) + Ft!D$3*EXP(Ft!D$38*($A406-Ft!D$2)^2)+Ft!E$3*EXP(Ft!E$38*($A406-Ft!E$2)^2) +Ft!F$3*EXP(Ft!F$38*($A406-Ft!F$2)^2) + Ft!G$3*EXP(Ft!G$38*($A406-Ft!G$2)^2)</f>
        <v>18.084119107120546</v>
      </c>
      <c r="E406" s="26">
        <f>Ft!B$3*EXP(Ft!B$38*($A406-Ft!B$2)^2)</f>
        <v>8.5800756053237368E-71</v>
      </c>
      <c r="F406" s="26">
        <f>Ft!C$3*EXP(Ft!C$38*($A406-Ft!C$2)^2)</f>
        <v>2.9921242929081476E-2</v>
      </c>
      <c r="G406" s="26">
        <f>Ft!D$3*EXP(Ft!D$38*($A406-Ft!D$2)^2)</f>
        <v>17.864911337588012</v>
      </c>
      <c r="H406" s="26">
        <f>Ft!E$3*EXP(Ft!E$38*($A406-Ft!E$2)^2)</f>
        <v>0.18928652660345385</v>
      </c>
      <c r="I406" s="26">
        <f>Ft!F$3*EXP(Ft!F$38*($A406-Ft!F$2)^2)</f>
        <v>1.1559241615959326E-41</v>
      </c>
      <c r="J406" s="26">
        <f>Ft!G$3*EXP(Ft!G$38*($A406-Ft!G$2)^2)</f>
        <v>8.9494895566754336E-170</v>
      </c>
    </row>
    <row r="407" spans="1:10">
      <c r="A407" s="19">
        <v>405</v>
      </c>
      <c r="B407" s="28">
        <v>45.658676830323657</v>
      </c>
      <c r="C407" s="27">
        <f ca="1">OFFSET($B407,1*(ROWS(C$2:C407)-1),0)</f>
        <v>0</v>
      </c>
      <c r="D407" s="26">
        <f>Ft!B$3*EXP(Ft!B$38*($A407-Ft!B$2)^2) +Ft!C$3*EXP(Ft!C$38*($A407-Ft!C$2)^2) + Ft!D$3*EXP(Ft!D$38*($A407-Ft!D$2)^2)+Ft!E$3*EXP(Ft!E$38*($A407-Ft!E$2)^2) +Ft!F$3*EXP(Ft!F$38*($A407-Ft!F$2)^2) + Ft!G$3*EXP(Ft!G$38*($A407-Ft!G$2)^2)</f>
        <v>18.118996938262686</v>
      </c>
      <c r="E407" s="26">
        <f>Ft!B$3*EXP(Ft!B$38*($A407-Ft!B$2)^2)</f>
        <v>3.4620031938233586E-71</v>
      </c>
      <c r="F407" s="26">
        <f>Ft!C$3*EXP(Ft!C$38*($A407-Ft!C$2)^2)</f>
        <v>2.8657021818377523E-2</v>
      </c>
      <c r="G407" s="26">
        <f>Ft!D$3*EXP(Ft!D$38*($A407-Ft!D$2)^2)</f>
        <v>17.897028549682322</v>
      </c>
      <c r="H407" s="26">
        <f>Ft!E$3*EXP(Ft!E$38*($A407-Ft!E$2)^2)</f>
        <v>0.1933113667619869</v>
      </c>
      <c r="I407" s="26">
        <f>Ft!F$3*EXP(Ft!F$38*($A407-Ft!F$2)^2)</f>
        <v>1.5932508080381716E-41</v>
      </c>
      <c r="J407" s="26">
        <f>Ft!G$3*EXP(Ft!G$38*($A407-Ft!G$2)^2)</f>
        <v>3.0269579497803393E-169</v>
      </c>
    </row>
    <row r="408" spans="1:10">
      <c r="A408" s="19">
        <v>406</v>
      </c>
      <c r="B408" s="28">
        <v>45.479591484384599</v>
      </c>
      <c r="C408" s="27">
        <f ca="1">OFFSET($B408,1*(ROWS(C$2:C408)-1),0)</f>
        <v>0</v>
      </c>
      <c r="D408" s="26">
        <f>Ft!B$3*EXP(Ft!B$38*($A408-Ft!B$2)^2) +Ft!C$3*EXP(Ft!C$38*($A408-Ft!C$2)^2) + Ft!D$3*EXP(Ft!D$38*($A408-Ft!D$2)^2)+Ft!E$3*EXP(Ft!E$38*($A408-Ft!E$2)^2) +Ft!F$3*EXP(Ft!F$38*($A408-Ft!F$2)^2) + Ft!G$3*EXP(Ft!G$38*($A408-Ft!G$2)^2)</f>
        <v>18.153412736868393</v>
      </c>
      <c r="E408" s="26">
        <f>Ft!B$3*EXP(Ft!B$38*($A408-Ft!B$2)^2)</f>
        <v>1.393368806994985E-71</v>
      </c>
      <c r="F408" s="26">
        <f>Ft!C$3*EXP(Ft!C$38*($A408-Ft!C$2)^2)</f>
        <v>2.7441759987950589E-2</v>
      </c>
      <c r="G408" s="26">
        <f>Ft!D$3*EXP(Ft!D$38*($A408-Ft!D$2)^2)</f>
        <v>17.928559126785181</v>
      </c>
      <c r="H408" s="26">
        <f>Ft!E$3*EXP(Ft!E$38*($A408-Ft!E$2)^2)</f>
        <v>0.19741185009525919</v>
      </c>
      <c r="I408" s="26">
        <f>Ft!F$3*EXP(Ft!F$38*($A408-Ft!F$2)^2)</f>
        <v>2.1948521559924641E-41</v>
      </c>
      <c r="J408" s="26">
        <f>Ft!G$3*EXP(Ft!G$38*($A408-Ft!G$2)^2)</f>
        <v>1.0218537500927274E-168</v>
      </c>
    </row>
    <row r="409" spans="1:10">
      <c r="A409" s="19">
        <v>407</v>
      </c>
      <c r="B409" s="28">
        <v>45.278029500784385</v>
      </c>
      <c r="C409" s="27">
        <f ca="1">OFFSET($B409,1*(ROWS(C$2:C409)-1),0)</f>
        <v>0</v>
      </c>
      <c r="D409" s="26">
        <f>Ft!B$3*EXP(Ft!B$38*($A409-Ft!B$2)^2) +Ft!C$3*EXP(Ft!C$38*($A409-Ft!C$2)^2) + Ft!D$3*EXP(Ft!D$38*($A409-Ft!D$2)^2)+Ft!E$3*EXP(Ft!E$38*($A409-Ft!E$2)^2) +Ft!F$3*EXP(Ft!F$38*($A409-Ft!F$2)^2) + Ft!G$3*EXP(Ft!G$38*($A409-Ft!G$2)^2)</f>
        <v>18.187362698359557</v>
      </c>
      <c r="E409" s="26">
        <f>Ft!B$3*EXP(Ft!B$38*($A409-Ft!B$2)^2)</f>
        <v>5.5938005044182578E-72</v>
      </c>
      <c r="F409" s="26">
        <f>Ft!C$3*EXP(Ft!C$38*($A409-Ft!C$2)^2)</f>
        <v>2.6273767463520233E-2</v>
      </c>
      <c r="G409" s="26">
        <f>Ft!D$3*EXP(Ft!D$38*($A409-Ft!D$2)^2)</f>
        <v>17.959499766965056</v>
      </c>
      <c r="H409" s="26">
        <f>Ft!E$3*EXP(Ft!E$38*($A409-Ft!E$2)^2)</f>
        <v>0.20158916393097956</v>
      </c>
      <c r="I409" s="26">
        <f>Ft!F$3*EXP(Ft!F$38*($A409-Ft!F$2)^2)</f>
        <v>3.021987854722321E-41</v>
      </c>
      <c r="J409" s="26">
        <f>Ft!G$3*EXP(Ft!G$38*($A409-Ft!G$2)^2)</f>
        <v>3.4430658702165568E-168</v>
      </c>
    </row>
    <row r="410" spans="1:10">
      <c r="A410" s="19">
        <v>408</v>
      </c>
      <c r="B410" s="28">
        <v>45.075007713297225</v>
      </c>
      <c r="C410" s="27">
        <f ca="1">OFFSET($B410,1*(ROWS(C$2:C410)-1),0)</f>
        <v>0</v>
      </c>
      <c r="D410" s="26">
        <f>Ft!B$3*EXP(Ft!B$38*($A410-Ft!B$2)^2) +Ft!C$3*EXP(Ft!C$38*($A410-Ft!C$2)^2) + Ft!D$3*EXP(Ft!D$38*($A410-Ft!D$2)^2)+Ft!E$3*EXP(Ft!E$38*($A410-Ft!E$2)^2) +Ft!F$3*EXP(Ft!F$38*($A410-Ft!F$2)^2) + Ft!G$3*EXP(Ft!G$38*($A410-Ft!G$2)^2)</f>
        <v>18.220843138756742</v>
      </c>
      <c r="E410" s="26">
        <f>Ft!B$3*EXP(Ft!B$38*($A410-Ft!B$2)^2)</f>
        <v>2.2400109116807471E-72</v>
      </c>
      <c r="F410" s="26">
        <f>Ft!C$3*EXP(Ft!C$38*($A410-Ft!C$2)^2)</f>
        <v>2.5151403535519545E-2</v>
      </c>
      <c r="G410" s="26">
        <f>Ft!D$3*EXP(Ft!D$38*($A410-Ft!D$2)^2)</f>
        <v>17.989847226194804</v>
      </c>
      <c r="H410" s="26">
        <f>Ft!E$3*EXP(Ft!E$38*($A410-Ft!E$2)^2)</f>
        <v>0.20584450902641799</v>
      </c>
      <c r="I410" s="26">
        <f>Ft!F$3*EXP(Ft!F$38*($A410-Ft!F$2)^2)</f>
        <v>4.1585935533396493E-41</v>
      </c>
      <c r="J410" s="26">
        <f>Ft!G$3*EXP(Ft!G$38*($A410-Ft!G$2)^2)</f>
        <v>1.1579135943055656E-167</v>
      </c>
    </row>
    <row r="411" spans="1:10">
      <c r="A411" s="19">
        <v>409</v>
      </c>
      <c r="B411" s="28">
        <v>44.875342131723016</v>
      </c>
      <c r="C411" s="27">
        <f ca="1">OFFSET($B411,1*(ROWS(C$2:C411)-1),0)</f>
        <v>0</v>
      </c>
      <c r="D411" s="26">
        <f>Ft!B$3*EXP(Ft!B$38*($A411-Ft!B$2)^2) +Ft!C$3*EXP(Ft!C$38*($A411-Ft!C$2)^2) + Ft!D$3*EXP(Ft!D$38*($A411-Ft!D$2)^2)+Ft!E$3*EXP(Ft!E$38*($A411-Ft!E$2)^2) +Ft!F$3*EXP(Ft!F$38*($A411-Ft!F$2)^2) + Ft!G$3*EXP(Ft!G$38*($A411-Ft!G$2)^2)</f>
        <v>18.253850494231632</v>
      </c>
      <c r="E411" s="26">
        <f>Ft!B$3*EXP(Ft!B$38*($A411-Ft!B$2)^2)</f>
        <v>8.9473734447209066E-73</v>
      </c>
      <c r="F411" s="26">
        <f>Ft!C$3*EXP(Ft!C$38*($A411-Ft!C$2)^2)</f>
        <v>2.4073075705020448E-2</v>
      </c>
      <c r="G411" s="26">
        <f>Ft!D$3*EXP(Ft!D$38*($A411-Ft!D$2)^2)</f>
        <v>18.019598318918359</v>
      </c>
      <c r="H411" s="26">
        <f>Ft!E$3*EXP(Ft!E$38*($A411-Ft!E$2)^2)</f>
        <v>0.2101790996082547</v>
      </c>
      <c r="I411" s="26">
        <f>Ft!F$3*EXP(Ft!F$38*($A411-Ft!F$2)^2)</f>
        <v>5.7196118322714378E-41</v>
      </c>
      <c r="J411" s="26">
        <f>Ft!G$3*EXP(Ft!G$38*($A411-Ft!G$2)^2)</f>
        <v>3.8867016714404538E-167</v>
      </c>
    </row>
    <row r="412" spans="1:10">
      <c r="A412" s="19">
        <v>410</v>
      </c>
      <c r="B412" s="28">
        <v>44.680738646947077</v>
      </c>
      <c r="C412" s="27">
        <f ca="1">OFFSET($B412,1*(ROWS(C$2:C412)-1),0)</f>
        <v>0</v>
      </c>
      <c r="D412" s="26">
        <f>Ft!B$3*EXP(Ft!B$38*($A412-Ft!B$2)^2) +Ft!C$3*EXP(Ft!C$38*($A412-Ft!C$2)^2) + Ft!D$3*EXP(Ft!D$38*($A412-Ft!D$2)^2)+Ft!E$3*EXP(Ft!E$38*($A412-Ft!E$2)^2) +Ft!F$3*EXP(Ft!F$38*($A412-Ft!F$2)^2) + Ft!G$3*EXP(Ft!G$38*($A412-Ft!G$2)^2)</f>
        <v>18.286381320654026</v>
      </c>
      <c r="E412" s="26">
        <f>Ft!B$3*EXP(Ft!B$38*($A412-Ft!B$2)^2)</f>
        <v>3.5648664522635788E-73</v>
      </c>
      <c r="F412" s="26">
        <f>Ft!C$3*EXP(Ft!C$38*($A412-Ft!C$2)^2)</f>
        <v>2.3037238636308507E-2</v>
      </c>
      <c r="G412" s="26">
        <f>Ft!D$3*EXP(Ft!D$38*($A412-Ft!D$2)^2)</f>
        <v>18.048749918607875</v>
      </c>
      <c r="H412" s="26">
        <f>Ft!E$3*EXP(Ft!E$38*($A412-Ft!E$2)^2)</f>
        <v>0.21459416340984369</v>
      </c>
      <c r="I412" s="26">
        <f>Ft!F$3*EXP(Ft!F$38*($A412-Ft!F$2)^2)</f>
        <v>7.8623605263794892E-41</v>
      </c>
      <c r="J412" s="26">
        <f>Ft!G$3*EXP(Ft!G$38*($A412-Ft!G$2)^2)</f>
        <v>1.3021484386025947E-166</v>
      </c>
    </row>
    <row r="413" spans="1:10">
      <c r="A413" s="19">
        <v>411</v>
      </c>
      <c r="B413" s="28">
        <v>44.466848984453975</v>
      </c>
      <c r="C413" s="27">
        <f ca="1">OFFSET($B413,1*(ROWS(C$2:C413)-1),0)</f>
        <v>0</v>
      </c>
      <c r="D413" s="26">
        <f>Ft!B$3*EXP(Ft!B$38*($A413-Ft!B$2)^2) +Ft!C$3*EXP(Ft!C$38*($A413-Ft!C$2)^2) + Ft!D$3*EXP(Ft!D$38*($A413-Ft!D$2)^2)+Ft!E$3*EXP(Ft!E$38*($A413-Ft!E$2)^2) +Ft!F$3*EXP(Ft!F$38*($A413-Ft!F$2)^2) + Ft!G$3*EXP(Ft!G$38*($A413-Ft!G$2)^2)</f>
        <v>18.318432293133828</v>
      </c>
      <c r="E413" s="26">
        <f>Ft!B$3*EXP(Ft!B$38*($A413-Ft!B$2)^2)</f>
        <v>1.41675004691869E-73</v>
      </c>
      <c r="F413" s="26">
        <f>Ft!C$3*EXP(Ft!C$38*($A413-Ft!C$2)^2)</f>
        <v>2.2042393116820779E-2</v>
      </c>
      <c r="G413" s="26">
        <f>Ft!D$3*EXP(Ft!D$38*($A413-Ft!D$2)^2)</f>
        <v>18.077298958311179</v>
      </c>
      <c r="H413" s="26">
        <f>Ft!E$3*EXP(Ft!E$38*($A413-Ft!E$2)^2)</f>
        <v>0.2190909417058281</v>
      </c>
      <c r="I413" s="26">
        <f>Ft!F$3*EXP(Ft!F$38*($A413-Ft!F$2)^2)</f>
        <v>1.080203727055291E-40</v>
      </c>
      <c r="J413" s="26">
        <f>Ft!G$3*EXP(Ft!G$38*($A413-Ft!G$2)^2)</f>
        <v>4.3542565615954187E-166</v>
      </c>
    </row>
    <row r="414" spans="1:10">
      <c r="A414" s="19">
        <v>412</v>
      </c>
      <c r="B414" s="28">
        <v>44.27695556373726</v>
      </c>
      <c r="C414" s="27">
        <f ca="1">OFFSET($B414,1*(ROWS(C$2:C414)-1),0)</f>
        <v>0</v>
      </c>
      <c r="D414" s="26">
        <f>Ft!B$3*EXP(Ft!B$38*($A414-Ft!B$2)^2) +Ft!C$3*EXP(Ft!C$38*($A414-Ft!C$2)^2) + Ft!D$3*EXP(Ft!D$38*($A414-Ft!D$2)^2)+Ft!E$3*EXP(Ft!E$38*($A414-Ft!E$2)^2) +Ft!F$3*EXP(Ft!F$38*($A414-Ft!F$2)^2) + Ft!G$3*EXP(Ft!G$38*($A414-Ft!G$2)^2)</f>
        <v>18.350000205558565</v>
      </c>
      <c r="E414" s="26">
        <f>Ft!B$3*EXP(Ft!B$38*($A414-Ft!B$2)^2)</f>
        <v>5.6162376520786609E-74</v>
      </c>
      <c r="F414" s="26">
        <f>Ft!C$3*EXP(Ft!C$38*($A414-Ft!C$2)^2)</f>
        <v>2.1087085025123145E-2</v>
      </c>
      <c r="G414" s="26">
        <f>Ft!D$3*EXP(Ft!D$38*($A414-Ft!D$2)^2)</f>
        <v>18.105242431189403</v>
      </c>
      <c r="H414" s="26">
        <f>Ft!E$3*EXP(Ft!E$38*($A414-Ft!E$2)^2)</f>
        <v>0.22367068934403878</v>
      </c>
      <c r="I414" s="26">
        <f>Ft!F$3*EXP(Ft!F$38*($A414-Ft!F$2)^2)</f>
        <v>1.483285348683638E-40</v>
      </c>
      <c r="J414" s="26">
        <f>Ft!G$3*EXP(Ft!G$38*($A414-Ft!G$2)^2)</f>
        <v>1.4532548079604534E-165</v>
      </c>
    </row>
    <row r="415" spans="1:10">
      <c r="A415" s="19">
        <v>413</v>
      </c>
      <c r="B415" s="28">
        <v>44.070798178816602</v>
      </c>
      <c r="C415" s="27">
        <f ca="1">OFFSET($B415,1*(ROWS(C$2:C415)-1),0)</f>
        <v>0</v>
      </c>
      <c r="D415" s="26">
        <f>Ft!B$3*EXP(Ft!B$38*($A415-Ft!B$2)^2) +Ft!C$3*EXP(Ft!C$38*($A415-Ft!C$2)^2) + Ft!D$3*EXP(Ft!D$38*($A415-Ft!D$2)^2)+Ft!E$3*EXP(Ft!E$38*($A415-Ft!E$2)^2) +Ft!F$3*EXP(Ft!F$38*($A415-Ft!F$2)^2) + Ft!G$3*EXP(Ft!G$38*($A415-Ft!G$2)^2)</f>
        <v>18.381081970126854</v>
      </c>
      <c r="E415" s="26">
        <f>Ft!B$3*EXP(Ft!B$38*($A415-Ft!B$2)^2)</f>
        <v>2.2207516223478452E-74</v>
      </c>
      <c r="F415" s="26">
        <f>Ft!C$3*EXP(Ft!C$38*($A415-Ft!C$2)^2)</f>
        <v>2.0169904307563786E-2</v>
      </c>
      <c r="G415" s="26">
        <f>Ft!D$3*EXP(Ft!D$38*($A415-Ft!D$2)^2)</f>
        <v>18.132577391044677</v>
      </c>
      <c r="H415" s="26">
        <f>Ft!E$3*EXP(Ft!E$38*($A415-Ft!E$2)^2)</f>
        <v>0.22833467477461153</v>
      </c>
      <c r="I415" s="26">
        <f>Ft!F$3*EXP(Ft!F$38*($A415-Ft!F$2)^2)</f>
        <v>2.0356825836812608E-40</v>
      </c>
      <c r="J415" s="26">
        <f>Ft!G$3*EXP(Ft!G$38*($A415-Ft!G$2)^2)</f>
        <v>4.8410966698976934E-165</v>
      </c>
    </row>
    <row r="416" spans="1:10">
      <c r="A416" s="19">
        <v>414</v>
      </c>
      <c r="B416" s="28">
        <v>43.86200492500052</v>
      </c>
      <c r="C416" s="27">
        <f ca="1">OFFSET($B416,1*(ROWS(C$2:C416)-1),0)</f>
        <v>0</v>
      </c>
      <c r="D416" s="26">
        <f>Ft!B$3*EXP(Ft!B$38*($A416-Ft!B$2)^2) +Ft!C$3*EXP(Ft!C$38*($A416-Ft!C$2)^2) + Ft!D$3*EXP(Ft!D$38*($A416-Ft!D$2)^2)+Ft!E$3*EXP(Ft!E$38*($A416-Ft!E$2)^2) +Ft!F$3*EXP(Ft!F$38*($A416-Ft!F$2)^2) + Ft!G$3*EXP(Ft!G$38*($A416-Ft!G$2)^2)</f>
        <v>18.41167461687818</v>
      </c>
      <c r="E416" s="26">
        <f>Ft!B$3*EXP(Ft!B$38*($A416-Ft!B$2)^2)</f>
        <v>8.7590452424055172E-75</v>
      </c>
      <c r="F416" s="26">
        <f>Ft!C$3*EXP(Ft!C$38*($A416-Ft!C$2)^2)</f>
        <v>1.9289483964203949E-2</v>
      </c>
      <c r="G416" s="26">
        <f>Ft!D$3*EXP(Ft!D$38*($A416-Ft!D$2)^2)</f>
        <v>18.159300952837725</v>
      </c>
      <c r="H416" s="26">
        <f>Ft!E$3*EXP(Ft!E$38*($A416-Ft!E$2)^2)</f>
        <v>0.23308418007625226</v>
      </c>
      <c r="I416" s="26">
        <f>Ft!F$3*EXP(Ft!F$38*($A416-Ft!F$2)^2)</f>
        <v>2.7922977968729491E-40</v>
      </c>
      <c r="J416" s="26">
        <f>Ft!G$3*EXP(Ft!G$38*($A416-Ft!G$2)^2)</f>
        <v>1.6096074538707865E-164</v>
      </c>
    </row>
    <row r="417" spans="1:10">
      <c r="A417" s="19">
        <v>415</v>
      </c>
      <c r="B417" s="28">
        <v>43.660674992872345</v>
      </c>
      <c r="C417" s="27">
        <f ca="1">OFFSET($B417,1*(ROWS(C$2:C417)-1),0)</f>
        <v>0</v>
      </c>
      <c r="D417" s="26">
        <f>Ft!B$3*EXP(Ft!B$38*($A417-Ft!B$2)^2) +Ft!C$3*EXP(Ft!C$38*($A417-Ft!C$2)^2) + Ft!D$3*EXP(Ft!D$38*($A417-Ft!D$2)^2)+Ft!E$3*EXP(Ft!E$38*($A417-Ft!E$2)^2) +Ft!F$3*EXP(Ft!F$38*($A417-Ft!F$2)^2) + Ft!G$3*EXP(Ft!G$38*($A417-Ft!G$2)^2)</f>
        <v>18.441775293219447</v>
      </c>
      <c r="E417" s="26">
        <f>Ft!B$3*EXP(Ft!B$38*($A417-Ft!B$2)^2)</f>
        <v>3.4460043499655617E-75</v>
      </c>
      <c r="F417" s="26">
        <f>Ft!C$3*EXP(Ft!C$38*($A417-Ft!C$2)^2)</f>
        <v>1.8444499044589707E-2</v>
      </c>
      <c r="G417" s="26">
        <f>Ft!D$3*EXP(Ft!D$38*($A417-Ft!D$2)^2)</f>
        <v>18.185410293195268</v>
      </c>
      <c r="H417" s="26">
        <f>Ft!E$3*EXP(Ft!E$38*($A417-Ft!E$2)^2)</f>
        <v>0.23792050097958756</v>
      </c>
      <c r="I417" s="26">
        <f>Ft!F$3*EXP(Ft!F$38*($A417-Ft!F$2)^2)</f>
        <v>3.8280687144240787E-40</v>
      </c>
      <c r="J417" s="26">
        <f>Ft!G$3*EXP(Ft!G$38*($A417-Ft!G$2)^2)</f>
        <v>5.3415884865890791E-164</v>
      </c>
    </row>
    <row r="418" spans="1:10">
      <c r="A418" s="19">
        <v>416</v>
      </c>
      <c r="B418" s="28">
        <v>43.44321437089738</v>
      </c>
      <c r="C418" s="27">
        <f ca="1">OFFSET($B418,1*(ROWS(C$2:C418)-1),0)</f>
        <v>0</v>
      </c>
      <c r="D418" s="26">
        <f>Ft!B$3*EXP(Ft!B$38*($A418-Ft!B$2)^2) +Ft!C$3*EXP(Ft!C$38*($A418-Ft!C$2)^2) + Ft!D$3*EXP(Ft!D$38*($A418-Ft!D$2)^2)+Ft!E$3*EXP(Ft!E$38*($A418-Ft!E$2)^2) +Ft!F$3*EXP(Ft!F$38*($A418-Ft!F$2)^2) + Ft!G$3*EXP(Ft!G$38*($A418-Ft!G$2)^2)</f>
        <v>18.471381263448507</v>
      </c>
      <c r="E418" s="26">
        <f>Ft!B$3*EXP(Ft!B$38*($A418-Ft!B$2)^2)</f>
        <v>1.3523127519013134E-75</v>
      </c>
      <c r="F418" s="26">
        <f>Ft!C$3*EXP(Ft!C$38*($A418-Ft!C$2)^2)</f>
        <v>1.7633665653893862E-2</v>
      </c>
      <c r="G418" s="26">
        <f>Ft!D$3*EXP(Ft!D$38*($A418-Ft!D$2)^2)</f>
        <v>18.210902650907087</v>
      </c>
      <c r="H418" s="26">
        <f>Ft!E$3*EXP(Ft!E$38*($A418-Ft!E$2)^2)</f>
        <v>0.24284494688752742</v>
      </c>
      <c r="I418" s="26">
        <f>Ft!F$3*EXP(Ft!F$38*($A418-Ft!F$2)^2)</f>
        <v>5.2452239375877965E-40</v>
      </c>
      <c r="J418" s="26">
        <f>Ft!G$3*EXP(Ft!G$38*($A418-Ft!G$2)^2)</f>
        <v>1.7692740704686975E-163</v>
      </c>
    </row>
    <row r="419" spans="1:10">
      <c r="A419" s="19">
        <v>417</v>
      </c>
      <c r="B419" s="28">
        <v>43.196116780807188</v>
      </c>
      <c r="C419" s="27">
        <f ca="1">OFFSET($B419,1*(ROWS(C$2:C419)-1),0)</f>
        <v>0</v>
      </c>
      <c r="D419" s="26">
        <f>Ft!B$3*EXP(Ft!B$38*($A419-Ft!B$2)^2) +Ft!C$3*EXP(Ft!C$38*($A419-Ft!C$2)^2) + Ft!D$3*EXP(Ft!D$38*($A419-Ft!D$2)^2)+Ft!E$3*EXP(Ft!E$38*($A419-Ft!E$2)^2) +Ft!F$3*EXP(Ft!F$38*($A419-Ft!F$2)^2) + Ft!G$3*EXP(Ft!G$38*($A419-Ft!G$2)^2)</f>
        <v>18.500489908275132</v>
      </c>
      <c r="E419" s="26">
        <f>Ft!B$3*EXP(Ft!B$38*($A419-Ft!B$2)^2)</f>
        <v>5.2934734057550099E-76</v>
      </c>
      <c r="F419" s="26">
        <f>Ft!C$3*EXP(Ft!C$38*($A419-Ft!C$2)^2)</f>
        <v>1.6855739969921804E-2</v>
      </c>
      <c r="G419" s="26">
        <f>Ft!D$3*EXP(Ft!D$38*($A419-Ft!D$2)^2)</f>
        <v>18.235775327412632</v>
      </c>
      <c r="H419" s="26">
        <f>Ft!E$3*EXP(Ft!E$38*($A419-Ft!E$2)^2)</f>
        <v>0.24785884089257554</v>
      </c>
      <c r="I419" s="26">
        <f>Ft!F$3*EXP(Ft!F$38*($A419-Ft!F$2)^2)</f>
        <v>7.1831454881517277E-40</v>
      </c>
      <c r="J419" s="26">
        <f>Ft!G$3*EXP(Ft!G$38*($A419-Ft!G$2)^2)</f>
        <v>5.8491671390820583E-163</v>
      </c>
    </row>
    <row r="420" spans="1:10">
      <c r="A420" s="19">
        <v>418</v>
      </c>
      <c r="B420" s="28">
        <v>42.97750070280938</v>
      </c>
      <c r="C420" s="27">
        <f ca="1">OFFSET($B420,1*(ROWS(C$2:C420)-1),0)</f>
        <v>0</v>
      </c>
      <c r="D420" s="26">
        <f>Ft!B$3*EXP(Ft!B$38*($A420-Ft!B$2)^2) +Ft!C$3*EXP(Ft!C$38*($A420-Ft!C$2)^2) + Ft!D$3*EXP(Ft!D$38*($A420-Ft!D$2)^2)+Ft!E$3*EXP(Ft!E$38*($A420-Ft!E$2)^2) +Ft!F$3*EXP(Ft!F$38*($A420-Ft!F$2)^2) + Ft!G$3*EXP(Ft!G$38*($A420-Ft!G$2)^2)</f>
        <v>18.529098724339512</v>
      </c>
      <c r="E420" s="26">
        <f>Ft!B$3*EXP(Ft!B$38*($A420-Ft!B$2)^2)</f>
        <v>2.0668387628349816E-76</v>
      </c>
      <c r="F420" s="26">
        <f>Ft!C$3*EXP(Ft!C$38*($A420-Ft!C$2)^2)</f>
        <v>1.610951727144205E-2</v>
      </c>
      <c r="G420" s="26">
        <f>Ft!D$3*EXP(Ft!D$38*($A420-Ft!D$2)^2)</f>
        <v>18.260025687277054</v>
      </c>
      <c r="H420" s="26">
        <f>Ft!E$3*EXP(Ft!E$38*($A420-Ft!E$2)^2)</f>
        <v>0.25296351979101694</v>
      </c>
      <c r="I420" s="26">
        <f>Ft!F$3*EXP(Ft!F$38*($A420-Ft!F$2)^2)</f>
        <v>9.8317677188364211E-40</v>
      </c>
      <c r="J420" s="26">
        <f>Ft!G$3*EXP(Ft!G$38*($A420-Ft!G$2)^2)</f>
        <v>1.9300438810749287E-162</v>
      </c>
    </row>
    <row r="421" spans="1:10">
      <c r="A421" s="19">
        <v>419</v>
      </c>
      <c r="B421" s="28">
        <v>42.762796550388629</v>
      </c>
      <c r="C421" s="27">
        <f ca="1">OFFSET($B421,1*(ROWS(C$2:C421)-1),0)</f>
        <v>0</v>
      </c>
      <c r="D421" s="26">
        <f>Ft!B$3*EXP(Ft!B$38*($A421-Ft!B$2)^2) +Ft!C$3*EXP(Ft!C$38*($A421-Ft!C$2)^2) + Ft!D$3*EXP(Ft!D$38*($A421-Ft!D$2)^2)+Ft!E$3*EXP(Ft!E$38*($A421-Ft!E$2)^2) +Ft!F$3*EXP(Ft!F$38*($A421-Ft!F$2)^2) + Ft!G$3*EXP(Ft!G$38*($A421-Ft!G$2)^2)</f>
        <v>18.557205323728731</v>
      </c>
      <c r="E421" s="26">
        <f>Ft!B$3*EXP(Ft!B$38*($A421-Ft!B$2)^2)</f>
        <v>8.0496079828263407E-77</v>
      </c>
      <c r="F421" s="26">
        <f>Ft!C$3*EXP(Ft!C$38*($A421-Ft!C$2)^2)</f>
        <v>1.539383097826909E-2</v>
      </c>
      <c r="G421" s="26">
        <f>Ft!D$3*EXP(Ft!D$38*($A421-Ft!D$2)^2)</f>
        <v>18.283651158656546</v>
      </c>
      <c r="H421" s="26">
        <f>Ft!E$3*EXP(Ft!E$38*($A421-Ft!E$2)^2)</f>
        <v>0.25816033409391492</v>
      </c>
      <c r="I421" s="26">
        <f>Ft!F$3*EXP(Ft!F$38*($A421-Ft!F$2)^2)</f>
        <v>1.3449770532028159E-39</v>
      </c>
      <c r="J421" s="26">
        <f>Ft!G$3*EXP(Ft!G$38*($A421-Ft!G$2)^2)</f>
        <v>6.3564490153463356E-162</v>
      </c>
    </row>
    <row r="422" spans="1:10">
      <c r="A422" s="19">
        <v>420</v>
      </c>
      <c r="B422" s="28">
        <v>42.53850859007494</v>
      </c>
      <c r="C422" s="27">
        <f ca="1">OFFSET($B422,1*(ROWS(C$2:C422)-1),0)</f>
        <v>0</v>
      </c>
      <c r="D422" s="26">
        <f>Ft!B$3*EXP(Ft!B$38*($A422-Ft!B$2)^2) +Ft!C$3*EXP(Ft!C$38*($A422-Ft!C$2)^2) + Ft!D$3*EXP(Ft!D$38*($A422-Ft!D$2)^2)+Ft!E$3*EXP(Ft!E$38*($A422-Ft!E$2)^2) +Ft!F$3*EXP(Ft!F$38*($A422-Ft!F$2)^2) + Ft!G$3*EXP(Ft!G$38*($A422-Ft!G$2)^2)</f>
        <v>18.584807433491232</v>
      </c>
      <c r="E422" s="26">
        <f>Ft!B$3*EXP(Ft!B$38*($A422-Ft!B$2)^2)</f>
        <v>3.1271242225182777E-77</v>
      </c>
      <c r="F422" s="26">
        <f>Ft!C$3*EXP(Ft!C$38*($A422-Ft!C$2)^2)</f>
        <v>1.4707551703494319E-2</v>
      </c>
      <c r="G422" s="26">
        <f>Ft!D$3*EXP(Ft!D$38*($A422-Ft!D$2)^2)</f>
        <v>18.306649233752893</v>
      </c>
      <c r="H422" s="26">
        <f>Ft!E$3*EXP(Ft!E$38*($A422-Ft!E$2)^2)</f>
        <v>0.26345064803484547</v>
      </c>
      <c r="I422" s="26">
        <f>Ft!F$3*EXP(Ft!F$38*($A422-Ft!F$2)^2)</f>
        <v>1.8389268701945127E-39</v>
      </c>
      <c r="J422" s="26">
        <f>Ft!G$3*EXP(Ft!G$38*($A422-Ft!G$2)^2)</f>
        <v>2.0894702195040108E-161</v>
      </c>
    </row>
    <row r="423" spans="1:10">
      <c r="A423" s="19">
        <v>421</v>
      </c>
      <c r="B423" s="28">
        <v>42.303654382793951</v>
      </c>
      <c r="C423" s="27">
        <f ca="1">OFFSET($B423,1*(ROWS(C$2:C423)-1),0)</f>
        <v>0</v>
      </c>
      <c r="D423" s="26">
        <f>Ft!B$3*EXP(Ft!B$38*($A423-Ft!B$2)^2) +Ft!C$3*EXP(Ft!C$38*($A423-Ft!C$2)^2) + Ft!D$3*EXP(Ft!D$38*($A423-Ft!D$2)^2)+Ft!E$3*EXP(Ft!E$38*($A423-Ft!E$2)^2) +Ft!F$3*EXP(Ft!F$38*($A423-Ft!F$2)^2) + Ft!G$3*EXP(Ft!G$38*($A423-Ft!G$2)^2)</f>
        <v>18.611902895149594</v>
      </c>
      <c r="E423" s="26">
        <f>Ft!B$3*EXP(Ft!B$38*($A423-Ft!B$2)^2)</f>
        <v>1.2117633323923503E-77</v>
      </c>
      <c r="F423" s="26">
        <f>Ft!C$3*EXP(Ft!C$38*($A423-Ft!C$2)^2)</f>
        <v>1.4049586318229924E-2</v>
      </c>
      <c r="G423" s="26">
        <f>Ft!D$3*EXP(Ft!D$38*($A423-Ft!D$2)^2)</f>
        <v>18.32901746925706</v>
      </c>
      <c r="H423" s="26">
        <f>Ft!E$3*EXP(Ft!E$38*($A423-Ft!E$2)^2)</f>
        <v>0.26883583957430485</v>
      </c>
      <c r="I423" s="26">
        <f>Ft!F$3*EXP(Ft!F$38*($A423-Ft!F$2)^2)</f>
        <v>2.5129298264976439E-39</v>
      </c>
      <c r="J423" s="26">
        <f>Ft!G$3*EXP(Ft!G$38*($A423-Ft!G$2)^2)</f>
        <v>6.8553879455732353E-161</v>
      </c>
    </row>
    <row r="424" spans="1:10">
      <c r="A424" s="19">
        <v>422</v>
      </c>
      <c r="B424" s="28">
        <v>42.08118861262011</v>
      </c>
      <c r="C424" s="27">
        <f ca="1">OFFSET($B424,1*(ROWS(C$2:C424)-1),0)</f>
        <v>0</v>
      </c>
      <c r="D424" s="26">
        <f>Ft!B$3*EXP(Ft!B$38*($A424-Ft!B$2)^2) +Ft!C$3*EXP(Ft!C$38*($A424-Ft!C$2)^2) + Ft!D$3*EXP(Ft!D$38*($A424-Ft!D$2)^2)+Ft!E$3*EXP(Ft!E$38*($A424-Ft!E$2)^2) +Ft!F$3*EXP(Ft!F$38*($A424-Ft!F$2)^2) + Ft!G$3*EXP(Ft!G$38*($A424-Ft!G$2)^2)</f>
        <v>18.638489664211708</v>
      </c>
      <c r="E424" s="26">
        <f>Ft!B$3*EXP(Ft!B$38*($A424-Ft!B$2)^2)</f>
        <v>4.6837396899143225E-78</v>
      </c>
      <c r="F424" s="26">
        <f>Ft!C$3*EXP(Ft!C$38*($A424-Ft!C$2)^2)</f>
        <v>1.3418877029200556E-2</v>
      </c>
      <c r="G424" s="26">
        <f>Ft!D$3*EXP(Ft!D$38*($A424-Ft!D$2)^2)</f>
        <v>18.350753486781795</v>
      </c>
      <c r="H424" s="26">
        <f>Ft!E$3*EXP(Ft!E$38*($A424-Ft!E$2)^2)</f>
        <v>0.27431730040071456</v>
      </c>
      <c r="I424" s="26">
        <f>Ft!F$3*EXP(Ft!F$38*($A424-Ft!F$2)^2)</f>
        <v>3.4321209324811188E-39</v>
      </c>
      <c r="J424" s="26">
        <f>Ft!G$3*EXP(Ft!G$38*($A424-Ft!G$2)^2)</f>
        <v>2.2449264679071682E-160</v>
      </c>
    </row>
    <row r="425" spans="1:10">
      <c r="A425" s="19">
        <v>423</v>
      </c>
      <c r="B425" s="28">
        <v>41.834642713088328</v>
      </c>
      <c r="C425" s="27">
        <f ca="1">OFFSET($B425,1*(ROWS(C$2:C425)-1),0)</f>
        <v>0</v>
      </c>
      <c r="D425" s="26">
        <f>Ft!B$3*EXP(Ft!B$38*($A425-Ft!B$2)^2) +Ft!C$3*EXP(Ft!C$38*($A425-Ft!C$2)^2) + Ft!D$3*EXP(Ft!D$38*($A425-Ft!D$2)^2)+Ft!E$3*EXP(Ft!E$38*($A425-Ft!E$2)^2) +Ft!F$3*EXP(Ft!F$38*($A425-Ft!F$2)^2) + Ft!G$3*EXP(Ft!G$38*($A425-Ft!G$2)^2)</f>
        <v>18.664565809680504</v>
      </c>
      <c r="E425" s="26">
        <f>Ft!B$3*EXP(Ft!B$38*($A425-Ft!B$2)^2)</f>
        <v>1.8058013099145609E-78</v>
      </c>
      <c r="F425" s="26">
        <f>Ft!C$3*EXP(Ft!C$38*($A425-Ft!C$2)^2)</f>
        <v>1.2814400469488044E-2</v>
      </c>
      <c r="G425" s="26">
        <f>Ft!D$3*EXP(Ft!D$38*($A425-Ft!D$2)^2)</f>
        <v>18.37185497328306</v>
      </c>
      <c r="H425" s="26">
        <f>Ft!E$3*EXP(Ft!E$38*($A425-Ft!E$2)^2)</f>
        <v>0.2798964359279571</v>
      </c>
      <c r="I425" s="26">
        <f>Ft!F$3*EXP(Ft!F$38*($A425-Ft!F$2)^2)</f>
        <v>4.685016464832604E-39</v>
      </c>
      <c r="J425" s="26">
        <f>Ft!G$3*EXP(Ft!G$38*($A425-Ft!G$2)^2)</f>
        <v>7.3374716665106057E-160</v>
      </c>
    </row>
    <row r="426" spans="1:10">
      <c r="A426" s="19">
        <v>424</v>
      </c>
      <c r="B426" s="28">
        <v>41.595778396664144</v>
      </c>
      <c r="C426" s="27">
        <f ca="1">OFFSET($B426,1*(ROWS(C$2:C426)-1),0)</f>
        <v>0</v>
      </c>
      <c r="D426" s="26">
        <f>Ft!B$3*EXP(Ft!B$38*($A426-Ft!B$2)^2) +Ft!C$3*EXP(Ft!C$38*($A426-Ft!C$2)^2) + Ft!D$3*EXP(Ft!D$38*($A426-Ft!D$2)^2)+Ft!E$3*EXP(Ft!E$38*($A426-Ft!E$2)^2) +Ft!F$3*EXP(Ft!F$38*($A426-Ft!F$2)^2) + Ft!G$3*EXP(Ft!G$38*($A426-Ft!G$2)^2)</f>
        <v>18.690129513562344</v>
      </c>
      <c r="E426" s="26">
        <f>Ft!B$3*EXP(Ft!B$38*($A426-Ft!B$2)^2)</f>
        <v>6.9446353642742932E-79</v>
      </c>
      <c r="F426" s="26">
        <f>Ft!C$3*EXP(Ft!C$38*($A426-Ft!C$2)^2)</f>
        <v>1.2235166802706981E-2</v>
      </c>
      <c r="G426" s="26">
        <f>Ft!D$3*EXP(Ft!D$38*($A426-Ft!D$2)^2)</f>
        <v>18.392319681470262</v>
      </c>
      <c r="H426" s="26">
        <f>Ft!E$3*EXP(Ft!E$38*($A426-Ft!E$2)^2)</f>
        <v>0.28557466528937364</v>
      </c>
      <c r="I426" s="26">
        <f>Ft!F$3*EXP(Ft!F$38*($A426-Ft!F$2)^2)</f>
        <v>6.3918412403871439E-39</v>
      </c>
      <c r="J426" s="26">
        <f>Ft!G$3*EXP(Ft!G$38*($A426-Ft!G$2)^2)</f>
        <v>2.3936739153486616E-159</v>
      </c>
    </row>
    <row r="427" spans="1:10">
      <c r="A427" s="19">
        <v>425</v>
      </c>
      <c r="B427" s="28">
        <v>41.33812012309636</v>
      </c>
      <c r="C427" s="27">
        <f ca="1">OFFSET($B427,1*(ROWS(C$2:C427)-1),0)</f>
        <v>0</v>
      </c>
      <c r="D427" s="26">
        <f>Ft!B$3*EXP(Ft!B$38*($A427-Ft!B$2)^2) +Ft!C$3*EXP(Ft!C$38*($A427-Ft!C$2)^2) + Ft!D$3*EXP(Ft!D$38*($A427-Ft!D$2)^2)+Ft!E$3*EXP(Ft!E$38*($A427-Ft!E$2)^2) +Ft!F$3*EXP(Ft!F$38*($A427-Ft!F$2)^2) + Ft!G$3*EXP(Ft!G$38*($A427-Ft!G$2)^2)</f>
        <v>18.715179070374102</v>
      </c>
      <c r="E427" s="26">
        <f>Ft!B$3*EXP(Ft!B$38*($A427-Ft!B$2)^2)</f>
        <v>2.6639814820957867E-79</v>
      </c>
      <c r="F427" s="26">
        <f>Ft!C$3*EXP(Ft!C$38*($A427-Ft!C$2)^2)</f>
        <v>1.1680218840860691E-2</v>
      </c>
      <c r="G427" s="26">
        <f>Ft!D$3*EXP(Ft!D$38*($A427-Ft!D$2)^2)</f>
        <v>18.41214543020509</v>
      </c>
      <c r="H427" s="26">
        <f>Ft!E$3*EXP(Ft!E$38*($A427-Ft!E$2)^2)</f>
        <v>0.29135342132814873</v>
      </c>
      <c r="I427" s="26">
        <f>Ft!F$3*EXP(Ft!F$38*($A427-Ft!F$2)^2)</f>
        <v>8.7157979937822055E-39</v>
      </c>
      <c r="J427" s="26">
        <f>Ft!G$3*EXP(Ft!G$38*($A427-Ft!G$2)^2)</f>
        <v>7.7939527775172111E-159</v>
      </c>
    </row>
    <row r="428" spans="1:10">
      <c r="A428" s="19">
        <v>426</v>
      </c>
      <c r="B428" s="28">
        <v>41.085308271360418</v>
      </c>
      <c r="C428" s="27">
        <f ca="1">OFFSET($B428,1*(ROWS(C$2:C428)-1),0)</f>
        <v>0</v>
      </c>
      <c r="D428" s="26">
        <f>Ft!B$3*EXP(Ft!B$38*($A428-Ft!B$2)^2) +Ft!C$3*EXP(Ft!C$38*($A428-Ft!C$2)^2) + Ft!D$3*EXP(Ft!D$38*($A428-Ft!D$2)^2)+Ft!E$3*EXP(Ft!E$38*($A428-Ft!E$2)^2) +Ft!F$3*EXP(Ft!F$38*($A428-Ft!F$2)^2) + Ft!G$3*EXP(Ft!G$38*($A428-Ft!G$2)^2)</f>
        <v>18.739712886649066</v>
      </c>
      <c r="E428" s="26">
        <f>Ft!B$3*EXP(Ft!B$38*($A428-Ft!B$2)^2)</f>
        <v>1.0193309852550015E-79</v>
      </c>
      <c r="F428" s="26">
        <f>Ft!C$3*EXP(Ft!C$38*($A428-Ft!C$2)^2)</f>
        <v>1.1148631176101327E-2</v>
      </c>
      <c r="G428" s="26">
        <f>Ft!D$3*EXP(Ft!D$38*($A428-Ft!D$2)^2)</f>
        <v>18.431330104888946</v>
      </c>
      <c r="H428" s="26">
        <f>Ft!E$3*EXP(Ft!E$38*($A428-Ft!E$2)^2)</f>
        <v>0.2972341505840167</v>
      </c>
      <c r="I428" s="26">
        <f>Ft!F$3*EXP(Ft!F$38*($A428-Ft!F$2)^2)</f>
        <v>1.1878309885611726E-38</v>
      </c>
      <c r="J428" s="26">
        <f>Ft!G$3*EXP(Ft!G$38*($A428-Ft!G$2)^2)</f>
        <v>2.5329393219568496E-158</v>
      </c>
    </row>
    <row r="429" spans="1:10">
      <c r="A429" s="19">
        <v>427</v>
      </c>
      <c r="B429" s="28">
        <v>40.836381466522994</v>
      </c>
      <c r="C429" s="27">
        <f ca="1">OFFSET($B429,1*(ROWS(C$2:C429)-1),0)</f>
        <v>0</v>
      </c>
      <c r="D429" s="26">
        <f>Ft!B$3*EXP(Ft!B$38*($A429-Ft!B$2)^2) +Ft!C$3*EXP(Ft!C$38*($A429-Ft!C$2)^2) + Ft!D$3*EXP(Ft!D$38*($A429-Ft!D$2)^2)+Ft!E$3*EXP(Ft!E$38*($A429-Ft!E$2)^2) +Ft!F$3*EXP(Ft!F$38*($A429-Ft!F$2)^2) + Ft!G$3*EXP(Ft!G$38*($A429-Ft!G$2)^2)</f>
        <v>18.763729480441622</v>
      </c>
      <c r="E429" s="26">
        <f>Ft!B$3*EXP(Ft!B$38*($A429-Ft!B$2)^2)</f>
        <v>3.890465070530377E-80</v>
      </c>
      <c r="F429" s="26">
        <f>Ft!C$3*EXP(Ft!C$38*($A429-Ft!C$2)^2)</f>
        <v>1.0639509326592127E-2</v>
      </c>
      <c r="G429" s="26">
        <f>Ft!D$3*EXP(Ft!D$38*($A429-Ft!D$2)^2)</f>
        <v>18.449871657838816</v>
      </c>
      <c r="H429" s="26">
        <f>Ft!E$3*EXP(Ft!E$38*($A429-Ft!E$2)^2)</f>
        <v>0.30321831327621362</v>
      </c>
      <c r="I429" s="26">
        <f>Ft!F$3*EXP(Ft!F$38*($A429-Ft!F$2)^2)</f>
        <v>1.6179625488668812E-38</v>
      </c>
      <c r="J429" s="26">
        <f>Ft!G$3*EXP(Ft!G$38*($A429-Ft!G$2)^2)</f>
        <v>8.2161060284763853E-158</v>
      </c>
    </row>
    <row r="430" spans="1:10">
      <c r="A430" s="19">
        <v>428</v>
      </c>
      <c r="B430" s="28">
        <v>40.572886352871137</v>
      </c>
      <c r="C430" s="27">
        <f ca="1">OFFSET($B430,1*(ROWS(C$2:C430)-1),0)</f>
        <v>0</v>
      </c>
      <c r="D430" s="26">
        <f>Ft!B$3*EXP(Ft!B$38*($A430-Ft!B$2)^2) +Ft!C$3*EXP(Ft!C$38*($A430-Ft!C$2)^2) + Ft!D$3*EXP(Ft!D$38*($A430-Ft!D$2)^2)+Ft!E$3*EXP(Ft!E$38*($A430-Ft!E$2)^2) +Ft!F$3*EXP(Ft!F$38*($A430-Ft!F$2)^2) + Ft!G$3*EXP(Ft!G$38*($A430-Ft!G$2)^2)</f>
        <v>18.787227480830786</v>
      </c>
      <c r="E430" s="26">
        <f>Ft!B$3*EXP(Ft!B$38*($A430-Ft!B$2)^2)</f>
        <v>1.4811194504399369E-80</v>
      </c>
      <c r="F430" s="26">
        <f>Ft!C$3*EXP(Ft!C$38*($A430-Ft!C$2)^2)</f>
        <v>1.0151988896645149E-2</v>
      </c>
      <c r="G430" s="26">
        <f>Ft!D$3*EXP(Ft!D$38*($A430-Ft!D$2)^2)</f>
        <v>18.46776810865153</v>
      </c>
      <c r="H430" s="26">
        <f>Ft!E$3*EXP(Ft!E$38*($A430-Ft!E$2)^2)</f>
        <v>0.30930738328261143</v>
      </c>
      <c r="I430" s="26">
        <f>Ft!F$3*EXP(Ft!F$38*($A430-Ft!F$2)^2)</f>
        <v>2.2026657400436451E-38</v>
      </c>
      <c r="J430" s="26">
        <f>Ft!G$3*EXP(Ft!G$38*($A430-Ft!G$2)^2)</f>
        <v>2.6599992688185306E-157</v>
      </c>
    </row>
    <row r="431" spans="1:10">
      <c r="A431" s="19">
        <v>429</v>
      </c>
      <c r="B431" s="28">
        <v>40.316399101854586</v>
      </c>
      <c r="C431" s="27">
        <f ca="1">OFFSET($B431,1*(ROWS(C$2:C431)-1),0)</f>
        <v>0</v>
      </c>
      <c r="D431" s="26">
        <f>Ft!B$3*EXP(Ft!B$38*($A431-Ft!B$2)^2) +Ft!C$3*EXP(Ft!C$38*($A431-Ft!C$2)^2) + Ft!D$3*EXP(Ft!D$38*($A431-Ft!D$2)^2)+Ft!E$3*EXP(Ft!E$38*($A431-Ft!E$2)^2) +Ft!F$3*EXP(Ft!F$38*($A431-Ft!F$2)^2) + Ft!G$3*EXP(Ft!G$38*($A431-Ft!G$2)^2)</f>
        <v>18.810205627422512</v>
      </c>
      <c r="E431" s="26">
        <f>Ft!B$3*EXP(Ft!B$38*($A431-Ft!B$2)^2)</f>
        <v>5.6244611361798294E-81</v>
      </c>
      <c r="F431" s="26">
        <f>Ft!C$3*EXP(Ft!C$38*($A431-Ft!C$2)^2)</f>
        <v>9.6852347512842024E-3</v>
      </c>
      <c r="G431" s="26">
        <f>Ft!D$3*EXP(Ft!D$38*($A431-Ft!D$2)^2)</f>
        <v>18.485017544556275</v>
      </c>
      <c r="H431" s="26">
        <f>Ft!E$3*EXP(Ft!E$38*($A431-Ft!E$2)^2)</f>
        <v>0.31550284811495455</v>
      </c>
      <c r="I431" s="26">
        <f>Ft!F$3*EXP(Ft!F$38*($A431-Ft!F$2)^2)</f>
        <v>2.9970573096064151E-38</v>
      </c>
      <c r="J431" s="26">
        <f>Ft!G$3*EXP(Ft!G$38*($A431-Ft!G$2)^2)</f>
        <v>8.5955017359236172E-157</v>
      </c>
    </row>
    <row r="432" spans="1:10">
      <c r="A432" s="19">
        <v>430</v>
      </c>
      <c r="B432" s="28">
        <v>40.07334535779637</v>
      </c>
      <c r="C432" s="27">
        <f ca="1">OFFSET($B432,1*(ROWS(C$2:C432)-1),0)</f>
        <v>0</v>
      </c>
      <c r="D432" s="26">
        <f>Ft!B$3*EXP(Ft!B$38*($A432-Ft!B$2)^2) +Ft!C$3*EXP(Ft!C$38*($A432-Ft!C$2)^2) + Ft!D$3*EXP(Ft!D$38*($A432-Ft!D$2)^2)+Ft!E$3*EXP(Ft!E$38*($A432-Ft!E$2)^2) +Ft!F$3*EXP(Ft!F$38*($A432-Ft!F$2)^2) + Ft!G$3*EXP(Ft!G$38*($A432-Ft!G$2)^2)</f>
        <v>18.832662769850817</v>
      </c>
      <c r="E432" s="26">
        <f>Ft!B$3*EXP(Ft!B$38*($A432-Ft!B$2)^2)</f>
        <v>2.130463143803135E-81</v>
      </c>
      <c r="F432" s="26">
        <f>Ft!C$3*EXP(Ft!C$38*($A432-Ft!C$2)^2)</f>
        <v>9.2384402053597228E-3</v>
      </c>
      <c r="G432" s="26">
        <f>Ft!D$3*EXP(Ft!D$38*($A432-Ft!D$2)^2)</f>
        <v>18.501618120755321</v>
      </c>
      <c r="H432" s="26">
        <f>Ft!E$3*EXP(Ft!E$38*($A432-Ft!E$2)^2)</f>
        <v>0.32180620889013656</v>
      </c>
      <c r="I432" s="26">
        <f>Ft!F$3*EXP(Ft!F$38*($A432-Ft!F$2)^2)</f>
        <v>4.0757526239504248E-38</v>
      </c>
      <c r="J432" s="26">
        <f>Ft!G$3*EXP(Ft!G$38*($A432-Ft!G$2)^2)</f>
        <v>2.772267799163916E-156</v>
      </c>
    </row>
    <row r="433" spans="1:10">
      <c r="A433" s="19">
        <v>431</v>
      </c>
      <c r="B433" s="28">
        <v>39.82757339990502</v>
      </c>
      <c r="C433" s="27">
        <f ca="1">OFFSET($B433,1*(ROWS(C$2:C433)-1),0)</f>
        <v>0</v>
      </c>
      <c r="D433" s="26">
        <f>Ft!B$3*EXP(Ft!B$38*($A433-Ft!B$2)^2) +Ft!C$3*EXP(Ft!C$38*($A433-Ft!C$2)^2) + Ft!D$3*EXP(Ft!D$38*($A433-Ft!D$2)^2)+Ft!E$3*EXP(Ft!E$38*($A433-Ft!E$2)^2) +Ft!F$3*EXP(Ft!F$38*($A433-Ft!F$2)^2) + Ft!G$3*EXP(Ft!G$38*($A433-Ft!G$2)^2)</f>
        <v>18.85459786727758</v>
      </c>
      <c r="E433" s="26">
        <f>Ft!B$3*EXP(Ft!B$38*($A433-Ft!B$2)^2)</f>
        <v>8.0495091972388193E-82</v>
      </c>
      <c r="F433" s="26">
        <f>Ft!C$3*EXP(Ft!C$38*($A433-Ft!C$2)^2)</f>
        <v>8.8108262273205798E-3</v>
      </c>
      <c r="G433" s="26">
        <f>Ft!D$3*EXP(Ft!D$38*($A433-Ft!D$2)^2)</f>
        <v>18.517568060752819</v>
      </c>
      <c r="H433" s="26">
        <f>Ft!E$3*EXP(Ft!E$38*($A433-Ft!E$2)^2)</f>
        <v>0.3282189802974394</v>
      </c>
      <c r="I433" s="26">
        <f>Ft!F$3*EXP(Ft!F$38*($A433-Ft!F$2)^2)</f>
        <v>5.5397083963674441E-38</v>
      </c>
      <c r="J433" s="26">
        <f>Ft!G$3*EXP(Ft!G$38*($A433-Ft!G$2)^2)</f>
        <v>8.9242835724585246E-156</v>
      </c>
    </row>
    <row r="434" spans="1:10">
      <c r="A434" s="19">
        <v>432</v>
      </c>
      <c r="B434" s="28">
        <v>39.567849215907785</v>
      </c>
      <c r="C434" s="27">
        <f ca="1">OFFSET($B434,1*(ROWS(C$2:C434)-1),0)</f>
        <v>0</v>
      </c>
      <c r="D434" s="26">
        <f>Ft!B$3*EXP(Ft!B$38*($A434-Ft!B$2)^2) +Ft!C$3*EXP(Ft!C$38*($A434-Ft!C$2)^2) + Ft!D$3*EXP(Ft!D$38*($A434-Ft!D$2)^2)+Ft!E$3*EXP(Ft!E$38*($A434-Ft!E$2)^2) +Ft!F$3*EXP(Ft!F$38*($A434-Ft!F$2)^2) + Ft!G$3*EXP(Ft!G$38*($A434-Ft!G$2)^2)</f>
        <v>18.876009987891056</v>
      </c>
      <c r="E434" s="26">
        <f>Ft!B$3*EXP(Ft!B$38*($A434-Ft!B$2)^2)</f>
        <v>3.0336609875181334E-82</v>
      </c>
      <c r="F434" s="26">
        <f>Ft!C$3*EXP(Ft!C$38*($A434-Ft!C$2)^2)</f>
        <v>8.4016406577264984E-3</v>
      </c>
      <c r="G434" s="26">
        <f>Ft!D$3*EXP(Ft!D$38*($A434-Ft!D$2)^2)</f>
        <v>18.53286565667166</v>
      </c>
      <c r="H434" s="26">
        <f>Ft!E$3*EXP(Ft!E$38*($A434-Ft!E$2)^2)</f>
        <v>0.33474269056167011</v>
      </c>
      <c r="I434" s="26">
        <f>Ft!F$3*EXP(Ft!F$38*($A434-Ft!F$2)^2)</f>
        <v>7.5254471635274804E-38</v>
      </c>
      <c r="J434" s="26">
        <f>Ft!G$3*EXP(Ft!G$38*($A434-Ft!G$2)^2)</f>
        <v>2.8673834610866915E-155</v>
      </c>
    </row>
    <row r="435" spans="1:10">
      <c r="A435" s="19">
        <v>433</v>
      </c>
      <c r="B435" s="28">
        <v>39.303557491944673</v>
      </c>
      <c r="C435" s="27">
        <f ca="1">OFFSET($B435,1*(ROWS(C$2:C435)-1),0)</f>
        <v>0</v>
      </c>
      <c r="D435" s="26">
        <f>Ft!B$3*EXP(Ft!B$38*($A435-Ft!B$2)^2) +Ft!C$3*EXP(Ft!C$38*($A435-Ft!C$2)^2) + Ft!D$3*EXP(Ft!D$38*($A435-Ft!D$2)^2)+Ft!E$3*EXP(Ft!E$38*($A435-Ft!E$2)^2) +Ft!F$3*EXP(Ft!F$38*($A435-Ft!F$2)^2) + Ft!G$3*EXP(Ft!G$38*($A435-Ft!G$2)^2)</f>
        <v>18.896898308402935</v>
      </c>
      <c r="E435" s="26">
        <f>Ft!B$3*EXP(Ft!B$38*($A435-Ft!B$2)^2)</f>
        <v>1.1404256127898155E-82</v>
      </c>
      <c r="F435" s="26">
        <f>Ft!C$3*EXP(Ft!C$38*($A435-Ft!C$2)^2)</f>
        <v>8.0101574425646572E-3</v>
      </c>
      <c r="G435" s="26">
        <f>Ft!D$3*EXP(Ft!D$38*($A435-Ft!D$2)^2)</f>
        <v>18.547509269558251</v>
      </c>
      <c r="H435" s="26">
        <f>Ft!E$3*EXP(Ft!E$38*($A435-Ft!E$2)^2)</f>
        <v>0.34137888140211831</v>
      </c>
      <c r="I435" s="26">
        <f>Ft!F$3*EXP(Ft!F$38*($A435-Ft!F$2)^2)</f>
        <v>1.0217485633607901E-37</v>
      </c>
      <c r="J435" s="26">
        <f>Ft!G$3*EXP(Ft!G$38*($A435-Ft!G$2)^2)</f>
        <v>9.195438056454283E-155</v>
      </c>
    </row>
    <row r="436" spans="1:10">
      <c r="A436" s="19">
        <v>434</v>
      </c>
      <c r="B436" s="28">
        <v>39.089556002880272</v>
      </c>
      <c r="C436" s="27">
        <f ca="1">OFFSET($B436,1*(ROWS(C$2:C436)-1),0)</f>
        <v>0</v>
      </c>
      <c r="D436" s="26">
        <f>Ft!B$3*EXP(Ft!B$38*($A436-Ft!B$2)^2) +Ft!C$3*EXP(Ft!C$38*($A436-Ft!C$2)^2) + Ft!D$3*EXP(Ft!D$38*($A436-Ft!D$2)^2)+Ft!E$3*EXP(Ft!E$38*($A436-Ft!E$2)^2) +Ft!F$3*EXP(Ft!F$38*($A436-Ft!F$2)^2) + Ft!G$3*EXP(Ft!G$38*($A436-Ft!G$2)^2)</f>
        <v>18.917262113543831</v>
      </c>
      <c r="E436" s="26">
        <f>Ft!B$3*EXP(Ft!B$38*($A436-Ft!B$2)^2)</f>
        <v>4.2763096847458518E-83</v>
      </c>
      <c r="F436" s="26">
        <f>Ft!C$3*EXP(Ft!C$38*($A436-Ft!C$2)^2)</f>
        <v>7.6356758814147265E-3</v>
      </c>
      <c r="G436" s="26">
        <f>Ft!D$3*EXP(Ft!D$38*($A436-Ft!D$2)^2)</f>
        <v>18.561497329675149</v>
      </c>
      <c r="H436" s="26">
        <f>Ft!E$3*EXP(Ft!E$38*($A436-Ft!E$2)^2)</f>
        <v>0.34812910798727037</v>
      </c>
      <c r="I436" s="26">
        <f>Ft!F$3*EXP(Ft!F$38*($A436-Ft!F$2)^2)</f>
        <v>1.3865070402252197E-37</v>
      </c>
      <c r="J436" s="26">
        <f>Ft!G$3*EXP(Ft!G$38*($A436-Ft!G$2)^2)</f>
        <v>2.9432916847203542E-154</v>
      </c>
    </row>
    <row r="437" spans="1:10">
      <c r="A437" s="19">
        <v>435</v>
      </c>
      <c r="B437" s="28">
        <v>38.899292042612444</v>
      </c>
      <c r="C437" s="27">
        <f ca="1">OFFSET($B437,1*(ROWS(C$2:C437)-1),0)</f>
        <v>0</v>
      </c>
      <c r="D437" s="26">
        <f>Ft!B$3*EXP(Ft!B$38*($A437-Ft!B$2)^2) +Ft!C$3*EXP(Ft!C$38*($A437-Ft!C$2)^2) + Ft!D$3*EXP(Ft!D$38*($A437-Ft!D$2)^2)+Ft!E$3*EXP(Ft!E$38*($A437-Ft!E$2)^2) +Ft!F$3*EXP(Ft!F$38*($A437-Ft!F$2)^2) + Ft!G$3*EXP(Ft!G$38*($A437-Ft!G$2)^2)</f>
        <v>18.937100795557225</v>
      </c>
      <c r="E437" s="26">
        <f>Ft!B$3*EXP(Ft!B$38*($A437-Ft!B$2)^2)</f>
        <v>1.5994608160331832E-83</v>
      </c>
      <c r="F437" s="26">
        <f>Ft!C$3*EXP(Ft!C$38*($A437-Ft!C$2)^2)</f>
        <v>7.2775198904879886E-3</v>
      </c>
      <c r="G437" s="26">
        <f>Ft!D$3*EXP(Ft!D$38*($A437-Ft!D$2)^2)</f>
        <v>18.574828336781536</v>
      </c>
      <c r="H437" s="26">
        <f>Ft!E$3*EXP(Ft!E$38*($A437-Ft!E$2)^2)</f>
        <v>0.35499493888520173</v>
      </c>
      <c r="I437" s="26">
        <f>Ft!F$3*EXP(Ft!F$38*($A437-Ft!F$2)^2)</f>
        <v>1.8804701373895878E-37</v>
      </c>
      <c r="J437" s="26">
        <f>Ft!G$3*EXP(Ft!G$38*($A437-Ft!G$2)^2)</f>
        <v>9.4030428847956029E-154</v>
      </c>
    </row>
    <row r="438" spans="1:10">
      <c r="A438" s="19">
        <v>436</v>
      </c>
      <c r="B438" s="28">
        <v>38.691684827276561</v>
      </c>
      <c r="C438" s="27">
        <f ca="1">OFFSET($B438,1*(ROWS(C$2:C438)-1),0)</f>
        <v>0</v>
      </c>
      <c r="D438" s="26">
        <f>Ft!B$3*EXP(Ft!B$38*($A438-Ft!B$2)^2) +Ft!C$3*EXP(Ft!C$38*($A438-Ft!C$2)^2) + Ft!D$3*EXP(Ft!D$38*($A438-Ft!D$2)^2)+Ft!E$3*EXP(Ft!E$38*($A438-Ft!E$2)^2) +Ft!F$3*EXP(Ft!F$38*($A438-Ft!F$2)^2) + Ft!G$3*EXP(Ft!G$38*($A438-Ft!G$2)^2)</f>
        <v>18.95641385369148</v>
      </c>
      <c r="E438" s="26">
        <f>Ft!B$3*EXP(Ft!B$38*($A438-Ft!B$2)^2)</f>
        <v>5.9673337956975501E-84</v>
      </c>
      <c r="F438" s="26">
        <f>Ft!C$3*EXP(Ft!C$38*($A438-Ft!C$2)^2)</f>
        <v>6.935037280548448E-3</v>
      </c>
      <c r="G438" s="26">
        <f>Ft!D$3*EXP(Ft!D$38*($A438-Ft!D$2)^2)</f>
        <v>18.587500860401345</v>
      </c>
      <c r="H438" s="26">
        <f>Ft!E$3*EXP(Ft!E$38*($A438-Ft!E$2)^2)</f>
        <v>0.3619779560095866</v>
      </c>
      <c r="I438" s="26">
        <f>Ft!F$3*EXP(Ft!F$38*($A438-Ft!F$2)^2)</f>
        <v>2.5490427642054896E-37</v>
      </c>
      <c r="J438" s="26">
        <f>Ft!G$3*EXP(Ft!G$38*($A438-Ft!G$2)^2)</f>
        <v>2.9983184914951579E-153</v>
      </c>
    </row>
    <row r="439" spans="1:10">
      <c r="A439" s="19">
        <v>437</v>
      </c>
      <c r="B439" s="28">
        <v>38.484925513796242</v>
      </c>
      <c r="C439" s="27">
        <f ca="1">OFFSET($B439,1*(ROWS(C$2:C439)-1),0)</f>
        <v>0</v>
      </c>
      <c r="D439" s="26">
        <f>Ft!B$3*EXP(Ft!B$38*($A439-Ft!B$2)^2) +Ft!C$3*EXP(Ft!C$38*($A439-Ft!C$2)^2) + Ft!D$3*EXP(Ft!D$38*($A439-Ft!D$2)^2)+Ft!E$3*EXP(Ft!E$38*($A439-Ft!E$2)^2) +Ft!F$3*EXP(Ft!F$38*($A439-Ft!F$2)^2) + Ft!G$3*EXP(Ft!G$38*($A439-Ft!G$2)^2)</f>
        <v>18.975200893690062</v>
      </c>
      <c r="E439" s="26">
        <f>Ft!B$3*EXP(Ft!B$38*($A439-Ft!B$2)^2)</f>
        <v>2.2206971161140389E-84</v>
      </c>
      <c r="F439" s="26">
        <f>Ft!C$3*EXP(Ft!C$38*($A439-Ft!C$2)^2)</f>
        <v>6.6075990497071321E-3</v>
      </c>
      <c r="G439" s="26">
        <f>Ft!D$3*EXP(Ft!D$38*($A439-Ft!D$2)^2)</f>
        <v>18.599513540079109</v>
      </c>
      <c r="H439" s="26">
        <f>Ft!E$3*EXP(Ft!E$38*($A439-Ft!E$2)^2)</f>
        <v>0.36907975456124448</v>
      </c>
      <c r="I439" s="26">
        <f>Ft!F$3*EXP(Ft!F$38*($A439-Ft!F$2)^2)</f>
        <v>3.4534575379653048E-37</v>
      </c>
      <c r="J439" s="26">
        <f>Ft!G$3*EXP(Ft!G$38*($A439-Ft!G$2)^2)</f>
        <v>9.5424818501942818E-153</v>
      </c>
    </row>
    <row r="440" spans="1:10">
      <c r="A440" s="19">
        <v>438</v>
      </c>
      <c r="B440" s="28">
        <v>38.298910082573002</v>
      </c>
      <c r="C440" s="27">
        <f ca="1">OFFSET($B440,1*(ROWS(C$2:C440)-1),0)</f>
        <v>0</v>
      </c>
      <c r="D440" s="26">
        <f>Ft!B$3*EXP(Ft!B$38*($A440-Ft!B$2)^2) +Ft!C$3*EXP(Ft!C$38*($A440-Ft!C$2)^2) + Ft!D$3*EXP(Ft!D$38*($A440-Ft!D$2)^2)+Ft!E$3*EXP(Ft!E$38*($A440-Ft!E$2)^2) +Ft!F$3*EXP(Ft!F$38*($A440-Ft!F$2)^2) + Ft!G$3*EXP(Ft!G$38*($A440-Ft!G$2)^2)</f>
        <v>18.993461627279601</v>
      </c>
      <c r="E440" s="26">
        <f>Ft!B$3*EXP(Ft!B$38*($A440-Ft!B$2)^2)</f>
        <v>8.2432903228877811E-85</v>
      </c>
      <c r="F440" s="26">
        <f>Ft!C$3*EXP(Ft!C$38*($A440-Ft!C$2)^2)</f>
        <v>6.2945986910644472E-3</v>
      </c>
      <c r="G440" s="26">
        <f>Ft!D$3*EXP(Ft!D$38*($A440-Ft!D$2)^2)</f>
        <v>18.610865085623374</v>
      </c>
      <c r="H440" s="26">
        <f>Ft!E$3*EXP(Ft!E$38*($A440-Ft!E$2)^2)</f>
        <v>0.37630194296516212</v>
      </c>
      <c r="I440" s="26">
        <f>Ft!F$3*EXP(Ft!F$38*($A440-Ft!F$2)^2)</f>
        <v>4.6762469509790115E-37</v>
      </c>
      <c r="J440" s="26">
        <f>Ft!G$3*EXP(Ft!G$38*($A440-Ft!G$2)^2)</f>
        <v>3.0312318464649055E-152</v>
      </c>
    </row>
    <row r="441" spans="1:10">
      <c r="A441" s="19">
        <v>439</v>
      </c>
      <c r="B441" s="28">
        <v>38.085836049303254</v>
      </c>
      <c r="C441" s="27">
        <f ca="1">OFFSET($B441,1*(ROWS(C$2:C441)-1),0)</f>
        <v>0</v>
      </c>
      <c r="D441" s="26">
        <f>Ft!B$3*EXP(Ft!B$38*($A441-Ft!B$2)^2) +Ft!C$3*EXP(Ft!C$38*($A441-Ft!C$2)^2) + Ft!D$3*EXP(Ft!D$38*($A441-Ft!D$2)^2)+Ft!E$3*EXP(Ft!E$38*($A441-Ft!E$2)^2) +Ft!F$3*EXP(Ft!F$38*($A441-Ft!F$2)^2) + Ft!G$3*EXP(Ft!G$38*($A441-Ft!G$2)^2)</f>
        <v>19.011195871655708</v>
      </c>
      <c r="E441" s="26">
        <f>Ft!B$3*EXP(Ft!B$38*($A441-Ft!B$2)^2)</f>
        <v>3.0522080467318528E-85</v>
      </c>
      <c r="F441" s="26">
        <f>Ft!C$3*EXP(Ft!C$38*($A441-Ft!C$2)^2)</f>
        <v>5.9954515151603984E-3</v>
      </c>
      <c r="G441" s="26">
        <f>Ft!D$3*EXP(Ft!D$38*($A441-Ft!D$2)^2)</f>
        <v>18.62155427733763</v>
      </c>
      <c r="H441" s="26">
        <f>Ft!E$3*EXP(Ft!E$38*($A441-Ft!E$2)^2)</f>
        <v>0.38364614280291515</v>
      </c>
      <c r="I441" s="26">
        <f>Ft!F$3*EXP(Ft!F$38*($A441-Ft!F$2)^2)</f>
        <v>6.3285916531935762E-37</v>
      </c>
      <c r="J441" s="26">
        <f>Ft!G$3*EXP(Ft!G$38*($A441-Ft!G$2)^2)</f>
        <v>9.6106154580882817E-152</v>
      </c>
    </row>
    <row r="442" spans="1:10">
      <c r="A442" s="19">
        <v>440</v>
      </c>
      <c r="B442" s="28">
        <v>37.875318610909375</v>
      </c>
      <c r="C442" s="27">
        <f ca="1">OFFSET($B442,1*(ROWS(C$2:C442)-1),0)</f>
        <v>0</v>
      </c>
      <c r="D442" s="26">
        <f>Ft!B$3*EXP(Ft!B$38*($A442-Ft!B$2)^2) +Ft!C$3*EXP(Ft!C$38*($A442-Ft!C$2)^2) + Ft!D$3*EXP(Ft!D$38*($A442-Ft!D$2)^2)+Ft!E$3*EXP(Ft!E$38*($A442-Ft!E$2)^2) +Ft!F$3*EXP(Ft!F$38*($A442-Ft!F$2)^2) + Ft!G$3*EXP(Ft!G$38*($A442-Ft!G$2)^2)</f>
        <v>19.028403548966335</v>
      </c>
      <c r="E442" s="26">
        <f>Ft!B$3*EXP(Ft!B$38*($A442-Ft!B$2)^2)</f>
        <v>1.1272751685232849E-85</v>
      </c>
      <c r="F442" s="26">
        <f>Ft!C$3*EXP(Ft!C$38*($A442-Ft!C$2)^2)</f>
        <v>5.7095939871777681E-3</v>
      </c>
      <c r="G442" s="26">
        <f>Ft!D$3*EXP(Ft!D$38*($A442-Ft!D$2)^2)</f>
        <v>18.631579966238736</v>
      </c>
      <c r="H442" s="26">
        <f>Ft!E$3*EXP(Ft!E$38*($A442-Ft!E$2)^2)</f>
        <v>0.39111398874042319</v>
      </c>
      <c r="I442" s="26">
        <f>Ft!F$3*EXP(Ft!F$38*($A442-Ft!F$2)^2)</f>
        <v>8.5601825974282162E-37</v>
      </c>
      <c r="J442" s="26">
        <f>Ft!G$3*EXP(Ft!G$38*($A442-Ft!G$2)^2)</f>
        <v>3.0412875145799464E-151</v>
      </c>
    </row>
    <row r="443" spans="1:10">
      <c r="A443" s="19">
        <v>441</v>
      </c>
      <c r="B443" s="28">
        <v>37.654357924567137</v>
      </c>
      <c r="C443" s="27">
        <f ca="1">OFFSET($B443,1*(ROWS(C$2:C443)-1),0)</f>
        <v>0</v>
      </c>
      <c r="D443" s="26">
        <f>Ft!B$3*EXP(Ft!B$38*($A443-Ft!B$2)^2) +Ft!C$3*EXP(Ft!C$38*($A443-Ft!C$2)^2) + Ft!D$3*EXP(Ft!D$38*($A443-Ft!D$2)^2)+Ft!E$3*EXP(Ft!E$38*($A443-Ft!E$2)^2) +Ft!F$3*EXP(Ft!F$38*($A443-Ft!F$2)^2) + Ft!G$3*EXP(Ft!G$38*($A443-Ft!G$2)^2)</f>
        <v>19.045084685792563</v>
      </c>
      <c r="E443" s="26">
        <f>Ft!B$3*EXP(Ft!B$38*($A443-Ft!B$2)^2)</f>
        <v>4.1528669590063361E-86</v>
      </c>
      <c r="F443" s="26">
        <f>Ft!C$3*EXP(Ft!C$38*($A443-Ft!C$2)^2)</f>
        <v>5.4364830788296639E-3</v>
      </c>
      <c r="G443" s="26">
        <f>Ft!D$3*EXP(Ft!D$38*($A443-Ft!D$2)^2)</f>
        <v>18.640941074262766</v>
      </c>
      <c r="H443" s="26">
        <f>Ft!E$3*EXP(Ft!E$38*($A443-Ft!E$2)^2)</f>
        <v>0.39870712845096729</v>
      </c>
      <c r="I443" s="26">
        <f>Ft!F$3*EXP(Ft!F$38*($A443-Ft!F$2)^2)</f>
        <v>1.1572449702246487E-36</v>
      </c>
      <c r="J443" s="26">
        <f>Ft!G$3*EXP(Ft!G$38*($A443-Ft!G$2)^2)</f>
        <v>9.6058984381644622E-151</v>
      </c>
    </row>
    <row r="444" spans="1:10">
      <c r="A444" s="19">
        <v>442</v>
      </c>
      <c r="B444" s="28">
        <v>37.433789607017843</v>
      </c>
      <c r="C444" s="27">
        <f ca="1">OFFSET($B444,1*(ROWS(C$2:C444)-1),0)</f>
        <v>0</v>
      </c>
      <c r="D444" s="26">
        <f>Ft!B$3*EXP(Ft!B$38*($A444-Ft!B$2)^2) +Ft!C$3*EXP(Ft!C$38*($A444-Ft!C$2)^2) + Ft!D$3*EXP(Ft!D$38*($A444-Ft!D$2)^2)+Ft!E$3*EXP(Ft!E$38*($A444-Ft!E$2)^2) +Ft!F$3*EXP(Ft!F$38*($A444-Ft!F$2)^2) + Ft!G$3*EXP(Ft!G$38*($A444-Ft!G$2)^2)</f>
        <v>19.06123941262646</v>
      </c>
      <c r="E444" s="26">
        <f>Ft!B$3*EXP(Ft!B$38*($A444-Ft!B$2)^2)</f>
        <v>1.5260486053270903E-86</v>
      </c>
      <c r="F444" s="26">
        <f>Ft!C$3*EXP(Ft!C$38*($A444-Ft!C$2)^2)</f>
        <v>5.1755956348498852E-3</v>
      </c>
      <c r="G444" s="26">
        <f>Ft!D$3*EXP(Ft!D$38*($A444-Ft!D$2)^2)</f>
        <v>18.649636594458208</v>
      </c>
      <c r="H444" s="26">
        <f>Ft!E$3*EXP(Ft!E$38*($A444-Ft!E$2)^2)</f>
        <v>0.40642722253340058</v>
      </c>
      <c r="I444" s="26">
        <f>Ft!F$3*EXP(Ft!F$38*($A444-Ft!F$2)^2)</f>
        <v>1.5636296373972277E-36</v>
      </c>
      <c r="J444" s="26">
        <f>Ft!G$3*EXP(Ft!G$38*($A444-Ft!G$2)^2)</f>
        <v>3.0282570375864974E-150</v>
      </c>
    </row>
    <row r="445" spans="1:10">
      <c r="A445" s="19">
        <v>443</v>
      </c>
      <c r="B445" s="28">
        <v>37.208061937231861</v>
      </c>
      <c r="C445" s="27">
        <f ca="1">OFFSET($B445,1*(ROWS(C$2:C445)-1),0)</f>
        <v>0</v>
      </c>
      <c r="D445" s="26">
        <f>Ft!B$3*EXP(Ft!B$38*($A445-Ft!B$2)^2) +Ft!C$3*EXP(Ft!C$38*($A445-Ft!C$2)^2) + Ft!D$3*EXP(Ft!D$38*($A445-Ft!D$2)^2)+Ft!E$3*EXP(Ft!E$38*($A445-Ft!E$2)^2) +Ft!F$3*EXP(Ft!F$38*($A445-Ft!F$2)^2) + Ft!G$3*EXP(Ft!G$38*($A445-Ft!G$2)^2)</f>
        <v>19.076867963345958</v>
      </c>
      <c r="E445" s="26">
        <f>Ft!B$3*EXP(Ft!B$38*($A445-Ft!B$2)^2)</f>
        <v>5.5935945639218611E-87</v>
      </c>
      <c r="F445" s="26">
        <f>Ft!C$3*EXP(Ft!C$38*($A445-Ft!C$2)^2)</f>
        <v>4.926427753992004E-3</v>
      </c>
      <c r="G445" s="26">
        <f>Ft!D$3*EXP(Ft!D$38*($A445-Ft!D$2)^2)</f>
        <v>18.657665591166477</v>
      </c>
      <c r="H445" s="26">
        <f>Ft!E$3*EXP(Ft!E$38*($A445-Ft!E$2)^2)</f>
        <v>0.41427594442548793</v>
      </c>
      <c r="I445" s="26">
        <f>Ft!F$3*EXP(Ft!F$38*($A445-Ft!F$2)^2)</f>
        <v>2.1115861451478825E-36</v>
      </c>
      <c r="J445" s="26">
        <f>Ft!G$3*EXP(Ft!G$38*($A445-Ft!G$2)^2)</f>
        <v>9.5284380082717232E-150</v>
      </c>
    </row>
    <row r="446" spans="1:10">
      <c r="A446" s="19">
        <v>444</v>
      </c>
      <c r="B446" s="28">
        <v>36.952033647619999</v>
      </c>
      <c r="C446" s="27">
        <f ca="1">OFFSET($B446,1*(ROWS(C$2:C446)-1),0)</f>
        <v>0</v>
      </c>
      <c r="D446" s="26">
        <f>Ft!B$3*EXP(Ft!B$38*($A446-Ft!B$2)^2) +Ft!C$3*EXP(Ft!C$38*($A446-Ft!C$2)^2) + Ft!D$3*EXP(Ft!D$38*($A446-Ft!D$2)^2)+Ft!E$3*EXP(Ft!E$38*($A446-Ft!E$2)^2) +Ft!F$3*EXP(Ft!F$38*($A446-Ft!F$2)^2) + Ft!G$3*EXP(Ft!G$38*($A446-Ft!G$2)^2)</f>
        <v>19.091970674686461</v>
      </c>
      <c r="E446" s="26">
        <f>Ft!B$3*EXP(Ft!B$38*($A446-Ft!B$2)^2)</f>
        <v>2.0451062362052347E-87</v>
      </c>
      <c r="F446" s="26">
        <f>Ft!C$3*EXP(Ft!C$38*($A446-Ft!C$2)^2)</f>
        <v>4.6884941844317716E-3</v>
      </c>
      <c r="G446" s="26">
        <f>Ft!D$3*EXP(Ft!D$38*($A446-Ft!D$2)^2)</f>
        <v>18.665027200189733</v>
      </c>
      <c r="H446" s="26">
        <f>Ft!E$3*EXP(Ft!E$38*($A446-Ft!E$2)^2)</f>
        <v>0.42225498031229608</v>
      </c>
      <c r="I446" s="26">
        <f>Ft!F$3*EXP(Ft!F$38*($A446-Ft!F$2)^2)</f>
        <v>2.8500339442787841E-36</v>
      </c>
      <c r="J446" s="26">
        <f>Ft!G$3*EXP(Ft!G$38*($A446-Ft!G$2)^2)</f>
        <v>2.9924363628950492E-149</v>
      </c>
    </row>
    <row r="447" spans="1:10">
      <c r="A447" s="19">
        <v>445</v>
      </c>
      <c r="B447" s="28">
        <v>36.70489862613266</v>
      </c>
      <c r="C447" s="27">
        <f ca="1">OFFSET($B447,1*(ROWS(C$2:C447)-1),0)</f>
        <v>0</v>
      </c>
      <c r="D447" s="26">
        <f>Ft!B$3*EXP(Ft!B$38*($A447-Ft!B$2)^2) +Ft!C$3*EXP(Ft!C$38*($A447-Ft!C$2)^2) + Ft!D$3*EXP(Ft!D$38*($A447-Ft!D$2)^2)+Ft!E$3*EXP(Ft!E$38*($A447-Ft!E$2)^2) +Ft!F$3*EXP(Ft!F$38*($A447-Ft!F$2)^2) + Ft!G$3*EXP(Ft!G$38*($A447-Ft!G$2)^2)</f>
        <v>19.106547985708914</v>
      </c>
      <c r="E447" s="26">
        <f>Ft!B$3*EXP(Ft!B$38*($A447-Ft!B$2)^2)</f>
        <v>7.4583546707675553E-88</v>
      </c>
      <c r="F447" s="26">
        <f>Ft!C$3*EXP(Ft!C$38*($A447-Ft!C$2)^2)</f>
        <v>4.4613277334562881E-3</v>
      </c>
      <c r="G447" s="26">
        <f>Ft!D$3*EXP(Ft!D$38*($A447-Ft!D$2)^2)</f>
        <v>18.671720628945877</v>
      </c>
      <c r="H447" s="26">
        <f>Ft!E$3*EXP(Ft!E$38*($A447-Ft!E$2)^2)</f>
        <v>0.43036602902958138</v>
      </c>
      <c r="I447" s="26">
        <f>Ft!F$3*EXP(Ft!F$38*($A447-Ft!F$2)^2)</f>
        <v>3.8446568179852655E-36</v>
      </c>
      <c r="J447" s="26">
        <f>Ft!G$3*EXP(Ft!G$38*($A447-Ft!G$2)^2)</f>
        <v>9.3799898229102451E-149</v>
      </c>
    </row>
    <row r="448" spans="1:10">
      <c r="A448" s="19">
        <v>446</v>
      </c>
      <c r="B448" s="28">
        <v>36.457009445204164</v>
      </c>
      <c r="C448" s="27">
        <f ca="1">OFFSET($B448,1*(ROWS(C$2:C448)-1),0)</f>
        <v>0</v>
      </c>
      <c r="D448" s="26">
        <f>Ft!B$3*EXP(Ft!B$38*($A448-Ft!B$2)^2) +Ft!C$3*EXP(Ft!C$38*($A448-Ft!C$2)^2) + Ft!D$3*EXP(Ft!D$38*($A448-Ft!D$2)^2)+Ft!E$3*EXP(Ft!E$38*($A448-Ft!E$2)^2) +Ft!F$3*EXP(Ft!F$38*($A448-Ft!F$2)^2) + Ft!G$3*EXP(Ft!G$38*($A448-Ft!G$2)^2)</f>
        <v>19.120600437264208</v>
      </c>
      <c r="E448" s="26">
        <f>Ft!B$3*EXP(Ft!B$38*($A448-Ft!B$2)^2)</f>
        <v>2.7131416019092783E-88</v>
      </c>
      <c r="F448" s="26">
        <f>Ft!C$3*EXP(Ft!C$38*($A448-Ft!C$2)^2)</f>
        <v>4.2444786913132205E-3</v>
      </c>
      <c r="G448" s="26">
        <f>Ft!D$3*EXP(Ft!D$38*($A448-Ft!D$2)^2)</f>
        <v>18.677745156610804</v>
      </c>
      <c r="H448" s="26">
        <f>Ft!E$3*EXP(Ft!E$38*($A448-Ft!E$2)^2)</f>
        <v>0.4386108019620919</v>
      </c>
      <c r="I448" s="26">
        <f>Ft!F$3*EXP(Ft!F$38*($A448-Ft!F$2)^2)</f>
        <v>5.183599576164263E-36</v>
      </c>
      <c r="J448" s="26">
        <f>Ft!G$3*EXP(Ft!G$38*($A448-Ft!G$2)^2)</f>
        <v>2.9346346692854479E-148</v>
      </c>
    </row>
    <row r="449" spans="1:10">
      <c r="A449" s="19">
        <v>447</v>
      </c>
      <c r="B449" s="28">
        <v>36.209644163614371</v>
      </c>
      <c r="C449" s="27">
        <f ca="1">OFFSET($B449,1*(ROWS(C$2:C449)-1),0)</f>
        <v>0</v>
      </c>
      <c r="D449" s="26">
        <f>Ft!B$3*EXP(Ft!B$38*($A449-Ft!B$2)^2) +Ft!C$3*EXP(Ft!C$38*($A449-Ft!C$2)^2) + Ft!D$3*EXP(Ft!D$38*($A449-Ft!D$2)^2)+Ft!E$3*EXP(Ft!E$38*($A449-Ft!E$2)^2) +Ft!F$3*EXP(Ft!F$38*($A449-Ft!F$2)^2) + Ft!G$3*EXP(Ft!G$38*($A449-Ft!G$2)^2)</f>
        <v>19.134128671453578</v>
      </c>
      <c r="E449" s="26">
        <f>Ft!B$3*EXP(Ft!B$38*($A449-Ft!B$2)^2)</f>
        <v>9.8447379360235268E-89</v>
      </c>
      <c r="F449" s="26">
        <f>Ft!C$3*EXP(Ft!C$38*($A449-Ft!C$2)^2)</f>
        <v>4.0375142690838584E-3</v>
      </c>
      <c r="G449" s="26">
        <f>Ft!D$3*EXP(Ft!D$38*($A449-Ft!D$2)^2)</f>
        <v>18.683100134247763</v>
      </c>
      <c r="H449" s="26">
        <f>Ft!E$3*EXP(Ft!E$38*($A449-Ft!E$2)^2)</f>
        <v>0.44699102293673104</v>
      </c>
      <c r="I449" s="26">
        <f>Ft!F$3*EXP(Ft!F$38*($A449-Ft!F$2)^2)</f>
        <v>6.9850839503877498E-36</v>
      </c>
      <c r="J449" s="26">
        <f>Ft!G$3*EXP(Ft!G$38*($A449-Ft!G$2)^2)</f>
        <v>9.1638918200964173E-148</v>
      </c>
    </row>
    <row r="450" spans="1:10">
      <c r="A450" s="19">
        <v>448</v>
      </c>
      <c r="B450" s="28">
        <v>35.958586007026895</v>
      </c>
      <c r="C450" s="27">
        <f ca="1">OFFSET($B450,1*(ROWS(C$2:C450)-1),0)</f>
        <v>0</v>
      </c>
      <c r="D450" s="26">
        <f>Ft!B$3*EXP(Ft!B$38*($A450-Ft!B$2)^2) +Ft!C$3*EXP(Ft!C$38*($A450-Ft!C$2)^2) + Ft!D$3*EXP(Ft!D$38*($A450-Ft!D$2)^2)+Ft!E$3*EXP(Ft!E$38*($A450-Ft!E$2)^2) +Ft!F$3*EXP(Ft!F$38*($A450-Ft!F$2)^2) + Ft!G$3*EXP(Ft!G$38*($A450-Ft!G$2)^2)</f>
        <v>19.147133431084786</v>
      </c>
      <c r="E450" s="26">
        <f>Ft!B$3*EXP(Ft!B$38*($A450-Ft!B$2)^2)</f>
        <v>3.5631830128806047E-89</v>
      </c>
      <c r="F450" s="26">
        <f>Ft!C$3*EXP(Ft!C$38*($A450-Ft!C$2)^2)</f>
        <v>3.8400180504346505E-3</v>
      </c>
      <c r="G450" s="26">
        <f>Ft!D$3*EXP(Ft!D$38*($A450-Ft!D$2)^2)</f>
        <v>18.687784984923844</v>
      </c>
      <c r="H450" s="26">
        <f>Ft!E$3*EXP(Ft!E$38*($A450-Ft!E$2)^2)</f>
        <v>0.45550842811050557</v>
      </c>
      <c r="I450" s="26">
        <f>Ft!F$3*EXP(Ft!F$38*($A450-Ft!F$2)^2)</f>
        <v>9.4075846100825551E-36</v>
      </c>
      <c r="J450" s="26">
        <f>Ft!G$3*EXP(Ft!G$38*($A450-Ft!G$2)^2)</f>
        <v>2.8561439786481954E-147</v>
      </c>
    </row>
    <row r="451" spans="1:10">
      <c r="A451" s="19">
        <v>449</v>
      </c>
      <c r="B451" s="28">
        <v>35.688521595447867</v>
      </c>
      <c r="C451" s="27">
        <f ca="1">OFFSET($B451,1*(ROWS(C$2:C451)-1),0)</f>
        <v>0</v>
      </c>
      <c r="D451" s="26">
        <f>Ft!B$3*EXP(Ft!B$38*($A451-Ft!B$2)^2) +Ft!C$3*EXP(Ft!C$38*($A451-Ft!C$2)^2) + Ft!D$3*EXP(Ft!D$38*($A451-Ft!D$2)^2)+Ft!E$3*EXP(Ft!E$38*($A451-Ft!E$2)^2) +Ft!F$3*EXP(Ft!F$38*($A451-Ft!F$2)^2) + Ft!G$3*EXP(Ft!G$38*($A451-Ft!G$2)^2)</f>
        <v>19.159615559123896</v>
      </c>
      <c r="E451" s="26">
        <f>Ft!B$3*EXP(Ft!B$38*($A451-Ft!B$2)^2)</f>
        <v>1.286395075510868E-89</v>
      </c>
      <c r="F451" s="26">
        <f>Ft!C$3*EXP(Ft!C$38*($A451-Ft!C$2)^2)</f>
        <v>3.65158945709366E-3</v>
      </c>
      <c r="G451" s="26">
        <f>Ft!D$3*EXP(Ft!D$38*($A451-Ft!D$2)^2)</f>
        <v>18.691799203813602</v>
      </c>
      <c r="H451" s="26">
        <f>Ft!E$3*EXP(Ft!E$38*($A451-Ft!E$2)^2)</f>
        <v>0.46416476585320121</v>
      </c>
      <c r="I451" s="26">
        <f>Ft!F$3*EXP(Ft!F$38*($A451-Ft!F$2)^2)</f>
        <v>1.2663418347606362E-35</v>
      </c>
      <c r="J451" s="26">
        <f>Ft!G$3*EXP(Ft!G$38*($A451-Ft!G$2)^2)</f>
        <v>8.8849394475228342E-147</v>
      </c>
    </row>
    <row r="452" spans="1:10">
      <c r="A452" s="19">
        <v>450</v>
      </c>
      <c r="B452" s="28">
        <v>35.429958249440546</v>
      </c>
      <c r="C452" s="27">
        <f ca="1">OFFSET($B452,1*(ROWS(C$2:C452)-1),0)</f>
        <v>0</v>
      </c>
      <c r="D452" s="26">
        <f>Ft!B$3*EXP(Ft!B$38*($A452-Ft!B$2)^2) +Ft!C$3*EXP(Ft!C$38*($A452-Ft!C$2)^2) + Ft!D$3*EXP(Ft!D$38*($A452-Ft!D$2)^2)+Ft!E$3*EXP(Ft!E$38*($A452-Ft!E$2)^2) +Ft!F$3*EXP(Ft!F$38*($A452-Ft!F$2)^2) + Ft!G$3*EXP(Ft!G$38*($A452-Ft!G$2)^2)</f>
        <v>19.171575998142295</v>
      </c>
      <c r="E452" s="26">
        <f>Ft!B$3*EXP(Ft!B$38*($A452-Ft!B$2)^2)</f>
        <v>4.632472807866056E-90</v>
      </c>
      <c r="F452" s="26">
        <f>Ft!C$3*EXP(Ft!C$38*($A452-Ft!C$2)^2)</f>
        <v>3.4718432278906873E-3</v>
      </c>
      <c r="G452" s="26">
        <f>Ft!D$3*EXP(Ft!D$38*($A452-Ft!D$2)^2)</f>
        <v>18.69514235828969</v>
      </c>
      <c r="H452" s="26">
        <f>Ft!E$3*EXP(Ft!E$38*($A452-Ft!E$2)^2)</f>
        <v>0.47296179662471127</v>
      </c>
      <c r="I452" s="26">
        <f>Ft!F$3*EXP(Ft!F$38*($A452-Ft!F$2)^2)</f>
        <v>1.7036881175880327E-35</v>
      </c>
      <c r="J452" s="26">
        <f>Ft!G$3*EXP(Ft!G$38*($A452-Ft!G$2)^2)</f>
        <v>2.7586911474277715E-146</v>
      </c>
    </row>
    <row r="453" spans="1:10">
      <c r="A453" s="19">
        <v>451</v>
      </c>
      <c r="B453" s="28">
        <v>35.182773487685211</v>
      </c>
      <c r="C453" s="27">
        <f ca="1">OFFSET($B453,1*(ROWS(C$2:C453)-1),0)</f>
        <v>0</v>
      </c>
      <c r="D453" s="26">
        <f>Ft!B$3*EXP(Ft!B$38*($A453-Ft!B$2)^2) +Ft!C$3*EXP(Ft!C$38*($A453-Ft!C$2)^2) + Ft!D$3*EXP(Ft!D$38*($A453-Ft!D$2)^2)+Ft!E$3*EXP(Ft!E$38*($A453-Ft!E$2)^2) +Ft!F$3*EXP(Ft!F$38*($A453-Ft!F$2)^2) + Ft!G$3*EXP(Ft!G$38*($A453-Ft!G$2)^2)</f>
        <v>19.183015789758755</v>
      </c>
      <c r="E453" s="26">
        <f>Ft!B$3*EXP(Ft!B$38*($A453-Ft!B$2)^2)</f>
        <v>1.6640012907395687E-90</v>
      </c>
      <c r="F453" s="26">
        <f>Ft!C$3*EXP(Ft!C$38*($A453-Ft!C$2)^2)</f>
        <v>3.3004089111924378E-3</v>
      </c>
      <c r="G453" s="26">
        <f>Ft!D$3*EXP(Ft!D$38*($A453-Ft!D$2)^2)</f>
        <v>18.697814088000595</v>
      </c>
      <c r="H453" s="26">
        <f>Ft!E$3*EXP(Ft!E$38*($A453-Ft!E$2)^2)</f>
        <v>0.48190129284696664</v>
      </c>
      <c r="I453" s="26">
        <f>Ft!F$3*EXP(Ft!F$38*($A453-Ft!F$2)^2)</f>
        <v>2.2908441950394788E-35</v>
      </c>
      <c r="J453" s="26">
        <f>Ft!G$3*EXP(Ft!G$38*($A453-Ft!G$2)^2)</f>
        <v>8.5492087811824164E-146</v>
      </c>
    </row>
    <row r="454" spans="1:10">
      <c r="A454" s="19">
        <v>452</v>
      </c>
      <c r="B454" s="28">
        <v>34.94002472427627</v>
      </c>
      <c r="C454" s="27">
        <f ca="1">OFFSET($B454,1*(ROWS(C$2:C454)-1),0)</f>
        <v>0</v>
      </c>
      <c r="D454" s="26">
        <f>Ft!B$3*EXP(Ft!B$38*($A454-Ft!B$2)^2) +Ft!C$3*EXP(Ft!C$38*($A454-Ft!C$2)^2) + Ft!D$3*EXP(Ft!D$38*($A454-Ft!D$2)^2)+Ft!E$3*EXP(Ft!E$38*($A454-Ft!E$2)^2) +Ft!F$3*EXP(Ft!F$38*($A454-Ft!F$2)^2) + Ft!G$3*EXP(Ft!G$38*($A454-Ft!G$2)^2)</f>
        <v>19.193936074076294</v>
      </c>
      <c r="E454" s="26">
        <f>Ft!B$3*EXP(Ft!B$38*($A454-Ft!B$2)^2)</f>
        <v>5.9620650362712217E-91</v>
      </c>
      <c r="F454" s="26">
        <f>Ft!C$3*EXP(Ft!C$38*($A454-Ft!C$2)^2)</f>
        <v>3.1369303705577789E-3</v>
      </c>
      <c r="G454" s="26">
        <f>Ft!D$3*EXP(Ft!D$38*($A454-Ft!D$2)^2)</f>
        <v>18.699814104935349</v>
      </c>
      <c r="H454" s="26">
        <f>Ft!E$3*EXP(Ft!E$38*($A454-Ft!E$2)^2)</f>
        <v>0.49098503877038779</v>
      </c>
      <c r="I454" s="26">
        <f>Ft!F$3*EXP(Ft!F$38*($A454-Ft!F$2)^2)</f>
        <v>3.0786997045252508E-35</v>
      </c>
      <c r="J454" s="26">
        <f>Ft!G$3*EXP(Ft!G$38*($A454-Ft!G$2)^2)</f>
        <v>2.6443747287350802E-145</v>
      </c>
    </row>
    <row r="455" spans="1:10">
      <c r="A455" s="19">
        <v>453</v>
      </c>
      <c r="B455" s="28">
        <v>34.690500171997058</v>
      </c>
      <c r="C455" s="27">
        <f ca="1">OFFSET($B455,1*(ROWS(C$2:C455)-1),0)</f>
        <v>0</v>
      </c>
      <c r="D455" s="26">
        <f>Ft!B$3*EXP(Ft!B$38*($A455-Ft!B$2)^2) +Ft!C$3*EXP(Ft!C$38*($A455-Ft!C$2)^2) + Ft!D$3*EXP(Ft!D$38*($A455-Ft!D$2)^2)+Ft!E$3*EXP(Ft!E$38*($A455-Ft!E$2)^2) +Ft!F$3*EXP(Ft!F$38*($A455-Ft!F$2)^2) + Ft!G$3*EXP(Ft!G$38*($A455-Ft!G$2)^2)</f>
        <v>19.204338089113527</v>
      </c>
      <c r="E455" s="26">
        <f>Ft!B$3*EXP(Ft!B$38*($A455-Ft!B$2)^2)</f>
        <v>2.130796769677002E-91</v>
      </c>
      <c r="F455" s="26">
        <f>Ft!C$3*EXP(Ft!C$38*($A455-Ft!C$2)^2)</f>
        <v>2.9810653034318809E-3</v>
      </c>
      <c r="G455" s="26">
        <f>Ft!D$3*EXP(Ft!D$38*($A455-Ft!D$2)^2)</f>
        <v>18.701142193475285</v>
      </c>
      <c r="H455" s="26">
        <f>Ft!E$3*EXP(Ft!E$38*($A455-Ft!E$2)^2)</f>
        <v>0.50021483033481073</v>
      </c>
      <c r="I455" s="26">
        <f>Ft!F$3*EXP(Ft!F$38*($A455-Ft!F$2)^2)</f>
        <v>4.1352848050249868E-35</v>
      </c>
      <c r="J455" s="26">
        <f>Ft!G$3*EXP(Ft!G$38*($A455-Ft!G$2)^2)</f>
        <v>8.1638366458190072E-145</v>
      </c>
    </row>
    <row r="456" spans="1:10">
      <c r="A456" s="19">
        <v>454</v>
      </c>
      <c r="B456" s="28">
        <v>34.47027656864438</v>
      </c>
      <c r="C456" s="27">
        <f ca="1">OFFSET($B456,1*(ROWS(C$2:C456)-1),0)</f>
        <v>0</v>
      </c>
      <c r="D456" s="26">
        <f>Ft!B$3*EXP(Ft!B$38*($A456-Ft!B$2)^2) +Ft!C$3*EXP(Ft!C$38*($A456-Ft!C$2)^2) + Ft!D$3*EXP(Ft!D$38*($A456-Ft!D$2)^2)+Ft!E$3*EXP(Ft!E$38*($A456-Ft!E$2)^2) +Ft!F$3*EXP(Ft!F$38*($A456-Ft!F$2)^2) + Ft!G$3*EXP(Ft!G$38*($A456-Ft!G$2)^2)</f>
        <v>19.214223170230294</v>
      </c>
      <c r="E456" s="26">
        <f>Ft!B$3*EXP(Ft!B$38*($A456-Ft!B$2)^2)</f>
        <v>7.5960815835449959E-92</v>
      </c>
      <c r="F456" s="26">
        <f>Ft!C$3*EXP(Ft!C$38*($A456-Ft!C$2)^2)</f>
        <v>2.8324847726926556E-3</v>
      </c>
      <c r="G456" s="26">
        <f>Ft!D$3*EXP(Ft!D$38*($A456-Ft!D$2)^2)</f>
        <v>18.701798210432788</v>
      </c>
      <c r="H456" s="26">
        <f>Ft!E$3*EXP(Ft!E$38*($A456-Ft!E$2)^2)</f>
        <v>0.50959247502481475</v>
      </c>
      <c r="I456" s="26">
        <f>Ft!F$3*EXP(Ft!F$38*($A456-Ft!F$2)^2)</f>
        <v>5.5514935524476282E-35</v>
      </c>
      <c r="J456" s="26">
        <f>Ft!G$3*EXP(Ft!G$38*($A456-Ft!G$2)^2)</f>
        <v>2.5155899276353043E-144</v>
      </c>
    </row>
    <row r="457" spans="1:10">
      <c r="A457" s="19">
        <v>455</v>
      </c>
      <c r="B457" s="28">
        <v>34.25250340844039</v>
      </c>
      <c r="C457" s="27">
        <f ca="1">OFFSET($B457,1*(ROWS(C$2:C457)-1),0)</f>
        <v>0</v>
      </c>
      <c r="D457" s="26">
        <f>Ft!B$3*EXP(Ft!B$38*($A457-Ft!B$2)^2) +Ft!C$3*EXP(Ft!C$38*($A457-Ft!C$2)^2) + Ft!D$3*EXP(Ft!D$38*($A457-Ft!D$2)^2)+Ft!E$3*EXP(Ft!E$38*($A457-Ft!E$2)^2) +Ft!F$3*EXP(Ft!F$38*($A457-Ft!F$2)^2) + Ft!G$3*EXP(Ft!G$38*($A457-Ft!G$2)^2)</f>
        <v>19.223592749547262</v>
      </c>
      <c r="E457" s="26">
        <f>Ft!B$3*EXP(Ft!B$38*($A457-Ft!B$2)^2)</f>
        <v>2.7010926523543343E-92</v>
      </c>
      <c r="F457" s="26">
        <f>Ft!C$3*EXP(Ft!C$38*($A457-Ft!C$2)^2)</f>
        <v>2.6908727508578169E-3</v>
      </c>
      <c r="G457" s="26">
        <f>Ft!D$3*EXP(Ft!D$38*($A457-Ft!D$2)^2)</f>
        <v>18.70178208507701</v>
      </c>
      <c r="H457" s="26">
        <f>Ft!E$3*EXP(Ft!E$38*($A457-Ft!E$2)^2)</f>
        <v>0.51911979171939548</v>
      </c>
      <c r="I457" s="26">
        <f>Ft!F$3*EXP(Ft!F$38*($A457-Ft!F$2)^2)</f>
        <v>7.4487015304412285E-35</v>
      </c>
      <c r="J457" s="26">
        <f>Ft!G$3*EXP(Ft!G$38*($A457-Ft!G$2)^2)</f>
        <v>7.7367688412513881E-144</v>
      </c>
    </row>
    <row r="458" spans="1:10">
      <c r="A458" s="19">
        <v>456</v>
      </c>
      <c r="B458" s="28">
        <v>34.034167147488688</v>
      </c>
      <c r="C458" s="27">
        <f ca="1">OFFSET($B458,1*(ROWS(C$2:C458)-1),0)</f>
        <v>0</v>
      </c>
      <c r="D458" s="26">
        <f>Ft!B$3*EXP(Ft!B$38*($A458-Ft!B$2)^2) +Ft!C$3*EXP(Ft!C$38*($A458-Ft!C$2)^2) + Ft!D$3*EXP(Ft!D$38*($A458-Ft!D$2)^2)+Ft!E$3*EXP(Ft!E$38*($A458-Ft!E$2)^2) +Ft!F$3*EXP(Ft!F$38*($A458-Ft!F$2)^2) + Ft!G$3*EXP(Ft!G$38*($A458-Ft!G$2)^2)</f>
        <v>19.232448355359253</v>
      </c>
      <c r="E458" s="26">
        <f>Ft!B$3*EXP(Ft!B$38*($A458-Ft!B$2)^2)</f>
        <v>9.5805758327523074E-93</v>
      </c>
      <c r="F458" s="26">
        <f>Ft!C$3*EXP(Ft!C$38*($A458-Ft!C$2)^2)</f>
        <v>2.555925676756349E-3</v>
      </c>
      <c r="G458" s="26">
        <f>Ft!D$3*EXP(Ft!D$38*($A458-Ft!D$2)^2)</f>
        <v>18.701093819146578</v>
      </c>
      <c r="H458" s="26">
        <f>Ft!E$3*EXP(Ft!E$38*($A458-Ft!E$2)^2)</f>
        <v>0.52879861053591914</v>
      </c>
      <c r="I458" s="26">
        <f>Ft!F$3*EXP(Ft!F$38*($A458-Ft!F$2)^2)</f>
        <v>9.988899040336206E-35</v>
      </c>
      <c r="J458" s="26">
        <f>Ft!G$3*EXP(Ft!G$38*($A458-Ft!G$2)^2)</f>
        <v>2.3749453928237217E-143</v>
      </c>
    </row>
    <row r="459" spans="1:10">
      <c r="A459" s="19">
        <v>457</v>
      </c>
      <c r="B459" s="28">
        <v>33.811817205031531</v>
      </c>
      <c r="C459" s="27">
        <f ca="1">OFFSET($B459,1*(ROWS(C$2:C459)-1),0)</f>
        <v>0</v>
      </c>
      <c r="D459" s="26">
        <f>Ft!B$3*EXP(Ft!B$38*($A459-Ft!B$2)^2) +Ft!C$3*EXP(Ft!C$38*($A459-Ft!C$2)^2) + Ft!D$3*EXP(Ft!D$38*($A459-Ft!D$2)^2)+Ft!E$3*EXP(Ft!E$38*($A459-Ft!E$2)^2) +Ft!F$3*EXP(Ft!F$38*($A459-Ft!F$2)^2) + Ft!G$3*EXP(Ft!G$38*($A459-Ft!G$2)^2)</f>
        <v>19.240791611542072</v>
      </c>
      <c r="E459" s="26">
        <f>Ft!B$3*EXP(Ft!B$38*($A459-Ft!B$2)^2)</f>
        <v>3.3895809817858872E-93</v>
      </c>
      <c r="F459" s="26">
        <f>Ft!C$3*EXP(Ft!C$38*($A459-Ft!C$2)^2)</f>
        <v>2.4273520244642573E-3</v>
      </c>
      <c r="G459" s="26">
        <f>Ft!D$3*EXP(Ft!D$38*($A459-Ft!D$2)^2)</f>
        <v>18.699733486849301</v>
      </c>
      <c r="H459" s="26">
        <f>Ft!E$3*EXP(Ft!E$38*($A459-Ft!E$2)^2)</f>
        <v>0.5386307726683045</v>
      </c>
      <c r="I459" s="26">
        <f>Ft!F$3*EXP(Ft!F$38*($A459-Ft!F$2)^2)</f>
        <v>1.3388163067426895E-34</v>
      </c>
      <c r="J459" s="26">
        <f>Ft!G$3*EXP(Ft!G$38*($A459-Ft!G$2)^2)</f>
        <v>7.276488854649412E-143</v>
      </c>
    </row>
    <row r="460" spans="1:10">
      <c r="A460" s="19">
        <v>458</v>
      </c>
      <c r="B460" s="28">
        <v>33.58880136099242</v>
      </c>
      <c r="C460" s="27">
        <f ca="1">OFFSET($B460,1*(ROWS(C$2:C460)-1),0)</f>
        <v>0</v>
      </c>
      <c r="D460" s="26">
        <f>Ft!B$3*EXP(Ft!B$38*($A460-Ft!B$2)^2) +Ft!C$3*EXP(Ft!C$38*($A460-Ft!C$2)^2) + Ft!D$3*EXP(Ft!D$38*($A460-Ft!D$2)^2)+Ft!E$3*EXP(Ft!E$38*($A460-Ft!E$2)^2) +Ft!F$3*EXP(Ft!F$38*($A460-Ft!F$2)^2) + Ft!G$3*EXP(Ft!G$38*($A460-Ft!G$2)^2)</f>
        <v>19.24862423695248</v>
      </c>
      <c r="E460" s="26">
        <f>Ft!B$3*EXP(Ft!B$38*($A460-Ft!B$2)^2)</f>
        <v>1.1961969369078989E-93</v>
      </c>
      <c r="F460" s="26">
        <f>Ft!C$3*EXP(Ft!C$38*($A460-Ft!C$2)^2)</f>
        <v>2.3048718843006709E-3</v>
      </c>
      <c r="G460" s="26">
        <f>Ft!D$3*EXP(Ft!D$38*($A460-Ft!D$2)^2)</f>
        <v>18.697701234848815</v>
      </c>
      <c r="H460" s="26">
        <f>Ft!E$3*EXP(Ft!E$38*($A460-Ft!E$2)^2)</f>
        <v>0.5486181302193649</v>
      </c>
      <c r="I460" s="26">
        <f>Ft!F$3*EXP(Ft!F$38*($A460-Ft!F$2)^2)</f>
        <v>1.7934558157649124E-34</v>
      </c>
      <c r="J460" s="26">
        <f>Ft!G$3*EXP(Ft!G$38*($A460-Ft!G$2)^2)</f>
        <v>2.2251758694347545E-142</v>
      </c>
    </row>
    <row r="461" spans="1:10">
      <c r="A461" s="19">
        <v>459</v>
      </c>
      <c r="B461" s="28">
        <v>33.350483856996789</v>
      </c>
      <c r="C461" s="27">
        <f ca="1">OFFSET($B461,1*(ROWS(C$2:C461)-1),0)</f>
        <v>0</v>
      </c>
      <c r="D461" s="26">
        <f>Ft!B$3*EXP(Ft!B$38*($A461-Ft!B$2)^2) +Ft!C$3*EXP(Ft!C$38*($A461-Ft!C$2)^2) + Ft!D$3*EXP(Ft!D$38*($A461-Ft!D$2)^2)+Ft!E$3*EXP(Ft!E$38*($A461-Ft!E$2)^2) +Ft!F$3*EXP(Ft!F$38*($A461-Ft!F$2)^2) + Ft!G$3*EXP(Ft!G$38*($A461-Ft!G$2)^2)</f>
        <v>19.255948044821181</v>
      </c>
      <c r="E461" s="26">
        <f>Ft!B$3*EXP(Ft!B$38*($A461-Ft!B$2)^2)</f>
        <v>4.2107710454484929E-94</v>
      </c>
      <c r="F461" s="26">
        <f>Ft!C$3*EXP(Ft!C$38*($A461-Ft!C$2)^2)</f>
        <v>2.1882165556774327E-3</v>
      </c>
      <c r="G461" s="26">
        <f>Ft!D$3*EXP(Ft!D$38*($A461-Ft!D$2)^2)</f>
        <v>18.694997282238241</v>
      </c>
      <c r="H461" s="26">
        <f>Ft!E$3*EXP(Ft!E$38*($A461-Ft!E$2)^2)</f>
        <v>0.5587625460272625</v>
      </c>
      <c r="I461" s="26">
        <f>Ft!F$3*EXP(Ft!F$38*($A461-Ft!F$2)^2)</f>
        <v>2.4011908985280721E-34</v>
      </c>
      <c r="J461" s="26">
        <f>Ft!G$3*EXP(Ft!G$38*($A461-Ft!G$2)^2)</f>
        <v>6.7917399357717359E-142</v>
      </c>
    </row>
    <row r="462" spans="1:10">
      <c r="A462" s="19">
        <v>460</v>
      </c>
      <c r="B462" s="28">
        <v>33.120123772505281</v>
      </c>
      <c r="C462" s="27">
        <f ca="1">OFFSET($B462,1*(ROWS(C$2:C462)-1),0)</f>
        <v>0</v>
      </c>
      <c r="D462" s="26">
        <f>Ft!B$3*EXP(Ft!B$38*($A462-Ft!B$2)^2) +Ft!C$3*EXP(Ft!C$38*($A462-Ft!C$2)^2) + Ft!D$3*EXP(Ft!D$38*($A462-Ft!D$2)^2)+Ft!E$3*EXP(Ft!E$38*($A462-Ft!E$2)^2) +Ft!F$3*EXP(Ft!F$38*($A462-Ft!F$2)^2) + Ft!G$3*EXP(Ft!G$38*($A462-Ft!G$2)^2)</f>
        <v>19.262764942138411</v>
      </c>
      <c r="E462" s="26">
        <f>Ft!B$3*EXP(Ft!B$38*($A462-Ft!B$2)^2)</f>
        <v>1.4785051448638498E-94</v>
      </c>
      <c r="F462" s="26">
        <f>Ft!C$3*EXP(Ft!C$38*($A462-Ft!C$2)^2)</f>
        <v>2.0771281515923816E-3</v>
      </c>
      <c r="G462" s="26">
        <f>Ft!D$3*EXP(Ft!D$38*($A462-Ft!D$2)^2)</f>
        <v>18.691621920500808</v>
      </c>
      <c r="H462" s="26">
        <f>Ft!E$3*EXP(Ft!E$38*($A462-Ft!E$2)^2)</f>
        <v>0.56906589348600867</v>
      </c>
      <c r="I462" s="26">
        <f>Ft!F$3*EXP(Ft!F$38*($A462-Ft!F$2)^2)</f>
        <v>3.2131353038705088E-34</v>
      </c>
      <c r="J462" s="26">
        <f>Ft!G$3*EXP(Ft!G$38*($A462-Ft!G$2)^2)</f>
        <v>2.0690547704345132E-141</v>
      </c>
    </row>
    <row r="463" spans="1:10">
      <c r="A463" s="19">
        <v>461</v>
      </c>
      <c r="B463" s="28">
        <v>32.89215925409377</v>
      </c>
      <c r="C463" s="27">
        <f ca="1">OFFSET($B463,1*(ROWS(C$2:C463)-1),0)</f>
        <v>0</v>
      </c>
      <c r="D463" s="26">
        <f>Ft!B$3*EXP(Ft!B$38*($A463-Ft!B$2)^2) +Ft!C$3*EXP(Ft!C$38*($A463-Ft!C$2)^2) + Ft!D$3*EXP(Ft!D$38*($A463-Ft!D$2)^2)+Ft!E$3*EXP(Ft!E$38*($A463-Ft!E$2)^2) +Ft!F$3*EXP(Ft!F$38*($A463-Ft!F$2)^2) + Ft!G$3*EXP(Ft!G$38*($A463-Ft!G$2)^2)</f>
        <v>19.269076929032025</v>
      </c>
      <c r="E463" s="26">
        <f>Ft!B$3*EXP(Ft!B$38*($A463-Ft!B$2)^2)</f>
        <v>5.1782894506913715E-95</v>
      </c>
      <c r="F463" s="26">
        <f>Ft!C$3*EXP(Ft!C$38*($A463-Ft!C$2)^2)</f>
        <v>1.9713592145543788E-3</v>
      </c>
      <c r="G463" s="26">
        <f>Ft!D$3*EXP(Ft!D$38*($A463-Ft!D$2)^2)</f>
        <v>18.687575513457507</v>
      </c>
      <c r="H463" s="26">
        <f>Ft!E$3*EXP(Ft!E$38*($A463-Ft!E$2)^2)</f>
        <v>0.57953005635996402</v>
      </c>
      <c r="I463" s="26">
        <f>Ft!F$3*EXP(Ft!F$38*($A463-Ft!F$2)^2)</f>
        <v>4.2973196356846422E-34</v>
      </c>
      <c r="J463" s="26">
        <f>Ft!G$3*EXP(Ft!G$38*($A463-Ft!G$2)^2)</f>
        <v>6.2912531292261554E-141</v>
      </c>
    </row>
    <row r="464" spans="1:10">
      <c r="A464" s="19">
        <v>462</v>
      </c>
      <c r="B464" s="28">
        <v>32.658346541734232</v>
      </c>
      <c r="C464" s="27">
        <f ca="1">OFFSET($B464,1*(ROWS(C$2:C464)-1),0)</f>
        <v>0</v>
      </c>
      <c r="D464" s="26">
        <f>Ft!B$3*EXP(Ft!B$38*($A464-Ft!B$2)^2) +Ft!C$3*EXP(Ft!C$38*($A464-Ft!C$2)^2) + Ft!D$3*EXP(Ft!D$38*($A464-Ft!D$2)^2)+Ft!E$3*EXP(Ft!E$38*($A464-Ft!E$2)^2) +Ft!F$3*EXP(Ft!F$38*($A464-Ft!F$2)^2) + Ft!G$3*EXP(Ft!G$38*($A464-Ft!G$2)^2)</f>
        <v>19.274886098137696</v>
      </c>
      <c r="E464" s="26">
        <f>Ft!B$3*EXP(Ft!B$38*($A464-Ft!B$2)^2)</f>
        <v>1.8090562680569242E-95</v>
      </c>
      <c r="F464" s="26">
        <f>Ft!C$3*EXP(Ft!C$38*($A464-Ft!C$2)^2)</f>
        <v>1.8706723437260414E-3</v>
      </c>
      <c r="G464" s="26">
        <f>Ft!D$3*EXP(Ft!D$38*($A464-Ft!D$2)^2)</f>
        <v>18.682858497201693</v>
      </c>
      <c r="H464" s="26">
        <f>Ft!E$3*EXP(Ft!E$38*($A464-Ft!E$2)^2)</f>
        <v>0.59015692859227509</v>
      </c>
      <c r="I464" s="26">
        <f>Ft!F$3*EXP(Ft!F$38*($A464-Ft!F$2)^2)</f>
        <v>5.7442405739884678E-34</v>
      </c>
      <c r="J464" s="26">
        <f>Ft!G$3*EXP(Ft!G$38*($A464-Ft!G$2)^2)</f>
        <v>1.9093105168807418E-140</v>
      </c>
    </row>
    <row r="465" spans="1:10">
      <c r="A465" s="19">
        <v>463</v>
      </c>
      <c r="B465" s="28">
        <v>32.396229456150479</v>
      </c>
      <c r="C465" s="27">
        <f ca="1">OFFSET($B465,1*(ROWS(C$2:C465)-1),0)</f>
        <v>0</v>
      </c>
      <c r="D465" s="26">
        <f>Ft!B$3*EXP(Ft!B$38*($A465-Ft!B$2)^2) +Ft!C$3*EXP(Ft!C$38*($A465-Ft!C$2)^2) + Ft!D$3*EXP(Ft!D$38*($A465-Ft!D$2)^2)+Ft!E$3*EXP(Ft!E$38*($A465-Ft!E$2)^2) +Ft!F$3*EXP(Ft!F$38*($A465-Ft!F$2)^2) + Ft!G$3*EXP(Ft!G$38*($A465-Ft!G$2)^2)</f>
        <v>19.28019463396107</v>
      </c>
      <c r="E465" s="26">
        <f>Ft!B$3*EXP(Ft!B$38*($A465-Ft!B$2)^2)</f>
        <v>6.3040565172070105E-96</v>
      </c>
      <c r="F465" s="26">
        <f>Ft!C$3*EXP(Ft!C$38*($A465-Ft!C$2)^2)</f>
        <v>1.7748398330686426E-3</v>
      </c>
      <c r="G465" s="26">
        <f>Ft!D$3*EXP(Ft!D$38*($A465-Ft!D$2)^2)</f>
        <v>18.677471380020801</v>
      </c>
      <c r="H465" s="26">
        <f>Ft!E$3*EXP(Ft!E$38*($A465-Ft!E$2)^2)</f>
        <v>0.60094841410720146</v>
      </c>
      <c r="I465" s="26">
        <f>Ft!F$3*EXP(Ft!F$38*($A465-Ft!F$2)^2)</f>
        <v>7.6742139232109591E-34</v>
      </c>
      <c r="J465" s="26">
        <f>Ft!G$3*EXP(Ft!G$38*($A465-Ft!G$2)^2)</f>
        <v>5.7834928513760807E-140</v>
      </c>
    </row>
    <row r="466" spans="1:10">
      <c r="A466" s="19">
        <v>464</v>
      </c>
      <c r="B466" s="28">
        <v>32.156624336797051</v>
      </c>
      <c r="C466" s="27">
        <f ca="1">OFFSET($B466,1*(ROWS(C$2:C466)-1),0)</f>
        <v>0</v>
      </c>
      <c r="D466" s="26">
        <f>Ft!B$3*EXP(Ft!B$38*($A466-Ft!B$2)^2) +Ft!C$3*EXP(Ft!C$38*($A466-Ft!C$2)^2) + Ft!D$3*EXP(Ft!D$38*($A466-Ft!D$2)^2)+Ft!E$3*EXP(Ft!E$38*($A466-Ft!E$2)^2) +Ft!F$3*EXP(Ft!F$38*($A466-Ft!F$2)^2) + Ft!G$3*EXP(Ft!G$38*($A466-Ft!G$2)^2)</f>
        <v>19.285004812231577</v>
      </c>
      <c r="E466" s="26">
        <f>Ft!B$3*EXP(Ft!B$38*($A466-Ft!B$2)^2)</f>
        <v>2.1912422402060649E-96</v>
      </c>
      <c r="F466" s="26">
        <f>Ft!C$3*EXP(Ft!C$38*($A466-Ft!C$2)^2)</f>
        <v>1.6836433202724222E-3</v>
      </c>
      <c r="G466" s="26">
        <f>Ft!D$3*EXP(Ft!D$38*($A466-Ft!D$2)^2)</f>
        <v>18.671414742305029</v>
      </c>
      <c r="H466" s="26">
        <f>Ft!E$3*EXP(Ft!E$38*($A466-Ft!E$2)^2)</f>
        <v>0.61190642660627526</v>
      </c>
      <c r="I466" s="26">
        <f>Ft!F$3*EXP(Ft!F$38*($A466-Ft!F$2)^2)</f>
        <v>1.0247112418436441E-33</v>
      </c>
      <c r="J466" s="26">
        <f>Ft!G$3*EXP(Ft!G$38*($A466-Ft!G$2)^2)</f>
        <v>1.7485500764521488E-139</v>
      </c>
    </row>
    <row r="467" spans="1:10">
      <c r="A467" s="19">
        <v>465</v>
      </c>
      <c r="B467" s="28">
        <v>31.924118133598313</v>
      </c>
      <c r="C467" s="27">
        <f ca="1">OFFSET($B467,1*(ROWS(C$2:C467)-1),0)</f>
        <v>0</v>
      </c>
      <c r="D467" s="26">
        <f>Ft!B$3*EXP(Ft!B$38*($A467-Ft!B$2)^2) +Ft!C$3*EXP(Ft!C$38*($A467-Ft!C$2)^2) + Ft!D$3*EXP(Ft!D$38*($A467-Ft!D$2)^2)+Ft!E$3*EXP(Ft!E$38*($A467-Ft!E$2)^2) +Ft!F$3*EXP(Ft!F$38*($A467-Ft!F$2)^2) + Ft!G$3*EXP(Ft!G$38*($A467-Ft!G$2)^2)</f>
        <v>19.289318999247637</v>
      </c>
      <c r="E467" s="26">
        <f>Ft!B$3*EXP(Ft!B$38*($A467-Ft!B$2)^2)</f>
        <v>7.5973643489345046E-97</v>
      </c>
      <c r="F467" s="26">
        <f>Ft!C$3*EXP(Ft!C$38*($A467-Ft!C$2)^2)</f>
        <v>1.596873446254586E-3</v>
      </c>
      <c r="G467" s="26">
        <f>Ft!D$3*EXP(Ft!D$38*($A467-Ft!D$2)^2)</f>
        <v>18.664689236443134</v>
      </c>
      <c r="H467" s="26">
        <f>Ft!E$3*EXP(Ft!E$38*($A467-Ft!E$2)^2)</f>
        <v>0.62303288935824819</v>
      </c>
      <c r="I467" s="26">
        <f>Ft!F$3*EXP(Ft!F$38*($A467-Ft!F$2)^2)</f>
        <v>1.367525454448348E-33</v>
      </c>
      <c r="J467" s="26">
        <f>Ft!G$3*EXP(Ft!G$38*($A467-Ft!G$2)^2)</f>
        <v>5.2764299760350238E-139</v>
      </c>
    </row>
    <row r="468" spans="1:10">
      <c r="A468" s="19">
        <v>466</v>
      </c>
      <c r="B468" s="28">
        <v>31.690635397729523</v>
      </c>
      <c r="C468" s="27">
        <f ca="1">OFFSET($B468,1*(ROWS(C$2:C468)-1),0)</f>
        <v>0</v>
      </c>
      <c r="D468" s="26">
        <f>Ft!B$3*EXP(Ft!B$38*($A468-Ft!B$2)^2) +Ft!C$3*EXP(Ft!C$38*($A468-Ft!C$2)^2) + Ft!D$3*EXP(Ft!D$38*($A468-Ft!D$2)^2)+Ft!E$3*EXP(Ft!E$38*($A468-Ft!E$2)^2) +Ft!F$3*EXP(Ft!F$38*($A468-Ft!F$2)^2) + Ft!G$3*EXP(Ft!G$38*($A468-Ft!G$2)^2)</f>
        <v>19.293139651213096</v>
      </c>
      <c r="E468" s="26">
        <f>Ft!B$3*EXP(Ft!B$38*($A468-Ft!B$2)^2)</f>
        <v>2.62747013326236E-97</v>
      </c>
      <c r="F468" s="26">
        <f>Ft!C$3*EXP(Ft!C$38*($A468-Ft!C$2)^2)</f>
        <v>1.514329525006846E-3</v>
      </c>
      <c r="G468" s="26">
        <f>Ft!D$3*EXP(Ft!D$38*($A468-Ft!D$2)^2)</f>
        <v>18.657295586705317</v>
      </c>
      <c r="H468" s="26">
        <f>Ft!E$3*EXP(Ft!E$38*($A468-Ft!E$2)^2)</f>
        <v>0.63432973498276979</v>
      </c>
      <c r="I468" s="26">
        <f>Ft!F$3*EXP(Ft!F$38*($A468-Ft!F$2)^2)</f>
        <v>1.8240454496558785E-33</v>
      </c>
      <c r="J468" s="26">
        <f>Ft!G$3*EXP(Ft!G$38*($A468-Ft!G$2)^2)</f>
        <v>1.5891925352777231E-138</v>
      </c>
    </row>
    <row r="469" spans="1:10">
      <c r="A469" s="19">
        <v>467</v>
      </c>
      <c r="B469" s="28">
        <v>31.438113041835493</v>
      </c>
      <c r="C469" s="27">
        <f ca="1">OFFSET($B469,1*(ROWS(C$2:C469)-1),0)</f>
        <v>0</v>
      </c>
      <c r="D469" s="26">
        <f>Ft!B$3*EXP(Ft!B$38*($A469-Ft!B$2)^2) +Ft!C$3*EXP(Ft!C$38*($A469-Ft!C$2)^2) + Ft!D$3*EXP(Ft!D$38*($A469-Ft!D$2)^2)+Ft!E$3*EXP(Ft!E$38*($A469-Ft!E$2)^2) +Ft!F$3*EXP(Ft!F$38*($A469-Ft!F$2)^2) + Ft!G$3*EXP(Ft!G$38*($A469-Ft!G$2)^2)</f>
        <v>19.296469313564543</v>
      </c>
      <c r="E469" s="26">
        <f>Ft!B$3*EXP(Ft!B$38*($A469-Ft!B$2)^2)</f>
        <v>9.0638955431353358E-98</v>
      </c>
      <c r="F469" s="26">
        <f>Ft!C$3*EXP(Ft!C$38*($A469-Ft!C$2)^2)</f>
        <v>1.4358192235739181E-3</v>
      </c>
      <c r="G469" s="26">
        <f>Ft!D$3*EXP(Ft!D$38*($A469-Ft!D$2)^2)</f>
        <v>18.649234589113217</v>
      </c>
      <c r="H469" s="26">
        <f>Ft!E$3*EXP(Ft!E$38*($A469-Ft!E$2)^2)</f>
        <v>0.64579890522775263</v>
      </c>
      <c r="I469" s="26">
        <f>Ft!F$3*EXP(Ft!F$38*($A469-Ft!F$2)^2)</f>
        <v>2.4316564149706332E-33</v>
      </c>
      <c r="J469" s="26">
        <f>Ft!G$3*EXP(Ft!G$38*($A469-Ft!G$2)^2)</f>
        <v>4.7773502975329511E-138</v>
      </c>
    </row>
    <row r="470" spans="1:10">
      <c r="A470" s="19">
        <v>468</v>
      </c>
      <c r="B470" s="28">
        <v>31.209981851266406</v>
      </c>
      <c r="C470" s="27">
        <f ca="1">OFFSET($B470,1*(ROWS(C$2:C470)-1),0)</f>
        <v>0</v>
      </c>
      <c r="D470" s="26">
        <f>Ft!B$3*EXP(Ft!B$38*($A470-Ft!B$2)^2) +Ft!C$3*EXP(Ft!C$38*($A470-Ft!C$2)^2) + Ft!D$3*EXP(Ft!D$38*($A470-Ft!D$2)^2)+Ft!E$3*EXP(Ft!E$38*($A470-Ft!E$2)^2) +Ft!F$3*EXP(Ft!F$38*($A470-Ft!F$2)^2) + Ft!G$3*EXP(Ft!G$38*($A470-Ft!G$2)^2)</f>
        <v>19.299310620289436</v>
      </c>
      <c r="E470" s="26">
        <f>Ft!B$3*EXP(Ft!B$38*($A470-Ft!B$2)^2)</f>
        <v>3.1188484048088839E-98</v>
      </c>
      <c r="F470" s="26">
        <f>Ft!C$3*EXP(Ft!C$38*($A470-Ft!C$2)^2)</f>
        <v>1.3611582519445875E-3</v>
      </c>
      <c r="G470" s="26">
        <f>Ft!D$3*EXP(Ft!D$38*($A470-Ft!D$2)^2)</f>
        <v>18.640507111297108</v>
      </c>
      <c r="H470" s="26">
        <f>Ft!E$3*EXP(Ft!E$38*($A470-Ft!E$2)^2)</f>
        <v>0.65744235074038082</v>
      </c>
      <c r="I470" s="26">
        <f>Ft!F$3*EXP(Ft!F$38*($A470-Ft!F$2)^2)</f>
        <v>3.2399259493413712E-33</v>
      </c>
      <c r="J470" s="26">
        <f>Ft!G$3*EXP(Ft!G$38*($A470-Ft!G$2)^2)</f>
        <v>1.4334148206135917E-137</v>
      </c>
    </row>
    <row r="471" spans="1:10">
      <c r="A471" s="19">
        <v>469</v>
      </c>
      <c r="B471" s="28">
        <v>30.969096438613008</v>
      </c>
      <c r="C471" s="27">
        <f ca="1">OFFSET($B471,1*(ROWS(C$2:C471)-1),0)</f>
        <v>0</v>
      </c>
      <c r="D471" s="26">
        <f>Ft!B$3*EXP(Ft!B$38*($A471-Ft!B$2)^2) +Ft!C$3*EXP(Ft!C$38*($A471-Ft!C$2)^2) + Ft!D$3*EXP(Ft!D$38*($A471-Ft!D$2)^2)+Ft!E$3*EXP(Ft!E$38*($A471-Ft!E$2)^2) +Ft!F$3*EXP(Ft!F$38*($A471-Ft!F$2)^2) + Ft!G$3*EXP(Ft!G$38*($A471-Ft!G$2)^2)</f>
        <v>19.301666293234554</v>
      </c>
      <c r="E471" s="26">
        <f>Ft!B$3*EXP(Ft!B$38*($A471-Ft!B$2)^2)</f>
        <v>1.0704734741818339E-98</v>
      </c>
      <c r="F471" s="26">
        <f>Ft!C$3*EXP(Ft!C$38*($A471-Ft!C$2)^2)</f>
        <v>1.2901700626371452E-3</v>
      </c>
      <c r="G471" s="26">
        <f>Ft!D$3*EXP(Ft!D$38*($A471-Ft!D$2)^2)</f>
        <v>18.631114092340209</v>
      </c>
      <c r="H471" s="26">
        <f>Ft!E$3*EXP(Ft!E$38*($A471-Ft!E$2)^2)</f>
        <v>0.66926203083170532</v>
      </c>
      <c r="I471" s="26">
        <f>Ft!F$3*EXP(Ft!F$38*($A471-Ft!F$2)^2)</f>
        <v>4.3145377822478641E-33</v>
      </c>
      <c r="J471" s="26">
        <f>Ft!G$3*EXP(Ft!G$38*($A471-Ft!G$2)^2)</f>
        <v>4.2927038418105335E-137</v>
      </c>
    </row>
    <row r="472" spans="1:10">
      <c r="A472" s="19">
        <v>470</v>
      </c>
      <c r="B472" s="28">
        <v>30.705751763205797</v>
      </c>
      <c r="C472" s="27">
        <f ca="1">OFFSET($B472,1*(ROWS(C$2:C472)-1),0)</f>
        <v>0</v>
      </c>
      <c r="D472" s="26">
        <f>Ft!B$3*EXP(Ft!B$38*($A472-Ft!B$2)^2) +Ft!C$3*EXP(Ft!C$38*($A472-Ft!C$2)^2) + Ft!D$3*EXP(Ft!D$38*($A472-Ft!D$2)^2)+Ft!E$3*EXP(Ft!E$38*($A472-Ft!E$2)^2) +Ft!F$3*EXP(Ft!F$38*($A472-Ft!F$2)^2) + Ft!G$3*EXP(Ft!G$38*($A472-Ft!G$2)^2)</f>
        <v>19.303539141404883</v>
      </c>
      <c r="E472" s="26">
        <f>Ft!B$3*EXP(Ft!B$38*($A472-Ft!B$2)^2)</f>
        <v>3.6648805539565829E-99</v>
      </c>
      <c r="F472" s="26">
        <f>Ft!C$3*EXP(Ft!C$38*($A472-Ft!C$2)^2)</f>
        <v>1.2226855597615974E-3</v>
      </c>
      <c r="G472" s="26">
        <f>Ft!D$3*EXP(Ft!D$38*($A472-Ft!D$2)^2)</f>
        <v>18.621056542610326</v>
      </c>
      <c r="H472" s="26">
        <f>Ft!E$3*EXP(Ft!E$38*($A472-Ft!E$2)^2)</f>
        <v>0.68125991323479584</v>
      </c>
      <c r="I472" s="26">
        <f>Ft!F$3*EXP(Ft!F$38*($A472-Ft!F$2)^2)</f>
        <v>5.7424839124175195E-33</v>
      </c>
      <c r="J472" s="26">
        <f>Ft!G$3*EXP(Ft!G$38*($A472-Ft!G$2)^2)</f>
        <v>1.283110907044279E-136</v>
      </c>
    </row>
    <row r="473" spans="1:10">
      <c r="A473" s="19">
        <v>471</v>
      </c>
      <c r="B473" s="28">
        <v>30.455340905564583</v>
      </c>
      <c r="C473" s="27">
        <f ca="1">OFFSET($B473,1*(ROWS(C$2:C473)-1),0)</f>
        <v>0</v>
      </c>
      <c r="D473" s="26">
        <f>Ft!B$3*EXP(Ft!B$38*($A473-Ft!B$2)^2) +Ft!C$3*EXP(Ft!C$38*($A473-Ft!C$2)^2) + Ft!D$3*EXP(Ft!D$38*($A473-Ft!D$2)^2)+Ft!E$3*EXP(Ft!E$38*($A473-Ft!E$2)^2) +Ft!F$3*EXP(Ft!F$38*($A473-Ft!F$2)^2) + Ft!G$3*EXP(Ft!G$38*($A473-Ft!G$2)^2)</f>
        <v>19.304932060252419</v>
      </c>
      <c r="E473" s="26">
        <f>Ft!B$3*EXP(Ft!B$38*($A473-Ft!B$2)^2)</f>
        <v>1.2515436739567041E-99</v>
      </c>
      <c r="F473" s="26">
        <f>Ft!C$3*EXP(Ft!C$38*($A473-Ft!C$2)^2)</f>
        <v>1.1585428173418789E-3</v>
      </c>
      <c r="G473" s="26">
        <f>Ft!D$3*EXP(Ft!D$38*($A473-Ft!D$2)^2)</f>
        <v>18.610335543578682</v>
      </c>
      <c r="H473" s="26">
        <f>Ft!E$3*EXP(Ft!E$38*($A473-Ft!E$2)^2)</f>
        <v>0.6934379738563945</v>
      </c>
      <c r="I473" s="26">
        <f>Ft!F$3*EXP(Ft!F$38*($A473-Ft!F$2)^2)</f>
        <v>7.6389139256644138E-33</v>
      </c>
      <c r="J473" s="26">
        <f>Ft!G$3*EXP(Ft!G$38*($A473-Ft!G$2)^2)</f>
        <v>3.8279979749475643E-136</v>
      </c>
    </row>
    <row r="474" spans="1:10">
      <c r="A474" s="19">
        <v>472</v>
      </c>
      <c r="B474" s="28">
        <v>30.214520604384973</v>
      </c>
      <c r="C474" s="27">
        <f ca="1">OFFSET($B474,1*(ROWS(C$2:C474)-1),0)</f>
        <v>0</v>
      </c>
      <c r="D474" s="26">
        <f>Ft!B$3*EXP(Ft!B$38*($A474-Ft!B$2)^2) +Ft!C$3*EXP(Ft!C$38*($A474-Ft!C$2)^2) + Ft!D$3*EXP(Ft!D$38*($A474-Ft!D$2)^2)+Ft!E$3*EXP(Ft!E$38*($A474-Ft!E$2)^2) +Ft!F$3*EXP(Ft!F$38*($A474-Ft!F$2)^2) + Ft!G$3*EXP(Ft!G$38*($A474-Ft!G$2)^2)</f>
        <v>19.305848030954849</v>
      </c>
      <c r="E474" s="26">
        <f>Ft!B$3*EXP(Ft!B$38*($A474-Ft!B$2)^2)</f>
        <v>4.2631877993015871E-100</v>
      </c>
      <c r="F474" s="26">
        <f>Ft!C$3*EXP(Ft!C$38*($A474-Ft!C$2)^2)</f>
        <v>1.0975868066823169E-3</v>
      </c>
      <c r="G474" s="26">
        <f>Ft!D$3*EXP(Ft!D$38*($A474-Ft!D$2)^2)</f>
        <v>18.598952247626126</v>
      </c>
      <c r="H474" s="26">
        <f>Ft!E$3*EXP(Ft!E$38*($A474-Ft!E$2)^2)</f>
        <v>0.70579819652203946</v>
      </c>
      <c r="I474" s="26">
        <f>Ft!F$3*EXP(Ft!F$38*($A474-Ft!F$2)^2)</f>
        <v>1.0156165382839931E-32</v>
      </c>
      <c r="J474" s="26">
        <f>Ft!G$3*EXP(Ft!G$38*($A474-Ft!G$2)^2)</f>
        <v>1.1398650429741823E-135</v>
      </c>
    </row>
    <row r="475" spans="1:10">
      <c r="A475" s="19">
        <v>473</v>
      </c>
      <c r="B475" s="28">
        <v>29.979612671787663</v>
      </c>
      <c r="C475" s="27">
        <f ca="1">OFFSET($B475,1*(ROWS(C$2:C475)-1),0)</f>
        <v>0</v>
      </c>
      <c r="D475" s="26">
        <f>Ft!B$3*EXP(Ft!B$38*($A475-Ft!B$2)^2) +Ft!C$3*EXP(Ft!C$38*($A475-Ft!C$2)^2) + Ft!D$3*EXP(Ft!D$38*($A475-Ft!D$2)^2)+Ft!E$3*EXP(Ft!E$38*($A475-Ft!E$2)^2) +Ft!F$3*EXP(Ft!F$38*($A475-Ft!F$2)^2) + Ft!G$3*EXP(Ft!G$38*($A475-Ft!G$2)^2)</f>
        <v>19.306290119683862</v>
      </c>
      <c r="E475" s="26">
        <f>Ft!B$3*EXP(Ft!B$38*($A475-Ft!B$2)^2)</f>
        <v>1.4485223132617239E-100</v>
      </c>
      <c r="F475" s="26">
        <f>Ft!C$3*EXP(Ft!C$38*($A475-Ft!C$2)^2)</f>
        <v>1.0396691325638603E-3</v>
      </c>
      <c r="G475" s="26">
        <f>Ft!D$3*EXP(Ft!D$38*($A475-Ft!D$2)^2)</f>
        <v>18.586907877836687</v>
      </c>
      <c r="H475" s="26">
        <f>Ft!E$3*EXP(Ft!E$38*($A475-Ft!E$2)^2)</f>
        <v>0.71834257271461255</v>
      </c>
      <c r="I475" s="26">
        <f>Ft!F$3*EXP(Ft!F$38*($A475-Ft!F$2)^2)</f>
        <v>1.3495663177483167E-32</v>
      </c>
      <c r="J475" s="26">
        <f>Ft!G$3*EXP(Ft!G$38*($A475-Ft!G$2)^2)</f>
        <v>3.3877347876094125E-135</v>
      </c>
    </row>
    <row r="476" spans="1:10">
      <c r="A476" s="19">
        <v>474</v>
      </c>
      <c r="B476" s="28">
        <v>29.760220705111607</v>
      </c>
      <c r="C476" s="27">
        <f ca="1">OFFSET($B476,1*(ROWS(C$2:C476)-1),0)</f>
        <v>0</v>
      </c>
      <c r="D476" s="26">
        <f>Ft!B$3*EXP(Ft!B$38*($A476-Ft!B$2)^2) +Ft!C$3*EXP(Ft!C$38*($A476-Ft!C$2)^2) + Ft!D$3*EXP(Ft!D$38*($A476-Ft!D$2)^2)+Ft!E$3*EXP(Ft!E$38*($A476-Ft!E$2)^2) +Ft!F$3*EXP(Ft!F$38*($A476-Ft!F$2)^2) + Ft!G$3*EXP(Ft!G$38*($A476-Ft!G$2)^2)</f>
        <v>19.306261476862883</v>
      </c>
      <c r="E476" s="26">
        <f>Ft!B$3*EXP(Ft!B$38*($A476-Ft!B$2)^2)</f>
        <v>4.9092843207541841E-101</v>
      </c>
      <c r="F476" s="26">
        <f>Ft!C$3*EXP(Ft!C$38*($A476-Ft!C$2)^2)</f>
        <v>9.8464777805706144E-4</v>
      </c>
      <c r="G476" s="26">
        <f>Ft!D$3*EXP(Ft!D$38*($A476-Ft!D$2)^2)</f>
        <v>18.574203727778549</v>
      </c>
      <c r="H476" s="26">
        <f>Ft!E$3*EXP(Ft!E$38*($A476-Ft!E$2)^2)</f>
        <v>0.73107310130627645</v>
      </c>
      <c r="I476" s="26">
        <f>Ft!F$3*EXP(Ft!F$38*($A476-Ft!F$2)^2)</f>
        <v>1.7923590604534092E-32</v>
      </c>
      <c r="J476" s="26">
        <f>Ft!G$3*EXP(Ft!G$38*($A476-Ft!G$2)^2)</f>
        <v>1.0049387796279548E-134</v>
      </c>
    </row>
    <row r="477" spans="1:10">
      <c r="A477" s="19">
        <v>475</v>
      </c>
      <c r="B477" s="28">
        <v>29.5375809242679</v>
      </c>
      <c r="C477" s="27">
        <f ca="1">OFFSET($B477,1*(ROWS(C$2:C477)-1),0)</f>
        <v>0</v>
      </c>
      <c r="D477" s="26">
        <f>Ft!B$3*EXP(Ft!B$38*($A477-Ft!B$2)^2) +Ft!C$3*EXP(Ft!C$38*($A477-Ft!C$2)^2) + Ft!D$3*EXP(Ft!D$38*($A477-Ft!D$2)^2)+Ft!E$3*EXP(Ft!E$38*($A477-Ft!E$2)^2) +Ft!F$3*EXP(Ft!F$38*($A477-Ft!F$2)^2) + Ft!G$3*EXP(Ft!G$38*($A477-Ft!G$2)^2)</f>
        <v>19.305765336414009</v>
      </c>
      <c r="E477" s="26">
        <f>Ft!B$3*EXP(Ft!B$38*($A477-Ft!B$2)^2)</f>
        <v>1.6596383075815908E-101</v>
      </c>
      <c r="F477" s="26">
        <f>Ft!C$3*EXP(Ft!C$38*($A477-Ft!C$2)^2)</f>
        <v>9.323868577404454E-4</v>
      </c>
      <c r="G477" s="26">
        <f>Ft!D$3*EXP(Ft!D$38*($A477-Ft!D$2)^2)</f>
        <v>18.560841161272503</v>
      </c>
      <c r="H477" s="26">
        <f>Ft!E$3*EXP(Ft!E$38*($A477-Ft!E$2)^2)</f>
        <v>0.74399178828376467</v>
      </c>
      <c r="I477" s="26">
        <f>Ft!F$3*EXP(Ft!F$38*($A477-Ft!F$2)^2)</f>
        <v>2.3791516151162145E-32</v>
      </c>
      <c r="J477" s="26">
        <f>Ft!G$3*EXP(Ft!G$38*($A477-Ft!G$2)^2)</f>
        <v>2.9753909681244277E-134</v>
      </c>
    </row>
    <row r="478" spans="1:10">
      <c r="A478" s="19">
        <v>476</v>
      </c>
      <c r="B478" s="28">
        <v>29.313176042282464</v>
      </c>
      <c r="C478" s="27">
        <f ca="1">OFFSET($B478,1*(ROWS(C$2:C478)-1),0)</f>
        <v>0</v>
      </c>
      <c r="D478" s="26">
        <f>Ft!B$3*EXP(Ft!B$38*($A478-Ft!B$2)^2) +Ft!C$3*EXP(Ft!C$38*($A478-Ft!C$2)^2) + Ft!D$3*EXP(Ft!D$38*($A478-Ft!D$2)^2)+Ft!E$3*EXP(Ft!E$38*($A478-Ft!E$2)^2) +Ft!F$3*EXP(Ft!F$38*($A478-Ft!F$2)^2) + Ft!G$3*EXP(Ft!G$38*($A478-Ft!G$2)^2)</f>
        <v>19.304805014994056</v>
      </c>
      <c r="E478" s="26">
        <f>Ft!B$3*EXP(Ft!B$38*($A478-Ft!B$2)^2)</f>
        <v>5.5964288467822169E-102</v>
      </c>
      <c r="F478" s="26">
        <f>Ft!C$3*EXP(Ft!C$38*($A478-Ft!C$2)^2)</f>
        <v>8.8275637911474681E-4</v>
      </c>
      <c r="G478" s="26">
        <f>Ft!D$3*EXP(Ft!D$38*($A478-Ft!D$2)^2)</f>
        <v>18.546821612147948</v>
      </c>
      <c r="H478" s="26">
        <f>Ft!E$3*EXP(Ft!E$38*($A478-Ft!E$2)^2)</f>
        <v>0.75710064646699082</v>
      </c>
      <c r="I478" s="26">
        <f>Ft!F$3*EXP(Ft!F$38*($A478-Ft!F$2)^2)</f>
        <v>3.1563528047301596E-32</v>
      </c>
      <c r="J478" s="26">
        <f>Ft!G$3*EXP(Ft!G$38*($A478-Ft!G$2)^2)</f>
        <v>8.7927091629770778E-134</v>
      </c>
    </row>
    <row r="479" spans="1:10">
      <c r="A479" s="19">
        <v>477</v>
      </c>
      <c r="B479" s="28">
        <v>29.077566771031883</v>
      </c>
      <c r="C479" s="27">
        <f ca="1">OFFSET($B479,1*(ROWS(C$2:C479)-1),0)</f>
        <v>0</v>
      </c>
      <c r="D479" s="26">
        <f>Ft!B$3*EXP(Ft!B$38*($A479-Ft!B$2)^2) +Ft!C$3*EXP(Ft!C$38*($A479-Ft!C$2)^2) + Ft!D$3*EXP(Ft!D$38*($A479-Ft!D$2)^2)+Ft!E$3*EXP(Ft!E$38*($A479-Ft!E$2)^2) +Ft!F$3*EXP(Ft!F$38*($A479-Ft!F$2)^2) + Ft!G$3*EXP(Ft!G$38*($A479-Ft!G$2)^2)</f>
        <v>19.303383911219409</v>
      </c>
      <c r="E479" s="26">
        <f>Ft!B$3*EXP(Ft!B$38*($A479-Ft!B$2)^2)</f>
        <v>1.8823951387506519E-102</v>
      </c>
      <c r="F479" s="26">
        <f>Ft!C$3*EXP(Ft!C$38*($A479-Ft!C$2)^2)</f>
        <v>8.3563201200549826E-4</v>
      </c>
      <c r="G479" s="26">
        <f>Ft!D$3*EXP(Ft!D$38*($A479-Ft!D$2)^2)</f>
        <v>18.532146583986464</v>
      </c>
      <c r="H479" s="26">
        <f>Ft!E$3*EXP(Ft!E$38*($A479-Ft!E$2)^2)</f>
        <v>0.7704016952209396</v>
      </c>
      <c r="I479" s="26">
        <f>Ft!F$3*EXP(Ft!F$38*($A479-Ft!F$2)^2)</f>
        <v>4.1851909881847157E-32</v>
      </c>
      <c r="J479" s="26">
        <f>Ft!G$3*EXP(Ft!G$38*($A479-Ft!G$2)^2)</f>
        <v>2.593436441958429E-133</v>
      </c>
    </row>
    <row r="480" spans="1:10">
      <c r="A480" s="19">
        <v>478</v>
      </c>
      <c r="B480" s="28">
        <v>28.836474228874977</v>
      </c>
      <c r="C480" s="27">
        <f ca="1">OFFSET($B480,1*(ROWS(C$2:C480)-1),0)</f>
        <v>0</v>
      </c>
      <c r="D480" s="26">
        <f>Ft!B$3*EXP(Ft!B$38*($A480-Ft!B$2)^2) +Ft!C$3*EXP(Ft!C$38*($A480-Ft!C$2)^2) + Ft!D$3*EXP(Ft!D$38*($A480-Ft!D$2)^2)+Ft!E$3*EXP(Ft!E$38*($A480-Ft!E$2)^2) +Ft!F$3*EXP(Ft!F$38*($A480-Ft!F$2)^2) + Ft!G$3*EXP(Ft!G$38*($A480-Ft!G$2)^2)</f>
        <v>19.301505504879625</v>
      </c>
      <c r="E480" s="26">
        <f>Ft!B$3*EXP(Ft!B$38*($A480-Ft!B$2)^2)</f>
        <v>6.3155745933163306E-103</v>
      </c>
      <c r="F480" s="26">
        <f>Ft!C$3*EXP(Ft!C$38*($A480-Ft!C$2)^2)</f>
        <v>7.9089486574862101E-4</v>
      </c>
      <c r="G480" s="26">
        <f>Ft!D$3*EXP(Ft!D$38*($A480-Ft!D$2)^2)</f>
        <v>18.51681764985306</v>
      </c>
      <c r="H480" s="26">
        <f>Ft!E$3*EXP(Ft!E$38*($A480-Ft!E$2)^2)</f>
        <v>0.783896960160817</v>
      </c>
      <c r="I480" s="26">
        <f>Ft!F$3*EXP(Ft!F$38*($A480-Ft!F$2)^2)</f>
        <v>5.5464019585725808E-32</v>
      </c>
      <c r="J480" s="26">
        <f>Ft!G$3*EXP(Ft!G$38*($A480-Ft!G$2)^2)</f>
        <v>7.6348892736773279E-133</v>
      </c>
    </row>
    <row r="481" spans="1:10">
      <c r="A481" s="19">
        <v>479</v>
      </c>
      <c r="B481" s="28">
        <v>28.613358477937624</v>
      </c>
      <c r="C481" s="27">
        <f ca="1">OFFSET($B481,1*(ROWS(C$2:C481)-1),0)</f>
        <v>0</v>
      </c>
      <c r="D481" s="26">
        <f>Ft!B$3*EXP(Ft!B$38*($A481-Ft!B$2)^2) +Ft!C$3*EXP(Ft!C$38*($A481-Ft!C$2)^2) + Ft!D$3*EXP(Ft!D$38*($A481-Ft!D$2)^2)+Ft!E$3*EXP(Ft!E$38*($A481-Ft!E$2)^2) +Ft!F$3*EXP(Ft!F$38*($A481-Ft!F$2)^2) + Ft!G$3*EXP(Ft!G$38*($A481-Ft!G$2)^2)</f>
        <v>19.299173356139523</v>
      </c>
      <c r="E481" s="26">
        <f>Ft!B$3*EXP(Ft!B$38*($A481-Ft!B$2)^2)</f>
        <v>2.1135728207360932E-103</v>
      </c>
      <c r="F481" s="26">
        <f>Ft!C$3*EXP(Ft!C$38*($A481-Ft!C$2)^2)</f>
        <v>7.4843127395595301E-4</v>
      </c>
      <c r="G481" s="26">
        <f>Ft!D$3*EXP(Ft!D$38*($A481-Ft!D$2)^2)</f>
        <v>18.500836452015143</v>
      </c>
      <c r="H481" s="26">
        <f>Ft!E$3*EXP(Ft!E$38*($A481-Ft!E$2)^2)</f>
        <v>0.797588472850424</v>
      </c>
      <c r="I481" s="26">
        <f>Ft!F$3*EXP(Ft!F$38*($A481-Ft!F$2)^2)</f>
        <v>7.3463855680812381E-32</v>
      </c>
      <c r="J481" s="26">
        <f>Ft!G$3*EXP(Ft!G$38*($A481-Ft!G$2)^2)</f>
        <v>2.2433865406179168E-132</v>
      </c>
    </row>
    <row r="482" spans="1:10">
      <c r="A482" s="19">
        <v>480</v>
      </c>
      <c r="B482" s="28">
        <v>28.39318765417832</v>
      </c>
      <c r="C482" s="27">
        <f ca="1">OFFSET($B482,1*(ROWS(C$2:C482)-1),0)</f>
        <v>0</v>
      </c>
      <c r="D482" s="26">
        <f>Ft!B$3*EXP(Ft!B$38*($A482-Ft!B$2)^2) +Ft!C$3*EXP(Ft!C$38*($A482-Ft!C$2)^2) + Ft!D$3*EXP(Ft!D$38*($A482-Ft!D$2)^2)+Ft!E$3*EXP(Ft!E$38*($A482-Ft!E$2)^2) +Ft!F$3*EXP(Ft!F$38*($A482-Ft!F$2)^2) + Ft!G$3*EXP(Ft!G$38*($A482-Ft!G$2)^2)</f>
        <v>19.296391104729675</v>
      </c>
      <c r="E482" s="26">
        <f>Ft!B$3*EXP(Ft!B$38*($A482-Ft!B$2)^2)</f>
        <v>7.0554356041567338E-104</v>
      </c>
      <c r="F482" s="26">
        <f>Ft!C$3*EXP(Ft!C$38*($A482-Ft!C$2)^2)</f>
        <v>7.081325866601407E-4</v>
      </c>
      <c r="G482" s="26">
        <f>Ft!D$3*EXP(Ft!D$38*($A482-Ft!D$2)^2)</f>
        <v>18.48420470164929</v>
      </c>
      <c r="H482" s="26">
        <f>Ft!E$3*EXP(Ft!E$38*($A482-Ft!E$2)^2)</f>
        <v>0.81147827049372678</v>
      </c>
      <c r="I482" s="26">
        <f>Ft!F$3*EXP(Ft!F$38*($A482-Ft!F$2)^2)</f>
        <v>9.725286725689205E-32</v>
      </c>
      <c r="J482" s="26">
        <f>Ft!G$3*EXP(Ft!G$38*($A482-Ft!G$2)^2)</f>
        <v>6.5793003080714272E-132</v>
      </c>
    </row>
    <row r="483" spans="1:10">
      <c r="A483" s="19">
        <v>481</v>
      </c>
      <c r="B483" s="28">
        <v>28.143618296872773</v>
      </c>
      <c r="C483" s="27">
        <f ca="1">OFFSET($B483,1*(ROWS(C$2:C483)-1),0)</f>
        <v>0</v>
      </c>
      <c r="D483" s="26">
        <f>Ft!B$3*EXP(Ft!B$38*($A483-Ft!B$2)^2) +Ft!C$3*EXP(Ft!C$38*($A483-Ft!C$2)^2) + Ft!D$3*EXP(Ft!D$38*($A483-Ft!D$2)^2)+Ft!E$3*EXP(Ft!E$38*($A483-Ft!E$2)^2) +Ft!F$3*EXP(Ft!F$38*($A483-Ft!F$2)^2) + Ft!G$3*EXP(Ft!G$38*($A483-Ft!G$2)^2)</f>
        <v>19.293162469125129</v>
      </c>
      <c r="E483" s="26">
        <f>Ft!B$3*EXP(Ft!B$38*($A483-Ft!B$2)^2)</f>
        <v>2.3492688455551837E-104</v>
      </c>
      <c r="F483" s="26">
        <f>Ft!C$3*EXP(Ft!C$38*($A483-Ft!C$2)^2)</f>
        <v>6.6989496964081293E-4</v>
      </c>
      <c r="G483" s="26">
        <f>Ft!D$3*EXP(Ft!D$38*($A483-Ft!D$2)^2)</f>
        <v>18.466924178535884</v>
      </c>
      <c r="H483" s="26">
        <f>Ft!E$3*EXP(Ft!E$38*($A483-Ft!E$2)^2)</f>
        <v>0.82556839561960416</v>
      </c>
      <c r="I483" s="26">
        <f>Ft!F$3*EXP(Ft!F$38*($A483-Ft!F$2)^2)</f>
        <v>1.2867596352715005E-31</v>
      </c>
      <c r="J483" s="26">
        <f>Ft!G$3*EXP(Ft!G$38*($A483-Ft!G$2)^2)</f>
        <v>1.9258814185075972E-131</v>
      </c>
    </row>
    <row r="484" spans="1:10">
      <c r="A484" s="19">
        <v>482</v>
      </c>
      <c r="B484" s="28">
        <v>27.909408362453973</v>
      </c>
      <c r="C484" s="27">
        <f ca="1">OFFSET($B484,1*(ROWS(C$2:C484)-1),0)</f>
        <v>0</v>
      </c>
      <c r="D484" s="26">
        <f>Ft!B$3*EXP(Ft!B$38*($A484-Ft!B$2)^2) +Ft!C$3*EXP(Ft!C$38*($A484-Ft!C$2)^2) + Ft!D$3*EXP(Ft!D$38*($A484-Ft!D$2)^2)+Ft!E$3*EXP(Ft!E$38*($A484-Ft!E$2)^2) +Ft!F$3*EXP(Ft!F$38*($A484-Ft!F$2)^2) + Ft!G$3*EXP(Ft!G$38*($A484-Ft!G$2)^2)</f>
        <v>19.289491245712167</v>
      </c>
      <c r="E484" s="26">
        <f>Ft!B$3*EXP(Ft!B$38*($A484-Ft!B$2)^2)</f>
        <v>7.8026814460226904E-105</v>
      </c>
      <c r="F484" s="26">
        <f>Ft!C$3*EXP(Ft!C$38*($A484-Ft!C$2)^2)</f>
        <v>6.3361921073670432E-4</v>
      </c>
      <c r="G484" s="26">
        <f>Ft!D$3*EXP(Ft!D$38*($A484-Ft!D$2)^2)</f>
        <v>18.448996730741687</v>
      </c>
      <c r="H484" s="26">
        <f>Ft!E$3*EXP(Ft!E$38*($A484-Ft!E$2)^2)</f>
        <v>0.83986089575974232</v>
      </c>
      <c r="I484" s="26">
        <f>Ft!F$3*EXP(Ft!F$38*($A484-Ft!F$2)^2)</f>
        <v>1.7016050357041781E-31</v>
      </c>
      <c r="J484" s="26">
        <f>Ft!G$3*EXP(Ft!G$38*($A484-Ft!G$2)^2)</f>
        <v>5.6266980390721124E-131</v>
      </c>
    </row>
    <row r="485" spans="1:10">
      <c r="A485" s="19">
        <v>483</v>
      </c>
      <c r="B485" s="28">
        <v>27.667745373429455</v>
      </c>
      <c r="C485" s="27">
        <f ca="1">OFFSET($B485,1*(ROWS(C$2:C485)-1),0)</f>
        <v>0</v>
      </c>
      <c r="D485" s="26">
        <f>Ft!B$3*EXP(Ft!B$38*($A485-Ft!B$2)^2) +Ft!C$3*EXP(Ft!C$38*($A485-Ft!C$2)^2) + Ft!D$3*EXP(Ft!D$38*($A485-Ft!D$2)^2)+Ft!E$3*EXP(Ft!E$38*($A485-Ft!E$2)^2) +Ft!F$3*EXP(Ft!F$38*($A485-Ft!F$2)^2) + Ft!G$3*EXP(Ft!G$38*($A485-Ft!G$2)^2)</f>
        <v>19.285381307943076</v>
      </c>
      <c r="E485" s="26">
        <f>Ft!B$3*EXP(Ft!B$38*($A485-Ft!B$2)^2)</f>
        <v>2.5849806956788657E-105</v>
      </c>
      <c r="F485" s="26">
        <f>Ft!C$3*EXP(Ft!C$38*($A485-Ft!C$2)^2)</f>
        <v>5.992105329511296E-4</v>
      </c>
      <c r="G485" s="26">
        <f>Ft!D$3*EXP(Ft!D$38*($A485-Ft!D$2)^2)</f>
        <v>18.430424274290466</v>
      </c>
      <c r="H485" s="26">
        <f>Ft!E$3*EXP(Ft!E$38*($A485-Ft!E$2)^2)</f>
        <v>0.85435782311965958</v>
      </c>
      <c r="I485" s="26">
        <f>Ft!F$3*EXP(Ft!F$38*($A485-Ft!F$2)^2)</f>
        <v>2.2489842493351619E-31</v>
      </c>
      <c r="J485" s="26">
        <f>Ft!G$3*EXP(Ft!G$38*($A485-Ft!G$2)^2)</f>
        <v>1.6407858729999985E-130</v>
      </c>
    </row>
    <row r="486" spans="1:10">
      <c r="A486" s="19">
        <v>484</v>
      </c>
      <c r="B486" s="28">
        <v>27.441482310751269</v>
      </c>
      <c r="C486" s="27">
        <f ca="1">OFFSET($B486,1*(ROWS(C$2:C486)-1),0)</f>
        <v>0</v>
      </c>
      <c r="D486" s="26">
        <f>Ft!B$3*EXP(Ft!B$38*($A486-Ft!B$2)^2) +Ft!C$3*EXP(Ft!C$38*($A486-Ft!C$2)^2) + Ft!D$3*EXP(Ft!D$38*($A486-Ft!D$2)^2)+Ft!E$3*EXP(Ft!E$38*($A486-Ft!E$2)^2) +Ft!F$3*EXP(Ft!F$38*($A486-Ft!F$2)^2) + Ft!G$3*EXP(Ft!G$38*($A486-Ft!G$2)^2)</f>
        <v>19.280836605478715</v>
      </c>
      <c r="E486" s="26">
        <f>Ft!B$3*EXP(Ft!B$38*($A486-Ft!B$2)^2)</f>
        <v>8.5422642495287162E-106</v>
      </c>
      <c r="F486" s="26">
        <f>Ft!C$3*EXP(Ft!C$38*($A486-Ft!C$2)^2)</f>
        <v>5.6657841416108995E-4</v>
      </c>
      <c r="G486" s="26">
        <f>Ft!D$3*EXP(Ft!D$38*($A486-Ft!D$2)^2)</f>
        <v>18.411208792821711</v>
      </c>
      <c r="H486" s="26">
        <f>Ft!E$3*EXP(Ft!E$38*($A486-Ft!E$2)^2)</f>
        <v>0.86906123424284076</v>
      </c>
      <c r="I486" s="26">
        <f>Ft!F$3*EXP(Ft!F$38*($A486-Ft!F$2)^2)</f>
        <v>2.970847671419398E-31</v>
      </c>
      <c r="J486" s="26">
        <f>Ft!G$3*EXP(Ft!G$38*($A486-Ft!G$2)^2)</f>
        <v>4.7755614777091375E-130</v>
      </c>
    </row>
    <row r="487" spans="1:10">
      <c r="A487" s="19">
        <v>485</v>
      </c>
      <c r="B487" s="28">
        <v>27.22226342683922</v>
      </c>
      <c r="C487" s="27">
        <f ca="1">OFFSET($B487,1*(ROWS(C$2:C487)-1),0)</f>
        <v>0</v>
      </c>
      <c r="D487" s="26">
        <f>Ft!B$3*EXP(Ft!B$38*($A487-Ft!B$2)^2) +Ft!C$3*EXP(Ft!C$38*($A487-Ft!C$2)^2) + Ft!D$3*EXP(Ft!D$38*($A487-Ft!D$2)^2)+Ft!E$3*EXP(Ft!E$38*($A487-Ft!E$2)^2) +Ft!F$3*EXP(Ft!F$38*($A487-Ft!F$2)^2) + Ft!G$3*EXP(Ft!G$38*($A487-Ft!G$2)^2)</f>
        <v>19.27586116331873</v>
      </c>
      <c r="E487" s="26">
        <f>Ft!B$3*EXP(Ft!B$38*($A487-Ft!B$2)^2)</f>
        <v>2.8157297527946118E-106</v>
      </c>
      <c r="F487" s="26">
        <f>Ft!C$3*EXP(Ft!C$38*($A487-Ft!C$2)^2)</f>
        <v>5.3563641324327221E-4</v>
      </c>
      <c r="G487" s="26">
        <f>Ft!D$3*EXP(Ft!D$38*($A487-Ft!D$2)^2)</f>
        <v>18.391352337237524</v>
      </c>
      <c r="H487" s="26">
        <f>Ft!E$3*EXP(Ft!E$38*($A487-Ft!E$2)^2)</f>
        <v>0.88397318966796412</v>
      </c>
      <c r="I487" s="26">
        <f>Ft!F$3*EXP(Ft!F$38*($A487-Ft!F$2)^2)</f>
        <v>3.9222987811824725E-31</v>
      </c>
      <c r="J487" s="26">
        <f>Ft!G$3*EXP(Ft!G$38*($A487-Ft!G$2)^2)</f>
        <v>1.3873026167785398E-129</v>
      </c>
    </row>
    <row r="488" spans="1:10">
      <c r="A488" s="19">
        <v>486</v>
      </c>
      <c r="B488" s="28">
        <v>27.011308933925108</v>
      </c>
      <c r="C488" s="27">
        <f ca="1">OFFSET($B488,1*(ROWS(C$2:C488)-1),0)</f>
        <v>0</v>
      </c>
      <c r="D488" s="26">
        <f>Ft!B$3*EXP(Ft!B$38*($A488-Ft!B$2)^2) +Ft!C$3*EXP(Ft!C$38*($A488-Ft!C$2)^2) + Ft!D$3*EXP(Ft!D$38*($A488-Ft!D$2)^2)+Ft!E$3*EXP(Ft!E$38*($A488-Ft!E$2)^2) +Ft!F$3*EXP(Ft!F$38*($A488-Ft!F$2)^2) + Ft!G$3*EXP(Ft!G$38*($A488-Ft!G$2)^2)</f>
        <v>19.27045908091948</v>
      </c>
      <c r="E488" s="26">
        <f>Ft!B$3*EXP(Ft!B$38*($A488-Ft!B$2)^2)</f>
        <v>9.2578727715672786E-107</v>
      </c>
      <c r="F488" s="26">
        <f>Ft!C$3*EXP(Ft!C$38*($A488-Ft!C$2)^2)</f>
        <v>5.0630200243321458E-4</v>
      </c>
      <c r="G488" s="26">
        <f>Ft!D$3*EXP(Ft!D$38*($A488-Ft!D$2)^2)</f>
        <v>18.370857025337841</v>
      </c>
      <c r="H488" s="26">
        <f>Ft!E$3*EXP(Ft!E$38*($A488-Ft!E$2)^2)</f>
        <v>0.89909575357920701</v>
      </c>
      <c r="I488" s="26">
        <f>Ft!F$3*EXP(Ft!F$38*($A488-Ft!F$2)^2)</f>
        <v>5.1756783702156444E-31</v>
      </c>
      <c r="J488" s="26">
        <f>Ft!G$3*EXP(Ft!G$38*($A488-Ft!G$2)^2)</f>
        <v>4.0224643492134703E-129</v>
      </c>
    </row>
    <row r="489" spans="1:10">
      <c r="A489" s="19">
        <v>487</v>
      </c>
      <c r="B489" s="28">
        <v>26.783011835798305</v>
      </c>
      <c r="C489" s="27">
        <f ca="1">OFFSET($B489,1*(ROWS(C$2:C489)-1),0)</f>
        <v>0</v>
      </c>
      <c r="D489" s="26">
        <f>Ft!B$3*EXP(Ft!B$38*($A489-Ft!B$2)^2) +Ft!C$3*EXP(Ft!C$38*($A489-Ft!C$2)^2) + Ft!D$3*EXP(Ft!D$38*($A489-Ft!D$2)^2)+Ft!E$3*EXP(Ft!E$38*($A489-Ft!E$2)^2) +Ft!F$3*EXP(Ft!F$38*($A489-Ft!F$2)^2) + Ft!G$3*EXP(Ft!G$38*($A489-Ft!G$2)^2)</f>
        <v>19.264634531299325</v>
      </c>
      <c r="E489" s="26">
        <f>Ft!B$3*EXP(Ft!B$38*($A489-Ft!B$2)^2)</f>
        <v>3.0362233545882626E-107</v>
      </c>
      <c r="F489" s="26">
        <f>Ft!C$3*EXP(Ft!C$38*($A489-Ft!C$2)^2)</f>
        <v>4.7849640573701562E-4</v>
      </c>
      <c r="G489" s="26">
        <f>Ft!D$3*EXP(Ft!D$38*($A489-Ft!D$2)^2)</f>
        <v>18.349725041443971</v>
      </c>
      <c r="H489" s="26">
        <f>Ft!E$3*EXP(Ft!E$38*($A489-Ft!E$2)^2)</f>
        <v>0.91443099344961642</v>
      </c>
      <c r="I489" s="26">
        <f>Ft!F$3*EXP(Ft!F$38*($A489-Ft!F$2)^2)</f>
        <v>6.8259044745876599E-31</v>
      </c>
      <c r="J489" s="26">
        <f>Ft!G$3*EXP(Ft!G$38*($A489-Ft!G$2)^2)</f>
        <v>1.1640923492072671E-128</v>
      </c>
    </row>
    <row r="490" spans="1:10">
      <c r="A490" s="19">
        <v>488</v>
      </c>
      <c r="B490" s="28">
        <v>26.559207367792681</v>
      </c>
      <c r="C490" s="27">
        <f ca="1">OFFSET($B490,1*(ROWS(C$2:C490)-1),0)</f>
        <v>0</v>
      </c>
      <c r="D490" s="26">
        <f>Ft!B$3*EXP(Ft!B$38*($A490-Ft!B$2)^2) +Ft!C$3*EXP(Ft!C$38*($A490-Ft!C$2)^2) + Ft!D$3*EXP(Ft!D$38*($A490-Ft!D$2)^2)+Ft!E$3*EXP(Ft!E$38*($A490-Ft!E$2)^2) +Ft!F$3*EXP(Ft!F$38*($A490-Ft!F$2)^2) + Ft!G$3*EXP(Ft!G$38*($A490-Ft!G$2)^2)</f>
        <v>19.258391760131403</v>
      </c>
      <c r="E490" s="26">
        <f>Ft!B$3*EXP(Ft!B$38*($A490-Ft!B$2)^2)</f>
        <v>9.9324982039695226E-108</v>
      </c>
      <c r="F490" s="26">
        <f>Ft!C$3*EXP(Ft!C$38*($A490-Ft!C$2)^2)</f>
        <v>4.5214444321814564E-4</v>
      </c>
      <c r="G490" s="26">
        <f>Ft!D$3*EXP(Ft!D$38*($A490-Ft!D$2)^2)</f>
        <v>18.327958636010649</v>
      </c>
      <c r="H490" s="26">
        <f>Ft!E$3*EXP(Ft!E$38*($A490-Ft!E$2)^2)</f>
        <v>0.92998097967753568</v>
      </c>
      <c r="I490" s="26">
        <f>Ft!F$3*EXP(Ft!F$38*($A490-Ft!F$2)^2)</f>
        <v>8.9974501815628115E-31</v>
      </c>
      <c r="J490" s="26">
        <f>Ft!G$3*EXP(Ft!G$38*($A490-Ft!G$2)^2)</f>
        <v>3.362458239026772E-128</v>
      </c>
    </row>
    <row r="491" spans="1:10">
      <c r="A491" s="19">
        <v>489</v>
      </c>
      <c r="B491" s="28">
        <v>26.342338108256939</v>
      </c>
      <c r="C491" s="27">
        <f ca="1">OFFSET($B491,1*(ROWS(C$2:C491)-1),0)</f>
        <v>0</v>
      </c>
      <c r="D491" s="26">
        <f>Ft!B$3*EXP(Ft!B$38*($A491-Ft!B$2)^2) +Ft!C$3*EXP(Ft!C$38*($A491-Ft!C$2)^2) + Ft!D$3*EXP(Ft!D$38*($A491-Ft!D$2)^2)+Ft!E$3*EXP(Ft!E$38*($A491-Ft!E$2)^2) +Ft!F$3*EXP(Ft!F$38*($A491-Ft!F$2)^2) + Ft!G$3*EXP(Ft!G$38*($A491-Ft!G$2)^2)</f>
        <v>19.251735084823665</v>
      </c>
      <c r="E491" s="26">
        <f>Ft!B$3*EXP(Ft!B$38*($A491-Ft!B$2)^2)</f>
        <v>3.2410486052506705E-108</v>
      </c>
      <c r="F491" s="26">
        <f>Ft!C$3*EXP(Ft!C$38*($A491-Ft!C$2)^2)</f>
        <v>4.2717438098509314E-4</v>
      </c>
      <c r="G491" s="26">
        <f>Ft!D$3*EXP(Ft!D$38*($A491-Ft!D$2)^2)</f>
        <v>18.305560125226602</v>
      </c>
      <c r="H491" s="26">
        <f>Ft!E$3*EXP(Ft!E$38*($A491-Ft!E$2)^2)</f>
        <v>0.94574778521607672</v>
      </c>
      <c r="I491" s="26">
        <f>Ft!F$3*EXP(Ft!F$38*($A491-Ft!F$2)^2)</f>
        <v>1.1853456592085213E-30</v>
      </c>
      <c r="J491" s="26">
        <f>Ft!G$3*EXP(Ft!G$38*($A491-Ft!G$2)^2)</f>
        <v>9.6939460081482823E-128</v>
      </c>
    </row>
    <row r="492" spans="1:10">
      <c r="A492" s="19">
        <v>490</v>
      </c>
      <c r="B492" s="28">
        <v>26.137393392759435</v>
      </c>
      <c r="C492" s="27">
        <f ca="1">OFFSET($B492,1*(ROWS(C$2:C492)-1),0)</f>
        <v>0</v>
      </c>
      <c r="D492" s="26">
        <f>Ft!B$3*EXP(Ft!B$38*($A492-Ft!B$2)^2) +Ft!C$3*EXP(Ft!C$38*($A492-Ft!C$2)^2) + Ft!D$3*EXP(Ft!D$38*($A492-Ft!D$2)^2)+Ft!E$3*EXP(Ft!E$38*($A492-Ft!E$2)^2) +Ft!F$3*EXP(Ft!F$38*($A492-Ft!F$2)^2) + Ft!G$3*EXP(Ft!G$38*($A492-Ft!G$2)^2)</f>
        <v>19.244668893586166</v>
      </c>
      <c r="E492" s="26">
        <f>Ft!B$3*EXP(Ft!B$38*($A492-Ft!B$2)^2)</f>
        <v>1.0549086737276106E-108</v>
      </c>
      <c r="F492" s="26">
        <f>Ft!C$3*EXP(Ft!C$38*($A492-Ft!C$2)^2)</f>
        <v>4.0351778670887263E-4</v>
      </c>
      <c r="G492" s="26">
        <f>Ft!D$3*EXP(Ft!D$38*($A492-Ft!D$2)^2)</f>
        <v>18.282531890603824</v>
      </c>
      <c r="H492" s="26">
        <f>Ft!E$3*EXP(Ft!E$38*($A492-Ft!E$2)^2)</f>
        <v>0.96173348519563528</v>
      </c>
      <c r="I492" s="26">
        <f>Ft!F$3*EXP(Ft!F$38*($A492-Ft!F$2)^2)</f>
        <v>1.5607627634305082E-30</v>
      </c>
      <c r="J492" s="26">
        <f>Ft!G$3*EXP(Ft!G$38*($A492-Ft!G$2)^2)</f>
        <v>2.789449650974823E-127</v>
      </c>
    </row>
    <row r="493" spans="1:10">
      <c r="A493" s="19">
        <v>491</v>
      </c>
      <c r="B493" s="28">
        <v>25.937864119667552</v>
      </c>
      <c r="C493" s="27">
        <f ca="1">OFFSET($B493,1*(ROWS(C$2:C493)-1),0)</f>
        <v>0</v>
      </c>
      <c r="D493" s="26">
        <f>Ft!B$3*EXP(Ft!B$38*($A493-Ft!B$2)^2) +Ft!C$3*EXP(Ft!C$38*($A493-Ft!C$2)^2) + Ft!D$3*EXP(Ft!D$38*($A493-Ft!D$2)^2)+Ft!E$3*EXP(Ft!E$38*($A493-Ft!E$2)^2) +Ft!F$3*EXP(Ft!F$38*($A493-Ft!F$2)^2) + Ft!G$3*EXP(Ft!G$38*($A493-Ft!G$2)^2)</f>
        <v>19.237197644485523</v>
      </c>
      <c r="E493" s="26">
        <f>Ft!B$3*EXP(Ft!B$38*($A493-Ft!B$2)^2)</f>
        <v>3.4248886209074188E-109</v>
      </c>
      <c r="F493" s="26">
        <f>Ft!C$3*EXP(Ft!C$38*($A493-Ft!C$2)^2)</f>
        <v>3.8110939050269504E-4</v>
      </c>
      <c r="G493" s="26">
        <f>Ft!D$3*EXP(Ft!D$38*($A493-Ft!D$2)^2)</f>
        <v>18.258876378555577</v>
      </c>
      <c r="H493" s="26">
        <f>Ft!E$3*EXP(Ft!E$38*($A493-Ft!E$2)^2)</f>
        <v>0.97794015653944322</v>
      </c>
      <c r="I493" s="26">
        <f>Ft!F$3*EXP(Ft!F$38*($A493-Ft!F$2)^2)</f>
        <v>2.0539747253107303E-30</v>
      </c>
      <c r="J493" s="26">
        <f>Ft!G$3*EXP(Ft!G$38*($A493-Ft!G$2)^2)</f>
        <v>8.0114419517402203E-127</v>
      </c>
    </row>
    <row r="494" spans="1:10">
      <c r="A494" s="19">
        <v>492</v>
      </c>
      <c r="B494" s="28">
        <v>25.718337759072369</v>
      </c>
      <c r="C494" s="27">
        <f ca="1">OFFSET($B494,1*(ROWS(C$2:C494)-1),0)</f>
        <v>0</v>
      </c>
      <c r="D494" s="26">
        <f>Ft!B$3*EXP(Ft!B$38*($A494-Ft!B$2)^2) +Ft!C$3*EXP(Ft!C$38*($A494-Ft!C$2)^2) + Ft!D$3*EXP(Ft!D$38*($A494-Ft!D$2)^2)+Ft!E$3*EXP(Ft!E$38*($A494-Ft!E$2)^2) +Ft!F$3*EXP(Ft!F$38*($A494-Ft!F$2)^2) + Ft!G$3*EXP(Ft!G$38*($A494-Ft!G$2)^2)</f>
        <v>19.229325864486448</v>
      </c>
      <c r="E494" s="26">
        <f>Ft!B$3*EXP(Ft!B$38*($A494-Ft!B$2)^2)</f>
        <v>1.1091245343034902E-109</v>
      </c>
      <c r="F494" s="26">
        <f>Ft!C$3*EXP(Ft!C$38*($A494-Ft!C$2)^2)</f>
        <v>3.5988695099941834E-4</v>
      </c>
      <c r="G494" s="26">
        <f>Ft!D$3*EXP(Ft!D$38*($A494-Ft!D$2)^2)</f>
        <v>18.234596099963294</v>
      </c>
      <c r="H494" s="26">
        <f>Ft!E$3*EXP(Ft!E$38*($A494-Ft!E$2)^2)</f>
        <v>0.99436987757215511</v>
      </c>
      <c r="I494" s="26">
        <f>Ft!F$3*EXP(Ft!F$38*($A494-Ft!F$2)^2)</f>
        <v>2.7015910804840969E-30</v>
      </c>
      <c r="J494" s="26">
        <f>Ft!G$3*EXP(Ft!G$38*($A494-Ft!G$2)^2)</f>
        <v>2.2965562477323703E-126</v>
      </c>
    </row>
    <row r="495" spans="1:10">
      <c r="A495" s="19">
        <v>493</v>
      </c>
      <c r="B495" s="28">
        <v>25.497497043015329</v>
      </c>
      <c r="C495" s="27">
        <f ca="1">OFFSET($B495,1*(ROWS(C$2:C495)-1),0)</f>
        <v>0</v>
      </c>
      <c r="D495" s="26">
        <f>Ft!B$3*EXP(Ft!B$38*($A495-Ft!B$2)^2) +Ft!C$3*EXP(Ft!C$38*($A495-Ft!C$2)^2) + Ft!D$3*EXP(Ft!D$38*($A495-Ft!D$2)^2)+Ft!E$3*EXP(Ft!E$38*($A495-Ft!E$2)^2) +Ft!F$3*EXP(Ft!F$38*($A495-Ft!F$2)^2) + Ft!G$3*EXP(Ft!G$38*($A495-Ft!G$2)^2)</f>
        <v>19.221058148480356</v>
      </c>
      <c r="E495" s="26">
        <f>Ft!B$3*EXP(Ft!B$38*($A495-Ft!B$2)^2)</f>
        <v>3.5827494829615389E-110</v>
      </c>
      <c r="F495" s="26">
        <f>Ft!C$3*EXP(Ft!C$38*($A495-Ft!C$2)^2)</f>
        <v>3.3979112646576938E-4</v>
      </c>
      <c r="G495" s="26">
        <f>Ft!D$3*EXP(Ft!D$38*($A495-Ft!D$2)^2)</f>
        <v>18.20969362973241</v>
      </c>
      <c r="H495" s="26">
        <f>Ft!E$3*EXP(Ft!E$38*($A495-Ft!E$2)^2)</f>
        <v>1.0110247276214832</v>
      </c>
      <c r="I495" s="26">
        <f>Ft!F$3*EXP(Ft!F$38*($A495-Ft!F$2)^2)</f>
        <v>3.5514888120859735E-30</v>
      </c>
      <c r="J495" s="26">
        <f>Ft!G$3*EXP(Ft!G$38*($A495-Ft!G$2)^2)</f>
        <v>6.5707919466308456E-126</v>
      </c>
    </row>
    <row r="496" spans="1:10">
      <c r="A496" s="19">
        <v>494</v>
      </c>
      <c r="B496" s="28">
        <v>25.256592003740337</v>
      </c>
      <c r="C496" s="27">
        <f ca="1">OFFSET($B496,1*(ROWS(C$2:C496)-1),0)</f>
        <v>0</v>
      </c>
      <c r="D496" s="26">
        <f>Ft!B$3*EXP(Ft!B$38*($A496-Ft!B$2)^2) +Ft!C$3*EXP(Ft!C$38*($A496-Ft!C$2)^2) + Ft!D$3*EXP(Ft!D$38*($A496-Ft!D$2)^2)+Ft!E$3*EXP(Ft!E$38*($A496-Ft!E$2)^2) +Ft!F$3*EXP(Ft!F$38*($A496-Ft!F$2)^2) + Ft!G$3*EXP(Ft!G$38*($A496-Ft!G$2)^2)</f>
        <v>19.212399158300993</v>
      </c>
      <c r="E496" s="26">
        <f>Ft!B$3*EXP(Ft!B$38*($A496-Ft!B$2)^2)</f>
        <v>1.1543960765672543E-110</v>
      </c>
      <c r="F496" s="26">
        <f>Ft!C$3*EXP(Ft!C$38*($A496-Ft!C$2)^2)</f>
        <v>3.2076535079566453E-4</v>
      </c>
      <c r="G496" s="26">
        <f>Ft!D$3*EXP(Ft!D$38*($A496-Ft!D$2)^2)</f>
        <v>18.184171606337337</v>
      </c>
      <c r="H496" s="26">
        <f>Ft!E$3*EXP(Ft!E$38*($A496-Ft!E$2)^2)</f>
        <v>1.0279067866128593</v>
      </c>
      <c r="I496" s="26">
        <f>Ft!F$3*EXP(Ft!F$38*($A496-Ft!F$2)^2)</f>
        <v>4.6662457411153892E-30</v>
      </c>
      <c r="J496" s="26">
        <f>Ft!G$3*EXP(Ft!G$38*($A496-Ft!G$2)^2)</f>
        <v>1.8764309114138723E-125</v>
      </c>
    </row>
    <row r="497" spans="1:10">
      <c r="A497" s="19">
        <v>495</v>
      </c>
      <c r="B497" s="28">
        <v>25.044495565789305</v>
      </c>
      <c r="C497" s="27">
        <f ca="1">OFFSET($B497,1*(ROWS(C$2:C497)-1),0)</f>
        <v>0</v>
      </c>
      <c r="D497" s="26">
        <f>Ft!B$3*EXP(Ft!B$38*($A497-Ft!B$2)^2) +Ft!C$3*EXP(Ft!C$38*($A497-Ft!C$2)^2) + Ft!D$3*EXP(Ft!D$38*($A497-Ft!D$2)^2)+Ft!E$3*EXP(Ft!E$38*($A497-Ft!E$2)^2) +Ft!F$3*EXP(Ft!F$38*($A497-Ft!F$2)^2) + Ft!G$3*EXP(Ft!G$38*($A497-Ft!G$2)^2)</f>
        <v>19.203353621726972</v>
      </c>
      <c r="E497" s="26">
        <f>Ft!B$3*EXP(Ft!B$38*($A497-Ft!B$2)^2)</f>
        <v>3.7101845478576945E-111</v>
      </c>
      <c r="F497" s="26">
        <f>Ft!C$3*EXP(Ft!C$38*($A497-Ft!C$2)^2)</f>
        <v>3.0275571422835629E-4</v>
      </c>
      <c r="G497" s="26">
        <f>Ft!D$3*EXP(Ft!D$38*($A497-Ft!D$2)^2)</f>
        <v>18.158032731355583</v>
      </c>
      <c r="H497" s="26">
        <f>Ft!E$3*EXP(Ft!E$38*($A497-Ft!E$2)^2)</f>
        <v>1.0450181346571612</v>
      </c>
      <c r="I497" s="26">
        <f>Ft!F$3*EXP(Ft!F$38*($A497-Ft!F$2)^2)</f>
        <v>6.127609499190768E-30</v>
      </c>
      <c r="J497" s="26">
        <f>Ft!G$3*EXP(Ft!G$38*($A497-Ft!G$2)^2)</f>
        <v>5.3483728340942626E-125</v>
      </c>
    </row>
    <row r="498" spans="1:10">
      <c r="A498" s="19">
        <v>496</v>
      </c>
      <c r="B498" s="28">
        <v>24.847955631176518</v>
      </c>
      <c r="C498" s="27">
        <f ca="1">OFFSET($B498,1*(ROWS(C$2:C498)-1),0)</f>
        <v>0</v>
      </c>
      <c r="D498" s="26">
        <f>Ft!B$3*EXP(Ft!B$38*($A498-Ft!B$2)^2) +Ft!C$3*EXP(Ft!C$38*($A498-Ft!C$2)^2) + Ft!D$3*EXP(Ft!D$38*($A498-Ft!D$2)^2)+Ft!E$3*EXP(Ft!E$38*($A498-Ft!E$2)^2) +Ft!F$3*EXP(Ft!F$38*($A498-Ft!F$2)^2) + Ft!G$3*EXP(Ft!G$38*($A498-Ft!G$2)^2)</f>
        <v>19.193926331471356</v>
      </c>
      <c r="E498" s="26">
        <f>Ft!B$3*EXP(Ft!B$38*($A498-Ft!B$2)^2)</f>
        <v>1.1894288078549709E-111</v>
      </c>
      <c r="F498" s="26">
        <f>Ft!C$3*EXP(Ft!C$38*($A498-Ft!C$2)^2)</f>
        <v>2.8571084864049837E-4</v>
      </c>
      <c r="G498" s="26">
        <f>Ft!D$3*EXP(Ft!D$38*($A498-Ft!D$2)^2)</f>
        <v>18.131279768991227</v>
      </c>
      <c r="H498" s="26">
        <f>Ft!E$3*EXP(Ft!E$38*($A498-Ft!E$2)^2)</f>
        <v>1.0623608516314877</v>
      </c>
      <c r="I498" s="26">
        <f>Ft!F$3*EXP(Ft!F$38*($A498-Ft!F$2)^2)</f>
        <v>8.0423111855658905E-30</v>
      </c>
      <c r="J498" s="26">
        <f>Ft!G$3*EXP(Ft!G$38*($A498-Ft!G$2)^2)</f>
        <v>1.5215457062452605E-124</v>
      </c>
    </row>
    <row r="499" spans="1:10">
      <c r="A499" s="19">
        <v>497</v>
      </c>
      <c r="B499" s="28">
        <v>24.658854468236001</v>
      </c>
      <c r="C499" s="27">
        <f ca="1">OFFSET($B499,1*(ROWS(C$2:C499)-1),0)</f>
        <v>0</v>
      </c>
      <c r="D499" s="26">
        <f>Ft!B$3*EXP(Ft!B$38*($A499-Ft!B$2)^2) +Ft!C$3*EXP(Ft!C$38*($A499-Ft!C$2)^2) + Ft!D$3*EXP(Ft!D$38*($A499-Ft!D$2)^2)+Ft!E$3*EXP(Ft!E$38*($A499-Ft!E$2)^2) +Ft!F$3*EXP(Ft!F$38*($A499-Ft!F$2)^2) + Ft!G$3*EXP(Ft!G$38*($A499-Ft!G$2)^2)</f>
        <v>19.184122144158056</v>
      </c>
      <c r="E499" s="26">
        <f>Ft!B$3*EXP(Ft!B$38*($A499-Ft!B$2)^2)</f>
        <v>3.803502128359545E-112</v>
      </c>
      <c r="F499" s="26">
        <f>Ft!C$3*EXP(Ft!C$38*($A499-Ft!C$2)^2)</f>
        <v>2.6958181726463218E-4</v>
      </c>
      <c r="G499" s="26">
        <f>Ft!D$3*EXP(Ft!D$38*($A499-Ft!D$2)^2)</f>
        <v>18.103915545587785</v>
      </c>
      <c r="H499" s="26">
        <f>Ft!E$3*EXP(Ft!E$38*($A499-Ft!E$2)^2)</f>
        <v>1.0799370167530076</v>
      </c>
      <c r="I499" s="26">
        <f>Ft!F$3*EXP(Ft!F$38*($A499-Ft!F$2)^2)</f>
        <v>1.0549624086858872E-29</v>
      </c>
      <c r="J499" s="26">
        <f>Ft!G$3*EXP(Ft!G$38*($A499-Ft!G$2)^2)</f>
        <v>4.3203861425936757E-124</v>
      </c>
    </row>
    <row r="500" spans="1:10">
      <c r="A500" s="19">
        <v>498</v>
      </c>
      <c r="B500" s="28">
        <v>24.44826161878197</v>
      </c>
      <c r="C500" s="27">
        <f ca="1">OFFSET($B500,1*(ROWS(C$2:C500)-1),0)</f>
        <v>0</v>
      </c>
      <c r="D500" s="26">
        <f>Ft!B$3*EXP(Ft!B$38*($A500-Ft!B$2)^2) +Ft!C$3*EXP(Ft!C$38*($A500-Ft!C$2)^2) + Ft!D$3*EXP(Ft!D$38*($A500-Ft!D$2)^2)+Ft!E$3*EXP(Ft!E$38*($A500-Ft!E$2)^2) +Ft!F$3*EXP(Ft!F$38*($A500-Ft!F$2)^2) + Ft!G$3*EXP(Ft!G$38*($A500-Ft!G$2)^2)</f>
        <v>19.17394597928525</v>
      </c>
      <c r="E500" s="26">
        <f>Ft!B$3*EXP(Ft!B$38*($A500-Ft!B$2)^2)</f>
        <v>1.2131964884595643E-112</v>
      </c>
      <c r="F500" s="26">
        <f>Ft!C$3*EXP(Ft!C$38*($A500-Ft!C$2)^2)</f>
        <v>2.543220086899514E-4</v>
      </c>
      <c r="G500" s="26">
        <f>Ft!D$3*EXP(Ft!D$38*($A500-Ft!D$2)^2)</f>
        <v>18.075942949130667</v>
      </c>
      <c r="H500" s="26">
        <f>Ft!E$3*EXP(Ft!E$38*($A500-Ft!E$2)^2)</f>
        <v>1.0977487081458914</v>
      </c>
      <c r="I500" s="26">
        <f>Ft!F$3*EXP(Ft!F$38*($A500-Ft!F$2)^2)</f>
        <v>1.3831185773056996E-29</v>
      </c>
      <c r="J500" s="26">
        <f>Ft!G$3*EXP(Ft!G$38*($A500-Ft!G$2)^2)</f>
        <v>1.2244311201161735E-123</v>
      </c>
    </row>
    <row r="501" spans="1:10">
      <c r="A501" s="19">
        <v>499</v>
      </c>
      <c r="B501" s="28">
        <v>24.241459549638705</v>
      </c>
      <c r="C501" s="27">
        <f ca="1">OFFSET($B501,1*(ROWS(C$2:C501)-1),0)</f>
        <v>0</v>
      </c>
      <c r="D501" s="26">
        <f>Ft!B$3*EXP(Ft!B$38*($A501-Ft!B$2)^2) +Ft!C$3*EXP(Ft!C$38*($A501-Ft!C$2)^2) + Ft!D$3*EXP(Ft!D$38*($A501-Ft!D$2)^2)+Ft!E$3*EXP(Ft!E$38*($A501-Ft!E$2)^2) +Ft!F$3*EXP(Ft!F$38*($A501-Ft!F$2)^2) + Ft!G$3*EXP(Ft!G$38*($A501-Ft!G$2)^2)</f>
        <v>19.163402818175623</v>
      </c>
      <c r="E501" s="26">
        <f>Ft!B$3*EXP(Ft!B$38*($A501-Ft!B$2)^2)</f>
        <v>3.8599430385883796E-113</v>
      </c>
      <c r="F501" s="26">
        <f>Ft!C$3*EXP(Ft!C$38*($A501-Ft!C$2)^2)</f>
        <v>2.3988703500459936E-4</v>
      </c>
      <c r="G501" s="26">
        <f>Ft!D$3*EXP(Ft!D$38*($A501-Ft!D$2)^2)</f>
        <v>18.04736492873927</v>
      </c>
      <c r="H501" s="26">
        <f>Ft!E$3*EXP(Ft!E$38*($A501-Ft!E$2)^2)</f>
        <v>1.1157980024013472</v>
      </c>
      <c r="I501" s="26">
        <f>Ft!F$3*EXP(Ft!F$38*($A501-Ft!F$2)^2)</f>
        <v>1.812375417543897E-29</v>
      </c>
      <c r="J501" s="26">
        <f>Ft!G$3*EXP(Ft!G$38*($A501-Ft!G$2)^2)</f>
        <v>3.4635414288193193E-123</v>
      </c>
    </row>
    <row r="502" spans="1:10">
      <c r="A502" s="19">
        <v>500</v>
      </c>
      <c r="B502" s="28">
        <v>24.055348679655111</v>
      </c>
      <c r="C502" s="27">
        <f ca="1">OFFSET($B502,1*(ROWS(C$2:C502)-1),0)</f>
        <v>0</v>
      </c>
      <c r="D502" s="26">
        <f>Ft!B$3*EXP(Ft!B$38*($A502-Ft!B$2)^2) +Ft!C$3*EXP(Ft!C$38*($A502-Ft!C$2)^2) + Ft!D$3*EXP(Ft!D$38*($A502-Ft!D$2)^2)+Ft!E$3*EXP(Ft!E$38*($A502-Ft!E$2)^2) +Ft!F$3*EXP(Ft!F$38*($A502-Ft!F$2)^2) + Ft!G$3*EXP(Ft!G$38*($A502-Ft!G$2)^2)</f>
        <v>19.152497702913617</v>
      </c>
      <c r="E502" s="26">
        <f>Ft!B$3*EXP(Ft!B$38*($A502-Ft!B$2)^2)</f>
        <v>1.2249910544410522E-113</v>
      </c>
      <c r="F502" s="26">
        <f>Ft!C$3*EXP(Ft!C$38*($A502-Ft!C$2)^2)</f>
        <v>2.2623463394210106E-4</v>
      </c>
      <c r="G502" s="26">
        <f>Ft!D$3*EXP(Ft!D$38*($A502-Ft!D$2)^2)</f>
        <v>18.018184494148901</v>
      </c>
      <c r="H502" s="26">
        <f>Ft!E$3*EXP(Ft!E$38*($A502-Ft!E$2)^2)</f>
        <v>1.1340869741307738</v>
      </c>
      <c r="I502" s="26">
        <f>Ft!F$3*EXP(Ft!F$38*($A502-Ft!F$2)^2)</f>
        <v>2.3735764796992494E-29</v>
      </c>
      <c r="J502" s="26">
        <f>Ft!G$3*EXP(Ft!G$38*($A502-Ft!G$2)^2)</f>
        <v>9.7786893015738955E-123</v>
      </c>
    </row>
    <row r="503" spans="1:10">
      <c r="A503" s="19">
        <v>501</v>
      </c>
      <c r="B503" s="28">
        <v>23.866724375032248</v>
      </c>
      <c r="C503" s="27">
        <f ca="1">OFFSET($B503,1*(ROWS(C$2:C503)-1),0)</f>
        <v>0</v>
      </c>
      <c r="D503" s="26">
        <f>Ft!B$3*EXP(Ft!B$38*($A503-Ft!B$2)^2) +Ft!C$3*EXP(Ft!C$38*($A503-Ft!C$2)^2) + Ft!D$3*EXP(Ft!D$38*($A503-Ft!D$2)^2)+Ft!E$3*EXP(Ft!E$38*($A503-Ft!E$2)^2) +Ft!F$3*EXP(Ft!F$38*($A503-Ft!F$2)^2) + Ft!G$3*EXP(Ft!G$38*($A503-Ft!G$2)^2)</f>
        <v>19.141235735269564</v>
      </c>
      <c r="E503" s="26">
        <f>Ft!B$3*EXP(Ft!B$38*($A503-Ft!B$2)^2)</f>
        <v>3.8778160956135355E-114</v>
      </c>
      <c r="F503" s="26">
        <f>Ft!C$3*EXP(Ft!C$38*($A503-Ft!C$2)^2)</f>
        <v>2.133245748978892E-4</v>
      </c>
      <c r="G503" s="26">
        <f>Ft!D$3*EXP(Ft!D$38*($A503-Ft!D$2)^2)</f>
        <v>17.988404715182604</v>
      </c>
      <c r="H503" s="26">
        <f>Ft!E$3*EXP(Ft!E$38*($A503-Ft!E$2)^2)</f>
        <v>1.1526176955120635</v>
      </c>
      <c r="I503" s="26">
        <f>Ft!F$3*EXP(Ft!F$38*($A503-Ft!F$2)^2)</f>
        <v>3.1068809716848354E-29</v>
      </c>
      <c r="J503" s="26">
        <f>Ft!G$3*EXP(Ft!G$38*($A503-Ft!G$2)^2)</f>
        <v>2.7555934341182485E-122</v>
      </c>
    </row>
    <row r="504" spans="1:10">
      <c r="A504" s="19">
        <v>502</v>
      </c>
      <c r="B504" s="28">
        <v>23.67706939693764</v>
      </c>
      <c r="C504" s="27">
        <f ca="1">OFFSET($B504,1*(ROWS(C$2:C504)-1),0)</f>
        <v>0</v>
      </c>
      <c r="D504" s="26">
        <f>Ft!B$3*EXP(Ft!B$38*($A504-Ft!B$2)^2) +Ft!C$3*EXP(Ft!C$38*($A504-Ft!C$2)^2) + Ft!D$3*EXP(Ft!D$38*($A504-Ft!D$2)^2)+Ft!E$3*EXP(Ft!E$38*($A504-Ft!E$2)^2) +Ft!F$3*EXP(Ft!F$38*($A504-Ft!F$2)^2) + Ft!G$3*EXP(Ft!G$38*($A504-Ft!G$2)^2)</f>
        <v>19.129622075610801</v>
      </c>
      <c r="E504" s="26">
        <f>Ft!B$3*EXP(Ft!B$38*($A504-Ft!B$2)^2)</f>
        <v>1.2244576555010266E-114</v>
      </c>
      <c r="F504" s="26">
        <f>Ft!C$3*EXP(Ft!C$38*($A504-Ft!C$2)^2)</f>
        <v>2.0111856868519469E-4</v>
      </c>
      <c r="G504" s="26">
        <f>Ft!D$3*EXP(Ft!D$38*($A504-Ft!D$2)^2)</f>
        <v>17.958028721213047</v>
      </c>
      <c r="H504" s="26">
        <f>Ft!E$3*EXP(Ft!E$38*($A504-Ft!E$2)^2)</f>
        <v>1.1713922358290676</v>
      </c>
      <c r="I504" s="26">
        <f>Ft!F$3*EXP(Ft!F$38*($A504-Ft!F$2)^2)</f>
        <v>4.0645485850032712E-29</v>
      </c>
      <c r="J504" s="26">
        <f>Ft!G$3*EXP(Ft!G$38*($A504-Ft!G$2)^2)</f>
        <v>7.7503955553170913E-122</v>
      </c>
    </row>
    <row r="505" spans="1:10">
      <c r="A505" s="19">
        <v>503</v>
      </c>
      <c r="B505" s="28">
        <v>23.495709081296127</v>
      </c>
      <c r="C505" s="27">
        <f ca="1">OFFSET($B505,1*(ROWS(C$2:C505)-1),0)</f>
        <v>0</v>
      </c>
      <c r="D505" s="26">
        <f>Ft!B$3*EXP(Ft!B$38*($A505-Ft!B$2)^2) +Ft!C$3*EXP(Ft!C$38*($A505-Ft!C$2)^2) + Ft!D$3*EXP(Ft!D$38*($A505-Ft!D$2)^2)+Ft!E$3*EXP(Ft!E$38*($A505-Ft!E$2)^2) +Ft!F$3*EXP(Ft!F$38*($A505-Ft!F$2)^2) + Ft!G$3*EXP(Ft!G$38*($A505-Ft!G$2)^2)</f>
        <v>19.117661941799771</v>
      </c>
      <c r="E505" s="26">
        <f>Ft!B$3*EXP(Ft!B$38*($A505-Ft!B$2)^2)</f>
        <v>3.8565822936005685E-115</v>
      </c>
      <c r="F505" s="26">
        <f>Ft!C$3*EXP(Ft!C$38*($A505-Ft!C$2)^2)</f>
        <v>1.8958018090288589E-4</v>
      </c>
      <c r="G505" s="26">
        <f>Ft!D$3*EXP(Ft!D$38*($A505-Ft!D$2)^2)</f>
        <v>17.927059700614603</v>
      </c>
      <c r="H505" s="26">
        <f>Ft!E$3*EXP(Ft!E$38*($A505-Ft!E$2)^2)</f>
        <v>1.1904126610042651</v>
      </c>
      <c r="I505" s="26">
        <f>Ft!F$3*EXP(Ft!F$38*($A505-Ft!F$2)^2)</f>
        <v>5.3145480957654746E-29</v>
      </c>
      <c r="J505" s="26">
        <f>Ft!G$3*EXP(Ft!G$38*($A505-Ft!G$2)^2)</f>
        <v>2.1757391572705994E-121</v>
      </c>
    </row>
    <row r="506" spans="1:10">
      <c r="A506" s="19">
        <v>504</v>
      </c>
      <c r="B506" s="28">
        <v>23.314125247529432</v>
      </c>
      <c r="C506" s="27">
        <f ca="1">OFFSET($B506,1*(ROWS(C$2:C506)-1),0)</f>
        <v>0</v>
      </c>
      <c r="D506" s="26">
        <f>Ft!B$3*EXP(Ft!B$38*($A506-Ft!B$2)^2) +Ft!C$3*EXP(Ft!C$38*($A506-Ft!C$2)^2) + Ft!D$3*EXP(Ft!D$38*($A506-Ft!D$2)^2)+Ft!E$3*EXP(Ft!E$38*($A506-Ft!E$2)^2) +Ft!F$3*EXP(Ft!F$38*($A506-Ft!F$2)^2) + Ft!G$3*EXP(Ft!G$38*($A506-Ft!G$2)^2)</f>
        <v>19.105360608079216</v>
      </c>
      <c r="E506" s="26">
        <f>Ft!B$3*EXP(Ft!B$38*($A506-Ft!B$2)^2)</f>
        <v>1.2116123887606381E-115</v>
      </c>
      <c r="F506" s="26">
        <f>Ft!C$3*EXP(Ft!C$38*($A506-Ft!C$2)^2)</f>
        <v>1.7867474879111318E-4</v>
      </c>
      <c r="G506" s="26">
        <f>Ft!D$3*EXP(Ft!D$38*($A506-Ft!D$2)^2)</f>
        <v>17.895500900205764</v>
      </c>
      <c r="H506" s="26">
        <f>Ft!E$3*EXP(Ft!E$38*($A506-Ft!E$2)^2)</f>
        <v>1.2096810331246601</v>
      </c>
      <c r="I506" s="26">
        <f>Ft!F$3*EXP(Ft!F$38*($A506-Ft!F$2)^2)</f>
        <v>6.9452308031110194E-29</v>
      </c>
      <c r="J506" s="26">
        <f>Ft!G$3*EXP(Ft!G$38*($A506-Ft!G$2)^2)</f>
        <v>6.0962675770672383E-121</v>
      </c>
    </row>
    <row r="507" spans="1:10">
      <c r="A507" s="19">
        <v>505</v>
      </c>
      <c r="B507" s="28">
        <v>23.128000829466288</v>
      </c>
      <c r="C507" s="27">
        <f ca="1">OFFSET($B507,1*(ROWS(C$2:C507)-1),0)</f>
        <v>0</v>
      </c>
      <c r="D507" s="26">
        <f>Ft!B$3*EXP(Ft!B$38*($A507-Ft!B$2)^2) +Ft!C$3*EXP(Ft!C$38*($A507-Ft!C$2)^2) + Ft!D$3*EXP(Ft!D$38*($A507-Ft!D$2)^2)+Ft!E$3*EXP(Ft!E$38*($A507-Ft!E$2)^2) +Ft!F$3*EXP(Ft!F$38*($A507-Ft!F$2)^2) + Ft!G$3*EXP(Ft!G$38*($A507-Ft!G$2)^2)</f>
        <v>19.092723403944362</v>
      </c>
      <c r="E507" s="26">
        <f>Ft!B$3*EXP(Ft!B$38*($A507-Ft!B$2)^2)</f>
        <v>3.7968818047646543E-116</v>
      </c>
      <c r="F507" s="26">
        <f>Ft!C$3*EXP(Ft!C$38*($A507-Ft!C$2)^2)</f>
        <v>1.6836930145385225E-4</v>
      </c>
      <c r="G507" s="26">
        <f>Ft!D$3*EXP(Ft!D$38*($A507-Ft!D$2)^2)</f>
        <v>17.863355624681969</v>
      </c>
      <c r="H507" s="26">
        <f>Ft!E$3*EXP(Ft!E$38*($A507-Ft!E$2)^2)</f>
        <v>1.2291994099609367</v>
      </c>
      <c r="I507" s="26">
        <f>Ft!F$3*EXP(Ft!F$38*($A507-Ft!F$2)^2)</f>
        <v>9.0713796323685744E-29</v>
      </c>
      <c r="J507" s="26">
        <f>Ft!G$3*EXP(Ft!G$38*($A507-Ft!G$2)^2)</f>
        <v>1.7048864012269978E-120</v>
      </c>
    </row>
    <row r="508" spans="1:10">
      <c r="A508" s="19">
        <v>506</v>
      </c>
      <c r="B508" s="28">
        <v>22.938932097123057</v>
      </c>
      <c r="C508" s="27">
        <f ca="1">OFFSET($B508,1*(ROWS(C$2:C508)-1),0)</f>
        <v>0</v>
      </c>
      <c r="D508" s="26">
        <f>Ft!B$3*EXP(Ft!B$38*($A508-Ft!B$2)^2) +Ft!C$3*EXP(Ft!C$38*($A508-Ft!C$2)^2) + Ft!D$3*EXP(Ft!D$38*($A508-Ft!D$2)^2)+Ft!E$3*EXP(Ft!E$38*($A508-Ft!E$2)^2) +Ft!F$3*EXP(Ft!F$38*($A508-Ft!F$2)^2) + Ft!G$3*EXP(Ft!G$38*($A508-Ft!G$2)^2)</f>
        <v>19.079755713002331</v>
      </c>
      <c r="E508" s="26">
        <f>Ft!B$3*EXP(Ft!B$38*($A508-Ft!B$2)^2)</f>
        <v>1.1868414918335904E-116</v>
      </c>
      <c r="F508" s="26">
        <f>Ft!C$3*EXP(Ft!C$38*($A508-Ft!C$2)^2)</f>
        <v>1.586324833306565E-4</v>
      </c>
      <c r="G508" s="26">
        <f>Ft!D$3*EXP(Ft!D$38*($A508-Ft!D$2)^2)</f>
        <v>17.830627236039081</v>
      </c>
      <c r="H508" s="26">
        <f>Ft!E$3*EXP(Ft!E$38*($A508-Ft!E$2)^2)</f>
        <v>1.2489698444799209</v>
      </c>
      <c r="I508" s="26">
        <f>Ft!F$3*EXP(Ft!F$38*($A508-Ft!F$2)^2)</f>
        <v>1.1842034457184691E-28</v>
      </c>
      <c r="J508" s="26">
        <f>Ft!G$3*EXP(Ft!G$38*($A508-Ft!G$2)^2)</f>
        <v>4.7588400250846288E-120</v>
      </c>
    </row>
    <row r="509" spans="1:10">
      <c r="A509" s="19">
        <v>507</v>
      </c>
      <c r="B509" s="28">
        <v>22.727380727212164</v>
      </c>
      <c r="C509" s="27">
        <f ca="1">OFFSET($B509,1*(ROWS(C$2:C509)-1),0)</f>
        <v>0</v>
      </c>
      <c r="D509" s="26">
        <f>Ft!B$3*EXP(Ft!B$38*($A509-Ft!B$2)^2) +Ft!C$3*EXP(Ft!C$38*($A509-Ft!C$2)^2) + Ft!D$3*EXP(Ft!D$38*($A509-Ft!D$2)^2)+Ft!E$3*EXP(Ft!E$38*($A509-Ft!E$2)^2) +Ft!F$3*EXP(Ft!F$38*($A509-Ft!F$2)^2) + Ft!G$3*EXP(Ft!G$38*($A509-Ft!G$2)^2)</f>
        <v>19.066462971818755</v>
      </c>
      <c r="E509" s="26">
        <f>Ft!B$3*EXP(Ft!B$38*($A509-Ft!B$2)^2)</f>
        <v>3.7005019198352884E-117</v>
      </c>
      <c r="F509" s="26">
        <f>Ft!C$3*EXP(Ft!C$38*($A509-Ft!C$2)^2)</f>
        <v>1.494344808031066E-4</v>
      </c>
      <c r="G509" s="26">
        <f>Ft!D$3*EXP(Ft!D$38*($A509-Ft!D$2)^2)</f>
        <v>17.797319152987576</v>
      </c>
      <c r="H509" s="26">
        <f>Ft!E$3*EXP(Ft!E$38*($A509-Ft!E$2)^2)</f>
        <v>1.2689943843503764</v>
      </c>
      <c r="I509" s="26">
        <f>Ft!F$3*EXP(Ft!F$38*($A509-Ft!F$2)^2)</f>
        <v>1.5450609528914965E-28</v>
      </c>
      <c r="J509" s="26">
        <f>Ft!G$3*EXP(Ft!G$38*($A509-Ft!G$2)^2)</f>
        <v>1.325809106268022E-119</v>
      </c>
    </row>
    <row r="510" spans="1:10">
      <c r="A510" s="19">
        <v>508</v>
      </c>
      <c r="B510" s="28">
        <v>22.534910423374157</v>
      </c>
      <c r="C510" s="27">
        <f ca="1">OFFSET($B510,1*(ROWS(C$2:C510)-1),0)</f>
        <v>0</v>
      </c>
      <c r="D510" s="26">
        <f>Ft!B$3*EXP(Ft!B$38*($A510-Ft!B$2)^2) +Ft!C$3*EXP(Ft!C$38*($A510-Ft!C$2)^2) + Ft!D$3*EXP(Ft!D$38*($A510-Ft!D$2)^2)+Ft!E$3*EXP(Ft!E$38*($A510-Ft!E$2)^2) +Ft!F$3*EXP(Ft!F$38*($A510-Ft!F$2)^2) + Ft!G$3*EXP(Ft!G$38*($A510-Ft!G$2)^2)</f>
        <v>19.052850668751631</v>
      </c>
      <c r="E510" s="26">
        <f>Ft!B$3*EXP(Ft!B$38*($A510-Ft!B$2)^2)</f>
        <v>1.1508820516340705E-117</v>
      </c>
      <c r="F510" s="26">
        <f>Ft!C$3*EXP(Ft!C$38*($A510-Ft!C$2)^2)</f>
        <v>1.4074695182457659E-4</v>
      </c>
      <c r="G510" s="26">
        <f>Ft!D$3*EXP(Ft!D$38*($A510-Ft!D$2)^2)</f>
        <v>17.763434850357616</v>
      </c>
      <c r="H510" s="26">
        <f>Ft!E$3*EXP(Ft!E$38*($A510-Ft!E$2)^2)</f>
        <v>1.2892750714421899</v>
      </c>
      <c r="I510" s="26">
        <f>Ft!F$3*EXP(Ft!F$38*($A510-Ft!F$2)^2)</f>
        <v>2.0147967065441769E-28</v>
      </c>
      <c r="J510" s="26">
        <f>Ft!G$3*EXP(Ft!G$38*($A510-Ft!G$2)^2)</f>
        <v>3.6866772811525898E-119</v>
      </c>
    </row>
    <row r="511" spans="1:10">
      <c r="A511" s="19">
        <v>509</v>
      </c>
      <c r="B511" s="28">
        <v>22.350434129686079</v>
      </c>
      <c r="C511" s="27">
        <f ca="1">OFFSET($B511,1*(ROWS(C$2:C511)-1),0)</f>
        <v>0</v>
      </c>
      <c r="D511" s="26">
        <f>Ft!B$3*EXP(Ft!B$38*($A511-Ft!B$2)^2) +Ft!C$3*EXP(Ft!C$38*($A511-Ft!C$2)^2) + Ft!D$3*EXP(Ft!D$38*($A511-Ft!D$2)^2)+Ft!E$3*EXP(Ft!E$38*($A511-Ft!E$2)^2) +Ft!F$3*EXP(Ft!F$38*($A511-Ft!F$2)^2) + Ft!G$3*EXP(Ft!G$38*($A511-Ft!G$2)^2)</f>
        <v>19.038924342772578</v>
      </c>
      <c r="E511" s="26">
        <f>Ft!B$3*EXP(Ft!B$38*($A511-Ft!B$2)^2)</f>
        <v>3.5702881682631782E-118</v>
      </c>
      <c r="F511" s="26">
        <f>Ft!C$3*EXP(Ft!C$38*($A511-Ft!C$2)^2)</f>
        <v>1.3254295846503152E-4</v>
      </c>
      <c r="G511" s="26">
        <f>Ft!D$3*EXP(Ft!D$38*($A511-Ft!D$2)^2)</f>
        <v>17.728977858495135</v>
      </c>
      <c r="H511" s="26">
        <f>Ft!E$3*EXP(Ft!E$38*($A511-Ft!E$2)^2)</f>
        <v>1.309813941318978</v>
      </c>
      <c r="I511" s="26">
        <f>Ft!F$3*EXP(Ft!F$38*($A511-Ft!F$2)^2)</f>
        <v>2.6259301280587256E-28</v>
      </c>
      <c r="J511" s="26">
        <f>Ft!G$3*EXP(Ft!G$38*($A511-Ft!G$2)^2)</f>
        <v>1.0232069484402718E-118</v>
      </c>
    </row>
    <row r="512" spans="1:10">
      <c r="A512" s="19">
        <v>510</v>
      </c>
      <c r="B512" s="28">
        <v>22.153934795339836</v>
      </c>
      <c r="C512" s="27">
        <f ca="1">OFFSET($B512,1*(ROWS(C$2:C512)-1),0)</f>
        <v>0</v>
      </c>
      <c r="D512" s="26">
        <f>Ft!B$3*EXP(Ft!B$38*($A512-Ft!B$2)^2) +Ft!C$3*EXP(Ft!C$38*($A512-Ft!C$2)^2) + Ft!D$3*EXP(Ft!D$38*($A512-Ft!D$2)^2)+Ft!E$3*EXP(Ft!E$38*($A512-Ft!E$2)^2) +Ft!F$3*EXP(Ft!F$38*($A512-Ft!F$2)^2) + Ft!G$3*EXP(Ft!G$38*($A512-Ft!G$2)^2)</f>
        <v>19.02468958227557</v>
      </c>
      <c r="E512" s="26">
        <f>Ft!B$3*EXP(Ft!B$38*($A512-Ft!B$2)^2)</f>
        <v>1.1047855733530623E-118</v>
      </c>
      <c r="F512" s="26">
        <f>Ft!C$3*EXP(Ft!C$38*($A512-Ft!C$2)^2)</f>
        <v>1.2479690226563578E-4</v>
      </c>
      <c r="G512" s="26">
        <f>Ft!D$3*EXP(Ft!D$38*($A512-Ft!D$2)^2)</f>
        <v>17.693951762649128</v>
      </c>
      <c r="H512" s="26">
        <f>Ft!E$3*EXP(Ft!E$38*($A512-Ft!E$2)^2)</f>
        <v>1.3306130227241777</v>
      </c>
      <c r="I512" s="26">
        <f>Ft!F$3*EXP(Ft!F$38*($A512-Ft!F$2)^2)</f>
        <v>3.4205931231304885E-28</v>
      </c>
      <c r="J512" s="26">
        <f>Ft!G$3*EXP(Ft!G$38*($A512-Ft!G$2)^2)</f>
        <v>2.8344321917392693E-118</v>
      </c>
    </row>
    <row r="513" spans="1:10">
      <c r="A513" s="19">
        <v>511</v>
      </c>
      <c r="B513" s="28">
        <v>21.955634800836208</v>
      </c>
      <c r="C513" s="27">
        <f ca="1">OFFSET($B513,1*(ROWS(C$2:C513)-1),0)</f>
        <v>0</v>
      </c>
      <c r="D513" s="26">
        <f>Ft!B$3*EXP(Ft!B$38*($A513-Ft!B$2)^2) +Ft!C$3*EXP(Ft!C$38*($A513-Ft!C$2)^2) + Ft!D$3*EXP(Ft!D$38*($A513-Ft!D$2)^2)+Ft!E$3*EXP(Ft!E$38*($A513-Ft!E$2)^2) +Ft!F$3*EXP(Ft!F$38*($A513-Ft!F$2)^2) + Ft!G$3*EXP(Ft!G$38*($A513-Ft!G$2)^2)</f>
        <v>19.010152023873193</v>
      </c>
      <c r="E513" s="26">
        <f>Ft!B$3*EXP(Ft!B$38*($A513-Ft!B$2)^2)</f>
        <v>3.410004785299837E-119</v>
      </c>
      <c r="F513" s="26">
        <f>Ft!C$3*EXP(Ft!C$38*($A513-Ft!C$2)^2)</f>
        <v>1.1748446230094556E-4</v>
      </c>
      <c r="G513" s="26">
        <f>Ft!D$3*EXP(Ft!D$38*($A513-Ft!D$2)^2)</f>
        <v>17.658360202350227</v>
      </c>
      <c r="H513" s="26">
        <f>Ft!E$3*EXP(Ft!E$38*($A513-Ft!E$2)^2)</f>
        <v>1.3516743370606645</v>
      </c>
      <c r="I513" s="26">
        <f>Ft!F$3*EXP(Ft!F$38*($A513-Ft!F$2)^2)</f>
        <v>4.4533413895774002E-28</v>
      </c>
      <c r="J513" s="26">
        <f>Ft!G$3*EXP(Ft!G$38*($A513-Ft!G$2)^2)</f>
        <v>7.8368745707354203E-118</v>
      </c>
    </row>
    <row r="514" spans="1:10">
      <c r="A514" s="19">
        <v>512</v>
      </c>
      <c r="B514" s="28">
        <v>21.781066004622971</v>
      </c>
      <c r="C514" s="27">
        <f ca="1">OFFSET($B514,1*(ROWS(C$2:C514)-1),0)</f>
        <v>0</v>
      </c>
      <c r="D514" s="26">
        <f>Ft!B$3*EXP(Ft!B$38*($A514-Ft!B$2)^2) +Ft!C$3*EXP(Ft!C$38*($A514-Ft!C$2)^2) + Ft!D$3*EXP(Ft!D$38*($A514-Ft!D$2)^2)+Ft!E$3*EXP(Ft!E$38*($A514-Ft!E$2)^2) +Ft!F$3*EXP(Ft!F$38*($A514-Ft!F$2)^2) + Ft!G$3*EXP(Ft!G$38*($A514-Ft!G$2)^2)</f>
        <v>18.995317351180596</v>
      </c>
      <c r="E514" s="26">
        <f>Ft!B$3*EXP(Ft!B$38*($A514-Ft!B$2)^2)</f>
        <v>1.0498669219596802E-119</v>
      </c>
      <c r="F514" s="26">
        <f>Ft!C$3*EXP(Ft!C$38*($A514-Ft!C$2)^2)</f>
        <v>1.1058253584943814E-4</v>
      </c>
      <c r="G514" s="26">
        <f>Ft!D$3*EXP(Ft!D$38*($A514-Ft!D$2)^2)</f>
        <v>17.622206870780786</v>
      </c>
      <c r="H514" s="26">
        <f>Ft!E$3*EXP(Ft!E$38*($A514-Ft!E$2)^2)</f>
        <v>1.3729998978639575</v>
      </c>
      <c r="I514" s="26">
        <f>Ft!F$3*EXP(Ft!F$38*($A514-Ft!F$2)^2)</f>
        <v>5.7947790110476727E-28</v>
      </c>
      <c r="J514" s="26">
        <f>Ft!G$3*EXP(Ft!G$38*($A514-Ft!G$2)^2)</f>
        <v>2.1626884113456964E-117</v>
      </c>
    </row>
    <row r="515" spans="1:10">
      <c r="A515" s="19">
        <v>513</v>
      </c>
      <c r="B515" s="28">
        <v>21.587180426556785</v>
      </c>
      <c r="C515" s="27">
        <f ca="1">OFFSET($B515,1*(ROWS(C$2:C515)-1),0)</f>
        <v>0</v>
      </c>
      <c r="D515" s="26">
        <f>Ft!B$3*EXP(Ft!B$38*($A515-Ft!B$2)^2) +Ft!C$3*EXP(Ft!C$38*($A515-Ft!C$2)^2) + Ft!D$3*EXP(Ft!D$38*($A515-Ft!D$2)^2)+Ft!E$3*EXP(Ft!E$38*($A515-Ft!E$2)^2) +Ft!F$3*EXP(Ft!F$38*($A515-Ft!F$2)^2) + Ft!G$3*EXP(Ft!G$38*($A515-Ft!G$2)^2)</f>
        <v>18.980191293587186</v>
      </c>
      <c r="E515" s="26">
        <f>Ft!B$3*EXP(Ft!B$38*($A515-Ft!B$2)^2)</f>
        <v>3.2241540716565108E-120</v>
      </c>
      <c r="F515" s="26">
        <f>Ft!C$3*EXP(Ft!C$38*($A515-Ft!C$2)^2)</f>
        <v>1.0406918157603273E-4</v>
      </c>
      <c r="G515" s="26">
        <f>Ft!D$3*EXP(Ft!D$38*($A515-Ft!D$2)^2)</f>
        <v>17.585495514136543</v>
      </c>
      <c r="H515" s="26">
        <f>Ft!E$3*EXP(Ft!E$38*($A515-Ft!E$2)^2)</f>
        <v>1.3945917102690699</v>
      </c>
      <c r="I515" s="26">
        <f>Ft!F$3*EXP(Ft!F$38*($A515-Ft!F$2)^2)</f>
        <v>7.53622899307168E-28</v>
      </c>
      <c r="J515" s="26">
        <f>Ft!G$3*EXP(Ft!G$38*($A515-Ft!G$2)^2)</f>
        <v>5.9568853752278618E-117</v>
      </c>
    </row>
    <row r="516" spans="1:10">
      <c r="A516" s="19">
        <v>514</v>
      </c>
      <c r="B516" s="28">
        <v>21.404072852153035</v>
      </c>
      <c r="C516" s="27">
        <f ca="1">OFFSET($B516,1*(ROWS(C$2:C516)-1),0)</f>
        <v>0</v>
      </c>
      <c r="D516" s="26">
        <f>Ft!B$3*EXP(Ft!B$38*($A516-Ft!B$2)^2) +Ft!C$3*EXP(Ft!C$38*($A516-Ft!C$2)^2) + Ft!D$3*EXP(Ft!D$38*($A516-Ft!D$2)^2)+Ft!E$3*EXP(Ft!E$38*($A516-Ft!E$2)^2) +Ft!F$3*EXP(Ft!F$38*($A516-Ft!F$2)^2) + Ft!G$3*EXP(Ft!G$38*($A516-Ft!G$2)^2)</f>
        <v>18.964779625016295</v>
      </c>
      <c r="E516" s="26">
        <f>Ft!B$3*EXP(Ft!B$38*($A516-Ft!B$2)^2)</f>
        <v>9.8764209450835109E-121</v>
      </c>
      <c r="F516" s="26">
        <f>Ft!C$3*EXP(Ft!C$38*($A516-Ft!C$2)^2)</f>
        <v>9.7923565133134602E-5</v>
      </c>
      <c r="G516" s="26">
        <f>Ft!D$3*EXP(Ft!D$38*($A516-Ft!D$2)^2)</f>
        <v>17.548229930980103</v>
      </c>
      <c r="H516" s="26">
        <f>Ft!E$3*EXP(Ft!E$38*($A516-Ft!E$2)^2)</f>
        <v>1.41645177047106</v>
      </c>
      <c r="I516" s="26">
        <f>Ft!F$3*EXP(Ft!F$38*($A516-Ft!F$2)^2)</f>
        <v>9.7957481926036609E-28</v>
      </c>
      <c r="J516" s="26">
        <f>Ft!G$3*EXP(Ft!G$38*($A516-Ft!G$2)^2)</f>
        <v>1.6376412404325293E-116</v>
      </c>
    </row>
    <row r="517" spans="1:10">
      <c r="A517" s="19">
        <v>515</v>
      </c>
      <c r="B517" s="28">
        <v>21.213368624845543</v>
      </c>
      <c r="C517" s="27">
        <f ca="1">OFFSET($B517,1*(ROWS(C$2:C517)-1),0)</f>
        <v>0</v>
      </c>
      <c r="D517" s="26">
        <f>Ft!B$3*EXP(Ft!B$38*($A517-Ft!B$2)^2) +Ft!C$3*EXP(Ft!C$38*($A517-Ft!C$2)^2) + Ft!D$3*EXP(Ft!D$38*($A517-Ft!D$2)^2)+Ft!E$3*EXP(Ft!E$38*($A517-Ft!E$2)^2) +Ft!F$3*EXP(Ft!F$38*($A517-Ft!F$2)^2) + Ft!G$3*EXP(Ft!G$38*($A517-Ft!G$2)^2)</f>
        <v>18.949088162672787</v>
      </c>
      <c r="E517" s="26">
        <f>Ft!B$3*EXP(Ft!B$38*($A517-Ft!B$2)^2)</f>
        <v>3.017766733305378E-121</v>
      </c>
      <c r="F517" s="26">
        <f>Ft!C$3*EXP(Ft!C$38*($A517-Ft!C$2)^2)</f>
        <v>9.2125907089544892E-5</v>
      </c>
      <c r="G517" s="26">
        <f>Ft!D$3*EXP(Ft!D$38*($A517-Ft!D$2)^2)</f>
        <v>17.510413971586338</v>
      </c>
      <c r="H517" s="26">
        <f>Ft!E$3*EXP(Ft!E$38*($A517-Ft!E$2)^2)</f>
        <v>1.4385820651793624</v>
      </c>
      <c r="I517" s="26">
        <f>Ft!F$3*EXP(Ft!F$38*($A517-Ft!F$2)^2)</f>
        <v>1.2725869274651149E-27</v>
      </c>
      <c r="J517" s="26">
        <f>Ft!G$3*EXP(Ft!G$38*($A517-Ft!G$2)^2)</f>
        <v>4.4935804647478332E-116</v>
      </c>
    </row>
    <row r="518" spans="1:10">
      <c r="A518" s="19">
        <v>516</v>
      </c>
      <c r="B518" s="28">
        <v>21.013562463341771</v>
      </c>
      <c r="C518" s="27">
        <f ca="1">OFFSET($B518,1*(ROWS(C$2:C518)-1),0)</f>
        <v>0</v>
      </c>
      <c r="D518" s="26">
        <f>Ft!B$3*EXP(Ft!B$38*($A518-Ft!B$2)^2) +Ft!C$3*EXP(Ft!C$38*($A518-Ft!C$2)^2) + Ft!D$3*EXP(Ft!D$38*($A518-Ft!D$2)^2)+Ft!E$3*EXP(Ft!E$38*($A518-Ft!E$2)^2) +Ft!F$3*EXP(Ft!F$38*($A518-Ft!F$2)^2) + Ft!G$3*EXP(Ft!G$38*($A518-Ft!G$2)^2)</f>
        <v>18.933122765778922</v>
      </c>
      <c r="E518" s="26">
        <f>Ft!B$3*EXP(Ft!B$38*($A518-Ft!B$2)^2)</f>
        <v>9.1975892739150958E-122</v>
      </c>
      <c r="F518" s="26">
        <f>Ft!C$3*EXP(Ft!C$38*($A518-Ft!C$2)^2)</f>
        <v>8.6657433099347585E-5</v>
      </c>
      <c r="G518" s="26">
        <f>Ft!D$3*EXP(Ft!D$38*($A518-Ft!D$2)^2)</f>
        <v>17.472051537279878</v>
      </c>
      <c r="H518" s="26">
        <f>Ft!E$3*EXP(Ft!E$38*($A518-Ft!E$2)^2)</f>
        <v>1.4609845710659464</v>
      </c>
      <c r="I518" s="26">
        <f>Ft!F$3*EXP(Ft!F$38*($A518-Ft!F$2)^2)</f>
        <v>1.6523559976455745E-27</v>
      </c>
      <c r="J518" s="26">
        <f>Ft!G$3*EXP(Ft!G$38*($A518-Ft!G$2)^2)</f>
        <v>1.2306668778245851E-115</v>
      </c>
    </row>
    <row r="519" spans="1:10">
      <c r="A519" s="19">
        <v>517</v>
      </c>
      <c r="B519" s="28">
        <v>20.815758547748771</v>
      </c>
      <c r="C519" s="27">
        <f ca="1">OFFSET($B519,1*(ROWS(C$2:C519)-1),0)</f>
        <v>0</v>
      </c>
      <c r="D519" s="26">
        <f>Ft!B$3*EXP(Ft!B$38*($A519-Ft!B$2)^2) +Ft!C$3*EXP(Ft!C$38*($A519-Ft!C$2)^2) + Ft!D$3*EXP(Ft!D$38*($A519-Ft!D$2)^2)+Ft!E$3*EXP(Ft!E$38*($A519-Ft!E$2)^2) +Ft!F$3*EXP(Ft!F$38*($A519-Ft!F$2)^2) + Ft!G$3*EXP(Ft!G$38*($A519-Ft!G$2)^2)</f>
        <v>18.916889334298471</v>
      </c>
      <c r="E519" s="26">
        <f>Ft!B$3*EXP(Ft!B$38*($A519-Ft!B$2)^2)</f>
        <v>2.7961767950935781E-122</v>
      </c>
      <c r="F519" s="26">
        <f>Ft!C$3*EXP(Ft!C$38*($A519-Ft!C$2)^2)</f>
        <v>8.1500326225596574E-5</v>
      </c>
      <c r="G519" s="26">
        <f>Ft!D$3*EXP(Ft!D$38*($A519-Ft!D$2)^2)</f>
        <v>17.433146579764852</v>
      </c>
      <c r="H519" s="26">
        <f>Ft!E$3*EXP(Ft!E$38*($A519-Ft!E$2)^2)</f>
        <v>1.4836612542073946</v>
      </c>
      <c r="I519" s="26">
        <f>Ft!F$3*EXP(Ft!F$38*($A519-Ft!F$2)^2)</f>
        <v>2.1443027531727823E-27</v>
      </c>
      <c r="J519" s="26">
        <f>Ft!G$3*EXP(Ft!G$38*($A519-Ft!G$2)^2)</f>
        <v>3.3640522648965052E-115</v>
      </c>
    </row>
    <row r="520" spans="1:10">
      <c r="A520" s="19">
        <v>518</v>
      </c>
      <c r="B520" s="28">
        <v>20.641151346705755</v>
      </c>
      <c r="C520" s="27">
        <f ca="1">OFFSET($B520,1*(ROWS(C$2:C520)-1),0)</f>
        <v>0</v>
      </c>
      <c r="D520" s="26">
        <f>Ft!B$3*EXP(Ft!B$38*($A520-Ft!B$2)^2) +Ft!C$3*EXP(Ft!C$38*($A520-Ft!C$2)^2) + Ft!D$3*EXP(Ft!D$38*($A520-Ft!D$2)^2)+Ft!E$3*EXP(Ft!E$38*($A520-Ft!E$2)^2) +Ft!F$3*EXP(Ft!F$38*($A520-Ft!F$2)^2) + Ft!G$3*EXP(Ft!G$38*($A520-Ft!G$2)^2)</f>
        <v>18.900393807649365</v>
      </c>
      <c r="E520" s="26">
        <f>Ft!B$3*EXP(Ft!B$38*($A520-Ft!B$2)^2)</f>
        <v>8.4792514214570851E-123</v>
      </c>
      <c r="F520" s="26">
        <f>Ft!C$3*EXP(Ft!C$38*($A520-Ft!C$2)^2)</f>
        <v>7.6637681336285464E-5</v>
      </c>
      <c r="G520" s="26">
        <f>Ft!D$3*EXP(Ft!D$38*($A520-Ft!D$2)^2)</f>
        <v>17.39370310044707</v>
      </c>
      <c r="H520" s="26">
        <f>Ft!E$3*EXP(Ft!E$38*($A520-Ft!E$2)^2)</f>
        <v>1.5066140695209616</v>
      </c>
      <c r="I520" s="26">
        <f>Ft!F$3*EXP(Ft!F$38*($A520-Ft!F$2)^2)</f>
        <v>2.78121718220547E-27</v>
      </c>
      <c r="J520" s="26">
        <f>Ft!G$3*EXP(Ft!G$38*($A520-Ft!G$2)^2)</f>
        <v>9.178235352827138E-115</v>
      </c>
    </row>
    <row r="521" spans="1:10">
      <c r="A521" s="19">
        <v>519</v>
      </c>
      <c r="B521" s="28">
        <v>20.466362429682363</v>
      </c>
      <c r="C521" s="27">
        <f ca="1">OFFSET($B521,1*(ROWS(C$2:C521)-1),0)</f>
        <v>0</v>
      </c>
      <c r="D521" s="26">
        <f>Ft!B$3*EXP(Ft!B$38*($A521-Ft!B$2)^2) +Ft!C$3*EXP(Ft!C$38*($A521-Ft!C$2)^2) + Ft!D$3*EXP(Ft!D$38*($A521-Ft!D$2)^2)+Ft!E$3*EXP(Ft!E$38*($A521-Ft!E$2)^2) +Ft!F$3*EXP(Ft!F$38*($A521-Ft!F$2)^2) + Ft!G$3*EXP(Ft!G$38*($A521-Ft!G$2)^2)</f>
        <v>18.883642163404915</v>
      </c>
      <c r="E521" s="26">
        <f>Ft!B$3*EXP(Ft!B$38*($A521-Ft!B$2)^2)</f>
        <v>2.5647950612139907E-123</v>
      </c>
      <c r="F521" s="26">
        <f>Ft!C$3*EXP(Ft!C$38*($A521-Ft!C$2)^2)</f>
        <v>7.2053461492692459E-5</v>
      </c>
      <c r="G521" s="26">
        <f>Ft!D$3*EXP(Ft!D$38*($A521-Ft!D$2)^2)</f>
        <v>17.353725149748723</v>
      </c>
      <c r="H521" s="26">
        <f>Ft!E$3*EXP(Ft!E$38*($A521-Ft!E$2)^2)</f>
        <v>1.5298449601946991</v>
      </c>
      <c r="I521" s="26">
        <f>Ft!F$3*EXP(Ft!F$38*($A521-Ft!F$2)^2)</f>
        <v>3.6053715125281852E-27</v>
      </c>
      <c r="J521" s="26">
        <f>Ft!G$3*EXP(Ft!G$38*($A521-Ft!G$2)^2)</f>
        <v>2.4993661191151521E-114</v>
      </c>
    </row>
    <row r="522" spans="1:10">
      <c r="A522" s="19">
        <v>520</v>
      </c>
      <c r="B522" s="28">
        <v>20.279577940908041</v>
      </c>
      <c r="C522" s="27">
        <f ca="1">OFFSET($B522,1*(ROWS(C$2:C522)-1),0)</f>
        <v>0</v>
      </c>
      <c r="D522" s="26">
        <f>Ft!B$3*EXP(Ft!B$38*($A522-Ft!B$2)^2) +Ft!C$3*EXP(Ft!C$38*($A522-Ft!C$2)^2) + Ft!D$3*EXP(Ft!D$38*($A522-Ft!D$2)^2)+Ft!E$3*EXP(Ft!E$38*($A522-Ft!E$2)^2) +Ft!F$3*EXP(Ft!F$38*($A522-Ft!F$2)^2) + Ft!G$3*EXP(Ft!G$38*($A522-Ft!G$2)^2)</f>
        <v>18.866640415983859</v>
      </c>
      <c r="E522" s="26">
        <f>Ft!B$3*EXP(Ft!B$38*($A522-Ft!B$2)^2)</f>
        <v>7.7383807570100483E-124</v>
      </c>
      <c r="F522" s="26">
        <f>Ft!C$3*EXP(Ft!C$38*($A522-Ft!C$2)^2)</f>
        <v>6.7732456252744008E-5</v>
      </c>
      <c r="G522" s="26">
        <f>Ft!D$3*EXP(Ft!D$38*($A522-Ft!D$2)^2)</f>
        <v>17.313216826415889</v>
      </c>
      <c r="H522" s="26">
        <f>Ft!E$3*EXP(Ft!E$38*($A522-Ft!E$2)^2)</f>
        <v>1.5533558571117194</v>
      </c>
      <c r="I522" s="26">
        <f>Ft!F$3*EXP(Ft!F$38*($A522-Ft!F$2)^2)</f>
        <v>4.6712322491202445E-27</v>
      </c>
      <c r="J522" s="26">
        <f>Ft!G$3*EXP(Ft!G$38*($A522-Ft!G$2)^2)</f>
        <v>6.7932062388311832E-114</v>
      </c>
    </row>
    <row r="523" spans="1:10">
      <c r="A523" s="19">
        <v>521</v>
      </c>
      <c r="B523" s="28">
        <v>20.087938151546609</v>
      </c>
      <c r="C523" s="27">
        <f ca="1">OFFSET($B523,1*(ROWS(C$2:C523)-1),0)</f>
        <v>0</v>
      </c>
      <c r="D523" s="26">
        <f>Ft!B$3*EXP(Ft!B$38*($A523-Ft!B$2)^2) +Ft!C$3*EXP(Ft!C$38*($A523-Ft!C$2)^2) + Ft!D$3*EXP(Ft!D$38*($A523-Ft!D$2)^2)+Ft!E$3*EXP(Ft!E$38*($A523-Ft!E$2)^2) +Ft!F$3*EXP(Ft!F$38*($A523-Ft!F$2)^2) + Ft!G$3*EXP(Ft!G$38*($A523-Ft!G$2)^2)</f>
        <v>18.849394615329409</v>
      </c>
      <c r="E523" s="26">
        <f>Ft!B$3*EXP(Ft!B$38*($A523-Ft!B$2)^2)</f>
        <v>2.3288943706557558E-124</v>
      </c>
      <c r="F523" s="26">
        <f>Ft!C$3*EXP(Ft!C$38*($A523-Ft!C$2)^2)</f>
        <v>6.366024181453725E-5</v>
      </c>
      <c r="G523" s="26">
        <f>Ft!D$3*EXP(Ft!D$38*($A523-Ft!D$2)^2)</f>
        <v>17.272182276818899</v>
      </c>
      <c r="H523" s="26">
        <f>Ft!E$3*EXP(Ft!E$38*($A523-Ft!E$2)^2)</f>
        <v>1.5771486782686939</v>
      </c>
      <c r="I523" s="26">
        <f>Ft!F$3*EXP(Ft!F$38*($A523-Ft!F$2)^2)</f>
        <v>6.0489391641174701E-27</v>
      </c>
      <c r="J523" s="26">
        <f>Ft!G$3*EXP(Ft!G$38*($A523-Ft!G$2)^2)</f>
        <v>1.8428668346652444E-113</v>
      </c>
    </row>
    <row r="524" spans="1:10">
      <c r="A524" s="19">
        <v>522</v>
      </c>
      <c r="B524" s="28">
        <v>19.875594201563047</v>
      </c>
      <c r="C524" s="27">
        <f ca="1">OFFSET($B524,1*(ROWS(C$2:C524)-1),0)</f>
        <v>0</v>
      </c>
      <c r="D524" s="26">
        <f>Ft!B$3*EXP(Ft!B$38*($A524-Ft!B$2)^2) +Ft!C$3*EXP(Ft!C$38*($A524-Ft!C$2)^2) + Ft!D$3*EXP(Ft!D$38*($A524-Ft!D$2)^2)+Ft!E$3*EXP(Ft!E$38*($A524-Ft!E$2)^2) +Ft!F$3*EXP(Ft!F$38*($A524-Ft!F$2)^2) + Ft!G$3*EXP(Ft!G$38*($A524-Ft!G$2)^2)</f>
        <v>18.83191084557739</v>
      </c>
      <c r="E524" s="26">
        <f>Ft!B$3*EXP(Ft!B$38*($A524-Ft!B$2)^2)</f>
        <v>6.9912005042003326E-125</v>
      </c>
      <c r="F524" s="26">
        <f>Ft!C$3*EXP(Ft!C$38*($A524-Ft!C$2)^2)</f>
        <v>5.9823142927609628E-5</v>
      </c>
      <c r="G524" s="26">
        <f>Ft!D$3*EXP(Ft!D$38*($A524-Ft!D$2)^2)</f>
        <v>17.230625694245798</v>
      </c>
      <c r="H524" s="26">
        <f>Ft!E$3*EXP(Ft!E$38*($A524-Ft!E$2)^2)</f>
        <v>1.6012253281886653</v>
      </c>
      <c r="I524" s="26">
        <f>Ft!F$3*EXP(Ft!F$38*($A524-Ft!F$2)^2)</f>
        <v>7.8287656238291696E-27</v>
      </c>
      <c r="J524" s="26">
        <f>Ft!G$3*EXP(Ft!G$38*($A524-Ft!G$2)^2)</f>
        <v>4.9898482919726248E-113</v>
      </c>
    </row>
    <row r="525" spans="1:10">
      <c r="A525" s="19">
        <v>523</v>
      </c>
      <c r="B525" s="28">
        <v>19.656844071669298</v>
      </c>
      <c r="C525" s="27">
        <f ca="1">OFFSET($B525,1*(ROWS(C$2:C525)-1),0)</f>
        <v>0</v>
      </c>
      <c r="D525" s="26">
        <f>Ft!B$3*EXP(Ft!B$38*($A525-Ft!B$2)^2) +Ft!C$3*EXP(Ft!C$38*($A525-Ft!C$2)^2) + Ft!D$3*EXP(Ft!D$38*($A525-Ft!D$2)^2)+Ft!E$3*EXP(Ft!E$38*($A525-Ft!E$2)^2) +Ft!F$3*EXP(Ft!F$38*($A525-Ft!F$2)^2) + Ft!G$3*EXP(Ft!G$38*($A525-Ft!G$2)^2)</f>
        <v>18.814195223713799</v>
      </c>
      <c r="E525" s="26">
        <f>Ft!B$3*EXP(Ft!B$38*($A525-Ft!B$2)^2)</f>
        <v>2.0934181945336509E-125</v>
      </c>
      <c r="F525" s="26">
        <f>Ft!C$3*EXP(Ft!C$38*($A525-Ft!C$2)^2)</f>
        <v>5.6208196501928615E-5</v>
      </c>
      <c r="G525" s="26">
        <f>Ft!D$3*EXP(Ft!D$38*($A525-Ft!D$2)^2)</f>
        <v>17.188551318189027</v>
      </c>
      <c r="H525" s="26">
        <f>Ft!E$3*EXP(Ft!E$38*($A525-Ft!E$2)^2)</f>
        <v>1.6255876973282699</v>
      </c>
      <c r="I525" s="26">
        <f>Ft!F$3*EXP(Ft!F$38*($A525-Ft!F$2)^2)</f>
        <v>1.012683385186505E-26</v>
      </c>
      <c r="J525" s="26">
        <f>Ft!G$3*EXP(Ft!G$38*($A525-Ft!G$2)^2)</f>
        <v>1.3485124562483489E-112</v>
      </c>
    </row>
    <row r="526" spans="1:10">
      <c r="A526" s="19">
        <v>524</v>
      </c>
      <c r="B526" s="28">
        <v>19.444158818929907</v>
      </c>
      <c r="C526" s="27">
        <f ca="1">OFFSET($B526,1*(ROWS(C$2:C526)-1),0)</f>
        <v>0</v>
      </c>
      <c r="D526" s="26">
        <f>Ft!B$3*EXP(Ft!B$38*($A526-Ft!B$2)^2) +Ft!C$3*EXP(Ft!C$38*($A526-Ft!C$2)^2) + Ft!D$3*EXP(Ft!D$38*($A526-Ft!D$2)^2)+Ft!E$3*EXP(Ft!E$38*($A526-Ft!E$2)^2) +Ft!F$3*EXP(Ft!F$38*($A526-Ft!F$2)^2) + Ft!G$3*EXP(Ft!G$38*($A526-Ft!G$2)^2)</f>
        <v>18.796253898221853</v>
      </c>
      <c r="E526" s="26">
        <f>Ft!B$3*EXP(Ft!B$38*($A526-Ft!B$2)^2)</f>
        <v>6.2526267090324556E-126</v>
      </c>
      <c r="F526" s="26">
        <f>Ft!C$3*EXP(Ft!C$38*($A526-Ft!C$2)^2)</f>
        <v>5.280311684690863E-5</v>
      </c>
      <c r="G526" s="26">
        <f>Ft!D$3*EXP(Ft!D$38*($A526-Ft!D$2)^2)</f>
        <v>17.145963433625543</v>
      </c>
      <c r="H526" s="26">
        <f>Ft!E$3*EXP(Ft!E$38*($A526-Ft!E$2)^2)</f>
        <v>1.6502376614794612</v>
      </c>
      <c r="I526" s="26">
        <f>Ft!F$3*EXP(Ft!F$38*($A526-Ft!F$2)^2)</f>
        <v>1.3092434097114791E-26</v>
      </c>
      <c r="J526" s="26">
        <f>Ft!G$3*EXP(Ft!G$38*($A526-Ft!G$2)^2)</f>
        <v>3.6374481887063874E-112</v>
      </c>
    </row>
    <row r="527" spans="1:10">
      <c r="A527" s="19">
        <v>525</v>
      </c>
      <c r="B527" s="28">
        <v>19.251929411520791</v>
      </c>
      <c r="C527" s="27">
        <f ca="1">OFFSET($B527,1*(ROWS(C$2:C527)-1),0)</f>
        <v>0</v>
      </c>
      <c r="D527" s="26">
        <f>Ft!B$3*EXP(Ft!B$38*($A527-Ft!B$2)^2) +Ft!C$3*EXP(Ft!C$38*($A527-Ft!C$2)^2) + Ft!D$3*EXP(Ft!D$38*($A527-Ft!D$2)^2)+Ft!E$3*EXP(Ft!E$38*($A527-Ft!E$2)^2) +Ft!F$3*EXP(Ft!F$38*($A527-Ft!F$2)^2) + Ft!G$3*EXP(Ft!G$38*($A527-Ft!G$2)^2)</f>
        <v>18.778093047718794</v>
      </c>
      <c r="E527" s="26">
        <f>Ft!B$3*EXP(Ft!B$38*($A527-Ft!B$2)^2)</f>
        <v>1.8628216583528363E-126</v>
      </c>
      <c r="F527" s="26">
        <f>Ft!C$3*EXP(Ft!C$38*($A527-Ft!C$2)^2)</f>
        <v>4.959626247504445E-5</v>
      </c>
      <c r="G527" s="26">
        <f>Ft!D$3*EXP(Ft!D$38*($A527-Ft!D$2)^2)</f>
        <v>17.102866370290485</v>
      </c>
      <c r="H527" s="26">
        <f>Ft!E$3*EXP(Ft!E$38*($A527-Ft!E$2)^2)</f>
        <v>1.6751770811658346</v>
      </c>
      <c r="I527" s="26">
        <f>Ft!F$3*EXP(Ft!F$38*($A527-Ft!F$2)^2)</f>
        <v>1.6917392552316262E-26</v>
      </c>
      <c r="J527" s="26">
        <f>Ft!G$3*EXP(Ft!G$38*($A527-Ft!G$2)^2)</f>
        <v>9.7929356932586958E-112</v>
      </c>
    </row>
    <row r="528" spans="1:10">
      <c r="A528" s="19">
        <v>526</v>
      </c>
      <c r="B528" s="28">
        <v>19.0746168260753</v>
      </c>
      <c r="C528" s="27">
        <f ca="1">OFFSET($B528,1*(ROWS(C$2:C528)-1),0)</f>
        <v>0</v>
      </c>
      <c r="D528" s="26">
        <f>Ft!B$3*EXP(Ft!B$38*($A528-Ft!B$2)^2) +Ft!C$3*EXP(Ft!C$38*($A528-Ft!C$2)^2) + Ft!D$3*EXP(Ft!D$38*($A528-Ft!D$2)^2)+Ft!E$3*EXP(Ft!E$38*($A528-Ft!E$2)^2) +Ft!F$3*EXP(Ft!F$38*($A528-Ft!F$2)^2) + Ft!G$3*EXP(Ft!G$38*($A528-Ft!G$2)^2)</f>
        <v>18.75971887958271</v>
      </c>
      <c r="E528" s="26">
        <f>Ft!B$3*EXP(Ft!B$38*($A528-Ft!B$2)^2)</f>
        <v>5.5358246623645644E-127</v>
      </c>
      <c r="F528" s="26">
        <f>Ft!C$3*EXP(Ft!C$38*($A528-Ft!C$2)^2)</f>
        <v>4.6576604406967979E-5</v>
      </c>
      <c r="G528" s="26">
        <f>Ft!D$3*EXP(Ft!D$38*($A528-Ft!D$2)^2)</f>
        <v>17.059264501944643</v>
      </c>
      <c r="H528" s="26">
        <f>Ft!E$3*EXP(Ft!E$38*($A528-Ft!E$2)^2)</f>
        <v>1.7004078010336587</v>
      </c>
      <c r="I528" s="26">
        <f>Ft!F$3*EXP(Ft!F$38*($A528-Ft!F$2)^2)</f>
        <v>2.1848054762399719E-26</v>
      </c>
      <c r="J528" s="26">
        <f>Ft!G$3*EXP(Ft!G$38*($A528-Ft!G$2)^2)</f>
        <v>2.6314990789267655E-111</v>
      </c>
    </row>
    <row r="529" spans="1:10">
      <c r="A529" s="19">
        <v>527</v>
      </c>
      <c r="B529" s="28">
        <v>18.878787364281266</v>
      </c>
      <c r="C529" s="27">
        <f ca="1">OFFSET($B529,1*(ROWS(C$2:C529)-1),0)</f>
        <v>0</v>
      </c>
      <c r="D529" s="26">
        <f>Ft!B$3*EXP(Ft!B$38*($A529-Ft!B$2)^2) +Ft!C$3*EXP(Ft!C$38*($A529-Ft!C$2)^2) + Ft!D$3*EXP(Ft!D$38*($A529-Ft!D$2)^2)+Ft!E$3*EXP(Ft!E$38*($A529-Ft!E$2)^2) +Ft!F$3*EXP(Ft!F$38*($A529-Ft!F$2)^2) + Ft!G$3*EXP(Ft!G$38*($A529-Ft!G$2)^2)</f>
        <v>18.741137628569415</v>
      </c>
      <c r="E529" s="26">
        <f>Ft!B$3*EXP(Ft!B$38*($A529-Ft!B$2)^2)</f>
        <v>1.6409511169327972E-127</v>
      </c>
      <c r="F529" s="26">
        <f>Ft!C$3*EXP(Ft!C$38*($A529-Ft!C$2)^2)</f>
        <v>4.3733695916910574E-5</v>
      </c>
      <c r="G529" s="26">
        <f>Ft!D$3*EXP(Ft!D$38*($A529-Ft!D$2)^2)</f>
        <v>17.015162245635789</v>
      </c>
      <c r="H529" s="26">
        <f>Ft!E$3*EXP(Ft!E$38*($A529-Ft!E$2)^2)</f>
        <v>1.7259316492377068</v>
      </c>
      <c r="I529" s="26">
        <f>Ft!F$3*EXP(Ft!F$38*($A529-Ft!F$2)^2)</f>
        <v>2.820060614146474E-26</v>
      </c>
      <c r="J529" s="26">
        <f>Ft!G$3*EXP(Ft!G$38*($A529-Ft!G$2)^2)</f>
        <v>7.0577744476654753E-111</v>
      </c>
    </row>
    <row r="530" spans="1:10">
      <c r="A530" s="19">
        <v>528</v>
      </c>
      <c r="B530" s="28">
        <v>18.707452047603397</v>
      </c>
      <c r="C530" s="27">
        <f ca="1">OFFSET($B530,1*(ROWS(C$2:C530)-1),0)</f>
        <v>0</v>
      </c>
      <c r="D530" s="26">
        <f>Ft!B$3*EXP(Ft!B$38*($A530-Ft!B$2)^2) +Ft!C$3*EXP(Ft!C$38*($A530-Ft!C$2)^2) + Ft!D$3*EXP(Ft!D$38*($A530-Ft!D$2)^2)+Ft!E$3*EXP(Ft!E$38*($A530-Ft!E$2)^2) +Ft!F$3*EXP(Ft!F$38*($A530-Ft!F$2)^2) + Ft!G$3*EXP(Ft!G$38*($A530-Ft!G$2)^2)</f>
        <v>18.722355555419846</v>
      </c>
      <c r="E530" s="26">
        <f>Ft!B$3*EXP(Ft!B$38*($A530-Ft!B$2)^2)</f>
        <v>4.8518931907903128E-128</v>
      </c>
      <c r="F530" s="26">
        <f>Ft!C$3*EXP(Ft!C$38*($A530-Ft!C$2)^2)</f>
        <v>4.1057643659661821E-5</v>
      </c>
      <c r="G530" s="26">
        <f>Ft!D$3*EXP(Ft!D$38*($A530-Ft!D$2)^2)</f>
        <v>16.970564060954175</v>
      </c>
      <c r="H530" s="26">
        <f>Ft!E$3*EXP(Ft!E$38*($A530-Ft!E$2)^2)</f>
        <v>1.7517504368220125</v>
      </c>
      <c r="I530" s="26">
        <f>Ft!F$3*EXP(Ft!F$38*($A530-Ft!F$2)^2)</f>
        <v>3.6380647895568794E-26</v>
      </c>
      <c r="J530" s="26">
        <f>Ft!G$3*EXP(Ft!G$38*($A530-Ft!G$2)^2)</f>
        <v>1.8893245193985636E-110</v>
      </c>
    </row>
    <row r="531" spans="1:10">
      <c r="A531" s="19">
        <v>529</v>
      </c>
      <c r="B531" s="28">
        <v>18.521116622105041</v>
      </c>
      <c r="C531" s="27">
        <f ca="1">OFFSET($B531,1*(ROWS(C$2:C531)-1),0)</f>
        <v>0</v>
      </c>
      <c r="D531" s="26">
        <f>Ft!B$3*EXP(Ft!B$38*($A531-Ft!B$2)^2) +Ft!C$3*EXP(Ft!C$38*($A531-Ft!C$2)^2) + Ft!D$3*EXP(Ft!D$38*($A531-Ft!D$2)^2)+Ft!E$3*EXP(Ft!E$38*($A531-Ft!E$2)^2) +Ft!F$3*EXP(Ft!F$38*($A531-Ft!F$2)^2) + Ft!G$3*EXP(Ft!G$38*($A531-Ft!G$2)^2)</f>
        <v>18.703378945458034</v>
      </c>
      <c r="E531" s="26">
        <f>Ft!B$3*EXP(Ft!B$38*($A531-Ft!B$2)^2)</f>
        <v>1.4309652585329843E-128</v>
      </c>
      <c r="F531" s="26">
        <f>Ft!C$3*EXP(Ft!C$38*($A531-Ft!C$2)^2)</f>
        <v>3.8539080122178916E-5</v>
      </c>
      <c r="G531" s="26">
        <f>Ft!D$3*EXP(Ft!D$38*($A531-Ft!D$2)^2)</f>
        <v>16.925474449282262</v>
      </c>
      <c r="H531" s="26">
        <f>Ft!E$3*EXP(Ft!E$38*($A531-Ft!E$2)^2)</f>
        <v>1.7778659570956508</v>
      </c>
      <c r="I531" s="26">
        <f>Ft!F$3*EXP(Ft!F$38*($A531-Ft!F$2)^2)</f>
        <v>4.690819626112585E-26</v>
      </c>
      <c r="J531" s="26">
        <f>Ft!G$3*EXP(Ft!G$38*($A531-Ft!G$2)^2)</f>
        <v>5.048002712702401E-110</v>
      </c>
    </row>
    <row r="532" spans="1:10">
      <c r="A532" s="19">
        <v>530</v>
      </c>
      <c r="B532" s="28">
        <v>18.32138400004203</v>
      </c>
      <c r="C532" s="27">
        <f ca="1">OFFSET($B532,1*(ROWS(C$2:C532)-1),0)</f>
        <v>0</v>
      </c>
      <c r="D532" s="26">
        <f>Ft!B$3*EXP(Ft!B$38*($A532-Ft!B$2)^2) +Ft!C$3*EXP(Ft!C$38*($A532-Ft!C$2)^2) + Ft!D$3*EXP(Ft!D$38*($A532-Ft!D$2)^2)+Ft!E$3*EXP(Ft!E$38*($A532-Ft!E$2)^2) +Ft!F$3*EXP(Ft!F$38*($A532-Ft!F$2)^2) + Ft!G$3*EXP(Ft!G$38*($A532-Ft!G$2)^2)</f>
        <v>18.684214107179915</v>
      </c>
      <c r="E532" s="26">
        <f>Ft!B$3*EXP(Ft!B$38*($A532-Ft!B$2)^2)</f>
        <v>4.2096813013768522E-129</v>
      </c>
      <c r="F532" s="26">
        <f>Ft!C$3*EXP(Ft!C$38*($A532-Ft!C$2)^2)</f>
        <v>3.6169137345007511E-5</v>
      </c>
      <c r="G532" s="26">
        <f>Ft!D$3*EXP(Ft!D$38*($A532-Ft!D$2)^2)</f>
        <v>16.879897953038913</v>
      </c>
      <c r="H532" s="26">
        <f>Ft!E$3*EXP(Ft!E$38*($A532-Ft!E$2)^2)</f>
        <v>1.8042799850036575</v>
      </c>
      <c r="I532" s="26">
        <f>Ft!F$3*EXP(Ft!F$38*($A532-Ft!F$2)^2)</f>
        <v>6.0449589578527914E-26</v>
      </c>
      <c r="J532" s="26">
        <f>Ft!G$3*EXP(Ft!G$38*($A532-Ft!G$2)^2)</f>
        <v>1.3461914609541033E-109</v>
      </c>
    </row>
    <row r="533" spans="1:10">
      <c r="A533" s="19">
        <v>531</v>
      </c>
      <c r="B533" s="28">
        <v>18.122879585992337</v>
      </c>
      <c r="C533" s="27">
        <f ca="1">OFFSET($B533,1*(ROWS(C$2:C533)-1),0)</f>
        <v>0</v>
      </c>
      <c r="D533" s="26">
        <f>Ft!B$3*EXP(Ft!B$38*($A533-Ft!B$2)^2) +Ft!C$3*EXP(Ft!C$38*($A533-Ft!C$2)^2) + Ft!D$3*EXP(Ft!D$38*($A533-Ft!D$2)^2)+Ft!E$3*EXP(Ft!E$38*($A533-Ft!E$2)^2) +Ft!F$3*EXP(Ft!F$38*($A533-Ft!F$2)^2) + Ft!G$3*EXP(Ft!G$38*($A533-Ft!G$2)^2)</f>
        <v>18.664867370833313</v>
      </c>
      <c r="E533" s="26">
        <f>Ft!B$3*EXP(Ft!B$38*($A533-Ft!B$2)^2)</f>
        <v>1.2352976549165102E-129</v>
      </c>
      <c r="F533" s="26">
        <f>Ft!C$3*EXP(Ft!C$38*($A533-Ft!C$2)^2)</f>
        <v>3.3939421860623767E-5</v>
      </c>
      <c r="G533" s="26">
        <f>Ft!D$3*EXP(Ft!D$38*($A533-Ft!D$2)^2)</f>
        <v>16.833839154918234</v>
      </c>
      <c r="H533" s="26">
        <f>Ft!E$3*EXP(Ft!E$38*($A533-Ft!E$2)^2)</f>
        <v>1.8309942764932194</v>
      </c>
      <c r="I533" s="26">
        <f>Ft!F$3*EXP(Ft!F$38*($A533-Ft!F$2)^2)</f>
        <v>7.7858189076830766E-26</v>
      </c>
      <c r="J533" s="26">
        <f>Ft!G$3*EXP(Ft!G$38*($A533-Ft!G$2)^2)</f>
        <v>3.5831774501485974E-109</v>
      </c>
    </row>
    <row r="534" spans="1:10">
      <c r="A534" s="19">
        <v>532</v>
      </c>
      <c r="B534" s="28">
        <v>17.937824779081382</v>
      </c>
      <c r="C534" s="27">
        <f ca="1">OFFSET($B534,1*(ROWS(C$2:C534)-1),0)</f>
        <v>0</v>
      </c>
      <c r="D534" s="26">
        <f>Ft!B$3*EXP(Ft!B$38*($A534-Ft!B$2)^2) +Ft!C$3*EXP(Ft!C$38*($A534-Ft!C$2)^2) + Ft!D$3*EXP(Ft!D$38*($A534-Ft!D$2)^2)+Ft!E$3*EXP(Ft!E$38*($A534-Ft!E$2)^2) +Ft!F$3*EXP(Ft!F$38*($A534-Ft!F$2)^2) + Ft!G$3*EXP(Ft!G$38*($A534-Ft!G$2)^2)</f>
        <v>18.645345086989231</v>
      </c>
      <c r="E534" s="26">
        <f>Ft!B$3*EXP(Ft!B$38*($A534-Ft!B$2)^2)</f>
        <v>3.6157324409197825E-130</v>
      </c>
      <c r="F534" s="26">
        <f>Ft!C$3*EXP(Ft!C$38*($A534-Ft!C$2)^2)</f>
        <v>3.1841990797711774E-5</v>
      </c>
      <c r="G534" s="26">
        <f>Ft!D$3*EXP(Ft!D$38*($A534-Ft!D$2)^2)</f>
        <v>16.787302677123193</v>
      </c>
      <c r="H534" s="26">
        <f>Ft!E$3*EXP(Ft!E$38*($A534-Ft!E$2)^2)</f>
        <v>1.8580105678752399</v>
      </c>
      <c r="I534" s="26">
        <f>Ft!F$3*EXP(Ft!F$38*($A534-Ft!F$2)^2)</f>
        <v>1.0022626773631624E-25</v>
      </c>
      <c r="J534" s="26">
        <f>Ft!G$3*EXP(Ft!G$38*($A534-Ft!G$2)^2)</f>
        <v>9.5192785288818121E-109</v>
      </c>
    </row>
    <row r="535" spans="1:10">
      <c r="A535" s="19">
        <v>533</v>
      </c>
      <c r="B535" s="28">
        <v>17.746935522827329</v>
      </c>
      <c r="C535" s="27">
        <f ca="1">OFFSET($B535,1*(ROWS(C$2:C535)-1),0)</f>
        <v>0</v>
      </c>
      <c r="D535" s="26">
        <f>Ft!B$3*EXP(Ft!B$38*($A535-Ft!B$2)^2) +Ft!C$3*EXP(Ft!C$38*($A535-Ft!C$2)^2) + Ft!D$3*EXP(Ft!D$38*($A535-Ft!D$2)^2)+Ft!E$3*EXP(Ft!E$38*($A535-Ft!E$2)^2) +Ft!F$3*EXP(Ft!F$38*($A535-Ft!F$2)^2) + Ft!G$3*EXP(Ft!G$38*($A535-Ft!G$2)^2)</f>
        <v>18.625653625104782</v>
      </c>
      <c r="E535" s="26">
        <f>Ft!B$3*EXP(Ft!B$38*($A535-Ft!B$2)^2)</f>
        <v>1.0556579554653846E-130</v>
      </c>
      <c r="F535" s="26">
        <f>Ft!C$3*EXP(Ft!C$38*($A535-Ft!C$2)^2)</f>
        <v>2.9869329102235174E-5</v>
      </c>
      <c r="G535" s="26">
        <f>Ft!D$3*EXP(Ft!D$38*($A535-Ft!D$2)^2)</f>
        <v>16.740293180594257</v>
      </c>
      <c r="H535" s="26">
        <f>Ft!E$3*EXP(Ft!E$38*($A535-Ft!E$2)^2)</f>
        <v>1.8853305751814253</v>
      </c>
      <c r="I535" s="26">
        <f>Ft!F$3*EXP(Ft!F$38*($A535-Ft!F$2)^2)</f>
        <v>1.2895112544482957E-25</v>
      </c>
      <c r="J535" s="26">
        <f>Ft!G$3*EXP(Ft!G$38*($A535-Ft!G$2)^2)</f>
        <v>2.5241431735494677E-108</v>
      </c>
    </row>
    <row r="536" spans="1:10">
      <c r="A536" s="19">
        <v>534</v>
      </c>
      <c r="B536" s="28">
        <v>17.564103574889884</v>
      </c>
      <c r="C536" s="27">
        <f ca="1">OFFSET($B536,1*(ROWS(C$2:C536)-1),0)</f>
        <v>0</v>
      </c>
      <c r="D536" s="26">
        <f>Ft!B$3*EXP(Ft!B$38*($A536-Ft!B$2)^2) +Ft!C$3*EXP(Ft!C$38*($A536-Ft!C$2)^2) + Ft!D$3*EXP(Ft!D$38*($A536-Ft!D$2)^2)+Ft!E$3*EXP(Ft!E$38*($A536-Ft!E$2)^2) +Ft!F$3*EXP(Ft!F$38*($A536-Ft!F$2)^2) + Ft!G$3*EXP(Ft!G$38*($A536-Ft!G$2)^2)</f>
        <v>18.605799372077996</v>
      </c>
      <c r="E536" s="26">
        <f>Ft!B$3*EXP(Ft!B$38*($A536-Ft!B$2)^2)</f>
        <v>3.0743438123266411E-131</v>
      </c>
      <c r="F536" s="26">
        <f>Ft!C$3*EXP(Ft!C$38*($A536-Ft!C$2)^2)</f>
        <v>2.8014327827958393E-5</v>
      </c>
      <c r="G536" s="26">
        <f>Ft!D$3*EXP(Ft!D$38*($A536-Ft!D$2)^2)</f>
        <v>16.692815364233173</v>
      </c>
      <c r="H536" s="26">
        <f>Ft!E$3*EXP(Ft!E$38*($A536-Ft!E$2)^2)</f>
        <v>1.912955993516996</v>
      </c>
      <c r="I536" s="26">
        <f>Ft!F$3*EXP(Ft!F$38*($A536-Ft!F$2)^2)</f>
        <v>1.6581928342873676E-25</v>
      </c>
      <c r="J536" s="26">
        <f>Ft!G$3*EXP(Ft!G$38*($A536-Ft!G$2)^2)</f>
        <v>6.6803338844850607E-108</v>
      </c>
    </row>
    <row r="537" spans="1:10">
      <c r="A537" s="19">
        <v>535</v>
      </c>
      <c r="B537" s="28">
        <v>17.375260140419243</v>
      </c>
      <c r="C537" s="27">
        <f ca="1">OFFSET($B537,1*(ROWS(C$2:C537)-1),0)</f>
        <v>0</v>
      </c>
      <c r="D537" s="26">
        <f>Ft!B$3*EXP(Ft!B$38*($A537-Ft!B$2)^2) +Ft!C$3*EXP(Ft!C$38*($A537-Ft!C$2)^2) + Ft!D$3*EXP(Ft!D$38*($A537-Ft!D$2)^2)+Ft!E$3*EXP(Ft!E$38*($A537-Ft!E$2)^2) +Ft!F$3*EXP(Ft!F$38*($A537-Ft!F$2)^2) + Ft!G$3*EXP(Ft!G$38*($A537-Ft!G$2)^2)</f>
        <v>18.585788730794743</v>
      </c>
      <c r="E537" s="26">
        <f>Ft!B$3*EXP(Ft!B$38*($A537-Ft!B$2)^2)</f>
        <v>8.9306673651528833E-132</v>
      </c>
      <c r="F537" s="26">
        <f>Ft!C$3*EXP(Ft!C$38*($A537-Ft!C$2)^2)</f>
        <v>2.6270263450817742E-5</v>
      </c>
      <c r="G537" s="26">
        <f>Ft!D$3*EXP(Ft!D$38*($A537-Ft!D$2)^2)</f>
        <v>16.644873964122109</v>
      </c>
      <c r="H537" s="26">
        <f>Ft!E$3*EXP(Ft!E$38*($A537-Ft!E$2)^2)</f>
        <v>1.9408884964091819</v>
      </c>
      <c r="I537" s="26">
        <f>Ft!F$3*EXP(Ft!F$38*($A537-Ft!F$2)^2)</f>
        <v>2.1311364139184388E-25</v>
      </c>
      <c r="J537" s="26">
        <f>Ft!G$3*EXP(Ft!G$38*($A537-Ft!G$2)^2)</f>
        <v>1.7646418966588781E-107</v>
      </c>
    </row>
    <row r="538" spans="1:10">
      <c r="A538" s="19">
        <v>536</v>
      </c>
      <c r="B538" s="28">
        <v>17.184596176401811</v>
      </c>
      <c r="C538" s="27">
        <f ca="1">OFFSET($B538,1*(ROWS(C$2:C538)-1),0)</f>
        <v>0</v>
      </c>
      <c r="D538" s="26">
        <f>Ft!B$3*EXP(Ft!B$38*($A538-Ft!B$2)^2) +Ft!C$3*EXP(Ft!C$38*($A538-Ft!C$2)^2) + Ft!D$3*EXP(Ft!D$38*($A538-Ft!D$2)^2)+Ft!E$3*EXP(Ft!E$38*($A538-Ft!E$2)^2) +Ft!F$3*EXP(Ft!F$38*($A538-Ft!F$2)^2) + Ft!G$3*EXP(Ft!G$38*($A538-Ft!G$2)^2)</f>
        <v>18.565628118668105</v>
      </c>
      <c r="E538" s="26">
        <f>Ft!B$3*EXP(Ft!B$38*($A538-Ft!B$2)^2)</f>
        <v>2.5877222710460329E-132</v>
      </c>
      <c r="F538" s="26">
        <f>Ft!C$3*EXP(Ft!C$38*($A538-Ft!C$2)^2)</f>
        <v>2.4630778163235739E-5</v>
      </c>
      <c r="G538" s="26">
        <f>Ft!D$3*EXP(Ft!D$38*($A538-Ft!D$2)^2)</f>
        <v>16.596473752738316</v>
      </c>
      <c r="H538" s="26">
        <f>Ft!E$3*EXP(Ft!E$38*($A538-Ft!E$2)^2)</f>
        <v>1.9691297351516257</v>
      </c>
      <c r="I538" s="26">
        <f>Ft!F$3*EXP(Ft!F$38*($A538-Ft!F$2)^2)</f>
        <v>2.7374978327507803E-25</v>
      </c>
      <c r="J538" s="26">
        <f>Ft!G$3*EXP(Ft!G$38*($A538-Ft!G$2)^2)</f>
        <v>4.6525305787985586E-107</v>
      </c>
    </row>
    <row r="539" spans="1:10">
      <c r="A539" s="19">
        <v>537</v>
      </c>
      <c r="B539" s="28">
        <v>16.981995412033939</v>
      </c>
      <c r="C539" s="27">
        <f ca="1">OFFSET($B539,1*(ROWS(C$2:C539)-1),0)</f>
        <v>0</v>
      </c>
      <c r="D539" s="26">
        <f>Ft!B$3*EXP(Ft!B$38*($A539-Ft!B$2)^2) +Ft!C$3*EXP(Ft!C$38*($A539-Ft!C$2)^2) + Ft!D$3*EXP(Ft!D$38*($A539-Ft!D$2)^2)+Ft!E$3*EXP(Ft!E$38*($A539-Ft!E$2)^2) +Ft!F$3*EXP(Ft!F$38*($A539-Ft!F$2)^2) + Ft!G$3*EXP(Ft!G$38*($A539-Ft!G$2)^2)</f>
        <v>18.545323966170436</v>
      </c>
      <c r="E539" s="26">
        <f>Ft!B$3*EXP(Ft!B$38*($A539-Ft!B$2)^2)</f>
        <v>7.4791748016734103E-133</v>
      </c>
      <c r="F539" s="26">
        <f>Ft!C$3*EXP(Ft!C$38*($A539-Ft!C$2)^2)</f>
        <v>2.3089861106118209E-5</v>
      </c>
      <c r="G539" s="26">
        <f>Ft!D$3*EXP(Ft!D$38*($A539-Ft!D$2)^2)</f>
        <v>16.547619538164511</v>
      </c>
      <c r="H539" s="26">
        <f>Ft!E$3*EXP(Ft!E$38*($A539-Ft!E$2)^2)</f>
        <v>1.9976813381448171</v>
      </c>
      <c r="I539" s="26">
        <f>Ft!F$3*EXP(Ft!F$38*($A539-Ft!F$2)^2)</f>
        <v>3.5144926290961161E-25</v>
      </c>
      <c r="J539" s="26">
        <f>Ft!G$3*EXP(Ft!G$38*($A539-Ft!G$2)^2)</f>
        <v>1.2243233132806097E-106</v>
      </c>
    </row>
    <row r="540" spans="1:10">
      <c r="A540" s="19">
        <v>538</v>
      </c>
      <c r="B540" s="28">
        <v>16.801105309908081</v>
      </c>
      <c r="C540" s="27">
        <f ca="1">OFFSET($B540,1*(ROWS(C$2:C540)-1),0)</f>
        <v>0</v>
      </c>
      <c r="D540" s="26">
        <f>Ft!B$3*EXP(Ft!B$38*($A540-Ft!B$2)^2) +Ft!C$3*EXP(Ft!C$38*($A540-Ft!C$2)^2) + Ft!D$3*EXP(Ft!D$38*($A540-Ft!D$2)^2)+Ft!E$3*EXP(Ft!E$38*($A540-Ft!E$2)^2) +Ft!F$3*EXP(Ft!F$38*($A540-Ft!F$2)^2) + Ft!G$3*EXP(Ft!G$38*($A540-Ft!G$2)^2)</f>
        <v>18.524882715358373</v>
      </c>
      <c r="E540" s="26">
        <f>Ft!B$3*EXP(Ft!B$38*($A540-Ft!B$2)^2)</f>
        <v>2.1562145575560722E-133</v>
      </c>
      <c r="F540" s="26">
        <f>Ft!C$3*EXP(Ft!C$38*($A540-Ft!C$2)^2)</f>
        <v>2.1641830497867723E-5</v>
      </c>
      <c r="G540" s="26">
        <f>Ft!D$3*EXP(Ft!D$38*($A540-Ft!D$2)^2)</f>
        <v>16.49831616329514</v>
      </c>
      <c r="H540" s="26">
        <f>Ft!E$3*EXP(Ft!E$38*($A540-Ft!E$2)^2)</f>
        <v>2.026544910232738</v>
      </c>
      <c r="I540" s="26">
        <f>Ft!F$3*EXP(Ft!F$38*($A540-Ft!F$2)^2)</f>
        <v>4.5095977813057763E-25</v>
      </c>
      <c r="J540" s="26">
        <f>Ft!G$3*EXP(Ft!G$38*($A540-Ft!G$2)^2)</f>
        <v>3.2157126600442241E-106</v>
      </c>
    </row>
    <row r="541" spans="1:10">
      <c r="A541" s="19">
        <v>539</v>
      </c>
      <c r="B541" s="28">
        <v>16.574851454633745</v>
      </c>
      <c r="C541" s="27">
        <f ca="1">OFFSET($B541,1*(ROWS(C$2:C541)-1),0)</f>
        <v>0</v>
      </c>
      <c r="D541" s="26">
        <f>Ft!B$3*EXP(Ft!B$38*($A541-Ft!B$2)^2) +Ft!C$3*EXP(Ft!C$38*($A541-Ft!C$2)^2) + Ft!D$3*EXP(Ft!D$38*($A541-Ft!D$2)^2)+Ft!E$3*EXP(Ft!E$38*($A541-Ft!E$2)^2) +Ft!F$3*EXP(Ft!F$38*($A541-Ft!F$2)^2) + Ft!G$3*EXP(Ft!G$38*($A541-Ft!G$2)^2)</f>
        <v>18.504310818391183</v>
      </c>
      <c r="E541" s="26">
        <f>Ft!B$3*EXP(Ft!B$38*($A541-Ft!B$2)^2)</f>
        <v>6.2005831290352898E-134</v>
      </c>
      <c r="F541" s="26">
        <f>Ft!C$3*EXP(Ft!C$38*($A541-Ft!C$2)^2)</f>
        <v>2.0281316621294427E-5</v>
      </c>
      <c r="G541" s="26">
        <f>Ft!D$3*EXP(Ft!D$38*($A541-Ft!D$2)^2)</f>
        <v>16.448568505038725</v>
      </c>
      <c r="H541" s="26">
        <f>Ft!E$3*EXP(Ft!E$38*($A541-Ft!E$2)^2)</f>
        <v>2.0557220320358329</v>
      </c>
      <c r="I541" s="26">
        <f>Ft!F$3*EXP(Ft!F$38*($A541-Ft!F$2)^2)</f>
        <v>5.7833476300946938E-25</v>
      </c>
      <c r="J541" s="26">
        <f>Ft!G$3*EXP(Ft!G$38*($A541-Ft!G$2)^2)</f>
        <v>8.4300972480898389E-106</v>
      </c>
    </row>
    <row r="542" spans="1:10">
      <c r="A542" s="19">
        <v>540</v>
      </c>
      <c r="B542" s="28">
        <v>16.36265177355375</v>
      </c>
      <c r="C542" s="27">
        <f ca="1">OFFSET($B542,1*(ROWS(C$2:C542)-1),0)</f>
        <v>0</v>
      </c>
      <c r="D542" s="26">
        <f>Ft!B$3*EXP(Ft!B$38*($A542-Ft!B$2)^2) +Ft!C$3*EXP(Ft!C$38*($A542-Ft!C$2)^2) + Ft!D$3*EXP(Ft!D$38*($A542-Ft!D$2)^2)+Ft!E$3*EXP(Ft!E$38*($A542-Ft!E$2)^2) +Ft!F$3*EXP(Ft!F$38*($A542-Ft!F$2)^2) + Ft!G$3*EXP(Ft!G$38*($A542-Ft!G$2)^2)</f>
        <v>18.483614736042576</v>
      </c>
      <c r="E542" s="26">
        <f>Ft!B$3*EXP(Ft!B$38*($A542-Ft!B$2)^2)</f>
        <v>1.7785880294075027E-134</v>
      </c>
      <c r="F542" s="26">
        <f>Ft!C$3*EXP(Ft!C$38*($A542-Ft!C$2)^2)</f>
        <v>1.9003245630806643E-5</v>
      </c>
      <c r="G542" s="26">
        <f>Ft!D$3*EXP(Ft!D$38*($A542-Ft!D$2)^2)</f>
        <v>16.39838147351648</v>
      </c>
      <c r="H542" s="26">
        <f>Ft!E$3*EXP(Ft!E$38*($A542-Ft!E$2)^2)</f>
        <v>2.0852142592804652</v>
      </c>
      <c r="I542" s="26">
        <f>Ft!F$3*EXP(Ft!F$38*($A542-Ft!F$2)^2)</f>
        <v>7.4128823317992649E-25</v>
      </c>
      <c r="J542" s="26">
        <f>Ft!G$3*EXP(Ft!G$38*($A542-Ft!G$2)^2)</f>
        <v>2.2057798586991149E-105</v>
      </c>
    </row>
    <row r="543" spans="1:10">
      <c r="A543" s="19">
        <v>541</v>
      </c>
      <c r="B543" s="28">
        <v>16.143782761275816</v>
      </c>
      <c r="C543" s="27">
        <f ca="1">OFFSET($B543,1*(ROWS(C$2:C543)-1),0)</f>
        <v>0</v>
      </c>
      <c r="D543" s="26">
        <f>Ft!B$3*EXP(Ft!B$38*($A543-Ft!B$2)^2) +Ft!C$3*EXP(Ft!C$38*($A543-Ft!C$2)^2) + Ft!D$3*EXP(Ft!D$38*($A543-Ft!D$2)^2)+Ft!E$3*EXP(Ft!E$38*($A543-Ft!E$2)^2) +Ft!F$3*EXP(Ft!F$38*($A543-Ft!F$2)^2) + Ft!G$3*EXP(Ft!G$38*($A543-Ft!G$2)^2)</f>
        <v>18.462800936206502</v>
      </c>
      <c r="E543" s="26">
        <f>Ft!B$3*EXP(Ft!B$38*($A543-Ft!B$2)^2)</f>
        <v>5.0888595644614434E-135</v>
      </c>
      <c r="F543" s="26">
        <f>Ft!C$3*EXP(Ft!C$38*($A543-Ft!C$2)^2)</f>
        <v>1.7802824143714922E-5</v>
      </c>
      <c r="G543" s="26">
        <f>Ft!D$3*EXP(Ft!D$38*($A543-Ft!D$2)^2)</f>
        <v>16.347760011257339</v>
      </c>
      <c r="H543" s="26">
        <f>Ft!E$3*EXP(Ft!E$38*($A543-Ft!E$2)^2)</f>
        <v>2.1150231221250197</v>
      </c>
      <c r="I543" s="26">
        <f>Ft!F$3*EXP(Ft!F$38*($A543-Ft!F$2)^2)</f>
        <v>9.4964488495784024E-25</v>
      </c>
      <c r="J543" s="26">
        <f>Ft!G$3*EXP(Ft!G$38*($A543-Ft!G$2)^2)</f>
        <v>5.7605769461964302E-105</v>
      </c>
    </row>
    <row r="544" spans="1:10">
      <c r="A544" s="19">
        <v>542</v>
      </c>
      <c r="B544" s="28">
        <v>15.94761556496104</v>
      </c>
      <c r="C544" s="27">
        <f ca="1">OFFSET($B544,1*(ROWS(C$2:C544)-1),0)</f>
        <v>0</v>
      </c>
      <c r="D544" s="26">
        <f>Ft!B$3*EXP(Ft!B$38*($A544-Ft!B$2)^2) +Ft!C$3*EXP(Ft!C$38*($A544-Ft!C$2)^2) + Ft!D$3*EXP(Ft!D$38*($A544-Ft!D$2)^2)+Ft!E$3*EXP(Ft!E$38*($A544-Ft!E$2)^2) +Ft!F$3*EXP(Ft!F$38*($A544-Ft!F$2)^2) + Ft!G$3*EXP(Ft!G$38*($A544-Ft!G$2)^2)</f>
        <v>18.441875892397018</v>
      </c>
      <c r="E544" s="26">
        <f>Ft!B$3*EXP(Ft!B$38*($A544-Ft!B$2)^2)</f>
        <v>1.4523384562640534E-135</v>
      </c>
      <c r="F544" s="26">
        <f>Ft!C$3*EXP(Ft!C$38*($A544-Ft!C$2)^2)</f>
        <v>1.6675524580893171E-5</v>
      </c>
      <c r="G544" s="26">
        <f>Ft!D$3*EXP(Ft!D$38*($A544-Ft!D$2)^2)</f>
        <v>16.296709092389644</v>
      </c>
      <c r="H544" s="26">
        <f>Ft!E$3*EXP(Ft!E$38*($A544-Ft!E$2)^2)</f>
        <v>2.145150124482794</v>
      </c>
      <c r="I544" s="26">
        <f>Ft!F$3*EXP(Ft!F$38*($A544-Ft!F$2)^2)</f>
        <v>1.2159106960050958E-24</v>
      </c>
      <c r="J544" s="26">
        <f>Ft!G$3*EXP(Ft!G$38*($A544-Ft!G$2)^2)</f>
        <v>1.501564631963869E-104</v>
      </c>
    </row>
    <row r="545" spans="1:10">
      <c r="A545" s="19">
        <v>543</v>
      </c>
      <c r="B545" s="28">
        <v>15.732220448871317</v>
      </c>
      <c r="C545" s="27">
        <f ca="1">OFFSET($B545,1*(ROWS(C$2:C545)-1),0)</f>
        <v>0</v>
      </c>
      <c r="D545" s="26">
        <f>Ft!B$3*EXP(Ft!B$38*($A545-Ft!B$2)^2) +Ft!C$3*EXP(Ft!C$38*($A545-Ft!C$2)^2) + Ft!D$3*EXP(Ft!D$38*($A545-Ft!D$2)^2)+Ft!E$3*EXP(Ft!E$38*($A545-Ft!E$2)^2) +Ft!F$3*EXP(Ft!F$38*($A545-Ft!F$2)^2) + Ft!G$3*EXP(Ft!G$38*($A545-Ft!G$2)^2)</f>
        <v>18.420846082242704</v>
      </c>
      <c r="E545" s="26">
        <f>Ft!B$3*EXP(Ft!B$38*($A545-Ft!B$2)^2)</f>
        <v>4.1344474713821805E-136</v>
      </c>
      <c r="F545" s="26">
        <f>Ft!C$3*EXP(Ft!C$38*($A545-Ft!C$2)^2)</f>
        <v>1.5617071223401993E-5</v>
      </c>
      <c r="G545" s="26">
        <f>Ft!D$3*EXP(Ft!D$38*($A545-Ft!D$2)^2)</f>
        <v>16.245233721829628</v>
      </c>
      <c r="H545" s="26">
        <f>Ft!E$3*EXP(Ft!E$38*($A545-Ft!E$2)^2)</f>
        <v>2.1755967433418522</v>
      </c>
      <c r="I545" s="26">
        <f>Ft!F$3*EXP(Ft!F$38*($A545-Ft!F$2)^2)</f>
        <v>1.5559958804861888E-24</v>
      </c>
      <c r="J545" s="26">
        <f>Ft!G$3*EXP(Ft!G$38*($A545-Ft!G$2)^2)</f>
        <v>3.9065763055091369E-104</v>
      </c>
    </row>
    <row r="546" spans="1:10">
      <c r="A546" s="19">
        <v>544</v>
      </c>
      <c r="B546" s="28">
        <v>15.507058607605018</v>
      </c>
      <c r="C546" s="27">
        <f ca="1">OFFSET($B546,1*(ROWS(C$2:C546)-1),0)</f>
        <v>0</v>
      </c>
      <c r="D546" s="26">
        <f>Ft!B$3*EXP(Ft!B$38*($A546-Ft!B$2)^2) +Ft!C$3*EXP(Ft!C$38*($A546-Ft!C$2)^2) + Ft!D$3*EXP(Ft!D$38*($A546-Ft!D$2)^2)+Ft!E$3*EXP(Ft!E$38*($A546-Ft!E$2)^2) +Ft!F$3*EXP(Ft!F$38*($A546-Ft!F$2)^2) + Ft!G$3*EXP(Ft!G$38*($A546-Ft!G$2)^2)</f>
        <v>18.399717985975833</v>
      </c>
      <c r="E546" s="26">
        <f>Ft!B$3*EXP(Ft!B$38*($A546-Ft!B$2)^2)</f>
        <v>1.1740034960088906E-136</v>
      </c>
      <c r="F546" s="26">
        <f>Ft!C$3*EXP(Ft!C$38*($A546-Ft!C$2)^2)</f>
        <v>1.4623426952998836E-5</v>
      </c>
      <c r="G546" s="26">
        <f>Ft!D$3*EXP(Ft!D$38*($A546-Ft!D$2)^2)</f>
        <v>16.19333893446689</v>
      </c>
      <c r="H546" s="26">
        <f>Ft!E$3*EXP(Ft!E$38*($A546-Ft!E$2)^2)</f>
        <v>2.2063644280819914</v>
      </c>
      <c r="I546" s="26">
        <f>Ft!F$3*EXP(Ft!F$38*($A546-Ft!F$2)^2)</f>
        <v>1.9901303617096828E-24</v>
      </c>
      <c r="J546" s="26">
        <f>Ft!G$3*EXP(Ft!G$38*($A546-Ft!G$2)^2)</f>
        <v>1.0144317325593162E-103</v>
      </c>
    </row>
    <row r="547" spans="1:10">
      <c r="A547" s="19">
        <v>545</v>
      </c>
      <c r="B547" s="28">
        <v>15.302537486369317</v>
      </c>
      <c r="C547" s="27">
        <f ca="1">OFFSET($B547,1*(ROWS(C$2:C547)-1),0)</f>
        <v>0</v>
      </c>
      <c r="D547" s="26">
        <f>Ft!B$3*EXP(Ft!B$38*($A547-Ft!B$2)^2) +Ft!C$3*EXP(Ft!C$38*($A547-Ft!C$2)^2) + Ft!D$3*EXP(Ft!D$38*($A547-Ft!D$2)^2)+Ft!E$3*EXP(Ft!E$38*($A547-Ft!E$2)^2) +Ft!F$3*EXP(Ft!F$38*($A547-Ft!F$2)^2) + Ft!G$3*EXP(Ft!G$38*($A547-Ft!G$2)^2)</f>
        <v>18.378498084916714</v>
      </c>
      <c r="E547" s="26">
        <f>Ft!B$3*EXP(Ft!B$38*($A547-Ft!B$2)^2)</f>
        <v>3.3252444099874048E-137</v>
      </c>
      <c r="F547" s="26">
        <f>Ft!C$3*EXP(Ft!C$38*($A547-Ft!C$2)^2)</f>
        <v>1.3690780645736519E-5</v>
      </c>
      <c r="G547" s="26">
        <f>Ft!D$3*EXP(Ft!D$38*($A547-Ft!D$2)^2)</f>
        <v>16.14102979434707</v>
      </c>
      <c r="H547" s="26">
        <f>Ft!E$3*EXP(Ft!E$38*($A547-Ft!E$2)^2)</f>
        <v>2.2374545997890012</v>
      </c>
      <c r="I547" s="26">
        <f>Ft!F$3*EXP(Ft!F$38*($A547-Ft!F$2)^2)</f>
        <v>2.5440223740597223E-24</v>
      </c>
      <c r="J547" s="26">
        <f>Ft!G$3*EXP(Ft!G$38*($A547-Ft!G$2)^2)</f>
        <v>2.6291996957496659E-103</v>
      </c>
    </row>
    <row r="548" spans="1:10">
      <c r="A548" s="19">
        <v>546</v>
      </c>
      <c r="B548" s="28">
        <v>15.097407080060833</v>
      </c>
      <c r="C548" s="27">
        <f ca="1">OFFSET($B548,1*(ROWS(C$2:C548)-1),0)</f>
        <v>0</v>
      </c>
      <c r="D548" s="26">
        <f>Ft!B$3*EXP(Ft!B$38*($A548-Ft!B$2)^2) +Ft!C$3*EXP(Ft!C$38*($A548-Ft!C$2)^2) + Ft!D$3*EXP(Ft!D$38*($A548-Ft!D$2)^2)+Ft!E$3*EXP(Ft!E$38*($A548-Ft!E$2)^2) +Ft!F$3*EXP(Ft!F$38*($A548-Ft!F$2)^2) + Ft!G$3*EXP(Ft!G$38*($A548-Ft!G$2)^2)</f>
        <v>18.357192859953415</v>
      </c>
      <c r="E548" s="26">
        <f>Ft!B$3*EXP(Ft!B$38*($A548-Ft!B$2)^2)</f>
        <v>9.3946374352516334E-138</v>
      </c>
      <c r="F548" s="26">
        <f>Ft!C$3*EXP(Ft!C$38*($A548-Ft!C$2)^2)</f>
        <v>1.281553518908421E-5</v>
      </c>
      <c r="G548" s="26">
        <f>Ft!D$3*EXP(Ft!D$38*($A548-Ft!D$2)^2)</f>
        <v>16.08831139385185</v>
      </c>
      <c r="H548" s="26">
        <f>Ft!E$3*EXP(Ft!E$38*($A548-Ft!E$2)^2)</f>
        <v>2.2688686505663767</v>
      </c>
      <c r="I548" s="26">
        <f>Ft!F$3*EXP(Ft!F$38*($A548-Ft!F$2)^2)</f>
        <v>3.2503239363876515E-24</v>
      </c>
      <c r="J548" s="26">
        <f>Ft!G$3*EXP(Ft!G$38*($A548-Ft!G$2)^2)</f>
        <v>6.8014037069176288E-103</v>
      </c>
    </row>
    <row r="549" spans="1:10">
      <c r="A549" s="19">
        <v>547</v>
      </c>
      <c r="B549" s="28">
        <v>14.895119862740387</v>
      </c>
      <c r="C549" s="27">
        <f ca="1">OFFSET($B549,1*(ROWS(C$2:C549)-1),0)</f>
        <v>0</v>
      </c>
      <c r="D549" s="26">
        <f>Ft!B$3*EXP(Ft!B$38*($A549-Ft!B$2)^2) +Ft!C$3*EXP(Ft!C$38*($A549-Ft!C$2)^2) + Ft!D$3*EXP(Ft!D$38*($A549-Ft!D$2)^2)+Ft!E$3*EXP(Ft!E$38*($A549-Ft!E$2)^2) +Ft!F$3*EXP(Ft!F$38*($A549-Ft!F$2)^2) + Ft!G$3*EXP(Ft!G$38*($A549-Ft!G$2)^2)</f>
        <v>18.335808790017325</v>
      </c>
      <c r="E549" s="26">
        <f>Ft!B$3*EXP(Ft!B$38*($A549-Ft!B$2)^2)</f>
        <v>2.6475169331821628E-138</v>
      </c>
      <c r="F549" s="26">
        <f>Ft!C$3*EXP(Ft!C$38*($A549-Ft!C$2)^2)</f>
        <v>1.199429609419926E-5</v>
      </c>
      <c r="G549" s="26">
        <f>Ft!D$3*EXP(Ft!D$38*($A549-Ft!D$2)^2)</f>
        <v>16.035188852876569</v>
      </c>
      <c r="H549" s="26">
        <f>Ft!E$3*EXP(Ft!E$38*($A549-Ft!E$2)^2)</f>
        <v>2.3006079428446595</v>
      </c>
      <c r="I549" s="26">
        <f>Ft!F$3*EXP(Ft!F$38*($A549-Ft!F$2)^2)</f>
        <v>4.1504834294964022E-24</v>
      </c>
      <c r="J549" s="26">
        <f>Ft!G$3*EXP(Ft!G$38*($A549-Ft!G$2)^2)</f>
        <v>1.7560940330502042E-102</v>
      </c>
    </row>
    <row r="550" spans="1:10">
      <c r="A550" s="19">
        <v>548</v>
      </c>
      <c r="B550" s="28">
        <v>14.692284460500616</v>
      </c>
      <c r="C550" s="27">
        <f ca="1">OFFSET($B550,1*(ROWS(C$2:C550)-1),0)</f>
        <v>0</v>
      </c>
      <c r="D550" s="26">
        <f>Ft!B$3*EXP(Ft!B$38*($A550-Ft!B$2)^2) +Ft!C$3*EXP(Ft!C$38*($A550-Ft!C$2)^2) + Ft!D$3*EXP(Ft!D$38*($A550-Ft!D$2)^2)+Ft!E$3*EXP(Ft!E$38*($A550-Ft!E$2)^2) +Ft!F$3*EXP(Ft!F$38*($A550-Ft!F$2)^2) + Ft!G$3*EXP(Ft!G$38*($A550-Ft!G$2)^2)</f>
        <v>18.314352350554771</v>
      </c>
      <c r="E550" s="26">
        <f>Ft!B$3*EXP(Ft!B$38*($A550-Ft!B$2)^2)</f>
        <v>7.4421726174588125E-139</v>
      </c>
      <c r="F550" s="26">
        <f>Ft!C$3*EXP(Ft!C$38*($A550-Ft!C$2)^2)</f>
        <v>1.122386067613002E-5</v>
      </c>
      <c r="G550" s="26">
        <f>Ft!D$3*EXP(Ft!D$38*($A550-Ft!D$2)^2)</f>
        <v>15.981667318005506</v>
      </c>
      <c r="H550" s="26">
        <f>Ft!E$3*EXP(Ft!E$38*($A550-Ft!E$2)^2)</f>
        <v>2.3326738086885879</v>
      </c>
      <c r="I550" s="26">
        <f>Ft!F$3*EXP(Ft!F$38*($A550-Ft!F$2)^2)</f>
        <v>5.2970862086581363E-24</v>
      </c>
      <c r="J550" s="26">
        <f>Ft!G$3*EXP(Ft!G$38*($A550-Ft!G$2)^2)</f>
        <v>4.5255483975258233E-102</v>
      </c>
    </row>
    <row r="551" spans="1:10">
      <c r="A551" s="19">
        <v>549</v>
      </c>
      <c r="B551" s="28">
        <v>14.487567166338692</v>
      </c>
      <c r="C551" s="27">
        <f ca="1">OFFSET($B551,1*(ROWS(C$2:C551)-1),0)</f>
        <v>0</v>
      </c>
      <c r="D551" s="26">
        <f>Ft!B$3*EXP(Ft!B$38*($A551-Ft!B$2)^2) +Ft!C$3*EXP(Ft!C$38*($A551-Ft!C$2)^2) + Ft!D$3*EXP(Ft!D$38*($A551-Ft!D$2)^2)+Ft!E$3*EXP(Ft!E$38*($A551-Ft!E$2)^2) +Ft!F$3*EXP(Ft!F$38*($A551-Ft!F$2)^2) + Ft!G$3*EXP(Ft!G$38*($A551-Ft!G$2)^2)</f>
        <v>18.292830011995118</v>
      </c>
      <c r="E551" s="26">
        <f>Ft!B$3*EXP(Ft!B$38*($A551-Ft!B$2)^2)</f>
        <v>2.0867143462039673E-139</v>
      </c>
      <c r="F551" s="26">
        <f>Ft!C$3*EXP(Ft!C$38*($A551-Ft!C$2)^2)</f>
        <v>1.0501207775843682E-5</v>
      </c>
      <c r="G551" s="26">
        <f>Ft!D$3*EXP(Ft!D$38*($A551-Ft!D$2)^2)</f>
        <v>15.927751961685113</v>
      </c>
      <c r="H551" s="26">
        <f>Ft!E$3*EXP(Ft!E$38*($A551-Ft!E$2)^2)</f>
        <v>2.3650675491022306</v>
      </c>
      <c r="I551" s="26">
        <f>Ft!F$3*EXP(Ft!F$38*($A551-Ft!F$2)^2)</f>
        <v>6.7568101467711176E-24</v>
      </c>
      <c r="J551" s="26">
        <f>Ft!G$3*EXP(Ft!G$38*($A551-Ft!G$2)^2)</f>
        <v>1.1640426507992813E-101</v>
      </c>
    </row>
    <row r="552" spans="1:10">
      <c r="A552" s="19">
        <v>550</v>
      </c>
      <c r="B552" s="28">
        <v>14.273863731271319</v>
      </c>
      <c r="C552" s="27">
        <f ca="1">OFFSET($B552,1*(ROWS(C$2:C552)-1),0)</f>
        <v>0</v>
      </c>
      <c r="D552" s="26">
        <f>Ft!B$3*EXP(Ft!B$38*($A552-Ft!B$2)^2) +Ft!C$3*EXP(Ft!C$38*($A552-Ft!C$2)^2) + Ft!D$3*EXP(Ft!D$38*($A552-Ft!D$2)^2)+Ft!E$3*EXP(Ft!E$38*($A552-Ft!E$2)^2) +Ft!F$3*EXP(Ft!F$38*($A552-Ft!F$2)^2) + Ft!G$3*EXP(Ft!G$38*($A552-Ft!G$2)^2)</f>
        <v>18.271248238215666</v>
      </c>
      <c r="E552" s="26">
        <f>Ft!B$3*EXP(Ft!B$38*($A552-Ft!B$2)^2)</f>
        <v>5.8361780768410348E-140</v>
      </c>
      <c r="F552" s="26">
        <f>Ft!C$3*EXP(Ft!C$38*($A552-Ft!C$2)^2)</f>
        <v>9.8234879990475679E-6</v>
      </c>
      <c r="G552" s="26">
        <f>Ft!D$3*EXP(Ft!D$38*($A552-Ft!D$2)^2)</f>
        <v>15.873447981395374</v>
      </c>
      <c r="H552" s="26">
        <f>Ft!E$3*EXP(Ft!E$38*($A552-Ft!E$2)^2)</f>
        <v>2.3977904333322937</v>
      </c>
      <c r="I552" s="26">
        <f>Ft!F$3*EXP(Ft!F$38*($A552-Ft!F$2)^2)</f>
        <v>8.6141555556706436E-24</v>
      </c>
      <c r="J552" s="26">
        <f>Ft!G$3*EXP(Ft!G$38*($A552-Ft!G$2)^2)</f>
        <v>2.9884142994653681E-101</v>
      </c>
    </row>
    <row r="553" spans="1:10">
      <c r="A553" s="19">
        <v>551</v>
      </c>
      <c r="B553" s="28">
        <v>14.065492114766272</v>
      </c>
      <c r="C553" s="27">
        <f ca="1">OFFSET($B553,1*(ROWS(C$2:C553)-1),0)</f>
        <v>0</v>
      </c>
      <c r="D553" s="26">
        <f>Ft!B$3*EXP(Ft!B$38*($A553-Ft!B$2)^2) +Ft!C$3*EXP(Ft!C$38*($A553-Ft!C$2)^2) + Ft!D$3*EXP(Ft!D$38*($A553-Ft!D$2)^2)+Ft!E$3*EXP(Ft!E$38*($A553-Ft!E$2)^2) +Ft!F$3*EXP(Ft!F$38*($A553-Ft!F$2)^2) + Ft!G$3*EXP(Ft!G$38*($A553-Ft!G$2)^2)</f>
        <v>18.249613485003646</v>
      </c>
      <c r="E553" s="26">
        <f>Ft!B$3*EXP(Ft!B$38*($A553-Ft!B$2)^2)</f>
        <v>1.628157215137756E-140</v>
      </c>
      <c r="F553" s="26">
        <f>Ft!C$3*EXP(Ft!C$38*($A553-Ft!C$2)^2)</f>
        <v>9.1880144478106871E-6</v>
      </c>
      <c r="G553" s="26">
        <f>Ft!D$3*EXP(Ft!D$38*($A553-Ft!D$2)^2)</f>
        <v>15.818760598819418</v>
      </c>
      <c r="H553" s="26">
        <f>Ft!E$3*EXP(Ft!E$38*($A553-Ft!E$2)^2)</f>
        <v>2.4308436981697801</v>
      </c>
      <c r="I553" s="26">
        <f>Ft!F$3*EXP(Ft!F$38*($A553-Ft!F$2)^2)</f>
        <v>1.0976149719550537E-23</v>
      </c>
      <c r="J553" s="26">
        <f>Ft!G$3*EXP(Ft!G$38*($A553-Ft!G$2)^2)</f>
        <v>7.6574990470581742E-101</v>
      </c>
    </row>
    <row r="554" spans="1:10">
      <c r="A554" s="19">
        <v>552</v>
      </c>
      <c r="B554" s="28">
        <v>13.865480582505</v>
      </c>
      <c r="C554" s="27">
        <f ca="1">OFFSET($B554,1*(ROWS(C$2:C554)-1),0)</f>
        <v>0</v>
      </c>
      <c r="D554" s="26">
        <f>Ft!B$3*EXP(Ft!B$38*($A554-Ft!B$2)^2) +Ft!C$3*EXP(Ft!C$38*($A554-Ft!C$2)^2) + Ft!D$3*EXP(Ft!D$38*($A554-Ft!D$2)^2)+Ft!E$3*EXP(Ft!E$38*($A554-Ft!E$2)^2) +Ft!F$3*EXP(Ft!F$38*($A554-Ft!F$2)^2) + Ft!G$3*EXP(Ft!G$38*($A554-Ft!G$2)^2)</f>
        <v>18.227932198515735</v>
      </c>
      <c r="E554" s="26">
        <f>Ft!B$3*EXP(Ft!B$38*($A554-Ft!B$2)^2)</f>
        <v>4.5307115305140168E-141</v>
      </c>
      <c r="F554" s="26">
        <f>Ft!C$3*EXP(Ft!C$38*($A554-Ft!C$2)^2)</f>
        <v>8.59225392199267E-6</v>
      </c>
      <c r="G554" s="26">
        <f>Ft!D$3*EXP(Ft!D$38*($A554-Ft!D$2)^2)</f>
        <v>15.763695059011617</v>
      </c>
      <c r="H554" s="26">
        <f>Ft!E$3*EXP(Ft!E$38*($A554-Ft!E$2)^2)</f>
        <v>2.4642285472501948</v>
      </c>
      <c r="I554" s="26">
        <f>Ft!F$3*EXP(Ft!F$38*($A554-Ft!F$2)^2)</f>
        <v>1.3978277348554808E-23</v>
      </c>
      <c r="J554" s="26">
        <f>Ft!G$3*EXP(Ft!G$38*($A554-Ft!G$2)^2)</f>
        <v>1.958426739060543E-100</v>
      </c>
    </row>
    <row r="555" spans="1:10">
      <c r="A555" s="19">
        <v>553</v>
      </c>
      <c r="B555" s="28">
        <v>13.65613041188368</v>
      </c>
      <c r="C555" s="27">
        <f ca="1">OFFSET($B555,1*(ROWS(C$2:C555)-1),0)</f>
        <v>0</v>
      </c>
      <c r="D555" s="26">
        <f>Ft!B$3*EXP(Ft!B$38*($A555-Ft!B$2)^2) +Ft!C$3*EXP(Ft!C$38*($A555-Ft!C$2)^2) + Ft!D$3*EXP(Ft!D$38*($A555-Ft!D$2)^2)+Ft!E$3*EXP(Ft!E$38*($A555-Ft!E$2)^2) +Ft!F$3*EXP(Ft!F$38*($A555-Ft!F$2)^2) + Ft!G$3*EXP(Ft!G$38*($A555-Ft!G$2)^2)</f>
        <v>18.20621081373541</v>
      </c>
      <c r="E555" s="26">
        <f>Ft!B$3*EXP(Ft!B$38*($A555-Ft!B$2)^2)</f>
        <v>1.2575890734253497E-141</v>
      </c>
      <c r="F555" s="26">
        <f>Ft!C$3*EXP(Ft!C$38*($A555-Ft!C$2)^2)</f>
        <v>8.0338185684532351E-6</v>
      </c>
      <c r="G555" s="26">
        <f>Ft!D$3*EXP(Ft!D$38*($A555-Ft!D$2)^2)</f>
        <v>15.708256629564355</v>
      </c>
      <c r="H555" s="26">
        <f>Ft!E$3*EXP(Ft!E$38*($A555-Ft!E$2)^2)</f>
        <v>2.497946150352488</v>
      </c>
      <c r="I555" s="26">
        <f>Ft!F$3*EXP(Ft!F$38*($A555-Ft!F$2)^2)</f>
        <v>1.7791952179774625E-23</v>
      </c>
      <c r="J555" s="26">
        <f>Ft!G$3*EXP(Ft!G$38*($A555-Ft!G$2)^2)</f>
        <v>4.9992164619669609E-100</v>
      </c>
    </row>
    <row r="556" spans="1:10">
      <c r="A556" s="19">
        <v>554</v>
      </c>
      <c r="B556" s="28">
        <v>13.471934130958971</v>
      </c>
      <c r="C556" s="27">
        <f ca="1">OFFSET($B556,1*(ROWS(C$2:C556)-1),0)</f>
        <v>0</v>
      </c>
      <c r="D556" s="26">
        <f>Ft!B$3*EXP(Ft!B$38*($A556-Ft!B$2)^2) +Ft!C$3*EXP(Ft!C$38*($A556-Ft!C$2)^2) + Ft!D$3*EXP(Ft!D$38*($A556-Ft!D$2)^2)+Ft!E$3*EXP(Ft!E$38*($A556-Ft!E$2)^2) +Ft!F$3*EXP(Ft!F$38*($A556-Ft!F$2)^2) + Ft!G$3*EXP(Ft!G$38*($A556-Ft!G$2)^2)</f>
        <v>18.184455752928528</v>
      </c>
      <c r="E556" s="26">
        <f>Ft!B$3*EXP(Ft!B$38*($A556-Ft!B$2)^2)</f>
        <v>3.4818765512734687E-142</v>
      </c>
      <c r="F556" s="26">
        <f>Ft!C$3*EXP(Ft!C$38*($A556-Ft!C$2)^2)</f>
        <v>7.5104579569458401E-6</v>
      </c>
      <c r="G556" s="26">
        <f>Ft!D$3*EXP(Ft!D$38*($A556-Ft!D$2)^2)</f>
        <v>15.652450599773633</v>
      </c>
      <c r="H556" s="26">
        <f>Ft!E$3*EXP(Ft!E$38*($A556-Ft!E$2)^2)</f>
        <v>2.5319976426969366</v>
      </c>
      <c r="I556" s="26">
        <f>Ft!F$3*EXP(Ft!F$38*($A556-Ft!F$2)^2)</f>
        <v>2.263392490074409E-23</v>
      </c>
      <c r="J556" s="26">
        <f>Ft!G$3*EXP(Ft!G$38*($A556-Ft!G$2)^2)</f>
        <v>1.2737106685833366E-99</v>
      </c>
    </row>
    <row r="557" spans="1:10">
      <c r="A557" s="19">
        <v>555</v>
      </c>
      <c r="B557" s="28">
        <v>13.266881052640798</v>
      </c>
      <c r="C557" s="27">
        <f ca="1">OFFSET($B557,1*(ROWS(C$2:C557)-1),0)</f>
        <v>0</v>
      </c>
      <c r="D557" s="26">
        <f>Ft!B$3*EXP(Ft!B$38*($A557-Ft!B$2)^2) +Ft!C$3*EXP(Ft!C$38*($A557-Ft!C$2)^2) + Ft!D$3*EXP(Ft!D$38*($A557-Ft!D$2)^2)+Ft!E$3*EXP(Ft!E$38*($A557-Ft!E$2)^2) +Ft!F$3*EXP(Ft!F$38*($A557-Ft!F$2)^2) + Ft!G$3*EXP(Ft!G$38*($A557-Ft!G$2)^2)</f>
        <v>18.162673424097399</v>
      </c>
      <c r="E557" s="26">
        <f>Ft!B$3*EXP(Ft!B$38*($A557-Ft!B$2)^2)</f>
        <v>9.6159069793759743E-143</v>
      </c>
      <c r="F557" s="26">
        <f>Ft!C$3*EXP(Ft!C$38*($A557-Ft!C$2)^2)</f>
        <v>7.0200515624967875E-6</v>
      </c>
      <c r="G557" s="26">
        <f>Ft!D$3*EXP(Ft!D$38*($A557-Ft!D$2)^2)</f>
        <v>15.596282279803685</v>
      </c>
      <c r="H557" s="26">
        <f>Ft!E$3*EXP(Ft!E$38*($A557-Ft!E$2)^2)</f>
        <v>2.5663841242421501</v>
      </c>
      <c r="I557" s="26">
        <f>Ft!F$3*EXP(Ft!F$38*($A557-Ft!F$2)^2)</f>
        <v>2.8778122507879406E-23</v>
      </c>
      <c r="J557" s="26">
        <f>Ft!G$3*EXP(Ft!G$38*($A557-Ft!G$2)^2)</f>
        <v>3.2390217494006463E-99</v>
      </c>
    </row>
    <row r="558" spans="1:10">
      <c r="A558" s="19">
        <v>556</v>
      </c>
      <c r="B558" s="28">
        <v>13.053026659486818</v>
      </c>
      <c r="C558" s="27">
        <f ca="1">OFFSET($B558,1*(ROWS(C$2:C558)-1),0)</f>
        <v>0</v>
      </c>
      <c r="D558" s="26">
        <f>Ft!B$3*EXP(Ft!B$38*($A558-Ft!B$2)^2) +Ft!C$3*EXP(Ft!C$38*($A558-Ft!C$2)^2) + Ft!D$3*EXP(Ft!D$38*($A558-Ft!D$2)^2)+Ft!E$3*EXP(Ft!E$38*($A558-Ft!E$2)^2) +Ft!F$3*EXP(Ft!F$38*($A558-Ft!F$2)^2) + Ft!G$3*EXP(Ft!G$38*($A558-Ft!G$2)^2)</f>
        <v>18.140870219433882</v>
      </c>
      <c r="E558" s="26">
        <f>Ft!B$3*EXP(Ft!B$38*($A558-Ft!B$2)^2)</f>
        <v>2.6489234493366958E-143</v>
      </c>
      <c r="F558" s="26">
        <f>Ft!C$3*EXP(Ft!C$38*($A558-Ft!C$2)^2)</f>
        <v>6.5606016349349822E-6</v>
      </c>
      <c r="G558" s="26">
        <f>Ft!D$3*EXP(Ft!D$38*($A558-Ft!D$2)^2)</f>
        <v>15.539756999850828</v>
      </c>
      <c r="H558" s="26">
        <f>Ft!E$3*EXP(Ft!E$38*($A558-Ft!E$2)^2)</f>
        <v>2.6011066589814176</v>
      </c>
      <c r="I558" s="26">
        <f>Ft!F$3*EXP(Ft!F$38*($A558-Ft!F$2)^2)</f>
        <v>3.657053906381542E-23</v>
      </c>
      <c r="J558" s="26">
        <f>Ft!G$3*EXP(Ft!G$38*($A558-Ft!G$2)^2)</f>
        <v>8.2211235504683765E-99</v>
      </c>
    </row>
    <row r="559" spans="1:10">
      <c r="A559" s="19">
        <v>557</v>
      </c>
      <c r="B559" s="28">
        <v>12.843160599564413</v>
      </c>
      <c r="C559" s="27">
        <f ca="1">OFFSET($B559,1*(ROWS(C$2:C559)-1),0)</f>
        <v>0</v>
      </c>
      <c r="D559" s="26">
        <f>Ft!B$3*EXP(Ft!B$38*($A559-Ft!B$2)^2) +Ft!C$3*EXP(Ft!C$38*($A559-Ft!C$2)^2) + Ft!D$3*EXP(Ft!D$38*($A559-Ft!D$2)^2)+Ft!E$3*EXP(Ft!E$38*($A559-Ft!E$2)^2) +Ft!F$3*EXP(Ft!F$38*($A559-Ft!F$2)^2) + Ft!G$3*EXP(Ft!G$38*($A559-Ft!G$2)^2)</f>
        <v>18.119052513771724</v>
      </c>
      <c r="E559" s="26">
        <f>Ft!B$3*EXP(Ft!B$38*($A559-Ft!B$2)^2)</f>
        <v>7.278649934276377E-144</v>
      </c>
      <c r="F559" s="26">
        <f>Ft!C$3*EXP(Ft!C$38*($A559-Ft!C$2)^2)</f>
        <v>6.1302264370703684E-6</v>
      </c>
      <c r="G559" s="26">
        <f>Ft!D$3*EXP(Ft!D$38*($A559-Ft!D$2)^2)</f>
        <v>15.482880109306697</v>
      </c>
      <c r="H559" s="26">
        <f>Ft!E$3*EXP(Ft!E$38*($A559-Ft!E$2)^2)</f>
        <v>2.6361662742385912</v>
      </c>
      <c r="I559" s="26">
        <f>Ft!F$3*EXP(Ft!F$38*($A559-Ft!F$2)^2)</f>
        <v>4.6447953702800453E-23</v>
      </c>
      <c r="J559" s="26">
        <f>Ft!G$3*EXP(Ft!G$38*($A559-Ft!G$2)^2)</f>
        <v>2.0826808263876639E-98</v>
      </c>
    </row>
    <row r="560" spans="1:10">
      <c r="A560" s="19">
        <v>558</v>
      </c>
      <c r="B560" s="28">
        <v>12.626010003957106</v>
      </c>
      <c r="C560" s="27">
        <f ca="1">OFFSET($B560,1*(ROWS(C$2:C560)-1),0)</f>
        <v>0</v>
      </c>
      <c r="D560" s="26">
        <f>Ft!B$3*EXP(Ft!B$38*($A560-Ft!B$2)^2) +Ft!C$3*EXP(Ft!C$38*($A560-Ft!C$2)^2) + Ft!D$3*EXP(Ft!D$38*($A560-Ft!D$2)^2)+Ft!E$3*EXP(Ft!E$38*($A560-Ft!E$2)^2) +Ft!F$3*EXP(Ft!F$38*($A560-Ft!F$2)^2) + Ft!G$3*EXP(Ft!G$38*($A560-Ft!G$2)^2)</f>
        <v>18.09722666303859</v>
      </c>
      <c r="E560" s="26">
        <f>Ft!B$3*EXP(Ft!B$38*($A560-Ft!B$2)^2)</f>
        <v>1.9949615395309142E-144</v>
      </c>
      <c r="F560" s="26">
        <f>Ft!C$3*EXP(Ft!C$38*($A560-Ft!C$2)^2)</f>
        <v>5.7271538338203206E-6</v>
      </c>
      <c r="G560" s="26">
        <f>Ft!D$3*EXP(Ft!D$38*($A560-Ft!D$2)^2)</f>
        <v>15.425656975921033</v>
      </c>
      <c r="H560" s="26">
        <f>Ft!E$3*EXP(Ft!E$38*($A560-Ft!E$2)^2)</f>
        <v>2.6715639599637226</v>
      </c>
      <c r="I560" s="26">
        <f>Ft!F$3*EXP(Ft!F$38*($A560-Ft!F$2)^2)</f>
        <v>5.8961446251708642E-23</v>
      </c>
      <c r="J560" s="26">
        <f>Ft!G$3*EXP(Ft!G$38*($A560-Ft!G$2)^2)</f>
        <v>5.2660926502746E-98</v>
      </c>
    </row>
    <row r="561" spans="1:10">
      <c r="A561" s="19">
        <v>559</v>
      </c>
      <c r="B561" s="28">
        <v>12.418321979640069</v>
      </c>
      <c r="C561" s="27">
        <f ca="1">OFFSET($B561,1*(ROWS(C$2:C561)-1),0)</f>
        <v>0</v>
      </c>
      <c r="D561" s="26">
        <f>Ft!B$3*EXP(Ft!B$38*($A561-Ft!B$2)^2) +Ft!C$3*EXP(Ft!C$38*($A561-Ft!C$2)^2) + Ft!D$3*EXP(Ft!D$38*($A561-Ft!D$2)^2)+Ft!E$3*EXP(Ft!E$38*($A561-Ft!E$2)^2) +Ft!F$3*EXP(Ft!F$38*($A561-Ft!F$2)^2) + Ft!G$3*EXP(Ft!G$38*($A561-Ft!G$2)^2)</f>
        <v>18.075399002708121</v>
      </c>
      <c r="E561" s="26">
        <f>Ft!B$3*EXP(Ft!B$38*($A561-Ft!B$2)^2)</f>
        <v>5.4540672994927367E-145</v>
      </c>
      <c r="F561" s="26">
        <f>Ft!C$3*EXP(Ft!C$38*($A561-Ft!C$2)^2)</f>
        <v>5.3497152153548708E-6</v>
      </c>
      <c r="G561" s="26">
        <f>Ft!D$3*EXP(Ft!D$38*($A561-Ft!D$2)^2)</f>
        <v>15.368092984964262</v>
      </c>
      <c r="H561" s="26">
        <f>Ft!E$3*EXP(Ft!E$38*($A561-Ft!E$2)^2)</f>
        <v>2.7073006680286444</v>
      </c>
      <c r="I561" s="26">
        <f>Ft!F$3*EXP(Ft!F$38*($A561-Ft!F$2)^2)</f>
        <v>7.4805923417815168E-23</v>
      </c>
      <c r="J561" s="26">
        <f>Ft!G$3*EXP(Ft!G$38*($A561-Ft!G$2)^2)</f>
        <v>1.3290107859801758E-97</v>
      </c>
    </row>
    <row r="562" spans="1:10">
      <c r="A562" s="19">
        <v>560</v>
      </c>
      <c r="B562" s="28">
        <v>12.205130534359682</v>
      </c>
      <c r="C562" s="27">
        <f ca="1">OFFSET($B562,1*(ROWS(C$2:C562)-1),0)</f>
        <v>0</v>
      </c>
      <c r="D562" s="26">
        <f>Ft!B$3*EXP(Ft!B$38*($A562-Ft!B$2)^2) +Ft!C$3*EXP(Ft!C$38*($A562-Ft!C$2)^2) + Ft!D$3*EXP(Ft!D$38*($A562-Ft!D$2)^2)+Ft!E$3*EXP(Ft!E$38*($A562-Ft!E$2)^2) +Ft!F$3*EXP(Ft!F$38*($A562-Ft!F$2)^2) + Ft!G$3*EXP(Ft!G$38*($A562-Ft!G$2)^2)</f>
        <v>18.053575846252457</v>
      </c>
      <c r="E562" s="26">
        <f>Ft!B$3*EXP(Ft!B$38*($A562-Ft!B$2)^2)</f>
        <v>1.4873347602529443E-145</v>
      </c>
      <c r="F562" s="26">
        <f>Ft!C$3*EXP(Ft!C$38*($A562-Ft!C$2)^2)</f>
        <v>4.9963397380737154E-6</v>
      </c>
      <c r="G562" s="26">
        <f>Ft!D$3*EXP(Ft!D$38*($A562-Ft!D$2)^2)</f>
        <v>15.310193538389983</v>
      </c>
      <c r="H562" s="26">
        <f>Ft!E$3*EXP(Ft!E$38*($A562-Ft!E$2)^2)</f>
        <v>2.7433773115227371</v>
      </c>
      <c r="I562" s="26">
        <f>Ft!F$3*EXP(Ft!F$38*($A562-Ft!F$2)^2)</f>
        <v>9.4857170842120496E-23</v>
      </c>
      <c r="J562" s="26">
        <f>Ft!G$3*EXP(Ft!G$38*($A562-Ft!G$2)^2)</f>
        <v>3.3476708335108941E-97</v>
      </c>
    </row>
    <row r="563" spans="1:10">
      <c r="A563" s="19">
        <v>561</v>
      </c>
      <c r="B563" s="28">
        <v>11.985323135762115</v>
      </c>
      <c r="C563" s="27">
        <f ca="1">OFFSET($B563,1*(ROWS(C$2:C563)-1),0)</f>
        <v>0</v>
      </c>
      <c r="D563" s="26">
        <f>Ft!B$3*EXP(Ft!B$38*($A563-Ft!B$2)^2) +Ft!C$3*EXP(Ft!C$38*($A563-Ft!C$2)^2) + Ft!D$3*EXP(Ft!D$38*($A563-Ft!D$2)^2)+Ft!E$3*EXP(Ft!E$38*($A563-Ft!E$2)^2) +Ft!F$3*EXP(Ft!F$38*($A563-Ft!F$2)^2) + Ft!G$3*EXP(Ft!G$38*($A563-Ft!G$2)^2)</f>
        <v>18.031763483595547</v>
      </c>
      <c r="E563" s="26">
        <f>Ft!B$3*EXP(Ft!B$38*($A563-Ft!B$2)^2)</f>
        <v>4.0457517760955947E-146</v>
      </c>
      <c r="F563" s="26">
        <f>Ft!C$3*EXP(Ft!C$38*($A563-Ft!C$2)^2)</f>
        <v>4.6655488679417719E-6</v>
      </c>
      <c r="G563" s="26">
        <f>Ft!D$3*EXP(Ft!D$38*($A563-Ft!D$2)^2)</f>
        <v>15.251964053997597</v>
      </c>
      <c r="H563" s="26">
        <f>Ft!E$3*EXP(Ft!E$38*($A563-Ft!E$2)^2)</f>
        <v>2.7797947640490812</v>
      </c>
      <c r="I563" s="26">
        <f>Ft!F$3*EXP(Ft!F$38*($A563-Ft!F$2)^2)</f>
        <v>1.202183229309138E-22</v>
      </c>
      <c r="J563" s="26">
        <f>Ft!G$3*EXP(Ft!G$38*($A563-Ft!G$2)^2)</f>
        <v>8.4164941231821276E-97</v>
      </c>
    </row>
    <row r="564" spans="1:10">
      <c r="A564" s="19">
        <v>562</v>
      </c>
      <c r="B564" s="28">
        <v>11.760402279798257</v>
      </c>
      <c r="C564" s="27">
        <f ca="1">OFFSET($B564,1*(ROWS(C$2:C564)-1),0)</f>
        <v>0</v>
      </c>
      <c r="D564" s="26">
        <f>Ft!B$3*EXP(Ft!B$38*($A564-Ft!B$2)^2) +Ft!C$3*EXP(Ft!C$38*($A564-Ft!C$2)^2) + Ft!D$3*EXP(Ft!D$38*($A564-Ft!D$2)^2)+Ft!E$3*EXP(Ft!E$38*($A564-Ft!E$2)^2) +Ft!F$3*EXP(Ft!F$38*($A564-Ft!F$2)^2) + Ft!G$3*EXP(Ft!G$38*($A564-Ft!G$2)^2)</f>
        <v>18.009968179567622</v>
      </c>
      <c r="E564" s="26">
        <f>Ft!B$3*EXP(Ft!B$38*($A564-Ft!B$2)^2)</f>
        <v>1.0977210927345791E-146</v>
      </c>
      <c r="F564" s="26">
        <f>Ft!C$3*EXP(Ft!C$38*($A564-Ft!C$2)^2)</f>
        <v>4.3559512113964085E-6</v>
      </c>
      <c r="G564" s="26">
        <f>Ft!D$3*EXP(Ft!D$38*($A564-Ft!D$2)^2)</f>
        <v>15.193409964595203</v>
      </c>
      <c r="H564" s="26">
        <f>Ft!E$3*EXP(Ft!E$38*($A564-Ft!E$2)^2)</f>
        <v>2.816553859021206</v>
      </c>
      <c r="I564" s="26">
        <f>Ft!F$3*EXP(Ft!F$38*($A564-Ft!F$2)^2)</f>
        <v>1.5227811122458369E-22</v>
      </c>
      <c r="J564" s="26">
        <f>Ft!G$3*EXP(Ft!G$38*($A564-Ft!G$2)^2)</f>
        <v>2.1120000956169866E-96</v>
      </c>
    </row>
    <row r="565" spans="1:10">
      <c r="A565" s="19">
        <v>563</v>
      </c>
      <c r="B565" s="28">
        <v>11.520651256705605</v>
      </c>
      <c r="C565" s="27">
        <f ca="1">OFFSET($B565,1*(ROWS(C$2:C565)-1),0)</f>
        <v>0</v>
      </c>
      <c r="D565" s="26">
        <f>Ft!B$3*EXP(Ft!B$38*($A565-Ft!B$2)^2) +Ft!C$3*EXP(Ft!C$38*($A565-Ft!C$2)^2) + Ft!D$3*EXP(Ft!D$38*($A565-Ft!D$2)^2)+Ft!E$3*EXP(Ft!E$38*($A565-Ft!E$2)^2) +Ft!F$3*EXP(Ft!F$38*($A565-Ft!F$2)^2) + Ft!G$3*EXP(Ft!G$38*($A565-Ft!G$2)^2)</f>
        <v>17.988196172361313</v>
      </c>
      <c r="E565" s="26">
        <f>Ft!B$3*EXP(Ft!B$38*($A565-Ft!B$2)^2)</f>
        <v>2.9708933065619581E-147</v>
      </c>
      <c r="F565" s="26">
        <f>Ft!C$3*EXP(Ft!C$38*($A565-Ft!C$2)^2)</f>
        <v>4.0662376196990812E-6</v>
      </c>
      <c r="G565" s="26">
        <f>Ft!D$3*EXP(Ft!D$38*($A565-Ft!D$2)^2)</f>
        <v>15.134536717163009</v>
      </c>
      <c r="H565" s="26">
        <f>Ft!E$3*EXP(Ft!E$38*($A565-Ft!E$2)^2)</f>
        <v>2.8536553889606844</v>
      </c>
      <c r="I565" s="26">
        <f>Ft!F$3*EXP(Ft!F$38*($A565-Ft!F$2)^2)</f>
        <v>1.9278383538529563E-22</v>
      </c>
      <c r="J565" s="26">
        <f>Ft!G$3*EXP(Ft!G$38*($A565-Ft!G$2)^2)</f>
        <v>5.2896979709483458E-96</v>
      </c>
    </row>
    <row r="566" spans="1:10">
      <c r="A566" s="19">
        <v>564</v>
      </c>
      <c r="B566" s="28">
        <v>11.296225708633585</v>
      </c>
      <c r="C566" s="27">
        <f ca="1">OFFSET($B566,1*(ROWS(C$2:C566)-1),0)</f>
        <v>0</v>
      </c>
      <c r="D566" s="26">
        <f>Ft!B$3*EXP(Ft!B$38*($A566-Ft!B$2)^2) +Ft!C$3*EXP(Ft!C$38*($A566-Ft!C$2)^2) + Ft!D$3*EXP(Ft!D$38*($A566-Ft!D$2)^2)+Ft!E$3*EXP(Ft!E$38*($A566-Ft!E$2)^2) +Ft!F$3*EXP(Ft!F$38*($A566-Ft!F$2)^2) + Ft!G$3*EXP(Ft!G$38*($A566-Ft!G$2)^2)</f>
        <v>17.966453671989687</v>
      </c>
      <c r="E566" s="26">
        <f>Ft!B$3*EXP(Ft!B$38*($A566-Ft!B$2)^2)</f>
        <v>8.0201847301913779E-148</v>
      </c>
      <c r="F566" s="26">
        <f>Ft!C$3*EXP(Ft!C$38*($A566-Ft!C$2)^2)</f>
        <v>3.795176553237971E-6</v>
      </c>
      <c r="G566" s="26">
        <f>Ft!D$3*EXP(Ft!D$38*($A566-Ft!D$2)^2)</f>
        <v>15.075349772017367</v>
      </c>
      <c r="H566" s="26">
        <f>Ft!E$3*EXP(Ft!E$38*($A566-Ft!E$2)^2)</f>
        <v>2.8911001047957661</v>
      </c>
      <c r="I566" s="26">
        <f>Ft!F$3*EXP(Ft!F$38*($A566-Ft!F$2)^2)</f>
        <v>2.4393272620802913E-22</v>
      </c>
      <c r="J566" s="26">
        <f>Ft!G$3*EXP(Ft!G$38*($A566-Ft!G$2)^2)</f>
        <v>1.3223366975231184E-95</v>
      </c>
    </row>
    <row r="567" spans="1:10">
      <c r="A567" s="19">
        <v>565</v>
      </c>
      <c r="B567" s="28">
        <v>11.090565052095286</v>
      </c>
      <c r="C567" s="27">
        <f ca="1">OFFSET($B567,1*(ROWS(C$2:C567)-1),0)</f>
        <v>0</v>
      </c>
      <c r="D567" s="26">
        <f>Ft!B$3*EXP(Ft!B$38*($A567-Ft!B$2)^2) +Ft!C$3*EXP(Ft!C$38*($A567-Ft!C$2)^2) + Ft!D$3*EXP(Ft!D$38*($A567-Ft!D$2)^2)+Ft!E$3*EXP(Ft!E$38*($A567-Ft!E$2)^2) +Ft!F$3*EXP(Ft!F$38*($A567-Ft!F$2)^2) + Ft!G$3*EXP(Ft!G$38*($A567-Ft!G$2)^2)</f>
        <v>17.944746858746655</v>
      </c>
      <c r="E567" s="26">
        <f>Ft!B$3*EXP(Ft!B$38*($A567-Ft!B$2)^2)</f>
        <v>2.1596529061797616E-148</v>
      </c>
      <c r="F567" s="26">
        <f>Ft!C$3*EXP(Ft!C$38*($A567-Ft!C$2)^2)</f>
        <v>3.5416096928969779E-6</v>
      </c>
      <c r="G567" s="26">
        <f>Ft!D$3*EXP(Ft!D$38*($A567-Ft!D$2)^2)</f>
        <v>15.015854601975658</v>
      </c>
      <c r="H567" s="26">
        <f>Ft!E$3*EXP(Ft!E$38*($A567-Ft!E$2)^2)</f>
        <v>2.9288887151613041</v>
      </c>
      <c r="I567" s="26">
        <f>Ft!F$3*EXP(Ft!F$38*($A567-Ft!F$2)^2)</f>
        <v>3.0848627141853036E-22</v>
      </c>
      <c r="J567" s="26">
        <f>Ft!G$3*EXP(Ft!G$38*($A567-Ft!G$2)^2)</f>
        <v>3.2993429361087105E-95</v>
      </c>
    </row>
    <row r="568" spans="1:10">
      <c r="A568" s="19">
        <v>566</v>
      </c>
      <c r="B568" s="28">
        <v>10.897232741333823</v>
      </c>
      <c r="C568" s="27">
        <f ca="1">OFFSET($B568,1*(ROWS(C$2:C568)-1),0)</f>
        <v>0</v>
      </c>
      <c r="D568" s="26">
        <f>Ft!B$3*EXP(Ft!B$38*($A568-Ft!B$2)^2) +Ft!C$3*EXP(Ft!C$38*($A568-Ft!C$2)^2) + Ft!D$3*EXP(Ft!D$38*($A568-Ft!D$2)^2)+Ft!E$3*EXP(Ft!E$38*($A568-Ft!E$2)^2) +Ft!F$3*EXP(Ft!F$38*($A568-Ft!F$2)^2) + Ft!G$3*EXP(Ft!G$38*($A568-Ft!G$2)^2)</f>
        <v>17.923081881670139</v>
      </c>
      <c r="E568" s="26">
        <f>Ft!B$3*EXP(Ft!B$38*($A568-Ft!B$2)^2)</f>
        <v>5.8007722537722352E-149</v>
      </c>
      <c r="F568" s="26">
        <f>Ft!C$3*EXP(Ft!C$38*($A568-Ft!C$2)^2)</f>
        <v>3.3044477861910207E-6</v>
      </c>
      <c r="G568" s="26">
        <f>Ft!D$3*EXP(Ft!D$38*($A568-Ft!D$2)^2)</f>
        <v>14.956056691522173</v>
      </c>
      <c r="H568" s="26">
        <f>Ft!E$3*EXP(Ft!E$38*($A568-Ft!E$2)^2)</f>
        <v>2.9670218857001807</v>
      </c>
      <c r="I568" s="26">
        <f>Ft!F$3*EXP(Ft!F$38*($A568-Ft!F$2)^2)</f>
        <v>3.8991319448079424E-22</v>
      </c>
      <c r="J568" s="26">
        <f>Ft!G$3*EXP(Ft!G$38*($A568-Ft!G$2)^2)</f>
        <v>8.2165045472045805E-95</v>
      </c>
    </row>
    <row r="569" spans="1:10">
      <c r="A569" s="19">
        <v>567</v>
      </c>
      <c r="B569" s="28">
        <v>10.690995393109802</v>
      </c>
      <c r="C569" s="27">
        <f ca="1">OFFSET($B569,1*(ROWS(C$2:C569)-1),0)</f>
        <v>0</v>
      </c>
      <c r="D569" s="26">
        <f>Ft!B$3*EXP(Ft!B$38*($A569-Ft!B$2)^2) +Ft!C$3*EXP(Ft!C$38*($A569-Ft!C$2)^2) + Ft!D$3*EXP(Ft!D$38*($A569-Ft!D$2)^2)+Ft!E$3*EXP(Ft!E$38*($A569-Ft!E$2)^2) +Ft!F$3*EXP(Ft!F$38*($A569-Ft!F$2)^2) + Ft!G$3*EXP(Ft!G$38*($A569-Ft!G$2)^2)</f>
        <v>17.901464857008396</v>
      </c>
      <c r="E569" s="26">
        <f>Ft!B$3*EXP(Ft!B$38*($A569-Ft!B$2)^2)</f>
        <v>1.5541392966111679E-149</v>
      </c>
      <c r="F569" s="26">
        <f>Ft!C$3*EXP(Ft!C$38*($A569-Ft!C$2)^2)</f>
        <v>3.0826667164287161E-6</v>
      </c>
      <c r="G569" s="26">
        <f>Ft!D$3*EXP(Ft!D$38*($A569-Ft!D$2)^2)</f>
        <v>14.895961535975193</v>
      </c>
      <c r="H569" s="26">
        <f>Ft!E$3*EXP(Ft!E$38*($A569-Ft!E$2)^2)</f>
        <v>3.0055002383664866</v>
      </c>
      <c r="I569" s="26">
        <f>Ft!F$3*EXP(Ft!F$38*($A569-Ft!F$2)^2)</f>
        <v>4.9256816614872139E-22</v>
      </c>
      <c r="J569" s="26">
        <f>Ft!G$3*EXP(Ft!G$38*($A569-Ft!G$2)^2)</f>
        <v>2.042306756579173E-94</v>
      </c>
    </row>
    <row r="570" spans="1:10">
      <c r="A570" s="19">
        <v>568</v>
      </c>
      <c r="B570" s="28">
        <v>10.506295649836488</v>
      </c>
      <c r="C570" s="27">
        <f ca="1">OFFSET($B570,1*(ROWS(C$2:C570)-1),0)</f>
        <v>0</v>
      </c>
      <c r="D570" s="26">
        <f>Ft!B$3*EXP(Ft!B$38*($A570-Ft!B$2)^2) +Ft!C$3*EXP(Ft!C$38*($A570-Ft!C$2)^2) + Ft!D$3*EXP(Ft!D$38*($A570-Ft!D$2)^2)+Ft!E$3*EXP(Ft!E$38*($A570-Ft!E$2)^2) +Ft!F$3*EXP(Ft!F$38*($A570-Ft!F$2)^2) + Ft!G$3*EXP(Ft!G$38*($A570-Ft!G$2)^2)</f>
        <v>17.879901866689863</v>
      </c>
      <c r="E570" s="26">
        <f>Ft!B$3*EXP(Ft!B$38*($A570-Ft!B$2)^2)</f>
        <v>4.1533290428809646E-150</v>
      </c>
      <c r="F570" s="26">
        <f>Ft!C$3*EXP(Ft!C$38*($A570-Ft!C$2)^2)</f>
        <v>2.8753037837019799E-6</v>
      </c>
      <c r="G570" s="26">
        <f>Ft!D$3*EXP(Ft!D$38*($A570-Ft!D$2)^2)</f>
        <v>14.835574640655413</v>
      </c>
      <c r="H570" s="26">
        <f>Ft!E$3*EXP(Ft!E$38*($A570-Ft!E$2)^2)</f>
        <v>3.0443243507306681</v>
      </c>
      <c r="I570" s="26">
        <f>Ft!F$3*EXP(Ft!F$38*($A570-Ft!F$2)^2)</f>
        <v>6.2191505219002356E-22</v>
      </c>
      <c r="J570" s="26">
        <f>Ft!G$3*EXP(Ft!G$38*($A570-Ft!G$2)^2)</f>
        <v>5.0667453939351861E-94</v>
      </c>
    </row>
    <row r="571" spans="1:10">
      <c r="A571" s="19">
        <v>569</v>
      </c>
      <c r="B571" s="28">
        <v>10.311858366974519</v>
      </c>
      <c r="C571" s="27">
        <f ca="1">OFFSET($B571,1*(ROWS(C$2:C571)-1),0)</f>
        <v>0</v>
      </c>
      <c r="D571" s="26">
        <f>Ft!B$3*EXP(Ft!B$38*($A571-Ft!B$2)^2) +Ft!C$3*EXP(Ft!C$38*($A571-Ft!C$2)^2) + Ft!D$3*EXP(Ft!D$38*($A571-Ft!D$2)^2)+Ft!E$3*EXP(Ft!E$38*($A571-Ft!E$2)^2) +Ft!F$3*EXP(Ft!F$38*($A571-Ft!F$2)^2) + Ft!G$3*EXP(Ft!G$38*($A571-Ft!G$2)^2)</f>
        <v>17.858398956796993</v>
      </c>
      <c r="E571" s="26">
        <f>Ft!B$3*EXP(Ft!B$38*($A571-Ft!B$2)^2)</f>
        <v>1.1071462831584948E-150</v>
      </c>
      <c r="F571" s="26">
        <f>Ft!C$3*EXP(Ft!C$38*($A571-Ft!C$2)^2)</f>
        <v>2.6814541870186314E-6</v>
      </c>
      <c r="G571" s="26">
        <f>Ft!D$3*EXP(Ft!D$38*($A571-Ft!D$2)^2)</f>
        <v>14.774901520055909</v>
      </c>
      <c r="H571" s="26">
        <f>Ft!E$3*EXP(Ft!E$38*($A571-Ft!E$2)^2)</f>
        <v>3.0834947552868965</v>
      </c>
      <c r="I571" s="26">
        <f>Ft!F$3*EXP(Ft!F$38*($A571-Ft!F$2)^2)</f>
        <v>7.848056376943288E-22</v>
      </c>
      <c r="J571" s="26">
        <f>Ft!G$3*EXP(Ft!G$38*($A571-Ft!G$2)^2)</f>
        <v>1.2546177329576054E-93</v>
      </c>
    </row>
    <row r="572" spans="1:10">
      <c r="A572" s="19">
        <v>570</v>
      </c>
      <c r="B572" s="28">
        <v>10.141444825596807</v>
      </c>
      <c r="C572" s="27">
        <f ca="1">OFFSET($B572,1*(ROWS(C$2:C572)-1),0)</f>
        <v>0</v>
      </c>
      <c r="D572" s="26">
        <f>Ft!B$3*EXP(Ft!B$38*($A572-Ft!B$2)^2) +Ft!C$3*EXP(Ft!C$38*($A572-Ft!C$2)^2) + Ft!D$3*EXP(Ft!D$38*($A572-Ft!D$2)^2)+Ft!E$3*EXP(Ft!E$38*($A572-Ft!E$2)^2) +Ft!F$3*EXP(Ft!F$38*($A572-Ft!F$2)^2) + Ft!G$3*EXP(Ft!G$38*($A572-Ft!G$2)^2)</f>
        <v>17.836962136044402</v>
      </c>
      <c r="E572" s="26">
        <f>Ft!B$3*EXP(Ft!B$38*($A572-Ft!B$2)^2)</f>
        <v>2.9438518080456146E-151</v>
      </c>
      <c r="F572" s="26">
        <f>Ft!C$3*EXP(Ft!C$38*($A572-Ft!C$2)^2)</f>
        <v>2.5002676973894662E-6</v>
      </c>
      <c r="G572" s="26">
        <f>Ft!D$3*EXP(Ft!D$38*($A572-Ft!D$2)^2)</f>
        <v>14.713947697013817</v>
      </c>
      <c r="H572" s="26">
        <f>Ft!E$3*EXP(Ft!E$38*($A572-Ft!E$2)^2)</f>
        <v>3.1230119387628865</v>
      </c>
      <c r="I572" s="26">
        <f>Ft!F$3*EXP(Ft!F$38*($A572-Ft!F$2)^2)</f>
        <v>9.8982741618091391E-22</v>
      </c>
      <c r="J572" s="26">
        <f>Ft!G$3*EXP(Ft!G$38*($A572-Ft!G$2)^2)</f>
        <v>3.1007588715857147E-93</v>
      </c>
    </row>
    <row r="573" spans="1:10">
      <c r="A573" s="19">
        <v>571</v>
      </c>
      <c r="B573" s="28">
        <v>9.9262992402260011</v>
      </c>
      <c r="C573" s="27">
        <f ca="1">OFFSET($B573,1*(ROWS(C$2:C573)-1),0)</f>
        <v>0</v>
      </c>
      <c r="D573" s="26">
        <f>Ft!B$3*EXP(Ft!B$38*($A573-Ft!B$2)^2) +Ft!C$3*EXP(Ft!C$38*($A573-Ft!C$2)^2) + Ft!D$3*EXP(Ft!D$38*($A573-Ft!D$2)^2)+Ft!E$3*EXP(Ft!E$38*($A573-Ft!E$2)^2) +Ft!F$3*EXP(Ft!F$38*($A573-Ft!F$2)^2) + Ft!G$3*EXP(Ft!G$38*($A573-Ft!G$2)^2)</f>
        <v>17.815597374261777</v>
      </c>
      <c r="E573" s="26">
        <f>Ft!B$3*EXP(Ft!B$38*($A573-Ft!B$2)^2)</f>
        <v>7.8078084817501195E-152</v>
      </c>
      <c r="F573" s="26">
        <f>Ft!C$3*EXP(Ft!C$38*($A573-Ft!C$2)^2)</f>
        <v>2.3309455121561136E-6</v>
      </c>
      <c r="G573" s="26">
        <f>Ft!D$3*EXP(Ft!D$38*($A573-Ft!D$2)^2)</f>
        <v>14.652718701883856</v>
      </c>
      <c r="H573" s="26">
        <f>Ft!E$3*EXP(Ft!E$38*($A573-Ft!E$2)^2)</f>
        <v>3.1628763414324101</v>
      </c>
      <c r="I573" s="26">
        <f>Ft!F$3*EXP(Ft!F$38*($A573-Ft!F$2)^2)</f>
        <v>1.2477373105109966E-21</v>
      </c>
      <c r="J573" s="26">
        <f>Ft!G$3*EXP(Ft!G$38*($A573-Ft!G$2)^2)</f>
        <v>7.6488967978329752E-93</v>
      </c>
    </row>
    <row r="574" spans="1:10">
      <c r="A574" s="19">
        <v>572</v>
      </c>
      <c r="B574" s="28">
        <v>9.7288480790247718</v>
      </c>
      <c r="C574" s="27">
        <f ca="1">OFFSET($B574,1*(ROWS(C$2:C574)-1),0)</f>
        <v>0</v>
      </c>
      <c r="D574" s="26">
        <f>Ft!B$3*EXP(Ft!B$38*($A574-Ft!B$2)^2) +Ft!C$3*EXP(Ft!C$38*($A574-Ft!C$2)^2) + Ft!D$3*EXP(Ft!D$38*($A574-Ft!D$2)^2)+Ft!E$3*EXP(Ft!E$38*($A574-Ft!E$2)^2) +Ft!F$3*EXP(Ft!F$38*($A574-Ft!F$2)^2) + Ft!G$3*EXP(Ft!G$38*($A574-Ft!G$2)^2)</f>
        <v>17.794310600881975</v>
      </c>
      <c r="E574" s="26">
        <f>Ft!B$3*EXP(Ft!B$38*($A574-Ft!B$2)^2)</f>
        <v>2.0655924145678546E-152</v>
      </c>
      <c r="F574" s="26">
        <f>Ft!C$3*EXP(Ft!C$38*($A574-Ft!C$2)^2)</f>
        <v>2.1727372813011905E-6</v>
      </c>
      <c r="G574" s="26">
        <f>Ft!D$3*EXP(Ft!D$38*($A574-Ft!D$2)^2)</f>
        <v>14.59122007171394</v>
      </c>
      <c r="H574" s="26">
        <f>Ft!E$3*EXP(Ft!E$38*($A574-Ft!E$2)^2)</f>
        <v>3.2030883564307531</v>
      </c>
      <c r="I574" s="26">
        <f>Ft!F$3*EXP(Ft!F$38*($A574-Ft!F$2)^2)</f>
        <v>1.572002250350842E-21</v>
      </c>
      <c r="J574" s="26">
        <f>Ft!G$3*EXP(Ft!G$38*($A574-Ft!G$2)^2)</f>
        <v>1.8832320673553609E-92</v>
      </c>
    </row>
    <row r="575" spans="1:10">
      <c r="A575" s="19">
        <v>573</v>
      </c>
      <c r="B575" s="28">
        <v>9.559401010266356</v>
      </c>
      <c r="C575" s="27">
        <f ca="1">OFFSET($B575,1*(ROWS(C$2:C575)-1),0)</f>
        <v>0</v>
      </c>
      <c r="D575" s="26">
        <f>Ft!B$3*EXP(Ft!B$38*($A575-Ft!B$2)^2) +Ft!C$3*EXP(Ft!C$38*($A575-Ft!C$2)^2) + Ft!D$3*EXP(Ft!D$38*($A575-Ft!D$2)^2)+Ft!E$3*EXP(Ft!E$38*($A575-Ft!E$2)^2) +Ft!F$3*EXP(Ft!F$38*($A575-Ft!F$2)^2) + Ft!G$3*EXP(Ft!G$38*($A575-Ft!G$2)^2)</f>
        <v>17.773107703434626</v>
      </c>
      <c r="E575" s="26">
        <f>Ft!B$3*EXP(Ft!B$38*($A575-Ft!B$2)^2)</f>
        <v>5.4508267483932512E-153</v>
      </c>
      <c r="F575" s="26">
        <f>Ft!C$3*EXP(Ft!C$38*($A575-Ft!C$2)^2)</f>
        <v>2.0249382969183708E-6</v>
      </c>
      <c r="G575" s="26">
        <f>Ft!D$3*EXP(Ft!D$38*($A575-Ft!D$2)^2)</f>
        <v>14.529457349422982</v>
      </c>
      <c r="H575" s="26">
        <f>Ft!E$3*EXP(Ft!E$38*($A575-Ft!E$2)^2)</f>
        <v>3.2436483290733467</v>
      </c>
      <c r="I575" s="26">
        <f>Ft!F$3*EXP(Ft!F$38*($A575-Ft!F$2)^2)</f>
        <v>1.9794725497112496E-21</v>
      </c>
      <c r="J575" s="26">
        <f>Ft!G$3*EXP(Ft!G$38*($A575-Ft!G$2)^2)</f>
        <v>4.6278909098606633E-92</v>
      </c>
    </row>
    <row r="576" spans="1:10">
      <c r="A576" s="19">
        <v>574</v>
      </c>
      <c r="B576" s="28">
        <v>9.403741790189116</v>
      </c>
      <c r="C576" s="27">
        <f ca="1">OFFSET($B576,1*(ROWS(C$2:C576)-1),0)</f>
        <v>0</v>
      </c>
      <c r="D576" s="26">
        <f>Ft!B$3*EXP(Ft!B$38*($A576-Ft!B$2)^2) +Ft!C$3*EXP(Ft!C$38*($A576-Ft!C$2)^2) + Ft!D$3*EXP(Ft!D$38*($A576-Ft!D$2)^2)+Ft!E$3*EXP(Ft!E$38*($A576-Ft!E$2)^2) +Ft!F$3*EXP(Ft!F$38*($A576-Ft!F$2)^2) + Ft!G$3*EXP(Ft!G$38*($A576-Ft!G$2)^2)</f>
        <v>17.751994526045753</v>
      </c>
      <c r="E576" s="26">
        <f>Ft!B$3*EXP(Ft!B$38*($A576-Ft!B$2)^2)</f>
        <v>1.4347703624141865E-153</v>
      </c>
      <c r="F576" s="26">
        <f>Ft!C$3*EXP(Ft!C$38*($A576-Ft!C$2)^2)</f>
        <v>1.8868868374375409E-6</v>
      </c>
      <c r="G576" s="26">
        <f>Ft!D$3*EXP(Ft!D$38*($A576-Ft!D$2)^2)</f>
        <v>14.46743608298107</v>
      </c>
      <c r="H576" s="26">
        <f>Ft!E$3*EXP(Ft!E$38*($A576-Ft!E$2)^2)</f>
        <v>3.2845565561778467</v>
      </c>
      <c r="I576" s="26">
        <f>Ft!F$3*EXP(Ft!F$38*($A576-Ft!F$2)^2)</f>
        <v>2.4912202318452695E-21</v>
      </c>
      <c r="J576" s="26">
        <f>Ft!G$3*EXP(Ft!G$38*($A576-Ft!G$2)^2)</f>
        <v>1.1351065207151388E-91</v>
      </c>
    </row>
    <row r="577" spans="1:10">
      <c r="A577" s="19">
        <v>575</v>
      </c>
      <c r="B577" s="28">
        <v>9.2574082293790525</v>
      </c>
      <c r="C577" s="27">
        <f ca="1">OFFSET($B577,1*(ROWS(C$2:C577)-1),0)</f>
        <v>0</v>
      </c>
      <c r="D577" s="26">
        <f>Ft!B$3*EXP(Ft!B$38*($A577-Ft!B$2)^2) +Ft!C$3*EXP(Ft!C$38*($A577-Ft!C$2)^2) + Ft!D$3*EXP(Ft!D$38*($A577-Ft!D$2)^2)+Ft!E$3*EXP(Ft!E$38*($A577-Ft!E$2)^2) +Ft!F$3*EXP(Ft!F$38*($A577-Ft!F$2)^2) + Ft!G$3*EXP(Ft!G$38*($A577-Ft!G$2)^2)</f>
        <v>17.730976867943767</v>
      </c>
      <c r="E577" s="26">
        <f>Ft!B$3*EXP(Ft!B$38*($A577-Ft!B$2)^2)</f>
        <v>3.7670786346395023E-154</v>
      </c>
      <c r="F577" s="26">
        <f>Ft!C$3*EXP(Ft!C$38*($A577-Ft!C$2)^2)</f>
        <v>1.7579616586003009E-6</v>
      </c>
      <c r="G577" s="26">
        <f>Ft!D$3*EXP(Ft!D$38*($A577-Ft!D$2)^2)</f>
        <v>14.405161824592232</v>
      </c>
      <c r="H577" s="26">
        <f>Ft!E$3*EXP(Ft!E$38*($A577-Ft!E$2)^2)</f>
        <v>3.3258132853898772</v>
      </c>
      <c r="I577" s="26">
        <f>Ft!F$3*EXP(Ft!F$38*($A577-Ft!F$2)^2)</f>
        <v>3.1335821127577705E-21</v>
      </c>
      <c r="J577" s="26">
        <f>Ft!G$3*EXP(Ft!G$38*($A577-Ft!G$2)^2)</f>
        <v>2.7788452168109853E-91</v>
      </c>
    </row>
    <row r="578" spans="1:10">
      <c r="A578" s="19">
        <v>576</v>
      </c>
      <c r="B578" s="28">
        <v>9.1299562006545898</v>
      </c>
      <c r="C578" s="27">
        <f ca="1">OFFSET($B578,1*(ROWS(C$2:C578)-1),0)</f>
        <v>0</v>
      </c>
      <c r="D578" s="26">
        <f>Ft!B$3*EXP(Ft!B$38*($A578-Ft!B$2)^2) +Ft!C$3*EXP(Ft!C$38*($A578-Ft!C$2)^2) + Ft!D$3*EXP(Ft!D$38*($A578-Ft!D$2)^2)+Ft!E$3*EXP(Ft!E$38*($A578-Ft!E$2)^2) +Ft!F$3*EXP(Ft!F$38*($A578-Ft!F$2)^2) + Ft!G$3*EXP(Ft!G$38*($A578-Ft!G$2)^2)</f>
        <v>17.710060481972217</v>
      </c>
      <c r="E578" s="26">
        <f>Ft!B$3*EXP(Ft!B$38*($A578-Ft!B$2)^2)</f>
        <v>9.8657304346621923E-155</v>
      </c>
      <c r="F578" s="26">
        <f>Ft!C$3*EXP(Ft!C$38*($A578-Ft!C$2)^2)</f>
        <v>1.6375796235638161E-6</v>
      </c>
      <c r="G578" s="26">
        <f>Ft!D$3*EXP(Ft!D$38*($A578-Ft!D$2)^2)</f>
        <v>14.34264012987987</v>
      </c>
      <c r="H578" s="26">
        <f>Ft!E$3*EXP(Ft!E$38*($A578-Ft!E$2)^2)</f>
        <v>3.3674187145127221</v>
      </c>
      <c r="I578" s="26">
        <f>Ft!F$3*EXP(Ft!F$38*($A578-Ft!F$2)^2)</f>
        <v>3.9394569168586242E-21</v>
      </c>
      <c r="J578" s="26">
        <f>Ft!G$3*EXP(Ft!G$38*($A578-Ft!G$2)^2)</f>
        <v>6.7899461275783974E-91</v>
      </c>
    </row>
    <row r="579" spans="1:10">
      <c r="A579" s="19">
        <v>577</v>
      </c>
      <c r="B579" s="28">
        <v>8.9989691182289562</v>
      </c>
      <c r="C579" s="27">
        <f ca="1">OFFSET($B579,1*(ROWS(C$2:C579)-1),0)</f>
        <v>0</v>
      </c>
      <c r="D579" s="26">
        <f>Ft!B$3*EXP(Ft!B$38*($A579-Ft!B$2)^2) +Ft!C$3*EXP(Ft!C$38*($A579-Ft!C$2)^2) + Ft!D$3*EXP(Ft!D$38*($A579-Ft!D$2)^2)+Ft!E$3*EXP(Ft!E$38*($A579-Ft!E$2)^2) +Ft!F$3*EXP(Ft!F$38*($A579-Ft!F$2)^2) + Ft!G$3*EXP(Ft!G$38*($A579-Ft!G$2)^2)</f>
        <v>17.689251073109762</v>
      </c>
      <c r="E579" s="26">
        <f>Ft!B$3*EXP(Ft!B$38*($A579-Ft!B$2)^2)</f>
        <v>2.5772471863527337E-155</v>
      </c>
      <c r="F579" s="26">
        <f>Ft!C$3*EXP(Ft!C$38*($A579-Ft!C$2)^2)</f>
        <v>1.5251934648774021E-6</v>
      </c>
      <c r="G579" s="26">
        <f>Ft!D$3*EXP(Ft!D$38*($A579-Ft!D$2)^2)</f>
        <v>14.279876557075102</v>
      </c>
      <c r="H579" s="26">
        <f>Ft!E$3*EXP(Ft!E$38*($A579-Ft!E$2)^2)</f>
        <v>3.4093729908411947</v>
      </c>
      <c r="I579" s="26">
        <f>Ft!F$3*EXP(Ft!F$38*($A579-Ft!F$2)^2)</f>
        <v>4.9499173739070409E-21</v>
      </c>
      <c r="J579" s="26">
        <f>Ft!G$3*EXP(Ft!G$38*($A579-Ft!G$2)^2)</f>
        <v>1.6559321310389308E-90</v>
      </c>
    </row>
    <row r="580" spans="1:10">
      <c r="A580" s="19">
        <v>578</v>
      </c>
      <c r="B580" s="28">
        <v>8.8866553598045641</v>
      </c>
      <c r="C580" s="27">
        <f ca="1">OFFSET($B580,1*(ROWS(C$2:C580)-1),0)</f>
        <v>0</v>
      </c>
      <c r="D580" s="26">
        <f>Ft!B$3*EXP(Ft!B$38*($A580-Ft!B$2)^2) +Ft!C$3*EXP(Ft!C$38*($A580-Ft!C$2)^2) + Ft!D$3*EXP(Ft!D$38*($A580-Ft!D$2)^2)+Ft!E$3*EXP(Ft!E$38*($A580-Ft!E$2)^2) +Ft!F$3*EXP(Ft!F$38*($A580-Ft!F$2)^2) + Ft!G$3*EXP(Ft!G$38*($A580-Ft!G$2)^2)</f>
        <v>17.668554296997762</v>
      </c>
      <c r="E580" s="26">
        <f>Ft!B$3*EXP(Ft!B$38*($A580-Ft!B$2)^2)</f>
        <v>6.7156054622739653E-156</v>
      </c>
      <c r="F580" s="26">
        <f>Ft!C$3*EXP(Ft!C$38*($A580-Ft!C$2)^2)</f>
        <v>1.4202896714267067E-6</v>
      </c>
      <c r="G580" s="26">
        <f>Ft!D$3*EXP(Ft!D$38*($A580-Ft!D$2)^2)</f>
        <v>14.216876666208139</v>
      </c>
      <c r="H580" s="26">
        <f>Ft!E$3*EXP(Ft!E$38*($A580-Ft!E$2)^2)</f>
        <v>3.4516762104999512</v>
      </c>
      <c r="I580" s="26">
        <f>Ft!F$3*EXP(Ft!F$38*($A580-Ft!F$2)^2)</f>
        <v>6.2162126445289162E-21</v>
      </c>
      <c r="J580" s="26">
        <f>Ft!G$3*EXP(Ft!G$38*($A580-Ft!G$2)^2)</f>
        <v>4.0308159713348586E-90</v>
      </c>
    </row>
    <row r="581" spans="1:10">
      <c r="A581" s="19">
        <v>579</v>
      </c>
      <c r="B581" s="28">
        <v>8.784516293154951</v>
      </c>
      <c r="C581" s="27">
        <f ca="1">OFFSET($B581,1*(ROWS(C$2:C581)-1),0)</f>
        <v>0</v>
      </c>
      <c r="D581" s="26">
        <f>Ft!B$3*EXP(Ft!B$38*($A581-Ft!B$2)^2) +Ft!C$3*EXP(Ft!C$38*($A581-Ft!C$2)^2) + Ft!D$3*EXP(Ft!D$38*($A581-Ft!D$2)^2)+Ft!E$3*EXP(Ft!E$38*($A581-Ft!E$2)^2) +Ft!F$3*EXP(Ft!F$38*($A581-Ft!F$2)^2) + Ft!G$3*EXP(Ft!G$38*($A581-Ft!G$2)^2)</f>
        <v>17.647975758475852</v>
      </c>
      <c r="E581" s="26">
        <f>Ft!B$3*EXP(Ft!B$38*($A581-Ft!B$2)^2)</f>
        <v>1.7454866977252799E-156</v>
      </c>
      <c r="F581" s="26">
        <f>Ft!C$3*EXP(Ft!C$38*($A581-Ft!C$2)^2)</f>
        <v>1.3223864937755422E-6</v>
      </c>
      <c r="G581" s="26">
        <f>Ft!D$3*EXP(Ft!D$38*($A581-Ft!D$2)^2)</f>
        <v>14.153646018302851</v>
      </c>
      <c r="H581" s="26">
        <f>Ft!E$3*EXP(Ft!E$38*($A581-Ft!E$2)^2)</f>
        <v>3.494328417786507</v>
      </c>
      <c r="I581" s="26">
        <f>Ft!F$3*EXP(Ft!F$38*($A581-Ft!F$2)^2)</f>
        <v>7.8022541665331995E-21</v>
      </c>
      <c r="J581" s="26">
        <f>Ft!G$3*EXP(Ft!G$38*($A581-Ft!G$2)^2)</f>
        <v>9.7930425466693397E-90</v>
      </c>
    </row>
    <row r="582" spans="1:10">
      <c r="A582" s="19">
        <v>580</v>
      </c>
      <c r="B582" s="28">
        <v>8.6865705767644101</v>
      </c>
      <c r="C582" s="27">
        <f ca="1">OFFSET($B582,1*(ROWS(C$2:C582)-1),0)</f>
        <v>0</v>
      </c>
      <c r="D582" s="26">
        <f>Ft!B$3*EXP(Ft!B$38*($A582-Ft!B$2)^2) +Ft!C$3*EXP(Ft!C$38*($A582-Ft!C$2)^2) + Ft!D$3*EXP(Ft!D$38*($A582-Ft!D$2)^2)+Ft!E$3*EXP(Ft!E$38*($A582-Ft!E$2)^2) +Ft!F$3*EXP(Ft!F$38*($A582-Ft!F$2)^2) + Ft!G$3*EXP(Ft!G$38*($A582-Ft!G$2)^2)</f>
        <v>17.627521010125985</v>
      </c>
      <c r="E582" s="26">
        <f>Ft!B$3*EXP(Ft!B$38*($A582-Ft!B$2)^2)</f>
        <v>4.5253292571581256E-157</v>
      </c>
      <c r="F582" s="26">
        <f>Ft!C$3*EXP(Ft!C$38*($A582-Ft!C$2)^2)</f>
        <v>1.2310320616558761E-6</v>
      </c>
      <c r="G582" s="26">
        <f>Ft!D$3*EXP(Ft!D$38*($A582-Ft!D$2)^2)</f>
        <v>14.090190174574721</v>
      </c>
      <c r="H582" s="26">
        <f>Ft!E$3*EXP(Ft!E$38*($A582-Ft!E$2)^2)</f>
        <v>3.5373296045192029</v>
      </c>
      <c r="I582" s="26">
        <f>Ft!F$3*EXP(Ft!F$38*($A582-Ft!F$2)^2)</f>
        <v>9.7876998709772547E-21</v>
      </c>
      <c r="J582" s="26">
        <f>Ft!G$3*EXP(Ft!G$38*($A582-Ft!G$2)^2)</f>
        <v>2.374742610826684E-89</v>
      </c>
    </row>
    <row r="583" spans="1:10">
      <c r="A583" s="19">
        <v>581</v>
      </c>
      <c r="B583" s="28">
        <v>8.5902295417403707</v>
      </c>
      <c r="C583" s="27">
        <f ca="1">OFFSET($B583,1*(ROWS(C$2:C583)-1),0)</f>
        <v>0</v>
      </c>
      <c r="D583" s="26">
        <f>Ft!B$3*EXP(Ft!B$38*($A583-Ft!B$2)^2) +Ft!C$3*EXP(Ft!C$38*($A583-Ft!C$2)^2) + Ft!D$3*EXP(Ft!D$38*($A583-Ft!D$2)^2)+Ft!E$3*EXP(Ft!E$38*($A583-Ft!E$2)^2) +Ft!F$3*EXP(Ft!F$38*($A583-Ft!F$2)^2) + Ft!G$3*EXP(Ft!G$38*($A583-Ft!G$2)^2)</f>
        <v>17.607195550825274</v>
      </c>
      <c r="E583" s="26">
        <f>Ft!B$3*EXP(Ft!B$38*($A583-Ft!B$2)^2)</f>
        <v>1.1702700582624843E-157</v>
      </c>
      <c r="F583" s="26">
        <f>Ft!C$3*EXP(Ft!C$38*($A583-Ft!C$2)^2)</f>
        <v>1.1458026076628807E-6</v>
      </c>
      <c r="G583" s="26">
        <f>Ft!D$3*EXP(Ft!D$38*($A583-Ft!D$2)^2)</f>
        <v>14.026514695632278</v>
      </c>
      <c r="H583" s="26">
        <f>Ft!E$3*EXP(Ft!E$38*($A583-Ft!E$2)^2)</f>
        <v>3.580679709390389</v>
      </c>
      <c r="I583" s="26">
        <f>Ft!F$3*EXP(Ft!F$38*($A583-Ft!F$2)^2)</f>
        <v>1.2271778622198155E-20</v>
      </c>
      <c r="J583" s="26">
        <f>Ft!G$3*EXP(Ft!G$38*($A583-Ft!G$2)^2)</f>
        <v>5.7476416302584968E-89</v>
      </c>
    </row>
    <row r="584" spans="1:10">
      <c r="A584" s="19">
        <v>582</v>
      </c>
      <c r="B584" s="28">
        <v>8.4965434086334994</v>
      </c>
      <c r="C584" s="27">
        <f ca="1">OFFSET($B584,1*(ROWS(C$2:C584)-1),0)</f>
        <v>0</v>
      </c>
      <c r="D584" s="26">
        <f>Ft!B$3*EXP(Ft!B$38*($A584-Ft!B$2)^2) +Ft!C$3*EXP(Ft!C$38*($A584-Ft!C$2)^2) + Ft!D$3*EXP(Ft!D$38*($A584-Ft!D$2)^2)+Ft!E$3*EXP(Ft!E$38*($A584-Ft!E$2)^2) +Ft!F$3*EXP(Ft!F$38*($A584-Ft!F$2)^2) + Ft!G$3*EXP(Ft!G$38*($A584-Ft!G$2)^2)</f>
        <v>17.587004824308131</v>
      </c>
      <c r="E584" s="26">
        <f>Ft!B$3*EXP(Ft!B$38*($A584-Ft!B$2)^2)</f>
        <v>3.0187300227712934E-158</v>
      </c>
      <c r="F584" s="26">
        <f>Ft!C$3*EXP(Ft!C$38*($A584-Ft!C$2)^2)</f>
        <v>1.0663007915045014E-6</v>
      </c>
      <c r="G584" s="26">
        <f>Ft!D$3*EXP(Ft!D$38*($A584-Ft!D$2)^2)</f>
        <v>13.962625140682244</v>
      </c>
      <c r="H584" s="26">
        <f>Ft!E$3*EXP(Ft!E$38*($A584-Ft!E$2)^2)</f>
        <v>3.6243786173250951</v>
      </c>
      <c r="I584" s="26">
        <f>Ft!F$3*EXP(Ft!F$38*($A584-Ft!F$2)^2)</f>
        <v>1.5378029836262842E-20</v>
      </c>
      <c r="J584" s="26">
        <f>Ft!G$3*EXP(Ft!G$38*($A584-Ft!G$2)^2)</f>
        <v>1.3884717611773048E-88</v>
      </c>
    </row>
    <row r="585" spans="1:10">
      <c r="A585" s="19">
        <v>583</v>
      </c>
      <c r="B585" s="28">
        <v>8.4295193519494944</v>
      </c>
      <c r="C585" s="27">
        <f ca="1">OFFSET($B585,1*(ROWS(C$2:C585)-1),0)</f>
        <v>0</v>
      </c>
      <c r="D585" s="26">
        <f>Ft!B$3*EXP(Ft!B$38*($A585-Ft!B$2)^2) +Ft!C$3*EXP(Ft!C$38*($A585-Ft!C$2)^2) + Ft!D$3*EXP(Ft!D$38*($A585-Ft!D$2)^2)+Ft!E$3*EXP(Ft!E$38*($A585-Ft!E$2)^2) +Ft!F$3*EXP(Ft!F$38*($A585-Ft!F$2)^2) + Ft!G$3*EXP(Ft!G$38*($A585-Ft!G$2)^2)</f>
        <v>17.566954217738022</v>
      </c>
      <c r="E585" s="26">
        <f>Ft!B$3*EXP(Ft!B$38*($A585-Ft!B$2)^2)</f>
        <v>7.7672042322345129E-159</v>
      </c>
      <c r="F585" s="26">
        <f>Ft!C$3*EXP(Ft!C$38*($A585-Ft!C$2)^2)</f>
        <v>9.9215411943478975E-7</v>
      </c>
      <c r="G585" s="26">
        <f>Ft!D$3*EXP(Ft!D$38*($A585-Ft!D$2)^2)</f>
        <v>13.898527066738479</v>
      </c>
      <c r="H585" s="26">
        <f>Ft!E$3*EXP(Ft!E$38*($A585-Ft!E$2)^2)</f>
        <v>3.668426158845425</v>
      </c>
      <c r="I585" s="26">
        <f>Ft!F$3*EXP(Ft!F$38*($A585-Ft!F$2)^2)</f>
        <v>1.9260173929678816E-20</v>
      </c>
      <c r="J585" s="26">
        <f>Ft!G$3*EXP(Ft!G$38*($A585-Ft!G$2)^2)</f>
        <v>3.3477934417169767E-88</v>
      </c>
    </row>
    <row r="586" spans="1:10">
      <c r="A586" s="19">
        <v>584</v>
      </c>
      <c r="B586" s="28">
        <v>8.3536964811592611</v>
      </c>
      <c r="C586" s="27">
        <f ca="1">OFFSET($B586,1*(ROWS(C$2:C586)-1),0)</f>
        <v>0</v>
      </c>
      <c r="D586" s="26">
        <f>Ft!B$3*EXP(Ft!B$38*($A586-Ft!B$2)^2) +Ft!C$3*EXP(Ft!C$38*($A586-Ft!C$2)^2) + Ft!D$3*EXP(Ft!D$38*($A586-Ft!D$2)^2)+Ft!E$3*EXP(Ft!E$38*($A586-Ft!E$2)^2) +Ft!F$3*EXP(Ft!F$38*($A586-Ft!F$2)^2) + Ft!G$3*EXP(Ft!G$38*($A586-Ft!G$2)^2)</f>
        <v>17.547049060289364</v>
      </c>
      <c r="E586" s="26">
        <f>Ft!B$3*EXP(Ft!B$38*($A586-Ft!B$2)^2)</f>
        <v>1.9934596324379452E-159</v>
      </c>
      <c r="F586" s="26">
        <f>Ft!C$3*EXP(Ft!C$38*($A586-Ft!C$2)^2)</f>
        <v>9.2301345376713072E-7</v>
      </c>
      <c r="G586" s="26">
        <f>Ft!D$3*EXP(Ft!D$38*($A586-Ft!D$2)^2)</f>
        <v>13.834226027834941</v>
      </c>
      <c r="H586" s="26">
        <f>Ft!E$3*EXP(Ft!E$38*($A586-Ft!E$2)^2)</f>
        <v>3.7128221094409688</v>
      </c>
      <c r="I586" s="26">
        <f>Ft!F$3*EXP(Ft!F$38*($A586-Ft!F$2)^2)</f>
        <v>2.4109379258630238E-20</v>
      </c>
      <c r="J586" s="26">
        <f>Ft!G$3*EXP(Ft!G$38*($A586-Ft!G$2)^2)</f>
        <v>8.0566498664802597E-88</v>
      </c>
    </row>
    <row r="587" spans="1:10">
      <c r="A587" s="19">
        <v>585</v>
      </c>
      <c r="B587" s="28">
        <v>8.2800983005761282</v>
      </c>
      <c r="C587" s="27">
        <f ca="1">OFFSET($B587,1*(ROWS(C$2:C587)-1),0)</f>
        <v>0</v>
      </c>
      <c r="D587" s="26">
        <f>Ft!B$3*EXP(Ft!B$38*($A587-Ft!B$2)^2) +Ft!C$3*EXP(Ft!C$38*($A587-Ft!C$2)^2) + Ft!D$3*EXP(Ft!D$38*($A587-Ft!D$2)^2)+Ft!E$3*EXP(Ft!E$38*($A587-Ft!E$2)^2) +Ft!F$3*EXP(Ft!F$38*($A587-Ft!F$2)^2) + Ft!G$3*EXP(Ft!G$38*($A587-Ft!G$2)^2)</f>
        <v>17.527294621739813</v>
      </c>
      <c r="E587" s="26">
        <f>Ft!B$3*EXP(Ft!B$38*($A587-Ft!B$2)^2)</f>
        <v>5.1033157162321786E-160</v>
      </c>
      <c r="F587" s="26">
        <f>Ft!C$3*EXP(Ft!C$38*($A587-Ft!C$2)^2)</f>
        <v>8.5855160761852201E-7</v>
      </c>
      <c r="G587" s="26">
        <f>Ft!D$3*EXP(Ft!D$38*($A587-Ft!D$2)^2)</f>
        <v>13.769727574242733</v>
      </c>
      <c r="H587" s="26">
        <f>Ft!E$3*EXP(Ft!E$38*($A587-Ft!E$2)^2)</f>
        <v>3.7575661889454715</v>
      </c>
      <c r="I587" s="26">
        <f>Ft!F$3*EXP(Ft!F$38*($A587-Ft!F$2)^2)</f>
        <v>3.0163252622118312E-20</v>
      </c>
      <c r="J587" s="26">
        <f>Ft!G$3*EXP(Ft!G$38*($A587-Ft!G$2)^2)</f>
        <v>1.935194223196208E-87</v>
      </c>
    </row>
    <row r="588" spans="1:10">
      <c r="A588" s="19">
        <v>586</v>
      </c>
      <c r="B588" s="28">
        <v>8.2190457204678466</v>
      </c>
      <c r="C588" s="27">
        <f ca="1">OFFSET($B588,1*(ROWS(C$2:C588)-1),0)</f>
        <v>0</v>
      </c>
      <c r="D588" s="26">
        <f>Ft!B$3*EXP(Ft!B$38*($A588-Ft!B$2)^2) +Ft!C$3*EXP(Ft!C$38*($A588-Ft!C$2)^2) + Ft!D$3*EXP(Ft!D$38*($A588-Ft!D$2)^2)+Ft!E$3*EXP(Ft!E$38*($A588-Ft!E$2)^2) +Ft!F$3*EXP(Ft!F$38*($A588-Ft!F$2)^2) + Ft!G$3*EXP(Ft!G$38*($A588-Ft!G$2)^2)</f>
        <v>17.507696111073546</v>
      </c>
      <c r="E588" s="26">
        <f>Ft!B$3*EXP(Ft!B$38*($A588-Ft!B$2)^2)</f>
        <v>1.3031658726283929E-160</v>
      </c>
      <c r="F588" s="26">
        <f>Ft!C$3*EXP(Ft!C$38*($A588-Ft!C$2)^2)</f>
        <v>7.9846202027930079E-7</v>
      </c>
      <c r="G588" s="26">
        <f>Ft!D$3*EXP(Ft!D$38*($A588-Ft!D$2)^2)</f>
        <v>13.705037251691486</v>
      </c>
      <c r="H588" s="26">
        <f>Ft!E$3*EXP(Ft!E$38*($A588-Ft!E$2)^2)</f>
        <v>3.8026580609200407</v>
      </c>
      <c r="I588" s="26">
        <f>Ft!F$3*EXP(Ft!F$38*($A588-Ft!F$2)^2)</f>
        <v>3.7716955776121488E-20</v>
      </c>
      <c r="J588" s="26">
        <f>Ft!G$3*EXP(Ft!G$38*($A588-Ft!G$2)^2)</f>
        <v>4.6394752347389852E-87</v>
      </c>
    </row>
    <row r="589" spans="1:10">
      <c r="A589" s="19">
        <v>587</v>
      </c>
      <c r="B589" s="28">
        <v>8.1612512533558288</v>
      </c>
      <c r="C589" s="27">
        <f ca="1">OFFSET($B589,1*(ROWS(C$2:C589)-1),0)</f>
        <v>0</v>
      </c>
      <c r="D589" s="26">
        <f>Ft!B$3*EXP(Ft!B$38*($A589-Ft!B$2)^2) +Ft!C$3*EXP(Ft!C$38*($A589-Ft!C$2)^2) + Ft!D$3*EXP(Ft!D$38*($A589-Ft!D$2)^2)+Ft!E$3*EXP(Ft!E$38*($A589-Ft!E$2)^2) +Ft!F$3*EXP(Ft!F$38*($A589-Ft!F$2)^2) + Ft!G$3*EXP(Ft!G$38*($A589-Ft!G$2)^2)</f>
        <v>17.488258675095796</v>
      </c>
      <c r="E589" s="26">
        <f>Ft!B$3*EXP(Ft!B$38*($A589-Ft!B$2)^2)</f>
        <v>3.3193208178852362E-161</v>
      </c>
      <c r="F589" s="26">
        <f>Ft!C$3*EXP(Ft!C$38*($A589-Ft!C$2)^2)</f>
        <v>7.4245750883501334E-7</v>
      </c>
      <c r="G589" s="26">
        <f>Ft!D$3*EXP(Ft!D$38*($A589-Ft!D$2)^2)</f>
        <v>13.640160600595131</v>
      </c>
      <c r="H589" s="26">
        <f>Ft!E$3*EXP(Ft!E$38*($A589-Ft!E$2)^2)</f>
        <v>3.8480973320431575</v>
      </c>
      <c r="I589" s="26">
        <f>Ft!F$3*EXP(Ft!F$38*($A589-Ft!F$2)^2)</f>
        <v>4.7136942858639424E-20</v>
      </c>
      <c r="J589" s="26">
        <f>Ft!G$3*EXP(Ft!G$38*($A589-Ft!G$2)^2)</f>
        <v>1.1101646535762085E-86</v>
      </c>
    </row>
    <row r="590" spans="1:10">
      <c r="A590" s="19">
        <v>588</v>
      </c>
      <c r="B590" s="28">
        <v>8.1148999630058825</v>
      </c>
      <c r="C590" s="27">
        <f ca="1">OFFSET($B590,1*(ROWS(C$2:C590)-1),0)</f>
        <v>0</v>
      </c>
      <c r="D590" s="26">
        <f>Ft!B$3*EXP(Ft!B$38*($A590-Ft!B$2)^2) +Ft!C$3*EXP(Ft!C$38*($A590-Ft!C$2)^2) + Ft!D$3*EXP(Ft!D$38*($A590-Ft!D$2)^2)+Ft!E$3*EXP(Ft!E$38*($A590-Ft!E$2)^2) +Ft!F$3*EXP(Ft!F$38*($A590-Ft!F$2)^2) + Ft!G$3*EXP(Ft!G$38*($A590-Ft!G$2)^2)</f>
        <v>17.468987397059095</v>
      </c>
      <c r="E590" s="26">
        <f>Ft!B$3*EXP(Ft!B$38*($A590-Ft!B$2)^2)</f>
        <v>8.4333676088554434E-162</v>
      </c>
      <c r="F590" s="26">
        <f>Ft!C$3*EXP(Ft!C$38*($A590-Ft!C$2)^2)</f>
        <v>6.9026909188849149E-7</v>
      </c>
      <c r="G590" s="26">
        <f>Ft!D$3*EXP(Ft!D$38*($A590-Ft!D$2)^2)</f>
        <v>13.575103155282262</v>
      </c>
      <c r="H590" s="26">
        <f>Ft!E$3*EXP(Ft!E$38*($A590-Ft!E$2)^2)</f>
        <v>3.8938835515077432</v>
      </c>
      <c r="I590" s="26">
        <f>Ft!F$3*EXP(Ft!F$38*($A590-Ft!F$2)^2)</f>
        <v>5.8877926959546918E-20</v>
      </c>
      <c r="J590" s="26">
        <f>Ft!G$3*EXP(Ft!G$38*($A590-Ft!G$2)^2)</f>
        <v>2.651429986941539E-86</v>
      </c>
    </row>
    <row r="591" spans="1:10">
      <c r="A591" s="19">
        <v>589</v>
      </c>
      <c r="B591" s="28">
        <v>8.0651485048971665</v>
      </c>
      <c r="C591" s="27">
        <f ca="1">OFFSET($B591,1*(ROWS(C$2:C591)-1),0)</f>
        <v>0</v>
      </c>
      <c r="D591" s="26">
        <f>Ft!B$3*EXP(Ft!B$38*($A591-Ft!B$2)^2) +Ft!C$3*EXP(Ft!C$38*($A591-Ft!C$2)^2) + Ft!D$3*EXP(Ft!D$38*($A591-Ft!D$2)^2)+Ft!E$3*EXP(Ft!E$38*($A591-Ft!E$2)^2) +Ft!F$3*EXP(Ft!F$38*($A591-Ft!F$2)^2) + Ft!G$3*EXP(Ft!G$38*($A591-Ft!G$2)^2)</f>
        <v>17.449887295301686</v>
      </c>
      <c r="E591" s="26">
        <f>Ft!B$3*EXP(Ft!B$38*($A591-Ft!B$2)^2)</f>
        <v>2.1372489068035939E-162</v>
      </c>
      <c r="F591" s="26">
        <f>Ft!C$3*EXP(Ft!C$38*($A591-Ft!C$2)^2)</f>
        <v>6.4164488144144455E-7</v>
      </c>
      <c r="G591" s="26">
        <f>Ft!D$3*EXP(Ft!D$38*($A591-Ft!D$2)^2)</f>
        <v>13.509870443231234</v>
      </c>
      <c r="H591" s="26">
        <f>Ft!E$3*EXP(Ft!E$38*($A591-Ft!E$2)^2)</f>
        <v>3.9400162104255698</v>
      </c>
      <c r="I591" s="26">
        <f>Ft!F$3*EXP(Ft!F$38*($A591-Ft!F$2)^2)</f>
        <v>7.3503822917771553E-20</v>
      </c>
      <c r="J591" s="26">
        <f>Ft!G$3*EXP(Ft!G$38*($A591-Ft!G$2)^2)</f>
        <v>6.3204378433047755E-86</v>
      </c>
    </row>
    <row r="592" spans="1:10">
      <c r="A592" s="19">
        <v>590</v>
      </c>
      <c r="B592" s="28">
        <v>8.0080245946963373</v>
      </c>
      <c r="C592" s="27">
        <f ca="1">OFFSET($B592,1*(ROWS(C$2:C592)-1),0)</f>
        <v>0</v>
      </c>
      <c r="D592" s="26">
        <f>Ft!B$3*EXP(Ft!B$38*($A592-Ft!B$2)^2) +Ft!C$3*EXP(Ft!C$38*($A592-Ft!C$2)^2) + Ft!D$3*EXP(Ft!D$38*($A592-Ft!D$2)^2)+Ft!E$3*EXP(Ft!E$38*($A592-Ft!E$2)^2) +Ft!F$3*EXP(Ft!F$38*($A592-Ft!F$2)^2) + Ft!G$3*EXP(Ft!G$38*($A592-Ft!G$2)^2)</f>
        <v>17.430963321898414</v>
      </c>
      <c r="E592" s="26">
        <f>Ft!B$3*EXP(Ft!B$38*($A592-Ft!B$2)^2)</f>
        <v>5.4027073784067843E-163</v>
      </c>
      <c r="F592" s="26">
        <f>Ft!C$3*EXP(Ft!C$38*($A592-Ft!C$2)^2)</f>
        <v>5.9634903919631378E-7</v>
      </c>
      <c r="G592" s="26">
        <f>Ft!D$3*EXP(Ft!D$38*($A592-Ft!D$2)^2)</f>
        <v>13.444467984310096</v>
      </c>
      <c r="H592" s="26">
        <f>Ft!E$3*EXP(Ft!E$38*($A592-Ft!E$2)^2)</f>
        <v>3.9864947412392771</v>
      </c>
      <c r="I592" s="26">
        <f>Ft!F$3*EXP(Ft!F$38*($A592-Ft!F$2)^2)</f>
        <v>9.171358343384998E-20</v>
      </c>
      <c r="J592" s="26">
        <f>Ft!G$3*EXP(Ft!G$38*($A592-Ft!G$2)^2)</f>
        <v>1.5037941768462754E-85</v>
      </c>
    </row>
    <row r="593" spans="1:10">
      <c r="A593" s="19">
        <v>591</v>
      </c>
      <c r="B593" s="28">
        <v>7.9545107522137641</v>
      </c>
      <c r="C593" s="27">
        <f ca="1">OFFSET($B593,1*(ROWS(C$2:C593)-1),0)</f>
        <v>0</v>
      </c>
      <c r="D593" s="26">
        <f>Ft!B$3*EXP(Ft!B$38*($A593-Ft!B$2)^2) +Ft!C$3*EXP(Ft!C$38*($A593-Ft!C$2)^2) + Ft!D$3*EXP(Ft!D$38*($A593-Ft!D$2)^2)+Ft!E$3*EXP(Ft!E$38*($A593-Ft!E$2)^2) +Ft!F$3*EXP(Ft!F$38*($A593-Ft!F$2)^2) + Ft!G$3*EXP(Ft!G$38*($A593-Ft!G$2)^2)</f>
        <v>17.412220361324582</v>
      </c>
      <c r="E593" s="26">
        <f>Ft!B$3*EXP(Ft!B$38*($A593-Ft!B$2)^2)</f>
        <v>1.362291536311713E-163</v>
      </c>
      <c r="F593" s="26">
        <f>Ft!C$3*EXP(Ft!C$38*($A593-Ft!C$2)^2)</f>
        <v>5.54160793730942E-7</v>
      </c>
      <c r="G593" s="26">
        <f>Ft!D$3*EXP(Ft!D$38*($A593-Ft!D$2)^2)</f>
        <v>13.37890129002154</v>
      </c>
      <c r="H593" s="26">
        <f>Ft!E$3*EXP(Ft!E$38*($A593-Ft!E$2)^2)</f>
        <v>4.0333185171422485</v>
      </c>
      <c r="I593" s="26">
        <f>Ft!F$3*EXP(Ft!F$38*($A593-Ft!F$2)^2)</f>
        <v>1.1437305361534343E-19</v>
      </c>
      <c r="J593" s="26">
        <f>Ft!G$3*EXP(Ft!G$38*($A593-Ft!G$2)^2)</f>
        <v>3.5711152460368784E-85</v>
      </c>
    </row>
    <row r="594" spans="1:10">
      <c r="A594" s="19">
        <v>592</v>
      </c>
      <c r="B594" s="28">
        <v>7.8875015152045478</v>
      </c>
      <c r="C594" s="27">
        <f ca="1">OFFSET($B594,1*(ROWS(C$2:C594)-1),0)</f>
        <v>0</v>
      </c>
      <c r="D594" s="26">
        <f>Ft!B$3*EXP(Ft!B$38*($A594-Ft!B$2)^2) +Ft!C$3*EXP(Ft!C$38*($A594-Ft!C$2)^2) + Ft!D$3*EXP(Ft!D$38*($A594-Ft!D$2)^2)+Ft!E$3*EXP(Ft!E$38*($A594-Ft!E$2)^2) +Ft!F$3*EXP(Ft!F$38*($A594-Ft!F$2)^2) + Ft!G$3*EXP(Ft!G$38*($A594-Ft!G$2)^2)</f>
        <v>17.393663229133161</v>
      </c>
      <c r="E594" s="26">
        <f>Ft!B$3*EXP(Ft!B$38*($A594-Ft!B$2)^2)</f>
        <v>3.4263438250748644E-164</v>
      </c>
      <c r="F594" s="26">
        <f>Ft!C$3*EXP(Ft!C$38*($A594-Ft!C$2)^2)</f>
        <v>5.1487351518163457E-7</v>
      </c>
      <c r="G594" s="26">
        <f>Ft!D$3*EXP(Ft!D$38*($A594-Ft!D$2)^2)</f>
        <v>13.313175862753001</v>
      </c>
      <c r="H594" s="26">
        <f>Ft!E$3*EXP(Ft!E$38*($A594-Ft!E$2)^2)</f>
        <v>4.0804868515066461</v>
      </c>
      <c r="I594" s="26">
        <f>Ft!F$3*EXP(Ft!F$38*($A594-Ft!F$2)^2)</f>
        <v>1.4255422347815426E-19</v>
      </c>
      <c r="J594" s="26">
        <f>Ft!G$3*EXP(Ft!G$38*($A594-Ft!G$2)^2)</f>
        <v>8.4643490814494131E-85</v>
      </c>
    </row>
    <row r="595" spans="1:10">
      <c r="A595" s="19">
        <v>593</v>
      </c>
      <c r="B595" s="28">
        <v>7.8168425378049164</v>
      </c>
      <c r="C595" s="27">
        <f ca="1">OFFSET($B595,1*(ROWS(C$2:C595)-1),0)</f>
        <v>0</v>
      </c>
      <c r="D595" s="26">
        <f>Ft!B$3*EXP(Ft!B$38*($A595-Ft!B$2)^2) +Ft!C$3*EXP(Ft!C$38*($A595-Ft!C$2)^2) + Ft!D$3*EXP(Ft!D$38*($A595-Ft!D$2)^2)+Ft!E$3*EXP(Ft!E$38*($A595-Ft!E$2)^2) +Ft!F$3*EXP(Ft!F$38*($A595-Ft!F$2)^2) + Ft!G$3*EXP(Ft!G$38*($A595-Ft!G$2)^2)</f>
        <v>17.375296670645707</v>
      </c>
      <c r="E595" s="26">
        <f>Ft!B$3*EXP(Ft!B$38*($A595-Ft!B$2)^2)</f>
        <v>8.5959542258887327E-165</v>
      </c>
      <c r="F595" s="26">
        <f>Ft!C$3*EXP(Ft!C$38*($A595-Ft!C$2)^2)</f>
        <v>4.7829384424427165E-7</v>
      </c>
      <c r="G595" s="26">
        <f>Ft!D$3*EXP(Ft!D$38*($A595-Ft!D$2)^2)</f>
        <v>13.24729719503202</v>
      </c>
      <c r="H595" s="26">
        <f>Ft!E$3*EXP(Ft!E$38*($A595-Ft!E$2)^2)</f>
        <v>4.1279989973198425</v>
      </c>
      <c r="I595" s="26">
        <f>Ft!F$3*EXP(Ft!F$38*($A595-Ft!F$2)^2)</f>
        <v>1.775835688609399E-19</v>
      </c>
      <c r="J595" s="26">
        <f>Ft!G$3*EXP(Ft!G$38*($A595-Ft!G$2)^2)</f>
        <v>2.002430719078041E-84</v>
      </c>
    </row>
    <row r="596" spans="1:10">
      <c r="A596" s="19">
        <v>594</v>
      </c>
      <c r="B596" s="28">
        <v>7.7665382062700701</v>
      </c>
      <c r="C596" s="27">
        <f ca="1">OFFSET($B596,1*(ROWS(C$2:C596)-1),0)</f>
        <v>0</v>
      </c>
      <c r="D596" s="26">
        <f>Ft!B$3*EXP(Ft!B$38*($A596-Ft!B$2)^2) +Ft!C$3*EXP(Ft!C$38*($A596-Ft!C$2)^2) + Ft!D$3*EXP(Ft!D$38*($A596-Ft!D$2)^2)+Ft!E$3*EXP(Ft!E$38*($A596-Ft!E$2)^2) +Ft!F$3*EXP(Ft!F$38*($A596-Ft!F$2)^2) + Ft!G$3*EXP(Ft!G$38*($A596-Ft!G$2)^2)</f>
        <v>17.357125359657445</v>
      </c>
      <c r="E596" s="26">
        <f>Ft!B$3*EXP(Ft!B$38*($A596-Ft!B$2)^2)</f>
        <v>2.1510946364192175E-165</v>
      </c>
      <c r="F596" s="26">
        <f>Ft!C$3*EXP(Ft!C$38*($A596-Ft!C$2)^2)</f>
        <v>4.4424087246916011E-7</v>
      </c>
      <c r="G596" s="26">
        <f>Ft!D$3*EXP(Ft!D$38*($A596-Ft!D$2)^2)</f>
        <v>13.181270768787028</v>
      </c>
      <c r="H596" s="26">
        <f>Ft!E$3*EXP(Ft!E$38*($A596-Ft!E$2)^2)</f>
        <v>4.1758541466295451</v>
      </c>
      <c r="I596" s="26">
        <f>Ft!F$3*EXP(Ft!F$38*($A596-Ft!F$2)^2)</f>
        <v>2.2110155100529289E-19</v>
      </c>
      <c r="J596" s="26">
        <f>Ft!G$3*EXP(Ft!G$38*($A596-Ft!G$2)^2)</f>
        <v>4.7281981127286542E-84</v>
      </c>
    </row>
    <row r="597" spans="1:10">
      <c r="A597" s="19">
        <v>595</v>
      </c>
      <c r="B597" s="28">
        <v>7.6742653588554788</v>
      </c>
      <c r="C597" s="27">
        <f ca="1">OFFSET($B597,1*(ROWS(C$2:C597)-1),0)</f>
        <v>0</v>
      </c>
      <c r="D597" s="26">
        <f>Ft!B$3*EXP(Ft!B$38*($A597-Ft!B$2)^2) +Ft!C$3*EXP(Ft!C$38*($A597-Ft!C$2)^2) + Ft!D$3*EXP(Ft!D$38*($A597-Ft!D$2)^2)+Ft!E$3*EXP(Ft!E$38*($A597-Ft!E$2)^2) +Ft!F$3*EXP(Ft!F$38*($A597-Ft!F$2)^2) + Ft!G$3*EXP(Ft!G$38*($A597-Ft!G$2)^2)</f>
        <v>17.339153897156912</v>
      </c>
      <c r="E597" s="26">
        <f>Ft!B$3*EXP(Ft!B$38*($A597-Ft!B$2)^2)</f>
        <v>5.3694179565240405E-166</v>
      </c>
      <c r="F597" s="26">
        <f>Ft!C$3*EXP(Ft!C$38*($A597-Ft!C$2)^2)</f>
        <v>4.1254537098320499E-7</v>
      </c>
      <c r="G597" s="26">
        <f>Ft!D$3*EXP(Ft!D$38*($A597-Ft!D$2)^2)</f>
        <v>13.115102054613669</v>
      </c>
      <c r="H597" s="26">
        <f>Ft!E$3*EXP(Ft!E$38*($A597-Ft!E$2)^2)</f>
        <v>4.2240514299978713</v>
      </c>
      <c r="I597" s="26">
        <f>Ft!F$3*EXP(Ft!F$38*($A597-Ft!F$2)^2)</f>
        <v>2.7513580868375049E-19</v>
      </c>
      <c r="J597" s="26">
        <f>Ft!G$3*EXP(Ft!G$38*($A597-Ft!G$2)^2)</f>
        <v>1.1143152254207405E-83</v>
      </c>
    </row>
    <row r="598" spans="1:10">
      <c r="A598" s="19">
        <v>596</v>
      </c>
      <c r="B598" s="28">
        <v>7.5748915398404222</v>
      </c>
      <c r="C598" s="27">
        <f ca="1">OFFSET($B598,1*(ROWS(C$2:C598)-1),0)</f>
        <v>0</v>
      </c>
      <c r="D598" s="26">
        <f>Ft!B$3*EXP(Ft!B$38*($A598-Ft!B$2)^2) +Ft!C$3*EXP(Ft!C$38*($A598-Ft!C$2)^2) + Ft!D$3*EXP(Ft!D$38*($A598-Ft!D$2)^2)+Ft!E$3*EXP(Ft!E$38*($A598-Ft!E$2)^2) +Ft!F$3*EXP(Ft!F$38*($A598-Ft!F$2)^2) + Ft!G$3*EXP(Ft!G$38*($A598-Ft!G$2)^2)</f>
        <v>17.321386810060496</v>
      </c>
      <c r="E598" s="26">
        <f>Ft!B$3*EXP(Ft!B$38*($A598-Ft!B$2)^2)</f>
        <v>1.3368946167541959E-166</v>
      </c>
      <c r="F598" s="26">
        <f>Ft!C$3*EXP(Ft!C$38*($A598-Ft!C$2)^2)</f>
        <v>3.8304906492335652E-7</v>
      </c>
      <c r="G598" s="26">
        <f>Ft!D$3*EXP(Ft!D$38*($A598-Ft!D$2)^2)</f>
        <v>13.04879651104679</v>
      </c>
      <c r="H598" s="26">
        <f>Ft!E$3*EXP(Ft!E$38*($A598-Ft!E$2)^2)</f>
        <v>4.272589915964641</v>
      </c>
      <c r="I598" s="26">
        <f>Ft!F$3*EXP(Ft!F$38*($A598-Ft!F$2)^2)</f>
        <v>3.4219114238630301E-19</v>
      </c>
      <c r="J598" s="26">
        <f>Ft!G$3*EXP(Ft!G$38*($A598-Ft!G$2)^2)</f>
        <v>2.6211670311541991E-83</v>
      </c>
    </row>
    <row r="599" spans="1:10">
      <c r="A599" s="19">
        <v>597</v>
      </c>
      <c r="B599" s="28">
        <v>7.4745945140886363</v>
      </c>
      <c r="C599" s="27">
        <f ca="1">OFFSET($B599,1*(ROWS(C$2:C599)-1),0)</f>
        <v>0</v>
      </c>
      <c r="D599" s="26">
        <f>Ft!B$3*EXP(Ft!B$38*($A599-Ft!B$2)^2) +Ft!C$3*EXP(Ft!C$38*($A599-Ft!C$2)^2) + Ft!D$3*EXP(Ft!D$38*($A599-Ft!D$2)^2)+Ft!E$3*EXP(Ft!E$38*($A599-Ft!E$2)^2) +Ft!F$3*EXP(Ft!F$38*($A599-Ft!F$2)^2) + Ft!G$3*EXP(Ft!G$38*($A599-Ft!G$2)^2)</f>
        <v>17.303828549962383</v>
      </c>
      <c r="E599" s="26">
        <f>Ft!B$3*EXP(Ft!B$38*($A599-Ft!B$2)^2)</f>
        <v>3.3202394731792412E-167</v>
      </c>
      <c r="F599" s="26">
        <f>Ft!C$3*EXP(Ft!C$38*($A599-Ft!C$2)^2)</f>
        <v>3.5560395100837569E-7</v>
      </c>
      <c r="G599" s="26">
        <f>Ft!D$3*EXP(Ft!D$38*($A599-Ft!D$2)^2)</f>
        <v>12.982359583838271</v>
      </c>
      <c r="H599" s="26">
        <f>Ft!E$3*EXP(Ft!E$38*($A599-Ft!E$2)^2)</f>
        <v>4.3214686105201583</v>
      </c>
      <c r="I599" s="26">
        <f>Ft!F$3*EXP(Ft!F$38*($A599-Ft!F$2)^2)</f>
        <v>4.2536007972973065E-19</v>
      </c>
      <c r="J599" s="26">
        <f>Ft!G$3*EXP(Ft!G$38*($A599-Ft!G$2)^2)</f>
        <v>6.1539726543366603E-83</v>
      </c>
    </row>
    <row r="600" spans="1:10">
      <c r="A600" s="19">
        <v>598</v>
      </c>
      <c r="B600" s="28">
        <v>7.3814340263830331</v>
      </c>
      <c r="C600" s="27">
        <f ca="1">OFFSET($B600,1*(ROWS(C$2:C600)-1),0)</f>
        <v>0</v>
      </c>
      <c r="D600" s="26">
        <f>Ft!B$3*EXP(Ft!B$38*($A600-Ft!B$2)^2) +Ft!C$3*EXP(Ft!C$38*($A600-Ft!C$2)^2) + Ft!D$3*EXP(Ft!D$38*($A600-Ft!D$2)^2)+Ft!E$3*EXP(Ft!E$38*($A600-Ft!E$2)^2) +Ft!F$3*EXP(Ft!F$38*($A600-Ft!F$2)^2) + Ft!G$3*EXP(Ft!G$38*($A600-Ft!G$2)^2)</f>
        <v>17.286483491900164</v>
      </c>
      <c r="E600" s="26">
        <f>Ft!B$3*EXP(Ft!B$38*($A600-Ft!B$2)^2)</f>
        <v>8.2251516244820654E-168</v>
      </c>
      <c r="F600" s="26">
        <f>Ft!C$3*EXP(Ft!C$38*($A600-Ft!C$2)^2)</f>
        <v>3.3007165581207644E-7</v>
      </c>
      <c r="G600" s="26">
        <f>Ft!D$3*EXP(Ft!D$38*($A600-Ft!D$2)^2)</f>
        <v>12.915796705240734</v>
      </c>
      <c r="H600" s="26">
        <f>Ft!E$3*EXP(Ft!E$38*($A600-Ft!E$2)^2)</f>
        <v>4.3706864565877748</v>
      </c>
      <c r="I600" s="26">
        <f>Ft!F$3*EXP(Ft!F$38*($A600-Ft!F$2)^2)</f>
        <v>5.284586516227904E-19</v>
      </c>
      <c r="J600" s="26">
        <f>Ft!G$3*EXP(Ft!G$38*($A600-Ft!G$2)^2)</f>
        <v>1.4420843389452973E-82</v>
      </c>
    </row>
    <row r="601" spans="1:10">
      <c r="A601" s="19">
        <v>599</v>
      </c>
      <c r="B601" s="28">
        <v>7.2840261294065556</v>
      </c>
      <c r="C601" s="27">
        <f ca="1">OFFSET($B601,1*(ROWS(C$2:C601)-1),0)</f>
        <v>0</v>
      </c>
      <c r="D601" s="26">
        <f>Ft!B$3*EXP(Ft!B$38*($A601-Ft!B$2)^2) +Ft!C$3*EXP(Ft!C$38*($A601-Ft!C$2)^2) + Ft!D$3*EXP(Ft!D$38*($A601-Ft!D$2)^2)+Ft!E$3*EXP(Ft!E$38*($A601-Ft!E$2)^2) +Ft!F$3*EXP(Ft!F$38*($A601-Ft!F$2)^2) + Ft!G$3*EXP(Ft!G$38*($A601-Ft!G$2)^2)</f>
        <v>17.26935593313662</v>
      </c>
      <c r="E601" s="26">
        <f>Ft!B$3*EXP(Ft!B$38*($A601-Ft!B$2)^2)</f>
        <v>2.0324538215162216E-168</v>
      </c>
      <c r="F601" s="26">
        <f>Ft!C$3*EXP(Ft!C$38*($A601-Ft!C$2)^2)</f>
        <v>3.0632283243061674E-7</v>
      </c>
      <c r="G601" s="26">
        <f>Ft!D$3*EXP(Ft!D$38*($A601-Ft!D$2)^2)</f>
        <v>12.849113293297334</v>
      </c>
      <c r="H601" s="26">
        <f>Ft!E$3*EXP(Ft!E$38*($A601-Ft!E$2)^2)</f>
        <v>4.4202423335164536</v>
      </c>
      <c r="I601" s="26">
        <f>Ft!F$3*EXP(Ft!F$38*($A601-Ft!F$2)^2)</f>
        <v>6.5619303212487573E-19</v>
      </c>
      <c r="J601" s="26">
        <f>Ft!G$3*EXP(Ft!G$38*($A601-Ft!G$2)^2)</f>
        <v>3.3728730229305118E-82</v>
      </c>
    </row>
    <row r="602" spans="1:10">
      <c r="A602" s="19">
        <v>600</v>
      </c>
      <c r="B602" s="28">
        <v>7.1614522016893147</v>
      </c>
      <c r="C602" s="27">
        <f ca="1">OFFSET($B602,1*(ROWS(C$2:C602)-1),0)</f>
        <v>0</v>
      </c>
      <c r="D602" s="26">
        <f>Ft!B$3*EXP(Ft!B$38*($A602-Ft!B$2)^2) +Ft!C$3*EXP(Ft!C$38*($A602-Ft!C$2)^2) + Ft!D$3*EXP(Ft!D$38*($A602-Ft!D$2)^2)+Ft!E$3*EXP(Ft!E$38*($A602-Ft!E$2)^2) +Ft!F$3*EXP(Ft!F$38*($A602-Ft!F$2)^2) + Ft!G$3*EXP(Ft!G$38*($A602-Ft!G$2)^2)</f>
        <v>17.252450091957989</v>
      </c>
      <c r="E602" s="26">
        <f>Ft!B$3*EXP(Ft!B$38*($A602-Ft!B$2)^2)</f>
        <v>5.0095617188628117E-169</v>
      </c>
      <c r="F602" s="26">
        <f>Ft!C$3*EXP(Ft!C$38*($A602-Ft!C$2)^2)</f>
        <v>2.8423659335954387E-7</v>
      </c>
      <c r="G602" s="26">
        <f>Ft!D$3*EXP(Ft!D$38*($A602-Ft!D$2)^2)</f>
        <v>12.782314751137733</v>
      </c>
      <c r="H602" s="26">
        <f>Ft!E$3*EXP(Ft!E$38*($A602-Ft!E$2)^2)</f>
        <v>4.4701350565836622</v>
      </c>
      <c r="I602" s="26">
        <f>Ft!F$3*EXP(Ft!F$38*($A602-Ft!F$2)^2)</f>
        <v>8.1436394049341307E-19</v>
      </c>
      <c r="J602" s="26">
        <f>Ft!G$3*EXP(Ft!G$38*($A602-Ft!G$2)^2)</f>
        <v>7.8737850789651291E-82</v>
      </c>
    </row>
    <row r="603" spans="1:10">
      <c r="A603" s="19">
        <v>601</v>
      </c>
      <c r="B603" s="28">
        <v>7.0326555559465476</v>
      </c>
      <c r="C603" s="27">
        <f ca="1">OFFSET($B603,1*(ROWS(C$2:C603)-1),0)</f>
        <v>0</v>
      </c>
      <c r="D603" s="26">
        <f>Ft!B$3*EXP(Ft!B$38*($A603-Ft!B$2)^2) +Ft!C$3*EXP(Ft!C$38*($A603-Ft!C$2)^2) + Ft!D$3*EXP(Ft!D$38*($A603-Ft!D$2)^2)+Ft!E$3*EXP(Ft!E$38*($A603-Ft!E$2)^2) +Ft!F$3*EXP(Ft!F$38*($A603-Ft!F$2)^2) + Ft!G$3*EXP(Ft!G$38*($A603-Ft!G$2)^2)</f>
        <v>17.235770106489138</v>
      </c>
      <c r="E603" s="26">
        <f>Ft!B$3*EXP(Ft!B$38*($A603-Ft!B$2)^2)</f>
        <v>1.2316322333727708E-169</v>
      </c>
      <c r="F603" s="26">
        <f>Ft!C$3*EXP(Ft!C$38*($A603-Ft!C$2)^2)</f>
        <v>2.6369997751326373E-7</v>
      </c>
      <c r="G603" s="26">
        <f>Ft!D$3*EXP(Ft!D$38*($A603-Ft!D$2)^2)</f>
        <v>12.715406466280346</v>
      </c>
      <c r="H603" s="26">
        <f>Ft!E$3*EXP(Ft!E$38*($A603-Ft!E$2)^2)</f>
        <v>4.520363376508814</v>
      </c>
      <c r="I603" s="26">
        <f>Ft!F$3*EXP(Ft!F$38*($A603-Ft!F$2)^2)</f>
        <v>1.0101172189358466E-18</v>
      </c>
      <c r="J603" s="26">
        <f>Ft!G$3*EXP(Ft!G$38*($A603-Ft!G$2)^2)</f>
        <v>1.8345998499876328E-81</v>
      </c>
    </row>
    <row r="604" spans="1:10">
      <c r="A604" s="19">
        <v>602</v>
      </c>
      <c r="B604" s="28">
        <v>6.8944704357864453</v>
      </c>
      <c r="C604" s="27">
        <f ca="1">OFFSET($B604,1*(ROWS(C$2:C604)-1),0)</f>
        <v>0</v>
      </c>
      <c r="D604" s="26">
        <f>Ft!B$3*EXP(Ft!B$38*($A604-Ft!B$2)^2) +Ft!C$3*EXP(Ft!C$38*($A604-Ft!C$2)^2) + Ft!D$3*EXP(Ft!D$38*($A604-Ft!D$2)^2)+Ft!E$3*EXP(Ft!E$38*($A604-Ft!E$2)^2) +Ft!F$3*EXP(Ft!F$38*($A604-Ft!F$2)^2) + Ft!G$3*EXP(Ft!G$38*($A604-Ft!G$2)^2)</f>
        <v>17.219320033526014</v>
      </c>
      <c r="E604" s="26">
        <f>Ft!B$3*EXP(Ft!B$38*($A604-Ft!B$2)^2)</f>
        <v>3.0204011815536916E-170</v>
      </c>
      <c r="F604" s="26">
        <f>Ft!C$3*EXP(Ft!C$38*($A604-Ft!C$2)^2)</f>
        <v>2.4460744943082221E-7</v>
      </c>
      <c r="G604" s="26">
        <f>Ft!D$3*EXP(Ft!D$38*($A604-Ft!D$2)^2)</f>
        <v>12.648393809941011</v>
      </c>
      <c r="H604" s="26">
        <f>Ft!E$3*EXP(Ft!E$38*($A604-Ft!E$2)^2)</f>
        <v>4.5709259789775549</v>
      </c>
      <c r="I604" s="26">
        <f>Ft!F$3*EXP(Ft!F$38*($A604-Ft!F$2)^2)</f>
        <v>1.2522508412520769E-18</v>
      </c>
      <c r="J604" s="26">
        <f>Ft!G$3*EXP(Ft!G$38*($A604-Ft!G$2)^2)</f>
        <v>4.2665160541307847E-81</v>
      </c>
    </row>
    <row r="605" spans="1:10">
      <c r="A605" s="19">
        <v>603</v>
      </c>
      <c r="B605" s="28">
        <v>6.7547443818273223</v>
      </c>
      <c r="C605" s="27">
        <f ca="1">OFFSET($B605,1*(ROWS(C$2:C605)-1),0)</f>
        <v>0</v>
      </c>
      <c r="D605" s="26">
        <f>Ft!B$3*EXP(Ft!B$38*($A605-Ft!B$2)^2) +Ft!C$3*EXP(Ft!C$38*($A605-Ft!C$2)^2) + Ft!D$3*EXP(Ft!D$38*($A605-Ft!D$2)^2)+Ft!E$3*EXP(Ft!E$38*($A605-Ft!E$2)^2) +Ft!F$3*EXP(Ft!F$38*($A605-Ft!F$2)^2) + Ft!G$3*EXP(Ft!G$38*($A605-Ft!G$2)^2)</f>
        <v>17.203103847385776</v>
      </c>
      <c r="E605" s="26">
        <f>Ft!B$3*EXP(Ft!B$38*($A605-Ft!B$2)^2)</f>
        <v>7.3884014826864211E-171</v>
      </c>
      <c r="F605" s="26">
        <f>Ft!C$3*EXP(Ft!C$38*($A605-Ft!C$2)^2)</f>
        <v>2.2686042881748841E-7</v>
      </c>
      <c r="G605" s="26">
        <f>Ft!D$3*EXP(Ft!D$38*($A605-Ft!D$2)^2)</f>
        <v>12.581282136348195</v>
      </c>
      <c r="H605" s="26">
        <f>Ft!E$3*EXP(Ft!E$38*($A605-Ft!E$2)^2)</f>
        <v>4.6218214841771514</v>
      </c>
      <c r="I605" s="26">
        <f>Ft!F$3*EXP(Ft!F$38*($A605-Ft!F$2)^2)</f>
        <v>1.5515908449502847E-18</v>
      </c>
      <c r="J605" s="26">
        <f>Ft!G$3*EXP(Ft!G$38*($A605-Ft!G$2)^2)</f>
        <v>9.9032934409209882E-81</v>
      </c>
    </row>
    <row r="606" spans="1:10">
      <c r="A606" s="19">
        <v>604</v>
      </c>
      <c r="B606" s="28">
        <v>6.6404165064416816</v>
      </c>
      <c r="C606" s="27">
        <f ca="1">OFFSET($B606,1*(ROWS(C$2:C606)-1),0)</f>
        <v>0</v>
      </c>
      <c r="D606" s="26">
        <f>Ft!B$3*EXP(Ft!B$38*($A606-Ft!B$2)^2) +Ft!C$3*EXP(Ft!C$38*($A606-Ft!C$2)^2) + Ft!D$3*EXP(Ft!D$38*($A606-Ft!D$2)^2)+Ft!E$3*EXP(Ft!E$38*($A606-Ft!E$2)^2) +Ft!F$3*EXP(Ft!F$38*($A606-Ft!F$2)^2) + Ft!G$3*EXP(Ft!G$38*($A606-Ft!G$2)^2)</f>
        <v>17.187125438774927</v>
      </c>
      <c r="E606" s="26">
        <f>Ft!B$3*EXP(Ft!B$38*($A606-Ft!B$2)^2)</f>
        <v>1.8027629017032294E-171</v>
      </c>
      <c r="F606" s="26">
        <f>Ft!C$3*EXP(Ft!C$38*($A606-Ft!C$2)^2)</f>
        <v>2.1036684867200042E-7</v>
      </c>
      <c r="G606" s="26">
        <f>Ft!D$3*EXP(Ft!D$38*($A606-Ft!D$2)^2)</f>
        <v>12.514076782064832</v>
      </c>
      <c r="H606" s="26">
        <f>Ft!E$3*EXP(Ft!E$38*($A606-Ft!E$2)^2)</f>
        <v>4.6730484463432465</v>
      </c>
      <c r="I606" s="26">
        <f>Ft!F$3*EXP(Ft!F$38*($A606-Ft!F$2)^2)</f>
        <v>1.9214513959359707E-18</v>
      </c>
      <c r="J606" s="26">
        <f>Ft!G$3*EXP(Ft!G$38*($A606-Ft!G$2)^2)</f>
        <v>2.2943525070946549E-80</v>
      </c>
    </row>
    <row r="607" spans="1:10">
      <c r="A607" s="19">
        <v>605</v>
      </c>
      <c r="B607" s="28">
        <v>6.5128525609574979</v>
      </c>
      <c r="C607" s="27">
        <f ca="1">OFFSET($B607,1*(ROWS(C$2:C607)-1),0)</f>
        <v>0</v>
      </c>
      <c r="D607" s="26">
        <f>Ft!B$3*EXP(Ft!B$38*($A607-Ft!B$2)^2) +Ft!C$3*EXP(Ft!C$38*($A607-Ft!C$2)^2) + Ft!D$3*EXP(Ft!D$38*($A607-Ft!D$2)^2)+Ft!E$3*EXP(Ft!E$38*($A607-Ft!E$2)^2) +Ft!F$3*EXP(Ft!F$38*($A607-Ft!F$2)^2) + Ft!G$3*EXP(Ft!G$38*($A607-Ft!G$2)^2)</f>
        <v>17.171388613675894</v>
      </c>
      <c r="E607" s="26">
        <f>Ft!B$3*EXP(Ft!B$38*($A607-Ft!B$2)^2)</f>
        <v>4.3876200065099259E-172</v>
      </c>
      <c r="F607" s="26">
        <f>Ft!C$3*EXP(Ft!C$38*($A607-Ft!C$2)^2)</f>
        <v>1.9504074034459136E-7</v>
      </c>
      <c r="G607" s="26">
        <f>Ft!D$3*EXP(Ft!D$38*($A607-Ft!D$2)^2)</f>
        <v>12.446783065316906</v>
      </c>
      <c r="H607" s="26">
        <f>Ft!E$3*EXP(Ft!E$38*($A607-Ft!E$2)^2)</f>
        <v>4.7246053533182479</v>
      </c>
      <c r="I607" s="26">
        <f>Ft!F$3*EXP(Ft!F$38*($A607-Ft!F$2)^2)</f>
        <v>2.378197491118837E-18</v>
      </c>
      <c r="J607" s="26">
        <f>Ft!G$3*EXP(Ft!G$38*($A607-Ft!G$2)^2)</f>
        <v>5.3053601848685897E-80</v>
      </c>
    </row>
    <row r="608" spans="1:10">
      <c r="A608" s="19">
        <v>606</v>
      </c>
      <c r="B608" s="28">
        <v>6.3676882512875181</v>
      </c>
      <c r="C608" s="27">
        <f ca="1">OFFSET($B608,1*(ROWS(C$2:C608)-1),0)</f>
        <v>0</v>
      </c>
      <c r="D608" s="26">
        <f>Ft!B$3*EXP(Ft!B$38*($A608-Ft!B$2)^2) +Ft!C$3*EXP(Ft!C$38*($A608-Ft!C$2)^2) + Ft!D$3*EXP(Ft!D$38*($A608-Ft!D$2)^2)+Ft!E$3*EXP(Ft!E$38*($A608-Ft!E$2)^2) +Ft!F$3*EXP(Ft!F$38*($A608-Ft!F$2)^2) + Ft!G$3*EXP(Ft!G$38*($A608-Ft!G$2)^2)</f>
        <v>17.155897092252378</v>
      </c>
      <c r="E608" s="26">
        <f>Ft!B$3*EXP(Ft!B$38*($A608-Ft!B$2)^2)</f>
        <v>1.065176739521492E-172</v>
      </c>
      <c r="F608" s="26">
        <f>Ft!C$3*EXP(Ft!C$38*($A608-Ft!C$2)^2)</f>
        <v>1.8080184396136685E-7</v>
      </c>
      <c r="G608" s="26">
        <f>Ft!D$3*EXP(Ft!D$38*($A608-Ft!D$2)^2)</f>
        <v>12.379406285328916</v>
      </c>
      <c r="H608" s="26">
        <f>Ft!E$3*EXP(Ft!E$38*($A608-Ft!E$2)^2)</f>
        <v>4.7764906261216167</v>
      </c>
      <c r="I608" s="26">
        <f>Ft!F$3*EXP(Ft!F$38*($A608-Ft!F$2)^2)</f>
        <v>2.9419328015577805E-18</v>
      </c>
      <c r="J608" s="26">
        <f>Ft!G$3*EXP(Ft!G$38*($A608-Ft!G$2)^2)</f>
        <v>1.2244578404702444E-79</v>
      </c>
    </row>
    <row r="609" spans="1:10">
      <c r="A609" s="19">
        <v>607</v>
      </c>
      <c r="B609" s="28">
        <v>6.2447411566117239</v>
      </c>
      <c r="C609" s="27">
        <f ca="1">OFFSET($B609,1*(ROWS(C$2:C609)-1),0)</f>
        <v>0</v>
      </c>
      <c r="D609" s="26">
        <f>Ft!B$3*EXP(Ft!B$38*($A609-Ft!B$2)^2) +Ft!C$3*EXP(Ft!C$38*($A609-Ft!C$2)^2) + Ft!D$3*EXP(Ft!D$38*($A609-Ft!D$2)^2)+Ft!E$3*EXP(Ft!E$38*($A609-Ft!E$2)^2) +Ft!F$3*EXP(Ft!F$38*($A609-Ft!F$2)^2) + Ft!G$3*EXP(Ft!G$38*($A609-Ft!G$2)^2)</f>
        <v>17.140654507773839</v>
      </c>
      <c r="E609" s="26">
        <f>Ft!B$3*EXP(Ft!B$38*($A609-Ft!B$2)^2)</f>
        <v>2.5793876155728312E-173</v>
      </c>
      <c r="F609" s="26">
        <f>Ft!C$3*EXP(Ft!C$38*($A609-Ft!C$2)^2)</f>
        <v>1.6757524273646298E-7</v>
      </c>
      <c r="G609" s="26">
        <f>Ft!D$3*EXP(Ft!D$38*($A609-Ft!D$2)^2)</f>
        <v>12.311951721666286</v>
      </c>
      <c r="H609" s="26">
        <f>Ft!E$3*EXP(Ft!E$38*($A609-Ft!E$2)^2)</f>
        <v>4.8287026185323096</v>
      </c>
      <c r="I609" s="26">
        <f>Ft!F$3*EXP(Ft!F$38*($A609-Ft!F$2)^2)</f>
        <v>3.6373400032334342E-18</v>
      </c>
      <c r="J609" s="26">
        <f>Ft!G$3*EXP(Ft!G$38*($A609-Ft!G$2)^2)</f>
        <v>2.8206359192821227E-79</v>
      </c>
    </row>
    <row r="610" spans="1:10">
      <c r="A610" s="19">
        <v>608</v>
      </c>
      <c r="B610" s="28">
        <v>6.0931337613878611</v>
      </c>
      <c r="C610" s="27">
        <f ca="1">OFFSET($B610,1*(ROWS(C$2:C610)-1),0)</f>
        <v>0</v>
      </c>
      <c r="D610" s="26">
        <f>Ft!B$3*EXP(Ft!B$38*($A610-Ft!B$2)^2) +Ft!C$3*EXP(Ft!C$38*($A610-Ft!C$2)^2) + Ft!D$3*EXP(Ft!D$38*($A610-Ft!D$2)^2)+Ft!E$3*EXP(Ft!E$38*($A610-Ft!E$2)^2) +Ft!F$3*EXP(Ft!F$38*($A610-Ft!F$2)^2) + Ft!G$3*EXP(Ft!G$38*($A610-Ft!G$2)^2)</f>
        <v>17.125664405559533</v>
      </c>
      <c r="E610" s="26">
        <f>Ft!B$3*EXP(Ft!B$38*($A610-Ft!B$2)^2)</f>
        <v>6.230369686170104E-174</v>
      </c>
      <c r="F610" s="26">
        <f>Ft!C$3*EXP(Ft!C$38*($A610-Ft!C$2)^2)</f>
        <v>1.5529101977484819E-7</v>
      </c>
      <c r="G610" s="26">
        <f>Ft!D$3*EXP(Ft!D$38*($A610-Ft!D$2)^2)</f>
        <v>12.244424633584867</v>
      </c>
      <c r="H610" s="26">
        <f>Ft!E$3*EXP(Ft!E$38*($A610-Ft!E$2)^2)</f>
        <v>4.881239616683648</v>
      </c>
      <c r="I610" s="26">
        <f>Ft!F$3*EXP(Ft!F$38*($A610-Ft!F$2)^2)</f>
        <v>4.4947068102034613E-18</v>
      </c>
      <c r="J610" s="26">
        <f>Ft!G$3*EXP(Ft!G$38*($A610-Ft!G$2)^2)</f>
        <v>6.4852162287398674E-79</v>
      </c>
    </row>
    <row r="611" spans="1:10">
      <c r="A611" s="19">
        <v>609</v>
      </c>
      <c r="B611" s="28">
        <v>5.9406593309744835</v>
      </c>
      <c r="C611" s="27">
        <f ca="1">OFFSET($B611,1*(ROWS(C$2:C611)-1),0)</f>
        <v>0</v>
      </c>
      <c r="D611" s="26">
        <f>Ft!B$3*EXP(Ft!B$38*($A611-Ft!B$2)^2) +Ft!C$3*EXP(Ft!C$38*($A611-Ft!C$2)^2) + Ft!D$3*EXP(Ft!D$38*($A611-Ft!D$2)^2)+Ft!E$3*EXP(Ft!E$38*($A611-Ft!E$2)^2) +Ft!F$3*EXP(Ft!F$38*($A611-Ft!F$2)^2) + Ft!G$3*EXP(Ft!G$38*($A611-Ft!G$2)^2)</f>
        <v>17.110930241942384</v>
      </c>
      <c r="E611" s="26">
        <f>Ft!B$3*EXP(Ft!B$38*($A611-Ft!B$2)^2)</f>
        <v>1.5011126799845979E-174</v>
      </c>
      <c r="F611" s="26">
        <f>Ft!C$3*EXP(Ft!C$38*($A611-Ft!C$2)^2)</f>
        <v>1.4388393604591302E-7</v>
      </c>
      <c r="G611" s="26">
        <f>Ft!D$3*EXP(Ft!D$38*($A611-Ft!D$2)^2)</f>
        <v>12.176830259387584</v>
      </c>
      <c r="H611" s="26">
        <f>Ft!E$3*EXP(Ft!E$38*($A611-Ft!E$2)^2)</f>
        <v>4.9340998386708632</v>
      </c>
      <c r="I611" s="26">
        <f>Ft!F$3*EXP(Ft!F$38*($A611-Ft!F$2)^2)</f>
        <v>5.5511780275674093E-18</v>
      </c>
      <c r="J611" s="26">
        <f>Ft!G$3*EXP(Ft!G$38*($A611-Ft!G$2)^2)</f>
        <v>1.4882507927474511E-78</v>
      </c>
    </row>
    <row r="612" spans="1:10">
      <c r="A612" s="19">
        <v>610</v>
      </c>
      <c r="B612" s="28">
        <v>5.7872068303655908</v>
      </c>
      <c r="C612" s="27">
        <f ca="1">OFFSET($B612,1*(ROWS(C$2:C612)-1),0)</f>
        <v>0</v>
      </c>
      <c r="D612" s="26">
        <f>Ft!B$3*EXP(Ft!B$38*($A612-Ft!B$2)^2) +Ft!C$3*EXP(Ft!C$38*($A612-Ft!C$2)^2) + Ft!D$3*EXP(Ft!D$38*($A612-Ft!D$2)^2)+Ft!E$3*EXP(Ft!E$38*($A612-Ft!E$2)^2) +Ft!F$3*EXP(Ft!F$38*($A612-Ft!F$2)^2) + Ft!G$3*EXP(Ft!G$38*($A612-Ft!G$2)^2)</f>
        <v>17.09645538325309</v>
      </c>
      <c r="E612" s="26">
        <f>Ft!B$3*EXP(Ft!B$38*($A612-Ft!B$2)^2)</f>
        <v>3.6075722732631509E-175</v>
      </c>
      <c r="F612" s="26">
        <f>Ft!C$3*EXP(Ft!C$38*($A612-Ft!C$2)^2)</f>
        <v>1.3329312828127692E-7</v>
      </c>
      <c r="G612" s="26">
        <f>Ft!D$3*EXP(Ft!D$38*($A612-Ft!D$2)^2)</f>
        <v>12.109173815788381</v>
      </c>
      <c r="H612" s="26">
        <f>Ft!E$3*EXP(Ft!E$38*($A612-Ft!E$2)^2)</f>
        <v>4.9872814341715808</v>
      </c>
      <c r="I612" s="26">
        <f>Ft!F$3*EXP(Ft!F$38*($A612-Ft!F$2)^2)</f>
        <v>6.8522825340709597E-18</v>
      </c>
      <c r="J612" s="26">
        <f>Ft!G$3*EXP(Ft!G$38*($A612-Ft!G$2)^2)</f>
        <v>3.4088038942744935E-78</v>
      </c>
    </row>
    <row r="613" spans="1:10">
      <c r="A613" s="19">
        <v>611</v>
      </c>
      <c r="B613" s="28">
        <v>5.6327332079277994</v>
      </c>
      <c r="C613" s="27">
        <f ca="1">OFFSET($B613,1*(ROWS(C$2:C613)-1),0)</f>
        <v>0</v>
      </c>
      <c r="D613" s="26">
        <f>Ft!B$3*EXP(Ft!B$38*($A613-Ft!B$2)^2) +Ft!C$3*EXP(Ft!C$38*($A613-Ft!C$2)^2) + Ft!D$3*EXP(Ft!D$38*($A613-Ft!D$2)^2)+Ft!E$3*EXP(Ft!E$38*($A613-Ft!E$2)^2) +Ft!F$3*EXP(Ft!F$38*($A613-Ft!F$2)^2) + Ft!G$3*EXP(Ft!G$38*($A613-Ft!G$2)^2)</f>
        <v>17.082243104824851</v>
      </c>
      <c r="E613" s="26">
        <f>Ft!B$3*EXP(Ft!B$38*($A613-Ft!B$2)^2)</f>
        <v>8.6480672380559932E-176</v>
      </c>
      <c r="F613" s="26">
        <f>Ft!C$3*EXP(Ft!C$38*($A613-Ft!C$2)^2)</f>
        <v>1.2346182561970164E-7</v>
      </c>
      <c r="G613" s="26">
        <f>Ft!D$3*EXP(Ft!D$38*($A613-Ft!D$2)^2)</f>
        <v>12.041460497283529</v>
      </c>
      <c r="H613" s="26">
        <f>Ft!E$3*EXP(Ft!E$38*($A613-Ft!E$2)^2)</f>
        <v>5.0407824840794966</v>
      </c>
      <c r="I613" s="26">
        <f>Ft!F$3*EXP(Ft!F$38*($A613-Ft!F$2)^2)</f>
        <v>8.4537944924788083E-18</v>
      </c>
      <c r="J613" s="26">
        <f>Ft!G$3*EXP(Ft!G$38*($A613-Ft!G$2)^2)</f>
        <v>7.7929545822056023E-78</v>
      </c>
    </row>
    <row r="614" spans="1:10">
      <c r="A614" s="19">
        <v>612</v>
      </c>
      <c r="B614" s="28">
        <v>5.4743202600646157</v>
      </c>
      <c r="C614" s="27">
        <f ca="1">OFFSET($B614,1*(ROWS(C$2:C614)-1),0)</f>
        <v>0</v>
      </c>
      <c r="D614" s="26">
        <f>Ft!B$3*EXP(Ft!B$38*($A614-Ft!B$2)^2) +Ft!C$3*EXP(Ft!C$38*($A614-Ft!C$2)^2) + Ft!D$3*EXP(Ft!D$38*($A614-Ft!D$2)^2)+Ft!E$3*EXP(Ft!E$38*($A614-Ft!E$2)^2) +Ft!F$3*EXP(Ft!F$38*($A614-Ft!F$2)^2) + Ft!G$3*EXP(Ft!G$38*($A614-Ft!G$2)^2)</f>
        <v>17.068296590018971</v>
      </c>
      <c r="E614" s="26">
        <f>Ft!B$3*EXP(Ft!B$38*($A614-Ft!B$2)^2)</f>
        <v>2.0678800576283389E-176</v>
      </c>
      <c r="F614" s="26">
        <f>Ft!C$3*EXP(Ft!C$38*($A614-Ft!C$2)^2)</f>
        <v>1.1433708388787043E-7</v>
      </c>
      <c r="G614" s="26">
        <f>Ft!D$3*EXP(Ft!D$38*($A614-Ft!D$2)^2)</f>
        <v>11.973695475530382</v>
      </c>
      <c r="H614" s="26">
        <f>Ft!E$3*EXP(Ft!E$38*($A614-Ft!E$2)^2)</f>
        <v>5.0946010001515045</v>
      </c>
      <c r="I614" s="26">
        <f>Ft!F$3*EXP(Ft!F$38*($A614-Ft!F$2)^2)</f>
        <v>1.0424000637772908E-17</v>
      </c>
      <c r="J614" s="26">
        <f>Ft!G$3*EXP(Ft!G$38*($A614-Ft!G$2)^2)</f>
        <v>1.7781832131963515E-77</v>
      </c>
    </row>
    <row r="615" spans="1:10">
      <c r="A615" s="19">
        <v>613</v>
      </c>
      <c r="B615" s="28">
        <v>5.2866069425089677</v>
      </c>
      <c r="C615" s="27">
        <f ca="1">OFFSET($B615,1*(ROWS(C$2:C615)-1),0)</f>
        <v>0</v>
      </c>
      <c r="D615" s="26">
        <f>Ft!B$3*EXP(Ft!B$38*($A615-Ft!B$2)^2) +Ft!C$3*EXP(Ft!C$38*($A615-Ft!C$2)^2) + Ft!D$3*EXP(Ft!D$38*($A615-Ft!D$2)^2)+Ft!E$3*EXP(Ft!E$38*($A615-Ft!E$2)^2) +Ft!F$3*EXP(Ft!F$38*($A615-Ft!F$2)^2) + Ft!G$3*EXP(Ft!G$38*($A615-Ft!G$2)^2)</f>
        <v>17.054618929271761</v>
      </c>
      <c r="E615" s="26">
        <f>Ft!B$3*EXP(Ft!B$38*($A615-Ft!B$2)^2)</f>
        <v>4.9321230436116724E-177</v>
      </c>
      <c r="F615" s="26">
        <f>Ft!C$3*EXP(Ft!C$38*($A615-Ft!C$2)^2)</f>
        <v>1.0586953646819658E-7</v>
      </c>
      <c r="G615" s="26">
        <f>Ft!D$3*EXP(Ft!D$38*($A615-Ft!D$2)^2)</f>
        <v>11.905883898733705</v>
      </c>
      <c r="H615" s="26">
        <f>Ft!E$3*EXP(Ft!E$38*($A615-Ft!E$2)^2)</f>
        <v>5.148734924668517</v>
      </c>
      <c r="I615" s="26">
        <f>Ft!F$3*EXP(Ft!F$38*($A615-Ft!F$2)^2)</f>
        <v>1.2846460650212313E-17</v>
      </c>
      <c r="J615" s="26">
        <f>Ft!G$3*EXP(Ft!G$38*($A615-Ft!G$2)^2)</f>
        <v>4.0497209605900449E-77</v>
      </c>
    </row>
    <row r="616" spans="1:10">
      <c r="A616" s="19">
        <v>614</v>
      </c>
      <c r="B616" s="28">
        <v>5.0960320213044952</v>
      </c>
      <c r="C616" s="27">
        <f ca="1">OFFSET($B616,1*(ROWS(C$2:C616)-1),0)</f>
        <v>0</v>
      </c>
      <c r="D616" s="26">
        <f>Ft!B$3*EXP(Ft!B$38*($A616-Ft!B$2)^2) +Ft!C$3*EXP(Ft!C$38*($A616-Ft!C$2)^2) + Ft!D$3*EXP(Ft!D$38*($A616-Ft!D$2)^2)+Ft!E$3*EXP(Ft!E$38*($A616-Ft!E$2)^2) +Ft!F$3*EXP(Ft!F$38*($A616-Ft!F$2)^2) + Ft!G$3*EXP(Ft!G$38*($A616-Ft!G$2)^2)</f>
        <v>17.041213119163046</v>
      </c>
      <c r="E616" s="26">
        <f>Ft!B$3*EXP(Ft!B$38*($A616-Ft!B$2)^2)</f>
        <v>1.1733963431709381E-177</v>
      </c>
      <c r="F616" s="26">
        <f>Ft!C$3*EXP(Ft!C$38*($A616-Ft!C$2)^2)</f>
        <v>9.8013160763955298E-8</v>
      </c>
      <c r="G616" s="26">
        <f>Ft!D$3*EXP(Ft!D$38*($A616-Ft!D$2)^2)</f>
        <v>11.838030891039644</v>
      </c>
      <c r="H616" s="26">
        <f>Ft!E$3*EXP(Ft!E$38*($A616-Ft!E$2)^2)</f>
        <v>5.2031821301102426</v>
      </c>
      <c r="I616" s="26">
        <f>Ft!F$3*EXP(Ft!F$38*($A616-Ft!F$2)^2)</f>
        <v>1.5823365911862309E-17</v>
      </c>
      <c r="J616" s="26">
        <f>Ft!G$3*EXP(Ft!G$38*($A616-Ft!G$2)^2)</f>
        <v>9.2055115410343243E-77</v>
      </c>
    </row>
    <row r="617" spans="1:10">
      <c r="A617" s="19">
        <v>615</v>
      </c>
      <c r="B617" s="28">
        <v>4.9274658633630679</v>
      </c>
      <c r="C617" s="27">
        <f ca="1">OFFSET($B617,1*(ROWS(C$2:C617)-1),0)</f>
        <v>0</v>
      </c>
      <c r="D617" s="26">
        <f>Ft!B$3*EXP(Ft!B$38*($A617-Ft!B$2)^2) +Ft!C$3*EXP(Ft!C$38*($A617-Ft!C$2)^2) + Ft!D$3*EXP(Ft!D$38*($A617-Ft!D$2)^2)+Ft!E$3*EXP(Ft!E$38*($A617-Ft!E$2)^2) +Ft!F$3*EXP(Ft!F$38*($A617-Ft!F$2)^2) + Ft!G$3*EXP(Ft!G$38*($A617-Ft!G$2)^2)</f>
        <v>17.028082061506634</v>
      </c>
      <c r="E617" s="26">
        <f>Ft!B$3*EXP(Ft!B$38*($A617-Ft!B$2)^2)</f>
        <v>2.7845680035321208E-178</v>
      </c>
      <c r="F617" s="26">
        <f>Ft!C$3*EXP(Ft!C$38*($A617-Ft!C$2)^2)</f>
        <v>9.072505932802893E-8</v>
      </c>
      <c r="G617" s="26">
        <f>Ft!D$3*EXP(Ft!D$38*($A617-Ft!D$2)^2)</f>
        <v>11.770141551937419</v>
      </c>
      <c r="H617" s="26">
        <f>Ft!E$3*EXP(Ft!E$38*($A617-Ft!E$2)^2)</f>
        <v>5.2579404188441554</v>
      </c>
      <c r="I617" s="26">
        <f>Ft!F$3*EXP(Ft!F$38*($A617-Ft!F$2)^2)</f>
        <v>1.9479624006185172E-17</v>
      </c>
      <c r="J617" s="26">
        <f>Ft!G$3*EXP(Ft!G$38*($A617-Ft!G$2)^2)</f>
        <v>2.0885505291041256E-76</v>
      </c>
    </row>
    <row r="618" spans="1:10">
      <c r="A618" s="19">
        <v>616</v>
      </c>
      <c r="B618" s="28">
        <v>4.755012261594743</v>
      </c>
      <c r="C618" s="27">
        <f ca="1">OFFSET($B618,1*(ROWS(C$2:C618)-1),0)</f>
        <v>0</v>
      </c>
      <c r="D618" s="26">
        <f>Ft!B$3*EXP(Ft!B$38*($A618-Ft!B$2)^2) +Ft!C$3*EXP(Ft!C$38*($A618-Ft!C$2)^2) + Ft!D$3*EXP(Ft!D$38*($A618-Ft!D$2)^2)+Ft!E$3*EXP(Ft!E$38*($A618-Ft!E$2)^2) +Ft!F$3*EXP(Ft!F$38*($A618-Ft!F$2)^2) + Ft!G$3*EXP(Ft!G$38*($A618-Ft!G$2)^2)</f>
        <v>17.015228562463012</v>
      </c>
      <c r="E618" s="26">
        <f>Ft!B$3*EXP(Ft!B$38*($A618-Ft!B$2)^2)</f>
        <v>6.5913321453442447E-179</v>
      </c>
      <c r="F618" s="26">
        <f>Ft!C$3*EXP(Ft!C$38*($A618-Ft!C$2)^2)</f>
        <v>8.396525477460134E-8</v>
      </c>
      <c r="G618" s="26">
        <f>Ft!D$3*EXP(Ft!D$38*($A618-Ft!D$2)^2)</f>
        <v>11.702220955668842</v>
      </c>
      <c r="H618" s="26">
        <f>Ft!E$3*EXP(Ft!E$38*($A618-Ft!E$2)^2)</f>
        <v>5.3130075228289142</v>
      </c>
      <c r="I618" s="26">
        <f>Ft!F$3*EXP(Ft!F$38*($A618-Ft!F$2)^2)</f>
        <v>2.3967822911279744E-17</v>
      </c>
      <c r="J618" s="26">
        <f>Ft!G$3*EXP(Ft!G$38*($A618-Ft!G$2)^2)</f>
        <v>4.7295114343410615E-76</v>
      </c>
    </row>
    <row r="619" spans="1:10">
      <c r="A619" s="19">
        <v>617</v>
      </c>
      <c r="B619" s="28">
        <v>4.5881281908282858</v>
      </c>
      <c r="C619" s="27">
        <f ca="1">OFFSET($B619,1*(ROWS(C$2:C619)-1),0)</f>
        <v>0</v>
      </c>
      <c r="D619" s="26">
        <f>Ft!B$3*EXP(Ft!B$38*($A619-Ft!B$2)^2) +Ft!C$3*EXP(Ft!C$38*($A619-Ft!C$2)^2) + Ft!D$3*EXP(Ft!D$38*($A619-Ft!D$2)^2)+Ft!E$3*EXP(Ft!E$38*($A619-Ft!E$2)^2) +Ft!F$3*EXP(Ft!F$38*($A619-Ft!F$2)^2) + Ft!G$3*EXP(Ft!G$38*($A619-Ft!G$2)^2)</f>
        <v>17.002655331674699</v>
      </c>
      <c r="E619" s="26">
        <f>Ft!B$3*EXP(Ft!B$38*($A619-Ft!B$2)^2)</f>
        <v>1.5562911054605035E-179</v>
      </c>
      <c r="F619" s="26">
        <f>Ft!C$3*EXP(Ft!C$38*($A619-Ft!C$2)^2)</f>
        <v>7.7696497643331899E-8</v>
      </c>
      <c r="G619" s="26">
        <f>Ft!D$3*EXP(Ft!D$38*($A619-Ft!D$2)^2)</f>
        <v>11.634274150645744</v>
      </c>
      <c r="H619" s="26">
        <f>Ft!E$3*EXP(Ft!E$38*($A619-Ft!E$2)^2)</f>
        <v>5.3683811033324575</v>
      </c>
      <c r="I619" s="26">
        <f>Ft!F$3*EXP(Ft!F$38*($A619-Ft!F$2)^2)</f>
        <v>2.9474260869020296E-17</v>
      </c>
      <c r="J619" s="26">
        <f>Ft!G$3*EXP(Ft!G$38*($A619-Ft!G$2)^2)</f>
        <v>1.0689608649427683E-75</v>
      </c>
    </row>
    <row r="620" spans="1:10">
      <c r="A620" s="19">
        <v>618</v>
      </c>
      <c r="B620" s="28">
        <v>4.4290079885812474</v>
      </c>
      <c r="C620" s="27">
        <f ca="1">OFFSET($B620,1*(ROWS(C$2:C620)-1),0)</f>
        <v>0</v>
      </c>
      <c r="D620" s="26">
        <f>Ft!B$3*EXP(Ft!B$38*($A620-Ft!B$2)^2) +Ft!C$3*EXP(Ft!C$38*($A620-Ft!C$2)^2) + Ft!D$3*EXP(Ft!D$38*($A620-Ft!D$2)^2)+Ft!E$3*EXP(Ft!E$38*($A620-Ft!E$2)^2) +Ft!F$3*EXP(Ft!F$38*($A620-Ft!F$2)^2) + Ft!G$3*EXP(Ft!G$38*($A620-Ft!G$2)^2)</f>
        <v>16.990364981424477</v>
      </c>
      <c r="E620" s="26">
        <f>Ft!B$3*EXP(Ft!B$38*($A620-Ft!B$2)^2)</f>
        <v>3.6653102734938593E-180</v>
      </c>
      <c r="F620" s="26">
        <f>Ft!C$3*EXP(Ft!C$38*($A620-Ft!C$2)^2)</f>
        <v>7.1884086433060382E-8</v>
      </c>
      <c r="G620" s="26">
        <f>Ft!D$3*EXP(Ft!D$38*($A620-Ft!D$2)^2)</f>
        <v>11.56630615887536</v>
      </c>
      <c r="H620" s="26">
        <f>Ft!E$3*EXP(Ft!E$38*($A620-Ft!E$2)^2)</f>
        <v>5.4240587506650302</v>
      </c>
      <c r="I620" s="26">
        <f>Ft!F$3*EXP(Ft!F$38*($A620-Ft!F$2)^2)</f>
        <v>3.6226266474339277E-17</v>
      </c>
      <c r="J620" s="26">
        <f>Ft!G$3*EXP(Ft!G$38*($A620-Ft!G$2)^2)</f>
        <v>2.4114683423088451E-75</v>
      </c>
    </row>
    <row r="621" spans="1:10">
      <c r="A621" s="19">
        <v>619</v>
      </c>
      <c r="B621" s="28">
        <v>4.3181798164096676</v>
      </c>
      <c r="C621" s="27">
        <f ca="1">OFFSET($B621,1*(ROWS(C$2:C621)-1),0)</f>
        <v>0</v>
      </c>
      <c r="D621" s="26">
        <f>Ft!B$3*EXP(Ft!B$38*($A621-Ft!B$2)^2) +Ft!C$3*EXP(Ft!C$38*($A621-Ft!C$2)^2) + Ft!D$3*EXP(Ft!D$38*($A621-Ft!D$2)^2)+Ft!E$3*EXP(Ft!E$38*($A621-Ft!E$2)^2) +Ft!F$3*EXP(Ft!F$38*($A621-Ft!F$2)^2) + Ft!G$3*EXP(Ft!G$38*($A621-Ft!G$2)^2)</f>
        <v>16.978360025816851</v>
      </c>
      <c r="E621" s="26">
        <f>Ft!B$3*EXP(Ft!B$38*($A621-Ft!B$2)^2)</f>
        <v>8.6105902520105427E-181</v>
      </c>
      <c r="F621" s="26">
        <f>Ft!C$3*EXP(Ft!C$38*($A621-Ft!C$2)^2)</f>
        <v>6.6495699067066423E-8</v>
      </c>
      <c r="G621" s="26">
        <f>Ft!D$3*EXP(Ft!D$38*($A621-Ft!D$2)^2)</f>
        <v>11.498321975393777</v>
      </c>
      <c r="H621" s="26">
        <f>Ft!E$3*EXP(Ft!E$38*($A621-Ft!E$2)^2)</f>
        <v>5.4800379839273754</v>
      </c>
      <c r="I621" s="26">
        <f>Ft!F$3*EXP(Ft!F$38*($A621-Ft!F$2)^2)</f>
        <v>4.4501079924265722E-17</v>
      </c>
      <c r="J621" s="26">
        <f>Ft!G$3*EXP(Ft!G$38*($A621-Ft!G$2)^2)</f>
        <v>5.4296965273868408E-75</v>
      </c>
    </row>
    <row r="622" spans="1:10">
      <c r="A622" s="19">
        <v>620</v>
      </c>
      <c r="B622" s="28">
        <v>4.143488832414107</v>
      </c>
      <c r="C622" s="27">
        <f ca="1">OFFSET($B622,1*(ROWS(C$2:C622)-1),0)</f>
        <v>0</v>
      </c>
      <c r="D622" s="26">
        <f>Ft!B$3*EXP(Ft!B$38*($A622-Ft!B$2)^2) +Ft!C$3*EXP(Ft!C$38*($A622-Ft!C$2)^2) + Ft!D$3*EXP(Ft!D$38*($A622-Ft!D$2)^2)+Ft!E$3*EXP(Ft!E$38*($A622-Ft!E$2)^2) +Ft!F$3*EXP(Ft!F$38*($A622-Ft!F$2)^2) + Ft!G$3*EXP(Ft!G$38*($A622-Ft!G$2)^2)</f>
        <v>16.966642879983091</v>
      </c>
      <c r="E622" s="26">
        <f>Ft!B$3*EXP(Ft!B$38*($A622-Ft!B$2)^2)</f>
        <v>2.0177036164221514E-181</v>
      </c>
      <c r="F622" s="26">
        <f>Ft!C$3*EXP(Ft!C$38*($A622-Ft!C$2)^2)</f>
        <v>6.1501235094433131E-8</v>
      </c>
      <c r="G622" s="26">
        <f>Ft!D$3*EXP(Ft!D$38*($A622-Ft!D$2)^2)</f>
        <v>11.430326567707541</v>
      </c>
      <c r="H622" s="26">
        <f>Ft!E$3*EXP(Ft!E$38*($A622-Ft!E$2)^2)</f>
        <v>5.536316250774318</v>
      </c>
      <c r="I622" s="26">
        <f>Ft!F$3*EXP(Ft!F$38*($A622-Ft!F$2)^2)</f>
        <v>5.4636622152185634E-17</v>
      </c>
      <c r="J622" s="26">
        <f>Ft!G$3*EXP(Ft!G$38*($A622-Ft!G$2)^2)</f>
        <v>1.2202358553885727E-74</v>
      </c>
    </row>
    <row r="623" spans="1:10">
      <c r="A623" s="19">
        <v>621</v>
      </c>
      <c r="B623" s="28">
        <v>3.9669537145566665</v>
      </c>
      <c r="C623" s="27">
        <f ca="1">OFFSET($B623,1*(ROWS(C$2:C623)-1),0)</f>
        <v>0</v>
      </c>
      <c r="D623" s="26">
        <f>Ft!B$3*EXP(Ft!B$38*($A623-Ft!B$2)^2) +Ft!C$3*EXP(Ft!C$38*($A623-Ft!C$2)^2) + Ft!D$3*EXP(Ft!D$38*($A623-Ft!D$2)^2)+Ft!E$3*EXP(Ft!E$38*($A623-Ft!E$2)^2) +Ft!F$3*EXP(Ft!F$38*($A623-Ft!F$2)^2) + Ft!G$3*EXP(Ft!G$38*($A623-Ft!G$2)^2)</f>
        <v>16.955215859310066</v>
      </c>
      <c r="E623" s="26">
        <f>Ft!B$3*EXP(Ft!B$38*($A623-Ft!B$2)^2)</f>
        <v>4.7161117995715321E-182</v>
      </c>
      <c r="F623" s="26">
        <f>Ft!C$3*EXP(Ft!C$38*($A623-Ft!C$2)^2)</f>
        <v>5.6872667972303064E-8</v>
      </c>
      <c r="G623" s="26">
        <f>Ft!D$3*EXP(Ft!D$38*($A623-Ft!D$2)^2)</f>
        <v>11.36232487524342</v>
      </c>
      <c r="H623" s="26">
        <f>Ft!E$3*EXP(Ft!E$38*($A623-Ft!E$2)^2)</f>
        <v>5.5928909271939782</v>
      </c>
      <c r="I623" s="26">
        <f>Ft!F$3*EXP(Ft!F$38*($A623-Ft!F$2)^2)</f>
        <v>6.704454560884235E-17</v>
      </c>
      <c r="J623" s="26">
        <f>Ft!G$3*EXP(Ft!G$38*($A623-Ft!G$2)^2)</f>
        <v>2.7370721162282563E-74</v>
      </c>
    </row>
    <row r="624" spans="1:10">
      <c r="A624" s="19">
        <v>622</v>
      </c>
      <c r="B624" s="28">
        <v>3.7753173940984937</v>
      </c>
      <c r="C624" s="27">
        <f ca="1">OFFSET($B624,1*(ROWS(C$2:C624)-1),0)</f>
        <v>0</v>
      </c>
      <c r="D624" s="26">
        <f>Ft!B$3*EXP(Ft!B$38*($A624-Ft!B$2)^2) +Ft!C$3*EXP(Ft!C$38*($A624-Ft!C$2)^2) + Ft!D$3*EXP(Ft!D$38*($A624-Ft!D$2)^2)+Ft!E$3*EXP(Ft!E$38*($A624-Ft!E$2)^2) +Ft!F$3*EXP(Ft!F$38*($A624-Ft!F$2)^2) + Ft!G$3*EXP(Ft!G$38*($A624-Ft!G$2)^2)</f>
        <v>16.944081178693256</v>
      </c>
      <c r="E624" s="26">
        <f>Ft!B$3*EXP(Ft!B$38*($A624-Ft!B$2)^2)</f>
        <v>1.0995451862832926E-182</v>
      </c>
      <c r="F624" s="26">
        <f>Ft!C$3*EXP(Ft!C$38*($A624-Ft!C$2)^2)</f>
        <v>5.2583906811847026E-8</v>
      </c>
      <c r="G624" s="26">
        <f>Ft!D$3*EXP(Ft!D$38*($A624-Ft!D$2)^2)</f>
        <v>11.294321808806497</v>
      </c>
      <c r="H624" s="26">
        <f>Ft!E$3*EXP(Ft!E$38*($A624-Ft!E$2)^2)</f>
        <v>5.6497593173028511</v>
      </c>
      <c r="I624" s="26">
        <f>Ft!F$3*EXP(Ft!F$38*($A624-Ft!F$2)^2)</f>
        <v>8.2226040957288482E-17</v>
      </c>
      <c r="J624" s="26">
        <f>Ft!G$3*EXP(Ft!G$38*($A624-Ft!G$2)^2)</f>
        <v>6.1277767084242341E-74</v>
      </c>
    </row>
    <row r="625" spans="1:10">
      <c r="A625" s="19">
        <v>623</v>
      </c>
      <c r="B625" s="28">
        <v>3.5875802247308002</v>
      </c>
      <c r="C625" s="27">
        <f ca="1">OFFSET($B625,1*(ROWS(C$2:C625)-1),0)</f>
        <v>0</v>
      </c>
      <c r="D625" s="26">
        <f>Ft!B$3*EXP(Ft!B$38*($A625-Ft!B$2)^2) +Ft!C$3*EXP(Ft!C$38*($A625-Ft!C$2)^2) + Ft!D$3*EXP(Ft!D$38*($A625-Ft!D$2)^2)+Ft!E$3*EXP(Ft!E$38*($A625-Ft!E$2)^2) +Ft!F$3*EXP(Ft!F$38*($A625-Ft!F$2)^2) + Ft!G$3*EXP(Ft!G$38*($A625-Ft!G$2)^2)</f>
        <v>16.93324095181417</v>
      </c>
      <c r="E625" s="26">
        <f>Ft!B$3*EXP(Ft!B$38*($A625-Ft!B$2)^2)</f>
        <v>2.557080153556207E-183</v>
      </c>
      <c r="F625" s="26">
        <f>Ft!C$3*EXP(Ft!C$38*($A625-Ft!C$2)^2)</f>
        <v>4.8610667006735666E-8</v>
      </c>
      <c r="G625" s="26">
        <f>Ft!D$3*EXP(Ft!D$38*($A625-Ft!D$2)^2)</f>
        <v>11.226322250046556</v>
      </c>
      <c r="H625" s="26">
        <f>Ft!E$3*EXP(Ft!E$38*($A625-Ft!E$2)^2)</f>
        <v>5.7069186531569471</v>
      </c>
      <c r="I625" s="26">
        <f>Ft!F$3*EXP(Ft!F$38*($A625-Ft!F$2)^2)</f>
        <v>1.0079097057169111E-16</v>
      </c>
      <c r="J625" s="26">
        <f>Ft!G$3*EXP(Ft!G$38*($A625-Ft!G$2)^2)</f>
        <v>1.3692850162521207E-73</v>
      </c>
    </row>
    <row r="626" spans="1:10">
      <c r="A626" s="19">
        <v>624</v>
      </c>
      <c r="B626" s="28">
        <v>3.4020476343703194</v>
      </c>
      <c r="C626" s="27">
        <f ca="1">OFFSET($B626,1*(ROWS(C$2:C626)-1),0)</f>
        <v>0</v>
      </c>
      <c r="D626" s="26">
        <f>Ft!B$3*EXP(Ft!B$38*($A626-Ft!B$2)^2) +Ft!C$3*EXP(Ft!C$38*($A626-Ft!C$2)^2) + Ft!D$3*EXP(Ft!D$38*($A626-Ft!D$2)^2)+Ft!E$3*EXP(Ft!E$38*($A626-Ft!E$2)^2) +Ft!F$3*EXP(Ft!F$38*($A626-Ft!F$2)^2) + Ft!G$3*EXP(Ft!G$38*($A626-Ft!G$2)^2)</f>
        <v>16.922697190442509</v>
      </c>
      <c r="E626" s="26">
        <f>Ft!B$3*EXP(Ft!B$38*($A626-Ft!B$2)^2)</f>
        <v>5.9316821559727707E-184</v>
      </c>
      <c r="F626" s="26">
        <f>Ft!C$3*EXP(Ft!C$38*($A626-Ft!C$2)^2)</f>
        <v>4.4930349196877729E-8</v>
      </c>
      <c r="G626" s="26">
        <f>Ft!D$3*EXP(Ft!D$38*($A626-Ft!D$2)^2)</f>
        <v>11.158331050932892</v>
      </c>
      <c r="H626" s="26">
        <f>Ft!E$3*EXP(Ft!E$38*($A626-Ft!E$2)^2)</f>
        <v>5.7643660945792679</v>
      </c>
      <c r="I626" s="26">
        <f>Ft!F$3*EXP(Ft!F$38*($A626-Ft!F$2)^2)</f>
        <v>1.234810156250371E-16</v>
      </c>
      <c r="J626" s="26">
        <f>Ft!G$3*EXP(Ft!G$38*($A626-Ft!G$2)^2)</f>
        <v>3.053929541885455E-73</v>
      </c>
    </row>
    <row r="627" spans="1:10">
      <c r="A627" s="19">
        <v>625</v>
      </c>
      <c r="B627" s="28">
        <v>3.2390138165130224</v>
      </c>
      <c r="C627" s="27">
        <f ca="1">OFFSET($B627,1*(ROWS(C$2:C627)-1),0)</f>
        <v>0</v>
      </c>
      <c r="D627" s="26">
        <f>Ft!B$3*EXP(Ft!B$38*($A627-Ft!B$2)^2) +Ft!C$3*EXP(Ft!C$38*($A627-Ft!C$2)^2) + Ft!D$3*EXP(Ft!D$38*($A627-Ft!D$2)^2)+Ft!E$3*EXP(Ft!E$38*($A627-Ft!E$2)^2) +Ft!F$3*EXP(Ft!F$38*($A627-Ft!F$2)^2) + Ft!G$3*EXP(Ft!G$38*($A627-Ft!G$2)^2)</f>
        <v>16.912451803763325</v>
      </c>
      <c r="E627" s="26">
        <f>Ft!B$3*EXP(Ft!B$38*($A627-Ft!B$2)^2)</f>
        <v>1.3725041683317268E-184</v>
      </c>
      <c r="F627" s="26">
        <f>Ft!C$3*EXP(Ft!C$38*($A627-Ft!C$2)^2)</f>
        <v>4.152192605230796E-8</v>
      </c>
      <c r="G627" s="26">
        <f>Ft!D$3*EXP(Ft!D$38*($A627-Ft!D$2)^2)</f>
        <v>11.090353033237628</v>
      </c>
      <c r="H627" s="26">
        <f>Ft!E$3*EXP(Ft!E$38*($A627-Ft!E$2)^2)</f>
        <v>5.8220987290037725</v>
      </c>
      <c r="I627" s="26">
        <f>Ft!F$3*EXP(Ft!F$38*($A627-Ft!F$2)^2)</f>
        <v>1.511976624772014E-16</v>
      </c>
      <c r="J627" s="26">
        <f>Ft!G$3*EXP(Ft!G$38*($A627-Ft!G$2)^2)</f>
        <v>6.7982699124388586E-73</v>
      </c>
    </row>
    <row r="628" spans="1:10">
      <c r="A628" s="19">
        <v>626</v>
      </c>
      <c r="B628" s="28">
        <v>3.101959773675361</v>
      </c>
      <c r="C628" s="27">
        <f ca="1">OFFSET($B628,1*(ROWS(C$2:C628)-1),0)</f>
        <v>0</v>
      </c>
      <c r="D628" s="26">
        <f>Ft!B$3*EXP(Ft!B$38*($A628-Ft!B$2)^2) +Ft!C$3*EXP(Ft!C$38*($A628-Ft!C$2)^2) + Ft!D$3*EXP(Ft!D$38*($A628-Ft!D$2)^2)+Ft!E$3*EXP(Ft!E$38*($A628-Ft!E$2)^2) +Ft!F$3*EXP(Ft!F$38*($A628-Ft!F$2)^2) + Ft!G$3*EXP(Ft!G$38*($A628-Ft!G$2)^2)</f>
        <v>16.902506597729431</v>
      </c>
      <c r="E628" s="26">
        <f>Ft!B$3*EXP(Ft!B$38*($A628-Ft!B$2)^2)</f>
        <v>3.1677561498148453E-185</v>
      </c>
      <c r="F628" s="26">
        <f>Ft!C$3*EXP(Ft!C$38*($A628-Ft!C$2)^2)</f>
        <v>3.8365836392439908E-8</v>
      </c>
      <c r="G628" s="26">
        <f>Ft!D$3*EXP(Ft!D$38*($A628-Ft!D$2)^2)</f>
        <v>11.022392988027491</v>
      </c>
      <c r="H628" s="26">
        <f>Ft!E$3*EXP(Ft!E$38*($A628-Ft!E$2)^2)</f>
        <v>5.8801135713361026</v>
      </c>
      <c r="I628" s="26">
        <f>Ft!F$3*EXP(Ft!F$38*($A628-Ft!F$2)^2)</f>
        <v>1.8503602050728097E-16</v>
      </c>
      <c r="J628" s="26">
        <f>Ft!G$3*EXP(Ft!G$38*($A628-Ft!G$2)^2)</f>
        <v>1.5104697314456139E-72</v>
      </c>
    </row>
    <row r="629" spans="1:10">
      <c r="A629" s="19">
        <v>627</v>
      </c>
      <c r="B629" s="28">
        <v>2.9736966570876007</v>
      </c>
      <c r="C629" s="27">
        <f ca="1">OFFSET($B629,1*(ROWS(C$2:C629)-1),0)</f>
        <v>0</v>
      </c>
      <c r="D629" s="26">
        <f>Ft!B$3*EXP(Ft!B$38*($A629-Ft!B$2)^2) +Ft!C$3*EXP(Ft!C$38*($A629-Ft!C$2)^2) + Ft!D$3*EXP(Ft!D$38*($A629-Ft!D$2)^2)+Ft!E$3*EXP(Ft!E$38*($A629-Ft!E$2)^2) +Ft!F$3*EXP(Ft!F$38*($A629-Ft!F$2)^2) + Ft!G$3*EXP(Ft!G$38*($A629-Ft!G$2)^2)</f>
        <v>16.892863274439378</v>
      </c>
      <c r="E629" s="26">
        <f>Ft!B$3*EXP(Ft!B$38*($A629-Ft!B$2)^2)</f>
        <v>7.2927627226004903E-186</v>
      </c>
      <c r="F629" s="26">
        <f>Ft!C$3*EXP(Ft!C$38*($A629-Ft!C$2)^2)</f>
        <v>3.5443886184541639E-8</v>
      </c>
      <c r="G629" s="26">
        <f>Ft!D$3*EXP(Ft!D$38*($A629-Ft!D$2)^2)</f>
        <v>10.954455675164244</v>
      </c>
      <c r="H629" s="26">
        <f>Ft!E$3*EXP(Ft!E$38*($A629-Ft!E$2)^2)</f>
        <v>5.9384075638312463</v>
      </c>
      <c r="I629" s="26">
        <f>Ft!F$3*EXP(Ft!F$38*($A629-Ft!F$2)^2)</f>
        <v>2.2632566279582862E-16</v>
      </c>
      <c r="J629" s="26">
        <f>Ft!G$3*EXP(Ft!G$38*($A629-Ft!G$2)^2)</f>
        <v>3.3496534907257767E-72</v>
      </c>
    </row>
    <row r="630" spans="1:10">
      <c r="A630" s="19">
        <v>628</v>
      </c>
      <c r="B630" s="28">
        <v>2.8482086619251277</v>
      </c>
      <c r="C630" s="27">
        <f ca="1">OFFSET($B630,1*(ROWS(C$2:C630)-1),0)</f>
        <v>0</v>
      </c>
      <c r="D630" s="26">
        <f>Ft!B$3*EXP(Ft!B$38*($A630-Ft!B$2)^2) +Ft!C$3*EXP(Ft!C$38*($A630-Ft!C$2)^2) + Ft!D$3*EXP(Ft!D$38*($A630-Ft!D$2)^2)+Ft!E$3*EXP(Ft!E$38*($A630-Ft!E$2)^2) +Ft!F$3*EXP(Ft!F$38*($A630-Ft!F$2)^2) + Ft!G$3*EXP(Ft!G$38*($A630-Ft!G$2)^2)</f>
        <v>16.883523431541221</v>
      </c>
      <c r="E630" s="26">
        <f>Ft!B$3*EXP(Ft!B$38*($A630-Ft!B$2)^2)</f>
        <v>1.6746910320263414E-186</v>
      </c>
      <c r="F630" s="26">
        <f>Ft!C$3*EXP(Ft!C$38*($A630-Ft!C$2)^2)</f>
        <v>3.2739155992345327E-8</v>
      </c>
      <c r="G630" s="26">
        <f>Ft!D$3*EXP(Ft!D$38*($A630-Ft!D$2)^2)</f>
        <v>10.886545822813712</v>
      </c>
      <c r="H630" s="26">
        <f>Ft!E$3*EXP(Ft!E$38*($A630-Ft!E$2)^2)</f>
        <v>5.9969775759883515</v>
      </c>
      <c r="I630" s="26">
        <f>Ft!F$3*EXP(Ft!F$38*($A630-Ft!F$2)^2)</f>
        <v>2.7667991948271788E-16</v>
      </c>
      <c r="J630" s="26">
        <f>Ft!G$3*EXP(Ft!G$38*($A630-Ft!G$2)^2)</f>
        <v>7.414160318055823E-72</v>
      </c>
    </row>
    <row r="631" spans="1:10">
      <c r="A631" s="19">
        <v>629</v>
      </c>
      <c r="B631" s="28">
        <v>2.7183566970514903</v>
      </c>
      <c r="C631" s="27">
        <f ca="1">OFFSET($B631,1*(ROWS(C$2:C631)-1),0)</f>
        <v>0</v>
      </c>
      <c r="D631" s="26">
        <f>Ft!B$3*EXP(Ft!B$38*($A631-Ft!B$2)^2) +Ft!C$3*EXP(Ft!C$38*($A631-Ft!C$2)^2) + Ft!D$3*EXP(Ft!D$38*($A631-Ft!D$2)^2)+Ft!E$3*EXP(Ft!E$38*($A631-Ft!E$2)^2) +Ft!F$3*EXP(Ft!F$38*($A631-Ft!F$2)^2) + Ft!G$3*EXP(Ft!G$38*($A631-Ft!G$2)^2)</f>
        <v>16.874488561662357</v>
      </c>
      <c r="E631" s="26">
        <f>Ft!B$3*EXP(Ft!B$38*($A631-Ft!B$2)^2)</f>
        <v>3.8360086340479462E-187</v>
      </c>
      <c r="F631" s="26">
        <f>Ft!C$3*EXP(Ft!C$38*($A631-Ft!C$2)^2)</f>
        <v>3.0235914471233326E-8</v>
      </c>
      <c r="G631" s="26">
        <f>Ft!D$3*EXP(Ft!D$38*($A631-Ft!D$2)^2)</f>
        <v>10.818668126963532</v>
      </c>
      <c r="H631" s="26">
        <f>Ft!E$3*EXP(Ft!E$38*($A631-Ft!E$2)^2)</f>
        <v>6.0558204044629109</v>
      </c>
      <c r="I631" s="26">
        <f>Ft!F$3*EXP(Ft!F$38*($A631-Ft!F$2)^2)</f>
        <v>3.3805533872436381E-16</v>
      </c>
      <c r="J631" s="26">
        <f>Ft!G$3*EXP(Ft!G$38*($A631-Ft!G$2)^2)</f>
        <v>1.6379411548700047E-71</v>
      </c>
    </row>
    <row r="632" spans="1:10">
      <c r="A632" s="19">
        <v>630</v>
      </c>
      <c r="B632" s="28">
        <v>2.5800705780271471</v>
      </c>
      <c r="C632" s="27">
        <f ca="1">OFFSET($B632,1*(ROWS(C$2:C632)-1),0)</f>
        <v>0</v>
      </c>
      <c r="D632" s="26">
        <f>Ft!B$3*EXP(Ft!B$38*($A632-Ft!B$2)^2) +Ft!C$3*EXP(Ft!C$38*($A632-Ft!C$2)^2) + Ft!D$3*EXP(Ft!D$38*($A632-Ft!D$2)^2)+Ft!E$3*EXP(Ft!E$38*($A632-Ft!E$2)^2) +Ft!F$3*EXP(Ft!F$38*($A632-Ft!F$2)^2) + Ft!G$3*EXP(Ft!G$38*($A632-Ft!G$2)^2)</f>
        <v>16.865760051865657</v>
      </c>
      <c r="E632" s="26">
        <f>Ft!B$3*EXP(Ft!B$38*($A632-Ft!B$2)^2)</f>
        <v>8.7644915683307739E-188</v>
      </c>
      <c r="F632" s="26">
        <f>Ft!C$3*EXP(Ft!C$38*($A632-Ft!C$2)^2)</f>
        <v>2.7919537530535549E-8</v>
      </c>
      <c r="G632" s="26">
        <f>Ft!D$3*EXP(Ft!D$38*($A632-Ft!D$2)^2)</f>
        <v>10.750827250949635</v>
      </c>
      <c r="H632" s="26">
        <f>Ft!E$3*EXP(Ft!E$38*($A632-Ft!E$2)^2)</f>
        <v>6.1149327729964833</v>
      </c>
      <c r="I632" s="26">
        <f>Ft!F$3*EXP(Ft!F$38*($A632-Ft!F$2)^2)</f>
        <v>4.1282337087869166E-16</v>
      </c>
      <c r="J632" s="26">
        <f>Ft!G$3*EXP(Ft!G$38*($A632-Ft!G$2)^2)</f>
        <v>3.6116765604165416E-71</v>
      </c>
    </row>
    <row r="633" spans="1:10">
      <c r="A633" s="19">
        <v>631</v>
      </c>
      <c r="B633" s="28">
        <v>2.4473867449485454</v>
      </c>
      <c r="C633" s="27">
        <f ca="1">OFFSET($B633,1*(ROWS(C$2:C633)-1),0)</f>
        <v>0</v>
      </c>
      <c r="D633" s="26">
        <f>Ft!B$3*EXP(Ft!B$38*($A633-Ft!B$2)^2) +Ft!C$3*EXP(Ft!C$38*($A633-Ft!C$2)^2) + Ft!D$3*EXP(Ft!D$38*($A633-Ft!D$2)^2)+Ft!E$3*EXP(Ft!E$38*($A633-Ft!E$2)^2) +Ft!F$3*EXP(Ft!F$38*($A633-Ft!F$2)^2) + Ft!G$3*EXP(Ft!G$38*($A633-Ft!G$2)^2)</f>
        <v>16.857339183132151</v>
      </c>
      <c r="E633" s="26">
        <f>Ft!B$3*EXP(Ft!B$38*($A633-Ft!B$2)^2)</f>
        <v>1.997451069127025E-188</v>
      </c>
      <c r="F633" s="26">
        <f>Ft!C$3*EXP(Ft!C$38*($A633-Ft!C$2)^2)</f>
        <v>2.5776432806211343E-8</v>
      </c>
      <c r="G633" s="26">
        <f>Ft!D$3*EXP(Ft!D$38*($A633-Ft!D$2)^2)</f>
        <v>10.683027824991532</v>
      </c>
      <c r="H633" s="26">
        <f>Ft!E$3*EXP(Ft!E$38*($A633-Ft!E$2)^2)</f>
        <v>6.1743113323641854</v>
      </c>
      <c r="I633" s="26">
        <f>Ft!F$3*EXP(Ft!F$38*($A633-Ft!F$2)^2)</f>
        <v>5.0385673845191802E-16</v>
      </c>
      <c r="J633" s="26">
        <f>Ft!G$3*EXP(Ft!G$38*($A633-Ft!G$2)^2)</f>
        <v>7.9486548485347285E-71</v>
      </c>
    </row>
    <row r="634" spans="1:10">
      <c r="A634" s="19">
        <v>632</v>
      </c>
      <c r="B634" s="28">
        <v>2.3264812278350746</v>
      </c>
      <c r="C634" s="27">
        <f ca="1">OFFSET($B634,1*(ROWS(C$2:C634)-1),0)</f>
        <v>0</v>
      </c>
      <c r="D634" s="26">
        <f>Ft!B$3*EXP(Ft!B$38*($A634-Ft!B$2)^2) +Ft!C$3*EXP(Ft!C$38*($A634-Ft!C$2)^2) + Ft!D$3*EXP(Ft!D$38*($A634-Ft!D$2)^2)+Ft!E$3*EXP(Ft!E$38*($A634-Ft!E$2)^2) +Ft!F$3*EXP(Ft!F$38*($A634-Ft!F$2)^2) + Ft!G$3*EXP(Ft!G$38*($A634-Ft!G$2)^2)</f>
        <v>16.849227129870496</v>
      </c>
      <c r="E634" s="26">
        <f>Ft!B$3*EXP(Ft!B$38*($A634-Ft!B$2)^2)</f>
        <v>4.5407526113610637E-189</v>
      </c>
      <c r="F634" s="26">
        <f>Ft!C$3*EXP(Ft!C$38*($A634-Ft!C$2)^2)</f>
        <v>2.3793969108633747E-8</v>
      </c>
      <c r="G634" s="26">
        <f>Ft!D$3*EXP(Ft!D$38*($A634-Ft!D$2)^2)</f>
        <v>10.61527444573642</v>
      </c>
      <c r="H634" s="26">
        <f>Ft!E$3*EXP(Ft!E$38*($A634-Ft!E$2)^2)</f>
        <v>6.2339526603401065</v>
      </c>
      <c r="I634" s="26">
        <f>Ft!F$3*EXP(Ft!F$38*($A634-Ft!F$2)^2)</f>
        <v>6.1463344001135966E-16</v>
      </c>
      <c r="J634" s="26">
        <f>Ft!G$3*EXP(Ft!G$38*($A634-Ft!G$2)^2)</f>
        <v>1.7460338570176834E-70</v>
      </c>
    </row>
    <row r="635" spans="1:10">
      <c r="A635" s="19">
        <v>633</v>
      </c>
      <c r="B635" s="28">
        <v>2.1945864624536</v>
      </c>
      <c r="C635" s="27">
        <f ca="1">OFFSET($B635,1*(ROWS(C$2:C635)-1),0)</f>
        <v>0</v>
      </c>
      <c r="D635" s="26">
        <f>Ft!B$3*EXP(Ft!B$38*($A635-Ft!B$2)^2) +Ft!C$3*EXP(Ft!C$38*($A635-Ft!C$2)^2) + Ft!D$3*EXP(Ft!D$38*($A635-Ft!D$2)^2)+Ft!E$3*EXP(Ft!E$38*($A635-Ft!E$2)^2) +Ft!F$3*EXP(Ft!F$38*($A635-Ft!F$2)^2) + Ft!G$3*EXP(Ft!G$38*($A635-Ft!G$2)^2)</f>
        <v>16.841424959453455</v>
      </c>
      <c r="E635" s="26">
        <f>Ft!B$3*EXP(Ft!B$38*($A635-Ft!B$2)^2)</f>
        <v>1.0296314595867577E-189</v>
      </c>
      <c r="F635" s="26">
        <f>Ft!C$3*EXP(Ft!C$38*($A635-Ft!C$2)^2)</f>
        <v>2.1960410530415394E-8</v>
      </c>
      <c r="G635" s="26">
        <f>Ft!D$3*EXP(Ft!D$38*($A635-Ft!D$2)^2)</f>
        <v>10.547571675812186</v>
      </c>
      <c r="H635" s="26">
        <f>Ft!E$3*EXP(Ft!E$38*($A635-Ft!E$2)^2)</f>
        <v>6.2938532616808605</v>
      </c>
      <c r="I635" s="26">
        <f>Ft!F$3*EXP(Ft!F$38*($A635-Ft!F$2)^2)</f>
        <v>7.4936191559129588E-16</v>
      </c>
      <c r="J635" s="26">
        <f>Ft!G$3*EXP(Ft!G$38*($A635-Ft!G$2)^2)</f>
        <v>3.8281232813259886E-70</v>
      </c>
    </row>
    <row r="636" spans="1:10">
      <c r="A636" s="19">
        <v>634</v>
      </c>
      <c r="B636" s="28">
        <v>2.0727790975968219</v>
      </c>
      <c r="C636" s="27">
        <f ca="1">OFFSET($B636,1*(ROWS(C$2:C636)-1),0)</f>
        <v>0</v>
      </c>
      <c r="D636" s="26">
        <f>Ft!B$3*EXP(Ft!B$38*($A636-Ft!B$2)^2) +Ft!C$3*EXP(Ft!C$38*($A636-Ft!C$2)^2) + Ft!D$3*EXP(Ft!D$38*($A636-Ft!D$2)^2)+Ft!E$3*EXP(Ft!E$38*($A636-Ft!E$2)^2) +Ft!F$3*EXP(Ft!F$38*($A636-Ft!F$2)^2) + Ft!G$3*EXP(Ft!G$38*($A636-Ft!G$2)^2)</f>
        <v>16.83393363178163</v>
      </c>
      <c r="E636" s="26">
        <f>Ft!B$3*EXP(Ft!B$38*($A636-Ft!B$2)^2)</f>
        <v>2.3288313355573421E-190</v>
      </c>
      <c r="F636" s="26">
        <f>Ft!C$3*EXP(Ft!C$38*($A636-Ft!C$2)^2)</f>
        <v>2.0264854918287317E-8</v>
      </c>
      <c r="G636" s="26">
        <f>Ft!D$3*EXP(Ft!D$38*($A636-Ft!D$2)^2)</f>
        <v>10.479924043389332</v>
      </c>
      <c r="H636" s="26">
        <f>Ft!E$3*EXP(Ft!E$38*($A636-Ft!E$2)^2)</f>
        <v>6.3540095681274433</v>
      </c>
      <c r="I636" s="26">
        <f>Ft!F$3*EXP(Ft!F$38*($A636-Ft!F$2)^2)</f>
        <v>9.1313159172591566E-16</v>
      </c>
      <c r="J636" s="26">
        <f>Ft!G$3*EXP(Ft!G$38*($A636-Ft!G$2)^2)</f>
        <v>8.3770942766260262E-70</v>
      </c>
    </row>
    <row r="637" spans="1:10">
      <c r="A637" s="19">
        <v>635</v>
      </c>
      <c r="B637" s="28">
        <v>1.9758015536086759</v>
      </c>
      <c r="C637" s="27">
        <f ca="1">OFFSET($B637,1*(ROWS(C$2:C637)-1),0)</f>
        <v>0</v>
      </c>
      <c r="D637" s="26">
        <f>Ft!B$3*EXP(Ft!B$38*($A637-Ft!B$2)^2) +Ft!C$3*EXP(Ft!C$38*($A637-Ft!C$2)^2) + Ft!D$3*EXP(Ft!D$38*($A637-Ft!D$2)^2)+Ft!E$3*EXP(Ft!E$38*($A637-Ft!E$2)^2) +Ft!F$3*EXP(Ft!F$38*($A637-Ft!F$2)^2) + Ft!G$3*EXP(Ft!G$38*($A637-Ft!G$2)^2)</f>
        <v>16.82675399887458</v>
      </c>
      <c r="E637" s="26">
        <f>Ft!B$3*EXP(Ft!B$38*($A637-Ft!B$2)^2)</f>
        <v>5.2540782778292939E-191</v>
      </c>
      <c r="F637" s="26">
        <f>Ft!C$3*EXP(Ft!C$38*($A637-Ft!C$2)^2)</f>
        <v>1.8697176431013772E-8</v>
      </c>
      <c r="G637" s="26">
        <f>Ft!D$3*EXP(Ft!D$38*($A637-Ft!D$2)^2)</f>
        <v>10.412336041751836</v>
      </c>
      <c r="H637" s="26">
        <f>Ft!E$3*EXP(Ft!E$38*($A637-Ft!E$2)^2)</f>
        <v>6.4144179384255668</v>
      </c>
      <c r="I637" s="26">
        <f>Ft!F$3*EXP(Ft!F$38*($A637-Ft!F$2)^2)</f>
        <v>1.1120938470021982E-15</v>
      </c>
      <c r="J637" s="26">
        <f>Ft!G$3*EXP(Ft!G$38*($A637-Ft!G$2)^2)</f>
        <v>1.8296799278534088E-69</v>
      </c>
    </row>
    <row r="638" spans="1:10">
      <c r="A638" s="19">
        <v>636</v>
      </c>
      <c r="B638" s="28">
        <v>1.8788834231988858</v>
      </c>
      <c r="C638" s="27">
        <f ca="1">OFFSET($B638,1*(ROWS(C$2:C638)-1),0)</f>
        <v>0</v>
      </c>
      <c r="D638" s="26">
        <f>Ft!B$3*EXP(Ft!B$38*($A638-Ft!B$2)^2) +Ft!C$3*EXP(Ft!C$38*($A638-Ft!C$2)^2) + Ft!D$3*EXP(Ft!D$38*($A638-Ft!D$2)^2)+Ft!E$3*EXP(Ft!E$38*($A638-Ft!E$2)^2) +Ft!F$3*EXP(Ft!F$38*($A638-Ft!F$2)^2) + Ft!G$3*EXP(Ft!G$38*($A638-Ft!G$2)^2)</f>
        <v>16.819886804489659</v>
      </c>
      <c r="E638" s="26">
        <f>Ft!B$3*EXP(Ft!B$38*($A638-Ft!B$2)^2)</f>
        <v>1.1823806446190764E-191</v>
      </c>
      <c r="F638" s="26">
        <f>Ft!C$3*EXP(Ft!C$38*($A638-Ft!C$2)^2)</f>
        <v>1.7247971922265994E-8</v>
      </c>
      <c r="G638" s="26">
        <f>Ft!D$3*EXP(Ft!D$38*($A638-Ft!D$2)^2)</f>
        <v>10.344812128877034</v>
      </c>
      <c r="H638" s="26">
        <f>Ft!E$3*EXP(Ft!E$38*($A638-Ft!E$2)^2)</f>
        <v>6.4750746583646537</v>
      </c>
      <c r="I638" s="26">
        <f>Ft!F$3*EXP(Ft!F$38*($A638-Ft!F$2)^2)</f>
        <v>1.3536794186164427E-15</v>
      </c>
      <c r="J638" s="26">
        <f>Ft!G$3*EXP(Ft!G$38*($A638-Ft!G$2)^2)</f>
        <v>3.9886972843908235E-69</v>
      </c>
    </row>
    <row r="639" spans="1:10">
      <c r="A639" s="19">
        <v>637</v>
      </c>
      <c r="B639" s="28">
        <v>1.7777287492533844</v>
      </c>
      <c r="C639" s="27">
        <f ca="1">OFFSET($B639,1*(ROWS(C$2:C639)-1),0)</f>
        <v>0</v>
      </c>
      <c r="D639" s="26">
        <f>Ft!B$3*EXP(Ft!B$38*($A639-Ft!B$2)^2) +Ft!C$3*EXP(Ft!C$38*($A639-Ft!C$2)^2) + Ft!D$3*EXP(Ft!D$38*($A639-Ft!D$2)^2)+Ft!E$3*EXP(Ft!E$38*($A639-Ft!E$2)^2) +Ft!F$3*EXP(Ft!F$38*($A639-Ft!F$2)^2) + Ft!G$3*EXP(Ft!G$38*($A639-Ft!G$2)^2)</f>
        <v>16.813332683768685</v>
      </c>
      <c r="E639" s="26">
        <f>Ft!B$3*EXP(Ft!B$38*($A639-Ft!B$2)^2)</f>
        <v>2.6541187798614E-192</v>
      </c>
      <c r="F639" s="26">
        <f>Ft!C$3*EXP(Ft!C$38*($A639-Ft!C$2)^2)</f>
        <v>1.5908510903337259E-8</v>
      </c>
      <c r="G639" s="26">
        <f>Ft!D$3*EXP(Ft!D$38*($A639-Ft!D$2)^2)</f>
        <v>10.277356727024523</v>
      </c>
      <c r="H639" s="26">
        <f>Ft!E$3*EXP(Ft!E$38*($A639-Ft!E$2)^2)</f>
        <v>6.5359759408356526</v>
      </c>
      <c r="I639" s="26">
        <f>Ft!F$3*EXP(Ft!F$38*($A639-Ft!F$2)^2)</f>
        <v>1.6468594360123245E-15</v>
      </c>
      <c r="J639" s="26">
        <f>Ft!G$3*EXP(Ft!G$38*($A639-Ft!G$2)^2)</f>
        <v>8.6788316532941381E-69</v>
      </c>
    </row>
    <row r="640" spans="1:10">
      <c r="A640" s="19">
        <v>638</v>
      </c>
      <c r="B640" s="28">
        <v>1.6822352364906692</v>
      </c>
      <c r="C640" s="27">
        <f ca="1">OFFSET($B640,1*(ROWS(C$2:C640)-1),0)</f>
        <v>0</v>
      </c>
      <c r="D640" s="26">
        <f>Ft!B$3*EXP(Ft!B$38*($A640-Ft!B$2)^2) +Ft!C$3*EXP(Ft!C$38*($A640-Ft!C$2)^2) + Ft!D$3*EXP(Ft!D$38*($A640-Ft!D$2)^2)+Ft!E$3*EXP(Ft!E$38*($A640-Ft!E$2)^2) +Ft!F$3*EXP(Ft!F$38*($A640-Ft!F$2)^2) + Ft!G$3*EXP(Ft!G$38*($A640-Ft!G$2)^2)</f>
        <v>16.807092162912621</v>
      </c>
      <c r="E640" s="26">
        <f>Ft!B$3*EXP(Ft!B$38*($A640-Ft!B$2)^2)</f>
        <v>5.94272547417409E-193</v>
      </c>
      <c r="F640" s="26">
        <f>Ft!C$3*EXP(Ft!C$38*($A640-Ft!C$2)^2)</f>
        <v>1.4670688855614935E-8</v>
      </c>
      <c r="G640" s="26">
        <f>Ft!D$3*EXP(Ft!D$38*($A640-Ft!D$2)^2)</f>
        <v>10.20997422233409</v>
      </c>
      <c r="H640" s="26">
        <f>Ft!E$3*EXP(Ft!E$38*($A640-Ft!E$2)^2)</f>
        <v>6.5971179259078383</v>
      </c>
      <c r="I640" s="26">
        <f>Ft!F$3*EXP(Ft!F$38*($A640-Ft!F$2)^2)</f>
        <v>2.0024586537332894E-15</v>
      </c>
      <c r="J640" s="26">
        <f>Ft!G$3*EXP(Ft!G$38*($A640-Ft!G$2)^2)</f>
        <v>1.8848017835790272E-68</v>
      </c>
    </row>
    <row r="641" spans="1:10">
      <c r="A641" s="19">
        <v>639</v>
      </c>
      <c r="B641" s="28">
        <v>1.5869665795214871</v>
      </c>
      <c r="C641" s="27">
        <f ca="1">OFFSET($B641,1*(ROWS(C$2:C641)-1),0)</f>
        <v>0</v>
      </c>
      <c r="D641" s="26">
        <f>Ft!B$3*EXP(Ft!B$38*($A641-Ft!B$2)^2) +Ft!C$3*EXP(Ft!C$38*($A641-Ft!C$2)^2) + Ft!D$3*EXP(Ft!D$38*($A641-Ft!D$2)^2)+Ft!E$3*EXP(Ft!E$38*($A641-Ft!E$2)^2) +Ft!F$3*EXP(Ft!F$38*($A641-Ft!F$2)^2) + Ft!G$3*EXP(Ft!G$38*($A641-Ft!G$2)^2)</f>
        <v>16.801165658884504</v>
      </c>
      <c r="E641" s="26">
        <f>Ft!B$3*EXP(Ft!B$38*($A641-Ft!B$2)^2)</f>
        <v>1.3272515830619482E-193</v>
      </c>
      <c r="F641" s="26">
        <f>Ft!C$3*EXP(Ft!C$38*($A641-Ft!C$2)^2)</f>
        <v>1.3526983676882905E-8</v>
      </c>
      <c r="G641" s="26">
        <f>Ft!D$3*EXP(Ft!D$38*($A641-Ft!D$2)^2)</f>
        <v>10.142668964432776</v>
      </c>
      <c r="H641" s="26">
        <f>Ft!E$3*EXP(Ft!E$38*($A641-Ft!E$2)^2)</f>
        <v>6.6584966809247392</v>
      </c>
      <c r="I641" s="26">
        <f>Ft!F$3*EXP(Ft!F$38*($A641-Ft!F$2)^2)</f>
        <v>2.4335311028094426E-15</v>
      </c>
      <c r="J641" s="26">
        <f>Ft!G$3*EXP(Ft!G$38*($A641-Ft!G$2)^2)</f>
        <v>4.08549174131663E-68</v>
      </c>
    </row>
    <row r="642" spans="1:10">
      <c r="A642" s="19">
        <v>640</v>
      </c>
      <c r="B642" s="28">
        <v>1.507841347211837</v>
      </c>
      <c r="C642" s="27">
        <f ca="1">OFFSET($B642,1*(ROWS(C$2:C642)-1),0)</f>
        <v>0</v>
      </c>
      <c r="D642" s="26">
        <f>Ft!B$3*EXP(Ft!B$38*($A642-Ft!B$2)^2) +Ft!C$3*EXP(Ft!C$38*($A642-Ft!C$2)^2) + Ft!D$3*EXP(Ft!D$38*($A642-Ft!D$2)^2)+Ft!E$3*EXP(Ft!E$38*($A642-Ft!E$2)^2) +Ft!F$3*EXP(Ft!F$38*($A642-Ft!F$2)^2) + Ft!G$3*EXP(Ft!G$38*($A642-Ft!G$2)^2)</f>
        <v>16.795553479140786</v>
      </c>
      <c r="E642" s="26">
        <f>Ft!B$3*EXP(Ft!B$38*($A642-Ft!B$2)^2)</f>
        <v>2.956807872750683E-194</v>
      </c>
      <c r="F642" s="26">
        <f>Ft!C$3*EXP(Ft!C$38*($A642-Ft!C$2)^2)</f>
        <v>1.2470415058857376E-8</v>
      </c>
      <c r="G642" s="26">
        <f>Ft!D$3*EXP(Ft!D$38*($A642-Ft!D$2)^2)</f>
        <v>10.075445266050997</v>
      </c>
      <c r="H642" s="26">
        <f>Ft!E$3*EXP(Ft!E$38*($A642-Ft!E$2)^2)</f>
        <v>6.7201082006193706</v>
      </c>
      <c r="I642" s="26">
        <f>Ft!F$3*EXP(Ft!F$38*($A642-Ft!F$2)^2)</f>
        <v>2.95581033630028E-15</v>
      </c>
      <c r="J642" s="26">
        <f>Ft!G$3*EXP(Ft!G$38*($A642-Ft!G$2)^2)</f>
        <v>8.8388796950252127E-68</v>
      </c>
    </row>
    <row r="643" spans="1:10">
      <c r="A643" s="19">
        <v>641</v>
      </c>
      <c r="B643" s="28">
        <v>1.4133689314930962</v>
      </c>
      <c r="C643" s="27">
        <f ca="1">OFFSET($B643,1*(ROWS(C$2:C643)-1),0)</f>
        <v>0</v>
      </c>
      <c r="D643" s="26">
        <f>Ft!B$3*EXP(Ft!B$38*($A643-Ft!B$2)^2) +Ft!C$3*EXP(Ft!C$38*($A643-Ft!C$2)^2) + Ft!D$3*EXP(Ft!D$38*($A643-Ft!D$2)^2)+Ft!E$3*EXP(Ft!E$38*($A643-Ft!E$2)^2) +Ft!F$3*EXP(Ft!F$38*($A643-Ft!F$2)^2) + Ft!G$3*EXP(Ft!G$38*($A643-Ft!G$2)^2)</f>
        <v>16.790255821391245</v>
      </c>
      <c r="E643" s="26">
        <f>Ft!B$3*EXP(Ft!B$38*($A643-Ft!B$2)^2)</f>
        <v>6.5704517436975327E-195</v>
      </c>
      <c r="F643" s="26">
        <f>Ft!C$3*EXP(Ft!C$38*($A643-Ft!C$2)^2)</f>
        <v>1.1494506605906661E-8</v>
      </c>
      <c r="G643" s="26">
        <f>Ft!D$3*EXP(Ft!D$38*($A643-Ft!D$2)^2)</f>
        <v>10.008307402647842</v>
      </c>
      <c r="H643" s="26">
        <f>Ft!E$3*EXP(Ft!E$38*($A643-Ft!E$2)^2)</f>
        <v>6.7819484072488923</v>
      </c>
      <c r="I643" s="26">
        <f>Ft!F$3*EXP(Ft!F$38*($A643-Ft!F$2)^2)</f>
        <v>3.5882487665885877E-15</v>
      </c>
      <c r="J643" s="26">
        <f>Ft!G$3*EXP(Ft!G$38*($A643-Ft!G$2)^2)</f>
        <v>1.9086414084799087E-67</v>
      </c>
    </row>
    <row r="644" spans="1:10">
      <c r="A644" s="19">
        <v>642</v>
      </c>
      <c r="B644" s="28">
        <v>1.3393127867776968</v>
      </c>
      <c r="C644" s="27">
        <f ca="1">OFFSET($B644,1*(ROWS(C$2:C644)-1),0)</f>
        <v>0</v>
      </c>
      <c r="D644" s="26">
        <f>Ft!B$3*EXP(Ft!B$38*($A644-Ft!B$2)^2) +Ft!C$3*EXP(Ft!C$38*($A644-Ft!C$2)^2) + Ft!D$3*EXP(Ft!D$38*($A644-Ft!D$2)^2)+Ft!E$3*EXP(Ft!E$38*($A644-Ft!E$2)^2) +Ft!F$3*EXP(Ft!F$38*($A644-Ft!F$2)^2) + Ft!G$3*EXP(Ft!G$38*($A644-Ft!G$2)^2)</f>
        <v>16.785272773387593</v>
      </c>
      <c r="E644" s="26">
        <f>Ft!B$3*EXP(Ft!B$38*($A644-Ft!B$2)^2)</f>
        <v>1.4563629581105616E-195</v>
      </c>
      <c r="F644" s="26">
        <f>Ft!C$3*EXP(Ft!C$38*($A644-Ft!C$2)^2)</f>
        <v>1.0593250516714016E-8</v>
      </c>
      <c r="G644" s="26">
        <f>Ft!D$3*EXP(Ft!D$38*($A644-Ft!D$2)^2)</f>
        <v>9.9412596120454939</v>
      </c>
      <c r="H644" s="26">
        <f>Ft!E$3*EXP(Ft!E$38*($A644-Ft!E$2)^2)</f>
        <v>6.8440131507488431</v>
      </c>
      <c r="I644" s="26">
        <f>Ft!F$3*EXP(Ft!F$38*($A644-Ft!F$2)^2)</f>
        <v>4.3536633463023234E-15</v>
      </c>
      <c r="J644" s="26">
        <f>Ft!G$3*EXP(Ft!G$38*($A644-Ft!G$2)^2)</f>
        <v>4.1136344247226663E-67</v>
      </c>
    </row>
    <row r="645" spans="1:10">
      <c r="A645" s="19">
        <v>643</v>
      </c>
      <c r="B645" s="28">
        <v>1.2595208532060838</v>
      </c>
      <c r="C645" s="27">
        <f ca="1">OFFSET($B645,1*(ROWS(C$2:C645)-1),0)</f>
        <v>0</v>
      </c>
      <c r="D645" s="26">
        <f>Ft!B$3*EXP(Ft!B$38*($A645-Ft!B$2)^2) +Ft!C$3*EXP(Ft!C$38*($A645-Ft!C$2)^2) + Ft!D$3*EXP(Ft!D$38*($A645-Ft!D$2)^2)+Ft!E$3*EXP(Ft!E$38*($A645-Ft!E$2)^2) +Ft!F$3*EXP(Ft!F$38*($A645-Ft!F$2)^2) + Ft!G$3*EXP(Ft!G$38*($A645-Ft!G$2)^2)</f>
        <v>16.780604312740987</v>
      </c>
      <c r="E645" s="26">
        <f>Ft!B$3*EXP(Ft!B$38*($A645-Ft!B$2)^2)</f>
        <v>3.2199289508406916E-196</v>
      </c>
      <c r="F645" s="26">
        <f>Ft!C$3*EXP(Ft!C$38*($A645-Ft!C$2)^2)</f>
        <v>9.7610746617520845E-9</v>
      </c>
      <c r="G645" s="26">
        <f>Ft!D$3*EXP(Ft!D$38*($A645-Ft!D$2)^2)</f>
        <v>9.8743060940728213</v>
      </c>
      <c r="H645" s="26">
        <f>Ft!E$3*EXP(Ft!E$38*($A645-Ft!E$2)^2)</f>
        <v>6.9062982089070868</v>
      </c>
      <c r="I645" s="26">
        <f>Ft!F$3*EXP(Ft!F$38*($A645-Ft!F$2)^2)</f>
        <v>5.279508109776485E-15</v>
      </c>
      <c r="J645" s="26">
        <f>Ft!G$3*EXP(Ft!G$38*($A645-Ft!G$2)^2)</f>
        <v>8.8491443330835226E-67</v>
      </c>
    </row>
    <row r="646" spans="1:10">
      <c r="A646" s="19">
        <v>644</v>
      </c>
      <c r="B646" s="28">
        <v>1.1909848262066873</v>
      </c>
      <c r="C646" s="27">
        <f ca="1">OFFSET($B646,1*(ROWS(C$2:C646)-1),0)</f>
        <v>0</v>
      </c>
      <c r="D646" s="26">
        <f>Ft!B$3*EXP(Ft!B$38*($A646-Ft!B$2)^2) +Ft!C$3*EXP(Ft!C$38*($A646-Ft!C$2)^2) + Ft!D$3*EXP(Ft!D$38*($A646-Ft!D$2)^2)+Ft!E$3*EXP(Ft!E$38*($A646-Ft!E$2)^2) +Ft!F$3*EXP(Ft!F$38*($A646-Ft!F$2)^2) + Ft!G$3*EXP(Ft!G$38*($A646-Ft!G$2)^2)</f>
        <v>16.776250306768596</v>
      </c>
      <c r="E646" s="26">
        <f>Ft!B$3*EXP(Ft!B$38*($A646-Ft!B$2)^2)</f>
        <v>7.1010933800955811E-197</v>
      </c>
      <c r="F646" s="26">
        <f>Ft!C$3*EXP(Ft!C$38*($A646-Ft!C$2)^2)</f>
        <v>8.9928118998895593E-9</v>
      </c>
      <c r="G646" s="26">
        <f>Ft!D$3*EXP(Ft!D$38*($A646-Ft!D$2)^2)</f>
        <v>9.8074510102181804</v>
      </c>
      <c r="H646" s="26">
        <f>Ft!E$3*EXP(Ft!E$38*($A646-Ft!E$2)^2)</f>
        <v>6.9687992875575944</v>
      </c>
      <c r="I646" s="26">
        <f>Ft!F$3*EXP(Ft!F$38*($A646-Ft!F$2)^2)</f>
        <v>6.3987979600528333E-15</v>
      </c>
      <c r="J646" s="26">
        <f>Ft!G$3*EXP(Ft!G$38*($A646-Ft!G$2)^2)</f>
        <v>1.8999890441773701E-66</v>
      </c>
    </row>
    <row r="647" spans="1:10">
      <c r="A647" s="19">
        <v>645</v>
      </c>
      <c r="B647" s="28">
        <v>1.1037407196766083</v>
      </c>
      <c r="C647" s="27">
        <f ca="1">OFFSET($B647,1*(ROWS(C$2:C647)-1),0)</f>
        <v>0</v>
      </c>
      <c r="D647" s="26">
        <f>Ft!B$3*EXP(Ft!B$38*($A647-Ft!B$2)^2) +Ft!C$3*EXP(Ft!C$38*($A647-Ft!C$2)^2) + Ft!D$3*EXP(Ft!D$38*($A647-Ft!D$2)^2)+Ft!E$3*EXP(Ft!E$38*($A647-Ft!E$2)^2) +Ft!F$3*EXP(Ft!F$38*($A647-Ft!F$2)^2) + Ft!G$3*EXP(Ft!G$38*($A647-Ft!G$2)^2)</f>
        <v>16.772210512369259</v>
      </c>
      <c r="E647" s="26">
        <f>Ft!B$3*EXP(Ft!B$38*($A647-Ft!B$2)^2)</f>
        <v>1.5620913543765988E-197</v>
      </c>
      <c r="F647" s="26">
        <f>Ft!C$3*EXP(Ft!C$38*($A647-Ft!C$2)^2)</f>
        <v>8.2836714872788103E-9</v>
      </c>
      <c r="G647" s="26">
        <f>Ft!D$3*EXP(Ft!D$38*($A647-Ft!D$2)^2)</f>
        <v>9.7406984832913928</v>
      </c>
      <c r="H647" s="26">
        <f>Ft!E$3*EXP(Ft!E$38*($A647-Ft!E$2)^2)</f>
        <v>7.0315120207941879</v>
      </c>
      <c r="I647" s="26">
        <f>Ft!F$3*EXP(Ft!F$38*($A647-Ft!F$2)^2)</f>
        <v>7.7512126660642415E-15</v>
      </c>
      <c r="J647" s="26">
        <f>Ft!G$3*EXP(Ft!G$38*($A647-Ft!G$2)^2)</f>
        <v>4.0716941476643457E-66</v>
      </c>
    </row>
    <row r="648" spans="1:10">
      <c r="A648" s="19">
        <v>646</v>
      </c>
      <c r="B648" s="28">
        <v>1.0262170257561252</v>
      </c>
      <c r="C648" s="27">
        <f ca="1">OFFSET($B648,1*(ROWS(C$2:C648)-1),0)</f>
        <v>0</v>
      </c>
      <c r="D648" s="26">
        <f>Ft!B$3*EXP(Ft!B$38*($A648-Ft!B$2)^2) +Ft!C$3*EXP(Ft!C$38*($A648-Ft!C$2)^2) + Ft!D$3*EXP(Ft!D$38*($A648-Ft!D$2)^2)+Ft!E$3*EXP(Ft!E$38*($A648-Ft!E$2)^2) +Ft!F$3*EXP(Ft!F$38*($A648-Ft!F$2)^2) + Ft!G$3*EXP(Ft!G$38*($A648-Ft!G$2)^2)</f>
        <v>16.768484575928518</v>
      </c>
      <c r="E648" s="26">
        <f>Ft!B$3*EXP(Ft!B$38*($A648-Ft!B$2)^2)</f>
        <v>3.427598183510234E-198</v>
      </c>
      <c r="F648" s="26">
        <f>Ft!C$3*EXP(Ft!C$38*($A648-Ft!C$2)^2)</f>
        <v>7.6292124409132943E-9</v>
      </c>
      <c r="G648" s="26">
        <f>Ft!D$3*EXP(Ft!D$38*($A648-Ft!D$2)^2)</f>
        <v>9.6740525970949296</v>
      </c>
      <c r="H648" s="26">
        <f>Ft!E$3*EXP(Ft!E$38*($A648-Ft!E$2)^2)</f>
        <v>7.0944319712043651</v>
      </c>
      <c r="I648" s="26">
        <f>Ft!F$3*EXP(Ft!F$38*($A648-Ft!F$2)^2)</f>
        <v>9.3844154533689681E-15</v>
      </c>
      <c r="J648" s="26">
        <f>Ft!G$3*EXP(Ft!G$38*($A648-Ft!G$2)^2)</f>
        <v>8.7091031007313926E-66</v>
      </c>
    </row>
    <row r="649" spans="1:10">
      <c r="A649" s="19">
        <v>647</v>
      </c>
      <c r="B649" s="28">
        <v>0.96992607456090241</v>
      </c>
      <c r="C649" s="27">
        <f ca="1">OFFSET($B649,1*(ROWS(C$2:C649)-1),0)</f>
        <v>0</v>
      </c>
      <c r="D649" s="26">
        <f>Ft!B$3*EXP(Ft!B$38*($A649-Ft!B$2)^2) +Ft!C$3*EXP(Ft!C$38*($A649-Ft!C$2)^2) + Ft!D$3*EXP(Ft!D$38*($A649-Ft!D$2)^2)+Ft!E$3*EXP(Ft!E$38*($A649-Ft!E$2)^2) +Ft!F$3*EXP(Ft!F$38*($A649-Ft!F$2)^2) + Ft!G$3*EXP(Ft!G$38*($A649-Ft!G$2)^2)</f>
        <v>16.76507203325297</v>
      </c>
      <c r="E649" s="26">
        <f>Ft!B$3*EXP(Ft!B$38*($A649-Ft!B$2)^2)</f>
        <v>7.5019756382093612E-199</v>
      </c>
      <c r="F649" s="26">
        <f>Ft!C$3*EXP(Ft!C$38*($A649-Ft!C$2)^2)</f>
        <v>7.0253187279325301E-9</v>
      </c>
      <c r="G649" s="26">
        <f>Ft!D$3*EXP(Ft!D$38*($A649-Ft!D$2)^2)</f>
        <v>9.6075173961043401</v>
      </c>
      <c r="H649" s="26">
        <f>Ft!E$3*EXP(Ft!E$38*($A649-Ft!E$2)^2)</f>
        <v>7.1575546301233013</v>
      </c>
      <c r="I649" s="26">
        <f>Ft!F$3*EXP(Ft!F$38*($A649-Ft!F$2)^2)</f>
        <v>1.1355626979289636E-14</v>
      </c>
      <c r="J649" s="26">
        <f>Ft!G$3*EXP(Ft!G$38*($A649-Ft!G$2)^2)</f>
        <v>1.8592849290677423E-65</v>
      </c>
    </row>
    <row r="650" spans="1:10">
      <c r="A650" s="19">
        <v>648</v>
      </c>
      <c r="B650" s="28">
        <v>0.92084087289555328</v>
      </c>
      <c r="C650" s="27">
        <f ca="1">OFFSET($B650,1*(ROWS(C$2:C650)-1),0)</f>
        <v>0</v>
      </c>
      <c r="D650" s="26">
        <f>Ft!B$3*EXP(Ft!B$38*($A650-Ft!B$2)^2) +Ft!C$3*EXP(Ft!C$38*($A650-Ft!C$2)^2) + Ft!D$3*EXP(Ft!D$38*($A650-Ft!D$2)^2)+Ft!E$3*EXP(Ft!E$38*($A650-Ft!E$2)^2) +Ft!F$3*EXP(Ft!F$38*($A650-Ft!F$2)^2) + Ft!G$3*EXP(Ft!G$38*($A650-Ft!G$2)^2)</f>
        <v>16.761972309534226</v>
      </c>
      <c r="E650" s="26">
        <f>Ft!B$3*EXP(Ft!B$38*($A650-Ft!B$2)^2)</f>
        <v>1.6378105534627766E-199</v>
      </c>
      <c r="F650" s="26">
        <f>Ft!C$3*EXP(Ft!C$38*($A650-Ft!C$2)^2)</f>
        <v>6.4681761599147269E-9</v>
      </c>
      <c r="G650" s="26">
        <f>Ft!D$3*EXP(Ft!D$38*($A650-Ft!D$2)^2)</f>
        <v>9.5410968851578755</v>
      </c>
      <c r="H650" s="26">
        <f>Ft!E$3*EXP(Ft!E$38*($A650-Ft!E$2)^2)</f>
        <v>7.22087541790816</v>
      </c>
      <c r="I650" s="26">
        <f>Ft!F$3*EXP(Ft!F$38*($A650-Ft!F$2)^2)</f>
        <v>1.3733503055253011E-14</v>
      </c>
      <c r="J650" s="26">
        <f>Ft!G$3*EXP(Ft!G$38*($A650-Ft!G$2)^2)</f>
        <v>3.9618013824018051E-65</v>
      </c>
    </row>
    <row r="651" spans="1:10">
      <c r="A651" s="19">
        <v>649</v>
      </c>
      <c r="B651" s="28">
        <v>0.86322741717907547</v>
      </c>
      <c r="C651" s="27">
        <f ca="1">OFFSET($B651,1*(ROWS(C$2:C651)-1),0)</f>
        <v>0</v>
      </c>
      <c r="D651" s="26">
        <f>Ft!B$3*EXP(Ft!B$38*($A651-Ft!B$2)^2) +Ft!C$3*EXP(Ft!C$38*($A651-Ft!C$2)^2) + Ft!D$3*EXP(Ft!D$38*($A651-Ft!D$2)^2)+Ft!E$3*EXP(Ft!E$38*($A651-Ft!E$2)^2) +Ft!F$3*EXP(Ft!F$38*($A651-Ft!F$2)^2) + Ft!G$3*EXP(Ft!G$38*($A651-Ft!G$2)^2)</f>
        <v>16.7591847193424</v>
      </c>
      <c r="E651" s="26">
        <f>Ft!B$3*EXP(Ft!B$38*($A651-Ft!B$2)^2)</f>
        <v>3.5665962711440306E-200</v>
      </c>
      <c r="F651" s="26">
        <f>Ft!C$3*EXP(Ft!C$38*($A651-Ft!C$2)^2)</f>
        <v>5.9542508790683258E-9</v>
      </c>
      <c r="G651" s="26">
        <f>Ft!D$3*EXP(Ft!D$38*($A651-Ft!D$2)^2)</f>
        <v>9.4747950291553522</v>
      </c>
      <c r="H651" s="26">
        <f>Ft!E$3*EXP(Ft!E$38*($A651-Ft!E$2)^2)</f>
        <v>7.2843896842327807</v>
      </c>
      <c r="I651" s="26">
        <f>Ft!F$3*EXP(Ft!F$38*($A651-Ft!F$2)^2)</f>
        <v>1.6600373421498402E-14</v>
      </c>
      <c r="J651" s="26">
        <f>Ft!G$3*EXP(Ft!G$38*($A651-Ft!G$2)^2)</f>
        <v>8.4258492048762967E-65</v>
      </c>
    </row>
    <row r="652" spans="1:10">
      <c r="A652" s="19">
        <v>650</v>
      </c>
      <c r="B652" s="28">
        <v>0.81692990215560712</v>
      </c>
      <c r="C652" s="27">
        <f ca="1">OFFSET($B652,1*(ROWS(C$2:C652)-1),0)</f>
        <v>0</v>
      </c>
      <c r="D652" s="26">
        <f>Ft!B$3*EXP(Ft!B$38*($A652-Ft!B$2)^2) +Ft!C$3*EXP(Ft!C$38*($A652-Ft!C$2)^2) + Ft!D$3*EXP(Ft!D$38*($A652-Ft!D$2)^2)+Ft!E$3*EXP(Ft!E$38*($A652-Ft!E$2)^2) +Ft!F$3*EXP(Ft!F$38*($A652-Ft!F$2)^2) + Ft!G$3*EXP(Ft!G$38*($A652-Ft!G$2)^2)</f>
        <v>16.756708466649393</v>
      </c>
      <c r="E652" s="26">
        <f>Ft!B$3*EXP(Ft!B$38*($A652-Ft!B$2)^2)</f>
        <v>7.7472310323029269E-201</v>
      </c>
      <c r="F652" s="26">
        <f>Ft!C$3*EXP(Ft!C$38*($A652-Ft!C$2)^2)</f>
        <v>5.4802693304403317E-9</v>
      </c>
      <c r="G652" s="26">
        <f>Ft!D$3*EXP(Ft!D$38*($A652-Ft!D$2)^2)</f>
        <v>9.4086157527662468</v>
      </c>
      <c r="H652" s="26">
        <f>Ft!E$3*EXP(Ft!E$38*($A652-Ft!E$2)^2)</f>
        <v>7.3480927084028558</v>
      </c>
      <c r="I652" s="26">
        <f>Ft!F$3*EXP(Ft!F$38*($A652-Ft!F$2)^2)</f>
        <v>2.0054909433522259E-14</v>
      </c>
      <c r="J652" s="26">
        <f>Ft!G$3*EXP(Ft!G$38*($A652-Ft!G$2)^2)</f>
        <v>1.788582176648569E-64</v>
      </c>
    </row>
    <row r="653" spans="1:10">
      <c r="A653" s="19">
        <v>651</v>
      </c>
      <c r="B653" s="28">
        <v>0.76086235114340184</v>
      </c>
      <c r="C653" s="27">
        <f ca="1">OFFSET($B653,1*(ROWS(C$2:C653)-1),0)</f>
        <v>0</v>
      </c>
      <c r="D653" s="26">
        <f>Ft!B$3*EXP(Ft!B$38*($A653-Ft!B$2)^2) +Ft!C$3*EXP(Ft!C$38*($A653-Ft!C$2)^2) + Ft!D$3*EXP(Ft!D$38*($A653-Ft!D$2)^2)+Ft!E$3*EXP(Ft!E$38*($A653-Ft!E$2)^2) +Ft!F$3*EXP(Ft!F$38*($A653-Ft!F$2)^2) + Ft!G$3*EXP(Ft!G$38*($A653-Ft!G$2)^2)</f>
        <v>16.754542644881923</v>
      </c>
      <c r="E653" s="26">
        <f>Ft!B$3*EXP(Ft!B$38*($A653-Ft!B$2)^2)</f>
        <v>1.6785772540057539E-201</v>
      </c>
      <c r="F653" s="26">
        <f>Ft!C$3*EXP(Ft!C$38*($A653-Ft!C$2)^2)</f>
        <v>5.0431996210255101E-9</v>
      </c>
      <c r="G653" s="26">
        <f>Ft!D$3*EXP(Ft!D$38*($A653-Ft!D$2)^2)</f>
        <v>9.3425629401470136</v>
      </c>
      <c r="H653" s="26">
        <f>Ft!E$3*EXP(Ft!E$38*($A653-Ft!E$2)^2)</f>
        <v>7.4119796996916847</v>
      </c>
      <c r="I653" s="26">
        <f>Ft!F$3*EXP(Ft!F$38*($A653-Ft!F$2)^2)</f>
        <v>2.4215300968328781E-14</v>
      </c>
      <c r="J653" s="26">
        <f>Ft!G$3*EXP(Ft!G$38*($A653-Ft!G$2)^2)</f>
        <v>3.789468906705118E-64</v>
      </c>
    </row>
    <row r="654" spans="1:10">
      <c r="A654" s="19">
        <v>652</v>
      </c>
      <c r="B654" s="28">
        <v>0.71387491394747826</v>
      </c>
      <c r="C654" s="27">
        <f ca="1">OFFSET($B654,1*(ROWS(C$2:C654)-1),0)</f>
        <v>0</v>
      </c>
      <c r="D654" s="26">
        <f>Ft!B$3*EXP(Ft!B$38*($A654-Ft!B$2)^2) +Ft!C$3*EXP(Ft!C$38*($A654-Ft!C$2)^2) + Ft!D$3*EXP(Ft!D$38*($A654-Ft!D$2)^2)+Ft!E$3*EXP(Ft!E$38*($A654-Ft!E$2)^2) +Ft!F$3*EXP(Ft!F$38*($A654-Ft!F$2)^2) + Ft!G$3*EXP(Ft!G$38*($A654-Ft!G$2)^2)</f>
        <v>16.752686237004443</v>
      </c>
      <c r="E654" s="26">
        <f>Ft!B$3*EXP(Ft!B$38*($A654-Ft!B$2)^2)</f>
        <v>3.6277590187287288E-202</v>
      </c>
      <c r="F654" s="26">
        <f>Ft!C$3*EXP(Ft!C$38*($A654-Ft!C$2)^2)</f>
        <v>4.640234173016288E-9</v>
      </c>
      <c r="G654" s="26">
        <f>Ft!D$3*EXP(Ft!D$38*($A654-Ft!D$2)^2)</f>
        <v>9.276640434667625</v>
      </c>
      <c r="H654" s="26">
        <f>Ft!E$3*EXP(Ft!E$38*($A654-Ft!E$2)^2)</f>
        <v>7.476045797696556</v>
      </c>
      <c r="I654" s="26">
        <f>Ft!F$3*EXP(Ft!F$38*($A654-Ft!F$2)^2)</f>
        <v>2.9223037532554869E-14</v>
      </c>
      <c r="J654" s="26">
        <f>Ft!G$3*EXP(Ft!G$38*($A654-Ft!G$2)^2)</f>
        <v>8.0134961068691991E-64</v>
      </c>
    </row>
    <row r="655" spans="1:10">
      <c r="A655" s="19">
        <v>653</v>
      </c>
      <c r="B655" s="28">
        <v>0.6760270864867266</v>
      </c>
      <c r="C655" s="27">
        <f ca="1">OFFSET($B655,1*(ROWS(C$2:C655)-1),0)</f>
        <v>0</v>
      </c>
      <c r="D655" s="26">
        <f>Ft!B$3*EXP(Ft!B$38*($A655-Ft!B$2)^2) +Ft!C$3*EXP(Ft!C$38*($A655-Ft!C$2)^2) + Ft!D$3*EXP(Ft!D$38*($A655-Ft!D$2)^2)+Ft!E$3*EXP(Ft!E$38*($A655-Ft!E$2)^2) +Ft!F$3*EXP(Ft!F$38*($A655-Ft!F$2)^2) + Ft!G$3*EXP(Ft!G$38*($A655-Ft!G$2)^2)</f>
        <v>16.75113811563201</v>
      </c>
      <c r="E655" s="26">
        <f>Ft!B$3*EXP(Ft!B$38*($A655-Ft!B$2)^2)</f>
        <v>7.8205590099384887E-203</v>
      </c>
      <c r="F655" s="26">
        <f>Ft!C$3*EXP(Ft!C$38*($A655-Ft!C$2)^2)</f>
        <v>4.2687735843970805E-9</v>
      </c>
      <c r="G655" s="26">
        <f>Ft!D$3*EXP(Ft!D$38*($A655-Ft!D$2)^2)</f>
        <v>9.2108520386473316</v>
      </c>
      <c r="H655" s="26">
        <f>Ft!E$3*EXP(Ft!E$38*($A655-Ft!E$2)^2)</f>
        <v>7.5402860727158698</v>
      </c>
      <c r="I655" s="26">
        <f>Ft!F$3*EXP(Ft!F$38*($A655-Ft!F$2)^2)</f>
        <v>3.5247405840715656E-14</v>
      </c>
      <c r="J655" s="26">
        <f>Ft!G$3*EXP(Ft!G$38*($A655-Ft!G$2)^2)</f>
        <v>1.6913751502720722E-63</v>
      </c>
    </row>
    <row r="656" spans="1:10">
      <c r="A656" s="19">
        <v>654</v>
      </c>
      <c r="B656" s="28">
        <v>0.65368201983238805</v>
      </c>
      <c r="C656" s="27">
        <f ca="1">OFFSET($B656,1*(ROWS(C$2:C656)-1),0)</f>
        <v>0</v>
      </c>
      <c r="D656" s="26">
        <f>Ft!B$3*EXP(Ft!B$38*($A656-Ft!B$2)^2) +Ft!C$3*EXP(Ft!C$38*($A656-Ft!C$2)^2) + Ft!D$3*EXP(Ft!D$38*($A656-Ft!D$2)^2)+Ft!E$3*EXP(Ft!E$38*($A656-Ft!E$2)^2) +Ft!F$3*EXP(Ft!F$38*($A656-Ft!F$2)^2) + Ft!G$3*EXP(Ft!G$38*($A656-Ft!G$2)^2)</f>
        <v>16.749897043173132</v>
      </c>
      <c r="E656" s="26">
        <f>Ft!B$3*EXP(Ft!B$38*($A656-Ft!B$2)^2)</f>
        <v>1.6816648026089634E-203</v>
      </c>
      <c r="F656" s="26">
        <f>Ft!C$3*EXP(Ft!C$38*($A656-Ft!C$2)^2)</f>
        <v>3.9264116156865419E-9</v>
      </c>
      <c r="G656" s="26">
        <f>Ft!D$3*EXP(Ft!D$38*($A656-Ft!D$2)^2)</f>
        <v>9.1452015130996447</v>
      </c>
      <c r="H656" s="26">
        <f>Ft!E$3*EXP(Ft!E$38*($A656-Ft!E$2)^2)</f>
        <v>7.6046955261470321</v>
      </c>
      <c r="I656" s="26">
        <f>Ft!F$3*EXP(Ft!F$38*($A656-Ft!F$2)^2)</f>
        <v>4.2490836482275957E-14</v>
      </c>
      <c r="J656" s="26">
        <f>Ft!G$3*EXP(Ft!G$38*($A656-Ft!G$2)^2)</f>
        <v>3.5631334971949479E-63</v>
      </c>
    </row>
    <row r="657" spans="1:10">
      <c r="A657" s="19">
        <v>655</v>
      </c>
      <c r="B657" s="28">
        <v>0.61723162089671746</v>
      </c>
      <c r="C657" s="27">
        <f ca="1">OFFSET($B657,1*(ROWS(C$2:C657)-1),0)</f>
        <v>0</v>
      </c>
      <c r="D657" s="26">
        <f>Ft!B$3*EXP(Ft!B$38*($A657-Ft!B$2)^2) +Ft!C$3*EXP(Ft!C$38*($A657-Ft!C$2)^2) + Ft!D$3*EXP(Ft!D$38*($A657-Ft!D$2)^2)+Ft!E$3*EXP(Ft!E$38*($A657-Ft!E$2)^2) +Ft!F$3*EXP(Ft!F$38*($A657-Ft!F$2)^2) + Ft!G$3*EXP(Ft!G$38*($A657-Ft!G$2)^2)</f>
        <v>16.748961672002668</v>
      </c>
      <c r="E657" s="26">
        <f>Ft!B$3*EXP(Ft!B$38*($A657-Ft!B$2)^2)</f>
        <v>3.6069767406222615E-204</v>
      </c>
      <c r="F657" s="26">
        <f>Ft!C$3*EXP(Ft!C$38*($A657-Ft!C$2)^2)</f>
        <v>3.6109212268833837E-9</v>
      </c>
      <c r="G657" s="26">
        <f>Ft!D$3*EXP(Ft!D$38*($A657-Ft!D$2)^2)</f>
        <v>9.0796925774864885</v>
      </c>
      <c r="H657" s="26">
        <f>Ft!E$3*EXP(Ft!E$38*($A657-Ft!E$2)^2)</f>
        <v>7.6692690909052077</v>
      </c>
      <c r="I657" s="26">
        <f>Ft!F$3*EXP(Ft!F$38*($A657-Ft!F$2)^2)</f>
        <v>5.1195256239047436E-14</v>
      </c>
      <c r="J657" s="26">
        <f>Ft!G$3*EXP(Ft!G$38*($A657-Ft!G$2)^2)</f>
        <v>7.4920121924215299E-63</v>
      </c>
    </row>
    <row r="658" spans="1:10">
      <c r="A658" s="19">
        <v>656</v>
      </c>
      <c r="B658" s="28">
        <v>0.57161239652640461</v>
      </c>
      <c r="C658" s="27">
        <f ca="1">OFFSET($B658,1*(ROWS(C$2:C658)-1),0)</f>
        <v>0</v>
      </c>
      <c r="D658" s="26">
        <f>Ft!B$3*EXP(Ft!B$38*($A658-Ft!B$2)^2) +Ft!C$3*EXP(Ft!C$38*($A658-Ft!C$2)^2) + Ft!D$3*EXP(Ft!D$38*($A658-Ft!D$2)^2)+Ft!E$3*EXP(Ft!E$38*($A658-Ft!E$2)^2) +Ft!F$3*EXP(Ft!F$38*($A658-Ft!F$2)^2) + Ft!G$3*EXP(Ft!G$38*($A658-Ft!G$2)^2)</f>
        <v>16.748330544664835</v>
      </c>
      <c r="E658" s="26">
        <f>Ft!B$3*EXP(Ft!B$38*($A658-Ft!B$2)^2)</f>
        <v>7.7170181090973445E-205</v>
      </c>
      <c r="F658" s="26">
        <f>Ft!C$3*EXP(Ft!C$38*($A658-Ft!C$2)^2)</f>
        <v>3.3202415936006344E-9</v>
      </c>
      <c r="G658" s="26">
        <f>Ft!D$3*EXP(Ft!D$38*($A658-Ft!D$2)^2)</f>
        <v>9.0143289094815771</v>
      </c>
      <c r="H658" s="26">
        <f>Ft!E$3*EXP(Ft!E$38*($A658-Ft!E$2)^2)</f>
        <v>7.7340016318629567</v>
      </c>
      <c r="I658" s="26">
        <f>Ft!F$3*EXP(Ft!F$38*($A658-Ft!F$2)^2)</f>
        <v>6.1649630765784475E-14</v>
      </c>
      <c r="J658" s="26">
        <f>Ft!G$3*EXP(Ft!G$38*($A658-Ft!G$2)^2)</f>
        <v>1.5723133067414471E-62</v>
      </c>
    </row>
    <row r="659" spans="1:10">
      <c r="A659" s="19">
        <v>657</v>
      </c>
      <c r="B659" s="28">
        <v>0.52125471955611147</v>
      </c>
      <c r="C659" s="27">
        <f ca="1">OFFSET($B659,1*(ROWS(C$2:C659)-1),0)</f>
        <v>0</v>
      </c>
      <c r="D659" s="26">
        <f>Ft!B$3*EXP(Ft!B$38*($A659-Ft!B$2)^2) +Ft!C$3*EXP(Ft!C$38*($A659-Ft!C$2)^2) + Ft!D$3*EXP(Ft!D$38*($A659-Ft!D$2)^2)+Ft!E$3*EXP(Ft!E$38*($A659-Ft!E$2)^2) +Ft!F$3*EXP(Ft!F$38*($A659-Ft!F$2)^2) + Ft!G$3*EXP(Ft!G$38*($A659-Ft!G$2)^2)</f>
        <v>16.748002094106301</v>
      </c>
      <c r="E659" s="26">
        <f>Ft!B$3*EXP(Ft!B$38*($A659-Ft!B$2)^2)</f>
        <v>1.6468648763642799E-205</v>
      </c>
      <c r="F659" s="26">
        <f>Ft!C$3*EXP(Ft!C$38*($A659-Ft!C$2)^2)</f>
        <v>3.0524660359944879E-9</v>
      </c>
      <c r="G659" s="26">
        <f>Ft!D$3*EXP(Ft!D$38*($A659-Ft!D$2)^2)</f>
        <v>8.9491141447429374</v>
      </c>
      <c r="H659" s="26">
        <f>Ft!E$3*EXP(Ft!E$38*($A659-Ft!E$2)^2)</f>
        <v>7.7988879463108223</v>
      </c>
      <c r="I659" s="26">
        <f>Ft!F$3*EXP(Ft!F$38*($A659-Ft!F$2)^2)</f>
        <v>7.4198915425589324E-14</v>
      </c>
      <c r="J659" s="26">
        <f>Ft!G$3*EXP(Ft!G$38*($A659-Ft!G$2)^2)</f>
        <v>3.2934717109523089E-62</v>
      </c>
    </row>
    <row r="660" spans="1:10">
      <c r="A660" s="19">
        <v>658</v>
      </c>
      <c r="B660" s="28">
        <v>0.47012508433968492</v>
      </c>
      <c r="C660" s="27">
        <f ca="1">OFFSET($B660,1*(ROWS(C$2:C660)-1),0)</f>
        <v>0</v>
      </c>
      <c r="D660" s="26">
        <f>Ft!B$3*EXP(Ft!B$38*($A660-Ft!B$2)^2) +Ft!C$3*EXP(Ft!C$38*($A660-Ft!C$2)^2) + Ft!D$3*EXP(Ft!D$38*($A660-Ft!D$2)^2)+Ft!E$3*EXP(Ft!E$38*($A660-Ft!E$2)^2) +Ft!F$3*EXP(Ft!F$38*($A660-Ft!F$2)^2) + Ft!G$3*EXP(Ft!G$38*($A660-Ft!G$2)^2)</f>
        <v>16.747974643939422</v>
      </c>
      <c r="E660" s="26">
        <f>Ft!B$3*EXP(Ft!B$38*($A660-Ft!B$2)^2)</f>
        <v>3.5056510556169908E-206</v>
      </c>
      <c r="F660" s="26">
        <f>Ft!C$3*EXP(Ft!C$38*($A660-Ft!C$2)^2)</f>
        <v>2.8058307984290825E-9</v>
      </c>
      <c r="G660" s="26">
        <f>Ft!D$3*EXP(Ft!D$38*($A660-Ft!D$2)^2)</f>
        <v>8.8840518766946062</v>
      </c>
      <c r="H660" s="26">
        <f>Ft!E$3*EXP(Ft!E$38*($A660-Ft!E$2)^2)</f>
        <v>7.8639227644388967</v>
      </c>
      <c r="I660" s="26">
        <f>Ft!F$3*EXP(Ft!F$38*($A660-Ft!F$2)^2)</f>
        <v>8.925467091554677E-14</v>
      </c>
      <c r="J660" s="26">
        <f>Ft!G$3*EXP(Ft!G$38*($A660-Ft!G$2)^2)</f>
        <v>6.8856194701972583E-62</v>
      </c>
    </row>
    <row r="661" spans="1:10">
      <c r="A661" s="19">
        <v>659</v>
      </c>
      <c r="B661" s="28">
        <v>0.43544348804294941</v>
      </c>
      <c r="C661" s="27">
        <f ca="1">OFFSET($B661,1*(ROWS(C$2:C661)-1),0)</f>
        <v>0</v>
      </c>
      <c r="D661" s="26">
        <f>Ft!B$3*EXP(Ft!B$38*($A661-Ft!B$2)^2) +Ft!C$3*EXP(Ft!C$38*($A661-Ft!C$2)^2) + Ft!D$3*EXP(Ft!D$38*($A661-Ft!D$2)^2)+Ft!E$3*EXP(Ft!E$38*($A661-Ft!E$2)^2) +Ft!F$3*EXP(Ft!F$38*($A661-Ft!F$2)^2) + Ft!G$3*EXP(Ft!G$38*($A661-Ft!G$2)^2)</f>
        <v>16.748246408735653</v>
      </c>
      <c r="E661" s="26">
        <f>Ft!B$3*EXP(Ft!B$38*($A661-Ft!B$2)^2)</f>
        <v>7.4435767983659641E-207</v>
      </c>
      <c r="F661" s="26">
        <f>Ft!C$3*EXP(Ft!C$38*($A661-Ft!C$2)^2)</f>
        <v>2.578704621880874E-9</v>
      </c>
      <c r="G661" s="26">
        <f>Ft!D$3*EXP(Ft!D$38*($A661-Ft!D$2)^2)</f>
        <v>8.8191456563174437</v>
      </c>
      <c r="H661" s="26">
        <f>Ft!E$3*EXP(Ft!E$38*($A661-Ft!E$2)^2)</f>
        <v>7.9291007498393968</v>
      </c>
      <c r="I661" s="26">
        <f>Ft!F$3*EXP(Ft!F$38*($A661-Ft!F$2)^2)</f>
        <v>1.0730764590263465E-13</v>
      </c>
      <c r="J661" s="26">
        <f>Ft!G$3*EXP(Ft!G$38*($A661-Ft!G$2)^2)</f>
        <v>1.4368331244724946E-61</v>
      </c>
    </row>
    <row r="662" spans="1:10">
      <c r="A662" s="19">
        <v>660</v>
      </c>
      <c r="B662" s="28">
        <v>0.3984439894373395</v>
      </c>
      <c r="C662" s="27">
        <f ca="1">OFFSET($B662,1*(ROWS(C$2:C662)-1),0)</f>
        <v>0</v>
      </c>
      <c r="D662" s="26">
        <f>Ft!B$3*EXP(Ft!B$38*($A662-Ft!B$2)^2) +Ft!C$3*EXP(Ft!C$38*($A662-Ft!C$2)^2) + Ft!D$3*EXP(Ft!D$38*($A662-Ft!D$2)^2)+Ft!E$3*EXP(Ft!E$38*($A662-Ft!E$2)^2) +Ft!F$3*EXP(Ft!F$38*($A662-Ft!F$2)^2) + Ft!G$3*EXP(Ft!G$38*($A662-Ft!G$2)^2)</f>
        <v>16.748815494349074</v>
      </c>
      <c r="E662" s="26">
        <f>Ft!B$3*EXP(Ft!B$38*($A662-Ft!B$2)^2)</f>
        <v>1.5765107338113557E-207</v>
      </c>
      <c r="F662" s="26">
        <f>Ft!C$3*EXP(Ft!C$38*($A662-Ft!C$2)^2)</f>
        <v>2.3695790548959134E-9</v>
      </c>
      <c r="G662" s="26">
        <f>Ft!D$3*EXP(Ft!D$38*($A662-Ft!D$2)^2)</f>
        <v>8.7543989919490937</v>
      </c>
      <c r="H662" s="26">
        <f>Ft!E$3*EXP(Ft!E$38*($A662-Ft!E$2)^2)</f>
        <v>7.9944165000302752</v>
      </c>
      <c r="I662" s="26">
        <f>Ft!F$3*EXP(Ft!F$38*($A662-Ft!F$2)^2)</f>
        <v>1.2894268235105478E-13</v>
      </c>
      <c r="J662" s="26">
        <f>Ft!G$3*EXP(Ft!G$38*($A662-Ft!G$2)^2)</f>
        <v>2.9925669702119459E-61</v>
      </c>
    </row>
    <row r="663" spans="1:10">
      <c r="A663" s="19">
        <v>661</v>
      </c>
      <c r="B663" s="28">
        <v>0.36236894567224454</v>
      </c>
      <c r="C663" s="27">
        <f ca="1">OFFSET($B663,1*(ROWS(C$2:C663)-1),0)</f>
        <v>0</v>
      </c>
      <c r="D663" s="26">
        <f>Ft!B$3*EXP(Ft!B$38*($A663-Ft!B$2)^2) +Ft!C$3*EXP(Ft!C$38*($A663-Ft!C$2)^2) + Ft!D$3*EXP(Ft!D$38*($A663-Ft!D$2)^2)+Ft!E$3*EXP(Ft!E$38*($A663-Ft!E$2)^2) +Ft!F$3*EXP(Ft!F$38*($A663-Ft!F$2)^2) + Ft!G$3*EXP(Ft!G$38*($A663-Ft!G$2)^2)</f>
        <v>16.749679898270116</v>
      </c>
      <c r="E663" s="26">
        <f>Ft!B$3*EXP(Ft!B$38*($A663-Ft!B$2)^2)</f>
        <v>3.3305385186558322E-208</v>
      </c>
      <c r="F663" s="26">
        <f>Ft!C$3*EXP(Ft!C$38*($A663-Ft!C$2)^2)</f>
        <v>2.1770594524812206E-9</v>
      </c>
      <c r="G663" s="26">
        <f>Ft!D$3*EXP(Ft!D$38*($A663-Ft!D$2)^2)</f>
        <v>8.6898153490930046</v>
      </c>
      <c r="H663" s="26">
        <f>Ft!E$3*EXP(Ft!E$38*($A663-Ft!E$2)^2)</f>
        <v>8.0598645469998953</v>
      </c>
      <c r="I663" s="26">
        <f>Ft!F$3*EXP(Ft!F$38*($A663-Ft!F$2)^2)</f>
        <v>1.548563618806831E-13</v>
      </c>
      <c r="J663" s="26">
        <f>Ft!G$3*EXP(Ft!G$38*($A663-Ft!G$2)^2)</f>
        <v>6.2209349176905061E-61</v>
      </c>
    </row>
    <row r="664" spans="1:10">
      <c r="A664" s="19">
        <v>662</v>
      </c>
      <c r="B664" s="28">
        <v>0.32828284781126627</v>
      </c>
      <c r="C664" s="27">
        <f ca="1">OFFSET($B664,1*(ROWS(C$2:C664)-1),0)</f>
        <v>0</v>
      </c>
      <c r="D664" s="26">
        <f>Ft!B$3*EXP(Ft!B$38*($A664-Ft!B$2)^2) +Ft!C$3*EXP(Ft!C$38*($A664-Ft!C$2)^2) + Ft!D$3*EXP(Ft!D$38*($A664-Ft!D$2)^2)+Ft!E$3*EXP(Ft!E$38*($A664-Ft!E$2)^2) +Ft!F$3*EXP(Ft!F$38*($A664-Ft!F$2)^2) + Ft!G$3*EXP(Ft!G$38*($A664-Ft!G$2)^2)</f>
        <v>16.750837510009326</v>
      </c>
      <c r="E664" s="26">
        <f>Ft!B$3*EXP(Ft!B$38*($A664-Ft!B$2)^2)</f>
        <v>7.0183376755982107E-209</v>
      </c>
      <c r="F664" s="26">
        <f>Ft!C$3*EXP(Ft!C$38*($A664-Ft!C$2)^2)</f>
        <v>1.9998566156557401E-9</v>
      </c>
      <c r="G664" s="26">
        <f>Ft!D$3*EXP(Ft!D$38*($A664-Ft!D$2)^2)</f>
        <v>8.625398150236542</v>
      </c>
      <c r="H664" s="26">
        <f>Ft!E$3*EXP(Ft!E$38*($A664-Ft!E$2)^2)</f>
        <v>8.1254393577727413</v>
      </c>
      <c r="I664" s="26">
        <f>Ft!F$3*EXP(Ft!F$38*($A664-Ft!F$2)^2)</f>
        <v>1.8587788488769116E-13</v>
      </c>
      <c r="J664" s="26">
        <f>Ft!G$3*EXP(Ft!G$38*($A664-Ft!G$2)^2)</f>
        <v>1.2907486234279351E-60</v>
      </c>
    </row>
    <row r="665" spans="1:10">
      <c r="A665" s="19">
        <v>663</v>
      </c>
      <c r="B665" s="28">
        <v>0.29925656398742717</v>
      </c>
      <c r="C665" s="27">
        <f ca="1">OFFSET($B665,1*(ROWS(C$2:C665)-1),0)</f>
        <v>0</v>
      </c>
      <c r="D665" s="26">
        <f>Ft!B$3*EXP(Ft!B$38*($A665-Ft!B$2)^2) +Ft!C$3*EXP(Ft!C$38*($A665-Ft!C$2)^2) + Ft!D$3*EXP(Ft!D$38*($A665-Ft!D$2)^2)+Ft!E$3*EXP(Ft!E$38*($A665-Ft!E$2)^2) +Ft!F$3*EXP(Ft!F$38*($A665-Ft!F$2)^2) + Ft!G$3*EXP(Ft!G$38*($A665-Ft!G$2)^2)</f>
        <v>16.752286111511346</v>
      </c>
      <c r="E665" s="26">
        <f>Ft!B$3*EXP(Ft!B$38*($A665-Ft!B$2)^2)</f>
        <v>1.4752184283884532E-209</v>
      </c>
      <c r="F665" s="26">
        <f>Ft!C$3*EXP(Ft!C$38*($A665-Ft!C$2)^2)</f>
        <v>1.8367790275178607E-9</v>
      </c>
      <c r="G665" s="26">
        <f>Ft!D$3*EXP(Ft!D$38*($A665-Ft!D$2)^2)</f>
        <v>8.5611507746781204</v>
      </c>
      <c r="H665" s="26">
        <f>Ft!E$3*EXP(Ft!E$38*($A665-Ft!E$2)^2)</f>
        <v>8.1911353349962219</v>
      </c>
      <c r="I665" s="26">
        <f>Ft!F$3*EXP(Ft!F$38*($A665-Ft!F$2)^2)</f>
        <v>2.2299376006600264E-13</v>
      </c>
      <c r="J665" s="26">
        <f>Ft!G$3*EXP(Ft!G$38*($A665-Ft!G$2)^2)</f>
        <v>2.6730182030455187E-60</v>
      </c>
    </row>
    <row r="666" spans="1:10">
      <c r="A666" s="19">
        <v>664</v>
      </c>
      <c r="B666" s="28">
        <v>0.28441712144260123</v>
      </c>
      <c r="C666" s="27">
        <f ca="1">OFFSET($B666,1*(ROWS(C$2:C666)-1),0)</f>
        <v>0</v>
      </c>
      <c r="D666" s="26">
        <f>Ft!B$3*EXP(Ft!B$38*($A666-Ft!B$2)^2) +Ft!C$3*EXP(Ft!C$38*($A666-Ft!C$2)^2) + Ft!D$3*EXP(Ft!D$38*($A666-Ft!D$2)^2)+Ft!E$3*EXP(Ft!E$38*($A666-Ft!E$2)^2) +Ft!F$3*EXP(Ft!F$38*($A666-Ft!F$2)^2) + Ft!G$3*EXP(Ft!G$38*($A666-Ft!G$2)^2)</f>
        <v>16.754023377598873</v>
      </c>
      <c r="E666" s="26">
        <f>Ft!B$3*EXP(Ft!B$38*($A666-Ft!B$2)^2)</f>
        <v>3.0930053298114654E-210</v>
      </c>
      <c r="F666" s="26">
        <f>Ft!C$3*EXP(Ft!C$38*($A666-Ft!C$2)^2)</f>
        <v>1.6867256446195854E-9</v>
      </c>
      <c r="G666" s="26">
        <f>Ft!D$3*EXP(Ft!D$38*($A666-Ft!D$2)^2)</f>
        <v>8.4970765583633785</v>
      </c>
      <c r="H666" s="26">
        <f>Ft!E$3*EXP(Ft!E$38*($A666-Ft!E$2)^2)</f>
        <v>8.2569468175485028</v>
      </c>
      <c r="I666" s="26">
        <f>Ft!F$3*EXP(Ft!F$38*($A666-Ft!F$2)^2)</f>
        <v>2.6737698246216426E-13</v>
      </c>
      <c r="J666" s="26">
        <f>Ft!G$3*EXP(Ft!G$38*($A666-Ft!G$2)^2)</f>
        <v>5.5250523209673047E-60</v>
      </c>
    </row>
    <row r="667" spans="1:10">
      <c r="A667" s="19">
        <v>665</v>
      </c>
      <c r="B667" s="28">
        <v>0.28617152582125982</v>
      </c>
      <c r="C667" s="27">
        <f ca="1">OFFSET($B667,1*(ROWS(C$2:C667)-1),0)</f>
        <v>0</v>
      </c>
      <c r="D667" s="26">
        <f>Ft!B$3*EXP(Ft!B$38*($A667-Ft!B$2)^2) +Ft!C$3*EXP(Ft!C$38*($A667-Ft!C$2)^2) + Ft!D$3*EXP(Ft!D$38*($A667-Ft!D$2)^2)+Ft!E$3*EXP(Ft!E$38*($A667-Ft!E$2)^2) +Ft!F$3*EXP(Ft!F$38*($A667-Ft!F$2)^2) + Ft!G$3*EXP(Ft!G$38*($A667-Ft!G$2)^2)</f>
        <v>16.756046876446703</v>
      </c>
      <c r="E667" s="26">
        <f>Ft!B$3*EXP(Ft!B$38*($A667-Ft!B$2)^2)</f>
        <v>6.4685550428067E-211</v>
      </c>
      <c r="F667" s="26">
        <f>Ft!C$3*EXP(Ft!C$38*($A667-Ft!C$2)^2)</f>
        <v>1.548679205183085E-9</v>
      </c>
      <c r="G667" s="26">
        <f>Ft!D$3*EXP(Ft!D$38*($A667-Ft!D$2)^2)</f>
        <v>8.4331787937302867</v>
      </c>
      <c r="H667" s="26">
        <f>Ft!E$3*EXP(Ft!E$38*($A667-Ft!E$2)^2)</f>
        <v>8.3228680811674174</v>
      </c>
      <c r="I667" s="26">
        <f>Ft!F$3*EXP(Ft!F$38*($A667-Ft!F$2)^2)</f>
        <v>3.2042149567766229E-13</v>
      </c>
      <c r="J667" s="26">
        <f>Ft!G$3*EXP(Ft!G$38*($A667-Ft!G$2)^2)</f>
        <v>1.1398431846715554E-59</v>
      </c>
    </row>
    <row r="668" spans="1:10">
      <c r="A668" s="19">
        <v>666</v>
      </c>
      <c r="B668" s="28">
        <v>0.26003628025463854</v>
      </c>
      <c r="C668" s="27">
        <f ca="1">OFFSET($B668,1*(ROWS(C$2:C668)-1),0)</f>
        <v>0</v>
      </c>
      <c r="D668" s="26">
        <f>Ft!B$3*EXP(Ft!B$38*($A668-Ft!B$2)^2) +Ft!C$3*EXP(Ft!C$38*($A668-Ft!C$2)^2) + Ft!D$3*EXP(Ft!D$38*($A668-Ft!D$2)^2)+Ft!E$3*EXP(Ft!E$38*($A668-Ft!E$2)^2) +Ft!F$3*EXP(Ft!F$38*($A668-Ft!F$2)^2) + Ft!G$3*EXP(Ft!G$38*($A668-Ft!G$2)^2)</f>
        <v>16.75835407008568</v>
      </c>
      <c r="E668" s="26">
        <f>Ft!B$3*EXP(Ft!B$38*($A668-Ft!B$2)^2)</f>
        <v>1.3493858693058862E-211</v>
      </c>
      <c r="F668" s="26">
        <f>Ft!C$3*EXP(Ft!C$38*($A668-Ft!C$2)^2)</f>
        <v>1.4217000182659623E-9</v>
      </c>
      <c r="G668" s="26">
        <f>Ft!D$3*EXP(Ft!D$38*($A668-Ft!D$2)^2)</f>
        <v>8.3694607295632384</v>
      </c>
      <c r="H668" s="26">
        <f>Ft!E$3*EXP(Ft!E$38*($A668-Ft!E$2)^2)</f>
        <v>8.3888933391003597</v>
      </c>
      <c r="I668" s="26">
        <f>Ft!F$3*EXP(Ft!F$38*($A668-Ft!F$2)^2)</f>
        <v>3.8378287108488883E-13</v>
      </c>
      <c r="J668" s="26">
        <f>Ft!G$3*EXP(Ft!G$38*($A668-Ft!G$2)^2)</f>
        <v>2.3470808590303542E-59</v>
      </c>
    </row>
    <row r="669" spans="1:10">
      <c r="A669" s="19">
        <v>667</v>
      </c>
      <c r="B669" s="28">
        <v>0.24079801664422007</v>
      </c>
      <c r="C669" s="27">
        <f ca="1">OFFSET($B669,1*(ROWS(C$2:C669)-1),0)</f>
        <v>0</v>
      </c>
      <c r="D669" s="26">
        <f>Ft!B$3*EXP(Ft!B$38*($A669-Ft!B$2)^2) +Ft!C$3*EXP(Ft!C$38*($A669-Ft!C$2)^2) + Ft!D$3*EXP(Ft!D$38*($A669-Ft!D$2)^2)+Ft!E$3*EXP(Ft!E$38*($A669-Ft!E$2)^2) +Ft!F$3*EXP(Ft!F$38*($A669-Ft!F$2)^2) + Ft!G$3*EXP(Ft!G$38*($A669-Ft!G$2)^2)</f>
        <v>16.760942314936635</v>
      </c>
      <c r="E669" s="26">
        <f>Ft!B$3*EXP(Ft!B$38*($A669-Ft!B$2)^2)</f>
        <v>2.8078073597558199E-212</v>
      </c>
      <c r="F669" s="26">
        <f>Ft!C$3*EXP(Ft!C$38*($A669-Ft!C$2)^2)</f>
        <v>1.3049202003868287E-9</v>
      </c>
      <c r="G669" s="26">
        <f>Ft!D$3*EXP(Ft!D$38*($A669-Ft!D$2)^2)</f>
        <v>8.3059255708560364</v>
      </c>
      <c r="H669" s="26">
        <f>Ft!E$3*EXP(Ft!E$38*($A669-Ft!E$2)^2)</f>
        <v>8.4550167427752196</v>
      </c>
      <c r="I669" s="26">
        <f>Ft!F$3*EXP(Ft!F$38*($A669-Ft!F$2)^2)</f>
        <v>4.5942629716998124E-13</v>
      </c>
      <c r="J669" s="26">
        <f>Ft!G$3*EXP(Ft!G$38*($A669-Ft!G$2)^2)</f>
        <v>4.8237548647609495E-59</v>
      </c>
    </row>
    <row r="670" spans="1:10">
      <c r="A670" s="19">
        <v>668</v>
      </c>
      <c r="B670" s="28">
        <v>0.24947691697451546</v>
      </c>
      <c r="C670" s="27">
        <f ca="1">OFFSET($B670,1*(ROWS(C$2:C670)-1),0)</f>
        <v>0</v>
      </c>
      <c r="D670" s="26">
        <f>Ft!B$3*EXP(Ft!B$38*($A670-Ft!B$2)^2) +Ft!C$3*EXP(Ft!C$38*($A670-Ft!C$2)^2) + Ft!D$3*EXP(Ft!D$38*($A670-Ft!D$2)^2)+Ft!E$3*EXP(Ft!E$38*($A670-Ft!E$2)^2) +Ft!F$3*EXP(Ft!F$38*($A670-Ft!F$2)^2) + Ft!G$3*EXP(Ft!G$38*($A670-Ft!G$2)^2)</f>
        <v>16.763808862374081</v>
      </c>
      <c r="E670" s="26">
        <f>Ft!B$3*EXP(Ft!B$38*($A670-Ft!B$2)^2)</f>
        <v>5.827747522604911E-213</v>
      </c>
      <c r="F670" s="26">
        <f>Ft!C$3*EXP(Ft!C$38*($A670-Ft!C$2)^2)</f>
        <v>1.1975383283734939E-9</v>
      </c>
      <c r="G670" s="26">
        <f>Ft!D$3*EXP(Ft!D$38*($A670-Ft!D$2)^2)</f>
        <v>8.2425764786837536</v>
      </c>
      <c r="H670" s="26">
        <f>Ft!E$3*EXP(Ft!E$38*($A670-Ft!E$2)^2)</f>
        <v>8.5212323824922365</v>
      </c>
      <c r="I670" s="26">
        <f>Ft!F$3*EXP(Ft!F$38*($A670-Ft!F$2)^2)</f>
        <v>5.4968315908933596E-13</v>
      </c>
      <c r="J670" s="26">
        <f>Ft!G$3*EXP(Ft!G$38*($A670-Ft!G$2)^2)</f>
        <v>9.8950191827929626E-59</v>
      </c>
    </row>
    <row r="671" spans="1:10">
      <c r="A671" s="19">
        <v>669</v>
      </c>
      <c r="B671" s="28">
        <v>0.26454134276579566</v>
      </c>
      <c r="C671" s="27">
        <f ca="1">OFFSET($B671,1*(ROWS(C$2:C671)-1),0)</f>
        <v>0</v>
      </c>
      <c r="D671" s="26">
        <f>Ft!B$3*EXP(Ft!B$38*($A671-Ft!B$2)^2) +Ft!C$3*EXP(Ft!C$38*($A671-Ft!C$2)^2) + Ft!D$3*EXP(Ft!D$38*($A671-Ft!D$2)^2)+Ft!E$3*EXP(Ft!E$38*($A671-Ft!E$2)^2) +Ft!F$3*EXP(Ft!F$38*($A671-Ft!F$2)^2) + Ft!G$3*EXP(Ft!G$38*($A671-Ft!G$2)^2)</f>
        <v>16.766950859319689</v>
      </c>
      <c r="E671" s="26">
        <f>Ft!B$3*EXP(Ft!B$38*($A671-Ft!B$2)^2)</f>
        <v>1.2065252606124684E-213</v>
      </c>
      <c r="F671" s="26">
        <f>Ft!C$3*EXP(Ft!C$38*($A671-Ft!C$2)^2)</f>
        <v>1.098814479301429E-9</v>
      </c>
      <c r="G671" s="26">
        <f>Ft!D$3*EXP(Ft!D$38*($A671-Ft!D$2)^2)</f>
        <v>8.1794165700834203</v>
      </c>
      <c r="H671" s="26">
        <f>Ft!E$3*EXP(Ft!E$38*($A671-Ft!E$2)^2)</f>
        <v>8.587534288136796</v>
      </c>
      <c r="I671" s="26">
        <f>Ft!F$3*EXP(Ft!F$38*($A671-Ft!F$2)^2)</f>
        <v>6.5731770654357971E-13</v>
      </c>
      <c r="J671" s="26">
        <f>Ft!G$3*EXP(Ft!G$38*($A671-Ft!G$2)^2)</f>
        <v>2.0259199654312755E-58</v>
      </c>
    </row>
    <row r="672" spans="1:10">
      <c r="A672" s="19">
        <v>670</v>
      </c>
      <c r="B672" s="28">
        <v>0.25037827357076026</v>
      </c>
      <c r="C672" s="27">
        <f ca="1">OFFSET($B672,1*(ROWS(C$2:C672)-1),0)</f>
        <v>0</v>
      </c>
      <c r="D672" s="26">
        <f>Ft!B$3*EXP(Ft!B$38*($A672-Ft!B$2)^2) +Ft!C$3*EXP(Ft!C$38*($A672-Ft!C$2)^2) + Ft!D$3*EXP(Ft!D$38*($A672-Ft!D$2)^2)+Ft!E$3*EXP(Ft!E$38*($A672-Ft!E$2)^2) +Ft!F$3*EXP(Ft!F$38*($A672-Ft!F$2)^2) + Ft!G$3*EXP(Ft!G$38*($A672-Ft!G$2)^2)</f>
        <v>16.770365348865447</v>
      </c>
      <c r="E672" s="26">
        <f>Ft!B$3*EXP(Ft!B$38*($A672-Ft!B$2)^2)</f>
        <v>2.4915773822996283E-214</v>
      </c>
      <c r="F672" s="26">
        <f>Ft!C$3*EXP(Ft!C$38*($A672-Ft!C$2)^2)</f>
        <v>1.0080656303590518E-9</v>
      </c>
      <c r="G672" s="26">
        <f>Ft!D$3*EXP(Ft!D$38*($A672-Ft!D$2)^2)</f>
        <v>8.1164489179435115</v>
      </c>
      <c r="H672" s="26">
        <f>Ft!E$3*EXP(Ft!E$38*($A672-Ft!E$2)^2)</f>
        <v>8.6539164299130853</v>
      </c>
      <c r="I672" s="26">
        <f>Ft!F$3*EXP(Ft!F$38*($A672-Ft!F$2)^2)</f>
        <v>7.856055621227823E-13</v>
      </c>
      <c r="J672" s="26">
        <f>Ft!G$3*EXP(Ft!G$38*($A672-Ft!G$2)^2)</f>
        <v>4.1400173523924326E-58</v>
      </c>
    </row>
    <row r="673" spans="1:10">
      <c r="A673" s="19">
        <v>671</v>
      </c>
      <c r="B673" s="28">
        <v>0.23455165235830577</v>
      </c>
      <c r="C673" s="27">
        <f ca="1">OFFSET($B673,1*(ROWS(C$2:C673)-1),0)</f>
        <v>0</v>
      </c>
      <c r="D673" s="26">
        <f>Ft!B$3*EXP(Ft!B$38*($A673-Ft!B$2)^2) +Ft!C$3*EXP(Ft!C$38*($A673-Ft!C$2)^2) + Ft!D$3*EXP(Ft!D$38*($A673-Ft!D$2)^2)+Ft!E$3*EXP(Ft!E$38*($A673-Ft!E$2)^2) +Ft!F$3*EXP(Ft!F$38*($A673-Ft!F$2)^2) + Ft!G$3*EXP(Ft!G$38*($A673-Ft!G$2)^2)</f>
        <v>16.774049270926323</v>
      </c>
      <c r="E673" s="26">
        <f>Ft!B$3*EXP(Ft!B$38*($A673-Ft!B$2)^2)</f>
        <v>5.1323304479689219E-215</v>
      </c>
      <c r="F673" s="26">
        <f>Ft!C$3*EXP(Ft!C$38*($A673-Ft!C$2)^2)</f>
        <v>9.2466139331772515E-10</v>
      </c>
      <c r="G673" s="26">
        <f>Ft!D$3*EXP(Ft!D$38*($A673-Ft!D$2)^2)</f>
        <v>8.0536765509021784</v>
      </c>
      <c r="H673" s="26">
        <f>Ft!E$3*EXP(Ft!E$38*($A673-Ft!E$2)^2)</f>
        <v>8.7203727190985454</v>
      </c>
      <c r="I673" s="26">
        <f>Ft!F$3*EXP(Ft!F$38*($A673-Ft!F$2)^2)</f>
        <v>9.3842611812366782E-13</v>
      </c>
      <c r="J673" s="26">
        <f>Ft!G$3*EXP(Ft!G$38*($A673-Ft!G$2)^2)</f>
        <v>8.4441564557569276E-58</v>
      </c>
    </row>
    <row r="674" spans="1:10">
      <c r="A674" s="19">
        <v>672</v>
      </c>
      <c r="B674" s="28">
        <v>0.22501574242667743</v>
      </c>
      <c r="C674" s="27">
        <f ca="1">OFFSET($B674,1*(ROWS(C$2:C674)-1),0)</f>
        <v>0</v>
      </c>
      <c r="D674" s="26">
        <f>Ft!B$3*EXP(Ft!B$38*($A674-Ft!B$2)^2) +Ft!C$3*EXP(Ft!C$38*($A674-Ft!C$2)^2) + Ft!D$3*EXP(Ft!D$38*($A674-Ft!D$2)^2)+Ft!E$3*EXP(Ft!E$38*($A674-Ft!E$2)^2) +Ft!F$3*EXP(Ft!F$38*($A674-Ft!F$2)^2) + Ft!G$3*EXP(Ft!G$38*($A674-Ft!G$2)^2)</f>
        <v>16.777999462922406</v>
      </c>
      <c r="E674" s="26">
        <f>Ft!B$3*EXP(Ft!B$38*($A674-Ft!B$2)^2)</f>
        <v>1.0545255633562256E-215</v>
      </c>
      <c r="F674" s="26">
        <f>Ft!C$3*EXP(Ft!C$38*($A674-Ft!C$2)^2)</f>
        <v>8.4802006000511404E-10</v>
      </c>
      <c r="G674" s="26">
        <f>Ft!D$3*EXP(Ft!D$38*($A674-Ft!D$2)^2)</f>
        <v>7.991102453254177</v>
      </c>
      <c r="H674" s="26">
        <f>Ft!E$3*EXP(Ft!E$38*($A674-Ft!E$2)^2)</f>
        <v>8.7868970088190874</v>
      </c>
      <c r="I674" s="26">
        <f>Ft!F$3*EXP(Ft!F$38*($A674-Ft!F$2)^2)</f>
        <v>1.1203712141361951E-12</v>
      </c>
      <c r="J674" s="26">
        <f>Ft!G$3*EXP(Ft!G$38*($A674-Ft!G$2)^2)</f>
        <v>1.71903458588541E-57</v>
      </c>
    </row>
    <row r="675" spans="1:10">
      <c r="A675" s="19">
        <v>673</v>
      </c>
      <c r="B675" s="28">
        <v>0.20981136314281912</v>
      </c>
      <c r="C675" s="27">
        <f ca="1">OFFSET($B675,1*(ROWS(C$2:C675)-1),0)</f>
        <v>0</v>
      </c>
      <c r="D675" s="26">
        <f>Ft!B$3*EXP(Ft!B$38*($A675-Ft!B$2)^2) +Ft!C$3*EXP(Ft!C$38*($A675-Ft!C$2)^2) + Ft!D$3*EXP(Ft!D$38*($A675-Ft!D$2)^2)+Ft!E$3*EXP(Ft!E$38*($A675-Ft!E$2)^2) +Ft!F$3*EXP(Ft!F$38*($A675-Ft!F$2)^2) + Ft!G$3*EXP(Ft!G$38*($A675-Ft!G$2)^2)</f>
        <v>16.782212660490337</v>
      </c>
      <c r="E675" s="26">
        <f>Ft!B$3*EXP(Ft!B$38*($A675-Ft!B$2)^2)</f>
        <v>2.1612344606569168E-216</v>
      </c>
      <c r="F675" s="26">
        <f>Ft!C$3*EXP(Ft!C$38*($A675-Ft!C$2)^2)</f>
        <v>7.7760493678950738E-10</v>
      </c>
      <c r="G675" s="26">
        <f>Ft!D$3*EXP(Ft!D$38*($A675-Ft!D$2)^2)</f>
        <v>7.9287295648664644</v>
      </c>
      <c r="H675" s="26">
        <f>Ft!E$3*EXP(Ft!E$38*($A675-Ft!E$2)^2)</f>
        <v>8.8534830948449343</v>
      </c>
      <c r="I675" s="26">
        <f>Ft!F$3*EXP(Ft!F$38*($A675-Ft!F$2)^2)</f>
        <v>1.3368728881176006E-12</v>
      </c>
      <c r="J675" s="26">
        <f>Ft!G$3*EXP(Ft!G$38*($A675-Ft!G$2)^2)</f>
        <v>3.4929083517360594E-57</v>
      </c>
    </row>
    <row r="676" spans="1:10">
      <c r="A676" s="19">
        <v>674</v>
      </c>
      <c r="B676" s="28">
        <v>0.21234658109906945</v>
      </c>
      <c r="C676" s="27">
        <f ca="1">OFFSET($B676,1*(ROWS(C$2:C676)-1),0)</f>
        <v>0</v>
      </c>
      <c r="D676" s="26">
        <f>Ft!B$3*EXP(Ft!B$38*($A676-Ft!B$2)^2) +Ft!C$3*EXP(Ft!C$38*($A676-Ft!C$2)^2) + Ft!D$3*EXP(Ft!D$38*($A676-Ft!D$2)^2)+Ft!E$3*EXP(Ft!E$38*($A676-Ft!E$2)^2) +Ft!F$3*EXP(Ft!F$38*($A676-Ft!F$2)^2) + Ft!G$3*EXP(Ft!G$38*($A676-Ft!G$2)^2)</f>
        <v>16.786685498224003</v>
      </c>
      <c r="E676" s="26">
        <f>Ft!B$3*EXP(Ft!B$38*($A676-Ft!B$2)^2)</f>
        <v>4.4182361573360505E-217</v>
      </c>
      <c r="F676" s="26">
        <f>Ft!C$3*EXP(Ft!C$38*($A676-Ft!C$2)^2)</f>
        <v>7.1292094758561525E-10</v>
      </c>
      <c r="G676" s="26">
        <f>Ft!D$3*EXP(Ft!D$38*($A676-Ft!D$2)^2)</f>
        <v>7.8665607811023959</v>
      </c>
      <c r="H676" s="26">
        <f>Ft!E$3*EXP(Ft!E$38*($A676-Ft!E$2)^2)</f>
        <v>8.9201247164070914</v>
      </c>
      <c r="I676" s="26">
        <f>Ft!F$3*EXP(Ft!F$38*($A676-Ft!F$2)^2)</f>
        <v>1.5943534590625685E-12</v>
      </c>
      <c r="J676" s="26">
        <f>Ft!G$3*EXP(Ft!G$38*($A676-Ft!G$2)^2)</f>
        <v>7.0837626261120777E-57</v>
      </c>
    </row>
    <row r="677" spans="1:10">
      <c r="A677" s="19">
        <v>675</v>
      </c>
      <c r="B677" s="28">
        <v>0.2046228575224518</v>
      </c>
      <c r="C677" s="27">
        <f ca="1">OFFSET($B677,1*(ROWS(C$2:C677)-1),0)</f>
        <v>0</v>
      </c>
      <c r="D677" s="26">
        <f>Ft!B$3*EXP(Ft!B$38*($A677-Ft!B$2)^2) +Ft!C$3*EXP(Ft!C$38*($A677-Ft!C$2)^2) + Ft!D$3*EXP(Ft!D$38*($A677-Ft!D$2)^2)+Ft!E$3*EXP(Ft!E$38*($A677-Ft!E$2)^2) +Ft!F$3*EXP(Ft!F$38*($A677-Ft!F$2)^2) + Ft!G$3*EXP(Ft!G$38*($A677-Ft!G$2)^2)</f>
        <v>16.791414510444145</v>
      </c>
      <c r="E677" s="26">
        <f>Ft!B$3*EXP(Ft!B$38*($A677-Ft!B$2)^2)</f>
        <v>9.0094491292669949E-218</v>
      </c>
      <c r="F677" s="26">
        <f>Ft!C$3*EXP(Ft!C$38*($A677-Ft!C$2)^2)</f>
        <v>6.5351148629674711E-10</v>
      </c>
      <c r="G677" s="26">
        <f>Ft!D$3*EXP(Ft!D$38*($A677-Ft!D$2)^2)</f>
        <v>7.8045989527544704</v>
      </c>
      <c r="H677" s="26">
        <f>Ft!E$3*EXP(Ft!E$38*($A677-Ft!E$2)^2)</f>
        <v>8.986815557034264</v>
      </c>
      <c r="I677" s="26">
        <f>Ft!F$3*EXP(Ft!F$38*($A677-Ft!F$2)^2)</f>
        <v>1.9004017399271665E-12</v>
      </c>
      <c r="J677" s="26">
        <f>Ft!G$3*EXP(Ft!G$38*($A677-Ft!G$2)^2)</f>
        <v>1.433887378281297E-56</v>
      </c>
    </row>
    <row r="678" spans="1:10">
      <c r="A678" s="19"/>
      <c r="B678" s="28"/>
      <c r="C678" s="27"/>
      <c r="D678" s="26"/>
      <c r="E678" s="26"/>
      <c r="F678" s="26"/>
      <c r="G678" s="26"/>
      <c r="H678" s="26"/>
      <c r="I678" s="26"/>
    </row>
    <row r="679" spans="1:10">
      <c r="A679" s="21"/>
      <c r="B679" s="21"/>
      <c r="D679" s="26"/>
      <c r="E679" s="26"/>
      <c r="F679" s="26"/>
      <c r="G679" s="26"/>
      <c r="H679" s="26"/>
      <c r="I679" s="26"/>
    </row>
    <row r="680" spans="1:10">
      <c r="A680" s="21"/>
      <c r="B680" s="21"/>
      <c r="D680" s="26"/>
      <c r="E680" s="26"/>
      <c r="F680" s="26"/>
      <c r="G680" s="26"/>
      <c r="H680" s="26"/>
      <c r="I680" s="26"/>
    </row>
    <row r="681" spans="1:10">
      <c r="A681" s="21"/>
      <c r="B681" s="21"/>
      <c r="D681" s="26"/>
      <c r="E681" s="26"/>
      <c r="F681" s="26"/>
      <c r="G681" s="26"/>
      <c r="H681" s="26"/>
      <c r="I681" s="26"/>
    </row>
    <row r="682" spans="1:10">
      <c r="A682" s="21"/>
      <c r="B682" s="21"/>
      <c r="D682" s="26"/>
      <c r="E682" s="26"/>
      <c r="F682" s="26"/>
      <c r="G682" s="26"/>
      <c r="H682" s="26"/>
      <c r="I682" s="26"/>
    </row>
    <row r="683" spans="1:10">
      <c r="A683" s="21"/>
      <c r="B683" s="21"/>
      <c r="D683" s="26"/>
      <c r="E683" s="26"/>
      <c r="F683" s="26"/>
      <c r="G683" s="26"/>
      <c r="H683" s="26"/>
      <c r="I683" s="26"/>
    </row>
    <row r="684" spans="1:10">
      <c r="A684" s="21"/>
      <c r="B684" s="21"/>
      <c r="D684" s="26"/>
      <c r="E684" s="26"/>
      <c r="F684" s="26"/>
      <c r="G684" s="26"/>
      <c r="H684" s="26"/>
      <c r="I684" s="26"/>
    </row>
    <row r="685" spans="1:10">
      <c r="A685" s="21"/>
      <c r="B685" s="21"/>
      <c r="D685" s="26"/>
      <c r="E685" s="26"/>
      <c r="F685" s="26"/>
      <c r="G685" s="26"/>
      <c r="H685" s="26"/>
      <c r="I685" s="26"/>
    </row>
    <row r="686" spans="1:10">
      <c r="A686" s="21"/>
      <c r="B686" s="21"/>
      <c r="D686" s="26"/>
      <c r="E686" s="26"/>
      <c r="F686" s="26"/>
      <c r="G686" s="26"/>
      <c r="H686" s="26"/>
      <c r="I686" s="26"/>
    </row>
    <row r="687" spans="1:10">
      <c r="A687" s="21"/>
      <c r="B687" s="21"/>
      <c r="D687" s="26"/>
      <c r="E687" s="26"/>
      <c r="F687" s="26"/>
      <c r="G687" s="26"/>
      <c r="H687" s="26"/>
      <c r="I687" s="26"/>
    </row>
    <row r="688" spans="1:10">
      <c r="A688" s="21"/>
      <c r="B688" s="21"/>
      <c r="D688" s="26"/>
      <c r="E688" s="26"/>
      <c r="F688" s="26"/>
      <c r="G688" s="26"/>
      <c r="H688" s="26"/>
      <c r="I688" s="26"/>
    </row>
    <row r="689" spans="1:9">
      <c r="A689" s="21"/>
      <c r="B689" s="21"/>
      <c r="D689" s="26"/>
      <c r="E689" s="26"/>
      <c r="F689" s="26"/>
      <c r="G689" s="26"/>
      <c r="H689" s="26"/>
      <c r="I689" s="26"/>
    </row>
    <row r="690" spans="1:9">
      <c r="A690" s="21"/>
      <c r="B690" s="21"/>
      <c r="D690" s="26"/>
      <c r="E690" s="26"/>
      <c r="F690" s="26"/>
      <c r="G690" s="26"/>
      <c r="H690" s="26"/>
      <c r="I690" s="26"/>
    </row>
    <row r="691" spans="1:9">
      <c r="A691" s="21"/>
      <c r="B691" s="21"/>
      <c r="D691" s="26"/>
      <c r="E691" s="26"/>
      <c r="F691" s="26"/>
      <c r="G691" s="26"/>
      <c r="H691" s="26"/>
      <c r="I691" s="26"/>
    </row>
    <row r="692" spans="1:9">
      <c r="A692" s="21"/>
      <c r="B692" s="21"/>
      <c r="D692" s="26"/>
      <c r="E692" s="26"/>
      <c r="F692" s="26"/>
      <c r="G692" s="26"/>
      <c r="H692" s="26"/>
      <c r="I692" s="26"/>
    </row>
    <row r="693" spans="1:9">
      <c r="A693" s="21"/>
      <c r="B693" s="21"/>
      <c r="D693" s="26"/>
      <c r="E693" s="26"/>
      <c r="F693" s="26"/>
      <c r="G693" s="26"/>
      <c r="H693" s="26"/>
      <c r="I693" s="26"/>
    </row>
    <row r="694" spans="1:9">
      <c r="A694" s="21"/>
      <c r="B694" s="21"/>
      <c r="D694" s="26"/>
      <c r="E694" s="26"/>
      <c r="F694" s="26"/>
      <c r="G694" s="26"/>
      <c r="H694" s="26"/>
      <c r="I694" s="26"/>
    </row>
    <row r="695" spans="1:9">
      <c r="A695" s="21"/>
      <c r="B695" s="21"/>
      <c r="D695" s="26"/>
      <c r="E695" s="26"/>
      <c r="F695" s="26"/>
      <c r="G695" s="26"/>
      <c r="H695" s="26"/>
      <c r="I695" s="26"/>
    </row>
    <row r="696" spans="1:9">
      <c r="A696" s="21"/>
      <c r="B696" s="21"/>
      <c r="D696" s="26"/>
      <c r="E696" s="26"/>
      <c r="F696" s="26"/>
      <c r="G696" s="26"/>
      <c r="H696" s="26"/>
      <c r="I696" s="26"/>
    </row>
    <row r="697" spans="1:9">
      <c r="A697" s="21"/>
      <c r="B697" s="21"/>
      <c r="D697" s="26"/>
      <c r="E697" s="26"/>
      <c r="F697" s="26"/>
      <c r="G697" s="26"/>
      <c r="H697" s="26"/>
      <c r="I697" s="26"/>
    </row>
    <row r="698" spans="1:9">
      <c r="A698" s="21"/>
      <c r="B698" s="21"/>
      <c r="D698" s="26"/>
      <c r="E698" s="26"/>
      <c r="F698" s="26"/>
      <c r="G698" s="26"/>
      <c r="H698" s="26"/>
      <c r="I698" s="26"/>
    </row>
    <row r="699" spans="1:9">
      <c r="A699" s="21"/>
      <c r="B699" s="21"/>
      <c r="D699" s="26"/>
      <c r="E699" s="26"/>
      <c r="F699" s="26"/>
      <c r="G699" s="26"/>
      <c r="H699" s="26"/>
      <c r="I699" s="26"/>
    </row>
    <row r="700" spans="1:9">
      <c r="A700" s="21"/>
      <c r="B700" s="21"/>
      <c r="D700" s="26"/>
      <c r="E700" s="26"/>
      <c r="F700" s="26"/>
      <c r="G700" s="26"/>
      <c r="H700" s="26"/>
      <c r="I700" s="26"/>
    </row>
    <row r="701" spans="1:9">
      <c r="A701" s="21"/>
      <c r="B701" s="21"/>
      <c r="D701" s="26"/>
      <c r="E701" s="26"/>
      <c r="F701" s="26"/>
      <c r="G701" s="26"/>
      <c r="H701" s="26"/>
      <c r="I701" s="26"/>
    </row>
    <row r="702" spans="1:9">
      <c r="A702" s="21"/>
      <c r="B702" s="21"/>
      <c r="D702" s="26"/>
      <c r="E702" s="26"/>
      <c r="F702" s="26"/>
      <c r="G702" s="26"/>
      <c r="H702" s="26"/>
      <c r="I702" s="26"/>
    </row>
    <row r="703" spans="1:9">
      <c r="A703" s="21"/>
      <c r="B703" s="21"/>
      <c r="D703" s="26"/>
      <c r="E703" s="26"/>
      <c r="F703" s="26"/>
      <c r="G703" s="26"/>
      <c r="H703" s="26"/>
      <c r="I703" s="26"/>
    </row>
    <row r="704" spans="1:9">
      <c r="A704" s="21"/>
      <c r="B704" s="21"/>
      <c r="D704" s="26"/>
      <c r="E704" s="26"/>
      <c r="F704" s="26"/>
      <c r="G704" s="26"/>
      <c r="H704" s="26"/>
      <c r="I704" s="26"/>
    </row>
    <row r="705" spans="1:9">
      <c r="A705" s="21"/>
      <c r="B705" s="21"/>
      <c r="D705" s="26"/>
      <c r="E705" s="26"/>
      <c r="F705" s="26"/>
      <c r="G705" s="26"/>
      <c r="H705" s="26"/>
      <c r="I705" s="26"/>
    </row>
    <row r="706" spans="1:9">
      <c r="A706" s="21"/>
      <c r="B706" s="21"/>
      <c r="D706" s="26"/>
      <c r="E706" s="26"/>
      <c r="F706" s="26"/>
      <c r="G706" s="26"/>
      <c r="H706" s="26"/>
      <c r="I706" s="26"/>
    </row>
    <row r="707" spans="1:9">
      <c r="A707" s="21"/>
      <c r="B707" s="21"/>
      <c r="D707" s="26"/>
      <c r="E707" s="26"/>
      <c r="F707" s="26"/>
      <c r="G707" s="26"/>
      <c r="H707" s="26"/>
      <c r="I707" s="26"/>
    </row>
    <row r="708" spans="1:9">
      <c r="A708" s="21"/>
      <c r="B708" s="21"/>
      <c r="D708" s="26"/>
      <c r="E708" s="26"/>
      <c r="F708" s="26"/>
      <c r="G708" s="26"/>
      <c r="H708" s="26"/>
      <c r="I708" s="26"/>
    </row>
    <row r="709" spans="1:9">
      <c r="A709" s="21"/>
      <c r="B709" s="21"/>
      <c r="D709" s="26"/>
      <c r="E709" s="26"/>
      <c r="F709" s="26"/>
      <c r="G709" s="26"/>
      <c r="H709" s="26"/>
      <c r="I709" s="26"/>
    </row>
    <row r="710" spans="1:9">
      <c r="A710" s="21"/>
      <c r="B710" s="21"/>
      <c r="D710" s="26"/>
      <c r="E710" s="26"/>
      <c r="F710" s="26"/>
      <c r="G710" s="26"/>
      <c r="H710" s="26"/>
      <c r="I710" s="26"/>
    </row>
    <row r="711" spans="1:9">
      <c r="A711" s="21"/>
      <c r="B711" s="21"/>
      <c r="D711" s="26"/>
      <c r="E711" s="26"/>
      <c r="F711" s="26"/>
      <c r="G711" s="26"/>
      <c r="H711" s="26"/>
      <c r="I711" s="26"/>
    </row>
    <row r="712" spans="1:9">
      <c r="A712" s="21"/>
      <c r="B712" s="21"/>
      <c r="D712" s="26"/>
      <c r="E712" s="26"/>
      <c r="F712" s="26"/>
      <c r="G712" s="26"/>
      <c r="H712" s="26"/>
      <c r="I712" s="26"/>
    </row>
    <row r="713" spans="1:9">
      <c r="A713" s="21"/>
      <c r="B713" s="21"/>
      <c r="D713" s="26"/>
      <c r="E713" s="26"/>
      <c r="F713" s="26"/>
      <c r="G713" s="26"/>
      <c r="H713" s="26"/>
      <c r="I713" s="26"/>
    </row>
    <row r="714" spans="1:9">
      <c r="A714" s="21"/>
      <c r="B714" s="21"/>
      <c r="D714" s="26"/>
      <c r="E714" s="26"/>
      <c r="F714" s="26"/>
      <c r="G714" s="26"/>
      <c r="H714" s="26"/>
      <c r="I714" s="26"/>
    </row>
    <row r="715" spans="1:9">
      <c r="A715" s="21"/>
      <c r="B715" s="21"/>
      <c r="D715" s="26"/>
      <c r="E715" s="26"/>
      <c r="F715" s="26"/>
      <c r="G715" s="26"/>
      <c r="H715" s="26"/>
      <c r="I715" s="26"/>
    </row>
    <row r="716" spans="1:9">
      <c r="A716" s="21"/>
      <c r="B716" s="21"/>
      <c r="D716" s="26"/>
      <c r="E716" s="26"/>
      <c r="F716" s="26"/>
      <c r="G716" s="26"/>
      <c r="H716" s="26"/>
      <c r="I716" s="26"/>
    </row>
    <row r="717" spans="1:9">
      <c r="A717" s="21"/>
      <c r="B717" s="21"/>
      <c r="D717" s="26"/>
      <c r="E717" s="26"/>
      <c r="F717" s="26"/>
      <c r="G717" s="26"/>
      <c r="H717" s="26"/>
      <c r="I717" s="26"/>
    </row>
    <row r="718" spans="1:9">
      <c r="A718" s="21"/>
      <c r="B718" s="21"/>
      <c r="D718" s="26"/>
      <c r="E718" s="26"/>
      <c r="F718" s="26"/>
      <c r="G718" s="26"/>
      <c r="H718" s="26"/>
      <c r="I718" s="26"/>
    </row>
    <row r="719" spans="1:9">
      <c r="A719" s="21"/>
      <c r="B719" s="21"/>
      <c r="D719" s="26"/>
      <c r="E719" s="26"/>
      <c r="F719" s="26"/>
      <c r="G719" s="26"/>
      <c r="H719" s="26"/>
      <c r="I719" s="26"/>
    </row>
    <row r="720" spans="1:9">
      <c r="A720" s="21"/>
      <c r="B720" s="21"/>
      <c r="D720" s="26"/>
      <c r="E720" s="26"/>
      <c r="F720" s="26"/>
      <c r="G720" s="26"/>
      <c r="H720" s="26"/>
      <c r="I720" s="26"/>
    </row>
    <row r="721" spans="1:9">
      <c r="A721" s="21"/>
      <c r="B721" s="21"/>
      <c r="D721" s="26"/>
      <c r="E721" s="26"/>
      <c r="F721" s="26"/>
      <c r="G721" s="26"/>
      <c r="H721" s="26"/>
      <c r="I721" s="26"/>
    </row>
    <row r="722" spans="1:9">
      <c r="A722" s="21"/>
      <c r="B722" s="21"/>
      <c r="D722" s="26"/>
      <c r="E722" s="26"/>
      <c r="F722" s="26"/>
      <c r="G722" s="26"/>
      <c r="H722" s="26"/>
      <c r="I722" s="26"/>
    </row>
    <row r="723" spans="1:9">
      <c r="A723" s="21"/>
      <c r="B723" s="21"/>
      <c r="D723" s="26"/>
      <c r="E723" s="26"/>
      <c r="F723" s="26"/>
      <c r="G723" s="26"/>
      <c r="H723" s="26"/>
      <c r="I723" s="26"/>
    </row>
    <row r="724" spans="1:9">
      <c r="A724" s="21"/>
      <c r="B724" s="21"/>
      <c r="D724" s="26"/>
      <c r="E724" s="26"/>
      <c r="F724" s="26"/>
      <c r="G724" s="26"/>
      <c r="H724" s="26"/>
      <c r="I724" s="26"/>
    </row>
    <row r="725" spans="1:9">
      <c r="A725" s="21"/>
      <c r="B725" s="21"/>
      <c r="D725" s="26"/>
      <c r="E725" s="26"/>
      <c r="F725" s="26"/>
      <c r="G725" s="26"/>
      <c r="H725" s="26"/>
      <c r="I725" s="26"/>
    </row>
    <row r="726" spans="1:9">
      <c r="A726" s="21"/>
      <c r="B726" s="21"/>
      <c r="D726" s="26"/>
      <c r="E726" s="26"/>
      <c r="F726" s="26"/>
      <c r="G726" s="26"/>
      <c r="H726" s="26"/>
      <c r="I726" s="26"/>
    </row>
    <row r="727" spans="1:9">
      <c r="A727" s="21"/>
      <c r="B727" s="21"/>
      <c r="D727" s="26"/>
      <c r="E727" s="26"/>
      <c r="F727" s="26"/>
      <c r="G727" s="26"/>
      <c r="H727" s="26"/>
      <c r="I727" s="26"/>
    </row>
    <row r="728" spans="1:9">
      <c r="A728" s="21"/>
      <c r="B728" s="21"/>
      <c r="D728" s="26"/>
      <c r="E728" s="26"/>
      <c r="F728" s="26"/>
      <c r="G728" s="26"/>
      <c r="H728" s="26"/>
      <c r="I728" s="26"/>
    </row>
    <row r="729" spans="1:9">
      <c r="A729" s="21"/>
      <c r="B729" s="21"/>
      <c r="D729" s="26"/>
      <c r="E729" s="26"/>
      <c r="F729" s="26"/>
      <c r="G729" s="26"/>
      <c r="H729" s="26"/>
      <c r="I729" s="26"/>
    </row>
    <row r="730" spans="1:9">
      <c r="A730" s="21"/>
      <c r="B730" s="21"/>
      <c r="D730" s="26"/>
      <c r="E730" s="26"/>
      <c r="F730" s="26"/>
      <c r="G730" s="26"/>
      <c r="H730" s="26"/>
      <c r="I730" s="26"/>
    </row>
    <row r="731" spans="1:9">
      <c r="A731" s="21"/>
      <c r="B731" s="21"/>
      <c r="D731" s="26"/>
      <c r="E731" s="26"/>
      <c r="F731" s="26"/>
      <c r="G731" s="26"/>
      <c r="H731" s="26"/>
      <c r="I731" s="26"/>
    </row>
    <row r="732" spans="1:9">
      <c r="A732" s="21"/>
      <c r="B732" s="21"/>
      <c r="D732" s="26"/>
      <c r="E732" s="26"/>
      <c r="F732" s="26"/>
      <c r="G732" s="26"/>
      <c r="H732" s="26"/>
      <c r="I732" s="26"/>
    </row>
    <row r="733" spans="1:9">
      <c r="A733" s="21"/>
      <c r="B733" s="21"/>
      <c r="D733" s="26"/>
      <c r="E733" s="26"/>
      <c r="F733" s="26"/>
      <c r="G733" s="26"/>
      <c r="H733" s="26"/>
      <c r="I733" s="26"/>
    </row>
    <row r="734" spans="1:9">
      <c r="A734" s="21"/>
      <c r="B734" s="21"/>
      <c r="D734" s="26"/>
      <c r="E734" s="26"/>
      <c r="F734" s="26"/>
      <c r="G734" s="26"/>
      <c r="H734" s="26"/>
      <c r="I734" s="26"/>
    </row>
    <row r="735" spans="1:9">
      <c r="A735" s="21"/>
      <c r="B735" s="21"/>
      <c r="D735" s="26"/>
      <c r="E735" s="26"/>
      <c r="F735" s="26"/>
      <c r="G735" s="26"/>
      <c r="H735" s="26"/>
      <c r="I735" s="26"/>
    </row>
    <row r="736" spans="1:9">
      <c r="A736" s="21"/>
      <c r="B736" s="21"/>
      <c r="D736" s="26"/>
      <c r="E736" s="26"/>
      <c r="F736" s="26"/>
      <c r="G736" s="26"/>
      <c r="H736" s="26"/>
      <c r="I736" s="26"/>
    </row>
    <row r="737" spans="1:9">
      <c r="A737" s="21"/>
      <c r="B737" s="21"/>
      <c r="D737" s="26"/>
      <c r="E737" s="26"/>
      <c r="F737" s="26"/>
      <c r="G737" s="26"/>
      <c r="H737" s="26"/>
      <c r="I737" s="26"/>
    </row>
    <row r="738" spans="1:9">
      <c r="A738" s="21"/>
      <c r="B738" s="21"/>
      <c r="D738" s="26"/>
      <c r="E738" s="26"/>
      <c r="F738" s="26"/>
      <c r="G738" s="26"/>
      <c r="H738" s="26"/>
      <c r="I738" s="26"/>
    </row>
    <row r="739" spans="1:9">
      <c r="A739" s="21"/>
      <c r="B739" s="21"/>
      <c r="D739" s="26"/>
      <c r="E739" s="26"/>
      <c r="F739" s="26"/>
      <c r="G739" s="26"/>
      <c r="H739" s="26"/>
      <c r="I739" s="26"/>
    </row>
    <row r="740" spans="1:9">
      <c r="A740" s="21"/>
      <c r="B740" s="21"/>
      <c r="D740" s="26"/>
      <c r="E740" s="26"/>
      <c r="F740" s="26"/>
      <c r="G740" s="26"/>
      <c r="H740" s="26"/>
      <c r="I740" s="26"/>
    </row>
    <row r="741" spans="1:9">
      <c r="A741" s="21"/>
      <c r="B741" s="21"/>
      <c r="D741" s="26"/>
      <c r="E741" s="26"/>
      <c r="F741" s="26"/>
      <c r="G741" s="26"/>
      <c r="H741" s="26"/>
      <c r="I741" s="26"/>
    </row>
    <row r="742" spans="1:9">
      <c r="A742" s="21"/>
      <c r="B742" s="21"/>
      <c r="D742" s="26"/>
      <c r="E742" s="26"/>
      <c r="F742" s="26"/>
      <c r="G742" s="26"/>
      <c r="H742" s="26"/>
      <c r="I742" s="26"/>
    </row>
    <row r="743" spans="1:9">
      <c r="A743" s="21"/>
      <c r="B743" s="21"/>
      <c r="D743" s="26"/>
      <c r="E743" s="26"/>
      <c r="F743" s="26"/>
      <c r="G743" s="26"/>
      <c r="H743" s="26"/>
      <c r="I743" s="26"/>
    </row>
    <row r="744" spans="1:9">
      <c r="A744" s="21"/>
      <c r="B744" s="21"/>
      <c r="D744" s="26"/>
      <c r="E744" s="26"/>
      <c r="F744" s="26"/>
      <c r="G744" s="26"/>
      <c r="H744" s="26"/>
      <c r="I744" s="26"/>
    </row>
    <row r="745" spans="1:9">
      <c r="A745" s="21"/>
      <c r="B745" s="21"/>
      <c r="D745" s="26"/>
      <c r="E745" s="26"/>
      <c r="F745" s="26"/>
      <c r="G745" s="26"/>
      <c r="H745" s="26"/>
      <c r="I745" s="26"/>
    </row>
    <row r="746" spans="1:9">
      <c r="A746" s="21"/>
      <c r="B746" s="21"/>
      <c r="D746" s="26"/>
      <c r="E746" s="26"/>
      <c r="F746" s="26"/>
      <c r="G746" s="26"/>
      <c r="H746" s="26"/>
      <c r="I746" s="26"/>
    </row>
    <row r="747" spans="1:9">
      <c r="A747" s="21"/>
      <c r="B747" s="21"/>
      <c r="D747" s="26"/>
      <c r="E747" s="26"/>
      <c r="F747" s="26"/>
      <c r="G747" s="26"/>
      <c r="H747" s="26"/>
      <c r="I747" s="26"/>
    </row>
    <row r="748" spans="1:9">
      <c r="A748" s="21"/>
      <c r="B748" s="21"/>
      <c r="D748" s="26"/>
      <c r="E748" s="26"/>
      <c r="F748" s="26"/>
      <c r="G748" s="26"/>
      <c r="H748" s="26"/>
      <c r="I748" s="26"/>
    </row>
    <row r="749" spans="1:9">
      <c r="A749" s="21"/>
      <c r="B749" s="21"/>
      <c r="D749" s="26"/>
      <c r="E749" s="26"/>
      <c r="F749" s="26"/>
      <c r="G749" s="26"/>
      <c r="H749" s="26"/>
      <c r="I749" s="26"/>
    </row>
    <row r="750" spans="1:9">
      <c r="A750" s="21"/>
      <c r="B750" s="21"/>
      <c r="D750" s="26"/>
      <c r="E750" s="26"/>
      <c r="F750" s="26"/>
      <c r="G750" s="26"/>
      <c r="H750" s="26"/>
      <c r="I750" s="26"/>
    </row>
    <row r="751" spans="1:9">
      <c r="A751" s="21"/>
      <c r="B751" s="21"/>
      <c r="D751" s="26"/>
      <c r="E751" s="26"/>
      <c r="F751" s="26"/>
      <c r="G751" s="26"/>
      <c r="H751" s="26"/>
      <c r="I751" s="26"/>
    </row>
    <row r="752" spans="1:9">
      <c r="A752" s="21"/>
      <c r="B752" s="21"/>
      <c r="D752" s="26"/>
      <c r="E752" s="26"/>
      <c r="F752" s="26"/>
      <c r="G752" s="26"/>
      <c r="H752" s="26"/>
      <c r="I752" s="26"/>
    </row>
    <row r="753" spans="1:9">
      <c r="A753" s="21"/>
      <c r="B753" s="21"/>
      <c r="D753" s="26"/>
      <c r="E753" s="26"/>
      <c r="F753" s="26"/>
      <c r="G753" s="26"/>
      <c r="H753" s="26"/>
      <c r="I753" s="26"/>
    </row>
    <row r="754" spans="1:9">
      <c r="A754" s="21"/>
      <c r="B754" s="21"/>
      <c r="D754" s="26"/>
      <c r="E754" s="26"/>
      <c r="F754" s="26"/>
      <c r="G754" s="26"/>
      <c r="H754" s="26"/>
      <c r="I754" s="26"/>
    </row>
    <row r="755" spans="1:9">
      <c r="A755" s="21"/>
      <c r="B755" s="21"/>
      <c r="D755" s="26"/>
      <c r="E755" s="26"/>
      <c r="F755" s="26"/>
      <c r="G755" s="26"/>
      <c r="H755" s="26"/>
      <c r="I755" s="26"/>
    </row>
    <row r="756" spans="1:9">
      <c r="A756" s="21"/>
      <c r="B756" s="21"/>
      <c r="D756" s="26"/>
      <c r="E756" s="26"/>
      <c r="F756" s="26"/>
      <c r="G756" s="26"/>
      <c r="H756" s="26"/>
      <c r="I756" s="26"/>
    </row>
    <row r="757" spans="1:9">
      <c r="A757" s="21"/>
      <c r="B757" s="21"/>
      <c r="D757" s="26"/>
      <c r="E757" s="26"/>
      <c r="F757" s="26"/>
      <c r="G757" s="26"/>
      <c r="H757" s="26"/>
      <c r="I757" s="26"/>
    </row>
    <row r="758" spans="1:9">
      <c r="A758" s="21"/>
      <c r="B758" s="21"/>
      <c r="D758" s="26"/>
      <c r="E758" s="26"/>
      <c r="F758" s="26"/>
      <c r="G758" s="26"/>
      <c r="H758" s="26"/>
      <c r="I758" s="26"/>
    </row>
    <row r="759" spans="1:9">
      <c r="A759" s="21"/>
      <c r="B759" s="21"/>
      <c r="D759" s="26"/>
      <c r="E759" s="26"/>
      <c r="F759" s="26"/>
      <c r="G759" s="26"/>
      <c r="H759" s="26"/>
      <c r="I759" s="26"/>
    </row>
    <row r="760" spans="1:9">
      <c r="A760" s="21"/>
      <c r="B760" s="21"/>
      <c r="D760" s="26"/>
      <c r="E760" s="26"/>
      <c r="F760" s="26"/>
      <c r="G760" s="26"/>
      <c r="H760" s="26"/>
      <c r="I760" s="26"/>
    </row>
    <row r="761" spans="1:9">
      <c r="A761" s="21"/>
      <c r="B761" s="21"/>
      <c r="D761" s="26"/>
      <c r="E761" s="26"/>
      <c r="F761" s="26"/>
      <c r="G761" s="26"/>
      <c r="H761" s="26"/>
      <c r="I761" s="26"/>
    </row>
    <row r="762" spans="1:9">
      <c r="A762" s="21"/>
      <c r="B762" s="21"/>
      <c r="D762" s="26"/>
      <c r="E762" s="26"/>
      <c r="F762" s="26"/>
      <c r="G762" s="26"/>
      <c r="H762" s="26"/>
      <c r="I762" s="26"/>
    </row>
    <row r="763" spans="1:9">
      <c r="A763" s="21"/>
      <c r="B763" s="21"/>
      <c r="D763" s="26"/>
      <c r="E763" s="26"/>
      <c r="F763" s="26"/>
      <c r="G763" s="26"/>
      <c r="H763" s="26"/>
      <c r="I763" s="26"/>
    </row>
    <row r="764" spans="1:9">
      <c r="A764" s="21"/>
      <c r="B764" s="21"/>
      <c r="D764" s="26"/>
      <c r="E764" s="26"/>
      <c r="F764" s="26"/>
      <c r="G764" s="26"/>
      <c r="H764" s="26"/>
      <c r="I764" s="26"/>
    </row>
    <row r="765" spans="1:9">
      <c r="A765" s="21"/>
      <c r="B765" s="21"/>
      <c r="D765" s="26"/>
      <c r="E765" s="26"/>
      <c r="F765" s="26"/>
      <c r="G765" s="26"/>
      <c r="H765" s="26"/>
      <c r="I765" s="26"/>
    </row>
    <row r="766" spans="1:9">
      <c r="A766" s="21"/>
      <c r="B766" s="21"/>
      <c r="D766" s="26"/>
      <c r="E766" s="26"/>
      <c r="F766" s="26"/>
      <c r="G766" s="26"/>
      <c r="H766" s="26"/>
      <c r="I766" s="26"/>
    </row>
    <row r="767" spans="1:9">
      <c r="A767" s="21"/>
      <c r="B767" s="21"/>
      <c r="D767" s="26"/>
      <c r="E767" s="26"/>
      <c r="F767" s="26"/>
      <c r="G767" s="26"/>
      <c r="H767" s="26"/>
      <c r="I767" s="26"/>
    </row>
    <row r="768" spans="1:9">
      <c r="A768" s="21"/>
      <c r="B768" s="21"/>
      <c r="D768" s="26"/>
      <c r="E768" s="26"/>
      <c r="F768" s="26"/>
      <c r="G768" s="26"/>
      <c r="H768" s="26"/>
      <c r="I768" s="26"/>
    </row>
    <row r="769" spans="1:9">
      <c r="A769" s="21"/>
      <c r="B769" s="21"/>
      <c r="D769" s="26"/>
      <c r="E769" s="26"/>
      <c r="F769" s="26"/>
      <c r="G769" s="26"/>
      <c r="H769" s="26"/>
      <c r="I769" s="26"/>
    </row>
    <row r="770" spans="1:9">
      <c r="A770" s="21"/>
      <c r="B770" s="21"/>
      <c r="D770" s="26"/>
      <c r="E770" s="26"/>
      <c r="F770" s="26"/>
      <c r="G770" s="26"/>
      <c r="H770" s="26"/>
      <c r="I770" s="26"/>
    </row>
    <row r="771" spans="1:9">
      <c r="A771" s="21"/>
      <c r="B771" s="21"/>
      <c r="D771" s="26"/>
      <c r="E771" s="26"/>
      <c r="F771" s="26"/>
      <c r="G771" s="26"/>
      <c r="H771" s="26"/>
      <c r="I771" s="26"/>
    </row>
    <row r="772" spans="1:9">
      <c r="A772" s="21"/>
      <c r="B772" s="21"/>
      <c r="D772" s="26"/>
      <c r="E772" s="26"/>
      <c r="F772" s="26"/>
      <c r="G772" s="26"/>
      <c r="H772" s="26"/>
      <c r="I772" s="26"/>
    </row>
    <row r="773" spans="1:9">
      <c r="A773" s="21"/>
      <c r="B773" s="21"/>
      <c r="D773" s="26"/>
      <c r="E773" s="26"/>
      <c r="F773" s="26"/>
      <c r="G773" s="26"/>
      <c r="H773" s="26"/>
      <c r="I773" s="26"/>
    </row>
    <row r="774" spans="1:9">
      <c r="A774" s="21"/>
      <c r="B774" s="21"/>
      <c r="D774" s="26"/>
      <c r="E774" s="26"/>
      <c r="F774" s="26"/>
      <c r="G774" s="26"/>
      <c r="H774" s="26"/>
      <c r="I774" s="26"/>
    </row>
    <row r="775" spans="1:9">
      <c r="A775" s="21"/>
      <c r="B775" s="21"/>
      <c r="D775" s="26"/>
      <c r="E775" s="26"/>
      <c r="F775" s="26"/>
      <c r="G775" s="26"/>
      <c r="H775" s="26"/>
      <c r="I775" s="26"/>
    </row>
    <row r="776" spans="1:9">
      <c r="A776" s="21"/>
      <c r="B776" s="21"/>
      <c r="D776" s="26"/>
      <c r="E776" s="26"/>
      <c r="F776" s="26"/>
      <c r="G776" s="26"/>
      <c r="H776" s="26"/>
      <c r="I776" s="26"/>
    </row>
    <row r="777" spans="1:9">
      <c r="A777" s="21"/>
      <c r="B777" s="21"/>
      <c r="D777" s="26"/>
      <c r="E777" s="26"/>
      <c r="F777" s="26"/>
      <c r="G777" s="26"/>
      <c r="H777" s="26"/>
      <c r="I777" s="26"/>
    </row>
    <row r="778" spans="1:9">
      <c r="A778" s="21"/>
      <c r="B778" s="21"/>
      <c r="D778" s="26"/>
      <c r="E778" s="26"/>
      <c r="F778" s="26"/>
      <c r="G778" s="26"/>
      <c r="H778" s="26"/>
      <c r="I778" s="26"/>
    </row>
    <row r="779" spans="1:9">
      <c r="A779" s="21"/>
      <c r="B779" s="21"/>
      <c r="D779" s="26"/>
      <c r="E779" s="26"/>
      <c r="F779" s="26"/>
      <c r="G779" s="26"/>
      <c r="H779" s="26"/>
      <c r="I779" s="26"/>
    </row>
    <row r="780" spans="1:9">
      <c r="A780" s="21"/>
      <c r="B780" s="21"/>
      <c r="D780" s="26"/>
      <c r="E780" s="26"/>
      <c r="F780" s="26"/>
      <c r="G780" s="26"/>
      <c r="H780" s="26"/>
      <c r="I780" s="26"/>
    </row>
    <row r="781" spans="1:9">
      <c r="A781" s="21"/>
      <c r="B781" s="21"/>
      <c r="D781" s="26"/>
      <c r="E781" s="26"/>
      <c r="F781" s="26"/>
      <c r="G781" s="26"/>
      <c r="H781" s="26"/>
      <c r="I781" s="26"/>
    </row>
    <row r="782" spans="1:9">
      <c r="A782" s="21"/>
      <c r="B782" s="21"/>
      <c r="D782" s="26"/>
      <c r="E782" s="26"/>
      <c r="F782" s="26"/>
      <c r="G782" s="26"/>
      <c r="H782" s="26"/>
      <c r="I782" s="26"/>
    </row>
    <row r="783" spans="1:9">
      <c r="A783" s="21"/>
      <c r="B783" s="21"/>
      <c r="D783" s="26"/>
      <c r="E783" s="26"/>
      <c r="F783" s="26"/>
      <c r="G783" s="26"/>
      <c r="H783" s="26"/>
      <c r="I783" s="26"/>
    </row>
    <row r="784" spans="1:9">
      <c r="A784" s="21"/>
      <c r="B784" s="21"/>
      <c r="D784" s="26"/>
      <c r="E784" s="26"/>
      <c r="F784" s="26"/>
      <c r="G784" s="26"/>
      <c r="H784" s="26"/>
      <c r="I784" s="26"/>
    </row>
    <row r="785" spans="1:9">
      <c r="A785" s="21"/>
      <c r="B785" s="21"/>
      <c r="D785" s="26"/>
      <c r="E785" s="26"/>
      <c r="F785" s="26"/>
      <c r="G785" s="26"/>
      <c r="H785" s="26"/>
      <c r="I785" s="26"/>
    </row>
    <row r="786" spans="1:9">
      <c r="A786" s="21"/>
      <c r="B786" s="21"/>
      <c r="D786" s="26"/>
      <c r="E786" s="26"/>
      <c r="F786" s="26"/>
      <c r="G786" s="26"/>
      <c r="H786" s="26"/>
      <c r="I786" s="26"/>
    </row>
    <row r="787" spans="1:9">
      <c r="A787" s="21"/>
      <c r="B787" s="21"/>
      <c r="D787" s="26"/>
      <c r="E787" s="26"/>
      <c r="F787" s="26"/>
      <c r="G787" s="26"/>
      <c r="H787" s="26"/>
      <c r="I787" s="26"/>
    </row>
    <row r="788" spans="1:9">
      <c r="A788" s="21"/>
      <c r="B788" s="21"/>
      <c r="D788" s="26"/>
      <c r="E788" s="26"/>
      <c r="F788" s="26"/>
      <c r="G788" s="26"/>
      <c r="H788" s="26"/>
      <c r="I788" s="26"/>
    </row>
    <row r="789" spans="1:9">
      <c r="A789" s="21"/>
      <c r="B789" s="21"/>
      <c r="D789" s="26"/>
      <c r="E789" s="26"/>
      <c r="F789" s="26"/>
      <c r="G789" s="26"/>
      <c r="H789" s="26"/>
      <c r="I789" s="26"/>
    </row>
    <row r="790" spans="1:9">
      <c r="A790" s="21"/>
      <c r="B790" s="21"/>
      <c r="D790" s="26"/>
      <c r="E790" s="26"/>
      <c r="F790" s="26"/>
      <c r="G790" s="26"/>
      <c r="H790" s="26"/>
      <c r="I790" s="26"/>
    </row>
    <row r="791" spans="1:9">
      <c r="A791" s="21"/>
      <c r="B791" s="21"/>
      <c r="D791" s="26"/>
      <c r="E791" s="26"/>
      <c r="F791" s="26"/>
      <c r="G791" s="26"/>
      <c r="H791" s="26"/>
      <c r="I791" s="26"/>
    </row>
    <row r="792" spans="1:9">
      <c r="A792" s="21"/>
      <c r="B792" s="21"/>
      <c r="D792" s="26"/>
      <c r="E792" s="26"/>
      <c r="F792" s="26"/>
      <c r="G792" s="26"/>
      <c r="H792" s="26"/>
      <c r="I792" s="26"/>
    </row>
    <row r="793" spans="1:9">
      <c r="A793" s="21"/>
      <c r="B793" s="21"/>
      <c r="D793" s="26"/>
      <c r="E793" s="26"/>
      <c r="F793" s="26"/>
      <c r="G793" s="26"/>
      <c r="H793" s="26"/>
      <c r="I793" s="26"/>
    </row>
    <row r="794" spans="1:9">
      <c r="A794" s="21"/>
      <c r="B794" s="21"/>
      <c r="D794" s="26"/>
      <c r="E794" s="26"/>
      <c r="F794" s="26"/>
      <c r="G794" s="26"/>
      <c r="H794" s="26"/>
      <c r="I794" s="26"/>
    </row>
    <row r="795" spans="1:9">
      <c r="A795" s="21"/>
      <c r="B795" s="21"/>
      <c r="D795" s="26"/>
      <c r="E795" s="26"/>
      <c r="F795" s="26"/>
      <c r="G795" s="26"/>
      <c r="H795" s="26"/>
      <c r="I795" s="26"/>
    </row>
    <row r="796" spans="1:9">
      <c r="A796" s="21"/>
      <c r="B796" s="21"/>
      <c r="D796" s="26"/>
      <c r="E796" s="26"/>
      <c r="F796" s="26"/>
      <c r="G796" s="26"/>
      <c r="H796" s="26"/>
      <c r="I796" s="26"/>
    </row>
    <row r="797" spans="1:9">
      <c r="A797" s="21"/>
      <c r="B797" s="21"/>
      <c r="D797" s="26"/>
      <c r="E797" s="26"/>
      <c r="F797" s="26"/>
      <c r="G797" s="26"/>
      <c r="H797" s="26"/>
      <c r="I797" s="26"/>
    </row>
    <row r="798" spans="1:9">
      <c r="A798" s="21"/>
      <c r="B798" s="21"/>
      <c r="D798" s="26"/>
      <c r="E798" s="26"/>
      <c r="F798" s="26"/>
      <c r="G798" s="26"/>
      <c r="H798" s="26"/>
      <c r="I798" s="26"/>
    </row>
    <row r="799" spans="1:9">
      <c r="A799" s="21"/>
      <c r="B799" s="21"/>
      <c r="D799" s="26"/>
      <c r="E799" s="26"/>
      <c r="F799" s="26"/>
      <c r="G799" s="26"/>
      <c r="H799" s="26"/>
      <c r="I799" s="26"/>
    </row>
    <row r="800" spans="1:9">
      <c r="A800" s="21"/>
      <c r="B800" s="21"/>
      <c r="D800" s="26"/>
      <c r="E800" s="26"/>
      <c r="F800" s="26"/>
      <c r="G800" s="26"/>
      <c r="H800" s="26"/>
      <c r="I800" s="26"/>
    </row>
    <row r="801" spans="1:9">
      <c r="A801" s="21"/>
      <c r="B801" s="21"/>
      <c r="D801" s="26"/>
      <c r="E801" s="26"/>
      <c r="F801" s="26"/>
      <c r="G801" s="26"/>
      <c r="H801" s="26"/>
      <c r="I801" s="26"/>
    </row>
    <row r="802" spans="1:9">
      <c r="A802" s="21"/>
      <c r="B802" s="21"/>
      <c r="D802" s="26"/>
      <c r="E802" s="26"/>
      <c r="F802" s="26"/>
      <c r="G802" s="26"/>
      <c r="H802" s="26"/>
      <c r="I802" s="26"/>
    </row>
    <row r="803" spans="1:9">
      <c r="A803" s="21"/>
      <c r="B803" s="21"/>
      <c r="D803" s="26"/>
      <c r="E803" s="26"/>
      <c r="F803" s="26"/>
      <c r="G803" s="26"/>
      <c r="H803" s="26"/>
      <c r="I803" s="26"/>
    </row>
    <row r="804" spans="1:9">
      <c r="A804" s="21"/>
      <c r="B804" s="21"/>
      <c r="D804" s="26"/>
      <c r="E804" s="26"/>
      <c r="F804" s="26"/>
      <c r="G804" s="26"/>
      <c r="H804" s="26"/>
      <c r="I804" s="26"/>
    </row>
    <row r="805" spans="1:9">
      <c r="A805" s="21"/>
      <c r="B805" s="21"/>
      <c r="D805" s="26"/>
      <c r="E805" s="26"/>
      <c r="F805" s="26"/>
      <c r="G805" s="26"/>
      <c r="H805" s="26"/>
      <c r="I805" s="26"/>
    </row>
    <row r="806" spans="1:9">
      <c r="A806" s="21"/>
      <c r="B806" s="21"/>
      <c r="D806" s="26"/>
      <c r="E806" s="26"/>
      <c r="F806" s="26"/>
      <c r="G806" s="26"/>
      <c r="H806" s="26"/>
      <c r="I806" s="26"/>
    </row>
    <row r="807" spans="1:9">
      <c r="A807" s="21"/>
      <c r="B807" s="21"/>
      <c r="D807" s="26"/>
      <c r="E807" s="26"/>
      <c r="F807" s="26"/>
      <c r="G807" s="26"/>
      <c r="H807" s="26"/>
      <c r="I807" s="26"/>
    </row>
    <row r="808" spans="1:9">
      <c r="A808" s="21"/>
      <c r="B808" s="21"/>
      <c r="D808" s="26"/>
      <c r="E808" s="26"/>
      <c r="F808" s="26"/>
      <c r="G808" s="26"/>
      <c r="H808" s="26"/>
      <c r="I808" s="26"/>
    </row>
    <row r="809" spans="1:9">
      <c r="A809" s="21"/>
      <c r="B809" s="21"/>
      <c r="D809" s="26"/>
      <c r="E809" s="26"/>
      <c r="F809" s="26"/>
      <c r="G809" s="26"/>
      <c r="H809" s="26"/>
      <c r="I809" s="26"/>
    </row>
    <row r="810" spans="1:9">
      <c r="A810" s="21"/>
      <c r="B810" s="21"/>
      <c r="D810" s="26"/>
      <c r="E810" s="26"/>
      <c r="F810" s="26"/>
      <c r="G810" s="26"/>
      <c r="H810" s="26"/>
      <c r="I810" s="26"/>
    </row>
    <row r="811" spans="1:9">
      <c r="A811" s="21"/>
      <c r="B811" s="21"/>
      <c r="D811" s="26"/>
      <c r="E811" s="26"/>
      <c r="F811" s="26"/>
      <c r="G811" s="26"/>
      <c r="H811" s="26"/>
      <c r="I811" s="26"/>
    </row>
    <row r="812" spans="1:9">
      <c r="A812" s="21"/>
      <c r="B812" s="21"/>
      <c r="D812" s="26"/>
      <c r="E812" s="26"/>
      <c r="F812" s="26"/>
      <c r="G812" s="26"/>
      <c r="H812" s="26"/>
      <c r="I812" s="26"/>
    </row>
    <row r="813" spans="1:9">
      <c r="A813" s="21"/>
      <c r="B813" s="21"/>
      <c r="D813" s="26"/>
      <c r="E813" s="26"/>
      <c r="F813" s="26"/>
      <c r="G813" s="26"/>
      <c r="H813" s="26"/>
      <c r="I813" s="26"/>
    </row>
    <row r="814" spans="1:9">
      <c r="A814" s="21"/>
      <c r="B814" s="21"/>
      <c r="D814" s="26"/>
      <c r="E814" s="26"/>
      <c r="F814" s="26"/>
      <c r="G814" s="26"/>
      <c r="H814" s="26"/>
      <c r="I814" s="26"/>
    </row>
    <row r="815" spans="1:9">
      <c r="A815" s="21"/>
      <c r="B815" s="21"/>
      <c r="D815" s="26"/>
      <c r="E815" s="26"/>
      <c r="F815" s="26"/>
      <c r="G815" s="26"/>
      <c r="H815" s="26"/>
      <c r="I815" s="26"/>
    </row>
    <row r="816" spans="1:9">
      <c r="A816" s="21"/>
      <c r="B816" s="21"/>
      <c r="D816" s="26"/>
      <c r="E816" s="26"/>
      <c r="F816" s="26"/>
      <c r="G816" s="26"/>
      <c r="H816" s="26"/>
      <c r="I816" s="26"/>
    </row>
    <row r="817" spans="1:9">
      <c r="A817" s="21"/>
      <c r="B817" s="21"/>
      <c r="D817" s="26"/>
      <c r="E817" s="26"/>
      <c r="F817" s="26"/>
      <c r="G817" s="26"/>
      <c r="H817" s="26"/>
      <c r="I817" s="26"/>
    </row>
    <row r="818" spans="1:9">
      <c r="A818" s="21"/>
      <c r="B818" s="21"/>
      <c r="D818" s="26"/>
      <c r="E818" s="26"/>
      <c r="F818" s="26"/>
      <c r="G818" s="26"/>
      <c r="H818" s="26"/>
      <c r="I818" s="26"/>
    </row>
    <row r="819" spans="1:9">
      <c r="A819" s="21"/>
      <c r="B819" s="21"/>
      <c r="D819" s="26"/>
      <c r="E819" s="26"/>
      <c r="F819" s="26"/>
      <c r="G819" s="26"/>
      <c r="H819" s="26"/>
      <c r="I819" s="26"/>
    </row>
    <row r="820" spans="1:9">
      <c r="A820" s="21"/>
      <c r="B820" s="21"/>
      <c r="D820" s="26"/>
      <c r="E820" s="26"/>
      <c r="F820" s="26"/>
      <c r="G820" s="26"/>
      <c r="H820" s="26"/>
      <c r="I820" s="26"/>
    </row>
    <row r="821" spans="1:9">
      <c r="A821" s="21"/>
      <c r="B821" s="21"/>
      <c r="D821" s="26"/>
      <c r="E821" s="26"/>
      <c r="F821" s="26"/>
      <c r="G821" s="26"/>
      <c r="H821" s="26"/>
      <c r="I821" s="26"/>
    </row>
    <row r="822" spans="1:9">
      <c r="A822" s="21"/>
      <c r="B822" s="21"/>
      <c r="D822" s="26"/>
      <c r="E822" s="26"/>
      <c r="F822" s="26"/>
      <c r="G822" s="26"/>
      <c r="H822" s="26"/>
      <c r="I822" s="26"/>
    </row>
    <row r="823" spans="1:9">
      <c r="A823" s="21"/>
      <c r="B823" s="21"/>
      <c r="D823" s="26"/>
      <c r="E823" s="26"/>
      <c r="F823" s="26"/>
      <c r="G823" s="26"/>
      <c r="H823" s="26"/>
      <c r="I823" s="26"/>
    </row>
    <row r="824" spans="1:9">
      <c r="A824" s="21"/>
      <c r="B824" s="21"/>
      <c r="D824" s="26"/>
      <c r="E824" s="26"/>
      <c r="F824" s="26"/>
      <c r="G824" s="26"/>
      <c r="H824" s="26"/>
      <c r="I824" s="26"/>
    </row>
    <row r="825" spans="1:9">
      <c r="A825" s="21"/>
      <c r="B825" s="21"/>
      <c r="D825" s="26"/>
      <c r="E825" s="26"/>
      <c r="F825" s="26"/>
      <c r="G825" s="26"/>
      <c r="H825" s="26"/>
      <c r="I825" s="26"/>
    </row>
    <row r="826" spans="1:9">
      <c r="A826" s="21"/>
      <c r="B826" s="21"/>
      <c r="D826" s="26"/>
      <c r="E826" s="26"/>
      <c r="F826" s="26"/>
      <c r="G826" s="26"/>
      <c r="H826" s="26"/>
      <c r="I826" s="26"/>
    </row>
    <row r="827" spans="1:9">
      <c r="A827" s="21"/>
      <c r="B827" s="21"/>
      <c r="D827" s="26"/>
      <c r="E827" s="26"/>
      <c r="F827" s="26"/>
      <c r="G827" s="26"/>
      <c r="H827" s="26"/>
      <c r="I827" s="26"/>
    </row>
    <row r="828" spans="1:9">
      <c r="A828" s="21"/>
      <c r="B828" s="21"/>
      <c r="D828" s="26"/>
      <c r="E828" s="26"/>
      <c r="F828" s="26"/>
      <c r="G828" s="26"/>
      <c r="H828" s="26"/>
      <c r="I828" s="26"/>
    </row>
    <row r="829" spans="1:9">
      <c r="A829" s="21"/>
      <c r="B829" s="21"/>
      <c r="D829" s="26"/>
      <c r="E829" s="26"/>
      <c r="F829" s="26"/>
      <c r="G829" s="26"/>
      <c r="H829" s="26"/>
      <c r="I829" s="26"/>
    </row>
    <row r="830" spans="1:9">
      <c r="A830" s="21"/>
      <c r="B830" s="21"/>
      <c r="D830" s="26"/>
      <c r="E830" s="26"/>
      <c r="F830" s="26"/>
      <c r="G830" s="26"/>
      <c r="H830" s="26"/>
      <c r="I830" s="26"/>
    </row>
    <row r="831" spans="1:9">
      <c r="A831" s="21"/>
      <c r="B831" s="21"/>
      <c r="D831" s="26"/>
      <c r="E831" s="26"/>
      <c r="F831" s="26"/>
      <c r="G831" s="26"/>
      <c r="H831" s="26"/>
      <c r="I831" s="26"/>
    </row>
    <row r="832" spans="1:9">
      <c r="A832" s="21"/>
      <c r="B832" s="21"/>
      <c r="D832" s="26"/>
      <c r="E832" s="26"/>
      <c r="F832" s="26"/>
      <c r="G832" s="26"/>
      <c r="H832" s="26"/>
      <c r="I832" s="26"/>
    </row>
    <row r="833" spans="1:9">
      <c r="A833" s="21"/>
      <c r="B833" s="21"/>
      <c r="D833" s="26"/>
      <c r="E833" s="26"/>
      <c r="F833" s="26"/>
      <c r="G833" s="26"/>
      <c r="H833" s="26"/>
      <c r="I833" s="26"/>
    </row>
    <row r="834" spans="1:9">
      <c r="A834" s="21"/>
      <c r="B834" s="21"/>
      <c r="D834" s="26"/>
      <c r="E834" s="26"/>
      <c r="F834" s="26"/>
      <c r="G834" s="26"/>
      <c r="H834" s="26"/>
      <c r="I834" s="26"/>
    </row>
    <row r="835" spans="1:9">
      <c r="A835" s="21"/>
      <c r="B835" s="21"/>
      <c r="D835" s="26"/>
      <c r="E835" s="26"/>
      <c r="F835" s="26"/>
      <c r="G835" s="26"/>
      <c r="H835" s="26"/>
      <c r="I835" s="26"/>
    </row>
    <row r="836" spans="1:9">
      <c r="A836" s="21"/>
      <c r="B836" s="21"/>
      <c r="D836" s="26"/>
      <c r="E836" s="26"/>
      <c r="F836" s="26"/>
      <c r="G836" s="26"/>
      <c r="H836" s="26"/>
      <c r="I836" s="26"/>
    </row>
    <row r="837" spans="1:9">
      <c r="A837" s="21"/>
      <c r="B837" s="21"/>
      <c r="D837" s="26"/>
      <c r="E837" s="26"/>
      <c r="F837" s="26"/>
      <c r="G837" s="26"/>
      <c r="H837" s="26"/>
      <c r="I837" s="26"/>
    </row>
    <row r="838" spans="1:9">
      <c r="A838" s="21"/>
      <c r="B838" s="21"/>
      <c r="D838" s="26"/>
      <c r="E838" s="26"/>
      <c r="F838" s="26"/>
      <c r="G838" s="26"/>
      <c r="H838" s="26"/>
      <c r="I838" s="26"/>
    </row>
    <row r="839" spans="1:9">
      <c r="A839" s="21"/>
      <c r="B839" s="21"/>
      <c r="D839" s="26"/>
      <c r="E839" s="26"/>
      <c r="F839" s="26"/>
      <c r="G839" s="26"/>
      <c r="H839" s="26"/>
      <c r="I839" s="26"/>
    </row>
    <row r="840" spans="1:9">
      <c r="A840" s="21"/>
      <c r="B840" s="21"/>
      <c r="D840" s="26"/>
      <c r="E840" s="26"/>
      <c r="F840" s="26"/>
      <c r="G840" s="26"/>
      <c r="H840" s="26"/>
      <c r="I840" s="26"/>
    </row>
    <row r="841" spans="1:9">
      <c r="A841" s="21"/>
      <c r="B841" s="21"/>
      <c r="D841" s="26"/>
      <c r="E841" s="26"/>
      <c r="F841" s="26"/>
      <c r="G841" s="26"/>
      <c r="H841" s="26"/>
      <c r="I841" s="26"/>
    </row>
    <row r="842" spans="1:9">
      <c r="A842" s="21"/>
      <c r="B842" s="21"/>
      <c r="D842" s="26"/>
      <c r="E842" s="26"/>
      <c r="F842" s="26"/>
      <c r="G842" s="26"/>
      <c r="H842" s="26"/>
      <c r="I842" s="26"/>
    </row>
    <row r="843" spans="1:9">
      <c r="A843" s="21"/>
      <c r="B843" s="21"/>
      <c r="D843" s="26"/>
      <c r="E843" s="26"/>
      <c r="F843" s="26"/>
      <c r="G843" s="26"/>
      <c r="H843" s="26"/>
      <c r="I843" s="26"/>
    </row>
    <row r="844" spans="1:9">
      <c r="A844" s="21"/>
      <c r="B844" s="21"/>
      <c r="D844" s="26"/>
      <c r="E844" s="26"/>
      <c r="F844" s="26"/>
      <c r="G844" s="26"/>
      <c r="H844" s="26"/>
      <c r="I844" s="26"/>
    </row>
    <row r="845" spans="1:9">
      <c r="A845" s="21"/>
      <c r="B845" s="21"/>
      <c r="D845" s="26"/>
      <c r="E845" s="26"/>
      <c r="F845" s="26"/>
      <c r="G845" s="26"/>
      <c r="H845" s="26"/>
      <c r="I845" s="26"/>
    </row>
    <row r="846" spans="1:9">
      <c r="A846" s="21"/>
      <c r="B846" s="21"/>
      <c r="D846" s="26"/>
      <c r="E846" s="26"/>
      <c r="F846" s="26"/>
      <c r="G846" s="26"/>
      <c r="H846" s="26"/>
      <c r="I846" s="26"/>
    </row>
    <row r="847" spans="1:9">
      <c r="A847" s="21"/>
      <c r="B847" s="21"/>
      <c r="D847" s="26"/>
      <c r="E847" s="26"/>
      <c r="F847" s="26"/>
      <c r="G847" s="26"/>
      <c r="H847" s="26"/>
      <c r="I847" s="26"/>
    </row>
    <row r="848" spans="1:9">
      <c r="A848" s="21"/>
      <c r="B848" s="21"/>
      <c r="D848" s="26"/>
      <c r="E848" s="26"/>
      <c r="F848" s="26"/>
      <c r="G848" s="26"/>
      <c r="H848" s="26"/>
      <c r="I848" s="26"/>
    </row>
    <row r="849" spans="1:9">
      <c r="A849" s="21"/>
      <c r="B849" s="21"/>
      <c r="D849" s="26"/>
      <c r="E849" s="26"/>
      <c r="F849" s="26"/>
      <c r="G849" s="26"/>
      <c r="H849" s="26"/>
      <c r="I849" s="26"/>
    </row>
    <row r="850" spans="1:9">
      <c r="A850" s="21"/>
      <c r="B850" s="21"/>
      <c r="D850" s="26"/>
      <c r="E850" s="26"/>
      <c r="F850" s="26"/>
      <c r="G850" s="26"/>
      <c r="H850" s="26"/>
      <c r="I850" s="26"/>
    </row>
    <row r="851" spans="1:9">
      <c r="A851" s="21"/>
      <c r="B851" s="21"/>
      <c r="D851" s="26"/>
      <c r="E851" s="26"/>
      <c r="F851" s="26"/>
      <c r="G851" s="26"/>
      <c r="H851" s="26"/>
      <c r="I851" s="26"/>
    </row>
    <row r="852" spans="1:9">
      <c r="A852" s="21"/>
      <c r="B852" s="21"/>
      <c r="D852" s="26"/>
      <c r="E852" s="26"/>
      <c r="F852" s="26"/>
      <c r="G852" s="26"/>
      <c r="H852" s="26"/>
      <c r="I852" s="26"/>
    </row>
    <row r="853" spans="1:9">
      <c r="A853" s="21"/>
      <c r="B853" s="21"/>
      <c r="D853" s="26"/>
      <c r="E853" s="26"/>
      <c r="F853" s="26"/>
      <c r="G853" s="26"/>
      <c r="H853" s="26"/>
      <c r="I853" s="26"/>
    </row>
    <row r="854" spans="1:9">
      <c r="A854" s="21"/>
      <c r="B854" s="21"/>
      <c r="D854" s="26"/>
      <c r="E854" s="26"/>
      <c r="F854" s="26"/>
      <c r="G854" s="26"/>
      <c r="H854" s="26"/>
      <c r="I854" s="26"/>
    </row>
    <row r="855" spans="1:9">
      <c r="A855" s="21"/>
      <c r="B855" s="21"/>
      <c r="D855" s="26"/>
      <c r="E855" s="26"/>
      <c r="F855" s="26"/>
      <c r="G855" s="26"/>
      <c r="H855" s="26"/>
      <c r="I855" s="26"/>
    </row>
    <row r="856" spans="1:9">
      <c r="A856" s="21"/>
      <c r="B856" s="21"/>
      <c r="D856" s="26"/>
      <c r="E856" s="26"/>
      <c r="F856" s="26"/>
      <c r="G856" s="26"/>
      <c r="H856" s="26"/>
      <c r="I856" s="26"/>
    </row>
    <row r="857" spans="1:9">
      <c r="A857" s="21"/>
      <c r="B857" s="21"/>
      <c r="D857" s="26"/>
      <c r="E857" s="26"/>
      <c r="F857" s="26"/>
      <c r="G857" s="26"/>
      <c r="H857" s="26"/>
      <c r="I857" s="26"/>
    </row>
    <row r="858" spans="1:9">
      <c r="A858" s="21"/>
      <c r="B858" s="21"/>
      <c r="D858" s="26"/>
      <c r="E858" s="26"/>
      <c r="F858" s="26"/>
      <c r="G858" s="26"/>
      <c r="H858" s="26"/>
      <c r="I858" s="26"/>
    </row>
    <row r="859" spans="1:9">
      <c r="A859" s="21"/>
      <c r="B859" s="21"/>
      <c r="D859" s="26"/>
      <c r="E859" s="26"/>
      <c r="F859" s="26"/>
      <c r="G859" s="26"/>
      <c r="H859" s="26"/>
      <c r="I859" s="26"/>
    </row>
    <row r="860" spans="1:9">
      <c r="A860" s="21"/>
      <c r="B860" s="21"/>
      <c r="D860" s="26"/>
      <c r="E860" s="26"/>
      <c r="F860" s="26"/>
      <c r="G860" s="26"/>
      <c r="H860" s="26"/>
      <c r="I860" s="26"/>
    </row>
    <row r="861" spans="1:9">
      <c r="A861" s="21"/>
      <c r="B861" s="21"/>
      <c r="D861" s="26"/>
      <c r="E861" s="26"/>
      <c r="F861" s="26"/>
      <c r="G861" s="26"/>
      <c r="H861" s="26"/>
      <c r="I861" s="26"/>
    </row>
    <row r="862" spans="1:9">
      <c r="A862" s="21"/>
      <c r="B862" s="21"/>
      <c r="D862" s="26"/>
      <c r="E862" s="26"/>
      <c r="F862" s="26"/>
      <c r="G862" s="26"/>
      <c r="H862" s="26"/>
      <c r="I862" s="26"/>
    </row>
    <row r="863" spans="1:9">
      <c r="A863" s="21"/>
      <c r="B863" s="21"/>
      <c r="D863" s="26"/>
      <c r="E863" s="26"/>
      <c r="F863" s="26"/>
      <c r="G863" s="26"/>
      <c r="H863" s="26"/>
      <c r="I863" s="26"/>
    </row>
    <row r="864" spans="1:9">
      <c r="A864" s="21"/>
      <c r="B864" s="21"/>
      <c r="D864" s="26"/>
      <c r="E864" s="26"/>
      <c r="F864" s="26"/>
      <c r="G864" s="26"/>
      <c r="H864" s="26"/>
      <c r="I864" s="26"/>
    </row>
    <row r="865" spans="1:9">
      <c r="A865" s="21"/>
      <c r="B865" s="21"/>
      <c r="D865" s="26"/>
      <c r="E865" s="26"/>
      <c r="F865" s="26"/>
      <c r="G865" s="26"/>
      <c r="H865" s="26"/>
      <c r="I865" s="26"/>
    </row>
    <row r="866" spans="1:9">
      <c r="A866" s="21"/>
      <c r="B866" s="21"/>
      <c r="D866" s="26"/>
      <c r="E866" s="26"/>
      <c r="F866" s="26"/>
      <c r="G866" s="26"/>
      <c r="H866" s="26"/>
      <c r="I866" s="26"/>
    </row>
    <row r="867" spans="1:9">
      <c r="A867" s="21"/>
      <c r="B867" s="21"/>
      <c r="D867" s="26"/>
      <c r="E867" s="26"/>
      <c r="F867" s="26"/>
      <c r="G867" s="26"/>
      <c r="H867" s="26"/>
      <c r="I867" s="26"/>
    </row>
    <row r="868" spans="1:9">
      <c r="A868" s="21"/>
      <c r="B868" s="21"/>
      <c r="D868" s="26"/>
      <c r="E868" s="26"/>
      <c r="F868" s="26"/>
      <c r="G868" s="26"/>
      <c r="H868" s="26"/>
      <c r="I868" s="26"/>
    </row>
    <row r="869" spans="1:9">
      <c r="A869" s="21"/>
      <c r="B869" s="21"/>
      <c r="D869" s="26"/>
      <c r="E869" s="26"/>
      <c r="F869" s="26"/>
      <c r="G869" s="26"/>
      <c r="H869" s="26"/>
      <c r="I869" s="26"/>
    </row>
    <row r="870" spans="1:9">
      <c r="A870" s="21"/>
      <c r="B870" s="21"/>
      <c r="D870" s="26"/>
      <c r="E870" s="26"/>
      <c r="F870" s="26"/>
      <c r="G870" s="26"/>
      <c r="H870" s="26"/>
      <c r="I870" s="26"/>
    </row>
    <row r="871" spans="1:9">
      <c r="A871" s="21"/>
      <c r="B871" s="21"/>
      <c r="D871" s="26"/>
      <c r="E871" s="26"/>
      <c r="F871" s="26"/>
      <c r="G871" s="26"/>
      <c r="H871" s="26"/>
      <c r="I871" s="26"/>
    </row>
    <row r="872" spans="1:9">
      <c r="A872" s="21"/>
      <c r="B872" s="21"/>
      <c r="D872" s="26"/>
      <c r="E872" s="26"/>
      <c r="F872" s="26"/>
      <c r="G872" s="26"/>
      <c r="H872" s="26"/>
      <c r="I872" s="26"/>
    </row>
    <row r="873" spans="1:9">
      <c r="A873" s="21"/>
      <c r="B873" s="21"/>
      <c r="D873" s="26"/>
      <c r="E873" s="26"/>
      <c r="F873" s="26"/>
      <c r="G873" s="26"/>
      <c r="H873" s="26"/>
      <c r="I873" s="26"/>
    </row>
    <row r="874" spans="1:9">
      <c r="A874" s="21"/>
      <c r="B874" s="21"/>
      <c r="D874" s="26"/>
      <c r="E874" s="26"/>
      <c r="F874" s="26"/>
      <c r="G874" s="26"/>
      <c r="H874" s="26"/>
      <c r="I874" s="26"/>
    </row>
    <row r="875" spans="1:9">
      <c r="A875" s="21"/>
      <c r="B875" s="21"/>
      <c r="D875" s="26"/>
      <c r="E875" s="26"/>
      <c r="F875" s="26"/>
      <c r="G875" s="26"/>
      <c r="H875" s="26"/>
      <c r="I875" s="26"/>
    </row>
    <row r="876" spans="1:9">
      <c r="A876" s="21"/>
      <c r="B876" s="21"/>
      <c r="D876" s="26"/>
      <c r="E876" s="26"/>
      <c r="F876" s="26"/>
      <c r="G876" s="26"/>
      <c r="H876" s="26"/>
      <c r="I876" s="26"/>
    </row>
    <row r="877" spans="1:9">
      <c r="A877" s="21"/>
      <c r="B877" s="21"/>
      <c r="D877" s="26"/>
      <c r="E877" s="26"/>
      <c r="F877" s="26"/>
      <c r="G877" s="26"/>
      <c r="H877" s="26"/>
      <c r="I877" s="26"/>
    </row>
    <row r="878" spans="1:9">
      <c r="A878" s="21"/>
      <c r="B878" s="21"/>
      <c r="D878" s="26"/>
      <c r="E878" s="26"/>
      <c r="F878" s="26"/>
      <c r="G878" s="26"/>
      <c r="H878" s="26"/>
      <c r="I878" s="26"/>
    </row>
    <row r="879" spans="1:9">
      <c r="A879" s="21"/>
      <c r="B879" s="21"/>
      <c r="D879" s="26"/>
      <c r="E879" s="26"/>
      <c r="F879" s="26"/>
      <c r="G879" s="26"/>
      <c r="H879" s="26"/>
      <c r="I879" s="26"/>
    </row>
    <row r="880" spans="1:9">
      <c r="A880" s="21"/>
      <c r="B880" s="21"/>
      <c r="D880" s="26"/>
      <c r="E880" s="26"/>
      <c r="F880" s="26"/>
      <c r="G880" s="26"/>
      <c r="H880" s="26"/>
      <c r="I880" s="26"/>
    </row>
    <row r="881" spans="1:9">
      <c r="A881" s="21"/>
      <c r="B881" s="21"/>
      <c r="D881" s="26"/>
      <c r="E881" s="26"/>
      <c r="F881" s="26"/>
      <c r="G881" s="26"/>
      <c r="H881" s="26"/>
      <c r="I881" s="26"/>
    </row>
    <row r="882" spans="1:9">
      <c r="A882" s="21"/>
      <c r="B882" s="21"/>
      <c r="D882" s="26"/>
      <c r="E882" s="26"/>
      <c r="F882" s="26"/>
      <c r="G882" s="26"/>
      <c r="H882" s="26"/>
      <c r="I882" s="26"/>
    </row>
    <row r="883" spans="1:9">
      <c r="A883" s="21"/>
      <c r="B883" s="21"/>
      <c r="D883" s="26"/>
      <c r="E883" s="26"/>
      <c r="F883" s="26"/>
      <c r="G883" s="26"/>
      <c r="H883" s="26"/>
      <c r="I883" s="26"/>
    </row>
    <row r="884" spans="1:9">
      <c r="A884" s="21"/>
      <c r="B884" s="21"/>
      <c r="D884" s="26"/>
      <c r="E884" s="26"/>
      <c r="F884" s="26"/>
      <c r="G884" s="26"/>
      <c r="H884" s="26"/>
      <c r="I884" s="26"/>
    </row>
    <row r="885" spans="1:9">
      <c r="A885" s="21"/>
      <c r="B885" s="21"/>
      <c r="D885" s="26"/>
      <c r="E885" s="26"/>
      <c r="F885" s="26"/>
      <c r="G885" s="26"/>
      <c r="H885" s="26"/>
      <c r="I885" s="26"/>
    </row>
    <row r="886" spans="1:9">
      <c r="A886" s="21"/>
      <c r="B886" s="21"/>
      <c r="D886" s="26"/>
      <c r="E886" s="26"/>
      <c r="F886" s="26"/>
      <c r="G886" s="26"/>
      <c r="H886" s="26"/>
      <c r="I886" s="26"/>
    </row>
    <row r="887" spans="1:9">
      <c r="A887" s="21"/>
      <c r="B887" s="21"/>
      <c r="D887" s="26"/>
      <c r="E887" s="26"/>
      <c r="F887" s="26"/>
      <c r="G887" s="26"/>
      <c r="H887" s="26"/>
      <c r="I887" s="26"/>
    </row>
    <row r="888" spans="1:9">
      <c r="A888" s="21"/>
      <c r="B888" s="21"/>
      <c r="D888" s="26"/>
      <c r="E888" s="26"/>
      <c r="F888" s="26"/>
      <c r="G888" s="26"/>
      <c r="H888" s="26"/>
      <c r="I888" s="26"/>
    </row>
    <row r="889" spans="1:9">
      <c r="A889" s="21"/>
      <c r="B889" s="21"/>
      <c r="D889" s="26"/>
      <c r="E889" s="26"/>
      <c r="F889" s="26"/>
      <c r="G889" s="26"/>
      <c r="H889" s="26"/>
      <c r="I889" s="26"/>
    </row>
    <row r="890" spans="1:9">
      <c r="A890" s="21"/>
      <c r="B890" s="21"/>
      <c r="D890" s="26"/>
      <c r="E890" s="26"/>
      <c r="F890" s="26"/>
      <c r="G890" s="26"/>
      <c r="H890" s="26"/>
      <c r="I890" s="26"/>
    </row>
    <row r="891" spans="1:9">
      <c r="A891" s="21"/>
      <c r="B891" s="21"/>
      <c r="D891" s="26"/>
      <c r="E891" s="26"/>
      <c r="F891" s="26"/>
      <c r="G891" s="26"/>
      <c r="H891" s="26"/>
      <c r="I891" s="26"/>
    </row>
    <row r="892" spans="1:9">
      <c r="A892" s="21"/>
      <c r="B892" s="21"/>
      <c r="D892" s="26"/>
      <c r="E892" s="26"/>
      <c r="F892" s="26"/>
      <c r="G892" s="26"/>
      <c r="H892" s="26"/>
      <c r="I892" s="26"/>
    </row>
    <row r="893" spans="1:9">
      <c r="A893" s="21"/>
      <c r="B893" s="21"/>
      <c r="D893" s="26"/>
      <c r="E893" s="26"/>
      <c r="F893" s="26"/>
      <c r="G893" s="26"/>
      <c r="H893" s="26"/>
      <c r="I893" s="26"/>
    </row>
    <row r="894" spans="1:9">
      <c r="A894" s="21"/>
      <c r="B894" s="21"/>
      <c r="D894" s="26"/>
      <c r="E894" s="26"/>
      <c r="F894" s="26"/>
      <c r="G894" s="26"/>
      <c r="H894" s="26"/>
      <c r="I894" s="26"/>
    </row>
    <row r="895" spans="1:9">
      <c r="A895" s="21"/>
      <c r="B895" s="21"/>
      <c r="D895" s="26"/>
      <c r="E895" s="26"/>
      <c r="F895" s="26"/>
      <c r="G895" s="26"/>
      <c r="H895" s="26"/>
      <c r="I895" s="26"/>
    </row>
    <row r="896" spans="1:9">
      <c r="A896" s="21"/>
      <c r="B896" s="21"/>
      <c r="D896" s="26"/>
      <c r="E896" s="26"/>
      <c r="F896" s="26"/>
      <c r="G896" s="26"/>
      <c r="H896" s="26"/>
      <c r="I896" s="26"/>
    </row>
    <row r="897" spans="1:9">
      <c r="A897" s="21"/>
      <c r="B897" s="21"/>
      <c r="D897" s="26"/>
      <c r="E897" s="26"/>
      <c r="F897" s="26"/>
      <c r="G897" s="26"/>
      <c r="H897" s="26"/>
      <c r="I897" s="26"/>
    </row>
    <row r="898" spans="1:9">
      <c r="A898" s="21"/>
      <c r="B898" s="21"/>
      <c r="D898" s="26"/>
      <c r="E898" s="26"/>
      <c r="F898" s="26"/>
      <c r="G898" s="26"/>
      <c r="H898" s="26"/>
      <c r="I898" s="26"/>
    </row>
    <row r="899" spans="1:9">
      <c r="A899" s="21"/>
      <c r="B899" s="21"/>
      <c r="D899" s="26"/>
      <c r="E899" s="26"/>
      <c r="F899" s="26"/>
      <c r="G899" s="26"/>
      <c r="H899" s="26"/>
      <c r="I899" s="26"/>
    </row>
    <row r="900" spans="1:9">
      <c r="A900" s="21"/>
      <c r="B900" s="21"/>
      <c r="D900" s="26"/>
      <c r="E900" s="26"/>
      <c r="F900" s="26"/>
      <c r="G900" s="26"/>
      <c r="H900" s="26"/>
      <c r="I900" s="26"/>
    </row>
    <row r="901" spans="1:9">
      <c r="A901" s="21"/>
      <c r="B901" s="21"/>
      <c r="D901" s="26"/>
      <c r="E901" s="26"/>
      <c r="F901" s="26"/>
      <c r="G901" s="26"/>
      <c r="H901" s="26"/>
      <c r="I901" s="26"/>
    </row>
    <row r="902" spans="1:9">
      <c r="A902" s="21"/>
      <c r="B902" s="21"/>
      <c r="D902" s="26"/>
      <c r="E902" s="26"/>
      <c r="F902" s="26"/>
      <c r="G902" s="26"/>
      <c r="H902" s="26"/>
      <c r="I902" s="26"/>
    </row>
    <row r="903" spans="1:9">
      <c r="A903" s="21"/>
      <c r="B903" s="21"/>
      <c r="D903" s="26"/>
      <c r="E903" s="26"/>
      <c r="F903" s="26"/>
      <c r="G903" s="26"/>
      <c r="H903" s="26"/>
      <c r="I903" s="26"/>
    </row>
    <row r="904" spans="1:9">
      <c r="A904" s="21"/>
      <c r="B904" s="21"/>
      <c r="D904" s="26"/>
      <c r="E904" s="26"/>
      <c r="F904" s="26"/>
      <c r="G904" s="26"/>
      <c r="H904" s="26"/>
      <c r="I904" s="26"/>
    </row>
    <row r="905" spans="1:9">
      <c r="A905" s="21"/>
      <c r="B905" s="21"/>
      <c r="D905" s="26"/>
      <c r="E905" s="26"/>
      <c r="F905" s="26"/>
      <c r="G905" s="26"/>
      <c r="H905" s="26"/>
      <c r="I905" s="26"/>
    </row>
    <row r="906" spans="1:9">
      <c r="A906" s="21"/>
      <c r="B906" s="21"/>
      <c r="D906" s="26"/>
      <c r="E906" s="26"/>
      <c r="F906" s="26"/>
      <c r="G906" s="26"/>
      <c r="H906" s="26"/>
      <c r="I906" s="26"/>
    </row>
    <row r="907" spans="1:9">
      <c r="A907" s="21"/>
      <c r="B907" s="21"/>
      <c r="D907" s="26"/>
      <c r="E907" s="26"/>
      <c r="F907" s="26"/>
      <c r="G907" s="26"/>
      <c r="H907" s="26"/>
      <c r="I907" s="26"/>
    </row>
    <row r="908" spans="1:9">
      <c r="A908" s="21"/>
      <c r="B908" s="21"/>
      <c r="D908" s="26"/>
      <c r="E908" s="26"/>
      <c r="F908" s="26"/>
      <c r="G908" s="26"/>
      <c r="H908" s="26"/>
      <c r="I908" s="26"/>
    </row>
    <row r="909" spans="1:9">
      <c r="A909" s="21"/>
      <c r="B909" s="21"/>
      <c r="D909" s="26"/>
      <c r="E909" s="26"/>
      <c r="F909" s="26"/>
      <c r="G909" s="26"/>
      <c r="H909" s="26"/>
      <c r="I909" s="26"/>
    </row>
    <row r="910" spans="1:9">
      <c r="A910" s="21"/>
      <c r="B910" s="21"/>
      <c r="D910" s="26"/>
      <c r="E910" s="26"/>
      <c r="F910" s="26"/>
      <c r="G910" s="26"/>
      <c r="H910" s="26"/>
      <c r="I910" s="26"/>
    </row>
    <row r="911" spans="1:9">
      <c r="A911" s="21"/>
      <c r="B911" s="21"/>
      <c r="D911" s="26"/>
      <c r="E911" s="26"/>
      <c r="F911" s="26"/>
      <c r="G911" s="26"/>
      <c r="H911" s="26"/>
      <c r="I911" s="26"/>
    </row>
    <row r="912" spans="1:9">
      <c r="A912" s="21"/>
      <c r="B912" s="21"/>
      <c r="D912" s="26"/>
      <c r="E912" s="26"/>
      <c r="F912" s="26"/>
      <c r="G912" s="26"/>
      <c r="H912" s="26"/>
      <c r="I912" s="26"/>
    </row>
    <row r="913" spans="1:9">
      <c r="A913" s="21"/>
      <c r="B913" s="21"/>
      <c r="D913" s="26"/>
      <c r="E913" s="26"/>
      <c r="F913" s="26"/>
      <c r="G913" s="26"/>
      <c r="H913" s="26"/>
      <c r="I913" s="26"/>
    </row>
    <row r="914" spans="1:9">
      <c r="A914" s="21"/>
      <c r="B914" s="21"/>
      <c r="D914" s="26"/>
      <c r="E914" s="26"/>
      <c r="F914" s="26"/>
      <c r="G914" s="26"/>
      <c r="H914" s="26"/>
      <c r="I914" s="26"/>
    </row>
    <row r="915" spans="1:9">
      <c r="A915" s="21"/>
      <c r="B915" s="21"/>
      <c r="D915" s="26"/>
      <c r="E915" s="26"/>
      <c r="F915" s="26"/>
      <c r="G915" s="26"/>
      <c r="H915" s="26"/>
      <c r="I915" s="26"/>
    </row>
    <row r="916" spans="1:9">
      <c r="A916" s="21"/>
      <c r="B916" s="21"/>
      <c r="D916" s="26"/>
      <c r="E916" s="26"/>
      <c r="F916" s="26"/>
      <c r="G916" s="26"/>
      <c r="H916" s="26"/>
      <c r="I916" s="26"/>
    </row>
    <row r="917" spans="1:9">
      <c r="A917" s="21"/>
      <c r="B917" s="21"/>
      <c r="D917" s="26"/>
      <c r="E917" s="26"/>
      <c r="F917" s="26"/>
      <c r="G917" s="26"/>
      <c r="H917" s="26"/>
      <c r="I917" s="26"/>
    </row>
    <row r="918" spans="1:9">
      <c r="A918" s="21"/>
      <c r="B918" s="21"/>
      <c r="D918" s="26"/>
      <c r="E918" s="26"/>
      <c r="F918" s="26"/>
      <c r="G918" s="26"/>
      <c r="H918" s="26"/>
      <c r="I918" s="26"/>
    </row>
    <row r="919" spans="1:9">
      <c r="A919" s="21"/>
      <c r="B919" s="21"/>
      <c r="D919" s="26"/>
      <c r="E919" s="26"/>
      <c r="F919" s="26"/>
      <c r="G919" s="26"/>
      <c r="H919" s="26"/>
      <c r="I919" s="26"/>
    </row>
    <row r="920" spans="1:9">
      <c r="A920" s="21"/>
      <c r="B920" s="21"/>
      <c r="D920" s="26"/>
      <c r="E920" s="26"/>
      <c r="F920" s="26"/>
      <c r="G920" s="26"/>
      <c r="H920" s="26"/>
      <c r="I920" s="26"/>
    </row>
    <row r="921" spans="1:9">
      <c r="A921" s="21"/>
      <c r="B921" s="21"/>
      <c r="D921" s="26"/>
      <c r="E921" s="26"/>
      <c r="F921" s="26"/>
      <c r="G921" s="26"/>
      <c r="H921" s="26"/>
      <c r="I921" s="26"/>
    </row>
    <row r="922" spans="1:9">
      <c r="A922" s="21"/>
      <c r="B922" s="21"/>
      <c r="D922" s="26"/>
      <c r="E922" s="26"/>
      <c r="F922" s="26"/>
      <c r="G922" s="26"/>
      <c r="H922" s="26"/>
      <c r="I922" s="26"/>
    </row>
    <row r="923" spans="1:9">
      <c r="A923" s="21"/>
      <c r="B923" s="21"/>
      <c r="D923" s="26"/>
      <c r="E923" s="26"/>
      <c r="F923" s="26"/>
      <c r="G923" s="26"/>
      <c r="H923" s="26"/>
      <c r="I923" s="26"/>
    </row>
    <row r="924" spans="1:9">
      <c r="A924" s="21"/>
      <c r="B924" s="21"/>
      <c r="D924" s="26"/>
      <c r="E924" s="26"/>
      <c r="F924" s="26"/>
      <c r="G924" s="26"/>
      <c r="H924" s="26"/>
      <c r="I924" s="26"/>
    </row>
    <row r="925" spans="1:9">
      <c r="A925" s="21"/>
      <c r="B925" s="21"/>
      <c r="D925" s="26"/>
      <c r="E925" s="26"/>
      <c r="F925" s="26"/>
      <c r="G925" s="26"/>
      <c r="H925" s="26"/>
      <c r="I925" s="26"/>
    </row>
    <row r="926" spans="1:9">
      <c r="A926" s="21"/>
      <c r="B926" s="21"/>
      <c r="D926" s="26"/>
      <c r="E926" s="26"/>
      <c r="F926" s="26"/>
      <c r="G926" s="26"/>
      <c r="H926" s="26"/>
      <c r="I926" s="26"/>
    </row>
    <row r="927" spans="1:9">
      <c r="A927" s="21"/>
      <c r="B927" s="21"/>
      <c r="D927" s="26"/>
      <c r="E927" s="26"/>
      <c r="F927" s="26"/>
      <c r="G927" s="26"/>
      <c r="H927" s="26"/>
      <c r="I927" s="26"/>
    </row>
    <row r="928" spans="1:9">
      <c r="A928" s="21"/>
      <c r="B928" s="21"/>
      <c r="D928" s="26"/>
      <c r="E928" s="26"/>
      <c r="F928" s="26"/>
      <c r="G928" s="26"/>
      <c r="H928" s="26"/>
      <c r="I928" s="26"/>
    </row>
    <row r="929" spans="1:9">
      <c r="A929" s="21"/>
      <c r="B929" s="21"/>
      <c r="D929" s="26"/>
      <c r="E929" s="26"/>
      <c r="F929" s="26"/>
      <c r="G929" s="26"/>
      <c r="H929" s="26"/>
      <c r="I929" s="26"/>
    </row>
    <row r="930" spans="1:9">
      <c r="A930" s="21"/>
      <c r="B930" s="21"/>
      <c r="D930" s="26"/>
      <c r="E930" s="26"/>
      <c r="F930" s="26"/>
      <c r="G930" s="26"/>
      <c r="H930" s="26"/>
      <c r="I930" s="26"/>
    </row>
    <row r="931" spans="1:9">
      <c r="A931" s="21"/>
      <c r="B931" s="21"/>
      <c r="D931" s="26"/>
      <c r="E931" s="26"/>
      <c r="F931" s="26"/>
      <c r="G931" s="26"/>
      <c r="H931" s="26"/>
      <c r="I931" s="26"/>
    </row>
    <row r="932" spans="1:9">
      <c r="A932" s="21"/>
      <c r="B932" s="21"/>
      <c r="D932" s="26"/>
      <c r="E932" s="26"/>
      <c r="F932" s="26"/>
      <c r="G932" s="26"/>
      <c r="H932" s="26"/>
      <c r="I932" s="26"/>
    </row>
    <row r="933" spans="1:9">
      <c r="A933" s="21"/>
      <c r="B933" s="21"/>
      <c r="D933" s="26"/>
      <c r="E933" s="26"/>
      <c r="F933" s="26"/>
      <c r="G933" s="26"/>
      <c r="H933" s="26"/>
      <c r="I933" s="26"/>
    </row>
    <row r="934" spans="1:9">
      <c r="A934" s="21"/>
      <c r="B934" s="21"/>
      <c r="D934" s="26"/>
      <c r="E934" s="26"/>
      <c r="F934" s="26"/>
      <c r="G934" s="26"/>
      <c r="H934" s="26"/>
      <c r="I934" s="26"/>
    </row>
    <row r="935" spans="1:9">
      <c r="A935" s="21"/>
      <c r="B935" s="21"/>
      <c r="D935" s="26"/>
      <c r="E935" s="26"/>
      <c r="F935" s="26"/>
      <c r="G935" s="26"/>
      <c r="H935" s="26"/>
      <c r="I935" s="26"/>
    </row>
    <row r="936" spans="1:9">
      <c r="A936" s="21"/>
      <c r="B936" s="21"/>
      <c r="D936" s="26"/>
      <c r="E936" s="26"/>
      <c r="F936" s="26"/>
      <c r="G936" s="26"/>
      <c r="H936" s="26"/>
      <c r="I936" s="26"/>
    </row>
    <row r="937" spans="1:9">
      <c r="A937" s="21"/>
      <c r="B937" s="21"/>
      <c r="D937" s="26"/>
      <c r="E937" s="26"/>
      <c r="F937" s="26"/>
      <c r="G937" s="26"/>
      <c r="H937" s="26"/>
      <c r="I937" s="26"/>
    </row>
    <row r="938" spans="1:9">
      <c r="A938" s="21"/>
      <c r="B938" s="21"/>
      <c r="D938" s="26"/>
      <c r="E938" s="26"/>
      <c r="F938" s="26"/>
      <c r="G938" s="26"/>
      <c r="H938" s="26"/>
      <c r="I938" s="26"/>
    </row>
    <row r="939" spans="1:9">
      <c r="A939" s="21"/>
      <c r="B939" s="21"/>
      <c r="D939" s="26"/>
      <c r="E939" s="26"/>
      <c r="F939" s="26"/>
      <c r="G939" s="26"/>
      <c r="H939" s="26"/>
      <c r="I939" s="26"/>
    </row>
    <row r="940" spans="1:9">
      <c r="A940" s="21"/>
      <c r="B940" s="21"/>
      <c r="D940" s="26"/>
      <c r="E940" s="26"/>
      <c r="F940" s="26"/>
      <c r="G940" s="26"/>
      <c r="H940" s="26"/>
      <c r="I940" s="26"/>
    </row>
    <row r="941" spans="1:9">
      <c r="A941" s="21"/>
      <c r="B941" s="21"/>
      <c r="D941" s="26"/>
      <c r="E941" s="26"/>
      <c r="F941" s="26"/>
      <c r="G941" s="26"/>
      <c r="H941" s="26"/>
      <c r="I941" s="26"/>
    </row>
    <row r="942" spans="1:9">
      <c r="A942" s="21"/>
      <c r="B942" s="21"/>
      <c r="D942" s="26"/>
      <c r="E942" s="26"/>
      <c r="F942" s="26"/>
      <c r="G942" s="26"/>
      <c r="H942" s="26"/>
      <c r="I942" s="26"/>
    </row>
    <row r="943" spans="1:9">
      <c r="A943" s="21"/>
      <c r="B943" s="21"/>
      <c r="D943" s="26"/>
      <c r="E943" s="26"/>
      <c r="F943" s="26"/>
      <c r="G943" s="26"/>
      <c r="H943" s="26"/>
      <c r="I943" s="26"/>
    </row>
    <row r="944" spans="1:9">
      <c r="A944" s="21"/>
      <c r="B944" s="21"/>
      <c r="D944" s="26"/>
      <c r="E944" s="26"/>
      <c r="F944" s="26"/>
      <c r="G944" s="26"/>
      <c r="H944" s="26"/>
      <c r="I944" s="26"/>
    </row>
    <row r="945" spans="1:9">
      <c r="A945" s="21"/>
      <c r="B945" s="21"/>
      <c r="D945" s="26"/>
      <c r="E945" s="26"/>
      <c r="F945" s="26"/>
      <c r="G945" s="26"/>
      <c r="H945" s="26"/>
      <c r="I945" s="26"/>
    </row>
    <row r="946" spans="1:9">
      <c r="A946" s="21"/>
      <c r="B946" s="21"/>
      <c r="D946" s="26"/>
      <c r="E946" s="26"/>
      <c r="F946" s="26"/>
      <c r="G946" s="26"/>
      <c r="H946" s="26"/>
      <c r="I946" s="26"/>
    </row>
    <row r="947" spans="1:9">
      <c r="A947" s="21"/>
      <c r="B947" s="21"/>
      <c r="D947" s="26"/>
      <c r="E947" s="26"/>
      <c r="F947" s="26"/>
      <c r="G947" s="26"/>
      <c r="H947" s="26"/>
      <c r="I947" s="26"/>
    </row>
    <row r="948" spans="1:9">
      <c r="A948" s="21"/>
      <c r="B948" s="21"/>
      <c r="D948" s="26"/>
      <c r="E948" s="26"/>
      <c r="F948" s="26"/>
      <c r="G948" s="26"/>
      <c r="H948" s="26"/>
      <c r="I948" s="26"/>
    </row>
    <row r="949" spans="1:9">
      <c r="A949" s="21"/>
      <c r="B949" s="21"/>
      <c r="D949" s="26"/>
      <c r="E949" s="26"/>
      <c r="F949" s="26"/>
      <c r="G949" s="26"/>
      <c r="H949" s="26"/>
      <c r="I949" s="26"/>
    </row>
    <row r="950" spans="1:9">
      <c r="A950" s="21"/>
      <c r="B950" s="21"/>
      <c r="D950" s="26"/>
      <c r="E950" s="26"/>
      <c r="F950" s="26"/>
      <c r="G950" s="26"/>
      <c r="H950" s="26"/>
      <c r="I950" s="26"/>
    </row>
    <row r="951" spans="1:9">
      <c r="A951" s="21"/>
      <c r="B951" s="21"/>
      <c r="D951" s="26"/>
      <c r="E951" s="26"/>
      <c r="F951" s="26"/>
      <c r="G951" s="26"/>
      <c r="H951" s="26"/>
      <c r="I951" s="26"/>
    </row>
    <row r="952" spans="1:9">
      <c r="A952" s="21"/>
      <c r="B952" s="21"/>
      <c r="D952" s="26"/>
      <c r="E952" s="26"/>
      <c r="F952" s="26"/>
      <c r="G952" s="26"/>
      <c r="H952" s="26"/>
      <c r="I952" s="26"/>
    </row>
    <row r="953" spans="1:9">
      <c r="A953" s="21"/>
      <c r="B953" s="21"/>
      <c r="D953" s="26"/>
      <c r="E953" s="26"/>
      <c r="F953" s="26"/>
      <c r="G953" s="26"/>
      <c r="H953" s="26"/>
      <c r="I953" s="26"/>
    </row>
    <row r="954" spans="1:9">
      <c r="A954" s="21"/>
      <c r="B954" s="21"/>
      <c r="D954" s="26"/>
      <c r="E954" s="26"/>
      <c r="F954" s="26"/>
      <c r="G954" s="26"/>
      <c r="H954" s="26"/>
      <c r="I954" s="26"/>
    </row>
    <row r="955" spans="1:9">
      <c r="A955" s="21"/>
      <c r="B955" s="21"/>
      <c r="D955" s="26"/>
      <c r="E955" s="26"/>
      <c r="F955" s="26"/>
      <c r="G955" s="26"/>
      <c r="H955" s="26"/>
      <c r="I955" s="26"/>
    </row>
    <row r="956" spans="1:9">
      <c r="A956" s="21"/>
      <c r="B956" s="21"/>
      <c r="D956" s="26"/>
      <c r="E956" s="26"/>
      <c r="F956" s="26"/>
      <c r="G956" s="26"/>
      <c r="H956" s="26"/>
      <c r="I956" s="26"/>
    </row>
    <row r="957" spans="1:9">
      <c r="A957" s="21"/>
      <c r="B957" s="21"/>
      <c r="D957" s="26"/>
      <c r="E957" s="26"/>
      <c r="F957" s="26"/>
      <c r="G957" s="26"/>
      <c r="H957" s="26"/>
      <c r="I957" s="26"/>
    </row>
    <row r="958" spans="1:9">
      <c r="A958" s="21"/>
      <c r="B958" s="21"/>
      <c r="D958" s="26"/>
      <c r="E958" s="26"/>
      <c r="F958" s="26"/>
      <c r="G958" s="26"/>
      <c r="H958" s="26"/>
      <c r="I958" s="26"/>
    </row>
    <row r="959" spans="1:9">
      <c r="A959" s="21"/>
      <c r="B959" s="21"/>
      <c r="D959" s="26"/>
      <c r="E959" s="26"/>
      <c r="F959" s="26"/>
      <c r="G959" s="26"/>
      <c r="H959" s="26"/>
      <c r="I959" s="26"/>
    </row>
    <row r="960" spans="1:9">
      <c r="A960" s="21"/>
      <c r="B960" s="21"/>
      <c r="D960" s="26"/>
      <c r="E960" s="26"/>
      <c r="F960" s="26"/>
      <c r="G960" s="26"/>
      <c r="H960" s="26"/>
      <c r="I960" s="26"/>
    </row>
    <row r="961" spans="1:9">
      <c r="A961" s="21"/>
      <c r="B961" s="21"/>
      <c r="D961" s="26"/>
      <c r="E961" s="26"/>
      <c r="F961" s="26"/>
      <c r="G961" s="26"/>
      <c r="H961" s="26"/>
      <c r="I961" s="26"/>
    </row>
    <row r="962" spans="1:9">
      <c r="A962" s="21"/>
      <c r="B962" s="21"/>
      <c r="D962" s="26"/>
      <c r="E962" s="26"/>
      <c r="F962" s="26"/>
      <c r="G962" s="26"/>
      <c r="H962" s="26"/>
      <c r="I962" s="26"/>
    </row>
    <row r="963" spans="1:9">
      <c r="A963" s="21"/>
      <c r="B963" s="21"/>
      <c r="D963" s="26"/>
      <c r="E963" s="26"/>
      <c r="F963" s="26"/>
      <c r="G963" s="26"/>
      <c r="H963" s="26"/>
      <c r="I963" s="26"/>
    </row>
    <row r="964" spans="1:9">
      <c r="A964" s="21"/>
      <c r="B964" s="21"/>
      <c r="D964" s="26"/>
      <c r="E964" s="26"/>
      <c r="F964" s="26"/>
      <c r="G964" s="26"/>
      <c r="H964" s="26"/>
      <c r="I964" s="26"/>
    </row>
    <row r="965" spans="1:9">
      <c r="A965" s="21"/>
      <c r="B965" s="21"/>
      <c r="D965" s="26"/>
      <c r="E965" s="26"/>
      <c r="F965" s="26"/>
      <c r="G965" s="26"/>
      <c r="H965" s="26"/>
      <c r="I965" s="26"/>
    </row>
    <row r="966" spans="1:9">
      <c r="A966" s="21"/>
      <c r="B966" s="21"/>
      <c r="D966" s="26"/>
      <c r="E966" s="26"/>
      <c r="F966" s="26"/>
      <c r="G966" s="26"/>
      <c r="H966" s="26"/>
      <c r="I966" s="26"/>
    </row>
    <row r="967" spans="1:9">
      <c r="A967" s="21"/>
      <c r="B967" s="21"/>
      <c r="D967" s="26"/>
      <c r="E967" s="26"/>
      <c r="F967" s="26"/>
      <c r="G967" s="26"/>
      <c r="H967" s="26"/>
      <c r="I967" s="26"/>
    </row>
    <row r="968" spans="1:9">
      <c r="A968" s="21"/>
      <c r="B968" s="21"/>
      <c r="D968" s="26"/>
      <c r="E968" s="26"/>
      <c r="F968" s="26"/>
      <c r="G968" s="26"/>
      <c r="H968" s="26"/>
      <c r="I968" s="26"/>
    </row>
    <row r="969" spans="1:9">
      <c r="A969" s="21"/>
      <c r="B969" s="21"/>
      <c r="D969" s="26"/>
      <c r="E969" s="26"/>
      <c r="F969" s="26"/>
      <c r="G969" s="26"/>
      <c r="H969" s="26"/>
      <c r="I969" s="26"/>
    </row>
    <row r="970" spans="1:9">
      <c r="A970" s="21"/>
      <c r="B970" s="21"/>
      <c r="D970" s="26"/>
      <c r="E970" s="26"/>
      <c r="F970" s="26"/>
      <c r="G970" s="26"/>
      <c r="H970" s="26"/>
      <c r="I970" s="26"/>
    </row>
    <row r="971" spans="1:9">
      <c r="A971" s="21"/>
      <c r="B971" s="21"/>
      <c r="D971" s="26"/>
      <c r="E971" s="26"/>
      <c r="F971" s="26"/>
      <c r="G971" s="26"/>
      <c r="H971" s="26"/>
      <c r="I971" s="26"/>
    </row>
    <row r="972" spans="1:9">
      <c r="A972" s="21"/>
      <c r="B972" s="21"/>
      <c r="D972" s="26"/>
      <c r="E972" s="26"/>
      <c r="F972" s="26"/>
      <c r="G972" s="26"/>
      <c r="H972" s="26"/>
      <c r="I972" s="26"/>
    </row>
    <row r="973" spans="1:9">
      <c r="A973" s="21"/>
      <c r="B973" s="21"/>
      <c r="D973" s="26"/>
      <c r="E973" s="26"/>
      <c r="F973" s="26"/>
      <c r="G973" s="26"/>
      <c r="H973" s="26"/>
      <c r="I973" s="26"/>
    </row>
    <row r="974" spans="1:9">
      <c r="A974" s="21"/>
      <c r="B974" s="21"/>
      <c r="D974" s="26"/>
      <c r="E974" s="26"/>
      <c r="F974" s="26"/>
      <c r="G974" s="26"/>
      <c r="H974" s="26"/>
      <c r="I974" s="26"/>
    </row>
    <row r="975" spans="1:9">
      <c r="A975" s="21"/>
      <c r="B975" s="21"/>
      <c r="D975" s="26"/>
      <c r="E975" s="26"/>
      <c r="F975" s="26"/>
      <c r="G975" s="26"/>
      <c r="H975" s="26"/>
      <c r="I975" s="26"/>
    </row>
    <row r="976" spans="1:9">
      <c r="A976" s="21"/>
      <c r="B976" s="21"/>
      <c r="D976" s="26"/>
      <c r="E976" s="26"/>
      <c r="F976" s="26"/>
      <c r="G976" s="26"/>
      <c r="H976" s="26"/>
      <c r="I976" s="26"/>
    </row>
    <row r="977" spans="1:9">
      <c r="A977" s="21"/>
      <c r="B977" s="21"/>
      <c r="D977" s="26"/>
      <c r="E977" s="26"/>
      <c r="F977" s="26"/>
      <c r="G977" s="26"/>
      <c r="H977" s="26"/>
      <c r="I977" s="26"/>
    </row>
    <row r="978" spans="1:9">
      <c r="A978" s="21"/>
      <c r="B978" s="21"/>
      <c r="D978" s="26"/>
      <c r="E978" s="26"/>
      <c r="F978" s="26"/>
      <c r="G978" s="26"/>
      <c r="H978" s="26"/>
      <c r="I978" s="26"/>
    </row>
    <row r="979" spans="1:9">
      <c r="A979" s="21"/>
      <c r="B979" s="21"/>
      <c r="D979" s="26"/>
      <c r="E979" s="26"/>
      <c r="F979" s="26"/>
      <c r="G979" s="26"/>
      <c r="H979" s="26"/>
      <c r="I979" s="26"/>
    </row>
    <row r="980" spans="1:9">
      <c r="A980" s="21"/>
      <c r="B980" s="21"/>
      <c r="D980" s="26"/>
      <c r="E980" s="26"/>
      <c r="F980" s="26"/>
      <c r="G980" s="26"/>
      <c r="H980" s="26"/>
      <c r="I980" s="26"/>
    </row>
    <row r="981" spans="1:9">
      <c r="A981" s="21"/>
      <c r="B981" s="21"/>
      <c r="D981" s="26"/>
      <c r="E981" s="26"/>
      <c r="F981" s="26"/>
      <c r="G981" s="26"/>
      <c r="H981" s="26"/>
      <c r="I981" s="26"/>
    </row>
    <row r="982" spans="1:9">
      <c r="A982" s="21"/>
      <c r="B982" s="21"/>
      <c r="D982" s="26"/>
      <c r="E982" s="26"/>
      <c r="F982" s="26"/>
      <c r="G982" s="26"/>
      <c r="H982" s="26"/>
      <c r="I982" s="26"/>
    </row>
    <row r="983" spans="1:9">
      <c r="A983" s="21"/>
      <c r="B983" s="21"/>
      <c r="D983" s="26"/>
      <c r="E983" s="26"/>
      <c r="F983" s="26"/>
      <c r="G983" s="26"/>
      <c r="H983" s="26"/>
      <c r="I983" s="26"/>
    </row>
    <row r="984" spans="1:9">
      <c r="A984" s="21"/>
      <c r="B984" s="21"/>
      <c r="D984" s="26"/>
      <c r="E984" s="26"/>
      <c r="F984" s="26"/>
      <c r="G984" s="26"/>
      <c r="H984" s="26"/>
      <c r="I984" s="26"/>
    </row>
    <row r="985" spans="1:9">
      <c r="A985" s="21"/>
      <c r="B985" s="21"/>
      <c r="D985" s="26"/>
      <c r="E985" s="26"/>
      <c r="F985" s="26"/>
      <c r="G985" s="26"/>
      <c r="H985" s="26"/>
      <c r="I985" s="26"/>
    </row>
    <row r="986" spans="1:9">
      <c r="A986" s="21"/>
      <c r="B986" s="21"/>
      <c r="D986" s="26"/>
      <c r="E986" s="26"/>
      <c r="F986" s="26"/>
      <c r="G986" s="26"/>
      <c r="H986" s="26"/>
      <c r="I986" s="26"/>
    </row>
    <row r="987" spans="1:9">
      <c r="A987" s="21"/>
      <c r="B987" s="21"/>
      <c r="D987" s="26"/>
      <c r="E987" s="26"/>
      <c r="F987" s="26"/>
      <c r="G987" s="26"/>
      <c r="H987" s="26"/>
      <c r="I987" s="26"/>
    </row>
    <row r="988" spans="1:9">
      <c r="A988" s="21"/>
      <c r="B988" s="21"/>
      <c r="D988" s="26"/>
      <c r="E988" s="26"/>
      <c r="F988" s="26"/>
      <c r="G988" s="26"/>
      <c r="H988" s="26"/>
      <c r="I988" s="26"/>
    </row>
    <row r="989" spans="1:9">
      <c r="A989" s="21"/>
      <c r="B989" s="21"/>
      <c r="D989" s="26"/>
      <c r="E989" s="26"/>
      <c r="F989" s="26"/>
      <c r="G989" s="26"/>
      <c r="H989" s="26"/>
      <c r="I989" s="26"/>
    </row>
    <row r="990" spans="1:9">
      <c r="A990" s="21"/>
      <c r="B990" s="21"/>
      <c r="D990" s="26"/>
      <c r="E990" s="26"/>
      <c r="F990" s="26"/>
      <c r="G990" s="26"/>
      <c r="H990" s="26"/>
      <c r="I990" s="26"/>
    </row>
    <row r="991" spans="1:9">
      <c r="A991" s="21"/>
      <c r="B991" s="21"/>
      <c r="D991" s="26"/>
      <c r="E991" s="26"/>
      <c r="F991" s="26"/>
      <c r="G991" s="26"/>
      <c r="H991" s="26"/>
      <c r="I991" s="26"/>
    </row>
    <row r="992" spans="1:9">
      <c r="A992" s="21"/>
      <c r="B992" s="21"/>
      <c r="D992" s="26"/>
      <c r="E992" s="26"/>
      <c r="F992" s="26"/>
      <c r="G992" s="26"/>
      <c r="H992" s="26"/>
      <c r="I992" s="26"/>
    </row>
    <row r="993" spans="1:9">
      <c r="A993" s="21"/>
      <c r="B993" s="21"/>
      <c r="D993" s="26"/>
      <c r="E993" s="26"/>
      <c r="F993" s="26"/>
      <c r="G993" s="26"/>
      <c r="H993" s="26"/>
      <c r="I993" s="26"/>
    </row>
    <row r="994" spans="1:9">
      <c r="A994" s="21"/>
      <c r="B994" s="21"/>
      <c r="D994" s="26"/>
      <c r="E994" s="26"/>
      <c r="F994" s="26"/>
      <c r="G994" s="26"/>
      <c r="H994" s="26"/>
      <c r="I994" s="26"/>
    </row>
    <row r="995" spans="1:9">
      <c r="A995" s="21"/>
      <c r="B995" s="21"/>
      <c r="D995" s="26"/>
      <c r="E995" s="26"/>
      <c r="F995" s="26"/>
      <c r="G995" s="26"/>
      <c r="H995" s="26"/>
      <c r="I995" s="26"/>
    </row>
    <row r="996" spans="1:9">
      <c r="A996" s="21"/>
      <c r="B996" s="21"/>
      <c r="D996" s="26"/>
      <c r="E996" s="26"/>
      <c r="F996" s="26"/>
      <c r="G996" s="26"/>
      <c r="H996" s="26"/>
      <c r="I996" s="26"/>
    </row>
    <row r="997" spans="1:9">
      <c r="A997" s="21"/>
      <c r="B997" s="21"/>
      <c r="D997" s="26"/>
      <c r="E997" s="26"/>
      <c r="F997" s="26"/>
      <c r="G997" s="26"/>
      <c r="H997" s="26"/>
      <c r="I997" s="26"/>
    </row>
    <row r="998" spans="1:9">
      <c r="A998" s="21"/>
      <c r="B998" s="21"/>
      <c r="D998" s="26"/>
      <c r="E998" s="26"/>
      <c r="F998" s="26"/>
      <c r="G998" s="26"/>
      <c r="H998" s="26"/>
      <c r="I998" s="26"/>
    </row>
    <row r="999" spans="1:9">
      <c r="A999" s="21"/>
      <c r="B999" s="21"/>
      <c r="D999" s="26"/>
      <c r="E999" s="26"/>
      <c r="F999" s="26"/>
      <c r="G999" s="26"/>
      <c r="H999" s="26"/>
      <c r="I999" s="26"/>
    </row>
    <row r="1000" spans="1:9">
      <c r="A1000" s="21"/>
      <c r="B1000" s="21"/>
      <c r="D1000" s="26"/>
      <c r="E1000" s="26"/>
      <c r="F1000" s="26"/>
      <c r="G1000" s="26"/>
      <c r="H1000" s="26"/>
      <c r="I1000" s="26"/>
    </row>
    <row r="1001" spans="1:9">
      <c r="A1001" s="21"/>
      <c r="B1001" s="21"/>
      <c r="D1001" s="26"/>
      <c r="E1001" s="26"/>
      <c r="F1001" s="26"/>
      <c r="G1001" s="26"/>
      <c r="H1001" s="26"/>
      <c r="I1001" s="26"/>
    </row>
    <row r="1002" spans="1:9">
      <c r="A1002" s="21"/>
      <c r="B1002" s="21"/>
      <c r="D1002" s="26"/>
      <c r="E1002" s="26"/>
      <c r="F1002" s="26"/>
      <c r="G1002" s="26"/>
      <c r="H1002" s="26"/>
      <c r="I1002" s="26"/>
    </row>
    <row r="1003" spans="1:9">
      <c r="A1003" s="21"/>
      <c r="B1003" s="21"/>
      <c r="D1003" s="26"/>
      <c r="E1003" s="26"/>
      <c r="F1003" s="26"/>
      <c r="G1003" s="26"/>
      <c r="H1003" s="26"/>
      <c r="I1003" s="26"/>
    </row>
    <row r="1004" spans="1:9">
      <c r="A1004" s="21"/>
      <c r="B1004" s="21"/>
      <c r="D1004" s="26"/>
      <c r="E1004" s="26"/>
      <c r="F1004" s="26"/>
      <c r="G1004" s="26"/>
      <c r="H1004" s="26"/>
      <c r="I1004" s="26"/>
    </row>
    <row r="1005" spans="1:9">
      <c r="A1005" s="21"/>
      <c r="B1005" s="21"/>
      <c r="D1005" s="26"/>
      <c r="E1005" s="26"/>
      <c r="F1005" s="26"/>
      <c r="G1005" s="26"/>
      <c r="H1005" s="26"/>
      <c r="I1005" s="26"/>
    </row>
    <row r="1006" spans="1:9">
      <c r="A1006" s="21"/>
      <c r="B1006" s="21"/>
      <c r="D1006" s="26"/>
      <c r="E1006" s="26"/>
      <c r="F1006" s="26"/>
      <c r="G1006" s="26"/>
      <c r="H1006" s="26"/>
      <c r="I1006" s="26"/>
    </row>
    <row r="1007" spans="1:9">
      <c r="A1007" s="21"/>
      <c r="B1007" s="21"/>
      <c r="D1007" s="26"/>
      <c r="E1007" s="26"/>
      <c r="F1007" s="26"/>
      <c r="G1007" s="26"/>
      <c r="H1007" s="26"/>
      <c r="I1007" s="26"/>
    </row>
    <row r="1008" spans="1:9">
      <c r="A1008" s="21"/>
      <c r="B1008" s="21"/>
      <c r="D1008" s="26"/>
      <c r="E1008" s="26"/>
      <c r="F1008" s="26"/>
      <c r="G1008" s="26"/>
      <c r="H1008" s="26"/>
      <c r="I1008" s="26"/>
    </row>
    <row r="1009" spans="1:9">
      <c r="A1009" s="21"/>
      <c r="B1009" s="21"/>
      <c r="D1009" s="26"/>
      <c r="E1009" s="26"/>
      <c r="F1009" s="26"/>
      <c r="G1009" s="26"/>
      <c r="H1009" s="26"/>
      <c r="I1009" s="26"/>
    </row>
    <row r="1010" spans="1:9">
      <c r="A1010" s="21"/>
      <c r="B1010" s="21"/>
      <c r="D1010" s="26"/>
      <c r="E1010" s="26"/>
      <c r="F1010" s="26"/>
      <c r="G1010" s="26"/>
      <c r="H1010" s="26"/>
      <c r="I1010" s="26"/>
    </row>
    <row r="1011" spans="1:9">
      <c r="A1011" s="21"/>
      <c r="B1011" s="21"/>
      <c r="D1011" s="26"/>
      <c r="E1011" s="26"/>
      <c r="F1011" s="26"/>
      <c r="G1011" s="26"/>
      <c r="H1011" s="26"/>
      <c r="I1011" s="26"/>
    </row>
    <row r="1012" spans="1:9">
      <c r="A1012" s="21"/>
      <c r="B1012" s="21"/>
      <c r="D1012" s="26"/>
      <c r="E1012" s="26"/>
      <c r="F1012" s="26"/>
      <c r="G1012" s="26"/>
      <c r="H1012" s="26"/>
      <c r="I1012" s="26"/>
    </row>
    <row r="1013" spans="1:9">
      <c r="A1013" s="21"/>
      <c r="B1013" s="21"/>
      <c r="D1013" s="26"/>
      <c r="E1013" s="26"/>
      <c r="F1013" s="26"/>
      <c r="G1013" s="26"/>
      <c r="H1013" s="26"/>
      <c r="I1013" s="26"/>
    </row>
    <row r="1014" spans="1:9">
      <c r="A1014" s="21"/>
      <c r="B1014" s="21"/>
      <c r="D1014" s="26"/>
      <c r="E1014" s="26"/>
      <c r="F1014" s="26"/>
      <c r="G1014" s="26"/>
      <c r="H1014" s="26"/>
      <c r="I1014" s="26"/>
    </row>
    <row r="1015" spans="1:9">
      <c r="A1015" s="21"/>
      <c r="B1015" s="21"/>
      <c r="D1015" s="26"/>
      <c r="E1015" s="26"/>
      <c r="F1015" s="26"/>
      <c r="G1015" s="26"/>
      <c r="H1015" s="26"/>
      <c r="I1015" s="26"/>
    </row>
    <row r="1016" spans="1:9">
      <c r="A1016" s="21"/>
      <c r="B1016" s="21"/>
      <c r="D1016" s="26"/>
      <c r="E1016" s="26"/>
      <c r="F1016" s="26"/>
      <c r="G1016" s="26"/>
      <c r="H1016" s="26"/>
      <c r="I1016" s="26"/>
    </row>
    <row r="1017" spans="1:9">
      <c r="A1017" s="21"/>
      <c r="B1017" s="21"/>
      <c r="D1017" s="26"/>
      <c r="E1017" s="26"/>
      <c r="F1017" s="26"/>
      <c r="G1017" s="26"/>
      <c r="H1017" s="26"/>
      <c r="I1017" s="26"/>
    </row>
    <row r="1018" spans="1:9">
      <c r="A1018" s="21"/>
      <c r="B1018" s="21"/>
      <c r="D1018" s="26"/>
      <c r="E1018" s="26"/>
      <c r="F1018" s="26"/>
      <c r="G1018" s="26"/>
      <c r="H1018" s="26"/>
      <c r="I1018" s="26"/>
    </row>
    <row r="1019" spans="1:9">
      <c r="A1019" s="21"/>
      <c r="B1019" s="21"/>
      <c r="D1019" s="26"/>
      <c r="E1019" s="26"/>
      <c r="F1019" s="26"/>
      <c r="G1019" s="26"/>
      <c r="H1019" s="26"/>
      <c r="I1019" s="26"/>
    </row>
    <row r="1020" spans="1:9">
      <c r="A1020" s="21"/>
      <c r="B1020" s="21"/>
      <c r="D1020" s="26"/>
      <c r="E1020" s="26"/>
      <c r="F1020" s="26"/>
      <c r="G1020" s="26"/>
      <c r="H1020" s="26"/>
      <c r="I1020" s="26"/>
    </row>
    <row r="1021" spans="1:9">
      <c r="A1021" s="21"/>
      <c r="B1021" s="21"/>
      <c r="D1021" s="26"/>
      <c r="E1021" s="26"/>
      <c r="F1021" s="26"/>
      <c r="G1021" s="26"/>
      <c r="H1021" s="26"/>
      <c r="I1021" s="26"/>
    </row>
    <row r="1022" spans="1:9">
      <c r="A1022" s="21"/>
      <c r="B1022" s="21"/>
      <c r="D1022" s="26"/>
      <c r="E1022" s="26"/>
      <c r="F1022" s="26"/>
      <c r="G1022" s="26"/>
      <c r="H1022" s="26"/>
      <c r="I1022" s="26"/>
    </row>
    <row r="1023" spans="1:9">
      <c r="A1023" s="21"/>
      <c r="B1023" s="21"/>
      <c r="D1023" s="26"/>
      <c r="E1023" s="26"/>
      <c r="F1023" s="26"/>
      <c r="G1023" s="26"/>
      <c r="H1023" s="26"/>
      <c r="I1023" s="26"/>
    </row>
    <row r="1024" spans="1:9">
      <c r="A1024" s="21"/>
      <c r="B1024" s="21"/>
      <c r="D1024" s="26"/>
      <c r="E1024" s="26"/>
      <c r="F1024" s="26"/>
      <c r="G1024" s="26"/>
      <c r="H1024" s="26"/>
      <c r="I1024" s="26"/>
    </row>
    <row r="1025" spans="1:9">
      <c r="A1025" s="21"/>
      <c r="B1025" s="21"/>
      <c r="D1025" s="26"/>
      <c r="E1025" s="26"/>
      <c r="F1025" s="26"/>
      <c r="G1025" s="26"/>
      <c r="H1025" s="26"/>
      <c r="I1025" s="26"/>
    </row>
    <row r="1026" spans="1:9">
      <c r="A1026" s="21"/>
      <c r="B1026" s="21"/>
      <c r="D1026" s="26"/>
      <c r="E1026" s="26"/>
      <c r="F1026" s="26"/>
      <c r="G1026" s="26"/>
      <c r="H1026" s="26"/>
      <c r="I1026" s="26"/>
    </row>
    <row r="1027" spans="1:9">
      <c r="A1027" s="21"/>
      <c r="B1027" s="21"/>
      <c r="D1027" s="26"/>
      <c r="E1027" s="26"/>
      <c r="F1027" s="26"/>
      <c r="G1027" s="26"/>
      <c r="H1027" s="26"/>
      <c r="I1027" s="26"/>
    </row>
    <row r="1028" spans="1:9">
      <c r="A1028" s="21"/>
      <c r="B1028" s="21"/>
      <c r="D1028" s="26"/>
      <c r="E1028" s="26"/>
      <c r="F1028" s="26"/>
      <c r="G1028" s="26"/>
      <c r="H1028" s="26"/>
      <c r="I1028" s="26"/>
    </row>
    <row r="1029" spans="1:9">
      <c r="A1029" s="21"/>
      <c r="B1029" s="21"/>
      <c r="D1029" s="26"/>
      <c r="E1029" s="26"/>
      <c r="F1029" s="26"/>
      <c r="G1029" s="26"/>
      <c r="H1029" s="26"/>
      <c r="I1029" s="26"/>
    </row>
    <row r="1030" spans="1:9">
      <c r="A1030" s="21"/>
      <c r="B1030" s="21"/>
      <c r="D1030" s="26"/>
      <c r="E1030" s="26"/>
      <c r="F1030" s="26"/>
      <c r="G1030" s="26"/>
      <c r="H1030" s="26"/>
      <c r="I1030" s="26"/>
    </row>
    <row r="1031" spans="1:9">
      <c r="A1031" s="21"/>
      <c r="B1031" s="21"/>
      <c r="D1031" s="26"/>
      <c r="E1031" s="26"/>
      <c r="F1031" s="26"/>
      <c r="G1031" s="26"/>
      <c r="H1031" s="26"/>
      <c r="I1031" s="26"/>
    </row>
    <row r="1032" spans="1:9">
      <c r="A1032" s="21"/>
      <c r="B1032" s="21"/>
      <c r="D1032" s="26"/>
      <c r="E1032" s="26"/>
      <c r="F1032" s="26"/>
      <c r="G1032" s="26"/>
      <c r="H1032" s="26"/>
      <c r="I1032" s="26"/>
    </row>
    <row r="1033" spans="1:9">
      <c r="A1033" s="21"/>
      <c r="B1033" s="21"/>
      <c r="D1033" s="26"/>
      <c r="E1033" s="26"/>
      <c r="F1033" s="26"/>
      <c r="G1033" s="26"/>
      <c r="H1033" s="26"/>
      <c r="I1033" s="26"/>
    </row>
    <row r="1034" spans="1:9">
      <c r="A1034" s="21"/>
      <c r="B1034" s="21"/>
      <c r="D1034" s="26"/>
      <c r="E1034" s="26"/>
      <c r="F1034" s="26"/>
      <c r="G1034" s="26"/>
      <c r="H1034" s="26"/>
      <c r="I1034" s="26"/>
    </row>
    <row r="1035" spans="1:9">
      <c r="A1035" s="21"/>
      <c r="B1035" s="21"/>
      <c r="D1035" s="26"/>
      <c r="E1035" s="26"/>
      <c r="F1035" s="26"/>
      <c r="G1035" s="26"/>
      <c r="H1035" s="26"/>
      <c r="I1035" s="26"/>
    </row>
    <row r="1036" spans="1:9">
      <c r="A1036" s="21"/>
      <c r="B1036" s="21"/>
      <c r="D1036" s="26"/>
      <c r="E1036" s="26"/>
      <c r="F1036" s="26"/>
      <c r="G1036" s="26"/>
      <c r="H1036" s="26"/>
      <c r="I1036" s="26"/>
    </row>
    <row r="1037" spans="1:9">
      <c r="A1037" s="21"/>
      <c r="B1037" s="21"/>
      <c r="D1037" s="26"/>
      <c r="E1037" s="26"/>
      <c r="F1037" s="26"/>
      <c r="G1037" s="26"/>
      <c r="H1037" s="26"/>
      <c r="I1037" s="26"/>
    </row>
    <row r="1038" spans="1:9">
      <c r="A1038" s="21"/>
      <c r="B1038" s="21"/>
      <c r="D1038" s="26"/>
      <c r="E1038" s="26"/>
      <c r="F1038" s="26"/>
      <c r="G1038" s="26"/>
      <c r="H1038" s="26"/>
      <c r="I1038" s="26"/>
    </row>
    <row r="1039" spans="1:9">
      <c r="A1039" s="21"/>
      <c r="B1039" s="21"/>
      <c r="D1039" s="26"/>
      <c r="E1039" s="26"/>
      <c r="F1039" s="26"/>
      <c r="G1039" s="26"/>
      <c r="H1039" s="26"/>
      <c r="I1039" s="26"/>
    </row>
    <row r="1040" spans="1:9">
      <c r="A1040" s="21"/>
      <c r="B1040" s="21"/>
      <c r="D1040" s="26"/>
      <c r="E1040" s="26"/>
      <c r="F1040" s="26"/>
      <c r="G1040" s="26"/>
      <c r="H1040" s="26"/>
      <c r="I1040" s="26"/>
    </row>
    <row r="1041" spans="1:9">
      <c r="A1041" s="21"/>
      <c r="B1041" s="21"/>
      <c r="D1041" s="26"/>
      <c r="E1041" s="26"/>
      <c r="F1041" s="26"/>
      <c r="G1041" s="26"/>
      <c r="H1041" s="26"/>
      <c r="I1041" s="26"/>
    </row>
    <row r="1042" spans="1:9">
      <c r="A1042" s="21"/>
      <c r="B1042" s="21"/>
      <c r="D1042" s="26"/>
      <c r="E1042" s="26"/>
      <c r="F1042" s="26"/>
      <c r="G1042" s="26"/>
      <c r="H1042" s="26"/>
      <c r="I1042" s="26"/>
    </row>
    <row r="1043" spans="1:9">
      <c r="A1043" s="21"/>
      <c r="B1043" s="21"/>
      <c r="D1043" s="26"/>
      <c r="E1043" s="26"/>
      <c r="F1043" s="26"/>
      <c r="G1043" s="26"/>
      <c r="H1043" s="26"/>
      <c r="I1043" s="26"/>
    </row>
    <row r="1044" spans="1:9">
      <c r="A1044" s="21"/>
      <c r="B1044" s="21"/>
      <c r="D1044" s="26"/>
      <c r="E1044" s="26"/>
      <c r="F1044" s="26"/>
      <c r="G1044" s="26"/>
      <c r="H1044" s="26"/>
      <c r="I1044" s="26"/>
    </row>
    <row r="1045" spans="1:9">
      <c r="A1045" s="21"/>
      <c r="B1045" s="21"/>
      <c r="D1045" s="26"/>
      <c r="E1045" s="26"/>
      <c r="F1045" s="26"/>
      <c r="G1045" s="26"/>
      <c r="H1045" s="26"/>
      <c r="I1045" s="26"/>
    </row>
    <row r="1046" spans="1:9">
      <c r="A1046" s="21"/>
      <c r="B1046" s="21"/>
      <c r="D1046" s="26"/>
      <c r="E1046" s="26"/>
      <c r="F1046" s="26"/>
      <c r="G1046" s="26"/>
      <c r="H1046" s="26"/>
      <c r="I1046" s="26"/>
    </row>
    <row r="1047" spans="1:9">
      <c r="A1047" s="21"/>
      <c r="B1047" s="21"/>
      <c r="D1047" s="26"/>
      <c r="E1047" s="26"/>
      <c r="F1047" s="26"/>
      <c r="G1047" s="26"/>
      <c r="H1047" s="26"/>
      <c r="I1047" s="26"/>
    </row>
    <row r="1048" spans="1:9">
      <c r="A1048" s="21"/>
      <c r="B1048" s="21"/>
      <c r="D1048" s="26"/>
      <c r="E1048" s="26"/>
      <c r="F1048" s="26"/>
      <c r="G1048" s="26"/>
      <c r="H1048" s="26"/>
      <c r="I1048" s="26"/>
    </row>
    <row r="1049" spans="1:9">
      <c r="A1049" s="21"/>
      <c r="B1049" s="21"/>
      <c r="D1049" s="26"/>
      <c r="E1049" s="26"/>
      <c r="F1049" s="26"/>
      <c r="G1049" s="26"/>
      <c r="H1049" s="26"/>
      <c r="I1049" s="26"/>
    </row>
    <row r="1050" spans="1:9">
      <c r="A1050" s="21"/>
      <c r="B1050" s="21"/>
      <c r="D1050" s="26"/>
      <c r="E1050" s="26"/>
      <c r="F1050" s="26"/>
      <c r="G1050" s="26"/>
      <c r="H1050" s="26"/>
      <c r="I1050" s="26"/>
    </row>
    <row r="1051" spans="1:9">
      <c r="A1051" s="21"/>
      <c r="B1051" s="21"/>
      <c r="D1051" s="26"/>
      <c r="E1051" s="26"/>
      <c r="F1051" s="26"/>
      <c r="G1051" s="26"/>
      <c r="H1051" s="26"/>
      <c r="I1051" s="26"/>
    </row>
    <row r="1052" spans="1:9">
      <c r="A1052" s="21"/>
      <c r="B1052" s="21"/>
      <c r="D1052" s="26"/>
      <c r="E1052" s="26"/>
      <c r="F1052" s="26"/>
      <c r="G1052" s="26"/>
      <c r="H1052" s="26"/>
      <c r="I1052" s="26"/>
    </row>
    <row r="1053" spans="1:9">
      <c r="A1053" s="21"/>
      <c r="B1053" s="21"/>
      <c r="D1053" s="26"/>
      <c r="E1053" s="26"/>
      <c r="F1053" s="26"/>
      <c r="G1053" s="26"/>
      <c r="H1053" s="26"/>
      <c r="I1053" s="26"/>
    </row>
    <row r="1054" spans="1:9">
      <c r="A1054" s="21"/>
      <c r="B1054" s="21"/>
      <c r="D1054" s="26"/>
      <c r="E1054" s="26"/>
      <c r="F1054" s="26"/>
      <c r="G1054" s="26"/>
      <c r="H1054" s="26"/>
      <c r="I1054" s="26"/>
    </row>
    <row r="1055" spans="1:9">
      <c r="A1055" s="21"/>
      <c r="B1055" s="21"/>
      <c r="D1055" s="26"/>
      <c r="E1055" s="26"/>
      <c r="F1055" s="26"/>
      <c r="G1055" s="26"/>
      <c r="H1055" s="26"/>
      <c r="I1055" s="26"/>
    </row>
    <row r="1056" spans="1:9">
      <c r="A1056" s="21"/>
      <c r="B1056" s="21"/>
      <c r="D1056" s="26"/>
      <c r="E1056" s="26"/>
      <c r="F1056" s="26"/>
      <c r="G1056" s="26"/>
      <c r="H1056" s="26"/>
      <c r="I1056" s="26"/>
    </row>
    <row r="1057" spans="1:9">
      <c r="A1057" s="21"/>
      <c r="B1057" s="21"/>
      <c r="D1057" s="26"/>
      <c r="E1057" s="26"/>
      <c r="F1057" s="26"/>
      <c r="G1057" s="26"/>
      <c r="H1057" s="26"/>
      <c r="I1057" s="26"/>
    </row>
    <row r="1058" spans="1:9">
      <c r="A1058" s="21"/>
      <c r="B1058" s="21"/>
      <c r="D1058" s="26"/>
      <c r="E1058" s="26"/>
      <c r="F1058" s="26"/>
      <c r="G1058" s="26"/>
      <c r="H1058" s="26"/>
      <c r="I1058" s="26"/>
    </row>
    <row r="1059" spans="1:9">
      <c r="A1059" s="21"/>
      <c r="B1059" s="21"/>
      <c r="D1059" s="26"/>
      <c r="E1059" s="26"/>
      <c r="F1059" s="26"/>
      <c r="G1059" s="26"/>
      <c r="H1059" s="26"/>
      <c r="I1059" s="26"/>
    </row>
    <row r="1060" spans="1:9">
      <c r="A1060" s="21"/>
      <c r="B1060" s="21"/>
      <c r="D1060" s="26"/>
      <c r="E1060" s="26"/>
      <c r="F1060" s="26"/>
      <c r="G1060" s="26"/>
      <c r="H1060" s="26"/>
      <c r="I1060" s="26"/>
    </row>
    <row r="1061" spans="1:9">
      <c r="A1061" s="21"/>
      <c r="B1061" s="21"/>
      <c r="D1061" s="26"/>
      <c r="E1061" s="26"/>
      <c r="F1061" s="26"/>
      <c r="G1061" s="26"/>
      <c r="H1061" s="26"/>
      <c r="I1061" s="26"/>
    </row>
    <row r="1062" spans="1:9">
      <c r="A1062" s="21"/>
      <c r="B1062" s="21"/>
      <c r="D1062" s="26"/>
      <c r="E1062" s="26"/>
      <c r="F1062" s="26"/>
      <c r="G1062" s="26"/>
      <c r="H1062" s="26"/>
      <c r="I1062" s="26"/>
    </row>
    <row r="1063" spans="1:9">
      <c r="A1063" s="21"/>
      <c r="B1063" s="21"/>
      <c r="D1063" s="26"/>
      <c r="E1063" s="26"/>
      <c r="F1063" s="26"/>
      <c r="G1063" s="26"/>
      <c r="H1063" s="26"/>
      <c r="I1063" s="26"/>
    </row>
    <row r="1064" spans="1:9">
      <c r="A1064" s="21"/>
      <c r="B1064" s="21"/>
      <c r="D1064" s="26"/>
      <c r="E1064" s="26"/>
      <c r="F1064" s="26"/>
      <c r="G1064" s="26"/>
      <c r="H1064" s="26"/>
      <c r="I1064" s="26"/>
    </row>
    <row r="1065" spans="1:9">
      <c r="A1065" s="21"/>
      <c r="B1065" s="21"/>
      <c r="D1065" s="26"/>
      <c r="E1065" s="26"/>
      <c r="F1065" s="26"/>
      <c r="G1065" s="26"/>
      <c r="H1065" s="26"/>
      <c r="I1065" s="26"/>
    </row>
    <row r="1066" spans="1:9">
      <c r="A1066" s="21"/>
      <c r="B1066" s="21"/>
      <c r="D1066" s="26"/>
      <c r="E1066" s="26"/>
      <c r="F1066" s="26"/>
      <c r="G1066" s="26"/>
      <c r="H1066" s="26"/>
      <c r="I1066" s="26"/>
    </row>
    <row r="1067" spans="1:9">
      <c r="A1067" s="21"/>
      <c r="B1067" s="21"/>
      <c r="D1067" s="26"/>
      <c r="E1067" s="26"/>
      <c r="F1067" s="26"/>
      <c r="G1067" s="26"/>
      <c r="H1067" s="26"/>
      <c r="I1067" s="26"/>
    </row>
    <row r="1068" spans="1:9">
      <c r="A1068" s="21"/>
      <c r="B1068" s="21"/>
      <c r="D1068" s="26"/>
      <c r="E1068" s="26"/>
      <c r="F1068" s="26"/>
      <c r="G1068" s="26"/>
      <c r="H1068" s="26"/>
      <c r="I1068" s="26"/>
    </row>
    <row r="1069" spans="1:9">
      <c r="A1069" s="21"/>
      <c r="B1069" s="21"/>
      <c r="D1069" s="26"/>
      <c r="E1069" s="26"/>
      <c r="F1069" s="26"/>
      <c r="G1069" s="26"/>
      <c r="H1069" s="26"/>
      <c r="I1069" s="26"/>
    </row>
    <row r="1070" spans="1:9">
      <c r="A1070" s="21"/>
      <c r="B1070" s="21"/>
      <c r="D1070" s="26"/>
      <c r="E1070" s="26"/>
      <c r="F1070" s="26"/>
      <c r="G1070" s="26"/>
      <c r="H1070" s="26"/>
      <c r="I1070" s="26"/>
    </row>
    <row r="1071" spans="1:9">
      <c r="A1071" s="21"/>
      <c r="B1071" s="21"/>
      <c r="D1071" s="26"/>
      <c r="E1071" s="26"/>
      <c r="F1071" s="26"/>
      <c r="G1071" s="26"/>
      <c r="H1071" s="26"/>
      <c r="I1071" s="26"/>
    </row>
    <row r="1072" spans="1:9">
      <c r="A1072" s="21"/>
      <c r="B1072" s="21"/>
      <c r="D1072" s="26"/>
      <c r="E1072" s="26"/>
      <c r="F1072" s="26"/>
      <c r="G1072" s="26"/>
      <c r="H1072" s="26"/>
      <c r="I1072" s="26"/>
    </row>
    <row r="1073" spans="1:9">
      <c r="A1073" s="21"/>
      <c r="B1073" s="21"/>
      <c r="D1073" s="26"/>
      <c r="E1073" s="26"/>
      <c r="F1073" s="26"/>
      <c r="G1073" s="26"/>
      <c r="H1073" s="26"/>
      <c r="I1073" s="26"/>
    </row>
    <row r="1074" spans="1:9">
      <c r="A1074" s="21"/>
      <c r="B1074" s="21"/>
      <c r="D1074" s="26"/>
      <c r="E1074" s="26"/>
      <c r="F1074" s="26"/>
      <c r="G1074" s="26"/>
      <c r="H1074" s="26"/>
      <c r="I1074" s="26"/>
    </row>
    <row r="1075" spans="1:9">
      <c r="A1075" s="21"/>
      <c r="B1075" s="21"/>
      <c r="D1075" s="26"/>
      <c r="E1075" s="26"/>
      <c r="F1075" s="26"/>
      <c r="G1075" s="26"/>
      <c r="H1075" s="26"/>
      <c r="I1075" s="26"/>
    </row>
    <row r="1076" spans="1:9">
      <c r="A1076" s="21"/>
      <c r="B1076" s="21"/>
      <c r="D1076" s="26"/>
      <c r="E1076" s="26"/>
      <c r="F1076" s="26"/>
      <c r="G1076" s="26"/>
      <c r="H1076" s="26"/>
      <c r="I1076" s="26"/>
    </row>
    <row r="1077" spans="1:9">
      <c r="A1077" s="21"/>
      <c r="B1077" s="21"/>
      <c r="D1077" s="26"/>
      <c r="E1077" s="26"/>
      <c r="F1077" s="26"/>
      <c r="G1077" s="26"/>
      <c r="H1077" s="26"/>
      <c r="I1077" s="26"/>
    </row>
    <row r="1078" spans="1:9">
      <c r="A1078" s="21"/>
      <c r="B1078" s="21"/>
      <c r="D1078" s="26"/>
      <c r="E1078" s="26"/>
      <c r="F1078" s="26"/>
      <c r="G1078" s="26"/>
      <c r="H1078" s="26"/>
      <c r="I1078" s="26"/>
    </row>
    <row r="1079" spans="1:9">
      <c r="A1079" s="21"/>
      <c r="B1079" s="21"/>
      <c r="D1079" s="26"/>
      <c r="E1079" s="26"/>
      <c r="F1079" s="26"/>
      <c r="G1079" s="26"/>
      <c r="H1079" s="26"/>
      <c r="I1079" s="26"/>
    </row>
    <row r="1080" spans="1:9">
      <c r="A1080" s="21"/>
      <c r="B1080" s="21"/>
      <c r="D1080" s="26"/>
      <c r="E1080" s="26"/>
      <c r="F1080" s="26"/>
      <c r="G1080" s="26"/>
      <c r="H1080" s="26"/>
      <c r="I1080" s="26"/>
    </row>
    <row r="1081" spans="1:9">
      <c r="A1081" s="21"/>
      <c r="B1081" s="21"/>
      <c r="D1081" s="26"/>
      <c r="E1081" s="26"/>
      <c r="F1081" s="26"/>
      <c r="G1081" s="26"/>
      <c r="H1081" s="26"/>
      <c r="I1081" s="26"/>
    </row>
    <row r="1082" spans="1:9">
      <c r="A1082" s="21"/>
      <c r="B1082" s="21"/>
      <c r="D1082" s="26"/>
      <c r="E1082" s="26"/>
      <c r="F1082" s="26"/>
      <c r="G1082" s="26"/>
      <c r="H1082" s="26"/>
      <c r="I1082" s="26"/>
    </row>
    <row r="1083" spans="1:9">
      <c r="A1083" s="21"/>
      <c r="B1083" s="21"/>
      <c r="D1083" s="26"/>
      <c r="E1083" s="26"/>
      <c r="F1083" s="26"/>
      <c r="G1083" s="26"/>
      <c r="H1083" s="26"/>
      <c r="I1083" s="26"/>
    </row>
    <row r="1084" spans="1:9">
      <c r="A1084" s="21"/>
      <c r="B1084" s="21"/>
      <c r="D1084" s="26"/>
      <c r="E1084" s="26"/>
      <c r="F1084" s="26"/>
      <c r="G1084" s="26"/>
      <c r="H1084" s="26"/>
      <c r="I1084" s="26"/>
    </row>
    <row r="1085" spans="1:9">
      <c r="A1085" s="21"/>
      <c r="B1085" s="21"/>
      <c r="D1085" s="26"/>
      <c r="E1085" s="26"/>
      <c r="F1085" s="26"/>
      <c r="G1085" s="26"/>
      <c r="H1085" s="26"/>
      <c r="I1085" s="26"/>
    </row>
    <row r="1086" spans="1:9">
      <c r="A1086" s="21"/>
      <c r="B1086" s="21"/>
      <c r="D1086" s="26"/>
      <c r="E1086" s="26"/>
      <c r="F1086" s="26"/>
      <c r="G1086" s="26"/>
      <c r="H1086" s="26"/>
      <c r="I1086" s="26"/>
    </row>
    <row r="1087" spans="1:9">
      <c r="A1087" s="21"/>
      <c r="B1087" s="21"/>
      <c r="D1087" s="26"/>
      <c r="E1087" s="26"/>
      <c r="F1087" s="26"/>
      <c r="G1087" s="26"/>
      <c r="H1087" s="26"/>
      <c r="I1087" s="26"/>
    </row>
    <row r="1088" spans="1:9">
      <c r="A1088" s="21"/>
      <c r="B1088" s="21"/>
      <c r="D1088" s="26"/>
      <c r="E1088" s="26"/>
      <c r="F1088" s="26"/>
      <c r="G1088" s="26"/>
      <c r="H1088" s="26"/>
      <c r="I1088" s="26"/>
    </row>
    <row r="1089" spans="1:9">
      <c r="A1089" s="21"/>
      <c r="B1089" s="21"/>
      <c r="D1089" s="26"/>
      <c r="E1089" s="26"/>
      <c r="F1089" s="26"/>
      <c r="G1089" s="26"/>
      <c r="H1089" s="26"/>
      <c r="I1089" s="26"/>
    </row>
    <row r="1090" spans="1:9">
      <c r="A1090" s="21"/>
      <c r="B1090" s="21"/>
      <c r="D1090" s="26"/>
      <c r="E1090" s="26"/>
      <c r="F1090" s="26"/>
      <c r="G1090" s="26"/>
      <c r="H1090" s="26"/>
      <c r="I1090" s="26"/>
    </row>
    <row r="1091" spans="1:9">
      <c r="A1091" s="21"/>
      <c r="B1091" s="21"/>
      <c r="D1091" s="26"/>
      <c r="E1091" s="26"/>
      <c r="F1091" s="26"/>
      <c r="G1091" s="26"/>
      <c r="H1091" s="26"/>
      <c r="I1091" s="26"/>
    </row>
    <row r="1092" spans="1:9">
      <c r="A1092" s="21"/>
      <c r="B1092" s="21"/>
      <c r="D1092" s="26"/>
      <c r="E1092" s="26"/>
      <c r="F1092" s="26"/>
      <c r="G1092" s="26"/>
      <c r="H1092" s="26"/>
      <c r="I1092" s="26"/>
    </row>
    <row r="1093" spans="1:9">
      <c r="A1093" s="21"/>
      <c r="B1093" s="21"/>
      <c r="D1093" s="26"/>
      <c r="E1093" s="26"/>
      <c r="F1093" s="26"/>
      <c r="G1093" s="26"/>
      <c r="H1093" s="26"/>
      <c r="I1093" s="26"/>
    </row>
    <row r="1094" spans="1:9">
      <c r="A1094" s="21"/>
      <c r="B1094" s="21"/>
      <c r="D1094" s="26"/>
      <c r="E1094" s="26"/>
      <c r="F1094" s="26"/>
      <c r="G1094" s="26"/>
      <c r="H1094" s="26"/>
      <c r="I1094" s="26"/>
    </row>
    <row r="1095" spans="1:9">
      <c r="A1095" s="21"/>
      <c r="B1095" s="21"/>
      <c r="D1095" s="26"/>
      <c r="E1095" s="26"/>
      <c r="F1095" s="26"/>
      <c r="G1095" s="26"/>
      <c r="H1095" s="26"/>
      <c r="I1095" s="26"/>
    </row>
    <row r="1096" spans="1:9">
      <c r="A1096" s="21"/>
      <c r="B1096" s="21"/>
      <c r="D1096" s="26"/>
      <c r="E1096" s="26"/>
      <c r="F1096" s="26"/>
      <c r="G1096" s="26"/>
      <c r="H1096" s="26"/>
      <c r="I1096" s="26"/>
    </row>
    <row r="1097" spans="1:9">
      <c r="A1097" s="21"/>
      <c r="B1097" s="21"/>
      <c r="D1097" s="26"/>
      <c r="E1097" s="26"/>
      <c r="F1097" s="26"/>
      <c r="G1097" s="26"/>
      <c r="H1097" s="26"/>
      <c r="I1097" s="26"/>
    </row>
    <row r="1098" spans="1:9">
      <c r="A1098" s="21"/>
      <c r="B1098" s="21"/>
      <c r="D1098" s="26"/>
      <c r="E1098" s="26"/>
      <c r="F1098" s="26"/>
      <c r="G1098" s="26"/>
      <c r="H1098" s="26"/>
      <c r="I1098" s="26"/>
    </row>
    <row r="1099" spans="1:9">
      <c r="A1099" s="21"/>
      <c r="B1099" s="21"/>
      <c r="D1099" s="26"/>
      <c r="E1099" s="26"/>
      <c r="F1099" s="26"/>
      <c r="G1099" s="26"/>
      <c r="H1099" s="26"/>
      <c r="I1099" s="26"/>
    </row>
    <row r="1100" spans="1:9">
      <c r="A1100" s="21"/>
      <c r="B1100" s="21"/>
      <c r="D1100" s="26"/>
      <c r="E1100" s="26"/>
      <c r="F1100" s="26"/>
      <c r="G1100" s="26"/>
      <c r="H1100" s="26"/>
      <c r="I1100" s="26"/>
    </row>
    <row r="1101" spans="1:9">
      <c r="A1101" s="21"/>
      <c r="B1101" s="21"/>
      <c r="D1101" s="26"/>
      <c r="E1101" s="26"/>
      <c r="F1101" s="26"/>
      <c r="G1101" s="26"/>
      <c r="H1101" s="26"/>
      <c r="I1101" s="26"/>
    </row>
    <row r="1102" spans="1:9">
      <c r="A1102" s="21"/>
      <c r="B1102" s="21"/>
      <c r="D1102" s="26"/>
      <c r="E1102" s="26"/>
      <c r="F1102" s="26"/>
      <c r="G1102" s="26"/>
      <c r="H1102" s="26"/>
      <c r="I1102" s="26"/>
    </row>
    <row r="1103" spans="1:9">
      <c r="A1103" s="21"/>
      <c r="B1103" s="21"/>
      <c r="D1103" s="26"/>
      <c r="E1103" s="26"/>
      <c r="F1103" s="26"/>
      <c r="G1103" s="26"/>
      <c r="H1103" s="26"/>
      <c r="I1103" s="26"/>
    </row>
    <row r="1104" spans="1:9">
      <c r="A1104" s="21"/>
      <c r="B1104" s="21"/>
      <c r="D1104" s="26"/>
      <c r="E1104" s="26"/>
      <c r="F1104" s="26"/>
      <c r="G1104" s="26"/>
      <c r="H1104" s="26"/>
      <c r="I1104" s="26"/>
    </row>
    <row r="1105" spans="1:9">
      <c r="A1105" s="21"/>
      <c r="B1105" s="21"/>
      <c r="D1105" s="26"/>
      <c r="E1105" s="26"/>
      <c r="F1105" s="26"/>
      <c r="G1105" s="26"/>
      <c r="H1105" s="26"/>
      <c r="I1105" s="26"/>
    </row>
    <row r="1106" spans="1:9">
      <c r="A1106" s="21"/>
      <c r="B1106" s="21"/>
      <c r="D1106" s="26"/>
      <c r="E1106" s="26"/>
      <c r="F1106" s="26"/>
      <c r="G1106" s="26"/>
      <c r="H1106" s="26"/>
      <c r="I1106" s="26"/>
    </row>
    <row r="1107" spans="1:9">
      <c r="A1107" s="21"/>
      <c r="B1107" s="21"/>
      <c r="D1107" s="26"/>
      <c r="E1107" s="26"/>
      <c r="F1107" s="26"/>
      <c r="G1107" s="26"/>
      <c r="H1107" s="26"/>
      <c r="I1107" s="26"/>
    </row>
    <row r="1108" spans="1:9">
      <c r="A1108" s="21"/>
      <c r="B1108" s="21"/>
      <c r="D1108" s="26"/>
      <c r="E1108" s="26"/>
      <c r="F1108" s="26"/>
      <c r="G1108" s="26"/>
      <c r="H1108" s="26"/>
      <c r="I1108" s="26"/>
    </row>
    <row r="1109" spans="1:9">
      <c r="A1109" s="21"/>
      <c r="B1109" s="21"/>
      <c r="D1109" s="26"/>
      <c r="E1109" s="26"/>
      <c r="F1109" s="26"/>
      <c r="G1109" s="26"/>
      <c r="H1109" s="26"/>
      <c r="I1109" s="26"/>
    </row>
    <row r="1110" spans="1:9">
      <c r="A1110" s="21"/>
      <c r="B1110" s="21"/>
      <c r="D1110" s="26"/>
      <c r="E1110" s="26"/>
      <c r="F1110" s="26"/>
      <c r="G1110" s="26"/>
      <c r="H1110" s="26"/>
      <c r="I1110" s="26"/>
    </row>
    <row r="1111" spans="1:9">
      <c r="A1111" s="21"/>
      <c r="B1111" s="21"/>
      <c r="D1111" s="26"/>
      <c r="E1111" s="26"/>
      <c r="F1111" s="26"/>
      <c r="G1111" s="26"/>
      <c r="H1111" s="26"/>
      <c r="I1111" s="26"/>
    </row>
    <row r="1112" spans="1:9">
      <c r="A1112" s="21"/>
      <c r="B1112" s="21"/>
      <c r="D1112" s="26"/>
      <c r="E1112" s="26"/>
      <c r="F1112" s="26"/>
      <c r="G1112" s="26"/>
      <c r="H1112" s="26"/>
      <c r="I1112" s="26"/>
    </row>
    <row r="1113" spans="1:9">
      <c r="A1113" s="21"/>
      <c r="B1113" s="21"/>
      <c r="D1113" s="26"/>
      <c r="E1113" s="26"/>
      <c r="F1113" s="26"/>
      <c r="G1113" s="26"/>
      <c r="H1113" s="26"/>
      <c r="I1113" s="26"/>
    </row>
    <row r="1114" spans="1:9">
      <c r="A1114" s="21"/>
      <c r="B1114" s="21"/>
      <c r="D1114" s="26"/>
      <c r="E1114" s="26"/>
      <c r="F1114" s="26"/>
      <c r="G1114" s="26"/>
      <c r="H1114" s="26"/>
      <c r="I1114" s="26"/>
    </row>
    <row r="1115" spans="1:9">
      <c r="A1115" s="21"/>
      <c r="B1115" s="21"/>
      <c r="D1115" s="26"/>
      <c r="E1115" s="26"/>
      <c r="F1115" s="26"/>
      <c r="G1115" s="26"/>
      <c r="H1115" s="26"/>
      <c r="I1115" s="26"/>
    </row>
    <row r="1116" spans="1:9">
      <c r="A1116" s="21"/>
      <c r="B1116" s="21"/>
      <c r="D1116" s="26"/>
      <c r="E1116" s="26"/>
      <c r="F1116" s="26"/>
      <c r="G1116" s="26"/>
      <c r="H1116" s="26"/>
      <c r="I1116" s="26"/>
    </row>
    <row r="1117" spans="1:9">
      <c r="A1117" s="21"/>
      <c r="B1117" s="21"/>
      <c r="D1117" s="26"/>
      <c r="E1117" s="26"/>
      <c r="F1117" s="26"/>
      <c r="G1117" s="26"/>
      <c r="H1117" s="26"/>
      <c r="I1117" s="26"/>
    </row>
    <row r="1118" spans="1:9">
      <c r="A1118" s="21"/>
      <c r="B1118" s="21"/>
      <c r="D1118" s="26"/>
      <c r="E1118" s="26"/>
      <c r="F1118" s="26"/>
      <c r="G1118" s="26"/>
      <c r="H1118" s="26"/>
      <c r="I1118" s="26"/>
    </row>
    <row r="1119" spans="1:9">
      <c r="A1119" s="21"/>
      <c r="B1119" s="21"/>
      <c r="D1119" s="26"/>
      <c r="E1119" s="26"/>
      <c r="F1119" s="26"/>
      <c r="G1119" s="26"/>
      <c r="H1119" s="26"/>
      <c r="I1119" s="26"/>
    </row>
    <row r="1120" spans="1:9">
      <c r="A1120" s="21"/>
      <c r="B1120" s="21"/>
      <c r="D1120" s="26"/>
      <c r="E1120" s="26"/>
      <c r="F1120" s="26"/>
      <c r="G1120" s="26"/>
      <c r="H1120" s="26"/>
      <c r="I1120" s="26"/>
    </row>
    <row r="1121" spans="1:9">
      <c r="A1121" s="21"/>
      <c r="B1121" s="21"/>
      <c r="D1121" s="26"/>
      <c r="E1121" s="26"/>
      <c r="F1121" s="26"/>
      <c r="G1121" s="26"/>
      <c r="H1121" s="26"/>
      <c r="I1121" s="26"/>
    </row>
    <row r="1122" spans="1:9">
      <c r="A1122" s="21"/>
      <c r="B1122" s="21"/>
      <c r="D1122" s="26"/>
      <c r="E1122" s="26"/>
      <c r="F1122" s="26"/>
      <c r="G1122" s="26"/>
      <c r="H1122" s="26"/>
      <c r="I1122" s="26"/>
    </row>
    <row r="1123" spans="1:9">
      <c r="A1123" s="21"/>
      <c r="B1123" s="21"/>
      <c r="D1123" s="26"/>
      <c r="E1123" s="26"/>
      <c r="F1123" s="26"/>
      <c r="G1123" s="26"/>
      <c r="H1123" s="26"/>
      <c r="I1123" s="26"/>
    </row>
    <row r="1124" spans="1:9">
      <c r="A1124" s="21"/>
      <c r="B1124" s="21"/>
      <c r="D1124" s="26"/>
      <c r="E1124" s="26"/>
      <c r="F1124" s="26"/>
      <c r="G1124" s="26"/>
      <c r="H1124" s="26"/>
      <c r="I1124" s="26"/>
    </row>
    <row r="1125" spans="1:9">
      <c r="A1125" s="21"/>
      <c r="B1125" s="21"/>
      <c r="D1125" s="26"/>
      <c r="E1125" s="26"/>
      <c r="F1125" s="26"/>
      <c r="G1125" s="26"/>
      <c r="H1125" s="26"/>
      <c r="I1125" s="26"/>
    </row>
    <row r="1126" spans="1:9">
      <c r="A1126" s="21"/>
      <c r="B1126" s="21"/>
      <c r="D1126" s="26"/>
      <c r="E1126" s="26"/>
      <c r="F1126" s="26"/>
      <c r="G1126" s="26"/>
      <c r="H1126" s="26"/>
      <c r="I1126" s="26"/>
    </row>
    <row r="1127" spans="1:9">
      <c r="A1127" s="21"/>
      <c r="B1127" s="21"/>
      <c r="D1127" s="26"/>
      <c r="E1127" s="26"/>
      <c r="F1127" s="26"/>
      <c r="G1127" s="26"/>
      <c r="H1127" s="26"/>
      <c r="I1127" s="26"/>
    </row>
    <row r="1128" spans="1:9">
      <c r="A1128" s="21"/>
      <c r="B1128" s="21"/>
      <c r="D1128" s="26"/>
      <c r="E1128" s="26"/>
      <c r="F1128" s="26"/>
      <c r="G1128" s="26"/>
      <c r="H1128" s="26"/>
      <c r="I1128" s="26"/>
    </row>
    <row r="1129" spans="1:9">
      <c r="A1129" s="21"/>
      <c r="B1129" s="21"/>
      <c r="D1129" s="26"/>
      <c r="E1129" s="26"/>
      <c r="F1129" s="26"/>
      <c r="G1129" s="26"/>
      <c r="H1129" s="26"/>
      <c r="I1129" s="26"/>
    </row>
    <row r="1130" spans="1:9">
      <c r="A1130" s="21"/>
      <c r="B1130" s="21"/>
      <c r="D1130" s="26"/>
      <c r="E1130" s="26"/>
      <c r="F1130" s="26"/>
      <c r="G1130" s="26"/>
      <c r="H1130" s="26"/>
      <c r="I1130" s="26"/>
    </row>
    <row r="1131" spans="1:9">
      <c r="A1131" s="21"/>
      <c r="B1131" s="21"/>
      <c r="D1131" s="26"/>
      <c r="E1131" s="26"/>
      <c r="F1131" s="26"/>
      <c r="G1131" s="26"/>
      <c r="H1131" s="26"/>
      <c r="I1131" s="26"/>
    </row>
    <row r="1132" spans="1:9">
      <c r="A1132" s="21"/>
      <c r="B1132" s="21"/>
      <c r="D1132" s="26"/>
      <c r="E1132" s="26"/>
      <c r="F1132" s="26"/>
      <c r="G1132" s="26"/>
      <c r="H1132" s="26"/>
      <c r="I1132" s="26"/>
    </row>
    <row r="1133" spans="1:9">
      <c r="A1133" s="21"/>
      <c r="B1133" s="21"/>
      <c r="D1133" s="26"/>
      <c r="E1133" s="26"/>
      <c r="F1133" s="26"/>
      <c r="G1133" s="26"/>
      <c r="H1133" s="26"/>
      <c r="I1133" s="26"/>
    </row>
    <row r="1134" spans="1:9">
      <c r="A1134" s="21"/>
      <c r="B1134" s="21"/>
      <c r="D1134" s="26"/>
      <c r="E1134" s="26"/>
      <c r="F1134" s="26"/>
      <c r="G1134" s="26"/>
      <c r="H1134" s="26"/>
      <c r="I1134" s="26"/>
    </row>
    <row r="1135" spans="1:9">
      <c r="A1135" s="21"/>
      <c r="B1135" s="21"/>
      <c r="D1135" s="26"/>
      <c r="E1135" s="26"/>
      <c r="F1135" s="26"/>
      <c r="G1135" s="26"/>
      <c r="H1135" s="26"/>
      <c r="I1135" s="26"/>
    </row>
    <row r="1136" spans="1:9">
      <c r="A1136" s="21"/>
      <c r="B1136" s="21"/>
      <c r="D1136" s="26"/>
      <c r="E1136" s="26"/>
      <c r="F1136" s="26"/>
      <c r="G1136" s="26"/>
      <c r="H1136" s="26"/>
      <c r="I1136" s="26"/>
    </row>
    <row r="1137" spans="1:9">
      <c r="A1137" s="21"/>
      <c r="B1137" s="21"/>
      <c r="D1137" s="26"/>
      <c r="E1137" s="26"/>
      <c r="F1137" s="26"/>
      <c r="G1137" s="26"/>
      <c r="H1137" s="26"/>
      <c r="I1137" s="26"/>
    </row>
    <row r="1138" spans="1:9">
      <c r="A1138" s="21"/>
      <c r="B1138" s="21"/>
      <c r="D1138" s="26"/>
      <c r="E1138" s="26"/>
      <c r="F1138" s="26"/>
      <c r="G1138" s="26"/>
      <c r="H1138" s="26"/>
      <c r="I1138" s="26"/>
    </row>
    <row r="1139" spans="1:9">
      <c r="A1139" s="21"/>
      <c r="B1139" s="21"/>
      <c r="D1139" s="26"/>
      <c r="E1139" s="26"/>
      <c r="F1139" s="26"/>
      <c r="G1139" s="26"/>
      <c r="H1139" s="26"/>
      <c r="I1139" s="26"/>
    </row>
    <row r="1140" spans="1:9">
      <c r="A1140" s="21"/>
      <c r="B1140" s="21"/>
      <c r="D1140" s="26"/>
      <c r="E1140" s="26"/>
      <c r="F1140" s="26"/>
      <c r="G1140" s="26"/>
      <c r="H1140" s="26"/>
      <c r="I1140" s="26"/>
    </row>
    <row r="1141" spans="1:9">
      <c r="A1141" s="21"/>
      <c r="B1141" s="21"/>
      <c r="D1141" s="26"/>
      <c r="E1141" s="26"/>
      <c r="F1141" s="26"/>
      <c r="G1141" s="26"/>
      <c r="H1141" s="26"/>
      <c r="I1141" s="26"/>
    </row>
    <row r="1142" spans="1:9">
      <c r="A1142" s="21"/>
      <c r="B1142" s="21"/>
      <c r="D1142" s="26"/>
      <c r="E1142" s="26"/>
      <c r="F1142" s="26"/>
      <c r="G1142" s="26"/>
      <c r="H1142" s="26"/>
      <c r="I1142" s="26"/>
    </row>
    <row r="1143" spans="1:9">
      <c r="A1143" s="21"/>
      <c r="B1143" s="21"/>
      <c r="D1143" s="26"/>
      <c r="E1143" s="26"/>
      <c r="F1143" s="26"/>
      <c r="G1143" s="26"/>
      <c r="H1143" s="26"/>
      <c r="I1143" s="26"/>
    </row>
    <row r="1144" spans="1:9">
      <c r="A1144" s="21"/>
      <c r="B1144" s="21"/>
      <c r="D1144" s="26"/>
      <c r="E1144" s="26"/>
      <c r="F1144" s="26"/>
      <c r="G1144" s="26"/>
      <c r="H1144" s="26"/>
      <c r="I1144" s="26"/>
    </row>
    <row r="1145" spans="1:9">
      <c r="A1145" s="21"/>
      <c r="B1145" s="21"/>
      <c r="D1145" s="26"/>
      <c r="E1145" s="26"/>
      <c r="F1145" s="26"/>
      <c r="G1145" s="26"/>
      <c r="H1145" s="26"/>
      <c r="I1145" s="26"/>
    </row>
    <row r="1146" spans="1:9">
      <c r="A1146" s="21"/>
      <c r="B1146" s="21"/>
      <c r="D1146" s="26"/>
      <c r="E1146" s="26"/>
      <c r="F1146" s="26"/>
      <c r="G1146" s="26"/>
      <c r="H1146" s="26"/>
      <c r="I1146" s="26"/>
    </row>
    <row r="1147" spans="1:9">
      <c r="A1147" s="21"/>
      <c r="B1147" s="21"/>
      <c r="D1147" s="26"/>
      <c r="E1147" s="26"/>
      <c r="F1147" s="26"/>
      <c r="G1147" s="26"/>
      <c r="H1147" s="26"/>
      <c r="I1147" s="26"/>
    </row>
    <row r="1148" spans="1:9">
      <c r="A1148" s="21"/>
      <c r="B1148" s="21"/>
      <c r="D1148" s="26"/>
      <c r="E1148" s="26"/>
      <c r="F1148" s="26"/>
      <c r="G1148" s="26"/>
      <c r="H1148" s="26"/>
      <c r="I1148" s="26"/>
    </row>
    <row r="1149" spans="1:9">
      <c r="A1149" s="21"/>
      <c r="B1149" s="21"/>
      <c r="D1149" s="26"/>
      <c r="E1149" s="26"/>
      <c r="F1149" s="26"/>
      <c r="G1149" s="26"/>
      <c r="H1149" s="26"/>
      <c r="I1149" s="26"/>
    </row>
    <row r="1150" spans="1:9">
      <c r="A1150" s="21"/>
      <c r="B1150" s="21"/>
      <c r="D1150" s="26"/>
      <c r="E1150" s="26"/>
      <c r="F1150" s="26"/>
      <c r="G1150" s="26"/>
      <c r="H1150" s="26"/>
      <c r="I1150" s="26"/>
    </row>
    <row r="1151" spans="1:9">
      <c r="A1151" s="21"/>
      <c r="B1151" s="21"/>
      <c r="D1151" s="26"/>
      <c r="E1151" s="26"/>
      <c r="F1151" s="26"/>
      <c r="G1151" s="26"/>
      <c r="H1151" s="26"/>
      <c r="I1151" s="26"/>
    </row>
    <row r="1152" spans="1:9">
      <c r="A1152" s="21"/>
      <c r="B1152" s="21"/>
      <c r="D1152" s="26"/>
      <c r="E1152" s="26"/>
      <c r="F1152" s="26"/>
      <c r="G1152" s="26"/>
      <c r="H1152" s="26"/>
      <c r="I1152" s="26"/>
    </row>
    <row r="1153" spans="1:9">
      <c r="A1153" s="21"/>
      <c r="B1153" s="21"/>
      <c r="D1153" s="26"/>
      <c r="E1153" s="26"/>
      <c r="F1153" s="26"/>
      <c r="G1153" s="26"/>
      <c r="H1153" s="26"/>
      <c r="I1153" s="26"/>
    </row>
    <row r="1154" spans="1:9">
      <c r="A1154" s="21"/>
      <c r="B1154" s="21"/>
      <c r="D1154" s="26"/>
      <c r="E1154" s="26"/>
      <c r="F1154" s="26"/>
      <c r="G1154" s="26"/>
      <c r="H1154" s="26"/>
      <c r="I1154" s="26"/>
    </row>
    <row r="1155" spans="1:9">
      <c r="A1155" s="21"/>
      <c r="B1155" s="21"/>
      <c r="D1155" s="26"/>
      <c r="E1155" s="26"/>
      <c r="F1155" s="26"/>
      <c r="G1155" s="26"/>
      <c r="H1155" s="26"/>
      <c r="I1155" s="26"/>
    </row>
    <row r="1156" spans="1:9">
      <c r="A1156" s="21"/>
      <c r="B1156" s="21"/>
      <c r="D1156" s="26"/>
      <c r="E1156" s="26"/>
      <c r="F1156" s="26"/>
      <c r="G1156" s="26"/>
      <c r="H1156" s="26"/>
      <c r="I1156" s="26"/>
    </row>
    <row r="1157" spans="1:9">
      <c r="A1157" s="24"/>
      <c r="B1157" s="21"/>
      <c r="D1157" s="26"/>
      <c r="E1157" s="26"/>
      <c r="F1157" s="26"/>
      <c r="G1157" s="26"/>
      <c r="H1157" s="26"/>
      <c r="I1157" s="26"/>
    </row>
    <row r="1158" spans="1:9">
      <c r="A1158" s="21"/>
      <c r="B1158" s="21"/>
      <c r="D1158" s="26"/>
      <c r="E1158" s="26"/>
      <c r="F1158" s="26"/>
      <c r="G1158" s="26"/>
      <c r="H1158" s="26"/>
      <c r="I1158" s="26"/>
    </row>
    <row r="1159" spans="1:9">
      <c r="A1159" s="21"/>
      <c r="B1159" s="21"/>
      <c r="D1159" s="26"/>
      <c r="E1159" s="26"/>
      <c r="F1159" s="26"/>
      <c r="G1159" s="26"/>
      <c r="H1159" s="26"/>
      <c r="I1159" s="26"/>
    </row>
    <row r="1160" spans="1:9">
      <c r="A1160" s="21"/>
      <c r="B1160" s="21"/>
      <c r="D1160" s="26"/>
      <c r="E1160" s="26"/>
      <c r="F1160" s="26"/>
      <c r="G1160" s="26"/>
      <c r="H1160" s="26"/>
      <c r="I1160" s="26"/>
    </row>
    <row r="1161" spans="1:9">
      <c r="A1161" s="21"/>
      <c r="B1161" s="21"/>
      <c r="D1161" s="26"/>
      <c r="E1161" s="26"/>
      <c r="F1161" s="26"/>
      <c r="G1161" s="26"/>
      <c r="H1161" s="26"/>
      <c r="I1161" s="26"/>
    </row>
    <row r="1162" spans="1:9">
      <c r="A1162" s="21"/>
      <c r="B1162" s="21"/>
      <c r="D1162" s="26"/>
      <c r="E1162" s="26"/>
      <c r="F1162" s="26"/>
      <c r="G1162" s="26"/>
      <c r="H1162" s="26"/>
      <c r="I1162" s="26"/>
    </row>
    <row r="1163" spans="1:9">
      <c r="A1163" s="21"/>
      <c r="B1163" s="21"/>
      <c r="D1163" s="26"/>
      <c r="E1163" s="26"/>
      <c r="F1163" s="26"/>
      <c r="G1163" s="26"/>
      <c r="H1163" s="26"/>
      <c r="I1163" s="26"/>
    </row>
    <row r="1164" spans="1:9">
      <c r="A1164" s="21"/>
      <c r="B1164" s="21"/>
      <c r="D1164" s="26"/>
      <c r="E1164" s="26"/>
      <c r="F1164" s="26"/>
      <c r="G1164" s="26"/>
      <c r="H1164" s="26"/>
      <c r="I1164" s="26"/>
    </row>
    <row r="1165" spans="1:9">
      <c r="A1165" s="21"/>
      <c r="B1165" s="21"/>
      <c r="D1165" s="26"/>
      <c r="E1165" s="26"/>
      <c r="F1165" s="26"/>
      <c r="G1165" s="26"/>
      <c r="H1165" s="26"/>
      <c r="I1165" s="26"/>
    </row>
    <row r="1166" spans="1:9">
      <c r="A1166" s="21"/>
      <c r="B1166" s="21"/>
      <c r="D1166" s="26"/>
      <c r="E1166" s="26"/>
      <c r="F1166" s="26"/>
      <c r="G1166" s="26"/>
      <c r="H1166" s="26"/>
      <c r="I1166" s="26"/>
    </row>
    <row r="1167" spans="1:9">
      <c r="A1167" s="21"/>
      <c r="B1167" s="21"/>
      <c r="D1167" s="26"/>
      <c r="E1167" s="26"/>
      <c r="F1167" s="26"/>
      <c r="G1167" s="26"/>
      <c r="H1167" s="26"/>
      <c r="I1167" s="26"/>
    </row>
    <row r="1168" spans="1:9">
      <c r="A1168" s="21"/>
      <c r="B1168" s="21"/>
      <c r="D1168" s="26"/>
      <c r="E1168" s="26"/>
      <c r="F1168" s="26"/>
      <c r="G1168" s="26"/>
      <c r="H1168" s="26"/>
      <c r="I1168" s="26"/>
    </row>
    <row r="1169" spans="1:9">
      <c r="A1169" s="21"/>
      <c r="B1169" s="21"/>
      <c r="D1169" s="26"/>
      <c r="E1169" s="26"/>
      <c r="F1169" s="26"/>
      <c r="G1169" s="26"/>
      <c r="H1169" s="26"/>
      <c r="I1169" s="26"/>
    </row>
    <row r="1170" spans="1:9">
      <c r="A1170" s="21"/>
      <c r="B1170" s="21"/>
      <c r="D1170" s="26"/>
      <c r="E1170" s="26"/>
      <c r="F1170" s="26"/>
      <c r="G1170" s="26"/>
      <c r="H1170" s="26"/>
      <c r="I1170" s="26"/>
    </row>
    <row r="1171" spans="1:9">
      <c r="A1171" s="21"/>
      <c r="B1171" s="21"/>
      <c r="D1171" s="26"/>
      <c r="E1171" s="26"/>
      <c r="F1171" s="26"/>
      <c r="G1171" s="26"/>
      <c r="H1171" s="26"/>
      <c r="I1171" s="26"/>
    </row>
    <row r="1172" spans="1:9">
      <c r="A1172" s="21"/>
      <c r="B1172" s="21"/>
      <c r="D1172" s="26"/>
      <c r="E1172" s="26"/>
      <c r="F1172" s="26"/>
      <c r="G1172" s="26"/>
      <c r="H1172" s="26"/>
      <c r="I1172" s="26"/>
    </row>
    <row r="1173" spans="1:9">
      <c r="A1173" s="21"/>
      <c r="B1173" s="21"/>
      <c r="D1173" s="26"/>
      <c r="E1173" s="26"/>
      <c r="F1173" s="26"/>
      <c r="G1173" s="26"/>
      <c r="H1173" s="26"/>
      <c r="I1173" s="26"/>
    </row>
    <row r="1174" spans="1:9">
      <c r="A1174" s="21"/>
      <c r="B1174" s="21"/>
      <c r="D1174" s="26"/>
      <c r="E1174" s="26"/>
      <c r="F1174" s="26"/>
      <c r="G1174" s="26"/>
      <c r="H1174" s="26"/>
      <c r="I1174" s="26"/>
    </row>
    <row r="1175" spans="1:9">
      <c r="A1175" s="21"/>
      <c r="B1175" s="21"/>
      <c r="D1175" s="26"/>
      <c r="E1175" s="26"/>
      <c r="F1175" s="26"/>
      <c r="G1175" s="26"/>
      <c r="H1175" s="26"/>
      <c r="I1175" s="26"/>
    </row>
    <row r="1176" spans="1:9">
      <c r="A1176" s="21"/>
      <c r="B1176" s="21"/>
      <c r="D1176" s="26"/>
      <c r="E1176" s="26"/>
      <c r="F1176" s="26"/>
      <c r="G1176" s="26"/>
      <c r="H1176" s="26"/>
      <c r="I1176" s="26"/>
    </row>
    <row r="1177" spans="1:9">
      <c r="A1177" s="21"/>
      <c r="B1177" s="21"/>
      <c r="D1177" s="26"/>
      <c r="E1177" s="26"/>
      <c r="F1177" s="26"/>
      <c r="G1177" s="26"/>
      <c r="H1177" s="26"/>
      <c r="I1177" s="26"/>
    </row>
    <row r="1178" spans="1:9">
      <c r="A1178" s="21"/>
      <c r="B1178" s="21"/>
      <c r="D1178" s="26"/>
      <c r="E1178" s="26"/>
      <c r="F1178" s="26"/>
      <c r="G1178" s="26"/>
      <c r="H1178" s="26"/>
      <c r="I1178" s="26"/>
    </row>
    <row r="1179" spans="1:9">
      <c r="A1179" s="21"/>
      <c r="B1179" s="21"/>
      <c r="D1179" s="26"/>
      <c r="E1179" s="26"/>
      <c r="F1179" s="26"/>
      <c r="G1179" s="26"/>
      <c r="H1179" s="26"/>
      <c r="I1179" s="26"/>
    </row>
    <row r="1180" spans="1:9">
      <c r="A1180" s="21"/>
      <c r="B1180" s="21"/>
      <c r="D1180" s="26"/>
      <c r="E1180" s="26"/>
      <c r="F1180" s="26"/>
      <c r="G1180" s="26"/>
      <c r="H1180" s="26"/>
      <c r="I1180" s="26"/>
    </row>
    <row r="1181" spans="1:9">
      <c r="A1181" s="21"/>
      <c r="B1181" s="21"/>
      <c r="D1181" s="26"/>
      <c r="E1181" s="26"/>
      <c r="F1181" s="26"/>
      <c r="G1181" s="26"/>
      <c r="H1181" s="26"/>
      <c r="I1181" s="26"/>
    </row>
    <row r="1182" spans="1:9">
      <c r="A1182" s="21"/>
      <c r="B1182" s="21"/>
      <c r="D1182" s="26"/>
      <c r="E1182" s="26"/>
      <c r="F1182" s="26"/>
      <c r="G1182" s="26"/>
      <c r="H1182" s="26"/>
      <c r="I1182" s="26"/>
    </row>
    <row r="1183" spans="1:9">
      <c r="A1183" s="21"/>
      <c r="B1183" s="21"/>
      <c r="D1183" s="26"/>
      <c r="E1183" s="26"/>
      <c r="F1183" s="26"/>
      <c r="G1183" s="26"/>
      <c r="H1183" s="26"/>
      <c r="I1183" s="26"/>
    </row>
    <row r="1184" spans="1:9">
      <c r="A1184" s="21"/>
      <c r="B1184" s="21"/>
      <c r="D1184" s="26"/>
      <c r="E1184" s="26"/>
      <c r="F1184" s="26"/>
      <c r="G1184" s="26"/>
      <c r="H1184" s="26"/>
      <c r="I1184" s="26"/>
    </row>
    <row r="1185" spans="1:9">
      <c r="A1185" s="21"/>
      <c r="B1185" s="21"/>
      <c r="D1185" s="26"/>
      <c r="E1185" s="26"/>
      <c r="F1185" s="26"/>
      <c r="G1185" s="26"/>
      <c r="H1185" s="26"/>
      <c r="I1185" s="26"/>
    </row>
    <row r="1186" spans="1:9">
      <c r="A1186" s="21"/>
      <c r="B1186" s="21"/>
      <c r="D1186" s="26"/>
      <c r="E1186" s="26"/>
      <c r="F1186" s="26"/>
      <c r="G1186" s="26"/>
      <c r="H1186" s="26"/>
      <c r="I1186" s="26"/>
    </row>
    <row r="1187" spans="1:9">
      <c r="A1187" s="21"/>
      <c r="B1187" s="21"/>
      <c r="D1187" s="26"/>
      <c r="E1187" s="26"/>
      <c r="F1187" s="26"/>
      <c r="G1187" s="26"/>
      <c r="H1187" s="26"/>
      <c r="I1187" s="26"/>
    </row>
    <row r="1188" spans="1:9">
      <c r="A1188" s="21"/>
      <c r="B1188" s="21"/>
      <c r="D1188" s="26"/>
      <c r="E1188" s="26"/>
      <c r="F1188" s="26"/>
      <c r="G1188" s="26"/>
      <c r="H1188" s="26"/>
      <c r="I1188" s="26"/>
    </row>
    <row r="1189" spans="1:9">
      <c r="A1189" s="21"/>
      <c r="B1189" s="21"/>
      <c r="D1189" s="26"/>
      <c r="E1189" s="26"/>
      <c r="F1189" s="26"/>
      <c r="G1189" s="26"/>
      <c r="H1189" s="26"/>
      <c r="I1189" s="26"/>
    </row>
    <row r="1190" spans="1:9">
      <c r="A1190" s="21"/>
      <c r="B1190" s="21"/>
      <c r="D1190" s="26"/>
      <c r="E1190" s="26"/>
      <c r="F1190" s="26"/>
      <c r="G1190" s="26"/>
      <c r="H1190" s="26"/>
      <c r="I1190" s="26"/>
    </row>
    <row r="1191" spans="1:9">
      <c r="A1191" s="21"/>
      <c r="B1191" s="21"/>
      <c r="D1191" s="26"/>
      <c r="E1191" s="26"/>
      <c r="F1191" s="26"/>
      <c r="G1191" s="26"/>
      <c r="H1191" s="26"/>
      <c r="I1191" s="26"/>
    </row>
    <row r="1192" spans="1:9">
      <c r="A1192" s="21"/>
      <c r="B1192" s="21"/>
      <c r="D1192" s="26"/>
      <c r="E1192" s="26"/>
      <c r="F1192" s="26"/>
      <c r="G1192" s="26"/>
      <c r="H1192" s="26"/>
      <c r="I1192" s="26"/>
    </row>
    <row r="1193" spans="1:9">
      <c r="A1193" s="21"/>
      <c r="B1193" s="21"/>
      <c r="D1193" s="26"/>
      <c r="E1193" s="26"/>
      <c r="F1193" s="26"/>
      <c r="G1193" s="26"/>
      <c r="H1193" s="26"/>
      <c r="I1193" s="26"/>
    </row>
    <row r="1194" spans="1:9">
      <c r="A1194" s="21"/>
      <c r="B1194" s="21"/>
      <c r="D1194" s="26"/>
      <c r="E1194" s="26"/>
      <c r="F1194" s="26"/>
      <c r="G1194" s="26"/>
      <c r="H1194" s="26"/>
      <c r="I1194" s="26"/>
    </row>
    <row r="1195" spans="1:9">
      <c r="A1195" s="21"/>
      <c r="B1195" s="21"/>
      <c r="D1195" s="26"/>
      <c r="E1195" s="26"/>
      <c r="F1195" s="26"/>
      <c r="G1195" s="26"/>
      <c r="H1195" s="26"/>
      <c r="I1195" s="26"/>
    </row>
    <row r="1196" spans="1:9">
      <c r="A1196" s="21"/>
      <c r="B1196" s="21"/>
      <c r="D1196" s="26"/>
      <c r="E1196" s="26"/>
      <c r="F1196" s="26"/>
      <c r="G1196" s="26"/>
      <c r="H1196" s="26"/>
      <c r="I1196" s="26"/>
    </row>
    <row r="1197" spans="1:9">
      <c r="A1197" s="21"/>
      <c r="B1197" s="21"/>
      <c r="D1197" s="26"/>
      <c r="E1197" s="26"/>
      <c r="F1197" s="26"/>
      <c r="G1197" s="26"/>
      <c r="H1197" s="26"/>
      <c r="I1197" s="26"/>
    </row>
    <row r="1198" spans="1:9">
      <c r="A1198" s="21"/>
      <c r="B1198" s="21"/>
      <c r="D1198" s="26"/>
      <c r="E1198" s="26"/>
      <c r="F1198" s="26"/>
      <c r="G1198" s="26"/>
      <c r="H1198" s="26"/>
      <c r="I1198" s="26"/>
    </row>
    <row r="1199" spans="1:9">
      <c r="A1199" s="21"/>
      <c r="B1199" s="21"/>
      <c r="D1199" s="26"/>
      <c r="E1199" s="26"/>
      <c r="F1199" s="26"/>
      <c r="G1199" s="26"/>
      <c r="H1199" s="26"/>
      <c r="I1199" s="26"/>
    </row>
    <row r="1200" spans="1:9">
      <c r="A1200" s="21"/>
      <c r="B1200" s="21"/>
      <c r="D1200" s="26"/>
      <c r="E1200" s="26"/>
      <c r="F1200" s="26"/>
      <c r="G1200" s="26"/>
      <c r="H1200" s="26"/>
      <c r="I1200" s="26"/>
    </row>
    <row r="1201" spans="1:9">
      <c r="A1201" s="21"/>
      <c r="B1201" s="21"/>
      <c r="D1201" s="26"/>
      <c r="E1201" s="26"/>
      <c r="F1201" s="26"/>
      <c r="G1201" s="26"/>
      <c r="H1201" s="26"/>
      <c r="I1201" s="26"/>
    </row>
    <row r="1202" spans="1:9">
      <c r="A1202" s="21"/>
      <c r="B1202" s="21"/>
      <c r="D1202" s="26"/>
      <c r="E1202" s="26"/>
      <c r="F1202" s="26"/>
      <c r="G1202" s="26"/>
      <c r="H1202" s="26"/>
      <c r="I1202" s="26"/>
    </row>
    <row r="1203" spans="1:9">
      <c r="A1203" s="21"/>
      <c r="B1203" s="21"/>
      <c r="D1203" s="26"/>
      <c r="E1203" s="26"/>
      <c r="F1203" s="26"/>
      <c r="G1203" s="26"/>
      <c r="H1203" s="26"/>
      <c r="I1203" s="26"/>
    </row>
    <row r="1204" spans="1:9">
      <c r="A1204" s="21"/>
      <c r="B1204" s="21"/>
      <c r="D1204" s="26"/>
      <c r="E1204" s="26"/>
      <c r="F1204" s="26"/>
      <c r="G1204" s="26"/>
      <c r="H1204" s="26"/>
      <c r="I1204" s="26"/>
    </row>
    <row r="1205" spans="1:9">
      <c r="A1205" s="21"/>
      <c r="B1205" s="21"/>
      <c r="D1205" s="26"/>
      <c r="E1205" s="26"/>
      <c r="F1205" s="26"/>
      <c r="G1205" s="26"/>
      <c r="H1205" s="26"/>
      <c r="I1205" s="26"/>
    </row>
    <row r="1206" spans="1:9">
      <c r="A1206" s="21"/>
      <c r="B1206" s="21"/>
      <c r="D1206" s="26"/>
      <c r="E1206" s="26"/>
      <c r="F1206" s="26"/>
      <c r="G1206" s="26"/>
      <c r="H1206" s="26"/>
      <c r="I1206" s="26"/>
    </row>
    <row r="1207" spans="1:9">
      <c r="A1207" s="21"/>
      <c r="B1207" s="21"/>
      <c r="D1207" s="26"/>
      <c r="E1207" s="26"/>
      <c r="F1207" s="26"/>
      <c r="G1207" s="26"/>
      <c r="H1207" s="26"/>
      <c r="I1207" s="26"/>
    </row>
    <row r="1208" spans="1:9">
      <c r="A1208" s="21"/>
      <c r="B1208" s="21"/>
      <c r="D1208" s="26"/>
      <c r="E1208" s="26"/>
      <c r="F1208" s="26"/>
      <c r="G1208" s="26"/>
      <c r="H1208" s="26"/>
      <c r="I1208" s="26"/>
    </row>
    <row r="1209" spans="1:9">
      <c r="A1209" s="21"/>
      <c r="B1209" s="21"/>
      <c r="D1209" s="26"/>
      <c r="E1209" s="26"/>
      <c r="F1209" s="26"/>
      <c r="G1209" s="26"/>
      <c r="H1209" s="26"/>
      <c r="I1209" s="26"/>
    </row>
    <row r="1210" spans="1:9">
      <c r="A1210" s="21"/>
      <c r="B1210" s="21"/>
      <c r="D1210" s="26"/>
      <c r="E1210" s="26"/>
      <c r="F1210" s="26"/>
      <c r="G1210" s="26"/>
      <c r="H1210" s="26"/>
      <c r="I1210" s="26"/>
    </row>
    <row r="1211" spans="1:9">
      <c r="A1211" s="21"/>
      <c r="B1211" s="21"/>
      <c r="D1211" s="26"/>
      <c r="E1211" s="26"/>
      <c r="F1211" s="26"/>
      <c r="G1211" s="26"/>
      <c r="H1211" s="26"/>
      <c r="I1211" s="26"/>
    </row>
    <row r="1212" spans="1:9">
      <c r="A1212" s="21"/>
      <c r="B1212" s="21"/>
      <c r="D1212" s="26"/>
      <c r="E1212" s="26"/>
      <c r="F1212" s="26"/>
      <c r="G1212" s="26"/>
      <c r="H1212" s="26"/>
      <c r="I1212" s="26"/>
    </row>
    <row r="1213" spans="1:9">
      <c r="A1213" s="21"/>
      <c r="B1213" s="21"/>
      <c r="D1213" s="26"/>
      <c r="E1213" s="26"/>
      <c r="F1213" s="26"/>
      <c r="G1213" s="26"/>
      <c r="H1213" s="26"/>
      <c r="I1213" s="26"/>
    </row>
    <row r="1214" spans="1:9">
      <c r="A1214" s="21"/>
      <c r="B1214" s="21"/>
      <c r="D1214" s="26"/>
      <c r="E1214" s="26"/>
      <c r="F1214" s="26"/>
      <c r="G1214" s="26"/>
      <c r="H1214" s="26"/>
      <c r="I1214" s="26"/>
    </row>
    <row r="1215" spans="1:9">
      <c r="A1215" s="21"/>
      <c r="B1215" s="21"/>
      <c r="D1215" s="26"/>
      <c r="E1215" s="26"/>
      <c r="F1215" s="26"/>
      <c r="G1215" s="26"/>
      <c r="H1215" s="26"/>
      <c r="I1215" s="26"/>
    </row>
    <row r="1216" spans="1:9">
      <c r="A1216" s="21"/>
      <c r="B1216" s="21"/>
      <c r="D1216" s="26"/>
      <c r="E1216" s="26"/>
      <c r="F1216" s="26"/>
      <c r="G1216" s="26"/>
      <c r="H1216" s="26"/>
      <c r="I1216" s="26"/>
    </row>
    <row r="1217" spans="1:9">
      <c r="A1217" s="21"/>
      <c r="B1217" s="21"/>
      <c r="D1217" s="26"/>
      <c r="E1217" s="26"/>
      <c r="F1217" s="26"/>
      <c r="G1217" s="26"/>
      <c r="H1217" s="26"/>
      <c r="I1217" s="26"/>
    </row>
    <row r="1218" spans="1:9">
      <c r="A1218" s="21"/>
      <c r="B1218" s="21"/>
      <c r="D1218" s="26"/>
      <c r="E1218" s="26"/>
      <c r="F1218" s="26"/>
      <c r="G1218" s="26"/>
      <c r="H1218" s="26"/>
      <c r="I1218" s="26"/>
    </row>
    <row r="1219" spans="1:9">
      <c r="A1219" s="21"/>
      <c r="B1219" s="21"/>
      <c r="D1219" s="26"/>
      <c r="E1219" s="26"/>
      <c r="F1219" s="26"/>
      <c r="G1219" s="26"/>
      <c r="H1219" s="26"/>
      <c r="I1219" s="26"/>
    </row>
    <row r="1220" spans="1:9">
      <c r="A1220" s="21"/>
      <c r="B1220" s="21"/>
      <c r="D1220" s="26"/>
      <c r="E1220" s="26"/>
      <c r="F1220" s="26"/>
      <c r="G1220" s="26"/>
      <c r="H1220" s="26"/>
      <c r="I1220" s="26"/>
    </row>
    <row r="1221" spans="1:9">
      <c r="A1221" s="21"/>
      <c r="B1221" s="21"/>
      <c r="D1221" s="26"/>
      <c r="E1221" s="26"/>
      <c r="F1221" s="26"/>
      <c r="G1221" s="26"/>
      <c r="H1221" s="26"/>
      <c r="I1221" s="26"/>
    </row>
    <row r="1222" spans="1:9">
      <c r="A1222" s="21"/>
      <c r="B1222" s="21"/>
      <c r="D1222" s="26"/>
      <c r="E1222" s="26"/>
      <c r="F1222" s="26"/>
      <c r="G1222" s="26"/>
      <c r="H1222" s="26"/>
      <c r="I1222" s="26"/>
    </row>
    <row r="1223" spans="1:9">
      <c r="A1223" s="21"/>
      <c r="B1223" s="21"/>
      <c r="D1223" s="26"/>
      <c r="E1223" s="26"/>
      <c r="F1223" s="26"/>
      <c r="G1223" s="26"/>
      <c r="H1223" s="26"/>
      <c r="I1223" s="26"/>
    </row>
    <row r="1224" spans="1:9">
      <c r="A1224" s="21"/>
      <c r="B1224" s="21"/>
      <c r="D1224" s="26"/>
      <c r="E1224" s="26"/>
      <c r="F1224" s="26"/>
      <c r="G1224" s="26"/>
      <c r="H1224" s="26"/>
      <c r="I1224" s="26"/>
    </row>
    <row r="1225" spans="1:9">
      <c r="A1225" s="21"/>
      <c r="B1225" s="21"/>
      <c r="D1225" s="26"/>
      <c r="E1225" s="26"/>
      <c r="F1225" s="26"/>
      <c r="G1225" s="26"/>
      <c r="H1225" s="26"/>
      <c r="I1225" s="26"/>
    </row>
    <row r="1226" spans="1:9">
      <c r="A1226" s="21"/>
      <c r="B1226" s="21"/>
      <c r="D1226" s="26"/>
      <c r="E1226" s="26"/>
      <c r="F1226" s="26"/>
      <c r="G1226" s="26"/>
      <c r="H1226" s="26"/>
      <c r="I1226" s="26"/>
    </row>
    <row r="1227" spans="1:9">
      <c r="A1227" s="21"/>
      <c r="B1227" s="21"/>
      <c r="D1227" s="26"/>
      <c r="E1227" s="26"/>
      <c r="F1227" s="26"/>
      <c r="G1227" s="26"/>
      <c r="H1227" s="26"/>
      <c r="I1227" s="26"/>
    </row>
    <row r="1228" spans="1:9">
      <c r="A1228" s="21"/>
      <c r="B1228" s="21"/>
      <c r="D1228" s="26"/>
      <c r="E1228" s="26"/>
      <c r="F1228" s="26"/>
      <c r="G1228" s="26"/>
      <c r="H1228" s="26"/>
      <c r="I1228" s="26"/>
    </row>
    <row r="1229" spans="1:9">
      <c r="A1229" s="21"/>
      <c r="B1229" s="21"/>
      <c r="D1229" s="26"/>
      <c r="E1229" s="26"/>
      <c r="F1229" s="26"/>
      <c r="G1229" s="26"/>
      <c r="H1229" s="26"/>
      <c r="I1229" s="26"/>
    </row>
    <row r="1230" spans="1:9">
      <c r="A1230" s="21"/>
      <c r="B1230" s="21"/>
      <c r="D1230" s="26"/>
      <c r="E1230" s="26"/>
      <c r="F1230" s="26"/>
      <c r="G1230" s="26"/>
      <c r="H1230" s="26"/>
      <c r="I1230" s="26"/>
    </row>
    <row r="1231" spans="1:9">
      <c r="A1231" s="21"/>
      <c r="B1231" s="21"/>
      <c r="D1231" s="26"/>
      <c r="E1231" s="26"/>
      <c r="F1231" s="26"/>
      <c r="G1231" s="26"/>
      <c r="H1231" s="26"/>
      <c r="I1231" s="26"/>
    </row>
    <row r="1232" spans="1:9">
      <c r="A1232" s="21"/>
      <c r="B1232" s="21"/>
      <c r="D1232" s="26"/>
      <c r="E1232" s="26"/>
      <c r="F1232" s="26"/>
      <c r="G1232" s="26"/>
      <c r="H1232" s="26"/>
      <c r="I1232" s="26"/>
    </row>
    <row r="1233" spans="1:9">
      <c r="A1233" s="21"/>
      <c r="B1233" s="21"/>
      <c r="D1233" s="26"/>
      <c r="E1233" s="26"/>
      <c r="F1233" s="26"/>
      <c r="G1233" s="26"/>
      <c r="H1233" s="26"/>
      <c r="I1233" s="26"/>
    </row>
    <row r="1234" spans="1:9">
      <c r="A1234" s="21"/>
      <c r="B1234" s="21"/>
      <c r="D1234" s="26"/>
      <c r="E1234" s="26"/>
      <c r="F1234" s="26"/>
      <c r="G1234" s="26"/>
      <c r="H1234" s="26"/>
      <c r="I1234" s="26"/>
    </row>
    <row r="1235" spans="1:9">
      <c r="A1235" s="21"/>
      <c r="B1235" s="21"/>
      <c r="D1235" s="26"/>
      <c r="E1235" s="26"/>
      <c r="F1235" s="26"/>
      <c r="G1235" s="26"/>
      <c r="H1235" s="26"/>
      <c r="I1235" s="26"/>
    </row>
    <row r="1236" spans="1:9">
      <c r="A1236" s="21"/>
      <c r="B1236" s="21"/>
      <c r="D1236" s="26"/>
      <c r="E1236" s="26"/>
      <c r="F1236" s="26"/>
      <c r="G1236" s="26"/>
      <c r="H1236" s="26"/>
      <c r="I1236" s="26"/>
    </row>
    <row r="1237" spans="1:9">
      <c r="A1237" s="21"/>
      <c r="B1237" s="21"/>
      <c r="D1237" s="26"/>
      <c r="E1237" s="26"/>
      <c r="F1237" s="26"/>
      <c r="G1237" s="26"/>
      <c r="H1237" s="26"/>
      <c r="I1237" s="26"/>
    </row>
    <row r="1238" spans="1:9">
      <c r="A1238" s="21"/>
      <c r="B1238" s="21"/>
      <c r="D1238" s="26"/>
      <c r="E1238" s="26"/>
      <c r="F1238" s="26"/>
      <c r="G1238" s="26"/>
      <c r="H1238" s="26"/>
      <c r="I1238" s="26"/>
    </row>
    <row r="1239" spans="1:9">
      <c r="A1239" s="21"/>
      <c r="B1239" s="21"/>
      <c r="D1239" s="26"/>
      <c r="E1239" s="26"/>
      <c r="F1239" s="26"/>
      <c r="G1239" s="26"/>
      <c r="H1239" s="26"/>
      <c r="I1239" s="26"/>
    </row>
    <row r="1240" spans="1:9">
      <c r="A1240" s="21"/>
      <c r="B1240" s="21"/>
      <c r="D1240" s="26"/>
      <c r="E1240" s="26"/>
      <c r="F1240" s="26"/>
      <c r="G1240" s="26"/>
      <c r="H1240" s="26"/>
      <c r="I1240" s="26"/>
    </row>
    <row r="1241" spans="1:9">
      <c r="A1241" s="21"/>
      <c r="B1241" s="21"/>
      <c r="D1241" s="26"/>
      <c r="E1241" s="26"/>
      <c r="F1241" s="26"/>
      <c r="G1241" s="26"/>
      <c r="H1241" s="26"/>
      <c r="I1241" s="26"/>
    </row>
    <row r="1242" spans="1:9">
      <c r="A1242" s="21"/>
      <c r="B1242" s="21"/>
      <c r="D1242" s="26"/>
      <c r="E1242" s="26"/>
      <c r="F1242" s="26"/>
      <c r="G1242" s="26"/>
      <c r="H1242" s="26"/>
      <c r="I1242" s="26"/>
    </row>
    <row r="1243" spans="1:9">
      <c r="A1243" s="21"/>
      <c r="B1243" s="21"/>
      <c r="D1243" s="26"/>
      <c r="E1243" s="26"/>
      <c r="F1243" s="26"/>
      <c r="G1243" s="26"/>
      <c r="H1243" s="26"/>
      <c r="I1243" s="26"/>
    </row>
    <row r="1244" spans="1:9">
      <c r="A1244" s="21"/>
      <c r="B1244" s="21"/>
      <c r="D1244" s="26"/>
      <c r="E1244" s="26"/>
      <c r="F1244" s="26"/>
      <c r="G1244" s="26"/>
      <c r="H1244" s="26"/>
      <c r="I1244" s="26"/>
    </row>
    <row r="1245" spans="1:9">
      <c r="A1245" s="21"/>
      <c r="B1245" s="21"/>
      <c r="D1245" s="26"/>
      <c r="E1245" s="26"/>
      <c r="F1245" s="26"/>
      <c r="G1245" s="26"/>
      <c r="H1245" s="26"/>
      <c r="I1245" s="26"/>
    </row>
    <row r="1246" spans="1:9">
      <c r="A1246" s="21"/>
      <c r="B1246" s="21"/>
      <c r="D1246" s="26"/>
      <c r="E1246" s="26"/>
      <c r="F1246" s="26"/>
      <c r="G1246" s="26"/>
      <c r="H1246" s="26"/>
      <c r="I1246" s="26"/>
    </row>
    <row r="1247" spans="1:9">
      <c r="A1247" s="21"/>
      <c r="B1247" s="21"/>
      <c r="D1247" s="26"/>
      <c r="E1247" s="26"/>
      <c r="F1247" s="26"/>
      <c r="G1247" s="26"/>
      <c r="H1247" s="26"/>
      <c r="I1247" s="26"/>
    </row>
    <row r="1248" spans="1:9">
      <c r="A1248" s="21"/>
      <c r="B1248" s="21"/>
      <c r="D1248" s="26"/>
      <c r="E1248" s="26"/>
      <c r="F1248" s="26"/>
      <c r="G1248" s="26"/>
      <c r="H1248" s="26"/>
      <c r="I1248" s="26"/>
    </row>
    <row r="1249" spans="1:9">
      <c r="A1249" s="21"/>
      <c r="B1249" s="21"/>
      <c r="D1249" s="26"/>
      <c r="E1249" s="26"/>
      <c r="F1249" s="26"/>
      <c r="G1249" s="26"/>
      <c r="H1249" s="26"/>
      <c r="I1249" s="26"/>
    </row>
    <row r="1250" spans="1:9">
      <c r="A1250" s="21"/>
      <c r="B1250" s="21"/>
      <c r="D1250" s="26"/>
      <c r="E1250" s="26"/>
      <c r="F1250" s="26"/>
      <c r="G1250" s="26"/>
      <c r="H1250" s="26"/>
      <c r="I1250" s="26"/>
    </row>
    <row r="1251" spans="1:9">
      <c r="A1251" s="21"/>
      <c r="B1251" s="21"/>
      <c r="D1251" s="26"/>
      <c r="E1251" s="26"/>
      <c r="F1251" s="26"/>
      <c r="G1251" s="26"/>
      <c r="H1251" s="26"/>
      <c r="I1251" s="26"/>
    </row>
    <row r="1252" spans="1:9">
      <c r="A1252" s="21"/>
      <c r="B1252" s="21"/>
      <c r="D1252" s="26"/>
      <c r="E1252" s="26"/>
      <c r="F1252" s="26"/>
      <c r="G1252" s="26"/>
      <c r="H1252" s="26"/>
      <c r="I1252" s="26"/>
    </row>
    <row r="1253" spans="1:9">
      <c r="A1253" s="21"/>
      <c r="B1253" s="21"/>
      <c r="D1253" s="26"/>
      <c r="E1253" s="26"/>
      <c r="F1253" s="26"/>
      <c r="G1253" s="26"/>
      <c r="H1253" s="26"/>
      <c r="I1253" s="26"/>
    </row>
    <row r="1254" spans="1:9">
      <c r="A1254" s="21"/>
      <c r="B1254" s="21"/>
      <c r="D1254" s="26"/>
      <c r="E1254" s="26"/>
      <c r="F1254" s="26"/>
      <c r="G1254" s="26"/>
      <c r="H1254" s="26"/>
      <c r="I1254" s="26"/>
    </row>
    <row r="1255" spans="1:9">
      <c r="A1255" s="21"/>
      <c r="B1255" s="21"/>
      <c r="D1255" s="26"/>
      <c r="E1255" s="26"/>
      <c r="F1255" s="26"/>
      <c r="G1255" s="26"/>
      <c r="H1255" s="26"/>
      <c r="I1255" s="26"/>
    </row>
    <row r="1256" spans="1:9">
      <c r="A1256" s="21"/>
      <c r="B1256" s="21"/>
      <c r="D1256" s="26"/>
      <c r="E1256" s="26"/>
      <c r="F1256" s="26"/>
      <c r="G1256" s="26"/>
      <c r="H1256" s="26"/>
      <c r="I1256" s="26"/>
    </row>
    <row r="1257" spans="1:9">
      <c r="A1257" s="21"/>
      <c r="B1257" s="21"/>
      <c r="D1257" s="26"/>
      <c r="E1257" s="26"/>
      <c r="F1257" s="26"/>
      <c r="G1257" s="26"/>
      <c r="H1257" s="26"/>
      <c r="I1257" s="26"/>
    </row>
    <row r="1258" spans="1:9">
      <c r="A1258" s="21"/>
      <c r="B1258" s="21"/>
      <c r="D1258" s="26"/>
      <c r="E1258" s="26"/>
      <c r="F1258" s="26"/>
      <c r="G1258" s="26"/>
      <c r="H1258" s="26"/>
      <c r="I1258" s="26"/>
    </row>
    <row r="1259" spans="1:9">
      <c r="A1259" s="21"/>
      <c r="B1259" s="21"/>
      <c r="D1259" s="26"/>
      <c r="E1259" s="26"/>
      <c r="F1259" s="26"/>
      <c r="G1259" s="26"/>
      <c r="H1259" s="26"/>
      <c r="I1259" s="26"/>
    </row>
    <row r="1260" spans="1:9">
      <c r="A1260" s="21"/>
      <c r="B1260" s="21"/>
      <c r="D1260" s="26"/>
      <c r="E1260" s="26"/>
      <c r="F1260" s="26"/>
      <c r="G1260" s="26"/>
      <c r="H1260" s="26"/>
      <c r="I1260" s="26"/>
    </row>
    <row r="1261" spans="1:9">
      <c r="A1261" s="21"/>
      <c r="B1261" s="21"/>
      <c r="D1261" s="26"/>
      <c r="E1261" s="26"/>
      <c r="F1261" s="26"/>
      <c r="G1261" s="26"/>
      <c r="H1261" s="26"/>
      <c r="I1261" s="26"/>
    </row>
    <row r="1262" spans="1:9">
      <c r="A1262" s="21"/>
      <c r="B1262" s="21"/>
      <c r="D1262" s="26"/>
      <c r="E1262" s="26"/>
      <c r="F1262" s="26"/>
      <c r="G1262" s="26"/>
      <c r="H1262" s="26"/>
      <c r="I1262" s="26"/>
    </row>
    <row r="1263" spans="1:9">
      <c r="A1263" s="21"/>
      <c r="B1263" s="21"/>
      <c r="D1263" s="26"/>
      <c r="E1263" s="26"/>
      <c r="F1263" s="26"/>
      <c r="G1263" s="26"/>
      <c r="H1263" s="26"/>
      <c r="I1263" s="26"/>
    </row>
    <row r="1264" spans="1:9">
      <c r="A1264" s="21"/>
      <c r="B1264" s="21"/>
      <c r="D1264" s="26"/>
      <c r="E1264" s="26"/>
      <c r="F1264" s="26"/>
      <c r="G1264" s="26"/>
      <c r="H1264" s="26"/>
      <c r="I1264" s="26"/>
    </row>
    <row r="1265" spans="1:9">
      <c r="A1265" s="21"/>
      <c r="B1265" s="21"/>
      <c r="D1265" s="26"/>
      <c r="E1265" s="26"/>
      <c r="F1265" s="26"/>
      <c r="G1265" s="26"/>
      <c r="H1265" s="26"/>
      <c r="I1265" s="26"/>
    </row>
    <row r="1266" spans="1:9">
      <c r="A1266" s="21"/>
      <c r="B1266" s="21"/>
      <c r="D1266" s="26"/>
      <c r="E1266" s="26"/>
      <c r="F1266" s="26"/>
      <c r="G1266" s="26"/>
      <c r="H1266" s="26"/>
      <c r="I1266" s="26"/>
    </row>
    <row r="1267" spans="1:9">
      <c r="A1267" s="21"/>
      <c r="B1267" s="21"/>
      <c r="D1267" s="26"/>
      <c r="E1267" s="26"/>
      <c r="F1267" s="26"/>
      <c r="G1267" s="26"/>
      <c r="H1267" s="26"/>
      <c r="I1267" s="26"/>
    </row>
    <row r="1268" spans="1:9">
      <c r="A1268" s="21"/>
      <c r="B1268" s="21"/>
      <c r="D1268" s="26"/>
      <c r="E1268" s="26"/>
      <c r="F1268" s="26"/>
      <c r="G1268" s="26"/>
      <c r="H1268" s="26"/>
      <c r="I1268" s="26"/>
    </row>
    <row r="1269" spans="1:9">
      <c r="A1269" s="21"/>
      <c r="B1269" s="21"/>
      <c r="D1269" s="26"/>
      <c r="E1269" s="26"/>
      <c r="F1269" s="26"/>
      <c r="G1269" s="26"/>
      <c r="H1269" s="26"/>
      <c r="I1269" s="26"/>
    </row>
    <row r="1270" spans="1:9">
      <c r="A1270" s="21"/>
      <c r="B1270" s="21"/>
      <c r="D1270" s="26"/>
      <c r="E1270" s="26"/>
      <c r="F1270" s="26"/>
      <c r="G1270" s="26"/>
      <c r="H1270" s="26"/>
      <c r="I1270" s="26"/>
    </row>
    <row r="1271" spans="1:9">
      <c r="A1271" s="21"/>
      <c r="B1271" s="21"/>
      <c r="D1271" s="26"/>
      <c r="E1271" s="26"/>
      <c r="F1271" s="26"/>
      <c r="G1271" s="26"/>
      <c r="H1271" s="26"/>
      <c r="I1271" s="26"/>
    </row>
    <row r="1272" spans="1:9">
      <c r="A1272" s="21"/>
      <c r="B1272" s="21"/>
      <c r="D1272" s="26"/>
      <c r="E1272" s="26"/>
      <c r="F1272" s="26"/>
      <c r="G1272" s="26"/>
      <c r="H1272" s="26"/>
      <c r="I1272" s="26"/>
    </row>
    <row r="1273" spans="1:9">
      <c r="A1273" s="21"/>
      <c r="B1273" s="21"/>
      <c r="D1273" s="26"/>
      <c r="E1273" s="26"/>
      <c r="F1273" s="26"/>
      <c r="G1273" s="26"/>
      <c r="H1273" s="26"/>
      <c r="I1273" s="26"/>
    </row>
    <row r="1274" spans="1:9">
      <c r="A1274" s="21"/>
      <c r="B1274" s="21"/>
      <c r="D1274" s="26"/>
      <c r="E1274" s="26"/>
      <c r="F1274" s="26"/>
      <c r="G1274" s="26"/>
      <c r="H1274" s="26"/>
      <c r="I1274" s="26"/>
    </row>
    <row r="1275" spans="1:9">
      <c r="A1275" s="21"/>
      <c r="B1275" s="21"/>
      <c r="D1275" s="26"/>
      <c r="E1275" s="26"/>
      <c r="F1275" s="26"/>
      <c r="G1275" s="26"/>
      <c r="H1275" s="26"/>
      <c r="I1275" s="26"/>
    </row>
    <row r="1276" spans="1:9">
      <c r="A1276" s="21"/>
      <c r="B1276" s="21"/>
      <c r="D1276" s="26"/>
      <c r="E1276" s="26"/>
      <c r="F1276" s="26"/>
      <c r="G1276" s="26"/>
      <c r="H1276" s="26"/>
      <c r="I1276" s="26"/>
    </row>
    <row r="1277" spans="1:9">
      <c r="A1277" s="21"/>
      <c r="B1277" s="21"/>
      <c r="D1277" s="26"/>
      <c r="E1277" s="26"/>
      <c r="F1277" s="26"/>
      <c r="G1277" s="26"/>
      <c r="H1277" s="26"/>
      <c r="I1277" s="26"/>
    </row>
    <row r="1278" spans="1:9">
      <c r="A1278" s="21"/>
      <c r="B1278" s="21"/>
      <c r="D1278" s="26"/>
      <c r="E1278" s="26"/>
      <c r="F1278" s="26"/>
      <c r="G1278" s="26"/>
      <c r="H1278" s="26"/>
      <c r="I1278" s="26"/>
    </row>
    <row r="1279" spans="1:9">
      <c r="A1279" s="21"/>
      <c r="B1279" s="21"/>
      <c r="D1279" s="26"/>
      <c r="E1279" s="26"/>
      <c r="F1279" s="26"/>
      <c r="G1279" s="26"/>
      <c r="H1279" s="26"/>
      <c r="I1279" s="26"/>
    </row>
    <row r="1280" spans="1:9">
      <c r="A1280" s="21"/>
      <c r="B1280" s="21"/>
      <c r="D1280" s="26"/>
      <c r="E1280" s="26"/>
      <c r="F1280" s="26"/>
      <c r="G1280" s="26"/>
      <c r="H1280" s="26"/>
      <c r="I1280" s="26"/>
    </row>
    <row r="1281" spans="1:9">
      <c r="A1281" s="21"/>
      <c r="B1281" s="21"/>
      <c r="D1281" s="26"/>
      <c r="E1281" s="26"/>
      <c r="F1281" s="26"/>
      <c r="G1281" s="26"/>
      <c r="H1281" s="26"/>
      <c r="I1281" s="26"/>
    </row>
    <row r="1282" spans="1:9">
      <c r="A1282" s="21"/>
      <c r="B1282" s="21"/>
      <c r="D1282" s="26"/>
      <c r="E1282" s="26"/>
      <c r="F1282" s="26"/>
      <c r="G1282" s="26"/>
      <c r="H1282" s="26"/>
      <c r="I1282" s="26"/>
    </row>
    <row r="1283" spans="1:9">
      <c r="A1283" s="21"/>
      <c r="B1283" s="21"/>
      <c r="D1283" s="26"/>
      <c r="E1283" s="26"/>
      <c r="F1283" s="26"/>
      <c r="G1283" s="26"/>
      <c r="H1283" s="26"/>
      <c r="I1283" s="26"/>
    </row>
    <row r="1284" spans="1:9">
      <c r="A1284" s="21"/>
      <c r="B1284" s="21"/>
      <c r="D1284" s="26"/>
      <c r="E1284" s="26"/>
      <c r="F1284" s="26"/>
      <c r="G1284" s="26"/>
      <c r="H1284" s="26"/>
      <c r="I1284" s="26"/>
    </row>
    <row r="1285" spans="1:9">
      <c r="A1285" s="21"/>
      <c r="B1285" s="21"/>
      <c r="D1285" s="26"/>
      <c r="E1285" s="26"/>
      <c r="F1285" s="26"/>
      <c r="G1285" s="26"/>
      <c r="H1285" s="26"/>
      <c r="I1285" s="26"/>
    </row>
    <row r="1286" spans="1:9">
      <c r="A1286" s="21"/>
      <c r="B1286" s="21"/>
      <c r="D1286" s="26"/>
      <c r="E1286" s="26"/>
      <c r="F1286" s="26"/>
      <c r="G1286" s="26"/>
      <c r="H1286" s="26"/>
      <c r="I1286" s="26"/>
    </row>
    <row r="1287" spans="1:9">
      <c r="A1287" s="21"/>
      <c r="B1287" s="21"/>
      <c r="D1287" s="26"/>
      <c r="E1287" s="26"/>
      <c r="F1287" s="26"/>
      <c r="G1287" s="26"/>
      <c r="H1287" s="26"/>
      <c r="I1287" s="26"/>
    </row>
    <row r="1288" spans="1:9">
      <c r="A1288" s="21"/>
      <c r="B1288" s="21"/>
      <c r="D1288" s="26"/>
      <c r="E1288" s="26"/>
      <c r="F1288" s="26"/>
      <c r="G1288" s="26"/>
      <c r="H1288" s="26"/>
      <c r="I1288" s="26"/>
    </row>
    <row r="1289" spans="1:9">
      <c r="A1289" s="21"/>
      <c r="B1289" s="21"/>
      <c r="D1289" s="26"/>
      <c r="E1289" s="26"/>
      <c r="F1289" s="26"/>
      <c r="G1289" s="26"/>
      <c r="H1289" s="26"/>
      <c r="I1289" s="26"/>
    </row>
    <row r="1290" spans="1:9">
      <c r="A1290" s="21"/>
      <c r="B1290" s="21"/>
      <c r="D1290" s="26"/>
      <c r="E1290" s="26"/>
      <c r="F1290" s="26"/>
      <c r="G1290" s="26"/>
      <c r="H1290" s="26"/>
      <c r="I1290" s="26"/>
    </row>
    <row r="1291" spans="1:9">
      <c r="A1291" s="21"/>
      <c r="B1291" s="21"/>
      <c r="D1291" s="26"/>
      <c r="E1291" s="26"/>
      <c r="F1291" s="26"/>
      <c r="G1291" s="26"/>
      <c r="H1291" s="26"/>
      <c r="I1291" s="26"/>
    </row>
    <row r="1292" spans="1:9">
      <c r="A1292" s="22"/>
      <c r="B1292" s="21"/>
      <c r="D1292" s="26"/>
      <c r="E1292" s="26"/>
      <c r="F1292" s="26"/>
      <c r="G1292" s="26"/>
      <c r="H1292" s="26"/>
      <c r="I1292" s="26"/>
    </row>
    <row r="1293" spans="1:9">
      <c r="A1293" s="21"/>
      <c r="B1293" s="21"/>
      <c r="D1293" s="26"/>
      <c r="E1293" s="26"/>
      <c r="F1293" s="26"/>
      <c r="G1293" s="26"/>
      <c r="H1293" s="26"/>
      <c r="I1293" s="26"/>
    </row>
    <row r="1294" spans="1:9">
      <c r="A1294" s="21"/>
      <c r="B1294" s="21"/>
      <c r="D1294" s="26"/>
      <c r="E1294" s="26"/>
      <c r="F1294" s="26"/>
      <c r="G1294" s="26"/>
      <c r="H1294" s="26"/>
      <c r="I1294" s="26"/>
    </row>
    <row r="1295" spans="1:9">
      <c r="A1295" s="21"/>
      <c r="B1295" s="21"/>
      <c r="D1295" s="26"/>
      <c r="E1295" s="26"/>
      <c r="F1295" s="26"/>
      <c r="G1295" s="26"/>
      <c r="H1295" s="26"/>
      <c r="I1295" s="26"/>
    </row>
    <row r="1296" spans="1:9">
      <c r="A1296" s="21"/>
      <c r="B1296" s="21"/>
      <c r="D1296" s="26"/>
      <c r="E1296" s="26"/>
      <c r="F1296" s="26"/>
      <c r="G1296" s="26"/>
      <c r="H1296" s="26"/>
      <c r="I1296" s="26"/>
    </row>
    <row r="1297" spans="1:9">
      <c r="A1297" s="21"/>
      <c r="B1297" s="21"/>
      <c r="D1297" s="26"/>
      <c r="E1297" s="26"/>
      <c r="F1297" s="26"/>
      <c r="G1297" s="26"/>
      <c r="H1297" s="26"/>
      <c r="I1297" s="26"/>
    </row>
    <row r="1298" spans="1:9">
      <c r="A1298" s="21"/>
      <c r="B1298" s="21"/>
      <c r="D1298" s="26"/>
      <c r="E1298" s="26"/>
      <c r="F1298" s="26"/>
      <c r="G1298" s="26"/>
      <c r="H1298" s="26"/>
      <c r="I1298" s="26"/>
    </row>
    <row r="1299" spans="1:9">
      <c r="A1299" s="21"/>
      <c r="B1299" s="21"/>
      <c r="D1299" s="26"/>
      <c r="E1299" s="26"/>
      <c r="F1299" s="26"/>
      <c r="G1299" s="26"/>
      <c r="H1299" s="26"/>
      <c r="I1299" s="26"/>
    </row>
    <row r="1300" spans="1:9">
      <c r="A1300" s="21"/>
      <c r="B1300" s="21"/>
      <c r="D1300" s="26"/>
      <c r="E1300" s="26"/>
      <c r="F1300" s="26"/>
      <c r="G1300" s="26"/>
      <c r="H1300" s="26"/>
      <c r="I1300" s="26"/>
    </row>
    <row r="1301" spans="1:9">
      <c r="A1301" s="21"/>
      <c r="B1301" s="21"/>
      <c r="D1301" s="26"/>
      <c r="E1301" s="26"/>
      <c r="F1301" s="26"/>
      <c r="G1301" s="26"/>
      <c r="H1301" s="26"/>
      <c r="I1301" s="26"/>
    </row>
    <row r="1302" spans="1:9">
      <c r="A1302" s="21"/>
      <c r="B1302" s="21"/>
      <c r="D1302" s="26"/>
      <c r="E1302" s="26"/>
      <c r="F1302" s="26"/>
      <c r="G1302" s="26"/>
      <c r="H1302" s="26"/>
      <c r="I1302" s="26"/>
    </row>
    <row r="1303" spans="1:9">
      <c r="A1303" s="21"/>
      <c r="B1303" s="21"/>
      <c r="D1303" s="26"/>
      <c r="E1303" s="26"/>
      <c r="F1303" s="26"/>
      <c r="G1303" s="26"/>
      <c r="H1303" s="26"/>
      <c r="I1303" s="26"/>
    </row>
    <row r="1304" spans="1:9">
      <c r="A1304" s="24"/>
      <c r="B1304" s="21"/>
      <c r="D1304" s="26"/>
      <c r="E1304" s="26"/>
      <c r="F1304" s="26"/>
      <c r="G1304" s="26"/>
      <c r="H1304" s="26"/>
      <c r="I1304" s="26"/>
    </row>
    <row r="1305" spans="1:9">
      <c r="A1305" s="21"/>
      <c r="B1305" s="21"/>
      <c r="D1305" s="26"/>
      <c r="E1305" s="26"/>
      <c r="F1305" s="26"/>
      <c r="G1305" s="26"/>
      <c r="H1305" s="26"/>
      <c r="I1305" s="26"/>
    </row>
    <row r="1306" spans="1:9">
      <c r="A1306" s="21"/>
      <c r="B1306" s="21"/>
      <c r="D1306" s="26"/>
      <c r="E1306" s="26"/>
      <c r="F1306" s="26"/>
      <c r="G1306" s="26"/>
      <c r="H1306" s="26"/>
      <c r="I1306" s="26"/>
    </row>
    <row r="1307" spans="1:9">
      <c r="A1307" s="21"/>
      <c r="B1307" s="21"/>
      <c r="D1307" s="26"/>
      <c r="E1307" s="26"/>
      <c r="F1307" s="26"/>
      <c r="G1307" s="26"/>
      <c r="H1307" s="26"/>
      <c r="I1307" s="26"/>
    </row>
    <row r="1308" spans="1:9">
      <c r="A1308" s="21"/>
      <c r="B1308" s="21"/>
      <c r="D1308" s="26"/>
      <c r="E1308" s="26"/>
      <c r="F1308" s="26"/>
      <c r="G1308" s="26"/>
      <c r="H1308" s="26"/>
      <c r="I1308" s="26"/>
    </row>
    <row r="1309" spans="1:9">
      <c r="A1309" s="21"/>
      <c r="B1309" s="21"/>
      <c r="D1309" s="26"/>
      <c r="E1309" s="26"/>
      <c r="F1309" s="26"/>
      <c r="G1309" s="26"/>
      <c r="H1309" s="26"/>
      <c r="I1309" s="26"/>
    </row>
    <row r="1310" spans="1:9">
      <c r="A1310" s="21"/>
      <c r="B1310" s="21"/>
      <c r="D1310" s="26"/>
      <c r="E1310" s="26"/>
      <c r="F1310" s="26"/>
      <c r="G1310" s="26"/>
      <c r="H1310" s="26"/>
      <c r="I1310" s="26"/>
    </row>
    <row r="1311" spans="1:9">
      <c r="A1311" s="21"/>
      <c r="B1311" s="21"/>
      <c r="D1311" s="26"/>
      <c r="E1311" s="26"/>
      <c r="F1311" s="26"/>
      <c r="G1311" s="26"/>
      <c r="H1311" s="26"/>
      <c r="I1311" s="26"/>
    </row>
    <row r="1312" spans="1:9">
      <c r="A1312" s="21"/>
      <c r="B1312" s="21"/>
      <c r="D1312" s="26"/>
      <c r="E1312" s="26"/>
      <c r="F1312" s="26"/>
      <c r="G1312" s="26"/>
      <c r="H1312" s="26"/>
      <c r="I1312" s="26"/>
    </row>
    <row r="1313" spans="1:9">
      <c r="A1313" s="21"/>
      <c r="B1313" s="21"/>
      <c r="D1313" s="26"/>
      <c r="E1313" s="26"/>
      <c r="F1313" s="26"/>
      <c r="G1313" s="26"/>
      <c r="H1313" s="26"/>
      <c r="I1313" s="26"/>
    </row>
    <row r="1314" spans="1:9">
      <c r="A1314" s="21"/>
      <c r="B1314" s="21"/>
      <c r="D1314" s="26"/>
      <c r="E1314" s="26"/>
      <c r="F1314" s="26"/>
      <c r="G1314" s="26"/>
      <c r="H1314" s="26"/>
      <c r="I1314" s="26"/>
    </row>
    <row r="1315" spans="1:9">
      <c r="A1315" s="21"/>
      <c r="B1315" s="21"/>
      <c r="D1315" s="26"/>
      <c r="E1315" s="26"/>
      <c r="F1315" s="26"/>
      <c r="G1315" s="26"/>
      <c r="H1315" s="26"/>
      <c r="I1315" s="26"/>
    </row>
    <row r="1316" spans="1:9">
      <c r="A1316" s="21"/>
      <c r="B1316" s="21"/>
      <c r="D1316" s="26"/>
      <c r="E1316" s="26"/>
      <c r="F1316" s="26"/>
      <c r="G1316" s="26"/>
      <c r="H1316" s="26"/>
      <c r="I1316" s="26"/>
    </row>
    <row r="1317" spans="1:9">
      <c r="A1317" s="21"/>
      <c r="B1317" s="21"/>
      <c r="D1317" s="26"/>
      <c r="E1317" s="26"/>
      <c r="F1317" s="26"/>
      <c r="G1317" s="26"/>
      <c r="H1317" s="26"/>
      <c r="I1317" s="26"/>
    </row>
    <row r="1318" spans="1:9">
      <c r="A1318" s="21"/>
      <c r="B1318" s="21"/>
      <c r="D1318" s="26"/>
      <c r="E1318" s="26"/>
      <c r="F1318" s="26"/>
      <c r="G1318" s="26"/>
      <c r="H1318" s="26"/>
      <c r="I1318" s="26"/>
    </row>
    <row r="1319" spans="1:9">
      <c r="A1319" s="21"/>
      <c r="B1319" s="21"/>
      <c r="D1319" s="26"/>
      <c r="E1319" s="26"/>
      <c r="F1319" s="26"/>
      <c r="G1319" s="26"/>
      <c r="H1319" s="26"/>
      <c r="I1319" s="26"/>
    </row>
    <row r="1320" spans="1:9">
      <c r="A1320" s="21"/>
      <c r="B1320" s="21"/>
      <c r="D1320" s="26"/>
      <c r="E1320" s="26"/>
      <c r="F1320" s="26"/>
      <c r="G1320" s="26"/>
      <c r="H1320" s="26"/>
      <c r="I1320" s="26"/>
    </row>
    <row r="1321" spans="1:9">
      <c r="A1321" s="21"/>
      <c r="B1321" s="21"/>
      <c r="D1321" s="26"/>
      <c r="E1321" s="26"/>
      <c r="F1321" s="26"/>
      <c r="G1321" s="26"/>
      <c r="H1321" s="26"/>
      <c r="I1321" s="26"/>
    </row>
    <row r="1322" spans="1:9">
      <c r="A1322" s="21"/>
      <c r="B1322" s="21"/>
      <c r="D1322" s="26"/>
      <c r="E1322" s="26"/>
      <c r="F1322" s="26"/>
      <c r="G1322" s="26"/>
      <c r="H1322" s="26"/>
      <c r="I1322" s="26"/>
    </row>
    <row r="1323" spans="1:9">
      <c r="A1323" s="21"/>
      <c r="B1323" s="21"/>
      <c r="D1323" s="26"/>
      <c r="E1323" s="26"/>
      <c r="F1323" s="26"/>
      <c r="G1323" s="26"/>
      <c r="H1323" s="26"/>
      <c r="I1323" s="26"/>
    </row>
    <row r="1324" spans="1:9">
      <c r="A1324" s="21"/>
      <c r="B1324" s="21"/>
      <c r="D1324" s="26"/>
      <c r="E1324" s="26"/>
      <c r="F1324" s="26"/>
      <c r="G1324" s="26"/>
      <c r="H1324" s="26"/>
      <c r="I1324" s="26"/>
    </row>
    <row r="1325" spans="1:9">
      <c r="A1325" s="21"/>
      <c r="B1325" s="21"/>
      <c r="D1325" s="26"/>
      <c r="E1325" s="26"/>
      <c r="F1325" s="26"/>
      <c r="G1325" s="26"/>
      <c r="H1325" s="26"/>
      <c r="I1325" s="26"/>
    </row>
    <row r="1326" spans="1:9">
      <c r="A1326" s="21"/>
      <c r="B1326" s="21"/>
      <c r="D1326" s="26"/>
      <c r="E1326" s="26"/>
      <c r="F1326" s="26"/>
      <c r="G1326" s="26"/>
      <c r="H1326" s="26"/>
      <c r="I1326" s="26"/>
    </row>
    <row r="1327" spans="1:9">
      <c r="A1327" s="21"/>
      <c r="B1327" s="21"/>
      <c r="D1327" s="26"/>
      <c r="E1327" s="26"/>
      <c r="F1327" s="26"/>
      <c r="G1327" s="26"/>
      <c r="H1327" s="26"/>
      <c r="I1327" s="26"/>
    </row>
    <row r="1328" spans="1:9">
      <c r="A1328" s="21"/>
      <c r="B1328" s="21"/>
      <c r="D1328" s="26"/>
      <c r="E1328" s="26"/>
      <c r="F1328" s="26"/>
      <c r="G1328" s="26"/>
      <c r="H1328" s="26"/>
      <c r="I1328" s="26"/>
    </row>
    <row r="1329" spans="1:9">
      <c r="A1329" s="21"/>
      <c r="B1329" s="21"/>
      <c r="D1329" s="26"/>
      <c r="E1329" s="26"/>
      <c r="F1329" s="26"/>
      <c r="G1329" s="26"/>
      <c r="H1329" s="26"/>
      <c r="I1329" s="26"/>
    </row>
    <row r="1330" spans="1:9">
      <c r="A1330" s="21"/>
      <c r="B1330" s="21"/>
      <c r="D1330" s="26"/>
      <c r="E1330" s="26"/>
      <c r="F1330" s="26"/>
      <c r="G1330" s="26"/>
      <c r="H1330" s="26"/>
      <c r="I1330" s="26"/>
    </row>
    <row r="1331" spans="1:9">
      <c r="A1331" s="21"/>
      <c r="B1331" s="21"/>
      <c r="D1331" s="26"/>
      <c r="E1331" s="26"/>
      <c r="F1331" s="26"/>
      <c r="G1331" s="26"/>
      <c r="H1331" s="26"/>
      <c r="I1331" s="26"/>
    </row>
    <row r="1332" spans="1:9">
      <c r="A1332" s="21"/>
      <c r="B1332" s="21"/>
      <c r="D1332" s="26"/>
      <c r="E1332" s="26"/>
      <c r="F1332" s="26"/>
      <c r="G1332" s="26"/>
      <c r="H1332" s="26"/>
      <c r="I1332" s="26"/>
    </row>
    <row r="1333" spans="1:9">
      <c r="A1333" s="21"/>
      <c r="B1333" s="21"/>
      <c r="D1333" s="26"/>
      <c r="E1333" s="26"/>
      <c r="F1333" s="26"/>
      <c r="G1333" s="26"/>
      <c r="H1333" s="26"/>
      <c r="I1333" s="26"/>
    </row>
    <row r="1334" spans="1:9">
      <c r="A1334" s="21"/>
      <c r="B1334" s="21"/>
      <c r="D1334" s="26"/>
      <c r="E1334" s="26"/>
      <c r="F1334" s="26"/>
      <c r="G1334" s="26"/>
      <c r="H1334" s="26"/>
      <c r="I1334" s="26"/>
    </row>
    <row r="1335" spans="1:9">
      <c r="A1335" s="21"/>
      <c r="B1335" s="21"/>
      <c r="D1335" s="26"/>
      <c r="E1335" s="26"/>
      <c r="F1335" s="26"/>
      <c r="G1335" s="26"/>
      <c r="H1335" s="26"/>
      <c r="I1335" s="26"/>
    </row>
    <row r="1336" spans="1:9">
      <c r="A1336" s="21"/>
      <c r="B1336" s="21"/>
      <c r="D1336" s="26"/>
      <c r="E1336" s="26"/>
      <c r="F1336" s="26"/>
      <c r="G1336" s="26"/>
      <c r="H1336" s="26"/>
      <c r="I1336" s="26"/>
    </row>
    <row r="1337" spans="1:9">
      <c r="A1337" s="21"/>
      <c r="B1337" s="21"/>
      <c r="D1337" s="26"/>
      <c r="E1337" s="26"/>
      <c r="F1337" s="26"/>
      <c r="G1337" s="26"/>
      <c r="H1337" s="26"/>
      <c r="I1337" s="26"/>
    </row>
    <row r="1338" spans="1:9">
      <c r="A1338" s="21"/>
      <c r="B1338" s="21"/>
      <c r="D1338" s="26"/>
      <c r="E1338" s="26"/>
      <c r="F1338" s="26"/>
      <c r="G1338" s="26"/>
      <c r="H1338" s="26"/>
      <c r="I1338" s="26"/>
    </row>
    <row r="1339" spans="1:9">
      <c r="A1339" s="21"/>
      <c r="B1339" s="21"/>
      <c r="D1339" s="26"/>
      <c r="E1339" s="26"/>
      <c r="F1339" s="26"/>
      <c r="G1339" s="26"/>
      <c r="H1339" s="26"/>
      <c r="I1339" s="26"/>
    </row>
    <row r="1340" spans="1:9">
      <c r="A1340" s="21"/>
      <c r="B1340" s="21"/>
      <c r="D1340" s="26"/>
      <c r="E1340" s="26"/>
      <c r="F1340" s="26"/>
      <c r="G1340" s="26"/>
      <c r="H1340" s="26"/>
      <c r="I1340" s="26"/>
    </row>
    <row r="1341" spans="1:9">
      <c r="A1341" s="21"/>
      <c r="B1341" s="21"/>
      <c r="D1341" s="26"/>
      <c r="E1341" s="26"/>
      <c r="F1341" s="26"/>
      <c r="G1341" s="26"/>
      <c r="H1341" s="26"/>
      <c r="I1341" s="26"/>
    </row>
    <row r="1342" spans="1:9">
      <c r="A1342" s="21"/>
      <c r="B1342" s="21"/>
      <c r="D1342" s="26"/>
      <c r="E1342" s="26"/>
      <c r="F1342" s="26"/>
      <c r="G1342" s="26"/>
      <c r="H1342" s="26"/>
      <c r="I1342" s="26"/>
    </row>
    <row r="1343" spans="1:9">
      <c r="A1343" s="21"/>
      <c r="B1343" s="21"/>
      <c r="D1343" s="26"/>
      <c r="E1343" s="26"/>
      <c r="F1343" s="26"/>
      <c r="G1343" s="26"/>
      <c r="H1343" s="26"/>
      <c r="I1343" s="26"/>
    </row>
    <row r="1344" spans="1:9">
      <c r="A1344" s="21"/>
      <c r="B1344" s="21"/>
      <c r="D1344" s="26"/>
      <c r="E1344" s="26"/>
      <c r="F1344" s="26"/>
      <c r="G1344" s="26"/>
      <c r="H1344" s="26"/>
      <c r="I1344" s="26"/>
    </row>
    <row r="1345" spans="1:9">
      <c r="A1345" s="21"/>
      <c r="B1345" s="21"/>
      <c r="D1345" s="26"/>
      <c r="E1345" s="26"/>
      <c r="F1345" s="26"/>
      <c r="G1345" s="26"/>
      <c r="H1345" s="26"/>
      <c r="I1345" s="26"/>
    </row>
    <row r="1346" spans="1:9">
      <c r="A1346" s="21"/>
      <c r="B1346" s="21"/>
      <c r="D1346" s="26"/>
      <c r="E1346" s="26"/>
      <c r="F1346" s="26"/>
      <c r="G1346" s="26"/>
      <c r="H1346" s="26"/>
      <c r="I1346" s="26"/>
    </row>
    <row r="1347" spans="1:9">
      <c r="A1347" s="21"/>
      <c r="B1347" s="21"/>
      <c r="D1347" s="26"/>
      <c r="E1347" s="26"/>
      <c r="F1347" s="26"/>
      <c r="G1347" s="26"/>
      <c r="H1347" s="26"/>
      <c r="I1347" s="26"/>
    </row>
    <row r="1348" spans="1:9">
      <c r="A1348" s="21"/>
      <c r="B1348" s="21"/>
      <c r="D1348" s="26"/>
      <c r="E1348" s="26"/>
      <c r="F1348" s="26"/>
      <c r="G1348" s="26"/>
      <c r="H1348" s="26"/>
      <c r="I1348" s="26"/>
    </row>
    <row r="1349" spans="1:9">
      <c r="A1349" s="21"/>
      <c r="B1349" s="21"/>
      <c r="D1349" s="26"/>
      <c r="E1349" s="26"/>
      <c r="F1349" s="26"/>
      <c r="G1349" s="26"/>
      <c r="H1349" s="26"/>
      <c r="I1349" s="26"/>
    </row>
    <row r="1350" spans="1:9">
      <c r="A1350" s="21"/>
      <c r="B1350" s="21"/>
      <c r="D1350" s="26"/>
      <c r="E1350" s="26"/>
      <c r="F1350" s="26"/>
      <c r="G1350" s="26"/>
      <c r="H1350" s="26"/>
      <c r="I1350" s="26"/>
    </row>
    <row r="1351" spans="1:9">
      <c r="A1351" s="21"/>
      <c r="B1351" s="21"/>
      <c r="D1351" s="26"/>
      <c r="E1351" s="26"/>
      <c r="F1351" s="26"/>
      <c r="G1351" s="26"/>
      <c r="H1351" s="26"/>
      <c r="I1351" s="26"/>
    </row>
    <row r="1352" spans="1:9">
      <c r="A1352" s="21"/>
      <c r="B1352" s="21"/>
      <c r="D1352" s="26"/>
      <c r="E1352" s="26"/>
      <c r="F1352" s="26"/>
      <c r="G1352" s="26"/>
      <c r="H1352" s="26"/>
      <c r="I1352" s="26"/>
    </row>
    <row r="1353" spans="1:9">
      <c r="A1353" s="21"/>
      <c r="B1353" s="21"/>
      <c r="D1353" s="26"/>
      <c r="E1353" s="26"/>
      <c r="F1353" s="26"/>
      <c r="G1353" s="26"/>
      <c r="H1353" s="26"/>
      <c r="I1353" s="2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7"/>
  <dimension ref="A1:D28"/>
  <sheetViews>
    <sheetView workbookViewId="0">
      <selection activeCell="C30" sqref="C30"/>
    </sheetView>
  </sheetViews>
  <sheetFormatPr defaultRowHeight="12.75"/>
  <sheetData>
    <row r="1" spans="1:4" ht="30">
      <c r="A1" s="39" t="s">
        <v>50</v>
      </c>
      <c r="B1" s="39" t="s">
        <v>51</v>
      </c>
      <c r="C1" s="39" t="s">
        <v>52</v>
      </c>
      <c r="D1" s="39" t="s">
        <v>53</v>
      </c>
    </row>
    <row r="2" spans="1:4">
      <c r="A2">
        <v>325</v>
      </c>
      <c r="B2">
        <v>402</v>
      </c>
      <c r="C2">
        <v>0</v>
      </c>
      <c r="D2">
        <v>402</v>
      </c>
    </row>
    <row r="3" spans="1:4">
      <c r="A3">
        <v>326</v>
      </c>
      <c r="B3">
        <v>748</v>
      </c>
      <c r="C3">
        <v>1</v>
      </c>
      <c r="D3">
        <v>2995</v>
      </c>
    </row>
    <row r="4" spans="1:4">
      <c r="A4">
        <v>328</v>
      </c>
      <c r="B4">
        <v>58</v>
      </c>
      <c r="C4">
        <v>3</v>
      </c>
      <c r="D4">
        <v>6799</v>
      </c>
    </row>
    <row r="5" spans="1:4">
      <c r="A5">
        <v>329</v>
      </c>
      <c r="B5">
        <v>455.57799999999997</v>
      </c>
      <c r="C5">
        <v>4</v>
      </c>
      <c r="D5">
        <v>9443.5779999999995</v>
      </c>
    </row>
    <row r="6" spans="1:4">
      <c r="A6">
        <v>330</v>
      </c>
      <c r="B6">
        <v>817</v>
      </c>
      <c r="C6">
        <v>5</v>
      </c>
      <c r="D6">
        <v>12052</v>
      </c>
    </row>
    <row r="7" spans="1:4">
      <c r="A7">
        <v>332</v>
      </c>
      <c r="B7">
        <v>116</v>
      </c>
      <c r="C7">
        <v>7</v>
      </c>
      <c r="D7">
        <v>15845</v>
      </c>
    </row>
    <row r="8" spans="1:4">
      <c r="A8">
        <v>333</v>
      </c>
      <c r="B8">
        <v>496</v>
      </c>
      <c r="C8">
        <v>8</v>
      </c>
      <c r="D8">
        <v>18472</v>
      </c>
    </row>
    <row r="9" spans="1:4">
      <c r="A9">
        <v>334</v>
      </c>
      <c r="B9">
        <v>841.62</v>
      </c>
      <c r="C9">
        <v>9</v>
      </c>
      <c r="D9">
        <v>21064.62</v>
      </c>
    </row>
    <row r="10" spans="1:4">
      <c r="A10">
        <v>336</v>
      </c>
      <c r="B10">
        <v>136</v>
      </c>
      <c r="C10">
        <v>11</v>
      </c>
      <c r="D10">
        <v>24853</v>
      </c>
    </row>
    <row r="11" spans="1:4">
      <c r="A11">
        <v>337</v>
      </c>
      <c r="B11">
        <v>511</v>
      </c>
      <c r="C11">
        <v>12</v>
      </c>
      <c r="D11">
        <v>27475</v>
      </c>
    </row>
    <row r="12" spans="1:4">
      <c r="A12">
        <v>338</v>
      </c>
      <c r="B12">
        <v>916</v>
      </c>
      <c r="C12">
        <v>13</v>
      </c>
      <c r="D12">
        <v>30127</v>
      </c>
    </row>
    <row r="13" spans="1:4">
      <c r="A13">
        <v>341</v>
      </c>
      <c r="B13">
        <v>503.53300000000002</v>
      </c>
      <c r="C13">
        <v>16</v>
      </c>
      <c r="D13">
        <v>36455.533000000003</v>
      </c>
    </row>
    <row r="14" spans="1:4">
      <c r="A14">
        <v>353</v>
      </c>
      <c r="B14">
        <v>637.80899999999997</v>
      </c>
      <c r="C14">
        <v>28</v>
      </c>
      <c r="D14">
        <v>63553.809000000001</v>
      </c>
    </row>
    <row r="15" spans="1:4">
      <c r="A15">
        <v>368</v>
      </c>
      <c r="B15">
        <v>414.81599999999997</v>
      </c>
      <c r="C15">
        <v>43</v>
      </c>
      <c r="D15">
        <v>97035.816000000006</v>
      </c>
    </row>
    <row r="16" spans="1:4">
      <c r="A16">
        <v>372</v>
      </c>
      <c r="B16">
        <v>457.976</v>
      </c>
      <c r="C16">
        <v>47</v>
      </c>
      <c r="D16">
        <v>106066.976</v>
      </c>
    </row>
    <row r="17" spans="1:4">
      <c r="A17">
        <v>388</v>
      </c>
      <c r="B17">
        <v>604.24</v>
      </c>
      <c r="C17">
        <v>63</v>
      </c>
      <c r="D17">
        <v>142165.24</v>
      </c>
    </row>
    <row r="18" spans="1:4">
      <c r="A18">
        <v>396</v>
      </c>
      <c r="B18">
        <v>721.73099999999999</v>
      </c>
      <c r="C18">
        <v>71</v>
      </c>
      <c r="D18">
        <v>160258.731</v>
      </c>
    </row>
    <row r="19" spans="1:4">
      <c r="A19">
        <v>407</v>
      </c>
      <c r="B19">
        <v>539.5</v>
      </c>
      <c r="C19">
        <v>82</v>
      </c>
      <c r="D19">
        <v>184793.5</v>
      </c>
    </row>
    <row r="20" spans="1:4">
      <c r="A20">
        <v>415</v>
      </c>
      <c r="B20">
        <v>652.19600000000003</v>
      </c>
      <c r="C20">
        <v>90</v>
      </c>
      <c r="D20">
        <v>202882.196</v>
      </c>
    </row>
    <row r="21" spans="1:4">
      <c r="A21">
        <v>426</v>
      </c>
      <c r="B21">
        <v>410.02</v>
      </c>
      <c r="C21">
        <v>101</v>
      </c>
      <c r="D21">
        <v>227357.02</v>
      </c>
    </row>
    <row r="22" spans="1:4">
      <c r="A22">
        <v>438</v>
      </c>
      <c r="B22">
        <v>671.37800000000004</v>
      </c>
      <c r="C22">
        <v>113</v>
      </c>
      <c r="D22">
        <v>254582.378</v>
      </c>
    </row>
    <row r="23" spans="1:4">
      <c r="A23">
        <v>453</v>
      </c>
      <c r="B23">
        <v>575.46699999999998</v>
      </c>
      <c r="C23">
        <v>128</v>
      </c>
      <c r="D23">
        <v>288191.467</v>
      </c>
    </row>
    <row r="24" spans="1:4">
      <c r="A24">
        <v>465</v>
      </c>
      <c r="B24">
        <v>714.53800000000001</v>
      </c>
      <c r="C24">
        <v>140</v>
      </c>
      <c r="D24">
        <v>315294.538</v>
      </c>
    </row>
    <row r="25" spans="1:4">
      <c r="A25">
        <v>476</v>
      </c>
      <c r="B25">
        <v>635.41099999999994</v>
      </c>
      <c r="C25">
        <v>151</v>
      </c>
      <c r="D25">
        <v>339932.41100000002</v>
      </c>
    </row>
    <row r="26" spans="1:4">
      <c r="A26">
        <v>491</v>
      </c>
      <c r="B26">
        <v>599.44399999999996</v>
      </c>
      <c r="C26">
        <v>166</v>
      </c>
      <c r="D26">
        <v>373601.44400000002</v>
      </c>
    </row>
    <row r="27" spans="1:4">
      <c r="A27">
        <v>502</v>
      </c>
      <c r="B27">
        <v>435.99099999999999</v>
      </c>
      <c r="C27">
        <v>177</v>
      </c>
      <c r="D27">
        <v>398154.99099999998</v>
      </c>
    </row>
    <row r="28" spans="1:4">
      <c r="A28">
        <v>506</v>
      </c>
      <c r="B28">
        <v>477.15800000000002</v>
      </c>
      <c r="C28">
        <v>181</v>
      </c>
      <c r="D28">
        <v>407184.158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7</vt:i4>
      </vt:variant>
      <vt:variant>
        <vt:lpstr>Charts</vt:lpstr>
      </vt:variant>
      <vt:variant>
        <vt:i4>2</vt:i4>
      </vt:variant>
      <vt:variant>
        <vt:lpstr>Named Ranges</vt:lpstr>
      </vt:variant>
      <vt:variant>
        <vt:i4>2</vt:i4>
      </vt:variant>
    </vt:vector>
  </HeadingPairs>
  <TitlesOfParts>
    <vt:vector size="11" baseType="lpstr">
      <vt:lpstr>Info</vt:lpstr>
      <vt:lpstr>Ft</vt:lpstr>
      <vt:lpstr>Vars</vt:lpstr>
      <vt:lpstr>Data</vt:lpstr>
      <vt:lpstr>Shirley</vt:lpstr>
      <vt:lpstr>Sheet1</vt:lpstr>
      <vt:lpstr>Sheet2</vt:lpstr>
      <vt:lpstr>Chart3</vt:lpstr>
      <vt:lpstr>Chart4</vt:lpstr>
      <vt:lpstr>Error</vt:lpstr>
      <vt:lpstr>Ft!Print_Area</vt:lpstr>
    </vt:vector>
  </TitlesOfParts>
  <Company>Queen Mary &amp; Westfield College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R.M.Nix</dc:creator>
  <cp:lastModifiedBy>Gary</cp:lastModifiedBy>
  <cp:lastPrinted>1999-06-03T12:20:16Z</cp:lastPrinted>
  <dcterms:created xsi:type="dcterms:W3CDTF">1997-06-23T11:00:00Z</dcterms:created>
  <dcterms:modified xsi:type="dcterms:W3CDTF">2012-11-25T16:36:32Z</dcterms:modified>
</cp:coreProperties>
</file>